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X:\Environmental Tools\Survey Workup Tools\"/>
    </mc:Choice>
  </mc:AlternateContent>
  <bookViews>
    <workbookView xWindow="0" yWindow="0" windowWidth="19200" windowHeight="6730" activeTab="1"/>
  </bookViews>
  <sheets>
    <sheet name="Profile" sheetId="171" r:id="rId1"/>
    <sheet name="Ri-Po" sheetId="172" r:id="rId2"/>
  </sheets>
  <functionGroups builtInGroupCount="18"/>
  <definedNames>
    <definedName name="currentBKF">Profile!$N$56:$N$1056</definedName>
    <definedName name="currentBKF2">Profile!$O$56:$O$1056</definedName>
    <definedName name="currentCMORPH">Profile!$G$56:$G$1056</definedName>
    <definedName name="currentDESC">Profile!$F$56:$F$1056</definedName>
    <definedName name="currentINTERPWS">Profile!$K$56:$K$1056</definedName>
    <definedName name="currentINTTOB">Profile!$Q$56:$Q$1198</definedName>
    <definedName name="currentMISC">Profile!$T$56:$T$1056</definedName>
    <definedName name="currentNUM">Profile!$A$56:$A$1056</definedName>
    <definedName name="currentSMORPH">Profile!$H$56:$H$1056</definedName>
    <definedName name="currentSTATION">Profile!$E$56:$E$1056</definedName>
    <definedName name="currentSTRUCT">Profile!$V$56:$V$1056</definedName>
    <definedName name="currentTHW">Profile!$I$56:$I$1056</definedName>
    <definedName name="currentTOB">Profile!$P$56:$P$1056</definedName>
    <definedName name="currentWS">Profile!$J$56:$J$1056</definedName>
    <definedName name="currentXS">Profile!$U$56:$U$1056</definedName>
    <definedName name="currentYEAR">Profile!$A$54</definedName>
    <definedName name="maxSCEL">Profile!$V$17</definedName>
    <definedName name="maxSTA">Profile!$V$20</definedName>
    <definedName name="minSCEL">Profile!$V$16</definedName>
    <definedName name="minSTA">Profile!$V$19</definedName>
    <definedName name="_xlnm.Print_Area" localSheetId="0">Profile!$A$1:$V$1625</definedName>
  </definedNames>
  <calcPr calcId="152511"/>
</workbook>
</file>

<file path=xl/calcChain.xml><?xml version="1.0" encoding="utf-8"?>
<calcChain xmlns="http://schemas.openxmlformats.org/spreadsheetml/2006/main">
  <c r="BB34" i="172" l="1"/>
  <c r="AF4" i="172" l="1"/>
  <c r="AG4" i="172"/>
  <c r="Z4" i="172"/>
  <c r="AH4" i="172" s="1"/>
  <c r="AH5" i="172"/>
  <c r="AH6" i="172"/>
  <c r="AH7" i="172"/>
  <c r="AH8" i="172"/>
  <c r="AH9" i="172"/>
  <c r="AH10" i="172"/>
  <c r="AH11" i="172"/>
  <c r="AH12" i="172"/>
  <c r="AH13" i="172"/>
  <c r="AH14" i="172"/>
  <c r="AH15" i="172"/>
  <c r="AH16" i="172"/>
  <c r="AH17" i="172"/>
  <c r="AH18" i="172"/>
  <c r="AH19" i="172"/>
  <c r="AH20" i="172"/>
  <c r="AH21" i="172"/>
  <c r="AH22" i="172"/>
  <c r="AH23" i="172"/>
  <c r="AH24" i="172"/>
  <c r="AH25" i="172"/>
  <c r="AH26" i="172"/>
  <c r="AH27" i="172"/>
  <c r="AH28" i="172"/>
  <c r="AH29" i="172"/>
  <c r="AH30" i="172"/>
  <c r="AH31" i="172"/>
  <c r="AH32" i="172"/>
  <c r="AH33" i="172"/>
  <c r="AH34" i="172"/>
  <c r="AH35" i="172"/>
  <c r="AH36" i="172"/>
  <c r="AH37" i="172"/>
  <c r="AH38" i="172"/>
  <c r="AH39" i="172"/>
  <c r="AH40" i="172"/>
  <c r="AH41" i="172"/>
  <c r="AH42" i="172"/>
  <c r="AH43" i="172"/>
  <c r="AH44" i="172"/>
  <c r="AH45" i="172"/>
  <c r="AH46" i="172"/>
  <c r="AH47" i="172"/>
  <c r="AH48" i="172"/>
  <c r="AH49" i="172"/>
  <c r="AH50" i="172"/>
  <c r="AH51" i="172"/>
  <c r="AH52" i="172"/>
  <c r="AH53" i="172"/>
  <c r="AH54" i="172"/>
  <c r="AH55" i="172"/>
  <c r="AH56" i="172"/>
  <c r="AH57" i="172"/>
  <c r="AH58" i="172"/>
  <c r="AH59" i="172"/>
  <c r="AH60" i="172"/>
  <c r="AH61" i="172"/>
  <c r="AH62" i="172"/>
  <c r="AH63" i="172"/>
  <c r="AH64" i="172"/>
  <c r="AH65" i="172"/>
  <c r="AH66" i="172"/>
  <c r="AH67" i="172"/>
  <c r="AH68" i="172"/>
  <c r="AH69" i="172"/>
  <c r="AH70" i="172"/>
  <c r="AH71" i="172"/>
  <c r="AH72" i="172"/>
  <c r="AH73" i="172"/>
  <c r="AH74" i="172"/>
  <c r="AH75" i="172"/>
  <c r="AH76" i="172"/>
  <c r="AH77" i="172"/>
  <c r="AH78" i="172"/>
  <c r="AH79" i="172"/>
  <c r="AH80" i="172"/>
  <c r="AH81" i="172"/>
  <c r="AH82" i="172"/>
  <c r="AH83" i="172"/>
  <c r="AH84" i="172"/>
  <c r="AH85" i="172"/>
  <c r="AH86" i="172"/>
  <c r="AH87" i="172"/>
  <c r="AH88" i="172"/>
  <c r="AH89" i="172"/>
  <c r="AH90" i="172"/>
  <c r="AH91" i="172"/>
  <c r="AH92" i="172"/>
  <c r="AH93" i="172"/>
  <c r="AH94" i="172"/>
  <c r="AH95" i="172"/>
  <c r="AH96" i="172"/>
  <c r="AH97" i="172"/>
  <c r="AH98" i="172"/>
  <c r="AH99" i="172"/>
  <c r="AH100" i="172"/>
  <c r="AH101" i="172"/>
  <c r="AH102" i="172"/>
  <c r="AH103" i="172"/>
  <c r="AH104" i="172"/>
  <c r="AH105" i="172"/>
  <c r="AH106" i="172"/>
  <c r="AH107" i="172"/>
  <c r="AH108" i="172"/>
  <c r="AH109" i="172"/>
  <c r="AH110" i="172"/>
  <c r="AH111" i="172"/>
  <c r="AH112" i="172"/>
  <c r="AH113" i="172"/>
  <c r="AH114" i="172"/>
  <c r="AH115" i="172"/>
  <c r="AH116" i="172"/>
  <c r="AH117" i="172"/>
  <c r="AH118" i="172"/>
  <c r="AH119" i="172"/>
  <c r="AH120" i="172"/>
  <c r="AH121" i="172"/>
  <c r="AH122" i="172"/>
  <c r="AH123" i="172"/>
  <c r="AH124" i="172"/>
  <c r="AH125" i="172"/>
  <c r="AH126" i="172"/>
  <c r="AH127" i="172"/>
  <c r="AH128" i="172"/>
  <c r="AH129" i="172"/>
  <c r="AH130" i="172"/>
  <c r="AH131" i="172"/>
  <c r="AH132" i="172"/>
  <c r="AH133" i="172"/>
  <c r="AH134" i="172"/>
  <c r="AH135" i="172"/>
  <c r="AH136" i="172"/>
  <c r="AH137" i="172"/>
  <c r="AH138" i="172"/>
  <c r="AH139" i="172"/>
  <c r="AH140" i="172"/>
  <c r="AH141" i="172"/>
  <c r="AH142" i="172"/>
  <c r="AH143" i="172"/>
  <c r="AH144" i="172"/>
  <c r="AH145" i="172"/>
  <c r="AH146" i="172"/>
  <c r="AH147" i="172"/>
  <c r="AH148" i="172"/>
  <c r="AH149" i="172"/>
  <c r="AH150" i="172"/>
  <c r="AH151" i="172"/>
  <c r="AH152" i="172"/>
  <c r="AH153" i="172"/>
  <c r="AH154" i="172"/>
  <c r="AH155" i="172"/>
  <c r="AH156" i="172"/>
  <c r="AH157" i="172"/>
  <c r="AH158" i="172"/>
  <c r="AH159" i="172"/>
  <c r="AH160" i="172"/>
  <c r="AH161" i="172"/>
  <c r="AH162" i="172"/>
  <c r="AH163" i="172"/>
  <c r="AH164" i="172"/>
  <c r="AH165" i="172"/>
  <c r="AH166" i="172"/>
  <c r="AH167" i="172"/>
  <c r="AH168" i="172"/>
  <c r="AH169" i="172"/>
  <c r="AH170" i="172"/>
  <c r="AH171" i="172"/>
  <c r="AH172" i="172"/>
  <c r="AH173" i="172"/>
  <c r="AH174" i="172"/>
  <c r="AH175" i="172"/>
  <c r="AH176" i="172"/>
  <c r="AH177" i="172"/>
  <c r="AH178" i="172"/>
  <c r="AH179" i="172"/>
  <c r="AH180" i="172"/>
  <c r="AH181" i="172"/>
  <c r="AH182" i="172"/>
  <c r="AH183" i="172"/>
  <c r="AH184" i="172"/>
  <c r="AH185" i="172"/>
  <c r="AH186" i="172"/>
  <c r="AH187" i="172"/>
  <c r="AH188" i="172"/>
  <c r="AH189" i="172"/>
  <c r="AH190" i="172"/>
  <c r="AH191" i="172"/>
  <c r="AH192" i="172"/>
  <c r="AH193" i="172"/>
  <c r="AH194" i="172"/>
  <c r="AH195" i="172"/>
  <c r="AH196" i="172"/>
  <c r="AH197" i="172"/>
  <c r="AH198" i="172"/>
  <c r="AH199" i="172"/>
  <c r="AH200" i="172"/>
  <c r="AH201" i="172"/>
  <c r="AH202" i="172"/>
  <c r="AH203" i="172"/>
  <c r="AH204" i="172"/>
  <c r="AH205" i="172"/>
  <c r="AH206" i="172"/>
  <c r="AH207" i="172"/>
  <c r="AH208" i="172"/>
  <c r="AH209" i="172"/>
  <c r="AH210" i="172"/>
  <c r="AH211" i="172"/>
  <c r="AH212" i="172"/>
  <c r="AH213" i="172"/>
  <c r="AH214" i="172"/>
  <c r="AH215" i="172"/>
  <c r="AH216" i="172"/>
  <c r="AH217" i="172"/>
  <c r="AH218" i="172"/>
  <c r="AH219" i="172"/>
  <c r="AH220" i="172"/>
  <c r="AH221" i="172"/>
  <c r="AH222" i="172"/>
  <c r="AH223" i="172"/>
  <c r="AH224" i="172"/>
  <c r="AH225" i="172"/>
  <c r="AH226" i="172"/>
  <c r="AH227" i="172"/>
  <c r="AH228" i="172"/>
  <c r="AH229" i="172"/>
  <c r="AH230" i="172"/>
  <c r="AH231" i="172"/>
  <c r="AH232" i="172"/>
  <c r="AH233" i="172"/>
  <c r="AH234" i="172"/>
  <c r="AH235" i="172"/>
  <c r="AH236" i="172"/>
  <c r="AH237" i="172"/>
  <c r="AH238" i="172"/>
  <c r="AH239" i="172"/>
  <c r="AH240" i="172"/>
  <c r="AH241" i="172"/>
  <c r="AH242" i="172"/>
  <c r="AH243" i="172"/>
  <c r="AH244" i="172"/>
  <c r="AH245" i="172"/>
  <c r="AH246" i="172"/>
  <c r="AH247" i="172"/>
  <c r="AH248" i="172"/>
  <c r="AH249" i="172"/>
  <c r="AH250" i="172"/>
  <c r="AH251" i="172"/>
  <c r="AH252" i="172"/>
  <c r="AH253" i="172"/>
  <c r="AH254" i="172"/>
  <c r="AH255" i="172"/>
  <c r="AH256" i="172"/>
  <c r="AH257" i="172"/>
  <c r="AH258" i="172"/>
  <c r="AH259" i="172"/>
  <c r="AH260" i="172"/>
  <c r="AH261" i="172"/>
  <c r="AH262" i="172"/>
  <c r="AH263" i="172"/>
  <c r="AH264" i="172"/>
  <c r="AH265" i="172"/>
  <c r="AH266" i="172"/>
  <c r="AH267" i="172"/>
  <c r="AH268" i="172"/>
  <c r="AH269" i="172"/>
  <c r="AH270" i="172"/>
  <c r="AH271" i="172"/>
  <c r="AH272" i="172"/>
  <c r="AH273" i="172"/>
  <c r="AH274" i="172"/>
  <c r="AH275" i="172"/>
  <c r="AH276" i="172"/>
  <c r="AH277" i="172"/>
  <c r="AH278" i="172"/>
  <c r="AH279" i="172"/>
  <c r="AH280" i="172"/>
  <c r="AH281" i="172"/>
  <c r="AH282" i="172"/>
  <c r="AH283" i="172"/>
  <c r="AH284" i="172"/>
  <c r="AH285" i="172"/>
  <c r="AH286" i="172"/>
  <c r="AH287" i="172"/>
  <c r="AH288" i="172"/>
  <c r="AH289" i="172"/>
  <c r="AH290" i="172"/>
  <c r="AH291" i="172"/>
  <c r="AH292" i="172"/>
  <c r="AH293" i="172"/>
  <c r="AH294" i="172"/>
  <c r="AH295" i="172"/>
  <c r="AH296" i="172"/>
  <c r="AH297" i="172"/>
  <c r="AH298" i="172"/>
  <c r="AH299" i="172"/>
  <c r="AH300" i="172"/>
  <c r="AH301" i="172"/>
  <c r="AH302" i="172"/>
  <c r="AH303" i="172"/>
  <c r="AH304" i="172"/>
  <c r="AH305" i="172"/>
  <c r="AH306" i="172"/>
  <c r="AH307" i="172"/>
  <c r="AH308" i="172"/>
  <c r="AH309" i="172"/>
  <c r="AH310" i="172"/>
  <c r="AH311" i="172"/>
  <c r="AH312" i="172"/>
  <c r="AH313" i="172"/>
  <c r="AH314" i="172"/>
  <c r="AH315" i="172"/>
  <c r="AH316" i="172"/>
  <c r="AH317" i="172"/>
  <c r="AH318" i="172"/>
  <c r="AH319" i="172"/>
  <c r="AH320" i="172"/>
  <c r="AH321" i="172"/>
  <c r="AH322" i="172"/>
  <c r="AH323" i="172"/>
  <c r="AH324" i="172"/>
  <c r="AH325" i="172"/>
  <c r="AH326" i="172"/>
  <c r="AH327" i="172"/>
  <c r="AH328" i="172"/>
  <c r="AH329" i="172"/>
  <c r="AH330" i="172"/>
  <c r="AH331" i="172"/>
  <c r="AH332" i="172"/>
  <c r="AH333" i="172"/>
  <c r="AH334" i="172"/>
  <c r="AH335" i="172"/>
  <c r="AH336" i="172"/>
  <c r="AH337" i="172"/>
  <c r="AH338" i="172"/>
  <c r="AH339" i="172"/>
  <c r="AH340" i="172"/>
  <c r="AH341" i="172"/>
  <c r="AH342" i="172"/>
  <c r="AH343" i="172"/>
  <c r="AH344" i="172"/>
  <c r="AH345" i="172"/>
  <c r="AH346" i="172"/>
  <c r="AH347" i="172"/>
  <c r="AH348" i="172"/>
  <c r="AH349" i="172"/>
  <c r="AH350" i="172"/>
  <c r="AH351" i="172"/>
  <c r="AH352" i="172"/>
  <c r="AH353" i="172"/>
  <c r="AH354" i="172"/>
  <c r="AH355" i="172"/>
  <c r="AH356" i="172"/>
  <c r="AH357" i="172"/>
  <c r="AH358" i="172"/>
  <c r="AH359" i="172"/>
  <c r="AH360" i="172"/>
  <c r="AH361" i="172"/>
  <c r="AH362" i="172"/>
  <c r="AH363" i="172"/>
  <c r="AH364" i="172"/>
  <c r="AH365" i="172"/>
  <c r="AH366" i="172"/>
  <c r="AH367" i="172"/>
  <c r="AH368" i="172"/>
  <c r="AH369" i="172"/>
  <c r="AH370" i="172"/>
  <c r="AH371" i="172"/>
  <c r="AH372" i="172"/>
  <c r="AH373" i="172"/>
  <c r="AH374" i="172"/>
  <c r="AH375" i="172"/>
  <c r="AH376" i="172"/>
  <c r="AH377" i="172"/>
  <c r="AH378" i="172"/>
  <c r="AH379" i="172"/>
  <c r="AH380" i="172"/>
  <c r="AH381" i="172"/>
  <c r="AH382" i="172"/>
  <c r="AH383" i="172"/>
  <c r="AH384" i="172"/>
  <c r="AH385" i="172"/>
  <c r="AH386" i="172"/>
  <c r="AH387" i="172"/>
  <c r="AH388" i="172"/>
  <c r="AH389" i="172"/>
  <c r="AH390" i="172"/>
  <c r="AH391" i="172"/>
  <c r="AH392" i="172"/>
  <c r="AH393" i="172"/>
  <c r="AH394" i="172"/>
  <c r="AH395" i="172"/>
  <c r="AH396" i="172"/>
  <c r="AH397" i="172"/>
  <c r="AH398" i="172"/>
  <c r="AH399" i="172"/>
  <c r="AH400" i="172"/>
  <c r="AH401" i="172"/>
  <c r="AH402" i="172"/>
  <c r="AH403" i="172"/>
  <c r="AH404" i="172"/>
  <c r="AH405" i="172"/>
  <c r="AH406" i="172"/>
  <c r="AH407" i="172"/>
  <c r="AH408" i="172"/>
  <c r="AH409" i="172"/>
  <c r="AH410" i="172"/>
  <c r="AH411" i="172"/>
  <c r="AH412" i="172"/>
  <c r="AH413" i="172"/>
  <c r="AH414" i="172"/>
  <c r="AH415" i="172"/>
  <c r="AH416" i="172"/>
  <c r="AH417" i="172"/>
  <c r="AH418" i="172"/>
  <c r="AH419" i="172"/>
  <c r="AH420" i="172"/>
  <c r="AH421" i="172"/>
  <c r="AH422" i="172"/>
  <c r="AH423" i="172"/>
  <c r="AH424" i="172"/>
  <c r="AH425" i="172"/>
  <c r="AH426" i="172"/>
  <c r="AH427" i="172"/>
  <c r="AH428" i="172"/>
  <c r="AH429" i="172"/>
  <c r="AH430" i="172"/>
  <c r="AH431" i="172"/>
  <c r="AH432" i="172"/>
  <c r="AH433" i="172"/>
  <c r="AH434" i="172"/>
  <c r="AH435" i="172"/>
  <c r="AH436" i="172"/>
  <c r="AH437" i="172"/>
  <c r="AH438" i="172"/>
  <c r="AH439" i="172"/>
  <c r="AH440" i="172"/>
  <c r="AH441" i="172"/>
  <c r="AH442" i="172"/>
  <c r="AH443" i="172"/>
  <c r="AH444" i="172"/>
  <c r="AH445" i="172"/>
  <c r="AH446" i="172"/>
  <c r="AH447" i="172"/>
  <c r="AH448" i="172"/>
  <c r="AH449" i="172"/>
  <c r="AH450" i="172"/>
  <c r="AH451" i="172"/>
  <c r="AH452" i="172"/>
  <c r="AH453" i="172"/>
  <c r="AH454" i="172"/>
  <c r="AH455" i="172"/>
  <c r="AH456" i="172"/>
  <c r="AH457" i="172"/>
  <c r="AH458" i="172"/>
  <c r="AH459" i="172"/>
  <c r="AH460" i="172"/>
  <c r="AH461" i="172"/>
  <c r="AH462" i="172"/>
  <c r="AH463" i="172"/>
  <c r="AH464" i="172"/>
  <c r="AH465" i="172"/>
  <c r="AH466" i="172"/>
  <c r="AH467" i="172"/>
  <c r="AH468" i="172"/>
  <c r="AH469" i="172"/>
  <c r="AH470" i="172"/>
  <c r="AH471" i="172"/>
  <c r="AH472" i="172"/>
  <c r="AH473" i="172"/>
  <c r="AH474" i="172"/>
  <c r="AH475" i="172"/>
  <c r="AH476" i="172"/>
  <c r="AH477" i="172"/>
  <c r="AH478" i="172"/>
  <c r="AH479" i="172"/>
  <c r="AH480" i="172"/>
  <c r="AH481" i="172"/>
  <c r="AH482" i="172"/>
  <c r="AH483" i="172"/>
  <c r="AH484" i="172"/>
  <c r="AH485" i="172"/>
  <c r="AH486" i="172"/>
  <c r="AH487" i="172"/>
  <c r="AH488" i="172"/>
  <c r="AH489" i="172"/>
  <c r="AH490" i="172"/>
  <c r="AH491" i="172"/>
  <c r="AH492" i="172"/>
  <c r="AH493" i="172"/>
  <c r="AH494" i="172"/>
  <c r="AH495" i="172"/>
  <c r="AH496" i="172"/>
  <c r="AH497" i="172"/>
  <c r="AH498" i="172"/>
  <c r="AH499" i="172"/>
  <c r="AH500" i="172"/>
  <c r="AH501" i="172"/>
  <c r="AH502" i="172"/>
  <c r="AH503" i="172"/>
  <c r="AH504" i="172"/>
  <c r="AH505" i="172"/>
  <c r="AH506" i="172"/>
  <c r="AH507" i="172"/>
  <c r="AH508" i="172"/>
  <c r="AH509" i="172"/>
  <c r="AH510" i="172"/>
  <c r="AH511" i="172"/>
  <c r="AH512" i="172"/>
  <c r="AH513" i="172"/>
  <c r="AH514" i="172"/>
  <c r="AH515" i="172"/>
  <c r="AH516" i="172"/>
  <c r="AH517" i="172"/>
  <c r="AH518" i="172"/>
  <c r="AH519" i="172"/>
  <c r="AH520" i="172"/>
  <c r="AH521" i="172"/>
  <c r="AH522" i="172"/>
  <c r="AH523" i="172"/>
  <c r="AH524" i="172"/>
  <c r="AH525" i="172"/>
  <c r="AH526" i="172"/>
  <c r="AH527" i="172"/>
  <c r="AH528" i="172"/>
  <c r="AH529" i="172"/>
  <c r="AH530" i="172"/>
  <c r="AH531" i="172"/>
  <c r="AH532" i="172"/>
  <c r="AH533" i="172"/>
  <c r="AH534" i="172"/>
  <c r="AH535" i="172"/>
  <c r="AH536" i="172"/>
  <c r="AH537" i="172"/>
  <c r="AH538" i="172"/>
  <c r="AH539" i="172"/>
  <c r="AH540" i="172"/>
  <c r="AH541" i="172"/>
  <c r="AH542" i="172"/>
  <c r="AH543" i="172"/>
  <c r="AH544" i="172"/>
  <c r="AH545" i="172"/>
  <c r="AH546" i="172"/>
  <c r="AH547" i="172"/>
  <c r="AH548" i="172"/>
  <c r="AH549" i="172"/>
  <c r="AH550" i="172"/>
  <c r="AH551" i="172"/>
  <c r="AH552" i="172"/>
  <c r="AH553" i="172"/>
  <c r="AH554" i="172"/>
  <c r="AH555" i="172"/>
  <c r="AH556" i="172"/>
  <c r="AH557" i="172"/>
  <c r="AH558" i="172"/>
  <c r="AH559" i="172"/>
  <c r="AH560" i="172"/>
  <c r="AH561" i="172"/>
  <c r="AH562" i="172"/>
  <c r="AH563" i="172"/>
  <c r="AH564" i="172"/>
  <c r="AH565" i="172"/>
  <c r="AH566" i="172"/>
  <c r="AH567" i="172"/>
  <c r="AH568" i="172"/>
  <c r="AH569" i="172"/>
  <c r="AH570" i="172"/>
  <c r="AH571" i="172"/>
  <c r="AH572" i="172"/>
  <c r="AH573" i="172"/>
  <c r="AH574" i="172"/>
  <c r="AH575" i="172"/>
  <c r="AH576" i="172"/>
  <c r="AH577" i="172"/>
  <c r="AH578" i="172"/>
  <c r="AH579" i="172"/>
  <c r="AH580" i="172"/>
  <c r="AH581" i="172"/>
  <c r="AH582" i="172"/>
  <c r="AH583" i="172"/>
  <c r="AH584" i="172"/>
  <c r="AH585" i="172"/>
  <c r="AH586" i="172"/>
  <c r="AH587" i="172"/>
  <c r="AH588" i="172"/>
  <c r="AH589" i="172"/>
  <c r="AH590" i="172"/>
  <c r="AH591" i="172"/>
  <c r="AH592" i="172"/>
  <c r="AH593" i="172"/>
  <c r="AH594" i="172"/>
  <c r="AH595" i="172"/>
  <c r="AH596" i="172"/>
  <c r="AH597" i="172"/>
  <c r="AH598" i="172"/>
  <c r="AH599" i="172"/>
  <c r="AH600" i="172"/>
  <c r="AH601" i="172"/>
  <c r="AH602" i="172"/>
  <c r="AH603" i="172"/>
  <c r="AH604" i="172"/>
  <c r="AH605" i="172"/>
  <c r="AH606" i="172"/>
  <c r="AH607" i="172"/>
  <c r="AH608" i="172"/>
  <c r="AH609" i="172"/>
  <c r="AH610" i="172"/>
  <c r="AH611" i="172"/>
  <c r="AH612" i="172"/>
  <c r="AH613" i="172"/>
  <c r="AH614" i="172"/>
  <c r="AH615" i="172"/>
  <c r="AH616" i="172"/>
  <c r="AH617" i="172"/>
  <c r="AH618" i="172"/>
  <c r="AH619" i="172"/>
  <c r="AH620" i="172"/>
  <c r="AH621" i="172"/>
  <c r="AH622" i="172"/>
  <c r="AH623" i="172"/>
  <c r="AH624" i="172"/>
  <c r="AH625" i="172"/>
  <c r="AH626" i="172"/>
  <c r="AH627" i="172"/>
  <c r="AH628" i="172"/>
  <c r="AH629" i="172"/>
  <c r="AH630" i="172"/>
  <c r="AH631" i="172"/>
  <c r="AH632" i="172"/>
  <c r="AH633" i="172"/>
  <c r="AH634" i="172"/>
  <c r="AH635" i="172"/>
  <c r="AH636" i="172"/>
  <c r="AH637" i="172"/>
  <c r="AH638" i="172"/>
  <c r="AH639" i="172"/>
  <c r="AH640" i="172"/>
  <c r="AH641" i="172"/>
  <c r="AH642" i="172"/>
  <c r="AH643" i="172"/>
  <c r="AH644" i="172"/>
  <c r="AH645" i="172"/>
  <c r="AH646" i="172"/>
  <c r="AH647" i="172"/>
  <c r="AH648" i="172"/>
  <c r="AH649" i="172"/>
  <c r="AH650" i="172"/>
  <c r="AH651" i="172"/>
  <c r="AH652" i="172"/>
  <c r="AH653" i="172"/>
  <c r="AH654" i="172"/>
  <c r="AH655" i="172"/>
  <c r="AH656" i="172"/>
  <c r="AH657" i="172"/>
  <c r="AH658" i="172"/>
  <c r="AH659" i="172"/>
  <c r="AH660" i="172"/>
  <c r="AH661" i="172"/>
  <c r="AH662" i="172"/>
  <c r="AH663" i="172"/>
  <c r="AH664" i="172"/>
  <c r="AH665" i="172"/>
  <c r="AH666" i="172"/>
  <c r="AH667" i="172"/>
  <c r="AH668" i="172"/>
  <c r="AH669" i="172"/>
  <c r="AH670" i="172"/>
  <c r="AH671" i="172"/>
  <c r="AH672" i="172"/>
  <c r="AH673" i="172"/>
  <c r="AH674" i="172"/>
  <c r="AH675" i="172"/>
  <c r="AH676" i="172"/>
  <c r="AH677" i="172"/>
  <c r="AH678" i="172"/>
  <c r="AH679" i="172"/>
  <c r="AH680" i="172"/>
  <c r="AH681" i="172"/>
  <c r="AH682" i="172"/>
  <c r="AH683" i="172"/>
  <c r="AH684" i="172"/>
  <c r="AH685" i="172"/>
  <c r="AH686" i="172"/>
  <c r="AH687" i="172"/>
  <c r="AH688" i="172"/>
  <c r="AH689" i="172"/>
  <c r="AH690" i="172"/>
  <c r="AH691" i="172"/>
  <c r="AH692" i="172"/>
  <c r="AH693" i="172"/>
  <c r="AH694" i="172"/>
  <c r="AH695" i="172"/>
  <c r="AH696" i="172"/>
  <c r="AH697" i="172"/>
  <c r="AH698" i="172"/>
  <c r="AH699" i="172"/>
  <c r="AH700" i="172"/>
  <c r="AH701" i="172"/>
  <c r="AH702" i="172"/>
  <c r="AH703" i="172"/>
  <c r="AH704" i="172"/>
  <c r="AH705" i="172"/>
  <c r="AH706" i="172"/>
  <c r="AH707" i="172"/>
  <c r="AH708" i="172"/>
  <c r="AH709" i="172"/>
  <c r="AH710" i="172"/>
  <c r="AH711" i="172"/>
  <c r="AH712" i="172"/>
  <c r="AH713" i="172"/>
  <c r="AH714" i="172"/>
  <c r="AH715" i="172"/>
  <c r="AH716" i="172"/>
  <c r="AH717" i="172"/>
  <c r="AH718" i="172"/>
  <c r="AH719" i="172"/>
  <c r="AH720" i="172"/>
  <c r="AH721" i="172"/>
  <c r="AH722" i="172"/>
  <c r="AH723" i="172"/>
  <c r="AH724" i="172"/>
  <c r="AH725" i="172"/>
  <c r="AH726" i="172"/>
  <c r="AH727" i="172"/>
  <c r="AH728" i="172"/>
  <c r="AH729" i="172"/>
  <c r="AH730" i="172"/>
  <c r="AH731" i="172"/>
  <c r="AH732" i="172"/>
  <c r="AH733" i="172"/>
  <c r="AH734" i="172"/>
  <c r="AH735" i="172"/>
  <c r="AH736" i="172"/>
  <c r="AH737" i="172"/>
  <c r="AH738" i="172"/>
  <c r="AH739" i="172"/>
  <c r="AH740" i="172"/>
  <c r="AH741" i="172"/>
  <c r="AH742" i="172"/>
  <c r="AH743" i="172"/>
  <c r="AH744" i="172"/>
  <c r="AH745" i="172"/>
  <c r="AH746" i="172"/>
  <c r="AH747" i="172"/>
  <c r="AH748" i="172"/>
  <c r="AH749" i="172"/>
  <c r="AH750" i="172"/>
  <c r="AH751" i="172"/>
  <c r="AH752" i="172"/>
  <c r="AH753" i="172"/>
  <c r="AH754" i="172"/>
  <c r="AH755" i="172"/>
  <c r="AH756" i="172"/>
  <c r="AH757" i="172"/>
  <c r="AH758" i="172"/>
  <c r="AH759" i="172"/>
  <c r="AH760" i="172"/>
  <c r="AH761" i="172"/>
  <c r="AH762" i="172"/>
  <c r="AH763" i="172"/>
  <c r="AH764" i="172"/>
  <c r="AH765" i="172"/>
  <c r="AH766" i="172"/>
  <c r="AH767" i="172"/>
  <c r="AH768" i="172"/>
  <c r="AH769" i="172"/>
  <c r="AH770" i="172"/>
  <c r="AH771" i="172"/>
  <c r="AH772" i="172"/>
  <c r="AH773" i="172"/>
  <c r="AH774" i="172"/>
  <c r="AH775" i="172"/>
  <c r="AH776" i="172"/>
  <c r="AH777" i="172"/>
  <c r="AH778" i="172"/>
  <c r="AH779" i="172"/>
  <c r="AH780" i="172"/>
  <c r="AH781" i="172"/>
  <c r="AH782" i="172"/>
  <c r="AH783" i="172"/>
  <c r="AH784" i="172"/>
  <c r="AH785" i="172"/>
  <c r="AH786" i="172"/>
  <c r="AH787" i="172"/>
  <c r="AH788" i="172"/>
  <c r="AH789" i="172"/>
  <c r="AH790" i="172"/>
  <c r="AH791" i="172"/>
  <c r="AH792" i="172"/>
  <c r="AH793" i="172"/>
  <c r="AH794" i="172"/>
  <c r="AH795" i="172"/>
  <c r="AH796" i="172"/>
  <c r="AH797" i="172"/>
  <c r="AH798" i="172"/>
  <c r="AH799" i="172"/>
  <c r="AH800" i="172"/>
  <c r="AH801" i="172"/>
  <c r="AH802" i="172"/>
  <c r="AH803" i="172"/>
  <c r="AH804" i="172"/>
  <c r="AH805" i="172"/>
  <c r="AH806" i="172"/>
  <c r="AH807" i="172"/>
  <c r="AH808" i="172"/>
  <c r="AH809" i="172"/>
  <c r="AH810" i="172"/>
  <c r="AH811" i="172"/>
  <c r="AH812" i="172"/>
  <c r="AH813" i="172"/>
  <c r="AH814" i="172"/>
  <c r="AH815" i="172"/>
  <c r="AH816" i="172"/>
  <c r="AH817" i="172"/>
  <c r="AH818" i="172"/>
  <c r="AH819" i="172"/>
  <c r="AH820" i="172"/>
  <c r="AH821" i="172"/>
  <c r="AH822" i="172"/>
  <c r="AH823" i="172"/>
  <c r="AH824" i="172"/>
  <c r="AH825" i="172"/>
  <c r="AH826" i="172"/>
  <c r="AH827" i="172"/>
  <c r="AH828" i="172"/>
  <c r="AH829" i="172"/>
  <c r="AH830" i="172"/>
  <c r="AH831" i="172"/>
  <c r="AH832" i="172"/>
  <c r="AH833" i="172"/>
  <c r="AH834" i="172"/>
  <c r="AH835" i="172"/>
  <c r="AH836" i="172"/>
  <c r="AH837" i="172"/>
  <c r="AH838" i="172"/>
  <c r="AH839" i="172"/>
  <c r="AH840" i="172"/>
  <c r="AH841" i="172"/>
  <c r="AH842" i="172"/>
  <c r="AH843" i="172"/>
  <c r="AH844" i="172"/>
  <c r="AH845" i="172"/>
  <c r="AH846" i="172"/>
  <c r="AH847" i="172"/>
  <c r="AH848" i="172"/>
  <c r="AH849" i="172"/>
  <c r="AH850" i="172"/>
  <c r="AH851" i="172"/>
  <c r="AH852" i="172"/>
  <c r="AH853" i="172"/>
  <c r="AH854" i="172"/>
  <c r="AH855" i="172"/>
  <c r="AH856" i="172"/>
  <c r="AH857" i="172"/>
  <c r="AH858" i="172"/>
  <c r="AH859" i="172"/>
  <c r="AH860" i="172"/>
  <c r="AH861" i="172"/>
  <c r="AH862" i="172"/>
  <c r="AH863" i="172"/>
  <c r="AH864" i="172"/>
  <c r="AH865" i="172"/>
  <c r="AH866" i="172"/>
  <c r="AH867" i="172"/>
  <c r="AH868" i="172"/>
  <c r="AH869" i="172"/>
  <c r="AH870" i="172"/>
  <c r="AH871" i="172"/>
  <c r="AH872" i="172"/>
  <c r="AH873" i="172"/>
  <c r="AH874" i="172"/>
  <c r="AH875" i="172"/>
  <c r="AH876" i="172"/>
  <c r="AH877" i="172"/>
  <c r="AH878" i="172"/>
  <c r="AH879" i="172"/>
  <c r="AH880" i="172"/>
  <c r="AH881" i="172"/>
  <c r="AH882" i="172"/>
  <c r="AH883" i="172"/>
  <c r="AH884" i="172"/>
  <c r="AH885" i="172"/>
  <c r="AH886" i="172"/>
  <c r="AH887" i="172"/>
  <c r="AH888" i="172"/>
  <c r="AH889" i="172"/>
  <c r="AH890" i="172"/>
  <c r="AH891" i="172"/>
  <c r="AH892" i="172"/>
  <c r="AH893" i="172"/>
  <c r="AH894" i="172"/>
  <c r="AH895" i="172"/>
  <c r="AH896" i="172"/>
  <c r="AH897" i="172"/>
  <c r="AH898" i="172"/>
  <c r="AH899" i="172"/>
  <c r="AH900" i="172"/>
  <c r="AH901" i="172"/>
  <c r="AH902" i="172"/>
  <c r="AH903" i="172"/>
  <c r="AH904" i="172"/>
  <c r="AH905" i="172"/>
  <c r="AH906" i="172"/>
  <c r="AH907" i="172"/>
  <c r="AH908" i="172"/>
  <c r="AH909" i="172"/>
  <c r="AH910" i="172"/>
  <c r="AH911" i="172"/>
  <c r="AH912" i="172"/>
  <c r="AH913" i="172"/>
  <c r="AH914" i="172"/>
  <c r="AH915" i="172"/>
  <c r="AH916" i="172"/>
  <c r="AH917" i="172"/>
  <c r="AH918" i="172"/>
  <c r="AH919" i="172"/>
  <c r="AH920" i="172"/>
  <c r="AH921" i="172"/>
  <c r="AH922" i="172"/>
  <c r="AH923" i="172"/>
  <c r="AH924" i="172"/>
  <c r="AH925" i="172"/>
  <c r="AH926" i="172"/>
  <c r="AH927" i="172"/>
  <c r="AH928" i="172"/>
  <c r="AH929" i="172"/>
  <c r="AH930" i="172"/>
  <c r="AH931" i="172"/>
  <c r="AH932" i="172"/>
  <c r="AH933" i="172"/>
  <c r="AH934" i="172"/>
  <c r="AH935" i="172"/>
  <c r="AH936" i="172"/>
  <c r="AH937" i="172"/>
  <c r="AH938" i="172"/>
  <c r="AH939" i="172"/>
  <c r="AH940" i="172"/>
  <c r="AH941" i="172"/>
  <c r="AH942" i="172"/>
  <c r="AH943" i="172"/>
  <c r="AH944" i="172"/>
  <c r="AH945" i="172"/>
  <c r="AH946" i="172"/>
  <c r="AH947" i="172"/>
  <c r="AH948" i="172"/>
  <c r="AH949" i="172"/>
  <c r="AH950" i="172"/>
  <c r="AH951" i="172"/>
  <c r="AH952" i="172"/>
  <c r="AH953" i="172"/>
  <c r="AH954" i="172"/>
  <c r="AH955" i="172"/>
  <c r="AH956" i="172"/>
  <c r="AH957" i="172"/>
  <c r="AH958" i="172"/>
  <c r="AH959" i="172"/>
  <c r="AH960" i="172"/>
  <c r="AH961" i="172"/>
  <c r="AH962" i="172"/>
  <c r="AH963" i="172"/>
  <c r="AH964" i="172"/>
  <c r="AH965" i="172"/>
  <c r="AH966" i="172"/>
  <c r="AH967" i="172"/>
  <c r="AH968" i="172"/>
  <c r="AH969" i="172"/>
  <c r="AH970" i="172"/>
  <c r="AH971" i="172"/>
  <c r="AH972" i="172"/>
  <c r="AH973" i="172"/>
  <c r="AH974" i="172"/>
  <c r="AH975" i="172"/>
  <c r="AH976" i="172"/>
  <c r="AH977" i="172"/>
  <c r="AH978" i="172"/>
  <c r="AH979" i="172"/>
  <c r="AH980" i="172"/>
  <c r="AH981" i="172"/>
  <c r="AH982" i="172"/>
  <c r="AH983" i="172"/>
  <c r="AH984" i="172"/>
  <c r="AH985" i="172"/>
  <c r="AH986" i="172"/>
  <c r="AH987" i="172"/>
  <c r="AH988" i="172"/>
  <c r="AH989" i="172"/>
  <c r="AH990" i="172"/>
  <c r="AH991" i="172"/>
  <c r="AH992" i="172"/>
  <c r="AH993" i="172"/>
  <c r="AH994" i="172"/>
  <c r="AH995" i="172"/>
  <c r="AH996" i="172"/>
  <c r="AH997" i="172"/>
  <c r="AH998" i="172"/>
  <c r="AH999" i="172"/>
  <c r="AH1000" i="172"/>
  <c r="Q56" i="171" l="1"/>
  <c r="R68" i="171" a="1"/>
  <c r="R68" i="171" s="1"/>
  <c r="S68" i="171" a="1"/>
  <c r="S68" i="171" s="1"/>
  <c r="R69" i="171" a="1"/>
  <c r="R69" i="171" s="1"/>
  <c r="S69" i="171" a="1"/>
  <c r="S69" i="171" s="1"/>
  <c r="R70" i="171" a="1"/>
  <c r="R70" i="171" s="1"/>
  <c r="S70" i="171" a="1"/>
  <c r="S70" i="171" s="1"/>
  <c r="R71" i="171" a="1"/>
  <c r="R71" i="171" s="1"/>
  <c r="S71" i="171" a="1"/>
  <c r="S71" i="171"/>
  <c r="R72" i="171" a="1"/>
  <c r="R72" i="171" s="1"/>
  <c r="S72" i="171" a="1"/>
  <c r="S72" i="171" s="1"/>
  <c r="R73" i="171" a="1"/>
  <c r="R73" i="171" s="1"/>
  <c r="S73" i="171" a="1"/>
  <c r="S73" i="171" s="1"/>
  <c r="R74" i="171" a="1"/>
  <c r="R74" i="171" s="1"/>
  <c r="S74" i="171" a="1"/>
  <c r="S74" i="171" s="1"/>
  <c r="R75" i="171" a="1"/>
  <c r="R75" i="171" s="1"/>
  <c r="S75" i="171" a="1"/>
  <c r="S75" i="171" s="1"/>
  <c r="R76" i="171" a="1"/>
  <c r="R76" i="171" s="1"/>
  <c r="S76" i="171" a="1"/>
  <c r="S76" i="171" s="1"/>
  <c r="R77" i="171" a="1"/>
  <c r="R77" i="171" s="1"/>
  <c r="S77" i="171" a="1"/>
  <c r="S77" i="171" s="1"/>
  <c r="R78" i="171" a="1"/>
  <c r="R78" i="171" s="1"/>
  <c r="S78" i="171" a="1"/>
  <c r="S78" i="171" s="1"/>
  <c r="R79" i="171" a="1"/>
  <c r="R79" i="171" s="1"/>
  <c r="S79" i="171" a="1"/>
  <c r="S79" i="171" s="1"/>
  <c r="R80" i="171" a="1"/>
  <c r="R80" i="171" s="1"/>
  <c r="S80" i="171" a="1"/>
  <c r="S80" i="171" s="1"/>
  <c r="R81" i="171" a="1"/>
  <c r="R81" i="171" s="1"/>
  <c r="S81" i="171" a="1"/>
  <c r="S81" i="171" s="1"/>
  <c r="R82" i="171" a="1"/>
  <c r="R82" i="171" s="1"/>
  <c r="S82" i="171" a="1"/>
  <c r="S82" i="171" s="1"/>
  <c r="R83" i="171" a="1"/>
  <c r="R83" i="171" s="1"/>
  <c r="S83" i="171" a="1"/>
  <c r="S83" i="171" s="1"/>
  <c r="R84" i="171" a="1"/>
  <c r="R84" i="171" s="1"/>
  <c r="S84" i="171" a="1"/>
  <c r="S84" i="171" s="1"/>
  <c r="R85" i="171" a="1"/>
  <c r="R85" i="171" s="1"/>
  <c r="S85" i="171" a="1"/>
  <c r="S85" i="171" s="1"/>
  <c r="R86" i="171" a="1"/>
  <c r="R86" i="171" s="1"/>
  <c r="S86" i="171" a="1"/>
  <c r="S86" i="171" s="1"/>
  <c r="R87" i="171" a="1"/>
  <c r="R87" i="171" s="1"/>
  <c r="S87" i="171" a="1"/>
  <c r="S87" i="171" s="1"/>
  <c r="R88" i="171" a="1"/>
  <c r="R88" i="171" s="1"/>
  <c r="S88" i="171" a="1"/>
  <c r="S88" i="171" s="1"/>
  <c r="R89" i="171" a="1"/>
  <c r="R89" i="171" s="1"/>
  <c r="S89" i="171" a="1"/>
  <c r="S89" i="171" s="1"/>
  <c r="R90" i="171" a="1"/>
  <c r="R90" i="171" s="1"/>
  <c r="S90" i="171" a="1"/>
  <c r="S90" i="171" s="1"/>
  <c r="R91" i="171" a="1"/>
  <c r="R91" i="171" s="1"/>
  <c r="S91" i="171" a="1"/>
  <c r="S91" i="171" s="1"/>
  <c r="R92" i="171" a="1"/>
  <c r="R92" i="171" s="1"/>
  <c r="S92" i="171" a="1"/>
  <c r="S92" i="171" s="1"/>
  <c r="R93" i="171" a="1"/>
  <c r="R93" i="171" s="1"/>
  <c r="S93" i="171" a="1"/>
  <c r="S93" i="171" s="1"/>
  <c r="R94" i="171" a="1"/>
  <c r="R94" i="171" s="1"/>
  <c r="S94" i="171" a="1"/>
  <c r="S94" i="171" s="1"/>
  <c r="R95" i="171" a="1"/>
  <c r="R95" i="171" s="1"/>
  <c r="S95" i="171" a="1"/>
  <c r="S95" i="171" s="1"/>
  <c r="R96" i="171" a="1"/>
  <c r="R96" i="171" s="1"/>
  <c r="S96" i="171" a="1"/>
  <c r="S96" i="171" s="1"/>
  <c r="R97" i="171" a="1"/>
  <c r="R97" i="171" s="1"/>
  <c r="S97" i="171" a="1"/>
  <c r="S97" i="171" s="1"/>
  <c r="R98" i="171" a="1"/>
  <c r="R98" i="171" s="1"/>
  <c r="S98" i="171" a="1"/>
  <c r="S98" i="171" s="1"/>
  <c r="R99" i="171" a="1"/>
  <c r="R99" i="171" s="1"/>
  <c r="S99" i="171" a="1"/>
  <c r="S99" i="171" s="1"/>
  <c r="R100" i="171" a="1"/>
  <c r="R100" i="171" s="1"/>
  <c r="S100" i="171" a="1"/>
  <c r="S100" i="171" s="1"/>
  <c r="R101" i="171" a="1"/>
  <c r="R101" i="171" s="1"/>
  <c r="S101" i="171" a="1"/>
  <c r="S101" i="171" s="1"/>
  <c r="R102" i="171" a="1"/>
  <c r="R102" i="171" s="1"/>
  <c r="S102" i="171" a="1"/>
  <c r="S102" i="171" s="1"/>
  <c r="R103" i="171" a="1"/>
  <c r="R103" i="171" s="1"/>
  <c r="S103" i="171" a="1"/>
  <c r="S103" i="171" s="1"/>
  <c r="R104" i="171" a="1"/>
  <c r="R104" i="171" s="1"/>
  <c r="S104" i="171" a="1"/>
  <c r="S104" i="171" s="1"/>
  <c r="R105" i="171" a="1"/>
  <c r="R105" i="171" s="1"/>
  <c r="S105" i="171" a="1"/>
  <c r="S105" i="171" s="1"/>
  <c r="R106" i="171" a="1"/>
  <c r="R106" i="171" s="1"/>
  <c r="S106" i="171" a="1"/>
  <c r="S106" i="171" s="1"/>
  <c r="R107" i="171" a="1"/>
  <c r="R107" i="171" s="1"/>
  <c r="S107" i="171" a="1"/>
  <c r="S107" i="171" s="1"/>
  <c r="R108" i="171" a="1"/>
  <c r="R108" i="171" s="1"/>
  <c r="S108" i="171" a="1"/>
  <c r="S108" i="171" s="1"/>
  <c r="R109" i="171" a="1"/>
  <c r="R109" i="171" s="1"/>
  <c r="S109" i="171" a="1"/>
  <c r="S109" i="171" s="1"/>
  <c r="R110" i="171" a="1"/>
  <c r="R110" i="171" s="1"/>
  <c r="S110" i="171" a="1"/>
  <c r="S110" i="171" s="1"/>
  <c r="R111" i="171" a="1"/>
  <c r="R111" i="171" s="1"/>
  <c r="S111" i="171" a="1"/>
  <c r="S111" i="171" s="1"/>
  <c r="R112" i="171" a="1"/>
  <c r="R112" i="171" s="1"/>
  <c r="S112" i="171" a="1"/>
  <c r="S112" i="171" s="1"/>
  <c r="R113" i="171" a="1"/>
  <c r="R113" i="171" s="1"/>
  <c r="S113" i="171" a="1"/>
  <c r="S113" i="171" s="1"/>
  <c r="R114" i="171" a="1"/>
  <c r="R114" i="171" s="1"/>
  <c r="S114" i="171" a="1"/>
  <c r="S114" i="171" s="1"/>
  <c r="R115" i="171" a="1"/>
  <c r="R115" i="171" s="1"/>
  <c r="S115" i="171" a="1"/>
  <c r="S115" i="171" s="1"/>
  <c r="R116" i="171" a="1"/>
  <c r="R116" i="171" s="1"/>
  <c r="S116" i="171" a="1"/>
  <c r="S116" i="171" s="1"/>
  <c r="R117" i="171" a="1"/>
  <c r="R117" i="171" s="1"/>
  <c r="S117" i="171" a="1"/>
  <c r="S117" i="171" s="1"/>
  <c r="R118" i="171" a="1"/>
  <c r="R118" i="171" s="1"/>
  <c r="S118" i="171" a="1"/>
  <c r="S118" i="171" s="1"/>
  <c r="R119" i="171" a="1"/>
  <c r="R119" i="171" s="1"/>
  <c r="S119" i="171" a="1"/>
  <c r="S119" i="171" s="1"/>
  <c r="R120" i="171" a="1"/>
  <c r="R120" i="171" s="1"/>
  <c r="S120" i="171" a="1"/>
  <c r="S120" i="171" s="1"/>
  <c r="R121" i="171" a="1"/>
  <c r="R121" i="171" s="1"/>
  <c r="S121" i="171" a="1"/>
  <c r="S121" i="171" s="1"/>
  <c r="R122" i="171" a="1"/>
  <c r="R122" i="171" s="1"/>
  <c r="S122" i="171" a="1"/>
  <c r="S122" i="171" s="1"/>
  <c r="R123" i="171" a="1"/>
  <c r="R123" i="171" s="1"/>
  <c r="S123" i="171" a="1"/>
  <c r="S123" i="171" s="1"/>
  <c r="R124" i="171" a="1"/>
  <c r="R124" i="171" s="1"/>
  <c r="S124" i="171" a="1"/>
  <c r="S124" i="171" s="1"/>
  <c r="R125" i="171" a="1"/>
  <c r="R125" i="171" s="1"/>
  <c r="S125" i="171" a="1"/>
  <c r="S125" i="171" s="1"/>
  <c r="R126" i="171" a="1"/>
  <c r="R126" i="171" s="1"/>
  <c r="S126" i="171" a="1"/>
  <c r="S126" i="171" s="1"/>
  <c r="R127" i="171" a="1"/>
  <c r="R127" i="171" s="1"/>
  <c r="S127" i="171" a="1"/>
  <c r="S127" i="171" s="1"/>
  <c r="R128" i="171" a="1"/>
  <c r="R128" i="171" s="1"/>
  <c r="S128" i="171" a="1"/>
  <c r="S128" i="171" s="1"/>
  <c r="R129" i="171" a="1"/>
  <c r="R129" i="171" s="1"/>
  <c r="S129" i="171" a="1"/>
  <c r="S129" i="171" s="1"/>
  <c r="R130" i="171" a="1"/>
  <c r="R130" i="171" s="1"/>
  <c r="S130" i="171" a="1"/>
  <c r="S130" i="171" s="1"/>
  <c r="R131" i="171" a="1"/>
  <c r="R131" i="171" s="1"/>
  <c r="S131" i="171" a="1"/>
  <c r="S131" i="171" s="1"/>
  <c r="R132" i="171" a="1"/>
  <c r="R132" i="171" s="1"/>
  <c r="S132" i="171" a="1"/>
  <c r="S132" i="171" s="1"/>
  <c r="R133" i="171" a="1"/>
  <c r="R133" i="171" s="1"/>
  <c r="S133" i="171" a="1"/>
  <c r="S133" i="171" s="1"/>
  <c r="R134" i="171" a="1"/>
  <c r="R134" i="171" s="1"/>
  <c r="S134" i="171" a="1"/>
  <c r="S134" i="171" s="1"/>
  <c r="R135" i="171" a="1"/>
  <c r="R135" i="171" s="1"/>
  <c r="S135" i="171" a="1"/>
  <c r="S135" i="171" s="1"/>
  <c r="R136" i="171" a="1"/>
  <c r="R136" i="171" s="1"/>
  <c r="S136" i="171" a="1"/>
  <c r="S136" i="171" s="1"/>
  <c r="R137" i="171" a="1"/>
  <c r="R137" i="171" s="1"/>
  <c r="S137" i="171" a="1"/>
  <c r="S137" i="171" s="1"/>
  <c r="R138" i="171" a="1"/>
  <c r="R138" i="171" s="1"/>
  <c r="S138" i="171" a="1"/>
  <c r="S138" i="171" s="1"/>
  <c r="R139" i="171" a="1"/>
  <c r="R139" i="171" s="1"/>
  <c r="S139" i="171" a="1"/>
  <c r="S139" i="171" s="1"/>
  <c r="R140" i="171" a="1"/>
  <c r="R140" i="171" s="1"/>
  <c r="S140" i="171" a="1"/>
  <c r="S140" i="171" s="1"/>
  <c r="R141" i="171" a="1"/>
  <c r="R141" i="171" s="1"/>
  <c r="S141" i="171" a="1"/>
  <c r="S141" i="171" s="1"/>
  <c r="R142" i="171" a="1"/>
  <c r="R142" i="171" s="1"/>
  <c r="S142" i="171" a="1"/>
  <c r="S142" i="171" s="1"/>
  <c r="R143" i="171" a="1"/>
  <c r="R143" i="171" s="1"/>
  <c r="S143" i="171" a="1"/>
  <c r="S143" i="171" s="1"/>
  <c r="R144" i="171" a="1"/>
  <c r="R144" i="171" s="1"/>
  <c r="S144" i="171" a="1"/>
  <c r="S144" i="171" s="1"/>
  <c r="R145" i="171" a="1"/>
  <c r="R145" i="171" s="1"/>
  <c r="S145" i="171" a="1"/>
  <c r="S145" i="171" s="1"/>
  <c r="R146" i="171" a="1"/>
  <c r="R146" i="171" s="1"/>
  <c r="S146" i="171" a="1"/>
  <c r="S146" i="171" s="1"/>
  <c r="R147" i="171" a="1"/>
  <c r="R147" i="171" s="1"/>
  <c r="S147" i="171" a="1"/>
  <c r="S147" i="171" s="1"/>
  <c r="R148" i="171" a="1"/>
  <c r="R148" i="171" s="1"/>
  <c r="S148" i="171" a="1"/>
  <c r="S148" i="171" s="1"/>
  <c r="R149" i="171" a="1"/>
  <c r="R149" i="171" s="1"/>
  <c r="S149" i="171" a="1"/>
  <c r="S149" i="171" s="1"/>
  <c r="R150" i="171" a="1"/>
  <c r="R150" i="171" s="1"/>
  <c r="S150" i="171" a="1"/>
  <c r="S150" i="171" s="1"/>
  <c r="R151" i="171" a="1"/>
  <c r="R151" i="171" s="1"/>
  <c r="S151" i="171" a="1"/>
  <c r="S151" i="171" s="1"/>
  <c r="R152" i="171" a="1"/>
  <c r="R152" i="171" s="1"/>
  <c r="S152" i="171" a="1"/>
  <c r="S152" i="171" s="1"/>
  <c r="R153" i="171" a="1"/>
  <c r="R153" i="171" s="1"/>
  <c r="S153" i="171" a="1"/>
  <c r="S153" i="171" s="1"/>
  <c r="R154" i="171" a="1"/>
  <c r="R154" i="171" s="1"/>
  <c r="S154" i="171" a="1"/>
  <c r="S154" i="171" s="1"/>
  <c r="R155" i="171" a="1"/>
  <c r="R155" i="171" s="1"/>
  <c r="S155" i="171" a="1"/>
  <c r="S155" i="171" s="1"/>
  <c r="R156" i="171" a="1"/>
  <c r="R156" i="171" s="1"/>
  <c r="S156" i="171" a="1"/>
  <c r="S156" i="171" s="1"/>
  <c r="R157" i="171" a="1"/>
  <c r="R157" i="171" s="1"/>
  <c r="S157" i="171" a="1"/>
  <c r="S157" i="171" s="1"/>
  <c r="R158" i="171" a="1"/>
  <c r="R158" i="171" s="1"/>
  <c r="S158" i="171" a="1"/>
  <c r="S158" i="171" s="1"/>
  <c r="R159" i="171" a="1"/>
  <c r="R159" i="171" s="1"/>
  <c r="S159" i="171" a="1"/>
  <c r="S159" i="171" s="1"/>
  <c r="R160" i="171" a="1"/>
  <c r="R160" i="171" s="1"/>
  <c r="S160" i="171" a="1"/>
  <c r="S160" i="171" s="1"/>
  <c r="R161" i="171" a="1"/>
  <c r="R161" i="171" s="1"/>
  <c r="S161" i="171" a="1"/>
  <c r="S161" i="171" s="1"/>
  <c r="R162" i="171" a="1"/>
  <c r="R162" i="171" s="1"/>
  <c r="S162" i="171" a="1"/>
  <c r="S162" i="171" s="1"/>
  <c r="R163" i="171" a="1"/>
  <c r="R163" i="171" s="1"/>
  <c r="S163" i="171" a="1"/>
  <c r="S163" i="171" s="1"/>
  <c r="R164" i="171" a="1"/>
  <c r="R164" i="171" s="1"/>
  <c r="S164" i="171" a="1"/>
  <c r="S164" i="171" s="1"/>
  <c r="R165" i="171" a="1"/>
  <c r="R165" i="171" s="1"/>
  <c r="S165" i="171" a="1"/>
  <c r="S165" i="171" s="1"/>
  <c r="R166" i="171" a="1"/>
  <c r="R166" i="171" s="1"/>
  <c r="S166" i="171" a="1"/>
  <c r="S166" i="171" s="1"/>
  <c r="R167" i="171" a="1"/>
  <c r="R167" i="171" s="1"/>
  <c r="S167" i="171" a="1"/>
  <c r="S167" i="171" s="1"/>
  <c r="R168" i="171" a="1"/>
  <c r="R168" i="171" s="1"/>
  <c r="S168" i="171" a="1"/>
  <c r="S168" i="171" s="1"/>
  <c r="R169" i="171" a="1"/>
  <c r="R169" i="171" s="1"/>
  <c r="S169" i="171" a="1"/>
  <c r="S169" i="171" s="1"/>
  <c r="R170" i="171" a="1"/>
  <c r="R170" i="171" s="1"/>
  <c r="S170" i="171" a="1"/>
  <c r="S170" i="171" s="1"/>
  <c r="R171" i="171" a="1"/>
  <c r="R171" i="171" s="1"/>
  <c r="S171" i="171" a="1"/>
  <c r="S171" i="171" s="1"/>
  <c r="R172" i="171" a="1"/>
  <c r="R172" i="171" s="1"/>
  <c r="S172" i="171" a="1"/>
  <c r="S172" i="171" s="1"/>
  <c r="R173" i="171" a="1"/>
  <c r="R173" i="171" s="1"/>
  <c r="S173" i="171" a="1"/>
  <c r="S173" i="171" s="1"/>
  <c r="R174" i="171" a="1"/>
  <c r="R174" i="171" s="1"/>
  <c r="S174" i="171" a="1"/>
  <c r="S174" i="171" s="1"/>
  <c r="R175" i="171" a="1"/>
  <c r="R175" i="171" s="1"/>
  <c r="S175" i="171" a="1"/>
  <c r="S175" i="171" s="1"/>
  <c r="R176" i="171" a="1"/>
  <c r="R176" i="171" s="1"/>
  <c r="S176" i="171" a="1"/>
  <c r="S176" i="171" s="1"/>
  <c r="R177" i="171" a="1"/>
  <c r="R177" i="171" s="1"/>
  <c r="S177" i="171" a="1"/>
  <c r="S177" i="171" s="1"/>
  <c r="R178" i="171" a="1"/>
  <c r="R178" i="171" s="1"/>
  <c r="S178" i="171" a="1"/>
  <c r="S178" i="171" s="1"/>
  <c r="R179" i="171" a="1"/>
  <c r="R179" i="171" s="1"/>
  <c r="S179" i="171" a="1"/>
  <c r="S179" i="171" s="1"/>
  <c r="R180" i="171" a="1"/>
  <c r="R180" i="171" s="1"/>
  <c r="S180" i="171" a="1"/>
  <c r="S180" i="171" s="1"/>
  <c r="R181" i="171" a="1"/>
  <c r="R181" i="171" s="1"/>
  <c r="S181" i="171" a="1"/>
  <c r="S181" i="171" s="1"/>
  <c r="R182" i="171" a="1"/>
  <c r="R182" i="171" s="1"/>
  <c r="S182" i="171" a="1"/>
  <c r="S182" i="171" s="1"/>
  <c r="R183" i="171" a="1"/>
  <c r="R183" i="171" s="1"/>
  <c r="S183" i="171" a="1"/>
  <c r="S183" i="171" s="1"/>
  <c r="R184" i="171" a="1"/>
  <c r="R184" i="171" s="1"/>
  <c r="S184" i="171" a="1"/>
  <c r="S184" i="171" s="1"/>
  <c r="R185" i="171" a="1"/>
  <c r="R185" i="171" s="1"/>
  <c r="S185" i="171" a="1"/>
  <c r="S185" i="171" s="1"/>
  <c r="R186" i="171" a="1"/>
  <c r="R186" i="171" s="1"/>
  <c r="S186" i="171" a="1"/>
  <c r="S186" i="171" s="1"/>
  <c r="R187" i="171" a="1"/>
  <c r="R187" i="171" s="1"/>
  <c r="S187" i="171" a="1"/>
  <c r="S187" i="171" s="1"/>
  <c r="R188" i="171" a="1"/>
  <c r="R188" i="171" s="1"/>
  <c r="S188" i="171" a="1"/>
  <c r="S188" i="171" s="1"/>
  <c r="R189" i="171" a="1"/>
  <c r="R189" i="171" s="1"/>
  <c r="S189" i="171" a="1"/>
  <c r="S189" i="171" s="1"/>
  <c r="R190" i="171" a="1"/>
  <c r="R190" i="171" s="1"/>
  <c r="S190" i="171" a="1"/>
  <c r="S190" i="171" s="1"/>
  <c r="R191" i="171" a="1"/>
  <c r="R191" i="171" s="1"/>
  <c r="S191" i="171" a="1"/>
  <c r="S191" i="171" s="1"/>
  <c r="R192" i="171" a="1"/>
  <c r="R192" i="171" s="1"/>
  <c r="S192" i="171" a="1"/>
  <c r="S192" i="171" s="1"/>
  <c r="R193" i="171" a="1"/>
  <c r="R193" i="171" s="1"/>
  <c r="S193" i="171" a="1"/>
  <c r="S193" i="171" s="1"/>
  <c r="R194" i="171" a="1"/>
  <c r="R194" i="171" s="1"/>
  <c r="S194" i="171" a="1"/>
  <c r="S194" i="171" s="1"/>
  <c r="R195" i="171" a="1"/>
  <c r="R195" i="171" s="1"/>
  <c r="S195" i="171" a="1"/>
  <c r="S195" i="171" s="1"/>
  <c r="R196" i="171" a="1"/>
  <c r="R196" i="171" s="1"/>
  <c r="S196" i="171" a="1"/>
  <c r="S196" i="171" s="1"/>
  <c r="R197" i="171" a="1"/>
  <c r="R197" i="171" s="1"/>
  <c r="S197" i="171" a="1"/>
  <c r="S197" i="171" s="1"/>
  <c r="R198" i="171" a="1"/>
  <c r="R198" i="171" s="1"/>
  <c r="S198" i="171" a="1"/>
  <c r="S198" i="171" s="1"/>
  <c r="R199" i="171" a="1"/>
  <c r="R199" i="171" s="1"/>
  <c r="S199" i="171" a="1"/>
  <c r="S199" i="171" s="1"/>
  <c r="R200" i="171" a="1"/>
  <c r="R200" i="171" s="1"/>
  <c r="S200" i="171" a="1"/>
  <c r="S200" i="171" s="1"/>
  <c r="R201" i="171" a="1"/>
  <c r="R201" i="171" s="1"/>
  <c r="S201" i="171" a="1"/>
  <c r="S201" i="171" s="1"/>
  <c r="R202" i="171" a="1"/>
  <c r="R202" i="171" s="1"/>
  <c r="S202" i="171" a="1"/>
  <c r="S202" i="171" s="1"/>
  <c r="R203" i="171" a="1"/>
  <c r="R203" i="171" s="1"/>
  <c r="S203" i="171" a="1"/>
  <c r="S203" i="171" s="1"/>
  <c r="R204" i="171" a="1"/>
  <c r="R204" i="171" s="1"/>
  <c r="S204" i="171" a="1"/>
  <c r="S204" i="171" s="1"/>
  <c r="R205" i="171" a="1"/>
  <c r="R205" i="171" s="1"/>
  <c r="S205" i="171" a="1"/>
  <c r="S205" i="171" s="1"/>
  <c r="R206" i="171" a="1"/>
  <c r="R206" i="171" s="1"/>
  <c r="S206" i="171" a="1"/>
  <c r="S206" i="171" s="1"/>
  <c r="R207" i="171" a="1"/>
  <c r="R207" i="171" s="1"/>
  <c r="S207" i="171" a="1"/>
  <c r="S207" i="171" s="1"/>
  <c r="R208" i="171" a="1"/>
  <c r="R208" i="171" s="1"/>
  <c r="S208" i="171" a="1"/>
  <c r="S208" i="171" s="1"/>
  <c r="R209" i="171" a="1"/>
  <c r="R209" i="171" s="1"/>
  <c r="S209" i="171" a="1"/>
  <c r="S209" i="171" s="1"/>
  <c r="R210" i="171" a="1"/>
  <c r="R210" i="171" s="1"/>
  <c r="S210" i="171" a="1"/>
  <c r="S210" i="171" s="1"/>
  <c r="R211" i="171" a="1"/>
  <c r="R211" i="171" s="1"/>
  <c r="S211" i="171" a="1"/>
  <c r="S211" i="171" s="1"/>
  <c r="R212" i="171" a="1"/>
  <c r="R212" i="171" s="1"/>
  <c r="S212" i="171" a="1"/>
  <c r="S212" i="171" s="1"/>
  <c r="R213" i="171" a="1"/>
  <c r="R213" i="171" s="1"/>
  <c r="S213" i="171" a="1"/>
  <c r="S213" i="171" s="1"/>
  <c r="R214" i="171" a="1"/>
  <c r="R214" i="171" s="1"/>
  <c r="S214" i="171" a="1"/>
  <c r="S214" i="171" s="1"/>
  <c r="R215" i="171" a="1"/>
  <c r="R215" i="171" s="1"/>
  <c r="S215" i="171" a="1"/>
  <c r="S215" i="171" s="1"/>
  <c r="R216" i="171" a="1"/>
  <c r="R216" i="171" s="1"/>
  <c r="S216" i="171" a="1"/>
  <c r="S216" i="171" s="1"/>
  <c r="R217" i="171" a="1"/>
  <c r="R217" i="171" s="1"/>
  <c r="S217" i="171" a="1"/>
  <c r="S217" i="171" s="1"/>
  <c r="R218" i="171" a="1"/>
  <c r="R218" i="171" s="1"/>
  <c r="S218" i="171" a="1"/>
  <c r="S218" i="171" s="1"/>
  <c r="R219" i="171" a="1"/>
  <c r="R219" i="171" s="1"/>
  <c r="S219" i="171" a="1"/>
  <c r="S219" i="171" s="1"/>
  <c r="R220" i="171" a="1"/>
  <c r="R220" i="171" s="1"/>
  <c r="S220" i="171" a="1"/>
  <c r="S220" i="171" s="1"/>
  <c r="R221" i="171" a="1"/>
  <c r="R221" i="171" s="1"/>
  <c r="S221" i="171" a="1"/>
  <c r="S221" i="171" s="1"/>
  <c r="R222" i="171" a="1"/>
  <c r="R222" i="171" s="1"/>
  <c r="S222" i="171" a="1"/>
  <c r="S222" i="171" s="1"/>
  <c r="R223" i="171" a="1"/>
  <c r="R223" i="171" s="1"/>
  <c r="S223" i="171" a="1"/>
  <c r="S223" i="171" s="1"/>
  <c r="R224" i="171" a="1"/>
  <c r="R224" i="171" s="1"/>
  <c r="S224" i="171" a="1"/>
  <c r="S224" i="171" s="1"/>
  <c r="R225" i="171" a="1"/>
  <c r="R225" i="171" s="1"/>
  <c r="S225" i="171" a="1"/>
  <c r="S225" i="171" s="1"/>
  <c r="R226" i="171" a="1"/>
  <c r="R226" i="171" s="1"/>
  <c r="S226" i="171" a="1"/>
  <c r="S226" i="171" s="1"/>
  <c r="R227" i="171" a="1"/>
  <c r="R227" i="171" s="1"/>
  <c r="S227" i="171" a="1"/>
  <c r="S227" i="171" s="1"/>
  <c r="R228" i="171" a="1"/>
  <c r="R228" i="171" s="1"/>
  <c r="S228" i="171" a="1"/>
  <c r="S228" i="171" s="1"/>
  <c r="R229" i="171" a="1"/>
  <c r="R229" i="171" s="1"/>
  <c r="S229" i="171" a="1"/>
  <c r="S229" i="171" s="1"/>
  <c r="R230" i="171" a="1"/>
  <c r="R230" i="171" s="1"/>
  <c r="S230" i="171" a="1"/>
  <c r="S230" i="171" s="1"/>
  <c r="R231" i="171" a="1"/>
  <c r="R231" i="171" s="1"/>
  <c r="S231" i="171" a="1"/>
  <c r="S231" i="171" s="1"/>
  <c r="R232" i="171" a="1"/>
  <c r="R232" i="171" s="1"/>
  <c r="S232" i="171" a="1"/>
  <c r="S232" i="171" s="1"/>
  <c r="R233" i="171" a="1"/>
  <c r="R233" i="171" s="1"/>
  <c r="S233" i="171" a="1"/>
  <c r="S233" i="171" s="1"/>
  <c r="R234" i="171" a="1"/>
  <c r="R234" i="171" s="1"/>
  <c r="S234" i="171" a="1"/>
  <c r="S234" i="171" s="1"/>
  <c r="R235" i="171" a="1"/>
  <c r="R235" i="171" s="1"/>
  <c r="S235" i="171" a="1"/>
  <c r="S235" i="171" s="1"/>
  <c r="R236" i="171" a="1"/>
  <c r="R236" i="171" s="1"/>
  <c r="S236" i="171" a="1"/>
  <c r="S236" i="171" s="1"/>
  <c r="R237" i="171" a="1"/>
  <c r="R237" i="171" s="1"/>
  <c r="S237" i="171" a="1"/>
  <c r="S237" i="171" s="1"/>
  <c r="R238" i="171" a="1"/>
  <c r="R238" i="171" s="1"/>
  <c r="S238" i="171" a="1"/>
  <c r="S238" i="171" s="1"/>
  <c r="R239" i="171" a="1"/>
  <c r="R239" i="171" s="1"/>
  <c r="S239" i="171" a="1"/>
  <c r="S239" i="171" s="1"/>
  <c r="R240" i="171" a="1"/>
  <c r="R240" i="171" s="1"/>
  <c r="S240" i="171" a="1"/>
  <c r="S240" i="171" s="1"/>
  <c r="R241" i="171" a="1"/>
  <c r="R241" i="171" s="1"/>
  <c r="S241" i="171" a="1"/>
  <c r="S241" i="171" s="1"/>
  <c r="R242" i="171" a="1"/>
  <c r="R242" i="171" s="1"/>
  <c r="S242" i="171" a="1"/>
  <c r="S242" i="171" s="1"/>
  <c r="R243" i="171" a="1"/>
  <c r="R243" i="171" s="1"/>
  <c r="S243" i="171" a="1"/>
  <c r="S243" i="171" s="1"/>
  <c r="R244" i="171" a="1"/>
  <c r="R244" i="171" s="1"/>
  <c r="S244" i="171" a="1"/>
  <c r="S244" i="171" s="1"/>
  <c r="R245" i="171" a="1"/>
  <c r="R245" i="171" s="1"/>
  <c r="S245" i="171" a="1"/>
  <c r="S245" i="171" s="1"/>
  <c r="R246" i="171" a="1"/>
  <c r="R246" i="171" s="1"/>
  <c r="S246" i="171" a="1"/>
  <c r="S246" i="171" s="1"/>
  <c r="R247" i="171" a="1"/>
  <c r="R247" i="171" s="1"/>
  <c r="S247" i="171" a="1"/>
  <c r="S247" i="171" s="1"/>
  <c r="R248" i="171" a="1"/>
  <c r="R248" i="171" s="1"/>
  <c r="S248" i="171" a="1"/>
  <c r="S248" i="171" s="1"/>
  <c r="R249" i="171" a="1"/>
  <c r="R249" i="171" s="1"/>
  <c r="S249" i="171" a="1"/>
  <c r="S249" i="171" s="1"/>
  <c r="R250" i="171" a="1"/>
  <c r="R250" i="171" s="1"/>
  <c r="S250" i="171" a="1"/>
  <c r="S250" i="171" s="1"/>
  <c r="R251" i="171" a="1"/>
  <c r="R251" i="171" s="1"/>
  <c r="S251" i="171" a="1"/>
  <c r="S251" i="171" s="1"/>
  <c r="R252" i="171" a="1"/>
  <c r="R252" i="171" s="1"/>
  <c r="S252" i="171" a="1"/>
  <c r="S252" i="171" s="1"/>
  <c r="R253" i="171" a="1"/>
  <c r="R253" i="171" s="1"/>
  <c r="S253" i="171" a="1"/>
  <c r="S253" i="171" s="1"/>
  <c r="R254" i="171" a="1"/>
  <c r="R254" i="171" s="1"/>
  <c r="S254" i="171" a="1"/>
  <c r="S254" i="171" s="1"/>
  <c r="R255" i="171" a="1"/>
  <c r="R255" i="171" s="1"/>
  <c r="S255" i="171" a="1"/>
  <c r="S255" i="171" s="1"/>
  <c r="R256" i="171" a="1"/>
  <c r="R256" i="171" s="1"/>
  <c r="S256" i="171" a="1"/>
  <c r="S256" i="171" s="1"/>
  <c r="R257" i="171" a="1"/>
  <c r="R257" i="171" s="1"/>
  <c r="S257" i="171" a="1"/>
  <c r="S257" i="171" s="1"/>
  <c r="R258" i="171" a="1"/>
  <c r="R258" i="171" s="1"/>
  <c r="S258" i="171" a="1"/>
  <c r="S258" i="171" s="1"/>
  <c r="R259" i="171" a="1"/>
  <c r="R259" i="171" s="1"/>
  <c r="S259" i="171" a="1"/>
  <c r="S259" i="171" s="1"/>
  <c r="R260" i="171" a="1"/>
  <c r="R260" i="171" s="1"/>
  <c r="S260" i="171" a="1"/>
  <c r="S260" i="171" s="1"/>
  <c r="R261" i="171" a="1"/>
  <c r="R261" i="171" s="1"/>
  <c r="S261" i="171" a="1"/>
  <c r="S261" i="171" s="1"/>
  <c r="R262" i="171" a="1"/>
  <c r="R262" i="171" s="1"/>
  <c r="S262" i="171" a="1"/>
  <c r="S262" i="171" s="1"/>
  <c r="R263" i="171" a="1"/>
  <c r="R263" i="171" s="1"/>
  <c r="S263" i="171" a="1"/>
  <c r="S263" i="171" s="1"/>
  <c r="R264" i="171" a="1"/>
  <c r="R264" i="171" s="1"/>
  <c r="S264" i="171" a="1"/>
  <c r="S264" i="171" s="1"/>
  <c r="R265" i="171" a="1"/>
  <c r="R265" i="171" s="1"/>
  <c r="S265" i="171" a="1"/>
  <c r="S265" i="171" s="1"/>
  <c r="R266" i="171" a="1"/>
  <c r="R266" i="171" s="1"/>
  <c r="S266" i="171" a="1"/>
  <c r="S266" i="171" s="1"/>
  <c r="R267" i="171" a="1"/>
  <c r="R267" i="171" s="1"/>
  <c r="S267" i="171" a="1"/>
  <c r="S267" i="171" s="1"/>
  <c r="R268" i="171" a="1"/>
  <c r="R268" i="171" s="1"/>
  <c r="S268" i="171" a="1"/>
  <c r="S268" i="171" s="1"/>
  <c r="R269" i="171" a="1"/>
  <c r="R269" i="171" s="1"/>
  <c r="S269" i="171" a="1"/>
  <c r="S269" i="171" s="1"/>
  <c r="R270" i="171" a="1"/>
  <c r="R270" i="171" s="1"/>
  <c r="S270" i="171" a="1"/>
  <c r="S270" i="171" s="1"/>
  <c r="R271" i="171" a="1"/>
  <c r="R271" i="171" s="1"/>
  <c r="S271" i="171" a="1"/>
  <c r="S271" i="171" s="1"/>
  <c r="R272" i="171" a="1"/>
  <c r="R272" i="171" s="1"/>
  <c r="S272" i="171" a="1"/>
  <c r="S272" i="171" s="1"/>
  <c r="R273" i="171" a="1"/>
  <c r="R273" i="171" s="1"/>
  <c r="S273" i="171" a="1"/>
  <c r="S273" i="171" s="1"/>
  <c r="R274" i="171" a="1"/>
  <c r="R274" i="171" s="1"/>
  <c r="S274" i="171" a="1"/>
  <c r="S274" i="171" s="1"/>
  <c r="R275" i="171" a="1"/>
  <c r="R275" i="171" s="1"/>
  <c r="S275" i="171" a="1"/>
  <c r="S275" i="171" s="1"/>
  <c r="R276" i="171" a="1"/>
  <c r="R276" i="171" s="1"/>
  <c r="S276" i="171" a="1"/>
  <c r="S276" i="171" s="1"/>
  <c r="R277" i="171" a="1"/>
  <c r="R277" i="171" s="1"/>
  <c r="S277" i="171" a="1"/>
  <c r="S277" i="171" s="1"/>
  <c r="R278" i="171" a="1"/>
  <c r="R278" i="171" s="1"/>
  <c r="S278" i="171" a="1"/>
  <c r="S278" i="171" s="1"/>
  <c r="R279" i="171" a="1"/>
  <c r="R279" i="171" s="1"/>
  <c r="S279" i="171" a="1"/>
  <c r="S279" i="171" s="1"/>
  <c r="R280" i="171" a="1"/>
  <c r="R280" i="171" s="1"/>
  <c r="S280" i="171" a="1"/>
  <c r="S280" i="171" s="1"/>
  <c r="R281" i="171" a="1"/>
  <c r="R281" i="171" s="1"/>
  <c r="S281" i="171" a="1"/>
  <c r="S281" i="171" s="1"/>
  <c r="R282" i="171" a="1"/>
  <c r="R282" i="171" s="1"/>
  <c r="S282" i="171" a="1"/>
  <c r="S282" i="171" s="1"/>
  <c r="R283" i="171" a="1"/>
  <c r="R283" i="171" s="1"/>
  <c r="S283" i="171" a="1"/>
  <c r="S283" i="171" s="1"/>
  <c r="R284" i="171" a="1"/>
  <c r="R284" i="171" s="1"/>
  <c r="S284" i="171" a="1"/>
  <c r="S284" i="171" s="1"/>
  <c r="R285" i="171" a="1"/>
  <c r="R285" i="171" s="1"/>
  <c r="S285" i="171" a="1"/>
  <c r="S285" i="171" s="1"/>
  <c r="R286" i="171" a="1"/>
  <c r="R286" i="171" s="1"/>
  <c r="S286" i="171" a="1"/>
  <c r="S286" i="171" s="1"/>
  <c r="R287" i="171" a="1"/>
  <c r="R287" i="171" s="1"/>
  <c r="S287" i="171" a="1"/>
  <c r="S287" i="171" s="1"/>
  <c r="R288" i="171" a="1"/>
  <c r="R288" i="171" s="1"/>
  <c r="S288" i="171" a="1"/>
  <c r="S288" i="171" s="1"/>
  <c r="R289" i="171" a="1"/>
  <c r="R289" i="171" s="1"/>
  <c r="S289" i="171" a="1"/>
  <c r="S289" i="171" s="1"/>
  <c r="R290" i="171" a="1"/>
  <c r="R290" i="171" s="1"/>
  <c r="S290" i="171" a="1"/>
  <c r="S290" i="171" s="1"/>
  <c r="R291" i="171" a="1"/>
  <c r="R291" i="171" s="1"/>
  <c r="S291" i="171" a="1"/>
  <c r="S291" i="171" s="1"/>
  <c r="R292" i="171" a="1"/>
  <c r="R292" i="171" s="1"/>
  <c r="S292" i="171" a="1"/>
  <c r="S292" i="171" s="1"/>
  <c r="R293" i="171" a="1"/>
  <c r="R293" i="171" s="1"/>
  <c r="S293" i="171" a="1"/>
  <c r="S293" i="171" s="1"/>
  <c r="R294" i="171" a="1"/>
  <c r="R294" i="171" s="1"/>
  <c r="S294" i="171" a="1"/>
  <c r="S294" i="171" s="1"/>
  <c r="R295" i="171" a="1"/>
  <c r="R295" i="171" s="1"/>
  <c r="S295" i="171" a="1"/>
  <c r="S295" i="171" s="1"/>
  <c r="R296" i="171" a="1"/>
  <c r="R296" i="171" s="1"/>
  <c r="S296" i="171" a="1"/>
  <c r="S296" i="171" s="1"/>
  <c r="R297" i="171" a="1"/>
  <c r="R297" i="171" s="1"/>
  <c r="S297" i="171" a="1"/>
  <c r="S297" i="171" s="1"/>
  <c r="R298" i="171" a="1"/>
  <c r="R298" i="171" s="1"/>
  <c r="S298" i="171" a="1"/>
  <c r="S298" i="171" s="1"/>
  <c r="R299" i="171" a="1"/>
  <c r="R299" i="171" s="1"/>
  <c r="S299" i="171" a="1"/>
  <c r="S299" i="171" s="1"/>
  <c r="R300" i="171" a="1"/>
  <c r="R300" i="171" s="1"/>
  <c r="S300" i="171" a="1"/>
  <c r="S300" i="171" s="1"/>
  <c r="R301" i="171" a="1"/>
  <c r="R301" i="171" s="1"/>
  <c r="S301" i="171" a="1"/>
  <c r="S301" i="171" s="1"/>
  <c r="R302" i="171" a="1"/>
  <c r="R302" i="171" s="1"/>
  <c r="S302" i="171" a="1"/>
  <c r="S302" i="171" s="1"/>
  <c r="R303" i="171" a="1"/>
  <c r="R303" i="171" s="1"/>
  <c r="S303" i="171" a="1"/>
  <c r="S303" i="171" s="1"/>
  <c r="R304" i="171" a="1"/>
  <c r="R304" i="171" s="1"/>
  <c r="S304" i="171" a="1"/>
  <c r="S304" i="171" s="1"/>
  <c r="R305" i="171" a="1"/>
  <c r="R305" i="171" s="1"/>
  <c r="S305" i="171" a="1"/>
  <c r="S305" i="171" s="1"/>
  <c r="R306" i="171" a="1"/>
  <c r="R306" i="171" s="1"/>
  <c r="S306" i="171" a="1"/>
  <c r="S306" i="171" s="1"/>
  <c r="R307" i="171" a="1"/>
  <c r="R307" i="171" s="1"/>
  <c r="S307" i="171" a="1"/>
  <c r="S307" i="171" s="1"/>
  <c r="R308" i="171" a="1"/>
  <c r="R308" i="171" s="1"/>
  <c r="S308" i="171" a="1"/>
  <c r="S308" i="171" s="1"/>
  <c r="R309" i="171" a="1"/>
  <c r="R309" i="171" s="1"/>
  <c r="S309" i="171" a="1"/>
  <c r="S309" i="171" s="1"/>
  <c r="R310" i="171" a="1"/>
  <c r="R310" i="171" s="1"/>
  <c r="S310" i="171" a="1"/>
  <c r="S310" i="171" s="1"/>
  <c r="R311" i="171" a="1"/>
  <c r="R311" i="171" s="1"/>
  <c r="S311" i="171" a="1"/>
  <c r="S311" i="171" s="1"/>
  <c r="R312" i="171" a="1"/>
  <c r="R312" i="171" s="1"/>
  <c r="S312" i="171" a="1"/>
  <c r="S312" i="171" s="1"/>
  <c r="R313" i="171" a="1"/>
  <c r="R313" i="171" s="1"/>
  <c r="S313" i="171" a="1"/>
  <c r="S313" i="171" s="1"/>
  <c r="R314" i="171" a="1"/>
  <c r="R314" i="171" s="1"/>
  <c r="S314" i="171" a="1"/>
  <c r="S314" i="171" s="1"/>
  <c r="R315" i="171" a="1"/>
  <c r="R315" i="171" s="1"/>
  <c r="S315" i="171" a="1"/>
  <c r="S315" i="171" s="1"/>
  <c r="R316" i="171" a="1"/>
  <c r="R316" i="171" s="1"/>
  <c r="S316" i="171" a="1"/>
  <c r="S316" i="171" s="1"/>
  <c r="R317" i="171" a="1"/>
  <c r="R317" i="171" s="1"/>
  <c r="S317" i="171" a="1"/>
  <c r="S317" i="171" s="1"/>
  <c r="R318" i="171" a="1"/>
  <c r="R318" i="171" s="1"/>
  <c r="S318" i="171" a="1"/>
  <c r="S318" i="171" s="1"/>
  <c r="R319" i="171" a="1"/>
  <c r="R319" i="171" s="1"/>
  <c r="S319" i="171" a="1"/>
  <c r="S319" i="171" s="1"/>
  <c r="R320" i="171" a="1"/>
  <c r="R320" i="171" s="1"/>
  <c r="S320" i="171" a="1"/>
  <c r="S320" i="171" s="1"/>
  <c r="R321" i="171" a="1"/>
  <c r="R321" i="171" s="1"/>
  <c r="S321" i="171" a="1"/>
  <c r="S321" i="171" s="1"/>
  <c r="R322" i="171" a="1"/>
  <c r="R322" i="171" s="1"/>
  <c r="S322" i="171" a="1"/>
  <c r="S322" i="171" s="1"/>
  <c r="R323" i="171" a="1"/>
  <c r="R323" i="171" s="1"/>
  <c r="S323" i="171" a="1"/>
  <c r="S323" i="171" s="1"/>
  <c r="R324" i="171" a="1"/>
  <c r="R324" i="171" s="1"/>
  <c r="S324" i="171" a="1"/>
  <c r="S324" i="171" s="1"/>
  <c r="R325" i="171" a="1"/>
  <c r="R325" i="171" s="1"/>
  <c r="S325" i="171" a="1"/>
  <c r="S325" i="171" s="1"/>
  <c r="R326" i="171" a="1"/>
  <c r="R326" i="171" s="1"/>
  <c r="S326" i="171" a="1"/>
  <c r="S326" i="171" s="1"/>
  <c r="R327" i="171" a="1"/>
  <c r="R327" i="171" s="1"/>
  <c r="S327" i="171" a="1"/>
  <c r="S327" i="171" s="1"/>
  <c r="R328" i="171" a="1"/>
  <c r="R328" i="171" s="1"/>
  <c r="S328" i="171" a="1"/>
  <c r="S328" i="171" s="1"/>
  <c r="R329" i="171" a="1"/>
  <c r="R329" i="171" s="1"/>
  <c r="S329" i="171" a="1"/>
  <c r="S329" i="171" s="1"/>
  <c r="R330" i="171" a="1"/>
  <c r="R330" i="171" s="1"/>
  <c r="S330" i="171" a="1"/>
  <c r="S330" i="171" s="1"/>
  <c r="R331" i="171" a="1"/>
  <c r="R331" i="171" s="1"/>
  <c r="S331" i="171" a="1"/>
  <c r="S331" i="171" s="1"/>
  <c r="R332" i="171" a="1"/>
  <c r="R332" i="171" s="1"/>
  <c r="S332" i="171" a="1"/>
  <c r="S332" i="171" s="1"/>
  <c r="R333" i="171" a="1"/>
  <c r="R333" i="171" s="1"/>
  <c r="S333" i="171" a="1"/>
  <c r="S333" i="171" s="1"/>
  <c r="R334" i="171" a="1"/>
  <c r="R334" i="171" s="1"/>
  <c r="S334" i="171" a="1"/>
  <c r="S334" i="171" s="1"/>
  <c r="R335" i="171" a="1"/>
  <c r="R335" i="171" s="1"/>
  <c r="S335" i="171" a="1"/>
  <c r="S335" i="171" s="1"/>
  <c r="R336" i="171" a="1"/>
  <c r="R336" i="171" s="1"/>
  <c r="S336" i="171" a="1"/>
  <c r="S336" i="171" s="1"/>
  <c r="R337" i="171" a="1"/>
  <c r="R337" i="171" s="1"/>
  <c r="S337" i="171" a="1"/>
  <c r="S337" i="171" s="1"/>
  <c r="R338" i="171" a="1"/>
  <c r="R338" i="171" s="1"/>
  <c r="S338" i="171" a="1"/>
  <c r="S338" i="171" s="1"/>
  <c r="R339" i="171" a="1"/>
  <c r="R339" i="171" s="1"/>
  <c r="S339" i="171" a="1"/>
  <c r="S339" i="171" s="1"/>
  <c r="R340" i="171" a="1"/>
  <c r="R340" i="171" s="1"/>
  <c r="S340" i="171" a="1"/>
  <c r="S340" i="171" s="1"/>
  <c r="R341" i="171" a="1"/>
  <c r="R341" i="171" s="1"/>
  <c r="S341" i="171" a="1"/>
  <c r="S341" i="171" s="1"/>
  <c r="R342" i="171" a="1"/>
  <c r="R342" i="171" s="1"/>
  <c r="S342" i="171" a="1"/>
  <c r="S342" i="171" s="1"/>
  <c r="R343" i="171" a="1"/>
  <c r="R343" i="171" s="1"/>
  <c r="S343" i="171" a="1"/>
  <c r="S343" i="171" s="1"/>
  <c r="R344" i="171" a="1"/>
  <c r="R344" i="171" s="1"/>
  <c r="S344" i="171" a="1"/>
  <c r="S344" i="171" s="1"/>
  <c r="R345" i="171" a="1"/>
  <c r="R345" i="171" s="1"/>
  <c r="S345" i="171" a="1"/>
  <c r="S345" i="171" s="1"/>
  <c r="R346" i="171" a="1"/>
  <c r="R346" i="171" s="1"/>
  <c r="S346" i="171" a="1"/>
  <c r="S346" i="171" s="1"/>
  <c r="R347" i="171" a="1"/>
  <c r="R347" i="171" s="1"/>
  <c r="S347" i="171" a="1"/>
  <c r="S347" i="171" s="1"/>
  <c r="R348" i="171" a="1"/>
  <c r="R348" i="171" s="1"/>
  <c r="S348" i="171" a="1"/>
  <c r="S348" i="171" s="1"/>
  <c r="R349" i="171" a="1"/>
  <c r="R349" i="171" s="1"/>
  <c r="S349" i="171" a="1"/>
  <c r="S349" i="171" s="1"/>
  <c r="R350" i="171" a="1"/>
  <c r="R350" i="171" s="1"/>
  <c r="S350" i="171" a="1"/>
  <c r="S350" i="171" s="1"/>
  <c r="R351" i="171" a="1"/>
  <c r="R351" i="171" s="1"/>
  <c r="S351" i="171" a="1"/>
  <c r="S351" i="171" s="1"/>
  <c r="R352" i="171" a="1"/>
  <c r="R352" i="171" s="1"/>
  <c r="S352" i="171" a="1"/>
  <c r="S352" i="171" s="1"/>
  <c r="R353" i="171" a="1"/>
  <c r="R353" i="171" s="1"/>
  <c r="S353" i="171" a="1"/>
  <c r="S353" i="171" s="1"/>
  <c r="R354" i="171" a="1"/>
  <c r="R354" i="171" s="1"/>
  <c r="S354" i="171" a="1"/>
  <c r="S354" i="171" s="1"/>
  <c r="R355" i="171" a="1"/>
  <c r="R355" i="171" s="1"/>
  <c r="S355" i="171" a="1"/>
  <c r="S355" i="171" s="1"/>
  <c r="R356" i="171" a="1"/>
  <c r="R356" i="171" s="1"/>
  <c r="S356" i="171" a="1"/>
  <c r="S356" i="171" s="1"/>
  <c r="R357" i="171" a="1"/>
  <c r="R357" i="171" s="1"/>
  <c r="S357" i="171" a="1"/>
  <c r="S357" i="171" s="1"/>
  <c r="R358" i="171" a="1"/>
  <c r="R358" i="171" s="1"/>
  <c r="S358" i="171" a="1"/>
  <c r="S358" i="171" s="1"/>
  <c r="R359" i="171" a="1"/>
  <c r="R359" i="171" s="1"/>
  <c r="S359" i="171" a="1"/>
  <c r="S359" i="171" s="1"/>
  <c r="R360" i="171" a="1"/>
  <c r="R360" i="171" s="1"/>
  <c r="S360" i="171" a="1"/>
  <c r="S360" i="171" s="1"/>
  <c r="R361" i="171" a="1"/>
  <c r="R361" i="171" s="1"/>
  <c r="S361" i="171" a="1"/>
  <c r="S361" i="171" s="1"/>
  <c r="R362" i="171" a="1"/>
  <c r="R362" i="171" s="1"/>
  <c r="S362" i="171" a="1"/>
  <c r="S362" i="171" s="1"/>
  <c r="R363" i="171" a="1"/>
  <c r="R363" i="171" s="1"/>
  <c r="S363" i="171" a="1"/>
  <c r="S363" i="171" s="1"/>
  <c r="R364" i="171" a="1"/>
  <c r="R364" i="171" s="1"/>
  <c r="S364" i="171" a="1"/>
  <c r="S364" i="171" s="1"/>
  <c r="R365" i="171" a="1"/>
  <c r="R365" i="171" s="1"/>
  <c r="S365" i="171" a="1"/>
  <c r="S365" i="171" s="1"/>
  <c r="R366" i="171" a="1"/>
  <c r="R366" i="171" s="1"/>
  <c r="S366" i="171" a="1"/>
  <c r="S366" i="171" s="1"/>
  <c r="R367" i="171" a="1"/>
  <c r="R367" i="171" s="1"/>
  <c r="S367" i="171" a="1"/>
  <c r="S367" i="171" s="1"/>
  <c r="R368" i="171" a="1"/>
  <c r="R368" i="171" s="1"/>
  <c r="S368" i="171" a="1"/>
  <c r="S368" i="171" s="1"/>
  <c r="R369" i="171" a="1"/>
  <c r="R369" i="171" s="1"/>
  <c r="S369" i="171" a="1"/>
  <c r="S369" i="171" s="1"/>
  <c r="R370" i="171" a="1"/>
  <c r="R370" i="171" s="1"/>
  <c r="S370" i="171" a="1"/>
  <c r="S370" i="171" s="1"/>
  <c r="R371" i="171" a="1"/>
  <c r="R371" i="171" s="1"/>
  <c r="S371" i="171" a="1"/>
  <c r="S371" i="171" s="1"/>
  <c r="R372" i="171" a="1"/>
  <c r="R372" i="171" s="1"/>
  <c r="S372" i="171" a="1"/>
  <c r="S372" i="171" s="1"/>
  <c r="R373" i="171" a="1"/>
  <c r="R373" i="171" s="1"/>
  <c r="S373" i="171" a="1"/>
  <c r="S373" i="171" s="1"/>
  <c r="R374" i="171" a="1"/>
  <c r="R374" i="171" s="1"/>
  <c r="S374" i="171" a="1"/>
  <c r="S374" i="171" s="1"/>
  <c r="R375" i="171" a="1"/>
  <c r="R375" i="171" s="1"/>
  <c r="S375" i="171" a="1"/>
  <c r="S375" i="171" s="1"/>
  <c r="R376" i="171" a="1"/>
  <c r="R376" i="171" s="1"/>
  <c r="S376" i="171" a="1"/>
  <c r="S376" i="171" s="1"/>
  <c r="R377" i="171" a="1"/>
  <c r="R377" i="171" s="1"/>
  <c r="S377" i="171" a="1"/>
  <c r="S377" i="171" s="1"/>
  <c r="R378" i="171" a="1"/>
  <c r="R378" i="171" s="1"/>
  <c r="S378" i="171" a="1"/>
  <c r="S378" i="171" s="1"/>
  <c r="R379" i="171" a="1"/>
  <c r="R379" i="171" s="1"/>
  <c r="S379" i="171" a="1"/>
  <c r="S379" i="171" s="1"/>
  <c r="R380" i="171" a="1"/>
  <c r="R380" i="171" s="1"/>
  <c r="S380" i="171" a="1"/>
  <c r="S380" i="171" s="1"/>
  <c r="R381" i="171" a="1"/>
  <c r="R381" i="171" s="1"/>
  <c r="S381" i="171" a="1"/>
  <c r="S381" i="171" s="1"/>
  <c r="R382" i="171" a="1"/>
  <c r="R382" i="171" s="1"/>
  <c r="S382" i="171" a="1"/>
  <c r="S382" i="171" s="1"/>
  <c r="R383" i="171" a="1"/>
  <c r="R383" i="171" s="1"/>
  <c r="S383" i="171" a="1"/>
  <c r="S383" i="171" s="1"/>
  <c r="R384" i="171" a="1"/>
  <c r="R384" i="171" s="1"/>
  <c r="S384" i="171" a="1"/>
  <c r="S384" i="171" s="1"/>
  <c r="R385" i="171" a="1"/>
  <c r="R385" i="171" s="1"/>
  <c r="S385" i="171" a="1"/>
  <c r="S385" i="171" s="1"/>
  <c r="R386" i="171" a="1"/>
  <c r="R386" i="171" s="1"/>
  <c r="S386" i="171" a="1"/>
  <c r="S386" i="171" s="1"/>
  <c r="R387" i="171" a="1"/>
  <c r="R387" i="171" s="1"/>
  <c r="S387" i="171" a="1"/>
  <c r="S387" i="171" s="1"/>
  <c r="R388" i="171" a="1"/>
  <c r="R388" i="171" s="1"/>
  <c r="S388" i="171" a="1"/>
  <c r="S388" i="171" s="1"/>
  <c r="R389" i="171" a="1"/>
  <c r="R389" i="171" s="1"/>
  <c r="S389" i="171" a="1"/>
  <c r="S389" i="171" s="1"/>
  <c r="R390" i="171" a="1"/>
  <c r="R390" i="171" s="1"/>
  <c r="S390" i="171" a="1"/>
  <c r="S390" i="171"/>
  <c r="R391" i="171" a="1"/>
  <c r="R391" i="171" s="1"/>
  <c r="S391" i="171" a="1"/>
  <c r="S391" i="171" s="1"/>
  <c r="R392" i="171" a="1"/>
  <c r="R392" i="171" s="1"/>
  <c r="S392" i="171" a="1"/>
  <c r="S392" i="171" s="1"/>
  <c r="R393" i="171" a="1"/>
  <c r="R393" i="171" s="1"/>
  <c r="S393" i="171" a="1"/>
  <c r="S393" i="171" s="1"/>
  <c r="R394" i="171" a="1"/>
  <c r="R394" i="171" s="1"/>
  <c r="S394" i="171" a="1"/>
  <c r="S394" i="171" s="1"/>
  <c r="R395" i="171" a="1"/>
  <c r="R395" i="171" s="1"/>
  <c r="S395" i="171" a="1"/>
  <c r="S395" i="171" s="1"/>
  <c r="R396" i="171" a="1"/>
  <c r="R396" i="171" s="1"/>
  <c r="S396" i="171" a="1"/>
  <c r="S396" i="171" s="1"/>
  <c r="R397" i="171" a="1"/>
  <c r="R397" i="171" s="1"/>
  <c r="S397" i="171" a="1"/>
  <c r="S397" i="171" s="1"/>
  <c r="R398" i="171" a="1"/>
  <c r="R398" i="171" s="1"/>
  <c r="S398" i="171" a="1"/>
  <c r="S398" i="171" s="1"/>
  <c r="R399" i="171" a="1"/>
  <c r="R399" i="171" s="1"/>
  <c r="S399" i="171" a="1"/>
  <c r="S399" i="171" s="1"/>
  <c r="R400" i="171" a="1"/>
  <c r="R400" i="171" s="1"/>
  <c r="S400" i="171" a="1"/>
  <c r="S400" i="171" s="1"/>
  <c r="R401" i="171" a="1"/>
  <c r="R401" i="171" s="1"/>
  <c r="S401" i="171" a="1"/>
  <c r="S401" i="171" s="1"/>
  <c r="R402" i="171" a="1"/>
  <c r="R402" i="171" s="1"/>
  <c r="S402" i="171" a="1"/>
  <c r="S402" i="171" s="1"/>
  <c r="R403" i="171" a="1"/>
  <c r="R403" i="171" s="1"/>
  <c r="S403" i="171" a="1"/>
  <c r="S403" i="171" s="1"/>
  <c r="R404" i="171" a="1"/>
  <c r="R404" i="171" s="1"/>
  <c r="S404" i="171" a="1"/>
  <c r="S404" i="171" s="1"/>
  <c r="R405" i="171" a="1"/>
  <c r="R405" i="171" s="1"/>
  <c r="S405" i="171" a="1"/>
  <c r="S405" i="171" s="1"/>
  <c r="R406" i="171" a="1"/>
  <c r="R406" i="171" s="1"/>
  <c r="S406" i="171" a="1"/>
  <c r="S406" i="171" s="1"/>
  <c r="R407" i="171" a="1"/>
  <c r="R407" i="171" s="1"/>
  <c r="S407" i="171" a="1"/>
  <c r="S407" i="171" s="1"/>
  <c r="R408" i="171" a="1"/>
  <c r="R408" i="171" s="1"/>
  <c r="S408" i="171" a="1"/>
  <c r="S408" i="171" s="1"/>
  <c r="R409" i="171" a="1"/>
  <c r="R409" i="171" s="1"/>
  <c r="S409" i="171" a="1"/>
  <c r="S409" i="171" s="1"/>
  <c r="R410" i="171" a="1"/>
  <c r="R410" i="171" s="1"/>
  <c r="S410" i="171" a="1"/>
  <c r="S410" i="171" s="1"/>
  <c r="R411" i="171" a="1"/>
  <c r="R411" i="171" s="1"/>
  <c r="S411" i="171" a="1"/>
  <c r="S411" i="171" s="1"/>
  <c r="R412" i="171" a="1"/>
  <c r="R412" i="171" s="1"/>
  <c r="S412" i="171" a="1"/>
  <c r="S412" i="171" s="1"/>
  <c r="R413" i="171" a="1"/>
  <c r="R413" i="171" s="1"/>
  <c r="S413" i="171" a="1"/>
  <c r="S413" i="171" s="1"/>
  <c r="R414" i="171" a="1"/>
  <c r="R414" i="171" s="1"/>
  <c r="S414" i="171" a="1"/>
  <c r="S414" i="171" s="1"/>
  <c r="R415" i="171" a="1"/>
  <c r="R415" i="171" s="1"/>
  <c r="S415" i="171" a="1"/>
  <c r="S415" i="171" s="1"/>
  <c r="R416" i="171" a="1"/>
  <c r="R416" i="171" s="1"/>
  <c r="S416" i="171" a="1"/>
  <c r="S416" i="171" s="1"/>
  <c r="R417" i="171" a="1"/>
  <c r="R417" i="171" s="1"/>
  <c r="S417" i="171" a="1"/>
  <c r="S417" i="171" s="1"/>
  <c r="R418" i="171" a="1"/>
  <c r="R418" i="171" s="1"/>
  <c r="S418" i="171" a="1"/>
  <c r="S418" i="171" s="1"/>
  <c r="R419" i="171" a="1"/>
  <c r="R419" i="171" s="1"/>
  <c r="S419" i="171" a="1"/>
  <c r="S419" i="171" s="1"/>
  <c r="R420" i="171" a="1"/>
  <c r="R420" i="171" s="1"/>
  <c r="S420" i="171" a="1"/>
  <c r="S420" i="171" s="1"/>
  <c r="R421" i="171" a="1"/>
  <c r="R421" i="171" s="1"/>
  <c r="S421" i="171" a="1"/>
  <c r="S421" i="171" s="1"/>
  <c r="R422" i="171" a="1"/>
  <c r="R422" i="171" s="1"/>
  <c r="S422" i="171" a="1"/>
  <c r="S422" i="171" s="1"/>
  <c r="R423" i="171" a="1"/>
  <c r="R423" i="171" s="1"/>
  <c r="S423" i="171" a="1"/>
  <c r="S423" i="171" s="1"/>
  <c r="R424" i="171" a="1"/>
  <c r="R424" i="171" s="1"/>
  <c r="S424" i="171" a="1"/>
  <c r="S424" i="171" s="1"/>
  <c r="R425" i="171" a="1"/>
  <c r="R425" i="171" s="1"/>
  <c r="S425" i="171" a="1"/>
  <c r="S425" i="171" s="1"/>
  <c r="R426" i="171" a="1"/>
  <c r="R426" i="171" s="1"/>
  <c r="S426" i="171" a="1"/>
  <c r="S426" i="171" s="1"/>
  <c r="R427" i="171" a="1"/>
  <c r="R427" i="171" s="1"/>
  <c r="S427" i="171" a="1"/>
  <c r="S427" i="171" s="1"/>
  <c r="R428" i="171" a="1"/>
  <c r="R428" i="171" s="1"/>
  <c r="S428" i="171" a="1"/>
  <c r="S428" i="171" s="1"/>
  <c r="R429" i="171" a="1"/>
  <c r="R429" i="171" s="1"/>
  <c r="S429" i="171" a="1"/>
  <c r="S429" i="171" s="1"/>
  <c r="R430" i="171" a="1"/>
  <c r="R430" i="171" s="1"/>
  <c r="S430" i="171" a="1"/>
  <c r="S430" i="171" s="1"/>
  <c r="R431" i="171" a="1"/>
  <c r="R431" i="171" s="1"/>
  <c r="S431" i="171" a="1"/>
  <c r="S431" i="171" s="1"/>
  <c r="R432" i="171" a="1"/>
  <c r="R432" i="171" s="1"/>
  <c r="S432" i="171" a="1"/>
  <c r="S432" i="171" s="1"/>
  <c r="R433" i="171" a="1"/>
  <c r="R433" i="171" s="1"/>
  <c r="S433" i="171" a="1"/>
  <c r="S433" i="171" s="1"/>
  <c r="R434" i="171" a="1"/>
  <c r="R434" i="171" s="1"/>
  <c r="S434" i="171" a="1"/>
  <c r="S434" i="171" s="1"/>
  <c r="R435" i="171" a="1"/>
  <c r="R435" i="171" s="1"/>
  <c r="S435" i="171" a="1"/>
  <c r="S435" i="171" s="1"/>
  <c r="R436" i="171" a="1"/>
  <c r="R436" i="171" s="1"/>
  <c r="S436" i="171" a="1"/>
  <c r="S436" i="171" s="1"/>
  <c r="R437" i="171" a="1"/>
  <c r="R437" i="171" s="1"/>
  <c r="S437" i="171" a="1"/>
  <c r="S437" i="171" s="1"/>
  <c r="R438" i="171" a="1"/>
  <c r="R438" i="171" s="1"/>
  <c r="S438" i="171" a="1"/>
  <c r="S438" i="171" s="1"/>
  <c r="R439" i="171" a="1"/>
  <c r="R439" i="171" s="1"/>
  <c r="S439" i="171" a="1"/>
  <c r="S439" i="171" s="1"/>
  <c r="R440" i="171" a="1"/>
  <c r="R440" i="171" s="1"/>
  <c r="S440" i="171" a="1"/>
  <c r="S440" i="171" s="1"/>
  <c r="R441" i="171" a="1"/>
  <c r="R441" i="171" s="1"/>
  <c r="S441" i="171" a="1"/>
  <c r="S441" i="171" s="1"/>
  <c r="R442" i="171" a="1"/>
  <c r="R442" i="171" s="1"/>
  <c r="S442" i="171" a="1"/>
  <c r="S442" i="171" s="1"/>
  <c r="R443" i="171" a="1"/>
  <c r="R443" i="171" s="1"/>
  <c r="S443" i="171" a="1"/>
  <c r="S443" i="171" s="1"/>
  <c r="R444" i="171" a="1"/>
  <c r="R444" i="171" s="1"/>
  <c r="S444" i="171" a="1"/>
  <c r="S444" i="171" s="1"/>
  <c r="R445" i="171" a="1"/>
  <c r="R445" i="171" s="1"/>
  <c r="S445" i="171" a="1"/>
  <c r="S445" i="171" s="1"/>
  <c r="R446" i="171" a="1"/>
  <c r="R446" i="171" s="1"/>
  <c r="S446" i="171" a="1"/>
  <c r="S446" i="171" s="1"/>
  <c r="R447" i="171" a="1"/>
  <c r="R447" i="171" s="1"/>
  <c r="S447" i="171" a="1"/>
  <c r="S447" i="171" s="1"/>
  <c r="R448" i="171" a="1"/>
  <c r="R448" i="171" s="1"/>
  <c r="S448" i="171" a="1"/>
  <c r="S448" i="171" s="1"/>
  <c r="R449" i="171" a="1"/>
  <c r="R449" i="171" s="1"/>
  <c r="S449" i="171" a="1"/>
  <c r="S449" i="171" s="1"/>
  <c r="R450" i="171" a="1"/>
  <c r="R450" i="171" s="1"/>
  <c r="S450" i="171" a="1"/>
  <c r="S450" i="171" s="1"/>
  <c r="R451" i="171" a="1"/>
  <c r="R451" i="171" s="1"/>
  <c r="S451" i="171" a="1"/>
  <c r="S451" i="171" s="1"/>
  <c r="R452" i="171" a="1"/>
  <c r="R452" i="171" s="1"/>
  <c r="S452" i="171" a="1"/>
  <c r="S452" i="171" s="1"/>
  <c r="R453" i="171" a="1"/>
  <c r="R453" i="171" s="1"/>
  <c r="S453" i="171" a="1"/>
  <c r="S453" i="171" s="1"/>
  <c r="R454" i="171" a="1"/>
  <c r="R454" i="171" s="1"/>
  <c r="S454" i="171" a="1"/>
  <c r="S454" i="171" s="1"/>
  <c r="R455" i="171" a="1"/>
  <c r="R455" i="171" s="1"/>
  <c r="S455" i="171" a="1"/>
  <c r="S455" i="171" s="1"/>
  <c r="R456" i="171" a="1"/>
  <c r="R456" i="171" s="1"/>
  <c r="S456" i="171" a="1"/>
  <c r="S456" i="171" s="1"/>
  <c r="R457" i="171" a="1"/>
  <c r="R457" i="171" s="1"/>
  <c r="S457" i="171" a="1"/>
  <c r="S457" i="171" s="1"/>
  <c r="R458" i="171" a="1"/>
  <c r="R458" i="171" s="1"/>
  <c r="S458" i="171" a="1"/>
  <c r="S458" i="171" s="1"/>
  <c r="R459" i="171" a="1"/>
  <c r="R459" i="171" s="1"/>
  <c r="S459" i="171" a="1"/>
  <c r="S459" i="171" s="1"/>
  <c r="R460" i="171" a="1"/>
  <c r="R460" i="171" s="1"/>
  <c r="S460" i="171" a="1"/>
  <c r="S460" i="171" s="1"/>
  <c r="R461" i="171" a="1"/>
  <c r="R461" i="171" s="1"/>
  <c r="S461" i="171" a="1"/>
  <c r="S461" i="171" s="1"/>
  <c r="R462" i="171" a="1"/>
  <c r="R462" i="171" s="1"/>
  <c r="S462" i="171" a="1"/>
  <c r="S462" i="171" s="1"/>
  <c r="R463" i="171" a="1"/>
  <c r="R463" i="171" s="1"/>
  <c r="S463" i="171" a="1"/>
  <c r="S463" i="171" s="1"/>
  <c r="R464" i="171" a="1"/>
  <c r="R464" i="171" s="1"/>
  <c r="S464" i="171" a="1"/>
  <c r="S464" i="171" s="1"/>
  <c r="R465" i="171" a="1"/>
  <c r="R465" i="171" s="1"/>
  <c r="S465" i="171" a="1"/>
  <c r="S465" i="171" s="1"/>
  <c r="R466" i="171" a="1"/>
  <c r="R466" i="171" s="1"/>
  <c r="S466" i="171" a="1"/>
  <c r="S466" i="171" s="1"/>
  <c r="R467" i="171" a="1"/>
  <c r="R467" i="171" s="1"/>
  <c r="S467" i="171" a="1"/>
  <c r="S467" i="171" s="1"/>
  <c r="R468" i="171" a="1"/>
  <c r="R468" i="171" s="1"/>
  <c r="S468" i="171" a="1"/>
  <c r="S468" i="171" s="1"/>
  <c r="R469" i="171" a="1"/>
  <c r="R469" i="171" s="1"/>
  <c r="S469" i="171" a="1"/>
  <c r="S469" i="171" s="1"/>
  <c r="R470" i="171" a="1"/>
  <c r="R470" i="171" s="1"/>
  <c r="S470" i="171" a="1"/>
  <c r="S470" i="171" s="1"/>
  <c r="R471" i="171" a="1"/>
  <c r="R471" i="171" s="1"/>
  <c r="S471" i="171" a="1"/>
  <c r="S471" i="171" s="1"/>
  <c r="R472" i="171" a="1"/>
  <c r="R472" i="171" s="1"/>
  <c r="S472" i="171" a="1"/>
  <c r="S472" i="171" s="1"/>
  <c r="R473" i="171" a="1"/>
  <c r="R473" i="171" s="1"/>
  <c r="S473" i="171" a="1"/>
  <c r="S473" i="171" s="1"/>
  <c r="R474" i="171" a="1"/>
  <c r="R474" i="171" s="1"/>
  <c r="S474" i="171" a="1"/>
  <c r="S474" i="171" s="1"/>
  <c r="R475" i="171" a="1"/>
  <c r="R475" i="171" s="1"/>
  <c r="S475" i="171" a="1"/>
  <c r="S475" i="171" s="1"/>
  <c r="R476" i="171" a="1"/>
  <c r="R476" i="171" s="1"/>
  <c r="S476" i="171" a="1"/>
  <c r="S476" i="171" s="1"/>
  <c r="R477" i="171" a="1"/>
  <c r="R477" i="171" s="1"/>
  <c r="S477" i="171" a="1"/>
  <c r="S477" i="171" s="1"/>
  <c r="R478" i="171" a="1"/>
  <c r="R478" i="171" s="1"/>
  <c r="S478" i="171" a="1"/>
  <c r="S478" i="171" s="1"/>
  <c r="R479" i="171" a="1"/>
  <c r="R479" i="171" s="1"/>
  <c r="S479" i="171" a="1"/>
  <c r="S479" i="171" s="1"/>
  <c r="R480" i="171" a="1"/>
  <c r="R480" i="171" s="1"/>
  <c r="S480" i="171" a="1"/>
  <c r="S480" i="171" s="1"/>
  <c r="R481" i="171" a="1"/>
  <c r="R481" i="171" s="1"/>
  <c r="S481" i="171" a="1"/>
  <c r="S481" i="171" s="1"/>
  <c r="R482" i="171" a="1"/>
  <c r="R482" i="171" s="1"/>
  <c r="S482" i="171" a="1"/>
  <c r="S482" i="171" s="1"/>
  <c r="R483" i="171" a="1"/>
  <c r="R483" i="171" s="1"/>
  <c r="S483" i="171" a="1"/>
  <c r="S483" i="171" s="1"/>
  <c r="R484" i="171" a="1"/>
  <c r="R484" i="171" s="1"/>
  <c r="S484" i="171" a="1"/>
  <c r="S484" i="171" s="1"/>
  <c r="R485" i="171" a="1"/>
  <c r="R485" i="171" s="1"/>
  <c r="S485" i="171" a="1"/>
  <c r="S485" i="171" s="1"/>
  <c r="R486" i="171" a="1"/>
  <c r="R486" i="171" s="1"/>
  <c r="S486" i="171" a="1"/>
  <c r="S486" i="171" s="1"/>
  <c r="R487" i="171" a="1"/>
  <c r="R487" i="171" s="1"/>
  <c r="S487" i="171" a="1"/>
  <c r="S487" i="171" s="1"/>
  <c r="R488" i="171" a="1"/>
  <c r="R488" i="171" s="1"/>
  <c r="S488" i="171" a="1"/>
  <c r="S488" i="171" s="1"/>
  <c r="R489" i="171" a="1"/>
  <c r="R489" i="171" s="1"/>
  <c r="S489" i="171" a="1"/>
  <c r="S489" i="171" s="1"/>
  <c r="R490" i="171" a="1"/>
  <c r="R490" i="171" s="1"/>
  <c r="S490" i="171" a="1"/>
  <c r="S490" i="171" s="1"/>
  <c r="R491" i="171" a="1"/>
  <c r="R491" i="171" s="1"/>
  <c r="S491" i="171" a="1"/>
  <c r="S491" i="171" s="1"/>
  <c r="R492" i="171" a="1"/>
  <c r="R492" i="171" s="1"/>
  <c r="S492" i="171" a="1"/>
  <c r="S492" i="171" s="1"/>
  <c r="R493" i="171" a="1"/>
  <c r="R493" i="171" s="1"/>
  <c r="S493" i="171" a="1"/>
  <c r="S493" i="171" s="1"/>
  <c r="R494" i="171" a="1"/>
  <c r="R494" i="171" s="1"/>
  <c r="S494" i="171" a="1"/>
  <c r="S494" i="171" s="1"/>
  <c r="R495" i="171" a="1"/>
  <c r="R495" i="171" s="1"/>
  <c r="S495" i="171" a="1"/>
  <c r="S495" i="171" s="1"/>
  <c r="R496" i="171" a="1"/>
  <c r="R496" i="171" s="1"/>
  <c r="S496" i="171" a="1"/>
  <c r="S496" i="171" s="1"/>
  <c r="R497" i="171" a="1"/>
  <c r="R497" i="171" s="1"/>
  <c r="S497" i="171" a="1"/>
  <c r="S497" i="171" s="1"/>
  <c r="R498" i="171" a="1"/>
  <c r="R498" i="171" s="1"/>
  <c r="S498" i="171" a="1"/>
  <c r="S498" i="171" s="1"/>
  <c r="R499" i="171" a="1"/>
  <c r="R499" i="171" s="1"/>
  <c r="S499" i="171" a="1"/>
  <c r="S499" i="171" s="1"/>
  <c r="R500" i="171" a="1"/>
  <c r="R500" i="171" s="1"/>
  <c r="S500" i="171" a="1"/>
  <c r="S500" i="171" s="1"/>
  <c r="R501" i="171" a="1"/>
  <c r="R501" i="171" s="1"/>
  <c r="S501" i="171" a="1"/>
  <c r="S501" i="171" s="1"/>
  <c r="R502" i="171" a="1"/>
  <c r="R502" i="171" s="1"/>
  <c r="S502" i="171" a="1"/>
  <c r="S502" i="171" s="1"/>
  <c r="R503" i="171" a="1"/>
  <c r="R503" i="171" s="1"/>
  <c r="S503" i="171" a="1"/>
  <c r="S503" i="171" s="1"/>
  <c r="R504" i="171" a="1"/>
  <c r="R504" i="171" s="1"/>
  <c r="S504" i="171" a="1"/>
  <c r="S504" i="171" s="1"/>
  <c r="R505" i="171" a="1"/>
  <c r="R505" i="171" s="1"/>
  <c r="S505" i="171" a="1"/>
  <c r="S505" i="171" s="1"/>
  <c r="R506" i="171" a="1"/>
  <c r="R506" i="171" s="1"/>
  <c r="S506" i="171" a="1"/>
  <c r="S506" i="171" s="1"/>
  <c r="R507" i="171" a="1"/>
  <c r="R507" i="171" s="1"/>
  <c r="S507" i="171" a="1"/>
  <c r="S507" i="171" s="1"/>
  <c r="R508" i="171" a="1"/>
  <c r="R508" i="171" s="1"/>
  <c r="S508" i="171" a="1"/>
  <c r="S508" i="171"/>
  <c r="R509" i="171" a="1"/>
  <c r="R509" i="171" s="1"/>
  <c r="S509" i="171" a="1"/>
  <c r="S509" i="171" s="1"/>
  <c r="R510" i="171" a="1"/>
  <c r="R510" i="171" s="1"/>
  <c r="S510" i="171" a="1"/>
  <c r="S510" i="171" s="1"/>
  <c r="R511" i="171" a="1"/>
  <c r="R511" i="171" s="1"/>
  <c r="S511" i="171" a="1"/>
  <c r="S511" i="171" s="1"/>
  <c r="R512" i="171" a="1"/>
  <c r="R512" i="171" s="1"/>
  <c r="S512" i="171" a="1"/>
  <c r="S512" i="171" s="1"/>
  <c r="R513" i="171" a="1"/>
  <c r="R513" i="171" s="1"/>
  <c r="S513" i="171" a="1"/>
  <c r="S513" i="171" s="1"/>
  <c r="R514" i="171" a="1"/>
  <c r="R514" i="171" s="1"/>
  <c r="S514" i="171" a="1"/>
  <c r="S514" i="171" s="1"/>
  <c r="R515" i="171" a="1"/>
  <c r="R515" i="171" s="1"/>
  <c r="S515" i="171" a="1"/>
  <c r="S515" i="171" s="1"/>
  <c r="R516" i="171" a="1"/>
  <c r="R516" i="171" s="1"/>
  <c r="S516" i="171" a="1"/>
  <c r="S516" i="171" s="1"/>
  <c r="R517" i="171" a="1"/>
  <c r="R517" i="171" s="1"/>
  <c r="S517" i="171" a="1"/>
  <c r="S517" i="171" s="1"/>
  <c r="R518" i="171" a="1"/>
  <c r="R518" i="171" s="1"/>
  <c r="S518" i="171" a="1"/>
  <c r="S518" i="171" s="1"/>
  <c r="R519" i="171" a="1"/>
  <c r="R519" i="171" s="1"/>
  <c r="S519" i="171" a="1"/>
  <c r="S519" i="171" s="1"/>
  <c r="R520" i="171" a="1"/>
  <c r="R520" i="171" s="1"/>
  <c r="S520" i="171" a="1"/>
  <c r="S520" i="171" s="1"/>
  <c r="R521" i="171" a="1"/>
  <c r="R521" i="171" s="1"/>
  <c r="S521" i="171" a="1"/>
  <c r="S521" i="171" s="1"/>
  <c r="R522" i="171" a="1"/>
  <c r="R522" i="171" s="1"/>
  <c r="S522" i="171" a="1"/>
  <c r="S522" i="171" s="1"/>
  <c r="R523" i="171" a="1"/>
  <c r="R523" i="171" s="1"/>
  <c r="S523" i="171" a="1"/>
  <c r="S523" i="171" s="1"/>
  <c r="R524" i="171" a="1"/>
  <c r="R524" i="171" s="1"/>
  <c r="S524" i="171" a="1"/>
  <c r="S524" i="171" s="1"/>
  <c r="R525" i="171" a="1"/>
  <c r="R525" i="171" s="1"/>
  <c r="S525" i="171" a="1"/>
  <c r="S525" i="171" s="1"/>
  <c r="R526" i="171" a="1"/>
  <c r="R526" i="171" s="1"/>
  <c r="S526" i="171" a="1"/>
  <c r="S526" i="171" s="1"/>
  <c r="R527" i="171" a="1"/>
  <c r="R527" i="171" s="1"/>
  <c r="S527" i="171" a="1"/>
  <c r="S527" i="171" s="1"/>
  <c r="R528" i="171" a="1"/>
  <c r="R528" i="171" s="1"/>
  <c r="S528" i="171" a="1"/>
  <c r="S528" i="171" s="1"/>
  <c r="R529" i="171" a="1"/>
  <c r="R529" i="171" s="1"/>
  <c r="S529" i="171" a="1"/>
  <c r="S529" i="171" s="1"/>
  <c r="R530" i="171" a="1"/>
  <c r="R530" i="171" s="1"/>
  <c r="S530" i="171" a="1"/>
  <c r="S530" i="171" s="1"/>
  <c r="R531" i="171" a="1"/>
  <c r="R531" i="171" s="1"/>
  <c r="S531" i="171" a="1"/>
  <c r="S531" i="171" s="1"/>
  <c r="R532" i="171" a="1"/>
  <c r="R532" i="171" s="1"/>
  <c r="S532" i="171" a="1"/>
  <c r="S532" i="171" s="1"/>
  <c r="R533" i="171" a="1"/>
  <c r="R533" i="171" s="1"/>
  <c r="S533" i="171" a="1"/>
  <c r="S533" i="171" s="1"/>
  <c r="R534" i="171" a="1"/>
  <c r="R534" i="171" s="1"/>
  <c r="S534" i="171" a="1"/>
  <c r="S534" i="171" s="1"/>
  <c r="R535" i="171" a="1"/>
  <c r="R535" i="171" s="1"/>
  <c r="S535" i="171" a="1"/>
  <c r="S535" i="171" s="1"/>
  <c r="R536" i="171" a="1"/>
  <c r="R536" i="171" s="1"/>
  <c r="S536" i="171" a="1"/>
  <c r="S536" i="171" s="1"/>
  <c r="R537" i="171" a="1"/>
  <c r="R537" i="171" s="1"/>
  <c r="S537" i="171" a="1"/>
  <c r="S537" i="171" s="1"/>
  <c r="R538" i="171" a="1"/>
  <c r="R538" i="171" s="1"/>
  <c r="S538" i="171" a="1"/>
  <c r="S538" i="171" s="1"/>
  <c r="R539" i="171" a="1"/>
  <c r="R539" i="171" s="1"/>
  <c r="S539" i="171" a="1"/>
  <c r="S539" i="171" s="1"/>
  <c r="R540" i="171" a="1"/>
  <c r="R540" i="171" s="1"/>
  <c r="S540" i="171" a="1"/>
  <c r="S540" i="171"/>
  <c r="R541" i="171" a="1"/>
  <c r="R541" i="171" s="1"/>
  <c r="S541" i="171" a="1"/>
  <c r="S541" i="171" s="1"/>
  <c r="R542" i="171" a="1"/>
  <c r="R542" i="171" s="1"/>
  <c r="S542" i="171" a="1"/>
  <c r="S542" i="171" s="1"/>
  <c r="R543" i="171" a="1"/>
  <c r="R543" i="171" s="1"/>
  <c r="S543" i="171" a="1"/>
  <c r="S543" i="171" s="1"/>
  <c r="R544" i="171" a="1"/>
  <c r="R544" i="171" s="1"/>
  <c r="S544" i="171" a="1"/>
  <c r="S544" i="171" s="1"/>
  <c r="R545" i="171" a="1"/>
  <c r="R545" i="171" s="1"/>
  <c r="S545" i="171" a="1"/>
  <c r="S545" i="171" s="1"/>
  <c r="R546" i="171" a="1"/>
  <c r="R546" i="171" s="1"/>
  <c r="S546" i="171" a="1"/>
  <c r="S546" i="171" s="1"/>
  <c r="R547" i="171" a="1"/>
  <c r="R547" i="171" s="1"/>
  <c r="S547" i="171" a="1"/>
  <c r="S547" i="171" s="1"/>
  <c r="R548" i="171" a="1"/>
  <c r="R548" i="171" s="1"/>
  <c r="S548" i="171" a="1"/>
  <c r="S548" i="171" s="1"/>
  <c r="R549" i="171" a="1"/>
  <c r="R549" i="171" s="1"/>
  <c r="S549" i="171" a="1"/>
  <c r="S549" i="171" s="1"/>
  <c r="R550" i="171" a="1"/>
  <c r="R550" i="171" s="1"/>
  <c r="S550" i="171" a="1"/>
  <c r="S550" i="171" s="1"/>
  <c r="R551" i="171" a="1"/>
  <c r="R551" i="171" s="1"/>
  <c r="S551" i="171" a="1"/>
  <c r="S551" i="171" s="1"/>
  <c r="R552" i="171" a="1"/>
  <c r="R552" i="171" s="1"/>
  <c r="S552" i="171" a="1"/>
  <c r="S552" i="171" s="1"/>
  <c r="R553" i="171" a="1"/>
  <c r="R553" i="171" s="1"/>
  <c r="S553" i="171" a="1"/>
  <c r="S553" i="171" s="1"/>
  <c r="R554" i="171" a="1"/>
  <c r="R554" i="171" s="1"/>
  <c r="S554" i="171" a="1"/>
  <c r="S554" i="171" s="1"/>
  <c r="R555" i="171" a="1"/>
  <c r="R555" i="171" s="1"/>
  <c r="S555" i="171" a="1"/>
  <c r="S555" i="171" s="1"/>
  <c r="R556" i="171" a="1"/>
  <c r="R556" i="171" s="1"/>
  <c r="S556" i="171" a="1"/>
  <c r="S556" i="171" s="1"/>
  <c r="R557" i="171" a="1"/>
  <c r="R557" i="171" s="1"/>
  <c r="S557" i="171" a="1"/>
  <c r="S557" i="171" s="1"/>
  <c r="R558" i="171" a="1"/>
  <c r="R558" i="171" s="1"/>
  <c r="S558" i="171" a="1"/>
  <c r="S558" i="171" s="1"/>
  <c r="R559" i="171" a="1"/>
  <c r="R559" i="171" s="1"/>
  <c r="S559" i="171" a="1"/>
  <c r="S559" i="171" s="1"/>
  <c r="R560" i="171" a="1"/>
  <c r="R560" i="171" s="1"/>
  <c r="S560" i="171" a="1"/>
  <c r="S560" i="171" s="1"/>
  <c r="R561" i="171" a="1"/>
  <c r="R561" i="171" s="1"/>
  <c r="S561" i="171" a="1"/>
  <c r="S561" i="171" s="1"/>
  <c r="R562" i="171" a="1"/>
  <c r="R562" i="171" s="1"/>
  <c r="S562" i="171" a="1"/>
  <c r="S562" i="171" s="1"/>
  <c r="R563" i="171" a="1"/>
  <c r="R563" i="171" s="1"/>
  <c r="S563" i="171" a="1"/>
  <c r="S563" i="171" s="1"/>
  <c r="R564" i="171" a="1"/>
  <c r="R564" i="171" s="1"/>
  <c r="S564" i="171" a="1"/>
  <c r="S564" i="171" s="1"/>
  <c r="R565" i="171" a="1"/>
  <c r="R565" i="171" s="1"/>
  <c r="S565" i="171" a="1"/>
  <c r="S565" i="171" s="1"/>
  <c r="R566" i="171" a="1"/>
  <c r="R566" i="171" s="1"/>
  <c r="S566" i="171" a="1"/>
  <c r="S566" i="171" s="1"/>
  <c r="R567" i="171" a="1"/>
  <c r="R567" i="171" s="1"/>
  <c r="S567" i="171" a="1"/>
  <c r="S567" i="171" s="1"/>
  <c r="R568" i="171" a="1"/>
  <c r="R568" i="171" s="1"/>
  <c r="S568" i="171" a="1"/>
  <c r="S568" i="171" s="1"/>
  <c r="R569" i="171" a="1"/>
  <c r="R569" i="171" s="1"/>
  <c r="S569" i="171" a="1"/>
  <c r="S569" i="171" s="1"/>
  <c r="R570" i="171" a="1"/>
  <c r="R570" i="171" s="1"/>
  <c r="S570" i="171" a="1"/>
  <c r="S570" i="171" s="1"/>
  <c r="R571" i="171" a="1"/>
  <c r="R571" i="171" s="1"/>
  <c r="S571" i="171" a="1"/>
  <c r="S571" i="171" s="1"/>
  <c r="R572" i="171" a="1"/>
  <c r="R572" i="171" s="1"/>
  <c r="S572" i="171" a="1"/>
  <c r="S572" i="171" s="1"/>
  <c r="R573" i="171" a="1"/>
  <c r="R573" i="171" s="1"/>
  <c r="S573" i="171" a="1"/>
  <c r="S573" i="171" s="1"/>
  <c r="R574" i="171" a="1"/>
  <c r="R574" i="171" s="1"/>
  <c r="S574" i="171" a="1"/>
  <c r="S574" i="171" s="1"/>
  <c r="R575" i="171" a="1"/>
  <c r="R575" i="171" s="1"/>
  <c r="S575" i="171" a="1"/>
  <c r="S575" i="171" s="1"/>
  <c r="R576" i="171" a="1"/>
  <c r="R576" i="171" s="1"/>
  <c r="S576" i="171" a="1"/>
  <c r="S576" i="171" s="1"/>
  <c r="R577" i="171" a="1"/>
  <c r="R577" i="171" s="1"/>
  <c r="S577" i="171" a="1"/>
  <c r="S577" i="171" s="1"/>
  <c r="R578" i="171" a="1"/>
  <c r="R578" i="171" s="1"/>
  <c r="S578" i="171" a="1"/>
  <c r="S578" i="171" s="1"/>
  <c r="R579" i="171" a="1"/>
  <c r="R579" i="171" s="1"/>
  <c r="S579" i="171" a="1"/>
  <c r="S579" i="171" s="1"/>
  <c r="R580" i="171" a="1"/>
  <c r="R580" i="171" s="1"/>
  <c r="S580" i="171" a="1"/>
  <c r="S580" i="171" s="1"/>
  <c r="R581" i="171" a="1"/>
  <c r="R581" i="171" s="1"/>
  <c r="S581" i="171" a="1"/>
  <c r="S581" i="171" s="1"/>
  <c r="R582" i="171" a="1"/>
  <c r="R582" i="171" s="1"/>
  <c r="S582" i="171" a="1"/>
  <c r="S582" i="171" s="1"/>
  <c r="R583" i="171" a="1"/>
  <c r="R583" i="171" s="1"/>
  <c r="S583" i="171" a="1"/>
  <c r="S583" i="171" s="1"/>
  <c r="R584" i="171" a="1"/>
  <c r="R584" i="171" s="1"/>
  <c r="S584" i="171" a="1"/>
  <c r="S584" i="171" s="1"/>
  <c r="R585" i="171" a="1"/>
  <c r="R585" i="171" s="1"/>
  <c r="S585" i="171" a="1"/>
  <c r="S585" i="171" s="1"/>
  <c r="R586" i="171" a="1"/>
  <c r="R586" i="171" s="1"/>
  <c r="S586" i="171" a="1"/>
  <c r="S586" i="171" s="1"/>
  <c r="R587" i="171" a="1"/>
  <c r="R587" i="171" s="1"/>
  <c r="S587" i="171" a="1"/>
  <c r="S587" i="171" s="1"/>
  <c r="R588" i="171" a="1"/>
  <c r="R588" i="171" s="1"/>
  <c r="S588" i="171" a="1"/>
  <c r="S588" i="171" s="1"/>
  <c r="R589" i="171" a="1"/>
  <c r="R589" i="171" s="1"/>
  <c r="S589" i="171" a="1"/>
  <c r="S589" i="171" s="1"/>
  <c r="R590" i="171" a="1"/>
  <c r="R590" i="171" s="1"/>
  <c r="S590" i="171" a="1"/>
  <c r="S590" i="171" s="1"/>
  <c r="R591" i="171" a="1"/>
  <c r="R591" i="171" s="1"/>
  <c r="S591" i="171" a="1"/>
  <c r="S591" i="171" s="1"/>
  <c r="R592" i="171" a="1"/>
  <c r="R592" i="171" s="1"/>
  <c r="S592" i="171" a="1"/>
  <c r="S592" i="171" s="1"/>
  <c r="R593" i="171" a="1"/>
  <c r="R593" i="171" s="1"/>
  <c r="S593" i="171" a="1"/>
  <c r="S593" i="171" s="1"/>
  <c r="R594" i="171" a="1"/>
  <c r="R594" i="171" s="1"/>
  <c r="S594" i="171" a="1"/>
  <c r="S594" i="171" s="1"/>
  <c r="R595" i="171" a="1"/>
  <c r="R595" i="171" s="1"/>
  <c r="S595" i="171" a="1"/>
  <c r="S595" i="171" s="1"/>
  <c r="R596" i="171" a="1"/>
  <c r="R596" i="171" s="1"/>
  <c r="S596" i="171" a="1"/>
  <c r="S596" i="171" s="1"/>
  <c r="R597" i="171" a="1"/>
  <c r="R597" i="171" s="1"/>
  <c r="S597" i="171" a="1"/>
  <c r="S597" i="171" s="1"/>
  <c r="R598" i="171" a="1"/>
  <c r="R598" i="171" s="1"/>
  <c r="S598" i="171" a="1"/>
  <c r="S598" i="171" s="1"/>
  <c r="R599" i="171" a="1"/>
  <c r="R599" i="171" s="1"/>
  <c r="S599" i="171" a="1"/>
  <c r="S599" i="171" s="1"/>
  <c r="R600" i="171" a="1"/>
  <c r="R600" i="171" s="1"/>
  <c r="S600" i="171" a="1"/>
  <c r="S600" i="171" s="1"/>
  <c r="R601" i="171" a="1"/>
  <c r="R601" i="171" s="1"/>
  <c r="S601" i="171" a="1"/>
  <c r="S601" i="171" s="1"/>
  <c r="R602" i="171" a="1"/>
  <c r="R602" i="171" s="1"/>
  <c r="S602" i="171" a="1"/>
  <c r="S602" i="171" s="1"/>
  <c r="R603" i="171" a="1"/>
  <c r="R603" i="171" s="1"/>
  <c r="S603" i="171" a="1"/>
  <c r="S603" i="171" s="1"/>
  <c r="R604" i="171" a="1"/>
  <c r="R604" i="171" s="1"/>
  <c r="S604" i="171" a="1"/>
  <c r="S604" i="171" s="1"/>
  <c r="R605" i="171" a="1"/>
  <c r="R605" i="171" s="1"/>
  <c r="S605" i="171" a="1"/>
  <c r="S605" i="171" s="1"/>
  <c r="R606" i="171" a="1"/>
  <c r="R606" i="171" s="1"/>
  <c r="S606" i="171" a="1"/>
  <c r="S606" i="171" s="1"/>
  <c r="R607" i="171" a="1"/>
  <c r="R607" i="171" s="1"/>
  <c r="S607" i="171" a="1"/>
  <c r="S607" i="171" s="1"/>
  <c r="R608" i="171" a="1"/>
  <c r="R608" i="171" s="1"/>
  <c r="S608" i="171" a="1"/>
  <c r="S608" i="171"/>
  <c r="R609" i="171" a="1"/>
  <c r="R609" i="171" s="1"/>
  <c r="S609" i="171" a="1"/>
  <c r="S609" i="171" s="1"/>
  <c r="R610" i="171" a="1"/>
  <c r="R610" i="171" s="1"/>
  <c r="S610" i="171" a="1"/>
  <c r="S610" i="171" s="1"/>
  <c r="R611" i="171" a="1"/>
  <c r="R611" i="171" s="1"/>
  <c r="S611" i="171" a="1"/>
  <c r="S611" i="171" s="1"/>
  <c r="R612" i="171" a="1"/>
  <c r="R612" i="171" s="1"/>
  <c r="S612" i="171" a="1"/>
  <c r="S612" i="171" s="1"/>
  <c r="R613" i="171" a="1"/>
  <c r="R613" i="171" s="1"/>
  <c r="S613" i="171" a="1"/>
  <c r="S613" i="171" s="1"/>
  <c r="R614" i="171" a="1"/>
  <c r="R614" i="171" s="1"/>
  <c r="S614" i="171" a="1"/>
  <c r="S614" i="171" s="1"/>
  <c r="R615" i="171" a="1"/>
  <c r="R615" i="171" s="1"/>
  <c r="S615" i="171" a="1"/>
  <c r="S615" i="171" s="1"/>
  <c r="R616" i="171" a="1"/>
  <c r="R616" i="171" s="1"/>
  <c r="S616" i="171" a="1"/>
  <c r="S616" i="171" s="1"/>
  <c r="R617" i="171" a="1"/>
  <c r="R617" i="171" s="1"/>
  <c r="S617" i="171" a="1"/>
  <c r="S617" i="171" s="1"/>
  <c r="R618" i="171" a="1"/>
  <c r="R618" i="171" s="1"/>
  <c r="S618" i="171" a="1"/>
  <c r="S618" i="171" s="1"/>
  <c r="R619" i="171" a="1"/>
  <c r="R619" i="171" s="1"/>
  <c r="S619" i="171" a="1"/>
  <c r="S619" i="171" s="1"/>
  <c r="R620" i="171" a="1"/>
  <c r="R620" i="171" s="1"/>
  <c r="S620" i="171" a="1"/>
  <c r="S620" i="171" s="1"/>
  <c r="R621" i="171" a="1"/>
  <c r="R621" i="171" s="1"/>
  <c r="S621" i="171" a="1"/>
  <c r="S621" i="171" s="1"/>
  <c r="R622" i="171" a="1"/>
  <c r="R622" i="171" s="1"/>
  <c r="S622" i="171" a="1"/>
  <c r="S622" i="171" s="1"/>
  <c r="R623" i="171" a="1"/>
  <c r="R623" i="171" s="1"/>
  <c r="S623" i="171" a="1"/>
  <c r="S623" i="171" s="1"/>
  <c r="R624" i="171" a="1"/>
  <c r="R624" i="171" s="1"/>
  <c r="S624" i="171" a="1"/>
  <c r="S624" i="171" s="1"/>
  <c r="R625" i="171" a="1"/>
  <c r="R625" i="171" s="1"/>
  <c r="S625" i="171" a="1"/>
  <c r="S625" i="171" s="1"/>
  <c r="R626" i="171" a="1"/>
  <c r="R626" i="171" s="1"/>
  <c r="S626" i="171" a="1"/>
  <c r="S626" i="171" s="1"/>
  <c r="R627" i="171" a="1"/>
  <c r="R627" i="171" s="1"/>
  <c r="S627" i="171" a="1"/>
  <c r="S627" i="171" s="1"/>
  <c r="R628" i="171" a="1"/>
  <c r="R628" i="171" s="1"/>
  <c r="S628" i="171" a="1"/>
  <c r="S628" i="171" s="1"/>
  <c r="R629" i="171" a="1"/>
  <c r="R629" i="171" s="1"/>
  <c r="S629" i="171" a="1"/>
  <c r="S629" i="171" s="1"/>
  <c r="R630" i="171" a="1"/>
  <c r="R630" i="171" s="1"/>
  <c r="S630" i="171" a="1"/>
  <c r="S630" i="171" s="1"/>
  <c r="R631" i="171" a="1"/>
  <c r="R631" i="171" s="1"/>
  <c r="S631" i="171" a="1"/>
  <c r="S631" i="171" s="1"/>
  <c r="R632" i="171" a="1"/>
  <c r="R632" i="171" s="1"/>
  <c r="S632" i="171" a="1"/>
  <c r="S632" i="171" s="1"/>
  <c r="R633" i="171" a="1"/>
  <c r="R633" i="171" s="1"/>
  <c r="S633" i="171" a="1"/>
  <c r="S633" i="171" s="1"/>
  <c r="R634" i="171" a="1"/>
  <c r="R634" i="171" s="1"/>
  <c r="S634" i="171" a="1"/>
  <c r="S634" i="171" s="1"/>
  <c r="R635" i="171" a="1"/>
  <c r="R635" i="171" s="1"/>
  <c r="S635" i="171" a="1"/>
  <c r="S635" i="171" s="1"/>
  <c r="R636" i="171" a="1"/>
  <c r="R636" i="171" s="1"/>
  <c r="S636" i="171" a="1"/>
  <c r="S636" i="171" s="1"/>
  <c r="R637" i="171" a="1"/>
  <c r="R637" i="171" s="1"/>
  <c r="S637" i="171" a="1"/>
  <c r="S637" i="171" s="1"/>
  <c r="R638" i="171" a="1"/>
  <c r="R638" i="171" s="1"/>
  <c r="S638" i="171" a="1"/>
  <c r="S638" i="171" s="1"/>
  <c r="R639" i="171" a="1"/>
  <c r="R639" i="171" s="1"/>
  <c r="S639" i="171" a="1"/>
  <c r="S639" i="171" s="1"/>
  <c r="R640" i="171" a="1"/>
  <c r="R640" i="171" s="1"/>
  <c r="S640" i="171" a="1"/>
  <c r="S640" i="171" s="1"/>
  <c r="R641" i="171" a="1"/>
  <c r="R641" i="171" s="1"/>
  <c r="S641" i="171" a="1"/>
  <c r="S641" i="171" s="1"/>
  <c r="R642" i="171" a="1"/>
  <c r="R642" i="171" s="1"/>
  <c r="S642" i="171" a="1"/>
  <c r="S642" i="171" s="1"/>
  <c r="R643" i="171" a="1"/>
  <c r="R643" i="171" s="1"/>
  <c r="S643" i="171" a="1"/>
  <c r="S643" i="171" s="1"/>
  <c r="R644" i="171" a="1"/>
  <c r="R644" i="171" s="1"/>
  <c r="S644" i="171" a="1"/>
  <c r="S644" i="171" s="1"/>
  <c r="R645" i="171" a="1"/>
  <c r="R645" i="171" s="1"/>
  <c r="S645" i="171" a="1"/>
  <c r="S645" i="171" s="1"/>
  <c r="R646" i="171" a="1"/>
  <c r="R646" i="171" s="1"/>
  <c r="S646" i="171" a="1"/>
  <c r="S646" i="171" s="1"/>
  <c r="R647" i="171" a="1"/>
  <c r="R647" i="171" s="1"/>
  <c r="S647" i="171" a="1"/>
  <c r="S647" i="171" s="1"/>
  <c r="R648" i="171" a="1"/>
  <c r="R648" i="171" s="1"/>
  <c r="S648" i="171" a="1"/>
  <c r="S648" i="171" s="1"/>
  <c r="R649" i="171" a="1"/>
  <c r="R649" i="171" s="1"/>
  <c r="S649" i="171" a="1"/>
  <c r="S649" i="171" s="1"/>
  <c r="R650" i="171" a="1"/>
  <c r="R650" i="171" s="1"/>
  <c r="S650" i="171" a="1"/>
  <c r="S650" i="171" s="1"/>
  <c r="R651" i="171" a="1"/>
  <c r="R651" i="171" s="1"/>
  <c r="S651" i="171" a="1"/>
  <c r="S651" i="171" s="1"/>
  <c r="R652" i="171" a="1"/>
  <c r="R652" i="171" s="1"/>
  <c r="S652" i="171" a="1"/>
  <c r="S652" i="171" s="1"/>
  <c r="R653" i="171" a="1"/>
  <c r="R653" i="171" s="1"/>
  <c r="S653" i="171" a="1"/>
  <c r="S653" i="171" s="1"/>
  <c r="R654" i="171" a="1"/>
  <c r="R654" i="171" s="1"/>
  <c r="S654" i="171" a="1"/>
  <c r="S654" i="171" s="1"/>
  <c r="R655" i="171" a="1"/>
  <c r="R655" i="171" s="1"/>
  <c r="S655" i="171" a="1"/>
  <c r="S655" i="171" s="1"/>
  <c r="R656" i="171" a="1"/>
  <c r="R656" i="171" s="1"/>
  <c r="S656" i="171" a="1"/>
  <c r="S656" i="171" s="1"/>
  <c r="R657" i="171" a="1"/>
  <c r="R657" i="171" s="1"/>
  <c r="S657" i="171" a="1"/>
  <c r="S657" i="171" s="1"/>
  <c r="R658" i="171" a="1"/>
  <c r="R658" i="171" s="1"/>
  <c r="S658" i="171" a="1"/>
  <c r="S658" i="171" s="1"/>
  <c r="R659" i="171" a="1"/>
  <c r="R659" i="171" s="1"/>
  <c r="S659" i="171" a="1"/>
  <c r="S659" i="171" s="1"/>
  <c r="R660" i="171" a="1"/>
  <c r="R660" i="171" s="1"/>
  <c r="S660" i="171" a="1"/>
  <c r="S660" i="171" s="1"/>
  <c r="R661" i="171" a="1"/>
  <c r="R661" i="171" s="1"/>
  <c r="S661" i="171" a="1"/>
  <c r="S661" i="171" s="1"/>
  <c r="R662" i="171" a="1"/>
  <c r="R662" i="171" s="1"/>
  <c r="S662" i="171" a="1"/>
  <c r="S662" i="171"/>
  <c r="R663" i="171" a="1"/>
  <c r="R663" i="171" s="1"/>
  <c r="S663" i="171" a="1"/>
  <c r="S663" i="171" s="1"/>
  <c r="R664" i="171" a="1"/>
  <c r="R664" i="171" s="1"/>
  <c r="S664" i="171" a="1"/>
  <c r="S664" i="171" s="1"/>
  <c r="R665" i="171" a="1"/>
  <c r="R665" i="171" s="1"/>
  <c r="S665" i="171" a="1"/>
  <c r="S665" i="171" s="1"/>
  <c r="R666" i="171" a="1"/>
  <c r="R666" i="171" s="1"/>
  <c r="S666" i="171" a="1"/>
  <c r="S666" i="171" s="1"/>
  <c r="R667" i="171" a="1"/>
  <c r="R667" i="171" s="1"/>
  <c r="S667" i="171" a="1"/>
  <c r="S667" i="171" s="1"/>
  <c r="R668" i="171" a="1"/>
  <c r="R668" i="171" s="1"/>
  <c r="S668" i="171" a="1"/>
  <c r="S668" i="171" s="1"/>
  <c r="R669" i="171" a="1"/>
  <c r="R669" i="171" s="1"/>
  <c r="S669" i="171" a="1"/>
  <c r="S669" i="171" s="1"/>
  <c r="R670" i="171" a="1"/>
  <c r="R670" i="171" s="1"/>
  <c r="S670" i="171" a="1"/>
  <c r="S670" i="171" s="1"/>
  <c r="R671" i="171" a="1"/>
  <c r="R671" i="171" s="1"/>
  <c r="S671" i="171" a="1"/>
  <c r="S671" i="171" s="1"/>
  <c r="R672" i="171" a="1"/>
  <c r="R672" i="171" s="1"/>
  <c r="S672" i="171" a="1"/>
  <c r="S672" i="171" s="1"/>
  <c r="R673" i="171" a="1"/>
  <c r="R673" i="171" s="1"/>
  <c r="S673" i="171" a="1"/>
  <c r="S673" i="171" s="1"/>
  <c r="R674" i="171" a="1"/>
  <c r="R674" i="171" s="1"/>
  <c r="S674" i="171" a="1"/>
  <c r="S674" i="171" s="1"/>
  <c r="R675" i="171" a="1"/>
  <c r="R675" i="171" s="1"/>
  <c r="S675" i="171" a="1"/>
  <c r="S675" i="171" s="1"/>
  <c r="R676" i="171" a="1"/>
  <c r="R676" i="171" s="1"/>
  <c r="S676" i="171" a="1"/>
  <c r="S676" i="171" s="1"/>
  <c r="R677" i="171" a="1"/>
  <c r="R677" i="171" s="1"/>
  <c r="S677" i="171" a="1"/>
  <c r="S677" i="171" s="1"/>
  <c r="R678" i="171" a="1"/>
  <c r="R678" i="171" s="1"/>
  <c r="S678" i="171" a="1"/>
  <c r="S678" i="171" s="1"/>
  <c r="R679" i="171" a="1"/>
  <c r="R679" i="171" s="1"/>
  <c r="S679" i="171" a="1"/>
  <c r="S679" i="171" s="1"/>
  <c r="R680" i="171" a="1"/>
  <c r="R680" i="171" s="1"/>
  <c r="S680" i="171" a="1"/>
  <c r="S680" i="171" s="1"/>
  <c r="R681" i="171" a="1"/>
  <c r="R681" i="171" s="1"/>
  <c r="S681" i="171" a="1"/>
  <c r="S681" i="171" s="1"/>
  <c r="R682" i="171" a="1"/>
  <c r="R682" i="171" s="1"/>
  <c r="S682" i="171" a="1"/>
  <c r="S682" i="171" s="1"/>
  <c r="R683" i="171" a="1"/>
  <c r="R683" i="171" s="1"/>
  <c r="S683" i="171" a="1"/>
  <c r="S683" i="171" s="1"/>
  <c r="R684" i="171" a="1"/>
  <c r="R684" i="171" s="1"/>
  <c r="S684" i="171" a="1"/>
  <c r="S684" i="171" s="1"/>
  <c r="R685" i="171" a="1"/>
  <c r="R685" i="171" s="1"/>
  <c r="S685" i="171" a="1"/>
  <c r="S685" i="171" s="1"/>
  <c r="R686" i="171" a="1"/>
  <c r="R686" i="171" s="1"/>
  <c r="S686" i="171" a="1"/>
  <c r="S686" i="171" s="1"/>
  <c r="R687" i="171" a="1"/>
  <c r="R687" i="171" s="1"/>
  <c r="S687" i="171" a="1"/>
  <c r="S687" i="171" s="1"/>
  <c r="R688" i="171" a="1"/>
  <c r="R688" i="171" s="1"/>
  <c r="S688" i="171" a="1"/>
  <c r="S688" i="171" s="1"/>
  <c r="R689" i="171" a="1"/>
  <c r="R689" i="171" s="1"/>
  <c r="S689" i="171" a="1"/>
  <c r="S689" i="171" s="1"/>
  <c r="R690" i="171" a="1"/>
  <c r="R690" i="171" s="1"/>
  <c r="S690" i="171" a="1"/>
  <c r="S690" i="171" s="1"/>
  <c r="R691" i="171" a="1"/>
  <c r="R691" i="171" s="1"/>
  <c r="S691" i="171" a="1"/>
  <c r="S691" i="171" s="1"/>
  <c r="R692" i="171" a="1"/>
  <c r="R692" i="171" s="1"/>
  <c r="S692" i="171" a="1"/>
  <c r="S692" i="171" s="1"/>
  <c r="R693" i="171" a="1"/>
  <c r="R693" i="171" s="1"/>
  <c r="S693" i="171" a="1"/>
  <c r="S693" i="171" s="1"/>
  <c r="R694" i="171" a="1"/>
  <c r="R694" i="171" s="1"/>
  <c r="S694" i="171" a="1"/>
  <c r="S694" i="171" s="1"/>
  <c r="R695" i="171" a="1"/>
  <c r="R695" i="171" s="1"/>
  <c r="S695" i="171" a="1"/>
  <c r="S695" i="171" s="1"/>
  <c r="R696" i="171" a="1"/>
  <c r="R696" i="171" s="1"/>
  <c r="S696" i="171" a="1"/>
  <c r="S696" i="171" s="1"/>
  <c r="R697" i="171" a="1"/>
  <c r="R697" i="171" s="1"/>
  <c r="S697" i="171" a="1"/>
  <c r="S697" i="171" s="1"/>
  <c r="R698" i="171" a="1"/>
  <c r="R698" i="171" s="1"/>
  <c r="S698" i="171" a="1"/>
  <c r="S698" i="171" s="1"/>
  <c r="R699" i="171" a="1"/>
  <c r="R699" i="171" s="1"/>
  <c r="S699" i="171" a="1"/>
  <c r="S699" i="171" s="1"/>
  <c r="R700" i="171" a="1"/>
  <c r="R700" i="171" s="1"/>
  <c r="S700" i="171" a="1"/>
  <c r="S700" i="171" s="1"/>
  <c r="R701" i="171" a="1"/>
  <c r="R701" i="171" s="1"/>
  <c r="S701" i="171" a="1"/>
  <c r="S701" i="171" s="1"/>
  <c r="R702" i="171" a="1"/>
  <c r="R702" i="171" s="1"/>
  <c r="S702" i="171" a="1"/>
  <c r="S702" i="171" s="1"/>
  <c r="R703" i="171" a="1"/>
  <c r="R703" i="171" s="1"/>
  <c r="S703" i="171" a="1"/>
  <c r="S703" i="171" s="1"/>
  <c r="R704" i="171" a="1"/>
  <c r="R704" i="171" s="1"/>
  <c r="S704" i="171" a="1"/>
  <c r="S704" i="171"/>
  <c r="R705" i="171" a="1"/>
  <c r="R705" i="171" s="1"/>
  <c r="S705" i="171" a="1"/>
  <c r="S705" i="171" s="1"/>
  <c r="R706" i="171" a="1"/>
  <c r="R706" i="171" s="1"/>
  <c r="S706" i="171" a="1"/>
  <c r="S706" i="171" s="1"/>
  <c r="R707" i="171" a="1"/>
  <c r="R707" i="171" s="1"/>
  <c r="S707" i="171" a="1"/>
  <c r="S707" i="171" s="1"/>
  <c r="R708" i="171" a="1"/>
  <c r="R708" i="171" s="1"/>
  <c r="S708" i="171" a="1"/>
  <c r="S708" i="171" s="1"/>
  <c r="R709" i="171" a="1"/>
  <c r="R709" i="171" s="1"/>
  <c r="S709" i="171" a="1"/>
  <c r="S709" i="171" s="1"/>
  <c r="R710" i="171" a="1"/>
  <c r="R710" i="171" s="1"/>
  <c r="S710" i="171" a="1"/>
  <c r="S710" i="171" s="1"/>
  <c r="R711" i="171" a="1"/>
  <c r="R711" i="171" s="1"/>
  <c r="S711" i="171" a="1"/>
  <c r="S711" i="171" s="1"/>
  <c r="R712" i="171" a="1"/>
  <c r="R712" i="171" s="1"/>
  <c r="S712" i="171" a="1"/>
  <c r="S712" i="171" s="1"/>
  <c r="R713" i="171" a="1"/>
  <c r="R713" i="171" s="1"/>
  <c r="S713" i="171" a="1"/>
  <c r="S713" i="171" s="1"/>
  <c r="R714" i="171" a="1"/>
  <c r="R714" i="171" s="1"/>
  <c r="S714" i="171" a="1"/>
  <c r="S714" i="171" s="1"/>
  <c r="R715" i="171" a="1"/>
  <c r="R715" i="171" s="1"/>
  <c r="S715" i="171" a="1"/>
  <c r="S715" i="171" s="1"/>
  <c r="R716" i="171" a="1"/>
  <c r="R716" i="171" s="1"/>
  <c r="S716" i="171" a="1"/>
  <c r="S716" i="171" s="1"/>
  <c r="R717" i="171" a="1"/>
  <c r="R717" i="171" s="1"/>
  <c r="S717" i="171" a="1"/>
  <c r="S717" i="171" s="1"/>
  <c r="R718" i="171" a="1"/>
  <c r="R718" i="171" s="1"/>
  <c r="S718" i="171" a="1"/>
  <c r="S718" i="171" s="1"/>
  <c r="R719" i="171" a="1"/>
  <c r="R719" i="171" s="1"/>
  <c r="S719" i="171" a="1"/>
  <c r="S719" i="171" s="1"/>
  <c r="R720" i="171" a="1"/>
  <c r="R720" i="171" s="1"/>
  <c r="S720" i="171" a="1"/>
  <c r="S720" i="171" s="1"/>
  <c r="R721" i="171" a="1"/>
  <c r="R721" i="171" s="1"/>
  <c r="S721" i="171" a="1"/>
  <c r="S721" i="171" s="1"/>
  <c r="R722" i="171" a="1"/>
  <c r="R722" i="171" s="1"/>
  <c r="S722" i="171" a="1"/>
  <c r="S722" i="171" s="1"/>
  <c r="R723" i="171" a="1"/>
  <c r="R723" i="171" s="1"/>
  <c r="S723" i="171" a="1"/>
  <c r="S723" i="171" s="1"/>
  <c r="R724" i="171" a="1"/>
  <c r="R724" i="171" s="1"/>
  <c r="S724" i="171" a="1"/>
  <c r="S724" i="171" s="1"/>
  <c r="R725" i="171" a="1"/>
  <c r="R725" i="171" s="1"/>
  <c r="S725" i="171" a="1"/>
  <c r="S725" i="171" s="1"/>
  <c r="R726" i="171" a="1"/>
  <c r="R726" i="171" s="1"/>
  <c r="S726" i="171" a="1"/>
  <c r="S726" i="171" s="1"/>
  <c r="R727" i="171" a="1"/>
  <c r="R727" i="171" s="1"/>
  <c r="S727" i="171" a="1"/>
  <c r="S727" i="171" s="1"/>
  <c r="R728" i="171" a="1"/>
  <c r="R728" i="171" s="1"/>
  <c r="S728" i="171" a="1"/>
  <c r="S728" i="171" s="1"/>
  <c r="R729" i="171" a="1"/>
  <c r="R729" i="171" s="1"/>
  <c r="S729" i="171" a="1"/>
  <c r="S729" i="171" s="1"/>
  <c r="R730" i="171" a="1"/>
  <c r="R730" i="171" s="1"/>
  <c r="S730" i="171" a="1"/>
  <c r="S730" i="171" s="1"/>
  <c r="R731" i="171" a="1"/>
  <c r="R731" i="171" s="1"/>
  <c r="S731" i="171" a="1"/>
  <c r="S731" i="171" s="1"/>
  <c r="R732" i="171" a="1"/>
  <c r="R732" i="171" s="1"/>
  <c r="S732" i="171" a="1"/>
  <c r="S732" i="171" s="1"/>
  <c r="R733" i="171" a="1"/>
  <c r="R733" i="171" s="1"/>
  <c r="S733" i="171" a="1"/>
  <c r="S733" i="171" s="1"/>
  <c r="R734" i="171" a="1"/>
  <c r="R734" i="171" s="1"/>
  <c r="S734" i="171" a="1"/>
  <c r="S734" i="171" s="1"/>
  <c r="R735" i="171" a="1"/>
  <c r="R735" i="171" s="1"/>
  <c r="S735" i="171" a="1"/>
  <c r="S735" i="171" s="1"/>
  <c r="R736" i="171" a="1"/>
  <c r="R736" i="171" s="1"/>
  <c r="S736" i="171" a="1"/>
  <c r="S736" i="171" s="1"/>
  <c r="R737" i="171" a="1"/>
  <c r="R737" i="171" s="1"/>
  <c r="S737" i="171" a="1"/>
  <c r="S737" i="171" s="1"/>
  <c r="R738" i="171" a="1"/>
  <c r="R738" i="171" s="1"/>
  <c r="S738" i="171" a="1"/>
  <c r="S738" i="171" s="1"/>
  <c r="R739" i="171" a="1"/>
  <c r="R739" i="171" s="1"/>
  <c r="S739" i="171" a="1"/>
  <c r="S739" i="171" s="1"/>
  <c r="R740" i="171" a="1"/>
  <c r="R740" i="171" s="1"/>
  <c r="S740" i="171" a="1"/>
  <c r="S740" i="171" s="1"/>
  <c r="R741" i="171" a="1"/>
  <c r="R741" i="171" s="1"/>
  <c r="S741" i="171" a="1"/>
  <c r="S741" i="171" s="1"/>
  <c r="R742" i="171" a="1"/>
  <c r="R742" i="171" s="1"/>
  <c r="S742" i="171" a="1"/>
  <c r="S742" i="171" s="1"/>
  <c r="R743" i="171" a="1"/>
  <c r="R743" i="171" s="1"/>
  <c r="S743" i="171" a="1"/>
  <c r="S743" i="171" s="1"/>
  <c r="R744" i="171" a="1"/>
  <c r="R744" i="171" s="1"/>
  <c r="S744" i="171" a="1"/>
  <c r="S744" i="171" s="1"/>
  <c r="R745" i="171" a="1"/>
  <c r="R745" i="171" s="1"/>
  <c r="S745" i="171" a="1"/>
  <c r="S745" i="171" s="1"/>
  <c r="R746" i="171" a="1"/>
  <c r="R746" i="171" s="1"/>
  <c r="S746" i="171" a="1"/>
  <c r="S746" i="171" s="1"/>
  <c r="R747" i="171" a="1"/>
  <c r="R747" i="171" s="1"/>
  <c r="S747" i="171" a="1"/>
  <c r="S747" i="171" s="1"/>
  <c r="R748" i="171" a="1"/>
  <c r="R748" i="171" s="1"/>
  <c r="S748" i="171" a="1"/>
  <c r="S748" i="171" s="1"/>
  <c r="R749" i="171" a="1"/>
  <c r="R749" i="171" s="1"/>
  <c r="S749" i="171" a="1"/>
  <c r="S749" i="171" s="1"/>
  <c r="R750" i="171" a="1"/>
  <c r="R750" i="171" s="1"/>
  <c r="S750" i="171" a="1"/>
  <c r="S750" i="171" s="1"/>
  <c r="R751" i="171" a="1"/>
  <c r="R751" i="171" s="1"/>
  <c r="S751" i="171" a="1"/>
  <c r="S751" i="171" s="1"/>
  <c r="R752" i="171" a="1"/>
  <c r="R752" i="171" s="1"/>
  <c r="S752" i="171" a="1"/>
  <c r="S752" i="171" s="1"/>
  <c r="R753" i="171" a="1"/>
  <c r="R753" i="171" s="1"/>
  <c r="S753" i="171" a="1"/>
  <c r="S753" i="171" s="1"/>
  <c r="R754" i="171" a="1"/>
  <c r="R754" i="171" s="1"/>
  <c r="S754" i="171" a="1"/>
  <c r="S754" i="171" s="1"/>
  <c r="R755" i="171" a="1"/>
  <c r="R755" i="171" s="1"/>
  <c r="S755" i="171" a="1"/>
  <c r="S755" i="171" s="1"/>
  <c r="R756" i="171" a="1"/>
  <c r="R756" i="171" s="1"/>
  <c r="S756" i="171" a="1"/>
  <c r="S756" i="171" s="1"/>
  <c r="R757" i="171" a="1"/>
  <c r="R757" i="171" s="1"/>
  <c r="S757" i="171" a="1"/>
  <c r="S757" i="171" s="1"/>
  <c r="R758" i="171" a="1"/>
  <c r="R758" i="171" s="1"/>
  <c r="S758" i="171" a="1"/>
  <c r="S758" i="171" s="1"/>
  <c r="R759" i="171" a="1"/>
  <c r="R759" i="171" s="1"/>
  <c r="S759" i="171" a="1"/>
  <c r="S759" i="171" s="1"/>
  <c r="R760" i="171" a="1"/>
  <c r="R760" i="171" s="1"/>
  <c r="S760" i="171" a="1"/>
  <c r="S760" i="171" s="1"/>
  <c r="R761" i="171" a="1"/>
  <c r="R761" i="171" s="1"/>
  <c r="S761" i="171" a="1"/>
  <c r="S761" i="171" s="1"/>
  <c r="R762" i="171" a="1"/>
  <c r="R762" i="171" s="1"/>
  <c r="S762" i="171" a="1"/>
  <c r="S762" i="171" s="1"/>
  <c r="R763" i="171" a="1"/>
  <c r="R763" i="171" s="1"/>
  <c r="S763" i="171" a="1"/>
  <c r="S763" i="171" s="1"/>
  <c r="R764" i="171" a="1"/>
  <c r="R764" i="171" s="1"/>
  <c r="S764" i="171" a="1"/>
  <c r="S764" i="171" s="1"/>
  <c r="R765" i="171" a="1"/>
  <c r="R765" i="171" s="1"/>
  <c r="S765" i="171" a="1"/>
  <c r="S765" i="171" s="1"/>
  <c r="R766" i="171" a="1"/>
  <c r="R766" i="171" s="1"/>
  <c r="S766" i="171" a="1"/>
  <c r="S766" i="171" s="1"/>
  <c r="R767" i="171" a="1"/>
  <c r="R767" i="171" s="1"/>
  <c r="S767" i="171" a="1"/>
  <c r="S767" i="171" s="1"/>
  <c r="R768" i="171" a="1"/>
  <c r="R768" i="171" s="1"/>
  <c r="S768" i="171" a="1"/>
  <c r="S768" i="171" s="1"/>
  <c r="R769" i="171" a="1"/>
  <c r="R769" i="171" s="1"/>
  <c r="S769" i="171" a="1"/>
  <c r="S769" i="171" s="1"/>
  <c r="R770" i="171" a="1"/>
  <c r="R770" i="171" s="1"/>
  <c r="S770" i="171" a="1"/>
  <c r="S770" i="171" s="1"/>
  <c r="R771" i="171" a="1"/>
  <c r="R771" i="171" s="1"/>
  <c r="S771" i="171" a="1"/>
  <c r="S771" i="171" s="1"/>
  <c r="R772" i="171" a="1"/>
  <c r="R772" i="171" s="1"/>
  <c r="S772" i="171" a="1"/>
  <c r="S772" i="171" s="1"/>
  <c r="R773" i="171" a="1"/>
  <c r="R773" i="171" s="1"/>
  <c r="S773" i="171" a="1"/>
  <c r="S773" i="171" s="1"/>
  <c r="R774" i="171" a="1"/>
  <c r="R774" i="171" s="1"/>
  <c r="S774" i="171" a="1"/>
  <c r="S774" i="171" s="1"/>
  <c r="R775" i="171" a="1"/>
  <c r="R775" i="171" s="1"/>
  <c r="S775" i="171" a="1"/>
  <c r="S775" i="171" s="1"/>
  <c r="R776" i="171" a="1"/>
  <c r="R776" i="171" s="1"/>
  <c r="S776" i="171" a="1"/>
  <c r="S776" i="171" s="1"/>
  <c r="R777" i="171" a="1"/>
  <c r="R777" i="171" s="1"/>
  <c r="S777" i="171" a="1"/>
  <c r="S777" i="171" s="1"/>
  <c r="R778" i="171" a="1"/>
  <c r="R778" i="171" s="1"/>
  <c r="S778" i="171" a="1"/>
  <c r="S778" i="171" s="1"/>
  <c r="R779" i="171" a="1"/>
  <c r="R779" i="171" s="1"/>
  <c r="S779" i="171" a="1"/>
  <c r="S779" i="171" s="1"/>
  <c r="R780" i="171" a="1"/>
  <c r="R780" i="171" s="1"/>
  <c r="S780" i="171" a="1"/>
  <c r="S780" i="171" s="1"/>
  <c r="R781" i="171" a="1"/>
  <c r="R781" i="171" s="1"/>
  <c r="S781" i="171" a="1"/>
  <c r="S781" i="171" s="1"/>
  <c r="R782" i="171" a="1"/>
  <c r="R782" i="171" s="1"/>
  <c r="S782" i="171" a="1"/>
  <c r="S782" i="171" s="1"/>
  <c r="R783" i="171" a="1"/>
  <c r="R783" i="171" s="1"/>
  <c r="S783" i="171" a="1"/>
  <c r="S783" i="171" s="1"/>
  <c r="R784" i="171" a="1"/>
  <c r="R784" i="171" s="1"/>
  <c r="S784" i="171" a="1"/>
  <c r="S784" i="171" s="1"/>
  <c r="R785" i="171" a="1"/>
  <c r="R785" i="171" s="1"/>
  <c r="S785" i="171" a="1"/>
  <c r="S785" i="171" s="1"/>
  <c r="R786" i="171" a="1"/>
  <c r="R786" i="171" s="1"/>
  <c r="S786" i="171" a="1"/>
  <c r="S786" i="171" s="1"/>
  <c r="R787" i="171" a="1"/>
  <c r="R787" i="171" s="1"/>
  <c r="S787" i="171" a="1"/>
  <c r="S787" i="171" s="1"/>
  <c r="R788" i="171" a="1"/>
  <c r="R788" i="171" s="1"/>
  <c r="S788" i="171" a="1"/>
  <c r="S788" i="171" s="1"/>
  <c r="R789" i="171" a="1"/>
  <c r="R789" i="171" s="1"/>
  <c r="S789" i="171" a="1"/>
  <c r="S789" i="171" s="1"/>
  <c r="R790" i="171" a="1"/>
  <c r="R790" i="171" s="1"/>
  <c r="S790" i="171" a="1"/>
  <c r="S790" i="171" s="1"/>
  <c r="R791" i="171" a="1"/>
  <c r="R791" i="171" s="1"/>
  <c r="S791" i="171" a="1"/>
  <c r="S791" i="171" s="1"/>
  <c r="R792" i="171" a="1"/>
  <c r="R792" i="171" s="1"/>
  <c r="S792" i="171" a="1"/>
  <c r="S792" i="171" s="1"/>
  <c r="R793" i="171" a="1"/>
  <c r="R793" i="171" s="1"/>
  <c r="S793" i="171" a="1"/>
  <c r="S793" i="171" s="1"/>
  <c r="R794" i="171" a="1"/>
  <c r="R794" i="171" s="1"/>
  <c r="S794" i="171" a="1"/>
  <c r="S794" i="171" s="1"/>
  <c r="R795" i="171" a="1"/>
  <c r="R795" i="171" s="1"/>
  <c r="S795" i="171" a="1"/>
  <c r="S795" i="171" s="1"/>
  <c r="R796" i="171" a="1"/>
  <c r="R796" i="171" s="1"/>
  <c r="S796" i="171" a="1"/>
  <c r="S796" i="171" s="1"/>
  <c r="R797" i="171" a="1"/>
  <c r="R797" i="171" s="1"/>
  <c r="S797" i="171" a="1"/>
  <c r="S797" i="171" s="1"/>
  <c r="R798" i="171" a="1"/>
  <c r="R798" i="171" s="1"/>
  <c r="S798" i="171" a="1"/>
  <c r="S798" i="171" s="1"/>
  <c r="R799" i="171" a="1"/>
  <c r="R799" i="171" s="1"/>
  <c r="S799" i="171" a="1"/>
  <c r="S799" i="171" s="1"/>
  <c r="R800" i="171" a="1"/>
  <c r="R800" i="171" s="1"/>
  <c r="S800" i="171" a="1"/>
  <c r="S800" i="171" s="1"/>
  <c r="R801" i="171" a="1"/>
  <c r="R801" i="171" s="1"/>
  <c r="S801" i="171" a="1"/>
  <c r="S801" i="171" s="1"/>
  <c r="R802" i="171" a="1"/>
  <c r="R802" i="171" s="1"/>
  <c r="S802" i="171" a="1"/>
  <c r="S802" i="171" s="1"/>
  <c r="R803" i="171" a="1"/>
  <c r="R803" i="171" s="1"/>
  <c r="S803" i="171" a="1"/>
  <c r="S803" i="171" s="1"/>
  <c r="R804" i="171" a="1"/>
  <c r="R804" i="171" s="1"/>
  <c r="S804" i="171" a="1"/>
  <c r="S804" i="171" s="1"/>
  <c r="R805" i="171" a="1"/>
  <c r="R805" i="171" s="1"/>
  <c r="S805" i="171" a="1"/>
  <c r="S805" i="171" s="1"/>
  <c r="R806" i="171" a="1"/>
  <c r="R806" i="171" s="1"/>
  <c r="S806" i="171" a="1"/>
  <c r="S806" i="171" s="1"/>
  <c r="R807" i="171" a="1"/>
  <c r="R807" i="171" s="1"/>
  <c r="S807" i="171" a="1"/>
  <c r="S807" i="171" s="1"/>
  <c r="R808" i="171" a="1"/>
  <c r="R808" i="171" s="1"/>
  <c r="S808" i="171" a="1"/>
  <c r="S808" i="171" s="1"/>
  <c r="R809" i="171" a="1"/>
  <c r="R809" i="171" s="1"/>
  <c r="S809" i="171" a="1"/>
  <c r="S809" i="171" s="1"/>
  <c r="R810" i="171" a="1"/>
  <c r="R810" i="171" s="1"/>
  <c r="S810" i="171" a="1"/>
  <c r="S810" i="171" s="1"/>
  <c r="R811" i="171" a="1"/>
  <c r="R811" i="171" s="1"/>
  <c r="S811" i="171" a="1"/>
  <c r="S811" i="171" s="1"/>
  <c r="R812" i="171" a="1"/>
  <c r="R812" i="171" s="1"/>
  <c r="S812" i="171" a="1"/>
  <c r="S812" i="171" s="1"/>
  <c r="R813" i="171" a="1"/>
  <c r="R813" i="171" s="1"/>
  <c r="S813" i="171" a="1"/>
  <c r="S813" i="171" s="1"/>
  <c r="R814" i="171" a="1"/>
  <c r="R814" i="171" s="1"/>
  <c r="S814" i="171" a="1"/>
  <c r="S814" i="171" s="1"/>
  <c r="R815" i="171" a="1"/>
  <c r="R815" i="171" s="1"/>
  <c r="S815" i="171" a="1"/>
  <c r="S815" i="171" s="1"/>
  <c r="R816" i="171" a="1"/>
  <c r="R816" i="171" s="1"/>
  <c r="S816" i="171" a="1"/>
  <c r="S816" i="171" s="1"/>
  <c r="R817" i="171" a="1"/>
  <c r="R817" i="171" s="1"/>
  <c r="S817" i="171" a="1"/>
  <c r="S817" i="171" s="1"/>
  <c r="R818" i="171" a="1"/>
  <c r="R818" i="171" s="1"/>
  <c r="S818" i="171" a="1"/>
  <c r="S818" i="171" s="1"/>
  <c r="R819" i="171" a="1"/>
  <c r="R819" i="171" s="1"/>
  <c r="S819" i="171" a="1"/>
  <c r="S819" i="171" s="1"/>
  <c r="R820" i="171" a="1"/>
  <c r="R820" i="171" s="1"/>
  <c r="S820" i="171" a="1"/>
  <c r="S820" i="171" s="1"/>
  <c r="R821" i="171" a="1"/>
  <c r="R821" i="171" s="1"/>
  <c r="S821" i="171" a="1"/>
  <c r="S821" i="171" s="1"/>
  <c r="R822" i="171" a="1"/>
  <c r="R822" i="171" s="1"/>
  <c r="S822" i="171" a="1"/>
  <c r="S822" i="171" s="1"/>
  <c r="R823" i="171" a="1"/>
  <c r="R823" i="171" s="1"/>
  <c r="S823" i="171" a="1"/>
  <c r="S823" i="171" s="1"/>
  <c r="R824" i="171" a="1"/>
  <c r="R824" i="171" s="1"/>
  <c r="S824" i="171" a="1"/>
  <c r="S824" i="171" s="1"/>
  <c r="R825" i="171" a="1"/>
  <c r="R825" i="171" s="1"/>
  <c r="S825" i="171" a="1"/>
  <c r="S825" i="171" s="1"/>
  <c r="R826" i="171" a="1"/>
  <c r="R826" i="171" s="1"/>
  <c r="S826" i="171" a="1"/>
  <c r="S826" i="171" s="1"/>
  <c r="R827" i="171" a="1"/>
  <c r="R827" i="171" s="1"/>
  <c r="S827" i="171" a="1"/>
  <c r="S827" i="171" s="1"/>
  <c r="R828" i="171" a="1"/>
  <c r="R828" i="171" s="1"/>
  <c r="S828" i="171" a="1"/>
  <c r="S828" i="171" s="1"/>
  <c r="R829" i="171" a="1"/>
  <c r="R829" i="171" s="1"/>
  <c r="S829" i="171" a="1"/>
  <c r="S829" i="171" s="1"/>
  <c r="R830" i="171" a="1"/>
  <c r="R830" i="171" s="1"/>
  <c r="S830" i="171" a="1"/>
  <c r="S830" i="171" s="1"/>
  <c r="R831" i="171" a="1"/>
  <c r="R831" i="171" s="1"/>
  <c r="S831" i="171" a="1"/>
  <c r="S831" i="171" s="1"/>
  <c r="R832" i="171" a="1"/>
  <c r="R832" i="171" s="1"/>
  <c r="S832" i="171" a="1"/>
  <c r="S832" i="171" s="1"/>
  <c r="R833" i="171" a="1"/>
  <c r="R833" i="171" s="1"/>
  <c r="S833" i="171" a="1"/>
  <c r="S833" i="171" s="1"/>
  <c r="R834" i="171" a="1"/>
  <c r="R834" i="171" s="1"/>
  <c r="S834" i="171" a="1"/>
  <c r="S834" i="171" s="1"/>
  <c r="R835" i="171" a="1"/>
  <c r="R835" i="171" s="1"/>
  <c r="S835" i="171" a="1"/>
  <c r="S835" i="171" s="1"/>
  <c r="R836" i="171" a="1"/>
  <c r="R836" i="171" s="1"/>
  <c r="S836" i="171" a="1"/>
  <c r="S836" i="171" s="1"/>
  <c r="R837" i="171" a="1"/>
  <c r="R837" i="171" s="1"/>
  <c r="S837" i="171" a="1"/>
  <c r="S837" i="171" s="1"/>
  <c r="R838" i="171" a="1"/>
  <c r="R838" i="171" s="1"/>
  <c r="S838" i="171" a="1"/>
  <c r="S838" i="171" s="1"/>
  <c r="R839" i="171" a="1"/>
  <c r="R839" i="171" s="1"/>
  <c r="S839" i="171" a="1"/>
  <c r="S839" i="171" s="1"/>
  <c r="R840" i="171" a="1"/>
  <c r="R840" i="171" s="1"/>
  <c r="S840" i="171" a="1"/>
  <c r="S840" i="171" s="1"/>
  <c r="R841" i="171" a="1"/>
  <c r="R841" i="171" s="1"/>
  <c r="S841" i="171" a="1"/>
  <c r="S841" i="171" s="1"/>
  <c r="R842" i="171" a="1"/>
  <c r="R842" i="171" s="1"/>
  <c r="S842" i="171" a="1"/>
  <c r="S842" i="171" s="1"/>
  <c r="R843" i="171" a="1"/>
  <c r="R843" i="171" s="1"/>
  <c r="S843" i="171" a="1"/>
  <c r="S843" i="171" s="1"/>
  <c r="R844" i="171" a="1"/>
  <c r="R844" i="171" s="1"/>
  <c r="S844" i="171" a="1"/>
  <c r="S844" i="171" s="1"/>
  <c r="R845" i="171" a="1"/>
  <c r="R845" i="171" s="1"/>
  <c r="S845" i="171" a="1"/>
  <c r="S845" i="171" s="1"/>
  <c r="R846" i="171" a="1"/>
  <c r="R846" i="171" s="1"/>
  <c r="S846" i="171" a="1"/>
  <c r="S846" i="171" s="1"/>
  <c r="R847" i="171" a="1"/>
  <c r="R847" i="171" s="1"/>
  <c r="S847" i="171" a="1"/>
  <c r="S847" i="171" s="1"/>
  <c r="R848" i="171" a="1"/>
  <c r="R848" i="171" s="1"/>
  <c r="S848" i="171" a="1"/>
  <c r="S848" i="171" s="1"/>
  <c r="R849" i="171" a="1"/>
  <c r="R849" i="171"/>
  <c r="S849" i="171" a="1"/>
  <c r="S849" i="171" s="1"/>
  <c r="R850" i="171" a="1"/>
  <c r="R850" i="171" s="1"/>
  <c r="S850" i="171" a="1"/>
  <c r="S850" i="171" s="1"/>
  <c r="R851" i="171" a="1"/>
  <c r="R851" i="171" s="1"/>
  <c r="S851" i="171" a="1"/>
  <c r="S851" i="171" s="1"/>
  <c r="R852" i="171" a="1"/>
  <c r="R852" i="171" s="1"/>
  <c r="S852" i="171" a="1"/>
  <c r="S852" i="171" s="1"/>
  <c r="R853" i="171" a="1"/>
  <c r="R853" i="171" s="1"/>
  <c r="S853" i="171" a="1"/>
  <c r="S853" i="171" s="1"/>
  <c r="R854" i="171" a="1"/>
  <c r="R854" i="171" s="1"/>
  <c r="S854" i="171" a="1"/>
  <c r="S854" i="171" s="1"/>
  <c r="R855" i="171" a="1"/>
  <c r="R855" i="171" s="1"/>
  <c r="S855" i="171" a="1"/>
  <c r="S855" i="171" s="1"/>
  <c r="R856" i="171" a="1"/>
  <c r="R856" i="171" s="1"/>
  <c r="S856" i="171" a="1"/>
  <c r="S856" i="171" s="1"/>
  <c r="R857" i="171" a="1"/>
  <c r="R857" i="171" s="1"/>
  <c r="S857" i="171" a="1"/>
  <c r="S857" i="171" s="1"/>
  <c r="R858" i="171" a="1"/>
  <c r="R858" i="171" s="1"/>
  <c r="S858" i="171" a="1"/>
  <c r="S858" i="171" s="1"/>
  <c r="R859" i="171" a="1"/>
  <c r="R859" i="171" s="1"/>
  <c r="S859" i="171" a="1"/>
  <c r="S859" i="171" s="1"/>
  <c r="R860" i="171" a="1"/>
  <c r="R860" i="171" s="1"/>
  <c r="S860" i="171" a="1"/>
  <c r="S860" i="171" s="1"/>
  <c r="R861" i="171" a="1"/>
  <c r="R861" i="171" s="1"/>
  <c r="S861" i="171" a="1"/>
  <c r="S861" i="171" s="1"/>
  <c r="R862" i="171" a="1"/>
  <c r="R862" i="171" s="1"/>
  <c r="S862" i="171" a="1"/>
  <c r="S862" i="171" s="1"/>
  <c r="R863" i="171" a="1"/>
  <c r="R863" i="171" s="1"/>
  <c r="S863" i="171" a="1"/>
  <c r="S863" i="171" s="1"/>
  <c r="R864" i="171" a="1"/>
  <c r="R864" i="171" s="1"/>
  <c r="S864" i="171" a="1"/>
  <c r="S864" i="171" s="1"/>
  <c r="R865" i="171" a="1"/>
  <c r="R865" i="171" s="1"/>
  <c r="S865" i="171" a="1"/>
  <c r="S865" i="171" s="1"/>
  <c r="R866" i="171" a="1"/>
  <c r="R866" i="171" s="1"/>
  <c r="S866" i="171" a="1"/>
  <c r="S866" i="171" s="1"/>
  <c r="R867" i="171" a="1"/>
  <c r="R867" i="171" s="1"/>
  <c r="S867" i="171" a="1"/>
  <c r="S867" i="171" s="1"/>
  <c r="R868" i="171" a="1"/>
  <c r="R868" i="171" s="1"/>
  <c r="S868" i="171" a="1"/>
  <c r="S868" i="171" s="1"/>
  <c r="R869" i="171" a="1"/>
  <c r="R869" i="171" s="1"/>
  <c r="S869" i="171" a="1"/>
  <c r="S869" i="171" s="1"/>
  <c r="R870" i="171" a="1"/>
  <c r="R870" i="171" s="1"/>
  <c r="S870" i="171" a="1"/>
  <c r="S870" i="171" s="1"/>
  <c r="R871" i="171" a="1"/>
  <c r="R871" i="171" s="1"/>
  <c r="S871" i="171" a="1"/>
  <c r="S871" i="171" s="1"/>
  <c r="R872" i="171" a="1"/>
  <c r="R872" i="171" s="1"/>
  <c r="S872" i="171" a="1"/>
  <c r="S872" i="171" s="1"/>
  <c r="R873" i="171" a="1"/>
  <c r="R873" i="171" s="1"/>
  <c r="S873" i="171" a="1"/>
  <c r="S873" i="171" s="1"/>
  <c r="R874" i="171" a="1"/>
  <c r="R874" i="171" s="1"/>
  <c r="S874" i="171" a="1"/>
  <c r="S874" i="171" s="1"/>
  <c r="R875" i="171" a="1"/>
  <c r="R875" i="171" s="1"/>
  <c r="S875" i="171" a="1"/>
  <c r="S875" i="171" s="1"/>
  <c r="R876" i="171" a="1"/>
  <c r="R876" i="171" s="1"/>
  <c r="S876" i="171" a="1"/>
  <c r="S876" i="171" s="1"/>
  <c r="R877" i="171" a="1"/>
  <c r="R877" i="171" s="1"/>
  <c r="S877" i="171" a="1"/>
  <c r="S877" i="171" s="1"/>
  <c r="R878" i="171" a="1"/>
  <c r="R878" i="171" s="1"/>
  <c r="S878" i="171" a="1"/>
  <c r="S878" i="171" s="1"/>
  <c r="R879" i="171" a="1"/>
  <c r="R879" i="171" s="1"/>
  <c r="S879" i="171" a="1"/>
  <c r="S879" i="171" s="1"/>
  <c r="R880" i="171" a="1"/>
  <c r="R880" i="171" s="1"/>
  <c r="S880" i="171" a="1"/>
  <c r="S880" i="171" s="1"/>
  <c r="R881" i="171" a="1"/>
  <c r="R881" i="171" s="1"/>
  <c r="S881" i="171" a="1"/>
  <c r="S881" i="171" s="1"/>
  <c r="R882" i="171" a="1"/>
  <c r="R882" i="171" s="1"/>
  <c r="S882" i="171" a="1"/>
  <c r="S882" i="171" s="1"/>
  <c r="R883" i="171" a="1"/>
  <c r="R883" i="171" s="1"/>
  <c r="S883" i="171" a="1"/>
  <c r="S883" i="171" s="1"/>
  <c r="R884" i="171" a="1"/>
  <c r="R884" i="171" s="1"/>
  <c r="S884" i="171" a="1"/>
  <c r="S884" i="171" s="1"/>
  <c r="R885" i="171" a="1"/>
  <c r="R885" i="171" s="1"/>
  <c r="S885" i="171" a="1"/>
  <c r="S885" i="171" s="1"/>
  <c r="R886" i="171" a="1"/>
  <c r="R886" i="171" s="1"/>
  <c r="S886" i="171" a="1"/>
  <c r="S886" i="171" s="1"/>
  <c r="R887" i="171" a="1"/>
  <c r="R887" i="171" s="1"/>
  <c r="S887" i="171" a="1"/>
  <c r="S887" i="171" s="1"/>
  <c r="R888" i="171" a="1"/>
  <c r="R888" i="171" s="1"/>
  <c r="S888" i="171" a="1"/>
  <c r="S888" i="171" s="1"/>
  <c r="R889" i="171" a="1"/>
  <c r="R889" i="171" s="1"/>
  <c r="S889" i="171" a="1"/>
  <c r="S889" i="171" s="1"/>
  <c r="R890" i="171" a="1"/>
  <c r="R890" i="171" s="1"/>
  <c r="S890" i="171" a="1"/>
  <c r="S890" i="171" s="1"/>
  <c r="R891" i="171" a="1"/>
  <c r="R891" i="171" s="1"/>
  <c r="S891" i="171" a="1"/>
  <c r="S891" i="171" s="1"/>
  <c r="R892" i="171" a="1"/>
  <c r="R892" i="171" s="1"/>
  <c r="S892" i="171" a="1"/>
  <c r="S892" i="171" s="1"/>
  <c r="R893" i="171" a="1"/>
  <c r="R893" i="171" s="1"/>
  <c r="S893" i="171" a="1"/>
  <c r="S893" i="171" s="1"/>
  <c r="R894" i="171" a="1"/>
  <c r="R894" i="171" s="1"/>
  <c r="S894" i="171" a="1"/>
  <c r="S894" i="171" s="1"/>
  <c r="R895" i="171" a="1"/>
  <c r="R895" i="171" s="1"/>
  <c r="S895" i="171" a="1"/>
  <c r="S895" i="171" s="1"/>
  <c r="R896" i="171" a="1"/>
  <c r="R896" i="171" s="1"/>
  <c r="S896" i="171" a="1"/>
  <c r="S896" i="171" s="1"/>
  <c r="R897" i="171" a="1"/>
  <c r="R897" i="171" s="1"/>
  <c r="S897" i="171" a="1"/>
  <c r="S897" i="171" s="1"/>
  <c r="R898" i="171" a="1"/>
  <c r="R898" i="171" s="1"/>
  <c r="S898" i="171" a="1"/>
  <c r="S898" i="171" s="1"/>
  <c r="R899" i="171" a="1"/>
  <c r="R899" i="171" s="1"/>
  <c r="S899" i="171" a="1"/>
  <c r="S899" i="171" s="1"/>
  <c r="R900" i="171" a="1"/>
  <c r="R900" i="171" s="1"/>
  <c r="S900" i="171" a="1"/>
  <c r="S900" i="171" s="1"/>
  <c r="R901" i="171" a="1"/>
  <c r="R901" i="171" s="1"/>
  <c r="S901" i="171" a="1"/>
  <c r="S901" i="171" s="1"/>
  <c r="R902" i="171" a="1"/>
  <c r="R902" i="171" s="1"/>
  <c r="S902" i="171" a="1"/>
  <c r="S902" i="171" s="1"/>
  <c r="R903" i="171" a="1"/>
  <c r="R903" i="171" s="1"/>
  <c r="S903" i="171" a="1"/>
  <c r="S903" i="171" s="1"/>
  <c r="R904" i="171" a="1"/>
  <c r="R904" i="171" s="1"/>
  <c r="S904" i="171" a="1"/>
  <c r="S904" i="171" s="1"/>
  <c r="R905" i="171" a="1"/>
  <c r="R905" i="171" s="1"/>
  <c r="S905" i="171" a="1"/>
  <c r="S905" i="171" s="1"/>
  <c r="R906" i="171" a="1"/>
  <c r="R906" i="171" s="1"/>
  <c r="S906" i="171" a="1"/>
  <c r="S906" i="171" s="1"/>
  <c r="R907" i="171" a="1"/>
  <c r="R907" i="171" s="1"/>
  <c r="S907" i="171" a="1"/>
  <c r="S907" i="171" s="1"/>
  <c r="R908" i="171" a="1"/>
  <c r="R908" i="171" s="1"/>
  <c r="S908" i="171" a="1"/>
  <c r="S908" i="171" s="1"/>
  <c r="R909" i="171" a="1"/>
  <c r="R909" i="171" s="1"/>
  <c r="S909" i="171" a="1"/>
  <c r="S909" i="171" s="1"/>
  <c r="R910" i="171" a="1"/>
  <c r="R910" i="171" s="1"/>
  <c r="S910" i="171" a="1"/>
  <c r="S910" i="171" s="1"/>
  <c r="R911" i="171" a="1"/>
  <c r="R911" i="171" s="1"/>
  <c r="S911" i="171" a="1"/>
  <c r="S911" i="171" s="1"/>
  <c r="R912" i="171" a="1"/>
  <c r="R912" i="171" s="1"/>
  <c r="S912" i="171" a="1"/>
  <c r="S912" i="171" s="1"/>
  <c r="R913" i="171" a="1"/>
  <c r="R913" i="171" s="1"/>
  <c r="S913" i="171" a="1"/>
  <c r="S913" i="171" s="1"/>
  <c r="R914" i="171" a="1"/>
  <c r="R914" i="171" s="1"/>
  <c r="S914" i="171" a="1"/>
  <c r="S914" i="171" s="1"/>
  <c r="R915" i="171" a="1"/>
  <c r="R915" i="171" s="1"/>
  <c r="S915" i="171" a="1"/>
  <c r="S915" i="171" s="1"/>
  <c r="R916" i="171" a="1"/>
  <c r="R916" i="171" s="1"/>
  <c r="S916" i="171" a="1"/>
  <c r="S916" i="171" s="1"/>
  <c r="R917" i="171" a="1"/>
  <c r="R917" i="171" s="1"/>
  <c r="S917" i="171" a="1"/>
  <c r="S917" i="171" s="1"/>
  <c r="R918" i="171" a="1"/>
  <c r="R918" i="171" s="1"/>
  <c r="S918" i="171" a="1"/>
  <c r="S918" i="171" s="1"/>
  <c r="R919" i="171" a="1"/>
  <c r="R919" i="171" s="1"/>
  <c r="S919" i="171" a="1"/>
  <c r="S919" i="171" s="1"/>
  <c r="R920" i="171" a="1"/>
  <c r="R920" i="171" s="1"/>
  <c r="S920" i="171" a="1"/>
  <c r="S920" i="171" s="1"/>
  <c r="R921" i="171" a="1"/>
  <c r="R921" i="171" s="1"/>
  <c r="S921" i="171" a="1"/>
  <c r="S921" i="171" s="1"/>
  <c r="R922" i="171" a="1"/>
  <c r="R922" i="171" s="1"/>
  <c r="S922" i="171" a="1"/>
  <c r="S922" i="171" s="1"/>
  <c r="R923" i="171" a="1"/>
  <c r="R923" i="171" s="1"/>
  <c r="S923" i="171" a="1"/>
  <c r="S923" i="171" s="1"/>
  <c r="R924" i="171" a="1"/>
  <c r="R924" i="171" s="1"/>
  <c r="S924" i="171" a="1"/>
  <c r="S924" i="171" s="1"/>
  <c r="R925" i="171" a="1"/>
  <c r="R925" i="171" s="1"/>
  <c r="S925" i="171" a="1"/>
  <c r="S925" i="171" s="1"/>
  <c r="R926" i="171" a="1"/>
  <c r="R926" i="171" s="1"/>
  <c r="S926" i="171" a="1"/>
  <c r="S926" i="171" s="1"/>
  <c r="R927" i="171" a="1"/>
  <c r="R927" i="171" s="1"/>
  <c r="S927" i="171" a="1"/>
  <c r="S927" i="171" s="1"/>
  <c r="R928" i="171" a="1"/>
  <c r="R928" i="171" s="1"/>
  <c r="S928" i="171" a="1"/>
  <c r="S928" i="171" s="1"/>
  <c r="R929" i="171" a="1"/>
  <c r="R929" i="171" s="1"/>
  <c r="S929" i="171" a="1"/>
  <c r="S929" i="171" s="1"/>
  <c r="R930" i="171" a="1"/>
  <c r="R930" i="171" s="1"/>
  <c r="S930" i="171" a="1"/>
  <c r="S930" i="171" s="1"/>
  <c r="R931" i="171" a="1"/>
  <c r="R931" i="171" s="1"/>
  <c r="S931" i="171" a="1"/>
  <c r="S931" i="171" s="1"/>
  <c r="R932" i="171" a="1"/>
  <c r="R932" i="171" s="1"/>
  <c r="S932" i="171" a="1"/>
  <c r="S932" i="171" s="1"/>
  <c r="R933" i="171" a="1"/>
  <c r="R933" i="171" s="1"/>
  <c r="S933" i="171" a="1"/>
  <c r="S933" i="171" s="1"/>
  <c r="R934" i="171" a="1"/>
  <c r="R934" i="171" s="1"/>
  <c r="S934" i="171" a="1"/>
  <c r="S934" i="171" s="1"/>
  <c r="R935" i="171" a="1"/>
  <c r="R935" i="171" s="1"/>
  <c r="S935" i="171" a="1"/>
  <c r="S935" i="171" s="1"/>
  <c r="R936" i="171" a="1"/>
  <c r="R936" i="171" s="1"/>
  <c r="S936" i="171" a="1"/>
  <c r="S936" i="171" s="1"/>
  <c r="R937" i="171" a="1"/>
  <c r="R937" i="171" s="1"/>
  <c r="S937" i="171" a="1"/>
  <c r="S937" i="171" s="1"/>
  <c r="R938" i="171" a="1"/>
  <c r="R938" i="171" s="1"/>
  <c r="S938" i="171" a="1"/>
  <c r="S938" i="171" s="1"/>
  <c r="R939" i="171" a="1"/>
  <c r="R939" i="171" s="1"/>
  <c r="S939" i="171" a="1"/>
  <c r="S939" i="171" s="1"/>
  <c r="R940" i="171" a="1"/>
  <c r="R940" i="171" s="1"/>
  <c r="S940" i="171" a="1"/>
  <c r="S940" i="171" s="1"/>
  <c r="R941" i="171" a="1"/>
  <c r="R941" i="171" s="1"/>
  <c r="S941" i="171" a="1"/>
  <c r="S941" i="171" s="1"/>
  <c r="R942" i="171" a="1"/>
  <c r="R942" i="171" s="1"/>
  <c r="S942" i="171" a="1"/>
  <c r="S942" i="171" s="1"/>
  <c r="R943" i="171" a="1"/>
  <c r="R943" i="171" s="1"/>
  <c r="S943" i="171" a="1"/>
  <c r="S943" i="171" s="1"/>
  <c r="R944" i="171" a="1"/>
  <c r="R944" i="171" s="1"/>
  <c r="S944" i="171" a="1"/>
  <c r="S944" i="171" s="1"/>
  <c r="R945" i="171" a="1"/>
  <c r="R945" i="171" s="1"/>
  <c r="S945" i="171" a="1"/>
  <c r="S945" i="171" s="1"/>
  <c r="R946" i="171" a="1"/>
  <c r="R946" i="171" s="1"/>
  <c r="S946" i="171" a="1"/>
  <c r="S946" i="171" s="1"/>
  <c r="R947" i="171" a="1"/>
  <c r="R947" i="171" s="1"/>
  <c r="S947" i="171" a="1"/>
  <c r="S947" i="171" s="1"/>
  <c r="R948" i="171" a="1"/>
  <c r="R948" i="171" s="1"/>
  <c r="S948" i="171" a="1"/>
  <c r="S948" i="171" s="1"/>
  <c r="R949" i="171" a="1"/>
  <c r="R949" i="171" s="1"/>
  <c r="S949" i="171" a="1"/>
  <c r="S949" i="171" s="1"/>
  <c r="R950" i="171" a="1"/>
  <c r="R950" i="171" s="1"/>
  <c r="S950" i="171" a="1"/>
  <c r="S950" i="171" s="1"/>
  <c r="R951" i="171" a="1"/>
  <c r="R951" i="171" s="1"/>
  <c r="S951" i="171" a="1"/>
  <c r="S951" i="171" s="1"/>
  <c r="R952" i="171" a="1"/>
  <c r="R952" i="171" s="1"/>
  <c r="S952" i="171" a="1"/>
  <c r="S952" i="171" s="1"/>
  <c r="R953" i="171" a="1"/>
  <c r="R953" i="171" s="1"/>
  <c r="S953" i="171" a="1"/>
  <c r="S953" i="171" s="1"/>
  <c r="R954" i="171" a="1"/>
  <c r="R954" i="171" s="1"/>
  <c r="S954" i="171" a="1"/>
  <c r="S954" i="171" s="1"/>
  <c r="R955" i="171" a="1"/>
  <c r="R955" i="171" s="1"/>
  <c r="S955" i="171" a="1"/>
  <c r="S955" i="171" s="1"/>
  <c r="R956" i="171" a="1"/>
  <c r="R956" i="171" s="1"/>
  <c r="S956" i="171" a="1"/>
  <c r="S956" i="171" s="1"/>
  <c r="R957" i="171" a="1"/>
  <c r="R957" i="171" s="1"/>
  <c r="S957" i="171" a="1"/>
  <c r="S957" i="171" s="1"/>
  <c r="R958" i="171" a="1"/>
  <c r="R958" i="171" s="1"/>
  <c r="S958" i="171" a="1"/>
  <c r="S958" i="171" s="1"/>
  <c r="R959" i="171" a="1"/>
  <c r="R959" i="171" s="1"/>
  <c r="S959" i="171" a="1"/>
  <c r="S959" i="171" s="1"/>
  <c r="R960" i="171" a="1"/>
  <c r="R960" i="171" s="1"/>
  <c r="S960" i="171" a="1"/>
  <c r="S960" i="171" s="1"/>
  <c r="R961" i="171" a="1"/>
  <c r="R961" i="171" s="1"/>
  <c r="S961" i="171" a="1"/>
  <c r="S961" i="171" s="1"/>
  <c r="R962" i="171" a="1"/>
  <c r="R962" i="171" s="1"/>
  <c r="S962" i="171" a="1"/>
  <c r="S962" i="171" s="1"/>
  <c r="R963" i="171" a="1"/>
  <c r="R963" i="171" s="1"/>
  <c r="S963" i="171" a="1"/>
  <c r="S963" i="171" s="1"/>
  <c r="R964" i="171" a="1"/>
  <c r="R964" i="171" s="1"/>
  <c r="S964" i="171" a="1"/>
  <c r="S964" i="171" s="1"/>
  <c r="R965" i="171" a="1"/>
  <c r="R965" i="171" s="1"/>
  <c r="S965" i="171" a="1"/>
  <c r="S965" i="171" s="1"/>
  <c r="R966" i="171" a="1"/>
  <c r="R966" i="171" s="1"/>
  <c r="S966" i="171" a="1"/>
  <c r="S966" i="171" s="1"/>
  <c r="R967" i="171" a="1"/>
  <c r="R967" i="171" s="1"/>
  <c r="S967" i="171" a="1"/>
  <c r="S967" i="171" s="1"/>
  <c r="R968" i="171" a="1"/>
  <c r="R968" i="171" s="1"/>
  <c r="S968" i="171" a="1"/>
  <c r="S968" i="171" s="1"/>
  <c r="R969" i="171" a="1"/>
  <c r="R969" i="171" s="1"/>
  <c r="S969" i="171" a="1"/>
  <c r="S969" i="171" s="1"/>
  <c r="R970" i="171" a="1"/>
  <c r="R970" i="171" s="1"/>
  <c r="S970" i="171" a="1"/>
  <c r="S970" i="171" s="1"/>
  <c r="R971" i="171" a="1"/>
  <c r="R971" i="171" s="1"/>
  <c r="S971" i="171" a="1"/>
  <c r="S971" i="171" s="1"/>
  <c r="R972" i="171" a="1"/>
  <c r="R972" i="171" s="1"/>
  <c r="S972" i="171" a="1"/>
  <c r="S972" i="171" s="1"/>
  <c r="R973" i="171" a="1"/>
  <c r="R973" i="171" s="1"/>
  <c r="S973" i="171" a="1"/>
  <c r="S973" i="171" s="1"/>
  <c r="R974" i="171" a="1"/>
  <c r="R974" i="171" s="1"/>
  <c r="S974" i="171" a="1"/>
  <c r="S974" i="171" s="1"/>
  <c r="R975" i="171" a="1"/>
  <c r="R975" i="171" s="1"/>
  <c r="S975" i="171" a="1"/>
  <c r="S975" i="171" s="1"/>
  <c r="R976" i="171" a="1"/>
  <c r="R976" i="171" s="1"/>
  <c r="S976" i="171" a="1"/>
  <c r="S976" i="171" s="1"/>
  <c r="R977" i="171" a="1"/>
  <c r="R977" i="171" s="1"/>
  <c r="S977" i="171" a="1"/>
  <c r="S977" i="171" s="1"/>
  <c r="R978" i="171" a="1"/>
  <c r="R978" i="171" s="1"/>
  <c r="S978" i="171" a="1"/>
  <c r="S978" i="171" s="1"/>
  <c r="R979" i="171" a="1"/>
  <c r="R979" i="171" s="1"/>
  <c r="S979" i="171" a="1"/>
  <c r="S979" i="171" s="1"/>
  <c r="R980" i="171" a="1"/>
  <c r="R980" i="171" s="1"/>
  <c r="S980" i="171" a="1"/>
  <c r="S980" i="171" s="1"/>
  <c r="R981" i="171" a="1"/>
  <c r="R981" i="171" s="1"/>
  <c r="S981" i="171" a="1"/>
  <c r="S981" i="171" s="1"/>
  <c r="R982" i="171" a="1"/>
  <c r="R982" i="171" s="1"/>
  <c r="S982" i="171" a="1"/>
  <c r="S982" i="171" s="1"/>
  <c r="R983" i="171" a="1"/>
  <c r="R983" i="171" s="1"/>
  <c r="S983" i="171" a="1"/>
  <c r="S983" i="171" s="1"/>
  <c r="R984" i="171" a="1"/>
  <c r="R984" i="171" s="1"/>
  <c r="S984" i="171" a="1"/>
  <c r="S984" i="171" s="1"/>
  <c r="R985" i="171" a="1"/>
  <c r="R985" i="171" s="1"/>
  <c r="S985" i="171" a="1"/>
  <c r="S985" i="171" s="1"/>
  <c r="R986" i="171" a="1"/>
  <c r="R986" i="171" s="1"/>
  <c r="S986" i="171" a="1"/>
  <c r="S986" i="171" s="1"/>
  <c r="R987" i="171" a="1"/>
  <c r="R987" i="171" s="1"/>
  <c r="S987" i="171" a="1"/>
  <c r="S987" i="171" s="1"/>
  <c r="R988" i="171" a="1"/>
  <c r="R988" i="171" s="1"/>
  <c r="S988" i="171" a="1"/>
  <c r="S988" i="171" s="1"/>
  <c r="R989" i="171" a="1"/>
  <c r="R989" i="171" s="1"/>
  <c r="S989" i="171" a="1"/>
  <c r="S989" i="171" s="1"/>
  <c r="R990" i="171" a="1"/>
  <c r="R990" i="171" s="1"/>
  <c r="S990" i="171" a="1"/>
  <c r="S990" i="171" s="1"/>
  <c r="R991" i="171" a="1"/>
  <c r="R991" i="171" s="1"/>
  <c r="S991" i="171" a="1"/>
  <c r="S991" i="171" s="1"/>
  <c r="R992" i="171" a="1"/>
  <c r="R992" i="171" s="1"/>
  <c r="S992" i="171" a="1"/>
  <c r="S992" i="171" s="1"/>
  <c r="R993" i="171" a="1"/>
  <c r="R993" i="171" s="1"/>
  <c r="S993" i="171" a="1"/>
  <c r="S993" i="171" s="1"/>
  <c r="R994" i="171" a="1"/>
  <c r="R994" i="171" s="1"/>
  <c r="S994" i="171" a="1"/>
  <c r="S994" i="171" s="1"/>
  <c r="R995" i="171" a="1"/>
  <c r="R995" i="171" s="1"/>
  <c r="S995" i="171" a="1"/>
  <c r="S995" i="171" s="1"/>
  <c r="R996" i="171" a="1"/>
  <c r="R996" i="171" s="1"/>
  <c r="S996" i="171" a="1"/>
  <c r="S996" i="171" s="1"/>
  <c r="R997" i="171" a="1"/>
  <c r="R997" i="171" s="1"/>
  <c r="S997" i="171" a="1"/>
  <c r="S997" i="171" s="1"/>
  <c r="R998" i="171" a="1"/>
  <c r="R998" i="171" s="1"/>
  <c r="S998" i="171" a="1"/>
  <c r="S998" i="171" s="1"/>
  <c r="R999" i="171" a="1"/>
  <c r="R999" i="171" s="1"/>
  <c r="S999" i="171" a="1"/>
  <c r="S999" i="171" s="1"/>
  <c r="R1000" i="171" a="1"/>
  <c r="R1000" i="171" s="1"/>
  <c r="S1000" i="171" a="1"/>
  <c r="S1000" i="171" s="1"/>
  <c r="R1001" i="171" a="1"/>
  <c r="R1001" i="171" s="1"/>
  <c r="S1001" i="171" a="1"/>
  <c r="S1001" i="171" s="1"/>
  <c r="R1002" i="171" a="1"/>
  <c r="R1002" i="171" s="1"/>
  <c r="S1002" i="171" a="1"/>
  <c r="S1002" i="171" s="1"/>
  <c r="R1003" i="171" a="1"/>
  <c r="R1003" i="171" s="1"/>
  <c r="S1003" i="171" a="1"/>
  <c r="S1003" i="171" s="1"/>
  <c r="R1004" i="171" a="1"/>
  <c r="R1004" i="171" s="1"/>
  <c r="S1004" i="171" a="1"/>
  <c r="S1004" i="171" s="1"/>
  <c r="R1005" i="171" a="1"/>
  <c r="R1005" i="171" s="1"/>
  <c r="S1005" i="171" a="1"/>
  <c r="S1005" i="171" s="1"/>
  <c r="R1006" i="171" a="1"/>
  <c r="R1006" i="171" s="1"/>
  <c r="S1006" i="171" a="1"/>
  <c r="S1006" i="171" s="1"/>
  <c r="R1007" i="171" a="1"/>
  <c r="R1007" i="171" s="1"/>
  <c r="S1007" i="171" a="1"/>
  <c r="S1007" i="171" s="1"/>
  <c r="R1008" i="171" a="1"/>
  <c r="R1008" i="171" s="1"/>
  <c r="S1008" i="171" a="1"/>
  <c r="S1008" i="171" s="1"/>
  <c r="R1009" i="171" a="1"/>
  <c r="R1009" i="171" s="1"/>
  <c r="S1009" i="171" a="1"/>
  <c r="S1009" i="171" s="1"/>
  <c r="R1010" i="171" a="1"/>
  <c r="R1010" i="171" s="1"/>
  <c r="S1010" i="171" a="1"/>
  <c r="S1010" i="171" s="1"/>
  <c r="R1011" i="171" a="1"/>
  <c r="R1011" i="171" s="1"/>
  <c r="S1011" i="171" a="1"/>
  <c r="S1011" i="171" s="1"/>
  <c r="R1012" i="171" a="1"/>
  <c r="R1012" i="171" s="1"/>
  <c r="S1012" i="171" a="1"/>
  <c r="S1012" i="171" s="1"/>
  <c r="R1013" i="171" a="1"/>
  <c r="R1013" i="171" s="1"/>
  <c r="S1013" i="171" a="1"/>
  <c r="S1013" i="171" s="1"/>
  <c r="R1014" i="171" a="1"/>
  <c r="R1014" i="171" s="1"/>
  <c r="S1014" i="171" a="1"/>
  <c r="S1014" i="171" s="1"/>
  <c r="R1015" i="171" a="1"/>
  <c r="R1015" i="171" s="1"/>
  <c r="S1015" i="171" a="1"/>
  <c r="S1015" i="171" s="1"/>
  <c r="R1016" i="171" a="1"/>
  <c r="R1016" i="171" s="1"/>
  <c r="S1016" i="171" a="1"/>
  <c r="S1016" i="171" s="1"/>
  <c r="R1017" i="171" a="1"/>
  <c r="R1017" i="171" s="1"/>
  <c r="S1017" i="171" a="1"/>
  <c r="S1017" i="171" s="1"/>
  <c r="R1018" i="171" a="1"/>
  <c r="R1018" i="171" s="1"/>
  <c r="S1018" i="171" a="1"/>
  <c r="S1018" i="171" s="1"/>
  <c r="R1019" i="171" a="1"/>
  <c r="R1019" i="171" s="1"/>
  <c r="S1019" i="171" a="1"/>
  <c r="S1019" i="171" s="1"/>
  <c r="R1020" i="171" a="1"/>
  <c r="R1020" i="171" s="1"/>
  <c r="S1020" i="171" a="1"/>
  <c r="S1020" i="171" s="1"/>
  <c r="R1021" i="171" a="1"/>
  <c r="R1021" i="171" s="1"/>
  <c r="S1021" i="171" a="1"/>
  <c r="S1021" i="171" s="1"/>
  <c r="R1022" i="171" a="1"/>
  <c r="R1022" i="171" s="1"/>
  <c r="S1022" i="171" a="1"/>
  <c r="S1022" i="171" s="1"/>
  <c r="R1023" i="171" a="1"/>
  <c r="R1023" i="171" s="1"/>
  <c r="S1023" i="171" a="1"/>
  <c r="S1023" i="171" s="1"/>
  <c r="R1024" i="171" a="1"/>
  <c r="R1024" i="171" s="1"/>
  <c r="S1024" i="171" a="1"/>
  <c r="S1024" i="171" s="1"/>
  <c r="R1025" i="171" a="1"/>
  <c r="R1025" i="171" s="1"/>
  <c r="S1025" i="171" a="1"/>
  <c r="S1025" i="171" s="1"/>
  <c r="R1026" i="171" a="1"/>
  <c r="R1026" i="171" s="1"/>
  <c r="S1026" i="171" a="1"/>
  <c r="S1026" i="171" s="1"/>
  <c r="R1027" i="171" a="1"/>
  <c r="R1027" i="171" s="1"/>
  <c r="S1027" i="171" a="1"/>
  <c r="S1027" i="171" s="1"/>
  <c r="R1028" i="171" a="1"/>
  <c r="R1028" i="171" s="1"/>
  <c r="S1028" i="171" a="1"/>
  <c r="S1028" i="171" s="1"/>
  <c r="R1029" i="171" a="1"/>
  <c r="R1029" i="171" s="1"/>
  <c r="S1029" i="171" a="1"/>
  <c r="S1029" i="171" s="1"/>
  <c r="R1030" i="171" a="1"/>
  <c r="R1030" i="171" s="1"/>
  <c r="S1030" i="171" a="1"/>
  <c r="S1030" i="171" s="1"/>
  <c r="R1031" i="171" a="1"/>
  <c r="R1031" i="171" s="1"/>
  <c r="S1031" i="171" a="1"/>
  <c r="S1031" i="171" s="1"/>
  <c r="R1032" i="171" a="1"/>
  <c r="R1032" i="171" s="1"/>
  <c r="S1032" i="171" a="1"/>
  <c r="S1032" i="171" s="1"/>
  <c r="R1033" i="171" a="1"/>
  <c r="R1033" i="171" s="1"/>
  <c r="S1033" i="171" a="1"/>
  <c r="S1033" i="171" s="1"/>
  <c r="R1034" i="171" a="1"/>
  <c r="R1034" i="171" s="1"/>
  <c r="S1034" i="171" a="1"/>
  <c r="S1034" i="171" s="1"/>
  <c r="R1035" i="171" a="1"/>
  <c r="R1035" i="171" s="1"/>
  <c r="S1035" i="171" a="1"/>
  <c r="S1035" i="171" s="1"/>
  <c r="R1036" i="171" a="1"/>
  <c r="R1036" i="171" s="1"/>
  <c r="S1036" i="171" a="1"/>
  <c r="S1036" i="171" s="1"/>
  <c r="R1037" i="171" a="1"/>
  <c r="R1037" i="171" s="1"/>
  <c r="S1037" i="171" a="1"/>
  <c r="S1037" i="171" s="1"/>
  <c r="R1038" i="171" a="1"/>
  <c r="R1038" i="171" s="1"/>
  <c r="S1038" i="171" a="1"/>
  <c r="S1038" i="171" s="1"/>
  <c r="R1039" i="171" a="1"/>
  <c r="R1039" i="171" s="1"/>
  <c r="S1039" i="171" a="1"/>
  <c r="S1039" i="171" s="1"/>
  <c r="R1040" i="171" a="1"/>
  <c r="R1040" i="171" s="1"/>
  <c r="S1040" i="171" a="1"/>
  <c r="S1040" i="171" s="1"/>
  <c r="R1041" i="171" a="1"/>
  <c r="R1041" i="171" s="1"/>
  <c r="S1041" i="171" a="1"/>
  <c r="S1041" i="171" s="1"/>
  <c r="R1042" i="171" a="1"/>
  <c r="R1042" i="171" s="1"/>
  <c r="S1042" i="171" a="1"/>
  <c r="S1042" i="171" s="1"/>
  <c r="R1043" i="171" a="1"/>
  <c r="R1043" i="171" s="1"/>
  <c r="S1043" i="171" a="1"/>
  <c r="S1043" i="171" s="1"/>
  <c r="R1044" i="171" a="1"/>
  <c r="R1044" i="171" s="1"/>
  <c r="S1044" i="171" a="1"/>
  <c r="S1044" i="171" s="1"/>
  <c r="R1045" i="171" a="1"/>
  <c r="R1045" i="171" s="1"/>
  <c r="S1045" i="171" a="1"/>
  <c r="S1045" i="171" s="1"/>
  <c r="R1046" i="171" a="1"/>
  <c r="R1046" i="171" s="1"/>
  <c r="S1046" i="171" a="1"/>
  <c r="S1046" i="171" s="1"/>
  <c r="R1047" i="171" a="1"/>
  <c r="R1047" i="171" s="1"/>
  <c r="S1047" i="171" a="1"/>
  <c r="S1047" i="171" s="1"/>
  <c r="R1048" i="171" a="1"/>
  <c r="R1048" i="171" s="1"/>
  <c r="S1048" i="171" a="1"/>
  <c r="S1048" i="171" s="1"/>
  <c r="R1049" i="171" a="1"/>
  <c r="R1049" i="171" s="1"/>
  <c r="S1049" i="171" a="1"/>
  <c r="S1049" i="171" s="1"/>
  <c r="R1050" i="171" a="1"/>
  <c r="R1050" i="171" s="1"/>
  <c r="S1050" i="171" a="1"/>
  <c r="S1050" i="171" s="1"/>
  <c r="R1051" i="171" a="1"/>
  <c r="R1051" i="171" s="1"/>
  <c r="S1051" i="171" a="1"/>
  <c r="S1051" i="171" s="1"/>
  <c r="R1052" i="171" a="1"/>
  <c r="R1052" i="171" s="1"/>
  <c r="S1052" i="171" a="1"/>
  <c r="S1052" i="171" s="1"/>
  <c r="R1053" i="171" a="1"/>
  <c r="R1053" i="171" s="1"/>
  <c r="S1053" i="171" a="1"/>
  <c r="S1053" i="171" s="1"/>
  <c r="R1054" i="171" a="1"/>
  <c r="R1054" i="171" s="1"/>
  <c r="S1054" i="171" a="1"/>
  <c r="S1054" i="171" s="1"/>
  <c r="R1055" i="171" a="1"/>
  <c r="R1055" i="171" s="1"/>
  <c r="S1055" i="171" a="1"/>
  <c r="S1055" i="171" s="1"/>
  <c r="R1056" i="171" a="1"/>
  <c r="R1056" i="171" s="1"/>
  <c r="S1056" i="171" a="1"/>
  <c r="S1056" i="171" s="1"/>
  <c r="R1057" i="171" a="1"/>
  <c r="R1057" i="171" s="1"/>
  <c r="S1057" i="171" a="1"/>
  <c r="S1057" i="171" s="1"/>
  <c r="R1058" i="171" a="1"/>
  <c r="R1058" i="171" s="1"/>
  <c r="S1058" i="171" a="1"/>
  <c r="S1058" i="171" s="1"/>
  <c r="R1059" i="171" a="1"/>
  <c r="R1059" i="171" s="1"/>
  <c r="S1059" i="171" a="1"/>
  <c r="S1059" i="171" s="1"/>
  <c r="R1060" i="171" a="1"/>
  <c r="R1060" i="171" s="1"/>
  <c r="S1060" i="171" a="1"/>
  <c r="S1060" i="171" s="1"/>
  <c r="R1061" i="171" a="1"/>
  <c r="R1061" i="171" s="1"/>
  <c r="S1061" i="171" a="1"/>
  <c r="S1061" i="171" s="1"/>
  <c r="R1062" i="171" a="1"/>
  <c r="R1062" i="171" s="1"/>
  <c r="S1062" i="171" a="1"/>
  <c r="S1062" i="171" s="1"/>
  <c r="R1063" i="171" a="1"/>
  <c r="R1063" i="171" s="1"/>
  <c r="S1063" i="171" a="1"/>
  <c r="S1063" i="171" s="1"/>
  <c r="R1064" i="171" a="1"/>
  <c r="R1064" i="171" s="1"/>
  <c r="S1064" i="171" a="1"/>
  <c r="S1064" i="171" s="1"/>
  <c r="R1065" i="171" a="1"/>
  <c r="R1065" i="171" s="1"/>
  <c r="S1065" i="171" a="1"/>
  <c r="S1065" i="171" s="1"/>
  <c r="R1066" i="171" a="1"/>
  <c r="R1066" i="171" s="1"/>
  <c r="S1066" i="171" a="1"/>
  <c r="S1066" i="171" s="1"/>
  <c r="R1067" i="171" a="1"/>
  <c r="R1067" i="171" s="1"/>
  <c r="S1067" i="171" a="1"/>
  <c r="S1067" i="171" s="1"/>
  <c r="R1068" i="171" a="1"/>
  <c r="R1068" i="171" s="1"/>
  <c r="S1068" i="171" a="1"/>
  <c r="S1068" i="171" s="1"/>
  <c r="R1069" i="171" a="1"/>
  <c r="R1069" i="171" s="1"/>
  <c r="S1069" i="171" a="1"/>
  <c r="S1069" i="171" s="1"/>
  <c r="R1070" i="171" a="1"/>
  <c r="R1070" i="171" s="1"/>
  <c r="S1070" i="171" a="1"/>
  <c r="S1070" i="171" s="1"/>
  <c r="R1071" i="171" a="1"/>
  <c r="R1071" i="171" s="1"/>
  <c r="S1071" i="171" a="1"/>
  <c r="S1071" i="171" s="1"/>
  <c r="R1072" i="171" a="1"/>
  <c r="R1072" i="171" s="1"/>
  <c r="S1072" i="171" a="1"/>
  <c r="S1072" i="171" s="1"/>
  <c r="R1073" i="171" a="1"/>
  <c r="R1073" i="171" s="1"/>
  <c r="S1073" i="171" a="1"/>
  <c r="S1073" i="171" s="1"/>
  <c r="R1074" i="171" a="1"/>
  <c r="R1074" i="171" s="1"/>
  <c r="S1074" i="171" a="1"/>
  <c r="S1074" i="171" s="1"/>
  <c r="R1075" i="171" a="1"/>
  <c r="R1075" i="171" s="1"/>
  <c r="S1075" i="171" a="1"/>
  <c r="S1075" i="171" s="1"/>
  <c r="R1076" i="171" a="1"/>
  <c r="R1076" i="171" s="1"/>
  <c r="S1076" i="171" a="1"/>
  <c r="S1076" i="171" s="1"/>
  <c r="R1077" i="171" a="1"/>
  <c r="R1077" i="171" s="1"/>
  <c r="S1077" i="171" a="1"/>
  <c r="S1077" i="171" s="1"/>
  <c r="R1078" i="171" a="1"/>
  <c r="R1078" i="171" s="1"/>
  <c r="S1078" i="171" a="1"/>
  <c r="S1078" i="171" s="1"/>
  <c r="R1079" i="171" a="1"/>
  <c r="R1079" i="171" s="1"/>
  <c r="S1079" i="171" a="1"/>
  <c r="S1079" i="171" s="1"/>
  <c r="R1080" i="171" a="1"/>
  <c r="R1080" i="171" s="1"/>
  <c r="S1080" i="171" a="1"/>
  <c r="S1080" i="171" s="1"/>
  <c r="R1081" i="171" a="1"/>
  <c r="R1081" i="171" s="1"/>
  <c r="S1081" i="171" a="1"/>
  <c r="S1081" i="171" s="1"/>
  <c r="R1082" i="171" a="1"/>
  <c r="R1082" i="171" s="1"/>
  <c r="S1082" i="171" a="1"/>
  <c r="S1082" i="171" s="1"/>
  <c r="R1083" i="171" a="1"/>
  <c r="R1083" i="171" s="1"/>
  <c r="S1083" i="171" a="1"/>
  <c r="S1083" i="171" s="1"/>
  <c r="R1084" i="171" a="1"/>
  <c r="R1084" i="171" s="1"/>
  <c r="S1084" i="171" a="1"/>
  <c r="S1084" i="171" s="1"/>
  <c r="R1085" i="171" a="1"/>
  <c r="R1085" i="171" s="1"/>
  <c r="S1085" i="171" a="1"/>
  <c r="S1085" i="171" s="1"/>
  <c r="R1086" i="171" a="1"/>
  <c r="R1086" i="171" s="1"/>
  <c r="S1086" i="171" a="1"/>
  <c r="S1086" i="171" s="1"/>
  <c r="R1087" i="171" a="1"/>
  <c r="R1087" i="171" s="1"/>
  <c r="S1087" i="171" a="1"/>
  <c r="S1087" i="171" s="1"/>
  <c r="R1088" i="171" a="1"/>
  <c r="R1088" i="171" s="1"/>
  <c r="S1088" i="171" a="1"/>
  <c r="S1088" i="171" s="1"/>
  <c r="R1089" i="171" a="1"/>
  <c r="R1089" i="171" s="1"/>
  <c r="S1089" i="171" a="1"/>
  <c r="S1089" i="171" s="1"/>
  <c r="R1090" i="171" a="1"/>
  <c r="R1090" i="171" s="1"/>
  <c r="S1090" i="171" a="1"/>
  <c r="S1090" i="171" s="1"/>
  <c r="R1091" i="171" a="1"/>
  <c r="R1091" i="171" s="1"/>
  <c r="S1091" i="171" a="1"/>
  <c r="S1091" i="171" s="1"/>
  <c r="R1092" i="171" a="1"/>
  <c r="R1092" i="171" s="1"/>
  <c r="S1092" i="171" a="1"/>
  <c r="S1092" i="171" s="1"/>
  <c r="R1093" i="171" a="1"/>
  <c r="R1093" i="171" s="1"/>
  <c r="S1093" i="171" a="1"/>
  <c r="S1093" i="171" s="1"/>
  <c r="R1094" i="171" a="1"/>
  <c r="R1094" i="171" s="1"/>
  <c r="S1094" i="171" a="1"/>
  <c r="S1094" i="171" s="1"/>
  <c r="R1095" i="171" a="1"/>
  <c r="R1095" i="171" s="1"/>
  <c r="S1095" i="171" a="1"/>
  <c r="S1095" i="171" s="1"/>
  <c r="R1096" i="171" a="1"/>
  <c r="R1096" i="171" s="1"/>
  <c r="S1096" i="171" a="1"/>
  <c r="S1096" i="171" s="1"/>
  <c r="R1097" i="171" a="1"/>
  <c r="R1097" i="171" s="1"/>
  <c r="S1097" i="171" a="1"/>
  <c r="S1097" i="171" s="1"/>
  <c r="R1098" i="171" a="1"/>
  <c r="R1098" i="171" s="1"/>
  <c r="S1098" i="171" a="1"/>
  <c r="S1098" i="171" s="1"/>
  <c r="R1099" i="171" a="1"/>
  <c r="R1099" i="171" s="1"/>
  <c r="S1099" i="171" a="1"/>
  <c r="S1099" i="171" s="1"/>
  <c r="R1100" i="171" a="1"/>
  <c r="R1100" i="171" s="1"/>
  <c r="S1100" i="171" a="1"/>
  <c r="S1100" i="171" s="1"/>
  <c r="R1101" i="171" a="1"/>
  <c r="R1101" i="171" s="1"/>
  <c r="S1101" i="171" a="1"/>
  <c r="S1101" i="171" s="1"/>
  <c r="R1102" i="171" a="1"/>
  <c r="R1102" i="171" s="1"/>
  <c r="S1102" i="171" a="1"/>
  <c r="S1102" i="171" s="1"/>
  <c r="R1103" i="171" a="1"/>
  <c r="R1103" i="171" s="1"/>
  <c r="S1103" i="171" a="1"/>
  <c r="S1103" i="171" s="1"/>
  <c r="R1104" i="171" a="1"/>
  <c r="R1104" i="171" s="1"/>
  <c r="S1104" i="171" a="1"/>
  <c r="S1104" i="171" s="1"/>
  <c r="R1105" i="171" a="1"/>
  <c r="R1105" i="171" s="1"/>
  <c r="S1105" i="171" a="1"/>
  <c r="S1105" i="171" s="1"/>
  <c r="R1106" i="171" a="1"/>
  <c r="R1106" i="171" s="1"/>
  <c r="S1106" i="171" a="1"/>
  <c r="S1106" i="171" s="1"/>
  <c r="R1107" i="171" a="1"/>
  <c r="R1107" i="171" s="1"/>
  <c r="S1107" i="171" a="1"/>
  <c r="S1107" i="171" s="1"/>
  <c r="R1108" i="171" a="1"/>
  <c r="R1108" i="171" s="1"/>
  <c r="S1108" i="171" a="1"/>
  <c r="S1108" i="171" s="1"/>
  <c r="R1109" i="171" a="1"/>
  <c r="R1109" i="171" s="1"/>
  <c r="S1109" i="171" a="1"/>
  <c r="S1109" i="171" s="1"/>
  <c r="R1110" i="171" a="1"/>
  <c r="R1110" i="171" s="1"/>
  <c r="S1110" i="171" a="1"/>
  <c r="S1110" i="171" s="1"/>
  <c r="R1111" i="171" a="1"/>
  <c r="R1111" i="171" s="1"/>
  <c r="S1111" i="171" a="1"/>
  <c r="S1111" i="171" s="1"/>
  <c r="R1112" i="171" a="1"/>
  <c r="R1112" i="171" s="1"/>
  <c r="S1112" i="171" a="1"/>
  <c r="S1112" i="171" s="1"/>
  <c r="R1113" i="171" a="1"/>
  <c r="R1113" i="171" s="1"/>
  <c r="S1113" i="171" a="1"/>
  <c r="S1113" i="171" s="1"/>
  <c r="R1114" i="171" a="1"/>
  <c r="R1114" i="171" s="1"/>
  <c r="S1114" i="171" a="1"/>
  <c r="S1114" i="171" s="1"/>
  <c r="R1115" i="171" a="1"/>
  <c r="R1115" i="171"/>
  <c r="S1115" i="171" a="1"/>
  <c r="S1115" i="171" s="1"/>
  <c r="R1116" i="171" a="1"/>
  <c r="R1116" i="171" s="1"/>
  <c r="S1116" i="171" a="1"/>
  <c r="S1116" i="171" s="1"/>
  <c r="R1117" i="171" a="1"/>
  <c r="R1117" i="171" s="1"/>
  <c r="S1117" i="171" a="1"/>
  <c r="S1117" i="171" s="1"/>
  <c r="R1118" i="171" a="1"/>
  <c r="R1118" i="171" s="1"/>
  <c r="S1118" i="171" a="1"/>
  <c r="S1118" i="171" s="1"/>
  <c r="R1119" i="171" a="1"/>
  <c r="R1119" i="171" s="1"/>
  <c r="S1119" i="171" a="1"/>
  <c r="S1119" i="171" s="1"/>
  <c r="R1120" i="171" a="1"/>
  <c r="R1120" i="171" s="1"/>
  <c r="S1120" i="171" a="1"/>
  <c r="S1120" i="171" s="1"/>
  <c r="R1121" i="171" a="1"/>
  <c r="R1121" i="171" s="1"/>
  <c r="S1121" i="171" a="1"/>
  <c r="S1121" i="171" s="1"/>
  <c r="R1122" i="171" a="1"/>
  <c r="R1122" i="171" s="1"/>
  <c r="S1122" i="171" a="1"/>
  <c r="S1122" i="171" s="1"/>
  <c r="R1123" i="171" a="1"/>
  <c r="R1123" i="171" s="1"/>
  <c r="S1123" i="171" a="1"/>
  <c r="S1123" i="171" s="1"/>
  <c r="R1124" i="171" a="1"/>
  <c r="R1124" i="171" s="1"/>
  <c r="S1124" i="171" a="1"/>
  <c r="S1124" i="171" s="1"/>
  <c r="R1125" i="171" a="1"/>
  <c r="R1125" i="171" s="1"/>
  <c r="S1125" i="171" a="1"/>
  <c r="S1125" i="171" s="1"/>
  <c r="R1126" i="171" a="1"/>
  <c r="R1126" i="171" s="1"/>
  <c r="S1126" i="171" a="1"/>
  <c r="S1126" i="171" s="1"/>
  <c r="R1127" i="171" a="1"/>
  <c r="R1127" i="171" s="1"/>
  <c r="S1127" i="171" a="1"/>
  <c r="S1127" i="171" s="1"/>
  <c r="R1128" i="171" a="1"/>
  <c r="R1128" i="171" s="1"/>
  <c r="S1128" i="171" a="1"/>
  <c r="S1128" i="171" s="1"/>
  <c r="R1129" i="171" a="1"/>
  <c r="R1129" i="171" s="1"/>
  <c r="S1129" i="171" a="1"/>
  <c r="S1129" i="171" s="1"/>
  <c r="R1130" i="171" a="1"/>
  <c r="R1130" i="171" s="1"/>
  <c r="S1130" i="171" a="1"/>
  <c r="S1130" i="171" s="1"/>
  <c r="R1131" i="171" a="1"/>
  <c r="R1131" i="171" s="1"/>
  <c r="S1131" i="171" a="1"/>
  <c r="S1131" i="171" s="1"/>
  <c r="R1132" i="171" a="1"/>
  <c r="R1132" i="171" s="1"/>
  <c r="S1132" i="171" a="1"/>
  <c r="S1132" i="171" s="1"/>
  <c r="R1133" i="171" a="1"/>
  <c r="R1133" i="171" s="1"/>
  <c r="S1133" i="171" a="1"/>
  <c r="S1133" i="171" s="1"/>
  <c r="R1134" i="171" a="1"/>
  <c r="R1134" i="171" s="1"/>
  <c r="S1134" i="171" a="1"/>
  <c r="S1134" i="171" s="1"/>
  <c r="R1135" i="171" a="1"/>
  <c r="R1135" i="171" s="1"/>
  <c r="S1135" i="171" a="1"/>
  <c r="S1135" i="171" s="1"/>
  <c r="R1136" i="171" a="1"/>
  <c r="R1136" i="171" s="1"/>
  <c r="S1136" i="171" a="1"/>
  <c r="S1136" i="171" s="1"/>
  <c r="R1137" i="171" a="1"/>
  <c r="R1137" i="171" s="1"/>
  <c r="S1137" i="171" a="1"/>
  <c r="S1137" i="171" s="1"/>
  <c r="R1138" i="171" a="1"/>
  <c r="R1138" i="171" s="1"/>
  <c r="S1138" i="171" a="1"/>
  <c r="S1138" i="171" s="1"/>
  <c r="R1139" i="171" a="1"/>
  <c r="R1139" i="171" s="1"/>
  <c r="S1139" i="171" a="1"/>
  <c r="S1139" i="171" s="1"/>
  <c r="R1140" i="171" a="1"/>
  <c r="R1140" i="171" s="1"/>
  <c r="S1140" i="171" a="1"/>
  <c r="S1140" i="171" s="1"/>
  <c r="R1141" i="171" a="1"/>
  <c r="R1141" i="171" s="1"/>
  <c r="S1141" i="171" a="1"/>
  <c r="S1141" i="171" s="1"/>
  <c r="R1142" i="171" a="1"/>
  <c r="R1142" i="171" s="1"/>
  <c r="S1142" i="171" a="1"/>
  <c r="S1142" i="171" s="1"/>
  <c r="R1143" i="171" a="1"/>
  <c r="R1143" i="171" s="1"/>
  <c r="S1143" i="171" a="1"/>
  <c r="S1143" i="171" s="1"/>
  <c r="R1144" i="171" a="1"/>
  <c r="R1144" i="171" s="1"/>
  <c r="S1144" i="171" a="1"/>
  <c r="S1144" i="171" s="1"/>
  <c r="R1145" i="171" a="1"/>
  <c r="R1145" i="171" s="1"/>
  <c r="S1145" i="171" a="1"/>
  <c r="S1145" i="171" s="1"/>
  <c r="R1146" i="171" a="1"/>
  <c r="R1146" i="171" s="1"/>
  <c r="S1146" i="171" a="1"/>
  <c r="S1146" i="171" s="1"/>
  <c r="R1147" i="171" a="1"/>
  <c r="R1147" i="171" s="1"/>
  <c r="S1147" i="171" a="1"/>
  <c r="S1147" i="171" s="1"/>
  <c r="R1148" i="171" a="1"/>
  <c r="R1148" i="171" s="1"/>
  <c r="S1148" i="171" a="1"/>
  <c r="S1148" i="171" s="1"/>
  <c r="R1149" i="171" a="1"/>
  <c r="R1149" i="171" s="1"/>
  <c r="S1149" i="171" a="1"/>
  <c r="S1149" i="171" s="1"/>
  <c r="R1150" i="171" a="1"/>
  <c r="R1150" i="171" s="1"/>
  <c r="S1150" i="171" a="1"/>
  <c r="S1150" i="171" s="1"/>
  <c r="R1151" i="171" a="1"/>
  <c r="R1151" i="171" s="1"/>
  <c r="S1151" i="171" a="1"/>
  <c r="S1151" i="171" s="1"/>
  <c r="R1152" i="171" a="1"/>
  <c r="R1152" i="171" s="1"/>
  <c r="S1152" i="171" a="1"/>
  <c r="S1152" i="171" s="1"/>
  <c r="R1153" i="171" a="1"/>
  <c r="R1153" i="171" s="1"/>
  <c r="S1153" i="171" a="1"/>
  <c r="S1153" i="171" s="1"/>
  <c r="R1154" i="171" a="1"/>
  <c r="R1154" i="171" s="1"/>
  <c r="S1154" i="171" a="1"/>
  <c r="S1154" i="171" s="1"/>
  <c r="R1155" i="171" a="1"/>
  <c r="R1155" i="171" s="1"/>
  <c r="S1155" i="171" a="1"/>
  <c r="S1155" i="171" s="1"/>
  <c r="R1156" i="171" a="1"/>
  <c r="R1156" i="171" s="1"/>
  <c r="S1156" i="171" a="1"/>
  <c r="S1156" i="171" s="1"/>
  <c r="R1157" i="171" a="1"/>
  <c r="R1157" i="171" s="1"/>
  <c r="S1157" i="171" a="1"/>
  <c r="S1157" i="171" s="1"/>
  <c r="R1158" i="171" a="1"/>
  <c r="R1158" i="171" s="1"/>
  <c r="S1158" i="171" a="1"/>
  <c r="S1158" i="171" s="1"/>
  <c r="R1159" i="171" a="1"/>
  <c r="R1159" i="171" s="1"/>
  <c r="S1159" i="171" a="1"/>
  <c r="S1159" i="171" s="1"/>
  <c r="R1160" i="171" a="1"/>
  <c r="R1160" i="171" s="1"/>
  <c r="S1160" i="171" a="1"/>
  <c r="S1160" i="171" s="1"/>
  <c r="R1161" i="171" a="1"/>
  <c r="R1161" i="171" s="1"/>
  <c r="S1161" i="171" a="1"/>
  <c r="S1161" i="171" s="1"/>
  <c r="R1162" i="171" a="1"/>
  <c r="R1162" i="171" s="1"/>
  <c r="S1162" i="171" a="1"/>
  <c r="S1162" i="171" s="1"/>
  <c r="R1163" i="171" a="1"/>
  <c r="R1163" i="171" s="1"/>
  <c r="S1163" i="171" a="1"/>
  <c r="S1163" i="171" s="1"/>
  <c r="R1164" i="171" a="1"/>
  <c r="R1164" i="171" s="1"/>
  <c r="S1164" i="171" a="1"/>
  <c r="S1164" i="171" s="1"/>
  <c r="R1165" i="171" a="1"/>
  <c r="R1165" i="171" s="1"/>
  <c r="S1165" i="171" a="1"/>
  <c r="S1165" i="171" s="1"/>
  <c r="R1166" i="171" a="1"/>
  <c r="R1166" i="171" s="1"/>
  <c r="S1166" i="171" a="1"/>
  <c r="S1166" i="171" s="1"/>
  <c r="R1167" i="171" a="1"/>
  <c r="R1167" i="171" s="1"/>
  <c r="S1167" i="171" a="1"/>
  <c r="S1167" i="171" s="1"/>
  <c r="R1168" i="171" a="1"/>
  <c r="R1168" i="171" s="1"/>
  <c r="S1168" i="171" a="1"/>
  <c r="S1168" i="171" s="1"/>
  <c r="R1169" i="171" a="1"/>
  <c r="R1169" i="171" s="1"/>
  <c r="S1169" i="171" a="1"/>
  <c r="S1169" i="171" s="1"/>
  <c r="R1170" i="171" a="1"/>
  <c r="R1170" i="171" s="1"/>
  <c r="S1170" i="171" a="1"/>
  <c r="S1170" i="171" s="1"/>
  <c r="R1171" i="171" a="1"/>
  <c r="R1171" i="171" s="1"/>
  <c r="S1171" i="171" a="1"/>
  <c r="S1171" i="171" s="1"/>
  <c r="R1172" i="171" a="1"/>
  <c r="R1172" i="171" s="1"/>
  <c r="S1172" i="171" a="1"/>
  <c r="S1172" i="171" s="1"/>
  <c r="R1173" i="171" a="1"/>
  <c r="R1173" i="171" s="1"/>
  <c r="S1173" i="171" a="1"/>
  <c r="S1173" i="171" s="1"/>
  <c r="R1174" i="171" a="1"/>
  <c r="R1174" i="171" s="1"/>
  <c r="S1174" i="171" a="1"/>
  <c r="S1174" i="171" s="1"/>
  <c r="R1175" i="171" a="1"/>
  <c r="R1175" i="171" s="1"/>
  <c r="S1175" i="171" a="1"/>
  <c r="S1175" i="171" s="1"/>
  <c r="R1176" i="171" a="1"/>
  <c r="R1176" i="171" s="1"/>
  <c r="S1176" i="171" a="1"/>
  <c r="S1176" i="171" s="1"/>
  <c r="R1177" i="171" a="1"/>
  <c r="R1177" i="171" s="1"/>
  <c r="S1177" i="171" a="1"/>
  <c r="S1177" i="171" s="1"/>
  <c r="R1178" i="171" a="1"/>
  <c r="R1178" i="171" s="1"/>
  <c r="S1178" i="171" a="1"/>
  <c r="S1178" i="171" s="1"/>
  <c r="R1179" i="171" a="1"/>
  <c r="R1179" i="171" s="1"/>
  <c r="S1179" i="171" a="1"/>
  <c r="S1179" i="171" s="1"/>
  <c r="R1180" i="171" a="1"/>
  <c r="R1180" i="171" s="1"/>
  <c r="S1180" i="171" a="1"/>
  <c r="S1180" i="171" s="1"/>
  <c r="R1181" i="171" a="1"/>
  <c r="R1181" i="171" s="1"/>
  <c r="S1181" i="171" a="1"/>
  <c r="S1181" i="171" s="1"/>
  <c r="R1182" i="171" a="1"/>
  <c r="R1182" i="171" s="1"/>
  <c r="S1182" i="171" a="1"/>
  <c r="S1182" i="171" s="1"/>
  <c r="R1183" i="171" a="1"/>
  <c r="R1183" i="171" s="1"/>
  <c r="S1183" i="171" a="1"/>
  <c r="S1183" i="171" s="1"/>
  <c r="R1184" i="171" a="1"/>
  <c r="R1184" i="171" s="1"/>
  <c r="S1184" i="171" a="1"/>
  <c r="S1184" i="171" s="1"/>
  <c r="R1185" i="171" a="1"/>
  <c r="R1185" i="171" s="1"/>
  <c r="S1185" i="171" a="1"/>
  <c r="S1185" i="171" s="1"/>
  <c r="R1186" i="171" a="1"/>
  <c r="R1186" i="171" s="1"/>
  <c r="S1186" i="171" a="1"/>
  <c r="S1186" i="171" s="1"/>
  <c r="R1187" i="171" a="1"/>
  <c r="R1187" i="171" s="1"/>
  <c r="S1187" i="171" a="1"/>
  <c r="S1187" i="171" s="1"/>
  <c r="R1188" i="171" a="1"/>
  <c r="R1188" i="171" s="1"/>
  <c r="S1188" i="171" a="1"/>
  <c r="S1188" i="171" s="1"/>
  <c r="R1189" i="171" a="1"/>
  <c r="R1189" i="171" s="1"/>
  <c r="S1189" i="171" a="1"/>
  <c r="S1189" i="171" s="1"/>
  <c r="R1190" i="171" a="1"/>
  <c r="R1190" i="171" s="1"/>
  <c r="S1190" i="171" a="1"/>
  <c r="S1190" i="171" s="1"/>
  <c r="R1191" i="171" a="1"/>
  <c r="R1191" i="171" s="1"/>
  <c r="S1191" i="171" a="1"/>
  <c r="S1191" i="171" s="1"/>
  <c r="R1192" i="171" a="1"/>
  <c r="R1192" i="171" s="1"/>
  <c r="S1192" i="171" a="1"/>
  <c r="S1192" i="171" s="1"/>
  <c r="R1193" i="171" a="1"/>
  <c r="R1193" i="171" s="1"/>
  <c r="S1193" i="171" a="1"/>
  <c r="S1193" i="171" s="1"/>
  <c r="R1194" i="171" a="1"/>
  <c r="R1194" i="171" s="1"/>
  <c r="S1194" i="171" a="1"/>
  <c r="S1194" i="171" s="1"/>
  <c r="R1195" i="171" a="1"/>
  <c r="R1195" i="171" s="1"/>
  <c r="S1195" i="171" a="1"/>
  <c r="S1195" i="171" s="1"/>
  <c r="R1196" i="171" a="1"/>
  <c r="R1196" i="171" s="1"/>
  <c r="S1196" i="171" a="1"/>
  <c r="S1196" i="171" s="1"/>
  <c r="R1197" i="171" a="1"/>
  <c r="R1197" i="171" s="1"/>
  <c r="S1197" i="171" a="1"/>
  <c r="S1197" i="171" s="1"/>
  <c r="R1198" i="171" a="1"/>
  <c r="R1198" i="171" s="1"/>
  <c r="S1198" i="171" a="1"/>
  <c r="S1198" i="171" s="1"/>
  <c r="S57" i="171" a="1"/>
  <c r="S57" i="171" s="1"/>
  <c r="S58" i="171" a="1"/>
  <c r="S58" i="171" s="1"/>
  <c r="S59" i="171" a="1"/>
  <c r="S59" i="171" s="1"/>
  <c r="S60" i="171" a="1"/>
  <c r="S60" i="171" s="1"/>
  <c r="S61" i="171" a="1"/>
  <c r="S61" i="171" s="1"/>
  <c r="S62" i="171" a="1"/>
  <c r="S62" i="171" s="1"/>
  <c r="S63" i="171" a="1"/>
  <c r="S63" i="171" s="1"/>
  <c r="S64" i="171" a="1"/>
  <c r="S64" i="171" s="1"/>
  <c r="S65" i="171" a="1"/>
  <c r="S65" i="171" s="1"/>
  <c r="S66" i="171" a="1"/>
  <c r="S66" i="171" s="1"/>
  <c r="S67" i="171" a="1"/>
  <c r="S67" i="171" s="1"/>
  <c r="P54" i="171"/>
  <c r="Q786" i="171" s="1"/>
  <c r="S56" i="171" a="1"/>
  <c r="S56" i="171" s="1"/>
  <c r="L57" i="171" a="1"/>
  <c r="L57" i="171" s="1"/>
  <c r="L58" i="171" a="1"/>
  <c r="L58" i="171" s="1"/>
  <c r="L59" i="171" a="1"/>
  <c r="L59" i="171" s="1"/>
  <c r="L60" i="171" a="1"/>
  <c r="L60" i="171" s="1"/>
  <c r="L61" i="171" a="1"/>
  <c r="L61" i="171" s="1"/>
  <c r="L62" i="171" a="1"/>
  <c r="L62" i="171" s="1"/>
  <c r="L63" i="171" a="1"/>
  <c r="L63" i="171" s="1"/>
  <c r="L64" i="171" a="1"/>
  <c r="L64" i="171" s="1"/>
  <c r="L65" i="171" a="1"/>
  <c r="L65" i="171" s="1"/>
  <c r="L66" i="171" a="1"/>
  <c r="L66" i="171" s="1"/>
  <c r="L67" i="171" a="1"/>
  <c r="L67" i="171" s="1"/>
  <c r="L68" i="171" a="1"/>
  <c r="L68" i="171" s="1"/>
  <c r="L69" i="171" a="1"/>
  <c r="L69" i="171" s="1"/>
  <c r="L70" i="171" a="1"/>
  <c r="L70" i="171" s="1"/>
  <c r="L71" i="171" a="1"/>
  <c r="L71" i="171" s="1"/>
  <c r="L72" i="171" a="1"/>
  <c r="L72" i="171" s="1"/>
  <c r="L73" i="171" a="1"/>
  <c r="L73" i="171" s="1"/>
  <c r="L74" i="171" a="1"/>
  <c r="L74" i="171" s="1"/>
  <c r="L75" i="171" a="1"/>
  <c r="L75" i="171" s="1"/>
  <c r="L76" i="171" a="1"/>
  <c r="L76" i="171" s="1"/>
  <c r="L77" i="171" a="1"/>
  <c r="L77" i="171" s="1"/>
  <c r="L78" i="171" a="1"/>
  <c r="L78" i="171" s="1"/>
  <c r="L79" i="171" a="1"/>
  <c r="L79" i="171" s="1"/>
  <c r="L80" i="171" a="1"/>
  <c r="L80" i="171"/>
  <c r="L81" i="171" a="1"/>
  <c r="L81" i="171" s="1"/>
  <c r="L82" i="171" a="1"/>
  <c r="L82" i="171" s="1"/>
  <c r="L83" i="171" a="1"/>
  <c r="L83" i="171" s="1"/>
  <c r="L84" i="171" a="1"/>
  <c r="L84" i="171" s="1"/>
  <c r="L85" i="171" a="1"/>
  <c r="L85" i="171" s="1"/>
  <c r="L86" i="171" a="1"/>
  <c r="L86" i="171" s="1"/>
  <c r="L87" i="171" a="1"/>
  <c r="L87" i="171" s="1"/>
  <c r="L88" i="171" a="1"/>
  <c r="L88" i="171" s="1"/>
  <c r="L89" i="171" a="1"/>
  <c r="L89" i="171" s="1"/>
  <c r="L90" i="171" a="1"/>
  <c r="L90" i="171" s="1"/>
  <c r="L91" i="171" a="1"/>
  <c r="L91" i="171" s="1"/>
  <c r="L92" i="171" a="1"/>
  <c r="L92" i="171" s="1"/>
  <c r="L93" i="171" a="1"/>
  <c r="L93" i="171" s="1"/>
  <c r="L94" i="171" a="1"/>
  <c r="L94" i="171" s="1"/>
  <c r="L95" i="171" a="1"/>
  <c r="L95" i="171" s="1"/>
  <c r="L96" i="171" a="1"/>
  <c r="L96" i="171" s="1"/>
  <c r="L97" i="171" a="1"/>
  <c r="L97" i="171" s="1"/>
  <c r="L98" i="171" a="1"/>
  <c r="L98" i="171" s="1"/>
  <c r="L99" i="171" a="1"/>
  <c r="L99" i="171" s="1"/>
  <c r="L100" i="171" a="1"/>
  <c r="L100" i="171" s="1"/>
  <c r="L101" i="171" a="1"/>
  <c r="L101" i="171" s="1"/>
  <c r="L102" i="171" a="1"/>
  <c r="L102" i="171" s="1"/>
  <c r="L103" i="171" a="1"/>
  <c r="L103" i="171" s="1"/>
  <c r="L104" i="171" a="1"/>
  <c r="L104" i="171" s="1"/>
  <c r="L105" i="171" a="1"/>
  <c r="L105" i="171" s="1"/>
  <c r="L106" i="171" a="1"/>
  <c r="L106" i="171" s="1"/>
  <c r="L107" i="171" a="1"/>
  <c r="L107" i="171" s="1"/>
  <c r="L108" i="171" a="1"/>
  <c r="L108" i="171" s="1"/>
  <c r="L109" i="171" a="1"/>
  <c r="L109" i="171" s="1"/>
  <c r="L110" i="171" a="1"/>
  <c r="L110" i="171" s="1"/>
  <c r="L111" i="171" a="1"/>
  <c r="L111" i="171" s="1"/>
  <c r="L112" i="171" a="1"/>
  <c r="L112" i="171" s="1"/>
  <c r="L113" i="171" a="1"/>
  <c r="L113" i="171" s="1"/>
  <c r="L114" i="171" a="1"/>
  <c r="L114" i="171" s="1"/>
  <c r="L115" i="171" a="1"/>
  <c r="L115" i="171" s="1"/>
  <c r="L116" i="171" a="1"/>
  <c r="L116" i="171" s="1"/>
  <c r="L117" i="171" a="1"/>
  <c r="L117" i="171" s="1"/>
  <c r="L118" i="171" a="1"/>
  <c r="L118" i="171" s="1"/>
  <c r="L119" i="171" a="1"/>
  <c r="L119" i="171" s="1"/>
  <c r="L120" i="171" a="1"/>
  <c r="L120" i="171" s="1"/>
  <c r="L121" i="171" a="1"/>
  <c r="L121" i="171" s="1"/>
  <c r="L122" i="171" a="1"/>
  <c r="L122" i="171" s="1"/>
  <c r="L123" i="171" a="1"/>
  <c r="L123" i="171" s="1"/>
  <c r="L124" i="171" a="1"/>
  <c r="L124" i="171" s="1"/>
  <c r="L125" i="171" a="1"/>
  <c r="L125" i="171" s="1"/>
  <c r="L126" i="171" a="1"/>
  <c r="L126" i="171" s="1"/>
  <c r="L127" i="171" a="1"/>
  <c r="L127" i="171" s="1"/>
  <c r="L128" i="171" a="1"/>
  <c r="L128" i="171" s="1"/>
  <c r="L129" i="171" a="1"/>
  <c r="L129" i="171" s="1"/>
  <c r="L130" i="171" a="1"/>
  <c r="L130" i="171" s="1"/>
  <c r="L131" i="171" a="1"/>
  <c r="L131" i="171" s="1"/>
  <c r="L132" i="171" a="1"/>
  <c r="L132" i="171" s="1"/>
  <c r="L133" i="171" a="1"/>
  <c r="L133" i="171" s="1"/>
  <c r="L134" i="171" a="1"/>
  <c r="L134" i="171" s="1"/>
  <c r="L135" i="171" a="1"/>
  <c r="L135" i="171" s="1"/>
  <c r="L136" i="171" a="1"/>
  <c r="L136" i="171" s="1"/>
  <c r="L137" i="171" a="1"/>
  <c r="L137" i="171" s="1"/>
  <c r="L138" i="171" a="1"/>
  <c r="L138" i="171" s="1"/>
  <c r="L139" i="171" a="1"/>
  <c r="L139" i="171" s="1"/>
  <c r="L140" i="171" a="1"/>
  <c r="L140" i="171" s="1"/>
  <c r="L141" i="171" a="1"/>
  <c r="L141" i="171" s="1"/>
  <c r="L142" i="171" a="1"/>
  <c r="L142" i="171" s="1"/>
  <c r="L143" i="171" a="1"/>
  <c r="L143" i="171" s="1"/>
  <c r="L144" i="171" a="1"/>
  <c r="L144" i="171" s="1"/>
  <c r="L145" i="171" a="1"/>
  <c r="L145" i="171" s="1"/>
  <c r="L146" i="171" a="1"/>
  <c r="L146" i="171" s="1"/>
  <c r="L147" i="171" a="1"/>
  <c r="L147" i="171" s="1"/>
  <c r="L148" i="171" a="1"/>
  <c r="L148" i="171" s="1"/>
  <c r="L149" i="171" a="1"/>
  <c r="L149" i="171" s="1"/>
  <c r="L150" i="171" a="1"/>
  <c r="L150" i="171" s="1"/>
  <c r="L151" i="171" a="1"/>
  <c r="L151" i="171" s="1"/>
  <c r="L152" i="171" a="1"/>
  <c r="L152" i="171" s="1"/>
  <c r="L153" i="171" a="1"/>
  <c r="L153" i="171" s="1"/>
  <c r="L154" i="171" a="1"/>
  <c r="L154" i="171" s="1"/>
  <c r="L155" i="171" a="1"/>
  <c r="L155" i="171" s="1"/>
  <c r="L156" i="171" a="1"/>
  <c r="L156" i="171" s="1"/>
  <c r="L157" i="171" a="1"/>
  <c r="L157" i="171" s="1"/>
  <c r="L158" i="171" a="1"/>
  <c r="L158" i="171" s="1"/>
  <c r="L159" i="171" a="1"/>
  <c r="L159" i="171" s="1"/>
  <c r="L160" i="171" a="1"/>
  <c r="L160" i="171" s="1"/>
  <c r="L161" i="171" a="1"/>
  <c r="L161" i="171" s="1"/>
  <c r="L162" i="171" a="1"/>
  <c r="L162" i="171" s="1"/>
  <c r="L163" i="171" a="1"/>
  <c r="L163" i="171" s="1"/>
  <c r="L164" i="171" a="1"/>
  <c r="L164" i="171" s="1"/>
  <c r="L165" i="171" a="1"/>
  <c r="L165" i="171" s="1"/>
  <c r="L166" i="171" a="1"/>
  <c r="L166" i="171" s="1"/>
  <c r="L167" i="171" a="1"/>
  <c r="L167" i="171" s="1"/>
  <c r="L168" i="171" a="1"/>
  <c r="L168" i="171" s="1"/>
  <c r="L169" i="171" a="1"/>
  <c r="L169" i="171" s="1"/>
  <c r="L170" i="171" a="1"/>
  <c r="L170" i="171" s="1"/>
  <c r="L171" i="171" a="1"/>
  <c r="L171" i="171" s="1"/>
  <c r="L172" i="171" a="1"/>
  <c r="L172" i="171" s="1"/>
  <c r="L173" i="171" a="1"/>
  <c r="L173" i="171" s="1"/>
  <c r="L174" i="171" a="1"/>
  <c r="L174" i="171" s="1"/>
  <c r="L175" i="171" a="1"/>
  <c r="L175" i="171" s="1"/>
  <c r="L176" i="171" a="1"/>
  <c r="L176" i="171" s="1"/>
  <c r="L177" i="171" a="1"/>
  <c r="L177" i="171" s="1"/>
  <c r="L178" i="171" a="1"/>
  <c r="L178" i="171" s="1"/>
  <c r="L179" i="171" a="1"/>
  <c r="L179" i="171" s="1"/>
  <c r="L180" i="171" a="1"/>
  <c r="L180" i="171" s="1"/>
  <c r="L181" i="171" a="1"/>
  <c r="L181" i="171" s="1"/>
  <c r="L182" i="171" a="1"/>
  <c r="L182" i="171" s="1"/>
  <c r="L183" i="171" a="1"/>
  <c r="L183" i="171" s="1"/>
  <c r="L184" i="171" a="1"/>
  <c r="L184" i="171" s="1"/>
  <c r="L185" i="171" a="1"/>
  <c r="L185" i="171" s="1"/>
  <c r="L186" i="171" a="1"/>
  <c r="L186" i="171" s="1"/>
  <c r="L187" i="171" a="1"/>
  <c r="L187" i="171" s="1"/>
  <c r="L188" i="171" a="1"/>
  <c r="L188" i="171" s="1"/>
  <c r="L189" i="171" a="1"/>
  <c r="L189" i="171" s="1"/>
  <c r="L190" i="171" a="1"/>
  <c r="L190" i="171" s="1"/>
  <c r="L191" i="171" a="1"/>
  <c r="L191" i="171" s="1"/>
  <c r="L192" i="171" a="1"/>
  <c r="L192" i="171" s="1"/>
  <c r="L193" i="171" a="1"/>
  <c r="L193" i="171" s="1"/>
  <c r="L194" i="171" a="1"/>
  <c r="L194" i="171" s="1"/>
  <c r="L195" i="171" a="1"/>
  <c r="L195" i="171" s="1"/>
  <c r="L196" i="171" a="1"/>
  <c r="L196" i="171" s="1"/>
  <c r="L197" i="171" a="1"/>
  <c r="L197" i="171" s="1"/>
  <c r="L198" i="171" a="1"/>
  <c r="L198" i="171" s="1"/>
  <c r="L199" i="171" a="1"/>
  <c r="L199" i="171" s="1"/>
  <c r="L200" i="171" a="1"/>
  <c r="L200" i="171" s="1"/>
  <c r="L201" i="171" a="1"/>
  <c r="L201" i="171" s="1"/>
  <c r="L202" i="171" a="1"/>
  <c r="L202" i="171" s="1"/>
  <c r="L203" i="171" a="1"/>
  <c r="L203" i="171" s="1"/>
  <c r="L204" i="171" a="1"/>
  <c r="L204" i="171" s="1"/>
  <c r="L205" i="171" a="1"/>
  <c r="L205" i="171" s="1"/>
  <c r="L206" i="171" a="1"/>
  <c r="L206" i="171" s="1"/>
  <c r="L207" i="171" a="1"/>
  <c r="L207" i="171" s="1"/>
  <c r="L208" i="171" a="1"/>
  <c r="L208" i="171" s="1"/>
  <c r="L209" i="171" a="1"/>
  <c r="L209" i="171" s="1"/>
  <c r="L210" i="171" a="1"/>
  <c r="L210" i="171" s="1"/>
  <c r="L211" i="171" a="1"/>
  <c r="L211" i="171" s="1"/>
  <c r="L212" i="171" a="1"/>
  <c r="L212" i="171" s="1"/>
  <c r="L213" i="171" a="1"/>
  <c r="L213" i="171" s="1"/>
  <c r="L214" i="171" a="1"/>
  <c r="L214" i="171" s="1"/>
  <c r="L215" i="171" a="1"/>
  <c r="L215" i="171" s="1"/>
  <c r="L216" i="171" a="1"/>
  <c r="L216" i="171" s="1"/>
  <c r="L217" i="171" a="1"/>
  <c r="L217" i="171" s="1"/>
  <c r="L218" i="171" a="1"/>
  <c r="L218" i="171" s="1"/>
  <c r="L219" i="171" a="1"/>
  <c r="L219" i="171" s="1"/>
  <c r="L220" i="171" a="1"/>
  <c r="L220" i="171" s="1"/>
  <c r="L221" i="171" a="1"/>
  <c r="L221" i="171" s="1"/>
  <c r="L222" i="171" a="1"/>
  <c r="L222" i="171" s="1"/>
  <c r="L223" i="171" a="1"/>
  <c r="L223" i="171" s="1"/>
  <c r="L224" i="171" a="1"/>
  <c r="L224" i="171" s="1"/>
  <c r="L225" i="171" a="1"/>
  <c r="L225" i="171" s="1"/>
  <c r="L226" i="171" a="1"/>
  <c r="L226" i="171" s="1"/>
  <c r="L227" i="171" a="1"/>
  <c r="L227" i="171" s="1"/>
  <c r="L228" i="171" a="1"/>
  <c r="L228" i="171" s="1"/>
  <c r="L229" i="171" a="1"/>
  <c r="L229" i="171" s="1"/>
  <c r="L230" i="171" a="1"/>
  <c r="L230" i="171" s="1"/>
  <c r="L231" i="171" a="1"/>
  <c r="L231" i="171" s="1"/>
  <c r="L232" i="171" a="1"/>
  <c r="L232" i="171" s="1"/>
  <c r="L233" i="171" a="1"/>
  <c r="L233" i="171" s="1"/>
  <c r="L234" i="171" a="1"/>
  <c r="L234" i="171" s="1"/>
  <c r="L235" i="171" a="1"/>
  <c r="L235" i="171" s="1"/>
  <c r="L236" i="171" a="1"/>
  <c r="L236" i="171" s="1"/>
  <c r="L237" i="171" a="1"/>
  <c r="L237" i="171" s="1"/>
  <c r="L238" i="171" a="1"/>
  <c r="L238" i="171" s="1"/>
  <c r="L239" i="171" a="1"/>
  <c r="L239" i="171" s="1"/>
  <c r="L240" i="171" a="1"/>
  <c r="L240" i="171" s="1"/>
  <c r="L241" i="171" a="1"/>
  <c r="L241" i="171" s="1"/>
  <c r="L242" i="171" a="1"/>
  <c r="L242" i="171" s="1"/>
  <c r="L243" i="171" a="1"/>
  <c r="L243" i="171" s="1"/>
  <c r="L244" i="171" a="1"/>
  <c r="L244" i="171" s="1"/>
  <c r="L245" i="171" a="1"/>
  <c r="L245" i="171" s="1"/>
  <c r="L246" i="171" a="1"/>
  <c r="L246" i="171" s="1"/>
  <c r="L247" i="171" a="1"/>
  <c r="L247" i="171" s="1"/>
  <c r="L248" i="171" a="1"/>
  <c r="L248" i="171" s="1"/>
  <c r="L249" i="171" a="1"/>
  <c r="L249" i="171" s="1"/>
  <c r="L250" i="171" a="1"/>
  <c r="L250" i="171" s="1"/>
  <c r="L251" i="171" a="1"/>
  <c r="L251" i="171" s="1"/>
  <c r="L252" i="171" a="1"/>
  <c r="L252" i="171" s="1"/>
  <c r="L253" i="171" a="1"/>
  <c r="L253" i="171" s="1"/>
  <c r="L254" i="171" a="1"/>
  <c r="L254" i="171" s="1"/>
  <c r="L255" i="171" a="1"/>
  <c r="L255" i="171" s="1"/>
  <c r="L256" i="171" a="1"/>
  <c r="L256" i="171" s="1"/>
  <c r="L257" i="171" a="1"/>
  <c r="L257" i="171" s="1"/>
  <c r="L258" i="171" a="1"/>
  <c r="L258" i="171" s="1"/>
  <c r="L259" i="171" a="1"/>
  <c r="L259" i="171" s="1"/>
  <c r="L260" i="171" a="1"/>
  <c r="L260" i="171" s="1"/>
  <c r="L261" i="171" a="1"/>
  <c r="L261" i="171" s="1"/>
  <c r="L262" i="171" a="1"/>
  <c r="L262" i="171" s="1"/>
  <c r="L263" i="171" a="1"/>
  <c r="L263" i="171" s="1"/>
  <c r="L264" i="171" a="1"/>
  <c r="L264" i="171" s="1"/>
  <c r="L265" i="171" a="1"/>
  <c r="L265" i="171" s="1"/>
  <c r="L266" i="171" a="1"/>
  <c r="L266" i="171" s="1"/>
  <c r="L267" i="171" a="1"/>
  <c r="L267" i="171" s="1"/>
  <c r="L268" i="171" a="1"/>
  <c r="L268" i="171" s="1"/>
  <c r="L269" i="171" a="1"/>
  <c r="L269" i="171" s="1"/>
  <c r="L270" i="171" a="1"/>
  <c r="L270" i="171" s="1"/>
  <c r="L271" i="171" a="1"/>
  <c r="L271" i="171" s="1"/>
  <c r="L272" i="171" a="1"/>
  <c r="L272" i="171" s="1"/>
  <c r="L273" i="171" a="1"/>
  <c r="L273" i="171" s="1"/>
  <c r="L274" i="171" a="1"/>
  <c r="L274" i="171" s="1"/>
  <c r="L275" i="171" a="1"/>
  <c r="L275" i="171" s="1"/>
  <c r="L276" i="171" a="1"/>
  <c r="L276" i="171" s="1"/>
  <c r="L277" i="171" a="1"/>
  <c r="L277" i="171" s="1"/>
  <c r="L278" i="171" a="1"/>
  <c r="L278" i="171" s="1"/>
  <c r="L279" i="171" a="1"/>
  <c r="L279" i="171" s="1"/>
  <c r="L280" i="171" a="1"/>
  <c r="L280" i="171" s="1"/>
  <c r="L281" i="171" a="1"/>
  <c r="L281" i="171" s="1"/>
  <c r="L282" i="171" a="1"/>
  <c r="L282" i="171" s="1"/>
  <c r="L283" i="171" a="1"/>
  <c r="L283" i="171" s="1"/>
  <c r="L284" i="171" a="1"/>
  <c r="L284" i="171" s="1"/>
  <c r="L285" i="171" a="1"/>
  <c r="L285" i="171" s="1"/>
  <c r="L286" i="171" a="1"/>
  <c r="L286" i="171" s="1"/>
  <c r="L287" i="171" a="1"/>
  <c r="L287" i="171" s="1"/>
  <c r="L288" i="171" a="1"/>
  <c r="L288" i="171" s="1"/>
  <c r="L289" i="171" a="1"/>
  <c r="L289" i="171" s="1"/>
  <c r="L290" i="171" a="1"/>
  <c r="L290" i="171" s="1"/>
  <c r="L291" i="171" a="1"/>
  <c r="L291" i="171" s="1"/>
  <c r="L292" i="171" a="1"/>
  <c r="L292" i="171" s="1"/>
  <c r="L293" i="171" a="1"/>
  <c r="L293" i="171" s="1"/>
  <c r="L294" i="171" a="1"/>
  <c r="L294" i="171" s="1"/>
  <c r="L295" i="171" a="1"/>
  <c r="L295" i="171" s="1"/>
  <c r="L296" i="171" a="1"/>
  <c r="L296" i="171" s="1"/>
  <c r="L297" i="171" a="1"/>
  <c r="L297" i="171" s="1"/>
  <c r="L298" i="171" a="1"/>
  <c r="L298" i="171" s="1"/>
  <c r="L299" i="171" a="1"/>
  <c r="L299" i="171" s="1"/>
  <c r="L300" i="171" a="1"/>
  <c r="L300" i="171" s="1"/>
  <c r="L301" i="171" a="1"/>
  <c r="L301" i="171" s="1"/>
  <c r="L302" i="171" a="1"/>
  <c r="L302" i="171" s="1"/>
  <c r="L303" i="171" a="1"/>
  <c r="L303" i="171" s="1"/>
  <c r="L304" i="171" a="1"/>
  <c r="L304" i="171" s="1"/>
  <c r="L305" i="171" a="1"/>
  <c r="L305" i="171" s="1"/>
  <c r="L306" i="171" a="1"/>
  <c r="L306" i="171" s="1"/>
  <c r="L307" i="171" a="1"/>
  <c r="L307" i="171" s="1"/>
  <c r="L308" i="171" a="1"/>
  <c r="L308" i="171" s="1"/>
  <c r="L309" i="171" a="1"/>
  <c r="L309" i="171" s="1"/>
  <c r="L310" i="171" a="1"/>
  <c r="L310" i="171" s="1"/>
  <c r="L311" i="171" a="1"/>
  <c r="L311" i="171" s="1"/>
  <c r="L312" i="171" a="1"/>
  <c r="L312" i="171" s="1"/>
  <c r="L313" i="171" a="1"/>
  <c r="L313" i="171" s="1"/>
  <c r="L314" i="171" a="1"/>
  <c r="L314" i="171" s="1"/>
  <c r="L315" i="171" a="1"/>
  <c r="L315" i="171" s="1"/>
  <c r="L316" i="171" a="1"/>
  <c r="L316" i="171" s="1"/>
  <c r="L317" i="171" a="1"/>
  <c r="L317" i="171" s="1"/>
  <c r="L318" i="171" a="1"/>
  <c r="L318" i="171" s="1"/>
  <c r="L319" i="171" a="1"/>
  <c r="L319" i="171" s="1"/>
  <c r="L320" i="171" a="1"/>
  <c r="L320" i="171" s="1"/>
  <c r="L321" i="171" a="1"/>
  <c r="L321" i="171" s="1"/>
  <c r="L322" i="171" a="1"/>
  <c r="L322" i="171" s="1"/>
  <c r="L323" i="171" a="1"/>
  <c r="L323" i="171" s="1"/>
  <c r="L324" i="171" a="1"/>
  <c r="L324" i="171" s="1"/>
  <c r="L325" i="171" a="1"/>
  <c r="L325" i="171" s="1"/>
  <c r="L326" i="171" a="1"/>
  <c r="L326" i="171" s="1"/>
  <c r="L327" i="171" a="1"/>
  <c r="L327" i="171" s="1"/>
  <c r="L328" i="171" a="1"/>
  <c r="L328" i="171" s="1"/>
  <c r="L329" i="171" a="1"/>
  <c r="L329" i="171" s="1"/>
  <c r="L330" i="171" a="1"/>
  <c r="L330" i="171" s="1"/>
  <c r="L331" i="171" a="1"/>
  <c r="L331" i="171" s="1"/>
  <c r="L332" i="171" a="1"/>
  <c r="L332" i="171" s="1"/>
  <c r="L333" i="171" a="1"/>
  <c r="L333" i="171" s="1"/>
  <c r="L334" i="171" a="1"/>
  <c r="L334" i="171" s="1"/>
  <c r="L335" i="171" a="1"/>
  <c r="L335" i="171" s="1"/>
  <c r="L336" i="171" a="1"/>
  <c r="L336" i="171" s="1"/>
  <c r="L337" i="171" a="1"/>
  <c r="L337" i="171" s="1"/>
  <c r="L338" i="171" a="1"/>
  <c r="L338" i="171" s="1"/>
  <c r="L339" i="171" a="1"/>
  <c r="L339" i="171" s="1"/>
  <c r="L340" i="171" a="1"/>
  <c r="L340" i="171" s="1"/>
  <c r="L341" i="171" a="1"/>
  <c r="L341" i="171" s="1"/>
  <c r="L342" i="171" a="1"/>
  <c r="L342" i="171" s="1"/>
  <c r="L343" i="171" a="1"/>
  <c r="L343" i="171" s="1"/>
  <c r="L344" i="171" a="1"/>
  <c r="L344" i="171" s="1"/>
  <c r="L345" i="171" a="1"/>
  <c r="L345" i="171" s="1"/>
  <c r="L346" i="171" a="1"/>
  <c r="L346" i="171" s="1"/>
  <c r="L347" i="171" a="1"/>
  <c r="L347" i="171" s="1"/>
  <c r="L348" i="171" a="1"/>
  <c r="L348" i="171" s="1"/>
  <c r="L349" i="171" a="1"/>
  <c r="L349" i="171" s="1"/>
  <c r="L350" i="171" a="1"/>
  <c r="L350" i="171" s="1"/>
  <c r="L351" i="171" a="1"/>
  <c r="L351" i="171" s="1"/>
  <c r="L352" i="171" a="1"/>
  <c r="L352" i="171" s="1"/>
  <c r="L353" i="171" a="1"/>
  <c r="L353" i="171" s="1"/>
  <c r="L354" i="171" a="1"/>
  <c r="L354" i="171" s="1"/>
  <c r="L355" i="171" a="1"/>
  <c r="L355" i="171" s="1"/>
  <c r="L356" i="171" a="1"/>
  <c r="L356" i="171" s="1"/>
  <c r="L357" i="171" a="1"/>
  <c r="L357" i="171" s="1"/>
  <c r="L358" i="171" a="1"/>
  <c r="L358" i="171" s="1"/>
  <c r="L359" i="171" a="1"/>
  <c r="L359" i="171" s="1"/>
  <c r="L360" i="171" a="1"/>
  <c r="L360" i="171" s="1"/>
  <c r="L361" i="171" a="1"/>
  <c r="L361" i="171" s="1"/>
  <c r="L362" i="171" a="1"/>
  <c r="L362" i="171" s="1"/>
  <c r="L363" i="171" a="1"/>
  <c r="L363" i="171" s="1"/>
  <c r="L364" i="171" a="1"/>
  <c r="L364" i="171" s="1"/>
  <c r="L365" i="171" a="1"/>
  <c r="L365" i="171" s="1"/>
  <c r="L366" i="171" a="1"/>
  <c r="L366" i="171" s="1"/>
  <c r="L367" i="171" a="1"/>
  <c r="L367" i="171" s="1"/>
  <c r="L368" i="171" a="1"/>
  <c r="L368" i="171" s="1"/>
  <c r="L369" i="171" a="1"/>
  <c r="L369" i="171" s="1"/>
  <c r="L370" i="171" a="1"/>
  <c r="L370" i="171" s="1"/>
  <c r="L371" i="171" a="1"/>
  <c r="L371" i="171" s="1"/>
  <c r="L372" i="171" a="1"/>
  <c r="L372" i="171" s="1"/>
  <c r="L373" i="171" a="1"/>
  <c r="L373" i="171" s="1"/>
  <c r="L374" i="171" a="1"/>
  <c r="L374" i="171" s="1"/>
  <c r="L375" i="171" a="1"/>
  <c r="L375" i="171" s="1"/>
  <c r="L376" i="171" a="1"/>
  <c r="L376" i="171" s="1"/>
  <c r="L377" i="171" a="1"/>
  <c r="L377" i="171" s="1"/>
  <c r="L378" i="171" a="1"/>
  <c r="L378" i="171" s="1"/>
  <c r="L379" i="171" a="1"/>
  <c r="L379" i="171" s="1"/>
  <c r="L380" i="171" a="1"/>
  <c r="L380" i="171" s="1"/>
  <c r="L381" i="171" a="1"/>
  <c r="L381" i="171" s="1"/>
  <c r="L382" i="171" a="1"/>
  <c r="L382" i="171" s="1"/>
  <c r="L383" i="171" a="1"/>
  <c r="L383" i="171" s="1"/>
  <c r="L384" i="171" a="1"/>
  <c r="L384" i="171" s="1"/>
  <c r="L385" i="171" a="1"/>
  <c r="L385" i="171" s="1"/>
  <c r="L386" i="171" a="1"/>
  <c r="L386" i="171" s="1"/>
  <c r="L387" i="171" a="1"/>
  <c r="L387" i="171" s="1"/>
  <c r="L388" i="171" a="1"/>
  <c r="L388" i="171" s="1"/>
  <c r="L389" i="171" a="1"/>
  <c r="L389" i="171" s="1"/>
  <c r="L390" i="171" a="1"/>
  <c r="L390" i="171" s="1"/>
  <c r="L391" i="171" a="1"/>
  <c r="L391" i="171" s="1"/>
  <c r="L392" i="171" a="1"/>
  <c r="L392" i="171" s="1"/>
  <c r="L393" i="171" a="1"/>
  <c r="L393" i="171" s="1"/>
  <c r="L394" i="171" a="1"/>
  <c r="L394" i="171" s="1"/>
  <c r="L395" i="171" a="1"/>
  <c r="L395" i="171" s="1"/>
  <c r="L396" i="171" a="1"/>
  <c r="L396" i="171" s="1"/>
  <c r="L397" i="171" a="1"/>
  <c r="L397" i="171" s="1"/>
  <c r="L398" i="171" a="1"/>
  <c r="L398" i="171" s="1"/>
  <c r="L399" i="171" a="1"/>
  <c r="L399" i="171" s="1"/>
  <c r="L400" i="171" a="1"/>
  <c r="L400" i="171" s="1"/>
  <c r="L401" i="171" a="1"/>
  <c r="L401" i="171" s="1"/>
  <c r="L402" i="171" a="1"/>
  <c r="L402" i="171" s="1"/>
  <c r="L403" i="171" a="1"/>
  <c r="L403" i="171" s="1"/>
  <c r="L404" i="171" a="1"/>
  <c r="L404" i="171" s="1"/>
  <c r="L405" i="171" a="1"/>
  <c r="L405" i="171" s="1"/>
  <c r="L406" i="171" a="1"/>
  <c r="L406" i="171" s="1"/>
  <c r="L407" i="171" a="1"/>
  <c r="L407" i="171" s="1"/>
  <c r="L408" i="171" a="1"/>
  <c r="L408" i="171" s="1"/>
  <c r="L409" i="171" a="1"/>
  <c r="L409" i="171" s="1"/>
  <c r="L410" i="171" a="1"/>
  <c r="L410" i="171" s="1"/>
  <c r="L411" i="171" a="1"/>
  <c r="L411" i="171" s="1"/>
  <c r="L412" i="171" a="1"/>
  <c r="L412" i="171" s="1"/>
  <c r="L413" i="171" a="1"/>
  <c r="L413" i="171" s="1"/>
  <c r="L414" i="171" a="1"/>
  <c r="L414" i="171" s="1"/>
  <c r="L415" i="171" a="1"/>
  <c r="L415" i="171" s="1"/>
  <c r="L416" i="171" a="1"/>
  <c r="L416" i="171" s="1"/>
  <c r="L417" i="171" a="1"/>
  <c r="L417" i="171" s="1"/>
  <c r="L418" i="171" a="1"/>
  <c r="L418" i="171" s="1"/>
  <c r="L419" i="171" a="1"/>
  <c r="L419" i="171" s="1"/>
  <c r="L420" i="171" a="1"/>
  <c r="L420" i="171" s="1"/>
  <c r="L421" i="171" a="1"/>
  <c r="L421" i="171" s="1"/>
  <c r="L422" i="171" a="1"/>
  <c r="L422" i="171" s="1"/>
  <c r="L423" i="171" a="1"/>
  <c r="L423" i="171" s="1"/>
  <c r="L424" i="171" a="1"/>
  <c r="L424" i="171" s="1"/>
  <c r="L425" i="171" a="1"/>
  <c r="L425" i="171" s="1"/>
  <c r="L426" i="171" a="1"/>
  <c r="L426" i="171" s="1"/>
  <c r="L427" i="171" a="1"/>
  <c r="L427" i="171" s="1"/>
  <c r="L428" i="171" a="1"/>
  <c r="L428" i="171" s="1"/>
  <c r="L429" i="171" a="1"/>
  <c r="L429" i="171" s="1"/>
  <c r="L430" i="171" a="1"/>
  <c r="L430" i="171" s="1"/>
  <c r="L431" i="171" a="1"/>
  <c r="L431" i="171" s="1"/>
  <c r="L432" i="171" a="1"/>
  <c r="L432" i="171" s="1"/>
  <c r="L433" i="171" a="1"/>
  <c r="L433" i="171" s="1"/>
  <c r="L434" i="171" a="1"/>
  <c r="L434" i="171" s="1"/>
  <c r="L435" i="171" a="1"/>
  <c r="L435" i="171" s="1"/>
  <c r="L436" i="171" a="1"/>
  <c r="L436" i="171" s="1"/>
  <c r="L437" i="171" a="1"/>
  <c r="L437" i="171" s="1"/>
  <c r="L438" i="171" a="1"/>
  <c r="L438" i="171" s="1"/>
  <c r="L439" i="171" a="1"/>
  <c r="L439" i="171" s="1"/>
  <c r="L440" i="171" a="1"/>
  <c r="L440" i="171" s="1"/>
  <c r="L441" i="171" a="1"/>
  <c r="L441" i="171" s="1"/>
  <c r="L442" i="171" a="1"/>
  <c r="L442" i="171" s="1"/>
  <c r="L443" i="171" a="1"/>
  <c r="L443" i="171" s="1"/>
  <c r="L444" i="171" a="1"/>
  <c r="L444" i="171" s="1"/>
  <c r="L445" i="171" a="1"/>
  <c r="L445" i="171" s="1"/>
  <c r="L446" i="171" a="1"/>
  <c r="L446" i="171" s="1"/>
  <c r="L447" i="171" a="1"/>
  <c r="L447" i="171" s="1"/>
  <c r="L448" i="171" a="1"/>
  <c r="L448" i="171" s="1"/>
  <c r="L449" i="171" a="1"/>
  <c r="L449" i="171" s="1"/>
  <c r="L450" i="171" a="1"/>
  <c r="L450" i="171" s="1"/>
  <c r="L451" i="171" a="1"/>
  <c r="L451" i="171" s="1"/>
  <c r="L452" i="171" a="1"/>
  <c r="L452" i="171" s="1"/>
  <c r="L453" i="171" a="1"/>
  <c r="L453" i="171" s="1"/>
  <c r="L454" i="171" a="1"/>
  <c r="L454" i="171" s="1"/>
  <c r="L455" i="171" a="1"/>
  <c r="L455" i="171" s="1"/>
  <c r="L456" i="171" a="1"/>
  <c r="L456" i="171" s="1"/>
  <c r="L457" i="171" a="1"/>
  <c r="L457" i="171" s="1"/>
  <c r="L458" i="171" a="1"/>
  <c r="L458" i="171" s="1"/>
  <c r="L459" i="171" a="1"/>
  <c r="L459" i="171" s="1"/>
  <c r="L460" i="171" a="1"/>
  <c r="L460" i="171" s="1"/>
  <c r="L461" i="171" a="1"/>
  <c r="L461" i="171" s="1"/>
  <c r="L462" i="171" a="1"/>
  <c r="L462" i="171" s="1"/>
  <c r="L463" i="171" a="1"/>
  <c r="L463" i="171" s="1"/>
  <c r="L464" i="171" a="1"/>
  <c r="L464" i="171" s="1"/>
  <c r="L465" i="171" a="1"/>
  <c r="L465" i="171" s="1"/>
  <c r="L466" i="171" a="1"/>
  <c r="L466" i="171" s="1"/>
  <c r="L467" i="171" a="1"/>
  <c r="L467" i="171" s="1"/>
  <c r="L468" i="171" a="1"/>
  <c r="L468" i="171" s="1"/>
  <c r="L469" i="171" a="1"/>
  <c r="L469" i="171" s="1"/>
  <c r="L470" i="171" a="1"/>
  <c r="L470" i="171" s="1"/>
  <c r="L471" i="171" a="1"/>
  <c r="L471" i="171" s="1"/>
  <c r="L472" i="171" a="1"/>
  <c r="L472" i="171" s="1"/>
  <c r="L473" i="171" a="1"/>
  <c r="L473" i="171" s="1"/>
  <c r="L474" i="171" a="1"/>
  <c r="L474" i="171" s="1"/>
  <c r="L475" i="171" a="1"/>
  <c r="L475" i="171" s="1"/>
  <c r="L476" i="171" a="1"/>
  <c r="L476" i="171" s="1"/>
  <c r="L477" i="171" a="1"/>
  <c r="L477" i="171" s="1"/>
  <c r="L478" i="171" a="1"/>
  <c r="L478" i="171" s="1"/>
  <c r="L479" i="171" a="1"/>
  <c r="L479" i="171" s="1"/>
  <c r="L480" i="171" a="1"/>
  <c r="L480" i="171" s="1"/>
  <c r="L481" i="171" a="1"/>
  <c r="L481" i="171" s="1"/>
  <c r="L482" i="171" a="1"/>
  <c r="L482" i="171" s="1"/>
  <c r="L483" i="171" a="1"/>
  <c r="L483" i="171" s="1"/>
  <c r="L484" i="171" a="1"/>
  <c r="L484" i="171" s="1"/>
  <c r="L485" i="171" a="1"/>
  <c r="L485" i="171" s="1"/>
  <c r="L486" i="171" a="1"/>
  <c r="L486" i="171" s="1"/>
  <c r="L487" i="171" a="1"/>
  <c r="L487" i="171" s="1"/>
  <c r="L488" i="171" a="1"/>
  <c r="L488" i="171" s="1"/>
  <c r="L489" i="171" a="1"/>
  <c r="L489" i="171" s="1"/>
  <c r="L490" i="171" a="1"/>
  <c r="L490" i="171" s="1"/>
  <c r="L491" i="171" a="1"/>
  <c r="L491" i="171" s="1"/>
  <c r="L492" i="171" a="1"/>
  <c r="L492" i="171" s="1"/>
  <c r="L493" i="171" a="1"/>
  <c r="L493" i="171" s="1"/>
  <c r="L494" i="171" a="1"/>
  <c r="L494" i="171" s="1"/>
  <c r="L495" i="171" a="1"/>
  <c r="L495" i="171" s="1"/>
  <c r="L496" i="171" a="1"/>
  <c r="L496" i="171" s="1"/>
  <c r="L497" i="171" a="1"/>
  <c r="L497" i="171" s="1"/>
  <c r="L498" i="171" a="1"/>
  <c r="L498" i="171" s="1"/>
  <c r="L499" i="171" a="1"/>
  <c r="L499" i="171" s="1"/>
  <c r="L500" i="171" a="1"/>
  <c r="L500" i="171" s="1"/>
  <c r="L501" i="171" a="1"/>
  <c r="L501" i="171" s="1"/>
  <c r="L502" i="171" a="1"/>
  <c r="L502" i="171" s="1"/>
  <c r="L503" i="171" a="1"/>
  <c r="L503" i="171" s="1"/>
  <c r="L504" i="171" a="1"/>
  <c r="L504" i="171" s="1"/>
  <c r="L505" i="171" a="1"/>
  <c r="L505" i="171" s="1"/>
  <c r="L506" i="171" a="1"/>
  <c r="L506" i="171" s="1"/>
  <c r="L507" i="171" a="1"/>
  <c r="L507" i="171" s="1"/>
  <c r="L508" i="171" a="1"/>
  <c r="L508" i="171" s="1"/>
  <c r="L509" i="171" a="1"/>
  <c r="L509" i="171" s="1"/>
  <c r="L510" i="171" a="1"/>
  <c r="L510" i="171" s="1"/>
  <c r="L511" i="171" a="1"/>
  <c r="L511" i="171" s="1"/>
  <c r="L512" i="171" a="1"/>
  <c r="L512" i="171" s="1"/>
  <c r="L513" i="171" a="1"/>
  <c r="L513" i="171" s="1"/>
  <c r="L514" i="171" a="1"/>
  <c r="L514" i="171" s="1"/>
  <c r="L515" i="171" a="1"/>
  <c r="L515" i="171" s="1"/>
  <c r="L516" i="171" a="1"/>
  <c r="L516" i="171" s="1"/>
  <c r="L517" i="171" a="1"/>
  <c r="L517" i="171" s="1"/>
  <c r="L518" i="171" a="1"/>
  <c r="L518" i="171" s="1"/>
  <c r="L519" i="171" a="1"/>
  <c r="L519" i="171" s="1"/>
  <c r="L520" i="171" a="1"/>
  <c r="L520" i="171" s="1"/>
  <c r="L521" i="171" a="1"/>
  <c r="L521" i="171" s="1"/>
  <c r="L522" i="171" a="1"/>
  <c r="L522" i="171" s="1"/>
  <c r="L523" i="171" a="1"/>
  <c r="L523" i="171" s="1"/>
  <c r="L524" i="171" a="1"/>
  <c r="L524" i="171" s="1"/>
  <c r="L525" i="171" a="1"/>
  <c r="L525" i="171" s="1"/>
  <c r="L526" i="171" a="1"/>
  <c r="L526" i="171" s="1"/>
  <c r="L527" i="171" a="1"/>
  <c r="L527" i="171" s="1"/>
  <c r="L528" i="171" a="1"/>
  <c r="L528" i="171" s="1"/>
  <c r="L529" i="171" a="1"/>
  <c r="L529" i="171" s="1"/>
  <c r="L530" i="171" a="1"/>
  <c r="L530" i="171" s="1"/>
  <c r="L531" i="171" a="1"/>
  <c r="L531" i="171" s="1"/>
  <c r="L532" i="171" a="1"/>
  <c r="L532" i="171" s="1"/>
  <c r="L533" i="171" a="1"/>
  <c r="L533" i="171" s="1"/>
  <c r="L534" i="171" a="1"/>
  <c r="L534" i="171" s="1"/>
  <c r="L535" i="171" a="1"/>
  <c r="L535" i="171" s="1"/>
  <c r="L536" i="171" a="1"/>
  <c r="L536" i="171" s="1"/>
  <c r="L537" i="171" a="1"/>
  <c r="L537" i="171" s="1"/>
  <c r="L538" i="171" a="1"/>
  <c r="L538" i="171" s="1"/>
  <c r="L539" i="171" a="1"/>
  <c r="L539" i="171" s="1"/>
  <c r="L540" i="171" a="1"/>
  <c r="L540" i="171" s="1"/>
  <c r="L541" i="171" a="1"/>
  <c r="L541" i="171" s="1"/>
  <c r="L542" i="171" a="1"/>
  <c r="L542" i="171" s="1"/>
  <c r="L543" i="171" a="1"/>
  <c r="L543" i="171" s="1"/>
  <c r="L544" i="171" a="1"/>
  <c r="L544" i="171" s="1"/>
  <c r="L545" i="171" a="1"/>
  <c r="L545" i="171" s="1"/>
  <c r="L546" i="171" a="1"/>
  <c r="L546" i="171" s="1"/>
  <c r="L547" i="171" a="1"/>
  <c r="L547" i="171" s="1"/>
  <c r="L548" i="171" a="1"/>
  <c r="L548" i="171" s="1"/>
  <c r="L549" i="171" a="1"/>
  <c r="L549" i="171" s="1"/>
  <c r="L550" i="171" a="1"/>
  <c r="L550" i="171" s="1"/>
  <c r="L551" i="171" a="1"/>
  <c r="L551" i="171" s="1"/>
  <c r="L552" i="171" a="1"/>
  <c r="L552" i="171" s="1"/>
  <c r="L553" i="171" a="1"/>
  <c r="L553" i="171" s="1"/>
  <c r="L554" i="171" a="1"/>
  <c r="L554" i="171" s="1"/>
  <c r="L555" i="171" a="1"/>
  <c r="L555" i="171" s="1"/>
  <c r="L556" i="171" a="1"/>
  <c r="L556" i="171" s="1"/>
  <c r="L557" i="171" a="1"/>
  <c r="L557" i="171" s="1"/>
  <c r="L558" i="171" a="1"/>
  <c r="L558" i="171" s="1"/>
  <c r="L559" i="171" a="1"/>
  <c r="L559" i="171" s="1"/>
  <c r="L560" i="171" a="1"/>
  <c r="L560" i="171" s="1"/>
  <c r="L561" i="171" a="1"/>
  <c r="L561" i="171" s="1"/>
  <c r="L562" i="171" a="1"/>
  <c r="L562" i="171" s="1"/>
  <c r="L563" i="171" a="1"/>
  <c r="L563" i="171" s="1"/>
  <c r="L564" i="171" a="1"/>
  <c r="L564" i="171" s="1"/>
  <c r="L565" i="171" a="1"/>
  <c r="L565" i="171" s="1"/>
  <c r="L566" i="171" a="1"/>
  <c r="L566" i="171" s="1"/>
  <c r="L567" i="171" a="1"/>
  <c r="L567" i="171" s="1"/>
  <c r="L568" i="171" a="1"/>
  <c r="L568" i="171" s="1"/>
  <c r="L569" i="171" a="1"/>
  <c r="L569" i="171" s="1"/>
  <c r="L570" i="171" a="1"/>
  <c r="L570" i="171" s="1"/>
  <c r="L571" i="171" a="1"/>
  <c r="L571" i="171" s="1"/>
  <c r="L572" i="171" a="1"/>
  <c r="L572" i="171" s="1"/>
  <c r="L573" i="171" a="1"/>
  <c r="L573" i="171" s="1"/>
  <c r="L574" i="171" a="1"/>
  <c r="L574" i="171" s="1"/>
  <c r="L575" i="171" a="1"/>
  <c r="L575" i="171" s="1"/>
  <c r="L576" i="171" a="1"/>
  <c r="L576" i="171" s="1"/>
  <c r="L577" i="171" a="1"/>
  <c r="L577" i="171" s="1"/>
  <c r="L578" i="171" a="1"/>
  <c r="L578" i="171" s="1"/>
  <c r="L579" i="171" a="1"/>
  <c r="L579" i="171" s="1"/>
  <c r="L580" i="171" a="1"/>
  <c r="L580" i="171" s="1"/>
  <c r="L581" i="171" a="1"/>
  <c r="L581" i="171" s="1"/>
  <c r="L582" i="171" a="1"/>
  <c r="L582" i="171" s="1"/>
  <c r="L583" i="171" a="1"/>
  <c r="L583" i="171" s="1"/>
  <c r="L584" i="171" a="1"/>
  <c r="L584" i="171" s="1"/>
  <c r="L585" i="171" a="1"/>
  <c r="L585" i="171" s="1"/>
  <c r="L586" i="171" a="1"/>
  <c r="L586" i="171" s="1"/>
  <c r="L587" i="171" a="1"/>
  <c r="L587" i="171" s="1"/>
  <c r="L588" i="171" a="1"/>
  <c r="L588" i="171" s="1"/>
  <c r="L589" i="171" a="1"/>
  <c r="L589" i="171" s="1"/>
  <c r="L590" i="171" a="1"/>
  <c r="L590" i="171" s="1"/>
  <c r="L591" i="171" a="1"/>
  <c r="L591" i="171" s="1"/>
  <c r="L592" i="171" a="1"/>
  <c r="L592" i="171" s="1"/>
  <c r="L593" i="171" a="1"/>
  <c r="L593" i="171" s="1"/>
  <c r="L594" i="171" a="1"/>
  <c r="L594" i="171" s="1"/>
  <c r="L595" i="171" a="1"/>
  <c r="L595" i="171" s="1"/>
  <c r="L596" i="171" a="1"/>
  <c r="L596" i="171" s="1"/>
  <c r="L597" i="171" a="1"/>
  <c r="L597" i="171" s="1"/>
  <c r="L598" i="171" a="1"/>
  <c r="L598" i="171" s="1"/>
  <c r="L599" i="171" a="1"/>
  <c r="L599" i="171" s="1"/>
  <c r="L600" i="171" a="1"/>
  <c r="L600" i="171" s="1"/>
  <c r="L601" i="171" a="1"/>
  <c r="L601" i="171" s="1"/>
  <c r="L602" i="171" a="1"/>
  <c r="L602" i="171" s="1"/>
  <c r="L603" i="171" a="1"/>
  <c r="L603" i="171" s="1"/>
  <c r="L604" i="171" a="1"/>
  <c r="L604" i="171" s="1"/>
  <c r="L605" i="171" a="1"/>
  <c r="L605" i="171" s="1"/>
  <c r="L606" i="171" a="1"/>
  <c r="L606" i="171" s="1"/>
  <c r="L607" i="171" a="1"/>
  <c r="L607" i="171" s="1"/>
  <c r="L608" i="171" a="1"/>
  <c r="L608" i="171" s="1"/>
  <c r="L609" i="171" a="1"/>
  <c r="L609" i="171" s="1"/>
  <c r="L610" i="171" a="1"/>
  <c r="L610" i="171" s="1"/>
  <c r="L611" i="171" a="1"/>
  <c r="L611" i="171" s="1"/>
  <c r="L612" i="171" a="1"/>
  <c r="L612" i="171" s="1"/>
  <c r="L613" i="171" a="1"/>
  <c r="L613" i="171" s="1"/>
  <c r="L614" i="171" a="1"/>
  <c r="L614" i="171" s="1"/>
  <c r="L615" i="171" a="1"/>
  <c r="L615" i="171" s="1"/>
  <c r="L616" i="171" a="1"/>
  <c r="L616" i="171" s="1"/>
  <c r="L617" i="171" a="1"/>
  <c r="L617" i="171" s="1"/>
  <c r="L618" i="171" a="1"/>
  <c r="L618" i="171" s="1"/>
  <c r="L619" i="171" a="1"/>
  <c r="L619" i="171" s="1"/>
  <c r="L620" i="171" a="1"/>
  <c r="L620" i="171" s="1"/>
  <c r="L621" i="171" a="1"/>
  <c r="L621" i="171" s="1"/>
  <c r="L622" i="171" a="1"/>
  <c r="L622" i="171" s="1"/>
  <c r="L623" i="171" a="1"/>
  <c r="L623" i="171" s="1"/>
  <c r="L624" i="171" a="1"/>
  <c r="L624" i="171" s="1"/>
  <c r="L625" i="171" a="1"/>
  <c r="L625" i="171" s="1"/>
  <c r="L626" i="171" a="1"/>
  <c r="L626" i="171" s="1"/>
  <c r="L627" i="171" a="1"/>
  <c r="L627" i="171" s="1"/>
  <c r="L628" i="171" a="1"/>
  <c r="L628" i="171" s="1"/>
  <c r="L629" i="171" a="1"/>
  <c r="L629" i="171" s="1"/>
  <c r="L630" i="171" a="1"/>
  <c r="L630" i="171" s="1"/>
  <c r="L631" i="171" a="1"/>
  <c r="L631" i="171" s="1"/>
  <c r="L632" i="171" a="1"/>
  <c r="L632" i="171" s="1"/>
  <c r="L633" i="171" a="1"/>
  <c r="L633" i="171" s="1"/>
  <c r="L634" i="171" a="1"/>
  <c r="L634" i="171" s="1"/>
  <c r="L635" i="171" a="1"/>
  <c r="L635" i="171" s="1"/>
  <c r="L636" i="171" a="1"/>
  <c r="L636" i="171" s="1"/>
  <c r="L637" i="171" a="1"/>
  <c r="L637" i="171" s="1"/>
  <c r="L638" i="171" a="1"/>
  <c r="L638" i="171" s="1"/>
  <c r="L639" i="171" a="1"/>
  <c r="L639" i="171" s="1"/>
  <c r="L640" i="171" a="1"/>
  <c r="L640" i="171" s="1"/>
  <c r="L641" i="171" a="1"/>
  <c r="L641" i="171" s="1"/>
  <c r="L642" i="171" a="1"/>
  <c r="L642" i="171" s="1"/>
  <c r="L643" i="171" a="1"/>
  <c r="L643" i="171" s="1"/>
  <c r="L644" i="171" a="1"/>
  <c r="L644" i="171" s="1"/>
  <c r="L645" i="171" a="1"/>
  <c r="L645" i="171" s="1"/>
  <c r="L646" i="171" a="1"/>
  <c r="L646" i="171" s="1"/>
  <c r="L647" i="171" a="1"/>
  <c r="L647" i="171" s="1"/>
  <c r="L648" i="171" a="1"/>
  <c r="L648" i="171" s="1"/>
  <c r="L649" i="171" a="1"/>
  <c r="L649" i="171" s="1"/>
  <c r="L650" i="171" a="1"/>
  <c r="L650" i="171" s="1"/>
  <c r="L651" i="171" a="1"/>
  <c r="L651" i="171" s="1"/>
  <c r="L652" i="171" a="1"/>
  <c r="L652" i="171" s="1"/>
  <c r="L653" i="171" a="1"/>
  <c r="L653" i="171" s="1"/>
  <c r="L654" i="171" a="1"/>
  <c r="L654" i="171" s="1"/>
  <c r="L655" i="171" a="1"/>
  <c r="L655" i="171" s="1"/>
  <c r="L656" i="171" a="1"/>
  <c r="L656" i="171" s="1"/>
  <c r="L657" i="171" a="1"/>
  <c r="L657" i="171" s="1"/>
  <c r="L658" i="171" a="1"/>
  <c r="L658" i="171" s="1"/>
  <c r="L659" i="171" a="1"/>
  <c r="L659" i="171" s="1"/>
  <c r="L660" i="171" a="1"/>
  <c r="L660" i="171" s="1"/>
  <c r="L661" i="171" a="1"/>
  <c r="L661" i="171" s="1"/>
  <c r="L662" i="171" a="1"/>
  <c r="L662" i="171" s="1"/>
  <c r="L663" i="171" a="1"/>
  <c r="L663" i="171" s="1"/>
  <c r="L664" i="171" a="1"/>
  <c r="L664" i="171" s="1"/>
  <c r="L665" i="171" a="1"/>
  <c r="L665" i="171" s="1"/>
  <c r="L666" i="171" a="1"/>
  <c r="L666" i="171" s="1"/>
  <c r="L667" i="171" a="1"/>
  <c r="L667" i="171" s="1"/>
  <c r="L668" i="171" a="1"/>
  <c r="L668" i="171" s="1"/>
  <c r="L669" i="171" a="1"/>
  <c r="L669" i="171" s="1"/>
  <c r="L670" i="171" a="1"/>
  <c r="L670" i="171" s="1"/>
  <c r="L671" i="171" a="1"/>
  <c r="L671" i="171" s="1"/>
  <c r="L672" i="171" a="1"/>
  <c r="L672" i="171" s="1"/>
  <c r="L673" i="171" a="1"/>
  <c r="L673" i="171" s="1"/>
  <c r="L674" i="171" a="1"/>
  <c r="L674" i="171" s="1"/>
  <c r="L675" i="171" a="1"/>
  <c r="L675" i="171" s="1"/>
  <c r="L676" i="171" a="1"/>
  <c r="L676" i="171" s="1"/>
  <c r="L677" i="171" a="1"/>
  <c r="L677" i="171" s="1"/>
  <c r="L678" i="171" a="1"/>
  <c r="L678" i="171" s="1"/>
  <c r="L679" i="171" a="1"/>
  <c r="L679" i="171" s="1"/>
  <c r="L680" i="171" a="1"/>
  <c r="L680" i="171" s="1"/>
  <c r="L681" i="171" a="1"/>
  <c r="L681" i="171" s="1"/>
  <c r="L682" i="171" a="1"/>
  <c r="L682" i="171" s="1"/>
  <c r="L683" i="171" a="1"/>
  <c r="L683" i="171" s="1"/>
  <c r="L684" i="171" a="1"/>
  <c r="L684" i="171" s="1"/>
  <c r="L685" i="171" a="1"/>
  <c r="L685" i="171" s="1"/>
  <c r="L686" i="171" a="1"/>
  <c r="L686" i="171" s="1"/>
  <c r="L687" i="171" a="1"/>
  <c r="L687" i="171" s="1"/>
  <c r="L688" i="171" a="1"/>
  <c r="L688" i="171" s="1"/>
  <c r="L689" i="171" a="1"/>
  <c r="L689" i="171" s="1"/>
  <c r="L690" i="171" a="1"/>
  <c r="L690" i="171" s="1"/>
  <c r="L691" i="171" a="1"/>
  <c r="L691" i="171" s="1"/>
  <c r="L692" i="171" a="1"/>
  <c r="L692" i="171" s="1"/>
  <c r="L693" i="171" a="1"/>
  <c r="L693" i="171" s="1"/>
  <c r="L694" i="171" a="1"/>
  <c r="L694" i="171" s="1"/>
  <c r="L695" i="171" a="1"/>
  <c r="L695" i="171" s="1"/>
  <c r="L696" i="171" a="1"/>
  <c r="L696" i="171" s="1"/>
  <c r="L697" i="171" a="1"/>
  <c r="L697" i="171" s="1"/>
  <c r="L698" i="171" a="1"/>
  <c r="L698" i="171" s="1"/>
  <c r="L699" i="171" a="1"/>
  <c r="L699" i="171" s="1"/>
  <c r="L700" i="171" a="1"/>
  <c r="L700" i="171" s="1"/>
  <c r="L701" i="171" a="1"/>
  <c r="L701" i="171" s="1"/>
  <c r="L702" i="171" a="1"/>
  <c r="L702" i="171" s="1"/>
  <c r="L703" i="171" a="1"/>
  <c r="L703" i="171" s="1"/>
  <c r="L704" i="171" a="1"/>
  <c r="L704" i="171" s="1"/>
  <c r="L705" i="171" a="1"/>
  <c r="L705" i="171" s="1"/>
  <c r="L706" i="171" a="1"/>
  <c r="L706" i="171" s="1"/>
  <c r="L707" i="171" a="1"/>
  <c r="L707" i="171" s="1"/>
  <c r="L708" i="171" a="1"/>
  <c r="L708" i="171" s="1"/>
  <c r="L709" i="171" a="1"/>
  <c r="L709" i="171" s="1"/>
  <c r="L710" i="171" a="1"/>
  <c r="L710" i="171" s="1"/>
  <c r="L711" i="171" a="1"/>
  <c r="L711" i="171" s="1"/>
  <c r="L712" i="171" a="1"/>
  <c r="L712" i="171" s="1"/>
  <c r="L713" i="171" a="1"/>
  <c r="L713" i="171" s="1"/>
  <c r="L714" i="171" a="1"/>
  <c r="L714" i="171" s="1"/>
  <c r="L715" i="171" a="1"/>
  <c r="L715" i="171" s="1"/>
  <c r="L716" i="171" a="1"/>
  <c r="L716" i="171" s="1"/>
  <c r="L717" i="171" a="1"/>
  <c r="L717" i="171" s="1"/>
  <c r="L718" i="171" a="1"/>
  <c r="L718" i="171" s="1"/>
  <c r="L719" i="171" a="1"/>
  <c r="L719" i="171" s="1"/>
  <c r="L720" i="171" a="1"/>
  <c r="L720" i="171" s="1"/>
  <c r="L721" i="171" a="1"/>
  <c r="L721" i="171" s="1"/>
  <c r="L722" i="171" a="1"/>
  <c r="L722" i="171" s="1"/>
  <c r="L723" i="171" a="1"/>
  <c r="L723" i="171" s="1"/>
  <c r="L724" i="171" a="1"/>
  <c r="L724" i="171" s="1"/>
  <c r="L725" i="171" a="1"/>
  <c r="L725" i="171" s="1"/>
  <c r="L726" i="171" a="1"/>
  <c r="L726" i="171" s="1"/>
  <c r="L727" i="171" a="1"/>
  <c r="L727" i="171" s="1"/>
  <c r="L728" i="171" a="1"/>
  <c r="L728" i="171" s="1"/>
  <c r="L729" i="171" a="1"/>
  <c r="L729" i="171" s="1"/>
  <c r="L730" i="171" a="1"/>
  <c r="L730" i="171" s="1"/>
  <c r="L731" i="171" a="1"/>
  <c r="L731" i="171" s="1"/>
  <c r="L732" i="171" a="1"/>
  <c r="L732" i="171" s="1"/>
  <c r="L733" i="171" a="1"/>
  <c r="L733" i="171" s="1"/>
  <c r="L734" i="171" a="1"/>
  <c r="L734" i="171" s="1"/>
  <c r="L735" i="171" a="1"/>
  <c r="L735" i="171" s="1"/>
  <c r="L736" i="171" a="1"/>
  <c r="L736" i="171" s="1"/>
  <c r="L737" i="171" a="1"/>
  <c r="L737" i="171" s="1"/>
  <c r="L738" i="171" a="1"/>
  <c r="L738" i="171" s="1"/>
  <c r="L739" i="171" a="1"/>
  <c r="L739" i="171" s="1"/>
  <c r="L740" i="171" a="1"/>
  <c r="L740" i="171" s="1"/>
  <c r="L741" i="171" a="1"/>
  <c r="L741" i="171" s="1"/>
  <c r="L742" i="171" a="1"/>
  <c r="L742" i="171" s="1"/>
  <c r="L743" i="171" a="1"/>
  <c r="L743" i="171" s="1"/>
  <c r="L744" i="171" a="1"/>
  <c r="L744" i="171" s="1"/>
  <c r="L745" i="171" a="1"/>
  <c r="L745" i="171" s="1"/>
  <c r="L746" i="171" a="1"/>
  <c r="L746" i="171" s="1"/>
  <c r="L747" i="171" a="1"/>
  <c r="L747" i="171" s="1"/>
  <c r="L748" i="171" a="1"/>
  <c r="L748" i="171" s="1"/>
  <c r="L749" i="171" a="1"/>
  <c r="L749" i="171" s="1"/>
  <c r="L750" i="171" a="1"/>
  <c r="L750" i="171" s="1"/>
  <c r="L751" i="171" a="1"/>
  <c r="L751" i="171" s="1"/>
  <c r="L752" i="171" a="1"/>
  <c r="L752" i="171" s="1"/>
  <c r="L753" i="171" a="1"/>
  <c r="L753" i="171" s="1"/>
  <c r="L754" i="171" a="1"/>
  <c r="L754" i="171" s="1"/>
  <c r="L755" i="171" a="1"/>
  <c r="L755" i="171" s="1"/>
  <c r="L756" i="171" a="1"/>
  <c r="L756" i="171" s="1"/>
  <c r="L757" i="171" a="1"/>
  <c r="L757" i="171" s="1"/>
  <c r="L758" i="171" a="1"/>
  <c r="L758" i="171" s="1"/>
  <c r="L759" i="171" a="1"/>
  <c r="L759" i="171" s="1"/>
  <c r="L760" i="171" a="1"/>
  <c r="L760" i="171" s="1"/>
  <c r="L761" i="171" a="1"/>
  <c r="L761" i="171" s="1"/>
  <c r="L762" i="171" a="1"/>
  <c r="L762" i="171" s="1"/>
  <c r="L763" i="171" a="1"/>
  <c r="L763" i="171" s="1"/>
  <c r="L764" i="171" a="1"/>
  <c r="L764" i="171" s="1"/>
  <c r="L765" i="171" a="1"/>
  <c r="L765" i="171" s="1"/>
  <c r="L766" i="171" a="1"/>
  <c r="L766" i="171" s="1"/>
  <c r="L767" i="171" a="1"/>
  <c r="L767" i="171" s="1"/>
  <c r="L768" i="171" a="1"/>
  <c r="L768" i="171" s="1"/>
  <c r="L769" i="171" a="1"/>
  <c r="L769" i="171" s="1"/>
  <c r="L770" i="171" a="1"/>
  <c r="L770" i="171" s="1"/>
  <c r="L771" i="171" a="1"/>
  <c r="L771" i="171" s="1"/>
  <c r="L772" i="171" a="1"/>
  <c r="L772" i="171" s="1"/>
  <c r="L773" i="171" a="1"/>
  <c r="L773" i="171" s="1"/>
  <c r="L774" i="171" a="1"/>
  <c r="L774" i="171" s="1"/>
  <c r="L775" i="171" a="1"/>
  <c r="L775" i="171" s="1"/>
  <c r="L776" i="171" a="1"/>
  <c r="L776" i="171" s="1"/>
  <c r="L777" i="171" a="1"/>
  <c r="L777" i="171" s="1"/>
  <c r="L778" i="171" a="1"/>
  <c r="L778" i="171" s="1"/>
  <c r="L779" i="171" a="1"/>
  <c r="L779" i="171" s="1"/>
  <c r="L780" i="171" a="1"/>
  <c r="L780" i="171" s="1"/>
  <c r="L781" i="171" a="1"/>
  <c r="L781" i="171" s="1"/>
  <c r="L782" i="171" a="1"/>
  <c r="L782" i="171" s="1"/>
  <c r="L783" i="171" a="1"/>
  <c r="L783" i="171" s="1"/>
  <c r="L784" i="171" a="1"/>
  <c r="L784" i="171" s="1"/>
  <c r="L785" i="171" a="1"/>
  <c r="L785" i="171" s="1"/>
  <c r="L786" i="171" a="1"/>
  <c r="L786" i="171" s="1"/>
  <c r="L787" i="171" a="1"/>
  <c r="L787" i="171" s="1"/>
  <c r="L788" i="171" a="1"/>
  <c r="L788" i="171" s="1"/>
  <c r="L789" i="171" a="1"/>
  <c r="L789" i="171" s="1"/>
  <c r="L790" i="171" a="1"/>
  <c r="L790" i="171" s="1"/>
  <c r="L791" i="171" a="1"/>
  <c r="L791" i="171" s="1"/>
  <c r="L792" i="171" a="1"/>
  <c r="L792" i="171" s="1"/>
  <c r="L793" i="171" a="1"/>
  <c r="L793" i="171" s="1"/>
  <c r="L794" i="171" a="1"/>
  <c r="L794" i="171" s="1"/>
  <c r="L795" i="171" a="1"/>
  <c r="L795" i="171" s="1"/>
  <c r="L796" i="171" a="1"/>
  <c r="L796" i="171" s="1"/>
  <c r="L797" i="171" a="1"/>
  <c r="L797" i="171" s="1"/>
  <c r="L798" i="171" a="1"/>
  <c r="L798" i="171" s="1"/>
  <c r="L799" i="171" a="1"/>
  <c r="L799" i="171" s="1"/>
  <c r="L800" i="171" a="1"/>
  <c r="L800" i="171" s="1"/>
  <c r="L801" i="171" a="1"/>
  <c r="L801" i="171" s="1"/>
  <c r="L802" i="171" a="1"/>
  <c r="L802" i="171" s="1"/>
  <c r="L803" i="171" a="1"/>
  <c r="L803" i="171" s="1"/>
  <c r="L804" i="171" a="1"/>
  <c r="L804" i="171" s="1"/>
  <c r="L805" i="171" a="1"/>
  <c r="L805" i="171" s="1"/>
  <c r="L806" i="171" a="1"/>
  <c r="L806" i="171" s="1"/>
  <c r="L807" i="171" a="1"/>
  <c r="L807" i="171" s="1"/>
  <c r="L808" i="171" a="1"/>
  <c r="L808" i="171" s="1"/>
  <c r="L809" i="171" a="1"/>
  <c r="L809" i="171" s="1"/>
  <c r="L810" i="171" a="1"/>
  <c r="L810" i="171" s="1"/>
  <c r="L811" i="171" a="1"/>
  <c r="L811" i="171" s="1"/>
  <c r="L812" i="171" a="1"/>
  <c r="L812" i="171" s="1"/>
  <c r="L813" i="171" a="1"/>
  <c r="L813" i="171" s="1"/>
  <c r="L814" i="171" a="1"/>
  <c r="L814" i="171" s="1"/>
  <c r="L815" i="171" a="1"/>
  <c r="L815" i="171" s="1"/>
  <c r="L816" i="171" a="1"/>
  <c r="L816" i="171" s="1"/>
  <c r="L817" i="171" a="1"/>
  <c r="L817" i="171" s="1"/>
  <c r="L818" i="171" a="1"/>
  <c r="L818" i="171" s="1"/>
  <c r="L819" i="171" a="1"/>
  <c r="L819" i="171" s="1"/>
  <c r="L820" i="171" a="1"/>
  <c r="L820" i="171" s="1"/>
  <c r="L821" i="171" a="1"/>
  <c r="L821" i="171" s="1"/>
  <c r="L822" i="171" a="1"/>
  <c r="L822" i="171" s="1"/>
  <c r="L823" i="171" a="1"/>
  <c r="L823" i="171" s="1"/>
  <c r="L824" i="171" a="1"/>
  <c r="L824" i="171" s="1"/>
  <c r="L825" i="171" a="1"/>
  <c r="L825" i="171" s="1"/>
  <c r="L826" i="171" a="1"/>
  <c r="L826" i="171" s="1"/>
  <c r="L827" i="171" a="1"/>
  <c r="L827" i="171" s="1"/>
  <c r="L828" i="171" a="1"/>
  <c r="L828" i="171" s="1"/>
  <c r="L829" i="171" a="1"/>
  <c r="L829" i="171" s="1"/>
  <c r="L830" i="171" a="1"/>
  <c r="L830" i="171" s="1"/>
  <c r="L831" i="171" a="1"/>
  <c r="L831" i="171" s="1"/>
  <c r="L832" i="171" a="1"/>
  <c r="L832" i="171"/>
  <c r="L833" i="171" a="1"/>
  <c r="L833" i="171" s="1"/>
  <c r="L834" i="171" a="1"/>
  <c r="L834" i="171" s="1"/>
  <c r="L835" i="171" a="1"/>
  <c r="L835" i="171" s="1"/>
  <c r="L836" i="171" a="1"/>
  <c r="L836" i="171" s="1"/>
  <c r="L837" i="171" a="1"/>
  <c r="L837" i="171" s="1"/>
  <c r="L838" i="171" a="1"/>
  <c r="L838" i="171" s="1"/>
  <c r="L839" i="171" a="1"/>
  <c r="L839" i="171" s="1"/>
  <c r="L840" i="171" a="1"/>
  <c r="L840" i="171" s="1"/>
  <c r="L841" i="171" a="1"/>
  <c r="L841" i="171" s="1"/>
  <c r="L842" i="171" a="1"/>
  <c r="L842" i="171" s="1"/>
  <c r="L843" i="171" a="1"/>
  <c r="L843" i="171" s="1"/>
  <c r="L844" i="171" a="1"/>
  <c r="L844" i="171" s="1"/>
  <c r="L845" i="171" a="1"/>
  <c r="L845" i="171" s="1"/>
  <c r="L846" i="171" a="1"/>
  <c r="L846" i="171" s="1"/>
  <c r="L847" i="171" a="1"/>
  <c r="L847" i="171" s="1"/>
  <c r="L848" i="171" a="1"/>
  <c r="L848" i="171" s="1"/>
  <c r="L849" i="171" a="1"/>
  <c r="L849" i="171" s="1"/>
  <c r="L850" i="171" a="1"/>
  <c r="L850" i="171" s="1"/>
  <c r="L851" i="171" a="1"/>
  <c r="L851" i="171" s="1"/>
  <c r="L852" i="171" a="1"/>
  <c r="L852" i="171" s="1"/>
  <c r="L853" i="171" a="1"/>
  <c r="L853" i="171" s="1"/>
  <c r="L854" i="171" a="1"/>
  <c r="L854" i="171" s="1"/>
  <c r="L855" i="171" a="1"/>
  <c r="L855" i="171" s="1"/>
  <c r="L856" i="171" a="1"/>
  <c r="L856" i="171" s="1"/>
  <c r="L857" i="171" a="1"/>
  <c r="L857" i="171" s="1"/>
  <c r="L858" i="171" a="1"/>
  <c r="L858" i="171" s="1"/>
  <c r="L859" i="171" a="1"/>
  <c r="L859" i="171" s="1"/>
  <c r="L860" i="171" a="1"/>
  <c r="L860" i="171" s="1"/>
  <c r="L861" i="171" a="1"/>
  <c r="L861" i="171" s="1"/>
  <c r="L862" i="171" a="1"/>
  <c r="L862" i="171" s="1"/>
  <c r="L863" i="171" a="1"/>
  <c r="L863" i="171" s="1"/>
  <c r="L864" i="171" a="1"/>
  <c r="L864" i="171" s="1"/>
  <c r="L865" i="171" a="1"/>
  <c r="L865" i="171" s="1"/>
  <c r="L866" i="171" a="1"/>
  <c r="L866" i="171" s="1"/>
  <c r="L867" i="171" a="1"/>
  <c r="L867" i="171" s="1"/>
  <c r="L868" i="171" a="1"/>
  <c r="L868" i="171" s="1"/>
  <c r="L869" i="171" a="1"/>
  <c r="L869" i="171" s="1"/>
  <c r="L870" i="171" a="1"/>
  <c r="L870" i="171" s="1"/>
  <c r="L871" i="171" a="1"/>
  <c r="L871" i="171" s="1"/>
  <c r="L872" i="171" a="1"/>
  <c r="L872" i="171" s="1"/>
  <c r="L873" i="171" a="1"/>
  <c r="L873" i="171" s="1"/>
  <c r="L874" i="171" a="1"/>
  <c r="L874" i="171" s="1"/>
  <c r="L875" i="171" a="1"/>
  <c r="L875" i="171" s="1"/>
  <c r="L876" i="171" a="1"/>
  <c r="L876" i="171" s="1"/>
  <c r="L877" i="171" a="1"/>
  <c r="L877" i="171" s="1"/>
  <c r="L878" i="171" a="1"/>
  <c r="L878" i="171" s="1"/>
  <c r="L879" i="171" a="1"/>
  <c r="L879" i="171" s="1"/>
  <c r="L880" i="171" a="1"/>
  <c r="L880" i="171" s="1"/>
  <c r="L881" i="171" a="1"/>
  <c r="L881" i="171" s="1"/>
  <c r="L882" i="171" a="1"/>
  <c r="L882" i="171" s="1"/>
  <c r="L883" i="171" a="1"/>
  <c r="L883" i="171" s="1"/>
  <c r="L884" i="171" a="1"/>
  <c r="L884" i="171" s="1"/>
  <c r="L885" i="171" a="1"/>
  <c r="L885" i="171" s="1"/>
  <c r="L886" i="171" a="1"/>
  <c r="L886" i="171" s="1"/>
  <c r="L887" i="171" a="1"/>
  <c r="L887" i="171" s="1"/>
  <c r="L888" i="171" a="1"/>
  <c r="L888" i="171" s="1"/>
  <c r="L889" i="171" a="1"/>
  <c r="L889" i="171" s="1"/>
  <c r="L890" i="171" a="1"/>
  <c r="L890" i="171" s="1"/>
  <c r="L891" i="171" a="1"/>
  <c r="L891" i="171" s="1"/>
  <c r="L892" i="171" a="1"/>
  <c r="L892" i="171" s="1"/>
  <c r="L893" i="171" a="1"/>
  <c r="L893" i="171" s="1"/>
  <c r="L894" i="171" a="1"/>
  <c r="L894" i="171" s="1"/>
  <c r="L895" i="171" a="1"/>
  <c r="L895" i="171" s="1"/>
  <c r="L896" i="171" a="1"/>
  <c r="L896" i="171" s="1"/>
  <c r="L897" i="171" a="1"/>
  <c r="L897" i="171" s="1"/>
  <c r="L898" i="171" a="1"/>
  <c r="L898" i="171" s="1"/>
  <c r="L899" i="171" a="1"/>
  <c r="L899" i="171" s="1"/>
  <c r="L900" i="171" a="1"/>
  <c r="L900" i="171" s="1"/>
  <c r="L901" i="171" a="1"/>
  <c r="L901" i="171" s="1"/>
  <c r="L902" i="171" a="1"/>
  <c r="L902" i="171" s="1"/>
  <c r="L903" i="171" a="1"/>
  <c r="L903" i="171" s="1"/>
  <c r="L904" i="171" a="1"/>
  <c r="L904" i="171" s="1"/>
  <c r="L905" i="171" a="1"/>
  <c r="L905" i="171" s="1"/>
  <c r="L906" i="171" a="1"/>
  <c r="L906" i="171" s="1"/>
  <c r="L907" i="171" a="1"/>
  <c r="L907" i="171" s="1"/>
  <c r="L908" i="171" a="1"/>
  <c r="L908" i="171" s="1"/>
  <c r="L909" i="171" a="1"/>
  <c r="L909" i="171" s="1"/>
  <c r="L910" i="171" a="1"/>
  <c r="L910" i="171" s="1"/>
  <c r="L911" i="171" a="1"/>
  <c r="L911" i="171" s="1"/>
  <c r="L912" i="171" a="1"/>
  <c r="L912" i="171" s="1"/>
  <c r="L913" i="171" a="1"/>
  <c r="L913" i="171" s="1"/>
  <c r="L914" i="171" a="1"/>
  <c r="L914" i="171" s="1"/>
  <c r="L915" i="171" a="1"/>
  <c r="L915" i="171" s="1"/>
  <c r="L916" i="171" a="1"/>
  <c r="L916" i="171" s="1"/>
  <c r="L917" i="171" a="1"/>
  <c r="L917" i="171" s="1"/>
  <c r="L918" i="171" a="1"/>
  <c r="L918" i="171" s="1"/>
  <c r="L919" i="171" a="1"/>
  <c r="L919" i="171" s="1"/>
  <c r="L920" i="171" a="1"/>
  <c r="L920" i="171" s="1"/>
  <c r="L921" i="171" a="1"/>
  <c r="L921" i="171" s="1"/>
  <c r="L922" i="171" a="1"/>
  <c r="L922" i="171" s="1"/>
  <c r="L923" i="171" a="1"/>
  <c r="L923" i="171" s="1"/>
  <c r="L924" i="171" a="1"/>
  <c r="L924" i="171" s="1"/>
  <c r="L925" i="171" a="1"/>
  <c r="L925" i="171" s="1"/>
  <c r="L926" i="171" a="1"/>
  <c r="L926" i="171" s="1"/>
  <c r="L927" i="171" a="1"/>
  <c r="L927" i="171" s="1"/>
  <c r="L928" i="171" a="1"/>
  <c r="L928" i="171" s="1"/>
  <c r="L929" i="171" a="1"/>
  <c r="L929" i="171" s="1"/>
  <c r="L930" i="171" a="1"/>
  <c r="L930" i="171" s="1"/>
  <c r="L931" i="171" a="1"/>
  <c r="L931" i="171" s="1"/>
  <c r="L932" i="171" a="1"/>
  <c r="L932" i="171" s="1"/>
  <c r="L933" i="171" a="1"/>
  <c r="L933" i="171" s="1"/>
  <c r="L934" i="171" a="1"/>
  <c r="L934" i="171" s="1"/>
  <c r="L935" i="171" a="1"/>
  <c r="L935" i="171" s="1"/>
  <c r="L936" i="171" a="1"/>
  <c r="L936" i="171" s="1"/>
  <c r="L937" i="171" a="1"/>
  <c r="L937" i="171" s="1"/>
  <c r="L938" i="171" a="1"/>
  <c r="L938" i="171" s="1"/>
  <c r="L939" i="171" a="1"/>
  <c r="L939" i="171" s="1"/>
  <c r="L940" i="171" a="1"/>
  <c r="L940" i="171" s="1"/>
  <c r="L941" i="171" a="1"/>
  <c r="L941" i="171" s="1"/>
  <c r="L942" i="171" a="1"/>
  <c r="L942" i="171" s="1"/>
  <c r="L943" i="171" a="1"/>
  <c r="L943" i="171" s="1"/>
  <c r="L944" i="171" a="1"/>
  <c r="L944" i="171" s="1"/>
  <c r="L945" i="171" a="1"/>
  <c r="L945" i="171" s="1"/>
  <c r="L946" i="171" a="1"/>
  <c r="L946" i="171" s="1"/>
  <c r="L947" i="171" a="1"/>
  <c r="L947" i="171" s="1"/>
  <c r="L948" i="171" a="1"/>
  <c r="L948" i="171" s="1"/>
  <c r="L949" i="171" a="1"/>
  <c r="L949" i="171" s="1"/>
  <c r="L950" i="171" a="1"/>
  <c r="L950" i="171" s="1"/>
  <c r="L951" i="171" a="1"/>
  <c r="L951" i="171" s="1"/>
  <c r="L952" i="171" a="1"/>
  <c r="L952" i="171" s="1"/>
  <c r="L953" i="171" a="1"/>
  <c r="L953" i="171" s="1"/>
  <c r="L954" i="171" a="1"/>
  <c r="L954" i="171" s="1"/>
  <c r="L955" i="171" a="1"/>
  <c r="L955" i="171" s="1"/>
  <c r="L956" i="171" a="1"/>
  <c r="L956" i="171" s="1"/>
  <c r="L957" i="171" a="1"/>
  <c r="L957" i="171" s="1"/>
  <c r="L958" i="171" a="1"/>
  <c r="L958" i="171" s="1"/>
  <c r="L959" i="171" a="1"/>
  <c r="L959" i="171" s="1"/>
  <c r="L960" i="171" a="1"/>
  <c r="L960" i="171" s="1"/>
  <c r="L961" i="171" a="1"/>
  <c r="L961" i="171" s="1"/>
  <c r="L962" i="171" a="1"/>
  <c r="L962" i="171" s="1"/>
  <c r="L963" i="171" a="1"/>
  <c r="L963" i="171" s="1"/>
  <c r="L964" i="171" a="1"/>
  <c r="L964" i="171" s="1"/>
  <c r="L965" i="171" a="1"/>
  <c r="L965" i="171" s="1"/>
  <c r="L966" i="171" a="1"/>
  <c r="L966" i="171" s="1"/>
  <c r="L967" i="171" a="1"/>
  <c r="L967" i="171" s="1"/>
  <c r="L968" i="171" a="1"/>
  <c r="L968" i="171" s="1"/>
  <c r="L969" i="171" a="1"/>
  <c r="L969" i="171" s="1"/>
  <c r="L970" i="171" a="1"/>
  <c r="L970" i="171" s="1"/>
  <c r="L971" i="171" a="1"/>
  <c r="L971" i="171" s="1"/>
  <c r="L972" i="171" a="1"/>
  <c r="L972" i="171" s="1"/>
  <c r="L973" i="171" a="1"/>
  <c r="L973" i="171" s="1"/>
  <c r="L974" i="171" a="1"/>
  <c r="L974" i="171" s="1"/>
  <c r="L975" i="171" a="1"/>
  <c r="L975" i="171" s="1"/>
  <c r="L976" i="171" a="1"/>
  <c r="L976" i="171" s="1"/>
  <c r="L977" i="171" a="1"/>
  <c r="L977" i="171" s="1"/>
  <c r="L978" i="171" a="1"/>
  <c r="L978" i="171" s="1"/>
  <c r="L979" i="171" a="1"/>
  <c r="L979" i="171" s="1"/>
  <c r="L980" i="171" a="1"/>
  <c r="L980" i="171" s="1"/>
  <c r="L981" i="171" a="1"/>
  <c r="L981" i="171" s="1"/>
  <c r="L982" i="171" a="1"/>
  <c r="L982" i="171" s="1"/>
  <c r="L983" i="171" a="1"/>
  <c r="L983" i="171" s="1"/>
  <c r="L984" i="171" a="1"/>
  <c r="L984" i="171" s="1"/>
  <c r="L985" i="171" a="1"/>
  <c r="L985" i="171" s="1"/>
  <c r="L986" i="171" a="1"/>
  <c r="L986" i="171" s="1"/>
  <c r="L987" i="171" a="1"/>
  <c r="L987" i="171" s="1"/>
  <c r="L988" i="171" a="1"/>
  <c r="L988" i="171" s="1"/>
  <c r="L989" i="171" a="1"/>
  <c r="L989" i="171" s="1"/>
  <c r="L990" i="171" a="1"/>
  <c r="L990" i="171" s="1"/>
  <c r="L991" i="171" a="1"/>
  <c r="L991" i="171" s="1"/>
  <c r="L992" i="171" a="1"/>
  <c r="L992" i="171" s="1"/>
  <c r="L993" i="171" a="1"/>
  <c r="L993" i="171" s="1"/>
  <c r="L994" i="171" a="1"/>
  <c r="L994" i="171" s="1"/>
  <c r="L995" i="171" a="1"/>
  <c r="L995" i="171" s="1"/>
  <c r="L996" i="171" a="1"/>
  <c r="L996" i="171" s="1"/>
  <c r="L997" i="171" a="1"/>
  <c r="L997" i="171" s="1"/>
  <c r="L998" i="171" a="1"/>
  <c r="L998" i="171" s="1"/>
  <c r="L999" i="171" a="1"/>
  <c r="L999" i="171" s="1"/>
  <c r="L1000" i="171" a="1"/>
  <c r="L1000" i="171" s="1"/>
  <c r="L1001" i="171" a="1"/>
  <c r="L1001" i="171" s="1"/>
  <c r="L1002" i="171" a="1"/>
  <c r="L1002" i="171" s="1"/>
  <c r="L1003" i="171" a="1"/>
  <c r="L1003" i="171" s="1"/>
  <c r="L1004" i="171" a="1"/>
  <c r="L1004" i="171" s="1"/>
  <c r="L1005" i="171" a="1"/>
  <c r="L1005" i="171" s="1"/>
  <c r="L1006" i="171" a="1"/>
  <c r="L1006" i="171" s="1"/>
  <c r="L1007" i="171" a="1"/>
  <c r="L1007" i="171" s="1"/>
  <c r="L1008" i="171" a="1"/>
  <c r="L1008" i="171" s="1"/>
  <c r="L1009" i="171" a="1"/>
  <c r="L1009" i="171" s="1"/>
  <c r="L1010" i="171" a="1"/>
  <c r="L1010" i="171" s="1"/>
  <c r="L1011" i="171" a="1"/>
  <c r="L1011" i="171" s="1"/>
  <c r="L1012" i="171" a="1"/>
  <c r="L1012" i="171" s="1"/>
  <c r="L1013" i="171" a="1"/>
  <c r="L1013" i="171" s="1"/>
  <c r="L1014" i="171" a="1"/>
  <c r="L1014" i="171" s="1"/>
  <c r="L1015" i="171" a="1"/>
  <c r="L1015" i="171" s="1"/>
  <c r="L1016" i="171" a="1"/>
  <c r="L1016" i="171" s="1"/>
  <c r="L1017" i="171" a="1"/>
  <c r="L1017" i="171" s="1"/>
  <c r="L1018" i="171" a="1"/>
  <c r="L1018" i="171" s="1"/>
  <c r="L1019" i="171" a="1"/>
  <c r="L1019" i="171" s="1"/>
  <c r="L1020" i="171" a="1"/>
  <c r="L1020" i="171" s="1"/>
  <c r="L1021" i="171" a="1"/>
  <c r="L1021" i="171" s="1"/>
  <c r="L1022" i="171" a="1"/>
  <c r="L1022" i="171" s="1"/>
  <c r="L1023" i="171" a="1"/>
  <c r="L1023" i="171" s="1"/>
  <c r="L1024" i="171" a="1"/>
  <c r="L1024" i="171" s="1"/>
  <c r="L1025" i="171" a="1"/>
  <c r="L1025" i="171" s="1"/>
  <c r="L1026" i="171" a="1"/>
  <c r="L1026" i="171" s="1"/>
  <c r="L1027" i="171" a="1"/>
  <c r="L1027" i="171" s="1"/>
  <c r="L1028" i="171" a="1"/>
  <c r="L1028" i="171" s="1"/>
  <c r="L1029" i="171" a="1"/>
  <c r="L1029" i="171" s="1"/>
  <c r="L1030" i="171" a="1"/>
  <c r="L1030" i="171" s="1"/>
  <c r="L1031" i="171" a="1"/>
  <c r="L1031" i="171" s="1"/>
  <c r="L1032" i="171" a="1"/>
  <c r="L1032" i="171" s="1"/>
  <c r="L1033" i="171" a="1"/>
  <c r="L1033" i="171" s="1"/>
  <c r="L1034" i="171" a="1"/>
  <c r="L1034" i="171" s="1"/>
  <c r="L1035" i="171" a="1"/>
  <c r="L1035" i="171" s="1"/>
  <c r="L1036" i="171" a="1"/>
  <c r="L1036" i="171" s="1"/>
  <c r="L1037" i="171" a="1"/>
  <c r="L1037" i="171" s="1"/>
  <c r="L1038" i="171" a="1"/>
  <c r="L1038" i="171" s="1"/>
  <c r="L1039" i="171" a="1"/>
  <c r="L1039" i="171" s="1"/>
  <c r="L1040" i="171" a="1"/>
  <c r="L1040" i="171" s="1"/>
  <c r="L1041" i="171" a="1"/>
  <c r="L1041" i="171" s="1"/>
  <c r="L1042" i="171" a="1"/>
  <c r="L1042" i="171" s="1"/>
  <c r="L1043" i="171" a="1"/>
  <c r="L1043" i="171" s="1"/>
  <c r="L1044" i="171" a="1"/>
  <c r="L1044" i="171" s="1"/>
  <c r="L1045" i="171" a="1"/>
  <c r="L1045" i="171" s="1"/>
  <c r="L1046" i="171" a="1"/>
  <c r="L1046" i="171" s="1"/>
  <c r="L1047" i="171" a="1"/>
  <c r="L1047" i="171" s="1"/>
  <c r="L1048" i="171" a="1"/>
  <c r="L1048" i="171" s="1"/>
  <c r="L1049" i="171" a="1"/>
  <c r="L1049" i="171" s="1"/>
  <c r="L1050" i="171" a="1"/>
  <c r="L1050" i="171" s="1"/>
  <c r="L1051" i="171" a="1"/>
  <c r="L1051" i="171" s="1"/>
  <c r="L1052" i="171" a="1"/>
  <c r="L1052" i="171" s="1"/>
  <c r="L1053" i="171" a="1"/>
  <c r="L1053" i="171" s="1"/>
  <c r="L1054" i="171" a="1"/>
  <c r="L1054" i="171" s="1"/>
  <c r="L1055" i="171" a="1"/>
  <c r="L1055" i="171" s="1"/>
  <c r="L1056" i="171" a="1"/>
  <c r="L1056" i="171" s="1"/>
  <c r="L1057" i="171" a="1"/>
  <c r="L1057" i="171" s="1"/>
  <c r="L1058" i="171" a="1"/>
  <c r="L1058" i="171" s="1"/>
  <c r="L1059" i="171" a="1"/>
  <c r="L1059" i="171" s="1"/>
  <c r="L1060" i="171" a="1"/>
  <c r="L1060" i="171" s="1"/>
  <c r="L1061" i="171" a="1"/>
  <c r="L1061" i="171" s="1"/>
  <c r="L1062" i="171" a="1"/>
  <c r="L1062" i="171" s="1"/>
  <c r="L1063" i="171" a="1"/>
  <c r="L1063" i="171" s="1"/>
  <c r="L1064" i="171" a="1"/>
  <c r="L1064" i="171" s="1"/>
  <c r="L1065" i="171" a="1"/>
  <c r="L1065" i="171" s="1"/>
  <c r="L1066" i="171" a="1"/>
  <c r="L1066" i="171" s="1"/>
  <c r="L1067" i="171" a="1"/>
  <c r="L1067" i="171" s="1"/>
  <c r="L1068" i="171" a="1"/>
  <c r="L1068" i="171" s="1"/>
  <c r="L1069" i="171" a="1"/>
  <c r="L1069" i="171" s="1"/>
  <c r="L1070" i="171" a="1"/>
  <c r="L1070" i="171" s="1"/>
  <c r="L1071" i="171" a="1"/>
  <c r="L1071" i="171" s="1"/>
  <c r="L1072" i="171" a="1"/>
  <c r="L1072" i="171" s="1"/>
  <c r="L1073" i="171" a="1"/>
  <c r="L1073" i="171" s="1"/>
  <c r="L1074" i="171" a="1"/>
  <c r="L1074" i="171" s="1"/>
  <c r="L1075" i="171" a="1"/>
  <c r="L1075" i="171" s="1"/>
  <c r="L1076" i="171" a="1"/>
  <c r="L1076" i="171" s="1"/>
  <c r="L1077" i="171" a="1"/>
  <c r="L1077" i="171" s="1"/>
  <c r="L1078" i="171" a="1"/>
  <c r="L1078" i="171" s="1"/>
  <c r="L1079" i="171" a="1"/>
  <c r="L1079" i="171" s="1"/>
  <c r="L1080" i="171" a="1"/>
  <c r="L1080" i="171" s="1"/>
  <c r="L1081" i="171" a="1"/>
  <c r="L1081" i="171" s="1"/>
  <c r="L1082" i="171" a="1"/>
  <c r="L1082" i="171" s="1"/>
  <c r="L1083" i="171" a="1"/>
  <c r="L1083" i="171" s="1"/>
  <c r="L1084" i="171" a="1"/>
  <c r="L1084" i="171" s="1"/>
  <c r="L1085" i="171" a="1"/>
  <c r="L1085" i="171" s="1"/>
  <c r="L1086" i="171" a="1"/>
  <c r="L1086" i="171" s="1"/>
  <c r="L1087" i="171" a="1"/>
  <c r="L1087" i="171" s="1"/>
  <c r="L1088" i="171" a="1"/>
  <c r="L1088" i="171" s="1"/>
  <c r="L1089" i="171" a="1"/>
  <c r="L1089" i="171" s="1"/>
  <c r="L1090" i="171" a="1"/>
  <c r="L1090" i="171" s="1"/>
  <c r="L1091" i="171" a="1"/>
  <c r="L1091" i="171" s="1"/>
  <c r="L1092" i="171" a="1"/>
  <c r="L1092" i="171" s="1"/>
  <c r="L1093" i="171" a="1"/>
  <c r="L1093" i="171" s="1"/>
  <c r="L1094" i="171" a="1"/>
  <c r="L1094" i="171" s="1"/>
  <c r="L1095" i="171" a="1"/>
  <c r="L1095" i="171" s="1"/>
  <c r="L1096" i="171" a="1"/>
  <c r="L1096" i="171" s="1"/>
  <c r="L1097" i="171" a="1"/>
  <c r="L1097" i="171" s="1"/>
  <c r="L1098" i="171" a="1"/>
  <c r="L1098" i="171" s="1"/>
  <c r="L1099" i="171" a="1"/>
  <c r="L1099" i="171" s="1"/>
  <c r="L1100" i="171" a="1"/>
  <c r="L1100" i="171" s="1"/>
  <c r="L1101" i="171" a="1"/>
  <c r="L1101" i="171" s="1"/>
  <c r="L1102" i="171" a="1"/>
  <c r="L1102" i="171" s="1"/>
  <c r="L1103" i="171" a="1"/>
  <c r="L1103" i="171" s="1"/>
  <c r="L1104" i="171" a="1"/>
  <c r="L1104" i="171" s="1"/>
  <c r="L1105" i="171" a="1"/>
  <c r="L1105" i="171" s="1"/>
  <c r="L1106" i="171" a="1"/>
  <c r="L1106" i="171" s="1"/>
  <c r="L1107" i="171" a="1"/>
  <c r="L1107" i="171" s="1"/>
  <c r="L1108" i="171" a="1"/>
  <c r="L1108" i="171" s="1"/>
  <c r="L1109" i="171" a="1"/>
  <c r="L1109" i="171" s="1"/>
  <c r="L1110" i="171" a="1"/>
  <c r="L1110" i="171" s="1"/>
  <c r="L1111" i="171" a="1"/>
  <c r="L1111" i="171" s="1"/>
  <c r="L1112" i="171" a="1"/>
  <c r="L1112" i="171" s="1"/>
  <c r="L1113" i="171" a="1"/>
  <c r="L1113" i="171" s="1"/>
  <c r="L1114" i="171" a="1"/>
  <c r="L1114" i="171" s="1"/>
  <c r="L1115" i="171" a="1"/>
  <c r="L1115" i="171" s="1"/>
  <c r="L1116" i="171" a="1"/>
  <c r="L1116" i="171" s="1"/>
  <c r="L1117" i="171" a="1"/>
  <c r="L1117" i="171" s="1"/>
  <c r="L1118" i="171" a="1"/>
  <c r="L1118" i="171" s="1"/>
  <c r="L1119" i="171" a="1"/>
  <c r="L1119" i="171" s="1"/>
  <c r="L1120" i="171" a="1"/>
  <c r="L1120" i="171" s="1"/>
  <c r="L1121" i="171" a="1"/>
  <c r="L1121" i="171" s="1"/>
  <c r="L1122" i="171" a="1"/>
  <c r="L1122" i="171" s="1"/>
  <c r="L1123" i="171" a="1"/>
  <c r="L1123" i="171" s="1"/>
  <c r="L1124" i="171" a="1"/>
  <c r="L1124" i="171" s="1"/>
  <c r="L1125" i="171" a="1"/>
  <c r="L1125" i="171" s="1"/>
  <c r="L1126" i="171" a="1"/>
  <c r="L1126" i="171" s="1"/>
  <c r="L1127" i="171" a="1"/>
  <c r="L1127" i="171" s="1"/>
  <c r="L1128" i="171" a="1"/>
  <c r="L1128" i="171" s="1"/>
  <c r="L1129" i="171" a="1"/>
  <c r="L1129" i="171" s="1"/>
  <c r="L1130" i="171" a="1"/>
  <c r="L1130" i="171" s="1"/>
  <c r="L1131" i="171" a="1"/>
  <c r="L1131" i="171" s="1"/>
  <c r="L1132" i="171" a="1"/>
  <c r="L1132" i="171" s="1"/>
  <c r="L1133" i="171" a="1"/>
  <c r="L1133" i="171" s="1"/>
  <c r="L1134" i="171" a="1"/>
  <c r="L1134" i="171" s="1"/>
  <c r="L1135" i="171" a="1"/>
  <c r="L1135" i="171" s="1"/>
  <c r="L1136" i="171" a="1"/>
  <c r="L1136" i="171" s="1"/>
  <c r="L1137" i="171" a="1"/>
  <c r="L1137" i="171" s="1"/>
  <c r="L1138" i="171" a="1"/>
  <c r="L1138" i="171" s="1"/>
  <c r="L1139" i="171" a="1"/>
  <c r="L1139" i="171" s="1"/>
  <c r="L1140" i="171" a="1"/>
  <c r="L1140" i="171" s="1"/>
  <c r="L1141" i="171" a="1"/>
  <c r="L1141" i="171" s="1"/>
  <c r="L1142" i="171" a="1"/>
  <c r="L1142" i="171" s="1"/>
  <c r="L1143" i="171" a="1"/>
  <c r="L1143" i="171" s="1"/>
  <c r="L1144" i="171" a="1"/>
  <c r="L1144" i="171" s="1"/>
  <c r="L1145" i="171" a="1"/>
  <c r="L1145" i="171" s="1"/>
  <c r="L1146" i="171" a="1"/>
  <c r="L1146" i="171" s="1"/>
  <c r="L1147" i="171" a="1"/>
  <c r="L1147" i="171" s="1"/>
  <c r="L1148" i="171" a="1"/>
  <c r="L1148" i="171" s="1"/>
  <c r="L1149" i="171" a="1"/>
  <c r="L1149" i="171" s="1"/>
  <c r="L1150" i="171" a="1"/>
  <c r="L1150" i="171" s="1"/>
  <c r="L1151" i="171" a="1"/>
  <c r="L1151" i="171" s="1"/>
  <c r="L1152" i="171" a="1"/>
  <c r="L1152" i="171" s="1"/>
  <c r="L1153" i="171" a="1"/>
  <c r="L1153" i="171" s="1"/>
  <c r="L1154" i="171" a="1"/>
  <c r="L1154" i="171" s="1"/>
  <c r="L1155" i="171" a="1"/>
  <c r="L1155" i="171" s="1"/>
  <c r="L1156" i="171" a="1"/>
  <c r="L1156" i="171" s="1"/>
  <c r="L1157" i="171" a="1"/>
  <c r="L1157" i="171" s="1"/>
  <c r="L1158" i="171" a="1"/>
  <c r="L1158" i="171" s="1"/>
  <c r="L1159" i="171" a="1"/>
  <c r="L1159" i="171" s="1"/>
  <c r="L1160" i="171" a="1"/>
  <c r="L1160" i="171" s="1"/>
  <c r="L1161" i="171" a="1"/>
  <c r="L1161" i="171" s="1"/>
  <c r="L1162" i="171" a="1"/>
  <c r="L1162" i="171" s="1"/>
  <c r="L1163" i="171" a="1"/>
  <c r="L1163" i="171" s="1"/>
  <c r="L1164" i="171" a="1"/>
  <c r="L1164" i="171" s="1"/>
  <c r="L1165" i="171" a="1"/>
  <c r="L1165" i="171" s="1"/>
  <c r="L1166" i="171" a="1"/>
  <c r="L1166" i="171" s="1"/>
  <c r="L1167" i="171" a="1"/>
  <c r="L1167" i="171" s="1"/>
  <c r="L1168" i="171" a="1"/>
  <c r="L1168" i="171" s="1"/>
  <c r="L1169" i="171" a="1"/>
  <c r="L1169" i="171" s="1"/>
  <c r="L1170" i="171" a="1"/>
  <c r="L1170" i="171" s="1"/>
  <c r="L1171" i="171" a="1"/>
  <c r="L1171" i="171" s="1"/>
  <c r="L1172" i="171" a="1"/>
  <c r="L1172" i="171" s="1"/>
  <c r="L1173" i="171" a="1"/>
  <c r="L1173" i="171" s="1"/>
  <c r="L1174" i="171" a="1"/>
  <c r="L1174" i="171" s="1"/>
  <c r="L1175" i="171" a="1"/>
  <c r="L1175" i="171" s="1"/>
  <c r="L1176" i="171" a="1"/>
  <c r="L1176" i="171" s="1"/>
  <c r="L1177" i="171" a="1"/>
  <c r="L1177" i="171" s="1"/>
  <c r="L1178" i="171" a="1"/>
  <c r="L1178" i="171" s="1"/>
  <c r="L1179" i="171" a="1"/>
  <c r="L1179" i="171" s="1"/>
  <c r="L1180" i="171" a="1"/>
  <c r="L1180" i="171" s="1"/>
  <c r="L1181" i="171" a="1"/>
  <c r="L1181" i="171" s="1"/>
  <c r="L1182" i="171" a="1"/>
  <c r="L1182" i="171" s="1"/>
  <c r="L1183" i="171" a="1"/>
  <c r="L1183" i="171" s="1"/>
  <c r="L1184" i="171" a="1"/>
  <c r="L1184" i="171" s="1"/>
  <c r="L1185" i="171" a="1"/>
  <c r="L1185" i="171" s="1"/>
  <c r="L1186" i="171" a="1"/>
  <c r="L1186" i="171" s="1"/>
  <c r="L1187" i="171" a="1"/>
  <c r="L1187" i="171" s="1"/>
  <c r="L1188" i="171" a="1"/>
  <c r="L1188" i="171" s="1"/>
  <c r="L1189" i="171" a="1"/>
  <c r="L1189" i="171" s="1"/>
  <c r="L1190" i="171" a="1"/>
  <c r="L1190" i="171" s="1"/>
  <c r="L1191" i="171" a="1"/>
  <c r="L1191" i="171" s="1"/>
  <c r="L1192" i="171" a="1"/>
  <c r="L1192" i="171" s="1"/>
  <c r="L1193" i="171" a="1"/>
  <c r="L1193" i="171" s="1"/>
  <c r="L1194" i="171" a="1"/>
  <c r="L1194" i="171" s="1"/>
  <c r="L1195" i="171" a="1"/>
  <c r="L1195" i="171" s="1"/>
  <c r="L1196" i="171" a="1"/>
  <c r="L1196" i="171" s="1"/>
  <c r="L1197" i="171" a="1"/>
  <c r="L1197" i="171" s="1"/>
  <c r="L1198" i="171" a="1"/>
  <c r="L1198" i="171" s="1"/>
  <c r="M18" i="172"/>
  <c r="M19" i="172"/>
  <c r="M20" i="172"/>
  <c r="M21" i="172"/>
  <c r="M22" i="172"/>
  <c r="M23" i="172"/>
  <c r="M24" i="172"/>
  <c r="M25" i="172"/>
  <c r="M26" i="172"/>
  <c r="M27" i="172"/>
  <c r="M28" i="172"/>
  <c r="M29" i="172"/>
  <c r="M30" i="172"/>
  <c r="M31" i="172"/>
  <c r="M32" i="172"/>
  <c r="M33" i="172"/>
  <c r="M34" i="172"/>
  <c r="M35" i="172"/>
  <c r="M36" i="172"/>
  <c r="M37" i="172"/>
  <c r="M38" i="172"/>
  <c r="M39" i="172"/>
  <c r="M40" i="172"/>
  <c r="M41" i="172"/>
  <c r="M42" i="172"/>
  <c r="M43" i="172"/>
  <c r="M44" i="172"/>
  <c r="M45" i="172"/>
  <c r="M46" i="172"/>
  <c r="M47" i="172"/>
  <c r="M48" i="172"/>
  <c r="M49" i="172"/>
  <c r="M50" i="172"/>
  <c r="M51" i="172"/>
  <c r="M52" i="172"/>
  <c r="M53" i="172"/>
  <c r="M54" i="172"/>
  <c r="M55" i="172"/>
  <c r="M56" i="172"/>
  <c r="M57" i="172"/>
  <c r="M58" i="172"/>
  <c r="M59" i="172"/>
  <c r="M60" i="172"/>
  <c r="M61" i="172"/>
  <c r="M62" i="172"/>
  <c r="M63" i="172"/>
  <c r="M64" i="172"/>
  <c r="M65" i="172"/>
  <c r="M66" i="172"/>
  <c r="M67" i="172"/>
  <c r="M68" i="172"/>
  <c r="M69" i="172"/>
  <c r="M70" i="172"/>
  <c r="M71" i="172"/>
  <c r="M72" i="172"/>
  <c r="M73" i="172"/>
  <c r="M74" i="172"/>
  <c r="M75" i="172"/>
  <c r="M76" i="172"/>
  <c r="M77" i="172"/>
  <c r="M78" i="172"/>
  <c r="M79" i="172"/>
  <c r="M80" i="172"/>
  <c r="M81" i="172"/>
  <c r="M82" i="172"/>
  <c r="M83" i="172"/>
  <c r="M84" i="172"/>
  <c r="M85" i="172"/>
  <c r="M86" i="172"/>
  <c r="M87" i="172"/>
  <c r="M88" i="172"/>
  <c r="M89" i="172"/>
  <c r="M90" i="172"/>
  <c r="M91" i="172"/>
  <c r="M92" i="172"/>
  <c r="M93" i="172"/>
  <c r="M94" i="172"/>
  <c r="M95" i="172"/>
  <c r="M96" i="172"/>
  <c r="M97" i="172"/>
  <c r="M98" i="172"/>
  <c r="M99" i="172"/>
  <c r="M100" i="172"/>
  <c r="M101" i="172"/>
  <c r="M102" i="172"/>
  <c r="M103" i="172"/>
  <c r="M104" i="172"/>
  <c r="M105" i="172"/>
  <c r="M106" i="172"/>
  <c r="M107" i="172"/>
  <c r="M108" i="172"/>
  <c r="M109" i="172"/>
  <c r="M110" i="172"/>
  <c r="M111" i="172"/>
  <c r="M112" i="172"/>
  <c r="M113" i="172"/>
  <c r="M114" i="172"/>
  <c r="M115" i="172"/>
  <c r="M116" i="172"/>
  <c r="M117" i="172"/>
  <c r="M118" i="172"/>
  <c r="M119" i="172"/>
  <c r="M120" i="172"/>
  <c r="M121" i="172"/>
  <c r="M122" i="172"/>
  <c r="M123" i="172"/>
  <c r="M124" i="172"/>
  <c r="M125" i="172"/>
  <c r="M126" i="172"/>
  <c r="M127" i="172"/>
  <c r="M128" i="172"/>
  <c r="M129" i="172"/>
  <c r="M130" i="172"/>
  <c r="M131" i="172"/>
  <c r="M132" i="172"/>
  <c r="M133" i="172"/>
  <c r="M134" i="172"/>
  <c r="M135" i="172"/>
  <c r="M136" i="172"/>
  <c r="M137" i="172"/>
  <c r="M138" i="172"/>
  <c r="M139" i="172"/>
  <c r="M140" i="172"/>
  <c r="M141" i="172"/>
  <c r="M142" i="172"/>
  <c r="M143" i="172"/>
  <c r="M144" i="172"/>
  <c r="M145" i="172"/>
  <c r="M146" i="172"/>
  <c r="M147" i="172"/>
  <c r="M148" i="172"/>
  <c r="M149" i="172"/>
  <c r="M150" i="172"/>
  <c r="M151" i="172"/>
  <c r="M152" i="172"/>
  <c r="M153" i="172"/>
  <c r="M154" i="172"/>
  <c r="M155" i="172"/>
  <c r="M156" i="172"/>
  <c r="M157" i="172"/>
  <c r="M158" i="172"/>
  <c r="M159" i="172"/>
  <c r="M160" i="172"/>
  <c r="M161" i="172"/>
  <c r="M162" i="172"/>
  <c r="M163" i="172"/>
  <c r="M164" i="172"/>
  <c r="M165" i="172"/>
  <c r="M166" i="172"/>
  <c r="M167" i="172"/>
  <c r="M168" i="172"/>
  <c r="M169" i="172"/>
  <c r="M170" i="172"/>
  <c r="M171" i="172"/>
  <c r="M172" i="172"/>
  <c r="M173" i="172"/>
  <c r="M174" i="172"/>
  <c r="M175" i="172"/>
  <c r="M176" i="172"/>
  <c r="M177" i="172"/>
  <c r="M178" i="172"/>
  <c r="M179" i="172"/>
  <c r="M180" i="172"/>
  <c r="M181" i="172"/>
  <c r="M182" i="172"/>
  <c r="M183" i="172"/>
  <c r="M184" i="172"/>
  <c r="M185" i="172"/>
  <c r="M186" i="172"/>
  <c r="M187" i="172"/>
  <c r="M188" i="172"/>
  <c r="M189" i="172"/>
  <c r="M190" i="172"/>
  <c r="M191" i="172"/>
  <c r="M192" i="172"/>
  <c r="M193" i="172"/>
  <c r="M194" i="172"/>
  <c r="M195" i="172"/>
  <c r="M196" i="172"/>
  <c r="M197" i="172"/>
  <c r="M198" i="172"/>
  <c r="M199" i="172"/>
  <c r="M200" i="172"/>
  <c r="M201" i="172"/>
  <c r="M202" i="172"/>
  <c r="M203" i="172"/>
  <c r="M204" i="172"/>
  <c r="M205" i="172"/>
  <c r="M206" i="172"/>
  <c r="M207" i="172"/>
  <c r="M208" i="172"/>
  <c r="M209" i="172"/>
  <c r="M210" i="172"/>
  <c r="M211" i="172"/>
  <c r="M212" i="172"/>
  <c r="M213" i="172"/>
  <c r="M214" i="172"/>
  <c r="M215" i="172"/>
  <c r="M216" i="172"/>
  <c r="M217" i="172"/>
  <c r="M218" i="172"/>
  <c r="M219" i="172"/>
  <c r="M220" i="172"/>
  <c r="M221" i="172"/>
  <c r="M222" i="172"/>
  <c r="M223" i="172"/>
  <c r="M224" i="172"/>
  <c r="M225" i="172"/>
  <c r="M226" i="172"/>
  <c r="M227" i="172"/>
  <c r="M228" i="172"/>
  <c r="M229" i="172"/>
  <c r="M230" i="172"/>
  <c r="M231" i="172"/>
  <c r="M232" i="172"/>
  <c r="M233" i="172"/>
  <c r="M234" i="172"/>
  <c r="M235" i="172"/>
  <c r="M236" i="172"/>
  <c r="M237" i="172"/>
  <c r="M238" i="172"/>
  <c r="M239" i="172"/>
  <c r="M240" i="172"/>
  <c r="M241" i="172"/>
  <c r="M242" i="172"/>
  <c r="M243" i="172"/>
  <c r="M244" i="172"/>
  <c r="M245" i="172"/>
  <c r="M246" i="172"/>
  <c r="M247" i="172"/>
  <c r="M248" i="172"/>
  <c r="M249" i="172"/>
  <c r="M250" i="172"/>
  <c r="M251" i="172"/>
  <c r="M252" i="172"/>
  <c r="M253" i="172"/>
  <c r="M254" i="172"/>
  <c r="M255" i="172"/>
  <c r="M256" i="172"/>
  <c r="M257" i="172"/>
  <c r="M258" i="172"/>
  <c r="M259" i="172"/>
  <c r="M260" i="172"/>
  <c r="M261" i="172"/>
  <c r="M262" i="172"/>
  <c r="M263" i="172"/>
  <c r="M264" i="172"/>
  <c r="M265" i="172"/>
  <c r="M266" i="172"/>
  <c r="M267" i="172"/>
  <c r="M268" i="172"/>
  <c r="M269" i="172"/>
  <c r="M270" i="172"/>
  <c r="M271" i="172"/>
  <c r="M272" i="172"/>
  <c r="M273" i="172"/>
  <c r="M274" i="172"/>
  <c r="M275" i="172"/>
  <c r="M276" i="172"/>
  <c r="M277" i="172"/>
  <c r="M278" i="172"/>
  <c r="M279" i="172"/>
  <c r="M280" i="172"/>
  <c r="M281" i="172"/>
  <c r="M282" i="172"/>
  <c r="M283" i="172"/>
  <c r="M284" i="172"/>
  <c r="M285" i="172"/>
  <c r="M286" i="172"/>
  <c r="M287" i="172"/>
  <c r="M288" i="172"/>
  <c r="M289" i="172"/>
  <c r="M290" i="172"/>
  <c r="M291" i="172"/>
  <c r="M292" i="172"/>
  <c r="M293" i="172"/>
  <c r="M294" i="172"/>
  <c r="M295" i="172"/>
  <c r="M296" i="172"/>
  <c r="M297" i="172"/>
  <c r="M298" i="172"/>
  <c r="M299" i="172"/>
  <c r="M300" i="172"/>
  <c r="M301" i="172"/>
  <c r="M302" i="172"/>
  <c r="M303" i="172"/>
  <c r="M304" i="172"/>
  <c r="M305" i="172"/>
  <c r="M306" i="172"/>
  <c r="M307" i="172"/>
  <c r="M308" i="172"/>
  <c r="M309" i="172"/>
  <c r="M310" i="172"/>
  <c r="M311" i="172"/>
  <c r="M312" i="172"/>
  <c r="M313" i="172"/>
  <c r="M314" i="172"/>
  <c r="M315" i="172"/>
  <c r="M316" i="172"/>
  <c r="M317" i="172"/>
  <c r="M318" i="172"/>
  <c r="M319" i="172"/>
  <c r="M320" i="172"/>
  <c r="M321" i="172"/>
  <c r="M322" i="172"/>
  <c r="M323" i="172"/>
  <c r="M324" i="172"/>
  <c r="M325" i="172"/>
  <c r="M326" i="172"/>
  <c r="M327" i="172"/>
  <c r="M328" i="172"/>
  <c r="M329" i="172"/>
  <c r="M330" i="172"/>
  <c r="M331" i="172"/>
  <c r="M332" i="172"/>
  <c r="M333" i="172"/>
  <c r="M334" i="172"/>
  <c r="M335" i="172"/>
  <c r="M336" i="172"/>
  <c r="M337" i="172"/>
  <c r="M338" i="172"/>
  <c r="M339" i="172"/>
  <c r="M340" i="172"/>
  <c r="M341" i="172"/>
  <c r="M342" i="172"/>
  <c r="M343" i="172"/>
  <c r="M344" i="172"/>
  <c r="M345" i="172"/>
  <c r="M346" i="172"/>
  <c r="M347" i="172"/>
  <c r="M348" i="172"/>
  <c r="M349" i="172"/>
  <c r="M350" i="172"/>
  <c r="M351" i="172"/>
  <c r="M352" i="172"/>
  <c r="M353" i="172"/>
  <c r="M354" i="172"/>
  <c r="M355" i="172"/>
  <c r="M356" i="172"/>
  <c r="M357" i="172"/>
  <c r="M358" i="172"/>
  <c r="M359" i="172"/>
  <c r="M360" i="172"/>
  <c r="M361" i="172"/>
  <c r="M362" i="172"/>
  <c r="M363" i="172"/>
  <c r="M364" i="172"/>
  <c r="M365" i="172"/>
  <c r="M366" i="172"/>
  <c r="M367" i="172"/>
  <c r="M368" i="172"/>
  <c r="M369" i="172"/>
  <c r="M370" i="172"/>
  <c r="M371" i="172"/>
  <c r="M372" i="172"/>
  <c r="M373" i="172"/>
  <c r="M374" i="172"/>
  <c r="M375" i="172"/>
  <c r="M376" i="172"/>
  <c r="M377" i="172"/>
  <c r="M378" i="172"/>
  <c r="M379" i="172"/>
  <c r="M380" i="172"/>
  <c r="M381" i="172"/>
  <c r="M382" i="172"/>
  <c r="M383" i="172"/>
  <c r="M384" i="172"/>
  <c r="M385" i="172"/>
  <c r="M386" i="172"/>
  <c r="M387" i="172"/>
  <c r="M388" i="172"/>
  <c r="M389" i="172"/>
  <c r="M390" i="172"/>
  <c r="M391" i="172"/>
  <c r="M392" i="172"/>
  <c r="M393" i="172"/>
  <c r="M394" i="172"/>
  <c r="M395" i="172"/>
  <c r="M396" i="172"/>
  <c r="M397" i="172"/>
  <c r="M398" i="172"/>
  <c r="M399" i="172"/>
  <c r="M400" i="172"/>
  <c r="M401" i="172"/>
  <c r="M402" i="172"/>
  <c r="M403" i="172"/>
  <c r="M404" i="172"/>
  <c r="M405" i="172"/>
  <c r="M406" i="172"/>
  <c r="M407" i="172"/>
  <c r="M408" i="172"/>
  <c r="M409" i="172"/>
  <c r="M410" i="172"/>
  <c r="M411" i="172"/>
  <c r="M412" i="172"/>
  <c r="M413" i="172"/>
  <c r="M414" i="172"/>
  <c r="M415" i="172"/>
  <c r="M416" i="172"/>
  <c r="M417" i="172"/>
  <c r="M418" i="172"/>
  <c r="M419" i="172"/>
  <c r="M420" i="172"/>
  <c r="M421" i="172"/>
  <c r="M422" i="172"/>
  <c r="M423" i="172"/>
  <c r="M424" i="172"/>
  <c r="M425" i="172"/>
  <c r="M426" i="172"/>
  <c r="M427" i="172"/>
  <c r="M428" i="172"/>
  <c r="M429" i="172"/>
  <c r="M430" i="172"/>
  <c r="M431" i="172"/>
  <c r="M432" i="172"/>
  <c r="M433" i="172"/>
  <c r="M434" i="172"/>
  <c r="M435" i="172"/>
  <c r="M436" i="172"/>
  <c r="M437" i="172"/>
  <c r="M438" i="172"/>
  <c r="M439" i="172"/>
  <c r="M440" i="172"/>
  <c r="M441" i="172"/>
  <c r="M442" i="172"/>
  <c r="M443" i="172"/>
  <c r="M444" i="172"/>
  <c r="M445" i="172"/>
  <c r="M446" i="172"/>
  <c r="M447" i="172"/>
  <c r="M448" i="172"/>
  <c r="M449" i="172"/>
  <c r="M450" i="172"/>
  <c r="M451" i="172"/>
  <c r="M452" i="172"/>
  <c r="M453" i="172"/>
  <c r="M454" i="172"/>
  <c r="M455" i="172"/>
  <c r="M456" i="172"/>
  <c r="M457" i="172"/>
  <c r="M458" i="172"/>
  <c r="M459" i="172"/>
  <c r="M460" i="172"/>
  <c r="M461" i="172"/>
  <c r="M462" i="172"/>
  <c r="M463" i="172"/>
  <c r="M464" i="172"/>
  <c r="M465" i="172"/>
  <c r="M466" i="172"/>
  <c r="M467" i="172"/>
  <c r="M468" i="172"/>
  <c r="M469" i="172"/>
  <c r="M470" i="172"/>
  <c r="M471" i="172"/>
  <c r="M472" i="172"/>
  <c r="M473" i="172"/>
  <c r="M474" i="172"/>
  <c r="M475" i="172"/>
  <c r="M476" i="172"/>
  <c r="M477" i="172"/>
  <c r="M478" i="172"/>
  <c r="M479" i="172"/>
  <c r="M480" i="172"/>
  <c r="M481" i="172"/>
  <c r="M482" i="172"/>
  <c r="M483" i="172"/>
  <c r="M484" i="172"/>
  <c r="M485" i="172"/>
  <c r="M486" i="172"/>
  <c r="M487" i="172"/>
  <c r="M488" i="172"/>
  <c r="M489" i="172"/>
  <c r="M490" i="172"/>
  <c r="M491" i="172"/>
  <c r="M492" i="172"/>
  <c r="M493" i="172"/>
  <c r="M494" i="172"/>
  <c r="M495" i="172"/>
  <c r="M496" i="172"/>
  <c r="M497" i="172"/>
  <c r="M498" i="172"/>
  <c r="M499" i="172"/>
  <c r="M500" i="172"/>
  <c r="M501" i="172"/>
  <c r="M502" i="172"/>
  <c r="M503" i="172"/>
  <c r="M504" i="172"/>
  <c r="M505" i="172"/>
  <c r="M506" i="172"/>
  <c r="M507" i="172"/>
  <c r="M508" i="172"/>
  <c r="M509" i="172"/>
  <c r="M510" i="172"/>
  <c r="M511" i="172"/>
  <c r="M512" i="172"/>
  <c r="M513" i="172"/>
  <c r="M514" i="172"/>
  <c r="M515" i="172"/>
  <c r="M516" i="172"/>
  <c r="M517" i="172"/>
  <c r="M518" i="172"/>
  <c r="M519" i="172"/>
  <c r="M520" i="172"/>
  <c r="M521" i="172"/>
  <c r="M522" i="172"/>
  <c r="M523" i="172"/>
  <c r="M524" i="172"/>
  <c r="M525" i="172"/>
  <c r="M526" i="172"/>
  <c r="M527" i="172"/>
  <c r="M528" i="172"/>
  <c r="M529" i="172"/>
  <c r="M530" i="172"/>
  <c r="M531" i="172"/>
  <c r="M532" i="172"/>
  <c r="M533" i="172"/>
  <c r="M534" i="172"/>
  <c r="M535" i="172"/>
  <c r="M536" i="172"/>
  <c r="M537" i="172"/>
  <c r="M538" i="172"/>
  <c r="M539" i="172"/>
  <c r="M540" i="172"/>
  <c r="M541" i="172"/>
  <c r="M542" i="172"/>
  <c r="M543" i="172"/>
  <c r="M544" i="172"/>
  <c r="M545" i="172"/>
  <c r="M546" i="172"/>
  <c r="M547" i="172"/>
  <c r="M548" i="172"/>
  <c r="M549" i="172"/>
  <c r="M550" i="172"/>
  <c r="M551" i="172"/>
  <c r="M552" i="172"/>
  <c r="M553" i="172"/>
  <c r="M554" i="172"/>
  <c r="M555" i="172"/>
  <c r="M556" i="172"/>
  <c r="M557" i="172"/>
  <c r="M558" i="172"/>
  <c r="M559" i="172"/>
  <c r="M560" i="172"/>
  <c r="M561" i="172"/>
  <c r="M562" i="172"/>
  <c r="M563" i="172"/>
  <c r="M564" i="172"/>
  <c r="M565" i="172"/>
  <c r="M566" i="172"/>
  <c r="M567" i="172"/>
  <c r="M568" i="172"/>
  <c r="M569" i="172"/>
  <c r="M570" i="172"/>
  <c r="M571" i="172"/>
  <c r="M572" i="172"/>
  <c r="M573" i="172"/>
  <c r="M574" i="172"/>
  <c r="M575" i="172"/>
  <c r="M576" i="172"/>
  <c r="M577" i="172"/>
  <c r="M578" i="172"/>
  <c r="M579" i="172"/>
  <c r="M580" i="172"/>
  <c r="M581" i="172"/>
  <c r="M582" i="172"/>
  <c r="M583" i="172"/>
  <c r="M584" i="172"/>
  <c r="M585" i="172"/>
  <c r="M586" i="172"/>
  <c r="M587" i="172"/>
  <c r="M588" i="172"/>
  <c r="M589" i="172"/>
  <c r="M590" i="172"/>
  <c r="M591" i="172"/>
  <c r="M592" i="172"/>
  <c r="M593" i="172"/>
  <c r="M594" i="172"/>
  <c r="M595" i="172"/>
  <c r="M596" i="172"/>
  <c r="M597" i="172"/>
  <c r="M598" i="172"/>
  <c r="M599" i="172"/>
  <c r="M600" i="172"/>
  <c r="M601" i="172"/>
  <c r="M602" i="172"/>
  <c r="M603" i="172"/>
  <c r="M604" i="172"/>
  <c r="M605" i="172"/>
  <c r="M606" i="172"/>
  <c r="M607" i="172"/>
  <c r="M608" i="172"/>
  <c r="M609" i="172"/>
  <c r="M610" i="172"/>
  <c r="M611" i="172"/>
  <c r="M612" i="172"/>
  <c r="M613" i="172"/>
  <c r="M614" i="172"/>
  <c r="M615" i="172"/>
  <c r="M616" i="172"/>
  <c r="M617" i="172"/>
  <c r="M618" i="172"/>
  <c r="M619" i="172"/>
  <c r="M620" i="172"/>
  <c r="M621" i="172"/>
  <c r="M622" i="172"/>
  <c r="M623" i="172"/>
  <c r="M624" i="172"/>
  <c r="M625" i="172"/>
  <c r="M626" i="172"/>
  <c r="M627" i="172"/>
  <c r="M628" i="172"/>
  <c r="M629" i="172"/>
  <c r="M630" i="172"/>
  <c r="M631" i="172"/>
  <c r="M632" i="172"/>
  <c r="M633" i="172"/>
  <c r="M634" i="172"/>
  <c r="M635" i="172"/>
  <c r="M636" i="172"/>
  <c r="M637" i="172"/>
  <c r="M638" i="172"/>
  <c r="M639" i="172"/>
  <c r="M640" i="172"/>
  <c r="M641" i="172"/>
  <c r="M642" i="172"/>
  <c r="M643" i="172"/>
  <c r="M644" i="172"/>
  <c r="M645" i="172"/>
  <c r="M646" i="172"/>
  <c r="M647" i="172"/>
  <c r="M648" i="172"/>
  <c r="M649" i="172"/>
  <c r="M650" i="172"/>
  <c r="M651" i="172"/>
  <c r="M652" i="172"/>
  <c r="M653" i="172"/>
  <c r="M654" i="172"/>
  <c r="M655" i="172"/>
  <c r="M656" i="172"/>
  <c r="M657" i="172"/>
  <c r="M658" i="172"/>
  <c r="M659" i="172"/>
  <c r="M660" i="172"/>
  <c r="M661" i="172"/>
  <c r="M662" i="172"/>
  <c r="M663" i="172"/>
  <c r="M664" i="172"/>
  <c r="M665" i="172"/>
  <c r="M666" i="172"/>
  <c r="M667" i="172"/>
  <c r="M668" i="172"/>
  <c r="M669" i="172"/>
  <c r="M670" i="172"/>
  <c r="M671" i="172"/>
  <c r="M672" i="172"/>
  <c r="M673" i="172"/>
  <c r="M674" i="172"/>
  <c r="M675" i="172"/>
  <c r="M676" i="172"/>
  <c r="M677" i="172"/>
  <c r="M678" i="172"/>
  <c r="M679" i="172"/>
  <c r="M680" i="172"/>
  <c r="M681" i="172"/>
  <c r="M682" i="172"/>
  <c r="M683" i="172"/>
  <c r="M684" i="172"/>
  <c r="M685" i="172"/>
  <c r="M686" i="172"/>
  <c r="M687" i="172"/>
  <c r="M688" i="172"/>
  <c r="M689" i="172"/>
  <c r="M690" i="172"/>
  <c r="M691" i="172"/>
  <c r="M692" i="172"/>
  <c r="M693" i="172"/>
  <c r="M694" i="172"/>
  <c r="M695" i="172"/>
  <c r="M696" i="172"/>
  <c r="M697" i="172"/>
  <c r="M698" i="172"/>
  <c r="M699" i="172"/>
  <c r="M700" i="172"/>
  <c r="M701" i="172"/>
  <c r="M702" i="172"/>
  <c r="M703" i="172"/>
  <c r="M704" i="172"/>
  <c r="M705" i="172"/>
  <c r="M706" i="172"/>
  <c r="M707" i="172"/>
  <c r="M708" i="172"/>
  <c r="M709" i="172"/>
  <c r="M710" i="172"/>
  <c r="M711" i="172"/>
  <c r="M712" i="172"/>
  <c r="M713" i="172"/>
  <c r="M714" i="172"/>
  <c r="M715" i="172"/>
  <c r="M716" i="172"/>
  <c r="M717" i="172"/>
  <c r="M718" i="172"/>
  <c r="M719" i="172"/>
  <c r="M720" i="172"/>
  <c r="M721" i="172"/>
  <c r="M722" i="172"/>
  <c r="M723" i="172"/>
  <c r="M724" i="172"/>
  <c r="M725" i="172"/>
  <c r="M726" i="172"/>
  <c r="M727" i="172"/>
  <c r="M728" i="172"/>
  <c r="M729" i="172"/>
  <c r="M730" i="172"/>
  <c r="M731" i="172"/>
  <c r="M732" i="172"/>
  <c r="M733" i="172"/>
  <c r="M734" i="172"/>
  <c r="M735" i="172"/>
  <c r="M736" i="172"/>
  <c r="M737" i="172"/>
  <c r="M738" i="172"/>
  <c r="M739" i="172"/>
  <c r="M740" i="172"/>
  <c r="M741" i="172"/>
  <c r="M742" i="172"/>
  <c r="M743" i="172"/>
  <c r="M744" i="172"/>
  <c r="M745" i="172"/>
  <c r="M746" i="172"/>
  <c r="M747" i="172"/>
  <c r="M748" i="172"/>
  <c r="M749" i="172"/>
  <c r="M750" i="172"/>
  <c r="M751" i="172"/>
  <c r="M752" i="172"/>
  <c r="M753" i="172"/>
  <c r="M754" i="172"/>
  <c r="M755" i="172"/>
  <c r="M756" i="172"/>
  <c r="M757" i="172"/>
  <c r="M758" i="172"/>
  <c r="M759" i="172"/>
  <c r="M760" i="172"/>
  <c r="M761" i="172"/>
  <c r="M762" i="172"/>
  <c r="M763" i="172"/>
  <c r="M764" i="172"/>
  <c r="M765" i="172"/>
  <c r="M766" i="172"/>
  <c r="M767" i="172"/>
  <c r="M768" i="172"/>
  <c r="M769" i="172"/>
  <c r="M770" i="172"/>
  <c r="M771" i="172"/>
  <c r="M772" i="172"/>
  <c r="M773" i="172"/>
  <c r="M774" i="172"/>
  <c r="M775" i="172"/>
  <c r="M776" i="172"/>
  <c r="M777" i="172"/>
  <c r="M778" i="172"/>
  <c r="M779" i="172"/>
  <c r="M780" i="172"/>
  <c r="M781" i="172"/>
  <c r="M782" i="172"/>
  <c r="M783" i="172"/>
  <c r="M784" i="172"/>
  <c r="M785" i="172"/>
  <c r="M786" i="172"/>
  <c r="M787" i="172"/>
  <c r="M788" i="172"/>
  <c r="M789" i="172"/>
  <c r="M790" i="172"/>
  <c r="M791" i="172"/>
  <c r="M792" i="172"/>
  <c r="M793" i="172"/>
  <c r="M794" i="172"/>
  <c r="M795" i="172"/>
  <c r="M796" i="172"/>
  <c r="M797" i="172"/>
  <c r="M798" i="172"/>
  <c r="M799" i="172"/>
  <c r="M800" i="172"/>
  <c r="M801" i="172"/>
  <c r="M802" i="172"/>
  <c r="M803" i="172"/>
  <c r="M804" i="172"/>
  <c r="M805" i="172"/>
  <c r="M806" i="172"/>
  <c r="M807" i="172"/>
  <c r="M808" i="172"/>
  <c r="M809" i="172"/>
  <c r="M810" i="172"/>
  <c r="M811" i="172"/>
  <c r="M812" i="172"/>
  <c r="M813" i="172"/>
  <c r="M814" i="172"/>
  <c r="M815" i="172"/>
  <c r="M816" i="172"/>
  <c r="M817" i="172"/>
  <c r="M818" i="172"/>
  <c r="M819" i="172"/>
  <c r="M820" i="172"/>
  <c r="M821" i="172"/>
  <c r="M822" i="172"/>
  <c r="M823" i="172"/>
  <c r="M824" i="172"/>
  <c r="M825" i="172"/>
  <c r="M826" i="172"/>
  <c r="M827" i="172"/>
  <c r="M828" i="172"/>
  <c r="M829" i="172"/>
  <c r="M830" i="172"/>
  <c r="M831" i="172"/>
  <c r="M832" i="172"/>
  <c r="M833" i="172"/>
  <c r="M834" i="172"/>
  <c r="M835" i="172"/>
  <c r="M836" i="172"/>
  <c r="M837" i="172"/>
  <c r="M838" i="172"/>
  <c r="M839" i="172"/>
  <c r="M840" i="172"/>
  <c r="M841" i="172"/>
  <c r="M842" i="172"/>
  <c r="M843" i="172"/>
  <c r="M844" i="172"/>
  <c r="M845" i="172"/>
  <c r="M846" i="172"/>
  <c r="M847" i="172"/>
  <c r="M848" i="172"/>
  <c r="M849" i="172"/>
  <c r="M850" i="172"/>
  <c r="M851" i="172"/>
  <c r="M852" i="172"/>
  <c r="M853" i="172"/>
  <c r="M854" i="172"/>
  <c r="M855" i="172"/>
  <c r="M856" i="172"/>
  <c r="M857" i="172"/>
  <c r="M858" i="172"/>
  <c r="M859" i="172"/>
  <c r="M860" i="172"/>
  <c r="M861" i="172"/>
  <c r="M862" i="172"/>
  <c r="M863" i="172"/>
  <c r="M864" i="172"/>
  <c r="M865" i="172"/>
  <c r="M866" i="172"/>
  <c r="M867" i="172"/>
  <c r="M868" i="172"/>
  <c r="M869" i="172"/>
  <c r="M870" i="172"/>
  <c r="M871" i="172"/>
  <c r="M872" i="172"/>
  <c r="M873" i="172"/>
  <c r="M874" i="172"/>
  <c r="M875" i="172"/>
  <c r="M876" i="172"/>
  <c r="M877" i="172"/>
  <c r="M878" i="172"/>
  <c r="M879" i="172"/>
  <c r="M880" i="172"/>
  <c r="M881" i="172"/>
  <c r="M882" i="172"/>
  <c r="M883" i="172"/>
  <c r="M884" i="172"/>
  <c r="M885" i="172"/>
  <c r="M886" i="172"/>
  <c r="M887" i="172"/>
  <c r="M888" i="172"/>
  <c r="M889" i="172"/>
  <c r="M890" i="172"/>
  <c r="M891" i="172"/>
  <c r="M892" i="172"/>
  <c r="M893" i="172"/>
  <c r="M894" i="172"/>
  <c r="M895" i="172"/>
  <c r="M896" i="172"/>
  <c r="M897" i="172"/>
  <c r="M898" i="172"/>
  <c r="M899" i="172"/>
  <c r="M900" i="172"/>
  <c r="M901" i="172"/>
  <c r="M902" i="172"/>
  <c r="M903" i="172"/>
  <c r="M904" i="172"/>
  <c r="M905" i="172"/>
  <c r="M906" i="172"/>
  <c r="M907" i="172"/>
  <c r="M908" i="172"/>
  <c r="M909" i="172"/>
  <c r="M910" i="172"/>
  <c r="M911" i="172"/>
  <c r="M912" i="172"/>
  <c r="M913" i="172"/>
  <c r="M914" i="172"/>
  <c r="M915" i="172"/>
  <c r="M916" i="172"/>
  <c r="M917" i="172"/>
  <c r="M918" i="172"/>
  <c r="M919" i="172"/>
  <c r="M920" i="172"/>
  <c r="M921" i="172"/>
  <c r="M922" i="172"/>
  <c r="M923" i="172"/>
  <c r="M924" i="172"/>
  <c r="M925" i="172"/>
  <c r="M926" i="172"/>
  <c r="M927" i="172"/>
  <c r="M928" i="172"/>
  <c r="M929" i="172"/>
  <c r="M930" i="172"/>
  <c r="M931" i="172"/>
  <c r="M932" i="172"/>
  <c r="M933" i="172"/>
  <c r="M934" i="172"/>
  <c r="M935" i="172"/>
  <c r="M936" i="172"/>
  <c r="M937" i="172"/>
  <c r="M938" i="172"/>
  <c r="M939" i="172"/>
  <c r="M940" i="172"/>
  <c r="M941" i="172"/>
  <c r="M942" i="172"/>
  <c r="M943" i="172"/>
  <c r="M944" i="172"/>
  <c r="M945" i="172"/>
  <c r="M946" i="172"/>
  <c r="M947" i="172"/>
  <c r="M948" i="172"/>
  <c r="M949" i="172"/>
  <c r="M950" i="172"/>
  <c r="M951" i="172"/>
  <c r="M952" i="172"/>
  <c r="M953" i="172"/>
  <c r="M954" i="172"/>
  <c r="M955" i="172"/>
  <c r="M956" i="172"/>
  <c r="M957" i="172"/>
  <c r="M958" i="172"/>
  <c r="M959" i="172"/>
  <c r="M960" i="172"/>
  <c r="M961" i="172"/>
  <c r="M962" i="172"/>
  <c r="M963" i="172"/>
  <c r="M964" i="172"/>
  <c r="M965" i="172"/>
  <c r="M966" i="172"/>
  <c r="M967" i="172"/>
  <c r="M968" i="172"/>
  <c r="M969" i="172"/>
  <c r="M970" i="172"/>
  <c r="M971" i="172"/>
  <c r="M972" i="172"/>
  <c r="M973" i="172"/>
  <c r="M974" i="172"/>
  <c r="M975" i="172"/>
  <c r="M976" i="172"/>
  <c r="M977" i="172"/>
  <c r="M978" i="172"/>
  <c r="M979" i="172"/>
  <c r="M980" i="172"/>
  <c r="M981" i="172"/>
  <c r="M982" i="172"/>
  <c r="M983" i="172"/>
  <c r="M984" i="172"/>
  <c r="M985" i="172"/>
  <c r="M986" i="172"/>
  <c r="M987" i="172"/>
  <c r="M988" i="172"/>
  <c r="M989" i="172"/>
  <c r="M990" i="172"/>
  <c r="M991" i="172"/>
  <c r="M992" i="172"/>
  <c r="M993" i="172"/>
  <c r="M994" i="172"/>
  <c r="M995" i="172"/>
  <c r="M996" i="172"/>
  <c r="M997" i="172"/>
  <c r="M998" i="172"/>
  <c r="M999" i="172"/>
  <c r="M1000" i="172"/>
  <c r="M5" i="172"/>
  <c r="M6" i="172"/>
  <c r="M7" i="172"/>
  <c r="M8" i="172"/>
  <c r="M9" i="172"/>
  <c r="M10" i="172"/>
  <c r="M11" i="172"/>
  <c r="M12" i="172"/>
  <c r="M13" i="172"/>
  <c r="M14" i="172"/>
  <c r="M15" i="172"/>
  <c r="M16" i="172"/>
  <c r="M17" i="172"/>
  <c r="M4" i="172"/>
  <c r="Q1195" i="171" l="1"/>
  <c r="Q1191" i="171"/>
  <c r="Q1187" i="171"/>
  <c r="Q1183" i="171"/>
  <c r="Q1179" i="171"/>
  <c r="Q1175" i="171"/>
  <c r="Q1171" i="171"/>
  <c r="Q1167" i="171"/>
  <c r="Q1163" i="171"/>
  <c r="Q1159" i="171"/>
  <c r="Q1155" i="171"/>
  <c r="Q1151" i="171"/>
  <c r="Q1147" i="171"/>
  <c r="Q1143" i="171"/>
  <c r="Q1139" i="171"/>
  <c r="Q1135" i="171"/>
  <c r="Q1131" i="171"/>
  <c r="Q1127" i="171"/>
  <c r="Q1123" i="171"/>
  <c r="Q1119" i="171"/>
  <c r="Q1115" i="171"/>
  <c r="Q1111" i="171"/>
  <c r="Q1107" i="171"/>
  <c r="Q1103" i="171"/>
  <c r="Q1099" i="171"/>
  <c r="Q1095" i="171"/>
  <c r="Q1091" i="171"/>
  <c r="Q1087" i="171"/>
  <c r="Q1083" i="171"/>
  <c r="Q1079" i="171"/>
  <c r="Q1075" i="171"/>
  <c r="Q1071" i="171"/>
  <c r="Q1067" i="171"/>
  <c r="Q1063" i="171"/>
  <c r="Q1059" i="171"/>
  <c r="Q1055" i="171"/>
  <c r="Q1051" i="171"/>
  <c r="Q1047" i="171"/>
  <c r="Q1043" i="171"/>
  <c r="Q1039" i="171"/>
  <c r="Q1035" i="171"/>
  <c r="Q1031" i="171"/>
  <c r="Q1027" i="171"/>
  <c r="Q1023" i="171"/>
  <c r="Q1019" i="171"/>
  <c r="Q1015" i="171"/>
  <c r="Q1011" i="171"/>
  <c r="Q1007" i="171"/>
  <c r="Q1003" i="171"/>
  <c r="Q999" i="171"/>
  <c r="Q995" i="171"/>
  <c r="Q991" i="171"/>
  <c r="Q987" i="171"/>
  <c r="Q983" i="171"/>
  <c r="Q979" i="171"/>
  <c r="Q975" i="171"/>
  <c r="Q971" i="171"/>
  <c r="Q967" i="171"/>
  <c r="Q963" i="171"/>
  <c r="Q959" i="171"/>
  <c r="Q955" i="171"/>
  <c r="Q951" i="171"/>
  <c r="Q947" i="171"/>
  <c r="Q943" i="171"/>
  <c r="Q939" i="171"/>
  <c r="Q935" i="171"/>
  <c r="Q931" i="171"/>
  <c r="Q927" i="171"/>
  <c r="Q923" i="171"/>
  <c r="Q919" i="171"/>
  <c r="Q915" i="171"/>
  <c r="Q911" i="171"/>
  <c r="Q907" i="171"/>
  <c r="Q903" i="171"/>
  <c r="Q899" i="171"/>
  <c r="Q895" i="171"/>
  <c r="Q891" i="171"/>
  <c r="Q887" i="171"/>
  <c r="Q883" i="171"/>
  <c r="Q879" i="171"/>
  <c r="Q875" i="171"/>
  <c r="Q871" i="171"/>
  <c r="Q867" i="171"/>
  <c r="Q863" i="171"/>
  <c r="Q859" i="171"/>
  <c r="Q855" i="171"/>
  <c r="Q851" i="171"/>
  <c r="Q847" i="171"/>
  <c r="Q843" i="171"/>
  <c r="Q839" i="171"/>
  <c r="Q835" i="171"/>
  <c r="Q831" i="171"/>
  <c r="Q827" i="171"/>
  <c r="Q823" i="171"/>
  <c r="Q819" i="171"/>
  <c r="Q815" i="171"/>
  <c r="Q811" i="171"/>
  <c r="Q807" i="171"/>
  <c r="Q803" i="171"/>
  <c r="Q799" i="171"/>
  <c r="Q795" i="171"/>
  <c r="Q791" i="171"/>
  <c r="Q787" i="171"/>
  <c r="Q1198" i="171"/>
  <c r="Q1194" i="171"/>
  <c r="Q1190" i="171"/>
  <c r="Q1186" i="171"/>
  <c r="Q1182" i="171"/>
  <c r="Q1178" i="171"/>
  <c r="Q1174" i="171"/>
  <c r="Q1170" i="171"/>
  <c r="Q1166" i="171"/>
  <c r="Q1162" i="171"/>
  <c r="Q1158" i="171"/>
  <c r="Q1154" i="171"/>
  <c r="Q1150" i="171"/>
  <c r="Q1146" i="171"/>
  <c r="Q1142" i="171"/>
  <c r="Q1138" i="171"/>
  <c r="Q1134" i="171"/>
  <c r="Q1130" i="171"/>
  <c r="Q1126" i="171"/>
  <c r="Q1122" i="171"/>
  <c r="Q1118" i="171"/>
  <c r="Q1114" i="171"/>
  <c r="Q1110" i="171"/>
  <c r="Q1106" i="171"/>
  <c r="Q1102" i="171"/>
  <c r="Q1098" i="171"/>
  <c r="Q1094" i="171"/>
  <c r="Q1090" i="171"/>
  <c r="Q1086" i="171"/>
  <c r="Q1082" i="171"/>
  <c r="Q1078" i="171"/>
  <c r="Q1074" i="171"/>
  <c r="Q1070" i="171"/>
  <c r="Q1066" i="171"/>
  <c r="Q1062" i="171"/>
  <c r="Q1058" i="171"/>
  <c r="Q1054" i="171"/>
  <c r="Q1050" i="171"/>
  <c r="Q1046" i="171"/>
  <c r="Q1042" i="171"/>
  <c r="Q1038" i="171"/>
  <c r="Q1034" i="171"/>
  <c r="Q1030" i="171"/>
  <c r="Q1026" i="171"/>
  <c r="Q1022" i="171"/>
  <c r="Q1018" i="171"/>
  <c r="Q1014" i="171"/>
  <c r="Q1010" i="171"/>
  <c r="Q1006" i="171"/>
  <c r="Q1002" i="171"/>
  <c r="Q998" i="171"/>
  <c r="Q994" i="171"/>
  <c r="Q990" i="171"/>
  <c r="Q986" i="171"/>
  <c r="Q982" i="171"/>
  <c r="Q978" i="171"/>
  <c r="Q974" i="171"/>
  <c r="Q970" i="171"/>
  <c r="Q966" i="171"/>
  <c r="Q962" i="171"/>
  <c r="Q958" i="171"/>
  <c r="Q954" i="171"/>
  <c r="Q950" i="171"/>
  <c r="Q946" i="171"/>
  <c r="Q942" i="171"/>
  <c r="Q938" i="171"/>
  <c r="Q934" i="171"/>
  <c r="Q930" i="171"/>
  <c r="Q926" i="171"/>
  <c r="Q922" i="171"/>
  <c r="Q918" i="171"/>
  <c r="Q914" i="171"/>
  <c r="Q910" i="171"/>
  <c r="Q906" i="171"/>
  <c r="Q902" i="171"/>
  <c r="Q898" i="171"/>
  <c r="Q894" i="171"/>
  <c r="Q890" i="171"/>
  <c r="Q886" i="171"/>
  <c r="Q882" i="171"/>
  <c r="Q878" i="171"/>
  <c r="Q874" i="171"/>
  <c r="Q870" i="171"/>
  <c r="Q866" i="171"/>
  <c r="Q862" i="171"/>
  <c r="Q858" i="171"/>
  <c r="Q854" i="171"/>
  <c r="Q850" i="171"/>
  <c r="Q846" i="171"/>
  <c r="Q842" i="171"/>
  <c r="Q838" i="171"/>
  <c r="Q834" i="171"/>
  <c r="Q830" i="171"/>
  <c r="Q826" i="171"/>
  <c r="Q822" i="171"/>
  <c r="Q818" i="171"/>
  <c r="Q814" i="171"/>
  <c r="Q810" i="171"/>
  <c r="Q806" i="171"/>
  <c r="Q802" i="171"/>
  <c r="Q798" i="171"/>
  <c r="Q794" i="171"/>
  <c r="Q790" i="171"/>
  <c r="Q108" i="171"/>
  <c r="Q112" i="171"/>
  <c r="Q116" i="171"/>
  <c r="Q120" i="171"/>
  <c r="Q124" i="171"/>
  <c r="Q128" i="171"/>
  <c r="Q132" i="171"/>
  <c r="Q136" i="171"/>
  <c r="Q140" i="171"/>
  <c r="Q144" i="171"/>
  <c r="Q148" i="171"/>
  <c r="Q152" i="171"/>
  <c r="Q156" i="171"/>
  <c r="Q160" i="171"/>
  <c r="Q164" i="171"/>
  <c r="Q168" i="171"/>
  <c r="Q172" i="171"/>
  <c r="Q176" i="171"/>
  <c r="Q180" i="171"/>
  <c r="Q184" i="171"/>
  <c r="Q188" i="171"/>
  <c r="Q192" i="171"/>
  <c r="Q196" i="171"/>
  <c r="Q200" i="171"/>
  <c r="Q204" i="171"/>
  <c r="Q208" i="171"/>
  <c r="Q212" i="171"/>
  <c r="Q216" i="171"/>
  <c r="Q220" i="171"/>
  <c r="Q224" i="171"/>
  <c r="Q228" i="171"/>
  <c r="Q232" i="171"/>
  <c r="Q236" i="171"/>
  <c r="Q240" i="171"/>
  <c r="Q244" i="171"/>
  <c r="Q248" i="171"/>
  <c r="Q252" i="171"/>
  <c r="Q256" i="171"/>
  <c r="Q260" i="171"/>
  <c r="Q264" i="171"/>
  <c r="Q268" i="171"/>
  <c r="Q272" i="171"/>
  <c r="Q276" i="171"/>
  <c r="Q280" i="171"/>
  <c r="Q284" i="171"/>
  <c r="Q288" i="171"/>
  <c r="Q292" i="171"/>
  <c r="Q296" i="171"/>
  <c r="Q300" i="171"/>
  <c r="Q304" i="171"/>
  <c r="Q308" i="171"/>
  <c r="Q312" i="171"/>
  <c r="Q316" i="171"/>
  <c r="Q320" i="171"/>
  <c r="Q324" i="171"/>
  <c r="Q328" i="171"/>
  <c r="Q332" i="171"/>
  <c r="Q336" i="171"/>
  <c r="Q340" i="171"/>
  <c r="Q344" i="171"/>
  <c r="Q348" i="171"/>
  <c r="Q352" i="171"/>
  <c r="Q356" i="171"/>
  <c r="Q360" i="171"/>
  <c r="Q364" i="171"/>
  <c r="Q368" i="171"/>
  <c r="Q372" i="171"/>
  <c r="Q376" i="171"/>
  <c r="Q380" i="171"/>
  <c r="Q384" i="171"/>
  <c r="Q388" i="171"/>
  <c r="Q392" i="171"/>
  <c r="Q396" i="171"/>
  <c r="Q400" i="171"/>
  <c r="Q404" i="171"/>
  <c r="Q408" i="171"/>
  <c r="Q412" i="171"/>
  <c r="Q416" i="171"/>
  <c r="Q420" i="171"/>
  <c r="Q424" i="171"/>
  <c r="Q428" i="171"/>
  <c r="Q432" i="171"/>
  <c r="Q436" i="171"/>
  <c r="Q440" i="171"/>
  <c r="Q444" i="171"/>
  <c r="Q448" i="171"/>
  <c r="Q452" i="171"/>
  <c r="Q456" i="171"/>
  <c r="Q460" i="171"/>
  <c r="Q464" i="171"/>
  <c r="Q468" i="171"/>
  <c r="Q472" i="171"/>
  <c r="Q476" i="171"/>
  <c r="Q480" i="171"/>
  <c r="Q484" i="171"/>
  <c r="Q488" i="171"/>
  <c r="Q492" i="171"/>
  <c r="Q496" i="171"/>
  <c r="Q500" i="171"/>
  <c r="Q504" i="171"/>
  <c r="Q508" i="171"/>
  <c r="Q512" i="171"/>
  <c r="Q516" i="171"/>
  <c r="Q520" i="171"/>
  <c r="Q524" i="171"/>
  <c r="Q528" i="171"/>
  <c r="Q532" i="171"/>
  <c r="Q536" i="171"/>
  <c r="Q540" i="171"/>
  <c r="Q544" i="171"/>
  <c r="Q548" i="171"/>
  <c r="Q552" i="171"/>
  <c r="Q556" i="171"/>
  <c r="Q560" i="171"/>
  <c r="Q564" i="171"/>
  <c r="Q568" i="171"/>
  <c r="Q572" i="171"/>
  <c r="Q576" i="171"/>
  <c r="Q580" i="171"/>
  <c r="Q584" i="171"/>
  <c r="Q111" i="171"/>
  <c r="Q117" i="171"/>
  <c r="Q122" i="171"/>
  <c r="Q127" i="171"/>
  <c r="Q133" i="171"/>
  <c r="Q138" i="171"/>
  <c r="Q143" i="171"/>
  <c r="Q149" i="171"/>
  <c r="Q154" i="171"/>
  <c r="Q159" i="171"/>
  <c r="Q165" i="171"/>
  <c r="Q170" i="171"/>
  <c r="Q175" i="171"/>
  <c r="Q181" i="171"/>
  <c r="Q186" i="171"/>
  <c r="Q191" i="171"/>
  <c r="Q197" i="171"/>
  <c r="Q202" i="171"/>
  <c r="Q207" i="171"/>
  <c r="Q213" i="171"/>
  <c r="Q218" i="171"/>
  <c r="Q223" i="171"/>
  <c r="Q229" i="171"/>
  <c r="Q234" i="171"/>
  <c r="Q239" i="171"/>
  <c r="Q245" i="171"/>
  <c r="Q250" i="171"/>
  <c r="Q255" i="171"/>
  <c r="Q261" i="171"/>
  <c r="Q266" i="171"/>
  <c r="Q271" i="171"/>
  <c r="Q277" i="171"/>
  <c r="Q282" i="171"/>
  <c r="Q287" i="171"/>
  <c r="Q293" i="171"/>
  <c r="Q298" i="171"/>
  <c r="Q303" i="171"/>
  <c r="Q309" i="171"/>
  <c r="Q314" i="171"/>
  <c r="Q319" i="171"/>
  <c r="Q325" i="171"/>
  <c r="Q330" i="171"/>
  <c r="Q335" i="171"/>
  <c r="Q341" i="171"/>
  <c r="Q346" i="171"/>
  <c r="Q351" i="171"/>
  <c r="Q357" i="171"/>
  <c r="Q362" i="171"/>
  <c r="Q367" i="171"/>
  <c r="Q373" i="171"/>
  <c r="Q378" i="171"/>
  <c r="Q383" i="171"/>
  <c r="Q389" i="171"/>
  <c r="Q394" i="171"/>
  <c r="Q399" i="171"/>
  <c r="Q405" i="171"/>
  <c r="Q410" i="171"/>
  <c r="Q415" i="171"/>
  <c r="Q421" i="171"/>
  <c r="Q426" i="171"/>
  <c r="Q431" i="171"/>
  <c r="Q437" i="171"/>
  <c r="Q442" i="171"/>
  <c r="Q447" i="171"/>
  <c r="Q453" i="171"/>
  <c r="Q458" i="171"/>
  <c r="Q463" i="171"/>
  <c r="Q469" i="171"/>
  <c r="Q474" i="171"/>
  <c r="Q479" i="171"/>
  <c r="Q485" i="171"/>
  <c r="Q490" i="171"/>
  <c r="Q495" i="171"/>
  <c r="Q501" i="171"/>
  <c r="Q113" i="171"/>
  <c r="Q119" i="171"/>
  <c r="Q126" i="171"/>
  <c r="Q134" i="171"/>
  <c r="Q141" i="171"/>
  <c r="Q147" i="171"/>
  <c r="Q155" i="171"/>
  <c r="Q162" i="171"/>
  <c r="Q169" i="171"/>
  <c r="Q177" i="171"/>
  <c r="Q183" i="171"/>
  <c r="Q190" i="171"/>
  <c r="Q198" i="171"/>
  <c r="Q205" i="171"/>
  <c r="Q211" i="171"/>
  <c r="Q219" i="171"/>
  <c r="Q226" i="171"/>
  <c r="Q233" i="171"/>
  <c r="Q241" i="171"/>
  <c r="Q247" i="171"/>
  <c r="Q254" i="171"/>
  <c r="Q262" i="171"/>
  <c r="Q269" i="171"/>
  <c r="Q275" i="171"/>
  <c r="Q283" i="171"/>
  <c r="Q290" i="171"/>
  <c r="Q297" i="171"/>
  <c r="Q305" i="171"/>
  <c r="Q311" i="171"/>
  <c r="Q318" i="171"/>
  <c r="Q326" i="171"/>
  <c r="Q333" i="171"/>
  <c r="Q339" i="171"/>
  <c r="Q347" i="171"/>
  <c r="Q354" i="171"/>
  <c r="Q361" i="171"/>
  <c r="Q369" i="171"/>
  <c r="Q375" i="171"/>
  <c r="Q382" i="171"/>
  <c r="Q390" i="171"/>
  <c r="Q397" i="171"/>
  <c r="Q403" i="171"/>
  <c r="Q411" i="171"/>
  <c r="Q418" i="171"/>
  <c r="Q425" i="171"/>
  <c r="Q433" i="171"/>
  <c r="Q439" i="171"/>
  <c r="Q446" i="171"/>
  <c r="Q454" i="171"/>
  <c r="Q461" i="171"/>
  <c r="Q467" i="171"/>
  <c r="Q475" i="171"/>
  <c r="Q482" i="171"/>
  <c r="Q489" i="171"/>
  <c r="Q497" i="171"/>
  <c r="Q503" i="171"/>
  <c r="Q509" i="171"/>
  <c r="Q514" i="171"/>
  <c r="Q519" i="171"/>
  <c r="Q525" i="171"/>
  <c r="Q530" i="171"/>
  <c r="Q535" i="171"/>
  <c r="Q541" i="171"/>
  <c r="Q546" i="171"/>
  <c r="Q551" i="171"/>
  <c r="Q557" i="171"/>
  <c r="Q562" i="171"/>
  <c r="Q567" i="171"/>
  <c r="Q573" i="171"/>
  <c r="Q578" i="171"/>
  <c r="Q583" i="171"/>
  <c r="Q588" i="171"/>
  <c r="Q592" i="171"/>
  <c r="Q596" i="171"/>
  <c r="Q600" i="171"/>
  <c r="Q604" i="171"/>
  <c r="Q608" i="171"/>
  <c r="Q612" i="171"/>
  <c r="Q109" i="171"/>
  <c r="Q115" i="171"/>
  <c r="Q123" i="171"/>
  <c r="Q130" i="171"/>
  <c r="Q137" i="171"/>
  <c r="Q145" i="171"/>
  <c r="Q151" i="171"/>
  <c r="Q158" i="171"/>
  <c r="Q166" i="171"/>
  <c r="Q173" i="171"/>
  <c r="Q179" i="171"/>
  <c r="Q187" i="171"/>
  <c r="Q194" i="171"/>
  <c r="Q201" i="171"/>
  <c r="Q209" i="171"/>
  <c r="Q215" i="171"/>
  <c r="Q222" i="171"/>
  <c r="Q230" i="171"/>
  <c r="Q237" i="171"/>
  <c r="Q243" i="171"/>
  <c r="Q251" i="171"/>
  <c r="Q258" i="171"/>
  <c r="Q265" i="171"/>
  <c r="Q273" i="171"/>
  <c r="Q279" i="171"/>
  <c r="Q286" i="171"/>
  <c r="Q294" i="171"/>
  <c r="Q301" i="171"/>
  <c r="Q307" i="171"/>
  <c r="Q315" i="171"/>
  <c r="Q322" i="171"/>
  <c r="Q329" i="171"/>
  <c r="Q337" i="171"/>
  <c r="Q343" i="171"/>
  <c r="Q350" i="171"/>
  <c r="Q358" i="171"/>
  <c r="Q365" i="171"/>
  <c r="Q371" i="171"/>
  <c r="Q379" i="171"/>
  <c r="Q386" i="171"/>
  <c r="Q393" i="171"/>
  <c r="Q401" i="171"/>
  <c r="Q407" i="171"/>
  <c r="Q414" i="171"/>
  <c r="Q422" i="171"/>
  <c r="Q429" i="171"/>
  <c r="Q435" i="171"/>
  <c r="Q443" i="171"/>
  <c r="Q450" i="171"/>
  <c r="Q457" i="171"/>
  <c r="Q465" i="171"/>
  <c r="Q471" i="171"/>
  <c r="Q478" i="171"/>
  <c r="Q486" i="171"/>
  <c r="Q493" i="171"/>
  <c r="Q499" i="171"/>
  <c r="Q506" i="171"/>
  <c r="Q511" i="171"/>
  <c r="Q517" i="171"/>
  <c r="Q522" i="171"/>
  <c r="Q527" i="171"/>
  <c r="Q533" i="171"/>
  <c r="Q538" i="171"/>
  <c r="Q543" i="171"/>
  <c r="Q549" i="171"/>
  <c r="Q554" i="171"/>
  <c r="Q559" i="171"/>
  <c r="Q565" i="171"/>
  <c r="Q570" i="171"/>
  <c r="Q575" i="171"/>
  <c r="Q581" i="171"/>
  <c r="Q586" i="171"/>
  <c r="Q590" i="171"/>
  <c r="Q594" i="171"/>
  <c r="Q598" i="171"/>
  <c r="Q602" i="171"/>
  <c r="Q606" i="171"/>
  <c r="Q610" i="171"/>
  <c r="Q110" i="171"/>
  <c r="Q125" i="171"/>
  <c r="Q139" i="171"/>
  <c r="Q153" i="171"/>
  <c r="Q167" i="171"/>
  <c r="Q182" i="171"/>
  <c r="Q195" i="171"/>
  <c r="Q210" i="171"/>
  <c r="Q225" i="171"/>
  <c r="Q238" i="171"/>
  <c r="Q253" i="171"/>
  <c r="Q267" i="171"/>
  <c r="Q281" i="171"/>
  <c r="Q295" i="171"/>
  <c r="Q310" i="171"/>
  <c r="Q323" i="171"/>
  <c r="Q338" i="171"/>
  <c r="Q353" i="171"/>
  <c r="Q366" i="171"/>
  <c r="Q381" i="171"/>
  <c r="Q395" i="171"/>
  <c r="Q409" i="171"/>
  <c r="Q423" i="171"/>
  <c r="Q438" i="171"/>
  <c r="Q451" i="171"/>
  <c r="Q466" i="171"/>
  <c r="Q481" i="171"/>
  <c r="Q494" i="171"/>
  <c r="Q507" i="171"/>
  <c r="Q518" i="171"/>
  <c r="Q529" i="171"/>
  <c r="Q539" i="171"/>
  <c r="Q550" i="171"/>
  <c r="Q561" i="171"/>
  <c r="Q571" i="171"/>
  <c r="Q582" i="171"/>
  <c r="Q591" i="171"/>
  <c r="Q599" i="171"/>
  <c r="Q607" i="171"/>
  <c r="Q614" i="171"/>
  <c r="Q618" i="171"/>
  <c r="Q622" i="171"/>
  <c r="Q626" i="171"/>
  <c r="Q630" i="171"/>
  <c r="Q634" i="171"/>
  <c r="Q638" i="171"/>
  <c r="Q642" i="171"/>
  <c r="Q646" i="171"/>
  <c r="Q650" i="171"/>
  <c r="Q654" i="171"/>
  <c r="Q658" i="171"/>
  <c r="Q662" i="171"/>
  <c r="Q666" i="171"/>
  <c r="Q670" i="171"/>
  <c r="Q674" i="171"/>
  <c r="Q678" i="171"/>
  <c r="Q682" i="171"/>
  <c r="Q686" i="171"/>
  <c r="Q690" i="171"/>
  <c r="Q694" i="171"/>
  <c r="Q698" i="171"/>
  <c r="Q702" i="171"/>
  <c r="Q706" i="171"/>
  <c r="Q710" i="171"/>
  <c r="Q714" i="171"/>
  <c r="Q718" i="171"/>
  <c r="Q722" i="171"/>
  <c r="Q726" i="171"/>
  <c r="Q730" i="171"/>
  <c r="Q734" i="171"/>
  <c r="Q738" i="171"/>
  <c r="Q742" i="171"/>
  <c r="Q746" i="171"/>
  <c r="Q750" i="171"/>
  <c r="Q754" i="171"/>
  <c r="Q758" i="171"/>
  <c r="Q762" i="171"/>
  <c r="Q766" i="171"/>
  <c r="Q770" i="171"/>
  <c r="Q774" i="171"/>
  <c r="Q778" i="171"/>
  <c r="Q782" i="171"/>
  <c r="Q114" i="171"/>
  <c r="Q129" i="171"/>
  <c r="Q142" i="171"/>
  <c r="Q157" i="171"/>
  <c r="Q171" i="171"/>
  <c r="Q185" i="171"/>
  <c r="Q199" i="171"/>
  <c r="Q214" i="171"/>
  <c r="Q227" i="171"/>
  <c r="Q242" i="171"/>
  <c r="Q257" i="171"/>
  <c r="Q270" i="171"/>
  <c r="Q285" i="171"/>
  <c r="Q299" i="171"/>
  <c r="Q313" i="171"/>
  <c r="Q327" i="171"/>
  <c r="Q342" i="171"/>
  <c r="Q355" i="171"/>
  <c r="Q370" i="171"/>
  <c r="Q385" i="171"/>
  <c r="Q398" i="171"/>
  <c r="Q413" i="171"/>
  <c r="Q427" i="171"/>
  <c r="Q441" i="171"/>
  <c r="Q455" i="171"/>
  <c r="Q470" i="171"/>
  <c r="Q483" i="171"/>
  <c r="Q498" i="171"/>
  <c r="Q510" i="171"/>
  <c r="Q521" i="171"/>
  <c r="Q531" i="171"/>
  <c r="Q542" i="171"/>
  <c r="Q553" i="171"/>
  <c r="Q563" i="171"/>
  <c r="Q574" i="171"/>
  <c r="Q585" i="171"/>
  <c r="Q593" i="171"/>
  <c r="Q601" i="171"/>
  <c r="Q609" i="171"/>
  <c r="Q615" i="171"/>
  <c r="Q619" i="171"/>
  <c r="Q623" i="171"/>
  <c r="Q627" i="171"/>
  <c r="Q631" i="171"/>
  <c r="Q635" i="171"/>
  <c r="Q639" i="171"/>
  <c r="Q643" i="171"/>
  <c r="Q647" i="171"/>
  <c r="Q651" i="171"/>
  <c r="Q655" i="171"/>
  <c r="Q659" i="171"/>
  <c r="Q663" i="171"/>
  <c r="Q667" i="171"/>
  <c r="Q671" i="171"/>
  <c r="Q675" i="171"/>
  <c r="Q679" i="171"/>
  <c r="Q683" i="171"/>
  <c r="Q687" i="171"/>
  <c r="Q691" i="171"/>
  <c r="Q695" i="171"/>
  <c r="Q699" i="171"/>
  <c r="Q703" i="171"/>
  <c r="Q707" i="171"/>
  <c r="Q711" i="171"/>
  <c r="Q715" i="171"/>
  <c r="Q719" i="171"/>
  <c r="Q723" i="171"/>
  <c r="Q727" i="171"/>
  <c r="Q731" i="171"/>
  <c r="Q735" i="171"/>
  <c r="Q739" i="171"/>
  <c r="Q743" i="171"/>
  <c r="Q747" i="171"/>
  <c r="Q751" i="171"/>
  <c r="Q755" i="171"/>
  <c r="Q759" i="171"/>
  <c r="Q763" i="171"/>
  <c r="Q767" i="171"/>
  <c r="Q771" i="171"/>
  <c r="Q775" i="171"/>
  <c r="Q779" i="171"/>
  <c r="Q783" i="171"/>
  <c r="Q118" i="171"/>
  <c r="Q131" i="171"/>
  <c r="Q146" i="171"/>
  <c r="Q161" i="171"/>
  <c r="Q174" i="171"/>
  <c r="Q189" i="171"/>
  <c r="Q203" i="171"/>
  <c r="Q217" i="171"/>
  <c r="Q231" i="171"/>
  <c r="Q246" i="171"/>
  <c r="Q259" i="171"/>
  <c r="Q274" i="171"/>
  <c r="Q289" i="171"/>
  <c r="Q302" i="171"/>
  <c r="Q317" i="171"/>
  <c r="Q331" i="171"/>
  <c r="Q345" i="171"/>
  <c r="Q359" i="171"/>
  <c r="Q374" i="171"/>
  <c r="Q387" i="171"/>
  <c r="Q402" i="171"/>
  <c r="Q417" i="171"/>
  <c r="Q430" i="171"/>
  <c r="Q445" i="171"/>
  <c r="Q459" i="171"/>
  <c r="Q473" i="171"/>
  <c r="Q487" i="171"/>
  <c r="Q502" i="171"/>
  <c r="Q513" i="171"/>
  <c r="Q523" i="171"/>
  <c r="Q534" i="171"/>
  <c r="Q545" i="171"/>
  <c r="Q555" i="171"/>
  <c r="Q566" i="171"/>
  <c r="Q577" i="171"/>
  <c r="Q587" i="171"/>
  <c r="Q595" i="171"/>
  <c r="Q603" i="171"/>
  <c r="Q611" i="171"/>
  <c r="Q616" i="171"/>
  <c r="Q620" i="171"/>
  <c r="Q624" i="171"/>
  <c r="Q628" i="171"/>
  <c r="Q632" i="171"/>
  <c r="Q636" i="171"/>
  <c r="Q640" i="171"/>
  <c r="Q644" i="171"/>
  <c r="Q648" i="171"/>
  <c r="Q652" i="171"/>
  <c r="Q656" i="171"/>
  <c r="Q660" i="171"/>
  <c r="Q664" i="171"/>
  <c r="Q668" i="171"/>
  <c r="Q672" i="171"/>
  <c r="Q676" i="171"/>
  <c r="Q680" i="171"/>
  <c r="Q684" i="171"/>
  <c r="Q688" i="171"/>
  <c r="Q692" i="171"/>
  <c r="Q696" i="171"/>
  <c r="Q700" i="171"/>
  <c r="Q704" i="171"/>
  <c r="Q708" i="171"/>
  <c r="Q712" i="171"/>
  <c r="Q716" i="171"/>
  <c r="Q720" i="171"/>
  <c r="Q724" i="171"/>
  <c r="Q728" i="171"/>
  <c r="Q732" i="171"/>
  <c r="Q736" i="171"/>
  <c r="Q740" i="171"/>
  <c r="Q744" i="171"/>
  <c r="Q748" i="171"/>
  <c r="Q752" i="171"/>
  <c r="Q756" i="171"/>
  <c r="Q760" i="171"/>
  <c r="Q764" i="171"/>
  <c r="Q768" i="171"/>
  <c r="Q772" i="171"/>
  <c r="Q776" i="171"/>
  <c r="Q780" i="171"/>
  <c r="Q784" i="171"/>
  <c r="Q121" i="171"/>
  <c r="Q135" i="171"/>
  <c r="Q150" i="171"/>
  <c r="Q163" i="171"/>
  <c r="Q178" i="171"/>
  <c r="Q193" i="171"/>
  <c r="Q206" i="171"/>
  <c r="Q221" i="171"/>
  <c r="Q235" i="171"/>
  <c r="Q249" i="171"/>
  <c r="Q263" i="171"/>
  <c r="Q278" i="171"/>
  <c r="Q291" i="171"/>
  <c r="Q306" i="171"/>
  <c r="Q321" i="171"/>
  <c r="Q334" i="171"/>
  <c r="Q349" i="171"/>
  <c r="Q363" i="171"/>
  <c r="Q377" i="171"/>
  <c r="Q391" i="171"/>
  <c r="Q406" i="171"/>
  <c r="Q419" i="171"/>
  <c r="Q434" i="171"/>
  <c r="Q449" i="171"/>
  <c r="Q462" i="171"/>
  <c r="Q477" i="171"/>
  <c r="Q491" i="171"/>
  <c r="Q505" i="171"/>
  <c r="Q515" i="171"/>
  <c r="Q526" i="171"/>
  <c r="Q537" i="171"/>
  <c r="Q547" i="171"/>
  <c r="Q558" i="171"/>
  <c r="Q569" i="171"/>
  <c r="Q579" i="171"/>
  <c r="Q589" i="171"/>
  <c r="Q597" i="171"/>
  <c r="Q605" i="171"/>
  <c r="Q613" i="171"/>
  <c r="Q617" i="171"/>
  <c r="Q621" i="171"/>
  <c r="Q625" i="171"/>
  <c r="Q629" i="171"/>
  <c r="Q633" i="171"/>
  <c r="Q637" i="171"/>
  <c r="Q641" i="171"/>
  <c r="Q645" i="171"/>
  <c r="Q649" i="171"/>
  <c r="Q653" i="171"/>
  <c r="Q657" i="171"/>
  <c r="Q661" i="171"/>
  <c r="Q665" i="171"/>
  <c r="Q669" i="171"/>
  <c r="Q673" i="171"/>
  <c r="Q677" i="171"/>
  <c r="Q681" i="171"/>
  <c r="Q685" i="171"/>
  <c r="Q689" i="171"/>
  <c r="Q693" i="171"/>
  <c r="Q697" i="171"/>
  <c r="Q701" i="171"/>
  <c r="Q705" i="171"/>
  <c r="Q709" i="171"/>
  <c r="Q713" i="171"/>
  <c r="Q717" i="171"/>
  <c r="Q721" i="171"/>
  <c r="Q725" i="171"/>
  <c r="Q729" i="171"/>
  <c r="Q733" i="171"/>
  <c r="Q737" i="171"/>
  <c r="Q741" i="171"/>
  <c r="Q745" i="171"/>
  <c r="Q749" i="171"/>
  <c r="Q753" i="171"/>
  <c r="Q757" i="171"/>
  <c r="Q761" i="171"/>
  <c r="Q765" i="171"/>
  <c r="Q769" i="171"/>
  <c r="Q773" i="171"/>
  <c r="Q777" i="171"/>
  <c r="Q781" i="171"/>
  <c r="Q785" i="171"/>
  <c r="Q1197" i="171"/>
  <c r="Q1193" i="171"/>
  <c r="Q1189" i="171"/>
  <c r="Q1185" i="171"/>
  <c r="Q1181" i="171"/>
  <c r="Q1177" i="171"/>
  <c r="Q1173" i="171"/>
  <c r="Q1169" i="171"/>
  <c r="Q1165" i="171"/>
  <c r="Q1161" i="171"/>
  <c r="Q1157" i="171"/>
  <c r="Q1153" i="171"/>
  <c r="Q1149" i="171"/>
  <c r="Q1145" i="171"/>
  <c r="Q1141" i="171"/>
  <c r="Q1137" i="171"/>
  <c r="Q1133" i="171"/>
  <c r="Q1129" i="171"/>
  <c r="Q1125" i="171"/>
  <c r="Q1121" i="171"/>
  <c r="Q1117" i="171"/>
  <c r="Q1113" i="171"/>
  <c r="Q1109" i="171"/>
  <c r="Q1105" i="171"/>
  <c r="Q1101" i="171"/>
  <c r="Q1097" i="171"/>
  <c r="Q1093" i="171"/>
  <c r="Q1089" i="171"/>
  <c r="Q1085" i="171"/>
  <c r="Q1081" i="171"/>
  <c r="Q1077" i="171"/>
  <c r="Q1073" i="171"/>
  <c r="Q1069" i="171"/>
  <c r="Q1065" i="171"/>
  <c r="Q1061" i="171"/>
  <c r="Q1057" i="171"/>
  <c r="Q1053" i="171"/>
  <c r="Q1049" i="171"/>
  <c r="Q1045" i="171"/>
  <c r="Q1041" i="171"/>
  <c r="Q1037" i="171"/>
  <c r="Q1033" i="171"/>
  <c r="Q1029" i="171"/>
  <c r="Q1025" i="171"/>
  <c r="Q1021" i="171"/>
  <c r="Q1017" i="171"/>
  <c r="Q1013" i="171"/>
  <c r="Q1009" i="171"/>
  <c r="Q1005" i="171"/>
  <c r="Q1001" i="171"/>
  <c r="Q997" i="171"/>
  <c r="Q993" i="171"/>
  <c r="Q989" i="171"/>
  <c r="Q985" i="171"/>
  <c r="Q981" i="171"/>
  <c r="Q977" i="171"/>
  <c r="Q973" i="171"/>
  <c r="Q969" i="171"/>
  <c r="Q965" i="171"/>
  <c r="Q961" i="171"/>
  <c r="Q957" i="171"/>
  <c r="Q953" i="171"/>
  <c r="Q949" i="171"/>
  <c r="Q945" i="171"/>
  <c r="Q941" i="171"/>
  <c r="Q937" i="171"/>
  <c r="Q933" i="171"/>
  <c r="Q929" i="171"/>
  <c r="Q925" i="171"/>
  <c r="Q921" i="171"/>
  <c r="Q917" i="171"/>
  <c r="Q913" i="171"/>
  <c r="Q909" i="171"/>
  <c r="Q905" i="171"/>
  <c r="Q901" i="171"/>
  <c r="Q897" i="171"/>
  <c r="Q893" i="171"/>
  <c r="Q889" i="171"/>
  <c r="Q885" i="171"/>
  <c r="Q881" i="171"/>
  <c r="Q877" i="171"/>
  <c r="Q873" i="171"/>
  <c r="Q869" i="171"/>
  <c r="Q865" i="171"/>
  <c r="Q861" i="171"/>
  <c r="Q857" i="171"/>
  <c r="Q853" i="171"/>
  <c r="Q849" i="171"/>
  <c r="Q845" i="171"/>
  <c r="Q841" i="171"/>
  <c r="Q837" i="171"/>
  <c r="Q833" i="171"/>
  <c r="Q829" i="171"/>
  <c r="Q825" i="171"/>
  <c r="Q821" i="171"/>
  <c r="Q817" i="171"/>
  <c r="Q813" i="171"/>
  <c r="Q809" i="171"/>
  <c r="Q805" i="171"/>
  <c r="Q801" i="171"/>
  <c r="Q797" i="171"/>
  <c r="Q793" i="171"/>
  <c r="Q789" i="171"/>
  <c r="Q1196" i="171"/>
  <c r="Q1192" i="171"/>
  <c r="Q1188" i="171"/>
  <c r="Q1184" i="171"/>
  <c r="Q1180" i="171"/>
  <c r="Q1176" i="171"/>
  <c r="Q1172" i="171"/>
  <c r="Q1168" i="171"/>
  <c r="Q1164" i="171"/>
  <c r="Q1160" i="171"/>
  <c r="Q1156" i="171"/>
  <c r="Q1152" i="171"/>
  <c r="Q1148" i="171"/>
  <c r="Q1144" i="171"/>
  <c r="Q1140" i="171"/>
  <c r="Q1136" i="171"/>
  <c r="Q1132" i="171"/>
  <c r="Q1128" i="171"/>
  <c r="Q1124" i="171"/>
  <c r="Q1120" i="171"/>
  <c r="Q1116" i="171"/>
  <c r="Q1112" i="171"/>
  <c r="Q1108" i="171"/>
  <c r="Q1104" i="171"/>
  <c r="Q1100" i="171"/>
  <c r="Q1096" i="171"/>
  <c r="Q1092" i="171"/>
  <c r="Q1088" i="171"/>
  <c r="Q1084" i="171"/>
  <c r="Q1080" i="171"/>
  <c r="Q1076" i="171"/>
  <c r="Q1072" i="171"/>
  <c r="Q1068" i="171"/>
  <c r="Q1064" i="171"/>
  <c r="Q1060" i="171"/>
  <c r="Q1056" i="171"/>
  <c r="Q1052" i="171"/>
  <c r="Q1048" i="171"/>
  <c r="Q1044" i="171"/>
  <c r="Q1040" i="171"/>
  <c r="Q1036" i="171"/>
  <c r="Q1032" i="171"/>
  <c r="Q1028" i="171"/>
  <c r="Q1024" i="171"/>
  <c r="Q1020" i="171"/>
  <c r="Q1016" i="171"/>
  <c r="Q1012" i="171"/>
  <c r="Q1008" i="171"/>
  <c r="Q1004" i="171"/>
  <c r="Q1000" i="171"/>
  <c r="Q996" i="171"/>
  <c r="Q992" i="171"/>
  <c r="Q988" i="171"/>
  <c r="Q984" i="171"/>
  <c r="Q980" i="171"/>
  <c r="Q976" i="171"/>
  <c r="Q972" i="171"/>
  <c r="Q968" i="171"/>
  <c r="Q964" i="171"/>
  <c r="Q960" i="171"/>
  <c r="Q956" i="171"/>
  <c r="Q952" i="171"/>
  <c r="Q948" i="171"/>
  <c r="Q944" i="171"/>
  <c r="Q940" i="171"/>
  <c r="Q936" i="171"/>
  <c r="Q932" i="171"/>
  <c r="Q928" i="171"/>
  <c r="Q924" i="171"/>
  <c r="Q920" i="171"/>
  <c r="Q916" i="171"/>
  <c r="Q912" i="171"/>
  <c r="Q908" i="171"/>
  <c r="Q904" i="171"/>
  <c r="Q900" i="171"/>
  <c r="Q896" i="171"/>
  <c r="Q892" i="171"/>
  <c r="Q888" i="171"/>
  <c r="Q884" i="171"/>
  <c r="Q880" i="171"/>
  <c r="Q876" i="171"/>
  <c r="Q872" i="171"/>
  <c r="Q868" i="171"/>
  <c r="Q864" i="171"/>
  <c r="Q860" i="171"/>
  <c r="Q856" i="171"/>
  <c r="Q852" i="171"/>
  <c r="Q848" i="171"/>
  <c r="Q844" i="171"/>
  <c r="Q840" i="171"/>
  <c r="Q836" i="171"/>
  <c r="Q832" i="171"/>
  <c r="Q828" i="171"/>
  <c r="Q824" i="171"/>
  <c r="Q820" i="171"/>
  <c r="Q816" i="171"/>
  <c r="Q812" i="171"/>
  <c r="Q808" i="171"/>
  <c r="Q804" i="171"/>
  <c r="Q800" i="171"/>
  <c r="Q796" i="171"/>
  <c r="Q792" i="171"/>
  <c r="Q788" i="171"/>
  <c r="A6" i="172"/>
  <c r="D6" i="172"/>
  <c r="E6" i="172"/>
  <c r="S6" i="172" s="1"/>
  <c r="F6" i="172"/>
  <c r="G6" i="172"/>
  <c r="J6" i="172"/>
  <c r="A7" i="172"/>
  <c r="D7" i="172"/>
  <c r="E7" i="172"/>
  <c r="F7" i="172"/>
  <c r="G7" i="172"/>
  <c r="J7" i="172"/>
  <c r="S7" i="172"/>
  <c r="A8" i="172"/>
  <c r="D8" i="172"/>
  <c r="E8" i="172"/>
  <c r="F8" i="172"/>
  <c r="G8" i="172"/>
  <c r="J8" i="172"/>
  <c r="T8" i="172"/>
  <c r="A9" i="172"/>
  <c r="D9" i="172"/>
  <c r="E9" i="172"/>
  <c r="S9" i="172" s="1"/>
  <c r="F9" i="172"/>
  <c r="G9" i="172"/>
  <c r="J9" i="172"/>
  <c r="A10" i="172"/>
  <c r="D10" i="172"/>
  <c r="E10" i="172"/>
  <c r="S10" i="172" s="1"/>
  <c r="F10" i="172"/>
  <c r="G10" i="172"/>
  <c r="J10" i="172"/>
  <c r="U10" i="172"/>
  <c r="A11" i="172"/>
  <c r="D11" i="172"/>
  <c r="E11" i="172"/>
  <c r="F11" i="172"/>
  <c r="G11" i="172"/>
  <c r="J11" i="172"/>
  <c r="S11" i="172"/>
  <c r="A12" i="172"/>
  <c r="D12" i="172"/>
  <c r="E12" i="172"/>
  <c r="T12" i="172" s="1"/>
  <c r="F12" i="172"/>
  <c r="G12" i="172"/>
  <c r="J12" i="172"/>
  <c r="A13" i="172"/>
  <c r="D13" i="172"/>
  <c r="E13" i="172"/>
  <c r="U13" i="172" s="1"/>
  <c r="F13" i="172"/>
  <c r="G13" i="172"/>
  <c r="J13" i="172"/>
  <c r="A14" i="172"/>
  <c r="D14" i="172"/>
  <c r="E14" i="172"/>
  <c r="T14" i="172" s="1"/>
  <c r="F14" i="172"/>
  <c r="G14" i="172"/>
  <c r="J14" i="172"/>
  <c r="A15" i="172"/>
  <c r="D15" i="172"/>
  <c r="E15" i="172"/>
  <c r="S15" i="172" s="1"/>
  <c r="F15" i="172"/>
  <c r="G15" i="172"/>
  <c r="J15" i="172"/>
  <c r="A16" i="172"/>
  <c r="D16" i="172"/>
  <c r="E16" i="172"/>
  <c r="F16" i="172"/>
  <c r="G16" i="172"/>
  <c r="J16" i="172"/>
  <c r="A17" i="172"/>
  <c r="D17" i="172"/>
  <c r="E17" i="172"/>
  <c r="T17" i="172" s="1"/>
  <c r="F17" i="172"/>
  <c r="G17" i="172"/>
  <c r="J17" i="172"/>
  <c r="A18" i="172"/>
  <c r="D18" i="172"/>
  <c r="E18" i="172"/>
  <c r="S18" i="172" s="1"/>
  <c r="F18" i="172"/>
  <c r="G18" i="172"/>
  <c r="J18" i="172"/>
  <c r="A19" i="172"/>
  <c r="D19" i="172"/>
  <c r="E19" i="172"/>
  <c r="F19" i="172"/>
  <c r="G19" i="172"/>
  <c r="J19" i="172"/>
  <c r="S19" i="172"/>
  <c r="A20" i="172"/>
  <c r="D20" i="172"/>
  <c r="E20" i="172"/>
  <c r="F20" i="172"/>
  <c r="G20" i="172"/>
  <c r="J20" i="172"/>
  <c r="A21" i="172"/>
  <c r="D21" i="172"/>
  <c r="E21" i="172"/>
  <c r="S21" i="172" s="1"/>
  <c r="F21" i="172"/>
  <c r="G21" i="172"/>
  <c r="J21" i="172"/>
  <c r="A22" i="172"/>
  <c r="D22" i="172"/>
  <c r="E22" i="172"/>
  <c r="S22" i="172" s="1"/>
  <c r="F22" i="172"/>
  <c r="G22" i="172"/>
  <c r="J22" i="172"/>
  <c r="A23" i="172"/>
  <c r="D23" i="172"/>
  <c r="E23" i="172"/>
  <c r="T23" i="172" s="1"/>
  <c r="F23" i="172"/>
  <c r="G23" i="172"/>
  <c r="J23" i="172"/>
  <c r="S23" i="172"/>
  <c r="A24" i="172"/>
  <c r="D24" i="172"/>
  <c r="E24" i="172"/>
  <c r="F24" i="172"/>
  <c r="G24" i="172"/>
  <c r="J24" i="172"/>
  <c r="T24" i="172"/>
  <c r="A25" i="172"/>
  <c r="D25" i="172"/>
  <c r="E25" i="172"/>
  <c r="U25" i="172" s="1"/>
  <c r="F25" i="172"/>
  <c r="G25" i="172"/>
  <c r="J25" i="172"/>
  <c r="A26" i="172"/>
  <c r="D26" i="172"/>
  <c r="E26" i="172"/>
  <c r="F26" i="172"/>
  <c r="G26" i="172"/>
  <c r="J26" i="172"/>
  <c r="A27" i="172"/>
  <c r="D27" i="172"/>
  <c r="E27" i="172"/>
  <c r="S27" i="172" s="1"/>
  <c r="F27" i="172"/>
  <c r="G27" i="172"/>
  <c r="J27" i="172"/>
  <c r="A28" i="172"/>
  <c r="D28" i="172"/>
  <c r="E28" i="172"/>
  <c r="S28" i="172" s="1"/>
  <c r="F28" i="172"/>
  <c r="G28" i="172"/>
  <c r="J28" i="172"/>
  <c r="A29" i="172"/>
  <c r="D29" i="172"/>
  <c r="E29" i="172"/>
  <c r="F29" i="172"/>
  <c r="G29" i="172"/>
  <c r="J29" i="172"/>
  <c r="V29" i="172"/>
  <c r="A30" i="172"/>
  <c r="D30" i="172"/>
  <c r="E30" i="172"/>
  <c r="F30" i="172"/>
  <c r="G30" i="172"/>
  <c r="J30" i="172"/>
  <c r="A31" i="172"/>
  <c r="D31" i="172"/>
  <c r="E31" i="172"/>
  <c r="V31" i="172" s="1"/>
  <c r="F31" i="172"/>
  <c r="G31" i="172"/>
  <c r="J31" i="172"/>
  <c r="A32" i="172"/>
  <c r="D32" i="172"/>
  <c r="E32" i="172"/>
  <c r="F32" i="172"/>
  <c r="G32" i="172"/>
  <c r="J32" i="172"/>
  <c r="A33" i="172"/>
  <c r="D33" i="172"/>
  <c r="E33" i="172"/>
  <c r="F33" i="172"/>
  <c r="G33" i="172"/>
  <c r="J33" i="172"/>
  <c r="S33" i="172"/>
  <c r="A34" i="172"/>
  <c r="D34" i="172"/>
  <c r="E34" i="172"/>
  <c r="S34" i="172" s="1"/>
  <c r="F34" i="172"/>
  <c r="G34" i="172"/>
  <c r="J34" i="172"/>
  <c r="A35" i="172"/>
  <c r="D35" i="172"/>
  <c r="E35" i="172"/>
  <c r="F35" i="172"/>
  <c r="G35" i="172"/>
  <c r="J35" i="172"/>
  <c r="S35" i="172"/>
  <c r="A36" i="172"/>
  <c r="D36" i="172"/>
  <c r="E36" i="172"/>
  <c r="F36" i="172"/>
  <c r="G36" i="172"/>
  <c r="J36" i="172"/>
  <c r="A37" i="172"/>
  <c r="D37" i="172"/>
  <c r="E37" i="172"/>
  <c r="V37" i="172" s="1"/>
  <c r="F37" i="172"/>
  <c r="G37" i="172"/>
  <c r="J37" i="172"/>
  <c r="A38" i="172"/>
  <c r="D38" i="172"/>
  <c r="E38" i="172"/>
  <c r="S38" i="172" s="1"/>
  <c r="F38" i="172"/>
  <c r="G38" i="172"/>
  <c r="J38" i="172"/>
  <c r="A39" i="172"/>
  <c r="D39" i="172"/>
  <c r="E39" i="172"/>
  <c r="S39" i="172" s="1"/>
  <c r="F39" i="172"/>
  <c r="G39" i="172"/>
  <c r="J39" i="172"/>
  <c r="A40" i="172"/>
  <c r="D40" i="172"/>
  <c r="E40" i="172"/>
  <c r="F40" i="172"/>
  <c r="G40" i="172"/>
  <c r="J40" i="172"/>
  <c r="T40" i="172"/>
  <c r="A41" i="172"/>
  <c r="D41" i="172"/>
  <c r="E41" i="172"/>
  <c r="S41" i="172" s="1"/>
  <c r="F41" i="172"/>
  <c r="G41" i="172"/>
  <c r="J41" i="172"/>
  <c r="A42" i="172"/>
  <c r="D42" i="172"/>
  <c r="E42" i="172"/>
  <c r="T42" i="172" s="1"/>
  <c r="F42" i="172"/>
  <c r="G42" i="172"/>
  <c r="J42" i="172"/>
  <c r="A43" i="172"/>
  <c r="D43" i="172"/>
  <c r="E43" i="172"/>
  <c r="F43" i="172"/>
  <c r="G43" i="172"/>
  <c r="J43" i="172"/>
  <c r="S43" i="172"/>
  <c r="A44" i="172"/>
  <c r="D44" i="172"/>
  <c r="E44" i="172"/>
  <c r="V44" i="172" s="1"/>
  <c r="F44" i="172"/>
  <c r="G44" i="172"/>
  <c r="J44" i="172"/>
  <c r="T44" i="172"/>
  <c r="A45" i="172"/>
  <c r="D45" i="172"/>
  <c r="E45" i="172"/>
  <c r="U45" i="172" s="1"/>
  <c r="F45" i="172"/>
  <c r="G45" i="172"/>
  <c r="J45" i="172"/>
  <c r="A46" i="172"/>
  <c r="D46" i="172"/>
  <c r="E46" i="172"/>
  <c r="F46" i="172"/>
  <c r="G46" i="172"/>
  <c r="J46" i="172"/>
  <c r="T46" i="172"/>
  <c r="A47" i="172"/>
  <c r="D47" i="172"/>
  <c r="E47" i="172"/>
  <c r="U47" i="172" s="1"/>
  <c r="F47" i="172"/>
  <c r="G47" i="172"/>
  <c r="J47" i="172"/>
  <c r="A48" i="172"/>
  <c r="D48" i="172"/>
  <c r="E48" i="172"/>
  <c r="S48" i="172" s="1"/>
  <c r="F48" i="172"/>
  <c r="G48" i="172"/>
  <c r="J48" i="172"/>
  <c r="A49" i="172"/>
  <c r="D49" i="172"/>
  <c r="E49" i="172"/>
  <c r="S49" i="172" s="1"/>
  <c r="F49" i="172"/>
  <c r="G49" i="172"/>
  <c r="J49" i="172"/>
  <c r="A50" i="172"/>
  <c r="D50" i="172"/>
  <c r="E50" i="172"/>
  <c r="T50" i="172" s="1"/>
  <c r="F50" i="172"/>
  <c r="G50" i="172"/>
  <c r="J50" i="172"/>
  <c r="A51" i="172"/>
  <c r="D51" i="172"/>
  <c r="E51" i="172"/>
  <c r="U51" i="172" s="1"/>
  <c r="F51" i="172"/>
  <c r="G51" i="172"/>
  <c r="J51" i="172"/>
  <c r="A52" i="172"/>
  <c r="D52" i="172"/>
  <c r="E52" i="172"/>
  <c r="S52" i="172" s="1"/>
  <c r="F52" i="172"/>
  <c r="G52" i="172"/>
  <c r="J52" i="172"/>
  <c r="T52" i="172"/>
  <c r="A53" i="172"/>
  <c r="D53" i="172"/>
  <c r="E53" i="172"/>
  <c r="S53" i="172" s="1"/>
  <c r="F53" i="172"/>
  <c r="G53" i="172"/>
  <c r="J53" i="172"/>
  <c r="A54" i="172"/>
  <c r="D54" i="172"/>
  <c r="E54" i="172"/>
  <c r="V54" i="172" s="1"/>
  <c r="F54" i="172"/>
  <c r="G54" i="172"/>
  <c r="J54" i="172"/>
  <c r="A55" i="172"/>
  <c r="D55" i="172"/>
  <c r="E55" i="172"/>
  <c r="V55" i="172" s="1"/>
  <c r="F55" i="172"/>
  <c r="G55" i="172"/>
  <c r="J55" i="172"/>
  <c r="A56" i="172"/>
  <c r="D56" i="172"/>
  <c r="E56" i="172"/>
  <c r="V56" i="172" s="1"/>
  <c r="F56" i="172"/>
  <c r="G56" i="172"/>
  <c r="J56" i="172"/>
  <c r="A57" i="172"/>
  <c r="D57" i="172"/>
  <c r="E57" i="172"/>
  <c r="S57" i="172" s="1"/>
  <c r="F57" i="172"/>
  <c r="G57" i="172"/>
  <c r="J57" i="172"/>
  <c r="A58" i="172"/>
  <c r="D58" i="172"/>
  <c r="E58" i="172"/>
  <c r="V58" i="172" s="1"/>
  <c r="F58" i="172"/>
  <c r="G58" i="172"/>
  <c r="J58" i="172"/>
  <c r="A59" i="172"/>
  <c r="D59" i="172"/>
  <c r="E59" i="172"/>
  <c r="S59" i="172" s="1"/>
  <c r="F59" i="172"/>
  <c r="G59" i="172"/>
  <c r="J59" i="172"/>
  <c r="A60" i="172"/>
  <c r="D60" i="172"/>
  <c r="E60" i="172"/>
  <c r="F60" i="172"/>
  <c r="G60" i="172"/>
  <c r="J60" i="172"/>
  <c r="T60" i="172"/>
  <c r="A61" i="172"/>
  <c r="D61" i="172"/>
  <c r="E61" i="172"/>
  <c r="S61" i="172" s="1"/>
  <c r="F61" i="172"/>
  <c r="G61" i="172"/>
  <c r="J61" i="172"/>
  <c r="A62" i="172"/>
  <c r="D62" i="172"/>
  <c r="E62" i="172"/>
  <c r="T62" i="172" s="1"/>
  <c r="F62" i="172"/>
  <c r="G62" i="172"/>
  <c r="J62" i="172"/>
  <c r="A63" i="172"/>
  <c r="D63" i="172"/>
  <c r="E63" i="172"/>
  <c r="T63" i="172" s="1"/>
  <c r="F63" i="172"/>
  <c r="G63" i="172"/>
  <c r="J63" i="172"/>
  <c r="A64" i="172"/>
  <c r="D64" i="172"/>
  <c r="E64" i="172"/>
  <c r="T64" i="172" s="1"/>
  <c r="F64" i="172"/>
  <c r="G64" i="172"/>
  <c r="J64" i="172"/>
  <c r="A65" i="172"/>
  <c r="D65" i="172"/>
  <c r="E65" i="172"/>
  <c r="S65" i="172" s="1"/>
  <c r="F65" i="172"/>
  <c r="G65" i="172"/>
  <c r="J65" i="172"/>
  <c r="A66" i="172"/>
  <c r="D66" i="172"/>
  <c r="E66" i="172"/>
  <c r="S66" i="172" s="1"/>
  <c r="F66" i="172"/>
  <c r="G66" i="172"/>
  <c r="J66" i="172"/>
  <c r="A67" i="172"/>
  <c r="D67" i="172"/>
  <c r="E67" i="172"/>
  <c r="F67" i="172"/>
  <c r="G67" i="172"/>
  <c r="J67" i="172"/>
  <c r="A68" i="172"/>
  <c r="D68" i="172"/>
  <c r="E68" i="172"/>
  <c r="F68" i="172"/>
  <c r="G68" i="172"/>
  <c r="J68" i="172"/>
  <c r="A69" i="172"/>
  <c r="D69" i="172"/>
  <c r="E69" i="172"/>
  <c r="T69" i="172" s="1"/>
  <c r="F69" i="172"/>
  <c r="G69" i="172"/>
  <c r="J69" i="172"/>
  <c r="U69" i="172"/>
  <c r="A70" i="172"/>
  <c r="D70" i="172"/>
  <c r="E70" i="172"/>
  <c r="U70" i="172" s="1"/>
  <c r="F70" i="172"/>
  <c r="G70" i="172"/>
  <c r="J70" i="172"/>
  <c r="A71" i="172"/>
  <c r="D71" i="172"/>
  <c r="E71" i="172"/>
  <c r="F71" i="172"/>
  <c r="G71" i="172"/>
  <c r="J71" i="172"/>
  <c r="A72" i="172"/>
  <c r="D72" i="172"/>
  <c r="E72" i="172"/>
  <c r="U72" i="172" s="1"/>
  <c r="F72" i="172"/>
  <c r="G72" i="172"/>
  <c r="J72" i="172"/>
  <c r="A73" i="172"/>
  <c r="D73" i="172"/>
  <c r="E73" i="172"/>
  <c r="T73" i="172" s="1"/>
  <c r="F73" i="172"/>
  <c r="G73" i="172"/>
  <c r="J73" i="172"/>
  <c r="A74" i="172"/>
  <c r="D74" i="172"/>
  <c r="E74" i="172"/>
  <c r="U74" i="172" s="1"/>
  <c r="F74" i="172"/>
  <c r="G74" i="172"/>
  <c r="J74" i="172"/>
  <c r="A75" i="172"/>
  <c r="D75" i="172"/>
  <c r="E75" i="172"/>
  <c r="F75" i="172"/>
  <c r="G75" i="172"/>
  <c r="J75" i="172"/>
  <c r="A76" i="172"/>
  <c r="D76" i="172"/>
  <c r="E76" i="172"/>
  <c r="F76" i="172"/>
  <c r="G76" i="172"/>
  <c r="J76" i="172"/>
  <c r="U76" i="172"/>
  <c r="A77" i="172"/>
  <c r="D77" i="172"/>
  <c r="E77" i="172"/>
  <c r="T77" i="172" s="1"/>
  <c r="F77" i="172"/>
  <c r="G77" i="172"/>
  <c r="J77" i="172"/>
  <c r="A78" i="172"/>
  <c r="D78" i="172"/>
  <c r="E78" i="172"/>
  <c r="U78" i="172" s="1"/>
  <c r="F78" i="172"/>
  <c r="G78" i="172"/>
  <c r="J78" i="172"/>
  <c r="A79" i="172"/>
  <c r="D79" i="172"/>
  <c r="E79" i="172"/>
  <c r="F79" i="172"/>
  <c r="G79" i="172"/>
  <c r="J79" i="172"/>
  <c r="A80" i="172"/>
  <c r="D80" i="172"/>
  <c r="E80" i="172"/>
  <c r="U80" i="172" s="1"/>
  <c r="F80" i="172"/>
  <c r="G80" i="172"/>
  <c r="J80" i="172"/>
  <c r="A81" i="172"/>
  <c r="D81" i="172"/>
  <c r="E81" i="172"/>
  <c r="F81" i="172"/>
  <c r="G81" i="172"/>
  <c r="J81" i="172"/>
  <c r="A82" i="172"/>
  <c r="D82" i="172"/>
  <c r="E82" i="172"/>
  <c r="U82" i="172" s="1"/>
  <c r="F82" i="172"/>
  <c r="G82" i="172"/>
  <c r="J82" i="172"/>
  <c r="A83" i="172"/>
  <c r="D83" i="172"/>
  <c r="E83" i="172"/>
  <c r="U83" i="172" s="1"/>
  <c r="F83" i="172"/>
  <c r="G83" i="172"/>
  <c r="J83" i="172"/>
  <c r="A84" i="172"/>
  <c r="D84" i="172"/>
  <c r="E84" i="172"/>
  <c r="U84" i="172" s="1"/>
  <c r="F84" i="172"/>
  <c r="G84" i="172"/>
  <c r="J84" i="172"/>
  <c r="A85" i="172"/>
  <c r="D85" i="172"/>
  <c r="E85" i="172"/>
  <c r="F85" i="172"/>
  <c r="G85" i="172"/>
  <c r="J85" i="172"/>
  <c r="A86" i="172"/>
  <c r="D86" i="172"/>
  <c r="E86" i="172"/>
  <c r="U86" i="172" s="1"/>
  <c r="F86" i="172"/>
  <c r="G86" i="172"/>
  <c r="J86" i="172"/>
  <c r="A87" i="172"/>
  <c r="D87" i="172"/>
  <c r="E87" i="172"/>
  <c r="S87" i="172" s="1"/>
  <c r="F87" i="172"/>
  <c r="G87" i="172"/>
  <c r="J87" i="172"/>
  <c r="A88" i="172"/>
  <c r="D88" i="172"/>
  <c r="E88" i="172"/>
  <c r="U88" i="172" s="1"/>
  <c r="F88" i="172"/>
  <c r="G88" i="172"/>
  <c r="J88" i="172"/>
  <c r="A89" i="172"/>
  <c r="D89" i="172"/>
  <c r="E89" i="172"/>
  <c r="S89" i="172" s="1"/>
  <c r="F89" i="172"/>
  <c r="G89" i="172"/>
  <c r="J89" i="172"/>
  <c r="A90" i="172"/>
  <c r="D90" i="172"/>
  <c r="E90" i="172"/>
  <c r="U90" i="172" s="1"/>
  <c r="F90" i="172"/>
  <c r="G90" i="172"/>
  <c r="J90" i="172"/>
  <c r="A91" i="172"/>
  <c r="D91" i="172"/>
  <c r="E91" i="172"/>
  <c r="T91" i="172" s="1"/>
  <c r="F91" i="172"/>
  <c r="G91" i="172"/>
  <c r="J91" i="172"/>
  <c r="A92" i="172"/>
  <c r="D92" i="172"/>
  <c r="E92" i="172"/>
  <c r="U92" i="172" s="1"/>
  <c r="F92" i="172"/>
  <c r="G92" i="172"/>
  <c r="J92" i="172"/>
  <c r="A93" i="172"/>
  <c r="D93" i="172"/>
  <c r="E93" i="172"/>
  <c r="S93" i="172" s="1"/>
  <c r="F93" i="172"/>
  <c r="G93" i="172"/>
  <c r="J93" i="172"/>
  <c r="A94" i="172"/>
  <c r="D94" i="172"/>
  <c r="E94" i="172"/>
  <c r="U94" i="172" s="1"/>
  <c r="F94" i="172"/>
  <c r="G94" i="172"/>
  <c r="J94" i="172"/>
  <c r="A95" i="172"/>
  <c r="D95" i="172"/>
  <c r="E95" i="172"/>
  <c r="T95" i="172" s="1"/>
  <c r="F95" i="172"/>
  <c r="G95" i="172"/>
  <c r="J95" i="172"/>
  <c r="A96" i="172"/>
  <c r="D96" i="172"/>
  <c r="E96" i="172"/>
  <c r="U96" i="172" s="1"/>
  <c r="F96" i="172"/>
  <c r="G96" i="172"/>
  <c r="J96" i="172"/>
  <c r="A97" i="172"/>
  <c r="D97" i="172"/>
  <c r="E97" i="172"/>
  <c r="S97" i="172" s="1"/>
  <c r="F97" i="172"/>
  <c r="G97" i="172"/>
  <c r="J97" i="172"/>
  <c r="A98" i="172"/>
  <c r="D98" i="172"/>
  <c r="E98" i="172"/>
  <c r="U98" i="172" s="1"/>
  <c r="F98" i="172"/>
  <c r="G98" i="172"/>
  <c r="J98" i="172"/>
  <c r="A99" i="172"/>
  <c r="D99" i="172"/>
  <c r="E99" i="172"/>
  <c r="T99" i="172" s="1"/>
  <c r="F99" i="172"/>
  <c r="G99" i="172"/>
  <c r="J99" i="172"/>
  <c r="A100" i="172"/>
  <c r="D100" i="172"/>
  <c r="E100" i="172"/>
  <c r="U100" i="172" s="1"/>
  <c r="F100" i="172"/>
  <c r="G100" i="172"/>
  <c r="J100" i="172"/>
  <c r="A101" i="172"/>
  <c r="D101" i="172"/>
  <c r="E101" i="172"/>
  <c r="S101" i="172" s="1"/>
  <c r="F101" i="172"/>
  <c r="G101" i="172"/>
  <c r="J101" i="172"/>
  <c r="A102" i="172"/>
  <c r="D102" i="172"/>
  <c r="E102" i="172"/>
  <c r="U102" i="172" s="1"/>
  <c r="F102" i="172"/>
  <c r="G102" i="172"/>
  <c r="J102" i="172"/>
  <c r="A103" i="172"/>
  <c r="D103" i="172"/>
  <c r="E103" i="172"/>
  <c r="T103" i="172" s="1"/>
  <c r="F103" i="172"/>
  <c r="G103" i="172"/>
  <c r="J103" i="172"/>
  <c r="A104" i="172"/>
  <c r="D104" i="172"/>
  <c r="E104" i="172"/>
  <c r="U104" i="172" s="1"/>
  <c r="F104" i="172"/>
  <c r="G104" i="172"/>
  <c r="J104" i="172"/>
  <c r="A105" i="172"/>
  <c r="D105" i="172"/>
  <c r="E105" i="172"/>
  <c r="S105" i="172" s="1"/>
  <c r="F105" i="172"/>
  <c r="G105" i="172"/>
  <c r="J105" i="172"/>
  <c r="A106" i="172"/>
  <c r="D106" i="172"/>
  <c r="E106" i="172"/>
  <c r="U106" i="172" s="1"/>
  <c r="F106" i="172"/>
  <c r="G106" i="172"/>
  <c r="J106" i="172"/>
  <c r="A107" i="172"/>
  <c r="D107" i="172"/>
  <c r="E107" i="172"/>
  <c r="T107" i="172" s="1"/>
  <c r="F107" i="172"/>
  <c r="G107" i="172"/>
  <c r="J107" i="172"/>
  <c r="A108" i="172"/>
  <c r="D108" i="172"/>
  <c r="E108" i="172"/>
  <c r="U108" i="172" s="1"/>
  <c r="F108" i="172"/>
  <c r="G108" i="172"/>
  <c r="J108" i="172"/>
  <c r="A109" i="172"/>
  <c r="D109" i="172"/>
  <c r="E109" i="172"/>
  <c r="S109" i="172" s="1"/>
  <c r="F109" i="172"/>
  <c r="G109" i="172"/>
  <c r="J109" i="172"/>
  <c r="A110" i="172"/>
  <c r="D110" i="172"/>
  <c r="E110" i="172"/>
  <c r="U110" i="172" s="1"/>
  <c r="F110" i="172"/>
  <c r="G110" i="172"/>
  <c r="J110" i="172"/>
  <c r="A111" i="172"/>
  <c r="D111" i="172"/>
  <c r="E111" i="172"/>
  <c r="T111" i="172" s="1"/>
  <c r="F111" i="172"/>
  <c r="G111" i="172"/>
  <c r="J111" i="172"/>
  <c r="S111" i="172"/>
  <c r="A112" i="172"/>
  <c r="D112" i="172"/>
  <c r="E112" i="172"/>
  <c r="U112" i="172" s="1"/>
  <c r="F112" i="172"/>
  <c r="G112" i="172"/>
  <c r="J112" i="172"/>
  <c r="A113" i="172"/>
  <c r="D113" i="172"/>
  <c r="E113" i="172"/>
  <c r="S113" i="172" s="1"/>
  <c r="F113" i="172"/>
  <c r="G113" i="172"/>
  <c r="J113" i="172"/>
  <c r="A114" i="172"/>
  <c r="D114" i="172"/>
  <c r="E114" i="172"/>
  <c r="U114" i="172" s="1"/>
  <c r="F114" i="172"/>
  <c r="G114" i="172"/>
  <c r="J114" i="172"/>
  <c r="A115" i="172"/>
  <c r="D115" i="172"/>
  <c r="E115" i="172"/>
  <c r="T115" i="172" s="1"/>
  <c r="F115" i="172"/>
  <c r="G115" i="172"/>
  <c r="J115" i="172"/>
  <c r="A116" i="172"/>
  <c r="D116" i="172"/>
  <c r="E116" i="172"/>
  <c r="S116" i="172" s="1"/>
  <c r="F116" i="172"/>
  <c r="G116" i="172"/>
  <c r="J116" i="172"/>
  <c r="A117" i="172"/>
  <c r="D117" i="172"/>
  <c r="E117" i="172"/>
  <c r="U117" i="172" s="1"/>
  <c r="F117" i="172"/>
  <c r="G117" i="172"/>
  <c r="J117" i="172"/>
  <c r="A118" i="172"/>
  <c r="D118" i="172"/>
  <c r="E118" i="172"/>
  <c r="F118" i="172"/>
  <c r="G118" i="172"/>
  <c r="J118" i="172"/>
  <c r="A119" i="172"/>
  <c r="D119" i="172"/>
  <c r="E119" i="172"/>
  <c r="U119" i="172" s="1"/>
  <c r="F119" i="172"/>
  <c r="G119" i="172"/>
  <c r="J119" i="172"/>
  <c r="A120" i="172"/>
  <c r="D120" i="172"/>
  <c r="E120" i="172"/>
  <c r="S120" i="172" s="1"/>
  <c r="F120" i="172"/>
  <c r="G120" i="172"/>
  <c r="J120" i="172"/>
  <c r="A121" i="172"/>
  <c r="D121" i="172"/>
  <c r="E121" i="172"/>
  <c r="U121" i="172" s="1"/>
  <c r="F121" i="172"/>
  <c r="G121" i="172"/>
  <c r="J121" i="172"/>
  <c r="S121" i="172"/>
  <c r="A122" i="172"/>
  <c r="D122" i="172"/>
  <c r="E122" i="172"/>
  <c r="F122" i="172"/>
  <c r="G122" i="172"/>
  <c r="J122" i="172"/>
  <c r="A123" i="172"/>
  <c r="D123" i="172"/>
  <c r="E123" i="172"/>
  <c r="U123" i="172" s="1"/>
  <c r="F123" i="172"/>
  <c r="G123" i="172"/>
  <c r="J123" i="172"/>
  <c r="A124" i="172"/>
  <c r="D124" i="172"/>
  <c r="E124" i="172"/>
  <c r="S124" i="172" s="1"/>
  <c r="F124" i="172"/>
  <c r="G124" i="172"/>
  <c r="J124" i="172"/>
  <c r="A125" i="172"/>
  <c r="D125" i="172"/>
  <c r="E125" i="172"/>
  <c r="U125" i="172" s="1"/>
  <c r="F125" i="172"/>
  <c r="G125" i="172"/>
  <c r="J125" i="172"/>
  <c r="A126" i="172"/>
  <c r="D126" i="172"/>
  <c r="E126" i="172"/>
  <c r="U126" i="172" s="1"/>
  <c r="F126" i="172"/>
  <c r="G126" i="172"/>
  <c r="J126" i="172"/>
  <c r="A127" i="172"/>
  <c r="D127" i="172"/>
  <c r="E127" i="172"/>
  <c r="U127" i="172" s="1"/>
  <c r="F127" i="172"/>
  <c r="G127" i="172"/>
  <c r="J127" i="172"/>
  <c r="A128" i="172"/>
  <c r="D128" i="172"/>
  <c r="E128" i="172"/>
  <c r="U128" i="172" s="1"/>
  <c r="F128" i="172"/>
  <c r="G128" i="172"/>
  <c r="J128" i="172"/>
  <c r="A129" i="172"/>
  <c r="D129" i="172"/>
  <c r="E129" i="172"/>
  <c r="U129" i="172" s="1"/>
  <c r="F129" i="172"/>
  <c r="G129" i="172"/>
  <c r="J129" i="172"/>
  <c r="A130" i="172"/>
  <c r="D130" i="172"/>
  <c r="E130" i="172"/>
  <c r="U130" i="172" s="1"/>
  <c r="F130" i="172"/>
  <c r="G130" i="172"/>
  <c r="J130" i="172"/>
  <c r="A131" i="172"/>
  <c r="D131" i="172"/>
  <c r="E131" i="172"/>
  <c r="U131" i="172" s="1"/>
  <c r="F131" i="172"/>
  <c r="G131" i="172"/>
  <c r="J131" i="172"/>
  <c r="A132" i="172"/>
  <c r="D132" i="172"/>
  <c r="E132" i="172"/>
  <c r="F132" i="172"/>
  <c r="G132" i="172"/>
  <c r="J132" i="172"/>
  <c r="U132" i="172"/>
  <c r="A133" i="172"/>
  <c r="D133" i="172"/>
  <c r="E133" i="172"/>
  <c r="V133" i="172" s="1"/>
  <c r="F133" i="172"/>
  <c r="G133" i="172"/>
  <c r="J133" i="172"/>
  <c r="A134" i="172"/>
  <c r="D134" i="172"/>
  <c r="E134" i="172"/>
  <c r="S134" i="172" s="1"/>
  <c r="F134" i="172"/>
  <c r="G134" i="172"/>
  <c r="J134" i="172"/>
  <c r="A135" i="172"/>
  <c r="D135" i="172"/>
  <c r="E135" i="172"/>
  <c r="F135" i="172"/>
  <c r="G135" i="172"/>
  <c r="J135" i="172"/>
  <c r="A136" i="172"/>
  <c r="D136" i="172"/>
  <c r="E136" i="172"/>
  <c r="V136" i="172" s="1"/>
  <c r="F136" i="172"/>
  <c r="G136" i="172"/>
  <c r="J136" i="172"/>
  <c r="A137" i="172"/>
  <c r="D137" i="172"/>
  <c r="E137" i="172"/>
  <c r="F137" i="172"/>
  <c r="G137" i="172"/>
  <c r="J137" i="172"/>
  <c r="A138" i="172"/>
  <c r="D138" i="172"/>
  <c r="E138" i="172"/>
  <c r="F138" i="172"/>
  <c r="G138" i="172"/>
  <c r="J138" i="172"/>
  <c r="A139" i="172"/>
  <c r="D139" i="172"/>
  <c r="E139" i="172"/>
  <c r="F139" i="172"/>
  <c r="G139" i="172"/>
  <c r="J139" i="172"/>
  <c r="A140" i="172"/>
  <c r="D140" i="172"/>
  <c r="E140" i="172"/>
  <c r="U140" i="172" s="1"/>
  <c r="F140" i="172"/>
  <c r="G140" i="172"/>
  <c r="J140" i="172"/>
  <c r="A141" i="172"/>
  <c r="D141" i="172"/>
  <c r="E141" i="172"/>
  <c r="F141" i="172"/>
  <c r="G141" i="172"/>
  <c r="J141" i="172"/>
  <c r="A142" i="172"/>
  <c r="D142" i="172"/>
  <c r="E142" i="172"/>
  <c r="U142" i="172" s="1"/>
  <c r="F142" i="172"/>
  <c r="G142" i="172"/>
  <c r="J142" i="172"/>
  <c r="A143" i="172"/>
  <c r="D143" i="172"/>
  <c r="E143" i="172"/>
  <c r="S143" i="172" s="1"/>
  <c r="F143" i="172"/>
  <c r="G143" i="172"/>
  <c r="J143" i="172"/>
  <c r="A144" i="172"/>
  <c r="D144" i="172"/>
  <c r="E144" i="172"/>
  <c r="U144" i="172" s="1"/>
  <c r="F144" i="172"/>
  <c r="G144" i="172"/>
  <c r="J144" i="172"/>
  <c r="A145" i="172"/>
  <c r="D145" i="172"/>
  <c r="E145" i="172"/>
  <c r="V145" i="172" s="1"/>
  <c r="F145" i="172"/>
  <c r="G145" i="172"/>
  <c r="J145" i="172"/>
  <c r="A146" i="172"/>
  <c r="D146" i="172"/>
  <c r="E146" i="172"/>
  <c r="F146" i="172"/>
  <c r="G146" i="172"/>
  <c r="J146" i="172"/>
  <c r="A147" i="172"/>
  <c r="D147" i="172"/>
  <c r="E147" i="172"/>
  <c r="F147" i="172"/>
  <c r="G147" i="172"/>
  <c r="J147" i="172"/>
  <c r="A148" i="172"/>
  <c r="D148" i="172"/>
  <c r="E148" i="172"/>
  <c r="U148" i="172" s="1"/>
  <c r="F148" i="172"/>
  <c r="G148" i="172"/>
  <c r="J148" i="172"/>
  <c r="A149" i="172"/>
  <c r="D149" i="172"/>
  <c r="E149" i="172"/>
  <c r="V149" i="172" s="1"/>
  <c r="F149" i="172"/>
  <c r="G149" i="172"/>
  <c r="J149" i="172"/>
  <c r="A150" i="172"/>
  <c r="D150" i="172"/>
  <c r="E150" i="172"/>
  <c r="U150" i="172" s="1"/>
  <c r="F150" i="172"/>
  <c r="G150" i="172"/>
  <c r="J150" i="172"/>
  <c r="A151" i="172"/>
  <c r="D151" i="172"/>
  <c r="E151" i="172"/>
  <c r="F151" i="172"/>
  <c r="G151" i="172"/>
  <c r="J151" i="172"/>
  <c r="A152" i="172"/>
  <c r="D152" i="172"/>
  <c r="E152" i="172"/>
  <c r="U152" i="172" s="1"/>
  <c r="F152" i="172"/>
  <c r="G152" i="172"/>
  <c r="J152" i="172"/>
  <c r="A153" i="172"/>
  <c r="D153" i="172"/>
  <c r="E153" i="172"/>
  <c r="F153" i="172"/>
  <c r="G153" i="172"/>
  <c r="J153" i="172"/>
  <c r="A154" i="172"/>
  <c r="D154" i="172"/>
  <c r="E154" i="172"/>
  <c r="F154" i="172"/>
  <c r="G154" i="172"/>
  <c r="J154" i="172"/>
  <c r="A155" i="172"/>
  <c r="D155" i="172"/>
  <c r="E155" i="172"/>
  <c r="F155" i="172"/>
  <c r="G155" i="172"/>
  <c r="J155" i="172"/>
  <c r="A156" i="172"/>
  <c r="D156" i="172"/>
  <c r="E156" i="172"/>
  <c r="U156" i="172" s="1"/>
  <c r="F156" i="172"/>
  <c r="G156" i="172"/>
  <c r="J156" i="172"/>
  <c r="A157" i="172"/>
  <c r="D157" i="172"/>
  <c r="E157" i="172"/>
  <c r="F157" i="172"/>
  <c r="G157" i="172"/>
  <c r="J157" i="172"/>
  <c r="A158" i="172"/>
  <c r="D158" i="172"/>
  <c r="E158" i="172"/>
  <c r="U158" i="172" s="1"/>
  <c r="F158" i="172"/>
  <c r="G158" i="172"/>
  <c r="J158" i="172"/>
  <c r="A159" i="172"/>
  <c r="D159" i="172"/>
  <c r="E159" i="172"/>
  <c r="F159" i="172"/>
  <c r="G159" i="172"/>
  <c r="J159" i="172"/>
  <c r="A160" i="172"/>
  <c r="D160" i="172"/>
  <c r="E160" i="172"/>
  <c r="U160" i="172" s="1"/>
  <c r="F160" i="172"/>
  <c r="G160" i="172"/>
  <c r="J160" i="172"/>
  <c r="A161" i="172"/>
  <c r="D161" i="172"/>
  <c r="E161" i="172"/>
  <c r="V161" i="172" s="1"/>
  <c r="F161" i="172"/>
  <c r="G161" i="172"/>
  <c r="J161" i="172"/>
  <c r="A162" i="172"/>
  <c r="D162" i="172"/>
  <c r="E162" i="172"/>
  <c r="F162" i="172"/>
  <c r="G162" i="172"/>
  <c r="J162" i="172"/>
  <c r="A163" i="172"/>
  <c r="D163" i="172"/>
  <c r="E163" i="172"/>
  <c r="U163" i="172" s="1"/>
  <c r="F163" i="172"/>
  <c r="G163" i="172"/>
  <c r="J163" i="172"/>
  <c r="A164" i="172"/>
  <c r="D164" i="172"/>
  <c r="E164" i="172"/>
  <c r="U164" i="172" s="1"/>
  <c r="F164" i="172"/>
  <c r="G164" i="172"/>
  <c r="J164" i="172"/>
  <c r="A165" i="172"/>
  <c r="D165" i="172"/>
  <c r="E165" i="172"/>
  <c r="T165" i="172" s="1"/>
  <c r="F165" i="172"/>
  <c r="G165" i="172"/>
  <c r="J165" i="172"/>
  <c r="A166" i="172"/>
  <c r="D166" i="172"/>
  <c r="E166" i="172"/>
  <c r="U166" i="172" s="1"/>
  <c r="F166" i="172"/>
  <c r="G166" i="172"/>
  <c r="J166" i="172"/>
  <c r="A167" i="172"/>
  <c r="D167" i="172"/>
  <c r="E167" i="172"/>
  <c r="S167" i="172" s="1"/>
  <c r="F167" i="172"/>
  <c r="G167" i="172"/>
  <c r="J167" i="172"/>
  <c r="A168" i="172"/>
  <c r="D168" i="172"/>
  <c r="E168" i="172"/>
  <c r="F168" i="172"/>
  <c r="G168" i="172"/>
  <c r="J168" i="172"/>
  <c r="U168" i="172"/>
  <c r="A169" i="172"/>
  <c r="D169" i="172"/>
  <c r="E169" i="172"/>
  <c r="F169" i="172"/>
  <c r="G169" i="172"/>
  <c r="J169" i="172"/>
  <c r="A170" i="172"/>
  <c r="D170" i="172"/>
  <c r="E170" i="172"/>
  <c r="F170" i="172"/>
  <c r="G170" i="172"/>
  <c r="J170" i="172"/>
  <c r="A171" i="172"/>
  <c r="D171" i="172"/>
  <c r="E171" i="172"/>
  <c r="S171" i="172" s="1"/>
  <c r="F171" i="172"/>
  <c r="G171" i="172"/>
  <c r="J171" i="172"/>
  <c r="A172" i="172"/>
  <c r="D172" i="172"/>
  <c r="E172" i="172"/>
  <c r="U172" i="172" s="1"/>
  <c r="F172" i="172"/>
  <c r="G172" i="172"/>
  <c r="J172" i="172"/>
  <c r="A173" i="172"/>
  <c r="D173" i="172"/>
  <c r="E173" i="172"/>
  <c r="F173" i="172"/>
  <c r="G173" i="172"/>
  <c r="J173" i="172"/>
  <c r="A174" i="172"/>
  <c r="D174" i="172"/>
  <c r="E174" i="172"/>
  <c r="U174" i="172" s="1"/>
  <c r="F174" i="172"/>
  <c r="G174" i="172"/>
  <c r="J174" i="172"/>
  <c r="A175" i="172"/>
  <c r="D175" i="172"/>
  <c r="E175" i="172"/>
  <c r="S175" i="172" s="1"/>
  <c r="F175" i="172"/>
  <c r="G175" i="172"/>
  <c r="J175" i="172"/>
  <c r="T175" i="172"/>
  <c r="A176" i="172"/>
  <c r="D176" i="172"/>
  <c r="E176" i="172"/>
  <c r="U176" i="172" s="1"/>
  <c r="F176" i="172"/>
  <c r="G176" i="172"/>
  <c r="J176" i="172"/>
  <c r="A177" i="172"/>
  <c r="D177" i="172"/>
  <c r="E177" i="172"/>
  <c r="F177" i="172"/>
  <c r="G177" i="172"/>
  <c r="J177" i="172"/>
  <c r="A178" i="172"/>
  <c r="D178" i="172"/>
  <c r="E178" i="172"/>
  <c r="F178" i="172"/>
  <c r="G178" i="172"/>
  <c r="J178" i="172"/>
  <c r="A179" i="172"/>
  <c r="D179" i="172"/>
  <c r="E179" i="172"/>
  <c r="F179" i="172"/>
  <c r="G179" i="172"/>
  <c r="J179" i="172"/>
  <c r="A180" i="172"/>
  <c r="D180" i="172"/>
  <c r="E180" i="172"/>
  <c r="U180" i="172" s="1"/>
  <c r="F180" i="172"/>
  <c r="G180" i="172"/>
  <c r="J180" i="172"/>
  <c r="A181" i="172"/>
  <c r="D181" i="172"/>
  <c r="E181" i="172"/>
  <c r="F181" i="172"/>
  <c r="G181" i="172"/>
  <c r="J181" i="172"/>
  <c r="A182" i="172"/>
  <c r="D182" i="172"/>
  <c r="E182" i="172"/>
  <c r="U182" i="172" s="1"/>
  <c r="F182" i="172"/>
  <c r="G182" i="172"/>
  <c r="J182" i="172"/>
  <c r="A183" i="172"/>
  <c r="D183" i="172"/>
  <c r="E183" i="172"/>
  <c r="F183" i="172"/>
  <c r="G183" i="172"/>
  <c r="J183" i="172"/>
  <c r="A184" i="172"/>
  <c r="D184" i="172"/>
  <c r="E184" i="172"/>
  <c r="U184" i="172" s="1"/>
  <c r="F184" i="172"/>
  <c r="G184" i="172"/>
  <c r="J184" i="172"/>
  <c r="A185" i="172"/>
  <c r="D185" i="172"/>
  <c r="E185" i="172"/>
  <c r="F185" i="172"/>
  <c r="G185" i="172"/>
  <c r="J185" i="172"/>
  <c r="T185" i="172"/>
  <c r="A186" i="172"/>
  <c r="D186" i="172"/>
  <c r="E186" i="172"/>
  <c r="F186" i="172"/>
  <c r="G186" i="172"/>
  <c r="J186" i="172"/>
  <c r="A187" i="172"/>
  <c r="D187" i="172"/>
  <c r="E187" i="172"/>
  <c r="F187" i="172"/>
  <c r="G187" i="172"/>
  <c r="J187" i="172"/>
  <c r="A188" i="172"/>
  <c r="D188" i="172"/>
  <c r="E188" i="172"/>
  <c r="U188" i="172" s="1"/>
  <c r="F188" i="172"/>
  <c r="G188" i="172"/>
  <c r="J188" i="172"/>
  <c r="A189" i="172"/>
  <c r="D189" i="172"/>
  <c r="E189" i="172"/>
  <c r="U189" i="172" s="1"/>
  <c r="F189" i="172"/>
  <c r="G189" i="172"/>
  <c r="J189" i="172"/>
  <c r="A190" i="172"/>
  <c r="D190" i="172"/>
  <c r="E190" i="172"/>
  <c r="U190" i="172" s="1"/>
  <c r="F190" i="172"/>
  <c r="G190" i="172"/>
  <c r="J190" i="172"/>
  <c r="A191" i="172"/>
  <c r="D191" i="172"/>
  <c r="E191" i="172"/>
  <c r="U191" i="172" s="1"/>
  <c r="F191" i="172"/>
  <c r="G191" i="172"/>
  <c r="J191" i="172"/>
  <c r="A192" i="172"/>
  <c r="D192" i="172"/>
  <c r="E192" i="172"/>
  <c r="U192" i="172" s="1"/>
  <c r="F192" i="172"/>
  <c r="G192" i="172"/>
  <c r="J192" i="172"/>
  <c r="A193" i="172"/>
  <c r="D193" i="172"/>
  <c r="E193" i="172"/>
  <c r="V193" i="172" s="1"/>
  <c r="F193" i="172"/>
  <c r="G193" i="172"/>
  <c r="J193" i="172"/>
  <c r="A194" i="172"/>
  <c r="D194" i="172"/>
  <c r="E194" i="172"/>
  <c r="S194" i="172" s="1"/>
  <c r="F194" i="172"/>
  <c r="G194" i="172"/>
  <c r="J194" i="172"/>
  <c r="A195" i="172"/>
  <c r="D195" i="172"/>
  <c r="E195" i="172"/>
  <c r="U195" i="172" s="1"/>
  <c r="F195" i="172"/>
  <c r="G195" i="172"/>
  <c r="J195" i="172"/>
  <c r="A196" i="172"/>
  <c r="D196" i="172"/>
  <c r="E196" i="172"/>
  <c r="F196" i="172"/>
  <c r="G196" i="172"/>
  <c r="J196" i="172"/>
  <c r="A197" i="172"/>
  <c r="D197" i="172"/>
  <c r="E197" i="172"/>
  <c r="F197" i="172"/>
  <c r="G197" i="172"/>
  <c r="J197" i="172"/>
  <c r="A198" i="172"/>
  <c r="D198" i="172"/>
  <c r="E198" i="172"/>
  <c r="T198" i="172" s="1"/>
  <c r="F198" i="172"/>
  <c r="G198" i="172"/>
  <c r="J198" i="172"/>
  <c r="A199" i="172"/>
  <c r="D199" i="172"/>
  <c r="E199" i="172"/>
  <c r="U199" i="172" s="1"/>
  <c r="F199" i="172"/>
  <c r="G199" i="172"/>
  <c r="J199" i="172"/>
  <c r="A200" i="172"/>
  <c r="D200" i="172"/>
  <c r="E200" i="172"/>
  <c r="F200" i="172"/>
  <c r="G200" i="172"/>
  <c r="J200" i="172"/>
  <c r="T200" i="172"/>
  <c r="A201" i="172"/>
  <c r="D201" i="172"/>
  <c r="E201" i="172"/>
  <c r="T201" i="172" s="1"/>
  <c r="F201" i="172"/>
  <c r="G201" i="172"/>
  <c r="J201" i="172"/>
  <c r="A202" i="172"/>
  <c r="D202" i="172"/>
  <c r="E202" i="172"/>
  <c r="S202" i="172" s="1"/>
  <c r="F202" i="172"/>
  <c r="G202" i="172"/>
  <c r="J202" i="172"/>
  <c r="A203" i="172"/>
  <c r="D203" i="172"/>
  <c r="E203" i="172"/>
  <c r="F203" i="172"/>
  <c r="G203" i="172"/>
  <c r="J203" i="172"/>
  <c r="A204" i="172"/>
  <c r="D204" i="172"/>
  <c r="E204" i="172"/>
  <c r="F204" i="172"/>
  <c r="G204" i="172"/>
  <c r="J204" i="172"/>
  <c r="A205" i="172"/>
  <c r="D205" i="172"/>
  <c r="E205" i="172"/>
  <c r="U205" i="172" s="1"/>
  <c r="F205" i="172"/>
  <c r="G205" i="172"/>
  <c r="J205" i="172"/>
  <c r="A206" i="172"/>
  <c r="D206" i="172"/>
  <c r="E206" i="172"/>
  <c r="F206" i="172"/>
  <c r="G206" i="172"/>
  <c r="J206" i="172"/>
  <c r="V206" i="172"/>
  <c r="A207" i="172"/>
  <c r="D207" i="172"/>
  <c r="E207" i="172"/>
  <c r="F207" i="172"/>
  <c r="G207" i="172"/>
  <c r="J207" i="172"/>
  <c r="T207" i="172"/>
  <c r="A208" i="172"/>
  <c r="D208" i="172"/>
  <c r="E208" i="172"/>
  <c r="U208" i="172" s="1"/>
  <c r="F208" i="172"/>
  <c r="G208" i="172"/>
  <c r="J208" i="172"/>
  <c r="A209" i="172"/>
  <c r="D209" i="172"/>
  <c r="E209" i="172"/>
  <c r="S209" i="172" s="1"/>
  <c r="F209" i="172"/>
  <c r="G209" i="172"/>
  <c r="J209" i="172"/>
  <c r="A210" i="172"/>
  <c r="D210" i="172"/>
  <c r="E210" i="172"/>
  <c r="U210" i="172" s="1"/>
  <c r="F210" i="172"/>
  <c r="G210" i="172"/>
  <c r="J210" i="172"/>
  <c r="A211" i="172"/>
  <c r="D211" i="172"/>
  <c r="E211" i="172"/>
  <c r="U211" i="172" s="1"/>
  <c r="F211" i="172"/>
  <c r="G211" i="172"/>
  <c r="J211" i="172"/>
  <c r="A212" i="172"/>
  <c r="D212" i="172"/>
  <c r="E212" i="172"/>
  <c r="T212" i="172" s="1"/>
  <c r="F212" i="172"/>
  <c r="G212" i="172"/>
  <c r="J212" i="172"/>
  <c r="A213" i="172"/>
  <c r="D213" i="172"/>
  <c r="E213" i="172"/>
  <c r="F213" i="172"/>
  <c r="G213" i="172"/>
  <c r="J213" i="172"/>
  <c r="A214" i="172"/>
  <c r="D214" i="172"/>
  <c r="E214" i="172"/>
  <c r="S214" i="172" s="1"/>
  <c r="F214" i="172"/>
  <c r="G214" i="172"/>
  <c r="J214" i="172"/>
  <c r="A215" i="172"/>
  <c r="D215" i="172"/>
  <c r="E215" i="172"/>
  <c r="S215" i="172" s="1"/>
  <c r="F215" i="172"/>
  <c r="G215" i="172"/>
  <c r="J215" i="172"/>
  <c r="T215" i="172"/>
  <c r="A216" i="172"/>
  <c r="D216" i="172"/>
  <c r="E216" i="172"/>
  <c r="S216" i="172" s="1"/>
  <c r="F216" i="172"/>
  <c r="G216" i="172"/>
  <c r="J216" i="172"/>
  <c r="A217" i="172"/>
  <c r="D217" i="172"/>
  <c r="E217" i="172"/>
  <c r="S217" i="172" s="1"/>
  <c r="F217" i="172"/>
  <c r="G217" i="172"/>
  <c r="J217" i="172"/>
  <c r="A218" i="172"/>
  <c r="D218" i="172"/>
  <c r="E218" i="172"/>
  <c r="S218" i="172" s="1"/>
  <c r="F218" i="172"/>
  <c r="G218" i="172"/>
  <c r="J218" i="172"/>
  <c r="A219" i="172"/>
  <c r="D219" i="172"/>
  <c r="E219" i="172"/>
  <c r="U219" i="172" s="1"/>
  <c r="F219" i="172"/>
  <c r="G219" i="172"/>
  <c r="J219" i="172"/>
  <c r="A220" i="172"/>
  <c r="D220" i="172"/>
  <c r="E220" i="172"/>
  <c r="S220" i="172" s="1"/>
  <c r="F220" i="172"/>
  <c r="G220" i="172"/>
  <c r="J220" i="172"/>
  <c r="A221" i="172"/>
  <c r="D221" i="172"/>
  <c r="E221" i="172"/>
  <c r="U221" i="172" s="1"/>
  <c r="F221" i="172"/>
  <c r="G221" i="172"/>
  <c r="J221" i="172"/>
  <c r="A222" i="172"/>
  <c r="D222" i="172"/>
  <c r="E222" i="172"/>
  <c r="U222" i="172" s="1"/>
  <c r="F222" i="172"/>
  <c r="G222" i="172"/>
  <c r="J222" i="172"/>
  <c r="A223" i="172"/>
  <c r="D223" i="172"/>
  <c r="E223" i="172"/>
  <c r="F223" i="172"/>
  <c r="G223" i="172"/>
  <c r="J223" i="172"/>
  <c r="A224" i="172"/>
  <c r="D224" i="172"/>
  <c r="E224" i="172"/>
  <c r="T224" i="172" s="1"/>
  <c r="F224" i="172"/>
  <c r="G224" i="172"/>
  <c r="J224" i="172"/>
  <c r="A225" i="172"/>
  <c r="D225" i="172"/>
  <c r="E225" i="172"/>
  <c r="F225" i="172"/>
  <c r="G225" i="172"/>
  <c r="J225" i="172"/>
  <c r="A226" i="172"/>
  <c r="D226" i="172"/>
  <c r="E226" i="172"/>
  <c r="T226" i="172" s="1"/>
  <c r="F226" i="172"/>
  <c r="G226" i="172"/>
  <c r="J226" i="172"/>
  <c r="V226" i="172"/>
  <c r="A227" i="172"/>
  <c r="D227" i="172"/>
  <c r="E227" i="172"/>
  <c r="S227" i="172" s="1"/>
  <c r="F227" i="172"/>
  <c r="G227" i="172"/>
  <c r="J227" i="172"/>
  <c r="A228" i="172"/>
  <c r="D228" i="172"/>
  <c r="E228" i="172"/>
  <c r="V228" i="172" s="1"/>
  <c r="F228" i="172"/>
  <c r="G228" i="172"/>
  <c r="J228" i="172"/>
  <c r="A229" i="172"/>
  <c r="D229" i="172"/>
  <c r="E229" i="172"/>
  <c r="U229" i="172" s="1"/>
  <c r="F229" i="172"/>
  <c r="G229" i="172"/>
  <c r="J229" i="172"/>
  <c r="A230" i="172"/>
  <c r="D230" i="172"/>
  <c r="E230" i="172"/>
  <c r="S230" i="172" s="1"/>
  <c r="F230" i="172"/>
  <c r="G230" i="172"/>
  <c r="J230" i="172"/>
  <c r="A231" i="172"/>
  <c r="D231" i="172"/>
  <c r="E231" i="172"/>
  <c r="T231" i="172" s="1"/>
  <c r="F231" i="172"/>
  <c r="G231" i="172"/>
  <c r="J231" i="172"/>
  <c r="A232" i="172"/>
  <c r="D232" i="172"/>
  <c r="E232" i="172"/>
  <c r="V232" i="172" s="1"/>
  <c r="F232" i="172"/>
  <c r="G232" i="172"/>
  <c r="J232" i="172"/>
  <c r="A233" i="172"/>
  <c r="D233" i="172"/>
  <c r="E233" i="172"/>
  <c r="T233" i="172" s="1"/>
  <c r="F233" i="172"/>
  <c r="G233" i="172"/>
  <c r="J233" i="172"/>
  <c r="A234" i="172"/>
  <c r="D234" i="172"/>
  <c r="E234" i="172"/>
  <c r="V234" i="172" s="1"/>
  <c r="F234" i="172"/>
  <c r="G234" i="172"/>
  <c r="J234" i="172"/>
  <c r="A235" i="172"/>
  <c r="D235" i="172"/>
  <c r="E235" i="172"/>
  <c r="T235" i="172" s="1"/>
  <c r="F235" i="172"/>
  <c r="G235" i="172"/>
  <c r="J235" i="172"/>
  <c r="A236" i="172"/>
  <c r="D236" i="172"/>
  <c r="E236" i="172"/>
  <c r="F236" i="172"/>
  <c r="G236" i="172"/>
  <c r="J236" i="172"/>
  <c r="A237" i="172"/>
  <c r="D237" i="172"/>
  <c r="E237" i="172"/>
  <c r="S237" i="172" s="1"/>
  <c r="F237" i="172"/>
  <c r="G237" i="172"/>
  <c r="J237" i="172"/>
  <c r="A238" i="172"/>
  <c r="D238" i="172"/>
  <c r="E238" i="172"/>
  <c r="U238" i="172" s="1"/>
  <c r="F238" i="172"/>
  <c r="G238" i="172"/>
  <c r="J238" i="172"/>
  <c r="A239" i="172"/>
  <c r="D239" i="172"/>
  <c r="E239" i="172"/>
  <c r="T239" i="172" s="1"/>
  <c r="F239" i="172"/>
  <c r="G239" i="172"/>
  <c r="J239" i="172"/>
  <c r="A240" i="172"/>
  <c r="D240" i="172"/>
  <c r="E240" i="172"/>
  <c r="V240" i="172" s="1"/>
  <c r="F240" i="172"/>
  <c r="G240" i="172"/>
  <c r="J240" i="172"/>
  <c r="A241" i="172"/>
  <c r="D241" i="172"/>
  <c r="E241" i="172"/>
  <c r="S241" i="172" s="1"/>
  <c r="F241" i="172"/>
  <c r="G241" i="172"/>
  <c r="J241" i="172"/>
  <c r="A242" i="172"/>
  <c r="D242" i="172"/>
  <c r="E242" i="172"/>
  <c r="F242" i="172"/>
  <c r="G242" i="172"/>
  <c r="J242" i="172"/>
  <c r="S242" i="172"/>
  <c r="A243" i="172"/>
  <c r="D243" i="172"/>
  <c r="E243" i="172"/>
  <c r="S243" i="172" s="1"/>
  <c r="F243" i="172"/>
  <c r="G243" i="172"/>
  <c r="J243" i="172"/>
  <c r="A244" i="172"/>
  <c r="D244" i="172"/>
  <c r="E244" i="172"/>
  <c r="V244" i="172" s="1"/>
  <c r="F244" i="172"/>
  <c r="G244" i="172"/>
  <c r="J244" i="172"/>
  <c r="A245" i="172"/>
  <c r="D245" i="172"/>
  <c r="E245" i="172"/>
  <c r="S245" i="172" s="1"/>
  <c r="F245" i="172"/>
  <c r="G245" i="172"/>
  <c r="J245" i="172"/>
  <c r="A246" i="172"/>
  <c r="D246" i="172"/>
  <c r="E246" i="172"/>
  <c r="F246" i="172"/>
  <c r="G246" i="172"/>
  <c r="J246" i="172"/>
  <c r="A247" i="172"/>
  <c r="D247" i="172"/>
  <c r="E247" i="172"/>
  <c r="T247" i="172" s="1"/>
  <c r="F247" i="172"/>
  <c r="G247" i="172"/>
  <c r="J247" i="172"/>
  <c r="A248" i="172"/>
  <c r="D248" i="172"/>
  <c r="E248" i="172"/>
  <c r="V248" i="172" s="1"/>
  <c r="F248" i="172"/>
  <c r="G248" i="172"/>
  <c r="J248" i="172"/>
  <c r="A249" i="172"/>
  <c r="D249" i="172"/>
  <c r="E249" i="172"/>
  <c r="S249" i="172" s="1"/>
  <c r="F249" i="172"/>
  <c r="G249" i="172"/>
  <c r="J249" i="172"/>
  <c r="A250" i="172"/>
  <c r="D250" i="172"/>
  <c r="E250" i="172"/>
  <c r="S250" i="172" s="1"/>
  <c r="F250" i="172"/>
  <c r="G250" i="172"/>
  <c r="J250" i="172"/>
  <c r="A251" i="172"/>
  <c r="D251" i="172"/>
  <c r="E251" i="172"/>
  <c r="S251" i="172" s="1"/>
  <c r="F251" i="172"/>
  <c r="G251" i="172"/>
  <c r="J251" i="172"/>
  <c r="T251" i="172"/>
  <c r="A252" i="172"/>
  <c r="D252" i="172"/>
  <c r="E252" i="172"/>
  <c r="V252" i="172" s="1"/>
  <c r="F252" i="172"/>
  <c r="G252" i="172"/>
  <c r="J252" i="172"/>
  <c r="A253" i="172"/>
  <c r="D253" i="172"/>
  <c r="E253" i="172"/>
  <c r="S253" i="172" s="1"/>
  <c r="F253" i="172"/>
  <c r="G253" i="172"/>
  <c r="J253" i="172"/>
  <c r="A254" i="172"/>
  <c r="D254" i="172"/>
  <c r="E254" i="172"/>
  <c r="U254" i="172" s="1"/>
  <c r="F254" i="172"/>
  <c r="G254" i="172"/>
  <c r="J254" i="172"/>
  <c r="A255" i="172"/>
  <c r="D255" i="172"/>
  <c r="E255" i="172"/>
  <c r="T255" i="172" s="1"/>
  <c r="F255" i="172"/>
  <c r="G255" i="172"/>
  <c r="J255" i="172"/>
  <c r="A256" i="172"/>
  <c r="D256" i="172"/>
  <c r="E256" i="172"/>
  <c r="V256" i="172" s="1"/>
  <c r="F256" i="172"/>
  <c r="G256" i="172"/>
  <c r="J256" i="172"/>
  <c r="A257" i="172"/>
  <c r="D257" i="172"/>
  <c r="E257" i="172"/>
  <c r="S257" i="172" s="1"/>
  <c r="F257" i="172"/>
  <c r="G257" i="172"/>
  <c r="J257" i="172"/>
  <c r="A258" i="172"/>
  <c r="D258" i="172"/>
  <c r="E258" i="172"/>
  <c r="S258" i="172" s="1"/>
  <c r="F258" i="172"/>
  <c r="G258" i="172"/>
  <c r="J258" i="172"/>
  <c r="A259" i="172"/>
  <c r="D259" i="172"/>
  <c r="E259" i="172"/>
  <c r="S259" i="172" s="1"/>
  <c r="F259" i="172"/>
  <c r="G259" i="172"/>
  <c r="J259" i="172"/>
  <c r="A260" i="172"/>
  <c r="D260" i="172"/>
  <c r="E260" i="172"/>
  <c r="V260" i="172" s="1"/>
  <c r="F260" i="172"/>
  <c r="G260" i="172"/>
  <c r="J260" i="172"/>
  <c r="A261" i="172"/>
  <c r="D261" i="172"/>
  <c r="E261" i="172"/>
  <c r="S261" i="172" s="1"/>
  <c r="F261" i="172"/>
  <c r="G261" i="172"/>
  <c r="J261" i="172"/>
  <c r="T261" i="172"/>
  <c r="A262" i="172"/>
  <c r="D262" i="172"/>
  <c r="E262" i="172"/>
  <c r="U262" i="172" s="1"/>
  <c r="F262" i="172"/>
  <c r="G262" i="172"/>
  <c r="J262" i="172"/>
  <c r="A263" i="172"/>
  <c r="D263" i="172"/>
  <c r="E263" i="172"/>
  <c r="T263" i="172" s="1"/>
  <c r="F263" i="172"/>
  <c r="G263" i="172"/>
  <c r="J263" i="172"/>
  <c r="A264" i="172"/>
  <c r="D264" i="172"/>
  <c r="E264" i="172"/>
  <c r="V264" i="172" s="1"/>
  <c r="F264" i="172"/>
  <c r="G264" i="172"/>
  <c r="J264" i="172"/>
  <c r="A265" i="172"/>
  <c r="D265" i="172"/>
  <c r="E265" i="172"/>
  <c r="S265" i="172" s="1"/>
  <c r="F265" i="172"/>
  <c r="G265" i="172"/>
  <c r="J265" i="172"/>
  <c r="A266" i="172"/>
  <c r="D266" i="172"/>
  <c r="E266" i="172"/>
  <c r="S266" i="172" s="1"/>
  <c r="F266" i="172"/>
  <c r="G266" i="172"/>
  <c r="J266" i="172"/>
  <c r="A267" i="172"/>
  <c r="D267" i="172"/>
  <c r="E267" i="172"/>
  <c r="S267" i="172" s="1"/>
  <c r="F267" i="172"/>
  <c r="G267" i="172"/>
  <c r="J267" i="172"/>
  <c r="A268" i="172"/>
  <c r="D268" i="172"/>
  <c r="E268" i="172"/>
  <c r="V268" i="172" s="1"/>
  <c r="F268" i="172"/>
  <c r="G268" i="172"/>
  <c r="J268" i="172"/>
  <c r="A269" i="172"/>
  <c r="D269" i="172"/>
  <c r="E269" i="172"/>
  <c r="S269" i="172" s="1"/>
  <c r="F269" i="172"/>
  <c r="G269" i="172"/>
  <c r="J269" i="172"/>
  <c r="A270" i="172"/>
  <c r="D270" i="172"/>
  <c r="E270" i="172"/>
  <c r="U270" i="172" s="1"/>
  <c r="F270" i="172"/>
  <c r="G270" i="172"/>
  <c r="J270" i="172"/>
  <c r="A271" i="172"/>
  <c r="D271" i="172"/>
  <c r="E271" i="172"/>
  <c r="T271" i="172" s="1"/>
  <c r="F271" i="172"/>
  <c r="G271" i="172"/>
  <c r="J271" i="172"/>
  <c r="A272" i="172"/>
  <c r="D272" i="172"/>
  <c r="E272" i="172"/>
  <c r="T272" i="172" s="1"/>
  <c r="F272" i="172"/>
  <c r="G272" i="172"/>
  <c r="J272" i="172"/>
  <c r="A273" i="172"/>
  <c r="D273" i="172"/>
  <c r="E273" i="172"/>
  <c r="S273" i="172" s="1"/>
  <c r="F273" i="172"/>
  <c r="G273" i="172"/>
  <c r="J273" i="172"/>
  <c r="A274" i="172"/>
  <c r="D274" i="172"/>
  <c r="E274" i="172"/>
  <c r="S274" i="172" s="1"/>
  <c r="F274" i="172"/>
  <c r="G274" i="172"/>
  <c r="J274" i="172"/>
  <c r="A275" i="172"/>
  <c r="D275" i="172"/>
  <c r="E275" i="172"/>
  <c r="S275" i="172" s="1"/>
  <c r="F275" i="172"/>
  <c r="G275" i="172"/>
  <c r="J275" i="172"/>
  <c r="T275" i="172"/>
  <c r="A276" i="172"/>
  <c r="D276" i="172"/>
  <c r="E276" i="172"/>
  <c r="V276" i="172" s="1"/>
  <c r="F276" i="172"/>
  <c r="G276" i="172"/>
  <c r="J276" i="172"/>
  <c r="A277" i="172"/>
  <c r="D277" i="172"/>
  <c r="E277" i="172"/>
  <c r="S277" i="172" s="1"/>
  <c r="F277" i="172"/>
  <c r="G277" i="172"/>
  <c r="J277" i="172"/>
  <c r="A278" i="172"/>
  <c r="D278" i="172"/>
  <c r="E278" i="172"/>
  <c r="F278" i="172"/>
  <c r="G278" i="172"/>
  <c r="J278" i="172"/>
  <c r="A279" i="172"/>
  <c r="D279" i="172"/>
  <c r="E279" i="172"/>
  <c r="T279" i="172" s="1"/>
  <c r="F279" i="172"/>
  <c r="G279" i="172"/>
  <c r="J279" i="172"/>
  <c r="A280" i="172"/>
  <c r="D280" i="172"/>
  <c r="E280" i="172"/>
  <c r="U280" i="172" s="1"/>
  <c r="F280" i="172"/>
  <c r="G280" i="172"/>
  <c r="J280" i="172"/>
  <c r="A281" i="172"/>
  <c r="D281" i="172"/>
  <c r="E281" i="172"/>
  <c r="U281" i="172" s="1"/>
  <c r="F281" i="172"/>
  <c r="G281" i="172"/>
  <c r="J281" i="172"/>
  <c r="A282" i="172"/>
  <c r="D282" i="172"/>
  <c r="E282" i="172"/>
  <c r="U282" i="172" s="1"/>
  <c r="F282" i="172"/>
  <c r="G282" i="172"/>
  <c r="J282" i="172"/>
  <c r="A283" i="172"/>
  <c r="D283" i="172"/>
  <c r="E283" i="172"/>
  <c r="S283" i="172" s="1"/>
  <c r="F283" i="172"/>
  <c r="G283" i="172"/>
  <c r="J283" i="172"/>
  <c r="A284" i="172"/>
  <c r="D284" i="172"/>
  <c r="E284" i="172"/>
  <c r="V284" i="172" s="1"/>
  <c r="F284" i="172"/>
  <c r="G284" i="172"/>
  <c r="J284" i="172"/>
  <c r="A285" i="172"/>
  <c r="D285" i="172"/>
  <c r="E285" i="172"/>
  <c r="S285" i="172" s="1"/>
  <c r="F285" i="172"/>
  <c r="G285" i="172"/>
  <c r="J285" i="172"/>
  <c r="A286" i="172"/>
  <c r="D286" i="172"/>
  <c r="E286" i="172"/>
  <c r="V286" i="172" s="1"/>
  <c r="F286" i="172"/>
  <c r="G286" i="172"/>
  <c r="J286" i="172"/>
  <c r="A287" i="172"/>
  <c r="D287" i="172"/>
  <c r="E287" i="172"/>
  <c r="U287" i="172" s="1"/>
  <c r="F287" i="172"/>
  <c r="G287" i="172"/>
  <c r="J287" i="172"/>
  <c r="A288" i="172"/>
  <c r="D288" i="172"/>
  <c r="E288" i="172"/>
  <c r="U288" i="172" s="1"/>
  <c r="F288" i="172"/>
  <c r="G288" i="172"/>
  <c r="J288" i="172"/>
  <c r="A289" i="172"/>
  <c r="D289" i="172"/>
  <c r="E289" i="172"/>
  <c r="S289" i="172" s="1"/>
  <c r="F289" i="172"/>
  <c r="G289" i="172"/>
  <c r="J289" i="172"/>
  <c r="A290" i="172"/>
  <c r="D290" i="172"/>
  <c r="E290" i="172"/>
  <c r="T290" i="172" s="1"/>
  <c r="F290" i="172"/>
  <c r="G290" i="172"/>
  <c r="J290" i="172"/>
  <c r="A291" i="172"/>
  <c r="D291" i="172"/>
  <c r="E291" i="172"/>
  <c r="T291" i="172" s="1"/>
  <c r="F291" i="172"/>
  <c r="G291" i="172"/>
  <c r="J291" i="172"/>
  <c r="A292" i="172"/>
  <c r="D292" i="172"/>
  <c r="E292" i="172"/>
  <c r="U292" i="172" s="1"/>
  <c r="F292" i="172"/>
  <c r="G292" i="172"/>
  <c r="J292" i="172"/>
  <c r="A293" i="172"/>
  <c r="D293" i="172"/>
  <c r="E293" i="172"/>
  <c r="T293" i="172" s="1"/>
  <c r="F293" i="172"/>
  <c r="G293" i="172"/>
  <c r="J293" i="172"/>
  <c r="A294" i="172"/>
  <c r="D294" i="172"/>
  <c r="E294" i="172"/>
  <c r="U294" i="172" s="1"/>
  <c r="F294" i="172"/>
  <c r="G294" i="172"/>
  <c r="J294" i="172"/>
  <c r="A295" i="172"/>
  <c r="D295" i="172"/>
  <c r="E295" i="172"/>
  <c r="T295" i="172" s="1"/>
  <c r="F295" i="172"/>
  <c r="G295" i="172"/>
  <c r="J295" i="172"/>
  <c r="A296" i="172"/>
  <c r="D296" i="172"/>
  <c r="E296" i="172"/>
  <c r="U296" i="172" s="1"/>
  <c r="F296" i="172"/>
  <c r="G296" i="172"/>
  <c r="J296" i="172"/>
  <c r="A297" i="172"/>
  <c r="D297" i="172"/>
  <c r="E297" i="172"/>
  <c r="S297" i="172" s="1"/>
  <c r="F297" i="172"/>
  <c r="G297" i="172"/>
  <c r="J297" i="172"/>
  <c r="A298" i="172"/>
  <c r="D298" i="172"/>
  <c r="E298" i="172"/>
  <c r="F298" i="172"/>
  <c r="G298" i="172"/>
  <c r="J298" i="172"/>
  <c r="A299" i="172"/>
  <c r="D299" i="172"/>
  <c r="E299" i="172"/>
  <c r="V299" i="172" s="1"/>
  <c r="F299" i="172"/>
  <c r="G299" i="172"/>
  <c r="J299" i="172"/>
  <c r="T299" i="172"/>
  <c r="A300" i="172"/>
  <c r="D300" i="172"/>
  <c r="E300" i="172"/>
  <c r="S300" i="172" s="1"/>
  <c r="F300" i="172"/>
  <c r="G300" i="172"/>
  <c r="J300" i="172"/>
  <c r="A301" i="172"/>
  <c r="D301" i="172"/>
  <c r="E301" i="172"/>
  <c r="U301" i="172" s="1"/>
  <c r="F301" i="172"/>
  <c r="G301" i="172"/>
  <c r="J301" i="172"/>
  <c r="A302" i="172"/>
  <c r="D302" i="172"/>
  <c r="E302" i="172"/>
  <c r="V302" i="172" s="1"/>
  <c r="F302" i="172"/>
  <c r="G302" i="172"/>
  <c r="J302" i="172"/>
  <c r="A303" i="172"/>
  <c r="D303" i="172"/>
  <c r="E303" i="172"/>
  <c r="S303" i="172" s="1"/>
  <c r="F303" i="172"/>
  <c r="G303" i="172"/>
  <c r="J303" i="172"/>
  <c r="A304" i="172"/>
  <c r="D304" i="172"/>
  <c r="E304" i="172"/>
  <c r="U304" i="172" s="1"/>
  <c r="F304" i="172"/>
  <c r="G304" i="172"/>
  <c r="J304" i="172"/>
  <c r="A305" i="172"/>
  <c r="D305" i="172"/>
  <c r="E305" i="172"/>
  <c r="U305" i="172" s="1"/>
  <c r="F305" i="172"/>
  <c r="G305" i="172"/>
  <c r="J305" i="172"/>
  <c r="A306" i="172"/>
  <c r="D306" i="172"/>
  <c r="E306" i="172"/>
  <c r="F306" i="172"/>
  <c r="G306" i="172"/>
  <c r="J306" i="172"/>
  <c r="A307" i="172"/>
  <c r="D307" i="172"/>
  <c r="E307" i="172"/>
  <c r="V307" i="172" s="1"/>
  <c r="F307" i="172"/>
  <c r="G307" i="172"/>
  <c r="J307" i="172"/>
  <c r="A308" i="172"/>
  <c r="D308" i="172"/>
  <c r="E308" i="172"/>
  <c r="S308" i="172" s="1"/>
  <c r="F308" i="172"/>
  <c r="G308" i="172"/>
  <c r="J308" i="172"/>
  <c r="A309" i="172"/>
  <c r="D309" i="172"/>
  <c r="E309" i="172"/>
  <c r="U309" i="172" s="1"/>
  <c r="F309" i="172"/>
  <c r="G309" i="172"/>
  <c r="J309" i="172"/>
  <c r="A310" i="172"/>
  <c r="D310" i="172"/>
  <c r="E310" i="172"/>
  <c r="F310" i="172"/>
  <c r="G310" i="172"/>
  <c r="J310" i="172"/>
  <c r="A311" i="172"/>
  <c r="D311" i="172"/>
  <c r="E311" i="172"/>
  <c r="S311" i="172" s="1"/>
  <c r="F311" i="172"/>
  <c r="G311" i="172"/>
  <c r="J311" i="172"/>
  <c r="A312" i="172"/>
  <c r="D312" i="172"/>
  <c r="E312" i="172"/>
  <c r="T312" i="172" s="1"/>
  <c r="F312" i="172"/>
  <c r="G312" i="172"/>
  <c r="J312" i="172"/>
  <c r="A313" i="172"/>
  <c r="D313" i="172"/>
  <c r="E313" i="172"/>
  <c r="T313" i="172" s="1"/>
  <c r="F313" i="172"/>
  <c r="G313" i="172"/>
  <c r="J313" i="172"/>
  <c r="A314" i="172"/>
  <c r="D314" i="172"/>
  <c r="E314" i="172"/>
  <c r="U314" i="172" s="1"/>
  <c r="F314" i="172"/>
  <c r="G314" i="172"/>
  <c r="J314" i="172"/>
  <c r="A315" i="172"/>
  <c r="D315" i="172"/>
  <c r="E315" i="172"/>
  <c r="F315" i="172"/>
  <c r="G315" i="172"/>
  <c r="J315" i="172"/>
  <c r="A316" i="172"/>
  <c r="D316" i="172"/>
  <c r="E316" i="172"/>
  <c r="U316" i="172" s="1"/>
  <c r="F316" i="172"/>
  <c r="G316" i="172"/>
  <c r="J316" i="172"/>
  <c r="A317" i="172"/>
  <c r="D317" i="172"/>
  <c r="E317" i="172"/>
  <c r="S317" i="172" s="1"/>
  <c r="F317" i="172"/>
  <c r="G317" i="172"/>
  <c r="J317" i="172"/>
  <c r="A318" i="172"/>
  <c r="D318" i="172"/>
  <c r="E318" i="172"/>
  <c r="V318" i="172" s="1"/>
  <c r="F318" i="172"/>
  <c r="G318" i="172"/>
  <c r="J318" i="172"/>
  <c r="A319" i="172"/>
  <c r="D319" i="172"/>
  <c r="E319" i="172"/>
  <c r="F319" i="172"/>
  <c r="G319" i="172"/>
  <c r="J319" i="172"/>
  <c r="A320" i="172"/>
  <c r="D320" i="172"/>
  <c r="E320" i="172"/>
  <c r="T320" i="172" s="1"/>
  <c r="F320" i="172"/>
  <c r="G320" i="172"/>
  <c r="J320" i="172"/>
  <c r="A321" i="172"/>
  <c r="D321" i="172"/>
  <c r="E321" i="172"/>
  <c r="F321" i="172"/>
  <c r="G321" i="172"/>
  <c r="J321" i="172"/>
  <c r="A322" i="172"/>
  <c r="D322" i="172"/>
  <c r="E322" i="172"/>
  <c r="V322" i="172" s="1"/>
  <c r="F322" i="172"/>
  <c r="G322" i="172"/>
  <c r="J322" i="172"/>
  <c r="A323" i="172"/>
  <c r="D323" i="172"/>
  <c r="E323" i="172"/>
  <c r="S323" i="172" s="1"/>
  <c r="F323" i="172"/>
  <c r="G323" i="172"/>
  <c r="J323" i="172"/>
  <c r="V323" i="172"/>
  <c r="A324" i="172"/>
  <c r="D324" i="172"/>
  <c r="E324" i="172"/>
  <c r="T324" i="172" s="1"/>
  <c r="F324" i="172"/>
  <c r="G324" i="172"/>
  <c r="J324" i="172"/>
  <c r="A325" i="172"/>
  <c r="D325" i="172"/>
  <c r="E325" i="172"/>
  <c r="F325" i="172"/>
  <c r="G325" i="172"/>
  <c r="J325" i="172"/>
  <c r="A326" i="172"/>
  <c r="D326" i="172"/>
  <c r="E326" i="172"/>
  <c r="F326" i="172"/>
  <c r="G326" i="172"/>
  <c r="J326" i="172"/>
  <c r="A327" i="172"/>
  <c r="D327" i="172"/>
  <c r="E327" i="172"/>
  <c r="S327" i="172" s="1"/>
  <c r="F327" i="172"/>
  <c r="G327" i="172"/>
  <c r="J327" i="172"/>
  <c r="A328" i="172"/>
  <c r="D328" i="172"/>
  <c r="E328" i="172"/>
  <c r="S328" i="172" s="1"/>
  <c r="F328" i="172"/>
  <c r="G328" i="172"/>
  <c r="J328" i="172"/>
  <c r="A329" i="172"/>
  <c r="D329" i="172"/>
  <c r="E329" i="172"/>
  <c r="F329" i="172"/>
  <c r="G329" i="172"/>
  <c r="J329" i="172"/>
  <c r="A330" i="172"/>
  <c r="D330" i="172"/>
  <c r="E330" i="172"/>
  <c r="F330" i="172"/>
  <c r="G330" i="172"/>
  <c r="J330" i="172"/>
  <c r="A331" i="172"/>
  <c r="D331" i="172"/>
  <c r="E331" i="172"/>
  <c r="T331" i="172" s="1"/>
  <c r="F331" i="172"/>
  <c r="G331" i="172"/>
  <c r="J331" i="172"/>
  <c r="A332" i="172"/>
  <c r="D332" i="172"/>
  <c r="E332" i="172"/>
  <c r="S332" i="172" s="1"/>
  <c r="F332" i="172"/>
  <c r="G332" i="172"/>
  <c r="J332" i="172"/>
  <c r="A333" i="172"/>
  <c r="D333" i="172"/>
  <c r="E333" i="172"/>
  <c r="F333" i="172"/>
  <c r="G333" i="172"/>
  <c r="J333" i="172"/>
  <c r="A334" i="172"/>
  <c r="D334" i="172"/>
  <c r="E334" i="172"/>
  <c r="T334" i="172" s="1"/>
  <c r="F334" i="172"/>
  <c r="G334" i="172"/>
  <c r="J334" i="172"/>
  <c r="A335" i="172"/>
  <c r="D335" i="172"/>
  <c r="E335" i="172"/>
  <c r="T335" i="172" s="1"/>
  <c r="F335" i="172"/>
  <c r="G335" i="172"/>
  <c r="J335" i="172"/>
  <c r="A336" i="172"/>
  <c r="D336" i="172"/>
  <c r="E336" i="172"/>
  <c r="S336" i="172" s="1"/>
  <c r="F336" i="172"/>
  <c r="G336" i="172"/>
  <c r="J336" i="172"/>
  <c r="A337" i="172"/>
  <c r="D337" i="172"/>
  <c r="E337" i="172"/>
  <c r="V337" i="172" s="1"/>
  <c r="F337" i="172"/>
  <c r="G337" i="172"/>
  <c r="J337" i="172"/>
  <c r="A338" i="172"/>
  <c r="D338" i="172"/>
  <c r="E338" i="172"/>
  <c r="U338" i="172" s="1"/>
  <c r="F338" i="172"/>
  <c r="G338" i="172"/>
  <c r="J338" i="172"/>
  <c r="A339" i="172"/>
  <c r="D339" i="172"/>
  <c r="E339" i="172"/>
  <c r="S339" i="172" s="1"/>
  <c r="F339" i="172"/>
  <c r="G339" i="172"/>
  <c r="J339" i="172"/>
  <c r="A340" i="172"/>
  <c r="D340" i="172"/>
  <c r="E340" i="172"/>
  <c r="S340" i="172" s="1"/>
  <c r="F340" i="172"/>
  <c r="G340" i="172"/>
  <c r="J340" i="172"/>
  <c r="A341" i="172"/>
  <c r="D341" i="172"/>
  <c r="E341" i="172"/>
  <c r="S341" i="172" s="1"/>
  <c r="F341" i="172"/>
  <c r="G341" i="172"/>
  <c r="J341" i="172"/>
  <c r="A342" i="172"/>
  <c r="D342" i="172"/>
  <c r="E342" i="172"/>
  <c r="U342" i="172" s="1"/>
  <c r="F342" i="172"/>
  <c r="G342" i="172"/>
  <c r="J342" i="172"/>
  <c r="A343" i="172"/>
  <c r="D343" i="172"/>
  <c r="E343" i="172"/>
  <c r="T343" i="172" s="1"/>
  <c r="F343" i="172"/>
  <c r="G343" i="172"/>
  <c r="J343" i="172"/>
  <c r="A344" i="172"/>
  <c r="D344" i="172"/>
  <c r="E344" i="172"/>
  <c r="U344" i="172" s="1"/>
  <c r="F344" i="172"/>
  <c r="G344" i="172"/>
  <c r="J344" i="172"/>
  <c r="A345" i="172"/>
  <c r="D345" i="172"/>
  <c r="E345" i="172"/>
  <c r="V345" i="172" s="1"/>
  <c r="F345" i="172"/>
  <c r="G345" i="172"/>
  <c r="J345" i="172"/>
  <c r="A346" i="172"/>
  <c r="D346" i="172"/>
  <c r="E346" i="172"/>
  <c r="V346" i="172" s="1"/>
  <c r="F346" i="172"/>
  <c r="G346" i="172"/>
  <c r="J346" i="172"/>
  <c r="A347" i="172"/>
  <c r="D347" i="172"/>
  <c r="E347" i="172"/>
  <c r="F347" i="172"/>
  <c r="G347" i="172"/>
  <c r="J347" i="172"/>
  <c r="A348" i="172"/>
  <c r="D348" i="172"/>
  <c r="E348" i="172"/>
  <c r="V348" i="172" s="1"/>
  <c r="F348" i="172"/>
  <c r="G348" i="172"/>
  <c r="J348" i="172"/>
  <c r="A349" i="172"/>
  <c r="D349" i="172"/>
  <c r="E349" i="172"/>
  <c r="U349" i="172" s="1"/>
  <c r="F349" i="172"/>
  <c r="G349" i="172"/>
  <c r="J349" i="172"/>
  <c r="A350" i="172"/>
  <c r="D350" i="172"/>
  <c r="E350" i="172"/>
  <c r="V350" i="172" s="1"/>
  <c r="F350" i="172"/>
  <c r="G350" i="172"/>
  <c r="J350" i="172"/>
  <c r="A351" i="172"/>
  <c r="D351" i="172"/>
  <c r="E351" i="172"/>
  <c r="F351" i="172"/>
  <c r="G351" i="172"/>
  <c r="J351" i="172"/>
  <c r="A352" i="172"/>
  <c r="D352" i="172"/>
  <c r="E352" i="172"/>
  <c r="S352" i="172" s="1"/>
  <c r="F352" i="172"/>
  <c r="G352" i="172"/>
  <c r="J352" i="172"/>
  <c r="A353" i="172"/>
  <c r="D353" i="172"/>
  <c r="E353" i="172"/>
  <c r="U353" i="172" s="1"/>
  <c r="F353" i="172"/>
  <c r="G353" i="172"/>
  <c r="J353" i="172"/>
  <c r="A354" i="172"/>
  <c r="D354" i="172"/>
  <c r="E354" i="172"/>
  <c r="T354" i="172" s="1"/>
  <c r="F354" i="172"/>
  <c r="G354" i="172"/>
  <c r="J354" i="172"/>
  <c r="A355" i="172"/>
  <c r="D355" i="172"/>
  <c r="E355" i="172"/>
  <c r="V355" i="172" s="1"/>
  <c r="F355" i="172"/>
  <c r="G355" i="172"/>
  <c r="J355" i="172"/>
  <c r="A356" i="172"/>
  <c r="D356" i="172"/>
  <c r="E356" i="172"/>
  <c r="S356" i="172" s="1"/>
  <c r="F356" i="172"/>
  <c r="G356" i="172"/>
  <c r="J356" i="172"/>
  <c r="A357" i="172"/>
  <c r="D357" i="172"/>
  <c r="E357" i="172"/>
  <c r="T357" i="172" s="1"/>
  <c r="F357" i="172"/>
  <c r="G357" i="172"/>
  <c r="J357" i="172"/>
  <c r="A358" i="172"/>
  <c r="D358" i="172"/>
  <c r="E358" i="172"/>
  <c r="T358" i="172" s="1"/>
  <c r="F358" i="172"/>
  <c r="G358" i="172"/>
  <c r="J358" i="172"/>
  <c r="A359" i="172"/>
  <c r="D359" i="172"/>
  <c r="E359" i="172"/>
  <c r="F359" i="172"/>
  <c r="G359" i="172"/>
  <c r="J359" i="172"/>
  <c r="A360" i="172"/>
  <c r="D360" i="172"/>
  <c r="E360" i="172"/>
  <c r="T360" i="172" s="1"/>
  <c r="F360" i="172"/>
  <c r="G360" i="172"/>
  <c r="J360" i="172"/>
  <c r="A361" i="172"/>
  <c r="D361" i="172"/>
  <c r="E361" i="172"/>
  <c r="U361" i="172" s="1"/>
  <c r="F361" i="172"/>
  <c r="G361" i="172"/>
  <c r="J361" i="172"/>
  <c r="A362" i="172"/>
  <c r="D362" i="172"/>
  <c r="E362" i="172"/>
  <c r="F362" i="172"/>
  <c r="G362" i="172"/>
  <c r="J362" i="172"/>
  <c r="T362" i="172"/>
  <c r="A363" i="172"/>
  <c r="D363" i="172"/>
  <c r="E363" i="172"/>
  <c r="T363" i="172" s="1"/>
  <c r="F363" i="172"/>
  <c r="G363" i="172"/>
  <c r="J363" i="172"/>
  <c r="A364" i="172"/>
  <c r="D364" i="172"/>
  <c r="E364" i="172"/>
  <c r="S364" i="172" s="1"/>
  <c r="F364" i="172"/>
  <c r="G364" i="172"/>
  <c r="J364" i="172"/>
  <c r="A365" i="172"/>
  <c r="D365" i="172"/>
  <c r="E365" i="172"/>
  <c r="T365" i="172" s="1"/>
  <c r="F365" i="172"/>
  <c r="G365" i="172"/>
  <c r="J365" i="172"/>
  <c r="A366" i="172"/>
  <c r="D366" i="172"/>
  <c r="E366" i="172"/>
  <c r="S366" i="172" s="1"/>
  <c r="F366" i="172"/>
  <c r="G366" i="172"/>
  <c r="J366" i="172"/>
  <c r="A367" i="172"/>
  <c r="D367" i="172"/>
  <c r="E367" i="172"/>
  <c r="S367" i="172" s="1"/>
  <c r="F367" i="172"/>
  <c r="G367" i="172"/>
  <c r="J367" i="172"/>
  <c r="A368" i="172"/>
  <c r="D368" i="172"/>
  <c r="E368" i="172"/>
  <c r="S368" i="172" s="1"/>
  <c r="F368" i="172"/>
  <c r="G368" i="172"/>
  <c r="J368" i="172"/>
  <c r="A369" i="172"/>
  <c r="D369" i="172"/>
  <c r="E369" i="172"/>
  <c r="U369" i="172" s="1"/>
  <c r="F369" i="172"/>
  <c r="G369" i="172"/>
  <c r="J369" i="172"/>
  <c r="A370" i="172"/>
  <c r="D370" i="172"/>
  <c r="E370" i="172"/>
  <c r="F370" i="172"/>
  <c r="G370" i="172"/>
  <c r="J370" i="172"/>
  <c r="T370" i="172"/>
  <c r="A371" i="172"/>
  <c r="D371" i="172"/>
  <c r="E371" i="172"/>
  <c r="F371" i="172"/>
  <c r="G371" i="172"/>
  <c r="J371" i="172"/>
  <c r="A372" i="172"/>
  <c r="D372" i="172"/>
  <c r="E372" i="172"/>
  <c r="S372" i="172" s="1"/>
  <c r="F372" i="172"/>
  <c r="G372" i="172"/>
  <c r="J372" i="172"/>
  <c r="A373" i="172"/>
  <c r="D373" i="172"/>
  <c r="E373" i="172"/>
  <c r="T373" i="172" s="1"/>
  <c r="F373" i="172"/>
  <c r="G373" i="172"/>
  <c r="J373" i="172"/>
  <c r="A374" i="172"/>
  <c r="D374" i="172"/>
  <c r="E374" i="172"/>
  <c r="T374" i="172" s="1"/>
  <c r="F374" i="172"/>
  <c r="G374" i="172"/>
  <c r="J374" i="172"/>
  <c r="A375" i="172"/>
  <c r="D375" i="172"/>
  <c r="E375" i="172"/>
  <c r="S375" i="172" s="1"/>
  <c r="F375" i="172"/>
  <c r="G375" i="172"/>
  <c r="J375" i="172"/>
  <c r="A376" i="172"/>
  <c r="D376" i="172"/>
  <c r="E376" i="172"/>
  <c r="T376" i="172" s="1"/>
  <c r="F376" i="172"/>
  <c r="G376" i="172"/>
  <c r="J376" i="172"/>
  <c r="A377" i="172"/>
  <c r="D377" i="172"/>
  <c r="E377" i="172"/>
  <c r="U377" i="172" s="1"/>
  <c r="F377" i="172"/>
  <c r="G377" i="172"/>
  <c r="J377" i="172"/>
  <c r="A378" i="172"/>
  <c r="D378" i="172"/>
  <c r="E378" i="172"/>
  <c r="T378" i="172" s="1"/>
  <c r="F378" i="172"/>
  <c r="G378" i="172"/>
  <c r="J378" i="172"/>
  <c r="A379" i="172"/>
  <c r="D379" i="172"/>
  <c r="E379" i="172"/>
  <c r="U379" i="172" s="1"/>
  <c r="F379" i="172"/>
  <c r="G379" i="172"/>
  <c r="J379" i="172"/>
  <c r="A380" i="172"/>
  <c r="D380" i="172"/>
  <c r="E380" i="172"/>
  <c r="S380" i="172" s="1"/>
  <c r="F380" i="172"/>
  <c r="G380" i="172"/>
  <c r="J380" i="172"/>
  <c r="A381" i="172"/>
  <c r="D381" i="172"/>
  <c r="E381" i="172"/>
  <c r="T381" i="172" s="1"/>
  <c r="F381" i="172"/>
  <c r="G381" i="172"/>
  <c r="J381" i="172"/>
  <c r="S381" i="172"/>
  <c r="A382" i="172"/>
  <c r="D382" i="172"/>
  <c r="E382" i="172"/>
  <c r="S382" i="172" s="1"/>
  <c r="F382" i="172"/>
  <c r="G382" i="172"/>
  <c r="J382" i="172"/>
  <c r="A383" i="172"/>
  <c r="D383" i="172"/>
  <c r="E383" i="172"/>
  <c r="V383" i="172" s="1"/>
  <c r="F383" i="172"/>
  <c r="G383" i="172"/>
  <c r="J383" i="172"/>
  <c r="A384" i="172"/>
  <c r="D384" i="172"/>
  <c r="E384" i="172"/>
  <c r="S384" i="172" s="1"/>
  <c r="F384" i="172"/>
  <c r="G384" i="172"/>
  <c r="J384" i="172"/>
  <c r="A385" i="172"/>
  <c r="D385" i="172"/>
  <c r="E385" i="172"/>
  <c r="U385" i="172" s="1"/>
  <c r="F385" i="172"/>
  <c r="G385" i="172"/>
  <c r="J385" i="172"/>
  <c r="A386" i="172"/>
  <c r="D386" i="172"/>
  <c r="E386" i="172"/>
  <c r="T386" i="172" s="1"/>
  <c r="F386" i="172"/>
  <c r="G386" i="172"/>
  <c r="J386" i="172"/>
  <c r="A387" i="172"/>
  <c r="D387" i="172"/>
  <c r="E387" i="172"/>
  <c r="V387" i="172" s="1"/>
  <c r="F387" i="172"/>
  <c r="G387" i="172"/>
  <c r="J387" i="172"/>
  <c r="A388" i="172"/>
  <c r="D388" i="172"/>
  <c r="E388" i="172"/>
  <c r="S388" i="172" s="1"/>
  <c r="F388" i="172"/>
  <c r="G388" i="172"/>
  <c r="J388" i="172"/>
  <c r="A389" i="172"/>
  <c r="D389" i="172"/>
  <c r="E389" i="172"/>
  <c r="T389" i="172" s="1"/>
  <c r="F389" i="172"/>
  <c r="G389" i="172"/>
  <c r="J389" i="172"/>
  <c r="A390" i="172"/>
  <c r="D390" i="172"/>
  <c r="E390" i="172"/>
  <c r="T390" i="172" s="1"/>
  <c r="F390" i="172"/>
  <c r="G390" i="172"/>
  <c r="J390" i="172"/>
  <c r="A391" i="172"/>
  <c r="D391" i="172"/>
  <c r="E391" i="172"/>
  <c r="U391" i="172" s="1"/>
  <c r="F391" i="172"/>
  <c r="G391" i="172"/>
  <c r="J391" i="172"/>
  <c r="A392" i="172"/>
  <c r="D392" i="172"/>
  <c r="E392" i="172"/>
  <c r="T392" i="172" s="1"/>
  <c r="F392" i="172"/>
  <c r="G392" i="172"/>
  <c r="J392" i="172"/>
  <c r="A393" i="172"/>
  <c r="D393" i="172"/>
  <c r="E393" i="172"/>
  <c r="U393" i="172" s="1"/>
  <c r="F393" i="172"/>
  <c r="G393" i="172"/>
  <c r="J393" i="172"/>
  <c r="A394" i="172"/>
  <c r="D394" i="172"/>
  <c r="E394" i="172"/>
  <c r="T394" i="172" s="1"/>
  <c r="F394" i="172"/>
  <c r="G394" i="172"/>
  <c r="J394" i="172"/>
  <c r="A395" i="172"/>
  <c r="D395" i="172"/>
  <c r="E395" i="172"/>
  <c r="T395" i="172" s="1"/>
  <c r="F395" i="172"/>
  <c r="G395" i="172"/>
  <c r="J395" i="172"/>
  <c r="S395" i="172"/>
  <c r="A396" i="172"/>
  <c r="D396" i="172"/>
  <c r="E396" i="172"/>
  <c r="S396" i="172" s="1"/>
  <c r="F396" i="172"/>
  <c r="G396" i="172"/>
  <c r="J396" i="172"/>
  <c r="A397" i="172"/>
  <c r="D397" i="172"/>
  <c r="E397" i="172"/>
  <c r="T397" i="172" s="1"/>
  <c r="F397" i="172"/>
  <c r="G397" i="172"/>
  <c r="J397" i="172"/>
  <c r="A398" i="172"/>
  <c r="D398" i="172"/>
  <c r="E398" i="172"/>
  <c r="S398" i="172" s="1"/>
  <c r="F398" i="172"/>
  <c r="G398" i="172"/>
  <c r="J398" i="172"/>
  <c r="A399" i="172"/>
  <c r="D399" i="172"/>
  <c r="E399" i="172"/>
  <c r="S399" i="172" s="1"/>
  <c r="F399" i="172"/>
  <c r="G399" i="172"/>
  <c r="J399" i="172"/>
  <c r="A400" i="172"/>
  <c r="D400" i="172"/>
  <c r="E400" i="172"/>
  <c r="S400" i="172" s="1"/>
  <c r="F400" i="172"/>
  <c r="G400" i="172"/>
  <c r="J400" i="172"/>
  <c r="T400" i="172"/>
  <c r="A401" i="172"/>
  <c r="D401" i="172"/>
  <c r="E401" i="172"/>
  <c r="U401" i="172" s="1"/>
  <c r="F401" i="172"/>
  <c r="G401" i="172"/>
  <c r="J401" i="172"/>
  <c r="A402" i="172"/>
  <c r="D402" i="172"/>
  <c r="E402" i="172"/>
  <c r="T402" i="172" s="1"/>
  <c r="F402" i="172"/>
  <c r="G402" i="172"/>
  <c r="J402" i="172"/>
  <c r="A403" i="172"/>
  <c r="D403" i="172"/>
  <c r="E403" i="172"/>
  <c r="U403" i="172" s="1"/>
  <c r="F403" i="172"/>
  <c r="G403" i="172"/>
  <c r="J403" i="172"/>
  <c r="A404" i="172"/>
  <c r="D404" i="172"/>
  <c r="E404" i="172"/>
  <c r="S404" i="172" s="1"/>
  <c r="F404" i="172"/>
  <c r="G404" i="172"/>
  <c r="J404" i="172"/>
  <c r="A405" i="172"/>
  <c r="D405" i="172"/>
  <c r="E405" i="172"/>
  <c r="T405" i="172" s="1"/>
  <c r="F405" i="172"/>
  <c r="G405" i="172"/>
  <c r="J405" i="172"/>
  <c r="A406" i="172"/>
  <c r="D406" i="172"/>
  <c r="E406" i="172"/>
  <c r="T406" i="172" s="1"/>
  <c r="F406" i="172"/>
  <c r="G406" i="172"/>
  <c r="J406" i="172"/>
  <c r="A407" i="172"/>
  <c r="D407" i="172"/>
  <c r="E407" i="172"/>
  <c r="S407" i="172" s="1"/>
  <c r="F407" i="172"/>
  <c r="G407" i="172"/>
  <c r="J407" i="172"/>
  <c r="A408" i="172"/>
  <c r="D408" i="172"/>
  <c r="E408" i="172"/>
  <c r="T408" i="172" s="1"/>
  <c r="F408" i="172"/>
  <c r="G408" i="172"/>
  <c r="J408" i="172"/>
  <c r="A409" i="172"/>
  <c r="D409" i="172"/>
  <c r="E409" i="172"/>
  <c r="U409" i="172" s="1"/>
  <c r="F409" i="172"/>
  <c r="G409" i="172"/>
  <c r="J409" i="172"/>
  <c r="A410" i="172"/>
  <c r="D410" i="172"/>
  <c r="E410" i="172"/>
  <c r="T410" i="172" s="1"/>
  <c r="F410" i="172"/>
  <c r="G410" i="172"/>
  <c r="J410" i="172"/>
  <c r="A411" i="172"/>
  <c r="D411" i="172"/>
  <c r="E411" i="172"/>
  <c r="V411" i="172" s="1"/>
  <c r="F411" i="172"/>
  <c r="G411" i="172"/>
  <c r="J411" i="172"/>
  <c r="A412" i="172"/>
  <c r="D412" i="172"/>
  <c r="E412" i="172"/>
  <c r="V412" i="172" s="1"/>
  <c r="F412" i="172"/>
  <c r="G412" i="172"/>
  <c r="J412" i="172"/>
  <c r="T412" i="172"/>
  <c r="A413" i="172"/>
  <c r="D413" i="172"/>
  <c r="E413" i="172"/>
  <c r="T413" i="172" s="1"/>
  <c r="F413" i="172"/>
  <c r="G413" i="172"/>
  <c r="J413" i="172"/>
  <c r="A414" i="172"/>
  <c r="D414" i="172"/>
  <c r="E414" i="172"/>
  <c r="S414" i="172" s="1"/>
  <c r="F414" i="172"/>
  <c r="G414" i="172"/>
  <c r="J414" i="172"/>
  <c r="A415" i="172"/>
  <c r="D415" i="172"/>
  <c r="E415" i="172"/>
  <c r="U415" i="172" s="1"/>
  <c r="F415" i="172"/>
  <c r="G415" i="172"/>
  <c r="J415" i="172"/>
  <c r="A416" i="172"/>
  <c r="D416" i="172"/>
  <c r="E416" i="172"/>
  <c r="S416" i="172" s="1"/>
  <c r="F416" i="172"/>
  <c r="G416" i="172"/>
  <c r="J416" i="172"/>
  <c r="A417" i="172"/>
  <c r="D417" i="172"/>
  <c r="E417" i="172"/>
  <c r="U417" i="172" s="1"/>
  <c r="F417" i="172"/>
  <c r="G417" i="172"/>
  <c r="J417" i="172"/>
  <c r="A418" i="172"/>
  <c r="D418" i="172"/>
  <c r="E418" i="172"/>
  <c r="T418" i="172" s="1"/>
  <c r="F418" i="172"/>
  <c r="G418" i="172"/>
  <c r="J418" i="172"/>
  <c r="A419" i="172"/>
  <c r="D419" i="172"/>
  <c r="E419" i="172"/>
  <c r="V419" i="172" s="1"/>
  <c r="F419" i="172"/>
  <c r="G419" i="172"/>
  <c r="J419" i="172"/>
  <c r="A420" i="172"/>
  <c r="D420" i="172"/>
  <c r="E420" i="172"/>
  <c r="S420" i="172" s="1"/>
  <c r="F420" i="172"/>
  <c r="G420" i="172"/>
  <c r="J420" i="172"/>
  <c r="A421" i="172"/>
  <c r="D421" i="172"/>
  <c r="E421" i="172"/>
  <c r="T421" i="172" s="1"/>
  <c r="F421" i="172"/>
  <c r="G421" i="172"/>
  <c r="J421" i="172"/>
  <c r="A422" i="172"/>
  <c r="D422" i="172"/>
  <c r="E422" i="172"/>
  <c r="T422" i="172" s="1"/>
  <c r="F422" i="172"/>
  <c r="G422" i="172"/>
  <c r="J422" i="172"/>
  <c r="A423" i="172"/>
  <c r="D423" i="172"/>
  <c r="E423" i="172"/>
  <c r="S423" i="172" s="1"/>
  <c r="F423" i="172"/>
  <c r="G423" i="172"/>
  <c r="J423" i="172"/>
  <c r="U423" i="172"/>
  <c r="A424" i="172"/>
  <c r="D424" i="172"/>
  <c r="E424" i="172"/>
  <c r="T424" i="172" s="1"/>
  <c r="F424" i="172"/>
  <c r="G424" i="172"/>
  <c r="J424" i="172"/>
  <c r="A425" i="172"/>
  <c r="D425" i="172"/>
  <c r="E425" i="172"/>
  <c r="U425" i="172" s="1"/>
  <c r="F425" i="172"/>
  <c r="G425" i="172"/>
  <c r="J425" i="172"/>
  <c r="A426" i="172"/>
  <c r="D426" i="172"/>
  <c r="E426" i="172"/>
  <c r="T426" i="172" s="1"/>
  <c r="F426" i="172"/>
  <c r="G426" i="172"/>
  <c r="J426" i="172"/>
  <c r="A427" i="172"/>
  <c r="D427" i="172"/>
  <c r="E427" i="172"/>
  <c r="V427" i="172" s="1"/>
  <c r="F427" i="172"/>
  <c r="G427" i="172"/>
  <c r="J427" i="172"/>
  <c r="A428" i="172"/>
  <c r="D428" i="172"/>
  <c r="E428" i="172"/>
  <c r="V428" i="172" s="1"/>
  <c r="F428" i="172"/>
  <c r="G428" i="172"/>
  <c r="J428" i="172"/>
  <c r="T428" i="172"/>
  <c r="A429" i="172"/>
  <c r="D429" i="172"/>
  <c r="E429" i="172"/>
  <c r="T429" i="172" s="1"/>
  <c r="F429" i="172"/>
  <c r="G429" i="172"/>
  <c r="J429" i="172"/>
  <c r="A430" i="172"/>
  <c r="D430" i="172"/>
  <c r="E430" i="172"/>
  <c r="T430" i="172" s="1"/>
  <c r="F430" i="172"/>
  <c r="G430" i="172"/>
  <c r="J430" i="172"/>
  <c r="A431" i="172"/>
  <c r="D431" i="172"/>
  <c r="E431" i="172"/>
  <c r="T431" i="172" s="1"/>
  <c r="F431" i="172"/>
  <c r="G431" i="172"/>
  <c r="J431" i="172"/>
  <c r="A432" i="172"/>
  <c r="D432" i="172"/>
  <c r="E432" i="172"/>
  <c r="T432" i="172" s="1"/>
  <c r="F432" i="172"/>
  <c r="G432" i="172"/>
  <c r="J432" i="172"/>
  <c r="A433" i="172"/>
  <c r="D433" i="172"/>
  <c r="E433" i="172"/>
  <c r="U433" i="172" s="1"/>
  <c r="F433" i="172"/>
  <c r="G433" i="172"/>
  <c r="J433" i="172"/>
  <c r="A434" i="172"/>
  <c r="D434" i="172"/>
  <c r="E434" i="172"/>
  <c r="T434" i="172" s="1"/>
  <c r="F434" i="172"/>
  <c r="G434" i="172"/>
  <c r="J434" i="172"/>
  <c r="A435" i="172"/>
  <c r="D435" i="172"/>
  <c r="E435" i="172"/>
  <c r="S435" i="172" s="1"/>
  <c r="F435" i="172"/>
  <c r="G435" i="172"/>
  <c r="J435" i="172"/>
  <c r="A436" i="172"/>
  <c r="D436" i="172"/>
  <c r="E436" i="172"/>
  <c r="U436" i="172" s="1"/>
  <c r="F436" i="172"/>
  <c r="G436" i="172"/>
  <c r="J436" i="172"/>
  <c r="T436" i="172"/>
  <c r="A437" i="172"/>
  <c r="D437" i="172"/>
  <c r="E437" i="172"/>
  <c r="T437" i="172" s="1"/>
  <c r="F437" i="172"/>
  <c r="G437" i="172"/>
  <c r="J437" i="172"/>
  <c r="A438" i="172"/>
  <c r="D438" i="172"/>
  <c r="E438" i="172"/>
  <c r="S438" i="172" s="1"/>
  <c r="F438" i="172"/>
  <c r="G438" i="172"/>
  <c r="J438" i="172"/>
  <c r="A439" i="172"/>
  <c r="D439" i="172"/>
  <c r="E439" i="172"/>
  <c r="F439" i="172"/>
  <c r="G439" i="172"/>
  <c r="J439" i="172"/>
  <c r="A440" i="172"/>
  <c r="D440" i="172"/>
  <c r="E440" i="172"/>
  <c r="S440" i="172" s="1"/>
  <c r="F440" i="172"/>
  <c r="G440" i="172"/>
  <c r="J440" i="172"/>
  <c r="A441" i="172"/>
  <c r="D441" i="172"/>
  <c r="E441" i="172"/>
  <c r="U441" i="172" s="1"/>
  <c r="F441" i="172"/>
  <c r="G441" i="172"/>
  <c r="J441" i="172"/>
  <c r="A442" i="172"/>
  <c r="D442" i="172"/>
  <c r="E442" i="172"/>
  <c r="T442" i="172" s="1"/>
  <c r="F442" i="172"/>
  <c r="G442" i="172"/>
  <c r="J442" i="172"/>
  <c r="A443" i="172"/>
  <c r="D443" i="172"/>
  <c r="E443" i="172"/>
  <c r="V443" i="172" s="1"/>
  <c r="F443" i="172"/>
  <c r="G443" i="172"/>
  <c r="J443" i="172"/>
  <c r="A444" i="172"/>
  <c r="D444" i="172"/>
  <c r="E444" i="172"/>
  <c r="T444" i="172" s="1"/>
  <c r="F444" i="172"/>
  <c r="G444" i="172"/>
  <c r="J444" i="172"/>
  <c r="A445" i="172"/>
  <c r="D445" i="172"/>
  <c r="E445" i="172"/>
  <c r="T445" i="172" s="1"/>
  <c r="F445" i="172"/>
  <c r="G445" i="172"/>
  <c r="J445" i="172"/>
  <c r="A446" i="172"/>
  <c r="D446" i="172"/>
  <c r="E446" i="172"/>
  <c r="S446" i="172" s="1"/>
  <c r="F446" i="172"/>
  <c r="G446" i="172"/>
  <c r="J446" i="172"/>
  <c r="A447" i="172"/>
  <c r="D447" i="172"/>
  <c r="E447" i="172"/>
  <c r="F447" i="172"/>
  <c r="G447" i="172"/>
  <c r="J447" i="172"/>
  <c r="U447" i="172"/>
  <c r="A448" i="172"/>
  <c r="D448" i="172"/>
  <c r="E448" i="172"/>
  <c r="S448" i="172" s="1"/>
  <c r="F448" i="172"/>
  <c r="G448" i="172"/>
  <c r="J448" i="172"/>
  <c r="A449" i="172"/>
  <c r="D449" i="172"/>
  <c r="E449" i="172"/>
  <c r="U449" i="172" s="1"/>
  <c r="F449" i="172"/>
  <c r="G449" i="172"/>
  <c r="J449" i="172"/>
  <c r="A450" i="172"/>
  <c r="D450" i="172"/>
  <c r="E450" i="172"/>
  <c r="T450" i="172" s="1"/>
  <c r="F450" i="172"/>
  <c r="G450" i="172"/>
  <c r="J450" i="172"/>
  <c r="A451" i="172"/>
  <c r="D451" i="172"/>
  <c r="E451" i="172"/>
  <c r="V451" i="172" s="1"/>
  <c r="F451" i="172"/>
  <c r="G451" i="172"/>
  <c r="J451" i="172"/>
  <c r="A452" i="172"/>
  <c r="D452" i="172"/>
  <c r="E452" i="172"/>
  <c r="T452" i="172" s="1"/>
  <c r="F452" i="172"/>
  <c r="G452" i="172"/>
  <c r="J452" i="172"/>
  <c r="A453" i="172"/>
  <c r="D453" i="172"/>
  <c r="E453" i="172"/>
  <c r="T453" i="172" s="1"/>
  <c r="F453" i="172"/>
  <c r="G453" i="172"/>
  <c r="J453" i="172"/>
  <c r="A454" i="172"/>
  <c r="D454" i="172"/>
  <c r="E454" i="172"/>
  <c r="V454" i="172" s="1"/>
  <c r="F454" i="172"/>
  <c r="G454" i="172"/>
  <c r="J454" i="172"/>
  <c r="A455" i="172"/>
  <c r="D455" i="172"/>
  <c r="E455" i="172"/>
  <c r="T455" i="172" s="1"/>
  <c r="F455" i="172"/>
  <c r="G455" i="172"/>
  <c r="J455" i="172"/>
  <c r="A456" i="172"/>
  <c r="D456" i="172"/>
  <c r="E456" i="172"/>
  <c r="S456" i="172" s="1"/>
  <c r="F456" i="172"/>
  <c r="G456" i="172"/>
  <c r="J456" i="172"/>
  <c r="A457" i="172"/>
  <c r="D457" i="172"/>
  <c r="E457" i="172"/>
  <c r="V457" i="172" s="1"/>
  <c r="F457" i="172"/>
  <c r="G457" i="172"/>
  <c r="J457" i="172"/>
  <c r="A458" i="172"/>
  <c r="D458" i="172"/>
  <c r="E458" i="172"/>
  <c r="V458" i="172" s="1"/>
  <c r="F458" i="172"/>
  <c r="G458" i="172"/>
  <c r="J458" i="172"/>
  <c r="A459" i="172"/>
  <c r="D459" i="172"/>
  <c r="E459" i="172"/>
  <c r="T459" i="172" s="1"/>
  <c r="F459" i="172"/>
  <c r="G459" i="172"/>
  <c r="J459" i="172"/>
  <c r="A460" i="172"/>
  <c r="D460" i="172"/>
  <c r="E460" i="172"/>
  <c r="S460" i="172" s="1"/>
  <c r="F460" i="172"/>
  <c r="G460" i="172"/>
  <c r="J460" i="172"/>
  <c r="A461" i="172"/>
  <c r="D461" i="172"/>
  <c r="E461" i="172"/>
  <c r="V461" i="172" s="1"/>
  <c r="F461" i="172"/>
  <c r="G461" i="172"/>
  <c r="J461" i="172"/>
  <c r="A462" i="172"/>
  <c r="D462" i="172"/>
  <c r="E462" i="172"/>
  <c r="V462" i="172" s="1"/>
  <c r="F462" i="172"/>
  <c r="G462" i="172"/>
  <c r="J462" i="172"/>
  <c r="A463" i="172"/>
  <c r="D463" i="172"/>
  <c r="E463" i="172"/>
  <c r="V463" i="172" s="1"/>
  <c r="F463" i="172"/>
  <c r="G463" i="172"/>
  <c r="J463" i="172"/>
  <c r="A464" i="172"/>
  <c r="D464" i="172"/>
  <c r="E464" i="172"/>
  <c r="S464" i="172" s="1"/>
  <c r="F464" i="172"/>
  <c r="G464" i="172"/>
  <c r="J464" i="172"/>
  <c r="A465" i="172"/>
  <c r="D465" i="172"/>
  <c r="E465" i="172"/>
  <c r="U465" i="172" s="1"/>
  <c r="F465" i="172"/>
  <c r="G465" i="172"/>
  <c r="J465" i="172"/>
  <c r="A466" i="172"/>
  <c r="D466" i="172"/>
  <c r="E466" i="172"/>
  <c r="F466" i="172"/>
  <c r="G466" i="172"/>
  <c r="J466" i="172"/>
  <c r="A467" i="172"/>
  <c r="D467" i="172"/>
  <c r="E467" i="172"/>
  <c r="V467" i="172" s="1"/>
  <c r="F467" i="172"/>
  <c r="G467" i="172"/>
  <c r="J467" i="172"/>
  <c r="A468" i="172"/>
  <c r="D468" i="172"/>
  <c r="E468" i="172"/>
  <c r="S468" i="172" s="1"/>
  <c r="F468" i="172"/>
  <c r="G468" i="172"/>
  <c r="J468" i="172"/>
  <c r="A469" i="172"/>
  <c r="D469" i="172"/>
  <c r="E469" i="172"/>
  <c r="U469" i="172" s="1"/>
  <c r="F469" i="172"/>
  <c r="G469" i="172"/>
  <c r="J469" i="172"/>
  <c r="A470" i="172"/>
  <c r="D470" i="172"/>
  <c r="E470" i="172"/>
  <c r="V470" i="172" s="1"/>
  <c r="F470" i="172"/>
  <c r="G470" i="172"/>
  <c r="J470" i="172"/>
  <c r="A471" i="172"/>
  <c r="D471" i="172"/>
  <c r="E471" i="172"/>
  <c r="F471" i="172"/>
  <c r="G471" i="172"/>
  <c r="J471" i="172"/>
  <c r="A472" i="172"/>
  <c r="D472" i="172"/>
  <c r="E472" i="172"/>
  <c r="T472" i="172" s="1"/>
  <c r="F472" i="172"/>
  <c r="G472" i="172"/>
  <c r="J472" i="172"/>
  <c r="A473" i="172"/>
  <c r="D473" i="172"/>
  <c r="E473" i="172"/>
  <c r="S473" i="172" s="1"/>
  <c r="F473" i="172"/>
  <c r="G473" i="172"/>
  <c r="J473" i="172"/>
  <c r="A474" i="172"/>
  <c r="D474" i="172"/>
  <c r="E474" i="172"/>
  <c r="V474" i="172" s="1"/>
  <c r="F474" i="172"/>
  <c r="G474" i="172"/>
  <c r="J474" i="172"/>
  <c r="A475" i="172"/>
  <c r="D475" i="172"/>
  <c r="E475" i="172"/>
  <c r="S475" i="172" s="1"/>
  <c r="F475" i="172"/>
  <c r="G475" i="172"/>
  <c r="J475" i="172"/>
  <c r="A476" i="172"/>
  <c r="D476" i="172"/>
  <c r="E476" i="172"/>
  <c r="S476" i="172" s="1"/>
  <c r="F476" i="172"/>
  <c r="G476" i="172"/>
  <c r="J476" i="172"/>
  <c r="A477" i="172"/>
  <c r="D477" i="172"/>
  <c r="E477" i="172"/>
  <c r="U477" i="172" s="1"/>
  <c r="F477" i="172"/>
  <c r="G477" i="172"/>
  <c r="J477" i="172"/>
  <c r="A478" i="172"/>
  <c r="D478" i="172"/>
  <c r="E478" i="172"/>
  <c r="V478" i="172" s="1"/>
  <c r="F478" i="172"/>
  <c r="G478" i="172"/>
  <c r="J478" i="172"/>
  <c r="A479" i="172"/>
  <c r="D479" i="172"/>
  <c r="E479" i="172"/>
  <c r="T479" i="172" s="1"/>
  <c r="F479" i="172"/>
  <c r="G479" i="172"/>
  <c r="J479" i="172"/>
  <c r="A480" i="172"/>
  <c r="D480" i="172"/>
  <c r="E480" i="172"/>
  <c r="T480" i="172" s="1"/>
  <c r="F480" i="172"/>
  <c r="G480" i="172"/>
  <c r="J480" i="172"/>
  <c r="A481" i="172"/>
  <c r="D481" i="172"/>
  <c r="E481" i="172"/>
  <c r="F481" i="172"/>
  <c r="G481" i="172"/>
  <c r="J481" i="172"/>
  <c r="A482" i="172"/>
  <c r="D482" i="172"/>
  <c r="E482" i="172"/>
  <c r="F482" i="172"/>
  <c r="G482" i="172"/>
  <c r="J482" i="172"/>
  <c r="A483" i="172"/>
  <c r="D483" i="172"/>
  <c r="E483" i="172"/>
  <c r="V483" i="172" s="1"/>
  <c r="F483" i="172"/>
  <c r="G483" i="172"/>
  <c r="J483" i="172"/>
  <c r="A484" i="172"/>
  <c r="D484" i="172"/>
  <c r="E484" i="172"/>
  <c r="T484" i="172" s="1"/>
  <c r="F484" i="172"/>
  <c r="G484" i="172"/>
  <c r="J484" i="172"/>
  <c r="A485" i="172"/>
  <c r="D485" i="172"/>
  <c r="E485" i="172"/>
  <c r="T485" i="172" s="1"/>
  <c r="F485" i="172"/>
  <c r="G485" i="172"/>
  <c r="J485" i="172"/>
  <c r="A486" i="172"/>
  <c r="D486" i="172"/>
  <c r="E486" i="172"/>
  <c r="V486" i="172" s="1"/>
  <c r="F486" i="172"/>
  <c r="G486" i="172"/>
  <c r="J486" i="172"/>
  <c r="A487" i="172"/>
  <c r="D487" i="172"/>
  <c r="E487" i="172"/>
  <c r="T487" i="172" s="1"/>
  <c r="F487" i="172"/>
  <c r="G487" i="172"/>
  <c r="J487" i="172"/>
  <c r="A488" i="172"/>
  <c r="D488" i="172"/>
  <c r="E488" i="172"/>
  <c r="S488" i="172" s="1"/>
  <c r="F488" i="172"/>
  <c r="G488" i="172"/>
  <c r="J488" i="172"/>
  <c r="A489" i="172"/>
  <c r="D489" i="172"/>
  <c r="E489" i="172"/>
  <c r="T489" i="172" s="1"/>
  <c r="F489" i="172"/>
  <c r="G489" i="172"/>
  <c r="J489" i="172"/>
  <c r="A490" i="172"/>
  <c r="D490" i="172"/>
  <c r="E490" i="172"/>
  <c r="S490" i="172" s="1"/>
  <c r="F490" i="172"/>
  <c r="G490" i="172"/>
  <c r="J490" i="172"/>
  <c r="A491" i="172"/>
  <c r="D491" i="172"/>
  <c r="E491" i="172"/>
  <c r="F491" i="172"/>
  <c r="G491" i="172"/>
  <c r="J491" i="172"/>
  <c r="A492" i="172"/>
  <c r="D492" i="172"/>
  <c r="E492" i="172"/>
  <c r="F492" i="172"/>
  <c r="G492" i="172"/>
  <c r="J492" i="172"/>
  <c r="A493" i="172"/>
  <c r="D493" i="172"/>
  <c r="E493" i="172"/>
  <c r="T493" i="172" s="1"/>
  <c r="F493" i="172"/>
  <c r="G493" i="172"/>
  <c r="J493" i="172"/>
  <c r="A494" i="172"/>
  <c r="D494" i="172"/>
  <c r="E494" i="172"/>
  <c r="S494" i="172" s="1"/>
  <c r="F494" i="172"/>
  <c r="G494" i="172"/>
  <c r="J494" i="172"/>
  <c r="A495" i="172"/>
  <c r="D495" i="172"/>
  <c r="E495" i="172"/>
  <c r="T495" i="172" s="1"/>
  <c r="F495" i="172"/>
  <c r="G495" i="172"/>
  <c r="J495" i="172"/>
  <c r="A496" i="172"/>
  <c r="D496" i="172"/>
  <c r="E496" i="172"/>
  <c r="F496" i="172"/>
  <c r="G496" i="172"/>
  <c r="J496" i="172"/>
  <c r="A497" i="172"/>
  <c r="D497" i="172"/>
  <c r="E497" i="172"/>
  <c r="T497" i="172" s="1"/>
  <c r="F497" i="172"/>
  <c r="G497" i="172"/>
  <c r="J497" i="172"/>
  <c r="A498" i="172"/>
  <c r="D498" i="172"/>
  <c r="E498" i="172"/>
  <c r="S498" i="172" s="1"/>
  <c r="F498" i="172"/>
  <c r="G498" i="172"/>
  <c r="J498" i="172"/>
  <c r="A499" i="172"/>
  <c r="D499" i="172"/>
  <c r="E499" i="172"/>
  <c r="F499" i="172"/>
  <c r="G499" i="172"/>
  <c r="J499" i="172"/>
  <c r="A500" i="172"/>
  <c r="D500" i="172"/>
  <c r="E500" i="172"/>
  <c r="S500" i="172" s="1"/>
  <c r="F500" i="172"/>
  <c r="G500" i="172"/>
  <c r="J500" i="172"/>
  <c r="A501" i="172"/>
  <c r="D501" i="172"/>
  <c r="E501" i="172"/>
  <c r="T501" i="172" s="1"/>
  <c r="F501" i="172"/>
  <c r="G501" i="172"/>
  <c r="J501" i="172"/>
  <c r="A502" i="172"/>
  <c r="D502" i="172"/>
  <c r="E502" i="172"/>
  <c r="U502" i="172" s="1"/>
  <c r="F502" i="172"/>
  <c r="G502" i="172"/>
  <c r="J502" i="172"/>
  <c r="A503" i="172"/>
  <c r="D503" i="172"/>
  <c r="E503" i="172"/>
  <c r="S503" i="172" s="1"/>
  <c r="F503" i="172"/>
  <c r="G503" i="172"/>
  <c r="J503" i="172"/>
  <c r="A504" i="172"/>
  <c r="D504" i="172"/>
  <c r="E504" i="172"/>
  <c r="U504" i="172" s="1"/>
  <c r="F504" i="172"/>
  <c r="G504" i="172"/>
  <c r="J504" i="172"/>
  <c r="A505" i="172"/>
  <c r="D505" i="172"/>
  <c r="E505" i="172"/>
  <c r="S505" i="172" s="1"/>
  <c r="F505" i="172"/>
  <c r="G505" i="172"/>
  <c r="J505" i="172"/>
  <c r="A506" i="172"/>
  <c r="D506" i="172"/>
  <c r="E506" i="172"/>
  <c r="U506" i="172" s="1"/>
  <c r="F506" i="172"/>
  <c r="G506" i="172"/>
  <c r="J506" i="172"/>
  <c r="A507" i="172"/>
  <c r="D507" i="172"/>
  <c r="E507" i="172"/>
  <c r="S507" i="172" s="1"/>
  <c r="F507" i="172"/>
  <c r="G507" i="172"/>
  <c r="J507" i="172"/>
  <c r="A508" i="172"/>
  <c r="D508" i="172"/>
  <c r="E508" i="172"/>
  <c r="F508" i="172"/>
  <c r="G508" i="172"/>
  <c r="J508" i="172"/>
  <c r="U508" i="172"/>
  <c r="A509" i="172"/>
  <c r="D509" i="172"/>
  <c r="E509" i="172"/>
  <c r="S509" i="172" s="1"/>
  <c r="F509" i="172"/>
  <c r="G509" i="172"/>
  <c r="J509" i="172"/>
  <c r="A510" i="172"/>
  <c r="D510" i="172"/>
  <c r="E510" i="172"/>
  <c r="U510" i="172" s="1"/>
  <c r="F510" i="172"/>
  <c r="G510" i="172"/>
  <c r="J510" i="172"/>
  <c r="A511" i="172"/>
  <c r="D511" i="172"/>
  <c r="E511" i="172"/>
  <c r="S511" i="172" s="1"/>
  <c r="F511" i="172"/>
  <c r="G511" i="172"/>
  <c r="J511" i="172"/>
  <c r="A512" i="172"/>
  <c r="D512" i="172"/>
  <c r="E512" i="172"/>
  <c r="U512" i="172" s="1"/>
  <c r="F512" i="172"/>
  <c r="G512" i="172"/>
  <c r="J512" i="172"/>
  <c r="A513" i="172"/>
  <c r="D513" i="172"/>
  <c r="E513" i="172"/>
  <c r="S513" i="172" s="1"/>
  <c r="F513" i="172"/>
  <c r="G513" i="172"/>
  <c r="J513" i="172"/>
  <c r="A514" i="172"/>
  <c r="D514" i="172"/>
  <c r="E514" i="172"/>
  <c r="U514" i="172" s="1"/>
  <c r="F514" i="172"/>
  <c r="G514" i="172"/>
  <c r="J514" i="172"/>
  <c r="A515" i="172"/>
  <c r="D515" i="172"/>
  <c r="E515" i="172"/>
  <c r="S515" i="172" s="1"/>
  <c r="F515" i="172"/>
  <c r="G515" i="172"/>
  <c r="J515" i="172"/>
  <c r="A516" i="172"/>
  <c r="D516" i="172"/>
  <c r="E516" i="172"/>
  <c r="U516" i="172" s="1"/>
  <c r="F516" i="172"/>
  <c r="G516" i="172"/>
  <c r="J516" i="172"/>
  <c r="A517" i="172"/>
  <c r="D517" i="172"/>
  <c r="E517" i="172"/>
  <c r="S517" i="172" s="1"/>
  <c r="F517" i="172"/>
  <c r="G517" i="172"/>
  <c r="J517" i="172"/>
  <c r="A518" i="172"/>
  <c r="D518" i="172"/>
  <c r="E518" i="172"/>
  <c r="U518" i="172" s="1"/>
  <c r="F518" i="172"/>
  <c r="G518" i="172"/>
  <c r="J518" i="172"/>
  <c r="A519" i="172"/>
  <c r="D519" i="172"/>
  <c r="E519" i="172"/>
  <c r="S519" i="172" s="1"/>
  <c r="F519" i="172"/>
  <c r="G519" i="172"/>
  <c r="J519" i="172"/>
  <c r="A520" i="172"/>
  <c r="D520" i="172"/>
  <c r="E520" i="172"/>
  <c r="U520" i="172" s="1"/>
  <c r="F520" i="172"/>
  <c r="G520" i="172"/>
  <c r="J520" i="172"/>
  <c r="A521" i="172"/>
  <c r="D521" i="172"/>
  <c r="E521" i="172"/>
  <c r="S521" i="172" s="1"/>
  <c r="F521" i="172"/>
  <c r="G521" i="172"/>
  <c r="J521" i="172"/>
  <c r="A522" i="172"/>
  <c r="D522" i="172"/>
  <c r="E522" i="172"/>
  <c r="U522" i="172" s="1"/>
  <c r="F522" i="172"/>
  <c r="G522" i="172"/>
  <c r="J522" i="172"/>
  <c r="A523" i="172"/>
  <c r="D523" i="172"/>
  <c r="E523" i="172"/>
  <c r="S523" i="172" s="1"/>
  <c r="F523" i="172"/>
  <c r="G523" i="172"/>
  <c r="J523" i="172"/>
  <c r="A524" i="172"/>
  <c r="D524" i="172"/>
  <c r="E524" i="172"/>
  <c r="U524" i="172" s="1"/>
  <c r="F524" i="172"/>
  <c r="G524" i="172"/>
  <c r="J524" i="172"/>
  <c r="A525" i="172"/>
  <c r="D525" i="172"/>
  <c r="E525" i="172"/>
  <c r="S525" i="172" s="1"/>
  <c r="F525" i="172"/>
  <c r="G525" i="172"/>
  <c r="J525" i="172"/>
  <c r="A526" i="172"/>
  <c r="D526" i="172"/>
  <c r="E526" i="172"/>
  <c r="U526" i="172" s="1"/>
  <c r="F526" i="172"/>
  <c r="G526" i="172"/>
  <c r="J526" i="172"/>
  <c r="A527" i="172"/>
  <c r="D527" i="172"/>
  <c r="E527" i="172"/>
  <c r="S527" i="172" s="1"/>
  <c r="F527" i="172"/>
  <c r="G527" i="172"/>
  <c r="J527" i="172"/>
  <c r="A528" i="172"/>
  <c r="D528" i="172"/>
  <c r="E528" i="172"/>
  <c r="U528" i="172" s="1"/>
  <c r="F528" i="172"/>
  <c r="G528" i="172"/>
  <c r="J528" i="172"/>
  <c r="A529" i="172"/>
  <c r="D529" i="172"/>
  <c r="E529" i="172"/>
  <c r="S529" i="172" s="1"/>
  <c r="F529" i="172"/>
  <c r="G529" i="172"/>
  <c r="J529" i="172"/>
  <c r="A530" i="172"/>
  <c r="D530" i="172"/>
  <c r="E530" i="172"/>
  <c r="U530" i="172" s="1"/>
  <c r="F530" i="172"/>
  <c r="G530" i="172"/>
  <c r="J530" i="172"/>
  <c r="A531" i="172"/>
  <c r="D531" i="172"/>
  <c r="E531" i="172"/>
  <c r="S531" i="172" s="1"/>
  <c r="F531" i="172"/>
  <c r="G531" i="172"/>
  <c r="J531" i="172"/>
  <c r="A532" i="172"/>
  <c r="D532" i="172"/>
  <c r="E532" i="172"/>
  <c r="U532" i="172" s="1"/>
  <c r="F532" i="172"/>
  <c r="G532" i="172"/>
  <c r="J532" i="172"/>
  <c r="A533" i="172"/>
  <c r="D533" i="172"/>
  <c r="E533" i="172"/>
  <c r="S533" i="172" s="1"/>
  <c r="F533" i="172"/>
  <c r="G533" i="172"/>
  <c r="J533" i="172"/>
  <c r="A534" i="172"/>
  <c r="D534" i="172"/>
  <c r="E534" i="172"/>
  <c r="U534" i="172" s="1"/>
  <c r="F534" i="172"/>
  <c r="G534" i="172"/>
  <c r="J534" i="172"/>
  <c r="A535" i="172"/>
  <c r="D535" i="172"/>
  <c r="E535" i="172"/>
  <c r="S535" i="172" s="1"/>
  <c r="F535" i="172"/>
  <c r="G535" i="172"/>
  <c r="J535" i="172"/>
  <c r="A536" i="172"/>
  <c r="D536" i="172"/>
  <c r="E536" i="172"/>
  <c r="U536" i="172" s="1"/>
  <c r="F536" i="172"/>
  <c r="G536" i="172"/>
  <c r="J536" i="172"/>
  <c r="A537" i="172"/>
  <c r="D537" i="172"/>
  <c r="E537" i="172"/>
  <c r="S537" i="172" s="1"/>
  <c r="F537" i="172"/>
  <c r="G537" i="172"/>
  <c r="J537" i="172"/>
  <c r="A538" i="172"/>
  <c r="D538" i="172"/>
  <c r="E538" i="172"/>
  <c r="U538" i="172" s="1"/>
  <c r="F538" i="172"/>
  <c r="G538" i="172"/>
  <c r="J538" i="172"/>
  <c r="A539" i="172"/>
  <c r="D539" i="172"/>
  <c r="E539" i="172"/>
  <c r="S539" i="172" s="1"/>
  <c r="F539" i="172"/>
  <c r="G539" i="172"/>
  <c r="J539" i="172"/>
  <c r="A540" i="172"/>
  <c r="D540" i="172"/>
  <c r="E540" i="172"/>
  <c r="F540" i="172"/>
  <c r="G540" i="172"/>
  <c r="J540" i="172"/>
  <c r="U540" i="172"/>
  <c r="A541" i="172"/>
  <c r="D541" i="172"/>
  <c r="E541" i="172"/>
  <c r="S541" i="172" s="1"/>
  <c r="F541" i="172"/>
  <c r="G541" i="172"/>
  <c r="J541" i="172"/>
  <c r="A542" i="172"/>
  <c r="D542" i="172"/>
  <c r="E542" i="172"/>
  <c r="U542" i="172" s="1"/>
  <c r="F542" i="172"/>
  <c r="G542" i="172"/>
  <c r="J542" i="172"/>
  <c r="A543" i="172"/>
  <c r="D543" i="172"/>
  <c r="E543" i="172"/>
  <c r="S543" i="172" s="1"/>
  <c r="F543" i="172"/>
  <c r="G543" i="172"/>
  <c r="J543" i="172"/>
  <c r="A544" i="172"/>
  <c r="D544" i="172"/>
  <c r="E544" i="172"/>
  <c r="U544" i="172" s="1"/>
  <c r="F544" i="172"/>
  <c r="G544" i="172"/>
  <c r="J544" i="172"/>
  <c r="A545" i="172"/>
  <c r="D545" i="172"/>
  <c r="E545" i="172"/>
  <c r="S545" i="172" s="1"/>
  <c r="F545" i="172"/>
  <c r="G545" i="172"/>
  <c r="J545" i="172"/>
  <c r="A546" i="172"/>
  <c r="D546" i="172"/>
  <c r="E546" i="172"/>
  <c r="U546" i="172" s="1"/>
  <c r="F546" i="172"/>
  <c r="G546" i="172"/>
  <c r="J546" i="172"/>
  <c r="A547" i="172"/>
  <c r="D547" i="172"/>
  <c r="E547" i="172"/>
  <c r="S547" i="172" s="1"/>
  <c r="F547" i="172"/>
  <c r="G547" i="172"/>
  <c r="J547" i="172"/>
  <c r="A548" i="172"/>
  <c r="D548" i="172"/>
  <c r="E548" i="172"/>
  <c r="U548" i="172" s="1"/>
  <c r="F548" i="172"/>
  <c r="G548" i="172"/>
  <c r="J548" i="172"/>
  <c r="A549" i="172"/>
  <c r="D549" i="172"/>
  <c r="E549" i="172"/>
  <c r="S549" i="172" s="1"/>
  <c r="F549" i="172"/>
  <c r="G549" i="172"/>
  <c r="J549" i="172"/>
  <c r="A550" i="172"/>
  <c r="D550" i="172"/>
  <c r="E550" i="172"/>
  <c r="U550" i="172" s="1"/>
  <c r="F550" i="172"/>
  <c r="G550" i="172"/>
  <c r="J550" i="172"/>
  <c r="A551" i="172"/>
  <c r="D551" i="172"/>
  <c r="E551" i="172"/>
  <c r="S551" i="172" s="1"/>
  <c r="F551" i="172"/>
  <c r="G551" i="172"/>
  <c r="J551" i="172"/>
  <c r="A552" i="172"/>
  <c r="D552" i="172"/>
  <c r="E552" i="172"/>
  <c r="U552" i="172" s="1"/>
  <c r="F552" i="172"/>
  <c r="G552" i="172"/>
  <c r="J552" i="172"/>
  <c r="A553" i="172"/>
  <c r="D553" i="172"/>
  <c r="E553" i="172"/>
  <c r="S553" i="172" s="1"/>
  <c r="F553" i="172"/>
  <c r="G553" i="172"/>
  <c r="J553" i="172"/>
  <c r="A554" i="172"/>
  <c r="D554" i="172"/>
  <c r="E554" i="172"/>
  <c r="U554" i="172" s="1"/>
  <c r="F554" i="172"/>
  <c r="G554" i="172"/>
  <c r="J554" i="172"/>
  <c r="A555" i="172"/>
  <c r="D555" i="172"/>
  <c r="E555" i="172"/>
  <c r="S555" i="172" s="1"/>
  <c r="F555" i="172"/>
  <c r="G555" i="172"/>
  <c r="J555" i="172"/>
  <c r="A556" i="172"/>
  <c r="D556" i="172"/>
  <c r="E556" i="172"/>
  <c r="U556" i="172" s="1"/>
  <c r="F556" i="172"/>
  <c r="G556" i="172"/>
  <c r="J556" i="172"/>
  <c r="A557" i="172"/>
  <c r="D557" i="172"/>
  <c r="E557" i="172"/>
  <c r="S557" i="172" s="1"/>
  <c r="F557" i="172"/>
  <c r="G557" i="172"/>
  <c r="J557" i="172"/>
  <c r="A558" i="172"/>
  <c r="D558" i="172"/>
  <c r="E558" i="172"/>
  <c r="U558" i="172" s="1"/>
  <c r="F558" i="172"/>
  <c r="G558" i="172"/>
  <c r="J558" i="172"/>
  <c r="A559" i="172"/>
  <c r="D559" i="172"/>
  <c r="E559" i="172"/>
  <c r="S559" i="172" s="1"/>
  <c r="F559" i="172"/>
  <c r="G559" i="172"/>
  <c r="J559" i="172"/>
  <c r="A560" i="172"/>
  <c r="D560" i="172"/>
  <c r="E560" i="172"/>
  <c r="U560" i="172" s="1"/>
  <c r="F560" i="172"/>
  <c r="G560" i="172"/>
  <c r="J560" i="172"/>
  <c r="A561" i="172"/>
  <c r="D561" i="172"/>
  <c r="E561" i="172"/>
  <c r="S561" i="172" s="1"/>
  <c r="F561" i="172"/>
  <c r="G561" i="172"/>
  <c r="J561" i="172"/>
  <c r="A562" i="172"/>
  <c r="D562" i="172"/>
  <c r="E562" i="172"/>
  <c r="F562" i="172"/>
  <c r="G562" i="172"/>
  <c r="J562" i="172"/>
  <c r="A563" i="172"/>
  <c r="D563" i="172"/>
  <c r="E563" i="172"/>
  <c r="V563" i="172" s="1"/>
  <c r="F563" i="172"/>
  <c r="G563" i="172"/>
  <c r="J563" i="172"/>
  <c r="A564" i="172"/>
  <c r="D564" i="172"/>
  <c r="E564" i="172"/>
  <c r="U564" i="172" s="1"/>
  <c r="F564" i="172"/>
  <c r="G564" i="172"/>
  <c r="J564" i="172"/>
  <c r="A565" i="172"/>
  <c r="D565" i="172"/>
  <c r="E565" i="172"/>
  <c r="U565" i="172" s="1"/>
  <c r="F565" i="172"/>
  <c r="G565" i="172"/>
  <c r="J565" i="172"/>
  <c r="S565" i="172"/>
  <c r="A566" i="172"/>
  <c r="D566" i="172"/>
  <c r="E566" i="172"/>
  <c r="F566" i="172"/>
  <c r="G566" i="172"/>
  <c r="J566" i="172"/>
  <c r="A567" i="172"/>
  <c r="D567" i="172"/>
  <c r="E567" i="172"/>
  <c r="U567" i="172" s="1"/>
  <c r="F567" i="172"/>
  <c r="G567" i="172"/>
  <c r="J567" i="172"/>
  <c r="A568" i="172"/>
  <c r="D568" i="172"/>
  <c r="E568" i="172"/>
  <c r="U568" i="172" s="1"/>
  <c r="F568" i="172"/>
  <c r="G568" i="172"/>
  <c r="J568" i="172"/>
  <c r="A569" i="172"/>
  <c r="D569" i="172"/>
  <c r="E569" i="172"/>
  <c r="U569" i="172" s="1"/>
  <c r="F569" i="172"/>
  <c r="G569" i="172"/>
  <c r="J569" i="172"/>
  <c r="A570" i="172"/>
  <c r="D570" i="172"/>
  <c r="E570" i="172"/>
  <c r="F570" i="172"/>
  <c r="G570" i="172"/>
  <c r="J570" i="172"/>
  <c r="A571" i="172"/>
  <c r="D571" i="172"/>
  <c r="E571" i="172"/>
  <c r="U571" i="172" s="1"/>
  <c r="F571" i="172"/>
  <c r="G571" i="172"/>
  <c r="J571" i="172"/>
  <c r="A572" i="172"/>
  <c r="D572" i="172"/>
  <c r="E572" i="172"/>
  <c r="U572" i="172" s="1"/>
  <c r="F572" i="172"/>
  <c r="G572" i="172"/>
  <c r="J572" i="172"/>
  <c r="A573" i="172"/>
  <c r="D573" i="172"/>
  <c r="E573" i="172"/>
  <c r="U573" i="172" s="1"/>
  <c r="F573" i="172"/>
  <c r="G573" i="172"/>
  <c r="J573" i="172"/>
  <c r="A574" i="172"/>
  <c r="D574" i="172"/>
  <c r="E574" i="172"/>
  <c r="F574" i="172"/>
  <c r="G574" i="172"/>
  <c r="J574" i="172"/>
  <c r="A575" i="172"/>
  <c r="D575" i="172"/>
  <c r="E575" i="172"/>
  <c r="S575" i="172" s="1"/>
  <c r="F575" i="172"/>
  <c r="G575" i="172"/>
  <c r="J575" i="172"/>
  <c r="A576" i="172"/>
  <c r="D576" i="172"/>
  <c r="E576" i="172"/>
  <c r="U576" i="172" s="1"/>
  <c r="F576" i="172"/>
  <c r="G576" i="172"/>
  <c r="J576" i="172"/>
  <c r="A577" i="172"/>
  <c r="D577" i="172"/>
  <c r="E577" i="172"/>
  <c r="F577" i="172"/>
  <c r="G577" i="172"/>
  <c r="J577" i="172"/>
  <c r="A578" i="172"/>
  <c r="D578" i="172"/>
  <c r="E578" i="172"/>
  <c r="S578" i="172" s="1"/>
  <c r="F578" i="172"/>
  <c r="G578" i="172"/>
  <c r="J578" i="172"/>
  <c r="A579" i="172"/>
  <c r="D579" i="172"/>
  <c r="E579" i="172"/>
  <c r="V579" i="172" s="1"/>
  <c r="F579" i="172"/>
  <c r="G579" i="172"/>
  <c r="J579" i="172"/>
  <c r="A580" i="172"/>
  <c r="D580" i="172"/>
  <c r="E580" i="172"/>
  <c r="T580" i="172" s="1"/>
  <c r="F580" i="172"/>
  <c r="G580" i="172"/>
  <c r="J580" i="172"/>
  <c r="A581" i="172"/>
  <c r="D581" i="172"/>
  <c r="E581" i="172"/>
  <c r="F581" i="172"/>
  <c r="G581" i="172"/>
  <c r="J581" i="172"/>
  <c r="A582" i="172"/>
  <c r="D582" i="172"/>
  <c r="E582" i="172"/>
  <c r="V582" i="172" s="1"/>
  <c r="F582" i="172"/>
  <c r="G582" i="172"/>
  <c r="J582" i="172"/>
  <c r="A583" i="172"/>
  <c r="D583" i="172"/>
  <c r="E583" i="172"/>
  <c r="T583" i="172" s="1"/>
  <c r="F583" i="172"/>
  <c r="G583" i="172"/>
  <c r="J583" i="172"/>
  <c r="A584" i="172"/>
  <c r="D584" i="172"/>
  <c r="E584" i="172"/>
  <c r="T584" i="172" s="1"/>
  <c r="F584" i="172"/>
  <c r="G584" i="172"/>
  <c r="J584" i="172"/>
  <c r="A585" i="172"/>
  <c r="D585" i="172"/>
  <c r="E585" i="172"/>
  <c r="S585" i="172" s="1"/>
  <c r="F585" i="172"/>
  <c r="G585" i="172"/>
  <c r="J585" i="172"/>
  <c r="A586" i="172"/>
  <c r="D586" i="172"/>
  <c r="E586" i="172"/>
  <c r="S586" i="172" s="1"/>
  <c r="F586" i="172"/>
  <c r="G586" i="172"/>
  <c r="J586" i="172"/>
  <c r="A587" i="172"/>
  <c r="D587" i="172"/>
  <c r="E587" i="172"/>
  <c r="U587" i="172" s="1"/>
  <c r="F587" i="172"/>
  <c r="G587" i="172"/>
  <c r="J587" i="172"/>
  <c r="A588" i="172"/>
  <c r="D588" i="172"/>
  <c r="E588" i="172"/>
  <c r="T588" i="172" s="1"/>
  <c r="F588" i="172"/>
  <c r="G588" i="172"/>
  <c r="J588" i="172"/>
  <c r="A589" i="172"/>
  <c r="D589" i="172"/>
  <c r="E589" i="172"/>
  <c r="V589" i="172" s="1"/>
  <c r="F589" i="172"/>
  <c r="G589" i="172"/>
  <c r="J589" i="172"/>
  <c r="A590" i="172"/>
  <c r="D590" i="172"/>
  <c r="E590" i="172"/>
  <c r="V590" i="172" s="1"/>
  <c r="F590" i="172"/>
  <c r="G590" i="172"/>
  <c r="J590" i="172"/>
  <c r="A591" i="172"/>
  <c r="D591" i="172"/>
  <c r="E591" i="172"/>
  <c r="F591" i="172"/>
  <c r="G591" i="172"/>
  <c r="J591" i="172"/>
  <c r="A592" i="172"/>
  <c r="D592" i="172"/>
  <c r="E592" i="172"/>
  <c r="T592" i="172" s="1"/>
  <c r="F592" i="172"/>
  <c r="G592" i="172"/>
  <c r="J592" i="172"/>
  <c r="A593" i="172"/>
  <c r="D593" i="172"/>
  <c r="E593" i="172"/>
  <c r="S593" i="172" s="1"/>
  <c r="F593" i="172"/>
  <c r="G593" i="172"/>
  <c r="J593" i="172"/>
  <c r="A594" i="172"/>
  <c r="D594" i="172"/>
  <c r="E594" i="172"/>
  <c r="T594" i="172" s="1"/>
  <c r="F594" i="172"/>
  <c r="G594" i="172"/>
  <c r="J594" i="172"/>
  <c r="A595" i="172"/>
  <c r="D595" i="172"/>
  <c r="E595" i="172"/>
  <c r="U595" i="172" s="1"/>
  <c r="F595" i="172"/>
  <c r="G595" i="172"/>
  <c r="J595" i="172"/>
  <c r="A596" i="172"/>
  <c r="D596" i="172"/>
  <c r="E596" i="172"/>
  <c r="T596" i="172" s="1"/>
  <c r="F596" i="172"/>
  <c r="G596" i="172"/>
  <c r="J596" i="172"/>
  <c r="A597" i="172"/>
  <c r="D597" i="172"/>
  <c r="E597" i="172"/>
  <c r="T597" i="172" s="1"/>
  <c r="F597" i="172"/>
  <c r="G597" i="172"/>
  <c r="J597" i="172"/>
  <c r="A598" i="172"/>
  <c r="D598" i="172"/>
  <c r="E598" i="172"/>
  <c r="F598" i="172"/>
  <c r="G598" i="172"/>
  <c r="J598" i="172"/>
  <c r="A599" i="172"/>
  <c r="D599" i="172"/>
  <c r="E599" i="172"/>
  <c r="S599" i="172" s="1"/>
  <c r="F599" i="172"/>
  <c r="G599" i="172"/>
  <c r="J599" i="172"/>
  <c r="A600" i="172"/>
  <c r="D600" i="172"/>
  <c r="E600" i="172"/>
  <c r="F600" i="172"/>
  <c r="G600" i="172"/>
  <c r="J600" i="172"/>
  <c r="A601" i="172"/>
  <c r="D601" i="172"/>
  <c r="E601" i="172"/>
  <c r="U601" i="172" s="1"/>
  <c r="F601" i="172"/>
  <c r="G601" i="172"/>
  <c r="J601" i="172"/>
  <c r="A602" i="172"/>
  <c r="D602" i="172"/>
  <c r="E602" i="172"/>
  <c r="T602" i="172" s="1"/>
  <c r="F602" i="172"/>
  <c r="G602" i="172"/>
  <c r="J602" i="172"/>
  <c r="A603" i="172"/>
  <c r="D603" i="172"/>
  <c r="E603" i="172"/>
  <c r="S603" i="172" s="1"/>
  <c r="F603" i="172"/>
  <c r="G603" i="172"/>
  <c r="J603" i="172"/>
  <c r="A604" i="172"/>
  <c r="D604" i="172"/>
  <c r="E604" i="172"/>
  <c r="S604" i="172" s="1"/>
  <c r="F604" i="172"/>
  <c r="G604" i="172"/>
  <c r="J604" i="172"/>
  <c r="A605" i="172"/>
  <c r="D605" i="172"/>
  <c r="E605" i="172"/>
  <c r="T605" i="172" s="1"/>
  <c r="F605" i="172"/>
  <c r="G605" i="172"/>
  <c r="J605" i="172"/>
  <c r="A606" i="172"/>
  <c r="D606" i="172"/>
  <c r="E606" i="172"/>
  <c r="S606" i="172" s="1"/>
  <c r="F606" i="172"/>
  <c r="G606" i="172"/>
  <c r="J606" i="172"/>
  <c r="A607" i="172"/>
  <c r="D607" i="172"/>
  <c r="E607" i="172"/>
  <c r="F607" i="172"/>
  <c r="G607" i="172"/>
  <c r="J607" i="172"/>
  <c r="A608" i="172"/>
  <c r="D608" i="172"/>
  <c r="E608" i="172"/>
  <c r="F608" i="172"/>
  <c r="G608" i="172"/>
  <c r="J608" i="172"/>
  <c r="A609" i="172"/>
  <c r="D609" i="172"/>
  <c r="E609" i="172"/>
  <c r="U609" i="172" s="1"/>
  <c r="F609" i="172"/>
  <c r="G609" i="172"/>
  <c r="J609" i="172"/>
  <c r="A610" i="172"/>
  <c r="D610" i="172"/>
  <c r="E610" i="172"/>
  <c r="S610" i="172" s="1"/>
  <c r="F610" i="172"/>
  <c r="G610" i="172"/>
  <c r="J610" i="172"/>
  <c r="A611" i="172"/>
  <c r="D611" i="172"/>
  <c r="E611" i="172"/>
  <c r="F611" i="172"/>
  <c r="G611" i="172"/>
  <c r="J611" i="172"/>
  <c r="A612" i="172"/>
  <c r="D612" i="172"/>
  <c r="E612" i="172"/>
  <c r="S612" i="172" s="1"/>
  <c r="F612" i="172"/>
  <c r="G612" i="172"/>
  <c r="J612" i="172"/>
  <c r="A613" i="172"/>
  <c r="D613" i="172"/>
  <c r="E613" i="172"/>
  <c r="V613" i="172" s="1"/>
  <c r="F613" i="172"/>
  <c r="G613" i="172"/>
  <c r="J613" i="172"/>
  <c r="A614" i="172"/>
  <c r="D614" i="172"/>
  <c r="E614" i="172"/>
  <c r="S614" i="172" s="1"/>
  <c r="F614" i="172"/>
  <c r="G614" i="172"/>
  <c r="J614" i="172"/>
  <c r="A615" i="172"/>
  <c r="D615" i="172"/>
  <c r="E615" i="172"/>
  <c r="V615" i="172" s="1"/>
  <c r="F615" i="172"/>
  <c r="G615" i="172"/>
  <c r="J615" i="172"/>
  <c r="A616" i="172"/>
  <c r="D616" i="172"/>
  <c r="E616" i="172"/>
  <c r="F616" i="172"/>
  <c r="G616" i="172"/>
  <c r="J616" i="172"/>
  <c r="A617" i="172"/>
  <c r="D617" i="172"/>
  <c r="E617" i="172"/>
  <c r="F617" i="172"/>
  <c r="G617" i="172"/>
  <c r="J617" i="172"/>
  <c r="A618" i="172"/>
  <c r="D618" i="172"/>
  <c r="E618" i="172"/>
  <c r="S618" i="172" s="1"/>
  <c r="F618" i="172"/>
  <c r="G618" i="172"/>
  <c r="J618" i="172"/>
  <c r="A619" i="172"/>
  <c r="D619" i="172"/>
  <c r="E619" i="172"/>
  <c r="S619" i="172" s="1"/>
  <c r="F619" i="172"/>
  <c r="G619" i="172"/>
  <c r="J619" i="172"/>
  <c r="A620" i="172"/>
  <c r="D620" i="172"/>
  <c r="E620" i="172"/>
  <c r="S620" i="172" s="1"/>
  <c r="F620" i="172"/>
  <c r="G620" i="172"/>
  <c r="J620" i="172"/>
  <c r="A621" i="172"/>
  <c r="D621" i="172"/>
  <c r="E621" i="172"/>
  <c r="S621" i="172" s="1"/>
  <c r="F621" i="172"/>
  <c r="G621" i="172"/>
  <c r="J621" i="172"/>
  <c r="A622" i="172"/>
  <c r="D622" i="172"/>
  <c r="E622" i="172"/>
  <c r="S622" i="172" s="1"/>
  <c r="F622" i="172"/>
  <c r="G622" i="172"/>
  <c r="J622" i="172"/>
  <c r="A623" i="172"/>
  <c r="D623" i="172"/>
  <c r="E623" i="172"/>
  <c r="F623" i="172"/>
  <c r="G623" i="172"/>
  <c r="J623" i="172"/>
  <c r="A624" i="172"/>
  <c r="D624" i="172"/>
  <c r="E624" i="172"/>
  <c r="F624" i="172"/>
  <c r="G624" i="172"/>
  <c r="J624" i="172"/>
  <c r="A625" i="172"/>
  <c r="D625" i="172"/>
  <c r="E625" i="172"/>
  <c r="U625" i="172" s="1"/>
  <c r="F625" i="172"/>
  <c r="G625" i="172"/>
  <c r="J625" i="172"/>
  <c r="A626" i="172"/>
  <c r="D626" i="172"/>
  <c r="E626" i="172"/>
  <c r="S626" i="172" s="1"/>
  <c r="F626" i="172"/>
  <c r="G626" i="172"/>
  <c r="J626" i="172"/>
  <c r="A627" i="172"/>
  <c r="D627" i="172"/>
  <c r="E627" i="172"/>
  <c r="F627" i="172"/>
  <c r="G627" i="172"/>
  <c r="J627" i="172"/>
  <c r="A628" i="172"/>
  <c r="D628" i="172"/>
  <c r="E628" i="172"/>
  <c r="S628" i="172" s="1"/>
  <c r="F628" i="172"/>
  <c r="G628" i="172"/>
  <c r="J628" i="172"/>
  <c r="A629" i="172"/>
  <c r="D629" i="172"/>
  <c r="E629" i="172"/>
  <c r="U629" i="172" s="1"/>
  <c r="F629" i="172"/>
  <c r="G629" i="172"/>
  <c r="J629" i="172"/>
  <c r="A630" i="172"/>
  <c r="D630" i="172"/>
  <c r="E630" i="172"/>
  <c r="F630" i="172"/>
  <c r="G630" i="172"/>
  <c r="J630" i="172"/>
  <c r="A631" i="172"/>
  <c r="D631" i="172"/>
  <c r="E631" i="172"/>
  <c r="V631" i="172" s="1"/>
  <c r="F631" i="172"/>
  <c r="G631" i="172"/>
  <c r="J631" i="172"/>
  <c r="A632" i="172"/>
  <c r="D632" i="172"/>
  <c r="E632" i="172"/>
  <c r="F632" i="172"/>
  <c r="G632" i="172"/>
  <c r="J632" i="172"/>
  <c r="A633" i="172"/>
  <c r="D633" i="172"/>
  <c r="E633" i="172"/>
  <c r="U633" i="172" s="1"/>
  <c r="F633" i="172"/>
  <c r="G633" i="172"/>
  <c r="J633" i="172"/>
  <c r="A634" i="172"/>
  <c r="D634" i="172"/>
  <c r="E634" i="172"/>
  <c r="T634" i="172" s="1"/>
  <c r="F634" i="172"/>
  <c r="G634" i="172"/>
  <c r="J634" i="172"/>
  <c r="A635" i="172"/>
  <c r="D635" i="172"/>
  <c r="E635" i="172"/>
  <c r="S635" i="172" s="1"/>
  <c r="F635" i="172"/>
  <c r="G635" i="172"/>
  <c r="J635" i="172"/>
  <c r="A636" i="172"/>
  <c r="D636" i="172"/>
  <c r="E636" i="172"/>
  <c r="S636" i="172" s="1"/>
  <c r="F636" i="172"/>
  <c r="G636" i="172"/>
  <c r="J636" i="172"/>
  <c r="A637" i="172"/>
  <c r="D637" i="172"/>
  <c r="E637" i="172"/>
  <c r="T637" i="172" s="1"/>
  <c r="F637" i="172"/>
  <c r="G637" i="172"/>
  <c r="J637" i="172"/>
  <c r="A638" i="172"/>
  <c r="D638" i="172"/>
  <c r="E638" i="172"/>
  <c r="S638" i="172" s="1"/>
  <c r="F638" i="172"/>
  <c r="G638" i="172"/>
  <c r="J638" i="172"/>
  <c r="A639" i="172"/>
  <c r="D639" i="172"/>
  <c r="E639" i="172"/>
  <c r="V639" i="172" s="1"/>
  <c r="F639" i="172"/>
  <c r="G639" i="172"/>
  <c r="J639" i="172"/>
  <c r="A640" i="172"/>
  <c r="D640" i="172"/>
  <c r="E640" i="172"/>
  <c r="F640" i="172"/>
  <c r="G640" i="172"/>
  <c r="J640" i="172"/>
  <c r="A641" i="172"/>
  <c r="D641" i="172"/>
  <c r="E641" i="172"/>
  <c r="U641" i="172" s="1"/>
  <c r="F641" i="172"/>
  <c r="G641" i="172"/>
  <c r="J641" i="172"/>
  <c r="A642" i="172"/>
  <c r="D642" i="172"/>
  <c r="E642" i="172"/>
  <c r="S642" i="172" s="1"/>
  <c r="F642" i="172"/>
  <c r="G642" i="172"/>
  <c r="J642" i="172"/>
  <c r="A643" i="172"/>
  <c r="D643" i="172"/>
  <c r="E643" i="172"/>
  <c r="F643" i="172"/>
  <c r="G643" i="172"/>
  <c r="J643" i="172"/>
  <c r="A644" i="172"/>
  <c r="D644" i="172"/>
  <c r="E644" i="172"/>
  <c r="S644" i="172" s="1"/>
  <c r="F644" i="172"/>
  <c r="G644" i="172"/>
  <c r="J644" i="172"/>
  <c r="A645" i="172"/>
  <c r="D645" i="172"/>
  <c r="E645" i="172"/>
  <c r="T645" i="172" s="1"/>
  <c r="F645" i="172"/>
  <c r="G645" i="172"/>
  <c r="J645" i="172"/>
  <c r="S645" i="172"/>
  <c r="A646" i="172"/>
  <c r="D646" i="172"/>
  <c r="E646" i="172"/>
  <c r="S646" i="172" s="1"/>
  <c r="F646" i="172"/>
  <c r="G646" i="172"/>
  <c r="J646" i="172"/>
  <c r="A647" i="172"/>
  <c r="D647" i="172"/>
  <c r="E647" i="172"/>
  <c r="F647" i="172"/>
  <c r="G647" i="172"/>
  <c r="J647" i="172"/>
  <c r="A648" i="172"/>
  <c r="D648" i="172"/>
  <c r="E648" i="172"/>
  <c r="S648" i="172" s="1"/>
  <c r="F648" i="172"/>
  <c r="G648" i="172"/>
  <c r="J648" i="172"/>
  <c r="A649" i="172"/>
  <c r="D649" i="172"/>
  <c r="E649" i="172"/>
  <c r="V649" i="172" s="1"/>
  <c r="F649" i="172"/>
  <c r="G649" i="172"/>
  <c r="J649" i="172"/>
  <c r="A650" i="172"/>
  <c r="D650" i="172"/>
  <c r="E650" i="172"/>
  <c r="T650" i="172" s="1"/>
  <c r="F650" i="172"/>
  <c r="G650" i="172"/>
  <c r="J650" i="172"/>
  <c r="A651" i="172"/>
  <c r="D651" i="172"/>
  <c r="E651" i="172"/>
  <c r="V651" i="172" s="1"/>
  <c r="F651" i="172"/>
  <c r="G651" i="172"/>
  <c r="J651" i="172"/>
  <c r="A652" i="172"/>
  <c r="D652" i="172"/>
  <c r="E652" i="172"/>
  <c r="F652" i="172"/>
  <c r="G652" i="172"/>
  <c r="J652" i="172"/>
  <c r="A653" i="172"/>
  <c r="D653" i="172"/>
  <c r="E653" i="172"/>
  <c r="F653" i="172"/>
  <c r="G653" i="172"/>
  <c r="J653" i="172"/>
  <c r="A654" i="172"/>
  <c r="D654" i="172"/>
  <c r="E654" i="172"/>
  <c r="U654" i="172" s="1"/>
  <c r="F654" i="172"/>
  <c r="G654" i="172"/>
  <c r="J654" i="172"/>
  <c r="A655" i="172"/>
  <c r="D655" i="172"/>
  <c r="E655" i="172"/>
  <c r="U655" i="172" s="1"/>
  <c r="F655" i="172"/>
  <c r="G655" i="172"/>
  <c r="J655" i="172"/>
  <c r="A656" i="172"/>
  <c r="D656" i="172"/>
  <c r="E656" i="172"/>
  <c r="F656" i="172"/>
  <c r="G656" i="172"/>
  <c r="J656" i="172"/>
  <c r="U656" i="172"/>
  <c r="A657" i="172"/>
  <c r="D657" i="172"/>
  <c r="E657" i="172"/>
  <c r="U657" i="172" s="1"/>
  <c r="F657" i="172"/>
  <c r="G657" i="172"/>
  <c r="J657" i="172"/>
  <c r="A658" i="172"/>
  <c r="D658" i="172"/>
  <c r="E658" i="172"/>
  <c r="U658" i="172" s="1"/>
  <c r="F658" i="172"/>
  <c r="G658" i="172"/>
  <c r="J658" i="172"/>
  <c r="A659" i="172"/>
  <c r="D659" i="172"/>
  <c r="E659" i="172"/>
  <c r="U659" i="172" s="1"/>
  <c r="F659" i="172"/>
  <c r="G659" i="172"/>
  <c r="J659" i="172"/>
  <c r="A660" i="172"/>
  <c r="D660" i="172"/>
  <c r="E660" i="172"/>
  <c r="U660" i="172" s="1"/>
  <c r="F660" i="172"/>
  <c r="G660" i="172"/>
  <c r="J660" i="172"/>
  <c r="A661" i="172"/>
  <c r="D661" i="172"/>
  <c r="E661" i="172"/>
  <c r="U661" i="172" s="1"/>
  <c r="F661" i="172"/>
  <c r="G661" i="172"/>
  <c r="J661" i="172"/>
  <c r="A662" i="172"/>
  <c r="D662" i="172"/>
  <c r="E662" i="172"/>
  <c r="U662" i="172" s="1"/>
  <c r="F662" i="172"/>
  <c r="G662" i="172"/>
  <c r="J662" i="172"/>
  <c r="A663" i="172"/>
  <c r="D663" i="172"/>
  <c r="E663" i="172"/>
  <c r="U663" i="172" s="1"/>
  <c r="F663" i="172"/>
  <c r="G663" i="172"/>
  <c r="J663" i="172"/>
  <c r="A664" i="172"/>
  <c r="D664" i="172"/>
  <c r="E664" i="172"/>
  <c r="U664" i="172" s="1"/>
  <c r="F664" i="172"/>
  <c r="G664" i="172"/>
  <c r="J664" i="172"/>
  <c r="A665" i="172"/>
  <c r="D665" i="172"/>
  <c r="E665" i="172"/>
  <c r="U665" i="172" s="1"/>
  <c r="F665" i="172"/>
  <c r="G665" i="172"/>
  <c r="J665" i="172"/>
  <c r="A666" i="172"/>
  <c r="D666" i="172"/>
  <c r="E666" i="172"/>
  <c r="U666" i="172" s="1"/>
  <c r="F666" i="172"/>
  <c r="G666" i="172"/>
  <c r="J666" i="172"/>
  <c r="A667" i="172"/>
  <c r="D667" i="172"/>
  <c r="E667" i="172"/>
  <c r="U667" i="172" s="1"/>
  <c r="F667" i="172"/>
  <c r="G667" i="172"/>
  <c r="J667" i="172"/>
  <c r="A668" i="172"/>
  <c r="D668" i="172"/>
  <c r="E668" i="172"/>
  <c r="U668" i="172" s="1"/>
  <c r="F668" i="172"/>
  <c r="G668" i="172"/>
  <c r="J668" i="172"/>
  <c r="A669" i="172"/>
  <c r="D669" i="172"/>
  <c r="E669" i="172"/>
  <c r="U669" i="172" s="1"/>
  <c r="F669" i="172"/>
  <c r="G669" i="172"/>
  <c r="J669" i="172"/>
  <c r="A670" i="172"/>
  <c r="D670" i="172"/>
  <c r="E670" i="172"/>
  <c r="U670" i="172" s="1"/>
  <c r="F670" i="172"/>
  <c r="G670" i="172"/>
  <c r="J670" i="172"/>
  <c r="A671" i="172"/>
  <c r="D671" i="172"/>
  <c r="E671" i="172"/>
  <c r="U671" i="172" s="1"/>
  <c r="F671" i="172"/>
  <c r="G671" i="172"/>
  <c r="J671" i="172"/>
  <c r="A672" i="172"/>
  <c r="D672" i="172"/>
  <c r="E672" i="172"/>
  <c r="U672" i="172" s="1"/>
  <c r="F672" i="172"/>
  <c r="G672" i="172"/>
  <c r="J672" i="172"/>
  <c r="A673" i="172"/>
  <c r="D673" i="172"/>
  <c r="E673" i="172"/>
  <c r="U673" i="172" s="1"/>
  <c r="F673" i="172"/>
  <c r="G673" i="172"/>
  <c r="J673" i="172"/>
  <c r="A674" i="172"/>
  <c r="D674" i="172"/>
  <c r="E674" i="172"/>
  <c r="U674" i="172" s="1"/>
  <c r="F674" i="172"/>
  <c r="G674" i="172"/>
  <c r="J674" i="172"/>
  <c r="A675" i="172"/>
  <c r="D675" i="172"/>
  <c r="E675" i="172"/>
  <c r="U675" i="172" s="1"/>
  <c r="F675" i="172"/>
  <c r="G675" i="172"/>
  <c r="J675" i="172"/>
  <c r="A676" i="172"/>
  <c r="D676" i="172"/>
  <c r="E676" i="172"/>
  <c r="U676" i="172" s="1"/>
  <c r="F676" i="172"/>
  <c r="G676" i="172"/>
  <c r="J676" i="172"/>
  <c r="A677" i="172"/>
  <c r="D677" i="172"/>
  <c r="E677" i="172"/>
  <c r="U677" i="172" s="1"/>
  <c r="F677" i="172"/>
  <c r="G677" i="172"/>
  <c r="J677" i="172"/>
  <c r="A678" i="172"/>
  <c r="D678" i="172"/>
  <c r="E678" i="172"/>
  <c r="U678" i="172" s="1"/>
  <c r="F678" i="172"/>
  <c r="G678" i="172"/>
  <c r="J678" i="172"/>
  <c r="A679" i="172"/>
  <c r="D679" i="172"/>
  <c r="E679" i="172"/>
  <c r="U679" i="172" s="1"/>
  <c r="F679" i="172"/>
  <c r="G679" i="172"/>
  <c r="J679" i="172"/>
  <c r="A680" i="172"/>
  <c r="D680" i="172"/>
  <c r="E680" i="172"/>
  <c r="U680" i="172" s="1"/>
  <c r="F680" i="172"/>
  <c r="G680" i="172"/>
  <c r="J680" i="172"/>
  <c r="A681" i="172"/>
  <c r="D681" i="172"/>
  <c r="E681" i="172"/>
  <c r="U681" i="172" s="1"/>
  <c r="F681" i="172"/>
  <c r="G681" i="172"/>
  <c r="J681" i="172"/>
  <c r="A682" i="172"/>
  <c r="D682" i="172"/>
  <c r="E682" i="172"/>
  <c r="U682" i="172" s="1"/>
  <c r="F682" i="172"/>
  <c r="G682" i="172"/>
  <c r="J682" i="172"/>
  <c r="A683" i="172"/>
  <c r="D683" i="172"/>
  <c r="E683" i="172"/>
  <c r="U683" i="172" s="1"/>
  <c r="F683" i="172"/>
  <c r="G683" i="172"/>
  <c r="J683" i="172"/>
  <c r="A684" i="172"/>
  <c r="D684" i="172"/>
  <c r="E684" i="172"/>
  <c r="U684" i="172" s="1"/>
  <c r="F684" i="172"/>
  <c r="G684" i="172"/>
  <c r="J684" i="172"/>
  <c r="A685" i="172"/>
  <c r="D685" i="172"/>
  <c r="E685" i="172"/>
  <c r="U685" i="172" s="1"/>
  <c r="F685" i="172"/>
  <c r="G685" i="172"/>
  <c r="J685" i="172"/>
  <c r="A686" i="172"/>
  <c r="D686" i="172"/>
  <c r="E686" i="172"/>
  <c r="U686" i="172" s="1"/>
  <c r="F686" i="172"/>
  <c r="G686" i="172"/>
  <c r="J686" i="172"/>
  <c r="A687" i="172"/>
  <c r="D687" i="172"/>
  <c r="E687" i="172"/>
  <c r="U687" i="172" s="1"/>
  <c r="F687" i="172"/>
  <c r="G687" i="172"/>
  <c r="J687" i="172"/>
  <c r="A688" i="172"/>
  <c r="D688" i="172"/>
  <c r="E688" i="172"/>
  <c r="U688" i="172" s="1"/>
  <c r="F688" i="172"/>
  <c r="G688" i="172"/>
  <c r="J688" i="172"/>
  <c r="A689" i="172"/>
  <c r="D689" i="172"/>
  <c r="E689" i="172"/>
  <c r="U689" i="172" s="1"/>
  <c r="F689" i="172"/>
  <c r="G689" i="172"/>
  <c r="J689" i="172"/>
  <c r="A690" i="172"/>
  <c r="D690" i="172"/>
  <c r="E690" i="172"/>
  <c r="F690" i="172"/>
  <c r="G690" i="172"/>
  <c r="J690" i="172"/>
  <c r="U690" i="172"/>
  <c r="A691" i="172"/>
  <c r="D691" i="172"/>
  <c r="E691" i="172"/>
  <c r="U691" i="172" s="1"/>
  <c r="F691" i="172"/>
  <c r="G691" i="172"/>
  <c r="J691" i="172"/>
  <c r="A692" i="172"/>
  <c r="D692" i="172"/>
  <c r="E692" i="172"/>
  <c r="U692" i="172" s="1"/>
  <c r="F692" i="172"/>
  <c r="G692" i="172"/>
  <c r="J692" i="172"/>
  <c r="A693" i="172"/>
  <c r="D693" i="172"/>
  <c r="E693" i="172"/>
  <c r="U693" i="172" s="1"/>
  <c r="F693" i="172"/>
  <c r="G693" i="172"/>
  <c r="J693" i="172"/>
  <c r="A694" i="172"/>
  <c r="D694" i="172"/>
  <c r="E694" i="172"/>
  <c r="U694" i="172" s="1"/>
  <c r="F694" i="172"/>
  <c r="G694" i="172"/>
  <c r="J694" i="172"/>
  <c r="A695" i="172"/>
  <c r="D695" i="172"/>
  <c r="E695" i="172"/>
  <c r="U695" i="172" s="1"/>
  <c r="F695" i="172"/>
  <c r="G695" i="172"/>
  <c r="J695" i="172"/>
  <c r="A696" i="172"/>
  <c r="D696" i="172"/>
  <c r="E696" i="172"/>
  <c r="U696" i="172" s="1"/>
  <c r="F696" i="172"/>
  <c r="G696" i="172"/>
  <c r="J696" i="172"/>
  <c r="A697" i="172"/>
  <c r="D697" i="172"/>
  <c r="E697" i="172"/>
  <c r="U697" i="172" s="1"/>
  <c r="F697" i="172"/>
  <c r="G697" i="172"/>
  <c r="J697" i="172"/>
  <c r="A698" i="172"/>
  <c r="D698" i="172"/>
  <c r="E698" i="172"/>
  <c r="U698" i="172" s="1"/>
  <c r="F698" i="172"/>
  <c r="G698" i="172"/>
  <c r="J698" i="172"/>
  <c r="A699" i="172"/>
  <c r="D699" i="172"/>
  <c r="E699" i="172"/>
  <c r="U699" i="172" s="1"/>
  <c r="F699" i="172"/>
  <c r="G699" i="172"/>
  <c r="J699" i="172"/>
  <c r="A700" i="172"/>
  <c r="D700" i="172"/>
  <c r="E700" i="172"/>
  <c r="U700" i="172" s="1"/>
  <c r="F700" i="172"/>
  <c r="G700" i="172"/>
  <c r="J700" i="172"/>
  <c r="A701" i="172"/>
  <c r="D701" i="172"/>
  <c r="E701" i="172"/>
  <c r="U701" i="172" s="1"/>
  <c r="F701" i="172"/>
  <c r="G701" i="172"/>
  <c r="J701" i="172"/>
  <c r="A702" i="172"/>
  <c r="D702" i="172"/>
  <c r="E702" i="172"/>
  <c r="U702" i="172" s="1"/>
  <c r="F702" i="172"/>
  <c r="G702" i="172"/>
  <c r="J702" i="172"/>
  <c r="A703" i="172"/>
  <c r="D703" i="172"/>
  <c r="E703" i="172"/>
  <c r="U703" i="172" s="1"/>
  <c r="F703" i="172"/>
  <c r="G703" i="172"/>
  <c r="J703" i="172"/>
  <c r="A704" i="172"/>
  <c r="D704" i="172"/>
  <c r="E704" i="172"/>
  <c r="U704" i="172" s="1"/>
  <c r="F704" i="172"/>
  <c r="G704" i="172"/>
  <c r="J704" i="172"/>
  <c r="A705" i="172"/>
  <c r="D705" i="172"/>
  <c r="E705" i="172"/>
  <c r="U705" i="172" s="1"/>
  <c r="F705" i="172"/>
  <c r="G705" i="172"/>
  <c r="J705" i="172"/>
  <c r="A706" i="172"/>
  <c r="D706" i="172"/>
  <c r="E706" i="172"/>
  <c r="U706" i="172" s="1"/>
  <c r="F706" i="172"/>
  <c r="G706" i="172"/>
  <c r="J706" i="172"/>
  <c r="A707" i="172"/>
  <c r="D707" i="172"/>
  <c r="E707" i="172"/>
  <c r="U707" i="172" s="1"/>
  <c r="F707" i="172"/>
  <c r="G707" i="172"/>
  <c r="J707" i="172"/>
  <c r="A708" i="172"/>
  <c r="D708" i="172"/>
  <c r="E708" i="172"/>
  <c r="U708" i="172" s="1"/>
  <c r="F708" i="172"/>
  <c r="G708" i="172"/>
  <c r="J708" i="172"/>
  <c r="A709" i="172"/>
  <c r="D709" i="172"/>
  <c r="E709" i="172"/>
  <c r="U709" i="172" s="1"/>
  <c r="F709" i="172"/>
  <c r="G709" i="172"/>
  <c r="J709" i="172"/>
  <c r="A710" i="172"/>
  <c r="D710" i="172"/>
  <c r="E710" i="172"/>
  <c r="U710" i="172" s="1"/>
  <c r="F710" i="172"/>
  <c r="G710" i="172"/>
  <c r="J710" i="172"/>
  <c r="A711" i="172"/>
  <c r="D711" i="172"/>
  <c r="E711" i="172"/>
  <c r="U711" i="172" s="1"/>
  <c r="F711" i="172"/>
  <c r="G711" i="172"/>
  <c r="J711" i="172"/>
  <c r="A712" i="172"/>
  <c r="D712" i="172"/>
  <c r="E712" i="172"/>
  <c r="U712" i="172" s="1"/>
  <c r="F712" i="172"/>
  <c r="G712" i="172"/>
  <c r="J712" i="172"/>
  <c r="A713" i="172"/>
  <c r="D713" i="172"/>
  <c r="E713" i="172"/>
  <c r="U713" i="172" s="1"/>
  <c r="F713" i="172"/>
  <c r="G713" i="172"/>
  <c r="J713" i="172"/>
  <c r="A714" i="172"/>
  <c r="D714" i="172"/>
  <c r="E714" i="172"/>
  <c r="U714" i="172" s="1"/>
  <c r="F714" i="172"/>
  <c r="G714" i="172"/>
  <c r="J714" i="172"/>
  <c r="A715" i="172"/>
  <c r="D715" i="172"/>
  <c r="E715" i="172"/>
  <c r="U715" i="172" s="1"/>
  <c r="F715" i="172"/>
  <c r="G715" i="172"/>
  <c r="J715" i="172"/>
  <c r="A716" i="172"/>
  <c r="D716" i="172"/>
  <c r="E716" i="172"/>
  <c r="U716" i="172" s="1"/>
  <c r="F716" i="172"/>
  <c r="G716" i="172"/>
  <c r="J716" i="172"/>
  <c r="A717" i="172"/>
  <c r="D717" i="172"/>
  <c r="E717" i="172"/>
  <c r="U717" i="172" s="1"/>
  <c r="F717" i="172"/>
  <c r="G717" i="172"/>
  <c r="J717" i="172"/>
  <c r="A718" i="172"/>
  <c r="D718" i="172"/>
  <c r="E718" i="172"/>
  <c r="U718" i="172" s="1"/>
  <c r="F718" i="172"/>
  <c r="G718" i="172"/>
  <c r="J718" i="172"/>
  <c r="A719" i="172"/>
  <c r="D719" i="172"/>
  <c r="E719" i="172"/>
  <c r="U719" i="172" s="1"/>
  <c r="F719" i="172"/>
  <c r="G719" i="172"/>
  <c r="J719" i="172"/>
  <c r="A720" i="172"/>
  <c r="D720" i="172"/>
  <c r="E720" i="172"/>
  <c r="U720" i="172" s="1"/>
  <c r="F720" i="172"/>
  <c r="G720" i="172"/>
  <c r="J720" i="172"/>
  <c r="A721" i="172"/>
  <c r="D721" i="172"/>
  <c r="E721" i="172"/>
  <c r="U721" i="172" s="1"/>
  <c r="F721" i="172"/>
  <c r="G721" i="172"/>
  <c r="J721" i="172"/>
  <c r="A722" i="172"/>
  <c r="D722" i="172"/>
  <c r="E722" i="172"/>
  <c r="U722" i="172" s="1"/>
  <c r="F722" i="172"/>
  <c r="G722" i="172"/>
  <c r="J722" i="172"/>
  <c r="A723" i="172"/>
  <c r="D723" i="172"/>
  <c r="E723" i="172"/>
  <c r="U723" i="172" s="1"/>
  <c r="F723" i="172"/>
  <c r="G723" i="172"/>
  <c r="J723" i="172"/>
  <c r="A724" i="172"/>
  <c r="D724" i="172"/>
  <c r="E724" i="172"/>
  <c r="U724" i="172" s="1"/>
  <c r="F724" i="172"/>
  <c r="G724" i="172"/>
  <c r="J724" i="172"/>
  <c r="A725" i="172"/>
  <c r="D725" i="172"/>
  <c r="E725" i="172"/>
  <c r="V725" i="172" s="1"/>
  <c r="F725" i="172"/>
  <c r="G725" i="172"/>
  <c r="J725" i="172"/>
  <c r="A726" i="172"/>
  <c r="D726" i="172"/>
  <c r="E726" i="172"/>
  <c r="F726" i="172"/>
  <c r="G726" i="172"/>
  <c r="J726" i="172"/>
  <c r="A727" i="172"/>
  <c r="D727" i="172"/>
  <c r="E727" i="172"/>
  <c r="F727" i="172"/>
  <c r="G727" i="172"/>
  <c r="J727" i="172"/>
  <c r="A728" i="172"/>
  <c r="D728" i="172"/>
  <c r="E728" i="172"/>
  <c r="F728" i="172"/>
  <c r="G728" i="172"/>
  <c r="J728" i="172"/>
  <c r="A729" i="172"/>
  <c r="D729" i="172"/>
  <c r="E729" i="172"/>
  <c r="V729" i="172" s="1"/>
  <c r="F729" i="172"/>
  <c r="G729" i="172"/>
  <c r="J729" i="172"/>
  <c r="A730" i="172"/>
  <c r="D730" i="172"/>
  <c r="E730" i="172"/>
  <c r="F730" i="172"/>
  <c r="G730" i="172"/>
  <c r="J730" i="172"/>
  <c r="A731" i="172"/>
  <c r="D731" i="172"/>
  <c r="E731" i="172"/>
  <c r="F731" i="172"/>
  <c r="G731" i="172"/>
  <c r="J731" i="172"/>
  <c r="S731" i="172"/>
  <c r="A732" i="172"/>
  <c r="D732" i="172"/>
  <c r="E732" i="172"/>
  <c r="V732" i="172" s="1"/>
  <c r="F732" i="172"/>
  <c r="G732" i="172"/>
  <c r="J732" i="172"/>
  <c r="A733" i="172"/>
  <c r="D733" i="172"/>
  <c r="E733" i="172"/>
  <c r="V733" i="172" s="1"/>
  <c r="F733" i="172"/>
  <c r="G733" i="172"/>
  <c r="J733" i="172"/>
  <c r="A734" i="172"/>
  <c r="D734" i="172"/>
  <c r="E734" i="172"/>
  <c r="F734" i="172"/>
  <c r="G734" i="172"/>
  <c r="J734" i="172"/>
  <c r="A735" i="172"/>
  <c r="D735" i="172"/>
  <c r="E735" i="172"/>
  <c r="S735" i="172" s="1"/>
  <c r="F735" i="172"/>
  <c r="G735" i="172"/>
  <c r="J735" i="172"/>
  <c r="A736" i="172"/>
  <c r="D736" i="172"/>
  <c r="E736" i="172"/>
  <c r="F736" i="172"/>
  <c r="G736" i="172"/>
  <c r="J736" i="172"/>
  <c r="A737" i="172"/>
  <c r="D737" i="172"/>
  <c r="E737" i="172"/>
  <c r="V737" i="172" s="1"/>
  <c r="F737" i="172"/>
  <c r="G737" i="172"/>
  <c r="J737" i="172"/>
  <c r="A738" i="172"/>
  <c r="D738" i="172"/>
  <c r="E738" i="172"/>
  <c r="F738" i="172"/>
  <c r="G738" i="172"/>
  <c r="J738" i="172"/>
  <c r="A739" i="172"/>
  <c r="D739" i="172"/>
  <c r="E739" i="172"/>
  <c r="S739" i="172" s="1"/>
  <c r="F739" i="172"/>
  <c r="G739" i="172"/>
  <c r="J739" i="172"/>
  <c r="A740" i="172"/>
  <c r="D740" i="172"/>
  <c r="E740" i="172"/>
  <c r="V740" i="172" s="1"/>
  <c r="F740" i="172"/>
  <c r="G740" i="172"/>
  <c r="J740" i="172"/>
  <c r="A741" i="172"/>
  <c r="D741" i="172"/>
  <c r="E741" i="172"/>
  <c r="V741" i="172" s="1"/>
  <c r="F741" i="172"/>
  <c r="G741" i="172"/>
  <c r="J741" i="172"/>
  <c r="A742" i="172"/>
  <c r="D742" i="172"/>
  <c r="E742" i="172"/>
  <c r="F742" i="172"/>
  <c r="G742" i="172"/>
  <c r="J742" i="172"/>
  <c r="A743" i="172"/>
  <c r="D743" i="172"/>
  <c r="E743" i="172"/>
  <c r="F743" i="172"/>
  <c r="G743" i="172"/>
  <c r="J743" i="172"/>
  <c r="A744" i="172"/>
  <c r="D744" i="172"/>
  <c r="E744" i="172"/>
  <c r="F744" i="172"/>
  <c r="G744" i="172"/>
  <c r="J744" i="172"/>
  <c r="A745" i="172"/>
  <c r="D745" i="172"/>
  <c r="E745" i="172"/>
  <c r="V745" i="172" s="1"/>
  <c r="F745" i="172"/>
  <c r="G745" i="172"/>
  <c r="J745" i="172"/>
  <c r="A746" i="172"/>
  <c r="D746" i="172"/>
  <c r="E746" i="172"/>
  <c r="F746" i="172"/>
  <c r="G746" i="172"/>
  <c r="J746" i="172"/>
  <c r="A747" i="172"/>
  <c r="D747" i="172"/>
  <c r="E747" i="172"/>
  <c r="S747" i="172" s="1"/>
  <c r="F747" i="172"/>
  <c r="G747" i="172"/>
  <c r="J747" i="172"/>
  <c r="A748" i="172"/>
  <c r="D748" i="172"/>
  <c r="E748" i="172"/>
  <c r="V748" i="172" s="1"/>
  <c r="F748" i="172"/>
  <c r="G748" i="172"/>
  <c r="J748" i="172"/>
  <c r="A749" i="172"/>
  <c r="D749" i="172"/>
  <c r="E749" i="172"/>
  <c r="V749" i="172" s="1"/>
  <c r="F749" i="172"/>
  <c r="G749" i="172"/>
  <c r="J749" i="172"/>
  <c r="A750" i="172"/>
  <c r="D750" i="172"/>
  <c r="E750" i="172"/>
  <c r="F750" i="172"/>
  <c r="G750" i="172"/>
  <c r="J750" i="172"/>
  <c r="A751" i="172"/>
  <c r="D751" i="172"/>
  <c r="E751" i="172"/>
  <c r="S751" i="172" s="1"/>
  <c r="F751" i="172"/>
  <c r="G751" i="172"/>
  <c r="J751" i="172"/>
  <c r="A752" i="172"/>
  <c r="D752" i="172"/>
  <c r="E752" i="172"/>
  <c r="F752" i="172"/>
  <c r="G752" i="172"/>
  <c r="J752" i="172"/>
  <c r="A753" i="172"/>
  <c r="D753" i="172"/>
  <c r="E753" i="172"/>
  <c r="V753" i="172" s="1"/>
  <c r="F753" i="172"/>
  <c r="G753" i="172"/>
  <c r="J753" i="172"/>
  <c r="A754" i="172"/>
  <c r="D754" i="172"/>
  <c r="E754" i="172"/>
  <c r="U754" i="172" s="1"/>
  <c r="F754" i="172"/>
  <c r="G754" i="172"/>
  <c r="J754" i="172"/>
  <c r="A755" i="172"/>
  <c r="D755" i="172"/>
  <c r="E755" i="172"/>
  <c r="F755" i="172"/>
  <c r="G755" i="172"/>
  <c r="J755" i="172"/>
  <c r="A756" i="172"/>
  <c r="D756" i="172"/>
  <c r="E756" i="172"/>
  <c r="F756" i="172"/>
  <c r="G756" i="172"/>
  <c r="J756" i="172"/>
  <c r="A757" i="172"/>
  <c r="D757" i="172"/>
  <c r="E757" i="172"/>
  <c r="T757" i="172" s="1"/>
  <c r="F757" i="172"/>
  <c r="G757" i="172"/>
  <c r="J757" i="172"/>
  <c r="A758" i="172"/>
  <c r="D758" i="172"/>
  <c r="E758" i="172"/>
  <c r="U758" i="172" s="1"/>
  <c r="F758" i="172"/>
  <c r="G758" i="172"/>
  <c r="J758" i="172"/>
  <c r="A759" i="172"/>
  <c r="D759" i="172"/>
  <c r="E759" i="172"/>
  <c r="T759" i="172" s="1"/>
  <c r="F759" i="172"/>
  <c r="G759" i="172"/>
  <c r="J759" i="172"/>
  <c r="A760" i="172"/>
  <c r="D760" i="172"/>
  <c r="E760" i="172"/>
  <c r="U760" i="172" s="1"/>
  <c r="F760" i="172"/>
  <c r="G760" i="172"/>
  <c r="J760" i="172"/>
  <c r="A761" i="172"/>
  <c r="D761" i="172"/>
  <c r="E761" i="172"/>
  <c r="S761" i="172" s="1"/>
  <c r="F761" i="172"/>
  <c r="G761" i="172"/>
  <c r="J761" i="172"/>
  <c r="A762" i="172"/>
  <c r="D762" i="172"/>
  <c r="E762" i="172"/>
  <c r="U762" i="172" s="1"/>
  <c r="F762" i="172"/>
  <c r="G762" i="172"/>
  <c r="J762" i="172"/>
  <c r="A763" i="172"/>
  <c r="D763" i="172"/>
  <c r="E763" i="172"/>
  <c r="S763" i="172" s="1"/>
  <c r="F763" i="172"/>
  <c r="G763" i="172"/>
  <c r="J763" i="172"/>
  <c r="A764" i="172"/>
  <c r="D764" i="172"/>
  <c r="E764" i="172"/>
  <c r="F764" i="172"/>
  <c r="G764" i="172"/>
  <c r="J764" i="172"/>
  <c r="A765" i="172"/>
  <c r="D765" i="172"/>
  <c r="E765" i="172"/>
  <c r="S765" i="172" s="1"/>
  <c r="F765" i="172"/>
  <c r="G765" i="172"/>
  <c r="J765" i="172"/>
  <c r="A766" i="172"/>
  <c r="D766" i="172"/>
  <c r="E766" i="172"/>
  <c r="U766" i="172" s="1"/>
  <c r="F766" i="172"/>
  <c r="G766" i="172"/>
  <c r="J766" i="172"/>
  <c r="A767" i="172"/>
  <c r="D767" i="172"/>
  <c r="E767" i="172"/>
  <c r="U767" i="172" s="1"/>
  <c r="F767" i="172"/>
  <c r="G767" i="172"/>
  <c r="J767" i="172"/>
  <c r="A768" i="172"/>
  <c r="D768" i="172"/>
  <c r="E768" i="172"/>
  <c r="U768" i="172" s="1"/>
  <c r="F768" i="172"/>
  <c r="G768" i="172"/>
  <c r="J768" i="172"/>
  <c r="A769" i="172"/>
  <c r="D769" i="172"/>
  <c r="E769" i="172"/>
  <c r="U769" i="172" s="1"/>
  <c r="F769" i="172"/>
  <c r="G769" i="172"/>
  <c r="J769" i="172"/>
  <c r="A770" i="172"/>
  <c r="D770" i="172"/>
  <c r="E770" i="172"/>
  <c r="F770" i="172"/>
  <c r="G770" i="172"/>
  <c r="J770" i="172"/>
  <c r="U770" i="172"/>
  <c r="A771" i="172"/>
  <c r="D771" i="172"/>
  <c r="E771" i="172"/>
  <c r="T771" i="172" s="1"/>
  <c r="F771" i="172"/>
  <c r="G771" i="172"/>
  <c r="J771" i="172"/>
  <c r="A772" i="172"/>
  <c r="D772" i="172"/>
  <c r="E772" i="172"/>
  <c r="F772" i="172"/>
  <c r="G772" i="172"/>
  <c r="J772" i="172"/>
  <c r="A773" i="172"/>
  <c r="D773" i="172"/>
  <c r="E773" i="172"/>
  <c r="S773" i="172" s="1"/>
  <c r="F773" i="172"/>
  <c r="G773" i="172"/>
  <c r="J773" i="172"/>
  <c r="A774" i="172"/>
  <c r="D774" i="172"/>
  <c r="E774" i="172"/>
  <c r="U774" i="172" s="1"/>
  <c r="F774" i="172"/>
  <c r="G774" i="172"/>
  <c r="J774" i="172"/>
  <c r="A775" i="172"/>
  <c r="D775" i="172"/>
  <c r="E775" i="172"/>
  <c r="S775" i="172" s="1"/>
  <c r="F775" i="172"/>
  <c r="G775" i="172"/>
  <c r="J775" i="172"/>
  <c r="A776" i="172"/>
  <c r="D776" i="172"/>
  <c r="E776" i="172"/>
  <c r="U776" i="172" s="1"/>
  <c r="F776" i="172"/>
  <c r="G776" i="172"/>
  <c r="J776" i="172"/>
  <c r="A777" i="172"/>
  <c r="D777" i="172"/>
  <c r="E777" i="172"/>
  <c r="T777" i="172" s="1"/>
  <c r="F777" i="172"/>
  <c r="G777" i="172"/>
  <c r="J777" i="172"/>
  <c r="A778" i="172"/>
  <c r="D778" i="172"/>
  <c r="E778" i="172"/>
  <c r="U778" i="172" s="1"/>
  <c r="F778" i="172"/>
  <c r="G778" i="172"/>
  <c r="J778" i="172"/>
  <c r="A779" i="172"/>
  <c r="D779" i="172"/>
  <c r="E779" i="172"/>
  <c r="S779" i="172" s="1"/>
  <c r="F779" i="172"/>
  <c r="G779" i="172"/>
  <c r="J779" i="172"/>
  <c r="A780" i="172"/>
  <c r="D780" i="172"/>
  <c r="E780" i="172"/>
  <c r="F780" i="172"/>
  <c r="G780" i="172"/>
  <c r="J780" i="172"/>
  <c r="A781" i="172"/>
  <c r="D781" i="172"/>
  <c r="E781" i="172"/>
  <c r="S781" i="172" s="1"/>
  <c r="F781" i="172"/>
  <c r="G781" i="172"/>
  <c r="J781" i="172"/>
  <c r="A782" i="172"/>
  <c r="D782" i="172"/>
  <c r="E782" i="172"/>
  <c r="U782" i="172" s="1"/>
  <c r="F782" i="172"/>
  <c r="G782" i="172"/>
  <c r="J782" i="172"/>
  <c r="A783" i="172"/>
  <c r="D783" i="172"/>
  <c r="E783" i="172"/>
  <c r="U783" i="172" s="1"/>
  <c r="F783" i="172"/>
  <c r="G783" i="172"/>
  <c r="J783" i="172"/>
  <c r="A784" i="172"/>
  <c r="D784" i="172"/>
  <c r="E784" i="172"/>
  <c r="U784" i="172" s="1"/>
  <c r="F784" i="172"/>
  <c r="G784" i="172"/>
  <c r="J784" i="172"/>
  <c r="A785" i="172"/>
  <c r="D785" i="172"/>
  <c r="E785" i="172"/>
  <c r="U785" i="172" s="1"/>
  <c r="F785" i="172"/>
  <c r="G785" i="172"/>
  <c r="J785" i="172"/>
  <c r="A786" i="172"/>
  <c r="D786" i="172"/>
  <c r="E786" i="172"/>
  <c r="U786" i="172" s="1"/>
  <c r="F786" i="172"/>
  <c r="G786" i="172"/>
  <c r="J786" i="172"/>
  <c r="A787" i="172"/>
  <c r="D787" i="172"/>
  <c r="E787" i="172"/>
  <c r="F787" i="172"/>
  <c r="G787" i="172"/>
  <c r="J787" i="172"/>
  <c r="A788" i="172"/>
  <c r="D788" i="172"/>
  <c r="E788" i="172"/>
  <c r="F788" i="172"/>
  <c r="G788" i="172"/>
  <c r="J788" i="172"/>
  <c r="A789" i="172"/>
  <c r="D789" i="172"/>
  <c r="E789" i="172"/>
  <c r="T789" i="172" s="1"/>
  <c r="F789" i="172"/>
  <c r="G789" i="172"/>
  <c r="J789" i="172"/>
  <c r="A790" i="172"/>
  <c r="D790" i="172"/>
  <c r="E790" i="172"/>
  <c r="U790" i="172" s="1"/>
  <c r="F790" i="172"/>
  <c r="G790" i="172"/>
  <c r="J790" i="172"/>
  <c r="A791" i="172"/>
  <c r="D791" i="172"/>
  <c r="E791" i="172"/>
  <c r="T791" i="172" s="1"/>
  <c r="F791" i="172"/>
  <c r="G791" i="172"/>
  <c r="J791" i="172"/>
  <c r="A792" i="172"/>
  <c r="D792" i="172"/>
  <c r="E792" i="172"/>
  <c r="U792" i="172" s="1"/>
  <c r="F792" i="172"/>
  <c r="G792" i="172"/>
  <c r="J792" i="172"/>
  <c r="A793" i="172"/>
  <c r="D793" i="172"/>
  <c r="E793" i="172"/>
  <c r="T793" i="172" s="1"/>
  <c r="F793" i="172"/>
  <c r="G793" i="172"/>
  <c r="J793" i="172"/>
  <c r="A794" i="172"/>
  <c r="D794" i="172"/>
  <c r="E794" i="172"/>
  <c r="U794" i="172" s="1"/>
  <c r="F794" i="172"/>
  <c r="G794" i="172"/>
  <c r="J794" i="172"/>
  <c r="A795" i="172"/>
  <c r="D795" i="172"/>
  <c r="E795" i="172"/>
  <c r="S795" i="172" s="1"/>
  <c r="F795" i="172"/>
  <c r="G795" i="172"/>
  <c r="J795" i="172"/>
  <c r="A796" i="172"/>
  <c r="D796" i="172"/>
  <c r="E796" i="172"/>
  <c r="F796" i="172"/>
  <c r="G796" i="172"/>
  <c r="J796" i="172"/>
  <c r="A797" i="172"/>
  <c r="D797" i="172"/>
  <c r="E797" i="172"/>
  <c r="S797" i="172" s="1"/>
  <c r="F797" i="172"/>
  <c r="G797" i="172"/>
  <c r="J797" i="172"/>
  <c r="A798" i="172"/>
  <c r="D798" i="172"/>
  <c r="E798" i="172"/>
  <c r="U798" i="172" s="1"/>
  <c r="F798" i="172"/>
  <c r="G798" i="172"/>
  <c r="J798" i="172"/>
  <c r="A799" i="172"/>
  <c r="D799" i="172"/>
  <c r="E799" i="172"/>
  <c r="U799" i="172" s="1"/>
  <c r="F799" i="172"/>
  <c r="G799" i="172"/>
  <c r="J799" i="172"/>
  <c r="A800" i="172"/>
  <c r="D800" i="172"/>
  <c r="E800" i="172"/>
  <c r="U800" i="172" s="1"/>
  <c r="F800" i="172"/>
  <c r="G800" i="172"/>
  <c r="J800" i="172"/>
  <c r="A801" i="172"/>
  <c r="D801" i="172"/>
  <c r="E801" i="172"/>
  <c r="U801" i="172" s="1"/>
  <c r="F801" i="172"/>
  <c r="G801" i="172"/>
  <c r="J801" i="172"/>
  <c r="A802" i="172"/>
  <c r="D802" i="172"/>
  <c r="E802" i="172"/>
  <c r="U802" i="172" s="1"/>
  <c r="F802" i="172"/>
  <c r="G802" i="172"/>
  <c r="J802" i="172"/>
  <c r="A803" i="172"/>
  <c r="D803" i="172"/>
  <c r="E803" i="172"/>
  <c r="T803" i="172" s="1"/>
  <c r="F803" i="172"/>
  <c r="G803" i="172"/>
  <c r="J803" i="172"/>
  <c r="A804" i="172"/>
  <c r="D804" i="172"/>
  <c r="E804" i="172"/>
  <c r="F804" i="172"/>
  <c r="G804" i="172"/>
  <c r="J804" i="172"/>
  <c r="A805" i="172"/>
  <c r="D805" i="172"/>
  <c r="E805" i="172"/>
  <c r="S805" i="172" s="1"/>
  <c r="F805" i="172"/>
  <c r="G805" i="172"/>
  <c r="J805" i="172"/>
  <c r="A806" i="172"/>
  <c r="D806" i="172"/>
  <c r="E806" i="172"/>
  <c r="U806" i="172" s="1"/>
  <c r="F806" i="172"/>
  <c r="G806" i="172"/>
  <c r="J806" i="172"/>
  <c r="A807" i="172"/>
  <c r="D807" i="172"/>
  <c r="E807" i="172"/>
  <c r="U807" i="172" s="1"/>
  <c r="F807" i="172"/>
  <c r="G807" i="172"/>
  <c r="J807" i="172"/>
  <c r="A808" i="172"/>
  <c r="D808" i="172"/>
  <c r="E808" i="172"/>
  <c r="U808" i="172" s="1"/>
  <c r="F808" i="172"/>
  <c r="G808" i="172"/>
  <c r="J808" i="172"/>
  <c r="A809" i="172"/>
  <c r="D809" i="172"/>
  <c r="E809" i="172"/>
  <c r="S809" i="172" s="1"/>
  <c r="F809" i="172"/>
  <c r="G809" i="172"/>
  <c r="J809" i="172"/>
  <c r="A810" i="172"/>
  <c r="D810" i="172"/>
  <c r="E810" i="172"/>
  <c r="U810" i="172" s="1"/>
  <c r="F810" i="172"/>
  <c r="G810" i="172"/>
  <c r="J810" i="172"/>
  <c r="A811" i="172"/>
  <c r="D811" i="172"/>
  <c r="E811" i="172"/>
  <c r="S811" i="172" s="1"/>
  <c r="F811" i="172"/>
  <c r="G811" i="172"/>
  <c r="J811" i="172"/>
  <c r="A812" i="172"/>
  <c r="D812" i="172"/>
  <c r="E812" i="172"/>
  <c r="U812" i="172" s="1"/>
  <c r="F812" i="172"/>
  <c r="G812" i="172"/>
  <c r="J812" i="172"/>
  <c r="A813" i="172"/>
  <c r="D813" i="172"/>
  <c r="E813" i="172"/>
  <c r="S813" i="172" s="1"/>
  <c r="F813" i="172"/>
  <c r="G813" i="172"/>
  <c r="J813" i="172"/>
  <c r="A814" i="172"/>
  <c r="D814" i="172"/>
  <c r="E814" i="172"/>
  <c r="U814" i="172" s="1"/>
  <c r="F814" i="172"/>
  <c r="G814" i="172"/>
  <c r="J814" i="172"/>
  <c r="A815" i="172"/>
  <c r="D815" i="172"/>
  <c r="E815" i="172"/>
  <c r="F815" i="172"/>
  <c r="G815" i="172"/>
  <c r="J815" i="172"/>
  <c r="A816" i="172"/>
  <c r="D816" i="172"/>
  <c r="E816" i="172"/>
  <c r="U816" i="172" s="1"/>
  <c r="F816" i="172"/>
  <c r="G816" i="172"/>
  <c r="J816" i="172"/>
  <c r="A817" i="172"/>
  <c r="D817" i="172"/>
  <c r="E817" i="172"/>
  <c r="S817" i="172" s="1"/>
  <c r="F817" i="172"/>
  <c r="G817" i="172"/>
  <c r="J817" i="172"/>
  <c r="A818" i="172"/>
  <c r="D818" i="172"/>
  <c r="E818" i="172"/>
  <c r="U818" i="172" s="1"/>
  <c r="F818" i="172"/>
  <c r="G818" i="172"/>
  <c r="J818" i="172"/>
  <c r="A819" i="172"/>
  <c r="D819" i="172"/>
  <c r="E819" i="172"/>
  <c r="F819" i="172"/>
  <c r="G819" i="172"/>
  <c r="J819" i="172"/>
  <c r="A820" i="172"/>
  <c r="D820" i="172"/>
  <c r="E820" i="172"/>
  <c r="U820" i="172" s="1"/>
  <c r="F820" i="172"/>
  <c r="G820" i="172"/>
  <c r="J820" i="172"/>
  <c r="A821" i="172"/>
  <c r="D821" i="172"/>
  <c r="E821" i="172"/>
  <c r="S821" i="172" s="1"/>
  <c r="F821" i="172"/>
  <c r="G821" i="172"/>
  <c r="J821" i="172"/>
  <c r="A822" i="172"/>
  <c r="D822" i="172"/>
  <c r="E822" i="172"/>
  <c r="S822" i="172" s="1"/>
  <c r="F822" i="172"/>
  <c r="G822" i="172"/>
  <c r="J822" i="172"/>
  <c r="A823" i="172"/>
  <c r="D823" i="172"/>
  <c r="E823" i="172"/>
  <c r="F823" i="172"/>
  <c r="G823" i="172"/>
  <c r="J823" i="172"/>
  <c r="A824" i="172"/>
  <c r="D824" i="172"/>
  <c r="E824" i="172"/>
  <c r="U824" i="172" s="1"/>
  <c r="F824" i="172"/>
  <c r="G824" i="172"/>
  <c r="J824" i="172"/>
  <c r="A825" i="172"/>
  <c r="D825" i="172"/>
  <c r="E825" i="172"/>
  <c r="S825" i="172" s="1"/>
  <c r="F825" i="172"/>
  <c r="G825" i="172"/>
  <c r="J825" i="172"/>
  <c r="A826" i="172"/>
  <c r="D826" i="172"/>
  <c r="E826" i="172"/>
  <c r="U826" i="172" s="1"/>
  <c r="F826" i="172"/>
  <c r="G826" i="172"/>
  <c r="J826" i="172"/>
  <c r="A827" i="172"/>
  <c r="D827" i="172"/>
  <c r="E827" i="172"/>
  <c r="F827" i="172"/>
  <c r="G827" i="172"/>
  <c r="J827" i="172"/>
  <c r="A828" i="172"/>
  <c r="D828" i="172"/>
  <c r="E828" i="172"/>
  <c r="U828" i="172" s="1"/>
  <c r="F828" i="172"/>
  <c r="G828" i="172"/>
  <c r="J828" i="172"/>
  <c r="A829" i="172"/>
  <c r="D829" i="172"/>
  <c r="E829" i="172"/>
  <c r="S829" i="172" s="1"/>
  <c r="F829" i="172"/>
  <c r="G829" i="172"/>
  <c r="J829" i="172"/>
  <c r="A830" i="172"/>
  <c r="D830" i="172"/>
  <c r="E830" i="172"/>
  <c r="U830" i="172" s="1"/>
  <c r="F830" i="172"/>
  <c r="G830" i="172"/>
  <c r="J830" i="172"/>
  <c r="A831" i="172"/>
  <c r="D831" i="172"/>
  <c r="E831" i="172"/>
  <c r="F831" i="172"/>
  <c r="G831" i="172"/>
  <c r="J831" i="172"/>
  <c r="A832" i="172"/>
  <c r="D832" i="172"/>
  <c r="E832" i="172"/>
  <c r="U832" i="172" s="1"/>
  <c r="F832" i="172"/>
  <c r="G832" i="172"/>
  <c r="J832" i="172"/>
  <c r="A833" i="172"/>
  <c r="D833" i="172"/>
  <c r="E833" i="172"/>
  <c r="S833" i="172" s="1"/>
  <c r="F833" i="172"/>
  <c r="G833" i="172"/>
  <c r="J833" i="172"/>
  <c r="A834" i="172"/>
  <c r="D834" i="172"/>
  <c r="E834" i="172"/>
  <c r="U834" i="172" s="1"/>
  <c r="F834" i="172"/>
  <c r="G834" i="172"/>
  <c r="J834" i="172"/>
  <c r="A835" i="172"/>
  <c r="D835" i="172"/>
  <c r="E835" i="172"/>
  <c r="F835" i="172"/>
  <c r="G835" i="172"/>
  <c r="J835" i="172"/>
  <c r="A836" i="172"/>
  <c r="D836" i="172"/>
  <c r="E836" i="172"/>
  <c r="U836" i="172" s="1"/>
  <c r="F836" i="172"/>
  <c r="G836" i="172"/>
  <c r="J836" i="172"/>
  <c r="A837" i="172"/>
  <c r="D837" i="172"/>
  <c r="E837" i="172"/>
  <c r="S837" i="172" s="1"/>
  <c r="F837" i="172"/>
  <c r="G837" i="172"/>
  <c r="J837" i="172"/>
  <c r="A838" i="172"/>
  <c r="D838" i="172"/>
  <c r="E838" i="172"/>
  <c r="S838" i="172" s="1"/>
  <c r="F838" i="172"/>
  <c r="G838" i="172"/>
  <c r="J838" i="172"/>
  <c r="A839" i="172"/>
  <c r="D839" i="172"/>
  <c r="E839" i="172"/>
  <c r="F839" i="172"/>
  <c r="G839" i="172"/>
  <c r="J839" i="172"/>
  <c r="A840" i="172"/>
  <c r="D840" i="172"/>
  <c r="E840" i="172"/>
  <c r="U840" i="172" s="1"/>
  <c r="F840" i="172"/>
  <c r="G840" i="172"/>
  <c r="J840" i="172"/>
  <c r="A841" i="172"/>
  <c r="D841" i="172"/>
  <c r="E841" i="172"/>
  <c r="S841" i="172" s="1"/>
  <c r="F841" i="172"/>
  <c r="G841" i="172"/>
  <c r="J841" i="172"/>
  <c r="A842" i="172"/>
  <c r="D842" i="172"/>
  <c r="E842" i="172"/>
  <c r="U842" i="172" s="1"/>
  <c r="F842" i="172"/>
  <c r="G842" i="172"/>
  <c r="J842" i="172"/>
  <c r="A843" i="172"/>
  <c r="D843" i="172"/>
  <c r="E843" i="172"/>
  <c r="F843" i="172"/>
  <c r="G843" i="172"/>
  <c r="J843" i="172"/>
  <c r="A844" i="172"/>
  <c r="D844" i="172"/>
  <c r="E844" i="172"/>
  <c r="U844" i="172" s="1"/>
  <c r="F844" i="172"/>
  <c r="G844" i="172"/>
  <c r="J844" i="172"/>
  <c r="A845" i="172"/>
  <c r="D845" i="172"/>
  <c r="E845" i="172"/>
  <c r="S845" i="172" s="1"/>
  <c r="F845" i="172"/>
  <c r="G845" i="172"/>
  <c r="J845" i="172"/>
  <c r="A846" i="172"/>
  <c r="D846" i="172"/>
  <c r="E846" i="172"/>
  <c r="U846" i="172" s="1"/>
  <c r="F846" i="172"/>
  <c r="G846" i="172"/>
  <c r="J846" i="172"/>
  <c r="A847" i="172"/>
  <c r="D847" i="172"/>
  <c r="E847" i="172"/>
  <c r="F847" i="172"/>
  <c r="G847" i="172"/>
  <c r="J847" i="172"/>
  <c r="A848" i="172"/>
  <c r="D848" i="172"/>
  <c r="E848" i="172"/>
  <c r="U848" i="172" s="1"/>
  <c r="F848" i="172"/>
  <c r="G848" i="172"/>
  <c r="J848" i="172"/>
  <c r="S848" i="172"/>
  <c r="A849" i="172"/>
  <c r="D849" i="172"/>
  <c r="E849" i="172"/>
  <c r="S849" i="172" s="1"/>
  <c r="F849" i="172"/>
  <c r="G849" i="172"/>
  <c r="J849" i="172"/>
  <c r="A850" i="172"/>
  <c r="D850" i="172"/>
  <c r="E850" i="172"/>
  <c r="U850" i="172" s="1"/>
  <c r="F850" i="172"/>
  <c r="G850" i="172"/>
  <c r="J850" i="172"/>
  <c r="A851" i="172"/>
  <c r="D851" i="172"/>
  <c r="E851" i="172"/>
  <c r="F851" i="172"/>
  <c r="G851" i="172"/>
  <c r="J851" i="172"/>
  <c r="A852" i="172"/>
  <c r="D852" i="172"/>
  <c r="E852" i="172"/>
  <c r="U852" i="172" s="1"/>
  <c r="F852" i="172"/>
  <c r="G852" i="172"/>
  <c r="J852" i="172"/>
  <c r="A853" i="172"/>
  <c r="D853" i="172"/>
  <c r="E853" i="172"/>
  <c r="S853" i="172" s="1"/>
  <c r="F853" i="172"/>
  <c r="G853" i="172"/>
  <c r="J853" i="172"/>
  <c r="A854" i="172"/>
  <c r="D854" i="172"/>
  <c r="E854" i="172"/>
  <c r="S854" i="172" s="1"/>
  <c r="F854" i="172"/>
  <c r="G854" i="172"/>
  <c r="J854" i="172"/>
  <c r="A855" i="172"/>
  <c r="D855" i="172"/>
  <c r="E855" i="172"/>
  <c r="F855" i="172"/>
  <c r="G855" i="172"/>
  <c r="J855" i="172"/>
  <c r="A856" i="172"/>
  <c r="D856" i="172"/>
  <c r="E856" i="172"/>
  <c r="U856" i="172" s="1"/>
  <c r="F856" i="172"/>
  <c r="G856" i="172"/>
  <c r="J856" i="172"/>
  <c r="A857" i="172"/>
  <c r="D857" i="172"/>
  <c r="E857" i="172"/>
  <c r="S857" i="172" s="1"/>
  <c r="F857" i="172"/>
  <c r="G857" i="172"/>
  <c r="J857" i="172"/>
  <c r="A858" i="172"/>
  <c r="D858" i="172"/>
  <c r="E858" i="172"/>
  <c r="U858" i="172" s="1"/>
  <c r="F858" i="172"/>
  <c r="G858" i="172"/>
  <c r="J858" i="172"/>
  <c r="A859" i="172"/>
  <c r="D859" i="172"/>
  <c r="E859" i="172"/>
  <c r="F859" i="172"/>
  <c r="G859" i="172"/>
  <c r="J859" i="172"/>
  <c r="A860" i="172"/>
  <c r="D860" i="172"/>
  <c r="E860" i="172"/>
  <c r="U860" i="172" s="1"/>
  <c r="F860" i="172"/>
  <c r="G860" i="172"/>
  <c r="J860" i="172"/>
  <c r="A861" i="172"/>
  <c r="D861" i="172"/>
  <c r="E861" i="172"/>
  <c r="S861" i="172" s="1"/>
  <c r="F861" i="172"/>
  <c r="G861" i="172"/>
  <c r="J861" i="172"/>
  <c r="A862" i="172"/>
  <c r="D862" i="172"/>
  <c r="E862" i="172"/>
  <c r="U862" i="172" s="1"/>
  <c r="F862" i="172"/>
  <c r="G862" i="172"/>
  <c r="J862" i="172"/>
  <c r="A863" i="172"/>
  <c r="D863" i="172"/>
  <c r="E863" i="172"/>
  <c r="F863" i="172"/>
  <c r="G863" i="172"/>
  <c r="J863" i="172"/>
  <c r="A864" i="172"/>
  <c r="D864" i="172"/>
  <c r="E864" i="172"/>
  <c r="U864" i="172" s="1"/>
  <c r="F864" i="172"/>
  <c r="G864" i="172"/>
  <c r="J864" i="172"/>
  <c r="S864" i="172"/>
  <c r="A865" i="172"/>
  <c r="D865" i="172"/>
  <c r="E865" i="172"/>
  <c r="S865" i="172" s="1"/>
  <c r="F865" i="172"/>
  <c r="G865" i="172"/>
  <c r="J865" i="172"/>
  <c r="A866" i="172"/>
  <c r="D866" i="172"/>
  <c r="E866" i="172"/>
  <c r="U866" i="172" s="1"/>
  <c r="F866" i="172"/>
  <c r="G866" i="172"/>
  <c r="J866" i="172"/>
  <c r="A867" i="172"/>
  <c r="D867" i="172"/>
  <c r="E867" i="172"/>
  <c r="F867" i="172"/>
  <c r="G867" i="172"/>
  <c r="J867" i="172"/>
  <c r="A868" i="172"/>
  <c r="D868" i="172"/>
  <c r="E868" i="172"/>
  <c r="U868" i="172" s="1"/>
  <c r="F868" i="172"/>
  <c r="G868" i="172"/>
  <c r="J868" i="172"/>
  <c r="A869" i="172"/>
  <c r="D869" i="172"/>
  <c r="E869" i="172"/>
  <c r="S869" i="172" s="1"/>
  <c r="F869" i="172"/>
  <c r="G869" i="172"/>
  <c r="J869" i="172"/>
  <c r="A870" i="172"/>
  <c r="D870" i="172"/>
  <c r="E870" i="172"/>
  <c r="U870" i="172" s="1"/>
  <c r="F870" i="172"/>
  <c r="G870" i="172"/>
  <c r="J870" i="172"/>
  <c r="A871" i="172"/>
  <c r="D871" i="172"/>
  <c r="E871" i="172"/>
  <c r="F871" i="172"/>
  <c r="G871" i="172"/>
  <c r="J871" i="172"/>
  <c r="A872" i="172"/>
  <c r="D872" i="172"/>
  <c r="E872" i="172"/>
  <c r="U872" i="172" s="1"/>
  <c r="F872" i="172"/>
  <c r="G872" i="172"/>
  <c r="J872" i="172"/>
  <c r="A873" i="172"/>
  <c r="D873" i="172"/>
  <c r="E873" i="172"/>
  <c r="S873" i="172" s="1"/>
  <c r="F873" i="172"/>
  <c r="G873" i="172"/>
  <c r="J873" i="172"/>
  <c r="A874" i="172"/>
  <c r="D874" i="172"/>
  <c r="E874" i="172"/>
  <c r="U874" i="172" s="1"/>
  <c r="F874" i="172"/>
  <c r="G874" i="172"/>
  <c r="J874" i="172"/>
  <c r="A875" i="172"/>
  <c r="D875" i="172"/>
  <c r="E875" i="172"/>
  <c r="F875" i="172"/>
  <c r="G875" i="172"/>
  <c r="J875" i="172"/>
  <c r="A876" i="172"/>
  <c r="D876" i="172"/>
  <c r="E876" i="172"/>
  <c r="U876" i="172" s="1"/>
  <c r="F876" i="172"/>
  <c r="G876" i="172"/>
  <c r="J876" i="172"/>
  <c r="A877" i="172"/>
  <c r="D877" i="172"/>
  <c r="E877" i="172"/>
  <c r="S877" i="172" s="1"/>
  <c r="F877" i="172"/>
  <c r="G877" i="172"/>
  <c r="J877" i="172"/>
  <c r="A878" i="172"/>
  <c r="D878" i="172"/>
  <c r="E878" i="172"/>
  <c r="U878" i="172" s="1"/>
  <c r="F878" i="172"/>
  <c r="G878" i="172"/>
  <c r="J878" i="172"/>
  <c r="A879" i="172"/>
  <c r="D879" i="172"/>
  <c r="E879" i="172"/>
  <c r="F879" i="172"/>
  <c r="G879" i="172"/>
  <c r="J879" i="172"/>
  <c r="A880" i="172"/>
  <c r="D880" i="172"/>
  <c r="E880" i="172"/>
  <c r="U880" i="172" s="1"/>
  <c r="F880" i="172"/>
  <c r="G880" i="172"/>
  <c r="J880" i="172"/>
  <c r="A881" i="172"/>
  <c r="D881" i="172"/>
  <c r="E881" i="172"/>
  <c r="S881" i="172" s="1"/>
  <c r="F881" i="172"/>
  <c r="G881" i="172"/>
  <c r="J881" i="172"/>
  <c r="A882" i="172"/>
  <c r="D882" i="172"/>
  <c r="E882" i="172"/>
  <c r="U882" i="172" s="1"/>
  <c r="F882" i="172"/>
  <c r="G882" i="172"/>
  <c r="J882" i="172"/>
  <c r="A883" i="172"/>
  <c r="D883" i="172"/>
  <c r="E883" i="172"/>
  <c r="F883" i="172"/>
  <c r="G883" i="172"/>
  <c r="J883" i="172"/>
  <c r="A884" i="172"/>
  <c r="D884" i="172"/>
  <c r="E884" i="172"/>
  <c r="U884" i="172" s="1"/>
  <c r="F884" i="172"/>
  <c r="G884" i="172"/>
  <c r="J884" i="172"/>
  <c r="A885" i="172"/>
  <c r="D885" i="172"/>
  <c r="E885" i="172"/>
  <c r="S885" i="172" s="1"/>
  <c r="F885" i="172"/>
  <c r="G885" i="172"/>
  <c r="J885" i="172"/>
  <c r="A886" i="172"/>
  <c r="D886" i="172"/>
  <c r="E886" i="172"/>
  <c r="U886" i="172" s="1"/>
  <c r="F886" i="172"/>
  <c r="G886" i="172"/>
  <c r="J886" i="172"/>
  <c r="A887" i="172"/>
  <c r="D887" i="172"/>
  <c r="E887" i="172"/>
  <c r="F887" i="172"/>
  <c r="G887" i="172"/>
  <c r="J887" i="172"/>
  <c r="A888" i="172"/>
  <c r="D888" i="172"/>
  <c r="E888" i="172"/>
  <c r="U888" i="172" s="1"/>
  <c r="F888" i="172"/>
  <c r="G888" i="172"/>
  <c r="J888" i="172"/>
  <c r="A889" i="172"/>
  <c r="D889" i="172"/>
  <c r="E889" i="172"/>
  <c r="S889" i="172" s="1"/>
  <c r="F889" i="172"/>
  <c r="G889" i="172"/>
  <c r="J889" i="172"/>
  <c r="A890" i="172"/>
  <c r="D890" i="172"/>
  <c r="E890" i="172"/>
  <c r="U890" i="172" s="1"/>
  <c r="F890" i="172"/>
  <c r="G890" i="172"/>
  <c r="J890" i="172"/>
  <c r="A891" i="172"/>
  <c r="D891" i="172"/>
  <c r="E891" i="172"/>
  <c r="F891" i="172"/>
  <c r="G891" i="172"/>
  <c r="J891" i="172"/>
  <c r="A892" i="172"/>
  <c r="D892" i="172"/>
  <c r="E892" i="172"/>
  <c r="U892" i="172" s="1"/>
  <c r="F892" i="172"/>
  <c r="G892" i="172"/>
  <c r="J892" i="172"/>
  <c r="A893" i="172"/>
  <c r="D893" i="172"/>
  <c r="E893" i="172"/>
  <c r="S893" i="172" s="1"/>
  <c r="F893" i="172"/>
  <c r="G893" i="172"/>
  <c r="J893" i="172"/>
  <c r="A894" i="172"/>
  <c r="D894" i="172"/>
  <c r="E894" i="172"/>
  <c r="U894" i="172" s="1"/>
  <c r="F894" i="172"/>
  <c r="G894" i="172"/>
  <c r="J894" i="172"/>
  <c r="A895" i="172"/>
  <c r="D895" i="172"/>
  <c r="E895" i="172"/>
  <c r="F895" i="172"/>
  <c r="G895" i="172"/>
  <c r="J895" i="172"/>
  <c r="A896" i="172"/>
  <c r="D896" i="172"/>
  <c r="E896" i="172"/>
  <c r="U896" i="172" s="1"/>
  <c r="F896" i="172"/>
  <c r="G896" i="172"/>
  <c r="J896" i="172"/>
  <c r="A897" i="172"/>
  <c r="D897" i="172"/>
  <c r="E897" i="172"/>
  <c r="S897" i="172" s="1"/>
  <c r="F897" i="172"/>
  <c r="G897" i="172"/>
  <c r="J897" i="172"/>
  <c r="A898" i="172"/>
  <c r="D898" i="172"/>
  <c r="E898" i="172"/>
  <c r="U898" i="172" s="1"/>
  <c r="F898" i="172"/>
  <c r="G898" i="172"/>
  <c r="J898" i="172"/>
  <c r="A899" i="172"/>
  <c r="D899" i="172"/>
  <c r="E899" i="172"/>
  <c r="F899" i="172"/>
  <c r="G899" i="172"/>
  <c r="J899" i="172"/>
  <c r="A900" i="172"/>
  <c r="D900" i="172"/>
  <c r="E900" i="172"/>
  <c r="U900" i="172" s="1"/>
  <c r="F900" i="172"/>
  <c r="G900" i="172"/>
  <c r="J900" i="172"/>
  <c r="A901" i="172"/>
  <c r="D901" i="172"/>
  <c r="E901" i="172"/>
  <c r="V901" i="172" s="1"/>
  <c r="F901" i="172"/>
  <c r="G901" i="172"/>
  <c r="J901" i="172"/>
  <c r="A902" i="172"/>
  <c r="D902" i="172"/>
  <c r="E902" i="172"/>
  <c r="T902" i="172" s="1"/>
  <c r="F902" i="172"/>
  <c r="G902" i="172"/>
  <c r="J902" i="172"/>
  <c r="A903" i="172"/>
  <c r="D903" i="172"/>
  <c r="E903" i="172"/>
  <c r="V903" i="172" s="1"/>
  <c r="F903" i="172"/>
  <c r="G903" i="172"/>
  <c r="J903" i="172"/>
  <c r="A904" i="172"/>
  <c r="D904" i="172"/>
  <c r="E904" i="172"/>
  <c r="T904" i="172" s="1"/>
  <c r="F904" i="172"/>
  <c r="G904" i="172"/>
  <c r="J904" i="172"/>
  <c r="A905" i="172"/>
  <c r="D905" i="172"/>
  <c r="E905" i="172"/>
  <c r="V905" i="172" s="1"/>
  <c r="F905" i="172"/>
  <c r="G905" i="172"/>
  <c r="J905" i="172"/>
  <c r="A906" i="172"/>
  <c r="D906" i="172"/>
  <c r="E906" i="172"/>
  <c r="T906" i="172" s="1"/>
  <c r="F906" i="172"/>
  <c r="G906" i="172"/>
  <c r="J906" i="172"/>
  <c r="A907" i="172"/>
  <c r="D907" i="172"/>
  <c r="E907" i="172"/>
  <c r="V907" i="172" s="1"/>
  <c r="F907" i="172"/>
  <c r="G907" i="172"/>
  <c r="J907" i="172"/>
  <c r="A908" i="172"/>
  <c r="D908" i="172"/>
  <c r="E908" i="172"/>
  <c r="T908" i="172" s="1"/>
  <c r="F908" i="172"/>
  <c r="G908" i="172"/>
  <c r="J908" i="172"/>
  <c r="A909" i="172"/>
  <c r="D909" i="172"/>
  <c r="E909" i="172"/>
  <c r="S909" i="172" s="1"/>
  <c r="F909" i="172"/>
  <c r="G909" i="172"/>
  <c r="J909" i="172"/>
  <c r="A910" i="172"/>
  <c r="D910" i="172"/>
  <c r="E910" i="172"/>
  <c r="S910" i="172" s="1"/>
  <c r="F910" i="172"/>
  <c r="G910" i="172"/>
  <c r="J910" i="172"/>
  <c r="A911" i="172"/>
  <c r="D911" i="172"/>
  <c r="E911" i="172"/>
  <c r="F911" i="172"/>
  <c r="G911" i="172"/>
  <c r="J911" i="172"/>
  <c r="A912" i="172"/>
  <c r="D912" i="172"/>
  <c r="E912" i="172"/>
  <c r="S912" i="172" s="1"/>
  <c r="F912" i="172"/>
  <c r="G912" i="172"/>
  <c r="J912" i="172"/>
  <c r="T912" i="172"/>
  <c r="A913" i="172"/>
  <c r="D913" i="172"/>
  <c r="E913" i="172"/>
  <c r="U913" i="172" s="1"/>
  <c r="F913" i="172"/>
  <c r="G913" i="172"/>
  <c r="J913" i="172"/>
  <c r="A914" i="172"/>
  <c r="D914" i="172"/>
  <c r="E914" i="172"/>
  <c r="S914" i="172" s="1"/>
  <c r="F914" i="172"/>
  <c r="G914" i="172"/>
  <c r="J914" i="172"/>
  <c r="T914" i="172"/>
  <c r="A915" i="172"/>
  <c r="D915" i="172"/>
  <c r="E915" i="172"/>
  <c r="F915" i="172"/>
  <c r="G915" i="172"/>
  <c r="J915" i="172"/>
  <c r="A916" i="172"/>
  <c r="D916" i="172"/>
  <c r="E916" i="172"/>
  <c r="S916" i="172" s="1"/>
  <c r="F916" i="172"/>
  <c r="G916" i="172"/>
  <c r="J916" i="172"/>
  <c r="A917" i="172"/>
  <c r="D917" i="172"/>
  <c r="E917" i="172"/>
  <c r="F917" i="172"/>
  <c r="G917" i="172"/>
  <c r="J917" i="172"/>
  <c r="A918" i="172"/>
  <c r="D918" i="172"/>
  <c r="E918" i="172"/>
  <c r="S918" i="172" s="1"/>
  <c r="F918" i="172"/>
  <c r="G918" i="172"/>
  <c r="J918" i="172"/>
  <c r="A919" i="172"/>
  <c r="D919" i="172"/>
  <c r="E919" i="172"/>
  <c r="F919" i="172"/>
  <c r="G919" i="172"/>
  <c r="J919" i="172"/>
  <c r="A920" i="172"/>
  <c r="D920" i="172"/>
  <c r="E920" i="172"/>
  <c r="S920" i="172" s="1"/>
  <c r="F920" i="172"/>
  <c r="G920" i="172"/>
  <c r="J920" i="172"/>
  <c r="A921" i="172"/>
  <c r="D921" i="172"/>
  <c r="E921" i="172"/>
  <c r="U921" i="172" s="1"/>
  <c r="F921" i="172"/>
  <c r="G921" i="172"/>
  <c r="J921" i="172"/>
  <c r="A922" i="172"/>
  <c r="D922" i="172"/>
  <c r="E922" i="172"/>
  <c r="S922" i="172" s="1"/>
  <c r="F922" i="172"/>
  <c r="G922" i="172"/>
  <c r="J922" i="172"/>
  <c r="A923" i="172"/>
  <c r="D923" i="172"/>
  <c r="E923" i="172"/>
  <c r="F923" i="172"/>
  <c r="G923" i="172"/>
  <c r="J923" i="172"/>
  <c r="A924" i="172"/>
  <c r="D924" i="172"/>
  <c r="E924" i="172"/>
  <c r="S924" i="172" s="1"/>
  <c r="F924" i="172"/>
  <c r="G924" i="172"/>
  <c r="J924" i="172"/>
  <c r="A925" i="172"/>
  <c r="D925" i="172"/>
  <c r="E925" i="172"/>
  <c r="F925" i="172"/>
  <c r="G925" i="172"/>
  <c r="J925" i="172"/>
  <c r="A926" i="172"/>
  <c r="D926" i="172"/>
  <c r="E926" i="172"/>
  <c r="S926" i="172" s="1"/>
  <c r="F926" i="172"/>
  <c r="G926" i="172"/>
  <c r="J926" i="172"/>
  <c r="A927" i="172"/>
  <c r="D927" i="172"/>
  <c r="E927" i="172"/>
  <c r="F927" i="172"/>
  <c r="G927" i="172"/>
  <c r="J927" i="172"/>
  <c r="A928" i="172"/>
  <c r="D928" i="172"/>
  <c r="E928" i="172"/>
  <c r="S928" i="172" s="1"/>
  <c r="F928" i="172"/>
  <c r="G928" i="172"/>
  <c r="J928" i="172"/>
  <c r="A929" i="172"/>
  <c r="D929" i="172"/>
  <c r="E929" i="172"/>
  <c r="F929" i="172"/>
  <c r="G929" i="172"/>
  <c r="J929" i="172"/>
  <c r="A930" i="172"/>
  <c r="D930" i="172"/>
  <c r="E930" i="172"/>
  <c r="S930" i="172" s="1"/>
  <c r="F930" i="172"/>
  <c r="G930" i="172"/>
  <c r="J930" i="172"/>
  <c r="A931" i="172"/>
  <c r="D931" i="172"/>
  <c r="E931" i="172"/>
  <c r="F931" i="172"/>
  <c r="G931" i="172"/>
  <c r="J931" i="172"/>
  <c r="A932" i="172"/>
  <c r="D932" i="172"/>
  <c r="E932" i="172"/>
  <c r="S932" i="172" s="1"/>
  <c r="F932" i="172"/>
  <c r="G932" i="172"/>
  <c r="J932" i="172"/>
  <c r="A933" i="172"/>
  <c r="D933" i="172"/>
  <c r="E933" i="172"/>
  <c r="U933" i="172" s="1"/>
  <c r="F933" i="172"/>
  <c r="G933" i="172"/>
  <c r="J933" i="172"/>
  <c r="A934" i="172"/>
  <c r="D934" i="172"/>
  <c r="E934" i="172"/>
  <c r="S934" i="172" s="1"/>
  <c r="F934" i="172"/>
  <c r="G934" i="172"/>
  <c r="J934" i="172"/>
  <c r="A935" i="172"/>
  <c r="D935" i="172"/>
  <c r="E935" i="172"/>
  <c r="F935" i="172"/>
  <c r="G935" i="172"/>
  <c r="J935" i="172"/>
  <c r="A936" i="172"/>
  <c r="D936" i="172"/>
  <c r="E936" i="172"/>
  <c r="S936" i="172" s="1"/>
  <c r="F936" i="172"/>
  <c r="G936" i="172"/>
  <c r="J936" i="172"/>
  <c r="A937" i="172"/>
  <c r="D937" i="172"/>
  <c r="E937" i="172"/>
  <c r="F937" i="172"/>
  <c r="G937" i="172"/>
  <c r="J937" i="172"/>
  <c r="A938" i="172"/>
  <c r="D938" i="172"/>
  <c r="E938" i="172"/>
  <c r="S938" i="172" s="1"/>
  <c r="F938" i="172"/>
  <c r="G938" i="172"/>
  <c r="J938" i="172"/>
  <c r="A939" i="172"/>
  <c r="D939" i="172"/>
  <c r="E939" i="172"/>
  <c r="F939" i="172"/>
  <c r="G939" i="172"/>
  <c r="J939" i="172"/>
  <c r="A940" i="172"/>
  <c r="D940" i="172"/>
  <c r="E940" i="172"/>
  <c r="S940" i="172" s="1"/>
  <c r="F940" i="172"/>
  <c r="G940" i="172"/>
  <c r="J940" i="172"/>
  <c r="A941" i="172"/>
  <c r="D941" i="172"/>
  <c r="E941" i="172"/>
  <c r="U941" i="172" s="1"/>
  <c r="F941" i="172"/>
  <c r="G941" i="172"/>
  <c r="J941" i="172"/>
  <c r="A942" i="172"/>
  <c r="D942" i="172"/>
  <c r="E942" i="172"/>
  <c r="S942" i="172" s="1"/>
  <c r="F942" i="172"/>
  <c r="G942" i="172"/>
  <c r="J942" i="172"/>
  <c r="A943" i="172"/>
  <c r="D943" i="172"/>
  <c r="E943" i="172"/>
  <c r="F943" i="172"/>
  <c r="G943" i="172"/>
  <c r="J943" i="172"/>
  <c r="A944" i="172"/>
  <c r="D944" i="172"/>
  <c r="E944" i="172"/>
  <c r="S944" i="172" s="1"/>
  <c r="F944" i="172"/>
  <c r="G944" i="172"/>
  <c r="J944" i="172"/>
  <c r="A945" i="172"/>
  <c r="D945" i="172"/>
  <c r="E945" i="172"/>
  <c r="F945" i="172"/>
  <c r="G945" i="172"/>
  <c r="J945" i="172"/>
  <c r="A946" i="172"/>
  <c r="D946" i="172"/>
  <c r="E946" i="172"/>
  <c r="S946" i="172" s="1"/>
  <c r="F946" i="172"/>
  <c r="G946" i="172"/>
  <c r="J946" i="172"/>
  <c r="A947" i="172"/>
  <c r="D947" i="172"/>
  <c r="E947" i="172"/>
  <c r="F947" i="172"/>
  <c r="G947" i="172"/>
  <c r="J947" i="172"/>
  <c r="A948" i="172"/>
  <c r="D948" i="172"/>
  <c r="E948" i="172"/>
  <c r="T948" i="172" s="1"/>
  <c r="F948" i="172"/>
  <c r="G948" i="172"/>
  <c r="J948" i="172"/>
  <c r="A949" i="172"/>
  <c r="D949" i="172"/>
  <c r="E949" i="172"/>
  <c r="F949" i="172"/>
  <c r="G949" i="172"/>
  <c r="J949" i="172"/>
  <c r="A950" i="172"/>
  <c r="D950" i="172"/>
  <c r="E950" i="172"/>
  <c r="V950" i="172" s="1"/>
  <c r="F950" i="172"/>
  <c r="G950" i="172"/>
  <c r="J950" i="172"/>
  <c r="A951" i="172"/>
  <c r="D951" i="172"/>
  <c r="E951" i="172"/>
  <c r="F951" i="172"/>
  <c r="G951" i="172"/>
  <c r="J951" i="172"/>
  <c r="A952" i="172"/>
  <c r="D952" i="172"/>
  <c r="E952" i="172"/>
  <c r="T952" i="172" s="1"/>
  <c r="F952" i="172"/>
  <c r="G952" i="172"/>
  <c r="J952" i="172"/>
  <c r="A953" i="172"/>
  <c r="D953" i="172"/>
  <c r="E953" i="172"/>
  <c r="F953" i="172"/>
  <c r="G953" i="172"/>
  <c r="J953" i="172"/>
  <c r="A954" i="172"/>
  <c r="D954" i="172"/>
  <c r="E954" i="172"/>
  <c r="V954" i="172" s="1"/>
  <c r="F954" i="172"/>
  <c r="G954" i="172"/>
  <c r="J954" i="172"/>
  <c r="A955" i="172"/>
  <c r="D955" i="172"/>
  <c r="E955" i="172"/>
  <c r="F955" i="172"/>
  <c r="G955" i="172"/>
  <c r="J955" i="172"/>
  <c r="A956" i="172"/>
  <c r="D956" i="172"/>
  <c r="E956" i="172"/>
  <c r="T956" i="172" s="1"/>
  <c r="F956" i="172"/>
  <c r="G956" i="172"/>
  <c r="J956" i="172"/>
  <c r="A957" i="172"/>
  <c r="D957" i="172"/>
  <c r="E957" i="172"/>
  <c r="F957" i="172"/>
  <c r="G957" i="172"/>
  <c r="J957" i="172"/>
  <c r="A958" i="172"/>
  <c r="D958" i="172"/>
  <c r="E958" i="172"/>
  <c r="V958" i="172" s="1"/>
  <c r="F958" i="172"/>
  <c r="G958" i="172"/>
  <c r="J958" i="172"/>
  <c r="A959" i="172"/>
  <c r="D959" i="172"/>
  <c r="E959" i="172"/>
  <c r="V959" i="172" s="1"/>
  <c r="F959" i="172"/>
  <c r="G959" i="172"/>
  <c r="J959" i="172"/>
  <c r="A960" i="172"/>
  <c r="D960" i="172"/>
  <c r="E960" i="172"/>
  <c r="U960" i="172" s="1"/>
  <c r="F960" i="172"/>
  <c r="G960" i="172"/>
  <c r="J960" i="172"/>
  <c r="A961" i="172"/>
  <c r="D961" i="172"/>
  <c r="E961" i="172"/>
  <c r="V961" i="172" s="1"/>
  <c r="F961" i="172"/>
  <c r="G961" i="172"/>
  <c r="J961" i="172"/>
  <c r="A962" i="172"/>
  <c r="D962" i="172"/>
  <c r="E962" i="172"/>
  <c r="V962" i="172" s="1"/>
  <c r="F962" i="172"/>
  <c r="G962" i="172"/>
  <c r="J962" i="172"/>
  <c r="A963" i="172"/>
  <c r="D963" i="172"/>
  <c r="E963" i="172"/>
  <c r="V963" i="172" s="1"/>
  <c r="F963" i="172"/>
  <c r="G963" i="172"/>
  <c r="J963" i="172"/>
  <c r="A964" i="172"/>
  <c r="D964" i="172"/>
  <c r="E964" i="172"/>
  <c r="V964" i="172" s="1"/>
  <c r="F964" i="172"/>
  <c r="G964" i="172"/>
  <c r="J964" i="172"/>
  <c r="A965" i="172"/>
  <c r="D965" i="172"/>
  <c r="E965" i="172"/>
  <c r="V965" i="172" s="1"/>
  <c r="F965" i="172"/>
  <c r="G965" i="172"/>
  <c r="J965" i="172"/>
  <c r="A966" i="172"/>
  <c r="D966" i="172"/>
  <c r="E966" i="172"/>
  <c r="F966" i="172"/>
  <c r="G966" i="172"/>
  <c r="J966" i="172"/>
  <c r="A967" i="172"/>
  <c r="D967" i="172"/>
  <c r="E967" i="172"/>
  <c r="V967" i="172" s="1"/>
  <c r="F967" i="172"/>
  <c r="G967" i="172"/>
  <c r="J967" i="172"/>
  <c r="A968" i="172"/>
  <c r="D968" i="172"/>
  <c r="E968" i="172"/>
  <c r="F968" i="172"/>
  <c r="G968" i="172"/>
  <c r="J968" i="172"/>
  <c r="A969" i="172"/>
  <c r="D969" i="172"/>
  <c r="E969" i="172"/>
  <c r="V969" i="172" s="1"/>
  <c r="F969" i="172"/>
  <c r="G969" i="172"/>
  <c r="J969" i="172"/>
  <c r="A970" i="172"/>
  <c r="D970" i="172"/>
  <c r="E970" i="172"/>
  <c r="F970" i="172"/>
  <c r="G970" i="172"/>
  <c r="J970" i="172"/>
  <c r="A971" i="172"/>
  <c r="D971" i="172"/>
  <c r="E971" i="172"/>
  <c r="V971" i="172" s="1"/>
  <c r="F971" i="172"/>
  <c r="G971" i="172"/>
  <c r="J971" i="172"/>
  <c r="A972" i="172"/>
  <c r="D972" i="172"/>
  <c r="E972" i="172"/>
  <c r="V972" i="172" s="1"/>
  <c r="F972" i="172"/>
  <c r="G972" i="172"/>
  <c r="J972" i="172"/>
  <c r="A973" i="172"/>
  <c r="D973" i="172"/>
  <c r="E973" i="172"/>
  <c r="V973" i="172" s="1"/>
  <c r="F973" i="172"/>
  <c r="G973" i="172"/>
  <c r="J973" i="172"/>
  <c r="A974" i="172"/>
  <c r="D974" i="172"/>
  <c r="E974" i="172"/>
  <c r="U974" i="172" s="1"/>
  <c r="F974" i="172"/>
  <c r="G974" i="172"/>
  <c r="J974" i="172"/>
  <c r="A975" i="172"/>
  <c r="D975" i="172"/>
  <c r="E975" i="172"/>
  <c r="V975" i="172" s="1"/>
  <c r="F975" i="172"/>
  <c r="G975" i="172"/>
  <c r="J975" i="172"/>
  <c r="A976" i="172"/>
  <c r="D976" i="172"/>
  <c r="E976" i="172"/>
  <c r="U976" i="172" s="1"/>
  <c r="F976" i="172"/>
  <c r="G976" i="172"/>
  <c r="J976" i="172"/>
  <c r="A977" i="172"/>
  <c r="D977" i="172"/>
  <c r="E977" i="172"/>
  <c r="V977" i="172" s="1"/>
  <c r="F977" i="172"/>
  <c r="G977" i="172"/>
  <c r="J977" i="172"/>
  <c r="A978" i="172"/>
  <c r="D978" i="172"/>
  <c r="E978" i="172"/>
  <c r="U978" i="172" s="1"/>
  <c r="F978" i="172"/>
  <c r="G978" i="172"/>
  <c r="J978" i="172"/>
  <c r="A979" i="172"/>
  <c r="D979" i="172"/>
  <c r="E979" i="172"/>
  <c r="V979" i="172" s="1"/>
  <c r="F979" i="172"/>
  <c r="G979" i="172"/>
  <c r="J979" i="172"/>
  <c r="A980" i="172"/>
  <c r="D980" i="172"/>
  <c r="E980" i="172"/>
  <c r="U980" i="172" s="1"/>
  <c r="F980" i="172"/>
  <c r="G980" i="172"/>
  <c r="J980" i="172"/>
  <c r="A981" i="172"/>
  <c r="D981" i="172"/>
  <c r="E981" i="172"/>
  <c r="F981" i="172"/>
  <c r="G981" i="172"/>
  <c r="J981" i="172"/>
  <c r="A982" i="172"/>
  <c r="D982" i="172"/>
  <c r="E982" i="172"/>
  <c r="U982" i="172" s="1"/>
  <c r="F982" i="172"/>
  <c r="G982" i="172"/>
  <c r="J982" i="172"/>
  <c r="A983" i="172"/>
  <c r="D983" i="172"/>
  <c r="E983" i="172"/>
  <c r="V983" i="172" s="1"/>
  <c r="F983" i="172"/>
  <c r="G983" i="172"/>
  <c r="J983" i="172"/>
  <c r="A984" i="172"/>
  <c r="D984" i="172"/>
  <c r="E984" i="172"/>
  <c r="U984" i="172" s="1"/>
  <c r="F984" i="172"/>
  <c r="G984" i="172"/>
  <c r="J984" i="172"/>
  <c r="A985" i="172"/>
  <c r="D985" i="172"/>
  <c r="E985" i="172"/>
  <c r="V985" i="172" s="1"/>
  <c r="F985" i="172"/>
  <c r="G985" i="172"/>
  <c r="J985" i="172"/>
  <c r="A986" i="172"/>
  <c r="D986" i="172"/>
  <c r="E986" i="172"/>
  <c r="U986" i="172" s="1"/>
  <c r="F986" i="172"/>
  <c r="G986" i="172"/>
  <c r="J986" i="172"/>
  <c r="A987" i="172"/>
  <c r="D987" i="172"/>
  <c r="E987" i="172"/>
  <c r="V987" i="172" s="1"/>
  <c r="F987" i="172"/>
  <c r="G987" i="172"/>
  <c r="J987" i="172"/>
  <c r="A988" i="172"/>
  <c r="D988" i="172"/>
  <c r="E988" i="172"/>
  <c r="F988" i="172"/>
  <c r="G988" i="172"/>
  <c r="J988" i="172"/>
  <c r="A989" i="172"/>
  <c r="D989" i="172"/>
  <c r="E989" i="172"/>
  <c r="V989" i="172" s="1"/>
  <c r="F989" i="172"/>
  <c r="G989" i="172"/>
  <c r="J989" i="172"/>
  <c r="A990" i="172"/>
  <c r="D990" i="172"/>
  <c r="E990" i="172"/>
  <c r="U990" i="172" s="1"/>
  <c r="F990" i="172"/>
  <c r="G990" i="172"/>
  <c r="J990" i="172"/>
  <c r="A991" i="172"/>
  <c r="D991" i="172"/>
  <c r="E991" i="172"/>
  <c r="V991" i="172" s="1"/>
  <c r="F991" i="172"/>
  <c r="G991" i="172"/>
  <c r="J991" i="172"/>
  <c r="A992" i="172"/>
  <c r="D992" i="172"/>
  <c r="E992" i="172"/>
  <c r="U992" i="172" s="1"/>
  <c r="F992" i="172"/>
  <c r="G992" i="172"/>
  <c r="J992" i="172"/>
  <c r="A993" i="172"/>
  <c r="D993" i="172"/>
  <c r="E993" i="172"/>
  <c r="V993" i="172" s="1"/>
  <c r="F993" i="172"/>
  <c r="G993" i="172"/>
  <c r="J993" i="172"/>
  <c r="A994" i="172"/>
  <c r="D994" i="172"/>
  <c r="E994" i="172"/>
  <c r="U994" i="172" s="1"/>
  <c r="F994" i="172"/>
  <c r="G994" i="172"/>
  <c r="J994" i="172"/>
  <c r="A995" i="172"/>
  <c r="D995" i="172"/>
  <c r="E995" i="172"/>
  <c r="V995" i="172" s="1"/>
  <c r="F995" i="172"/>
  <c r="G995" i="172"/>
  <c r="J995" i="172"/>
  <c r="A996" i="172"/>
  <c r="D996" i="172"/>
  <c r="E996" i="172"/>
  <c r="T996" i="172" s="1"/>
  <c r="F996" i="172"/>
  <c r="G996" i="172"/>
  <c r="J996" i="172"/>
  <c r="A997" i="172"/>
  <c r="D997" i="172"/>
  <c r="E997" i="172"/>
  <c r="S997" i="172" s="1"/>
  <c r="F997" i="172"/>
  <c r="G997" i="172"/>
  <c r="J997" i="172"/>
  <c r="A998" i="172"/>
  <c r="D998" i="172"/>
  <c r="E998" i="172"/>
  <c r="F998" i="172"/>
  <c r="G998" i="172"/>
  <c r="J998" i="172"/>
  <c r="A999" i="172"/>
  <c r="D999" i="172"/>
  <c r="E999" i="172"/>
  <c r="T999" i="172" s="1"/>
  <c r="F999" i="172"/>
  <c r="G999" i="172"/>
  <c r="J999" i="172"/>
  <c r="A1000" i="172"/>
  <c r="D1000" i="172"/>
  <c r="E1000" i="172"/>
  <c r="V1000" i="172" s="1"/>
  <c r="F1000" i="172"/>
  <c r="G1000" i="172"/>
  <c r="J1000" i="172"/>
  <c r="A5" i="172"/>
  <c r="D5" i="172"/>
  <c r="E5" i="172"/>
  <c r="V5" i="172" s="1"/>
  <c r="F5" i="172"/>
  <c r="G5" i="172"/>
  <c r="J5" i="172"/>
  <c r="J4" i="172"/>
  <c r="S826" i="172" l="1"/>
  <c r="T610" i="172"/>
  <c r="U498" i="172"/>
  <c r="T149" i="172"/>
  <c r="T936" i="172"/>
  <c r="S651" i="172"/>
  <c r="S597" i="172"/>
  <c r="T265" i="172"/>
  <c r="T460" i="172"/>
  <c r="S858" i="172"/>
  <c r="T367" i="172"/>
  <c r="T309" i="172"/>
  <c r="S163" i="172"/>
  <c r="S91" i="172"/>
  <c r="T384" i="172"/>
  <c r="S248" i="172"/>
  <c r="S117" i="172"/>
  <c r="T269" i="172"/>
  <c r="S902" i="172"/>
  <c r="S840" i="172"/>
  <c r="T292" i="172"/>
  <c r="S264" i="172"/>
  <c r="T253" i="172"/>
  <c r="U124" i="172"/>
  <c r="T954" i="172"/>
  <c r="S846" i="172"/>
  <c r="T398" i="172"/>
  <c r="U120" i="172"/>
  <c r="T934" i="172"/>
  <c r="U833" i="172"/>
  <c r="S812" i="172"/>
  <c r="T420" i="172"/>
  <c r="T307" i="172"/>
  <c r="V300" i="172"/>
  <c r="U217" i="172"/>
  <c r="S123" i="172"/>
  <c r="S115" i="172"/>
  <c r="T66" i="172"/>
  <c r="T56" i="172"/>
  <c r="S47" i="172"/>
  <c r="S866" i="172"/>
  <c r="U165" i="172"/>
  <c r="S63" i="172"/>
  <c r="U909" i="172"/>
  <c r="T396" i="172"/>
  <c r="U889" i="172"/>
  <c r="N9" i="172"/>
  <c r="Q9" i="172" s="1"/>
  <c r="N45" i="172"/>
  <c r="Q45" i="172" s="1"/>
  <c r="N57" i="172"/>
  <c r="Q57" i="172" s="1"/>
  <c r="N39" i="172"/>
  <c r="Q39" i="172" s="1"/>
  <c r="N10" i="172"/>
  <c r="Q10" i="172" s="1"/>
  <c r="N6" i="172"/>
  <c r="Q6" i="172" s="1"/>
  <c r="N56" i="172"/>
  <c r="Q56" i="172" s="1"/>
  <c r="N40" i="172"/>
  <c r="Q40" i="172" s="1"/>
  <c r="N24" i="172"/>
  <c r="Q24" i="172" s="1"/>
  <c r="U829" i="172"/>
  <c r="S793" i="172"/>
  <c r="T740" i="172"/>
  <c r="U461" i="172"/>
  <c r="S986" i="172"/>
  <c r="U845" i="172"/>
  <c r="S836" i="172"/>
  <c r="S818" i="172"/>
  <c r="T352" i="172"/>
  <c r="S421" i="172"/>
  <c r="T281" i="172"/>
  <c r="S95" i="172"/>
  <c r="P991" i="172"/>
  <c r="Q991" i="172"/>
  <c r="R991" i="172" s="1"/>
  <c r="N991" i="172"/>
  <c r="K989" i="172"/>
  <c r="L989" i="172" s="1"/>
  <c r="P989" i="172"/>
  <c r="Q989" i="172"/>
  <c r="N989" i="172"/>
  <c r="P954" i="172"/>
  <c r="Q954" i="172"/>
  <c r="R954" i="172" s="1"/>
  <c r="N954" i="172"/>
  <c r="K938" i="172"/>
  <c r="L938" i="172" s="1"/>
  <c r="P938" i="172"/>
  <c r="Q938" i="172"/>
  <c r="R938" i="172" s="1"/>
  <c r="N938" i="172"/>
  <c r="P933" i="172"/>
  <c r="Q933" i="172"/>
  <c r="N933" i="172"/>
  <c r="K915" i="172"/>
  <c r="L915" i="172" s="1"/>
  <c r="P915" i="172"/>
  <c r="Q915" i="172"/>
  <c r="R915" i="172" s="1"/>
  <c r="N915" i="172"/>
  <c r="P899" i="172"/>
  <c r="Q899" i="172"/>
  <c r="R899" i="172" s="1"/>
  <c r="N899" i="172"/>
  <c r="P897" i="172"/>
  <c r="N897" i="172"/>
  <c r="Q897" i="172"/>
  <c r="R897" i="172" s="1"/>
  <c r="P895" i="172"/>
  <c r="Q895" i="172"/>
  <c r="R895" i="172" s="1"/>
  <c r="N895" i="172"/>
  <c r="P893" i="172"/>
  <c r="Q893" i="172"/>
  <c r="N893" i="172"/>
  <c r="P891" i="172"/>
  <c r="N891" i="172"/>
  <c r="Q891" i="172"/>
  <c r="P876" i="172"/>
  <c r="Q876" i="172"/>
  <c r="R876" i="172" s="1"/>
  <c r="N876" i="172"/>
  <c r="P872" i="172"/>
  <c r="Q872" i="172"/>
  <c r="R872" i="172" s="1"/>
  <c r="N872" i="172"/>
  <c r="P868" i="172"/>
  <c r="Q868" i="172"/>
  <c r="N868" i="172"/>
  <c r="P861" i="172"/>
  <c r="Q861" i="172"/>
  <c r="R861" i="172" s="1"/>
  <c r="N861" i="172"/>
  <c r="P848" i="172"/>
  <c r="Q848" i="172"/>
  <c r="R848" i="172" s="1"/>
  <c r="N848" i="172"/>
  <c r="P845" i="172"/>
  <c r="Q845" i="172"/>
  <c r="R845" i="172" s="1"/>
  <c r="N845" i="172"/>
  <c r="P834" i="172"/>
  <c r="Q834" i="172"/>
  <c r="N834" i="172"/>
  <c r="P827" i="172"/>
  <c r="Q827" i="172"/>
  <c r="R827" i="172" s="1"/>
  <c r="N827" i="172"/>
  <c r="P818" i="172"/>
  <c r="Q818" i="172"/>
  <c r="N818" i="172"/>
  <c r="P789" i="172"/>
  <c r="Q789" i="172"/>
  <c r="R789" i="172" s="1"/>
  <c r="N789" i="172"/>
  <c r="P785" i="172"/>
  <c r="N785" i="172"/>
  <c r="Q785" i="172"/>
  <c r="R785" i="172" s="1"/>
  <c r="P783" i="172"/>
  <c r="Q783" i="172"/>
  <c r="R783" i="172" s="1"/>
  <c r="N783" i="172"/>
  <c r="K740" i="172"/>
  <c r="L740" i="172" s="1"/>
  <c r="P740" i="172"/>
  <c r="Q740" i="172"/>
  <c r="R740" i="172" s="1"/>
  <c r="N740" i="172"/>
  <c r="K732" i="172"/>
  <c r="L732" i="172" s="1"/>
  <c r="P732" i="172"/>
  <c r="Q732" i="172"/>
  <c r="R732" i="172" s="1"/>
  <c r="N732" i="172"/>
  <c r="K699" i="172"/>
  <c r="L699" i="172" s="1"/>
  <c r="P699" i="172"/>
  <c r="Q699" i="172"/>
  <c r="R699" i="172" s="1"/>
  <c r="N699" i="172"/>
  <c r="P690" i="172"/>
  <c r="N690" i="172"/>
  <c r="Q690" i="172"/>
  <c r="R690" i="172" s="1"/>
  <c r="K688" i="172"/>
  <c r="L688" i="172" s="1"/>
  <c r="P688" i="172"/>
  <c r="Q688" i="172"/>
  <c r="R688" i="172" s="1"/>
  <c r="N688" i="172"/>
  <c r="K684" i="172"/>
  <c r="L684" i="172" s="1"/>
  <c r="P684" i="172"/>
  <c r="N684" i="172"/>
  <c r="Q684" i="172"/>
  <c r="R684" i="172" s="1"/>
  <c r="P665" i="172"/>
  <c r="Q665" i="172"/>
  <c r="R665" i="172" s="1"/>
  <c r="N665" i="172"/>
  <c r="K656" i="172"/>
  <c r="L656" i="172" s="1"/>
  <c r="P656" i="172"/>
  <c r="Q656" i="172"/>
  <c r="R656" i="172" s="1"/>
  <c r="N656" i="172"/>
  <c r="P647" i="172"/>
  <c r="Q647" i="172"/>
  <c r="N647" i="172"/>
  <c r="P624" i="172"/>
  <c r="Q624" i="172"/>
  <c r="R624" i="172" s="1"/>
  <c r="N624" i="172"/>
  <c r="P622" i="172"/>
  <c r="Q622" i="172"/>
  <c r="R622" i="172" s="1"/>
  <c r="N622" i="172"/>
  <c r="P618" i="172"/>
  <c r="N618" i="172"/>
  <c r="Q618" i="172"/>
  <c r="R618" i="172" s="1"/>
  <c r="K616" i="172"/>
  <c r="L616" i="172" s="1"/>
  <c r="P616" i="172"/>
  <c r="Q616" i="172"/>
  <c r="R616" i="172" s="1"/>
  <c r="N616" i="172"/>
  <c r="K612" i="172"/>
  <c r="L612" i="172" s="1"/>
  <c r="P612" i="172"/>
  <c r="N612" i="172"/>
  <c r="Q612" i="172"/>
  <c r="R612" i="172" s="1"/>
  <c r="P597" i="172"/>
  <c r="Q597" i="172"/>
  <c r="N597" i="172"/>
  <c r="P595" i="172"/>
  <c r="Q595" i="172"/>
  <c r="R595" i="172" s="1"/>
  <c r="N595" i="172"/>
  <c r="P593" i="172"/>
  <c r="Q593" i="172"/>
  <c r="N593" i="172"/>
  <c r="P575" i="172"/>
  <c r="Q575" i="172"/>
  <c r="R575" i="172" s="1"/>
  <c r="N575" i="172"/>
  <c r="P573" i="172"/>
  <c r="Q573" i="172"/>
  <c r="N573" i="172"/>
  <c r="P567" i="172"/>
  <c r="Q567" i="172"/>
  <c r="R567" i="172" s="1"/>
  <c r="N567" i="172"/>
  <c r="P554" i="172"/>
  <c r="N554" i="172"/>
  <c r="Q554" i="172"/>
  <c r="R554" i="172" s="1"/>
  <c r="P550" i="172"/>
  <c r="Q550" i="172"/>
  <c r="R550" i="172" s="1"/>
  <c r="N550" i="172"/>
  <c r="P535" i="172"/>
  <c r="Q535" i="172"/>
  <c r="N535" i="172"/>
  <c r="P533" i="172"/>
  <c r="Q533" i="172"/>
  <c r="R533" i="172" s="1"/>
  <c r="N533" i="172"/>
  <c r="P529" i="172"/>
  <c r="Q529" i="172"/>
  <c r="R529" i="172" s="1"/>
  <c r="N529" i="172"/>
  <c r="P527" i="172"/>
  <c r="Q527" i="172"/>
  <c r="R527" i="172" s="1"/>
  <c r="N527" i="172"/>
  <c r="P525" i="172"/>
  <c r="Q525" i="172"/>
  <c r="N525" i="172"/>
  <c r="P509" i="172"/>
  <c r="Q509" i="172"/>
  <c r="R509" i="172" s="1"/>
  <c r="N509" i="172"/>
  <c r="P506" i="172"/>
  <c r="N506" i="172"/>
  <c r="Q506" i="172"/>
  <c r="R506" i="172" s="1"/>
  <c r="P504" i="172"/>
  <c r="Q504" i="172"/>
  <c r="R504" i="172" s="1"/>
  <c r="N504" i="172"/>
  <c r="P493" i="172"/>
  <c r="Q493" i="172"/>
  <c r="N493" i="172"/>
  <c r="P489" i="172"/>
  <c r="Q489" i="172"/>
  <c r="R489" i="172" s="1"/>
  <c r="N489" i="172"/>
  <c r="K487" i="172"/>
  <c r="L487" i="172" s="1"/>
  <c r="P487" i="172"/>
  <c r="Q487" i="172"/>
  <c r="R487" i="172" s="1"/>
  <c r="N487" i="172"/>
  <c r="P481" i="172"/>
  <c r="Q481" i="172"/>
  <c r="R481" i="172" s="1"/>
  <c r="N481" i="172"/>
  <c r="P479" i="172"/>
  <c r="Q479" i="172"/>
  <c r="R479" i="172" s="1"/>
  <c r="N479" i="172"/>
  <c r="P471" i="172"/>
  <c r="Q471" i="172"/>
  <c r="R471" i="172" s="1"/>
  <c r="N471" i="172"/>
  <c r="P467" i="172"/>
  <c r="Q467" i="172"/>
  <c r="R467" i="172" s="1"/>
  <c r="N467" i="172"/>
  <c r="P463" i="172"/>
  <c r="Q463" i="172"/>
  <c r="R463" i="172" s="1"/>
  <c r="N463" i="172"/>
  <c r="K460" i="172"/>
  <c r="L460" i="172" s="1"/>
  <c r="P460" i="172"/>
  <c r="N460" i="172"/>
  <c r="Q460" i="172"/>
  <c r="R460" i="172" s="1"/>
  <c r="K456" i="172"/>
  <c r="L456" i="172" s="1"/>
  <c r="P456" i="172"/>
  <c r="Q456" i="172"/>
  <c r="R456" i="172" s="1"/>
  <c r="N456" i="172"/>
  <c r="P454" i="172"/>
  <c r="Q454" i="172"/>
  <c r="R454" i="172" s="1"/>
  <c r="N454" i="172"/>
  <c r="P447" i="172"/>
  <c r="Q447" i="172"/>
  <c r="N447" i="172"/>
  <c r="P445" i="172"/>
  <c r="Q445" i="172"/>
  <c r="R445" i="172" s="1"/>
  <c r="N445" i="172"/>
  <c r="C443" i="172"/>
  <c r="P443" i="172"/>
  <c r="Q443" i="172"/>
  <c r="R443" i="172" s="1"/>
  <c r="N443" i="172"/>
  <c r="P437" i="172"/>
  <c r="Q437" i="172"/>
  <c r="R437" i="172" s="1"/>
  <c r="N437" i="172"/>
  <c r="S429" i="172"/>
  <c r="K425" i="172"/>
  <c r="L425" i="172" s="1"/>
  <c r="P425" i="172"/>
  <c r="Q425" i="172"/>
  <c r="R425" i="172" s="1"/>
  <c r="N425" i="172"/>
  <c r="K417" i="172"/>
  <c r="L417" i="172" s="1"/>
  <c r="P417" i="172"/>
  <c r="Q417" i="172"/>
  <c r="R417" i="172" s="1"/>
  <c r="N417" i="172"/>
  <c r="P413" i="172"/>
  <c r="Q413" i="172"/>
  <c r="R413" i="172" s="1"/>
  <c r="N413" i="172"/>
  <c r="K400" i="172"/>
  <c r="L400" i="172" s="1"/>
  <c r="Q400" i="172"/>
  <c r="R400" i="172" s="1"/>
  <c r="P400" i="172"/>
  <c r="N400" i="172"/>
  <c r="K384" i="172"/>
  <c r="L384" i="172" s="1"/>
  <c r="Q384" i="172"/>
  <c r="R384" i="172" s="1"/>
  <c r="P384" i="172"/>
  <c r="N384" i="172"/>
  <c r="T380" i="172"/>
  <c r="P379" i="172"/>
  <c r="Q379" i="172"/>
  <c r="R379" i="172" s="1"/>
  <c r="N379" i="172"/>
  <c r="K377" i="172"/>
  <c r="L377" i="172" s="1"/>
  <c r="P377" i="172"/>
  <c r="Q377" i="172"/>
  <c r="R377" i="172" s="1"/>
  <c r="N377" i="172"/>
  <c r="S373" i="172"/>
  <c r="K372" i="172"/>
  <c r="L372" i="172" s="1"/>
  <c r="Q372" i="172"/>
  <c r="R372" i="172" s="1"/>
  <c r="P372" i="172"/>
  <c r="N372" i="172"/>
  <c r="P363" i="172"/>
  <c r="Q363" i="172"/>
  <c r="R363" i="172" s="1"/>
  <c r="N363" i="172"/>
  <c r="K352" i="172"/>
  <c r="L352" i="172" s="1"/>
  <c r="Q352" i="172"/>
  <c r="R352" i="172" s="1"/>
  <c r="P352" i="172"/>
  <c r="N352" i="172"/>
  <c r="K350" i="172"/>
  <c r="L350" i="172" s="1"/>
  <c r="Q350" i="172"/>
  <c r="R350" i="172" s="1"/>
  <c r="P350" i="172"/>
  <c r="N350" i="172"/>
  <c r="Q348" i="172"/>
  <c r="N348" i="172"/>
  <c r="P348" i="172"/>
  <c r="K333" i="172"/>
  <c r="L333" i="172" s="1"/>
  <c r="P333" i="172"/>
  <c r="Q333" i="172"/>
  <c r="R333" i="172" s="1"/>
  <c r="N333" i="172"/>
  <c r="K324" i="172"/>
  <c r="L324" i="172" s="1"/>
  <c r="P324" i="172"/>
  <c r="Q324" i="172"/>
  <c r="R324" i="172" s="1"/>
  <c r="N324" i="172"/>
  <c r="P321" i="172"/>
  <c r="Q321" i="172"/>
  <c r="N321" i="172"/>
  <c r="K314" i="172"/>
  <c r="L314" i="172" s="1"/>
  <c r="Q314" i="172"/>
  <c r="R314" i="172" s="1"/>
  <c r="P314" i="172"/>
  <c r="N314" i="172"/>
  <c r="P312" i="172"/>
  <c r="Q312" i="172"/>
  <c r="R312" i="172" s="1"/>
  <c r="N312" i="172"/>
  <c r="P307" i="172"/>
  <c r="Q307" i="172"/>
  <c r="R307" i="172" s="1"/>
  <c r="N307" i="172"/>
  <c r="P305" i="172"/>
  <c r="Q305" i="172"/>
  <c r="R305" i="172" s="1"/>
  <c r="N305" i="172"/>
  <c r="P303" i="172"/>
  <c r="Q303" i="172"/>
  <c r="R303" i="172" s="1"/>
  <c r="N303" i="172"/>
  <c r="K284" i="172"/>
  <c r="L284" i="172" s="1"/>
  <c r="P284" i="172"/>
  <c r="Q284" i="172"/>
  <c r="R284" i="172" s="1"/>
  <c r="N284" i="172"/>
  <c r="P270" i="172"/>
  <c r="Q270" i="172"/>
  <c r="R270" i="172" s="1"/>
  <c r="N270" i="172"/>
  <c r="P265" i="172"/>
  <c r="Q265" i="172"/>
  <c r="R265" i="172" s="1"/>
  <c r="N265" i="172"/>
  <c r="P260" i="172"/>
  <c r="Q260" i="172"/>
  <c r="R260" i="172" s="1"/>
  <c r="N260" i="172"/>
  <c r="K254" i="172"/>
  <c r="L254" i="172" s="1"/>
  <c r="P254" i="172"/>
  <c r="Q254" i="172"/>
  <c r="R254" i="172" s="1"/>
  <c r="N254" i="172"/>
  <c r="P249" i="172"/>
  <c r="Q249" i="172"/>
  <c r="R249" i="172" s="1"/>
  <c r="N249" i="172"/>
  <c r="P234" i="172"/>
  <c r="Q234" i="172"/>
  <c r="R234" i="172" s="1"/>
  <c r="N234" i="172"/>
  <c r="P227" i="172"/>
  <c r="Q227" i="172"/>
  <c r="R227" i="172" s="1"/>
  <c r="N227" i="172"/>
  <c r="K218" i="172"/>
  <c r="L218" i="172" s="1"/>
  <c r="P218" i="172"/>
  <c r="Q218" i="172"/>
  <c r="R218" i="172" s="1"/>
  <c r="N218" i="172"/>
  <c r="K215" i="172"/>
  <c r="L215" i="172" s="1"/>
  <c r="P215" i="172"/>
  <c r="Q215" i="172"/>
  <c r="R215" i="172" s="1"/>
  <c r="N215" i="172"/>
  <c r="P211" i="172"/>
  <c r="Q211" i="172"/>
  <c r="R211" i="172" s="1"/>
  <c r="N211" i="172"/>
  <c r="K120" i="172"/>
  <c r="L120" i="172" s="1"/>
  <c r="Q120" i="172"/>
  <c r="P120" i="172"/>
  <c r="N120" i="172"/>
  <c r="P115" i="172"/>
  <c r="Q115" i="172"/>
  <c r="N115" i="172"/>
  <c r="K98" i="172"/>
  <c r="L98" i="172" s="1"/>
  <c r="Q98" i="172"/>
  <c r="P98" i="172"/>
  <c r="N98" i="172"/>
  <c r="P91" i="172"/>
  <c r="Q91" i="172"/>
  <c r="R91" i="172" s="1"/>
  <c r="N91" i="172"/>
  <c r="P89" i="172"/>
  <c r="Q89" i="172"/>
  <c r="R89" i="172" s="1"/>
  <c r="N89" i="172"/>
  <c r="K85" i="172"/>
  <c r="L85" i="172" s="1"/>
  <c r="P85" i="172"/>
  <c r="Q85" i="172"/>
  <c r="N85" i="172"/>
  <c r="P83" i="172"/>
  <c r="Q83" i="172"/>
  <c r="R83" i="172" s="1"/>
  <c r="N83" i="172"/>
  <c r="Q68" i="172"/>
  <c r="R68" i="172" s="1"/>
  <c r="P68" i="172"/>
  <c r="N68" i="172"/>
  <c r="T6" i="172"/>
  <c r="N49" i="172"/>
  <c r="Q49" i="172" s="1"/>
  <c r="N27" i="172"/>
  <c r="Q27" i="172" s="1"/>
  <c r="P985" i="172"/>
  <c r="N985" i="172"/>
  <c r="Q985" i="172"/>
  <c r="P983" i="172"/>
  <c r="Q983" i="172"/>
  <c r="R983" i="172" s="1"/>
  <c r="N983" i="172"/>
  <c r="P981" i="172"/>
  <c r="Q981" i="172"/>
  <c r="R981" i="172" s="1"/>
  <c r="N981" i="172"/>
  <c r="P979" i="172"/>
  <c r="Q979" i="172"/>
  <c r="N979" i="172"/>
  <c r="P977" i="172"/>
  <c r="N977" i="172"/>
  <c r="Q977" i="172"/>
  <c r="P975" i="172"/>
  <c r="Q975" i="172"/>
  <c r="R975" i="172" s="1"/>
  <c r="N975" i="172"/>
  <c r="P973" i="172"/>
  <c r="Q973" i="172"/>
  <c r="R973" i="172" s="1"/>
  <c r="N973" i="172"/>
  <c r="K971" i="172"/>
  <c r="L971" i="172" s="1"/>
  <c r="P971" i="172"/>
  <c r="N971" i="172"/>
  <c r="Q971" i="172"/>
  <c r="R971" i="172" s="1"/>
  <c r="P969" i="172"/>
  <c r="N969" i="172"/>
  <c r="Q969" i="172"/>
  <c r="R969" i="172" s="1"/>
  <c r="P967" i="172"/>
  <c r="Q967" i="172"/>
  <c r="R967" i="172" s="1"/>
  <c r="N967" i="172"/>
  <c r="P965" i="172"/>
  <c r="Q965" i="172"/>
  <c r="R965" i="172" s="1"/>
  <c r="N965" i="172"/>
  <c r="P963" i="172"/>
  <c r="Q963" i="172"/>
  <c r="R963" i="172" s="1"/>
  <c r="N963" i="172"/>
  <c r="K961" i="172"/>
  <c r="L961" i="172" s="1"/>
  <c r="P961" i="172"/>
  <c r="N961" i="172"/>
  <c r="Q961" i="172"/>
  <c r="R961" i="172" s="1"/>
  <c r="P959" i="172"/>
  <c r="Q959" i="172"/>
  <c r="N959" i="172"/>
  <c r="P957" i="172"/>
  <c r="Q957" i="172"/>
  <c r="R957" i="172" s="1"/>
  <c r="N957" i="172"/>
  <c r="P955" i="172"/>
  <c r="Q955" i="172"/>
  <c r="R955" i="172" s="1"/>
  <c r="N955" i="172"/>
  <c r="K936" i="172"/>
  <c r="L936" i="172" s="1"/>
  <c r="P936" i="172"/>
  <c r="Q936" i="172"/>
  <c r="R936" i="172" s="1"/>
  <c r="N936" i="172"/>
  <c r="P913" i="172"/>
  <c r="N913" i="172"/>
  <c r="Q913" i="172"/>
  <c r="R913" i="172" s="1"/>
  <c r="P908" i="172"/>
  <c r="Q908" i="172"/>
  <c r="N908" i="172"/>
  <c r="P906" i="172"/>
  <c r="Q906" i="172"/>
  <c r="R906" i="172" s="1"/>
  <c r="N906" i="172"/>
  <c r="K904" i="172"/>
  <c r="L904" i="172" s="1"/>
  <c r="P904" i="172"/>
  <c r="Q904" i="172"/>
  <c r="R904" i="172" s="1"/>
  <c r="N904" i="172"/>
  <c r="P889" i="172"/>
  <c r="N889" i="172"/>
  <c r="Q889" i="172"/>
  <c r="R889" i="172" s="1"/>
  <c r="P887" i="172"/>
  <c r="Q887" i="172"/>
  <c r="R887" i="172" s="1"/>
  <c r="N887" i="172"/>
  <c r="P885" i="172"/>
  <c r="Q885" i="172"/>
  <c r="N885" i="172"/>
  <c r="P883" i="172"/>
  <c r="Q883" i="172"/>
  <c r="R883" i="172" s="1"/>
  <c r="N883" i="172"/>
  <c r="P881" i="172"/>
  <c r="N881" i="172"/>
  <c r="Q881" i="172"/>
  <c r="R881" i="172" s="1"/>
  <c r="P879" i="172"/>
  <c r="Q879" i="172"/>
  <c r="R879" i="172" s="1"/>
  <c r="N879" i="172"/>
  <c r="P866" i="172"/>
  <c r="Q866" i="172"/>
  <c r="N866" i="172"/>
  <c r="P857" i="172"/>
  <c r="N857" i="172"/>
  <c r="Q857" i="172"/>
  <c r="P855" i="172"/>
  <c r="Q855" i="172"/>
  <c r="R855" i="172" s="1"/>
  <c r="N855" i="172"/>
  <c r="P853" i="172"/>
  <c r="Q853" i="172"/>
  <c r="R853" i="172" s="1"/>
  <c r="N853" i="172"/>
  <c r="P851" i="172"/>
  <c r="N851" i="172"/>
  <c r="Q851" i="172"/>
  <c r="R851" i="172" s="1"/>
  <c r="P849" i="172"/>
  <c r="N849" i="172"/>
  <c r="Q849" i="172"/>
  <c r="P846" i="172"/>
  <c r="Q846" i="172"/>
  <c r="R846" i="172" s="1"/>
  <c r="N846" i="172"/>
  <c r="P839" i="172"/>
  <c r="Q839" i="172"/>
  <c r="R839" i="172" s="1"/>
  <c r="N839" i="172"/>
  <c r="P837" i="172"/>
  <c r="Q837" i="172"/>
  <c r="N837" i="172"/>
  <c r="P832" i="172"/>
  <c r="Q832" i="172"/>
  <c r="R832" i="172" s="1"/>
  <c r="N832" i="172"/>
  <c r="P830" i="172"/>
  <c r="Q830" i="172"/>
  <c r="R830" i="172" s="1"/>
  <c r="N830" i="172"/>
  <c r="P825" i="172"/>
  <c r="N825" i="172"/>
  <c r="Q825" i="172"/>
  <c r="R825" i="172" s="1"/>
  <c r="P823" i="172"/>
  <c r="Q823" i="172"/>
  <c r="N823" i="172"/>
  <c r="P821" i="172"/>
  <c r="Q821" i="172"/>
  <c r="R821" i="172" s="1"/>
  <c r="N821" i="172"/>
  <c r="P819" i="172"/>
  <c r="N819" i="172"/>
  <c r="Q819" i="172"/>
  <c r="R819" i="172" s="1"/>
  <c r="P812" i="172"/>
  <c r="Q812" i="172"/>
  <c r="R812" i="172" s="1"/>
  <c r="N812" i="172"/>
  <c r="P810" i="172"/>
  <c r="Q810" i="172"/>
  <c r="N810" i="172"/>
  <c r="P808" i="172"/>
  <c r="Q808" i="172"/>
  <c r="R808" i="172" s="1"/>
  <c r="N808" i="172"/>
  <c r="P806" i="172"/>
  <c r="Q806" i="172"/>
  <c r="R806" i="172" s="1"/>
  <c r="N806" i="172"/>
  <c r="P804" i="172"/>
  <c r="Q804" i="172"/>
  <c r="R804" i="172" s="1"/>
  <c r="N804" i="172"/>
  <c r="P802" i="172"/>
  <c r="Q802" i="172"/>
  <c r="N802" i="172"/>
  <c r="P800" i="172"/>
  <c r="Q800" i="172"/>
  <c r="R800" i="172" s="1"/>
  <c r="N800" i="172"/>
  <c r="P798" i="172"/>
  <c r="Q798" i="172"/>
  <c r="R798" i="172" s="1"/>
  <c r="N798" i="172"/>
  <c r="P796" i="172"/>
  <c r="Q796" i="172"/>
  <c r="R796" i="172" s="1"/>
  <c r="N796" i="172"/>
  <c r="P794" i="172"/>
  <c r="Q794" i="172"/>
  <c r="N794" i="172"/>
  <c r="P781" i="172"/>
  <c r="Q781" i="172"/>
  <c r="R781" i="172" s="1"/>
  <c r="N781" i="172"/>
  <c r="K779" i="172"/>
  <c r="L779" i="172" s="1"/>
  <c r="P779" i="172"/>
  <c r="Q779" i="172"/>
  <c r="R779" i="172" s="1"/>
  <c r="N779" i="172"/>
  <c r="K777" i="172"/>
  <c r="L777" i="172" s="1"/>
  <c r="P777" i="172"/>
  <c r="N777" i="172"/>
  <c r="Q777" i="172"/>
  <c r="K775" i="172"/>
  <c r="L775" i="172" s="1"/>
  <c r="P775" i="172"/>
  <c r="Q775" i="172"/>
  <c r="R775" i="172" s="1"/>
  <c r="N775" i="172"/>
  <c r="P770" i="172"/>
  <c r="Q770" i="172"/>
  <c r="R770" i="172" s="1"/>
  <c r="N770" i="172"/>
  <c r="P768" i="172"/>
  <c r="Q768" i="172"/>
  <c r="R768" i="172" s="1"/>
  <c r="N768" i="172"/>
  <c r="K765" i="172"/>
  <c r="L765" i="172" s="1"/>
  <c r="P765" i="172"/>
  <c r="Q765" i="172"/>
  <c r="R765" i="172" s="1"/>
  <c r="N765" i="172"/>
  <c r="P763" i="172"/>
  <c r="Q763" i="172"/>
  <c r="N763" i="172"/>
  <c r="K761" i="172"/>
  <c r="L761" i="172" s="1"/>
  <c r="P761" i="172"/>
  <c r="N761" i="172"/>
  <c r="Q761" i="172"/>
  <c r="R761" i="172" s="1"/>
  <c r="K759" i="172"/>
  <c r="L759" i="172" s="1"/>
  <c r="P759" i="172"/>
  <c r="Q759" i="172"/>
  <c r="N759" i="172"/>
  <c r="P757" i="172"/>
  <c r="Q757" i="172"/>
  <c r="R757" i="172" s="1"/>
  <c r="N757" i="172"/>
  <c r="P755" i="172"/>
  <c r="Q755" i="172"/>
  <c r="R755" i="172" s="1"/>
  <c r="N755" i="172"/>
  <c r="P753" i="172"/>
  <c r="N753" i="172"/>
  <c r="Q753" i="172"/>
  <c r="R753" i="172" s="1"/>
  <c r="K751" i="172"/>
  <c r="L751" i="172" s="1"/>
  <c r="P751" i="172"/>
  <c r="Q751" i="172"/>
  <c r="R751" i="172" s="1"/>
  <c r="N751" i="172"/>
  <c r="K749" i="172"/>
  <c r="L749" i="172" s="1"/>
  <c r="P749" i="172"/>
  <c r="Q749" i="172"/>
  <c r="R749" i="172" s="1"/>
  <c r="N749" i="172"/>
  <c r="K747" i="172"/>
  <c r="L747" i="172" s="1"/>
  <c r="P747" i="172"/>
  <c r="N747" i="172"/>
  <c r="Q747" i="172"/>
  <c r="R747" i="172" s="1"/>
  <c r="K745" i="172"/>
  <c r="L745" i="172" s="1"/>
  <c r="P745" i="172"/>
  <c r="N745" i="172"/>
  <c r="Q745" i="172"/>
  <c r="R745" i="172" s="1"/>
  <c r="K743" i="172"/>
  <c r="L743" i="172" s="1"/>
  <c r="P743" i="172"/>
  <c r="N743" i="172"/>
  <c r="Q743" i="172"/>
  <c r="R743" i="172" s="1"/>
  <c r="P741" i="172"/>
  <c r="Q741" i="172"/>
  <c r="N741" i="172"/>
  <c r="K730" i="172"/>
  <c r="L730" i="172" s="1"/>
  <c r="P730" i="172"/>
  <c r="N730" i="172"/>
  <c r="Q730" i="172"/>
  <c r="R730" i="172" s="1"/>
  <c r="P728" i="172"/>
  <c r="Q728" i="172"/>
  <c r="R728" i="172" s="1"/>
  <c r="N728" i="172"/>
  <c r="P726" i="172"/>
  <c r="N726" i="172"/>
  <c r="Q726" i="172"/>
  <c r="R726" i="172" s="1"/>
  <c r="K724" i="172"/>
  <c r="L724" i="172" s="1"/>
  <c r="P724" i="172"/>
  <c r="Q724" i="172"/>
  <c r="R724" i="172" s="1"/>
  <c r="N724" i="172"/>
  <c r="K722" i="172"/>
  <c r="L722" i="172" s="1"/>
  <c r="P722" i="172"/>
  <c r="N722" i="172"/>
  <c r="Q722" i="172"/>
  <c r="R722" i="172" s="1"/>
  <c r="K720" i="172"/>
  <c r="L720" i="172" s="1"/>
  <c r="P720" i="172"/>
  <c r="Q720" i="172"/>
  <c r="R720" i="172" s="1"/>
  <c r="N720" i="172"/>
  <c r="K718" i="172"/>
  <c r="L718" i="172" s="1"/>
  <c r="P718" i="172"/>
  <c r="Q718" i="172"/>
  <c r="R718" i="172" s="1"/>
  <c r="N718" i="172"/>
  <c r="K716" i="172"/>
  <c r="L716" i="172" s="1"/>
  <c r="P716" i="172"/>
  <c r="N716" i="172"/>
  <c r="Q716" i="172"/>
  <c r="R716" i="172" s="1"/>
  <c r="P714" i="172"/>
  <c r="N714" i="172"/>
  <c r="Q714" i="172"/>
  <c r="R714" i="172" s="1"/>
  <c r="K712" i="172"/>
  <c r="L712" i="172" s="1"/>
  <c r="P712" i="172"/>
  <c r="Q712" i="172"/>
  <c r="R712" i="172" s="1"/>
  <c r="N712" i="172"/>
  <c r="P710" i="172"/>
  <c r="Q710" i="172"/>
  <c r="N710" i="172"/>
  <c r="K708" i="172"/>
  <c r="L708" i="172" s="1"/>
  <c r="P708" i="172"/>
  <c r="N708" i="172"/>
  <c r="Q708" i="172"/>
  <c r="R708" i="172" s="1"/>
  <c r="P706" i="172"/>
  <c r="N706" i="172"/>
  <c r="Q706" i="172"/>
  <c r="K695" i="172"/>
  <c r="L695" i="172" s="1"/>
  <c r="P695" i="172"/>
  <c r="Q695" i="172"/>
  <c r="R695" i="172" s="1"/>
  <c r="N695" i="172"/>
  <c r="K693" i="172"/>
  <c r="L693" i="172" s="1"/>
  <c r="P693" i="172"/>
  <c r="Q693" i="172"/>
  <c r="R693" i="172" s="1"/>
  <c r="N693" i="172"/>
  <c r="K691" i="172"/>
  <c r="L691" i="172" s="1"/>
  <c r="P691" i="172"/>
  <c r="Q691" i="172"/>
  <c r="R691" i="172" s="1"/>
  <c r="N691" i="172"/>
  <c r="K680" i="172"/>
  <c r="L680" i="172" s="1"/>
  <c r="P680" i="172"/>
  <c r="Q680" i="172"/>
  <c r="R680" i="172" s="1"/>
  <c r="N680" i="172"/>
  <c r="P678" i="172"/>
  <c r="Q678" i="172"/>
  <c r="R678" i="172" s="1"/>
  <c r="N678" i="172"/>
  <c r="K676" i="172"/>
  <c r="L676" i="172" s="1"/>
  <c r="P676" i="172"/>
  <c r="N676" i="172"/>
  <c r="Q676" i="172"/>
  <c r="R676" i="172" s="1"/>
  <c r="P674" i="172"/>
  <c r="N674" i="172"/>
  <c r="Q674" i="172"/>
  <c r="R674" i="172" s="1"/>
  <c r="K672" i="172"/>
  <c r="L672" i="172" s="1"/>
  <c r="P672" i="172"/>
  <c r="Q672" i="172"/>
  <c r="R672" i="172" s="1"/>
  <c r="N672" i="172"/>
  <c r="P670" i="172"/>
  <c r="Q670" i="172"/>
  <c r="N670" i="172"/>
  <c r="K668" i="172"/>
  <c r="L668" i="172" s="1"/>
  <c r="P668" i="172"/>
  <c r="N668" i="172"/>
  <c r="Q668" i="172"/>
  <c r="R668" i="172" s="1"/>
  <c r="K659" i="172"/>
  <c r="L659" i="172" s="1"/>
  <c r="P659" i="172"/>
  <c r="Q659" i="172"/>
  <c r="N659" i="172"/>
  <c r="P657" i="172"/>
  <c r="Q657" i="172"/>
  <c r="R657" i="172" s="1"/>
  <c r="N657" i="172"/>
  <c r="K650" i="172"/>
  <c r="L650" i="172" s="1"/>
  <c r="P650" i="172"/>
  <c r="N650" i="172"/>
  <c r="Q650" i="172"/>
  <c r="K645" i="172"/>
  <c r="L645" i="172" s="1"/>
  <c r="P645" i="172"/>
  <c r="Q645" i="172"/>
  <c r="R645" i="172" s="1"/>
  <c r="N645" i="172"/>
  <c r="K643" i="172"/>
  <c r="L643" i="172" s="1"/>
  <c r="P643" i="172"/>
  <c r="Q643" i="172"/>
  <c r="R643" i="172" s="1"/>
  <c r="N643" i="172"/>
  <c r="K641" i="172"/>
  <c r="L641" i="172" s="1"/>
  <c r="P641" i="172"/>
  <c r="Q641" i="172"/>
  <c r="R641" i="172" s="1"/>
  <c r="N641" i="172"/>
  <c r="K639" i="172"/>
  <c r="L639" i="172" s="1"/>
  <c r="P639" i="172"/>
  <c r="Q639" i="172"/>
  <c r="R639" i="172" s="1"/>
  <c r="N639" i="172"/>
  <c r="P637" i="172"/>
  <c r="Q637" i="172"/>
  <c r="R637" i="172" s="1"/>
  <c r="N637" i="172"/>
  <c r="K635" i="172"/>
  <c r="L635" i="172" s="1"/>
  <c r="P635" i="172"/>
  <c r="Q635" i="172"/>
  <c r="R635" i="172" s="1"/>
  <c r="N635" i="172"/>
  <c r="P610" i="172"/>
  <c r="N610" i="172"/>
  <c r="Q610" i="172"/>
  <c r="R610" i="172" s="1"/>
  <c r="P608" i="172"/>
  <c r="Q608" i="172"/>
  <c r="N608" i="172"/>
  <c r="P606" i="172"/>
  <c r="Q606" i="172"/>
  <c r="R606" i="172" s="1"/>
  <c r="N606" i="172"/>
  <c r="K604" i="172"/>
  <c r="L604" i="172" s="1"/>
  <c r="P604" i="172"/>
  <c r="N604" i="172"/>
  <c r="Q604" i="172"/>
  <c r="P602" i="172"/>
  <c r="N602" i="172"/>
  <c r="Q602" i="172"/>
  <c r="R602" i="172" s="1"/>
  <c r="K600" i="172"/>
  <c r="L600" i="172" s="1"/>
  <c r="P600" i="172"/>
  <c r="Q600" i="172"/>
  <c r="R600" i="172" s="1"/>
  <c r="N600" i="172"/>
  <c r="P598" i="172"/>
  <c r="Q598" i="172"/>
  <c r="R598" i="172" s="1"/>
  <c r="N598" i="172"/>
  <c r="P591" i="172"/>
  <c r="Q591" i="172"/>
  <c r="N591" i="172"/>
  <c r="P589" i="172"/>
  <c r="Q589" i="172"/>
  <c r="R589" i="172" s="1"/>
  <c r="N589" i="172"/>
  <c r="P587" i="172"/>
  <c r="Q587" i="172"/>
  <c r="R587" i="172" s="1"/>
  <c r="N587" i="172"/>
  <c r="K576" i="172"/>
  <c r="L576" i="172" s="1"/>
  <c r="P576" i="172"/>
  <c r="Q576" i="172"/>
  <c r="R576" i="172" s="1"/>
  <c r="N576" i="172"/>
  <c r="P565" i="172"/>
  <c r="Q565" i="172"/>
  <c r="R565" i="172" s="1"/>
  <c r="N565" i="172"/>
  <c r="P563" i="172"/>
  <c r="Q563" i="172"/>
  <c r="N563" i="172"/>
  <c r="P561" i="172"/>
  <c r="Q561" i="172"/>
  <c r="R561" i="172" s="1"/>
  <c r="N561" i="172"/>
  <c r="P548" i="172"/>
  <c r="N548" i="172"/>
  <c r="Q548" i="172"/>
  <c r="R548" i="172" s="1"/>
  <c r="P546" i="172"/>
  <c r="N546" i="172"/>
  <c r="Q546" i="172"/>
  <c r="R546" i="172" s="1"/>
  <c r="P544" i="172"/>
  <c r="Q544" i="172"/>
  <c r="N544" i="172"/>
  <c r="P542" i="172"/>
  <c r="Q542" i="172"/>
  <c r="R542" i="172" s="1"/>
  <c r="N542" i="172"/>
  <c r="P523" i="172"/>
  <c r="Q523" i="172"/>
  <c r="R523" i="172" s="1"/>
  <c r="N523" i="172"/>
  <c r="P521" i="172"/>
  <c r="Q521" i="172"/>
  <c r="R521" i="172" s="1"/>
  <c r="N521" i="172"/>
  <c r="P519" i="172"/>
  <c r="Q519" i="172"/>
  <c r="N519" i="172"/>
  <c r="P516" i="172"/>
  <c r="N516" i="172"/>
  <c r="Q516" i="172"/>
  <c r="P514" i="172"/>
  <c r="N514" i="172"/>
  <c r="Q514" i="172"/>
  <c r="R514" i="172" s="1"/>
  <c r="P512" i="172"/>
  <c r="Q512" i="172"/>
  <c r="R512" i="172" s="1"/>
  <c r="N512" i="172"/>
  <c r="P507" i="172"/>
  <c r="Q507" i="172"/>
  <c r="N507" i="172"/>
  <c r="K498" i="172"/>
  <c r="L498" i="172" s="1"/>
  <c r="P498" i="172"/>
  <c r="N498" i="172"/>
  <c r="Q498" i="172"/>
  <c r="R498" i="172" s="1"/>
  <c r="P496" i="172"/>
  <c r="Q496" i="172"/>
  <c r="R496" i="172" s="1"/>
  <c r="N496" i="172"/>
  <c r="K461" i="172"/>
  <c r="L461" i="172" s="1"/>
  <c r="P461" i="172"/>
  <c r="Q461" i="172"/>
  <c r="R461" i="172" s="1"/>
  <c r="N461" i="172"/>
  <c r="K452" i="172"/>
  <c r="L452" i="172" s="1"/>
  <c r="P452" i="172"/>
  <c r="N452" i="172"/>
  <c r="Q452" i="172"/>
  <c r="K450" i="172"/>
  <c r="L450" i="172" s="1"/>
  <c r="P450" i="172"/>
  <c r="N450" i="172"/>
  <c r="Q450" i="172"/>
  <c r="K448" i="172"/>
  <c r="L448" i="172" s="1"/>
  <c r="P448" i="172"/>
  <c r="Q448" i="172"/>
  <c r="R448" i="172" s="1"/>
  <c r="N448" i="172"/>
  <c r="K435" i="172"/>
  <c r="L435" i="172" s="1"/>
  <c r="P435" i="172"/>
  <c r="Q435" i="172"/>
  <c r="R435" i="172" s="1"/>
  <c r="N435" i="172"/>
  <c r="K433" i="172"/>
  <c r="L433" i="172" s="1"/>
  <c r="P433" i="172"/>
  <c r="Q433" i="172"/>
  <c r="R433" i="172" s="1"/>
  <c r="N433" i="172"/>
  <c r="P431" i="172"/>
  <c r="Q431" i="172"/>
  <c r="R431" i="172" s="1"/>
  <c r="N431" i="172"/>
  <c r="K428" i="172"/>
  <c r="L428" i="172" s="1"/>
  <c r="P428" i="172"/>
  <c r="N428" i="172"/>
  <c r="Q428" i="172"/>
  <c r="R428" i="172" s="1"/>
  <c r="Q423" i="172"/>
  <c r="P423" i="172"/>
  <c r="N423" i="172"/>
  <c r="K420" i="172"/>
  <c r="L420" i="172" s="1"/>
  <c r="Q420" i="172"/>
  <c r="P420" i="172"/>
  <c r="N420" i="172"/>
  <c r="P411" i="172"/>
  <c r="Q411" i="172"/>
  <c r="N411" i="172"/>
  <c r="K409" i="172"/>
  <c r="L409" i="172" s="1"/>
  <c r="P409" i="172"/>
  <c r="Q409" i="172"/>
  <c r="N409" i="172"/>
  <c r="P407" i="172"/>
  <c r="Q407" i="172"/>
  <c r="R407" i="172" s="1"/>
  <c r="N407" i="172"/>
  <c r="K405" i="172"/>
  <c r="L405" i="172" s="1"/>
  <c r="P405" i="172"/>
  <c r="Q405" i="172"/>
  <c r="R405" i="172" s="1"/>
  <c r="N405" i="172"/>
  <c r="P403" i="172"/>
  <c r="Q403" i="172"/>
  <c r="R403" i="172" s="1"/>
  <c r="N403" i="172"/>
  <c r="K401" i="172"/>
  <c r="L401" i="172" s="1"/>
  <c r="P401" i="172"/>
  <c r="Q401" i="172"/>
  <c r="R401" i="172" s="1"/>
  <c r="N401" i="172"/>
  <c r="K398" i="172"/>
  <c r="L398" i="172" s="1"/>
  <c r="Q398" i="172"/>
  <c r="R398" i="172" s="1"/>
  <c r="P398" i="172"/>
  <c r="N398" i="172"/>
  <c r="K395" i="172"/>
  <c r="L395" i="172" s="1"/>
  <c r="P395" i="172"/>
  <c r="Q395" i="172"/>
  <c r="R395" i="172" s="1"/>
  <c r="N395" i="172"/>
  <c r="K393" i="172"/>
  <c r="L393" i="172" s="1"/>
  <c r="P393" i="172"/>
  <c r="Q393" i="172"/>
  <c r="R393" i="172" s="1"/>
  <c r="N393" i="172"/>
  <c r="K391" i="172"/>
  <c r="L391" i="172" s="1"/>
  <c r="P391" i="172"/>
  <c r="Q391" i="172"/>
  <c r="R391" i="172" s="1"/>
  <c r="N391" i="172"/>
  <c r="K389" i="172"/>
  <c r="L389" i="172" s="1"/>
  <c r="P389" i="172"/>
  <c r="Q389" i="172"/>
  <c r="R389" i="172" s="1"/>
  <c r="N389" i="172"/>
  <c r="P387" i="172"/>
  <c r="Q387" i="172"/>
  <c r="R387" i="172" s="1"/>
  <c r="N387" i="172"/>
  <c r="K385" i="172"/>
  <c r="L385" i="172" s="1"/>
  <c r="P385" i="172"/>
  <c r="Q385" i="172"/>
  <c r="R385" i="172" s="1"/>
  <c r="N385" i="172"/>
  <c r="K370" i="172"/>
  <c r="L370" i="172" s="1"/>
  <c r="Q370" i="172"/>
  <c r="P370" i="172"/>
  <c r="N370" i="172"/>
  <c r="K368" i="172"/>
  <c r="L368" i="172" s="1"/>
  <c r="Q368" i="172"/>
  <c r="P368" i="172"/>
  <c r="N368" i="172"/>
  <c r="K361" i="172"/>
  <c r="L361" i="172" s="1"/>
  <c r="P361" i="172"/>
  <c r="Q361" i="172"/>
  <c r="R361" i="172" s="1"/>
  <c r="N361" i="172"/>
  <c r="P359" i="172"/>
  <c r="Q359" i="172"/>
  <c r="N359" i="172"/>
  <c r="K357" i="172"/>
  <c r="L357" i="172" s="1"/>
  <c r="P357" i="172"/>
  <c r="Q357" i="172"/>
  <c r="N357" i="172"/>
  <c r="P355" i="172"/>
  <c r="Q355" i="172"/>
  <c r="R355" i="172" s="1"/>
  <c r="N355" i="172"/>
  <c r="K353" i="172"/>
  <c r="L353" i="172" s="1"/>
  <c r="P353" i="172"/>
  <c r="Q353" i="172"/>
  <c r="R353" i="172" s="1"/>
  <c r="N353" i="172"/>
  <c r="K346" i="172"/>
  <c r="L346" i="172" s="1"/>
  <c r="Q346" i="172"/>
  <c r="R346" i="172" s="1"/>
  <c r="P346" i="172"/>
  <c r="N346" i="172"/>
  <c r="Q344" i="172"/>
  <c r="R344" i="172" s="1"/>
  <c r="P344" i="172"/>
  <c r="N344" i="172"/>
  <c r="Q342" i="172"/>
  <c r="R342" i="172" s="1"/>
  <c r="P342" i="172"/>
  <c r="N342" i="172"/>
  <c r="K340" i="172"/>
  <c r="L340" i="172" s="1"/>
  <c r="Q340" i="172"/>
  <c r="P340" i="172"/>
  <c r="N340" i="172"/>
  <c r="K338" i="172"/>
  <c r="L338" i="172" s="1"/>
  <c r="Q338" i="172"/>
  <c r="P338" i="172"/>
  <c r="N338" i="172"/>
  <c r="P317" i="172"/>
  <c r="Q317" i="172"/>
  <c r="N317" i="172"/>
  <c r="P308" i="172"/>
  <c r="Q308" i="172"/>
  <c r="R308" i="172" s="1"/>
  <c r="N308" i="172"/>
  <c r="P301" i="172"/>
  <c r="Q301" i="172"/>
  <c r="R301" i="172" s="1"/>
  <c r="N301" i="172"/>
  <c r="Q298" i="172"/>
  <c r="P298" i="172"/>
  <c r="N298" i="172"/>
  <c r="P296" i="172"/>
  <c r="Q296" i="172"/>
  <c r="N296" i="172"/>
  <c r="P291" i="172"/>
  <c r="Q291" i="172"/>
  <c r="R291" i="172" s="1"/>
  <c r="N291" i="172"/>
  <c r="P289" i="172"/>
  <c r="Q289" i="172"/>
  <c r="R289" i="172" s="1"/>
  <c r="N289" i="172"/>
  <c r="P287" i="172"/>
  <c r="Q287" i="172"/>
  <c r="R287" i="172" s="1"/>
  <c r="N287" i="172"/>
  <c r="P280" i="172"/>
  <c r="Q280" i="172"/>
  <c r="N280" i="172"/>
  <c r="P278" i="172"/>
  <c r="Q278" i="172"/>
  <c r="R278" i="172" s="1"/>
  <c r="N278" i="172"/>
  <c r="P275" i="172"/>
  <c r="Q275" i="172"/>
  <c r="R275" i="172" s="1"/>
  <c r="N275" i="172"/>
  <c r="P268" i="172"/>
  <c r="N268" i="172"/>
  <c r="Q268" i="172"/>
  <c r="R268" i="172" s="1"/>
  <c r="Q266" i="172"/>
  <c r="R266" i="172" s="1"/>
  <c r="P266" i="172"/>
  <c r="N266" i="172"/>
  <c r="P263" i="172"/>
  <c r="Q263" i="172"/>
  <c r="R263" i="172" s="1"/>
  <c r="N263" i="172"/>
  <c r="P252" i="172"/>
  <c r="Q252" i="172"/>
  <c r="R252" i="172" s="1"/>
  <c r="N252" i="172"/>
  <c r="P247" i="172"/>
  <c r="Q247" i="172"/>
  <c r="R247" i="172" s="1"/>
  <c r="N247" i="172"/>
  <c r="P245" i="172"/>
  <c r="Q245" i="172"/>
  <c r="N245" i="172"/>
  <c r="P243" i="172"/>
  <c r="Q243" i="172"/>
  <c r="R243" i="172" s="1"/>
  <c r="N243" i="172"/>
  <c r="P232" i="172"/>
  <c r="Q232" i="172"/>
  <c r="R232" i="172" s="1"/>
  <c r="N232" i="172"/>
  <c r="K230" i="172"/>
  <c r="L230" i="172" s="1"/>
  <c r="P230" i="172"/>
  <c r="Q230" i="172"/>
  <c r="R230" i="172" s="1"/>
  <c r="N230" i="172"/>
  <c r="P225" i="172"/>
  <c r="Q225" i="172"/>
  <c r="R225" i="172" s="1"/>
  <c r="N225" i="172"/>
  <c r="P223" i="172"/>
  <c r="Q223" i="172"/>
  <c r="N223" i="172"/>
  <c r="K221" i="172"/>
  <c r="L221" i="172" s="1"/>
  <c r="P221" i="172"/>
  <c r="Q221" i="172"/>
  <c r="N221" i="172"/>
  <c r="P216" i="172"/>
  <c r="Q216" i="172"/>
  <c r="R216" i="172" s="1"/>
  <c r="N216" i="172"/>
  <c r="P207" i="172"/>
  <c r="Q207" i="172"/>
  <c r="R207" i="172" s="1"/>
  <c r="N207" i="172"/>
  <c r="Q200" i="172"/>
  <c r="P200" i="172"/>
  <c r="N200" i="172"/>
  <c r="Q198" i="172"/>
  <c r="R198" i="172" s="1"/>
  <c r="P198" i="172"/>
  <c r="N198" i="172"/>
  <c r="Q196" i="172"/>
  <c r="R196" i="172" s="1"/>
  <c r="P196" i="172"/>
  <c r="N196" i="172"/>
  <c r="K194" i="172"/>
  <c r="L194" i="172" s="1"/>
  <c r="Q194" i="172"/>
  <c r="R194" i="172" s="1"/>
  <c r="P194" i="172"/>
  <c r="N194" i="172"/>
  <c r="Q192" i="172"/>
  <c r="R192" i="172" s="1"/>
  <c r="P192" i="172"/>
  <c r="N192" i="172"/>
  <c r="K190" i="172"/>
  <c r="L190" i="172" s="1"/>
  <c r="Q190" i="172"/>
  <c r="R190" i="172" s="1"/>
  <c r="P190" i="172"/>
  <c r="N190" i="172"/>
  <c r="Q188" i="172"/>
  <c r="P188" i="172"/>
  <c r="N188" i="172"/>
  <c r="K186" i="172"/>
  <c r="L186" i="172" s="1"/>
  <c r="Q186" i="172"/>
  <c r="P186" i="172"/>
  <c r="N186" i="172"/>
  <c r="P175" i="172"/>
  <c r="Q175" i="172"/>
  <c r="N175" i="172"/>
  <c r="P173" i="172"/>
  <c r="Q173" i="172"/>
  <c r="R173" i="172" s="1"/>
  <c r="N173" i="172"/>
  <c r="K171" i="172"/>
  <c r="L171" i="172" s="1"/>
  <c r="P171" i="172"/>
  <c r="Q171" i="172"/>
  <c r="R171" i="172" s="1"/>
  <c r="N171" i="172"/>
  <c r="P169" i="172"/>
  <c r="Q169" i="172"/>
  <c r="R169" i="172" s="1"/>
  <c r="N169" i="172"/>
  <c r="Q164" i="172"/>
  <c r="P164" i="172"/>
  <c r="N164" i="172"/>
  <c r="P159" i="172"/>
  <c r="Q159" i="172"/>
  <c r="N159" i="172"/>
  <c r="P157" i="172"/>
  <c r="Q157" i="172"/>
  <c r="R157" i="172" s="1"/>
  <c r="N157" i="172"/>
  <c r="K155" i="172"/>
  <c r="L155" i="172" s="1"/>
  <c r="P155" i="172"/>
  <c r="Q155" i="172"/>
  <c r="R155" i="172" s="1"/>
  <c r="N155" i="172"/>
  <c r="P153" i="172"/>
  <c r="Q153" i="172"/>
  <c r="R153" i="172" s="1"/>
  <c r="N153" i="172"/>
  <c r="P151" i="172"/>
  <c r="Q151" i="172"/>
  <c r="R151" i="172" s="1"/>
  <c r="N151" i="172"/>
  <c r="K142" i="172"/>
  <c r="L142" i="172" s="1"/>
  <c r="Q142" i="172"/>
  <c r="P142" i="172"/>
  <c r="N142" i="172"/>
  <c r="Q140" i="172"/>
  <c r="R140" i="172" s="1"/>
  <c r="P140" i="172"/>
  <c r="N140" i="172"/>
  <c r="K138" i="172"/>
  <c r="L138" i="172" s="1"/>
  <c r="Q138" i="172"/>
  <c r="R138" i="172" s="1"/>
  <c r="P138" i="172"/>
  <c r="N138" i="172"/>
  <c r="K136" i="172"/>
  <c r="L136" i="172" s="1"/>
  <c r="Q136" i="172"/>
  <c r="R136" i="172" s="1"/>
  <c r="P136" i="172"/>
  <c r="N136" i="172"/>
  <c r="Q134" i="172"/>
  <c r="R134" i="172" s="1"/>
  <c r="P134" i="172"/>
  <c r="N134" i="172"/>
  <c r="K127" i="172"/>
  <c r="L127" i="172" s="1"/>
  <c r="P127" i="172"/>
  <c r="Q127" i="172"/>
  <c r="R127" i="172" s="1"/>
  <c r="N127" i="172"/>
  <c r="K124" i="172"/>
  <c r="L124" i="172" s="1"/>
  <c r="Q124" i="172"/>
  <c r="P124" i="172"/>
  <c r="N124" i="172"/>
  <c r="K121" i="172"/>
  <c r="L121" i="172" s="1"/>
  <c r="P121" i="172"/>
  <c r="Q121" i="172"/>
  <c r="N121" i="172"/>
  <c r="K116" i="172"/>
  <c r="L116" i="172" s="1"/>
  <c r="Q116" i="172"/>
  <c r="P116" i="172"/>
  <c r="N116" i="172"/>
  <c r="P111" i="172"/>
  <c r="Q111" i="172"/>
  <c r="N111" i="172"/>
  <c r="K109" i="172"/>
  <c r="L109" i="172" s="1"/>
  <c r="P109" i="172"/>
  <c r="Q109" i="172"/>
  <c r="N109" i="172"/>
  <c r="P107" i="172"/>
  <c r="Q107" i="172"/>
  <c r="R107" i="172" s="1"/>
  <c r="N107" i="172"/>
  <c r="K105" i="172"/>
  <c r="L105" i="172" s="1"/>
  <c r="P105" i="172"/>
  <c r="Q105" i="172"/>
  <c r="N105" i="172"/>
  <c r="P103" i="172"/>
  <c r="Q103" i="172"/>
  <c r="N103" i="172"/>
  <c r="K94" i="172"/>
  <c r="L94" i="172" s="1"/>
  <c r="Q94" i="172"/>
  <c r="P94" i="172"/>
  <c r="N94" i="172"/>
  <c r="K92" i="172"/>
  <c r="L92" i="172" s="1"/>
  <c r="Q92" i="172"/>
  <c r="P92" i="172"/>
  <c r="N92" i="172"/>
  <c r="P75" i="172"/>
  <c r="Q75" i="172"/>
  <c r="R75" i="172" s="1"/>
  <c r="N75" i="172"/>
  <c r="P73" i="172"/>
  <c r="Q73" i="172"/>
  <c r="N73" i="172"/>
  <c r="P71" i="172"/>
  <c r="Q71" i="172"/>
  <c r="R71" i="172" s="1"/>
  <c r="N71" i="172"/>
  <c r="K66" i="172"/>
  <c r="L66" i="172" s="1"/>
  <c r="Q66" i="172"/>
  <c r="P66" i="172"/>
  <c r="N66" i="172"/>
  <c r="P63" i="172"/>
  <c r="Q63" i="172"/>
  <c r="N63" i="172"/>
  <c r="P61" i="172"/>
  <c r="Q61" i="172"/>
  <c r="N61" i="172"/>
  <c r="N26" i="172"/>
  <c r="Q26" i="172" s="1"/>
  <c r="N51" i="172"/>
  <c r="Q51" i="172" s="1"/>
  <c r="N19" i="172"/>
  <c r="Q19" i="172" s="1"/>
  <c r="N30" i="172"/>
  <c r="Q30" i="172" s="1"/>
  <c r="N50" i="172"/>
  <c r="Q50" i="172" s="1"/>
  <c r="N21" i="172"/>
  <c r="Q21" i="172" s="1"/>
  <c r="N31" i="172"/>
  <c r="Q31" i="172" s="1"/>
  <c r="N43" i="172"/>
  <c r="Q43" i="172" s="1"/>
  <c r="N22" i="172"/>
  <c r="Q22" i="172" s="1"/>
  <c r="N52" i="172"/>
  <c r="Q52" i="172" s="1"/>
  <c r="N36" i="172"/>
  <c r="Q36" i="172" s="1"/>
  <c r="N20" i="172"/>
  <c r="Q20" i="172" s="1"/>
  <c r="P997" i="172"/>
  <c r="Q997" i="172"/>
  <c r="R997" i="172" s="1"/>
  <c r="N997" i="172"/>
  <c r="P993" i="172"/>
  <c r="N993" i="172"/>
  <c r="Q993" i="172"/>
  <c r="R993" i="172" s="1"/>
  <c r="P952" i="172"/>
  <c r="Q952" i="172"/>
  <c r="N952" i="172"/>
  <c r="P950" i="172"/>
  <c r="Q950" i="172"/>
  <c r="R950" i="172" s="1"/>
  <c r="N950" i="172"/>
  <c r="K948" i="172"/>
  <c r="L948" i="172" s="1"/>
  <c r="P948" i="172"/>
  <c r="Q948" i="172"/>
  <c r="R948" i="172" s="1"/>
  <c r="N948" i="172"/>
  <c r="K946" i="172"/>
  <c r="L946" i="172" s="1"/>
  <c r="P946" i="172"/>
  <c r="Q946" i="172"/>
  <c r="R946" i="172" s="1"/>
  <c r="N946" i="172"/>
  <c r="K944" i="172"/>
  <c r="L944" i="172" s="1"/>
  <c r="P944" i="172"/>
  <c r="Q944" i="172"/>
  <c r="R944" i="172" s="1"/>
  <c r="N944" i="172"/>
  <c r="K942" i="172"/>
  <c r="L942" i="172" s="1"/>
  <c r="P942" i="172"/>
  <c r="Q942" i="172"/>
  <c r="R942" i="172" s="1"/>
  <c r="N942" i="172"/>
  <c r="K940" i="172"/>
  <c r="L940" i="172" s="1"/>
  <c r="P940" i="172"/>
  <c r="Q940" i="172"/>
  <c r="R940" i="172" s="1"/>
  <c r="N940" i="172"/>
  <c r="K931" i="172"/>
  <c r="L931" i="172" s="1"/>
  <c r="P931" i="172"/>
  <c r="N931" i="172"/>
  <c r="Q931" i="172"/>
  <c r="P929" i="172"/>
  <c r="N929" i="172"/>
  <c r="Q929" i="172"/>
  <c r="R929" i="172" s="1"/>
  <c r="K927" i="172"/>
  <c r="L927" i="172" s="1"/>
  <c r="P927" i="172"/>
  <c r="Q927" i="172"/>
  <c r="R927" i="172" s="1"/>
  <c r="N927" i="172"/>
  <c r="P925" i="172"/>
  <c r="Q925" i="172"/>
  <c r="R925" i="172" s="1"/>
  <c r="N925" i="172"/>
  <c r="K923" i="172"/>
  <c r="L923" i="172" s="1"/>
  <c r="P923" i="172"/>
  <c r="N923" i="172"/>
  <c r="Q923" i="172"/>
  <c r="R923" i="172" s="1"/>
  <c r="P921" i="172"/>
  <c r="N921" i="172"/>
  <c r="Q921" i="172"/>
  <c r="R921" i="172" s="1"/>
  <c r="K919" i="172"/>
  <c r="L919" i="172" s="1"/>
  <c r="P919" i="172"/>
  <c r="Q919" i="172"/>
  <c r="N919" i="172"/>
  <c r="P917" i="172"/>
  <c r="Q917" i="172"/>
  <c r="R917" i="172" s="1"/>
  <c r="N917" i="172"/>
  <c r="K912" i="172"/>
  <c r="L912" i="172" s="1"/>
  <c r="P912" i="172"/>
  <c r="Q912" i="172"/>
  <c r="R912" i="172" s="1"/>
  <c r="N912" i="172"/>
  <c r="K910" i="172"/>
  <c r="L910" i="172" s="1"/>
  <c r="P910" i="172"/>
  <c r="Q910" i="172"/>
  <c r="R910" i="172" s="1"/>
  <c r="N910" i="172"/>
  <c r="K901" i="172"/>
  <c r="L901" i="172" s="1"/>
  <c r="P901" i="172"/>
  <c r="Q901" i="172"/>
  <c r="R901" i="172" s="1"/>
  <c r="N901" i="172"/>
  <c r="U877" i="172"/>
  <c r="P874" i="172"/>
  <c r="Q874" i="172"/>
  <c r="R874" i="172" s="1"/>
  <c r="N874" i="172"/>
  <c r="P870" i="172"/>
  <c r="Q870" i="172"/>
  <c r="R870" i="172" s="1"/>
  <c r="N870" i="172"/>
  <c r="P863" i="172"/>
  <c r="Q863" i="172"/>
  <c r="R863" i="172" s="1"/>
  <c r="N863" i="172"/>
  <c r="P859" i="172"/>
  <c r="Q859" i="172"/>
  <c r="N859" i="172"/>
  <c r="P843" i="172"/>
  <c r="Q843" i="172"/>
  <c r="R843" i="172" s="1"/>
  <c r="N843" i="172"/>
  <c r="P841" i="172"/>
  <c r="N841" i="172"/>
  <c r="Q841" i="172"/>
  <c r="R841" i="172" s="1"/>
  <c r="P836" i="172"/>
  <c r="Q836" i="172"/>
  <c r="R836" i="172" s="1"/>
  <c r="N836" i="172"/>
  <c r="P829" i="172"/>
  <c r="Q829" i="172"/>
  <c r="N829" i="172"/>
  <c r="P816" i="172"/>
  <c r="Q816" i="172"/>
  <c r="R816" i="172" s="1"/>
  <c r="N816" i="172"/>
  <c r="P814" i="172"/>
  <c r="Q814" i="172"/>
  <c r="R814" i="172" s="1"/>
  <c r="N814" i="172"/>
  <c r="K791" i="172"/>
  <c r="L791" i="172" s="1"/>
  <c r="P791" i="172"/>
  <c r="Q791" i="172"/>
  <c r="R791" i="172" s="1"/>
  <c r="N791" i="172"/>
  <c r="P787" i="172"/>
  <c r="N787" i="172"/>
  <c r="Q787" i="172"/>
  <c r="R787" i="172" s="1"/>
  <c r="P772" i="172"/>
  <c r="Q772" i="172"/>
  <c r="N772" i="172"/>
  <c r="K767" i="172"/>
  <c r="L767" i="172" s="1"/>
  <c r="P767" i="172"/>
  <c r="Q767" i="172"/>
  <c r="N767" i="172"/>
  <c r="P738" i="172"/>
  <c r="N738" i="172"/>
  <c r="Q738" i="172"/>
  <c r="R738" i="172" s="1"/>
  <c r="P736" i="172"/>
  <c r="Q736" i="172"/>
  <c r="R736" i="172" s="1"/>
  <c r="N736" i="172"/>
  <c r="P734" i="172"/>
  <c r="N734" i="172"/>
  <c r="Q734" i="172"/>
  <c r="R734" i="172" s="1"/>
  <c r="K703" i="172"/>
  <c r="L703" i="172" s="1"/>
  <c r="P703" i="172"/>
  <c r="Q703" i="172"/>
  <c r="R703" i="172" s="1"/>
  <c r="N703" i="172"/>
  <c r="K701" i="172"/>
  <c r="L701" i="172" s="1"/>
  <c r="P701" i="172"/>
  <c r="Q701" i="172"/>
  <c r="R701" i="172" s="1"/>
  <c r="N701" i="172"/>
  <c r="P697" i="172"/>
  <c r="Q697" i="172"/>
  <c r="R697" i="172" s="1"/>
  <c r="N697" i="172"/>
  <c r="P686" i="172"/>
  <c r="Q686" i="172"/>
  <c r="R686" i="172" s="1"/>
  <c r="N686" i="172"/>
  <c r="P682" i="172"/>
  <c r="N682" i="172"/>
  <c r="Q682" i="172"/>
  <c r="R682" i="172" s="1"/>
  <c r="K663" i="172"/>
  <c r="L663" i="172" s="1"/>
  <c r="P663" i="172"/>
  <c r="Q663" i="172"/>
  <c r="R663" i="172" s="1"/>
  <c r="N663" i="172"/>
  <c r="K661" i="172"/>
  <c r="L661" i="172" s="1"/>
  <c r="P661" i="172"/>
  <c r="Q661" i="172"/>
  <c r="R661" i="172" s="1"/>
  <c r="N661" i="172"/>
  <c r="P654" i="172"/>
  <c r="Q654" i="172"/>
  <c r="R654" i="172" s="1"/>
  <c r="N654" i="172"/>
  <c r="P652" i="172"/>
  <c r="N652" i="172"/>
  <c r="Q652" i="172"/>
  <c r="R652" i="172" s="1"/>
  <c r="T648" i="172"/>
  <c r="P634" i="172"/>
  <c r="N634" i="172"/>
  <c r="Q634" i="172"/>
  <c r="R634" i="172" s="1"/>
  <c r="K632" i="172"/>
  <c r="L632" i="172" s="1"/>
  <c r="P632" i="172"/>
  <c r="Q632" i="172"/>
  <c r="N632" i="172"/>
  <c r="P630" i="172"/>
  <c r="Q630" i="172"/>
  <c r="R630" i="172" s="1"/>
  <c r="N630" i="172"/>
  <c r="K628" i="172"/>
  <c r="L628" i="172" s="1"/>
  <c r="P628" i="172"/>
  <c r="N628" i="172"/>
  <c r="Q628" i="172"/>
  <c r="R628" i="172" s="1"/>
  <c r="P626" i="172"/>
  <c r="N626" i="172"/>
  <c r="Q626" i="172"/>
  <c r="R626" i="172" s="1"/>
  <c r="K620" i="172"/>
  <c r="L620" i="172" s="1"/>
  <c r="P620" i="172"/>
  <c r="N620" i="172"/>
  <c r="Q620" i="172"/>
  <c r="R620" i="172" s="1"/>
  <c r="K614" i="172"/>
  <c r="L614" i="172" s="1"/>
  <c r="P614" i="172"/>
  <c r="Q614" i="172"/>
  <c r="R614" i="172" s="1"/>
  <c r="N614" i="172"/>
  <c r="K584" i="172"/>
  <c r="L584" i="172" s="1"/>
  <c r="P584" i="172"/>
  <c r="Q584" i="172"/>
  <c r="R584" i="172" s="1"/>
  <c r="N584" i="172"/>
  <c r="K582" i="172"/>
  <c r="L582" i="172" s="1"/>
  <c r="P582" i="172"/>
  <c r="Q582" i="172"/>
  <c r="R582" i="172" s="1"/>
  <c r="N582" i="172"/>
  <c r="P580" i="172"/>
  <c r="N580" i="172"/>
  <c r="Q580" i="172"/>
  <c r="R580" i="172" s="1"/>
  <c r="P578" i="172"/>
  <c r="N578" i="172"/>
  <c r="Q578" i="172"/>
  <c r="R578" i="172" s="1"/>
  <c r="P571" i="172"/>
  <c r="Q571" i="172"/>
  <c r="R571" i="172" s="1"/>
  <c r="N571" i="172"/>
  <c r="P569" i="172"/>
  <c r="Q569" i="172"/>
  <c r="R569" i="172" s="1"/>
  <c r="N569" i="172"/>
  <c r="P560" i="172"/>
  <c r="Q560" i="172"/>
  <c r="R560" i="172" s="1"/>
  <c r="N560" i="172"/>
  <c r="P558" i="172"/>
  <c r="Q558" i="172"/>
  <c r="R558" i="172" s="1"/>
  <c r="N558" i="172"/>
  <c r="P556" i="172"/>
  <c r="N556" i="172"/>
  <c r="Q556" i="172"/>
  <c r="R556" i="172" s="1"/>
  <c r="P552" i="172"/>
  <c r="Q552" i="172"/>
  <c r="R552" i="172" s="1"/>
  <c r="N552" i="172"/>
  <c r="P539" i="172"/>
  <c r="Q539" i="172"/>
  <c r="R539" i="172" s="1"/>
  <c r="N539" i="172"/>
  <c r="P537" i="172"/>
  <c r="Q537" i="172"/>
  <c r="R537" i="172" s="1"/>
  <c r="N537" i="172"/>
  <c r="P531" i="172"/>
  <c r="Q531" i="172"/>
  <c r="R531" i="172" s="1"/>
  <c r="N531" i="172"/>
  <c r="P518" i="172"/>
  <c r="Q518" i="172"/>
  <c r="R518" i="172" s="1"/>
  <c r="N518" i="172"/>
  <c r="P502" i="172"/>
  <c r="Q502" i="172"/>
  <c r="R502" i="172" s="1"/>
  <c r="N502" i="172"/>
  <c r="P500" i="172"/>
  <c r="N500" i="172"/>
  <c r="Q500" i="172"/>
  <c r="R500" i="172" s="1"/>
  <c r="U494" i="172"/>
  <c r="P491" i="172"/>
  <c r="Q491" i="172"/>
  <c r="R491" i="172" s="1"/>
  <c r="N491" i="172"/>
  <c r="P485" i="172"/>
  <c r="Q485" i="172"/>
  <c r="R485" i="172" s="1"/>
  <c r="N485" i="172"/>
  <c r="K483" i="172"/>
  <c r="L483" i="172" s="1"/>
  <c r="P483" i="172"/>
  <c r="Q483" i="172"/>
  <c r="R483" i="172" s="1"/>
  <c r="N483" i="172"/>
  <c r="P477" i="172"/>
  <c r="Q477" i="172"/>
  <c r="R477" i="172" s="1"/>
  <c r="N477" i="172"/>
  <c r="P475" i="172"/>
  <c r="Q475" i="172"/>
  <c r="R475" i="172" s="1"/>
  <c r="N475" i="172"/>
  <c r="P473" i="172"/>
  <c r="Q473" i="172"/>
  <c r="R473" i="172" s="1"/>
  <c r="N473" i="172"/>
  <c r="P469" i="172"/>
  <c r="Q469" i="172"/>
  <c r="R469" i="172" s="1"/>
  <c r="N469" i="172"/>
  <c r="K465" i="172"/>
  <c r="L465" i="172" s="1"/>
  <c r="P465" i="172"/>
  <c r="Q465" i="172"/>
  <c r="R465" i="172" s="1"/>
  <c r="N465" i="172"/>
  <c r="P458" i="172"/>
  <c r="N458" i="172"/>
  <c r="Q458" i="172"/>
  <c r="R458" i="172" s="1"/>
  <c r="K441" i="172"/>
  <c r="L441" i="172" s="1"/>
  <c r="P441" i="172"/>
  <c r="Q441" i="172"/>
  <c r="R441" i="172" s="1"/>
  <c r="N441" i="172"/>
  <c r="P439" i="172"/>
  <c r="Q439" i="172"/>
  <c r="R439" i="172" s="1"/>
  <c r="N439" i="172"/>
  <c r="K415" i="172"/>
  <c r="L415" i="172" s="1"/>
  <c r="P415" i="172"/>
  <c r="Q415" i="172"/>
  <c r="R415" i="172" s="1"/>
  <c r="N415" i="172"/>
  <c r="K382" i="172"/>
  <c r="L382" i="172" s="1"/>
  <c r="Q382" i="172"/>
  <c r="R382" i="172" s="1"/>
  <c r="P382" i="172"/>
  <c r="N382" i="172"/>
  <c r="K375" i="172"/>
  <c r="L375" i="172" s="1"/>
  <c r="P375" i="172"/>
  <c r="Q375" i="172"/>
  <c r="N375" i="172"/>
  <c r="P367" i="172"/>
  <c r="Q367" i="172"/>
  <c r="N367" i="172"/>
  <c r="P365" i="172"/>
  <c r="Q365" i="172"/>
  <c r="R365" i="172" s="1"/>
  <c r="N365" i="172"/>
  <c r="P337" i="172"/>
  <c r="Q337" i="172"/>
  <c r="R337" i="172" s="1"/>
  <c r="N337" i="172"/>
  <c r="K335" i="172"/>
  <c r="L335" i="172" s="1"/>
  <c r="P335" i="172"/>
  <c r="Q335" i="172"/>
  <c r="R335" i="172" s="1"/>
  <c r="N335" i="172"/>
  <c r="Q330" i="172"/>
  <c r="P330" i="172"/>
  <c r="N330" i="172"/>
  <c r="K328" i="172"/>
  <c r="L328" i="172" s="1"/>
  <c r="P328" i="172"/>
  <c r="Q328" i="172"/>
  <c r="R328" i="172" s="1"/>
  <c r="N328" i="172"/>
  <c r="K326" i="172"/>
  <c r="L326" i="172" s="1"/>
  <c r="P326" i="172"/>
  <c r="Q326" i="172"/>
  <c r="R326" i="172" s="1"/>
  <c r="N326" i="172"/>
  <c r="K319" i="172"/>
  <c r="L319" i="172" s="1"/>
  <c r="P319" i="172"/>
  <c r="Q319" i="172"/>
  <c r="R319" i="172" s="1"/>
  <c r="N319" i="172"/>
  <c r="P316" i="172"/>
  <c r="Q316" i="172"/>
  <c r="N316" i="172"/>
  <c r="P310" i="172"/>
  <c r="Q310" i="172"/>
  <c r="R310" i="172" s="1"/>
  <c r="N310" i="172"/>
  <c r="P300" i="172"/>
  <c r="Q300" i="172"/>
  <c r="R300" i="172" s="1"/>
  <c r="N300" i="172"/>
  <c r="P293" i="172"/>
  <c r="Q293" i="172"/>
  <c r="R293" i="172" s="1"/>
  <c r="N293" i="172"/>
  <c r="T285" i="172"/>
  <c r="Q282" i="172"/>
  <c r="R282" i="172" s="1"/>
  <c r="P282" i="172"/>
  <c r="N282" i="172"/>
  <c r="T276" i="172"/>
  <c r="T273" i="172"/>
  <c r="P272" i="172"/>
  <c r="Q272" i="172"/>
  <c r="R272" i="172" s="1"/>
  <c r="N272" i="172"/>
  <c r="P258" i="172"/>
  <c r="Q258" i="172"/>
  <c r="R258" i="172" s="1"/>
  <c r="N258" i="172"/>
  <c r="P256" i="172"/>
  <c r="Q256" i="172"/>
  <c r="R256" i="172" s="1"/>
  <c r="N256" i="172"/>
  <c r="P251" i="172"/>
  <c r="Q251" i="172"/>
  <c r="R251" i="172" s="1"/>
  <c r="N251" i="172"/>
  <c r="P242" i="172"/>
  <c r="Q242" i="172"/>
  <c r="R242" i="172" s="1"/>
  <c r="N242" i="172"/>
  <c r="P240" i="172"/>
  <c r="Q240" i="172"/>
  <c r="R240" i="172" s="1"/>
  <c r="N240" i="172"/>
  <c r="K238" i="172"/>
  <c r="L238" i="172" s="1"/>
  <c r="P238" i="172"/>
  <c r="Q238" i="172"/>
  <c r="R238" i="172" s="1"/>
  <c r="N238" i="172"/>
  <c r="P236" i="172"/>
  <c r="Q236" i="172"/>
  <c r="R236" i="172" s="1"/>
  <c r="N236" i="172"/>
  <c r="U228" i="172"/>
  <c r="T219" i="172"/>
  <c r="K213" i="172"/>
  <c r="L213" i="172" s="1"/>
  <c r="P213" i="172"/>
  <c r="Q213" i="172"/>
  <c r="R213" i="172" s="1"/>
  <c r="N213" i="172"/>
  <c r="P209" i="172"/>
  <c r="Q209" i="172"/>
  <c r="R209" i="172" s="1"/>
  <c r="N209" i="172"/>
  <c r="K206" i="172"/>
  <c r="L206" i="172" s="1"/>
  <c r="P206" i="172"/>
  <c r="Q206" i="172"/>
  <c r="R206" i="172" s="1"/>
  <c r="N206" i="172"/>
  <c r="K204" i="172"/>
  <c r="L204" i="172" s="1"/>
  <c r="P204" i="172"/>
  <c r="Q204" i="172"/>
  <c r="R204" i="172" s="1"/>
  <c r="N204" i="172"/>
  <c r="P202" i="172"/>
  <c r="Q202" i="172"/>
  <c r="N202" i="172"/>
  <c r="P185" i="172"/>
  <c r="Q185" i="172"/>
  <c r="R185" i="172" s="1"/>
  <c r="N185" i="172"/>
  <c r="K183" i="172"/>
  <c r="L183" i="172" s="1"/>
  <c r="P183" i="172"/>
  <c r="Q183" i="172"/>
  <c r="R183" i="172" s="1"/>
  <c r="N183" i="172"/>
  <c r="K181" i="172"/>
  <c r="L181" i="172" s="1"/>
  <c r="P181" i="172"/>
  <c r="Q181" i="172"/>
  <c r="R181" i="172" s="1"/>
  <c r="N181" i="172"/>
  <c r="K179" i="172"/>
  <c r="L179" i="172" s="1"/>
  <c r="P179" i="172"/>
  <c r="Q179" i="172"/>
  <c r="R179" i="172" s="1"/>
  <c r="N179" i="172"/>
  <c r="P177" i="172"/>
  <c r="Q177" i="172"/>
  <c r="R177" i="172" s="1"/>
  <c r="N177" i="172"/>
  <c r="Q168" i="172"/>
  <c r="R168" i="172" s="1"/>
  <c r="P168" i="172"/>
  <c r="N168" i="172"/>
  <c r="K166" i="172"/>
  <c r="L166" i="172" s="1"/>
  <c r="Q166" i="172"/>
  <c r="R166" i="172" s="1"/>
  <c r="P166" i="172"/>
  <c r="N166" i="172"/>
  <c r="K163" i="172"/>
  <c r="L163" i="172" s="1"/>
  <c r="P163" i="172"/>
  <c r="Q163" i="172"/>
  <c r="R163" i="172" s="1"/>
  <c r="N163" i="172"/>
  <c r="K161" i="172"/>
  <c r="L161" i="172" s="1"/>
  <c r="P161" i="172"/>
  <c r="Q161" i="172"/>
  <c r="R161" i="172" s="1"/>
  <c r="N161" i="172"/>
  <c r="Q148" i="172"/>
  <c r="R148" i="172" s="1"/>
  <c r="P148" i="172"/>
  <c r="N148" i="172"/>
  <c r="K146" i="172"/>
  <c r="L146" i="172" s="1"/>
  <c r="Q146" i="172"/>
  <c r="R146" i="172" s="1"/>
  <c r="P146" i="172"/>
  <c r="N146" i="172"/>
  <c r="Q144" i="172"/>
  <c r="R144" i="172" s="1"/>
  <c r="P144" i="172"/>
  <c r="N144" i="172"/>
  <c r="K131" i="172"/>
  <c r="L131" i="172" s="1"/>
  <c r="P131" i="172"/>
  <c r="Q131" i="172"/>
  <c r="R131" i="172" s="1"/>
  <c r="N131" i="172"/>
  <c r="K129" i="172"/>
  <c r="L129" i="172" s="1"/>
  <c r="P129" i="172"/>
  <c r="Q129" i="172"/>
  <c r="R129" i="172" s="1"/>
  <c r="N129" i="172"/>
  <c r="K126" i="172"/>
  <c r="L126" i="172" s="1"/>
  <c r="Q126" i="172"/>
  <c r="P126" i="172"/>
  <c r="N126" i="172"/>
  <c r="K123" i="172"/>
  <c r="L123" i="172" s="1"/>
  <c r="P123" i="172"/>
  <c r="Q123" i="172"/>
  <c r="N123" i="172"/>
  <c r="K118" i="172"/>
  <c r="L118" i="172" s="1"/>
  <c r="Q118" i="172"/>
  <c r="P118" i="172"/>
  <c r="N118" i="172"/>
  <c r="K113" i="172"/>
  <c r="L113" i="172" s="1"/>
  <c r="P113" i="172"/>
  <c r="Q113" i="172"/>
  <c r="N113" i="172"/>
  <c r="K100" i="172"/>
  <c r="L100" i="172" s="1"/>
  <c r="Q100" i="172"/>
  <c r="P100" i="172"/>
  <c r="N100" i="172"/>
  <c r="K96" i="172"/>
  <c r="L96" i="172" s="1"/>
  <c r="Q96" i="172"/>
  <c r="P96" i="172"/>
  <c r="N96" i="172"/>
  <c r="K87" i="172"/>
  <c r="L87" i="172" s="1"/>
  <c r="P87" i="172"/>
  <c r="Q87" i="172"/>
  <c r="N87" i="172"/>
  <c r="P81" i="172"/>
  <c r="Q81" i="172"/>
  <c r="R81" i="172" s="1"/>
  <c r="N81" i="172"/>
  <c r="P79" i="172"/>
  <c r="Q79" i="172"/>
  <c r="N79" i="172"/>
  <c r="P77" i="172"/>
  <c r="Q77" i="172"/>
  <c r="N77" i="172"/>
  <c r="Q60" i="172"/>
  <c r="P60" i="172"/>
  <c r="N60" i="172"/>
  <c r="N41" i="172"/>
  <c r="Q41" i="172" s="1"/>
  <c r="N34" i="172"/>
  <c r="Q34" i="172" s="1"/>
  <c r="N29" i="172"/>
  <c r="Q29" i="172" s="1"/>
  <c r="N8" i="172"/>
  <c r="Q8" i="172" s="1"/>
  <c r="P1000" i="172"/>
  <c r="Q1000" i="172"/>
  <c r="R1000" i="172" s="1"/>
  <c r="N1000" i="172"/>
  <c r="P998" i="172"/>
  <c r="Q998" i="172"/>
  <c r="R998" i="172" s="1"/>
  <c r="N998" i="172"/>
  <c r="K996" i="172"/>
  <c r="L996" i="172" s="1"/>
  <c r="P996" i="172"/>
  <c r="Q996" i="172"/>
  <c r="R996" i="172" s="1"/>
  <c r="N996" i="172"/>
  <c r="K994" i="172"/>
  <c r="L994" i="172" s="1"/>
  <c r="P994" i="172"/>
  <c r="Q994" i="172"/>
  <c r="R994" i="172" s="1"/>
  <c r="N994" i="172"/>
  <c r="K992" i="172"/>
  <c r="L992" i="172" s="1"/>
  <c r="P992" i="172"/>
  <c r="Q992" i="172"/>
  <c r="R992" i="172" s="1"/>
  <c r="N992" i="172"/>
  <c r="K990" i="172"/>
  <c r="L990" i="172" s="1"/>
  <c r="P990" i="172"/>
  <c r="Q990" i="172"/>
  <c r="R990" i="172" s="1"/>
  <c r="N990" i="172"/>
  <c r="K988" i="172"/>
  <c r="L988" i="172" s="1"/>
  <c r="P988" i="172"/>
  <c r="Q988" i="172"/>
  <c r="R988" i="172" s="1"/>
  <c r="N988" i="172"/>
  <c r="K953" i="172"/>
  <c r="L953" i="172" s="1"/>
  <c r="P953" i="172"/>
  <c r="N953" i="172"/>
  <c r="Q953" i="172"/>
  <c r="R953" i="172" s="1"/>
  <c r="P951" i="172"/>
  <c r="Q951" i="172"/>
  <c r="N951" i="172"/>
  <c r="P949" i="172"/>
  <c r="Q949" i="172"/>
  <c r="R949" i="172" s="1"/>
  <c r="N949" i="172"/>
  <c r="K947" i="172"/>
  <c r="L947" i="172" s="1"/>
  <c r="P947" i="172"/>
  <c r="N947" i="172"/>
  <c r="Q947" i="172"/>
  <c r="P945" i="172"/>
  <c r="N945" i="172"/>
  <c r="Q945" i="172"/>
  <c r="R945" i="172" s="1"/>
  <c r="K943" i="172"/>
  <c r="L943" i="172" s="1"/>
  <c r="P943" i="172"/>
  <c r="Q943" i="172"/>
  <c r="R943" i="172" s="1"/>
  <c r="N943" i="172"/>
  <c r="P941" i="172"/>
  <c r="Q941" i="172"/>
  <c r="R941" i="172" s="1"/>
  <c r="N941" i="172"/>
  <c r="K939" i="172"/>
  <c r="L939" i="172" s="1"/>
  <c r="P939" i="172"/>
  <c r="Q939" i="172"/>
  <c r="R939" i="172" s="1"/>
  <c r="N939" i="172"/>
  <c r="P937" i="172"/>
  <c r="N937" i="172"/>
  <c r="Q937" i="172"/>
  <c r="R937" i="172" s="1"/>
  <c r="K934" i="172"/>
  <c r="L934" i="172" s="1"/>
  <c r="P934" i="172"/>
  <c r="Q934" i="172"/>
  <c r="N934" i="172"/>
  <c r="K932" i="172"/>
  <c r="L932" i="172" s="1"/>
  <c r="P932" i="172"/>
  <c r="Q932" i="172"/>
  <c r="N932" i="172"/>
  <c r="K930" i="172"/>
  <c r="L930" i="172" s="1"/>
  <c r="P930" i="172"/>
  <c r="Q930" i="172"/>
  <c r="N930" i="172"/>
  <c r="K928" i="172"/>
  <c r="L928" i="172" s="1"/>
  <c r="P928" i="172"/>
  <c r="Q928" i="172"/>
  <c r="N928" i="172"/>
  <c r="K926" i="172"/>
  <c r="L926" i="172" s="1"/>
  <c r="P926" i="172"/>
  <c r="Q926" i="172"/>
  <c r="N926" i="172"/>
  <c r="K924" i="172"/>
  <c r="L924" i="172" s="1"/>
  <c r="P924" i="172"/>
  <c r="Q924" i="172"/>
  <c r="N924" i="172"/>
  <c r="K922" i="172"/>
  <c r="L922" i="172" s="1"/>
  <c r="P922" i="172"/>
  <c r="Q922" i="172"/>
  <c r="N922" i="172"/>
  <c r="K920" i="172"/>
  <c r="L920" i="172" s="1"/>
  <c r="P920" i="172"/>
  <c r="Q920" i="172"/>
  <c r="N920" i="172"/>
  <c r="K918" i="172"/>
  <c r="L918" i="172" s="1"/>
  <c r="P918" i="172"/>
  <c r="Q918" i="172"/>
  <c r="N918" i="172"/>
  <c r="K916" i="172"/>
  <c r="L916" i="172" s="1"/>
  <c r="P916" i="172"/>
  <c r="Q916" i="172"/>
  <c r="N916" i="172"/>
  <c r="K911" i="172"/>
  <c r="L911" i="172" s="1"/>
  <c r="P911" i="172"/>
  <c r="Q911" i="172"/>
  <c r="N911" i="172"/>
  <c r="P902" i="172"/>
  <c r="Q902" i="172"/>
  <c r="R902" i="172" s="1"/>
  <c r="N902" i="172"/>
  <c r="P900" i="172"/>
  <c r="Q900" i="172"/>
  <c r="R900" i="172" s="1"/>
  <c r="N900" i="172"/>
  <c r="P898" i="172"/>
  <c r="Q898" i="172"/>
  <c r="R898" i="172" s="1"/>
  <c r="N898" i="172"/>
  <c r="P896" i="172"/>
  <c r="Q896" i="172"/>
  <c r="N896" i="172"/>
  <c r="P894" i="172"/>
  <c r="Q894" i="172"/>
  <c r="R894" i="172" s="1"/>
  <c r="N894" i="172"/>
  <c r="P892" i="172"/>
  <c r="Q892" i="172"/>
  <c r="R892" i="172" s="1"/>
  <c r="N892" i="172"/>
  <c r="P890" i="172"/>
  <c r="Q890" i="172"/>
  <c r="R890" i="172" s="1"/>
  <c r="N890" i="172"/>
  <c r="P877" i="172"/>
  <c r="Q877" i="172"/>
  <c r="N877" i="172"/>
  <c r="P875" i="172"/>
  <c r="N875" i="172"/>
  <c r="Q875" i="172"/>
  <c r="P873" i="172"/>
  <c r="N873" i="172"/>
  <c r="Q873" i="172"/>
  <c r="R873" i="172" s="1"/>
  <c r="P871" i="172"/>
  <c r="Q871" i="172"/>
  <c r="R871" i="172" s="1"/>
  <c r="N871" i="172"/>
  <c r="P869" i="172"/>
  <c r="Q869" i="172"/>
  <c r="N869" i="172"/>
  <c r="P867" i="172"/>
  <c r="Q867" i="172"/>
  <c r="R867" i="172" s="1"/>
  <c r="N867" i="172"/>
  <c r="P864" i="172"/>
  <c r="Q864" i="172"/>
  <c r="R864" i="172" s="1"/>
  <c r="N864" i="172"/>
  <c r="P862" i="172"/>
  <c r="Q862" i="172"/>
  <c r="R862" i="172" s="1"/>
  <c r="N862" i="172"/>
  <c r="P860" i="172"/>
  <c r="Q860" i="172"/>
  <c r="N860" i="172"/>
  <c r="P847" i="172"/>
  <c r="Q847" i="172"/>
  <c r="R847" i="172" s="1"/>
  <c r="N847" i="172"/>
  <c r="P844" i="172"/>
  <c r="Q844" i="172"/>
  <c r="R844" i="172" s="1"/>
  <c r="N844" i="172"/>
  <c r="P842" i="172"/>
  <c r="Q842" i="172"/>
  <c r="R842" i="172" s="1"/>
  <c r="N842" i="172"/>
  <c r="P835" i="172"/>
  <c r="N835" i="172"/>
  <c r="Q835" i="172"/>
  <c r="R835" i="172" s="1"/>
  <c r="P828" i="172"/>
  <c r="Q828" i="172"/>
  <c r="R828" i="172" s="1"/>
  <c r="N828" i="172"/>
  <c r="P817" i="172"/>
  <c r="N817" i="172"/>
  <c r="Q817" i="172"/>
  <c r="R817" i="172" s="1"/>
  <c r="P815" i="172"/>
  <c r="Q815" i="172"/>
  <c r="R815" i="172" s="1"/>
  <c r="N815" i="172"/>
  <c r="P813" i="172"/>
  <c r="Q813" i="172"/>
  <c r="N813" i="172"/>
  <c r="P792" i="172"/>
  <c r="Q792" i="172"/>
  <c r="R792" i="172" s="1"/>
  <c r="N792" i="172"/>
  <c r="P790" i="172"/>
  <c r="Q790" i="172"/>
  <c r="R790" i="172" s="1"/>
  <c r="N790" i="172"/>
  <c r="K788" i="172"/>
  <c r="L788" i="172" s="1"/>
  <c r="P788" i="172"/>
  <c r="Q788" i="172"/>
  <c r="R788" i="172" s="1"/>
  <c r="N788" i="172"/>
  <c r="P786" i="172"/>
  <c r="Q786" i="172"/>
  <c r="R786" i="172" s="1"/>
  <c r="N786" i="172"/>
  <c r="P784" i="172"/>
  <c r="Q784" i="172"/>
  <c r="R784" i="172" s="1"/>
  <c r="N784" i="172"/>
  <c r="P782" i="172"/>
  <c r="Q782" i="172"/>
  <c r="R782" i="172" s="1"/>
  <c r="N782" i="172"/>
  <c r="P773" i="172"/>
  <c r="Q773" i="172"/>
  <c r="R773" i="172" s="1"/>
  <c r="N773" i="172"/>
  <c r="P771" i="172"/>
  <c r="N771" i="172"/>
  <c r="Q771" i="172"/>
  <c r="R771" i="172" s="1"/>
  <c r="P766" i="172"/>
  <c r="Q766" i="172"/>
  <c r="R766" i="172" s="1"/>
  <c r="N766" i="172"/>
  <c r="K739" i="172"/>
  <c r="L739" i="172" s="1"/>
  <c r="P739" i="172"/>
  <c r="Q739" i="172"/>
  <c r="N739" i="172"/>
  <c r="P737" i="172"/>
  <c r="N737" i="172"/>
  <c r="Q737" i="172"/>
  <c r="K735" i="172"/>
  <c r="L735" i="172" s="1"/>
  <c r="P735" i="172"/>
  <c r="N735" i="172"/>
  <c r="Q735" i="172"/>
  <c r="K733" i="172"/>
  <c r="L733" i="172" s="1"/>
  <c r="P733" i="172"/>
  <c r="Q733" i="172"/>
  <c r="R733" i="172" s="1"/>
  <c r="N733" i="172"/>
  <c r="K704" i="172"/>
  <c r="L704" i="172" s="1"/>
  <c r="P704" i="172"/>
  <c r="Q704" i="172"/>
  <c r="R704" i="172" s="1"/>
  <c r="N704" i="172"/>
  <c r="P702" i="172"/>
  <c r="Q702" i="172"/>
  <c r="R702" i="172" s="1"/>
  <c r="N702" i="172"/>
  <c r="K700" i="172"/>
  <c r="L700" i="172" s="1"/>
  <c r="P700" i="172"/>
  <c r="N700" i="172"/>
  <c r="Q700" i="172"/>
  <c r="R700" i="172" s="1"/>
  <c r="P698" i="172"/>
  <c r="N698" i="172"/>
  <c r="Q698" i="172"/>
  <c r="R698" i="172" s="1"/>
  <c r="P689" i="172"/>
  <c r="Q689" i="172"/>
  <c r="R689" i="172" s="1"/>
  <c r="N689" i="172"/>
  <c r="K687" i="172"/>
  <c r="L687" i="172" s="1"/>
  <c r="P687" i="172"/>
  <c r="Q687" i="172"/>
  <c r="N687" i="172"/>
  <c r="K685" i="172"/>
  <c r="L685" i="172" s="1"/>
  <c r="P685" i="172"/>
  <c r="Q685" i="172"/>
  <c r="N685" i="172"/>
  <c r="K683" i="172"/>
  <c r="L683" i="172" s="1"/>
  <c r="P683" i="172"/>
  <c r="Q683" i="172"/>
  <c r="N683" i="172"/>
  <c r="P681" i="172"/>
  <c r="Q681" i="172"/>
  <c r="R681" i="172" s="1"/>
  <c r="N681" i="172"/>
  <c r="P666" i="172"/>
  <c r="N666" i="172"/>
  <c r="Q666" i="172"/>
  <c r="R666" i="172" s="1"/>
  <c r="K664" i="172"/>
  <c r="L664" i="172" s="1"/>
  <c r="P664" i="172"/>
  <c r="Q664" i="172"/>
  <c r="R664" i="172" s="1"/>
  <c r="N664" i="172"/>
  <c r="P662" i="172"/>
  <c r="Q662" i="172"/>
  <c r="R662" i="172" s="1"/>
  <c r="N662" i="172"/>
  <c r="K655" i="172"/>
  <c r="L655" i="172" s="1"/>
  <c r="P655" i="172"/>
  <c r="Q655" i="172"/>
  <c r="R655" i="172" s="1"/>
  <c r="N655" i="172"/>
  <c r="K653" i="172"/>
  <c r="L653" i="172" s="1"/>
  <c r="P653" i="172"/>
  <c r="Q653" i="172"/>
  <c r="R653" i="172" s="1"/>
  <c r="N653" i="172"/>
  <c r="P648" i="172"/>
  <c r="Q648" i="172"/>
  <c r="R648" i="172" s="1"/>
  <c r="N648" i="172"/>
  <c r="K646" i="172"/>
  <c r="L646" i="172" s="1"/>
  <c r="P646" i="172"/>
  <c r="Q646" i="172"/>
  <c r="N646" i="172"/>
  <c r="P633" i="172"/>
  <c r="Q633" i="172"/>
  <c r="R633" i="172" s="1"/>
  <c r="N633" i="172"/>
  <c r="P631" i="172"/>
  <c r="Q631" i="172"/>
  <c r="R631" i="172" s="1"/>
  <c r="N631" i="172"/>
  <c r="P629" i="172"/>
  <c r="Q629" i="172"/>
  <c r="R629" i="172" s="1"/>
  <c r="N629" i="172"/>
  <c r="K627" i="172"/>
  <c r="L627" i="172" s="1"/>
  <c r="P627" i="172"/>
  <c r="Q627" i="172"/>
  <c r="N627" i="172"/>
  <c r="P625" i="172"/>
  <c r="Q625" i="172"/>
  <c r="N625" i="172"/>
  <c r="K623" i="172"/>
  <c r="L623" i="172" s="1"/>
  <c r="P623" i="172"/>
  <c r="Q623" i="172"/>
  <c r="R623" i="172" s="1"/>
  <c r="N623" i="172"/>
  <c r="K621" i="172"/>
  <c r="L621" i="172" s="1"/>
  <c r="P621" i="172"/>
  <c r="Q621" i="172"/>
  <c r="N621" i="172"/>
  <c r="K619" i="172"/>
  <c r="L619" i="172" s="1"/>
  <c r="P619" i="172"/>
  <c r="Q619" i="172"/>
  <c r="N619" i="172"/>
  <c r="K617" i="172"/>
  <c r="L617" i="172" s="1"/>
  <c r="P617" i="172"/>
  <c r="Q617" i="172"/>
  <c r="N617" i="172"/>
  <c r="K615" i="172"/>
  <c r="L615" i="172" s="1"/>
  <c r="P615" i="172"/>
  <c r="Q615" i="172"/>
  <c r="N615" i="172"/>
  <c r="P613" i="172"/>
  <c r="Q613" i="172"/>
  <c r="R613" i="172" s="1"/>
  <c r="N613" i="172"/>
  <c r="K611" i="172"/>
  <c r="L611" i="172" s="1"/>
  <c r="P611" i="172"/>
  <c r="Q611" i="172"/>
  <c r="R611" i="172" s="1"/>
  <c r="N611" i="172"/>
  <c r="P596" i="172"/>
  <c r="N596" i="172"/>
  <c r="Q596" i="172"/>
  <c r="R596" i="172" s="1"/>
  <c r="P594" i="172"/>
  <c r="N594" i="172"/>
  <c r="Q594" i="172"/>
  <c r="R594" i="172" s="1"/>
  <c r="P585" i="172"/>
  <c r="Q585" i="172"/>
  <c r="N585" i="172"/>
  <c r="P583" i="172"/>
  <c r="Q583" i="172"/>
  <c r="R583" i="172" s="1"/>
  <c r="N583" i="172"/>
  <c r="P581" i="172"/>
  <c r="Q581" i="172"/>
  <c r="R581" i="172" s="1"/>
  <c r="N581" i="172"/>
  <c r="P579" i="172"/>
  <c r="Q579" i="172"/>
  <c r="R579" i="172" s="1"/>
  <c r="N579" i="172"/>
  <c r="P574" i="172"/>
  <c r="Q574" i="172"/>
  <c r="N574" i="172"/>
  <c r="K572" i="172"/>
  <c r="L572" i="172" s="1"/>
  <c r="P572" i="172"/>
  <c r="N572" i="172"/>
  <c r="Q572" i="172"/>
  <c r="R572" i="172" s="1"/>
  <c r="K570" i="172"/>
  <c r="L570" i="172" s="1"/>
  <c r="P570" i="172"/>
  <c r="N570" i="172"/>
  <c r="Q570" i="172"/>
  <c r="R570" i="172" s="1"/>
  <c r="K568" i="172"/>
  <c r="L568" i="172" s="1"/>
  <c r="P568" i="172"/>
  <c r="Q568" i="172"/>
  <c r="N568" i="172"/>
  <c r="P566" i="172"/>
  <c r="Q566" i="172"/>
  <c r="R566" i="172" s="1"/>
  <c r="N566" i="172"/>
  <c r="P559" i="172"/>
  <c r="Q559" i="172"/>
  <c r="R559" i="172" s="1"/>
  <c r="N559" i="172"/>
  <c r="P557" i="172"/>
  <c r="Q557" i="172"/>
  <c r="R557" i="172" s="1"/>
  <c r="N557" i="172"/>
  <c r="P555" i="172"/>
  <c r="Q555" i="172"/>
  <c r="N555" i="172"/>
  <c r="P553" i="172"/>
  <c r="Q553" i="172"/>
  <c r="R553" i="172" s="1"/>
  <c r="N553" i="172"/>
  <c r="P551" i="172"/>
  <c r="Q551" i="172"/>
  <c r="R551" i="172" s="1"/>
  <c r="N551" i="172"/>
  <c r="P549" i="172"/>
  <c r="Q549" i="172"/>
  <c r="R549" i="172" s="1"/>
  <c r="N549" i="172"/>
  <c r="P540" i="172"/>
  <c r="N540" i="172"/>
  <c r="Q540" i="172"/>
  <c r="R540" i="172" s="1"/>
  <c r="P538" i="172"/>
  <c r="N538" i="172"/>
  <c r="Q538" i="172"/>
  <c r="P536" i="172"/>
  <c r="Q536" i="172"/>
  <c r="R536" i="172" s="1"/>
  <c r="N536" i="172"/>
  <c r="P534" i="172"/>
  <c r="Q534" i="172"/>
  <c r="R534" i="172" s="1"/>
  <c r="N534" i="172"/>
  <c r="P532" i="172"/>
  <c r="N532" i="172"/>
  <c r="Q532" i="172"/>
  <c r="R532" i="172" s="1"/>
  <c r="P530" i="172"/>
  <c r="N530" i="172"/>
  <c r="Q530" i="172"/>
  <c r="P528" i="172"/>
  <c r="Q528" i="172"/>
  <c r="R528" i="172" s="1"/>
  <c r="N528" i="172"/>
  <c r="P526" i="172"/>
  <c r="Q526" i="172"/>
  <c r="R526" i="172" s="1"/>
  <c r="N526" i="172"/>
  <c r="P517" i="172"/>
  <c r="Q517" i="172"/>
  <c r="N517" i="172"/>
  <c r="P510" i="172"/>
  <c r="Q510" i="172"/>
  <c r="R510" i="172" s="1"/>
  <c r="N510" i="172"/>
  <c r="P505" i="172"/>
  <c r="Q505" i="172"/>
  <c r="R505" i="172" s="1"/>
  <c r="N505" i="172"/>
  <c r="P503" i="172"/>
  <c r="Q503" i="172"/>
  <c r="R503" i="172" s="1"/>
  <c r="N503" i="172"/>
  <c r="P501" i="172"/>
  <c r="Q501" i="172"/>
  <c r="N501" i="172"/>
  <c r="P499" i="172"/>
  <c r="Q499" i="172"/>
  <c r="R499" i="172" s="1"/>
  <c r="N499" i="172"/>
  <c r="K494" i="172"/>
  <c r="L494" i="172" s="1"/>
  <c r="P494" i="172"/>
  <c r="Q494" i="172"/>
  <c r="R494" i="172" s="1"/>
  <c r="N494" i="172"/>
  <c r="P492" i="172"/>
  <c r="N492" i="172"/>
  <c r="Q492" i="172"/>
  <c r="R492" i="172" s="1"/>
  <c r="P490" i="172"/>
  <c r="N490" i="172"/>
  <c r="Q490" i="172"/>
  <c r="R490" i="172" s="1"/>
  <c r="K488" i="172"/>
  <c r="L488" i="172" s="1"/>
  <c r="P488" i="172"/>
  <c r="Q488" i="172"/>
  <c r="R488" i="172" s="1"/>
  <c r="N488" i="172"/>
  <c r="P486" i="172"/>
  <c r="Q486" i="172"/>
  <c r="N486" i="172"/>
  <c r="K484" i="172"/>
  <c r="L484" i="172" s="1"/>
  <c r="P484" i="172"/>
  <c r="N484" i="172"/>
  <c r="Q484" i="172"/>
  <c r="R484" i="172" s="1"/>
  <c r="P482" i="172"/>
  <c r="N482" i="172"/>
  <c r="Q482" i="172"/>
  <c r="K480" i="172"/>
  <c r="L480" i="172" s="1"/>
  <c r="P480" i="172"/>
  <c r="Q480" i="172"/>
  <c r="R480" i="172" s="1"/>
  <c r="N480" i="172"/>
  <c r="P478" i="172"/>
  <c r="Q478" i="172"/>
  <c r="R478" i="172" s="1"/>
  <c r="N478" i="172"/>
  <c r="K476" i="172"/>
  <c r="L476" i="172" s="1"/>
  <c r="P476" i="172"/>
  <c r="N476" i="172"/>
  <c r="Q476" i="172"/>
  <c r="R476" i="172" s="1"/>
  <c r="P474" i="172"/>
  <c r="N474" i="172"/>
  <c r="Q474" i="172"/>
  <c r="R474" i="172" s="1"/>
  <c r="K472" i="172"/>
  <c r="L472" i="172" s="1"/>
  <c r="P472" i="172"/>
  <c r="Q472" i="172"/>
  <c r="R472" i="172" s="1"/>
  <c r="N472" i="172"/>
  <c r="P470" i="172"/>
  <c r="Q470" i="172"/>
  <c r="N470" i="172"/>
  <c r="K468" i="172"/>
  <c r="L468" i="172" s="1"/>
  <c r="P468" i="172"/>
  <c r="N468" i="172"/>
  <c r="Q468" i="172"/>
  <c r="R468" i="172" s="1"/>
  <c r="P466" i="172"/>
  <c r="N466" i="172"/>
  <c r="Q466" i="172"/>
  <c r="K464" i="172"/>
  <c r="L464" i="172" s="1"/>
  <c r="P464" i="172"/>
  <c r="Q464" i="172"/>
  <c r="R464" i="172" s="1"/>
  <c r="N464" i="172"/>
  <c r="P462" i="172"/>
  <c r="Q462" i="172"/>
  <c r="R462" i="172" s="1"/>
  <c r="N462" i="172"/>
  <c r="K459" i="172"/>
  <c r="L459" i="172" s="1"/>
  <c r="P459" i="172"/>
  <c r="Q459" i="172"/>
  <c r="R459" i="172" s="1"/>
  <c r="N459" i="172"/>
  <c r="P457" i="172"/>
  <c r="Q457" i="172"/>
  <c r="R457" i="172" s="1"/>
  <c r="N457" i="172"/>
  <c r="K455" i="172"/>
  <c r="L455" i="172" s="1"/>
  <c r="P455" i="172"/>
  <c r="Q455" i="172"/>
  <c r="R455" i="172" s="1"/>
  <c r="N455" i="172"/>
  <c r="P453" i="172"/>
  <c r="Q453" i="172"/>
  <c r="N453" i="172"/>
  <c r="K446" i="172"/>
  <c r="L446" i="172" s="1"/>
  <c r="P446" i="172"/>
  <c r="Q446" i="172"/>
  <c r="N446" i="172"/>
  <c r="K444" i="172"/>
  <c r="L444" i="172" s="1"/>
  <c r="P444" i="172"/>
  <c r="N444" i="172"/>
  <c r="Q444" i="172"/>
  <c r="R444" i="172" s="1"/>
  <c r="K442" i="172"/>
  <c r="L442" i="172" s="1"/>
  <c r="P442" i="172"/>
  <c r="N442" i="172"/>
  <c r="Q442" i="172"/>
  <c r="R442" i="172" s="1"/>
  <c r="K440" i="172"/>
  <c r="L440" i="172" s="1"/>
  <c r="P440" i="172"/>
  <c r="Q440" i="172"/>
  <c r="N440" i="172"/>
  <c r="K438" i="172"/>
  <c r="L438" i="172" s="1"/>
  <c r="P438" i="172"/>
  <c r="Q438" i="172"/>
  <c r="N438" i="172"/>
  <c r="K429" i="172"/>
  <c r="L429" i="172" s="1"/>
  <c r="P429" i="172"/>
  <c r="Q429" i="172"/>
  <c r="N429" i="172"/>
  <c r="K426" i="172"/>
  <c r="L426" i="172" s="1"/>
  <c r="P426" i="172"/>
  <c r="N426" i="172"/>
  <c r="Q426" i="172"/>
  <c r="R426" i="172" s="1"/>
  <c r="K424" i="172"/>
  <c r="L424" i="172" s="1"/>
  <c r="P424" i="172"/>
  <c r="Q424" i="172"/>
  <c r="N424" i="172"/>
  <c r="K421" i="172"/>
  <c r="L421" i="172" s="1"/>
  <c r="P421" i="172"/>
  <c r="Q421" i="172"/>
  <c r="N421" i="172"/>
  <c r="K418" i="172"/>
  <c r="L418" i="172" s="1"/>
  <c r="Q418" i="172"/>
  <c r="R418" i="172" s="1"/>
  <c r="P418" i="172"/>
  <c r="N418" i="172"/>
  <c r="K416" i="172"/>
  <c r="L416" i="172" s="1"/>
  <c r="Q416" i="172"/>
  <c r="R416" i="172" s="1"/>
  <c r="P416" i="172"/>
  <c r="N416" i="172"/>
  <c r="K414" i="172"/>
  <c r="L414" i="172" s="1"/>
  <c r="Q414" i="172"/>
  <c r="R414" i="172" s="1"/>
  <c r="P414" i="172"/>
  <c r="N414" i="172"/>
  <c r="P399" i="172"/>
  <c r="Q399" i="172"/>
  <c r="R399" i="172" s="1"/>
  <c r="N399" i="172"/>
  <c r="K396" i="172"/>
  <c r="L396" i="172" s="1"/>
  <c r="Q396" i="172"/>
  <c r="R396" i="172" s="1"/>
  <c r="P396" i="172"/>
  <c r="N396" i="172"/>
  <c r="K383" i="172"/>
  <c r="L383" i="172" s="1"/>
  <c r="P383" i="172"/>
  <c r="Q383" i="172"/>
  <c r="R383" i="172" s="1"/>
  <c r="N383" i="172"/>
  <c r="K380" i="172"/>
  <c r="L380" i="172" s="1"/>
  <c r="Q380" i="172"/>
  <c r="R380" i="172" s="1"/>
  <c r="N380" i="172"/>
  <c r="P380" i="172"/>
  <c r="K378" i="172"/>
  <c r="L378" i="172" s="1"/>
  <c r="Q378" i="172"/>
  <c r="R378" i="172" s="1"/>
  <c r="P378" i="172"/>
  <c r="N378" i="172"/>
  <c r="K376" i="172"/>
  <c r="L376" i="172" s="1"/>
  <c r="Q376" i="172"/>
  <c r="R376" i="172" s="1"/>
  <c r="P376" i="172"/>
  <c r="N376" i="172"/>
  <c r="K373" i="172"/>
  <c r="L373" i="172" s="1"/>
  <c r="P373" i="172"/>
  <c r="Q373" i="172"/>
  <c r="R373" i="172" s="1"/>
  <c r="N373" i="172"/>
  <c r="B371" i="172"/>
  <c r="P371" i="172"/>
  <c r="Q371" i="172"/>
  <c r="R371" i="172" s="1"/>
  <c r="N371" i="172"/>
  <c r="K366" i="172"/>
  <c r="L366" i="172" s="1"/>
  <c r="Q366" i="172"/>
  <c r="R366" i="172" s="1"/>
  <c r="P366" i="172"/>
  <c r="N366" i="172"/>
  <c r="K364" i="172"/>
  <c r="L364" i="172" s="1"/>
  <c r="Q364" i="172"/>
  <c r="R364" i="172" s="1"/>
  <c r="P364" i="172"/>
  <c r="N364" i="172"/>
  <c r="K351" i="172"/>
  <c r="L351" i="172" s="1"/>
  <c r="P351" i="172"/>
  <c r="Q351" i="172"/>
  <c r="R351" i="172" s="1"/>
  <c r="N351" i="172"/>
  <c r="K349" i="172"/>
  <c r="L349" i="172" s="1"/>
  <c r="P349" i="172"/>
  <c r="Q349" i="172"/>
  <c r="R349" i="172" s="1"/>
  <c r="N349" i="172"/>
  <c r="P347" i="172"/>
  <c r="Q347" i="172"/>
  <c r="R347" i="172" s="1"/>
  <c r="N347" i="172"/>
  <c r="Q336" i="172"/>
  <c r="P336" i="172"/>
  <c r="N336" i="172"/>
  <c r="Q334" i="172"/>
  <c r="R334" i="172" s="1"/>
  <c r="P334" i="172"/>
  <c r="N334" i="172"/>
  <c r="P331" i="172"/>
  <c r="Q331" i="172"/>
  <c r="R331" i="172" s="1"/>
  <c r="N331" i="172"/>
  <c r="P329" i="172"/>
  <c r="Q329" i="172"/>
  <c r="R329" i="172" s="1"/>
  <c r="N329" i="172"/>
  <c r="P327" i="172"/>
  <c r="Q327" i="172"/>
  <c r="R327" i="172" s="1"/>
  <c r="N327" i="172"/>
  <c r="K325" i="172"/>
  <c r="L325" i="172" s="1"/>
  <c r="P325" i="172"/>
  <c r="Q325" i="172"/>
  <c r="R325" i="172" s="1"/>
  <c r="N325" i="172"/>
  <c r="K322" i="172"/>
  <c r="L322" i="172" s="1"/>
  <c r="Q322" i="172"/>
  <c r="P322" i="172"/>
  <c r="N322" i="172"/>
  <c r="P320" i="172"/>
  <c r="Q320" i="172"/>
  <c r="R320" i="172" s="1"/>
  <c r="N320" i="172"/>
  <c r="P315" i="172"/>
  <c r="Q315" i="172"/>
  <c r="R315" i="172" s="1"/>
  <c r="N315" i="172"/>
  <c r="P313" i="172"/>
  <c r="Q313" i="172"/>
  <c r="R313" i="172" s="1"/>
  <c r="N313" i="172"/>
  <c r="P311" i="172"/>
  <c r="N311" i="172"/>
  <c r="Q311" i="172"/>
  <c r="R311" i="172" s="1"/>
  <c r="Q306" i="172"/>
  <c r="R306" i="172" s="1"/>
  <c r="P306" i="172"/>
  <c r="N306" i="172"/>
  <c r="P304" i="172"/>
  <c r="Q304" i="172"/>
  <c r="R304" i="172" s="1"/>
  <c r="N304" i="172"/>
  <c r="P294" i="172"/>
  <c r="Q294" i="172"/>
  <c r="R294" i="172" s="1"/>
  <c r="N294" i="172"/>
  <c r="P285" i="172"/>
  <c r="Q285" i="172"/>
  <c r="R285" i="172" s="1"/>
  <c r="N285" i="172"/>
  <c r="P283" i="172"/>
  <c r="Q283" i="172"/>
  <c r="N283" i="172"/>
  <c r="K276" i="172"/>
  <c r="L276" i="172" s="1"/>
  <c r="P276" i="172"/>
  <c r="Q276" i="172"/>
  <c r="N276" i="172"/>
  <c r="P273" i="172"/>
  <c r="Q273" i="172"/>
  <c r="R273" i="172" s="1"/>
  <c r="N273" i="172"/>
  <c r="P271" i="172"/>
  <c r="Q271" i="172"/>
  <c r="R271" i="172" s="1"/>
  <c r="N271" i="172"/>
  <c r="P261" i="172"/>
  <c r="Q261" i="172"/>
  <c r="R261" i="172" s="1"/>
  <c r="N261" i="172"/>
  <c r="P259" i="172"/>
  <c r="Q259" i="172"/>
  <c r="N259" i="172"/>
  <c r="P257" i="172"/>
  <c r="Q257" i="172"/>
  <c r="R257" i="172" s="1"/>
  <c r="N257" i="172"/>
  <c r="P255" i="172"/>
  <c r="N255" i="172"/>
  <c r="Q255" i="172"/>
  <c r="R255" i="172" s="1"/>
  <c r="P250" i="172"/>
  <c r="Q250" i="172"/>
  <c r="R250" i="172" s="1"/>
  <c r="N250" i="172"/>
  <c r="P241" i="172"/>
  <c r="Q241" i="172"/>
  <c r="N241" i="172"/>
  <c r="P239" i="172"/>
  <c r="Q239" i="172"/>
  <c r="R239" i="172" s="1"/>
  <c r="N239" i="172"/>
  <c r="P237" i="172"/>
  <c r="Q237" i="172"/>
  <c r="R237" i="172" s="1"/>
  <c r="N237" i="172"/>
  <c r="P235" i="172"/>
  <c r="Q235" i="172"/>
  <c r="R235" i="172" s="1"/>
  <c r="N235" i="172"/>
  <c r="K228" i="172"/>
  <c r="L228" i="172" s="1"/>
  <c r="P228" i="172"/>
  <c r="Q228" i="172"/>
  <c r="R228" i="172" s="1"/>
  <c r="N228" i="172"/>
  <c r="P219" i="172"/>
  <c r="Q219" i="172"/>
  <c r="N219" i="172"/>
  <c r="P214" i="172"/>
  <c r="Q214" i="172"/>
  <c r="R214" i="172" s="1"/>
  <c r="N214" i="172"/>
  <c r="P212" i="172"/>
  <c r="Q212" i="172"/>
  <c r="R212" i="172" s="1"/>
  <c r="N212" i="172"/>
  <c r="P210" i="172"/>
  <c r="Q210" i="172"/>
  <c r="R210" i="172" s="1"/>
  <c r="N210" i="172"/>
  <c r="K208" i="172"/>
  <c r="L208" i="172" s="1"/>
  <c r="P208" i="172"/>
  <c r="Q208" i="172"/>
  <c r="R208" i="172" s="1"/>
  <c r="N208" i="172"/>
  <c r="K205" i="172"/>
  <c r="L205" i="172" s="1"/>
  <c r="P205" i="172"/>
  <c r="Q205" i="172"/>
  <c r="R205" i="172" s="1"/>
  <c r="N205" i="172"/>
  <c r="P203" i="172"/>
  <c r="Q203" i="172"/>
  <c r="N203" i="172"/>
  <c r="K201" i="172"/>
  <c r="L201" i="172" s="1"/>
  <c r="P201" i="172"/>
  <c r="Q201" i="172"/>
  <c r="N201" i="172"/>
  <c r="Q184" i="172"/>
  <c r="R184" i="172" s="1"/>
  <c r="P184" i="172"/>
  <c r="N184" i="172"/>
  <c r="K182" i="172"/>
  <c r="L182" i="172" s="1"/>
  <c r="Q182" i="172"/>
  <c r="R182" i="172" s="1"/>
  <c r="P182" i="172"/>
  <c r="N182" i="172"/>
  <c r="Q180" i="172"/>
  <c r="R180" i="172" s="1"/>
  <c r="P180" i="172"/>
  <c r="N180" i="172"/>
  <c r="K178" i="172"/>
  <c r="L178" i="172" s="1"/>
  <c r="Q178" i="172"/>
  <c r="R178" i="172" s="1"/>
  <c r="P178" i="172"/>
  <c r="N178" i="172"/>
  <c r="Q176" i="172"/>
  <c r="R176" i="172" s="1"/>
  <c r="P176" i="172"/>
  <c r="N176" i="172"/>
  <c r="K167" i="172"/>
  <c r="L167" i="172" s="1"/>
  <c r="P167" i="172"/>
  <c r="Q167" i="172"/>
  <c r="R167" i="172" s="1"/>
  <c r="N167" i="172"/>
  <c r="K162" i="172"/>
  <c r="L162" i="172" s="1"/>
  <c r="Q162" i="172"/>
  <c r="P162" i="172"/>
  <c r="N162" i="172"/>
  <c r="P149" i="172"/>
  <c r="Q149" i="172"/>
  <c r="R149" i="172" s="1"/>
  <c r="N149" i="172"/>
  <c r="K147" i="172"/>
  <c r="L147" i="172" s="1"/>
  <c r="P147" i="172"/>
  <c r="Q147" i="172"/>
  <c r="N147" i="172"/>
  <c r="P145" i="172"/>
  <c r="Q145" i="172"/>
  <c r="R145" i="172" s="1"/>
  <c r="N145" i="172"/>
  <c r="K143" i="172"/>
  <c r="L143" i="172" s="1"/>
  <c r="P143" i="172"/>
  <c r="Q143" i="172"/>
  <c r="R143" i="172" s="1"/>
  <c r="N143" i="172"/>
  <c r="K132" i="172"/>
  <c r="L132" i="172" s="1"/>
  <c r="Q132" i="172"/>
  <c r="R132" i="172" s="1"/>
  <c r="P132" i="172"/>
  <c r="N132" i="172"/>
  <c r="K130" i="172"/>
  <c r="L130" i="172" s="1"/>
  <c r="Q130" i="172"/>
  <c r="R130" i="172" s="1"/>
  <c r="P130" i="172"/>
  <c r="N130" i="172"/>
  <c r="K128" i="172"/>
  <c r="L128" i="172" s="1"/>
  <c r="Q128" i="172"/>
  <c r="R128" i="172" s="1"/>
  <c r="P128" i="172"/>
  <c r="N128" i="172"/>
  <c r="K125" i="172"/>
  <c r="L125" i="172" s="1"/>
  <c r="P125" i="172"/>
  <c r="Q125" i="172"/>
  <c r="N125" i="172"/>
  <c r="K122" i="172"/>
  <c r="L122" i="172" s="1"/>
  <c r="Q122" i="172"/>
  <c r="P122" i="172"/>
  <c r="N122" i="172"/>
  <c r="K119" i="172"/>
  <c r="L119" i="172" s="1"/>
  <c r="P119" i="172"/>
  <c r="Q119" i="172"/>
  <c r="N119" i="172"/>
  <c r="K114" i="172"/>
  <c r="L114" i="172" s="1"/>
  <c r="Q114" i="172"/>
  <c r="P114" i="172"/>
  <c r="N114" i="172"/>
  <c r="K112" i="172"/>
  <c r="L112" i="172" s="1"/>
  <c r="Q112" i="172"/>
  <c r="P112" i="172"/>
  <c r="N112" i="172"/>
  <c r="K101" i="172"/>
  <c r="L101" i="172" s="1"/>
  <c r="P101" i="172"/>
  <c r="Q101" i="172"/>
  <c r="N101" i="172"/>
  <c r="P99" i="172"/>
  <c r="Q99" i="172"/>
  <c r="N99" i="172"/>
  <c r="K97" i="172"/>
  <c r="L97" i="172" s="1"/>
  <c r="P97" i="172"/>
  <c r="Q97" i="172"/>
  <c r="N97" i="172"/>
  <c r="K90" i="172"/>
  <c r="L90" i="172" s="1"/>
  <c r="Q90" i="172"/>
  <c r="P90" i="172"/>
  <c r="N90" i="172"/>
  <c r="K88" i="172"/>
  <c r="L88" i="172" s="1"/>
  <c r="Q88" i="172"/>
  <c r="P88" i="172"/>
  <c r="N88" i="172"/>
  <c r="K86" i="172"/>
  <c r="L86" i="172" s="1"/>
  <c r="Q86" i="172"/>
  <c r="P86" i="172"/>
  <c r="N86" i="172"/>
  <c r="Q84" i="172"/>
  <c r="P84" i="172"/>
  <c r="N84" i="172"/>
  <c r="Q82" i="172"/>
  <c r="R82" i="172" s="1"/>
  <c r="P82" i="172"/>
  <c r="N82" i="172"/>
  <c r="K80" i="172"/>
  <c r="L80" i="172" s="1"/>
  <c r="Q80" i="172"/>
  <c r="P80" i="172"/>
  <c r="N80" i="172"/>
  <c r="K78" i="172"/>
  <c r="L78" i="172" s="1"/>
  <c r="Q78" i="172"/>
  <c r="P78" i="172"/>
  <c r="N78" i="172"/>
  <c r="P69" i="172"/>
  <c r="Q69" i="172"/>
  <c r="N69" i="172"/>
  <c r="K67" i="172"/>
  <c r="L67" i="172" s="1"/>
  <c r="P67" i="172"/>
  <c r="Q67" i="172"/>
  <c r="N67" i="172"/>
  <c r="Q64" i="172"/>
  <c r="P64" i="172"/>
  <c r="N64" i="172"/>
  <c r="N13" i="172"/>
  <c r="Q13" i="172" s="1"/>
  <c r="N37" i="172"/>
  <c r="Q37" i="172" s="1"/>
  <c r="N15" i="172"/>
  <c r="Q15" i="172" s="1"/>
  <c r="N42" i="172"/>
  <c r="Q42" i="172" s="1"/>
  <c r="N14" i="172"/>
  <c r="Q14" i="172" s="1"/>
  <c r="N53" i="172"/>
  <c r="Q53" i="172" s="1"/>
  <c r="N25" i="172"/>
  <c r="Q25" i="172" s="1"/>
  <c r="N59" i="172"/>
  <c r="Q59" i="172" s="1"/>
  <c r="N38" i="172"/>
  <c r="Q38" i="172" s="1"/>
  <c r="N17" i="172"/>
  <c r="Q17" i="172" s="1"/>
  <c r="N48" i="172"/>
  <c r="Q48" i="172" s="1"/>
  <c r="N32" i="172"/>
  <c r="Q32" i="172" s="1"/>
  <c r="N16" i="172"/>
  <c r="Q16" i="172" s="1"/>
  <c r="P999" i="172"/>
  <c r="Q999" i="172"/>
  <c r="R999" i="172" s="1"/>
  <c r="N999" i="172"/>
  <c r="P995" i="172"/>
  <c r="N995" i="172"/>
  <c r="Q995" i="172"/>
  <c r="R995" i="172" s="1"/>
  <c r="P987" i="172"/>
  <c r="Q987" i="172"/>
  <c r="N987" i="172"/>
  <c r="K793" i="172"/>
  <c r="L793" i="172" s="1"/>
  <c r="P793" i="172"/>
  <c r="N793" i="172"/>
  <c r="Q793" i="172"/>
  <c r="R793" i="172" s="1"/>
  <c r="K986" i="172"/>
  <c r="L986" i="172" s="1"/>
  <c r="P986" i="172"/>
  <c r="Q986" i="172"/>
  <c r="N986" i="172"/>
  <c r="K984" i="172"/>
  <c r="L984" i="172" s="1"/>
  <c r="P984" i="172"/>
  <c r="Q984" i="172"/>
  <c r="N984" i="172"/>
  <c r="K982" i="172"/>
  <c r="L982" i="172" s="1"/>
  <c r="P982" i="172"/>
  <c r="Q982" i="172"/>
  <c r="N982" i="172"/>
  <c r="K980" i="172"/>
  <c r="L980" i="172" s="1"/>
  <c r="P980" i="172"/>
  <c r="Q980" i="172"/>
  <c r="N980" i="172"/>
  <c r="K978" i="172"/>
  <c r="L978" i="172" s="1"/>
  <c r="P978" i="172"/>
  <c r="Q978" i="172"/>
  <c r="N978" i="172"/>
  <c r="K976" i="172"/>
  <c r="L976" i="172" s="1"/>
  <c r="P976" i="172"/>
  <c r="Q976" i="172"/>
  <c r="N976" i="172"/>
  <c r="K974" i="172"/>
  <c r="L974" i="172" s="1"/>
  <c r="P974" i="172"/>
  <c r="Q974" i="172"/>
  <c r="N974" i="172"/>
  <c r="P972" i="172"/>
  <c r="Q972" i="172"/>
  <c r="R972" i="172" s="1"/>
  <c r="N972" i="172"/>
  <c r="K970" i="172"/>
  <c r="L970" i="172" s="1"/>
  <c r="P970" i="172"/>
  <c r="Q970" i="172"/>
  <c r="R970" i="172" s="1"/>
  <c r="N970" i="172"/>
  <c r="K968" i="172"/>
  <c r="L968" i="172" s="1"/>
  <c r="P968" i="172"/>
  <c r="Q968" i="172"/>
  <c r="R968" i="172" s="1"/>
  <c r="N968" i="172"/>
  <c r="P966" i="172"/>
  <c r="Q966" i="172"/>
  <c r="R966" i="172" s="1"/>
  <c r="N966" i="172"/>
  <c r="P964" i="172"/>
  <c r="Q964" i="172"/>
  <c r="R964" i="172" s="1"/>
  <c r="N964" i="172"/>
  <c r="K962" i="172"/>
  <c r="L962" i="172" s="1"/>
  <c r="P962" i="172"/>
  <c r="Q962" i="172"/>
  <c r="R962" i="172" s="1"/>
  <c r="N962" i="172"/>
  <c r="K960" i="172"/>
  <c r="L960" i="172" s="1"/>
  <c r="P960" i="172"/>
  <c r="Q960" i="172"/>
  <c r="R960" i="172" s="1"/>
  <c r="N960" i="172"/>
  <c r="P958" i="172"/>
  <c r="Q958" i="172"/>
  <c r="N958" i="172"/>
  <c r="P956" i="172"/>
  <c r="Q956" i="172"/>
  <c r="R956" i="172" s="1"/>
  <c r="N956" i="172"/>
  <c r="K935" i="172"/>
  <c r="L935" i="172" s="1"/>
  <c r="P935" i="172"/>
  <c r="Q935" i="172"/>
  <c r="R935" i="172" s="1"/>
  <c r="N935" i="172"/>
  <c r="K914" i="172"/>
  <c r="L914" i="172" s="1"/>
  <c r="P914" i="172"/>
  <c r="Q914" i="172"/>
  <c r="R914" i="172" s="1"/>
  <c r="N914" i="172"/>
  <c r="K909" i="172"/>
  <c r="L909" i="172" s="1"/>
  <c r="P909" i="172"/>
  <c r="Q909" i="172"/>
  <c r="R909" i="172" s="1"/>
  <c r="N909" i="172"/>
  <c r="P907" i="172"/>
  <c r="N907" i="172"/>
  <c r="Q907" i="172"/>
  <c r="R907" i="172" s="1"/>
  <c r="K905" i="172"/>
  <c r="L905" i="172" s="1"/>
  <c r="P905" i="172"/>
  <c r="N905" i="172"/>
  <c r="Q905" i="172"/>
  <c r="R905" i="172" s="1"/>
  <c r="P903" i="172"/>
  <c r="Q903" i="172"/>
  <c r="R903" i="172" s="1"/>
  <c r="N903" i="172"/>
  <c r="P888" i="172"/>
  <c r="Q888" i="172"/>
  <c r="N888" i="172"/>
  <c r="P886" i="172"/>
  <c r="Q886" i="172"/>
  <c r="R886" i="172" s="1"/>
  <c r="N886" i="172"/>
  <c r="P884" i="172"/>
  <c r="Q884" i="172"/>
  <c r="R884" i="172" s="1"/>
  <c r="N884" i="172"/>
  <c r="P882" i="172"/>
  <c r="Q882" i="172"/>
  <c r="R882" i="172" s="1"/>
  <c r="N882" i="172"/>
  <c r="P880" i="172"/>
  <c r="Q880" i="172"/>
  <c r="N880" i="172"/>
  <c r="P878" i="172"/>
  <c r="Q878" i="172"/>
  <c r="R878" i="172" s="1"/>
  <c r="N878" i="172"/>
  <c r="P865" i="172"/>
  <c r="N865" i="172"/>
  <c r="Q865" i="172"/>
  <c r="R865" i="172" s="1"/>
  <c r="P858" i="172"/>
  <c r="Q858" i="172"/>
  <c r="R858" i="172" s="1"/>
  <c r="N858" i="172"/>
  <c r="P856" i="172"/>
  <c r="Q856" i="172"/>
  <c r="N856" i="172"/>
  <c r="P854" i="172"/>
  <c r="Q854" i="172"/>
  <c r="R854" i="172" s="1"/>
  <c r="N854" i="172"/>
  <c r="P852" i="172"/>
  <c r="Q852" i="172"/>
  <c r="R852" i="172" s="1"/>
  <c r="N852" i="172"/>
  <c r="P850" i="172"/>
  <c r="Q850" i="172"/>
  <c r="R850" i="172" s="1"/>
  <c r="N850" i="172"/>
  <c r="P840" i="172"/>
  <c r="Q840" i="172"/>
  <c r="N840" i="172"/>
  <c r="P838" i="172"/>
  <c r="Q838" i="172"/>
  <c r="R838" i="172" s="1"/>
  <c r="N838" i="172"/>
  <c r="P833" i="172"/>
  <c r="N833" i="172"/>
  <c r="Q833" i="172"/>
  <c r="R833" i="172" s="1"/>
  <c r="P831" i="172"/>
  <c r="Q831" i="172"/>
  <c r="R831" i="172" s="1"/>
  <c r="N831" i="172"/>
  <c r="P826" i="172"/>
  <c r="Q826" i="172"/>
  <c r="N826" i="172"/>
  <c r="P824" i="172"/>
  <c r="Q824" i="172"/>
  <c r="R824" i="172" s="1"/>
  <c r="N824" i="172"/>
  <c r="P822" i="172"/>
  <c r="Q822" i="172"/>
  <c r="R822" i="172" s="1"/>
  <c r="N822" i="172"/>
  <c r="P820" i="172"/>
  <c r="Q820" i="172"/>
  <c r="R820" i="172" s="1"/>
  <c r="N820" i="172"/>
  <c r="P811" i="172"/>
  <c r="Q811" i="172"/>
  <c r="N811" i="172"/>
  <c r="P809" i="172"/>
  <c r="N809" i="172"/>
  <c r="Q809" i="172"/>
  <c r="P807" i="172"/>
  <c r="Q807" i="172"/>
  <c r="R807" i="172" s="1"/>
  <c r="N807" i="172"/>
  <c r="K805" i="172"/>
  <c r="L805" i="172" s="1"/>
  <c r="P805" i="172"/>
  <c r="Q805" i="172"/>
  <c r="R805" i="172" s="1"/>
  <c r="N805" i="172"/>
  <c r="P803" i="172"/>
  <c r="N803" i="172"/>
  <c r="Q803" i="172"/>
  <c r="R803" i="172" s="1"/>
  <c r="K801" i="172"/>
  <c r="L801" i="172" s="1"/>
  <c r="P801" i="172"/>
  <c r="N801" i="172"/>
  <c r="Q801" i="172"/>
  <c r="R801" i="172" s="1"/>
  <c r="K799" i="172"/>
  <c r="L799" i="172" s="1"/>
  <c r="P799" i="172"/>
  <c r="Q799" i="172"/>
  <c r="R799" i="172" s="1"/>
  <c r="N799" i="172"/>
  <c r="K797" i="172"/>
  <c r="L797" i="172" s="1"/>
  <c r="P797" i="172"/>
  <c r="Q797" i="172"/>
  <c r="R797" i="172" s="1"/>
  <c r="N797" i="172"/>
  <c r="K795" i="172"/>
  <c r="L795" i="172" s="1"/>
  <c r="P795" i="172"/>
  <c r="Q795" i="172"/>
  <c r="R795" i="172" s="1"/>
  <c r="N795" i="172"/>
  <c r="P780" i="172"/>
  <c r="Q780" i="172"/>
  <c r="R780" i="172" s="1"/>
  <c r="N780" i="172"/>
  <c r="P778" i="172"/>
  <c r="Q778" i="172"/>
  <c r="R778" i="172" s="1"/>
  <c r="N778" i="172"/>
  <c r="P776" i="172"/>
  <c r="Q776" i="172"/>
  <c r="R776" i="172" s="1"/>
  <c r="N776" i="172"/>
  <c r="P774" i="172"/>
  <c r="Q774" i="172"/>
  <c r="R774" i="172" s="1"/>
  <c r="N774" i="172"/>
  <c r="K769" i="172"/>
  <c r="L769" i="172" s="1"/>
  <c r="P769" i="172"/>
  <c r="N769" i="172"/>
  <c r="Q769" i="172"/>
  <c r="R769" i="172" s="1"/>
  <c r="K764" i="172"/>
  <c r="L764" i="172" s="1"/>
  <c r="P764" i="172"/>
  <c r="Q764" i="172"/>
  <c r="R764" i="172" s="1"/>
  <c r="N764" i="172"/>
  <c r="P762" i="172"/>
  <c r="Q762" i="172"/>
  <c r="R762" i="172" s="1"/>
  <c r="N762" i="172"/>
  <c r="P760" i="172"/>
  <c r="Q760" i="172"/>
  <c r="R760" i="172" s="1"/>
  <c r="N760" i="172"/>
  <c r="P758" i="172"/>
  <c r="Q758" i="172"/>
  <c r="R758" i="172" s="1"/>
  <c r="N758" i="172"/>
  <c r="K756" i="172"/>
  <c r="L756" i="172" s="1"/>
  <c r="P756" i="172"/>
  <c r="Q756" i="172"/>
  <c r="R756" i="172" s="1"/>
  <c r="N756" i="172"/>
  <c r="P754" i="172"/>
  <c r="Q754" i="172"/>
  <c r="R754" i="172" s="1"/>
  <c r="N754" i="172"/>
  <c r="P752" i="172"/>
  <c r="Q752" i="172"/>
  <c r="R752" i="172" s="1"/>
  <c r="N752" i="172"/>
  <c r="K750" i="172"/>
  <c r="L750" i="172" s="1"/>
  <c r="P750" i="172"/>
  <c r="Q750" i="172"/>
  <c r="N750" i="172"/>
  <c r="K748" i="172"/>
  <c r="L748" i="172" s="1"/>
  <c r="P748" i="172"/>
  <c r="Q748" i="172"/>
  <c r="R748" i="172" s="1"/>
  <c r="N748" i="172"/>
  <c r="K746" i="172"/>
  <c r="L746" i="172" s="1"/>
  <c r="P746" i="172"/>
  <c r="N746" i="172"/>
  <c r="Q746" i="172"/>
  <c r="R746" i="172" s="1"/>
  <c r="P744" i="172"/>
  <c r="Q744" i="172"/>
  <c r="R744" i="172" s="1"/>
  <c r="N744" i="172"/>
  <c r="C742" i="172"/>
  <c r="P742" i="172"/>
  <c r="N742" i="172"/>
  <c r="Q742" i="172"/>
  <c r="R742" i="172" s="1"/>
  <c r="K731" i="172"/>
  <c r="L731" i="172" s="1"/>
  <c r="P731" i="172"/>
  <c r="N731" i="172"/>
  <c r="Q731" i="172"/>
  <c r="P729" i="172"/>
  <c r="N729" i="172"/>
  <c r="Q729" i="172"/>
  <c r="R729" i="172" s="1"/>
  <c r="K727" i="172"/>
  <c r="L727" i="172" s="1"/>
  <c r="P727" i="172"/>
  <c r="N727" i="172"/>
  <c r="Q727" i="172"/>
  <c r="R727" i="172" s="1"/>
  <c r="K725" i="172"/>
  <c r="L725" i="172" s="1"/>
  <c r="P725" i="172"/>
  <c r="Q725" i="172"/>
  <c r="R725" i="172" s="1"/>
  <c r="N725" i="172"/>
  <c r="K723" i="172"/>
  <c r="L723" i="172" s="1"/>
  <c r="P723" i="172"/>
  <c r="Q723" i="172"/>
  <c r="R723" i="172" s="1"/>
  <c r="N723" i="172"/>
  <c r="P721" i="172"/>
  <c r="N721" i="172"/>
  <c r="Q721" i="172"/>
  <c r="R721" i="172" s="1"/>
  <c r="K719" i="172"/>
  <c r="L719" i="172" s="1"/>
  <c r="P719" i="172"/>
  <c r="Q719" i="172"/>
  <c r="R719" i="172" s="1"/>
  <c r="N719" i="172"/>
  <c r="K717" i="172"/>
  <c r="L717" i="172" s="1"/>
  <c r="P717" i="172"/>
  <c r="Q717" i="172"/>
  <c r="R717" i="172" s="1"/>
  <c r="N717" i="172"/>
  <c r="K715" i="172"/>
  <c r="L715" i="172" s="1"/>
  <c r="P715" i="172"/>
  <c r="Q715" i="172"/>
  <c r="R715" i="172" s="1"/>
  <c r="N715" i="172"/>
  <c r="P713" i="172"/>
  <c r="Q713" i="172"/>
  <c r="N713" i="172"/>
  <c r="K711" i="172"/>
  <c r="L711" i="172" s="1"/>
  <c r="P711" i="172"/>
  <c r="Q711" i="172"/>
  <c r="R711" i="172" s="1"/>
  <c r="N711" i="172"/>
  <c r="K709" i="172"/>
  <c r="L709" i="172" s="1"/>
  <c r="P709" i="172"/>
  <c r="Q709" i="172"/>
  <c r="N709" i="172"/>
  <c r="K707" i="172"/>
  <c r="L707" i="172" s="1"/>
  <c r="P707" i="172"/>
  <c r="Q707" i="172"/>
  <c r="R707" i="172" s="1"/>
  <c r="N707" i="172"/>
  <c r="P705" i="172"/>
  <c r="Q705" i="172"/>
  <c r="R705" i="172" s="1"/>
  <c r="N705" i="172"/>
  <c r="K696" i="172"/>
  <c r="L696" i="172" s="1"/>
  <c r="P696" i="172"/>
  <c r="Q696" i="172"/>
  <c r="R696" i="172" s="1"/>
  <c r="N696" i="172"/>
  <c r="P694" i="172"/>
  <c r="Q694" i="172"/>
  <c r="R694" i="172" s="1"/>
  <c r="N694" i="172"/>
  <c r="K692" i="172"/>
  <c r="L692" i="172" s="1"/>
  <c r="P692" i="172"/>
  <c r="N692" i="172"/>
  <c r="Q692" i="172"/>
  <c r="R692" i="172" s="1"/>
  <c r="K679" i="172"/>
  <c r="L679" i="172" s="1"/>
  <c r="P679" i="172"/>
  <c r="Q679" i="172"/>
  <c r="R679" i="172" s="1"/>
  <c r="N679" i="172"/>
  <c r="K677" i="172"/>
  <c r="L677" i="172" s="1"/>
  <c r="P677" i="172"/>
  <c r="Q677" i="172"/>
  <c r="R677" i="172" s="1"/>
  <c r="N677" i="172"/>
  <c r="K675" i="172"/>
  <c r="L675" i="172" s="1"/>
  <c r="P675" i="172"/>
  <c r="Q675" i="172"/>
  <c r="R675" i="172" s="1"/>
  <c r="N675" i="172"/>
  <c r="P673" i="172"/>
  <c r="Q673" i="172"/>
  <c r="R673" i="172" s="1"/>
  <c r="N673" i="172"/>
  <c r="K671" i="172"/>
  <c r="L671" i="172" s="1"/>
  <c r="P671" i="172"/>
  <c r="Q671" i="172"/>
  <c r="R671" i="172" s="1"/>
  <c r="N671" i="172"/>
  <c r="K669" i="172"/>
  <c r="L669" i="172" s="1"/>
  <c r="P669" i="172"/>
  <c r="Q669" i="172"/>
  <c r="R669" i="172" s="1"/>
  <c r="N669" i="172"/>
  <c r="K667" i="172"/>
  <c r="L667" i="172" s="1"/>
  <c r="P667" i="172"/>
  <c r="Q667" i="172"/>
  <c r="R667" i="172" s="1"/>
  <c r="N667" i="172"/>
  <c r="K660" i="172"/>
  <c r="L660" i="172" s="1"/>
  <c r="P660" i="172"/>
  <c r="N660" i="172"/>
  <c r="Q660" i="172"/>
  <c r="R660" i="172" s="1"/>
  <c r="P658" i="172"/>
  <c r="N658" i="172"/>
  <c r="Q658" i="172"/>
  <c r="R658" i="172" s="1"/>
  <c r="K651" i="172"/>
  <c r="L651" i="172" s="1"/>
  <c r="P651" i="172"/>
  <c r="Q651" i="172"/>
  <c r="N651" i="172"/>
  <c r="P649" i="172"/>
  <c r="Q649" i="172"/>
  <c r="R649" i="172" s="1"/>
  <c r="N649" i="172"/>
  <c r="P644" i="172"/>
  <c r="N644" i="172"/>
  <c r="Q644" i="172"/>
  <c r="R644" i="172" s="1"/>
  <c r="P642" i="172"/>
  <c r="N642" i="172"/>
  <c r="Q642" i="172"/>
  <c r="R642" i="172" s="1"/>
  <c r="K640" i="172"/>
  <c r="L640" i="172" s="1"/>
  <c r="P640" i="172"/>
  <c r="Q640" i="172"/>
  <c r="R640" i="172" s="1"/>
  <c r="N640" i="172"/>
  <c r="P638" i="172"/>
  <c r="Q638" i="172"/>
  <c r="R638" i="172" s="1"/>
  <c r="N638" i="172"/>
  <c r="K636" i="172"/>
  <c r="L636" i="172" s="1"/>
  <c r="P636" i="172"/>
  <c r="N636" i="172"/>
  <c r="Q636" i="172"/>
  <c r="R636" i="172" s="1"/>
  <c r="K609" i="172"/>
  <c r="L609" i="172" s="1"/>
  <c r="P609" i="172"/>
  <c r="Q609" i="172"/>
  <c r="N609" i="172"/>
  <c r="K607" i="172"/>
  <c r="L607" i="172" s="1"/>
  <c r="P607" i="172"/>
  <c r="Q607" i="172"/>
  <c r="N607" i="172"/>
  <c r="P605" i="172"/>
  <c r="Q605" i="172"/>
  <c r="R605" i="172" s="1"/>
  <c r="N605" i="172"/>
  <c r="K603" i="172"/>
  <c r="L603" i="172" s="1"/>
  <c r="P603" i="172"/>
  <c r="Q603" i="172"/>
  <c r="R603" i="172" s="1"/>
  <c r="N603" i="172"/>
  <c r="K601" i="172"/>
  <c r="L601" i="172" s="1"/>
  <c r="P601" i="172"/>
  <c r="Q601" i="172"/>
  <c r="R601" i="172" s="1"/>
  <c r="N601" i="172"/>
  <c r="P599" i="172"/>
  <c r="Q599" i="172"/>
  <c r="R599" i="172" s="1"/>
  <c r="N599" i="172"/>
  <c r="K592" i="172"/>
  <c r="L592" i="172" s="1"/>
  <c r="P592" i="172"/>
  <c r="Q592" i="172"/>
  <c r="R592" i="172" s="1"/>
  <c r="N592" i="172"/>
  <c r="K590" i="172"/>
  <c r="L590" i="172" s="1"/>
  <c r="P590" i="172"/>
  <c r="Q590" i="172"/>
  <c r="R590" i="172" s="1"/>
  <c r="N590" i="172"/>
  <c r="K588" i="172"/>
  <c r="L588" i="172" s="1"/>
  <c r="P588" i="172"/>
  <c r="N588" i="172"/>
  <c r="Q588" i="172"/>
  <c r="R588" i="172" s="1"/>
  <c r="P586" i="172"/>
  <c r="N586" i="172"/>
  <c r="Q586" i="172"/>
  <c r="R586" i="172" s="1"/>
  <c r="P577" i="172"/>
  <c r="Q577" i="172"/>
  <c r="R577" i="172" s="1"/>
  <c r="N577" i="172"/>
  <c r="K564" i="172"/>
  <c r="L564" i="172" s="1"/>
  <c r="P564" i="172"/>
  <c r="N564" i="172"/>
  <c r="Q564" i="172"/>
  <c r="R564" i="172" s="1"/>
  <c r="P562" i="172"/>
  <c r="N562" i="172"/>
  <c r="Q562" i="172"/>
  <c r="P547" i="172"/>
  <c r="Q547" i="172"/>
  <c r="R547" i="172" s="1"/>
  <c r="N547" i="172"/>
  <c r="P545" i="172"/>
  <c r="Q545" i="172"/>
  <c r="R545" i="172" s="1"/>
  <c r="N545" i="172"/>
  <c r="P543" i="172"/>
  <c r="Q543" i="172"/>
  <c r="R543" i="172" s="1"/>
  <c r="N543" i="172"/>
  <c r="P541" i="172"/>
  <c r="Q541" i="172"/>
  <c r="R541" i="172" s="1"/>
  <c r="N541" i="172"/>
  <c r="P524" i="172"/>
  <c r="N524" i="172"/>
  <c r="Q524" i="172"/>
  <c r="R524" i="172" s="1"/>
  <c r="P522" i="172"/>
  <c r="N522" i="172"/>
  <c r="Q522" i="172"/>
  <c r="R522" i="172" s="1"/>
  <c r="P520" i="172"/>
  <c r="Q520" i="172"/>
  <c r="R520" i="172" s="1"/>
  <c r="N520" i="172"/>
  <c r="P515" i="172"/>
  <c r="Q515" i="172"/>
  <c r="R515" i="172" s="1"/>
  <c r="N515" i="172"/>
  <c r="P513" i="172"/>
  <c r="Q513" i="172"/>
  <c r="R513" i="172" s="1"/>
  <c r="N513" i="172"/>
  <c r="P511" i="172"/>
  <c r="Q511" i="172"/>
  <c r="R511" i="172" s="1"/>
  <c r="N511" i="172"/>
  <c r="P508" i="172"/>
  <c r="N508" i="172"/>
  <c r="Q508" i="172"/>
  <c r="R508" i="172" s="1"/>
  <c r="P497" i="172"/>
  <c r="Q497" i="172"/>
  <c r="R497" i="172" s="1"/>
  <c r="N497" i="172"/>
  <c r="K495" i="172"/>
  <c r="L495" i="172" s="1"/>
  <c r="P495" i="172"/>
  <c r="Q495" i="172"/>
  <c r="R495" i="172" s="1"/>
  <c r="N495" i="172"/>
  <c r="B451" i="172"/>
  <c r="P451" i="172"/>
  <c r="Q451" i="172"/>
  <c r="R451" i="172" s="1"/>
  <c r="N451" i="172"/>
  <c r="K449" i="172"/>
  <c r="L449" i="172" s="1"/>
  <c r="P449" i="172"/>
  <c r="Q449" i="172"/>
  <c r="R449" i="172" s="1"/>
  <c r="N449" i="172"/>
  <c r="K436" i="172"/>
  <c r="L436" i="172" s="1"/>
  <c r="P436" i="172"/>
  <c r="N436" i="172"/>
  <c r="Q436" i="172"/>
  <c r="K434" i="172"/>
  <c r="L434" i="172" s="1"/>
  <c r="P434" i="172"/>
  <c r="N434" i="172"/>
  <c r="Q434" i="172"/>
  <c r="R434" i="172" s="1"/>
  <c r="K432" i="172"/>
  <c r="L432" i="172" s="1"/>
  <c r="P432" i="172"/>
  <c r="Q432" i="172"/>
  <c r="R432" i="172" s="1"/>
  <c r="N432" i="172"/>
  <c r="K430" i="172"/>
  <c r="L430" i="172" s="1"/>
  <c r="P430" i="172"/>
  <c r="Q430" i="172"/>
  <c r="R430" i="172" s="1"/>
  <c r="N430" i="172"/>
  <c r="B427" i="172"/>
  <c r="P427" i="172"/>
  <c r="Q427" i="172"/>
  <c r="R427" i="172" s="1"/>
  <c r="N427" i="172"/>
  <c r="K422" i="172"/>
  <c r="L422" i="172" s="1"/>
  <c r="Q422" i="172"/>
  <c r="R422" i="172" s="1"/>
  <c r="P422" i="172"/>
  <c r="N422" i="172"/>
  <c r="K419" i="172"/>
  <c r="L419" i="172" s="1"/>
  <c r="P419" i="172"/>
  <c r="Q419" i="172"/>
  <c r="R419" i="172" s="1"/>
  <c r="N419" i="172"/>
  <c r="K412" i="172"/>
  <c r="L412" i="172" s="1"/>
  <c r="Q412" i="172"/>
  <c r="R412" i="172" s="1"/>
  <c r="N412" i="172"/>
  <c r="P412" i="172"/>
  <c r="K410" i="172"/>
  <c r="L410" i="172" s="1"/>
  <c r="Q410" i="172"/>
  <c r="R410" i="172" s="1"/>
  <c r="P410" i="172"/>
  <c r="N410" i="172"/>
  <c r="K408" i="172"/>
  <c r="L408" i="172" s="1"/>
  <c r="Q408" i="172"/>
  <c r="R408" i="172" s="1"/>
  <c r="P408" i="172"/>
  <c r="N408" i="172"/>
  <c r="K406" i="172"/>
  <c r="L406" i="172" s="1"/>
  <c r="Q406" i="172"/>
  <c r="R406" i="172" s="1"/>
  <c r="P406" i="172"/>
  <c r="N406" i="172"/>
  <c r="K404" i="172"/>
  <c r="L404" i="172" s="1"/>
  <c r="Q404" i="172"/>
  <c r="R404" i="172" s="1"/>
  <c r="P404" i="172"/>
  <c r="N404" i="172"/>
  <c r="K402" i="172"/>
  <c r="L402" i="172" s="1"/>
  <c r="Q402" i="172"/>
  <c r="R402" i="172" s="1"/>
  <c r="P402" i="172"/>
  <c r="N402" i="172"/>
  <c r="P397" i="172"/>
  <c r="Q397" i="172"/>
  <c r="R397" i="172" s="1"/>
  <c r="N397" i="172"/>
  <c r="K394" i="172"/>
  <c r="L394" i="172" s="1"/>
  <c r="Q394" i="172"/>
  <c r="R394" i="172" s="1"/>
  <c r="P394" i="172"/>
  <c r="N394" i="172"/>
  <c r="K392" i="172"/>
  <c r="L392" i="172" s="1"/>
  <c r="Q392" i="172"/>
  <c r="R392" i="172" s="1"/>
  <c r="P392" i="172"/>
  <c r="N392" i="172"/>
  <c r="K390" i="172"/>
  <c r="L390" i="172" s="1"/>
  <c r="Q390" i="172"/>
  <c r="R390" i="172" s="1"/>
  <c r="P390" i="172"/>
  <c r="N390" i="172"/>
  <c r="K388" i="172"/>
  <c r="L388" i="172" s="1"/>
  <c r="Q388" i="172"/>
  <c r="R388" i="172" s="1"/>
  <c r="P388" i="172"/>
  <c r="N388" i="172"/>
  <c r="K386" i="172"/>
  <c r="L386" i="172" s="1"/>
  <c r="Q386" i="172"/>
  <c r="R386" i="172" s="1"/>
  <c r="P386" i="172"/>
  <c r="N386" i="172"/>
  <c r="P381" i="172"/>
  <c r="Q381" i="172"/>
  <c r="R381" i="172" s="1"/>
  <c r="N381" i="172"/>
  <c r="K374" i="172"/>
  <c r="L374" i="172" s="1"/>
  <c r="Q374" i="172"/>
  <c r="P374" i="172"/>
  <c r="N374" i="172"/>
  <c r="K369" i="172"/>
  <c r="L369" i="172" s="1"/>
  <c r="P369" i="172"/>
  <c r="Q369" i="172"/>
  <c r="R369" i="172" s="1"/>
  <c r="N369" i="172"/>
  <c r="K362" i="172"/>
  <c r="L362" i="172" s="1"/>
  <c r="Q362" i="172"/>
  <c r="P362" i="172"/>
  <c r="N362" i="172"/>
  <c r="K360" i="172"/>
  <c r="L360" i="172" s="1"/>
  <c r="Q360" i="172"/>
  <c r="P360" i="172"/>
  <c r="N360" i="172"/>
  <c r="K358" i="172"/>
  <c r="L358" i="172" s="1"/>
  <c r="Q358" i="172"/>
  <c r="P358" i="172"/>
  <c r="N358" i="172"/>
  <c r="K356" i="172"/>
  <c r="L356" i="172" s="1"/>
  <c r="Q356" i="172"/>
  <c r="R356" i="172" s="1"/>
  <c r="P356" i="172"/>
  <c r="N356" i="172"/>
  <c r="K354" i="172"/>
  <c r="L354" i="172" s="1"/>
  <c r="Q354" i="172"/>
  <c r="P354" i="172"/>
  <c r="N354" i="172"/>
  <c r="P345" i="172"/>
  <c r="Q345" i="172"/>
  <c r="N345" i="172"/>
  <c r="K343" i="172"/>
  <c r="L343" i="172" s="1"/>
  <c r="P343" i="172"/>
  <c r="Q343" i="172"/>
  <c r="N343" i="172"/>
  <c r="P341" i="172"/>
  <c r="Q341" i="172"/>
  <c r="R341" i="172" s="1"/>
  <c r="N341" i="172"/>
  <c r="K339" i="172"/>
  <c r="L339" i="172" s="1"/>
  <c r="P339" i="172"/>
  <c r="Q339" i="172"/>
  <c r="R339" i="172" s="1"/>
  <c r="N339" i="172"/>
  <c r="K332" i="172"/>
  <c r="L332" i="172" s="1"/>
  <c r="Q332" i="172"/>
  <c r="R332" i="172" s="1"/>
  <c r="P332" i="172"/>
  <c r="N332" i="172"/>
  <c r="P323" i="172"/>
  <c r="Q323" i="172"/>
  <c r="R323" i="172" s="1"/>
  <c r="N323" i="172"/>
  <c r="K318" i="172"/>
  <c r="L318" i="172" s="1"/>
  <c r="P318" i="172"/>
  <c r="Q318" i="172"/>
  <c r="R318" i="172" s="1"/>
  <c r="N318" i="172"/>
  <c r="P309" i="172"/>
  <c r="Q309" i="172"/>
  <c r="R309" i="172" s="1"/>
  <c r="N309" i="172"/>
  <c r="P302" i="172"/>
  <c r="Q302" i="172"/>
  <c r="N302" i="172"/>
  <c r="P299" i="172"/>
  <c r="Q299" i="172"/>
  <c r="R299" i="172" s="1"/>
  <c r="N299" i="172"/>
  <c r="P297" i="172"/>
  <c r="Q297" i="172"/>
  <c r="R297" i="172" s="1"/>
  <c r="N297" i="172"/>
  <c r="P295" i="172"/>
  <c r="Q295" i="172"/>
  <c r="R295" i="172" s="1"/>
  <c r="N295" i="172"/>
  <c r="K292" i="172"/>
  <c r="L292" i="172" s="1"/>
  <c r="P292" i="172"/>
  <c r="Q292" i="172"/>
  <c r="R292" i="172" s="1"/>
  <c r="N292" i="172"/>
  <c r="Q290" i="172"/>
  <c r="R290" i="172" s="1"/>
  <c r="N290" i="172"/>
  <c r="P290" i="172"/>
  <c r="P288" i="172"/>
  <c r="Q288" i="172"/>
  <c r="R288" i="172" s="1"/>
  <c r="N288" i="172"/>
  <c r="K286" i="172"/>
  <c r="L286" i="172" s="1"/>
  <c r="P286" i="172"/>
  <c r="Q286" i="172"/>
  <c r="R286" i="172" s="1"/>
  <c r="N286" i="172"/>
  <c r="P281" i="172"/>
  <c r="Q281" i="172"/>
  <c r="R281" i="172" s="1"/>
  <c r="N281" i="172"/>
  <c r="P279" i="172"/>
  <c r="Q279" i="172"/>
  <c r="R279" i="172" s="1"/>
  <c r="N279" i="172"/>
  <c r="P277" i="172"/>
  <c r="Q277" i="172"/>
  <c r="R277" i="172" s="1"/>
  <c r="N277" i="172"/>
  <c r="Q274" i="172"/>
  <c r="R274" i="172" s="1"/>
  <c r="P274" i="172"/>
  <c r="N274" i="172"/>
  <c r="P269" i="172"/>
  <c r="Q269" i="172"/>
  <c r="R269" i="172" s="1"/>
  <c r="N269" i="172"/>
  <c r="P267" i="172"/>
  <c r="Q267" i="172"/>
  <c r="R267" i="172" s="1"/>
  <c r="N267" i="172"/>
  <c r="P264" i="172"/>
  <c r="Q264" i="172"/>
  <c r="N264" i="172"/>
  <c r="K262" i="172"/>
  <c r="L262" i="172" s="1"/>
  <c r="P262" i="172"/>
  <c r="Q262" i="172"/>
  <c r="R262" i="172" s="1"/>
  <c r="N262" i="172"/>
  <c r="P253" i="172"/>
  <c r="Q253" i="172"/>
  <c r="R253" i="172" s="1"/>
  <c r="N253" i="172"/>
  <c r="P248" i="172"/>
  <c r="Q248" i="172"/>
  <c r="R248" i="172" s="1"/>
  <c r="N248" i="172"/>
  <c r="P246" i="172"/>
  <c r="Q246" i="172"/>
  <c r="R246" i="172" s="1"/>
  <c r="N246" i="172"/>
  <c r="P244" i="172"/>
  <c r="Q244" i="172"/>
  <c r="N244" i="172"/>
  <c r="P233" i="172"/>
  <c r="Q233" i="172"/>
  <c r="R233" i="172" s="1"/>
  <c r="N233" i="172"/>
  <c r="K231" i="172"/>
  <c r="L231" i="172" s="1"/>
  <c r="P231" i="172"/>
  <c r="Q231" i="172"/>
  <c r="R231" i="172" s="1"/>
  <c r="N231" i="172"/>
  <c r="P229" i="172"/>
  <c r="Q229" i="172"/>
  <c r="R229" i="172" s="1"/>
  <c r="N229" i="172"/>
  <c r="K226" i="172"/>
  <c r="L226" i="172" s="1"/>
  <c r="P226" i="172"/>
  <c r="Q226" i="172"/>
  <c r="R226" i="172" s="1"/>
  <c r="N226" i="172"/>
  <c r="P224" i="172"/>
  <c r="Q224" i="172"/>
  <c r="R224" i="172" s="1"/>
  <c r="N224" i="172"/>
  <c r="K222" i="172"/>
  <c r="L222" i="172" s="1"/>
  <c r="P222" i="172"/>
  <c r="Q222" i="172"/>
  <c r="R222" i="172" s="1"/>
  <c r="N222" i="172"/>
  <c r="K220" i="172"/>
  <c r="L220" i="172" s="1"/>
  <c r="P220" i="172"/>
  <c r="Q220" i="172"/>
  <c r="R220" i="172" s="1"/>
  <c r="N220" i="172"/>
  <c r="P217" i="172"/>
  <c r="Q217" i="172"/>
  <c r="R217" i="172" s="1"/>
  <c r="N217" i="172"/>
  <c r="P199" i="172"/>
  <c r="Q199" i="172"/>
  <c r="R199" i="172" s="1"/>
  <c r="N199" i="172"/>
  <c r="P197" i="172"/>
  <c r="Q197" i="172"/>
  <c r="R197" i="172" s="1"/>
  <c r="N197" i="172"/>
  <c r="P195" i="172"/>
  <c r="Q195" i="172"/>
  <c r="R195" i="172" s="1"/>
  <c r="N195" i="172"/>
  <c r="K193" i="172"/>
  <c r="L193" i="172" s="1"/>
  <c r="P193" i="172"/>
  <c r="Q193" i="172"/>
  <c r="R193" i="172" s="1"/>
  <c r="N193" i="172"/>
  <c r="K191" i="172"/>
  <c r="L191" i="172" s="1"/>
  <c r="P191" i="172"/>
  <c r="Q191" i="172"/>
  <c r="R191" i="172" s="1"/>
  <c r="N191" i="172"/>
  <c r="K189" i="172"/>
  <c r="L189" i="172" s="1"/>
  <c r="P189" i="172"/>
  <c r="Q189" i="172"/>
  <c r="R189" i="172" s="1"/>
  <c r="N189" i="172"/>
  <c r="P187" i="172"/>
  <c r="Q187" i="172"/>
  <c r="N187" i="172"/>
  <c r="K174" i="172"/>
  <c r="L174" i="172" s="1"/>
  <c r="Q174" i="172"/>
  <c r="R174" i="172" s="1"/>
  <c r="P174" i="172"/>
  <c r="N174" i="172"/>
  <c r="Q172" i="172"/>
  <c r="R172" i="172" s="1"/>
  <c r="P172" i="172"/>
  <c r="N172" i="172"/>
  <c r="K170" i="172"/>
  <c r="L170" i="172" s="1"/>
  <c r="Q170" i="172"/>
  <c r="R170" i="172" s="1"/>
  <c r="P170" i="172"/>
  <c r="N170" i="172"/>
  <c r="P165" i="172"/>
  <c r="Q165" i="172"/>
  <c r="R165" i="172" s="1"/>
  <c r="N165" i="172"/>
  <c r="Q160" i="172"/>
  <c r="R160" i="172" s="1"/>
  <c r="P160" i="172"/>
  <c r="N160" i="172"/>
  <c r="K158" i="172"/>
  <c r="L158" i="172" s="1"/>
  <c r="Q158" i="172"/>
  <c r="P158" i="172"/>
  <c r="N158" i="172"/>
  <c r="Q156" i="172"/>
  <c r="R156" i="172" s="1"/>
  <c r="P156" i="172"/>
  <c r="N156" i="172"/>
  <c r="K154" i="172"/>
  <c r="L154" i="172" s="1"/>
  <c r="Q154" i="172"/>
  <c r="R154" i="172" s="1"/>
  <c r="P154" i="172"/>
  <c r="N154" i="172"/>
  <c r="Q152" i="172"/>
  <c r="R152" i="172" s="1"/>
  <c r="P152" i="172"/>
  <c r="N152" i="172"/>
  <c r="K150" i="172"/>
  <c r="L150" i="172" s="1"/>
  <c r="Q150" i="172"/>
  <c r="R150" i="172" s="1"/>
  <c r="P150" i="172"/>
  <c r="N150" i="172"/>
  <c r="P141" i="172"/>
  <c r="Q141" i="172"/>
  <c r="R141" i="172" s="1"/>
  <c r="N141" i="172"/>
  <c r="K139" i="172"/>
  <c r="L139" i="172" s="1"/>
  <c r="P139" i="172"/>
  <c r="Q139" i="172"/>
  <c r="R139" i="172" s="1"/>
  <c r="N139" i="172"/>
  <c r="P137" i="172"/>
  <c r="Q137" i="172"/>
  <c r="R137" i="172" s="1"/>
  <c r="N137" i="172"/>
  <c r="P135" i="172"/>
  <c r="Q135" i="172"/>
  <c r="R135" i="172" s="1"/>
  <c r="N135" i="172"/>
  <c r="K133" i="172"/>
  <c r="L133" i="172" s="1"/>
  <c r="P133" i="172"/>
  <c r="Q133" i="172"/>
  <c r="N133" i="172"/>
  <c r="K117" i="172"/>
  <c r="L117" i="172" s="1"/>
  <c r="P117" i="172"/>
  <c r="Q117" i="172"/>
  <c r="N117" i="172"/>
  <c r="K110" i="172"/>
  <c r="L110" i="172" s="1"/>
  <c r="Q110" i="172"/>
  <c r="P110" i="172"/>
  <c r="N110" i="172"/>
  <c r="K108" i="172"/>
  <c r="L108" i="172" s="1"/>
  <c r="Q108" i="172"/>
  <c r="P108" i="172"/>
  <c r="N108" i="172"/>
  <c r="K106" i="172"/>
  <c r="L106" i="172" s="1"/>
  <c r="Q106" i="172"/>
  <c r="P106" i="172"/>
  <c r="N106" i="172"/>
  <c r="K104" i="172"/>
  <c r="L104" i="172" s="1"/>
  <c r="Q104" i="172"/>
  <c r="P104" i="172"/>
  <c r="N104" i="172"/>
  <c r="K102" i="172"/>
  <c r="L102" i="172" s="1"/>
  <c r="Q102" i="172"/>
  <c r="P102" i="172"/>
  <c r="N102" i="172"/>
  <c r="P95" i="172"/>
  <c r="Q95" i="172"/>
  <c r="N95" i="172"/>
  <c r="K93" i="172"/>
  <c r="L93" i="172" s="1"/>
  <c r="P93" i="172"/>
  <c r="Q93" i="172"/>
  <c r="N93" i="172"/>
  <c r="K76" i="172"/>
  <c r="L76" i="172" s="1"/>
  <c r="Q76" i="172"/>
  <c r="P76" i="172"/>
  <c r="N76" i="172"/>
  <c r="K74" i="172"/>
  <c r="L74" i="172" s="1"/>
  <c r="Q74" i="172"/>
  <c r="P74" i="172"/>
  <c r="N74" i="172"/>
  <c r="K72" i="172"/>
  <c r="L72" i="172" s="1"/>
  <c r="Q72" i="172"/>
  <c r="P72" i="172"/>
  <c r="N72" i="172"/>
  <c r="K70" i="172"/>
  <c r="L70" i="172" s="1"/>
  <c r="Q70" i="172"/>
  <c r="P70" i="172"/>
  <c r="N70" i="172"/>
  <c r="K65" i="172"/>
  <c r="L65" i="172" s="1"/>
  <c r="P65" i="172"/>
  <c r="Q65" i="172"/>
  <c r="N65" i="172"/>
  <c r="Q62" i="172"/>
  <c r="P62" i="172"/>
  <c r="N62" i="172"/>
  <c r="N55" i="172"/>
  <c r="Q55" i="172" s="1"/>
  <c r="N23" i="172"/>
  <c r="Q23" i="172" s="1"/>
  <c r="N47" i="172"/>
  <c r="Q47" i="172" s="1"/>
  <c r="N58" i="172"/>
  <c r="Q58" i="172" s="1"/>
  <c r="N35" i="172"/>
  <c r="Q35" i="172" s="1"/>
  <c r="N7" i="172"/>
  <c r="Q7" i="172" s="1"/>
  <c r="N46" i="172"/>
  <c r="Q46" i="172" s="1"/>
  <c r="N18" i="172"/>
  <c r="Q18" i="172" s="1"/>
  <c r="N54" i="172"/>
  <c r="Q54" i="172" s="1"/>
  <c r="N33" i="172"/>
  <c r="Q33" i="172" s="1"/>
  <c r="N11" i="172"/>
  <c r="Q11" i="172" s="1"/>
  <c r="N44" i="172"/>
  <c r="Q44" i="172" s="1"/>
  <c r="N28" i="172"/>
  <c r="Q28" i="172" s="1"/>
  <c r="N12" i="172"/>
  <c r="Q12" i="172" s="1"/>
  <c r="N5" i="172"/>
  <c r="Q5" i="172" s="1"/>
  <c r="S483" i="172"/>
  <c r="O113" i="172"/>
  <c r="T950" i="172"/>
  <c r="S905" i="172"/>
  <c r="U771" i="172"/>
  <c r="V636" i="172"/>
  <c r="U1000" i="172"/>
  <c r="V572" i="172"/>
  <c r="S974" i="172"/>
  <c r="V604" i="172"/>
  <c r="S573" i="172"/>
  <c r="T328" i="172"/>
  <c r="T268" i="172"/>
  <c r="S103" i="172"/>
  <c r="U77" i="172"/>
  <c r="V380" i="172"/>
  <c r="U897" i="172"/>
  <c r="U869" i="172"/>
  <c r="S625" i="172"/>
  <c r="T586" i="172"/>
  <c r="V576" i="172"/>
  <c r="V568" i="172"/>
  <c r="T468" i="172"/>
  <c r="S437" i="172"/>
  <c r="S413" i="172"/>
  <c r="T284" i="172"/>
  <c r="S240" i="172"/>
  <c r="T237" i="172"/>
  <c r="T926" i="172"/>
  <c r="S882" i="172"/>
  <c r="U853" i="172"/>
  <c r="S579" i="172"/>
  <c r="S563" i="172"/>
  <c r="T399" i="172"/>
  <c r="T364" i="172"/>
  <c r="V209" i="172"/>
  <c r="S193" i="172"/>
  <c r="U161" i="172"/>
  <c r="K954" i="172"/>
  <c r="L954" i="172" s="1"/>
  <c r="C952" i="172"/>
  <c r="K952" i="172"/>
  <c r="L952" i="172" s="1"/>
  <c r="K941" i="172"/>
  <c r="L941" i="172" s="1"/>
  <c r="C834" i="172"/>
  <c r="K834" i="172"/>
  <c r="L834" i="172" s="1"/>
  <c r="C829" i="172"/>
  <c r="K829" i="172"/>
  <c r="L829" i="172" s="1"/>
  <c r="C827" i="172"/>
  <c r="K827" i="172"/>
  <c r="L827" i="172" s="1"/>
  <c r="C814" i="172"/>
  <c r="K814" i="172"/>
  <c r="L814" i="172" s="1"/>
  <c r="C565" i="172"/>
  <c r="K565" i="172"/>
  <c r="L565" i="172" s="1"/>
  <c r="K551" i="172"/>
  <c r="L551" i="172" s="1"/>
  <c r="K549" i="172"/>
  <c r="L549" i="172" s="1"/>
  <c r="K531" i="172"/>
  <c r="L531" i="172" s="1"/>
  <c r="B524" i="172"/>
  <c r="K524" i="172"/>
  <c r="L524" i="172" s="1"/>
  <c r="K515" i="172"/>
  <c r="L515" i="172" s="1"/>
  <c r="K474" i="172"/>
  <c r="L474" i="172" s="1"/>
  <c r="B445" i="172"/>
  <c r="K445" i="172"/>
  <c r="L445" i="172" s="1"/>
  <c r="T438" i="172"/>
  <c r="K387" i="172"/>
  <c r="L387" i="172" s="1"/>
  <c r="R367" i="172"/>
  <c r="K367" i="172"/>
  <c r="L367" i="172" s="1"/>
  <c r="C345" i="172"/>
  <c r="K345" i="172"/>
  <c r="L345" i="172" s="1"/>
  <c r="C321" i="172"/>
  <c r="K321" i="172"/>
  <c r="L321" i="172" s="1"/>
  <c r="B316" i="172"/>
  <c r="K316" i="172"/>
  <c r="L316" i="172" s="1"/>
  <c r="C285" i="172"/>
  <c r="K285" i="172"/>
  <c r="L285" i="172" s="1"/>
  <c r="K282" i="172"/>
  <c r="L282" i="172" s="1"/>
  <c r="C258" i="172"/>
  <c r="K258" i="172"/>
  <c r="L258" i="172" s="1"/>
  <c r="K256" i="172"/>
  <c r="L256" i="172" s="1"/>
  <c r="C250" i="172"/>
  <c r="K250" i="172"/>
  <c r="L250" i="172" s="1"/>
  <c r="C247" i="172"/>
  <c r="K247" i="172"/>
  <c r="L247" i="172" s="1"/>
  <c r="C245" i="172"/>
  <c r="K245" i="172"/>
  <c r="L245" i="172" s="1"/>
  <c r="K240" i="172"/>
  <c r="L240" i="172" s="1"/>
  <c r="C216" i="172"/>
  <c r="K216" i="172"/>
  <c r="L216" i="172" s="1"/>
  <c r="S212" i="172"/>
  <c r="K211" i="172"/>
  <c r="L211" i="172" s="1"/>
  <c r="C199" i="172"/>
  <c r="K199" i="172"/>
  <c r="L199" i="172" s="1"/>
  <c r="K197" i="172"/>
  <c r="L197" i="172" s="1"/>
  <c r="K195" i="172"/>
  <c r="L195" i="172" s="1"/>
  <c r="C175" i="172"/>
  <c r="K175" i="172"/>
  <c r="L175" i="172" s="1"/>
  <c r="C173" i="172"/>
  <c r="K173" i="172"/>
  <c r="L173" i="172" s="1"/>
  <c r="K168" i="172"/>
  <c r="L168" i="172" s="1"/>
  <c r="K160" i="172"/>
  <c r="L160" i="172" s="1"/>
  <c r="K156" i="172"/>
  <c r="L156" i="172" s="1"/>
  <c r="K152" i="172"/>
  <c r="L152" i="172" s="1"/>
  <c r="K140" i="172"/>
  <c r="L140" i="172" s="1"/>
  <c r="K134" i="172"/>
  <c r="L134" i="172" s="1"/>
  <c r="C115" i="172"/>
  <c r="K115" i="172"/>
  <c r="L115" i="172" s="1"/>
  <c r="C95" i="172"/>
  <c r="K95" i="172"/>
  <c r="L95" i="172" s="1"/>
  <c r="C71" i="172"/>
  <c r="K71" i="172"/>
  <c r="L71" i="172" s="1"/>
  <c r="C63" i="172"/>
  <c r="K63" i="172"/>
  <c r="L63" i="172" s="1"/>
  <c r="C61" i="172"/>
  <c r="K61" i="172"/>
  <c r="L61" i="172" s="1"/>
  <c r="B56" i="172"/>
  <c r="B54" i="172"/>
  <c r="B44" i="172"/>
  <c r="B41" i="172"/>
  <c r="B17" i="172"/>
  <c r="C1000" i="172"/>
  <c r="K1000" i="172"/>
  <c r="L1000" i="172" s="1"/>
  <c r="K998" i="172"/>
  <c r="L998" i="172" s="1"/>
  <c r="S980" i="172"/>
  <c r="C979" i="172"/>
  <c r="K979" i="172"/>
  <c r="L979" i="172" s="1"/>
  <c r="B5" i="172"/>
  <c r="S978" i="172"/>
  <c r="C977" i="172"/>
  <c r="K977" i="172"/>
  <c r="L977" i="172" s="1"/>
  <c r="K945" i="172"/>
  <c r="L945" i="172" s="1"/>
  <c r="K937" i="172"/>
  <c r="L937" i="172" s="1"/>
  <c r="T920" i="172"/>
  <c r="K917" i="172"/>
  <c r="L917" i="172" s="1"/>
  <c r="B903" i="172"/>
  <c r="K903" i="172"/>
  <c r="L903" i="172" s="1"/>
  <c r="S901" i="172"/>
  <c r="C898" i="172"/>
  <c r="K898" i="172"/>
  <c r="L898" i="172" s="1"/>
  <c r="C893" i="172"/>
  <c r="K893" i="172"/>
  <c r="L893" i="172" s="1"/>
  <c r="U885" i="172"/>
  <c r="S880" i="172"/>
  <c r="C879" i="172"/>
  <c r="K879" i="172"/>
  <c r="L879" i="172" s="1"/>
  <c r="U873" i="172"/>
  <c r="C865" i="172"/>
  <c r="K865" i="172"/>
  <c r="L865" i="172" s="1"/>
  <c r="U861" i="172"/>
  <c r="C849" i="172"/>
  <c r="K849" i="172"/>
  <c r="L849" i="172" s="1"/>
  <c r="S842" i="172"/>
  <c r="K784" i="172"/>
  <c r="L784" i="172" s="1"/>
  <c r="K782" i="172"/>
  <c r="L782" i="172" s="1"/>
  <c r="K757" i="172"/>
  <c r="L757" i="172" s="1"/>
  <c r="K755" i="172"/>
  <c r="L755" i="172" s="1"/>
  <c r="K737" i="172"/>
  <c r="L737" i="172" s="1"/>
  <c r="K689" i="172"/>
  <c r="L689" i="172" s="1"/>
  <c r="K658" i="172"/>
  <c r="L658" i="172" s="1"/>
  <c r="S631" i="172"/>
  <c r="C626" i="172"/>
  <c r="K626" i="172"/>
  <c r="L626" i="172" s="1"/>
  <c r="C602" i="172"/>
  <c r="K602" i="172"/>
  <c r="L602" i="172" s="1"/>
  <c r="C598" i="172"/>
  <c r="K598" i="172"/>
  <c r="L598" i="172" s="1"/>
  <c r="C595" i="172"/>
  <c r="K595" i="172"/>
  <c r="L595" i="172" s="1"/>
  <c r="C593" i="172"/>
  <c r="K593" i="172"/>
  <c r="L593" i="172" s="1"/>
  <c r="C586" i="172"/>
  <c r="K586" i="172"/>
  <c r="L586" i="172" s="1"/>
  <c r="C575" i="172"/>
  <c r="K575" i="172"/>
  <c r="L575" i="172" s="1"/>
  <c r="B560" i="172"/>
  <c r="K560" i="172"/>
  <c r="L560" i="172" s="1"/>
  <c r="B542" i="172"/>
  <c r="K542" i="172"/>
  <c r="L542" i="172" s="1"/>
  <c r="K533" i="172"/>
  <c r="L533" i="172" s="1"/>
  <c r="K529" i="172"/>
  <c r="L529" i="172" s="1"/>
  <c r="B522" i="172"/>
  <c r="K522" i="172"/>
  <c r="L522" i="172" s="1"/>
  <c r="B520" i="172"/>
  <c r="K520" i="172"/>
  <c r="L520" i="172" s="1"/>
  <c r="K513" i="172"/>
  <c r="L513" i="172" s="1"/>
  <c r="B510" i="172"/>
  <c r="K510" i="172"/>
  <c r="L510" i="172" s="1"/>
  <c r="K505" i="172"/>
  <c r="L505" i="172" s="1"/>
  <c r="C496" i="172"/>
  <c r="K496" i="172"/>
  <c r="L496" i="172" s="1"/>
  <c r="S479" i="172"/>
  <c r="K478" i="172"/>
  <c r="L478" i="172" s="1"/>
  <c r="K470" i="172"/>
  <c r="L470" i="172" s="1"/>
  <c r="C447" i="172"/>
  <c r="K447" i="172"/>
  <c r="L447" i="172" s="1"/>
  <c r="K431" i="172"/>
  <c r="L431" i="172" s="1"/>
  <c r="B411" i="172"/>
  <c r="K411" i="172"/>
  <c r="L411" i="172" s="1"/>
  <c r="C407" i="172"/>
  <c r="K407" i="172"/>
  <c r="L407" i="172" s="1"/>
  <c r="K399" i="172"/>
  <c r="L399" i="172" s="1"/>
  <c r="U375" i="172"/>
  <c r="B365" i="172"/>
  <c r="K365" i="172"/>
  <c r="L365" i="172" s="1"/>
  <c r="K309" i="172"/>
  <c r="L309" i="172" s="1"/>
  <c r="T305" i="172"/>
  <c r="C304" i="172"/>
  <c r="K304" i="172"/>
  <c r="L304" i="172" s="1"/>
  <c r="K294" i="172"/>
  <c r="L294" i="172" s="1"/>
  <c r="T283" i="172"/>
  <c r="C279" i="172"/>
  <c r="K279" i="172"/>
  <c r="L279" i="172" s="1"/>
  <c r="C277" i="172"/>
  <c r="K277" i="172"/>
  <c r="L277" i="172" s="1"/>
  <c r="K274" i="172"/>
  <c r="L274" i="172" s="1"/>
  <c r="C263" i="172"/>
  <c r="K263" i="172"/>
  <c r="L263" i="172" s="1"/>
  <c r="C243" i="172"/>
  <c r="K243" i="172"/>
  <c r="L243" i="172" s="1"/>
  <c r="C237" i="172"/>
  <c r="K237" i="172"/>
  <c r="L237" i="172" s="1"/>
  <c r="C235" i="172"/>
  <c r="K235" i="172"/>
  <c r="L235" i="172" s="1"/>
  <c r="K225" i="172"/>
  <c r="L225" i="172" s="1"/>
  <c r="K223" i="172"/>
  <c r="L223" i="172" s="1"/>
  <c r="C999" i="172"/>
  <c r="K999" i="172"/>
  <c r="L999" i="172" s="1"/>
  <c r="C997" i="172"/>
  <c r="K997" i="172"/>
  <c r="L997" i="172" s="1"/>
  <c r="C995" i="172"/>
  <c r="K995" i="172"/>
  <c r="L995" i="172" s="1"/>
  <c r="K993" i="172"/>
  <c r="L993" i="172" s="1"/>
  <c r="K991" i="172"/>
  <c r="L991" i="172" s="1"/>
  <c r="R987" i="172"/>
  <c r="K987" i="172"/>
  <c r="L987" i="172" s="1"/>
  <c r="K973" i="172"/>
  <c r="L973" i="172" s="1"/>
  <c r="K969" i="172"/>
  <c r="L969" i="172" s="1"/>
  <c r="K967" i="172"/>
  <c r="L967" i="172" s="1"/>
  <c r="C965" i="172"/>
  <c r="K965" i="172"/>
  <c r="L965" i="172" s="1"/>
  <c r="C963" i="172"/>
  <c r="K963" i="172"/>
  <c r="L963" i="172" s="1"/>
  <c r="R959" i="172"/>
  <c r="K959" i="172"/>
  <c r="L959" i="172" s="1"/>
  <c r="C957" i="172"/>
  <c r="K957" i="172"/>
  <c r="L957" i="172" s="1"/>
  <c r="K955" i="172"/>
  <c r="L955" i="172" s="1"/>
  <c r="K950" i="172"/>
  <c r="L950" i="172" s="1"/>
  <c r="K913" i="172"/>
  <c r="L913" i="172" s="1"/>
  <c r="K908" i="172"/>
  <c r="L908" i="172" s="1"/>
  <c r="K906" i="172"/>
  <c r="L906" i="172" s="1"/>
  <c r="C896" i="172"/>
  <c r="K896" i="172"/>
  <c r="L896" i="172" s="1"/>
  <c r="C889" i="172"/>
  <c r="K889" i="172"/>
  <c r="L889" i="172" s="1"/>
  <c r="C887" i="172"/>
  <c r="K887" i="172"/>
  <c r="L887" i="172" s="1"/>
  <c r="C882" i="172"/>
  <c r="K882" i="172"/>
  <c r="L882" i="172" s="1"/>
  <c r="C877" i="172"/>
  <c r="K877" i="172"/>
  <c r="L877" i="172" s="1"/>
  <c r="C875" i="172"/>
  <c r="K875" i="172"/>
  <c r="L875" i="172" s="1"/>
  <c r="C868" i="172"/>
  <c r="K868" i="172"/>
  <c r="L868" i="172" s="1"/>
  <c r="C863" i="172"/>
  <c r="K863" i="172"/>
  <c r="L863" i="172" s="1"/>
  <c r="C858" i="172"/>
  <c r="K858" i="172"/>
  <c r="L858" i="172" s="1"/>
  <c r="C856" i="172"/>
  <c r="K856" i="172"/>
  <c r="L856" i="172" s="1"/>
  <c r="C854" i="172"/>
  <c r="K854" i="172"/>
  <c r="L854" i="172" s="1"/>
  <c r="C847" i="172"/>
  <c r="K847" i="172"/>
  <c r="L847" i="172" s="1"/>
  <c r="C844" i="172"/>
  <c r="K844" i="172"/>
  <c r="L844" i="172" s="1"/>
  <c r="C839" i="172"/>
  <c r="K839" i="172"/>
  <c r="L839" i="172" s="1"/>
  <c r="C837" i="172"/>
  <c r="K837" i="172"/>
  <c r="L837" i="172" s="1"/>
  <c r="C832" i="172"/>
  <c r="K832" i="172"/>
  <c r="L832" i="172" s="1"/>
  <c r="C830" i="172"/>
  <c r="K830" i="172"/>
  <c r="L830" i="172" s="1"/>
  <c r="C825" i="172"/>
  <c r="K825" i="172"/>
  <c r="L825" i="172" s="1"/>
  <c r="C823" i="172"/>
  <c r="K823" i="172"/>
  <c r="L823" i="172" s="1"/>
  <c r="C821" i="172"/>
  <c r="K821" i="172"/>
  <c r="L821" i="172" s="1"/>
  <c r="C819" i="172"/>
  <c r="K819" i="172"/>
  <c r="L819" i="172" s="1"/>
  <c r="C812" i="172"/>
  <c r="K812" i="172"/>
  <c r="L812" i="172" s="1"/>
  <c r="C810" i="172"/>
  <c r="K810" i="172"/>
  <c r="L810" i="172" s="1"/>
  <c r="C808" i="172"/>
  <c r="K808" i="172"/>
  <c r="L808" i="172" s="1"/>
  <c r="K806" i="172"/>
  <c r="L806" i="172" s="1"/>
  <c r="K804" i="172"/>
  <c r="L804" i="172" s="1"/>
  <c r="K789" i="172"/>
  <c r="L789" i="172" s="1"/>
  <c r="K787" i="172"/>
  <c r="L787" i="172" s="1"/>
  <c r="K780" i="172"/>
  <c r="L780" i="172" s="1"/>
  <c r="K778" i="172"/>
  <c r="L778" i="172" s="1"/>
  <c r="K776" i="172"/>
  <c r="L776" i="172" s="1"/>
  <c r="K774" i="172"/>
  <c r="L774" i="172" s="1"/>
  <c r="K771" i="172"/>
  <c r="L771" i="172" s="1"/>
  <c r="K766" i="172"/>
  <c r="L766" i="172" s="1"/>
  <c r="O734" i="172"/>
  <c r="K729" i="172"/>
  <c r="L729" i="172" s="1"/>
  <c r="K721" i="172"/>
  <c r="L721" i="172" s="1"/>
  <c r="K714" i="172"/>
  <c r="L714" i="172" s="1"/>
  <c r="K697" i="172"/>
  <c r="L697" i="172" s="1"/>
  <c r="K694" i="172"/>
  <c r="L694" i="172" s="1"/>
  <c r="K681" i="172"/>
  <c r="L681" i="172" s="1"/>
  <c r="K678" i="172"/>
  <c r="L678" i="172" s="1"/>
  <c r="K674" i="172"/>
  <c r="L674" i="172" s="1"/>
  <c r="R670" i="172"/>
  <c r="K670" i="172"/>
  <c r="L670" i="172" s="1"/>
  <c r="K665" i="172"/>
  <c r="L665" i="172" s="1"/>
  <c r="B649" i="172"/>
  <c r="K649" i="172"/>
  <c r="L649" i="172" s="1"/>
  <c r="K644" i="172"/>
  <c r="L644" i="172" s="1"/>
  <c r="C642" i="172"/>
  <c r="K642" i="172"/>
  <c r="L642" i="172" s="1"/>
  <c r="C638" i="172"/>
  <c r="K638" i="172"/>
  <c r="L638" i="172" s="1"/>
  <c r="C633" i="172"/>
  <c r="K633" i="172"/>
  <c r="L633" i="172" s="1"/>
  <c r="C624" i="172"/>
  <c r="K624" i="172"/>
  <c r="L624" i="172" s="1"/>
  <c r="C622" i="172"/>
  <c r="K622" i="172"/>
  <c r="L622" i="172" s="1"/>
  <c r="K605" i="172"/>
  <c r="L605" i="172" s="1"/>
  <c r="C596" i="172"/>
  <c r="K596" i="172"/>
  <c r="L596" i="172" s="1"/>
  <c r="B591" i="172"/>
  <c r="K591" i="172"/>
  <c r="L591" i="172" s="1"/>
  <c r="K589" i="172"/>
  <c r="L589" i="172" s="1"/>
  <c r="C587" i="172"/>
  <c r="K587" i="172"/>
  <c r="L587" i="172" s="1"/>
  <c r="C580" i="172"/>
  <c r="K580" i="172"/>
  <c r="L580" i="172" s="1"/>
  <c r="C579" i="172"/>
  <c r="K579" i="172"/>
  <c r="L579" i="172" s="1"/>
  <c r="C573" i="172"/>
  <c r="K573" i="172"/>
  <c r="L573" i="172" s="1"/>
  <c r="C566" i="172"/>
  <c r="K566" i="172"/>
  <c r="L566" i="172" s="1"/>
  <c r="C563" i="172"/>
  <c r="K563" i="172"/>
  <c r="L563" i="172" s="1"/>
  <c r="K561" i="172"/>
  <c r="L561" i="172" s="1"/>
  <c r="B558" i="172"/>
  <c r="K558" i="172"/>
  <c r="L558" i="172" s="1"/>
  <c r="B556" i="172"/>
  <c r="K556" i="172"/>
  <c r="L556" i="172" s="1"/>
  <c r="B554" i="172"/>
  <c r="K554" i="172"/>
  <c r="L554" i="172" s="1"/>
  <c r="K547" i="172"/>
  <c r="L547" i="172" s="1"/>
  <c r="K545" i="172"/>
  <c r="L545" i="172" s="1"/>
  <c r="K543" i="172"/>
  <c r="L543" i="172" s="1"/>
  <c r="B540" i="172"/>
  <c r="K540" i="172"/>
  <c r="L540" i="172" s="1"/>
  <c r="B538" i="172"/>
  <c r="K538" i="172"/>
  <c r="L538" i="172" s="1"/>
  <c r="B536" i="172"/>
  <c r="K536" i="172"/>
  <c r="L536" i="172" s="1"/>
  <c r="K527" i="172"/>
  <c r="L527" i="172" s="1"/>
  <c r="K525" i="172"/>
  <c r="L525" i="172" s="1"/>
  <c r="B518" i="172"/>
  <c r="K518" i="172"/>
  <c r="L518" i="172" s="1"/>
  <c r="K511" i="172"/>
  <c r="L511" i="172" s="1"/>
  <c r="B508" i="172"/>
  <c r="K508" i="172"/>
  <c r="L508" i="172" s="1"/>
  <c r="K503" i="172"/>
  <c r="L503" i="172" s="1"/>
  <c r="K501" i="172"/>
  <c r="L501" i="172" s="1"/>
  <c r="K499" i="172"/>
  <c r="L499" i="172" s="1"/>
  <c r="C492" i="172"/>
  <c r="K492" i="172"/>
  <c r="L492" i="172" s="1"/>
  <c r="C490" i="172"/>
  <c r="K490" i="172"/>
  <c r="L490" i="172" s="1"/>
  <c r="K486" i="172"/>
  <c r="L486" i="172" s="1"/>
  <c r="B481" i="172"/>
  <c r="K481" i="172"/>
  <c r="L481" i="172" s="1"/>
  <c r="K466" i="172"/>
  <c r="L466" i="172" s="1"/>
  <c r="K462" i="172"/>
  <c r="L462" i="172" s="1"/>
  <c r="B457" i="172"/>
  <c r="K457" i="172"/>
  <c r="L457" i="172" s="1"/>
  <c r="B453" i="172"/>
  <c r="K453" i="172"/>
  <c r="L453" i="172" s="1"/>
  <c r="O444" i="172"/>
  <c r="C427" i="172"/>
  <c r="K427" i="172"/>
  <c r="L427" i="172" s="1"/>
  <c r="C403" i="172"/>
  <c r="K403" i="172"/>
  <c r="L403" i="172" s="1"/>
  <c r="V399" i="172"/>
  <c r="B397" i="172"/>
  <c r="K397" i="172"/>
  <c r="L397" i="172" s="1"/>
  <c r="B379" i="172"/>
  <c r="K379" i="172"/>
  <c r="L379" i="172" s="1"/>
  <c r="B363" i="172"/>
  <c r="K363" i="172"/>
  <c r="L363" i="172" s="1"/>
  <c r="C348" i="172"/>
  <c r="K348" i="172"/>
  <c r="L348" i="172" s="1"/>
  <c r="C341" i="172"/>
  <c r="K341" i="172"/>
  <c r="L341" i="172" s="1"/>
  <c r="B336" i="172"/>
  <c r="K336" i="172"/>
  <c r="L336" i="172" s="1"/>
  <c r="B334" i="172"/>
  <c r="K334" i="172"/>
  <c r="L334" i="172" s="1"/>
  <c r="C331" i="172"/>
  <c r="K331" i="172"/>
  <c r="L331" i="172" s="1"/>
  <c r="C329" i="172"/>
  <c r="K329" i="172"/>
  <c r="L329" i="172" s="1"/>
  <c r="V320" i="172"/>
  <c r="R317" i="172"/>
  <c r="K317" i="172"/>
  <c r="L317" i="172" s="1"/>
  <c r="B312" i="172"/>
  <c r="K312" i="172"/>
  <c r="L312" i="172" s="1"/>
  <c r="K310" i="172"/>
  <c r="L310" i="172" s="1"/>
  <c r="K307" i="172"/>
  <c r="L307" i="172" s="1"/>
  <c r="K302" i="172"/>
  <c r="L302" i="172" s="1"/>
  <c r="K299" i="172"/>
  <c r="L299" i="172" s="1"/>
  <c r="C297" i="172"/>
  <c r="K297" i="172"/>
  <c r="L297" i="172" s="1"/>
  <c r="C295" i="172"/>
  <c r="K295" i="172"/>
  <c r="L295" i="172" s="1"/>
  <c r="B290" i="172"/>
  <c r="K290" i="172"/>
  <c r="L290" i="172" s="1"/>
  <c r="C288" i="172"/>
  <c r="K288" i="172"/>
  <c r="L288" i="172" s="1"/>
  <c r="C271" i="172"/>
  <c r="K271" i="172"/>
  <c r="L271" i="172" s="1"/>
  <c r="B268" i="172"/>
  <c r="K268" i="172"/>
  <c r="L268" i="172" s="1"/>
  <c r="C266" i="172"/>
  <c r="K266" i="172"/>
  <c r="L266" i="172" s="1"/>
  <c r="C261" i="172"/>
  <c r="K261" i="172"/>
  <c r="L261" i="172" s="1"/>
  <c r="C259" i="172"/>
  <c r="K259" i="172"/>
  <c r="L259" i="172" s="1"/>
  <c r="C251" i="172"/>
  <c r="K251" i="172"/>
  <c r="L251" i="172" s="1"/>
  <c r="K248" i="172"/>
  <c r="L248" i="172" s="1"/>
  <c r="C241" i="172"/>
  <c r="K241" i="172"/>
  <c r="L241" i="172" s="1"/>
  <c r="C233" i="172"/>
  <c r="K233" i="172"/>
  <c r="L233" i="172" s="1"/>
  <c r="K219" i="172"/>
  <c r="L219" i="172" s="1"/>
  <c r="C214" i="172"/>
  <c r="K214" i="172"/>
  <c r="L214" i="172" s="1"/>
  <c r="K209" i="172"/>
  <c r="L209" i="172" s="1"/>
  <c r="R202" i="172"/>
  <c r="K202" i="172"/>
  <c r="L202" i="172" s="1"/>
  <c r="B187" i="172"/>
  <c r="K187" i="172"/>
  <c r="L187" i="172" s="1"/>
  <c r="K184" i="172"/>
  <c r="L184" i="172" s="1"/>
  <c r="K180" i="172"/>
  <c r="L180" i="172" s="1"/>
  <c r="K176" i="172"/>
  <c r="L176" i="172" s="1"/>
  <c r="K169" i="172"/>
  <c r="L169" i="172" s="1"/>
  <c r="R164" i="172"/>
  <c r="K164" i="172"/>
  <c r="L164" i="172" s="1"/>
  <c r="K149" i="172"/>
  <c r="L149" i="172" s="1"/>
  <c r="C145" i="172"/>
  <c r="K145" i="172"/>
  <c r="L145" i="172" s="1"/>
  <c r="C111" i="172"/>
  <c r="K111" i="172"/>
  <c r="L111" i="172" s="1"/>
  <c r="C107" i="172"/>
  <c r="K107" i="172"/>
  <c r="L107" i="172" s="1"/>
  <c r="C91" i="172"/>
  <c r="K91" i="172"/>
  <c r="L91" i="172" s="1"/>
  <c r="C89" i="172"/>
  <c r="K89" i="172"/>
  <c r="L89" i="172" s="1"/>
  <c r="C83" i="172"/>
  <c r="K83" i="172"/>
  <c r="L83" i="172" s="1"/>
  <c r="C81" i="172"/>
  <c r="K81" i="172"/>
  <c r="L81" i="172" s="1"/>
  <c r="C79" i="172"/>
  <c r="K79" i="172"/>
  <c r="L79" i="172" s="1"/>
  <c r="B69" i="172"/>
  <c r="K69" i="172"/>
  <c r="L69" i="172" s="1"/>
  <c r="B64" i="172"/>
  <c r="K64" i="172"/>
  <c r="L64" i="172" s="1"/>
  <c r="B52" i="172"/>
  <c r="B50" i="172"/>
  <c r="B48" i="172"/>
  <c r="B25" i="172"/>
  <c r="B11" i="172"/>
  <c r="K975" i="172"/>
  <c r="L975" i="172" s="1"/>
  <c r="V948" i="172"/>
  <c r="C900" i="172"/>
  <c r="K900" i="172"/>
  <c r="L900" i="172" s="1"/>
  <c r="S894" i="172"/>
  <c r="C891" i="172"/>
  <c r="K891" i="172"/>
  <c r="L891" i="172" s="1"/>
  <c r="C884" i="172"/>
  <c r="K884" i="172"/>
  <c r="L884" i="172" s="1"/>
  <c r="C872" i="172"/>
  <c r="K872" i="172"/>
  <c r="L872" i="172" s="1"/>
  <c r="C870" i="172"/>
  <c r="K870" i="172"/>
  <c r="L870" i="172" s="1"/>
  <c r="C860" i="172"/>
  <c r="K860" i="172"/>
  <c r="L860" i="172" s="1"/>
  <c r="C853" i="172"/>
  <c r="K853" i="172"/>
  <c r="L853" i="172" s="1"/>
  <c r="C851" i="172"/>
  <c r="K851" i="172"/>
  <c r="L851" i="172" s="1"/>
  <c r="C846" i="172"/>
  <c r="K846" i="172"/>
  <c r="L846" i="172" s="1"/>
  <c r="C841" i="172"/>
  <c r="K841" i="172"/>
  <c r="L841" i="172" s="1"/>
  <c r="C836" i="172"/>
  <c r="K836" i="172"/>
  <c r="L836" i="172" s="1"/>
  <c r="C818" i="172"/>
  <c r="K818" i="172"/>
  <c r="L818" i="172" s="1"/>
  <c r="C816" i="172"/>
  <c r="K816" i="172"/>
  <c r="L816" i="172" s="1"/>
  <c r="K773" i="172"/>
  <c r="L773" i="172" s="1"/>
  <c r="K770" i="172"/>
  <c r="L770" i="172" s="1"/>
  <c r="K768" i="172"/>
  <c r="L768" i="172" s="1"/>
  <c r="K763" i="172"/>
  <c r="L763" i="172" s="1"/>
  <c r="K753" i="172"/>
  <c r="L753" i="172" s="1"/>
  <c r="K705" i="172"/>
  <c r="L705" i="172" s="1"/>
  <c r="K648" i="172"/>
  <c r="L648" i="172" s="1"/>
  <c r="C630" i="172"/>
  <c r="K630" i="172"/>
  <c r="L630" i="172" s="1"/>
  <c r="T618" i="172"/>
  <c r="C613" i="172"/>
  <c r="K613" i="172"/>
  <c r="L613" i="172" s="1"/>
  <c r="C985" i="172"/>
  <c r="K985" i="172"/>
  <c r="L985" i="172" s="1"/>
  <c r="C983" i="172"/>
  <c r="K983" i="172"/>
  <c r="L983" i="172" s="1"/>
  <c r="K981" i="172"/>
  <c r="L981" i="172" s="1"/>
  <c r="C951" i="172"/>
  <c r="K951" i="172"/>
  <c r="L951" i="172" s="1"/>
  <c r="R933" i="172"/>
  <c r="K933" i="172"/>
  <c r="L933" i="172" s="1"/>
  <c r="K929" i="172"/>
  <c r="L929" i="172" s="1"/>
  <c r="C899" i="172"/>
  <c r="K899" i="172"/>
  <c r="L899" i="172" s="1"/>
  <c r="C894" i="172"/>
  <c r="K894" i="172"/>
  <c r="L894" i="172" s="1"/>
  <c r="C892" i="172"/>
  <c r="K892" i="172"/>
  <c r="L892" i="172" s="1"/>
  <c r="C890" i="172"/>
  <c r="K890" i="172"/>
  <c r="L890" i="172" s="1"/>
  <c r="C885" i="172"/>
  <c r="K885" i="172"/>
  <c r="L885" i="172" s="1"/>
  <c r="C883" i="172"/>
  <c r="K883" i="172"/>
  <c r="L883" i="172" s="1"/>
  <c r="C880" i="172"/>
  <c r="K880" i="172"/>
  <c r="L880" i="172" s="1"/>
  <c r="C878" i="172"/>
  <c r="K878" i="172"/>
  <c r="L878" i="172" s="1"/>
  <c r="C873" i="172"/>
  <c r="K873" i="172"/>
  <c r="L873" i="172" s="1"/>
  <c r="C871" i="172"/>
  <c r="K871" i="172"/>
  <c r="L871" i="172" s="1"/>
  <c r="C866" i="172"/>
  <c r="K866" i="172"/>
  <c r="L866" i="172" s="1"/>
  <c r="C861" i="172"/>
  <c r="K861" i="172"/>
  <c r="L861" i="172" s="1"/>
  <c r="C859" i="172"/>
  <c r="K859" i="172"/>
  <c r="L859" i="172" s="1"/>
  <c r="C852" i="172"/>
  <c r="K852" i="172"/>
  <c r="L852" i="172" s="1"/>
  <c r="C850" i="172"/>
  <c r="K850" i="172"/>
  <c r="L850" i="172" s="1"/>
  <c r="C842" i="172"/>
  <c r="K842" i="172"/>
  <c r="L842" i="172" s="1"/>
  <c r="C835" i="172"/>
  <c r="K835" i="172"/>
  <c r="L835" i="172" s="1"/>
  <c r="C828" i="172"/>
  <c r="K828" i="172"/>
  <c r="L828" i="172" s="1"/>
  <c r="C817" i="172"/>
  <c r="K817" i="172"/>
  <c r="L817" i="172" s="1"/>
  <c r="C815" i="172"/>
  <c r="K815" i="172"/>
  <c r="L815" i="172" s="1"/>
  <c r="C813" i="172"/>
  <c r="K813" i="172"/>
  <c r="L813" i="172" s="1"/>
  <c r="R802" i="172"/>
  <c r="K802" i="172"/>
  <c r="L802" i="172" s="1"/>
  <c r="K800" i="172"/>
  <c r="L800" i="172" s="1"/>
  <c r="K798" i="172"/>
  <c r="L798" i="172" s="1"/>
  <c r="K796" i="172"/>
  <c r="L796" i="172" s="1"/>
  <c r="R794" i="172"/>
  <c r="K794" i="172"/>
  <c r="L794" i="172" s="1"/>
  <c r="K785" i="172"/>
  <c r="L785" i="172" s="1"/>
  <c r="K783" i="172"/>
  <c r="L783" i="172" s="1"/>
  <c r="R772" i="172"/>
  <c r="K772" i="172"/>
  <c r="L772" i="172" s="1"/>
  <c r="K762" i="172"/>
  <c r="L762" i="172" s="1"/>
  <c r="K760" i="172"/>
  <c r="L760" i="172" s="1"/>
  <c r="K758" i="172"/>
  <c r="L758" i="172" s="1"/>
  <c r="B754" i="172"/>
  <c r="K754" i="172"/>
  <c r="L754" i="172" s="1"/>
  <c r="K752" i="172"/>
  <c r="L752" i="172" s="1"/>
  <c r="B744" i="172"/>
  <c r="K744" i="172"/>
  <c r="L744" i="172" s="1"/>
  <c r="K741" i="172"/>
  <c r="L741" i="172" s="1"/>
  <c r="B738" i="172"/>
  <c r="K738" i="172"/>
  <c r="L738" i="172" s="1"/>
  <c r="B736" i="172"/>
  <c r="K736" i="172"/>
  <c r="L736" i="172" s="1"/>
  <c r="B734" i="172"/>
  <c r="K734" i="172"/>
  <c r="L734" i="172" s="1"/>
  <c r="R710" i="172"/>
  <c r="K710" i="172"/>
  <c r="L710" i="172" s="1"/>
  <c r="R706" i="172"/>
  <c r="K706" i="172"/>
  <c r="L706" i="172" s="1"/>
  <c r="K690" i="172"/>
  <c r="L690" i="172" s="1"/>
  <c r="K657" i="172"/>
  <c r="L657" i="172" s="1"/>
  <c r="K654" i="172"/>
  <c r="L654" i="172" s="1"/>
  <c r="K652" i="172"/>
  <c r="L652" i="172" s="1"/>
  <c r="K647" i="172"/>
  <c r="L647" i="172" s="1"/>
  <c r="B631" i="172"/>
  <c r="K631" i="172"/>
  <c r="L631" i="172" s="1"/>
  <c r="C629" i="172"/>
  <c r="K629" i="172"/>
  <c r="L629" i="172" s="1"/>
  <c r="C618" i="172"/>
  <c r="K618" i="172"/>
  <c r="L618" i="172" s="1"/>
  <c r="B599" i="172"/>
  <c r="K599" i="172"/>
  <c r="L599" i="172" s="1"/>
  <c r="C594" i="172"/>
  <c r="K594" i="172"/>
  <c r="L594" i="172" s="1"/>
  <c r="U579" i="172"/>
  <c r="C577" i="172"/>
  <c r="K577" i="172"/>
  <c r="L577" i="172" s="1"/>
  <c r="C574" i="172"/>
  <c r="K574" i="172"/>
  <c r="L574" i="172" s="1"/>
  <c r="C571" i="172"/>
  <c r="K571" i="172"/>
  <c r="L571" i="172" s="1"/>
  <c r="C569" i="172"/>
  <c r="K569" i="172"/>
  <c r="L569" i="172" s="1"/>
  <c r="K559" i="172"/>
  <c r="L559" i="172" s="1"/>
  <c r="B552" i="172"/>
  <c r="K552" i="172"/>
  <c r="L552" i="172" s="1"/>
  <c r="B550" i="172"/>
  <c r="K550" i="172"/>
  <c r="L550" i="172" s="1"/>
  <c r="K541" i="172"/>
  <c r="L541" i="172" s="1"/>
  <c r="B534" i="172"/>
  <c r="K534" i="172"/>
  <c r="L534" i="172" s="1"/>
  <c r="B532" i="172"/>
  <c r="K532" i="172"/>
  <c r="L532" i="172" s="1"/>
  <c r="B530" i="172"/>
  <c r="K530" i="172"/>
  <c r="L530" i="172" s="1"/>
  <c r="K523" i="172"/>
  <c r="L523" i="172" s="1"/>
  <c r="K521" i="172"/>
  <c r="L521" i="172" s="1"/>
  <c r="K519" i="172"/>
  <c r="L519" i="172" s="1"/>
  <c r="B516" i="172"/>
  <c r="K516" i="172"/>
  <c r="L516" i="172" s="1"/>
  <c r="B514" i="172"/>
  <c r="K514" i="172"/>
  <c r="L514" i="172" s="1"/>
  <c r="K509" i="172"/>
  <c r="L509" i="172" s="1"/>
  <c r="B506" i="172"/>
  <c r="K506" i="172"/>
  <c r="L506" i="172" s="1"/>
  <c r="K497" i="172"/>
  <c r="L497" i="172" s="1"/>
  <c r="B479" i="172"/>
  <c r="K479" i="172"/>
  <c r="L479" i="172" s="1"/>
  <c r="C477" i="172"/>
  <c r="K477" i="172"/>
  <c r="L477" i="172" s="1"/>
  <c r="B475" i="172"/>
  <c r="K475" i="172"/>
  <c r="L475" i="172" s="1"/>
  <c r="C473" i="172"/>
  <c r="K473" i="172"/>
  <c r="L473" i="172" s="1"/>
  <c r="B471" i="172"/>
  <c r="K471" i="172"/>
  <c r="L471" i="172" s="1"/>
  <c r="K469" i="172"/>
  <c r="L469" i="172" s="1"/>
  <c r="C437" i="172"/>
  <c r="K437" i="172"/>
  <c r="L437" i="172" s="1"/>
  <c r="C371" i="172"/>
  <c r="K371" i="172"/>
  <c r="L371" i="172" s="1"/>
  <c r="C359" i="172"/>
  <c r="K359" i="172"/>
  <c r="L359" i="172" s="1"/>
  <c r="K355" i="172"/>
  <c r="L355" i="172" s="1"/>
  <c r="K344" i="172"/>
  <c r="L344" i="172" s="1"/>
  <c r="C327" i="172"/>
  <c r="K327" i="172"/>
  <c r="L327" i="172" s="1"/>
  <c r="U320" i="172"/>
  <c r="B320" i="172"/>
  <c r="K320" i="172"/>
  <c r="L320" i="172" s="1"/>
  <c r="K315" i="172"/>
  <c r="L315" i="172" s="1"/>
  <c r="K308" i="172"/>
  <c r="L308" i="172" s="1"/>
  <c r="K305" i="172"/>
  <c r="L305" i="172" s="1"/>
  <c r="K303" i="172"/>
  <c r="L303" i="172" s="1"/>
  <c r="K300" i="172"/>
  <c r="L300" i="172" s="1"/>
  <c r="C293" i="172"/>
  <c r="K293" i="172"/>
  <c r="L293" i="172" s="1"/>
  <c r="C283" i="172"/>
  <c r="K283" i="172"/>
  <c r="L283" i="172" s="1"/>
  <c r="B280" i="172"/>
  <c r="K280" i="172"/>
  <c r="L280" i="172" s="1"/>
  <c r="K278" i="172"/>
  <c r="L278" i="172" s="1"/>
  <c r="C275" i="172"/>
  <c r="K275" i="172"/>
  <c r="L275" i="172" s="1"/>
  <c r="C269" i="172"/>
  <c r="K269" i="172"/>
  <c r="L269" i="172" s="1"/>
  <c r="V265" i="172"/>
  <c r="C265" i="172"/>
  <c r="K265" i="172"/>
  <c r="L265" i="172" s="1"/>
  <c r="K264" i="172"/>
  <c r="L264" i="172" s="1"/>
  <c r="C257" i="172"/>
  <c r="K257" i="172"/>
  <c r="L257" i="172" s="1"/>
  <c r="C255" i="172"/>
  <c r="K255" i="172"/>
  <c r="L255" i="172" s="1"/>
  <c r="B252" i="172"/>
  <c r="K252" i="172"/>
  <c r="L252" i="172" s="1"/>
  <c r="C249" i="172"/>
  <c r="K249" i="172"/>
  <c r="L249" i="172" s="1"/>
  <c r="K246" i="172"/>
  <c r="L246" i="172" s="1"/>
  <c r="B244" i="172"/>
  <c r="K244" i="172"/>
  <c r="L244" i="172" s="1"/>
  <c r="C239" i="172"/>
  <c r="K239" i="172"/>
  <c r="L239" i="172" s="1"/>
  <c r="B236" i="172"/>
  <c r="K236" i="172"/>
  <c r="L236" i="172" s="1"/>
  <c r="B234" i="172"/>
  <c r="K234" i="172"/>
  <c r="L234" i="172" s="1"/>
  <c r="C229" i="172"/>
  <c r="K229" i="172"/>
  <c r="L229" i="172" s="1"/>
  <c r="K224" i="172"/>
  <c r="L224" i="172" s="1"/>
  <c r="K217" i="172"/>
  <c r="L217" i="172" s="1"/>
  <c r="C212" i="172"/>
  <c r="K212" i="172"/>
  <c r="L212" i="172" s="1"/>
  <c r="C210" i="172"/>
  <c r="K210" i="172"/>
  <c r="L210" i="172" s="1"/>
  <c r="K207" i="172"/>
  <c r="L207" i="172" s="1"/>
  <c r="K200" i="172"/>
  <c r="L200" i="172" s="1"/>
  <c r="K198" i="172"/>
  <c r="L198" i="172" s="1"/>
  <c r="C196" i="172"/>
  <c r="K196" i="172"/>
  <c r="L196" i="172" s="1"/>
  <c r="K185" i="172"/>
  <c r="L185" i="172" s="1"/>
  <c r="K172" i="172"/>
  <c r="L172" i="172" s="1"/>
  <c r="K159" i="172"/>
  <c r="L159" i="172" s="1"/>
  <c r="K157" i="172"/>
  <c r="L157" i="172" s="1"/>
  <c r="B153" i="172"/>
  <c r="K153" i="172"/>
  <c r="L153" i="172" s="1"/>
  <c r="C151" i="172"/>
  <c r="K151" i="172"/>
  <c r="L151" i="172" s="1"/>
  <c r="U149" i="172"/>
  <c r="C141" i="172"/>
  <c r="K141" i="172"/>
  <c r="L141" i="172" s="1"/>
  <c r="C137" i="172"/>
  <c r="K137" i="172"/>
  <c r="L137" i="172" s="1"/>
  <c r="B135" i="172"/>
  <c r="K135" i="172"/>
  <c r="L135" i="172" s="1"/>
  <c r="C103" i="172"/>
  <c r="K103" i="172"/>
  <c r="L103" i="172" s="1"/>
  <c r="C77" i="172"/>
  <c r="K77" i="172"/>
  <c r="L77" i="172" s="1"/>
  <c r="B62" i="172"/>
  <c r="K62" i="172"/>
  <c r="L62" i="172" s="1"/>
  <c r="B42" i="172"/>
  <c r="B39" i="172"/>
  <c r="B37" i="172"/>
  <c r="K972" i="172"/>
  <c r="L972" i="172" s="1"/>
  <c r="C966" i="172"/>
  <c r="K966" i="172"/>
  <c r="L966" i="172" s="1"/>
  <c r="C964" i="172"/>
  <c r="K964" i="172"/>
  <c r="L964" i="172" s="1"/>
  <c r="K958" i="172"/>
  <c r="L958" i="172" s="1"/>
  <c r="C956" i="172"/>
  <c r="K956" i="172"/>
  <c r="L956" i="172" s="1"/>
  <c r="K949" i="172"/>
  <c r="L949" i="172" s="1"/>
  <c r="K925" i="172"/>
  <c r="L925" i="172" s="1"/>
  <c r="K921" i="172"/>
  <c r="L921" i="172" s="1"/>
  <c r="B907" i="172"/>
  <c r="K907" i="172"/>
  <c r="L907" i="172" s="1"/>
  <c r="K902" i="172"/>
  <c r="L902" i="172" s="1"/>
  <c r="C897" i="172"/>
  <c r="K897" i="172"/>
  <c r="L897" i="172" s="1"/>
  <c r="C895" i="172"/>
  <c r="K895" i="172"/>
  <c r="L895" i="172" s="1"/>
  <c r="C888" i="172"/>
  <c r="K888" i="172"/>
  <c r="L888" i="172" s="1"/>
  <c r="C886" i="172"/>
  <c r="K886" i="172"/>
  <c r="L886" i="172" s="1"/>
  <c r="C881" i="172"/>
  <c r="K881" i="172"/>
  <c r="L881" i="172" s="1"/>
  <c r="C876" i="172"/>
  <c r="K876" i="172"/>
  <c r="L876" i="172" s="1"/>
  <c r="C874" i="172"/>
  <c r="K874" i="172"/>
  <c r="L874" i="172" s="1"/>
  <c r="C869" i="172"/>
  <c r="K869" i="172"/>
  <c r="L869" i="172" s="1"/>
  <c r="C867" i="172"/>
  <c r="K867" i="172"/>
  <c r="L867" i="172" s="1"/>
  <c r="C864" i="172"/>
  <c r="K864" i="172"/>
  <c r="L864" i="172" s="1"/>
  <c r="C862" i="172"/>
  <c r="K862" i="172"/>
  <c r="L862" i="172" s="1"/>
  <c r="C857" i="172"/>
  <c r="K857" i="172"/>
  <c r="L857" i="172" s="1"/>
  <c r="C855" i="172"/>
  <c r="K855" i="172"/>
  <c r="L855" i="172" s="1"/>
  <c r="C848" i="172"/>
  <c r="K848" i="172"/>
  <c r="L848" i="172" s="1"/>
  <c r="C845" i="172"/>
  <c r="K845" i="172"/>
  <c r="L845" i="172" s="1"/>
  <c r="C843" i="172"/>
  <c r="K843" i="172"/>
  <c r="L843" i="172" s="1"/>
  <c r="C840" i="172"/>
  <c r="K840" i="172"/>
  <c r="L840" i="172" s="1"/>
  <c r="C838" i="172"/>
  <c r="K838" i="172"/>
  <c r="L838" i="172" s="1"/>
  <c r="C833" i="172"/>
  <c r="K833" i="172"/>
  <c r="L833" i="172" s="1"/>
  <c r="C831" i="172"/>
  <c r="K831" i="172"/>
  <c r="L831" i="172" s="1"/>
  <c r="C826" i="172"/>
  <c r="K826" i="172"/>
  <c r="L826" i="172" s="1"/>
  <c r="C824" i="172"/>
  <c r="K824" i="172"/>
  <c r="L824" i="172" s="1"/>
  <c r="C822" i="172"/>
  <c r="K822" i="172"/>
  <c r="L822" i="172" s="1"/>
  <c r="C820" i="172"/>
  <c r="K820" i="172"/>
  <c r="L820" i="172" s="1"/>
  <c r="C811" i="172"/>
  <c r="K811" i="172"/>
  <c r="L811" i="172" s="1"/>
  <c r="C809" i="172"/>
  <c r="K809" i="172"/>
  <c r="L809" i="172" s="1"/>
  <c r="K807" i="172"/>
  <c r="L807" i="172" s="1"/>
  <c r="K803" i="172"/>
  <c r="L803" i="172" s="1"/>
  <c r="K792" i="172"/>
  <c r="L792" i="172" s="1"/>
  <c r="K790" i="172"/>
  <c r="L790" i="172" s="1"/>
  <c r="K786" i="172"/>
  <c r="L786" i="172" s="1"/>
  <c r="K781" i="172"/>
  <c r="L781" i="172" s="1"/>
  <c r="B742" i="172"/>
  <c r="K742" i="172"/>
  <c r="L742" i="172" s="1"/>
  <c r="B728" i="172"/>
  <c r="K728" i="172"/>
  <c r="L728" i="172" s="1"/>
  <c r="B726" i="172"/>
  <c r="K726" i="172"/>
  <c r="L726" i="172" s="1"/>
  <c r="R713" i="172"/>
  <c r="K713" i="172"/>
  <c r="L713" i="172" s="1"/>
  <c r="K702" i="172"/>
  <c r="L702" i="172" s="1"/>
  <c r="K698" i="172"/>
  <c r="L698" i="172" s="1"/>
  <c r="K686" i="172"/>
  <c r="L686" i="172" s="1"/>
  <c r="K682" i="172"/>
  <c r="L682" i="172" s="1"/>
  <c r="K673" i="172"/>
  <c r="L673" i="172" s="1"/>
  <c r="K666" i="172"/>
  <c r="L666" i="172" s="1"/>
  <c r="K662" i="172"/>
  <c r="L662" i="172" s="1"/>
  <c r="K637" i="172"/>
  <c r="L637" i="172" s="1"/>
  <c r="C634" i="172"/>
  <c r="K634" i="172"/>
  <c r="L634" i="172" s="1"/>
  <c r="C625" i="172"/>
  <c r="K625" i="172"/>
  <c r="L625" i="172" s="1"/>
  <c r="C610" i="172"/>
  <c r="K610" i="172"/>
  <c r="L610" i="172" s="1"/>
  <c r="C608" i="172"/>
  <c r="K608" i="172"/>
  <c r="L608" i="172" s="1"/>
  <c r="C606" i="172"/>
  <c r="K606" i="172"/>
  <c r="L606" i="172" s="1"/>
  <c r="C597" i="172"/>
  <c r="K597" i="172"/>
  <c r="L597" i="172" s="1"/>
  <c r="C585" i="172"/>
  <c r="K585" i="172"/>
  <c r="L585" i="172" s="1"/>
  <c r="B583" i="172"/>
  <c r="K583" i="172"/>
  <c r="L583" i="172" s="1"/>
  <c r="C581" i="172"/>
  <c r="K581" i="172"/>
  <c r="L581" i="172" s="1"/>
  <c r="C578" i="172"/>
  <c r="K578" i="172"/>
  <c r="L578" i="172" s="1"/>
  <c r="C567" i="172"/>
  <c r="K567" i="172"/>
  <c r="L567" i="172" s="1"/>
  <c r="C562" i="172"/>
  <c r="K562" i="172"/>
  <c r="L562" i="172" s="1"/>
  <c r="K557" i="172"/>
  <c r="L557" i="172" s="1"/>
  <c r="K555" i="172"/>
  <c r="L555" i="172" s="1"/>
  <c r="K553" i="172"/>
  <c r="L553" i="172" s="1"/>
  <c r="B548" i="172"/>
  <c r="K548" i="172"/>
  <c r="L548" i="172" s="1"/>
  <c r="B546" i="172"/>
  <c r="K546" i="172"/>
  <c r="L546" i="172" s="1"/>
  <c r="B544" i="172"/>
  <c r="K544" i="172"/>
  <c r="L544" i="172" s="1"/>
  <c r="K539" i="172"/>
  <c r="L539" i="172" s="1"/>
  <c r="K537" i="172"/>
  <c r="L537" i="172" s="1"/>
  <c r="K535" i="172"/>
  <c r="L535" i="172" s="1"/>
  <c r="B528" i="172"/>
  <c r="K528" i="172"/>
  <c r="L528" i="172" s="1"/>
  <c r="B526" i="172"/>
  <c r="K526" i="172"/>
  <c r="L526" i="172" s="1"/>
  <c r="K517" i="172"/>
  <c r="L517" i="172" s="1"/>
  <c r="B512" i="172"/>
  <c r="K512" i="172"/>
  <c r="L512" i="172" s="1"/>
  <c r="K507" i="172"/>
  <c r="L507" i="172" s="1"/>
  <c r="B504" i="172"/>
  <c r="K504" i="172"/>
  <c r="L504" i="172" s="1"/>
  <c r="B502" i="172"/>
  <c r="K502" i="172"/>
  <c r="L502" i="172" s="1"/>
  <c r="C500" i="172"/>
  <c r="K500" i="172"/>
  <c r="L500" i="172" s="1"/>
  <c r="K493" i="172"/>
  <c r="L493" i="172" s="1"/>
  <c r="K491" i="172"/>
  <c r="L491" i="172" s="1"/>
  <c r="K489" i="172"/>
  <c r="L489" i="172" s="1"/>
  <c r="B485" i="172"/>
  <c r="K485" i="172"/>
  <c r="L485" i="172" s="1"/>
  <c r="K482" i="172"/>
  <c r="L482" i="172" s="1"/>
  <c r="C467" i="172"/>
  <c r="K467" i="172"/>
  <c r="L467" i="172" s="1"/>
  <c r="C463" i="172"/>
  <c r="K463" i="172"/>
  <c r="L463" i="172" s="1"/>
  <c r="K458" i="172"/>
  <c r="L458" i="172" s="1"/>
  <c r="K454" i="172"/>
  <c r="L454" i="172" s="1"/>
  <c r="C451" i="172"/>
  <c r="K451" i="172"/>
  <c r="L451" i="172" s="1"/>
  <c r="T443" i="172"/>
  <c r="B443" i="172"/>
  <c r="K443" i="172"/>
  <c r="L443" i="172" s="1"/>
  <c r="K439" i="172"/>
  <c r="L439" i="172" s="1"/>
  <c r="U437" i="172"/>
  <c r="R423" i="172"/>
  <c r="K423" i="172"/>
  <c r="L423" i="172" s="1"/>
  <c r="B413" i="172"/>
  <c r="K413" i="172"/>
  <c r="L413" i="172" s="1"/>
  <c r="B381" i="172"/>
  <c r="K381" i="172"/>
  <c r="L381" i="172" s="1"/>
  <c r="K347" i="172"/>
  <c r="L347" i="172" s="1"/>
  <c r="C342" i="172"/>
  <c r="K342" i="172"/>
  <c r="L342" i="172" s="1"/>
  <c r="C337" i="172"/>
  <c r="K337" i="172"/>
  <c r="L337" i="172" s="1"/>
  <c r="K330" i="172"/>
  <c r="L330" i="172" s="1"/>
  <c r="C323" i="172"/>
  <c r="K323" i="172"/>
  <c r="L323" i="172" s="1"/>
  <c r="K313" i="172"/>
  <c r="L313" i="172" s="1"/>
  <c r="K311" i="172"/>
  <c r="L311" i="172" s="1"/>
  <c r="K306" i="172"/>
  <c r="L306" i="172" s="1"/>
  <c r="K301" i="172"/>
  <c r="L301" i="172" s="1"/>
  <c r="K298" i="172"/>
  <c r="L298" i="172" s="1"/>
  <c r="K296" i="172"/>
  <c r="L296" i="172" s="1"/>
  <c r="C291" i="172"/>
  <c r="K291" i="172"/>
  <c r="L291" i="172" s="1"/>
  <c r="C289" i="172"/>
  <c r="K289" i="172"/>
  <c r="L289" i="172" s="1"/>
  <c r="C287" i="172"/>
  <c r="K287" i="172"/>
  <c r="L287" i="172" s="1"/>
  <c r="C281" i="172"/>
  <c r="K281" i="172"/>
  <c r="L281" i="172" s="1"/>
  <c r="C273" i="172"/>
  <c r="K273" i="172"/>
  <c r="L273" i="172" s="1"/>
  <c r="C272" i="172"/>
  <c r="K272" i="172"/>
  <c r="L272" i="172" s="1"/>
  <c r="K270" i="172"/>
  <c r="L270" i="172" s="1"/>
  <c r="C267" i="172"/>
  <c r="K267" i="172"/>
  <c r="L267" i="172" s="1"/>
  <c r="U265" i="172"/>
  <c r="B260" i="172"/>
  <c r="K260" i="172"/>
  <c r="L260" i="172" s="1"/>
  <c r="C253" i="172"/>
  <c r="K253" i="172"/>
  <c r="L253" i="172" s="1"/>
  <c r="C242" i="172"/>
  <c r="K242" i="172"/>
  <c r="L242" i="172" s="1"/>
  <c r="C232" i="172"/>
  <c r="K232" i="172"/>
  <c r="L232" i="172" s="1"/>
  <c r="K227" i="172"/>
  <c r="L227" i="172" s="1"/>
  <c r="K203" i="172"/>
  <c r="L203" i="172" s="1"/>
  <c r="K192" i="172"/>
  <c r="L192" i="172" s="1"/>
  <c r="R188" i="172"/>
  <c r="K188" i="172"/>
  <c r="L188" i="172" s="1"/>
  <c r="K177" i="172"/>
  <c r="L177" i="172" s="1"/>
  <c r="B165" i="172"/>
  <c r="K165" i="172"/>
  <c r="L165" i="172" s="1"/>
  <c r="K148" i="172"/>
  <c r="L148" i="172" s="1"/>
  <c r="K144" i="172"/>
  <c r="L144" i="172" s="1"/>
  <c r="C99" i="172"/>
  <c r="K99" i="172"/>
  <c r="L99" i="172" s="1"/>
  <c r="C84" i="172"/>
  <c r="K84" i="172"/>
  <c r="L84" i="172" s="1"/>
  <c r="C82" i="172"/>
  <c r="K82" i="172"/>
  <c r="L82" i="172" s="1"/>
  <c r="C75" i="172"/>
  <c r="K75" i="172"/>
  <c r="L75" i="172" s="1"/>
  <c r="C73" i="172"/>
  <c r="K73" i="172"/>
  <c r="L73" i="172" s="1"/>
  <c r="C68" i="172"/>
  <c r="K68" i="172"/>
  <c r="L68" i="172" s="1"/>
  <c r="B60" i="172"/>
  <c r="K60" i="172"/>
  <c r="L60" i="172" s="1"/>
  <c r="B58" i="172"/>
  <c r="B51" i="172"/>
  <c r="B46" i="172"/>
  <c r="B40" i="172"/>
  <c r="B35" i="172"/>
  <c r="B26" i="172"/>
  <c r="B23" i="172"/>
  <c r="B6" i="172"/>
  <c r="S992" i="172"/>
  <c r="S976" i="172"/>
  <c r="S960" i="172"/>
  <c r="T922" i="172"/>
  <c r="U893" i="172"/>
  <c r="S874" i="172"/>
  <c r="S810" i="172"/>
  <c r="T414" i="172"/>
  <c r="T58" i="172"/>
  <c r="V38" i="172"/>
  <c r="T579" i="172"/>
  <c r="U399" i="172"/>
  <c r="O317" i="172"/>
  <c r="O252" i="172"/>
  <c r="U175" i="172"/>
  <c r="U837" i="172"/>
  <c r="U813" i="172"/>
  <c r="T646" i="172"/>
  <c r="S609" i="172"/>
  <c r="T475" i="172"/>
  <c r="T404" i="172"/>
  <c r="T382" i="172"/>
  <c r="T339" i="172"/>
  <c r="S290" i="172"/>
  <c r="U227" i="172"/>
  <c r="T145" i="172"/>
  <c r="S107" i="172"/>
  <c r="U73" i="172"/>
  <c r="S25" i="172"/>
  <c r="T940" i="172"/>
  <c r="S850" i="172"/>
  <c r="S834" i="172"/>
  <c r="S824" i="172"/>
  <c r="S777" i="172"/>
  <c r="T419" i="172"/>
  <c r="S296" i="172"/>
  <c r="T267" i="172"/>
  <c r="S37" i="172"/>
  <c r="T34" i="172"/>
  <c r="U28" i="172"/>
  <c r="C234" i="172"/>
  <c r="U58" i="172"/>
  <c r="U37" i="172"/>
  <c r="V25" i="172"/>
  <c r="T916" i="172"/>
  <c r="S868" i="172"/>
  <c r="U865" i="172"/>
  <c r="T642" i="172"/>
  <c r="V628" i="172"/>
  <c r="S587" i="172"/>
  <c r="S457" i="172"/>
  <c r="T356" i="172"/>
  <c r="T259" i="172"/>
  <c r="S256" i="172"/>
  <c r="T249" i="172"/>
  <c r="T241" i="172"/>
  <c r="S51" i="172"/>
  <c r="T48" i="172"/>
  <c r="R985" i="172"/>
  <c r="R977" i="172"/>
  <c r="O635" i="172"/>
  <c r="B613" i="172"/>
  <c r="C471" i="172"/>
  <c r="O415" i="172"/>
  <c r="O383" i="172"/>
  <c r="V367" i="172"/>
  <c r="S320" i="172"/>
  <c r="C320" i="172"/>
  <c r="V267" i="172"/>
  <c r="V956" i="172"/>
  <c r="T930" i="172"/>
  <c r="S906" i="172"/>
  <c r="S898" i="172"/>
  <c r="S816" i="172"/>
  <c r="S808" i="172"/>
  <c r="U789" i="172"/>
  <c r="S569" i="172"/>
  <c r="T415" i="172"/>
  <c r="S405" i="172"/>
  <c r="S334" i="172"/>
  <c r="T243" i="172"/>
  <c r="S99" i="172"/>
  <c r="U421" i="172"/>
  <c r="U420" i="172"/>
  <c r="V375" i="172"/>
  <c r="U367" i="172"/>
  <c r="R348" i="172"/>
  <c r="V334" i="172"/>
  <c r="O308" i="172"/>
  <c r="O292" i="172"/>
  <c r="U273" i="172"/>
  <c r="V257" i="172"/>
  <c r="O244" i="172"/>
  <c r="V241" i="172"/>
  <c r="O236" i="172"/>
  <c r="V163" i="172"/>
  <c r="V63" i="172"/>
  <c r="T944" i="172"/>
  <c r="S862" i="172"/>
  <c r="S856" i="172"/>
  <c r="V621" i="172"/>
  <c r="T578" i="172"/>
  <c r="T260" i="172"/>
  <c r="T257" i="172"/>
  <c r="B977" i="172"/>
  <c r="O757" i="172"/>
  <c r="C479" i="172"/>
  <c r="O427" i="172"/>
  <c r="O419" i="172"/>
  <c r="O403" i="172"/>
  <c r="O371" i="172"/>
  <c r="U334" i="172"/>
  <c r="O276" i="172"/>
  <c r="V259" i="172"/>
  <c r="U257" i="172"/>
  <c r="U241" i="172"/>
  <c r="O207" i="172"/>
  <c r="O143" i="172"/>
  <c r="S990" i="172"/>
  <c r="T928" i="172"/>
  <c r="S886" i="172"/>
  <c r="U849" i="172"/>
  <c r="T748" i="172"/>
  <c r="S641" i="172"/>
  <c r="T606" i="172"/>
  <c r="T601" i="172"/>
  <c r="V500" i="172"/>
  <c r="S485" i="172"/>
  <c r="T464" i="172"/>
  <c r="S445" i="172"/>
  <c r="S389" i="172"/>
  <c r="T388" i="172"/>
  <c r="T387" i="172"/>
  <c r="S379" i="172"/>
  <c r="T341" i="172"/>
  <c r="T297" i="172"/>
  <c r="S288" i="172"/>
  <c r="T245" i="172"/>
  <c r="S119" i="172"/>
  <c r="S45" i="172"/>
  <c r="R951" i="172"/>
  <c r="O752" i="172"/>
  <c r="O726" i="172"/>
  <c r="O619" i="172"/>
  <c r="O603" i="172"/>
  <c r="V587" i="172"/>
  <c r="U457" i="172"/>
  <c r="C457" i="172"/>
  <c r="O435" i="172"/>
  <c r="U363" i="172"/>
  <c r="V328" i="172"/>
  <c r="O301" i="172"/>
  <c r="O277" i="172"/>
  <c r="U272" i="172"/>
  <c r="V249" i="172"/>
  <c r="S984" i="172"/>
  <c r="U757" i="172"/>
  <c r="T622" i="172"/>
  <c r="T372" i="172"/>
  <c r="V363" i="172"/>
  <c r="S349" i="172"/>
  <c r="T301" i="172"/>
  <c r="T287" i="172"/>
  <c r="U286" i="172"/>
  <c r="T277" i="172"/>
  <c r="V272" i="172"/>
  <c r="U202" i="172"/>
  <c r="T54" i="172"/>
  <c r="T22" i="172"/>
  <c r="S13" i="172"/>
  <c r="B985" i="172"/>
  <c r="B963" i="172"/>
  <c r="O887" i="172"/>
  <c r="T587" i="172"/>
  <c r="T483" i="172"/>
  <c r="T457" i="172"/>
  <c r="U451" i="172"/>
  <c r="U443" i="172"/>
  <c r="O443" i="172"/>
  <c r="V423" i="172"/>
  <c r="B403" i="172"/>
  <c r="V396" i="172"/>
  <c r="C379" i="172"/>
  <c r="S363" i="172"/>
  <c r="C363" i="172"/>
  <c r="B342" i="172"/>
  <c r="C298" i="172"/>
  <c r="O290" i="172"/>
  <c r="U284" i="172"/>
  <c r="V283" i="172"/>
  <c r="S272" i="172"/>
  <c r="B272" i="172"/>
  <c r="O268" i="172"/>
  <c r="U252" i="172"/>
  <c r="V251" i="172"/>
  <c r="U249" i="172"/>
  <c r="C187" i="172"/>
  <c r="U145" i="172"/>
  <c r="O98" i="172"/>
  <c r="O95" i="172"/>
  <c r="T997" i="172"/>
  <c r="T938" i="172"/>
  <c r="T918" i="172"/>
  <c r="T910" i="172"/>
  <c r="U904" i="172"/>
  <c r="S872" i="172"/>
  <c r="S852" i="172"/>
  <c r="U825" i="172"/>
  <c r="S820" i="172"/>
  <c r="T732" i="172"/>
  <c r="S571" i="172"/>
  <c r="S567" i="172"/>
  <c r="T416" i="172"/>
  <c r="U407" i="172"/>
  <c r="T368" i="172"/>
  <c r="T366" i="172"/>
  <c r="S357" i="172"/>
  <c r="T311" i="172"/>
  <c r="T289" i="172"/>
  <c r="U116" i="172"/>
  <c r="T18" i="172"/>
  <c r="S17" i="172"/>
  <c r="O816" i="172"/>
  <c r="O756" i="172"/>
  <c r="O728" i="172"/>
  <c r="O573" i="172"/>
  <c r="V567" i="172"/>
  <c r="U485" i="172"/>
  <c r="U445" i="172"/>
  <c r="V407" i="172"/>
  <c r="U389" i="172"/>
  <c r="U388" i="172"/>
  <c r="U373" i="172"/>
  <c r="U372" i="172"/>
  <c r="C347" i="172"/>
  <c r="O316" i="172"/>
  <c r="O291" i="172"/>
  <c r="T288" i="172"/>
  <c r="O260" i="172"/>
  <c r="B210" i="172"/>
  <c r="V202" i="172"/>
  <c r="O201" i="172"/>
  <c r="U18" i="172"/>
  <c r="U17" i="172"/>
  <c r="T13" i="172"/>
  <c r="O181" i="172"/>
  <c r="O639" i="172"/>
  <c r="O637" i="172"/>
  <c r="O648" i="172"/>
  <c r="O625" i="172"/>
  <c r="V610" i="172"/>
  <c r="V609" i="172"/>
  <c r="U483" i="172"/>
  <c r="O477" i="172"/>
  <c r="V475" i="172"/>
  <c r="S451" i="172"/>
  <c r="O431" i="172"/>
  <c r="O420" i="172"/>
  <c r="U405" i="172"/>
  <c r="U404" i="172"/>
  <c r="T379" i="172"/>
  <c r="U276" i="172"/>
  <c r="V275" i="172"/>
  <c r="O211" i="172"/>
  <c r="U193" i="172"/>
  <c r="S994" i="172"/>
  <c r="T942" i="172"/>
  <c r="T1000" i="172"/>
  <c r="O895" i="172"/>
  <c r="O856" i="172"/>
  <c r="O851" i="172"/>
  <c r="O839" i="172"/>
  <c r="O815" i="172"/>
  <c r="O788" i="172"/>
  <c r="O787" i="172"/>
  <c r="O764" i="172"/>
  <c r="O447" i="172"/>
  <c r="O337" i="172"/>
  <c r="V297" i="172"/>
  <c r="V289" i="172"/>
  <c r="U268" i="172"/>
  <c r="T252" i="172"/>
  <c r="T234" i="172"/>
  <c r="O190" i="172"/>
  <c r="O176" i="172"/>
  <c r="O173" i="172"/>
  <c r="O157" i="172"/>
  <c r="O71" i="172"/>
  <c r="U56" i="172"/>
  <c r="U52" i="172"/>
  <c r="V51" i="172"/>
  <c r="V45" i="172"/>
  <c r="O43" i="172"/>
  <c r="T25" i="172"/>
  <c r="O9" i="172"/>
  <c r="O423" i="172"/>
  <c r="V364" i="172"/>
  <c r="U312" i="172"/>
  <c r="O309" i="172"/>
  <c r="O298" i="172"/>
  <c r="U297" i="172"/>
  <c r="V296" i="172"/>
  <c r="O293" i="172"/>
  <c r="U289" i="172"/>
  <c r="V288" i="172"/>
  <c r="U244" i="172"/>
  <c r="O237" i="172"/>
  <c r="S234" i="172"/>
  <c r="S982" i="172"/>
  <c r="S1000" i="172"/>
  <c r="O880" i="172"/>
  <c r="O857" i="172"/>
  <c r="O830" i="172"/>
  <c r="O796" i="172"/>
  <c r="O607" i="172"/>
  <c r="T451" i="172"/>
  <c r="O411" i="172"/>
  <c r="O407" i="172"/>
  <c r="U396" i="172"/>
  <c r="V395" i="172"/>
  <c r="O388" i="172"/>
  <c r="U380" i="172"/>
  <c r="V379" i="172"/>
  <c r="O375" i="172"/>
  <c r="U364" i="172"/>
  <c r="O359" i="172"/>
  <c r="U357" i="172"/>
  <c r="U356" i="172"/>
  <c r="O355" i="172"/>
  <c r="U311" i="172"/>
  <c r="T296" i="172"/>
  <c r="V273" i="172"/>
  <c r="U260" i="172"/>
  <c r="T244" i="172"/>
  <c r="V243" i="172"/>
  <c r="U215" i="172"/>
  <c r="O189" i="172"/>
  <c r="O186" i="172"/>
  <c r="O183" i="172"/>
  <c r="V175" i="172"/>
  <c r="V165" i="172"/>
  <c r="T163" i="172"/>
  <c r="O80" i="172"/>
  <c r="O56" i="172"/>
  <c r="O52" i="172"/>
  <c r="V34" i="172"/>
  <c r="O25" i="172"/>
  <c r="C807" i="172"/>
  <c r="B579" i="172"/>
  <c r="R359" i="172"/>
  <c r="C334" i="172"/>
  <c r="C754" i="172"/>
  <c r="C753" i="172"/>
  <c r="C738" i="172"/>
  <c r="C737" i="172"/>
  <c r="C728" i="172"/>
  <c r="C726" i="172"/>
  <c r="R608" i="172"/>
  <c r="C481" i="172"/>
  <c r="C411" i="172"/>
  <c r="C312" i="172"/>
  <c r="C306" i="172"/>
  <c r="B304" i="172"/>
  <c r="C280" i="172"/>
  <c r="C908" i="172"/>
  <c r="R411" i="172"/>
  <c r="C336" i="172"/>
  <c r="C290" i="172"/>
  <c r="B288" i="172"/>
  <c r="R280" i="172"/>
  <c r="R175" i="172"/>
  <c r="C134" i="172"/>
  <c r="B1000" i="172"/>
  <c r="B965" i="172"/>
  <c r="R737" i="172"/>
  <c r="O908" i="172"/>
  <c r="O886" i="172"/>
  <c r="O870" i="172"/>
  <c r="O849" i="172"/>
  <c r="O825" i="172"/>
  <c r="O141" i="172"/>
  <c r="O102" i="172"/>
  <c r="O94" i="172"/>
  <c r="O88" i="172"/>
  <c r="O84" i="172"/>
  <c r="O881" i="172"/>
  <c r="O779" i="172"/>
  <c r="O605" i="172"/>
  <c r="O581" i="172"/>
  <c r="O191" i="172"/>
  <c r="O159" i="172"/>
  <c r="O130" i="172"/>
  <c r="O126" i="172"/>
  <c r="O105" i="172"/>
  <c r="O897" i="172"/>
  <c r="O879" i="172"/>
  <c r="O871" i="172"/>
  <c r="O862" i="172"/>
  <c r="O807" i="172"/>
  <c r="O621" i="172"/>
  <c r="O155" i="172"/>
  <c r="O106" i="172"/>
  <c r="S890" i="172"/>
  <c r="S844" i="172"/>
  <c r="U821" i="172"/>
  <c r="O997" i="172"/>
  <c r="V992" i="172"/>
  <c r="O896" i="172"/>
  <c r="O863" i="172"/>
  <c r="O847" i="172"/>
  <c r="O838" i="172"/>
  <c r="T773" i="172"/>
  <c r="U773" i="172"/>
  <c r="O742" i="172"/>
  <c r="O733" i="172"/>
  <c r="O719" i="172"/>
  <c r="O711" i="172"/>
  <c r="O703" i="172"/>
  <c r="O695" i="172"/>
  <c r="O687" i="172"/>
  <c r="O679" i="172"/>
  <c r="O671" i="172"/>
  <c r="O663" i="172"/>
  <c r="O655" i="172"/>
  <c r="O647" i="172"/>
  <c r="V645" i="172"/>
  <c r="O623" i="172"/>
  <c r="V595" i="172"/>
  <c r="T595" i="172"/>
  <c r="U563" i="172"/>
  <c r="T563" i="172"/>
  <c r="S443" i="172"/>
  <c r="V431" i="172"/>
  <c r="S428" i="172"/>
  <c r="U428" i="172"/>
  <c r="T427" i="172"/>
  <c r="S412" i="172"/>
  <c r="U412" i="172"/>
  <c r="T411" i="172"/>
  <c r="V403" i="172"/>
  <c r="U395" i="172"/>
  <c r="S391" i="172"/>
  <c r="V391" i="172"/>
  <c r="V336" i="172"/>
  <c r="U336" i="172"/>
  <c r="V304" i="172"/>
  <c r="S280" i="172"/>
  <c r="T280" i="172"/>
  <c r="S235" i="172"/>
  <c r="V235" i="172"/>
  <c r="T220" i="172"/>
  <c r="V220" i="172"/>
  <c r="S208" i="172"/>
  <c r="V208" i="172"/>
  <c r="O147" i="172"/>
  <c r="T932" i="172"/>
  <c r="S896" i="172"/>
  <c r="U857" i="172"/>
  <c r="S830" i="172"/>
  <c r="U803" i="172"/>
  <c r="S791" i="172"/>
  <c r="T638" i="172"/>
  <c r="S615" i="172"/>
  <c r="S613" i="172"/>
  <c r="U613" i="172"/>
  <c r="S453" i="172"/>
  <c r="U411" i="172"/>
  <c r="S397" i="172"/>
  <c r="S371" i="172"/>
  <c r="T371" i="172"/>
  <c r="U371" i="172"/>
  <c r="S365" i="172"/>
  <c r="S359" i="172"/>
  <c r="U359" i="172"/>
  <c r="V359" i="172"/>
  <c r="V327" i="172"/>
  <c r="T189" i="172"/>
  <c r="S151" i="172"/>
  <c r="U151" i="172"/>
  <c r="V151" i="172"/>
  <c r="U43" i="172"/>
  <c r="T43" i="172"/>
  <c r="O883" i="172"/>
  <c r="O848" i="172"/>
  <c r="O831" i="172"/>
  <c r="O824" i="172"/>
  <c r="O819" i="172"/>
  <c r="U793" i="172"/>
  <c r="O789" i="172"/>
  <c r="O750" i="172"/>
  <c r="U645" i="172"/>
  <c r="T613" i="172"/>
  <c r="O610" i="172"/>
  <c r="O609" i="172"/>
  <c r="V597" i="172"/>
  <c r="U597" i="172"/>
  <c r="S592" i="172"/>
  <c r="V592" i="172"/>
  <c r="O589" i="172"/>
  <c r="O571" i="172"/>
  <c r="T565" i="172"/>
  <c r="S477" i="172"/>
  <c r="V477" i="172"/>
  <c r="S447" i="172"/>
  <c r="V447" i="172"/>
  <c r="O428" i="172"/>
  <c r="S427" i="172"/>
  <c r="O412" i="172"/>
  <c r="S411" i="172"/>
  <c r="O391" i="172"/>
  <c r="S387" i="172"/>
  <c r="U387" i="172"/>
  <c r="S383" i="172"/>
  <c r="T383" i="172"/>
  <c r="U383" i="172"/>
  <c r="O380" i="172"/>
  <c r="V371" i="172"/>
  <c r="S355" i="172"/>
  <c r="T355" i="172"/>
  <c r="U355" i="172"/>
  <c r="O345" i="172"/>
  <c r="S316" i="172"/>
  <c r="V316" i="172"/>
  <c r="O315" i="172"/>
  <c r="O314" i="172"/>
  <c r="V312" i="172"/>
  <c r="S312" i="172"/>
  <c r="V308" i="172"/>
  <c r="O306" i="172"/>
  <c r="S305" i="172"/>
  <c r="V305" i="172"/>
  <c r="O300" i="172"/>
  <c r="V280" i="172"/>
  <c r="T264" i="172"/>
  <c r="U264" i="172"/>
  <c r="T256" i="172"/>
  <c r="U256" i="172"/>
  <c r="T248" i="172"/>
  <c r="U248" i="172"/>
  <c r="T240" i="172"/>
  <c r="U240" i="172"/>
  <c r="V236" i="172"/>
  <c r="T236" i="172"/>
  <c r="U236" i="172"/>
  <c r="S233" i="172"/>
  <c r="U233" i="172"/>
  <c r="V233" i="172"/>
  <c r="O79" i="172"/>
  <c r="O78" i="172"/>
  <c r="O75" i="172"/>
  <c r="O74" i="172"/>
  <c r="U9" i="172"/>
  <c r="V9" i="172"/>
  <c r="O8" i="172"/>
  <c r="T958" i="172"/>
  <c r="V952" i="172"/>
  <c r="T946" i="172"/>
  <c r="T924" i="172"/>
  <c r="T903" i="172"/>
  <c r="U881" i="172"/>
  <c r="S878" i="172"/>
  <c r="U817" i="172"/>
  <c r="T761" i="172"/>
  <c r="U761" i="172"/>
  <c r="T626" i="172"/>
  <c r="V620" i="172"/>
  <c r="S472" i="172"/>
  <c r="V472" i="172"/>
  <c r="S444" i="172"/>
  <c r="U444" i="172"/>
  <c r="T440" i="172"/>
  <c r="U427" i="172"/>
  <c r="S403" i="172"/>
  <c r="T403" i="172"/>
  <c r="S313" i="172"/>
  <c r="U313" i="172"/>
  <c r="V313" i="172"/>
  <c r="T303" i="172"/>
  <c r="S231" i="172"/>
  <c r="V231" i="172"/>
  <c r="U218" i="172"/>
  <c r="V218" i="172"/>
  <c r="S207" i="172"/>
  <c r="V207" i="172"/>
  <c r="U201" i="172"/>
  <c r="U143" i="172"/>
  <c r="V143" i="172"/>
  <c r="S133" i="172"/>
  <c r="O1000" i="172"/>
  <c r="U997" i="172"/>
  <c r="O899" i="172"/>
  <c r="O774" i="172"/>
  <c r="O642" i="172"/>
  <c r="O622" i="172"/>
  <c r="T593" i="172"/>
  <c r="V593" i="172"/>
  <c r="T481" i="172"/>
  <c r="U481" i="172"/>
  <c r="V479" i="172"/>
  <c r="U479" i="172"/>
  <c r="S471" i="172"/>
  <c r="V471" i="172"/>
  <c r="U453" i="172"/>
  <c r="V444" i="172"/>
  <c r="O439" i="172"/>
  <c r="S431" i="172"/>
  <c r="U431" i="172"/>
  <c r="S419" i="172"/>
  <c r="U419" i="172"/>
  <c r="S415" i="172"/>
  <c r="V415" i="172"/>
  <c r="O399" i="172"/>
  <c r="O395" i="172"/>
  <c r="O367" i="172"/>
  <c r="V324" i="172"/>
  <c r="U324" i="172"/>
  <c r="O323" i="172"/>
  <c r="O319" i="172"/>
  <c r="S304" i="172"/>
  <c r="T304" i="172"/>
  <c r="U303" i="172"/>
  <c r="S291" i="172"/>
  <c r="V291" i="172"/>
  <c r="V290" i="172"/>
  <c r="U290" i="172"/>
  <c r="V282" i="172"/>
  <c r="S282" i="172"/>
  <c r="T282" i="172"/>
  <c r="S281" i="172"/>
  <c r="V281" i="172"/>
  <c r="V274" i="172"/>
  <c r="T274" i="172"/>
  <c r="U274" i="172"/>
  <c r="V266" i="172"/>
  <c r="T266" i="172"/>
  <c r="U266" i="172"/>
  <c r="V258" i="172"/>
  <c r="T258" i="172"/>
  <c r="U258" i="172"/>
  <c r="V250" i="172"/>
  <c r="T250" i="172"/>
  <c r="U250" i="172"/>
  <c r="V242" i="172"/>
  <c r="T242" i="172"/>
  <c r="U242" i="172"/>
  <c r="T230" i="172"/>
  <c r="U230" i="172"/>
  <c r="T218" i="172"/>
  <c r="V212" i="172"/>
  <c r="U212" i="172"/>
  <c r="T143" i="172"/>
  <c r="T133" i="172"/>
  <c r="O123" i="172"/>
  <c r="O114" i="172"/>
  <c r="O111" i="172"/>
  <c r="O103" i="172"/>
  <c r="O97" i="172"/>
  <c r="O89" i="172"/>
  <c r="S24" i="172"/>
  <c r="V24" i="172"/>
  <c r="O18" i="172"/>
  <c r="O13" i="172"/>
  <c r="O167" i="172"/>
  <c r="O153" i="172"/>
  <c r="O134" i="172"/>
  <c r="O132" i="172"/>
  <c r="O128" i="172"/>
  <c r="O124" i="172"/>
  <c r="O121" i="172"/>
  <c r="O112" i="172"/>
  <c r="O104" i="172"/>
  <c r="O90" i="172"/>
  <c r="O817" i="172"/>
  <c r="O814" i="172"/>
  <c r="O786" i="172"/>
  <c r="O755" i="172"/>
  <c r="O754" i="172"/>
  <c r="O753" i="172"/>
  <c r="O738" i="172"/>
  <c r="O737" i="172"/>
  <c r="O723" i="172"/>
  <c r="O715" i="172"/>
  <c r="O707" i="172"/>
  <c r="O699" i="172"/>
  <c r="O691" i="172"/>
  <c r="O683" i="172"/>
  <c r="O675" i="172"/>
  <c r="O667" i="172"/>
  <c r="O659" i="172"/>
  <c r="O641" i="172"/>
  <c r="O436" i="172"/>
  <c r="O404" i="172"/>
  <c r="O396" i="172"/>
  <c r="O387" i="172"/>
  <c r="O379" i="172"/>
  <c r="O372" i="172"/>
  <c r="O364" i="172"/>
  <c r="O363" i="172"/>
  <c r="O356" i="172"/>
  <c r="O336" i="172"/>
  <c r="O285" i="172"/>
  <c r="O284" i="172"/>
  <c r="O269" i="172"/>
  <c r="O261" i="172"/>
  <c r="O253" i="172"/>
  <c r="O245" i="172"/>
  <c r="U234" i="172"/>
  <c r="O199" i="172"/>
  <c r="O110" i="172"/>
  <c r="O96" i="172"/>
  <c r="O87" i="172"/>
  <c r="O58" i="172"/>
  <c r="O12" i="172"/>
  <c r="C779" i="172"/>
  <c r="C719" i="172"/>
  <c r="R687" i="172"/>
  <c r="C687" i="172"/>
  <c r="C679" i="172"/>
  <c r="C671" i="172"/>
  <c r="C663" i="172"/>
  <c r="C655" i="172"/>
  <c r="B645" i="172"/>
  <c r="B623" i="172"/>
  <c r="C623" i="172"/>
  <c r="C617" i="172"/>
  <c r="B617" i="172"/>
  <c r="B607" i="172"/>
  <c r="C607" i="172"/>
  <c r="R607" i="172"/>
  <c r="B483" i="172"/>
  <c r="C483" i="172"/>
  <c r="B461" i="172"/>
  <c r="B284" i="172"/>
  <c r="C193" i="172"/>
  <c r="B193" i="172"/>
  <c r="C733" i="172"/>
  <c r="B587" i="172"/>
  <c r="C375" i="172"/>
  <c r="R375" i="172"/>
  <c r="C155" i="172"/>
  <c r="B155" i="172"/>
  <c r="B14" i="172"/>
  <c r="C711" i="172"/>
  <c r="C703" i="172"/>
  <c r="C695" i="172"/>
  <c r="R979" i="172"/>
  <c r="C969" i="172"/>
  <c r="B969" i="172"/>
  <c r="C723" i="172"/>
  <c r="C715" i="172"/>
  <c r="C707" i="172"/>
  <c r="C699" i="172"/>
  <c r="C691" i="172"/>
  <c r="R683" i="172"/>
  <c r="C683" i="172"/>
  <c r="C675" i="172"/>
  <c r="C667" i="172"/>
  <c r="R659" i="172"/>
  <c r="C659" i="172"/>
  <c r="B639" i="172"/>
  <c r="C639" i="172"/>
  <c r="B621" i="172"/>
  <c r="C621" i="172"/>
  <c r="C419" i="172"/>
  <c r="B419" i="172"/>
  <c r="R221" i="172"/>
  <c r="C201" i="172"/>
  <c r="R201" i="172"/>
  <c r="C968" i="172"/>
  <c r="C991" i="172"/>
  <c r="B991" i="172"/>
  <c r="C973" i="172"/>
  <c r="B973" i="172"/>
  <c r="C970" i="172"/>
  <c r="C645" i="172"/>
  <c r="R574" i="172"/>
  <c r="C328" i="172"/>
  <c r="B328" i="172"/>
  <c r="B395" i="172"/>
  <c r="C395" i="172"/>
  <c r="C391" i="172"/>
  <c r="C333" i="172"/>
  <c r="C316" i="172"/>
  <c r="B276" i="172"/>
  <c r="C226" i="172"/>
  <c r="B181" i="172"/>
  <c r="C181" i="172"/>
  <c r="C179" i="172"/>
  <c r="B137" i="172"/>
  <c r="B15" i="172"/>
  <c r="R316" i="172"/>
  <c r="C294" i="172"/>
  <c r="B294" i="172"/>
  <c r="C189" i="172"/>
  <c r="C435" i="172"/>
  <c r="C355" i="172"/>
  <c r="B355" i="172"/>
  <c r="C319" i="172"/>
  <c r="B282" i="172"/>
  <c r="C282" i="172"/>
  <c r="B57" i="172"/>
  <c r="R562" i="172"/>
  <c r="R447" i="172"/>
  <c r="C387" i="172"/>
  <c r="B387" i="172"/>
  <c r="C325" i="172"/>
  <c r="B314" i="172"/>
  <c r="B296" i="172"/>
  <c r="R296" i="172"/>
  <c r="C296" i="172"/>
  <c r="B274" i="172"/>
  <c r="C274" i="172"/>
  <c r="B266" i="172"/>
  <c r="B264" i="172"/>
  <c r="R264" i="172"/>
  <c r="C264" i="172"/>
  <c r="B258" i="172"/>
  <c r="B256" i="172"/>
  <c r="C256" i="172"/>
  <c r="B250" i="172"/>
  <c r="B248" i="172"/>
  <c r="C248" i="172"/>
  <c r="B242" i="172"/>
  <c r="B240" i="172"/>
  <c r="C240" i="172"/>
  <c r="C204" i="172"/>
  <c r="B59" i="172"/>
  <c r="B30" i="172"/>
  <c r="B175" i="172"/>
  <c r="B173" i="172"/>
  <c r="C153" i="172"/>
  <c r="V998" i="172"/>
  <c r="S998" i="172"/>
  <c r="T998" i="172"/>
  <c r="U988" i="172"/>
  <c r="V988" i="172"/>
  <c r="S870" i="172"/>
  <c r="B730" i="172"/>
  <c r="C601" i="172"/>
  <c r="B601" i="172"/>
  <c r="V581" i="172"/>
  <c r="S581" i="172"/>
  <c r="T581" i="172"/>
  <c r="U581" i="172"/>
  <c r="V564" i="172"/>
  <c r="S501" i="172"/>
  <c r="C987" i="172"/>
  <c r="B987" i="172"/>
  <c r="C962" i="172"/>
  <c r="T585" i="172"/>
  <c r="U585" i="172"/>
  <c r="V585" i="172"/>
  <c r="T577" i="172"/>
  <c r="S577" i="172"/>
  <c r="V577" i="172"/>
  <c r="S999" i="172"/>
  <c r="U999" i="172"/>
  <c r="V999" i="172"/>
  <c r="S988" i="172"/>
  <c r="S888" i="172"/>
  <c r="S832" i="172"/>
  <c r="C795" i="172"/>
  <c r="S759" i="172"/>
  <c r="C749" i="172"/>
  <c r="V607" i="172"/>
  <c r="U607" i="172"/>
  <c r="S584" i="172"/>
  <c r="V584" i="172"/>
  <c r="C653" i="172"/>
  <c r="B653" i="172"/>
  <c r="V629" i="172"/>
  <c r="S629" i="172"/>
  <c r="T629" i="172"/>
  <c r="B998" i="172"/>
  <c r="C998" i="172"/>
  <c r="C975" i="172"/>
  <c r="B975" i="172"/>
  <c r="C959" i="172"/>
  <c r="B959" i="172"/>
  <c r="C949" i="172"/>
  <c r="B949" i="172"/>
  <c r="U998" i="172"/>
  <c r="C640" i="172"/>
  <c r="C616" i="172"/>
  <c r="V599" i="172"/>
  <c r="U599" i="172"/>
  <c r="S594" i="172"/>
  <c r="V594" i="172"/>
  <c r="C582" i="172"/>
  <c r="U575" i="172"/>
  <c r="T575" i="172"/>
  <c r="V575" i="172"/>
  <c r="C570" i="172"/>
  <c r="U488" i="172"/>
  <c r="T476" i="172"/>
  <c r="V473" i="172"/>
  <c r="T456" i="172"/>
  <c r="T448" i="172"/>
  <c r="T446" i="172"/>
  <c r="S439" i="172"/>
  <c r="T439" i="172"/>
  <c r="V435" i="172"/>
  <c r="C351" i="172"/>
  <c r="S315" i="172"/>
  <c r="U315" i="172"/>
  <c r="V315" i="172"/>
  <c r="T310" i="172"/>
  <c r="S310" i="172"/>
  <c r="U310" i="172"/>
  <c r="S279" i="172"/>
  <c r="U279" i="172"/>
  <c r="V279" i="172"/>
  <c r="V246" i="172"/>
  <c r="S246" i="172"/>
  <c r="T246" i="172"/>
  <c r="U246" i="172"/>
  <c r="T204" i="172"/>
  <c r="V204" i="172"/>
  <c r="S204" i="172"/>
  <c r="U204" i="172"/>
  <c r="B49" i="172"/>
  <c r="V41" i="172"/>
  <c r="U41" i="172"/>
  <c r="O999" i="172"/>
  <c r="O998" i="172"/>
  <c r="V997" i="172"/>
  <c r="B995" i="172"/>
  <c r="B983" i="172"/>
  <c r="V980" i="172"/>
  <c r="B979" i="172"/>
  <c r="C972" i="172"/>
  <c r="B957" i="172"/>
  <c r="B951" i="172"/>
  <c r="O906" i="172"/>
  <c r="O905" i="172"/>
  <c r="O894" i="172"/>
  <c r="O888" i="172"/>
  <c r="O873" i="172"/>
  <c r="O867" i="172"/>
  <c r="O865" i="172"/>
  <c r="O855" i="172"/>
  <c r="O841" i="172"/>
  <c r="O832" i="172"/>
  <c r="O822" i="172"/>
  <c r="O812" i="172"/>
  <c r="O805" i="172"/>
  <c r="O803" i="172"/>
  <c r="O800" i="172"/>
  <c r="O780" i="172"/>
  <c r="O776" i="172"/>
  <c r="O766" i="172"/>
  <c r="O763" i="172"/>
  <c r="C763" i="172"/>
  <c r="O762" i="172"/>
  <c r="O744" i="172"/>
  <c r="C744" i="172"/>
  <c r="O736" i="172"/>
  <c r="O649" i="172"/>
  <c r="C649" i="172"/>
  <c r="O643" i="172"/>
  <c r="U639" i="172"/>
  <c r="B633" i="172"/>
  <c r="U631" i="172"/>
  <c r="V626" i="172"/>
  <c r="V625" i="172"/>
  <c r="T621" i="172"/>
  <c r="O606" i="172"/>
  <c r="S595" i="172"/>
  <c r="B595" i="172"/>
  <c r="R593" i="172"/>
  <c r="O591" i="172"/>
  <c r="U589" i="172"/>
  <c r="O575" i="172"/>
  <c r="V571" i="172"/>
  <c r="T569" i="172"/>
  <c r="T567" i="172"/>
  <c r="O501" i="172"/>
  <c r="V498" i="172"/>
  <c r="B496" i="172"/>
  <c r="V494" i="172"/>
  <c r="B492" i="172"/>
  <c r="B490" i="172"/>
  <c r="O489" i="172"/>
  <c r="S481" i="172"/>
  <c r="O478" i="172"/>
  <c r="T477" i="172"/>
  <c r="B477" i="172"/>
  <c r="O476" i="172"/>
  <c r="U473" i="172"/>
  <c r="O473" i="172"/>
  <c r="T471" i="172"/>
  <c r="T467" i="172"/>
  <c r="O467" i="172"/>
  <c r="T463" i="172"/>
  <c r="O463" i="172"/>
  <c r="O462" i="172"/>
  <c r="T461" i="172"/>
  <c r="O461" i="172"/>
  <c r="V460" i="172"/>
  <c r="O456" i="172"/>
  <c r="O448" i="172"/>
  <c r="T447" i="172"/>
  <c r="B447" i="172"/>
  <c r="U440" i="172"/>
  <c r="V439" i="172"/>
  <c r="S436" i="172"/>
  <c r="V436" i="172"/>
  <c r="U435" i="172"/>
  <c r="S432" i="172"/>
  <c r="U432" i="172"/>
  <c r="C431" i="172"/>
  <c r="B431" i="172"/>
  <c r="B405" i="172"/>
  <c r="C405" i="172"/>
  <c r="S376" i="172"/>
  <c r="U376" i="172"/>
  <c r="S374" i="172"/>
  <c r="V374" i="172"/>
  <c r="C367" i="172"/>
  <c r="B367" i="172"/>
  <c r="U347" i="172"/>
  <c r="V347" i="172"/>
  <c r="T340" i="172"/>
  <c r="V340" i="172"/>
  <c r="S333" i="172"/>
  <c r="T333" i="172"/>
  <c r="S319" i="172"/>
  <c r="V319" i="172"/>
  <c r="V314" i="172"/>
  <c r="S314" i="172"/>
  <c r="T314" i="172"/>
  <c r="B302" i="172"/>
  <c r="R302" i="172"/>
  <c r="C302" i="172"/>
  <c r="C300" i="172"/>
  <c r="B300" i="172"/>
  <c r="S295" i="172"/>
  <c r="V295" i="172"/>
  <c r="U295" i="172"/>
  <c r="S247" i="172"/>
  <c r="U247" i="172"/>
  <c r="V247" i="172"/>
  <c r="U463" i="172"/>
  <c r="C415" i="172"/>
  <c r="B415" i="172"/>
  <c r="B389" i="172"/>
  <c r="C389" i="172"/>
  <c r="S360" i="172"/>
  <c r="U360" i="172"/>
  <c r="C326" i="172"/>
  <c r="T315" i="172"/>
  <c r="U649" i="172"/>
  <c r="V642" i="172"/>
  <c r="V641" i="172"/>
  <c r="T633" i="172"/>
  <c r="B629" i="172"/>
  <c r="T625" i="172"/>
  <c r="T589" i="172"/>
  <c r="V586" i="172"/>
  <c r="V578" i="172"/>
  <c r="T573" i="172"/>
  <c r="T571" i="172"/>
  <c r="O565" i="172"/>
  <c r="O563" i="172"/>
  <c r="U490" i="172"/>
  <c r="O483" i="172"/>
  <c r="O474" i="172"/>
  <c r="T473" i="172"/>
  <c r="B473" i="172"/>
  <c r="O472" i="172"/>
  <c r="S467" i="172"/>
  <c r="B467" i="172"/>
  <c r="S463" i="172"/>
  <c r="B463" i="172"/>
  <c r="S461" i="172"/>
  <c r="C461" i="172"/>
  <c r="O451" i="172"/>
  <c r="U439" i="172"/>
  <c r="C439" i="172"/>
  <c r="B439" i="172"/>
  <c r="T435" i="172"/>
  <c r="B435" i="172"/>
  <c r="S430" i="172"/>
  <c r="V430" i="172"/>
  <c r="B421" i="172"/>
  <c r="C421" i="172"/>
  <c r="S392" i="172"/>
  <c r="U392" i="172"/>
  <c r="S390" i="172"/>
  <c r="V390" i="172"/>
  <c r="C383" i="172"/>
  <c r="B383" i="172"/>
  <c r="B357" i="172"/>
  <c r="C357" i="172"/>
  <c r="C350" i="172"/>
  <c r="V342" i="172"/>
  <c r="S342" i="172"/>
  <c r="T342" i="172"/>
  <c r="B310" i="172"/>
  <c r="C310" i="172"/>
  <c r="C308" i="172"/>
  <c r="B308" i="172"/>
  <c r="V298" i="172"/>
  <c r="S298" i="172"/>
  <c r="T298" i="172"/>
  <c r="U298" i="172"/>
  <c r="B262" i="172"/>
  <c r="C262" i="172"/>
  <c r="U467" i="172"/>
  <c r="S424" i="172"/>
  <c r="U424" i="172"/>
  <c r="S422" i="172"/>
  <c r="V422" i="172"/>
  <c r="S358" i="172"/>
  <c r="V358" i="172"/>
  <c r="B338" i="172"/>
  <c r="B220" i="172"/>
  <c r="C220" i="172"/>
  <c r="S996" i="172"/>
  <c r="O907" i="172"/>
  <c r="O889" i="172"/>
  <c r="O878" i="172"/>
  <c r="O872" i="172"/>
  <c r="O864" i="172"/>
  <c r="O854" i="172"/>
  <c r="O846" i="172"/>
  <c r="O843" i="172"/>
  <c r="O840" i="172"/>
  <c r="O835" i="172"/>
  <c r="O833" i="172"/>
  <c r="O827" i="172"/>
  <c r="O823" i="172"/>
  <c r="O798" i="172"/>
  <c r="O795" i="172"/>
  <c r="O794" i="172"/>
  <c r="O782" i="172"/>
  <c r="O778" i="172"/>
  <c r="O771" i="172"/>
  <c r="O768" i="172"/>
  <c r="R763" i="172"/>
  <c r="O749" i="172"/>
  <c r="O638" i="172"/>
  <c r="O627" i="172"/>
  <c r="O626" i="172"/>
  <c r="O611" i="172"/>
  <c r="O597" i="172"/>
  <c r="O569" i="172"/>
  <c r="O567" i="172"/>
  <c r="O499" i="172"/>
  <c r="O495" i="172"/>
  <c r="V488" i="172"/>
  <c r="C485" i="172"/>
  <c r="O479" i="172"/>
  <c r="V476" i="172"/>
  <c r="C475" i="172"/>
  <c r="O460" i="172"/>
  <c r="O458" i="172"/>
  <c r="O457" i="172"/>
  <c r="V456" i="172"/>
  <c r="C453" i="172"/>
  <c r="U448" i="172"/>
  <c r="V446" i="172"/>
  <c r="C445" i="172"/>
  <c r="V438" i="172"/>
  <c r="B437" i="172"/>
  <c r="B429" i="172"/>
  <c r="C429" i="172"/>
  <c r="C423" i="172"/>
  <c r="B423" i="172"/>
  <c r="S408" i="172"/>
  <c r="U408" i="172"/>
  <c r="S406" i="172"/>
  <c r="V406" i="172"/>
  <c r="C399" i="172"/>
  <c r="B399" i="172"/>
  <c r="B373" i="172"/>
  <c r="C373" i="172"/>
  <c r="C335" i="172"/>
  <c r="C324" i="172"/>
  <c r="V310" i="172"/>
  <c r="V306" i="172"/>
  <c r="S306" i="172"/>
  <c r="T306" i="172"/>
  <c r="U306" i="172"/>
  <c r="T302" i="172"/>
  <c r="S302" i="172"/>
  <c r="U302" i="172"/>
  <c r="V278" i="172"/>
  <c r="S278" i="172"/>
  <c r="T278" i="172"/>
  <c r="U278" i="172"/>
  <c r="O440" i="172"/>
  <c r="U429" i="172"/>
  <c r="O424" i="172"/>
  <c r="T423" i="172"/>
  <c r="V420" i="172"/>
  <c r="U416" i="172"/>
  <c r="V414" i="172"/>
  <c r="U413" i="172"/>
  <c r="C413" i="172"/>
  <c r="O408" i="172"/>
  <c r="T407" i="172"/>
  <c r="B407" i="172"/>
  <c r="V404" i="172"/>
  <c r="U400" i="172"/>
  <c r="V398" i="172"/>
  <c r="U397" i="172"/>
  <c r="C397" i="172"/>
  <c r="O392" i="172"/>
  <c r="T391" i="172"/>
  <c r="B391" i="172"/>
  <c r="V388" i="172"/>
  <c r="U384" i="172"/>
  <c r="V382" i="172"/>
  <c r="U381" i="172"/>
  <c r="C381" i="172"/>
  <c r="O376" i="172"/>
  <c r="T375" i="172"/>
  <c r="B375" i="172"/>
  <c r="V372" i="172"/>
  <c r="U368" i="172"/>
  <c r="V366" i="172"/>
  <c r="U365" i="172"/>
  <c r="C365" i="172"/>
  <c r="O360" i="172"/>
  <c r="T359" i="172"/>
  <c r="B359" i="172"/>
  <c r="V356" i="172"/>
  <c r="U352" i="172"/>
  <c r="V349" i="172"/>
  <c r="B348" i="172"/>
  <c r="O344" i="172"/>
  <c r="B292" i="172"/>
  <c r="C292" i="172"/>
  <c r="S287" i="172"/>
  <c r="V287" i="172"/>
  <c r="B286" i="172"/>
  <c r="C286" i="172"/>
  <c r="S271" i="172"/>
  <c r="U271" i="172"/>
  <c r="V271" i="172"/>
  <c r="V270" i="172"/>
  <c r="S270" i="172"/>
  <c r="T270" i="172"/>
  <c r="B254" i="172"/>
  <c r="C254" i="172"/>
  <c r="S239" i="172"/>
  <c r="U239" i="172"/>
  <c r="V239" i="172"/>
  <c r="V238" i="172"/>
  <c r="S238" i="172"/>
  <c r="T238" i="172"/>
  <c r="S232" i="172"/>
  <c r="T232" i="172"/>
  <c r="U232" i="172"/>
  <c r="S225" i="172"/>
  <c r="U225" i="172"/>
  <c r="U214" i="172"/>
  <c r="T214" i="172"/>
  <c r="V214" i="172"/>
  <c r="S153" i="172"/>
  <c r="T153" i="172"/>
  <c r="V153" i="172"/>
  <c r="T316" i="172"/>
  <c r="C314" i="172"/>
  <c r="S309" i="172"/>
  <c r="V309" i="172"/>
  <c r="U308" i="172"/>
  <c r="S307" i="172"/>
  <c r="U307" i="172"/>
  <c r="S301" i="172"/>
  <c r="V301" i="172"/>
  <c r="U300" i="172"/>
  <c r="S299" i="172"/>
  <c r="U299" i="172"/>
  <c r="S294" i="172"/>
  <c r="T294" i="172"/>
  <c r="S293" i="172"/>
  <c r="U293" i="172"/>
  <c r="V293" i="172"/>
  <c r="B278" i="172"/>
  <c r="C278" i="172"/>
  <c r="S263" i="172"/>
  <c r="U263" i="172"/>
  <c r="V263" i="172"/>
  <c r="V262" i="172"/>
  <c r="S262" i="172"/>
  <c r="T262" i="172"/>
  <c r="B246" i="172"/>
  <c r="C246" i="172"/>
  <c r="B218" i="172"/>
  <c r="C218" i="172"/>
  <c r="C208" i="172"/>
  <c r="B208" i="172"/>
  <c r="O432" i="172"/>
  <c r="O416" i="172"/>
  <c r="O400" i="172"/>
  <c r="O384" i="172"/>
  <c r="O368" i="172"/>
  <c r="O352" i="172"/>
  <c r="O338" i="172"/>
  <c r="U328" i="172"/>
  <c r="O328" i="172"/>
  <c r="O327" i="172"/>
  <c r="O324" i="172"/>
  <c r="O320" i="172"/>
  <c r="O313" i="172"/>
  <c r="O312" i="172"/>
  <c r="V311" i="172"/>
  <c r="T308" i="172"/>
  <c r="O307" i="172"/>
  <c r="B306" i="172"/>
  <c r="O305" i="172"/>
  <c r="O304" i="172"/>
  <c r="V303" i="172"/>
  <c r="T300" i="172"/>
  <c r="O299" i="172"/>
  <c r="B298" i="172"/>
  <c r="R298" i="172"/>
  <c r="V294" i="172"/>
  <c r="V292" i="172"/>
  <c r="S292" i="172"/>
  <c r="S286" i="172"/>
  <c r="T286" i="172"/>
  <c r="B270" i="172"/>
  <c r="C270" i="172"/>
  <c r="S255" i="172"/>
  <c r="U255" i="172"/>
  <c r="V255" i="172"/>
  <c r="V254" i="172"/>
  <c r="S254" i="172"/>
  <c r="T254" i="172"/>
  <c r="B238" i="172"/>
  <c r="C238" i="172"/>
  <c r="B230" i="172"/>
  <c r="C230" i="172"/>
  <c r="C224" i="172"/>
  <c r="B224" i="172"/>
  <c r="O311" i="172"/>
  <c r="O310" i="172"/>
  <c r="O303" i="172"/>
  <c r="O302" i="172"/>
  <c r="O295" i="172"/>
  <c r="O294" i="172"/>
  <c r="U291" i="172"/>
  <c r="O287" i="172"/>
  <c r="O286" i="172"/>
  <c r="V285" i="172"/>
  <c r="S284" i="172"/>
  <c r="C284" i="172"/>
  <c r="U283" i="172"/>
  <c r="O279" i="172"/>
  <c r="O278" i="172"/>
  <c r="V277" i="172"/>
  <c r="S276" i="172"/>
  <c r="C276" i="172"/>
  <c r="U275" i="172"/>
  <c r="O271" i="172"/>
  <c r="O270" i="172"/>
  <c r="V269" i="172"/>
  <c r="S268" i="172"/>
  <c r="C268" i="172"/>
  <c r="U267" i="172"/>
  <c r="O263" i="172"/>
  <c r="O262" i="172"/>
  <c r="V261" i="172"/>
  <c r="S260" i="172"/>
  <c r="C260" i="172"/>
  <c r="U259" i="172"/>
  <c r="O255" i="172"/>
  <c r="O254" i="172"/>
  <c r="V253" i="172"/>
  <c r="S252" i="172"/>
  <c r="C252" i="172"/>
  <c r="U251" i="172"/>
  <c r="O247" i="172"/>
  <c r="O246" i="172"/>
  <c r="V245" i="172"/>
  <c r="S244" i="172"/>
  <c r="C244" i="172"/>
  <c r="U243" i="172"/>
  <c r="O239" i="172"/>
  <c r="O238" i="172"/>
  <c r="V237" i="172"/>
  <c r="S236" i="172"/>
  <c r="C236" i="172"/>
  <c r="U235" i="172"/>
  <c r="O232" i="172"/>
  <c r="S228" i="172"/>
  <c r="T228" i="172"/>
  <c r="B226" i="172"/>
  <c r="O225" i="172"/>
  <c r="S224" i="172"/>
  <c r="V224" i="172"/>
  <c r="R223" i="172"/>
  <c r="V217" i="172"/>
  <c r="U216" i="172"/>
  <c r="T181" i="172"/>
  <c r="S181" i="172"/>
  <c r="V181" i="172"/>
  <c r="S141" i="172"/>
  <c r="U141" i="172"/>
  <c r="V62" i="172"/>
  <c r="U62" i="172"/>
  <c r="T35" i="172"/>
  <c r="U35" i="172"/>
  <c r="V35" i="172"/>
  <c r="B13" i="172"/>
  <c r="O297" i="172"/>
  <c r="O296" i="172"/>
  <c r="O289" i="172"/>
  <c r="O288" i="172"/>
  <c r="U285" i="172"/>
  <c r="O281" i="172"/>
  <c r="O280" i="172"/>
  <c r="U277" i="172"/>
  <c r="R276" i="172"/>
  <c r="O273" i="172"/>
  <c r="O272" i="172"/>
  <c r="U269" i="172"/>
  <c r="O265" i="172"/>
  <c r="O264" i="172"/>
  <c r="U261" i="172"/>
  <c r="O257" i="172"/>
  <c r="O256" i="172"/>
  <c r="U253" i="172"/>
  <c r="O249" i="172"/>
  <c r="O248" i="172"/>
  <c r="U245" i="172"/>
  <c r="R244" i="172"/>
  <c r="O241" i="172"/>
  <c r="O240" i="172"/>
  <c r="U237" i="172"/>
  <c r="O233" i="172"/>
  <c r="O227" i="172"/>
  <c r="B216" i="172"/>
  <c r="C203" i="172"/>
  <c r="R203" i="172"/>
  <c r="U171" i="172"/>
  <c r="T171" i="172"/>
  <c r="V171" i="172"/>
  <c r="S155" i="172"/>
  <c r="U155" i="172"/>
  <c r="U59" i="172"/>
  <c r="V59" i="172"/>
  <c r="U15" i="172"/>
  <c r="T15" i="172"/>
  <c r="V15" i="172"/>
  <c r="O283" i="172"/>
  <c r="O282" i="172"/>
  <c r="O275" i="172"/>
  <c r="O274" i="172"/>
  <c r="O267" i="172"/>
  <c r="O266" i="172"/>
  <c r="O259" i="172"/>
  <c r="O258" i="172"/>
  <c r="O251" i="172"/>
  <c r="O250" i="172"/>
  <c r="O243" i="172"/>
  <c r="O242" i="172"/>
  <c r="O235" i="172"/>
  <c r="O234" i="172"/>
  <c r="B232" i="172"/>
  <c r="S229" i="172"/>
  <c r="V229" i="172"/>
  <c r="C228" i="172"/>
  <c r="B228" i="172"/>
  <c r="C227" i="172"/>
  <c r="S226" i="172"/>
  <c r="U226" i="172"/>
  <c r="V216" i="172"/>
  <c r="T216" i="172"/>
  <c r="S213" i="172"/>
  <c r="U213" i="172"/>
  <c r="B204" i="172"/>
  <c r="C202" i="172"/>
  <c r="B202" i="172"/>
  <c r="C197" i="172"/>
  <c r="B197" i="172"/>
  <c r="T157" i="172"/>
  <c r="U157" i="172"/>
  <c r="V157" i="172"/>
  <c r="C149" i="172"/>
  <c r="B149" i="172"/>
  <c r="T137" i="172"/>
  <c r="S137" i="172"/>
  <c r="U137" i="172"/>
  <c r="V60" i="172"/>
  <c r="U60" i="172"/>
  <c r="V39" i="172"/>
  <c r="U39" i="172"/>
  <c r="O229" i="172"/>
  <c r="O223" i="172"/>
  <c r="O217" i="172"/>
  <c r="V215" i="172"/>
  <c r="O213" i="172"/>
  <c r="O209" i="172"/>
  <c r="T208" i="172"/>
  <c r="O203" i="172"/>
  <c r="T202" i="172"/>
  <c r="O179" i="172"/>
  <c r="B179" i="172"/>
  <c r="O164" i="172"/>
  <c r="O152" i="172"/>
  <c r="T151" i="172"/>
  <c r="B151" i="172"/>
  <c r="O148" i="172"/>
  <c r="O144" i="172"/>
  <c r="O122" i="172"/>
  <c r="O115" i="172"/>
  <c r="O108" i="172"/>
  <c r="O101" i="172"/>
  <c r="O99" i="172"/>
  <c r="O92" i="172"/>
  <c r="O76" i="172"/>
  <c r="O72" i="172"/>
  <c r="O70" i="172"/>
  <c r="B63" i="172"/>
  <c r="O62" i="172"/>
  <c r="B61" i="172"/>
  <c r="O60" i="172"/>
  <c r="T51" i="172"/>
  <c r="V48" i="172"/>
  <c r="T47" i="172"/>
  <c r="T45" i="172"/>
  <c r="O38" i="172"/>
  <c r="T37" i="172"/>
  <c r="U34" i="172"/>
  <c r="V28" i="172"/>
  <c r="U24" i="172"/>
  <c r="U23" i="172"/>
  <c r="V18" i="172"/>
  <c r="B9" i="172"/>
  <c r="O6" i="172"/>
  <c r="O195" i="172"/>
  <c r="T193" i="172"/>
  <c r="O177" i="172"/>
  <c r="O139" i="172"/>
  <c r="O118" i="172"/>
  <c r="O116" i="172"/>
  <c r="O109" i="172"/>
  <c r="O107" i="172"/>
  <c r="O100" i="172"/>
  <c r="O93" i="172"/>
  <c r="O91" i="172"/>
  <c r="O82" i="172"/>
  <c r="O67" i="172"/>
  <c r="O51" i="172"/>
  <c r="O47" i="172"/>
  <c r="O45" i="172"/>
  <c r="O22" i="172"/>
  <c r="O19" i="172"/>
  <c r="O7" i="172"/>
  <c r="C992" i="172"/>
  <c r="C989" i="172"/>
  <c r="B989" i="172"/>
  <c r="C976" i="172"/>
  <c r="U968" i="172"/>
  <c r="S968" i="172"/>
  <c r="B946" i="172"/>
  <c r="C946" i="172"/>
  <c r="B938" i="172"/>
  <c r="C938" i="172"/>
  <c r="B934" i="172"/>
  <c r="C934" i="172"/>
  <c r="B926" i="172"/>
  <c r="C926" i="172"/>
  <c r="B922" i="172"/>
  <c r="C922" i="172"/>
  <c r="B914" i="172"/>
  <c r="C914" i="172"/>
  <c r="T907" i="172"/>
  <c r="S814" i="172"/>
  <c r="B750" i="172"/>
  <c r="C750" i="172"/>
  <c r="R750" i="172"/>
  <c r="U647" i="172"/>
  <c r="V647" i="172"/>
  <c r="S647" i="172"/>
  <c r="V612" i="172"/>
  <c r="C588" i="172"/>
  <c r="C568" i="172"/>
  <c r="R568" i="172"/>
  <c r="C346" i="172"/>
  <c r="B346" i="172"/>
  <c r="C994" i="172"/>
  <c r="C974" i="172"/>
  <c r="U972" i="172"/>
  <c r="S972" i="172"/>
  <c r="U970" i="172"/>
  <c r="S970" i="172"/>
  <c r="C947" i="172"/>
  <c r="B947" i="172"/>
  <c r="C943" i="172"/>
  <c r="B943" i="172"/>
  <c r="C939" i="172"/>
  <c r="B939" i="172"/>
  <c r="C931" i="172"/>
  <c r="B931" i="172"/>
  <c r="C927" i="172"/>
  <c r="B927" i="172"/>
  <c r="C923" i="172"/>
  <c r="B923" i="172"/>
  <c r="C915" i="172"/>
  <c r="B915" i="172"/>
  <c r="S892" i="172"/>
  <c r="O891" i="172"/>
  <c r="S884" i="172"/>
  <c r="S860" i="172"/>
  <c r="O859" i="172"/>
  <c r="C797" i="172"/>
  <c r="T775" i="172"/>
  <c r="U775" i="172"/>
  <c r="C769" i="172"/>
  <c r="T755" i="172"/>
  <c r="S755" i="172"/>
  <c r="U755" i="172"/>
  <c r="B746" i="172"/>
  <c r="C746" i="172"/>
  <c r="U637" i="172"/>
  <c r="V637" i="172"/>
  <c r="S637" i="172"/>
  <c r="C614" i="172"/>
  <c r="U605" i="172"/>
  <c r="V605" i="172"/>
  <c r="S605" i="172"/>
  <c r="C590" i="172"/>
  <c r="C572" i="172"/>
  <c r="U562" i="172"/>
  <c r="V562" i="172"/>
  <c r="S558" i="172"/>
  <c r="V558" i="172"/>
  <c r="S554" i="172"/>
  <c r="V554" i="172"/>
  <c r="S550" i="172"/>
  <c r="V550" i="172"/>
  <c r="S546" i="172"/>
  <c r="V546" i="172"/>
  <c r="S542" i="172"/>
  <c r="V542" i="172"/>
  <c r="S538" i="172"/>
  <c r="V538" i="172"/>
  <c r="S534" i="172"/>
  <c r="V534" i="172"/>
  <c r="S530" i="172"/>
  <c r="V530" i="172"/>
  <c r="S526" i="172"/>
  <c r="V526" i="172"/>
  <c r="S522" i="172"/>
  <c r="V522" i="172"/>
  <c r="S518" i="172"/>
  <c r="V518" i="172"/>
  <c r="S514" i="172"/>
  <c r="V514" i="172"/>
  <c r="S510" i="172"/>
  <c r="V510" i="172"/>
  <c r="S506" i="172"/>
  <c r="V506" i="172"/>
  <c r="S502" i="172"/>
  <c r="V502" i="172"/>
  <c r="S496" i="172"/>
  <c r="U496" i="172"/>
  <c r="V496" i="172"/>
  <c r="B487" i="172"/>
  <c r="C487" i="172"/>
  <c r="V469" i="172"/>
  <c r="S469" i="172"/>
  <c r="T469" i="172"/>
  <c r="B465" i="172"/>
  <c r="C465" i="172"/>
  <c r="B459" i="172"/>
  <c r="C459" i="172"/>
  <c r="B455" i="172"/>
  <c r="C455" i="172"/>
  <c r="B449" i="172"/>
  <c r="C449" i="172"/>
  <c r="B441" i="172"/>
  <c r="C441" i="172"/>
  <c r="B433" i="172"/>
  <c r="C433" i="172"/>
  <c r="B425" i="172"/>
  <c r="C425" i="172"/>
  <c r="B417" i="172"/>
  <c r="C417" i="172"/>
  <c r="B409" i="172"/>
  <c r="R409" i="172"/>
  <c r="C409" i="172"/>
  <c r="B401" i="172"/>
  <c r="C401" i="172"/>
  <c r="B393" i="172"/>
  <c r="C393" i="172"/>
  <c r="B385" i="172"/>
  <c r="C385" i="172"/>
  <c r="B377" i="172"/>
  <c r="C377" i="172"/>
  <c r="B369" i="172"/>
  <c r="C369" i="172"/>
  <c r="B361" i="172"/>
  <c r="C361" i="172"/>
  <c r="B353" i="172"/>
  <c r="C353" i="172"/>
  <c r="C349" i="172"/>
  <c r="V344" i="172"/>
  <c r="S344" i="172"/>
  <c r="T344" i="172"/>
  <c r="C343" i="172"/>
  <c r="R343" i="172"/>
  <c r="T332" i="172"/>
  <c r="U332" i="172"/>
  <c r="V332" i="172"/>
  <c r="C231" i="172"/>
  <c r="B222" i="172"/>
  <c r="C222" i="172"/>
  <c r="C147" i="172"/>
  <c r="T105" i="172"/>
  <c r="U105" i="172"/>
  <c r="T89" i="172"/>
  <c r="U89" i="172"/>
  <c r="T65" i="172"/>
  <c r="U65" i="172"/>
  <c r="V65" i="172"/>
  <c r="U57" i="172"/>
  <c r="T57" i="172"/>
  <c r="V57" i="172"/>
  <c r="B45" i="172"/>
  <c r="V42" i="172"/>
  <c r="U42" i="172"/>
  <c r="V40" i="172"/>
  <c r="U40" i="172"/>
  <c r="B19" i="172"/>
  <c r="T11" i="172"/>
  <c r="U11" i="172"/>
  <c r="C988" i="172"/>
  <c r="C971" i="172"/>
  <c r="B971" i="172"/>
  <c r="C953" i="172"/>
  <c r="B953" i="172"/>
  <c r="C805" i="172"/>
  <c r="C799" i="172"/>
  <c r="C641" i="172"/>
  <c r="B641" i="172"/>
  <c r="C609" i="172"/>
  <c r="B609" i="172"/>
  <c r="S598" i="172"/>
  <c r="T598" i="172"/>
  <c r="C986" i="172"/>
  <c r="C961" i="172"/>
  <c r="B961" i="172"/>
  <c r="C935" i="172"/>
  <c r="B935" i="172"/>
  <c r="C919" i="172"/>
  <c r="B919" i="172"/>
  <c r="C911" i="172"/>
  <c r="B911" i="172"/>
  <c r="S900" i="172"/>
  <c r="S876" i="172"/>
  <c r="O875" i="172"/>
  <c r="R989" i="172"/>
  <c r="C984" i="172"/>
  <c r="C981" i="172"/>
  <c r="B981" i="172"/>
  <c r="C980" i="172"/>
  <c r="U962" i="172"/>
  <c r="S962" i="172"/>
  <c r="C955" i="172"/>
  <c r="B955" i="172"/>
  <c r="B948" i="172"/>
  <c r="C948" i="172"/>
  <c r="B944" i="172"/>
  <c r="C944" i="172"/>
  <c r="B940" i="172"/>
  <c r="C940" i="172"/>
  <c r="B936" i="172"/>
  <c r="C936" i="172"/>
  <c r="B932" i="172"/>
  <c r="C932" i="172"/>
  <c r="B928" i="172"/>
  <c r="C928" i="172"/>
  <c r="B924" i="172"/>
  <c r="C924" i="172"/>
  <c r="B920" i="172"/>
  <c r="C920" i="172"/>
  <c r="B916" i="172"/>
  <c r="C916" i="172"/>
  <c r="B912" i="172"/>
  <c r="C912" i="172"/>
  <c r="C767" i="172"/>
  <c r="R767" i="172"/>
  <c r="V653" i="172"/>
  <c r="S653" i="172"/>
  <c r="T653" i="172"/>
  <c r="U653" i="172"/>
  <c r="B647" i="172"/>
  <c r="R647" i="172"/>
  <c r="C647" i="172"/>
  <c r="S634" i="172"/>
  <c r="V634" i="172"/>
  <c r="U617" i="172"/>
  <c r="S617" i="172"/>
  <c r="T617" i="172"/>
  <c r="V617" i="172"/>
  <c r="S602" i="172"/>
  <c r="V602" i="172"/>
  <c r="C589" i="172"/>
  <c r="B589" i="172"/>
  <c r="O583" i="172"/>
  <c r="C576" i="172"/>
  <c r="U566" i="172"/>
  <c r="V566" i="172"/>
  <c r="C498" i="172"/>
  <c r="B498" i="172"/>
  <c r="S492" i="172"/>
  <c r="U492" i="172"/>
  <c r="V492" i="172"/>
  <c r="S484" i="172"/>
  <c r="V484" i="172"/>
  <c r="S452" i="172"/>
  <c r="V452" i="172"/>
  <c r="T351" i="172"/>
  <c r="S351" i="172"/>
  <c r="U351" i="172"/>
  <c r="V210" i="172"/>
  <c r="S210" i="172"/>
  <c r="T210" i="172"/>
  <c r="U177" i="172"/>
  <c r="V177" i="172"/>
  <c r="S177" i="172"/>
  <c r="T177" i="172"/>
  <c r="C996" i="172"/>
  <c r="C993" i="172"/>
  <c r="B993" i="172"/>
  <c r="U966" i="172"/>
  <c r="S966" i="172"/>
  <c r="C960" i="172"/>
  <c r="B942" i="172"/>
  <c r="C942" i="172"/>
  <c r="B930" i="172"/>
  <c r="C930" i="172"/>
  <c r="B918" i="172"/>
  <c r="C918" i="172"/>
  <c r="B910" i="172"/>
  <c r="C910" i="172"/>
  <c r="U908" i="172"/>
  <c r="U841" i="172"/>
  <c r="V644" i="172"/>
  <c r="S630" i="172"/>
  <c r="T630" i="172"/>
  <c r="U574" i="172"/>
  <c r="V574" i="172"/>
  <c r="S331" i="172"/>
  <c r="V331" i="172"/>
  <c r="C990" i="172"/>
  <c r="C982" i="172"/>
  <c r="C978" i="172"/>
  <c r="V968" i="172"/>
  <c r="C967" i="172"/>
  <c r="B967" i="172"/>
  <c r="U964" i="172"/>
  <c r="S964" i="172"/>
  <c r="R947" i="172"/>
  <c r="C945" i="172"/>
  <c r="B945" i="172"/>
  <c r="C941" i="172"/>
  <c r="B941" i="172"/>
  <c r="C937" i="172"/>
  <c r="B937" i="172"/>
  <c r="C933" i="172"/>
  <c r="B933" i="172"/>
  <c r="R931" i="172"/>
  <c r="C929" i="172"/>
  <c r="B929" i="172"/>
  <c r="C925" i="172"/>
  <c r="B925" i="172"/>
  <c r="C921" i="172"/>
  <c r="B921" i="172"/>
  <c r="R919" i="172"/>
  <c r="C917" i="172"/>
  <c r="B917" i="172"/>
  <c r="C913" i="172"/>
  <c r="B913" i="172"/>
  <c r="R911" i="172"/>
  <c r="C904" i="172"/>
  <c r="C801" i="172"/>
  <c r="T787" i="172"/>
  <c r="S787" i="172"/>
  <c r="U787" i="172"/>
  <c r="C765" i="172"/>
  <c r="B752" i="172"/>
  <c r="C752" i="172"/>
  <c r="C745" i="172"/>
  <c r="C725" i="172"/>
  <c r="C717" i="172"/>
  <c r="C709" i="172"/>
  <c r="R709" i="172"/>
  <c r="C701" i="172"/>
  <c r="C693" i="172"/>
  <c r="C685" i="172"/>
  <c r="R685" i="172"/>
  <c r="C677" i="172"/>
  <c r="C669" i="172"/>
  <c r="C661" i="172"/>
  <c r="B651" i="172"/>
  <c r="C651" i="172"/>
  <c r="R651" i="172"/>
  <c r="T647" i="172"/>
  <c r="B637" i="172"/>
  <c r="C637" i="172"/>
  <c r="C632" i="172"/>
  <c r="R632" i="172"/>
  <c r="V623" i="172"/>
  <c r="S623" i="172"/>
  <c r="U623" i="172"/>
  <c r="B615" i="172"/>
  <c r="C615" i="172"/>
  <c r="R615" i="172"/>
  <c r="B605" i="172"/>
  <c r="C605" i="172"/>
  <c r="C600" i="172"/>
  <c r="U570" i="172"/>
  <c r="V570" i="172"/>
  <c r="C564" i="172"/>
  <c r="S560" i="172"/>
  <c r="V560" i="172"/>
  <c r="S556" i="172"/>
  <c r="V556" i="172"/>
  <c r="S552" i="172"/>
  <c r="V552" i="172"/>
  <c r="S548" i="172"/>
  <c r="V548" i="172"/>
  <c r="S544" i="172"/>
  <c r="V544" i="172"/>
  <c r="S540" i="172"/>
  <c r="V540" i="172"/>
  <c r="S536" i="172"/>
  <c r="V536" i="172"/>
  <c r="S532" i="172"/>
  <c r="V532" i="172"/>
  <c r="S528" i="172"/>
  <c r="V528" i="172"/>
  <c r="S524" i="172"/>
  <c r="V524" i="172"/>
  <c r="S520" i="172"/>
  <c r="V520" i="172"/>
  <c r="S516" i="172"/>
  <c r="V516" i="172"/>
  <c r="S512" i="172"/>
  <c r="V512" i="172"/>
  <c r="S508" i="172"/>
  <c r="V508" i="172"/>
  <c r="S504" i="172"/>
  <c r="V504" i="172"/>
  <c r="C494" i="172"/>
  <c r="B494" i="172"/>
  <c r="U487" i="172"/>
  <c r="V487" i="172"/>
  <c r="S487" i="172"/>
  <c r="S480" i="172"/>
  <c r="V480" i="172"/>
  <c r="B469" i="172"/>
  <c r="C469" i="172"/>
  <c r="V465" i="172"/>
  <c r="S465" i="172"/>
  <c r="T465" i="172"/>
  <c r="U459" i="172"/>
  <c r="V459" i="172"/>
  <c r="S459" i="172"/>
  <c r="U455" i="172"/>
  <c r="V455" i="172"/>
  <c r="S455" i="172"/>
  <c r="S450" i="172"/>
  <c r="U450" i="172"/>
  <c r="V450" i="172"/>
  <c r="V449" i="172"/>
  <c r="S449" i="172"/>
  <c r="T449" i="172"/>
  <c r="S442" i="172"/>
  <c r="U442" i="172"/>
  <c r="V442" i="172"/>
  <c r="V441" i="172"/>
  <c r="S441" i="172"/>
  <c r="T441" i="172"/>
  <c r="S434" i="172"/>
  <c r="U434" i="172"/>
  <c r="V434" i="172"/>
  <c r="V433" i="172"/>
  <c r="S433" i="172"/>
  <c r="T433" i="172"/>
  <c r="S426" i="172"/>
  <c r="U426" i="172"/>
  <c r="V426" i="172"/>
  <c r="V425" i="172"/>
  <c r="S425" i="172"/>
  <c r="T425" i="172"/>
  <c r="S418" i="172"/>
  <c r="U418" i="172"/>
  <c r="V418" i="172"/>
  <c r="V417" i="172"/>
  <c r="S417" i="172"/>
  <c r="T417" i="172"/>
  <c r="S410" i="172"/>
  <c r="U410" i="172"/>
  <c r="V410" i="172"/>
  <c r="V409" i="172"/>
  <c r="S409" i="172"/>
  <c r="T409" i="172"/>
  <c r="S402" i="172"/>
  <c r="U402" i="172"/>
  <c r="V402" i="172"/>
  <c r="V401" i="172"/>
  <c r="S401" i="172"/>
  <c r="T401" i="172"/>
  <c r="S394" i="172"/>
  <c r="U394" i="172"/>
  <c r="V394" i="172"/>
  <c r="V393" i="172"/>
  <c r="S393" i="172"/>
  <c r="T393" i="172"/>
  <c r="S386" i="172"/>
  <c r="U386" i="172"/>
  <c r="V386" i="172"/>
  <c r="V385" i="172"/>
  <c r="S385" i="172"/>
  <c r="T385" i="172"/>
  <c r="S378" i="172"/>
  <c r="U378" i="172"/>
  <c r="V378" i="172"/>
  <c r="V377" i="172"/>
  <c r="S377" i="172"/>
  <c r="T377" i="172"/>
  <c r="S370" i="172"/>
  <c r="U370" i="172"/>
  <c r="V370" i="172"/>
  <c r="V369" i="172"/>
  <c r="S369" i="172"/>
  <c r="T369" i="172"/>
  <c r="S362" i="172"/>
  <c r="U362" i="172"/>
  <c r="V362" i="172"/>
  <c r="V361" i="172"/>
  <c r="S361" i="172"/>
  <c r="T361" i="172"/>
  <c r="S354" i="172"/>
  <c r="U354" i="172"/>
  <c r="V354" i="172"/>
  <c r="V353" i="172"/>
  <c r="S353" i="172"/>
  <c r="T353" i="172"/>
  <c r="B344" i="172"/>
  <c r="C344" i="172"/>
  <c r="S223" i="172"/>
  <c r="U223" i="172"/>
  <c r="T223" i="172"/>
  <c r="V223" i="172"/>
  <c r="S222" i="172"/>
  <c r="V222" i="172"/>
  <c r="T222" i="172"/>
  <c r="B206" i="172"/>
  <c r="C206" i="172"/>
  <c r="B191" i="172"/>
  <c r="C191" i="172"/>
  <c r="V960" i="172"/>
  <c r="V946" i="172"/>
  <c r="V944" i="172"/>
  <c r="V942" i="172"/>
  <c r="V940" i="172"/>
  <c r="V938" i="172"/>
  <c r="V936" i="172"/>
  <c r="V934" i="172"/>
  <c r="V932" i="172"/>
  <c r="V930" i="172"/>
  <c r="V928" i="172"/>
  <c r="V926" i="172"/>
  <c r="V924" i="172"/>
  <c r="V922" i="172"/>
  <c r="V920" i="172"/>
  <c r="V918" i="172"/>
  <c r="V916" i="172"/>
  <c r="V914" i="172"/>
  <c r="V912" i="172"/>
  <c r="V910" i="172"/>
  <c r="O904" i="172"/>
  <c r="O903" i="172"/>
  <c r="O900" i="172"/>
  <c r="O898" i="172"/>
  <c r="O893" i="172"/>
  <c r="O884" i="172"/>
  <c r="O882" i="172"/>
  <c r="O877" i="172"/>
  <c r="O868" i="172"/>
  <c r="O866" i="172"/>
  <c r="O861" i="172"/>
  <c r="U854" i="172"/>
  <c r="O852" i="172"/>
  <c r="O850" i="172"/>
  <c r="O845" i="172"/>
  <c r="U838" i="172"/>
  <c r="O836" i="172"/>
  <c r="O834" i="172"/>
  <c r="O829" i="172"/>
  <c r="U822" i="172"/>
  <c r="O820" i="172"/>
  <c r="O818" i="172"/>
  <c r="O813" i="172"/>
  <c r="O809" i="172"/>
  <c r="O792" i="172"/>
  <c r="O785" i="172"/>
  <c r="C785" i="172"/>
  <c r="O783" i="172"/>
  <c r="C783" i="172"/>
  <c r="O781" i="172"/>
  <c r="C781" i="172"/>
  <c r="O760" i="172"/>
  <c r="O741" i="172"/>
  <c r="C741" i="172"/>
  <c r="C736" i="172"/>
  <c r="C734" i="172"/>
  <c r="O730" i="172"/>
  <c r="C730" i="172"/>
  <c r="O729" i="172"/>
  <c r="C729" i="172"/>
  <c r="O721" i="172"/>
  <c r="C721" i="172"/>
  <c r="O713" i="172"/>
  <c r="C713" i="172"/>
  <c r="O705" i="172"/>
  <c r="C705" i="172"/>
  <c r="O697" i="172"/>
  <c r="C697" i="172"/>
  <c r="O689" i="172"/>
  <c r="C689" i="172"/>
  <c r="O681" i="172"/>
  <c r="C681" i="172"/>
  <c r="O673" i="172"/>
  <c r="C673" i="172"/>
  <c r="O665" i="172"/>
  <c r="C665" i="172"/>
  <c r="O657" i="172"/>
  <c r="C657" i="172"/>
  <c r="O653" i="172"/>
  <c r="S649" i="172"/>
  <c r="V646" i="172"/>
  <c r="S639" i="172"/>
  <c r="O634" i="172"/>
  <c r="S633" i="172"/>
  <c r="O631" i="172"/>
  <c r="C631" i="172"/>
  <c r="O630" i="172"/>
  <c r="B625" i="172"/>
  <c r="U621" i="172"/>
  <c r="R621" i="172"/>
  <c r="V618" i="172"/>
  <c r="O617" i="172"/>
  <c r="T614" i="172"/>
  <c r="S607" i="172"/>
  <c r="O602" i="172"/>
  <c r="S601" i="172"/>
  <c r="O599" i="172"/>
  <c r="C599" i="172"/>
  <c r="O598" i="172"/>
  <c r="B597" i="172"/>
  <c r="O596" i="172"/>
  <c r="O587" i="172"/>
  <c r="O585" i="172"/>
  <c r="O582" i="172"/>
  <c r="B581" i="172"/>
  <c r="O580" i="172"/>
  <c r="O561" i="172"/>
  <c r="O559" i="172"/>
  <c r="O557" i="172"/>
  <c r="O555" i="172"/>
  <c r="O553" i="172"/>
  <c r="O551" i="172"/>
  <c r="O549" i="172"/>
  <c r="O547" i="172"/>
  <c r="O545" i="172"/>
  <c r="O543" i="172"/>
  <c r="O541" i="172"/>
  <c r="O539" i="172"/>
  <c r="O537" i="172"/>
  <c r="O535" i="172"/>
  <c r="O533" i="172"/>
  <c r="O531" i="172"/>
  <c r="O529" i="172"/>
  <c r="O527" i="172"/>
  <c r="O525" i="172"/>
  <c r="O523" i="172"/>
  <c r="O521" i="172"/>
  <c r="O519" i="172"/>
  <c r="O517" i="172"/>
  <c r="O515" i="172"/>
  <c r="O513" i="172"/>
  <c r="O511" i="172"/>
  <c r="O509" i="172"/>
  <c r="O507" i="172"/>
  <c r="O505" i="172"/>
  <c r="O503" i="172"/>
  <c r="U500" i="172"/>
  <c r="B500" i="172"/>
  <c r="O491" i="172"/>
  <c r="O487" i="172"/>
  <c r="V485" i="172"/>
  <c r="O484" i="172"/>
  <c r="V481" i="172"/>
  <c r="O480" i="172"/>
  <c r="U475" i="172"/>
  <c r="U471" i="172"/>
  <c r="O470" i="172"/>
  <c r="O469" i="172"/>
  <c r="V468" i="172"/>
  <c r="O466" i="172"/>
  <c r="O465" i="172"/>
  <c r="V464" i="172"/>
  <c r="O459" i="172"/>
  <c r="O455" i="172"/>
  <c r="V453" i="172"/>
  <c r="R453" i="172"/>
  <c r="O452" i="172"/>
  <c r="O450" i="172"/>
  <c r="O449" i="172"/>
  <c r="V448" i="172"/>
  <c r="U446" i="172"/>
  <c r="V445" i="172"/>
  <c r="O442" i="172"/>
  <c r="O441" i="172"/>
  <c r="V440" i="172"/>
  <c r="U438" i="172"/>
  <c r="V437" i="172"/>
  <c r="O434" i="172"/>
  <c r="O433" i="172"/>
  <c r="V432" i="172"/>
  <c r="U430" i="172"/>
  <c r="V429" i="172"/>
  <c r="R429" i="172"/>
  <c r="O426" i="172"/>
  <c r="O425" i="172"/>
  <c r="V424" i="172"/>
  <c r="U422" i="172"/>
  <c r="V421" i="172"/>
  <c r="R421" i="172"/>
  <c r="O418" i="172"/>
  <c r="O417" i="172"/>
  <c r="V416" i="172"/>
  <c r="U414" i="172"/>
  <c r="V413" i="172"/>
  <c r="O410" i="172"/>
  <c r="O409" i="172"/>
  <c r="V408" i="172"/>
  <c r="U406" i="172"/>
  <c r="V405" i="172"/>
  <c r="O402" i="172"/>
  <c r="O401" i="172"/>
  <c r="V400" i="172"/>
  <c r="U398" i="172"/>
  <c r="V397" i="172"/>
  <c r="O394" i="172"/>
  <c r="O393" i="172"/>
  <c r="V392" i="172"/>
  <c r="U390" i="172"/>
  <c r="V389" i="172"/>
  <c r="O386" i="172"/>
  <c r="O385" i="172"/>
  <c r="V384" i="172"/>
  <c r="U382" i="172"/>
  <c r="V381" i="172"/>
  <c r="O378" i="172"/>
  <c r="O377" i="172"/>
  <c r="V376" i="172"/>
  <c r="U374" i="172"/>
  <c r="V373" i="172"/>
  <c r="O370" i="172"/>
  <c r="O369" i="172"/>
  <c r="V368" i="172"/>
  <c r="U366" i="172"/>
  <c r="V365" i="172"/>
  <c r="O362" i="172"/>
  <c r="O361" i="172"/>
  <c r="V360" i="172"/>
  <c r="U358" i="172"/>
  <c r="V357" i="172"/>
  <c r="R357" i="172"/>
  <c r="O354" i="172"/>
  <c r="O353" i="172"/>
  <c r="V352" i="172"/>
  <c r="B350" i="172"/>
  <c r="S347" i="172"/>
  <c r="O342" i="172"/>
  <c r="U340" i="172"/>
  <c r="V339" i="172"/>
  <c r="T338" i="172"/>
  <c r="R336" i="172"/>
  <c r="O335" i="172"/>
  <c r="O332" i="172"/>
  <c r="C330" i="172"/>
  <c r="S324" i="172"/>
  <c r="B324" i="172"/>
  <c r="R321" i="172"/>
  <c r="R283" i="172"/>
  <c r="R259" i="172"/>
  <c r="R245" i="172"/>
  <c r="R241" i="172"/>
  <c r="V230" i="172"/>
  <c r="T229" i="172"/>
  <c r="T227" i="172"/>
  <c r="T225" i="172"/>
  <c r="R219" i="172"/>
  <c r="S219" i="172"/>
  <c r="V219" i="172"/>
  <c r="O215" i="172"/>
  <c r="S211" i="172"/>
  <c r="T211" i="172"/>
  <c r="U206" i="172"/>
  <c r="S206" i="172"/>
  <c r="U200" i="172"/>
  <c r="V200" i="172"/>
  <c r="S200" i="172"/>
  <c r="U198" i="172"/>
  <c r="V198" i="172"/>
  <c r="S198" i="172"/>
  <c r="V197" i="172"/>
  <c r="T197" i="172"/>
  <c r="U197" i="172"/>
  <c r="V195" i="172"/>
  <c r="S195" i="172"/>
  <c r="T195" i="172"/>
  <c r="C194" i="172"/>
  <c r="V179" i="172"/>
  <c r="T179" i="172"/>
  <c r="U179" i="172"/>
  <c r="B171" i="172"/>
  <c r="C171" i="172"/>
  <c r="T109" i="172"/>
  <c r="U109" i="172"/>
  <c r="T93" i="172"/>
  <c r="U93" i="172"/>
  <c r="T49" i="172"/>
  <c r="U49" i="172"/>
  <c r="V46" i="172"/>
  <c r="U46" i="172"/>
  <c r="B20" i="172"/>
  <c r="S12" i="172"/>
  <c r="U12" i="172"/>
  <c r="V12" i="172"/>
  <c r="B10" i="172"/>
  <c r="B214" i="172"/>
  <c r="B212" i="172"/>
  <c r="S205" i="172"/>
  <c r="V205" i="172"/>
  <c r="V191" i="172"/>
  <c r="S191" i="172"/>
  <c r="T191" i="172"/>
  <c r="U187" i="172"/>
  <c r="S187" i="172"/>
  <c r="T187" i="172"/>
  <c r="V187" i="172"/>
  <c r="B177" i="172"/>
  <c r="C177" i="172"/>
  <c r="C163" i="172"/>
  <c r="T113" i="172"/>
  <c r="U113" i="172"/>
  <c r="T97" i="172"/>
  <c r="U97" i="172"/>
  <c r="B65" i="172"/>
  <c r="C65" i="172"/>
  <c r="T19" i="172"/>
  <c r="U19" i="172"/>
  <c r="V19" i="172"/>
  <c r="S828" i="172"/>
  <c r="O902" i="172"/>
  <c r="O901" i="172"/>
  <c r="O892" i="172"/>
  <c r="O890" i="172"/>
  <c r="O885" i="172"/>
  <c r="O876" i="172"/>
  <c r="O874" i="172"/>
  <c r="O869" i="172"/>
  <c r="O860" i="172"/>
  <c r="O858" i="172"/>
  <c r="O853" i="172"/>
  <c r="O844" i="172"/>
  <c r="O842" i="172"/>
  <c r="O837" i="172"/>
  <c r="O828" i="172"/>
  <c r="O826" i="172"/>
  <c r="O821" i="172"/>
  <c r="O811" i="172"/>
  <c r="O810" i="172"/>
  <c r="O808" i="172"/>
  <c r="O806" i="172"/>
  <c r="O801" i="172"/>
  <c r="O799" i="172"/>
  <c r="O797" i="172"/>
  <c r="O769" i="172"/>
  <c r="O767" i="172"/>
  <c r="O765" i="172"/>
  <c r="O746" i="172"/>
  <c r="O745" i="172"/>
  <c r="R741" i="172"/>
  <c r="O725" i="172"/>
  <c r="O717" i="172"/>
  <c r="O709" i="172"/>
  <c r="O701" i="172"/>
  <c r="O693" i="172"/>
  <c r="O685" i="172"/>
  <c r="O677" i="172"/>
  <c r="O669" i="172"/>
  <c r="O661" i="172"/>
  <c r="U651" i="172"/>
  <c r="O651" i="172"/>
  <c r="O646" i="172"/>
  <c r="T641" i="172"/>
  <c r="V633" i="172"/>
  <c r="O633" i="172"/>
  <c r="O618" i="172"/>
  <c r="U615" i="172"/>
  <c r="O615" i="172"/>
  <c r="O614" i="172"/>
  <c r="T609" i="172"/>
  <c r="V601" i="172"/>
  <c r="O601" i="172"/>
  <c r="O595" i="172"/>
  <c r="U593" i="172"/>
  <c r="O590" i="172"/>
  <c r="S589" i="172"/>
  <c r="O588" i="172"/>
  <c r="R585" i="172"/>
  <c r="O579" i="172"/>
  <c r="U577" i="172"/>
  <c r="O577" i="172"/>
  <c r="V573" i="172"/>
  <c r="V569" i="172"/>
  <c r="V565" i="172"/>
  <c r="O497" i="172"/>
  <c r="O493" i="172"/>
  <c r="V490" i="172"/>
  <c r="O486" i="172"/>
  <c r="O485" i="172"/>
  <c r="O482" i="172"/>
  <c r="O481" i="172"/>
  <c r="O475" i="172"/>
  <c r="O471" i="172"/>
  <c r="O468" i="172"/>
  <c r="O464" i="172"/>
  <c r="O454" i="172"/>
  <c r="O453" i="172"/>
  <c r="O446" i="172"/>
  <c r="O445" i="172"/>
  <c r="O438" i="172"/>
  <c r="O437" i="172"/>
  <c r="O430" i="172"/>
  <c r="O429" i="172"/>
  <c r="O422" i="172"/>
  <c r="O421" i="172"/>
  <c r="O414" i="172"/>
  <c r="O413" i="172"/>
  <c r="O406" i="172"/>
  <c r="O405" i="172"/>
  <c r="O398" i="172"/>
  <c r="O397" i="172"/>
  <c r="O390" i="172"/>
  <c r="O389" i="172"/>
  <c r="O382" i="172"/>
  <c r="O381" i="172"/>
  <c r="O374" i="172"/>
  <c r="O373" i="172"/>
  <c r="O366" i="172"/>
  <c r="O365" i="172"/>
  <c r="O358" i="172"/>
  <c r="O357" i="172"/>
  <c r="O343" i="172"/>
  <c r="O340" i="172"/>
  <c r="T336" i="172"/>
  <c r="O334" i="172"/>
  <c r="U231" i="172"/>
  <c r="O231" i="172"/>
  <c r="U224" i="172"/>
  <c r="S221" i="172"/>
  <c r="V221" i="172"/>
  <c r="U220" i="172"/>
  <c r="V213" i="172"/>
  <c r="V211" i="172"/>
  <c r="T206" i="172"/>
  <c r="B200" i="172"/>
  <c r="R200" i="172"/>
  <c r="C200" i="172"/>
  <c r="B198" i="172"/>
  <c r="C198" i="172"/>
  <c r="B195" i="172"/>
  <c r="C195" i="172"/>
  <c r="U173" i="172"/>
  <c r="S173" i="172"/>
  <c r="T173" i="172"/>
  <c r="U159" i="172"/>
  <c r="T159" i="172"/>
  <c r="V159" i="172"/>
  <c r="C143" i="172"/>
  <c r="B143" i="172"/>
  <c r="T101" i="172"/>
  <c r="U101" i="172"/>
  <c r="U61" i="172"/>
  <c r="T61" i="172"/>
  <c r="V61" i="172"/>
  <c r="S36" i="172"/>
  <c r="U36" i="172"/>
  <c r="V36" i="172"/>
  <c r="S16" i="172"/>
  <c r="U16" i="172"/>
  <c r="S8" i="172"/>
  <c r="V8" i="172"/>
  <c r="O221" i="172"/>
  <c r="O219" i="172"/>
  <c r="U209" i="172"/>
  <c r="U207" i="172"/>
  <c r="O205" i="172"/>
  <c r="O196" i="172"/>
  <c r="T194" i="172"/>
  <c r="O193" i="172"/>
  <c r="O192" i="172"/>
  <c r="S189" i="172"/>
  <c r="B189" i="172"/>
  <c r="O170" i="172"/>
  <c r="S165" i="172"/>
  <c r="O165" i="172"/>
  <c r="C165" i="172"/>
  <c r="O156" i="172"/>
  <c r="U153" i="172"/>
  <c r="O151" i="172"/>
  <c r="S149" i="172"/>
  <c r="O149" i="172"/>
  <c r="S145" i="172"/>
  <c r="B145" i="172"/>
  <c r="V137" i="172"/>
  <c r="O136" i="172"/>
  <c r="O135" i="172"/>
  <c r="C135" i="172"/>
  <c r="O131" i="172"/>
  <c r="O127" i="172"/>
  <c r="O119" i="172"/>
  <c r="O117" i="172"/>
  <c r="O83" i="172"/>
  <c r="O77" i="172"/>
  <c r="O69" i="172"/>
  <c r="C69" i="172"/>
  <c r="B68" i="172"/>
  <c r="U63" i="172"/>
  <c r="O61" i="172"/>
  <c r="T59" i="172"/>
  <c r="O57" i="172"/>
  <c r="U48" i="172"/>
  <c r="V47" i="172"/>
  <c r="B47" i="172"/>
  <c r="O46" i="172"/>
  <c r="U44" i="172"/>
  <c r="V43" i="172"/>
  <c r="B43" i="172"/>
  <c r="O42" i="172"/>
  <c r="T41" i="172"/>
  <c r="O40" i="172"/>
  <c r="T39" i="172"/>
  <c r="O36" i="172"/>
  <c r="B32" i="172"/>
  <c r="U22" i="172"/>
  <c r="B16" i="172"/>
  <c r="V13" i="172"/>
  <c r="T9" i="172"/>
  <c r="V6" i="172"/>
  <c r="U181" i="172"/>
  <c r="O180" i="172"/>
  <c r="O175" i="172"/>
  <c r="O174" i="172"/>
  <c r="V155" i="172"/>
  <c r="O140" i="172"/>
  <c r="O133" i="172"/>
  <c r="O129" i="172"/>
  <c r="O125" i="172"/>
  <c r="O120" i="172"/>
  <c r="O81" i="172"/>
  <c r="O73" i="172"/>
  <c r="O63" i="172"/>
  <c r="O59" i="172"/>
  <c r="O48" i="172"/>
  <c r="O44" i="172"/>
  <c r="O41" i="172"/>
  <c r="O39" i="172"/>
  <c r="O28" i="172"/>
  <c r="O24" i="172"/>
  <c r="O15" i="172"/>
  <c r="S957" i="172"/>
  <c r="V957" i="172"/>
  <c r="T957" i="172"/>
  <c r="S953" i="172"/>
  <c r="V953" i="172"/>
  <c r="T953" i="172"/>
  <c r="S949" i="172"/>
  <c r="V949" i="172"/>
  <c r="T949" i="172"/>
  <c r="S945" i="172"/>
  <c r="V945" i="172"/>
  <c r="T945" i="172"/>
  <c r="S937" i="172"/>
  <c r="V937" i="172"/>
  <c r="T937" i="172"/>
  <c r="S929" i="172"/>
  <c r="V929" i="172"/>
  <c r="T929" i="172"/>
  <c r="S925" i="172"/>
  <c r="V925" i="172"/>
  <c r="T925" i="172"/>
  <c r="S917" i="172"/>
  <c r="V917" i="172"/>
  <c r="T917" i="172"/>
  <c r="S895" i="172"/>
  <c r="U895" i="172"/>
  <c r="S815" i="172"/>
  <c r="U815" i="172"/>
  <c r="C718" i="172"/>
  <c r="S616" i="172"/>
  <c r="T616" i="172"/>
  <c r="V616" i="172"/>
  <c r="U491" i="172"/>
  <c r="V491" i="172"/>
  <c r="S491" i="172"/>
  <c r="T491" i="172"/>
  <c r="V21" i="172"/>
  <c r="T21" i="172"/>
  <c r="U21" i="172"/>
  <c r="S14" i="172"/>
  <c r="U14" i="172"/>
  <c r="V14" i="172"/>
  <c r="B8" i="172"/>
  <c r="U5" i="172"/>
  <c r="V996" i="172"/>
  <c r="B996" i="172"/>
  <c r="B994" i="172"/>
  <c r="B992" i="172"/>
  <c r="B990" i="172"/>
  <c r="B988" i="172"/>
  <c r="B986" i="172"/>
  <c r="R986" i="172"/>
  <c r="B984" i="172"/>
  <c r="R984" i="172"/>
  <c r="B982" i="172"/>
  <c r="R982" i="172"/>
  <c r="B980" i="172"/>
  <c r="R980" i="172"/>
  <c r="B978" i="172"/>
  <c r="R978" i="172"/>
  <c r="B976" i="172"/>
  <c r="R976" i="172"/>
  <c r="B974" i="172"/>
  <c r="R974" i="172"/>
  <c r="B972" i="172"/>
  <c r="B970" i="172"/>
  <c r="B968" i="172"/>
  <c r="B966" i="172"/>
  <c r="B964" i="172"/>
  <c r="B962" i="172"/>
  <c r="B960" i="172"/>
  <c r="S958" i="172"/>
  <c r="U958" i="172"/>
  <c r="U957" i="172"/>
  <c r="S954" i="172"/>
  <c r="U954" i="172"/>
  <c r="U953" i="172"/>
  <c r="S950" i="172"/>
  <c r="U950" i="172"/>
  <c r="U949" i="172"/>
  <c r="U945" i="172"/>
  <c r="U937" i="172"/>
  <c r="U929" i="172"/>
  <c r="U925" i="172"/>
  <c r="U917" i="172"/>
  <c r="B905" i="172"/>
  <c r="S891" i="172"/>
  <c r="U891" i="172"/>
  <c r="S875" i="172"/>
  <c r="U875" i="172"/>
  <c r="S859" i="172"/>
  <c r="U859" i="172"/>
  <c r="S843" i="172"/>
  <c r="U843" i="172"/>
  <c r="S827" i="172"/>
  <c r="U827" i="172"/>
  <c r="V752" i="172"/>
  <c r="T752" i="172"/>
  <c r="T627" i="172"/>
  <c r="U627" i="172"/>
  <c r="V627" i="172"/>
  <c r="S627" i="172"/>
  <c r="C620" i="172"/>
  <c r="U591" i="172"/>
  <c r="V591" i="172"/>
  <c r="S591" i="172"/>
  <c r="T591" i="172"/>
  <c r="B954" i="172"/>
  <c r="S941" i="172"/>
  <c r="V941" i="172"/>
  <c r="T941" i="172"/>
  <c r="S933" i="172"/>
  <c r="V933" i="172"/>
  <c r="T933" i="172"/>
  <c r="S921" i="172"/>
  <c r="V921" i="172"/>
  <c r="T921" i="172"/>
  <c r="S831" i="172"/>
  <c r="U831" i="172"/>
  <c r="V728" i="172"/>
  <c r="T728" i="172"/>
  <c r="S652" i="172"/>
  <c r="T652" i="172"/>
  <c r="V652" i="172"/>
  <c r="S118" i="172"/>
  <c r="U118" i="172"/>
  <c r="S987" i="172"/>
  <c r="T987" i="172"/>
  <c r="V986" i="172"/>
  <c r="S985" i="172"/>
  <c r="T985" i="172"/>
  <c r="V984" i="172"/>
  <c r="S983" i="172"/>
  <c r="T983" i="172"/>
  <c r="V982" i="172"/>
  <c r="S981" i="172"/>
  <c r="T981" i="172"/>
  <c r="S971" i="172"/>
  <c r="T971" i="172"/>
  <c r="V970" i="172"/>
  <c r="S967" i="172"/>
  <c r="T967" i="172"/>
  <c r="V966" i="172"/>
  <c r="S961" i="172"/>
  <c r="T961" i="172"/>
  <c r="S959" i="172"/>
  <c r="T959" i="172"/>
  <c r="B956" i="172"/>
  <c r="S955" i="172"/>
  <c r="V955" i="172"/>
  <c r="T955" i="172"/>
  <c r="B952" i="172"/>
  <c r="R952" i="172"/>
  <c r="S951" i="172"/>
  <c r="V951" i="172"/>
  <c r="T951" i="172"/>
  <c r="S947" i="172"/>
  <c r="V947" i="172"/>
  <c r="T947" i="172"/>
  <c r="S943" i="172"/>
  <c r="V943" i="172"/>
  <c r="T943" i="172"/>
  <c r="S939" i="172"/>
  <c r="V939" i="172"/>
  <c r="T939" i="172"/>
  <c r="S935" i="172"/>
  <c r="V935" i="172"/>
  <c r="T935" i="172"/>
  <c r="S931" i="172"/>
  <c r="V931" i="172"/>
  <c r="T931" i="172"/>
  <c r="S927" i="172"/>
  <c r="V927" i="172"/>
  <c r="T927" i="172"/>
  <c r="S923" i="172"/>
  <c r="V923" i="172"/>
  <c r="T923" i="172"/>
  <c r="S919" i="172"/>
  <c r="V919" i="172"/>
  <c r="T919" i="172"/>
  <c r="S915" i="172"/>
  <c r="V915" i="172"/>
  <c r="T915" i="172"/>
  <c r="S911" i="172"/>
  <c r="V911" i="172"/>
  <c r="T911" i="172"/>
  <c r="S887" i="172"/>
  <c r="U887" i="172"/>
  <c r="S871" i="172"/>
  <c r="U871" i="172"/>
  <c r="S855" i="172"/>
  <c r="U855" i="172"/>
  <c r="S839" i="172"/>
  <c r="U839" i="172"/>
  <c r="S823" i="172"/>
  <c r="U823" i="172"/>
  <c r="V744" i="172"/>
  <c r="T744" i="172"/>
  <c r="B635" i="172"/>
  <c r="C635" i="172"/>
  <c r="S632" i="172"/>
  <c r="T632" i="172"/>
  <c r="V632" i="172"/>
  <c r="B603" i="172"/>
  <c r="C603" i="172"/>
  <c r="S600" i="172"/>
  <c r="T600" i="172"/>
  <c r="V600" i="172"/>
  <c r="B958" i="172"/>
  <c r="R958" i="172"/>
  <c r="B950" i="172"/>
  <c r="S913" i="172"/>
  <c r="V913" i="172"/>
  <c r="T913" i="172"/>
  <c r="S879" i="172"/>
  <c r="U879" i="172"/>
  <c r="S863" i="172"/>
  <c r="U863" i="172"/>
  <c r="S847" i="172"/>
  <c r="U847" i="172"/>
  <c r="C777" i="172"/>
  <c r="R777" i="172"/>
  <c r="B619" i="172"/>
  <c r="C619" i="172"/>
  <c r="R619" i="172"/>
  <c r="U67" i="172"/>
  <c r="S67" i="172"/>
  <c r="T67" i="172"/>
  <c r="V67" i="172"/>
  <c r="T5" i="172"/>
  <c r="U996" i="172"/>
  <c r="S995" i="172"/>
  <c r="T995" i="172"/>
  <c r="V994" i="172"/>
  <c r="S993" i="172"/>
  <c r="T993" i="172"/>
  <c r="S991" i="172"/>
  <c r="T991" i="172"/>
  <c r="V990" i="172"/>
  <c r="S989" i="172"/>
  <c r="T989" i="172"/>
  <c r="V981" i="172"/>
  <c r="S979" i="172"/>
  <c r="T979" i="172"/>
  <c r="V978" i="172"/>
  <c r="S977" i="172"/>
  <c r="T977" i="172"/>
  <c r="V976" i="172"/>
  <c r="S975" i="172"/>
  <c r="T975" i="172"/>
  <c r="V974" i="172"/>
  <c r="S973" i="172"/>
  <c r="T973" i="172"/>
  <c r="S969" i="172"/>
  <c r="T969" i="172"/>
  <c r="S965" i="172"/>
  <c r="T965" i="172"/>
  <c r="S963" i="172"/>
  <c r="T963" i="172"/>
  <c r="O5" i="172"/>
  <c r="B999" i="172"/>
  <c r="B997" i="172"/>
  <c r="O996" i="172"/>
  <c r="U995" i="172"/>
  <c r="T994" i="172"/>
  <c r="O994" i="172"/>
  <c r="U993" i="172"/>
  <c r="T992" i="172"/>
  <c r="O992" i="172"/>
  <c r="U991" i="172"/>
  <c r="T990" i="172"/>
  <c r="O990" i="172"/>
  <c r="U989" i="172"/>
  <c r="T988" i="172"/>
  <c r="O988" i="172"/>
  <c r="U987" i="172"/>
  <c r="T986" i="172"/>
  <c r="O986" i="172"/>
  <c r="U985" i="172"/>
  <c r="T984" i="172"/>
  <c r="O984" i="172"/>
  <c r="U983" i="172"/>
  <c r="T982" i="172"/>
  <c r="O982" i="172"/>
  <c r="U981" i="172"/>
  <c r="T980" i="172"/>
  <c r="O980" i="172"/>
  <c r="U979" i="172"/>
  <c r="T978" i="172"/>
  <c r="O978" i="172"/>
  <c r="U977" i="172"/>
  <c r="T976" i="172"/>
  <c r="O976" i="172"/>
  <c r="U975" i="172"/>
  <c r="T974" i="172"/>
  <c r="O974" i="172"/>
  <c r="U973" i="172"/>
  <c r="T972" i="172"/>
  <c r="O972" i="172"/>
  <c r="U971" i="172"/>
  <c r="T970" i="172"/>
  <c r="O970" i="172"/>
  <c r="U969" i="172"/>
  <c r="T968" i="172"/>
  <c r="O968" i="172"/>
  <c r="U967" i="172"/>
  <c r="T966" i="172"/>
  <c r="O966" i="172"/>
  <c r="U965" i="172"/>
  <c r="T964" i="172"/>
  <c r="O964" i="172"/>
  <c r="U963" i="172"/>
  <c r="T962" i="172"/>
  <c r="O962" i="172"/>
  <c r="U961" i="172"/>
  <c r="T960" i="172"/>
  <c r="O960" i="172"/>
  <c r="U959" i="172"/>
  <c r="C958" i="172"/>
  <c r="S956" i="172"/>
  <c r="U956" i="172"/>
  <c r="U955" i="172"/>
  <c r="C954" i="172"/>
  <c r="S952" i="172"/>
  <c r="U952" i="172"/>
  <c r="U951" i="172"/>
  <c r="C950" i="172"/>
  <c r="S948" i="172"/>
  <c r="U948" i="172"/>
  <c r="U947" i="172"/>
  <c r="U943" i="172"/>
  <c r="U939" i="172"/>
  <c r="U935" i="172"/>
  <c r="U931" i="172"/>
  <c r="U927" i="172"/>
  <c r="U923" i="172"/>
  <c r="U919" i="172"/>
  <c r="U915" i="172"/>
  <c r="U911" i="172"/>
  <c r="B909" i="172"/>
  <c r="B901" i="172"/>
  <c r="S899" i="172"/>
  <c r="U899" i="172"/>
  <c r="S883" i="172"/>
  <c r="U883" i="172"/>
  <c r="S867" i="172"/>
  <c r="U867" i="172"/>
  <c r="S851" i="172"/>
  <c r="U851" i="172"/>
  <c r="S835" i="172"/>
  <c r="U835" i="172"/>
  <c r="S819" i="172"/>
  <c r="U819" i="172"/>
  <c r="V736" i="172"/>
  <c r="T736" i="172"/>
  <c r="T643" i="172"/>
  <c r="U643" i="172"/>
  <c r="V643" i="172"/>
  <c r="S643" i="172"/>
  <c r="C636" i="172"/>
  <c r="T611" i="172"/>
  <c r="U611" i="172"/>
  <c r="V611" i="172"/>
  <c r="S611" i="172"/>
  <c r="C604" i="172"/>
  <c r="R604" i="172"/>
  <c r="O995" i="172"/>
  <c r="O993" i="172"/>
  <c r="O991" i="172"/>
  <c r="O989" i="172"/>
  <c r="O987" i="172"/>
  <c r="O985" i="172"/>
  <c r="O983" i="172"/>
  <c r="O981" i="172"/>
  <c r="O979" i="172"/>
  <c r="O977" i="172"/>
  <c r="O975" i="172"/>
  <c r="O973" i="172"/>
  <c r="O971" i="172"/>
  <c r="O969" i="172"/>
  <c r="O967" i="172"/>
  <c r="O965" i="172"/>
  <c r="O963" i="172"/>
  <c r="O961" i="172"/>
  <c r="O959" i="172"/>
  <c r="O957" i="172"/>
  <c r="O955" i="172"/>
  <c r="O953" i="172"/>
  <c r="O951" i="172"/>
  <c r="O949" i="172"/>
  <c r="O947" i="172"/>
  <c r="U946" i="172"/>
  <c r="O945" i="172"/>
  <c r="U944" i="172"/>
  <c r="O943" i="172"/>
  <c r="U942" i="172"/>
  <c r="O941" i="172"/>
  <c r="U940" i="172"/>
  <c r="O939" i="172"/>
  <c r="U938" i="172"/>
  <c r="O937" i="172"/>
  <c r="U936" i="172"/>
  <c r="O935" i="172"/>
  <c r="U934" i="172"/>
  <c r="R934" i="172"/>
  <c r="O933" i="172"/>
  <c r="U932" i="172"/>
  <c r="R932" i="172"/>
  <c r="O931" i="172"/>
  <c r="U930" i="172"/>
  <c r="R930" i="172"/>
  <c r="O929" i="172"/>
  <c r="U928" i="172"/>
  <c r="R928" i="172"/>
  <c r="O927" i="172"/>
  <c r="U926" i="172"/>
  <c r="R926" i="172"/>
  <c r="O925" i="172"/>
  <c r="U924" i="172"/>
  <c r="R924" i="172"/>
  <c r="O923" i="172"/>
  <c r="U922" i="172"/>
  <c r="R922" i="172"/>
  <c r="O921" i="172"/>
  <c r="U920" i="172"/>
  <c r="R920" i="172"/>
  <c r="O919" i="172"/>
  <c r="U918" i="172"/>
  <c r="R918" i="172"/>
  <c r="O917" i="172"/>
  <c r="U916" i="172"/>
  <c r="R916" i="172"/>
  <c r="O915" i="172"/>
  <c r="U914" i="172"/>
  <c r="O913" i="172"/>
  <c r="U912" i="172"/>
  <c r="O911" i="172"/>
  <c r="U910" i="172"/>
  <c r="T909" i="172"/>
  <c r="V908" i="172"/>
  <c r="R908" i="172"/>
  <c r="B908" i="172"/>
  <c r="S907" i="172"/>
  <c r="U906" i="172"/>
  <c r="B906" i="172"/>
  <c r="V904" i="172"/>
  <c r="B904" i="172"/>
  <c r="S903" i="172"/>
  <c r="U902" i="172"/>
  <c r="B902" i="172"/>
  <c r="U811" i="172"/>
  <c r="U809" i="172"/>
  <c r="T807" i="172"/>
  <c r="S807" i="172"/>
  <c r="O804" i="172"/>
  <c r="C803" i="172"/>
  <c r="O802" i="172"/>
  <c r="T797" i="172"/>
  <c r="U797" i="172"/>
  <c r="C793" i="172"/>
  <c r="O784" i="172"/>
  <c r="T781" i="172"/>
  <c r="U781" i="172"/>
  <c r="O772" i="172"/>
  <c r="C771" i="172"/>
  <c r="O770" i="172"/>
  <c r="T765" i="172"/>
  <c r="U765" i="172"/>
  <c r="C761" i="172"/>
  <c r="T749" i="172"/>
  <c r="S749" i="172"/>
  <c r="T741" i="172"/>
  <c r="S741" i="172"/>
  <c r="T733" i="172"/>
  <c r="S733" i="172"/>
  <c r="T725" i="172"/>
  <c r="S725" i="172"/>
  <c r="C720" i="172"/>
  <c r="C712" i="172"/>
  <c r="C704" i="172"/>
  <c r="C696" i="172"/>
  <c r="C688" i="172"/>
  <c r="C680" i="172"/>
  <c r="C672" i="172"/>
  <c r="C664" i="172"/>
  <c r="C656" i="172"/>
  <c r="S650" i="172"/>
  <c r="V650" i="172"/>
  <c r="O645" i="172"/>
  <c r="O629" i="172"/>
  <c r="O613" i="172"/>
  <c r="O593" i="172"/>
  <c r="B495" i="172"/>
  <c r="C495" i="172"/>
  <c r="S466" i="172"/>
  <c r="T466" i="172"/>
  <c r="U466" i="172"/>
  <c r="V466" i="172"/>
  <c r="C464" i="172"/>
  <c r="B464" i="172"/>
  <c r="T795" i="172"/>
  <c r="U795" i="172"/>
  <c r="C787" i="172"/>
  <c r="T779" i="172"/>
  <c r="U779" i="172"/>
  <c r="T763" i="172"/>
  <c r="U763" i="172"/>
  <c r="C755" i="172"/>
  <c r="T753" i="172"/>
  <c r="S753" i="172"/>
  <c r="T745" i="172"/>
  <c r="S745" i="172"/>
  <c r="T737" i="172"/>
  <c r="S737" i="172"/>
  <c r="T729" i="172"/>
  <c r="S729" i="172"/>
  <c r="C722" i="172"/>
  <c r="B643" i="172"/>
  <c r="C643" i="172"/>
  <c r="S640" i="172"/>
  <c r="T640" i="172"/>
  <c r="V640" i="172"/>
  <c r="T635" i="172"/>
  <c r="U635" i="172"/>
  <c r="V635" i="172"/>
  <c r="C628" i="172"/>
  <c r="B627" i="172"/>
  <c r="C627" i="172"/>
  <c r="R627" i="172"/>
  <c r="S624" i="172"/>
  <c r="T624" i="172"/>
  <c r="V624" i="172"/>
  <c r="T619" i="172"/>
  <c r="U619" i="172"/>
  <c r="V619" i="172"/>
  <c r="C612" i="172"/>
  <c r="B611" i="172"/>
  <c r="C611" i="172"/>
  <c r="S608" i="172"/>
  <c r="T608" i="172"/>
  <c r="V608" i="172"/>
  <c r="T603" i="172"/>
  <c r="U603" i="172"/>
  <c r="V603" i="172"/>
  <c r="O958" i="172"/>
  <c r="O956" i="172"/>
  <c r="O954" i="172"/>
  <c r="O952" i="172"/>
  <c r="O950" i="172"/>
  <c r="O948" i="172"/>
  <c r="O946" i="172"/>
  <c r="O944" i="172"/>
  <c r="O942" i="172"/>
  <c r="O940" i="172"/>
  <c r="O938" i="172"/>
  <c r="O936" i="172"/>
  <c r="O934" i="172"/>
  <c r="O932" i="172"/>
  <c r="O930" i="172"/>
  <c r="O928" i="172"/>
  <c r="O926" i="172"/>
  <c r="O924" i="172"/>
  <c r="O922" i="172"/>
  <c r="O920" i="172"/>
  <c r="O918" i="172"/>
  <c r="O916" i="172"/>
  <c r="O914" i="172"/>
  <c r="O912" i="172"/>
  <c r="O910" i="172"/>
  <c r="V909" i="172"/>
  <c r="O909" i="172"/>
  <c r="S908" i="172"/>
  <c r="U907" i="172"/>
  <c r="U905" i="172"/>
  <c r="S904" i="172"/>
  <c r="U903" i="172"/>
  <c r="U901" i="172"/>
  <c r="T805" i="172"/>
  <c r="U805" i="172"/>
  <c r="T801" i="172"/>
  <c r="S801" i="172"/>
  <c r="T799" i="172"/>
  <c r="S799" i="172"/>
  <c r="C791" i="172"/>
  <c r="O790" i="172"/>
  <c r="C789" i="172"/>
  <c r="T785" i="172"/>
  <c r="S785" i="172"/>
  <c r="T783" i="172"/>
  <c r="S783" i="172"/>
  <c r="C775" i="172"/>
  <c r="O773" i="172"/>
  <c r="C773" i="172"/>
  <c r="T769" i="172"/>
  <c r="S769" i="172"/>
  <c r="T767" i="172"/>
  <c r="S767" i="172"/>
  <c r="C759" i="172"/>
  <c r="R759" i="172"/>
  <c r="O758" i="172"/>
  <c r="C757" i="172"/>
  <c r="B748" i="172"/>
  <c r="C748" i="172"/>
  <c r="B740" i="172"/>
  <c r="C740" i="172"/>
  <c r="B732" i="172"/>
  <c r="C732" i="172"/>
  <c r="C724" i="172"/>
  <c r="C716" i="172"/>
  <c r="C708" i="172"/>
  <c r="C700" i="172"/>
  <c r="C692" i="172"/>
  <c r="C684" i="172"/>
  <c r="C676" i="172"/>
  <c r="C668" i="172"/>
  <c r="C660" i="172"/>
  <c r="U583" i="172"/>
  <c r="V583" i="172"/>
  <c r="S583" i="172"/>
  <c r="U499" i="172"/>
  <c r="V499" i="172"/>
  <c r="S499" i="172"/>
  <c r="T499" i="172"/>
  <c r="S482" i="172"/>
  <c r="T482" i="172"/>
  <c r="U482" i="172"/>
  <c r="V482" i="172"/>
  <c r="C480" i="172"/>
  <c r="B480" i="172"/>
  <c r="O793" i="172"/>
  <c r="O775" i="172"/>
  <c r="O761" i="172"/>
  <c r="O722" i="172"/>
  <c r="O718" i="172"/>
  <c r="O714" i="172"/>
  <c r="C714" i="172"/>
  <c r="O710" i="172"/>
  <c r="C710" i="172"/>
  <c r="O706" i="172"/>
  <c r="C706" i="172"/>
  <c r="O702" i="172"/>
  <c r="C702" i="172"/>
  <c r="O698" i="172"/>
  <c r="C698" i="172"/>
  <c r="O694" i="172"/>
  <c r="C694" i="172"/>
  <c r="O690" i="172"/>
  <c r="C690" i="172"/>
  <c r="O686" i="172"/>
  <c r="C686" i="172"/>
  <c r="O682" i="172"/>
  <c r="C682" i="172"/>
  <c r="O678" i="172"/>
  <c r="C678" i="172"/>
  <c r="O674" i="172"/>
  <c r="C674" i="172"/>
  <c r="O670" i="172"/>
  <c r="C670" i="172"/>
  <c r="O666" i="172"/>
  <c r="C666" i="172"/>
  <c r="O662" i="172"/>
  <c r="C662" i="172"/>
  <c r="O658" i="172"/>
  <c r="C658" i="172"/>
  <c r="O654" i="172"/>
  <c r="C654" i="172"/>
  <c r="O652" i="172"/>
  <c r="T651" i="172"/>
  <c r="O650" i="172"/>
  <c r="T649" i="172"/>
  <c r="T644" i="172"/>
  <c r="O640" i="172"/>
  <c r="T639" i="172"/>
  <c r="T636" i="172"/>
  <c r="O632" i="172"/>
  <c r="T631" i="172"/>
  <c r="T628" i="172"/>
  <c r="O624" i="172"/>
  <c r="T623" i="172"/>
  <c r="T620" i="172"/>
  <c r="O616" i="172"/>
  <c r="T615" i="172"/>
  <c r="T612" i="172"/>
  <c r="O608" i="172"/>
  <c r="T607" i="172"/>
  <c r="T604" i="172"/>
  <c r="O600" i="172"/>
  <c r="T599" i="172"/>
  <c r="O592" i="172"/>
  <c r="S590" i="172"/>
  <c r="T590" i="172"/>
  <c r="O584" i="172"/>
  <c r="S582" i="172"/>
  <c r="T582" i="172"/>
  <c r="B576" i="172"/>
  <c r="B574" i="172"/>
  <c r="B572" i="172"/>
  <c r="B570" i="172"/>
  <c r="B568" i="172"/>
  <c r="B566" i="172"/>
  <c r="B564" i="172"/>
  <c r="B562" i="172"/>
  <c r="U561" i="172"/>
  <c r="V561" i="172"/>
  <c r="U559" i="172"/>
  <c r="V559" i="172"/>
  <c r="U557" i="172"/>
  <c r="V557" i="172"/>
  <c r="U555" i="172"/>
  <c r="V555" i="172"/>
  <c r="U553" i="172"/>
  <c r="V553" i="172"/>
  <c r="U551" i="172"/>
  <c r="V551" i="172"/>
  <c r="U549" i="172"/>
  <c r="V549" i="172"/>
  <c r="U547" i="172"/>
  <c r="V547" i="172"/>
  <c r="U545" i="172"/>
  <c r="V545" i="172"/>
  <c r="U543" i="172"/>
  <c r="V543" i="172"/>
  <c r="U541" i="172"/>
  <c r="V541" i="172"/>
  <c r="U539" i="172"/>
  <c r="V539" i="172"/>
  <c r="U537" i="172"/>
  <c r="V537" i="172"/>
  <c r="U535" i="172"/>
  <c r="V535" i="172"/>
  <c r="U533" i="172"/>
  <c r="V533" i="172"/>
  <c r="U531" i="172"/>
  <c r="V531" i="172"/>
  <c r="U529" i="172"/>
  <c r="V529" i="172"/>
  <c r="U527" i="172"/>
  <c r="V527" i="172"/>
  <c r="U525" i="172"/>
  <c r="V525" i="172"/>
  <c r="U523" i="172"/>
  <c r="V523" i="172"/>
  <c r="U521" i="172"/>
  <c r="V521" i="172"/>
  <c r="U519" i="172"/>
  <c r="V519" i="172"/>
  <c r="U517" i="172"/>
  <c r="V517" i="172"/>
  <c r="U515" i="172"/>
  <c r="V515" i="172"/>
  <c r="U513" i="172"/>
  <c r="V513" i="172"/>
  <c r="U511" i="172"/>
  <c r="V511" i="172"/>
  <c r="U509" i="172"/>
  <c r="V509" i="172"/>
  <c r="U507" i="172"/>
  <c r="V507" i="172"/>
  <c r="U505" i="172"/>
  <c r="V505" i="172"/>
  <c r="U503" i="172"/>
  <c r="V503" i="172"/>
  <c r="U501" i="172"/>
  <c r="V501" i="172"/>
  <c r="B497" i="172"/>
  <c r="C497" i="172"/>
  <c r="U493" i="172"/>
  <c r="V493" i="172"/>
  <c r="S493" i="172"/>
  <c r="B489" i="172"/>
  <c r="C489" i="172"/>
  <c r="S478" i="172"/>
  <c r="T478" i="172"/>
  <c r="U478" i="172"/>
  <c r="C476" i="172"/>
  <c r="B476" i="172"/>
  <c r="S462" i="172"/>
  <c r="T462" i="172"/>
  <c r="U462" i="172"/>
  <c r="C460" i="172"/>
  <c r="B460" i="172"/>
  <c r="B322" i="172"/>
  <c r="R322" i="172"/>
  <c r="C322" i="172"/>
  <c r="B593" i="172"/>
  <c r="C592" i="172"/>
  <c r="B585" i="172"/>
  <c r="C584" i="172"/>
  <c r="B577" i="172"/>
  <c r="B575" i="172"/>
  <c r="B573" i="172"/>
  <c r="R573" i="172"/>
  <c r="B571" i="172"/>
  <c r="B569" i="172"/>
  <c r="B567" i="172"/>
  <c r="B565" i="172"/>
  <c r="B563" i="172"/>
  <c r="R563" i="172"/>
  <c r="C560" i="172"/>
  <c r="C558" i="172"/>
  <c r="C556" i="172"/>
  <c r="C554" i="172"/>
  <c r="C552" i="172"/>
  <c r="C550" i="172"/>
  <c r="C548" i="172"/>
  <c r="C546" i="172"/>
  <c r="C544" i="172"/>
  <c r="C542" i="172"/>
  <c r="C540" i="172"/>
  <c r="C538" i="172"/>
  <c r="C536" i="172"/>
  <c r="C534" i="172"/>
  <c r="C532" i="172"/>
  <c r="C530" i="172"/>
  <c r="C528" i="172"/>
  <c r="C526" i="172"/>
  <c r="C524" i="172"/>
  <c r="C522" i="172"/>
  <c r="C520" i="172"/>
  <c r="C518" i="172"/>
  <c r="C516" i="172"/>
  <c r="C514" i="172"/>
  <c r="C512" i="172"/>
  <c r="C510" i="172"/>
  <c r="C508" i="172"/>
  <c r="C506" i="172"/>
  <c r="C504" i="172"/>
  <c r="C502" i="172"/>
  <c r="B499" i="172"/>
  <c r="C499" i="172"/>
  <c r="U495" i="172"/>
  <c r="V495" i="172"/>
  <c r="S495" i="172"/>
  <c r="B491" i="172"/>
  <c r="C491" i="172"/>
  <c r="C488" i="172"/>
  <c r="B488" i="172"/>
  <c r="S474" i="172"/>
  <c r="T474" i="172"/>
  <c r="U474" i="172"/>
  <c r="C472" i="172"/>
  <c r="B472" i="172"/>
  <c r="S458" i="172"/>
  <c r="T458" i="172"/>
  <c r="U458" i="172"/>
  <c r="C456" i="172"/>
  <c r="B456" i="172"/>
  <c r="S803" i="172"/>
  <c r="U791" i="172"/>
  <c r="O791" i="172"/>
  <c r="S789" i="172"/>
  <c r="U777" i="172"/>
  <c r="O777" i="172"/>
  <c r="S771" i="172"/>
  <c r="U759" i="172"/>
  <c r="O759" i="172"/>
  <c r="S757" i="172"/>
  <c r="O751" i="172"/>
  <c r="O748" i="172"/>
  <c r="O747" i="172"/>
  <c r="O743" i="172"/>
  <c r="O740" i="172"/>
  <c r="O739" i="172"/>
  <c r="O735" i="172"/>
  <c r="O732" i="172"/>
  <c r="O731" i="172"/>
  <c r="O724" i="172"/>
  <c r="O720" i="172"/>
  <c r="O716" i="172"/>
  <c r="O712" i="172"/>
  <c r="O708" i="172"/>
  <c r="O704" i="172"/>
  <c r="O700" i="172"/>
  <c r="O696" i="172"/>
  <c r="O692" i="172"/>
  <c r="O688" i="172"/>
  <c r="O684" i="172"/>
  <c r="O680" i="172"/>
  <c r="O676" i="172"/>
  <c r="O672" i="172"/>
  <c r="O668" i="172"/>
  <c r="O664" i="172"/>
  <c r="O660" i="172"/>
  <c r="O656" i="172"/>
  <c r="V648" i="172"/>
  <c r="O644" i="172"/>
  <c r="V638" i="172"/>
  <c r="O636" i="172"/>
  <c r="V630" i="172"/>
  <c r="O628" i="172"/>
  <c r="R625" i="172"/>
  <c r="V622" i="172"/>
  <c r="O620" i="172"/>
  <c r="R617" i="172"/>
  <c r="V614" i="172"/>
  <c r="O612" i="172"/>
  <c r="R609" i="172"/>
  <c r="V606" i="172"/>
  <c r="O604" i="172"/>
  <c r="V598" i="172"/>
  <c r="R597" i="172"/>
  <c r="S596" i="172"/>
  <c r="V596" i="172"/>
  <c r="C591" i="172"/>
  <c r="R591" i="172"/>
  <c r="S588" i="172"/>
  <c r="V588" i="172"/>
  <c r="C583" i="172"/>
  <c r="S580" i="172"/>
  <c r="V580" i="172"/>
  <c r="S576" i="172"/>
  <c r="T576" i="172"/>
  <c r="S574" i="172"/>
  <c r="T574" i="172"/>
  <c r="S572" i="172"/>
  <c r="T572" i="172"/>
  <c r="S570" i="172"/>
  <c r="T570" i="172"/>
  <c r="S568" i="172"/>
  <c r="T568" i="172"/>
  <c r="S566" i="172"/>
  <c r="T566" i="172"/>
  <c r="S564" i="172"/>
  <c r="T564" i="172"/>
  <c r="S562" i="172"/>
  <c r="T562" i="172"/>
  <c r="T561" i="172"/>
  <c r="B561" i="172"/>
  <c r="C561" i="172"/>
  <c r="T559" i="172"/>
  <c r="B559" i="172"/>
  <c r="C559" i="172"/>
  <c r="T557" i="172"/>
  <c r="B557" i="172"/>
  <c r="C557" i="172"/>
  <c r="T555" i="172"/>
  <c r="B555" i="172"/>
  <c r="R555" i="172"/>
  <c r="C555" i="172"/>
  <c r="T553" i="172"/>
  <c r="B553" i="172"/>
  <c r="C553" i="172"/>
  <c r="T551" i="172"/>
  <c r="B551" i="172"/>
  <c r="C551" i="172"/>
  <c r="T549" i="172"/>
  <c r="B549" i="172"/>
  <c r="C549" i="172"/>
  <c r="T547" i="172"/>
  <c r="B547" i="172"/>
  <c r="C547" i="172"/>
  <c r="T545" i="172"/>
  <c r="B545" i="172"/>
  <c r="C545" i="172"/>
  <c r="R544" i="172"/>
  <c r="T543" i="172"/>
  <c r="B543" i="172"/>
  <c r="C543" i="172"/>
  <c r="T541" i="172"/>
  <c r="B541" i="172"/>
  <c r="C541" i="172"/>
  <c r="T539" i="172"/>
  <c r="B539" i="172"/>
  <c r="C539" i="172"/>
  <c r="R538" i="172"/>
  <c r="T537" i="172"/>
  <c r="B537" i="172"/>
  <c r="C537" i="172"/>
  <c r="T535" i="172"/>
  <c r="B535" i="172"/>
  <c r="R535" i="172"/>
  <c r="C535" i="172"/>
  <c r="T533" i="172"/>
  <c r="B533" i="172"/>
  <c r="C533" i="172"/>
  <c r="T531" i="172"/>
  <c r="B531" i="172"/>
  <c r="C531" i="172"/>
  <c r="R530" i="172"/>
  <c r="T529" i="172"/>
  <c r="B529" i="172"/>
  <c r="C529" i="172"/>
  <c r="T527" i="172"/>
  <c r="B527" i="172"/>
  <c r="C527" i="172"/>
  <c r="T525" i="172"/>
  <c r="B525" i="172"/>
  <c r="R525" i="172"/>
  <c r="C525" i="172"/>
  <c r="T523" i="172"/>
  <c r="B523" i="172"/>
  <c r="C523" i="172"/>
  <c r="T521" i="172"/>
  <c r="B521" i="172"/>
  <c r="C521" i="172"/>
  <c r="T519" i="172"/>
  <c r="B519" i="172"/>
  <c r="R519" i="172"/>
  <c r="C519" i="172"/>
  <c r="T517" i="172"/>
  <c r="B517" i="172"/>
  <c r="R517" i="172"/>
  <c r="C517" i="172"/>
  <c r="R516" i="172"/>
  <c r="T515" i="172"/>
  <c r="B515" i="172"/>
  <c r="C515" i="172"/>
  <c r="T513" i="172"/>
  <c r="B513" i="172"/>
  <c r="C513" i="172"/>
  <c r="T511" i="172"/>
  <c r="B511" i="172"/>
  <c r="C511" i="172"/>
  <c r="T509" i="172"/>
  <c r="B509" i="172"/>
  <c r="C509" i="172"/>
  <c r="T507" i="172"/>
  <c r="B507" i="172"/>
  <c r="R507" i="172"/>
  <c r="C507" i="172"/>
  <c r="T505" i="172"/>
  <c r="B505" i="172"/>
  <c r="C505" i="172"/>
  <c r="T503" i="172"/>
  <c r="B503" i="172"/>
  <c r="C503" i="172"/>
  <c r="B501" i="172"/>
  <c r="R501" i="172"/>
  <c r="C501" i="172"/>
  <c r="U497" i="172"/>
  <c r="V497" i="172"/>
  <c r="S497" i="172"/>
  <c r="B493" i="172"/>
  <c r="R493" i="172"/>
  <c r="C493" i="172"/>
  <c r="U489" i="172"/>
  <c r="V489" i="172"/>
  <c r="S489" i="172"/>
  <c r="S486" i="172"/>
  <c r="T486" i="172"/>
  <c r="U486" i="172"/>
  <c r="C484" i="172"/>
  <c r="B484" i="172"/>
  <c r="S470" i="172"/>
  <c r="T470" i="172"/>
  <c r="U470" i="172"/>
  <c r="C468" i="172"/>
  <c r="B468" i="172"/>
  <c r="S454" i="172"/>
  <c r="T454" i="172"/>
  <c r="U454" i="172"/>
  <c r="C452" i="172"/>
  <c r="B452" i="172"/>
  <c r="R452" i="172"/>
  <c r="C450" i="172"/>
  <c r="B450" i="172"/>
  <c r="C448" i="172"/>
  <c r="B448" i="172"/>
  <c r="C446" i="172"/>
  <c r="B446" i="172"/>
  <c r="C444" i="172"/>
  <c r="B444" i="172"/>
  <c r="C442" i="172"/>
  <c r="B442" i="172"/>
  <c r="C440" i="172"/>
  <c r="B440" i="172"/>
  <c r="C438" i="172"/>
  <c r="B438" i="172"/>
  <c r="C436" i="172"/>
  <c r="B436" i="172"/>
  <c r="C434" i="172"/>
  <c r="B434" i="172"/>
  <c r="C432" i="172"/>
  <c r="B432" i="172"/>
  <c r="C430" i="172"/>
  <c r="B430" i="172"/>
  <c r="C428" i="172"/>
  <c r="B428" i="172"/>
  <c r="C426" i="172"/>
  <c r="B426" i="172"/>
  <c r="C424" i="172"/>
  <c r="B424" i="172"/>
  <c r="C422" i="172"/>
  <c r="B422" i="172"/>
  <c r="C420" i="172"/>
  <c r="B420" i="172"/>
  <c r="C418" i="172"/>
  <c r="B418" i="172"/>
  <c r="C416" i="172"/>
  <c r="B416" i="172"/>
  <c r="C414" i="172"/>
  <c r="B414" i="172"/>
  <c r="C412" i="172"/>
  <c r="B412" i="172"/>
  <c r="C410" i="172"/>
  <c r="B410" i="172"/>
  <c r="C408" i="172"/>
  <c r="B408" i="172"/>
  <c r="C406" i="172"/>
  <c r="B406" i="172"/>
  <c r="C404" i="172"/>
  <c r="B404" i="172"/>
  <c r="C402" i="172"/>
  <c r="B402" i="172"/>
  <c r="C400" i="172"/>
  <c r="B400" i="172"/>
  <c r="C398" i="172"/>
  <c r="B398" i="172"/>
  <c r="C396" i="172"/>
  <c r="B396" i="172"/>
  <c r="C394" i="172"/>
  <c r="B394" i="172"/>
  <c r="C392" i="172"/>
  <c r="B392" i="172"/>
  <c r="C390" i="172"/>
  <c r="B390" i="172"/>
  <c r="C388" i="172"/>
  <c r="B388" i="172"/>
  <c r="C386" i="172"/>
  <c r="B386" i="172"/>
  <c r="C384" i="172"/>
  <c r="B384" i="172"/>
  <c r="C382" i="172"/>
  <c r="B382" i="172"/>
  <c r="C380" i="172"/>
  <c r="B380" i="172"/>
  <c r="C378" i="172"/>
  <c r="B378" i="172"/>
  <c r="C376" i="172"/>
  <c r="B376" i="172"/>
  <c r="C374" i="172"/>
  <c r="B374" i="172"/>
  <c r="C372" i="172"/>
  <c r="B372" i="172"/>
  <c r="C370" i="172"/>
  <c r="B370" i="172"/>
  <c r="C368" i="172"/>
  <c r="B368" i="172"/>
  <c r="C366" i="172"/>
  <c r="B366" i="172"/>
  <c r="C364" i="172"/>
  <c r="B364" i="172"/>
  <c r="C362" i="172"/>
  <c r="B362" i="172"/>
  <c r="C360" i="172"/>
  <c r="B360" i="172"/>
  <c r="C358" i="172"/>
  <c r="B358" i="172"/>
  <c r="C356" i="172"/>
  <c r="B356" i="172"/>
  <c r="C354" i="172"/>
  <c r="B354" i="172"/>
  <c r="C352" i="172"/>
  <c r="B352" i="172"/>
  <c r="B340" i="172"/>
  <c r="C340" i="172"/>
  <c r="C339" i="172"/>
  <c r="B332" i="172"/>
  <c r="C332" i="172"/>
  <c r="B318" i="172"/>
  <c r="C318" i="172"/>
  <c r="T183" i="172"/>
  <c r="U183" i="172"/>
  <c r="V183" i="172"/>
  <c r="S183" i="172"/>
  <c r="C486" i="172"/>
  <c r="B486" i="172"/>
  <c r="C482" i="172"/>
  <c r="B482" i="172"/>
  <c r="C478" i="172"/>
  <c r="B478" i="172"/>
  <c r="C474" i="172"/>
  <c r="B474" i="172"/>
  <c r="C470" i="172"/>
  <c r="B470" i="172"/>
  <c r="C466" i="172"/>
  <c r="B466" i="172"/>
  <c r="C462" i="172"/>
  <c r="B462" i="172"/>
  <c r="C458" i="172"/>
  <c r="B458" i="172"/>
  <c r="C454" i="172"/>
  <c r="B454" i="172"/>
  <c r="S330" i="172"/>
  <c r="U330" i="172"/>
  <c r="T330" i="172"/>
  <c r="V330" i="172"/>
  <c r="S329" i="172"/>
  <c r="V329" i="172"/>
  <c r="O594" i="172"/>
  <c r="O586" i="172"/>
  <c r="O578" i="172"/>
  <c r="O576" i="172"/>
  <c r="O574" i="172"/>
  <c r="O572" i="172"/>
  <c r="O570" i="172"/>
  <c r="O568" i="172"/>
  <c r="O566" i="172"/>
  <c r="O564" i="172"/>
  <c r="O562" i="172"/>
  <c r="T560" i="172"/>
  <c r="O560" i="172"/>
  <c r="T558" i="172"/>
  <c r="O558" i="172"/>
  <c r="T556" i="172"/>
  <c r="O556" i="172"/>
  <c r="T554" i="172"/>
  <c r="O554" i="172"/>
  <c r="T552" i="172"/>
  <c r="O552" i="172"/>
  <c r="T550" i="172"/>
  <c r="O550" i="172"/>
  <c r="T548" i="172"/>
  <c r="O548" i="172"/>
  <c r="T546" i="172"/>
  <c r="O546" i="172"/>
  <c r="T544" i="172"/>
  <c r="O544" i="172"/>
  <c r="T542" i="172"/>
  <c r="O542" i="172"/>
  <c r="T540" i="172"/>
  <c r="O540" i="172"/>
  <c r="T538" i="172"/>
  <c r="O538" i="172"/>
  <c r="T536" i="172"/>
  <c r="O536" i="172"/>
  <c r="T534" i="172"/>
  <c r="O534" i="172"/>
  <c r="T532" i="172"/>
  <c r="O532" i="172"/>
  <c r="T530" i="172"/>
  <c r="O530" i="172"/>
  <c r="T528" i="172"/>
  <c r="O528" i="172"/>
  <c r="T526" i="172"/>
  <c r="O526" i="172"/>
  <c r="T524" i="172"/>
  <c r="O524" i="172"/>
  <c r="T522" i="172"/>
  <c r="O522" i="172"/>
  <c r="T520" i="172"/>
  <c r="O520" i="172"/>
  <c r="T518" i="172"/>
  <c r="O518" i="172"/>
  <c r="T516" i="172"/>
  <c r="O516" i="172"/>
  <c r="T514" i="172"/>
  <c r="O514" i="172"/>
  <c r="T512" i="172"/>
  <c r="O512" i="172"/>
  <c r="T510" i="172"/>
  <c r="O510" i="172"/>
  <c r="T508" i="172"/>
  <c r="O508" i="172"/>
  <c r="T506" i="172"/>
  <c r="O506" i="172"/>
  <c r="T504" i="172"/>
  <c r="O504" i="172"/>
  <c r="T502" i="172"/>
  <c r="O502" i="172"/>
  <c r="T500" i="172"/>
  <c r="O500" i="172"/>
  <c r="T498" i="172"/>
  <c r="O498" i="172"/>
  <c r="T496" i="172"/>
  <c r="O496" i="172"/>
  <c r="T494" i="172"/>
  <c r="O494" i="172"/>
  <c r="T492" i="172"/>
  <c r="O492" i="172"/>
  <c r="T490" i="172"/>
  <c r="O490" i="172"/>
  <c r="T488" i="172"/>
  <c r="O488" i="172"/>
  <c r="R486" i="172"/>
  <c r="U484" i="172"/>
  <c r="R482" i="172"/>
  <c r="U480" i="172"/>
  <c r="U476" i="172"/>
  <c r="U472" i="172"/>
  <c r="R470" i="172"/>
  <c r="U468" i="172"/>
  <c r="R466" i="172"/>
  <c r="U464" i="172"/>
  <c r="U460" i="172"/>
  <c r="U456" i="172"/>
  <c r="U452" i="172"/>
  <c r="R450" i="172"/>
  <c r="R446" i="172"/>
  <c r="R440" i="172"/>
  <c r="R438" i="172"/>
  <c r="R436" i="172"/>
  <c r="R424" i="172"/>
  <c r="R420" i="172"/>
  <c r="R374" i="172"/>
  <c r="R370" i="172"/>
  <c r="R368" i="172"/>
  <c r="R362" i="172"/>
  <c r="R360" i="172"/>
  <c r="R358" i="172"/>
  <c r="R354" i="172"/>
  <c r="R340" i="172"/>
  <c r="U326" i="172"/>
  <c r="S326" i="172"/>
  <c r="T326" i="172"/>
  <c r="V326" i="172"/>
  <c r="S325" i="172"/>
  <c r="V325" i="172"/>
  <c r="V351" i="172"/>
  <c r="B351" i="172"/>
  <c r="B349" i="172"/>
  <c r="B347" i="172"/>
  <c r="S343" i="172"/>
  <c r="V343" i="172"/>
  <c r="V338" i="172"/>
  <c r="C338" i="172"/>
  <c r="R338" i="172"/>
  <c r="S335" i="172"/>
  <c r="V335" i="172"/>
  <c r="S322" i="172"/>
  <c r="U322" i="172"/>
  <c r="S321" i="172"/>
  <c r="V321" i="172"/>
  <c r="U318" i="172"/>
  <c r="S318" i="172"/>
  <c r="C161" i="172"/>
  <c r="B161" i="172"/>
  <c r="S350" i="172"/>
  <c r="T350" i="172"/>
  <c r="S348" i="172"/>
  <c r="T348" i="172"/>
  <c r="S346" i="172"/>
  <c r="T346" i="172"/>
  <c r="O351" i="172"/>
  <c r="U350" i="172"/>
  <c r="T349" i="172"/>
  <c r="O349" i="172"/>
  <c r="U348" i="172"/>
  <c r="T347" i="172"/>
  <c r="O347" i="172"/>
  <c r="U346" i="172"/>
  <c r="R345" i="172"/>
  <c r="S345" i="172"/>
  <c r="T345" i="172"/>
  <c r="V341" i="172"/>
  <c r="O339" i="172"/>
  <c r="S338" i="172"/>
  <c r="S337" i="172"/>
  <c r="T337" i="172"/>
  <c r="V333" i="172"/>
  <c r="O331" i="172"/>
  <c r="B330" i="172"/>
  <c r="R330" i="172"/>
  <c r="B326" i="172"/>
  <c r="T322" i="172"/>
  <c r="T318" i="172"/>
  <c r="C317" i="172"/>
  <c r="B317" i="172"/>
  <c r="C315" i="172"/>
  <c r="B315" i="172"/>
  <c r="C313" i="172"/>
  <c r="B313" i="172"/>
  <c r="C311" i="172"/>
  <c r="B311" i="172"/>
  <c r="C309" i="172"/>
  <c r="B309" i="172"/>
  <c r="C307" i="172"/>
  <c r="B307" i="172"/>
  <c r="C305" i="172"/>
  <c r="B305" i="172"/>
  <c r="C303" i="172"/>
  <c r="B303" i="172"/>
  <c r="C301" i="172"/>
  <c r="B301" i="172"/>
  <c r="C299" i="172"/>
  <c r="B299" i="172"/>
  <c r="S203" i="172"/>
  <c r="V203" i="172"/>
  <c r="T203" i="172"/>
  <c r="U203" i="172"/>
  <c r="U169" i="172"/>
  <c r="V169" i="172"/>
  <c r="S169" i="172"/>
  <c r="T169" i="172"/>
  <c r="O350" i="172"/>
  <c r="O348" i="172"/>
  <c r="O346" i="172"/>
  <c r="O341" i="172"/>
  <c r="O333" i="172"/>
  <c r="O329" i="172"/>
  <c r="O326" i="172"/>
  <c r="O321" i="172"/>
  <c r="O318" i="172"/>
  <c r="V317" i="172"/>
  <c r="B297" i="172"/>
  <c r="B295" i="172"/>
  <c r="B293" i="172"/>
  <c r="B291" i="172"/>
  <c r="B289" i="172"/>
  <c r="B287" i="172"/>
  <c r="B285" i="172"/>
  <c r="B283" i="172"/>
  <c r="B281" i="172"/>
  <c r="B279" i="172"/>
  <c r="B277" i="172"/>
  <c r="B275" i="172"/>
  <c r="B273" i="172"/>
  <c r="B271" i="172"/>
  <c r="B269" i="172"/>
  <c r="B267" i="172"/>
  <c r="B265" i="172"/>
  <c r="B263" i="172"/>
  <c r="B261" i="172"/>
  <c r="B259" i="172"/>
  <c r="B257" i="172"/>
  <c r="B255" i="172"/>
  <c r="B253" i="172"/>
  <c r="B251" i="172"/>
  <c r="B249" i="172"/>
  <c r="B247" i="172"/>
  <c r="B245" i="172"/>
  <c r="B243" i="172"/>
  <c r="B241" i="172"/>
  <c r="B239" i="172"/>
  <c r="B237" i="172"/>
  <c r="B235" i="172"/>
  <c r="B233" i="172"/>
  <c r="B231" i="172"/>
  <c r="B229" i="172"/>
  <c r="B227" i="172"/>
  <c r="C225" i="172"/>
  <c r="B225" i="172"/>
  <c r="O224" i="172"/>
  <c r="T221" i="172"/>
  <c r="C221" i="172"/>
  <c r="B221" i="172"/>
  <c r="O220" i="172"/>
  <c r="T217" i="172"/>
  <c r="C217" i="172"/>
  <c r="B217" i="172"/>
  <c r="O216" i="172"/>
  <c r="T213" i="172"/>
  <c r="C213" i="172"/>
  <c r="B213" i="172"/>
  <c r="O212" i="172"/>
  <c r="T209" i="172"/>
  <c r="C209" i="172"/>
  <c r="B209" i="172"/>
  <c r="O208" i="172"/>
  <c r="T205" i="172"/>
  <c r="C205" i="172"/>
  <c r="B205" i="172"/>
  <c r="O204" i="172"/>
  <c r="S201" i="172"/>
  <c r="V201" i="172"/>
  <c r="S199" i="172"/>
  <c r="V199" i="172"/>
  <c r="T199" i="172"/>
  <c r="U185" i="172"/>
  <c r="V185" i="172"/>
  <c r="S185" i="172"/>
  <c r="B167" i="172"/>
  <c r="C167" i="172"/>
  <c r="C159" i="172"/>
  <c r="R159" i="172"/>
  <c r="B159" i="172"/>
  <c r="S147" i="172"/>
  <c r="U147" i="172"/>
  <c r="T147" i="172"/>
  <c r="V147" i="172"/>
  <c r="O230" i="172"/>
  <c r="O228" i="172"/>
  <c r="V227" i="172"/>
  <c r="O226" i="172"/>
  <c r="V225" i="172"/>
  <c r="S196" i="172"/>
  <c r="T196" i="172"/>
  <c r="V196" i="172"/>
  <c r="B183" i="172"/>
  <c r="C183" i="172"/>
  <c r="B169" i="172"/>
  <c r="C169" i="172"/>
  <c r="B157" i="172"/>
  <c r="C157" i="172"/>
  <c r="B136" i="172"/>
  <c r="O330" i="172"/>
  <c r="O325" i="172"/>
  <c r="O322" i="172"/>
  <c r="C223" i="172"/>
  <c r="B223" i="172"/>
  <c r="O222" i="172"/>
  <c r="C219" i="172"/>
  <c r="B219" i="172"/>
  <c r="O218" i="172"/>
  <c r="C215" i="172"/>
  <c r="B215" i="172"/>
  <c r="O214" i="172"/>
  <c r="C211" i="172"/>
  <c r="B211" i="172"/>
  <c r="O210" i="172"/>
  <c r="C207" i="172"/>
  <c r="B207" i="172"/>
  <c r="O206" i="172"/>
  <c r="B185" i="172"/>
  <c r="C185" i="172"/>
  <c r="T167" i="172"/>
  <c r="U167" i="172"/>
  <c r="V167" i="172"/>
  <c r="B139" i="172"/>
  <c r="C139" i="172"/>
  <c r="O187" i="172"/>
  <c r="O171" i="172"/>
  <c r="O163" i="172"/>
  <c r="U139" i="172"/>
  <c r="S139" i="172"/>
  <c r="T134" i="172"/>
  <c r="U134" i="172"/>
  <c r="B87" i="172"/>
  <c r="C87" i="172"/>
  <c r="C85" i="172"/>
  <c r="T79" i="172"/>
  <c r="S79" i="172"/>
  <c r="U79" i="172"/>
  <c r="T71" i="172"/>
  <c r="S71" i="172"/>
  <c r="U71" i="172"/>
  <c r="B203" i="172"/>
  <c r="B201" i="172"/>
  <c r="B199" i="172"/>
  <c r="S197" i="172"/>
  <c r="O197" i="172"/>
  <c r="O194" i="172"/>
  <c r="V189" i="172"/>
  <c r="R187" i="172"/>
  <c r="O185" i="172"/>
  <c r="O182" i="172"/>
  <c r="S179" i="172"/>
  <c r="O178" i="172"/>
  <c r="V173" i="172"/>
  <c r="O169" i="172"/>
  <c r="O166" i="172"/>
  <c r="B163" i="172"/>
  <c r="T161" i="172"/>
  <c r="O160" i="172"/>
  <c r="S159" i="172"/>
  <c r="S157" i="172"/>
  <c r="T155" i="172"/>
  <c r="B141" i="172"/>
  <c r="V139" i="172"/>
  <c r="S136" i="172"/>
  <c r="U136" i="172"/>
  <c r="B55" i="172"/>
  <c r="V53" i="172"/>
  <c r="T53" i="172"/>
  <c r="U53" i="172"/>
  <c r="O202" i="172"/>
  <c r="O200" i="172"/>
  <c r="O198" i="172"/>
  <c r="V194" i="172"/>
  <c r="O188" i="172"/>
  <c r="O184" i="172"/>
  <c r="O172" i="172"/>
  <c r="O168" i="172"/>
  <c r="O162" i="172"/>
  <c r="S161" i="172"/>
  <c r="O150" i="172"/>
  <c r="B147" i="172"/>
  <c r="R147" i="172"/>
  <c r="V141" i="172"/>
  <c r="T141" i="172"/>
  <c r="T139" i="172"/>
  <c r="V135" i="172"/>
  <c r="U135" i="172"/>
  <c r="V134" i="172"/>
  <c r="S122" i="172"/>
  <c r="U122" i="172"/>
  <c r="C113" i="172"/>
  <c r="C109" i="172"/>
  <c r="C105" i="172"/>
  <c r="C101" i="172"/>
  <c r="C97" i="172"/>
  <c r="C93" i="172"/>
  <c r="O161" i="172"/>
  <c r="O158" i="172"/>
  <c r="O154" i="172"/>
  <c r="O145" i="172"/>
  <c r="O142" i="172"/>
  <c r="O138" i="172"/>
  <c r="B134" i="172"/>
  <c r="U115" i="172"/>
  <c r="U111" i="172"/>
  <c r="U107" i="172"/>
  <c r="U103" i="172"/>
  <c r="U99" i="172"/>
  <c r="U95" i="172"/>
  <c r="U91" i="172"/>
  <c r="B33" i="172"/>
  <c r="B31" i="172"/>
  <c r="B29" i="172"/>
  <c r="B27" i="172"/>
  <c r="V7" i="172"/>
  <c r="T7" i="172"/>
  <c r="U7" i="172"/>
  <c r="C86" i="172"/>
  <c r="T75" i="172"/>
  <c r="S75" i="172"/>
  <c r="U75" i="172"/>
  <c r="B67" i="172"/>
  <c r="C67" i="172"/>
  <c r="S64" i="172"/>
  <c r="U64" i="172"/>
  <c r="V64" i="172"/>
  <c r="U55" i="172"/>
  <c r="S55" i="172"/>
  <c r="T55" i="172"/>
  <c r="B53" i="172"/>
  <c r="S32" i="172"/>
  <c r="V32" i="172"/>
  <c r="T32" i="172"/>
  <c r="U32" i="172"/>
  <c r="S30" i="172"/>
  <c r="V30" i="172"/>
  <c r="T30" i="172"/>
  <c r="U30" i="172"/>
  <c r="B28" i="172"/>
  <c r="S26" i="172"/>
  <c r="V26" i="172"/>
  <c r="T26" i="172"/>
  <c r="U26" i="172"/>
  <c r="B21" i="172"/>
  <c r="O146" i="172"/>
  <c r="O137" i="172"/>
  <c r="S68" i="172"/>
  <c r="U68" i="172"/>
  <c r="S50" i="172"/>
  <c r="U50" i="172"/>
  <c r="V50" i="172"/>
  <c r="O35" i="172"/>
  <c r="V33" i="172"/>
  <c r="T33" i="172"/>
  <c r="U33" i="172"/>
  <c r="U31" i="172"/>
  <c r="S31" i="172"/>
  <c r="T31" i="172"/>
  <c r="U29" i="172"/>
  <c r="S29" i="172"/>
  <c r="T29" i="172"/>
  <c r="V27" i="172"/>
  <c r="T27" i="172"/>
  <c r="U27" i="172"/>
  <c r="B22" i="172"/>
  <c r="S20" i="172"/>
  <c r="V20" i="172"/>
  <c r="T20" i="172"/>
  <c r="U20" i="172"/>
  <c r="B7" i="172"/>
  <c r="U6" i="172"/>
  <c r="O86" i="172"/>
  <c r="O85" i="172"/>
  <c r="O66" i="172"/>
  <c r="O54" i="172"/>
  <c r="V49" i="172"/>
  <c r="O49" i="172"/>
  <c r="O34" i="172"/>
  <c r="T28" i="172"/>
  <c r="V23" i="172"/>
  <c r="O23" i="172"/>
  <c r="V22" i="172"/>
  <c r="V17" i="172"/>
  <c r="O17" i="172"/>
  <c r="V16" i="172"/>
  <c r="O16" i="172"/>
  <c r="V11" i="172"/>
  <c r="O11" i="172"/>
  <c r="V10" i="172"/>
  <c r="O10" i="172"/>
  <c r="U8" i="172"/>
  <c r="S77" i="172"/>
  <c r="S73" i="172"/>
  <c r="S69" i="172"/>
  <c r="O68" i="172"/>
  <c r="V66" i="172"/>
  <c r="O64" i="172"/>
  <c r="O55" i="172"/>
  <c r="U54" i="172"/>
  <c r="O53" i="172"/>
  <c r="V52" i="172"/>
  <c r="O50" i="172"/>
  <c r="O37" i="172"/>
  <c r="B36" i="172"/>
  <c r="O33" i="172"/>
  <c r="O32" i="172"/>
  <c r="O31" i="172"/>
  <c r="O30" i="172"/>
  <c r="O29" i="172"/>
  <c r="O27" i="172"/>
  <c r="O26" i="172"/>
  <c r="B24" i="172"/>
  <c r="O21" i="172"/>
  <c r="O20" i="172"/>
  <c r="B18" i="172"/>
  <c r="T16" i="172"/>
  <c r="O14" i="172"/>
  <c r="B12" i="172"/>
  <c r="T10" i="172"/>
  <c r="B756" i="172"/>
  <c r="C756" i="172"/>
  <c r="V746" i="172"/>
  <c r="S746" i="172"/>
  <c r="T746" i="172"/>
  <c r="U746" i="172"/>
  <c r="V738" i="172"/>
  <c r="S738" i="172"/>
  <c r="T738" i="172"/>
  <c r="U738" i="172"/>
  <c r="T727" i="172"/>
  <c r="U727" i="172"/>
  <c r="V727" i="172"/>
  <c r="C909" i="172"/>
  <c r="V906" i="172"/>
  <c r="C906" i="172"/>
  <c r="T905" i="172"/>
  <c r="C905" i="172"/>
  <c r="V902" i="172"/>
  <c r="C902" i="172"/>
  <c r="T901" i="172"/>
  <c r="C901" i="172"/>
  <c r="R896" i="172"/>
  <c r="R893" i="172"/>
  <c r="R891" i="172"/>
  <c r="R888" i="172"/>
  <c r="R885" i="172"/>
  <c r="R880" i="172"/>
  <c r="R877" i="172"/>
  <c r="R875" i="172"/>
  <c r="R869" i="172"/>
  <c r="R868" i="172"/>
  <c r="R866" i="172"/>
  <c r="R860" i="172"/>
  <c r="R859" i="172"/>
  <c r="R857" i="172"/>
  <c r="R856" i="172"/>
  <c r="R849" i="172"/>
  <c r="R840" i="172"/>
  <c r="R837" i="172"/>
  <c r="R834" i="172"/>
  <c r="R829" i="172"/>
  <c r="R826" i="172"/>
  <c r="R823" i="172"/>
  <c r="R818" i="172"/>
  <c r="R813" i="172"/>
  <c r="R811" i="172"/>
  <c r="R810" i="172"/>
  <c r="R809" i="172"/>
  <c r="V806" i="172"/>
  <c r="S806" i="172"/>
  <c r="T806" i="172"/>
  <c r="B802" i="172"/>
  <c r="C802" i="172"/>
  <c r="V798" i="172"/>
  <c r="S798" i="172"/>
  <c r="T798" i="172"/>
  <c r="B794" i="172"/>
  <c r="C794" i="172"/>
  <c r="V790" i="172"/>
  <c r="S790" i="172"/>
  <c r="T790" i="172"/>
  <c r="B786" i="172"/>
  <c r="C786" i="172"/>
  <c r="V782" i="172"/>
  <c r="S782" i="172"/>
  <c r="T782" i="172"/>
  <c r="B778" i="172"/>
  <c r="C778" i="172"/>
  <c r="V774" i="172"/>
  <c r="S774" i="172"/>
  <c r="T774" i="172"/>
  <c r="B770" i="172"/>
  <c r="C770" i="172"/>
  <c r="V766" i="172"/>
  <c r="S766" i="172"/>
  <c r="T766" i="172"/>
  <c r="B762" i="172"/>
  <c r="C762" i="172"/>
  <c r="V758" i="172"/>
  <c r="S758" i="172"/>
  <c r="T758" i="172"/>
  <c r="C646" i="172"/>
  <c r="B646" i="172"/>
  <c r="R646" i="172"/>
  <c r="V800" i="172"/>
  <c r="S800" i="172"/>
  <c r="T800" i="172"/>
  <c r="B788" i="172"/>
  <c r="C788" i="172"/>
  <c r="B772" i="172"/>
  <c r="C772" i="172"/>
  <c r="B764" i="172"/>
  <c r="C764" i="172"/>
  <c r="V760" i="172"/>
  <c r="S760" i="172"/>
  <c r="T760" i="172"/>
  <c r="V754" i="172"/>
  <c r="S754" i="172"/>
  <c r="T754" i="172"/>
  <c r="T743" i="172"/>
  <c r="U743" i="172"/>
  <c r="V743" i="172"/>
  <c r="B739" i="172"/>
  <c r="C739" i="172"/>
  <c r="R739" i="172"/>
  <c r="B900" i="172"/>
  <c r="B899" i="172"/>
  <c r="B898" i="172"/>
  <c r="B897" i="172"/>
  <c r="B896" i="172"/>
  <c r="B895" i="172"/>
  <c r="B894" i="172"/>
  <c r="B893" i="172"/>
  <c r="B892" i="172"/>
  <c r="B891" i="172"/>
  <c r="B890" i="172"/>
  <c r="B889" i="172"/>
  <c r="B888" i="172"/>
  <c r="B887" i="172"/>
  <c r="B886" i="172"/>
  <c r="B885" i="172"/>
  <c r="B884" i="172"/>
  <c r="B883" i="172"/>
  <c r="B882" i="172"/>
  <c r="B881" i="172"/>
  <c r="B880" i="172"/>
  <c r="B879" i="172"/>
  <c r="B878" i="172"/>
  <c r="B877" i="172"/>
  <c r="B876" i="172"/>
  <c r="B875" i="172"/>
  <c r="B874" i="172"/>
  <c r="B873" i="172"/>
  <c r="B872" i="172"/>
  <c r="B871" i="172"/>
  <c r="B870" i="172"/>
  <c r="B869" i="172"/>
  <c r="B868" i="172"/>
  <c r="B867" i="172"/>
  <c r="B866" i="172"/>
  <c r="B865" i="172"/>
  <c r="B864" i="172"/>
  <c r="B863" i="172"/>
  <c r="B862" i="172"/>
  <c r="B861" i="172"/>
  <c r="B860" i="172"/>
  <c r="B859" i="172"/>
  <c r="B858" i="172"/>
  <c r="B857" i="172"/>
  <c r="B856" i="172"/>
  <c r="B855" i="172"/>
  <c r="B854" i="172"/>
  <c r="B853" i="172"/>
  <c r="B852" i="172"/>
  <c r="B851" i="172"/>
  <c r="B850" i="172"/>
  <c r="B849" i="172"/>
  <c r="B848" i="172"/>
  <c r="B847" i="172"/>
  <c r="B846" i="172"/>
  <c r="B845" i="172"/>
  <c r="B844" i="172"/>
  <c r="B843" i="172"/>
  <c r="B842" i="172"/>
  <c r="B841" i="172"/>
  <c r="B840" i="172"/>
  <c r="B839" i="172"/>
  <c r="B838" i="172"/>
  <c r="B837" i="172"/>
  <c r="B836" i="172"/>
  <c r="B835" i="172"/>
  <c r="B834" i="172"/>
  <c r="B833" i="172"/>
  <c r="B832" i="172"/>
  <c r="B831" i="172"/>
  <c r="B830" i="172"/>
  <c r="B829" i="172"/>
  <c r="B828" i="172"/>
  <c r="B827" i="172"/>
  <c r="B826" i="172"/>
  <c r="B825" i="172"/>
  <c r="B824" i="172"/>
  <c r="B823" i="172"/>
  <c r="B822" i="172"/>
  <c r="B821" i="172"/>
  <c r="B820" i="172"/>
  <c r="B819" i="172"/>
  <c r="B818" i="172"/>
  <c r="B817" i="172"/>
  <c r="B816" i="172"/>
  <c r="B815" i="172"/>
  <c r="B814" i="172"/>
  <c r="B813" i="172"/>
  <c r="B812" i="172"/>
  <c r="B811" i="172"/>
  <c r="B810" i="172"/>
  <c r="B809" i="172"/>
  <c r="B808" i="172"/>
  <c r="V804" i="172"/>
  <c r="S804" i="172"/>
  <c r="T804" i="172"/>
  <c r="B800" i="172"/>
  <c r="C800" i="172"/>
  <c r="V796" i="172"/>
  <c r="S796" i="172"/>
  <c r="T796" i="172"/>
  <c r="B792" i="172"/>
  <c r="C792" i="172"/>
  <c r="V788" i="172"/>
  <c r="S788" i="172"/>
  <c r="T788" i="172"/>
  <c r="B784" i="172"/>
  <c r="C784" i="172"/>
  <c r="V780" i="172"/>
  <c r="S780" i="172"/>
  <c r="T780" i="172"/>
  <c r="B776" i="172"/>
  <c r="C776" i="172"/>
  <c r="V772" i="172"/>
  <c r="S772" i="172"/>
  <c r="T772" i="172"/>
  <c r="B768" i="172"/>
  <c r="C768" i="172"/>
  <c r="V764" i="172"/>
  <c r="S764" i="172"/>
  <c r="T764" i="172"/>
  <c r="B760" i="172"/>
  <c r="C760" i="172"/>
  <c r="V756" i="172"/>
  <c r="S756" i="172"/>
  <c r="T756" i="172"/>
  <c r="B751" i="172"/>
  <c r="C751" i="172"/>
  <c r="V750" i="172"/>
  <c r="S750" i="172"/>
  <c r="T750" i="172"/>
  <c r="U750" i="172"/>
  <c r="T747" i="172"/>
  <c r="U747" i="172"/>
  <c r="V747" i="172"/>
  <c r="B743" i="172"/>
  <c r="C743" i="172"/>
  <c r="V742" i="172"/>
  <c r="S742" i="172"/>
  <c r="T742" i="172"/>
  <c r="U742" i="172"/>
  <c r="T739" i="172"/>
  <c r="U739" i="172"/>
  <c r="V739" i="172"/>
  <c r="B735" i="172"/>
  <c r="C735" i="172"/>
  <c r="R735" i="172"/>
  <c r="V734" i="172"/>
  <c r="S734" i="172"/>
  <c r="T734" i="172"/>
  <c r="U734" i="172"/>
  <c r="T731" i="172"/>
  <c r="U731" i="172"/>
  <c r="V731" i="172"/>
  <c r="O727" i="172"/>
  <c r="B727" i="172"/>
  <c r="C727" i="172"/>
  <c r="V726" i="172"/>
  <c r="S726" i="172"/>
  <c r="T726" i="172"/>
  <c r="U726" i="172"/>
  <c r="B804" i="172"/>
  <c r="C804" i="172"/>
  <c r="B796" i="172"/>
  <c r="C796" i="172"/>
  <c r="V792" i="172"/>
  <c r="S792" i="172"/>
  <c r="T792" i="172"/>
  <c r="V784" i="172"/>
  <c r="S784" i="172"/>
  <c r="T784" i="172"/>
  <c r="B780" i="172"/>
  <c r="C780" i="172"/>
  <c r="V776" i="172"/>
  <c r="S776" i="172"/>
  <c r="T776" i="172"/>
  <c r="V768" i="172"/>
  <c r="S768" i="172"/>
  <c r="T768" i="172"/>
  <c r="T751" i="172"/>
  <c r="U751" i="172"/>
  <c r="V751" i="172"/>
  <c r="B747" i="172"/>
  <c r="C747" i="172"/>
  <c r="S743" i="172"/>
  <c r="T735" i="172"/>
  <c r="U735" i="172"/>
  <c r="V735" i="172"/>
  <c r="B731" i="172"/>
  <c r="C731" i="172"/>
  <c r="R731" i="172"/>
  <c r="V730" i="172"/>
  <c r="S730" i="172"/>
  <c r="T730" i="172"/>
  <c r="U730" i="172"/>
  <c r="S727" i="172"/>
  <c r="C907" i="172"/>
  <c r="C903" i="172"/>
  <c r="V900" i="172"/>
  <c r="T900" i="172"/>
  <c r="T899" i="172"/>
  <c r="V899" i="172"/>
  <c r="V898" i="172"/>
  <c r="T898" i="172"/>
  <c r="T897" i="172"/>
  <c r="V897" i="172"/>
  <c r="V896" i="172"/>
  <c r="T896" i="172"/>
  <c r="T895" i="172"/>
  <c r="V895" i="172"/>
  <c r="V894" i="172"/>
  <c r="T894" i="172"/>
  <c r="T893" i="172"/>
  <c r="V893" i="172"/>
  <c r="V892" i="172"/>
  <c r="T892" i="172"/>
  <c r="T891" i="172"/>
  <c r="V891" i="172"/>
  <c r="V890" i="172"/>
  <c r="T890" i="172"/>
  <c r="T889" i="172"/>
  <c r="V889" i="172"/>
  <c r="V888" i="172"/>
  <c r="T888" i="172"/>
  <c r="T887" i="172"/>
  <c r="V887" i="172"/>
  <c r="V886" i="172"/>
  <c r="T886" i="172"/>
  <c r="T885" i="172"/>
  <c r="V885" i="172"/>
  <c r="V884" i="172"/>
  <c r="T884" i="172"/>
  <c r="T883" i="172"/>
  <c r="V883" i="172"/>
  <c r="V882" i="172"/>
  <c r="T882" i="172"/>
  <c r="T881" i="172"/>
  <c r="V881" i="172"/>
  <c r="V880" i="172"/>
  <c r="T880" i="172"/>
  <c r="T879" i="172"/>
  <c r="V879" i="172"/>
  <c r="V878" i="172"/>
  <c r="T878" i="172"/>
  <c r="T877" i="172"/>
  <c r="V877" i="172"/>
  <c r="V876" i="172"/>
  <c r="T876" i="172"/>
  <c r="T875" i="172"/>
  <c r="V875" i="172"/>
  <c r="V874" i="172"/>
  <c r="T874" i="172"/>
  <c r="T873" i="172"/>
  <c r="V873" i="172"/>
  <c r="V872" i="172"/>
  <c r="T872" i="172"/>
  <c r="T871" i="172"/>
  <c r="V871" i="172"/>
  <c r="V870" i="172"/>
  <c r="T870" i="172"/>
  <c r="T869" i="172"/>
  <c r="V869" i="172"/>
  <c r="V868" i="172"/>
  <c r="T868" i="172"/>
  <c r="T867" i="172"/>
  <c r="V867" i="172"/>
  <c r="V866" i="172"/>
  <c r="T866" i="172"/>
  <c r="T865" i="172"/>
  <c r="V865" i="172"/>
  <c r="V864" i="172"/>
  <c r="T864" i="172"/>
  <c r="T863" i="172"/>
  <c r="V863" i="172"/>
  <c r="V862" i="172"/>
  <c r="T862" i="172"/>
  <c r="T861" i="172"/>
  <c r="V861" i="172"/>
  <c r="V860" i="172"/>
  <c r="T860" i="172"/>
  <c r="T859" i="172"/>
  <c r="V859" i="172"/>
  <c r="V858" i="172"/>
  <c r="T858" i="172"/>
  <c r="T857" i="172"/>
  <c r="V857" i="172"/>
  <c r="V856" i="172"/>
  <c r="T856" i="172"/>
  <c r="T855" i="172"/>
  <c r="V855" i="172"/>
  <c r="V854" i="172"/>
  <c r="T854" i="172"/>
  <c r="T853" i="172"/>
  <c r="V853" i="172"/>
  <c r="V852" i="172"/>
  <c r="T852" i="172"/>
  <c r="T851" i="172"/>
  <c r="V851" i="172"/>
  <c r="V850" i="172"/>
  <c r="T850" i="172"/>
  <c r="T849" i="172"/>
  <c r="V849" i="172"/>
  <c r="V848" i="172"/>
  <c r="T848" i="172"/>
  <c r="T847" i="172"/>
  <c r="V847" i="172"/>
  <c r="V846" i="172"/>
  <c r="T846" i="172"/>
  <c r="T845" i="172"/>
  <c r="V845" i="172"/>
  <c r="V844" i="172"/>
  <c r="T844" i="172"/>
  <c r="T843" i="172"/>
  <c r="V843" i="172"/>
  <c r="V842" i="172"/>
  <c r="T842" i="172"/>
  <c r="T841" i="172"/>
  <c r="V841" i="172"/>
  <c r="V840" i="172"/>
  <c r="T840" i="172"/>
  <c r="T839" i="172"/>
  <c r="V839" i="172"/>
  <c r="V838" i="172"/>
  <c r="T838" i="172"/>
  <c r="T837" i="172"/>
  <c r="V837" i="172"/>
  <c r="V836" i="172"/>
  <c r="T836" i="172"/>
  <c r="T835" i="172"/>
  <c r="V835" i="172"/>
  <c r="V834" i="172"/>
  <c r="T834" i="172"/>
  <c r="T833" i="172"/>
  <c r="V833" i="172"/>
  <c r="V832" i="172"/>
  <c r="T832" i="172"/>
  <c r="T831" i="172"/>
  <c r="V831" i="172"/>
  <c r="V830" i="172"/>
  <c r="T830" i="172"/>
  <c r="T829" i="172"/>
  <c r="V829" i="172"/>
  <c r="V828" i="172"/>
  <c r="T828" i="172"/>
  <c r="T827" i="172"/>
  <c r="V827" i="172"/>
  <c r="V826" i="172"/>
  <c r="T826" i="172"/>
  <c r="T825" i="172"/>
  <c r="V825" i="172"/>
  <c r="V824" i="172"/>
  <c r="T824" i="172"/>
  <c r="T823" i="172"/>
  <c r="V823" i="172"/>
  <c r="V822" i="172"/>
  <c r="T822" i="172"/>
  <c r="T821" i="172"/>
  <c r="V821" i="172"/>
  <c r="V820" i="172"/>
  <c r="T820" i="172"/>
  <c r="T819" i="172"/>
  <c r="V819" i="172"/>
  <c r="V818" i="172"/>
  <c r="T818" i="172"/>
  <c r="T817" i="172"/>
  <c r="V817" i="172"/>
  <c r="V816" i="172"/>
  <c r="T816" i="172"/>
  <c r="T815" i="172"/>
  <c r="V815" i="172"/>
  <c r="V814" i="172"/>
  <c r="T814" i="172"/>
  <c r="T813" i="172"/>
  <c r="V813" i="172"/>
  <c r="V812" i="172"/>
  <c r="T812" i="172"/>
  <c r="T811" i="172"/>
  <c r="V811" i="172"/>
  <c r="V810" i="172"/>
  <c r="T810" i="172"/>
  <c r="T809" i="172"/>
  <c r="V809" i="172"/>
  <c r="V808" i="172"/>
  <c r="T808" i="172"/>
  <c r="B806" i="172"/>
  <c r="C806" i="172"/>
  <c r="U804" i="172"/>
  <c r="V802" i="172"/>
  <c r="S802" i="172"/>
  <c r="T802" i="172"/>
  <c r="B798" i="172"/>
  <c r="C798" i="172"/>
  <c r="U796" i="172"/>
  <c r="V794" i="172"/>
  <c r="S794" i="172"/>
  <c r="T794" i="172"/>
  <c r="B790" i="172"/>
  <c r="C790" i="172"/>
  <c r="U788" i="172"/>
  <c r="V786" i="172"/>
  <c r="S786" i="172"/>
  <c r="T786" i="172"/>
  <c r="B782" i="172"/>
  <c r="C782" i="172"/>
  <c r="U780" i="172"/>
  <c r="V778" i="172"/>
  <c r="S778" i="172"/>
  <c r="T778" i="172"/>
  <c r="B774" i="172"/>
  <c r="C774" i="172"/>
  <c r="U772" i="172"/>
  <c r="V770" i="172"/>
  <c r="S770" i="172"/>
  <c r="T770" i="172"/>
  <c r="B766" i="172"/>
  <c r="C766" i="172"/>
  <c r="U764" i="172"/>
  <c r="V762" i="172"/>
  <c r="S762" i="172"/>
  <c r="T762" i="172"/>
  <c r="B758" i="172"/>
  <c r="C758" i="172"/>
  <c r="U756" i="172"/>
  <c r="V807" i="172"/>
  <c r="B807" i="172"/>
  <c r="V805" i="172"/>
  <c r="B805" i="172"/>
  <c r="V803" i="172"/>
  <c r="B803" i="172"/>
  <c r="V801" i="172"/>
  <c r="B801" i="172"/>
  <c r="V799" i="172"/>
  <c r="B799" i="172"/>
  <c r="V797" i="172"/>
  <c r="B797" i="172"/>
  <c r="V795" i="172"/>
  <c r="B795" i="172"/>
  <c r="V793" i="172"/>
  <c r="B793" i="172"/>
  <c r="V791" i="172"/>
  <c r="B791" i="172"/>
  <c r="V789" i="172"/>
  <c r="B789" i="172"/>
  <c r="V787" i="172"/>
  <c r="B787" i="172"/>
  <c r="V785" i="172"/>
  <c r="B785" i="172"/>
  <c r="V783" i="172"/>
  <c r="B783" i="172"/>
  <c r="V781" i="172"/>
  <c r="B781" i="172"/>
  <c r="V779" i="172"/>
  <c r="B779" i="172"/>
  <c r="V777" i="172"/>
  <c r="B777" i="172"/>
  <c r="V775" i="172"/>
  <c r="B775" i="172"/>
  <c r="V773" i="172"/>
  <c r="B773" i="172"/>
  <c r="V771" i="172"/>
  <c r="B771" i="172"/>
  <c r="V769" i="172"/>
  <c r="B769" i="172"/>
  <c r="V767" i="172"/>
  <c r="B767" i="172"/>
  <c r="V765" i="172"/>
  <c r="B765" i="172"/>
  <c r="V763" i="172"/>
  <c r="B763" i="172"/>
  <c r="V761" i="172"/>
  <c r="B761" i="172"/>
  <c r="V759" i="172"/>
  <c r="B759" i="172"/>
  <c r="V757" i="172"/>
  <c r="B757" i="172"/>
  <c r="V755" i="172"/>
  <c r="B755" i="172"/>
  <c r="U753" i="172"/>
  <c r="B753" i="172"/>
  <c r="S752" i="172"/>
  <c r="U749" i="172"/>
  <c r="B749" i="172"/>
  <c r="S748" i="172"/>
  <c r="U745" i="172"/>
  <c r="B745" i="172"/>
  <c r="S744" i="172"/>
  <c r="U741" i="172"/>
  <c r="B741" i="172"/>
  <c r="S740" i="172"/>
  <c r="U737" i="172"/>
  <c r="B737" i="172"/>
  <c r="S736" i="172"/>
  <c r="U733" i="172"/>
  <c r="B733" i="172"/>
  <c r="S732" i="172"/>
  <c r="U729" i="172"/>
  <c r="B729" i="172"/>
  <c r="S728" i="172"/>
  <c r="U725" i="172"/>
  <c r="B725" i="172"/>
  <c r="B724" i="172"/>
  <c r="B723" i="172"/>
  <c r="B722" i="172"/>
  <c r="B721" i="172"/>
  <c r="B720" i="172"/>
  <c r="B719" i="172"/>
  <c r="B718" i="172"/>
  <c r="B717" i="172"/>
  <c r="B716" i="172"/>
  <c r="B715" i="172"/>
  <c r="B714" i="172"/>
  <c r="B713" i="172"/>
  <c r="B712" i="172"/>
  <c r="B711" i="172"/>
  <c r="B710" i="172"/>
  <c r="B709" i="172"/>
  <c r="B708" i="172"/>
  <c r="B707" i="172"/>
  <c r="B706" i="172"/>
  <c r="B705" i="172"/>
  <c r="B704" i="172"/>
  <c r="B703" i="172"/>
  <c r="B702" i="172"/>
  <c r="B701" i="172"/>
  <c r="B700" i="172"/>
  <c r="B699" i="172"/>
  <c r="B698" i="172"/>
  <c r="B697" i="172"/>
  <c r="B696" i="172"/>
  <c r="B695" i="172"/>
  <c r="B694" i="172"/>
  <c r="B693" i="172"/>
  <c r="B692" i="172"/>
  <c r="B691" i="172"/>
  <c r="B690" i="172"/>
  <c r="B689" i="172"/>
  <c r="B688" i="172"/>
  <c r="B687" i="172"/>
  <c r="B686" i="172"/>
  <c r="B685" i="172"/>
  <c r="B684" i="172"/>
  <c r="B683" i="172"/>
  <c r="B682" i="172"/>
  <c r="B681" i="172"/>
  <c r="B680" i="172"/>
  <c r="B679" i="172"/>
  <c r="B678" i="172"/>
  <c r="B677" i="172"/>
  <c r="B676" i="172"/>
  <c r="B675" i="172"/>
  <c r="B674" i="172"/>
  <c r="B673" i="172"/>
  <c r="B672" i="172"/>
  <c r="B671" i="172"/>
  <c r="B670" i="172"/>
  <c r="B669" i="172"/>
  <c r="B668" i="172"/>
  <c r="B667" i="172"/>
  <c r="B666" i="172"/>
  <c r="B665" i="172"/>
  <c r="B664" i="172"/>
  <c r="B663" i="172"/>
  <c r="B662" i="172"/>
  <c r="B661" i="172"/>
  <c r="B660" i="172"/>
  <c r="B659" i="172"/>
  <c r="B658" i="172"/>
  <c r="B657" i="172"/>
  <c r="B656" i="172"/>
  <c r="B655" i="172"/>
  <c r="B654" i="172"/>
  <c r="C648" i="172"/>
  <c r="B648" i="172"/>
  <c r="V154" i="172"/>
  <c r="S154" i="172"/>
  <c r="T154" i="172"/>
  <c r="U154" i="172"/>
  <c r="B150" i="172"/>
  <c r="C150" i="172"/>
  <c r="T724" i="172"/>
  <c r="V724" i="172"/>
  <c r="V723" i="172"/>
  <c r="T723" i="172"/>
  <c r="T722" i="172"/>
  <c r="V722" i="172"/>
  <c r="V721" i="172"/>
  <c r="T721" i="172"/>
  <c r="T720" i="172"/>
  <c r="V720" i="172"/>
  <c r="V719" i="172"/>
  <c r="T719" i="172"/>
  <c r="T718" i="172"/>
  <c r="V718" i="172"/>
  <c r="V717" i="172"/>
  <c r="T717" i="172"/>
  <c r="T716" i="172"/>
  <c r="V716" i="172"/>
  <c r="V715" i="172"/>
  <c r="T715" i="172"/>
  <c r="T714" i="172"/>
  <c r="V714" i="172"/>
  <c r="V713" i="172"/>
  <c r="T713" i="172"/>
  <c r="T712" i="172"/>
  <c r="V712" i="172"/>
  <c r="V711" i="172"/>
  <c r="T711" i="172"/>
  <c r="T710" i="172"/>
  <c r="V710" i="172"/>
  <c r="V709" i="172"/>
  <c r="T709" i="172"/>
  <c r="T708" i="172"/>
  <c r="V708" i="172"/>
  <c r="V707" i="172"/>
  <c r="T707" i="172"/>
  <c r="T706" i="172"/>
  <c r="V706" i="172"/>
  <c r="V705" i="172"/>
  <c r="T705" i="172"/>
  <c r="T704" i="172"/>
  <c r="V704" i="172"/>
  <c r="V703" i="172"/>
  <c r="T703" i="172"/>
  <c r="T702" i="172"/>
  <c r="V702" i="172"/>
  <c r="V701" i="172"/>
  <c r="T701" i="172"/>
  <c r="T700" i="172"/>
  <c r="V700" i="172"/>
  <c r="V699" i="172"/>
  <c r="T699" i="172"/>
  <c r="T698" i="172"/>
  <c r="V698" i="172"/>
  <c r="V697" i="172"/>
  <c r="T697" i="172"/>
  <c r="T696" i="172"/>
  <c r="V696" i="172"/>
  <c r="V695" i="172"/>
  <c r="T695" i="172"/>
  <c r="T694" i="172"/>
  <c r="V694" i="172"/>
  <c r="V693" i="172"/>
  <c r="T693" i="172"/>
  <c r="T692" i="172"/>
  <c r="V692" i="172"/>
  <c r="V691" i="172"/>
  <c r="T691" i="172"/>
  <c r="T690" i="172"/>
  <c r="V690" i="172"/>
  <c r="V689" i="172"/>
  <c r="T689" i="172"/>
  <c r="T688" i="172"/>
  <c r="V688" i="172"/>
  <c r="V687" i="172"/>
  <c r="T687" i="172"/>
  <c r="T686" i="172"/>
  <c r="V686" i="172"/>
  <c r="V685" i="172"/>
  <c r="T685" i="172"/>
  <c r="T684" i="172"/>
  <c r="V684" i="172"/>
  <c r="V683" i="172"/>
  <c r="T683" i="172"/>
  <c r="T682" i="172"/>
  <c r="V682" i="172"/>
  <c r="V681" i="172"/>
  <c r="T681" i="172"/>
  <c r="T680" i="172"/>
  <c r="V680" i="172"/>
  <c r="V679" i="172"/>
  <c r="T679" i="172"/>
  <c r="T678" i="172"/>
  <c r="V678" i="172"/>
  <c r="V677" i="172"/>
  <c r="T677" i="172"/>
  <c r="T676" i="172"/>
  <c r="V676" i="172"/>
  <c r="V675" i="172"/>
  <c r="T675" i="172"/>
  <c r="T674" i="172"/>
  <c r="V674" i="172"/>
  <c r="V673" i="172"/>
  <c r="T673" i="172"/>
  <c r="T672" i="172"/>
  <c r="V672" i="172"/>
  <c r="V671" i="172"/>
  <c r="T671" i="172"/>
  <c r="T670" i="172"/>
  <c r="V670" i="172"/>
  <c r="V669" i="172"/>
  <c r="T669" i="172"/>
  <c r="T668" i="172"/>
  <c r="V668" i="172"/>
  <c r="V667" i="172"/>
  <c r="T667" i="172"/>
  <c r="T666" i="172"/>
  <c r="V666" i="172"/>
  <c r="V665" i="172"/>
  <c r="T665" i="172"/>
  <c r="T664" i="172"/>
  <c r="V664" i="172"/>
  <c r="V663" i="172"/>
  <c r="T663" i="172"/>
  <c r="T662" i="172"/>
  <c r="V662" i="172"/>
  <c r="V661" i="172"/>
  <c r="T661" i="172"/>
  <c r="T660" i="172"/>
  <c r="V660" i="172"/>
  <c r="V659" i="172"/>
  <c r="T659" i="172"/>
  <c r="T658" i="172"/>
  <c r="V658" i="172"/>
  <c r="V657" i="172"/>
  <c r="T657" i="172"/>
  <c r="T656" i="172"/>
  <c r="V656" i="172"/>
  <c r="V655" i="172"/>
  <c r="T655" i="172"/>
  <c r="T654" i="172"/>
  <c r="V654" i="172"/>
  <c r="C650" i="172"/>
  <c r="B650" i="172"/>
  <c r="U752" i="172"/>
  <c r="U748" i="172"/>
  <c r="U744" i="172"/>
  <c r="U740" i="172"/>
  <c r="U736" i="172"/>
  <c r="U732" i="172"/>
  <c r="U728" i="172"/>
  <c r="S724" i="172"/>
  <c r="S723" i="172"/>
  <c r="S722" i="172"/>
  <c r="S721" i="172"/>
  <c r="S720" i="172"/>
  <c r="S719" i="172"/>
  <c r="S718" i="172"/>
  <c r="S717" i="172"/>
  <c r="S716" i="172"/>
  <c r="S715" i="172"/>
  <c r="S714" i="172"/>
  <c r="S713" i="172"/>
  <c r="S712" i="172"/>
  <c r="S711" i="172"/>
  <c r="S710" i="172"/>
  <c r="S709" i="172"/>
  <c r="S708" i="172"/>
  <c r="S707" i="172"/>
  <c r="S706" i="172"/>
  <c r="S705" i="172"/>
  <c r="S704" i="172"/>
  <c r="S703" i="172"/>
  <c r="S702" i="172"/>
  <c r="S701" i="172"/>
  <c r="S700" i="172"/>
  <c r="S699" i="172"/>
  <c r="S698" i="172"/>
  <c r="S697" i="172"/>
  <c r="S696" i="172"/>
  <c r="S695" i="172"/>
  <c r="S694" i="172"/>
  <c r="S693" i="172"/>
  <c r="S692" i="172"/>
  <c r="S691" i="172"/>
  <c r="S690" i="172"/>
  <c r="S689" i="172"/>
  <c r="S688" i="172"/>
  <c r="S687" i="172"/>
  <c r="S686" i="172"/>
  <c r="S685" i="172"/>
  <c r="S684" i="172"/>
  <c r="S683" i="172"/>
  <c r="S682" i="172"/>
  <c r="S681" i="172"/>
  <c r="S680" i="172"/>
  <c r="S679" i="172"/>
  <c r="S678" i="172"/>
  <c r="S677" i="172"/>
  <c r="S676" i="172"/>
  <c r="S675" i="172"/>
  <c r="S674" i="172"/>
  <c r="S673" i="172"/>
  <c r="S672" i="172"/>
  <c r="S671" i="172"/>
  <c r="S670" i="172"/>
  <c r="S669" i="172"/>
  <c r="S668" i="172"/>
  <c r="S667" i="172"/>
  <c r="S666" i="172"/>
  <c r="S665" i="172"/>
  <c r="S664" i="172"/>
  <c r="S663" i="172"/>
  <c r="S662" i="172"/>
  <c r="S661" i="172"/>
  <c r="S660" i="172"/>
  <c r="S659" i="172"/>
  <c r="S658" i="172"/>
  <c r="S657" i="172"/>
  <c r="S656" i="172"/>
  <c r="S655" i="172"/>
  <c r="S654" i="172"/>
  <c r="C652" i="172"/>
  <c r="B652" i="172"/>
  <c r="R650" i="172"/>
  <c r="C644" i="172"/>
  <c r="B644" i="172"/>
  <c r="U652" i="172"/>
  <c r="U650" i="172"/>
  <c r="U648" i="172"/>
  <c r="U646" i="172"/>
  <c r="U644" i="172"/>
  <c r="U642" i="172"/>
  <c r="B642" i="172"/>
  <c r="U640" i="172"/>
  <c r="B640" i="172"/>
  <c r="U638" i="172"/>
  <c r="B638" i="172"/>
  <c r="U636" i="172"/>
  <c r="B636" i="172"/>
  <c r="U634" i="172"/>
  <c r="B634" i="172"/>
  <c r="U632" i="172"/>
  <c r="B632" i="172"/>
  <c r="U630" i="172"/>
  <c r="B630" i="172"/>
  <c r="U628" i="172"/>
  <c r="B628" i="172"/>
  <c r="U626" i="172"/>
  <c r="B626" i="172"/>
  <c r="U624" i="172"/>
  <c r="B624" i="172"/>
  <c r="U622" i="172"/>
  <c r="B622" i="172"/>
  <c r="U620" i="172"/>
  <c r="B620" i="172"/>
  <c r="U618" i="172"/>
  <c r="B618" i="172"/>
  <c r="U616" i="172"/>
  <c r="B616" i="172"/>
  <c r="U614" i="172"/>
  <c r="B614" i="172"/>
  <c r="U612" i="172"/>
  <c r="B612" i="172"/>
  <c r="U610" i="172"/>
  <c r="B610" i="172"/>
  <c r="U608" i="172"/>
  <c r="B608" i="172"/>
  <c r="U606" i="172"/>
  <c r="B606" i="172"/>
  <c r="U604" i="172"/>
  <c r="B604" i="172"/>
  <c r="U602" i="172"/>
  <c r="B602" i="172"/>
  <c r="U600" i="172"/>
  <c r="B600" i="172"/>
  <c r="U598" i="172"/>
  <c r="B598" i="172"/>
  <c r="U596" i="172"/>
  <c r="B596" i="172"/>
  <c r="U594" i="172"/>
  <c r="B594" i="172"/>
  <c r="U592" i="172"/>
  <c r="B592" i="172"/>
  <c r="U590" i="172"/>
  <c r="B590" i="172"/>
  <c r="U588" i="172"/>
  <c r="B588" i="172"/>
  <c r="U586" i="172"/>
  <c r="B586" i="172"/>
  <c r="U584" i="172"/>
  <c r="B584" i="172"/>
  <c r="U582" i="172"/>
  <c r="B582" i="172"/>
  <c r="U580" i="172"/>
  <c r="B580" i="172"/>
  <c r="U578" i="172"/>
  <c r="B578" i="172"/>
  <c r="B110" i="172"/>
  <c r="C110" i="172"/>
  <c r="V186" i="172"/>
  <c r="S186" i="172"/>
  <c r="T186" i="172"/>
  <c r="U186" i="172"/>
  <c r="B182" i="172"/>
  <c r="C182" i="172"/>
  <c r="U345" i="172"/>
  <c r="B345" i="172"/>
  <c r="U343" i="172"/>
  <c r="B343" i="172"/>
  <c r="U341" i="172"/>
  <c r="B341" i="172"/>
  <c r="U339" i="172"/>
  <c r="B339" i="172"/>
  <c r="U337" i="172"/>
  <c r="B337" i="172"/>
  <c r="U335" i="172"/>
  <c r="B335" i="172"/>
  <c r="U333" i="172"/>
  <c r="B333" i="172"/>
  <c r="U331" i="172"/>
  <c r="B331" i="172"/>
  <c r="U329" i="172"/>
  <c r="B329" i="172"/>
  <c r="U327" i="172"/>
  <c r="B327" i="172"/>
  <c r="U325" i="172"/>
  <c r="B325" i="172"/>
  <c r="U323" i="172"/>
  <c r="B323" i="172"/>
  <c r="U321" i="172"/>
  <c r="B321" i="172"/>
  <c r="U319" i="172"/>
  <c r="B319" i="172"/>
  <c r="U317" i="172"/>
  <c r="B190" i="172"/>
  <c r="C190" i="172"/>
  <c r="V162" i="172"/>
  <c r="S162" i="172"/>
  <c r="T162" i="172"/>
  <c r="U162" i="172"/>
  <c r="B158" i="172"/>
  <c r="C158" i="172"/>
  <c r="R158" i="172"/>
  <c r="B102" i="172"/>
  <c r="C102" i="172"/>
  <c r="T329" i="172"/>
  <c r="T327" i="172"/>
  <c r="T325" i="172"/>
  <c r="T323" i="172"/>
  <c r="T321" i="172"/>
  <c r="T319" i="172"/>
  <c r="T317" i="172"/>
  <c r="V170" i="172"/>
  <c r="S170" i="172"/>
  <c r="T170" i="172"/>
  <c r="U170" i="172"/>
  <c r="B166" i="172"/>
  <c r="C166" i="172"/>
  <c r="V138" i="172"/>
  <c r="S138" i="172"/>
  <c r="T138" i="172"/>
  <c r="U138" i="172"/>
  <c r="B94" i="172"/>
  <c r="C94" i="172"/>
  <c r="V178" i="172"/>
  <c r="S178" i="172"/>
  <c r="T178" i="172"/>
  <c r="U178" i="172"/>
  <c r="B174" i="172"/>
  <c r="C174" i="172"/>
  <c r="V146" i="172"/>
  <c r="S146" i="172"/>
  <c r="T146" i="172"/>
  <c r="U146" i="172"/>
  <c r="B142" i="172"/>
  <c r="C142" i="172"/>
  <c r="R142" i="172"/>
  <c r="B123" i="172"/>
  <c r="C123" i="172"/>
  <c r="B119" i="172"/>
  <c r="C119" i="172"/>
  <c r="U196" i="172"/>
  <c r="B196" i="172"/>
  <c r="U194" i="172"/>
  <c r="B194" i="172"/>
  <c r="V192" i="172"/>
  <c r="S192" i="172"/>
  <c r="T192" i="172"/>
  <c r="B188" i="172"/>
  <c r="C188" i="172"/>
  <c r="V184" i="172"/>
  <c r="S184" i="172"/>
  <c r="T184" i="172"/>
  <c r="B180" i="172"/>
  <c r="C180" i="172"/>
  <c r="V176" i="172"/>
  <c r="S176" i="172"/>
  <c r="T176" i="172"/>
  <c r="B172" i="172"/>
  <c r="C172" i="172"/>
  <c r="V168" i="172"/>
  <c r="S168" i="172"/>
  <c r="T168" i="172"/>
  <c r="B164" i="172"/>
  <c r="C164" i="172"/>
  <c r="V160" i="172"/>
  <c r="S160" i="172"/>
  <c r="T160" i="172"/>
  <c r="B156" i="172"/>
  <c r="C156" i="172"/>
  <c r="V152" i="172"/>
  <c r="S152" i="172"/>
  <c r="T152" i="172"/>
  <c r="B148" i="172"/>
  <c r="C148" i="172"/>
  <c r="V144" i="172"/>
  <c r="S144" i="172"/>
  <c r="T144" i="172"/>
  <c r="B140" i="172"/>
  <c r="C140" i="172"/>
  <c r="B122" i="172"/>
  <c r="C122" i="172"/>
  <c r="B118" i="172"/>
  <c r="C118" i="172"/>
  <c r="B112" i="172"/>
  <c r="C112" i="172"/>
  <c r="B104" i="172"/>
  <c r="C104" i="172"/>
  <c r="B96" i="172"/>
  <c r="C96" i="172"/>
  <c r="B88" i="172"/>
  <c r="C88" i="172"/>
  <c r="V190" i="172"/>
  <c r="S190" i="172"/>
  <c r="T190" i="172"/>
  <c r="B186" i="172"/>
  <c r="C186" i="172"/>
  <c r="V182" i="172"/>
  <c r="S182" i="172"/>
  <c r="T182" i="172"/>
  <c r="B178" i="172"/>
  <c r="C178" i="172"/>
  <c r="V174" i="172"/>
  <c r="S174" i="172"/>
  <c r="T174" i="172"/>
  <c r="B170" i="172"/>
  <c r="C170" i="172"/>
  <c r="V166" i="172"/>
  <c r="S166" i="172"/>
  <c r="T166" i="172"/>
  <c r="B162" i="172"/>
  <c r="C162" i="172"/>
  <c r="V158" i="172"/>
  <c r="S158" i="172"/>
  <c r="T158" i="172"/>
  <c r="B154" i="172"/>
  <c r="C154" i="172"/>
  <c r="V150" i="172"/>
  <c r="S150" i="172"/>
  <c r="T150" i="172"/>
  <c r="B146" i="172"/>
  <c r="C146" i="172"/>
  <c r="V142" i="172"/>
  <c r="S142" i="172"/>
  <c r="T142" i="172"/>
  <c r="B138" i="172"/>
  <c r="C138" i="172"/>
  <c r="B133" i="172"/>
  <c r="C133" i="172"/>
  <c r="R133" i="172"/>
  <c r="B132" i="172"/>
  <c r="C132" i="172"/>
  <c r="B131" i="172"/>
  <c r="C131" i="172"/>
  <c r="B130" i="172"/>
  <c r="C130" i="172"/>
  <c r="B129" i="172"/>
  <c r="C129" i="172"/>
  <c r="B128" i="172"/>
  <c r="C128" i="172"/>
  <c r="B127" i="172"/>
  <c r="C127" i="172"/>
  <c r="B126" i="172"/>
  <c r="C126" i="172"/>
  <c r="B125" i="172"/>
  <c r="C125" i="172"/>
  <c r="B121" i="172"/>
  <c r="C121" i="172"/>
  <c r="B117" i="172"/>
  <c r="C117" i="172"/>
  <c r="B114" i="172"/>
  <c r="C114" i="172"/>
  <c r="B106" i="172"/>
  <c r="C106" i="172"/>
  <c r="B98" i="172"/>
  <c r="C98" i="172"/>
  <c r="B90" i="172"/>
  <c r="C90" i="172"/>
  <c r="T85" i="172"/>
  <c r="V85" i="172"/>
  <c r="S85" i="172"/>
  <c r="U85" i="172"/>
  <c r="B192" i="172"/>
  <c r="C192" i="172"/>
  <c r="V188" i="172"/>
  <c r="S188" i="172"/>
  <c r="T188" i="172"/>
  <c r="R186" i="172"/>
  <c r="B184" i="172"/>
  <c r="C184" i="172"/>
  <c r="V180" i="172"/>
  <c r="S180" i="172"/>
  <c r="T180" i="172"/>
  <c r="B176" i="172"/>
  <c r="C176" i="172"/>
  <c r="V172" i="172"/>
  <c r="S172" i="172"/>
  <c r="T172" i="172"/>
  <c r="B168" i="172"/>
  <c r="C168" i="172"/>
  <c r="V164" i="172"/>
  <c r="S164" i="172"/>
  <c r="T164" i="172"/>
  <c r="R162" i="172"/>
  <c r="B160" i="172"/>
  <c r="C160" i="172"/>
  <c r="V156" i="172"/>
  <c r="S156" i="172"/>
  <c r="T156" i="172"/>
  <c r="B152" i="172"/>
  <c r="C152" i="172"/>
  <c r="V148" i="172"/>
  <c r="S148" i="172"/>
  <c r="T148" i="172"/>
  <c r="B144" i="172"/>
  <c r="C144" i="172"/>
  <c r="V140" i="172"/>
  <c r="S140" i="172"/>
  <c r="T140" i="172"/>
  <c r="B124" i="172"/>
  <c r="C124" i="172"/>
  <c r="B120" i="172"/>
  <c r="C120" i="172"/>
  <c r="B116" i="172"/>
  <c r="C116" i="172"/>
  <c r="B108" i="172"/>
  <c r="C108" i="172"/>
  <c r="B100" i="172"/>
  <c r="C100" i="172"/>
  <c r="B92" i="172"/>
  <c r="C92" i="172"/>
  <c r="T81" i="172"/>
  <c r="V81" i="172"/>
  <c r="S81" i="172"/>
  <c r="U81" i="172"/>
  <c r="T136" i="172"/>
  <c r="C136" i="172"/>
  <c r="T135" i="172"/>
  <c r="V132" i="172"/>
  <c r="T132" i="172"/>
  <c r="T131" i="172"/>
  <c r="V131" i="172"/>
  <c r="V130" i="172"/>
  <c r="T130" i="172"/>
  <c r="T129" i="172"/>
  <c r="V129" i="172"/>
  <c r="V128" i="172"/>
  <c r="T128" i="172"/>
  <c r="T127" i="172"/>
  <c r="V127" i="172"/>
  <c r="V126" i="172"/>
  <c r="T126" i="172"/>
  <c r="T125" i="172"/>
  <c r="V125" i="172"/>
  <c r="V124" i="172"/>
  <c r="T124" i="172"/>
  <c r="T123" i="172"/>
  <c r="V123" i="172"/>
  <c r="V122" i="172"/>
  <c r="T122" i="172"/>
  <c r="T121" i="172"/>
  <c r="V121" i="172"/>
  <c r="V120" i="172"/>
  <c r="T120" i="172"/>
  <c r="T119" i="172"/>
  <c r="V119" i="172"/>
  <c r="V118" i="172"/>
  <c r="T118" i="172"/>
  <c r="T117" i="172"/>
  <c r="V117" i="172"/>
  <c r="V116" i="172"/>
  <c r="T116" i="172"/>
  <c r="V84" i="172"/>
  <c r="T84" i="172"/>
  <c r="S84" i="172"/>
  <c r="S135" i="172"/>
  <c r="U133" i="172"/>
  <c r="S132" i="172"/>
  <c r="S131" i="172"/>
  <c r="S130" i="172"/>
  <c r="S129" i="172"/>
  <c r="S128" i="172"/>
  <c r="S127" i="172"/>
  <c r="S126" i="172"/>
  <c r="S125" i="172"/>
  <c r="V114" i="172"/>
  <c r="S114" i="172"/>
  <c r="T114" i="172"/>
  <c r="V112" i="172"/>
  <c r="S112" i="172"/>
  <c r="T112" i="172"/>
  <c r="V110" i="172"/>
  <c r="S110" i="172"/>
  <c r="T110" i="172"/>
  <c r="V108" i="172"/>
  <c r="S108" i="172"/>
  <c r="T108" i="172"/>
  <c r="V106" i="172"/>
  <c r="S106" i="172"/>
  <c r="T106" i="172"/>
  <c r="V104" i="172"/>
  <c r="S104" i="172"/>
  <c r="T104" i="172"/>
  <c r="V102" i="172"/>
  <c r="S102" i="172"/>
  <c r="T102" i="172"/>
  <c r="V100" i="172"/>
  <c r="S100" i="172"/>
  <c r="T100" i="172"/>
  <c r="V98" i="172"/>
  <c r="S98" i="172"/>
  <c r="T98" i="172"/>
  <c r="V96" i="172"/>
  <c r="S96" i="172"/>
  <c r="T96" i="172"/>
  <c r="V94" i="172"/>
  <c r="S94" i="172"/>
  <c r="T94" i="172"/>
  <c r="V92" i="172"/>
  <c r="S92" i="172"/>
  <c r="T92" i="172"/>
  <c r="V90" i="172"/>
  <c r="S90" i="172"/>
  <c r="T90" i="172"/>
  <c r="V88" i="172"/>
  <c r="S88" i="172"/>
  <c r="T88" i="172"/>
  <c r="T87" i="172"/>
  <c r="U87" i="172"/>
  <c r="V87" i="172"/>
  <c r="T83" i="172"/>
  <c r="V83" i="172"/>
  <c r="S83" i="172"/>
  <c r="V86" i="172"/>
  <c r="T86" i="172"/>
  <c r="S86" i="172"/>
  <c r="V82" i="172"/>
  <c r="T82" i="172"/>
  <c r="S82" i="172"/>
  <c r="V115" i="172"/>
  <c r="B115" i="172"/>
  <c r="V113" i="172"/>
  <c r="B113" i="172"/>
  <c r="V111" i="172"/>
  <c r="B111" i="172"/>
  <c r="V109" i="172"/>
  <c r="B109" i="172"/>
  <c r="V107" i="172"/>
  <c r="B107" i="172"/>
  <c r="V105" i="172"/>
  <c r="B105" i="172"/>
  <c r="V103" i="172"/>
  <c r="B103" i="172"/>
  <c r="V101" i="172"/>
  <c r="B101" i="172"/>
  <c r="V99" i="172"/>
  <c r="B99" i="172"/>
  <c r="V97" i="172"/>
  <c r="B97" i="172"/>
  <c r="V95" i="172"/>
  <c r="B95" i="172"/>
  <c r="V93" i="172"/>
  <c r="B93" i="172"/>
  <c r="V91" i="172"/>
  <c r="B91" i="172"/>
  <c r="V89" i="172"/>
  <c r="B89" i="172"/>
  <c r="B80" i="172"/>
  <c r="C80" i="172"/>
  <c r="B78" i="172"/>
  <c r="C78" i="172"/>
  <c r="B76" i="172"/>
  <c r="C76" i="172"/>
  <c r="B74" i="172"/>
  <c r="C74" i="172"/>
  <c r="B72" i="172"/>
  <c r="C72" i="172"/>
  <c r="B70" i="172"/>
  <c r="C70" i="172"/>
  <c r="O65" i="172"/>
  <c r="C66" i="172"/>
  <c r="B66" i="172"/>
  <c r="B86" i="172"/>
  <c r="B85" i="172"/>
  <c r="B84" i="172"/>
  <c r="R84" i="172"/>
  <c r="B83" i="172"/>
  <c r="B82" i="172"/>
  <c r="V80" i="172"/>
  <c r="S80" i="172"/>
  <c r="T80" i="172"/>
  <c r="V78" i="172"/>
  <c r="S78" i="172"/>
  <c r="T78" i="172"/>
  <c r="V76" i="172"/>
  <c r="S76" i="172"/>
  <c r="T76" i="172"/>
  <c r="V74" i="172"/>
  <c r="S74" i="172"/>
  <c r="T74" i="172"/>
  <c r="V72" i="172"/>
  <c r="S72" i="172"/>
  <c r="T72" i="172"/>
  <c r="V70" i="172"/>
  <c r="S70" i="172"/>
  <c r="T70" i="172"/>
  <c r="B81" i="172"/>
  <c r="V79" i="172"/>
  <c r="B79" i="172"/>
  <c r="V77" i="172"/>
  <c r="B77" i="172"/>
  <c r="V75" i="172"/>
  <c r="B75" i="172"/>
  <c r="V73" i="172"/>
  <c r="B73" i="172"/>
  <c r="V71" i="172"/>
  <c r="B71" i="172"/>
  <c r="V69" i="172"/>
  <c r="T68" i="172"/>
  <c r="V68" i="172"/>
  <c r="U66" i="172"/>
  <c r="B34" i="172"/>
  <c r="C64" i="172"/>
  <c r="S62" i="172"/>
  <c r="C62" i="172"/>
  <c r="S60" i="172"/>
  <c r="C60" i="172"/>
  <c r="S58" i="172"/>
  <c r="S56" i="172"/>
  <c r="S54" i="172"/>
  <c r="S46" i="172"/>
  <c r="S44" i="172"/>
  <c r="S42" i="172"/>
  <c r="S40" i="172"/>
  <c r="U38" i="172"/>
  <c r="B38" i="172"/>
  <c r="T36" i="172"/>
  <c r="T38" i="172"/>
  <c r="S5" i="172"/>
  <c r="AP1000" i="172" l="1"/>
  <c r="AN1000" i="172"/>
  <c r="AQ1000" i="172" s="1"/>
  <c r="AV1000" i="172" s="1"/>
  <c r="AO1000" i="172"/>
  <c r="AR1000" i="172" s="1"/>
  <c r="Z1000" i="172"/>
  <c r="AA1000" i="172"/>
  <c r="AB1000" i="172" s="1"/>
  <c r="R79" i="172"/>
  <c r="R95" i="172"/>
  <c r="R111" i="172"/>
  <c r="R77" i="172"/>
  <c r="R99" i="172"/>
  <c r="R115" i="172"/>
  <c r="R73" i="172"/>
  <c r="R63" i="172"/>
  <c r="R114" i="172"/>
  <c r="R69" i="172"/>
  <c r="R123" i="172"/>
  <c r="R65" i="172"/>
  <c r="R103" i="172"/>
  <c r="R87" i="172"/>
  <c r="R121" i="172"/>
  <c r="R90" i="172"/>
  <c r="R119" i="172"/>
  <c r="R102" i="172"/>
  <c r="R106" i="172"/>
  <c r="R86" i="172"/>
  <c r="R93" i="172"/>
  <c r="R109" i="172"/>
  <c r="R85" i="172"/>
  <c r="R67" i="172"/>
  <c r="R66" i="172"/>
  <c r="R74" i="172"/>
  <c r="R125" i="172"/>
  <c r="R118" i="172"/>
  <c r="R122" i="172"/>
  <c r="R101" i="172"/>
  <c r="R98" i="172"/>
  <c r="R117" i="172"/>
  <c r="R97" i="172"/>
  <c r="R105" i="172"/>
  <c r="R113" i="172"/>
  <c r="R72" i="172"/>
  <c r="R92" i="172"/>
  <c r="R108" i="172"/>
  <c r="R116" i="172"/>
  <c r="R120" i="172"/>
  <c r="R124" i="172"/>
  <c r="R88" i="172"/>
  <c r="R61" i="172"/>
  <c r="R100" i="172"/>
  <c r="R126" i="172"/>
  <c r="R112" i="172"/>
  <c r="R110" i="172"/>
  <c r="R94" i="172"/>
  <c r="R80" i="172"/>
  <c r="R70" i="172"/>
  <c r="R76" i="172"/>
  <c r="R78" i="172"/>
  <c r="R96" i="172"/>
  <c r="R104" i="172"/>
  <c r="E57" i="171"/>
  <c r="C5" i="172" s="1"/>
  <c r="E58" i="171"/>
  <c r="C6" i="172" s="1"/>
  <c r="E59" i="171"/>
  <c r="C7" i="172" s="1"/>
  <c r="E60" i="171"/>
  <c r="C8" i="172" s="1"/>
  <c r="E61" i="171"/>
  <c r="C9" i="172" s="1"/>
  <c r="E62" i="171"/>
  <c r="E63" i="171"/>
  <c r="E64" i="171"/>
  <c r="C12" i="172" s="1"/>
  <c r="E65" i="171"/>
  <c r="C13" i="172" s="1"/>
  <c r="E66" i="171"/>
  <c r="C14" i="172" s="1"/>
  <c r="E67" i="171"/>
  <c r="C15" i="172" s="1"/>
  <c r="E68" i="171"/>
  <c r="C16" i="172" s="1"/>
  <c r="E69" i="171"/>
  <c r="C17" i="172" s="1"/>
  <c r="E70" i="171"/>
  <c r="C18" i="172" s="1"/>
  <c r="E71" i="171"/>
  <c r="C19" i="172" s="1"/>
  <c r="E72" i="171"/>
  <c r="C20" i="172" s="1"/>
  <c r="E73" i="171"/>
  <c r="E74" i="171"/>
  <c r="C22" i="172" s="1"/>
  <c r="E75" i="171"/>
  <c r="C23" i="172" s="1"/>
  <c r="E76" i="171"/>
  <c r="C24" i="172" s="1"/>
  <c r="E77" i="171"/>
  <c r="C25" i="172" s="1"/>
  <c r="E78" i="171"/>
  <c r="E79" i="171"/>
  <c r="C27" i="172" s="1"/>
  <c r="E80" i="171"/>
  <c r="E81" i="171"/>
  <c r="C29" i="172" s="1"/>
  <c r="E82" i="171"/>
  <c r="C30" i="172" s="1"/>
  <c r="E83" i="171"/>
  <c r="C31" i="172" s="1"/>
  <c r="E84" i="171"/>
  <c r="C32" i="172" s="1"/>
  <c r="E85" i="171"/>
  <c r="E86" i="171"/>
  <c r="C34" i="172" s="1"/>
  <c r="E87" i="171"/>
  <c r="C35" i="172" s="1"/>
  <c r="E88" i="171"/>
  <c r="C36" i="172" s="1"/>
  <c r="E89" i="171"/>
  <c r="E90" i="171"/>
  <c r="C38" i="172" s="1"/>
  <c r="E91" i="171"/>
  <c r="C39" i="172" s="1"/>
  <c r="E92" i="171"/>
  <c r="C40" i="172" s="1"/>
  <c r="E93" i="171"/>
  <c r="C41" i="172" s="1"/>
  <c r="E94" i="171"/>
  <c r="C42" i="172" s="1"/>
  <c r="E95" i="171"/>
  <c r="C43" i="172" s="1"/>
  <c r="E96" i="171"/>
  <c r="C44" i="172" s="1"/>
  <c r="E97" i="171"/>
  <c r="E98" i="171"/>
  <c r="C46" i="172" s="1"/>
  <c r="E99" i="171"/>
  <c r="E100" i="171"/>
  <c r="C48" i="172" s="1"/>
  <c r="E101" i="171"/>
  <c r="C49" i="172" s="1"/>
  <c r="E102" i="171"/>
  <c r="C50" i="172" s="1"/>
  <c r="E103" i="171"/>
  <c r="C51" i="172" s="1"/>
  <c r="E104" i="171"/>
  <c r="C52" i="172" s="1"/>
  <c r="E105" i="171"/>
  <c r="E106" i="171"/>
  <c r="C54" i="172" s="1"/>
  <c r="E107" i="171"/>
  <c r="C55" i="172" s="1"/>
  <c r="E108" i="171"/>
  <c r="E109" i="171"/>
  <c r="C57" i="172" s="1"/>
  <c r="E110" i="171"/>
  <c r="C58" i="172" s="1"/>
  <c r="E111" i="171"/>
  <c r="C59" i="172" s="1"/>
  <c r="E112" i="171"/>
  <c r="E113" i="171"/>
  <c r="E114" i="171"/>
  <c r="E115" i="171"/>
  <c r="E116" i="171"/>
  <c r="E117" i="171"/>
  <c r="E118" i="171"/>
  <c r="E119" i="171"/>
  <c r="E120" i="171"/>
  <c r="E121" i="171"/>
  <c r="E122" i="171"/>
  <c r="E123" i="171"/>
  <c r="E124" i="171"/>
  <c r="E125" i="171"/>
  <c r="E126" i="171"/>
  <c r="E127" i="171"/>
  <c r="E128" i="171"/>
  <c r="E129" i="171"/>
  <c r="E130" i="171"/>
  <c r="E131" i="171"/>
  <c r="E132" i="171"/>
  <c r="E133" i="171"/>
  <c r="E134" i="171"/>
  <c r="E135" i="171"/>
  <c r="E136" i="171"/>
  <c r="E137" i="171"/>
  <c r="E138" i="171"/>
  <c r="E139" i="171"/>
  <c r="E140" i="171"/>
  <c r="E141" i="171"/>
  <c r="E142" i="171"/>
  <c r="E143" i="171"/>
  <c r="E144" i="171"/>
  <c r="E145" i="171"/>
  <c r="E146" i="171"/>
  <c r="E147" i="171"/>
  <c r="E148" i="171"/>
  <c r="E149" i="171"/>
  <c r="E150" i="171"/>
  <c r="E151" i="171"/>
  <c r="E152" i="171"/>
  <c r="E153" i="171"/>
  <c r="E154" i="171"/>
  <c r="E155" i="171"/>
  <c r="E156" i="171"/>
  <c r="E157" i="171"/>
  <c r="E158" i="171"/>
  <c r="E159" i="171"/>
  <c r="E160" i="171"/>
  <c r="E161" i="171"/>
  <c r="E162" i="171"/>
  <c r="E163" i="171"/>
  <c r="E164" i="171"/>
  <c r="E165" i="171"/>
  <c r="E166" i="171"/>
  <c r="E167" i="171"/>
  <c r="E168" i="171"/>
  <c r="E169" i="171"/>
  <c r="E170" i="171"/>
  <c r="E171" i="171"/>
  <c r="E172" i="171"/>
  <c r="E173" i="171"/>
  <c r="E174" i="171"/>
  <c r="E175" i="171"/>
  <c r="E176" i="171"/>
  <c r="E177" i="171"/>
  <c r="E178" i="171"/>
  <c r="E179" i="171"/>
  <c r="E180" i="171"/>
  <c r="E181" i="171"/>
  <c r="E182" i="171"/>
  <c r="E183" i="171"/>
  <c r="E184" i="171"/>
  <c r="E185" i="171"/>
  <c r="E186" i="171"/>
  <c r="E187" i="171"/>
  <c r="E188" i="171"/>
  <c r="E189" i="171"/>
  <c r="E190" i="171"/>
  <c r="E191" i="171"/>
  <c r="E192" i="171"/>
  <c r="E193" i="171"/>
  <c r="E194" i="171"/>
  <c r="E195" i="171"/>
  <c r="E196" i="171"/>
  <c r="E197" i="171"/>
  <c r="E198" i="171"/>
  <c r="E199" i="171"/>
  <c r="E200" i="171"/>
  <c r="E201" i="171"/>
  <c r="E202" i="171"/>
  <c r="E203" i="171"/>
  <c r="E204" i="171"/>
  <c r="E205" i="171"/>
  <c r="E206" i="171"/>
  <c r="E207" i="171"/>
  <c r="E208" i="171"/>
  <c r="E209" i="171"/>
  <c r="E210" i="171"/>
  <c r="E211" i="171"/>
  <c r="E212" i="171"/>
  <c r="E213" i="171"/>
  <c r="E214" i="171"/>
  <c r="E215" i="171"/>
  <c r="E216" i="171"/>
  <c r="E217" i="171"/>
  <c r="E218" i="171"/>
  <c r="E219" i="171"/>
  <c r="E220" i="171"/>
  <c r="E221" i="171"/>
  <c r="E222" i="171"/>
  <c r="E223" i="171"/>
  <c r="E224" i="171"/>
  <c r="E225" i="171"/>
  <c r="E226" i="171"/>
  <c r="E227" i="171"/>
  <c r="E228" i="171"/>
  <c r="E229" i="171"/>
  <c r="E230" i="171"/>
  <c r="E231" i="171"/>
  <c r="E232" i="171"/>
  <c r="E233" i="171"/>
  <c r="E234" i="171"/>
  <c r="E235" i="171"/>
  <c r="E236" i="171"/>
  <c r="E237" i="171"/>
  <c r="E238" i="171"/>
  <c r="E239" i="171"/>
  <c r="E240" i="171"/>
  <c r="E241" i="171"/>
  <c r="E242" i="171"/>
  <c r="E243" i="171"/>
  <c r="E244" i="171"/>
  <c r="E245" i="171"/>
  <c r="E246" i="171"/>
  <c r="E247" i="171"/>
  <c r="E248" i="171"/>
  <c r="E249" i="171"/>
  <c r="E250" i="171"/>
  <c r="E251" i="171"/>
  <c r="E252" i="171"/>
  <c r="E253" i="171"/>
  <c r="E254" i="171"/>
  <c r="E255" i="171"/>
  <c r="E256" i="171"/>
  <c r="E257" i="171"/>
  <c r="E258" i="171"/>
  <c r="E259" i="171"/>
  <c r="E260" i="171"/>
  <c r="E261" i="171"/>
  <c r="E262" i="171"/>
  <c r="E263" i="171"/>
  <c r="E264" i="171"/>
  <c r="E265" i="171"/>
  <c r="E266" i="171"/>
  <c r="E267" i="171"/>
  <c r="E268" i="171"/>
  <c r="E269" i="171"/>
  <c r="E270" i="171"/>
  <c r="E271" i="171"/>
  <c r="E272" i="171"/>
  <c r="E273" i="171"/>
  <c r="E274" i="171"/>
  <c r="E275" i="171"/>
  <c r="E276" i="171"/>
  <c r="E277" i="171"/>
  <c r="E278" i="171"/>
  <c r="E279" i="171"/>
  <c r="E280" i="171"/>
  <c r="E281" i="171"/>
  <c r="E282" i="171"/>
  <c r="E283" i="171"/>
  <c r="E284" i="171"/>
  <c r="E285" i="171"/>
  <c r="E286" i="171"/>
  <c r="E287" i="171"/>
  <c r="E288" i="171"/>
  <c r="E289" i="171"/>
  <c r="E290" i="171"/>
  <c r="E291" i="171"/>
  <c r="E292" i="171"/>
  <c r="E293" i="171"/>
  <c r="E294" i="171"/>
  <c r="E295" i="171"/>
  <c r="E296" i="171"/>
  <c r="E297" i="171"/>
  <c r="E298" i="171"/>
  <c r="E299" i="171"/>
  <c r="E300" i="171"/>
  <c r="E301" i="171"/>
  <c r="E302" i="171"/>
  <c r="E303" i="171"/>
  <c r="E304" i="171"/>
  <c r="E305" i="171"/>
  <c r="E306" i="171"/>
  <c r="E307" i="171"/>
  <c r="E308" i="171"/>
  <c r="E309" i="171"/>
  <c r="E310" i="171"/>
  <c r="E311" i="171"/>
  <c r="E312" i="171"/>
  <c r="E313" i="171"/>
  <c r="E314" i="171"/>
  <c r="E315" i="171"/>
  <c r="E316" i="171"/>
  <c r="E317" i="171"/>
  <c r="E318" i="171"/>
  <c r="E319" i="171"/>
  <c r="E320" i="171"/>
  <c r="E321" i="171"/>
  <c r="E322" i="171"/>
  <c r="E323" i="171"/>
  <c r="E324" i="171"/>
  <c r="E325" i="171"/>
  <c r="E326" i="171"/>
  <c r="E327" i="171"/>
  <c r="E328" i="171"/>
  <c r="E329" i="171"/>
  <c r="E330" i="171"/>
  <c r="E331" i="171"/>
  <c r="E332" i="171"/>
  <c r="E333" i="171"/>
  <c r="E334" i="171"/>
  <c r="E335" i="171"/>
  <c r="E336" i="171"/>
  <c r="E337" i="171"/>
  <c r="E338" i="171"/>
  <c r="E339" i="171"/>
  <c r="E340" i="171"/>
  <c r="E341" i="171"/>
  <c r="E342" i="171"/>
  <c r="E343" i="171"/>
  <c r="E344" i="171"/>
  <c r="E345" i="171"/>
  <c r="E346" i="171"/>
  <c r="E347" i="171"/>
  <c r="E348" i="171"/>
  <c r="E349" i="171"/>
  <c r="E350" i="171"/>
  <c r="E351" i="171"/>
  <c r="E352" i="171"/>
  <c r="E353" i="171"/>
  <c r="E354" i="171"/>
  <c r="E355" i="171"/>
  <c r="E356" i="171"/>
  <c r="E357" i="171"/>
  <c r="E358" i="171"/>
  <c r="E359" i="171"/>
  <c r="E360" i="171"/>
  <c r="E361" i="171"/>
  <c r="E362" i="171"/>
  <c r="E363" i="171"/>
  <c r="E364" i="171"/>
  <c r="E365" i="171"/>
  <c r="E366" i="171"/>
  <c r="E367" i="171"/>
  <c r="E368" i="171"/>
  <c r="E369" i="171"/>
  <c r="E370" i="171"/>
  <c r="E371" i="171"/>
  <c r="E372" i="171"/>
  <c r="E373" i="171"/>
  <c r="E374" i="171"/>
  <c r="E375" i="171"/>
  <c r="E376" i="171"/>
  <c r="E377" i="171"/>
  <c r="E378" i="171"/>
  <c r="E379" i="171"/>
  <c r="E380" i="171"/>
  <c r="E381" i="171"/>
  <c r="E382" i="171"/>
  <c r="E383" i="171"/>
  <c r="E384" i="171"/>
  <c r="E385" i="171"/>
  <c r="E386" i="171"/>
  <c r="E387" i="171"/>
  <c r="E388" i="171"/>
  <c r="E389" i="171"/>
  <c r="E390" i="171"/>
  <c r="E391" i="171"/>
  <c r="E392" i="171"/>
  <c r="E393" i="171"/>
  <c r="E394" i="171"/>
  <c r="E395" i="171"/>
  <c r="E396" i="171"/>
  <c r="E397" i="171"/>
  <c r="E398" i="171"/>
  <c r="E399" i="171"/>
  <c r="E400" i="171"/>
  <c r="E401" i="171"/>
  <c r="E402" i="171"/>
  <c r="E403" i="171"/>
  <c r="E404" i="171"/>
  <c r="E405" i="171"/>
  <c r="E406" i="171"/>
  <c r="E407" i="171"/>
  <c r="E408" i="171"/>
  <c r="G4" i="172"/>
  <c r="O4" i="172" s="1"/>
  <c r="F4" i="172"/>
  <c r="E4" i="172"/>
  <c r="D4" i="172"/>
  <c r="A4" i="172"/>
  <c r="A1" i="172"/>
  <c r="C53" i="172" l="1"/>
  <c r="R66" i="171" a="1"/>
  <c r="R66" i="171" s="1"/>
  <c r="C45" i="172"/>
  <c r="R64" i="171" a="1"/>
  <c r="R64" i="171" s="1"/>
  <c r="C37" i="172"/>
  <c r="R63" i="171" a="1"/>
  <c r="R63" i="171" s="1"/>
  <c r="C33" i="172"/>
  <c r="R62" i="171" a="1"/>
  <c r="R62" i="171" s="1"/>
  <c r="C21" i="172"/>
  <c r="R59" i="171" a="1"/>
  <c r="R59" i="171" s="1"/>
  <c r="C26" i="172"/>
  <c r="R60" i="171" a="1"/>
  <c r="R60" i="171" s="1"/>
  <c r="C10" i="172"/>
  <c r="R57" i="171" a="1"/>
  <c r="R57" i="171" s="1"/>
  <c r="C56" i="172"/>
  <c r="R67" i="171" a="1"/>
  <c r="R67" i="171" s="1"/>
  <c r="C28" i="172"/>
  <c r="R61" i="171" a="1"/>
  <c r="R61" i="171" s="1"/>
  <c r="C47" i="172"/>
  <c r="R65" i="171" a="1"/>
  <c r="R65" i="171" s="1"/>
  <c r="C11" i="172"/>
  <c r="R58" i="171" a="1"/>
  <c r="R58" i="171" s="1"/>
  <c r="AF1000" i="172"/>
  <c r="AG1000" i="172"/>
  <c r="AX1000" i="172"/>
  <c r="AY1000" i="172" s="1"/>
  <c r="N4" i="172"/>
  <c r="Q4" i="172" s="1"/>
  <c r="R60" i="172"/>
  <c r="R64" i="172"/>
  <c r="R62" i="172"/>
  <c r="V4" i="172"/>
  <c r="U4" i="172"/>
  <c r="T4" i="172"/>
  <c r="S4" i="172"/>
  <c r="B4" i="172"/>
  <c r="I54" i="171"/>
  <c r="J54" i="171"/>
  <c r="AK52" i="172" l="1" a="1"/>
  <c r="AK52" i="172" s="1"/>
  <c r="AK58" i="172" a="1"/>
  <c r="AK58" i="172" s="1"/>
  <c r="AK61" i="172" a="1"/>
  <c r="AK61" i="172" s="1"/>
  <c r="AK66" i="172" a="1"/>
  <c r="AK66" i="172" s="1"/>
  <c r="AK6" i="172" a="1"/>
  <c r="AK6" i="172" s="1"/>
  <c r="AO6" i="172" s="1"/>
  <c r="AK9" i="172" a="1"/>
  <c r="AK9" i="172" s="1"/>
  <c r="AK10" i="172" a="1"/>
  <c r="AK10" i="172" s="1"/>
  <c r="AK13" i="172" a="1"/>
  <c r="AK13" i="172" s="1"/>
  <c r="AK14" i="172" a="1"/>
  <c r="AK14" i="172" s="1"/>
  <c r="AK17" i="172" a="1"/>
  <c r="AK17" i="172" s="1"/>
  <c r="AK18" i="172" a="1"/>
  <c r="AK18" i="172" s="1"/>
  <c r="AK21" i="172" a="1"/>
  <c r="AK21" i="172" s="1"/>
  <c r="AK22" i="172" a="1"/>
  <c r="AK22" i="172" s="1"/>
  <c r="AK25" i="172" a="1"/>
  <c r="AK25" i="172" s="1"/>
  <c r="AK26" i="172" a="1"/>
  <c r="AK26" i="172" s="1"/>
  <c r="AK29" i="172" a="1"/>
  <c r="AK29" i="172" s="1"/>
  <c r="AK30" i="172" a="1"/>
  <c r="AK30" i="172" s="1"/>
  <c r="AK33" i="172" a="1"/>
  <c r="AK33" i="172" s="1"/>
  <c r="AK34" i="172" a="1"/>
  <c r="AK34" i="172" s="1"/>
  <c r="AK37" i="172" a="1"/>
  <c r="AK37" i="172" s="1"/>
  <c r="AK38" i="172" a="1"/>
  <c r="AK38" i="172" s="1"/>
  <c r="AK41" i="172" a="1"/>
  <c r="AK41" i="172" s="1"/>
  <c r="AK42" i="172" a="1"/>
  <c r="AK42" i="172" s="1"/>
  <c r="AK45" i="172" a="1"/>
  <c r="AK45" i="172" s="1"/>
  <c r="AK46" i="172" a="1"/>
  <c r="AK46" i="172" s="1"/>
  <c r="AK49" i="172" a="1"/>
  <c r="AK49" i="172" s="1"/>
  <c r="AK50" i="172" a="1"/>
  <c r="AK50" i="172" s="1"/>
  <c r="AK51" i="172" a="1"/>
  <c r="AK51" i="172" s="1"/>
  <c r="AK55" i="172" a="1"/>
  <c r="AK55" i="172" s="1"/>
  <c r="AK60" i="172" a="1"/>
  <c r="AK60" i="172" s="1"/>
  <c r="AK63" i="172" a="1"/>
  <c r="AK63" i="172" s="1"/>
  <c r="AK68" i="172" a="1"/>
  <c r="AK68" i="172" s="1"/>
  <c r="AK5" i="172" a="1"/>
  <c r="AK5" i="172" s="1"/>
  <c r="AO5" i="172" s="1"/>
  <c r="AK48" i="172" a="1"/>
  <c r="AK48" i="172" s="1"/>
  <c r="AK54" i="172" a="1"/>
  <c r="AK54" i="172" s="1"/>
  <c r="AK7" i="172" a="1"/>
  <c r="AK7" i="172" s="1"/>
  <c r="AK12" i="172" a="1"/>
  <c r="AK12" i="172" s="1"/>
  <c r="AK23" i="172" a="1"/>
  <c r="AK23" i="172" s="1"/>
  <c r="AK28" i="172" a="1"/>
  <c r="AK28" i="172" s="1"/>
  <c r="AK39" i="172" a="1"/>
  <c r="AK39" i="172" s="1"/>
  <c r="AK44" i="172" a="1"/>
  <c r="AK44" i="172" s="1"/>
  <c r="AK62" i="172" a="1"/>
  <c r="AK62" i="172" s="1"/>
  <c r="AK65" i="172" a="1"/>
  <c r="AK65" i="172" s="1"/>
  <c r="AK70" i="172" a="1"/>
  <c r="AK70" i="172" s="1"/>
  <c r="AK71" i="172" a="1"/>
  <c r="AK71" i="172" s="1"/>
  <c r="AK76" i="172" a="1"/>
  <c r="AK76" i="172" s="1"/>
  <c r="AK146" i="172" a="1"/>
  <c r="AK146" i="172" s="1"/>
  <c r="AK151" i="172" a="1"/>
  <c r="AK151" i="172" s="1"/>
  <c r="AK156" i="172" a="1"/>
  <c r="AK156" i="172" s="1"/>
  <c r="AK157" i="172" a="1"/>
  <c r="AK157" i="172" s="1"/>
  <c r="AK197" i="172" a="1"/>
  <c r="AK197" i="172" s="1"/>
  <c r="AK200" i="172" a="1"/>
  <c r="AK200" i="172" s="1"/>
  <c r="AK202" i="172" a="1"/>
  <c r="AK202" i="172" s="1"/>
  <c r="AK207" i="172" a="1"/>
  <c r="AK207" i="172" s="1"/>
  <c r="AK208" i="172" a="1"/>
  <c r="AK208" i="172" s="1"/>
  <c r="AK215" i="172" a="1"/>
  <c r="AK215" i="172" s="1"/>
  <c r="AK216" i="172" a="1"/>
  <c r="AK216" i="172" s="1"/>
  <c r="AK222" i="172" a="1"/>
  <c r="AK222" i="172" s="1"/>
  <c r="AK224" i="172" a="1"/>
  <c r="AK224" i="172" s="1"/>
  <c r="AK269" i="172" a="1"/>
  <c r="AK269" i="172" s="1"/>
  <c r="AK274" i="172" a="1"/>
  <c r="AK274" i="172" s="1"/>
  <c r="AK277" i="172" a="1"/>
  <c r="AK277" i="172" s="1"/>
  <c r="AK279" i="172" a="1"/>
  <c r="AK279" i="172" s="1"/>
  <c r="AK286" i="172" a="1"/>
  <c r="AK286" i="172" s="1"/>
  <c r="AK288" i="172" a="1"/>
  <c r="AK288" i="172" s="1"/>
  <c r="AK290" i="172" a="1"/>
  <c r="AK290" i="172" s="1"/>
  <c r="AK292" i="172" a="1"/>
  <c r="AK292" i="172" s="1"/>
  <c r="AK294" i="172" a="1"/>
  <c r="AK294" i="172" s="1"/>
  <c r="AK296" i="172" a="1"/>
  <c r="AK296" i="172" s="1"/>
  <c r="AK298" i="172" a="1"/>
  <c r="AK298" i="172" s="1"/>
  <c r="AK300" i="172" a="1"/>
  <c r="AK300" i="172" s="1"/>
  <c r="AK302" i="172" a="1"/>
  <c r="AK302" i="172" s="1"/>
  <c r="AK304" i="172" a="1"/>
  <c r="AK304" i="172" s="1"/>
  <c r="AK306" i="172" a="1"/>
  <c r="AK306" i="172" s="1"/>
  <c r="AK308" i="172" a="1"/>
  <c r="AK308" i="172" s="1"/>
  <c r="AK310" i="172" a="1"/>
  <c r="AK310" i="172" s="1"/>
  <c r="AK312" i="172" a="1"/>
  <c r="AK312" i="172" s="1"/>
  <c r="AK314" i="172" a="1"/>
  <c r="AK314" i="172" s="1"/>
  <c r="AK316" i="172" a="1"/>
  <c r="AK316" i="172" s="1"/>
  <c r="AK318" i="172" a="1"/>
  <c r="AK318" i="172" s="1"/>
  <c r="AK320" i="172" a="1"/>
  <c r="AK320" i="172" s="1"/>
  <c r="AK322" i="172" a="1"/>
  <c r="AK322" i="172" s="1"/>
  <c r="AK324" i="172" a="1"/>
  <c r="AK324" i="172" s="1"/>
  <c r="AK326" i="172" a="1"/>
  <c r="AK326" i="172" s="1"/>
  <c r="AK328" i="172" a="1"/>
  <c r="AK328" i="172" s="1"/>
  <c r="AK330" i="172" a="1"/>
  <c r="AK330" i="172" s="1"/>
  <c r="AK332" i="172" a="1"/>
  <c r="AK332" i="172" s="1"/>
  <c r="AK334" i="172" a="1"/>
  <c r="AK334" i="172" s="1"/>
  <c r="AK336" i="172" a="1"/>
  <c r="AK336" i="172" s="1"/>
  <c r="AK341" i="172" a="1"/>
  <c r="AK341" i="172" s="1"/>
  <c r="AK345" i="172" a="1"/>
  <c r="AK345" i="172" s="1"/>
  <c r="AK349" i="172" a="1"/>
  <c r="AK349" i="172" s="1"/>
  <c r="AK353" i="172" a="1"/>
  <c r="AK353" i="172" s="1"/>
  <c r="AK357" i="172" a="1"/>
  <c r="AK357" i="172" s="1"/>
  <c r="AK361" i="172" a="1"/>
  <c r="AK361" i="172" s="1"/>
  <c r="AK365" i="172" a="1"/>
  <c r="AK365" i="172" s="1"/>
  <c r="AK369" i="172" a="1"/>
  <c r="AK369" i="172" s="1"/>
  <c r="AK373" i="172" a="1"/>
  <c r="AK373" i="172" s="1"/>
  <c r="AK377" i="172" a="1"/>
  <c r="AK377" i="172" s="1"/>
  <c r="AK381" i="172" a="1"/>
  <c r="AK381" i="172" s="1"/>
  <c r="AK385" i="172" a="1"/>
  <c r="AK385" i="172" s="1"/>
  <c r="AK389" i="172" a="1"/>
  <c r="AK389" i="172" s="1"/>
  <c r="AK393" i="172" a="1"/>
  <c r="AK393" i="172" s="1"/>
  <c r="AK397" i="172" a="1"/>
  <c r="AK397" i="172" s="1"/>
  <c r="AK401" i="172" a="1"/>
  <c r="AK401" i="172" s="1"/>
  <c r="AK435" i="172" a="1"/>
  <c r="AK435" i="172" s="1"/>
  <c r="AK438" i="172" a="1"/>
  <c r="AK438" i="172" s="1"/>
  <c r="AK442" i="172" a="1"/>
  <c r="AK442" i="172" s="1"/>
  <c r="AK446" i="172" a="1"/>
  <c r="AK446" i="172" s="1"/>
  <c r="AK450" i="172" a="1"/>
  <c r="AK450" i="172" s="1"/>
  <c r="AK454" i="172" a="1"/>
  <c r="AK454" i="172" s="1"/>
  <c r="AK458" i="172" a="1"/>
  <c r="AK458" i="172" s="1"/>
  <c r="AK462" i="172" a="1"/>
  <c r="AK462" i="172" s="1"/>
  <c r="AK466" i="172" a="1"/>
  <c r="AK466" i="172" s="1"/>
  <c r="AK470" i="172" a="1"/>
  <c r="AK470" i="172" s="1"/>
  <c r="AK474" i="172" a="1"/>
  <c r="AK474" i="172" s="1"/>
  <c r="AK478" i="172" a="1"/>
  <c r="AK478" i="172" s="1"/>
  <c r="AK482" i="172" a="1"/>
  <c r="AK482" i="172" s="1"/>
  <c r="AK486" i="172" a="1"/>
  <c r="AK486" i="172" s="1"/>
  <c r="AK490" i="172" a="1"/>
  <c r="AK490" i="172" s="1"/>
  <c r="AK494" i="172" a="1"/>
  <c r="AK494" i="172" s="1"/>
  <c r="AK498" i="172" a="1"/>
  <c r="AK498" i="172" s="1"/>
  <c r="AK502" i="172" a="1"/>
  <c r="AK502" i="172" s="1"/>
  <c r="AK506" i="172" a="1"/>
  <c r="AK506" i="172" s="1"/>
  <c r="AK510" i="172" a="1"/>
  <c r="AK510" i="172" s="1"/>
  <c r="AK514" i="172" a="1"/>
  <c r="AK514" i="172" s="1"/>
  <c r="AK518" i="172" a="1"/>
  <c r="AK518" i="172" s="1"/>
  <c r="AK522" i="172" a="1"/>
  <c r="AK522" i="172" s="1"/>
  <c r="AK526" i="172" a="1"/>
  <c r="AK526" i="172" s="1"/>
  <c r="AK530" i="172" a="1"/>
  <c r="AK530" i="172" s="1"/>
  <c r="AK534" i="172" a="1"/>
  <c r="AK534" i="172" s="1"/>
  <c r="AK538" i="172" a="1"/>
  <c r="AK538" i="172" s="1"/>
  <c r="AK542" i="172" a="1"/>
  <c r="AK542" i="172" s="1"/>
  <c r="AK546" i="172" a="1"/>
  <c r="AK546" i="172" s="1"/>
  <c r="AK550" i="172" a="1"/>
  <c r="AK550" i="172" s="1"/>
  <c r="AK554" i="172" a="1"/>
  <c r="AK554" i="172" s="1"/>
  <c r="AK558" i="172" a="1"/>
  <c r="AK558" i="172" s="1"/>
  <c r="AK562" i="172" a="1"/>
  <c r="AK562" i="172" s="1"/>
  <c r="AK566" i="172" a="1"/>
  <c r="AK566" i="172" s="1"/>
  <c r="AK570" i="172" a="1"/>
  <c r="AK570" i="172" s="1"/>
  <c r="AK574" i="172" a="1"/>
  <c r="AK574" i="172" s="1"/>
  <c r="AK578" i="172" a="1"/>
  <c r="AK578" i="172" s="1"/>
  <c r="AK8" i="172" a="1"/>
  <c r="AK8" i="172" s="1"/>
  <c r="AK19" i="172" a="1"/>
  <c r="AK19" i="172" s="1"/>
  <c r="AK24" i="172" a="1"/>
  <c r="AK24" i="172" s="1"/>
  <c r="AK35" i="172" a="1"/>
  <c r="AK35" i="172" s="1"/>
  <c r="AK40" i="172" a="1"/>
  <c r="AK40" i="172" s="1"/>
  <c r="AK56" i="172" a="1"/>
  <c r="AK56" i="172" s="1"/>
  <c r="AK59" i="172" a="1"/>
  <c r="AK59" i="172" s="1"/>
  <c r="AK74" i="172" a="1"/>
  <c r="AK74" i="172" s="1"/>
  <c r="AK75" i="172" a="1"/>
  <c r="AK75" i="172" s="1"/>
  <c r="AK77" i="172" a="1"/>
  <c r="AK77" i="172" s="1"/>
  <c r="AK78" i="172" a="1"/>
  <c r="AK78" i="172" s="1"/>
  <c r="AK81" i="172" a="1"/>
  <c r="AK81" i="172" s="1"/>
  <c r="AK82" i="172" a="1"/>
  <c r="AK82" i="172" s="1"/>
  <c r="AK85" i="172" a="1"/>
  <c r="AK85" i="172" s="1"/>
  <c r="AK86" i="172" a="1"/>
  <c r="AK86" i="172" s="1"/>
  <c r="AK89" i="172" a="1"/>
  <c r="AK89" i="172" s="1"/>
  <c r="AK90" i="172" a="1"/>
  <c r="AK90" i="172" s="1"/>
  <c r="AK93" i="172" a="1"/>
  <c r="AK93" i="172" s="1"/>
  <c r="AK94" i="172" a="1"/>
  <c r="AK94" i="172" s="1"/>
  <c r="AK97" i="172" a="1"/>
  <c r="AK97" i="172" s="1"/>
  <c r="AK98" i="172" a="1"/>
  <c r="AK98" i="172" s="1"/>
  <c r="AK101" i="172" a="1"/>
  <c r="AK101" i="172" s="1"/>
  <c r="AK102" i="172" a="1"/>
  <c r="AK102" i="172" s="1"/>
  <c r="AK105" i="172" a="1"/>
  <c r="AK105" i="172" s="1"/>
  <c r="AK106" i="172" a="1"/>
  <c r="AK106" i="172" s="1"/>
  <c r="AK109" i="172" a="1"/>
  <c r="AK109" i="172" s="1"/>
  <c r="AK110" i="172" a="1"/>
  <c r="AK110" i="172" s="1"/>
  <c r="AK113" i="172" a="1"/>
  <c r="AK113" i="172" s="1"/>
  <c r="AK114" i="172" a="1"/>
  <c r="AK114" i="172" s="1"/>
  <c r="AK117" i="172" a="1"/>
  <c r="AK117" i="172" s="1"/>
  <c r="AK118" i="172" a="1"/>
  <c r="AK118" i="172" s="1"/>
  <c r="AK121" i="172" a="1"/>
  <c r="AK121" i="172" s="1"/>
  <c r="AK122" i="172" a="1"/>
  <c r="AK122" i="172" s="1"/>
  <c r="AK125" i="172" a="1"/>
  <c r="AK125" i="172" s="1"/>
  <c r="AK126" i="172" a="1"/>
  <c r="AK126" i="172" s="1"/>
  <c r="AK129" i="172" a="1"/>
  <c r="AK129" i="172" s="1"/>
  <c r="AK130" i="172" a="1"/>
  <c r="AK130" i="172" s="1"/>
  <c r="AK133" i="172" a="1"/>
  <c r="AK133" i="172" s="1"/>
  <c r="AK134" i="172" a="1"/>
  <c r="AK134" i="172" s="1"/>
  <c r="AK137" i="172" a="1"/>
  <c r="AK137" i="172" s="1"/>
  <c r="AK138" i="172" a="1"/>
  <c r="AK138" i="172" s="1"/>
  <c r="AK141" i="172" a="1"/>
  <c r="AK141" i="172" s="1"/>
  <c r="AK142" i="172" a="1"/>
  <c r="AK142" i="172" s="1"/>
  <c r="AK147" i="172" a="1"/>
  <c r="AK147" i="172" s="1"/>
  <c r="AK152" i="172" a="1"/>
  <c r="AK152" i="172" s="1"/>
  <c r="AK153" i="172" a="1"/>
  <c r="AK153" i="172" s="1"/>
  <c r="AK158" i="172" a="1"/>
  <c r="AK158" i="172" s="1"/>
  <c r="AK193" i="172" a="1"/>
  <c r="AK193" i="172" s="1"/>
  <c r="AK196" i="172" a="1"/>
  <c r="AK196" i="172" s="1"/>
  <c r="AK198" i="172" a="1"/>
  <c r="AK198" i="172" s="1"/>
  <c r="AK199" i="172" a="1"/>
  <c r="AK199" i="172" s="1"/>
  <c r="AK205" i="172" a="1"/>
  <c r="AK205" i="172" s="1"/>
  <c r="AK206" i="172" a="1"/>
  <c r="AK206" i="172" s="1"/>
  <c r="AK213" i="172" a="1"/>
  <c r="AK213" i="172" s="1"/>
  <c r="AK214" i="172" a="1"/>
  <c r="AK214" i="172" s="1"/>
  <c r="AK219" i="172" a="1"/>
  <c r="AK219" i="172" s="1"/>
  <c r="AK226" i="172" a="1"/>
  <c r="AK226" i="172" s="1"/>
  <c r="AK228" i="172" a="1"/>
  <c r="AK228" i="172" s="1"/>
  <c r="AK230" i="172" a="1"/>
  <c r="AK230" i="172" s="1"/>
  <c r="AK232" i="172" a="1"/>
  <c r="AK232" i="172" s="1"/>
  <c r="AK234" i="172" a="1"/>
  <c r="AK234" i="172" s="1"/>
  <c r="AK236" i="172" a="1"/>
  <c r="AK236" i="172" s="1"/>
  <c r="AK238" i="172" a="1"/>
  <c r="AK238" i="172" s="1"/>
  <c r="AK240" i="172" a="1"/>
  <c r="AK240" i="172" s="1"/>
  <c r="AK242" i="172" a="1"/>
  <c r="AK242" i="172" s="1"/>
  <c r="AK244" i="172" a="1"/>
  <c r="AK244" i="172" s="1"/>
  <c r="AK246" i="172" a="1"/>
  <c r="AK246" i="172" s="1"/>
  <c r="AK248" i="172" a="1"/>
  <c r="AK248" i="172" s="1"/>
  <c r="AK250" i="172" a="1"/>
  <c r="AK250" i="172" s="1"/>
  <c r="AK252" i="172" a="1"/>
  <c r="AK252" i="172" s="1"/>
  <c r="AK254" i="172" a="1"/>
  <c r="AK254" i="172" s="1"/>
  <c r="AK256" i="172" a="1"/>
  <c r="AK256" i="172" s="1"/>
  <c r="AK258" i="172" a="1"/>
  <c r="AK258" i="172" s="1"/>
  <c r="AK260" i="172" a="1"/>
  <c r="AK260" i="172" s="1"/>
  <c r="AK262" i="172" a="1"/>
  <c r="AK262" i="172" s="1"/>
  <c r="AK264" i="172" a="1"/>
  <c r="AK264" i="172" s="1"/>
  <c r="AK266" i="172" a="1"/>
  <c r="AK266" i="172" s="1"/>
  <c r="AK268" i="172" a="1"/>
  <c r="AK268" i="172" s="1"/>
  <c r="AK271" i="172" a="1"/>
  <c r="AK271" i="172" s="1"/>
  <c r="AK276" i="172" a="1"/>
  <c r="AK276" i="172" s="1"/>
  <c r="AK281" i="172" a="1"/>
  <c r="AK281" i="172" s="1"/>
  <c r="AK283" i="172" a="1"/>
  <c r="AK283" i="172" s="1"/>
  <c r="AK338" i="172" a="1"/>
  <c r="AK338" i="172" s="1"/>
  <c r="AK344" i="172" a="1"/>
  <c r="AK344" i="172" s="1"/>
  <c r="AK348" i="172" a="1"/>
  <c r="AK348" i="172" s="1"/>
  <c r="AK352" i="172" a="1"/>
  <c r="AK352" i="172" s="1"/>
  <c r="AK356" i="172" a="1"/>
  <c r="AK356" i="172" s="1"/>
  <c r="AK360" i="172" a="1"/>
  <c r="AK360" i="172" s="1"/>
  <c r="AK364" i="172" a="1"/>
  <c r="AK364" i="172" s="1"/>
  <c r="AK368" i="172" a="1"/>
  <c r="AK368" i="172" s="1"/>
  <c r="AK372" i="172" a="1"/>
  <c r="AK372" i="172" s="1"/>
  <c r="AK376" i="172" a="1"/>
  <c r="AK376" i="172" s="1"/>
  <c r="AK380" i="172" a="1"/>
  <c r="AK380" i="172" s="1"/>
  <c r="AK384" i="172" a="1"/>
  <c r="AK384" i="172" s="1"/>
  <c r="AK388" i="172" a="1"/>
  <c r="AK388" i="172" s="1"/>
  <c r="AK392" i="172" a="1"/>
  <c r="AK392" i="172" s="1"/>
  <c r="AK396" i="172" a="1"/>
  <c r="AK396" i="172" s="1"/>
  <c r="AK400" i="172" a="1"/>
  <c r="AK400" i="172" s="1"/>
  <c r="AK434" i="172" a="1"/>
  <c r="AK434" i="172" s="1"/>
  <c r="AK437" i="172" a="1"/>
  <c r="AK437" i="172" s="1"/>
  <c r="AK441" i="172" a="1"/>
  <c r="AK441" i="172" s="1"/>
  <c r="AK445" i="172" a="1"/>
  <c r="AK445" i="172" s="1"/>
  <c r="AK449" i="172" a="1"/>
  <c r="AK449" i="172" s="1"/>
  <c r="AK453" i="172" a="1"/>
  <c r="AK453" i="172" s="1"/>
  <c r="AK457" i="172" a="1"/>
  <c r="AK457" i="172" s="1"/>
  <c r="AK461" i="172" a="1"/>
  <c r="AK461" i="172" s="1"/>
  <c r="AK465" i="172" a="1"/>
  <c r="AK465" i="172" s="1"/>
  <c r="AK469" i="172" a="1"/>
  <c r="AK469" i="172" s="1"/>
  <c r="AK473" i="172" a="1"/>
  <c r="AK473" i="172" s="1"/>
  <c r="AK477" i="172" a="1"/>
  <c r="AK477" i="172" s="1"/>
  <c r="AK481" i="172" a="1"/>
  <c r="AK481" i="172" s="1"/>
  <c r="AK485" i="172" a="1"/>
  <c r="AK485" i="172" s="1"/>
  <c r="AK489" i="172" a="1"/>
  <c r="AK489" i="172" s="1"/>
  <c r="AK493" i="172" a="1"/>
  <c r="AK493" i="172" s="1"/>
  <c r="AK497" i="172" a="1"/>
  <c r="AK497" i="172" s="1"/>
  <c r="AK501" i="172" a="1"/>
  <c r="AK501" i="172" s="1"/>
  <c r="AK505" i="172" a="1"/>
  <c r="AK505" i="172" s="1"/>
  <c r="AK509" i="172" a="1"/>
  <c r="AK509" i="172" s="1"/>
  <c r="AK513" i="172" a="1"/>
  <c r="AK513" i="172" s="1"/>
  <c r="AK517" i="172" a="1"/>
  <c r="AK517" i="172" s="1"/>
  <c r="AK15" i="172" a="1"/>
  <c r="AK15" i="172" s="1"/>
  <c r="AK20" i="172" a="1"/>
  <c r="AK20" i="172" s="1"/>
  <c r="AK31" i="172" a="1"/>
  <c r="AK31" i="172" s="1"/>
  <c r="AK36" i="172" a="1"/>
  <c r="AK36" i="172" s="1"/>
  <c r="AK47" i="172" a="1"/>
  <c r="AK47" i="172" s="1"/>
  <c r="AK57" i="172" a="1"/>
  <c r="AK57" i="172" s="1"/>
  <c r="AK69" i="172" a="1"/>
  <c r="AK69" i="172" s="1"/>
  <c r="AK73" i="172" a="1"/>
  <c r="AK73" i="172" s="1"/>
  <c r="AK143" i="172" a="1"/>
  <c r="AK143" i="172" s="1"/>
  <c r="AK148" i="172" a="1"/>
  <c r="AK148" i="172" s="1"/>
  <c r="AK149" i="172" a="1"/>
  <c r="AK149" i="172" s="1"/>
  <c r="AK154" i="172" a="1"/>
  <c r="AK154" i="172" s="1"/>
  <c r="AK159" i="172" a="1"/>
  <c r="AK159" i="172" s="1"/>
  <c r="AK192" i="172" a="1"/>
  <c r="AK192" i="172" s="1"/>
  <c r="AK194" i="172" a="1"/>
  <c r="AK194" i="172" s="1"/>
  <c r="AK195" i="172" a="1"/>
  <c r="AK195" i="172" s="1"/>
  <c r="AK204" i="172" a="1"/>
  <c r="AK204" i="172" s="1"/>
  <c r="AK211" i="172" a="1"/>
  <c r="AK211" i="172" s="1"/>
  <c r="AK212" i="172" a="1"/>
  <c r="AK212" i="172" s="1"/>
  <c r="AK221" i="172" a="1"/>
  <c r="AK221" i="172" s="1"/>
  <c r="AK223" i="172" a="1"/>
  <c r="AK223" i="172" s="1"/>
  <c r="AK270" i="172" a="1"/>
  <c r="AK270" i="172" s="1"/>
  <c r="AK273" i="172" a="1"/>
  <c r="AK273" i="172" s="1"/>
  <c r="AK278" i="172" a="1"/>
  <c r="AK278" i="172" s="1"/>
  <c r="AK280" i="172" a="1"/>
  <c r="AK280" i="172" s="1"/>
  <c r="AK285" i="172" a="1"/>
  <c r="AK285" i="172" s="1"/>
  <c r="AK287" i="172" a="1"/>
  <c r="AK287" i="172" s="1"/>
  <c r="AK289" i="172" a="1"/>
  <c r="AK289" i="172" s="1"/>
  <c r="AK291" i="172" a="1"/>
  <c r="AK291" i="172" s="1"/>
  <c r="AK293" i="172" a="1"/>
  <c r="AK293" i="172" s="1"/>
  <c r="AK295" i="172" a="1"/>
  <c r="AK295" i="172" s="1"/>
  <c r="AK297" i="172" a="1"/>
  <c r="AK297" i="172" s="1"/>
  <c r="AK299" i="172" a="1"/>
  <c r="AK299" i="172" s="1"/>
  <c r="AK301" i="172" a="1"/>
  <c r="AK301" i="172" s="1"/>
  <c r="AK303" i="172" a="1"/>
  <c r="AK303" i="172" s="1"/>
  <c r="AK305" i="172" a="1"/>
  <c r="AK305" i="172" s="1"/>
  <c r="AK307" i="172" a="1"/>
  <c r="AK307" i="172" s="1"/>
  <c r="AK309" i="172" a="1"/>
  <c r="AK309" i="172" s="1"/>
  <c r="AK311" i="172" a="1"/>
  <c r="AK311" i="172" s="1"/>
  <c r="AK313" i="172" a="1"/>
  <c r="AK313" i="172" s="1"/>
  <c r="AK315" i="172" a="1"/>
  <c r="AK315" i="172" s="1"/>
  <c r="AK317" i="172" a="1"/>
  <c r="AK317" i="172" s="1"/>
  <c r="AK319" i="172" a="1"/>
  <c r="AK319" i="172" s="1"/>
  <c r="AK321" i="172" a="1"/>
  <c r="AK321" i="172" s="1"/>
  <c r="AK323" i="172" a="1"/>
  <c r="AK323" i="172" s="1"/>
  <c r="AK325" i="172" a="1"/>
  <c r="AK325" i="172" s="1"/>
  <c r="AK327" i="172" a="1"/>
  <c r="AK327" i="172" s="1"/>
  <c r="AK329" i="172" a="1"/>
  <c r="AK329" i="172" s="1"/>
  <c r="AK331" i="172" a="1"/>
  <c r="AK331" i="172" s="1"/>
  <c r="AK333" i="172" a="1"/>
  <c r="AK333" i="172" s="1"/>
  <c r="AK335" i="172" a="1"/>
  <c r="AK335" i="172" s="1"/>
  <c r="AK337" i="172" a="1"/>
  <c r="AK337" i="172" s="1"/>
  <c r="AK340" i="172" a="1"/>
  <c r="AK340" i="172" s="1"/>
  <c r="AK343" i="172" a="1"/>
  <c r="AK343" i="172" s="1"/>
  <c r="AK347" i="172" a="1"/>
  <c r="AK347" i="172" s="1"/>
  <c r="AK351" i="172" a="1"/>
  <c r="AK351" i="172" s="1"/>
  <c r="AK355" i="172" a="1"/>
  <c r="AK355" i="172" s="1"/>
  <c r="AK359" i="172" a="1"/>
  <c r="AK359" i="172" s="1"/>
  <c r="AK363" i="172" a="1"/>
  <c r="AK363" i="172" s="1"/>
  <c r="AK367" i="172" a="1"/>
  <c r="AK367" i="172" s="1"/>
  <c r="AK371" i="172" a="1"/>
  <c r="AK371" i="172" s="1"/>
  <c r="AK375" i="172" a="1"/>
  <c r="AK375" i="172" s="1"/>
  <c r="AK379" i="172" a="1"/>
  <c r="AK379" i="172" s="1"/>
  <c r="AK383" i="172" a="1"/>
  <c r="AK383" i="172" s="1"/>
  <c r="AK387" i="172" a="1"/>
  <c r="AK387" i="172" s="1"/>
  <c r="AK391" i="172" a="1"/>
  <c r="AK391" i="172" s="1"/>
  <c r="AK395" i="172" a="1"/>
  <c r="AK395" i="172" s="1"/>
  <c r="AK399" i="172" a="1"/>
  <c r="AK399" i="172" s="1"/>
  <c r="AK433" i="172" a="1"/>
  <c r="AK433" i="172" s="1"/>
  <c r="AK436" i="172" a="1"/>
  <c r="AK436" i="172" s="1"/>
  <c r="AK440" i="172" a="1"/>
  <c r="AK440" i="172" s="1"/>
  <c r="AK444" i="172" a="1"/>
  <c r="AK444" i="172" s="1"/>
  <c r="AK448" i="172" a="1"/>
  <c r="AK448" i="172" s="1"/>
  <c r="AK452" i="172" a="1"/>
  <c r="AK452" i="172" s="1"/>
  <c r="AK456" i="172" a="1"/>
  <c r="AK456" i="172" s="1"/>
  <c r="AK460" i="172" a="1"/>
  <c r="AK460" i="172" s="1"/>
  <c r="AK464" i="172" a="1"/>
  <c r="AK464" i="172" s="1"/>
  <c r="AK468" i="172" a="1"/>
  <c r="AK468" i="172" s="1"/>
  <c r="AK472" i="172" a="1"/>
  <c r="AK472" i="172" s="1"/>
  <c r="AK476" i="172" a="1"/>
  <c r="AK476" i="172" s="1"/>
  <c r="AK480" i="172" a="1"/>
  <c r="AK480" i="172" s="1"/>
  <c r="AK484" i="172" a="1"/>
  <c r="AK484" i="172" s="1"/>
  <c r="AK488" i="172" a="1"/>
  <c r="AK488" i="172" s="1"/>
  <c r="AK492" i="172" a="1"/>
  <c r="AK492" i="172" s="1"/>
  <c r="AK496" i="172" a="1"/>
  <c r="AK496" i="172" s="1"/>
  <c r="AK500" i="172" a="1"/>
  <c r="AK500" i="172" s="1"/>
  <c r="AK504" i="172" a="1"/>
  <c r="AK504" i="172" s="1"/>
  <c r="AK508" i="172" a="1"/>
  <c r="AK508" i="172" s="1"/>
  <c r="AK512" i="172" a="1"/>
  <c r="AK512" i="172" s="1"/>
  <c r="AK516" i="172" a="1"/>
  <c r="AK516" i="172" s="1"/>
  <c r="AK520" i="172" a="1"/>
  <c r="AK520" i="172" s="1"/>
  <c r="AK524" i="172" a="1"/>
  <c r="AK524" i="172" s="1"/>
  <c r="AK528" i="172" a="1"/>
  <c r="AK528" i="172" s="1"/>
  <c r="AK532" i="172" a="1"/>
  <c r="AK532" i="172" s="1"/>
  <c r="AK536" i="172" a="1"/>
  <c r="AK536" i="172" s="1"/>
  <c r="AK540" i="172" a="1"/>
  <c r="AK540" i="172" s="1"/>
  <c r="AK11" i="172" a="1"/>
  <c r="AK11" i="172" s="1"/>
  <c r="AK16" i="172" a="1"/>
  <c r="AK16" i="172" s="1"/>
  <c r="AK27" i="172" a="1"/>
  <c r="AK27" i="172" s="1"/>
  <c r="AK32" i="172" a="1"/>
  <c r="AK32" i="172" s="1"/>
  <c r="AK43" i="172" a="1"/>
  <c r="AK43" i="172" s="1"/>
  <c r="AK53" i="172" a="1"/>
  <c r="AK53" i="172" s="1"/>
  <c r="AK64" i="172" a="1"/>
  <c r="AK64" i="172" s="1"/>
  <c r="AK67" i="172" a="1"/>
  <c r="AK67" i="172" s="1"/>
  <c r="AK72" i="172" a="1"/>
  <c r="AK72" i="172" s="1"/>
  <c r="AK79" i="172" a="1"/>
  <c r="AK79" i="172" s="1"/>
  <c r="AK80" i="172" a="1"/>
  <c r="AK80" i="172" s="1"/>
  <c r="AK83" i="172" a="1"/>
  <c r="AK83" i="172" s="1"/>
  <c r="AK84" i="172" a="1"/>
  <c r="AK84" i="172" s="1"/>
  <c r="AK87" i="172" a="1"/>
  <c r="AK87" i="172" s="1"/>
  <c r="AK88" i="172" a="1"/>
  <c r="AK88" i="172" s="1"/>
  <c r="AK91" i="172" a="1"/>
  <c r="AK91" i="172" s="1"/>
  <c r="AK92" i="172" a="1"/>
  <c r="AK92" i="172" s="1"/>
  <c r="AK95" i="172" a="1"/>
  <c r="AK95" i="172" s="1"/>
  <c r="AK96" i="172" a="1"/>
  <c r="AK96" i="172" s="1"/>
  <c r="AK99" i="172" a="1"/>
  <c r="AK99" i="172" s="1"/>
  <c r="AK100" i="172" a="1"/>
  <c r="AK100" i="172" s="1"/>
  <c r="AK103" i="172" a="1"/>
  <c r="AK103" i="172" s="1"/>
  <c r="AK104" i="172" a="1"/>
  <c r="AK104" i="172" s="1"/>
  <c r="AK107" i="172" a="1"/>
  <c r="AK107" i="172" s="1"/>
  <c r="AK108" i="172" a="1"/>
  <c r="AK108" i="172" s="1"/>
  <c r="AK111" i="172" a="1"/>
  <c r="AK111" i="172" s="1"/>
  <c r="AK112" i="172" a="1"/>
  <c r="AK112" i="172" s="1"/>
  <c r="AK115" i="172" a="1"/>
  <c r="AK115" i="172" s="1"/>
  <c r="AK116" i="172" a="1"/>
  <c r="AK116" i="172" s="1"/>
  <c r="AK119" i="172" a="1"/>
  <c r="AK119" i="172" s="1"/>
  <c r="AK120" i="172" a="1"/>
  <c r="AK120" i="172" s="1"/>
  <c r="AK123" i="172" a="1"/>
  <c r="AK123" i="172" s="1"/>
  <c r="AK124" i="172" a="1"/>
  <c r="AK124" i="172" s="1"/>
  <c r="AK127" i="172" a="1"/>
  <c r="AK127" i="172" s="1"/>
  <c r="AK128" i="172" a="1"/>
  <c r="AK128" i="172" s="1"/>
  <c r="AK131" i="172" a="1"/>
  <c r="AK131" i="172" s="1"/>
  <c r="AK132" i="172" a="1"/>
  <c r="AK132" i="172" s="1"/>
  <c r="AK135" i="172" a="1"/>
  <c r="AK135" i="172" s="1"/>
  <c r="AK136" i="172" a="1"/>
  <c r="AK136" i="172" s="1"/>
  <c r="AK139" i="172" a="1"/>
  <c r="AK139" i="172" s="1"/>
  <c r="AK140" i="172" a="1"/>
  <c r="AK140" i="172" s="1"/>
  <c r="AK144" i="172" a="1"/>
  <c r="AK144" i="172" s="1"/>
  <c r="AK145" i="172" a="1"/>
  <c r="AK145" i="172" s="1"/>
  <c r="AK150" i="172" a="1"/>
  <c r="AK150" i="172" s="1"/>
  <c r="AK155" i="172" a="1"/>
  <c r="AK155" i="172" s="1"/>
  <c r="AK160" i="172" a="1"/>
  <c r="AK160" i="172" s="1"/>
  <c r="AK161" i="172" a="1"/>
  <c r="AK161" i="172" s="1"/>
  <c r="AK162" i="172" a="1"/>
  <c r="AK162" i="172" s="1"/>
  <c r="AK163" i="172" a="1"/>
  <c r="AK163" i="172" s="1"/>
  <c r="AK164" i="172" a="1"/>
  <c r="AK164" i="172" s="1"/>
  <c r="AK165" i="172" a="1"/>
  <c r="AK165" i="172" s="1"/>
  <c r="AK166" i="172" a="1"/>
  <c r="AK166" i="172" s="1"/>
  <c r="AK167" i="172" a="1"/>
  <c r="AK167" i="172" s="1"/>
  <c r="AK168" i="172" a="1"/>
  <c r="AK168" i="172" s="1"/>
  <c r="AK169" i="172" a="1"/>
  <c r="AK169" i="172" s="1"/>
  <c r="AK170" i="172" a="1"/>
  <c r="AK170" i="172" s="1"/>
  <c r="AK174" i="172" a="1"/>
  <c r="AK174" i="172" s="1"/>
  <c r="AK178" i="172" a="1"/>
  <c r="AK178" i="172" s="1"/>
  <c r="AK182" i="172" a="1"/>
  <c r="AK182" i="172" s="1"/>
  <c r="AK186" i="172" a="1"/>
  <c r="AK186" i="172" s="1"/>
  <c r="AK190" i="172" a="1"/>
  <c r="AK190" i="172" s="1"/>
  <c r="AK203" i="172" a="1"/>
  <c r="AK203" i="172" s="1"/>
  <c r="AK217" i="172" a="1"/>
  <c r="AK217" i="172" s="1"/>
  <c r="AK231" i="172" a="1"/>
  <c r="AK231" i="172" s="1"/>
  <c r="AK239" i="172" a="1"/>
  <c r="AK239" i="172" s="1"/>
  <c r="AK247" i="172" a="1"/>
  <c r="AK247" i="172" s="1"/>
  <c r="AK255" i="172" a="1"/>
  <c r="AK255" i="172" s="1"/>
  <c r="AK263" i="172" a="1"/>
  <c r="AK263" i="172" s="1"/>
  <c r="AK284" i="172" a="1"/>
  <c r="AK284" i="172" s="1"/>
  <c r="AK339" i="172" a="1"/>
  <c r="AK339" i="172" s="1"/>
  <c r="AK350" i="172" a="1"/>
  <c r="AK350" i="172" s="1"/>
  <c r="AK366" i="172" a="1"/>
  <c r="AK366" i="172" s="1"/>
  <c r="AK382" i="172" a="1"/>
  <c r="AK382" i="172" s="1"/>
  <c r="AK398" i="172" a="1"/>
  <c r="AK398" i="172" s="1"/>
  <c r="AK403" i="172" a="1"/>
  <c r="AK403" i="172" s="1"/>
  <c r="AK407" i="172" a="1"/>
  <c r="AK407" i="172" s="1"/>
  <c r="AK411" i="172" a="1"/>
  <c r="AK411" i="172" s="1"/>
  <c r="AK415" i="172" a="1"/>
  <c r="AK415" i="172" s="1"/>
  <c r="AK419" i="172" a="1"/>
  <c r="AK419" i="172" s="1"/>
  <c r="AK423" i="172" a="1"/>
  <c r="AK423" i="172" s="1"/>
  <c r="AK427" i="172" a="1"/>
  <c r="AK427" i="172" s="1"/>
  <c r="AK431" i="172" a="1"/>
  <c r="AK431" i="172" s="1"/>
  <c r="AK447" i="172" a="1"/>
  <c r="AK447" i="172" s="1"/>
  <c r="AK463" i="172" a="1"/>
  <c r="AK463" i="172" s="1"/>
  <c r="AK479" i="172" a="1"/>
  <c r="AK479" i="172" s="1"/>
  <c r="AK495" i="172" a="1"/>
  <c r="AK495" i="172" s="1"/>
  <c r="AK511" i="172" a="1"/>
  <c r="AK511" i="172" s="1"/>
  <c r="AK525" i="172" a="1"/>
  <c r="AK525" i="172" s="1"/>
  <c r="AK533" i="172" a="1"/>
  <c r="AK533" i="172" s="1"/>
  <c r="AK541" i="172" a="1"/>
  <c r="AK541" i="172" s="1"/>
  <c r="AK548" i="172" a="1"/>
  <c r="AK548" i="172" s="1"/>
  <c r="AK555" i="172" a="1"/>
  <c r="AK555" i="172" s="1"/>
  <c r="AK557" i="172" a="1"/>
  <c r="AK557" i="172" s="1"/>
  <c r="AK564" i="172" a="1"/>
  <c r="AK564" i="172" s="1"/>
  <c r="AK571" i="172" a="1"/>
  <c r="AK571" i="172" s="1"/>
  <c r="AK573" i="172" a="1"/>
  <c r="AK573" i="172" s="1"/>
  <c r="AK581" i="172" a="1"/>
  <c r="AK581" i="172" s="1"/>
  <c r="AK585" i="172" a="1"/>
  <c r="AK585" i="172" s="1"/>
  <c r="AK586" i="172" a="1"/>
  <c r="AK586" i="172" s="1"/>
  <c r="AK593" i="172" a="1"/>
  <c r="AK593" i="172" s="1"/>
  <c r="AK594" i="172" a="1"/>
  <c r="AK594" i="172" s="1"/>
  <c r="AK601" i="172" a="1"/>
  <c r="AK601" i="172" s="1"/>
  <c r="AK602" i="172" a="1"/>
  <c r="AK602" i="172" s="1"/>
  <c r="AK698" i="172" a="1"/>
  <c r="AK698" i="172" s="1"/>
  <c r="AK701" i="172" a="1"/>
  <c r="AK701" i="172" s="1"/>
  <c r="AK706" i="172" a="1"/>
  <c r="AK706" i="172" s="1"/>
  <c r="AK709" i="172" a="1"/>
  <c r="AK709" i="172" s="1"/>
  <c r="AK714" i="172" a="1"/>
  <c r="AK714" i="172" s="1"/>
  <c r="AK717" i="172" a="1"/>
  <c r="AK717" i="172" s="1"/>
  <c r="AK722" i="172" a="1"/>
  <c r="AK722" i="172" s="1"/>
  <c r="AK725" i="172" a="1"/>
  <c r="AK725" i="172" s="1"/>
  <c r="AK730" i="172" a="1"/>
  <c r="AK730" i="172" s="1"/>
  <c r="AK733" i="172" a="1"/>
  <c r="AK733" i="172" s="1"/>
  <c r="AK736" i="172" a="1"/>
  <c r="AK736" i="172" s="1"/>
  <c r="AK740" i="172" a="1"/>
  <c r="AK740" i="172" s="1"/>
  <c r="AK744" i="172" a="1"/>
  <c r="AK744" i="172" s="1"/>
  <c r="AK748" i="172" a="1"/>
  <c r="AK748" i="172" s="1"/>
  <c r="AK752" i="172" a="1"/>
  <c r="AK752" i="172" s="1"/>
  <c r="AK756" i="172" a="1"/>
  <c r="AK756" i="172" s="1"/>
  <c r="AK760" i="172" a="1"/>
  <c r="AK760" i="172" s="1"/>
  <c r="AK764" i="172" a="1"/>
  <c r="AK764" i="172" s="1"/>
  <c r="AK768" i="172" a="1"/>
  <c r="AK768" i="172" s="1"/>
  <c r="AK772" i="172" a="1"/>
  <c r="AK772" i="172" s="1"/>
  <c r="AK776" i="172" a="1"/>
  <c r="AK776" i="172" s="1"/>
  <c r="AK780" i="172" a="1"/>
  <c r="AK780" i="172" s="1"/>
  <c r="AK784" i="172" a="1"/>
  <c r="AK784" i="172" s="1"/>
  <c r="AK788" i="172" a="1"/>
  <c r="AK788" i="172" s="1"/>
  <c r="AK792" i="172" a="1"/>
  <c r="AK792" i="172" s="1"/>
  <c r="AK796" i="172" a="1"/>
  <c r="AK796" i="172" s="1"/>
  <c r="AK800" i="172" a="1"/>
  <c r="AK800" i="172" s="1"/>
  <c r="AK801" i="172" a="1"/>
  <c r="AK801" i="172" s="1"/>
  <c r="AK808" i="172" a="1"/>
  <c r="AK808" i="172" s="1"/>
  <c r="AK809" i="172" a="1"/>
  <c r="AK809" i="172" s="1"/>
  <c r="AK816" i="172" a="1"/>
  <c r="AK816" i="172" s="1"/>
  <c r="AK817" i="172" a="1"/>
  <c r="AK817" i="172" s="1"/>
  <c r="AK824" i="172" a="1"/>
  <c r="AK824" i="172" s="1"/>
  <c r="AK825" i="172" a="1"/>
  <c r="AK825" i="172" s="1"/>
  <c r="AK832" i="172" a="1"/>
  <c r="AK832" i="172" s="1"/>
  <c r="AK833" i="172" a="1"/>
  <c r="AK833" i="172" s="1"/>
  <c r="AK839" i="172" a="1"/>
  <c r="AK839" i="172" s="1"/>
  <c r="AK840" i="172" a="1"/>
  <c r="AK840" i="172" s="1"/>
  <c r="AK843" i="172" a="1"/>
  <c r="AK843" i="172" s="1"/>
  <c r="AK846" i="172" a="1"/>
  <c r="AK846" i="172" s="1"/>
  <c r="AK849" i="172" a="1"/>
  <c r="AK849" i="172" s="1"/>
  <c r="AK854" i="172" a="1"/>
  <c r="AK854" i="172" s="1"/>
  <c r="AK857" i="172" a="1"/>
  <c r="AK857" i="172" s="1"/>
  <c r="AK862" i="172" a="1"/>
  <c r="AK862" i="172" s="1"/>
  <c r="AK866" i="172" a="1"/>
  <c r="AK866" i="172" s="1"/>
  <c r="AK870" i="172" a="1"/>
  <c r="AK870" i="172" s="1"/>
  <c r="AK874" i="172" a="1"/>
  <c r="AK874" i="172" s="1"/>
  <c r="AK878" i="172" a="1"/>
  <c r="AK878" i="172" s="1"/>
  <c r="AK882" i="172" a="1"/>
  <c r="AK882" i="172" s="1"/>
  <c r="AK886" i="172" a="1"/>
  <c r="AK886" i="172" s="1"/>
  <c r="AK890" i="172" a="1"/>
  <c r="AK890" i="172" s="1"/>
  <c r="AK894" i="172" a="1"/>
  <c r="AK894" i="172" s="1"/>
  <c r="AK898" i="172" a="1"/>
  <c r="AK898" i="172" s="1"/>
  <c r="AK902" i="172" a="1"/>
  <c r="AK902" i="172" s="1"/>
  <c r="AK906" i="172" a="1"/>
  <c r="AK906" i="172" s="1"/>
  <c r="AK910" i="172" a="1"/>
  <c r="AK910" i="172" s="1"/>
  <c r="AK914" i="172" a="1"/>
  <c r="AK914" i="172" s="1"/>
  <c r="AK918" i="172" a="1"/>
  <c r="AK918" i="172" s="1"/>
  <c r="AK922" i="172" a="1"/>
  <c r="AK922" i="172" s="1"/>
  <c r="AK926" i="172" a="1"/>
  <c r="AK926" i="172" s="1"/>
  <c r="AK930" i="172" a="1"/>
  <c r="AK930" i="172" s="1"/>
  <c r="AK171" i="172" a="1"/>
  <c r="AK171" i="172" s="1"/>
  <c r="AK175" i="172" a="1"/>
  <c r="AK175" i="172" s="1"/>
  <c r="AK179" i="172" a="1"/>
  <c r="AK179" i="172" s="1"/>
  <c r="AK183" i="172" a="1"/>
  <c r="AK183" i="172" s="1"/>
  <c r="AK187" i="172" a="1"/>
  <c r="AK187" i="172" s="1"/>
  <c r="AK191" i="172" a="1"/>
  <c r="AK191" i="172" s="1"/>
  <c r="AK209" i="172" a="1"/>
  <c r="AK209" i="172" s="1"/>
  <c r="AK218" i="172" a="1"/>
  <c r="AK218" i="172" s="1"/>
  <c r="AK225" i="172" a="1"/>
  <c r="AK225" i="172" s="1"/>
  <c r="AK233" i="172" a="1"/>
  <c r="AK233" i="172" s="1"/>
  <c r="AK241" i="172" a="1"/>
  <c r="AK241" i="172" s="1"/>
  <c r="AK249" i="172" a="1"/>
  <c r="AK249" i="172" s="1"/>
  <c r="AK257" i="172" a="1"/>
  <c r="AK257" i="172" s="1"/>
  <c r="AK265" i="172" a="1"/>
  <c r="AK265" i="172" s="1"/>
  <c r="AK272" i="172" a="1"/>
  <c r="AK272" i="172" s="1"/>
  <c r="AK346" i="172" a="1"/>
  <c r="AK346" i="172" s="1"/>
  <c r="AK362" i="172" a="1"/>
  <c r="AK362" i="172" s="1"/>
  <c r="AK378" i="172" a="1"/>
  <c r="AK378" i="172" s="1"/>
  <c r="AK394" i="172" a="1"/>
  <c r="AK394" i="172" s="1"/>
  <c r="AK404" i="172" a="1"/>
  <c r="AK404" i="172" s="1"/>
  <c r="AK408" i="172" a="1"/>
  <c r="AK408" i="172" s="1"/>
  <c r="AK412" i="172" a="1"/>
  <c r="AK412" i="172" s="1"/>
  <c r="AK416" i="172" a="1"/>
  <c r="AK416" i="172" s="1"/>
  <c r="AK420" i="172" a="1"/>
  <c r="AK420" i="172" s="1"/>
  <c r="AK424" i="172" a="1"/>
  <c r="AK424" i="172" s="1"/>
  <c r="AK428" i="172" a="1"/>
  <c r="AK428" i="172" s="1"/>
  <c r="AK432" i="172" a="1"/>
  <c r="AK432" i="172" s="1"/>
  <c r="AK443" i="172" a="1"/>
  <c r="AK443" i="172" s="1"/>
  <c r="AK459" i="172" a="1"/>
  <c r="AK459" i="172" s="1"/>
  <c r="AK475" i="172" a="1"/>
  <c r="AK475" i="172" s="1"/>
  <c r="AK491" i="172" a="1"/>
  <c r="AK491" i="172" s="1"/>
  <c r="AK507" i="172" a="1"/>
  <c r="AK507" i="172" s="1"/>
  <c r="AK523" i="172" a="1"/>
  <c r="AK523" i="172" s="1"/>
  <c r="AK531" i="172" a="1"/>
  <c r="AK531" i="172" s="1"/>
  <c r="AK539" i="172" a="1"/>
  <c r="AK539" i="172" s="1"/>
  <c r="AK543" i="172" a="1"/>
  <c r="AK543" i="172" s="1"/>
  <c r="AK545" i="172" a="1"/>
  <c r="AK545" i="172" s="1"/>
  <c r="AK552" i="172" a="1"/>
  <c r="AK552" i="172" s="1"/>
  <c r="AK559" i="172" a="1"/>
  <c r="AK559" i="172" s="1"/>
  <c r="AK561" i="172" a="1"/>
  <c r="AK561" i="172" s="1"/>
  <c r="AK568" i="172" a="1"/>
  <c r="AK568" i="172" s="1"/>
  <c r="AK575" i="172" a="1"/>
  <c r="AK575" i="172" s="1"/>
  <c r="AK577" i="172" a="1"/>
  <c r="AK577" i="172" s="1"/>
  <c r="AK580" i="172" a="1"/>
  <c r="AK580" i="172" s="1"/>
  <c r="AK584" i="172" a="1"/>
  <c r="AK584" i="172" s="1"/>
  <c r="AK591" i="172" a="1"/>
  <c r="AK591" i="172" s="1"/>
  <c r="AK592" i="172" a="1"/>
  <c r="AK592" i="172" s="1"/>
  <c r="AK599" i="172" a="1"/>
  <c r="AK599" i="172" s="1"/>
  <c r="AK600" i="172" a="1"/>
  <c r="AK600" i="172" s="1"/>
  <c r="AK606" i="172" a="1"/>
  <c r="AK606" i="172" s="1"/>
  <c r="AK607" i="172" a="1"/>
  <c r="AK607" i="172" s="1"/>
  <c r="AK610" i="172" a="1"/>
  <c r="AK610" i="172" s="1"/>
  <c r="AK611" i="172" a="1"/>
  <c r="AK611" i="172" s="1"/>
  <c r="AK614" i="172" a="1"/>
  <c r="AK614" i="172" s="1"/>
  <c r="AK615" i="172" a="1"/>
  <c r="AK615" i="172" s="1"/>
  <c r="AK618" i="172" a="1"/>
  <c r="AK618" i="172" s="1"/>
  <c r="AK619" i="172" a="1"/>
  <c r="AK619" i="172" s="1"/>
  <c r="AK622" i="172" a="1"/>
  <c r="AK622" i="172" s="1"/>
  <c r="AK623" i="172" a="1"/>
  <c r="AK623" i="172" s="1"/>
  <c r="AK626" i="172" a="1"/>
  <c r="AK626" i="172" s="1"/>
  <c r="AK627" i="172" a="1"/>
  <c r="AK627" i="172" s="1"/>
  <c r="AK630" i="172" a="1"/>
  <c r="AK630" i="172" s="1"/>
  <c r="AK631" i="172" a="1"/>
  <c r="AK631" i="172" s="1"/>
  <c r="AK634" i="172" a="1"/>
  <c r="AK634" i="172" s="1"/>
  <c r="AK635" i="172" a="1"/>
  <c r="AK635" i="172" s="1"/>
  <c r="AK638" i="172" a="1"/>
  <c r="AK638" i="172" s="1"/>
  <c r="AK639" i="172" a="1"/>
  <c r="AK639" i="172" s="1"/>
  <c r="AK642" i="172" a="1"/>
  <c r="AK642" i="172" s="1"/>
  <c r="AK643" i="172" a="1"/>
  <c r="AK643" i="172" s="1"/>
  <c r="AK646" i="172" a="1"/>
  <c r="AK646" i="172" s="1"/>
  <c r="AK647" i="172" a="1"/>
  <c r="AK647" i="172" s="1"/>
  <c r="AK650" i="172" a="1"/>
  <c r="AK650" i="172" s="1"/>
  <c r="AK651" i="172" a="1"/>
  <c r="AK651" i="172" s="1"/>
  <c r="AK654" i="172" a="1"/>
  <c r="AK654" i="172" s="1"/>
  <c r="AK655" i="172" a="1"/>
  <c r="AK655" i="172" s="1"/>
  <c r="AK658" i="172" a="1"/>
  <c r="AK658" i="172" s="1"/>
  <c r="AK659" i="172" a="1"/>
  <c r="AK659" i="172" s="1"/>
  <c r="AK662" i="172" a="1"/>
  <c r="AK662" i="172" s="1"/>
  <c r="AK663" i="172" a="1"/>
  <c r="AK663" i="172" s="1"/>
  <c r="AK666" i="172" a="1"/>
  <c r="AK666" i="172" s="1"/>
  <c r="AK667" i="172" a="1"/>
  <c r="AK667" i="172" s="1"/>
  <c r="AK670" i="172" a="1"/>
  <c r="AK670" i="172" s="1"/>
  <c r="AK671" i="172" a="1"/>
  <c r="AK671" i="172" s="1"/>
  <c r="AK674" i="172" a="1"/>
  <c r="AK674" i="172" s="1"/>
  <c r="AK675" i="172" a="1"/>
  <c r="AK675" i="172" s="1"/>
  <c r="AK678" i="172" a="1"/>
  <c r="AK678" i="172" s="1"/>
  <c r="AK679" i="172" a="1"/>
  <c r="AK679" i="172" s="1"/>
  <c r="AK682" i="172" a="1"/>
  <c r="AK682" i="172" s="1"/>
  <c r="AK683" i="172" a="1"/>
  <c r="AK683" i="172" s="1"/>
  <c r="AK686" i="172" a="1"/>
  <c r="AK686" i="172" s="1"/>
  <c r="AK687" i="172" a="1"/>
  <c r="AK687" i="172" s="1"/>
  <c r="AK690" i="172" a="1"/>
  <c r="AK690" i="172" s="1"/>
  <c r="AK691" i="172" a="1"/>
  <c r="AK691" i="172" s="1"/>
  <c r="AK694" i="172" a="1"/>
  <c r="AK694" i="172" s="1"/>
  <c r="AK695" i="172" a="1"/>
  <c r="AK695" i="172" s="1"/>
  <c r="AK700" i="172" a="1"/>
  <c r="AK700" i="172" s="1"/>
  <c r="AK703" i="172" a="1"/>
  <c r="AK703" i="172" s="1"/>
  <c r="AK708" i="172" a="1"/>
  <c r="AK708" i="172" s="1"/>
  <c r="AK711" i="172" a="1"/>
  <c r="AK711" i="172" s="1"/>
  <c r="AK716" i="172" a="1"/>
  <c r="AK716" i="172" s="1"/>
  <c r="AK719" i="172" a="1"/>
  <c r="AK719" i="172" s="1"/>
  <c r="AK724" i="172" a="1"/>
  <c r="AK724" i="172" s="1"/>
  <c r="AK727" i="172" a="1"/>
  <c r="AK727" i="172" s="1"/>
  <c r="AK732" i="172" a="1"/>
  <c r="AK732" i="172" s="1"/>
  <c r="AK735" i="172" a="1"/>
  <c r="AK735" i="172" s="1"/>
  <c r="AK739" i="172" a="1"/>
  <c r="AK739" i="172" s="1"/>
  <c r="AK743" i="172" a="1"/>
  <c r="AK743" i="172" s="1"/>
  <c r="AK747" i="172" a="1"/>
  <c r="AK747" i="172" s="1"/>
  <c r="AK751" i="172" a="1"/>
  <c r="AK751" i="172" s="1"/>
  <c r="AK755" i="172" a="1"/>
  <c r="AK755" i="172" s="1"/>
  <c r="AK759" i="172" a="1"/>
  <c r="AK759" i="172" s="1"/>
  <c r="AK763" i="172" a="1"/>
  <c r="AK763" i="172" s="1"/>
  <c r="AK767" i="172" a="1"/>
  <c r="AK767" i="172" s="1"/>
  <c r="AK771" i="172" a="1"/>
  <c r="AK771" i="172" s="1"/>
  <c r="AK775" i="172" a="1"/>
  <c r="AK775" i="172" s="1"/>
  <c r="AK779" i="172" a="1"/>
  <c r="AK779" i="172" s="1"/>
  <c r="AK783" i="172" a="1"/>
  <c r="AK783" i="172" s="1"/>
  <c r="AK787" i="172" a="1"/>
  <c r="AK787" i="172" s="1"/>
  <c r="AK791" i="172" a="1"/>
  <c r="AK791" i="172" s="1"/>
  <c r="AK795" i="172" a="1"/>
  <c r="AK795" i="172" s="1"/>
  <c r="AK799" i="172" a="1"/>
  <c r="AK799" i="172" s="1"/>
  <c r="AK806" i="172" a="1"/>
  <c r="AK806" i="172" s="1"/>
  <c r="AK807" i="172" a="1"/>
  <c r="AK807" i="172" s="1"/>
  <c r="AK814" i="172" a="1"/>
  <c r="AK814" i="172" s="1"/>
  <c r="AK815" i="172" a="1"/>
  <c r="AK815" i="172" s="1"/>
  <c r="AK822" i="172" a="1"/>
  <c r="AK822" i="172" s="1"/>
  <c r="AK823" i="172" a="1"/>
  <c r="AK823" i="172" s="1"/>
  <c r="AK830" i="172" a="1"/>
  <c r="AK830" i="172" s="1"/>
  <c r="AK831" i="172" a="1"/>
  <c r="AK831" i="172" s="1"/>
  <c r="AK837" i="172" a="1"/>
  <c r="AK837" i="172" s="1"/>
  <c r="AK844" i="172" a="1"/>
  <c r="AK844" i="172" s="1"/>
  <c r="AK847" i="172" a="1"/>
  <c r="AK847" i="172" s="1"/>
  <c r="AK852" i="172" a="1"/>
  <c r="AK852" i="172" s="1"/>
  <c r="AK855" i="172" a="1"/>
  <c r="AK855" i="172" s="1"/>
  <c r="AK861" i="172" a="1"/>
  <c r="AK861" i="172" s="1"/>
  <c r="AK865" i="172" a="1"/>
  <c r="AK865" i="172" s="1"/>
  <c r="AK869" i="172" a="1"/>
  <c r="AK869" i="172" s="1"/>
  <c r="AK873" i="172" a="1"/>
  <c r="AK873" i="172" s="1"/>
  <c r="AK877" i="172" a="1"/>
  <c r="AK877" i="172" s="1"/>
  <c r="AK881" i="172" a="1"/>
  <c r="AK881" i="172" s="1"/>
  <c r="AK885" i="172" a="1"/>
  <c r="AK885" i="172" s="1"/>
  <c r="AK889" i="172" a="1"/>
  <c r="AK889" i="172" s="1"/>
  <c r="AK893" i="172" a="1"/>
  <c r="AK893" i="172" s="1"/>
  <c r="AK897" i="172" a="1"/>
  <c r="AK897" i="172" s="1"/>
  <c r="AK901" i="172" a="1"/>
  <c r="AK901" i="172" s="1"/>
  <c r="AK905" i="172" a="1"/>
  <c r="AK905" i="172" s="1"/>
  <c r="AK909" i="172" a="1"/>
  <c r="AK909" i="172" s="1"/>
  <c r="AK172" i="172" a="1"/>
  <c r="AK172" i="172" s="1"/>
  <c r="AK176" i="172" a="1"/>
  <c r="AK176" i="172" s="1"/>
  <c r="AK180" i="172" a="1"/>
  <c r="AK180" i="172" s="1"/>
  <c r="AK184" i="172" a="1"/>
  <c r="AK184" i="172" s="1"/>
  <c r="AK188" i="172" a="1"/>
  <c r="AK188" i="172" s="1"/>
  <c r="AK201" i="172" a="1"/>
  <c r="AK201" i="172" s="1"/>
  <c r="AK210" i="172" a="1"/>
  <c r="AK210" i="172" s="1"/>
  <c r="AK220" i="172" a="1"/>
  <c r="AK220" i="172" s="1"/>
  <c r="AK227" i="172" a="1"/>
  <c r="AK227" i="172" s="1"/>
  <c r="AK235" i="172" a="1"/>
  <c r="AK235" i="172" s="1"/>
  <c r="AK243" i="172" a="1"/>
  <c r="AK243" i="172" s="1"/>
  <c r="AK251" i="172" a="1"/>
  <c r="AK251" i="172" s="1"/>
  <c r="AK259" i="172" a="1"/>
  <c r="AK259" i="172" s="1"/>
  <c r="AK267" i="172" a="1"/>
  <c r="AK267" i="172" s="1"/>
  <c r="AK342" i="172" a="1"/>
  <c r="AK342" i="172" s="1"/>
  <c r="AK358" i="172" a="1"/>
  <c r="AK358" i="172" s="1"/>
  <c r="AK374" i="172" a="1"/>
  <c r="AK374" i="172" s="1"/>
  <c r="AK390" i="172" a="1"/>
  <c r="AK390" i="172" s="1"/>
  <c r="AK405" i="172" a="1"/>
  <c r="AK405" i="172" s="1"/>
  <c r="AK409" i="172" a="1"/>
  <c r="AK409" i="172" s="1"/>
  <c r="AK413" i="172" a="1"/>
  <c r="AK413" i="172" s="1"/>
  <c r="AK417" i="172" a="1"/>
  <c r="AK417" i="172" s="1"/>
  <c r="AK421" i="172" a="1"/>
  <c r="AK421" i="172" s="1"/>
  <c r="AK425" i="172" a="1"/>
  <c r="AK425" i="172" s="1"/>
  <c r="AK429" i="172" a="1"/>
  <c r="AK429" i="172" s="1"/>
  <c r="AK439" i="172" a="1"/>
  <c r="AK439" i="172" s="1"/>
  <c r="AK455" i="172" a="1"/>
  <c r="AK455" i="172" s="1"/>
  <c r="AK471" i="172" a="1"/>
  <c r="AK471" i="172" s="1"/>
  <c r="AK487" i="172" a="1"/>
  <c r="AK487" i="172" s="1"/>
  <c r="AK503" i="172" a="1"/>
  <c r="AK503" i="172" s="1"/>
  <c r="AK521" i="172" a="1"/>
  <c r="AK521" i="172" s="1"/>
  <c r="AK529" i="172" a="1"/>
  <c r="AK529" i="172" s="1"/>
  <c r="AK537" i="172" a="1"/>
  <c r="AK537" i="172" s="1"/>
  <c r="AK547" i="172" a="1"/>
  <c r="AK547" i="172" s="1"/>
  <c r="AK549" i="172" a="1"/>
  <c r="AK549" i="172" s="1"/>
  <c r="AK556" i="172" a="1"/>
  <c r="AK556" i="172" s="1"/>
  <c r="AK563" i="172" a="1"/>
  <c r="AK563" i="172" s="1"/>
  <c r="AK565" i="172" a="1"/>
  <c r="AK565" i="172" s="1"/>
  <c r="AK572" i="172" a="1"/>
  <c r="AK572" i="172" s="1"/>
  <c r="AK579" i="172" a="1"/>
  <c r="AK579" i="172" s="1"/>
  <c r="AK583" i="172" a="1"/>
  <c r="AK583" i="172" s="1"/>
  <c r="AK589" i="172" a="1"/>
  <c r="AK589" i="172" s="1"/>
  <c r="AK590" i="172" a="1"/>
  <c r="AK590" i="172" s="1"/>
  <c r="AK597" i="172" a="1"/>
  <c r="AK597" i="172" s="1"/>
  <c r="AK598" i="172" a="1"/>
  <c r="AK598" i="172" s="1"/>
  <c r="AK697" i="172" a="1"/>
  <c r="AK697" i="172" s="1"/>
  <c r="AK702" i="172" a="1"/>
  <c r="AK702" i="172" s="1"/>
  <c r="AK705" i="172" a="1"/>
  <c r="AK705" i="172" s="1"/>
  <c r="AK710" i="172" a="1"/>
  <c r="AK710" i="172" s="1"/>
  <c r="AK713" i="172" a="1"/>
  <c r="AK713" i="172" s="1"/>
  <c r="AK718" i="172" a="1"/>
  <c r="AK718" i="172" s="1"/>
  <c r="AK721" i="172" a="1"/>
  <c r="AK721" i="172" s="1"/>
  <c r="AK726" i="172" a="1"/>
  <c r="AK726" i="172" s="1"/>
  <c r="AK729" i="172" a="1"/>
  <c r="AK729" i="172" s="1"/>
  <c r="AK734" i="172" a="1"/>
  <c r="AK734" i="172" s="1"/>
  <c r="AK738" i="172" a="1"/>
  <c r="AK738" i="172" s="1"/>
  <c r="AK742" i="172" a="1"/>
  <c r="AK742" i="172" s="1"/>
  <c r="AK746" i="172" a="1"/>
  <c r="AK746" i="172" s="1"/>
  <c r="AK750" i="172" a="1"/>
  <c r="AK750" i="172" s="1"/>
  <c r="AK754" i="172" a="1"/>
  <c r="AK754" i="172" s="1"/>
  <c r="AK758" i="172" a="1"/>
  <c r="AK758" i="172" s="1"/>
  <c r="AK762" i="172" a="1"/>
  <c r="AK762" i="172" s="1"/>
  <c r="AK766" i="172" a="1"/>
  <c r="AK766" i="172" s="1"/>
  <c r="AK770" i="172" a="1"/>
  <c r="AK770" i="172" s="1"/>
  <c r="AK774" i="172" a="1"/>
  <c r="AK774" i="172" s="1"/>
  <c r="AK778" i="172" a="1"/>
  <c r="AK778" i="172" s="1"/>
  <c r="AK782" i="172" a="1"/>
  <c r="AK782" i="172" s="1"/>
  <c r="AK786" i="172" a="1"/>
  <c r="AK786" i="172" s="1"/>
  <c r="AK790" i="172" a="1"/>
  <c r="AK790" i="172" s="1"/>
  <c r="AK794" i="172" a="1"/>
  <c r="AK794" i="172" s="1"/>
  <c r="AK798" i="172" a="1"/>
  <c r="AK798" i="172" s="1"/>
  <c r="AK804" i="172" a="1"/>
  <c r="AK804" i="172" s="1"/>
  <c r="AK805" i="172" a="1"/>
  <c r="AK805" i="172" s="1"/>
  <c r="AK812" i="172" a="1"/>
  <c r="AK812" i="172" s="1"/>
  <c r="AK813" i="172" a="1"/>
  <c r="AK813" i="172" s="1"/>
  <c r="AK820" i="172" a="1"/>
  <c r="AK820" i="172" s="1"/>
  <c r="AK821" i="172" a="1"/>
  <c r="AK821" i="172" s="1"/>
  <c r="AK828" i="172" a="1"/>
  <c r="AK828" i="172" s="1"/>
  <c r="AK829" i="172" a="1"/>
  <c r="AK829" i="172" s="1"/>
  <c r="AK838" i="172" a="1"/>
  <c r="AK838" i="172" s="1"/>
  <c r="AK841" i="172" a="1"/>
  <c r="AK841" i="172" s="1"/>
  <c r="AK842" i="172" a="1"/>
  <c r="AK842" i="172" s="1"/>
  <c r="AK850" i="172" a="1"/>
  <c r="AK850" i="172" s="1"/>
  <c r="AK853" i="172" a="1"/>
  <c r="AK853" i="172" s="1"/>
  <c r="AK858" i="172" a="1"/>
  <c r="AK858" i="172" s="1"/>
  <c r="AK860" i="172" a="1"/>
  <c r="AK860" i="172" s="1"/>
  <c r="AK864" i="172" a="1"/>
  <c r="AK864" i="172" s="1"/>
  <c r="AK868" i="172" a="1"/>
  <c r="AK868" i="172" s="1"/>
  <c r="AK872" i="172" a="1"/>
  <c r="AK872" i="172" s="1"/>
  <c r="AK876" i="172" a="1"/>
  <c r="AK876" i="172" s="1"/>
  <c r="AK880" i="172" a="1"/>
  <c r="AK880" i="172" s="1"/>
  <c r="AK884" i="172" a="1"/>
  <c r="AK884" i="172" s="1"/>
  <c r="AK888" i="172" a="1"/>
  <c r="AK888" i="172" s="1"/>
  <c r="AK892" i="172" a="1"/>
  <c r="AK892" i="172" s="1"/>
  <c r="AK896" i="172" a="1"/>
  <c r="AK896" i="172" s="1"/>
  <c r="AK900" i="172" a="1"/>
  <c r="AK900" i="172" s="1"/>
  <c r="AK904" i="172" a="1"/>
  <c r="AK904" i="172" s="1"/>
  <c r="AK908" i="172" a="1"/>
  <c r="AK908" i="172" s="1"/>
  <c r="AK912" i="172" a="1"/>
  <c r="AK912" i="172" s="1"/>
  <c r="AK916" i="172" a="1"/>
  <c r="AK916" i="172" s="1"/>
  <c r="AK920" i="172" a="1"/>
  <c r="AK920" i="172" s="1"/>
  <c r="AK924" i="172" a="1"/>
  <c r="AK924" i="172" s="1"/>
  <c r="AK173" i="172" a="1"/>
  <c r="AK173" i="172" s="1"/>
  <c r="AK177" i="172" a="1"/>
  <c r="AK177" i="172" s="1"/>
  <c r="AK181" i="172" a="1"/>
  <c r="AK181" i="172" s="1"/>
  <c r="AK185" i="172" a="1"/>
  <c r="AK185" i="172" s="1"/>
  <c r="AK189" i="172" a="1"/>
  <c r="AK189" i="172" s="1"/>
  <c r="AK229" i="172" a="1"/>
  <c r="AK229" i="172" s="1"/>
  <c r="AK237" i="172" a="1"/>
  <c r="AK237" i="172" s="1"/>
  <c r="AK245" i="172" a="1"/>
  <c r="AK245" i="172" s="1"/>
  <c r="AK253" i="172" a="1"/>
  <c r="AK253" i="172" s="1"/>
  <c r="AK261" i="172" a="1"/>
  <c r="AK261" i="172" s="1"/>
  <c r="AK275" i="172" a="1"/>
  <c r="AK275" i="172" s="1"/>
  <c r="AK282" i="172" a="1"/>
  <c r="AK282" i="172" s="1"/>
  <c r="AK354" i="172" a="1"/>
  <c r="AK354" i="172" s="1"/>
  <c r="AK370" i="172" a="1"/>
  <c r="AK370" i="172" s="1"/>
  <c r="AK386" i="172" a="1"/>
  <c r="AK386" i="172" s="1"/>
  <c r="AK402" i="172" a="1"/>
  <c r="AK402" i="172" s="1"/>
  <c r="AK406" i="172" a="1"/>
  <c r="AK406" i="172" s="1"/>
  <c r="AK410" i="172" a="1"/>
  <c r="AK410" i="172" s="1"/>
  <c r="AK414" i="172" a="1"/>
  <c r="AK414" i="172" s="1"/>
  <c r="AK418" i="172" a="1"/>
  <c r="AK418" i="172" s="1"/>
  <c r="AK422" i="172" a="1"/>
  <c r="AK422" i="172" s="1"/>
  <c r="AK426" i="172" a="1"/>
  <c r="AK426" i="172" s="1"/>
  <c r="AK430" i="172" a="1"/>
  <c r="AK430" i="172" s="1"/>
  <c r="AK451" i="172" a="1"/>
  <c r="AK451" i="172" s="1"/>
  <c r="AK467" i="172" a="1"/>
  <c r="AK467" i="172" s="1"/>
  <c r="AK483" i="172" a="1"/>
  <c r="AK483" i="172" s="1"/>
  <c r="AK499" i="172" a="1"/>
  <c r="AK499" i="172" s="1"/>
  <c r="AK515" i="172" a="1"/>
  <c r="AK515" i="172" s="1"/>
  <c r="AK519" i="172" a="1"/>
  <c r="AK519" i="172" s="1"/>
  <c r="AK527" i="172" a="1"/>
  <c r="AK527" i="172" s="1"/>
  <c r="AK535" i="172" a="1"/>
  <c r="AK535" i="172" s="1"/>
  <c r="AK544" i="172" a="1"/>
  <c r="AK544" i="172" s="1"/>
  <c r="AK551" i="172" a="1"/>
  <c r="AK551" i="172" s="1"/>
  <c r="AK553" i="172" a="1"/>
  <c r="AK553" i="172" s="1"/>
  <c r="AK560" i="172" a="1"/>
  <c r="AK560" i="172" s="1"/>
  <c r="AK567" i="172" a="1"/>
  <c r="AK567" i="172" s="1"/>
  <c r="AK569" i="172" a="1"/>
  <c r="AK569" i="172" s="1"/>
  <c r="AK576" i="172" a="1"/>
  <c r="AK576" i="172" s="1"/>
  <c r="AK582" i="172" a="1"/>
  <c r="AK582" i="172" s="1"/>
  <c r="AK587" i="172" a="1"/>
  <c r="AK587" i="172" s="1"/>
  <c r="AK588" i="172" a="1"/>
  <c r="AK588" i="172" s="1"/>
  <c r="AK595" i="172" a="1"/>
  <c r="AK595" i="172" s="1"/>
  <c r="AK596" i="172" a="1"/>
  <c r="AK596" i="172" s="1"/>
  <c r="AK603" i="172" a="1"/>
  <c r="AK603" i="172" s="1"/>
  <c r="AK604" i="172" a="1"/>
  <c r="AK604" i="172" s="1"/>
  <c r="AK605" i="172" a="1"/>
  <c r="AK605" i="172" s="1"/>
  <c r="AK608" i="172" a="1"/>
  <c r="AK608" i="172" s="1"/>
  <c r="AK609" i="172" a="1"/>
  <c r="AK609" i="172" s="1"/>
  <c r="AK612" i="172" a="1"/>
  <c r="AK612" i="172" s="1"/>
  <c r="AK613" i="172" a="1"/>
  <c r="AK613" i="172" s="1"/>
  <c r="AK616" i="172" a="1"/>
  <c r="AK616" i="172" s="1"/>
  <c r="AK617" i="172" a="1"/>
  <c r="AK617" i="172" s="1"/>
  <c r="AK620" i="172" a="1"/>
  <c r="AK620" i="172" s="1"/>
  <c r="AK621" i="172" a="1"/>
  <c r="AK621" i="172" s="1"/>
  <c r="AK624" i="172" a="1"/>
  <c r="AK624" i="172" s="1"/>
  <c r="AK625" i="172" a="1"/>
  <c r="AK625" i="172" s="1"/>
  <c r="AK628" i="172" a="1"/>
  <c r="AK628" i="172" s="1"/>
  <c r="AK629" i="172" a="1"/>
  <c r="AK629" i="172" s="1"/>
  <c r="AK632" i="172" a="1"/>
  <c r="AK632" i="172" s="1"/>
  <c r="AK633" i="172" a="1"/>
  <c r="AK633" i="172" s="1"/>
  <c r="AK636" i="172" a="1"/>
  <c r="AK636" i="172" s="1"/>
  <c r="AK637" i="172" a="1"/>
  <c r="AK637" i="172" s="1"/>
  <c r="AK640" i="172" a="1"/>
  <c r="AK640" i="172" s="1"/>
  <c r="AK641" i="172" a="1"/>
  <c r="AK641" i="172" s="1"/>
  <c r="AK644" i="172" a="1"/>
  <c r="AK644" i="172" s="1"/>
  <c r="AK645" i="172" a="1"/>
  <c r="AK645" i="172" s="1"/>
  <c r="AK648" i="172" a="1"/>
  <c r="AK648" i="172" s="1"/>
  <c r="AK649" i="172" a="1"/>
  <c r="AK649" i="172" s="1"/>
  <c r="AK652" i="172" a="1"/>
  <c r="AK652" i="172" s="1"/>
  <c r="AK653" i="172" a="1"/>
  <c r="AK653" i="172" s="1"/>
  <c r="AK656" i="172" a="1"/>
  <c r="AK656" i="172" s="1"/>
  <c r="AK657" i="172" a="1"/>
  <c r="AK657" i="172" s="1"/>
  <c r="AK660" i="172" a="1"/>
  <c r="AK660" i="172" s="1"/>
  <c r="AK661" i="172" a="1"/>
  <c r="AK661" i="172" s="1"/>
  <c r="AK664" i="172" a="1"/>
  <c r="AK664" i="172" s="1"/>
  <c r="AK665" i="172" a="1"/>
  <c r="AK665" i="172" s="1"/>
  <c r="AK668" i="172" a="1"/>
  <c r="AK668" i="172" s="1"/>
  <c r="AK669" i="172" a="1"/>
  <c r="AK669" i="172" s="1"/>
  <c r="AK672" i="172" a="1"/>
  <c r="AK672" i="172" s="1"/>
  <c r="AK673" i="172" a="1"/>
  <c r="AK673" i="172" s="1"/>
  <c r="AK676" i="172" a="1"/>
  <c r="AK676" i="172" s="1"/>
  <c r="AK677" i="172" a="1"/>
  <c r="AK677" i="172" s="1"/>
  <c r="AK680" i="172" a="1"/>
  <c r="AK680" i="172" s="1"/>
  <c r="AK681" i="172" a="1"/>
  <c r="AK681" i="172" s="1"/>
  <c r="AK684" i="172" a="1"/>
  <c r="AK684" i="172" s="1"/>
  <c r="AK685" i="172" a="1"/>
  <c r="AK685" i="172" s="1"/>
  <c r="AK688" i="172" a="1"/>
  <c r="AK688" i="172" s="1"/>
  <c r="AK689" i="172" a="1"/>
  <c r="AK689" i="172" s="1"/>
  <c r="AK692" i="172" a="1"/>
  <c r="AK692" i="172" s="1"/>
  <c r="AK693" i="172" a="1"/>
  <c r="AK693" i="172" s="1"/>
  <c r="AK696" i="172" a="1"/>
  <c r="AK696" i="172" s="1"/>
  <c r="AK699" i="172" a="1"/>
  <c r="AK699" i="172" s="1"/>
  <c r="AK704" i="172" a="1"/>
  <c r="AK704" i="172" s="1"/>
  <c r="AK707" i="172" a="1"/>
  <c r="AK707" i="172" s="1"/>
  <c r="AK712" i="172" a="1"/>
  <c r="AK712" i="172" s="1"/>
  <c r="AK715" i="172" a="1"/>
  <c r="AK715" i="172" s="1"/>
  <c r="AK720" i="172" a="1"/>
  <c r="AK720" i="172" s="1"/>
  <c r="AK723" i="172" a="1"/>
  <c r="AK723" i="172" s="1"/>
  <c r="AK728" i="172" a="1"/>
  <c r="AK728" i="172" s="1"/>
  <c r="AK731" i="172" a="1"/>
  <c r="AK731" i="172" s="1"/>
  <c r="AK737" i="172" a="1"/>
  <c r="AK737" i="172" s="1"/>
  <c r="AK741" i="172" a="1"/>
  <c r="AK741" i="172" s="1"/>
  <c r="AK745" i="172" a="1"/>
  <c r="AK745" i="172" s="1"/>
  <c r="AK749" i="172" a="1"/>
  <c r="AK749" i="172" s="1"/>
  <c r="AK753" i="172" a="1"/>
  <c r="AK753" i="172" s="1"/>
  <c r="AK757" i="172" a="1"/>
  <c r="AK757" i="172" s="1"/>
  <c r="AK761" i="172" a="1"/>
  <c r="AK761" i="172" s="1"/>
  <c r="AK765" i="172" a="1"/>
  <c r="AK765" i="172" s="1"/>
  <c r="AK769" i="172" a="1"/>
  <c r="AK769" i="172" s="1"/>
  <c r="AK773" i="172" a="1"/>
  <c r="AK773" i="172" s="1"/>
  <c r="AK777" i="172" a="1"/>
  <c r="AK777" i="172" s="1"/>
  <c r="AK781" i="172" a="1"/>
  <c r="AK781" i="172" s="1"/>
  <c r="AK785" i="172" a="1"/>
  <c r="AK785" i="172" s="1"/>
  <c r="AK789" i="172" a="1"/>
  <c r="AK789" i="172" s="1"/>
  <c r="AK793" i="172" a="1"/>
  <c r="AK793" i="172" s="1"/>
  <c r="AK797" i="172" a="1"/>
  <c r="AK797" i="172" s="1"/>
  <c r="AK802" i="172" a="1"/>
  <c r="AK802" i="172" s="1"/>
  <c r="AK803" i="172" a="1"/>
  <c r="AK803" i="172" s="1"/>
  <c r="AK810" i="172" a="1"/>
  <c r="AK810" i="172" s="1"/>
  <c r="AK811" i="172" a="1"/>
  <c r="AK811" i="172" s="1"/>
  <c r="AK818" i="172" a="1"/>
  <c r="AK818" i="172" s="1"/>
  <c r="AK819" i="172" a="1"/>
  <c r="AK819" i="172" s="1"/>
  <c r="AK826" i="172" a="1"/>
  <c r="AK826" i="172" s="1"/>
  <c r="AK827" i="172" a="1"/>
  <c r="AK827" i="172" s="1"/>
  <c r="AK834" i="172" a="1"/>
  <c r="AK834" i="172" s="1"/>
  <c r="AK835" i="172" a="1"/>
  <c r="AK835" i="172" s="1"/>
  <c r="AK836" i="172" a="1"/>
  <c r="AK836" i="172" s="1"/>
  <c r="AK845" i="172" a="1"/>
  <c r="AK845" i="172" s="1"/>
  <c r="AK848" i="172" a="1"/>
  <c r="AK848" i="172" s="1"/>
  <c r="AK851" i="172" a="1"/>
  <c r="AK851" i="172" s="1"/>
  <c r="AK856" i="172" a="1"/>
  <c r="AK856" i="172" s="1"/>
  <c r="AK859" i="172" a="1"/>
  <c r="AK859" i="172" s="1"/>
  <c r="AK863" i="172" a="1"/>
  <c r="AK863" i="172" s="1"/>
  <c r="AK867" i="172" a="1"/>
  <c r="AK867" i="172" s="1"/>
  <c r="AK871" i="172" a="1"/>
  <c r="AK871" i="172" s="1"/>
  <c r="AK875" i="172" a="1"/>
  <c r="AK875" i="172" s="1"/>
  <c r="AK879" i="172" a="1"/>
  <c r="AK879" i="172" s="1"/>
  <c r="AK883" i="172" a="1"/>
  <c r="AK883" i="172" s="1"/>
  <c r="AK887" i="172" a="1"/>
  <c r="AK887" i="172" s="1"/>
  <c r="AK891" i="172" a="1"/>
  <c r="AK891" i="172" s="1"/>
  <c r="AK895" i="172" a="1"/>
  <c r="AK895" i="172" s="1"/>
  <c r="AK907" i="172" a="1"/>
  <c r="AK907" i="172" s="1"/>
  <c r="AK917" i="172" a="1"/>
  <c r="AK917" i="172" s="1"/>
  <c r="AK925" i="172" a="1"/>
  <c r="AK925" i="172" s="1"/>
  <c r="AK927" i="172" a="1"/>
  <c r="AK927" i="172" s="1"/>
  <c r="AK929" i="172" a="1"/>
  <c r="AK929" i="172" s="1"/>
  <c r="AK935" i="172" a="1"/>
  <c r="AK935" i="172" s="1"/>
  <c r="AK939" i="172" a="1"/>
  <c r="AK939" i="172" s="1"/>
  <c r="AK943" i="172" a="1"/>
  <c r="AK943" i="172" s="1"/>
  <c r="AK903" i="172" a="1"/>
  <c r="AK903" i="172" s="1"/>
  <c r="AK915" i="172" a="1"/>
  <c r="AK915" i="172" s="1"/>
  <c r="AK923" i="172" a="1"/>
  <c r="AK923" i="172" s="1"/>
  <c r="AK931" i="172" a="1"/>
  <c r="AK931" i="172" s="1"/>
  <c r="AK934" i="172" a="1"/>
  <c r="AK934" i="172" s="1"/>
  <c r="AK938" i="172" a="1"/>
  <c r="AK938" i="172" s="1"/>
  <c r="AK942" i="172" a="1"/>
  <c r="AK942" i="172" s="1"/>
  <c r="AK946" i="172" a="1"/>
  <c r="AK946" i="172" s="1"/>
  <c r="AK948" i="172" a="1"/>
  <c r="AK948" i="172" s="1"/>
  <c r="AK950" i="172" a="1"/>
  <c r="AK950" i="172" s="1"/>
  <c r="AK952" i="172" a="1"/>
  <c r="AK952" i="172" s="1"/>
  <c r="AK954" i="172" a="1"/>
  <c r="AK954" i="172" s="1"/>
  <c r="AK956" i="172" a="1"/>
  <c r="AK956" i="172" s="1"/>
  <c r="AK958" i="172" a="1"/>
  <c r="AK958" i="172" s="1"/>
  <c r="AK960" i="172" a="1"/>
  <c r="AK960" i="172" s="1"/>
  <c r="AK962" i="172" a="1"/>
  <c r="AK962" i="172" s="1"/>
  <c r="AK964" i="172" a="1"/>
  <c r="AK964" i="172" s="1"/>
  <c r="AK966" i="172" a="1"/>
  <c r="AK966" i="172" s="1"/>
  <c r="AK968" i="172" a="1"/>
  <c r="AK968" i="172" s="1"/>
  <c r="AK970" i="172" a="1"/>
  <c r="AK970" i="172" s="1"/>
  <c r="AK972" i="172" a="1"/>
  <c r="AK972" i="172" s="1"/>
  <c r="AK974" i="172" a="1"/>
  <c r="AK974" i="172" s="1"/>
  <c r="AK976" i="172" a="1"/>
  <c r="AK976" i="172" s="1"/>
  <c r="AK978" i="172" a="1"/>
  <c r="AK978" i="172" s="1"/>
  <c r="AK980" i="172" a="1"/>
  <c r="AK980" i="172" s="1"/>
  <c r="AK982" i="172" a="1"/>
  <c r="AK982" i="172" s="1"/>
  <c r="AK984" i="172" a="1"/>
  <c r="AK984" i="172" s="1"/>
  <c r="AK986" i="172" a="1"/>
  <c r="AK986" i="172" s="1"/>
  <c r="AK988" i="172" a="1"/>
  <c r="AK988" i="172" s="1"/>
  <c r="AK990" i="172" a="1"/>
  <c r="AK990" i="172" s="1"/>
  <c r="AK992" i="172" a="1"/>
  <c r="AK992" i="172" s="1"/>
  <c r="AK994" i="172" a="1"/>
  <c r="AK994" i="172" s="1"/>
  <c r="AK996" i="172" a="1"/>
  <c r="AK996" i="172" s="1"/>
  <c r="AK998" i="172" a="1"/>
  <c r="AK998" i="172" s="1"/>
  <c r="AK899" i="172" a="1"/>
  <c r="AK899" i="172" s="1"/>
  <c r="AK913" i="172" a="1"/>
  <c r="AK913" i="172" s="1"/>
  <c r="AK921" i="172" a="1"/>
  <c r="AK921" i="172" s="1"/>
  <c r="AK928" i="172" a="1"/>
  <c r="AK928" i="172" s="1"/>
  <c r="AK933" i="172" a="1"/>
  <c r="AK933" i="172" s="1"/>
  <c r="AK937" i="172" a="1"/>
  <c r="AK937" i="172" s="1"/>
  <c r="AK941" i="172" a="1"/>
  <c r="AK941" i="172" s="1"/>
  <c r="AK945" i="172" a="1"/>
  <c r="AK945" i="172" s="1"/>
  <c r="AK911" i="172" a="1"/>
  <c r="AK911" i="172" s="1"/>
  <c r="AK919" i="172" a="1"/>
  <c r="AK919" i="172" s="1"/>
  <c r="AK932" i="172" a="1"/>
  <c r="AK932" i="172" s="1"/>
  <c r="AK936" i="172" a="1"/>
  <c r="AK936" i="172" s="1"/>
  <c r="AK940" i="172" a="1"/>
  <c r="AK940" i="172" s="1"/>
  <c r="AK944" i="172" a="1"/>
  <c r="AK944" i="172" s="1"/>
  <c r="AK947" i="172" a="1"/>
  <c r="AK947" i="172" s="1"/>
  <c r="AK949" i="172" a="1"/>
  <c r="AK949" i="172" s="1"/>
  <c r="AK951" i="172" a="1"/>
  <c r="AK951" i="172" s="1"/>
  <c r="AK953" i="172" a="1"/>
  <c r="AK953" i="172" s="1"/>
  <c r="AK955" i="172" a="1"/>
  <c r="AK955" i="172" s="1"/>
  <c r="AK957" i="172" a="1"/>
  <c r="AK957" i="172" s="1"/>
  <c r="AK959" i="172" a="1"/>
  <c r="AK959" i="172" s="1"/>
  <c r="AK961" i="172" a="1"/>
  <c r="AK961" i="172" s="1"/>
  <c r="AK963" i="172" a="1"/>
  <c r="AK963" i="172" s="1"/>
  <c r="AK965" i="172" a="1"/>
  <c r="AK965" i="172" s="1"/>
  <c r="AK967" i="172" a="1"/>
  <c r="AK967" i="172" s="1"/>
  <c r="AK969" i="172" a="1"/>
  <c r="AK969" i="172" s="1"/>
  <c r="AK971" i="172" a="1"/>
  <c r="AK971" i="172" s="1"/>
  <c r="AK973" i="172" a="1"/>
  <c r="AK973" i="172" s="1"/>
  <c r="AK975" i="172" a="1"/>
  <c r="AK975" i="172" s="1"/>
  <c r="AK977" i="172" a="1"/>
  <c r="AK977" i="172" s="1"/>
  <c r="AK979" i="172" a="1"/>
  <c r="AK979" i="172" s="1"/>
  <c r="AK981" i="172" a="1"/>
  <c r="AK981" i="172" s="1"/>
  <c r="AK983" i="172" a="1"/>
  <c r="AK983" i="172" s="1"/>
  <c r="AK985" i="172" a="1"/>
  <c r="AK985" i="172" s="1"/>
  <c r="AK987" i="172" a="1"/>
  <c r="AK987" i="172" s="1"/>
  <c r="AK989" i="172" a="1"/>
  <c r="AK989" i="172" s="1"/>
  <c r="AK991" i="172" a="1"/>
  <c r="AK991" i="172" s="1"/>
  <c r="AK993" i="172" a="1"/>
  <c r="AK993" i="172" s="1"/>
  <c r="AK995" i="172" a="1"/>
  <c r="AK995" i="172" s="1"/>
  <c r="AK997" i="172" a="1"/>
  <c r="AK997" i="172" s="1"/>
  <c r="AK999" i="172" a="1"/>
  <c r="AK999" i="172" s="1"/>
  <c r="AJ6" i="172" a="1"/>
  <c r="AJ6" i="172" s="1"/>
  <c r="AN6" i="172" s="1"/>
  <c r="AQ6" i="172" s="1"/>
  <c r="AV6" i="172" s="1"/>
  <c r="AJ9" i="172" a="1"/>
  <c r="AJ9" i="172" s="1"/>
  <c r="AJ10" i="172" a="1"/>
  <c r="AJ10" i="172" s="1"/>
  <c r="AJ13" i="172" a="1"/>
  <c r="AJ13" i="172" s="1"/>
  <c r="AJ14" i="172" a="1"/>
  <c r="AJ14" i="172" s="1"/>
  <c r="AJ17" i="172" a="1"/>
  <c r="AJ17" i="172" s="1"/>
  <c r="AJ18" i="172" a="1"/>
  <c r="AJ18" i="172" s="1"/>
  <c r="AJ21" i="172" a="1"/>
  <c r="AJ21" i="172" s="1"/>
  <c r="AJ22" i="172" a="1"/>
  <c r="AJ22" i="172" s="1"/>
  <c r="AJ25" i="172" a="1"/>
  <c r="AJ25" i="172" s="1"/>
  <c r="AJ26" i="172" a="1"/>
  <c r="AJ26" i="172" s="1"/>
  <c r="AJ29" i="172" a="1"/>
  <c r="AJ29" i="172" s="1"/>
  <c r="AJ30" i="172" a="1"/>
  <c r="AJ30" i="172" s="1"/>
  <c r="AJ33" i="172" a="1"/>
  <c r="AJ33" i="172" s="1"/>
  <c r="AJ34" i="172" a="1"/>
  <c r="AJ34" i="172" s="1"/>
  <c r="AJ37" i="172" a="1"/>
  <c r="AJ37" i="172" s="1"/>
  <c r="AJ38" i="172" a="1"/>
  <c r="AJ38" i="172" s="1"/>
  <c r="AJ41" i="172" a="1"/>
  <c r="AJ41" i="172" s="1"/>
  <c r="AJ42" i="172" a="1"/>
  <c r="AJ42" i="172" s="1"/>
  <c r="AJ45" i="172" a="1"/>
  <c r="AJ45" i="172" s="1"/>
  <c r="AJ46" i="172" a="1"/>
  <c r="AJ46" i="172" s="1"/>
  <c r="AJ49" i="172" a="1"/>
  <c r="AJ49" i="172" s="1"/>
  <c r="AJ50" i="172" a="1"/>
  <c r="AJ50" i="172" s="1"/>
  <c r="AJ51" i="172" a="1"/>
  <c r="AJ51" i="172" s="1"/>
  <c r="AJ55" i="172" a="1"/>
  <c r="AJ55" i="172" s="1"/>
  <c r="AJ60" i="172" a="1"/>
  <c r="AJ60" i="172" s="1"/>
  <c r="AJ63" i="172" a="1"/>
  <c r="AJ63" i="172" s="1"/>
  <c r="AJ68" i="172" a="1"/>
  <c r="AJ68" i="172" s="1"/>
  <c r="AJ69" i="172" a="1"/>
  <c r="AJ69" i="172" s="1"/>
  <c r="AJ70" i="172" a="1"/>
  <c r="AJ70" i="172" s="1"/>
  <c r="AJ5" i="172" a="1"/>
  <c r="AJ5" i="172" s="1"/>
  <c r="AN5" i="172" s="1"/>
  <c r="AQ5" i="172" s="1"/>
  <c r="AV5" i="172" s="1"/>
  <c r="AJ48" i="172" a="1"/>
  <c r="AJ48" i="172" s="1"/>
  <c r="AJ54" i="172" a="1"/>
  <c r="AJ54" i="172" s="1"/>
  <c r="AJ57" i="172" a="1"/>
  <c r="AJ57" i="172" s="1"/>
  <c r="AJ62" i="172" a="1"/>
  <c r="AJ62" i="172" s="1"/>
  <c r="AJ65" i="172" a="1"/>
  <c r="AJ65" i="172" s="1"/>
  <c r="AJ71" i="172" a="1"/>
  <c r="AJ71" i="172" s="1"/>
  <c r="AJ72" i="172" a="1"/>
  <c r="AJ72" i="172" s="1"/>
  <c r="AJ73" i="172" a="1"/>
  <c r="AJ73" i="172" s="1"/>
  <c r="AJ74" i="172" a="1"/>
  <c r="AJ74" i="172" s="1"/>
  <c r="AJ77" i="172" a="1"/>
  <c r="AJ77" i="172" s="1"/>
  <c r="AJ7" i="172" a="1"/>
  <c r="AJ7" i="172" s="1"/>
  <c r="AJ8" i="172" a="1"/>
  <c r="AJ8" i="172" s="1"/>
  <c r="AJ11" i="172" a="1"/>
  <c r="AJ11" i="172" s="1"/>
  <c r="AJ12" i="172" a="1"/>
  <c r="AJ12" i="172" s="1"/>
  <c r="AJ15" i="172" a="1"/>
  <c r="AJ15" i="172" s="1"/>
  <c r="AJ16" i="172" a="1"/>
  <c r="AJ16" i="172" s="1"/>
  <c r="AJ19" i="172" a="1"/>
  <c r="AJ19" i="172" s="1"/>
  <c r="AJ20" i="172" a="1"/>
  <c r="AJ20" i="172" s="1"/>
  <c r="AJ23" i="172" a="1"/>
  <c r="AJ23" i="172" s="1"/>
  <c r="AJ24" i="172" a="1"/>
  <c r="AJ24" i="172" s="1"/>
  <c r="AJ27" i="172" a="1"/>
  <c r="AJ27" i="172" s="1"/>
  <c r="AJ28" i="172" a="1"/>
  <c r="AJ28" i="172" s="1"/>
  <c r="AJ31" i="172" a="1"/>
  <c r="AJ31" i="172" s="1"/>
  <c r="AJ32" i="172" a="1"/>
  <c r="AJ32" i="172" s="1"/>
  <c r="AJ35" i="172" a="1"/>
  <c r="AJ35" i="172" s="1"/>
  <c r="AJ36" i="172" a="1"/>
  <c r="AJ36" i="172" s="1"/>
  <c r="AJ39" i="172" a="1"/>
  <c r="AJ39" i="172" s="1"/>
  <c r="AJ40" i="172" a="1"/>
  <c r="AJ40" i="172" s="1"/>
  <c r="AJ43" i="172" a="1"/>
  <c r="AJ43" i="172" s="1"/>
  <c r="AJ44" i="172" a="1"/>
  <c r="AJ44" i="172" s="1"/>
  <c r="AJ47" i="172" a="1"/>
  <c r="AJ47" i="172" s="1"/>
  <c r="AJ53" i="172" a="1"/>
  <c r="AJ53" i="172" s="1"/>
  <c r="AJ56" i="172" a="1"/>
  <c r="AJ56" i="172" s="1"/>
  <c r="AJ59" i="172" a="1"/>
  <c r="AJ59" i="172" s="1"/>
  <c r="AJ81" i="172" a="1"/>
  <c r="AJ81" i="172" s="1"/>
  <c r="AJ85" i="172" a="1"/>
  <c r="AJ85" i="172" s="1"/>
  <c r="AJ89" i="172" a="1"/>
  <c r="AJ89" i="172" s="1"/>
  <c r="AJ93" i="172" a="1"/>
  <c r="AJ93" i="172" s="1"/>
  <c r="AJ97" i="172" a="1"/>
  <c r="AJ97" i="172" s="1"/>
  <c r="AJ101" i="172" a="1"/>
  <c r="AJ101" i="172" s="1"/>
  <c r="AJ105" i="172" a="1"/>
  <c r="AJ105" i="172" s="1"/>
  <c r="AJ109" i="172" a="1"/>
  <c r="AJ109" i="172" s="1"/>
  <c r="AJ113" i="172" a="1"/>
  <c r="AJ113" i="172" s="1"/>
  <c r="AJ117" i="172" a="1"/>
  <c r="AJ117" i="172" s="1"/>
  <c r="AJ121" i="172" a="1"/>
  <c r="AJ121" i="172" s="1"/>
  <c r="AJ125" i="172" a="1"/>
  <c r="AJ125" i="172" s="1"/>
  <c r="AJ129" i="172" a="1"/>
  <c r="AJ129" i="172" s="1"/>
  <c r="AJ133" i="172" a="1"/>
  <c r="AJ133" i="172" s="1"/>
  <c r="AJ137" i="172" a="1"/>
  <c r="AJ137" i="172" s="1"/>
  <c r="AJ141" i="172" a="1"/>
  <c r="AJ141" i="172" s="1"/>
  <c r="AJ147" i="172" a="1"/>
  <c r="AJ147" i="172" s="1"/>
  <c r="AJ148" i="172" a="1"/>
  <c r="AJ148" i="172" s="1"/>
  <c r="AJ153" i="172" a="1"/>
  <c r="AJ153" i="172" s="1"/>
  <c r="AJ154" i="172" a="1"/>
  <c r="AJ154" i="172" s="1"/>
  <c r="AJ193" i="172" a="1"/>
  <c r="AJ193" i="172" s="1"/>
  <c r="AJ194" i="172" a="1"/>
  <c r="AJ194" i="172" s="1"/>
  <c r="AJ196" i="172" a="1"/>
  <c r="AJ196" i="172" s="1"/>
  <c r="AJ199" i="172" a="1"/>
  <c r="AJ199" i="172" s="1"/>
  <c r="AJ205" i="172" a="1"/>
  <c r="AJ205" i="172" s="1"/>
  <c r="AJ206" i="172" a="1"/>
  <c r="AJ206" i="172" s="1"/>
  <c r="AJ213" i="172" a="1"/>
  <c r="AJ213" i="172" s="1"/>
  <c r="AJ214" i="172" a="1"/>
  <c r="AJ214" i="172" s="1"/>
  <c r="AJ219" i="172" a="1"/>
  <c r="AJ219" i="172" s="1"/>
  <c r="AJ226" i="172" a="1"/>
  <c r="AJ226" i="172" s="1"/>
  <c r="AJ228" i="172" a="1"/>
  <c r="AJ228" i="172" s="1"/>
  <c r="AJ230" i="172" a="1"/>
  <c r="AJ230" i="172" s="1"/>
  <c r="AJ232" i="172" a="1"/>
  <c r="AJ232" i="172" s="1"/>
  <c r="AJ234" i="172" a="1"/>
  <c r="AJ234" i="172" s="1"/>
  <c r="AJ236" i="172" a="1"/>
  <c r="AJ236" i="172" s="1"/>
  <c r="AJ238" i="172" a="1"/>
  <c r="AJ238" i="172" s="1"/>
  <c r="AJ240" i="172" a="1"/>
  <c r="AJ240" i="172" s="1"/>
  <c r="AJ242" i="172" a="1"/>
  <c r="AJ242" i="172" s="1"/>
  <c r="AJ244" i="172" a="1"/>
  <c r="AJ244" i="172" s="1"/>
  <c r="AJ246" i="172" a="1"/>
  <c r="AJ246" i="172" s="1"/>
  <c r="AJ248" i="172" a="1"/>
  <c r="AJ248" i="172" s="1"/>
  <c r="AJ250" i="172" a="1"/>
  <c r="AJ250" i="172" s="1"/>
  <c r="AJ252" i="172" a="1"/>
  <c r="AJ252" i="172" s="1"/>
  <c r="AJ254" i="172" a="1"/>
  <c r="AJ254" i="172" s="1"/>
  <c r="AJ256" i="172" a="1"/>
  <c r="AJ256" i="172" s="1"/>
  <c r="AJ258" i="172" a="1"/>
  <c r="AJ258" i="172" s="1"/>
  <c r="AJ260" i="172" a="1"/>
  <c r="AJ260" i="172" s="1"/>
  <c r="AJ262" i="172" a="1"/>
  <c r="AJ262" i="172" s="1"/>
  <c r="AJ264" i="172" a="1"/>
  <c r="AJ264" i="172" s="1"/>
  <c r="AJ266" i="172" a="1"/>
  <c r="AJ266" i="172" s="1"/>
  <c r="AJ268" i="172" a="1"/>
  <c r="AJ268" i="172" s="1"/>
  <c r="AJ271" i="172" a="1"/>
  <c r="AJ271" i="172" s="1"/>
  <c r="AJ276" i="172" a="1"/>
  <c r="AJ276" i="172" s="1"/>
  <c r="AJ281" i="172" a="1"/>
  <c r="AJ281" i="172" s="1"/>
  <c r="AJ283" i="172" a="1"/>
  <c r="AJ283" i="172" s="1"/>
  <c r="AJ338" i="172" a="1"/>
  <c r="AJ338" i="172" s="1"/>
  <c r="AJ344" i="172" a="1"/>
  <c r="AJ344" i="172" s="1"/>
  <c r="AJ348" i="172" a="1"/>
  <c r="AJ348" i="172" s="1"/>
  <c r="AJ352" i="172" a="1"/>
  <c r="AJ352" i="172" s="1"/>
  <c r="AJ356" i="172" a="1"/>
  <c r="AJ356" i="172" s="1"/>
  <c r="AJ360" i="172" a="1"/>
  <c r="AJ360" i="172" s="1"/>
  <c r="AJ364" i="172" a="1"/>
  <c r="AJ364" i="172" s="1"/>
  <c r="AJ368" i="172" a="1"/>
  <c r="AJ368" i="172" s="1"/>
  <c r="AJ372" i="172" a="1"/>
  <c r="AJ372" i="172" s="1"/>
  <c r="AJ376" i="172" a="1"/>
  <c r="AJ376" i="172" s="1"/>
  <c r="AJ380" i="172" a="1"/>
  <c r="AJ380" i="172" s="1"/>
  <c r="AJ384" i="172" a="1"/>
  <c r="AJ384" i="172" s="1"/>
  <c r="AJ388" i="172" a="1"/>
  <c r="AJ388" i="172" s="1"/>
  <c r="AJ392" i="172" a="1"/>
  <c r="AJ392" i="172" s="1"/>
  <c r="AJ396" i="172" a="1"/>
  <c r="AJ396" i="172" s="1"/>
  <c r="AJ400" i="172" a="1"/>
  <c r="AJ400" i="172" s="1"/>
  <c r="AJ433" i="172" a="1"/>
  <c r="AJ433" i="172" s="1"/>
  <c r="AJ437" i="172" a="1"/>
  <c r="AJ437" i="172" s="1"/>
  <c r="AJ441" i="172" a="1"/>
  <c r="AJ441" i="172" s="1"/>
  <c r="AJ445" i="172" a="1"/>
  <c r="AJ445" i="172" s="1"/>
  <c r="AJ449" i="172" a="1"/>
  <c r="AJ449" i="172" s="1"/>
  <c r="AJ453" i="172" a="1"/>
  <c r="AJ453" i="172" s="1"/>
  <c r="AJ457" i="172" a="1"/>
  <c r="AJ457" i="172" s="1"/>
  <c r="AJ461" i="172" a="1"/>
  <c r="AJ461" i="172" s="1"/>
  <c r="AJ465" i="172" a="1"/>
  <c r="AJ465" i="172" s="1"/>
  <c r="AJ469" i="172" a="1"/>
  <c r="AJ469" i="172" s="1"/>
  <c r="AJ473" i="172" a="1"/>
  <c r="AJ473" i="172" s="1"/>
  <c r="AJ477" i="172" a="1"/>
  <c r="AJ477" i="172" s="1"/>
  <c r="AJ481" i="172" a="1"/>
  <c r="AJ481" i="172" s="1"/>
  <c r="AJ485" i="172" a="1"/>
  <c r="AJ485" i="172" s="1"/>
  <c r="AJ489" i="172" a="1"/>
  <c r="AJ489" i="172" s="1"/>
  <c r="AJ493" i="172" a="1"/>
  <c r="AJ493" i="172" s="1"/>
  <c r="AJ497" i="172" a="1"/>
  <c r="AJ497" i="172" s="1"/>
  <c r="AJ501" i="172" a="1"/>
  <c r="AJ501" i="172" s="1"/>
  <c r="AJ505" i="172" a="1"/>
  <c r="AJ505" i="172" s="1"/>
  <c r="AJ509" i="172" a="1"/>
  <c r="AJ509" i="172" s="1"/>
  <c r="AJ513" i="172" a="1"/>
  <c r="AJ513" i="172" s="1"/>
  <c r="AJ517" i="172" a="1"/>
  <c r="AJ517" i="172" s="1"/>
  <c r="AJ521" i="172" a="1"/>
  <c r="AJ521" i="172" s="1"/>
  <c r="AJ525" i="172" a="1"/>
  <c r="AJ525" i="172" s="1"/>
  <c r="AJ529" i="172" a="1"/>
  <c r="AJ529" i="172" s="1"/>
  <c r="AJ533" i="172" a="1"/>
  <c r="AJ533" i="172" s="1"/>
  <c r="AJ537" i="172" a="1"/>
  <c r="AJ537" i="172" s="1"/>
  <c r="AJ541" i="172" a="1"/>
  <c r="AJ541" i="172" s="1"/>
  <c r="AJ545" i="172" a="1"/>
  <c r="AJ545" i="172" s="1"/>
  <c r="AJ549" i="172" a="1"/>
  <c r="AJ549" i="172" s="1"/>
  <c r="AJ553" i="172" a="1"/>
  <c r="AJ553" i="172" s="1"/>
  <c r="AJ557" i="172" a="1"/>
  <c r="AJ557" i="172" s="1"/>
  <c r="AJ561" i="172" a="1"/>
  <c r="AJ561" i="172" s="1"/>
  <c r="AJ565" i="172" a="1"/>
  <c r="AJ565" i="172" s="1"/>
  <c r="AJ569" i="172" a="1"/>
  <c r="AJ569" i="172" s="1"/>
  <c r="AJ573" i="172" a="1"/>
  <c r="AJ573" i="172" s="1"/>
  <c r="AJ577" i="172" a="1"/>
  <c r="AJ577" i="172" s="1"/>
  <c r="AJ66" i="172" a="1"/>
  <c r="AJ66" i="172" s="1"/>
  <c r="AJ80" i="172" a="1"/>
  <c r="AJ80" i="172" s="1"/>
  <c r="AJ84" i="172" a="1"/>
  <c r="AJ84" i="172" s="1"/>
  <c r="AJ88" i="172" a="1"/>
  <c r="AJ88" i="172" s="1"/>
  <c r="AJ92" i="172" a="1"/>
  <c r="AJ92" i="172" s="1"/>
  <c r="AJ96" i="172" a="1"/>
  <c r="AJ96" i="172" s="1"/>
  <c r="AJ100" i="172" a="1"/>
  <c r="AJ100" i="172" s="1"/>
  <c r="AJ104" i="172" a="1"/>
  <c r="AJ104" i="172" s="1"/>
  <c r="AJ108" i="172" a="1"/>
  <c r="AJ108" i="172" s="1"/>
  <c r="AJ112" i="172" a="1"/>
  <c r="AJ112" i="172" s="1"/>
  <c r="AJ116" i="172" a="1"/>
  <c r="AJ116" i="172" s="1"/>
  <c r="AJ120" i="172" a="1"/>
  <c r="AJ120" i="172" s="1"/>
  <c r="AJ124" i="172" a="1"/>
  <c r="AJ124" i="172" s="1"/>
  <c r="AJ128" i="172" a="1"/>
  <c r="AJ128" i="172" s="1"/>
  <c r="AJ132" i="172" a="1"/>
  <c r="AJ132" i="172" s="1"/>
  <c r="AJ136" i="172" a="1"/>
  <c r="AJ136" i="172" s="1"/>
  <c r="AJ140" i="172" a="1"/>
  <c r="AJ140" i="172" s="1"/>
  <c r="AJ143" i="172" a="1"/>
  <c r="AJ143" i="172" s="1"/>
  <c r="AJ144" i="172" a="1"/>
  <c r="AJ144" i="172" s="1"/>
  <c r="AJ149" i="172" a="1"/>
  <c r="AJ149" i="172" s="1"/>
  <c r="AJ150" i="172" a="1"/>
  <c r="AJ150" i="172" s="1"/>
  <c r="AJ159" i="172" a="1"/>
  <c r="AJ159" i="172" s="1"/>
  <c r="AJ160" i="172" a="1"/>
  <c r="AJ160" i="172" s="1"/>
  <c r="AJ192" i="172" a="1"/>
  <c r="AJ192" i="172" s="1"/>
  <c r="AJ195" i="172" a="1"/>
  <c r="AJ195" i="172" s="1"/>
  <c r="AJ204" i="172" a="1"/>
  <c r="AJ204" i="172" s="1"/>
  <c r="AJ211" i="172" a="1"/>
  <c r="AJ211" i="172" s="1"/>
  <c r="AJ212" i="172" a="1"/>
  <c r="AJ212" i="172" s="1"/>
  <c r="AJ221" i="172" a="1"/>
  <c r="AJ221" i="172" s="1"/>
  <c r="AJ223" i="172" a="1"/>
  <c r="AJ223" i="172" s="1"/>
  <c r="AJ270" i="172" a="1"/>
  <c r="AJ270" i="172" s="1"/>
  <c r="AJ273" i="172" a="1"/>
  <c r="AJ273" i="172" s="1"/>
  <c r="AJ278" i="172" a="1"/>
  <c r="AJ278" i="172" s="1"/>
  <c r="AJ280" i="172" a="1"/>
  <c r="AJ280" i="172" s="1"/>
  <c r="AJ285" i="172" a="1"/>
  <c r="AJ285" i="172" s="1"/>
  <c r="AJ287" i="172" a="1"/>
  <c r="AJ287" i="172" s="1"/>
  <c r="AJ289" i="172" a="1"/>
  <c r="AJ289" i="172" s="1"/>
  <c r="AJ291" i="172" a="1"/>
  <c r="AJ291" i="172" s="1"/>
  <c r="AJ293" i="172" a="1"/>
  <c r="AJ293" i="172" s="1"/>
  <c r="AJ295" i="172" a="1"/>
  <c r="AJ295" i="172" s="1"/>
  <c r="AJ297" i="172" a="1"/>
  <c r="AJ297" i="172" s="1"/>
  <c r="AJ299" i="172" a="1"/>
  <c r="AJ299" i="172" s="1"/>
  <c r="AJ301" i="172" a="1"/>
  <c r="AJ301" i="172" s="1"/>
  <c r="AJ303" i="172" a="1"/>
  <c r="AJ303" i="172" s="1"/>
  <c r="AJ305" i="172" a="1"/>
  <c r="AJ305" i="172" s="1"/>
  <c r="AJ307" i="172" a="1"/>
  <c r="AJ307" i="172" s="1"/>
  <c r="AJ309" i="172" a="1"/>
  <c r="AJ309" i="172" s="1"/>
  <c r="AJ311" i="172" a="1"/>
  <c r="AJ311" i="172" s="1"/>
  <c r="AJ313" i="172" a="1"/>
  <c r="AJ313" i="172" s="1"/>
  <c r="AJ315" i="172" a="1"/>
  <c r="AJ315" i="172" s="1"/>
  <c r="AJ317" i="172" a="1"/>
  <c r="AJ317" i="172" s="1"/>
  <c r="AJ319" i="172" a="1"/>
  <c r="AJ319" i="172" s="1"/>
  <c r="AJ321" i="172" a="1"/>
  <c r="AJ321" i="172" s="1"/>
  <c r="AJ323" i="172" a="1"/>
  <c r="AJ323" i="172" s="1"/>
  <c r="AJ325" i="172" a="1"/>
  <c r="AJ325" i="172" s="1"/>
  <c r="AJ327" i="172" a="1"/>
  <c r="AJ327" i="172" s="1"/>
  <c r="AJ329" i="172" a="1"/>
  <c r="AJ329" i="172" s="1"/>
  <c r="AJ331" i="172" a="1"/>
  <c r="AJ331" i="172" s="1"/>
  <c r="AJ333" i="172" a="1"/>
  <c r="AJ333" i="172" s="1"/>
  <c r="AJ335" i="172" a="1"/>
  <c r="AJ335" i="172" s="1"/>
  <c r="AJ337" i="172" a="1"/>
  <c r="AJ337" i="172" s="1"/>
  <c r="AJ340" i="172" a="1"/>
  <c r="AJ340" i="172" s="1"/>
  <c r="AJ343" i="172" a="1"/>
  <c r="AJ343" i="172" s="1"/>
  <c r="AJ347" i="172" a="1"/>
  <c r="AJ347" i="172" s="1"/>
  <c r="AJ351" i="172" a="1"/>
  <c r="AJ351" i="172" s="1"/>
  <c r="AJ355" i="172" a="1"/>
  <c r="AJ355" i="172" s="1"/>
  <c r="AJ359" i="172" a="1"/>
  <c r="AJ359" i="172" s="1"/>
  <c r="AJ363" i="172" a="1"/>
  <c r="AJ363" i="172" s="1"/>
  <c r="AJ367" i="172" a="1"/>
  <c r="AJ367" i="172" s="1"/>
  <c r="AJ371" i="172" a="1"/>
  <c r="AJ371" i="172" s="1"/>
  <c r="AJ375" i="172" a="1"/>
  <c r="AJ375" i="172" s="1"/>
  <c r="AJ379" i="172" a="1"/>
  <c r="AJ379" i="172" s="1"/>
  <c r="AJ383" i="172" a="1"/>
  <c r="AJ383" i="172" s="1"/>
  <c r="AJ387" i="172" a="1"/>
  <c r="AJ387" i="172" s="1"/>
  <c r="AJ391" i="172" a="1"/>
  <c r="AJ391" i="172" s="1"/>
  <c r="AJ395" i="172" a="1"/>
  <c r="AJ395" i="172" s="1"/>
  <c r="AJ399" i="172" a="1"/>
  <c r="AJ399" i="172" s="1"/>
  <c r="AJ403" i="172" a="1"/>
  <c r="AJ403" i="172" s="1"/>
  <c r="AJ404" i="172" a="1"/>
  <c r="AJ404" i="172" s="1"/>
  <c r="AJ405" i="172" a="1"/>
  <c r="AJ405" i="172" s="1"/>
  <c r="AJ406" i="172" a="1"/>
  <c r="AJ406" i="172" s="1"/>
  <c r="AJ407" i="172" a="1"/>
  <c r="AJ407" i="172" s="1"/>
  <c r="AJ408" i="172" a="1"/>
  <c r="AJ408" i="172" s="1"/>
  <c r="AJ409" i="172" a="1"/>
  <c r="AJ409" i="172" s="1"/>
  <c r="AJ410" i="172" a="1"/>
  <c r="AJ410" i="172" s="1"/>
  <c r="AJ411" i="172" a="1"/>
  <c r="AJ411" i="172" s="1"/>
  <c r="AJ412" i="172" a="1"/>
  <c r="AJ412" i="172" s="1"/>
  <c r="AJ413" i="172" a="1"/>
  <c r="AJ413" i="172" s="1"/>
  <c r="AJ414" i="172" a="1"/>
  <c r="AJ414" i="172" s="1"/>
  <c r="AJ415" i="172" a="1"/>
  <c r="AJ415" i="172" s="1"/>
  <c r="AJ416" i="172" a="1"/>
  <c r="AJ416" i="172" s="1"/>
  <c r="AJ417" i="172" a="1"/>
  <c r="AJ417" i="172" s="1"/>
  <c r="AJ418" i="172" a="1"/>
  <c r="AJ418" i="172" s="1"/>
  <c r="AJ419" i="172" a="1"/>
  <c r="AJ419" i="172" s="1"/>
  <c r="AJ420" i="172" a="1"/>
  <c r="AJ420" i="172" s="1"/>
  <c r="AJ421" i="172" a="1"/>
  <c r="AJ421" i="172" s="1"/>
  <c r="AJ422" i="172" a="1"/>
  <c r="AJ422" i="172" s="1"/>
  <c r="AJ423" i="172" a="1"/>
  <c r="AJ423" i="172" s="1"/>
  <c r="AJ424" i="172" a="1"/>
  <c r="AJ424" i="172" s="1"/>
  <c r="AJ425" i="172" a="1"/>
  <c r="AJ425" i="172" s="1"/>
  <c r="AJ426" i="172" a="1"/>
  <c r="AJ426" i="172" s="1"/>
  <c r="AJ427" i="172" a="1"/>
  <c r="AJ427" i="172" s="1"/>
  <c r="AJ428" i="172" a="1"/>
  <c r="AJ428" i="172" s="1"/>
  <c r="AJ429" i="172" a="1"/>
  <c r="AJ429" i="172" s="1"/>
  <c r="AJ430" i="172" a="1"/>
  <c r="AJ430" i="172" s="1"/>
  <c r="AJ431" i="172" a="1"/>
  <c r="AJ431" i="172" s="1"/>
  <c r="AJ432" i="172" a="1"/>
  <c r="AJ432" i="172" s="1"/>
  <c r="AJ436" i="172" a="1"/>
  <c r="AJ436" i="172" s="1"/>
  <c r="AJ440" i="172" a="1"/>
  <c r="AJ440" i="172" s="1"/>
  <c r="AJ444" i="172" a="1"/>
  <c r="AJ444" i="172" s="1"/>
  <c r="AJ448" i="172" a="1"/>
  <c r="AJ448" i="172" s="1"/>
  <c r="AJ452" i="172" a="1"/>
  <c r="AJ452" i="172" s="1"/>
  <c r="AJ456" i="172" a="1"/>
  <c r="AJ456" i="172" s="1"/>
  <c r="AJ460" i="172" a="1"/>
  <c r="AJ460" i="172" s="1"/>
  <c r="AJ464" i="172" a="1"/>
  <c r="AJ464" i="172" s="1"/>
  <c r="AJ468" i="172" a="1"/>
  <c r="AJ468" i="172" s="1"/>
  <c r="AJ472" i="172" a="1"/>
  <c r="AJ472" i="172" s="1"/>
  <c r="AJ476" i="172" a="1"/>
  <c r="AJ476" i="172" s="1"/>
  <c r="AJ480" i="172" a="1"/>
  <c r="AJ480" i="172" s="1"/>
  <c r="AJ484" i="172" a="1"/>
  <c r="AJ484" i="172" s="1"/>
  <c r="AJ488" i="172" a="1"/>
  <c r="AJ488" i="172" s="1"/>
  <c r="AJ492" i="172" a="1"/>
  <c r="AJ492" i="172" s="1"/>
  <c r="AJ496" i="172" a="1"/>
  <c r="AJ496" i="172" s="1"/>
  <c r="AJ500" i="172" a="1"/>
  <c r="AJ500" i="172" s="1"/>
  <c r="AJ504" i="172" a="1"/>
  <c r="AJ504" i="172" s="1"/>
  <c r="AJ508" i="172" a="1"/>
  <c r="AJ508" i="172" s="1"/>
  <c r="AJ512" i="172" a="1"/>
  <c r="AJ512" i="172" s="1"/>
  <c r="AJ516" i="172" a="1"/>
  <c r="AJ516" i="172" s="1"/>
  <c r="AJ52" i="172" a="1"/>
  <c r="AJ52" i="172" s="1"/>
  <c r="AJ64" i="172" a="1"/>
  <c r="AJ64" i="172" s="1"/>
  <c r="AJ67" i="172" a="1"/>
  <c r="AJ67" i="172" s="1"/>
  <c r="AJ76" i="172" a="1"/>
  <c r="AJ76" i="172" s="1"/>
  <c r="AJ79" i="172" a="1"/>
  <c r="AJ79" i="172" s="1"/>
  <c r="AJ83" i="172" a="1"/>
  <c r="AJ83" i="172" s="1"/>
  <c r="AJ87" i="172" a="1"/>
  <c r="AJ87" i="172" s="1"/>
  <c r="AJ91" i="172" a="1"/>
  <c r="AJ91" i="172" s="1"/>
  <c r="AJ95" i="172" a="1"/>
  <c r="AJ95" i="172" s="1"/>
  <c r="AJ99" i="172" a="1"/>
  <c r="AJ99" i="172" s="1"/>
  <c r="AJ103" i="172" a="1"/>
  <c r="AJ103" i="172" s="1"/>
  <c r="AJ107" i="172" a="1"/>
  <c r="AJ107" i="172" s="1"/>
  <c r="AJ111" i="172" a="1"/>
  <c r="AJ111" i="172" s="1"/>
  <c r="AJ115" i="172" a="1"/>
  <c r="AJ115" i="172" s="1"/>
  <c r="AJ119" i="172" a="1"/>
  <c r="AJ119" i="172" s="1"/>
  <c r="AJ123" i="172" a="1"/>
  <c r="AJ123" i="172" s="1"/>
  <c r="AJ127" i="172" a="1"/>
  <c r="AJ127" i="172" s="1"/>
  <c r="AJ131" i="172" a="1"/>
  <c r="AJ131" i="172" s="1"/>
  <c r="AJ135" i="172" a="1"/>
  <c r="AJ135" i="172" s="1"/>
  <c r="AJ139" i="172" a="1"/>
  <c r="AJ139" i="172" s="1"/>
  <c r="AJ145" i="172" a="1"/>
  <c r="AJ145" i="172" s="1"/>
  <c r="AJ146" i="172" a="1"/>
  <c r="AJ146" i="172" s="1"/>
  <c r="AJ155" i="172" a="1"/>
  <c r="AJ155" i="172" s="1"/>
  <c r="AJ156" i="172" a="1"/>
  <c r="AJ156" i="172" s="1"/>
  <c r="AJ161" i="172" a="1"/>
  <c r="AJ161" i="172" s="1"/>
  <c r="AJ162" i="172" a="1"/>
  <c r="AJ162" i="172" s="1"/>
  <c r="AJ163" i="172" a="1"/>
  <c r="AJ163" i="172" s="1"/>
  <c r="AJ164" i="172" a="1"/>
  <c r="AJ164" i="172" s="1"/>
  <c r="AJ165" i="172" a="1"/>
  <c r="AJ165" i="172" s="1"/>
  <c r="AJ166" i="172" a="1"/>
  <c r="AJ166" i="172" s="1"/>
  <c r="AJ167" i="172" a="1"/>
  <c r="AJ167" i="172" s="1"/>
  <c r="AJ168" i="172" a="1"/>
  <c r="AJ168" i="172" s="1"/>
  <c r="AJ169" i="172" a="1"/>
  <c r="AJ169" i="172" s="1"/>
  <c r="AJ170" i="172" a="1"/>
  <c r="AJ170" i="172" s="1"/>
  <c r="AJ171" i="172" a="1"/>
  <c r="AJ171" i="172" s="1"/>
  <c r="AJ172" i="172" a="1"/>
  <c r="AJ172" i="172" s="1"/>
  <c r="AJ173" i="172" a="1"/>
  <c r="AJ173" i="172" s="1"/>
  <c r="AJ174" i="172" a="1"/>
  <c r="AJ174" i="172" s="1"/>
  <c r="AJ175" i="172" a="1"/>
  <c r="AJ175" i="172" s="1"/>
  <c r="AJ176" i="172" a="1"/>
  <c r="AJ176" i="172" s="1"/>
  <c r="AJ177" i="172" a="1"/>
  <c r="AJ177" i="172" s="1"/>
  <c r="AJ178" i="172" a="1"/>
  <c r="AJ178" i="172" s="1"/>
  <c r="AJ179" i="172" a="1"/>
  <c r="AJ179" i="172" s="1"/>
  <c r="AJ180" i="172" a="1"/>
  <c r="AJ180" i="172" s="1"/>
  <c r="AJ181" i="172" a="1"/>
  <c r="AJ181" i="172" s="1"/>
  <c r="AJ182" i="172" a="1"/>
  <c r="AJ182" i="172" s="1"/>
  <c r="AJ183" i="172" a="1"/>
  <c r="AJ183" i="172" s="1"/>
  <c r="AJ184" i="172" a="1"/>
  <c r="AJ184" i="172" s="1"/>
  <c r="AJ185" i="172" a="1"/>
  <c r="AJ185" i="172" s="1"/>
  <c r="AJ186" i="172" a="1"/>
  <c r="AJ186" i="172" s="1"/>
  <c r="AJ187" i="172" a="1"/>
  <c r="AJ187" i="172" s="1"/>
  <c r="AJ188" i="172" a="1"/>
  <c r="AJ188" i="172" s="1"/>
  <c r="AJ189" i="172" a="1"/>
  <c r="AJ189" i="172" s="1"/>
  <c r="AJ190" i="172" a="1"/>
  <c r="AJ190" i="172" s="1"/>
  <c r="AJ191" i="172" a="1"/>
  <c r="AJ191" i="172" s="1"/>
  <c r="AJ201" i="172" a="1"/>
  <c r="AJ201" i="172" s="1"/>
  <c r="AJ202" i="172" a="1"/>
  <c r="AJ202" i="172" s="1"/>
  <c r="AJ203" i="172" a="1"/>
  <c r="AJ203" i="172" s="1"/>
  <c r="AJ209" i="172" a="1"/>
  <c r="AJ209" i="172" s="1"/>
  <c r="AJ210" i="172" a="1"/>
  <c r="AJ210" i="172" s="1"/>
  <c r="AJ217" i="172" a="1"/>
  <c r="AJ217" i="172" s="1"/>
  <c r="AJ218" i="172" a="1"/>
  <c r="AJ218" i="172" s="1"/>
  <c r="AJ220" i="172" a="1"/>
  <c r="AJ220" i="172" s="1"/>
  <c r="AJ225" i="172" a="1"/>
  <c r="AJ225" i="172" s="1"/>
  <c r="AJ227" i="172" a="1"/>
  <c r="AJ227" i="172" s="1"/>
  <c r="AJ229" i="172" a="1"/>
  <c r="AJ229" i="172" s="1"/>
  <c r="AJ231" i="172" a="1"/>
  <c r="AJ231" i="172" s="1"/>
  <c r="AJ233" i="172" a="1"/>
  <c r="AJ233" i="172" s="1"/>
  <c r="AJ235" i="172" a="1"/>
  <c r="AJ235" i="172" s="1"/>
  <c r="AJ237" i="172" a="1"/>
  <c r="AJ237" i="172" s="1"/>
  <c r="AJ239" i="172" a="1"/>
  <c r="AJ239" i="172" s="1"/>
  <c r="AJ241" i="172" a="1"/>
  <c r="AJ241" i="172" s="1"/>
  <c r="AJ243" i="172" a="1"/>
  <c r="AJ243" i="172" s="1"/>
  <c r="AJ245" i="172" a="1"/>
  <c r="AJ245" i="172" s="1"/>
  <c r="AJ247" i="172" a="1"/>
  <c r="AJ247" i="172" s="1"/>
  <c r="AJ249" i="172" a="1"/>
  <c r="AJ249" i="172" s="1"/>
  <c r="AJ251" i="172" a="1"/>
  <c r="AJ251" i="172" s="1"/>
  <c r="AJ253" i="172" a="1"/>
  <c r="AJ253" i="172" s="1"/>
  <c r="AJ255" i="172" a="1"/>
  <c r="AJ255" i="172" s="1"/>
  <c r="AJ257" i="172" a="1"/>
  <c r="AJ257" i="172" s="1"/>
  <c r="AJ259" i="172" a="1"/>
  <c r="AJ259" i="172" s="1"/>
  <c r="AJ261" i="172" a="1"/>
  <c r="AJ261" i="172" s="1"/>
  <c r="AJ263" i="172" a="1"/>
  <c r="AJ263" i="172" s="1"/>
  <c r="AJ265" i="172" a="1"/>
  <c r="AJ265" i="172" s="1"/>
  <c r="AJ267" i="172" a="1"/>
  <c r="AJ267" i="172" s="1"/>
  <c r="AJ272" i="172" a="1"/>
  <c r="AJ272" i="172" s="1"/>
  <c r="AJ275" i="172" a="1"/>
  <c r="AJ275" i="172" s="1"/>
  <c r="AJ282" i="172" a="1"/>
  <c r="AJ282" i="172" s="1"/>
  <c r="AJ284" i="172" a="1"/>
  <c r="AJ284" i="172" s="1"/>
  <c r="AJ339" i="172" a="1"/>
  <c r="AJ339" i="172" s="1"/>
  <c r="AJ342" i="172" a="1"/>
  <c r="AJ342" i="172" s="1"/>
  <c r="AJ346" i="172" a="1"/>
  <c r="AJ346" i="172" s="1"/>
  <c r="AJ350" i="172" a="1"/>
  <c r="AJ350" i="172" s="1"/>
  <c r="AJ354" i="172" a="1"/>
  <c r="AJ354" i="172" s="1"/>
  <c r="AJ358" i="172" a="1"/>
  <c r="AJ358" i="172" s="1"/>
  <c r="AJ362" i="172" a="1"/>
  <c r="AJ362" i="172" s="1"/>
  <c r="AJ366" i="172" a="1"/>
  <c r="AJ366" i="172" s="1"/>
  <c r="AJ370" i="172" a="1"/>
  <c r="AJ370" i="172" s="1"/>
  <c r="AJ374" i="172" a="1"/>
  <c r="AJ374" i="172" s="1"/>
  <c r="AJ378" i="172" a="1"/>
  <c r="AJ378" i="172" s="1"/>
  <c r="AJ382" i="172" a="1"/>
  <c r="AJ382" i="172" s="1"/>
  <c r="AJ386" i="172" a="1"/>
  <c r="AJ386" i="172" s="1"/>
  <c r="AJ390" i="172" a="1"/>
  <c r="AJ390" i="172" s="1"/>
  <c r="AJ394" i="172" a="1"/>
  <c r="AJ394" i="172" s="1"/>
  <c r="AJ398" i="172" a="1"/>
  <c r="AJ398" i="172" s="1"/>
  <c r="AJ402" i="172" a="1"/>
  <c r="AJ402" i="172" s="1"/>
  <c r="AJ435" i="172" a="1"/>
  <c r="AJ435" i="172" s="1"/>
  <c r="AJ439" i="172" a="1"/>
  <c r="AJ439" i="172" s="1"/>
  <c r="AJ443" i="172" a="1"/>
  <c r="AJ443" i="172" s="1"/>
  <c r="AJ447" i="172" a="1"/>
  <c r="AJ447" i="172" s="1"/>
  <c r="AJ451" i="172" a="1"/>
  <c r="AJ451" i="172" s="1"/>
  <c r="AJ455" i="172" a="1"/>
  <c r="AJ455" i="172" s="1"/>
  <c r="AJ459" i="172" a="1"/>
  <c r="AJ459" i="172" s="1"/>
  <c r="AJ463" i="172" a="1"/>
  <c r="AJ463" i="172" s="1"/>
  <c r="AJ467" i="172" a="1"/>
  <c r="AJ467" i="172" s="1"/>
  <c r="AJ471" i="172" a="1"/>
  <c r="AJ471" i="172" s="1"/>
  <c r="AJ475" i="172" a="1"/>
  <c r="AJ475" i="172" s="1"/>
  <c r="AJ479" i="172" a="1"/>
  <c r="AJ479" i="172" s="1"/>
  <c r="AJ483" i="172" a="1"/>
  <c r="AJ483" i="172" s="1"/>
  <c r="AJ487" i="172" a="1"/>
  <c r="AJ487" i="172" s="1"/>
  <c r="AJ491" i="172" a="1"/>
  <c r="AJ491" i="172" s="1"/>
  <c r="AJ495" i="172" a="1"/>
  <c r="AJ495" i="172" s="1"/>
  <c r="AJ499" i="172" a="1"/>
  <c r="AJ499" i="172" s="1"/>
  <c r="AJ503" i="172" a="1"/>
  <c r="AJ503" i="172" s="1"/>
  <c r="AJ507" i="172" a="1"/>
  <c r="AJ507" i="172" s="1"/>
  <c r="AJ511" i="172" a="1"/>
  <c r="AJ511" i="172" s="1"/>
  <c r="AJ515" i="172" a="1"/>
  <c r="AJ515" i="172" s="1"/>
  <c r="AJ519" i="172" a="1"/>
  <c r="AJ519" i="172" s="1"/>
  <c r="AJ523" i="172" a="1"/>
  <c r="AJ523" i="172" s="1"/>
  <c r="AJ527" i="172" a="1"/>
  <c r="AJ527" i="172" s="1"/>
  <c r="AJ531" i="172" a="1"/>
  <c r="AJ531" i="172" s="1"/>
  <c r="AJ535" i="172" a="1"/>
  <c r="AJ535" i="172" s="1"/>
  <c r="AJ539" i="172" a="1"/>
  <c r="AJ539" i="172" s="1"/>
  <c r="AJ58" i="172" a="1"/>
  <c r="AJ58" i="172" s="1"/>
  <c r="AJ61" i="172" a="1"/>
  <c r="AJ61" i="172" s="1"/>
  <c r="AJ75" i="172" a="1"/>
  <c r="AJ75" i="172" s="1"/>
  <c r="AJ78" i="172" a="1"/>
  <c r="AJ78" i="172" s="1"/>
  <c r="AJ82" i="172" a="1"/>
  <c r="AJ82" i="172" s="1"/>
  <c r="AJ86" i="172" a="1"/>
  <c r="AJ86" i="172" s="1"/>
  <c r="AJ90" i="172" a="1"/>
  <c r="AJ90" i="172" s="1"/>
  <c r="AJ94" i="172" a="1"/>
  <c r="AJ94" i="172" s="1"/>
  <c r="AJ98" i="172" a="1"/>
  <c r="AJ98" i="172" s="1"/>
  <c r="AJ102" i="172" a="1"/>
  <c r="AJ102" i="172" s="1"/>
  <c r="AJ106" i="172" a="1"/>
  <c r="AJ106" i="172" s="1"/>
  <c r="AJ110" i="172" a="1"/>
  <c r="AJ110" i="172" s="1"/>
  <c r="AJ114" i="172" a="1"/>
  <c r="AJ114" i="172" s="1"/>
  <c r="AJ118" i="172" a="1"/>
  <c r="AJ118" i="172" s="1"/>
  <c r="AJ122" i="172" a="1"/>
  <c r="AJ122" i="172" s="1"/>
  <c r="AJ126" i="172" a="1"/>
  <c r="AJ126" i="172" s="1"/>
  <c r="AJ130" i="172" a="1"/>
  <c r="AJ130" i="172" s="1"/>
  <c r="AJ134" i="172" a="1"/>
  <c r="AJ134" i="172" s="1"/>
  <c r="AJ138" i="172" a="1"/>
  <c r="AJ138" i="172" s="1"/>
  <c r="AJ142" i="172" a="1"/>
  <c r="AJ142" i="172" s="1"/>
  <c r="AJ151" i="172" a="1"/>
  <c r="AJ151" i="172" s="1"/>
  <c r="AJ152" i="172" a="1"/>
  <c r="AJ152" i="172" s="1"/>
  <c r="AJ157" i="172" a="1"/>
  <c r="AJ157" i="172" s="1"/>
  <c r="AJ158" i="172" a="1"/>
  <c r="AJ158" i="172" s="1"/>
  <c r="AJ208" i="172" a="1"/>
  <c r="AJ208" i="172" s="1"/>
  <c r="AJ224" i="172" a="1"/>
  <c r="AJ224" i="172" s="1"/>
  <c r="AJ277" i="172" a="1"/>
  <c r="AJ277" i="172" s="1"/>
  <c r="AJ292" i="172" a="1"/>
  <c r="AJ292" i="172" s="1"/>
  <c r="AJ300" i="172" a="1"/>
  <c r="AJ300" i="172" s="1"/>
  <c r="AJ308" i="172" a="1"/>
  <c r="AJ308" i="172" s="1"/>
  <c r="AJ316" i="172" a="1"/>
  <c r="AJ316" i="172" s="1"/>
  <c r="AJ324" i="172" a="1"/>
  <c r="AJ324" i="172" s="1"/>
  <c r="AJ332" i="172" a="1"/>
  <c r="AJ332" i="172" s="1"/>
  <c r="AJ345" i="172" a="1"/>
  <c r="AJ345" i="172" s="1"/>
  <c r="AJ361" i="172" a="1"/>
  <c r="AJ361" i="172" s="1"/>
  <c r="AJ377" i="172" a="1"/>
  <c r="AJ377" i="172" s="1"/>
  <c r="AJ393" i="172" a="1"/>
  <c r="AJ393" i="172" s="1"/>
  <c r="AJ442" i="172" a="1"/>
  <c r="AJ442" i="172" s="1"/>
  <c r="AJ458" i="172" a="1"/>
  <c r="AJ458" i="172" s="1"/>
  <c r="AJ474" i="172" a="1"/>
  <c r="AJ474" i="172" s="1"/>
  <c r="AJ490" i="172" a="1"/>
  <c r="AJ490" i="172" s="1"/>
  <c r="AJ506" i="172" a="1"/>
  <c r="AJ506" i="172" s="1"/>
  <c r="AJ520" i="172" a="1"/>
  <c r="AJ520" i="172" s="1"/>
  <c r="AJ528" i="172" a="1"/>
  <c r="AJ528" i="172" s="1"/>
  <c r="AJ536" i="172" a="1"/>
  <c r="AJ536" i="172" s="1"/>
  <c r="AJ543" i="172" a="1"/>
  <c r="AJ543" i="172" s="1"/>
  <c r="AJ550" i="172" a="1"/>
  <c r="AJ550" i="172" s="1"/>
  <c r="AJ552" i="172" a="1"/>
  <c r="AJ552" i="172" s="1"/>
  <c r="AJ559" i="172" a="1"/>
  <c r="AJ559" i="172" s="1"/>
  <c r="AJ566" i="172" a="1"/>
  <c r="AJ566" i="172" s="1"/>
  <c r="AJ568" i="172" a="1"/>
  <c r="AJ568" i="172" s="1"/>
  <c r="AJ575" i="172" a="1"/>
  <c r="AJ575" i="172" s="1"/>
  <c r="AJ580" i="172" a="1"/>
  <c r="AJ580" i="172" s="1"/>
  <c r="AJ584" i="172" a="1"/>
  <c r="AJ584" i="172" s="1"/>
  <c r="AJ591" i="172" a="1"/>
  <c r="AJ591" i="172" s="1"/>
  <c r="AJ592" i="172" a="1"/>
  <c r="AJ592" i="172" s="1"/>
  <c r="AJ599" i="172" a="1"/>
  <c r="AJ599" i="172" s="1"/>
  <c r="AJ600" i="172" a="1"/>
  <c r="AJ600" i="172" s="1"/>
  <c r="AJ606" i="172" a="1"/>
  <c r="AJ606" i="172" s="1"/>
  <c r="AJ607" i="172" a="1"/>
  <c r="AJ607" i="172" s="1"/>
  <c r="AJ610" i="172" a="1"/>
  <c r="AJ610" i="172" s="1"/>
  <c r="AJ611" i="172" a="1"/>
  <c r="AJ611" i="172" s="1"/>
  <c r="AJ614" i="172" a="1"/>
  <c r="AJ614" i="172" s="1"/>
  <c r="AJ615" i="172" a="1"/>
  <c r="AJ615" i="172" s="1"/>
  <c r="AJ618" i="172" a="1"/>
  <c r="AJ618" i="172" s="1"/>
  <c r="AJ619" i="172" a="1"/>
  <c r="AJ619" i="172" s="1"/>
  <c r="AJ622" i="172" a="1"/>
  <c r="AJ622" i="172" s="1"/>
  <c r="AJ623" i="172" a="1"/>
  <c r="AJ623" i="172" s="1"/>
  <c r="AJ626" i="172" a="1"/>
  <c r="AJ626" i="172" s="1"/>
  <c r="AJ627" i="172" a="1"/>
  <c r="AJ627" i="172" s="1"/>
  <c r="AJ630" i="172" a="1"/>
  <c r="AJ630" i="172" s="1"/>
  <c r="AJ631" i="172" a="1"/>
  <c r="AJ631" i="172" s="1"/>
  <c r="AJ634" i="172" a="1"/>
  <c r="AJ634" i="172" s="1"/>
  <c r="AJ635" i="172" a="1"/>
  <c r="AJ635" i="172" s="1"/>
  <c r="AJ638" i="172" a="1"/>
  <c r="AJ638" i="172" s="1"/>
  <c r="AJ639" i="172" a="1"/>
  <c r="AJ639" i="172" s="1"/>
  <c r="AJ642" i="172" a="1"/>
  <c r="AJ642" i="172" s="1"/>
  <c r="AJ643" i="172" a="1"/>
  <c r="AJ643" i="172" s="1"/>
  <c r="AJ646" i="172" a="1"/>
  <c r="AJ646" i="172" s="1"/>
  <c r="AJ647" i="172" a="1"/>
  <c r="AJ647" i="172" s="1"/>
  <c r="AJ650" i="172" a="1"/>
  <c r="AJ650" i="172" s="1"/>
  <c r="AJ651" i="172" a="1"/>
  <c r="AJ651" i="172" s="1"/>
  <c r="AJ654" i="172" a="1"/>
  <c r="AJ654" i="172" s="1"/>
  <c r="AJ655" i="172" a="1"/>
  <c r="AJ655" i="172" s="1"/>
  <c r="AJ658" i="172" a="1"/>
  <c r="AJ658" i="172" s="1"/>
  <c r="AJ659" i="172" a="1"/>
  <c r="AJ659" i="172" s="1"/>
  <c r="AJ662" i="172" a="1"/>
  <c r="AJ662" i="172" s="1"/>
  <c r="AJ663" i="172" a="1"/>
  <c r="AJ663" i="172" s="1"/>
  <c r="AJ666" i="172" a="1"/>
  <c r="AJ666" i="172" s="1"/>
  <c r="AJ667" i="172" a="1"/>
  <c r="AJ667" i="172" s="1"/>
  <c r="AJ670" i="172" a="1"/>
  <c r="AJ670" i="172" s="1"/>
  <c r="AJ671" i="172" a="1"/>
  <c r="AJ671" i="172" s="1"/>
  <c r="AJ674" i="172" a="1"/>
  <c r="AJ674" i="172" s="1"/>
  <c r="AJ675" i="172" a="1"/>
  <c r="AJ675" i="172" s="1"/>
  <c r="AJ678" i="172" a="1"/>
  <c r="AJ678" i="172" s="1"/>
  <c r="AJ679" i="172" a="1"/>
  <c r="AJ679" i="172" s="1"/>
  <c r="AJ682" i="172" a="1"/>
  <c r="AJ682" i="172" s="1"/>
  <c r="AJ683" i="172" a="1"/>
  <c r="AJ683" i="172" s="1"/>
  <c r="AJ686" i="172" a="1"/>
  <c r="AJ686" i="172" s="1"/>
  <c r="AJ687" i="172" a="1"/>
  <c r="AJ687" i="172" s="1"/>
  <c r="AJ690" i="172" a="1"/>
  <c r="AJ690" i="172" s="1"/>
  <c r="AJ691" i="172" a="1"/>
  <c r="AJ691" i="172" s="1"/>
  <c r="AJ694" i="172" a="1"/>
  <c r="AJ694" i="172" s="1"/>
  <c r="AJ695" i="172" a="1"/>
  <c r="AJ695" i="172" s="1"/>
  <c r="AJ700" i="172" a="1"/>
  <c r="AJ700" i="172" s="1"/>
  <c r="AJ703" i="172" a="1"/>
  <c r="AJ703" i="172" s="1"/>
  <c r="AJ708" i="172" a="1"/>
  <c r="AJ708" i="172" s="1"/>
  <c r="AJ711" i="172" a="1"/>
  <c r="AJ711" i="172" s="1"/>
  <c r="AJ716" i="172" a="1"/>
  <c r="AJ716" i="172" s="1"/>
  <c r="AJ719" i="172" a="1"/>
  <c r="AJ719" i="172" s="1"/>
  <c r="AJ724" i="172" a="1"/>
  <c r="AJ724" i="172" s="1"/>
  <c r="AJ727" i="172" a="1"/>
  <c r="AJ727" i="172" s="1"/>
  <c r="AJ732" i="172" a="1"/>
  <c r="AJ732" i="172" s="1"/>
  <c r="AJ735" i="172" a="1"/>
  <c r="AJ735" i="172" s="1"/>
  <c r="AJ739" i="172" a="1"/>
  <c r="AJ739" i="172" s="1"/>
  <c r="AJ743" i="172" a="1"/>
  <c r="AJ743" i="172" s="1"/>
  <c r="AJ747" i="172" a="1"/>
  <c r="AJ747" i="172" s="1"/>
  <c r="AJ751" i="172" a="1"/>
  <c r="AJ751" i="172" s="1"/>
  <c r="AJ755" i="172" a="1"/>
  <c r="AJ755" i="172" s="1"/>
  <c r="AJ759" i="172" a="1"/>
  <c r="AJ759" i="172" s="1"/>
  <c r="AJ763" i="172" a="1"/>
  <c r="AJ763" i="172" s="1"/>
  <c r="AJ767" i="172" a="1"/>
  <c r="AJ767" i="172" s="1"/>
  <c r="AJ771" i="172" a="1"/>
  <c r="AJ771" i="172" s="1"/>
  <c r="AJ775" i="172" a="1"/>
  <c r="AJ775" i="172" s="1"/>
  <c r="AJ779" i="172" a="1"/>
  <c r="AJ779" i="172" s="1"/>
  <c r="AJ783" i="172" a="1"/>
  <c r="AJ783" i="172" s="1"/>
  <c r="AJ787" i="172" a="1"/>
  <c r="AJ787" i="172" s="1"/>
  <c r="AJ791" i="172" a="1"/>
  <c r="AJ791" i="172" s="1"/>
  <c r="AJ795" i="172" a="1"/>
  <c r="AJ795" i="172" s="1"/>
  <c r="AJ799" i="172" a="1"/>
  <c r="AJ799" i="172" s="1"/>
  <c r="AJ806" i="172" a="1"/>
  <c r="AJ806" i="172" s="1"/>
  <c r="AJ807" i="172" a="1"/>
  <c r="AJ807" i="172" s="1"/>
  <c r="AJ814" i="172" a="1"/>
  <c r="AJ814" i="172" s="1"/>
  <c r="AJ815" i="172" a="1"/>
  <c r="AJ815" i="172" s="1"/>
  <c r="AJ822" i="172" a="1"/>
  <c r="AJ822" i="172" s="1"/>
  <c r="AJ823" i="172" a="1"/>
  <c r="AJ823" i="172" s="1"/>
  <c r="AJ830" i="172" a="1"/>
  <c r="AJ830" i="172" s="1"/>
  <c r="AJ831" i="172" a="1"/>
  <c r="AJ831" i="172" s="1"/>
  <c r="AJ837" i="172" a="1"/>
  <c r="AJ837" i="172" s="1"/>
  <c r="AJ838" i="172" a="1"/>
  <c r="AJ838" i="172" s="1"/>
  <c r="AJ842" i="172" a="1"/>
  <c r="AJ842" i="172" s="1"/>
  <c r="AJ850" i="172" a="1"/>
  <c r="AJ850" i="172" s="1"/>
  <c r="AJ853" i="172" a="1"/>
  <c r="AJ853" i="172" s="1"/>
  <c r="AJ858" i="172" a="1"/>
  <c r="AJ858" i="172" s="1"/>
  <c r="AJ860" i="172" a="1"/>
  <c r="AJ860" i="172" s="1"/>
  <c r="AJ864" i="172" a="1"/>
  <c r="AJ864" i="172" s="1"/>
  <c r="AJ868" i="172" a="1"/>
  <c r="AJ868" i="172" s="1"/>
  <c r="AJ872" i="172" a="1"/>
  <c r="AJ872" i="172" s="1"/>
  <c r="AJ876" i="172" a="1"/>
  <c r="AJ876" i="172" s="1"/>
  <c r="AJ880" i="172" a="1"/>
  <c r="AJ880" i="172" s="1"/>
  <c r="AJ884" i="172" a="1"/>
  <c r="AJ884" i="172" s="1"/>
  <c r="AJ888" i="172" a="1"/>
  <c r="AJ888" i="172" s="1"/>
  <c r="AJ892" i="172" a="1"/>
  <c r="AJ892" i="172" s="1"/>
  <c r="AJ896" i="172" a="1"/>
  <c r="AJ896" i="172" s="1"/>
  <c r="AJ900" i="172" a="1"/>
  <c r="AJ900" i="172" s="1"/>
  <c r="AJ904" i="172" a="1"/>
  <c r="AJ904" i="172" s="1"/>
  <c r="AJ908" i="172" a="1"/>
  <c r="AJ908" i="172" s="1"/>
  <c r="AJ912" i="172" a="1"/>
  <c r="AJ912" i="172" s="1"/>
  <c r="AJ916" i="172" a="1"/>
  <c r="AJ916" i="172" s="1"/>
  <c r="AJ920" i="172" a="1"/>
  <c r="AJ920" i="172" s="1"/>
  <c r="AJ924" i="172" a="1"/>
  <c r="AJ924" i="172" s="1"/>
  <c r="AJ928" i="172" a="1"/>
  <c r="AJ928" i="172" s="1"/>
  <c r="AJ932" i="172" a="1"/>
  <c r="AJ932" i="172" s="1"/>
  <c r="AJ200" i="172" a="1"/>
  <c r="AJ200" i="172" s="1"/>
  <c r="AJ279" i="172" a="1"/>
  <c r="AJ279" i="172" s="1"/>
  <c r="AJ286" i="172" a="1"/>
  <c r="AJ286" i="172" s="1"/>
  <c r="AJ294" i="172" a="1"/>
  <c r="AJ294" i="172" s="1"/>
  <c r="AJ302" i="172" a="1"/>
  <c r="AJ302" i="172" s="1"/>
  <c r="AJ310" i="172" a="1"/>
  <c r="AJ310" i="172" s="1"/>
  <c r="AJ318" i="172" a="1"/>
  <c r="AJ318" i="172" s="1"/>
  <c r="AJ326" i="172" a="1"/>
  <c r="AJ326" i="172" s="1"/>
  <c r="AJ334" i="172" a="1"/>
  <c r="AJ334" i="172" s="1"/>
  <c r="AJ341" i="172" a="1"/>
  <c r="AJ341" i="172" s="1"/>
  <c r="AJ357" i="172" a="1"/>
  <c r="AJ357" i="172" s="1"/>
  <c r="AJ373" i="172" a="1"/>
  <c r="AJ373" i="172" s="1"/>
  <c r="AJ389" i="172" a="1"/>
  <c r="AJ389" i="172" s="1"/>
  <c r="AJ438" i="172" a="1"/>
  <c r="AJ438" i="172" s="1"/>
  <c r="AJ454" i="172" a="1"/>
  <c r="AJ454" i="172" s="1"/>
  <c r="AJ470" i="172" a="1"/>
  <c r="AJ470" i="172" s="1"/>
  <c r="AJ486" i="172" a="1"/>
  <c r="AJ486" i="172" s="1"/>
  <c r="AJ502" i="172" a="1"/>
  <c r="AJ502" i="172" s="1"/>
  <c r="AJ518" i="172" a="1"/>
  <c r="AJ518" i="172" s="1"/>
  <c r="AJ526" i="172" a="1"/>
  <c r="AJ526" i="172" s="1"/>
  <c r="AJ534" i="172" a="1"/>
  <c r="AJ534" i="172" s="1"/>
  <c r="AJ547" i="172" a="1"/>
  <c r="AJ547" i="172" s="1"/>
  <c r="AJ554" i="172" a="1"/>
  <c r="AJ554" i="172" s="1"/>
  <c r="AJ556" i="172" a="1"/>
  <c r="AJ556" i="172" s="1"/>
  <c r="AJ563" i="172" a="1"/>
  <c r="AJ563" i="172" s="1"/>
  <c r="AJ570" i="172" a="1"/>
  <c r="AJ570" i="172" s="1"/>
  <c r="AJ572" i="172" a="1"/>
  <c r="AJ572" i="172" s="1"/>
  <c r="AJ579" i="172" a="1"/>
  <c r="AJ579" i="172" s="1"/>
  <c r="AJ583" i="172" a="1"/>
  <c r="AJ583" i="172" s="1"/>
  <c r="AJ589" i="172" a="1"/>
  <c r="AJ589" i="172" s="1"/>
  <c r="AJ590" i="172" a="1"/>
  <c r="AJ590" i="172" s="1"/>
  <c r="AJ597" i="172" a="1"/>
  <c r="AJ597" i="172" s="1"/>
  <c r="AJ598" i="172" a="1"/>
  <c r="AJ598" i="172" s="1"/>
  <c r="AJ697" i="172" a="1"/>
  <c r="AJ697" i="172" s="1"/>
  <c r="AJ702" i="172" a="1"/>
  <c r="AJ702" i="172" s="1"/>
  <c r="AJ705" i="172" a="1"/>
  <c r="AJ705" i="172" s="1"/>
  <c r="AJ710" i="172" a="1"/>
  <c r="AJ710" i="172" s="1"/>
  <c r="AJ713" i="172" a="1"/>
  <c r="AJ713" i="172" s="1"/>
  <c r="AJ718" i="172" a="1"/>
  <c r="AJ718" i="172" s="1"/>
  <c r="AJ721" i="172" a="1"/>
  <c r="AJ721" i="172" s="1"/>
  <c r="AJ726" i="172" a="1"/>
  <c r="AJ726" i="172" s="1"/>
  <c r="AJ729" i="172" a="1"/>
  <c r="AJ729" i="172" s="1"/>
  <c r="AJ734" i="172" a="1"/>
  <c r="AJ734" i="172" s="1"/>
  <c r="AJ738" i="172" a="1"/>
  <c r="AJ738" i="172" s="1"/>
  <c r="AJ742" i="172" a="1"/>
  <c r="AJ742" i="172" s="1"/>
  <c r="AJ746" i="172" a="1"/>
  <c r="AJ746" i="172" s="1"/>
  <c r="AJ750" i="172" a="1"/>
  <c r="AJ750" i="172" s="1"/>
  <c r="AJ754" i="172" a="1"/>
  <c r="AJ754" i="172" s="1"/>
  <c r="AJ758" i="172" a="1"/>
  <c r="AJ758" i="172" s="1"/>
  <c r="AJ762" i="172" a="1"/>
  <c r="AJ762" i="172" s="1"/>
  <c r="AJ766" i="172" a="1"/>
  <c r="AJ766" i="172" s="1"/>
  <c r="AJ770" i="172" a="1"/>
  <c r="AJ770" i="172" s="1"/>
  <c r="AJ774" i="172" a="1"/>
  <c r="AJ774" i="172" s="1"/>
  <c r="AJ778" i="172" a="1"/>
  <c r="AJ778" i="172" s="1"/>
  <c r="AJ782" i="172" a="1"/>
  <c r="AJ782" i="172" s="1"/>
  <c r="AJ786" i="172" a="1"/>
  <c r="AJ786" i="172" s="1"/>
  <c r="AJ790" i="172" a="1"/>
  <c r="AJ790" i="172" s="1"/>
  <c r="AJ794" i="172" a="1"/>
  <c r="AJ794" i="172" s="1"/>
  <c r="AJ798" i="172" a="1"/>
  <c r="AJ798" i="172" s="1"/>
  <c r="AJ804" i="172" a="1"/>
  <c r="AJ804" i="172" s="1"/>
  <c r="AJ805" i="172" a="1"/>
  <c r="AJ805" i="172" s="1"/>
  <c r="AJ812" i="172" a="1"/>
  <c r="AJ812" i="172" s="1"/>
  <c r="AJ813" i="172" a="1"/>
  <c r="AJ813" i="172" s="1"/>
  <c r="AJ820" i="172" a="1"/>
  <c r="AJ820" i="172" s="1"/>
  <c r="AJ821" i="172" a="1"/>
  <c r="AJ821" i="172" s="1"/>
  <c r="AJ828" i="172" a="1"/>
  <c r="AJ828" i="172" s="1"/>
  <c r="AJ829" i="172" a="1"/>
  <c r="AJ829" i="172" s="1"/>
  <c r="AJ836" i="172" a="1"/>
  <c r="AJ836" i="172" s="1"/>
  <c r="AJ841" i="172" a="1"/>
  <c r="AJ841" i="172" s="1"/>
  <c r="AJ848" i="172" a="1"/>
  <c r="AJ848" i="172" s="1"/>
  <c r="AJ851" i="172" a="1"/>
  <c r="AJ851" i="172" s="1"/>
  <c r="AJ856" i="172" a="1"/>
  <c r="AJ856" i="172" s="1"/>
  <c r="AJ859" i="172" a="1"/>
  <c r="AJ859" i="172" s="1"/>
  <c r="AJ863" i="172" a="1"/>
  <c r="AJ863" i="172" s="1"/>
  <c r="AJ867" i="172" a="1"/>
  <c r="AJ867" i="172" s="1"/>
  <c r="AJ871" i="172" a="1"/>
  <c r="AJ871" i="172" s="1"/>
  <c r="AJ875" i="172" a="1"/>
  <c r="AJ875" i="172" s="1"/>
  <c r="AJ879" i="172" a="1"/>
  <c r="AJ879" i="172" s="1"/>
  <c r="AJ883" i="172" a="1"/>
  <c r="AJ883" i="172" s="1"/>
  <c r="AJ887" i="172" a="1"/>
  <c r="AJ887" i="172" s="1"/>
  <c r="AJ891" i="172" a="1"/>
  <c r="AJ891" i="172" s="1"/>
  <c r="AJ895" i="172" a="1"/>
  <c r="AJ895" i="172" s="1"/>
  <c r="AJ899" i="172" a="1"/>
  <c r="AJ899" i="172" s="1"/>
  <c r="AJ903" i="172" a="1"/>
  <c r="AJ903" i="172" s="1"/>
  <c r="AJ907" i="172" a="1"/>
  <c r="AJ907" i="172" s="1"/>
  <c r="AJ911" i="172" a="1"/>
  <c r="AJ911" i="172" s="1"/>
  <c r="AJ197" i="172" a="1"/>
  <c r="AJ197" i="172" s="1"/>
  <c r="AJ215" i="172" a="1"/>
  <c r="AJ215" i="172" s="1"/>
  <c r="AJ274" i="172" a="1"/>
  <c r="AJ274" i="172" s="1"/>
  <c r="AJ288" i="172" a="1"/>
  <c r="AJ288" i="172" s="1"/>
  <c r="AJ296" i="172" a="1"/>
  <c r="AJ296" i="172" s="1"/>
  <c r="AJ304" i="172" a="1"/>
  <c r="AJ304" i="172" s="1"/>
  <c r="AJ312" i="172" a="1"/>
  <c r="AJ312" i="172" s="1"/>
  <c r="AJ320" i="172" a="1"/>
  <c r="AJ320" i="172" s="1"/>
  <c r="AJ328" i="172" a="1"/>
  <c r="AJ328" i="172" s="1"/>
  <c r="AJ336" i="172" a="1"/>
  <c r="AJ336" i="172" s="1"/>
  <c r="AJ353" i="172" a="1"/>
  <c r="AJ353" i="172" s="1"/>
  <c r="AJ369" i="172" a="1"/>
  <c r="AJ369" i="172" s="1"/>
  <c r="AJ385" i="172" a="1"/>
  <c r="AJ385" i="172" s="1"/>
  <c r="AJ401" i="172" a="1"/>
  <c r="AJ401" i="172" s="1"/>
  <c r="AJ434" i="172" a="1"/>
  <c r="AJ434" i="172" s="1"/>
  <c r="AJ450" i="172" a="1"/>
  <c r="AJ450" i="172" s="1"/>
  <c r="AJ466" i="172" a="1"/>
  <c r="AJ466" i="172" s="1"/>
  <c r="AJ482" i="172" a="1"/>
  <c r="AJ482" i="172" s="1"/>
  <c r="AJ498" i="172" a="1"/>
  <c r="AJ498" i="172" s="1"/>
  <c r="AJ514" i="172" a="1"/>
  <c r="AJ514" i="172" s="1"/>
  <c r="AJ524" i="172" a="1"/>
  <c r="AJ524" i="172" s="1"/>
  <c r="AJ532" i="172" a="1"/>
  <c r="AJ532" i="172" s="1"/>
  <c r="AJ540" i="172" a="1"/>
  <c r="AJ540" i="172" s="1"/>
  <c r="AJ542" i="172" a="1"/>
  <c r="AJ542" i="172" s="1"/>
  <c r="AJ544" i="172" a="1"/>
  <c r="AJ544" i="172" s="1"/>
  <c r="AJ551" i="172" a="1"/>
  <c r="AJ551" i="172" s="1"/>
  <c r="AJ558" i="172" a="1"/>
  <c r="AJ558" i="172" s="1"/>
  <c r="AJ560" i="172" a="1"/>
  <c r="AJ560" i="172" s="1"/>
  <c r="AJ567" i="172" a="1"/>
  <c r="AJ567" i="172" s="1"/>
  <c r="AJ574" i="172" a="1"/>
  <c r="AJ574" i="172" s="1"/>
  <c r="AJ576" i="172" a="1"/>
  <c r="AJ576" i="172" s="1"/>
  <c r="AJ582" i="172" a="1"/>
  <c r="AJ582" i="172" s="1"/>
  <c r="AJ587" i="172" a="1"/>
  <c r="AJ587" i="172" s="1"/>
  <c r="AJ588" i="172" a="1"/>
  <c r="AJ588" i="172" s="1"/>
  <c r="AJ595" i="172" a="1"/>
  <c r="AJ595" i="172" s="1"/>
  <c r="AJ596" i="172" a="1"/>
  <c r="AJ596" i="172" s="1"/>
  <c r="AJ603" i="172" a="1"/>
  <c r="AJ603" i="172" s="1"/>
  <c r="AJ604" i="172" a="1"/>
  <c r="AJ604" i="172" s="1"/>
  <c r="AJ605" i="172" a="1"/>
  <c r="AJ605" i="172" s="1"/>
  <c r="AJ608" i="172" a="1"/>
  <c r="AJ608" i="172" s="1"/>
  <c r="AJ609" i="172" a="1"/>
  <c r="AJ609" i="172" s="1"/>
  <c r="AJ612" i="172" a="1"/>
  <c r="AJ612" i="172" s="1"/>
  <c r="AJ613" i="172" a="1"/>
  <c r="AJ613" i="172" s="1"/>
  <c r="AJ616" i="172" a="1"/>
  <c r="AJ616" i="172" s="1"/>
  <c r="AJ617" i="172" a="1"/>
  <c r="AJ617" i="172" s="1"/>
  <c r="AJ620" i="172" a="1"/>
  <c r="AJ620" i="172" s="1"/>
  <c r="AJ621" i="172" a="1"/>
  <c r="AJ621" i="172" s="1"/>
  <c r="AJ624" i="172" a="1"/>
  <c r="AJ624" i="172" s="1"/>
  <c r="AJ625" i="172" a="1"/>
  <c r="AJ625" i="172" s="1"/>
  <c r="AJ628" i="172" a="1"/>
  <c r="AJ628" i="172" s="1"/>
  <c r="AJ629" i="172" a="1"/>
  <c r="AJ629" i="172" s="1"/>
  <c r="AJ632" i="172" a="1"/>
  <c r="AJ632" i="172" s="1"/>
  <c r="AJ633" i="172" a="1"/>
  <c r="AJ633" i="172" s="1"/>
  <c r="AJ636" i="172" a="1"/>
  <c r="AJ636" i="172" s="1"/>
  <c r="AJ637" i="172" a="1"/>
  <c r="AJ637" i="172" s="1"/>
  <c r="AJ640" i="172" a="1"/>
  <c r="AJ640" i="172" s="1"/>
  <c r="AJ641" i="172" a="1"/>
  <c r="AJ641" i="172" s="1"/>
  <c r="AJ644" i="172" a="1"/>
  <c r="AJ644" i="172" s="1"/>
  <c r="AJ645" i="172" a="1"/>
  <c r="AJ645" i="172" s="1"/>
  <c r="AJ648" i="172" a="1"/>
  <c r="AJ648" i="172" s="1"/>
  <c r="AJ649" i="172" a="1"/>
  <c r="AJ649" i="172" s="1"/>
  <c r="AJ652" i="172" a="1"/>
  <c r="AJ652" i="172" s="1"/>
  <c r="AJ653" i="172" a="1"/>
  <c r="AJ653" i="172" s="1"/>
  <c r="AJ656" i="172" a="1"/>
  <c r="AJ656" i="172" s="1"/>
  <c r="AJ657" i="172" a="1"/>
  <c r="AJ657" i="172" s="1"/>
  <c r="AJ660" i="172" a="1"/>
  <c r="AJ660" i="172" s="1"/>
  <c r="AJ661" i="172" a="1"/>
  <c r="AJ661" i="172" s="1"/>
  <c r="AJ664" i="172" a="1"/>
  <c r="AJ664" i="172" s="1"/>
  <c r="AJ665" i="172" a="1"/>
  <c r="AJ665" i="172" s="1"/>
  <c r="AJ668" i="172" a="1"/>
  <c r="AJ668" i="172" s="1"/>
  <c r="AJ669" i="172" a="1"/>
  <c r="AJ669" i="172" s="1"/>
  <c r="AJ672" i="172" a="1"/>
  <c r="AJ672" i="172" s="1"/>
  <c r="AJ673" i="172" a="1"/>
  <c r="AJ673" i="172" s="1"/>
  <c r="AJ676" i="172" a="1"/>
  <c r="AJ676" i="172" s="1"/>
  <c r="AJ677" i="172" a="1"/>
  <c r="AJ677" i="172" s="1"/>
  <c r="AJ680" i="172" a="1"/>
  <c r="AJ680" i="172" s="1"/>
  <c r="AJ681" i="172" a="1"/>
  <c r="AJ681" i="172" s="1"/>
  <c r="AJ684" i="172" a="1"/>
  <c r="AJ684" i="172" s="1"/>
  <c r="AJ685" i="172" a="1"/>
  <c r="AJ685" i="172" s="1"/>
  <c r="AJ688" i="172" a="1"/>
  <c r="AJ688" i="172" s="1"/>
  <c r="AJ689" i="172" a="1"/>
  <c r="AJ689" i="172" s="1"/>
  <c r="AJ692" i="172" a="1"/>
  <c r="AJ692" i="172" s="1"/>
  <c r="AJ693" i="172" a="1"/>
  <c r="AJ693" i="172" s="1"/>
  <c r="AJ696" i="172" a="1"/>
  <c r="AJ696" i="172" s="1"/>
  <c r="AJ699" i="172" a="1"/>
  <c r="AJ699" i="172" s="1"/>
  <c r="AJ704" i="172" a="1"/>
  <c r="AJ704" i="172" s="1"/>
  <c r="AJ707" i="172" a="1"/>
  <c r="AJ707" i="172" s="1"/>
  <c r="AJ712" i="172" a="1"/>
  <c r="AJ712" i="172" s="1"/>
  <c r="AJ715" i="172" a="1"/>
  <c r="AJ715" i="172" s="1"/>
  <c r="AJ720" i="172" a="1"/>
  <c r="AJ720" i="172" s="1"/>
  <c r="AJ723" i="172" a="1"/>
  <c r="AJ723" i="172" s="1"/>
  <c r="AJ728" i="172" a="1"/>
  <c r="AJ728" i="172" s="1"/>
  <c r="AJ731" i="172" a="1"/>
  <c r="AJ731" i="172" s="1"/>
  <c r="AJ737" i="172" a="1"/>
  <c r="AJ737" i="172" s="1"/>
  <c r="AJ741" i="172" a="1"/>
  <c r="AJ741" i="172" s="1"/>
  <c r="AJ745" i="172" a="1"/>
  <c r="AJ745" i="172" s="1"/>
  <c r="AJ749" i="172" a="1"/>
  <c r="AJ749" i="172" s="1"/>
  <c r="AJ753" i="172" a="1"/>
  <c r="AJ753" i="172" s="1"/>
  <c r="AJ757" i="172" a="1"/>
  <c r="AJ757" i="172" s="1"/>
  <c r="AJ761" i="172" a="1"/>
  <c r="AJ761" i="172" s="1"/>
  <c r="AJ765" i="172" a="1"/>
  <c r="AJ765" i="172" s="1"/>
  <c r="AJ769" i="172" a="1"/>
  <c r="AJ769" i="172" s="1"/>
  <c r="AJ773" i="172" a="1"/>
  <c r="AJ773" i="172" s="1"/>
  <c r="AJ777" i="172" a="1"/>
  <c r="AJ777" i="172" s="1"/>
  <c r="AJ781" i="172" a="1"/>
  <c r="AJ781" i="172" s="1"/>
  <c r="AJ785" i="172" a="1"/>
  <c r="AJ785" i="172" s="1"/>
  <c r="AJ789" i="172" a="1"/>
  <c r="AJ789" i="172" s="1"/>
  <c r="AJ793" i="172" a="1"/>
  <c r="AJ793" i="172" s="1"/>
  <c r="AJ797" i="172" a="1"/>
  <c r="AJ797" i="172" s="1"/>
  <c r="AJ802" i="172" a="1"/>
  <c r="AJ802" i="172" s="1"/>
  <c r="AJ803" i="172" a="1"/>
  <c r="AJ803" i="172" s="1"/>
  <c r="AJ810" i="172" a="1"/>
  <c r="AJ810" i="172" s="1"/>
  <c r="AJ811" i="172" a="1"/>
  <c r="AJ811" i="172" s="1"/>
  <c r="AJ818" i="172" a="1"/>
  <c r="AJ818" i="172" s="1"/>
  <c r="AJ819" i="172" a="1"/>
  <c r="AJ819" i="172" s="1"/>
  <c r="AJ826" i="172" a="1"/>
  <c r="AJ826" i="172" s="1"/>
  <c r="AJ827" i="172" a="1"/>
  <c r="AJ827" i="172" s="1"/>
  <c r="AJ834" i="172" a="1"/>
  <c r="AJ834" i="172" s="1"/>
  <c r="AJ835" i="172" a="1"/>
  <c r="AJ835" i="172" s="1"/>
  <c r="AJ840" i="172" a="1"/>
  <c r="AJ840" i="172" s="1"/>
  <c r="AJ845" i="172" a="1"/>
  <c r="AJ845" i="172" s="1"/>
  <c r="AJ846" i="172" a="1"/>
  <c r="AJ846" i="172" s="1"/>
  <c r="AJ849" i="172" a="1"/>
  <c r="AJ849" i="172" s="1"/>
  <c r="AJ854" i="172" a="1"/>
  <c r="AJ854" i="172" s="1"/>
  <c r="AJ857" i="172" a="1"/>
  <c r="AJ857" i="172" s="1"/>
  <c r="AJ862" i="172" a="1"/>
  <c r="AJ862" i="172" s="1"/>
  <c r="AJ866" i="172" a="1"/>
  <c r="AJ866" i="172" s="1"/>
  <c r="AJ870" i="172" a="1"/>
  <c r="AJ870" i="172" s="1"/>
  <c r="AJ874" i="172" a="1"/>
  <c r="AJ874" i="172" s="1"/>
  <c r="AJ878" i="172" a="1"/>
  <c r="AJ878" i="172" s="1"/>
  <c r="AJ882" i="172" a="1"/>
  <c r="AJ882" i="172" s="1"/>
  <c r="AJ886" i="172" a="1"/>
  <c r="AJ886" i="172" s="1"/>
  <c r="AJ890" i="172" a="1"/>
  <c r="AJ890" i="172" s="1"/>
  <c r="AJ894" i="172" a="1"/>
  <c r="AJ894" i="172" s="1"/>
  <c r="AJ898" i="172" a="1"/>
  <c r="AJ898" i="172" s="1"/>
  <c r="AJ902" i="172" a="1"/>
  <c r="AJ902" i="172" s="1"/>
  <c r="AJ906" i="172" a="1"/>
  <c r="AJ906" i="172" s="1"/>
  <c r="AJ910" i="172" a="1"/>
  <c r="AJ910" i="172" s="1"/>
  <c r="AJ914" i="172" a="1"/>
  <c r="AJ914" i="172" s="1"/>
  <c r="AJ918" i="172" a="1"/>
  <c r="AJ918" i="172" s="1"/>
  <c r="AJ922" i="172" a="1"/>
  <c r="AJ922" i="172" s="1"/>
  <c r="AJ926" i="172" a="1"/>
  <c r="AJ926" i="172" s="1"/>
  <c r="AJ198" i="172" a="1"/>
  <c r="AJ198" i="172" s="1"/>
  <c r="AJ207" i="172" a="1"/>
  <c r="AJ207" i="172" s="1"/>
  <c r="AJ216" i="172" a="1"/>
  <c r="AJ216" i="172" s="1"/>
  <c r="AJ222" i="172" a="1"/>
  <c r="AJ222" i="172" s="1"/>
  <c r="AJ269" i="172" a="1"/>
  <c r="AJ269" i="172" s="1"/>
  <c r="AJ290" i="172" a="1"/>
  <c r="AJ290" i="172" s="1"/>
  <c r="AJ298" i="172" a="1"/>
  <c r="AJ298" i="172" s="1"/>
  <c r="AJ306" i="172" a="1"/>
  <c r="AJ306" i="172" s="1"/>
  <c r="AJ314" i="172" a="1"/>
  <c r="AJ314" i="172" s="1"/>
  <c r="AJ322" i="172" a="1"/>
  <c r="AJ322" i="172" s="1"/>
  <c r="AJ330" i="172" a="1"/>
  <c r="AJ330" i="172" s="1"/>
  <c r="AJ349" i="172" a="1"/>
  <c r="AJ349" i="172" s="1"/>
  <c r="AJ365" i="172" a="1"/>
  <c r="AJ365" i="172" s="1"/>
  <c r="AJ381" i="172" a="1"/>
  <c r="AJ381" i="172" s="1"/>
  <c r="AJ397" i="172" a="1"/>
  <c r="AJ397" i="172" s="1"/>
  <c r="AJ446" i="172" a="1"/>
  <c r="AJ446" i="172" s="1"/>
  <c r="AJ462" i="172" a="1"/>
  <c r="AJ462" i="172" s="1"/>
  <c r="AJ478" i="172" a="1"/>
  <c r="AJ478" i="172" s="1"/>
  <c r="AJ494" i="172" a="1"/>
  <c r="AJ494" i="172" s="1"/>
  <c r="AJ510" i="172" a="1"/>
  <c r="AJ510" i="172" s="1"/>
  <c r="AJ522" i="172" a="1"/>
  <c r="AJ522" i="172" s="1"/>
  <c r="AJ530" i="172" a="1"/>
  <c r="AJ530" i="172" s="1"/>
  <c r="AJ538" i="172" a="1"/>
  <c r="AJ538" i="172" s="1"/>
  <c r="AJ546" i="172" a="1"/>
  <c r="AJ546" i="172" s="1"/>
  <c r="AJ548" i="172" a="1"/>
  <c r="AJ548" i="172" s="1"/>
  <c r="AJ555" i="172" a="1"/>
  <c r="AJ555" i="172" s="1"/>
  <c r="AJ562" i="172" a="1"/>
  <c r="AJ562" i="172" s="1"/>
  <c r="AJ564" i="172" a="1"/>
  <c r="AJ564" i="172" s="1"/>
  <c r="AJ571" i="172" a="1"/>
  <c r="AJ571" i="172" s="1"/>
  <c r="AJ578" i="172" a="1"/>
  <c r="AJ578" i="172" s="1"/>
  <c r="AJ581" i="172" a="1"/>
  <c r="AJ581" i="172" s="1"/>
  <c r="AJ585" i="172" a="1"/>
  <c r="AJ585" i="172" s="1"/>
  <c r="AJ586" i="172" a="1"/>
  <c r="AJ586" i="172" s="1"/>
  <c r="AJ593" i="172" a="1"/>
  <c r="AJ593" i="172" s="1"/>
  <c r="AJ594" i="172" a="1"/>
  <c r="AJ594" i="172" s="1"/>
  <c r="AJ601" i="172" a="1"/>
  <c r="AJ601" i="172" s="1"/>
  <c r="AJ602" i="172" a="1"/>
  <c r="AJ602" i="172" s="1"/>
  <c r="AJ698" i="172" a="1"/>
  <c r="AJ698" i="172" s="1"/>
  <c r="AJ701" i="172" a="1"/>
  <c r="AJ701" i="172" s="1"/>
  <c r="AJ706" i="172" a="1"/>
  <c r="AJ706" i="172" s="1"/>
  <c r="AJ709" i="172" a="1"/>
  <c r="AJ709" i="172" s="1"/>
  <c r="AJ714" i="172" a="1"/>
  <c r="AJ714" i="172" s="1"/>
  <c r="AJ717" i="172" a="1"/>
  <c r="AJ717" i="172" s="1"/>
  <c r="AJ722" i="172" a="1"/>
  <c r="AJ722" i="172" s="1"/>
  <c r="AJ725" i="172" a="1"/>
  <c r="AJ725" i="172" s="1"/>
  <c r="AJ730" i="172" a="1"/>
  <c r="AJ730" i="172" s="1"/>
  <c r="AJ733" i="172" a="1"/>
  <c r="AJ733" i="172" s="1"/>
  <c r="AJ736" i="172" a="1"/>
  <c r="AJ736" i="172" s="1"/>
  <c r="AJ740" i="172" a="1"/>
  <c r="AJ740" i="172" s="1"/>
  <c r="AJ744" i="172" a="1"/>
  <c r="AJ744" i="172" s="1"/>
  <c r="AJ748" i="172" a="1"/>
  <c r="AJ748" i="172" s="1"/>
  <c r="AJ752" i="172" a="1"/>
  <c r="AJ752" i="172" s="1"/>
  <c r="AJ756" i="172" a="1"/>
  <c r="AJ756" i="172" s="1"/>
  <c r="AJ760" i="172" a="1"/>
  <c r="AJ760" i="172" s="1"/>
  <c r="AJ764" i="172" a="1"/>
  <c r="AJ764" i="172" s="1"/>
  <c r="AJ768" i="172" a="1"/>
  <c r="AJ768" i="172" s="1"/>
  <c r="AJ772" i="172" a="1"/>
  <c r="AJ772" i="172" s="1"/>
  <c r="AJ776" i="172" a="1"/>
  <c r="AJ776" i="172" s="1"/>
  <c r="AJ780" i="172" a="1"/>
  <c r="AJ780" i="172" s="1"/>
  <c r="AJ784" i="172" a="1"/>
  <c r="AJ784" i="172" s="1"/>
  <c r="AJ788" i="172" a="1"/>
  <c r="AJ788" i="172" s="1"/>
  <c r="AJ792" i="172" a="1"/>
  <c r="AJ792" i="172" s="1"/>
  <c r="AJ796" i="172" a="1"/>
  <c r="AJ796" i="172" s="1"/>
  <c r="AJ800" i="172" a="1"/>
  <c r="AJ800" i="172" s="1"/>
  <c r="AJ801" i="172" a="1"/>
  <c r="AJ801" i="172" s="1"/>
  <c r="AJ808" i="172" a="1"/>
  <c r="AJ808" i="172" s="1"/>
  <c r="AJ809" i="172" a="1"/>
  <c r="AJ809" i="172" s="1"/>
  <c r="AJ816" i="172" a="1"/>
  <c r="AJ816" i="172" s="1"/>
  <c r="AJ817" i="172" a="1"/>
  <c r="AJ817" i="172" s="1"/>
  <c r="AJ824" i="172" a="1"/>
  <c r="AJ824" i="172" s="1"/>
  <c r="AJ825" i="172" a="1"/>
  <c r="AJ825" i="172" s="1"/>
  <c r="AJ832" i="172" a="1"/>
  <c r="AJ832" i="172" s="1"/>
  <c r="AJ833" i="172" a="1"/>
  <c r="AJ833" i="172" s="1"/>
  <c r="AJ839" i="172" a="1"/>
  <c r="AJ839" i="172" s="1"/>
  <c r="AJ843" i="172" a="1"/>
  <c r="AJ843" i="172" s="1"/>
  <c r="AJ844" i="172" a="1"/>
  <c r="AJ844" i="172" s="1"/>
  <c r="AJ847" i="172" a="1"/>
  <c r="AJ847" i="172" s="1"/>
  <c r="AJ852" i="172" a="1"/>
  <c r="AJ852" i="172" s="1"/>
  <c r="AJ855" i="172" a="1"/>
  <c r="AJ855" i="172" s="1"/>
  <c r="AJ861" i="172" a="1"/>
  <c r="AJ861" i="172" s="1"/>
  <c r="AJ865" i="172" a="1"/>
  <c r="AJ865" i="172" s="1"/>
  <c r="AJ869" i="172" a="1"/>
  <c r="AJ869" i="172" s="1"/>
  <c r="AJ873" i="172" a="1"/>
  <c r="AJ873" i="172" s="1"/>
  <c r="AJ877" i="172" a="1"/>
  <c r="AJ877" i="172" s="1"/>
  <c r="AJ881" i="172" a="1"/>
  <c r="AJ881" i="172" s="1"/>
  <c r="AJ885" i="172" a="1"/>
  <c r="AJ885" i="172" s="1"/>
  <c r="AJ889" i="172" a="1"/>
  <c r="AJ889" i="172" s="1"/>
  <c r="AJ893" i="172" a="1"/>
  <c r="AJ893" i="172" s="1"/>
  <c r="AJ897" i="172" a="1"/>
  <c r="AJ897" i="172" s="1"/>
  <c r="AJ915" i="172" a="1"/>
  <c r="AJ915" i="172" s="1"/>
  <c r="AJ923" i="172" a="1"/>
  <c r="AJ923" i="172" s="1"/>
  <c r="AJ933" i="172" a="1"/>
  <c r="AJ933" i="172" s="1"/>
  <c r="AJ937" i="172" a="1"/>
  <c r="AJ937" i="172" s="1"/>
  <c r="AJ941" i="172" a="1"/>
  <c r="AJ941" i="172" s="1"/>
  <c r="AJ945" i="172" a="1"/>
  <c r="AJ945" i="172" s="1"/>
  <c r="AJ948" i="172" a="1"/>
  <c r="AJ948" i="172" s="1"/>
  <c r="AJ950" i="172" a="1"/>
  <c r="AJ950" i="172" s="1"/>
  <c r="AJ952" i="172" a="1"/>
  <c r="AJ952" i="172" s="1"/>
  <c r="AJ954" i="172" a="1"/>
  <c r="AJ954" i="172" s="1"/>
  <c r="AJ956" i="172" a="1"/>
  <c r="AJ956" i="172" s="1"/>
  <c r="AJ958" i="172" a="1"/>
  <c r="AJ958" i="172" s="1"/>
  <c r="AJ960" i="172" a="1"/>
  <c r="AJ960" i="172" s="1"/>
  <c r="AJ962" i="172" a="1"/>
  <c r="AJ962" i="172" s="1"/>
  <c r="AJ964" i="172" a="1"/>
  <c r="AJ964" i="172" s="1"/>
  <c r="AJ966" i="172" a="1"/>
  <c r="AJ966" i="172" s="1"/>
  <c r="AJ968" i="172" a="1"/>
  <c r="AJ968" i="172" s="1"/>
  <c r="AJ970" i="172" a="1"/>
  <c r="AJ970" i="172" s="1"/>
  <c r="AJ972" i="172" a="1"/>
  <c r="AJ972" i="172" s="1"/>
  <c r="AJ974" i="172" a="1"/>
  <c r="AJ974" i="172" s="1"/>
  <c r="AJ976" i="172" a="1"/>
  <c r="AJ976" i="172" s="1"/>
  <c r="AJ978" i="172" a="1"/>
  <c r="AJ978" i="172" s="1"/>
  <c r="AJ980" i="172" a="1"/>
  <c r="AJ980" i="172" s="1"/>
  <c r="AJ982" i="172" a="1"/>
  <c r="AJ982" i="172" s="1"/>
  <c r="AJ984" i="172" a="1"/>
  <c r="AJ984" i="172" s="1"/>
  <c r="AJ986" i="172" a="1"/>
  <c r="AJ986" i="172" s="1"/>
  <c r="AJ988" i="172" a="1"/>
  <c r="AJ988" i="172" s="1"/>
  <c r="AJ990" i="172" a="1"/>
  <c r="AJ990" i="172" s="1"/>
  <c r="AJ992" i="172" a="1"/>
  <c r="AJ992" i="172" s="1"/>
  <c r="AJ994" i="172" a="1"/>
  <c r="AJ994" i="172" s="1"/>
  <c r="AJ996" i="172" a="1"/>
  <c r="AJ996" i="172" s="1"/>
  <c r="AJ998" i="172" a="1"/>
  <c r="AJ998" i="172" s="1"/>
  <c r="AJ909" i="172" a="1"/>
  <c r="AJ909" i="172" s="1"/>
  <c r="AJ913" i="172" a="1"/>
  <c r="AJ913" i="172" s="1"/>
  <c r="AJ921" i="172" a="1"/>
  <c r="AJ921" i="172" s="1"/>
  <c r="AJ930" i="172" a="1"/>
  <c r="AJ930" i="172" s="1"/>
  <c r="AJ936" i="172" a="1"/>
  <c r="AJ936" i="172" s="1"/>
  <c r="AJ940" i="172" a="1"/>
  <c r="AJ940" i="172" s="1"/>
  <c r="AJ944" i="172" a="1"/>
  <c r="AJ944" i="172" s="1"/>
  <c r="AJ905" i="172" a="1"/>
  <c r="AJ905" i="172" s="1"/>
  <c r="AJ919" i="172" a="1"/>
  <c r="AJ919" i="172" s="1"/>
  <c r="AJ927" i="172" a="1"/>
  <c r="AJ927" i="172" s="1"/>
  <c r="AJ935" i="172" a="1"/>
  <c r="AJ935" i="172" s="1"/>
  <c r="AJ939" i="172" a="1"/>
  <c r="AJ939" i="172" s="1"/>
  <c r="AJ943" i="172" a="1"/>
  <c r="AJ943" i="172" s="1"/>
  <c r="AJ947" i="172" a="1"/>
  <c r="AJ947" i="172" s="1"/>
  <c r="AJ949" i="172" a="1"/>
  <c r="AJ949" i="172" s="1"/>
  <c r="AJ951" i="172" a="1"/>
  <c r="AJ951" i="172" s="1"/>
  <c r="AJ953" i="172" a="1"/>
  <c r="AJ953" i="172" s="1"/>
  <c r="AJ955" i="172" a="1"/>
  <c r="AJ955" i="172" s="1"/>
  <c r="AJ957" i="172" a="1"/>
  <c r="AJ957" i="172" s="1"/>
  <c r="AJ959" i="172" a="1"/>
  <c r="AJ959" i="172" s="1"/>
  <c r="AJ961" i="172" a="1"/>
  <c r="AJ961" i="172" s="1"/>
  <c r="AJ963" i="172" a="1"/>
  <c r="AJ963" i="172" s="1"/>
  <c r="AJ965" i="172" a="1"/>
  <c r="AJ965" i="172" s="1"/>
  <c r="AJ967" i="172" a="1"/>
  <c r="AJ967" i="172" s="1"/>
  <c r="AJ969" i="172" a="1"/>
  <c r="AJ969" i="172" s="1"/>
  <c r="AJ901" i="172" a="1"/>
  <c r="AJ901" i="172" s="1"/>
  <c r="AJ917" i="172" a="1"/>
  <c r="AJ917" i="172" s="1"/>
  <c r="AJ925" i="172" a="1"/>
  <c r="AJ925" i="172" s="1"/>
  <c r="AJ929" i="172" a="1"/>
  <c r="AJ929" i="172" s="1"/>
  <c r="AJ931" i="172" a="1"/>
  <c r="AJ931" i="172" s="1"/>
  <c r="AJ934" i="172" a="1"/>
  <c r="AJ934" i="172" s="1"/>
  <c r="AJ938" i="172" a="1"/>
  <c r="AJ938" i="172" s="1"/>
  <c r="AJ942" i="172" a="1"/>
  <c r="AJ942" i="172" s="1"/>
  <c r="AJ946" i="172" a="1"/>
  <c r="AJ946" i="172" s="1"/>
  <c r="AJ971" i="172" a="1"/>
  <c r="AJ971" i="172" s="1"/>
  <c r="AJ979" i="172" a="1"/>
  <c r="AJ979" i="172" s="1"/>
  <c r="AJ987" i="172" a="1"/>
  <c r="AJ987" i="172" s="1"/>
  <c r="AJ995" i="172" a="1"/>
  <c r="AJ995" i="172" s="1"/>
  <c r="AJ973" i="172" a="1"/>
  <c r="AJ973" i="172" s="1"/>
  <c r="AJ981" i="172" a="1"/>
  <c r="AJ981" i="172" s="1"/>
  <c r="AJ989" i="172" a="1"/>
  <c r="AJ989" i="172" s="1"/>
  <c r="AJ997" i="172" a="1"/>
  <c r="AJ997" i="172" s="1"/>
  <c r="AJ975" i="172" a="1"/>
  <c r="AJ975" i="172" s="1"/>
  <c r="AJ983" i="172" a="1"/>
  <c r="AJ983" i="172" s="1"/>
  <c r="AJ991" i="172" a="1"/>
  <c r="AJ991" i="172" s="1"/>
  <c r="AJ999" i="172" a="1"/>
  <c r="AJ999" i="172" s="1"/>
  <c r="AJ977" i="172" a="1"/>
  <c r="AJ977" i="172" s="1"/>
  <c r="AJ985" i="172" a="1"/>
  <c r="AJ985" i="172" s="1"/>
  <c r="AJ993" i="172" a="1"/>
  <c r="AJ993" i="172" s="1"/>
  <c r="Q57" i="171"/>
  <c r="Q64" i="171"/>
  <c r="Q80" i="171"/>
  <c r="Q96" i="171"/>
  <c r="Q63" i="171"/>
  <c r="Q85" i="171"/>
  <c r="Q68" i="171"/>
  <c r="Q84" i="171"/>
  <c r="Q100" i="171"/>
  <c r="Q69" i="171"/>
  <c r="Q90" i="171"/>
  <c r="Q72" i="171"/>
  <c r="Q88" i="171"/>
  <c r="Q104" i="171"/>
  <c r="Q74" i="171"/>
  <c r="Q95" i="171"/>
  <c r="Q60" i="171"/>
  <c r="Q79" i="171"/>
  <c r="Q83" i="171"/>
  <c r="Q73" i="171"/>
  <c r="Q102" i="171"/>
  <c r="Q82" i="171"/>
  <c r="Q71" i="171"/>
  <c r="Q103" i="171"/>
  <c r="Q78" i="171"/>
  <c r="Q89" i="171"/>
  <c r="Q76" i="171"/>
  <c r="Q101" i="171"/>
  <c r="Q62" i="171"/>
  <c r="Q91" i="171"/>
  <c r="Q81" i="171"/>
  <c r="Q97" i="171"/>
  <c r="Q86" i="171"/>
  <c r="Q61" i="171"/>
  <c r="Q93" i="171"/>
  <c r="Q77" i="171"/>
  <c r="Q105" i="171"/>
  <c r="Q66" i="171"/>
  <c r="Q94" i="171"/>
  <c r="Q67" i="171"/>
  <c r="Q65" i="171"/>
  <c r="Q92" i="171"/>
  <c r="Q106" i="171"/>
  <c r="Q70" i="171"/>
  <c r="Q98" i="171"/>
  <c r="Q59" i="171"/>
  <c r="Q87" i="171"/>
  <c r="Q99" i="171"/>
  <c r="Q75" i="171"/>
  <c r="Q107" i="171"/>
  <c r="Q58" i="171"/>
  <c r="W17" i="172" a="1"/>
  <c r="W17" i="172" s="1"/>
  <c r="W23" i="172" a="1"/>
  <c r="W23" i="172" s="1"/>
  <c r="W26" i="172" a="1"/>
  <c r="W26" i="172" s="1"/>
  <c r="W32" i="172" a="1"/>
  <c r="W32" i="172" s="1"/>
  <c r="W35" i="172" a="1"/>
  <c r="W35" i="172" s="1"/>
  <c r="W40" i="172" a="1"/>
  <c r="W40" i="172" s="1"/>
  <c r="W43" i="172" a="1"/>
  <c r="W43" i="172" s="1"/>
  <c r="W52" i="172" a="1"/>
  <c r="W52" i="172" s="1"/>
  <c r="W55" i="172" a="1"/>
  <c r="W55" i="172" s="1"/>
  <c r="W58" i="172" a="1"/>
  <c r="W58" i="172" s="1"/>
  <c r="W66" i="172" a="1"/>
  <c r="W66" i="172" s="1"/>
  <c r="W68" i="172" a="1"/>
  <c r="W68" i="172" s="1"/>
  <c r="W75" i="172" a="1"/>
  <c r="W75" i="172" s="1"/>
  <c r="W76" i="172" a="1"/>
  <c r="W76" i="172" s="1"/>
  <c r="W79" i="172" a="1"/>
  <c r="W79" i="172" s="1"/>
  <c r="W86" i="172" a="1"/>
  <c r="W86" i="172" s="1"/>
  <c r="W89" i="172" a="1"/>
  <c r="W89" i="172" s="1"/>
  <c r="W90" i="172" a="1"/>
  <c r="W90" i="172" s="1"/>
  <c r="W96" i="172" a="1"/>
  <c r="W96" i="172" s="1"/>
  <c r="W101" i="172" a="1"/>
  <c r="W101" i="172" s="1"/>
  <c r="W103" i="172" a="1"/>
  <c r="W103" i="172" s="1"/>
  <c r="W109" i="172" a="1"/>
  <c r="W109" i="172" s="1"/>
  <c r="W110" i="172" a="1"/>
  <c r="W110" i="172" s="1"/>
  <c r="W113" i="172" a="1"/>
  <c r="W113" i="172" s="1"/>
  <c r="W117" i="172" a="1"/>
  <c r="W117" i="172" s="1"/>
  <c r="W118" i="172" a="1"/>
  <c r="W118" i="172" s="1"/>
  <c r="W121" i="172" a="1"/>
  <c r="W121" i="172" s="1"/>
  <c r="W125" i="172" a="1"/>
  <c r="W125" i="172" s="1"/>
  <c r="W126" i="172" a="1"/>
  <c r="W126" i="172" s="1"/>
  <c r="W129" i="172" a="1"/>
  <c r="W129" i="172" s="1"/>
  <c r="W133" i="172" a="1"/>
  <c r="W133" i="172" s="1"/>
  <c r="W134" i="172" a="1"/>
  <c r="W134" i="172" s="1"/>
  <c r="W137" i="172" a="1"/>
  <c r="W137" i="172" s="1"/>
  <c r="W141" i="172" a="1"/>
  <c r="W141" i="172" s="1"/>
  <c r="W142" i="172" a="1"/>
  <c r="W142" i="172" s="1"/>
  <c r="W162" i="172" a="1"/>
  <c r="W162" i="172" s="1"/>
  <c r="W167" i="172" a="1"/>
  <c r="W167" i="172" s="1"/>
  <c r="W169" i="172" a="1"/>
  <c r="W169" i="172" s="1"/>
  <c r="W174" i="172" a="1"/>
  <c r="W174" i="172" s="1"/>
  <c r="W178" i="172" a="1"/>
  <c r="W178" i="172" s="1"/>
  <c r="W185" i="172" a="1"/>
  <c r="W185" i="172" s="1"/>
  <c r="W187" i="172" a="1"/>
  <c r="W187" i="172" s="1"/>
  <c r="W188" i="172" a="1"/>
  <c r="W188" i="172" s="1"/>
  <c r="W193" i="172" a="1"/>
  <c r="W193" i="172" s="1"/>
  <c r="W196" i="172" a="1"/>
  <c r="W196" i="172" s="1"/>
  <c r="W199" i="172" a="1"/>
  <c r="W199" i="172" s="1"/>
  <c r="W202" i="172" a="1"/>
  <c r="W202" i="172" s="1"/>
  <c r="W203" i="172" a="1"/>
  <c r="W203" i="172" s="1"/>
  <c r="W209" i="172" a="1"/>
  <c r="W209" i="172" s="1"/>
  <c r="W210" i="172" a="1"/>
  <c r="W210" i="172" s="1"/>
  <c r="W211" i="172" a="1"/>
  <c r="W211" i="172" s="1"/>
  <c r="W214" i="172" a="1"/>
  <c r="W214" i="172" s="1"/>
  <c r="W217" i="172" a="1"/>
  <c r="W217" i="172" s="1"/>
  <c r="W218" i="172" a="1"/>
  <c r="W218" i="172" s="1"/>
  <c r="W219" i="172" a="1"/>
  <c r="W219" i="172" s="1"/>
  <c r="W222" i="172" a="1"/>
  <c r="W222" i="172" s="1"/>
  <c r="W225" i="172" a="1"/>
  <c r="W225" i="172" s="1"/>
  <c r="W226" i="172" a="1"/>
  <c r="W226" i="172" s="1"/>
  <c r="W227" i="172" a="1"/>
  <c r="W227" i="172" s="1"/>
  <c r="W230" i="172" a="1"/>
  <c r="W230" i="172" s="1"/>
  <c r="W233" i="172" a="1"/>
  <c r="W233" i="172" s="1"/>
  <c r="W234" i="172" a="1"/>
  <c r="W234" i="172" s="1"/>
  <c r="W235" i="172" a="1"/>
  <c r="W235" i="172" s="1"/>
  <c r="W238" i="172" a="1"/>
  <c r="W238" i="172" s="1"/>
  <c r="W241" i="172" a="1"/>
  <c r="W241" i="172" s="1"/>
  <c r="W242" i="172" a="1"/>
  <c r="W242" i="172" s="1"/>
  <c r="W243" i="172" a="1"/>
  <c r="W243" i="172" s="1"/>
  <c r="W247" i="172" a="1"/>
  <c r="W247" i="172" s="1"/>
  <c r="W248" i="172" a="1"/>
  <c r="W248" i="172" s="1"/>
  <c r="W249" i="172" a="1"/>
  <c r="W249" i="172" s="1"/>
  <c r="W16" i="172" a="1"/>
  <c r="W16" i="172" s="1"/>
  <c r="W19" i="172" a="1"/>
  <c r="W19" i="172" s="1"/>
  <c r="W29" i="172" a="1"/>
  <c r="W29" i="172" s="1"/>
  <c r="W30" i="172" a="1"/>
  <c r="W30" i="172" s="1"/>
  <c r="W31" i="172" a="1"/>
  <c r="W31" i="172" s="1"/>
  <c r="W34" i="172" a="1"/>
  <c r="W34" i="172" s="1"/>
  <c r="W39" i="172" a="1"/>
  <c r="W39" i="172" s="1"/>
  <c r="W42" i="172" a="1"/>
  <c r="W42" i="172" s="1"/>
  <c r="W45" i="172" a="1"/>
  <c r="W45" i="172" s="1"/>
  <c r="W46" i="172" a="1"/>
  <c r="W46" i="172" s="1"/>
  <c r="W49" i="172" a="1"/>
  <c r="W49" i="172" s="1"/>
  <c r="W63" i="172" a="1"/>
  <c r="W63" i="172" s="1"/>
  <c r="W71" i="172" a="1"/>
  <c r="W71" i="172" s="1"/>
  <c r="W78" i="172" a="1"/>
  <c r="W78" i="172" s="1"/>
  <c r="W81" i="172" a="1"/>
  <c r="W81" i="172" s="1"/>
  <c r="W82" i="172" a="1"/>
  <c r="W82" i="172" s="1"/>
  <c r="W88" i="172" a="1"/>
  <c r="W88" i="172" s="1"/>
  <c r="W93" i="172" a="1"/>
  <c r="W93" i="172" s="1"/>
  <c r="W99" i="172" a="1"/>
  <c r="W99" i="172" s="1"/>
  <c r="W100" i="172" a="1"/>
  <c r="W100" i="172" s="1"/>
  <c r="W107" i="172" a="1"/>
  <c r="W107" i="172" s="1"/>
  <c r="W108" i="172" a="1"/>
  <c r="W108" i="172" s="1"/>
  <c r="W112" i="172" a="1"/>
  <c r="W112" i="172" s="1"/>
  <c r="W115" i="172" a="1"/>
  <c r="W115" i="172" s="1"/>
  <c r="W116" i="172" a="1"/>
  <c r="W116" i="172" s="1"/>
  <c r="W120" i="172" a="1"/>
  <c r="W120" i="172" s="1"/>
  <c r="W123" i="172" a="1"/>
  <c r="W123" i="172" s="1"/>
  <c r="W124" i="172" a="1"/>
  <c r="W124" i="172" s="1"/>
  <c r="W128" i="172" a="1"/>
  <c r="W128" i="172" s="1"/>
  <c r="W131" i="172" a="1"/>
  <c r="W131" i="172" s="1"/>
  <c r="W132" i="172" a="1"/>
  <c r="W132" i="172" s="1"/>
  <c r="W136" i="172" a="1"/>
  <c r="W136" i="172" s="1"/>
  <c r="W139" i="172" a="1"/>
  <c r="W139" i="172" s="1"/>
  <c r="W140" i="172" a="1"/>
  <c r="W140" i="172" s="1"/>
  <c r="W144" i="172" a="1"/>
  <c r="W144" i="172" s="1"/>
  <c r="W145" i="172" a="1"/>
  <c r="W145" i="172" s="1"/>
  <c r="W147" i="172" a="1"/>
  <c r="W147" i="172" s="1"/>
  <c r="W148" i="172" a="1"/>
  <c r="W148" i="172" s="1"/>
  <c r="W151" i="172" a="1"/>
  <c r="W151" i="172" s="1"/>
  <c r="W153" i="172" a="1"/>
  <c r="W153" i="172" s="1"/>
  <c r="W159" i="172" a="1"/>
  <c r="W159" i="172" s="1"/>
  <c r="W166" i="172" a="1"/>
  <c r="W166" i="172" s="1"/>
  <c r="W173" i="172" a="1"/>
  <c r="W173" i="172" s="1"/>
  <c r="W176" i="172" a="1"/>
  <c r="W176" i="172" s="1"/>
  <c r="W177" i="172" a="1"/>
  <c r="W177" i="172" s="1"/>
  <c r="W184" i="172" a="1"/>
  <c r="W184" i="172" s="1"/>
  <c r="W195" i="172" a="1"/>
  <c r="W195" i="172" s="1"/>
  <c r="W198" i="172" a="1"/>
  <c r="W198" i="172" s="1"/>
  <c r="W201" i="172" a="1"/>
  <c r="W201" i="172" s="1"/>
  <c r="W205" i="172" a="1"/>
  <c r="W205" i="172" s="1"/>
  <c r="W208" i="172" a="1"/>
  <c r="W208" i="172" s="1"/>
  <c r="W216" i="172" a="1"/>
  <c r="W216" i="172" s="1"/>
  <c r="W224" i="172" a="1"/>
  <c r="W224" i="172" s="1"/>
  <c r="W232" i="172" a="1"/>
  <c r="W232" i="172" s="1"/>
  <c r="W240" i="172" a="1"/>
  <c r="W240" i="172" s="1"/>
  <c r="W15" i="172" a="1"/>
  <c r="W15" i="172" s="1"/>
  <c r="W18" i="172" a="1"/>
  <c r="W18" i="172" s="1"/>
  <c r="W21" i="172" a="1"/>
  <c r="W21" i="172" s="1"/>
  <c r="W22" i="172" a="1"/>
  <c r="W22" i="172" s="1"/>
  <c r="W25" i="172" a="1"/>
  <c r="W25" i="172" s="1"/>
  <c r="W28" i="172" a="1"/>
  <c r="W28" i="172" s="1"/>
  <c r="W37" i="172" a="1"/>
  <c r="W37" i="172" s="1"/>
  <c r="W38" i="172" a="1"/>
  <c r="W38" i="172" s="1"/>
  <c r="W44" i="172" a="1"/>
  <c r="W44" i="172" s="1"/>
  <c r="W48" i="172" a="1"/>
  <c r="W48" i="172" s="1"/>
  <c r="W51" i="172" a="1"/>
  <c r="W51" i="172" s="1"/>
  <c r="W53" i="172" a="1"/>
  <c r="W53" i="172" s="1"/>
  <c r="W54" i="172" a="1"/>
  <c r="W54" i="172" s="1"/>
  <c r="W57" i="172" a="1"/>
  <c r="W57" i="172" s="1"/>
  <c r="W60" i="172" a="1"/>
  <c r="W60" i="172" s="1"/>
  <c r="W61" i="172" a="1"/>
  <c r="W61" i="172" s="1"/>
  <c r="W62" i="172" a="1"/>
  <c r="W62" i="172" s="1"/>
  <c r="W65" i="172" a="1"/>
  <c r="W65" i="172" s="1"/>
  <c r="W67" i="172" a="1"/>
  <c r="W67" i="172" s="1"/>
  <c r="W69" i="172" a="1"/>
  <c r="W69" i="172" s="1"/>
  <c r="W70" i="172" a="1"/>
  <c r="W70" i="172" s="1"/>
  <c r="W73" i="172" a="1"/>
  <c r="W73" i="172" s="1"/>
  <c r="W74" i="172" a="1"/>
  <c r="W74" i="172" s="1"/>
  <c r="W80" i="172" a="1"/>
  <c r="W80" i="172" s="1"/>
  <c r="W85" i="172" a="1"/>
  <c r="W85" i="172" s="1"/>
  <c r="W91" i="172" a="1"/>
  <c r="W91" i="172" s="1"/>
  <c r="W92" i="172" a="1"/>
  <c r="W92" i="172" s="1"/>
  <c r="W95" i="172" a="1"/>
  <c r="W95" i="172" s="1"/>
  <c r="W102" i="172" a="1"/>
  <c r="W102" i="172" s="1"/>
  <c r="W106" i="172" a="1"/>
  <c r="W106" i="172" s="1"/>
  <c r="W114" i="172" a="1"/>
  <c r="W114" i="172" s="1"/>
  <c r="W122" i="172" a="1"/>
  <c r="W122" i="172" s="1"/>
  <c r="W130" i="172" a="1"/>
  <c r="W130" i="172" s="1"/>
  <c r="W138" i="172" a="1"/>
  <c r="W138" i="172" s="1"/>
  <c r="W150" i="172" a="1"/>
  <c r="W150" i="172" s="1"/>
  <c r="W157" i="172" a="1"/>
  <c r="W157" i="172" s="1"/>
  <c r="W158" i="172" a="1"/>
  <c r="W158" i="172" s="1"/>
  <c r="W161" i="172" a="1"/>
  <c r="W161" i="172" s="1"/>
  <c r="W165" i="172" a="1"/>
  <c r="W165" i="172" s="1"/>
  <c r="W168" i="172" a="1"/>
  <c r="W168" i="172" s="1"/>
  <c r="W172" i="172" a="1"/>
  <c r="W172" i="172" s="1"/>
  <c r="W181" i="172" a="1"/>
  <c r="W181" i="172" s="1"/>
  <c r="W182" i="172" a="1"/>
  <c r="W182" i="172" s="1"/>
  <c r="W183" i="172" a="1"/>
  <c r="W183" i="172" s="1"/>
  <c r="W186" i="172" a="1"/>
  <c r="W186" i="172" s="1"/>
  <c r="W192" i="172" a="1"/>
  <c r="W192" i="172" s="1"/>
  <c r="W194" i="172" a="1"/>
  <c r="W194" i="172" s="1"/>
  <c r="W197" i="172" a="1"/>
  <c r="W197" i="172" s="1"/>
  <c r="W200" i="172" a="1"/>
  <c r="W200" i="172" s="1"/>
  <c r="W204" i="172" a="1"/>
  <c r="W204" i="172" s="1"/>
  <c r="W207" i="172" a="1"/>
  <c r="W207" i="172" s="1"/>
  <c r="W213" i="172" a="1"/>
  <c r="W213" i="172" s="1"/>
  <c r="W215" i="172" a="1"/>
  <c r="W215" i="172" s="1"/>
  <c r="W14" i="172" a="1"/>
  <c r="W14" i="172" s="1"/>
  <c r="W20" i="172" a="1"/>
  <c r="W20" i="172" s="1"/>
  <c r="W36" i="172" a="1"/>
  <c r="W36" i="172" s="1"/>
  <c r="W41" i="172" a="1"/>
  <c r="W41" i="172" s="1"/>
  <c r="W47" i="172" a="1"/>
  <c r="W47" i="172" s="1"/>
  <c r="W59" i="172" a="1"/>
  <c r="W59" i="172" s="1"/>
  <c r="W64" i="172" a="1"/>
  <c r="W64" i="172" s="1"/>
  <c r="W87" i="172" a="1"/>
  <c r="W87" i="172" s="1"/>
  <c r="W98" i="172" a="1"/>
  <c r="W98" i="172" s="1"/>
  <c r="W104" i="172" a="1"/>
  <c r="W104" i="172" s="1"/>
  <c r="W119" i="172" a="1"/>
  <c r="W119" i="172" s="1"/>
  <c r="W135" i="172" a="1"/>
  <c r="W135" i="172" s="1"/>
  <c r="W146" i="172" a="1"/>
  <c r="W146" i="172" s="1"/>
  <c r="W152" i="172" a="1"/>
  <c r="W152" i="172" s="1"/>
  <c r="W163" i="172" a="1"/>
  <c r="W163" i="172" s="1"/>
  <c r="W179" i="172" a="1"/>
  <c r="W179" i="172" s="1"/>
  <c r="W189" i="172" a="1"/>
  <c r="W189" i="172" s="1"/>
  <c r="W206" i="172" a="1"/>
  <c r="W206" i="172" s="1"/>
  <c r="W220" i="172" a="1"/>
  <c r="W220" i="172" s="1"/>
  <c r="W228" i="172" a="1"/>
  <c r="W228" i="172" s="1"/>
  <c r="W236" i="172" a="1"/>
  <c r="W236" i="172" s="1"/>
  <c r="W244" i="172" a="1"/>
  <c r="W244" i="172" s="1"/>
  <c r="W250" i="172" a="1"/>
  <c r="W250" i="172" s="1"/>
  <c r="W252" i="172" a="1"/>
  <c r="W252" i="172" s="1"/>
  <c r="W270" i="172" a="1"/>
  <c r="W270" i="172" s="1"/>
  <c r="W271" i="172" a="1"/>
  <c r="W271" i="172" s="1"/>
  <c r="W282" i="172" a="1"/>
  <c r="W282" i="172" s="1"/>
  <c r="W292" i="172" a="1"/>
  <c r="W292" i="172" s="1"/>
  <c r="W295" i="172" a="1"/>
  <c r="W295" i="172" s="1"/>
  <c r="W300" i="172" a="1"/>
  <c r="W300" i="172" s="1"/>
  <c r="W303" i="172" a="1"/>
  <c r="W303" i="172" s="1"/>
  <c r="W307" i="172" a="1"/>
  <c r="W307" i="172" s="1"/>
  <c r="W310" i="172" a="1"/>
  <c r="W310" i="172" s="1"/>
  <c r="W315" i="172" a="1"/>
  <c r="W315" i="172" s="1"/>
  <c r="W318" i="172" a="1"/>
  <c r="W318" i="172" s="1"/>
  <c r="W323" i="172" a="1"/>
  <c r="W323" i="172" s="1"/>
  <c r="W326" i="172" a="1"/>
  <c r="W326" i="172" s="1"/>
  <c r="W331" i="172" a="1"/>
  <c r="W331" i="172" s="1"/>
  <c r="W334" i="172" a="1"/>
  <c r="W334" i="172" s="1"/>
  <c r="W339" i="172" a="1"/>
  <c r="W339" i="172" s="1"/>
  <c r="W342" i="172" a="1"/>
  <c r="W342" i="172" s="1"/>
  <c r="W347" i="172" a="1"/>
  <c r="W347" i="172" s="1"/>
  <c r="W350" i="172" a="1"/>
  <c r="W350" i="172" s="1"/>
  <c r="W355" i="172" a="1"/>
  <c r="W355" i="172" s="1"/>
  <c r="W358" i="172" a="1"/>
  <c r="W358" i="172" s="1"/>
  <c r="W363" i="172" a="1"/>
  <c r="W363" i="172" s="1"/>
  <c r="W366" i="172" a="1"/>
  <c r="W366" i="172" s="1"/>
  <c r="W371" i="172" a="1"/>
  <c r="W371" i="172" s="1"/>
  <c r="W374" i="172" a="1"/>
  <c r="W374" i="172" s="1"/>
  <c r="W379" i="172" a="1"/>
  <c r="W379" i="172" s="1"/>
  <c r="W382" i="172" a="1"/>
  <c r="W382" i="172" s="1"/>
  <c r="W387" i="172" a="1"/>
  <c r="W387" i="172" s="1"/>
  <c r="W390" i="172" a="1"/>
  <c r="W390" i="172" s="1"/>
  <c r="W395" i="172" a="1"/>
  <c r="W395" i="172" s="1"/>
  <c r="W398" i="172" a="1"/>
  <c r="W398" i="172" s="1"/>
  <c r="W403" i="172" a="1"/>
  <c r="W403" i="172" s="1"/>
  <c r="W406" i="172" a="1"/>
  <c r="W406" i="172" s="1"/>
  <c r="W411" i="172" a="1"/>
  <c r="W411" i="172" s="1"/>
  <c r="W414" i="172" a="1"/>
  <c r="W414" i="172" s="1"/>
  <c r="W419" i="172" a="1"/>
  <c r="W419" i="172" s="1"/>
  <c r="W422" i="172" a="1"/>
  <c r="W422" i="172" s="1"/>
  <c r="W427" i="172" a="1"/>
  <c r="W427" i="172" s="1"/>
  <c r="W430" i="172" a="1"/>
  <c r="W430" i="172" s="1"/>
  <c r="W435" i="172" a="1"/>
  <c r="W435" i="172" s="1"/>
  <c r="W438" i="172" a="1"/>
  <c r="W438" i="172" s="1"/>
  <c r="W443" i="172" a="1"/>
  <c r="W443" i="172" s="1"/>
  <c r="W446" i="172" a="1"/>
  <c r="W446" i="172" s="1"/>
  <c r="W452" i="172" a="1"/>
  <c r="W452" i="172" s="1"/>
  <c r="W455" i="172" a="1"/>
  <c r="W455" i="172" s="1"/>
  <c r="W460" i="172" a="1"/>
  <c r="W460" i="172" s="1"/>
  <c r="W463" i="172" a="1"/>
  <c r="W463" i="172" s="1"/>
  <c r="W468" i="172" a="1"/>
  <c r="W468" i="172" s="1"/>
  <c r="W471" i="172" a="1"/>
  <c r="W471" i="172" s="1"/>
  <c r="W479" i="172" a="1"/>
  <c r="W479" i="172" s="1"/>
  <c r="W487" i="172" a="1"/>
  <c r="W487" i="172" s="1"/>
  <c r="W491" i="172" a="1"/>
  <c r="W491" i="172" s="1"/>
  <c r="W493" i="172" a="1"/>
  <c r="W493" i="172" s="1"/>
  <c r="W494" i="172" a="1"/>
  <c r="W494" i="172" s="1"/>
  <c r="W500" i="172" a="1"/>
  <c r="W500" i="172" s="1"/>
  <c r="W504" i="172" a="1"/>
  <c r="W504" i="172" s="1"/>
  <c r="W508" i="172" a="1"/>
  <c r="W508" i="172" s="1"/>
  <c r="W512" i="172" a="1"/>
  <c r="W512" i="172" s="1"/>
  <c r="W516" i="172" a="1"/>
  <c r="W516" i="172" s="1"/>
  <c r="W520" i="172" a="1"/>
  <c r="W520" i="172" s="1"/>
  <c r="W524" i="172" a="1"/>
  <c r="W524" i="172" s="1"/>
  <c r="W535" i="172" a="1"/>
  <c r="W535" i="172" s="1"/>
  <c r="W539" i="172" a="1"/>
  <c r="W539" i="172" s="1"/>
  <c r="W542" i="172" a="1"/>
  <c r="W542" i="172" s="1"/>
  <c r="W545" i="172" a="1"/>
  <c r="W545" i="172" s="1"/>
  <c r="W546" i="172" a="1"/>
  <c r="W546" i="172" s="1"/>
  <c r="W549" i="172" a="1"/>
  <c r="W549" i="172" s="1"/>
  <c r="W552" i="172" a="1"/>
  <c r="W552" i="172" s="1"/>
  <c r="W556" i="172" a="1"/>
  <c r="W556" i="172" s="1"/>
  <c r="W567" i="172" a="1"/>
  <c r="W567" i="172" s="1"/>
  <c r="W571" i="172" a="1"/>
  <c r="W571" i="172" s="1"/>
  <c r="W574" i="172" a="1"/>
  <c r="W574" i="172" s="1"/>
  <c r="W577" i="172" a="1"/>
  <c r="W577" i="172" s="1"/>
  <c r="W578" i="172" a="1"/>
  <c r="W578" i="172" s="1"/>
  <c r="W581" i="172" a="1"/>
  <c r="W581" i="172" s="1"/>
  <c r="W584" i="172" a="1"/>
  <c r="W584" i="172" s="1"/>
  <c r="W588" i="172" a="1"/>
  <c r="W588" i="172" s="1"/>
  <c r="W592" i="172" a="1"/>
  <c r="W592" i="172" s="1"/>
  <c r="W596" i="172" a="1"/>
  <c r="W596" i="172" s="1"/>
  <c r="W600" i="172" a="1"/>
  <c r="W600" i="172" s="1"/>
  <c r="W604" i="172" a="1"/>
  <c r="W604" i="172" s="1"/>
  <c r="W611" i="172" a="1"/>
  <c r="W611" i="172" s="1"/>
  <c r="W615" i="172" a="1"/>
  <c r="W615" i="172" s="1"/>
  <c r="W621" i="172" a="1"/>
  <c r="W621" i="172" s="1"/>
  <c r="W625" i="172" a="1"/>
  <c r="W625" i="172" s="1"/>
  <c r="W627" i="172" a="1"/>
  <c r="W627" i="172" s="1"/>
  <c r="W637" i="172" a="1"/>
  <c r="W637" i="172" s="1"/>
  <c r="W641" i="172" a="1"/>
  <c r="W641" i="172" s="1"/>
  <c r="W644" i="172" a="1"/>
  <c r="W644" i="172" s="1"/>
  <c r="W647" i="172" a="1"/>
  <c r="W647" i="172" s="1"/>
  <c r="W648" i="172" a="1"/>
  <c r="W648" i="172" s="1"/>
  <c r="W651" i="172" a="1"/>
  <c r="W651" i="172" s="1"/>
  <c r="W654" i="172" a="1"/>
  <c r="W654" i="172" s="1"/>
  <c r="W658" i="172" a="1"/>
  <c r="W658" i="172" s="1"/>
  <c r="W669" i="172" a="1"/>
  <c r="W669" i="172" s="1"/>
  <c r="W673" i="172" a="1"/>
  <c r="W673" i="172" s="1"/>
  <c r="W676" i="172" a="1"/>
  <c r="W676" i="172" s="1"/>
  <c r="W679" i="172" a="1"/>
  <c r="W679" i="172" s="1"/>
  <c r="W680" i="172" a="1"/>
  <c r="W680" i="172" s="1"/>
  <c r="W692" i="172" a="1"/>
  <c r="W692" i="172" s="1"/>
  <c r="W697" i="172" a="1"/>
  <c r="W697" i="172" s="1"/>
  <c r="W698" i="172" a="1"/>
  <c r="W698" i="172" s="1"/>
  <c r="W702" i="172" a="1"/>
  <c r="W702" i="172" s="1"/>
  <c r="W705" i="172" a="1"/>
  <c r="W705" i="172" s="1"/>
  <c r="W708" i="172" a="1"/>
  <c r="W708" i="172" s="1"/>
  <c r="W709" i="172" a="1"/>
  <c r="W709" i="172" s="1"/>
  <c r="W712" i="172" a="1"/>
  <c r="W712" i="172" s="1"/>
  <c r="W715" i="172" a="1"/>
  <c r="W715" i="172" s="1"/>
  <c r="W719" i="172" a="1"/>
  <c r="W719" i="172" s="1"/>
  <c r="W730" i="172" a="1"/>
  <c r="W730" i="172" s="1"/>
  <c r="W734" i="172" a="1"/>
  <c r="W734" i="172" s="1"/>
  <c r="W737" i="172" a="1"/>
  <c r="W737" i="172" s="1"/>
  <c r="W740" i="172" a="1"/>
  <c r="W740" i="172" s="1"/>
  <c r="W743" i="172" a="1"/>
  <c r="W743" i="172" s="1"/>
  <c r="W746" i="172" a="1"/>
  <c r="W746" i="172" s="1"/>
  <c r="W753" i="172" a="1"/>
  <c r="W753" i="172" s="1"/>
  <c r="W754" i="172" a="1"/>
  <c r="W754" i="172" s="1"/>
  <c r="W760" i="172" a="1"/>
  <c r="W760" i="172" s="1"/>
  <c r="W761" i="172" a="1"/>
  <c r="W761" i="172" s="1"/>
  <c r="W766" i="172" a="1"/>
  <c r="W766" i="172" s="1"/>
  <c r="W769" i="172" a="1"/>
  <c r="W769" i="172" s="1"/>
  <c r="W772" i="172" a="1"/>
  <c r="W772" i="172" s="1"/>
  <c r="W777" i="172" a="1"/>
  <c r="W777" i="172" s="1"/>
  <c r="W780" i="172" a="1"/>
  <c r="W780" i="172" s="1"/>
  <c r="W785" i="172" a="1"/>
  <c r="W785" i="172" s="1"/>
  <c r="W788" i="172" a="1"/>
  <c r="W788" i="172" s="1"/>
  <c r="W793" i="172" a="1"/>
  <c r="W793" i="172" s="1"/>
  <c r="W796" i="172" a="1"/>
  <c r="W796" i="172" s="1"/>
  <c r="W801" i="172" a="1"/>
  <c r="W801" i="172" s="1"/>
  <c r="W804" i="172" a="1"/>
  <c r="W804" i="172" s="1"/>
  <c r="W809" i="172" a="1"/>
  <c r="W809" i="172" s="1"/>
  <c r="W812" i="172" a="1"/>
  <c r="W812" i="172" s="1"/>
  <c r="W815" i="172" a="1"/>
  <c r="W815" i="172" s="1"/>
  <c r="W818" i="172" a="1"/>
  <c r="W818" i="172" s="1"/>
  <c r="W27" i="172" a="1"/>
  <c r="W27" i="172" s="1"/>
  <c r="W72" i="172" a="1"/>
  <c r="W72" i="172" s="1"/>
  <c r="W77" i="172" a="1"/>
  <c r="W77" i="172" s="1"/>
  <c r="W83" i="172" a="1"/>
  <c r="W83" i="172" s="1"/>
  <c r="W94" i="172" a="1"/>
  <c r="W94" i="172" s="1"/>
  <c r="W105" i="172" a="1"/>
  <c r="W105" i="172" s="1"/>
  <c r="W154" i="172" a="1"/>
  <c r="W154" i="172" s="1"/>
  <c r="W164" i="172" a="1"/>
  <c r="W164" i="172" s="1"/>
  <c r="W170" i="172" a="1"/>
  <c r="W170" i="172" s="1"/>
  <c r="W175" i="172" a="1"/>
  <c r="W175" i="172" s="1"/>
  <c r="W180" i="172" a="1"/>
  <c r="W180" i="172" s="1"/>
  <c r="W190" i="172" a="1"/>
  <c r="W190" i="172" s="1"/>
  <c r="W212" i="172" a="1"/>
  <c r="W212" i="172" s="1"/>
  <c r="W221" i="172" a="1"/>
  <c r="W221" i="172" s="1"/>
  <c r="W229" i="172" a="1"/>
  <c r="W229" i="172" s="1"/>
  <c r="W237" i="172" a="1"/>
  <c r="W237" i="172" s="1"/>
  <c r="W256" i="172" a="1"/>
  <c r="W256" i="172" s="1"/>
  <c r="W261" i="172" a="1"/>
  <c r="W261" i="172" s="1"/>
  <c r="W263" i="172" a="1"/>
  <c r="W263" i="172" s="1"/>
  <c r="W264" i="172" a="1"/>
  <c r="W264" i="172" s="1"/>
  <c r="W267" i="172" a="1"/>
  <c r="W267" i="172" s="1"/>
  <c r="W269" i="172" a="1"/>
  <c r="W269" i="172" s="1"/>
  <c r="W273" i="172" a="1"/>
  <c r="W273" i="172" s="1"/>
  <c r="W274" i="172" a="1"/>
  <c r="W274" i="172" s="1"/>
  <c r="W278" i="172" a="1"/>
  <c r="W278" i="172" s="1"/>
  <c r="W281" i="172" a="1"/>
  <c r="W281" i="172" s="1"/>
  <c r="W284" i="172" a="1"/>
  <c r="W284" i="172" s="1"/>
  <c r="W291" i="172" a="1"/>
  <c r="W291" i="172" s="1"/>
  <c r="W294" i="172" a="1"/>
  <c r="W294" i="172" s="1"/>
  <c r="W299" i="172" a="1"/>
  <c r="W299" i="172" s="1"/>
  <c r="W302" i="172" a="1"/>
  <c r="W302" i="172" s="1"/>
  <c r="W305" i="172" a="1"/>
  <c r="W305" i="172" s="1"/>
  <c r="W306" i="172" a="1"/>
  <c r="W306" i="172" s="1"/>
  <c r="W309" i="172" a="1"/>
  <c r="W309" i="172" s="1"/>
  <c r="W312" i="172" a="1"/>
  <c r="W312" i="172" s="1"/>
  <c r="W313" i="172" a="1"/>
  <c r="W313" i="172" s="1"/>
  <c r="W314" i="172" a="1"/>
  <c r="W314" i="172" s="1"/>
  <c r="W317" i="172" a="1"/>
  <c r="W317" i="172" s="1"/>
  <c r="W320" i="172" a="1"/>
  <c r="W320" i="172" s="1"/>
  <c r="W321" i="172" a="1"/>
  <c r="W321" i="172" s="1"/>
  <c r="W322" i="172" a="1"/>
  <c r="W322" i="172" s="1"/>
  <c r="W325" i="172" a="1"/>
  <c r="W325" i="172" s="1"/>
  <c r="W328" i="172" a="1"/>
  <c r="W328" i="172" s="1"/>
  <c r="W329" i="172" a="1"/>
  <c r="W329" i="172" s="1"/>
  <c r="W330" i="172" a="1"/>
  <c r="W330" i="172" s="1"/>
  <c r="W333" i="172" a="1"/>
  <c r="W333" i="172" s="1"/>
  <c r="W336" i="172" a="1"/>
  <c r="W336" i="172" s="1"/>
  <c r="W337" i="172" a="1"/>
  <c r="W337" i="172" s="1"/>
  <c r="W338" i="172" a="1"/>
  <c r="W338" i="172" s="1"/>
  <c r="W341" i="172" a="1"/>
  <c r="W341" i="172" s="1"/>
  <c r="W344" i="172" a="1"/>
  <c r="W344" i="172" s="1"/>
  <c r="W345" i="172" a="1"/>
  <c r="W345" i="172" s="1"/>
  <c r="W346" i="172" a="1"/>
  <c r="W346" i="172" s="1"/>
  <c r="W349" i="172" a="1"/>
  <c r="W349" i="172" s="1"/>
  <c r="W352" i="172" a="1"/>
  <c r="W352" i="172" s="1"/>
  <c r="W353" i="172" a="1"/>
  <c r="W353" i="172" s="1"/>
  <c r="W354" i="172" a="1"/>
  <c r="W354" i="172" s="1"/>
  <c r="W357" i="172" a="1"/>
  <c r="W357" i="172" s="1"/>
  <c r="W360" i="172" a="1"/>
  <c r="W360" i="172" s="1"/>
  <c r="W361" i="172" a="1"/>
  <c r="W361" i="172" s="1"/>
  <c r="W362" i="172" a="1"/>
  <c r="W362" i="172" s="1"/>
  <c r="W365" i="172" a="1"/>
  <c r="W365" i="172" s="1"/>
  <c r="W368" i="172" a="1"/>
  <c r="W368" i="172" s="1"/>
  <c r="W369" i="172" a="1"/>
  <c r="W369" i="172" s="1"/>
  <c r="W370" i="172" a="1"/>
  <c r="W370" i="172" s="1"/>
  <c r="W373" i="172" a="1"/>
  <c r="W373" i="172" s="1"/>
  <c r="W376" i="172" a="1"/>
  <c r="W376" i="172" s="1"/>
  <c r="W377" i="172" a="1"/>
  <c r="W377" i="172" s="1"/>
  <c r="W378" i="172" a="1"/>
  <c r="W378" i="172" s="1"/>
  <c r="W381" i="172" a="1"/>
  <c r="W381" i="172" s="1"/>
  <c r="W384" i="172" a="1"/>
  <c r="W384" i="172" s="1"/>
  <c r="W385" i="172" a="1"/>
  <c r="W385" i="172" s="1"/>
  <c r="W386" i="172" a="1"/>
  <c r="W386" i="172" s="1"/>
  <c r="W389" i="172" a="1"/>
  <c r="W389" i="172" s="1"/>
  <c r="W392" i="172" a="1"/>
  <c r="W392" i="172" s="1"/>
  <c r="W393" i="172" a="1"/>
  <c r="W393" i="172" s="1"/>
  <c r="W394" i="172" a="1"/>
  <c r="W394" i="172" s="1"/>
  <c r="W397" i="172" a="1"/>
  <c r="W397" i="172" s="1"/>
  <c r="W400" i="172" a="1"/>
  <c r="W400" i="172" s="1"/>
  <c r="W401" i="172" a="1"/>
  <c r="W401" i="172" s="1"/>
  <c r="W402" i="172" a="1"/>
  <c r="W402" i="172" s="1"/>
  <c r="W405" i="172" a="1"/>
  <c r="W405" i="172" s="1"/>
  <c r="W408" i="172" a="1"/>
  <c r="W408" i="172" s="1"/>
  <c r="W409" i="172" a="1"/>
  <c r="W409" i="172" s="1"/>
  <c r="W410" i="172" a="1"/>
  <c r="W410" i="172" s="1"/>
  <c r="W413" i="172" a="1"/>
  <c r="W413" i="172" s="1"/>
  <c r="W416" i="172" a="1"/>
  <c r="W416" i="172" s="1"/>
  <c r="W417" i="172" a="1"/>
  <c r="W417" i="172" s="1"/>
  <c r="W418" i="172" a="1"/>
  <c r="W418" i="172" s="1"/>
  <c r="W421" i="172" a="1"/>
  <c r="W421" i="172" s="1"/>
  <c r="W424" i="172" a="1"/>
  <c r="W424" i="172" s="1"/>
  <c r="W425" i="172" a="1"/>
  <c r="W425" i="172" s="1"/>
  <c r="W426" i="172" a="1"/>
  <c r="W426" i="172" s="1"/>
  <c r="W429" i="172" a="1"/>
  <c r="W429" i="172" s="1"/>
  <c r="W432" i="172" a="1"/>
  <c r="W432" i="172" s="1"/>
  <c r="W433" i="172" a="1"/>
  <c r="W433" i="172" s="1"/>
  <c r="W434" i="172" a="1"/>
  <c r="W434" i="172" s="1"/>
  <c r="W437" i="172" a="1"/>
  <c r="W437" i="172" s="1"/>
  <c r="W440" i="172" a="1"/>
  <c r="W440" i="172" s="1"/>
  <c r="W441" i="172" a="1"/>
  <c r="W441" i="172" s="1"/>
  <c r="W442" i="172" a="1"/>
  <c r="W442" i="172" s="1"/>
  <c r="W445" i="172" a="1"/>
  <c r="W445" i="172" s="1"/>
  <c r="W451" i="172" a="1"/>
  <c r="W451" i="172" s="1"/>
  <c r="W454" i="172" a="1"/>
  <c r="W454" i="172" s="1"/>
  <c r="W459" i="172" a="1"/>
  <c r="W459" i="172" s="1"/>
  <c r="W462" i="172" a="1"/>
  <c r="W462" i="172" s="1"/>
  <c r="W467" i="172" a="1"/>
  <c r="W467" i="172" s="1"/>
  <c r="W470" i="172" a="1"/>
  <c r="W470" i="172" s="1"/>
  <c r="W475" i="172" a="1"/>
  <c r="W475" i="172" s="1"/>
  <c r="W478" i="172" a="1"/>
  <c r="W478" i="172" s="1"/>
  <c r="W483" i="172" a="1"/>
  <c r="W483" i="172" s="1"/>
  <c r="W486" i="172" a="1"/>
  <c r="W486" i="172" s="1"/>
  <c r="W489" i="172" a="1"/>
  <c r="W489" i="172" s="1"/>
  <c r="W490" i="172" a="1"/>
  <c r="W490" i="172" s="1"/>
  <c r="W499" i="172" a="1"/>
  <c r="W499" i="172" s="1"/>
  <c r="W503" i="172" a="1"/>
  <c r="W503" i="172" s="1"/>
  <c r="W507" i="172" a="1"/>
  <c r="W507" i="172" s="1"/>
  <c r="W511" i="172" a="1"/>
  <c r="W511" i="172" s="1"/>
  <c r="W515" i="172" a="1"/>
  <c r="W515" i="172" s="1"/>
  <c r="W519" i="172" a="1"/>
  <c r="W519" i="172" s="1"/>
  <c r="W523" i="172" a="1"/>
  <c r="W523" i="172" s="1"/>
  <c r="W527" i="172" a="1"/>
  <c r="W527" i="172" s="1"/>
  <c r="W531" i="172" a="1"/>
  <c r="W531" i="172" s="1"/>
  <c r="W534" i="172" a="1"/>
  <c r="W534" i="172" s="1"/>
  <c r="W537" i="172" a="1"/>
  <c r="W537" i="172" s="1"/>
  <c r="W538" i="172" a="1"/>
  <c r="W538" i="172" s="1"/>
  <c r="W541" i="172" a="1"/>
  <c r="W541" i="172" s="1"/>
  <c r="W544" i="172" a="1"/>
  <c r="W544" i="172" s="1"/>
  <c r="W548" i="172" a="1"/>
  <c r="W548" i="172" s="1"/>
  <c r="W559" i="172" a="1"/>
  <c r="W559" i="172" s="1"/>
  <c r="W563" i="172" a="1"/>
  <c r="W563" i="172" s="1"/>
  <c r="W566" i="172" a="1"/>
  <c r="W566" i="172" s="1"/>
  <c r="W569" i="172" a="1"/>
  <c r="W569" i="172" s="1"/>
  <c r="W570" i="172" a="1"/>
  <c r="W570" i="172" s="1"/>
  <c r="W573" i="172" a="1"/>
  <c r="W573" i="172" s="1"/>
  <c r="W576" i="172" a="1"/>
  <c r="W576" i="172" s="1"/>
  <c r="W580" i="172" a="1"/>
  <c r="W580" i="172" s="1"/>
  <c r="W591" i="172" a="1"/>
  <c r="W591" i="172" s="1"/>
  <c r="W595" i="172" a="1"/>
  <c r="W595" i="172" s="1"/>
  <c r="W607" i="172" a="1"/>
  <c r="W607" i="172" s="1"/>
  <c r="W610" i="172" a="1"/>
  <c r="W610" i="172" s="1"/>
  <c r="W614" i="172" a="1"/>
  <c r="W614" i="172" s="1"/>
  <c r="W617" i="172" a="1"/>
  <c r="W617" i="172" s="1"/>
  <c r="W620" i="172" a="1"/>
  <c r="W620" i="172" s="1"/>
  <c r="W623" i="172" a="1"/>
  <c r="W623" i="172" s="1"/>
  <c r="W624" i="172" a="1"/>
  <c r="W624" i="172" s="1"/>
  <c r="W629" i="172" a="1"/>
  <c r="W629" i="172" s="1"/>
  <c r="W633" i="172" a="1"/>
  <c r="W633" i="172" s="1"/>
  <c r="W636" i="172" a="1"/>
  <c r="W636" i="172" s="1"/>
  <c r="W639" i="172" a="1"/>
  <c r="W639" i="172" s="1"/>
  <c r="W640" i="172" a="1"/>
  <c r="W640" i="172" s="1"/>
  <c r="W643" i="172" a="1"/>
  <c r="W643" i="172" s="1"/>
  <c r="W646" i="172" a="1"/>
  <c r="W646" i="172" s="1"/>
  <c r="W650" i="172" a="1"/>
  <c r="W650" i="172" s="1"/>
  <c r="W661" i="172" a="1"/>
  <c r="W661" i="172" s="1"/>
  <c r="W665" i="172" a="1"/>
  <c r="W665" i="172" s="1"/>
  <c r="W668" i="172" a="1"/>
  <c r="W668" i="172" s="1"/>
  <c r="W671" i="172" a="1"/>
  <c r="W671" i="172" s="1"/>
  <c r="W672" i="172" a="1"/>
  <c r="W672" i="172" s="1"/>
  <c r="W675" i="172" a="1"/>
  <c r="W675" i="172" s="1"/>
  <c r="W678" i="172" a="1"/>
  <c r="W678" i="172" s="1"/>
  <c r="W682" i="172" a="1"/>
  <c r="W682" i="172" s="1"/>
  <c r="W685" i="172" a="1"/>
  <c r="W685" i="172" s="1"/>
  <c r="W688" i="172" a="1"/>
  <c r="W688" i="172" s="1"/>
  <c r="W691" i="172" a="1"/>
  <c r="W691" i="172" s="1"/>
  <c r="W694" i="172" a="1"/>
  <c r="W694" i="172" s="1"/>
  <c r="W700" i="172" a="1"/>
  <c r="W700" i="172" s="1"/>
  <c r="W701" i="172" a="1"/>
  <c r="W701" i="172" s="1"/>
  <c r="W704" i="172" a="1"/>
  <c r="W704" i="172" s="1"/>
  <c r="W707" i="172" a="1"/>
  <c r="W707" i="172" s="1"/>
  <c r="W711" i="172" a="1"/>
  <c r="W711" i="172" s="1"/>
  <c r="W722" i="172" a="1"/>
  <c r="W722" i="172" s="1"/>
  <c r="W726" i="172" a="1"/>
  <c r="W726" i="172" s="1"/>
  <c r="W729" i="172" a="1"/>
  <c r="W729" i="172" s="1"/>
  <c r="W732" i="172" a="1"/>
  <c r="W732" i="172" s="1"/>
  <c r="W733" i="172" a="1"/>
  <c r="W733" i="172" s="1"/>
  <c r="W736" i="172" a="1"/>
  <c r="W736" i="172" s="1"/>
  <c r="W739" i="172" a="1"/>
  <c r="W739" i="172" s="1"/>
  <c r="W742" i="172" a="1"/>
  <c r="W742" i="172" s="1"/>
  <c r="W745" i="172" a="1"/>
  <c r="W745" i="172" s="1"/>
  <c r="W749" i="172" a="1"/>
  <c r="W749" i="172" s="1"/>
  <c r="W757" i="172" a="1"/>
  <c r="W757" i="172" s="1"/>
  <c r="W759" i="172" a="1"/>
  <c r="W759" i="172" s="1"/>
  <c r="W763" i="172" a="1"/>
  <c r="W763" i="172" s="1"/>
  <c r="W764" i="172" a="1"/>
  <c r="W764" i="172" s="1"/>
  <c r="W765" i="172" a="1"/>
  <c r="W765" i="172" s="1"/>
  <c r="W774" i="172" a="1"/>
  <c r="W774" i="172" s="1"/>
  <c r="W782" i="172" a="1"/>
  <c r="W782" i="172" s="1"/>
  <c r="W790" i="172" a="1"/>
  <c r="W790" i="172" s="1"/>
  <c r="W33" i="172" a="1"/>
  <c r="W33" i="172" s="1"/>
  <c r="W50" i="172" a="1"/>
  <c r="W50" i="172" s="1"/>
  <c r="W56" i="172" a="1"/>
  <c r="W56" i="172" s="1"/>
  <c r="W84" i="172" a="1"/>
  <c r="W84" i="172" s="1"/>
  <c r="W111" i="172" a="1"/>
  <c r="W111" i="172" s="1"/>
  <c r="W127" i="172" a="1"/>
  <c r="W127" i="172" s="1"/>
  <c r="W143" i="172" a="1"/>
  <c r="W143" i="172" s="1"/>
  <c r="W149" i="172" a="1"/>
  <c r="W149" i="172" s="1"/>
  <c r="W155" i="172" a="1"/>
  <c r="W155" i="172" s="1"/>
  <c r="W160" i="172" a="1"/>
  <c r="W160" i="172" s="1"/>
  <c r="W171" i="172" a="1"/>
  <c r="W171" i="172" s="1"/>
  <c r="W191" i="172" a="1"/>
  <c r="W191" i="172" s="1"/>
  <c r="W245" i="172" a="1"/>
  <c r="W245" i="172" s="1"/>
  <c r="W253" i="172" a="1"/>
  <c r="W253" i="172" s="1"/>
  <c r="W255" i="172" a="1"/>
  <c r="W255" i="172" s="1"/>
  <c r="W260" i="172" a="1"/>
  <c r="W260" i="172" s="1"/>
  <c r="W266" i="172" a="1"/>
  <c r="W266" i="172" s="1"/>
  <c r="W276" i="172" a="1"/>
  <c r="W276" i="172" s="1"/>
  <c r="W277" i="172" a="1"/>
  <c r="W277" i="172" s="1"/>
  <c r="W280" i="172" a="1"/>
  <c r="W280" i="172" s="1"/>
  <c r="W283" i="172" a="1"/>
  <c r="W283" i="172" s="1"/>
  <c r="W288" i="172" a="1"/>
  <c r="W288" i="172" s="1"/>
  <c r="W289" i="172" a="1"/>
  <c r="W289" i="172" s="1"/>
  <c r="W290" i="172" a="1"/>
  <c r="W290" i="172" s="1"/>
  <c r="W293" i="172" a="1"/>
  <c r="W293" i="172" s="1"/>
  <c r="W296" i="172" a="1"/>
  <c r="W296" i="172" s="1"/>
  <c r="W297" i="172" a="1"/>
  <c r="W297" i="172" s="1"/>
  <c r="W298" i="172" a="1"/>
  <c r="W298" i="172" s="1"/>
  <c r="W301" i="172" a="1"/>
  <c r="W301" i="172" s="1"/>
  <c r="W304" i="172" a="1"/>
  <c r="W304" i="172" s="1"/>
  <c r="W448" i="172" a="1"/>
  <c r="W448" i="172" s="1"/>
  <c r="W449" i="172" a="1"/>
  <c r="W449" i="172" s="1"/>
  <c r="W450" i="172" a="1"/>
  <c r="W450" i="172" s="1"/>
  <c r="W453" i="172" a="1"/>
  <c r="W453" i="172" s="1"/>
  <c r="W456" i="172" a="1"/>
  <c r="W456" i="172" s="1"/>
  <c r="W457" i="172" a="1"/>
  <c r="W457" i="172" s="1"/>
  <c r="W458" i="172" a="1"/>
  <c r="W458" i="172" s="1"/>
  <c r="W461" i="172" a="1"/>
  <c r="W461" i="172" s="1"/>
  <c r="W464" i="172" a="1"/>
  <c r="W464" i="172" s="1"/>
  <c r="W465" i="172" a="1"/>
  <c r="W465" i="172" s="1"/>
  <c r="W466" i="172" a="1"/>
  <c r="W466" i="172" s="1"/>
  <c r="W469" i="172" a="1"/>
  <c r="W469" i="172" s="1"/>
  <c r="W472" i="172" a="1"/>
  <c r="W472" i="172" s="1"/>
  <c r="W473" i="172" a="1"/>
  <c r="W473" i="172" s="1"/>
  <c r="W474" i="172" a="1"/>
  <c r="W474" i="172" s="1"/>
  <c r="W477" i="172" a="1"/>
  <c r="W477" i="172" s="1"/>
  <c r="W481" i="172" a="1"/>
  <c r="W481" i="172" s="1"/>
  <c r="W482" i="172" a="1"/>
  <c r="W482" i="172" s="1"/>
  <c r="W485" i="172" a="1"/>
  <c r="W485" i="172" s="1"/>
  <c r="W488" i="172" a="1"/>
  <c r="W488" i="172" s="1"/>
  <c r="W492" i="172" a="1"/>
  <c r="W492" i="172" s="1"/>
  <c r="W498" i="172" a="1"/>
  <c r="W498" i="172" s="1"/>
  <c r="W502" i="172" a="1"/>
  <c r="W502" i="172" s="1"/>
  <c r="W506" i="172" a="1"/>
  <c r="W506" i="172" s="1"/>
  <c r="W510" i="172" a="1"/>
  <c r="W510" i="172" s="1"/>
  <c r="W514" i="172" a="1"/>
  <c r="W514" i="172" s="1"/>
  <c r="W518" i="172" a="1"/>
  <c r="W518" i="172" s="1"/>
  <c r="W522" i="172" a="1"/>
  <c r="W522" i="172" s="1"/>
  <c r="W526" i="172" a="1"/>
  <c r="W526" i="172" s="1"/>
  <c r="W529" i="172" a="1"/>
  <c r="W529" i="172" s="1"/>
  <c r="W530" i="172" a="1"/>
  <c r="W530" i="172" s="1"/>
  <c r="W533" i="172" a="1"/>
  <c r="W533" i="172" s="1"/>
  <c r="W536" i="172" a="1"/>
  <c r="W536" i="172" s="1"/>
  <c r="W540" i="172" a="1"/>
  <c r="W540" i="172" s="1"/>
  <c r="W551" i="172" a="1"/>
  <c r="W551" i="172" s="1"/>
  <c r="W555" i="172" a="1"/>
  <c r="W555" i="172" s="1"/>
  <c r="W558" i="172" a="1"/>
  <c r="W558" i="172" s="1"/>
  <c r="W561" i="172" a="1"/>
  <c r="W561" i="172" s="1"/>
  <c r="W562" i="172" a="1"/>
  <c r="W562" i="172" s="1"/>
  <c r="W565" i="172" a="1"/>
  <c r="W565" i="172" s="1"/>
  <c r="W568" i="172" a="1"/>
  <c r="W568" i="172" s="1"/>
  <c r="W572" i="172" a="1"/>
  <c r="W572" i="172" s="1"/>
  <c r="W583" i="172" a="1"/>
  <c r="W583" i="172" s="1"/>
  <c r="W587" i="172" a="1"/>
  <c r="W587" i="172" s="1"/>
  <c r="W590" i="172" a="1"/>
  <c r="W590" i="172" s="1"/>
  <c r="W594" i="172" a="1"/>
  <c r="W594" i="172" s="1"/>
  <c r="W599" i="172" a="1"/>
  <c r="W599" i="172" s="1"/>
  <c r="W603" i="172" a="1"/>
  <c r="W603" i="172" s="1"/>
  <c r="W606" i="172" a="1"/>
  <c r="W606" i="172" s="1"/>
  <c r="W609" i="172" a="1"/>
  <c r="W609" i="172" s="1"/>
  <c r="W613" i="172" a="1"/>
  <c r="W613" i="172" s="1"/>
  <c r="W616" i="172" a="1"/>
  <c r="W616" i="172" s="1"/>
  <c r="W619" i="172" a="1"/>
  <c r="W619" i="172" s="1"/>
  <c r="W622" i="172" a="1"/>
  <c r="W622" i="172" s="1"/>
  <c r="W626" i="172" a="1"/>
  <c r="W626" i="172" s="1"/>
  <c r="W631" i="172" a="1"/>
  <c r="W631" i="172" s="1"/>
  <c r="W632" i="172" a="1"/>
  <c r="W632" i="172" s="1"/>
  <c r="W635" i="172" a="1"/>
  <c r="W635" i="172" s="1"/>
  <c r="W638" i="172" a="1"/>
  <c r="W638" i="172" s="1"/>
  <c r="W642" i="172" a="1"/>
  <c r="W642" i="172" s="1"/>
  <c r="W653" i="172" a="1"/>
  <c r="W653" i="172" s="1"/>
  <c r="W657" i="172" a="1"/>
  <c r="W657" i="172" s="1"/>
  <c r="W660" i="172" a="1"/>
  <c r="W660" i="172" s="1"/>
  <c r="W663" i="172" a="1"/>
  <c r="W663" i="172" s="1"/>
  <c r="W664" i="172" a="1"/>
  <c r="W664" i="172" s="1"/>
  <c r="W667" i="172" a="1"/>
  <c r="W667" i="172" s="1"/>
  <c r="W670" i="172" a="1"/>
  <c r="W670" i="172" s="1"/>
  <c r="W674" i="172" a="1"/>
  <c r="W674" i="172" s="1"/>
  <c r="W684" i="172" a="1"/>
  <c r="W684" i="172" s="1"/>
  <c r="W687" i="172" a="1"/>
  <c r="W687" i="172" s="1"/>
  <c r="W690" i="172" a="1"/>
  <c r="W690" i="172" s="1"/>
  <c r="W696" i="172" a="1"/>
  <c r="W696" i="172" s="1"/>
  <c r="W699" i="172" a="1"/>
  <c r="W699" i="172" s="1"/>
  <c r="W703" i="172" a="1"/>
  <c r="W703" i="172" s="1"/>
  <c r="W714" i="172" a="1"/>
  <c r="W714" i="172" s="1"/>
  <c r="W718" i="172" a="1"/>
  <c r="W718" i="172" s="1"/>
  <c r="W721" i="172" a="1"/>
  <c r="W721" i="172" s="1"/>
  <c r="W724" i="172" a="1"/>
  <c r="W724" i="172" s="1"/>
  <c r="W725" i="172" a="1"/>
  <c r="W725" i="172" s="1"/>
  <c r="W728" i="172" a="1"/>
  <c r="W728" i="172" s="1"/>
  <c r="W731" i="172" a="1"/>
  <c r="W731" i="172" s="1"/>
  <c r="W735" i="172" a="1"/>
  <c r="W735" i="172" s="1"/>
  <c r="W748" i="172" a="1"/>
  <c r="W748" i="172" s="1"/>
  <c r="W13" i="172" a="1"/>
  <c r="W13" i="172" s="1"/>
  <c r="W24" i="172" a="1"/>
  <c r="W24" i="172" s="1"/>
  <c r="W97" i="172" a="1"/>
  <c r="W97" i="172" s="1"/>
  <c r="W156" i="172" a="1"/>
  <c r="W156" i="172" s="1"/>
  <c r="W223" i="172" a="1"/>
  <c r="W223" i="172" s="1"/>
  <c r="W231" i="172" a="1"/>
  <c r="W231" i="172" s="1"/>
  <c r="W246" i="172" a="1"/>
  <c r="W246" i="172" s="1"/>
  <c r="W254" i="172" a="1"/>
  <c r="W254" i="172" s="1"/>
  <c r="W259" i="172" a="1"/>
  <c r="W259" i="172" s="1"/>
  <c r="W265" i="172" a="1"/>
  <c r="W265" i="172" s="1"/>
  <c r="W287" i="172" a="1"/>
  <c r="W287" i="172" s="1"/>
  <c r="W308" i="172" a="1"/>
  <c r="W308" i="172" s="1"/>
  <c r="W319" i="172" a="1"/>
  <c r="W319" i="172" s="1"/>
  <c r="W324" i="172" a="1"/>
  <c r="W324" i="172" s="1"/>
  <c r="W335" i="172" a="1"/>
  <c r="W335" i="172" s="1"/>
  <c r="W340" i="172" a="1"/>
  <c r="W340" i="172" s="1"/>
  <c r="W351" i="172" a="1"/>
  <c r="W351" i="172" s="1"/>
  <c r="W356" i="172" a="1"/>
  <c r="W356" i="172" s="1"/>
  <c r="W367" i="172" a="1"/>
  <c r="W367" i="172" s="1"/>
  <c r="W372" i="172" a="1"/>
  <c r="W372" i="172" s="1"/>
  <c r="W383" i="172" a="1"/>
  <c r="W383" i="172" s="1"/>
  <c r="W388" i="172" a="1"/>
  <c r="W388" i="172" s="1"/>
  <c r="W399" i="172" a="1"/>
  <c r="W399" i="172" s="1"/>
  <c r="W404" i="172" a="1"/>
  <c r="W404" i="172" s="1"/>
  <c r="W415" i="172" a="1"/>
  <c r="W415" i="172" s="1"/>
  <c r="W420" i="172" a="1"/>
  <c r="W420" i="172" s="1"/>
  <c r="W431" i="172" a="1"/>
  <c r="W431" i="172" s="1"/>
  <c r="W436" i="172" a="1"/>
  <c r="W436" i="172" s="1"/>
  <c r="W447" i="172" a="1"/>
  <c r="W447" i="172" s="1"/>
  <c r="W484" i="172" a="1"/>
  <c r="W484" i="172" s="1"/>
  <c r="W495" i="172" a="1"/>
  <c r="W495" i="172" s="1"/>
  <c r="W505" i="172" a="1"/>
  <c r="W505" i="172" s="1"/>
  <c r="W521" i="172" a="1"/>
  <c r="W521" i="172" s="1"/>
  <c r="W532" i="172" a="1"/>
  <c r="W532" i="172" s="1"/>
  <c r="W543" i="172" a="1"/>
  <c r="W543" i="172" s="1"/>
  <c r="W554" i="172" a="1"/>
  <c r="W554" i="172" s="1"/>
  <c r="W560" i="172" a="1"/>
  <c r="W560" i="172" s="1"/>
  <c r="W582" i="172" a="1"/>
  <c r="W582" i="172" s="1"/>
  <c r="W593" i="172" a="1"/>
  <c r="W593" i="172" s="1"/>
  <c r="W598" i="172" a="1"/>
  <c r="W598" i="172" s="1"/>
  <c r="W649" i="172" a="1"/>
  <c r="W649" i="172" s="1"/>
  <c r="W655" i="172" a="1"/>
  <c r="W655" i="172" s="1"/>
  <c r="W666" i="172" a="1"/>
  <c r="W666" i="172" s="1"/>
  <c r="W677" i="172" a="1"/>
  <c r="W677" i="172" s="1"/>
  <c r="W683" i="172" a="1"/>
  <c r="W683" i="172" s="1"/>
  <c r="W689" i="172" a="1"/>
  <c r="W689" i="172" s="1"/>
  <c r="W695" i="172" a="1"/>
  <c r="W695" i="172" s="1"/>
  <c r="W706" i="172" a="1"/>
  <c r="W706" i="172" s="1"/>
  <c r="W717" i="172" a="1"/>
  <c r="W717" i="172" s="1"/>
  <c r="W723" i="172" a="1"/>
  <c r="W723" i="172" s="1"/>
  <c r="W750" i="172" a="1"/>
  <c r="W750" i="172" s="1"/>
  <c r="W755" i="172" a="1"/>
  <c r="W755" i="172" s="1"/>
  <c r="W758" i="172" a="1"/>
  <c r="W758" i="172" s="1"/>
  <c r="W775" i="172" a="1"/>
  <c r="W775" i="172" s="1"/>
  <c r="W778" i="172" a="1"/>
  <c r="W778" i="172" s="1"/>
  <c r="W791" i="172" a="1"/>
  <c r="W791" i="172" s="1"/>
  <c r="W794" i="172" a="1"/>
  <c r="W794" i="172" s="1"/>
  <c r="W805" i="172" a="1"/>
  <c r="W805" i="172" s="1"/>
  <c r="W807" i="172" a="1"/>
  <c r="W807" i="172" s="1"/>
  <c r="W811" i="172" a="1"/>
  <c r="W811" i="172" s="1"/>
  <c r="W820" i="172" a="1"/>
  <c r="W820" i="172" s="1"/>
  <c r="W823" i="172" a="1"/>
  <c r="W823" i="172" s="1"/>
  <c r="W826" i="172" a="1"/>
  <c r="W826" i="172" s="1"/>
  <c r="W827" i="172" a="1"/>
  <c r="W827" i="172" s="1"/>
  <c r="W830" i="172" a="1"/>
  <c r="W830" i="172" s="1"/>
  <c r="W833" i="172" a="1"/>
  <c r="W833" i="172" s="1"/>
  <c r="W837" i="172" a="1"/>
  <c r="W837" i="172" s="1"/>
  <c r="W849" i="172" a="1"/>
  <c r="W849" i="172" s="1"/>
  <c r="W853" i="172" a="1"/>
  <c r="W853" i="172" s="1"/>
  <c r="W857" i="172" a="1"/>
  <c r="W857" i="172" s="1"/>
  <c r="W861" i="172" a="1"/>
  <c r="W861" i="172" s="1"/>
  <c r="W239" i="172" a="1"/>
  <c r="W239" i="172" s="1"/>
  <c r="W272" i="172" a="1"/>
  <c r="W272" i="172" s="1"/>
  <c r="W480" i="172" a="1"/>
  <c r="W480" i="172" s="1"/>
  <c r="W496" i="172" a="1"/>
  <c r="W496" i="172" s="1"/>
  <c r="W501" i="172" a="1"/>
  <c r="W501" i="172" s="1"/>
  <c r="W517" i="172" a="1"/>
  <c r="W517" i="172" s="1"/>
  <c r="W528" i="172" a="1"/>
  <c r="W528" i="172" s="1"/>
  <c r="W550" i="172" a="1"/>
  <c r="W550" i="172" s="1"/>
  <c r="W589" i="172" a="1"/>
  <c r="W589" i="172" s="1"/>
  <c r="W605" i="172" a="1"/>
  <c r="W605" i="172" s="1"/>
  <c r="W628" i="172" a="1"/>
  <c r="W628" i="172" s="1"/>
  <c r="W634" i="172" a="1"/>
  <c r="W634" i="172" s="1"/>
  <c r="W645" i="172" a="1"/>
  <c r="W645" i="172" s="1"/>
  <c r="W656" i="172" a="1"/>
  <c r="W656" i="172" s="1"/>
  <c r="W662" i="172" a="1"/>
  <c r="W662" i="172" s="1"/>
  <c r="W713" i="172" a="1"/>
  <c r="W713" i="172" s="1"/>
  <c r="W741" i="172" a="1"/>
  <c r="W741" i="172" s="1"/>
  <c r="W747" i="172" a="1"/>
  <c r="W747" i="172" s="1"/>
  <c r="W756" i="172" a="1"/>
  <c r="W756" i="172" s="1"/>
  <c r="W773" i="172" a="1"/>
  <c r="W773" i="172" s="1"/>
  <c r="W776" i="172" a="1"/>
  <c r="W776" i="172" s="1"/>
  <c r="W779" i="172" a="1"/>
  <c r="W779" i="172" s="1"/>
  <c r="W789" i="172" a="1"/>
  <c r="W789" i="172" s="1"/>
  <c r="W792" i="172" a="1"/>
  <c r="W792" i="172" s="1"/>
  <c r="W797" i="172" a="1"/>
  <c r="W797" i="172" s="1"/>
  <c r="W799" i="172" a="1"/>
  <c r="W799" i="172" s="1"/>
  <c r="W803" i="172" a="1"/>
  <c r="W803" i="172" s="1"/>
  <c r="W814" i="172" a="1"/>
  <c r="W814" i="172" s="1"/>
  <c r="W819" i="172" a="1"/>
  <c r="W819" i="172" s="1"/>
  <c r="W822" i="172" a="1"/>
  <c r="W822" i="172" s="1"/>
  <c r="W825" i="172" a="1"/>
  <c r="W825" i="172" s="1"/>
  <c r="W829" i="172" a="1"/>
  <c r="W829" i="172" s="1"/>
  <c r="W840" i="172" a="1"/>
  <c r="W840" i="172" s="1"/>
  <c r="W844" i="172" a="1"/>
  <c r="W844" i="172" s="1"/>
  <c r="W848" i="172" a="1"/>
  <c r="W848" i="172" s="1"/>
  <c r="W852" i="172" a="1"/>
  <c r="W852" i="172" s="1"/>
  <c r="W856" i="172" a="1"/>
  <c r="W856" i="172" s="1"/>
  <c r="W860" i="172" a="1"/>
  <c r="W860" i="172" s="1"/>
  <c r="W864" i="172" a="1"/>
  <c r="W864" i="172" s="1"/>
  <c r="W866" i="172" a="1"/>
  <c r="W866" i="172" s="1"/>
  <c r="W868" i="172" a="1"/>
  <c r="W868" i="172" s="1"/>
  <c r="W870" i="172" a="1"/>
  <c r="W870" i="172" s="1"/>
  <c r="W872" i="172" a="1"/>
  <c r="W872" i="172" s="1"/>
  <c r="W874" i="172" a="1"/>
  <c r="W874" i="172" s="1"/>
  <c r="W876" i="172" a="1"/>
  <c r="W876" i="172" s="1"/>
  <c r="W878" i="172" a="1"/>
  <c r="W878" i="172" s="1"/>
  <c r="W880" i="172" a="1"/>
  <c r="W880" i="172" s="1"/>
  <c r="W882" i="172" a="1"/>
  <c r="W882" i="172" s="1"/>
  <c r="W884" i="172" a="1"/>
  <c r="W884" i="172" s="1"/>
  <c r="W886" i="172" a="1"/>
  <c r="W886" i="172" s="1"/>
  <c r="W888" i="172" a="1"/>
  <c r="W888" i="172" s="1"/>
  <c r="W890" i="172" a="1"/>
  <c r="W890" i="172" s="1"/>
  <c r="W892" i="172" a="1"/>
  <c r="W892" i="172" s="1"/>
  <c r="W894" i="172" a="1"/>
  <c r="W894" i="172" s="1"/>
  <c r="W896" i="172" a="1"/>
  <c r="W896" i="172" s="1"/>
  <c r="W898" i="172" a="1"/>
  <c r="W898" i="172" s="1"/>
  <c r="W900" i="172" a="1"/>
  <c r="W900" i="172" s="1"/>
  <c r="W902" i="172" a="1"/>
  <c r="W902" i="172" s="1"/>
  <c r="W904" i="172" a="1"/>
  <c r="W904" i="172" s="1"/>
  <c r="W906" i="172" a="1"/>
  <c r="W906" i="172" s="1"/>
  <c r="W908" i="172" a="1"/>
  <c r="W908" i="172" s="1"/>
  <c r="W910" i="172" a="1"/>
  <c r="W910" i="172" s="1"/>
  <c r="W912" i="172" a="1"/>
  <c r="W912" i="172" s="1"/>
  <c r="W257" i="172" a="1"/>
  <c r="W257" i="172" s="1"/>
  <c r="W262" i="172" a="1"/>
  <c r="W262" i="172" s="1"/>
  <c r="W268" i="172" a="1"/>
  <c r="W268" i="172" s="1"/>
  <c r="W279" i="172" a="1"/>
  <c r="W279" i="172" s="1"/>
  <c r="W285" i="172" a="1"/>
  <c r="W285" i="172" s="1"/>
  <c r="W311" i="172" a="1"/>
  <c r="W311" i="172" s="1"/>
  <c r="W316" i="172" a="1"/>
  <c r="W316" i="172" s="1"/>
  <c r="W327" i="172" a="1"/>
  <c r="W327" i="172" s="1"/>
  <c r="W332" i="172" a="1"/>
  <c r="W332" i="172" s="1"/>
  <c r="W343" i="172" a="1"/>
  <c r="W343" i="172" s="1"/>
  <c r="W348" i="172" a="1"/>
  <c r="W348" i="172" s="1"/>
  <c r="W359" i="172" a="1"/>
  <c r="W359" i="172" s="1"/>
  <c r="W364" i="172" a="1"/>
  <c r="W364" i="172" s="1"/>
  <c r="W375" i="172" a="1"/>
  <c r="W375" i="172" s="1"/>
  <c r="W380" i="172" a="1"/>
  <c r="W380" i="172" s="1"/>
  <c r="W391" i="172" a="1"/>
  <c r="W391" i="172" s="1"/>
  <c r="W396" i="172" a="1"/>
  <c r="W396" i="172" s="1"/>
  <c r="W407" i="172" a="1"/>
  <c r="W407" i="172" s="1"/>
  <c r="W412" i="172" a="1"/>
  <c r="W412" i="172" s="1"/>
  <c r="W423" i="172" a="1"/>
  <c r="W423" i="172" s="1"/>
  <c r="W428" i="172" a="1"/>
  <c r="W428" i="172" s="1"/>
  <c r="W439" i="172" a="1"/>
  <c r="W439" i="172" s="1"/>
  <c r="W444" i="172" a="1"/>
  <c r="W444" i="172" s="1"/>
  <c r="W476" i="172" a="1"/>
  <c r="W476" i="172" s="1"/>
  <c r="W497" i="172" a="1"/>
  <c r="W497" i="172" s="1"/>
  <c r="W513" i="172" a="1"/>
  <c r="W513" i="172" s="1"/>
  <c r="W557" i="172" a="1"/>
  <c r="W557" i="172" s="1"/>
  <c r="W579" i="172" a="1"/>
  <c r="W579" i="172" s="1"/>
  <c r="W585" i="172" a="1"/>
  <c r="W585" i="172" s="1"/>
  <c r="W601" i="172" a="1"/>
  <c r="W601" i="172" s="1"/>
  <c r="W612" i="172" a="1"/>
  <c r="W612" i="172" s="1"/>
  <c r="W618" i="172" a="1"/>
  <c r="W618" i="172" s="1"/>
  <c r="W630" i="172" a="1"/>
  <c r="W630" i="172" s="1"/>
  <c r="W652" i="172" a="1"/>
  <c r="W652" i="172" s="1"/>
  <c r="W686" i="172" a="1"/>
  <c r="W686" i="172" s="1"/>
  <c r="W720" i="172" a="1"/>
  <c r="W720" i="172" s="1"/>
  <c r="W751" i="172" a="1"/>
  <c r="W751" i="172" s="1"/>
  <c r="W762" i="172" a="1"/>
  <c r="W762" i="172" s="1"/>
  <c r="W767" i="172" a="1"/>
  <c r="W767" i="172" s="1"/>
  <c r="W770" i="172" a="1"/>
  <c r="W770" i="172" s="1"/>
  <c r="W783" i="172" a="1"/>
  <c r="W783" i="172" s="1"/>
  <c r="W786" i="172" a="1"/>
  <c r="W786" i="172" s="1"/>
  <c r="W795" i="172" a="1"/>
  <c r="W795" i="172" s="1"/>
  <c r="W806" i="172" a="1"/>
  <c r="W806" i="172" s="1"/>
  <c r="W808" i="172" a="1"/>
  <c r="W808" i="172" s="1"/>
  <c r="W810" i="172" a="1"/>
  <c r="W810" i="172" s="1"/>
  <c r="W816" i="172" a="1"/>
  <c r="W816" i="172" s="1"/>
  <c r="W821" i="172" a="1"/>
  <c r="W821" i="172" s="1"/>
  <c r="W832" i="172" a="1"/>
  <c r="W832" i="172" s="1"/>
  <c r="W836" i="172" a="1"/>
  <c r="W836" i="172" s="1"/>
  <c r="W839" i="172" a="1"/>
  <c r="W839" i="172" s="1"/>
  <c r="W842" i="172" a="1"/>
  <c r="W842" i="172" s="1"/>
  <c r="W843" i="172" a="1"/>
  <c r="W843" i="172" s="1"/>
  <c r="W846" i="172" a="1"/>
  <c r="W846" i="172" s="1"/>
  <c r="W847" i="172" a="1"/>
  <c r="W847" i="172" s="1"/>
  <c r="W851" i="172" a="1"/>
  <c r="W851" i="172" s="1"/>
  <c r="W855" i="172" a="1"/>
  <c r="W855" i="172" s="1"/>
  <c r="W859" i="172" a="1"/>
  <c r="W859" i="172" s="1"/>
  <c r="W863" i="172" a="1"/>
  <c r="W863" i="172" s="1"/>
  <c r="W251" i="172" a="1"/>
  <c r="W251" i="172" s="1"/>
  <c r="W258" i="172" a="1"/>
  <c r="W258" i="172" s="1"/>
  <c r="W275" i="172" a="1"/>
  <c r="W275" i="172" s="1"/>
  <c r="W286" i="172" a="1"/>
  <c r="W286" i="172" s="1"/>
  <c r="W509" i="172" a="1"/>
  <c r="W509" i="172" s="1"/>
  <c r="W525" i="172" a="1"/>
  <c r="W525" i="172" s="1"/>
  <c r="W547" i="172" a="1"/>
  <c r="W547" i="172" s="1"/>
  <c r="W553" i="172" a="1"/>
  <c r="W553" i="172" s="1"/>
  <c r="W564" i="172" a="1"/>
  <c r="W564" i="172" s="1"/>
  <c r="W575" i="172" a="1"/>
  <c r="W575" i="172" s="1"/>
  <c r="W586" i="172" a="1"/>
  <c r="W586" i="172" s="1"/>
  <c r="W597" i="172" a="1"/>
  <c r="W597" i="172" s="1"/>
  <c r="W602" i="172" a="1"/>
  <c r="W602" i="172" s="1"/>
  <c r="W608" i="172" a="1"/>
  <c r="W608" i="172" s="1"/>
  <c r="W659" i="172" a="1"/>
  <c r="W659" i="172" s="1"/>
  <c r="W681" i="172" a="1"/>
  <c r="W681" i="172" s="1"/>
  <c r="W693" i="172" a="1"/>
  <c r="W693" i="172" s="1"/>
  <c r="W710" i="172" a="1"/>
  <c r="W710" i="172" s="1"/>
  <c r="W716" i="172" a="1"/>
  <c r="W716" i="172" s="1"/>
  <c r="W727" i="172" a="1"/>
  <c r="W727" i="172" s="1"/>
  <c r="W738" i="172" a="1"/>
  <c r="W738" i="172" s="1"/>
  <c r="W744" i="172" a="1"/>
  <c r="W744" i="172" s="1"/>
  <c r="W752" i="172" a="1"/>
  <c r="W752" i="172" s="1"/>
  <c r="W768" i="172" a="1"/>
  <c r="W768" i="172" s="1"/>
  <c r="W771" i="172" a="1"/>
  <c r="W771" i="172" s="1"/>
  <c r="W781" i="172" a="1"/>
  <c r="W781" i="172" s="1"/>
  <c r="W784" i="172" a="1"/>
  <c r="W784" i="172" s="1"/>
  <c r="W787" i="172" a="1"/>
  <c r="W787" i="172" s="1"/>
  <c r="W798" i="172" a="1"/>
  <c r="W798" i="172" s="1"/>
  <c r="W800" i="172" a="1"/>
  <c r="W800" i="172" s="1"/>
  <c r="W802" i="172" a="1"/>
  <c r="W802" i="172" s="1"/>
  <c r="W813" i="172" a="1"/>
  <c r="W813" i="172" s="1"/>
  <c r="W817" i="172" a="1"/>
  <c r="W817" i="172" s="1"/>
  <c r="W824" i="172" a="1"/>
  <c r="W824" i="172" s="1"/>
  <c r="W828" i="172" a="1"/>
  <c r="W828" i="172" s="1"/>
  <c r="W831" i="172" a="1"/>
  <c r="W831" i="172" s="1"/>
  <c r="W834" i="172" a="1"/>
  <c r="W834" i="172" s="1"/>
  <c r="W835" i="172" a="1"/>
  <c r="W835" i="172" s="1"/>
  <c r="W838" i="172" a="1"/>
  <c r="W838" i="172" s="1"/>
  <c r="W841" i="172" a="1"/>
  <c r="W841" i="172" s="1"/>
  <c r="W845" i="172" a="1"/>
  <c r="W845" i="172" s="1"/>
  <c r="W850" i="172" a="1"/>
  <c r="W850" i="172" s="1"/>
  <c r="W854" i="172" a="1"/>
  <c r="W854" i="172" s="1"/>
  <c r="W858" i="172" a="1"/>
  <c r="W858" i="172" s="1"/>
  <c r="W862" i="172" a="1"/>
  <c r="W862" i="172" s="1"/>
  <c r="W865" i="172" a="1"/>
  <c r="W865" i="172" s="1"/>
  <c r="W867" i="172" a="1"/>
  <c r="W867" i="172" s="1"/>
  <c r="W869" i="172" a="1"/>
  <c r="W869" i="172" s="1"/>
  <c r="W871" i="172" a="1"/>
  <c r="W871" i="172" s="1"/>
  <c r="W873" i="172" a="1"/>
  <c r="W873" i="172" s="1"/>
  <c r="W875" i="172" a="1"/>
  <c r="W875" i="172" s="1"/>
  <c r="W877" i="172" a="1"/>
  <c r="W877" i="172" s="1"/>
  <c r="W879" i="172" a="1"/>
  <c r="W879" i="172" s="1"/>
  <c r="W881" i="172" a="1"/>
  <c r="W881" i="172" s="1"/>
  <c r="W883" i="172" a="1"/>
  <c r="W883" i="172" s="1"/>
  <c r="W885" i="172" a="1"/>
  <c r="W885" i="172" s="1"/>
  <c r="W887" i="172" a="1"/>
  <c r="W887" i="172" s="1"/>
  <c r="W889" i="172" a="1"/>
  <c r="W889" i="172" s="1"/>
  <c r="W891" i="172" a="1"/>
  <c r="W891" i="172" s="1"/>
  <c r="W893" i="172" a="1"/>
  <c r="W893" i="172" s="1"/>
  <c r="W895" i="172" a="1"/>
  <c r="W895" i="172" s="1"/>
  <c r="W897" i="172" a="1"/>
  <c r="W897" i="172" s="1"/>
  <c r="W899" i="172" a="1"/>
  <c r="W899" i="172" s="1"/>
  <c r="W907" i="172" a="1"/>
  <c r="W907" i="172" s="1"/>
  <c r="W916" i="172" a="1"/>
  <c r="W916" i="172" s="1"/>
  <c r="W919" i="172" a="1"/>
  <c r="W919" i="172" s="1"/>
  <c r="W924" i="172" a="1"/>
  <c r="W924" i="172" s="1"/>
  <c r="W927" i="172" a="1"/>
  <c r="W927" i="172" s="1"/>
  <c r="W929" i="172" a="1"/>
  <c r="W929" i="172" s="1"/>
  <c r="W931" i="172" a="1"/>
  <c r="W931" i="172" s="1"/>
  <c r="W933" i="172" a="1"/>
  <c r="W933" i="172" s="1"/>
  <c r="W935" i="172" a="1"/>
  <c r="W935" i="172" s="1"/>
  <c r="W937" i="172" a="1"/>
  <c r="W937" i="172" s="1"/>
  <c r="W939" i="172" a="1"/>
  <c r="W939" i="172" s="1"/>
  <c r="W941" i="172" a="1"/>
  <c r="W941" i="172" s="1"/>
  <c r="W943" i="172" a="1"/>
  <c r="W943" i="172" s="1"/>
  <c r="W945" i="172" a="1"/>
  <c r="W945" i="172" s="1"/>
  <c r="W947" i="172" a="1"/>
  <c r="W947" i="172" s="1"/>
  <c r="W949" i="172" a="1"/>
  <c r="W949" i="172" s="1"/>
  <c r="W951" i="172" a="1"/>
  <c r="W951" i="172" s="1"/>
  <c r="W953" i="172" a="1"/>
  <c r="W953" i="172" s="1"/>
  <c r="W955" i="172" a="1"/>
  <c r="W955" i="172" s="1"/>
  <c r="W957" i="172" a="1"/>
  <c r="W957" i="172" s="1"/>
  <c r="W959" i="172" a="1"/>
  <c r="W959" i="172" s="1"/>
  <c r="W961" i="172" a="1"/>
  <c r="W961" i="172" s="1"/>
  <c r="W963" i="172" a="1"/>
  <c r="W963" i="172" s="1"/>
  <c r="W965" i="172" a="1"/>
  <c r="W965" i="172" s="1"/>
  <c r="W967" i="172" a="1"/>
  <c r="W967" i="172" s="1"/>
  <c r="W969" i="172" a="1"/>
  <c r="W969" i="172" s="1"/>
  <c r="W971" i="172" a="1"/>
  <c r="W971" i="172" s="1"/>
  <c r="W973" i="172" a="1"/>
  <c r="W973" i="172" s="1"/>
  <c r="W975" i="172" a="1"/>
  <c r="W975" i="172" s="1"/>
  <c r="W977" i="172" a="1"/>
  <c r="W977" i="172" s="1"/>
  <c r="W979" i="172" a="1"/>
  <c r="W979" i="172" s="1"/>
  <c r="W981" i="172" a="1"/>
  <c r="W981" i="172" s="1"/>
  <c r="W983" i="172" a="1"/>
  <c r="W983" i="172" s="1"/>
  <c r="W985" i="172" a="1"/>
  <c r="W985" i="172" s="1"/>
  <c r="W987" i="172" a="1"/>
  <c r="W987" i="172" s="1"/>
  <c r="W989" i="172" a="1"/>
  <c r="W989" i="172" s="1"/>
  <c r="W901" i="172" a="1"/>
  <c r="W901" i="172" s="1"/>
  <c r="W909" i="172" a="1"/>
  <c r="W909" i="172" s="1"/>
  <c r="W914" i="172" a="1"/>
  <c r="W914" i="172" s="1"/>
  <c r="W917" i="172" a="1"/>
  <c r="W917" i="172" s="1"/>
  <c r="W922" i="172" a="1"/>
  <c r="W922" i="172" s="1"/>
  <c r="W925" i="172" a="1"/>
  <c r="W925" i="172" s="1"/>
  <c r="W995" i="172" a="1"/>
  <c r="W995" i="172" s="1"/>
  <c r="W903" i="172" a="1"/>
  <c r="W903" i="172" s="1"/>
  <c r="W911" i="172" a="1"/>
  <c r="W911" i="172" s="1"/>
  <c r="W915" i="172" a="1"/>
  <c r="W915" i="172" s="1"/>
  <c r="W920" i="172" a="1"/>
  <c r="W920" i="172" s="1"/>
  <c r="W923" i="172" a="1"/>
  <c r="W923" i="172" s="1"/>
  <c r="W928" i="172" a="1"/>
  <c r="W928" i="172" s="1"/>
  <c r="W930" i="172" a="1"/>
  <c r="W930" i="172" s="1"/>
  <c r="W932" i="172" a="1"/>
  <c r="W932" i="172" s="1"/>
  <c r="W934" i="172" a="1"/>
  <c r="W934" i="172" s="1"/>
  <c r="W936" i="172" a="1"/>
  <c r="W936" i="172" s="1"/>
  <c r="W938" i="172" a="1"/>
  <c r="W938" i="172" s="1"/>
  <c r="W940" i="172" a="1"/>
  <c r="W940" i="172" s="1"/>
  <c r="W942" i="172" a="1"/>
  <c r="W942" i="172" s="1"/>
  <c r="W944" i="172" a="1"/>
  <c r="W944" i="172" s="1"/>
  <c r="W946" i="172" a="1"/>
  <c r="W946" i="172" s="1"/>
  <c r="W948" i="172" a="1"/>
  <c r="W948" i="172" s="1"/>
  <c r="W950" i="172" a="1"/>
  <c r="W950" i="172" s="1"/>
  <c r="W952" i="172" a="1"/>
  <c r="W952" i="172" s="1"/>
  <c r="W954" i="172" a="1"/>
  <c r="W954" i="172" s="1"/>
  <c r="W956" i="172" a="1"/>
  <c r="W956" i="172" s="1"/>
  <c r="W958" i="172" a="1"/>
  <c r="W958" i="172" s="1"/>
  <c r="W960" i="172" a="1"/>
  <c r="W960" i="172" s="1"/>
  <c r="W962" i="172" a="1"/>
  <c r="W962" i="172" s="1"/>
  <c r="W964" i="172" a="1"/>
  <c r="W964" i="172" s="1"/>
  <c r="W966" i="172" a="1"/>
  <c r="W966" i="172" s="1"/>
  <c r="W968" i="172" a="1"/>
  <c r="W968" i="172" s="1"/>
  <c r="W970" i="172" a="1"/>
  <c r="W970" i="172" s="1"/>
  <c r="W972" i="172" a="1"/>
  <c r="W972" i="172" s="1"/>
  <c r="W974" i="172" a="1"/>
  <c r="W974" i="172" s="1"/>
  <c r="W976" i="172" a="1"/>
  <c r="W976" i="172" s="1"/>
  <c r="W978" i="172" a="1"/>
  <c r="W978" i="172" s="1"/>
  <c r="W980" i="172" a="1"/>
  <c r="W980" i="172" s="1"/>
  <c r="W982" i="172" a="1"/>
  <c r="W982" i="172" s="1"/>
  <c r="W984" i="172" a="1"/>
  <c r="W984" i="172" s="1"/>
  <c r="W986" i="172" a="1"/>
  <c r="W986" i="172" s="1"/>
  <c r="W988" i="172" a="1"/>
  <c r="W988" i="172" s="1"/>
  <c r="W990" i="172" a="1"/>
  <c r="W990" i="172" s="1"/>
  <c r="W992" i="172" a="1"/>
  <c r="W992" i="172" s="1"/>
  <c r="W994" i="172" a="1"/>
  <c r="W994" i="172" s="1"/>
  <c r="W996" i="172" a="1"/>
  <c r="W996" i="172" s="1"/>
  <c r="W998" i="172" a="1"/>
  <c r="W998" i="172" s="1"/>
  <c r="W991" i="172" a="1"/>
  <c r="W991" i="172" s="1"/>
  <c r="W997" i="172" a="1"/>
  <c r="W997" i="172" s="1"/>
  <c r="W905" i="172" a="1"/>
  <c r="W905" i="172" s="1"/>
  <c r="W913" i="172" a="1"/>
  <c r="W913" i="172" s="1"/>
  <c r="W918" i="172" a="1"/>
  <c r="W918" i="172" s="1"/>
  <c r="W921" i="172" a="1"/>
  <c r="W921" i="172" s="1"/>
  <c r="W926" i="172" a="1"/>
  <c r="W926" i="172" s="1"/>
  <c r="W993" i="172" a="1"/>
  <c r="W993" i="172" s="1"/>
  <c r="W999" i="172" a="1"/>
  <c r="W999" i="172" s="1"/>
  <c r="X13" i="172" a="1"/>
  <c r="X13" i="172" s="1"/>
  <c r="X14" i="172" a="1"/>
  <c r="X14" i="172" s="1"/>
  <c r="X18" i="172" a="1"/>
  <c r="X18" i="172" s="1"/>
  <c r="X20" i="172" a="1"/>
  <c r="X20" i="172" s="1"/>
  <c r="X27" i="172" a="1"/>
  <c r="X27" i="172" s="1"/>
  <c r="X33" i="172" a="1"/>
  <c r="X33" i="172" s="1"/>
  <c r="X36" i="172" a="1"/>
  <c r="X36" i="172" s="1"/>
  <c r="X41" i="172" a="1"/>
  <c r="X41" i="172" s="1"/>
  <c r="X47" i="172" a="1"/>
  <c r="X47" i="172" s="1"/>
  <c r="X48" i="172" a="1"/>
  <c r="X48" i="172" s="1"/>
  <c r="X59" i="172" a="1"/>
  <c r="X59" i="172" s="1"/>
  <c r="X70" i="172" a="1"/>
  <c r="X70" i="172" s="1"/>
  <c r="X72" i="172" a="1"/>
  <c r="X72" i="172" s="1"/>
  <c r="X77" i="172" a="1"/>
  <c r="X77" i="172" s="1"/>
  <c r="X83" i="172" a="1"/>
  <c r="X83" i="172" s="1"/>
  <c r="X87" i="172" a="1"/>
  <c r="X87" i="172" s="1"/>
  <c r="X92" i="172" a="1"/>
  <c r="X92" i="172" s="1"/>
  <c r="X97" i="172" a="1"/>
  <c r="X97" i="172" s="1"/>
  <c r="X98" i="172" a="1"/>
  <c r="X98" i="172" s="1"/>
  <c r="X105" i="172" a="1"/>
  <c r="X105" i="172" s="1"/>
  <c r="X111" i="172" a="1"/>
  <c r="X111" i="172" s="1"/>
  <c r="X119" i="172" a="1"/>
  <c r="X119" i="172" s="1"/>
  <c r="X127" i="172" a="1"/>
  <c r="X127" i="172" s="1"/>
  <c r="X135" i="172" a="1"/>
  <c r="X135" i="172" s="1"/>
  <c r="X143" i="172" a="1"/>
  <c r="X143" i="172" s="1"/>
  <c r="X146" i="172" a="1"/>
  <c r="X146" i="172" s="1"/>
  <c r="X149" i="172" a="1"/>
  <c r="X149" i="172" s="1"/>
  <c r="X150" i="172" a="1"/>
  <c r="X150" i="172" s="1"/>
  <c r="X152" i="172" a="1"/>
  <c r="X152" i="172" s="1"/>
  <c r="X154" i="172" a="1"/>
  <c r="X154" i="172" s="1"/>
  <c r="X155" i="172" a="1"/>
  <c r="X155" i="172" s="1"/>
  <c r="X156" i="172" a="1"/>
  <c r="X156" i="172" s="1"/>
  <c r="X158" i="172" a="1"/>
  <c r="X158" i="172" s="1"/>
  <c r="X163" i="172" a="1"/>
  <c r="X163" i="172" s="1"/>
  <c r="X164" i="172" a="1"/>
  <c r="X164" i="172" s="1"/>
  <c r="X171" i="172" a="1"/>
  <c r="X171" i="172" s="1"/>
  <c r="X175" i="172" a="1"/>
  <c r="X175" i="172" s="1"/>
  <c r="X179" i="172" a="1"/>
  <c r="X179" i="172" s="1"/>
  <c r="X180" i="172" a="1"/>
  <c r="X180" i="172" s="1"/>
  <c r="X182" i="172" a="1"/>
  <c r="X182" i="172" s="1"/>
  <c r="X189" i="172" a="1"/>
  <c r="X189" i="172" s="1"/>
  <c r="X191" i="172" a="1"/>
  <c r="X191" i="172" s="1"/>
  <c r="X194" i="172" a="1"/>
  <c r="X194" i="172" s="1"/>
  <c r="X200" i="172" a="1"/>
  <c r="X200" i="172" s="1"/>
  <c r="X204" i="172" a="1"/>
  <c r="X204" i="172" s="1"/>
  <c r="X245" i="172" a="1"/>
  <c r="X245" i="172" s="1"/>
  <c r="X251" i="172" a="1"/>
  <c r="X251" i="172" s="1"/>
  <c r="X253" i="172" a="1"/>
  <c r="X253" i="172" s="1"/>
  <c r="X17" i="172" a="1"/>
  <c r="X17" i="172" s="1"/>
  <c r="X23" i="172" a="1"/>
  <c r="X23" i="172" s="1"/>
  <c r="X24" i="172" a="1"/>
  <c r="X24" i="172" s="1"/>
  <c r="X35" i="172" a="1"/>
  <c r="X35" i="172" s="1"/>
  <c r="X43" i="172" a="1"/>
  <c r="X43" i="172" s="1"/>
  <c r="X50" i="172" a="1"/>
  <c r="X50" i="172" s="1"/>
  <c r="X52" i="172" a="1"/>
  <c r="X52" i="172" s="1"/>
  <c r="X55" i="172" a="1"/>
  <c r="X55" i="172" s="1"/>
  <c r="X56" i="172" a="1"/>
  <c r="X56" i="172" s="1"/>
  <c r="X64" i="172" a="1"/>
  <c r="X64" i="172" s="1"/>
  <c r="X66" i="172" a="1"/>
  <c r="X66" i="172" s="1"/>
  <c r="X68" i="172" a="1"/>
  <c r="X68" i="172" s="1"/>
  <c r="X75" i="172" a="1"/>
  <c r="X75" i="172" s="1"/>
  <c r="X79" i="172" a="1"/>
  <c r="X79" i="172" s="1"/>
  <c r="X84" i="172" a="1"/>
  <c r="X84" i="172" s="1"/>
  <c r="X89" i="172" a="1"/>
  <c r="X89" i="172" s="1"/>
  <c r="X90" i="172" a="1"/>
  <c r="X90" i="172" s="1"/>
  <c r="X94" i="172" a="1"/>
  <c r="X94" i="172" s="1"/>
  <c r="X96" i="172" a="1"/>
  <c r="X96" i="172" s="1"/>
  <c r="X101" i="172" a="1"/>
  <c r="X101" i="172" s="1"/>
  <c r="X103" i="172" a="1"/>
  <c r="X103" i="172" s="1"/>
  <c r="X104" i="172" a="1"/>
  <c r="X104" i="172" s="1"/>
  <c r="X109" i="172" a="1"/>
  <c r="X109" i="172" s="1"/>
  <c r="X113" i="172" a="1"/>
  <c r="X113" i="172" s="1"/>
  <c r="X117" i="172" a="1"/>
  <c r="X117" i="172" s="1"/>
  <c r="X121" i="172" a="1"/>
  <c r="X121" i="172" s="1"/>
  <c r="X125" i="172" a="1"/>
  <c r="X125" i="172" s="1"/>
  <c r="X129" i="172" a="1"/>
  <c r="X129" i="172" s="1"/>
  <c r="X133" i="172" a="1"/>
  <c r="X133" i="172" s="1"/>
  <c r="X137" i="172" a="1"/>
  <c r="X137" i="172" s="1"/>
  <c r="X141" i="172" a="1"/>
  <c r="X141" i="172" s="1"/>
  <c r="X160" i="172" a="1"/>
  <c r="X160" i="172" s="1"/>
  <c r="X162" i="172" a="1"/>
  <c r="X162" i="172" s="1"/>
  <c r="X167" i="172" a="1"/>
  <c r="X167" i="172" s="1"/>
  <c r="X169" i="172" a="1"/>
  <c r="X169" i="172" s="1"/>
  <c r="X170" i="172" a="1"/>
  <c r="X170" i="172" s="1"/>
  <c r="X178" i="172" a="1"/>
  <c r="X178" i="172" s="1"/>
  <c r="X185" i="172" a="1"/>
  <c r="X185" i="172" s="1"/>
  <c r="X187" i="172" a="1"/>
  <c r="X187" i="172" s="1"/>
  <c r="X188" i="172" a="1"/>
  <c r="X188" i="172" s="1"/>
  <c r="X190" i="172" a="1"/>
  <c r="X190" i="172" s="1"/>
  <c r="X193" i="172" a="1"/>
  <c r="X193" i="172" s="1"/>
  <c r="X196" i="172" a="1"/>
  <c r="X196" i="172" s="1"/>
  <c r="X199" i="172" a="1"/>
  <c r="X199" i="172" s="1"/>
  <c r="X203" i="172" a="1"/>
  <c r="X203" i="172" s="1"/>
  <c r="X206" i="172" a="1"/>
  <c r="X206" i="172" s="1"/>
  <c r="X209" i="172" a="1"/>
  <c r="X209" i="172" s="1"/>
  <c r="X211" i="172" a="1"/>
  <c r="X211" i="172" s="1"/>
  <c r="X212" i="172" a="1"/>
  <c r="X212" i="172" s="1"/>
  <c r="X214" i="172" a="1"/>
  <c r="X214" i="172" s="1"/>
  <c r="X217" i="172" a="1"/>
  <c r="X217" i="172" s="1"/>
  <c r="X219" i="172" a="1"/>
  <c r="X219" i="172" s="1"/>
  <c r="X220" i="172" a="1"/>
  <c r="X220" i="172" s="1"/>
  <c r="X222" i="172" a="1"/>
  <c r="X222" i="172" s="1"/>
  <c r="X225" i="172" a="1"/>
  <c r="X225" i="172" s="1"/>
  <c r="X227" i="172" a="1"/>
  <c r="X227" i="172" s="1"/>
  <c r="X228" i="172" a="1"/>
  <c r="X228" i="172" s="1"/>
  <c r="X230" i="172" a="1"/>
  <c r="X230" i="172" s="1"/>
  <c r="X233" i="172" a="1"/>
  <c r="X233" i="172" s="1"/>
  <c r="X235" i="172" a="1"/>
  <c r="X235" i="172" s="1"/>
  <c r="X236" i="172" a="1"/>
  <c r="X236" i="172" s="1"/>
  <c r="X238" i="172" a="1"/>
  <c r="X238" i="172" s="1"/>
  <c r="X241" i="172" a="1"/>
  <c r="X241" i="172" s="1"/>
  <c r="X243" i="172" a="1"/>
  <c r="X243" i="172" s="1"/>
  <c r="X244" i="172" a="1"/>
  <c r="X244" i="172" s="1"/>
  <c r="X247" i="172" a="1"/>
  <c r="X247" i="172" s="1"/>
  <c r="X19" i="172" a="1"/>
  <c r="X19" i="172" s="1"/>
  <c r="X26" i="172" a="1"/>
  <c r="X26" i="172" s="1"/>
  <c r="X29" i="172" a="1"/>
  <c r="X29" i="172" s="1"/>
  <c r="X31" i="172" a="1"/>
  <c r="X31" i="172" s="1"/>
  <c r="X32" i="172" a="1"/>
  <c r="X32" i="172" s="1"/>
  <c r="X39" i="172" a="1"/>
  <c r="X39" i="172" s="1"/>
  <c r="X40" i="172" a="1"/>
  <c r="X40" i="172" s="1"/>
  <c r="X45" i="172" a="1"/>
  <c r="X45" i="172" s="1"/>
  <c r="X46" i="172" a="1"/>
  <c r="X46" i="172" s="1"/>
  <c r="X49" i="172" a="1"/>
  <c r="X49" i="172" s="1"/>
  <c r="X58" i="172" a="1"/>
  <c r="X58" i="172" s="1"/>
  <c r="X63" i="172" a="1"/>
  <c r="X63" i="172" s="1"/>
  <c r="X71" i="172" a="1"/>
  <c r="X71" i="172" s="1"/>
  <c r="X76" i="172" a="1"/>
  <c r="X76" i="172" s="1"/>
  <c r="X81" i="172" a="1"/>
  <c r="X81" i="172" s="1"/>
  <c r="X82" i="172" a="1"/>
  <c r="X82" i="172" s="1"/>
  <c r="X86" i="172" a="1"/>
  <c r="X86" i="172" s="1"/>
  <c r="X88" i="172" a="1"/>
  <c r="X88" i="172" s="1"/>
  <c r="X93" i="172" a="1"/>
  <c r="X93" i="172" s="1"/>
  <c r="X99" i="172" a="1"/>
  <c r="X99" i="172" s="1"/>
  <c r="X107" i="172" a="1"/>
  <c r="X107" i="172" s="1"/>
  <c r="X108" i="172" a="1"/>
  <c r="X108" i="172" s="1"/>
  <c r="X110" i="172" a="1"/>
  <c r="X110" i="172" s="1"/>
  <c r="X115" i="172" a="1"/>
  <c r="X115" i="172" s="1"/>
  <c r="X116" i="172" a="1"/>
  <c r="X116" i="172" s="1"/>
  <c r="X118" i="172" a="1"/>
  <c r="X118" i="172" s="1"/>
  <c r="X123" i="172" a="1"/>
  <c r="X123" i="172" s="1"/>
  <c r="X124" i="172" a="1"/>
  <c r="X124" i="172" s="1"/>
  <c r="X126" i="172" a="1"/>
  <c r="X126" i="172" s="1"/>
  <c r="X131" i="172" a="1"/>
  <c r="X131" i="172" s="1"/>
  <c r="X132" i="172" a="1"/>
  <c r="X132" i="172" s="1"/>
  <c r="X134" i="172" a="1"/>
  <c r="X134" i="172" s="1"/>
  <c r="X139" i="172" a="1"/>
  <c r="X139" i="172" s="1"/>
  <c r="X140" i="172" a="1"/>
  <c r="X140" i="172" s="1"/>
  <c r="X142" i="172" a="1"/>
  <c r="X142" i="172" s="1"/>
  <c r="X145" i="172" a="1"/>
  <c r="X145" i="172" s="1"/>
  <c r="X147" i="172" a="1"/>
  <c r="X147" i="172" s="1"/>
  <c r="X148" i="172" a="1"/>
  <c r="X148" i="172" s="1"/>
  <c r="X151" i="172" a="1"/>
  <c r="X151" i="172" s="1"/>
  <c r="X153" i="172" a="1"/>
  <c r="X153" i="172" s="1"/>
  <c r="X159" i="172" a="1"/>
  <c r="X159" i="172" s="1"/>
  <c r="X173" i="172" a="1"/>
  <c r="X173" i="172" s="1"/>
  <c r="X174" i="172" a="1"/>
  <c r="X174" i="172" s="1"/>
  <c r="X177" i="172" a="1"/>
  <c r="X177" i="172" s="1"/>
  <c r="X184" i="172" a="1"/>
  <c r="X184" i="172" s="1"/>
  <c r="X195" i="172" a="1"/>
  <c r="X195" i="172" s="1"/>
  <c r="X201" i="172" a="1"/>
  <c r="X201" i="172" s="1"/>
  <c r="X202" i="172" a="1"/>
  <c r="X202" i="172" s="1"/>
  <c r="X205" i="172" a="1"/>
  <c r="X205" i="172" s="1"/>
  <c r="X208" i="172" a="1"/>
  <c r="X208" i="172" s="1"/>
  <c r="X210" i="172" a="1"/>
  <c r="X210" i="172" s="1"/>
  <c r="X216" i="172" a="1"/>
  <c r="X216" i="172" s="1"/>
  <c r="X218" i="172" a="1"/>
  <c r="X218" i="172" s="1"/>
  <c r="X25" i="172" a="1"/>
  <c r="X25" i="172" s="1"/>
  <c r="X30" i="172" a="1"/>
  <c r="X30" i="172" s="1"/>
  <c r="X53" i="172" a="1"/>
  <c r="X53" i="172" s="1"/>
  <c r="X114" i="172" a="1"/>
  <c r="X114" i="172" s="1"/>
  <c r="X130" i="172" a="1"/>
  <c r="X130" i="172" s="1"/>
  <c r="X157" i="172" a="1"/>
  <c r="X157" i="172" s="1"/>
  <c r="X168" i="172" a="1"/>
  <c r="X168" i="172" s="1"/>
  <c r="X183" i="172" a="1"/>
  <c r="X183" i="172" s="1"/>
  <c r="X223" i="172" a="1"/>
  <c r="X223" i="172" s="1"/>
  <c r="X231" i="172" a="1"/>
  <c r="X231" i="172" s="1"/>
  <c r="X239" i="172" a="1"/>
  <c r="X239" i="172" s="1"/>
  <c r="X246" i="172" a="1"/>
  <c r="X246" i="172" s="1"/>
  <c r="X257" i="172" a="1"/>
  <c r="X257" i="172" s="1"/>
  <c r="X259" i="172" a="1"/>
  <c r="X259" i="172" s="1"/>
  <c r="X260" i="172" a="1"/>
  <c r="X260" i="172" s="1"/>
  <c r="X262" i="172" a="1"/>
  <c r="X262" i="172" s="1"/>
  <c r="X265" i="172" a="1"/>
  <c r="X265" i="172" s="1"/>
  <c r="X266" i="172" a="1"/>
  <c r="X266" i="172" s="1"/>
  <c r="X268" i="172" a="1"/>
  <c r="X268" i="172" s="1"/>
  <c r="X272" i="172" a="1"/>
  <c r="X272" i="172" s="1"/>
  <c r="X275" i="172" a="1"/>
  <c r="X275" i="172" s="1"/>
  <c r="X276" i="172" a="1"/>
  <c r="X276" i="172" s="1"/>
  <c r="X279" i="172" a="1"/>
  <c r="X279" i="172" s="1"/>
  <c r="X280" i="172" a="1"/>
  <c r="X280" i="172" s="1"/>
  <c r="X285" i="172" a="1"/>
  <c r="X285" i="172" s="1"/>
  <c r="X286" i="172" a="1"/>
  <c r="X286" i="172" s="1"/>
  <c r="X287" i="172" a="1"/>
  <c r="X287" i="172" s="1"/>
  <c r="X288" i="172" a="1"/>
  <c r="X288" i="172" s="1"/>
  <c r="X289" i="172" a="1"/>
  <c r="X289" i="172" s="1"/>
  <c r="X293" i="172" a="1"/>
  <c r="X293" i="172" s="1"/>
  <c r="X297" i="172" a="1"/>
  <c r="X297" i="172" s="1"/>
  <c r="X301" i="172" a="1"/>
  <c r="X301" i="172" s="1"/>
  <c r="X308" i="172" a="1"/>
  <c r="X308" i="172" s="1"/>
  <c r="X311" i="172" a="1"/>
  <c r="X311" i="172" s="1"/>
  <c r="X316" i="172" a="1"/>
  <c r="X316" i="172" s="1"/>
  <c r="X319" i="172" a="1"/>
  <c r="X319" i="172" s="1"/>
  <c r="X324" i="172" a="1"/>
  <c r="X324" i="172" s="1"/>
  <c r="X327" i="172" a="1"/>
  <c r="X327" i="172" s="1"/>
  <c r="X332" i="172" a="1"/>
  <c r="X332" i="172" s="1"/>
  <c r="X335" i="172" a="1"/>
  <c r="X335" i="172" s="1"/>
  <c r="X340" i="172" a="1"/>
  <c r="X340" i="172" s="1"/>
  <c r="X343" i="172" a="1"/>
  <c r="X343" i="172" s="1"/>
  <c r="X348" i="172" a="1"/>
  <c r="X348" i="172" s="1"/>
  <c r="X351" i="172" a="1"/>
  <c r="X351" i="172" s="1"/>
  <c r="X356" i="172" a="1"/>
  <c r="X356" i="172" s="1"/>
  <c r="X359" i="172" a="1"/>
  <c r="X359" i="172" s="1"/>
  <c r="X364" i="172" a="1"/>
  <c r="X364" i="172" s="1"/>
  <c r="X367" i="172" a="1"/>
  <c r="X367" i="172" s="1"/>
  <c r="X372" i="172" a="1"/>
  <c r="X372" i="172" s="1"/>
  <c r="X375" i="172" a="1"/>
  <c r="X375" i="172" s="1"/>
  <c r="X380" i="172" a="1"/>
  <c r="X380" i="172" s="1"/>
  <c r="X383" i="172" a="1"/>
  <c r="X383" i="172" s="1"/>
  <c r="X388" i="172" a="1"/>
  <c r="X388" i="172" s="1"/>
  <c r="X391" i="172" a="1"/>
  <c r="X391" i="172" s="1"/>
  <c r="X396" i="172" a="1"/>
  <c r="X396" i="172" s="1"/>
  <c r="X399" i="172" a="1"/>
  <c r="X399" i="172" s="1"/>
  <c r="X404" i="172" a="1"/>
  <c r="X404" i="172" s="1"/>
  <c r="X407" i="172" a="1"/>
  <c r="X407" i="172" s="1"/>
  <c r="X412" i="172" a="1"/>
  <c r="X412" i="172" s="1"/>
  <c r="X415" i="172" a="1"/>
  <c r="X415" i="172" s="1"/>
  <c r="X420" i="172" a="1"/>
  <c r="X420" i="172" s="1"/>
  <c r="X423" i="172" a="1"/>
  <c r="X423" i="172" s="1"/>
  <c r="X428" i="172" a="1"/>
  <c r="X428" i="172" s="1"/>
  <c r="X431" i="172" a="1"/>
  <c r="X431" i="172" s="1"/>
  <c r="X436" i="172" a="1"/>
  <c r="X436" i="172" s="1"/>
  <c r="X439" i="172" a="1"/>
  <c r="X439" i="172" s="1"/>
  <c r="X444" i="172" a="1"/>
  <c r="X444" i="172" s="1"/>
  <c r="X447" i="172" a="1"/>
  <c r="X447" i="172" s="1"/>
  <c r="X449" i="172" a="1"/>
  <c r="X449" i="172" s="1"/>
  <c r="X453" i="172" a="1"/>
  <c r="X453" i="172" s="1"/>
  <c r="X457" i="172" a="1"/>
  <c r="X457" i="172" s="1"/>
  <c r="X461" i="172" a="1"/>
  <c r="X461" i="172" s="1"/>
  <c r="X465" i="172" a="1"/>
  <c r="X465" i="172" s="1"/>
  <c r="X469" i="172" a="1"/>
  <c r="X469" i="172" s="1"/>
  <c r="X473" i="172" a="1"/>
  <c r="X473" i="172" s="1"/>
  <c r="X476" i="172" a="1"/>
  <c r="X476" i="172" s="1"/>
  <c r="X477" i="172" a="1"/>
  <c r="X477" i="172" s="1"/>
  <c r="X480" i="172" a="1"/>
  <c r="X480" i="172" s="1"/>
  <c r="X481" i="172" a="1"/>
  <c r="X481" i="172" s="1"/>
  <c r="X484" i="172" a="1"/>
  <c r="X484" i="172" s="1"/>
  <c r="X485" i="172" a="1"/>
  <c r="X485" i="172" s="1"/>
  <c r="X497" i="172" a="1"/>
  <c r="X497" i="172" s="1"/>
  <c r="X498" i="172" a="1"/>
  <c r="X498" i="172" s="1"/>
  <c r="X501" i="172" a="1"/>
  <c r="X501" i="172" s="1"/>
  <c r="X502" i="172" a="1"/>
  <c r="X502" i="172" s="1"/>
  <c r="X505" i="172" a="1"/>
  <c r="X505" i="172" s="1"/>
  <c r="X506" i="172" a="1"/>
  <c r="X506" i="172" s="1"/>
  <c r="X509" i="172" a="1"/>
  <c r="X509" i="172" s="1"/>
  <c r="X510" i="172" a="1"/>
  <c r="X510" i="172" s="1"/>
  <c r="X513" i="172" a="1"/>
  <c r="X513" i="172" s="1"/>
  <c r="X514" i="172" a="1"/>
  <c r="X514" i="172" s="1"/>
  <c r="X517" i="172" a="1"/>
  <c r="X517" i="172" s="1"/>
  <c r="X518" i="172" a="1"/>
  <c r="X518" i="172" s="1"/>
  <c r="X521" i="172" a="1"/>
  <c r="X521" i="172" s="1"/>
  <c r="X522" i="172" a="1"/>
  <c r="X522" i="172" s="1"/>
  <c r="X525" i="172" a="1"/>
  <c r="X525" i="172" s="1"/>
  <c r="X526" i="172" a="1"/>
  <c r="X526" i="172" s="1"/>
  <c r="X528" i="172" a="1"/>
  <c r="X528" i="172" s="1"/>
  <c r="X529" i="172" a="1"/>
  <c r="X529" i="172" s="1"/>
  <c r="X532" i="172" a="1"/>
  <c r="X532" i="172" s="1"/>
  <c r="X533" i="172" a="1"/>
  <c r="X533" i="172" s="1"/>
  <c r="X543" i="172" a="1"/>
  <c r="X543" i="172" s="1"/>
  <c r="X547" i="172" a="1"/>
  <c r="X547" i="172" s="1"/>
  <c r="X550" i="172" a="1"/>
  <c r="X550" i="172" s="1"/>
  <c r="X554" i="172" a="1"/>
  <c r="X554" i="172" s="1"/>
  <c r="X560" i="172" a="1"/>
  <c r="X560" i="172" s="1"/>
  <c r="X561" i="172" a="1"/>
  <c r="X561" i="172" s="1"/>
  <c r="X564" i="172" a="1"/>
  <c r="X564" i="172" s="1"/>
  <c r="X565" i="172" a="1"/>
  <c r="X565" i="172" s="1"/>
  <c r="X575" i="172" a="1"/>
  <c r="X575" i="172" s="1"/>
  <c r="X579" i="172" a="1"/>
  <c r="X579" i="172" s="1"/>
  <c r="X582" i="172" a="1"/>
  <c r="X582" i="172" s="1"/>
  <c r="X586" i="172" a="1"/>
  <c r="X586" i="172" s="1"/>
  <c r="X598" i="172" a="1"/>
  <c r="X598" i="172" s="1"/>
  <c r="X602" i="172" a="1"/>
  <c r="X602" i="172" s="1"/>
  <c r="X608" i="172" a="1"/>
  <c r="X608" i="172" s="1"/>
  <c r="X609" i="172" a="1"/>
  <c r="X609" i="172" s="1"/>
  <c r="X612" i="172" a="1"/>
  <c r="X612" i="172" s="1"/>
  <c r="X613" i="172" a="1"/>
  <c r="X613" i="172" s="1"/>
  <c r="X618" i="172" a="1"/>
  <c r="X618" i="172" s="1"/>
  <c r="X619" i="172" a="1"/>
  <c r="X619" i="172" s="1"/>
  <c r="X628" i="172" a="1"/>
  <c r="X628" i="172" s="1"/>
  <c r="X630" i="172" a="1"/>
  <c r="X630" i="172" s="1"/>
  <c r="X631" i="172" a="1"/>
  <c r="X631" i="172" s="1"/>
  <c r="X634" i="172" a="1"/>
  <c r="X634" i="172" s="1"/>
  <c r="X635" i="172" a="1"/>
  <c r="X635" i="172" s="1"/>
  <c r="X645" i="172" a="1"/>
  <c r="X645" i="172" s="1"/>
  <c r="X649" i="172" a="1"/>
  <c r="X649" i="172" s="1"/>
  <c r="X652" i="172" a="1"/>
  <c r="X652" i="172" s="1"/>
  <c r="X656" i="172" a="1"/>
  <c r="X656" i="172" s="1"/>
  <c r="X662" i="172" a="1"/>
  <c r="X662" i="172" s="1"/>
  <c r="X663" i="172" a="1"/>
  <c r="X663" i="172" s="1"/>
  <c r="X666" i="172" a="1"/>
  <c r="X666" i="172" s="1"/>
  <c r="X667" i="172" a="1"/>
  <c r="X667" i="172" s="1"/>
  <c r="X677" i="172" a="1"/>
  <c r="X677" i="172" s="1"/>
  <c r="X681" i="172" a="1"/>
  <c r="X681" i="172" s="1"/>
  <c r="X686" i="172" a="1"/>
  <c r="X686" i="172" s="1"/>
  <c r="X687" i="172" a="1"/>
  <c r="X687" i="172" s="1"/>
  <c r="X693" i="172" a="1"/>
  <c r="X693" i="172" s="1"/>
  <c r="X695" i="172" a="1"/>
  <c r="X695" i="172" s="1"/>
  <c r="X706" i="172" a="1"/>
  <c r="X706" i="172" s="1"/>
  <c r="X710" i="172" a="1"/>
  <c r="X710" i="172" s="1"/>
  <c r="X713" i="172" a="1"/>
  <c r="X713" i="172" s="1"/>
  <c r="X717" i="172" a="1"/>
  <c r="X717" i="172" s="1"/>
  <c r="X723" i="172" a="1"/>
  <c r="X723" i="172" s="1"/>
  <c r="X724" i="172" a="1"/>
  <c r="X724" i="172" s="1"/>
  <c r="X727" i="172" a="1"/>
  <c r="X727" i="172" s="1"/>
  <c r="X728" i="172" a="1"/>
  <c r="X728" i="172" s="1"/>
  <c r="X738" i="172" a="1"/>
  <c r="X738" i="172" s="1"/>
  <c r="X741" i="172" a="1"/>
  <c r="X741" i="172" s="1"/>
  <c r="X744" i="172" a="1"/>
  <c r="X744" i="172" s="1"/>
  <c r="X747" i="172" a="1"/>
  <c r="X747" i="172" s="1"/>
  <c r="X748" i="172" a="1"/>
  <c r="X748" i="172" s="1"/>
  <c r="X751" i="172" a="1"/>
  <c r="X751" i="172" s="1"/>
  <c r="X755" i="172" a="1"/>
  <c r="X755" i="172" s="1"/>
  <c r="X756" i="172" a="1"/>
  <c r="X756" i="172" s="1"/>
  <c r="X758" i="172" a="1"/>
  <c r="X758" i="172" s="1"/>
  <c r="X762" i="172" a="1"/>
  <c r="X762" i="172" s="1"/>
  <c r="X767" i="172" a="1"/>
  <c r="X767" i="172" s="1"/>
  <c r="X775" i="172" a="1"/>
  <c r="X775" i="172" s="1"/>
  <c r="X783" i="172" a="1"/>
  <c r="X783" i="172" s="1"/>
  <c r="X791" i="172" a="1"/>
  <c r="X791" i="172" s="1"/>
  <c r="X799" i="172" a="1"/>
  <c r="X799" i="172" s="1"/>
  <c r="X807" i="172" a="1"/>
  <c r="X807" i="172" s="1"/>
  <c r="X816" i="172" a="1"/>
  <c r="X816" i="172" s="1"/>
  <c r="X15" i="172" a="1"/>
  <c r="X15" i="172" s="1"/>
  <c r="X21" i="172" a="1"/>
  <c r="X21" i="172" s="1"/>
  <c r="X37" i="172" a="1"/>
  <c r="X37" i="172" s="1"/>
  <c r="X42" i="172" a="1"/>
  <c r="X42" i="172" s="1"/>
  <c r="X54" i="172" a="1"/>
  <c r="X54" i="172" s="1"/>
  <c r="X60" i="172" a="1"/>
  <c r="X60" i="172" s="1"/>
  <c r="X65" i="172" a="1"/>
  <c r="X65" i="172" s="1"/>
  <c r="X120" i="172" a="1"/>
  <c r="X120" i="172" s="1"/>
  <c r="X136" i="172" a="1"/>
  <c r="X136" i="172" s="1"/>
  <c r="X207" i="172" a="1"/>
  <c r="X207" i="172" s="1"/>
  <c r="X224" i="172" a="1"/>
  <c r="X224" i="172" s="1"/>
  <c r="X226" i="172" a="1"/>
  <c r="X226" i="172" s="1"/>
  <c r="X232" i="172" a="1"/>
  <c r="X232" i="172" s="1"/>
  <c r="X234" i="172" a="1"/>
  <c r="X234" i="172" s="1"/>
  <c r="X240" i="172" a="1"/>
  <c r="X240" i="172" s="1"/>
  <c r="X242" i="172" a="1"/>
  <c r="X242" i="172" s="1"/>
  <c r="X250" i="172" a="1"/>
  <c r="X250" i="172" s="1"/>
  <c r="X252" i="172" a="1"/>
  <c r="X252" i="172" s="1"/>
  <c r="X254" i="172" a="1"/>
  <c r="X254" i="172" s="1"/>
  <c r="X258" i="172" a="1"/>
  <c r="X258" i="172" s="1"/>
  <c r="X271" i="172" a="1"/>
  <c r="X271" i="172" s="1"/>
  <c r="X282" i="172" a="1"/>
  <c r="X282" i="172" s="1"/>
  <c r="X292" i="172" a="1"/>
  <c r="X292" i="172" s="1"/>
  <c r="X295" i="172" a="1"/>
  <c r="X295" i="172" s="1"/>
  <c r="X300" i="172" a="1"/>
  <c r="X300" i="172" s="1"/>
  <c r="X303" i="172" a="1"/>
  <c r="X303" i="172" s="1"/>
  <c r="X310" i="172" a="1"/>
  <c r="X310" i="172" s="1"/>
  <c r="X318" i="172" a="1"/>
  <c r="X318" i="172" s="1"/>
  <c r="X326" i="172" a="1"/>
  <c r="X326" i="172" s="1"/>
  <c r="X334" i="172" a="1"/>
  <c r="X334" i="172" s="1"/>
  <c r="X342" i="172" a="1"/>
  <c r="X342" i="172" s="1"/>
  <c r="X350" i="172" a="1"/>
  <c r="X350" i="172" s="1"/>
  <c r="X358" i="172" a="1"/>
  <c r="X358" i="172" s="1"/>
  <c r="X366" i="172" a="1"/>
  <c r="X366" i="172" s="1"/>
  <c r="X374" i="172" a="1"/>
  <c r="X374" i="172" s="1"/>
  <c r="X382" i="172" a="1"/>
  <c r="X382" i="172" s="1"/>
  <c r="X390" i="172" a="1"/>
  <c r="X390" i="172" s="1"/>
  <c r="X398" i="172" a="1"/>
  <c r="X398" i="172" s="1"/>
  <c r="X406" i="172" a="1"/>
  <c r="X406" i="172" s="1"/>
  <c r="X414" i="172" a="1"/>
  <c r="X414" i="172" s="1"/>
  <c r="X422" i="172" a="1"/>
  <c r="X422" i="172" s="1"/>
  <c r="X430" i="172" a="1"/>
  <c r="X430" i="172" s="1"/>
  <c r="X438" i="172" a="1"/>
  <c r="X438" i="172" s="1"/>
  <c r="X446" i="172" a="1"/>
  <c r="X446" i="172" s="1"/>
  <c r="X452" i="172" a="1"/>
  <c r="X452" i="172" s="1"/>
  <c r="X455" i="172" a="1"/>
  <c r="X455" i="172" s="1"/>
  <c r="X460" i="172" a="1"/>
  <c r="X460" i="172" s="1"/>
  <c r="X463" i="172" a="1"/>
  <c r="X463" i="172" s="1"/>
  <c r="X468" i="172" a="1"/>
  <c r="X468" i="172" s="1"/>
  <c r="X471" i="172" a="1"/>
  <c r="X471" i="172" s="1"/>
  <c r="X479" i="172" a="1"/>
  <c r="X479" i="172" s="1"/>
  <c r="X487" i="172" a="1"/>
  <c r="X487" i="172" s="1"/>
  <c r="X491" i="172" a="1"/>
  <c r="X491" i="172" s="1"/>
  <c r="X495" i="172" a="1"/>
  <c r="X495" i="172" s="1"/>
  <c r="X496" i="172" a="1"/>
  <c r="X496" i="172" s="1"/>
  <c r="X535" i="172" a="1"/>
  <c r="X535" i="172" s="1"/>
  <c r="X539" i="172" a="1"/>
  <c r="X539" i="172" s="1"/>
  <c r="X542" i="172" a="1"/>
  <c r="X542" i="172" s="1"/>
  <c r="X546" i="172" a="1"/>
  <c r="X546" i="172" s="1"/>
  <c r="X552" i="172" a="1"/>
  <c r="X552" i="172" s="1"/>
  <c r="X553" i="172" a="1"/>
  <c r="X553" i="172" s="1"/>
  <c r="X556" i="172" a="1"/>
  <c r="X556" i="172" s="1"/>
  <c r="X557" i="172" a="1"/>
  <c r="X557" i="172" s="1"/>
  <c r="X567" i="172" a="1"/>
  <c r="X567" i="172" s="1"/>
  <c r="X571" i="172" a="1"/>
  <c r="X571" i="172" s="1"/>
  <c r="X574" i="172" a="1"/>
  <c r="X574" i="172" s="1"/>
  <c r="X578" i="172" a="1"/>
  <c r="X578" i="172" s="1"/>
  <c r="X584" i="172" a="1"/>
  <c r="X584" i="172" s="1"/>
  <c r="X585" i="172" a="1"/>
  <c r="X585" i="172" s="1"/>
  <c r="X588" i="172" a="1"/>
  <c r="X588" i="172" s="1"/>
  <c r="X589" i="172" a="1"/>
  <c r="X589" i="172" s="1"/>
  <c r="X592" i="172" a="1"/>
  <c r="X592" i="172" s="1"/>
  <c r="X593" i="172" a="1"/>
  <c r="X593" i="172" s="1"/>
  <c r="X596" i="172" a="1"/>
  <c r="X596" i="172" s="1"/>
  <c r="X597" i="172" a="1"/>
  <c r="X597" i="172" s="1"/>
  <c r="X600" i="172" a="1"/>
  <c r="X600" i="172" s="1"/>
  <c r="X601" i="172" a="1"/>
  <c r="X601" i="172" s="1"/>
  <c r="X604" i="172" a="1"/>
  <c r="X604" i="172" s="1"/>
  <c r="X605" i="172" a="1"/>
  <c r="X605" i="172" s="1"/>
  <c r="X611" i="172" a="1"/>
  <c r="X611" i="172" s="1"/>
  <c r="X615" i="172" a="1"/>
  <c r="X615" i="172" s="1"/>
  <c r="X621" i="172" a="1"/>
  <c r="X621" i="172" s="1"/>
  <c r="X625" i="172" a="1"/>
  <c r="X625" i="172" s="1"/>
  <c r="X637" i="172" a="1"/>
  <c r="X637" i="172" s="1"/>
  <c r="X641" i="172" a="1"/>
  <c r="X641" i="172" s="1"/>
  <c r="X644" i="172" a="1"/>
  <c r="X644" i="172" s="1"/>
  <c r="X648" i="172" a="1"/>
  <c r="X648" i="172" s="1"/>
  <c r="X654" i="172" a="1"/>
  <c r="X654" i="172" s="1"/>
  <c r="X655" i="172" a="1"/>
  <c r="X655" i="172" s="1"/>
  <c r="X658" i="172" a="1"/>
  <c r="X658" i="172" s="1"/>
  <c r="X659" i="172" a="1"/>
  <c r="X659" i="172" s="1"/>
  <c r="X669" i="172" a="1"/>
  <c r="X669" i="172" s="1"/>
  <c r="X673" i="172" a="1"/>
  <c r="X673" i="172" s="1"/>
  <c r="X676" i="172" a="1"/>
  <c r="X676" i="172" s="1"/>
  <c r="X680" i="172" a="1"/>
  <c r="X680" i="172" s="1"/>
  <c r="X683" i="172" a="1"/>
  <c r="X683" i="172" s="1"/>
  <c r="X689" i="172" a="1"/>
  <c r="X689" i="172" s="1"/>
  <c r="X697" i="172" a="1"/>
  <c r="X697" i="172" s="1"/>
  <c r="X698" i="172" a="1"/>
  <c r="X698" i="172" s="1"/>
  <c r="X702" i="172" a="1"/>
  <c r="X702" i="172" s="1"/>
  <c r="X705" i="172" a="1"/>
  <c r="X705" i="172" s="1"/>
  <c r="X709" i="172" a="1"/>
  <c r="X709" i="172" s="1"/>
  <c r="X715" i="172" a="1"/>
  <c r="X715" i="172" s="1"/>
  <c r="X716" i="172" a="1"/>
  <c r="X716" i="172" s="1"/>
  <c r="X719" i="172" a="1"/>
  <c r="X719" i="172" s="1"/>
  <c r="X720" i="172" a="1"/>
  <c r="X720" i="172" s="1"/>
  <c r="X730" i="172" a="1"/>
  <c r="X730" i="172" s="1"/>
  <c r="X734" i="172" a="1"/>
  <c r="X734" i="172" s="1"/>
  <c r="X737" i="172" a="1"/>
  <c r="X737" i="172" s="1"/>
  <c r="X743" i="172" a="1"/>
  <c r="X743" i="172" s="1"/>
  <c r="X746" i="172" a="1"/>
  <c r="X746" i="172" s="1"/>
  <c r="X750" i="172" a="1"/>
  <c r="X750" i="172" s="1"/>
  <c r="X753" i="172" a="1"/>
  <c r="X753" i="172" s="1"/>
  <c r="X754" i="172" a="1"/>
  <c r="X754" i="172" s="1"/>
  <c r="X761" i="172" a="1"/>
  <c r="X761" i="172" s="1"/>
  <c r="X769" i="172" a="1"/>
  <c r="X769" i="172" s="1"/>
  <c r="X770" i="172" a="1"/>
  <c r="X770" i="172" s="1"/>
  <c r="X772" i="172" a="1"/>
  <c r="X772" i="172" s="1"/>
  <c r="X777" i="172" a="1"/>
  <c r="X777" i="172" s="1"/>
  <c r="X778" i="172" a="1"/>
  <c r="X778" i="172" s="1"/>
  <c r="X780" i="172" a="1"/>
  <c r="X780" i="172" s="1"/>
  <c r="X785" i="172" a="1"/>
  <c r="X785" i="172" s="1"/>
  <c r="X786" i="172" a="1"/>
  <c r="X786" i="172" s="1"/>
  <c r="X788" i="172" a="1"/>
  <c r="X788" i="172" s="1"/>
  <c r="X793" i="172" a="1"/>
  <c r="X793" i="172" s="1"/>
  <c r="X16" i="172" a="1"/>
  <c r="X16" i="172" s="1"/>
  <c r="X22" i="172" a="1"/>
  <c r="X22" i="172" s="1"/>
  <c r="X28" i="172" a="1"/>
  <c r="X28" i="172" s="1"/>
  <c r="X38" i="172" a="1"/>
  <c r="X38" i="172" s="1"/>
  <c r="X44" i="172" a="1"/>
  <c r="X44" i="172" s="1"/>
  <c r="X61" i="172" a="1"/>
  <c r="X61" i="172" s="1"/>
  <c r="X67" i="172" a="1"/>
  <c r="X67" i="172" s="1"/>
  <c r="X73" i="172" a="1"/>
  <c r="X73" i="172" s="1"/>
  <c r="X78" i="172" a="1"/>
  <c r="X78" i="172" s="1"/>
  <c r="X95" i="172" a="1"/>
  <c r="X95" i="172" s="1"/>
  <c r="X100" i="172" a="1"/>
  <c r="X100" i="172" s="1"/>
  <c r="X106" i="172" a="1"/>
  <c r="X106" i="172" s="1"/>
  <c r="X122" i="172" a="1"/>
  <c r="X122" i="172" s="1"/>
  <c r="X138" i="172" a="1"/>
  <c r="X138" i="172" s="1"/>
  <c r="X165" i="172" a="1"/>
  <c r="X165" i="172" s="1"/>
  <c r="X176" i="172" a="1"/>
  <c r="X176" i="172" s="1"/>
  <c r="X181" i="172" a="1"/>
  <c r="X181" i="172" s="1"/>
  <c r="X186" i="172" a="1"/>
  <c r="X186" i="172" s="1"/>
  <c r="X197" i="172" a="1"/>
  <c r="X197" i="172" s="1"/>
  <c r="X213" i="172" a="1"/>
  <c r="X213" i="172" s="1"/>
  <c r="X221" i="172" a="1"/>
  <c r="X221" i="172" s="1"/>
  <c r="X229" i="172" a="1"/>
  <c r="X229" i="172" s="1"/>
  <c r="X237" i="172" a="1"/>
  <c r="X237" i="172" s="1"/>
  <c r="X249" i="172" a="1"/>
  <c r="X249" i="172" s="1"/>
  <c r="X256" i="172" a="1"/>
  <c r="X256" i="172" s="1"/>
  <c r="X261" i="172" a="1"/>
  <c r="X261" i="172" s="1"/>
  <c r="X263" i="172" a="1"/>
  <c r="X263" i="172" s="1"/>
  <c r="X264" i="172" a="1"/>
  <c r="X264" i="172" s="1"/>
  <c r="X267" i="172" a="1"/>
  <c r="X267" i="172" s="1"/>
  <c r="X269" i="172" a="1"/>
  <c r="X269" i="172" s="1"/>
  <c r="X270" i="172" a="1"/>
  <c r="X270" i="172" s="1"/>
  <c r="X273" i="172" a="1"/>
  <c r="X273" i="172" s="1"/>
  <c r="X274" i="172" a="1"/>
  <c r="X274" i="172" s="1"/>
  <c r="X278" i="172" a="1"/>
  <c r="X278" i="172" s="1"/>
  <c r="X281" i="172" a="1"/>
  <c r="X281" i="172" s="1"/>
  <c r="X284" i="172" a="1"/>
  <c r="X284" i="172" s="1"/>
  <c r="X294" i="172" a="1"/>
  <c r="X294" i="172" s="1"/>
  <c r="X302" i="172" a="1"/>
  <c r="X302" i="172" s="1"/>
  <c r="X306" i="172" a="1"/>
  <c r="X306" i="172" s="1"/>
  <c r="X307" i="172" a="1"/>
  <c r="X307" i="172" s="1"/>
  <c r="X312" i="172" a="1"/>
  <c r="X312" i="172" s="1"/>
  <c r="X314" i="172" a="1"/>
  <c r="X314" i="172" s="1"/>
  <c r="X315" i="172" a="1"/>
  <c r="X315" i="172" s="1"/>
  <c r="X320" i="172" a="1"/>
  <c r="X320" i="172" s="1"/>
  <c r="X322" i="172" a="1"/>
  <c r="X322" i="172" s="1"/>
  <c r="X323" i="172" a="1"/>
  <c r="X323" i="172" s="1"/>
  <c r="X328" i="172" a="1"/>
  <c r="X328" i="172" s="1"/>
  <c r="X330" i="172" a="1"/>
  <c r="X330" i="172" s="1"/>
  <c r="X331" i="172" a="1"/>
  <c r="X331" i="172" s="1"/>
  <c r="X336" i="172" a="1"/>
  <c r="X336" i="172" s="1"/>
  <c r="X338" i="172" a="1"/>
  <c r="X338" i="172" s="1"/>
  <c r="X339" i="172" a="1"/>
  <c r="X339" i="172" s="1"/>
  <c r="X344" i="172" a="1"/>
  <c r="X344" i="172" s="1"/>
  <c r="X346" i="172" a="1"/>
  <c r="X346" i="172" s="1"/>
  <c r="X347" i="172" a="1"/>
  <c r="X347" i="172" s="1"/>
  <c r="X352" i="172" a="1"/>
  <c r="X352" i="172" s="1"/>
  <c r="X354" i="172" a="1"/>
  <c r="X354" i="172" s="1"/>
  <c r="X355" i="172" a="1"/>
  <c r="X355" i="172" s="1"/>
  <c r="X360" i="172" a="1"/>
  <c r="X360" i="172" s="1"/>
  <c r="X362" i="172" a="1"/>
  <c r="X362" i="172" s="1"/>
  <c r="X363" i="172" a="1"/>
  <c r="X363" i="172" s="1"/>
  <c r="X368" i="172" a="1"/>
  <c r="X368" i="172" s="1"/>
  <c r="X370" i="172" a="1"/>
  <c r="X370" i="172" s="1"/>
  <c r="X371" i="172" a="1"/>
  <c r="X371" i="172" s="1"/>
  <c r="X376" i="172" a="1"/>
  <c r="X376" i="172" s="1"/>
  <c r="X378" i="172" a="1"/>
  <c r="X378" i="172" s="1"/>
  <c r="X379" i="172" a="1"/>
  <c r="X379" i="172" s="1"/>
  <c r="X384" i="172" a="1"/>
  <c r="X384" i="172" s="1"/>
  <c r="X386" i="172" a="1"/>
  <c r="X386" i="172" s="1"/>
  <c r="X387" i="172" a="1"/>
  <c r="X387" i="172" s="1"/>
  <c r="X392" i="172" a="1"/>
  <c r="X392" i="172" s="1"/>
  <c r="X394" i="172" a="1"/>
  <c r="X394" i="172" s="1"/>
  <c r="X395" i="172" a="1"/>
  <c r="X395" i="172" s="1"/>
  <c r="X400" i="172" a="1"/>
  <c r="X400" i="172" s="1"/>
  <c r="X402" i="172" a="1"/>
  <c r="X402" i="172" s="1"/>
  <c r="X403" i="172" a="1"/>
  <c r="X403" i="172" s="1"/>
  <c r="X408" i="172" a="1"/>
  <c r="X408" i="172" s="1"/>
  <c r="X410" i="172" a="1"/>
  <c r="X410" i="172" s="1"/>
  <c r="X411" i="172" a="1"/>
  <c r="X411" i="172" s="1"/>
  <c r="X416" i="172" a="1"/>
  <c r="X416" i="172" s="1"/>
  <c r="X418" i="172" a="1"/>
  <c r="X418" i="172" s="1"/>
  <c r="X419" i="172" a="1"/>
  <c r="X419" i="172" s="1"/>
  <c r="X424" i="172" a="1"/>
  <c r="X424" i="172" s="1"/>
  <c r="X426" i="172" a="1"/>
  <c r="X426" i="172" s="1"/>
  <c r="X427" i="172" a="1"/>
  <c r="X427" i="172" s="1"/>
  <c r="X432" i="172" a="1"/>
  <c r="X432" i="172" s="1"/>
  <c r="X434" i="172" a="1"/>
  <c r="X434" i="172" s="1"/>
  <c r="X435" i="172" a="1"/>
  <c r="X435" i="172" s="1"/>
  <c r="X440" i="172" a="1"/>
  <c r="X440" i="172" s="1"/>
  <c r="X442" i="172" a="1"/>
  <c r="X442" i="172" s="1"/>
  <c r="X443" i="172" a="1"/>
  <c r="X443" i="172" s="1"/>
  <c r="X454" i="172" a="1"/>
  <c r="X454" i="172" s="1"/>
  <c r="X462" i="172" a="1"/>
  <c r="X462" i="172" s="1"/>
  <c r="X470" i="172" a="1"/>
  <c r="X470" i="172" s="1"/>
  <c r="X475" i="172" a="1"/>
  <c r="X475" i="172" s="1"/>
  <c r="X478" i="172" a="1"/>
  <c r="X478" i="172" s="1"/>
  <c r="X483" i="172" a="1"/>
  <c r="X483" i="172" s="1"/>
  <c r="X486" i="172" a="1"/>
  <c r="X486" i="172" s="1"/>
  <c r="X490" i="172" a="1"/>
  <c r="X490" i="172" s="1"/>
  <c r="X493" i="172" a="1"/>
  <c r="X493" i="172" s="1"/>
  <c r="X494" i="172" a="1"/>
  <c r="X494" i="172" s="1"/>
  <c r="X499" i="172" a="1"/>
  <c r="X499" i="172" s="1"/>
  <c r="X500" i="172" a="1"/>
  <c r="X500" i="172" s="1"/>
  <c r="X503" i="172" a="1"/>
  <c r="X503" i="172" s="1"/>
  <c r="X504" i="172" a="1"/>
  <c r="X504" i="172" s="1"/>
  <c r="X507" i="172" a="1"/>
  <c r="X507" i="172" s="1"/>
  <c r="X508" i="172" a="1"/>
  <c r="X508" i="172" s="1"/>
  <c r="X511" i="172" a="1"/>
  <c r="X511" i="172" s="1"/>
  <c r="X512" i="172" a="1"/>
  <c r="X512" i="172" s="1"/>
  <c r="X515" i="172" a="1"/>
  <c r="X515" i="172" s="1"/>
  <c r="X516" i="172" a="1"/>
  <c r="X516" i="172" s="1"/>
  <c r="X519" i="172" a="1"/>
  <c r="X519" i="172" s="1"/>
  <c r="X520" i="172" a="1"/>
  <c r="X520" i="172" s="1"/>
  <c r="X523" i="172" a="1"/>
  <c r="X523" i="172" s="1"/>
  <c r="X524" i="172" a="1"/>
  <c r="X524" i="172" s="1"/>
  <c r="X527" i="172" a="1"/>
  <c r="X527" i="172" s="1"/>
  <c r="X531" i="172" a="1"/>
  <c r="X531" i="172" s="1"/>
  <c r="X534" i="172" a="1"/>
  <c r="X534" i="172" s="1"/>
  <c r="X538" i="172" a="1"/>
  <c r="X538" i="172" s="1"/>
  <c r="X544" i="172" a="1"/>
  <c r="X544" i="172" s="1"/>
  <c r="X545" i="172" a="1"/>
  <c r="X545" i="172" s="1"/>
  <c r="X548" i="172" a="1"/>
  <c r="X548" i="172" s="1"/>
  <c r="X549" i="172" a="1"/>
  <c r="X549" i="172" s="1"/>
  <c r="X559" i="172" a="1"/>
  <c r="X559" i="172" s="1"/>
  <c r="X563" i="172" a="1"/>
  <c r="X563" i="172" s="1"/>
  <c r="X566" i="172" a="1"/>
  <c r="X566" i="172" s="1"/>
  <c r="X570" i="172" a="1"/>
  <c r="X570" i="172" s="1"/>
  <c r="X576" i="172" a="1"/>
  <c r="X576" i="172" s="1"/>
  <c r="X577" i="172" a="1"/>
  <c r="X577" i="172" s="1"/>
  <c r="X580" i="172" a="1"/>
  <c r="X580" i="172" s="1"/>
  <c r="X581" i="172" a="1"/>
  <c r="X581" i="172" s="1"/>
  <c r="X591" i="172" a="1"/>
  <c r="X591" i="172" s="1"/>
  <c r="X595" i="172" a="1"/>
  <c r="X595" i="172" s="1"/>
  <c r="X607" i="172" a="1"/>
  <c r="X607" i="172" s="1"/>
  <c r="X610" i="172" a="1"/>
  <c r="X610" i="172" s="1"/>
  <c r="X614" i="172" a="1"/>
  <c r="X614" i="172" s="1"/>
  <c r="X617" i="172" a="1"/>
  <c r="X617" i="172" s="1"/>
  <c r="X620" i="172" a="1"/>
  <c r="X620" i="172" s="1"/>
  <c r="X624" i="172" a="1"/>
  <c r="X624" i="172" s="1"/>
  <c r="X627" i="172" a="1"/>
  <c r="X627" i="172" s="1"/>
  <c r="X629" i="172" a="1"/>
  <c r="X629" i="172" s="1"/>
  <c r="X633" i="172" a="1"/>
  <c r="X633" i="172" s="1"/>
  <c r="X636" i="172" a="1"/>
  <c r="X636" i="172" s="1"/>
  <c r="X640" i="172" a="1"/>
  <c r="X640" i="172" s="1"/>
  <c r="X646" i="172" a="1"/>
  <c r="X646" i="172" s="1"/>
  <c r="X647" i="172" a="1"/>
  <c r="X647" i="172" s="1"/>
  <c r="X650" i="172" a="1"/>
  <c r="X650" i="172" s="1"/>
  <c r="X651" i="172" a="1"/>
  <c r="X651" i="172" s="1"/>
  <c r="X661" i="172" a="1"/>
  <c r="X661" i="172" s="1"/>
  <c r="X665" i="172" a="1"/>
  <c r="X665" i="172" s="1"/>
  <c r="X668" i="172" a="1"/>
  <c r="X668" i="172" s="1"/>
  <c r="X672" i="172" a="1"/>
  <c r="X672" i="172" s="1"/>
  <c r="X678" i="172" a="1"/>
  <c r="X678" i="172" s="1"/>
  <c r="X679" i="172" a="1"/>
  <c r="X679" i="172" s="1"/>
  <c r="X682" i="172" a="1"/>
  <c r="X682" i="172" s="1"/>
  <c r="X685" i="172" a="1"/>
  <c r="X685" i="172" s="1"/>
  <c r="X688" i="172" a="1"/>
  <c r="X688" i="172" s="1"/>
  <c r="X691" i="172" a="1"/>
  <c r="X691" i="172" s="1"/>
  <c r="X692" i="172" a="1"/>
  <c r="X692" i="172" s="1"/>
  <c r="X694" i="172" a="1"/>
  <c r="X694" i="172" s="1"/>
  <c r="X701" i="172" a="1"/>
  <c r="X701" i="172" s="1"/>
  <c r="X707" i="172" a="1"/>
  <c r="X707" i="172" s="1"/>
  <c r="X708" i="172" a="1"/>
  <c r="X708" i="172" s="1"/>
  <c r="X711" i="172" a="1"/>
  <c r="X711" i="172" s="1"/>
  <c r="X712" i="172" a="1"/>
  <c r="X712" i="172" s="1"/>
  <c r="X722" i="172" a="1"/>
  <c r="X722" i="172" s="1"/>
  <c r="X726" i="172" a="1"/>
  <c r="X726" i="172" s="1"/>
  <c r="X729" i="172" a="1"/>
  <c r="X729" i="172" s="1"/>
  <c r="X733" i="172" a="1"/>
  <c r="X733" i="172" s="1"/>
  <c r="X739" i="172" a="1"/>
  <c r="X739" i="172" s="1"/>
  <c r="X740" i="172" a="1"/>
  <c r="X740" i="172" s="1"/>
  <c r="X745" i="172" a="1"/>
  <c r="X745" i="172" s="1"/>
  <c r="X34" i="172" a="1"/>
  <c r="X34" i="172" s="1"/>
  <c r="X51" i="172" a="1"/>
  <c r="X51" i="172" s="1"/>
  <c r="X57" i="172" a="1"/>
  <c r="X57" i="172" s="1"/>
  <c r="X62" i="172" a="1"/>
  <c r="X62" i="172" s="1"/>
  <c r="X69" i="172" a="1"/>
  <c r="X69" i="172" s="1"/>
  <c r="X74" i="172" a="1"/>
  <c r="X74" i="172" s="1"/>
  <c r="X80" i="172" a="1"/>
  <c r="X80" i="172" s="1"/>
  <c r="X85" i="172" a="1"/>
  <c r="X85" i="172" s="1"/>
  <c r="X91" i="172" a="1"/>
  <c r="X91" i="172" s="1"/>
  <c r="X102" i="172" a="1"/>
  <c r="X102" i="172" s="1"/>
  <c r="X112" i="172" a="1"/>
  <c r="X112" i="172" s="1"/>
  <c r="X128" i="172" a="1"/>
  <c r="X128" i="172" s="1"/>
  <c r="X144" i="172" a="1"/>
  <c r="X144" i="172" s="1"/>
  <c r="X161" i="172" a="1"/>
  <c r="X161" i="172" s="1"/>
  <c r="X166" i="172" a="1"/>
  <c r="X166" i="172" s="1"/>
  <c r="X172" i="172" a="1"/>
  <c r="X172" i="172" s="1"/>
  <c r="X192" i="172" a="1"/>
  <c r="X192" i="172" s="1"/>
  <c r="X198" i="172" a="1"/>
  <c r="X198" i="172" s="1"/>
  <c r="X215" i="172" a="1"/>
  <c r="X215" i="172" s="1"/>
  <c r="X291" i="172" a="1"/>
  <c r="X291" i="172" s="1"/>
  <c r="X313" i="172" a="1"/>
  <c r="X313" i="172" s="1"/>
  <c r="X329" i="172" a="1"/>
  <c r="X329" i="172" s="1"/>
  <c r="X345" i="172" a="1"/>
  <c r="X345" i="172" s="1"/>
  <c r="X361" i="172" a="1"/>
  <c r="X361" i="172" s="1"/>
  <c r="X377" i="172" a="1"/>
  <c r="X377" i="172" s="1"/>
  <c r="X393" i="172" a="1"/>
  <c r="X393" i="172" s="1"/>
  <c r="X409" i="172" a="1"/>
  <c r="X409" i="172" s="1"/>
  <c r="X425" i="172" a="1"/>
  <c r="X425" i="172" s="1"/>
  <c r="X441" i="172" a="1"/>
  <c r="X441" i="172" s="1"/>
  <c r="X451" i="172" a="1"/>
  <c r="X451" i="172" s="1"/>
  <c r="X467" i="172" a="1"/>
  <c r="X467" i="172" s="1"/>
  <c r="X489" i="172" a="1"/>
  <c r="X489" i="172" s="1"/>
  <c r="X537" i="172" a="1"/>
  <c r="X537" i="172" s="1"/>
  <c r="X587" i="172" a="1"/>
  <c r="X587" i="172" s="1"/>
  <c r="X603" i="172" a="1"/>
  <c r="X603" i="172" s="1"/>
  <c r="X626" i="172" a="1"/>
  <c r="X626" i="172" s="1"/>
  <c r="X632" i="172" a="1"/>
  <c r="X632" i="172" s="1"/>
  <c r="X638" i="172" a="1"/>
  <c r="X638" i="172" s="1"/>
  <c r="X643" i="172" a="1"/>
  <c r="X643" i="172" s="1"/>
  <c r="X660" i="172" a="1"/>
  <c r="X660" i="172" s="1"/>
  <c r="X671" i="172" a="1"/>
  <c r="X671" i="172" s="1"/>
  <c r="X700" i="172" a="1"/>
  <c r="X700" i="172" s="1"/>
  <c r="X752" i="172" a="1"/>
  <c r="X752" i="172" s="1"/>
  <c r="X768" i="172" a="1"/>
  <c r="X768" i="172" s="1"/>
  <c r="X771" i="172" a="1"/>
  <c r="X771" i="172" s="1"/>
  <c r="X781" i="172" a="1"/>
  <c r="X781" i="172" s="1"/>
  <c r="X784" i="172" a="1"/>
  <c r="X784" i="172" s="1"/>
  <c r="X787" i="172" a="1"/>
  <c r="X787" i="172" s="1"/>
  <c r="X796" i="172" a="1"/>
  <c r="X796" i="172" s="1"/>
  <c r="X798" i="172" a="1"/>
  <c r="X798" i="172" s="1"/>
  <c r="X800" i="172" a="1"/>
  <c r="X800" i="172" s="1"/>
  <c r="X802" i="172" a="1"/>
  <c r="X802" i="172" s="1"/>
  <c r="X809" i="172" a="1"/>
  <c r="X809" i="172" s="1"/>
  <c r="X813" i="172" a="1"/>
  <c r="X813" i="172" s="1"/>
  <c r="X815" i="172" a="1"/>
  <c r="X815" i="172" s="1"/>
  <c r="X817" i="172" a="1"/>
  <c r="X817" i="172" s="1"/>
  <c r="X824" i="172" a="1"/>
  <c r="X824" i="172" s="1"/>
  <c r="X828" i="172" a="1"/>
  <c r="X828" i="172" s="1"/>
  <c r="X831" i="172" a="1"/>
  <c r="X831" i="172" s="1"/>
  <c r="X835" i="172" a="1"/>
  <c r="X835" i="172" s="1"/>
  <c r="X841" i="172" a="1"/>
  <c r="X841" i="172" s="1"/>
  <c r="X842" i="172" a="1"/>
  <c r="X842" i="172" s="1"/>
  <c r="X845" i="172" a="1"/>
  <c r="X845" i="172" s="1"/>
  <c r="X846" i="172" a="1"/>
  <c r="X846" i="172" s="1"/>
  <c r="X865" i="172" a="1"/>
  <c r="X865" i="172" s="1"/>
  <c r="X867" i="172" a="1"/>
  <c r="X867" i="172" s="1"/>
  <c r="X869" i="172" a="1"/>
  <c r="X869" i="172" s="1"/>
  <c r="X871" i="172" a="1"/>
  <c r="X871" i="172" s="1"/>
  <c r="X873" i="172" a="1"/>
  <c r="X873" i="172" s="1"/>
  <c r="X875" i="172" a="1"/>
  <c r="X875" i="172" s="1"/>
  <c r="X877" i="172" a="1"/>
  <c r="X877" i="172" s="1"/>
  <c r="X879" i="172" a="1"/>
  <c r="X879" i="172" s="1"/>
  <c r="X881" i="172" a="1"/>
  <c r="X881" i="172" s="1"/>
  <c r="X883" i="172" a="1"/>
  <c r="X883" i="172" s="1"/>
  <c r="X885" i="172" a="1"/>
  <c r="X885" i="172" s="1"/>
  <c r="X887" i="172" a="1"/>
  <c r="X887" i="172" s="1"/>
  <c r="X889" i="172" a="1"/>
  <c r="X889" i="172" s="1"/>
  <c r="X891" i="172" a="1"/>
  <c r="X891" i="172" s="1"/>
  <c r="X893" i="172" a="1"/>
  <c r="X893" i="172" s="1"/>
  <c r="X895" i="172" a="1"/>
  <c r="X895" i="172" s="1"/>
  <c r="X897" i="172" a="1"/>
  <c r="X897" i="172" s="1"/>
  <c r="X899" i="172" a="1"/>
  <c r="X899" i="172" s="1"/>
  <c r="X901" i="172" a="1"/>
  <c r="X901" i="172" s="1"/>
  <c r="X903" i="172" a="1"/>
  <c r="X903" i="172" s="1"/>
  <c r="X905" i="172" a="1"/>
  <c r="X905" i="172" s="1"/>
  <c r="X907" i="172" a="1"/>
  <c r="X907" i="172" s="1"/>
  <c r="X909" i="172" a="1"/>
  <c r="X909" i="172" s="1"/>
  <c r="X911" i="172" a="1"/>
  <c r="X911" i="172" s="1"/>
  <c r="X248" i="172" a="1"/>
  <c r="X248" i="172" s="1"/>
  <c r="X255" i="172" a="1"/>
  <c r="X255" i="172" s="1"/>
  <c r="X277" i="172" a="1"/>
  <c r="X277" i="172" s="1"/>
  <c r="X283" i="172" a="1"/>
  <c r="X283" i="172" s="1"/>
  <c r="X298" i="172" a="1"/>
  <c r="X298" i="172" s="1"/>
  <c r="X304" i="172" a="1"/>
  <c r="X304" i="172" s="1"/>
  <c r="X309" i="172" a="1"/>
  <c r="X309" i="172" s="1"/>
  <c r="X325" i="172" a="1"/>
  <c r="X325" i="172" s="1"/>
  <c r="X341" i="172" a="1"/>
  <c r="X341" i="172" s="1"/>
  <c r="X357" i="172" a="1"/>
  <c r="X357" i="172" s="1"/>
  <c r="X373" i="172" a="1"/>
  <c r="X373" i="172" s="1"/>
  <c r="X389" i="172" a="1"/>
  <c r="X389" i="172" s="1"/>
  <c r="X405" i="172" a="1"/>
  <c r="X405" i="172" s="1"/>
  <c r="X421" i="172" a="1"/>
  <c r="X421" i="172" s="1"/>
  <c r="X437" i="172" a="1"/>
  <c r="X437" i="172" s="1"/>
  <c r="X448" i="172" a="1"/>
  <c r="X448" i="172" s="1"/>
  <c r="X458" i="172" a="1"/>
  <c r="X458" i="172" s="1"/>
  <c r="X464" i="172" a="1"/>
  <c r="X464" i="172" s="1"/>
  <c r="X474" i="172" a="1"/>
  <c r="X474" i="172" s="1"/>
  <c r="X555" i="172" a="1"/>
  <c r="X555" i="172" s="1"/>
  <c r="X572" i="172" a="1"/>
  <c r="X572" i="172" s="1"/>
  <c r="X583" i="172" a="1"/>
  <c r="X583" i="172" s="1"/>
  <c r="X594" i="172" a="1"/>
  <c r="X594" i="172" s="1"/>
  <c r="X599" i="172" a="1"/>
  <c r="X599" i="172" s="1"/>
  <c r="X616" i="172" a="1"/>
  <c r="X616" i="172" s="1"/>
  <c r="X622" i="172" a="1"/>
  <c r="X622" i="172" s="1"/>
  <c r="X639" i="172" a="1"/>
  <c r="X639" i="172" s="1"/>
  <c r="X684" i="172" a="1"/>
  <c r="X684" i="172" s="1"/>
  <c r="X690" i="172" a="1"/>
  <c r="X690" i="172" s="1"/>
  <c r="X696" i="172" a="1"/>
  <c r="X696" i="172" s="1"/>
  <c r="X718" i="172" a="1"/>
  <c r="X718" i="172" s="1"/>
  <c r="X735" i="172" a="1"/>
  <c r="X735" i="172" s="1"/>
  <c r="X759" i="172" a="1"/>
  <c r="X759" i="172" s="1"/>
  <c r="X766" i="172" a="1"/>
  <c r="X766" i="172" s="1"/>
  <c r="X782" i="172" a="1"/>
  <c r="X782" i="172" s="1"/>
  <c r="X794" i="172" a="1"/>
  <c r="X794" i="172" s="1"/>
  <c r="X801" i="172" a="1"/>
  <c r="X801" i="172" s="1"/>
  <c r="X805" i="172" a="1"/>
  <c r="X805" i="172" s="1"/>
  <c r="X811" i="172" a="1"/>
  <c r="X811" i="172" s="1"/>
  <c r="X820" i="172" a="1"/>
  <c r="X820" i="172" s="1"/>
  <c r="X823" i="172" a="1"/>
  <c r="X823" i="172" s="1"/>
  <c r="X827" i="172" a="1"/>
  <c r="X827" i="172" s="1"/>
  <c r="X833" i="172" a="1"/>
  <c r="X833" i="172" s="1"/>
  <c r="X834" i="172" a="1"/>
  <c r="X834" i="172" s="1"/>
  <c r="X837" i="172" a="1"/>
  <c r="X837" i="172" s="1"/>
  <c r="X838" i="172" a="1"/>
  <c r="X838" i="172" s="1"/>
  <c r="X849" i="172" a="1"/>
  <c r="X849" i="172" s="1"/>
  <c r="X850" i="172" a="1"/>
  <c r="X850" i="172" s="1"/>
  <c r="X853" i="172" a="1"/>
  <c r="X853" i="172" s="1"/>
  <c r="X854" i="172" a="1"/>
  <c r="X854" i="172" s="1"/>
  <c r="X857" i="172" a="1"/>
  <c r="X857" i="172" s="1"/>
  <c r="X858" i="172" a="1"/>
  <c r="X858" i="172" s="1"/>
  <c r="X861" i="172" a="1"/>
  <c r="X861" i="172" s="1"/>
  <c r="X862" i="172" a="1"/>
  <c r="X862" i="172" s="1"/>
  <c r="X299" i="172" a="1"/>
  <c r="X299" i="172" s="1"/>
  <c r="X305" i="172" a="1"/>
  <c r="X305" i="172" s="1"/>
  <c r="X321" i="172" a="1"/>
  <c r="X321" i="172" s="1"/>
  <c r="X337" i="172" a="1"/>
  <c r="X337" i="172" s="1"/>
  <c r="X353" i="172" a="1"/>
  <c r="X353" i="172" s="1"/>
  <c r="X369" i="172" a="1"/>
  <c r="X369" i="172" s="1"/>
  <c r="X385" i="172" a="1"/>
  <c r="X385" i="172" s="1"/>
  <c r="X401" i="172" a="1"/>
  <c r="X401" i="172" s="1"/>
  <c r="X417" i="172" a="1"/>
  <c r="X417" i="172" s="1"/>
  <c r="X433" i="172" a="1"/>
  <c r="X433" i="172" s="1"/>
  <c r="X459" i="172" a="1"/>
  <c r="X459" i="172" s="1"/>
  <c r="X492" i="172" a="1"/>
  <c r="X492" i="172" s="1"/>
  <c r="X540" i="172" a="1"/>
  <c r="X540" i="172" s="1"/>
  <c r="X551" i="172" a="1"/>
  <c r="X551" i="172" s="1"/>
  <c r="X562" i="172" a="1"/>
  <c r="X562" i="172" s="1"/>
  <c r="X568" i="172" a="1"/>
  <c r="X568" i="172" s="1"/>
  <c r="X573" i="172" a="1"/>
  <c r="X573" i="172" s="1"/>
  <c r="X590" i="172" a="1"/>
  <c r="X590" i="172" s="1"/>
  <c r="X606" i="172" a="1"/>
  <c r="X606" i="172" s="1"/>
  <c r="X623" i="172" a="1"/>
  <c r="X623" i="172" s="1"/>
  <c r="X657" i="172" a="1"/>
  <c r="X657" i="172" s="1"/>
  <c r="X674" i="172" a="1"/>
  <c r="X674" i="172" s="1"/>
  <c r="X703" i="172" a="1"/>
  <c r="X703" i="172" s="1"/>
  <c r="X714" i="172" a="1"/>
  <c r="X714" i="172" s="1"/>
  <c r="X725" i="172" a="1"/>
  <c r="X725" i="172" s="1"/>
  <c r="X731" i="172" a="1"/>
  <c r="X731" i="172" s="1"/>
  <c r="X736" i="172" a="1"/>
  <c r="X736" i="172" s="1"/>
  <c r="X742" i="172" a="1"/>
  <c r="X742" i="172" s="1"/>
  <c r="X764" i="172" a="1"/>
  <c r="X764" i="172" s="1"/>
  <c r="X773" i="172" a="1"/>
  <c r="X773" i="172" s="1"/>
  <c r="X776" i="172" a="1"/>
  <c r="X776" i="172" s="1"/>
  <c r="X779" i="172" a="1"/>
  <c r="X779" i="172" s="1"/>
  <c r="X789" i="172" a="1"/>
  <c r="X789" i="172" s="1"/>
  <c r="X792" i="172" a="1"/>
  <c r="X792" i="172" s="1"/>
  <c r="X797" i="172" a="1"/>
  <c r="X797" i="172" s="1"/>
  <c r="X803" i="172" a="1"/>
  <c r="X803" i="172" s="1"/>
  <c r="X812" i="172" a="1"/>
  <c r="X812" i="172" s="1"/>
  <c r="X819" i="172" a="1"/>
  <c r="X819" i="172" s="1"/>
  <c r="X825" i="172" a="1"/>
  <c r="X825" i="172" s="1"/>
  <c r="X826" i="172" a="1"/>
  <c r="X826" i="172" s="1"/>
  <c r="X829" i="172" a="1"/>
  <c r="X829" i="172" s="1"/>
  <c r="X830" i="172" a="1"/>
  <c r="X830" i="172" s="1"/>
  <c r="X840" i="172" a="1"/>
  <c r="X840" i="172" s="1"/>
  <c r="X844" i="172" a="1"/>
  <c r="X844" i="172" s="1"/>
  <c r="X864" i="172" a="1"/>
  <c r="X864" i="172" s="1"/>
  <c r="X866" i="172" a="1"/>
  <c r="X866" i="172" s="1"/>
  <c r="X868" i="172" a="1"/>
  <c r="X868" i="172" s="1"/>
  <c r="X870" i="172" a="1"/>
  <c r="X870" i="172" s="1"/>
  <c r="X872" i="172" a="1"/>
  <c r="X872" i="172" s="1"/>
  <c r="X874" i="172" a="1"/>
  <c r="X874" i="172" s="1"/>
  <c r="X876" i="172" a="1"/>
  <c r="X876" i="172" s="1"/>
  <c r="X878" i="172" a="1"/>
  <c r="X878" i="172" s="1"/>
  <c r="X880" i="172" a="1"/>
  <c r="X880" i="172" s="1"/>
  <c r="X882" i="172" a="1"/>
  <c r="X882" i="172" s="1"/>
  <c r="X884" i="172" a="1"/>
  <c r="X884" i="172" s="1"/>
  <c r="X886" i="172" a="1"/>
  <c r="X886" i="172" s="1"/>
  <c r="X888" i="172" a="1"/>
  <c r="X888" i="172" s="1"/>
  <c r="X890" i="172" a="1"/>
  <c r="X890" i="172" s="1"/>
  <c r="X892" i="172" a="1"/>
  <c r="X892" i="172" s="1"/>
  <c r="X894" i="172" a="1"/>
  <c r="X894" i="172" s="1"/>
  <c r="X896" i="172" a="1"/>
  <c r="X896" i="172" s="1"/>
  <c r="X898" i="172" a="1"/>
  <c r="X898" i="172" s="1"/>
  <c r="X900" i="172" a="1"/>
  <c r="X900" i="172" s="1"/>
  <c r="X902" i="172" a="1"/>
  <c r="X902" i="172" s="1"/>
  <c r="X904" i="172" a="1"/>
  <c r="X904" i="172" s="1"/>
  <c r="X906" i="172" a="1"/>
  <c r="X906" i="172" s="1"/>
  <c r="X908" i="172" a="1"/>
  <c r="X908" i="172" s="1"/>
  <c r="X910" i="172" a="1"/>
  <c r="X910" i="172" s="1"/>
  <c r="X912" i="172" a="1"/>
  <c r="X912" i="172" s="1"/>
  <c r="X914" i="172" a="1"/>
  <c r="X914" i="172" s="1"/>
  <c r="X916" i="172" a="1"/>
  <c r="X916" i="172" s="1"/>
  <c r="X918" i="172" a="1"/>
  <c r="X918" i="172" s="1"/>
  <c r="X920" i="172" a="1"/>
  <c r="X920" i="172" s="1"/>
  <c r="X922" i="172" a="1"/>
  <c r="X922" i="172" s="1"/>
  <c r="X924" i="172" a="1"/>
  <c r="X924" i="172" s="1"/>
  <c r="X926" i="172" a="1"/>
  <c r="X926" i="172" s="1"/>
  <c r="X290" i="172" a="1"/>
  <c r="X290" i="172" s="1"/>
  <c r="X296" i="172" a="1"/>
  <c r="X296" i="172" s="1"/>
  <c r="X317" i="172" a="1"/>
  <c r="X317" i="172" s="1"/>
  <c r="X333" i="172" a="1"/>
  <c r="X333" i="172" s="1"/>
  <c r="X349" i="172" a="1"/>
  <c r="X349" i="172" s="1"/>
  <c r="X365" i="172" a="1"/>
  <c r="X365" i="172" s="1"/>
  <c r="X381" i="172" a="1"/>
  <c r="X381" i="172" s="1"/>
  <c r="X397" i="172" a="1"/>
  <c r="X397" i="172" s="1"/>
  <c r="X413" i="172" a="1"/>
  <c r="X413" i="172" s="1"/>
  <c r="X429" i="172" a="1"/>
  <c r="X429" i="172" s="1"/>
  <c r="X445" i="172" a="1"/>
  <c r="X445" i="172" s="1"/>
  <c r="X450" i="172" a="1"/>
  <c r="X450" i="172" s="1"/>
  <c r="X456" i="172" a="1"/>
  <c r="X456" i="172" s="1"/>
  <c r="X466" i="172" a="1"/>
  <c r="X466" i="172" s="1"/>
  <c r="X472" i="172" a="1"/>
  <c r="X472" i="172" s="1"/>
  <c r="X482" i="172" a="1"/>
  <c r="X482" i="172" s="1"/>
  <c r="X488" i="172" a="1"/>
  <c r="X488" i="172" s="1"/>
  <c r="X530" i="172" a="1"/>
  <c r="X530" i="172" s="1"/>
  <c r="X536" i="172" a="1"/>
  <c r="X536" i="172" s="1"/>
  <c r="X541" i="172" a="1"/>
  <c r="X541" i="172" s="1"/>
  <c r="X558" i="172" a="1"/>
  <c r="X558" i="172" s="1"/>
  <c r="X569" i="172" a="1"/>
  <c r="X569" i="172" s="1"/>
  <c r="X642" i="172" a="1"/>
  <c r="X642" i="172" s="1"/>
  <c r="X653" i="172" a="1"/>
  <c r="X653" i="172" s="1"/>
  <c r="X664" i="172" a="1"/>
  <c r="X664" i="172" s="1"/>
  <c r="X670" i="172" a="1"/>
  <c r="X670" i="172" s="1"/>
  <c r="X675" i="172" a="1"/>
  <c r="X675" i="172" s="1"/>
  <c r="X699" i="172" a="1"/>
  <c r="X699" i="172" s="1"/>
  <c r="X704" i="172" a="1"/>
  <c r="X704" i="172" s="1"/>
  <c r="X721" i="172" a="1"/>
  <c r="X721" i="172" s="1"/>
  <c r="X732" i="172" a="1"/>
  <c r="X732" i="172" s="1"/>
  <c r="X749" i="172" a="1"/>
  <c r="X749" i="172" s="1"/>
  <c r="X757" i="172" a="1"/>
  <c r="X757" i="172" s="1"/>
  <c r="X760" i="172" a="1"/>
  <c r="X760" i="172" s="1"/>
  <c r="X763" i="172" a="1"/>
  <c r="X763" i="172" s="1"/>
  <c r="X765" i="172" a="1"/>
  <c r="X765" i="172" s="1"/>
  <c r="X774" i="172" a="1"/>
  <c r="X774" i="172" s="1"/>
  <c r="X790" i="172" a="1"/>
  <c r="X790" i="172" s="1"/>
  <c r="X795" i="172" a="1"/>
  <c r="X795" i="172" s="1"/>
  <c r="X804" i="172" a="1"/>
  <c r="X804" i="172" s="1"/>
  <c r="X806" i="172" a="1"/>
  <c r="X806" i="172" s="1"/>
  <c r="X808" i="172" a="1"/>
  <c r="X808" i="172" s="1"/>
  <c r="X810" i="172" a="1"/>
  <c r="X810" i="172" s="1"/>
  <c r="X814" i="172" a="1"/>
  <c r="X814" i="172" s="1"/>
  <c r="X818" i="172" a="1"/>
  <c r="X818" i="172" s="1"/>
  <c r="X821" i="172" a="1"/>
  <c r="X821" i="172" s="1"/>
  <c r="X822" i="172" a="1"/>
  <c r="X822" i="172" s="1"/>
  <c r="X832" i="172" a="1"/>
  <c r="X832" i="172" s="1"/>
  <c r="X836" i="172" a="1"/>
  <c r="X836" i="172" s="1"/>
  <c r="X839" i="172" a="1"/>
  <c r="X839" i="172" s="1"/>
  <c r="X843" i="172" a="1"/>
  <c r="X843" i="172" s="1"/>
  <c r="X847" i="172" a="1"/>
  <c r="X847" i="172" s="1"/>
  <c r="X848" i="172" a="1"/>
  <c r="X848" i="172" s="1"/>
  <c r="X851" i="172" a="1"/>
  <c r="X851" i="172" s="1"/>
  <c r="X852" i="172" a="1"/>
  <c r="X852" i="172" s="1"/>
  <c r="X855" i="172" a="1"/>
  <c r="X855" i="172" s="1"/>
  <c r="X856" i="172" a="1"/>
  <c r="X856" i="172" s="1"/>
  <c r="X859" i="172" a="1"/>
  <c r="X859" i="172" s="1"/>
  <c r="X860" i="172" a="1"/>
  <c r="X860" i="172" s="1"/>
  <c r="X863" i="172" a="1"/>
  <c r="X863" i="172" s="1"/>
  <c r="X913" i="172" a="1"/>
  <c r="X913" i="172" s="1"/>
  <c r="X921" i="172" a="1"/>
  <c r="X921" i="172" s="1"/>
  <c r="X919" i="172" a="1"/>
  <c r="X919" i="172" s="1"/>
  <c r="X927" i="172" a="1"/>
  <c r="X927" i="172" s="1"/>
  <c r="X929" i="172" a="1"/>
  <c r="X929" i="172" s="1"/>
  <c r="X931" i="172" a="1"/>
  <c r="X931" i="172" s="1"/>
  <c r="X933" i="172" a="1"/>
  <c r="X933" i="172" s="1"/>
  <c r="X935" i="172" a="1"/>
  <c r="X935" i="172" s="1"/>
  <c r="X937" i="172" a="1"/>
  <c r="X937" i="172" s="1"/>
  <c r="X939" i="172" a="1"/>
  <c r="X939" i="172" s="1"/>
  <c r="X941" i="172" a="1"/>
  <c r="X941" i="172" s="1"/>
  <c r="X943" i="172" a="1"/>
  <c r="X943" i="172" s="1"/>
  <c r="X945" i="172" a="1"/>
  <c r="X945" i="172" s="1"/>
  <c r="X947" i="172" a="1"/>
  <c r="X947" i="172" s="1"/>
  <c r="X949" i="172" a="1"/>
  <c r="X949" i="172" s="1"/>
  <c r="X951" i="172" a="1"/>
  <c r="X951" i="172" s="1"/>
  <c r="X953" i="172" a="1"/>
  <c r="X953" i="172" s="1"/>
  <c r="X955" i="172" a="1"/>
  <c r="X955" i="172" s="1"/>
  <c r="X957" i="172" a="1"/>
  <c r="X957" i="172" s="1"/>
  <c r="X959" i="172" a="1"/>
  <c r="X959" i="172" s="1"/>
  <c r="X961" i="172" a="1"/>
  <c r="X961" i="172" s="1"/>
  <c r="X963" i="172" a="1"/>
  <c r="X963" i="172" s="1"/>
  <c r="X965" i="172" a="1"/>
  <c r="X965" i="172" s="1"/>
  <c r="X967" i="172" a="1"/>
  <c r="X967" i="172" s="1"/>
  <c r="X969" i="172" a="1"/>
  <c r="X969" i="172" s="1"/>
  <c r="X971" i="172" a="1"/>
  <c r="X971" i="172" s="1"/>
  <c r="X973" i="172" a="1"/>
  <c r="X973" i="172" s="1"/>
  <c r="X975" i="172" a="1"/>
  <c r="X975" i="172" s="1"/>
  <c r="X977" i="172" a="1"/>
  <c r="X977" i="172" s="1"/>
  <c r="X979" i="172" a="1"/>
  <c r="X979" i="172" s="1"/>
  <c r="X981" i="172" a="1"/>
  <c r="X981" i="172" s="1"/>
  <c r="X983" i="172" a="1"/>
  <c r="X983" i="172" s="1"/>
  <c r="X985" i="172" a="1"/>
  <c r="X985" i="172" s="1"/>
  <c r="X987" i="172" a="1"/>
  <c r="X987" i="172" s="1"/>
  <c r="X989" i="172" a="1"/>
  <c r="X989" i="172" s="1"/>
  <c r="X991" i="172" a="1"/>
  <c r="X991" i="172" s="1"/>
  <c r="X993" i="172" a="1"/>
  <c r="X993" i="172" s="1"/>
  <c r="X995" i="172" a="1"/>
  <c r="X995" i="172" s="1"/>
  <c r="X997" i="172" a="1"/>
  <c r="X997" i="172" s="1"/>
  <c r="X999" i="172" a="1"/>
  <c r="X999" i="172" s="1"/>
  <c r="X917" i="172" a="1"/>
  <c r="X917" i="172" s="1"/>
  <c r="X925" i="172" a="1"/>
  <c r="X925" i="172" s="1"/>
  <c r="X915" i="172" a="1"/>
  <c r="X915" i="172" s="1"/>
  <c r="X923" i="172" a="1"/>
  <c r="X923" i="172" s="1"/>
  <c r="X928" i="172" a="1"/>
  <c r="X928" i="172" s="1"/>
  <c r="X930" i="172" a="1"/>
  <c r="X930" i="172" s="1"/>
  <c r="X932" i="172" a="1"/>
  <c r="X932" i="172" s="1"/>
  <c r="X934" i="172" a="1"/>
  <c r="X934" i="172" s="1"/>
  <c r="X936" i="172" a="1"/>
  <c r="X936" i="172" s="1"/>
  <c r="X938" i="172" a="1"/>
  <c r="X938" i="172" s="1"/>
  <c r="X940" i="172" a="1"/>
  <c r="X940" i="172" s="1"/>
  <c r="X942" i="172" a="1"/>
  <c r="X942" i="172" s="1"/>
  <c r="X944" i="172" a="1"/>
  <c r="X944" i="172" s="1"/>
  <c r="X946" i="172" a="1"/>
  <c r="X946" i="172" s="1"/>
  <c r="X948" i="172" a="1"/>
  <c r="X948" i="172" s="1"/>
  <c r="X950" i="172" a="1"/>
  <c r="X950" i="172" s="1"/>
  <c r="X952" i="172" a="1"/>
  <c r="X952" i="172" s="1"/>
  <c r="X954" i="172" a="1"/>
  <c r="X954" i="172" s="1"/>
  <c r="X956" i="172" a="1"/>
  <c r="X956" i="172" s="1"/>
  <c r="X958" i="172" a="1"/>
  <c r="X958" i="172" s="1"/>
  <c r="X960" i="172" a="1"/>
  <c r="X960" i="172" s="1"/>
  <c r="X962" i="172" a="1"/>
  <c r="X962" i="172" s="1"/>
  <c r="X964" i="172" a="1"/>
  <c r="X964" i="172" s="1"/>
  <c r="X966" i="172" a="1"/>
  <c r="X966" i="172" s="1"/>
  <c r="X968" i="172" a="1"/>
  <c r="X968" i="172" s="1"/>
  <c r="X970" i="172" a="1"/>
  <c r="X970" i="172" s="1"/>
  <c r="X972" i="172" a="1"/>
  <c r="X972" i="172" s="1"/>
  <c r="X974" i="172" a="1"/>
  <c r="X974" i="172" s="1"/>
  <c r="X976" i="172" a="1"/>
  <c r="X976" i="172" s="1"/>
  <c r="X978" i="172" a="1"/>
  <c r="X978" i="172" s="1"/>
  <c r="X980" i="172" a="1"/>
  <c r="X980" i="172" s="1"/>
  <c r="X982" i="172" a="1"/>
  <c r="X982" i="172" s="1"/>
  <c r="X984" i="172" a="1"/>
  <c r="X984" i="172" s="1"/>
  <c r="X986" i="172" a="1"/>
  <c r="X986" i="172" s="1"/>
  <c r="X988" i="172" a="1"/>
  <c r="X988" i="172" s="1"/>
  <c r="X990" i="172" a="1"/>
  <c r="X990" i="172" s="1"/>
  <c r="X992" i="172" a="1"/>
  <c r="X992" i="172" s="1"/>
  <c r="X994" i="172" a="1"/>
  <c r="X994" i="172" s="1"/>
  <c r="X996" i="172" a="1"/>
  <c r="X996" i="172" s="1"/>
  <c r="X998" i="172" a="1"/>
  <c r="X998" i="172" s="1"/>
  <c r="W10" i="172" a="1"/>
  <c r="W10" i="172" s="1"/>
  <c r="W12" i="172" a="1"/>
  <c r="W12" i="172" s="1"/>
  <c r="W5" i="172" a="1"/>
  <c r="W5" i="172" s="1"/>
  <c r="Z5" i="172" s="1"/>
  <c r="W11" i="172" a="1"/>
  <c r="W11" i="172" s="1"/>
  <c r="W7" i="172" a="1"/>
  <c r="W7" i="172" s="1"/>
  <c r="Z7" i="172" s="1"/>
  <c r="W6" i="172" a="1"/>
  <c r="W6" i="172" s="1"/>
  <c r="Z6" i="172" s="1"/>
  <c r="W9" i="172" a="1"/>
  <c r="W9" i="172" s="1"/>
  <c r="W8" i="172" a="1"/>
  <c r="W8" i="172" s="1"/>
  <c r="X11" i="172" a="1"/>
  <c r="X11" i="172" s="1"/>
  <c r="X10" i="172" a="1"/>
  <c r="X10" i="172" s="1"/>
  <c r="X12" i="172" a="1"/>
  <c r="X12" i="172" s="1"/>
  <c r="X8" i="172" a="1"/>
  <c r="X8" i="172" s="1"/>
  <c r="X5" i="172" a="1"/>
  <c r="X5" i="172" s="1"/>
  <c r="AA5" i="172" s="1"/>
  <c r="AB5" i="172" s="1"/>
  <c r="X7" i="172" a="1"/>
  <c r="X7" i="172" s="1"/>
  <c r="AA7" i="172" s="1"/>
  <c r="X6" i="172" a="1"/>
  <c r="X6" i="172" s="1"/>
  <c r="AA6" i="172" s="1"/>
  <c r="AB6" i="172" s="1"/>
  <c r="X9" i="172" a="1"/>
  <c r="X9" i="172" s="1"/>
  <c r="X4" i="172" a="1"/>
  <c r="X4" i="172" s="1"/>
  <c r="AK4" i="172" a="1"/>
  <c r="AK4" i="172" s="1"/>
  <c r="K196" i="171"/>
  <c r="H144" i="172" s="1"/>
  <c r="I144" i="172" s="1"/>
  <c r="K855" i="171"/>
  <c r="H803" i="172" s="1"/>
  <c r="I803" i="172" s="1"/>
  <c r="K1111" i="171"/>
  <c r="K1047" i="171"/>
  <c r="H995" i="172" s="1"/>
  <c r="I995" i="172" s="1"/>
  <c r="K983" i="171"/>
  <c r="H931" i="172" s="1"/>
  <c r="I931" i="172" s="1"/>
  <c r="K1175" i="171"/>
  <c r="K919" i="171"/>
  <c r="H867" i="172" s="1"/>
  <c r="I867" i="172" s="1"/>
  <c r="K1095" i="171"/>
  <c r="K967" i="171"/>
  <c r="H915" i="172" s="1"/>
  <c r="I915" i="172" s="1"/>
  <c r="K839" i="171"/>
  <c r="H787" i="172" s="1"/>
  <c r="I787" i="172" s="1"/>
  <c r="K775" i="171"/>
  <c r="H723" i="172" s="1"/>
  <c r="I723" i="172" s="1"/>
  <c r="K1143" i="171"/>
  <c r="K1079" i="171"/>
  <c r="K1015" i="171"/>
  <c r="H963" i="172" s="1"/>
  <c r="I963" i="172" s="1"/>
  <c r="K951" i="171"/>
  <c r="H899" i="172" s="1"/>
  <c r="I899" i="172" s="1"/>
  <c r="K887" i="171"/>
  <c r="H835" i="172" s="1"/>
  <c r="I835" i="172" s="1"/>
  <c r="K823" i="171"/>
  <c r="H771" i="172" s="1"/>
  <c r="I771" i="172" s="1"/>
  <c r="K791" i="171"/>
  <c r="H739" i="172" s="1"/>
  <c r="I739" i="172" s="1"/>
  <c r="K1159" i="171"/>
  <c r="K1031" i="171"/>
  <c r="H979" i="172" s="1"/>
  <c r="I979" i="172" s="1"/>
  <c r="K903" i="171"/>
  <c r="H851" i="172" s="1"/>
  <c r="I851" i="172" s="1"/>
  <c r="K1191" i="171"/>
  <c r="K1127" i="171"/>
  <c r="K1063" i="171"/>
  <c r="K999" i="171"/>
  <c r="H947" i="172" s="1"/>
  <c r="I947" i="172" s="1"/>
  <c r="K935" i="171"/>
  <c r="H883" i="172" s="1"/>
  <c r="I883" i="172" s="1"/>
  <c r="K871" i="171"/>
  <c r="H819" i="172" s="1"/>
  <c r="I819" i="172" s="1"/>
  <c r="K807" i="171"/>
  <c r="H755" i="172" s="1"/>
  <c r="I755" i="172" s="1"/>
  <c r="K755" i="171"/>
  <c r="H703" i="172" s="1"/>
  <c r="I703" i="172" s="1"/>
  <c r="K627" i="171"/>
  <c r="H575" i="172" s="1"/>
  <c r="I575" i="172" s="1"/>
  <c r="K1187" i="171"/>
  <c r="K1171" i="171"/>
  <c r="K1155" i="171"/>
  <c r="K1139" i="171"/>
  <c r="K1123" i="171"/>
  <c r="K1107" i="171"/>
  <c r="K1091" i="171"/>
  <c r="K1075" i="171"/>
  <c r="K1059" i="171"/>
  <c r="K1043" i="171"/>
  <c r="H991" i="172" s="1"/>
  <c r="I991" i="172" s="1"/>
  <c r="K1027" i="171"/>
  <c r="H975" i="172" s="1"/>
  <c r="I975" i="172" s="1"/>
  <c r="K1011" i="171"/>
  <c r="H959" i="172" s="1"/>
  <c r="I959" i="172" s="1"/>
  <c r="K995" i="171"/>
  <c r="H943" i="172" s="1"/>
  <c r="I943" i="172" s="1"/>
  <c r="K979" i="171"/>
  <c r="H927" i="172" s="1"/>
  <c r="I927" i="172" s="1"/>
  <c r="K963" i="171"/>
  <c r="H911" i="172" s="1"/>
  <c r="I911" i="172" s="1"/>
  <c r="K947" i="171"/>
  <c r="H895" i="172" s="1"/>
  <c r="I895" i="172" s="1"/>
  <c r="K931" i="171"/>
  <c r="H879" i="172" s="1"/>
  <c r="I879" i="172" s="1"/>
  <c r="K915" i="171"/>
  <c r="H863" i="172" s="1"/>
  <c r="I863" i="172" s="1"/>
  <c r="K899" i="171"/>
  <c r="H847" i="172" s="1"/>
  <c r="I847" i="172" s="1"/>
  <c r="K883" i="171"/>
  <c r="H831" i="172" s="1"/>
  <c r="I831" i="172" s="1"/>
  <c r="K867" i="171"/>
  <c r="H815" i="172" s="1"/>
  <c r="I815" i="172" s="1"/>
  <c r="K851" i="171"/>
  <c r="H799" i="172" s="1"/>
  <c r="I799" i="172" s="1"/>
  <c r="K835" i="171"/>
  <c r="H783" i="172" s="1"/>
  <c r="I783" i="172" s="1"/>
  <c r="K819" i="171"/>
  <c r="H767" i="172" s="1"/>
  <c r="I767" i="172" s="1"/>
  <c r="K803" i="171"/>
  <c r="H751" i="172" s="1"/>
  <c r="I751" i="172" s="1"/>
  <c r="K787" i="171"/>
  <c r="H735" i="172" s="1"/>
  <c r="I735" i="172" s="1"/>
  <c r="K771" i="171"/>
  <c r="H719" i="172" s="1"/>
  <c r="I719" i="172" s="1"/>
  <c r="K739" i="171"/>
  <c r="H687" i="172" s="1"/>
  <c r="I687" i="172" s="1"/>
  <c r="K675" i="171"/>
  <c r="H623" i="172" s="1"/>
  <c r="I623" i="172" s="1"/>
  <c r="K611" i="171"/>
  <c r="H559" i="172" s="1"/>
  <c r="I559" i="172" s="1"/>
  <c r="K547" i="171"/>
  <c r="H495" i="172" s="1"/>
  <c r="I495" i="172" s="1"/>
  <c r="K691" i="171"/>
  <c r="H639" i="172" s="1"/>
  <c r="I639" i="172" s="1"/>
  <c r="K563" i="171"/>
  <c r="H511" i="172" s="1"/>
  <c r="I511" i="172" s="1"/>
  <c r="K1183" i="171"/>
  <c r="K1167" i="171"/>
  <c r="K1151" i="171"/>
  <c r="K1135" i="171"/>
  <c r="K1119" i="171"/>
  <c r="K1103" i="171"/>
  <c r="K1087" i="171"/>
  <c r="K1071" i="171"/>
  <c r="K1055" i="171"/>
  <c r="K1039" i="171"/>
  <c r="H987" i="172" s="1"/>
  <c r="I987" i="172" s="1"/>
  <c r="K1023" i="171"/>
  <c r="H971" i="172" s="1"/>
  <c r="I971" i="172" s="1"/>
  <c r="K1007" i="171"/>
  <c r="H955" i="172" s="1"/>
  <c r="I955" i="172" s="1"/>
  <c r="K991" i="171"/>
  <c r="H939" i="172" s="1"/>
  <c r="I939" i="172" s="1"/>
  <c r="K975" i="171"/>
  <c r="H923" i="172" s="1"/>
  <c r="I923" i="172" s="1"/>
  <c r="K959" i="171"/>
  <c r="H907" i="172" s="1"/>
  <c r="I907" i="172" s="1"/>
  <c r="K943" i="171"/>
  <c r="H891" i="172" s="1"/>
  <c r="I891" i="172" s="1"/>
  <c r="K927" i="171"/>
  <c r="H875" i="172" s="1"/>
  <c r="I875" i="172" s="1"/>
  <c r="K911" i="171"/>
  <c r="H859" i="172" s="1"/>
  <c r="I859" i="172" s="1"/>
  <c r="K895" i="171"/>
  <c r="H843" i="172" s="1"/>
  <c r="I843" i="172" s="1"/>
  <c r="K879" i="171"/>
  <c r="H827" i="172" s="1"/>
  <c r="I827" i="172" s="1"/>
  <c r="K863" i="171"/>
  <c r="H811" i="172" s="1"/>
  <c r="I811" i="172" s="1"/>
  <c r="K847" i="171"/>
  <c r="H795" i="172" s="1"/>
  <c r="I795" i="172" s="1"/>
  <c r="K831" i="171"/>
  <c r="H779" i="172" s="1"/>
  <c r="I779" i="172" s="1"/>
  <c r="K815" i="171"/>
  <c r="H763" i="172" s="1"/>
  <c r="I763" i="172" s="1"/>
  <c r="K799" i="171"/>
  <c r="H747" i="172" s="1"/>
  <c r="I747" i="172" s="1"/>
  <c r="K783" i="171"/>
  <c r="H731" i="172" s="1"/>
  <c r="I731" i="172" s="1"/>
  <c r="K767" i="171"/>
  <c r="H715" i="172" s="1"/>
  <c r="I715" i="172" s="1"/>
  <c r="K723" i="171"/>
  <c r="H671" i="172" s="1"/>
  <c r="I671" i="172" s="1"/>
  <c r="K659" i="171"/>
  <c r="H607" i="172" s="1"/>
  <c r="I607" i="172" s="1"/>
  <c r="K595" i="171"/>
  <c r="H543" i="172" s="1"/>
  <c r="I543" i="172" s="1"/>
  <c r="K531" i="171"/>
  <c r="H479" i="172" s="1"/>
  <c r="I479" i="172" s="1"/>
  <c r="K1195" i="171"/>
  <c r="K1179" i="171"/>
  <c r="K1163" i="171"/>
  <c r="K1147" i="171"/>
  <c r="K1131" i="171"/>
  <c r="K1115" i="171"/>
  <c r="K1099" i="171"/>
  <c r="K1083" i="171"/>
  <c r="K1067" i="171"/>
  <c r="K1051" i="171"/>
  <c r="H999" i="172" s="1"/>
  <c r="I999" i="172" s="1"/>
  <c r="K1035" i="171"/>
  <c r="H983" i="172" s="1"/>
  <c r="I983" i="172" s="1"/>
  <c r="K1019" i="171"/>
  <c r="H967" i="172" s="1"/>
  <c r="I967" i="172" s="1"/>
  <c r="K1003" i="171"/>
  <c r="H951" i="172" s="1"/>
  <c r="I951" i="172" s="1"/>
  <c r="K987" i="171"/>
  <c r="H935" i="172" s="1"/>
  <c r="I935" i="172" s="1"/>
  <c r="K971" i="171"/>
  <c r="H919" i="172" s="1"/>
  <c r="I919" i="172" s="1"/>
  <c r="K955" i="171"/>
  <c r="H903" i="172" s="1"/>
  <c r="I903" i="172" s="1"/>
  <c r="K939" i="171"/>
  <c r="H887" i="172" s="1"/>
  <c r="I887" i="172" s="1"/>
  <c r="K923" i="171"/>
  <c r="H871" i="172" s="1"/>
  <c r="I871" i="172" s="1"/>
  <c r="K907" i="171"/>
  <c r="H855" i="172" s="1"/>
  <c r="I855" i="172" s="1"/>
  <c r="K891" i="171"/>
  <c r="H839" i="172" s="1"/>
  <c r="I839" i="172" s="1"/>
  <c r="K875" i="171"/>
  <c r="H823" i="172" s="1"/>
  <c r="I823" i="172" s="1"/>
  <c r="K859" i="171"/>
  <c r="H807" i="172" s="1"/>
  <c r="I807" i="172" s="1"/>
  <c r="K843" i="171"/>
  <c r="H791" i="172" s="1"/>
  <c r="I791" i="172" s="1"/>
  <c r="K827" i="171"/>
  <c r="H775" i="172" s="1"/>
  <c r="I775" i="172" s="1"/>
  <c r="K811" i="171"/>
  <c r="H759" i="172" s="1"/>
  <c r="I759" i="172" s="1"/>
  <c r="K795" i="171"/>
  <c r="H743" i="172" s="1"/>
  <c r="I743" i="172" s="1"/>
  <c r="K779" i="171"/>
  <c r="H727" i="172" s="1"/>
  <c r="I727" i="172" s="1"/>
  <c r="K763" i="171"/>
  <c r="H711" i="172" s="1"/>
  <c r="I711" i="172" s="1"/>
  <c r="K707" i="171"/>
  <c r="H655" i="172" s="1"/>
  <c r="I655" i="172" s="1"/>
  <c r="K643" i="171"/>
  <c r="H591" i="172" s="1"/>
  <c r="I591" i="172" s="1"/>
  <c r="K579" i="171"/>
  <c r="H527" i="172" s="1"/>
  <c r="I527" i="172" s="1"/>
  <c r="K515" i="171"/>
  <c r="H463" i="172" s="1"/>
  <c r="I463" i="172" s="1"/>
  <c r="K420" i="171"/>
  <c r="H368" i="172" s="1"/>
  <c r="I368" i="172" s="1"/>
  <c r="K292" i="171"/>
  <c r="H240" i="172" s="1"/>
  <c r="I240" i="172" s="1"/>
  <c r="K1198" i="171"/>
  <c r="K1194" i="171"/>
  <c r="K1190" i="171"/>
  <c r="K1186" i="171"/>
  <c r="K1182" i="171"/>
  <c r="K1178" i="171"/>
  <c r="K1174" i="171"/>
  <c r="K1170" i="171"/>
  <c r="K1166" i="171"/>
  <c r="K1162" i="171"/>
  <c r="K1158" i="171"/>
  <c r="K1154" i="171"/>
  <c r="K1150" i="171"/>
  <c r="K1146" i="171"/>
  <c r="K1142" i="171"/>
  <c r="K1138" i="171"/>
  <c r="K1134" i="171"/>
  <c r="K1130" i="171"/>
  <c r="K1126" i="171"/>
  <c r="K1122" i="171"/>
  <c r="K1118" i="171"/>
  <c r="K1114" i="171"/>
  <c r="K1110" i="171"/>
  <c r="K1106" i="171"/>
  <c r="K1102" i="171"/>
  <c r="K1098" i="171"/>
  <c r="K1094" i="171"/>
  <c r="K1090" i="171"/>
  <c r="K1086" i="171"/>
  <c r="K1082" i="171"/>
  <c r="K1078" i="171"/>
  <c r="K1074" i="171"/>
  <c r="K1070" i="171"/>
  <c r="K1066" i="171"/>
  <c r="K1062" i="171"/>
  <c r="K1058" i="171"/>
  <c r="K1054" i="171"/>
  <c r="K1050" i="171"/>
  <c r="H998" i="172" s="1"/>
  <c r="I998" i="172" s="1"/>
  <c r="K1046" i="171"/>
  <c r="H994" i="172" s="1"/>
  <c r="I994" i="172" s="1"/>
  <c r="K1042" i="171"/>
  <c r="H990" i="172" s="1"/>
  <c r="I990" i="172" s="1"/>
  <c r="K1038" i="171"/>
  <c r="H986" i="172" s="1"/>
  <c r="I986" i="172" s="1"/>
  <c r="K1034" i="171"/>
  <c r="H982" i="172" s="1"/>
  <c r="I982" i="172" s="1"/>
  <c r="K1030" i="171"/>
  <c r="H978" i="172" s="1"/>
  <c r="I978" i="172" s="1"/>
  <c r="K1026" i="171"/>
  <c r="H974" i="172" s="1"/>
  <c r="I974" i="172" s="1"/>
  <c r="K1022" i="171"/>
  <c r="H970" i="172" s="1"/>
  <c r="I970" i="172" s="1"/>
  <c r="K1018" i="171"/>
  <c r="H966" i="172" s="1"/>
  <c r="I966" i="172" s="1"/>
  <c r="K1014" i="171"/>
  <c r="H962" i="172" s="1"/>
  <c r="I962" i="172" s="1"/>
  <c r="K1010" i="171"/>
  <c r="H958" i="172" s="1"/>
  <c r="I958" i="172" s="1"/>
  <c r="K1006" i="171"/>
  <c r="H954" i="172" s="1"/>
  <c r="I954" i="172" s="1"/>
  <c r="K1002" i="171"/>
  <c r="H950" i="172" s="1"/>
  <c r="I950" i="172" s="1"/>
  <c r="K998" i="171"/>
  <c r="H946" i="172" s="1"/>
  <c r="I946" i="172" s="1"/>
  <c r="K994" i="171"/>
  <c r="H942" i="172" s="1"/>
  <c r="I942" i="172" s="1"/>
  <c r="K990" i="171"/>
  <c r="H938" i="172" s="1"/>
  <c r="I938" i="172" s="1"/>
  <c r="K986" i="171"/>
  <c r="H934" i="172" s="1"/>
  <c r="I934" i="172" s="1"/>
  <c r="K982" i="171"/>
  <c r="H930" i="172" s="1"/>
  <c r="I930" i="172" s="1"/>
  <c r="K978" i="171"/>
  <c r="H926" i="172" s="1"/>
  <c r="I926" i="172" s="1"/>
  <c r="K974" i="171"/>
  <c r="H922" i="172" s="1"/>
  <c r="I922" i="172" s="1"/>
  <c r="K970" i="171"/>
  <c r="H918" i="172" s="1"/>
  <c r="I918" i="172" s="1"/>
  <c r="K966" i="171"/>
  <c r="H914" i="172" s="1"/>
  <c r="I914" i="172" s="1"/>
  <c r="K962" i="171"/>
  <c r="H910" i="172" s="1"/>
  <c r="I910" i="172" s="1"/>
  <c r="K958" i="171"/>
  <c r="H906" i="172" s="1"/>
  <c r="I906" i="172" s="1"/>
  <c r="K954" i="171"/>
  <c r="H902" i="172" s="1"/>
  <c r="I902" i="172" s="1"/>
  <c r="K950" i="171"/>
  <c r="H898" i="172" s="1"/>
  <c r="I898" i="172" s="1"/>
  <c r="K946" i="171"/>
  <c r="H894" i="172" s="1"/>
  <c r="I894" i="172" s="1"/>
  <c r="K942" i="171"/>
  <c r="H890" i="172" s="1"/>
  <c r="I890" i="172" s="1"/>
  <c r="K938" i="171"/>
  <c r="H886" i="172" s="1"/>
  <c r="I886" i="172" s="1"/>
  <c r="K934" i="171"/>
  <c r="H882" i="172" s="1"/>
  <c r="I882" i="172" s="1"/>
  <c r="K930" i="171"/>
  <c r="H878" i="172" s="1"/>
  <c r="I878" i="172" s="1"/>
  <c r="K926" i="171"/>
  <c r="H874" i="172" s="1"/>
  <c r="I874" i="172" s="1"/>
  <c r="K922" i="171"/>
  <c r="H870" i="172" s="1"/>
  <c r="I870" i="172" s="1"/>
  <c r="K918" i="171"/>
  <c r="H866" i="172" s="1"/>
  <c r="I866" i="172" s="1"/>
  <c r="K914" i="171"/>
  <c r="H862" i="172" s="1"/>
  <c r="I862" i="172" s="1"/>
  <c r="K910" i="171"/>
  <c r="H858" i="172" s="1"/>
  <c r="I858" i="172" s="1"/>
  <c r="K906" i="171"/>
  <c r="H854" i="172" s="1"/>
  <c r="I854" i="172" s="1"/>
  <c r="K902" i="171"/>
  <c r="H850" i="172" s="1"/>
  <c r="I850" i="172" s="1"/>
  <c r="K898" i="171"/>
  <c r="H846" i="172" s="1"/>
  <c r="I846" i="172" s="1"/>
  <c r="K894" i="171"/>
  <c r="H842" i="172" s="1"/>
  <c r="I842" i="172" s="1"/>
  <c r="K890" i="171"/>
  <c r="H838" i="172" s="1"/>
  <c r="I838" i="172" s="1"/>
  <c r="K886" i="171"/>
  <c r="H834" i="172" s="1"/>
  <c r="I834" i="172" s="1"/>
  <c r="K882" i="171"/>
  <c r="H830" i="172" s="1"/>
  <c r="I830" i="172" s="1"/>
  <c r="K878" i="171"/>
  <c r="H826" i="172" s="1"/>
  <c r="I826" i="172" s="1"/>
  <c r="K874" i="171"/>
  <c r="H822" i="172" s="1"/>
  <c r="I822" i="172" s="1"/>
  <c r="K870" i="171"/>
  <c r="H818" i="172" s="1"/>
  <c r="I818" i="172" s="1"/>
  <c r="K866" i="171"/>
  <c r="H814" i="172" s="1"/>
  <c r="I814" i="172" s="1"/>
  <c r="K862" i="171"/>
  <c r="H810" i="172" s="1"/>
  <c r="I810" i="172" s="1"/>
  <c r="K858" i="171"/>
  <c r="H806" i="172" s="1"/>
  <c r="I806" i="172" s="1"/>
  <c r="K854" i="171"/>
  <c r="H802" i="172" s="1"/>
  <c r="I802" i="172" s="1"/>
  <c r="K850" i="171"/>
  <c r="H798" i="172" s="1"/>
  <c r="I798" i="172" s="1"/>
  <c r="K846" i="171"/>
  <c r="H794" i="172" s="1"/>
  <c r="I794" i="172" s="1"/>
  <c r="K842" i="171"/>
  <c r="H790" i="172" s="1"/>
  <c r="I790" i="172" s="1"/>
  <c r="K838" i="171"/>
  <c r="H786" i="172" s="1"/>
  <c r="I786" i="172" s="1"/>
  <c r="K834" i="171"/>
  <c r="H782" i="172" s="1"/>
  <c r="I782" i="172" s="1"/>
  <c r="K830" i="171"/>
  <c r="H778" i="172" s="1"/>
  <c r="I778" i="172" s="1"/>
  <c r="K826" i="171"/>
  <c r="H774" i="172" s="1"/>
  <c r="I774" i="172" s="1"/>
  <c r="K822" i="171"/>
  <c r="H770" i="172" s="1"/>
  <c r="I770" i="172" s="1"/>
  <c r="K818" i="171"/>
  <c r="H766" i="172" s="1"/>
  <c r="I766" i="172" s="1"/>
  <c r="K814" i="171"/>
  <c r="H762" i="172" s="1"/>
  <c r="I762" i="172" s="1"/>
  <c r="K810" i="171"/>
  <c r="H758" i="172" s="1"/>
  <c r="I758" i="172" s="1"/>
  <c r="K806" i="171"/>
  <c r="H754" i="172" s="1"/>
  <c r="I754" i="172" s="1"/>
  <c r="K802" i="171"/>
  <c r="H750" i="172" s="1"/>
  <c r="I750" i="172" s="1"/>
  <c r="K798" i="171"/>
  <c r="H746" i="172" s="1"/>
  <c r="I746" i="172" s="1"/>
  <c r="K794" i="171"/>
  <c r="H742" i="172" s="1"/>
  <c r="I742" i="172" s="1"/>
  <c r="K790" i="171"/>
  <c r="H738" i="172" s="1"/>
  <c r="I738" i="172" s="1"/>
  <c r="K786" i="171"/>
  <c r="H734" i="172" s="1"/>
  <c r="I734" i="172" s="1"/>
  <c r="K782" i="171"/>
  <c r="H730" i="172" s="1"/>
  <c r="I730" i="172" s="1"/>
  <c r="K778" i="171"/>
  <c r="H726" i="172" s="1"/>
  <c r="I726" i="172" s="1"/>
  <c r="K774" i="171"/>
  <c r="H722" i="172" s="1"/>
  <c r="I722" i="172" s="1"/>
  <c r="K770" i="171"/>
  <c r="H718" i="172" s="1"/>
  <c r="I718" i="172" s="1"/>
  <c r="K766" i="171"/>
  <c r="H714" i="172" s="1"/>
  <c r="I714" i="172" s="1"/>
  <c r="K762" i="171"/>
  <c r="H710" i="172" s="1"/>
  <c r="I710" i="172" s="1"/>
  <c r="K751" i="171"/>
  <c r="H699" i="172" s="1"/>
  <c r="I699" i="172" s="1"/>
  <c r="K735" i="171"/>
  <c r="H683" i="172" s="1"/>
  <c r="I683" i="172" s="1"/>
  <c r="K719" i="171"/>
  <c r="H667" i="172" s="1"/>
  <c r="I667" i="172" s="1"/>
  <c r="K703" i="171"/>
  <c r="H651" i="172" s="1"/>
  <c r="I651" i="172" s="1"/>
  <c r="K687" i="171"/>
  <c r="H635" i="172" s="1"/>
  <c r="I635" i="172" s="1"/>
  <c r="K671" i="171"/>
  <c r="H619" i="172" s="1"/>
  <c r="I619" i="172" s="1"/>
  <c r="K655" i="171"/>
  <c r="H603" i="172" s="1"/>
  <c r="I603" i="172" s="1"/>
  <c r="K639" i="171"/>
  <c r="H587" i="172" s="1"/>
  <c r="I587" i="172" s="1"/>
  <c r="K623" i="171"/>
  <c r="H571" i="172" s="1"/>
  <c r="I571" i="172" s="1"/>
  <c r="K607" i="171"/>
  <c r="H555" i="172" s="1"/>
  <c r="I555" i="172" s="1"/>
  <c r="K591" i="171"/>
  <c r="H539" i="172" s="1"/>
  <c r="I539" i="172" s="1"/>
  <c r="K575" i="171"/>
  <c r="H523" i="172" s="1"/>
  <c r="I523" i="172" s="1"/>
  <c r="K559" i="171"/>
  <c r="H507" i="172" s="1"/>
  <c r="I507" i="172" s="1"/>
  <c r="K543" i="171"/>
  <c r="H491" i="172" s="1"/>
  <c r="I491" i="172" s="1"/>
  <c r="K527" i="171"/>
  <c r="H475" i="172" s="1"/>
  <c r="I475" i="172" s="1"/>
  <c r="K511" i="171"/>
  <c r="H459" i="172" s="1"/>
  <c r="I459" i="172" s="1"/>
  <c r="K468" i="171"/>
  <c r="H416" i="172" s="1"/>
  <c r="I416" i="172" s="1"/>
  <c r="K404" i="171"/>
  <c r="H352" i="172" s="1"/>
  <c r="I352" i="172" s="1"/>
  <c r="K340" i="171"/>
  <c r="H288" i="172" s="1"/>
  <c r="I288" i="172" s="1"/>
  <c r="K276" i="171"/>
  <c r="H224" i="172" s="1"/>
  <c r="I224" i="172" s="1"/>
  <c r="K212" i="171"/>
  <c r="H160" i="172" s="1"/>
  <c r="I160" i="172" s="1"/>
  <c r="K484" i="171"/>
  <c r="H432" i="172" s="1"/>
  <c r="I432" i="172" s="1"/>
  <c r="K356" i="171"/>
  <c r="H304" i="172" s="1"/>
  <c r="I304" i="172" s="1"/>
  <c r="K228" i="171"/>
  <c r="H176" i="172" s="1"/>
  <c r="I176" i="172" s="1"/>
  <c r="K1197" i="171"/>
  <c r="K1193" i="171"/>
  <c r="K1189" i="171"/>
  <c r="K1185" i="171"/>
  <c r="K1181" i="171"/>
  <c r="K1177" i="171"/>
  <c r="K1173" i="171"/>
  <c r="K1169" i="171"/>
  <c r="K1165" i="171"/>
  <c r="K1161" i="171"/>
  <c r="K1157" i="171"/>
  <c r="K1153" i="171"/>
  <c r="K1149" i="171"/>
  <c r="K1145" i="171"/>
  <c r="K1141" i="171"/>
  <c r="K1137" i="171"/>
  <c r="K1133" i="171"/>
  <c r="K1129" i="171"/>
  <c r="K1125" i="171"/>
  <c r="K1121" i="171"/>
  <c r="K1117" i="171"/>
  <c r="K1113" i="171"/>
  <c r="K1109" i="171"/>
  <c r="K1105" i="171"/>
  <c r="K1101" i="171"/>
  <c r="K1097" i="171"/>
  <c r="K1093" i="171"/>
  <c r="K1089" i="171"/>
  <c r="K1085" i="171"/>
  <c r="K1081" i="171"/>
  <c r="K1077" i="171"/>
  <c r="K1073" i="171"/>
  <c r="K1069" i="171"/>
  <c r="K1065" i="171"/>
  <c r="K1061" i="171"/>
  <c r="K1057" i="171"/>
  <c r="K1053" i="171"/>
  <c r="K1049" i="171"/>
  <c r="H997" i="172" s="1"/>
  <c r="I997" i="172" s="1"/>
  <c r="K1045" i="171"/>
  <c r="H993" i="172" s="1"/>
  <c r="I993" i="172" s="1"/>
  <c r="K1041" i="171"/>
  <c r="H989" i="172" s="1"/>
  <c r="I989" i="172" s="1"/>
  <c r="K1037" i="171"/>
  <c r="H985" i="172" s="1"/>
  <c r="I985" i="172" s="1"/>
  <c r="K1033" i="171"/>
  <c r="H981" i="172" s="1"/>
  <c r="I981" i="172" s="1"/>
  <c r="K1029" i="171"/>
  <c r="H977" i="172" s="1"/>
  <c r="I977" i="172" s="1"/>
  <c r="K1025" i="171"/>
  <c r="H973" i="172" s="1"/>
  <c r="I973" i="172" s="1"/>
  <c r="K1021" i="171"/>
  <c r="H969" i="172" s="1"/>
  <c r="I969" i="172" s="1"/>
  <c r="K1017" i="171"/>
  <c r="H965" i="172" s="1"/>
  <c r="I965" i="172" s="1"/>
  <c r="K1013" i="171"/>
  <c r="H961" i="172" s="1"/>
  <c r="I961" i="172" s="1"/>
  <c r="K1009" i="171"/>
  <c r="H957" i="172" s="1"/>
  <c r="I957" i="172" s="1"/>
  <c r="K1005" i="171"/>
  <c r="H953" i="172" s="1"/>
  <c r="I953" i="172" s="1"/>
  <c r="K1001" i="171"/>
  <c r="H949" i="172" s="1"/>
  <c r="I949" i="172" s="1"/>
  <c r="K997" i="171"/>
  <c r="H945" i="172" s="1"/>
  <c r="I945" i="172" s="1"/>
  <c r="K993" i="171"/>
  <c r="H941" i="172" s="1"/>
  <c r="I941" i="172" s="1"/>
  <c r="K989" i="171"/>
  <c r="H937" i="172" s="1"/>
  <c r="I937" i="172" s="1"/>
  <c r="K985" i="171"/>
  <c r="H933" i="172" s="1"/>
  <c r="I933" i="172" s="1"/>
  <c r="K981" i="171"/>
  <c r="H929" i="172" s="1"/>
  <c r="I929" i="172" s="1"/>
  <c r="K977" i="171"/>
  <c r="H925" i="172" s="1"/>
  <c r="I925" i="172" s="1"/>
  <c r="K973" i="171"/>
  <c r="H921" i="172" s="1"/>
  <c r="I921" i="172" s="1"/>
  <c r="K969" i="171"/>
  <c r="H917" i="172" s="1"/>
  <c r="I917" i="172" s="1"/>
  <c r="K965" i="171"/>
  <c r="H913" i="172" s="1"/>
  <c r="I913" i="172" s="1"/>
  <c r="K961" i="171"/>
  <c r="H909" i="172" s="1"/>
  <c r="I909" i="172" s="1"/>
  <c r="K957" i="171"/>
  <c r="H905" i="172" s="1"/>
  <c r="I905" i="172" s="1"/>
  <c r="K953" i="171"/>
  <c r="H901" i="172" s="1"/>
  <c r="I901" i="172" s="1"/>
  <c r="K949" i="171"/>
  <c r="H897" i="172" s="1"/>
  <c r="I897" i="172" s="1"/>
  <c r="K945" i="171"/>
  <c r="H893" i="172" s="1"/>
  <c r="I893" i="172" s="1"/>
  <c r="K941" i="171"/>
  <c r="H889" i="172" s="1"/>
  <c r="I889" i="172" s="1"/>
  <c r="K937" i="171"/>
  <c r="H885" i="172" s="1"/>
  <c r="I885" i="172" s="1"/>
  <c r="K933" i="171"/>
  <c r="H881" i="172" s="1"/>
  <c r="I881" i="172" s="1"/>
  <c r="K929" i="171"/>
  <c r="H877" i="172" s="1"/>
  <c r="I877" i="172" s="1"/>
  <c r="K925" i="171"/>
  <c r="H873" i="172" s="1"/>
  <c r="I873" i="172" s="1"/>
  <c r="K921" i="171"/>
  <c r="H869" i="172" s="1"/>
  <c r="I869" i="172" s="1"/>
  <c r="K917" i="171"/>
  <c r="H865" i="172" s="1"/>
  <c r="I865" i="172" s="1"/>
  <c r="K913" i="171"/>
  <c r="H861" i="172" s="1"/>
  <c r="I861" i="172" s="1"/>
  <c r="K909" i="171"/>
  <c r="H857" i="172" s="1"/>
  <c r="I857" i="172" s="1"/>
  <c r="K905" i="171"/>
  <c r="H853" i="172" s="1"/>
  <c r="I853" i="172" s="1"/>
  <c r="K901" i="171"/>
  <c r="H849" i="172" s="1"/>
  <c r="I849" i="172" s="1"/>
  <c r="K897" i="171"/>
  <c r="H845" i="172" s="1"/>
  <c r="I845" i="172" s="1"/>
  <c r="K893" i="171"/>
  <c r="H841" i="172" s="1"/>
  <c r="I841" i="172" s="1"/>
  <c r="K889" i="171"/>
  <c r="H837" i="172" s="1"/>
  <c r="I837" i="172" s="1"/>
  <c r="K885" i="171"/>
  <c r="H833" i="172" s="1"/>
  <c r="I833" i="172" s="1"/>
  <c r="K881" i="171"/>
  <c r="H829" i="172" s="1"/>
  <c r="I829" i="172" s="1"/>
  <c r="K877" i="171"/>
  <c r="H825" i="172" s="1"/>
  <c r="I825" i="172" s="1"/>
  <c r="K873" i="171"/>
  <c r="H821" i="172" s="1"/>
  <c r="I821" i="172" s="1"/>
  <c r="K869" i="171"/>
  <c r="H817" i="172" s="1"/>
  <c r="I817" i="172" s="1"/>
  <c r="K865" i="171"/>
  <c r="H813" i="172" s="1"/>
  <c r="I813" i="172" s="1"/>
  <c r="K861" i="171"/>
  <c r="H809" i="172" s="1"/>
  <c r="I809" i="172" s="1"/>
  <c r="K857" i="171"/>
  <c r="H805" i="172" s="1"/>
  <c r="I805" i="172" s="1"/>
  <c r="K853" i="171"/>
  <c r="H801" i="172" s="1"/>
  <c r="I801" i="172" s="1"/>
  <c r="K849" i="171"/>
  <c r="H797" i="172" s="1"/>
  <c r="I797" i="172" s="1"/>
  <c r="K845" i="171"/>
  <c r="H793" i="172" s="1"/>
  <c r="I793" i="172" s="1"/>
  <c r="K841" i="171"/>
  <c r="H789" i="172" s="1"/>
  <c r="I789" i="172" s="1"/>
  <c r="K837" i="171"/>
  <c r="H785" i="172" s="1"/>
  <c r="I785" i="172" s="1"/>
  <c r="K833" i="171"/>
  <c r="H781" i="172" s="1"/>
  <c r="I781" i="172" s="1"/>
  <c r="K829" i="171"/>
  <c r="H777" i="172" s="1"/>
  <c r="I777" i="172" s="1"/>
  <c r="K825" i="171"/>
  <c r="H773" i="172" s="1"/>
  <c r="I773" i="172" s="1"/>
  <c r="K821" i="171"/>
  <c r="H769" i="172" s="1"/>
  <c r="I769" i="172" s="1"/>
  <c r="K817" i="171"/>
  <c r="H765" i="172" s="1"/>
  <c r="I765" i="172" s="1"/>
  <c r="K813" i="171"/>
  <c r="H761" i="172" s="1"/>
  <c r="I761" i="172" s="1"/>
  <c r="K809" i="171"/>
  <c r="H757" i="172" s="1"/>
  <c r="I757" i="172" s="1"/>
  <c r="K805" i="171"/>
  <c r="H753" i="172" s="1"/>
  <c r="I753" i="172" s="1"/>
  <c r="K801" i="171"/>
  <c r="H749" i="172" s="1"/>
  <c r="I749" i="172" s="1"/>
  <c r="K797" i="171"/>
  <c r="H745" i="172" s="1"/>
  <c r="I745" i="172" s="1"/>
  <c r="K793" i="171"/>
  <c r="H741" i="172" s="1"/>
  <c r="I741" i="172" s="1"/>
  <c r="K789" i="171"/>
  <c r="H737" i="172" s="1"/>
  <c r="I737" i="172" s="1"/>
  <c r="K785" i="171"/>
  <c r="H733" i="172" s="1"/>
  <c r="I733" i="172" s="1"/>
  <c r="K781" i="171"/>
  <c r="H729" i="172" s="1"/>
  <c r="I729" i="172" s="1"/>
  <c r="K777" i="171"/>
  <c r="H725" i="172" s="1"/>
  <c r="I725" i="172" s="1"/>
  <c r="K773" i="171"/>
  <c r="H721" i="172" s="1"/>
  <c r="I721" i="172" s="1"/>
  <c r="K769" i="171"/>
  <c r="H717" i="172" s="1"/>
  <c r="I717" i="172" s="1"/>
  <c r="K765" i="171"/>
  <c r="H713" i="172" s="1"/>
  <c r="I713" i="172" s="1"/>
  <c r="K760" i="171"/>
  <c r="H708" i="172" s="1"/>
  <c r="I708" i="172" s="1"/>
  <c r="K747" i="171"/>
  <c r="H695" i="172" s="1"/>
  <c r="I695" i="172" s="1"/>
  <c r="K731" i="171"/>
  <c r="H679" i="172" s="1"/>
  <c r="I679" i="172" s="1"/>
  <c r="K715" i="171"/>
  <c r="H663" i="172" s="1"/>
  <c r="I663" i="172" s="1"/>
  <c r="K699" i="171"/>
  <c r="H647" i="172" s="1"/>
  <c r="I647" i="172" s="1"/>
  <c r="K683" i="171"/>
  <c r="H631" i="172" s="1"/>
  <c r="I631" i="172" s="1"/>
  <c r="K667" i="171"/>
  <c r="H615" i="172" s="1"/>
  <c r="I615" i="172" s="1"/>
  <c r="K651" i="171"/>
  <c r="H599" i="172" s="1"/>
  <c r="I599" i="172" s="1"/>
  <c r="K635" i="171"/>
  <c r="H583" i="172" s="1"/>
  <c r="I583" i="172" s="1"/>
  <c r="K619" i="171"/>
  <c r="H567" i="172" s="1"/>
  <c r="I567" i="172" s="1"/>
  <c r="K603" i="171"/>
  <c r="H551" i="172" s="1"/>
  <c r="I551" i="172" s="1"/>
  <c r="K587" i="171"/>
  <c r="H535" i="172" s="1"/>
  <c r="I535" i="172" s="1"/>
  <c r="K571" i="171"/>
  <c r="H519" i="172" s="1"/>
  <c r="I519" i="172" s="1"/>
  <c r="K555" i="171"/>
  <c r="H503" i="172" s="1"/>
  <c r="I503" i="172" s="1"/>
  <c r="K539" i="171"/>
  <c r="H487" i="172" s="1"/>
  <c r="I487" i="172" s="1"/>
  <c r="K523" i="171"/>
  <c r="H471" i="172" s="1"/>
  <c r="I471" i="172" s="1"/>
  <c r="K507" i="171"/>
  <c r="H455" i="172" s="1"/>
  <c r="I455" i="172" s="1"/>
  <c r="K452" i="171"/>
  <c r="H400" i="172" s="1"/>
  <c r="I400" i="172" s="1"/>
  <c r="K388" i="171"/>
  <c r="H336" i="172" s="1"/>
  <c r="I336" i="172" s="1"/>
  <c r="K324" i="171"/>
  <c r="H272" i="172" s="1"/>
  <c r="I272" i="172" s="1"/>
  <c r="K260" i="171"/>
  <c r="H208" i="172" s="1"/>
  <c r="I208" i="172" s="1"/>
  <c r="K181" i="171"/>
  <c r="H129" i="172" s="1"/>
  <c r="I129" i="172" s="1"/>
  <c r="K185" i="171"/>
  <c r="H133" i="172" s="1"/>
  <c r="I133" i="172" s="1"/>
  <c r="K189" i="171"/>
  <c r="H137" i="172" s="1"/>
  <c r="I137" i="172" s="1"/>
  <c r="K193" i="171"/>
  <c r="H141" i="172" s="1"/>
  <c r="I141" i="172" s="1"/>
  <c r="K197" i="171"/>
  <c r="H145" i="172" s="1"/>
  <c r="I145" i="172" s="1"/>
  <c r="K201" i="171"/>
  <c r="H149" i="172" s="1"/>
  <c r="I149" i="172" s="1"/>
  <c r="K205" i="171"/>
  <c r="H153" i="172" s="1"/>
  <c r="I153" i="172" s="1"/>
  <c r="K209" i="171"/>
  <c r="H157" i="172" s="1"/>
  <c r="I157" i="172" s="1"/>
  <c r="K213" i="171"/>
  <c r="H161" i="172" s="1"/>
  <c r="I161" i="172" s="1"/>
  <c r="K217" i="171"/>
  <c r="H165" i="172" s="1"/>
  <c r="I165" i="172" s="1"/>
  <c r="K221" i="171"/>
  <c r="H169" i="172" s="1"/>
  <c r="I169" i="172" s="1"/>
  <c r="K225" i="171"/>
  <c r="H173" i="172" s="1"/>
  <c r="I173" i="172" s="1"/>
  <c r="K229" i="171"/>
  <c r="H177" i="172" s="1"/>
  <c r="I177" i="172" s="1"/>
  <c r="K233" i="171"/>
  <c r="H181" i="172" s="1"/>
  <c r="I181" i="172" s="1"/>
  <c r="K237" i="171"/>
  <c r="H185" i="172" s="1"/>
  <c r="I185" i="172" s="1"/>
  <c r="K241" i="171"/>
  <c r="H189" i="172" s="1"/>
  <c r="I189" i="172" s="1"/>
  <c r="K245" i="171"/>
  <c r="H193" i="172" s="1"/>
  <c r="I193" i="172" s="1"/>
  <c r="K249" i="171"/>
  <c r="H197" i="172" s="1"/>
  <c r="I197" i="172" s="1"/>
  <c r="K253" i="171"/>
  <c r="H201" i="172" s="1"/>
  <c r="I201" i="172" s="1"/>
  <c r="K257" i="171"/>
  <c r="H205" i="172" s="1"/>
  <c r="I205" i="172" s="1"/>
  <c r="K261" i="171"/>
  <c r="H209" i="172" s="1"/>
  <c r="I209" i="172" s="1"/>
  <c r="K265" i="171"/>
  <c r="H213" i="172" s="1"/>
  <c r="I213" i="172" s="1"/>
  <c r="K269" i="171"/>
  <c r="H217" i="172" s="1"/>
  <c r="I217" i="172" s="1"/>
  <c r="K273" i="171"/>
  <c r="H221" i="172" s="1"/>
  <c r="I221" i="172" s="1"/>
  <c r="K277" i="171"/>
  <c r="H225" i="172" s="1"/>
  <c r="I225" i="172" s="1"/>
  <c r="K281" i="171"/>
  <c r="H229" i="172" s="1"/>
  <c r="I229" i="172" s="1"/>
  <c r="K285" i="171"/>
  <c r="H233" i="172" s="1"/>
  <c r="I233" i="172" s="1"/>
  <c r="K289" i="171"/>
  <c r="H237" i="172" s="1"/>
  <c r="I237" i="172" s="1"/>
  <c r="K293" i="171"/>
  <c r="H241" i="172" s="1"/>
  <c r="I241" i="172" s="1"/>
  <c r="K297" i="171"/>
  <c r="H245" i="172" s="1"/>
  <c r="I245" i="172" s="1"/>
  <c r="K301" i="171"/>
  <c r="H249" i="172" s="1"/>
  <c r="I249" i="172" s="1"/>
  <c r="K305" i="171"/>
  <c r="H253" i="172" s="1"/>
  <c r="I253" i="172" s="1"/>
  <c r="K309" i="171"/>
  <c r="H257" i="172" s="1"/>
  <c r="I257" i="172" s="1"/>
  <c r="K313" i="171"/>
  <c r="H261" i="172" s="1"/>
  <c r="I261" i="172" s="1"/>
  <c r="K317" i="171"/>
  <c r="H265" i="172" s="1"/>
  <c r="I265" i="172" s="1"/>
  <c r="K321" i="171"/>
  <c r="H269" i="172" s="1"/>
  <c r="I269" i="172" s="1"/>
  <c r="K325" i="171"/>
  <c r="H273" i="172" s="1"/>
  <c r="I273" i="172" s="1"/>
  <c r="K329" i="171"/>
  <c r="H277" i="172" s="1"/>
  <c r="I277" i="172" s="1"/>
  <c r="K333" i="171"/>
  <c r="H281" i="172" s="1"/>
  <c r="I281" i="172" s="1"/>
  <c r="K337" i="171"/>
  <c r="H285" i="172" s="1"/>
  <c r="I285" i="172" s="1"/>
  <c r="K341" i="171"/>
  <c r="H289" i="172" s="1"/>
  <c r="I289" i="172" s="1"/>
  <c r="K345" i="171"/>
  <c r="H293" i="172" s="1"/>
  <c r="I293" i="172" s="1"/>
  <c r="K349" i="171"/>
  <c r="H297" i="172" s="1"/>
  <c r="I297" i="172" s="1"/>
  <c r="K353" i="171"/>
  <c r="H301" i="172" s="1"/>
  <c r="I301" i="172" s="1"/>
  <c r="K357" i="171"/>
  <c r="H305" i="172" s="1"/>
  <c r="I305" i="172" s="1"/>
  <c r="K361" i="171"/>
  <c r="H309" i="172" s="1"/>
  <c r="I309" i="172" s="1"/>
  <c r="K365" i="171"/>
  <c r="H313" i="172" s="1"/>
  <c r="I313" i="172" s="1"/>
  <c r="K369" i="171"/>
  <c r="H317" i="172" s="1"/>
  <c r="I317" i="172" s="1"/>
  <c r="K373" i="171"/>
  <c r="H321" i="172" s="1"/>
  <c r="I321" i="172" s="1"/>
  <c r="K377" i="171"/>
  <c r="H325" i="172" s="1"/>
  <c r="I325" i="172" s="1"/>
  <c r="K381" i="171"/>
  <c r="H329" i="172" s="1"/>
  <c r="I329" i="172" s="1"/>
  <c r="K385" i="171"/>
  <c r="H333" i="172" s="1"/>
  <c r="I333" i="172" s="1"/>
  <c r="K389" i="171"/>
  <c r="H337" i="172" s="1"/>
  <c r="I337" i="172" s="1"/>
  <c r="K393" i="171"/>
  <c r="H341" i="172" s="1"/>
  <c r="I341" i="172" s="1"/>
  <c r="K397" i="171"/>
  <c r="H345" i="172" s="1"/>
  <c r="I345" i="172" s="1"/>
  <c r="K401" i="171"/>
  <c r="H349" i="172" s="1"/>
  <c r="I349" i="172" s="1"/>
  <c r="K405" i="171"/>
  <c r="H353" i="172" s="1"/>
  <c r="I353" i="172" s="1"/>
  <c r="K409" i="171"/>
  <c r="H357" i="172" s="1"/>
  <c r="I357" i="172" s="1"/>
  <c r="K413" i="171"/>
  <c r="H361" i="172" s="1"/>
  <c r="I361" i="172" s="1"/>
  <c r="K417" i="171"/>
  <c r="H365" i="172" s="1"/>
  <c r="I365" i="172" s="1"/>
  <c r="K421" i="171"/>
  <c r="H369" i="172" s="1"/>
  <c r="I369" i="172" s="1"/>
  <c r="K425" i="171"/>
  <c r="H373" i="172" s="1"/>
  <c r="I373" i="172" s="1"/>
  <c r="K429" i="171"/>
  <c r="H377" i="172" s="1"/>
  <c r="I377" i="172" s="1"/>
  <c r="K433" i="171"/>
  <c r="H381" i="172" s="1"/>
  <c r="I381" i="172" s="1"/>
  <c r="K437" i="171"/>
  <c r="H385" i="172" s="1"/>
  <c r="I385" i="172" s="1"/>
  <c r="K441" i="171"/>
  <c r="H389" i="172" s="1"/>
  <c r="I389" i="172" s="1"/>
  <c r="K445" i="171"/>
  <c r="H393" i="172" s="1"/>
  <c r="I393" i="172" s="1"/>
  <c r="K449" i="171"/>
  <c r="H397" i="172" s="1"/>
  <c r="I397" i="172" s="1"/>
  <c r="K453" i="171"/>
  <c r="H401" i="172" s="1"/>
  <c r="I401" i="172" s="1"/>
  <c r="K457" i="171"/>
  <c r="H405" i="172" s="1"/>
  <c r="I405" i="172" s="1"/>
  <c r="K461" i="171"/>
  <c r="H409" i="172" s="1"/>
  <c r="I409" i="172" s="1"/>
  <c r="K465" i="171"/>
  <c r="H413" i="172" s="1"/>
  <c r="I413" i="172" s="1"/>
  <c r="K469" i="171"/>
  <c r="H417" i="172" s="1"/>
  <c r="I417" i="172" s="1"/>
  <c r="K473" i="171"/>
  <c r="H421" i="172" s="1"/>
  <c r="I421" i="172" s="1"/>
  <c r="K477" i="171"/>
  <c r="H425" i="172" s="1"/>
  <c r="I425" i="172" s="1"/>
  <c r="K481" i="171"/>
  <c r="H429" i="172" s="1"/>
  <c r="I429" i="172" s="1"/>
  <c r="K485" i="171"/>
  <c r="H433" i="172" s="1"/>
  <c r="I433" i="172" s="1"/>
  <c r="K489" i="171"/>
  <c r="H437" i="172" s="1"/>
  <c r="I437" i="172" s="1"/>
  <c r="K493" i="171"/>
  <c r="H441" i="172" s="1"/>
  <c r="I441" i="172" s="1"/>
  <c r="K497" i="171"/>
  <c r="H445" i="172" s="1"/>
  <c r="I445" i="172" s="1"/>
  <c r="K501" i="171"/>
  <c r="H449" i="172" s="1"/>
  <c r="I449" i="172" s="1"/>
  <c r="K178" i="171"/>
  <c r="H126" i="172" s="1"/>
  <c r="I126" i="172" s="1"/>
  <c r="K182" i="171"/>
  <c r="H130" i="172" s="1"/>
  <c r="I130" i="172" s="1"/>
  <c r="K186" i="171"/>
  <c r="H134" i="172" s="1"/>
  <c r="I134" i="172" s="1"/>
  <c r="K190" i="171"/>
  <c r="H138" i="172" s="1"/>
  <c r="I138" i="172" s="1"/>
  <c r="K194" i="171"/>
  <c r="H142" i="172" s="1"/>
  <c r="I142" i="172" s="1"/>
  <c r="K198" i="171"/>
  <c r="H146" i="172" s="1"/>
  <c r="I146" i="172" s="1"/>
  <c r="K202" i="171"/>
  <c r="H150" i="172" s="1"/>
  <c r="I150" i="172" s="1"/>
  <c r="K206" i="171"/>
  <c r="H154" i="172" s="1"/>
  <c r="I154" i="172" s="1"/>
  <c r="K210" i="171"/>
  <c r="H158" i="172" s="1"/>
  <c r="I158" i="172" s="1"/>
  <c r="K214" i="171"/>
  <c r="H162" i="172" s="1"/>
  <c r="I162" i="172" s="1"/>
  <c r="K218" i="171"/>
  <c r="H166" i="172" s="1"/>
  <c r="I166" i="172" s="1"/>
  <c r="K222" i="171"/>
  <c r="H170" i="172" s="1"/>
  <c r="I170" i="172" s="1"/>
  <c r="K226" i="171"/>
  <c r="H174" i="172" s="1"/>
  <c r="I174" i="172" s="1"/>
  <c r="K230" i="171"/>
  <c r="H178" i="172" s="1"/>
  <c r="I178" i="172" s="1"/>
  <c r="K234" i="171"/>
  <c r="H182" i="172" s="1"/>
  <c r="I182" i="172" s="1"/>
  <c r="K238" i="171"/>
  <c r="H186" i="172" s="1"/>
  <c r="I186" i="172" s="1"/>
  <c r="K242" i="171"/>
  <c r="H190" i="172" s="1"/>
  <c r="I190" i="172" s="1"/>
  <c r="K246" i="171"/>
  <c r="H194" i="172" s="1"/>
  <c r="I194" i="172" s="1"/>
  <c r="K250" i="171"/>
  <c r="H198" i="172" s="1"/>
  <c r="I198" i="172" s="1"/>
  <c r="K254" i="171"/>
  <c r="H202" i="172" s="1"/>
  <c r="I202" i="172" s="1"/>
  <c r="K258" i="171"/>
  <c r="H206" i="172" s="1"/>
  <c r="I206" i="172" s="1"/>
  <c r="K262" i="171"/>
  <c r="H210" i="172" s="1"/>
  <c r="I210" i="172" s="1"/>
  <c r="K266" i="171"/>
  <c r="H214" i="172" s="1"/>
  <c r="I214" i="172" s="1"/>
  <c r="K270" i="171"/>
  <c r="H218" i="172" s="1"/>
  <c r="I218" i="172" s="1"/>
  <c r="K274" i="171"/>
  <c r="H222" i="172" s="1"/>
  <c r="I222" i="172" s="1"/>
  <c r="K278" i="171"/>
  <c r="H226" i="172" s="1"/>
  <c r="I226" i="172" s="1"/>
  <c r="K282" i="171"/>
  <c r="H230" i="172" s="1"/>
  <c r="I230" i="172" s="1"/>
  <c r="K286" i="171"/>
  <c r="H234" i="172" s="1"/>
  <c r="I234" i="172" s="1"/>
  <c r="K290" i="171"/>
  <c r="H238" i="172" s="1"/>
  <c r="I238" i="172" s="1"/>
  <c r="K294" i="171"/>
  <c r="H242" i="172" s="1"/>
  <c r="I242" i="172" s="1"/>
  <c r="K298" i="171"/>
  <c r="H246" i="172" s="1"/>
  <c r="I246" i="172" s="1"/>
  <c r="K302" i="171"/>
  <c r="H250" i="172" s="1"/>
  <c r="I250" i="172" s="1"/>
  <c r="K306" i="171"/>
  <c r="H254" i="172" s="1"/>
  <c r="I254" i="172" s="1"/>
  <c r="K310" i="171"/>
  <c r="H258" i="172" s="1"/>
  <c r="I258" i="172" s="1"/>
  <c r="K314" i="171"/>
  <c r="H262" i="172" s="1"/>
  <c r="I262" i="172" s="1"/>
  <c r="K318" i="171"/>
  <c r="H266" i="172" s="1"/>
  <c r="I266" i="172" s="1"/>
  <c r="K322" i="171"/>
  <c r="H270" i="172" s="1"/>
  <c r="I270" i="172" s="1"/>
  <c r="K326" i="171"/>
  <c r="H274" i="172" s="1"/>
  <c r="I274" i="172" s="1"/>
  <c r="K330" i="171"/>
  <c r="H278" i="172" s="1"/>
  <c r="I278" i="172" s="1"/>
  <c r="K334" i="171"/>
  <c r="H282" i="172" s="1"/>
  <c r="I282" i="172" s="1"/>
  <c r="K338" i="171"/>
  <c r="H286" i="172" s="1"/>
  <c r="I286" i="172" s="1"/>
  <c r="K342" i="171"/>
  <c r="H290" i="172" s="1"/>
  <c r="I290" i="172" s="1"/>
  <c r="K346" i="171"/>
  <c r="H294" i="172" s="1"/>
  <c r="I294" i="172" s="1"/>
  <c r="K350" i="171"/>
  <c r="H298" i="172" s="1"/>
  <c r="I298" i="172" s="1"/>
  <c r="K354" i="171"/>
  <c r="H302" i="172" s="1"/>
  <c r="I302" i="172" s="1"/>
  <c r="K358" i="171"/>
  <c r="H306" i="172" s="1"/>
  <c r="I306" i="172" s="1"/>
  <c r="K362" i="171"/>
  <c r="H310" i="172" s="1"/>
  <c r="I310" i="172" s="1"/>
  <c r="K366" i="171"/>
  <c r="H314" i="172" s="1"/>
  <c r="I314" i="172" s="1"/>
  <c r="K370" i="171"/>
  <c r="H318" i="172" s="1"/>
  <c r="I318" i="172" s="1"/>
  <c r="K374" i="171"/>
  <c r="H322" i="172" s="1"/>
  <c r="I322" i="172" s="1"/>
  <c r="K378" i="171"/>
  <c r="H326" i="172" s="1"/>
  <c r="I326" i="172" s="1"/>
  <c r="K382" i="171"/>
  <c r="H330" i="172" s="1"/>
  <c r="I330" i="172" s="1"/>
  <c r="K386" i="171"/>
  <c r="H334" i="172" s="1"/>
  <c r="I334" i="172" s="1"/>
  <c r="K390" i="171"/>
  <c r="H338" i="172" s="1"/>
  <c r="I338" i="172" s="1"/>
  <c r="K394" i="171"/>
  <c r="H342" i="172" s="1"/>
  <c r="I342" i="172" s="1"/>
  <c r="K398" i="171"/>
  <c r="H346" i="172" s="1"/>
  <c r="I346" i="172" s="1"/>
  <c r="K402" i="171"/>
  <c r="H350" i="172" s="1"/>
  <c r="I350" i="172" s="1"/>
  <c r="K406" i="171"/>
  <c r="H354" i="172" s="1"/>
  <c r="I354" i="172" s="1"/>
  <c r="K410" i="171"/>
  <c r="H358" i="172" s="1"/>
  <c r="I358" i="172" s="1"/>
  <c r="K414" i="171"/>
  <c r="H362" i="172" s="1"/>
  <c r="I362" i="172" s="1"/>
  <c r="K418" i="171"/>
  <c r="H366" i="172" s="1"/>
  <c r="I366" i="172" s="1"/>
  <c r="K422" i="171"/>
  <c r="H370" i="172" s="1"/>
  <c r="I370" i="172" s="1"/>
  <c r="K426" i="171"/>
  <c r="H374" i="172" s="1"/>
  <c r="I374" i="172" s="1"/>
  <c r="K430" i="171"/>
  <c r="H378" i="172" s="1"/>
  <c r="I378" i="172" s="1"/>
  <c r="K434" i="171"/>
  <c r="H382" i="172" s="1"/>
  <c r="I382" i="172" s="1"/>
  <c r="K438" i="171"/>
  <c r="H386" i="172" s="1"/>
  <c r="I386" i="172" s="1"/>
  <c r="K442" i="171"/>
  <c r="H390" i="172" s="1"/>
  <c r="I390" i="172" s="1"/>
  <c r="K446" i="171"/>
  <c r="H394" i="172" s="1"/>
  <c r="I394" i="172" s="1"/>
  <c r="K450" i="171"/>
  <c r="H398" i="172" s="1"/>
  <c r="I398" i="172" s="1"/>
  <c r="K454" i="171"/>
  <c r="H402" i="172" s="1"/>
  <c r="I402" i="172" s="1"/>
  <c r="K458" i="171"/>
  <c r="H406" i="172" s="1"/>
  <c r="I406" i="172" s="1"/>
  <c r="K462" i="171"/>
  <c r="H410" i="172" s="1"/>
  <c r="I410" i="172" s="1"/>
  <c r="K466" i="171"/>
  <c r="H414" i="172" s="1"/>
  <c r="I414" i="172" s="1"/>
  <c r="K470" i="171"/>
  <c r="H418" i="172" s="1"/>
  <c r="I418" i="172" s="1"/>
  <c r="K474" i="171"/>
  <c r="H422" i="172" s="1"/>
  <c r="I422" i="172" s="1"/>
  <c r="K478" i="171"/>
  <c r="H426" i="172" s="1"/>
  <c r="I426" i="172" s="1"/>
  <c r="K482" i="171"/>
  <c r="H430" i="172" s="1"/>
  <c r="I430" i="172" s="1"/>
  <c r="K486" i="171"/>
  <c r="H434" i="172" s="1"/>
  <c r="I434" i="172" s="1"/>
  <c r="K490" i="171"/>
  <c r="H438" i="172" s="1"/>
  <c r="I438" i="172" s="1"/>
  <c r="K494" i="171"/>
  <c r="H442" i="172" s="1"/>
  <c r="I442" i="172" s="1"/>
  <c r="K498" i="171"/>
  <c r="H446" i="172" s="1"/>
  <c r="I446" i="172" s="1"/>
  <c r="K502" i="171"/>
  <c r="H450" i="172" s="1"/>
  <c r="I450" i="172" s="1"/>
  <c r="K179" i="171"/>
  <c r="H127" i="172" s="1"/>
  <c r="I127" i="172" s="1"/>
  <c r="K183" i="171"/>
  <c r="H131" i="172" s="1"/>
  <c r="I131" i="172" s="1"/>
  <c r="K187" i="171"/>
  <c r="H135" i="172" s="1"/>
  <c r="I135" i="172" s="1"/>
  <c r="K191" i="171"/>
  <c r="H139" i="172" s="1"/>
  <c r="I139" i="172" s="1"/>
  <c r="K195" i="171"/>
  <c r="H143" i="172" s="1"/>
  <c r="I143" i="172" s="1"/>
  <c r="K199" i="171"/>
  <c r="H147" i="172" s="1"/>
  <c r="I147" i="172" s="1"/>
  <c r="K203" i="171"/>
  <c r="H151" i="172" s="1"/>
  <c r="I151" i="172" s="1"/>
  <c r="K207" i="171"/>
  <c r="H155" i="172" s="1"/>
  <c r="I155" i="172" s="1"/>
  <c r="K211" i="171"/>
  <c r="H159" i="172" s="1"/>
  <c r="I159" i="172" s="1"/>
  <c r="K215" i="171"/>
  <c r="H163" i="172" s="1"/>
  <c r="I163" i="172" s="1"/>
  <c r="K219" i="171"/>
  <c r="H167" i="172" s="1"/>
  <c r="I167" i="172" s="1"/>
  <c r="K223" i="171"/>
  <c r="H171" i="172" s="1"/>
  <c r="I171" i="172" s="1"/>
  <c r="K227" i="171"/>
  <c r="H175" i="172" s="1"/>
  <c r="I175" i="172" s="1"/>
  <c r="K231" i="171"/>
  <c r="H179" i="172" s="1"/>
  <c r="I179" i="172" s="1"/>
  <c r="K235" i="171"/>
  <c r="H183" i="172" s="1"/>
  <c r="I183" i="172" s="1"/>
  <c r="K239" i="171"/>
  <c r="H187" i="172" s="1"/>
  <c r="I187" i="172" s="1"/>
  <c r="K243" i="171"/>
  <c r="H191" i="172" s="1"/>
  <c r="I191" i="172" s="1"/>
  <c r="K247" i="171"/>
  <c r="H195" i="172" s="1"/>
  <c r="I195" i="172" s="1"/>
  <c r="K251" i="171"/>
  <c r="H199" i="172" s="1"/>
  <c r="I199" i="172" s="1"/>
  <c r="K255" i="171"/>
  <c r="H203" i="172" s="1"/>
  <c r="I203" i="172" s="1"/>
  <c r="K259" i="171"/>
  <c r="H207" i="172" s="1"/>
  <c r="I207" i="172" s="1"/>
  <c r="K263" i="171"/>
  <c r="H211" i="172" s="1"/>
  <c r="I211" i="172" s="1"/>
  <c r="K267" i="171"/>
  <c r="H215" i="172" s="1"/>
  <c r="I215" i="172" s="1"/>
  <c r="K271" i="171"/>
  <c r="H219" i="172" s="1"/>
  <c r="I219" i="172" s="1"/>
  <c r="K275" i="171"/>
  <c r="H223" i="172" s="1"/>
  <c r="I223" i="172" s="1"/>
  <c r="K279" i="171"/>
  <c r="H227" i="172" s="1"/>
  <c r="I227" i="172" s="1"/>
  <c r="K283" i="171"/>
  <c r="H231" i="172" s="1"/>
  <c r="I231" i="172" s="1"/>
  <c r="K287" i="171"/>
  <c r="H235" i="172" s="1"/>
  <c r="I235" i="172" s="1"/>
  <c r="K291" i="171"/>
  <c r="H239" i="172" s="1"/>
  <c r="I239" i="172" s="1"/>
  <c r="K295" i="171"/>
  <c r="H243" i="172" s="1"/>
  <c r="I243" i="172" s="1"/>
  <c r="K299" i="171"/>
  <c r="H247" i="172" s="1"/>
  <c r="I247" i="172" s="1"/>
  <c r="K303" i="171"/>
  <c r="H251" i="172" s="1"/>
  <c r="I251" i="172" s="1"/>
  <c r="K307" i="171"/>
  <c r="H255" i="172" s="1"/>
  <c r="I255" i="172" s="1"/>
  <c r="K311" i="171"/>
  <c r="H259" i="172" s="1"/>
  <c r="I259" i="172" s="1"/>
  <c r="K315" i="171"/>
  <c r="H263" i="172" s="1"/>
  <c r="I263" i="172" s="1"/>
  <c r="K319" i="171"/>
  <c r="H267" i="172" s="1"/>
  <c r="I267" i="172" s="1"/>
  <c r="K323" i="171"/>
  <c r="H271" i="172" s="1"/>
  <c r="I271" i="172" s="1"/>
  <c r="K327" i="171"/>
  <c r="H275" i="172" s="1"/>
  <c r="I275" i="172" s="1"/>
  <c r="K331" i="171"/>
  <c r="H279" i="172" s="1"/>
  <c r="I279" i="172" s="1"/>
  <c r="K335" i="171"/>
  <c r="H283" i="172" s="1"/>
  <c r="I283" i="172" s="1"/>
  <c r="K339" i="171"/>
  <c r="H287" i="172" s="1"/>
  <c r="I287" i="172" s="1"/>
  <c r="K343" i="171"/>
  <c r="H291" i="172" s="1"/>
  <c r="I291" i="172" s="1"/>
  <c r="K347" i="171"/>
  <c r="H295" i="172" s="1"/>
  <c r="I295" i="172" s="1"/>
  <c r="K351" i="171"/>
  <c r="H299" i="172" s="1"/>
  <c r="I299" i="172" s="1"/>
  <c r="K355" i="171"/>
  <c r="H303" i="172" s="1"/>
  <c r="I303" i="172" s="1"/>
  <c r="K359" i="171"/>
  <c r="H307" i="172" s="1"/>
  <c r="I307" i="172" s="1"/>
  <c r="K363" i="171"/>
  <c r="H311" i="172" s="1"/>
  <c r="I311" i="172" s="1"/>
  <c r="K367" i="171"/>
  <c r="H315" i="172" s="1"/>
  <c r="I315" i="172" s="1"/>
  <c r="K371" i="171"/>
  <c r="H319" i="172" s="1"/>
  <c r="I319" i="172" s="1"/>
  <c r="K375" i="171"/>
  <c r="H323" i="172" s="1"/>
  <c r="I323" i="172" s="1"/>
  <c r="K379" i="171"/>
  <c r="H327" i="172" s="1"/>
  <c r="I327" i="172" s="1"/>
  <c r="K383" i="171"/>
  <c r="H331" i="172" s="1"/>
  <c r="I331" i="172" s="1"/>
  <c r="K387" i="171"/>
  <c r="H335" i="172" s="1"/>
  <c r="I335" i="172" s="1"/>
  <c r="K391" i="171"/>
  <c r="H339" i="172" s="1"/>
  <c r="I339" i="172" s="1"/>
  <c r="K395" i="171"/>
  <c r="H343" i="172" s="1"/>
  <c r="I343" i="172" s="1"/>
  <c r="K399" i="171"/>
  <c r="H347" i="172" s="1"/>
  <c r="I347" i="172" s="1"/>
  <c r="K403" i="171"/>
  <c r="H351" i="172" s="1"/>
  <c r="I351" i="172" s="1"/>
  <c r="K407" i="171"/>
  <c r="H355" i="172" s="1"/>
  <c r="I355" i="172" s="1"/>
  <c r="K411" i="171"/>
  <c r="H359" i="172" s="1"/>
  <c r="I359" i="172" s="1"/>
  <c r="K415" i="171"/>
  <c r="H363" i="172" s="1"/>
  <c r="I363" i="172" s="1"/>
  <c r="K419" i="171"/>
  <c r="H367" i="172" s="1"/>
  <c r="I367" i="172" s="1"/>
  <c r="K423" i="171"/>
  <c r="H371" i="172" s="1"/>
  <c r="I371" i="172" s="1"/>
  <c r="K427" i="171"/>
  <c r="H375" i="172" s="1"/>
  <c r="I375" i="172" s="1"/>
  <c r="K431" i="171"/>
  <c r="H379" i="172" s="1"/>
  <c r="I379" i="172" s="1"/>
  <c r="K435" i="171"/>
  <c r="H383" i="172" s="1"/>
  <c r="I383" i="172" s="1"/>
  <c r="K439" i="171"/>
  <c r="H387" i="172" s="1"/>
  <c r="I387" i="172" s="1"/>
  <c r="K443" i="171"/>
  <c r="H391" i="172" s="1"/>
  <c r="I391" i="172" s="1"/>
  <c r="K447" i="171"/>
  <c r="H395" i="172" s="1"/>
  <c r="I395" i="172" s="1"/>
  <c r="K451" i="171"/>
  <c r="H399" i="172" s="1"/>
  <c r="I399" i="172" s="1"/>
  <c r="K455" i="171"/>
  <c r="H403" i="172" s="1"/>
  <c r="I403" i="172" s="1"/>
  <c r="K459" i="171"/>
  <c r="H407" i="172" s="1"/>
  <c r="I407" i="172" s="1"/>
  <c r="K463" i="171"/>
  <c r="H411" i="172" s="1"/>
  <c r="I411" i="172" s="1"/>
  <c r="K467" i="171"/>
  <c r="H415" i="172" s="1"/>
  <c r="I415" i="172" s="1"/>
  <c r="K471" i="171"/>
  <c r="H419" i="172" s="1"/>
  <c r="I419" i="172" s="1"/>
  <c r="K475" i="171"/>
  <c r="H423" i="172" s="1"/>
  <c r="I423" i="172" s="1"/>
  <c r="K479" i="171"/>
  <c r="H427" i="172" s="1"/>
  <c r="I427" i="172" s="1"/>
  <c r="K483" i="171"/>
  <c r="H431" i="172" s="1"/>
  <c r="I431" i="172" s="1"/>
  <c r="K487" i="171"/>
  <c r="H435" i="172" s="1"/>
  <c r="I435" i="172" s="1"/>
  <c r="K491" i="171"/>
  <c r="H439" i="172" s="1"/>
  <c r="I439" i="172" s="1"/>
  <c r="K495" i="171"/>
  <c r="H443" i="172" s="1"/>
  <c r="I443" i="172" s="1"/>
  <c r="K499" i="171"/>
  <c r="H447" i="172" s="1"/>
  <c r="I447" i="172" s="1"/>
  <c r="K503" i="171"/>
  <c r="H451" i="172" s="1"/>
  <c r="I451" i="172" s="1"/>
  <c r="K184" i="171"/>
  <c r="H132" i="172" s="1"/>
  <c r="I132" i="172" s="1"/>
  <c r="K200" i="171"/>
  <c r="H148" i="172" s="1"/>
  <c r="I148" i="172" s="1"/>
  <c r="K216" i="171"/>
  <c r="H164" i="172" s="1"/>
  <c r="I164" i="172" s="1"/>
  <c r="K232" i="171"/>
  <c r="H180" i="172" s="1"/>
  <c r="I180" i="172" s="1"/>
  <c r="K248" i="171"/>
  <c r="H196" i="172" s="1"/>
  <c r="I196" i="172" s="1"/>
  <c r="K264" i="171"/>
  <c r="H212" i="172" s="1"/>
  <c r="I212" i="172" s="1"/>
  <c r="K280" i="171"/>
  <c r="H228" i="172" s="1"/>
  <c r="I228" i="172" s="1"/>
  <c r="K296" i="171"/>
  <c r="H244" i="172" s="1"/>
  <c r="I244" i="172" s="1"/>
  <c r="K312" i="171"/>
  <c r="H260" i="172" s="1"/>
  <c r="I260" i="172" s="1"/>
  <c r="K328" i="171"/>
  <c r="H276" i="172" s="1"/>
  <c r="I276" i="172" s="1"/>
  <c r="K344" i="171"/>
  <c r="H292" i="172" s="1"/>
  <c r="I292" i="172" s="1"/>
  <c r="K360" i="171"/>
  <c r="H308" i="172" s="1"/>
  <c r="I308" i="172" s="1"/>
  <c r="K376" i="171"/>
  <c r="H324" i="172" s="1"/>
  <c r="I324" i="172" s="1"/>
  <c r="K392" i="171"/>
  <c r="H340" i="172" s="1"/>
  <c r="I340" i="172" s="1"/>
  <c r="K408" i="171"/>
  <c r="H356" i="172" s="1"/>
  <c r="I356" i="172" s="1"/>
  <c r="K424" i="171"/>
  <c r="H372" i="172" s="1"/>
  <c r="I372" i="172" s="1"/>
  <c r="K440" i="171"/>
  <c r="H388" i="172" s="1"/>
  <c r="I388" i="172" s="1"/>
  <c r="K456" i="171"/>
  <c r="H404" i="172" s="1"/>
  <c r="I404" i="172" s="1"/>
  <c r="K472" i="171"/>
  <c r="H420" i="172" s="1"/>
  <c r="I420" i="172" s="1"/>
  <c r="K488" i="171"/>
  <c r="H436" i="172" s="1"/>
  <c r="I436" i="172" s="1"/>
  <c r="K504" i="171"/>
  <c r="H452" i="172" s="1"/>
  <c r="I452" i="172" s="1"/>
  <c r="K508" i="171"/>
  <c r="H456" i="172" s="1"/>
  <c r="I456" i="172" s="1"/>
  <c r="K512" i="171"/>
  <c r="H460" i="172" s="1"/>
  <c r="I460" i="172" s="1"/>
  <c r="K516" i="171"/>
  <c r="H464" i="172" s="1"/>
  <c r="I464" i="172" s="1"/>
  <c r="K520" i="171"/>
  <c r="H468" i="172" s="1"/>
  <c r="I468" i="172" s="1"/>
  <c r="K524" i="171"/>
  <c r="H472" i="172" s="1"/>
  <c r="I472" i="172" s="1"/>
  <c r="K528" i="171"/>
  <c r="H476" i="172" s="1"/>
  <c r="I476" i="172" s="1"/>
  <c r="K532" i="171"/>
  <c r="H480" i="172" s="1"/>
  <c r="I480" i="172" s="1"/>
  <c r="K536" i="171"/>
  <c r="H484" i="172" s="1"/>
  <c r="I484" i="172" s="1"/>
  <c r="K540" i="171"/>
  <c r="H488" i="172" s="1"/>
  <c r="I488" i="172" s="1"/>
  <c r="K544" i="171"/>
  <c r="H492" i="172" s="1"/>
  <c r="I492" i="172" s="1"/>
  <c r="K548" i="171"/>
  <c r="H496" i="172" s="1"/>
  <c r="I496" i="172" s="1"/>
  <c r="K552" i="171"/>
  <c r="H500" i="172" s="1"/>
  <c r="I500" i="172" s="1"/>
  <c r="K556" i="171"/>
  <c r="H504" i="172" s="1"/>
  <c r="I504" i="172" s="1"/>
  <c r="K560" i="171"/>
  <c r="H508" i="172" s="1"/>
  <c r="I508" i="172" s="1"/>
  <c r="K564" i="171"/>
  <c r="H512" i="172" s="1"/>
  <c r="I512" i="172" s="1"/>
  <c r="K568" i="171"/>
  <c r="H516" i="172" s="1"/>
  <c r="I516" i="172" s="1"/>
  <c r="K572" i="171"/>
  <c r="H520" i="172" s="1"/>
  <c r="I520" i="172" s="1"/>
  <c r="K576" i="171"/>
  <c r="H524" i="172" s="1"/>
  <c r="I524" i="172" s="1"/>
  <c r="K580" i="171"/>
  <c r="H528" i="172" s="1"/>
  <c r="I528" i="172" s="1"/>
  <c r="K584" i="171"/>
  <c r="H532" i="172" s="1"/>
  <c r="I532" i="172" s="1"/>
  <c r="K588" i="171"/>
  <c r="H536" i="172" s="1"/>
  <c r="I536" i="172" s="1"/>
  <c r="K592" i="171"/>
  <c r="H540" i="172" s="1"/>
  <c r="I540" i="172" s="1"/>
  <c r="K596" i="171"/>
  <c r="H544" i="172" s="1"/>
  <c r="I544" i="172" s="1"/>
  <c r="K600" i="171"/>
  <c r="H548" i="172" s="1"/>
  <c r="I548" i="172" s="1"/>
  <c r="K604" i="171"/>
  <c r="H552" i="172" s="1"/>
  <c r="I552" i="172" s="1"/>
  <c r="K608" i="171"/>
  <c r="H556" i="172" s="1"/>
  <c r="I556" i="172" s="1"/>
  <c r="K612" i="171"/>
  <c r="H560" i="172" s="1"/>
  <c r="I560" i="172" s="1"/>
  <c r="K616" i="171"/>
  <c r="H564" i="172" s="1"/>
  <c r="I564" i="172" s="1"/>
  <c r="K620" i="171"/>
  <c r="H568" i="172" s="1"/>
  <c r="I568" i="172" s="1"/>
  <c r="K624" i="171"/>
  <c r="H572" i="172" s="1"/>
  <c r="I572" i="172" s="1"/>
  <c r="K628" i="171"/>
  <c r="H576" i="172" s="1"/>
  <c r="I576" i="172" s="1"/>
  <c r="K632" i="171"/>
  <c r="H580" i="172" s="1"/>
  <c r="I580" i="172" s="1"/>
  <c r="K636" i="171"/>
  <c r="H584" i="172" s="1"/>
  <c r="I584" i="172" s="1"/>
  <c r="K640" i="171"/>
  <c r="H588" i="172" s="1"/>
  <c r="I588" i="172" s="1"/>
  <c r="K644" i="171"/>
  <c r="H592" i="172" s="1"/>
  <c r="I592" i="172" s="1"/>
  <c r="K648" i="171"/>
  <c r="H596" i="172" s="1"/>
  <c r="I596" i="172" s="1"/>
  <c r="K652" i="171"/>
  <c r="H600" i="172" s="1"/>
  <c r="I600" i="172" s="1"/>
  <c r="K656" i="171"/>
  <c r="H604" i="172" s="1"/>
  <c r="I604" i="172" s="1"/>
  <c r="K660" i="171"/>
  <c r="H608" i="172" s="1"/>
  <c r="I608" i="172" s="1"/>
  <c r="K664" i="171"/>
  <c r="H612" i="172" s="1"/>
  <c r="I612" i="172" s="1"/>
  <c r="K668" i="171"/>
  <c r="H616" i="172" s="1"/>
  <c r="I616" i="172" s="1"/>
  <c r="K672" i="171"/>
  <c r="H620" i="172" s="1"/>
  <c r="I620" i="172" s="1"/>
  <c r="K676" i="171"/>
  <c r="H624" i="172" s="1"/>
  <c r="I624" i="172" s="1"/>
  <c r="K680" i="171"/>
  <c r="H628" i="172" s="1"/>
  <c r="I628" i="172" s="1"/>
  <c r="K684" i="171"/>
  <c r="H632" i="172" s="1"/>
  <c r="I632" i="172" s="1"/>
  <c r="K688" i="171"/>
  <c r="H636" i="172" s="1"/>
  <c r="I636" i="172" s="1"/>
  <c r="K692" i="171"/>
  <c r="H640" i="172" s="1"/>
  <c r="I640" i="172" s="1"/>
  <c r="K696" i="171"/>
  <c r="H644" i="172" s="1"/>
  <c r="I644" i="172" s="1"/>
  <c r="K700" i="171"/>
  <c r="H648" i="172" s="1"/>
  <c r="I648" i="172" s="1"/>
  <c r="K704" i="171"/>
  <c r="H652" i="172" s="1"/>
  <c r="I652" i="172" s="1"/>
  <c r="K708" i="171"/>
  <c r="H656" i="172" s="1"/>
  <c r="I656" i="172" s="1"/>
  <c r="K712" i="171"/>
  <c r="H660" i="172" s="1"/>
  <c r="I660" i="172" s="1"/>
  <c r="K716" i="171"/>
  <c r="H664" i="172" s="1"/>
  <c r="I664" i="172" s="1"/>
  <c r="K720" i="171"/>
  <c r="H668" i="172" s="1"/>
  <c r="I668" i="172" s="1"/>
  <c r="K724" i="171"/>
  <c r="H672" i="172" s="1"/>
  <c r="I672" i="172" s="1"/>
  <c r="K728" i="171"/>
  <c r="H676" i="172" s="1"/>
  <c r="I676" i="172" s="1"/>
  <c r="K732" i="171"/>
  <c r="H680" i="172" s="1"/>
  <c r="I680" i="172" s="1"/>
  <c r="K736" i="171"/>
  <c r="H684" i="172" s="1"/>
  <c r="I684" i="172" s="1"/>
  <c r="K740" i="171"/>
  <c r="H688" i="172" s="1"/>
  <c r="I688" i="172" s="1"/>
  <c r="K744" i="171"/>
  <c r="H692" i="172" s="1"/>
  <c r="I692" i="172" s="1"/>
  <c r="K748" i="171"/>
  <c r="H696" i="172" s="1"/>
  <c r="I696" i="172" s="1"/>
  <c r="K752" i="171"/>
  <c r="H700" i="172" s="1"/>
  <c r="I700" i="172" s="1"/>
  <c r="K756" i="171"/>
  <c r="H704" i="172" s="1"/>
  <c r="I704" i="172" s="1"/>
  <c r="K188" i="171"/>
  <c r="H136" i="172" s="1"/>
  <c r="I136" i="172" s="1"/>
  <c r="K204" i="171"/>
  <c r="H152" i="172" s="1"/>
  <c r="I152" i="172" s="1"/>
  <c r="K220" i="171"/>
  <c r="H168" i="172" s="1"/>
  <c r="I168" i="172" s="1"/>
  <c r="K236" i="171"/>
  <c r="H184" i="172" s="1"/>
  <c r="I184" i="172" s="1"/>
  <c r="K252" i="171"/>
  <c r="H200" i="172" s="1"/>
  <c r="I200" i="172" s="1"/>
  <c r="K268" i="171"/>
  <c r="H216" i="172" s="1"/>
  <c r="I216" i="172" s="1"/>
  <c r="K284" i="171"/>
  <c r="H232" i="172" s="1"/>
  <c r="I232" i="172" s="1"/>
  <c r="K300" i="171"/>
  <c r="H248" i="172" s="1"/>
  <c r="I248" i="172" s="1"/>
  <c r="K316" i="171"/>
  <c r="H264" i="172" s="1"/>
  <c r="I264" i="172" s="1"/>
  <c r="K332" i="171"/>
  <c r="H280" i="172" s="1"/>
  <c r="I280" i="172" s="1"/>
  <c r="K348" i="171"/>
  <c r="H296" i="172" s="1"/>
  <c r="I296" i="172" s="1"/>
  <c r="K364" i="171"/>
  <c r="H312" i="172" s="1"/>
  <c r="I312" i="172" s="1"/>
  <c r="K380" i="171"/>
  <c r="H328" i="172" s="1"/>
  <c r="I328" i="172" s="1"/>
  <c r="K396" i="171"/>
  <c r="H344" i="172" s="1"/>
  <c r="I344" i="172" s="1"/>
  <c r="K412" i="171"/>
  <c r="H360" i="172" s="1"/>
  <c r="I360" i="172" s="1"/>
  <c r="K428" i="171"/>
  <c r="H376" i="172" s="1"/>
  <c r="I376" i="172" s="1"/>
  <c r="K444" i="171"/>
  <c r="H392" i="172" s="1"/>
  <c r="I392" i="172" s="1"/>
  <c r="K460" i="171"/>
  <c r="H408" i="172" s="1"/>
  <c r="I408" i="172" s="1"/>
  <c r="K476" i="171"/>
  <c r="H424" i="172" s="1"/>
  <c r="I424" i="172" s="1"/>
  <c r="K492" i="171"/>
  <c r="H440" i="172" s="1"/>
  <c r="I440" i="172" s="1"/>
  <c r="K505" i="171"/>
  <c r="H453" i="172" s="1"/>
  <c r="I453" i="172" s="1"/>
  <c r="K509" i="171"/>
  <c r="H457" i="172" s="1"/>
  <c r="I457" i="172" s="1"/>
  <c r="K513" i="171"/>
  <c r="H461" i="172" s="1"/>
  <c r="I461" i="172" s="1"/>
  <c r="K517" i="171"/>
  <c r="H465" i="172" s="1"/>
  <c r="I465" i="172" s="1"/>
  <c r="K521" i="171"/>
  <c r="H469" i="172" s="1"/>
  <c r="I469" i="172" s="1"/>
  <c r="K525" i="171"/>
  <c r="H473" i="172" s="1"/>
  <c r="I473" i="172" s="1"/>
  <c r="K529" i="171"/>
  <c r="H477" i="172" s="1"/>
  <c r="I477" i="172" s="1"/>
  <c r="K533" i="171"/>
  <c r="H481" i="172" s="1"/>
  <c r="I481" i="172" s="1"/>
  <c r="K537" i="171"/>
  <c r="H485" i="172" s="1"/>
  <c r="I485" i="172" s="1"/>
  <c r="K541" i="171"/>
  <c r="H489" i="172" s="1"/>
  <c r="I489" i="172" s="1"/>
  <c r="K545" i="171"/>
  <c r="H493" i="172" s="1"/>
  <c r="I493" i="172" s="1"/>
  <c r="K549" i="171"/>
  <c r="H497" i="172" s="1"/>
  <c r="I497" i="172" s="1"/>
  <c r="K553" i="171"/>
  <c r="H501" i="172" s="1"/>
  <c r="I501" i="172" s="1"/>
  <c r="K557" i="171"/>
  <c r="H505" i="172" s="1"/>
  <c r="I505" i="172" s="1"/>
  <c r="K561" i="171"/>
  <c r="H509" i="172" s="1"/>
  <c r="I509" i="172" s="1"/>
  <c r="K565" i="171"/>
  <c r="H513" i="172" s="1"/>
  <c r="I513" i="172" s="1"/>
  <c r="K569" i="171"/>
  <c r="H517" i="172" s="1"/>
  <c r="I517" i="172" s="1"/>
  <c r="K573" i="171"/>
  <c r="H521" i="172" s="1"/>
  <c r="I521" i="172" s="1"/>
  <c r="K577" i="171"/>
  <c r="H525" i="172" s="1"/>
  <c r="I525" i="172" s="1"/>
  <c r="K581" i="171"/>
  <c r="H529" i="172" s="1"/>
  <c r="I529" i="172" s="1"/>
  <c r="K585" i="171"/>
  <c r="H533" i="172" s="1"/>
  <c r="I533" i="172" s="1"/>
  <c r="K589" i="171"/>
  <c r="H537" i="172" s="1"/>
  <c r="I537" i="172" s="1"/>
  <c r="K593" i="171"/>
  <c r="H541" i="172" s="1"/>
  <c r="I541" i="172" s="1"/>
  <c r="K597" i="171"/>
  <c r="H545" i="172" s="1"/>
  <c r="I545" i="172" s="1"/>
  <c r="K601" i="171"/>
  <c r="H549" i="172" s="1"/>
  <c r="I549" i="172" s="1"/>
  <c r="K605" i="171"/>
  <c r="H553" i="172" s="1"/>
  <c r="I553" i="172" s="1"/>
  <c r="K609" i="171"/>
  <c r="H557" i="172" s="1"/>
  <c r="I557" i="172" s="1"/>
  <c r="K613" i="171"/>
  <c r="H561" i="172" s="1"/>
  <c r="I561" i="172" s="1"/>
  <c r="K617" i="171"/>
  <c r="H565" i="172" s="1"/>
  <c r="I565" i="172" s="1"/>
  <c r="K621" i="171"/>
  <c r="H569" i="172" s="1"/>
  <c r="I569" i="172" s="1"/>
  <c r="K625" i="171"/>
  <c r="H573" i="172" s="1"/>
  <c r="I573" i="172" s="1"/>
  <c r="K629" i="171"/>
  <c r="H577" i="172" s="1"/>
  <c r="I577" i="172" s="1"/>
  <c r="K633" i="171"/>
  <c r="H581" i="172" s="1"/>
  <c r="I581" i="172" s="1"/>
  <c r="K637" i="171"/>
  <c r="H585" i="172" s="1"/>
  <c r="I585" i="172" s="1"/>
  <c r="K641" i="171"/>
  <c r="H589" i="172" s="1"/>
  <c r="I589" i="172" s="1"/>
  <c r="K645" i="171"/>
  <c r="H593" i="172" s="1"/>
  <c r="I593" i="172" s="1"/>
  <c r="K649" i="171"/>
  <c r="H597" i="172" s="1"/>
  <c r="I597" i="172" s="1"/>
  <c r="K653" i="171"/>
  <c r="H601" i="172" s="1"/>
  <c r="I601" i="172" s="1"/>
  <c r="K657" i="171"/>
  <c r="H605" i="172" s="1"/>
  <c r="I605" i="172" s="1"/>
  <c r="K661" i="171"/>
  <c r="H609" i="172" s="1"/>
  <c r="I609" i="172" s="1"/>
  <c r="K665" i="171"/>
  <c r="H613" i="172" s="1"/>
  <c r="I613" i="172" s="1"/>
  <c r="K669" i="171"/>
  <c r="H617" i="172" s="1"/>
  <c r="I617" i="172" s="1"/>
  <c r="K673" i="171"/>
  <c r="H621" i="172" s="1"/>
  <c r="I621" i="172" s="1"/>
  <c r="K677" i="171"/>
  <c r="H625" i="172" s="1"/>
  <c r="I625" i="172" s="1"/>
  <c r="K681" i="171"/>
  <c r="H629" i="172" s="1"/>
  <c r="I629" i="172" s="1"/>
  <c r="K685" i="171"/>
  <c r="H633" i="172" s="1"/>
  <c r="I633" i="172" s="1"/>
  <c r="K689" i="171"/>
  <c r="H637" i="172" s="1"/>
  <c r="I637" i="172" s="1"/>
  <c r="K693" i="171"/>
  <c r="H641" i="172" s="1"/>
  <c r="I641" i="172" s="1"/>
  <c r="K697" i="171"/>
  <c r="H645" i="172" s="1"/>
  <c r="I645" i="172" s="1"/>
  <c r="K701" i="171"/>
  <c r="H649" i="172" s="1"/>
  <c r="I649" i="172" s="1"/>
  <c r="K705" i="171"/>
  <c r="H653" i="172" s="1"/>
  <c r="I653" i="172" s="1"/>
  <c r="K709" i="171"/>
  <c r="H657" i="172" s="1"/>
  <c r="I657" i="172" s="1"/>
  <c r="K713" i="171"/>
  <c r="H661" i="172" s="1"/>
  <c r="I661" i="172" s="1"/>
  <c r="K717" i="171"/>
  <c r="H665" i="172" s="1"/>
  <c r="I665" i="172" s="1"/>
  <c r="K721" i="171"/>
  <c r="H669" i="172" s="1"/>
  <c r="I669" i="172" s="1"/>
  <c r="K725" i="171"/>
  <c r="H673" i="172" s="1"/>
  <c r="I673" i="172" s="1"/>
  <c r="K729" i="171"/>
  <c r="H677" i="172" s="1"/>
  <c r="I677" i="172" s="1"/>
  <c r="K733" i="171"/>
  <c r="H681" i="172" s="1"/>
  <c r="I681" i="172" s="1"/>
  <c r="K737" i="171"/>
  <c r="H685" i="172" s="1"/>
  <c r="I685" i="172" s="1"/>
  <c r="K741" i="171"/>
  <c r="H689" i="172" s="1"/>
  <c r="I689" i="172" s="1"/>
  <c r="K745" i="171"/>
  <c r="H693" i="172" s="1"/>
  <c r="I693" i="172" s="1"/>
  <c r="K749" i="171"/>
  <c r="H697" i="172" s="1"/>
  <c r="I697" i="172" s="1"/>
  <c r="K753" i="171"/>
  <c r="H701" i="172" s="1"/>
  <c r="I701" i="172" s="1"/>
  <c r="K757" i="171"/>
  <c r="H705" i="172" s="1"/>
  <c r="I705" i="172" s="1"/>
  <c r="K761" i="171"/>
  <c r="H709" i="172" s="1"/>
  <c r="I709" i="172" s="1"/>
  <c r="K192" i="171"/>
  <c r="H140" i="172" s="1"/>
  <c r="I140" i="172" s="1"/>
  <c r="K208" i="171"/>
  <c r="H156" i="172" s="1"/>
  <c r="I156" i="172" s="1"/>
  <c r="K224" i="171"/>
  <c r="H172" i="172" s="1"/>
  <c r="I172" i="172" s="1"/>
  <c r="K240" i="171"/>
  <c r="H188" i="172" s="1"/>
  <c r="I188" i="172" s="1"/>
  <c r="K256" i="171"/>
  <c r="H204" i="172" s="1"/>
  <c r="I204" i="172" s="1"/>
  <c r="K272" i="171"/>
  <c r="H220" i="172" s="1"/>
  <c r="I220" i="172" s="1"/>
  <c r="K288" i="171"/>
  <c r="H236" i="172" s="1"/>
  <c r="I236" i="172" s="1"/>
  <c r="K304" i="171"/>
  <c r="H252" i="172" s="1"/>
  <c r="I252" i="172" s="1"/>
  <c r="K320" i="171"/>
  <c r="H268" i="172" s="1"/>
  <c r="I268" i="172" s="1"/>
  <c r="K336" i="171"/>
  <c r="H284" i="172" s="1"/>
  <c r="I284" i="172" s="1"/>
  <c r="K352" i="171"/>
  <c r="H300" i="172" s="1"/>
  <c r="I300" i="172" s="1"/>
  <c r="K368" i="171"/>
  <c r="H316" i="172" s="1"/>
  <c r="I316" i="172" s="1"/>
  <c r="K384" i="171"/>
  <c r="H332" i="172" s="1"/>
  <c r="I332" i="172" s="1"/>
  <c r="K400" i="171"/>
  <c r="H348" i="172" s="1"/>
  <c r="I348" i="172" s="1"/>
  <c r="K416" i="171"/>
  <c r="H364" i="172" s="1"/>
  <c r="I364" i="172" s="1"/>
  <c r="K432" i="171"/>
  <c r="H380" i="172" s="1"/>
  <c r="I380" i="172" s="1"/>
  <c r="K448" i="171"/>
  <c r="H396" i="172" s="1"/>
  <c r="I396" i="172" s="1"/>
  <c r="K464" i="171"/>
  <c r="H412" i="172" s="1"/>
  <c r="I412" i="172" s="1"/>
  <c r="K480" i="171"/>
  <c r="H428" i="172" s="1"/>
  <c r="I428" i="172" s="1"/>
  <c r="K496" i="171"/>
  <c r="H444" i="172" s="1"/>
  <c r="I444" i="172" s="1"/>
  <c r="K506" i="171"/>
  <c r="H454" i="172" s="1"/>
  <c r="I454" i="172" s="1"/>
  <c r="K510" i="171"/>
  <c r="H458" i="172" s="1"/>
  <c r="I458" i="172" s="1"/>
  <c r="K514" i="171"/>
  <c r="H462" i="172" s="1"/>
  <c r="I462" i="172" s="1"/>
  <c r="K518" i="171"/>
  <c r="H466" i="172" s="1"/>
  <c r="I466" i="172" s="1"/>
  <c r="K522" i="171"/>
  <c r="H470" i="172" s="1"/>
  <c r="I470" i="172" s="1"/>
  <c r="K526" i="171"/>
  <c r="H474" i="172" s="1"/>
  <c r="I474" i="172" s="1"/>
  <c r="K530" i="171"/>
  <c r="H478" i="172" s="1"/>
  <c r="I478" i="172" s="1"/>
  <c r="K534" i="171"/>
  <c r="H482" i="172" s="1"/>
  <c r="I482" i="172" s="1"/>
  <c r="K538" i="171"/>
  <c r="H486" i="172" s="1"/>
  <c r="I486" i="172" s="1"/>
  <c r="K542" i="171"/>
  <c r="H490" i="172" s="1"/>
  <c r="I490" i="172" s="1"/>
  <c r="K546" i="171"/>
  <c r="H494" i="172" s="1"/>
  <c r="I494" i="172" s="1"/>
  <c r="K550" i="171"/>
  <c r="H498" i="172" s="1"/>
  <c r="I498" i="172" s="1"/>
  <c r="K554" i="171"/>
  <c r="H502" i="172" s="1"/>
  <c r="I502" i="172" s="1"/>
  <c r="K558" i="171"/>
  <c r="H506" i="172" s="1"/>
  <c r="I506" i="172" s="1"/>
  <c r="K562" i="171"/>
  <c r="H510" i="172" s="1"/>
  <c r="I510" i="172" s="1"/>
  <c r="K566" i="171"/>
  <c r="H514" i="172" s="1"/>
  <c r="I514" i="172" s="1"/>
  <c r="K570" i="171"/>
  <c r="H518" i="172" s="1"/>
  <c r="I518" i="172" s="1"/>
  <c r="K574" i="171"/>
  <c r="H522" i="172" s="1"/>
  <c r="I522" i="172" s="1"/>
  <c r="K578" i="171"/>
  <c r="H526" i="172" s="1"/>
  <c r="I526" i="172" s="1"/>
  <c r="K582" i="171"/>
  <c r="H530" i="172" s="1"/>
  <c r="I530" i="172" s="1"/>
  <c r="K586" i="171"/>
  <c r="H534" i="172" s="1"/>
  <c r="I534" i="172" s="1"/>
  <c r="K590" i="171"/>
  <c r="H538" i="172" s="1"/>
  <c r="I538" i="172" s="1"/>
  <c r="K594" i="171"/>
  <c r="H542" i="172" s="1"/>
  <c r="I542" i="172" s="1"/>
  <c r="K598" i="171"/>
  <c r="H546" i="172" s="1"/>
  <c r="I546" i="172" s="1"/>
  <c r="K602" i="171"/>
  <c r="H550" i="172" s="1"/>
  <c r="I550" i="172" s="1"/>
  <c r="K606" i="171"/>
  <c r="H554" i="172" s="1"/>
  <c r="I554" i="172" s="1"/>
  <c r="K610" i="171"/>
  <c r="H558" i="172" s="1"/>
  <c r="I558" i="172" s="1"/>
  <c r="K614" i="171"/>
  <c r="H562" i="172" s="1"/>
  <c r="I562" i="172" s="1"/>
  <c r="K618" i="171"/>
  <c r="H566" i="172" s="1"/>
  <c r="I566" i="172" s="1"/>
  <c r="K622" i="171"/>
  <c r="H570" i="172" s="1"/>
  <c r="I570" i="172" s="1"/>
  <c r="K626" i="171"/>
  <c r="H574" i="172" s="1"/>
  <c r="I574" i="172" s="1"/>
  <c r="K630" i="171"/>
  <c r="H578" i="172" s="1"/>
  <c r="I578" i="172" s="1"/>
  <c r="K634" i="171"/>
  <c r="H582" i="172" s="1"/>
  <c r="I582" i="172" s="1"/>
  <c r="K638" i="171"/>
  <c r="H586" i="172" s="1"/>
  <c r="I586" i="172" s="1"/>
  <c r="K642" i="171"/>
  <c r="H590" i="172" s="1"/>
  <c r="I590" i="172" s="1"/>
  <c r="K646" i="171"/>
  <c r="H594" i="172" s="1"/>
  <c r="I594" i="172" s="1"/>
  <c r="K650" i="171"/>
  <c r="H598" i="172" s="1"/>
  <c r="I598" i="172" s="1"/>
  <c r="K654" i="171"/>
  <c r="H602" i="172" s="1"/>
  <c r="I602" i="172" s="1"/>
  <c r="K658" i="171"/>
  <c r="H606" i="172" s="1"/>
  <c r="I606" i="172" s="1"/>
  <c r="K662" i="171"/>
  <c r="H610" i="172" s="1"/>
  <c r="I610" i="172" s="1"/>
  <c r="K666" i="171"/>
  <c r="H614" i="172" s="1"/>
  <c r="I614" i="172" s="1"/>
  <c r="K670" i="171"/>
  <c r="H618" i="172" s="1"/>
  <c r="I618" i="172" s="1"/>
  <c r="K674" i="171"/>
  <c r="H622" i="172" s="1"/>
  <c r="I622" i="172" s="1"/>
  <c r="K678" i="171"/>
  <c r="H626" i="172" s="1"/>
  <c r="I626" i="172" s="1"/>
  <c r="K682" i="171"/>
  <c r="H630" i="172" s="1"/>
  <c r="I630" i="172" s="1"/>
  <c r="K686" i="171"/>
  <c r="H634" i="172" s="1"/>
  <c r="I634" i="172" s="1"/>
  <c r="K690" i="171"/>
  <c r="H638" i="172" s="1"/>
  <c r="I638" i="172" s="1"/>
  <c r="K694" i="171"/>
  <c r="H642" i="172" s="1"/>
  <c r="I642" i="172" s="1"/>
  <c r="K698" i="171"/>
  <c r="H646" i="172" s="1"/>
  <c r="I646" i="172" s="1"/>
  <c r="K702" i="171"/>
  <c r="H650" i="172" s="1"/>
  <c r="I650" i="172" s="1"/>
  <c r="K706" i="171"/>
  <c r="H654" i="172" s="1"/>
  <c r="I654" i="172" s="1"/>
  <c r="K710" i="171"/>
  <c r="H658" i="172" s="1"/>
  <c r="I658" i="172" s="1"/>
  <c r="K714" i="171"/>
  <c r="H662" i="172" s="1"/>
  <c r="I662" i="172" s="1"/>
  <c r="K718" i="171"/>
  <c r="H666" i="172" s="1"/>
  <c r="I666" i="172" s="1"/>
  <c r="K722" i="171"/>
  <c r="H670" i="172" s="1"/>
  <c r="I670" i="172" s="1"/>
  <c r="K726" i="171"/>
  <c r="H674" i="172" s="1"/>
  <c r="I674" i="172" s="1"/>
  <c r="K730" i="171"/>
  <c r="H678" i="172" s="1"/>
  <c r="I678" i="172" s="1"/>
  <c r="K734" i="171"/>
  <c r="H682" i="172" s="1"/>
  <c r="I682" i="172" s="1"/>
  <c r="K738" i="171"/>
  <c r="H686" i="172" s="1"/>
  <c r="I686" i="172" s="1"/>
  <c r="K742" i="171"/>
  <c r="H690" i="172" s="1"/>
  <c r="I690" i="172" s="1"/>
  <c r="K746" i="171"/>
  <c r="H694" i="172" s="1"/>
  <c r="I694" i="172" s="1"/>
  <c r="K750" i="171"/>
  <c r="H698" i="172" s="1"/>
  <c r="I698" i="172" s="1"/>
  <c r="K754" i="171"/>
  <c r="H702" i="172" s="1"/>
  <c r="I702" i="172" s="1"/>
  <c r="K758" i="171"/>
  <c r="H706" i="172" s="1"/>
  <c r="I706" i="172" s="1"/>
  <c r="K1196" i="171"/>
  <c r="K1192" i="171"/>
  <c r="K1188" i="171"/>
  <c r="K1184" i="171"/>
  <c r="K1180" i="171"/>
  <c r="K1176" i="171"/>
  <c r="K1172" i="171"/>
  <c r="K1168" i="171"/>
  <c r="K1164" i="171"/>
  <c r="K1160" i="171"/>
  <c r="K1156" i="171"/>
  <c r="K1152" i="171"/>
  <c r="K1148" i="171"/>
  <c r="K1144" i="171"/>
  <c r="K1140" i="171"/>
  <c r="K1136" i="171"/>
  <c r="K1132" i="171"/>
  <c r="K1128" i="171"/>
  <c r="K1124" i="171"/>
  <c r="K1120" i="171"/>
  <c r="K1116" i="171"/>
  <c r="K1112" i="171"/>
  <c r="K1108" i="171"/>
  <c r="K1104" i="171"/>
  <c r="K1100" i="171"/>
  <c r="K1096" i="171"/>
  <c r="K1092" i="171"/>
  <c r="K1088" i="171"/>
  <c r="K1084" i="171"/>
  <c r="K1080" i="171"/>
  <c r="K1076" i="171"/>
  <c r="K1072" i="171"/>
  <c r="K1068" i="171"/>
  <c r="K1064" i="171"/>
  <c r="K1060" i="171"/>
  <c r="K1056" i="171"/>
  <c r="K1052" i="171"/>
  <c r="H1000" i="172" s="1"/>
  <c r="K1048" i="171"/>
  <c r="H996" i="172" s="1"/>
  <c r="I996" i="172" s="1"/>
  <c r="K1044" i="171"/>
  <c r="H992" i="172" s="1"/>
  <c r="I992" i="172" s="1"/>
  <c r="K1040" i="171"/>
  <c r="H988" i="172" s="1"/>
  <c r="I988" i="172" s="1"/>
  <c r="K1036" i="171"/>
  <c r="H984" i="172" s="1"/>
  <c r="I984" i="172" s="1"/>
  <c r="K1032" i="171"/>
  <c r="H980" i="172" s="1"/>
  <c r="I980" i="172" s="1"/>
  <c r="K1028" i="171"/>
  <c r="H976" i="172" s="1"/>
  <c r="I976" i="172" s="1"/>
  <c r="K1024" i="171"/>
  <c r="H972" i="172" s="1"/>
  <c r="I972" i="172" s="1"/>
  <c r="K1020" i="171"/>
  <c r="H968" i="172" s="1"/>
  <c r="I968" i="172" s="1"/>
  <c r="K1016" i="171"/>
  <c r="H964" i="172" s="1"/>
  <c r="I964" i="172" s="1"/>
  <c r="K1012" i="171"/>
  <c r="H960" i="172" s="1"/>
  <c r="I960" i="172" s="1"/>
  <c r="K1008" i="171"/>
  <c r="H956" i="172" s="1"/>
  <c r="I956" i="172" s="1"/>
  <c r="K1004" i="171"/>
  <c r="H952" i="172" s="1"/>
  <c r="I952" i="172" s="1"/>
  <c r="K1000" i="171"/>
  <c r="H948" i="172" s="1"/>
  <c r="I948" i="172" s="1"/>
  <c r="K996" i="171"/>
  <c r="H944" i="172" s="1"/>
  <c r="I944" i="172" s="1"/>
  <c r="K992" i="171"/>
  <c r="H940" i="172" s="1"/>
  <c r="I940" i="172" s="1"/>
  <c r="K988" i="171"/>
  <c r="H936" i="172" s="1"/>
  <c r="I936" i="172" s="1"/>
  <c r="K984" i="171"/>
  <c r="H932" i="172" s="1"/>
  <c r="I932" i="172" s="1"/>
  <c r="K980" i="171"/>
  <c r="H928" i="172" s="1"/>
  <c r="I928" i="172" s="1"/>
  <c r="K976" i="171"/>
  <c r="H924" i="172" s="1"/>
  <c r="I924" i="172" s="1"/>
  <c r="K972" i="171"/>
  <c r="H920" i="172" s="1"/>
  <c r="I920" i="172" s="1"/>
  <c r="K968" i="171"/>
  <c r="H916" i="172" s="1"/>
  <c r="I916" i="172" s="1"/>
  <c r="K964" i="171"/>
  <c r="H912" i="172" s="1"/>
  <c r="I912" i="172" s="1"/>
  <c r="K960" i="171"/>
  <c r="H908" i="172" s="1"/>
  <c r="I908" i="172" s="1"/>
  <c r="K956" i="171"/>
  <c r="H904" i="172" s="1"/>
  <c r="I904" i="172" s="1"/>
  <c r="K952" i="171"/>
  <c r="H900" i="172" s="1"/>
  <c r="I900" i="172" s="1"/>
  <c r="K948" i="171"/>
  <c r="H896" i="172" s="1"/>
  <c r="I896" i="172" s="1"/>
  <c r="K944" i="171"/>
  <c r="H892" i="172" s="1"/>
  <c r="I892" i="172" s="1"/>
  <c r="K940" i="171"/>
  <c r="H888" i="172" s="1"/>
  <c r="I888" i="172" s="1"/>
  <c r="K936" i="171"/>
  <c r="H884" i="172" s="1"/>
  <c r="I884" i="172" s="1"/>
  <c r="K932" i="171"/>
  <c r="H880" i="172" s="1"/>
  <c r="I880" i="172" s="1"/>
  <c r="K928" i="171"/>
  <c r="H876" i="172" s="1"/>
  <c r="I876" i="172" s="1"/>
  <c r="K924" i="171"/>
  <c r="H872" i="172" s="1"/>
  <c r="I872" i="172" s="1"/>
  <c r="K920" i="171"/>
  <c r="H868" i="172" s="1"/>
  <c r="I868" i="172" s="1"/>
  <c r="K916" i="171"/>
  <c r="H864" i="172" s="1"/>
  <c r="I864" i="172" s="1"/>
  <c r="K912" i="171"/>
  <c r="H860" i="172" s="1"/>
  <c r="I860" i="172" s="1"/>
  <c r="K908" i="171"/>
  <c r="H856" i="172" s="1"/>
  <c r="I856" i="172" s="1"/>
  <c r="K904" i="171"/>
  <c r="H852" i="172" s="1"/>
  <c r="I852" i="172" s="1"/>
  <c r="K900" i="171"/>
  <c r="H848" i="172" s="1"/>
  <c r="I848" i="172" s="1"/>
  <c r="K896" i="171"/>
  <c r="H844" i="172" s="1"/>
  <c r="I844" i="172" s="1"/>
  <c r="K892" i="171"/>
  <c r="H840" i="172" s="1"/>
  <c r="I840" i="172" s="1"/>
  <c r="K888" i="171"/>
  <c r="H836" i="172" s="1"/>
  <c r="I836" i="172" s="1"/>
  <c r="K884" i="171"/>
  <c r="H832" i="172" s="1"/>
  <c r="I832" i="172" s="1"/>
  <c r="K880" i="171"/>
  <c r="H828" i="172" s="1"/>
  <c r="I828" i="172" s="1"/>
  <c r="K876" i="171"/>
  <c r="H824" i="172" s="1"/>
  <c r="I824" i="172" s="1"/>
  <c r="K872" i="171"/>
  <c r="H820" i="172" s="1"/>
  <c r="I820" i="172" s="1"/>
  <c r="K868" i="171"/>
  <c r="H816" i="172" s="1"/>
  <c r="I816" i="172" s="1"/>
  <c r="K864" i="171"/>
  <c r="H812" i="172" s="1"/>
  <c r="I812" i="172" s="1"/>
  <c r="K860" i="171"/>
  <c r="H808" i="172" s="1"/>
  <c r="I808" i="172" s="1"/>
  <c r="K856" i="171"/>
  <c r="H804" i="172" s="1"/>
  <c r="I804" i="172" s="1"/>
  <c r="K852" i="171"/>
  <c r="H800" i="172" s="1"/>
  <c r="I800" i="172" s="1"/>
  <c r="K848" i="171"/>
  <c r="H796" i="172" s="1"/>
  <c r="I796" i="172" s="1"/>
  <c r="K844" i="171"/>
  <c r="H792" i="172" s="1"/>
  <c r="I792" i="172" s="1"/>
  <c r="K840" i="171"/>
  <c r="H788" i="172" s="1"/>
  <c r="I788" i="172" s="1"/>
  <c r="K836" i="171"/>
  <c r="H784" i="172" s="1"/>
  <c r="I784" i="172" s="1"/>
  <c r="K832" i="171"/>
  <c r="H780" i="172" s="1"/>
  <c r="I780" i="172" s="1"/>
  <c r="K828" i="171"/>
  <c r="H776" i="172" s="1"/>
  <c r="I776" i="172" s="1"/>
  <c r="K824" i="171"/>
  <c r="H772" i="172" s="1"/>
  <c r="I772" i="172" s="1"/>
  <c r="K820" i="171"/>
  <c r="H768" i="172" s="1"/>
  <c r="I768" i="172" s="1"/>
  <c r="K816" i="171"/>
  <c r="H764" i="172" s="1"/>
  <c r="I764" i="172" s="1"/>
  <c r="K812" i="171"/>
  <c r="H760" i="172" s="1"/>
  <c r="I760" i="172" s="1"/>
  <c r="K808" i="171"/>
  <c r="H756" i="172" s="1"/>
  <c r="I756" i="172" s="1"/>
  <c r="K804" i="171"/>
  <c r="H752" i="172" s="1"/>
  <c r="I752" i="172" s="1"/>
  <c r="K800" i="171"/>
  <c r="H748" i="172" s="1"/>
  <c r="I748" i="172" s="1"/>
  <c r="K796" i="171"/>
  <c r="H744" i="172" s="1"/>
  <c r="I744" i="172" s="1"/>
  <c r="K792" i="171"/>
  <c r="H740" i="172" s="1"/>
  <c r="I740" i="172" s="1"/>
  <c r="K788" i="171"/>
  <c r="H736" i="172" s="1"/>
  <c r="I736" i="172" s="1"/>
  <c r="K784" i="171"/>
  <c r="H732" i="172" s="1"/>
  <c r="I732" i="172" s="1"/>
  <c r="K780" i="171"/>
  <c r="H728" i="172" s="1"/>
  <c r="I728" i="172" s="1"/>
  <c r="K776" i="171"/>
  <c r="H724" i="172" s="1"/>
  <c r="I724" i="172" s="1"/>
  <c r="K772" i="171"/>
  <c r="H720" i="172" s="1"/>
  <c r="I720" i="172" s="1"/>
  <c r="K768" i="171"/>
  <c r="H716" i="172" s="1"/>
  <c r="I716" i="172" s="1"/>
  <c r="K764" i="171"/>
  <c r="H712" i="172" s="1"/>
  <c r="I712" i="172" s="1"/>
  <c r="K759" i="171"/>
  <c r="H707" i="172" s="1"/>
  <c r="I707" i="172" s="1"/>
  <c r="K743" i="171"/>
  <c r="H691" i="172" s="1"/>
  <c r="I691" i="172" s="1"/>
  <c r="K727" i="171"/>
  <c r="H675" i="172" s="1"/>
  <c r="I675" i="172" s="1"/>
  <c r="K711" i="171"/>
  <c r="H659" i="172" s="1"/>
  <c r="I659" i="172" s="1"/>
  <c r="K695" i="171"/>
  <c r="H643" i="172" s="1"/>
  <c r="I643" i="172" s="1"/>
  <c r="K679" i="171"/>
  <c r="H627" i="172" s="1"/>
  <c r="I627" i="172" s="1"/>
  <c r="K663" i="171"/>
  <c r="H611" i="172" s="1"/>
  <c r="I611" i="172" s="1"/>
  <c r="K647" i="171"/>
  <c r="H595" i="172" s="1"/>
  <c r="I595" i="172" s="1"/>
  <c r="K631" i="171"/>
  <c r="H579" i="172" s="1"/>
  <c r="I579" i="172" s="1"/>
  <c r="K615" i="171"/>
  <c r="H563" i="172" s="1"/>
  <c r="I563" i="172" s="1"/>
  <c r="K599" i="171"/>
  <c r="H547" i="172" s="1"/>
  <c r="I547" i="172" s="1"/>
  <c r="K583" i="171"/>
  <c r="H531" i="172" s="1"/>
  <c r="I531" i="172" s="1"/>
  <c r="K567" i="171"/>
  <c r="H515" i="172" s="1"/>
  <c r="I515" i="172" s="1"/>
  <c r="K551" i="171"/>
  <c r="H499" i="172" s="1"/>
  <c r="I499" i="172" s="1"/>
  <c r="K535" i="171"/>
  <c r="H483" i="172" s="1"/>
  <c r="I483" i="172" s="1"/>
  <c r="K519" i="171"/>
  <c r="H467" i="172" s="1"/>
  <c r="I467" i="172" s="1"/>
  <c r="K500" i="171"/>
  <c r="H448" i="172" s="1"/>
  <c r="I448" i="172" s="1"/>
  <c r="K436" i="171"/>
  <c r="H384" i="172" s="1"/>
  <c r="I384" i="172" s="1"/>
  <c r="K372" i="171"/>
  <c r="H320" i="172" s="1"/>
  <c r="I320" i="172" s="1"/>
  <c r="K308" i="171"/>
  <c r="H256" i="172" s="1"/>
  <c r="I256" i="172" s="1"/>
  <c r="K244" i="171"/>
  <c r="H192" i="172" s="1"/>
  <c r="I192" i="172" s="1"/>
  <c r="K180" i="171"/>
  <c r="H128" i="172" s="1"/>
  <c r="I128" i="172" s="1"/>
  <c r="K56" i="171"/>
  <c r="H4" i="172" s="1"/>
  <c r="I4" i="172" s="1"/>
  <c r="M57" i="171" a="1"/>
  <c r="M57" i="171" s="1"/>
  <c r="M58" i="171" a="1"/>
  <c r="M58" i="171" s="1"/>
  <c r="M59" i="171" a="1"/>
  <c r="M59" i="171" s="1"/>
  <c r="M60" i="171" a="1"/>
  <c r="M60" i="171" s="1"/>
  <c r="M61" i="171" a="1"/>
  <c r="M61" i="171" s="1"/>
  <c r="M62" i="171" a="1"/>
  <c r="M62" i="171" s="1"/>
  <c r="M63" i="171" a="1"/>
  <c r="M63" i="171" s="1"/>
  <c r="M64" i="171" a="1"/>
  <c r="M64" i="171" s="1"/>
  <c r="M65" i="171" a="1"/>
  <c r="M65" i="171" s="1"/>
  <c r="M66" i="171" a="1"/>
  <c r="M66" i="171" s="1"/>
  <c r="M67" i="171" a="1"/>
  <c r="M67" i="171" s="1"/>
  <c r="M68" i="171" a="1"/>
  <c r="M68" i="171" s="1"/>
  <c r="M69" i="171" a="1"/>
  <c r="M69" i="171" s="1"/>
  <c r="M70" i="171" a="1"/>
  <c r="M70" i="171" s="1"/>
  <c r="M71" i="171" a="1"/>
  <c r="M71" i="171" s="1"/>
  <c r="M72" i="171" a="1"/>
  <c r="M72" i="171" s="1"/>
  <c r="M73" i="171" a="1"/>
  <c r="M73" i="171" s="1"/>
  <c r="M74" i="171" a="1"/>
  <c r="M74" i="171" s="1"/>
  <c r="M75" i="171" a="1"/>
  <c r="M75" i="171" s="1"/>
  <c r="M76" i="171" a="1"/>
  <c r="M76" i="171" s="1"/>
  <c r="M77" i="171" a="1"/>
  <c r="M77" i="171" s="1"/>
  <c r="M78" i="171" a="1"/>
  <c r="M78" i="171" s="1"/>
  <c r="M79" i="171" a="1"/>
  <c r="M79" i="171" s="1"/>
  <c r="M80" i="171" a="1"/>
  <c r="M80" i="171" s="1"/>
  <c r="M81" i="171" a="1"/>
  <c r="M81" i="171" s="1"/>
  <c r="M82" i="171" a="1"/>
  <c r="M82" i="171" s="1"/>
  <c r="M83" i="171" a="1"/>
  <c r="M83" i="171" s="1"/>
  <c r="M84" i="171" a="1"/>
  <c r="M84" i="171" s="1"/>
  <c r="M85" i="171" a="1"/>
  <c r="M85" i="171" s="1"/>
  <c r="M86" i="171" a="1"/>
  <c r="M86" i="171" s="1"/>
  <c r="M87" i="171" a="1"/>
  <c r="M87" i="171" s="1"/>
  <c r="M88" i="171" a="1"/>
  <c r="M88" i="171" s="1"/>
  <c r="M89" i="171" a="1"/>
  <c r="M89" i="171" s="1"/>
  <c r="M90" i="171" a="1"/>
  <c r="M90" i="171" s="1"/>
  <c r="M91" i="171" a="1"/>
  <c r="M91" i="171" s="1"/>
  <c r="M92" i="171" a="1"/>
  <c r="M92" i="171" s="1"/>
  <c r="M93" i="171" a="1"/>
  <c r="M93" i="171" s="1"/>
  <c r="M94" i="171" a="1"/>
  <c r="M94" i="171" s="1"/>
  <c r="M95" i="171" a="1"/>
  <c r="M95" i="171" s="1"/>
  <c r="M96" i="171" a="1"/>
  <c r="M96" i="171" s="1"/>
  <c r="M97" i="171" a="1"/>
  <c r="M97" i="171" s="1"/>
  <c r="M98" i="171" a="1"/>
  <c r="M98" i="171" s="1"/>
  <c r="M99" i="171" a="1"/>
  <c r="M99" i="171" s="1"/>
  <c r="M100" i="171" a="1"/>
  <c r="M100" i="171" s="1"/>
  <c r="M101" i="171" a="1"/>
  <c r="M101" i="171" s="1"/>
  <c r="M102" i="171" a="1"/>
  <c r="M102" i="171" s="1"/>
  <c r="M103" i="171" a="1"/>
  <c r="M103" i="171" s="1"/>
  <c r="M104" i="171" a="1"/>
  <c r="M104" i="171" s="1"/>
  <c r="M105" i="171" a="1"/>
  <c r="M105" i="171" s="1"/>
  <c r="M106" i="171" a="1"/>
  <c r="M106" i="171" s="1"/>
  <c r="M107" i="171" a="1"/>
  <c r="M107" i="171" s="1"/>
  <c r="M108" i="171" a="1"/>
  <c r="M108" i="171" s="1"/>
  <c r="M109" i="171" a="1"/>
  <c r="M109" i="171" s="1"/>
  <c r="M110" i="171" a="1"/>
  <c r="M110" i="171" s="1"/>
  <c r="M111" i="171" a="1"/>
  <c r="M111" i="171" s="1"/>
  <c r="M112" i="171" a="1"/>
  <c r="M112" i="171" s="1"/>
  <c r="M113" i="171" a="1"/>
  <c r="M113" i="171" s="1"/>
  <c r="M114" i="171" a="1"/>
  <c r="M114" i="171" s="1"/>
  <c r="M115" i="171" a="1"/>
  <c r="M115" i="171" s="1"/>
  <c r="M116" i="171" a="1"/>
  <c r="M116" i="171" s="1"/>
  <c r="M117" i="171" a="1"/>
  <c r="M117" i="171" s="1"/>
  <c r="M118" i="171" a="1"/>
  <c r="M118" i="171" s="1"/>
  <c r="M119" i="171" a="1"/>
  <c r="M119" i="171" s="1"/>
  <c r="M120" i="171" a="1"/>
  <c r="M120" i="171" s="1"/>
  <c r="M121" i="171" a="1"/>
  <c r="M121" i="171" s="1"/>
  <c r="M122" i="171" a="1"/>
  <c r="M122" i="171" s="1"/>
  <c r="M123" i="171" a="1"/>
  <c r="M123" i="171" s="1"/>
  <c r="M124" i="171" a="1"/>
  <c r="M124" i="171" s="1"/>
  <c r="M125" i="171" a="1"/>
  <c r="M125" i="171" s="1"/>
  <c r="M126" i="171" a="1"/>
  <c r="M126" i="171" s="1"/>
  <c r="M127" i="171" a="1"/>
  <c r="M127" i="171" s="1"/>
  <c r="M128" i="171" a="1"/>
  <c r="M128" i="171" s="1"/>
  <c r="M129" i="171" a="1"/>
  <c r="M129" i="171" s="1"/>
  <c r="M130" i="171" a="1"/>
  <c r="M130" i="171" s="1"/>
  <c r="M131" i="171" a="1"/>
  <c r="M131" i="171" s="1"/>
  <c r="M132" i="171" a="1"/>
  <c r="M132" i="171" s="1"/>
  <c r="M133" i="171" a="1"/>
  <c r="M133" i="171" s="1"/>
  <c r="M134" i="171" a="1"/>
  <c r="M134" i="171" s="1"/>
  <c r="M135" i="171" a="1"/>
  <c r="M135" i="171" s="1"/>
  <c r="M136" i="171" a="1"/>
  <c r="M136" i="171" s="1"/>
  <c r="M137" i="171" a="1"/>
  <c r="M137" i="171" s="1"/>
  <c r="M138" i="171" a="1"/>
  <c r="M138" i="171" s="1"/>
  <c r="M139" i="171" a="1"/>
  <c r="M139" i="171" s="1"/>
  <c r="M140" i="171" a="1"/>
  <c r="M140" i="171" s="1"/>
  <c r="M141" i="171" a="1"/>
  <c r="M141" i="171" s="1"/>
  <c r="M142" i="171" a="1"/>
  <c r="M142" i="171" s="1"/>
  <c r="M143" i="171" a="1"/>
  <c r="M143" i="171" s="1"/>
  <c r="M144" i="171" a="1"/>
  <c r="M144" i="171" s="1"/>
  <c r="M145" i="171" a="1"/>
  <c r="M145" i="171" s="1"/>
  <c r="M146" i="171" a="1"/>
  <c r="M146" i="171" s="1"/>
  <c r="M147" i="171" a="1"/>
  <c r="M147" i="171" s="1"/>
  <c r="M148" i="171" a="1"/>
  <c r="M148" i="171" s="1"/>
  <c r="M149" i="171" a="1"/>
  <c r="M149" i="171" s="1"/>
  <c r="M150" i="171" a="1"/>
  <c r="M150" i="171" s="1"/>
  <c r="M151" i="171" a="1"/>
  <c r="M151" i="171" s="1"/>
  <c r="M152" i="171" a="1"/>
  <c r="M152" i="171" s="1"/>
  <c r="M153" i="171" a="1"/>
  <c r="M153" i="171" s="1"/>
  <c r="M154" i="171" a="1"/>
  <c r="M154" i="171" s="1"/>
  <c r="M155" i="171" a="1"/>
  <c r="M155" i="171" s="1"/>
  <c r="M156" i="171" a="1"/>
  <c r="M156" i="171" s="1"/>
  <c r="M157" i="171" a="1"/>
  <c r="M157" i="171" s="1"/>
  <c r="M158" i="171" a="1"/>
  <c r="M158" i="171" s="1"/>
  <c r="M159" i="171" a="1"/>
  <c r="M159" i="171" s="1"/>
  <c r="M160" i="171" a="1"/>
  <c r="M160" i="171" s="1"/>
  <c r="M161" i="171" a="1"/>
  <c r="M161" i="171" s="1"/>
  <c r="M162" i="171" a="1"/>
  <c r="M162" i="171" s="1"/>
  <c r="M163" i="171" a="1"/>
  <c r="M163" i="171" s="1"/>
  <c r="M164" i="171" a="1"/>
  <c r="M164" i="171" s="1"/>
  <c r="M165" i="171" a="1"/>
  <c r="M165" i="171" s="1"/>
  <c r="M166" i="171" a="1"/>
  <c r="M166" i="171" s="1"/>
  <c r="M167" i="171" a="1"/>
  <c r="M167" i="171" s="1"/>
  <c r="M168" i="171" a="1"/>
  <c r="M168" i="171" s="1"/>
  <c r="M169" i="171" a="1"/>
  <c r="M169" i="171" s="1"/>
  <c r="M170" i="171" a="1"/>
  <c r="M170" i="171" s="1"/>
  <c r="M171" i="171" a="1"/>
  <c r="M171" i="171" s="1"/>
  <c r="M172" i="171" a="1"/>
  <c r="M172" i="171" s="1"/>
  <c r="M173" i="171" a="1"/>
  <c r="M173" i="171" s="1"/>
  <c r="M174" i="171" a="1"/>
  <c r="M174" i="171" s="1"/>
  <c r="M175" i="171" a="1"/>
  <c r="M175" i="171" s="1"/>
  <c r="M176" i="171" a="1"/>
  <c r="M176" i="171" s="1"/>
  <c r="M177" i="171" a="1"/>
  <c r="M177" i="171" s="1"/>
  <c r="M178" i="171" a="1"/>
  <c r="M178" i="171" s="1"/>
  <c r="M179" i="171" a="1"/>
  <c r="M179" i="171" s="1"/>
  <c r="M180" i="171" a="1"/>
  <c r="M180" i="171" s="1"/>
  <c r="M181" i="171" a="1"/>
  <c r="M181" i="171" s="1"/>
  <c r="M182" i="171" a="1"/>
  <c r="M182" i="171" s="1"/>
  <c r="M183" i="171" a="1"/>
  <c r="M183" i="171" s="1"/>
  <c r="M184" i="171" a="1"/>
  <c r="M184" i="171" s="1"/>
  <c r="M185" i="171" a="1"/>
  <c r="M185" i="171" s="1"/>
  <c r="M186" i="171" a="1"/>
  <c r="M186" i="171" s="1"/>
  <c r="M187" i="171" a="1"/>
  <c r="M187" i="171" s="1"/>
  <c r="M188" i="171" a="1"/>
  <c r="M188" i="171" s="1"/>
  <c r="M189" i="171" a="1"/>
  <c r="M189" i="171" s="1"/>
  <c r="M190" i="171" a="1"/>
  <c r="M190" i="171" s="1"/>
  <c r="M191" i="171" a="1"/>
  <c r="M191" i="171" s="1"/>
  <c r="M192" i="171" a="1"/>
  <c r="M192" i="171" s="1"/>
  <c r="M193" i="171" a="1"/>
  <c r="M193" i="171" s="1"/>
  <c r="M194" i="171" a="1"/>
  <c r="M194" i="171" s="1"/>
  <c r="M195" i="171" a="1"/>
  <c r="M195" i="171" s="1"/>
  <c r="M196" i="171" a="1"/>
  <c r="M196" i="171" s="1"/>
  <c r="M197" i="171" a="1"/>
  <c r="M197" i="171" s="1"/>
  <c r="M198" i="171" a="1"/>
  <c r="M198" i="171" s="1"/>
  <c r="M199" i="171" a="1"/>
  <c r="M199" i="171" s="1"/>
  <c r="M200" i="171" a="1"/>
  <c r="M200" i="171" s="1"/>
  <c r="M201" i="171" a="1"/>
  <c r="M201" i="171" s="1"/>
  <c r="M202" i="171" a="1"/>
  <c r="M202" i="171" s="1"/>
  <c r="M203" i="171" a="1"/>
  <c r="M203" i="171" s="1"/>
  <c r="M204" i="171" a="1"/>
  <c r="M204" i="171" s="1"/>
  <c r="M205" i="171" a="1"/>
  <c r="M205" i="171" s="1"/>
  <c r="M206" i="171" a="1"/>
  <c r="M206" i="171" s="1"/>
  <c r="M207" i="171" a="1"/>
  <c r="M207" i="171" s="1"/>
  <c r="M208" i="171" a="1"/>
  <c r="M208" i="171" s="1"/>
  <c r="M209" i="171" a="1"/>
  <c r="M209" i="171" s="1"/>
  <c r="M210" i="171" a="1"/>
  <c r="M210" i="171" s="1"/>
  <c r="M211" i="171" a="1"/>
  <c r="M211" i="171" s="1"/>
  <c r="M212" i="171" a="1"/>
  <c r="M212" i="171" s="1"/>
  <c r="M213" i="171" a="1"/>
  <c r="M213" i="171" s="1"/>
  <c r="M214" i="171" a="1"/>
  <c r="M214" i="171" s="1"/>
  <c r="M215" i="171" a="1"/>
  <c r="M215" i="171" s="1"/>
  <c r="M216" i="171" a="1"/>
  <c r="M216" i="171" s="1"/>
  <c r="M217" i="171" a="1"/>
  <c r="M217" i="171" s="1"/>
  <c r="M218" i="171" a="1"/>
  <c r="M218" i="171" s="1"/>
  <c r="M219" i="171" a="1"/>
  <c r="M219" i="171" s="1"/>
  <c r="M220" i="171" a="1"/>
  <c r="M220" i="171" s="1"/>
  <c r="M221" i="171" a="1"/>
  <c r="M221" i="171" s="1"/>
  <c r="M222" i="171" a="1"/>
  <c r="M222" i="171" s="1"/>
  <c r="M223" i="171" a="1"/>
  <c r="M223" i="171" s="1"/>
  <c r="M224" i="171" a="1"/>
  <c r="M224" i="171" s="1"/>
  <c r="M225" i="171" a="1"/>
  <c r="M225" i="171" s="1"/>
  <c r="M226" i="171" a="1"/>
  <c r="M226" i="171" s="1"/>
  <c r="M227" i="171" a="1"/>
  <c r="M227" i="171" s="1"/>
  <c r="M228" i="171" a="1"/>
  <c r="M228" i="171" s="1"/>
  <c r="M229" i="171" a="1"/>
  <c r="M229" i="171" s="1"/>
  <c r="M230" i="171" a="1"/>
  <c r="M230" i="171" s="1"/>
  <c r="M231" i="171" a="1"/>
  <c r="M231" i="171" s="1"/>
  <c r="M232" i="171" a="1"/>
  <c r="M232" i="171" s="1"/>
  <c r="M233" i="171" a="1"/>
  <c r="M233" i="171" s="1"/>
  <c r="M234" i="171" a="1"/>
  <c r="M234" i="171" s="1"/>
  <c r="M235" i="171" a="1"/>
  <c r="M235" i="171" s="1"/>
  <c r="M236" i="171" a="1"/>
  <c r="M236" i="171" s="1"/>
  <c r="M237" i="171" a="1"/>
  <c r="M237" i="171" s="1"/>
  <c r="M238" i="171" a="1"/>
  <c r="M238" i="171" s="1"/>
  <c r="M239" i="171" a="1"/>
  <c r="M239" i="171" s="1"/>
  <c r="M240" i="171" a="1"/>
  <c r="M240" i="171" s="1"/>
  <c r="M241" i="171" a="1"/>
  <c r="M241" i="171" s="1"/>
  <c r="M242" i="171" a="1"/>
  <c r="M242" i="171" s="1"/>
  <c r="M243" i="171" a="1"/>
  <c r="M243" i="171" s="1"/>
  <c r="M244" i="171" a="1"/>
  <c r="M244" i="171" s="1"/>
  <c r="M245" i="171" a="1"/>
  <c r="M245" i="171" s="1"/>
  <c r="M246" i="171" a="1"/>
  <c r="M246" i="171" s="1"/>
  <c r="M247" i="171" a="1"/>
  <c r="M247" i="171" s="1"/>
  <c r="M248" i="171" a="1"/>
  <c r="M248" i="171" s="1"/>
  <c r="M249" i="171" a="1"/>
  <c r="M249" i="171" s="1"/>
  <c r="M250" i="171" a="1"/>
  <c r="M250" i="171" s="1"/>
  <c r="M251" i="171" a="1"/>
  <c r="M251" i="171" s="1"/>
  <c r="M252" i="171" a="1"/>
  <c r="M252" i="171" s="1"/>
  <c r="M253" i="171" a="1"/>
  <c r="M253" i="171" s="1"/>
  <c r="M254" i="171" a="1"/>
  <c r="M254" i="171" s="1"/>
  <c r="M255" i="171" a="1"/>
  <c r="M255" i="171" s="1"/>
  <c r="M256" i="171" a="1"/>
  <c r="M256" i="171" s="1"/>
  <c r="M257" i="171" a="1"/>
  <c r="M257" i="171" s="1"/>
  <c r="M258" i="171" a="1"/>
  <c r="M258" i="171" s="1"/>
  <c r="M259" i="171" a="1"/>
  <c r="M259" i="171" s="1"/>
  <c r="M260" i="171" a="1"/>
  <c r="M260" i="171" s="1"/>
  <c r="M261" i="171" a="1"/>
  <c r="M261" i="171" s="1"/>
  <c r="M262" i="171" a="1"/>
  <c r="M262" i="171" s="1"/>
  <c r="M263" i="171" a="1"/>
  <c r="M263" i="171" s="1"/>
  <c r="M264" i="171" a="1"/>
  <c r="M264" i="171" s="1"/>
  <c r="M265" i="171" a="1"/>
  <c r="M265" i="171" s="1"/>
  <c r="M266" i="171" a="1"/>
  <c r="M266" i="171" s="1"/>
  <c r="M267" i="171" a="1"/>
  <c r="M267" i="171" s="1"/>
  <c r="M268" i="171" a="1"/>
  <c r="M268" i="171" s="1"/>
  <c r="M269" i="171" a="1"/>
  <c r="M269" i="171" s="1"/>
  <c r="M270" i="171" a="1"/>
  <c r="M270" i="171" s="1"/>
  <c r="M271" i="171" a="1"/>
  <c r="M271" i="171" s="1"/>
  <c r="M272" i="171" a="1"/>
  <c r="M272" i="171" s="1"/>
  <c r="M273" i="171" a="1"/>
  <c r="M273" i="171" s="1"/>
  <c r="M274" i="171" a="1"/>
  <c r="M274" i="171" s="1"/>
  <c r="M275" i="171" a="1"/>
  <c r="M275" i="171" s="1"/>
  <c r="M276" i="171" a="1"/>
  <c r="M276" i="171" s="1"/>
  <c r="M277" i="171" a="1"/>
  <c r="M277" i="171" s="1"/>
  <c r="M278" i="171" a="1"/>
  <c r="M278" i="171" s="1"/>
  <c r="M279" i="171" a="1"/>
  <c r="M279" i="171" s="1"/>
  <c r="M280" i="171" a="1"/>
  <c r="M280" i="171" s="1"/>
  <c r="M281" i="171" a="1"/>
  <c r="M281" i="171" s="1"/>
  <c r="M282" i="171" a="1"/>
  <c r="M282" i="171" s="1"/>
  <c r="M283" i="171" a="1"/>
  <c r="M283" i="171" s="1"/>
  <c r="M284" i="171" a="1"/>
  <c r="M284" i="171" s="1"/>
  <c r="M285" i="171" a="1"/>
  <c r="M285" i="171" s="1"/>
  <c r="M286" i="171" a="1"/>
  <c r="M286" i="171" s="1"/>
  <c r="M287" i="171" a="1"/>
  <c r="M287" i="171" s="1"/>
  <c r="M288" i="171" a="1"/>
  <c r="M288" i="171" s="1"/>
  <c r="M289" i="171" a="1"/>
  <c r="M289" i="171" s="1"/>
  <c r="M290" i="171" a="1"/>
  <c r="M290" i="171" s="1"/>
  <c r="M291" i="171" a="1"/>
  <c r="M291" i="171" s="1"/>
  <c r="M292" i="171" a="1"/>
  <c r="M292" i="171" s="1"/>
  <c r="M293" i="171" a="1"/>
  <c r="M293" i="171" s="1"/>
  <c r="M294" i="171" a="1"/>
  <c r="M294" i="171" s="1"/>
  <c r="M295" i="171" a="1"/>
  <c r="M295" i="171" s="1"/>
  <c r="M296" i="171" a="1"/>
  <c r="M296" i="171" s="1"/>
  <c r="M297" i="171" a="1"/>
  <c r="M297" i="171" s="1"/>
  <c r="M298" i="171" a="1"/>
  <c r="M298" i="171" s="1"/>
  <c r="M299" i="171" a="1"/>
  <c r="M299" i="171" s="1"/>
  <c r="M300" i="171" a="1"/>
  <c r="M300" i="171" s="1"/>
  <c r="M301" i="171" a="1"/>
  <c r="M301" i="171" s="1"/>
  <c r="M302" i="171" a="1"/>
  <c r="M302" i="171" s="1"/>
  <c r="M303" i="171" a="1"/>
  <c r="M303" i="171" s="1"/>
  <c r="M304" i="171" a="1"/>
  <c r="M304" i="171" s="1"/>
  <c r="M305" i="171" a="1"/>
  <c r="M305" i="171" s="1"/>
  <c r="M306" i="171" a="1"/>
  <c r="M306" i="171" s="1"/>
  <c r="M307" i="171" a="1"/>
  <c r="M307" i="171" s="1"/>
  <c r="M308" i="171" a="1"/>
  <c r="M308" i="171" s="1"/>
  <c r="M309" i="171" a="1"/>
  <c r="M309" i="171" s="1"/>
  <c r="M310" i="171" a="1"/>
  <c r="M310" i="171" s="1"/>
  <c r="M311" i="171" a="1"/>
  <c r="M311" i="171" s="1"/>
  <c r="M312" i="171" a="1"/>
  <c r="M312" i="171" s="1"/>
  <c r="M313" i="171" a="1"/>
  <c r="M313" i="171" s="1"/>
  <c r="M314" i="171" a="1"/>
  <c r="M314" i="171" s="1"/>
  <c r="M315" i="171" a="1"/>
  <c r="M315" i="171" s="1"/>
  <c r="M316" i="171" a="1"/>
  <c r="M316" i="171" s="1"/>
  <c r="M317" i="171" a="1"/>
  <c r="M317" i="171" s="1"/>
  <c r="M318" i="171" a="1"/>
  <c r="M318" i="171" s="1"/>
  <c r="M319" i="171" a="1"/>
  <c r="M319" i="171" s="1"/>
  <c r="M320" i="171" a="1"/>
  <c r="M320" i="171" s="1"/>
  <c r="M321" i="171" a="1"/>
  <c r="M321" i="171" s="1"/>
  <c r="M322" i="171" a="1"/>
  <c r="M322" i="171" s="1"/>
  <c r="M323" i="171" a="1"/>
  <c r="M323" i="171" s="1"/>
  <c r="M324" i="171" a="1"/>
  <c r="M324" i="171" s="1"/>
  <c r="M325" i="171" a="1"/>
  <c r="M325" i="171" s="1"/>
  <c r="M326" i="171" a="1"/>
  <c r="M326" i="171" s="1"/>
  <c r="M327" i="171" a="1"/>
  <c r="M327" i="171" s="1"/>
  <c r="M328" i="171" a="1"/>
  <c r="M328" i="171" s="1"/>
  <c r="M329" i="171" a="1"/>
  <c r="M329" i="171" s="1"/>
  <c r="M330" i="171" a="1"/>
  <c r="M330" i="171" s="1"/>
  <c r="M331" i="171" a="1"/>
  <c r="M331" i="171" s="1"/>
  <c r="M332" i="171" a="1"/>
  <c r="M332" i="171" s="1"/>
  <c r="M333" i="171" a="1"/>
  <c r="M333" i="171" s="1"/>
  <c r="M334" i="171" a="1"/>
  <c r="M334" i="171" s="1"/>
  <c r="M335" i="171" a="1"/>
  <c r="M335" i="171" s="1"/>
  <c r="M336" i="171" a="1"/>
  <c r="M336" i="171" s="1"/>
  <c r="M337" i="171" a="1"/>
  <c r="M337" i="171" s="1"/>
  <c r="M338" i="171" a="1"/>
  <c r="M338" i="171" s="1"/>
  <c r="M339" i="171" a="1"/>
  <c r="M339" i="171" s="1"/>
  <c r="M340" i="171" a="1"/>
  <c r="M340" i="171" s="1"/>
  <c r="M341" i="171" a="1"/>
  <c r="M341" i="171" s="1"/>
  <c r="M342" i="171" a="1"/>
  <c r="M342" i="171" s="1"/>
  <c r="M343" i="171" a="1"/>
  <c r="M343" i="171" s="1"/>
  <c r="M344" i="171" a="1"/>
  <c r="M344" i="171" s="1"/>
  <c r="M345" i="171" a="1"/>
  <c r="M345" i="171" s="1"/>
  <c r="M346" i="171" a="1"/>
  <c r="M346" i="171" s="1"/>
  <c r="M347" i="171" a="1"/>
  <c r="M347" i="171" s="1"/>
  <c r="M348" i="171" a="1"/>
  <c r="M348" i="171" s="1"/>
  <c r="M349" i="171" a="1"/>
  <c r="M349" i="171" s="1"/>
  <c r="M350" i="171" a="1"/>
  <c r="M350" i="171" s="1"/>
  <c r="M351" i="171" a="1"/>
  <c r="M351" i="171" s="1"/>
  <c r="M352" i="171" a="1"/>
  <c r="M352" i="171" s="1"/>
  <c r="M353" i="171" a="1"/>
  <c r="M353" i="171" s="1"/>
  <c r="M354" i="171" a="1"/>
  <c r="M354" i="171" s="1"/>
  <c r="M355" i="171" a="1"/>
  <c r="M355" i="171" s="1"/>
  <c r="M356" i="171" a="1"/>
  <c r="M356" i="171" s="1"/>
  <c r="M357" i="171" a="1"/>
  <c r="M357" i="171" s="1"/>
  <c r="M358" i="171" a="1"/>
  <c r="M358" i="171" s="1"/>
  <c r="M359" i="171" a="1"/>
  <c r="M359" i="171" s="1"/>
  <c r="M360" i="171" a="1"/>
  <c r="M360" i="171" s="1"/>
  <c r="M361" i="171" a="1"/>
  <c r="M361" i="171" s="1"/>
  <c r="M362" i="171" a="1"/>
  <c r="M362" i="171" s="1"/>
  <c r="M363" i="171" a="1"/>
  <c r="M363" i="171" s="1"/>
  <c r="M364" i="171" a="1"/>
  <c r="M364" i="171" s="1"/>
  <c r="M365" i="171" a="1"/>
  <c r="M365" i="171" s="1"/>
  <c r="M366" i="171" a="1"/>
  <c r="M366" i="171" s="1"/>
  <c r="M367" i="171" a="1"/>
  <c r="M367" i="171" s="1"/>
  <c r="M368" i="171" a="1"/>
  <c r="M368" i="171" s="1"/>
  <c r="M369" i="171" a="1"/>
  <c r="M369" i="171" s="1"/>
  <c r="M370" i="171" a="1"/>
  <c r="M370" i="171" s="1"/>
  <c r="M371" i="171" a="1"/>
  <c r="M371" i="171" s="1"/>
  <c r="M372" i="171" a="1"/>
  <c r="M372" i="171" s="1"/>
  <c r="M373" i="171" a="1"/>
  <c r="M373" i="171" s="1"/>
  <c r="M374" i="171" a="1"/>
  <c r="M374" i="171" s="1"/>
  <c r="M375" i="171" a="1"/>
  <c r="M375" i="171" s="1"/>
  <c r="M376" i="171" a="1"/>
  <c r="M376" i="171" s="1"/>
  <c r="M377" i="171" a="1"/>
  <c r="M377" i="171" s="1"/>
  <c r="M378" i="171" a="1"/>
  <c r="M378" i="171" s="1"/>
  <c r="M379" i="171" a="1"/>
  <c r="M379" i="171" s="1"/>
  <c r="M380" i="171" a="1"/>
  <c r="M380" i="171" s="1"/>
  <c r="M381" i="171" a="1"/>
  <c r="M381" i="171" s="1"/>
  <c r="M382" i="171" a="1"/>
  <c r="M382" i="171" s="1"/>
  <c r="M383" i="171" a="1"/>
  <c r="M383" i="171" s="1"/>
  <c r="M384" i="171" a="1"/>
  <c r="M384" i="171" s="1"/>
  <c r="M385" i="171" a="1"/>
  <c r="M385" i="171" s="1"/>
  <c r="M386" i="171" a="1"/>
  <c r="M386" i="171" s="1"/>
  <c r="M387" i="171" a="1"/>
  <c r="M387" i="171" s="1"/>
  <c r="M388" i="171" a="1"/>
  <c r="M388" i="171" s="1"/>
  <c r="M389" i="171" a="1"/>
  <c r="M389" i="171" s="1"/>
  <c r="M390" i="171" a="1"/>
  <c r="M390" i="171" s="1"/>
  <c r="M391" i="171" a="1"/>
  <c r="M391" i="171" s="1"/>
  <c r="M392" i="171" a="1"/>
  <c r="M392" i="171" s="1"/>
  <c r="M393" i="171" a="1"/>
  <c r="M393" i="171" s="1"/>
  <c r="M394" i="171" a="1"/>
  <c r="M394" i="171" s="1"/>
  <c r="M395" i="171" a="1"/>
  <c r="M395" i="171" s="1"/>
  <c r="M396" i="171" a="1"/>
  <c r="M396" i="171" s="1"/>
  <c r="M397" i="171" a="1"/>
  <c r="M397" i="171" s="1"/>
  <c r="M398" i="171" a="1"/>
  <c r="M398" i="171" s="1"/>
  <c r="M399" i="171" a="1"/>
  <c r="M399" i="171" s="1"/>
  <c r="M400" i="171" a="1"/>
  <c r="M400" i="171" s="1"/>
  <c r="M401" i="171" a="1"/>
  <c r="M401" i="171" s="1"/>
  <c r="M402" i="171" a="1"/>
  <c r="M402" i="171" s="1"/>
  <c r="M403" i="171" a="1"/>
  <c r="M403" i="171" s="1"/>
  <c r="M404" i="171" a="1"/>
  <c r="M404" i="171" s="1"/>
  <c r="M405" i="171" a="1"/>
  <c r="M405" i="171" s="1"/>
  <c r="M406" i="171" a="1"/>
  <c r="M406" i="171" s="1"/>
  <c r="M407" i="171" a="1"/>
  <c r="M407" i="171" s="1"/>
  <c r="M408" i="171" a="1"/>
  <c r="M408" i="171" s="1"/>
  <c r="M409" i="171" a="1"/>
  <c r="M409" i="171" s="1"/>
  <c r="M410" i="171" a="1"/>
  <c r="M410" i="171" s="1"/>
  <c r="M411" i="171" a="1"/>
  <c r="M411" i="171" s="1"/>
  <c r="M412" i="171" a="1"/>
  <c r="M412" i="171" s="1"/>
  <c r="M413" i="171" a="1"/>
  <c r="M413" i="171" s="1"/>
  <c r="M414" i="171" a="1"/>
  <c r="M414" i="171" s="1"/>
  <c r="M415" i="171" a="1"/>
  <c r="M415" i="171" s="1"/>
  <c r="M416" i="171" a="1"/>
  <c r="M416" i="171" s="1"/>
  <c r="M417" i="171" a="1"/>
  <c r="M417" i="171" s="1"/>
  <c r="M418" i="171" a="1"/>
  <c r="M418" i="171" s="1"/>
  <c r="M419" i="171" a="1"/>
  <c r="M419" i="171" s="1"/>
  <c r="M420" i="171" a="1"/>
  <c r="M420" i="171" s="1"/>
  <c r="M421" i="171" a="1"/>
  <c r="M421" i="171" s="1"/>
  <c r="M422" i="171" a="1"/>
  <c r="M422" i="171" s="1"/>
  <c r="M423" i="171" a="1"/>
  <c r="M423" i="171" s="1"/>
  <c r="M424" i="171" a="1"/>
  <c r="M424" i="171" s="1"/>
  <c r="M425" i="171" a="1"/>
  <c r="M425" i="171" s="1"/>
  <c r="M426" i="171" a="1"/>
  <c r="M426" i="171" s="1"/>
  <c r="M427" i="171" a="1"/>
  <c r="M427" i="171" s="1"/>
  <c r="M428" i="171" a="1"/>
  <c r="M428" i="171" s="1"/>
  <c r="M429" i="171" a="1"/>
  <c r="M429" i="171" s="1"/>
  <c r="M430" i="171" a="1"/>
  <c r="M430" i="171" s="1"/>
  <c r="M431" i="171" a="1"/>
  <c r="M431" i="171" s="1"/>
  <c r="M432" i="171" a="1"/>
  <c r="M432" i="171" s="1"/>
  <c r="M433" i="171" a="1"/>
  <c r="M433" i="171" s="1"/>
  <c r="M434" i="171" a="1"/>
  <c r="M434" i="171" s="1"/>
  <c r="M435" i="171" a="1"/>
  <c r="M435" i="171" s="1"/>
  <c r="M436" i="171" a="1"/>
  <c r="M436" i="171" s="1"/>
  <c r="M437" i="171" a="1"/>
  <c r="M437" i="171" s="1"/>
  <c r="M438" i="171" a="1"/>
  <c r="M438" i="171" s="1"/>
  <c r="M439" i="171" a="1"/>
  <c r="M439" i="171" s="1"/>
  <c r="M440" i="171" a="1"/>
  <c r="M440" i="171" s="1"/>
  <c r="M441" i="171" a="1"/>
  <c r="M441" i="171" s="1"/>
  <c r="M442" i="171" a="1"/>
  <c r="M442" i="171" s="1"/>
  <c r="M443" i="171" a="1"/>
  <c r="M443" i="171" s="1"/>
  <c r="M444" i="171" a="1"/>
  <c r="M444" i="171" s="1"/>
  <c r="M445" i="171" a="1"/>
  <c r="M445" i="171" s="1"/>
  <c r="M446" i="171" a="1"/>
  <c r="M446" i="171" s="1"/>
  <c r="M447" i="171" a="1"/>
  <c r="M447" i="171" s="1"/>
  <c r="M448" i="171" a="1"/>
  <c r="M448" i="171" s="1"/>
  <c r="M449" i="171" a="1"/>
  <c r="M449" i="171" s="1"/>
  <c r="M450" i="171" a="1"/>
  <c r="M450" i="171" s="1"/>
  <c r="M451" i="171" a="1"/>
  <c r="M451" i="171" s="1"/>
  <c r="M452" i="171" a="1"/>
  <c r="M452" i="171" s="1"/>
  <c r="M453" i="171" a="1"/>
  <c r="M453" i="171" s="1"/>
  <c r="M454" i="171" a="1"/>
  <c r="M454" i="171" s="1"/>
  <c r="M455" i="171" a="1"/>
  <c r="M455" i="171" s="1"/>
  <c r="M456" i="171" a="1"/>
  <c r="M456" i="171" s="1"/>
  <c r="M457" i="171" a="1"/>
  <c r="M457" i="171" s="1"/>
  <c r="M458" i="171" a="1"/>
  <c r="M458" i="171" s="1"/>
  <c r="M459" i="171" a="1"/>
  <c r="M459" i="171" s="1"/>
  <c r="M460" i="171" a="1"/>
  <c r="M460" i="171" s="1"/>
  <c r="M461" i="171" a="1"/>
  <c r="M461" i="171" s="1"/>
  <c r="M462" i="171" a="1"/>
  <c r="M462" i="171" s="1"/>
  <c r="M463" i="171" a="1"/>
  <c r="M463" i="171" s="1"/>
  <c r="M464" i="171" a="1"/>
  <c r="M464" i="171" s="1"/>
  <c r="M465" i="171" a="1"/>
  <c r="M465" i="171" s="1"/>
  <c r="M466" i="171" a="1"/>
  <c r="M466" i="171" s="1"/>
  <c r="M467" i="171" a="1"/>
  <c r="M467" i="171" s="1"/>
  <c r="M468" i="171" a="1"/>
  <c r="M468" i="171" s="1"/>
  <c r="M469" i="171" a="1"/>
  <c r="M469" i="171" s="1"/>
  <c r="M470" i="171" a="1"/>
  <c r="M470" i="171" s="1"/>
  <c r="M471" i="171" a="1"/>
  <c r="M471" i="171" s="1"/>
  <c r="M472" i="171" a="1"/>
  <c r="M472" i="171" s="1"/>
  <c r="M473" i="171" a="1"/>
  <c r="M473" i="171" s="1"/>
  <c r="M474" i="171" a="1"/>
  <c r="M474" i="171" s="1"/>
  <c r="M475" i="171" a="1"/>
  <c r="M475" i="171" s="1"/>
  <c r="M476" i="171" a="1"/>
  <c r="M476" i="171" s="1"/>
  <c r="M477" i="171" a="1"/>
  <c r="M477" i="171" s="1"/>
  <c r="M478" i="171" a="1"/>
  <c r="M478" i="171" s="1"/>
  <c r="M479" i="171" a="1"/>
  <c r="M479" i="171" s="1"/>
  <c r="M480" i="171" a="1"/>
  <c r="M480" i="171" s="1"/>
  <c r="M481" i="171" a="1"/>
  <c r="M481" i="171" s="1"/>
  <c r="M482" i="171" a="1"/>
  <c r="M482" i="171" s="1"/>
  <c r="M483" i="171" a="1"/>
  <c r="M483" i="171" s="1"/>
  <c r="M484" i="171" a="1"/>
  <c r="M484" i="171" s="1"/>
  <c r="M485" i="171" a="1"/>
  <c r="M485" i="171" s="1"/>
  <c r="M486" i="171" a="1"/>
  <c r="M486" i="171" s="1"/>
  <c r="M487" i="171" a="1"/>
  <c r="M487" i="171" s="1"/>
  <c r="M488" i="171" a="1"/>
  <c r="M488" i="171" s="1"/>
  <c r="M489" i="171" a="1"/>
  <c r="M489" i="171" s="1"/>
  <c r="M490" i="171" a="1"/>
  <c r="M490" i="171" s="1"/>
  <c r="M491" i="171" a="1"/>
  <c r="M491" i="171" s="1"/>
  <c r="M492" i="171" a="1"/>
  <c r="M492" i="171" s="1"/>
  <c r="M493" i="171" a="1"/>
  <c r="M493" i="171" s="1"/>
  <c r="M494" i="171" a="1"/>
  <c r="M494" i="171" s="1"/>
  <c r="M495" i="171" a="1"/>
  <c r="M495" i="171" s="1"/>
  <c r="M496" i="171" a="1"/>
  <c r="M496" i="171" s="1"/>
  <c r="M497" i="171" a="1"/>
  <c r="M497" i="171" s="1"/>
  <c r="M498" i="171" a="1"/>
  <c r="M498" i="171" s="1"/>
  <c r="M499" i="171" a="1"/>
  <c r="M499" i="171" s="1"/>
  <c r="M500" i="171" a="1"/>
  <c r="M500" i="171" s="1"/>
  <c r="M501" i="171" a="1"/>
  <c r="M501" i="171" s="1"/>
  <c r="M502" i="171" a="1"/>
  <c r="M502" i="171" s="1"/>
  <c r="M503" i="171" a="1"/>
  <c r="M503" i="171" s="1"/>
  <c r="M504" i="171" a="1"/>
  <c r="M504" i="171" s="1"/>
  <c r="M505" i="171" a="1"/>
  <c r="M505" i="171" s="1"/>
  <c r="M506" i="171" a="1"/>
  <c r="M506" i="171" s="1"/>
  <c r="M507" i="171" a="1"/>
  <c r="M507" i="171" s="1"/>
  <c r="M508" i="171" a="1"/>
  <c r="M508" i="171" s="1"/>
  <c r="M509" i="171" a="1"/>
  <c r="M509" i="171" s="1"/>
  <c r="M510" i="171" a="1"/>
  <c r="M510" i="171" s="1"/>
  <c r="M511" i="171" a="1"/>
  <c r="M511" i="171" s="1"/>
  <c r="M512" i="171" a="1"/>
  <c r="M512" i="171" s="1"/>
  <c r="M513" i="171" a="1"/>
  <c r="M513" i="171" s="1"/>
  <c r="M514" i="171" a="1"/>
  <c r="M514" i="171" s="1"/>
  <c r="M515" i="171" a="1"/>
  <c r="M515" i="171" s="1"/>
  <c r="M516" i="171" a="1"/>
  <c r="M516" i="171" s="1"/>
  <c r="M517" i="171" a="1"/>
  <c r="M517" i="171" s="1"/>
  <c r="M518" i="171" a="1"/>
  <c r="M518" i="171" s="1"/>
  <c r="M519" i="171" a="1"/>
  <c r="M519" i="171" s="1"/>
  <c r="M520" i="171" a="1"/>
  <c r="M520" i="171" s="1"/>
  <c r="M521" i="171" a="1"/>
  <c r="M521" i="171" s="1"/>
  <c r="M522" i="171" a="1"/>
  <c r="M522" i="171" s="1"/>
  <c r="M523" i="171" a="1"/>
  <c r="M523" i="171" s="1"/>
  <c r="M524" i="171" a="1"/>
  <c r="M524" i="171" s="1"/>
  <c r="M525" i="171" a="1"/>
  <c r="M525" i="171" s="1"/>
  <c r="M526" i="171" a="1"/>
  <c r="M526" i="171" s="1"/>
  <c r="M527" i="171" a="1"/>
  <c r="M527" i="171" s="1"/>
  <c r="M528" i="171" a="1"/>
  <c r="M528" i="171" s="1"/>
  <c r="M529" i="171" a="1"/>
  <c r="M529" i="171" s="1"/>
  <c r="M530" i="171" a="1"/>
  <c r="M530" i="171" s="1"/>
  <c r="M531" i="171" a="1"/>
  <c r="M531" i="171" s="1"/>
  <c r="M532" i="171" a="1"/>
  <c r="M532" i="171" s="1"/>
  <c r="M533" i="171" a="1"/>
  <c r="M533" i="171" s="1"/>
  <c r="M534" i="171" a="1"/>
  <c r="M534" i="171" s="1"/>
  <c r="M535" i="171" a="1"/>
  <c r="M535" i="171" s="1"/>
  <c r="M536" i="171" a="1"/>
  <c r="M536" i="171" s="1"/>
  <c r="M537" i="171" a="1"/>
  <c r="M537" i="171" s="1"/>
  <c r="M538" i="171" a="1"/>
  <c r="M538" i="171" s="1"/>
  <c r="M539" i="171" a="1"/>
  <c r="M539" i="171" s="1"/>
  <c r="M540" i="171" a="1"/>
  <c r="M540" i="171" s="1"/>
  <c r="M541" i="171" a="1"/>
  <c r="M541" i="171" s="1"/>
  <c r="M542" i="171" a="1"/>
  <c r="M542" i="171" s="1"/>
  <c r="M543" i="171" a="1"/>
  <c r="M543" i="171" s="1"/>
  <c r="M544" i="171" a="1"/>
  <c r="M544" i="171" s="1"/>
  <c r="M545" i="171" a="1"/>
  <c r="M545" i="171" s="1"/>
  <c r="M546" i="171" a="1"/>
  <c r="M546" i="171" s="1"/>
  <c r="M547" i="171" a="1"/>
  <c r="M547" i="171" s="1"/>
  <c r="M548" i="171" a="1"/>
  <c r="M548" i="171" s="1"/>
  <c r="M549" i="171" a="1"/>
  <c r="M549" i="171" s="1"/>
  <c r="M550" i="171" a="1"/>
  <c r="M550" i="171" s="1"/>
  <c r="M551" i="171" a="1"/>
  <c r="M551" i="171" s="1"/>
  <c r="M552" i="171" a="1"/>
  <c r="M552" i="171" s="1"/>
  <c r="M553" i="171" a="1"/>
  <c r="M553" i="171" s="1"/>
  <c r="M554" i="171" a="1"/>
  <c r="M554" i="171" s="1"/>
  <c r="M555" i="171" a="1"/>
  <c r="M555" i="171" s="1"/>
  <c r="M556" i="171" a="1"/>
  <c r="M556" i="171" s="1"/>
  <c r="M557" i="171" a="1"/>
  <c r="M557" i="171" s="1"/>
  <c r="M558" i="171" a="1"/>
  <c r="M558" i="171" s="1"/>
  <c r="M559" i="171" a="1"/>
  <c r="M559" i="171" s="1"/>
  <c r="M560" i="171" a="1"/>
  <c r="M560" i="171" s="1"/>
  <c r="M561" i="171" a="1"/>
  <c r="M561" i="171" s="1"/>
  <c r="M562" i="171" a="1"/>
  <c r="M562" i="171" s="1"/>
  <c r="M563" i="171" a="1"/>
  <c r="M563" i="171" s="1"/>
  <c r="M564" i="171" a="1"/>
  <c r="M564" i="171" s="1"/>
  <c r="M565" i="171" a="1"/>
  <c r="M565" i="171" s="1"/>
  <c r="M566" i="171" a="1"/>
  <c r="M566" i="171" s="1"/>
  <c r="M567" i="171" a="1"/>
  <c r="M567" i="171" s="1"/>
  <c r="M568" i="171" a="1"/>
  <c r="M568" i="171" s="1"/>
  <c r="M569" i="171" a="1"/>
  <c r="M569" i="171" s="1"/>
  <c r="M570" i="171" a="1"/>
  <c r="M570" i="171" s="1"/>
  <c r="M571" i="171" a="1"/>
  <c r="M571" i="171" s="1"/>
  <c r="M572" i="171" a="1"/>
  <c r="M572" i="171" s="1"/>
  <c r="M573" i="171" a="1"/>
  <c r="M573" i="171" s="1"/>
  <c r="M574" i="171" a="1"/>
  <c r="M574" i="171" s="1"/>
  <c r="M575" i="171" a="1"/>
  <c r="M575" i="171" s="1"/>
  <c r="M576" i="171" a="1"/>
  <c r="M576" i="171" s="1"/>
  <c r="M577" i="171" a="1"/>
  <c r="M577" i="171" s="1"/>
  <c r="M578" i="171" a="1"/>
  <c r="M578" i="171" s="1"/>
  <c r="M579" i="171" a="1"/>
  <c r="M579" i="171" s="1"/>
  <c r="M580" i="171" a="1"/>
  <c r="M580" i="171" s="1"/>
  <c r="M581" i="171" a="1"/>
  <c r="M581" i="171" s="1"/>
  <c r="M582" i="171" a="1"/>
  <c r="M582" i="171" s="1"/>
  <c r="M583" i="171" a="1"/>
  <c r="M583" i="171" s="1"/>
  <c r="M584" i="171" a="1"/>
  <c r="M584" i="171" s="1"/>
  <c r="M585" i="171" a="1"/>
  <c r="M585" i="171" s="1"/>
  <c r="M586" i="171" a="1"/>
  <c r="M586" i="171" s="1"/>
  <c r="M587" i="171" a="1"/>
  <c r="M587" i="171" s="1"/>
  <c r="M588" i="171" a="1"/>
  <c r="M588" i="171" s="1"/>
  <c r="M589" i="171" a="1"/>
  <c r="M589" i="171" s="1"/>
  <c r="M590" i="171" a="1"/>
  <c r="M590" i="171" s="1"/>
  <c r="M591" i="171" a="1"/>
  <c r="M591" i="171" s="1"/>
  <c r="M592" i="171" a="1"/>
  <c r="M592" i="171" s="1"/>
  <c r="M593" i="171" a="1"/>
  <c r="M593" i="171" s="1"/>
  <c r="M594" i="171" a="1"/>
  <c r="M594" i="171" s="1"/>
  <c r="M595" i="171" a="1"/>
  <c r="M595" i="171" s="1"/>
  <c r="M596" i="171" a="1"/>
  <c r="M596" i="171" s="1"/>
  <c r="M597" i="171" a="1"/>
  <c r="M597" i="171" s="1"/>
  <c r="M598" i="171" a="1"/>
  <c r="M598" i="171" s="1"/>
  <c r="M599" i="171" a="1"/>
  <c r="M599" i="171" s="1"/>
  <c r="M600" i="171" a="1"/>
  <c r="M600" i="171" s="1"/>
  <c r="M601" i="171" a="1"/>
  <c r="M601" i="171" s="1"/>
  <c r="M602" i="171" a="1"/>
  <c r="M602" i="171" s="1"/>
  <c r="M603" i="171" a="1"/>
  <c r="M603" i="171" s="1"/>
  <c r="M604" i="171" a="1"/>
  <c r="M604" i="171" s="1"/>
  <c r="M605" i="171" a="1"/>
  <c r="M605" i="171" s="1"/>
  <c r="M606" i="171" a="1"/>
  <c r="M606" i="171" s="1"/>
  <c r="M607" i="171" a="1"/>
  <c r="M607" i="171" s="1"/>
  <c r="M608" i="171" a="1"/>
  <c r="M608" i="171" s="1"/>
  <c r="M609" i="171" a="1"/>
  <c r="M609" i="171" s="1"/>
  <c r="M610" i="171" a="1"/>
  <c r="M610" i="171" s="1"/>
  <c r="M611" i="171" a="1"/>
  <c r="M611" i="171" s="1"/>
  <c r="M612" i="171" a="1"/>
  <c r="M612" i="171" s="1"/>
  <c r="M613" i="171" a="1"/>
  <c r="M613" i="171" s="1"/>
  <c r="M614" i="171" a="1"/>
  <c r="M614" i="171" s="1"/>
  <c r="M615" i="171" a="1"/>
  <c r="M615" i="171" s="1"/>
  <c r="M616" i="171" a="1"/>
  <c r="M616" i="171" s="1"/>
  <c r="M617" i="171" a="1"/>
  <c r="M617" i="171" s="1"/>
  <c r="M618" i="171" a="1"/>
  <c r="M618" i="171" s="1"/>
  <c r="M619" i="171" a="1"/>
  <c r="M619" i="171" s="1"/>
  <c r="M620" i="171" a="1"/>
  <c r="M620" i="171" s="1"/>
  <c r="M621" i="171" a="1"/>
  <c r="M621" i="171" s="1"/>
  <c r="M622" i="171" a="1"/>
  <c r="M622" i="171" s="1"/>
  <c r="M623" i="171" a="1"/>
  <c r="M623" i="171" s="1"/>
  <c r="M624" i="171" a="1"/>
  <c r="M624" i="171" s="1"/>
  <c r="M625" i="171" a="1"/>
  <c r="M625" i="171" s="1"/>
  <c r="M626" i="171" a="1"/>
  <c r="M626" i="171" s="1"/>
  <c r="M627" i="171" a="1"/>
  <c r="M627" i="171" s="1"/>
  <c r="M628" i="171" a="1"/>
  <c r="M628" i="171" s="1"/>
  <c r="M629" i="171" a="1"/>
  <c r="M629" i="171" s="1"/>
  <c r="M630" i="171" a="1"/>
  <c r="M630" i="171" s="1"/>
  <c r="M631" i="171" a="1"/>
  <c r="M631" i="171" s="1"/>
  <c r="M632" i="171" a="1"/>
  <c r="M632" i="171" s="1"/>
  <c r="M633" i="171" a="1"/>
  <c r="M633" i="171" s="1"/>
  <c r="M634" i="171" a="1"/>
  <c r="M634" i="171" s="1"/>
  <c r="M635" i="171" a="1"/>
  <c r="M635" i="171" s="1"/>
  <c r="M636" i="171" a="1"/>
  <c r="M636" i="171" s="1"/>
  <c r="M637" i="171" a="1"/>
  <c r="M637" i="171" s="1"/>
  <c r="M638" i="171" a="1"/>
  <c r="M638" i="171" s="1"/>
  <c r="M639" i="171" a="1"/>
  <c r="M639" i="171" s="1"/>
  <c r="M640" i="171" a="1"/>
  <c r="M640" i="171" s="1"/>
  <c r="M641" i="171" a="1"/>
  <c r="M641" i="171" s="1"/>
  <c r="M642" i="171" a="1"/>
  <c r="M642" i="171" s="1"/>
  <c r="M643" i="171" a="1"/>
  <c r="M643" i="171" s="1"/>
  <c r="M644" i="171" a="1"/>
  <c r="M644" i="171" s="1"/>
  <c r="M645" i="171" a="1"/>
  <c r="M645" i="171" s="1"/>
  <c r="M646" i="171" a="1"/>
  <c r="M646" i="171" s="1"/>
  <c r="M647" i="171" a="1"/>
  <c r="M647" i="171" s="1"/>
  <c r="M648" i="171" a="1"/>
  <c r="M648" i="171" s="1"/>
  <c r="M649" i="171" a="1"/>
  <c r="M649" i="171" s="1"/>
  <c r="M650" i="171" a="1"/>
  <c r="M650" i="171" s="1"/>
  <c r="M651" i="171" a="1"/>
  <c r="M651" i="171" s="1"/>
  <c r="M652" i="171" a="1"/>
  <c r="M652" i="171" s="1"/>
  <c r="M653" i="171" a="1"/>
  <c r="M653" i="171" s="1"/>
  <c r="M654" i="171" a="1"/>
  <c r="M654" i="171" s="1"/>
  <c r="M655" i="171" a="1"/>
  <c r="M655" i="171" s="1"/>
  <c r="M656" i="171" a="1"/>
  <c r="M656" i="171" s="1"/>
  <c r="M657" i="171" a="1"/>
  <c r="M657" i="171" s="1"/>
  <c r="M658" i="171" a="1"/>
  <c r="M658" i="171" s="1"/>
  <c r="M659" i="171" a="1"/>
  <c r="M659" i="171" s="1"/>
  <c r="M660" i="171" a="1"/>
  <c r="M660" i="171" s="1"/>
  <c r="M661" i="171" a="1"/>
  <c r="M661" i="171" s="1"/>
  <c r="M662" i="171" a="1"/>
  <c r="M662" i="171" s="1"/>
  <c r="M663" i="171" a="1"/>
  <c r="M663" i="171" s="1"/>
  <c r="M664" i="171" a="1"/>
  <c r="M664" i="171" s="1"/>
  <c r="M665" i="171" a="1"/>
  <c r="M665" i="171" s="1"/>
  <c r="M666" i="171" a="1"/>
  <c r="M666" i="171" s="1"/>
  <c r="M667" i="171" a="1"/>
  <c r="M667" i="171" s="1"/>
  <c r="M668" i="171" a="1"/>
  <c r="M668" i="171" s="1"/>
  <c r="M669" i="171" a="1"/>
  <c r="M669" i="171" s="1"/>
  <c r="M670" i="171" a="1"/>
  <c r="M670" i="171" s="1"/>
  <c r="M671" i="171" a="1"/>
  <c r="M671" i="171" s="1"/>
  <c r="M672" i="171" a="1"/>
  <c r="M672" i="171" s="1"/>
  <c r="M673" i="171" a="1"/>
  <c r="M673" i="171" s="1"/>
  <c r="M674" i="171" a="1"/>
  <c r="M674" i="171" s="1"/>
  <c r="M675" i="171" a="1"/>
  <c r="M675" i="171" s="1"/>
  <c r="M676" i="171" a="1"/>
  <c r="M676" i="171" s="1"/>
  <c r="M677" i="171" a="1"/>
  <c r="M677" i="171" s="1"/>
  <c r="M678" i="171" a="1"/>
  <c r="M678" i="171" s="1"/>
  <c r="M679" i="171" a="1"/>
  <c r="M679" i="171" s="1"/>
  <c r="M680" i="171" a="1"/>
  <c r="M680" i="171" s="1"/>
  <c r="M681" i="171" a="1"/>
  <c r="M681" i="171" s="1"/>
  <c r="M682" i="171" a="1"/>
  <c r="M682" i="171" s="1"/>
  <c r="M683" i="171" a="1"/>
  <c r="M683" i="171" s="1"/>
  <c r="M684" i="171" a="1"/>
  <c r="M684" i="171" s="1"/>
  <c r="M685" i="171" a="1"/>
  <c r="M685" i="171" s="1"/>
  <c r="M686" i="171" a="1"/>
  <c r="M686" i="171" s="1"/>
  <c r="M687" i="171" a="1"/>
  <c r="M687" i="171" s="1"/>
  <c r="M688" i="171" a="1"/>
  <c r="M688" i="171" s="1"/>
  <c r="M689" i="171" a="1"/>
  <c r="M689" i="171" s="1"/>
  <c r="M690" i="171" a="1"/>
  <c r="M690" i="171" s="1"/>
  <c r="M691" i="171" a="1"/>
  <c r="M691" i="171" s="1"/>
  <c r="M692" i="171" a="1"/>
  <c r="M692" i="171" s="1"/>
  <c r="M693" i="171" a="1"/>
  <c r="M693" i="171" s="1"/>
  <c r="M694" i="171" a="1"/>
  <c r="M694" i="171" s="1"/>
  <c r="M695" i="171" a="1"/>
  <c r="M695" i="171" s="1"/>
  <c r="M696" i="171" a="1"/>
  <c r="M696" i="171" s="1"/>
  <c r="M697" i="171" a="1"/>
  <c r="M697" i="171" s="1"/>
  <c r="M698" i="171" a="1"/>
  <c r="M698" i="171" s="1"/>
  <c r="M699" i="171" a="1"/>
  <c r="M699" i="171" s="1"/>
  <c r="M700" i="171" a="1"/>
  <c r="M700" i="171" s="1"/>
  <c r="M701" i="171" a="1"/>
  <c r="M701" i="171" s="1"/>
  <c r="M702" i="171" a="1"/>
  <c r="M702" i="171" s="1"/>
  <c r="M703" i="171" a="1"/>
  <c r="M703" i="171" s="1"/>
  <c r="M704" i="171" a="1"/>
  <c r="M704" i="171" s="1"/>
  <c r="M705" i="171" a="1"/>
  <c r="M705" i="171" s="1"/>
  <c r="M706" i="171" a="1"/>
  <c r="M706" i="171" s="1"/>
  <c r="M707" i="171" a="1"/>
  <c r="M707" i="171" s="1"/>
  <c r="M708" i="171" a="1"/>
  <c r="M708" i="171" s="1"/>
  <c r="M709" i="171" a="1"/>
  <c r="M709" i="171" s="1"/>
  <c r="M710" i="171" a="1"/>
  <c r="M710" i="171" s="1"/>
  <c r="M711" i="171" a="1"/>
  <c r="M711" i="171" s="1"/>
  <c r="M712" i="171" a="1"/>
  <c r="M712" i="171" s="1"/>
  <c r="M713" i="171" a="1"/>
  <c r="M713" i="171" s="1"/>
  <c r="M714" i="171" a="1"/>
  <c r="M714" i="171" s="1"/>
  <c r="M715" i="171" a="1"/>
  <c r="M715" i="171" s="1"/>
  <c r="M716" i="171" a="1"/>
  <c r="M716" i="171" s="1"/>
  <c r="M717" i="171" a="1"/>
  <c r="M717" i="171" s="1"/>
  <c r="M718" i="171" a="1"/>
  <c r="M718" i="171" s="1"/>
  <c r="M719" i="171" a="1"/>
  <c r="M719" i="171" s="1"/>
  <c r="M720" i="171" a="1"/>
  <c r="M720" i="171" s="1"/>
  <c r="M721" i="171" a="1"/>
  <c r="M721" i="171" s="1"/>
  <c r="M722" i="171" a="1"/>
  <c r="M722" i="171" s="1"/>
  <c r="M723" i="171" a="1"/>
  <c r="M723" i="171" s="1"/>
  <c r="M724" i="171" a="1"/>
  <c r="M724" i="171" s="1"/>
  <c r="M725" i="171" a="1"/>
  <c r="M725" i="171" s="1"/>
  <c r="M726" i="171" a="1"/>
  <c r="M726" i="171" s="1"/>
  <c r="M727" i="171" a="1"/>
  <c r="M727" i="171" s="1"/>
  <c r="M728" i="171" a="1"/>
  <c r="M728" i="171" s="1"/>
  <c r="M729" i="171" a="1"/>
  <c r="M729" i="171" s="1"/>
  <c r="M730" i="171" a="1"/>
  <c r="M730" i="171" s="1"/>
  <c r="M731" i="171" a="1"/>
  <c r="M731" i="171" s="1"/>
  <c r="M732" i="171" a="1"/>
  <c r="M732" i="171" s="1"/>
  <c r="M733" i="171" a="1"/>
  <c r="M733" i="171" s="1"/>
  <c r="M734" i="171" a="1"/>
  <c r="M734" i="171" s="1"/>
  <c r="M735" i="171" a="1"/>
  <c r="M735" i="171" s="1"/>
  <c r="M736" i="171" a="1"/>
  <c r="M736" i="171" s="1"/>
  <c r="M737" i="171" a="1"/>
  <c r="M737" i="171" s="1"/>
  <c r="M738" i="171" a="1"/>
  <c r="M738" i="171" s="1"/>
  <c r="M739" i="171" a="1"/>
  <c r="M739" i="171" s="1"/>
  <c r="M740" i="171" a="1"/>
  <c r="M740" i="171" s="1"/>
  <c r="M741" i="171" a="1"/>
  <c r="M741" i="171" s="1"/>
  <c r="M742" i="171" a="1"/>
  <c r="M742" i="171" s="1"/>
  <c r="M743" i="171" a="1"/>
  <c r="M743" i="171" s="1"/>
  <c r="M744" i="171" a="1"/>
  <c r="M744" i="171" s="1"/>
  <c r="M745" i="171" a="1"/>
  <c r="M745" i="171" s="1"/>
  <c r="M746" i="171" a="1"/>
  <c r="M746" i="171" s="1"/>
  <c r="M747" i="171" a="1"/>
  <c r="M747" i="171" s="1"/>
  <c r="M748" i="171" a="1"/>
  <c r="M748" i="171" s="1"/>
  <c r="M749" i="171" a="1"/>
  <c r="M749" i="171" s="1"/>
  <c r="M750" i="171" a="1"/>
  <c r="M750" i="171" s="1"/>
  <c r="M751" i="171" a="1"/>
  <c r="M751" i="171" s="1"/>
  <c r="M752" i="171" a="1"/>
  <c r="M752" i="171" s="1"/>
  <c r="M753" i="171" a="1"/>
  <c r="M753" i="171" s="1"/>
  <c r="M754" i="171" a="1"/>
  <c r="M754" i="171" s="1"/>
  <c r="M755" i="171" a="1"/>
  <c r="M755" i="171" s="1"/>
  <c r="M756" i="171" a="1"/>
  <c r="M756" i="171" s="1"/>
  <c r="M757" i="171" a="1"/>
  <c r="M757" i="171" s="1"/>
  <c r="M758" i="171" a="1"/>
  <c r="M758" i="171" s="1"/>
  <c r="M759" i="171" a="1"/>
  <c r="M759" i="171" s="1"/>
  <c r="M760" i="171" a="1"/>
  <c r="M760" i="171" s="1"/>
  <c r="M761" i="171" a="1"/>
  <c r="M761" i="171" s="1"/>
  <c r="M762" i="171" a="1"/>
  <c r="M762" i="171" s="1"/>
  <c r="M763" i="171" a="1"/>
  <c r="M763" i="171" s="1"/>
  <c r="M764" i="171" a="1"/>
  <c r="M764" i="171" s="1"/>
  <c r="M765" i="171" a="1"/>
  <c r="M765" i="171" s="1"/>
  <c r="M766" i="171" a="1"/>
  <c r="M766" i="171" s="1"/>
  <c r="M767" i="171" a="1"/>
  <c r="M767" i="171" s="1"/>
  <c r="M768" i="171" a="1"/>
  <c r="M768" i="171" s="1"/>
  <c r="M769" i="171" a="1"/>
  <c r="M769" i="171" s="1"/>
  <c r="M770" i="171" a="1"/>
  <c r="M770" i="171" s="1"/>
  <c r="M771" i="171" a="1"/>
  <c r="M771" i="171" s="1"/>
  <c r="M772" i="171" a="1"/>
  <c r="M772" i="171" s="1"/>
  <c r="M773" i="171" a="1"/>
  <c r="M773" i="171" s="1"/>
  <c r="M774" i="171" a="1"/>
  <c r="M774" i="171" s="1"/>
  <c r="M775" i="171" a="1"/>
  <c r="M775" i="171" s="1"/>
  <c r="M776" i="171" a="1"/>
  <c r="M776" i="171" s="1"/>
  <c r="M777" i="171" a="1"/>
  <c r="M777" i="171" s="1"/>
  <c r="M778" i="171" a="1"/>
  <c r="M778" i="171" s="1"/>
  <c r="M779" i="171" a="1"/>
  <c r="M779" i="171" s="1"/>
  <c r="M780" i="171" a="1"/>
  <c r="M780" i="171" s="1"/>
  <c r="M781" i="171" a="1"/>
  <c r="M781" i="171" s="1"/>
  <c r="M782" i="171" a="1"/>
  <c r="M782" i="171" s="1"/>
  <c r="M783" i="171" a="1"/>
  <c r="M783" i="171" s="1"/>
  <c r="M784" i="171" a="1"/>
  <c r="M784" i="171" s="1"/>
  <c r="M785" i="171" a="1"/>
  <c r="M785" i="171" s="1"/>
  <c r="M786" i="171" a="1"/>
  <c r="M786" i="171" s="1"/>
  <c r="M787" i="171" a="1"/>
  <c r="M787" i="171" s="1"/>
  <c r="M788" i="171" a="1"/>
  <c r="M788" i="171" s="1"/>
  <c r="M789" i="171" a="1"/>
  <c r="M789" i="171" s="1"/>
  <c r="M790" i="171" a="1"/>
  <c r="M790" i="171" s="1"/>
  <c r="M791" i="171" a="1"/>
  <c r="M791" i="171" s="1"/>
  <c r="M792" i="171" a="1"/>
  <c r="M792" i="171" s="1"/>
  <c r="M793" i="171" a="1"/>
  <c r="M793" i="171" s="1"/>
  <c r="M794" i="171" a="1"/>
  <c r="M794" i="171" s="1"/>
  <c r="M795" i="171" a="1"/>
  <c r="M795" i="171" s="1"/>
  <c r="M796" i="171" a="1"/>
  <c r="M796" i="171" s="1"/>
  <c r="M797" i="171" a="1"/>
  <c r="M797" i="171" s="1"/>
  <c r="M798" i="171" a="1"/>
  <c r="M798" i="171" s="1"/>
  <c r="M799" i="171" a="1"/>
  <c r="M799" i="171" s="1"/>
  <c r="M800" i="171" a="1"/>
  <c r="M800" i="171" s="1"/>
  <c r="M801" i="171" a="1"/>
  <c r="M801" i="171" s="1"/>
  <c r="M802" i="171" a="1"/>
  <c r="M802" i="171" s="1"/>
  <c r="M803" i="171" a="1"/>
  <c r="M803" i="171" s="1"/>
  <c r="M804" i="171" a="1"/>
  <c r="M804" i="171" s="1"/>
  <c r="M805" i="171" a="1"/>
  <c r="M805" i="171" s="1"/>
  <c r="M806" i="171" a="1"/>
  <c r="M806" i="171" s="1"/>
  <c r="M807" i="171" a="1"/>
  <c r="M807" i="171" s="1"/>
  <c r="M808" i="171" a="1"/>
  <c r="M808" i="171" s="1"/>
  <c r="M809" i="171" a="1"/>
  <c r="M809" i="171" s="1"/>
  <c r="M810" i="171" a="1"/>
  <c r="M810" i="171" s="1"/>
  <c r="M811" i="171" a="1"/>
  <c r="M811" i="171" s="1"/>
  <c r="M812" i="171" a="1"/>
  <c r="M812" i="171" s="1"/>
  <c r="M813" i="171" a="1"/>
  <c r="M813" i="171" s="1"/>
  <c r="M814" i="171" a="1"/>
  <c r="M814" i="171" s="1"/>
  <c r="M815" i="171" a="1"/>
  <c r="M815" i="171" s="1"/>
  <c r="M816" i="171" a="1"/>
  <c r="M816" i="171" s="1"/>
  <c r="M817" i="171" a="1"/>
  <c r="M817" i="171" s="1"/>
  <c r="M818" i="171" a="1"/>
  <c r="M818" i="171" s="1"/>
  <c r="M819" i="171" a="1"/>
  <c r="M819" i="171" s="1"/>
  <c r="M820" i="171" a="1"/>
  <c r="M820" i="171" s="1"/>
  <c r="M821" i="171" a="1"/>
  <c r="M821" i="171" s="1"/>
  <c r="M822" i="171" a="1"/>
  <c r="M822" i="171" s="1"/>
  <c r="M823" i="171" a="1"/>
  <c r="M823" i="171" s="1"/>
  <c r="M824" i="171" a="1"/>
  <c r="M824" i="171" s="1"/>
  <c r="M825" i="171" a="1"/>
  <c r="M825" i="171" s="1"/>
  <c r="M826" i="171" a="1"/>
  <c r="M826" i="171" s="1"/>
  <c r="M827" i="171" a="1"/>
  <c r="M827" i="171" s="1"/>
  <c r="M828" i="171" a="1"/>
  <c r="M828" i="171" s="1"/>
  <c r="M829" i="171" a="1"/>
  <c r="M829" i="171" s="1"/>
  <c r="M830" i="171" a="1"/>
  <c r="M830" i="171" s="1"/>
  <c r="M831" i="171" a="1"/>
  <c r="M831" i="171" s="1"/>
  <c r="M832" i="171" a="1"/>
  <c r="M832" i="171" s="1"/>
  <c r="M833" i="171" a="1"/>
  <c r="M833" i="171" s="1"/>
  <c r="M834" i="171" a="1"/>
  <c r="M834" i="171" s="1"/>
  <c r="M835" i="171" a="1"/>
  <c r="M835" i="171" s="1"/>
  <c r="M836" i="171" a="1"/>
  <c r="M836" i="171" s="1"/>
  <c r="M837" i="171" a="1"/>
  <c r="M837" i="171" s="1"/>
  <c r="M838" i="171" a="1"/>
  <c r="M838" i="171" s="1"/>
  <c r="M839" i="171" a="1"/>
  <c r="M839" i="171" s="1"/>
  <c r="M840" i="171" a="1"/>
  <c r="M840" i="171" s="1"/>
  <c r="M841" i="171" a="1"/>
  <c r="M841" i="171" s="1"/>
  <c r="M842" i="171" a="1"/>
  <c r="M842" i="171" s="1"/>
  <c r="M843" i="171" a="1"/>
  <c r="M843" i="171" s="1"/>
  <c r="M844" i="171" a="1"/>
  <c r="M844" i="171" s="1"/>
  <c r="M845" i="171" a="1"/>
  <c r="M845" i="171" s="1"/>
  <c r="M846" i="171" a="1"/>
  <c r="M846" i="171" s="1"/>
  <c r="M847" i="171" a="1"/>
  <c r="M847" i="171" s="1"/>
  <c r="M848" i="171" a="1"/>
  <c r="M848" i="171" s="1"/>
  <c r="M849" i="171" a="1"/>
  <c r="M849" i="171" s="1"/>
  <c r="M850" i="171" a="1"/>
  <c r="M850" i="171" s="1"/>
  <c r="M851" i="171" a="1"/>
  <c r="M851" i="171" s="1"/>
  <c r="M852" i="171" a="1"/>
  <c r="M852" i="171" s="1"/>
  <c r="M853" i="171" a="1"/>
  <c r="M853" i="171" s="1"/>
  <c r="M854" i="171" a="1"/>
  <c r="M854" i="171" s="1"/>
  <c r="M855" i="171" a="1"/>
  <c r="M855" i="171" s="1"/>
  <c r="M856" i="171" a="1"/>
  <c r="M856" i="171" s="1"/>
  <c r="M857" i="171" a="1"/>
  <c r="M857" i="171" s="1"/>
  <c r="M858" i="171" a="1"/>
  <c r="M858" i="171" s="1"/>
  <c r="M859" i="171" a="1"/>
  <c r="M859" i="171" s="1"/>
  <c r="M860" i="171" a="1"/>
  <c r="M860" i="171" s="1"/>
  <c r="M861" i="171" a="1"/>
  <c r="M861" i="171" s="1"/>
  <c r="M862" i="171" a="1"/>
  <c r="M862" i="171" s="1"/>
  <c r="M863" i="171" a="1"/>
  <c r="M863" i="171" s="1"/>
  <c r="M864" i="171" a="1"/>
  <c r="M864" i="171" s="1"/>
  <c r="M865" i="171" a="1"/>
  <c r="M865" i="171" s="1"/>
  <c r="M866" i="171" a="1"/>
  <c r="M866" i="171" s="1"/>
  <c r="M867" i="171" a="1"/>
  <c r="M867" i="171" s="1"/>
  <c r="M868" i="171" a="1"/>
  <c r="M868" i="171" s="1"/>
  <c r="M869" i="171" a="1"/>
  <c r="M869" i="171" s="1"/>
  <c r="M870" i="171" a="1"/>
  <c r="M870" i="171" s="1"/>
  <c r="M871" i="171" a="1"/>
  <c r="M871" i="171" s="1"/>
  <c r="M872" i="171" a="1"/>
  <c r="M872" i="171" s="1"/>
  <c r="M873" i="171" a="1"/>
  <c r="M873" i="171" s="1"/>
  <c r="M874" i="171" a="1"/>
  <c r="M874" i="171" s="1"/>
  <c r="M875" i="171" a="1"/>
  <c r="M875" i="171" s="1"/>
  <c r="M876" i="171" a="1"/>
  <c r="M876" i="171" s="1"/>
  <c r="M877" i="171" a="1"/>
  <c r="M877" i="171" s="1"/>
  <c r="M878" i="171" a="1"/>
  <c r="M878" i="171" s="1"/>
  <c r="M879" i="171" a="1"/>
  <c r="M879" i="171" s="1"/>
  <c r="M880" i="171" a="1"/>
  <c r="M880" i="171" s="1"/>
  <c r="M881" i="171" a="1"/>
  <c r="M881" i="171" s="1"/>
  <c r="M882" i="171" a="1"/>
  <c r="M882" i="171" s="1"/>
  <c r="M883" i="171" a="1"/>
  <c r="M883" i="171" s="1"/>
  <c r="M884" i="171" a="1"/>
  <c r="M884" i="171" s="1"/>
  <c r="M885" i="171" a="1"/>
  <c r="M885" i="171" s="1"/>
  <c r="M886" i="171" a="1"/>
  <c r="M886" i="171" s="1"/>
  <c r="M887" i="171" a="1"/>
  <c r="M887" i="171" s="1"/>
  <c r="M888" i="171" a="1"/>
  <c r="M888" i="171" s="1"/>
  <c r="M889" i="171" a="1"/>
  <c r="M889" i="171" s="1"/>
  <c r="M890" i="171" a="1"/>
  <c r="M890" i="171" s="1"/>
  <c r="M891" i="171" a="1"/>
  <c r="M891" i="171" s="1"/>
  <c r="M892" i="171" a="1"/>
  <c r="M892" i="171" s="1"/>
  <c r="M893" i="171" a="1"/>
  <c r="M893" i="171" s="1"/>
  <c r="M894" i="171" a="1"/>
  <c r="M894" i="171" s="1"/>
  <c r="M895" i="171" a="1"/>
  <c r="M895" i="171" s="1"/>
  <c r="M896" i="171" a="1"/>
  <c r="M896" i="171" s="1"/>
  <c r="M897" i="171" a="1"/>
  <c r="M897" i="171" s="1"/>
  <c r="M898" i="171" a="1"/>
  <c r="M898" i="171" s="1"/>
  <c r="M899" i="171" a="1"/>
  <c r="M899" i="171" s="1"/>
  <c r="M900" i="171" a="1"/>
  <c r="M900" i="171" s="1"/>
  <c r="M901" i="171" a="1"/>
  <c r="M901" i="171" s="1"/>
  <c r="M902" i="171" a="1"/>
  <c r="M902" i="171" s="1"/>
  <c r="M903" i="171" a="1"/>
  <c r="M903" i="171" s="1"/>
  <c r="M904" i="171" a="1"/>
  <c r="M904" i="171" s="1"/>
  <c r="M905" i="171" a="1"/>
  <c r="M905" i="171" s="1"/>
  <c r="M906" i="171" a="1"/>
  <c r="M906" i="171" s="1"/>
  <c r="M907" i="171" a="1"/>
  <c r="M907" i="171" s="1"/>
  <c r="M908" i="171" a="1"/>
  <c r="M908" i="171" s="1"/>
  <c r="M909" i="171" a="1"/>
  <c r="M909" i="171" s="1"/>
  <c r="M910" i="171" a="1"/>
  <c r="M910" i="171" s="1"/>
  <c r="M911" i="171" a="1"/>
  <c r="M911" i="171" s="1"/>
  <c r="M912" i="171" a="1"/>
  <c r="M912" i="171" s="1"/>
  <c r="M913" i="171" a="1"/>
  <c r="M913" i="171" s="1"/>
  <c r="M914" i="171" a="1"/>
  <c r="M914" i="171" s="1"/>
  <c r="M915" i="171" a="1"/>
  <c r="M915" i="171" s="1"/>
  <c r="M916" i="171" a="1"/>
  <c r="M916" i="171" s="1"/>
  <c r="M917" i="171" a="1"/>
  <c r="M917" i="171" s="1"/>
  <c r="M918" i="171" a="1"/>
  <c r="M918" i="171" s="1"/>
  <c r="M919" i="171" a="1"/>
  <c r="M919" i="171" s="1"/>
  <c r="M920" i="171" a="1"/>
  <c r="M920" i="171" s="1"/>
  <c r="M921" i="171" a="1"/>
  <c r="M921" i="171" s="1"/>
  <c r="M922" i="171" a="1"/>
  <c r="M922" i="171" s="1"/>
  <c r="M923" i="171" a="1"/>
  <c r="M923" i="171" s="1"/>
  <c r="M924" i="171" a="1"/>
  <c r="M924" i="171" s="1"/>
  <c r="M925" i="171" a="1"/>
  <c r="M925" i="171" s="1"/>
  <c r="M926" i="171" a="1"/>
  <c r="M926" i="171" s="1"/>
  <c r="M927" i="171" a="1"/>
  <c r="M927" i="171" s="1"/>
  <c r="M928" i="171" a="1"/>
  <c r="M928" i="171" s="1"/>
  <c r="M929" i="171" a="1"/>
  <c r="M929" i="171" s="1"/>
  <c r="M930" i="171" a="1"/>
  <c r="M930" i="171" s="1"/>
  <c r="M931" i="171" a="1"/>
  <c r="M931" i="171" s="1"/>
  <c r="M932" i="171" a="1"/>
  <c r="M932" i="171" s="1"/>
  <c r="M933" i="171" a="1"/>
  <c r="M933" i="171" s="1"/>
  <c r="M934" i="171" a="1"/>
  <c r="M934" i="171" s="1"/>
  <c r="M935" i="171" a="1"/>
  <c r="M935" i="171" s="1"/>
  <c r="M936" i="171" a="1"/>
  <c r="M936" i="171" s="1"/>
  <c r="M937" i="171" a="1"/>
  <c r="M937" i="171" s="1"/>
  <c r="M938" i="171" a="1"/>
  <c r="M938" i="171" s="1"/>
  <c r="M939" i="171" a="1"/>
  <c r="M939" i="171" s="1"/>
  <c r="M940" i="171" a="1"/>
  <c r="M940" i="171" s="1"/>
  <c r="M941" i="171" a="1"/>
  <c r="M941" i="171" s="1"/>
  <c r="M942" i="171" a="1"/>
  <c r="M942" i="171" s="1"/>
  <c r="M943" i="171" a="1"/>
  <c r="M943" i="171" s="1"/>
  <c r="M944" i="171" a="1"/>
  <c r="M944" i="171" s="1"/>
  <c r="M945" i="171" a="1"/>
  <c r="M945" i="171" s="1"/>
  <c r="M946" i="171" a="1"/>
  <c r="M946" i="171" s="1"/>
  <c r="M947" i="171" a="1"/>
  <c r="M947" i="171" s="1"/>
  <c r="M948" i="171" a="1"/>
  <c r="M948" i="171" s="1"/>
  <c r="M949" i="171" a="1"/>
  <c r="M949" i="171" s="1"/>
  <c r="M950" i="171" a="1"/>
  <c r="M950" i="171" s="1"/>
  <c r="M951" i="171" a="1"/>
  <c r="M951" i="171" s="1"/>
  <c r="M952" i="171" a="1"/>
  <c r="M952" i="171" s="1"/>
  <c r="M953" i="171" a="1"/>
  <c r="M953" i="171" s="1"/>
  <c r="M954" i="171" a="1"/>
  <c r="M954" i="171" s="1"/>
  <c r="M955" i="171" a="1"/>
  <c r="M955" i="171" s="1"/>
  <c r="M956" i="171" a="1"/>
  <c r="M956" i="171" s="1"/>
  <c r="M957" i="171" a="1"/>
  <c r="M957" i="171" s="1"/>
  <c r="M958" i="171" a="1"/>
  <c r="M958" i="171" s="1"/>
  <c r="M959" i="171" a="1"/>
  <c r="M959" i="171" s="1"/>
  <c r="M960" i="171" a="1"/>
  <c r="M960" i="171" s="1"/>
  <c r="M961" i="171" a="1"/>
  <c r="M961" i="171" s="1"/>
  <c r="M962" i="171" a="1"/>
  <c r="M962" i="171" s="1"/>
  <c r="M963" i="171" a="1"/>
  <c r="M963" i="171" s="1"/>
  <c r="M964" i="171" a="1"/>
  <c r="M964" i="171" s="1"/>
  <c r="M965" i="171" a="1"/>
  <c r="M965" i="171" s="1"/>
  <c r="M966" i="171" a="1"/>
  <c r="M966" i="171" s="1"/>
  <c r="M967" i="171" a="1"/>
  <c r="M967" i="171" s="1"/>
  <c r="M968" i="171" a="1"/>
  <c r="M968" i="171" s="1"/>
  <c r="M969" i="171" a="1"/>
  <c r="M969" i="171" s="1"/>
  <c r="M970" i="171" a="1"/>
  <c r="M970" i="171" s="1"/>
  <c r="M971" i="171" a="1"/>
  <c r="M971" i="171" s="1"/>
  <c r="M972" i="171" a="1"/>
  <c r="M972" i="171" s="1"/>
  <c r="M973" i="171" a="1"/>
  <c r="M973" i="171" s="1"/>
  <c r="M974" i="171" a="1"/>
  <c r="M974" i="171" s="1"/>
  <c r="M975" i="171" a="1"/>
  <c r="M975" i="171" s="1"/>
  <c r="M976" i="171" a="1"/>
  <c r="M976" i="171" s="1"/>
  <c r="M977" i="171" a="1"/>
  <c r="M977" i="171" s="1"/>
  <c r="M978" i="171" a="1"/>
  <c r="M978" i="171" s="1"/>
  <c r="M979" i="171" a="1"/>
  <c r="M979" i="171" s="1"/>
  <c r="M980" i="171" a="1"/>
  <c r="M980" i="171" s="1"/>
  <c r="M981" i="171" a="1"/>
  <c r="M981" i="171" s="1"/>
  <c r="M982" i="171" a="1"/>
  <c r="M982" i="171" s="1"/>
  <c r="M983" i="171" a="1"/>
  <c r="M983" i="171" s="1"/>
  <c r="M984" i="171" a="1"/>
  <c r="M984" i="171" s="1"/>
  <c r="M985" i="171" a="1"/>
  <c r="M985" i="171" s="1"/>
  <c r="M986" i="171" a="1"/>
  <c r="M986" i="171" s="1"/>
  <c r="M987" i="171" a="1"/>
  <c r="M987" i="171" s="1"/>
  <c r="M988" i="171" a="1"/>
  <c r="M988" i="171" s="1"/>
  <c r="M989" i="171" a="1"/>
  <c r="M989" i="171" s="1"/>
  <c r="M990" i="171" a="1"/>
  <c r="M990" i="171" s="1"/>
  <c r="M991" i="171" a="1"/>
  <c r="M991" i="171" s="1"/>
  <c r="M992" i="171" a="1"/>
  <c r="M992" i="171" s="1"/>
  <c r="M993" i="171" a="1"/>
  <c r="M993" i="171" s="1"/>
  <c r="M994" i="171" a="1"/>
  <c r="M994" i="171" s="1"/>
  <c r="M995" i="171" a="1"/>
  <c r="M995" i="171" s="1"/>
  <c r="M996" i="171" a="1"/>
  <c r="M996" i="171" s="1"/>
  <c r="M997" i="171" a="1"/>
  <c r="M997" i="171" s="1"/>
  <c r="M998" i="171" a="1"/>
  <c r="M998" i="171" s="1"/>
  <c r="M999" i="171" a="1"/>
  <c r="M999" i="171" s="1"/>
  <c r="M1000" i="171" a="1"/>
  <c r="M1000" i="171" s="1"/>
  <c r="M1001" i="171" a="1"/>
  <c r="M1001" i="171" s="1"/>
  <c r="M1002" i="171" a="1"/>
  <c r="M1002" i="171" s="1"/>
  <c r="M1003" i="171" a="1"/>
  <c r="M1003" i="171" s="1"/>
  <c r="M1004" i="171" a="1"/>
  <c r="M1004" i="171" s="1"/>
  <c r="M1005" i="171" a="1"/>
  <c r="M1005" i="171" s="1"/>
  <c r="M1006" i="171" a="1"/>
  <c r="M1006" i="171" s="1"/>
  <c r="M1007" i="171" a="1"/>
  <c r="M1007" i="171" s="1"/>
  <c r="M1008" i="171" a="1"/>
  <c r="M1008" i="171" s="1"/>
  <c r="M1009" i="171" a="1"/>
  <c r="M1009" i="171" s="1"/>
  <c r="M1010" i="171" a="1"/>
  <c r="M1010" i="171" s="1"/>
  <c r="M1011" i="171" a="1"/>
  <c r="M1011" i="171" s="1"/>
  <c r="M1012" i="171" a="1"/>
  <c r="M1012" i="171" s="1"/>
  <c r="M1013" i="171" a="1"/>
  <c r="M1013" i="171" s="1"/>
  <c r="M1014" i="171" a="1"/>
  <c r="M1014" i="171" s="1"/>
  <c r="M1015" i="171" a="1"/>
  <c r="M1015" i="171" s="1"/>
  <c r="M1016" i="171" a="1"/>
  <c r="M1016" i="171" s="1"/>
  <c r="M1017" i="171" a="1"/>
  <c r="M1017" i="171" s="1"/>
  <c r="M1018" i="171" a="1"/>
  <c r="M1018" i="171" s="1"/>
  <c r="M1019" i="171" a="1"/>
  <c r="M1019" i="171" s="1"/>
  <c r="M1020" i="171" a="1"/>
  <c r="M1020" i="171" s="1"/>
  <c r="M1021" i="171" a="1"/>
  <c r="M1021" i="171" s="1"/>
  <c r="M1022" i="171" a="1"/>
  <c r="M1022" i="171" s="1"/>
  <c r="M1023" i="171" a="1"/>
  <c r="M1023" i="171" s="1"/>
  <c r="M1024" i="171" a="1"/>
  <c r="M1024" i="171" s="1"/>
  <c r="M1025" i="171" a="1"/>
  <c r="M1025" i="171" s="1"/>
  <c r="M1026" i="171" a="1"/>
  <c r="M1026" i="171" s="1"/>
  <c r="M1027" i="171" a="1"/>
  <c r="M1027" i="171" s="1"/>
  <c r="M1028" i="171" a="1"/>
  <c r="M1028" i="171" s="1"/>
  <c r="M1029" i="171" a="1"/>
  <c r="M1029" i="171" s="1"/>
  <c r="M1030" i="171" a="1"/>
  <c r="M1030" i="171" s="1"/>
  <c r="M1031" i="171" a="1"/>
  <c r="M1031" i="171" s="1"/>
  <c r="M1032" i="171" a="1"/>
  <c r="M1032" i="171" s="1"/>
  <c r="M1033" i="171" a="1"/>
  <c r="M1033" i="171" s="1"/>
  <c r="M1034" i="171" a="1"/>
  <c r="M1034" i="171" s="1"/>
  <c r="M1035" i="171" a="1"/>
  <c r="M1035" i="171" s="1"/>
  <c r="M1036" i="171" a="1"/>
  <c r="M1036" i="171" s="1"/>
  <c r="M1037" i="171" a="1"/>
  <c r="M1037" i="171" s="1"/>
  <c r="M1038" i="171" a="1"/>
  <c r="M1038" i="171" s="1"/>
  <c r="M1039" i="171" a="1"/>
  <c r="M1039" i="171" s="1"/>
  <c r="M1040" i="171" a="1"/>
  <c r="M1040" i="171" s="1"/>
  <c r="M1041" i="171" a="1"/>
  <c r="M1041" i="171" s="1"/>
  <c r="M1042" i="171" a="1"/>
  <c r="M1042" i="171" s="1"/>
  <c r="M1043" i="171" a="1"/>
  <c r="M1043" i="171" s="1"/>
  <c r="M1044" i="171" a="1"/>
  <c r="M1044" i="171" s="1"/>
  <c r="M1045" i="171" a="1"/>
  <c r="M1045" i="171" s="1"/>
  <c r="M1046" i="171" a="1"/>
  <c r="M1046" i="171" s="1"/>
  <c r="M1047" i="171" a="1"/>
  <c r="M1047" i="171" s="1"/>
  <c r="M1048" i="171" a="1"/>
  <c r="M1048" i="171" s="1"/>
  <c r="M1049" i="171" a="1"/>
  <c r="M1049" i="171" s="1"/>
  <c r="M1050" i="171" a="1"/>
  <c r="M1050" i="171" s="1"/>
  <c r="M1051" i="171" a="1"/>
  <c r="M1051" i="171" s="1"/>
  <c r="M1052" i="171" a="1"/>
  <c r="M1052" i="171" s="1"/>
  <c r="M1053" i="171" a="1"/>
  <c r="M1053" i="171" s="1"/>
  <c r="M1054" i="171" a="1"/>
  <c r="M1054" i="171" s="1"/>
  <c r="M1055" i="171" a="1"/>
  <c r="M1055" i="171" s="1"/>
  <c r="M1056" i="171" a="1"/>
  <c r="M1056" i="171" s="1"/>
  <c r="M1057" i="171" a="1"/>
  <c r="M1057" i="171" s="1"/>
  <c r="M1058" i="171" a="1"/>
  <c r="M1058" i="171" s="1"/>
  <c r="M1059" i="171" a="1"/>
  <c r="M1059" i="171" s="1"/>
  <c r="M1060" i="171" a="1"/>
  <c r="M1060" i="171" s="1"/>
  <c r="M1061" i="171" a="1"/>
  <c r="M1061" i="171" s="1"/>
  <c r="M1062" i="171" a="1"/>
  <c r="M1062" i="171" s="1"/>
  <c r="M1063" i="171" a="1"/>
  <c r="M1063" i="171" s="1"/>
  <c r="M1064" i="171" a="1"/>
  <c r="M1064" i="171" s="1"/>
  <c r="M1065" i="171" a="1"/>
  <c r="M1065" i="171" s="1"/>
  <c r="M1066" i="171" a="1"/>
  <c r="M1066" i="171" s="1"/>
  <c r="M1067" i="171" a="1"/>
  <c r="M1067" i="171" s="1"/>
  <c r="M1068" i="171" a="1"/>
  <c r="M1068" i="171" s="1"/>
  <c r="M1069" i="171" a="1"/>
  <c r="M1069" i="171" s="1"/>
  <c r="M1070" i="171" a="1"/>
  <c r="M1070" i="171" s="1"/>
  <c r="M1071" i="171" a="1"/>
  <c r="M1071" i="171" s="1"/>
  <c r="M1072" i="171" a="1"/>
  <c r="M1072" i="171" s="1"/>
  <c r="M1073" i="171" a="1"/>
  <c r="M1073" i="171" s="1"/>
  <c r="M1074" i="171" a="1"/>
  <c r="M1074" i="171" s="1"/>
  <c r="M1075" i="171" a="1"/>
  <c r="M1075" i="171" s="1"/>
  <c r="M1076" i="171" a="1"/>
  <c r="M1076" i="171" s="1"/>
  <c r="M1077" i="171" a="1"/>
  <c r="M1077" i="171" s="1"/>
  <c r="M1078" i="171" a="1"/>
  <c r="M1078" i="171" s="1"/>
  <c r="M1079" i="171" a="1"/>
  <c r="M1079" i="171" s="1"/>
  <c r="M1080" i="171" a="1"/>
  <c r="M1080" i="171" s="1"/>
  <c r="M1081" i="171" a="1"/>
  <c r="M1081" i="171" s="1"/>
  <c r="M1082" i="171" a="1"/>
  <c r="M1082" i="171" s="1"/>
  <c r="M1083" i="171" a="1"/>
  <c r="M1083" i="171" s="1"/>
  <c r="M1084" i="171" a="1"/>
  <c r="M1084" i="171" s="1"/>
  <c r="M1085" i="171" a="1"/>
  <c r="M1085" i="171" s="1"/>
  <c r="M1086" i="171" a="1"/>
  <c r="M1086" i="171" s="1"/>
  <c r="M1087" i="171" a="1"/>
  <c r="M1087" i="171" s="1"/>
  <c r="M1088" i="171" a="1"/>
  <c r="M1088" i="171" s="1"/>
  <c r="M1089" i="171" a="1"/>
  <c r="M1089" i="171" s="1"/>
  <c r="M1090" i="171" a="1"/>
  <c r="M1090" i="171" s="1"/>
  <c r="M1091" i="171" a="1"/>
  <c r="M1091" i="171" s="1"/>
  <c r="M1092" i="171" a="1"/>
  <c r="M1092" i="171" s="1"/>
  <c r="M1093" i="171" a="1"/>
  <c r="M1093" i="171" s="1"/>
  <c r="M1094" i="171" a="1"/>
  <c r="M1094" i="171" s="1"/>
  <c r="M1095" i="171" a="1"/>
  <c r="M1095" i="171" s="1"/>
  <c r="M1096" i="171" a="1"/>
  <c r="M1096" i="171" s="1"/>
  <c r="M1097" i="171" a="1"/>
  <c r="M1097" i="171" s="1"/>
  <c r="M1098" i="171" a="1"/>
  <c r="M1098" i="171" s="1"/>
  <c r="M1099" i="171" a="1"/>
  <c r="M1099" i="171" s="1"/>
  <c r="M1100" i="171" a="1"/>
  <c r="M1100" i="171" s="1"/>
  <c r="M1101" i="171" a="1"/>
  <c r="M1101" i="171" s="1"/>
  <c r="M1102" i="171" a="1"/>
  <c r="M1102" i="171" s="1"/>
  <c r="M1103" i="171" a="1"/>
  <c r="M1103" i="171" s="1"/>
  <c r="M1104" i="171" a="1"/>
  <c r="M1104" i="171" s="1"/>
  <c r="M1105" i="171" a="1"/>
  <c r="M1105" i="171" s="1"/>
  <c r="M1106" i="171" a="1"/>
  <c r="M1106" i="171" s="1"/>
  <c r="M1107" i="171" a="1"/>
  <c r="M1107" i="171" s="1"/>
  <c r="M1108" i="171" a="1"/>
  <c r="M1108" i="171" s="1"/>
  <c r="M1109" i="171" a="1"/>
  <c r="M1109" i="171" s="1"/>
  <c r="M1110" i="171" a="1"/>
  <c r="M1110" i="171" s="1"/>
  <c r="M1111" i="171" a="1"/>
  <c r="M1111" i="171" s="1"/>
  <c r="M1112" i="171" a="1"/>
  <c r="M1112" i="171" s="1"/>
  <c r="M1113" i="171" a="1"/>
  <c r="M1113" i="171" s="1"/>
  <c r="M1114" i="171" a="1"/>
  <c r="M1114" i="171" s="1"/>
  <c r="M1115" i="171" a="1"/>
  <c r="M1115" i="171" s="1"/>
  <c r="M1116" i="171" a="1"/>
  <c r="M1116" i="171" s="1"/>
  <c r="M1117" i="171" a="1"/>
  <c r="M1117" i="171" s="1"/>
  <c r="M1118" i="171" a="1"/>
  <c r="M1118" i="171" s="1"/>
  <c r="M1119" i="171" a="1"/>
  <c r="M1119" i="171" s="1"/>
  <c r="M1120" i="171" a="1"/>
  <c r="M1120" i="171" s="1"/>
  <c r="M1121" i="171" a="1"/>
  <c r="M1121" i="171" s="1"/>
  <c r="M1122" i="171" a="1"/>
  <c r="M1122" i="171" s="1"/>
  <c r="M1123" i="171" a="1"/>
  <c r="M1123" i="171" s="1"/>
  <c r="M1124" i="171" a="1"/>
  <c r="M1124" i="171" s="1"/>
  <c r="M1125" i="171" a="1"/>
  <c r="M1125" i="171" s="1"/>
  <c r="M1126" i="171" a="1"/>
  <c r="M1126" i="171" s="1"/>
  <c r="M1127" i="171" a="1"/>
  <c r="M1127" i="171" s="1"/>
  <c r="M1128" i="171" a="1"/>
  <c r="M1128" i="171" s="1"/>
  <c r="M1129" i="171" a="1"/>
  <c r="M1129" i="171" s="1"/>
  <c r="M1130" i="171" a="1"/>
  <c r="M1130" i="171" s="1"/>
  <c r="M1131" i="171" a="1"/>
  <c r="M1131" i="171" s="1"/>
  <c r="M1132" i="171" a="1"/>
  <c r="M1132" i="171" s="1"/>
  <c r="M1133" i="171" a="1"/>
  <c r="M1133" i="171" s="1"/>
  <c r="M1134" i="171" a="1"/>
  <c r="M1134" i="171" s="1"/>
  <c r="M1135" i="171" a="1"/>
  <c r="M1135" i="171" s="1"/>
  <c r="M1136" i="171" a="1"/>
  <c r="M1136" i="171" s="1"/>
  <c r="M1137" i="171" a="1"/>
  <c r="M1137" i="171" s="1"/>
  <c r="M1138" i="171" a="1"/>
  <c r="M1138" i="171" s="1"/>
  <c r="M1139" i="171" a="1"/>
  <c r="M1139" i="171" s="1"/>
  <c r="M1140" i="171" a="1"/>
  <c r="M1140" i="171" s="1"/>
  <c r="M1141" i="171" a="1"/>
  <c r="M1141" i="171" s="1"/>
  <c r="M1142" i="171" a="1"/>
  <c r="M1142" i="171" s="1"/>
  <c r="M1143" i="171" a="1"/>
  <c r="M1143" i="171" s="1"/>
  <c r="M1144" i="171" a="1"/>
  <c r="M1144" i="171" s="1"/>
  <c r="M1145" i="171" a="1"/>
  <c r="M1145" i="171" s="1"/>
  <c r="M1146" i="171" a="1"/>
  <c r="M1146" i="171" s="1"/>
  <c r="M1147" i="171" a="1"/>
  <c r="M1147" i="171" s="1"/>
  <c r="M1148" i="171" a="1"/>
  <c r="M1148" i="171" s="1"/>
  <c r="M1149" i="171" a="1"/>
  <c r="M1149" i="171" s="1"/>
  <c r="M1150" i="171" a="1"/>
  <c r="M1150" i="171" s="1"/>
  <c r="M1151" i="171" a="1"/>
  <c r="M1151" i="171" s="1"/>
  <c r="M1152" i="171" a="1"/>
  <c r="M1152" i="171" s="1"/>
  <c r="M1153" i="171" a="1"/>
  <c r="M1153" i="171" s="1"/>
  <c r="M1154" i="171" a="1"/>
  <c r="M1154" i="171" s="1"/>
  <c r="M1155" i="171" a="1"/>
  <c r="M1155" i="171" s="1"/>
  <c r="M1156" i="171" a="1"/>
  <c r="M1156" i="171" s="1"/>
  <c r="M1157" i="171" a="1"/>
  <c r="M1157" i="171" s="1"/>
  <c r="M1158" i="171" a="1"/>
  <c r="M1158" i="171" s="1"/>
  <c r="M1159" i="171" a="1"/>
  <c r="M1159" i="171" s="1"/>
  <c r="M1160" i="171" a="1"/>
  <c r="M1160" i="171" s="1"/>
  <c r="M1161" i="171" a="1"/>
  <c r="M1161" i="171" s="1"/>
  <c r="M1162" i="171" a="1"/>
  <c r="M1162" i="171" s="1"/>
  <c r="M1163" i="171" a="1"/>
  <c r="M1163" i="171" s="1"/>
  <c r="M1164" i="171" a="1"/>
  <c r="M1164" i="171" s="1"/>
  <c r="M1165" i="171" a="1"/>
  <c r="M1165" i="171" s="1"/>
  <c r="M1166" i="171" a="1"/>
  <c r="M1166" i="171" s="1"/>
  <c r="M1167" i="171" a="1"/>
  <c r="M1167" i="171" s="1"/>
  <c r="M1168" i="171" a="1"/>
  <c r="M1168" i="171" s="1"/>
  <c r="M1169" i="171" a="1"/>
  <c r="M1169" i="171" s="1"/>
  <c r="M1170" i="171" a="1"/>
  <c r="M1170" i="171" s="1"/>
  <c r="M1171" i="171" a="1"/>
  <c r="M1171" i="171" s="1"/>
  <c r="M1172" i="171" a="1"/>
  <c r="M1172" i="171" s="1"/>
  <c r="M1173" i="171" a="1"/>
  <c r="M1173" i="171" s="1"/>
  <c r="M1174" i="171" a="1"/>
  <c r="M1174" i="171" s="1"/>
  <c r="M1175" i="171" a="1"/>
  <c r="M1175" i="171" s="1"/>
  <c r="M1176" i="171" a="1"/>
  <c r="M1176" i="171" s="1"/>
  <c r="M1177" i="171" a="1"/>
  <c r="M1177" i="171" s="1"/>
  <c r="M1178" i="171" a="1"/>
  <c r="M1178" i="171" s="1"/>
  <c r="M1179" i="171" a="1"/>
  <c r="M1179" i="171" s="1"/>
  <c r="M1180" i="171" a="1"/>
  <c r="M1180" i="171" s="1"/>
  <c r="M1181" i="171" a="1"/>
  <c r="M1181" i="171" s="1"/>
  <c r="M1182" i="171" a="1"/>
  <c r="M1182" i="171" s="1"/>
  <c r="M1183" i="171" a="1"/>
  <c r="M1183" i="171" s="1"/>
  <c r="M1184" i="171" a="1"/>
  <c r="M1184" i="171" s="1"/>
  <c r="M1185" i="171" a="1"/>
  <c r="M1185" i="171" s="1"/>
  <c r="M1186" i="171" a="1"/>
  <c r="M1186" i="171" s="1"/>
  <c r="M1187" i="171" a="1"/>
  <c r="M1187" i="171" s="1"/>
  <c r="M1188" i="171" a="1"/>
  <c r="M1188" i="171" s="1"/>
  <c r="M1189" i="171" a="1"/>
  <c r="M1189" i="171" s="1"/>
  <c r="M1190" i="171" a="1"/>
  <c r="M1190" i="171" s="1"/>
  <c r="M1191" i="171" a="1"/>
  <c r="M1191" i="171" s="1"/>
  <c r="M1192" i="171" a="1"/>
  <c r="M1192" i="171" s="1"/>
  <c r="M1193" i="171" a="1"/>
  <c r="M1193" i="171" s="1"/>
  <c r="M1194" i="171" a="1"/>
  <c r="M1194" i="171" s="1"/>
  <c r="M1195" i="171" a="1"/>
  <c r="M1195" i="171" s="1"/>
  <c r="M1196" i="171" a="1"/>
  <c r="M1196" i="171" s="1"/>
  <c r="M1197" i="171" a="1"/>
  <c r="M1197" i="171" s="1"/>
  <c r="M1198" i="171" a="1"/>
  <c r="M1198" i="171" s="1"/>
  <c r="M56" i="171" a="1"/>
  <c r="M56" i="171" s="1"/>
  <c r="L56" i="171" a="1"/>
  <c r="L56" i="171" s="1"/>
  <c r="AG7" i="172" l="1"/>
  <c r="AF7" i="172"/>
  <c r="AG5" i="172"/>
  <c r="AF5" i="172"/>
  <c r="AG6" i="172"/>
  <c r="AF6" i="172"/>
  <c r="AB7" i="172"/>
  <c r="AD10" i="172"/>
  <c r="AA10" i="172"/>
  <c r="AC12" i="172"/>
  <c r="Z12" i="172"/>
  <c r="AA994" i="172"/>
  <c r="AD994" i="172"/>
  <c r="AD986" i="172"/>
  <c r="AA986" i="172"/>
  <c r="AD978" i="172"/>
  <c r="AA978" i="172"/>
  <c r="AA970" i="172"/>
  <c r="AD970" i="172"/>
  <c r="AD962" i="172"/>
  <c r="AA962" i="172"/>
  <c r="AD954" i="172"/>
  <c r="AA954" i="172"/>
  <c r="AA946" i="172"/>
  <c r="AD946" i="172"/>
  <c r="AD938" i="172"/>
  <c r="AA938" i="172"/>
  <c r="AD930" i="172"/>
  <c r="AA930" i="172"/>
  <c r="AA925" i="172"/>
  <c r="AD925" i="172"/>
  <c r="AD995" i="172"/>
  <c r="AA995" i="172"/>
  <c r="AD987" i="172"/>
  <c r="AA987" i="172"/>
  <c r="AD979" i="172"/>
  <c r="AA979" i="172"/>
  <c r="AD971" i="172"/>
  <c r="AA971" i="172"/>
  <c r="AA963" i="172"/>
  <c r="AD963" i="172"/>
  <c r="AA955" i="172"/>
  <c r="AD955" i="172"/>
  <c r="AA947" i="172"/>
  <c r="AD947" i="172"/>
  <c r="AA939" i="172"/>
  <c r="AD939" i="172"/>
  <c r="AA931" i="172"/>
  <c r="AD931" i="172"/>
  <c r="AD921" i="172"/>
  <c r="AA921" i="172"/>
  <c r="AA859" i="172"/>
  <c r="AD859" i="172"/>
  <c r="AD851" i="172"/>
  <c r="AA851" i="172"/>
  <c r="AD839" i="172"/>
  <c r="AA839" i="172"/>
  <c r="AD821" i="172"/>
  <c r="AA821" i="172"/>
  <c r="AD808" i="172"/>
  <c r="AA808" i="172"/>
  <c r="AA790" i="172"/>
  <c r="AD790" i="172"/>
  <c r="AD760" i="172"/>
  <c r="AA760" i="172"/>
  <c r="AD721" i="172"/>
  <c r="AA721" i="172"/>
  <c r="AD670" i="172"/>
  <c r="AA670" i="172"/>
  <c r="AD569" i="172"/>
  <c r="AA569" i="172"/>
  <c r="AD530" i="172"/>
  <c r="AA530" i="172"/>
  <c r="AD466" i="172"/>
  <c r="AA466" i="172"/>
  <c r="AA429" i="172"/>
  <c r="AD429" i="172"/>
  <c r="AD365" i="172"/>
  <c r="AA365" i="172"/>
  <c r="AA296" i="172"/>
  <c r="AD296" i="172"/>
  <c r="AD922" i="172"/>
  <c r="AA922" i="172"/>
  <c r="AA914" i="172"/>
  <c r="AD914" i="172"/>
  <c r="AD906" i="172"/>
  <c r="AA906" i="172"/>
  <c r="AD898" i="172"/>
  <c r="AA898" i="172"/>
  <c r="AA890" i="172"/>
  <c r="AD890" i="172"/>
  <c r="AD882" i="172"/>
  <c r="AA882" i="172"/>
  <c r="AA874" i="172"/>
  <c r="AD874" i="172"/>
  <c r="AD866" i="172"/>
  <c r="AA866" i="172"/>
  <c r="AA830" i="172"/>
  <c r="AD830" i="172"/>
  <c r="AD819" i="172"/>
  <c r="AA819" i="172"/>
  <c r="AA792" i="172"/>
  <c r="AD792" i="172"/>
  <c r="AD773" i="172"/>
  <c r="AA773" i="172"/>
  <c r="AD731" i="172"/>
  <c r="AA731" i="172"/>
  <c r="AD674" i="172"/>
  <c r="AA674" i="172"/>
  <c r="AA590" i="172"/>
  <c r="AD590" i="172"/>
  <c r="AA551" i="172"/>
  <c r="AD551" i="172"/>
  <c r="AA433" i="172"/>
  <c r="AD433" i="172"/>
  <c r="AA369" i="172"/>
  <c r="AD369" i="172"/>
  <c r="AD305" i="172"/>
  <c r="AA305" i="172"/>
  <c r="AA858" i="172"/>
  <c r="AD858" i="172"/>
  <c r="AD850" i="172"/>
  <c r="AA850" i="172"/>
  <c r="AA834" i="172"/>
  <c r="AD834" i="172"/>
  <c r="AD820" i="172"/>
  <c r="AA820" i="172"/>
  <c r="AA794" i="172"/>
  <c r="AD794" i="172"/>
  <c r="AA735" i="172"/>
  <c r="AD735" i="172"/>
  <c r="AD684" i="172"/>
  <c r="AA684" i="172"/>
  <c r="AA599" i="172"/>
  <c r="AD599" i="172"/>
  <c r="AD555" i="172"/>
  <c r="AA555" i="172"/>
  <c r="AA448" i="172"/>
  <c r="AD448" i="172"/>
  <c r="AD389" i="172"/>
  <c r="AA389" i="172"/>
  <c r="AA325" i="172"/>
  <c r="AD325" i="172"/>
  <c r="AA283" i="172"/>
  <c r="AD283" i="172"/>
  <c r="AA911" i="172"/>
  <c r="AD911" i="172"/>
  <c r="AA903" i="172"/>
  <c r="AD903" i="172"/>
  <c r="AA895" i="172"/>
  <c r="AD895" i="172"/>
  <c r="AA887" i="172"/>
  <c r="AD887" i="172"/>
  <c r="AD879" i="172"/>
  <c r="AA879" i="172"/>
  <c r="AA871" i="172"/>
  <c r="AD871" i="172"/>
  <c r="AA846" i="172"/>
  <c r="AD846" i="172"/>
  <c r="AD835" i="172"/>
  <c r="AA835" i="172"/>
  <c r="AD817" i="172"/>
  <c r="AA817" i="172"/>
  <c r="AA802" i="172"/>
  <c r="AD802" i="172"/>
  <c r="AD787" i="172"/>
  <c r="AA787" i="172"/>
  <c r="AD768" i="172"/>
  <c r="AA768" i="172"/>
  <c r="AD660" i="172"/>
  <c r="AA660" i="172"/>
  <c r="AD626" i="172"/>
  <c r="AA626" i="172"/>
  <c r="AD489" i="172"/>
  <c r="AA489" i="172"/>
  <c r="AA425" i="172"/>
  <c r="AD425" i="172"/>
  <c r="AA361" i="172"/>
  <c r="AD361" i="172"/>
  <c r="AD291" i="172"/>
  <c r="AA291" i="172"/>
  <c r="AA172" i="172"/>
  <c r="AD172" i="172"/>
  <c r="AA128" i="172"/>
  <c r="AD128" i="172"/>
  <c r="AA85" i="172"/>
  <c r="AD85" i="172"/>
  <c r="AA62" i="172"/>
  <c r="AD62" i="172"/>
  <c r="AD745" i="172"/>
  <c r="AA745" i="172"/>
  <c r="AA729" i="172"/>
  <c r="AD729" i="172"/>
  <c r="AD711" i="172"/>
  <c r="AA711" i="172"/>
  <c r="AD694" i="172"/>
  <c r="AA694" i="172"/>
  <c r="AD685" i="172"/>
  <c r="AA685" i="172"/>
  <c r="AD672" i="172"/>
  <c r="AA672" i="172"/>
  <c r="AD651" i="172"/>
  <c r="AA651" i="172"/>
  <c r="AA640" i="172"/>
  <c r="AD640" i="172"/>
  <c r="AD627" i="172"/>
  <c r="AA627" i="172"/>
  <c r="AA614" i="172"/>
  <c r="AD614" i="172"/>
  <c r="AA591" i="172"/>
  <c r="AD591" i="172"/>
  <c r="AD576" i="172"/>
  <c r="AA576" i="172"/>
  <c r="AD559" i="172"/>
  <c r="AA559" i="172"/>
  <c r="AA544" i="172"/>
  <c r="AD544" i="172"/>
  <c r="AA527" i="172"/>
  <c r="AD527" i="172"/>
  <c r="AA519" i="172"/>
  <c r="AD519" i="172"/>
  <c r="AD511" i="172"/>
  <c r="AA511" i="172"/>
  <c r="AD503" i="172"/>
  <c r="AA503" i="172"/>
  <c r="AA493" i="172"/>
  <c r="AD493" i="172"/>
  <c r="AD478" i="172"/>
  <c r="AA478" i="172"/>
  <c r="AA454" i="172"/>
  <c r="AD454" i="172"/>
  <c r="AA435" i="172"/>
  <c r="AD435" i="172"/>
  <c r="AA426" i="172"/>
  <c r="AD426" i="172"/>
  <c r="AA416" i="172"/>
  <c r="AD416" i="172"/>
  <c r="AD403" i="172"/>
  <c r="AA403" i="172"/>
  <c r="AA394" i="172"/>
  <c r="AD394" i="172"/>
  <c r="AA384" i="172"/>
  <c r="AD384" i="172"/>
  <c r="AD371" i="172"/>
  <c r="AA371" i="172"/>
  <c r="AA362" i="172"/>
  <c r="AD362" i="172"/>
  <c r="AA352" i="172"/>
  <c r="AD352" i="172"/>
  <c r="AD339" i="172"/>
  <c r="AA339" i="172"/>
  <c r="AD330" i="172"/>
  <c r="AA330" i="172"/>
  <c r="AD320" i="172"/>
  <c r="AA320" i="172"/>
  <c r="AA307" i="172"/>
  <c r="AD307" i="172"/>
  <c r="AA284" i="172"/>
  <c r="AD284" i="172"/>
  <c r="AD273" i="172"/>
  <c r="AA273" i="172"/>
  <c r="AA264" i="172"/>
  <c r="AD264" i="172"/>
  <c r="AD249" i="172"/>
  <c r="AA249" i="172"/>
  <c r="AA213" i="172"/>
  <c r="AD213" i="172"/>
  <c r="AA176" i="172"/>
  <c r="AD176" i="172"/>
  <c r="AA106" i="172"/>
  <c r="AD106" i="172"/>
  <c r="AA73" i="172"/>
  <c r="AD73" i="172"/>
  <c r="AD38" i="172"/>
  <c r="AA38" i="172"/>
  <c r="AA793" i="172"/>
  <c r="AD793" i="172"/>
  <c r="AA780" i="172"/>
  <c r="AD780" i="172"/>
  <c r="AA770" i="172"/>
  <c r="AD770" i="172"/>
  <c r="AA753" i="172"/>
  <c r="AD753" i="172"/>
  <c r="AD737" i="172"/>
  <c r="AA737" i="172"/>
  <c r="AA719" i="172"/>
  <c r="AD719" i="172"/>
  <c r="AD705" i="172"/>
  <c r="AA705" i="172"/>
  <c r="AD689" i="172"/>
  <c r="AA689" i="172"/>
  <c r="AD673" i="172"/>
  <c r="AA673" i="172"/>
  <c r="AA655" i="172"/>
  <c r="AD655" i="172"/>
  <c r="AA641" i="172"/>
  <c r="AD641" i="172"/>
  <c r="AA615" i="172"/>
  <c r="AD615" i="172"/>
  <c r="AA601" i="172"/>
  <c r="AD601" i="172"/>
  <c r="AA593" i="172"/>
  <c r="AD593" i="172"/>
  <c r="AA585" i="172"/>
  <c r="AD585" i="172"/>
  <c r="AD571" i="172"/>
  <c r="AA571" i="172"/>
  <c r="AD553" i="172"/>
  <c r="AA553" i="172"/>
  <c r="AD539" i="172"/>
  <c r="AA539" i="172"/>
  <c r="AA491" i="172"/>
  <c r="AD491" i="172"/>
  <c r="AD468" i="172"/>
  <c r="AA468" i="172"/>
  <c r="AA452" i="172"/>
  <c r="AD452" i="172"/>
  <c r="AD422" i="172"/>
  <c r="AA422" i="172"/>
  <c r="AA390" i="172"/>
  <c r="AD390" i="172"/>
  <c r="AD358" i="172"/>
  <c r="AA358" i="172"/>
  <c r="AA326" i="172"/>
  <c r="AD326" i="172"/>
  <c r="AA300" i="172"/>
  <c r="AD300" i="172"/>
  <c r="AD271" i="172"/>
  <c r="AA271" i="172"/>
  <c r="AA250" i="172"/>
  <c r="AD250" i="172"/>
  <c r="AD232" i="172"/>
  <c r="AA232" i="172"/>
  <c r="AD136" i="172"/>
  <c r="AA136" i="172"/>
  <c r="AA54" i="172"/>
  <c r="AD54" i="172"/>
  <c r="AA15" i="172"/>
  <c r="AD15" i="172"/>
  <c r="AD791" i="172"/>
  <c r="AA791" i="172"/>
  <c r="AD762" i="172"/>
  <c r="AA762" i="172"/>
  <c r="AA751" i="172"/>
  <c r="AD751" i="172"/>
  <c r="AA741" i="172"/>
  <c r="AD741" i="172"/>
  <c r="AA724" i="172"/>
  <c r="AD724" i="172"/>
  <c r="AD710" i="172"/>
  <c r="AA710" i="172"/>
  <c r="AD687" i="172"/>
  <c r="AA687" i="172"/>
  <c r="AD667" i="172"/>
  <c r="AA667" i="172"/>
  <c r="AA656" i="172"/>
  <c r="AD656" i="172"/>
  <c r="AD635" i="172"/>
  <c r="AA635" i="172"/>
  <c r="AD628" i="172"/>
  <c r="AA628" i="172"/>
  <c r="AD612" i="172"/>
  <c r="AA612" i="172"/>
  <c r="AA598" i="172"/>
  <c r="AD598" i="172"/>
  <c r="AD575" i="172"/>
  <c r="AA575" i="172"/>
  <c r="AD560" i="172"/>
  <c r="AA560" i="172"/>
  <c r="AD543" i="172"/>
  <c r="AA543" i="172"/>
  <c r="AD528" i="172"/>
  <c r="AA528" i="172"/>
  <c r="AA521" i="172"/>
  <c r="AD521" i="172"/>
  <c r="AD513" i="172"/>
  <c r="AA513" i="172"/>
  <c r="AD505" i="172"/>
  <c r="AA505" i="172"/>
  <c r="AD497" i="172"/>
  <c r="AA497" i="172"/>
  <c r="AD480" i="172"/>
  <c r="AA480" i="172"/>
  <c r="AA469" i="172"/>
  <c r="AD469" i="172"/>
  <c r="AD453" i="172"/>
  <c r="AA453" i="172"/>
  <c r="AA439" i="172"/>
  <c r="AD439" i="172"/>
  <c r="AD423" i="172"/>
  <c r="AA423" i="172"/>
  <c r="AA407" i="172"/>
  <c r="AD407" i="172"/>
  <c r="AA391" i="172"/>
  <c r="AD391" i="172"/>
  <c r="AA375" i="172"/>
  <c r="AD375" i="172"/>
  <c r="AD359" i="172"/>
  <c r="AA359" i="172"/>
  <c r="AA343" i="172"/>
  <c r="AD343" i="172"/>
  <c r="AA327" i="172"/>
  <c r="AD327" i="172"/>
  <c r="AA311" i="172"/>
  <c r="AD311" i="172"/>
  <c r="AA293" i="172"/>
  <c r="AD293" i="172"/>
  <c r="AA286" i="172"/>
  <c r="AD286" i="172"/>
  <c r="AD276" i="172"/>
  <c r="AA276" i="172"/>
  <c r="AD266" i="172"/>
  <c r="AA266" i="172"/>
  <c r="AD259" i="172"/>
  <c r="AA259" i="172"/>
  <c r="AD231" i="172"/>
  <c r="AA231" i="172"/>
  <c r="AD157" i="172"/>
  <c r="AA157" i="172"/>
  <c r="AA30" i="172"/>
  <c r="AD30" i="172"/>
  <c r="AA210" i="172"/>
  <c r="AD210" i="172"/>
  <c r="AD201" i="172"/>
  <c r="AA201" i="172"/>
  <c r="AD174" i="172"/>
  <c r="AA174" i="172"/>
  <c r="AD151" i="172"/>
  <c r="AA151" i="172"/>
  <c r="AA142" i="172"/>
  <c r="AD142" i="172"/>
  <c r="AD132" i="172"/>
  <c r="AA132" i="172"/>
  <c r="AD123" i="172"/>
  <c r="AA123" i="172"/>
  <c r="AD110" i="172"/>
  <c r="AA110" i="172"/>
  <c r="AA93" i="172"/>
  <c r="AD93" i="172"/>
  <c r="AD81" i="172"/>
  <c r="AA81" i="172"/>
  <c r="AA58" i="172"/>
  <c r="AD58" i="172"/>
  <c r="AA40" i="172"/>
  <c r="AD40" i="172"/>
  <c r="AA29" i="172"/>
  <c r="AD29" i="172"/>
  <c r="AD244" i="172"/>
  <c r="AA244" i="172"/>
  <c r="AD236" i="172"/>
  <c r="AA236" i="172"/>
  <c r="AA228" i="172"/>
  <c r="AD228" i="172"/>
  <c r="AA220" i="172"/>
  <c r="AD220" i="172"/>
  <c r="AD212" i="172"/>
  <c r="AA212" i="172"/>
  <c r="AD203" i="172"/>
  <c r="AA203" i="172"/>
  <c r="AA190" i="172"/>
  <c r="AD190" i="172"/>
  <c r="AA178" i="172"/>
  <c r="AD178" i="172"/>
  <c r="AA162" i="172"/>
  <c r="AD162" i="172"/>
  <c r="AD133" i="172"/>
  <c r="AA133" i="172"/>
  <c r="AA117" i="172"/>
  <c r="AD117" i="172"/>
  <c r="AD103" i="172"/>
  <c r="AA103" i="172"/>
  <c r="AA90" i="172"/>
  <c r="AD90" i="172"/>
  <c r="AD75" i="172"/>
  <c r="AA75" i="172"/>
  <c r="AA56" i="172"/>
  <c r="AD56" i="172"/>
  <c r="AD43" i="172"/>
  <c r="AA43" i="172"/>
  <c r="AD17" i="172"/>
  <c r="AA17" i="172"/>
  <c r="AD204" i="172"/>
  <c r="AA204" i="172"/>
  <c r="AD189" i="172"/>
  <c r="AA189" i="172"/>
  <c r="AA175" i="172"/>
  <c r="AD175" i="172"/>
  <c r="AD158" i="172"/>
  <c r="AA158" i="172"/>
  <c r="AD152" i="172"/>
  <c r="AA152" i="172"/>
  <c r="AA143" i="172"/>
  <c r="AD143" i="172"/>
  <c r="AA111" i="172"/>
  <c r="AD111" i="172"/>
  <c r="AD92" i="172"/>
  <c r="AA92" i="172"/>
  <c r="AD72" i="172"/>
  <c r="AA72" i="172"/>
  <c r="AA47" i="172"/>
  <c r="AD47" i="172"/>
  <c r="AA27" i="172"/>
  <c r="AD27" i="172"/>
  <c r="AA13" i="172"/>
  <c r="AD13" i="172"/>
  <c r="AC921" i="172"/>
  <c r="Z921" i="172"/>
  <c r="Z997" i="172"/>
  <c r="AC997" i="172"/>
  <c r="AC994" i="172"/>
  <c r="Z994" i="172"/>
  <c r="Z986" i="172"/>
  <c r="AC986" i="172"/>
  <c r="AC978" i="172"/>
  <c r="Z978" i="172"/>
  <c r="Z970" i="172"/>
  <c r="AC970" i="172"/>
  <c r="Z962" i="172"/>
  <c r="AC962" i="172"/>
  <c r="AC954" i="172"/>
  <c r="Z954" i="172"/>
  <c r="AC946" i="172"/>
  <c r="Z946" i="172"/>
  <c r="Z938" i="172"/>
  <c r="AC938" i="172"/>
  <c r="Z930" i="172"/>
  <c r="AC930" i="172"/>
  <c r="AC915" i="172"/>
  <c r="Z915" i="172"/>
  <c r="Z925" i="172"/>
  <c r="AC925" i="172"/>
  <c r="Z909" i="172"/>
  <c r="AC909" i="172"/>
  <c r="Z985" i="172"/>
  <c r="AC985" i="172"/>
  <c r="AC977" i="172"/>
  <c r="Z977" i="172"/>
  <c r="Z969" i="172"/>
  <c r="AC969" i="172"/>
  <c r="Z961" i="172"/>
  <c r="AC961" i="172"/>
  <c r="AC953" i="172"/>
  <c r="Z953" i="172"/>
  <c r="Z945" i="172"/>
  <c r="AC945" i="172"/>
  <c r="AC937" i="172"/>
  <c r="Z937" i="172"/>
  <c r="Z929" i="172"/>
  <c r="AC929" i="172"/>
  <c r="Z916" i="172"/>
  <c r="AC916" i="172"/>
  <c r="Z895" i="172"/>
  <c r="AC895" i="172"/>
  <c r="Z887" i="172"/>
  <c r="AC887" i="172"/>
  <c r="AC879" i="172"/>
  <c r="Z879" i="172"/>
  <c r="AC871" i="172"/>
  <c r="Z871" i="172"/>
  <c r="Z862" i="172"/>
  <c r="AC862" i="172"/>
  <c r="Z845" i="172"/>
  <c r="AC845" i="172"/>
  <c r="Z834" i="172"/>
  <c r="AC834" i="172"/>
  <c r="AC817" i="172"/>
  <c r="Z817" i="172"/>
  <c r="Z798" i="172"/>
  <c r="AC798" i="172"/>
  <c r="Z771" i="172"/>
  <c r="AC771" i="172"/>
  <c r="Z738" i="172"/>
  <c r="AC738" i="172"/>
  <c r="AC693" i="172"/>
  <c r="Z693" i="172"/>
  <c r="Z602" i="172"/>
  <c r="AC602" i="172"/>
  <c r="Z564" i="172"/>
  <c r="AC564" i="172"/>
  <c r="Z509" i="172"/>
  <c r="AC509" i="172"/>
  <c r="AC251" i="172"/>
  <c r="Z251" i="172"/>
  <c r="Z851" i="172"/>
  <c r="AC851" i="172"/>
  <c r="AC842" i="172"/>
  <c r="Z842" i="172"/>
  <c r="AC821" i="172"/>
  <c r="Z821" i="172"/>
  <c r="AC806" i="172"/>
  <c r="Z806" i="172"/>
  <c r="AC770" i="172"/>
  <c r="Z770" i="172"/>
  <c r="Z720" i="172"/>
  <c r="AC720" i="172"/>
  <c r="Z618" i="172"/>
  <c r="AC618" i="172"/>
  <c r="AC579" i="172"/>
  <c r="Z579" i="172"/>
  <c r="Z476" i="172"/>
  <c r="AC476" i="172"/>
  <c r="Z423" i="172"/>
  <c r="AC423" i="172"/>
  <c r="Z391" i="172"/>
  <c r="AC391" i="172"/>
  <c r="Z359" i="172"/>
  <c r="AC359" i="172"/>
  <c r="Z327" i="172"/>
  <c r="AC327" i="172"/>
  <c r="AC279" i="172"/>
  <c r="Z279" i="172"/>
  <c r="AC912" i="172"/>
  <c r="Z912" i="172"/>
  <c r="Z904" i="172"/>
  <c r="AC904" i="172"/>
  <c r="Z896" i="172"/>
  <c r="AC896" i="172"/>
  <c r="AC888" i="172"/>
  <c r="Z888" i="172"/>
  <c r="Z880" i="172"/>
  <c r="AC880" i="172"/>
  <c r="Z872" i="172"/>
  <c r="AC872" i="172"/>
  <c r="AC864" i="172"/>
  <c r="Z864" i="172"/>
  <c r="Z848" i="172"/>
  <c r="AC848" i="172"/>
  <c r="AC825" i="172"/>
  <c r="Z825" i="172"/>
  <c r="AC803" i="172"/>
  <c r="Z803" i="172"/>
  <c r="AC789" i="172"/>
  <c r="Z789" i="172"/>
  <c r="AC756" i="172"/>
  <c r="Z756" i="172"/>
  <c r="Z662" i="172"/>
  <c r="AC662" i="172"/>
  <c r="Z628" i="172"/>
  <c r="AC628" i="172"/>
  <c r="Z528" i="172"/>
  <c r="AC528" i="172"/>
  <c r="Z480" i="172"/>
  <c r="AC480" i="172"/>
  <c r="AC857" i="172"/>
  <c r="Z857" i="172"/>
  <c r="AC833" i="172"/>
  <c r="Z833" i="172"/>
  <c r="AC823" i="172"/>
  <c r="Z823" i="172"/>
  <c r="AC805" i="172"/>
  <c r="Z805" i="172"/>
  <c r="AC775" i="172"/>
  <c r="Z775" i="172"/>
  <c r="Z723" i="172"/>
  <c r="AC723" i="172"/>
  <c r="AC689" i="172"/>
  <c r="Z689" i="172"/>
  <c r="AC655" i="172"/>
  <c r="Z655" i="172"/>
  <c r="Z582" i="172"/>
  <c r="AC582" i="172"/>
  <c r="AC532" i="172"/>
  <c r="Z532" i="172"/>
  <c r="AC484" i="172"/>
  <c r="Z484" i="172"/>
  <c r="AC420" i="172"/>
  <c r="Z420" i="172"/>
  <c r="Z388" i="172"/>
  <c r="AC388" i="172"/>
  <c r="AC356" i="172"/>
  <c r="Z356" i="172"/>
  <c r="AC324" i="172"/>
  <c r="Z324" i="172"/>
  <c r="Z265" i="172"/>
  <c r="AC265" i="172"/>
  <c r="Z231" i="172"/>
  <c r="AC231" i="172"/>
  <c r="Z24" i="172"/>
  <c r="AC24" i="172"/>
  <c r="AC731" i="172"/>
  <c r="Z731" i="172"/>
  <c r="Z721" i="172"/>
  <c r="AC721" i="172"/>
  <c r="AC699" i="172"/>
  <c r="Z699" i="172"/>
  <c r="Z684" i="172"/>
  <c r="AC684" i="172"/>
  <c r="Z664" i="172"/>
  <c r="AC664" i="172"/>
  <c r="AC653" i="172"/>
  <c r="Z653" i="172"/>
  <c r="Z632" i="172"/>
  <c r="AC632" i="172"/>
  <c r="AC619" i="172"/>
  <c r="Z619" i="172"/>
  <c r="Z606" i="172"/>
  <c r="AC606" i="172"/>
  <c r="Z590" i="172"/>
  <c r="AC590" i="172"/>
  <c r="Z568" i="172"/>
  <c r="AC568" i="172"/>
  <c r="AC558" i="172"/>
  <c r="Z558" i="172"/>
  <c r="AC536" i="172"/>
  <c r="Z536" i="172"/>
  <c r="Z526" i="172"/>
  <c r="AC526" i="172"/>
  <c r="Z510" i="172"/>
  <c r="AC510" i="172"/>
  <c r="AC492" i="172"/>
  <c r="Z492" i="172"/>
  <c r="AC481" i="172"/>
  <c r="Z481" i="172"/>
  <c r="Z472" i="172"/>
  <c r="AC472" i="172"/>
  <c r="Z464" i="172"/>
  <c r="AC464" i="172"/>
  <c r="Z456" i="172"/>
  <c r="AC456" i="172"/>
  <c r="AC448" i="172"/>
  <c r="Z448" i="172"/>
  <c r="Z297" i="172"/>
  <c r="AC297" i="172"/>
  <c r="Z289" i="172"/>
  <c r="AC289" i="172"/>
  <c r="Z277" i="172"/>
  <c r="AC277" i="172"/>
  <c r="AC255" i="172"/>
  <c r="Z255" i="172"/>
  <c r="Z171" i="172"/>
  <c r="AC171" i="172"/>
  <c r="Z143" i="172"/>
  <c r="AC143" i="172"/>
  <c r="Z56" i="172"/>
  <c r="AC56" i="172"/>
  <c r="AC782" i="172"/>
  <c r="Z782" i="172"/>
  <c r="Z763" i="172"/>
  <c r="AC763" i="172"/>
  <c r="AC745" i="172"/>
  <c r="Z745" i="172"/>
  <c r="AC733" i="172"/>
  <c r="Z733" i="172"/>
  <c r="AC722" i="172"/>
  <c r="Z722" i="172"/>
  <c r="AC701" i="172"/>
  <c r="Z701" i="172"/>
  <c r="Z688" i="172"/>
  <c r="AC688" i="172"/>
  <c r="AC675" i="172"/>
  <c r="Z675" i="172"/>
  <c r="AC665" i="172"/>
  <c r="Z665" i="172"/>
  <c r="AC643" i="172"/>
  <c r="Z643" i="172"/>
  <c r="AC633" i="172"/>
  <c r="Z633" i="172"/>
  <c r="Z620" i="172"/>
  <c r="AC620" i="172"/>
  <c r="AC607" i="172"/>
  <c r="Z607" i="172"/>
  <c r="AC576" i="172"/>
  <c r="Z576" i="172"/>
  <c r="AC566" i="172"/>
  <c r="Z566" i="172"/>
  <c r="Z544" i="172"/>
  <c r="AC544" i="172"/>
  <c r="Z534" i="172"/>
  <c r="AC534" i="172"/>
  <c r="AC519" i="172"/>
  <c r="Z519" i="172"/>
  <c r="Z503" i="172"/>
  <c r="AC503" i="172"/>
  <c r="AC486" i="172"/>
  <c r="Z486" i="172"/>
  <c r="AC470" i="172"/>
  <c r="Z470" i="172"/>
  <c r="Z454" i="172"/>
  <c r="AC454" i="172"/>
  <c r="Z441" i="172"/>
  <c r="AC441" i="172"/>
  <c r="AC433" i="172"/>
  <c r="Z433" i="172"/>
  <c r="Z425" i="172"/>
  <c r="AC425" i="172"/>
  <c r="Z417" i="172"/>
  <c r="AC417" i="172"/>
  <c r="AC409" i="172"/>
  <c r="Z409" i="172"/>
  <c r="Z401" i="172"/>
  <c r="AC401" i="172"/>
  <c r="Z393" i="172"/>
  <c r="AC393" i="172"/>
  <c r="Z385" i="172"/>
  <c r="AC385" i="172"/>
  <c r="Z377" i="172"/>
  <c r="AC377" i="172"/>
  <c r="AC369" i="172"/>
  <c r="Z369" i="172"/>
  <c r="Z361" i="172"/>
  <c r="AC361" i="172"/>
  <c r="Z353" i="172"/>
  <c r="AC353" i="172"/>
  <c r="Z345" i="172"/>
  <c r="AC345" i="172"/>
  <c r="AC337" i="172"/>
  <c r="Z337" i="172"/>
  <c r="AC329" i="172"/>
  <c r="Z329" i="172"/>
  <c r="AC321" i="172"/>
  <c r="Z321" i="172"/>
  <c r="Z313" i="172"/>
  <c r="AC313" i="172"/>
  <c r="Z305" i="172"/>
  <c r="AC305" i="172"/>
  <c r="Z291" i="172"/>
  <c r="AC291" i="172"/>
  <c r="AC274" i="172"/>
  <c r="Z274" i="172"/>
  <c r="AC264" i="172"/>
  <c r="Z264" i="172"/>
  <c r="AC237" i="172"/>
  <c r="Z237" i="172"/>
  <c r="Z190" i="172"/>
  <c r="AC190" i="172"/>
  <c r="Z164" i="172"/>
  <c r="AC164" i="172"/>
  <c r="AC83" i="172"/>
  <c r="Z83" i="172"/>
  <c r="Z818" i="172"/>
  <c r="AC818" i="172"/>
  <c r="AC804" i="172"/>
  <c r="Z804" i="172"/>
  <c r="Z788" i="172"/>
  <c r="AC788" i="172"/>
  <c r="Z772" i="172"/>
  <c r="AC772" i="172"/>
  <c r="AC760" i="172"/>
  <c r="Z760" i="172"/>
  <c r="Z743" i="172"/>
  <c r="AC743" i="172"/>
  <c r="Z730" i="172"/>
  <c r="AC730" i="172"/>
  <c r="AC709" i="172"/>
  <c r="Z709" i="172"/>
  <c r="Z698" i="172"/>
  <c r="AC698" i="172"/>
  <c r="AC679" i="172"/>
  <c r="Z679" i="172"/>
  <c r="Z658" i="172"/>
  <c r="AC658" i="172"/>
  <c r="AC647" i="172"/>
  <c r="Z647" i="172"/>
  <c r="AC627" i="172"/>
  <c r="Z627" i="172"/>
  <c r="AC611" i="172"/>
  <c r="Z611" i="172"/>
  <c r="Z592" i="172"/>
  <c r="AC592" i="172"/>
  <c r="Z578" i="172"/>
  <c r="AC578" i="172"/>
  <c r="AC567" i="172"/>
  <c r="Z567" i="172"/>
  <c r="Z546" i="172"/>
  <c r="AC546" i="172"/>
  <c r="AC535" i="172"/>
  <c r="Z535" i="172"/>
  <c r="AC512" i="172"/>
  <c r="Z512" i="172"/>
  <c r="AC494" i="172"/>
  <c r="Z494" i="172"/>
  <c r="AC479" i="172"/>
  <c r="Z479" i="172"/>
  <c r="AC460" i="172"/>
  <c r="Z460" i="172"/>
  <c r="Z443" i="172"/>
  <c r="AC443" i="172"/>
  <c r="Z427" i="172"/>
  <c r="AC427" i="172"/>
  <c r="AC411" i="172"/>
  <c r="Z411" i="172"/>
  <c r="Z395" i="172"/>
  <c r="AC395" i="172"/>
  <c r="Z379" i="172"/>
  <c r="AC379" i="172"/>
  <c r="Z363" i="172"/>
  <c r="AC363" i="172"/>
  <c r="AC347" i="172"/>
  <c r="Z347" i="172"/>
  <c r="AC331" i="172"/>
  <c r="Z331" i="172"/>
  <c r="AC315" i="172"/>
  <c r="Z315" i="172"/>
  <c r="Z300" i="172"/>
  <c r="AC300" i="172"/>
  <c r="Z271" i="172"/>
  <c r="AC271" i="172"/>
  <c r="Z244" i="172"/>
  <c r="AC244" i="172"/>
  <c r="AC206" i="172"/>
  <c r="Z206" i="172"/>
  <c r="Z152" i="172"/>
  <c r="AC152" i="172"/>
  <c r="AC104" i="172"/>
  <c r="Z104" i="172"/>
  <c r="AC59" i="172"/>
  <c r="Z59" i="172"/>
  <c r="AC20" i="172"/>
  <c r="Z20" i="172"/>
  <c r="Z207" i="172"/>
  <c r="AC207" i="172"/>
  <c r="Z194" i="172"/>
  <c r="AC194" i="172"/>
  <c r="Z182" i="172"/>
  <c r="AC182" i="172"/>
  <c r="Z165" i="172"/>
  <c r="AC165" i="172"/>
  <c r="Z150" i="172"/>
  <c r="AC150" i="172"/>
  <c r="AC114" i="172"/>
  <c r="Z114" i="172"/>
  <c r="AC92" i="172"/>
  <c r="Z92" i="172"/>
  <c r="AC74" i="172"/>
  <c r="Z74" i="172"/>
  <c r="AC67" i="172"/>
  <c r="Z67" i="172"/>
  <c r="Z60" i="172"/>
  <c r="AC60" i="172"/>
  <c r="Z51" i="172"/>
  <c r="AC51" i="172"/>
  <c r="AC37" i="172"/>
  <c r="Z37" i="172"/>
  <c r="Z21" i="172"/>
  <c r="AC21" i="172"/>
  <c r="AC232" i="172"/>
  <c r="Z232" i="172"/>
  <c r="Z205" i="172"/>
  <c r="AC205" i="172"/>
  <c r="AC184" i="172"/>
  <c r="Z184" i="172"/>
  <c r="Z166" i="172"/>
  <c r="AC166" i="172"/>
  <c r="AC148" i="172"/>
  <c r="Z148" i="172"/>
  <c r="AC140" i="172"/>
  <c r="Z140" i="172"/>
  <c r="Z131" i="172"/>
  <c r="AC131" i="172"/>
  <c r="AC120" i="172"/>
  <c r="Z120" i="172"/>
  <c r="AC108" i="172"/>
  <c r="Z108" i="172"/>
  <c r="Z93" i="172"/>
  <c r="AC93" i="172"/>
  <c r="Z78" i="172"/>
  <c r="AC78" i="172"/>
  <c r="Z46" i="172"/>
  <c r="AC46" i="172"/>
  <c r="Z34" i="172"/>
  <c r="AC34" i="172"/>
  <c r="AC19" i="172"/>
  <c r="Z19" i="172"/>
  <c r="AC247" i="172"/>
  <c r="Z247" i="172"/>
  <c r="Z238" i="172"/>
  <c r="AC238" i="172"/>
  <c r="Z230" i="172"/>
  <c r="AC230" i="172"/>
  <c r="Z222" i="172"/>
  <c r="AC222" i="172"/>
  <c r="AC214" i="172"/>
  <c r="Z214" i="172"/>
  <c r="AC203" i="172"/>
  <c r="Z203" i="172"/>
  <c r="Z193" i="172"/>
  <c r="AC193" i="172"/>
  <c r="AC178" i="172"/>
  <c r="Z178" i="172"/>
  <c r="Z162" i="172"/>
  <c r="AC162" i="172"/>
  <c r="Z134" i="172"/>
  <c r="AC134" i="172"/>
  <c r="Z125" i="172"/>
  <c r="AC125" i="172"/>
  <c r="AC113" i="172"/>
  <c r="Z113" i="172"/>
  <c r="AC101" i="172"/>
  <c r="Z101" i="172"/>
  <c r="Z86" i="172"/>
  <c r="AC86" i="172"/>
  <c r="AC68" i="172"/>
  <c r="Z68" i="172"/>
  <c r="Z52" i="172"/>
  <c r="AC52" i="172"/>
  <c r="Z32" i="172"/>
  <c r="AC32" i="172"/>
  <c r="AN985" i="172"/>
  <c r="AQ985" i="172" s="1"/>
  <c r="AV985" i="172" s="1"/>
  <c r="AS985" i="172"/>
  <c r="AN983" i="172"/>
  <c r="AQ983" i="172" s="1"/>
  <c r="AV983" i="172" s="1"/>
  <c r="AS983" i="172"/>
  <c r="AN981" i="172"/>
  <c r="AQ981" i="172" s="1"/>
  <c r="AV981" i="172" s="1"/>
  <c r="AS981" i="172"/>
  <c r="AN979" i="172"/>
  <c r="AQ979" i="172" s="1"/>
  <c r="AV979" i="172" s="1"/>
  <c r="AS979" i="172"/>
  <c r="AN938" i="172"/>
  <c r="AQ938" i="172" s="1"/>
  <c r="AV938" i="172" s="1"/>
  <c r="AS938" i="172"/>
  <c r="AN925" i="172"/>
  <c r="AQ925" i="172" s="1"/>
  <c r="AV925" i="172" s="1"/>
  <c r="AS925" i="172"/>
  <c r="AN967" i="172"/>
  <c r="AQ967" i="172" s="1"/>
  <c r="AV967" i="172" s="1"/>
  <c r="AS967" i="172"/>
  <c r="AN959" i="172"/>
  <c r="AQ959" i="172" s="1"/>
  <c r="AV959" i="172" s="1"/>
  <c r="AS959" i="172"/>
  <c r="AN951" i="172"/>
  <c r="AQ951" i="172" s="1"/>
  <c r="AV951" i="172" s="1"/>
  <c r="AS951" i="172"/>
  <c r="AN939" i="172"/>
  <c r="AQ939" i="172" s="1"/>
  <c r="AV939" i="172" s="1"/>
  <c r="AS939" i="172"/>
  <c r="AN905" i="172"/>
  <c r="AQ905" i="172" s="1"/>
  <c r="AV905" i="172" s="1"/>
  <c r="AS905" i="172"/>
  <c r="AN930" i="172"/>
  <c r="AQ930" i="172" s="1"/>
  <c r="AV930" i="172" s="1"/>
  <c r="AS930" i="172"/>
  <c r="AN998" i="172"/>
  <c r="AQ998" i="172" s="1"/>
  <c r="AV998" i="172" s="1"/>
  <c r="AS998" i="172"/>
  <c r="AN990" i="172"/>
  <c r="AQ990" i="172" s="1"/>
  <c r="AV990" i="172" s="1"/>
  <c r="AS990" i="172"/>
  <c r="AN982" i="172"/>
  <c r="AQ982" i="172" s="1"/>
  <c r="AV982" i="172" s="1"/>
  <c r="AS982" i="172"/>
  <c r="AN974" i="172"/>
  <c r="AQ974" i="172" s="1"/>
  <c r="AV974" i="172" s="1"/>
  <c r="AS974" i="172"/>
  <c r="AN966" i="172"/>
  <c r="AQ966" i="172" s="1"/>
  <c r="AV966" i="172" s="1"/>
  <c r="AS966" i="172"/>
  <c r="AN958" i="172"/>
  <c r="AQ958" i="172" s="1"/>
  <c r="AV958" i="172" s="1"/>
  <c r="AS958" i="172"/>
  <c r="AN950" i="172"/>
  <c r="AQ950" i="172" s="1"/>
  <c r="AV950" i="172" s="1"/>
  <c r="AS950" i="172"/>
  <c r="AN937" i="172"/>
  <c r="AQ937" i="172" s="1"/>
  <c r="AV937" i="172" s="1"/>
  <c r="AS937" i="172"/>
  <c r="AN897" i="172"/>
  <c r="AQ897" i="172" s="1"/>
  <c r="AV897" i="172" s="1"/>
  <c r="AS897" i="172"/>
  <c r="AS881" i="172"/>
  <c r="AN881" i="172"/>
  <c r="AQ881" i="172" s="1"/>
  <c r="AV881" i="172" s="1"/>
  <c r="AN865" i="172"/>
  <c r="AQ865" i="172" s="1"/>
  <c r="AV865" i="172" s="1"/>
  <c r="AS865" i="172"/>
  <c r="AS847" i="172"/>
  <c r="AN847" i="172"/>
  <c r="AQ847" i="172" s="1"/>
  <c r="AV847" i="172" s="1"/>
  <c r="AS833" i="172"/>
  <c r="AN833" i="172"/>
  <c r="AQ833" i="172" s="1"/>
  <c r="AV833" i="172" s="1"/>
  <c r="AN817" i="172"/>
  <c r="AQ817" i="172" s="1"/>
  <c r="AV817" i="172" s="1"/>
  <c r="AS817" i="172"/>
  <c r="AS801" i="172"/>
  <c r="AN801" i="172"/>
  <c r="AQ801" i="172" s="1"/>
  <c r="AV801" i="172" s="1"/>
  <c r="AS788" i="172"/>
  <c r="AN788" i="172"/>
  <c r="AQ788" i="172" s="1"/>
  <c r="AV788" i="172" s="1"/>
  <c r="AS772" i="172"/>
  <c r="AN772" i="172"/>
  <c r="AQ772" i="172" s="1"/>
  <c r="AV772" i="172" s="1"/>
  <c r="AS756" i="172"/>
  <c r="AN756" i="172"/>
  <c r="AQ756" i="172" s="1"/>
  <c r="AV756" i="172" s="1"/>
  <c r="AS740" i="172"/>
  <c r="AN740" i="172"/>
  <c r="AQ740" i="172" s="1"/>
  <c r="AV740" i="172" s="1"/>
  <c r="AN725" i="172"/>
  <c r="AQ725" i="172" s="1"/>
  <c r="AV725" i="172" s="1"/>
  <c r="AS725" i="172"/>
  <c r="AS709" i="172"/>
  <c r="AN709" i="172"/>
  <c r="AQ709" i="172" s="1"/>
  <c r="AV709" i="172" s="1"/>
  <c r="AN602" i="172"/>
  <c r="AQ602" i="172" s="1"/>
  <c r="AV602" i="172" s="1"/>
  <c r="AS602" i="172"/>
  <c r="AN586" i="172"/>
  <c r="AQ586" i="172" s="1"/>
  <c r="AV586" i="172" s="1"/>
  <c r="AS586" i="172"/>
  <c r="AS571" i="172"/>
  <c r="AN571" i="172"/>
  <c r="AQ571" i="172" s="1"/>
  <c r="AV571" i="172" s="1"/>
  <c r="AS548" i="172"/>
  <c r="AN548" i="172"/>
  <c r="AQ548" i="172" s="1"/>
  <c r="AV548" i="172" s="1"/>
  <c r="AN522" i="172"/>
  <c r="AQ522" i="172" s="1"/>
  <c r="AV522" i="172" s="1"/>
  <c r="AS522" i="172"/>
  <c r="AN462" i="172"/>
  <c r="AQ462" i="172" s="1"/>
  <c r="AV462" i="172" s="1"/>
  <c r="AS462" i="172"/>
  <c r="AN365" i="172"/>
  <c r="AQ365" i="172" s="1"/>
  <c r="AV365" i="172" s="1"/>
  <c r="AS365" i="172"/>
  <c r="AS314" i="172"/>
  <c r="AN314" i="172"/>
  <c r="AQ314" i="172" s="1"/>
  <c r="AV314" i="172" s="1"/>
  <c r="AS269" i="172"/>
  <c r="AN269" i="172"/>
  <c r="AQ269" i="172" s="1"/>
  <c r="AV269" i="172" s="1"/>
  <c r="AS198" i="172"/>
  <c r="AN198" i="172"/>
  <c r="AQ198" i="172" s="1"/>
  <c r="AV198" i="172" s="1"/>
  <c r="AN914" i="172"/>
  <c r="AQ914" i="172" s="1"/>
  <c r="AV914" i="172" s="1"/>
  <c r="AS914" i="172"/>
  <c r="AN898" i="172"/>
  <c r="AQ898" i="172" s="1"/>
  <c r="AV898" i="172" s="1"/>
  <c r="AS898" i="172"/>
  <c r="AS882" i="172"/>
  <c r="AN882" i="172"/>
  <c r="AQ882" i="172" s="1"/>
  <c r="AV882" i="172" s="1"/>
  <c r="AN866" i="172"/>
  <c r="AQ866" i="172" s="1"/>
  <c r="AV866" i="172" s="1"/>
  <c r="AS866" i="172"/>
  <c r="AS849" i="172"/>
  <c r="AN849" i="172"/>
  <c r="AQ849" i="172" s="1"/>
  <c r="AV849" i="172" s="1"/>
  <c r="AS835" i="172"/>
  <c r="AN835" i="172"/>
  <c r="AQ835" i="172" s="1"/>
  <c r="AV835" i="172" s="1"/>
  <c r="AN819" i="172"/>
  <c r="AQ819" i="172" s="1"/>
  <c r="AV819" i="172" s="1"/>
  <c r="AS819" i="172"/>
  <c r="AS803" i="172"/>
  <c r="AN803" i="172"/>
  <c r="AQ803" i="172" s="1"/>
  <c r="AV803" i="172" s="1"/>
  <c r="AS789" i="172"/>
  <c r="AN789" i="172"/>
  <c r="AQ789" i="172" s="1"/>
  <c r="AV789" i="172" s="1"/>
  <c r="AS773" i="172"/>
  <c r="AN773" i="172"/>
  <c r="AQ773" i="172" s="1"/>
  <c r="AV773" i="172" s="1"/>
  <c r="AS757" i="172"/>
  <c r="AN757" i="172"/>
  <c r="AQ757" i="172" s="1"/>
  <c r="AV757" i="172" s="1"/>
  <c r="AS741" i="172"/>
  <c r="AN741" i="172"/>
  <c r="AQ741" i="172" s="1"/>
  <c r="AV741" i="172" s="1"/>
  <c r="AS723" i="172"/>
  <c r="AN723" i="172"/>
  <c r="AQ723" i="172" s="1"/>
  <c r="AV723" i="172" s="1"/>
  <c r="AS707" i="172"/>
  <c r="AN707" i="172"/>
  <c r="AQ707" i="172" s="1"/>
  <c r="AV707" i="172" s="1"/>
  <c r="AN693" i="172"/>
  <c r="AQ693" i="172" s="1"/>
  <c r="AV693" i="172" s="1"/>
  <c r="AS693" i="172"/>
  <c r="AN685" i="172"/>
  <c r="AQ685" i="172" s="1"/>
  <c r="AV685" i="172" s="1"/>
  <c r="AS685" i="172"/>
  <c r="AN677" i="172"/>
  <c r="AQ677" i="172" s="1"/>
  <c r="AV677" i="172" s="1"/>
  <c r="AS677" i="172"/>
  <c r="AN669" i="172"/>
  <c r="AQ669" i="172" s="1"/>
  <c r="AV669" i="172" s="1"/>
  <c r="AS669" i="172"/>
  <c r="AN661" i="172"/>
  <c r="AQ661" i="172" s="1"/>
  <c r="AV661" i="172" s="1"/>
  <c r="AS661" i="172"/>
  <c r="AN653" i="172"/>
  <c r="AQ653" i="172" s="1"/>
  <c r="AV653" i="172" s="1"/>
  <c r="AS653" i="172"/>
  <c r="AN645" i="172"/>
  <c r="AQ645" i="172" s="1"/>
  <c r="AV645" i="172" s="1"/>
  <c r="AS645" i="172"/>
  <c r="AN637" i="172"/>
  <c r="AQ637" i="172" s="1"/>
  <c r="AV637" i="172" s="1"/>
  <c r="AS637" i="172"/>
  <c r="AN629" i="172"/>
  <c r="AQ629" i="172" s="1"/>
  <c r="AV629" i="172" s="1"/>
  <c r="AS629" i="172"/>
  <c r="AN621" i="172"/>
  <c r="AQ621" i="172" s="1"/>
  <c r="AV621" i="172" s="1"/>
  <c r="AS621" i="172"/>
  <c r="AN613" i="172"/>
  <c r="AQ613" i="172" s="1"/>
  <c r="AV613" i="172" s="1"/>
  <c r="AS613" i="172"/>
  <c r="AN605" i="172"/>
  <c r="AQ605" i="172" s="1"/>
  <c r="AV605" i="172" s="1"/>
  <c r="AS605" i="172"/>
  <c r="AS595" i="172"/>
  <c r="AN595" i="172"/>
  <c r="AQ595" i="172" s="1"/>
  <c r="AV595" i="172" s="1"/>
  <c r="AN576" i="172"/>
  <c r="AQ576" i="172" s="1"/>
  <c r="AV576" i="172" s="1"/>
  <c r="AS576" i="172"/>
  <c r="AS558" i="172"/>
  <c r="AN558" i="172"/>
  <c r="AQ558" i="172" s="1"/>
  <c r="AV558" i="172" s="1"/>
  <c r="AS540" i="172"/>
  <c r="AN540" i="172"/>
  <c r="AQ540" i="172" s="1"/>
  <c r="AV540" i="172" s="1"/>
  <c r="AS498" i="172"/>
  <c r="AN498" i="172"/>
  <c r="AQ498" i="172" s="1"/>
  <c r="AV498" i="172" s="1"/>
  <c r="AN434" i="172"/>
  <c r="AQ434" i="172" s="1"/>
  <c r="AV434" i="172" s="1"/>
  <c r="AS434" i="172"/>
  <c r="AS353" i="172"/>
  <c r="AN353" i="172"/>
  <c r="AQ353" i="172" s="1"/>
  <c r="AV353" i="172" s="1"/>
  <c r="AN312" i="172"/>
  <c r="AQ312" i="172" s="1"/>
  <c r="AV312" i="172" s="1"/>
  <c r="AS312" i="172"/>
  <c r="AS274" i="172"/>
  <c r="AN274" i="172"/>
  <c r="AQ274" i="172" s="1"/>
  <c r="AV274" i="172" s="1"/>
  <c r="AN907" i="172"/>
  <c r="AQ907" i="172" s="1"/>
  <c r="AV907" i="172" s="1"/>
  <c r="AS907" i="172"/>
  <c r="AN891" i="172"/>
  <c r="AQ891" i="172" s="1"/>
  <c r="AV891" i="172" s="1"/>
  <c r="AS891" i="172"/>
  <c r="AS875" i="172"/>
  <c r="AN875" i="172"/>
  <c r="AQ875" i="172" s="1"/>
  <c r="AV875" i="172" s="1"/>
  <c r="AS859" i="172"/>
  <c r="AN859" i="172"/>
  <c r="AQ859" i="172" s="1"/>
  <c r="AV859" i="172" s="1"/>
  <c r="AS841" i="172"/>
  <c r="AN841" i="172"/>
  <c r="AQ841" i="172" s="1"/>
  <c r="AV841" i="172" s="1"/>
  <c r="AN821" i="172"/>
  <c r="AQ821" i="172" s="1"/>
  <c r="AV821" i="172" s="1"/>
  <c r="AS821" i="172"/>
  <c r="AS805" i="172"/>
  <c r="AN805" i="172"/>
  <c r="AQ805" i="172" s="1"/>
  <c r="AV805" i="172" s="1"/>
  <c r="AS790" i="172"/>
  <c r="AN790" i="172"/>
  <c r="AQ790" i="172" s="1"/>
  <c r="AV790" i="172" s="1"/>
  <c r="AS774" i="172"/>
  <c r="AN774" i="172"/>
  <c r="AQ774" i="172" s="1"/>
  <c r="AV774" i="172" s="1"/>
  <c r="AS758" i="172"/>
  <c r="AN758" i="172"/>
  <c r="AQ758" i="172" s="1"/>
  <c r="AV758" i="172" s="1"/>
  <c r="AS742" i="172"/>
  <c r="AN742" i="172"/>
  <c r="AQ742" i="172" s="1"/>
  <c r="AV742" i="172" s="1"/>
  <c r="AS726" i="172"/>
  <c r="AN726" i="172"/>
  <c r="AQ726" i="172" s="1"/>
  <c r="AV726" i="172" s="1"/>
  <c r="AS710" i="172"/>
  <c r="AN710" i="172"/>
  <c r="AQ710" i="172" s="1"/>
  <c r="AV710" i="172" s="1"/>
  <c r="AN598" i="172"/>
  <c r="AQ598" i="172" s="1"/>
  <c r="AV598" i="172" s="1"/>
  <c r="AS598" i="172"/>
  <c r="AN583" i="172"/>
  <c r="AQ583" i="172" s="1"/>
  <c r="AV583" i="172" s="1"/>
  <c r="AS583" i="172"/>
  <c r="AS563" i="172"/>
  <c r="AN563" i="172"/>
  <c r="AQ563" i="172" s="1"/>
  <c r="AV563" i="172" s="1"/>
  <c r="AS534" i="172"/>
  <c r="AN534" i="172"/>
  <c r="AQ534" i="172" s="1"/>
  <c r="AV534" i="172" s="1"/>
  <c r="AS486" i="172"/>
  <c r="AN486" i="172"/>
  <c r="AQ486" i="172" s="1"/>
  <c r="AV486" i="172" s="1"/>
  <c r="AS389" i="172"/>
  <c r="AN389" i="172"/>
  <c r="AQ389" i="172" s="1"/>
  <c r="AV389" i="172" s="1"/>
  <c r="AS334" i="172"/>
  <c r="AN334" i="172"/>
  <c r="AQ334" i="172" s="1"/>
  <c r="AV334" i="172" s="1"/>
  <c r="AS302" i="172"/>
  <c r="AN302" i="172"/>
  <c r="AQ302" i="172" s="1"/>
  <c r="AV302" i="172" s="1"/>
  <c r="AN200" i="172"/>
  <c r="AQ200" i="172" s="1"/>
  <c r="AV200" i="172" s="1"/>
  <c r="AS200" i="172"/>
  <c r="AN920" i="172"/>
  <c r="AQ920" i="172" s="1"/>
  <c r="AV920" i="172" s="1"/>
  <c r="AS920" i="172"/>
  <c r="AN904" i="172"/>
  <c r="AQ904" i="172" s="1"/>
  <c r="AV904" i="172" s="1"/>
  <c r="AS904" i="172"/>
  <c r="AN888" i="172"/>
  <c r="AQ888" i="172" s="1"/>
  <c r="AV888" i="172" s="1"/>
  <c r="AS888" i="172"/>
  <c r="AN872" i="172"/>
  <c r="AQ872" i="172" s="1"/>
  <c r="AV872" i="172" s="1"/>
  <c r="AS872" i="172"/>
  <c r="AS858" i="172"/>
  <c r="AN858" i="172"/>
  <c r="AQ858" i="172" s="1"/>
  <c r="AV858" i="172" s="1"/>
  <c r="AN838" i="172"/>
  <c r="AQ838" i="172" s="1"/>
  <c r="AV838" i="172" s="1"/>
  <c r="AS838" i="172"/>
  <c r="AS823" i="172"/>
  <c r="AN823" i="172"/>
  <c r="AQ823" i="172" s="1"/>
  <c r="AV823" i="172" s="1"/>
  <c r="AS807" i="172"/>
  <c r="AN807" i="172"/>
  <c r="AQ807" i="172" s="1"/>
  <c r="AV807" i="172" s="1"/>
  <c r="AS791" i="172"/>
  <c r="AN791" i="172"/>
  <c r="AQ791" i="172" s="1"/>
  <c r="AV791" i="172" s="1"/>
  <c r="AS775" i="172"/>
  <c r="AN775" i="172"/>
  <c r="AQ775" i="172" s="1"/>
  <c r="AV775" i="172" s="1"/>
  <c r="AS759" i="172"/>
  <c r="AN759" i="172"/>
  <c r="AQ759" i="172" s="1"/>
  <c r="AV759" i="172" s="1"/>
  <c r="AS743" i="172"/>
  <c r="AN743" i="172"/>
  <c r="AQ743" i="172" s="1"/>
  <c r="AV743" i="172" s="1"/>
  <c r="AN727" i="172"/>
  <c r="AQ727" i="172" s="1"/>
  <c r="AV727" i="172" s="1"/>
  <c r="AS727" i="172"/>
  <c r="AN711" i="172"/>
  <c r="AQ711" i="172" s="1"/>
  <c r="AV711" i="172" s="1"/>
  <c r="AS711" i="172"/>
  <c r="AN695" i="172"/>
  <c r="AQ695" i="172" s="1"/>
  <c r="AV695" i="172" s="1"/>
  <c r="AS695" i="172"/>
  <c r="AN687" i="172"/>
  <c r="AQ687" i="172" s="1"/>
  <c r="AV687" i="172" s="1"/>
  <c r="AS687" i="172"/>
  <c r="AN679" i="172"/>
  <c r="AQ679" i="172" s="1"/>
  <c r="AV679" i="172" s="1"/>
  <c r="AS679" i="172"/>
  <c r="AN671" i="172"/>
  <c r="AQ671" i="172" s="1"/>
  <c r="AV671" i="172" s="1"/>
  <c r="AS671" i="172"/>
  <c r="AN663" i="172"/>
  <c r="AQ663" i="172" s="1"/>
  <c r="AV663" i="172" s="1"/>
  <c r="AS663" i="172"/>
  <c r="AN655" i="172"/>
  <c r="AQ655" i="172" s="1"/>
  <c r="AV655" i="172" s="1"/>
  <c r="AS655" i="172"/>
  <c r="AN647" i="172"/>
  <c r="AQ647" i="172" s="1"/>
  <c r="AV647" i="172" s="1"/>
  <c r="AS647" i="172"/>
  <c r="AN639" i="172"/>
  <c r="AQ639" i="172" s="1"/>
  <c r="AV639" i="172" s="1"/>
  <c r="AS639" i="172"/>
  <c r="AN631" i="172"/>
  <c r="AQ631" i="172" s="1"/>
  <c r="AV631" i="172" s="1"/>
  <c r="AS631" i="172"/>
  <c r="AN623" i="172"/>
  <c r="AQ623" i="172" s="1"/>
  <c r="AV623" i="172" s="1"/>
  <c r="AS623" i="172"/>
  <c r="AN615" i="172"/>
  <c r="AQ615" i="172" s="1"/>
  <c r="AV615" i="172" s="1"/>
  <c r="AS615" i="172"/>
  <c r="AN607" i="172"/>
  <c r="AQ607" i="172" s="1"/>
  <c r="AV607" i="172" s="1"/>
  <c r="AS607" i="172"/>
  <c r="AN592" i="172"/>
  <c r="AQ592" i="172" s="1"/>
  <c r="AV592" i="172" s="1"/>
  <c r="AS592" i="172"/>
  <c r="AN575" i="172"/>
  <c r="AQ575" i="172" s="1"/>
  <c r="AV575" i="172" s="1"/>
  <c r="AS575" i="172"/>
  <c r="AN552" i="172"/>
  <c r="AQ552" i="172" s="1"/>
  <c r="AV552" i="172" s="1"/>
  <c r="AS552" i="172"/>
  <c r="AN528" i="172"/>
  <c r="AQ528" i="172" s="1"/>
  <c r="AV528" i="172" s="1"/>
  <c r="AS528" i="172"/>
  <c r="AS474" i="172"/>
  <c r="AN474" i="172"/>
  <c r="AQ474" i="172" s="1"/>
  <c r="AV474" i="172" s="1"/>
  <c r="AS377" i="172"/>
  <c r="AN377" i="172"/>
  <c r="AQ377" i="172" s="1"/>
  <c r="AV377" i="172" s="1"/>
  <c r="AN324" i="172"/>
  <c r="AQ324" i="172" s="1"/>
  <c r="AV324" i="172" s="1"/>
  <c r="AS324" i="172"/>
  <c r="AN292" i="172"/>
  <c r="AQ292" i="172" s="1"/>
  <c r="AV292" i="172" s="1"/>
  <c r="AS292" i="172"/>
  <c r="AS158" i="172"/>
  <c r="AN158" i="172"/>
  <c r="AQ158" i="172" s="1"/>
  <c r="AV158" i="172" s="1"/>
  <c r="AS142" i="172"/>
  <c r="AN142" i="172"/>
  <c r="AQ142" i="172" s="1"/>
  <c r="AV142" i="172" s="1"/>
  <c r="AS126" i="172"/>
  <c r="AN126" i="172"/>
  <c r="AQ126" i="172" s="1"/>
  <c r="AV126" i="172" s="1"/>
  <c r="AN110" i="172"/>
  <c r="AQ110" i="172" s="1"/>
  <c r="AV110" i="172" s="1"/>
  <c r="AS110" i="172"/>
  <c r="AS94" i="172"/>
  <c r="AN94" i="172"/>
  <c r="AQ94" i="172" s="1"/>
  <c r="AV94" i="172" s="1"/>
  <c r="AN78" i="172"/>
  <c r="AQ78" i="172" s="1"/>
  <c r="AV78" i="172" s="1"/>
  <c r="AS78" i="172"/>
  <c r="AS539" i="172"/>
  <c r="AN539" i="172"/>
  <c r="AQ539" i="172" s="1"/>
  <c r="AV539" i="172" s="1"/>
  <c r="AN523" i="172"/>
  <c r="AQ523" i="172" s="1"/>
  <c r="AV523" i="172" s="1"/>
  <c r="AS523" i="172"/>
  <c r="AS507" i="172"/>
  <c r="AN507" i="172"/>
  <c r="AQ507" i="172" s="1"/>
  <c r="AV507" i="172" s="1"/>
  <c r="AN491" i="172"/>
  <c r="AQ491" i="172" s="1"/>
  <c r="AV491" i="172" s="1"/>
  <c r="AS491" i="172"/>
  <c r="AN475" i="172"/>
  <c r="AQ475" i="172" s="1"/>
  <c r="AV475" i="172" s="1"/>
  <c r="AS475" i="172"/>
  <c r="AS459" i="172"/>
  <c r="AN459" i="172"/>
  <c r="AQ459" i="172" s="1"/>
  <c r="AV459" i="172" s="1"/>
  <c r="AS443" i="172"/>
  <c r="AN443" i="172"/>
  <c r="AQ443" i="172" s="1"/>
  <c r="AV443" i="172" s="1"/>
  <c r="AS398" i="172"/>
  <c r="AN398" i="172"/>
  <c r="AQ398" i="172" s="1"/>
  <c r="AV398" i="172" s="1"/>
  <c r="AS382" i="172"/>
  <c r="AN382" i="172"/>
  <c r="AQ382" i="172" s="1"/>
  <c r="AV382" i="172" s="1"/>
  <c r="AN366" i="172"/>
  <c r="AQ366" i="172" s="1"/>
  <c r="AV366" i="172" s="1"/>
  <c r="AS366" i="172"/>
  <c r="AS350" i="172"/>
  <c r="AN350" i="172"/>
  <c r="AQ350" i="172" s="1"/>
  <c r="AV350" i="172" s="1"/>
  <c r="AN284" i="172"/>
  <c r="AQ284" i="172" s="1"/>
  <c r="AV284" i="172" s="1"/>
  <c r="AS284" i="172"/>
  <c r="AS267" i="172"/>
  <c r="AN267" i="172"/>
  <c r="AQ267" i="172" s="1"/>
  <c r="AV267" i="172" s="1"/>
  <c r="AS259" i="172"/>
  <c r="AN259" i="172"/>
  <c r="AQ259" i="172" s="1"/>
  <c r="AV259" i="172" s="1"/>
  <c r="AS251" i="172"/>
  <c r="AN251" i="172"/>
  <c r="AQ251" i="172" s="1"/>
  <c r="AV251" i="172" s="1"/>
  <c r="AS243" i="172"/>
  <c r="AN243" i="172"/>
  <c r="AQ243" i="172" s="1"/>
  <c r="AV243" i="172" s="1"/>
  <c r="AN235" i="172"/>
  <c r="AQ235" i="172" s="1"/>
  <c r="AV235" i="172" s="1"/>
  <c r="AS235" i="172"/>
  <c r="AS227" i="172"/>
  <c r="AN227" i="172"/>
  <c r="AQ227" i="172" s="1"/>
  <c r="AV227" i="172" s="1"/>
  <c r="AN217" i="172"/>
  <c r="AQ217" i="172" s="1"/>
  <c r="AV217" i="172" s="1"/>
  <c r="AS217" i="172"/>
  <c r="AS202" i="172"/>
  <c r="AN202" i="172"/>
  <c r="AQ202" i="172" s="1"/>
  <c r="AV202" i="172" s="1"/>
  <c r="AN189" i="172"/>
  <c r="AQ189" i="172" s="1"/>
  <c r="AV189" i="172" s="1"/>
  <c r="AS189" i="172"/>
  <c r="AN185" i="172"/>
  <c r="AQ185" i="172" s="1"/>
  <c r="AV185" i="172" s="1"/>
  <c r="AS185" i="172"/>
  <c r="AN181" i="172"/>
  <c r="AQ181" i="172" s="1"/>
  <c r="AV181" i="172" s="1"/>
  <c r="AS181" i="172"/>
  <c r="AN177" i="172"/>
  <c r="AQ177" i="172" s="1"/>
  <c r="AV177" i="172" s="1"/>
  <c r="AS177" i="172"/>
  <c r="AN173" i="172"/>
  <c r="AQ173" i="172" s="1"/>
  <c r="AV173" i="172" s="1"/>
  <c r="AS173" i="172"/>
  <c r="AN169" i="172"/>
  <c r="AQ169" i="172" s="1"/>
  <c r="AV169" i="172" s="1"/>
  <c r="AS169" i="172"/>
  <c r="AS165" i="172"/>
  <c r="AN165" i="172"/>
  <c r="AQ165" i="172" s="1"/>
  <c r="AV165" i="172" s="1"/>
  <c r="AN161" i="172"/>
  <c r="AQ161" i="172" s="1"/>
  <c r="AV161" i="172" s="1"/>
  <c r="AS161" i="172"/>
  <c r="AS145" i="172"/>
  <c r="AN145" i="172"/>
  <c r="AQ145" i="172" s="1"/>
  <c r="AV145" i="172" s="1"/>
  <c r="AS127" i="172"/>
  <c r="AN127" i="172"/>
  <c r="AQ127" i="172" s="1"/>
  <c r="AV127" i="172" s="1"/>
  <c r="AN111" i="172"/>
  <c r="AQ111" i="172" s="1"/>
  <c r="AV111" i="172" s="1"/>
  <c r="AS111" i="172"/>
  <c r="AN95" i="172"/>
  <c r="AQ95" i="172" s="1"/>
  <c r="AV95" i="172" s="1"/>
  <c r="AS95" i="172"/>
  <c r="AN79" i="172"/>
  <c r="AQ79" i="172" s="1"/>
  <c r="AV79" i="172" s="1"/>
  <c r="AS79" i="172"/>
  <c r="AN52" i="172"/>
  <c r="AQ52" i="172" s="1"/>
  <c r="AV52" i="172" s="1"/>
  <c r="AS52" i="172"/>
  <c r="AS504" i="172"/>
  <c r="AN504" i="172"/>
  <c r="AQ504" i="172" s="1"/>
  <c r="AV504" i="172" s="1"/>
  <c r="AS488" i="172"/>
  <c r="AN488" i="172"/>
  <c r="AQ488" i="172" s="1"/>
  <c r="AV488" i="172" s="1"/>
  <c r="AS472" i="172"/>
  <c r="AN472" i="172"/>
  <c r="AQ472" i="172" s="1"/>
  <c r="AV472" i="172" s="1"/>
  <c r="AS456" i="172"/>
  <c r="AN456" i="172"/>
  <c r="AQ456" i="172" s="1"/>
  <c r="AV456" i="172" s="1"/>
  <c r="AS440" i="172"/>
  <c r="AN440" i="172"/>
  <c r="AQ440" i="172" s="1"/>
  <c r="AV440" i="172" s="1"/>
  <c r="AN430" i="172"/>
  <c r="AQ430" i="172" s="1"/>
  <c r="AV430" i="172" s="1"/>
  <c r="AS430" i="172"/>
  <c r="AS426" i="172"/>
  <c r="AN426" i="172"/>
  <c r="AQ426" i="172" s="1"/>
  <c r="AV426" i="172" s="1"/>
  <c r="AS422" i="172"/>
  <c r="AN422" i="172"/>
  <c r="AQ422" i="172" s="1"/>
  <c r="AV422" i="172" s="1"/>
  <c r="AN418" i="172"/>
  <c r="AQ418" i="172" s="1"/>
  <c r="AV418" i="172" s="1"/>
  <c r="AS418" i="172"/>
  <c r="AN414" i="172"/>
  <c r="AQ414" i="172" s="1"/>
  <c r="AV414" i="172" s="1"/>
  <c r="AS414" i="172"/>
  <c r="AS410" i="172"/>
  <c r="AN410" i="172"/>
  <c r="AQ410" i="172" s="1"/>
  <c r="AV410" i="172" s="1"/>
  <c r="AS406" i="172"/>
  <c r="AN406" i="172"/>
  <c r="AQ406" i="172" s="1"/>
  <c r="AV406" i="172" s="1"/>
  <c r="AN399" i="172"/>
  <c r="AQ399" i="172" s="1"/>
  <c r="AV399" i="172" s="1"/>
  <c r="AS399" i="172"/>
  <c r="AN383" i="172"/>
  <c r="AQ383" i="172" s="1"/>
  <c r="AV383" i="172" s="1"/>
  <c r="AS383" i="172"/>
  <c r="AS367" i="172"/>
  <c r="AN367" i="172"/>
  <c r="AQ367" i="172" s="1"/>
  <c r="AV367" i="172" s="1"/>
  <c r="AN351" i="172"/>
  <c r="AQ351" i="172" s="1"/>
  <c r="AV351" i="172" s="1"/>
  <c r="AS351" i="172"/>
  <c r="AS337" i="172"/>
  <c r="AN337" i="172"/>
  <c r="AQ337" i="172" s="1"/>
  <c r="AV337" i="172" s="1"/>
  <c r="AS329" i="172"/>
  <c r="AN329" i="172"/>
  <c r="AQ329" i="172" s="1"/>
  <c r="AV329" i="172" s="1"/>
  <c r="AS321" i="172"/>
  <c r="AN321" i="172"/>
  <c r="AQ321" i="172" s="1"/>
  <c r="AV321" i="172" s="1"/>
  <c r="AS313" i="172"/>
  <c r="AN313" i="172"/>
  <c r="AQ313" i="172" s="1"/>
  <c r="AV313" i="172" s="1"/>
  <c r="AS305" i="172"/>
  <c r="AN305" i="172"/>
  <c r="AQ305" i="172" s="1"/>
  <c r="AV305" i="172" s="1"/>
  <c r="AS297" i="172"/>
  <c r="AN297" i="172"/>
  <c r="AQ297" i="172" s="1"/>
  <c r="AV297" i="172" s="1"/>
  <c r="AS289" i="172"/>
  <c r="AN289" i="172"/>
  <c r="AQ289" i="172" s="1"/>
  <c r="AV289" i="172" s="1"/>
  <c r="AS278" i="172"/>
  <c r="AN278" i="172"/>
  <c r="AQ278" i="172" s="1"/>
  <c r="AV278" i="172" s="1"/>
  <c r="AS221" i="172"/>
  <c r="AN221" i="172"/>
  <c r="AQ221" i="172" s="1"/>
  <c r="AV221" i="172" s="1"/>
  <c r="AS195" i="172"/>
  <c r="AN195" i="172"/>
  <c r="AQ195" i="172" s="1"/>
  <c r="AV195" i="172" s="1"/>
  <c r="AN150" i="172"/>
  <c r="AQ150" i="172" s="1"/>
  <c r="AV150" i="172" s="1"/>
  <c r="AS150" i="172"/>
  <c r="AN140" i="172"/>
  <c r="AQ140" i="172" s="1"/>
  <c r="AV140" i="172" s="1"/>
  <c r="AS140" i="172"/>
  <c r="AN124" i="172"/>
  <c r="AQ124" i="172" s="1"/>
  <c r="AV124" i="172" s="1"/>
  <c r="AS124" i="172"/>
  <c r="AN108" i="172"/>
  <c r="AQ108" i="172" s="1"/>
  <c r="AV108" i="172" s="1"/>
  <c r="AS108" i="172"/>
  <c r="AS92" i="172"/>
  <c r="AN92" i="172"/>
  <c r="AQ92" i="172" s="1"/>
  <c r="AV92" i="172" s="1"/>
  <c r="AS66" i="172"/>
  <c r="AN66" i="172"/>
  <c r="AQ66" i="172" s="1"/>
  <c r="AV66" i="172" s="1"/>
  <c r="AS565" i="172"/>
  <c r="AN565" i="172"/>
  <c r="AQ565" i="172" s="1"/>
  <c r="AV565" i="172" s="1"/>
  <c r="AS549" i="172"/>
  <c r="AN549" i="172"/>
  <c r="AQ549" i="172" s="1"/>
  <c r="AV549" i="172" s="1"/>
  <c r="AS533" i="172"/>
  <c r="AN533" i="172"/>
  <c r="AQ533" i="172" s="1"/>
  <c r="AV533" i="172" s="1"/>
  <c r="AS517" i="172"/>
  <c r="AN517" i="172"/>
  <c r="AQ517" i="172" s="1"/>
  <c r="AV517" i="172" s="1"/>
  <c r="AN501" i="172"/>
  <c r="AQ501" i="172" s="1"/>
  <c r="AV501" i="172" s="1"/>
  <c r="AS501" i="172"/>
  <c r="AN485" i="172"/>
  <c r="AQ485" i="172" s="1"/>
  <c r="AV485" i="172" s="1"/>
  <c r="AS485" i="172"/>
  <c r="AN469" i="172"/>
  <c r="AQ469" i="172" s="1"/>
  <c r="AV469" i="172" s="1"/>
  <c r="AS469" i="172"/>
  <c r="AN453" i="172"/>
  <c r="AQ453" i="172" s="1"/>
  <c r="AV453" i="172" s="1"/>
  <c r="AS453" i="172"/>
  <c r="AN437" i="172"/>
  <c r="AQ437" i="172" s="1"/>
  <c r="AV437" i="172" s="1"/>
  <c r="AS437" i="172"/>
  <c r="AN392" i="172"/>
  <c r="AQ392" i="172" s="1"/>
  <c r="AV392" i="172" s="1"/>
  <c r="AS392" i="172"/>
  <c r="AS376" i="172"/>
  <c r="AN376" i="172"/>
  <c r="AQ376" i="172" s="1"/>
  <c r="AV376" i="172" s="1"/>
  <c r="AS360" i="172"/>
  <c r="AN360" i="172"/>
  <c r="AQ360" i="172" s="1"/>
  <c r="AV360" i="172" s="1"/>
  <c r="AS344" i="172"/>
  <c r="AN344" i="172"/>
  <c r="AQ344" i="172" s="1"/>
  <c r="AV344" i="172" s="1"/>
  <c r="AN276" i="172"/>
  <c r="AQ276" i="172" s="1"/>
  <c r="AV276" i="172" s="1"/>
  <c r="AS276" i="172"/>
  <c r="AN264" i="172"/>
  <c r="AQ264" i="172" s="1"/>
  <c r="AV264" i="172" s="1"/>
  <c r="AS264" i="172"/>
  <c r="AN256" i="172"/>
  <c r="AQ256" i="172" s="1"/>
  <c r="AV256" i="172" s="1"/>
  <c r="AS256" i="172"/>
  <c r="AN248" i="172"/>
  <c r="AQ248" i="172" s="1"/>
  <c r="AV248" i="172" s="1"/>
  <c r="AS248" i="172"/>
  <c r="AS240" i="172"/>
  <c r="AN240" i="172"/>
  <c r="AQ240" i="172" s="1"/>
  <c r="AV240" i="172" s="1"/>
  <c r="AN232" i="172"/>
  <c r="AQ232" i="172" s="1"/>
  <c r="AV232" i="172" s="1"/>
  <c r="AS232" i="172"/>
  <c r="AS219" i="172"/>
  <c r="AN219" i="172"/>
  <c r="AQ219" i="172" s="1"/>
  <c r="AV219" i="172" s="1"/>
  <c r="AS205" i="172"/>
  <c r="AN205" i="172"/>
  <c r="AQ205" i="172" s="1"/>
  <c r="AV205" i="172" s="1"/>
  <c r="AN193" i="172"/>
  <c r="AQ193" i="172" s="1"/>
  <c r="AV193" i="172" s="1"/>
  <c r="AS193" i="172"/>
  <c r="AS147" i="172"/>
  <c r="AN147" i="172"/>
  <c r="AQ147" i="172" s="1"/>
  <c r="AV147" i="172" s="1"/>
  <c r="AS129" i="172"/>
  <c r="AN129" i="172"/>
  <c r="AQ129" i="172" s="1"/>
  <c r="AV129" i="172" s="1"/>
  <c r="AN113" i="172"/>
  <c r="AQ113" i="172" s="1"/>
  <c r="AV113" i="172" s="1"/>
  <c r="AS113" i="172"/>
  <c r="AN97" i="172"/>
  <c r="AQ97" i="172" s="1"/>
  <c r="AV97" i="172" s="1"/>
  <c r="AS97" i="172"/>
  <c r="AN81" i="172"/>
  <c r="AQ81" i="172" s="1"/>
  <c r="AV81" i="172" s="1"/>
  <c r="AS81" i="172"/>
  <c r="AS47" i="172"/>
  <c r="AN47" i="172"/>
  <c r="AQ47" i="172" s="1"/>
  <c r="AV47" i="172" s="1"/>
  <c r="AN39" i="172"/>
  <c r="AQ39" i="172" s="1"/>
  <c r="AV39" i="172" s="1"/>
  <c r="AS39" i="172"/>
  <c r="AN31" i="172"/>
  <c r="AQ31" i="172" s="1"/>
  <c r="AV31" i="172" s="1"/>
  <c r="AS31" i="172"/>
  <c r="AS23" i="172"/>
  <c r="AN23" i="172"/>
  <c r="AQ23" i="172" s="1"/>
  <c r="AV23" i="172" s="1"/>
  <c r="AN15" i="172"/>
  <c r="AQ15" i="172" s="1"/>
  <c r="AV15" i="172" s="1"/>
  <c r="AS15" i="172"/>
  <c r="AN7" i="172"/>
  <c r="AQ7" i="172" s="1"/>
  <c r="AV7" i="172" s="1"/>
  <c r="AS7" i="172"/>
  <c r="AN72" i="172"/>
  <c r="AQ72" i="172" s="1"/>
  <c r="AV72" i="172" s="1"/>
  <c r="AS72" i="172"/>
  <c r="AS57" i="172"/>
  <c r="AN57" i="172"/>
  <c r="AQ57" i="172" s="1"/>
  <c r="AV57" i="172" s="1"/>
  <c r="AN70" i="172"/>
  <c r="AQ70" i="172" s="1"/>
  <c r="AV70" i="172" s="1"/>
  <c r="AS70" i="172"/>
  <c r="AN60" i="172"/>
  <c r="AQ60" i="172" s="1"/>
  <c r="AV60" i="172" s="1"/>
  <c r="AS60" i="172"/>
  <c r="AS49" i="172"/>
  <c r="AN49" i="172"/>
  <c r="AQ49" i="172" s="1"/>
  <c r="AV49" i="172" s="1"/>
  <c r="AS41" i="172"/>
  <c r="AN41" i="172"/>
  <c r="AQ41" i="172" s="1"/>
  <c r="AV41" i="172" s="1"/>
  <c r="AS33" i="172"/>
  <c r="AN33" i="172"/>
  <c r="AQ33" i="172" s="1"/>
  <c r="AV33" i="172" s="1"/>
  <c r="AS25" i="172"/>
  <c r="AN25" i="172"/>
  <c r="AQ25" i="172" s="1"/>
  <c r="AV25" i="172" s="1"/>
  <c r="AN17" i="172"/>
  <c r="AQ17" i="172" s="1"/>
  <c r="AV17" i="172" s="1"/>
  <c r="AS17" i="172"/>
  <c r="AN9" i="172"/>
  <c r="AQ9" i="172" s="1"/>
  <c r="AV9" i="172" s="1"/>
  <c r="AS9" i="172"/>
  <c r="AO993" i="172"/>
  <c r="AT993" i="172"/>
  <c r="AL993" i="172" a="1"/>
  <c r="AL993" i="172" s="1"/>
  <c r="AP993" i="172" s="1"/>
  <c r="AO985" i="172"/>
  <c r="AR985" i="172" s="1"/>
  <c r="AU985" i="172" s="1"/>
  <c r="AT985" i="172"/>
  <c r="AL985" i="172" a="1"/>
  <c r="AL985" i="172" s="1"/>
  <c r="AP985" i="172" s="1"/>
  <c r="AO977" i="172"/>
  <c r="AT977" i="172"/>
  <c r="AL977" i="172" a="1"/>
  <c r="AL977" i="172" s="1"/>
  <c r="AP977" i="172" s="1"/>
  <c r="AO969" i="172"/>
  <c r="AT969" i="172"/>
  <c r="AL969" i="172" a="1"/>
  <c r="AL969" i="172" s="1"/>
  <c r="AP969" i="172" s="1"/>
  <c r="AO961" i="172"/>
  <c r="AT961" i="172"/>
  <c r="AL961" i="172" a="1"/>
  <c r="AL961" i="172" s="1"/>
  <c r="AP961" i="172" s="1"/>
  <c r="AO953" i="172"/>
  <c r="AT953" i="172"/>
  <c r="AL953" i="172" a="1"/>
  <c r="AL953" i="172" s="1"/>
  <c r="AP953" i="172" s="1"/>
  <c r="AO944" i="172"/>
  <c r="AT944" i="172"/>
  <c r="AL944" i="172" a="1"/>
  <c r="AL944" i="172" s="1"/>
  <c r="AP944" i="172" s="1"/>
  <c r="AO919" i="172"/>
  <c r="AT919" i="172"/>
  <c r="AL919" i="172" a="1"/>
  <c r="AL919" i="172" s="1"/>
  <c r="AP919" i="172" s="1"/>
  <c r="AO937" i="172"/>
  <c r="AR937" i="172" s="1"/>
  <c r="AU937" i="172" s="1"/>
  <c r="AT937" i="172"/>
  <c r="AL937" i="172" a="1"/>
  <c r="AL937" i="172" s="1"/>
  <c r="AP937" i="172" s="1"/>
  <c r="AO913" i="172"/>
  <c r="AT913" i="172"/>
  <c r="AL913" i="172" a="1"/>
  <c r="AL913" i="172" s="1"/>
  <c r="AP913" i="172" s="1"/>
  <c r="AO994" i="172"/>
  <c r="AT994" i="172"/>
  <c r="AL994" i="172" a="1"/>
  <c r="AL994" i="172" s="1"/>
  <c r="AP994" i="172" s="1"/>
  <c r="AO986" i="172"/>
  <c r="AT986" i="172"/>
  <c r="AL986" i="172" a="1"/>
  <c r="AL986" i="172" s="1"/>
  <c r="AP986" i="172" s="1"/>
  <c r="AX985" i="172" s="1"/>
  <c r="AY985" i="172" s="1"/>
  <c r="AO978" i="172"/>
  <c r="AT978" i="172"/>
  <c r="AL978" i="172" a="1"/>
  <c r="AL978" i="172" s="1"/>
  <c r="AP978" i="172" s="1"/>
  <c r="AX977" i="172" s="1"/>
  <c r="AY977" i="172" s="1"/>
  <c r="AO970" i="172"/>
  <c r="AT970" i="172"/>
  <c r="AL970" i="172" a="1"/>
  <c r="AL970" i="172" s="1"/>
  <c r="AP970" i="172" s="1"/>
  <c r="AX969" i="172" s="1"/>
  <c r="AY969" i="172" s="1"/>
  <c r="AO962" i="172"/>
  <c r="AT962" i="172"/>
  <c r="AL962" i="172" a="1"/>
  <c r="AL962" i="172" s="1"/>
  <c r="AP962" i="172" s="1"/>
  <c r="AO954" i="172"/>
  <c r="AT954" i="172"/>
  <c r="AL954" i="172" a="1"/>
  <c r="AL954" i="172" s="1"/>
  <c r="AP954" i="172" s="1"/>
  <c r="AX953" i="172" s="1"/>
  <c r="AY953" i="172" s="1"/>
  <c r="AO946" i="172"/>
  <c r="AT946" i="172"/>
  <c r="AL946" i="172" a="1"/>
  <c r="AL946" i="172" s="1"/>
  <c r="AP946" i="172" s="1"/>
  <c r="AO931" i="172"/>
  <c r="AT931" i="172"/>
  <c r="AL931" i="172" a="1"/>
  <c r="AL931" i="172" s="1"/>
  <c r="AP931" i="172" s="1"/>
  <c r="AO943" i="172"/>
  <c r="AT943" i="172"/>
  <c r="AL943" i="172" a="1"/>
  <c r="AL943" i="172" s="1"/>
  <c r="AP943" i="172" s="1"/>
  <c r="AO927" i="172"/>
  <c r="AT927" i="172"/>
  <c r="AL927" i="172" a="1"/>
  <c r="AL927" i="172" s="1"/>
  <c r="AP927" i="172" s="1"/>
  <c r="AO895" i="172"/>
  <c r="AT895" i="172"/>
  <c r="AL895" i="172" a="1"/>
  <c r="AL895" i="172" s="1"/>
  <c r="AP895" i="172" s="1"/>
  <c r="AO879" i="172"/>
  <c r="AT879" i="172"/>
  <c r="AL879" i="172" a="1"/>
  <c r="AL879" i="172" s="1"/>
  <c r="AP879" i="172" s="1"/>
  <c r="AO863" i="172"/>
  <c r="AT863" i="172"/>
  <c r="AL863" i="172" a="1"/>
  <c r="AL863" i="172" s="1"/>
  <c r="AP863" i="172" s="1"/>
  <c r="AT848" i="172"/>
  <c r="AO848" i="172"/>
  <c r="AL848" i="172" a="1"/>
  <c r="AL848" i="172" s="1"/>
  <c r="AP848" i="172" s="1"/>
  <c r="AO834" i="172"/>
  <c r="AT834" i="172"/>
  <c r="AL834" i="172" a="1"/>
  <c r="AL834" i="172" s="1"/>
  <c r="AP834" i="172" s="1"/>
  <c r="AO818" i="172"/>
  <c r="AT818" i="172"/>
  <c r="AL818" i="172" a="1"/>
  <c r="AL818" i="172" s="1"/>
  <c r="AP818" i="172" s="1"/>
  <c r="AT802" i="172"/>
  <c r="AO802" i="172"/>
  <c r="AL802" i="172" a="1"/>
  <c r="AL802" i="172" s="1"/>
  <c r="AP802" i="172" s="1"/>
  <c r="AL785" i="172" a="1"/>
  <c r="AL785" i="172" s="1"/>
  <c r="AP785" i="172" s="1"/>
  <c r="AT785" i="172"/>
  <c r="AO785" i="172"/>
  <c r="AL769" i="172" a="1"/>
  <c r="AL769" i="172" s="1"/>
  <c r="AP769" i="172" s="1"/>
  <c r="AT769" i="172"/>
  <c r="AO769" i="172"/>
  <c r="AL753" i="172" a="1"/>
  <c r="AL753" i="172" s="1"/>
  <c r="AP753" i="172" s="1"/>
  <c r="AT753" i="172"/>
  <c r="AO753" i="172"/>
  <c r="AL737" i="172" a="1"/>
  <c r="AL737" i="172" s="1"/>
  <c r="AP737" i="172" s="1"/>
  <c r="AT737" i="172"/>
  <c r="AO737" i="172"/>
  <c r="AT720" i="172"/>
  <c r="AO720" i="172"/>
  <c r="AL720" i="172" a="1"/>
  <c r="AL720" i="172" s="1"/>
  <c r="AP720" i="172" s="1"/>
  <c r="AT704" i="172"/>
  <c r="AO704" i="172"/>
  <c r="AL704" i="172" a="1"/>
  <c r="AL704" i="172" s="1"/>
  <c r="AP704" i="172" s="1"/>
  <c r="AO692" i="172"/>
  <c r="AT692" i="172"/>
  <c r="AL692" i="172" a="1"/>
  <c r="AL692" i="172" s="1"/>
  <c r="AP692" i="172" s="1"/>
  <c r="AT684" i="172"/>
  <c r="AO684" i="172"/>
  <c r="AL684" i="172" a="1"/>
  <c r="AL684" i="172" s="1"/>
  <c r="AP684" i="172" s="1"/>
  <c r="AO676" i="172"/>
  <c r="AT676" i="172"/>
  <c r="AL676" i="172" a="1"/>
  <c r="AL676" i="172" s="1"/>
  <c r="AP676" i="172" s="1"/>
  <c r="AT668" i="172"/>
  <c r="AO668" i="172"/>
  <c r="AL668" i="172" a="1"/>
  <c r="AL668" i="172" s="1"/>
  <c r="AP668" i="172" s="1"/>
  <c r="AO660" i="172"/>
  <c r="AT660" i="172"/>
  <c r="AL660" i="172" a="1"/>
  <c r="AL660" i="172" s="1"/>
  <c r="AP660" i="172" s="1"/>
  <c r="AT652" i="172"/>
  <c r="AO652" i="172"/>
  <c r="AL652" i="172" a="1"/>
  <c r="AL652" i="172" s="1"/>
  <c r="AP652" i="172" s="1"/>
  <c r="AO644" i="172"/>
  <c r="AT644" i="172"/>
  <c r="AL644" i="172" a="1"/>
  <c r="AL644" i="172" s="1"/>
  <c r="AP644" i="172" s="1"/>
  <c r="AT636" i="172"/>
  <c r="AO636" i="172"/>
  <c r="AL636" i="172" a="1"/>
  <c r="AL636" i="172" s="1"/>
  <c r="AP636" i="172" s="1"/>
  <c r="AO628" i="172"/>
  <c r="AT628" i="172"/>
  <c r="AL628" i="172" a="1"/>
  <c r="AL628" i="172" s="1"/>
  <c r="AP628" i="172" s="1"/>
  <c r="AT620" i="172"/>
  <c r="AO620" i="172"/>
  <c r="AL620" i="172" a="1"/>
  <c r="AL620" i="172" s="1"/>
  <c r="AP620" i="172" s="1"/>
  <c r="AO612" i="172"/>
  <c r="AT612" i="172"/>
  <c r="AL612" i="172" a="1"/>
  <c r="AL612" i="172" s="1"/>
  <c r="AP612" i="172" s="1"/>
  <c r="AT604" i="172"/>
  <c r="AO604" i="172"/>
  <c r="AL604" i="172" a="1"/>
  <c r="AL604" i="172" s="1"/>
  <c r="AP604" i="172" s="1"/>
  <c r="AL588" i="172" a="1"/>
  <c r="AL588" i="172" s="1"/>
  <c r="AP588" i="172" s="1"/>
  <c r="AT588" i="172"/>
  <c r="AO588" i="172"/>
  <c r="AL569" i="172" a="1"/>
  <c r="AL569" i="172" s="1"/>
  <c r="AP569" i="172" s="1"/>
  <c r="AT569" i="172"/>
  <c r="AO569" i="172"/>
  <c r="AL551" i="172" a="1"/>
  <c r="AL551" i="172" s="1"/>
  <c r="AP551" i="172" s="1"/>
  <c r="AO551" i="172"/>
  <c r="AT551" i="172"/>
  <c r="AL519" i="172" a="1"/>
  <c r="AL519" i="172" s="1"/>
  <c r="AP519" i="172" s="1"/>
  <c r="AO519" i="172"/>
  <c r="AT519" i="172"/>
  <c r="AL467" i="172" a="1"/>
  <c r="AL467" i="172" s="1"/>
  <c r="AP467" i="172" s="1"/>
  <c r="AT467" i="172"/>
  <c r="AO467" i="172"/>
  <c r="AT422" i="172"/>
  <c r="AO422" i="172"/>
  <c r="AR422" i="172" s="1"/>
  <c r="AL422" i="172" a="1"/>
  <c r="AL422" i="172" s="1"/>
  <c r="AP422" i="172" s="1"/>
  <c r="AT406" i="172"/>
  <c r="AO406" i="172"/>
  <c r="AR406" i="172" s="1"/>
  <c r="AL406" i="172" a="1"/>
  <c r="AL406" i="172" s="1"/>
  <c r="AP406" i="172" s="1"/>
  <c r="AO354" i="172"/>
  <c r="AT354" i="172"/>
  <c r="AL354" i="172" a="1"/>
  <c r="AL354" i="172" s="1"/>
  <c r="AP354" i="172" s="1"/>
  <c r="AT253" i="172"/>
  <c r="AO253" i="172"/>
  <c r="AL253" i="172" a="1"/>
  <c r="AL253" i="172" s="1"/>
  <c r="AP253" i="172" s="1"/>
  <c r="AT189" i="172"/>
  <c r="AO189" i="172"/>
  <c r="AR189" i="172" s="1"/>
  <c r="AL189" i="172" a="1"/>
  <c r="AL189" i="172" s="1"/>
  <c r="AP189" i="172" s="1"/>
  <c r="AT173" i="172"/>
  <c r="AO173" i="172"/>
  <c r="AR173" i="172" s="1"/>
  <c r="AL173" i="172" a="1"/>
  <c r="AL173" i="172" s="1"/>
  <c r="AP173" i="172" s="1"/>
  <c r="AO912" i="172"/>
  <c r="AT912" i="172"/>
  <c r="AL912" i="172" a="1"/>
  <c r="AL912" i="172" s="1"/>
  <c r="AP912" i="172" s="1"/>
  <c r="AO896" i="172"/>
  <c r="AT896" i="172"/>
  <c r="AL896" i="172" a="1"/>
  <c r="AL896" i="172" s="1"/>
  <c r="AP896" i="172" s="1"/>
  <c r="AO880" i="172"/>
  <c r="AT880" i="172"/>
  <c r="AL880" i="172" a="1"/>
  <c r="AL880" i="172" s="1"/>
  <c r="AP880" i="172" s="1"/>
  <c r="AX879" i="172" s="1"/>
  <c r="AY879" i="172" s="1"/>
  <c r="AO864" i="172"/>
  <c r="AT864" i="172"/>
  <c r="AL864" i="172" a="1"/>
  <c r="AL864" i="172" s="1"/>
  <c r="AP864" i="172" s="1"/>
  <c r="AX863" i="172" s="1"/>
  <c r="AY863" i="172" s="1"/>
  <c r="AO850" i="172"/>
  <c r="AT850" i="172"/>
  <c r="AL850" i="172" a="1"/>
  <c r="AL850" i="172" s="1"/>
  <c r="AP850" i="172" s="1"/>
  <c r="AL829" i="172" a="1"/>
  <c r="AL829" i="172" s="1"/>
  <c r="AP829" i="172" s="1"/>
  <c r="AT829" i="172"/>
  <c r="AO829" i="172"/>
  <c r="AL813" i="172" a="1"/>
  <c r="AL813" i="172" s="1"/>
  <c r="AP813" i="172" s="1"/>
  <c r="AT813" i="172"/>
  <c r="AO813" i="172"/>
  <c r="AL798" i="172" a="1"/>
  <c r="AL798" i="172" s="1"/>
  <c r="AP798" i="172" s="1"/>
  <c r="AT798" i="172"/>
  <c r="AO798" i="172"/>
  <c r="AL782" i="172" a="1"/>
  <c r="AL782" i="172" s="1"/>
  <c r="AP782" i="172" s="1"/>
  <c r="AT782" i="172"/>
  <c r="AO782" i="172"/>
  <c r="AL766" i="172" a="1"/>
  <c r="AL766" i="172" s="1"/>
  <c r="AP766" i="172" s="1"/>
  <c r="AT766" i="172"/>
  <c r="AO766" i="172"/>
  <c r="AL750" i="172" a="1"/>
  <c r="AL750" i="172" s="1"/>
  <c r="AP750" i="172" s="1"/>
  <c r="AO750" i="172"/>
  <c r="AT750" i="172"/>
  <c r="AL734" i="172" a="1"/>
  <c r="AL734" i="172" s="1"/>
  <c r="AP734" i="172" s="1"/>
  <c r="AO734" i="172"/>
  <c r="AT734" i="172"/>
  <c r="AO718" i="172"/>
  <c r="AT718" i="172"/>
  <c r="AL718" i="172" a="1"/>
  <c r="AL718" i="172" s="1"/>
  <c r="AP718" i="172" s="1"/>
  <c r="AO702" i="172"/>
  <c r="AT702" i="172"/>
  <c r="AL702" i="172" a="1"/>
  <c r="AL702" i="172" s="1"/>
  <c r="AP702" i="172" s="1"/>
  <c r="AL590" i="172" a="1"/>
  <c r="AL590" i="172" s="1"/>
  <c r="AP590" i="172" s="1"/>
  <c r="AO590" i="172"/>
  <c r="AT590" i="172"/>
  <c r="AL572" i="172" a="1"/>
  <c r="AL572" i="172" s="1"/>
  <c r="AP572" i="172" s="1"/>
  <c r="AO572" i="172"/>
  <c r="AT572" i="172"/>
  <c r="AL549" i="172" a="1"/>
  <c r="AL549" i="172" s="1"/>
  <c r="AP549" i="172" s="1"/>
  <c r="AT549" i="172"/>
  <c r="AO549" i="172"/>
  <c r="AR549" i="172" s="1"/>
  <c r="AU549" i="172" s="1"/>
  <c r="AL521" i="172" a="1"/>
  <c r="AL521" i="172" s="1"/>
  <c r="AP521" i="172" s="1"/>
  <c r="AO521" i="172"/>
  <c r="AT521" i="172"/>
  <c r="AL455" i="172" a="1"/>
  <c r="AL455" i="172" s="1"/>
  <c r="AP455" i="172" s="1"/>
  <c r="AT455" i="172"/>
  <c r="AO455" i="172"/>
  <c r="AT421" i="172"/>
  <c r="AO421" i="172"/>
  <c r="AL421" i="172" a="1"/>
  <c r="AL421" i="172" s="1"/>
  <c r="AP421" i="172" s="1"/>
  <c r="AT405" i="172"/>
  <c r="AO405" i="172"/>
  <c r="AL405" i="172" a="1"/>
  <c r="AL405" i="172" s="1"/>
  <c r="AP405" i="172" s="1"/>
  <c r="AL342" i="172" a="1"/>
  <c r="AL342" i="172" s="1"/>
  <c r="AP342" i="172" s="1"/>
  <c r="AO342" i="172"/>
  <c r="AT342" i="172"/>
  <c r="AO243" i="172"/>
  <c r="AR243" i="172" s="1"/>
  <c r="AT243" i="172"/>
  <c r="AL243" i="172" a="1"/>
  <c r="AL243" i="172" s="1"/>
  <c r="AP243" i="172" s="1"/>
  <c r="AL210" i="172" a="1"/>
  <c r="AL210" i="172" s="1"/>
  <c r="AP210" i="172" s="1"/>
  <c r="AT210" i="172"/>
  <c r="AO210" i="172"/>
  <c r="AO180" i="172"/>
  <c r="AT180" i="172"/>
  <c r="AL180" i="172" a="1"/>
  <c r="AL180" i="172" s="1"/>
  <c r="AP180" i="172" s="1"/>
  <c r="AO905" i="172"/>
  <c r="AR905" i="172" s="1"/>
  <c r="AU905" i="172" s="1"/>
  <c r="AT905" i="172"/>
  <c r="AL905" i="172" a="1"/>
  <c r="AL905" i="172" s="1"/>
  <c r="AP905" i="172" s="1"/>
  <c r="AO889" i="172"/>
  <c r="AT889" i="172"/>
  <c r="AL889" i="172" a="1"/>
  <c r="AL889" i="172" s="1"/>
  <c r="AP889" i="172" s="1"/>
  <c r="AT873" i="172"/>
  <c r="AO873" i="172"/>
  <c r="AL873" i="172" a="1"/>
  <c r="AL873" i="172" s="1"/>
  <c r="AP873" i="172" s="1"/>
  <c r="AT855" i="172"/>
  <c r="AO855" i="172"/>
  <c r="AL855" i="172" a="1"/>
  <c r="AL855" i="172" s="1"/>
  <c r="AP855" i="172" s="1"/>
  <c r="AT837" i="172"/>
  <c r="AO837" i="172"/>
  <c r="AL837" i="172" a="1"/>
  <c r="AL837" i="172" s="1"/>
  <c r="AP837" i="172" s="1"/>
  <c r="AT822" i="172"/>
  <c r="AO822" i="172"/>
  <c r="AL822" i="172" a="1"/>
  <c r="AL822" i="172" s="1"/>
  <c r="AP822" i="172" s="1"/>
  <c r="AT806" i="172"/>
  <c r="AO806" i="172"/>
  <c r="AL806" i="172" a="1"/>
  <c r="AL806" i="172" s="1"/>
  <c r="AP806" i="172" s="1"/>
  <c r="AL787" i="172" a="1"/>
  <c r="AL787" i="172" s="1"/>
  <c r="AP787" i="172" s="1"/>
  <c r="AT787" i="172"/>
  <c r="AO787" i="172"/>
  <c r="AL771" i="172" a="1"/>
  <c r="AL771" i="172" s="1"/>
  <c r="AP771" i="172" s="1"/>
  <c r="AT771" i="172"/>
  <c r="AO771" i="172"/>
  <c r="AL755" i="172" a="1"/>
  <c r="AL755" i="172" s="1"/>
  <c r="AP755" i="172" s="1"/>
  <c r="AT755" i="172"/>
  <c r="AO755" i="172"/>
  <c r="AL739" i="172" a="1"/>
  <c r="AL739" i="172" s="1"/>
  <c r="AP739" i="172" s="1"/>
  <c r="AO739" i="172"/>
  <c r="AT739" i="172"/>
  <c r="AT724" i="172"/>
  <c r="AO724" i="172"/>
  <c r="AL724" i="172" a="1"/>
  <c r="AL724" i="172" s="1"/>
  <c r="AP724" i="172" s="1"/>
  <c r="AT708" i="172"/>
  <c r="AO708" i="172"/>
  <c r="AL708" i="172" a="1"/>
  <c r="AL708" i="172" s="1"/>
  <c r="AP708" i="172" s="1"/>
  <c r="AO694" i="172"/>
  <c r="AT694" i="172"/>
  <c r="AL694" i="172" a="1"/>
  <c r="AL694" i="172" s="1"/>
  <c r="AP694" i="172" s="1"/>
  <c r="AO686" i="172"/>
  <c r="AT686" i="172"/>
  <c r="AL686" i="172" a="1"/>
  <c r="AL686" i="172" s="1"/>
  <c r="AP686" i="172" s="1"/>
  <c r="AO678" i="172"/>
  <c r="AT678" i="172"/>
  <c r="AL678" i="172" a="1"/>
  <c r="AL678" i="172" s="1"/>
  <c r="AP678" i="172" s="1"/>
  <c r="AO670" i="172"/>
  <c r="AT670" i="172"/>
  <c r="AL670" i="172" a="1"/>
  <c r="AL670" i="172" s="1"/>
  <c r="AP670" i="172" s="1"/>
  <c r="AO662" i="172"/>
  <c r="AT662" i="172"/>
  <c r="AL662" i="172" a="1"/>
  <c r="AL662" i="172" s="1"/>
  <c r="AP662" i="172" s="1"/>
  <c r="AO654" i="172"/>
  <c r="AT654" i="172"/>
  <c r="AL654" i="172" a="1"/>
  <c r="AL654" i="172" s="1"/>
  <c r="AP654" i="172" s="1"/>
  <c r="AO646" i="172"/>
  <c r="AT646" i="172"/>
  <c r="AL646" i="172" a="1"/>
  <c r="AL646" i="172" s="1"/>
  <c r="AP646" i="172" s="1"/>
  <c r="AO638" i="172"/>
  <c r="AT638" i="172"/>
  <c r="AL638" i="172" a="1"/>
  <c r="AL638" i="172" s="1"/>
  <c r="AP638" i="172" s="1"/>
  <c r="AO630" i="172"/>
  <c r="AT630" i="172"/>
  <c r="AL630" i="172" a="1"/>
  <c r="AL630" i="172" s="1"/>
  <c r="AP630" i="172" s="1"/>
  <c r="AO622" i="172"/>
  <c r="AT622" i="172"/>
  <c r="AL622" i="172" a="1"/>
  <c r="AL622" i="172" s="1"/>
  <c r="AP622" i="172" s="1"/>
  <c r="AO614" i="172"/>
  <c r="AT614" i="172"/>
  <c r="AL614" i="172" a="1"/>
  <c r="AL614" i="172" s="1"/>
  <c r="AP614" i="172" s="1"/>
  <c r="AO606" i="172"/>
  <c r="AT606" i="172"/>
  <c r="AL606" i="172" a="1"/>
  <c r="AL606" i="172" s="1"/>
  <c r="AP606" i="172" s="1"/>
  <c r="AO591" i="172"/>
  <c r="AT591" i="172"/>
  <c r="AL591" i="172" a="1"/>
  <c r="AL591" i="172" s="1"/>
  <c r="AP591" i="172" s="1"/>
  <c r="AL575" i="172" a="1"/>
  <c r="AL575" i="172" s="1"/>
  <c r="AP575" i="172" s="1"/>
  <c r="AO575" i="172"/>
  <c r="AR575" i="172" s="1"/>
  <c r="AT575" i="172"/>
  <c r="AL552" i="172" a="1"/>
  <c r="AL552" i="172" s="1"/>
  <c r="AP552" i="172" s="1"/>
  <c r="AX551" i="172" s="1"/>
  <c r="AY551" i="172" s="1"/>
  <c r="AT552" i="172"/>
  <c r="AO552" i="172"/>
  <c r="AR552" i="172" s="1"/>
  <c r="AU552" i="172" s="1"/>
  <c r="AL531" i="172" a="1"/>
  <c r="AL531" i="172" s="1"/>
  <c r="AP531" i="172" s="1"/>
  <c r="AT531" i="172"/>
  <c r="AO531" i="172"/>
  <c r="AL475" i="172" a="1"/>
  <c r="AL475" i="172" s="1"/>
  <c r="AP475" i="172" s="1"/>
  <c r="AO475" i="172"/>
  <c r="AR475" i="172" s="1"/>
  <c r="AT475" i="172"/>
  <c r="AO428" i="172"/>
  <c r="AT428" i="172"/>
  <c r="AL428" i="172" a="1"/>
  <c r="AL428" i="172" s="1"/>
  <c r="AP428" i="172" s="1"/>
  <c r="AO412" i="172"/>
  <c r="AT412" i="172"/>
  <c r="AL412" i="172" a="1"/>
  <c r="AL412" i="172" s="1"/>
  <c r="AP412" i="172" s="1"/>
  <c r="AO378" i="172"/>
  <c r="AT378" i="172"/>
  <c r="AL378" i="172" a="1"/>
  <c r="AL378" i="172" s="1"/>
  <c r="AP378" i="172" s="1"/>
  <c r="AT265" i="172"/>
  <c r="AO265" i="172"/>
  <c r="AL265" i="172" a="1"/>
  <c r="AL265" i="172" s="1"/>
  <c r="AP265" i="172" s="1"/>
  <c r="AT233" i="172"/>
  <c r="AO233" i="172"/>
  <c r="AL233" i="172" a="1"/>
  <c r="AL233" i="172" s="1"/>
  <c r="AP233" i="172" s="1"/>
  <c r="AT191" i="172"/>
  <c r="AO191" i="172"/>
  <c r="AL191" i="172" a="1"/>
  <c r="AL191" i="172" s="1"/>
  <c r="AP191" i="172" s="1"/>
  <c r="AT175" i="172"/>
  <c r="AO175" i="172"/>
  <c r="AL175" i="172" a="1"/>
  <c r="AL175" i="172" s="1"/>
  <c r="AP175" i="172" s="1"/>
  <c r="AO922" i="172"/>
  <c r="AT922" i="172"/>
  <c r="AL922" i="172" a="1"/>
  <c r="AL922" i="172" s="1"/>
  <c r="AP922" i="172" s="1"/>
  <c r="AO906" i="172"/>
  <c r="AT906" i="172"/>
  <c r="AL906" i="172" a="1"/>
  <c r="AL906" i="172" s="1"/>
  <c r="AP906" i="172" s="1"/>
  <c r="AX905" i="172" s="1"/>
  <c r="AY905" i="172" s="1"/>
  <c r="AO890" i="172"/>
  <c r="AT890" i="172"/>
  <c r="AL890" i="172" a="1"/>
  <c r="AL890" i="172" s="1"/>
  <c r="AP890" i="172" s="1"/>
  <c r="AX889" i="172" s="1"/>
  <c r="AY889" i="172" s="1"/>
  <c r="AT874" i="172"/>
  <c r="AO874" i="172"/>
  <c r="AL874" i="172" a="1"/>
  <c r="AL874" i="172" s="1"/>
  <c r="AP874" i="172" s="1"/>
  <c r="AX873" i="172" s="1"/>
  <c r="AY873" i="172" s="1"/>
  <c r="AT857" i="172"/>
  <c r="AO857" i="172"/>
  <c r="AL857" i="172" a="1"/>
  <c r="AL857" i="172" s="1"/>
  <c r="AP857" i="172" s="1"/>
  <c r="AO843" i="172"/>
  <c r="AT843" i="172"/>
  <c r="AL843" i="172" a="1"/>
  <c r="AL843" i="172" s="1"/>
  <c r="AP843" i="172" s="1"/>
  <c r="AT832" i="172"/>
  <c r="AO832" i="172"/>
  <c r="AL832" i="172" a="1"/>
  <c r="AL832" i="172" s="1"/>
  <c r="AP832" i="172" s="1"/>
  <c r="AO816" i="172"/>
  <c r="AT816" i="172"/>
  <c r="AL816" i="172" a="1"/>
  <c r="AL816" i="172" s="1"/>
  <c r="AP816" i="172" s="1"/>
  <c r="AT800" i="172"/>
  <c r="AO800" i="172"/>
  <c r="AL800" i="172" a="1"/>
  <c r="AL800" i="172" s="1"/>
  <c r="AP800" i="172" s="1"/>
  <c r="AL784" i="172" a="1"/>
  <c r="AL784" i="172" s="1"/>
  <c r="AP784" i="172" s="1"/>
  <c r="AT784" i="172"/>
  <c r="AO784" i="172"/>
  <c r="AL768" i="172" a="1"/>
  <c r="AL768" i="172" s="1"/>
  <c r="AP768" i="172" s="1"/>
  <c r="AT768" i="172"/>
  <c r="AO768" i="172"/>
  <c r="AL752" i="172" a="1"/>
  <c r="AL752" i="172" s="1"/>
  <c r="AP752" i="172" s="1"/>
  <c r="AO752" i="172"/>
  <c r="AT752" i="172"/>
  <c r="AL736" i="172" a="1"/>
  <c r="AL736" i="172" s="1"/>
  <c r="AP736" i="172" s="1"/>
  <c r="AT736" i="172"/>
  <c r="AO736" i="172"/>
  <c r="AO722" i="172"/>
  <c r="AT722" i="172"/>
  <c r="AL722" i="172" a="1"/>
  <c r="AL722" i="172" s="1"/>
  <c r="AP722" i="172" s="1"/>
  <c r="AT706" i="172"/>
  <c r="AO706" i="172"/>
  <c r="AL706" i="172" a="1"/>
  <c r="AL706" i="172" s="1"/>
  <c r="AP706" i="172" s="1"/>
  <c r="AO601" i="172"/>
  <c r="AT601" i="172"/>
  <c r="AL601" i="172" a="1"/>
  <c r="AL601" i="172" s="1"/>
  <c r="AP601" i="172" s="1"/>
  <c r="AO585" i="172"/>
  <c r="AT585" i="172"/>
  <c r="AL585" i="172" a="1"/>
  <c r="AL585" i="172" s="1"/>
  <c r="AP585" i="172" s="1"/>
  <c r="AL564" i="172" a="1"/>
  <c r="AL564" i="172" s="1"/>
  <c r="AP564" i="172" s="1"/>
  <c r="AT564" i="172"/>
  <c r="AO564" i="172"/>
  <c r="AL541" i="172" a="1"/>
  <c r="AL541" i="172" s="1"/>
  <c r="AP541" i="172" s="1"/>
  <c r="AT541" i="172"/>
  <c r="AO541" i="172"/>
  <c r="AL495" i="172" a="1"/>
  <c r="AL495" i="172" s="1"/>
  <c r="AP495" i="172" s="1"/>
  <c r="AT495" i="172"/>
  <c r="AO495" i="172"/>
  <c r="AL431" i="172" a="1"/>
  <c r="AL431" i="172" s="1"/>
  <c r="AP431" i="172" s="1"/>
  <c r="AO431" i="172"/>
  <c r="AT431" i="172"/>
  <c r="AO415" i="172"/>
  <c r="AT415" i="172"/>
  <c r="AL415" i="172" a="1"/>
  <c r="AL415" i="172" s="1"/>
  <c r="AP415" i="172" s="1"/>
  <c r="AO398" i="172"/>
  <c r="AR398" i="172" s="1"/>
  <c r="AT398" i="172"/>
  <c r="AL398" i="172" a="1"/>
  <c r="AL398" i="172" s="1"/>
  <c r="AP398" i="172" s="1"/>
  <c r="AT339" i="172"/>
  <c r="AO339" i="172"/>
  <c r="AL339" i="172" a="1"/>
  <c r="AL339" i="172" s="1"/>
  <c r="AP339" i="172" s="1"/>
  <c r="AO247" i="172"/>
  <c r="AT247" i="172"/>
  <c r="AL247" i="172" a="1"/>
  <c r="AL247" i="172" s="1"/>
  <c r="AP247" i="172" s="1"/>
  <c r="AT203" i="172"/>
  <c r="AO203" i="172"/>
  <c r="AL203" i="172" a="1"/>
  <c r="AL203" i="172" s="1"/>
  <c r="AP203" i="172" s="1"/>
  <c r="AT178" i="172"/>
  <c r="AO178" i="172"/>
  <c r="AL178" i="172" a="1"/>
  <c r="AL178" i="172" s="1"/>
  <c r="AP178" i="172" s="1"/>
  <c r="AT168" i="172"/>
  <c r="AO168" i="172"/>
  <c r="AL168" i="172" a="1"/>
  <c r="AL168" i="172" s="1"/>
  <c r="AP168" i="172" s="1"/>
  <c r="AT164" i="172"/>
  <c r="AO164" i="172"/>
  <c r="AL164" i="172" a="1"/>
  <c r="AL164" i="172" s="1"/>
  <c r="AP164" i="172" s="1"/>
  <c r="AT160" i="172"/>
  <c r="AO160" i="172"/>
  <c r="AL160" i="172" a="1"/>
  <c r="AL160" i="172" s="1"/>
  <c r="AP160" i="172" s="1"/>
  <c r="AO144" i="172"/>
  <c r="AT144" i="172"/>
  <c r="AL144" i="172" a="1"/>
  <c r="AL144" i="172" s="1"/>
  <c r="AP144" i="172" s="1"/>
  <c r="AO135" i="172"/>
  <c r="AT135" i="172"/>
  <c r="AL135" i="172" a="1"/>
  <c r="AL135" i="172" s="1"/>
  <c r="AP135" i="172" s="1"/>
  <c r="AT127" i="172"/>
  <c r="AO127" i="172"/>
  <c r="AR127" i="172" s="1"/>
  <c r="AL127" i="172" a="1"/>
  <c r="AL127" i="172" s="1"/>
  <c r="AP127" i="172" s="1"/>
  <c r="AO119" i="172"/>
  <c r="AT119" i="172"/>
  <c r="AL119" i="172" a="1"/>
  <c r="AL119" i="172" s="1"/>
  <c r="AP119" i="172" s="1"/>
  <c r="AO111" i="172"/>
  <c r="AR111" i="172" s="1"/>
  <c r="AU111" i="172" s="1"/>
  <c r="AT111" i="172"/>
  <c r="AL111" i="172" a="1"/>
  <c r="AL111" i="172" s="1"/>
  <c r="AP111" i="172" s="1"/>
  <c r="AT103" i="172"/>
  <c r="AO103" i="172"/>
  <c r="AL103" i="172" a="1"/>
  <c r="AL103" i="172" s="1"/>
  <c r="AP103" i="172" s="1"/>
  <c r="AT95" i="172"/>
  <c r="AO95" i="172"/>
  <c r="AR95" i="172" s="1"/>
  <c r="AL95" i="172" a="1"/>
  <c r="AL95" i="172" s="1"/>
  <c r="AP95" i="172" s="1"/>
  <c r="AT87" i="172"/>
  <c r="AO87" i="172"/>
  <c r="AL87" i="172" a="1"/>
  <c r="AL87" i="172" s="1"/>
  <c r="AP87" i="172" s="1"/>
  <c r="AT79" i="172"/>
  <c r="AO79" i="172"/>
  <c r="AR79" i="172" s="1"/>
  <c r="AL79" i="172" a="1"/>
  <c r="AL79" i="172" s="1"/>
  <c r="AP79" i="172" s="1"/>
  <c r="AL53" i="172" a="1"/>
  <c r="AL53" i="172" s="1"/>
  <c r="AP53" i="172" s="1"/>
  <c r="AT53" i="172"/>
  <c r="AO53" i="172"/>
  <c r="AO16" i="172"/>
  <c r="AT16" i="172"/>
  <c r="AL16" i="172" a="1"/>
  <c r="AL16" i="172" s="1"/>
  <c r="AP16" i="172" s="1"/>
  <c r="AT532" i="172"/>
  <c r="AO532" i="172"/>
  <c r="AL532" i="172" a="1"/>
  <c r="AL532" i="172" s="1"/>
  <c r="AP532" i="172" s="1"/>
  <c r="AX531" i="172" s="1"/>
  <c r="AY531" i="172" s="1"/>
  <c r="AT516" i="172"/>
  <c r="AO516" i="172"/>
  <c r="AL516" i="172" a="1"/>
  <c r="AL516" i="172" s="1"/>
  <c r="AP516" i="172" s="1"/>
  <c r="AT500" i="172"/>
  <c r="AO500" i="172"/>
  <c r="AL500" i="172" a="1"/>
  <c r="AL500" i="172" s="1"/>
  <c r="AP500" i="172" s="1"/>
  <c r="AT484" i="172"/>
  <c r="AO484" i="172"/>
  <c r="AL484" i="172" a="1"/>
  <c r="AL484" i="172" s="1"/>
  <c r="AP484" i="172" s="1"/>
  <c r="AO468" i="172"/>
  <c r="AT468" i="172"/>
  <c r="AL468" i="172" a="1"/>
  <c r="AL468" i="172" s="1"/>
  <c r="AP468" i="172" s="1"/>
  <c r="AX467" i="172" s="1"/>
  <c r="AY467" i="172" s="1"/>
  <c r="AL452" i="172" a="1"/>
  <c r="AL452" i="172" s="1"/>
  <c r="AP452" i="172" s="1"/>
  <c r="AT452" i="172"/>
  <c r="AO452" i="172"/>
  <c r="AL436" i="172" a="1"/>
  <c r="AL436" i="172" s="1"/>
  <c r="AP436" i="172" s="1"/>
  <c r="AT436" i="172"/>
  <c r="AO436" i="172"/>
  <c r="AL391" i="172" a="1"/>
  <c r="AL391" i="172" s="1"/>
  <c r="AP391" i="172" s="1"/>
  <c r="AO391" i="172"/>
  <c r="AT391" i="172"/>
  <c r="AL375" i="172" a="1"/>
  <c r="AL375" i="172" s="1"/>
  <c r="AP375" i="172" s="1"/>
  <c r="AT375" i="172"/>
  <c r="AO375" i="172"/>
  <c r="AL359" i="172" a="1"/>
  <c r="AL359" i="172" s="1"/>
  <c r="AP359" i="172" s="1"/>
  <c r="AT359" i="172"/>
  <c r="AO359" i="172"/>
  <c r="AL343" i="172" a="1"/>
  <c r="AL343" i="172" s="1"/>
  <c r="AP343" i="172" s="1"/>
  <c r="AX342" i="172" s="1"/>
  <c r="AY342" i="172" s="1"/>
  <c r="AT343" i="172"/>
  <c r="AO343" i="172"/>
  <c r="AO333" i="172"/>
  <c r="AT333" i="172"/>
  <c r="AL333" i="172" a="1"/>
  <c r="AL333" i="172" s="1"/>
  <c r="AP333" i="172" s="1"/>
  <c r="AT325" i="172"/>
  <c r="AO325" i="172"/>
  <c r="AL325" i="172" a="1"/>
  <c r="AL325" i="172" s="1"/>
  <c r="AP325" i="172" s="1"/>
  <c r="AT317" i="172"/>
  <c r="AO317" i="172"/>
  <c r="AL317" i="172" a="1"/>
  <c r="AL317" i="172" s="1"/>
  <c r="AP317" i="172" s="1"/>
  <c r="AT309" i="172"/>
  <c r="AO309" i="172"/>
  <c r="AL309" i="172" a="1"/>
  <c r="AL309" i="172" s="1"/>
  <c r="AP309" i="172" s="1"/>
  <c r="AT301" i="172"/>
  <c r="AO301" i="172"/>
  <c r="AL301" i="172" a="1"/>
  <c r="AL301" i="172" s="1"/>
  <c r="AP301" i="172" s="1"/>
  <c r="AT293" i="172"/>
  <c r="AO293" i="172"/>
  <c r="AL293" i="172" a="1"/>
  <c r="AL293" i="172" s="1"/>
  <c r="AP293" i="172" s="1"/>
  <c r="AT285" i="172"/>
  <c r="AO285" i="172"/>
  <c r="AL285" i="172" a="1"/>
  <c r="AL285" i="172" s="1"/>
  <c r="AP285" i="172" s="1"/>
  <c r="AT270" i="172"/>
  <c r="AO270" i="172"/>
  <c r="AL270" i="172" a="1"/>
  <c r="AL270" i="172" s="1"/>
  <c r="AP270" i="172" s="1"/>
  <c r="AT211" i="172"/>
  <c r="AO211" i="172"/>
  <c r="AL211" i="172" a="1"/>
  <c r="AL211" i="172" s="1"/>
  <c r="AP211" i="172" s="1"/>
  <c r="AX210" i="172" s="1"/>
  <c r="AY210" i="172" s="1"/>
  <c r="AO192" i="172"/>
  <c r="AT192" i="172"/>
  <c r="AL192" i="172" a="1"/>
  <c r="AL192" i="172" s="1"/>
  <c r="AP192" i="172" s="1"/>
  <c r="AO148" i="172"/>
  <c r="AT148" i="172"/>
  <c r="AL148" i="172" a="1"/>
  <c r="AL148" i="172" s="1"/>
  <c r="AP148" i="172" s="1"/>
  <c r="AL57" i="172" a="1"/>
  <c r="AL57" i="172" s="1"/>
  <c r="AP57" i="172" s="1"/>
  <c r="AO57" i="172"/>
  <c r="AR57" i="172" s="1"/>
  <c r="AT57" i="172"/>
  <c r="AT20" i="172"/>
  <c r="AO20" i="172"/>
  <c r="AL20" i="172" a="1"/>
  <c r="AL20" i="172" s="1"/>
  <c r="AP20" i="172" s="1"/>
  <c r="AL509" i="172" a="1"/>
  <c r="AL509" i="172" s="1"/>
  <c r="AP509" i="172" s="1"/>
  <c r="AT509" i="172"/>
  <c r="AO509" i="172"/>
  <c r="AL493" i="172" a="1"/>
  <c r="AL493" i="172" s="1"/>
  <c r="AP493" i="172" s="1"/>
  <c r="AT493" i="172"/>
  <c r="AO493" i="172"/>
  <c r="AL477" i="172" a="1"/>
  <c r="AL477" i="172" s="1"/>
  <c r="AP477" i="172" s="1"/>
  <c r="AT477" i="172"/>
  <c r="AO477" i="172"/>
  <c r="AL461" i="172" a="1"/>
  <c r="AL461" i="172" s="1"/>
  <c r="AP461" i="172" s="1"/>
  <c r="AO461" i="172"/>
  <c r="AT461" i="172"/>
  <c r="AL445" i="172" a="1"/>
  <c r="AL445" i="172" s="1"/>
  <c r="AP445" i="172" s="1"/>
  <c r="AO445" i="172"/>
  <c r="AT445" i="172"/>
  <c r="AO400" i="172"/>
  <c r="AT400" i="172"/>
  <c r="AL400" i="172" a="1"/>
  <c r="AL400" i="172" s="1"/>
  <c r="AP400" i="172" s="1"/>
  <c r="AT384" i="172"/>
  <c r="AO384" i="172"/>
  <c r="AL384" i="172" a="1"/>
  <c r="AL384" i="172" s="1"/>
  <c r="AP384" i="172" s="1"/>
  <c r="AT368" i="172"/>
  <c r="AO368" i="172"/>
  <c r="AL368" i="172" a="1"/>
  <c r="AL368" i="172" s="1"/>
  <c r="AP368" i="172" s="1"/>
  <c r="AL352" i="172" a="1"/>
  <c r="AL352" i="172" s="1"/>
  <c r="AP352" i="172" s="1"/>
  <c r="AT352" i="172"/>
  <c r="AO352" i="172"/>
  <c r="AO283" i="172"/>
  <c r="AT283" i="172"/>
  <c r="AL283" i="172" a="1"/>
  <c r="AL283" i="172" s="1"/>
  <c r="AP283" i="172" s="1"/>
  <c r="AT268" i="172"/>
  <c r="AO268" i="172"/>
  <c r="AL268" i="172" a="1"/>
  <c r="AL268" i="172" s="1"/>
  <c r="AP268" i="172" s="1"/>
  <c r="AT260" i="172"/>
  <c r="AO260" i="172"/>
  <c r="AL260" i="172" a="1"/>
  <c r="AL260" i="172" s="1"/>
  <c r="AP260" i="172" s="1"/>
  <c r="AT252" i="172"/>
  <c r="AO252" i="172"/>
  <c r="AL252" i="172" a="1"/>
  <c r="AL252" i="172" s="1"/>
  <c r="AP252" i="172" s="1"/>
  <c r="AT244" i="172"/>
  <c r="AO244" i="172"/>
  <c r="AL244" i="172" a="1"/>
  <c r="AL244" i="172" s="1"/>
  <c r="AP244" i="172" s="1"/>
  <c r="AX243" i="172" s="1"/>
  <c r="AY243" i="172" s="1"/>
  <c r="AT236" i="172"/>
  <c r="AO236" i="172"/>
  <c r="AL236" i="172" a="1"/>
  <c r="AL236" i="172" s="1"/>
  <c r="AP236" i="172" s="1"/>
  <c r="AT228" i="172"/>
  <c r="AO228" i="172"/>
  <c r="AL228" i="172" a="1"/>
  <c r="AL228" i="172" s="1"/>
  <c r="AP228" i="172" s="1"/>
  <c r="AT213" i="172"/>
  <c r="AO213" i="172"/>
  <c r="AL213" i="172" a="1"/>
  <c r="AL213" i="172" s="1"/>
  <c r="AP213" i="172" s="1"/>
  <c r="AL198" i="172" a="1"/>
  <c r="AL198" i="172" s="1"/>
  <c r="AP198" i="172" s="1"/>
  <c r="AO198" i="172"/>
  <c r="AR198" i="172" s="1"/>
  <c r="AT198" i="172"/>
  <c r="AT153" i="172"/>
  <c r="AO153" i="172"/>
  <c r="AL153" i="172" a="1"/>
  <c r="AL153" i="172" s="1"/>
  <c r="AP153" i="172" s="1"/>
  <c r="AT141" i="172"/>
  <c r="AO141" i="172"/>
  <c r="AL141" i="172" a="1"/>
  <c r="AL141" i="172" s="1"/>
  <c r="AP141" i="172" s="1"/>
  <c r="AO133" i="172"/>
  <c r="AT133" i="172"/>
  <c r="AL133" i="172" a="1"/>
  <c r="AL133" i="172" s="1"/>
  <c r="AP133" i="172" s="1"/>
  <c r="AT125" i="172"/>
  <c r="AO125" i="172"/>
  <c r="AL125" i="172" a="1"/>
  <c r="AL125" i="172" s="1"/>
  <c r="AP125" i="172" s="1"/>
  <c r="AT117" i="172"/>
  <c r="AO117" i="172"/>
  <c r="AL117" i="172" a="1"/>
  <c r="AL117" i="172" s="1"/>
  <c r="AP117" i="172" s="1"/>
  <c r="AO109" i="172"/>
  <c r="AT109" i="172"/>
  <c r="AL109" i="172" a="1"/>
  <c r="AL109" i="172" s="1"/>
  <c r="AP109" i="172" s="1"/>
  <c r="AT101" i="172"/>
  <c r="AO101" i="172"/>
  <c r="AL101" i="172" a="1"/>
  <c r="AL101" i="172" s="1"/>
  <c r="AP101" i="172" s="1"/>
  <c r="AO93" i="172"/>
  <c r="AT93" i="172"/>
  <c r="AL93" i="172" a="1"/>
  <c r="AL93" i="172" s="1"/>
  <c r="AP93" i="172" s="1"/>
  <c r="AT85" i="172"/>
  <c r="AO85" i="172"/>
  <c r="AL85" i="172" a="1"/>
  <c r="AL85" i="172" s="1"/>
  <c r="AP85" i="172" s="1"/>
  <c r="AT77" i="172"/>
  <c r="AO77" i="172"/>
  <c r="AL77" i="172" a="1"/>
  <c r="AL77" i="172" s="1"/>
  <c r="AP77" i="172" s="1"/>
  <c r="AO56" i="172"/>
  <c r="AT56" i="172"/>
  <c r="AL56" i="172" a="1"/>
  <c r="AL56" i="172" s="1"/>
  <c r="AP56" i="172" s="1"/>
  <c r="AT19" i="172"/>
  <c r="AO19" i="172"/>
  <c r="AL19" i="172" a="1"/>
  <c r="AL19" i="172" s="1"/>
  <c r="AP19" i="172" s="1"/>
  <c r="AL570" i="172" a="1"/>
  <c r="AL570" i="172" s="1"/>
  <c r="AP570" i="172" s="1"/>
  <c r="AT570" i="172"/>
  <c r="AO570" i="172"/>
  <c r="AL554" i="172" a="1"/>
  <c r="AL554" i="172" s="1"/>
  <c r="AP554" i="172" s="1"/>
  <c r="AT554" i="172"/>
  <c r="AO554" i="172"/>
  <c r="AT538" i="172"/>
  <c r="AO538" i="172"/>
  <c r="AL538" i="172" a="1"/>
  <c r="AL538" i="172" s="1"/>
  <c r="AP538" i="172" s="1"/>
  <c r="AO522" i="172"/>
  <c r="AR522" i="172" s="1"/>
  <c r="AU522" i="172" s="1"/>
  <c r="AT522" i="172"/>
  <c r="AL522" i="172" a="1"/>
  <c r="AL522" i="172" s="1"/>
  <c r="AP522" i="172" s="1"/>
  <c r="AX521" i="172" s="1"/>
  <c r="AY521" i="172" s="1"/>
  <c r="AO506" i="172"/>
  <c r="AT506" i="172"/>
  <c r="AL506" i="172" a="1"/>
  <c r="AL506" i="172" s="1"/>
  <c r="AP506" i="172" s="1"/>
  <c r="AO490" i="172"/>
  <c r="AT490" i="172"/>
  <c r="AL490" i="172" a="1"/>
  <c r="AL490" i="172" s="1"/>
  <c r="AP490" i="172" s="1"/>
  <c r="AO474" i="172"/>
  <c r="AR474" i="172" s="1"/>
  <c r="AT474" i="172"/>
  <c r="AL474" i="172" a="1"/>
  <c r="AL474" i="172" s="1"/>
  <c r="AP474" i="172" s="1"/>
  <c r="AL458" i="172" a="1"/>
  <c r="AL458" i="172" s="1"/>
  <c r="AP458" i="172" s="1"/>
  <c r="AO458" i="172"/>
  <c r="AT458" i="172"/>
  <c r="AL442" i="172" a="1"/>
  <c r="AL442" i="172" s="1"/>
  <c r="AP442" i="172" s="1"/>
  <c r="AO442" i="172"/>
  <c r="AT442" i="172"/>
  <c r="AL397" i="172" a="1"/>
  <c r="AL397" i="172" s="1"/>
  <c r="AP397" i="172" s="1"/>
  <c r="AT397" i="172"/>
  <c r="AO397" i="172"/>
  <c r="AL381" i="172" a="1"/>
  <c r="AL381" i="172" s="1"/>
  <c r="AP381" i="172" s="1"/>
  <c r="AT381" i="172"/>
  <c r="AO381" i="172"/>
  <c r="AL365" i="172" a="1"/>
  <c r="AL365" i="172" s="1"/>
  <c r="AP365" i="172" s="1"/>
  <c r="AO365" i="172"/>
  <c r="AR365" i="172" s="1"/>
  <c r="AT365" i="172"/>
  <c r="AL349" i="172" a="1"/>
  <c r="AL349" i="172" s="1"/>
  <c r="AP349" i="172" s="1"/>
  <c r="AT349" i="172"/>
  <c r="AO349" i="172"/>
  <c r="AO334" i="172"/>
  <c r="AR334" i="172" s="1"/>
  <c r="AT334" i="172"/>
  <c r="AL334" i="172" a="1"/>
  <c r="AL334" i="172" s="1"/>
  <c r="AP334" i="172" s="1"/>
  <c r="AX333" i="172" s="1"/>
  <c r="AY333" i="172" s="1"/>
  <c r="AT326" i="172"/>
  <c r="AO326" i="172"/>
  <c r="AL326" i="172" a="1"/>
  <c r="AL326" i="172" s="1"/>
  <c r="AP326" i="172" s="1"/>
  <c r="AX325" i="172" s="1"/>
  <c r="AY325" i="172" s="1"/>
  <c r="AT318" i="172"/>
  <c r="AO318" i="172"/>
  <c r="AL318" i="172" a="1"/>
  <c r="AL318" i="172" s="1"/>
  <c r="AP318" i="172" s="1"/>
  <c r="AX317" i="172" s="1"/>
  <c r="AY317" i="172" s="1"/>
  <c r="AT310" i="172"/>
  <c r="AO310" i="172"/>
  <c r="AL310" i="172" a="1"/>
  <c r="AL310" i="172" s="1"/>
  <c r="AP310" i="172" s="1"/>
  <c r="AX309" i="172" s="1"/>
  <c r="AY309" i="172" s="1"/>
  <c r="AT302" i="172"/>
  <c r="AO302" i="172"/>
  <c r="AR302" i="172" s="1"/>
  <c r="AU302" i="172" s="1"/>
  <c r="AL302" i="172" a="1"/>
  <c r="AL302" i="172" s="1"/>
  <c r="AP302" i="172" s="1"/>
  <c r="AX301" i="172" s="1"/>
  <c r="AY301" i="172" s="1"/>
  <c r="AT294" i="172"/>
  <c r="AO294" i="172"/>
  <c r="AL294" i="172" a="1"/>
  <c r="AL294" i="172" s="1"/>
  <c r="AP294" i="172" s="1"/>
  <c r="AX293" i="172" s="1"/>
  <c r="AY293" i="172" s="1"/>
  <c r="AT286" i="172"/>
  <c r="AO286" i="172"/>
  <c r="AL286" i="172" a="1"/>
  <c r="AL286" i="172" s="1"/>
  <c r="AP286" i="172" s="1"/>
  <c r="AX285" i="172" s="1"/>
  <c r="AY285" i="172" s="1"/>
  <c r="AT269" i="172"/>
  <c r="AO269" i="172"/>
  <c r="AR269" i="172" s="1"/>
  <c r="AL269" i="172" a="1"/>
  <c r="AL269" i="172" s="1"/>
  <c r="AP269" i="172" s="1"/>
  <c r="AX268" i="172" s="1"/>
  <c r="AY268" i="172" s="1"/>
  <c r="AO215" i="172"/>
  <c r="AT215" i="172"/>
  <c r="AL215" i="172" a="1"/>
  <c r="AL215" i="172" s="1"/>
  <c r="AP215" i="172" s="1"/>
  <c r="AO200" i="172"/>
  <c r="AR200" i="172" s="1"/>
  <c r="AT200" i="172"/>
  <c r="AL200" i="172" a="1"/>
  <c r="AL200" i="172" s="1"/>
  <c r="AP200" i="172" s="1"/>
  <c r="AT151" i="172"/>
  <c r="AO151" i="172"/>
  <c r="AL151" i="172" a="1"/>
  <c r="AL151" i="172" s="1"/>
  <c r="AP151" i="172" s="1"/>
  <c r="AT70" i="172"/>
  <c r="AO70" i="172"/>
  <c r="AR70" i="172" s="1"/>
  <c r="AL70" i="172" a="1"/>
  <c r="AL70" i="172" s="1"/>
  <c r="AP70" i="172" s="1"/>
  <c r="AT39" i="172"/>
  <c r="AO39" i="172"/>
  <c r="AR39" i="172" s="1"/>
  <c r="AL39" i="172" a="1"/>
  <c r="AL39" i="172" s="1"/>
  <c r="AP39" i="172" s="1"/>
  <c r="AO7" i="172"/>
  <c r="AR7" i="172" s="1"/>
  <c r="AL7" i="172" a="1"/>
  <c r="AL7" i="172" s="1"/>
  <c r="AP7" i="172" s="1"/>
  <c r="AT7" i="172"/>
  <c r="AO68" i="172"/>
  <c r="AT68" i="172"/>
  <c r="AL68" i="172" a="1"/>
  <c r="AL68" i="172" s="1"/>
  <c r="AP68" i="172" s="1"/>
  <c r="AT51" i="172"/>
  <c r="AO51" i="172"/>
  <c r="AL51" i="172" a="1"/>
  <c r="AL51" i="172" s="1"/>
  <c r="AP51" i="172" s="1"/>
  <c r="AT45" i="172"/>
  <c r="AO45" i="172"/>
  <c r="AL45" i="172" a="1"/>
  <c r="AL45" i="172" s="1"/>
  <c r="AP45" i="172" s="1"/>
  <c r="AO37" i="172"/>
  <c r="AT37" i="172"/>
  <c r="AL37" i="172" a="1"/>
  <c r="AL37" i="172" s="1"/>
  <c r="AP37" i="172" s="1"/>
  <c r="AO29" i="172"/>
  <c r="AT29" i="172"/>
  <c r="AL29" i="172" a="1"/>
  <c r="AL29" i="172" s="1"/>
  <c r="AP29" i="172" s="1"/>
  <c r="AT21" i="172"/>
  <c r="AO21" i="172"/>
  <c r="AL21" i="172" a="1"/>
  <c r="AL21" i="172" s="1"/>
  <c r="AP21" i="172" s="1"/>
  <c r="AX20" i="172" s="1"/>
  <c r="AY20" i="172" s="1"/>
  <c r="AO13" i="172"/>
  <c r="AT13" i="172"/>
  <c r="AL13" i="172" a="1"/>
  <c r="AL13" i="172" s="1"/>
  <c r="AP13" i="172" s="1"/>
  <c r="AL66" i="172" a="1"/>
  <c r="AL66" i="172" s="1"/>
  <c r="AP66" i="172" s="1"/>
  <c r="AO66" i="172"/>
  <c r="AR66" i="172" s="1"/>
  <c r="AT66" i="172"/>
  <c r="AA11" i="172"/>
  <c r="AD11" i="172"/>
  <c r="AC10" i="172"/>
  <c r="Z10" i="172"/>
  <c r="AD992" i="172"/>
  <c r="AA992" i="172"/>
  <c r="AD984" i="172"/>
  <c r="AA984" i="172"/>
  <c r="AD976" i="172"/>
  <c r="AA976" i="172"/>
  <c r="AA968" i="172"/>
  <c r="AD968" i="172"/>
  <c r="AA960" i="172"/>
  <c r="AD960" i="172"/>
  <c r="AD952" i="172"/>
  <c r="AA952" i="172"/>
  <c r="AD944" i="172"/>
  <c r="AA944" i="172"/>
  <c r="AA936" i="172"/>
  <c r="AD936" i="172"/>
  <c r="AA928" i="172"/>
  <c r="AD928" i="172"/>
  <c r="AD917" i="172"/>
  <c r="AA917" i="172"/>
  <c r="AD993" i="172"/>
  <c r="AA993" i="172"/>
  <c r="AD985" i="172"/>
  <c r="AA985" i="172"/>
  <c r="AB985" i="172" s="1"/>
  <c r="AE985" i="172" s="1"/>
  <c r="AA977" i="172"/>
  <c r="AB977" i="172" s="1"/>
  <c r="AD977" i="172"/>
  <c r="AD969" i="172"/>
  <c r="AA969" i="172"/>
  <c r="AB969" i="172" s="1"/>
  <c r="AA961" i="172"/>
  <c r="AB961" i="172" s="1"/>
  <c r="AD961" i="172"/>
  <c r="AD953" i="172"/>
  <c r="AA953" i="172"/>
  <c r="AB953" i="172" s="1"/>
  <c r="AE953" i="172" s="1"/>
  <c r="AA945" i="172"/>
  <c r="AB945" i="172" s="1"/>
  <c r="AD945" i="172"/>
  <c r="AD937" i="172"/>
  <c r="AA937" i="172"/>
  <c r="AB937" i="172" s="1"/>
  <c r="AA929" i="172"/>
  <c r="AB929" i="172" s="1"/>
  <c r="AD929" i="172"/>
  <c r="AA913" i="172"/>
  <c r="AD913" i="172"/>
  <c r="AA856" i="172"/>
  <c r="AD856" i="172"/>
  <c r="AA848" i="172"/>
  <c r="AB848" i="172" s="1"/>
  <c r="AD848" i="172"/>
  <c r="AD836" i="172"/>
  <c r="AA836" i="172"/>
  <c r="AD818" i="172"/>
  <c r="AA818" i="172"/>
  <c r="AB818" i="172" s="1"/>
  <c r="AE818" i="172" s="1"/>
  <c r="AD806" i="172"/>
  <c r="AA806" i="172"/>
  <c r="AB806" i="172" s="1"/>
  <c r="AA774" i="172"/>
  <c r="AD774" i="172"/>
  <c r="AD757" i="172"/>
  <c r="AA757" i="172"/>
  <c r="AD704" i="172"/>
  <c r="AA704" i="172"/>
  <c r="AA664" i="172"/>
  <c r="AB664" i="172" s="1"/>
  <c r="AD664" i="172"/>
  <c r="AD558" i="172"/>
  <c r="AA558" i="172"/>
  <c r="AB558" i="172" s="1"/>
  <c r="AD488" i="172"/>
  <c r="AA488" i="172"/>
  <c r="AA456" i="172"/>
  <c r="AB456" i="172" s="1"/>
  <c r="AD456" i="172"/>
  <c r="AD413" i="172"/>
  <c r="AA413" i="172"/>
  <c r="AD349" i="172"/>
  <c r="AA349" i="172"/>
  <c r="AD290" i="172"/>
  <c r="AA290" i="172"/>
  <c r="AD920" i="172"/>
  <c r="AA920" i="172"/>
  <c r="AD912" i="172"/>
  <c r="AA912" i="172"/>
  <c r="AB912" i="172" s="1"/>
  <c r="AA904" i="172"/>
  <c r="AB904" i="172" s="1"/>
  <c r="AD904" i="172"/>
  <c r="AA896" i="172"/>
  <c r="AB896" i="172" s="1"/>
  <c r="AE896" i="172" s="1"/>
  <c r="AD896" i="172"/>
  <c r="AA888" i="172"/>
  <c r="AB888" i="172" s="1"/>
  <c r="AD888" i="172"/>
  <c r="AA880" i="172"/>
  <c r="AB880" i="172" s="1"/>
  <c r="AE880" i="172" s="1"/>
  <c r="AD880" i="172"/>
  <c r="AA872" i="172"/>
  <c r="AB872" i="172" s="1"/>
  <c r="AD872" i="172"/>
  <c r="AA864" i="172"/>
  <c r="AB864" i="172" s="1"/>
  <c r="AE864" i="172" s="1"/>
  <c r="AD864" i="172"/>
  <c r="AA829" i="172"/>
  <c r="AD829" i="172"/>
  <c r="AD812" i="172"/>
  <c r="AA812" i="172"/>
  <c r="AD789" i="172"/>
  <c r="AA789" i="172"/>
  <c r="AB789" i="172" s="1"/>
  <c r="AA764" i="172"/>
  <c r="AD764" i="172"/>
  <c r="AD725" i="172"/>
  <c r="AA725" i="172"/>
  <c r="AA657" i="172"/>
  <c r="AD657" i="172"/>
  <c r="AD573" i="172"/>
  <c r="AA573" i="172"/>
  <c r="AA540" i="172"/>
  <c r="AD540" i="172"/>
  <c r="AD417" i="172"/>
  <c r="AA417" i="172"/>
  <c r="AB417" i="172" s="1"/>
  <c r="AD353" i="172"/>
  <c r="AA353" i="172"/>
  <c r="AB353" i="172" s="1"/>
  <c r="AA299" i="172"/>
  <c r="AD299" i="172"/>
  <c r="AA857" i="172"/>
  <c r="AB857" i="172" s="1"/>
  <c r="AE857" i="172" s="1"/>
  <c r="AD857" i="172"/>
  <c r="AD849" i="172"/>
  <c r="AA849" i="172"/>
  <c r="AA833" i="172"/>
  <c r="AB833" i="172" s="1"/>
  <c r="AD833" i="172"/>
  <c r="AD811" i="172"/>
  <c r="AA811" i="172"/>
  <c r="AD782" i="172"/>
  <c r="AA782" i="172"/>
  <c r="AB782" i="172" s="1"/>
  <c r="AA718" i="172"/>
  <c r="AD718" i="172"/>
  <c r="AA639" i="172"/>
  <c r="AD639" i="172"/>
  <c r="AD594" i="172"/>
  <c r="AA594" i="172"/>
  <c r="AD474" i="172"/>
  <c r="AA474" i="172"/>
  <c r="AA437" i="172"/>
  <c r="AD437" i="172"/>
  <c r="AD373" i="172"/>
  <c r="AA373" i="172"/>
  <c r="AA309" i="172"/>
  <c r="AD309" i="172"/>
  <c r="AA277" i="172"/>
  <c r="AB277" i="172" s="1"/>
  <c r="AE277" i="172" s="1"/>
  <c r="AD277" i="172"/>
  <c r="AA909" i="172"/>
  <c r="AB909" i="172" s="1"/>
  <c r="AD909" i="172"/>
  <c r="AA901" i="172"/>
  <c r="AD901" i="172"/>
  <c r="AD893" i="172"/>
  <c r="AA893" i="172"/>
  <c r="AA885" i="172"/>
  <c r="AD885" i="172"/>
  <c r="AA877" i="172"/>
  <c r="AD877" i="172"/>
  <c r="AA869" i="172"/>
  <c r="AD869" i="172"/>
  <c r="AD845" i="172"/>
  <c r="AA845" i="172"/>
  <c r="AB845" i="172" s="1"/>
  <c r="AD831" i="172"/>
  <c r="AA831" i="172"/>
  <c r="AD815" i="172"/>
  <c r="AA815" i="172"/>
  <c r="AA800" i="172"/>
  <c r="AD800" i="172"/>
  <c r="AD784" i="172"/>
  <c r="AA784" i="172"/>
  <c r="AA752" i="172"/>
  <c r="AD752" i="172"/>
  <c r="AD643" i="172"/>
  <c r="AA643" i="172"/>
  <c r="AB643" i="172" s="1"/>
  <c r="AD603" i="172"/>
  <c r="AA603" i="172"/>
  <c r="AD467" i="172"/>
  <c r="AA467" i="172"/>
  <c r="AA409" i="172"/>
  <c r="AB409" i="172" s="1"/>
  <c r="AD409" i="172"/>
  <c r="AA345" i="172"/>
  <c r="AB345" i="172" s="1"/>
  <c r="AD345" i="172"/>
  <c r="AA215" i="172"/>
  <c r="AD215" i="172"/>
  <c r="AA166" i="172"/>
  <c r="AB166" i="172" s="1"/>
  <c r="AD166" i="172"/>
  <c r="AA112" i="172"/>
  <c r="AD112" i="172"/>
  <c r="AA80" i="172"/>
  <c r="AD80" i="172"/>
  <c r="AD57" i="172"/>
  <c r="AA57" i="172"/>
  <c r="AA740" i="172"/>
  <c r="AD740" i="172"/>
  <c r="AA726" i="172"/>
  <c r="AD726" i="172"/>
  <c r="AD708" i="172"/>
  <c r="AA708" i="172"/>
  <c r="AD692" i="172"/>
  <c r="AA692" i="172"/>
  <c r="AD682" i="172"/>
  <c r="AA682" i="172"/>
  <c r="AD668" i="172"/>
  <c r="AA668" i="172"/>
  <c r="AD650" i="172"/>
  <c r="AA650" i="172"/>
  <c r="AD636" i="172"/>
  <c r="AA636" i="172"/>
  <c r="AA624" i="172"/>
  <c r="AD624" i="172"/>
  <c r="AD610" i="172"/>
  <c r="AA610" i="172"/>
  <c r="AD581" i="172"/>
  <c r="AA581" i="172"/>
  <c r="AA570" i="172"/>
  <c r="AD570" i="172"/>
  <c r="AA549" i="172"/>
  <c r="AD549" i="172"/>
  <c r="AD538" i="172"/>
  <c r="AA538" i="172"/>
  <c r="AD524" i="172"/>
  <c r="AA524" i="172"/>
  <c r="AD516" i="172"/>
  <c r="AA516" i="172"/>
  <c r="AA508" i="172"/>
  <c r="AD508" i="172"/>
  <c r="AA500" i="172"/>
  <c r="AD500" i="172"/>
  <c r="AD490" i="172"/>
  <c r="AA490" i="172"/>
  <c r="AD475" i="172"/>
  <c r="AA475" i="172"/>
  <c r="AA443" i="172"/>
  <c r="AB443" i="172" s="1"/>
  <c r="AD443" i="172"/>
  <c r="AA434" i="172"/>
  <c r="AD434" i="172"/>
  <c r="AA424" i="172"/>
  <c r="AD424" i="172"/>
  <c r="AA411" i="172"/>
  <c r="AB411" i="172" s="1"/>
  <c r="AD411" i="172"/>
  <c r="AD402" i="172"/>
  <c r="AA402" i="172"/>
  <c r="AA392" i="172"/>
  <c r="AD392" i="172"/>
  <c r="AD379" i="172"/>
  <c r="AA379" i="172"/>
  <c r="AB379" i="172" s="1"/>
  <c r="AA370" i="172"/>
  <c r="AD370" i="172"/>
  <c r="AA360" i="172"/>
  <c r="AD360" i="172"/>
  <c r="AD347" i="172"/>
  <c r="AA347" i="172"/>
  <c r="AB347" i="172" s="1"/>
  <c r="AD338" i="172"/>
  <c r="AA338" i="172"/>
  <c r="AD328" i="172"/>
  <c r="AA328" i="172"/>
  <c r="AA315" i="172"/>
  <c r="AB315" i="172" s="1"/>
  <c r="AD315" i="172"/>
  <c r="AA306" i="172"/>
  <c r="AD306" i="172"/>
  <c r="AD281" i="172"/>
  <c r="AA281" i="172"/>
  <c r="AD270" i="172"/>
  <c r="AA270" i="172"/>
  <c r="AA263" i="172"/>
  <c r="AD263" i="172"/>
  <c r="AA237" i="172"/>
  <c r="AB237" i="172" s="1"/>
  <c r="AD237" i="172"/>
  <c r="AA197" i="172"/>
  <c r="AD197" i="172"/>
  <c r="AD165" i="172"/>
  <c r="AA165" i="172"/>
  <c r="AB165" i="172" s="1"/>
  <c r="AD100" i="172"/>
  <c r="AA100" i="172"/>
  <c r="AD67" i="172"/>
  <c r="AA67" i="172"/>
  <c r="AB67" i="172" s="1"/>
  <c r="AA28" i="172"/>
  <c r="AD28" i="172"/>
  <c r="AA788" i="172"/>
  <c r="AB788" i="172" s="1"/>
  <c r="AE788" i="172" s="1"/>
  <c r="AD788" i="172"/>
  <c r="AD778" i="172"/>
  <c r="AA778" i="172"/>
  <c r="AA769" i="172"/>
  <c r="AD769" i="172"/>
  <c r="AA750" i="172"/>
  <c r="AD750" i="172"/>
  <c r="AA734" i="172"/>
  <c r="AD734" i="172"/>
  <c r="AD716" i="172"/>
  <c r="AA716" i="172"/>
  <c r="AD702" i="172"/>
  <c r="AA702" i="172"/>
  <c r="AD683" i="172"/>
  <c r="AA683" i="172"/>
  <c r="AD669" i="172"/>
  <c r="AA669" i="172"/>
  <c r="AA654" i="172"/>
  <c r="AD654" i="172"/>
  <c r="AD637" i="172"/>
  <c r="AA637" i="172"/>
  <c r="AD611" i="172"/>
  <c r="AA611" i="172"/>
  <c r="AB611" i="172" s="1"/>
  <c r="AA600" i="172"/>
  <c r="AD600" i="172"/>
  <c r="AA592" i="172"/>
  <c r="AB592" i="172" s="1"/>
  <c r="AD592" i="172"/>
  <c r="AA584" i="172"/>
  <c r="AD584" i="172"/>
  <c r="AD567" i="172"/>
  <c r="AA567" i="172"/>
  <c r="AB567" i="172" s="1"/>
  <c r="AA552" i="172"/>
  <c r="AD552" i="172"/>
  <c r="AA535" i="172"/>
  <c r="AB535" i="172" s="1"/>
  <c r="AD535" i="172"/>
  <c r="AD487" i="172"/>
  <c r="AA487" i="172"/>
  <c r="AD463" i="172"/>
  <c r="AA463" i="172"/>
  <c r="AD446" i="172"/>
  <c r="AA446" i="172"/>
  <c r="AA414" i="172"/>
  <c r="AD414" i="172"/>
  <c r="AD382" i="172"/>
  <c r="AA382" i="172"/>
  <c r="AD350" i="172"/>
  <c r="AA350" i="172"/>
  <c r="AD318" i="172"/>
  <c r="AA318" i="172"/>
  <c r="AA295" i="172"/>
  <c r="AD295" i="172"/>
  <c r="AA258" i="172"/>
  <c r="AD258" i="172"/>
  <c r="AD242" i="172"/>
  <c r="AA242" i="172"/>
  <c r="AD226" i="172"/>
  <c r="AA226" i="172"/>
  <c r="AD120" i="172"/>
  <c r="AA120" i="172"/>
  <c r="AB120" i="172" s="1"/>
  <c r="AD42" i="172"/>
  <c r="AA42" i="172"/>
  <c r="AA816" i="172"/>
  <c r="AD816" i="172"/>
  <c r="AA783" i="172"/>
  <c r="AD783" i="172"/>
  <c r="AD758" i="172"/>
  <c r="AA758" i="172"/>
  <c r="AD748" i="172"/>
  <c r="AA748" i="172"/>
  <c r="AD738" i="172"/>
  <c r="AA738" i="172"/>
  <c r="AB738" i="172" s="1"/>
  <c r="AA723" i="172"/>
  <c r="AB723" i="172" s="1"/>
  <c r="AE723" i="172" s="1"/>
  <c r="AD723" i="172"/>
  <c r="AD706" i="172"/>
  <c r="AA706" i="172"/>
  <c r="AD686" i="172"/>
  <c r="AA686" i="172"/>
  <c r="AD666" i="172"/>
  <c r="AA666" i="172"/>
  <c r="AD652" i="172"/>
  <c r="AA652" i="172"/>
  <c r="AD634" i="172"/>
  <c r="AA634" i="172"/>
  <c r="AD619" i="172"/>
  <c r="AA619" i="172"/>
  <c r="AB619" i="172" s="1"/>
  <c r="AA609" i="172"/>
  <c r="AD609" i="172"/>
  <c r="AD586" i="172"/>
  <c r="AA586" i="172"/>
  <c r="AD565" i="172"/>
  <c r="AA565" i="172"/>
  <c r="AD554" i="172"/>
  <c r="AA554" i="172"/>
  <c r="AA533" i="172"/>
  <c r="AD533" i="172"/>
  <c r="AD526" i="172"/>
  <c r="AA526" i="172"/>
  <c r="AB526" i="172" s="1"/>
  <c r="AA518" i="172"/>
  <c r="AD518" i="172"/>
  <c r="AA510" i="172"/>
  <c r="AB510" i="172" s="1"/>
  <c r="AE510" i="172" s="1"/>
  <c r="AD510" i="172"/>
  <c r="AA502" i="172"/>
  <c r="AD502" i="172"/>
  <c r="AD485" i="172"/>
  <c r="AA485" i="172"/>
  <c r="AD477" i="172"/>
  <c r="AA477" i="172"/>
  <c r="AA465" i="172"/>
  <c r="AD465" i="172"/>
  <c r="AA449" i="172"/>
  <c r="AD449" i="172"/>
  <c r="AA436" i="172"/>
  <c r="AD436" i="172"/>
  <c r="AA420" i="172"/>
  <c r="AB420" i="172" s="1"/>
  <c r="AE420" i="172" s="1"/>
  <c r="AD420" i="172"/>
  <c r="AD404" i="172"/>
  <c r="AA404" i="172"/>
  <c r="AD388" i="172"/>
  <c r="AA388" i="172"/>
  <c r="AB388" i="172" s="1"/>
  <c r="AE388" i="172" s="1"/>
  <c r="AA372" i="172"/>
  <c r="AD372" i="172"/>
  <c r="AD356" i="172"/>
  <c r="AA356" i="172"/>
  <c r="AB356" i="172" s="1"/>
  <c r="AE356" i="172" s="1"/>
  <c r="AD340" i="172"/>
  <c r="AA340" i="172"/>
  <c r="AD324" i="172"/>
  <c r="AA324" i="172"/>
  <c r="AB324" i="172" s="1"/>
  <c r="AE324" i="172" s="1"/>
  <c r="AD308" i="172"/>
  <c r="AA308" i="172"/>
  <c r="AD289" i="172"/>
  <c r="AA289" i="172"/>
  <c r="AB289" i="172" s="1"/>
  <c r="AE289" i="172" s="1"/>
  <c r="AA285" i="172"/>
  <c r="AD285" i="172"/>
  <c r="AA275" i="172"/>
  <c r="AD275" i="172"/>
  <c r="AD265" i="172"/>
  <c r="AA265" i="172"/>
  <c r="AB265" i="172" s="1"/>
  <c r="AA257" i="172"/>
  <c r="AD257" i="172"/>
  <c r="AA223" i="172"/>
  <c r="AD223" i="172"/>
  <c r="AD130" i="172"/>
  <c r="AA130" i="172"/>
  <c r="AD25" i="172"/>
  <c r="AA25" i="172"/>
  <c r="AD208" i="172"/>
  <c r="AA208" i="172"/>
  <c r="AA195" i="172"/>
  <c r="AD195" i="172"/>
  <c r="AA173" i="172"/>
  <c r="AD173" i="172"/>
  <c r="AA148" i="172"/>
  <c r="AB148" i="172" s="1"/>
  <c r="AE148" i="172" s="1"/>
  <c r="AD148" i="172"/>
  <c r="AA140" i="172"/>
  <c r="AB140" i="172" s="1"/>
  <c r="AD140" i="172"/>
  <c r="AA131" i="172"/>
  <c r="AB131" i="172" s="1"/>
  <c r="AE131" i="172" s="1"/>
  <c r="AD131" i="172"/>
  <c r="AA118" i="172"/>
  <c r="AD118" i="172"/>
  <c r="AA108" i="172"/>
  <c r="AB108" i="172" s="1"/>
  <c r="AD108" i="172"/>
  <c r="AD88" i="172"/>
  <c r="AA88" i="172"/>
  <c r="AD76" i="172"/>
  <c r="AA76" i="172"/>
  <c r="AA49" i="172"/>
  <c r="AD49" i="172"/>
  <c r="AA39" i="172"/>
  <c r="AD39" i="172"/>
  <c r="AA26" i="172"/>
  <c r="AD26" i="172"/>
  <c r="AA243" i="172"/>
  <c r="AD243" i="172"/>
  <c r="AA235" i="172"/>
  <c r="AD235" i="172"/>
  <c r="AD227" i="172"/>
  <c r="AA227" i="172"/>
  <c r="AA219" i="172"/>
  <c r="AD219" i="172"/>
  <c r="AD211" i="172"/>
  <c r="AA211" i="172"/>
  <c r="AA199" i="172"/>
  <c r="AD199" i="172"/>
  <c r="AA188" i="172"/>
  <c r="AD188" i="172"/>
  <c r="AA170" i="172"/>
  <c r="AD170" i="172"/>
  <c r="AA160" i="172"/>
  <c r="AD160" i="172"/>
  <c r="AD129" i="172"/>
  <c r="AA129" i="172"/>
  <c r="AD113" i="172"/>
  <c r="AA113" i="172"/>
  <c r="AB113" i="172" s="1"/>
  <c r="AA101" i="172"/>
  <c r="AB101" i="172" s="1"/>
  <c r="AD101" i="172"/>
  <c r="AA89" i="172"/>
  <c r="AD89" i="172"/>
  <c r="AA68" i="172"/>
  <c r="AB68" i="172" s="1"/>
  <c r="AD68" i="172"/>
  <c r="AA55" i="172"/>
  <c r="AD55" i="172"/>
  <c r="AD35" i="172"/>
  <c r="AA35" i="172"/>
  <c r="AD253" i="172"/>
  <c r="AA253" i="172"/>
  <c r="AA200" i="172"/>
  <c r="AD200" i="172"/>
  <c r="AA182" i="172"/>
  <c r="AB182" i="172" s="1"/>
  <c r="AD182" i="172"/>
  <c r="AD171" i="172"/>
  <c r="AA171" i="172"/>
  <c r="AB171" i="172" s="1"/>
  <c r="AE171" i="172" s="1"/>
  <c r="AA156" i="172"/>
  <c r="AD156" i="172"/>
  <c r="AD150" i="172"/>
  <c r="AA150" i="172"/>
  <c r="AB150" i="172" s="1"/>
  <c r="AE150" i="172" s="1"/>
  <c r="AD135" i="172"/>
  <c r="AA135" i="172"/>
  <c r="AA105" i="172"/>
  <c r="AD105" i="172"/>
  <c r="AD87" i="172"/>
  <c r="AA87" i="172"/>
  <c r="AD70" i="172"/>
  <c r="AA70" i="172"/>
  <c r="AD41" i="172"/>
  <c r="AA41" i="172"/>
  <c r="AA20" i="172"/>
  <c r="AB20" i="172" s="1"/>
  <c r="AD20" i="172"/>
  <c r="Z999" i="172"/>
  <c r="AC999" i="172"/>
  <c r="AC918" i="172"/>
  <c r="Z918" i="172"/>
  <c r="Z991" i="172"/>
  <c r="AC991" i="172"/>
  <c r="Z992" i="172"/>
  <c r="AC992" i="172"/>
  <c r="Z984" i="172"/>
  <c r="AC984" i="172"/>
  <c r="Z976" i="172"/>
  <c r="AC976" i="172"/>
  <c r="AC968" i="172"/>
  <c r="Z968" i="172"/>
  <c r="AC960" i="172"/>
  <c r="Z960" i="172"/>
  <c r="AC952" i="172"/>
  <c r="Z952" i="172"/>
  <c r="AC944" i="172"/>
  <c r="Z944" i="172"/>
  <c r="Z936" i="172"/>
  <c r="AC936" i="172"/>
  <c r="AC928" i="172"/>
  <c r="Z928" i="172"/>
  <c r="AC911" i="172"/>
  <c r="Z911" i="172"/>
  <c r="AC922" i="172"/>
  <c r="Z922" i="172"/>
  <c r="AC901" i="172"/>
  <c r="Z901" i="172"/>
  <c r="AC983" i="172"/>
  <c r="Z983" i="172"/>
  <c r="AC975" i="172"/>
  <c r="Z975" i="172"/>
  <c r="AC967" i="172"/>
  <c r="Z967" i="172"/>
  <c r="AC959" i="172"/>
  <c r="Z959" i="172"/>
  <c r="AC951" i="172"/>
  <c r="Z951" i="172"/>
  <c r="AC943" i="172"/>
  <c r="Z943" i="172"/>
  <c r="AC935" i="172"/>
  <c r="Z935" i="172"/>
  <c r="AC927" i="172"/>
  <c r="Z927" i="172"/>
  <c r="AC907" i="172"/>
  <c r="Z907" i="172"/>
  <c r="Z893" i="172"/>
  <c r="AC893" i="172"/>
  <c r="AC885" i="172"/>
  <c r="Z885" i="172"/>
  <c r="AC877" i="172"/>
  <c r="Z877" i="172"/>
  <c r="AC869" i="172"/>
  <c r="Z869" i="172"/>
  <c r="AC858" i="172"/>
  <c r="Z858" i="172"/>
  <c r="Z841" i="172"/>
  <c r="AC841" i="172"/>
  <c r="AC831" i="172"/>
  <c r="Z831" i="172"/>
  <c r="AC813" i="172"/>
  <c r="Z813" i="172"/>
  <c r="Z787" i="172"/>
  <c r="AC787" i="172"/>
  <c r="AC768" i="172"/>
  <c r="Z768" i="172"/>
  <c r="AC727" i="172"/>
  <c r="Z727" i="172"/>
  <c r="AC681" i="172"/>
  <c r="Z681" i="172"/>
  <c r="AC597" i="172"/>
  <c r="Z597" i="172"/>
  <c r="AC553" i="172"/>
  <c r="Z553" i="172"/>
  <c r="Z286" i="172"/>
  <c r="AC286" i="172"/>
  <c r="AC863" i="172"/>
  <c r="Z863" i="172"/>
  <c r="Z847" i="172"/>
  <c r="AC847" i="172"/>
  <c r="Z839" i="172"/>
  <c r="AC839" i="172"/>
  <c r="Z816" i="172"/>
  <c r="AC816" i="172"/>
  <c r="Z795" i="172"/>
  <c r="AC795" i="172"/>
  <c r="AC767" i="172"/>
  <c r="Z767" i="172"/>
  <c r="Z686" i="172"/>
  <c r="AC686" i="172"/>
  <c r="Z612" i="172"/>
  <c r="AC612" i="172"/>
  <c r="AC557" i="172"/>
  <c r="Z557" i="172"/>
  <c r="Z444" i="172"/>
  <c r="AC444" i="172"/>
  <c r="Z412" i="172"/>
  <c r="AC412" i="172"/>
  <c r="Z380" i="172"/>
  <c r="AC380" i="172"/>
  <c r="Z348" i="172"/>
  <c r="AC348" i="172"/>
  <c r="Z316" i="172"/>
  <c r="AC316" i="172"/>
  <c r="AC268" i="172"/>
  <c r="Z268" i="172"/>
  <c r="AC910" i="172"/>
  <c r="Z910" i="172"/>
  <c r="Z902" i="172"/>
  <c r="AC902" i="172"/>
  <c r="AC894" i="172"/>
  <c r="Z894" i="172"/>
  <c r="AC886" i="172"/>
  <c r="Z886" i="172"/>
  <c r="AC878" i="172"/>
  <c r="Z878" i="172"/>
  <c r="Z870" i="172"/>
  <c r="AC870" i="172"/>
  <c r="AC860" i="172"/>
  <c r="Z860" i="172"/>
  <c r="Z844" i="172"/>
  <c r="AC844" i="172"/>
  <c r="AC822" i="172"/>
  <c r="Z822" i="172"/>
  <c r="AC799" i="172"/>
  <c r="Z799" i="172"/>
  <c r="AC779" i="172"/>
  <c r="Z779" i="172"/>
  <c r="Z747" i="172"/>
  <c r="AC747" i="172"/>
  <c r="Z656" i="172"/>
  <c r="AC656" i="172"/>
  <c r="AC605" i="172"/>
  <c r="Z605" i="172"/>
  <c r="AC517" i="172"/>
  <c r="Z517" i="172"/>
  <c r="AC272" i="172"/>
  <c r="Z272" i="172"/>
  <c r="AC853" i="172"/>
  <c r="Z853" i="172"/>
  <c r="Z830" i="172"/>
  <c r="AC830" i="172"/>
  <c r="Z820" i="172"/>
  <c r="AC820" i="172"/>
  <c r="AC794" i="172"/>
  <c r="Z794" i="172"/>
  <c r="AC758" i="172"/>
  <c r="Z758" i="172"/>
  <c r="AC717" i="172"/>
  <c r="Z717" i="172"/>
  <c r="AC683" i="172"/>
  <c r="Z683" i="172"/>
  <c r="AC649" i="172"/>
  <c r="Z649" i="172"/>
  <c r="AC560" i="172"/>
  <c r="Z560" i="172"/>
  <c r="Z521" i="172"/>
  <c r="AC521" i="172"/>
  <c r="Z447" i="172"/>
  <c r="AC447" i="172"/>
  <c r="Z415" i="172"/>
  <c r="AC415" i="172"/>
  <c r="Z383" i="172"/>
  <c r="AC383" i="172"/>
  <c r="Z351" i="172"/>
  <c r="AC351" i="172"/>
  <c r="AC319" i="172"/>
  <c r="Z319" i="172"/>
  <c r="AC259" i="172"/>
  <c r="Z259" i="172"/>
  <c r="Z223" i="172"/>
  <c r="AC223" i="172"/>
  <c r="Z13" i="172"/>
  <c r="AC13" i="172"/>
  <c r="AC728" i="172"/>
  <c r="Z728" i="172"/>
  <c r="Z718" i="172"/>
  <c r="AC718" i="172"/>
  <c r="Z696" i="172"/>
  <c r="AC696" i="172"/>
  <c r="Z674" i="172"/>
  <c r="AC674" i="172"/>
  <c r="AC663" i="172"/>
  <c r="Z663" i="172"/>
  <c r="Z642" i="172"/>
  <c r="AC642" i="172"/>
  <c r="AC631" i="172"/>
  <c r="Z631" i="172"/>
  <c r="Z616" i="172"/>
  <c r="AC616" i="172"/>
  <c r="AC603" i="172"/>
  <c r="Z603" i="172"/>
  <c r="AC587" i="172"/>
  <c r="Z587" i="172"/>
  <c r="AC565" i="172"/>
  <c r="Z565" i="172"/>
  <c r="AC555" i="172"/>
  <c r="Z555" i="172"/>
  <c r="Z533" i="172"/>
  <c r="AC533" i="172"/>
  <c r="Z522" i="172"/>
  <c r="AC522" i="172"/>
  <c r="Z506" i="172"/>
  <c r="AC506" i="172"/>
  <c r="AC488" i="172"/>
  <c r="Z488" i="172"/>
  <c r="AC477" i="172"/>
  <c r="Z477" i="172"/>
  <c r="AC469" i="172"/>
  <c r="Z469" i="172"/>
  <c r="Z461" i="172"/>
  <c r="AC461" i="172"/>
  <c r="Z453" i="172"/>
  <c r="AC453" i="172"/>
  <c r="AC304" i="172"/>
  <c r="Z304" i="172"/>
  <c r="Z296" i="172"/>
  <c r="AC296" i="172"/>
  <c r="AC288" i="172"/>
  <c r="Z288" i="172"/>
  <c r="Z276" i="172"/>
  <c r="AC276" i="172"/>
  <c r="Z253" i="172"/>
  <c r="AC253" i="172"/>
  <c r="AC160" i="172"/>
  <c r="Z160" i="172"/>
  <c r="AC127" i="172"/>
  <c r="Z127" i="172"/>
  <c r="Z50" i="172"/>
  <c r="AC50" i="172"/>
  <c r="AC774" i="172"/>
  <c r="Z774" i="172"/>
  <c r="AC759" i="172"/>
  <c r="Z759" i="172"/>
  <c r="Z742" i="172"/>
  <c r="AC742" i="172"/>
  <c r="AC732" i="172"/>
  <c r="Z732" i="172"/>
  <c r="AC711" i="172"/>
  <c r="Z711" i="172"/>
  <c r="Z700" i="172"/>
  <c r="AC700" i="172"/>
  <c r="AC685" i="172"/>
  <c r="Z685" i="172"/>
  <c r="Z672" i="172"/>
  <c r="AC672" i="172"/>
  <c r="AC661" i="172"/>
  <c r="Z661" i="172"/>
  <c r="Z640" i="172"/>
  <c r="AC640" i="172"/>
  <c r="AC629" i="172"/>
  <c r="Z629" i="172"/>
  <c r="AC617" i="172"/>
  <c r="Z617" i="172"/>
  <c r="AC595" i="172"/>
  <c r="Z595" i="172"/>
  <c r="Z573" i="172"/>
  <c r="AC573" i="172"/>
  <c r="Z563" i="172"/>
  <c r="AC563" i="172"/>
  <c r="Z541" i="172"/>
  <c r="AC541" i="172"/>
  <c r="Z531" i="172"/>
  <c r="AC531" i="172"/>
  <c r="Z515" i="172"/>
  <c r="AC515" i="172"/>
  <c r="AC499" i="172"/>
  <c r="Z499" i="172"/>
  <c r="AC483" i="172"/>
  <c r="Z483" i="172"/>
  <c r="AC467" i="172"/>
  <c r="Z467" i="172"/>
  <c r="Z451" i="172"/>
  <c r="AC451" i="172"/>
  <c r="Z440" i="172"/>
  <c r="AC440" i="172"/>
  <c r="Z432" i="172"/>
  <c r="AC432" i="172"/>
  <c r="AC424" i="172"/>
  <c r="Z424" i="172"/>
  <c r="Z416" i="172"/>
  <c r="AC416" i="172"/>
  <c r="Z408" i="172"/>
  <c r="AC408" i="172"/>
  <c r="Z400" i="172"/>
  <c r="AC400" i="172"/>
  <c r="Z392" i="172"/>
  <c r="AC392" i="172"/>
  <c r="AC384" i="172"/>
  <c r="Z384" i="172"/>
  <c r="Z376" i="172"/>
  <c r="AC376" i="172"/>
  <c r="Z368" i="172"/>
  <c r="AC368" i="172"/>
  <c r="AC360" i="172"/>
  <c r="Z360" i="172"/>
  <c r="Z352" i="172"/>
  <c r="AC352" i="172"/>
  <c r="Z344" i="172"/>
  <c r="AC344" i="172"/>
  <c r="AC336" i="172"/>
  <c r="Z336" i="172"/>
  <c r="Z328" i="172"/>
  <c r="AC328" i="172"/>
  <c r="AC320" i="172"/>
  <c r="Z320" i="172"/>
  <c r="Z312" i="172"/>
  <c r="AC312" i="172"/>
  <c r="Z302" i="172"/>
  <c r="AC302" i="172"/>
  <c r="Z284" i="172"/>
  <c r="AC284" i="172"/>
  <c r="AC273" i="172"/>
  <c r="Z273" i="172"/>
  <c r="Z263" i="172"/>
  <c r="AC263" i="172"/>
  <c r="Z229" i="172"/>
  <c r="AC229" i="172"/>
  <c r="AC180" i="172"/>
  <c r="Z180" i="172"/>
  <c r="Z154" i="172"/>
  <c r="AC154" i="172"/>
  <c r="AC77" i="172"/>
  <c r="Z77" i="172"/>
  <c r="AC815" i="172"/>
  <c r="Z815" i="172"/>
  <c r="Z801" i="172"/>
  <c r="AC801" i="172"/>
  <c r="Z785" i="172"/>
  <c r="AC785" i="172"/>
  <c r="AC769" i="172"/>
  <c r="Z769" i="172"/>
  <c r="Z754" i="172"/>
  <c r="AC754" i="172"/>
  <c r="AC740" i="172"/>
  <c r="Z740" i="172"/>
  <c r="Z719" i="172"/>
  <c r="AC719" i="172"/>
  <c r="Z708" i="172"/>
  <c r="AC708" i="172"/>
  <c r="AC697" i="172"/>
  <c r="Z697" i="172"/>
  <c r="Z676" i="172"/>
  <c r="AC676" i="172"/>
  <c r="Z654" i="172"/>
  <c r="AC654" i="172"/>
  <c r="Z644" i="172"/>
  <c r="AC644" i="172"/>
  <c r="AC625" i="172"/>
  <c r="Z625" i="172"/>
  <c r="Z604" i="172"/>
  <c r="AC604" i="172"/>
  <c r="Z588" i="172"/>
  <c r="AC588" i="172"/>
  <c r="Z577" i="172"/>
  <c r="AC577" i="172"/>
  <c r="Z556" i="172"/>
  <c r="AC556" i="172"/>
  <c r="AC545" i="172"/>
  <c r="Z545" i="172"/>
  <c r="Z524" i="172"/>
  <c r="AC524" i="172"/>
  <c r="AC508" i="172"/>
  <c r="Z508" i="172"/>
  <c r="Z493" i="172"/>
  <c r="AC493" i="172"/>
  <c r="AC471" i="172"/>
  <c r="Z471" i="172"/>
  <c r="Z455" i="172"/>
  <c r="AC455" i="172"/>
  <c r="AC438" i="172"/>
  <c r="Z438" i="172"/>
  <c r="Z422" i="172"/>
  <c r="AC422" i="172"/>
  <c r="Z406" i="172"/>
  <c r="AC406" i="172"/>
  <c r="Z390" i="172"/>
  <c r="AC390" i="172"/>
  <c r="AC374" i="172"/>
  <c r="Z374" i="172"/>
  <c r="AC358" i="172"/>
  <c r="Z358" i="172"/>
  <c r="Z342" i="172"/>
  <c r="AC342" i="172"/>
  <c r="AC326" i="172"/>
  <c r="Z326" i="172"/>
  <c r="Z310" i="172"/>
  <c r="AC310" i="172"/>
  <c r="Z295" i="172"/>
  <c r="AC295" i="172"/>
  <c r="Z270" i="172"/>
  <c r="AC270" i="172"/>
  <c r="AC236" i="172"/>
  <c r="Z236" i="172"/>
  <c r="Z189" i="172"/>
  <c r="AC189" i="172"/>
  <c r="AC146" i="172"/>
  <c r="Z146" i="172"/>
  <c r="AC98" i="172"/>
  <c r="Z98" i="172"/>
  <c r="Z47" i="172"/>
  <c r="AC47" i="172"/>
  <c r="AC14" i="172"/>
  <c r="Z14" i="172"/>
  <c r="Z204" i="172"/>
  <c r="AC204" i="172"/>
  <c r="AC192" i="172"/>
  <c r="Z192" i="172"/>
  <c r="Z181" i="172"/>
  <c r="AC181" i="172"/>
  <c r="Z161" i="172"/>
  <c r="AC161" i="172"/>
  <c r="AC138" i="172"/>
  <c r="Z138" i="172"/>
  <c r="Z106" i="172"/>
  <c r="AC106" i="172"/>
  <c r="Z91" i="172"/>
  <c r="AC91" i="172"/>
  <c r="Z73" i="172"/>
  <c r="AC73" i="172"/>
  <c r="Z65" i="172"/>
  <c r="AC65" i="172"/>
  <c r="AC57" i="172"/>
  <c r="Z57" i="172"/>
  <c r="Z48" i="172"/>
  <c r="AC48" i="172"/>
  <c r="AC28" i="172"/>
  <c r="Z28" i="172"/>
  <c r="AC18" i="172"/>
  <c r="Z18" i="172"/>
  <c r="AC224" i="172"/>
  <c r="Z224" i="172"/>
  <c r="AC201" i="172"/>
  <c r="Z201" i="172"/>
  <c r="Z177" i="172"/>
  <c r="AC177" i="172"/>
  <c r="AC159" i="172"/>
  <c r="Z159" i="172"/>
  <c r="AC147" i="172"/>
  <c r="Z147" i="172"/>
  <c r="Z139" i="172"/>
  <c r="AC139" i="172"/>
  <c r="Z128" i="172"/>
  <c r="AC128" i="172"/>
  <c r="Z116" i="172"/>
  <c r="AC116" i="172"/>
  <c r="AC107" i="172"/>
  <c r="Z107" i="172"/>
  <c r="Z88" i="172"/>
  <c r="AC88" i="172"/>
  <c r="Z71" i="172"/>
  <c r="AC71" i="172"/>
  <c r="AC45" i="172"/>
  <c r="Z45" i="172"/>
  <c r="AC31" i="172"/>
  <c r="Z31" i="172"/>
  <c r="Z16" i="172"/>
  <c r="AC16" i="172"/>
  <c r="Z243" i="172"/>
  <c r="AC243" i="172"/>
  <c r="AC235" i="172"/>
  <c r="Z235" i="172"/>
  <c r="AC227" i="172"/>
  <c r="Z227" i="172"/>
  <c r="AC219" i="172"/>
  <c r="Z219" i="172"/>
  <c r="Z211" i="172"/>
  <c r="AC211" i="172"/>
  <c r="AC202" i="172"/>
  <c r="Z202" i="172"/>
  <c r="Z188" i="172"/>
  <c r="AC188" i="172"/>
  <c r="Z174" i="172"/>
  <c r="AC174" i="172"/>
  <c r="Z142" i="172"/>
  <c r="AC142" i="172"/>
  <c r="AC133" i="172"/>
  <c r="Z133" i="172"/>
  <c r="AC121" i="172"/>
  <c r="Z121" i="172"/>
  <c r="AC110" i="172"/>
  <c r="Z110" i="172"/>
  <c r="AC96" i="172"/>
  <c r="Z96" i="172"/>
  <c r="Z79" i="172"/>
  <c r="AC79" i="172"/>
  <c r="AC66" i="172"/>
  <c r="Z66" i="172"/>
  <c r="Z43" i="172"/>
  <c r="AC43" i="172"/>
  <c r="Z26" i="172"/>
  <c r="AC26" i="172"/>
  <c r="AN977" i="172"/>
  <c r="AQ977" i="172" s="1"/>
  <c r="AV977" i="172" s="1"/>
  <c r="AS977" i="172"/>
  <c r="AN975" i="172"/>
  <c r="AQ975" i="172" s="1"/>
  <c r="AV975" i="172" s="1"/>
  <c r="AS975" i="172"/>
  <c r="AN973" i="172"/>
  <c r="AQ973" i="172" s="1"/>
  <c r="AV973" i="172" s="1"/>
  <c r="AS973" i="172"/>
  <c r="AN971" i="172"/>
  <c r="AQ971" i="172" s="1"/>
  <c r="AV971" i="172" s="1"/>
  <c r="AS971" i="172"/>
  <c r="AN934" i="172"/>
  <c r="AQ934" i="172" s="1"/>
  <c r="AV934" i="172" s="1"/>
  <c r="AS934" i="172"/>
  <c r="AN917" i="172"/>
  <c r="AQ917" i="172" s="1"/>
  <c r="AV917" i="172" s="1"/>
  <c r="AS917" i="172"/>
  <c r="AN965" i="172"/>
  <c r="AQ965" i="172" s="1"/>
  <c r="AV965" i="172" s="1"/>
  <c r="AS965" i="172"/>
  <c r="AN957" i="172"/>
  <c r="AQ957" i="172" s="1"/>
  <c r="AV957" i="172" s="1"/>
  <c r="AS957" i="172"/>
  <c r="AN949" i="172"/>
  <c r="AQ949" i="172" s="1"/>
  <c r="AV949" i="172" s="1"/>
  <c r="AS949" i="172"/>
  <c r="AN935" i="172"/>
  <c r="AQ935" i="172" s="1"/>
  <c r="AV935" i="172" s="1"/>
  <c r="AS935" i="172"/>
  <c r="AN944" i="172"/>
  <c r="AQ944" i="172" s="1"/>
  <c r="AV944" i="172" s="1"/>
  <c r="AS944" i="172"/>
  <c r="AN921" i="172"/>
  <c r="AQ921" i="172" s="1"/>
  <c r="AV921" i="172" s="1"/>
  <c r="AS921" i="172"/>
  <c r="AN996" i="172"/>
  <c r="AQ996" i="172" s="1"/>
  <c r="AV996" i="172" s="1"/>
  <c r="AS996" i="172"/>
  <c r="AN988" i="172"/>
  <c r="AQ988" i="172" s="1"/>
  <c r="AV988" i="172" s="1"/>
  <c r="AS988" i="172"/>
  <c r="AN980" i="172"/>
  <c r="AQ980" i="172" s="1"/>
  <c r="AV980" i="172" s="1"/>
  <c r="AS980" i="172"/>
  <c r="AN972" i="172"/>
  <c r="AQ972" i="172" s="1"/>
  <c r="AV972" i="172" s="1"/>
  <c r="AS972" i="172"/>
  <c r="AN964" i="172"/>
  <c r="AQ964" i="172" s="1"/>
  <c r="AV964" i="172" s="1"/>
  <c r="AS964" i="172"/>
  <c r="AN956" i="172"/>
  <c r="AQ956" i="172" s="1"/>
  <c r="AV956" i="172" s="1"/>
  <c r="AS956" i="172"/>
  <c r="AN948" i="172"/>
  <c r="AQ948" i="172" s="1"/>
  <c r="AV948" i="172" s="1"/>
  <c r="AS948" i="172"/>
  <c r="AN933" i="172"/>
  <c r="AQ933" i="172" s="1"/>
  <c r="AV933" i="172" s="1"/>
  <c r="AS933" i="172"/>
  <c r="AN893" i="172"/>
  <c r="AQ893" i="172" s="1"/>
  <c r="AV893" i="172" s="1"/>
  <c r="AS893" i="172"/>
  <c r="AS877" i="172"/>
  <c r="AN877" i="172"/>
  <c r="AQ877" i="172" s="1"/>
  <c r="AV877" i="172" s="1"/>
  <c r="AS861" i="172"/>
  <c r="AN861" i="172"/>
  <c r="AQ861" i="172" s="1"/>
  <c r="AV861" i="172" s="1"/>
  <c r="AN844" i="172"/>
  <c r="AQ844" i="172" s="1"/>
  <c r="AV844" i="172" s="1"/>
  <c r="AS844" i="172"/>
  <c r="AS832" i="172"/>
  <c r="AN832" i="172"/>
  <c r="AQ832" i="172" s="1"/>
  <c r="AV832" i="172" s="1"/>
  <c r="AS816" i="172"/>
  <c r="AN816" i="172"/>
  <c r="AQ816" i="172" s="1"/>
  <c r="AV816" i="172" s="1"/>
  <c r="AS800" i="172"/>
  <c r="AN800" i="172"/>
  <c r="AQ800" i="172" s="1"/>
  <c r="AV800" i="172" s="1"/>
  <c r="AS784" i="172"/>
  <c r="AN784" i="172"/>
  <c r="AQ784" i="172" s="1"/>
  <c r="AV784" i="172" s="1"/>
  <c r="AS768" i="172"/>
  <c r="AN768" i="172"/>
  <c r="AQ768" i="172" s="1"/>
  <c r="AV768" i="172" s="1"/>
  <c r="AS752" i="172"/>
  <c r="AN752" i="172"/>
  <c r="AQ752" i="172" s="1"/>
  <c r="AV752" i="172" s="1"/>
  <c r="AN736" i="172"/>
  <c r="AQ736" i="172" s="1"/>
  <c r="AV736" i="172" s="1"/>
  <c r="AS736" i="172"/>
  <c r="AS722" i="172"/>
  <c r="AN722" i="172"/>
  <c r="AQ722" i="172" s="1"/>
  <c r="AV722" i="172" s="1"/>
  <c r="AS706" i="172"/>
  <c r="AN706" i="172"/>
  <c r="AQ706" i="172" s="1"/>
  <c r="AV706" i="172" s="1"/>
  <c r="AN601" i="172"/>
  <c r="AQ601" i="172" s="1"/>
  <c r="AV601" i="172" s="1"/>
  <c r="AS601" i="172"/>
  <c r="AN585" i="172"/>
  <c r="AQ585" i="172" s="1"/>
  <c r="AV585" i="172" s="1"/>
  <c r="AS585" i="172"/>
  <c r="AS564" i="172"/>
  <c r="AN564" i="172"/>
  <c r="AQ564" i="172" s="1"/>
  <c r="AV564" i="172" s="1"/>
  <c r="AN546" i="172"/>
  <c r="AQ546" i="172" s="1"/>
  <c r="AV546" i="172" s="1"/>
  <c r="AS546" i="172"/>
  <c r="AS510" i="172"/>
  <c r="AN510" i="172"/>
  <c r="AQ510" i="172" s="1"/>
  <c r="AV510" i="172" s="1"/>
  <c r="AN446" i="172"/>
  <c r="AQ446" i="172" s="1"/>
  <c r="AV446" i="172" s="1"/>
  <c r="AS446" i="172"/>
  <c r="AS349" i="172"/>
  <c r="AN349" i="172"/>
  <c r="AQ349" i="172" s="1"/>
  <c r="AV349" i="172" s="1"/>
  <c r="AS306" i="172"/>
  <c r="AN306" i="172"/>
  <c r="AQ306" i="172" s="1"/>
  <c r="AV306" i="172" s="1"/>
  <c r="AS222" i="172"/>
  <c r="AN222" i="172"/>
  <c r="AQ222" i="172" s="1"/>
  <c r="AV222" i="172" s="1"/>
  <c r="AN926" i="172"/>
  <c r="AQ926" i="172" s="1"/>
  <c r="AV926" i="172" s="1"/>
  <c r="AS926" i="172"/>
  <c r="AN910" i="172"/>
  <c r="AQ910" i="172" s="1"/>
  <c r="AV910" i="172" s="1"/>
  <c r="AS910" i="172"/>
  <c r="AN894" i="172"/>
  <c r="AQ894" i="172" s="1"/>
  <c r="AV894" i="172" s="1"/>
  <c r="AS894" i="172"/>
  <c r="AS878" i="172"/>
  <c r="AN878" i="172"/>
  <c r="AQ878" i="172" s="1"/>
  <c r="AV878" i="172" s="1"/>
  <c r="AS862" i="172"/>
  <c r="AN862" i="172"/>
  <c r="AQ862" i="172" s="1"/>
  <c r="AV862" i="172" s="1"/>
  <c r="AS846" i="172"/>
  <c r="AN846" i="172"/>
  <c r="AQ846" i="172" s="1"/>
  <c r="AV846" i="172" s="1"/>
  <c r="AS834" i="172"/>
  <c r="AN834" i="172"/>
  <c r="AQ834" i="172" s="1"/>
  <c r="AV834" i="172" s="1"/>
  <c r="AN818" i="172"/>
  <c r="AQ818" i="172" s="1"/>
  <c r="AV818" i="172" s="1"/>
  <c r="AS818" i="172"/>
  <c r="AS802" i="172"/>
  <c r="AN802" i="172"/>
  <c r="AQ802" i="172" s="1"/>
  <c r="AV802" i="172" s="1"/>
  <c r="AS785" i="172"/>
  <c r="AN785" i="172"/>
  <c r="AQ785" i="172" s="1"/>
  <c r="AV785" i="172" s="1"/>
  <c r="AS769" i="172"/>
  <c r="AN769" i="172"/>
  <c r="AQ769" i="172" s="1"/>
  <c r="AV769" i="172" s="1"/>
  <c r="AS753" i="172"/>
  <c r="AN753" i="172"/>
  <c r="AQ753" i="172" s="1"/>
  <c r="AV753" i="172" s="1"/>
  <c r="AN737" i="172"/>
  <c r="AQ737" i="172" s="1"/>
  <c r="AV737" i="172" s="1"/>
  <c r="AS737" i="172"/>
  <c r="AN720" i="172"/>
  <c r="AQ720" i="172" s="1"/>
  <c r="AV720" i="172" s="1"/>
  <c r="AS720" i="172"/>
  <c r="AN704" i="172"/>
  <c r="AQ704" i="172" s="1"/>
  <c r="AV704" i="172" s="1"/>
  <c r="AS704" i="172"/>
  <c r="AN692" i="172"/>
  <c r="AQ692" i="172" s="1"/>
  <c r="AV692" i="172" s="1"/>
  <c r="AS692" i="172"/>
  <c r="AN684" i="172"/>
  <c r="AQ684" i="172" s="1"/>
  <c r="AV684" i="172" s="1"/>
  <c r="AS684" i="172"/>
  <c r="AN676" i="172"/>
  <c r="AQ676" i="172" s="1"/>
  <c r="AV676" i="172" s="1"/>
  <c r="AS676" i="172"/>
  <c r="AN668" i="172"/>
  <c r="AQ668" i="172" s="1"/>
  <c r="AV668" i="172" s="1"/>
  <c r="AS668" i="172"/>
  <c r="AN660" i="172"/>
  <c r="AQ660" i="172" s="1"/>
  <c r="AV660" i="172" s="1"/>
  <c r="AS660" i="172"/>
  <c r="AN652" i="172"/>
  <c r="AQ652" i="172" s="1"/>
  <c r="AV652" i="172" s="1"/>
  <c r="AS652" i="172"/>
  <c r="AN644" i="172"/>
  <c r="AQ644" i="172" s="1"/>
  <c r="AV644" i="172" s="1"/>
  <c r="AS644" i="172"/>
  <c r="AN636" i="172"/>
  <c r="AQ636" i="172" s="1"/>
  <c r="AV636" i="172" s="1"/>
  <c r="AS636" i="172"/>
  <c r="AN628" i="172"/>
  <c r="AQ628" i="172" s="1"/>
  <c r="AV628" i="172" s="1"/>
  <c r="AS628" i="172"/>
  <c r="AN620" i="172"/>
  <c r="AQ620" i="172" s="1"/>
  <c r="AV620" i="172" s="1"/>
  <c r="AS620" i="172"/>
  <c r="AN612" i="172"/>
  <c r="AQ612" i="172" s="1"/>
  <c r="AV612" i="172" s="1"/>
  <c r="AS612" i="172"/>
  <c r="AN604" i="172"/>
  <c r="AQ604" i="172" s="1"/>
  <c r="AV604" i="172" s="1"/>
  <c r="AS604" i="172"/>
  <c r="AN588" i="172"/>
  <c r="AQ588" i="172" s="1"/>
  <c r="AV588" i="172" s="1"/>
  <c r="AS588" i="172"/>
  <c r="AN574" i="172"/>
  <c r="AQ574" i="172" s="1"/>
  <c r="AV574" i="172" s="1"/>
  <c r="AS574" i="172"/>
  <c r="AS551" i="172"/>
  <c r="AN551" i="172"/>
  <c r="AQ551" i="172" s="1"/>
  <c r="AV551" i="172" s="1"/>
  <c r="AS532" i="172"/>
  <c r="AN532" i="172"/>
  <c r="AQ532" i="172" s="1"/>
  <c r="AV532" i="172" s="1"/>
  <c r="AS482" i="172"/>
  <c r="AN482" i="172"/>
  <c r="AQ482" i="172" s="1"/>
  <c r="AV482" i="172" s="1"/>
  <c r="AN401" i="172"/>
  <c r="AQ401" i="172" s="1"/>
  <c r="AV401" i="172" s="1"/>
  <c r="AS401" i="172"/>
  <c r="AS336" i="172"/>
  <c r="AN336" i="172"/>
  <c r="AQ336" i="172" s="1"/>
  <c r="AV336" i="172" s="1"/>
  <c r="AN304" i="172"/>
  <c r="AQ304" i="172" s="1"/>
  <c r="AV304" i="172" s="1"/>
  <c r="AS304" i="172"/>
  <c r="AS215" i="172"/>
  <c r="AN215" i="172"/>
  <c r="AQ215" i="172" s="1"/>
  <c r="AV215" i="172" s="1"/>
  <c r="AN903" i="172"/>
  <c r="AQ903" i="172" s="1"/>
  <c r="AV903" i="172" s="1"/>
  <c r="AS903" i="172"/>
  <c r="AN887" i="172"/>
  <c r="AQ887" i="172" s="1"/>
  <c r="AV887" i="172" s="1"/>
  <c r="AS887" i="172"/>
  <c r="AS871" i="172"/>
  <c r="AN871" i="172"/>
  <c r="AQ871" i="172" s="1"/>
  <c r="AV871" i="172" s="1"/>
  <c r="AS856" i="172"/>
  <c r="AN856" i="172"/>
  <c r="AQ856" i="172" s="1"/>
  <c r="AV856" i="172" s="1"/>
  <c r="AN836" i="172"/>
  <c r="AQ836" i="172" s="1"/>
  <c r="AV836" i="172" s="1"/>
  <c r="AS836" i="172"/>
  <c r="AN820" i="172"/>
  <c r="AQ820" i="172" s="1"/>
  <c r="AV820" i="172" s="1"/>
  <c r="AS820" i="172"/>
  <c r="AS804" i="172"/>
  <c r="AN804" i="172"/>
  <c r="AQ804" i="172" s="1"/>
  <c r="AV804" i="172" s="1"/>
  <c r="AS786" i="172"/>
  <c r="AN786" i="172"/>
  <c r="AQ786" i="172" s="1"/>
  <c r="AV786" i="172" s="1"/>
  <c r="AS770" i="172"/>
  <c r="AN770" i="172"/>
  <c r="AQ770" i="172" s="1"/>
  <c r="AV770" i="172" s="1"/>
  <c r="AS754" i="172"/>
  <c r="AN754" i="172"/>
  <c r="AQ754" i="172" s="1"/>
  <c r="AV754" i="172" s="1"/>
  <c r="AS738" i="172"/>
  <c r="AN738" i="172"/>
  <c r="AQ738" i="172" s="1"/>
  <c r="AV738" i="172" s="1"/>
  <c r="AN721" i="172"/>
  <c r="AQ721" i="172" s="1"/>
  <c r="AV721" i="172" s="1"/>
  <c r="AS721" i="172"/>
  <c r="AN705" i="172"/>
  <c r="AQ705" i="172" s="1"/>
  <c r="AV705" i="172" s="1"/>
  <c r="AS705" i="172"/>
  <c r="AN597" i="172"/>
  <c r="AQ597" i="172" s="1"/>
  <c r="AV597" i="172" s="1"/>
  <c r="AS597" i="172"/>
  <c r="AN579" i="172"/>
  <c r="AQ579" i="172" s="1"/>
  <c r="AV579" i="172" s="1"/>
  <c r="AS579" i="172"/>
  <c r="AN556" i="172"/>
  <c r="AQ556" i="172" s="1"/>
  <c r="AV556" i="172" s="1"/>
  <c r="AS556" i="172"/>
  <c r="AS526" i="172"/>
  <c r="AN526" i="172"/>
  <c r="AQ526" i="172" s="1"/>
  <c r="AV526" i="172" s="1"/>
  <c r="AS470" i="172"/>
  <c r="AN470" i="172"/>
  <c r="AQ470" i="172" s="1"/>
  <c r="AV470" i="172" s="1"/>
  <c r="AN373" i="172"/>
  <c r="AQ373" i="172" s="1"/>
  <c r="AV373" i="172" s="1"/>
  <c r="AS373" i="172"/>
  <c r="AS326" i="172"/>
  <c r="AN326" i="172"/>
  <c r="AQ326" i="172" s="1"/>
  <c r="AV326" i="172" s="1"/>
  <c r="AS294" i="172"/>
  <c r="AN294" i="172"/>
  <c r="AQ294" i="172" s="1"/>
  <c r="AV294" i="172" s="1"/>
  <c r="AN932" i="172"/>
  <c r="AQ932" i="172" s="1"/>
  <c r="AV932" i="172" s="1"/>
  <c r="AS932" i="172"/>
  <c r="AN916" i="172"/>
  <c r="AQ916" i="172" s="1"/>
  <c r="AV916" i="172" s="1"/>
  <c r="AS916" i="172"/>
  <c r="AN900" i="172"/>
  <c r="AQ900" i="172" s="1"/>
  <c r="AV900" i="172" s="1"/>
  <c r="AS900" i="172"/>
  <c r="AN884" i="172"/>
  <c r="AQ884" i="172" s="1"/>
  <c r="AV884" i="172" s="1"/>
  <c r="AS884" i="172"/>
  <c r="AS868" i="172"/>
  <c r="AN868" i="172"/>
  <c r="AQ868" i="172" s="1"/>
  <c r="AV868" i="172" s="1"/>
  <c r="AN853" i="172"/>
  <c r="AQ853" i="172" s="1"/>
  <c r="AV853" i="172" s="1"/>
  <c r="AS853" i="172"/>
  <c r="AN837" i="172"/>
  <c r="AQ837" i="172" s="1"/>
  <c r="AV837" i="172" s="1"/>
  <c r="AS837" i="172"/>
  <c r="AN822" i="172"/>
  <c r="AQ822" i="172" s="1"/>
  <c r="AV822" i="172" s="1"/>
  <c r="AS822" i="172"/>
  <c r="AS806" i="172"/>
  <c r="AN806" i="172"/>
  <c r="AQ806" i="172" s="1"/>
  <c r="AV806" i="172" s="1"/>
  <c r="AS787" i="172"/>
  <c r="AN787" i="172"/>
  <c r="AQ787" i="172" s="1"/>
  <c r="AV787" i="172" s="1"/>
  <c r="AS771" i="172"/>
  <c r="AN771" i="172"/>
  <c r="AQ771" i="172" s="1"/>
  <c r="AV771" i="172" s="1"/>
  <c r="AS755" i="172"/>
  <c r="AN755" i="172"/>
  <c r="AQ755" i="172" s="1"/>
  <c r="AV755" i="172" s="1"/>
  <c r="AS739" i="172"/>
  <c r="AN739" i="172"/>
  <c r="AQ739" i="172" s="1"/>
  <c r="AV739" i="172" s="1"/>
  <c r="AN724" i="172"/>
  <c r="AQ724" i="172" s="1"/>
  <c r="AV724" i="172" s="1"/>
  <c r="AS724" i="172"/>
  <c r="AS708" i="172"/>
  <c r="AN708" i="172"/>
  <c r="AQ708" i="172" s="1"/>
  <c r="AV708" i="172" s="1"/>
  <c r="AN694" i="172"/>
  <c r="AQ694" i="172" s="1"/>
  <c r="AV694" i="172" s="1"/>
  <c r="AS694" i="172"/>
  <c r="AN686" i="172"/>
  <c r="AQ686" i="172" s="1"/>
  <c r="AV686" i="172" s="1"/>
  <c r="AS686" i="172"/>
  <c r="AN678" i="172"/>
  <c r="AQ678" i="172" s="1"/>
  <c r="AV678" i="172" s="1"/>
  <c r="AS678" i="172"/>
  <c r="AN670" i="172"/>
  <c r="AQ670" i="172" s="1"/>
  <c r="AV670" i="172" s="1"/>
  <c r="AS670" i="172"/>
  <c r="AN662" i="172"/>
  <c r="AQ662" i="172" s="1"/>
  <c r="AV662" i="172" s="1"/>
  <c r="AS662" i="172"/>
  <c r="AN654" i="172"/>
  <c r="AQ654" i="172" s="1"/>
  <c r="AV654" i="172" s="1"/>
  <c r="AS654" i="172"/>
  <c r="AN646" i="172"/>
  <c r="AQ646" i="172" s="1"/>
  <c r="AV646" i="172" s="1"/>
  <c r="AS646" i="172"/>
  <c r="AN638" i="172"/>
  <c r="AQ638" i="172" s="1"/>
  <c r="AV638" i="172" s="1"/>
  <c r="AS638" i="172"/>
  <c r="AN630" i="172"/>
  <c r="AQ630" i="172" s="1"/>
  <c r="AV630" i="172" s="1"/>
  <c r="AS630" i="172"/>
  <c r="AN622" i="172"/>
  <c r="AQ622" i="172" s="1"/>
  <c r="AV622" i="172" s="1"/>
  <c r="AS622" i="172"/>
  <c r="AN614" i="172"/>
  <c r="AQ614" i="172" s="1"/>
  <c r="AV614" i="172" s="1"/>
  <c r="AS614" i="172"/>
  <c r="AN606" i="172"/>
  <c r="AQ606" i="172" s="1"/>
  <c r="AV606" i="172" s="1"/>
  <c r="AS606" i="172"/>
  <c r="AN591" i="172"/>
  <c r="AQ591" i="172" s="1"/>
  <c r="AV591" i="172" s="1"/>
  <c r="AS591" i="172"/>
  <c r="AS568" i="172"/>
  <c r="AN568" i="172"/>
  <c r="AQ568" i="172" s="1"/>
  <c r="AV568" i="172" s="1"/>
  <c r="AS550" i="172"/>
  <c r="AN550" i="172"/>
  <c r="AQ550" i="172" s="1"/>
  <c r="AV550" i="172" s="1"/>
  <c r="AS520" i="172"/>
  <c r="AN520" i="172"/>
  <c r="AQ520" i="172" s="1"/>
  <c r="AV520" i="172" s="1"/>
  <c r="AS458" i="172"/>
  <c r="AN458" i="172"/>
  <c r="AQ458" i="172" s="1"/>
  <c r="AV458" i="172" s="1"/>
  <c r="AS361" i="172"/>
  <c r="AN361" i="172"/>
  <c r="AQ361" i="172" s="1"/>
  <c r="AV361" i="172" s="1"/>
  <c r="AN316" i="172"/>
  <c r="AQ316" i="172" s="1"/>
  <c r="AV316" i="172" s="1"/>
  <c r="AS316" i="172"/>
  <c r="AS277" i="172"/>
  <c r="AN277" i="172"/>
  <c r="AQ277" i="172" s="1"/>
  <c r="AV277" i="172" s="1"/>
  <c r="AS157" i="172"/>
  <c r="AN157" i="172"/>
  <c r="AQ157" i="172" s="1"/>
  <c r="AV157" i="172" s="1"/>
  <c r="AN138" i="172"/>
  <c r="AQ138" i="172" s="1"/>
  <c r="AV138" i="172" s="1"/>
  <c r="AS138" i="172"/>
  <c r="AN122" i="172"/>
  <c r="AQ122" i="172" s="1"/>
  <c r="AV122" i="172" s="1"/>
  <c r="AS122" i="172"/>
  <c r="AS106" i="172"/>
  <c r="AN106" i="172"/>
  <c r="AQ106" i="172" s="1"/>
  <c r="AV106" i="172" s="1"/>
  <c r="AS90" i="172"/>
  <c r="AN90" i="172"/>
  <c r="AQ90" i="172" s="1"/>
  <c r="AV90" i="172" s="1"/>
  <c r="AN75" i="172"/>
  <c r="AQ75" i="172" s="1"/>
  <c r="AV75" i="172" s="1"/>
  <c r="AS75" i="172"/>
  <c r="AS535" i="172"/>
  <c r="AN535" i="172"/>
  <c r="AQ535" i="172" s="1"/>
  <c r="AV535" i="172" s="1"/>
  <c r="AS519" i="172"/>
  <c r="AN519" i="172"/>
  <c r="AQ519" i="172" s="1"/>
  <c r="AV519" i="172" s="1"/>
  <c r="AS503" i="172"/>
  <c r="AN503" i="172"/>
  <c r="AQ503" i="172" s="1"/>
  <c r="AV503" i="172" s="1"/>
  <c r="AS487" i="172"/>
  <c r="AN487" i="172"/>
  <c r="AQ487" i="172" s="1"/>
  <c r="AV487" i="172" s="1"/>
  <c r="AS471" i="172"/>
  <c r="AN471" i="172"/>
  <c r="AQ471" i="172" s="1"/>
  <c r="AV471" i="172" s="1"/>
  <c r="AS455" i="172"/>
  <c r="AN455" i="172"/>
  <c r="AQ455" i="172" s="1"/>
  <c r="AV455" i="172" s="1"/>
  <c r="AS439" i="172"/>
  <c r="AN439" i="172"/>
  <c r="AQ439" i="172" s="1"/>
  <c r="AV439" i="172" s="1"/>
  <c r="AS394" i="172"/>
  <c r="AN394" i="172"/>
  <c r="AQ394" i="172" s="1"/>
  <c r="AV394" i="172" s="1"/>
  <c r="AS378" i="172"/>
  <c r="AN378" i="172"/>
  <c r="AQ378" i="172" s="1"/>
  <c r="AV378" i="172" s="1"/>
  <c r="AS362" i="172"/>
  <c r="AN362" i="172"/>
  <c r="AQ362" i="172" s="1"/>
  <c r="AV362" i="172" s="1"/>
  <c r="AS346" i="172"/>
  <c r="AN346" i="172"/>
  <c r="AQ346" i="172" s="1"/>
  <c r="AV346" i="172" s="1"/>
  <c r="AS282" i="172"/>
  <c r="AN282" i="172"/>
  <c r="AQ282" i="172" s="1"/>
  <c r="AV282" i="172" s="1"/>
  <c r="AS265" i="172"/>
  <c r="AN265" i="172"/>
  <c r="AQ265" i="172" s="1"/>
  <c r="AV265" i="172" s="1"/>
  <c r="AS257" i="172"/>
  <c r="AN257" i="172"/>
  <c r="AQ257" i="172" s="1"/>
  <c r="AV257" i="172" s="1"/>
  <c r="AS249" i="172"/>
  <c r="AN249" i="172"/>
  <c r="AQ249" i="172" s="1"/>
  <c r="AV249" i="172" s="1"/>
  <c r="AS241" i="172"/>
  <c r="AN241" i="172"/>
  <c r="AQ241" i="172" s="1"/>
  <c r="AV241" i="172" s="1"/>
  <c r="AN233" i="172"/>
  <c r="AQ233" i="172" s="1"/>
  <c r="AV233" i="172" s="1"/>
  <c r="AS233" i="172"/>
  <c r="AS225" i="172"/>
  <c r="AN225" i="172"/>
  <c r="AQ225" i="172" s="1"/>
  <c r="AV225" i="172" s="1"/>
  <c r="AN210" i="172"/>
  <c r="AQ210" i="172" s="1"/>
  <c r="AV210" i="172" s="1"/>
  <c r="AS210" i="172"/>
  <c r="AN201" i="172"/>
  <c r="AQ201" i="172" s="1"/>
  <c r="AV201" i="172" s="1"/>
  <c r="AS201" i="172"/>
  <c r="AS188" i="172"/>
  <c r="AN188" i="172"/>
  <c r="AQ188" i="172" s="1"/>
  <c r="AV188" i="172" s="1"/>
  <c r="AS184" i="172"/>
  <c r="AN184" i="172"/>
  <c r="AQ184" i="172" s="1"/>
  <c r="AV184" i="172" s="1"/>
  <c r="AS180" i="172"/>
  <c r="AN180" i="172"/>
  <c r="AQ180" i="172" s="1"/>
  <c r="AV180" i="172" s="1"/>
  <c r="AS176" i="172"/>
  <c r="AN176" i="172"/>
  <c r="AQ176" i="172" s="1"/>
  <c r="AV176" i="172" s="1"/>
  <c r="AS172" i="172"/>
  <c r="AN172" i="172"/>
  <c r="AQ172" i="172" s="1"/>
  <c r="AV172" i="172" s="1"/>
  <c r="AN168" i="172"/>
  <c r="AQ168" i="172" s="1"/>
  <c r="AV168" i="172" s="1"/>
  <c r="AS168" i="172"/>
  <c r="AS164" i="172"/>
  <c r="AN164" i="172"/>
  <c r="AQ164" i="172" s="1"/>
  <c r="AV164" i="172" s="1"/>
  <c r="AS156" i="172"/>
  <c r="AN156" i="172"/>
  <c r="AQ156" i="172" s="1"/>
  <c r="AV156" i="172" s="1"/>
  <c r="AN139" i="172"/>
  <c r="AQ139" i="172" s="1"/>
  <c r="AV139" i="172" s="1"/>
  <c r="AS139" i="172"/>
  <c r="AN123" i="172"/>
  <c r="AQ123" i="172" s="1"/>
  <c r="AV123" i="172" s="1"/>
  <c r="AS123" i="172"/>
  <c r="AS107" i="172"/>
  <c r="AN107" i="172"/>
  <c r="AQ107" i="172" s="1"/>
  <c r="AV107" i="172" s="1"/>
  <c r="AS91" i="172"/>
  <c r="AN91" i="172"/>
  <c r="AQ91" i="172" s="1"/>
  <c r="AV91" i="172" s="1"/>
  <c r="AN76" i="172"/>
  <c r="AQ76" i="172" s="1"/>
  <c r="AV76" i="172" s="1"/>
  <c r="AS76" i="172"/>
  <c r="AS516" i="172"/>
  <c r="AN516" i="172"/>
  <c r="AQ516" i="172" s="1"/>
  <c r="AV516" i="172" s="1"/>
  <c r="AN500" i="172"/>
  <c r="AQ500" i="172" s="1"/>
  <c r="AV500" i="172" s="1"/>
  <c r="AS500" i="172"/>
  <c r="AN484" i="172"/>
  <c r="AQ484" i="172" s="1"/>
  <c r="AV484" i="172" s="1"/>
  <c r="AS484" i="172"/>
  <c r="AS468" i="172"/>
  <c r="AN468" i="172"/>
  <c r="AQ468" i="172" s="1"/>
  <c r="AV468" i="172" s="1"/>
  <c r="AN452" i="172"/>
  <c r="AQ452" i="172" s="1"/>
  <c r="AV452" i="172" s="1"/>
  <c r="AS452" i="172"/>
  <c r="AN436" i="172"/>
  <c r="AQ436" i="172" s="1"/>
  <c r="AV436" i="172" s="1"/>
  <c r="AS436" i="172"/>
  <c r="AS429" i="172"/>
  <c r="AN429" i="172"/>
  <c r="AQ429" i="172" s="1"/>
  <c r="AV429" i="172" s="1"/>
  <c r="AS425" i="172"/>
  <c r="AN425" i="172"/>
  <c r="AQ425" i="172" s="1"/>
  <c r="AV425" i="172" s="1"/>
  <c r="AN421" i="172"/>
  <c r="AQ421" i="172" s="1"/>
  <c r="AV421" i="172" s="1"/>
  <c r="AS421" i="172"/>
  <c r="AN417" i="172"/>
  <c r="AQ417" i="172" s="1"/>
  <c r="AV417" i="172" s="1"/>
  <c r="AS417" i="172"/>
  <c r="AS413" i="172"/>
  <c r="AN413" i="172"/>
  <c r="AQ413" i="172" s="1"/>
  <c r="AV413" i="172" s="1"/>
  <c r="AS409" i="172"/>
  <c r="AN409" i="172"/>
  <c r="AQ409" i="172" s="1"/>
  <c r="AV409" i="172" s="1"/>
  <c r="AN405" i="172"/>
  <c r="AQ405" i="172" s="1"/>
  <c r="AV405" i="172" s="1"/>
  <c r="AS405" i="172"/>
  <c r="AN395" i="172"/>
  <c r="AQ395" i="172" s="1"/>
  <c r="AV395" i="172" s="1"/>
  <c r="AS395" i="172"/>
  <c r="AN379" i="172"/>
  <c r="AQ379" i="172" s="1"/>
  <c r="AV379" i="172" s="1"/>
  <c r="AS379" i="172"/>
  <c r="AN363" i="172"/>
  <c r="AQ363" i="172" s="1"/>
  <c r="AV363" i="172" s="1"/>
  <c r="AS363" i="172"/>
  <c r="AN347" i="172"/>
  <c r="AQ347" i="172" s="1"/>
  <c r="AV347" i="172" s="1"/>
  <c r="AS347" i="172"/>
  <c r="AN335" i="172"/>
  <c r="AQ335" i="172" s="1"/>
  <c r="AV335" i="172" s="1"/>
  <c r="AS335" i="172"/>
  <c r="AS327" i="172"/>
  <c r="AN327" i="172"/>
  <c r="AQ327" i="172" s="1"/>
  <c r="AV327" i="172" s="1"/>
  <c r="AS319" i="172"/>
  <c r="AN319" i="172"/>
  <c r="AQ319" i="172" s="1"/>
  <c r="AV319" i="172" s="1"/>
  <c r="AS311" i="172"/>
  <c r="AN311" i="172"/>
  <c r="AQ311" i="172" s="1"/>
  <c r="AV311" i="172" s="1"/>
  <c r="AS303" i="172"/>
  <c r="AN303" i="172"/>
  <c r="AQ303" i="172" s="1"/>
  <c r="AV303" i="172" s="1"/>
  <c r="AS295" i="172"/>
  <c r="AN295" i="172"/>
  <c r="AQ295" i="172" s="1"/>
  <c r="AV295" i="172" s="1"/>
  <c r="AS287" i="172"/>
  <c r="AN287" i="172"/>
  <c r="AQ287" i="172" s="1"/>
  <c r="AV287" i="172" s="1"/>
  <c r="AS273" i="172"/>
  <c r="AN273" i="172"/>
  <c r="AQ273" i="172" s="1"/>
  <c r="AV273" i="172" s="1"/>
  <c r="AS212" i="172"/>
  <c r="AN212" i="172"/>
  <c r="AQ212" i="172" s="1"/>
  <c r="AV212" i="172" s="1"/>
  <c r="AS192" i="172"/>
  <c r="AN192" i="172"/>
  <c r="AQ192" i="172" s="1"/>
  <c r="AV192" i="172" s="1"/>
  <c r="AS149" i="172"/>
  <c r="AN149" i="172"/>
  <c r="AQ149" i="172" s="1"/>
  <c r="AV149" i="172" s="1"/>
  <c r="AN136" i="172"/>
  <c r="AQ136" i="172" s="1"/>
  <c r="AV136" i="172" s="1"/>
  <c r="AS136" i="172"/>
  <c r="AS120" i="172"/>
  <c r="AN120" i="172"/>
  <c r="AQ120" i="172" s="1"/>
  <c r="AV120" i="172" s="1"/>
  <c r="AS104" i="172"/>
  <c r="AN104" i="172"/>
  <c r="AQ104" i="172" s="1"/>
  <c r="AV104" i="172" s="1"/>
  <c r="AS88" i="172"/>
  <c r="AN88" i="172"/>
  <c r="AQ88" i="172" s="1"/>
  <c r="AV88" i="172" s="1"/>
  <c r="AS577" i="172"/>
  <c r="AN577" i="172"/>
  <c r="AQ577" i="172" s="1"/>
  <c r="AV577" i="172" s="1"/>
  <c r="AN561" i="172"/>
  <c r="AQ561" i="172" s="1"/>
  <c r="AV561" i="172" s="1"/>
  <c r="AS561" i="172"/>
  <c r="AN545" i="172"/>
  <c r="AQ545" i="172" s="1"/>
  <c r="AV545" i="172" s="1"/>
  <c r="AS545" i="172"/>
  <c r="AN529" i="172"/>
  <c r="AQ529" i="172" s="1"/>
  <c r="AV529" i="172" s="1"/>
  <c r="AS529" i="172"/>
  <c r="AS513" i="172"/>
  <c r="AN513" i="172"/>
  <c r="AQ513" i="172" s="1"/>
  <c r="AV513" i="172" s="1"/>
  <c r="AS497" i="172"/>
  <c r="AN497" i="172"/>
  <c r="AQ497" i="172" s="1"/>
  <c r="AV497" i="172" s="1"/>
  <c r="AS481" i="172"/>
  <c r="AN481" i="172"/>
  <c r="AQ481" i="172" s="1"/>
  <c r="AV481" i="172" s="1"/>
  <c r="AN465" i="172"/>
  <c r="AQ465" i="172" s="1"/>
  <c r="AV465" i="172" s="1"/>
  <c r="AS465" i="172"/>
  <c r="AN449" i="172"/>
  <c r="AQ449" i="172" s="1"/>
  <c r="AV449" i="172" s="1"/>
  <c r="AS449" i="172"/>
  <c r="AN433" i="172"/>
  <c r="AQ433" i="172" s="1"/>
  <c r="AV433" i="172" s="1"/>
  <c r="AS433" i="172"/>
  <c r="AN388" i="172"/>
  <c r="AQ388" i="172" s="1"/>
  <c r="AV388" i="172" s="1"/>
  <c r="AS388" i="172"/>
  <c r="AN372" i="172"/>
  <c r="AQ372" i="172" s="1"/>
  <c r="AV372" i="172" s="1"/>
  <c r="AS372" i="172"/>
  <c r="AS356" i="172"/>
  <c r="AN356" i="172"/>
  <c r="AQ356" i="172" s="1"/>
  <c r="AV356" i="172" s="1"/>
  <c r="AS338" i="172"/>
  <c r="AN338" i="172"/>
  <c r="AQ338" i="172" s="1"/>
  <c r="AV338" i="172" s="1"/>
  <c r="AS271" i="172"/>
  <c r="AN271" i="172"/>
  <c r="AQ271" i="172" s="1"/>
  <c r="AV271" i="172" s="1"/>
  <c r="AS262" i="172"/>
  <c r="AN262" i="172"/>
  <c r="AQ262" i="172" s="1"/>
  <c r="AV262" i="172" s="1"/>
  <c r="AS254" i="172"/>
  <c r="AN254" i="172"/>
  <c r="AQ254" i="172" s="1"/>
  <c r="AV254" i="172" s="1"/>
  <c r="AS246" i="172"/>
  <c r="AN246" i="172"/>
  <c r="AQ246" i="172" s="1"/>
  <c r="AV246" i="172" s="1"/>
  <c r="AS238" i="172"/>
  <c r="AN238" i="172"/>
  <c r="AQ238" i="172" s="1"/>
  <c r="AV238" i="172" s="1"/>
  <c r="AN230" i="172"/>
  <c r="AQ230" i="172" s="1"/>
  <c r="AV230" i="172" s="1"/>
  <c r="AS230" i="172"/>
  <c r="AS214" i="172"/>
  <c r="AN214" i="172"/>
  <c r="AQ214" i="172" s="1"/>
  <c r="AV214" i="172" s="1"/>
  <c r="AN199" i="172"/>
  <c r="AQ199" i="172" s="1"/>
  <c r="AV199" i="172" s="1"/>
  <c r="AS199" i="172"/>
  <c r="AS154" i="172"/>
  <c r="AN154" i="172"/>
  <c r="AQ154" i="172" s="1"/>
  <c r="AV154" i="172" s="1"/>
  <c r="AN141" i="172"/>
  <c r="AQ141" i="172" s="1"/>
  <c r="AV141" i="172" s="1"/>
  <c r="AS141" i="172"/>
  <c r="AS125" i="172"/>
  <c r="AN125" i="172"/>
  <c r="AQ125" i="172" s="1"/>
  <c r="AV125" i="172" s="1"/>
  <c r="AN109" i="172"/>
  <c r="AQ109" i="172" s="1"/>
  <c r="AV109" i="172" s="1"/>
  <c r="AS109" i="172"/>
  <c r="AS93" i="172"/>
  <c r="AN93" i="172"/>
  <c r="AQ93" i="172" s="1"/>
  <c r="AV93" i="172" s="1"/>
  <c r="AN59" i="172"/>
  <c r="AQ59" i="172" s="1"/>
  <c r="AV59" i="172" s="1"/>
  <c r="AS59" i="172"/>
  <c r="AN44" i="172"/>
  <c r="AQ44" i="172" s="1"/>
  <c r="AV44" i="172" s="1"/>
  <c r="AS44" i="172"/>
  <c r="AN36" i="172"/>
  <c r="AQ36" i="172" s="1"/>
  <c r="AV36" i="172" s="1"/>
  <c r="AS36" i="172"/>
  <c r="AS28" i="172"/>
  <c r="AN28" i="172"/>
  <c r="AQ28" i="172" s="1"/>
  <c r="AV28" i="172" s="1"/>
  <c r="AS20" i="172"/>
  <c r="AN20" i="172"/>
  <c r="AQ20" i="172" s="1"/>
  <c r="AV20" i="172" s="1"/>
  <c r="AN12" i="172"/>
  <c r="AQ12" i="172" s="1"/>
  <c r="AV12" i="172" s="1"/>
  <c r="AS12" i="172"/>
  <c r="AN77" i="172"/>
  <c r="AQ77" i="172" s="1"/>
  <c r="AV77" i="172" s="1"/>
  <c r="AS77" i="172"/>
  <c r="AN71" i="172"/>
  <c r="AQ71" i="172" s="1"/>
  <c r="AV71" i="172" s="1"/>
  <c r="AS71" i="172"/>
  <c r="AS54" i="172"/>
  <c r="AN54" i="172"/>
  <c r="AQ54" i="172" s="1"/>
  <c r="AV54" i="172" s="1"/>
  <c r="AN69" i="172"/>
  <c r="AQ69" i="172" s="1"/>
  <c r="AV69" i="172" s="1"/>
  <c r="AS69" i="172"/>
  <c r="AS55" i="172"/>
  <c r="AN55" i="172"/>
  <c r="AQ55" i="172" s="1"/>
  <c r="AV55" i="172" s="1"/>
  <c r="AN46" i="172"/>
  <c r="AQ46" i="172" s="1"/>
  <c r="AV46" i="172" s="1"/>
  <c r="AS46" i="172"/>
  <c r="AN38" i="172"/>
  <c r="AQ38" i="172" s="1"/>
  <c r="AV38" i="172" s="1"/>
  <c r="AS38" i="172"/>
  <c r="AN30" i="172"/>
  <c r="AQ30" i="172" s="1"/>
  <c r="AV30" i="172" s="1"/>
  <c r="AS30" i="172"/>
  <c r="AS22" i="172"/>
  <c r="AN22" i="172"/>
  <c r="AQ22" i="172" s="1"/>
  <c r="AV22" i="172" s="1"/>
  <c r="AN14" i="172"/>
  <c r="AQ14" i="172" s="1"/>
  <c r="AV14" i="172" s="1"/>
  <c r="AS14" i="172"/>
  <c r="AO999" i="172"/>
  <c r="AT999" i="172"/>
  <c r="AL999" i="172" a="1"/>
  <c r="AL999" i="172" s="1"/>
  <c r="AP999" i="172" s="1"/>
  <c r="AO991" i="172"/>
  <c r="AT991" i="172"/>
  <c r="AL991" i="172" a="1"/>
  <c r="AL991" i="172" s="1"/>
  <c r="AP991" i="172" s="1"/>
  <c r="AO983" i="172"/>
  <c r="AR983" i="172" s="1"/>
  <c r="AT983" i="172"/>
  <c r="AL983" i="172" a="1"/>
  <c r="AL983" i="172" s="1"/>
  <c r="AP983" i="172" s="1"/>
  <c r="AO975" i="172"/>
  <c r="AR975" i="172" s="1"/>
  <c r="AT975" i="172"/>
  <c r="AL975" i="172" a="1"/>
  <c r="AL975" i="172" s="1"/>
  <c r="AP975" i="172" s="1"/>
  <c r="AO967" i="172"/>
  <c r="AR967" i="172" s="1"/>
  <c r="AT967" i="172"/>
  <c r="AL967" i="172" a="1"/>
  <c r="AL967" i="172" s="1"/>
  <c r="AP967" i="172" s="1"/>
  <c r="AO959" i="172"/>
  <c r="AR959" i="172" s="1"/>
  <c r="AT959" i="172"/>
  <c r="AL959" i="172" a="1"/>
  <c r="AL959" i="172" s="1"/>
  <c r="AP959" i="172" s="1"/>
  <c r="AO951" i="172"/>
  <c r="AR951" i="172" s="1"/>
  <c r="AT951" i="172"/>
  <c r="AL951" i="172" a="1"/>
  <c r="AL951" i="172" s="1"/>
  <c r="AP951" i="172" s="1"/>
  <c r="AO940" i="172"/>
  <c r="AT940" i="172"/>
  <c r="AL940" i="172" a="1"/>
  <c r="AL940" i="172" s="1"/>
  <c r="AP940" i="172" s="1"/>
  <c r="AO911" i="172"/>
  <c r="AT911" i="172"/>
  <c r="AL911" i="172" a="1"/>
  <c r="AL911" i="172" s="1"/>
  <c r="AP911" i="172" s="1"/>
  <c r="AO933" i="172"/>
  <c r="AR933" i="172" s="1"/>
  <c r="AU933" i="172" s="1"/>
  <c r="AT933" i="172"/>
  <c r="AL933" i="172" a="1"/>
  <c r="AL933" i="172" s="1"/>
  <c r="AP933" i="172" s="1"/>
  <c r="AO899" i="172"/>
  <c r="AT899" i="172"/>
  <c r="AL899" i="172" a="1"/>
  <c r="AL899" i="172" s="1"/>
  <c r="AP899" i="172" s="1"/>
  <c r="AO992" i="172"/>
  <c r="AT992" i="172"/>
  <c r="AL992" i="172" a="1"/>
  <c r="AL992" i="172" s="1"/>
  <c r="AP992" i="172" s="1"/>
  <c r="AX991" i="172" s="1"/>
  <c r="AY991" i="172" s="1"/>
  <c r="AO984" i="172"/>
  <c r="AT984" i="172"/>
  <c r="AL984" i="172" a="1"/>
  <c r="AL984" i="172" s="1"/>
  <c r="AP984" i="172" s="1"/>
  <c r="AO976" i="172"/>
  <c r="AT976" i="172"/>
  <c r="AL976" i="172" a="1"/>
  <c r="AL976" i="172" s="1"/>
  <c r="AP976" i="172" s="1"/>
  <c r="AO968" i="172"/>
  <c r="AT968" i="172"/>
  <c r="AL968" i="172" a="1"/>
  <c r="AL968" i="172" s="1"/>
  <c r="AP968" i="172" s="1"/>
  <c r="AX967" i="172" s="1"/>
  <c r="AY967" i="172" s="1"/>
  <c r="AO960" i="172"/>
  <c r="AT960" i="172"/>
  <c r="AL960" i="172" a="1"/>
  <c r="AL960" i="172" s="1"/>
  <c r="AP960" i="172" s="1"/>
  <c r="AX959" i="172" s="1"/>
  <c r="AY959" i="172" s="1"/>
  <c r="AO952" i="172"/>
  <c r="AT952" i="172"/>
  <c r="AL952" i="172" a="1"/>
  <c r="AL952" i="172" s="1"/>
  <c r="AP952" i="172" s="1"/>
  <c r="AO942" i="172"/>
  <c r="AT942" i="172"/>
  <c r="AL942" i="172" a="1"/>
  <c r="AL942" i="172" s="1"/>
  <c r="AP942" i="172" s="1"/>
  <c r="AO923" i="172"/>
  <c r="AT923" i="172"/>
  <c r="AL923" i="172" a="1"/>
  <c r="AL923" i="172" s="1"/>
  <c r="AP923" i="172" s="1"/>
  <c r="AX922" i="172" s="1"/>
  <c r="AY922" i="172" s="1"/>
  <c r="AO939" i="172"/>
  <c r="AR939" i="172" s="1"/>
  <c r="AT939" i="172"/>
  <c r="AL939" i="172" a="1"/>
  <c r="AL939" i="172" s="1"/>
  <c r="AP939" i="172" s="1"/>
  <c r="AO925" i="172"/>
  <c r="AR925" i="172" s="1"/>
  <c r="AU925" i="172" s="1"/>
  <c r="AT925" i="172"/>
  <c r="AL925" i="172" a="1"/>
  <c r="AL925" i="172" s="1"/>
  <c r="AP925" i="172" s="1"/>
  <c r="AO891" i="172"/>
  <c r="AR891" i="172" s="1"/>
  <c r="AU891" i="172" s="1"/>
  <c r="AT891" i="172"/>
  <c r="AL891" i="172" a="1"/>
  <c r="AL891" i="172" s="1"/>
  <c r="AP891" i="172" s="1"/>
  <c r="AT875" i="172"/>
  <c r="AO875" i="172"/>
  <c r="AR875" i="172" s="1"/>
  <c r="AL875" i="172" a="1"/>
  <c r="AL875" i="172" s="1"/>
  <c r="AP875" i="172" s="1"/>
  <c r="AX874" i="172" s="1"/>
  <c r="AY874" i="172" s="1"/>
  <c r="AT859" i="172"/>
  <c r="AO859" i="172"/>
  <c r="AR859" i="172" s="1"/>
  <c r="AL859" i="172" a="1"/>
  <c r="AL859" i="172" s="1"/>
  <c r="AP859" i="172" s="1"/>
  <c r="AT845" i="172"/>
  <c r="AO845" i="172"/>
  <c r="AL845" i="172" a="1"/>
  <c r="AL845" i="172" s="1"/>
  <c r="AP845" i="172" s="1"/>
  <c r="AL827" i="172" a="1"/>
  <c r="AL827" i="172" s="1"/>
  <c r="AP827" i="172" s="1"/>
  <c r="AO827" i="172"/>
  <c r="AT827" i="172"/>
  <c r="AL811" i="172" a="1"/>
  <c r="AL811" i="172" s="1"/>
  <c r="AP811" i="172" s="1"/>
  <c r="AT811" i="172"/>
  <c r="AO811" i="172"/>
  <c r="AL797" i="172" a="1"/>
  <c r="AL797" i="172" s="1"/>
  <c r="AP797" i="172" s="1"/>
  <c r="AT797" i="172"/>
  <c r="AO797" i="172"/>
  <c r="AL781" i="172" a="1"/>
  <c r="AL781" i="172" s="1"/>
  <c r="AP781" i="172" s="1"/>
  <c r="AT781" i="172"/>
  <c r="AO781" i="172"/>
  <c r="AL765" i="172" a="1"/>
  <c r="AL765" i="172" s="1"/>
  <c r="AP765" i="172" s="1"/>
  <c r="AT765" i="172"/>
  <c r="AO765" i="172"/>
  <c r="AL749" i="172" a="1"/>
  <c r="AL749" i="172" s="1"/>
  <c r="AP749" i="172" s="1"/>
  <c r="AO749" i="172"/>
  <c r="AT749" i="172"/>
  <c r="AL731" i="172" a="1"/>
  <c r="AL731" i="172" s="1"/>
  <c r="AP731" i="172" s="1"/>
  <c r="AO731" i="172"/>
  <c r="AT731" i="172"/>
  <c r="AL715" i="172" a="1"/>
  <c r="AL715" i="172" s="1"/>
  <c r="AP715" i="172" s="1"/>
  <c r="AT715" i="172"/>
  <c r="AO715" i="172"/>
  <c r="AL699" i="172" a="1"/>
  <c r="AL699" i="172" s="1"/>
  <c r="AP699" i="172" s="1"/>
  <c r="AO699" i="172"/>
  <c r="AT699" i="172"/>
  <c r="AO689" i="172"/>
  <c r="AT689" i="172"/>
  <c r="AL689" i="172" a="1"/>
  <c r="AL689" i="172" s="1"/>
  <c r="AP689" i="172" s="1"/>
  <c r="AO681" i="172"/>
  <c r="AT681" i="172"/>
  <c r="AL681" i="172" a="1"/>
  <c r="AL681" i="172" s="1"/>
  <c r="AP681" i="172" s="1"/>
  <c r="AO673" i="172"/>
  <c r="AT673" i="172"/>
  <c r="AL673" i="172" a="1"/>
  <c r="AL673" i="172" s="1"/>
  <c r="AP673" i="172" s="1"/>
  <c r="AO665" i="172"/>
  <c r="AT665" i="172"/>
  <c r="AL665" i="172" a="1"/>
  <c r="AL665" i="172" s="1"/>
  <c r="AP665" i="172" s="1"/>
  <c r="AO657" i="172"/>
  <c r="AT657" i="172"/>
  <c r="AL657" i="172" a="1"/>
  <c r="AL657" i="172" s="1"/>
  <c r="AP657" i="172" s="1"/>
  <c r="AO649" i="172"/>
  <c r="AT649" i="172"/>
  <c r="AL649" i="172" a="1"/>
  <c r="AL649" i="172" s="1"/>
  <c r="AP649" i="172" s="1"/>
  <c r="AO641" i="172"/>
  <c r="AT641" i="172"/>
  <c r="AL641" i="172" a="1"/>
  <c r="AL641" i="172" s="1"/>
  <c r="AP641" i="172" s="1"/>
  <c r="AO633" i="172"/>
  <c r="AT633" i="172"/>
  <c r="AL633" i="172" a="1"/>
  <c r="AL633" i="172" s="1"/>
  <c r="AP633" i="172" s="1"/>
  <c r="AO625" i="172"/>
  <c r="AT625" i="172"/>
  <c r="AL625" i="172" a="1"/>
  <c r="AL625" i="172" s="1"/>
  <c r="AP625" i="172" s="1"/>
  <c r="AO617" i="172"/>
  <c r="AT617" i="172"/>
  <c r="AL617" i="172" a="1"/>
  <c r="AL617" i="172" s="1"/>
  <c r="AP617" i="172" s="1"/>
  <c r="AO609" i="172"/>
  <c r="AT609" i="172"/>
  <c r="AL609" i="172" a="1"/>
  <c r="AL609" i="172" s="1"/>
  <c r="AP609" i="172" s="1"/>
  <c r="AO603" i="172"/>
  <c r="AT603" i="172"/>
  <c r="AL603" i="172" a="1"/>
  <c r="AL603" i="172" s="1"/>
  <c r="AP603" i="172" s="1"/>
  <c r="AO587" i="172"/>
  <c r="AT587" i="172"/>
  <c r="AL587" i="172" a="1"/>
  <c r="AL587" i="172" s="1"/>
  <c r="AP587" i="172" s="1"/>
  <c r="AL567" i="172" a="1"/>
  <c r="AL567" i="172" s="1"/>
  <c r="AP567" i="172" s="1"/>
  <c r="AT567" i="172"/>
  <c r="AO567" i="172"/>
  <c r="AO544" i="172"/>
  <c r="AT544" i="172"/>
  <c r="AL544" i="172" a="1"/>
  <c r="AL544" i="172" s="1"/>
  <c r="AP544" i="172" s="1"/>
  <c r="AL515" i="172" a="1"/>
  <c r="AL515" i="172" s="1"/>
  <c r="AP515" i="172" s="1"/>
  <c r="AT515" i="172"/>
  <c r="AO515" i="172"/>
  <c r="AL451" i="172" a="1"/>
  <c r="AL451" i="172" s="1"/>
  <c r="AP451" i="172" s="1"/>
  <c r="AT451" i="172"/>
  <c r="AO451" i="172"/>
  <c r="AT418" i="172"/>
  <c r="AO418" i="172"/>
  <c r="AR418" i="172" s="1"/>
  <c r="AL418" i="172" a="1"/>
  <c r="AL418" i="172" s="1"/>
  <c r="AP418" i="172" s="1"/>
  <c r="AT402" i="172"/>
  <c r="AO402" i="172"/>
  <c r="AL402" i="172" a="1"/>
  <c r="AL402" i="172" s="1"/>
  <c r="AP402" i="172" s="1"/>
  <c r="AT282" i="172"/>
  <c r="AU282" i="172" s="1"/>
  <c r="AO282" i="172"/>
  <c r="AR282" i="172" s="1"/>
  <c r="AL282" i="172" a="1"/>
  <c r="AL282" i="172" s="1"/>
  <c r="AP282" i="172" s="1"/>
  <c r="AT245" i="172"/>
  <c r="AO245" i="172"/>
  <c r="AL245" i="172" a="1"/>
  <c r="AL245" i="172" s="1"/>
  <c r="AP245" i="172" s="1"/>
  <c r="AX244" i="172" s="1"/>
  <c r="AY244" i="172" s="1"/>
  <c r="AT185" i="172"/>
  <c r="AO185" i="172"/>
  <c r="AR185" i="172" s="1"/>
  <c r="AL185" i="172" a="1"/>
  <c r="AL185" i="172" s="1"/>
  <c r="AP185" i="172" s="1"/>
  <c r="AO924" i="172"/>
  <c r="AT924" i="172"/>
  <c r="AL924" i="172" a="1"/>
  <c r="AL924" i="172" s="1"/>
  <c r="AP924" i="172" s="1"/>
  <c r="AO908" i="172"/>
  <c r="AT908" i="172"/>
  <c r="AL908" i="172" a="1"/>
  <c r="AL908" i="172" s="1"/>
  <c r="AP908" i="172" s="1"/>
  <c r="AO892" i="172"/>
  <c r="AT892" i="172"/>
  <c r="AL892" i="172" a="1"/>
  <c r="AL892" i="172" s="1"/>
  <c r="AP892" i="172" s="1"/>
  <c r="AX891" i="172" s="1"/>
  <c r="AY891" i="172" s="1"/>
  <c r="AT876" i="172"/>
  <c r="AO876" i="172"/>
  <c r="AL876" i="172" a="1"/>
  <c r="AL876" i="172" s="1"/>
  <c r="AP876" i="172" s="1"/>
  <c r="AO860" i="172"/>
  <c r="AT860" i="172"/>
  <c r="AL860" i="172" a="1"/>
  <c r="AL860" i="172" s="1"/>
  <c r="AP860" i="172" s="1"/>
  <c r="AX859" i="172" s="1"/>
  <c r="AY859" i="172" s="1"/>
  <c r="AO842" i="172"/>
  <c r="AT842" i="172"/>
  <c r="AL842" i="172" a="1"/>
  <c r="AL842" i="172" s="1"/>
  <c r="AP842" i="172" s="1"/>
  <c r="AT828" i="172"/>
  <c r="AO828" i="172"/>
  <c r="AL828" i="172" a="1"/>
  <c r="AL828" i="172" s="1"/>
  <c r="AP828" i="172" s="1"/>
  <c r="AX827" i="172" s="1"/>
  <c r="AY827" i="172" s="1"/>
  <c r="AT812" i="172"/>
  <c r="AO812" i="172"/>
  <c r="AL812" i="172" a="1"/>
  <c r="AL812" i="172" s="1"/>
  <c r="AP812" i="172" s="1"/>
  <c r="AX811" i="172" s="1"/>
  <c r="AY811" i="172" s="1"/>
  <c r="AL794" i="172" a="1"/>
  <c r="AL794" i="172" s="1"/>
  <c r="AP794" i="172" s="1"/>
  <c r="AT794" i="172"/>
  <c r="AO794" i="172"/>
  <c r="AL778" i="172" a="1"/>
  <c r="AL778" i="172" s="1"/>
  <c r="AP778" i="172" s="1"/>
  <c r="AT778" i="172"/>
  <c r="AO778" i="172"/>
  <c r="AL762" i="172" a="1"/>
  <c r="AL762" i="172" s="1"/>
  <c r="AP762" i="172" s="1"/>
  <c r="AT762" i="172"/>
  <c r="AO762" i="172"/>
  <c r="AL746" i="172" a="1"/>
  <c r="AL746" i="172" s="1"/>
  <c r="AP746" i="172" s="1"/>
  <c r="AO746" i="172"/>
  <c r="AT746" i="172"/>
  <c r="AL729" i="172" a="1"/>
  <c r="AL729" i="172" s="1"/>
  <c r="AP729" i="172" s="1"/>
  <c r="AT729" i="172"/>
  <c r="AO729" i="172"/>
  <c r="AL713" i="172" a="1"/>
  <c r="AL713" i="172" s="1"/>
  <c r="AP713" i="172" s="1"/>
  <c r="AT713" i="172"/>
  <c r="AO713" i="172"/>
  <c r="AL697" i="172" a="1"/>
  <c r="AL697" i="172" s="1"/>
  <c r="AP697" i="172" s="1"/>
  <c r="AO697" i="172"/>
  <c r="AT697" i="172"/>
  <c r="AO589" i="172"/>
  <c r="AT589" i="172"/>
  <c r="AL589" i="172" a="1"/>
  <c r="AL589" i="172" s="1"/>
  <c r="AP589" i="172" s="1"/>
  <c r="AX588" i="172" s="1"/>
  <c r="AY588" i="172" s="1"/>
  <c r="AL565" i="172" a="1"/>
  <c r="AL565" i="172" s="1"/>
  <c r="AP565" i="172" s="1"/>
  <c r="AX564" i="172" s="1"/>
  <c r="AY564" i="172" s="1"/>
  <c r="AT565" i="172"/>
  <c r="AO565" i="172"/>
  <c r="AR565" i="172" s="1"/>
  <c r="AU565" i="172" s="1"/>
  <c r="AL547" i="172" a="1"/>
  <c r="AL547" i="172" s="1"/>
  <c r="AP547" i="172" s="1"/>
  <c r="AT547" i="172"/>
  <c r="AO547" i="172"/>
  <c r="AL503" i="172" a="1"/>
  <c r="AL503" i="172" s="1"/>
  <c r="AP503" i="172" s="1"/>
  <c r="AT503" i="172"/>
  <c r="AO503" i="172"/>
  <c r="AR503" i="172" s="1"/>
  <c r="AU503" i="172" s="1"/>
  <c r="AL439" i="172" a="1"/>
  <c r="AL439" i="172" s="1"/>
  <c r="AP439" i="172" s="1"/>
  <c r="AT439" i="172"/>
  <c r="AO439" i="172"/>
  <c r="AR439" i="172" s="1"/>
  <c r="AU439" i="172" s="1"/>
  <c r="AO417" i="172"/>
  <c r="AR417" i="172" s="1"/>
  <c r="AT417" i="172"/>
  <c r="AL417" i="172" a="1"/>
  <c r="AL417" i="172" s="1"/>
  <c r="AP417" i="172" s="1"/>
  <c r="AO390" i="172"/>
  <c r="AT390" i="172"/>
  <c r="AL390" i="172" a="1"/>
  <c r="AL390" i="172" s="1"/>
  <c r="AP390" i="172" s="1"/>
  <c r="AO267" i="172"/>
  <c r="AR267" i="172" s="1"/>
  <c r="AT267" i="172"/>
  <c r="AL267" i="172" a="1"/>
  <c r="AL267" i="172" s="1"/>
  <c r="AP267" i="172" s="1"/>
  <c r="AT235" i="172"/>
  <c r="AO235" i="172"/>
  <c r="AR235" i="172" s="1"/>
  <c r="AL235" i="172" a="1"/>
  <c r="AL235" i="172" s="1"/>
  <c r="AP235" i="172" s="1"/>
  <c r="AT201" i="172"/>
  <c r="AO201" i="172"/>
  <c r="AR201" i="172" s="1"/>
  <c r="AL201" i="172" a="1"/>
  <c r="AL201" i="172" s="1"/>
  <c r="AP201" i="172" s="1"/>
  <c r="AX200" i="172" s="1"/>
  <c r="AY200" i="172" s="1"/>
  <c r="AO176" i="172"/>
  <c r="AR176" i="172" s="1"/>
  <c r="AT176" i="172"/>
  <c r="AL176" i="172" a="1"/>
  <c r="AL176" i="172" s="1"/>
  <c r="AP176" i="172" s="1"/>
  <c r="AX175" i="172" s="1"/>
  <c r="AY175" i="172" s="1"/>
  <c r="AO901" i="172"/>
  <c r="AT901" i="172"/>
  <c r="AL901" i="172" a="1"/>
  <c r="AL901" i="172" s="1"/>
  <c r="AP901" i="172" s="1"/>
  <c r="AO885" i="172"/>
  <c r="AT885" i="172"/>
  <c r="AL885" i="172" a="1"/>
  <c r="AL885" i="172" s="1"/>
  <c r="AP885" i="172" s="1"/>
  <c r="AO869" i="172"/>
  <c r="AT869" i="172"/>
  <c r="AL869" i="172" a="1"/>
  <c r="AL869" i="172" s="1"/>
  <c r="AP869" i="172" s="1"/>
  <c r="AO852" i="172"/>
  <c r="AT852" i="172"/>
  <c r="AL852" i="172" a="1"/>
  <c r="AL852" i="172" s="1"/>
  <c r="AP852" i="172" s="1"/>
  <c r="AL831" i="172" a="1"/>
  <c r="AL831" i="172" s="1"/>
  <c r="AP831" i="172" s="1"/>
  <c r="AT831" i="172"/>
  <c r="AO831" i="172"/>
  <c r="AL815" i="172" a="1"/>
  <c r="AL815" i="172" s="1"/>
  <c r="AP815" i="172" s="1"/>
  <c r="AO815" i="172"/>
  <c r="AT815" i="172"/>
  <c r="AL799" i="172" a="1"/>
  <c r="AL799" i="172" s="1"/>
  <c r="AP799" i="172" s="1"/>
  <c r="AX798" i="172" s="1"/>
  <c r="AY798" i="172" s="1"/>
  <c r="AT799" i="172"/>
  <c r="AO799" i="172"/>
  <c r="AL783" i="172" a="1"/>
  <c r="AL783" i="172" s="1"/>
  <c r="AP783" i="172" s="1"/>
  <c r="AX782" i="172" s="1"/>
  <c r="AY782" i="172" s="1"/>
  <c r="AT783" i="172"/>
  <c r="AO783" i="172"/>
  <c r="AL767" i="172" a="1"/>
  <c r="AL767" i="172" s="1"/>
  <c r="AP767" i="172" s="1"/>
  <c r="AX766" i="172" s="1"/>
  <c r="AY766" i="172" s="1"/>
  <c r="AT767" i="172"/>
  <c r="AO767" i="172"/>
  <c r="AL751" i="172" a="1"/>
  <c r="AL751" i="172" s="1"/>
  <c r="AP751" i="172" s="1"/>
  <c r="AX750" i="172" s="1"/>
  <c r="AY750" i="172" s="1"/>
  <c r="AO751" i="172"/>
  <c r="AT751" i="172"/>
  <c r="AL735" i="172" a="1"/>
  <c r="AL735" i="172" s="1"/>
  <c r="AP735" i="172" s="1"/>
  <c r="AX734" i="172" s="1"/>
  <c r="AY734" i="172" s="1"/>
  <c r="AO735" i="172"/>
  <c r="AT735" i="172"/>
  <c r="AL719" i="172" a="1"/>
  <c r="AL719" i="172" s="1"/>
  <c r="AP719" i="172" s="1"/>
  <c r="AX718" i="172" s="1"/>
  <c r="AY718" i="172" s="1"/>
  <c r="AO719" i="172"/>
  <c r="AT719" i="172"/>
  <c r="AL703" i="172" a="1"/>
  <c r="AL703" i="172" s="1"/>
  <c r="AP703" i="172" s="1"/>
  <c r="AX702" i="172" s="1"/>
  <c r="AY702" i="172" s="1"/>
  <c r="AO703" i="172"/>
  <c r="AT703" i="172"/>
  <c r="AO691" i="172"/>
  <c r="AT691" i="172"/>
  <c r="AL691" i="172" a="1"/>
  <c r="AL691" i="172" s="1"/>
  <c r="AP691" i="172" s="1"/>
  <c r="AO683" i="172"/>
  <c r="AT683" i="172"/>
  <c r="AL683" i="172" a="1"/>
  <c r="AL683" i="172" s="1"/>
  <c r="AP683" i="172" s="1"/>
  <c r="AO675" i="172"/>
  <c r="AT675" i="172"/>
  <c r="AL675" i="172" a="1"/>
  <c r="AL675" i="172" s="1"/>
  <c r="AP675" i="172" s="1"/>
  <c r="AO667" i="172"/>
  <c r="AT667" i="172"/>
  <c r="AL667" i="172" a="1"/>
  <c r="AL667" i="172" s="1"/>
  <c r="AP667" i="172" s="1"/>
  <c r="AO659" i="172"/>
  <c r="AT659" i="172"/>
  <c r="AL659" i="172" a="1"/>
  <c r="AL659" i="172" s="1"/>
  <c r="AP659" i="172" s="1"/>
  <c r="AO651" i="172"/>
  <c r="AT651" i="172"/>
  <c r="AL651" i="172" a="1"/>
  <c r="AL651" i="172" s="1"/>
  <c r="AP651" i="172" s="1"/>
  <c r="AO643" i="172"/>
  <c r="AT643" i="172"/>
  <c r="AL643" i="172" a="1"/>
  <c r="AL643" i="172" s="1"/>
  <c r="AP643" i="172" s="1"/>
  <c r="AO635" i="172"/>
  <c r="AT635" i="172"/>
  <c r="AL635" i="172" a="1"/>
  <c r="AL635" i="172" s="1"/>
  <c r="AP635" i="172" s="1"/>
  <c r="AO627" i="172"/>
  <c r="AT627" i="172"/>
  <c r="AL627" i="172" a="1"/>
  <c r="AL627" i="172" s="1"/>
  <c r="AP627" i="172" s="1"/>
  <c r="AO619" i="172"/>
  <c r="AT619" i="172"/>
  <c r="AL619" i="172" a="1"/>
  <c r="AL619" i="172" s="1"/>
  <c r="AP619" i="172" s="1"/>
  <c r="AO611" i="172"/>
  <c r="AT611" i="172"/>
  <c r="AL611" i="172" a="1"/>
  <c r="AL611" i="172" s="1"/>
  <c r="AP611" i="172" s="1"/>
  <c r="AL600" i="172" a="1"/>
  <c r="AL600" i="172" s="1"/>
  <c r="AP600" i="172" s="1"/>
  <c r="AO600" i="172"/>
  <c r="AT600" i="172"/>
  <c r="AL584" i="172" a="1"/>
  <c r="AL584" i="172" s="1"/>
  <c r="AP584" i="172" s="1"/>
  <c r="AO584" i="172"/>
  <c r="AT584" i="172"/>
  <c r="AL568" i="172" a="1"/>
  <c r="AL568" i="172" s="1"/>
  <c r="AP568" i="172" s="1"/>
  <c r="AX567" i="172" s="1"/>
  <c r="AY567" i="172" s="1"/>
  <c r="AT568" i="172"/>
  <c r="AO568" i="172"/>
  <c r="AR568" i="172" s="1"/>
  <c r="AU568" i="172" s="1"/>
  <c r="AL545" i="172" a="1"/>
  <c r="AL545" i="172" s="1"/>
  <c r="AP545" i="172" s="1"/>
  <c r="AX544" i="172" s="1"/>
  <c r="AY544" i="172" s="1"/>
  <c r="AO545" i="172"/>
  <c r="AR545" i="172" s="1"/>
  <c r="AU545" i="172" s="1"/>
  <c r="AT545" i="172"/>
  <c r="AL523" i="172" a="1"/>
  <c r="AL523" i="172" s="1"/>
  <c r="AP523" i="172" s="1"/>
  <c r="AT523" i="172"/>
  <c r="AO523" i="172"/>
  <c r="AR523" i="172" s="1"/>
  <c r="AL459" i="172" a="1"/>
  <c r="AL459" i="172" s="1"/>
  <c r="AP459" i="172" s="1"/>
  <c r="AX458" i="172" s="1"/>
  <c r="AY458" i="172" s="1"/>
  <c r="AO459" i="172"/>
  <c r="AR459" i="172" s="1"/>
  <c r="AT459" i="172"/>
  <c r="AT424" i="172"/>
  <c r="AO424" i="172"/>
  <c r="AL424" i="172" a="1"/>
  <c r="AL424" i="172" s="1"/>
  <c r="AP424" i="172" s="1"/>
  <c r="AT408" i="172"/>
  <c r="AO408" i="172"/>
  <c r="AL408" i="172" a="1"/>
  <c r="AL408" i="172" s="1"/>
  <c r="AP408" i="172" s="1"/>
  <c r="AO362" i="172"/>
  <c r="AR362" i="172" s="1"/>
  <c r="AT362" i="172"/>
  <c r="AL362" i="172" a="1"/>
  <c r="AL362" i="172" s="1"/>
  <c r="AP362" i="172" s="1"/>
  <c r="AT257" i="172"/>
  <c r="AO257" i="172"/>
  <c r="AR257" i="172" s="1"/>
  <c r="AU257" i="172" s="1"/>
  <c r="AL257" i="172" a="1"/>
  <c r="AL257" i="172" s="1"/>
  <c r="AP257" i="172" s="1"/>
  <c r="AO225" i="172"/>
  <c r="AR225" i="172" s="1"/>
  <c r="AT225" i="172"/>
  <c r="AL225" i="172" a="1"/>
  <c r="AL225" i="172" s="1"/>
  <c r="AP225" i="172" s="1"/>
  <c r="AT187" i="172"/>
  <c r="AO187" i="172"/>
  <c r="AL187" i="172" a="1"/>
  <c r="AL187" i="172" s="1"/>
  <c r="AP187" i="172" s="1"/>
  <c r="AT171" i="172"/>
  <c r="AO171" i="172"/>
  <c r="AL171" i="172" a="1"/>
  <c r="AL171" i="172" s="1"/>
  <c r="AP171" i="172" s="1"/>
  <c r="AO918" i="172"/>
  <c r="AT918" i="172"/>
  <c r="AL918" i="172" a="1"/>
  <c r="AL918" i="172" s="1"/>
  <c r="AP918" i="172" s="1"/>
  <c r="AO902" i="172"/>
  <c r="AT902" i="172"/>
  <c r="AL902" i="172" a="1"/>
  <c r="AL902" i="172" s="1"/>
  <c r="AP902" i="172" s="1"/>
  <c r="AO886" i="172"/>
  <c r="AT886" i="172"/>
  <c r="AL886" i="172" a="1"/>
  <c r="AL886" i="172" s="1"/>
  <c r="AP886" i="172" s="1"/>
  <c r="AX885" i="172" s="1"/>
  <c r="AY885" i="172" s="1"/>
  <c r="AO870" i="172"/>
  <c r="AT870" i="172"/>
  <c r="AL870" i="172" a="1"/>
  <c r="AL870" i="172" s="1"/>
  <c r="AP870" i="172" s="1"/>
  <c r="AX869" i="172" s="1"/>
  <c r="AY869" i="172" s="1"/>
  <c r="AO854" i="172"/>
  <c r="AT854" i="172"/>
  <c r="AL854" i="172" a="1"/>
  <c r="AL854" i="172" s="1"/>
  <c r="AP854" i="172" s="1"/>
  <c r="AO840" i="172"/>
  <c r="AT840" i="172"/>
  <c r="AL840" i="172" a="1"/>
  <c r="AL840" i="172" s="1"/>
  <c r="AP840" i="172" s="1"/>
  <c r="AL825" i="172" a="1"/>
  <c r="AL825" i="172" s="1"/>
  <c r="AP825" i="172" s="1"/>
  <c r="AO825" i="172"/>
  <c r="AT825" i="172"/>
  <c r="AL809" i="172" a="1"/>
  <c r="AL809" i="172" s="1"/>
  <c r="AP809" i="172" s="1"/>
  <c r="AO809" i="172"/>
  <c r="AT809" i="172"/>
  <c r="AL796" i="172" a="1"/>
  <c r="AL796" i="172" s="1"/>
  <c r="AP796" i="172" s="1"/>
  <c r="AT796" i="172"/>
  <c r="AO796" i="172"/>
  <c r="AL780" i="172" a="1"/>
  <c r="AL780" i="172" s="1"/>
  <c r="AP780" i="172" s="1"/>
  <c r="AT780" i="172"/>
  <c r="AO780" i="172"/>
  <c r="AL764" i="172" a="1"/>
  <c r="AL764" i="172" s="1"/>
  <c r="AP764" i="172" s="1"/>
  <c r="AT764" i="172"/>
  <c r="AO764" i="172"/>
  <c r="AL748" i="172" a="1"/>
  <c r="AL748" i="172" s="1"/>
  <c r="AP748" i="172" s="1"/>
  <c r="AO748" i="172"/>
  <c r="AT748" i="172"/>
  <c r="AL733" i="172" a="1"/>
  <c r="AL733" i="172" s="1"/>
  <c r="AP733" i="172" s="1"/>
  <c r="AO733" i="172"/>
  <c r="AT733" i="172"/>
  <c r="AL717" i="172" a="1"/>
  <c r="AL717" i="172" s="1"/>
  <c r="AP717" i="172" s="1"/>
  <c r="AO717" i="172"/>
  <c r="AT717" i="172"/>
  <c r="AL701" i="172" a="1"/>
  <c r="AL701" i="172" s="1"/>
  <c r="AP701" i="172" s="1"/>
  <c r="AO701" i="172"/>
  <c r="AT701" i="172"/>
  <c r="AL594" i="172" a="1"/>
  <c r="AL594" i="172" s="1"/>
  <c r="AP594" i="172" s="1"/>
  <c r="AO594" i="172"/>
  <c r="AT594" i="172"/>
  <c r="AL581" i="172" a="1"/>
  <c r="AL581" i="172" s="1"/>
  <c r="AP581" i="172" s="1"/>
  <c r="AO581" i="172"/>
  <c r="AT581" i="172"/>
  <c r="AL557" i="172" a="1"/>
  <c r="AL557" i="172" s="1"/>
  <c r="AP557" i="172" s="1"/>
  <c r="AT557" i="172"/>
  <c r="AO557" i="172"/>
  <c r="AL533" i="172" a="1"/>
  <c r="AL533" i="172" s="1"/>
  <c r="AP533" i="172" s="1"/>
  <c r="AX532" i="172" s="1"/>
  <c r="AY532" i="172" s="1"/>
  <c r="AT533" i="172"/>
  <c r="AO533" i="172"/>
  <c r="AR533" i="172" s="1"/>
  <c r="AL479" i="172" a="1"/>
  <c r="AL479" i="172" s="1"/>
  <c r="AP479" i="172" s="1"/>
  <c r="AT479" i="172"/>
  <c r="AO479" i="172"/>
  <c r="AO427" i="172"/>
  <c r="AT427" i="172"/>
  <c r="AL427" i="172" a="1"/>
  <c r="AL427" i="172" s="1"/>
  <c r="AP427" i="172" s="1"/>
  <c r="AO411" i="172"/>
  <c r="AT411" i="172"/>
  <c r="AL411" i="172" a="1"/>
  <c r="AL411" i="172" s="1"/>
  <c r="AP411" i="172" s="1"/>
  <c r="AO382" i="172"/>
  <c r="AR382" i="172" s="1"/>
  <c r="AT382" i="172"/>
  <c r="AL382" i="172" a="1"/>
  <c r="AL382" i="172" s="1"/>
  <c r="AP382" i="172" s="1"/>
  <c r="AX381" i="172" s="1"/>
  <c r="AY381" i="172" s="1"/>
  <c r="AT284" i="172"/>
  <c r="AU284" i="172" s="1"/>
  <c r="AO284" i="172"/>
  <c r="AR284" i="172" s="1"/>
  <c r="AL284" i="172" a="1"/>
  <c r="AL284" i="172" s="1"/>
  <c r="AP284" i="172" s="1"/>
  <c r="AX283" i="172" s="1"/>
  <c r="AY283" i="172" s="1"/>
  <c r="AT239" i="172"/>
  <c r="AO239" i="172"/>
  <c r="AL239" i="172" a="1"/>
  <c r="AL239" i="172" s="1"/>
  <c r="AP239" i="172" s="1"/>
  <c r="AT190" i="172"/>
  <c r="AO190" i="172"/>
  <c r="AL190" i="172" a="1"/>
  <c r="AL190" i="172" s="1"/>
  <c r="AP190" i="172" s="1"/>
  <c r="AX189" i="172" s="1"/>
  <c r="AY189" i="172" s="1"/>
  <c r="AT174" i="172"/>
  <c r="AO174" i="172"/>
  <c r="AL174" i="172" a="1"/>
  <c r="AL174" i="172" s="1"/>
  <c r="AP174" i="172" s="1"/>
  <c r="AX173" i="172" s="1"/>
  <c r="AY173" i="172" s="1"/>
  <c r="AO167" i="172"/>
  <c r="AT167" i="172"/>
  <c r="AL167" i="172" a="1"/>
  <c r="AL167" i="172" s="1"/>
  <c r="AP167" i="172" s="1"/>
  <c r="AT163" i="172"/>
  <c r="AO163" i="172"/>
  <c r="AL163" i="172" a="1"/>
  <c r="AL163" i="172" s="1"/>
  <c r="AP163" i="172" s="1"/>
  <c r="AT155" i="172"/>
  <c r="AO155" i="172"/>
  <c r="AL155" i="172" a="1"/>
  <c r="AL155" i="172" s="1"/>
  <c r="AP155" i="172" s="1"/>
  <c r="AL140" i="172" a="1"/>
  <c r="AL140" i="172" s="1"/>
  <c r="AP140" i="172" s="1"/>
  <c r="AT140" i="172"/>
  <c r="AO140" i="172"/>
  <c r="AR140" i="172" s="1"/>
  <c r="AU140" i="172" s="1"/>
  <c r="AL132" i="172" a="1"/>
  <c r="AL132" i="172" s="1"/>
  <c r="AP132" i="172" s="1"/>
  <c r="AO132" i="172"/>
  <c r="AT132" i="172"/>
  <c r="AL124" i="172" a="1"/>
  <c r="AL124" i="172" s="1"/>
  <c r="AP124" i="172" s="1"/>
  <c r="AT124" i="172"/>
  <c r="AO124" i="172"/>
  <c r="AR124" i="172" s="1"/>
  <c r="AL116" i="172" a="1"/>
  <c r="AL116" i="172" s="1"/>
  <c r="AP116" i="172" s="1"/>
  <c r="AT116" i="172"/>
  <c r="AO116" i="172"/>
  <c r="AL108" i="172" a="1"/>
  <c r="AL108" i="172" s="1"/>
  <c r="AP108" i="172" s="1"/>
  <c r="AO108" i="172"/>
  <c r="AR108" i="172" s="1"/>
  <c r="AT108" i="172"/>
  <c r="AL100" i="172" a="1"/>
  <c r="AL100" i="172" s="1"/>
  <c r="AP100" i="172" s="1"/>
  <c r="AT100" i="172"/>
  <c r="AO100" i="172"/>
  <c r="AL92" i="172" a="1"/>
  <c r="AL92" i="172" s="1"/>
  <c r="AP92" i="172" s="1"/>
  <c r="AO92" i="172"/>
  <c r="AR92" i="172" s="1"/>
  <c r="AT92" i="172"/>
  <c r="AL84" i="172" a="1"/>
  <c r="AL84" i="172" s="1"/>
  <c r="AP84" i="172" s="1"/>
  <c r="AT84" i="172"/>
  <c r="AO84" i="172"/>
  <c r="AT72" i="172"/>
  <c r="AO72" i="172"/>
  <c r="AR72" i="172" s="1"/>
  <c r="AL72" i="172" a="1"/>
  <c r="AL72" i="172" s="1"/>
  <c r="AP72" i="172" s="1"/>
  <c r="AO43" i="172"/>
  <c r="AT43" i="172"/>
  <c r="AL43" i="172" a="1"/>
  <c r="AL43" i="172" s="1"/>
  <c r="AP43" i="172" s="1"/>
  <c r="AL11" i="172" a="1"/>
  <c r="AL11" i="172" s="1"/>
  <c r="AP11" i="172" s="1"/>
  <c r="AO11" i="172"/>
  <c r="AT11" i="172"/>
  <c r="AO528" i="172"/>
  <c r="AR528" i="172" s="1"/>
  <c r="AT528" i="172"/>
  <c r="AL528" i="172" a="1"/>
  <c r="AL528" i="172" s="1"/>
  <c r="AP528" i="172" s="1"/>
  <c r="AO512" i="172"/>
  <c r="AT512" i="172"/>
  <c r="AL512" i="172" a="1"/>
  <c r="AL512" i="172" s="1"/>
  <c r="AP512" i="172" s="1"/>
  <c r="AT496" i="172"/>
  <c r="AO496" i="172"/>
  <c r="AL496" i="172" a="1"/>
  <c r="AL496" i="172" s="1"/>
  <c r="AP496" i="172" s="1"/>
  <c r="AX495" i="172" s="1"/>
  <c r="AY495" i="172" s="1"/>
  <c r="AT480" i="172"/>
  <c r="AO480" i="172"/>
  <c r="AL480" i="172" a="1"/>
  <c r="AL480" i="172" s="1"/>
  <c r="AP480" i="172" s="1"/>
  <c r="AX479" i="172" s="1"/>
  <c r="AY479" i="172" s="1"/>
  <c r="AO464" i="172"/>
  <c r="AT464" i="172"/>
  <c r="AL464" i="172" a="1"/>
  <c r="AL464" i="172" s="1"/>
  <c r="AP464" i="172" s="1"/>
  <c r="AL448" i="172" a="1"/>
  <c r="AL448" i="172" s="1"/>
  <c r="AP448" i="172" s="1"/>
  <c r="AO448" i="172"/>
  <c r="AT448" i="172"/>
  <c r="AO433" i="172"/>
  <c r="AR433" i="172" s="1"/>
  <c r="AT433" i="172"/>
  <c r="AL433" i="172" a="1"/>
  <c r="AL433" i="172" s="1"/>
  <c r="AP433" i="172" s="1"/>
  <c r="AL387" i="172" a="1"/>
  <c r="AL387" i="172" s="1"/>
  <c r="AP387" i="172" s="1"/>
  <c r="AO387" i="172"/>
  <c r="AT387" i="172"/>
  <c r="AL371" i="172" a="1"/>
  <c r="AL371" i="172" s="1"/>
  <c r="AP371" i="172" s="1"/>
  <c r="AO371" i="172"/>
  <c r="AT371" i="172"/>
  <c r="AL355" i="172" a="1"/>
  <c r="AL355" i="172" s="1"/>
  <c r="AP355" i="172" s="1"/>
  <c r="AX354" i="172" s="1"/>
  <c r="AY354" i="172" s="1"/>
  <c r="AT355" i="172"/>
  <c r="AO355" i="172"/>
  <c r="AL340" i="172" a="1"/>
  <c r="AL340" i="172" s="1"/>
  <c r="AP340" i="172" s="1"/>
  <c r="AX339" i="172" s="1"/>
  <c r="AY339" i="172" s="1"/>
  <c r="AT340" i="172"/>
  <c r="AO340" i="172"/>
  <c r="AO331" i="172"/>
  <c r="AT331" i="172"/>
  <c r="AL331" i="172" a="1"/>
  <c r="AL331" i="172" s="1"/>
  <c r="AP331" i="172" s="1"/>
  <c r="AO323" i="172"/>
  <c r="AT323" i="172"/>
  <c r="AL323" i="172" a="1"/>
  <c r="AL323" i="172" s="1"/>
  <c r="AP323" i="172" s="1"/>
  <c r="AO315" i="172"/>
  <c r="AT315" i="172"/>
  <c r="AL315" i="172" a="1"/>
  <c r="AL315" i="172" s="1"/>
  <c r="AP315" i="172" s="1"/>
  <c r="AO307" i="172"/>
  <c r="AT307" i="172"/>
  <c r="AL307" i="172" a="1"/>
  <c r="AL307" i="172" s="1"/>
  <c r="AP307" i="172" s="1"/>
  <c r="AO299" i="172"/>
  <c r="AT299" i="172"/>
  <c r="AL299" i="172" a="1"/>
  <c r="AL299" i="172" s="1"/>
  <c r="AP299" i="172" s="1"/>
  <c r="AO291" i="172"/>
  <c r="AT291" i="172"/>
  <c r="AL291" i="172" a="1"/>
  <c r="AL291" i="172" s="1"/>
  <c r="AP291" i="172" s="1"/>
  <c r="AT280" i="172"/>
  <c r="AO280" i="172"/>
  <c r="AL280" i="172" a="1"/>
  <c r="AL280" i="172" s="1"/>
  <c r="AP280" i="172" s="1"/>
  <c r="AO223" i="172"/>
  <c r="AT223" i="172"/>
  <c r="AL223" i="172" a="1"/>
  <c r="AL223" i="172" s="1"/>
  <c r="AP223" i="172" s="1"/>
  <c r="AT204" i="172"/>
  <c r="AO204" i="172"/>
  <c r="AL204" i="172" a="1"/>
  <c r="AL204" i="172" s="1"/>
  <c r="AP204" i="172" s="1"/>
  <c r="AX203" i="172" s="1"/>
  <c r="AY203" i="172" s="1"/>
  <c r="AO159" i="172"/>
  <c r="AT159" i="172"/>
  <c r="AL159" i="172" a="1"/>
  <c r="AL159" i="172" s="1"/>
  <c r="AP159" i="172" s="1"/>
  <c r="AO143" i="172"/>
  <c r="AT143" i="172"/>
  <c r="AL143" i="172" a="1"/>
  <c r="AL143" i="172" s="1"/>
  <c r="AP143" i="172" s="1"/>
  <c r="AO47" i="172"/>
  <c r="AR47" i="172" s="1"/>
  <c r="AT47" i="172"/>
  <c r="AL47" i="172" a="1"/>
  <c r="AL47" i="172" s="1"/>
  <c r="AP47" i="172" s="1"/>
  <c r="AT15" i="172"/>
  <c r="AL15" i="172" a="1"/>
  <c r="AL15" i="172" s="1"/>
  <c r="AP15" i="172" s="1"/>
  <c r="AO15" i="172"/>
  <c r="AR15" i="172" s="1"/>
  <c r="AL505" i="172" a="1"/>
  <c r="AL505" i="172" s="1"/>
  <c r="AP505" i="172" s="1"/>
  <c r="AT505" i="172"/>
  <c r="AO505" i="172"/>
  <c r="AL489" i="172" a="1"/>
  <c r="AL489" i="172" s="1"/>
  <c r="AP489" i="172" s="1"/>
  <c r="AO489" i="172"/>
  <c r="AT489" i="172"/>
  <c r="AL473" i="172" a="1"/>
  <c r="AL473" i="172" s="1"/>
  <c r="AP473" i="172" s="1"/>
  <c r="AO473" i="172"/>
  <c r="AT473" i="172"/>
  <c r="AL457" i="172" a="1"/>
  <c r="AL457" i="172" s="1"/>
  <c r="AP457" i="172" s="1"/>
  <c r="AT457" i="172"/>
  <c r="AO457" i="172"/>
  <c r="AL441" i="172" a="1"/>
  <c r="AL441" i="172" s="1"/>
  <c r="AP441" i="172" s="1"/>
  <c r="AT441" i="172"/>
  <c r="AO441" i="172"/>
  <c r="AT396" i="172"/>
  <c r="AO396" i="172"/>
  <c r="AL396" i="172" a="1"/>
  <c r="AL396" i="172" s="1"/>
  <c r="AP396" i="172" s="1"/>
  <c r="AT380" i="172"/>
  <c r="AO380" i="172"/>
  <c r="AL380" i="172" a="1"/>
  <c r="AL380" i="172" s="1"/>
  <c r="AP380" i="172" s="1"/>
  <c r="AO364" i="172"/>
  <c r="AT364" i="172"/>
  <c r="AL364" i="172" a="1"/>
  <c r="AL364" i="172" s="1"/>
  <c r="AP364" i="172" s="1"/>
  <c r="AL348" i="172" a="1"/>
  <c r="AL348" i="172" s="1"/>
  <c r="AP348" i="172" s="1"/>
  <c r="AT348" i="172"/>
  <c r="AO348" i="172"/>
  <c r="AT281" i="172"/>
  <c r="AO281" i="172"/>
  <c r="AL281" i="172" a="1"/>
  <c r="AL281" i="172" s="1"/>
  <c r="AP281" i="172" s="1"/>
  <c r="AX280" i="172" s="1"/>
  <c r="AY280" i="172" s="1"/>
  <c r="AT266" i="172"/>
  <c r="AO266" i="172"/>
  <c r="AL266" i="172" a="1"/>
  <c r="AL266" i="172" s="1"/>
  <c r="AP266" i="172" s="1"/>
  <c r="AX265" i="172" s="1"/>
  <c r="AY265" i="172" s="1"/>
  <c r="AT258" i="172"/>
  <c r="AO258" i="172"/>
  <c r="AL258" i="172" a="1"/>
  <c r="AL258" i="172" s="1"/>
  <c r="AP258" i="172" s="1"/>
  <c r="AX257" i="172" s="1"/>
  <c r="AY257" i="172" s="1"/>
  <c r="AT250" i="172"/>
  <c r="AO250" i="172"/>
  <c r="AL250" i="172" a="1"/>
  <c r="AL250" i="172" s="1"/>
  <c r="AP250" i="172" s="1"/>
  <c r="AT242" i="172"/>
  <c r="AO242" i="172"/>
  <c r="AL242" i="172" a="1"/>
  <c r="AL242" i="172" s="1"/>
  <c r="AP242" i="172" s="1"/>
  <c r="AT234" i="172"/>
  <c r="AO234" i="172"/>
  <c r="AL234" i="172" a="1"/>
  <c r="AL234" i="172" s="1"/>
  <c r="AP234" i="172" s="1"/>
  <c r="AX233" i="172" s="1"/>
  <c r="AY233" i="172" s="1"/>
  <c r="AO226" i="172"/>
  <c r="AT226" i="172"/>
  <c r="AL226" i="172" a="1"/>
  <c r="AL226" i="172" s="1"/>
  <c r="AP226" i="172" s="1"/>
  <c r="AX225" i="172" s="1"/>
  <c r="AY225" i="172" s="1"/>
  <c r="AL206" i="172" a="1"/>
  <c r="AL206" i="172" s="1"/>
  <c r="AP206" i="172" s="1"/>
  <c r="AO206" i="172"/>
  <c r="AT206" i="172"/>
  <c r="AT196" i="172"/>
  <c r="AO196" i="172"/>
  <c r="AL196" i="172" a="1"/>
  <c r="AL196" i="172" s="1"/>
  <c r="AP196" i="172" s="1"/>
  <c r="AT152" i="172"/>
  <c r="AO152" i="172"/>
  <c r="AL152" i="172" a="1"/>
  <c r="AL152" i="172" s="1"/>
  <c r="AP152" i="172" s="1"/>
  <c r="AX151" i="172" s="1"/>
  <c r="AY151" i="172" s="1"/>
  <c r="AL138" i="172" a="1"/>
  <c r="AL138" i="172" s="1"/>
  <c r="AP138" i="172" s="1"/>
  <c r="AT138" i="172"/>
  <c r="AO138" i="172"/>
  <c r="AR138" i="172" s="1"/>
  <c r="AU138" i="172" s="1"/>
  <c r="AL130" i="172" a="1"/>
  <c r="AL130" i="172" s="1"/>
  <c r="AP130" i="172" s="1"/>
  <c r="AO130" i="172"/>
  <c r="AT130" i="172"/>
  <c r="AL122" i="172" a="1"/>
  <c r="AL122" i="172" s="1"/>
  <c r="AP122" i="172" s="1"/>
  <c r="AO122" i="172"/>
  <c r="AR122" i="172" s="1"/>
  <c r="AU122" i="172" s="1"/>
  <c r="AT122" i="172"/>
  <c r="AL114" i="172" a="1"/>
  <c r="AL114" i="172" s="1"/>
  <c r="AP114" i="172" s="1"/>
  <c r="AT114" i="172"/>
  <c r="AO114" i="172"/>
  <c r="AL106" i="172" a="1"/>
  <c r="AL106" i="172" s="1"/>
  <c r="AP106" i="172" s="1"/>
  <c r="AO106" i="172"/>
  <c r="AR106" i="172" s="1"/>
  <c r="AT106" i="172"/>
  <c r="AL98" i="172" a="1"/>
  <c r="AL98" i="172" s="1"/>
  <c r="AP98" i="172" s="1"/>
  <c r="AT98" i="172"/>
  <c r="AO98" i="172"/>
  <c r="AL90" i="172" a="1"/>
  <c r="AL90" i="172" s="1"/>
  <c r="AP90" i="172" s="1"/>
  <c r="AT90" i="172"/>
  <c r="AO90" i="172"/>
  <c r="AR90" i="172" s="1"/>
  <c r="AL82" i="172" a="1"/>
  <c r="AL82" i="172" s="1"/>
  <c r="AP82" i="172" s="1"/>
  <c r="AT82" i="172"/>
  <c r="AO82" i="172"/>
  <c r="AT75" i="172"/>
  <c r="AO75" i="172"/>
  <c r="AR75" i="172" s="1"/>
  <c r="AL75" i="172" a="1"/>
  <c r="AL75" i="172" s="1"/>
  <c r="AP75" i="172" s="1"/>
  <c r="AT40" i="172"/>
  <c r="AO40" i="172"/>
  <c r="AL40" i="172" a="1"/>
  <c r="AL40" i="172" s="1"/>
  <c r="AP40" i="172" s="1"/>
  <c r="AX39" i="172" s="1"/>
  <c r="AY39" i="172" s="1"/>
  <c r="AO8" i="172"/>
  <c r="AT8" i="172"/>
  <c r="AL8" i="172" a="1"/>
  <c r="AL8" i="172" s="1"/>
  <c r="AP8" i="172" s="1"/>
  <c r="AX7" i="172" s="1"/>
  <c r="AY7" i="172" s="1"/>
  <c r="AL566" i="172" a="1"/>
  <c r="AL566" i="172" s="1"/>
  <c r="AP566" i="172" s="1"/>
  <c r="AO566" i="172"/>
  <c r="AT566" i="172"/>
  <c r="AL550" i="172" a="1"/>
  <c r="AL550" i="172" s="1"/>
  <c r="AP550" i="172" s="1"/>
  <c r="AX549" i="172" s="1"/>
  <c r="AY549" i="172" s="1"/>
  <c r="AT550" i="172"/>
  <c r="AO550" i="172"/>
  <c r="AR550" i="172" s="1"/>
  <c r="AT534" i="172"/>
  <c r="AO534" i="172"/>
  <c r="AR534" i="172" s="1"/>
  <c r="AL534" i="172" a="1"/>
  <c r="AL534" i="172" s="1"/>
  <c r="AP534" i="172" s="1"/>
  <c r="AX533" i="172" s="1"/>
  <c r="AY533" i="172" s="1"/>
  <c r="AT518" i="172"/>
  <c r="AO518" i="172"/>
  <c r="AL518" i="172" a="1"/>
  <c r="AL518" i="172" s="1"/>
  <c r="AP518" i="172" s="1"/>
  <c r="AT502" i="172"/>
  <c r="AO502" i="172"/>
  <c r="AL502" i="172" a="1"/>
  <c r="AL502" i="172" s="1"/>
  <c r="AP502" i="172" s="1"/>
  <c r="AT486" i="172"/>
  <c r="AO486" i="172"/>
  <c r="AR486" i="172" s="1"/>
  <c r="AU486" i="172" s="1"/>
  <c r="AL486" i="172" a="1"/>
  <c r="AL486" i="172" s="1"/>
  <c r="AP486" i="172" s="1"/>
  <c r="AT470" i="172"/>
  <c r="AO470" i="172"/>
  <c r="AR470" i="172" s="1"/>
  <c r="AU470" i="172" s="1"/>
  <c r="AL470" i="172" a="1"/>
  <c r="AL470" i="172" s="1"/>
  <c r="AP470" i="172" s="1"/>
  <c r="AL454" i="172" a="1"/>
  <c r="AL454" i="172" s="1"/>
  <c r="AP454" i="172" s="1"/>
  <c r="AT454" i="172"/>
  <c r="AO454" i="172"/>
  <c r="AL438" i="172" a="1"/>
  <c r="AL438" i="172" s="1"/>
  <c r="AP438" i="172" s="1"/>
  <c r="AT438" i="172"/>
  <c r="AO438" i="172"/>
  <c r="AL393" i="172" a="1"/>
  <c r="AL393" i="172" s="1"/>
  <c r="AP393" i="172" s="1"/>
  <c r="AT393" i="172"/>
  <c r="AO393" i="172"/>
  <c r="AL377" i="172" a="1"/>
  <c r="AL377" i="172" s="1"/>
  <c r="AP377" i="172" s="1"/>
  <c r="AT377" i="172"/>
  <c r="AO377" i="172"/>
  <c r="AR377" i="172" s="1"/>
  <c r="AU377" i="172" s="1"/>
  <c r="AL361" i="172" a="1"/>
  <c r="AL361" i="172" s="1"/>
  <c r="AP361" i="172" s="1"/>
  <c r="AT361" i="172"/>
  <c r="AO361" i="172"/>
  <c r="AR361" i="172" s="1"/>
  <c r="AL345" i="172" a="1"/>
  <c r="AL345" i="172" s="1"/>
  <c r="AP345" i="172" s="1"/>
  <c r="AT345" i="172"/>
  <c r="AO345" i="172"/>
  <c r="AT332" i="172"/>
  <c r="AO332" i="172"/>
  <c r="AL332" i="172" a="1"/>
  <c r="AL332" i="172" s="1"/>
  <c r="AP332" i="172" s="1"/>
  <c r="AX331" i="172" s="1"/>
  <c r="AY331" i="172" s="1"/>
  <c r="AT324" i="172"/>
  <c r="AO324" i="172"/>
  <c r="AR324" i="172" s="1"/>
  <c r="AL324" i="172" a="1"/>
  <c r="AL324" i="172" s="1"/>
  <c r="AP324" i="172" s="1"/>
  <c r="AX323" i="172" s="1"/>
  <c r="AY323" i="172" s="1"/>
  <c r="AT316" i="172"/>
  <c r="AO316" i="172"/>
  <c r="AR316" i="172" s="1"/>
  <c r="AL316" i="172" a="1"/>
  <c r="AL316" i="172" s="1"/>
  <c r="AP316" i="172" s="1"/>
  <c r="AX315" i="172" s="1"/>
  <c r="AY315" i="172" s="1"/>
  <c r="AT308" i="172"/>
  <c r="AO308" i="172"/>
  <c r="AL308" i="172" a="1"/>
  <c r="AL308" i="172" s="1"/>
  <c r="AP308" i="172" s="1"/>
  <c r="AX307" i="172" s="1"/>
  <c r="AY307" i="172" s="1"/>
  <c r="AT300" i="172"/>
  <c r="AO300" i="172"/>
  <c r="AL300" i="172" a="1"/>
  <c r="AL300" i="172" s="1"/>
  <c r="AP300" i="172" s="1"/>
  <c r="AX299" i="172" s="1"/>
  <c r="AY299" i="172" s="1"/>
  <c r="AT292" i="172"/>
  <c r="AO292" i="172"/>
  <c r="AR292" i="172" s="1"/>
  <c r="AL292" i="172" a="1"/>
  <c r="AL292" i="172" s="1"/>
  <c r="AP292" i="172" s="1"/>
  <c r="AX291" i="172" s="1"/>
  <c r="AY291" i="172" s="1"/>
  <c r="AT279" i="172"/>
  <c r="AO279" i="172"/>
  <c r="AL279" i="172" a="1"/>
  <c r="AL279" i="172" s="1"/>
  <c r="AP279" i="172" s="1"/>
  <c r="AO224" i="172"/>
  <c r="AT224" i="172"/>
  <c r="AL224" i="172" a="1"/>
  <c r="AL224" i="172" s="1"/>
  <c r="AP224" i="172" s="1"/>
  <c r="AX223" i="172" s="1"/>
  <c r="AY223" i="172" s="1"/>
  <c r="AO208" i="172"/>
  <c r="AT208" i="172"/>
  <c r="AL208" i="172" a="1"/>
  <c r="AL208" i="172" s="1"/>
  <c r="AP208" i="172" s="1"/>
  <c r="AT197" i="172"/>
  <c r="AO197" i="172"/>
  <c r="AL197" i="172" a="1"/>
  <c r="AL197" i="172" s="1"/>
  <c r="AP197" i="172" s="1"/>
  <c r="AX196" i="172" s="1"/>
  <c r="AY196" i="172" s="1"/>
  <c r="AO146" i="172"/>
  <c r="AT146" i="172"/>
  <c r="AL146" i="172" a="1"/>
  <c r="AL146" i="172" s="1"/>
  <c r="AP146" i="172" s="1"/>
  <c r="AL65" i="172" a="1"/>
  <c r="AL65" i="172" s="1"/>
  <c r="AP65" i="172" s="1"/>
  <c r="AO65" i="172"/>
  <c r="AT65" i="172"/>
  <c r="AO28" i="172"/>
  <c r="AR28" i="172" s="1"/>
  <c r="AT28" i="172"/>
  <c r="AL28" i="172" a="1"/>
  <c r="AL28" i="172" s="1"/>
  <c r="AP28" i="172" s="1"/>
  <c r="AT54" i="172"/>
  <c r="AO54" i="172"/>
  <c r="AR54" i="172" s="1"/>
  <c r="AL54" i="172" a="1"/>
  <c r="AL54" i="172" s="1"/>
  <c r="AP54" i="172" s="1"/>
  <c r="AX53" i="172" s="1"/>
  <c r="AY53" i="172" s="1"/>
  <c r="AL63" i="172" a="1"/>
  <c r="AL63" i="172" s="1"/>
  <c r="AP63" i="172" s="1"/>
  <c r="AT63" i="172"/>
  <c r="AO63" i="172"/>
  <c r="AO50" i="172"/>
  <c r="AT50" i="172"/>
  <c r="AL50" i="172" a="1"/>
  <c r="AL50" i="172" s="1"/>
  <c r="AP50" i="172" s="1"/>
  <c r="AO42" i="172"/>
  <c r="AT42" i="172"/>
  <c r="AL42" i="172" a="1"/>
  <c r="AL42" i="172" s="1"/>
  <c r="AP42" i="172" s="1"/>
  <c r="AT34" i="172"/>
  <c r="AO34" i="172"/>
  <c r="AL34" i="172" a="1"/>
  <c r="AL34" i="172" s="1"/>
  <c r="AP34" i="172" s="1"/>
  <c r="AO26" i="172"/>
  <c r="AT26" i="172"/>
  <c r="AL26" i="172" a="1"/>
  <c r="AL26" i="172" s="1"/>
  <c r="AP26" i="172" s="1"/>
  <c r="AT18" i="172"/>
  <c r="AO18" i="172"/>
  <c r="AL18" i="172" a="1"/>
  <c r="AL18" i="172" s="1"/>
  <c r="AP18" i="172" s="1"/>
  <c r="AO10" i="172"/>
  <c r="AT10" i="172"/>
  <c r="AL10" i="172" a="1"/>
  <c r="AL10" i="172" s="1"/>
  <c r="AP10" i="172" s="1"/>
  <c r="AL61" i="172" a="1"/>
  <c r="AL61" i="172" s="1"/>
  <c r="AP61" i="172" s="1"/>
  <c r="AT61" i="172"/>
  <c r="AO61" i="172"/>
  <c r="AD9" i="172"/>
  <c r="AA9" i="172"/>
  <c r="AA8" i="172"/>
  <c r="AB8" i="172" s="1"/>
  <c r="AD8" i="172"/>
  <c r="Z8" i="172"/>
  <c r="AC8" i="172"/>
  <c r="Z11" i="172"/>
  <c r="AC11" i="172"/>
  <c r="AD998" i="172"/>
  <c r="AA998" i="172"/>
  <c r="AA990" i="172"/>
  <c r="AD990" i="172"/>
  <c r="AD982" i="172"/>
  <c r="AA982" i="172"/>
  <c r="AD974" i="172"/>
  <c r="AA974" i="172"/>
  <c r="AA966" i="172"/>
  <c r="AD966" i="172"/>
  <c r="AD958" i="172"/>
  <c r="AA958" i="172"/>
  <c r="AD950" i="172"/>
  <c r="AA950" i="172"/>
  <c r="AA942" i="172"/>
  <c r="AD942" i="172"/>
  <c r="AD934" i="172"/>
  <c r="AA934" i="172"/>
  <c r="AA923" i="172"/>
  <c r="AD923" i="172"/>
  <c r="AA999" i="172"/>
  <c r="AB999" i="172" s="1"/>
  <c r="AD999" i="172"/>
  <c r="AD991" i="172"/>
  <c r="AA991" i="172"/>
  <c r="AB991" i="172" s="1"/>
  <c r="AD983" i="172"/>
  <c r="AA983" i="172"/>
  <c r="AB983" i="172" s="1"/>
  <c r="AD975" i="172"/>
  <c r="AA975" i="172"/>
  <c r="AB975" i="172" s="1"/>
  <c r="AD967" i="172"/>
  <c r="AA967" i="172"/>
  <c r="AB967" i="172" s="1"/>
  <c r="AA959" i="172"/>
  <c r="AB959" i="172" s="1"/>
  <c r="AD959" i="172"/>
  <c r="AA951" i="172"/>
  <c r="AB951" i="172" s="1"/>
  <c r="AD951" i="172"/>
  <c r="AA943" i="172"/>
  <c r="AB943" i="172" s="1"/>
  <c r="AD943" i="172"/>
  <c r="AA935" i="172"/>
  <c r="AB935" i="172" s="1"/>
  <c r="AD935" i="172"/>
  <c r="AA927" i="172"/>
  <c r="AB927" i="172" s="1"/>
  <c r="AD927" i="172"/>
  <c r="AA863" i="172"/>
  <c r="AB863" i="172" s="1"/>
  <c r="AE863" i="172" s="1"/>
  <c r="AD863" i="172"/>
  <c r="AA855" i="172"/>
  <c r="AD855" i="172"/>
  <c r="AD847" i="172"/>
  <c r="AA847" i="172"/>
  <c r="AB847" i="172" s="1"/>
  <c r="AD832" i="172"/>
  <c r="AA832" i="172"/>
  <c r="AD814" i="172"/>
  <c r="AA814" i="172"/>
  <c r="AA804" i="172"/>
  <c r="AB804" i="172" s="1"/>
  <c r="AE804" i="172" s="1"/>
  <c r="AD804" i="172"/>
  <c r="AD765" i="172"/>
  <c r="AA765" i="172"/>
  <c r="AD749" i="172"/>
  <c r="AA749" i="172"/>
  <c r="AD699" i="172"/>
  <c r="AA699" i="172"/>
  <c r="AB699" i="172" s="1"/>
  <c r="AD653" i="172"/>
  <c r="AA653" i="172"/>
  <c r="AB653" i="172" s="1"/>
  <c r="AD541" i="172"/>
  <c r="AA541" i="172"/>
  <c r="AB541" i="172" s="1"/>
  <c r="AE541" i="172" s="1"/>
  <c r="AD482" i="172"/>
  <c r="AA482" i="172"/>
  <c r="AA450" i="172"/>
  <c r="AD450" i="172"/>
  <c r="AD397" i="172"/>
  <c r="AA397" i="172"/>
  <c r="AD333" i="172"/>
  <c r="AA333" i="172"/>
  <c r="AD926" i="172"/>
  <c r="AA926" i="172"/>
  <c r="AD918" i="172"/>
  <c r="AA918" i="172"/>
  <c r="AB918" i="172" s="1"/>
  <c r="AE918" i="172" s="1"/>
  <c r="AA910" i="172"/>
  <c r="AB910" i="172" s="1"/>
  <c r="AE910" i="172" s="1"/>
  <c r="AD910" i="172"/>
  <c r="AD902" i="172"/>
  <c r="AA902" i="172"/>
  <c r="AB902" i="172" s="1"/>
  <c r="AE902" i="172" s="1"/>
  <c r="AD894" i="172"/>
  <c r="AA894" i="172"/>
  <c r="AB894" i="172" s="1"/>
  <c r="AA886" i="172"/>
  <c r="AB886" i="172" s="1"/>
  <c r="AD886" i="172"/>
  <c r="AD878" i="172"/>
  <c r="AA878" i="172"/>
  <c r="AB878" i="172" s="1"/>
  <c r="AE878" i="172" s="1"/>
  <c r="AD870" i="172"/>
  <c r="AA870" i="172"/>
  <c r="AB870" i="172" s="1"/>
  <c r="AE870" i="172" s="1"/>
  <c r="AA844" i="172"/>
  <c r="AB844" i="172" s="1"/>
  <c r="AD844" i="172"/>
  <c r="AD826" i="172"/>
  <c r="AA826" i="172"/>
  <c r="AD803" i="172"/>
  <c r="AA803" i="172"/>
  <c r="AB803" i="172" s="1"/>
  <c r="AA779" i="172"/>
  <c r="AB779" i="172" s="1"/>
  <c r="AD779" i="172"/>
  <c r="AD742" i="172"/>
  <c r="AA742" i="172"/>
  <c r="AB742" i="172" s="1"/>
  <c r="AD714" i="172"/>
  <c r="AA714" i="172"/>
  <c r="AA623" i="172"/>
  <c r="AD623" i="172"/>
  <c r="AA568" i="172"/>
  <c r="AB568" i="172" s="1"/>
  <c r="AD568" i="172"/>
  <c r="AD492" i="172"/>
  <c r="AA492" i="172"/>
  <c r="AB492" i="172" s="1"/>
  <c r="AE492" i="172" s="1"/>
  <c r="AA401" i="172"/>
  <c r="AB401" i="172" s="1"/>
  <c r="AD401" i="172"/>
  <c r="AD337" i="172"/>
  <c r="AA337" i="172"/>
  <c r="AB337" i="172" s="1"/>
  <c r="AE337" i="172" s="1"/>
  <c r="AD862" i="172"/>
  <c r="AA862" i="172"/>
  <c r="AB862" i="172" s="1"/>
  <c r="AE862" i="172" s="1"/>
  <c r="AA854" i="172"/>
  <c r="AD854" i="172"/>
  <c r="AA838" i="172"/>
  <c r="AD838" i="172"/>
  <c r="AA827" i="172"/>
  <c r="AD827" i="172"/>
  <c r="AA805" i="172"/>
  <c r="AB805" i="172" s="1"/>
  <c r="AD805" i="172"/>
  <c r="AD766" i="172"/>
  <c r="AA766" i="172"/>
  <c r="AD696" i="172"/>
  <c r="AA696" i="172"/>
  <c r="AB696" i="172" s="1"/>
  <c r="AA622" i="172"/>
  <c r="AD622" i="172"/>
  <c r="AA583" i="172"/>
  <c r="AD583" i="172"/>
  <c r="AD464" i="172"/>
  <c r="AA464" i="172"/>
  <c r="AB464" i="172" s="1"/>
  <c r="AE464" i="172" s="1"/>
  <c r="AA421" i="172"/>
  <c r="AD421" i="172"/>
  <c r="AA357" i="172"/>
  <c r="AD357" i="172"/>
  <c r="AA304" i="172"/>
  <c r="AB304" i="172" s="1"/>
  <c r="AD304" i="172"/>
  <c r="AD255" i="172"/>
  <c r="AA255" i="172"/>
  <c r="AB255" i="172" s="1"/>
  <c r="AA907" i="172"/>
  <c r="AB907" i="172" s="1"/>
  <c r="AD907" i="172"/>
  <c r="AA899" i="172"/>
  <c r="AD899" i="172"/>
  <c r="AA891" i="172"/>
  <c r="AD891" i="172"/>
  <c r="AD883" i="172"/>
  <c r="AA883" i="172"/>
  <c r="AD875" i="172"/>
  <c r="AA875" i="172"/>
  <c r="AA867" i="172"/>
  <c r="AD867" i="172"/>
  <c r="AD842" i="172"/>
  <c r="AA842" i="172"/>
  <c r="AB842" i="172" s="1"/>
  <c r="AE842" i="172" s="1"/>
  <c r="AD828" i="172"/>
  <c r="AA828" i="172"/>
  <c r="AD813" i="172"/>
  <c r="AA813" i="172"/>
  <c r="AB813" i="172" s="1"/>
  <c r="AD798" i="172"/>
  <c r="AA798" i="172"/>
  <c r="AB798" i="172" s="1"/>
  <c r="AE798" i="172" s="1"/>
  <c r="AD781" i="172"/>
  <c r="AA781" i="172"/>
  <c r="AD700" i="172"/>
  <c r="AA700" i="172"/>
  <c r="AB700" i="172" s="1"/>
  <c r="AE700" i="172" s="1"/>
  <c r="AA638" i="172"/>
  <c r="AD638" i="172"/>
  <c r="AD587" i="172"/>
  <c r="AA587" i="172"/>
  <c r="AB587" i="172" s="1"/>
  <c r="AA451" i="172"/>
  <c r="AB451" i="172" s="1"/>
  <c r="AD451" i="172"/>
  <c r="AD393" i="172"/>
  <c r="AA393" i="172"/>
  <c r="AB393" i="172" s="1"/>
  <c r="AA329" i="172"/>
  <c r="AB329" i="172" s="1"/>
  <c r="AD329" i="172"/>
  <c r="AA198" i="172"/>
  <c r="AD198" i="172"/>
  <c r="AA161" i="172"/>
  <c r="AB161" i="172" s="1"/>
  <c r="AE161" i="172" s="1"/>
  <c r="AD161" i="172"/>
  <c r="AA102" i="172"/>
  <c r="AD102" i="172"/>
  <c r="AD74" i="172"/>
  <c r="AA74" i="172"/>
  <c r="AB74" i="172" s="1"/>
  <c r="AA51" i="172"/>
  <c r="AB51" i="172" s="1"/>
  <c r="AD51" i="172"/>
  <c r="AA739" i="172"/>
  <c r="AD739" i="172"/>
  <c r="AD722" i="172"/>
  <c r="AA722" i="172"/>
  <c r="AB722" i="172" s="1"/>
  <c r="AD707" i="172"/>
  <c r="AA707" i="172"/>
  <c r="AD691" i="172"/>
  <c r="AA691" i="172"/>
  <c r="AD679" i="172"/>
  <c r="AA679" i="172"/>
  <c r="AB679" i="172" s="1"/>
  <c r="AA665" i="172"/>
  <c r="AB665" i="172" s="1"/>
  <c r="AD665" i="172"/>
  <c r="AA647" i="172"/>
  <c r="AB647" i="172" s="1"/>
  <c r="AD647" i="172"/>
  <c r="AA633" i="172"/>
  <c r="AB633" i="172" s="1"/>
  <c r="AD633" i="172"/>
  <c r="AD620" i="172"/>
  <c r="AA620" i="172"/>
  <c r="AB620" i="172" s="1"/>
  <c r="AE620" i="172" s="1"/>
  <c r="AA607" i="172"/>
  <c r="AB607" i="172" s="1"/>
  <c r="AD607" i="172"/>
  <c r="AD580" i="172"/>
  <c r="AA580" i="172"/>
  <c r="AD566" i="172"/>
  <c r="AA566" i="172"/>
  <c r="AB566" i="172" s="1"/>
  <c r="AD548" i="172"/>
  <c r="AA548" i="172"/>
  <c r="AD534" i="172"/>
  <c r="AA534" i="172"/>
  <c r="AB534" i="172" s="1"/>
  <c r="AE534" i="172" s="1"/>
  <c r="AA523" i="172"/>
  <c r="AD523" i="172"/>
  <c r="AA515" i="172"/>
  <c r="AB515" i="172" s="1"/>
  <c r="AD515" i="172"/>
  <c r="AD507" i="172"/>
  <c r="AA507" i="172"/>
  <c r="AD499" i="172"/>
  <c r="AA499" i="172"/>
  <c r="AB499" i="172" s="1"/>
  <c r="AE499" i="172" s="1"/>
  <c r="AA486" i="172"/>
  <c r="AB486" i="172" s="1"/>
  <c r="AE486" i="172" s="1"/>
  <c r="AD486" i="172"/>
  <c r="AA470" i="172"/>
  <c r="AB470" i="172" s="1"/>
  <c r="AD470" i="172"/>
  <c r="AD442" i="172"/>
  <c r="AA442" i="172"/>
  <c r="AD432" i="172"/>
  <c r="AA432" i="172"/>
  <c r="AB432" i="172" s="1"/>
  <c r="AE432" i="172" s="1"/>
  <c r="AD419" i="172"/>
  <c r="AA419" i="172"/>
  <c r="AA410" i="172"/>
  <c r="AD410" i="172"/>
  <c r="AA400" i="172"/>
  <c r="AB400" i="172" s="1"/>
  <c r="AE400" i="172" s="1"/>
  <c r="AD400" i="172"/>
  <c r="AA387" i="172"/>
  <c r="AD387" i="172"/>
  <c r="AD378" i="172"/>
  <c r="AA378" i="172"/>
  <c r="AD368" i="172"/>
  <c r="AA368" i="172"/>
  <c r="AB368" i="172" s="1"/>
  <c r="AE368" i="172" s="1"/>
  <c r="AD355" i="172"/>
  <c r="AA355" i="172"/>
  <c r="AD346" i="172"/>
  <c r="AA346" i="172"/>
  <c r="AA336" i="172"/>
  <c r="AB336" i="172" s="1"/>
  <c r="AE336" i="172" s="1"/>
  <c r="AD336" i="172"/>
  <c r="AA323" i="172"/>
  <c r="AD323" i="172"/>
  <c r="AD314" i="172"/>
  <c r="AA314" i="172"/>
  <c r="AD302" i="172"/>
  <c r="AA302" i="172"/>
  <c r="AB302" i="172" s="1"/>
  <c r="AE302" i="172" s="1"/>
  <c r="AA278" i="172"/>
  <c r="AD278" i="172"/>
  <c r="AD269" i="172"/>
  <c r="AA269" i="172"/>
  <c r="AD261" i="172"/>
  <c r="AA261" i="172"/>
  <c r="AD229" i="172"/>
  <c r="AA229" i="172"/>
  <c r="AB229" i="172" s="1"/>
  <c r="AD186" i="172"/>
  <c r="AA186" i="172"/>
  <c r="AA138" i="172"/>
  <c r="AB138" i="172" s="1"/>
  <c r="AD138" i="172"/>
  <c r="AD95" i="172"/>
  <c r="AA95" i="172"/>
  <c r="AD61" i="172"/>
  <c r="AA61" i="172"/>
  <c r="AD22" i="172"/>
  <c r="AA22" i="172"/>
  <c r="AA786" i="172"/>
  <c r="AD786" i="172"/>
  <c r="AA777" i="172"/>
  <c r="AD777" i="172"/>
  <c r="AD761" i="172"/>
  <c r="AA761" i="172"/>
  <c r="AD746" i="172"/>
  <c r="AA746" i="172"/>
  <c r="AA730" i="172"/>
  <c r="AB730" i="172" s="1"/>
  <c r="AD730" i="172"/>
  <c r="AD715" i="172"/>
  <c r="AA715" i="172"/>
  <c r="AD698" i="172"/>
  <c r="AA698" i="172"/>
  <c r="AB698" i="172" s="1"/>
  <c r="AE698" i="172" s="1"/>
  <c r="AD680" i="172"/>
  <c r="AA680" i="172"/>
  <c r="AD659" i="172"/>
  <c r="AA659" i="172"/>
  <c r="AA648" i="172"/>
  <c r="AD648" i="172"/>
  <c r="AA625" i="172"/>
  <c r="AB625" i="172" s="1"/>
  <c r="AD625" i="172"/>
  <c r="AD605" i="172"/>
  <c r="AA605" i="172"/>
  <c r="AB605" i="172" s="1"/>
  <c r="AD597" i="172"/>
  <c r="AA597" i="172"/>
  <c r="AB597" i="172" s="1"/>
  <c r="AD589" i="172"/>
  <c r="AA589" i="172"/>
  <c r="AA578" i="172"/>
  <c r="AB578" i="172" s="1"/>
  <c r="AD578" i="172"/>
  <c r="AD557" i="172"/>
  <c r="AA557" i="172"/>
  <c r="AB557" i="172" s="1"/>
  <c r="AE557" i="172" s="1"/>
  <c r="AA546" i="172"/>
  <c r="AB546" i="172" s="1"/>
  <c r="AD546" i="172"/>
  <c r="AA496" i="172"/>
  <c r="AD496" i="172"/>
  <c r="AA479" i="172"/>
  <c r="AB479" i="172" s="1"/>
  <c r="AD479" i="172"/>
  <c r="AA460" i="172"/>
  <c r="AB460" i="172" s="1"/>
  <c r="AD460" i="172"/>
  <c r="AA438" i="172"/>
  <c r="AB438" i="172" s="1"/>
  <c r="AD438" i="172"/>
  <c r="AD406" i="172"/>
  <c r="AA406" i="172"/>
  <c r="AB406" i="172" s="1"/>
  <c r="AE406" i="172" s="1"/>
  <c r="AD374" i="172"/>
  <c r="AA374" i="172"/>
  <c r="AB374" i="172" s="1"/>
  <c r="AE374" i="172" s="1"/>
  <c r="AA342" i="172"/>
  <c r="AB342" i="172" s="1"/>
  <c r="AD342" i="172"/>
  <c r="AA310" i="172"/>
  <c r="AB310" i="172" s="1"/>
  <c r="AD310" i="172"/>
  <c r="AD292" i="172"/>
  <c r="AA292" i="172"/>
  <c r="AA254" i="172"/>
  <c r="AD254" i="172"/>
  <c r="AA240" i="172"/>
  <c r="AD240" i="172"/>
  <c r="AA224" i="172"/>
  <c r="AB224" i="172" s="1"/>
  <c r="AE224" i="172" s="1"/>
  <c r="AD224" i="172"/>
  <c r="AD65" i="172"/>
  <c r="AA65" i="172"/>
  <c r="AB65" i="172" s="1"/>
  <c r="AA37" i="172"/>
  <c r="AB37" i="172" s="1"/>
  <c r="AD37" i="172"/>
  <c r="AA807" i="172"/>
  <c r="AD807" i="172"/>
  <c r="AA775" i="172"/>
  <c r="AB775" i="172" s="1"/>
  <c r="AE775" i="172" s="1"/>
  <c r="AD775" i="172"/>
  <c r="AA756" i="172"/>
  <c r="AB756" i="172" s="1"/>
  <c r="AD756" i="172"/>
  <c r="AD747" i="172"/>
  <c r="AA747" i="172"/>
  <c r="AB747" i="172" s="1"/>
  <c r="AA728" i="172"/>
  <c r="AB728" i="172" s="1"/>
  <c r="AD728" i="172"/>
  <c r="AD717" i="172"/>
  <c r="AA717" i="172"/>
  <c r="AB717" i="172" s="1"/>
  <c r="AD695" i="172"/>
  <c r="AA695" i="172"/>
  <c r="AD681" i="172"/>
  <c r="AA681" i="172"/>
  <c r="AB681" i="172" s="1"/>
  <c r="AA663" i="172"/>
  <c r="AB663" i="172" s="1"/>
  <c r="AD663" i="172"/>
  <c r="AA649" i="172"/>
  <c r="AB649" i="172" s="1"/>
  <c r="AD649" i="172"/>
  <c r="AA631" i="172"/>
  <c r="AB631" i="172" s="1"/>
  <c r="AD631" i="172"/>
  <c r="AD618" i="172"/>
  <c r="AA618" i="172"/>
  <c r="AB618" i="172" s="1"/>
  <c r="AE618" i="172" s="1"/>
  <c r="AA608" i="172"/>
  <c r="AD608" i="172"/>
  <c r="AA582" i="172"/>
  <c r="AB582" i="172" s="1"/>
  <c r="AD582" i="172"/>
  <c r="AA564" i="172"/>
  <c r="AB564" i="172" s="1"/>
  <c r="AD564" i="172"/>
  <c r="AA550" i="172"/>
  <c r="AD550" i="172"/>
  <c r="AD532" i="172"/>
  <c r="AA532" i="172"/>
  <c r="AB532" i="172" s="1"/>
  <c r="AD525" i="172"/>
  <c r="AA525" i="172"/>
  <c r="AA517" i="172"/>
  <c r="AB517" i="172" s="1"/>
  <c r="AE517" i="172" s="1"/>
  <c r="AD517" i="172"/>
  <c r="AA509" i="172"/>
  <c r="AB509" i="172" s="1"/>
  <c r="AE509" i="172" s="1"/>
  <c r="AD509" i="172"/>
  <c r="AA501" i="172"/>
  <c r="AD501" i="172"/>
  <c r="AD484" i="172"/>
  <c r="AA484" i="172"/>
  <c r="AB484" i="172" s="1"/>
  <c r="AA476" i="172"/>
  <c r="AB476" i="172" s="1"/>
  <c r="AE476" i="172" s="1"/>
  <c r="AD476" i="172"/>
  <c r="AA461" i="172"/>
  <c r="AB461" i="172" s="1"/>
  <c r="AD461" i="172"/>
  <c r="AD447" i="172"/>
  <c r="AA447" i="172"/>
  <c r="AB447" i="172" s="1"/>
  <c r="AA431" i="172"/>
  <c r="AD431" i="172"/>
  <c r="AA415" i="172"/>
  <c r="AB415" i="172" s="1"/>
  <c r="AD415" i="172"/>
  <c r="AA399" i="172"/>
  <c r="AD399" i="172"/>
  <c r="AD383" i="172"/>
  <c r="AA383" i="172"/>
  <c r="AB383" i="172" s="1"/>
  <c r="AD367" i="172"/>
  <c r="AA367" i="172"/>
  <c r="AD351" i="172"/>
  <c r="AA351" i="172"/>
  <c r="AB351" i="172" s="1"/>
  <c r="AD335" i="172"/>
  <c r="AA335" i="172"/>
  <c r="AD319" i="172"/>
  <c r="AA319" i="172"/>
  <c r="AB319" i="172" s="1"/>
  <c r="AA301" i="172"/>
  <c r="AD301" i="172"/>
  <c r="AA288" i="172"/>
  <c r="AB288" i="172" s="1"/>
  <c r="AE288" i="172" s="1"/>
  <c r="AD288" i="172"/>
  <c r="AA280" i="172"/>
  <c r="AD280" i="172"/>
  <c r="AD272" i="172"/>
  <c r="AA272" i="172"/>
  <c r="AB272" i="172" s="1"/>
  <c r="AA262" i="172"/>
  <c r="AD262" i="172"/>
  <c r="AD246" i="172"/>
  <c r="AA246" i="172"/>
  <c r="AD183" i="172"/>
  <c r="AA183" i="172"/>
  <c r="AA114" i="172"/>
  <c r="AB114" i="172" s="1"/>
  <c r="AE114" i="172" s="1"/>
  <c r="AD114" i="172"/>
  <c r="AD218" i="172"/>
  <c r="AA218" i="172"/>
  <c r="AD205" i="172"/>
  <c r="AA205" i="172"/>
  <c r="AB205" i="172" s="1"/>
  <c r="AD184" i="172"/>
  <c r="AA184" i="172"/>
  <c r="AB184" i="172" s="1"/>
  <c r="AE184" i="172" s="1"/>
  <c r="AA159" i="172"/>
  <c r="AB159" i="172" s="1"/>
  <c r="AE159" i="172" s="1"/>
  <c r="AD159" i="172"/>
  <c r="AD147" i="172"/>
  <c r="AA147" i="172"/>
  <c r="AB147" i="172" s="1"/>
  <c r="AD139" i="172"/>
  <c r="AA139" i="172"/>
  <c r="AB139" i="172" s="1"/>
  <c r="AD126" i="172"/>
  <c r="AA126" i="172"/>
  <c r="AD116" i="172"/>
  <c r="AA116" i="172"/>
  <c r="AB116" i="172" s="1"/>
  <c r="AD107" i="172"/>
  <c r="AA107" i="172"/>
  <c r="AB107" i="172" s="1"/>
  <c r="AE107" i="172" s="1"/>
  <c r="AA86" i="172"/>
  <c r="AB86" i="172" s="1"/>
  <c r="AD86" i="172"/>
  <c r="AD71" i="172"/>
  <c r="AA71" i="172"/>
  <c r="AB71" i="172" s="1"/>
  <c r="AE71" i="172" s="1"/>
  <c r="AD46" i="172"/>
  <c r="AA46" i="172"/>
  <c r="AB46" i="172" s="1"/>
  <c r="AE46" i="172" s="1"/>
  <c r="AA32" i="172"/>
  <c r="AB32" i="172" s="1"/>
  <c r="AD32" i="172"/>
  <c r="AA19" i="172"/>
  <c r="AB19" i="172" s="1"/>
  <c r="AD19" i="172"/>
  <c r="AA241" i="172"/>
  <c r="AD241" i="172"/>
  <c r="AD233" i="172"/>
  <c r="AA233" i="172"/>
  <c r="AD225" i="172"/>
  <c r="AA225" i="172"/>
  <c r="AA217" i="172"/>
  <c r="AD217" i="172"/>
  <c r="AA209" i="172"/>
  <c r="AD209" i="172"/>
  <c r="AD196" i="172"/>
  <c r="AA196" i="172"/>
  <c r="AA187" i="172"/>
  <c r="AD187" i="172"/>
  <c r="AA169" i="172"/>
  <c r="AD169" i="172"/>
  <c r="AA141" i="172"/>
  <c r="AD141" i="172"/>
  <c r="AD125" i="172"/>
  <c r="AA125" i="172"/>
  <c r="AB125" i="172" s="1"/>
  <c r="AE125" i="172" s="1"/>
  <c r="AA109" i="172"/>
  <c r="AD109" i="172"/>
  <c r="AA96" i="172"/>
  <c r="AB96" i="172" s="1"/>
  <c r="AD96" i="172"/>
  <c r="AD84" i="172"/>
  <c r="AA84" i="172"/>
  <c r="AA66" i="172"/>
  <c r="AB66" i="172" s="1"/>
  <c r="AE66" i="172" s="1"/>
  <c r="AD66" i="172"/>
  <c r="AD52" i="172"/>
  <c r="AA52" i="172"/>
  <c r="AB52" i="172" s="1"/>
  <c r="AE52" i="172" s="1"/>
  <c r="AD24" i="172"/>
  <c r="AA24" i="172"/>
  <c r="AB24" i="172" s="1"/>
  <c r="AE24" i="172" s="1"/>
  <c r="AD251" i="172"/>
  <c r="AA251" i="172"/>
  <c r="AB251" i="172" s="1"/>
  <c r="AD194" i="172"/>
  <c r="AA194" i="172"/>
  <c r="AB194" i="172" s="1"/>
  <c r="AA180" i="172"/>
  <c r="AB180" i="172" s="1"/>
  <c r="AD180" i="172"/>
  <c r="AA164" i="172"/>
  <c r="AB164" i="172" s="1"/>
  <c r="AD164" i="172"/>
  <c r="AD155" i="172"/>
  <c r="AA155" i="172"/>
  <c r="AA149" i="172"/>
  <c r="AD149" i="172"/>
  <c r="AA127" i="172"/>
  <c r="AB127" i="172" s="1"/>
  <c r="AE127" i="172" s="1"/>
  <c r="AD127" i="172"/>
  <c r="AD98" i="172"/>
  <c r="AA98" i="172"/>
  <c r="AB98" i="172" s="1"/>
  <c r="AE98" i="172" s="1"/>
  <c r="AA83" i="172"/>
  <c r="AB83" i="172" s="1"/>
  <c r="AE83" i="172" s="1"/>
  <c r="AD83" i="172"/>
  <c r="AA59" i="172"/>
  <c r="AB59" i="172" s="1"/>
  <c r="AD59" i="172"/>
  <c r="AD36" i="172"/>
  <c r="AA36" i="172"/>
  <c r="AD18" i="172"/>
  <c r="AA18" i="172"/>
  <c r="AB18" i="172" s="1"/>
  <c r="AE18" i="172" s="1"/>
  <c r="AC993" i="172"/>
  <c r="Z993" i="172"/>
  <c r="Z913" i="172"/>
  <c r="AC913" i="172"/>
  <c r="AC998" i="172"/>
  <c r="Z998" i="172"/>
  <c r="Z990" i="172"/>
  <c r="AC990" i="172"/>
  <c r="Z982" i="172"/>
  <c r="AC982" i="172"/>
  <c r="AC974" i="172"/>
  <c r="Z974" i="172"/>
  <c r="Z966" i="172"/>
  <c r="AC966" i="172"/>
  <c r="Z958" i="172"/>
  <c r="AC958" i="172"/>
  <c r="AC950" i="172"/>
  <c r="Z950" i="172"/>
  <c r="AC942" i="172"/>
  <c r="Z942" i="172"/>
  <c r="Z934" i="172"/>
  <c r="AC934" i="172"/>
  <c r="AC923" i="172"/>
  <c r="Z923" i="172"/>
  <c r="AC903" i="172"/>
  <c r="Z903" i="172"/>
  <c r="AC917" i="172"/>
  <c r="Z917" i="172"/>
  <c r="AC989" i="172"/>
  <c r="Z989" i="172"/>
  <c r="Z981" i="172"/>
  <c r="AC981" i="172"/>
  <c r="AC973" i="172"/>
  <c r="Z973" i="172"/>
  <c r="AC965" i="172"/>
  <c r="Z965" i="172"/>
  <c r="Z957" i="172"/>
  <c r="AC957" i="172"/>
  <c r="AC949" i="172"/>
  <c r="Z949" i="172"/>
  <c r="Z941" i="172"/>
  <c r="AC941" i="172"/>
  <c r="AC933" i="172"/>
  <c r="Z933" i="172"/>
  <c r="AC924" i="172"/>
  <c r="Z924" i="172"/>
  <c r="Z899" i="172"/>
  <c r="AC899" i="172"/>
  <c r="Z891" i="172"/>
  <c r="AC891" i="172"/>
  <c r="Z883" i="172"/>
  <c r="AC883" i="172"/>
  <c r="AC875" i="172"/>
  <c r="Z875" i="172"/>
  <c r="Z867" i="172"/>
  <c r="AC867" i="172"/>
  <c r="AC854" i="172"/>
  <c r="Z854" i="172"/>
  <c r="AC838" i="172"/>
  <c r="Z838" i="172"/>
  <c r="Z828" i="172"/>
  <c r="AC828" i="172"/>
  <c r="Z802" i="172"/>
  <c r="AC802" i="172"/>
  <c r="Z784" i="172"/>
  <c r="AC784" i="172"/>
  <c r="Z752" i="172"/>
  <c r="AC752" i="172"/>
  <c r="Z716" i="172"/>
  <c r="AC716" i="172"/>
  <c r="AC659" i="172"/>
  <c r="Z659" i="172"/>
  <c r="Z586" i="172"/>
  <c r="AC586" i="172"/>
  <c r="AC547" i="172"/>
  <c r="Z547" i="172"/>
  <c r="AC275" i="172"/>
  <c r="Z275" i="172"/>
  <c r="Z859" i="172"/>
  <c r="AC859" i="172"/>
  <c r="Z846" i="172"/>
  <c r="AC846" i="172"/>
  <c r="Z836" i="172"/>
  <c r="AC836" i="172"/>
  <c r="AC810" i="172"/>
  <c r="Z810" i="172"/>
  <c r="Z786" i="172"/>
  <c r="AC786" i="172"/>
  <c r="AC762" i="172"/>
  <c r="Z762" i="172"/>
  <c r="Z652" i="172"/>
  <c r="AC652" i="172"/>
  <c r="AC601" i="172"/>
  <c r="Z601" i="172"/>
  <c r="Z513" i="172"/>
  <c r="AC513" i="172"/>
  <c r="AC439" i="172"/>
  <c r="Z439" i="172"/>
  <c r="Z407" i="172"/>
  <c r="AC407" i="172"/>
  <c r="AC375" i="172"/>
  <c r="Z375" i="172"/>
  <c r="Z343" i="172"/>
  <c r="AC343" i="172"/>
  <c r="AC311" i="172"/>
  <c r="Z311" i="172"/>
  <c r="Z262" i="172"/>
  <c r="AC262" i="172"/>
  <c r="AC908" i="172"/>
  <c r="Z908" i="172"/>
  <c r="AC900" i="172"/>
  <c r="Z900" i="172"/>
  <c r="AC892" i="172"/>
  <c r="Z892" i="172"/>
  <c r="AC884" i="172"/>
  <c r="Z884" i="172"/>
  <c r="AC876" i="172"/>
  <c r="Z876" i="172"/>
  <c r="AC868" i="172"/>
  <c r="Z868" i="172"/>
  <c r="AC856" i="172"/>
  <c r="Z856" i="172"/>
  <c r="AC840" i="172"/>
  <c r="Z840" i="172"/>
  <c r="Z819" i="172"/>
  <c r="AC819" i="172"/>
  <c r="Z797" i="172"/>
  <c r="AC797" i="172"/>
  <c r="AC776" i="172"/>
  <c r="Z776" i="172"/>
  <c r="Z741" i="172"/>
  <c r="AC741" i="172"/>
  <c r="AC645" i="172"/>
  <c r="Z645" i="172"/>
  <c r="AC589" i="172"/>
  <c r="Z589" i="172"/>
  <c r="AC501" i="172"/>
  <c r="Z501" i="172"/>
  <c r="Z239" i="172"/>
  <c r="AC239" i="172"/>
  <c r="AC849" i="172"/>
  <c r="Z849" i="172"/>
  <c r="AC827" i="172"/>
  <c r="Z827" i="172"/>
  <c r="Z811" i="172"/>
  <c r="AC811" i="172"/>
  <c r="AC791" i="172"/>
  <c r="Z791" i="172"/>
  <c r="AC755" i="172"/>
  <c r="Z755" i="172"/>
  <c r="Z706" i="172"/>
  <c r="AC706" i="172"/>
  <c r="AC677" i="172"/>
  <c r="Z677" i="172"/>
  <c r="Z598" i="172"/>
  <c r="AC598" i="172"/>
  <c r="AC554" i="172"/>
  <c r="Z554" i="172"/>
  <c r="Z505" i="172"/>
  <c r="AC505" i="172"/>
  <c r="Z436" i="172"/>
  <c r="AC436" i="172"/>
  <c r="Z404" i="172"/>
  <c r="AC404" i="172"/>
  <c r="Z372" i="172"/>
  <c r="AC372" i="172"/>
  <c r="AC340" i="172"/>
  <c r="Z340" i="172"/>
  <c r="Z308" i="172"/>
  <c r="AC308" i="172"/>
  <c r="AC254" i="172"/>
  <c r="Z254" i="172"/>
  <c r="Z156" i="172"/>
  <c r="AC156" i="172"/>
  <c r="Z748" i="172"/>
  <c r="AC748" i="172"/>
  <c r="AC725" i="172"/>
  <c r="Z725" i="172"/>
  <c r="Z714" i="172"/>
  <c r="AC714" i="172"/>
  <c r="Z690" i="172"/>
  <c r="AC690" i="172"/>
  <c r="Z670" i="172"/>
  <c r="AC670" i="172"/>
  <c r="Z660" i="172"/>
  <c r="AC660" i="172"/>
  <c r="Z638" i="172"/>
  <c r="AC638" i="172"/>
  <c r="Z626" i="172"/>
  <c r="AC626" i="172"/>
  <c r="AC613" i="172"/>
  <c r="Z613" i="172"/>
  <c r="AC599" i="172"/>
  <c r="Z599" i="172"/>
  <c r="AC583" i="172"/>
  <c r="Z583" i="172"/>
  <c r="Z562" i="172"/>
  <c r="AC562" i="172"/>
  <c r="Z551" i="172"/>
  <c r="AC551" i="172"/>
  <c r="AC530" i="172"/>
  <c r="Z530" i="172"/>
  <c r="AC518" i="172"/>
  <c r="Z518" i="172"/>
  <c r="Z502" i="172"/>
  <c r="AC502" i="172"/>
  <c r="Z485" i="172"/>
  <c r="AC485" i="172"/>
  <c r="Z474" i="172"/>
  <c r="AC474" i="172"/>
  <c r="AC466" i="172"/>
  <c r="Z466" i="172"/>
  <c r="Z458" i="172"/>
  <c r="AC458" i="172"/>
  <c r="Z450" i="172"/>
  <c r="AC450" i="172"/>
  <c r="Z301" i="172"/>
  <c r="AC301" i="172"/>
  <c r="AC293" i="172"/>
  <c r="Z293" i="172"/>
  <c r="Z283" i="172"/>
  <c r="AC283" i="172"/>
  <c r="Z266" i="172"/>
  <c r="AC266" i="172"/>
  <c r="Z245" i="172"/>
  <c r="AC245" i="172"/>
  <c r="AC155" i="172"/>
  <c r="Z155" i="172"/>
  <c r="Z111" i="172"/>
  <c r="AC111" i="172"/>
  <c r="Z33" i="172"/>
  <c r="AC33" i="172"/>
  <c r="Z765" i="172"/>
  <c r="AC765" i="172"/>
  <c r="Z757" i="172"/>
  <c r="AC757" i="172"/>
  <c r="AC739" i="172"/>
  <c r="Z739" i="172"/>
  <c r="Z729" i="172"/>
  <c r="AC729" i="172"/>
  <c r="AC707" i="172"/>
  <c r="Z707" i="172"/>
  <c r="Z694" i="172"/>
  <c r="AC694" i="172"/>
  <c r="Z682" i="172"/>
  <c r="AC682" i="172"/>
  <c r="AC671" i="172"/>
  <c r="Z671" i="172"/>
  <c r="Z650" i="172"/>
  <c r="AC650" i="172"/>
  <c r="AC639" i="172"/>
  <c r="Z639" i="172"/>
  <c r="Z624" i="172"/>
  <c r="AC624" i="172"/>
  <c r="Z614" i="172"/>
  <c r="AC614" i="172"/>
  <c r="AC591" i="172"/>
  <c r="Z591" i="172"/>
  <c r="Z570" i="172"/>
  <c r="AC570" i="172"/>
  <c r="Z559" i="172"/>
  <c r="AC559" i="172"/>
  <c r="AC538" i="172"/>
  <c r="Z538" i="172"/>
  <c r="AC527" i="172"/>
  <c r="Z527" i="172"/>
  <c r="Z511" i="172"/>
  <c r="AC511" i="172"/>
  <c r="AC490" i="172"/>
  <c r="Z490" i="172"/>
  <c r="AC478" i="172"/>
  <c r="Z478" i="172"/>
  <c r="Z462" i="172"/>
  <c r="AC462" i="172"/>
  <c r="Z445" i="172"/>
  <c r="AC445" i="172"/>
  <c r="Z437" i="172"/>
  <c r="AC437" i="172"/>
  <c r="AC429" i="172"/>
  <c r="Z429" i="172"/>
  <c r="Z421" i="172"/>
  <c r="AC421" i="172"/>
  <c r="Z413" i="172"/>
  <c r="AC413" i="172"/>
  <c r="AC405" i="172"/>
  <c r="Z405" i="172"/>
  <c r="Z397" i="172"/>
  <c r="AC397" i="172"/>
  <c r="Z389" i="172"/>
  <c r="AC389" i="172"/>
  <c r="Z381" i="172"/>
  <c r="AC381" i="172"/>
  <c r="Z373" i="172"/>
  <c r="AC373" i="172"/>
  <c r="AC365" i="172"/>
  <c r="Z365" i="172"/>
  <c r="Z357" i="172"/>
  <c r="AC357" i="172"/>
  <c r="Z349" i="172"/>
  <c r="AC349" i="172"/>
  <c r="AC341" i="172"/>
  <c r="Z341" i="172"/>
  <c r="Z333" i="172"/>
  <c r="AC333" i="172"/>
  <c r="AC325" i="172"/>
  <c r="Z325" i="172"/>
  <c r="Z317" i="172"/>
  <c r="AC317" i="172"/>
  <c r="AC309" i="172"/>
  <c r="Z309" i="172"/>
  <c r="AC299" i="172"/>
  <c r="Z299" i="172"/>
  <c r="Z281" i="172"/>
  <c r="AC281" i="172"/>
  <c r="AC269" i="172"/>
  <c r="Z269" i="172"/>
  <c r="Z261" i="172"/>
  <c r="AC261" i="172"/>
  <c r="Z221" i="172"/>
  <c r="AC221" i="172"/>
  <c r="Z175" i="172"/>
  <c r="AC175" i="172"/>
  <c r="Z105" i="172"/>
  <c r="AC105" i="172"/>
  <c r="AC72" i="172"/>
  <c r="Z72" i="172"/>
  <c r="AC812" i="172"/>
  <c r="Z812" i="172"/>
  <c r="AC796" i="172"/>
  <c r="Z796" i="172"/>
  <c r="AC780" i="172"/>
  <c r="Z780" i="172"/>
  <c r="AC766" i="172"/>
  <c r="Z766" i="172"/>
  <c r="Z753" i="172"/>
  <c r="AC753" i="172"/>
  <c r="Z737" i="172"/>
  <c r="AC737" i="172"/>
  <c r="AC715" i="172"/>
  <c r="Z715" i="172"/>
  <c r="AC705" i="172"/>
  <c r="Z705" i="172"/>
  <c r="Z692" i="172"/>
  <c r="AC692" i="172"/>
  <c r="AC673" i="172"/>
  <c r="Z673" i="172"/>
  <c r="AC651" i="172"/>
  <c r="Z651" i="172"/>
  <c r="AC641" i="172"/>
  <c r="Z641" i="172"/>
  <c r="AC621" i="172"/>
  <c r="Z621" i="172"/>
  <c r="Z600" i="172"/>
  <c r="AC600" i="172"/>
  <c r="Z584" i="172"/>
  <c r="AC584" i="172"/>
  <c r="AC574" i="172"/>
  <c r="Z574" i="172"/>
  <c r="Z552" i="172"/>
  <c r="AC552" i="172"/>
  <c r="Z542" i="172"/>
  <c r="AC542" i="172"/>
  <c r="Z520" i="172"/>
  <c r="AC520" i="172"/>
  <c r="AC504" i="172"/>
  <c r="Z504" i="172"/>
  <c r="Z491" i="172"/>
  <c r="AC491" i="172"/>
  <c r="Z468" i="172"/>
  <c r="AC468" i="172"/>
  <c r="Z452" i="172"/>
  <c r="AC452" i="172"/>
  <c r="AC435" i="172"/>
  <c r="Z435" i="172"/>
  <c r="Z419" i="172"/>
  <c r="AC419" i="172"/>
  <c r="Z403" i="172"/>
  <c r="AC403" i="172"/>
  <c r="Z387" i="172"/>
  <c r="AC387" i="172"/>
  <c r="AC371" i="172"/>
  <c r="Z371" i="172"/>
  <c r="AC355" i="172"/>
  <c r="Z355" i="172"/>
  <c r="Z339" i="172"/>
  <c r="AC339" i="172"/>
  <c r="Z323" i="172"/>
  <c r="AC323" i="172"/>
  <c r="Z307" i="172"/>
  <c r="AC307" i="172"/>
  <c r="Z292" i="172"/>
  <c r="AC292" i="172"/>
  <c r="AC252" i="172"/>
  <c r="Z252" i="172"/>
  <c r="AC228" i="172"/>
  <c r="Z228" i="172"/>
  <c r="Z179" i="172"/>
  <c r="AC179" i="172"/>
  <c r="AC135" i="172"/>
  <c r="Z135" i="172"/>
  <c r="Z87" i="172"/>
  <c r="AC87" i="172"/>
  <c r="Z41" i="172"/>
  <c r="AC41" i="172"/>
  <c r="Z215" i="172"/>
  <c r="AC215" i="172"/>
  <c r="Z200" i="172"/>
  <c r="AC200" i="172"/>
  <c r="AC186" i="172"/>
  <c r="Z186" i="172"/>
  <c r="AC172" i="172"/>
  <c r="Z172" i="172"/>
  <c r="AC158" i="172"/>
  <c r="Z158" i="172"/>
  <c r="AC130" i="172"/>
  <c r="Z130" i="172"/>
  <c r="Z102" i="172"/>
  <c r="AC102" i="172"/>
  <c r="AC85" i="172"/>
  <c r="Z85" i="172"/>
  <c r="AC70" i="172"/>
  <c r="Z70" i="172"/>
  <c r="AC62" i="172"/>
  <c r="Z62" i="172"/>
  <c r="Z54" i="172"/>
  <c r="AC54" i="172"/>
  <c r="AC44" i="172"/>
  <c r="Z44" i="172"/>
  <c r="AC25" i="172"/>
  <c r="Z25" i="172"/>
  <c r="Z15" i="172"/>
  <c r="AC15" i="172"/>
  <c r="Z216" i="172"/>
  <c r="AC216" i="172"/>
  <c r="Z198" i="172"/>
  <c r="AC198" i="172"/>
  <c r="Z176" i="172"/>
  <c r="AC176" i="172"/>
  <c r="AC153" i="172"/>
  <c r="Z153" i="172"/>
  <c r="AC145" i="172"/>
  <c r="Z145" i="172"/>
  <c r="Z136" i="172"/>
  <c r="AC136" i="172"/>
  <c r="AC124" i="172"/>
  <c r="Z124" i="172"/>
  <c r="AC115" i="172"/>
  <c r="Z115" i="172"/>
  <c r="Z100" i="172"/>
  <c r="AC100" i="172"/>
  <c r="AC82" i="172"/>
  <c r="Z82" i="172"/>
  <c r="AC63" i="172"/>
  <c r="Z63" i="172"/>
  <c r="AC42" i="172"/>
  <c r="Z42" i="172"/>
  <c r="Z30" i="172"/>
  <c r="AC30" i="172"/>
  <c r="AC249" i="172"/>
  <c r="Z249" i="172"/>
  <c r="AC242" i="172"/>
  <c r="Z242" i="172"/>
  <c r="AC234" i="172"/>
  <c r="Z234" i="172"/>
  <c r="AC226" i="172"/>
  <c r="Z226" i="172"/>
  <c r="Z218" i="172"/>
  <c r="AC218" i="172"/>
  <c r="Z210" i="172"/>
  <c r="AC210" i="172"/>
  <c r="Z199" i="172"/>
  <c r="AC199" i="172"/>
  <c r="AC187" i="172"/>
  <c r="Z187" i="172"/>
  <c r="AC169" i="172"/>
  <c r="Z169" i="172"/>
  <c r="Z141" i="172"/>
  <c r="AC141" i="172"/>
  <c r="AC129" i="172"/>
  <c r="Z129" i="172"/>
  <c r="AC118" i="172"/>
  <c r="Z118" i="172"/>
  <c r="Z109" i="172"/>
  <c r="AC109" i="172"/>
  <c r="AC90" i="172"/>
  <c r="Z90" i="172"/>
  <c r="AC76" i="172"/>
  <c r="Z76" i="172"/>
  <c r="Z58" i="172"/>
  <c r="AC58" i="172"/>
  <c r="Z40" i="172"/>
  <c r="AC40" i="172"/>
  <c r="AC23" i="172"/>
  <c r="Z23" i="172"/>
  <c r="AN999" i="172"/>
  <c r="AQ999" i="172" s="1"/>
  <c r="AV999" i="172" s="1"/>
  <c r="AS999" i="172"/>
  <c r="AN997" i="172"/>
  <c r="AQ997" i="172" s="1"/>
  <c r="AV997" i="172" s="1"/>
  <c r="AS997" i="172"/>
  <c r="AN995" i="172"/>
  <c r="AQ995" i="172" s="1"/>
  <c r="AV995" i="172" s="1"/>
  <c r="AS995" i="172"/>
  <c r="AN946" i="172"/>
  <c r="AQ946" i="172" s="1"/>
  <c r="AV946" i="172" s="1"/>
  <c r="AS946" i="172"/>
  <c r="AN931" i="172"/>
  <c r="AQ931" i="172" s="1"/>
  <c r="AV931" i="172" s="1"/>
  <c r="AS931" i="172"/>
  <c r="AN901" i="172"/>
  <c r="AQ901" i="172" s="1"/>
  <c r="AV901" i="172" s="1"/>
  <c r="AS901" i="172"/>
  <c r="AN963" i="172"/>
  <c r="AQ963" i="172" s="1"/>
  <c r="AV963" i="172" s="1"/>
  <c r="AS963" i="172"/>
  <c r="AN955" i="172"/>
  <c r="AQ955" i="172" s="1"/>
  <c r="AV955" i="172" s="1"/>
  <c r="AS955" i="172"/>
  <c r="AN947" i="172"/>
  <c r="AQ947" i="172" s="1"/>
  <c r="AV947" i="172" s="1"/>
  <c r="AS947" i="172"/>
  <c r="AN927" i="172"/>
  <c r="AQ927" i="172" s="1"/>
  <c r="AV927" i="172" s="1"/>
  <c r="AS927" i="172"/>
  <c r="AN940" i="172"/>
  <c r="AQ940" i="172" s="1"/>
  <c r="AV940" i="172" s="1"/>
  <c r="AS940" i="172"/>
  <c r="AN913" i="172"/>
  <c r="AQ913" i="172" s="1"/>
  <c r="AV913" i="172" s="1"/>
  <c r="AS913" i="172"/>
  <c r="AN994" i="172"/>
  <c r="AQ994" i="172" s="1"/>
  <c r="AV994" i="172" s="1"/>
  <c r="AS994" i="172"/>
  <c r="AN986" i="172"/>
  <c r="AQ986" i="172" s="1"/>
  <c r="AV986" i="172" s="1"/>
  <c r="AS986" i="172"/>
  <c r="AN978" i="172"/>
  <c r="AQ978" i="172" s="1"/>
  <c r="AV978" i="172" s="1"/>
  <c r="AS978" i="172"/>
  <c r="AN970" i="172"/>
  <c r="AQ970" i="172" s="1"/>
  <c r="AV970" i="172" s="1"/>
  <c r="AS970" i="172"/>
  <c r="AN962" i="172"/>
  <c r="AQ962" i="172" s="1"/>
  <c r="AV962" i="172" s="1"/>
  <c r="AS962" i="172"/>
  <c r="AN954" i="172"/>
  <c r="AQ954" i="172" s="1"/>
  <c r="AV954" i="172" s="1"/>
  <c r="AS954" i="172"/>
  <c r="AN945" i="172"/>
  <c r="AQ945" i="172" s="1"/>
  <c r="AV945" i="172" s="1"/>
  <c r="AS945" i="172"/>
  <c r="AN923" i="172"/>
  <c r="AQ923" i="172" s="1"/>
  <c r="AV923" i="172" s="1"/>
  <c r="AS923" i="172"/>
  <c r="AN889" i="172"/>
  <c r="AQ889" i="172" s="1"/>
  <c r="AV889" i="172" s="1"/>
  <c r="AS889" i="172"/>
  <c r="AN873" i="172"/>
  <c r="AQ873" i="172" s="1"/>
  <c r="AV873" i="172" s="1"/>
  <c r="AS873" i="172"/>
  <c r="AN855" i="172"/>
  <c r="AQ855" i="172" s="1"/>
  <c r="AV855" i="172" s="1"/>
  <c r="AS855" i="172"/>
  <c r="AN843" i="172"/>
  <c r="AQ843" i="172" s="1"/>
  <c r="AV843" i="172" s="1"/>
  <c r="AS843" i="172"/>
  <c r="AS825" i="172"/>
  <c r="AN825" i="172"/>
  <c r="AQ825" i="172" s="1"/>
  <c r="AV825" i="172" s="1"/>
  <c r="AN809" i="172"/>
  <c r="AQ809" i="172" s="1"/>
  <c r="AV809" i="172" s="1"/>
  <c r="AS809" i="172"/>
  <c r="AS796" i="172"/>
  <c r="AN796" i="172"/>
  <c r="AQ796" i="172" s="1"/>
  <c r="AV796" i="172" s="1"/>
  <c r="AS780" i="172"/>
  <c r="AN780" i="172"/>
  <c r="AQ780" i="172" s="1"/>
  <c r="AV780" i="172" s="1"/>
  <c r="AS764" i="172"/>
  <c r="AN764" i="172"/>
  <c r="AQ764" i="172" s="1"/>
  <c r="AV764" i="172" s="1"/>
  <c r="AS748" i="172"/>
  <c r="AN748" i="172"/>
  <c r="AQ748" i="172" s="1"/>
  <c r="AV748" i="172" s="1"/>
  <c r="AN733" i="172"/>
  <c r="AQ733" i="172" s="1"/>
  <c r="AV733" i="172" s="1"/>
  <c r="AS733" i="172"/>
  <c r="AS717" i="172"/>
  <c r="AN717" i="172"/>
  <c r="AQ717" i="172" s="1"/>
  <c r="AV717" i="172" s="1"/>
  <c r="AS701" i="172"/>
  <c r="AN701" i="172"/>
  <c r="AQ701" i="172" s="1"/>
  <c r="AV701" i="172" s="1"/>
  <c r="AN594" i="172"/>
  <c r="AQ594" i="172" s="1"/>
  <c r="AV594" i="172" s="1"/>
  <c r="AS594" i="172"/>
  <c r="AN581" i="172"/>
  <c r="AQ581" i="172" s="1"/>
  <c r="AV581" i="172" s="1"/>
  <c r="AS581" i="172"/>
  <c r="AN562" i="172"/>
  <c r="AQ562" i="172" s="1"/>
  <c r="AV562" i="172" s="1"/>
  <c r="AS562" i="172"/>
  <c r="AN538" i="172"/>
  <c r="AQ538" i="172" s="1"/>
  <c r="AV538" i="172" s="1"/>
  <c r="AS538" i="172"/>
  <c r="AS494" i="172"/>
  <c r="AN494" i="172"/>
  <c r="AQ494" i="172" s="1"/>
  <c r="AV494" i="172" s="1"/>
  <c r="AS397" i="172"/>
  <c r="AN397" i="172"/>
  <c r="AQ397" i="172" s="1"/>
  <c r="AV397" i="172" s="1"/>
  <c r="AS330" i="172"/>
  <c r="AN330" i="172"/>
  <c r="AQ330" i="172" s="1"/>
  <c r="AV330" i="172" s="1"/>
  <c r="AS298" i="172"/>
  <c r="AN298" i="172"/>
  <c r="AQ298" i="172" s="1"/>
  <c r="AV298" i="172" s="1"/>
  <c r="AN216" i="172"/>
  <c r="AQ216" i="172" s="1"/>
  <c r="AV216" i="172" s="1"/>
  <c r="AS216" i="172"/>
  <c r="AN922" i="172"/>
  <c r="AQ922" i="172" s="1"/>
  <c r="AV922" i="172" s="1"/>
  <c r="AS922" i="172"/>
  <c r="AN906" i="172"/>
  <c r="AQ906" i="172" s="1"/>
  <c r="AV906" i="172" s="1"/>
  <c r="AS906" i="172"/>
  <c r="AN890" i="172"/>
  <c r="AQ890" i="172" s="1"/>
  <c r="AV890" i="172" s="1"/>
  <c r="AS890" i="172"/>
  <c r="AS874" i="172"/>
  <c r="AN874" i="172"/>
  <c r="AQ874" i="172" s="1"/>
  <c r="AV874" i="172" s="1"/>
  <c r="AS857" i="172"/>
  <c r="AN857" i="172"/>
  <c r="AQ857" i="172" s="1"/>
  <c r="AV857" i="172" s="1"/>
  <c r="AN845" i="172"/>
  <c r="AQ845" i="172" s="1"/>
  <c r="AV845" i="172" s="1"/>
  <c r="AS845" i="172"/>
  <c r="AN827" i="172"/>
  <c r="AQ827" i="172" s="1"/>
  <c r="AV827" i="172" s="1"/>
  <c r="AS827" i="172"/>
  <c r="AN811" i="172"/>
  <c r="AQ811" i="172" s="1"/>
  <c r="AV811" i="172" s="1"/>
  <c r="AS811" i="172"/>
  <c r="AS797" i="172"/>
  <c r="AN797" i="172"/>
  <c r="AQ797" i="172" s="1"/>
  <c r="AV797" i="172" s="1"/>
  <c r="AS781" i="172"/>
  <c r="AN781" i="172"/>
  <c r="AQ781" i="172" s="1"/>
  <c r="AV781" i="172" s="1"/>
  <c r="AS765" i="172"/>
  <c r="AN765" i="172"/>
  <c r="AQ765" i="172" s="1"/>
  <c r="AV765" i="172" s="1"/>
  <c r="AS749" i="172"/>
  <c r="AN749" i="172"/>
  <c r="AQ749" i="172" s="1"/>
  <c r="AV749" i="172" s="1"/>
  <c r="AS731" i="172"/>
  <c r="AN731" i="172"/>
  <c r="AQ731" i="172" s="1"/>
  <c r="AV731" i="172" s="1"/>
  <c r="AS715" i="172"/>
  <c r="AN715" i="172"/>
  <c r="AQ715" i="172" s="1"/>
  <c r="AV715" i="172" s="1"/>
  <c r="AN699" i="172"/>
  <c r="AQ699" i="172" s="1"/>
  <c r="AV699" i="172" s="1"/>
  <c r="AS699" i="172"/>
  <c r="AN689" i="172"/>
  <c r="AQ689" i="172" s="1"/>
  <c r="AV689" i="172" s="1"/>
  <c r="AS689" i="172"/>
  <c r="AN681" i="172"/>
  <c r="AQ681" i="172" s="1"/>
  <c r="AV681" i="172" s="1"/>
  <c r="AS681" i="172"/>
  <c r="AN673" i="172"/>
  <c r="AQ673" i="172" s="1"/>
  <c r="AV673" i="172" s="1"/>
  <c r="AS673" i="172"/>
  <c r="AN665" i="172"/>
  <c r="AQ665" i="172" s="1"/>
  <c r="AV665" i="172" s="1"/>
  <c r="AS665" i="172"/>
  <c r="AN657" i="172"/>
  <c r="AQ657" i="172" s="1"/>
  <c r="AV657" i="172" s="1"/>
  <c r="AS657" i="172"/>
  <c r="AN649" i="172"/>
  <c r="AQ649" i="172" s="1"/>
  <c r="AV649" i="172" s="1"/>
  <c r="AS649" i="172"/>
  <c r="AN641" i="172"/>
  <c r="AQ641" i="172" s="1"/>
  <c r="AV641" i="172" s="1"/>
  <c r="AS641" i="172"/>
  <c r="AN633" i="172"/>
  <c r="AQ633" i="172" s="1"/>
  <c r="AV633" i="172" s="1"/>
  <c r="AS633" i="172"/>
  <c r="AN625" i="172"/>
  <c r="AQ625" i="172" s="1"/>
  <c r="AV625" i="172" s="1"/>
  <c r="AS625" i="172"/>
  <c r="AN617" i="172"/>
  <c r="AQ617" i="172" s="1"/>
  <c r="AV617" i="172" s="1"/>
  <c r="AS617" i="172"/>
  <c r="AN609" i="172"/>
  <c r="AQ609" i="172" s="1"/>
  <c r="AV609" i="172" s="1"/>
  <c r="AS609" i="172"/>
  <c r="AN603" i="172"/>
  <c r="AQ603" i="172" s="1"/>
  <c r="AV603" i="172" s="1"/>
  <c r="AS603" i="172"/>
  <c r="AN587" i="172"/>
  <c r="AQ587" i="172" s="1"/>
  <c r="AV587" i="172" s="1"/>
  <c r="AS587" i="172"/>
  <c r="AN567" i="172"/>
  <c r="AQ567" i="172" s="1"/>
  <c r="AV567" i="172" s="1"/>
  <c r="AS567" i="172"/>
  <c r="AN544" i="172"/>
  <c r="AQ544" i="172" s="1"/>
  <c r="AV544" i="172" s="1"/>
  <c r="AS544" i="172"/>
  <c r="AS524" i="172"/>
  <c r="AN524" i="172"/>
  <c r="AQ524" i="172" s="1"/>
  <c r="AV524" i="172" s="1"/>
  <c r="AS466" i="172"/>
  <c r="AN466" i="172"/>
  <c r="AQ466" i="172" s="1"/>
  <c r="AV466" i="172" s="1"/>
  <c r="AS385" i="172"/>
  <c r="AN385" i="172"/>
  <c r="AQ385" i="172" s="1"/>
  <c r="AV385" i="172" s="1"/>
  <c r="AN328" i="172"/>
  <c r="AQ328" i="172" s="1"/>
  <c r="AV328" i="172" s="1"/>
  <c r="AS328" i="172"/>
  <c r="AN296" i="172"/>
  <c r="AQ296" i="172" s="1"/>
  <c r="AV296" i="172" s="1"/>
  <c r="AS296" i="172"/>
  <c r="AS197" i="172"/>
  <c r="AN197" i="172"/>
  <c r="AQ197" i="172" s="1"/>
  <c r="AV197" i="172" s="1"/>
  <c r="AN899" i="172"/>
  <c r="AQ899" i="172" s="1"/>
  <c r="AV899" i="172" s="1"/>
  <c r="AS899" i="172"/>
  <c r="AN883" i="172"/>
  <c r="AQ883" i="172" s="1"/>
  <c r="AV883" i="172" s="1"/>
  <c r="AS883" i="172"/>
  <c r="AS867" i="172"/>
  <c r="AN867" i="172"/>
  <c r="AQ867" i="172" s="1"/>
  <c r="AV867" i="172" s="1"/>
  <c r="AS851" i="172"/>
  <c r="AN851" i="172"/>
  <c r="AQ851" i="172" s="1"/>
  <c r="AV851" i="172" s="1"/>
  <c r="AN829" i="172"/>
  <c r="AQ829" i="172" s="1"/>
  <c r="AV829" i="172" s="1"/>
  <c r="AS829" i="172"/>
  <c r="AS813" i="172"/>
  <c r="AN813" i="172"/>
  <c r="AQ813" i="172" s="1"/>
  <c r="AV813" i="172" s="1"/>
  <c r="AS798" i="172"/>
  <c r="AN798" i="172"/>
  <c r="AQ798" i="172" s="1"/>
  <c r="AV798" i="172" s="1"/>
  <c r="AS782" i="172"/>
  <c r="AN782" i="172"/>
  <c r="AQ782" i="172" s="1"/>
  <c r="AV782" i="172" s="1"/>
  <c r="AS766" i="172"/>
  <c r="AN766" i="172"/>
  <c r="AQ766" i="172" s="1"/>
  <c r="AV766" i="172" s="1"/>
  <c r="AS750" i="172"/>
  <c r="AN750" i="172"/>
  <c r="AQ750" i="172" s="1"/>
  <c r="AV750" i="172" s="1"/>
  <c r="AS734" i="172"/>
  <c r="AN734" i="172"/>
  <c r="AQ734" i="172" s="1"/>
  <c r="AV734" i="172" s="1"/>
  <c r="AS718" i="172"/>
  <c r="AN718" i="172"/>
  <c r="AQ718" i="172" s="1"/>
  <c r="AV718" i="172" s="1"/>
  <c r="AS702" i="172"/>
  <c r="AN702" i="172"/>
  <c r="AQ702" i="172" s="1"/>
  <c r="AV702" i="172" s="1"/>
  <c r="AN590" i="172"/>
  <c r="AQ590" i="172" s="1"/>
  <c r="AV590" i="172" s="1"/>
  <c r="AS590" i="172"/>
  <c r="AN572" i="172"/>
  <c r="AQ572" i="172" s="1"/>
  <c r="AV572" i="172" s="1"/>
  <c r="AS572" i="172"/>
  <c r="AS554" i="172"/>
  <c r="AN554" i="172"/>
  <c r="AQ554" i="172" s="1"/>
  <c r="AV554" i="172" s="1"/>
  <c r="AS518" i="172"/>
  <c r="AN518" i="172"/>
  <c r="AQ518" i="172" s="1"/>
  <c r="AV518" i="172" s="1"/>
  <c r="AS454" i="172"/>
  <c r="AN454" i="172"/>
  <c r="AQ454" i="172" s="1"/>
  <c r="AV454" i="172" s="1"/>
  <c r="AS357" i="172"/>
  <c r="AN357" i="172"/>
  <c r="AQ357" i="172" s="1"/>
  <c r="AV357" i="172" s="1"/>
  <c r="AS318" i="172"/>
  <c r="AN318" i="172"/>
  <c r="AQ318" i="172" s="1"/>
  <c r="AV318" i="172" s="1"/>
  <c r="AS286" i="172"/>
  <c r="AN286" i="172"/>
  <c r="AQ286" i="172" s="1"/>
  <c r="AV286" i="172" s="1"/>
  <c r="AN928" i="172"/>
  <c r="AQ928" i="172" s="1"/>
  <c r="AV928" i="172" s="1"/>
  <c r="AS928" i="172"/>
  <c r="AN912" i="172"/>
  <c r="AQ912" i="172" s="1"/>
  <c r="AV912" i="172" s="1"/>
  <c r="AS912" i="172"/>
  <c r="AN896" i="172"/>
  <c r="AQ896" i="172" s="1"/>
  <c r="AV896" i="172" s="1"/>
  <c r="AS896" i="172"/>
  <c r="AS880" i="172"/>
  <c r="AN880" i="172"/>
  <c r="AQ880" i="172" s="1"/>
  <c r="AV880" i="172" s="1"/>
  <c r="AN864" i="172"/>
  <c r="AQ864" i="172" s="1"/>
  <c r="AV864" i="172" s="1"/>
  <c r="AS864" i="172"/>
  <c r="AS850" i="172"/>
  <c r="AN850" i="172"/>
  <c r="AQ850" i="172" s="1"/>
  <c r="AV850" i="172" s="1"/>
  <c r="AS831" i="172"/>
  <c r="AN831" i="172"/>
  <c r="AQ831" i="172" s="1"/>
  <c r="AV831" i="172" s="1"/>
  <c r="AS815" i="172"/>
  <c r="AN815" i="172"/>
  <c r="AQ815" i="172" s="1"/>
  <c r="AV815" i="172" s="1"/>
  <c r="AS799" i="172"/>
  <c r="AN799" i="172"/>
  <c r="AQ799" i="172" s="1"/>
  <c r="AV799" i="172" s="1"/>
  <c r="AS783" i="172"/>
  <c r="AN783" i="172"/>
  <c r="AQ783" i="172" s="1"/>
  <c r="AV783" i="172" s="1"/>
  <c r="AS767" i="172"/>
  <c r="AN767" i="172"/>
  <c r="AQ767" i="172" s="1"/>
  <c r="AV767" i="172" s="1"/>
  <c r="AS751" i="172"/>
  <c r="AN751" i="172"/>
  <c r="AQ751" i="172" s="1"/>
  <c r="AV751" i="172" s="1"/>
  <c r="AN735" i="172"/>
  <c r="AQ735" i="172" s="1"/>
  <c r="AV735" i="172" s="1"/>
  <c r="AS735" i="172"/>
  <c r="AN719" i="172"/>
  <c r="AQ719" i="172" s="1"/>
  <c r="AV719" i="172" s="1"/>
  <c r="AS719" i="172"/>
  <c r="AN703" i="172"/>
  <c r="AQ703" i="172" s="1"/>
  <c r="AV703" i="172" s="1"/>
  <c r="AS703" i="172"/>
  <c r="AS691" i="172"/>
  <c r="AN691" i="172"/>
  <c r="AQ691" i="172" s="1"/>
  <c r="AV691" i="172" s="1"/>
  <c r="AN683" i="172"/>
  <c r="AQ683" i="172" s="1"/>
  <c r="AV683" i="172" s="1"/>
  <c r="AS683" i="172"/>
  <c r="AS675" i="172"/>
  <c r="AN675" i="172"/>
  <c r="AQ675" i="172" s="1"/>
  <c r="AV675" i="172" s="1"/>
  <c r="AN667" i="172"/>
  <c r="AQ667" i="172" s="1"/>
  <c r="AV667" i="172" s="1"/>
  <c r="AS667" i="172"/>
  <c r="AS659" i="172"/>
  <c r="AN659" i="172"/>
  <c r="AQ659" i="172" s="1"/>
  <c r="AV659" i="172" s="1"/>
  <c r="AN651" i="172"/>
  <c r="AQ651" i="172" s="1"/>
  <c r="AV651" i="172" s="1"/>
  <c r="AS651" i="172"/>
  <c r="AS643" i="172"/>
  <c r="AN643" i="172"/>
  <c r="AQ643" i="172" s="1"/>
  <c r="AV643" i="172" s="1"/>
  <c r="AN635" i="172"/>
  <c r="AQ635" i="172" s="1"/>
  <c r="AV635" i="172" s="1"/>
  <c r="AS635" i="172"/>
  <c r="AS627" i="172"/>
  <c r="AN627" i="172"/>
  <c r="AQ627" i="172" s="1"/>
  <c r="AV627" i="172" s="1"/>
  <c r="AN619" i="172"/>
  <c r="AQ619" i="172" s="1"/>
  <c r="AV619" i="172" s="1"/>
  <c r="AS619" i="172"/>
  <c r="AS611" i="172"/>
  <c r="AN611" i="172"/>
  <c r="AQ611" i="172" s="1"/>
  <c r="AV611" i="172" s="1"/>
  <c r="AN600" i="172"/>
  <c r="AQ600" i="172" s="1"/>
  <c r="AV600" i="172" s="1"/>
  <c r="AS600" i="172"/>
  <c r="AN584" i="172"/>
  <c r="AQ584" i="172" s="1"/>
  <c r="AV584" i="172" s="1"/>
  <c r="AS584" i="172"/>
  <c r="AS566" i="172"/>
  <c r="AN566" i="172"/>
  <c r="AQ566" i="172" s="1"/>
  <c r="AV566" i="172" s="1"/>
  <c r="AS543" i="172"/>
  <c r="AN543" i="172"/>
  <c r="AQ543" i="172" s="1"/>
  <c r="AV543" i="172" s="1"/>
  <c r="AS506" i="172"/>
  <c r="AN506" i="172"/>
  <c r="AQ506" i="172" s="1"/>
  <c r="AV506" i="172" s="1"/>
  <c r="AS442" i="172"/>
  <c r="AN442" i="172"/>
  <c r="AQ442" i="172" s="1"/>
  <c r="AV442" i="172" s="1"/>
  <c r="AS345" i="172"/>
  <c r="AN345" i="172"/>
  <c r="AQ345" i="172" s="1"/>
  <c r="AV345" i="172" s="1"/>
  <c r="AN308" i="172"/>
  <c r="AQ308" i="172" s="1"/>
  <c r="AV308" i="172" s="1"/>
  <c r="AS308" i="172"/>
  <c r="AS224" i="172"/>
  <c r="AN224" i="172"/>
  <c r="AQ224" i="172" s="1"/>
  <c r="AV224" i="172" s="1"/>
  <c r="AN152" i="172"/>
  <c r="AQ152" i="172" s="1"/>
  <c r="AV152" i="172" s="1"/>
  <c r="AS152" i="172"/>
  <c r="AN134" i="172"/>
  <c r="AQ134" i="172" s="1"/>
  <c r="AV134" i="172" s="1"/>
  <c r="AS134" i="172"/>
  <c r="AS118" i="172"/>
  <c r="AN118" i="172"/>
  <c r="AQ118" i="172" s="1"/>
  <c r="AV118" i="172" s="1"/>
  <c r="AS102" i="172"/>
  <c r="AN102" i="172"/>
  <c r="AQ102" i="172" s="1"/>
  <c r="AV102" i="172" s="1"/>
  <c r="AS86" i="172"/>
  <c r="AN86" i="172"/>
  <c r="AQ86" i="172" s="1"/>
  <c r="AV86" i="172" s="1"/>
  <c r="AS61" i="172"/>
  <c r="AN61" i="172"/>
  <c r="AQ61" i="172" s="1"/>
  <c r="AV61" i="172" s="1"/>
  <c r="AS531" i="172"/>
  <c r="AN531" i="172"/>
  <c r="AQ531" i="172" s="1"/>
  <c r="AV531" i="172" s="1"/>
  <c r="AN515" i="172"/>
  <c r="AQ515" i="172" s="1"/>
  <c r="AV515" i="172" s="1"/>
  <c r="AS515" i="172"/>
  <c r="AN499" i="172"/>
  <c r="AQ499" i="172" s="1"/>
  <c r="AV499" i="172" s="1"/>
  <c r="AS499" i="172"/>
  <c r="AN483" i="172"/>
  <c r="AQ483" i="172" s="1"/>
  <c r="AV483" i="172" s="1"/>
  <c r="AS483" i="172"/>
  <c r="AS467" i="172"/>
  <c r="AN467" i="172"/>
  <c r="AQ467" i="172" s="1"/>
  <c r="AV467" i="172" s="1"/>
  <c r="AN451" i="172"/>
  <c r="AQ451" i="172" s="1"/>
  <c r="AV451" i="172" s="1"/>
  <c r="AS451" i="172"/>
  <c r="AN435" i="172"/>
  <c r="AQ435" i="172" s="1"/>
  <c r="AV435" i="172" s="1"/>
  <c r="AS435" i="172"/>
  <c r="AS390" i="172"/>
  <c r="AN390" i="172"/>
  <c r="AQ390" i="172" s="1"/>
  <c r="AV390" i="172" s="1"/>
  <c r="AS374" i="172"/>
  <c r="AN374" i="172"/>
  <c r="AQ374" i="172" s="1"/>
  <c r="AV374" i="172" s="1"/>
  <c r="AS358" i="172"/>
  <c r="AN358" i="172"/>
  <c r="AQ358" i="172" s="1"/>
  <c r="AV358" i="172" s="1"/>
  <c r="AS342" i="172"/>
  <c r="AN342" i="172"/>
  <c r="AQ342" i="172" s="1"/>
  <c r="AV342" i="172" s="1"/>
  <c r="AS275" i="172"/>
  <c r="AN275" i="172"/>
  <c r="AQ275" i="172" s="1"/>
  <c r="AV275" i="172" s="1"/>
  <c r="AS263" i="172"/>
  <c r="AN263" i="172"/>
  <c r="AQ263" i="172" s="1"/>
  <c r="AV263" i="172" s="1"/>
  <c r="AS255" i="172"/>
  <c r="AN255" i="172"/>
  <c r="AQ255" i="172" s="1"/>
  <c r="AV255" i="172" s="1"/>
  <c r="AS247" i="172"/>
  <c r="AN247" i="172"/>
  <c r="AQ247" i="172" s="1"/>
  <c r="AV247" i="172" s="1"/>
  <c r="AS239" i="172"/>
  <c r="AN239" i="172"/>
  <c r="AQ239" i="172" s="1"/>
  <c r="AV239" i="172" s="1"/>
  <c r="AN231" i="172"/>
  <c r="AQ231" i="172" s="1"/>
  <c r="AV231" i="172" s="1"/>
  <c r="AS231" i="172"/>
  <c r="AS220" i="172"/>
  <c r="AN220" i="172"/>
  <c r="AQ220" i="172" s="1"/>
  <c r="AV220" i="172" s="1"/>
  <c r="AN209" i="172"/>
  <c r="AQ209" i="172" s="1"/>
  <c r="AV209" i="172" s="1"/>
  <c r="AS209" i="172"/>
  <c r="AS191" i="172"/>
  <c r="AN191" i="172"/>
  <c r="AQ191" i="172" s="1"/>
  <c r="AV191" i="172" s="1"/>
  <c r="AS187" i="172"/>
  <c r="AN187" i="172"/>
  <c r="AQ187" i="172" s="1"/>
  <c r="AV187" i="172" s="1"/>
  <c r="AS183" i="172"/>
  <c r="AN183" i="172"/>
  <c r="AQ183" i="172" s="1"/>
  <c r="AV183" i="172" s="1"/>
  <c r="AS179" i="172"/>
  <c r="AN179" i="172"/>
  <c r="AQ179" i="172" s="1"/>
  <c r="AV179" i="172" s="1"/>
  <c r="AS175" i="172"/>
  <c r="AN175" i="172"/>
  <c r="AQ175" i="172" s="1"/>
  <c r="AV175" i="172" s="1"/>
  <c r="AS171" i="172"/>
  <c r="AN171" i="172"/>
  <c r="AQ171" i="172" s="1"/>
  <c r="AV171" i="172" s="1"/>
  <c r="AN167" i="172"/>
  <c r="AQ167" i="172" s="1"/>
  <c r="AV167" i="172" s="1"/>
  <c r="AS167" i="172"/>
  <c r="AS163" i="172"/>
  <c r="AN163" i="172"/>
  <c r="AQ163" i="172" s="1"/>
  <c r="AV163" i="172" s="1"/>
  <c r="AS155" i="172"/>
  <c r="AN155" i="172"/>
  <c r="AQ155" i="172" s="1"/>
  <c r="AV155" i="172" s="1"/>
  <c r="AN135" i="172"/>
  <c r="AQ135" i="172" s="1"/>
  <c r="AV135" i="172" s="1"/>
  <c r="AS135" i="172"/>
  <c r="AS119" i="172"/>
  <c r="AN119" i="172"/>
  <c r="AQ119" i="172" s="1"/>
  <c r="AV119" i="172" s="1"/>
  <c r="AS103" i="172"/>
  <c r="AN103" i="172"/>
  <c r="AQ103" i="172" s="1"/>
  <c r="AV103" i="172" s="1"/>
  <c r="AS87" i="172"/>
  <c r="AN87" i="172"/>
  <c r="AQ87" i="172" s="1"/>
  <c r="AV87" i="172" s="1"/>
  <c r="AS67" i="172"/>
  <c r="AN67" i="172"/>
  <c r="AQ67" i="172" s="1"/>
  <c r="AV67" i="172" s="1"/>
  <c r="AS512" i="172"/>
  <c r="AN512" i="172"/>
  <c r="AQ512" i="172" s="1"/>
  <c r="AV512" i="172" s="1"/>
  <c r="AS496" i="172"/>
  <c r="AN496" i="172"/>
  <c r="AQ496" i="172" s="1"/>
  <c r="AV496" i="172" s="1"/>
  <c r="AS480" i="172"/>
  <c r="AN480" i="172"/>
  <c r="AQ480" i="172" s="1"/>
  <c r="AV480" i="172" s="1"/>
  <c r="AN464" i="172"/>
  <c r="AQ464" i="172" s="1"/>
  <c r="AV464" i="172" s="1"/>
  <c r="AS464" i="172"/>
  <c r="AN448" i="172"/>
  <c r="AQ448" i="172" s="1"/>
  <c r="AV448" i="172" s="1"/>
  <c r="AS448" i="172"/>
  <c r="AN432" i="172"/>
  <c r="AQ432" i="172" s="1"/>
  <c r="AV432" i="172" s="1"/>
  <c r="AS432" i="172"/>
  <c r="AS428" i="172"/>
  <c r="AN428" i="172"/>
  <c r="AQ428" i="172" s="1"/>
  <c r="AV428" i="172" s="1"/>
  <c r="AS424" i="172"/>
  <c r="AN424" i="172"/>
  <c r="AQ424" i="172" s="1"/>
  <c r="AV424" i="172" s="1"/>
  <c r="AN420" i="172"/>
  <c r="AQ420" i="172" s="1"/>
  <c r="AV420" i="172" s="1"/>
  <c r="AS420" i="172"/>
  <c r="AN416" i="172"/>
  <c r="AQ416" i="172" s="1"/>
  <c r="AV416" i="172" s="1"/>
  <c r="AS416" i="172"/>
  <c r="AS412" i="172"/>
  <c r="AN412" i="172"/>
  <c r="AQ412" i="172" s="1"/>
  <c r="AV412" i="172" s="1"/>
  <c r="AS408" i="172"/>
  <c r="AN408" i="172"/>
  <c r="AQ408" i="172" s="1"/>
  <c r="AV408" i="172" s="1"/>
  <c r="AN404" i="172"/>
  <c r="AQ404" i="172" s="1"/>
  <c r="AV404" i="172" s="1"/>
  <c r="AS404" i="172"/>
  <c r="AN391" i="172"/>
  <c r="AQ391" i="172" s="1"/>
  <c r="AV391" i="172" s="1"/>
  <c r="AS391" i="172"/>
  <c r="AS375" i="172"/>
  <c r="AN375" i="172"/>
  <c r="AQ375" i="172" s="1"/>
  <c r="AV375" i="172" s="1"/>
  <c r="AN359" i="172"/>
  <c r="AQ359" i="172" s="1"/>
  <c r="AV359" i="172" s="1"/>
  <c r="AS359" i="172"/>
  <c r="AN343" i="172"/>
  <c r="AQ343" i="172" s="1"/>
  <c r="AV343" i="172" s="1"/>
  <c r="AS343" i="172"/>
  <c r="AS333" i="172"/>
  <c r="AN333" i="172"/>
  <c r="AQ333" i="172" s="1"/>
  <c r="AV333" i="172" s="1"/>
  <c r="AS325" i="172"/>
  <c r="AN325" i="172"/>
  <c r="AQ325" i="172" s="1"/>
  <c r="AV325" i="172" s="1"/>
  <c r="AS317" i="172"/>
  <c r="AN317" i="172"/>
  <c r="AQ317" i="172" s="1"/>
  <c r="AV317" i="172" s="1"/>
  <c r="AS309" i="172"/>
  <c r="AN309" i="172"/>
  <c r="AQ309" i="172" s="1"/>
  <c r="AV309" i="172" s="1"/>
  <c r="AS301" i="172"/>
  <c r="AN301" i="172"/>
  <c r="AQ301" i="172" s="1"/>
  <c r="AV301" i="172" s="1"/>
  <c r="AS293" i="172"/>
  <c r="AN293" i="172"/>
  <c r="AQ293" i="172" s="1"/>
  <c r="AV293" i="172" s="1"/>
  <c r="AS285" i="172"/>
  <c r="AN285" i="172"/>
  <c r="AQ285" i="172" s="1"/>
  <c r="AV285" i="172" s="1"/>
  <c r="AS270" i="172"/>
  <c r="AN270" i="172"/>
  <c r="AQ270" i="172" s="1"/>
  <c r="AV270" i="172" s="1"/>
  <c r="AS211" i="172"/>
  <c r="AN211" i="172"/>
  <c r="AQ211" i="172" s="1"/>
  <c r="AV211" i="172" s="1"/>
  <c r="AN160" i="172"/>
  <c r="AQ160" i="172" s="1"/>
  <c r="AV160" i="172" s="1"/>
  <c r="AS160" i="172"/>
  <c r="AS144" i="172"/>
  <c r="AN144" i="172"/>
  <c r="AQ144" i="172" s="1"/>
  <c r="AV144" i="172" s="1"/>
  <c r="AS132" i="172"/>
  <c r="AN132" i="172"/>
  <c r="AQ132" i="172" s="1"/>
  <c r="AV132" i="172" s="1"/>
  <c r="AS116" i="172"/>
  <c r="AN116" i="172"/>
  <c r="AQ116" i="172" s="1"/>
  <c r="AV116" i="172" s="1"/>
  <c r="AS100" i="172"/>
  <c r="AN100" i="172"/>
  <c r="AQ100" i="172" s="1"/>
  <c r="AV100" i="172" s="1"/>
  <c r="AS84" i="172"/>
  <c r="AN84" i="172"/>
  <c r="AQ84" i="172" s="1"/>
  <c r="AV84" i="172" s="1"/>
  <c r="AN573" i="172"/>
  <c r="AQ573" i="172" s="1"/>
  <c r="AV573" i="172" s="1"/>
  <c r="AS573" i="172"/>
  <c r="AS557" i="172"/>
  <c r="AN557" i="172"/>
  <c r="AQ557" i="172" s="1"/>
  <c r="AV557" i="172" s="1"/>
  <c r="AS541" i="172"/>
  <c r="AN541" i="172"/>
  <c r="AQ541" i="172" s="1"/>
  <c r="AV541" i="172" s="1"/>
  <c r="AS525" i="172"/>
  <c r="AN525" i="172"/>
  <c r="AQ525" i="172" s="1"/>
  <c r="AV525" i="172" s="1"/>
  <c r="AS509" i="172"/>
  <c r="AN509" i="172"/>
  <c r="AQ509" i="172" s="1"/>
  <c r="AV509" i="172" s="1"/>
  <c r="AN493" i="172"/>
  <c r="AQ493" i="172" s="1"/>
  <c r="AV493" i="172" s="1"/>
  <c r="AS493" i="172"/>
  <c r="AN477" i="172"/>
  <c r="AQ477" i="172" s="1"/>
  <c r="AV477" i="172" s="1"/>
  <c r="AS477" i="172"/>
  <c r="AS461" i="172"/>
  <c r="AN461" i="172"/>
  <c r="AQ461" i="172" s="1"/>
  <c r="AV461" i="172" s="1"/>
  <c r="AS445" i="172"/>
  <c r="AN445" i="172"/>
  <c r="AQ445" i="172" s="1"/>
  <c r="AV445" i="172" s="1"/>
  <c r="AN400" i="172"/>
  <c r="AQ400" i="172" s="1"/>
  <c r="AV400" i="172" s="1"/>
  <c r="AS400" i="172"/>
  <c r="AN384" i="172"/>
  <c r="AQ384" i="172" s="1"/>
  <c r="AV384" i="172" s="1"/>
  <c r="AS384" i="172"/>
  <c r="AS368" i="172"/>
  <c r="AN368" i="172"/>
  <c r="AQ368" i="172" s="1"/>
  <c r="AV368" i="172" s="1"/>
  <c r="AS352" i="172"/>
  <c r="AN352" i="172"/>
  <c r="AQ352" i="172" s="1"/>
  <c r="AV352" i="172" s="1"/>
  <c r="AS283" i="172"/>
  <c r="AN283" i="172"/>
  <c r="AQ283" i="172" s="1"/>
  <c r="AV283" i="172" s="1"/>
  <c r="AN268" i="172"/>
  <c r="AQ268" i="172" s="1"/>
  <c r="AV268" i="172" s="1"/>
  <c r="AS268" i="172"/>
  <c r="AN260" i="172"/>
  <c r="AQ260" i="172" s="1"/>
  <c r="AV260" i="172" s="1"/>
  <c r="AS260" i="172"/>
  <c r="AN252" i="172"/>
  <c r="AQ252" i="172" s="1"/>
  <c r="AV252" i="172" s="1"/>
  <c r="AS252" i="172"/>
  <c r="AN244" i="172"/>
  <c r="AQ244" i="172" s="1"/>
  <c r="AV244" i="172" s="1"/>
  <c r="AS244" i="172"/>
  <c r="AN236" i="172"/>
  <c r="AQ236" i="172" s="1"/>
  <c r="AV236" i="172" s="1"/>
  <c r="AS236" i="172"/>
  <c r="AN228" i="172"/>
  <c r="AQ228" i="172" s="1"/>
  <c r="AV228" i="172" s="1"/>
  <c r="AS228" i="172"/>
  <c r="AS213" i="172"/>
  <c r="AN213" i="172"/>
  <c r="AQ213" i="172" s="1"/>
  <c r="AV213" i="172" s="1"/>
  <c r="AS196" i="172"/>
  <c r="AN196" i="172"/>
  <c r="AQ196" i="172" s="1"/>
  <c r="AV196" i="172" s="1"/>
  <c r="AN153" i="172"/>
  <c r="AQ153" i="172" s="1"/>
  <c r="AV153" i="172" s="1"/>
  <c r="AS153" i="172"/>
  <c r="AN137" i="172"/>
  <c r="AQ137" i="172" s="1"/>
  <c r="AV137" i="172" s="1"/>
  <c r="AS137" i="172"/>
  <c r="AN121" i="172"/>
  <c r="AQ121" i="172" s="1"/>
  <c r="AV121" i="172" s="1"/>
  <c r="AS121" i="172"/>
  <c r="AS105" i="172"/>
  <c r="AN105" i="172"/>
  <c r="AQ105" i="172" s="1"/>
  <c r="AV105" i="172" s="1"/>
  <c r="AS89" i="172"/>
  <c r="AN89" i="172"/>
  <c r="AQ89" i="172" s="1"/>
  <c r="AV89" i="172" s="1"/>
  <c r="AS56" i="172"/>
  <c r="AN56" i="172"/>
  <c r="AQ56" i="172" s="1"/>
  <c r="AV56" i="172" s="1"/>
  <c r="AN43" i="172"/>
  <c r="AQ43" i="172" s="1"/>
  <c r="AV43" i="172" s="1"/>
  <c r="AS43" i="172"/>
  <c r="AS35" i="172"/>
  <c r="AN35" i="172"/>
  <c r="AQ35" i="172" s="1"/>
  <c r="AV35" i="172" s="1"/>
  <c r="AS27" i="172"/>
  <c r="AN27" i="172"/>
  <c r="AQ27" i="172" s="1"/>
  <c r="AV27" i="172" s="1"/>
  <c r="AS19" i="172"/>
  <c r="AN19" i="172"/>
  <c r="AQ19" i="172" s="1"/>
  <c r="AV19" i="172" s="1"/>
  <c r="AN11" i="172"/>
  <c r="AQ11" i="172" s="1"/>
  <c r="AV11" i="172" s="1"/>
  <c r="AS11" i="172"/>
  <c r="AN74" i="172"/>
  <c r="AQ74" i="172" s="1"/>
  <c r="AV74" i="172" s="1"/>
  <c r="AS74" i="172"/>
  <c r="AS65" i="172"/>
  <c r="AN65" i="172"/>
  <c r="AQ65" i="172" s="1"/>
  <c r="AV65" i="172" s="1"/>
  <c r="AS48" i="172"/>
  <c r="AN48" i="172"/>
  <c r="AQ48" i="172" s="1"/>
  <c r="AV48" i="172" s="1"/>
  <c r="AS68" i="172"/>
  <c r="AN68" i="172"/>
  <c r="AQ68" i="172" s="1"/>
  <c r="AV68" i="172" s="1"/>
  <c r="AN51" i="172"/>
  <c r="AQ51" i="172" s="1"/>
  <c r="AV51" i="172" s="1"/>
  <c r="AS51" i="172"/>
  <c r="AN45" i="172"/>
  <c r="AQ45" i="172" s="1"/>
  <c r="AV45" i="172" s="1"/>
  <c r="AS45" i="172"/>
  <c r="AN37" i="172"/>
  <c r="AQ37" i="172" s="1"/>
  <c r="AV37" i="172" s="1"/>
  <c r="AS37" i="172"/>
  <c r="AN29" i="172"/>
  <c r="AQ29" i="172" s="1"/>
  <c r="AV29" i="172" s="1"/>
  <c r="AS29" i="172"/>
  <c r="AS21" i="172"/>
  <c r="AN21" i="172"/>
  <c r="AQ21" i="172" s="1"/>
  <c r="AV21" i="172" s="1"/>
  <c r="AN13" i="172"/>
  <c r="AQ13" i="172" s="1"/>
  <c r="AV13" i="172" s="1"/>
  <c r="AS13" i="172"/>
  <c r="AO997" i="172"/>
  <c r="AR997" i="172" s="1"/>
  <c r="AT997" i="172"/>
  <c r="AL997" i="172" a="1"/>
  <c r="AL997" i="172" s="1"/>
  <c r="AP997" i="172" s="1"/>
  <c r="AO989" i="172"/>
  <c r="AT989" i="172"/>
  <c r="AL989" i="172" a="1"/>
  <c r="AL989" i="172" s="1"/>
  <c r="AP989" i="172" s="1"/>
  <c r="AO981" i="172"/>
  <c r="AR981" i="172" s="1"/>
  <c r="AT981" i="172"/>
  <c r="AL981" i="172" a="1"/>
  <c r="AL981" i="172" s="1"/>
  <c r="AP981" i="172" s="1"/>
  <c r="AO973" i="172"/>
  <c r="AR973" i="172" s="1"/>
  <c r="AU973" i="172" s="1"/>
  <c r="AT973" i="172"/>
  <c r="AL973" i="172" a="1"/>
  <c r="AL973" i="172" s="1"/>
  <c r="AP973" i="172" s="1"/>
  <c r="AO965" i="172"/>
  <c r="AR965" i="172" s="1"/>
  <c r="AT965" i="172"/>
  <c r="AL965" i="172" a="1"/>
  <c r="AL965" i="172" s="1"/>
  <c r="AP965" i="172" s="1"/>
  <c r="AO957" i="172"/>
  <c r="AR957" i="172" s="1"/>
  <c r="AU957" i="172" s="1"/>
  <c r="AT957" i="172"/>
  <c r="AL957" i="172" a="1"/>
  <c r="AL957" i="172" s="1"/>
  <c r="AP957" i="172" s="1"/>
  <c r="AO949" i="172"/>
  <c r="AR949" i="172" s="1"/>
  <c r="AT949" i="172"/>
  <c r="AL949" i="172" a="1"/>
  <c r="AL949" i="172" s="1"/>
  <c r="AP949" i="172" s="1"/>
  <c r="AO936" i="172"/>
  <c r="AT936" i="172"/>
  <c r="AL936" i="172" a="1"/>
  <c r="AL936" i="172" s="1"/>
  <c r="AP936" i="172" s="1"/>
  <c r="AO945" i="172"/>
  <c r="AR945" i="172" s="1"/>
  <c r="AT945" i="172"/>
  <c r="AL945" i="172" a="1"/>
  <c r="AL945" i="172" s="1"/>
  <c r="AP945" i="172" s="1"/>
  <c r="AX944" i="172" s="1"/>
  <c r="AY944" i="172" s="1"/>
  <c r="AO928" i="172"/>
  <c r="AR928" i="172" s="1"/>
  <c r="AU928" i="172" s="1"/>
  <c r="AT928" i="172"/>
  <c r="AL928" i="172" a="1"/>
  <c r="AL928" i="172" s="1"/>
  <c r="AP928" i="172" s="1"/>
  <c r="AX927" i="172" s="1"/>
  <c r="AY927" i="172" s="1"/>
  <c r="AO998" i="172"/>
  <c r="AR998" i="172" s="1"/>
  <c r="AT998" i="172"/>
  <c r="AL998" i="172" a="1"/>
  <c r="AL998" i="172" s="1"/>
  <c r="AP998" i="172" s="1"/>
  <c r="AX997" i="172" s="1"/>
  <c r="AY997" i="172" s="1"/>
  <c r="AO990" i="172"/>
  <c r="AR990" i="172" s="1"/>
  <c r="AT990" i="172"/>
  <c r="AL990" i="172" a="1"/>
  <c r="AL990" i="172" s="1"/>
  <c r="AP990" i="172" s="1"/>
  <c r="AO982" i="172"/>
  <c r="AR982" i="172" s="1"/>
  <c r="AT982" i="172"/>
  <c r="AL982" i="172" a="1"/>
  <c r="AL982" i="172" s="1"/>
  <c r="AP982" i="172" s="1"/>
  <c r="AX981" i="172" s="1"/>
  <c r="AY981" i="172" s="1"/>
  <c r="AO974" i="172"/>
  <c r="AR974" i="172" s="1"/>
  <c r="AT974" i="172"/>
  <c r="AL974" i="172" a="1"/>
  <c r="AL974" i="172" s="1"/>
  <c r="AP974" i="172" s="1"/>
  <c r="AX973" i="172" s="1"/>
  <c r="AY973" i="172" s="1"/>
  <c r="AO966" i="172"/>
  <c r="AR966" i="172" s="1"/>
  <c r="AT966" i="172"/>
  <c r="AL966" i="172" a="1"/>
  <c r="AL966" i="172" s="1"/>
  <c r="AP966" i="172" s="1"/>
  <c r="AX965" i="172" s="1"/>
  <c r="AY965" i="172" s="1"/>
  <c r="AO958" i="172"/>
  <c r="AR958" i="172" s="1"/>
  <c r="AT958" i="172"/>
  <c r="AL958" i="172" a="1"/>
  <c r="AL958" i="172" s="1"/>
  <c r="AP958" i="172" s="1"/>
  <c r="AO950" i="172"/>
  <c r="AR950" i="172" s="1"/>
  <c r="AT950" i="172"/>
  <c r="AL950" i="172" a="1"/>
  <c r="AL950" i="172" s="1"/>
  <c r="AP950" i="172" s="1"/>
  <c r="AX949" i="172" s="1"/>
  <c r="AY949" i="172" s="1"/>
  <c r="AO938" i="172"/>
  <c r="AR938" i="172" s="1"/>
  <c r="AT938" i="172"/>
  <c r="AL938" i="172" a="1"/>
  <c r="AL938" i="172" s="1"/>
  <c r="AP938" i="172" s="1"/>
  <c r="AX937" i="172" s="1"/>
  <c r="AY937" i="172" s="1"/>
  <c r="AO915" i="172"/>
  <c r="AT915" i="172"/>
  <c r="AL915" i="172" a="1"/>
  <c r="AL915" i="172" s="1"/>
  <c r="AP915" i="172" s="1"/>
  <c r="AO935" i="172"/>
  <c r="AR935" i="172" s="1"/>
  <c r="AT935" i="172"/>
  <c r="AL935" i="172" a="1"/>
  <c r="AL935" i="172" s="1"/>
  <c r="AP935" i="172" s="1"/>
  <c r="AO917" i="172"/>
  <c r="AR917" i="172" s="1"/>
  <c r="AT917" i="172"/>
  <c r="AL917" i="172" a="1"/>
  <c r="AL917" i="172" s="1"/>
  <c r="AP917" i="172" s="1"/>
  <c r="AO887" i="172"/>
  <c r="AR887" i="172" s="1"/>
  <c r="AU887" i="172" s="1"/>
  <c r="AT887" i="172"/>
  <c r="AL887" i="172" a="1"/>
  <c r="AL887" i="172" s="1"/>
  <c r="AP887" i="172" s="1"/>
  <c r="AX886" i="172" s="1"/>
  <c r="AY886" i="172" s="1"/>
  <c r="AO871" i="172"/>
  <c r="AR871" i="172" s="1"/>
  <c r="AT871" i="172"/>
  <c r="AL871" i="172" a="1"/>
  <c r="AL871" i="172" s="1"/>
  <c r="AP871" i="172" s="1"/>
  <c r="AX870" i="172" s="1"/>
  <c r="AY870" i="172" s="1"/>
  <c r="AT856" i="172"/>
  <c r="AO856" i="172"/>
  <c r="AR856" i="172" s="1"/>
  <c r="AL856" i="172" a="1"/>
  <c r="AL856" i="172" s="1"/>
  <c r="AP856" i="172" s="1"/>
  <c r="AX855" i="172" s="1"/>
  <c r="AY855" i="172" s="1"/>
  <c r="AO836" i="172"/>
  <c r="AR836" i="172" s="1"/>
  <c r="AT836" i="172"/>
  <c r="AL836" i="172" a="1"/>
  <c r="AL836" i="172" s="1"/>
  <c r="AP836" i="172" s="1"/>
  <c r="AO826" i="172"/>
  <c r="AT826" i="172"/>
  <c r="AL826" i="172" a="1"/>
  <c r="AL826" i="172" s="1"/>
  <c r="AP826" i="172" s="1"/>
  <c r="AX825" i="172" s="1"/>
  <c r="AY825" i="172" s="1"/>
  <c r="AT810" i="172"/>
  <c r="AO810" i="172"/>
  <c r="AL810" i="172" a="1"/>
  <c r="AL810" i="172" s="1"/>
  <c r="AP810" i="172" s="1"/>
  <c r="AX809" i="172" s="1"/>
  <c r="AY809" i="172" s="1"/>
  <c r="AL793" i="172" a="1"/>
  <c r="AL793" i="172" s="1"/>
  <c r="AP793" i="172" s="1"/>
  <c r="AT793" i="172"/>
  <c r="AO793" i="172"/>
  <c r="AL777" i="172" a="1"/>
  <c r="AL777" i="172" s="1"/>
  <c r="AP777" i="172" s="1"/>
  <c r="AT777" i="172"/>
  <c r="AO777" i="172"/>
  <c r="AL761" i="172" a="1"/>
  <c r="AL761" i="172" s="1"/>
  <c r="AP761" i="172" s="1"/>
  <c r="AT761" i="172"/>
  <c r="AO761" i="172"/>
  <c r="AL745" i="172" a="1"/>
  <c r="AL745" i="172" s="1"/>
  <c r="AP745" i="172" s="1"/>
  <c r="AO745" i="172"/>
  <c r="AT745" i="172"/>
  <c r="AL728" i="172" a="1"/>
  <c r="AL728" i="172" s="1"/>
  <c r="AP728" i="172" s="1"/>
  <c r="AT728" i="172"/>
  <c r="AO728" i="172"/>
  <c r="AT712" i="172"/>
  <c r="AO712" i="172"/>
  <c r="AL712" i="172" a="1"/>
  <c r="AL712" i="172" s="1"/>
  <c r="AP712" i="172" s="1"/>
  <c r="AO696" i="172"/>
  <c r="AT696" i="172"/>
  <c r="AL696" i="172" a="1"/>
  <c r="AL696" i="172" s="1"/>
  <c r="AP696" i="172" s="1"/>
  <c r="AO688" i="172"/>
  <c r="AT688" i="172"/>
  <c r="AL688" i="172" a="1"/>
  <c r="AL688" i="172" s="1"/>
  <c r="AP688" i="172" s="1"/>
  <c r="AO680" i="172"/>
  <c r="AT680" i="172"/>
  <c r="AL680" i="172" a="1"/>
  <c r="AL680" i="172" s="1"/>
  <c r="AP680" i="172" s="1"/>
  <c r="AO672" i="172"/>
  <c r="AT672" i="172"/>
  <c r="AL672" i="172" a="1"/>
  <c r="AL672" i="172" s="1"/>
  <c r="AP672" i="172" s="1"/>
  <c r="AO664" i="172"/>
  <c r="AT664" i="172"/>
  <c r="AL664" i="172" a="1"/>
  <c r="AL664" i="172" s="1"/>
  <c r="AP664" i="172" s="1"/>
  <c r="AO656" i="172"/>
  <c r="AT656" i="172"/>
  <c r="AL656" i="172" a="1"/>
  <c r="AL656" i="172" s="1"/>
  <c r="AP656" i="172" s="1"/>
  <c r="AO648" i="172"/>
  <c r="AT648" i="172"/>
  <c r="AL648" i="172" a="1"/>
  <c r="AL648" i="172" s="1"/>
  <c r="AP648" i="172" s="1"/>
  <c r="AO640" i="172"/>
  <c r="AT640" i="172"/>
  <c r="AL640" i="172" a="1"/>
  <c r="AL640" i="172" s="1"/>
  <c r="AP640" i="172" s="1"/>
  <c r="AO632" i="172"/>
  <c r="AT632" i="172"/>
  <c r="AL632" i="172" a="1"/>
  <c r="AL632" i="172" s="1"/>
  <c r="AP632" i="172" s="1"/>
  <c r="AO624" i="172"/>
  <c r="AT624" i="172"/>
  <c r="AL624" i="172" a="1"/>
  <c r="AL624" i="172" s="1"/>
  <c r="AP624" i="172" s="1"/>
  <c r="AO616" i="172"/>
  <c r="AT616" i="172"/>
  <c r="AL616" i="172" a="1"/>
  <c r="AL616" i="172" s="1"/>
  <c r="AP616" i="172" s="1"/>
  <c r="AO608" i="172"/>
  <c r="AT608" i="172"/>
  <c r="AL608" i="172" a="1"/>
  <c r="AL608" i="172" s="1"/>
  <c r="AP608" i="172" s="1"/>
  <c r="AL596" i="172" a="1"/>
  <c r="AL596" i="172" s="1"/>
  <c r="AP596" i="172" s="1"/>
  <c r="AO596" i="172"/>
  <c r="AT596" i="172"/>
  <c r="AL582" i="172" a="1"/>
  <c r="AL582" i="172" s="1"/>
  <c r="AP582" i="172" s="1"/>
  <c r="AX581" i="172" s="1"/>
  <c r="AY581" i="172" s="1"/>
  <c r="AO582" i="172"/>
  <c r="AT582" i="172"/>
  <c r="AL560" i="172" a="1"/>
  <c r="AL560" i="172" s="1"/>
  <c r="AP560" i="172" s="1"/>
  <c r="AO560" i="172"/>
  <c r="AT560" i="172"/>
  <c r="AL535" i="172" a="1"/>
  <c r="AL535" i="172" s="1"/>
  <c r="AP535" i="172" s="1"/>
  <c r="AX534" i="172" s="1"/>
  <c r="AY534" i="172" s="1"/>
  <c r="AO535" i="172"/>
  <c r="AR535" i="172" s="1"/>
  <c r="AU535" i="172" s="1"/>
  <c r="AT535" i="172"/>
  <c r="AL499" i="172" a="1"/>
  <c r="AL499" i="172" s="1"/>
  <c r="AP499" i="172" s="1"/>
  <c r="AO499" i="172"/>
  <c r="AR499" i="172" s="1"/>
  <c r="AT499" i="172"/>
  <c r="AO430" i="172"/>
  <c r="AR430" i="172" s="1"/>
  <c r="AT430" i="172"/>
  <c r="AL430" i="172" a="1"/>
  <c r="AL430" i="172" s="1"/>
  <c r="AP430" i="172" s="1"/>
  <c r="AO414" i="172"/>
  <c r="AR414" i="172" s="1"/>
  <c r="AT414" i="172"/>
  <c r="AL414" i="172" a="1"/>
  <c r="AL414" i="172" s="1"/>
  <c r="AP414" i="172" s="1"/>
  <c r="AO386" i="172"/>
  <c r="AT386" i="172"/>
  <c r="AL386" i="172" a="1"/>
  <c r="AL386" i="172" s="1"/>
  <c r="AP386" i="172" s="1"/>
  <c r="AO275" i="172"/>
  <c r="AR275" i="172" s="1"/>
  <c r="AU275" i="172" s="1"/>
  <c r="AT275" i="172"/>
  <c r="AL275" i="172" a="1"/>
  <c r="AL275" i="172" s="1"/>
  <c r="AP275" i="172" s="1"/>
  <c r="AT237" i="172"/>
  <c r="AO237" i="172"/>
  <c r="AL237" i="172" a="1"/>
  <c r="AL237" i="172" s="1"/>
  <c r="AP237" i="172" s="1"/>
  <c r="AX236" i="172" s="1"/>
  <c r="AY236" i="172" s="1"/>
  <c r="AT181" i="172"/>
  <c r="AU181" i="172" s="1"/>
  <c r="AO181" i="172"/>
  <c r="AR181" i="172" s="1"/>
  <c r="AL181" i="172" a="1"/>
  <c r="AL181" i="172" s="1"/>
  <c r="AP181" i="172" s="1"/>
  <c r="AX180" i="172" s="1"/>
  <c r="AY180" i="172" s="1"/>
  <c r="AO920" i="172"/>
  <c r="AR920" i="172" s="1"/>
  <c r="AT920" i="172"/>
  <c r="AL920" i="172" a="1"/>
  <c r="AL920" i="172" s="1"/>
  <c r="AP920" i="172" s="1"/>
  <c r="AX919" i="172" s="1"/>
  <c r="AY919" i="172" s="1"/>
  <c r="AO904" i="172"/>
  <c r="AR904" i="172" s="1"/>
  <c r="AU904" i="172" s="1"/>
  <c r="AT904" i="172"/>
  <c r="AL904" i="172" a="1"/>
  <c r="AL904" i="172" s="1"/>
  <c r="AP904" i="172" s="1"/>
  <c r="AO888" i="172"/>
  <c r="AR888" i="172" s="1"/>
  <c r="AU888" i="172" s="1"/>
  <c r="AT888" i="172"/>
  <c r="AL888" i="172" a="1"/>
  <c r="AL888" i="172" s="1"/>
  <c r="AP888" i="172" s="1"/>
  <c r="AT872" i="172"/>
  <c r="AO872" i="172"/>
  <c r="AR872" i="172" s="1"/>
  <c r="AL872" i="172" a="1"/>
  <c r="AL872" i="172" s="1"/>
  <c r="AP872" i="172" s="1"/>
  <c r="AX871" i="172" s="1"/>
  <c r="AY871" i="172" s="1"/>
  <c r="AT858" i="172"/>
  <c r="AO858" i="172"/>
  <c r="AR858" i="172" s="1"/>
  <c r="AU858" i="172" s="1"/>
  <c r="AL858" i="172" a="1"/>
  <c r="AL858" i="172" s="1"/>
  <c r="AP858" i="172" s="1"/>
  <c r="AX857" i="172" s="1"/>
  <c r="AY857" i="172" s="1"/>
  <c r="AO841" i="172"/>
  <c r="AR841" i="172" s="1"/>
  <c r="AT841" i="172"/>
  <c r="AL841" i="172" a="1"/>
  <c r="AL841" i="172" s="1"/>
  <c r="AP841" i="172" s="1"/>
  <c r="AX840" i="172" s="1"/>
  <c r="AY840" i="172" s="1"/>
  <c r="AL821" i="172" a="1"/>
  <c r="AL821" i="172" s="1"/>
  <c r="AP821" i="172" s="1"/>
  <c r="AT821" i="172"/>
  <c r="AO821" i="172"/>
  <c r="AR821" i="172" s="1"/>
  <c r="AL805" i="172" a="1"/>
  <c r="AL805" i="172" s="1"/>
  <c r="AP805" i="172" s="1"/>
  <c r="AT805" i="172"/>
  <c r="AO805" i="172"/>
  <c r="AR805" i="172" s="1"/>
  <c r="AL790" i="172" a="1"/>
  <c r="AL790" i="172" s="1"/>
  <c r="AP790" i="172" s="1"/>
  <c r="AT790" i="172"/>
  <c r="AO790" i="172"/>
  <c r="AR790" i="172" s="1"/>
  <c r="AL774" i="172" a="1"/>
  <c r="AL774" i="172" s="1"/>
  <c r="AP774" i="172" s="1"/>
  <c r="AT774" i="172"/>
  <c r="AO774" i="172"/>
  <c r="AR774" i="172" s="1"/>
  <c r="AU774" i="172" s="1"/>
  <c r="AL758" i="172" a="1"/>
  <c r="AL758" i="172" s="1"/>
  <c r="AP758" i="172" s="1"/>
  <c r="AT758" i="172"/>
  <c r="AO758" i="172"/>
  <c r="AR758" i="172" s="1"/>
  <c r="AL742" i="172" a="1"/>
  <c r="AL742" i="172" s="1"/>
  <c r="AP742" i="172" s="1"/>
  <c r="AO742" i="172"/>
  <c r="AR742" i="172" s="1"/>
  <c r="AU742" i="172" s="1"/>
  <c r="AT742" i="172"/>
  <c r="AL726" i="172" a="1"/>
  <c r="AL726" i="172" s="1"/>
  <c r="AP726" i="172" s="1"/>
  <c r="AO726" i="172"/>
  <c r="AR726" i="172" s="1"/>
  <c r="AT726" i="172"/>
  <c r="AO710" i="172"/>
  <c r="AR710" i="172" s="1"/>
  <c r="AT710" i="172"/>
  <c r="AL710" i="172" a="1"/>
  <c r="AL710" i="172" s="1"/>
  <c r="AP710" i="172" s="1"/>
  <c r="AL598" i="172" a="1"/>
  <c r="AL598" i="172" s="1"/>
  <c r="AP598" i="172" s="1"/>
  <c r="AO598" i="172"/>
  <c r="AR598" i="172" s="1"/>
  <c r="AT598" i="172"/>
  <c r="AL583" i="172" a="1"/>
  <c r="AL583" i="172" s="1"/>
  <c r="AP583" i="172" s="1"/>
  <c r="AX582" i="172" s="1"/>
  <c r="AY582" i="172" s="1"/>
  <c r="AO583" i="172"/>
  <c r="AR583" i="172" s="1"/>
  <c r="AT583" i="172"/>
  <c r="AL563" i="172" a="1"/>
  <c r="AL563" i="172" s="1"/>
  <c r="AP563" i="172" s="1"/>
  <c r="AT563" i="172"/>
  <c r="AO563" i="172"/>
  <c r="AR563" i="172" s="1"/>
  <c r="AL537" i="172" a="1"/>
  <c r="AL537" i="172" s="1"/>
  <c r="AP537" i="172" s="1"/>
  <c r="AO537" i="172"/>
  <c r="AT537" i="172"/>
  <c r="AL487" i="172" a="1"/>
  <c r="AL487" i="172" s="1"/>
  <c r="AP487" i="172" s="1"/>
  <c r="AX486" i="172" s="1"/>
  <c r="AY486" i="172" s="1"/>
  <c r="AT487" i="172"/>
  <c r="AO487" i="172"/>
  <c r="AR487" i="172" s="1"/>
  <c r="AO429" i="172"/>
  <c r="AR429" i="172" s="1"/>
  <c r="AT429" i="172"/>
  <c r="AL429" i="172" a="1"/>
  <c r="AL429" i="172" s="1"/>
  <c r="AP429" i="172" s="1"/>
  <c r="AX428" i="172" s="1"/>
  <c r="AY428" i="172" s="1"/>
  <c r="AO413" i="172"/>
  <c r="AR413" i="172" s="1"/>
  <c r="AT413" i="172"/>
  <c r="AL413" i="172" a="1"/>
  <c r="AL413" i="172" s="1"/>
  <c r="AP413" i="172" s="1"/>
  <c r="AX412" i="172" s="1"/>
  <c r="AY412" i="172" s="1"/>
  <c r="AT374" i="172"/>
  <c r="AO374" i="172"/>
  <c r="AR374" i="172" s="1"/>
  <c r="AL374" i="172" a="1"/>
  <c r="AL374" i="172" s="1"/>
  <c r="AP374" i="172" s="1"/>
  <c r="AO259" i="172"/>
  <c r="AR259" i="172" s="1"/>
  <c r="AU259" i="172" s="1"/>
  <c r="AT259" i="172"/>
  <c r="AL259" i="172" a="1"/>
  <c r="AL259" i="172" s="1"/>
  <c r="AP259" i="172" s="1"/>
  <c r="AX258" i="172" s="1"/>
  <c r="AY258" i="172" s="1"/>
  <c r="AO227" i="172"/>
  <c r="AR227" i="172" s="1"/>
  <c r="AU227" i="172" s="1"/>
  <c r="AT227" i="172"/>
  <c r="AL227" i="172" a="1"/>
  <c r="AL227" i="172" s="1"/>
  <c r="AP227" i="172" s="1"/>
  <c r="AX226" i="172" s="1"/>
  <c r="AY226" i="172" s="1"/>
  <c r="AO188" i="172"/>
  <c r="AR188" i="172" s="1"/>
  <c r="AT188" i="172"/>
  <c r="AL188" i="172" a="1"/>
  <c r="AL188" i="172" s="1"/>
  <c r="AP188" i="172" s="1"/>
  <c r="AX187" i="172" s="1"/>
  <c r="AY187" i="172" s="1"/>
  <c r="AO172" i="172"/>
  <c r="AR172" i="172" s="1"/>
  <c r="AT172" i="172"/>
  <c r="AL172" i="172" a="1"/>
  <c r="AL172" i="172" s="1"/>
  <c r="AP172" i="172" s="1"/>
  <c r="AX171" i="172" s="1"/>
  <c r="AY171" i="172" s="1"/>
  <c r="AO897" i="172"/>
  <c r="AR897" i="172" s="1"/>
  <c r="AU897" i="172" s="1"/>
  <c r="AT897" i="172"/>
  <c r="AL897" i="172" a="1"/>
  <c r="AL897" i="172" s="1"/>
  <c r="AP897" i="172" s="1"/>
  <c r="AX896" i="172" s="1"/>
  <c r="AY896" i="172" s="1"/>
  <c r="AO881" i="172"/>
  <c r="AR881" i="172" s="1"/>
  <c r="AU881" i="172" s="1"/>
  <c r="AT881" i="172"/>
  <c r="AL881" i="172" a="1"/>
  <c r="AL881" i="172" s="1"/>
  <c r="AP881" i="172" s="1"/>
  <c r="AX880" i="172" s="1"/>
  <c r="AY880" i="172" s="1"/>
  <c r="AT865" i="172"/>
  <c r="AO865" i="172"/>
  <c r="AR865" i="172" s="1"/>
  <c r="AU865" i="172" s="1"/>
  <c r="AL865" i="172" a="1"/>
  <c r="AL865" i="172" s="1"/>
  <c r="AP865" i="172" s="1"/>
  <c r="AX864" i="172" s="1"/>
  <c r="AY864" i="172" s="1"/>
  <c r="AT847" i="172"/>
  <c r="AO847" i="172"/>
  <c r="AR847" i="172" s="1"/>
  <c r="AL847" i="172" a="1"/>
  <c r="AL847" i="172" s="1"/>
  <c r="AP847" i="172" s="1"/>
  <c r="AT830" i="172"/>
  <c r="AO830" i="172"/>
  <c r="AL830" i="172" a="1"/>
  <c r="AL830" i="172" s="1"/>
  <c r="AP830" i="172" s="1"/>
  <c r="AX829" i="172" s="1"/>
  <c r="AY829" i="172" s="1"/>
  <c r="AT814" i="172"/>
  <c r="AO814" i="172"/>
  <c r="AL814" i="172" a="1"/>
  <c r="AL814" i="172" s="1"/>
  <c r="AP814" i="172" s="1"/>
  <c r="AX813" i="172" s="1"/>
  <c r="AY813" i="172" s="1"/>
  <c r="AL795" i="172" a="1"/>
  <c r="AL795" i="172" s="1"/>
  <c r="AP795" i="172" s="1"/>
  <c r="AX794" i="172" s="1"/>
  <c r="AY794" i="172" s="1"/>
  <c r="AT795" i="172"/>
  <c r="AO795" i="172"/>
  <c r="AL779" i="172" a="1"/>
  <c r="AL779" i="172" s="1"/>
  <c r="AP779" i="172" s="1"/>
  <c r="AX778" i="172" s="1"/>
  <c r="AY778" i="172" s="1"/>
  <c r="AT779" i="172"/>
  <c r="AO779" i="172"/>
  <c r="AL763" i="172" a="1"/>
  <c r="AL763" i="172" s="1"/>
  <c r="AP763" i="172" s="1"/>
  <c r="AX762" i="172" s="1"/>
  <c r="AY762" i="172" s="1"/>
  <c r="AT763" i="172"/>
  <c r="AO763" i="172"/>
  <c r="AL747" i="172" a="1"/>
  <c r="AL747" i="172" s="1"/>
  <c r="AP747" i="172" s="1"/>
  <c r="AX746" i="172" s="1"/>
  <c r="AY746" i="172" s="1"/>
  <c r="AO747" i="172"/>
  <c r="AT747" i="172"/>
  <c r="AL732" i="172" a="1"/>
  <c r="AL732" i="172" s="1"/>
  <c r="AP732" i="172" s="1"/>
  <c r="AX731" i="172" s="1"/>
  <c r="AY731" i="172" s="1"/>
  <c r="AT732" i="172"/>
  <c r="AO732" i="172"/>
  <c r="AT716" i="172"/>
  <c r="AO716" i="172"/>
  <c r="AL716" i="172" a="1"/>
  <c r="AL716" i="172" s="1"/>
  <c r="AP716" i="172" s="1"/>
  <c r="AX715" i="172" s="1"/>
  <c r="AY715" i="172" s="1"/>
  <c r="AT700" i="172"/>
  <c r="AO700" i="172"/>
  <c r="AL700" i="172" a="1"/>
  <c r="AL700" i="172" s="1"/>
  <c r="AP700" i="172" s="1"/>
  <c r="AX699" i="172" s="1"/>
  <c r="AY699" i="172" s="1"/>
  <c r="AO690" i="172"/>
  <c r="AT690" i="172"/>
  <c r="AL690" i="172" a="1"/>
  <c r="AL690" i="172" s="1"/>
  <c r="AP690" i="172" s="1"/>
  <c r="AX689" i="172" s="1"/>
  <c r="AY689" i="172" s="1"/>
  <c r="AO682" i="172"/>
  <c r="AT682" i="172"/>
  <c r="AL682" i="172" a="1"/>
  <c r="AL682" i="172" s="1"/>
  <c r="AP682" i="172" s="1"/>
  <c r="AX681" i="172" s="1"/>
  <c r="AY681" i="172" s="1"/>
  <c r="AO674" i="172"/>
  <c r="AT674" i="172"/>
  <c r="AL674" i="172" a="1"/>
  <c r="AL674" i="172" s="1"/>
  <c r="AP674" i="172" s="1"/>
  <c r="AX673" i="172" s="1"/>
  <c r="AY673" i="172" s="1"/>
  <c r="AO666" i="172"/>
  <c r="AT666" i="172"/>
  <c r="AL666" i="172" a="1"/>
  <c r="AL666" i="172" s="1"/>
  <c r="AP666" i="172" s="1"/>
  <c r="AX665" i="172" s="1"/>
  <c r="AY665" i="172" s="1"/>
  <c r="AO658" i="172"/>
  <c r="AT658" i="172"/>
  <c r="AL658" i="172" a="1"/>
  <c r="AL658" i="172" s="1"/>
  <c r="AP658" i="172" s="1"/>
  <c r="AX657" i="172" s="1"/>
  <c r="AY657" i="172" s="1"/>
  <c r="AO650" i="172"/>
  <c r="AT650" i="172"/>
  <c r="AL650" i="172" a="1"/>
  <c r="AL650" i="172" s="1"/>
  <c r="AP650" i="172" s="1"/>
  <c r="AX649" i="172" s="1"/>
  <c r="AY649" i="172" s="1"/>
  <c r="AO642" i="172"/>
  <c r="AT642" i="172"/>
  <c r="AL642" i="172" a="1"/>
  <c r="AL642" i="172" s="1"/>
  <c r="AP642" i="172" s="1"/>
  <c r="AX641" i="172" s="1"/>
  <c r="AY641" i="172" s="1"/>
  <c r="AO634" i="172"/>
  <c r="AT634" i="172"/>
  <c r="AL634" i="172" a="1"/>
  <c r="AL634" i="172" s="1"/>
  <c r="AP634" i="172" s="1"/>
  <c r="AX633" i="172" s="1"/>
  <c r="AY633" i="172" s="1"/>
  <c r="AO626" i="172"/>
  <c r="AT626" i="172"/>
  <c r="AL626" i="172" a="1"/>
  <c r="AL626" i="172" s="1"/>
  <c r="AP626" i="172" s="1"/>
  <c r="AX625" i="172" s="1"/>
  <c r="AY625" i="172" s="1"/>
  <c r="AO618" i="172"/>
  <c r="AT618" i="172"/>
  <c r="AL618" i="172" a="1"/>
  <c r="AL618" i="172" s="1"/>
  <c r="AP618" i="172" s="1"/>
  <c r="AX617" i="172" s="1"/>
  <c r="AY617" i="172" s="1"/>
  <c r="AO610" i="172"/>
  <c r="AT610" i="172"/>
  <c r="AL610" i="172" a="1"/>
  <c r="AL610" i="172" s="1"/>
  <c r="AP610" i="172" s="1"/>
  <c r="AX609" i="172" s="1"/>
  <c r="AY609" i="172" s="1"/>
  <c r="AO599" i="172"/>
  <c r="AT599" i="172"/>
  <c r="AL599" i="172" a="1"/>
  <c r="AL599" i="172" s="1"/>
  <c r="AP599" i="172" s="1"/>
  <c r="AX598" i="172" s="1"/>
  <c r="AY598" i="172" s="1"/>
  <c r="AL580" i="172" a="1"/>
  <c r="AL580" i="172" s="1"/>
  <c r="AP580" i="172" s="1"/>
  <c r="AO580" i="172"/>
  <c r="AT580" i="172"/>
  <c r="AL561" i="172" a="1"/>
  <c r="AL561" i="172" s="1"/>
  <c r="AP561" i="172" s="1"/>
  <c r="AO561" i="172"/>
  <c r="AR561" i="172" s="1"/>
  <c r="AU561" i="172" s="1"/>
  <c r="AT561" i="172"/>
  <c r="AL543" i="172" a="1"/>
  <c r="AL543" i="172" s="1"/>
  <c r="AP543" i="172" s="1"/>
  <c r="AO543" i="172"/>
  <c r="AR543" i="172" s="1"/>
  <c r="AT543" i="172"/>
  <c r="AL507" i="172" a="1"/>
  <c r="AL507" i="172" s="1"/>
  <c r="AP507" i="172" s="1"/>
  <c r="AX506" i="172" s="1"/>
  <c r="AY506" i="172" s="1"/>
  <c r="AO507" i="172"/>
  <c r="AR507" i="172" s="1"/>
  <c r="AT507" i="172"/>
  <c r="AL443" i="172" a="1"/>
  <c r="AL443" i="172" s="1"/>
  <c r="AP443" i="172" s="1"/>
  <c r="AX442" i="172" s="1"/>
  <c r="AY442" i="172" s="1"/>
  <c r="AO443" i="172"/>
  <c r="AR443" i="172" s="1"/>
  <c r="AT443" i="172"/>
  <c r="AT420" i="172"/>
  <c r="AO420" i="172"/>
  <c r="AR420" i="172" s="1"/>
  <c r="AL420" i="172" a="1"/>
  <c r="AL420" i="172" s="1"/>
  <c r="AP420" i="172" s="1"/>
  <c r="AT404" i="172"/>
  <c r="AO404" i="172"/>
  <c r="AR404" i="172" s="1"/>
  <c r="AL404" i="172" a="1"/>
  <c r="AL404" i="172" s="1"/>
  <c r="AP404" i="172" s="1"/>
  <c r="AL346" i="172" a="1"/>
  <c r="AL346" i="172" s="1"/>
  <c r="AP346" i="172" s="1"/>
  <c r="AX345" i="172" s="1"/>
  <c r="AY345" i="172" s="1"/>
  <c r="AO346" i="172"/>
  <c r="AR346" i="172" s="1"/>
  <c r="AT346" i="172"/>
  <c r="AT249" i="172"/>
  <c r="AO249" i="172"/>
  <c r="AR249" i="172" s="1"/>
  <c r="AL249" i="172" a="1"/>
  <c r="AL249" i="172" s="1"/>
  <c r="AP249" i="172" s="1"/>
  <c r="AT218" i="172"/>
  <c r="AO218" i="172"/>
  <c r="AL218" i="172" a="1"/>
  <c r="AL218" i="172" s="1"/>
  <c r="AP218" i="172" s="1"/>
  <c r="AT183" i="172"/>
  <c r="AO183" i="172"/>
  <c r="AR183" i="172" s="1"/>
  <c r="AL183" i="172" a="1"/>
  <c r="AL183" i="172" s="1"/>
  <c r="AP183" i="172" s="1"/>
  <c r="AO930" i="172"/>
  <c r="AR930" i="172" s="1"/>
  <c r="AT930" i="172"/>
  <c r="AL930" i="172" a="1"/>
  <c r="AL930" i="172" s="1"/>
  <c r="AP930" i="172" s="1"/>
  <c r="AO914" i="172"/>
  <c r="AR914" i="172" s="1"/>
  <c r="AU914" i="172" s="1"/>
  <c r="AT914" i="172"/>
  <c r="AL914" i="172" a="1"/>
  <c r="AL914" i="172" s="1"/>
  <c r="AP914" i="172" s="1"/>
  <c r="AX913" i="172" s="1"/>
  <c r="AY913" i="172" s="1"/>
  <c r="AO898" i="172"/>
  <c r="AR898" i="172" s="1"/>
  <c r="AT898" i="172"/>
  <c r="AL898" i="172" a="1"/>
  <c r="AL898" i="172" s="1"/>
  <c r="AP898" i="172" s="1"/>
  <c r="AX897" i="172" s="1"/>
  <c r="AY897" i="172" s="1"/>
  <c r="AO882" i="172"/>
  <c r="AR882" i="172" s="1"/>
  <c r="AT882" i="172"/>
  <c r="AL882" i="172" a="1"/>
  <c r="AL882" i="172" s="1"/>
  <c r="AP882" i="172" s="1"/>
  <c r="AX881" i="172" s="1"/>
  <c r="AY881" i="172" s="1"/>
  <c r="AT866" i="172"/>
  <c r="AO866" i="172"/>
  <c r="AR866" i="172" s="1"/>
  <c r="AL866" i="172" a="1"/>
  <c r="AL866" i="172" s="1"/>
  <c r="AP866" i="172" s="1"/>
  <c r="AX865" i="172" s="1"/>
  <c r="AY865" i="172" s="1"/>
  <c r="AO849" i="172"/>
  <c r="AR849" i="172" s="1"/>
  <c r="AT849" i="172"/>
  <c r="AL849" i="172" a="1"/>
  <c r="AL849" i="172" s="1"/>
  <c r="AP849" i="172" s="1"/>
  <c r="AX848" i="172" s="1"/>
  <c r="AY848" i="172" s="1"/>
  <c r="AT839" i="172"/>
  <c r="AO839" i="172"/>
  <c r="AL839" i="172" a="1"/>
  <c r="AL839" i="172" s="1"/>
  <c r="AP839" i="172" s="1"/>
  <c r="AO824" i="172"/>
  <c r="AT824" i="172"/>
  <c r="AL824" i="172" a="1"/>
  <c r="AL824" i="172" s="1"/>
  <c r="AP824" i="172" s="1"/>
  <c r="AO808" i="172"/>
  <c r="AT808" i="172"/>
  <c r="AL808" i="172" a="1"/>
  <c r="AL808" i="172" s="1"/>
  <c r="AP808" i="172" s="1"/>
  <c r="AL792" i="172" a="1"/>
  <c r="AL792" i="172" s="1"/>
  <c r="AP792" i="172" s="1"/>
  <c r="AT792" i="172"/>
  <c r="AO792" i="172"/>
  <c r="AL776" i="172" a="1"/>
  <c r="AL776" i="172" s="1"/>
  <c r="AP776" i="172" s="1"/>
  <c r="AT776" i="172"/>
  <c r="AO776" i="172"/>
  <c r="AL760" i="172" a="1"/>
  <c r="AL760" i="172" s="1"/>
  <c r="AP760" i="172" s="1"/>
  <c r="AT760" i="172"/>
  <c r="AO760" i="172"/>
  <c r="AL744" i="172" a="1"/>
  <c r="AL744" i="172" s="1"/>
  <c r="AP744" i="172" s="1"/>
  <c r="AO744" i="172"/>
  <c r="AT744" i="172"/>
  <c r="AL730" i="172" a="1"/>
  <c r="AL730" i="172" s="1"/>
  <c r="AP730" i="172" s="1"/>
  <c r="AX729" i="172" s="1"/>
  <c r="AY729" i="172" s="1"/>
  <c r="AO730" i="172"/>
  <c r="AT730" i="172"/>
  <c r="AT714" i="172"/>
  <c r="AO714" i="172"/>
  <c r="AL714" i="172" a="1"/>
  <c r="AL714" i="172" s="1"/>
  <c r="AP714" i="172" s="1"/>
  <c r="AX713" i="172" s="1"/>
  <c r="AY713" i="172" s="1"/>
  <c r="AO698" i="172"/>
  <c r="AT698" i="172"/>
  <c r="AL698" i="172" a="1"/>
  <c r="AL698" i="172" s="1"/>
  <c r="AP698" i="172" s="1"/>
  <c r="AX697" i="172" s="1"/>
  <c r="AY697" i="172" s="1"/>
  <c r="AO593" i="172"/>
  <c r="AT593" i="172"/>
  <c r="AL593" i="172" a="1"/>
  <c r="AL593" i="172" s="1"/>
  <c r="AP593" i="172" s="1"/>
  <c r="AL573" i="172" a="1"/>
  <c r="AL573" i="172" s="1"/>
  <c r="AP573" i="172" s="1"/>
  <c r="AX572" i="172" s="1"/>
  <c r="AY572" i="172" s="1"/>
  <c r="AO573" i="172"/>
  <c r="AR573" i="172" s="1"/>
  <c r="AT573" i="172"/>
  <c r="AL555" i="172" a="1"/>
  <c r="AL555" i="172" s="1"/>
  <c r="AP555" i="172" s="1"/>
  <c r="AX554" i="172" s="1"/>
  <c r="AY554" i="172" s="1"/>
  <c r="AO555" i="172"/>
  <c r="AT555" i="172"/>
  <c r="AL525" i="172" a="1"/>
  <c r="AL525" i="172" s="1"/>
  <c r="AP525" i="172" s="1"/>
  <c r="AT525" i="172"/>
  <c r="AO525" i="172"/>
  <c r="AR525" i="172" s="1"/>
  <c r="AU525" i="172" s="1"/>
  <c r="AL463" i="172" a="1"/>
  <c r="AL463" i="172" s="1"/>
  <c r="AP463" i="172" s="1"/>
  <c r="AO463" i="172"/>
  <c r="AT463" i="172"/>
  <c r="AT423" i="172"/>
  <c r="AO423" i="172"/>
  <c r="AL423" i="172" a="1"/>
  <c r="AL423" i="172" s="1"/>
  <c r="AP423" i="172" s="1"/>
  <c r="AX422" i="172" s="1"/>
  <c r="AY422" i="172" s="1"/>
  <c r="AT407" i="172"/>
  <c r="AO407" i="172"/>
  <c r="AL407" i="172" a="1"/>
  <c r="AL407" i="172" s="1"/>
  <c r="AP407" i="172" s="1"/>
  <c r="AX406" i="172" s="1"/>
  <c r="AY406" i="172" s="1"/>
  <c r="AT366" i="172"/>
  <c r="AO366" i="172"/>
  <c r="AR366" i="172" s="1"/>
  <c r="AL366" i="172" a="1"/>
  <c r="AL366" i="172" s="1"/>
  <c r="AP366" i="172" s="1"/>
  <c r="AX365" i="172" s="1"/>
  <c r="AY365" i="172" s="1"/>
  <c r="AO263" i="172"/>
  <c r="AR263" i="172" s="1"/>
  <c r="AU263" i="172" s="1"/>
  <c r="AT263" i="172"/>
  <c r="AL263" i="172" a="1"/>
  <c r="AL263" i="172" s="1"/>
  <c r="AP263" i="172" s="1"/>
  <c r="AT231" i="172"/>
  <c r="AO231" i="172"/>
  <c r="AR231" i="172" s="1"/>
  <c r="AL231" i="172" a="1"/>
  <c r="AL231" i="172" s="1"/>
  <c r="AP231" i="172" s="1"/>
  <c r="AT186" i="172"/>
  <c r="AO186" i="172"/>
  <c r="AL186" i="172" a="1"/>
  <c r="AL186" i="172" s="1"/>
  <c r="AP186" i="172" s="1"/>
  <c r="AX185" i="172" s="1"/>
  <c r="AY185" i="172" s="1"/>
  <c r="AT170" i="172"/>
  <c r="AO170" i="172"/>
  <c r="AL170" i="172" a="1"/>
  <c r="AL170" i="172" s="1"/>
  <c r="AP170" i="172" s="1"/>
  <c r="AO166" i="172"/>
  <c r="AT166" i="172"/>
  <c r="AL166" i="172" a="1"/>
  <c r="AL166" i="172" s="1"/>
  <c r="AP166" i="172" s="1"/>
  <c r="AT162" i="172"/>
  <c r="AO162" i="172"/>
  <c r="AL162" i="172" a="1"/>
  <c r="AL162" i="172" s="1"/>
  <c r="AP162" i="172" s="1"/>
  <c r="AT150" i="172"/>
  <c r="AO150" i="172"/>
  <c r="AR150" i="172" s="1"/>
  <c r="AL150" i="172" a="1"/>
  <c r="AL150" i="172" s="1"/>
  <c r="AP150" i="172" s="1"/>
  <c r="AT139" i="172"/>
  <c r="AO139" i="172"/>
  <c r="AR139" i="172" s="1"/>
  <c r="AU139" i="172" s="1"/>
  <c r="AL139" i="172" a="1"/>
  <c r="AL139" i="172" s="1"/>
  <c r="AP139" i="172" s="1"/>
  <c r="AX138" i="172" s="1"/>
  <c r="AY138" i="172" s="1"/>
  <c r="AO131" i="172"/>
  <c r="AT131" i="172"/>
  <c r="AL131" i="172" a="1"/>
  <c r="AL131" i="172" s="1"/>
  <c r="AP131" i="172" s="1"/>
  <c r="AX130" i="172" s="1"/>
  <c r="AY130" i="172" s="1"/>
  <c r="AO123" i="172"/>
  <c r="AR123" i="172" s="1"/>
  <c r="AT123" i="172"/>
  <c r="AL123" i="172" a="1"/>
  <c r="AL123" i="172" s="1"/>
  <c r="AP123" i="172" s="1"/>
  <c r="AX122" i="172" s="1"/>
  <c r="AY122" i="172" s="1"/>
  <c r="AT115" i="172"/>
  <c r="AO115" i="172"/>
  <c r="AL115" i="172" a="1"/>
  <c r="AL115" i="172" s="1"/>
  <c r="AP115" i="172" s="1"/>
  <c r="AX114" i="172" s="1"/>
  <c r="AY114" i="172" s="1"/>
  <c r="AO107" i="172"/>
  <c r="AR107" i="172" s="1"/>
  <c r="AT107" i="172"/>
  <c r="AL107" i="172" a="1"/>
  <c r="AL107" i="172" s="1"/>
  <c r="AP107" i="172" s="1"/>
  <c r="AX106" i="172" s="1"/>
  <c r="AY106" i="172" s="1"/>
  <c r="AT99" i="172"/>
  <c r="AO99" i="172"/>
  <c r="AL99" i="172" a="1"/>
  <c r="AL99" i="172" s="1"/>
  <c r="AP99" i="172" s="1"/>
  <c r="AX98" i="172" s="1"/>
  <c r="AY98" i="172" s="1"/>
  <c r="AT91" i="172"/>
  <c r="AO91" i="172"/>
  <c r="AR91" i="172" s="1"/>
  <c r="AL91" i="172" a="1"/>
  <c r="AL91" i="172" s="1"/>
  <c r="AP91" i="172" s="1"/>
  <c r="AX90" i="172" s="1"/>
  <c r="AY90" i="172" s="1"/>
  <c r="AT83" i="172"/>
  <c r="AO83" i="172"/>
  <c r="AL83" i="172" a="1"/>
  <c r="AL83" i="172" s="1"/>
  <c r="AP83" i="172" s="1"/>
  <c r="AX82" i="172" s="1"/>
  <c r="AY82" i="172" s="1"/>
  <c r="AO67" i="172"/>
  <c r="AR67" i="172" s="1"/>
  <c r="AT67" i="172"/>
  <c r="AL67" i="172" a="1"/>
  <c r="AL67" i="172" s="1"/>
  <c r="AP67" i="172" s="1"/>
  <c r="AX66" i="172" s="1"/>
  <c r="AY66" i="172" s="1"/>
  <c r="AT32" i="172"/>
  <c r="AO32" i="172"/>
  <c r="AL32" i="172" a="1"/>
  <c r="AL32" i="172" s="1"/>
  <c r="AP32" i="172" s="1"/>
  <c r="AT540" i="172"/>
  <c r="AO540" i="172"/>
  <c r="AR540" i="172" s="1"/>
  <c r="AL540" i="172" a="1"/>
  <c r="AL540" i="172" s="1"/>
  <c r="AP540" i="172" s="1"/>
  <c r="AT524" i="172"/>
  <c r="AO524" i="172"/>
  <c r="AR524" i="172" s="1"/>
  <c r="AU524" i="172" s="1"/>
  <c r="AL524" i="172" a="1"/>
  <c r="AL524" i="172" s="1"/>
  <c r="AP524" i="172" s="1"/>
  <c r="AX523" i="172" s="1"/>
  <c r="AY523" i="172" s="1"/>
  <c r="AT508" i="172"/>
  <c r="AO508" i="172"/>
  <c r="AL508" i="172" a="1"/>
  <c r="AL508" i="172" s="1"/>
  <c r="AP508" i="172" s="1"/>
  <c r="AX507" i="172" s="1"/>
  <c r="AY507" i="172" s="1"/>
  <c r="AT492" i="172"/>
  <c r="AO492" i="172"/>
  <c r="AL492" i="172" a="1"/>
  <c r="AL492" i="172" s="1"/>
  <c r="AP492" i="172" s="1"/>
  <c r="AT476" i="172"/>
  <c r="AO476" i="172"/>
  <c r="AL476" i="172" a="1"/>
  <c r="AL476" i="172" s="1"/>
  <c r="AP476" i="172" s="1"/>
  <c r="AX475" i="172" s="1"/>
  <c r="AY475" i="172" s="1"/>
  <c r="AL460" i="172" a="1"/>
  <c r="AL460" i="172" s="1"/>
  <c r="AP460" i="172" s="1"/>
  <c r="AX459" i="172" s="1"/>
  <c r="AY459" i="172" s="1"/>
  <c r="AO460" i="172"/>
  <c r="AT460" i="172"/>
  <c r="AL444" i="172" a="1"/>
  <c r="AL444" i="172" s="1"/>
  <c r="AP444" i="172" s="1"/>
  <c r="AO444" i="172"/>
  <c r="AT444" i="172"/>
  <c r="AL399" i="172" a="1"/>
  <c r="AL399" i="172" s="1"/>
  <c r="AP399" i="172" s="1"/>
  <c r="AX398" i="172" s="1"/>
  <c r="AY398" i="172" s="1"/>
  <c r="AO399" i="172"/>
  <c r="AR399" i="172" s="1"/>
  <c r="AT399" i="172"/>
  <c r="AL383" i="172" a="1"/>
  <c r="AL383" i="172" s="1"/>
  <c r="AP383" i="172" s="1"/>
  <c r="AX382" i="172" s="1"/>
  <c r="AY382" i="172" s="1"/>
  <c r="AO383" i="172"/>
  <c r="AR383" i="172" s="1"/>
  <c r="AT383" i="172"/>
  <c r="AL367" i="172" a="1"/>
  <c r="AL367" i="172" s="1"/>
  <c r="AP367" i="172" s="1"/>
  <c r="AT367" i="172"/>
  <c r="AO367" i="172"/>
  <c r="AR367" i="172" s="1"/>
  <c r="AL351" i="172" a="1"/>
  <c r="AL351" i="172" s="1"/>
  <c r="AP351" i="172" s="1"/>
  <c r="AT351" i="172"/>
  <c r="AO351" i="172"/>
  <c r="AR351" i="172" s="1"/>
  <c r="AT337" i="172"/>
  <c r="AO337" i="172"/>
  <c r="AR337" i="172" s="1"/>
  <c r="AL337" i="172" a="1"/>
  <c r="AL337" i="172" s="1"/>
  <c r="AP337" i="172" s="1"/>
  <c r="AT329" i="172"/>
  <c r="AO329" i="172"/>
  <c r="AR329" i="172" s="1"/>
  <c r="AL329" i="172" a="1"/>
  <c r="AL329" i="172" s="1"/>
  <c r="AP329" i="172" s="1"/>
  <c r="AT321" i="172"/>
  <c r="AO321" i="172"/>
  <c r="AR321" i="172" s="1"/>
  <c r="AL321" i="172" a="1"/>
  <c r="AL321" i="172" s="1"/>
  <c r="AP321" i="172" s="1"/>
  <c r="AT313" i="172"/>
  <c r="AO313" i="172"/>
  <c r="AR313" i="172" s="1"/>
  <c r="AL313" i="172" a="1"/>
  <c r="AL313" i="172" s="1"/>
  <c r="AP313" i="172" s="1"/>
  <c r="AT305" i="172"/>
  <c r="AO305" i="172"/>
  <c r="AR305" i="172" s="1"/>
  <c r="AL305" i="172" a="1"/>
  <c r="AL305" i="172" s="1"/>
  <c r="AP305" i="172" s="1"/>
  <c r="AT297" i="172"/>
  <c r="AO297" i="172"/>
  <c r="AR297" i="172" s="1"/>
  <c r="AL297" i="172" a="1"/>
  <c r="AL297" i="172" s="1"/>
  <c r="AP297" i="172" s="1"/>
  <c r="AT289" i="172"/>
  <c r="AO289" i="172"/>
  <c r="AR289" i="172" s="1"/>
  <c r="AL289" i="172" a="1"/>
  <c r="AL289" i="172" s="1"/>
  <c r="AP289" i="172" s="1"/>
  <c r="AT278" i="172"/>
  <c r="AO278" i="172"/>
  <c r="AR278" i="172" s="1"/>
  <c r="AU278" i="172" s="1"/>
  <c r="AL278" i="172" a="1"/>
  <c r="AL278" i="172" s="1"/>
  <c r="AP278" i="172" s="1"/>
  <c r="AT221" i="172"/>
  <c r="AO221" i="172"/>
  <c r="AR221" i="172" s="1"/>
  <c r="AL221" i="172" a="1"/>
  <c r="AL221" i="172" s="1"/>
  <c r="AP221" i="172" s="1"/>
  <c r="AT195" i="172"/>
  <c r="AO195" i="172"/>
  <c r="AR195" i="172" s="1"/>
  <c r="AL195" i="172" a="1"/>
  <c r="AL195" i="172" s="1"/>
  <c r="AP195" i="172" s="1"/>
  <c r="AT154" i="172"/>
  <c r="AO154" i="172"/>
  <c r="AR154" i="172" s="1"/>
  <c r="AU154" i="172" s="1"/>
  <c r="AL154" i="172" a="1"/>
  <c r="AL154" i="172" s="1"/>
  <c r="AP154" i="172" s="1"/>
  <c r="AX153" i="172" s="1"/>
  <c r="AY153" i="172" s="1"/>
  <c r="AT73" i="172"/>
  <c r="AO73" i="172"/>
  <c r="AL73" i="172" a="1"/>
  <c r="AL73" i="172" s="1"/>
  <c r="AP73" i="172" s="1"/>
  <c r="AX72" i="172" s="1"/>
  <c r="AY72" i="172" s="1"/>
  <c r="AO36" i="172"/>
  <c r="AR36" i="172" s="1"/>
  <c r="AT36" i="172"/>
  <c r="AL36" i="172" a="1"/>
  <c r="AL36" i="172" s="1"/>
  <c r="AP36" i="172" s="1"/>
  <c r="AL517" i="172" a="1"/>
  <c r="AL517" i="172" s="1"/>
  <c r="AP517" i="172" s="1"/>
  <c r="AX516" i="172" s="1"/>
  <c r="AY516" i="172" s="1"/>
  <c r="AT517" i="172"/>
  <c r="AO517" i="172"/>
  <c r="AR517" i="172" s="1"/>
  <c r="AL501" i="172" a="1"/>
  <c r="AL501" i="172" s="1"/>
  <c r="AP501" i="172" s="1"/>
  <c r="AX500" i="172" s="1"/>
  <c r="AY500" i="172" s="1"/>
  <c r="AT501" i="172"/>
  <c r="AO501" i="172"/>
  <c r="AR501" i="172" s="1"/>
  <c r="AL485" i="172" a="1"/>
  <c r="AL485" i="172" s="1"/>
  <c r="AP485" i="172" s="1"/>
  <c r="AX484" i="172" s="1"/>
  <c r="AY484" i="172" s="1"/>
  <c r="AT485" i="172"/>
  <c r="AO485" i="172"/>
  <c r="AR485" i="172" s="1"/>
  <c r="AU485" i="172" s="1"/>
  <c r="AL469" i="172" a="1"/>
  <c r="AL469" i="172" s="1"/>
  <c r="AP469" i="172" s="1"/>
  <c r="AX468" i="172" s="1"/>
  <c r="AY468" i="172" s="1"/>
  <c r="AT469" i="172"/>
  <c r="AO469" i="172"/>
  <c r="AR469" i="172" s="1"/>
  <c r="AU469" i="172" s="1"/>
  <c r="AL453" i="172" a="1"/>
  <c r="AL453" i="172" s="1"/>
  <c r="AP453" i="172" s="1"/>
  <c r="AX452" i="172" s="1"/>
  <c r="AY452" i="172" s="1"/>
  <c r="AT453" i="172"/>
  <c r="AO453" i="172"/>
  <c r="AR453" i="172" s="1"/>
  <c r="AL437" i="172" a="1"/>
  <c r="AL437" i="172" s="1"/>
  <c r="AP437" i="172" s="1"/>
  <c r="AX436" i="172" s="1"/>
  <c r="AY436" i="172" s="1"/>
  <c r="AT437" i="172"/>
  <c r="AO437" i="172"/>
  <c r="AR437" i="172" s="1"/>
  <c r="AT392" i="172"/>
  <c r="AO392" i="172"/>
  <c r="AR392" i="172" s="1"/>
  <c r="AL392" i="172" a="1"/>
  <c r="AL392" i="172" s="1"/>
  <c r="AP392" i="172" s="1"/>
  <c r="AX391" i="172" s="1"/>
  <c r="AY391" i="172" s="1"/>
  <c r="AT376" i="172"/>
  <c r="AO376" i="172"/>
  <c r="AR376" i="172" s="1"/>
  <c r="AL376" i="172" a="1"/>
  <c r="AL376" i="172" s="1"/>
  <c r="AP376" i="172" s="1"/>
  <c r="AX375" i="172" s="1"/>
  <c r="AY375" i="172" s="1"/>
  <c r="AT360" i="172"/>
  <c r="AO360" i="172"/>
  <c r="AR360" i="172" s="1"/>
  <c r="AL360" i="172" a="1"/>
  <c r="AL360" i="172" s="1"/>
  <c r="AP360" i="172" s="1"/>
  <c r="AX359" i="172" s="1"/>
  <c r="AY359" i="172" s="1"/>
  <c r="AL344" i="172" a="1"/>
  <c r="AL344" i="172" s="1"/>
  <c r="AP344" i="172" s="1"/>
  <c r="AX343" i="172" s="1"/>
  <c r="AY343" i="172" s="1"/>
  <c r="AT344" i="172"/>
  <c r="AO344" i="172"/>
  <c r="AR344" i="172" s="1"/>
  <c r="AT276" i="172"/>
  <c r="AO276" i="172"/>
  <c r="AR276" i="172" s="1"/>
  <c r="AL276" i="172" a="1"/>
  <c r="AL276" i="172" s="1"/>
  <c r="AP276" i="172" s="1"/>
  <c r="AX275" i="172" s="1"/>
  <c r="AY275" i="172" s="1"/>
  <c r="AT264" i="172"/>
  <c r="AO264" i="172"/>
  <c r="AR264" i="172" s="1"/>
  <c r="AL264" i="172" a="1"/>
  <c r="AL264" i="172" s="1"/>
  <c r="AP264" i="172" s="1"/>
  <c r="AX263" i="172" s="1"/>
  <c r="AY263" i="172" s="1"/>
  <c r="AT256" i="172"/>
  <c r="AO256" i="172"/>
  <c r="AR256" i="172" s="1"/>
  <c r="AL256" i="172" a="1"/>
  <c r="AL256" i="172" s="1"/>
  <c r="AP256" i="172" s="1"/>
  <c r="AT248" i="172"/>
  <c r="AO248" i="172"/>
  <c r="AR248" i="172" s="1"/>
  <c r="AL248" i="172" a="1"/>
  <c r="AL248" i="172" s="1"/>
  <c r="AP248" i="172" s="1"/>
  <c r="AX247" i="172" s="1"/>
  <c r="AY247" i="172" s="1"/>
  <c r="AT240" i="172"/>
  <c r="AO240" i="172"/>
  <c r="AR240" i="172" s="1"/>
  <c r="AL240" i="172" a="1"/>
  <c r="AL240" i="172" s="1"/>
  <c r="AP240" i="172" s="1"/>
  <c r="AX239" i="172" s="1"/>
  <c r="AY239" i="172" s="1"/>
  <c r="AT232" i="172"/>
  <c r="AO232" i="172"/>
  <c r="AR232" i="172" s="1"/>
  <c r="AL232" i="172" a="1"/>
  <c r="AL232" i="172" s="1"/>
  <c r="AP232" i="172" s="1"/>
  <c r="AX231" i="172" s="1"/>
  <c r="AY231" i="172" s="1"/>
  <c r="AT219" i="172"/>
  <c r="AO219" i="172"/>
  <c r="AR219" i="172" s="1"/>
  <c r="AL219" i="172" a="1"/>
  <c r="AL219" i="172" s="1"/>
  <c r="AP219" i="172" s="1"/>
  <c r="AX218" i="172" s="1"/>
  <c r="AY218" i="172" s="1"/>
  <c r="AT205" i="172"/>
  <c r="AO205" i="172"/>
  <c r="AR205" i="172" s="1"/>
  <c r="AL205" i="172" a="1"/>
  <c r="AL205" i="172" s="1"/>
  <c r="AP205" i="172" s="1"/>
  <c r="AX204" i="172" s="1"/>
  <c r="AY204" i="172" s="1"/>
  <c r="AT193" i="172"/>
  <c r="AO193" i="172"/>
  <c r="AR193" i="172" s="1"/>
  <c r="AL193" i="172" a="1"/>
  <c r="AL193" i="172" s="1"/>
  <c r="AP193" i="172" s="1"/>
  <c r="AX192" i="172" s="1"/>
  <c r="AY192" i="172" s="1"/>
  <c r="AO147" i="172"/>
  <c r="AR147" i="172" s="1"/>
  <c r="AT147" i="172"/>
  <c r="AL147" i="172" a="1"/>
  <c r="AL147" i="172" s="1"/>
  <c r="AP147" i="172" s="1"/>
  <c r="AX146" i="172" s="1"/>
  <c r="AY146" i="172" s="1"/>
  <c r="AO137" i="172"/>
  <c r="AR137" i="172" s="1"/>
  <c r="AT137" i="172"/>
  <c r="AL137" i="172" a="1"/>
  <c r="AL137" i="172" s="1"/>
  <c r="AP137" i="172" s="1"/>
  <c r="AO129" i="172"/>
  <c r="AR129" i="172" s="1"/>
  <c r="AT129" i="172"/>
  <c r="AL129" i="172" a="1"/>
  <c r="AL129" i="172" s="1"/>
  <c r="AP129" i="172" s="1"/>
  <c r="AO121" i="172"/>
  <c r="AR121" i="172" s="1"/>
  <c r="AT121" i="172"/>
  <c r="AL121" i="172" a="1"/>
  <c r="AL121" i="172" s="1"/>
  <c r="AP121" i="172" s="1"/>
  <c r="AT113" i="172"/>
  <c r="AO113" i="172"/>
  <c r="AR113" i="172" s="1"/>
  <c r="AL113" i="172" a="1"/>
  <c r="AL113" i="172" s="1"/>
  <c r="AP113" i="172" s="1"/>
  <c r="AO105" i="172"/>
  <c r="AR105" i="172" s="1"/>
  <c r="AT105" i="172"/>
  <c r="AL105" i="172" a="1"/>
  <c r="AL105" i="172" s="1"/>
  <c r="AP105" i="172" s="1"/>
  <c r="AT97" i="172"/>
  <c r="AO97" i="172"/>
  <c r="AR97" i="172" s="1"/>
  <c r="AL97" i="172" a="1"/>
  <c r="AL97" i="172" s="1"/>
  <c r="AP97" i="172" s="1"/>
  <c r="AT89" i="172"/>
  <c r="AO89" i="172"/>
  <c r="AR89" i="172" s="1"/>
  <c r="AL89" i="172" a="1"/>
  <c r="AL89" i="172" s="1"/>
  <c r="AP89" i="172" s="1"/>
  <c r="AT81" i="172"/>
  <c r="AO81" i="172"/>
  <c r="AR81" i="172" s="1"/>
  <c r="AL81" i="172" a="1"/>
  <c r="AL81" i="172" s="1"/>
  <c r="AP81" i="172" s="1"/>
  <c r="AT74" i="172"/>
  <c r="AO74" i="172"/>
  <c r="AR74" i="172" s="1"/>
  <c r="AL74" i="172" a="1"/>
  <c r="AL74" i="172" s="1"/>
  <c r="AP74" i="172" s="1"/>
  <c r="AT35" i="172"/>
  <c r="AO35" i="172"/>
  <c r="AR35" i="172" s="1"/>
  <c r="AL35" i="172" a="1"/>
  <c r="AL35" i="172" s="1"/>
  <c r="AP35" i="172" s="1"/>
  <c r="AX34" i="172" s="1"/>
  <c r="AY34" i="172" s="1"/>
  <c r="AL578" i="172" a="1"/>
  <c r="AL578" i="172" s="1"/>
  <c r="AP578" i="172" s="1"/>
  <c r="AO578" i="172"/>
  <c r="AT578" i="172"/>
  <c r="AL562" i="172" a="1"/>
  <c r="AL562" i="172" s="1"/>
  <c r="AP562" i="172" s="1"/>
  <c r="AX561" i="172" s="1"/>
  <c r="AY561" i="172" s="1"/>
  <c r="AT562" i="172"/>
  <c r="AO562" i="172"/>
  <c r="AR562" i="172" s="1"/>
  <c r="AT546" i="172"/>
  <c r="AO546" i="172"/>
  <c r="AR546" i="172" s="1"/>
  <c r="AL546" i="172" a="1"/>
  <c r="AL546" i="172" s="1"/>
  <c r="AP546" i="172" s="1"/>
  <c r="AX545" i="172" s="1"/>
  <c r="AY545" i="172" s="1"/>
  <c r="AT530" i="172"/>
  <c r="AO530" i="172"/>
  <c r="AL530" i="172" a="1"/>
  <c r="AL530" i="172" s="1"/>
  <c r="AP530" i="172" s="1"/>
  <c r="AO514" i="172"/>
  <c r="AT514" i="172"/>
  <c r="AL514" i="172" a="1"/>
  <c r="AL514" i="172" s="1"/>
  <c r="AP514" i="172" s="1"/>
  <c r="AO498" i="172"/>
  <c r="AR498" i="172" s="1"/>
  <c r="AT498" i="172"/>
  <c r="AL498" i="172" a="1"/>
  <c r="AL498" i="172" s="1"/>
  <c r="AP498" i="172" s="1"/>
  <c r="AO482" i="172"/>
  <c r="AR482" i="172" s="1"/>
  <c r="AU482" i="172" s="1"/>
  <c r="AT482" i="172"/>
  <c r="AL482" i="172" a="1"/>
  <c r="AL482" i="172" s="1"/>
  <c r="AP482" i="172" s="1"/>
  <c r="AT466" i="172"/>
  <c r="AO466" i="172"/>
  <c r="AR466" i="172" s="1"/>
  <c r="AU466" i="172" s="1"/>
  <c r="AL466" i="172" a="1"/>
  <c r="AL466" i="172" s="1"/>
  <c r="AP466" i="172" s="1"/>
  <c r="AL450" i="172" a="1"/>
  <c r="AL450" i="172" s="1"/>
  <c r="AP450" i="172" s="1"/>
  <c r="AT450" i="172"/>
  <c r="AO450" i="172"/>
  <c r="AT435" i="172"/>
  <c r="AO435" i="172"/>
  <c r="AR435" i="172" s="1"/>
  <c r="AL435" i="172" a="1"/>
  <c r="AL435" i="172" s="1"/>
  <c r="AP435" i="172" s="1"/>
  <c r="AL389" i="172" a="1"/>
  <c r="AL389" i="172" s="1"/>
  <c r="AP389" i="172" s="1"/>
  <c r="AT389" i="172"/>
  <c r="AO389" i="172"/>
  <c r="AR389" i="172" s="1"/>
  <c r="AL373" i="172" a="1"/>
  <c r="AL373" i="172" s="1"/>
  <c r="AP373" i="172" s="1"/>
  <c r="AO373" i="172"/>
  <c r="AR373" i="172" s="1"/>
  <c r="AU373" i="172" s="1"/>
  <c r="AT373" i="172"/>
  <c r="AL357" i="172" a="1"/>
  <c r="AL357" i="172" s="1"/>
  <c r="AP357" i="172" s="1"/>
  <c r="AT357" i="172"/>
  <c r="AO357" i="172"/>
  <c r="AR357" i="172" s="1"/>
  <c r="AL341" i="172" a="1"/>
  <c r="AL341" i="172" s="1"/>
  <c r="AP341" i="172" s="1"/>
  <c r="AX340" i="172" s="1"/>
  <c r="AY340" i="172" s="1"/>
  <c r="AT341" i="172"/>
  <c r="AO341" i="172"/>
  <c r="AT330" i="172"/>
  <c r="AO330" i="172"/>
  <c r="AR330" i="172" s="1"/>
  <c r="AL330" i="172" a="1"/>
  <c r="AL330" i="172" s="1"/>
  <c r="AP330" i="172" s="1"/>
  <c r="AX329" i="172" s="1"/>
  <c r="AY329" i="172" s="1"/>
  <c r="AT322" i="172"/>
  <c r="AO322" i="172"/>
  <c r="AL322" i="172" a="1"/>
  <c r="AL322" i="172" s="1"/>
  <c r="AP322" i="172" s="1"/>
  <c r="AX321" i="172" s="1"/>
  <c r="AY321" i="172" s="1"/>
  <c r="AT314" i="172"/>
  <c r="AO314" i="172"/>
  <c r="AR314" i="172" s="1"/>
  <c r="AL314" i="172" a="1"/>
  <c r="AL314" i="172" s="1"/>
  <c r="AP314" i="172" s="1"/>
  <c r="AX313" i="172" s="1"/>
  <c r="AY313" i="172" s="1"/>
  <c r="AT306" i="172"/>
  <c r="AO306" i="172"/>
  <c r="AR306" i="172" s="1"/>
  <c r="AL306" i="172" a="1"/>
  <c r="AL306" i="172" s="1"/>
  <c r="AP306" i="172" s="1"/>
  <c r="AX305" i="172" s="1"/>
  <c r="AY305" i="172" s="1"/>
  <c r="AT298" i="172"/>
  <c r="AO298" i="172"/>
  <c r="AR298" i="172" s="1"/>
  <c r="AL298" i="172" a="1"/>
  <c r="AL298" i="172" s="1"/>
  <c r="AP298" i="172" s="1"/>
  <c r="AX297" i="172" s="1"/>
  <c r="AY297" i="172" s="1"/>
  <c r="AT290" i="172"/>
  <c r="AO290" i="172"/>
  <c r="AL290" i="172" a="1"/>
  <c r="AL290" i="172" s="1"/>
  <c r="AP290" i="172" s="1"/>
  <c r="AX289" i="172" s="1"/>
  <c r="AY289" i="172" s="1"/>
  <c r="AT277" i="172"/>
  <c r="AO277" i="172"/>
  <c r="AR277" i="172" s="1"/>
  <c r="AL277" i="172" a="1"/>
  <c r="AL277" i="172" s="1"/>
  <c r="AP277" i="172" s="1"/>
  <c r="AX276" i="172" s="1"/>
  <c r="AY276" i="172" s="1"/>
  <c r="AO222" i="172"/>
  <c r="AR222" i="172" s="1"/>
  <c r="AT222" i="172"/>
  <c r="AL222" i="172" a="1"/>
  <c r="AL222" i="172" s="1"/>
  <c r="AP222" i="172" s="1"/>
  <c r="AX221" i="172" s="1"/>
  <c r="AY221" i="172" s="1"/>
  <c r="AO207" i="172"/>
  <c r="AT207" i="172"/>
  <c r="AL207" i="172" a="1"/>
  <c r="AL207" i="172" s="1"/>
  <c r="AP207" i="172" s="1"/>
  <c r="AX206" i="172" s="1"/>
  <c r="AY206" i="172" s="1"/>
  <c r="AO157" i="172"/>
  <c r="AR157" i="172" s="1"/>
  <c r="AT157" i="172"/>
  <c r="AL157" i="172" a="1"/>
  <c r="AL157" i="172" s="1"/>
  <c r="AP157" i="172" s="1"/>
  <c r="AL76" i="172" a="1"/>
  <c r="AL76" i="172" s="1"/>
  <c r="AP76" i="172" s="1"/>
  <c r="AX75" i="172" s="1"/>
  <c r="AY75" i="172" s="1"/>
  <c r="AT76" i="172"/>
  <c r="AO76" i="172"/>
  <c r="AR76" i="172" s="1"/>
  <c r="AT62" i="172"/>
  <c r="AO62" i="172"/>
  <c r="AL62" i="172" a="1"/>
  <c r="AL62" i="172" s="1"/>
  <c r="AP62" i="172" s="1"/>
  <c r="AX61" i="172" s="1"/>
  <c r="AY61" i="172" s="1"/>
  <c r="AT23" i="172"/>
  <c r="AO23" i="172"/>
  <c r="AR23" i="172" s="1"/>
  <c r="AL23" i="172" a="1"/>
  <c r="AL23" i="172" s="1"/>
  <c r="AP23" i="172" s="1"/>
  <c r="AO48" i="172"/>
  <c r="AR48" i="172" s="1"/>
  <c r="AT48" i="172"/>
  <c r="AL48" i="172" a="1"/>
  <c r="AL48" i="172" s="1"/>
  <c r="AP48" i="172" s="1"/>
  <c r="AX47" i="172" s="1"/>
  <c r="AY47" i="172" s="1"/>
  <c r="AT60" i="172"/>
  <c r="AO60" i="172"/>
  <c r="AR60" i="172" s="1"/>
  <c r="AL60" i="172" a="1"/>
  <c r="AL60" i="172" s="1"/>
  <c r="AP60" i="172" s="1"/>
  <c r="AO49" i="172"/>
  <c r="AR49" i="172" s="1"/>
  <c r="AU49" i="172" s="1"/>
  <c r="AT49" i="172"/>
  <c r="AL49" i="172" a="1"/>
  <c r="AL49" i="172" s="1"/>
  <c r="AP49" i="172" s="1"/>
  <c r="AX48" i="172" s="1"/>
  <c r="AY48" i="172" s="1"/>
  <c r="AO41" i="172"/>
  <c r="AR41" i="172" s="1"/>
  <c r="AT41" i="172"/>
  <c r="AL41" i="172" a="1"/>
  <c r="AL41" i="172" s="1"/>
  <c r="AP41" i="172" s="1"/>
  <c r="AX40" i="172" s="1"/>
  <c r="AY40" i="172" s="1"/>
  <c r="AT33" i="172"/>
  <c r="AO33" i="172"/>
  <c r="AR33" i="172" s="1"/>
  <c r="AL33" i="172" a="1"/>
  <c r="AL33" i="172" s="1"/>
  <c r="AP33" i="172" s="1"/>
  <c r="AO25" i="172"/>
  <c r="AR25" i="172" s="1"/>
  <c r="AT25" i="172"/>
  <c r="AL25" i="172" a="1"/>
  <c r="AL25" i="172" s="1"/>
  <c r="AP25" i="172" s="1"/>
  <c r="AT17" i="172"/>
  <c r="AO17" i="172"/>
  <c r="AR17" i="172" s="1"/>
  <c r="AL17" i="172" a="1"/>
  <c r="AL17" i="172" s="1"/>
  <c r="AP17" i="172" s="1"/>
  <c r="AX16" i="172" s="1"/>
  <c r="AY16" i="172" s="1"/>
  <c r="AO9" i="172"/>
  <c r="AR9" i="172" s="1"/>
  <c r="AT9" i="172"/>
  <c r="AL9" i="172" a="1"/>
  <c r="AL9" i="172" s="1"/>
  <c r="AP9" i="172" s="1"/>
  <c r="AX8" i="172" s="1"/>
  <c r="AY8" i="172" s="1"/>
  <c r="AO58" i="172"/>
  <c r="AT58" i="172"/>
  <c r="AL58" i="172" a="1"/>
  <c r="AL58" i="172" s="1"/>
  <c r="AP58" i="172" s="1"/>
  <c r="AX57" i="172" s="1"/>
  <c r="AY57" i="172" s="1"/>
  <c r="AD12" i="172"/>
  <c r="AA12" i="172"/>
  <c r="AB12" i="172" s="1"/>
  <c r="AE12" i="172" s="1"/>
  <c r="Z9" i="172"/>
  <c r="AC9" i="172"/>
  <c r="AA996" i="172"/>
  <c r="AD996" i="172"/>
  <c r="AD988" i="172"/>
  <c r="AA988" i="172"/>
  <c r="AA980" i="172"/>
  <c r="AD980" i="172"/>
  <c r="AD972" i="172"/>
  <c r="AA972" i="172"/>
  <c r="AD964" i="172"/>
  <c r="AA964" i="172"/>
  <c r="AD956" i="172"/>
  <c r="AA956" i="172"/>
  <c r="AA948" i="172"/>
  <c r="AD948" i="172"/>
  <c r="AA940" i="172"/>
  <c r="AD940" i="172"/>
  <c r="AD932" i="172"/>
  <c r="AA932" i="172"/>
  <c r="AA915" i="172"/>
  <c r="AB915" i="172" s="1"/>
  <c r="AD915" i="172"/>
  <c r="AA997" i="172"/>
  <c r="AB997" i="172" s="1"/>
  <c r="AD997" i="172"/>
  <c r="AA989" i="172"/>
  <c r="AB989" i="172" s="1"/>
  <c r="AD989" i="172"/>
  <c r="AD981" i="172"/>
  <c r="AA981" i="172"/>
  <c r="AB981" i="172" s="1"/>
  <c r="AA973" i="172"/>
  <c r="AB973" i="172" s="1"/>
  <c r="AD973" i="172"/>
  <c r="AD965" i="172"/>
  <c r="AA965" i="172"/>
  <c r="AB965" i="172" s="1"/>
  <c r="AA957" i="172"/>
  <c r="AB957" i="172" s="1"/>
  <c r="AD957" i="172"/>
  <c r="AD949" i="172"/>
  <c r="AA949" i="172"/>
  <c r="AB949" i="172" s="1"/>
  <c r="AA941" i="172"/>
  <c r="AB941" i="172" s="1"/>
  <c r="AD941" i="172"/>
  <c r="AD933" i="172"/>
  <c r="AA933" i="172"/>
  <c r="AB933" i="172" s="1"/>
  <c r="AA919" i="172"/>
  <c r="AD919" i="172"/>
  <c r="AD860" i="172"/>
  <c r="AA860" i="172"/>
  <c r="AB860" i="172" s="1"/>
  <c r="AE860" i="172" s="1"/>
  <c r="AD852" i="172"/>
  <c r="AA852" i="172"/>
  <c r="AA843" i="172"/>
  <c r="AD843" i="172"/>
  <c r="AD822" i="172"/>
  <c r="AA822" i="172"/>
  <c r="AB822" i="172" s="1"/>
  <c r="AA810" i="172"/>
  <c r="AB810" i="172" s="1"/>
  <c r="AD810" i="172"/>
  <c r="AA795" i="172"/>
  <c r="AB795" i="172" s="1"/>
  <c r="AD795" i="172"/>
  <c r="AA763" i="172"/>
  <c r="AB763" i="172" s="1"/>
  <c r="AD763" i="172"/>
  <c r="AD732" i="172"/>
  <c r="AA732" i="172"/>
  <c r="AB732" i="172" s="1"/>
  <c r="AD675" i="172"/>
  <c r="AA675" i="172"/>
  <c r="AB675" i="172" s="1"/>
  <c r="AD642" i="172"/>
  <c r="AA642" i="172"/>
  <c r="AB642" i="172" s="1"/>
  <c r="AA536" i="172"/>
  <c r="AB536" i="172" s="1"/>
  <c r="AD536" i="172"/>
  <c r="AA472" i="172"/>
  <c r="AB472" i="172" s="1"/>
  <c r="AE472" i="172" s="1"/>
  <c r="AD472" i="172"/>
  <c r="AA445" i="172"/>
  <c r="AB445" i="172" s="1"/>
  <c r="AD445" i="172"/>
  <c r="AA381" i="172"/>
  <c r="AB381" i="172" s="1"/>
  <c r="AD381" i="172"/>
  <c r="AA317" i="172"/>
  <c r="AB317" i="172" s="1"/>
  <c r="AD317" i="172"/>
  <c r="AD924" i="172"/>
  <c r="AA924" i="172"/>
  <c r="AB924" i="172" s="1"/>
  <c r="AA916" i="172"/>
  <c r="AB916" i="172" s="1"/>
  <c r="AD916" i="172"/>
  <c r="AA908" i="172"/>
  <c r="AB908" i="172" s="1"/>
  <c r="AE908" i="172" s="1"/>
  <c r="AD908" i="172"/>
  <c r="AA900" i="172"/>
  <c r="AB900" i="172" s="1"/>
  <c r="AD900" i="172"/>
  <c r="AA892" i="172"/>
  <c r="AB892" i="172" s="1"/>
  <c r="AE892" i="172" s="1"/>
  <c r="AD892" i="172"/>
  <c r="AD884" i="172"/>
  <c r="AA884" i="172"/>
  <c r="AB884" i="172" s="1"/>
  <c r="AE884" i="172" s="1"/>
  <c r="AD876" i="172"/>
  <c r="AA876" i="172"/>
  <c r="AB876" i="172" s="1"/>
  <c r="AA868" i="172"/>
  <c r="AB868" i="172" s="1"/>
  <c r="AD868" i="172"/>
  <c r="AD840" i="172"/>
  <c r="AA840" i="172"/>
  <c r="AB840" i="172" s="1"/>
  <c r="AD825" i="172"/>
  <c r="AA825" i="172"/>
  <c r="AB825" i="172" s="1"/>
  <c r="AD797" i="172"/>
  <c r="AA797" i="172"/>
  <c r="AB797" i="172" s="1"/>
  <c r="AA776" i="172"/>
  <c r="AB776" i="172" s="1"/>
  <c r="AD776" i="172"/>
  <c r="AA736" i="172"/>
  <c r="AD736" i="172"/>
  <c r="AD703" i="172"/>
  <c r="AA703" i="172"/>
  <c r="AA606" i="172"/>
  <c r="AB606" i="172" s="1"/>
  <c r="AD606" i="172"/>
  <c r="AD562" i="172"/>
  <c r="AA562" i="172"/>
  <c r="AB562" i="172" s="1"/>
  <c r="AD459" i="172"/>
  <c r="AA459" i="172"/>
  <c r="AA385" i="172"/>
  <c r="AB385" i="172" s="1"/>
  <c r="AD385" i="172"/>
  <c r="AD321" i="172"/>
  <c r="AA321" i="172"/>
  <c r="AB321" i="172" s="1"/>
  <c r="AA861" i="172"/>
  <c r="AD861" i="172"/>
  <c r="AA853" i="172"/>
  <c r="AB853" i="172" s="1"/>
  <c r="AD853" i="172"/>
  <c r="AD837" i="172"/>
  <c r="AA837" i="172"/>
  <c r="AA823" i="172"/>
  <c r="AB823" i="172" s="1"/>
  <c r="AD823" i="172"/>
  <c r="AD801" i="172"/>
  <c r="AA801" i="172"/>
  <c r="AB801" i="172" s="1"/>
  <c r="AD759" i="172"/>
  <c r="AA759" i="172"/>
  <c r="AB759" i="172" s="1"/>
  <c r="AD690" i="172"/>
  <c r="AA690" i="172"/>
  <c r="AB690" i="172" s="1"/>
  <c r="AE690" i="172" s="1"/>
  <c r="AA616" i="172"/>
  <c r="AB616" i="172" s="1"/>
  <c r="AD616" i="172"/>
  <c r="AA572" i="172"/>
  <c r="AD572" i="172"/>
  <c r="AA458" i="172"/>
  <c r="AB458" i="172" s="1"/>
  <c r="AE458" i="172" s="1"/>
  <c r="AD458" i="172"/>
  <c r="AA405" i="172"/>
  <c r="AB405" i="172" s="1"/>
  <c r="AD405" i="172"/>
  <c r="AD341" i="172"/>
  <c r="AA341" i="172"/>
  <c r="AB341" i="172" s="1"/>
  <c r="AD298" i="172"/>
  <c r="AA298" i="172"/>
  <c r="AD248" i="172"/>
  <c r="AA248" i="172"/>
  <c r="AD905" i="172"/>
  <c r="AA905" i="172"/>
  <c r="AD897" i="172"/>
  <c r="AA897" i="172"/>
  <c r="AA889" i="172"/>
  <c r="AD889" i="172"/>
  <c r="AD881" i="172"/>
  <c r="AA881" i="172"/>
  <c r="AD873" i="172"/>
  <c r="AA873" i="172"/>
  <c r="AA865" i="172"/>
  <c r="AD865" i="172"/>
  <c r="AA841" i="172"/>
  <c r="AB841" i="172" s="1"/>
  <c r="AD841" i="172"/>
  <c r="AD824" i="172"/>
  <c r="AA824" i="172"/>
  <c r="AA809" i="172"/>
  <c r="AD809" i="172"/>
  <c r="AA796" i="172"/>
  <c r="AB796" i="172" s="1"/>
  <c r="AE796" i="172" s="1"/>
  <c r="AD796" i="172"/>
  <c r="AD771" i="172"/>
  <c r="AA771" i="172"/>
  <c r="AB771" i="172" s="1"/>
  <c r="AD671" i="172"/>
  <c r="AA671" i="172"/>
  <c r="AB671" i="172" s="1"/>
  <c r="AA632" i="172"/>
  <c r="AB632" i="172" s="1"/>
  <c r="AD632" i="172"/>
  <c r="AD537" i="172"/>
  <c r="AA537" i="172"/>
  <c r="AA441" i="172"/>
  <c r="AB441" i="172" s="1"/>
  <c r="AD441" i="172"/>
  <c r="AA377" i="172"/>
  <c r="AB377" i="172" s="1"/>
  <c r="AD377" i="172"/>
  <c r="AA313" i="172"/>
  <c r="AB313" i="172" s="1"/>
  <c r="AD313" i="172"/>
  <c r="AA192" i="172"/>
  <c r="AB192" i="172" s="1"/>
  <c r="AD192" i="172"/>
  <c r="AD144" i="172"/>
  <c r="AA144" i="172"/>
  <c r="AA91" i="172"/>
  <c r="AB91" i="172" s="1"/>
  <c r="AE91" i="172" s="1"/>
  <c r="AD91" i="172"/>
  <c r="AA69" i="172"/>
  <c r="AD69" i="172"/>
  <c r="AA34" i="172"/>
  <c r="AB34" i="172" s="1"/>
  <c r="AE34" i="172" s="1"/>
  <c r="AD34" i="172"/>
  <c r="AA733" i="172"/>
  <c r="AB733" i="172" s="1"/>
  <c r="AD733" i="172"/>
  <c r="AD712" i="172"/>
  <c r="AA712" i="172"/>
  <c r="AD701" i="172"/>
  <c r="AA701" i="172"/>
  <c r="AB701" i="172" s="1"/>
  <c r="AD688" i="172"/>
  <c r="AA688" i="172"/>
  <c r="AB688" i="172" s="1"/>
  <c r="AD678" i="172"/>
  <c r="AA678" i="172"/>
  <c r="AD661" i="172"/>
  <c r="AA661" i="172"/>
  <c r="AB661" i="172" s="1"/>
  <c r="AA646" i="172"/>
  <c r="AD646" i="172"/>
  <c r="AD629" i="172"/>
  <c r="AA629" i="172"/>
  <c r="AB629" i="172" s="1"/>
  <c r="AA617" i="172"/>
  <c r="AB617" i="172" s="1"/>
  <c r="AD617" i="172"/>
  <c r="AD595" i="172"/>
  <c r="AA595" i="172"/>
  <c r="AB595" i="172" s="1"/>
  <c r="AA577" i="172"/>
  <c r="AB577" i="172" s="1"/>
  <c r="AD577" i="172"/>
  <c r="AA563" i="172"/>
  <c r="AB563" i="172" s="1"/>
  <c r="AD563" i="172"/>
  <c r="AD545" i="172"/>
  <c r="AA545" i="172"/>
  <c r="AB545" i="172" s="1"/>
  <c r="AD531" i="172"/>
  <c r="AA531" i="172"/>
  <c r="AB531" i="172" s="1"/>
  <c r="AD520" i="172"/>
  <c r="AA520" i="172"/>
  <c r="AB520" i="172" s="1"/>
  <c r="AD512" i="172"/>
  <c r="AA512" i="172"/>
  <c r="AB512" i="172" s="1"/>
  <c r="AA504" i="172"/>
  <c r="AB504" i="172" s="1"/>
  <c r="AD504" i="172"/>
  <c r="AD494" i="172"/>
  <c r="AA494" i="172"/>
  <c r="AB494" i="172" s="1"/>
  <c r="AD483" i="172"/>
  <c r="AA483" i="172"/>
  <c r="AB483" i="172" s="1"/>
  <c r="AE483" i="172" s="1"/>
  <c r="AD462" i="172"/>
  <c r="AA462" i="172"/>
  <c r="AB462" i="172" s="1"/>
  <c r="AA440" i="172"/>
  <c r="AB440" i="172" s="1"/>
  <c r="AD440" i="172"/>
  <c r="AA427" i="172"/>
  <c r="AB427" i="172" s="1"/>
  <c r="AD427" i="172"/>
  <c r="AA418" i="172"/>
  <c r="AD418" i="172"/>
  <c r="AD408" i="172"/>
  <c r="AA408" i="172"/>
  <c r="AB408" i="172" s="1"/>
  <c r="AD395" i="172"/>
  <c r="AA395" i="172"/>
  <c r="AB395" i="172" s="1"/>
  <c r="AA386" i="172"/>
  <c r="AD386" i="172"/>
  <c r="AA376" i="172"/>
  <c r="AB376" i="172" s="1"/>
  <c r="AD376" i="172"/>
  <c r="AA363" i="172"/>
  <c r="AB363" i="172" s="1"/>
  <c r="AD363" i="172"/>
  <c r="AA354" i="172"/>
  <c r="AD354" i="172"/>
  <c r="AA344" i="172"/>
  <c r="AB344" i="172" s="1"/>
  <c r="AE344" i="172" s="1"/>
  <c r="AD344" i="172"/>
  <c r="AA331" i="172"/>
  <c r="AB331" i="172" s="1"/>
  <c r="AD331" i="172"/>
  <c r="AA322" i="172"/>
  <c r="AD322" i="172"/>
  <c r="AD312" i="172"/>
  <c r="AA312" i="172"/>
  <c r="AB312" i="172" s="1"/>
  <c r="AE312" i="172" s="1"/>
  <c r="AA294" i="172"/>
  <c r="AD294" i="172"/>
  <c r="AA274" i="172"/>
  <c r="AB274" i="172" s="1"/>
  <c r="AD274" i="172"/>
  <c r="AA267" i="172"/>
  <c r="AD267" i="172"/>
  <c r="AD256" i="172"/>
  <c r="AA256" i="172"/>
  <c r="AD221" i="172"/>
  <c r="AA221" i="172"/>
  <c r="AB221" i="172" s="1"/>
  <c r="AA181" i="172"/>
  <c r="AB181" i="172" s="1"/>
  <c r="AD181" i="172"/>
  <c r="AD122" i="172"/>
  <c r="AA122" i="172"/>
  <c r="AD78" i="172"/>
  <c r="AA78" i="172"/>
  <c r="AB78" i="172" s="1"/>
  <c r="AD44" i="172"/>
  <c r="AA44" i="172"/>
  <c r="AB44" i="172" s="1"/>
  <c r="AA16" i="172"/>
  <c r="AB16" i="172" s="1"/>
  <c r="AE16" i="172" s="1"/>
  <c r="AD16" i="172"/>
  <c r="AD785" i="172"/>
  <c r="AA785" i="172"/>
  <c r="AB785" i="172" s="1"/>
  <c r="AD772" i="172"/>
  <c r="AA772" i="172"/>
  <c r="AB772" i="172" s="1"/>
  <c r="AE772" i="172" s="1"/>
  <c r="AD754" i="172"/>
  <c r="AA754" i="172"/>
  <c r="AB754" i="172" s="1"/>
  <c r="AD743" i="172"/>
  <c r="AA743" i="172"/>
  <c r="AB743" i="172" s="1"/>
  <c r="AE743" i="172" s="1"/>
  <c r="AA720" i="172"/>
  <c r="AB720" i="172" s="1"/>
  <c r="AE720" i="172" s="1"/>
  <c r="AD720" i="172"/>
  <c r="AD709" i="172"/>
  <c r="AA709" i="172"/>
  <c r="AB709" i="172" s="1"/>
  <c r="AD697" i="172"/>
  <c r="AA697" i="172"/>
  <c r="AB697" i="172" s="1"/>
  <c r="AD676" i="172"/>
  <c r="AA676" i="172"/>
  <c r="AB676" i="172" s="1"/>
  <c r="AE676" i="172" s="1"/>
  <c r="AD658" i="172"/>
  <c r="AA658" i="172"/>
  <c r="AB658" i="172" s="1"/>
  <c r="AD644" i="172"/>
  <c r="AA644" i="172"/>
  <c r="AB644" i="172" s="1"/>
  <c r="AE644" i="172" s="1"/>
  <c r="AD621" i="172"/>
  <c r="AA621" i="172"/>
  <c r="AB621" i="172" s="1"/>
  <c r="AD604" i="172"/>
  <c r="AA604" i="172"/>
  <c r="AB604" i="172" s="1"/>
  <c r="AE604" i="172" s="1"/>
  <c r="AD596" i="172"/>
  <c r="AA596" i="172"/>
  <c r="AD588" i="172"/>
  <c r="AA588" i="172"/>
  <c r="AB588" i="172" s="1"/>
  <c r="AE588" i="172" s="1"/>
  <c r="AA574" i="172"/>
  <c r="AB574" i="172" s="1"/>
  <c r="AD574" i="172"/>
  <c r="AD556" i="172"/>
  <c r="AA556" i="172"/>
  <c r="AB556" i="172" s="1"/>
  <c r="AA542" i="172"/>
  <c r="AB542" i="172" s="1"/>
  <c r="AE542" i="172" s="1"/>
  <c r="AD542" i="172"/>
  <c r="AA495" i="172"/>
  <c r="AD495" i="172"/>
  <c r="AA471" i="172"/>
  <c r="AB471" i="172" s="1"/>
  <c r="AD471" i="172"/>
  <c r="AA455" i="172"/>
  <c r="AB455" i="172" s="1"/>
  <c r="AD455" i="172"/>
  <c r="AD430" i="172"/>
  <c r="AA430" i="172"/>
  <c r="AD398" i="172"/>
  <c r="AA398" i="172"/>
  <c r="AD366" i="172"/>
  <c r="AA366" i="172"/>
  <c r="AD334" i="172"/>
  <c r="AA334" i="172"/>
  <c r="AD303" i="172"/>
  <c r="AA303" i="172"/>
  <c r="AA282" i="172"/>
  <c r="AD282" i="172"/>
  <c r="AA252" i="172"/>
  <c r="AB252" i="172" s="1"/>
  <c r="AE252" i="172" s="1"/>
  <c r="AD252" i="172"/>
  <c r="AD234" i="172"/>
  <c r="AA234" i="172"/>
  <c r="AB234" i="172" s="1"/>
  <c r="AE234" i="172" s="1"/>
  <c r="AD207" i="172"/>
  <c r="AA207" i="172"/>
  <c r="AB207" i="172" s="1"/>
  <c r="AA60" i="172"/>
  <c r="AB60" i="172" s="1"/>
  <c r="AD60" i="172"/>
  <c r="AA21" i="172"/>
  <c r="AB21" i="172" s="1"/>
  <c r="AE21" i="172" s="1"/>
  <c r="AD21" i="172"/>
  <c r="AA799" i="172"/>
  <c r="AB799" i="172" s="1"/>
  <c r="AD799" i="172"/>
  <c r="AD767" i="172"/>
  <c r="AA767" i="172"/>
  <c r="AB767" i="172" s="1"/>
  <c r="AA755" i="172"/>
  <c r="AB755" i="172" s="1"/>
  <c r="AD755" i="172"/>
  <c r="AD744" i="172"/>
  <c r="AA744" i="172"/>
  <c r="AA727" i="172"/>
  <c r="AB727" i="172" s="1"/>
  <c r="AD727" i="172"/>
  <c r="AD713" i="172"/>
  <c r="AA713" i="172"/>
  <c r="AD693" i="172"/>
  <c r="AA693" i="172"/>
  <c r="AB693" i="172" s="1"/>
  <c r="AD677" i="172"/>
  <c r="AA677" i="172"/>
  <c r="AB677" i="172" s="1"/>
  <c r="AA662" i="172"/>
  <c r="AB662" i="172" s="1"/>
  <c r="AD662" i="172"/>
  <c r="AD645" i="172"/>
  <c r="AA645" i="172"/>
  <c r="AB645" i="172" s="1"/>
  <c r="AA630" i="172"/>
  <c r="AD630" i="172"/>
  <c r="AD613" i="172"/>
  <c r="AA613" i="172"/>
  <c r="AB613" i="172" s="1"/>
  <c r="AD602" i="172"/>
  <c r="AA602" i="172"/>
  <c r="AB602" i="172" s="1"/>
  <c r="AE602" i="172" s="1"/>
  <c r="AD579" i="172"/>
  <c r="AA579" i="172"/>
  <c r="AB579" i="172" s="1"/>
  <c r="AA561" i="172"/>
  <c r="AD561" i="172"/>
  <c r="AD547" i="172"/>
  <c r="AA547" i="172"/>
  <c r="AB547" i="172" s="1"/>
  <c r="AD529" i="172"/>
  <c r="AA529" i="172"/>
  <c r="AA522" i="172"/>
  <c r="AB522" i="172" s="1"/>
  <c r="AE522" i="172" s="1"/>
  <c r="AD522" i="172"/>
  <c r="AA514" i="172"/>
  <c r="AD514" i="172"/>
  <c r="AA506" i="172"/>
  <c r="AB506" i="172" s="1"/>
  <c r="AE506" i="172" s="1"/>
  <c r="AD506" i="172"/>
  <c r="AA498" i="172"/>
  <c r="AD498" i="172"/>
  <c r="AA481" i="172"/>
  <c r="AB481" i="172" s="1"/>
  <c r="AD481" i="172"/>
  <c r="AA473" i="172"/>
  <c r="AD473" i="172"/>
  <c r="AA457" i="172"/>
  <c r="AD457" i="172"/>
  <c r="AD444" i="172"/>
  <c r="AA444" i="172"/>
  <c r="AB444" i="172" s="1"/>
  <c r="AE444" i="172" s="1"/>
  <c r="AA428" i="172"/>
  <c r="AD428" i="172"/>
  <c r="AA412" i="172"/>
  <c r="AB412" i="172" s="1"/>
  <c r="AD412" i="172"/>
  <c r="AA396" i="172"/>
  <c r="AD396" i="172"/>
  <c r="AD380" i="172"/>
  <c r="AA380" i="172"/>
  <c r="AB380" i="172" s="1"/>
  <c r="AE380" i="172" s="1"/>
  <c r="AD364" i="172"/>
  <c r="AA364" i="172"/>
  <c r="AA348" i="172"/>
  <c r="AB348" i="172" s="1"/>
  <c r="AD348" i="172"/>
  <c r="AA332" i="172"/>
  <c r="AD332" i="172"/>
  <c r="AA316" i="172"/>
  <c r="AB316" i="172" s="1"/>
  <c r="AD316" i="172"/>
  <c r="AA297" i="172"/>
  <c r="AB297" i="172" s="1"/>
  <c r="AE297" i="172" s="1"/>
  <c r="AD297" i="172"/>
  <c r="AD287" i="172"/>
  <c r="AA287" i="172"/>
  <c r="AD279" i="172"/>
  <c r="AA279" i="172"/>
  <c r="AB279" i="172" s="1"/>
  <c r="AD268" i="172"/>
  <c r="AA268" i="172"/>
  <c r="AB268" i="172" s="1"/>
  <c r="AE268" i="172" s="1"/>
  <c r="AA260" i="172"/>
  <c r="AD260" i="172"/>
  <c r="AD239" i="172"/>
  <c r="AA239" i="172"/>
  <c r="AB239" i="172" s="1"/>
  <c r="AD168" i="172"/>
  <c r="AA168" i="172"/>
  <c r="AD53" i="172"/>
  <c r="AA53" i="172"/>
  <c r="AA216" i="172"/>
  <c r="AB216" i="172" s="1"/>
  <c r="AE216" i="172" s="1"/>
  <c r="AD216" i="172"/>
  <c r="AA202" i="172"/>
  <c r="AB202" i="172" s="1"/>
  <c r="AD202" i="172"/>
  <c r="AD177" i="172"/>
  <c r="AA177" i="172"/>
  <c r="AB177" i="172" s="1"/>
  <c r="AA153" i="172"/>
  <c r="AB153" i="172" s="1"/>
  <c r="AD153" i="172"/>
  <c r="AD145" i="172"/>
  <c r="AA145" i="172"/>
  <c r="AB145" i="172" s="1"/>
  <c r="AA134" i="172"/>
  <c r="AB134" i="172" s="1"/>
  <c r="AD134" i="172"/>
  <c r="AD124" i="172"/>
  <c r="AA124" i="172"/>
  <c r="AB124" i="172" s="1"/>
  <c r="AA115" i="172"/>
  <c r="AB115" i="172" s="1"/>
  <c r="AD115" i="172"/>
  <c r="AA99" i="172"/>
  <c r="AD99" i="172"/>
  <c r="AD82" i="172"/>
  <c r="AA82" i="172"/>
  <c r="AB82" i="172" s="1"/>
  <c r="AE82" i="172" s="1"/>
  <c r="AD63" i="172"/>
  <c r="AA63" i="172"/>
  <c r="AB63" i="172" s="1"/>
  <c r="AA45" i="172"/>
  <c r="AB45" i="172" s="1"/>
  <c r="AD45" i="172"/>
  <c r="AD31" i="172"/>
  <c r="AA31" i="172"/>
  <c r="AB31" i="172" s="1"/>
  <c r="AA247" i="172"/>
  <c r="AB247" i="172" s="1"/>
  <c r="AD247" i="172"/>
  <c r="AA238" i="172"/>
  <c r="AB238" i="172" s="1"/>
  <c r="AE238" i="172" s="1"/>
  <c r="AD238" i="172"/>
  <c r="AA230" i="172"/>
  <c r="AB230" i="172" s="1"/>
  <c r="AD230" i="172"/>
  <c r="AA222" i="172"/>
  <c r="AB222" i="172" s="1"/>
  <c r="AD222" i="172"/>
  <c r="AA214" i="172"/>
  <c r="AB214" i="172" s="1"/>
  <c r="AD214" i="172"/>
  <c r="AD206" i="172"/>
  <c r="AA206" i="172"/>
  <c r="AB206" i="172" s="1"/>
  <c r="AD193" i="172"/>
  <c r="AA193" i="172"/>
  <c r="AB193" i="172" s="1"/>
  <c r="AE193" i="172" s="1"/>
  <c r="AA185" i="172"/>
  <c r="AD185" i="172"/>
  <c r="AD167" i="172"/>
  <c r="AA167" i="172"/>
  <c r="AA137" i="172"/>
  <c r="AD137" i="172"/>
  <c r="AA121" i="172"/>
  <c r="AB121" i="172" s="1"/>
  <c r="AD121" i="172"/>
  <c r="AD104" i="172"/>
  <c r="AA104" i="172"/>
  <c r="AB104" i="172" s="1"/>
  <c r="AD94" i="172"/>
  <c r="AA94" i="172"/>
  <c r="AA79" i="172"/>
  <c r="AB79" i="172" s="1"/>
  <c r="AE79" i="172" s="1"/>
  <c r="AD79" i="172"/>
  <c r="AA64" i="172"/>
  <c r="AD64" i="172"/>
  <c r="AD50" i="172"/>
  <c r="AA50" i="172"/>
  <c r="AB50" i="172" s="1"/>
  <c r="AD23" i="172"/>
  <c r="AA23" i="172"/>
  <c r="AB23" i="172" s="1"/>
  <c r="AA245" i="172"/>
  <c r="AB245" i="172" s="1"/>
  <c r="AD245" i="172"/>
  <c r="AA191" i="172"/>
  <c r="AD191" i="172"/>
  <c r="AD179" i="172"/>
  <c r="AA179" i="172"/>
  <c r="AB179" i="172" s="1"/>
  <c r="AA163" i="172"/>
  <c r="AD163" i="172"/>
  <c r="AA154" i="172"/>
  <c r="AB154" i="172" s="1"/>
  <c r="AD154" i="172"/>
  <c r="AD146" i="172"/>
  <c r="AA146" i="172"/>
  <c r="AB146" i="172" s="1"/>
  <c r="AD119" i="172"/>
  <c r="AA119" i="172"/>
  <c r="AD97" i="172"/>
  <c r="AA97" i="172"/>
  <c r="AA77" i="172"/>
  <c r="AB77" i="172" s="1"/>
  <c r="AD77" i="172"/>
  <c r="AD48" i="172"/>
  <c r="AA48" i="172"/>
  <c r="AB48" i="172" s="1"/>
  <c r="AE48" i="172" s="1"/>
  <c r="AD33" i="172"/>
  <c r="AA33" i="172"/>
  <c r="AB33" i="172" s="1"/>
  <c r="AA14" i="172"/>
  <c r="AB14" i="172" s="1"/>
  <c r="AD14" i="172"/>
  <c r="Z926" i="172"/>
  <c r="AC926" i="172"/>
  <c r="AC905" i="172"/>
  <c r="Z905" i="172"/>
  <c r="Z996" i="172"/>
  <c r="AC996" i="172"/>
  <c r="Z988" i="172"/>
  <c r="AC988" i="172"/>
  <c r="AC980" i="172"/>
  <c r="Z980" i="172"/>
  <c r="AC972" i="172"/>
  <c r="Z972" i="172"/>
  <c r="AC964" i="172"/>
  <c r="Z964" i="172"/>
  <c r="AC956" i="172"/>
  <c r="Z956" i="172"/>
  <c r="Z948" i="172"/>
  <c r="AC948" i="172"/>
  <c r="AC940" i="172"/>
  <c r="Z940" i="172"/>
  <c r="AC932" i="172"/>
  <c r="Z932" i="172"/>
  <c r="AC920" i="172"/>
  <c r="Z920" i="172"/>
  <c r="Z995" i="172"/>
  <c r="AC995" i="172"/>
  <c r="AC914" i="172"/>
  <c r="Z914" i="172"/>
  <c r="AC987" i="172"/>
  <c r="Z987" i="172"/>
  <c r="AC979" i="172"/>
  <c r="Z979" i="172"/>
  <c r="AC971" i="172"/>
  <c r="Z971" i="172"/>
  <c r="AC963" i="172"/>
  <c r="Z963" i="172"/>
  <c r="AC955" i="172"/>
  <c r="Z955" i="172"/>
  <c r="AC947" i="172"/>
  <c r="Z947" i="172"/>
  <c r="AC939" i="172"/>
  <c r="Z939" i="172"/>
  <c r="AC931" i="172"/>
  <c r="Z931" i="172"/>
  <c r="AC919" i="172"/>
  <c r="Z919" i="172"/>
  <c r="Z897" i="172"/>
  <c r="AC897" i="172"/>
  <c r="AC889" i="172"/>
  <c r="Z889" i="172"/>
  <c r="AC881" i="172"/>
  <c r="Z881" i="172"/>
  <c r="AC873" i="172"/>
  <c r="Z873" i="172"/>
  <c r="Z865" i="172"/>
  <c r="AC865" i="172"/>
  <c r="Z850" i="172"/>
  <c r="AC850" i="172"/>
  <c r="AC835" i="172"/>
  <c r="Z835" i="172"/>
  <c r="AC824" i="172"/>
  <c r="Z824" i="172"/>
  <c r="AC800" i="172"/>
  <c r="Z800" i="172"/>
  <c r="Z781" i="172"/>
  <c r="AC781" i="172"/>
  <c r="Z744" i="172"/>
  <c r="AC744" i="172"/>
  <c r="Z710" i="172"/>
  <c r="AC710" i="172"/>
  <c r="Z608" i="172"/>
  <c r="AC608" i="172"/>
  <c r="Z575" i="172"/>
  <c r="AC575" i="172"/>
  <c r="Z525" i="172"/>
  <c r="AC525" i="172"/>
  <c r="AC258" i="172"/>
  <c r="Z258" i="172"/>
  <c r="Z855" i="172"/>
  <c r="AC855" i="172"/>
  <c r="Z843" i="172"/>
  <c r="AC843" i="172"/>
  <c r="AC832" i="172"/>
  <c r="Z832" i="172"/>
  <c r="Z808" i="172"/>
  <c r="AC808" i="172"/>
  <c r="Z783" i="172"/>
  <c r="AC783" i="172"/>
  <c r="Z751" i="172"/>
  <c r="AC751" i="172"/>
  <c r="Z630" i="172"/>
  <c r="AC630" i="172"/>
  <c r="AC585" i="172"/>
  <c r="Z585" i="172"/>
  <c r="AC497" i="172"/>
  <c r="Z497" i="172"/>
  <c r="Z428" i="172"/>
  <c r="AC428" i="172"/>
  <c r="AC396" i="172"/>
  <c r="Z396" i="172"/>
  <c r="Z364" i="172"/>
  <c r="AC364" i="172"/>
  <c r="AC332" i="172"/>
  <c r="Z332" i="172"/>
  <c r="Z285" i="172"/>
  <c r="AC285" i="172"/>
  <c r="AC257" i="172"/>
  <c r="Z257" i="172"/>
  <c r="Z906" i="172"/>
  <c r="AC906" i="172"/>
  <c r="AC898" i="172"/>
  <c r="Z898" i="172"/>
  <c r="AC890" i="172"/>
  <c r="Z890" i="172"/>
  <c r="Z882" i="172"/>
  <c r="AC882" i="172"/>
  <c r="Z874" i="172"/>
  <c r="AC874" i="172"/>
  <c r="AC866" i="172"/>
  <c r="Z866" i="172"/>
  <c r="AC852" i="172"/>
  <c r="Z852" i="172"/>
  <c r="AC829" i="172"/>
  <c r="Z829" i="172"/>
  <c r="Z814" i="172"/>
  <c r="AC814" i="172"/>
  <c r="AC792" i="172"/>
  <c r="Z792" i="172"/>
  <c r="AC773" i="172"/>
  <c r="Z773" i="172"/>
  <c r="AC713" i="172"/>
  <c r="Z713" i="172"/>
  <c r="Z634" i="172"/>
  <c r="AC634" i="172"/>
  <c r="Z550" i="172"/>
  <c r="AC550" i="172"/>
  <c r="Z496" i="172"/>
  <c r="AC496" i="172"/>
  <c r="Z861" i="172"/>
  <c r="AC861" i="172"/>
  <c r="Z837" i="172"/>
  <c r="AC837" i="172"/>
  <c r="AC826" i="172"/>
  <c r="Z826" i="172"/>
  <c r="AC807" i="172"/>
  <c r="Z807" i="172"/>
  <c r="Z778" i="172"/>
  <c r="AC778" i="172"/>
  <c r="Z750" i="172"/>
  <c r="AC750" i="172"/>
  <c r="AC695" i="172"/>
  <c r="Z695" i="172"/>
  <c r="Z666" i="172"/>
  <c r="AC666" i="172"/>
  <c r="AC593" i="172"/>
  <c r="Z593" i="172"/>
  <c r="Z543" i="172"/>
  <c r="AC543" i="172"/>
  <c r="AC495" i="172"/>
  <c r="Z495" i="172"/>
  <c r="Z431" i="172"/>
  <c r="AC431" i="172"/>
  <c r="AC399" i="172"/>
  <c r="Z399" i="172"/>
  <c r="Z367" i="172"/>
  <c r="AC367" i="172"/>
  <c r="Z335" i="172"/>
  <c r="AC335" i="172"/>
  <c r="Z287" i="172"/>
  <c r="AC287" i="172"/>
  <c r="Z246" i="172"/>
  <c r="AC246" i="172"/>
  <c r="Z97" i="172"/>
  <c r="AC97" i="172"/>
  <c r="Z735" i="172"/>
  <c r="AC735" i="172"/>
  <c r="Z724" i="172"/>
  <c r="AC724" i="172"/>
  <c r="AC703" i="172"/>
  <c r="Z703" i="172"/>
  <c r="AC687" i="172"/>
  <c r="Z687" i="172"/>
  <c r="AC667" i="172"/>
  <c r="Z667" i="172"/>
  <c r="AC657" i="172"/>
  <c r="Z657" i="172"/>
  <c r="AC635" i="172"/>
  <c r="Z635" i="172"/>
  <c r="Z622" i="172"/>
  <c r="AC622" i="172"/>
  <c r="AC609" i="172"/>
  <c r="Z609" i="172"/>
  <c r="Z594" i="172"/>
  <c r="AC594" i="172"/>
  <c r="Z572" i="172"/>
  <c r="AC572" i="172"/>
  <c r="Z561" i="172"/>
  <c r="AC561" i="172"/>
  <c r="Z540" i="172"/>
  <c r="AC540" i="172"/>
  <c r="AC529" i="172"/>
  <c r="Z529" i="172"/>
  <c r="AC514" i="172"/>
  <c r="Z514" i="172"/>
  <c r="AC498" i="172"/>
  <c r="Z498" i="172"/>
  <c r="Z482" i="172"/>
  <c r="AC482" i="172"/>
  <c r="AC473" i="172"/>
  <c r="Z473" i="172"/>
  <c r="Z465" i="172"/>
  <c r="AC465" i="172"/>
  <c r="AC457" i="172"/>
  <c r="Z457" i="172"/>
  <c r="Z449" i="172"/>
  <c r="AC449" i="172"/>
  <c r="Z298" i="172"/>
  <c r="AC298" i="172"/>
  <c r="Z290" i="172"/>
  <c r="AC290" i="172"/>
  <c r="AC280" i="172"/>
  <c r="Z280" i="172"/>
  <c r="Z260" i="172"/>
  <c r="AC260" i="172"/>
  <c r="Z191" i="172"/>
  <c r="AC191" i="172"/>
  <c r="AC149" i="172"/>
  <c r="Z149" i="172"/>
  <c r="Z84" i="172"/>
  <c r="AC84" i="172"/>
  <c r="Z790" i="172"/>
  <c r="AC790" i="172"/>
  <c r="Z764" i="172"/>
  <c r="AC764" i="172"/>
  <c r="AC749" i="172"/>
  <c r="Z749" i="172"/>
  <c r="Z736" i="172"/>
  <c r="AC736" i="172"/>
  <c r="AC726" i="172"/>
  <c r="Z726" i="172"/>
  <c r="Z704" i="172"/>
  <c r="AC704" i="172"/>
  <c r="AC691" i="172"/>
  <c r="Z691" i="172"/>
  <c r="Z678" i="172"/>
  <c r="AC678" i="172"/>
  <c r="Z668" i="172"/>
  <c r="AC668" i="172"/>
  <c r="Z646" i="172"/>
  <c r="AC646" i="172"/>
  <c r="Z636" i="172"/>
  <c r="AC636" i="172"/>
  <c r="AC623" i="172"/>
  <c r="Z623" i="172"/>
  <c r="Z610" i="172"/>
  <c r="AC610" i="172"/>
  <c r="Z580" i="172"/>
  <c r="AC580" i="172"/>
  <c r="Z569" i="172"/>
  <c r="AC569" i="172"/>
  <c r="AC548" i="172"/>
  <c r="Z548" i="172"/>
  <c r="Z537" i="172"/>
  <c r="AC537" i="172"/>
  <c r="Z523" i="172"/>
  <c r="AC523" i="172"/>
  <c r="AC507" i="172"/>
  <c r="Z507" i="172"/>
  <c r="Z489" i="172"/>
  <c r="AC489" i="172"/>
  <c r="Z475" i="172"/>
  <c r="AC475" i="172"/>
  <c r="Z459" i="172"/>
  <c r="AC459" i="172"/>
  <c r="AC442" i="172"/>
  <c r="Z442" i="172"/>
  <c r="Z434" i="172"/>
  <c r="AC434" i="172"/>
  <c r="Z426" i="172"/>
  <c r="AC426" i="172"/>
  <c r="AC418" i="172"/>
  <c r="Z418" i="172"/>
  <c r="Z410" i="172"/>
  <c r="AC410" i="172"/>
  <c r="Z402" i="172"/>
  <c r="AC402" i="172"/>
  <c r="AC394" i="172"/>
  <c r="Z394" i="172"/>
  <c r="Z386" i="172"/>
  <c r="AC386" i="172"/>
  <c r="Z378" i="172"/>
  <c r="AC378" i="172"/>
  <c r="Z370" i="172"/>
  <c r="AC370" i="172"/>
  <c r="Z362" i="172"/>
  <c r="AC362" i="172"/>
  <c r="AC354" i="172"/>
  <c r="Z354" i="172"/>
  <c r="Z346" i="172"/>
  <c r="AC346" i="172"/>
  <c r="AC338" i="172"/>
  <c r="Z338" i="172"/>
  <c r="Z330" i="172"/>
  <c r="AC330" i="172"/>
  <c r="AC322" i="172"/>
  <c r="Z322" i="172"/>
  <c r="Z314" i="172"/>
  <c r="AC314" i="172"/>
  <c r="Z306" i="172"/>
  <c r="AC306" i="172"/>
  <c r="Z294" i="172"/>
  <c r="AC294" i="172"/>
  <c r="Z278" i="172"/>
  <c r="AC278" i="172"/>
  <c r="Z267" i="172"/>
  <c r="AC267" i="172"/>
  <c r="Z256" i="172"/>
  <c r="AC256" i="172"/>
  <c r="AC212" i="172"/>
  <c r="Z212" i="172"/>
  <c r="AC170" i="172"/>
  <c r="Z170" i="172"/>
  <c r="Z94" i="172"/>
  <c r="AC94" i="172"/>
  <c r="Z27" i="172"/>
  <c r="AC27" i="172"/>
  <c r="AC809" i="172"/>
  <c r="Z809" i="172"/>
  <c r="Z793" i="172"/>
  <c r="AC793" i="172"/>
  <c r="Z777" i="172"/>
  <c r="AC777" i="172"/>
  <c r="AC761" i="172"/>
  <c r="Z761" i="172"/>
  <c r="AC746" i="172"/>
  <c r="Z746" i="172"/>
  <c r="Z734" i="172"/>
  <c r="AC734" i="172"/>
  <c r="Z712" i="172"/>
  <c r="AC712" i="172"/>
  <c r="Z702" i="172"/>
  <c r="AC702" i="172"/>
  <c r="Z680" i="172"/>
  <c r="AC680" i="172"/>
  <c r="AC669" i="172"/>
  <c r="Z669" i="172"/>
  <c r="Z648" i="172"/>
  <c r="AC648" i="172"/>
  <c r="AC637" i="172"/>
  <c r="Z637" i="172"/>
  <c r="AC615" i="172"/>
  <c r="Z615" i="172"/>
  <c r="Z596" i="172"/>
  <c r="AC596" i="172"/>
  <c r="AC581" i="172"/>
  <c r="Z581" i="172"/>
  <c r="Z571" i="172"/>
  <c r="AC571" i="172"/>
  <c r="Z549" i="172"/>
  <c r="AC549" i="172"/>
  <c r="AC539" i="172"/>
  <c r="Z539" i="172"/>
  <c r="Z516" i="172"/>
  <c r="AC516" i="172"/>
  <c r="AC500" i="172"/>
  <c r="Z500" i="172"/>
  <c r="Z487" i="172"/>
  <c r="AC487" i="172"/>
  <c r="Z463" i="172"/>
  <c r="AC463" i="172"/>
  <c r="Z446" i="172"/>
  <c r="AC446" i="172"/>
  <c r="Z430" i="172"/>
  <c r="AC430" i="172"/>
  <c r="Z414" i="172"/>
  <c r="AC414" i="172"/>
  <c r="AC398" i="172"/>
  <c r="Z398" i="172"/>
  <c r="AC382" i="172"/>
  <c r="Z382" i="172"/>
  <c r="Z366" i="172"/>
  <c r="AC366" i="172"/>
  <c r="Z350" i="172"/>
  <c r="AC350" i="172"/>
  <c r="AC334" i="172"/>
  <c r="Z334" i="172"/>
  <c r="AC318" i="172"/>
  <c r="Z318" i="172"/>
  <c r="AC303" i="172"/>
  <c r="Z303" i="172"/>
  <c r="AC282" i="172"/>
  <c r="Z282" i="172"/>
  <c r="Z250" i="172"/>
  <c r="AC250" i="172"/>
  <c r="AC220" i="172"/>
  <c r="Z220" i="172"/>
  <c r="Z163" i="172"/>
  <c r="AC163" i="172"/>
  <c r="AC119" i="172"/>
  <c r="Z119" i="172"/>
  <c r="AC64" i="172"/>
  <c r="Z64" i="172"/>
  <c r="AC36" i="172"/>
  <c r="Z36" i="172"/>
  <c r="AC213" i="172"/>
  <c r="Z213" i="172"/>
  <c r="Z197" i="172"/>
  <c r="AC197" i="172"/>
  <c r="Z183" i="172"/>
  <c r="AC183" i="172"/>
  <c r="Z168" i="172"/>
  <c r="AC168" i="172"/>
  <c r="AC157" i="172"/>
  <c r="Z157" i="172"/>
  <c r="Z122" i="172"/>
  <c r="AC122" i="172"/>
  <c r="AC95" i="172"/>
  <c r="Z95" i="172"/>
  <c r="Z80" i="172"/>
  <c r="AC80" i="172"/>
  <c r="Z69" i="172"/>
  <c r="AC69" i="172"/>
  <c r="Z61" i="172"/>
  <c r="AC61" i="172"/>
  <c r="AC53" i="172"/>
  <c r="Z53" i="172"/>
  <c r="Z38" i="172"/>
  <c r="AC38" i="172"/>
  <c r="Z22" i="172"/>
  <c r="AC22" i="172"/>
  <c r="AC240" i="172"/>
  <c r="Z240" i="172"/>
  <c r="Z208" i="172"/>
  <c r="AC208" i="172"/>
  <c r="Z195" i="172"/>
  <c r="AC195" i="172"/>
  <c r="Z173" i="172"/>
  <c r="AC173" i="172"/>
  <c r="AC151" i="172"/>
  <c r="Z151" i="172"/>
  <c r="Z144" i="172"/>
  <c r="AC144" i="172"/>
  <c r="Z132" i="172"/>
  <c r="AC132" i="172"/>
  <c r="AC123" i="172"/>
  <c r="Z123" i="172"/>
  <c r="AC112" i="172"/>
  <c r="Z112" i="172"/>
  <c r="AC99" i="172"/>
  <c r="Z99" i="172"/>
  <c r="AC81" i="172"/>
  <c r="Z81" i="172"/>
  <c r="AC49" i="172"/>
  <c r="Z49" i="172"/>
  <c r="AC39" i="172"/>
  <c r="Z39" i="172"/>
  <c r="Z29" i="172"/>
  <c r="AC29" i="172"/>
  <c r="Z248" i="172"/>
  <c r="AC248" i="172"/>
  <c r="Z241" i="172"/>
  <c r="AC241" i="172"/>
  <c r="Z233" i="172"/>
  <c r="AC233" i="172"/>
  <c r="Z225" i="172"/>
  <c r="AC225" i="172"/>
  <c r="Z217" i="172"/>
  <c r="AC217" i="172"/>
  <c r="Z209" i="172"/>
  <c r="AC209" i="172"/>
  <c r="Z196" i="172"/>
  <c r="AC196" i="172"/>
  <c r="AC185" i="172"/>
  <c r="Z185" i="172"/>
  <c r="Z167" i="172"/>
  <c r="AC167" i="172"/>
  <c r="AC137" i="172"/>
  <c r="Z137" i="172"/>
  <c r="AC126" i="172"/>
  <c r="Z126" i="172"/>
  <c r="AC117" i="172"/>
  <c r="Z117" i="172"/>
  <c r="Z103" i="172"/>
  <c r="AC103" i="172"/>
  <c r="AC89" i="172"/>
  <c r="Z89" i="172"/>
  <c r="Z75" i="172"/>
  <c r="AC75" i="172"/>
  <c r="AC55" i="172"/>
  <c r="Z55" i="172"/>
  <c r="Z35" i="172"/>
  <c r="AC35" i="172"/>
  <c r="Z17" i="172"/>
  <c r="AC17" i="172"/>
  <c r="AN993" i="172"/>
  <c r="AQ993" i="172" s="1"/>
  <c r="AV993" i="172" s="1"/>
  <c r="AS993" i="172"/>
  <c r="AN991" i="172"/>
  <c r="AQ991" i="172" s="1"/>
  <c r="AV991" i="172" s="1"/>
  <c r="AS991" i="172"/>
  <c r="AN989" i="172"/>
  <c r="AQ989" i="172" s="1"/>
  <c r="AV989" i="172" s="1"/>
  <c r="AS989" i="172"/>
  <c r="AN987" i="172"/>
  <c r="AQ987" i="172" s="1"/>
  <c r="AV987" i="172" s="1"/>
  <c r="AS987" i="172"/>
  <c r="AN942" i="172"/>
  <c r="AQ942" i="172" s="1"/>
  <c r="AV942" i="172" s="1"/>
  <c r="AS942" i="172"/>
  <c r="AN929" i="172"/>
  <c r="AQ929" i="172" s="1"/>
  <c r="AV929" i="172" s="1"/>
  <c r="AS929" i="172"/>
  <c r="AN969" i="172"/>
  <c r="AQ969" i="172" s="1"/>
  <c r="AV969" i="172" s="1"/>
  <c r="AS969" i="172"/>
  <c r="AN961" i="172"/>
  <c r="AQ961" i="172" s="1"/>
  <c r="AV961" i="172" s="1"/>
  <c r="AS961" i="172"/>
  <c r="AN953" i="172"/>
  <c r="AQ953" i="172" s="1"/>
  <c r="AV953" i="172" s="1"/>
  <c r="AS953" i="172"/>
  <c r="AN943" i="172"/>
  <c r="AQ943" i="172" s="1"/>
  <c r="AV943" i="172" s="1"/>
  <c r="AS943" i="172"/>
  <c r="AN919" i="172"/>
  <c r="AQ919" i="172" s="1"/>
  <c r="AV919" i="172" s="1"/>
  <c r="AS919" i="172"/>
  <c r="AN936" i="172"/>
  <c r="AQ936" i="172" s="1"/>
  <c r="AV936" i="172" s="1"/>
  <c r="AS936" i="172"/>
  <c r="AN909" i="172"/>
  <c r="AQ909" i="172" s="1"/>
  <c r="AV909" i="172" s="1"/>
  <c r="AS909" i="172"/>
  <c r="AN992" i="172"/>
  <c r="AQ992" i="172" s="1"/>
  <c r="AV992" i="172" s="1"/>
  <c r="AS992" i="172"/>
  <c r="AN984" i="172"/>
  <c r="AQ984" i="172" s="1"/>
  <c r="AV984" i="172" s="1"/>
  <c r="AS984" i="172"/>
  <c r="AN976" i="172"/>
  <c r="AQ976" i="172" s="1"/>
  <c r="AV976" i="172" s="1"/>
  <c r="AS976" i="172"/>
  <c r="AN968" i="172"/>
  <c r="AQ968" i="172" s="1"/>
  <c r="AV968" i="172" s="1"/>
  <c r="AS968" i="172"/>
  <c r="AN960" i="172"/>
  <c r="AQ960" i="172" s="1"/>
  <c r="AV960" i="172" s="1"/>
  <c r="AS960" i="172"/>
  <c r="AN952" i="172"/>
  <c r="AQ952" i="172" s="1"/>
  <c r="AV952" i="172" s="1"/>
  <c r="AS952" i="172"/>
  <c r="AN941" i="172"/>
  <c r="AQ941" i="172" s="1"/>
  <c r="AV941" i="172" s="1"/>
  <c r="AS941" i="172"/>
  <c r="AN915" i="172"/>
  <c r="AQ915" i="172" s="1"/>
  <c r="AV915" i="172" s="1"/>
  <c r="AS915" i="172"/>
  <c r="AN885" i="172"/>
  <c r="AQ885" i="172" s="1"/>
  <c r="AV885" i="172" s="1"/>
  <c r="AS885" i="172"/>
  <c r="AS869" i="172"/>
  <c r="AN869" i="172"/>
  <c r="AQ869" i="172" s="1"/>
  <c r="AV869" i="172" s="1"/>
  <c r="AS852" i="172"/>
  <c r="AN852" i="172"/>
  <c r="AQ852" i="172" s="1"/>
  <c r="AV852" i="172" s="1"/>
  <c r="AS839" i="172"/>
  <c r="AN839" i="172"/>
  <c r="AQ839" i="172" s="1"/>
  <c r="AV839" i="172" s="1"/>
  <c r="AS824" i="172"/>
  <c r="AN824" i="172"/>
  <c r="AQ824" i="172" s="1"/>
  <c r="AV824" i="172" s="1"/>
  <c r="AN808" i="172"/>
  <c r="AQ808" i="172" s="1"/>
  <c r="AV808" i="172" s="1"/>
  <c r="AS808" i="172"/>
  <c r="AS792" i="172"/>
  <c r="AN792" i="172"/>
  <c r="AQ792" i="172" s="1"/>
  <c r="AV792" i="172" s="1"/>
  <c r="AS776" i="172"/>
  <c r="AN776" i="172"/>
  <c r="AQ776" i="172" s="1"/>
  <c r="AV776" i="172" s="1"/>
  <c r="AS760" i="172"/>
  <c r="AN760" i="172"/>
  <c r="AQ760" i="172" s="1"/>
  <c r="AV760" i="172" s="1"/>
  <c r="AS744" i="172"/>
  <c r="AN744" i="172"/>
  <c r="AQ744" i="172" s="1"/>
  <c r="AV744" i="172" s="1"/>
  <c r="AS730" i="172"/>
  <c r="AN730" i="172"/>
  <c r="AQ730" i="172" s="1"/>
  <c r="AV730" i="172" s="1"/>
  <c r="AS714" i="172"/>
  <c r="AN714" i="172"/>
  <c r="AQ714" i="172" s="1"/>
  <c r="AV714" i="172" s="1"/>
  <c r="AN698" i="172"/>
  <c r="AQ698" i="172" s="1"/>
  <c r="AV698" i="172" s="1"/>
  <c r="AS698" i="172"/>
  <c r="AN593" i="172"/>
  <c r="AQ593" i="172" s="1"/>
  <c r="AV593" i="172" s="1"/>
  <c r="AS593" i="172"/>
  <c r="AN578" i="172"/>
  <c r="AQ578" i="172" s="1"/>
  <c r="AV578" i="172" s="1"/>
  <c r="AS578" i="172"/>
  <c r="AS555" i="172"/>
  <c r="AN555" i="172"/>
  <c r="AQ555" i="172" s="1"/>
  <c r="AV555" i="172" s="1"/>
  <c r="AN530" i="172"/>
  <c r="AQ530" i="172" s="1"/>
  <c r="AV530" i="172" s="1"/>
  <c r="AS530" i="172"/>
  <c r="AS478" i="172"/>
  <c r="AN478" i="172"/>
  <c r="AQ478" i="172" s="1"/>
  <c r="AV478" i="172" s="1"/>
  <c r="AS381" i="172"/>
  <c r="AN381" i="172"/>
  <c r="AQ381" i="172" s="1"/>
  <c r="AV381" i="172" s="1"/>
  <c r="AS322" i="172"/>
  <c r="AN322" i="172"/>
  <c r="AQ322" i="172" s="1"/>
  <c r="AV322" i="172" s="1"/>
  <c r="AS290" i="172"/>
  <c r="AN290" i="172"/>
  <c r="AQ290" i="172" s="1"/>
  <c r="AV290" i="172" s="1"/>
  <c r="AS207" i="172"/>
  <c r="AN207" i="172"/>
  <c r="AQ207" i="172" s="1"/>
  <c r="AV207" i="172" s="1"/>
  <c r="AN918" i="172"/>
  <c r="AQ918" i="172" s="1"/>
  <c r="AV918" i="172" s="1"/>
  <c r="AS918" i="172"/>
  <c r="AN902" i="172"/>
  <c r="AQ902" i="172" s="1"/>
  <c r="AV902" i="172" s="1"/>
  <c r="AS902" i="172"/>
  <c r="AN886" i="172"/>
  <c r="AQ886" i="172" s="1"/>
  <c r="AV886" i="172" s="1"/>
  <c r="AS886" i="172"/>
  <c r="AS870" i="172"/>
  <c r="AN870" i="172"/>
  <c r="AQ870" i="172" s="1"/>
  <c r="AV870" i="172" s="1"/>
  <c r="AN854" i="172"/>
  <c r="AQ854" i="172" s="1"/>
  <c r="AV854" i="172" s="1"/>
  <c r="AS854" i="172"/>
  <c r="AS840" i="172"/>
  <c r="AN840" i="172"/>
  <c r="AQ840" i="172" s="1"/>
  <c r="AV840" i="172" s="1"/>
  <c r="AS826" i="172"/>
  <c r="AN826" i="172"/>
  <c r="AQ826" i="172" s="1"/>
  <c r="AV826" i="172" s="1"/>
  <c r="AN810" i="172"/>
  <c r="AQ810" i="172" s="1"/>
  <c r="AV810" i="172" s="1"/>
  <c r="AS810" i="172"/>
  <c r="AS793" i="172"/>
  <c r="AN793" i="172"/>
  <c r="AQ793" i="172" s="1"/>
  <c r="AV793" i="172" s="1"/>
  <c r="AS777" i="172"/>
  <c r="AN777" i="172"/>
  <c r="AQ777" i="172" s="1"/>
  <c r="AV777" i="172" s="1"/>
  <c r="AS761" i="172"/>
  <c r="AN761" i="172"/>
  <c r="AQ761" i="172" s="1"/>
  <c r="AV761" i="172" s="1"/>
  <c r="AS745" i="172"/>
  <c r="AN745" i="172"/>
  <c r="AQ745" i="172" s="1"/>
  <c r="AV745" i="172" s="1"/>
  <c r="AN728" i="172"/>
  <c r="AQ728" i="172" s="1"/>
  <c r="AV728" i="172" s="1"/>
  <c r="AS728" i="172"/>
  <c r="AN712" i="172"/>
  <c r="AQ712" i="172" s="1"/>
  <c r="AV712" i="172" s="1"/>
  <c r="AS712" i="172"/>
  <c r="AN696" i="172"/>
  <c r="AQ696" i="172" s="1"/>
  <c r="AV696" i="172" s="1"/>
  <c r="AS696" i="172"/>
  <c r="AN688" i="172"/>
  <c r="AQ688" i="172" s="1"/>
  <c r="AV688" i="172" s="1"/>
  <c r="AS688" i="172"/>
  <c r="AN680" i="172"/>
  <c r="AQ680" i="172" s="1"/>
  <c r="AV680" i="172" s="1"/>
  <c r="AS680" i="172"/>
  <c r="AN672" i="172"/>
  <c r="AQ672" i="172" s="1"/>
  <c r="AV672" i="172" s="1"/>
  <c r="AS672" i="172"/>
  <c r="AN664" i="172"/>
  <c r="AQ664" i="172" s="1"/>
  <c r="AV664" i="172" s="1"/>
  <c r="AS664" i="172"/>
  <c r="AN656" i="172"/>
  <c r="AQ656" i="172" s="1"/>
  <c r="AV656" i="172" s="1"/>
  <c r="AS656" i="172"/>
  <c r="AN648" i="172"/>
  <c r="AQ648" i="172" s="1"/>
  <c r="AV648" i="172" s="1"/>
  <c r="AS648" i="172"/>
  <c r="AN640" i="172"/>
  <c r="AQ640" i="172" s="1"/>
  <c r="AV640" i="172" s="1"/>
  <c r="AS640" i="172"/>
  <c r="AN632" i="172"/>
  <c r="AQ632" i="172" s="1"/>
  <c r="AV632" i="172" s="1"/>
  <c r="AS632" i="172"/>
  <c r="AN624" i="172"/>
  <c r="AQ624" i="172" s="1"/>
  <c r="AV624" i="172" s="1"/>
  <c r="AS624" i="172"/>
  <c r="AN616" i="172"/>
  <c r="AQ616" i="172" s="1"/>
  <c r="AV616" i="172" s="1"/>
  <c r="AS616" i="172"/>
  <c r="AN608" i="172"/>
  <c r="AQ608" i="172" s="1"/>
  <c r="AV608" i="172" s="1"/>
  <c r="AS608" i="172"/>
  <c r="AN596" i="172"/>
  <c r="AQ596" i="172" s="1"/>
  <c r="AV596" i="172" s="1"/>
  <c r="AS596" i="172"/>
  <c r="AN582" i="172"/>
  <c r="AQ582" i="172" s="1"/>
  <c r="AV582" i="172" s="1"/>
  <c r="AS582" i="172"/>
  <c r="AS560" i="172"/>
  <c r="AN560" i="172"/>
  <c r="AQ560" i="172" s="1"/>
  <c r="AV560" i="172" s="1"/>
  <c r="AS542" i="172"/>
  <c r="AN542" i="172"/>
  <c r="AQ542" i="172" s="1"/>
  <c r="AV542" i="172" s="1"/>
  <c r="AN514" i="172"/>
  <c r="AQ514" i="172" s="1"/>
  <c r="AV514" i="172" s="1"/>
  <c r="AS514" i="172"/>
  <c r="AN450" i="172"/>
  <c r="AQ450" i="172" s="1"/>
  <c r="AV450" i="172" s="1"/>
  <c r="AS450" i="172"/>
  <c r="AS369" i="172"/>
  <c r="AN369" i="172"/>
  <c r="AQ369" i="172" s="1"/>
  <c r="AV369" i="172" s="1"/>
  <c r="AN320" i="172"/>
  <c r="AQ320" i="172" s="1"/>
  <c r="AV320" i="172" s="1"/>
  <c r="AS320" i="172"/>
  <c r="AN288" i="172"/>
  <c r="AQ288" i="172" s="1"/>
  <c r="AV288" i="172" s="1"/>
  <c r="AS288" i="172"/>
  <c r="AN911" i="172"/>
  <c r="AQ911" i="172" s="1"/>
  <c r="AV911" i="172" s="1"/>
  <c r="AS911" i="172"/>
  <c r="AN895" i="172"/>
  <c r="AQ895" i="172" s="1"/>
  <c r="AV895" i="172" s="1"/>
  <c r="AS895" i="172"/>
  <c r="AS879" i="172"/>
  <c r="AN879" i="172"/>
  <c r="AQ879" i="172" s="1"/>
  <c r="AV879" i="172" s="1"/>
  <c r="AN863" i="172"/>
  <c r="AQ863" i="172" s="1"/>
  <c r="AV863" i="172" s="1"/>
  <c r="AS863" i="172"/>
  <c r="AS848" i="172"/>
  <c r="AN848" i="172"/>
  <c r="AQ848" i="172" s="1"/>
  <c r="AV848" i="172" s="1"/>
  <c r="AN828" i="172"/>
  <c r="AQ828" i="172" s="1"/>
  <c r="AV828" i="172" s="1"/>
  <c r="AS828" i="172"/>
  <c r="AS812" i="172"/>
  <c r="AN812" i="172"/>
  <c r="AQ812" i="172" s="1"/>
  <c r="AV812" i="172" s="1"/>
  <c r="AS794" i="172"/>
  <c r="AN794" i="172"/>
  <c r="AQ794" i="172" s="1"/>
  <c r="AV794" i="172" s="1"/>
  <c r="AS778" i="172"/>
  <c r="AN778" i="172"/>
  <c r="AQ778" i="172" s="1"/>
  <c r="AV778" i="172" s="1"/>
  <c r="AS762" i="172"/>
  <c r="AN762" i="172"/>
  <c r="AQ762" i="172" s="1"/>
  <c r="AV762" i="172" s="1"/>
  <c r="AS746" i="172"/>
  <c r="AN746" i="172"/>
  <c r="AQ746" i="172" s="1"/>
  <c r="AV746" i="172" s="1"/>
  <c r="AS729" i="172"/>
  <c r="AN729" i="172"/>
  <c r="AQ729" i="172" s="1"/>
  <c r="AV729" i="172" s="1"/>
  <c r="AN713" i="172"/>
  <c r="AQ713" i="172" s="1"/>
  <c r="AV713" i="172" s="1"/>
  <c r="AS713" i="172"/>
  <c r="AN697" i="172"/>
  <c r="AQ697" i="172" s="1"/>
  <c r="AV697" i="172" s="1"/>
  <c r="AS697" i="172"/>
  <c r="AN589" i="172"/>
  <c r="AQ589" i="172" s="1"/>
  <c r="AV589" i="172" s="1"/>
  <c r="AS589" i="172"/>
  <c r="AS570" i="172"/>
  <c r="AN570" i="172"/>
  <c r="AQ570" i="172" s="1"/>
  <c r="AV570" i="172" s="1"/>
  <c r="AS547" i="172"/>
  <c r="AN547" i="172"/>
  <c r="AQ547" i="172" s="1"/>
  <c r="AV547" i="172" s="1"/>
  <c r="AS502" i="172"/>
  <c r="AN502" i="172"/>
  <c r="AQ502" i="172" s="1"/>
  <c r="AV502" i="172" s="1"/>
  <c r="AS438" i="172"/>
  <c r="AN438" i="172"/>
  <c r="AQ438" i="172" s="1"/>
  <c r="AV438" i="172" s="1"/>
  <c r="AS341" i="172"/>
  <c r="AN341" i="172"/>
  <c r="AQ341" i="172" s="1"/>
  <c r="AV341" i="172" s="1"/>
  <c r="AS310" i="172"/>
  <c r="AN310" i="172"/>
  <c r="AQ310" i="172" s="1"/>
  <c r="AV310" i="172" s="1"/>
  <c r="AS279" i="172"/>
  <c r="AN279" i="172"/>
  <c r="AQ279" i="172" s="1"/>
  <c r="AV279" i="172" s="1"/>
  <c r="AN924" i="172"/>
  <c r="AQ924" i="172" s="1"/>
  <c r="AV924" i="172" s="1"/>
  <c r="AS924" i="172"/>
  <c r="AN908" i="172"/>
  <c r="AQ908" i="172" s="1"/>
  <c r="AV908" i="172" s="1"/>
  <c r="AS908" i="172"/>
  <c r="AN892" i="172"/>
  <c r="AQ892" i="172" s="1"/>
  <c r="AV892" i="172" s="1"/>
  <c r="AS892" i="172"/>
  <c r="AS876" i="172"/>
  <c r="AN876" i="172"/>
  <c r="AQ876" i="172" s="1"/>
  <c r="AV876" i="172" s="1"/>
  <c r="AS860" i="172"/>
  <c r="AN860" i="172"/>
  <c r="AQ860" i="172" s="1"/>
  <c r="AV860" i="172" s="1"/>
  <c r="AS842" i="172"/>
  <c r="AN842" i="172"/>
  <c r="AQ842" i="172" s="1"/>
  <c r="AV842" i="172" s="1"/>
  <c r="AS830" i="172"/>
  <c r="AN830" i="172"/>
  <c r="AQ830" i="172" s="1"/>
  <c r="AV830" i="172" s="1"/>
  <c r="AS814" i="172"/>
  <c r="AN814" i="172"/>
  <c r="AQ814" i="172" s="1"/>
  <c r="AV814" i="172" s="1"/>
  <c r="AS795" i="172"/>
  <c r="AN795" i="172"/>
  <c r="AQ795" i="172" s="1"/>
  <c r="AV795" i="172" s="1"/>
  <c r="AS779" i="172"/>
  <c r="AN779" i="172"/>
  <c r="AQ779" i="172" s="1"/>
  <c r="AV779" i="172" s="1"/>
  <c r="AS763" i="172"/>
  <c r="AN763" i="172"/>
  <c r="AQ763" i="172" s="1"/>
  <c r="AV763" i="172" s="1"/>
  <c r="AS747" i="172"/>
  <c r="AN747" i="172"/>
  <c r="AQ747" i="172" s="1"/>
  <c r="AV747" i="172" s="1"/>
  <c r="AN732" i="172"/>
  <c r="AQ732" i="172" s="1"/>
  <c r="AV732" i="172" s="1"/>
  <c r="AS732" i="172"/>
  <c r="AS716" i="172"/>
  <c r="AN716" i="172"/>
  <c r="AQ716" i="172" s="1"/>
  <c r="AV716" i="172" s="1"/>
  <c r="AS700" i="172"/>
  <c r="AN700" i="172"/>
  <c r="AQ700" i="172" s="1"/>
  <c r="AV700" i="172" s="1"/>
  <c r="AN690" i="172"/>
  <c r="AQ690" i="172" s="1"/>
  <c r="AV690" i="172" s="1"/>
  <c r="AS690" i="172"/>
  <c r="AN682" i="172"/>
  <c r="AQ682" i="172" s="1"/>
  <c r="AV682" i="172" s="1"/>
  <c r="AS682" i="172"/>
  <c r="AN674" i="172"/>
  <c r="AQ674" i="172" s="1"/>
  <c r="AV674" i="172" s="1"/>
  <c r="AS674" i="172"/>
  <c r="AN666" i="172"/>
  <c r="AQ666" i="172" s="1"/>
  <c r="AV666" i="172" s="1"/>
  <c r="AS666" i="172"/>
  <c r="AN658" i="172"/>
  <c r="AQ658" i="172" s="1"/>
  <c r="AV658" i="172" s="1"/>
  <c r="AS658" i="172"/>
  <c r="AN650" i="172"/>
  <c r="AQ650" i="172" s="1"/>
  <c r="AV650" i="172" s="1"/>
  <c r="AS650" i="172"/>
  <c r="AN642" i="172"/>
  <c r="AQ642" i="172" s="1"/>
  <c r="AV642" i="172" s="1"/>
  <c r="AS642" i="172"/>
  <c r="AN634" i="172"/>
  <c r="AQ634" i="172" s="1"/>
  <c r="AV634" i="172" s="1"/>
  <c r="AS634" i="172"/>
  <c r="AN626" i="172"/>
  <c r="AQ626" i="172" s="1"/>
  <c r="AV626" i="172" s="1"/>
  <c r="AS626" i="172"/>
  <c r="AN618" i="172"/>
  <c r="AQ618" i="172" s="1"/>
  <c r="AV618" i="172" s="1"/>
  <c r="AS618" i="172"/>
  <c r="AN610" i="172"/>
  <c r="AQ610" i="172" s="1"/>
  <c r="AV610" i="172" s="1"/>
  <c r="AS610" i="172"/>
  <c r="AN599" i="172"/>
  <c r="AQ599" i="172" s="1"/>
  <c r="AV599" i="172" s="1"/>
  <c r="AS599" i="172"/>
  <c r="AN580" i="172"/>
  <c r="AQ580" i="172" s="1"/>
  <c r="AV580" i="172" s="1"/>
  <c r="AS580" i="172"/>
  <c r="AS559" i="172"/>
  <c r="AN559" i="172"/>
  <c r="AQ559" i="172" s="1"/>
  <c r="AV559" i="172" s="1"/>
  <c r="AN536" i="172"/>
  <c r="AQ536" i="172" s="1"/>
  <c r="AV536" i="172" s="1"/>
  <c r="AS536" i="172"/>
  <c r="AS490" i="172"/>
  <c r="AN490" i="172"/>
  <c r="AQ490" i="172" s="1"/>
  <c r="AV490" i="172" s="1"/>
  <c r="AS393" i="172"/>
  <c r="AN393" i="172"/>
  <c r="AQ393" i="172" s="1"/>
  <c r="AV393" i="172" s="1"/>
  <c r="AN332" i="172"/>
  <c r="AQ332" i="172" s="1"/>
  <c r="AV332" i="172" s="1"/>
  <c r="AS332" i="172"/>
  <c r="AN300" i="172"/>
  <c r="AQ300" i="172" s="1"/>
  <c r="AV300" i="172" s="1"/>
  <c r="AS300" i="172"/>
  <c r="AN208" i="172"/>
  <c r="AQ208" i="172" s="1"/>
  <c r="AV208" i="172" s="1"/>
  <c r="AS208" i="172"/>
  <c r="AN151" i="172"/>
  <c r="AQ151" i="172" s="1"/>
  <c r="AV151" i="172" s="1"/>
  <c r="AS151" i="172"/>
  <c r="AS130" i="172"/>
  <c r="AN130" i="172"/>
  <c r="AQ130" i="172" s="1"/>
  <c r="AV130" i="172" s="1"/>
  <c r="AN114" i="172"/>
  <c r="AQ114" i="172" s="1"/>
  <c r="AV114" i="172" s="1"/>
  <c r="AS114" i="172"/>
  <c r="AN98" i="172"/>
  <c r="AQ98" i="172" s="1"/>
  <c r="AV98" i="172" s="1"/>
  <c r="AS98" i="172"/>
  <c r="AN82" i="172"/>
  <c r="AQ82" i="172" s="1"/>
  <c r="AV82" i="172" s="1"/>
  <c r="AS82" i="172"/>
  <c r="AN58" i="172"/>
  <c r="AQ58" i="172" s="1"/>
  <c r="AV58" i="172" s="1"/>
  <c r="AS58" i="172"/>
  <c r="AS527" i="172"/>
  <c r="AN527" i="172"/>
  <c r="AQ527" i="172" s="1"/>
  <c r="AV527" i="172" s="1"/>
  <c r="AS511" i="172"/>
  <c r="AN511" i="172"/>
  <c r="AQ511" i="172" s="1"/>
  <c r="AV511" i="172" s="1"/>
  <c r="AS495" i="172"/>
  <c r="AN495" i="172"/>
  <c r="AQ495" i="172" s="1"/>
  <c r="AV495" i="172" s="1"/>
  <c r="AS479" i="172"/>
  <c r="AN479" i="172"/>
  <c r="AQ479" i="172" s="1"/>
  <c r="AV479" i="172" s="1"/>
  <c r="AN463" i="172"/>
  <c r="AQ463" i="172" s="1"/>
  <c r="AV463" i="172" s="1"/>
  <c r="AS463" i="172"/>
  <c r="AN447" i="172"/>
  <c r="AQ447" i="172" s="1"/>
  <c r="AV447" i="172" s="1"/>
  <c r="AS447" i="172"/>
  <c r="AN402" i="172"/>
  <c r="AQ402" i="172" s="1"/>
  <c r="AV402" i="172" s="1"/>
  <c r="AS402" i="172"/>
  <c r="AS386" i="172"/>
  <c r="AN386" i="172"/>
  <c r="AQ386" i="172" s="1"/>
  <c r="AV386" i="172" s="1"/>
  <c r="AS370" i="172"/>
  <c r="AN370" i="172"/>
  <c r="AQ370" i="172" s="1"/>
  <c r="AV370" i="172" s="1"/>
  <c r="AS354" i="172"/>
  <c r="AN354" i="172"/>
  <c r="AQ354" i="172" s="1"/>
  <c r="AV354" i="172" s="1"/>
  <c r="AN339" i="172"/>
  <c r="AQ339" i="172" s="1"/>
  <c r="AV339" i="172" s="1"/>
  <c r="AS339" i="172"/>
  <c r="AN272" i="172"/>
  <c r="AQ272" i="172" s="1"/>
  <c r="AV272" i="172" s="1"/>
  <c r="AS272" i="172"/>
  <c r="AS261" i="172"/>
  <c r="AN261" i="172"/>
  <c r="AQ261" i="172" s="1"/>
  <c r="AV261" i="172" s="1"/>
  <c r="AS253" i="172"/>
  <c r="AN253" i="172"/>
  <c r="AQ253" i="172" s="1"/>
  <c r="AV253" i="172" s="1"/>
  <c r="AS245" i="172"/>
  <c r="AN245" i="172"/>
  <c r="AQ245" i="172" s="1"/>
  <c r="AV245" i="172" s="1"/>
  <c r="AN237" i="172"/>
  <c r="AQ237" i="172" s="1"/>
  <c r="AV237" i="172" s="1"/>
  <c r="AS237" i="172"/>
  <c r="AN229" i="172"/>
  <c r="AQ229" i="172" s="1"/>
  <c r="AV229" i="172" s="1"/>
  <c r="AS229" i="172"/>
  <c r="AN218" i="172"/>
  <c r="AQ218" i="172" s="1"/>
  <c r="AV218" i="172" s="1"/>
  <c r="AS218" i="172"/>
  <c r="AS203" i="172"/>
  <c r="AN203" i="172"/>
  <c r="AQ203" i="172" s="1"/>
  <c r="AV203" i="172" s="1"/>
  <c r="AS190" i="172"/>
  <c r="AN190" i="172"/>
  <c r="AQ190" i="172" s="1"/>
  <c r="AV190" i="172" s="1"/>
  <c r="AS186" i="172"/>
  <c r="AN186" i="172"/>
  <c r="AQ186" i="172" s="1"/>
  <c r="AV186" i="172" s="1"/>
  <c r="AS182" i="172"/>
  <c r="AN182" i="172"/>
  <c r="AQ182" i="172" s="1"/>
  <c r="AV182" i="172" s="1"/>
  <c r="AS178" i="172"/>
  <c r="AN178" i="172"/>
  <c r="AQ178" i="172" s="1"/>
  <c r="AV178" i="172" s="1"/>
  <c r="AS174" i="172"/>
  <c r="AN174" i="172"/>
  <c r="AQ174" i="172" s="1"/>
  <c r="AV174" i="172" s="1"/>
  <c r="AS170" i="172"/>
  <c r="AN170" i="172"/>
  <c r="AQ170" i="172" s="1"/>
  <c r="AV170" i="172" s="1"/>
  <c r="AS166" i="172"/>
  <c r="AN166" i="172"/>
  <c r="AQ166" i="172" s="1"/>
  <c r="AV166" i="172" s="1"/>
  <c r="AS162" i="172"/>
  <c r="AN162" i="172"/>
  <c r="AQ162" i="172" s="1"/>
  <c r="AV162" i="172" s="1"/>
  <c r="AS146" i="172"/>
  <c r="AN146" i="172"/>
  <c r="AQ146" i="172" s="1"/>
  <c r="AV146" i="172" s="1"/>
  <c r="AS131" i="172"/>
  <c r="AN131" i="172"/>
  <c r="AQ131" i="172" s="1"/>
  <c r="AV131" i="172" s="1"/>
  <c r="AS115" i="172"/>
  <c r="AN115" i="172"/>
  <c r="AQ115" i="172" s="1"/>
  <c r="AV115" i="172" s="1"/>
  <c r="AS99" i="172"/>
  <c r="AN99" i="172"/>
  <c r="AQ99" i="172" s="1"/>
  <c r="AV99" i="172" s="1"/>
  <c r="AS83" i="172"/>
  <c r="AN83" i="172"/>
  <c r="AQ83" i="172" s="1"/>
  <c r="AV83" i="172" s="1"/>
  <c r="AS64" i="172"/>
  <c r="AN64" i="172"/>
  <c r="AQ64" i="172" s="1"/>
  <c r="AV64" i="172" s="1"/>
  <c r="AN508" i="172"/>
  <c r="AQ508" i="172" s="1"/>
  <c r="AV508" i="172" s="1"/>
  <c r="AS508" i="172"/>
  <c r="AN492" i="172"/>
  <c r="AQ492" i="172" s="1"/>
  <c r="AV492" i="172" s="1"/>
  <c r="AS492" i="172"/>
  <c r="AN476" i="172"/>
  <c r="AQ476" i="172" s="1"/>
  <c r="AV476" i="172" s="1"/>
  <c r="AS476" i="172"/>
  <c r="AS460" i="172"/>
  <c r="AN460" i="172"/>
  <c r="AQ460" i="172" s="1"/>
  <c r="AV460" i="172" s="1"/>
  <c r="AS444" i="172"/>
  <c r="AN444" i="172"/>
  <c r="AQ444" i="172" s="1"/>
  <c r="AV444" i="172" s="1"/>
  <c r="AN431" i="172"/>
  <c r="AQ431" i="172" s="1"/>
  <c r="AV431" i="172" s="1"/>
  <c r="AS431" i="172"/>
  <c r="AS427" i="172"/>
  <c r="AN427" i="172"/>
  <c r="AQ427" i="172" s="1"/>
  <c r="AV427" i="172" s="1"/>
  <c r="AS423" i="172"/>
  <c r="AN423" i="172"/>
  <c r="AQ423" i="172" s="1"/>
  <c r="AV423" i="172" s="1"/>
  <c r="AN419" i="172"/>
  <c r="AQ419" i="172" s="1"/>
  <c r="AV419" i="172" s="1"/>
  <c r="AS419" i="172"/>
  <c r="AN415" i="172"/>
  <c r="AQ415" i="172" s="1"/>
  <c r="AV415" i="172" s="1"/>
  <c r="AS415" i="172"/>
  <c r="AS411" i="172"/>
  <c r="AN411" i="172"/>
  <c r="AQ411" i="172" s="1"/>
  <c r="AV411" i="172" s="1"/>
  <c r="AS407" i="172"/>
  <c r="AN407" i="172"/>
  <c r="AQ407" i="172" s="1"/>
  <c r="AV407" i="172" s="1"/>
  <c r="AN403" i="172"/>
  <c r="AQ403" i="172" s="1"/>
  <c r="AV403" i="172" s="1"/>
  <c r="AS403" i="172"/>
  <c r="AN387" i="172"/>
  <c r="AQ387" i="172" s="1"/>
  <c r="AV387" i="172" s="1"/>
  <c r="AS387" i="172"/>
  <c r="AN371" i="172"/>
  <c r="AQ371" i="172" s="1"/>
  <c r="AV371" i="172" s="1"/>
  <c r="AS371" i="172"/>
  <c r="AN355" i="172"/>
  <c r="AQ355" i="172" s="1"/>
  <c r="AV355" i="172" s="1"/>
  <c r="AS355" i="172"/>
  <c r="AS340" i="172"/>
  <c r="AN340" i="172"/>
  <c r="AQ340" i="172" s="1"/>
  <c r="AV340" i="172" s="1"/>
  <c r="AS331" i="172"/>
  <c r="AN331" i="172"/>
  <c r="AQ331" i="172" s="1"/>
  <c r="AV331" i="172" s="1"/>
  <c r="AS323" i="172"/>
  <c r="AN323" i="172"/>
  <c r="AQ323" i="172" s="1"/>
  <c r="AV323" i="172" s="1"/>
  <c r="AS315" i="172"/>
  <c r="AN315" i="172"/>
  <c r="AQ315" i="172" s="1"/>
  <c r="AV315" i="172" s="1"/>
  <c r="AS307" i="172"/>
  <c r="AN307" i="172"/>
  <c r="AQ307" i="172" s="1"/>
  <c r="AV307" i="172" s="1"/>
  <c r="AS299" i="172"/>
  <c r="AN299" i="172"/>
  <c r="AQ299" i="172" s="1"/>
  <c r="AV299" i="172" s="1"/>
  <c r="AS291" i="172"/>
  <c r="AN291" i="172"/>
  <c r="AQ291" i="172" s="1"/>
  <c r="AV291" i="172" s="1"/>
  <c r="AS280" i="172"/>
  <c r="AN280" i="172"/>
  <c r="AQ280" i="172" s="1"/>
  <c r="AV280" i="172" s="1"/>
  <c r="AS223" i="172"/>
  <c r="AN223" i="172"/>
  <c r="AQ223" i="172" s="1"/>
  <c r="AV223" i="172" s="1"/>
  <c r="AS204" i="172"/>
  <c r="AN204" i="172"/>
  <c r="AQ204" i="172" s="1"/>
  <c r="AV204" i="172" s="1"/>
  <c r="AN159" i="172"/>
  <c r="AQ159" i="172" s="1"/>
  <c r="AV159" i="172" s="1"/>
  <c r="AS159" i="172"/>
  <c r="AS143" i="172"/>
  <c r="AN143" i="172"/>
  <c r="AQ143" i="172" s="1"/>
  <c r="AV143" i="172" s="1"/>
  <c r="AS128" i="172"/>
  <c r="AN128" i="172"/>
  <c r="AQ128" i="172" s="1"/>
  <c r="AV128" i="172" s="1"/>
  <c r="AN112" i="172"/>
  <c r="AQ112" i="172" s="1"/>
  <c r="AV112" i="172" s="1"/>
  <c r="AS112" i="172"/>
  <c r="AN96" i="172"/>
  <c r="AQ96" i="172" s="1"/>
  <c r="AV96" i="172" s="1"/>
  <c r="AS96" i="172"/>
  <c r="AN80" i="172"/>
  <c r="AQ80" i="172" s="1"/>
  <c r="AV80" i="172" s="1"/>
  <c r="AS80" i="172"/>
  <c r="AS569" i="172"/>
  <c r="AN569" i="172"/>
  <c r="AQ569" i="172" s="1"/>
  <c r="AV569" i="172" s="1"/>
  <c r="AS553" i="172"/>
  <c r="AN553" i="172"/>
  <c r="AQ553" i="172" s="1"/>
  <c r="AV553" i="172" s="1"/>
  <c r="AN537" i="172"/>
  <c r="AQ537" i="172" s="1"/>
  <c r="AV537" i="172" s="1"/>
  <c r="AS537" i="172"/>
  <c r="AS521" i="172"/>
  <c r="AN521" i="172"/>
  <c r="AQ521" i="172" s="1"/>
  <c r="AV521" i="172" s="1"/>
  <c r="AS505" i="172"/>
  <c r="AN505" i="172"/>
  <c r="AQ505" i="172" s="1"/>
  <c r="AV505" i="172" s="1"/>
  <c r="AS489" i="172"/>
  <c r="AN489" i="172"/>
  <c r="AQ489" i="172" s="1"/>
  <c r="AV489" i="172" s="1"/>
  <c r="AS473" i="172"/>
  <c r="AN473" i="172"/>
  <c r="AQ473" i="172" s="1"/>
  <c r="AV473" i="172" s="1"/>
  <c r="AS457" i="172"/>
  <c r="AN457" i="172"/>
  <c r="AQ457" i="172" s="1"/>
  <c r="AV457" i="172" s="1"/>
  <c r="AS441" i="172"/>
  <c r="AN441" i="172"/>
  <c r="AQ441" i="172" s="1"/>
  <c r="AV441" i="172" s="1"/>
  <c r="AN396" i="172"/>
  <c r="AQ396" i="172" s="1"/>
  <c r="AV396" i="172" s="1"/>
  <c r="AS396" i="172"/>
  <c r="AN380" i="172"/>
  <c r="AQ380" i="172" s="1"/>
  <c r="AV380" i="172" s="1"/>
  <c r="AS380" i="172"/>
  <c r="AN364" i="172"/>
  <c r="AQ364" i="172" s="1"/>
  <c r="AV364" i="172" s="1"/>
  <c r="AS364" i="172"/>
  <c r="AS348" i="172"/>
  <c r="AN348" i="172"/>
  <c r="AQ348" i="172" s="1"/>
  <c r="AV348" i="172" s="1"/>
  <c r="AS281" i="172"/>
  <c r="AN281" i="172"/>
  <c r="AQ281" i="172" s="1"/>
  <c r="AV281" i="172" s="1"/>
  <c r="AS266" i="172"/>
  <c r="AN266" i="172"/>
  <c r="AQ266" i="172" s="1"/>
  <c r="AV266" i="172" s="1"/>
  <c r="AS258" i="172"/>
  <c r="AN258" i="172"/>
  <c r="AQ258" i="172" s="1"/>
  <c r="AV258" i="172" s="1"/>
  <c r="AS250" i="172"/>
  <c r="AN250" i="172"/>
  <c r="AQ250" i="172" s="1"/>
  <c r="AV250" i="172" s="1"/>
  <c r="AS242" i="172"/>
  <c r="AN242" i="172"/>
  <c r="AQ242" i="172" s="1"/>
  <c r="AV242" i="172" s="1"/>
  <c r="AN234" i="172"/>
  <c r="AQ234" i="172" s="1"/>
  <c r="AV234" i="172" s="1"/>
  <c r="AS234" i="172"/>
  <c r="AS226" i="172"/>
  <c r="AN226" i="172"/>
  <c r="AQ226" i="172" s="1"/>
  <c r="AV226" i="172" s="1"/>
  <c r="AS206" i="172"/>
  <c r="AN206" i="172"/>
  <c r="AQ206" i="172" s="1"/>
  <c r="AV206" i="172" s="1"/>
  <c r="AS194" i="172"/>
  <c r="AN194" i="172"/>
  <c r="AQ194" i="172" s="1"/>
  <c r="AV194" i="172" s="1"/>
  <c r="AS148" i="172"/>
  <c r="AN148" i="172"/>
  <c r="AQ148" i="172" s="1"/>
  <c r="AV148" i="172" s="1"/>
  <c r="AN133" i="172"/>
  <c r="AQ133" i="172" s="1"/>
  <c r="AV133" i="172" s="1"/>
  <c r="AS133" i="172"/>
  <c r="AS117" i="172"/>
  <c r="AN117" i="172"/>
  <c r="AQ117" i="172" s="1"/>
  <c r="AV117" i="172" s="1"/>
  <c r="AS101" i="172"/>
  <c r="AN101" i="172"/>
  <c r="AQ101" i="172" s="1"/>
  <c r="AV101" i="172" s="1"/>
  <c r="AS85" i="172"/>
  <c r="AN85" i="172"/>
  <c r="AQ85" i="172" s="1"/>
  <c r="AV85" i="172" s="1"/>
  <c r="AS53" i="172"/>
  <c r="AN53" i="172"/>
  <c r="AQ53" i="172" s="1"/>
  <c r="AV53" i="172" s="1"/>
  <c r="AS40" i="172"/>
  <c r="AN40" i="172"/>
  <c r="AQ40" i="172" s="1"/>
  <c r="AV40" i="172" s="1"/>
  <c r="AN32" i="172"/>
  <c r="AQ32" i="172" s="1"/>
  <c r="AV32" i="172" s="1"/>
  <c r="AS32" i="172"/>
  <c r="AS24" i="172"/>
  <c r="AN24" i="172"/>
  <c r="AQ24" i="172" s="1"/>
  <c r="AV24" i="172" s="1"/>
  <c r="AN16" i="172"/>
  <c r="AQ16" i="172" s="1"/>
  <c r="AV16" i="172" s="1"/>
  <c r="AS16" i="172"/>
  <c r="AN8" i="172"/>
  <c r="AQ8" i="172" s="1"/>
  <c r="AV8" i="172" s="1"/>
  <c r="AS8" i="172"/>
  <c r="AN73" i="172"/>
  <c r="AQ73" i="172" s="1"/>
  <c r="AV73" i="172" s="1"/>
  <c r="AS73" i="172"/>
  <c r="AS62" i="172"/>
  <c r="AN62" i="172"/>
  <c r="AQ62" i="172" s="1"/>
  <c r="AV62" i="172" s="1"/>
  <c r="AS63" i="172"/>
  <c r="AN63" i="172"/>
  <c r="AQ63" i="172" s="1"/>
  <c r="AV63" i="172" s="1"/>
  <c r="AN50" i="172"/>
  <c r="AQ50" i="172" s="1"/>
  <c r="AV50" i="172" s="1"/>
  <c r="AS50" i="172"/>
  <c r="AS42" i="172"/>
  <c r="AN42" i="172"/>
  <c r="AQ42" i="172" s="1"/>
  <c r="AV42" i="172" s="1"/>
  <c r="AS34" i="172"/>
  <c r="AN34" i="172"/>
  <c r="AQ34" i="172" s="1"/>
  <c r="AV34" i="172" s="1"/>
  <c r="AS26" i="172"/>
  <c r="AN26" i="172"/>
  <c r="AQ26" i="172" s="1"/>
  <c r="AV26" i="172" s="1"/>
  <c r="AN18" i="172"/>
  <c r="AQ18" i="172" s="1"/>
  <c r="AV18" i="172" s="1"/>
  <c r="AS18" i="172"/>
  <c r="AN10" i="172"/>
  <c r="AQ10" i="172" s="1"/>
  <c r="AV10" i="172" s="1"/>
  <c r="AS10" i="172"/>
  <c r="AO995" i="172"/>
  <c r="AR995" i="172" s="1"/>
  <c r="AT995" i="172"/>
  <c r="AL995" i="172" a="1"/>
  <c r="AL995" i="172" s="1"/>
  <c r="AP995" i="172" s="1"/>
  <c r="AX994" i="172" s="1"/>
  <c r="AY994" i="172" s="1"/>
  <c r="AO987" i="172"/>
  <c r="AR987" i="172" s="1"/>
  <c r="AT987" i="172"/>
  <c r="AL987" i="172" a="1"/>
  <c r="AL987" i="172" s="1"/>
  <c r="AP987" i="172" s="1"/>
  <c r="AX986" i="172" s="1"/>
  <c r="AY986" i="172" s="1"/>
  <c r="AO979" i="172"/>
  <c r="AR979" i="172" s="1"/>
  <c r="AT979" i="172"/>
  <c r="AL979" i="172" a="1"/>
  <c r="AL979" i="172" s="1"/>
  <c r="AP979" i="172" s="1"/>
  <c r="AX978" i="172" s="1"/>
  <c r="AY978" i="172" s="1"/>
  <c r="AO971" i="172"/>
  <c r="AR971" i="172" s="1"/>
  <c r="AT971" i="172"/>
  <c r="AL971" i="172" a="1"/>
  <c r="AL971" i="172" s="1"/>
  <c r="AP971" i="172" s="1"/>
  <c r="AX970" i="172" s="1"/>
  <c r="AY970" i="172" s="1"/>
  <c r="AO963" i="172"/>
  <c r="AR963" i="172" s="1"/>
  <c r="AT963" i="172"/>
  <c r="AL963" i="172" a="1"/>
  <c r="AL963" i="172" s="1"/>
  <c r="AP963" i="172" s="1"/>
  <c r="AX962" i="172" s="1"/>
  <c r="AY962" i="172" s="1"/>
  <c r="AO955" i="172"/>
  <c r="AR955" i="172" s="1"/>
  <c r="AT955" i="172"/>
  <c r="AL955" i="172" a="1"/>
  <c r="AL955" i="172" s="1"/>
  <c r="AP955" i="172" s="1"/>
  <c r="AX954" i="172" s="1"/>
  <c r="AY954" i="172" s="1"/>
  <c r="AO947" i="172"/>
  <c r="AR947" i="172" s="1"/>
  <c r="AT947" i="172"/>
  <c r="AL947" i="172" a="1"/>
  <c r="AL947" i="172" s="1"/>
  <c r="AP947" i="172" s="1"/>
  <c r="AX946" i="172" s="1"/>
  <c r="AY946" i="172" s="1"/>
  <c r="AO932" i="172"/>
  <c r="AR932" i="172" s="1"/>
  <c r="AU932" i="172" s="1"/>
  <c r="AT932" i="172"/>
  <c r="AL932" i="172" a="1"/>
  <c r="AL932" i="172" s="1"/>
  <c r="AP932" i="172" s="1"/>
  <c r="AX931" i="172" s="1"/>
  <c r="AY931" i="172" s="1"/>
  <c r="AO941" i="172"/>
  <c r="AR941" i="172" s="1"/>
  <c r="AU941" i="172" s="1"/>
  <c r="AT941" i="172"/>
  <c r="AL941" i="172" a="1"/>
  <c r="AL941" i="172" s="1"/>
  <c r="AP941" i="172" s="1"/>
  <c r="AX940" i="172" s="1"/>
  <c r="AY940" i="172" s="1"/>
  <c r="AO921" i="172"/>
  <c r="AR921" i="172" s="1"/>
  <c r="AT921" i="172"/>
  <c r="AL921" i="172" a="1"/>
  <c r="AL921" i="172" s="1"/>
  <c r="AP921" i="172" s="1"/>
  <c r="AX920" i="172" s="1"/>
  <c r="AY920" i="172" s="1"/>
  <c r="AO996" i="172"/>
  <c r="AR996" i="172" s="1"/>
  <c r="AT996" i="172"/>
  <c r="AL996" i="172" a="1"/>
  <c r="AL996" i="172" s="1"/>
  <c r="AP996" i="172" s="1"/>
  <c r="AO988" i="172"/>
  <c r="AR988" i="172" s="1"/>
  <c r="AU988" i="172" s="1"/>
  <c r="AT988" i="172"/>
  <c r="AL988" i="172" a="1"/>
  <c r="AL988" i="172" s="1"/>
  <c r="AP988" i="172" s="1"/>
  <c r="AX987" i="172" s="1"/>
  <c r="AY987" i="172" s="1"/>
  <c r="AO980" i="172"/>
  <c r="AR980" i="172" s="1"/>
  <c r="AT980" i="172"/>
  <c r="AL980" i="172" a="1"/>
  <c r="AL980" i="172" s="1"/>
  <c r="AP980" i="172" s="1"/>
  <c r="AO972" i="172"/>
  <c r="AR972" i="172" s="1"/>
  <c r="AT972" i="172"/>
  <c r="AL972" i="172" a="1"/>
  <c r="AL972" i="172" s="1"/>
  <c r="AP972" i="172" s="1"/>
  <c r="AO964" i="172"/>
  <c r="AR964" i="172" s="1"/>
  <c r="AT964" i="172"/>
  <c r="AL964" i="172" a="1"/>
  <c r="AL964" i="172" s="1"/>
  <c r="AP964" i="172" s="1"/>
  <c r="AO956" i="172"/>
  <c r="AR956" i="172" s="1"/>
  <c r="AU956" i="172" s="1"/>
  <c r="AT956" i="172"/>
  <c r="AL956" i="172" a="1"/>
  <c r="AL956" i="172" s="1"/>
  <c r="AP956" i="172" s="1"/>
  <c r="AX955" i="172" s="1"/>
  <c r="AY955" i="172" s="1"/>
  <c r="AO948" i="172"/>
  <c r="AR948" i="172" s="1"/>
  <c r="AT948" i="172"/>
  <c r="AL948" i="172" a="1"/>
  <c r="AL948" i="172" s="1"/>
  <c r="AP948" i="172" s="1"/>
  <c r="AO934" i="172"/>
  <c r="AR934" i="172" s="1"/>
  <c r="AT934" i="172"/>
  <c r="AL934" i="172" a="1"/>
  <c r="AL934" i="172" s="1"/>
  <c r="AP934" i="172" s="1"/>
  <c r="AX933" i="172" s="1"/>
  <c r="AY933" i="172" s="1"/>
  <c r="AO903" i="172"/>
  <c r="AR903" i="172" s="1"/>
  <c r="AT903" i="172"/>
  <c r="AL903" i="172" a="1"/>
  <c r="AL903" i="172" s="1"/>
  <c r="AP903" i="172" s="1"/>
  <c r="AX902" i="172" s="1"/>
  <c r="AY902" i="172" s="1"/>
  <c r="AO929" i="172"/>
  <c r="AR929" i="172" s="1"/>
  <c r="AU929" i="172" s="1"/>
  <c r="AT929" i="172"/>
  <c r="AL929" i="172" a="1"/>
  <c r="AL929" i="172" s="1"/>
  <c r="AP929" i="172" s="1"/>
  <c r="AX928" i="172" s="1"/>
  <c r="AY928" i="172" s="1"/>
  <c r="AO907" i="172"/>
  <c r="AR907" i="172" s="1"/>
  <c r="AU907" i="172" s="1"/>
  <c r="AT907" i="172"/>
  <c r="AL907" i="172" a="1"/>
  <c r="AL907" i="172" s="1"/>
  <c r="AP907" i="172" s="1"/>
  <c r="AX906" i="172" s="1"/>
  <c r="AY906" i="172" s="1"/>
  <c r="AO883" i="172"/>
  <c r="AR883" i="172" s="1"/>
  <c r="AT883" i="172"/>
  <c r="AL883" i="172" a="1"/>
  <c r="AL883" i="172" s="1"/>
  <c r="AP883" i="172" s="1"/>
  <c r="AX882" i="172" s="1"/>
  <c r="AY882" i="172" s="1"/>
  <c r="AT867" i="172"/>
  <c r="AO867" i="172"/>
  <c r="AR867" i="172" s="1"/>
  <c r="AL867" i="172" a="1"/>
  <c r="AL867" i="172" s="1"/>
  <c r="AP867" i="172" s="1"/>
  <c r="AX866" i="172" s="1"/>
  <c r="AY866" i="172" s="1"/>
  <c r="AO851" i="172"/>
  <c r="AR851" i="172" s="1"/>
  <c r="AT851" i="172"/>
  <c r="AL851" i="172" a="1"/>
  <c r="AL851" i="172" s="1"/>
  <c r="AP851" i="172" s="1"/>
  <c r="AX850" i="172" s="1"/>
  <c r="AY850" i="172" s="1"/>
  <c r="AO835" i="172"/>
  <c r="AR835" i="172" s="1"/>
  <c r="AT835" i="172"/>
  <c r="AL835" i="172" a="1"/>
  <c r="AL835" i="172" s="1"/>
  <c r="AP835" i="172" s="1"/>
  <c r="AX834" i="172" s="1"/>
  <c r="AY834" i="172" s="1"/>
  <c r="AL819" i="172" a="1"/>
  <c r="AL819" i="172" s="1"/>
  <c r="AP819" i="172" s="1"/>
  <c r="AX818" i="172" s="1"/>
  <c r="AY818" i="172" s="1"/>
  <c r="AT819" i="172"/>
  <c r="AO819" i="172"/>
  <c r="AR819" i="172" s="1"/>
  <c r="AL803" i="172" a="1"/>
  <c r="AL803" i="172" s="1"/>
  <c r="AP803" i="172" s="1"/>
  <c r="AX802" i="172" s="1"/>
  <c r="AY802" i="172" s="1"/>
  <c r="AT803" i="172"/>
  <c r="AO803" i="172"/>
  <c r="AR803" i="172" s="1"/>
  <c r="AU803" i="172" s="1"/>
  <c r="AL789" i="172" a="1"/>
  <c r="AL789" i="172" s="1"/>
  <c r="AP789" i="172" s="1"/>
  <c r="AT789" i="172"/>
  <c r="AO789" i="172"/>
  <c r="AR789" i="172" s="1"/>
  <c r="AU789" i="172" s="1"/>
  <c r="AL773" i="172" a="1"/>
  <c r="AL773" i="172" s="1"/>
  <c r="AP773" i="172" s="1"/>
  <c r="AT773" i="172"/>
  <c r="AO773" i="172"/>
  <c r="AR773" i="172" s="1"/>
  <c r="AL757" i="172" a="1"/>
  <c r="AL757" i="172" s="1"/>
  <c r="AP757" i="172" s="1"/>
  <c r="AT757" i="172"/>
  <c r="AO757" i="172"/>
  <c r="AR757" i="172" s="1"/>
  <c r="AL741" i="172" a="1"/>
  <c r="AL741" i="172" s="1"/>
  <c r="AP741" i="172" s="1"/>
  <c r="AO741" i="172"/>
  <c r="AR741" i="172" s="1"/>
  <c r="AT741" i="172"/>
  <c r="AL723" i="172" a="1"/>
  <c r="AL723" i="172" s="1"/>
  <c r="AP723" i="172" s="1"/>
  <c r="AX722" i="172" s="1"/>
  <c r="AY722" i="172" s="1"/>
  <c r="AO723" i="172"/>
  <c r="AR723" i="172" s="1"/>
  <c r="AT723" i="172"/>
  <c r="AU723" i="172" s="1"/>
  <c r="AL707" i="172" a="1"/>
  <c r="AL707" i="172" s="1"/>
  <c r="AP707" i="172" s="1"/>
  <c r="AX706" i="172" s="1"/>
  <c r="AY706" i="172" s="1"/>
  <c r="AT707" i="172"/>
  <c r="AU707" i="172" s="1"/>
  <c r="AO707" i="172"/>
  <c r="AR707" i="172" s="1"/>
  <c r="AO693" i="172"/>
  <c r="AR693" i="172" s="1"/>
  <c r="AT693" i="172"/>
  <c r="AL693" i="172" a="1"/>
  <c r="AL693" i="172" s="1"/>
  <c r="AP693" i="172" s="1"/>
  <c r="AX692" i="172" s="1"/>
  <c r="AY692" i="172" s="1"/>
  <c r="AO685" i="172"/>
  <c r="AR685" i="172" s="1"/>
  <c r="AT685" i="172"/>
  <c r="AL685" i="172" a="1"/>
  <c r="AL685" i="172" s="1"/>
  <c r="AP685" i="172" s="1"/>
  <c r="AX684" i="172" s="1"/>
  <c r="AY684" i="172" s="1"/>
  <c r="AO677" i="172"/>
  <c r="AR677" i="172" s="1"/>
  <c r="AT677" i="172"/>
  <c r="AL677" i="172" a="1"/>
  <c r="AL677" i="172" s="1"/>
  <c r="AP677" i="172" s="1"/>
  <c r="AX676" i="172" s="1"/>
  <c r="AY676" i="172" s="1"/>
  <c r="AO669" i="172"/>
  <c r="AR669" i="172" s="1"/>
  <c r="AT669" i="172"/>
  <c r="AL669" i="172" a="1"/>
  <c r="AL669" i="172" s="1"/>
  <c r="AP669" i="172" s="1"/>
  <c r="AX668" i="172" s="1"/>
  <c r="AY668" i="172" s="1"/>
  <c r="AO661" i="172"/>
  <c r="AR661" i="172" s="1"/>
  <c r="AT661" i="172"/>
  <c r="AL661" i="172" a="1"/>
  <c r="AL661" i="172" s="1"/>
  <c r="AP661" i="172" s="1"/>
  <c r="AX660" i="172" s="1"/>
  <c r="AY660" i="172" s="1"/>
  <c r="AO653" i="172"/>
  <c r="AR653" i="172" s="1"/>
  <c r="AT653" i="172"/>
  <c r="AL653" i="172" a="1"/>
  <c r="AL653" i="172" s="1"/>
  <c r="AP653" i="172" s="1"/>
  <c r="AX652" i="172" s="1"/>
  <c r="AY652" i="172" s="1"/>
  <c r="AO645" i="172"/>
  <c r="AR645" i="172" s="1"/>
  <c r="AT645" i="172"/>
  <c r="AL645" i="172" a="1"/>
  <c r="AL645" i="172" s="1"/>
  <c r="AP645" i="172" s="1"/>
  <c r="AX644" i="172" s="1"/>
  <c r="AY644" i="172" s="1"/>
  <c r="AO637" i="172"/>
  <c r="AR637" i="172" s="1"/>
  <c r="AT637" i="172"/>
  <c r="AL637" i="172" a="1"/>
  <c r="AL637" i="172" s="1"/>
  <c r="AP637" i="172" s="1"/>
  <c r="AX636" i="172" s="1"/>
  <c r="AY636" i="172" s="1"/>
  <c r="AO629" i="172"/>
  <c r="AR629" i="172" s="1"/>
  <c r="AT629" i="172"/>
  <c r="AL629" i="172" a="1"/>
  <c r="AL629" i="172" s="1"/>
  <c r="AP629" i="172" s="1"/>
  <c r="AX628" i="172" s="1"/>
  <c r="AY628" i="172" s="1"/>
  <c r="AO621" i="172"/>
  <c r="AR621" i="172" s="1"/>
  <c r="AT621" i="172"/>
  <c r="AL621" i="172" a="1"/>
  <c r="AL621" i="172" s="1"/>
  <c r="AP621" i="172" s="1"/>
  <c r="AX620" i="172" s="1"/>
  <c r="AY620" i="172" s="1"/>
  <c r="AO613" i="172"/>
  <c r="AR613" i="172" s="1"/>
  <c r="AT613" i="172"/>
  <c r="AL613" i="172" a="1"/>
  <c r="AL613" i="172" s="1"/>
  <c r="AP613" i="172" s="1"/>
  <c r="AX612" i="172" s="1"/>
  <c r="AY612" i="172" s="1"/>
  <c r="AO605" i="172"/>
  <c r="AR605" i="172" s="1"/>
  <c r="AT605" i="172"/>
  <c r="AL605" i="172" a="1"/>
  <c r="AL605" i="172" s="1"/>
  <c r="AP605" i="172" s="1"/>
  <c r="AX604" i="172" s="1"/>
  <c r="AY604" i="172" s="1"/>
  <c r="AO595" i="172"/>
  <c r="AR595" i="172" s="1"/>
  <c r="AT595" i="172"/>
  <c r="AL595" i="172" a="1"/>
  <c r="AL595" i="172" s="1"/>
  <c r="AP595" i="172" s="1"/>
  <c r="AX594" i="172" s="1"/>
  <c r="AY594" i="172" s="1"/>
  <c r="AL576" i="172" a="1"/>
  <c r="AL576" i="172" s="1"/>
  <c r="AP576" i="172" s="1"/>
  <c r="AX575" i="172" s="1"/>
  <c r="AY575" i="172" s="1"/>
  <c r="AO576" i="172"/>
  <c r="AR576" i="172" s="1"/>
  <c r="AT576" i="172"/>
  <c r="AL553" i="172" a="1"/>
  <c r="AL553" i="172" s="1"/>
  <c r="AP553" i="172" s="1"/>
  <c r="AX552" i="172" s="1"/>
  <c r="AY552" i="172" s="1"/>
  <c r="AT553" i="172"/>
  <c r="AO553" i="172"/>
  <c r="AR553" i="172" s="1"/>
  <c r="AU553" i="172" s="1"/>
  <c r="AL527" i="172" a="1"/>
  <c r="AL527" i="172" s="1"/>
  <c r="AP527" i="172" s="1"/>
  <c r="AO527" i="172"/>
  <c r="AR527" i="172" s="1"/>
  <c r="AU527" i="172" s="1"/>
  <c r="AT527" i="172"/>
  <c r="AL483" i="172" a="1"/>
  <c r="AL483" i="172" s="1"/>
  <c r="AP483" i="172" s="1"/>
  <c r="AX482" i="172" s="1"/>
  <c r="AY482" i="172" s="1"/>
  <c r="AO483" i="172"/>
  <c r="AR483" i="172" s="1"/>
  <c r="AU483" i="172" s="1"/>
  <c r="AT483" i="172"/>
  <c r="AO426" i="172"/>
  <c r="AR426" i="172" s="1"/>
  <c r="AT426" i="172"/>
  <c r="AL426" i="172" a="1"/>
  <c r="AL426" i="172" s="1"/>
  <c r="AP426" i="172" s="1"/>
  <c r="AO410" i="172"/>
  <c r="AR410" i="172" s="1"/>
  <c r="AT410" i="172"/>
  <c r="AL410" i="172" a="1"/>
  <c r="AL410" i="172" s="1"/>
  <c r="AP410" i="172" s="1"/>
  <c r="AO370" i="172"/>
  <c r="AR370" i="172" s="1"/>
  <c r="AT370" i="172"/>
  <c r="AL370" i="172" a="1"/>
  <c r="AL370" i="172" s="1"/>
  <c r="AP370" i="172" s="1"/>
  <c r="AT261" i="172"/>
  <c r="AO261" i="172"/>
  <c r="AR261" i="172" s="1"/>
  <c r="AL261" i="172" a="1"/>
  <c r="AL261" i="172" s="1"/>
  <c r="AP261" i="172" s="1"/>
  <c r="AX260" i="172" s="1"/>
  <c r="AY260" i="172" s="1"/>
  <c r="AT229" i="172"/>
  <c r="AO229" i="172"/>
  <c r="AR229" i="172" s="1"/>
  <c r="AL229" i="172" a="1"/>
  <c r="AL229" i="172" s="1"/>
  <c r="AP229" i="172" s="1"/>
  <c r="AX228" i="172" s="1"/>
  <c r="AY228" i="172" s="1"/>
  <c r="AT177" i="172"/>
  <c r="AU177" i="172" s="1"/>
  <c r="AO177" i="172"/>
  <c r="AR177" i="172" s="1"/>
  <c r="AL177" i="172" a="1"/>
  <c r="AL177" i="172" s="1"/>
  <c r="AP177" i="172" s="1"/>
  <c r="AX176" i="172" s="1"/>
  <c r="AY176" i="172" s="1"/>
  <c r="AO916" i="172"/>
  <c r="AR916" i="172" s="1"/>
  <c r="AU916" i="172" s="1"/>
  <c r="AT916" i="172"/>
  <c r="AL916" i="172" a="1"/>
  <c r="AL916" i="172" s="1"/>
  <c r="AP916" i="172" s="1"/>
  <c r="AX915" i="172" s="1"/>
  <c r="AY915" i="172" s="1"/>
  <c r="AO900" i="172"/>
  <c r="AR900" i="172" s="1"/>
  <c r="AT900" i="172"/>
  <c r="AL900" i="172" a="1"/>
  <c r="AL900" i="172" s="1"/>
  <c r="AP900" i="172" s="1"/>
  <c r="AX899" i="172" s="1"/>
  <c r="AY899" i="172" s="1"/>
  <c r="AO884" i="172"/>
  <c r="AR884" i="172" s="1"/>
  <c r="AT884" i="172"/>
  <c r="AL884" i="172" a="1"/>
  <c r="AL884" i="172" s="1"/>
  <c r="AP884" i="172" s="1"/>
  <c r="AX883" i="172" s="1"/>
  <c r="AY883" i="172" s="1"/>
  <c r="AT868" i="172"/>
  <c r="AO868" i="172"/>
  <c r="AR868" i="172" s="1"/>
  <c r="AL868" i="172" a="1"/>
  <c r="AL868" i="172" s="1"/>
  <c r="AP868" i="172" s="1"/>
  <c r="AO853" i="172"/>
  <c r="AR853" i="172" s="1"/>
  <c r="AT853" i="172"/>
  <c r="AL853" i="172" a="1"/>
  <c r="AL853" i="172" s="1"/>
  <c r="AP853" i="172" s="1"/>
  <c r="AX852" i="172" s="1"/>
  <c r="AY852" i="172" s="1"/>
  <c r="AT838" i="172"/>
  <c r="AO838" i="172"/>
  <c r="AR838" i="172" s="1"/>
  <c r="AL838" i="172" a="1"/>
  <c r="AL838" i="172" s="1"/>
  <c r="AP838" i="172" s="1"/>
  <c r="AX837" i="172" s="1"/>
  <c r="AY837" i="172" s="1"/>
  <c r="AT820" i="172"/>
  <c r="AO820" i="172"/>
  <c r="AR820" i="172" s="1"/>
  <c r="AL820" i="172" a="1"/>
  <c r="AL820" i="172" s="1"/>
  <c r="AP820" i="172" s="1"/>
  <c r="AX819" i="172" s="1"/>
  <c r="AY819" i="172" s="1"/>
  <c r="AT804" i="172"/>
  <c r="AO804" i="172"/>
  <c r="AR804" i="172" s="1"/>
  <c r="AU804" i="172" s="1"/>
  <c r="AL804" i="172" a="1"/>
  <c r="AL804" i="172" s="1"/>
  <c r="AP804" i="172" s="1"/>
  <c r="AL786" i="172" a="1"/>
  <c r="AL786" i="172" s="1"/>
  <c r="AP786" i="172" s="1"/>
  <c r="AX785" i="172" s="1"/>
  <c r="AY785" i="172" s="1"/>
  <c r="AT786" i="172"/>
  <c r="AO786" i="172"/>
  <c r="AR786" i="172" s="1"/>
  <c r="AU786" i="172" s="1"/>
  <c r="AL770" i="172" a="1"/>
  <c r="AL770" i="172" s="1"/>
  <c r="AP770" i="172" s="1"/>
  <c r="AX769" i="172" s="1"/>
  <c r="AY769" i="172" s="1"/>
  <c r="AT770" i="172"/>
  <c r="AO770" i="172"/>
  <c r="AR770" i="172" s="1"/>
  <c r="AL754" i="172" a="1"/>
  <c r="AL754" i="172" s="1"/>
  <c r="AP754" i="172" s="1"/>
  <c r="AX753" i="172" s="1"/>
  <c r="AY753" i="172" s="1"/>
  <c r="AT754" i="172"/>
  <c r="AO754" i="172"/>
  <c r="AR754" i="172" s="1"/>
  <c r="AU754" i="172" s="1"/>
  <c r="AL738" i="172" a="1"/>
  <c r="AL738" i="172" s="1"/>
  <c r="AP738" i="172" s="1"/>
  <c r="AX737" i="172" s="1"/>
  <c r="AY737" i="172" s="1"/>
  <c r="AO738" i="172"/>
  <c r="AR738" i="172" s="1"/>
  <c r="AT738" i="172"/>
  <c r="AL721" i="172" a="1"/>
  <c r="AL721" i="172" s="1"/>
  <c r="AP721" i="172" s="1"/>
  <c r="AX720" i="172" s="1"/>
  <c r="AY720" i="172" s="1"/>
  <c r="AT721" i="172"/>
  <c r="AO721" i="172"/>
  <c r="AR721" i="172" s="1"/>
  <c r="AL705" i="172" a="1"/>
  <c r="AL705" i="172" s="1"/>
  <c r="AP705" i="172" s="1"/>
  <c r="AX704" i="172" s="1"/>
  <c r="AY704" i="172" s="1"/>
  <c r="AT705" i="172"/>
  <c r="AO705" i="172"/>
  <c r="AR705" i="172" s="1"/>
  <c r="AO597" i="172"/>
  <c r="AR597" i="172" s="1"/>
  <c r="AT597" i="172"/>
  <c r="AL597" i="172" a="1"/>
  <c r="AL597" i="172" s="1"/>
  <c r="AP597" i="172" s="1"/>
  <c r="AX596" i="172" s="1"/>
  <c r="AY596" i="172" s="1"/>
  <c r="AL579" i="172" a="1"/>
  <c r="AL579" i="172" s="1"/>
  <c r="AP579" i="172" s="1"/>
  <c r="AX578" i="172" s="1"/>
  <c r="AY578" i="172" s="1"/>
  <c r="AO579" i="172"/>
  <c r="AR579" i="172" s="1"/>
  <c r="AT579" i="172"/>
  <c r="AL556" i="172" a="1"/>
  <c r="AL556" i="172" s="1"/>
  <c r="AP556" i="172" s="1"/>
  <c r="AX555" i="172" s="1"/>
  <c r="AY555" i="172" s="1"/>
  <c r="AO556" i="172"/>
  <c r="AR556" i="172" s="1"/>
  <c r="AT556" i="172"/>
  <c r="AL529" i="172" a="1"/>
  <c r="AL529" i="172" s="1"/>
  <c r="AP529" i="172" s="1"/>
  <c r="AX528" i="172" s="1"/>
  <c r="AY528" i="172" s="1"/>
  <c r="AO529" i="172"/>
  <c r="AR529" i="172" s="1"/>
  <c r="AU529" i="172" s="1"/>
  <c r="AT529" i="172"/>
  <c r="AL471" i="172" a="1"/>
  <c r="AL471" i="172" s="1"/>
  <c r="AP471" i="172" s="1"/>
  <c r="AX470" i="172" s="1"/>
  <c r="AY470" i="172" s="1"/>
  <c r="AT471" i="172"/>
  <c r="AO471" i="172"/>
  <c r="AR471" i="172" s="1"/>
  <c r="AU471" i="172" s="1"/>
  <c r="AT425" i="172"/>
  <c r="AO425" i="172"/>
  <c r="AR425" i="172" s="1"/>
  <c r="AL425" i="172" a="1"/>
  <c r="AL425" i="172" s="1"/>
  <c r="AP425" i="172" s="1"/>
  <c r="AX424" i="172" s="1"/>
  <c r="AY424" i="172" s="1"/>
  <c r="AT409" i="172"/>
  <c r="AO409" i="172"/>
  <c r="AR409" i="172" s="1"/>
  <c r="AL409" i="172" a="1"/>
  <c r="AL409" i="172" s="1"/>
  <c r="AP409" i="172" s="1"/>
  <c r="AX408" i="172" s="1"/>
  <c r="AY408" i="172" s="1"/>
  <c r="AO358" i="172"/>
  <c r="AR358" i="172" s="1"/>
  <c r="AT358" i="172"/>
  <c r="AL358" i="172" a="1"/>
  <c r="AL358" i="172" s="1"/>
  <c r="AP358" i="172" s="1"/>
  <c r="AX357" i="172" s="1"/>
  <c r="AY357" i="172" s="1"/>
  <c r="AO251" i="172"/>
  <c r="AR251" i="172" s="1"/>
  <c r="AT251" i="172"/>
  <c r="AL251" i="172" a="1"/>
  <c r="AL251" i="172" s="1"/>
  <c r="AP251" i="172" s="1"/>
  <c r="AX250" i="172" s="1"/>
  <c r="AY250" i="172" s="1"/>
  <c r="AT220" i="172"/>
  <c r="AO220" i="172"/>
  <c r="AR220" i="172" s="1"/>
  <c r="AL220" i="172" a="1"/>
  <c r="AL220" i="172" s="1"/>
  <c r="AP220" i="172" s="1"/>
  <c r="AX219" i="172" s="1"/>
  <c r="AY219" i="172" s="1"/>
  <c r="AO184" i="172"/>
  <c r="AR184" i="172" s="1"/>
  <c r="AT184" i="172"/>
  <c r="AL184" i="172" a="1"/>
  <c r="AL184" i="172" s="1"/>
  <c r="AP184" i="172" s="1"/>
  <c r="AX183" i="172" s="1"/>
  <c r="AY183" i="172" s="1"/>
  <c r="AO909" i="172"/>
  <c r="AR909" i="172" s="1"/>
  <c r="AT909" i="172"/>
  <c r="AL909" i="172" a="1"/>
  <c r="AL909" i="172" s="1"/>
  <c r="AP909" i="172" s="1"/>
  <c r="AX908" i="172" s="1"/>
  <c r="AY908" i="172" s="1"/>
  <c r="AO893" i="172"/>
  <c r="AR893" i="172" s="1"/>
  <c r="AT893" i="172"/>
  <c r="AL893" i="172" a="1"/>
  <c r="AL893" i="172" s="1"/>
  <c r="AP893" i="172" s="1"/>
  <c r="AX892" i="172" s="1"/>
  <c r="AY892" i="172" s="1"/>
  <c r="AO877" i="172"/>
  <c r="AR877" i="172" s="1"/>
  <c r="AT877" i="172"/>
  <c r="AL877" i="172" a="1"/>
  <c r="AL877" i="172" s="1"/>
  <c r="AP877" i="172" s="1"/>
  <c r="AX876" i="172" s="1"/>
  <c r="AY876" i="172" s="1"/>
  <c r="AO861" i="172"/>
  <c r="AR861" i="172" s="1"/>
  <c r="AT861" i="172"/>
  <c r="AL861" i="172" a="1"/>
  <c r="AL861" i="172" s="1"/>
  <c r="AP861" i="172" s="1"/>
  <c r="AX860" i="172" s="1"/>
  <c r="AY860" i="172" s="1"/>
  <c r="AT844" i="172"/>
  <c r="AO844" i="172"/>
  <c r="AR844" i="172" s="1"/>
  <c r="AU844" i="172" s="1"/>
  <c r="AL844" i="172" a="1"/>
  <c r="AL844" i="172" s="1"/>
  <c r="AP844" i="172" s="1"/>
  <c r="AX843" i="172" s="1"/>
  <c r="AY843" i="172" s="1"/>
  <c r="AL823" i="172" a="1"/>
  <c r="AL823" i="172" s="1"/>
  <c r="AP823" i="172" s="1"/>
  <c r="AX822" i="172" s="1"/>
  <c r="AY822" i="172" s="1"/>
  <c r="AT823" i="172"/>
  <c r="AO823" i="172"/>
  <c r="AR823" i="172" s="1"/>
  <c r="AL807" i="172" a="1"/>
  <c r="AL807" i="172" s="1"/>
  <c r="AP807" i="172" s="1"/>
  <c r="AX806" i="172" s="1"/>
  <c r="AY806" i="172" s="1"/>
  <c r="AT807" i="172"/>
  <c r="AO807" i="172"/>
  <c r="AR807" i="172" s="1"/>
  <c r="AL791" i="172" a="1"/>
  <c r="AL791" i="172" s="1"/>
  <c r="AP791" i="172" s="1"/>
  <c r="AX790" i="172" s="1"/>
  <c r="AY790" i="172" s="1"/>
  <c r="AT791" i="172"/>
  <c r="AO791" i="172"/>
  <c r="AR791" i="172" s="1"/>
  <c r="AU791" i="172" s="1"/>
  <c r="AL775" i="172" a="1"/>
  <c r="AL775" i="172" s="1"/>
  <c r="AP775" i="172" s="1"/>
  <c r="AX774" i="172" s="1"/>
  <c r="AY774" i="172" s="1"/>
  <c r="AT775" i="172"/>
  <c r="AO775" i="172"/>
  <c r="AR775" i="172" s="1"/>
  <c r="AL759" i="172" a="1"/>
  <c r="AL759" i="172" s="1"/>
  <c r="AP759" i="172" s="1"/>
  <c r="AX758" i="172" s="1"/>
  <c r="AY758" i="172" s="1"/>
  <c r="AT759" i="172"/>
  <c r="AO759" i="172"/>
  <c r="AR759" i="172" s="1"/>
  <c r="AU759" i="172" s="1"/>
  <c r="AL743" i="172" a="1"/>
  <c r="AL743" i="172" s="1"/>
  <c r="AP743" i="172" s="1"/>
  <c r="AX742" i="172" s="1"/>
  <c r="AY742" i="172" s="1"/>
  <c r="AO743" i="172"/>
  <c r="AR743" i="172" s="1"/>
  <c r="AT743" i="172"/>
  <c r="AL727" i="172" a="1"/>
  <c r="AL727" i="172" s="1"/>
  <c r="AP727" i="172" s="1"/>
  <c r="AX726" i="172" s="1"/>
  <c r="AY726" i="172" s="1"/>
  <c r="AT727" i="172"/>
  <c r="AO727" i="172"/>
  <c r="AR727" i="172" s="1"/>
  <c r="AL711" i="172" a="1"/>
  <c r="AL711" i="172" s="1"/>
  <c r="AP711" i="172" s="1"/>
  <c r="AX710" i="172" s="1"/>
  <c r="AY710" i="172" s="1"/>
  <c r="AO711" i="172"/>
  <c r="AR711" i="172" s="1"/>
  <c r="AT711" i="172"/>
  <c r="AL695" i="172" a="1"/>
  <c r="AL695" i="172" s="1"/>
  <c r="AP695" i="172" s="1"/>
  <c r="AX694" i="172" s="1"/>
  <c r="AY694" i="172" s="1"/>
  <c r="AO695" i="172"/>
  <c r="AR695" i="172" s="1"/>
  <c r="AT695" i="172"/>
  <c r="AO687" i="172"/>
  <c r="AR687" i="172" s="1"/>
  <c r="AT687" i="172"/>
  <c r="AL687" i="172" a="1"/>
  <c r="AL687" i="172" s="1"/>
  <c r="AP687" i="172" s="1"/>
  <c r="AX686" i="172" s="1"/>
  <c r="AY686" i="172" s="1"/>
  <c r="AO679" i="172"/>
  <c r="AR679" i="172" s="1"/>
  <c r="AT679" i="172"/>
  <c r="AL679" i="172" a="1"/>
  <c r="AL679" i="172" s="1"/>
  <c r="AP679" i="172" s="1"/>
  <c r="AX678" i="172" s="1"/>
  <c r="AY678" i="172" s="1"/>
  <c r="AO671" i="172"/>
  <c r="AR671" i="172" s="1"/>
  <c r="AT671" i="172"/>
  <c r="AL671" i="172" a="1"/>
  <c r="AL671" i="172" s="1"/>
  <c r="AP671" i="172" s="1"/>
  <c r="AX670" i="172" s="1"/>
  <c r="AY670" i="172" s="1"/>
  <c r="AO663" i="172"/>
  <c r="AR663" i="172" s="1"/>
  <c r="AT663" i="172"/>
  <c r="AL663" i="172" a="1"/>
  <c r="AL663" i="172" s="1"/>
  <c r="AP663" i="172" s="1"/>
  <c r="AX662" i="172" s="1"/>
  <c r="AY662" i="172" s="1"/>
  <c r="AO655" i="172"/>
  <c r="AR655" i="172" s="1"/>
  <c r="AT655" i="172"/>
  <c r="AL655" i="172" a="1"/>
  <c r="AL655" i="172" s="1"/>
  <c r="AP655" i="172" s="1"/>
  <c r="AX654" i="172" s="1"/>
  <c r="AY654" i="172" s="1"/>
  <c r="AO647" i="172"/>
  <c r="AR647" i="172" s="1"/>
  <c r="AT647" i="172"/>
  <c r="AL647" i="172" a="1"/>
  <c r="AL647" i="172" s="1"/>
  <c r="AP647" i="172" s="1"/>
  <c r="AX646" i="172" s="1"/>
  <c r="AY646" i="172" s="1"/>
  <c r="AO639" i="172"/>
  <c r="AR639" i="172" s="1"/>
  <c r="AT639" i="172"/>
  <c r="AL639" i="172" a="1"/>
  <c r="AL639" i="172" s="1"/>
  <c r="AP639" i="172" s="1"/>
  <c r="AX638" i="172" s="1"/>
  <c r="AY638" i="172" s="1"/>
  <c r="AO631" i="172"/>
  <c r="AR631" i="172" s="1"/>
  <c r="AT631" i="172"/>
  <c r="AL631" i="172" a="1"/>
  <c r="AL631" i="172" s="1"/>
  <c r="AP631" i="172" s="1"/>
  <c r="AX630" i="172" s="1"/>
  <c r="AY630" i="172" s="1"/>
  <c r="AO623" i="172"/>
  <c r="AR623" i="172" s="1"/>
  <c r="AT623" i="172"/>
  <c r="AL623" i="172" a="1"/>
  <c r="AL623" i="172" s="1"/>
  <c r="AP623" i="172" s="1"/>
  <c r="AX622" i="172" s="1"/>
  <c r="AY622" i="172" s="1"/>
  <c r="AO615" i="172"/>
  <c r="AR615" i="172" s="1"/>
  <c r="AT615" i="172"/>
  <c r="AL615" i="172" a="1"/>
  <c r="AL615" i="172" s="1"/>
  <c r="AP615" i="172" s="1"/>
  <c r="AX614" i="172" s="1"/>
  <c r="AY614" i="172" s="1"/>
  <c r="AO607" i="172"/>
  <c r="AR607" i="172" s="1"/>
  <c r="AT607" i="172"/>
  <c r="AL607" i="172" a="1"/>
  <c r="AL607" i="172" s="1"/>
  <c r="AP607" i="172" s="1"/>
  <c r="AX606" i="172" s="1"/>
  <c r="AY606" i="172" s="1"/>
  <c r="AL592" i="172" a="1"/>
  <c r="AL592" i="172" s="1"/>
  <c r="AP592" i="172" s="1"/>
  <c r="AX591" i="172" s="1"/>
  <c r="AY591" i="172" s="1"/>
  <c r="AO592" i="172"/>
  <c r="AR592" i="172" s="1"/>
  <c r="AT592" i="172"/>
  <c r="AL577" i="172" a="1"/>
  <c r="AL577" i="172" s="1"/>
  <c r="AP577" i="172" s="1"/>
  <c r="AO577" i="172"/>
  <c r="AR577" i="172" s="1"/>
  <c r="AT577" i="172"/>
  <c r="AL559" i="172" a="1"/>
  <c r="AL559" i="172" s="1"/>
  <c r="AP559" i="172" s="1"/>
  <c r="AO559" i="172"/>
  <c r="AR559" i="172" s="1"/>
  <c r="AT559" i="172"/>
  <c r="AL539" i="172" a="1"/>
  <c r="AL539" i="172" s="1"/>
  <c r="AP539" i="172" s="1"/>
  <c r="AX538" i="172" s="1"/>
  <c r="AY538" i="172" s="1"/>
  <c r="AT539" i="172"/>
  <c r="AO539" i="172"/>
  <c r="AR539" i="172" s="1"/>
  <c r="AL491" i="172" a="1"/>
  <c r="AL491" i="172" s="1"/>
  <c r="AP491" i="172" s="1"/>
  <c r="AX490" i="172" s="1"/>
  <c r="AY490" i="172" s="1"/>
  <c r="AO491" i="172"/>
  <c r="AR491" i="172" s="1"/>
  <c r="AT491" i="172"/>
  <c r="AO432" i="172"/>
  <c r="AR432" i="172" s="1"/>
  <c r="AT432" i="172"/>
  <c r="AL432" i="172" a="1"/>
  <c r="AL432" i="172" s="1"/>
  <c r="AP432" i="172" s="1"/>
  <c r="AX431" i="172" s="1"/>
  <c r="AY431" i="172" s="1"/>
  <c r="AO416" i="172"/>
  <c r="AR416" i="172" s="1"/>
  <c r="AT416" i="172"/>
  <c r="AL416" i="172" a="1"/>
  <c r="AL416" i="172" s="1"/>
  <c r="AP416" i="172" s="1"/>
  <c r="AX415" i="172" s="1"/>
  <c r="AY415" i="172" s="1"/>
  <c r="AO394" i="172"/>
  <c r="AR394" i="172" s="1"/>
  <c r="AT394" i="172"/>
  <c r="AL394" i="172" a="1"/>
  <c r="AL394" i="172" s="1"/>
  <c r="AP394" i="172" s="1"/>
  <c r="AX393" i="172" s="1"/>
  <c r="AY393" i="172" s="1"/>
  <c r="AT272" i="172"/>
  <c r="AO272" i="172"/>
  <c r="AR272" i="172" s="1"/>
  <c r="AL272" i="172" a="1"/>
  <c r="AL272" i="172" s="1"/>
  <c r="AP272" i="172" s="1"/>
  <c r="AT241" i="172"/>
  <c r="AO241" i="172"/>
  <c r="AR241" i="172" s="1"/>
  <c r="AU241" i="172" s="1"/>
  <c r="AL241" i="172" a="1"/>
  <c r="AL241" i="172" s="1"/>
  <c r="AP241" i="172" s="1"/>
  <c r="AX240" i="172" s="1"/>
  <c r="AY240" i="172" s="1"/>
  <c r="AT209" i="172"/>
  <c r="AO209" i="172"/>
  <c r="AR209" i="172" s="1"/>
  <c r="AL209" i="172" a="1"/>
  <c r="AL209" i="172" s="1"/>
  <c r="AP209" i="172" s="1"/>
  <c r="AX208" i="172" s="1"/>
  <c r="AY208" i="172" s="1"/>
  <c r="AT179" i="172"/>
  <c r="AO179" i="172"/>
  <c r="AR179" i="172" s="1"/>
  <c r="AL179" i="172" a="1"/>
  <c r="AL179" i="172" s="1"/>
  <c r="AP179" i="172" s="1"/>
  <c r="AX178" i="172" s="1"/>
  <c r="AY178" i="172" s="1"/>
  <c r="AO926" i="172"/>
  <c r="AR926" i="172" s="1"/>
  <c r="AT926" i="172"/>
  <c r="AL926" i="172" a="1"/>
  <c r="AL926" i="172" s="1"/>
  <c r="AP926" i="172" s="1"/>
  <c r="AX925" i="172" s="1"/>
  <c r="AY925" i="172" s="1"/>
  <c r="AO910" i="172"/>
  <c r="AR910" i="172" s="1"/>
  <c r="AT910" i="172"/>
  <c r="AL910" i="172" a="1"/>
  <c r="AL910" i="172" s="1"/>
  <c r="AP910" i="172" s="1"/>
  <c r="AX909" i="172" s="1"/>
  <c r="AY909" i="172" s="1"/>
  <c r="AO894" i="172"/>
  <c r="AR894" i="172" s="1"/>
  <c r="AU894" i="172" s="1"/>
  <c r="AT894" i="172"/>
  <c r="AL894" i="172" a="1"/>
  <c r="AL894" i="172" s="1"/>
  <c r="AP894" i="172" s="1"/>
  <c r="AO878" i="172"/>
  <c r="AR878" i="172" s="1"/>
  <c r="AT878" i="172"/>
  <c r="AL878" i="172" a="1"/>
  <c r="AL878" i="172" s="1"/>
  <c r="AP878" i="172" s="1"/>
  <c r="AX877" i="172" s="1"/>
  <c r="AY877" i="172" s="1"/>
  <c r="AO862" i="172"/>
  <c r="AR862" i="172" s="1"/>
  <c r="AT862" i="172"/>
  <c r="AL862" i="172" a="1"/>
  <c r="AL862" i="172" s="1"/>
  <c r="AP862" i="172" s="1"/>
  <c r="AT846" i="172"/>
  <c r="AO846" i="172"/>
  <c r="AR846" i="172" s="1"/>
  <c r="AL846" i="172" a="1"/>
  <c r="AL846" i="172" s="1"/>
  <c r="AP846" i="172" s="1"/>
  <c r="AX845" i="172" s="1"/>
  <c r="AY845" i="172" s="1"/>
  <c r="AL833" i="172" a="1"/>
  <c r="AL833" i="172" s="1"/>
  <c r="AP833" i="172" s="1"/>
  <c r="AX832" i="172" s="1"/>
  <c r="AY832" i="172" s="1"/>
  <c r="AO833" i="172"/>
  <c r="AR833" i="172" s="1"/>
  <c r="AT833" i="172"/>
  <c r="AL817" i="172" a="1"/>
  <c r="AL817" i="172" s="1"/>
  <c r="AP817" i="172" s="1"/>
  <c r="AX816" i="172" s="1"/>
  <c r="AY816" i="172" s="1"/>
  <c r="AO817" i="172"/>
  <c r="AR817" i="172" s="1"/>
  <c r="AT817" i="172"/>
  <c r="AL801" i="172" a="1"/>
  <c r="AL801" i="172" s="1"/>
  <c r="AP801" i="172" s="1"/>
  <c r="AX800" i="172" s="1"/>
  <c r="AY800" i="172" s="1"/>
  <c r="AT801" i="172"/>
  <c r="AO801" i="172"/>
  <c r="AR801" i="172" s="1"/>
  <c r="AU801" i="172" s="1"/>
  <c r="AL788" i="172" a="1"/>
  <c r="AL788" i="172" s="1"/>
  <c r="AP788" i="172" s="1"/>
  <c r="AX787" i="172" s="1"/>
  <c r="AY787" i="172" s="1"/>
  <c r="AT788" i="172"/>
  <c r="AO788" i="172"/>
  <c r="AR788" i="172" s="1"/>
  <c r="AU788" i="172" s="1"/>
  <c r="AL772" i="172" a="1"/>
  <c r="AL772" i="172" s="1"/>
  <c r="AP772" i="172" s="1"/>
  <c r="AX771" i="172" s="1"/>
  <c r="AY771" i="172" s="1"/>
  <c r="AT772" i="172"/>
  <c r="AO772" i="172"/>
  <c r="AR772" i="172" s="1"/>
  <c r="AU772" i="172" s="1"/>
  <c r="AL756" i="172" a="1"/>
  <c r="AL756" i="172" s="1"/>
  <c r="AP756" i="172" s="1"/>
  <c r="AX755" i="172" s="1"/>
  <c r="AY755" i="172" s="1"/>
  <c r="AT756" i="172"/>
  <c r="AO756" i="172"/>
  <c r="AR756" i="172" s="1"/>
  <c r="AL740" i="172" a="1"/>
  <c r="AL740" i="172" s="1"/>
  <c r="AP740" i="172" s="1"/>
  <c r="AX739" i="172" s="1"/>
  <c r="AY739" i="172" s="1"/>
  <c r="AO740" i="172"/>
  <c r="AR740" i="172" s="1"/>
  <c r="AT740" i="172"/>
  <c r="AO725" i="172"/>
  <c r="AR725" i="172" s="1"/>
  <c r="AT725" i="172"/>
  <c r="AU725" i="172" s="1"/>
  <c r="AL725" i="172" a="1"/>
  <c r="AL725" i="172" s="1"/>
  <c r="AP725" i="172" s="1"/>
  <c r="AX724" i="172" s="1"/>
  <c r="AY724" i="172" s="1"/>
  <c r="AL709" i="172" a="1"/>
  <c r="AL709" i="172" s="1"/>
  <c r="AP709" i="172" s="1"/>
  <c r="AX708" i="172" s="1"/>
  <c r="AY708" i="172" s="1"/>
  <c r="AO709" i="172"/>
  <c r="AR709" i="172" s="1"/>
  <c r="AT709" i="172"/>
  <c r="AU709" i="172" s="1"/>
  <c r="AL602" i="172" a="1"/>
  <c r="AL602" i="172" s="1"/>
  <c r="AP602" i="172" s="1"/>
  <c r="AX601" i="172" s="1"/>
  <c r="AY601" i="172" s="1"/>
  <c r="AO602" i="172"/>
  <c r="AR602" i="172" s="1"/>
  <c r="AT602" i="172"/>
  <c r="AL586" i="172" a="1"/>
  <c r="AL586" i="172" s="1"/>
  <c r="AP586" i="172" s="1"/>
  <c r="AX585" i="172" s="1"/>
  <c r="AY585" i="172" s="1"/>
  <c r="AT586" i="172"/>
  <c r="AO586" i="172"/>
  <c r="AR586" i="172" s="1"/>
  <c r="AL571" i="172" a="1"/>
  <c r="AL571" i="172" s="1"/>
  <c r="AP571" i="172" s="1"/>
  <c r="AX570" i="172" s="1"/>
  <c r="AY570" i="172" s="1"/>
  <c r="AO571" i="172"/>
  <c r="AR571" i="172" s="1"/>
  <c r="AT571" i="172"/>
  <c r="AT548" i="172"/>
  <c r="AO548" i="172"/>
  <c r="AR548" i="172" s="1"/>
  <c r="AL548" i="172" a="1"/>
  <c r="AL548" i="172" s="1"/>
  <c r="AP548" i="172" s="1"/>
  <c r="AX547" i="172" s="1"/>
  <c r="AY547" i="172" s="1"/>
  <c r="AL511" i="172" a="1"/>
  <c r="AL511" i="172" s="1"/>
  <c r="AP511" i="172" s="1"/>
  <c r="AO511" i="172"/>
  <c r="AR511" i="172" s="1"/>
  <c r="AU511" i="172" s="1"/>
  <c r="AT511" i="172"/>
  <c r="AL447" i="172" a="1"/>
  <c r="AL447" i="172" s="1"/>
  <c r="AP447" i="172" s="1"/>
  <c r="AO447" i="172"/>
  <c r="AR447" i="172" s="1"/>
  <c r="AT447" i="172"/>
  <c r="AT419" i="172"/>
  <c r="AO419" i="172"/>
  <c r="AR419" i="172" s="1"/>
  <c r="AL419" i="172" a="1"/>
  <c r="AL419" i="172" s="1"/>
  <c r="AP419" i="172" s="1"/>
  <c r="AX418" i="172" s="1"/>
  <c r="AY418" i="172" s="1"/>
  <c r="AT403" i="172"/>
  <c r="AO403" i="172"/>
  <c r="AR403" i="172" s="1"/>
  <c r="AL403" i="172" a="1"/>
  <c r="AL403" i="172" s="1"/>
  <c r="AP403" i="172" s="1"/>
  <c r="AX402" i="172" s="1"/>
  <c r="AY402" i="172" s="1"/>
  <c r="AL350" i="172" a="1"/>
  <c r="AL350" i="172" s="1"/>
  <c r="AP350" i="172" s="1"/>
  <c r="AX349" i="172" s="1"/>
  <c r="AY349" i="172" s="1"/>
  <c r="AO350" i="172"/>
  <c r="AR350" i="172" s="1"/>
  <c r="AT350" i="172"/>
  <c r="AO255" i="172"/>
  <c r="AR255" i="172" s="1"/>
  <c r="AT255" i="172"/>
  <c r="AL255" i="172" a="1"/>
  <c r="AL255" i="172" s="1"/>
  <c r="AP255" i="172" s="1"/>
  <c r="AT217" i="172"/>
  <c r="AO217" i="172"/>
  <c r="AR217" i="172" s="1"/>
  <c r="AL217" i="172" a="1"/>
  <c r="AL217" i="172" s="1"/>
  <c r="AP217" i="172" s="1"/>
  <c r="AT182" i="172"/>
  <c r="AO182" i="172"/>
  <c r="AR182" i="172" s="1"/>
  <c r="AL182" i="172" a="1"/>
  <c r="AL182" i="172" s="1"/>
  <c r="AP182" i="172" s="1"/>
  <c r="AX181" i="172" s="1"/>
  <c r="AY181" i="172" s="1"/>
  <c r="AT169" i="172"/>
  <c r="AO169" i="172"/>
  <c r="AR169" i="172" s="1"/>
  <c r="AL169" i="172" a="1"/>
  <c r="AL169" i="172" s="1"/>
  <c r="AP169" i="172" s="1"/>
  <c r="AX168" i="172" s="1"/>
  <c r="AY168" i="172" s="1"/>
  <c r="AO165" i="172"/>
  <c r="AR165" i="172" s="1"/>
  <c r="AT165" i="172"/>
  <c r="AL165" i="172" a="1"/>
  <c r="AL165" i="172" s="1"/>
  <c r="AP165" i="172" s="1"/>
  <c r="AX164" i="172" s="1"/>
  <c r="AY164" i="172" s="1"/>
  <c r="AT161" i="172"/>
  <c r="AO161" i="172"/>
  <c r="AR161" i="172" s="1"/>
  <c r="AU161" i="172" s="1"/>
  <c r="AL161" i="172" a="1"/>
  <c r="AL161" i="172" s="1"/>
  <c r="AP161" i="172" s="1"/>
  <c r="AX160" i="172" s="1"/>
  <c r="AY160" i="172" s="1"/>
  <c r="AO145" i="172"/>
  <c r="AR145" i="172" s="1"/>
  <c r="AT145" i="172"/>
  <c r="AL145" i="172" a="1"/>
  <c r="AL145" i="172" s="1"/>
  <c r="AP145" i="172" s="1"/>
  <c r="AX144" i="172" s="1"/>
  <c r="AY144" i="172" s="1"/>
  <c r="AL136" i="172" a="1"/>
  <c r="AL136" i="172" s="1"/>
  <c r="AP136" i="172" s="1"/>
  <c r="AX135" i="172" s="1"/>
  <c r="AY135" i="172" s="1"/>
  <c r="AO136" i="172"/>
  <c r="AR136" i="172" s="1"/>
  <c r="AU136" i="172" s="1"/>
  <c r="AT136" i="172"/>
  <c r="AL128" i="172" a="1"/>
  <c r="AL128" i="172" s="1"/>
  <c r="AP128" i="172" s="1"/>
  <c r="AX127" i="172" s="1"/>
  <c r="AY127" i="172" s="1"/>
  <c r="AT128" i="172"/>
  <c r="AO128" i="172"/>
  <c r="AR128" i="172" s="1"/>
  <c r="AL120" i="172" a="1"/>
  <c r="AL120" i="172" s="1"/>
  <c r="AP120" i="172" s="1"/>
  <c r="AX119" i="172" s="1"/>
  <c r="AY119" i="172" s="1"/>
  <c r="AO120" i="172"/>
  <c r="AR120" i="172" s="1"/>
  <c r="AT120" i="172"/>
  <c r="AL112" i="172" a="1"/>
  <c r="AL112" i="172" s="1"/>
  <c r="AP112" i="172" s="1"/>
  <c r="AX111" i="172" s="1"/>
  <c r="AY111" i="172" s="1"/>
  <c r="AO112" i="172"/>
  <c r="AR112" i="172" s="1"/>
  <c r="AT112" i="172"/>
  <c r="AL104" i="172" a="1"/>
  <c r="AL104" i="172" s="1"/>
  <c r="AP104" i="172" s="1"/>
  <c r="AX103" i="172" s="1"/>
  <c r="AY103" i="172" s="1"/>
  <c r="AO104" i="172"/>
  <c r="AR104" i="172" s="1"/>
  <c r="AU104" i="172" s="1"/>
  <c r="AT104" i="172"/>
  <c r="AL96" i="172" a="1"/>
  <c r="AL96" i="172" s="1"/>
  <c r="AP96" i="172" s="1"/>
  <c r="AX95" i="172" s="1"/>
  <c r="AY95" i="172" s="1"/>
  <c r="AT96" i="172"/>
  <c r="AO96" i="172"/>
  <c r="AR96" i="172" s="1"/>
  <c r="AL88" i="172" a="1"/>
  <c r="AL88" i="172" s="1"/>
  <c r="AP88" i="172" s="1"/>
  <c r="AX87" i="172" s="1"/>
  <c r="AY87" i="172" s="1"/>
  <c r="AT88" i="172"/>
  <c r="AO88" i="172"/>
  <c r="AR88" i="172" s="1"/>
  <c r="AL80" i="172" a="1"/>
  <c r="AL80" i="172" s="1"/>
  <c r="AP80" i="172" s="1"/>
  <c r="AX79" i="172" s="1"/>
  <c r="AY79" i="172" s="1"/>
  <c r="AT80" i="172"/>
  <c r="AO80" i="172"/>
  <c r="AR80" i="172" s="1"/>
  <c r="AU80" i="172" s="1"/>
  <c r="AO64" i="172"/>
  <c r="AR64" i="172" s="1"/>
  <c r="AT64" i="172"/>
  <c r="AL64" i="172" a="1"/>
  <c r="AL64" i="172" s="1"/>
  <c r="AP64" i="172" s="1"/>
  <c r="AX63" i="172" s="1"/>
  <c r="AY63" i="172" s="1"/>
  <c r="AO27" i="172"/>
  <c r="AR27" i="172" s="1"/>
  <c r="AT27" i="172"/>
  <c r="AL27" i="172" a="1"/>
  <c r="AL27" i="172" s="1"/>
  <c r="AP27" i="172" s="1"/>
  <c r="AX26" i="172" s="1"/>
  <c r="AY26" i="172" s="1"/>
  <c r="AO536" i="172"/>
  <c r="AR536" i="172" s="1"/>
  <c r="AT536" i="172"/>
  <c r="AL536" i="172" a="1"/>
  <c r="AL536" i="172" s="1"/>
  <c r="AP536" i="172" s="1"/>
  <c r="AX535" i="172" s="1"/>
  <c r="AY535" i="172" s="1"/>
  <c r="AO520" i="172"/>
  <c r="AR520" i="172" s="1"/>
  <c r="AU520" i="172" s="1"/>
  <c r="AT520" i="172"/>
  <c r="AL520" i="172" a="1"/>
  <c r="AL520" i="172" s="1"/>
  <c r="AP520" i="172" s="1"/>
  <c r="AX519" i="172" s="1"/>
  <c r="AY519" i="172" s="1"/>
  <c r="AT504" i="172"/>
  <c r="AO504" i="172"/>
  <c r="AR504" i="172" s="1"/>
  <c r="AU504" i="172" s="1"/>
  <c r="AL504" i="172" a="1"/>
  <c r="AL504" i="172" s="1"/>
  <c r="AP504" i="172" s="1"/>
  <c r="AX503" i="172" s="1"/>
  <c r="AY503" i="172" s="1"/>
  <c r="AT488" i="172"/>
  <c r="AO488" i="172"/>
  <c r="AR488" i="172" s="1"/>
  <c r="AU488" i="172" s="1"/>
  <c r="AL488" i="172" a="1"/>
  <c r="AL488" i="172" s="1"/>
  <c r="AP488" i="172" s="1"/>
  <c r="AX487" i="172" s="1"/>
  <c r="AY487" i="172" s="1"/>
  <c r="AT472" i="172"/>
  <c r="AO472" i="172"/>
  <c r="AR472" i="172" s="1"/>
  <c r="AU472" i="172" s="1"/>
  <c r="AL472" i="172" a="1"/>
  <c r="AL472" i="172" s="1"/>
  <c r="AP472" i="172" s="1"/>
  <c r="AL456" i="172" a="1"/>
  <c r="AL456" i="172" s="1"/>
  <c r="AP456" i="172" s="1"/>
  <c r="AX455" i="172" s="1"/>
  <c r="AY455" i="172" s="1"/>
  <c r="AT456" i="172"/>
  <c r="AO456" i="172"/>
  <c r="AR456" i="172" s="1"/>
  <c r="AL440" i="172" a="1"/>
  <c r="AL440" i="172" s="1"/>
  <c r="AP440" i="172" s="1"/>
  <c r="AX439" i="172" s="1"/>
  <c r="AY439" i="172" s="1"/>
  <c r="AT440" i="172"/>
  <c r="AO440" i="172"/>
  <c r="AR440" i="172" s="1"/>
  <c r="AL395" i="172" a="1"/>
  <c r="AL395" i="172" s="1"/>
  <c r="AP395" i="172" s="1"/>
  <c r="AX394" i="172" s="1"/>
  <c r="AY394" i="172" s="1"/>
  <c r="AO395" i="172"/>
  <c r="AR395" i="172" s="1"/>
  <c r="AT395" i="172"/>
  <c r="AL379" i="172" a="1"/>
  <c r="AL379" i="172" s="1"/>
  <c r="AP379" i="172" s="1"/>
  <c r="AX378" i="172" s="1"/>
  <c r="AY378" i="172" s="1"/>
  <c r="AO379" i="172"/>
  <c r="AR379" i="172" s="1"/>
  <c r="AT379" i="172"/>
  <c r="AL363" i="172" a="1"/>
  <c r="AL363" i="172" s="1"/>
  <c r="AP363" i="172" s="1"/>
  <c r="AX362" i="172" s="1"/>
  <c r="AY362" i="172" s="1"/>
  <c r="AO363" i="172"/>
  <c r="AR363" i="172" s="1"/>
  <c r="AT363" i="172"/>
  <c r="AL347" i="172" a="1"/>
  <c r="AL347" i="172" s="1"/>
  <c r="AP347" i="172" s="1"/>
  <c r="AX346" i="172" s="1"/>
  <c r="AY346" i="172" s="1"/>
  <c r="AT347" i="172"/>
  <c r="AO347" i="172"/>
  <c r="AR347" i="172" s="1"/>
  <c r="AT335" i="172"/>
  <c r="AO335" i="172"/>
  <c r="AR335" i="172" s="1"/>
  <c r="AL335" i="172" a="1"/>
  <c r="AL335" i="172" s="1"/>
  <c r="AP335" i="172" s="1"/>
  <c r="AX334" i="172" s="1"/>
  <c r="AY334" i="172" s="1"/>
  <c r="AO327" i="172"/>
  <c r="AR327" i="172" s="1"/>
  <c r="AT327" i="172"/>
  <c r="AL327" i="172" a="1"/>
  <c r="AL327" i="172" s="1"/>
  <c r="AP327" i="172" s="1"/>
  <c r="AX326" i="172" s="1"/>
  <c r="AY326" i="172" s="1"/>
  <c r="AO319" i="172"/>
  <c r="AR319" i="172" s="1"/>
  <c r="AT319" i="172"/>
  <c r="AL319" i="172" a="1"/>
  <c r="AL319" i="172" s="1"/>
  <c r="AP319" i="172" s="1"/>
  <c r="AX318" i="172" s="1"/>
  <c r="AY318" i="172" s="1"/>
  <c r="AO311" i="172"/>
  <c r="AR311" i="172" s="1"/>
  <c r="AT311" i="172"/>
  <c r="AL311" i="172" a="1"/>
  <c r="AL311" i="172" s="1"/>
  <c r="AP311" i="172" s="1"/>
  <c r="AX310" i="172" s="1"/>
  <c r="AY310" i="172" s="1"/>
  <c r="AO303" i="172"/>
  <c r="AR303" i="172" s="1"/>
  <c r="AT303" i="172"/>
  <c r="AL303" i="172" a="1"/>
  <c r="AL303" i="172" s="1"/>
  <c r="AP303" i="172" s="1"/>
  <c r="AX302" i="172" s="1"/>
  <c r="AY302" i="172" s="1"/>
  <c r="AO295" i="172"/>
  <c r="AR295" i="172" s="1"/>
  <c r="AT295" i="172"/>
  <c r="AL295" i="172" a="1"/>
  <c r="AL295" i="172" s="1"/>
  <c r="AP295" i="172" s="1"/>
  <c r="AX294" i="172" s="1"/>
  <c r="AY294" i="172" s="1"/>
  <c r="AO287" i="172"/>
  <c r="AR287" i="172" s="1"/>
  <c r="AT287" i="172"/>
  <c r="AL287" i="172" a="1"/>
  <c r="AL287" i="172" s="1"/>
  <c r="AP287" i="172" s="1"/>
  <c r="AX286" i="172" s="1"/>
  <c r="AY286" i="172" s="1"/>
  <c r="AT273" i="172"/>
  <c r="AO273" i="172"/>
  <c r="AR273" i="172" s="1"/>
  <c r="AL273" i="172" a="1"/>
  <c r="AL273" i="172" s="1"/>
  <c r="AP273" i="172" s="1"/>
  <c r="AT212" i="172"/>
  <c r="AO212" i="172"/>
  <c r="AR212" i="172" s="1"/>
  <c r="AL212" i="172" a="1"/>
  <c r="AL212" i="172" s="1"/>
  <c r="AP212" i="172" s="1"/>
  <c r="AX211" i="172" s="1"/>
  <c r="AY211" i="172" s="1"/>
  <c r="AL194" i="172" a="1"/>
  <c r="AL194" i="172" s="1"/>
  <c r="AP194" i="172" s="1"/>
  <c r="AX193" i="172" s="1"/>
  <c r="AY193" i="172" s="1"/>
  <c r="AT194" i="172"/>
  <c r="AO194" i="172"/>
  <c r="AR194" i="172" s="1"/>
  <c r="AO149" i="172"/>
  <c r="AR149" i="172" s="1"/>
  <c r="AT149" i="172"/>
  <c r="AL149" i="172" a="1"/>
  <c r="AL149" i="172" s="1"/>
  <c r="AP149" i="172" s="1"/>
  <c r="AX148" i="172" s="1"/>
  <c r="AY148" i="172" s="1"/>
  <c r="AT69" i="172"/>
  <c r="AO69" i="172"/>
  <c r="AR69" i="172" s="1"/>
  <c r="AL69" i="172" a="1"/>
  <c r="AL69" i="172" s="1"/>
  <c r="AP69" i="172" s="1"/>
  <c r="AX68" i="172" s="1"/>
  <c r="AY68" i="172" s="1"/>
  <c r="AT31" i="172"/>
  <c r="AO31" i="172"/>
  <c r="AR31" i="172" s="1"/>
  <c r="AL31" i="172" a="1"/>
  <c r="AL31" i="172" s="1"/>
  <c r="AP31" i="172" s="1"/>
  <c r="AL513" i="172" a="1"/>
  <c r="AL513" i="172" s="1"/>
  <c r="AP513" i="172" s="1"/>
  <c r="AX512" i="172" s="1"/>
  <c r="AY512" i="172" s="1"/>
  <c r="AO513" i="172"/>
  <c r="AR513" i="172" s="1"/>
  <c r="AT513" i="172"/>
  <c r="AL497" i="172" a="1"/>
  <c r="AL497" i="172" s="1"/>
  <c r="AP497" i="172" s="1"/>
  <c r="AX496" i="172" s="1"/>
  <c r="AY496" i="172" s="1"/>
  <c r="AO497" i="172"/>
  <c r="AR497" i="172" s="1"/>
  <c r="AT497" i="172"/>
  <c r="AL481" i="172" a="1"/>
  <c r="AL481" i="172" s="1"/>
  <c r="AP481" i="172" s="1"/>
  <c r="AX480" i="172" s="1"/>
  <c r="AY480" i="172" s="1"/>
  <c r="AO481" i="172"/>
  <c r="AR481" i="172" s="1"/>
  <c r="AU481" i="172" s="1"/>
  <c r="AT481" i="172"/>
  <c r="AL465" i="172" a="1"/>
  <c r="AL465" i="172" s="1"/>
  <c r="AP465" i="172" s="1"/>
  <c r="AX464" i="172" s="1"/>
  <c r="AY464" i="172" s="1"/>
  <c r="AT465" i="172"/>
  <c r="AO465" i="172"/>
  <c r="AR465" i="172" s="1"/>
  <c r="AU465" i="172" s="1"/>
  <c r="AL449" i="172" a="1"/>
  <c r="AL449" i="172" s="1"/>
  <c r="AP449" i="172" s="1"/>
  <c r="AX448" i="172" s="1"/>
  <c r="AY448" i="172" s="1"/>
  <c r="AO449" i="172"/>
  <c r="AR449" i="172" s="1"/>
  <c r="AT449" i="172"/>
  <c r="AT434" i="172"/>
  <c r="AO434" i="172"/>
  <c r="AR434" i="172" s="1"/>
  <c r="AL434" i="172" a="1"/>
  <c r="AL434" i="172" s="1"/>
  <c r="AP434" i="172" s="1"/>
  <c r="AX433" i="172" s="1"/>
  <c r="AY433" i="172" s="1"/>
  <c r="AT388" i="172"/>
  <c r="AO388" i="172"/>
  <c r="AR388" i="172" s="1"/>
  <c r="AL388" i="172" a="1"/>
  <c r="AL388" i="172" s="1"/>
  <c r="AP388" i="172" s="1"/>
  <c r="AX387" i="172" s="1"/>
  <c r="AY387" i="172" s="1"/>
  <c r="AO372" i="172"/>
  <c r="AR372" i="172" s="1"/>
  <c r="AT372" i="172"/>
  <c r="AL372" i="172" a="1"/>
  <c r="AL372" i="172" s="1"/>
  <c r="AP372" i="172" s="1"/>
  <c r="AX371" i="172" s="1"/>
  <c r="AY371" i="172" s="1"/>
  <c r="AT356" i="172"/>
  <c r="AO356" i="172"/>
  <c r="AR356" i="172" s="1"/>
  <c r="AL356" i="172" a="1"/>
  <c r="AL356" i="172" s="1"/>
  <c r="AP356" i="172" s="1"/>
  <c r="AX355" i="172" s="1"/>
  <c r="AY355" i="172" s="1"/>
  <c r="AL338" i="172" a="1"/>
  <c r="AL338" i="172" s="1"/>
  <c r="AP338" i="172" s="1"/>
  <c r="AX337" i="172" s="1"/>
  <c r="AY337" i="172" s="1"/>
  <c r="AO338" i="172"/>
  <c r="AR338" i="172" s="1"/>
  <c r="AT338" i="172"/>
  <c r="AO271" i="172"/>
  <c r="AR271" i="172" s="1"/>
  <c r="AT271" i="172"/>
  <c r="AL271" i="172" a="1"/>
  <c r="AL271" i="172" s="1"/>
  <c r="AP271" i="172" s="1"/>
  <c r="AX270" i="172" s="1"/>
  <c r="AY270" i="172" s="1"/>
  <c r="AT262" i="172"/>
  <c r="AO262" i="172"/>
  <c r="AR262" i="172" s="1"/>
  <c r="AL262" i="172" a="1"/>
  <c r="AL262" i="172" s="1"/>
  <c r="AP262" i="172" s="1"/>
  <c r="AX261" i="172" s="1"/>
  <c r="AY261" i="172" s="1"/>
  <c r="AT254" i="172"/>
  <c r="AO254" i="172"/>
  <c r="AR254" i="172" s="1"/>
  <c r="AL254" i="172" a="1"/>
  <c r="AL254" i="172" s="1"/>
  <c r="AP254" i="172" s="1"/>
  <c r="AX253" i="172" s="1"/>
  <c r="AY253" i="172" s="1"/>
  <c r="AT246" i="172"/>
  <c r="AO246" i="172"/>
  <c r="AR246" i="172" s="1"/>
  <c r="AL246" i="172" a="1"/>
  <c r="AL246" i="172" s="1"/>
  <c r="AP246" i="172" s="1"/>
  <c r="AX245" i="172" s="1"/>
  <c r="AY245" i="172" s="1"/>
  <c r="AT238" i="172"/>
  <c r="AO238" i="172"/>
  <c r="AR238" i="172" s="1"/>
  <c r="AL238" i="172" a="1"/>
  <c r="AL238" i="172" s="1"/>
  <c r="AP238" i="172" s="1"/>
  <c r="AX237" i="172" s="1"/>
  <c r="AY237" i="172" s="1"/>
  <c r="AT230" i="172"/>
  <c r="AO230" i="172"/>
  <c r="AR230" i="172" s="1"/>
  <c r="AU230" i="172" s="1"/>
  <c r="AL230" i="172" a="1"/>
  <c r="AL230" i="172" s="1"/>
  <c r="AP230" i="172" s="1"/>
  <c r="AX229" i="172" s="1"/>
  <c r="AY229" i="172" s="1"/>
  <c r="AL214" i="172" a="1"/>
  <c r="AL214" i="172" s="1"/>
  <c r="AP214" i="172" s="1"/>
  <c r="AX213" i="172" s="1"/>
  <c r="AY213" i="172" s="1"/>
  <c r="AO214" i="172"/>
  <c r="AR214" i="172" s="1"/>
  <c r="AT214" i="172"/>
  <c r="AO199" i="172"/>
  <c r="AR199" i="172" s="1"/>
  <c r="AU199" i="172" s="1"/>
  <c r="AT199" i="172"/>
  <c r="AL199" i="172" a="1"/>
  <c r="AL199" i="172" s="1"/>
  <c r="AP199" i="172" s="1"/>
  <c r="AX198" i="172" s="1"/>
  <c r="AY198" i="172" s="1"/>
  <c r="AO158" i="172"/>
  <c r="AR158" i="172" s="1"/>
  <c r="AT158" i="172"/>
  <c r="AL158" i="172" a="1"/>
  <c r="AL158" i="172" s="1"/>
  <c r="AP158" i="172" s="1"/>
  <c r="AX157" i="172" s="1"/>
  <c r="AY157" i="172" s="1"/>
  <c r="AT142" i="172"/>
  <c r="AO142" i="172"/>
  <c r="AR142" i="172" s="1"/>
  <c r="AL142" i="172" a="1"/>
  <c r="AL142" i="172" s="1"/>
  <c r="AP142" i="172" s="1"/>
  <c r="AX141" i="172" s="1"/>
  <c r="AY141" i="172" s="1"/>
  <c r="AL134" i="172" a="1"/>
  <c r="AL134" i="172" s="1"/>
  <c r="AP134" i="172" s="1"/>
  <c r="AX133" i="172" s="1"/>
  <c r="AY133" i="172" s="1"/>
  <c r="AO134" i="172"/>
  <c r="AR134" i="172" s="1"/>
  <c r="AT134" i="172"/>
  <c r="AL126" i="172" a="1"/>
  <c r="AL126" i="172" s="1"/>
  <c r="AP126" i="172" s="1"/>
  <c r="AX125" i="172" s="1"/>
  <c r="AY125" i="172" s="1"/>
  <c r="AT126" i="172"/>
  <c r="AO126" i="172"/>
  <c r="AR126" i="172" s="1"/>
  <c r="AL118" i="172" a="1"/>
  <c r="AL118" i="172" s="1"/>
  <c r="AP118" i="172" s="1"/>
  <c r="AX117" i="172" s="1"/>
  <c r="AY117" i="172" s="1"/>
  <c r="AO118" i="172"/>
  <c r="AR118" i="172" s="1"/>
  <c r="AU118" i="172" s="1"/>
  <c r="AT118" i="172"/>
  <c r="AL110" i="172" a="1"/>
  <c r="AL110" i="172" s="1"/>
  <c r="AP110" i="172" s="1"/>
  <c r="AX109" i="172" s="1"/>
  <c r="AY109" i="172" s="1"/>
  <c r="AO110" i="172"/>
  <c r="AR110" i="172" s="1"/>
  <c r="AT110" i="172"/>
  <c r="AL102" i="172" a="1"/>
  <c r="AL102" i="172" s="1"/>
  <c r="AP102" i="172" s="1"/>
  <c r="AX101" i="172" s="1"/>
  <c r="AY101" i="172" s="1"/>
  <c r="AT102" i="172"/>
  <c r="AO102" i="172"/>
  <c r="AR102" i="172" s="1"/>
  <c r="AU102" i="172" s="1"/>
  <c r="AL94" i="172" a="1"/>
  <c r="AL94" i="172" s="1"/>
  <c r="AP94" i="172" s="1"/>
  <c r="AX93" i="172" s="1"/>
  <c r="AY93" i="172" s="1"/>
  <c r="AO94" i="172"/>
  <c r="AR94" i="172" s="1"/>
  <c r="AT94" i="172"/>
  <c r="AL86" i="172" a="1"/>
  <c r="AL86" i="172" s="1"/>
  <c r="AP86" i="172" s="1"/>
  <c r="AX85" i="172" s="1"/>
  <c r="AY85" i="172" s="1"/>
  <c r="AT86" i="172"/>
  <c r="AO86" i="172"/>
  <c r="AR86" i="172" s="1"/>
  <c r="AL78" i="172" a="1"/>
  <c r="AL78" i="172" s="1"/>
  <c r="AP78" i="172" s="1"/>
  <c r="AX77" i="172" s="1"/>
  <c r="AY77" i="172" s="1"/>
  <c r="AT78" i="172"/>
  <c r="AO78" i="172"/>
  <c r="AR78" i="172" s="1"/>
  <c r="AL59" i="172" a="1"/>
  <c r="AL59" i="172" s="1"/>
  <c r="AP59" i="172" s="1"/>
  <c r="AX58" i="172" s="1"/>
  <c r="AY58" i="172" s="1"/>
  <c r="AT59" i="172"/>
  <c r="AO59" i="172"/>
  <c r="AR59" i="172" s="1"/>
  <c r="AT24" i="172"/>
  <c r="AO24" i="172"/>
  <c r="AR24" i="172" s="1"/>
  <c r="AL24" i="172" a="1"/>
  <c r="AL24" i="172" s="1"/>
  <c r="AP24" i="172" s="1"/>
  <c r="AL574" i="172" a="1"/>
  <c r="AL574" i="172" s="1"/>
  <c r="AP574" i="172" s="1"/>
  <c r="AX573" i="172" s="1"/>
  <c r="AY573" i="172" s="1"/>
  <c r="AO574" i="172"/>
  <c r="AR574" i="172" s="1"/>
  <c r="AT574" i="172"/>
  <c r="AL558" i="172" a="1"/>
  <c r="AL558" i="172" s="1"/>
  <c r="AP558" i="172" s="1"/>
  <c r="AX557" i="172" s="1"/>
  <c r="AY557" i="172" s="1"/>
  <c r="AT558" i="172"/>
  <c r="AO558" i="172"/>
  <c r="AR558" i="172" s="1"/>
  <c r="AT542" i="172"/>
  <c r="AO542" i="172"/>
  <c r="AR542" i="172" s="1"/>
  <c r="AL542" i="172" a="1"/>
  <c r="AL542" i="172" s="1"/>
  <c r="AP542" i="172" s="1"/>
  <c r="AX541" i="172" s="1"/>
  <c r="AY541" i="172" s="1"/>
  <c r="AT526" i="172"/>
  <c r="AO526" i="172"/>
  <c r="AR526" i="172" s="1"/>
  <c r="AL526" i="172" a="1"/>
  <c r="AL526" i="172" s="1"/>
  <c r="AP526" i="172" s="1"/>
  <c r="AX525" i="172" s="1"/>
  <c r="AY525" i="172" s="1"/>
  <c r="AT510" i="172"/>
  <c r="AO510" i="172"/>
  <c r="AR510" i="172" s="1"/>
  <c r="AL510" i="172" a="1"/>
  <c r="AL510" i="172" s="1"/>
  <c r="AP510" i="172" s="1"/>
  <c r="AX509" i="172" s="1"/>
  <c r="AY509" i="172" s="1"/>
  <c r="AT494" i="172"/>
  <c r="AO494" i="172"/>
  <c r="AR494" i="172" s="1"/>
  <c r="AU494" i="172" s="1"/>
  <c r="AL494" i="172" a="1"/>
  <c r="AL494" i="172" s="1"/>
  <c r="AP494" i="172" s="1"/>
  <c r="AX493" i="172" s="1"/>
  <c r="AY493" i="172" s="1"/>
  <c r="AT478" i="172"/>
  <c r="AO478" i="172"/>
  <c r="AR478" i="172" s="1"/>
  <c r="AU478" i="172" s="1"/>
  <c r="AL478" i="172" a="1"/>
  <c r="AL478" i="172" s="1"/>
  <c r="AP478" i="172" s="1"/>
  <c r="AX477" i="172" s="1"/>
  <c r="AY477" i="172" s="1"/>
  <c r="AL462" i="172" a="1"/>
  <c r="AL462" i="172" s="1"/>
  <c r="AP462" i="172" s="1"/>
  <c r="AX461" i="172" s="1"/>
  <c r="AY461" i="172" s="1"/>
  <c r="AO462" i="172"/>
  <c r="AR462" i="172" s="1"/>
  <c r="AT462" i="172"/>
  <c r="AL446" i="172" a="1"/>
  <c r="AL446" i="172" s="1"/>
  <c r="AP446" i="172" s="1"/>
  <c r="AX445" i="172" s="1"/>
  <c r="AY445" i="172" s="1"/>
  <c r="AO446" i="172"/>
  <c r="AR446" i="172" s="1"/>
  <c r="AT446" i="172"/>
  <c r="AL401" i="172" a="1"/>
  <c r="AL401" i="172" s="1"/>
  <c r="AP401" i="172" s="1"/>
  <c r="AX400" i="172" s="1"/>
  <c r="AY400" i="172" s="1"/>
  <c r="AO401" i="172"/>
  <c r="AR401" i="172" s="1"/>
  <c r="AT401" i="172"/>
  <c r="AL385" i="172" a="1"/>
  <c r="AL385" i="172" s="1"/>
  <c r="AP385" i="172" s="1"/>
  <c r="AX384" i="172" s="1"/>
  <c r="AY384" i="172" s="1"/>
  <c r="AT385" i="172"/>
  <c r="AO385" i="172"/>
  <c r="AR385" i="172" s="1"/>
  <c r="AL369" i="172" a="1"/>
  <c r="AL369" i="172" s="1"/>
  <c r="AP369" i="172" s="1"/>
  <c r="AX368" i="172" s="1"/>
  <c r="AY368" i="172" s="1"/>
  <c r="AT369" i="172"/>
  <c r="AO369" i="172"/>
  <c r="AR369" i="172" s="1"/>
  <c r="AL353" i="172" a="1"/>
  <c r="AL353" i="172" s="1"/>
  <c r="AP353" i="172" s="1"/>
  <c r="AX352" i="172" s="1"/>
  <c r="AY352" i="172" s="1"/>
  <c r="AT353" i="172"/>
  <c r="AO353" i="172"/>
  <c r="AR353" i="172" s="1"/>
  <c r="AL336" i="172" a="1"/>
  <c r="AL336" i="172" s="1"/>
  <c r="AP336" i="172" s="1"/>
  <c r="AT336" i="172"/>
  <c r="AO336" i="172"/>
  <c r="AR336" i="172" s="1"/>
  <c r="AT328" i="172"/>
  <c r="AO328" i="172"/>
  <c r="AR328" i="172" s="1"/>
  <c r="AL328" i="172" a="1"/>
  <c r="AL328" i="172" s="1"/>
  <c r="AP328" i="172" s="1"/>
  <c r="AX327" i="172" s="1"/>
  <c r="AY327" i="172" s="1"/>
  <c r="AT320" i="172"/>
  <c r="AO320" i="172"/>
  <c r="AR320" i="172" s="1"/>
  <c r="AL320" i="172" a="1"/>
  <c r="AL320" i="172" s="1"/>
  <c r="AP320" i="172" s="1"/>
  <c r="AX319" i="172" s="1"/>
  <c r="AY319" i="172" s="1"/>
  <c r="AT312" i="172"/>
  <c r="AO312" i="172"/>
  <c r="AR312" i="172" s="1"/>
  <c r="AL312" i="172" a="1"/>
  <c r="AL312" i="172" s="1"/>
  <c r="AP312" i="172" s="1"/>
  <c r="AX311" i="172" s="1"/>
  <c r="AY311" i="172" s="1"/>
  <c r="AT304" i="172"/>
  <c r="AO304" i="172"/>
  <c r="AR304" i="172" s="1"/>
  <c r="AU304" i="172" s="1"/>
  <c r="AL304" i="172" a="1"/>
  <c r="AL304" i="172" s="1"/>
  <c r="AP304" i="172" s="1"/>
  <c r="AX303" i="172" s="1"/>
  <c r="AY303" i="172" s="1"/>
  <c r="AT296" i="172"/>
  <c r="AO296" i="172"/>
  <c r="AR296" i="172" s="1"/>
  <c r="AL296" i="172" a="1"/>
  <c r="AL296" i="172" s="1"/>
  <c r="AP296" i="172" s="1"/>
  <c r="AX295" i="172" s="1"/>
  <c r="AY295" i="172" s="1"/>
  <c r="AT288" i="172"/>
  <c r="AU288" i="172" s="1"/>
  <c r="AO288" i="172"/>
  <c r="AR288" i="172" s="1"/>
  <c r="AL288" i="172" a="1"/>
  <c r="AL288" i="172" s="1"/>
  <c r="AP288" i="172" s="1"/>
  <c r="AX287" i="172" s="1"/>
  <c r="AY287" i="172" s="1"/>
  <c r="AT274" i="172"/>
  <c r="AO274" i="172"/>
  <c r="AR274" i="172" s="1"/>
  <c r="AL274" i="172" a="1"/>
  <c r="AL274" i="172" s="1"/>
  <c r="AP274" i="172" s="1"/>
  <c r="AX273" i="172" s="1"/>
  <c r="AY273" i="172" s="1"/>
  <c r="AO216" i="172"/>
  <c r="AR216" i="172" s="1"/>
  <c r="AT216" i="172"/>
  <c r="AL216" i="172" a="1"/>
  <c r="AL216" i="172" s="1"/>
  <c r="AP216" i="172" s="1"/>
  <c r="AX215" i="172" s="1"/>
  <c r="AY215" i="172" s="1"/>
  <c r="AL202" i="172" a="1"/>
  <c r="AL202" i="172" s="1"/>
  <c r="AP202" i="172" s="1"/>
  <c r="AX201" i="172" s="1"/>
  <c r="AY201" i="172" s="1"/>
  <c r="AT202" i="172"/>
  <c r="AO202" i="172"/>
  <c r="AR202" i="172" s="1"/>
  <c r="AT156" i="172"/>
  <c r="AO156" i="172"/>
  <c r="AR156" i="172" s="1"/>
  <c r="AL156" i="172" a="1"/>
  <c r="AL156" i="172" s="1"/>
  <c r="AP156" i="172" s="1"/>
  <c r="AX155" i="172" s="1"/>
  <c r="AY155" i="172" s="1"/>
  <c r="AT71" i="172"/>
  <c r="AO71" i="172"/>
  <c r="AR71" i="172" s="1"/>
  <c r="AL71" i="172" a="1"/>
  <c r="AL71" i="172" s="1"/>
  <c r="AP71" i="172" s="1"/>
  <c r="AX70" i="172" s="1"/>
  <c r="AY70" i="172" s="1"/>
  <c r="AO44" i="172"/>
  <c r="AR44" i="172" s="1"/>
  <c r="AT44" i="172"/>
  <c r="AL44" i="172" a="1"/>
  <c r="AL44" i="172" s="1"/>
  <c r="AP44" i="172" s="1"/>
  <c r="AX43" i="172" s="1"/>
  <c r="AY43" i="172" s="1"/>
  <c r="AO12" i="172"/>
  <c r="AR12" i="172" s="1"/>
  <c r="AT12" i="172"/>
  <c r="AL12" i="172" a="1"/>
  <c r="AL12" i="172" s="1"/>
  <c r="AP12" i="172" s="1"/>
  <c r="AX11" i="172" s="1"/>
  <c r="AY11" i="172" s="1"/>
  <c r="AR5" i="172"/>
  <c r="AL55" i="172" a="1"/>
  <c r="AL55" i="172" s="1"/>
  <c r="AP55" i="172" s="1"/>
  <c r="AX54" i="172" s="1"/>
  <c r="AY54" i="172" s="1"/>
  <c r="AT55" i="172"/>
  <c r="AO55" i="172"/>
  <c r="AR55" i="172" s="1"/>
  <c r="AL46" i="172" a="1"/>
  <c r="AL46" i="172" s="1"/>
  <c r="AP46" i="172" s="1"/>
  <c r="AX45" i="172" s="1"/>
  <c r="AY45" i="172" s="1"/>
  <c r="AO46" i="172"/>
  <c r="AR46" i="172" s="1"/>
  <c r="AT46" i="172"/>
  <c r="AT38" i="172"/>
  <c r="AO38" i="172"/>
  <c r="AR38" i="172" s="1"/>
  <c r="AL38" i="172" a="1"/>
  <c r="AL38" i="172" s="1"/>
  <c r="AP38" i="172" s="1"/>
  <c r="AX37" i="172" s="1"/>
  <c r="AY37" i="172" s="1"/>
  <c r="AO30" i="172"/>
  <c r="AR30" i="172" s="1"/>
  <c r="AT30" i="172"/>
  <c r="AL30" i="172" a="1"/>
  <c r="AL30" i="172" s="1"/>
  <c r="AP30" i="172" s="1"/>
  <c r="AX29" i="172" s="1"/>
  <c r="AY29" i="172" s="1"/>
  <c r="AT22" i="172"/>
  <c r="AO22" i="172"/>
  <c r="AR22" i="172" s="1"/>
  <c r="AL22" i="172" a="1"/>
  <c r="AL22" i="172" s="1"/>
  <c r="AP22" i="172" s="1"/>
  <c r="AX21" i="172" s="1"/>
  <c r="AY21" i="172" s="1"/>
  <c r="AO14" i="172"/>
  <c r="AR14" i="172" s="1"/>
  <c r="AT14" i="172"/>
  <c r="AL14" i="172" a="1"/>
  <c r="AL14" i="172" s="1"/>
  <c r="AP14" i="172" s="1"/>
  <c r="AX13" i="172" s="1"/>
  <c r="AY13" i="172" s="1"/>
  <c r="AR6" i="172"/>
  <c r="AT52" i="172"/>
  <c r="AO52" i="172"/>
  <c r="AR52" i="172" s="1"/>
  <c r="AL52" i="172" a="1"/>
  <c r="AL52" i="172" s="1"/>
  <c r="AP52" i="172" s="1"/>
  <c r="AX51" i="172" s="1"/>
  <c r="AY51" i="172" s="1"/>
  <c r="AS1000" i="172"/>
  <c r="AT1000" i="172"/>
  <c r="I1000" i="172"/>
  <c r="AC1000" i="172"/>
  <c r="AD1000" i="172"/>
  <c r="K165" i="171"/>
  <c r="H113" i="172" s="1"/>
  <c r="I113" i="172" s="1"/>
  <c r="K164" i="171"/>
  <c r="H112" i="172" s="1"/>
  <c r="I112" i="172" s="1"/>
  <c r="Y921" i="172" a="1"/>
  <c r="Y921" i="172" s="1"/>
  <c r="Y997" i="172" a="1"/>
  <c r="Y997" i="172" s="1"/>
  <c r="Y994" i="172" a="1"/>
  <c r="Y994" i="172" s="1"/>
  <c r="Y986" i="172" a="1"/>
  <c r="Y986" i="172" s="1"/>
  <c r="Y978" i="172" a="1"/>
  <c r="Y978" i="172" s="1"/>
  <c r="Y970" i="172" a="1"/>
  <c r="Y970" i="172" s="1"/>
  <c r="Y962" i="172" a="1"/>
  <c r="Y962" i="172" s="1"/>
  <c r="Y954" i="172" a="1"/>
  <c r="Y954" i="172" s="1"/>
  <c r="Y946" i="172" a="1"/>
  <c r="Y946" i="172" s="1"/>
  <c r="Y938" i="172" a="1"/>
  <c r="Y938" i="172" s="1"/>
  <c r="Y930" i="172" a="1"/>
  <c r="Y930" i="172" s="1"/>
  <c r="Y915" i="172" a="1"/>
  <c r="Y915" i="172" s="1"/>
  <c r="Y925" i="172" a="1"/>
  <c r="Y925" i="172" s="1"/>
  <c r="Y909" i="172" a="1"/>
  <c r="Y909" i="172" s="1"/>
  <c r="Y985" i="172" a="1"/>
  <c r="Y985" i="172" s="1"/>
  <c r="Y977" i="172" a="1"/>
  <c r="Y977" i="172" s="1"/>
  <c r="Y969" i="172" a="1"/>
  <c r="Y969" i="172" s="1"/>
  <c r="Y961" i="172" a="1"/>
  <c r="Y961" i="172" s="1"/>
  <c r="Y953" i="172" a="1"/>
  <c r="Y953" i="172" s="1"/>
  <c r="Y945" i="172" a="1"/>
  <c r="Y945" i="172" s="1"/>
  <c r="Y937" i="172" a="1"/>
  <c r="Y937" i="172" s="1"/>
  <c r="Y929" i="172" a="1"/>
  <c r="Y929" i="172" s="1"/>
  <c r="Y916" i="172" a="1"/>
  <c r="Y916" i="172" s="1"/>
  <c r="Y895" i="172" a="1"/>
  <c r="Y895" i="172" s="1"/>
  <c r="Y887" i="172" a="1"/>
  <c r="Y887" i="172" s="1"/>
  <c r="Y879" i="172" a="1"/>
  <c r="Y879" i="172" s="1"/>
  <c r="Y871" i="172" a="1"/>
  <c r="Y871" i="172" s="1"/>
  <c r="Y862" i="172" a="1"/>
  <c r="Y862" i="172" s="1"/>
  <c r="Y845" i="172" a="1"/>
  <c r="Y845" i="172" s="1"/>
  <c r="Y834" i="172" a="1"/>
  <c r="Y834" i="172" s="1"/>
  <c r="Y817" i="172" a="1"/>
  <c r="Y817" i="172" s="1"/>
  <c r="Y798" i="172" a="1"/>
  <c r="Y798" i="172" s="1"/>
  <c r="Y771" i="172" a="1"/>
  <c r="Y771" i="172" s="1"/>
  <c r="Y738" i="172" a="1"/>
  <c r="Y738" i="172" s="1"/>
  <c r="Y693" i="172" a="1"/>
  <c r="Y693" i="172" s="1"/>
  <c r="Y602" i="172" a="1"/>
  <c r="Y602" i="172" s="1"/>
  <c r="Y564" i="172" a="1"/>
  <c r="Y564" i="172" s="1"/>
  <c r="Y509" i="172" a="1"/>
  <c r="Y509" i="172" s="1"/>
  <c r="Y251" i="172" a="1"/>
  <c r="Y251" i="172" s="1"/>
  <c r="Y851" i="172" a="1"/>
  <c r="Y851" i="172" s="1"/>
  <c r="Y842" i="172" a="1"/>
  <c r="Y842" i="172" s="1"/>
  <c r="Y821" i="172" a="1"/>
  <c r="Y821" i="172" s="1"/>
  <c r="Y806" i="172" a="1"/>
  <c r="Y806" i="172" s="1"/>
  <c r="Y770" i="172" a="1"/>
  <c r="Y770" i="172" s="1"/>
  <c r="Y720" i="172" a="1"/>
  <c r="Y720" i="172" s="1"/>
  <c r="Y618" i="172" a="1"/>
  <c r="Y618" i="172" s="1"/>
  <c r="Y579" i="172" a="1"/>
  <c r="Y579" i="172" s="1"/>
  <c r="Y476" i="172" a="1"/>
  <c r="Y476" i="172" s="1"/>
  <c r="Y423" i="172" a="1"/>
  <c r="Y423" i="172" s="1"/>
  <c r="Y391" i="172" a="1"/>
  <c r="Y391" i="172" s="1"/>
  <c r="Y359" i="172" a="1"/>
  <c r="Y359" i="172" s="1"/>
  <c r="Y327" i="172" a="1"/>
  <c r="Y327" i="172" s="1"/>
  <c r="Y279" i="172" a="1"/>
  <c r="Y279" i="172" s="1"/>
  <c r="Y912" i="172" a="1"/>
  <c r="Y912" i="172" s="1"/>
  <c r="Y904" i="172" a="1"/>
  <c r="Y904" i="172" s="1"/>
  <c r="Y896" i="172" a="1"/>
  <c r="Y896" i="172" s="1"/>
  <c r="Y888" i="172" a="1"/>
  <c r="Y888" i="172" s="1"/>
  <c r="Y880" i="172" a="1"/>
  <c r="Y880" i="172" s="1"/>
  <c r="Y872" i="172" a="1"/>
  <c r="Y872" i="172" s="1"/>
  <c r="Y864" i="172" a="1"/>
  <c r="Y864" i="172" s="1"/>
  <c r="Y848" i="172" a="1"/>
  <c r="Y848" i="172" s="1"/>
  <c r="Y825" i="172" a="1"/>
  <c r="Y825" i="172" s="1"/>
  <c r="Y803" i="172" a="1"/>
  <c r="Y803" i="172" s="1"/>
  <c r="Y789" i="172" a="1"/>
  <c r="Y789" i="172" s="1"/>
  <c r="Y756" i="172" a="1"/>
  <c r="Y756" i="172" s="1"/>
  <c r="Y662" i="172" a="1"/>
  <c r="Y662" i="172" s="1"/>
  <c r="Y628" i="172" a="1"/>
  <c r="Y628" i="172" s="1"/>
  <c r="Y528" i="172" a="1"/>
  <c r="Y528" i="172" s="1"/>
  <c r="Y480" i="172" a="1"/>
  <c r="Y480" i="172" s="1"/>
  <c r="Y857" i="172" a="1"/>
  <c r="Y857" i="172" s="1"/>
  <c r="Y833" i="172" a="1"/>
  <c r="Y833" i="172" s="1"/>
  <c r="Y823" i="172" a="1"/>
  <c r="Y823" i="172" s="1"/>
  <c r="Y805" i="172" a="1"/>
  <c r="Y805" i="172" s="1"/>
  <c r="Y775" i="172" a="1"/>
  <c r="Y775" i="172" s="1"/>
  <c r="Y723" i="172" a="1"/>
  <c r="Y723" i="172" s="1"/>
  <c r="Y689" i="172" a="1"/>
  <c r="Y689" i="172" s="1"/>
  <c r="Y655" i="172" a="1"/>
  <c r="Y655" i="172" s="1"/>
  <c r="Y582" i="172" a="1"/>
  <c r="Y582" i="172" s="1"/>
  <c r="Y532" i="172" a="1"/>
  <c r="Y532" i="172" s="1"/>
  <c r="Y484" i="172" a="1"/>
  <c r="Y484" i="172" s="1"/>
  <c r="Y420" i="172" a="1"/>
  <c r="Y420" i="172" s="1"/>
  <c r="Y388" i="172" a="1"/>
  <c r="Y388" i="172" s="1"/>
  <c r="Y356" i="172" a="1"/>
  <c r="Y356" i="172" s="1"/>
  <c r="Y324" i="172" a="1"/>
  <c r="Y324" i="172" s="1"/>
  <c r="Y265" i="172" a="1"/>
  <c r="Y265" i="172" s="1"/>
  <c r="Y231" i="172" a="1"/>
  <c r="Y231" i="172" s="1"/>
  <c r="Y24" i="172" a="1"/>
  <c r="Y24" i="172" s="1"/>
  <c r="Y731" i="172" a="1"/>
  <c r="Y731" i="172" s="1"/>
  <c r="Y721" i="172" a="1"/>
  <c r="Y721" i="172" s="1"/>
  <c r="Y699" i="172" a="1"/>
  <c r="Y699" i="172" s="1"/>
  <c r="Y684" i="172" a="1"/>
  <c r="Y684" i="172" s="1"/>
  <c r="Y664" i="172" a="1"/>
  <c r="Y664" i="172" s="1"/>
  <c r="Y653" i="172" a="1"/>
  <c r="Y653" i="172" s="1"/>
  <c r="Y632" i="172" a="1"/>
  <c r="Y632" i="172" s="1"/>
  <c r="Y619" i="172" a="1"/>
  <c r="Y619" i="172" s="1"/>
  <c r="Y606" i="172" a="1"/>
  <c r="Y606" i="172" s="1"/>
  <c r="Y590" i="172" a="1"/>
  <c r="Y590" i="172" s="1"/>
  <c r="Y568" i="172" a="1"/>
  <c r="Y568" i="172" s="1"/>
  <c r="Y558" i="172" a="1"/>
  <c r="Y558" i="172" s="1"/>
  <c r="Y536" i="172" a="1"/>
  <c r="Y536" i="172" s="1"/>
  <c r="Y526" i="172" a="1"/>
  <c r="Y526" i="172" s="1"/>
  <c r="Y510" i="172" a="1"/>
  <c r="Y510" i="172" s="1"/>
  <c r="Y492" i="172" a="1"/>
  <c r="Y492" i="172" s="1"/>
  <c r="Y481" i="172" a="1"/>
  <c r="Y481" i="172" s="1"/>
  <c r="Y472" i="172" a="1"/>
  <c r="Y472" i="172" s="1"/>
  <c r="Y464" i="172" a="1"/>
  <c r="Y464" i="172" s="1"/>
  <c r="Y456" i="172" a="1"/>
  <c r="Y456" i="172" s="1"/>
  <c r="Y448" i="172" a="1"/>
  <c r="Y448" i="172" s="1"/>
  <c r="Y297" i="172" a="1"/>
  <c r="Y297" i="172" s="1"/>
  <c r="Y289" i="172" a="1"/>
  <c r="Y289" i="172" s="1"/>
  <c r="Y277" i="172" a="1"/>
  <c r="Y277" i="172" s="1"/>
  <c r="Y255" i="172" a="1"/>
  <c r="Y255" i="172" s="1"/>
  <c r="Y171" i="172" a="1"/>
  <c r="Y171" i="172" s="1"/>
  <c r="Y143" i="172" a="1"/>
  <c r="Y143" i="172" s="1"/>
  <c r="Y56" i="172" a="1"/>
  <c r="Y56" i="172" s="1"/>
  <c r="Y782" i="172" a="1"/>
  <c r="Y782" i="172" s="1"/>
  <c r="Y763" i="172" a="1"/>
  <c r="Y763" i="172" s="1"/>
  <c r="Y745" i="172" a="1"/>
  <c r="Y745" i="172" s="1"/>
  <c r="Y733" i="172" a="1"/>
  <c r="Y733" i="172" s="1"/>
  <c r="Y722" i="172" a="1"/>
  <c r="Y722" i="172" s="1"/>
  <c r="Y701" i="172" a="1"/>
  <c r="Y701" i="172" s="1"/>
  <c r="Y688" i="172" a="1"/>
  <c r="Y688" i="172" s="1"/>
  <c r="Y675" i="172" a="1"/>
  <c r="Y675" i="172" s="1"/>
  <c r="Y665" i="172" a="1"/>
  <c r="Y665" i="172" s="1"/>
  <c r="Y643" i="172" a="1"/>
  <c r="Y643" i="172" s="1"/>
  <c r="Y633" i="172" a="1"/>
  <c r="Y633" i="172" s="1"/>
  <c r="Y620" i="172" a="1"/>
  <c r="Y620" i="172" s="1"/>
  <c r="Y607" i="172" a="1"/>
  <c r="Y607" i="172" s="1"/>
  <c r="Y576" i="172" a="1"/>
  <c r="Y576" i="172" s="1"/>
  <c r="Y566" i="172" a="1"/>
  <c r="Y566" i="172" s="1"/>
  <c r="Y544" i="172" a="1"/>
  <c r="Y544" i="172" s="1"/>
  <c r="Y534" i="172" a="1"/>
  <c r="Y534" i="172" s="1"/>
  <c r="Y519" i="172" a="1"/>
  <c r="Y519" i="172" s="1"/>
  <c r="Y503" i="172" a="1"/>
  <c r="Y503" i="172" s="1"/>
  <c r="Y486" i="172" a="1"/>
  <c r="Y486" i="172" s="1"/>
  <c r="Y470" i="172" a="1"/>
  <c r="Y470" i="172" s="1"/>
  <c r="Y454" i="172" a="1"/>
  <c r="Y454" i="172" s="1"/>
  <c r="Y441" i="172" a="1"/>
  <c r="Y441" i="172" s="1"/>
  <c r="Y433" i="172" a="1"/>
  <c r="Y433" i="172" s="1"/>
  <c r="Y425" i="172" a="1"/>
  <c r="Y425" i="172" s="1"/>
  <c r="Y417" i="172" a="1"/>
  <c r="Y417" i="172" s="1"/>
  <c r="Y409" i="172" a="1"/>
  <c r="Y409" i="172" s="1"/>
  <c r="Y401" i="172" a="1"/>
  <c r="Y401" i="172" s="1"/>
  <c r="Y393" i="172" a="1"/>
  <c r="Y393" i="172" s="1"/>
  <c r="Y385" i="172" a="1"/>
  <c r="Y385" i="172" s="1"/>
  <c r="Y377" i="172" a="1"/>
  <c r="Y377" i="172" s="1"/>
  <c r="Y369" i="172" a="1"/>
  <c r="Y369" i="172" s="1"/>
  <c r="Y361" i="172" a="1"/>
  <c r="Y361" i="172" s="1"/>
  <c r="Y353" i="172" a="1"/>
  <c r="Y353" i="172" s="1"/>
  <c r="Y345" i="172" a="1"/>
  <c r="Y345" i="172" s="1"/>
  <c r="Y337" i="172" a="1"/>
  <c r="Y337" i="172" s="1"/>
  <c r="Y329" i="172" a="1"/>
  <c r="Y329" i="172" s="1"/>
  <c r="Y321" i="172" a="1"/>
  <c r="Y321" i="172" s="1"/>
  <c r="Y313" i="172" a="1"/>
  <c r="Y313" i="172" s="1"/>
  <c r="Y305" i="172" a="1"/>
  <c r="Y305" i="172" s="1"/>
  <c r="Y291" i="172" a="1"/>
  <c r="Y291" i="172" s="1"/>
  <c r="Y274" i="172" a="1"/>
  <c r="Y274" i="172" s="1"/>
  <c r="Y264" i="172" a="1"/>
  <c r="Y264" i="172" s="1"/>
  <c r="Y237" i="172" a="1"/>
  <c r="Y237" i="172" s="1"/>
  <c r="Y190" i="172" a="1"/>
  <c r="Y190" i="172" s="1"/>
  <c r="Y164" i="172" a="1"/>
  <c r="Y164" i="172" s="1"/>
  <c r="Y83" i="172" a="1"/>
  <c r="Y83" i="172" s="1"/>
  <c r="Y818" i="172" a="1"/>
  <c r="Y818" i="172" s="1"/>
  <c r="Y804" i="172" a="1"/>
  <c r="Y804" i="172" s="1"/>
  <c r="Y788" i="172" a="1"/>
  <c r="Y788" i="172" s="1"/>
  <c r="Y772" i="172" a="1"/>
  <c r="Y772" i="172" s="1"/>
  <c r="Y760" i="172" a="1"/>
  <c r="Y760" i="172" s="1"/>
  <c r="Y743" i="172" a="1"/>
  <c r="Y743" i="172" s="1"/>
  <c r="Y730" i="172" a="1"/>
  <c r="Y730" i="172" s="1"/>
  <c r="Y709" i="172" a="1"/>
  <c r="Y709" i="172" s="1"/>
  <c r="Y698" i="172" a="1"/>
  <c r="Y698" i="172" s="1"/>
  <c r="Y679" i="172" a="1"/>
  <c r="Y679" i="172" s="1"/>
  <c r="Y658" i="172" a="1"/>
  <c r="Y658" i="172" s="1"/>
  <c r="Y647" i="172" a="1"/>
  <c r="Y647" i="172" s="1"/>
  <c r="Y627" i="172" a="1"/>
  <c r="Y627" i="172" s="1"/>
  <c r="Y611" i="172" a="1"/>
  <c r="Y611" i="172" s="1"/>
  <c r="Y592" i="172" a="1"/>
  <c r="Y592" i="172" s="1"/>
  <c r="Y578" i="172" a="1"/>
  <c r="Y578" i="172" s="1"/>
  <c r="Y567" i="172" a="1"/>
  <c r="Y567" i="172" s="1"/>
  <c r="Y546" i="172" a="1"/>
  <c r="Y546" i="172" s="1"/>
  <c r="Y535" i="172" a="1"/>
  <c r="Y535" i="172" s="1"/>
  <c r="Y512" i="172" a="1"/>
  <c r="Y512" i="172" s="1"/>
  <c r="Y494" i="172" a="1"/>
  <c r="Y494" i="172" s="1"/>
  <c r="Y479" i="172" a="1"/>
  <c r="Y479" i="172" s="1"/>
  <c r="Y460" i="172" a="1"/>
  <c r="Y460" i="172" s="1"/>
  <c r="Y443" i="172" a="1"/>
  <c r="Y443" i="172" s="1"/>
  <c r="Y427" i="172" a="1"/>
  <c r="Y427" i="172" s="1"/>
  <c r="Y411" i="172" a="1"/>
  <c r="Y411" i="172" s="1"/>
  <c r="Y395" i="172" a="1"/>
  <c r="Y395" i="172" s="1"/>
  <c r="Y379" i="172" a="1"/>
  <c r="Y379" i="172" s="1"/>
  <c r="Y363" i="172" a="1"/>
  <c r="Y363" i="172" s="1"/>
  <c r="Y347" i="172" a="1"/>
  <c r="Y347" i="172" s="1"/>
  <c r="Y331" i="172" a="1"/>
  <c r="Y331" i="172" s="1"/>
  <c r="Y315" i="172" a="1"/>
  <c r="Y315" i="172" s="1"/>
  <c r="Y300" i="172" a="1"/>
  <c r="Y300" i="172" s="1"/>
  <c r="Y271" i="172" a="1"/>
  <c r="Y271" i="172" s="1"/>
  <c r="Y244" i="172" a="1"/>
  <c r="Y244" i="172" s="1"/>
  <c r="Y206" i="172" a="1"/>
  <c r="Y206" i="172" s="1"/>
  <c r="Y152" i="172" a="1"/>
  <c r="Y152" i="172" s="1"/>
  <c r="Y104" i="172" a="1"/>
  <c r="Y104" i="172" s="1"/>
  <c r="Y59" i="172" a="1"/>
  <c r="Y59" i="172" s="1"/>
  <c r="Y20" i="172" a="1"/>
  <c r="Y20" i="172" s="1"/>
  <c r="Y207" i="172" a="1"/>
  <c r="Y207" i="172" s="1"/>
  <c r="Y194" i="172" a="1"/>
  <c r="Y194" i="172" s="1"/>
  <c r="Y182" i="172" a="1"/>
  <c r="Y182" i="172" s="1"/>
  <c r="Y165" i="172" a="1"/>
  <c r="Y165" i="172" s="1"/>
  <c r="Y150" i="172" a="1"/>
  <c r="Y150" i="172" s="1"/>
  <c r="Y114" i="172" a="1"/>
  <c r="Y114" i="172" s="1"/>
  <c r="Y92" i="172" a="1"/>
  <c r="Y92" i="172" s="1"/>
  <c r="Y74" i="172" a="1"/>
  <c r="Y74" i="172" s="1"/>
  <c r="Y67" i="172" a="1"/>
  <c r="Y67" i="172" s="1"/>
  <c r="Y60" i="172" a="1"/>
  <c r="Y60" i="172" s="1"/>
  <c r="Y51" i="172" a="1"/>
  <c r="Y51" i="172" s="1"/>
  <c r="Y37" i="172" a="1"/>
  <c r="Y37" i="172" s="1"/>
  <c r="Y21" i="172" a="1"/>
  <c r="Y21" i="172" s="1"/>
  <c r="Y232" i="172" a="1"/>
  <c r="Y232" i="172" s="1"/>
  <c r="Y205" i="172" a="1"/>
  <c r="Y205" i="172" s="1"/>
  <c r="Y184" i="172" a="1"/>
  <c r="Y184" i="172" s="1"/>
  <c r="Y166" i="172" a="1"/>
  <c r="Y166" i="172" s="1"/>
  <c r="Y148" i="172" a="1"/>
  <c r="Y148" i="172" s="1"/>
  <c r="Y140" i="172" a="1"/>
  <c r="Y140" i="172" s="1"/>
  <c r="Y131" i="172" a="1"/>
  <c r="Y131" i="172" s="1"/>
  <c r="Y120" i="172" a="1"/>
  <c r="Y120" i="172" s="1"/>
  <c r="Y108" i="172" a="1"/>
  <c r="Y108" i="172" s="1"/>
  <c r="Y93" i="172" a="1"/>
  <c r="Y93" i="172" s="1"/>
  <c r="Y78" i="172" a="1"/>
  <c r="Y78" i="172" s="1"/>
  <c r="Y46" i="172" a="1"/>
  <c r="Y46" i="172" s="1"/>
  <c r="Y34" i="172" a="1"/>
  <c r="Y34" i="172" s="1"/>
  <c r="Y19" i="172" a="1"/>
  <c r="Y19" i="172" s="1"/>
  <c r="Y247" i="172" a="1"/>
  <c r="Y247" i="172" s="1"/>
  <c r="Y238" i="172" a="1"/>
  <c r="Y238" i="172" s="1"/>
  <c r="Y230" i="172" a="1"/>
  <c r="Y230" i="172" s="1"/>
  <c r="Y222" i="172" a="1"/>
  <c r="Y222" i="172" s="1"/>
  <c r="Y214" i="172" a="1"/>
  <c r="Y214" i="172" s="1"/>
  <c r="Y203" i="172" a="1"/>
  <c r="Y203" i="172" s="1"/>
  <c r="Y193" i="172" a="1"/>
  <c r="Y193" i="172" s="1"/>
  <c r="Y178" i="172" a="1"/>
  <c r="Y178" i="172" s="1"/>
  <c r="Y162" i="172" a="1"/>
  <c r="Y162" i="172" s="1"/>
  <c r="Y134" i="172" a="1"/>
  <c r="Y134" i="172" s="1"/>
  <c r="Y125" i="172" a="1"/>
  <c r="Y125" i="172" s="1"/>
  <c r="Y113" i="172" a="1"/>
  <c r="Y113" i="172" s="1"/>
  <c r="Y101" i="172" a="1"/>
  <c r="Y101" i="172" s="1"/>
  <c r="Y86" i="172" a="1"/>
  <c r="Y86" i="172" s="1"/>
  <c r="Y68" i="172" a="1"/>
  <c r="Y68" i="172" s="1"/>
  <c r="Y52" i="172" a="1"/>
  <c r="Y52" i="172" s="1"/>
  <c r="Y32" i="172" a="1"/>
  <c r="Y32" i="172" s="1"/>
  <c r="Y999" i="172" a="1"/>
  <c r="Y999" i="172" s="1"/>
  <c r="Y918" i="172" a="1"/>
  <c r="Y918" i="172" s="1"/>
  <c r="Y991" i="172" a="1"/>
  <c r="Y991" i="172" s="1"/>
  <c r="Y992" i="172" a="1"/>
  <c r="Y992" i="172" s="1"/>
  <c r="Y984" i="172" a="1"/>
  <c r="Y984" i="172" s="1"/>
  <c r="Y976" i="172" a="1"/>
  <c r="Y976" i="172" s="1"/>
  <c r="Y968" i="172" a="1"/>
  <c r="Y968" i="172" s="1"/>
  <c r="Y960" i="172" a="1"/>
  <c r="Y960" i="172" s="1"/>
  <c r="Y952" i="172" a="1"/>
  <c r="Y952" i="172" s="1"/>
  <c r="Y944" i="172" a="1"/>
  <c r="Y944" i="172" s="1"/>
  <c r="Y936" i="172" a="1"/>
  <c r="Y936" i="172" s="1"/>
  <c r="Y928" i="172" a="1"/>
  <c r="Y928" i="172" s="1"/>
  <c r="Y911" i="172" a="1"/>
  <c r="Y911" i="172" s="1"/>
  <c r="Y922" i="172" a="1"/>
  <c r="Y922" i="172" s="1"/>
  <c r="Y901" i="172" a="1"/>
  <c r="Y901" i="172" s="1"/>
  <c r="Y983" i="172" a="1"/>
  <c r="Y983" i="172" s="1"/>
  <c r="Y975" i="172" a="1"/>
  <c r="Y975" i="172" s="1"/>
  <c r="Y967" i="172" a="1"/>
  <c r="Y967" i="172" s="1"/>
  <c r="Y959" i="172" a="1"/>
  <c r="Y959" i="172" s="1"/>
  <c r="Y951" i="172" a="1"/>
  <c r="Y951" i="172" s="1"/>
  <c r="Y943" i="172" a="1"/>
  <c r="Y943" i="172" s="1"/>
  <c r="Y935" i="172" a="1"/>
  <c r="Y935" i="172" s="1"/>
  <c r="Y927" i="172" a="1"/>
  <c r="Y927" i="172" s="1"/>
  <c r="Y907" i="172" a="1"/>
  <c r="Y907" i="172" s="1"/>
  <c r="Y893" i="172" a="1"/>
  <c r="Y893" i="172" s="1"/>
  <c r="Y885" i="172" a="1"/>
  <c r="Y885" i="172" s="1"/>
  <c r="Y877" i="172" a="1"/>
  <c r="Y877" i="172" s="1"/>
  <c r="Y869" i="172" a="1"/>
  <c r="Y869" i="172" s="1"/>
  <c r="Y858" i="172" a="1"/>
  <c r="Y858" i="172" s="1"/>
  <c r="Y841" i="172" a="1"/>
  <c r="Y841" i="172" s="1"/>
  <c r="Y831" i="172" a="1"/>
  <c r="Y831" i="172" s="1"/>
  <c r="Y813" i="172" a="1"/>
  <c r="Y813" i="172" s="1"/>
  <c r="Y787" i="172" a="1"/>
  <c r="Y787" i="172" s="1"/>
  <c r="Y768" i="172" a="1"/>
  <c r="Y768" i="172" s="1"/>
  <c r="Y727" i="172" a="1"/>
  <c r="Y727" i="172" s="1"/>
  <c r="Y681" i="172" a="1"/>
  <c r="Y681" i="172" s="1"/>
  <c r="Y597" i="172" a="1"/>
  <c r="Y597" i="172" s="1"/>
  <c r="Y553" i="172" a="1"/>
  <c r="Y553" i="172" s="1"/>
  <c r="Y286" i="172" a="1"/>
  <c r="Y286" i="172" s="1"/>
  <c r="Y863" i="172" a="1"/>
  <c r="Y863" i="172" s="1"/>
  <c r="Y847" i="172" a="1"/>
  <c r="Y847" i="172" s="1"/>
  <c r="Y839" i="172" a="1"/>
  <c r="Y839" i="172" s="1"/>
  <c r="Y816" i="172" a="1"/>
  <c r="Y816" i="172" s="1"/>
  <c r="Y795" i="172" a="1"/>
  <c r="Y795" i="172" s="1"/>
  <c r="Y767" i="172" a="1"/>
  <c r="Y767" i="172" s="1"/>
  <c r="Y686" i="172" a="1"/>
  <c r="Y686" i="172" s="1"/>
  <c r="Y612" i="172" a="1"/>
  <c r="Y612" i="172" s="1"/>
  <c r="Y557" i="172" a="1"/>
  <c r="Y557" i="172" s="1"/>
  <c r="Y444" i="172" a="1"/>
  <c r="Y444" i="172" s="1"/>
  <c r="Y412" i="172" a="1"/>
  <c r="Y412" i="172" s="1"/>
  <c r="Y380" i="172" a="1"/>
  <c r="Y380" i="172" s="1"/>
  <c r="Y348" i="172" a="1"/>
  <c r="Y348" i="172" s="1"/>
  <c r="Y316" i="172" a="1"/>
  <c r="Y316" i="172" s="1"/>
  <c r="Y268" i="172" a="1"/>
  <c r="Y268" i="172" s="1"/>
  <c r="Y910" i="172" a="1"/>
  <c r="Y910" i="172" s="1"/>
  <c r="Y902" i="172" a="1"/>
  <c r="Y902" i="172" s="1"/>
  <c r="Y894" i="172" a="1"/>
  <c r="Y894" i="172" s="1"/>
  <c r="Y886" i="172" a="1"/>
  <c r="Y886" i="172" s="1"/>
  <c r="Y878" i="172" a="1"/>
  <c r="Y878" i="172" s="1"/>
  <c r="Y870" i="172" a="1"/>
  <c r="Y870" i="172" s="1"/>
  <c r="Y860" i="172" a="1"/>
  <c r="Y860" i="172" s="1"/>
  <c r="Y844" i="172" a="1"/>
  <c r="Y844" i="172" s="1"/>
  <c r="Y822" i="172" a="1"/>
  <c r="Y822" i="172" s="1"/>
  <c r="Y799" i="172" a="1"/>
  <c r="Y799" i="172" s="1"/>
  <c r="Y779" i="172" a="1"/>
  <c r="Y779" i="172" s="1"/>
  <c r="Y747" i="172" a="1"/>
  <c r="Y747" i="172" s="1"/>
  <c r="Y656" i="172" a="1"/>
  <c r="Y656" i="172" s="1"/>
  <c r="Y605" i="172" a="1"/>
  <c r="Y605" i="172" s="1"/>
  <c r="Y517" i="172" a="1"/>
  <c r="Y517" i="172" s="1"/>
  <c r="Y272" i="172" a="1"/>
  <c r="Y272" i="172" s="1"/>
  <c r="Y853" i="172" a="1"/>
  <c r="Y853" i="172" s="1"/>
  <c r="Y830" i="172" a="1"/>
  <c r="Y830" i="172" s="1"/>
  <c r="Y820" i="172" a="1"/>
  <c r="Y820" i="172" s="1"/>
  <c r="Y794" i="172" a="1"/>
  <c r="Y794" i="172" s="1"/>
  <c r="Y758" i="172" a="1"/>
  <c r="Y758" i="172" s="1"/>
  <c r="Y717" i="172" a="1"/>
  <c r="Y717" i="172" s="1"/>
  <c r="Y683" i="172" a="1"/>
  <c r="Y683" i="172" s="1"/>
  <c r="Y649" i="172" a="1"/>
  <c r="Y649" i="172" s="1"/>
  <c r="Y560" i="172" a="1"/>
  <c r="Y560" i="172" s="1"/>
  <c r="Y521" i="172" a="1"/>
  <c r="Y521" i="172" s="1"/>
  <c r="Y447" i="172" a="1"/>
  <c r="Y447" i="172" s="1"/>
  <c r="Y415" i="172" a="1"/>
  <c r="Y415" i="172" s="1"/>
  <c r="Y383" i="172" a="1"/>
  <c r="Y383" i="172" s="1"/>
  <c r="Y351" i="172" a="1"/>
  <c r="Y351" i="172" s="1"/>
  <c r="Y319" i="172" a="1"/>
  <c r="Y319" i="172" s="1"/>
  <c r="Y259" i="172" a="1"/>
  <c r="Y259" i="172" s="1"/>
  <c r="Y223" i="172" a="1"/>
  <c r="Y223" i="172" s="1"/>
  <c r="Y13" i="172" a="1"/>
  <c r="Y13" i="172" s="1"/>
  <c r="Y728" i="172" a="1"/>
  <c r="Y728" i="172" s="1"/>
  <c r="Y718" i="172" a="1"/>
  <c r="Y718" i="172" s="1"/>
  <c r="Y696" i="172" a="1"/>
  <c r="Y696" i="172" s="1"/>
  <c r="Y674" i="172" a="1"/>
  <c r="Y674" i="172" s="1"/>
  <c r="Y663" i="172" a="1"/>
  <c r="Y663" i="172" s="1"/>
  <c r="Y642" i="172" a="1"/>
  <c r="Y642" i="172" s="1"/>
  <c r="Y631" i="172" a="1"/>
  <c r="Y631" i="172" s="1"/>
  <c r="Y616" i="172" a="1"/>
  <c r="Y616" i="172" s="1"/>
  <c r="Y603" i="172" a="1"/>
  <c r="Y603" i="172" s="1"/>
  <c r="Y587" i="172" a="1"/>
  <c r="Y587" i="172" s="1"/>
  <c r="Y565" i="172" a="1"/>
  <c r="Y565" i="172" s="1"/>
  <c r="Y555" i="172" a="1"/>
  <c r="Y555" i="172" s="1"/>
  <c r="Y533" i="172" a="1"/>
  <c r="Y533" i="172" s="1"/>
  <c r="Y522" i="172" a="1"/>
  <c r="Y522" i="172" s="1"/>
  <c r="Y506" i="172" a="1"/>
  <c r="Y506" i="172" s="1"/>
  <c r="Y488" i="172" a="1"/>
  <c r="Y488" i="172" s="1"/>
  <c r="Y477" i="172" a="1"/>
  <c r="Y477" i="172" s="1"/>
  <c r="Y469" i="172" a="1"/>
  <c r="Y469" i="172" s="1"/>
  <c r="Y461" i="172" a="1"/>
  <c r="Y461" i="172" s="1"/>
  <c r="Y453" i="172" a="1"/>
  <c r="Y453" i="172" s="1"/>
  <c r="Y304" i="172" a="1"/>
  <c r="Y304" i="172" s="1"/>
  <c r="Y296" i="172" a="1"/>
  <c r="Y296" i="172" s="1"/>
  <c r="Y288" i="172" a="1"/>
  <c r="Y288" i="172" s="1"/>
  <c r="Y276" i="172" a="1"/>
  <c r="Y276" i="172" s="1"/>
  <c r="Y253" i="172" a="1"/>
  <c r="Y253" i="172" s="1"/>
  <c r="Y160" i="172" a="1"/>
  <c r="Y160" i="172" s="1"/>
  <c r="Y127" i="172" a="1"/>
  <c r="Y127" i="172" s="1"/>
  <c r="Y50" i="172" a="1"/>
  <c r="Y50" i="172" s="1"/>
  <c r="Y774" i="172" a="1"/>
  <c r="Y774" i="172" s="1"/>
  <c r="Y759" i="172" a="1"/>
  <c r="Y759" i="172" s="1"/>
  <c r="Y742" i="172" a="1"/>
  <c r="Y742" i="172" s="1"/>
  <c r="Y732" i="172" a="1"/>
  <c r="Y732" i="172" s="1"/>
  <c r="Y711" i="172" a="1"/>
  <c r="Y711" i="172" s="1"/>
  <c r="Y700" i="172" a="1"/>
  <c r="Y700" i="172" s="1"/>
  <c r="Y685" i="172" a="1"/>
  <c r="Y685" i="172" s="1"/>
  <c r="Y672" i="172" a="1"/>
  <c r="Y672" i="172" s="1"/>
  <c r="Y661" i="172" a="1"/>
  <c r="Y661" i="172" s="1"/>
  <c r="Y640" i="172" a="1"/>
  <c r="Y640" i="172" s="1"/>
  <c r="Y629" i="172" a="1"/>
  <c r="Y629" i="172" s="1"/>
  <c r="Y617" i="172" a="1"/>
  <c r="Y617" i="172" s="1"/>
  <c r="Y595" i="172" a="1"/>
  <c r="Y595" i="172" s="1"/>
  <c r="Y573" i="172" a="1"/>
  <c r="Y573" i="172" s="1"/>
  <c r="Y563" i="172" a="1"/>
  <c r="Y563" i="172" s="1"/>
  <c r="Y541" i="172" a="1"/>
  <c r="Y541" i="172" s="1"/>
  <c r="Y531" i="172" a="1"/>
  <c r="Y531" i="172" s="1"/>
  <c r="Y515" i="172" a="1"/>
  <c r="Y515" i="172" s="1"/>
  <c r="Y499" i="172" a="1"/>
  <c r="Y499" i="172" s="1"/>
  <c r="Y483" i="172" a="1"/>
  <c r="Y483" i="172" s="1"/>
  <c r="Y467" i="172" a="1"/>
  <c r="Y467" i="172" s="1"/>
  <c r="Y451" i="172" a="1"/>
  <c r="Y451" i="172" s="1"/>
  <c r="Y440" i="172" a="1"/>
  <c r="Y440" i="172" s="1"/>
  <c r="Y432" i="172" a="1"/>
  <c r="Y432" i="172" s="1"/>
  <c r="Y424" i="172" a="1"/>
  <c r="Y424" i="172" s="1"/>
  <c r="Y416" i="172" a="1"/>
  <c r="Y416" i="172" s="1"/>
  <c r="Y408" i="172" a="1"/>
  <c r="Y408" i="172" s="1"/>
  <c r="Y400" i="172" a="1"/>
  <c r="Y400" i="172" s="1"/>
  <c r="Y392" i="172" a="1"/>
  <c r="Y392" i="172" s="1"/>
  <c r="Y384" i="172" a="1"/>
  <c r="Y384" i="172" s="1"/>
  <c r="Y376" i="172" a="1"/>
  <c r="Y376" i="172" s="1"/>
  <c r="Y368" i="172" a="1"/>
  <c r="Y368" i="172" s="1"/>
  <c r="Y360" i="172" a="1"/>
  <c r="Y360" i="172" s="1"/>
  <c r="Y352" i="172" a="1"/>
  <c r="Y352" i="172" s="1"/>
  <c r="Y344" i="172" a="1"/>
  <c r="Y344" i="172" s="1"/>
  <c r="Y336" i="172" a="1"/>
  <c r="Y336" i="172" s="1"/>
  <c r="Y328" i="172" a="1"/>
  <c r="Y328" i="172" s="1"/>
  <c r="Y320" i="172" a="1"/>
  <c r="Y320" i="172" s="1"/>
  <c r="Y312" i="172" a="1"/>
  <c r="Y312" i="172" s="1"/>
  <c r="Y302" i="172" a="1"/>
  <c r="Y302" i="172" s="1"/>
  <c r="Y284" i="172" a="1"/>
  <c r="Y284" i="172" s="1"/>
  <c r="Y273" i="172" a="1"/>
  <c r="Y273" i="172" s="1"/>
  <c r="Y263" i="172" a="1"/>
  <c r="Y263" i="172" s="1"/>
  <c r="Y229" i="172" a="1"/>
  <c r="Y229" i="172" s="1"/>
  <c r="Y180" i="172" a="1"/>
  <c r="Y180" i="172" s="1"/>
  <c r="Y154" i="172" a="1"/>
  <c r="Y154" i="172" s="1"/>
  <c r="Y77" i="172" a="1"/>
  <c r="Y77" i="172" s="1"/>
  <c r="Y815" i="172" a="1"/>
  <c r="Y815" i="172" s="1"/>
  <c r="Y801" i="172" a="1"/>
  <c r="Y801" i="172" s="1"/>
  <c r="Y785" i="172" a="1"/>
  <c r="Y785" i="172" s="1"/>
  <c r="Y769" i="172" a="1"/>
  <c r="Y769" i="172" s="1"/>
  <c r="Y754" i="172" a="1"/>
  <c r="Y754" i="172" s="1"/>
  <c r="Y740" i="172" a="1"/>
  <c r="Y740" i="172" s="1"/>
  <c r="Y719" i="172" a="1"/>
  <c r="Y719" i="172" s="1"/>
  <c r="Y708" i="172" a="1"/>
  <c r="Y708" i="172" s="1"/>
  <c r="Y697" i="172" a="1"/>
  <c r="Y697" i="172" s="1"/>
  <c r="Y676" i="172" a="1"/>
  <c r="Y676" i="172" s="1"/>
  <c r="Y654" i="172" a="1"/>
  <c r="Y654" i="172" s="1"/>
  <c r="Y644" i="172" a="1"/>
  <c r="Y644" i="172" s="1"/>
  <c r="Y625" i="172" a="1"/>
  <c r="Y625" i="172" s="1"/>
  <c r="Y604" i="172" a="1"/>
  <c r="Y604" i="172" s="1"/>
  <c r="Y588" i="172" a="1"/>
  <c r="Y588" i="172" s="1"/>
  <c r="Y577" i="172" a="1"/>
  <c r="Y577" i="172" s="1"/>
  <c r="Y556" i="172" a="1"/>
  <c r="Y556" i="172" s="1"/>
  <c r="Y545" i="172" a="1"/>
  <c r="Y545" i="172" s="1"/>
  <c r="Y524" i="172" a="1"/>
  <c r="Y524" i="172" s="1"/>
  <c r="Y508" i="172" a="1"/>
  <c r="Y508" i="172" s="1"/>
  <c r="Y493" i="172" a="1"/>
  <c r="Y493" i="172" s="1"/>
  <c r="Y471" i="172" a="1"/>
  <c r="Y471" i="172" s="1"/>
  <c r="Y455" i="172" a="1"/>
  <c r="Y455" i="172" s="1"/>
  <c r="Y438" i="172" a="1"/>
  <c r="Y438" i="172" s="1"/>
  <c r="Y422" i="172" a="1"/>
  <c r="Y422" i="172" s="1"/>
  <c r="Y406" i="172" a="1"/>
  <c r="Y406" i="172" s="1"/>
  <c r="Y390" i="172" a="1"/>
  <c r="Y390" i="172" s="1"/>
  <c r="Y374" i="172" a="1"/>
  <c r="Y374" i="172" s="1"/>
  <c r="Y358" i="172" a="1"/>
  <c r="Y358" i="172" s="1"/>
  <c r="Y342" i="172" a="1"/>
  <c r="Y342" i="172" s="1"/>
  <c r="Y326" i="172" a="1"/>
  <c r="Y326" i="172" s="1"/>
  <c r="Y310" i="172" a="1"/>
  <c r="Y310" i="172" s="1"/>
  <c r="Y295" i="172" a="1"/>
  <c r="Y295" i="172" s="1"/>
  <c r="Y270" i="172" a="1"/>
  <c r="Y270" i="172" s="1"/>
  <c r="Y236" i="172" a="1"/>
  <c r="Y236" i="172" s="1"/>
  <c r="Y189" i="172" a="1"/>
  <c r="Y189" i="172" s="1"/>
  <c r="Y146" i="172" a="1"/>
  <c r="Y146" i="172" s="1"/>
  <c r="Y98" i="172" a="1"/>
  <c r="Y98" i="172" s="1"/>
  <c r="Y47" i="172" a="1"/>
  <c r="Y47" i="172" s="1"/>
  <c r="Y14" i="172" a="1"/>
  <c r="Y14" i="172" s="1"/>
  <c r="Y204" i="172" a="1"/>
  <c r="Y204" i="172" s="1"/>
  <c r="Y192" i="172" a="1"/>
  <c r="Y192" i="172" s="1"/>
  <c r="Y181" i="172" a="1"/>
  <c r="Y181" i="172" s="1"/>
  <c r="Y161" i="172" a="1"/>
  <c r="Y161" i="172" s="1"/>
  <c r="Y138" i="172" a="1"/>
  <c r="Y138" i="172" s="1"/>
  <c r="Y106" i="172" a="1"/>
  <c r="Y106" i="172" s="1"/>
  <c r="Y91" i="172" a="1"/>
  <c r="Y91" i="172" s="1"/>
  <c r="Y73" i="172" a="1"/>
  <c r="Y73" i="172" s="1"/>
  <c r="Y65" i="172" a="1"/>
  <c r="Y65" i="172" s="1"/>
  <c r="Y57" i="172" a="1"/>
  <c r="Y57" i="172" s="1"/>
  <c r="Y48" i="172" a="1"/>
  <c r="Y48" i="172" s="1"/>
  <c r="Y28" i="172" a="1"/>
  <c r="Y28" i="172" s="1"/>
  <c r="Y18" i="172" a="1"/>
  <c r="Y18" i="172" s="1"/>
  <c r="Y224" i="172" a="1"/>
  <c r="Y224" i="172" s="1"/>
  <c r="Y201" i="172" a="1"/>
  <c r="Y201" i="172" s="1"/>
  <c r="Y177" i="172" a="1"/>
  <c r="Y177" i="172" s="1"/>
  <c r="Y159" i="172" a="1"/>
  <c r="Y159" i="172" s="1"/>
  <c r="Y147" i="172" a="1"/>
  <c r="Y147" i="172" s="1"/>
  <c r="Y139" i="172" a="1"/>
  <c r="Y139" i="172" s="1"/>
  <c r="Y128" i="172" a="1"/>
  <c r="Y128" i="172" s="1"/>
  <c r="Y116" i="172" a="1"/>
  <c r="Y116" i="172" s="1"/>
  <c r="Y107" i="172" a="1"/>
  <c r="Y107" i="172" s="1"/>
  <c r="Y88" i="172" a="1"/>
  <c r="Y88" i="172" s="1"/>
  <c r="Y71" i="172" a="1"/>
  <c r="Y71" i="172" s="1"/>
  <c r="Y45" i="172" a="1"/>
  <c r="Y45" i="172" s="1"/>
  <c r="Y31" i="172" a="1"/>
  <c r="Y31" i="172" s="1"/>
  <c r="Y16" i="172" a="1"/>
  <c r="Y16" i="172" s="1"/>
  <c r="Y243" i="172" a="1"/>
  <c r="Y243" i="172" s="1"/>
  <c r="Y235" i="172" a="1"/>
  <c r="Y235" i="172" s="1"/>
  <c r="Y227" i="172" a="1"/>
  <c r="Y227" i="172" s="1"/>
  <c r="Y219" i="172" a="1"/>
  <c r="Y219" i="172" s="1"/>
  <c r="Y211" i="172" a="1"/>
  <c r="Y211" i="172" s="1"/>
  <c r="Y202" i="172" a="1"/>
  <c r="Y202" i="172" s="1"/>
  <c r="Y188" i="172" a="1"/>
  <c r="Y188" i="172" s="1"/>
  <c r="Y174" i="172" a="1"/>
  <c r="Y174" i="172" s="1"/>
  <c r="Y142" i="172" a="1"/>
  <c r="Y142" i="172" s="1"/>
  <c r="Y133" i="172" a="1"/>
  <c r="Y133" i="172" s="1"/>
  <c r="Y121" i="172" a="1"/>
  <c r="Y121" i="172" s="1"/>
  <c r="Y110" i="172" a="1"/>
  <c r="Y110" i="172" s="1"/>
  <c r="Y96" i="172" a="1"/>
  <c r="Y96" i="172" s="1"/>
  <c r="Y79" i="172" a="1"/>
  <c r="Y79" i="172" s="1"/>
  <c r="Y66" i="172" a="1"/>
  <c r="Y66" i="172" s="1"/>
  <c r="Y43" i="172" a="1"/>
  <c r="Y43" i="172" s="1"/>
  <c r="Y26" i="172" a="1"/>
  <c r="Y26" i="172" s="1"/>
  <c r="Y993" i="172" a="1"/>
  <c r="Y993" i="172" s="1"/>
  <c r="Y913" i="172" a="1"/>
  <c r="Y913" i="172" s="1"/>
  <c r="Y998" i="172" a="1"/>
  <c r="Y998" i="172" s="1"/>
  <c r="Y990" i="172" a="1"/>
  <c r="Y990" i="172" s="1"/>
  <c r="Y982" i="172" a="1"/>
  <c r="Y982" i="172" s="1"/>
  <c r="Y974" i="172" a="1"/>
  <c r="Y974" i="172" s="1"/>
  <c r="Y966" i="172" a="1"/>
  <c r="Y966" i="172" s="1"/>
  <c r="Y958" i="172" a="1"/>
  <c r="Y958" i="172" s="1"/>
  <c r="Y950" i="172" a="1"/>
  <c r="Y950" i="172" s="1"/>
  <c r="Y942" i="172" a="1"/>
  <c r="Y942" i="172" s="1"/>
  <c r="Y934" i="172" a="1"/>
  <c r="Y934" i="172" s="1"/>
  <c r="Y923" i="172" a="1"/>
  <c r="Y923" i="172" s="1"/>
  <c r="Y903" i="172" a="1"/>
  <c r="Y903" i="172" s="1"/>
  <c r="Y917" i="172" a="1"/>
  <c r="Y917" i="172" s="1"/>
  <c r="Y989" i="172" a="1"/>
  <c r="Y989" i="172" s="1"/>
  <c r="Y981" i="172" a="1"/>
  <c r="Y981" i="172" s="1"/>
  <c r="Y973" i="172" a="1"/>
  <c r="Y973" i="172" s="1"/>
  <c r="Y965" i="172" a="1"/>
  <c r="Y965" i="172" s="1"/>
  <c r="Y957" i="172" a="1"/>
  <c r="Y957" i="172" s="1"/>
  <c r="Y949" i="172" a="1"/>
  <c r="Y949" i="172" s="1"/>
  <c r="Y941" i="172" a="1"/>
  <c r="Y941" i="172" s="1"/>
  <c r="Y933" i="172" a="1"/>
  <c r="Y933" i="172" s="1"/>
  <c r="Y924" i="172" a="1"/>
  <c r="Y924" i="172" s="1"/>
  <c r="Y899" i="172" a="1"/>
  <c r="Y899" i="172" s="1"/>
  <c r="Y891" i="172" a="1"/>
  <c r="Y891" i="172" s="1"/>
  <c r="Y883" i="172" a="1"/>
  <c r="Y883" i="172" s="1"/>
  <c r="Y875" i="172" a="1"/>
  <c r="Y875" i="172" s="1"/>
  <c r="Y867" i="172" a="1"/>
  <c r="Y867" i="172" s="1"/>
  <c r="Y854" i="172" a="1"/>
  <c r="Y854" i="172" s="1"/>
  <c r="Y838" i="172" a="1"/>
  <c r="Y838" i="172" s="1"/>
  <c r="Y828" i="172" a="1"/>
  <c r="Y828" i="172" s="1"/>
  <c r="Y802" i="172" a="1"/>
  <c r="Y802" i="172" s="1"/>
  <c r="Y784" i="172" a="1"/>
  <c r="Y784" i="172" s="1"/>
  <c r="Y752" i="172" a="1"/>
  <c r="Y752" i="172" s="1"/>
  <c r="Y716" i="172" a="1"/>
  <c r="Y716" i="172" s="1"/>
  <c r="Y659" i="172" a="1"/>
  <c r="Y659" i="172" s="1"/>
  <c r="Y586" i="172" a="1"/>
  <c r="Y586" i="172" s="1"/>
  <c r="Y547" i="172" a="1"/>
  <c r="Y547" i="172" s="1"/>
  <c r="Y275" i="172" a="1"/>
  <c r="Y275" i="172" s="1"/>
  <c r="Y859" i="172" a="1"/>
  <c r="Y859" i="172" s="1"/>
  <c r="Y846" i="172" a="1"/>
  <c r="Y846" i="172" s="1"/>
  <c r="Y836" i="172" a="1"/>
  <c r="Y836" i="172" s="1"/>
  <c r="Y810" i="172" a="1"/>
  <c r="Y810" i="172" s="1"/>
  <c r="Y786" i="172" a="1"/>
  <c r="Y786" i="172" s="1"/>
  <c r="Y762" i="172" a="1"/>
  <c r="Y762" i="172" s="1"/>
  <c r="Y652" i="172" a="1"/>
  <c r="Y652" i="172" s="1"/>
  <c r="Y601" i="172" a="1"/>
  <c r="Y601" i="172" s="1"/>
  <c r="Y513" i="172" a="1"/>
  <c r="Y513" i="172" s="1"/>
  <c r="Y439" i="172" a="1"/>
  <c r="Y439" i="172" s="1"/>
  <c r="Y407" i="172" a="1"/>
  <c r="Y407" i="172" s="1"/>
  <c r="Y375" i="172" a="1"/>
  <c r="Y375" i="172" s="1"/>
  <c r="Y343" i="172" a="1"/>
  <c r="Y343" i="172" s="1"/>
  <c r="Y311" i="172" a="1"/>
  <c r="Y311" i="172" s="1"/>
  <c r="Y262" i="172" a="1"/>
  <c r="Y262" i="172" s="1"/>
  <c r="Y908" i="172" a="1"/>
  <c r="Y908" i="172" s="1"/>
  <c r="Y900" i="172" a="1"/>
  <c r="Y900" i="172" s="1"/>
  <c r="Y892" i="172" a="1"/>
  <c r="Y892" i="172" s="1"/>
  <c r="Y884" i="172" a="1"/>
  <c r="Y884" i="172" s="1"/>
  <c r="Y876" i="172" a="1"/>
  <c r="Y876" i="172" s="1"/>
  <c r="Y868" i="172" a="1"/>
  <c r="Y868" i="172" s="1"/>
  <c r="Y856" i="172" a="1"/>
  <c r="Y856" i="172" s="1"/>
  <c r="Y840" i="172" a="1"/>
  <c r="Y840" i="172" s="1"/>
  <c r="Y819" i="172" a="1"/>
  <c r="Y819" i="172" s="1"/>
  <c r="Y797" i="172" a="1"/>
  <c r="Y797" i="172" s="1"/>
  <c r="Y776" i="172" a="1"/>
  <c r="Y776" i="172" s="1"/>
  <c r="Y741" i="172" a="1"/>
  <c r="Y741" i="172" s="1"/>
  <c r="Y645" i="172" a="1"/>
  <c r="Y645" i="172" s="1"/>
  <c r="Y589" i="172" a="1"/>
  <c r="Y589" i="172" s="1"/>
  <c r="Y501" i="172" a="1"/>
  <c r="Y501" i="172" s="1"/>
  <c r="Y239" i="172" a="1"/>
  <c r="Y239" i="172" s="1"/>
  <c r="Y849" i="172" a="1"/>
  <c r="Y849" i="172" s="1"/>
  <c r="Y827" i="172" a="1"/>
  <c r="Y827" i="172" s="1"/>
  <c r="Y811" i="172" a="1"/>
  <c r="Y811" i="172" s="1"/>
  <c r="Y791" i="172" a="1"/>
  <c r="Y791" i="172" s="1"/>
  <c r="Y755" i="172" a="1"/>
  <c r="Y755" i="172" s="1"/>
  <c r="Y706" i="172" a="1"/>
  <c r="Y706" i="172" s="1"/>
  <c r="Y677" i="172" a="1"/>
  <c r="Y677" i="172" s="1"/>
  <c r="Y598" i="172" a="1"/>
  <c r="Y598" i="172" s="1"/>
  <c r="Y554" i="172" a="1"/>
  <c r="Y554" i="172" s="1"/>
  <c r="Y505" i="172" a="1"/>
  <c r="Y505" i="172" s="1"/>
  <c r="Y436" i="172" a="1"/>
  <c r="Y436" i="172" s="1"/>
  <c r="Y404" i="172" a="1"/>
  <c r="Y404" i="172" s="1"/>
  <c r="Y372" i="172" a="1"/>
  <c r="Y372" i="172" s="1"/>
  <c r="Y340" i="172" a="1"/>
  <c r="Y340" i="172" s="1"/>
  <c r="Y308" i="172" a="1"/>
  <c r="Y308" i="172" s="1"/>
  <c r="Y254" i="172" a="1"/>
  <c r="Y254" i="172" s="1"/>
  <c r="Y156" i="172" a="1"/>
  <c r="Y156" i="172" s="1"/>
  <c r="Y748" i="172" a="1"/>
  <c r="Y748" i="172" s="1"/>
  <c r="Y725" i="172" a="1"/>
  <c r="Y725" i="172" s="1"/>
  <c r="Y714" i="172" a="1"/>
  <c r="Y714" i="172" s="1"/>
  <c r="Y690" i="172" a="1"/>
  <c r="Y690" i="172" s="1"/>
  <c r="Y670" i="172" a="1"/>
  <c r="Y670" i="172" s="1"/>
  <c r="Y660" i="172" a="1"/>
  <c r="Y660" i="172" s="1"/>
  <c r="Y638" i="172" a="1"/>
  <c r="Y638" i="172" s="1"/>
  <c r="Y626" i="172" a="1"/>
  <c r="Y626" i="172" s="1"/>
  <c r="Y613" i="172" a="1"/>
  <c r="Y613" i="172" s="1"/>
  <c r="Y599" i="172" a="1"/>
  <c r="Y599" i="172" s="1"/>
  <c r="Y583" i="172" a="1"/>
  <c r="Y583" i="172" s="1"/>
  <c r="Y562" i="172" a="1"/>
  <c r="Y562" i="172" s="1"/>
  <c r="Y551" i="172" a="1"/>
  <c r="Y551" i="172" s="1"/>
  <c r="Y530" i="172" a="1"/>
  <c r="Y530" i="172" s="1"/>
  <c r="Y518" i="172" a="1"/>
  <c r="Y518" i="172" s="1"/>
  <c r="Y502" i="172" a="1"/>
  <c r="Y502" i="172" s="1"/>
  <c r="Y485" i="172" a="1"/>
  <c r="Y485" i="172" s="1"/>
  <c r="Y474" i="172" a="1"/>
  <c r="Y474" i="172" s="1"/>
  <c r="Y466" i="172" a="1"/>
  <c r="Y466" i="172" s="1"/>
  <c r="Y458" i="172" a="1"/>
  <c r="Y458" i="172" s="1"/>
  <c r="Y450" i="172" a="1"/>
  <c r="Y450" i="172" s="1"/>
  <c r="Y301" i="172" a="1"/>
  <c r="Y301" i="172" s="1"/>
  <c r="Y293" i="172" a="1"/>
  <c r="Y293" i="172" s="1"/>
  <c r="Y283" i="172" a="1"/>
  <c r="Y283" i="172" s="1"/>
  <c r="Y266" i="172" a="1"/>
  <c r="Y266" i="172" s="1"/>
  <c r="Y245" i="172" a="1"/>
  <c r="Y245" i="172" s="1"/>
  <c r="Y155" i="172" a="1"/>
  <c r="Y155" i="172" s="1"/>
  <c r="Y111" i="172" a="1"/>
  <c r="Y111" i="172" s="1"/>
  <c r="Y33" i="172" a="1"/>
  <c r="Y33" i="172" s="1"/>
  <c r="Y765" i="172" a="1"/>
  <c r="Y765" i="172" s="1"/>
  <c r="Y757" i="172" a="1"/>
  <c r="Y757" i="172" s="1"/>
  <c r="Y739" i="172" a="1"/>
  <c r="Y739" i="172" s="1"/>
  <c r="Y729" i="172" a="1"/>
  <c r="Y729" i="172" s="1"/>
  <c r="Y707" i="172" a="1"/>
  <c r="Y707" i="172" s="1"/>
  <c r="Y694" i="172" a="1"/>
  <c r="Y694" i="172" s="1"/>
  <c r="Y682" i="172" a="1"/>
  <c r="Y682" i="172" s="1"/>
  <c r="Y671" i="172" a="1"/>
  <c r="Y671" i="172" s="1"/>
  <c r="Y650" i="172" a="1"/>
  <c r="Y650" i="172" s="1"/>
  <c r="Y639" i="172" a="1"/>
  <c r="Y639" i="172" s="1"/>
  <c r="Y624" i="172" a="1"/>
  <c r="Y624" i="172" s="1"/>
  <c r="Y614" i="172" a="1"/>
  <c r="Y614" i="172" s="1"/>
  <c r="Y591" i="172" a="1"/>
  <c r="Y591" i="172" s="1"/>
  <c r="Y570" i="172" a="1"/>
  <c r="Y570" i="172" s="1"/>
  <c r="Y559" i="172" a="1"/>
  <c r="Y559" i="172" s="1"/>
  <c r="Y538" i="172" a="1"/>
  <c r="Y538" i="172" s="1"/>
  <c r="Y527" i="172" a="1"/>
  <c r="Y527" i="172" s="1"/>
  <c r="Y511" i="172" a="1"/>
  <c r="Y511" i="172" s="1"/>
  <c r="Y490" i="172" a="1"/>
  <c r="Y490" i="172" s="1"/>
  <c r="Y478" i="172" a="1"/>
  <c r="Y478" i="172" s="1"/>
  <c r="Y462" i="172" a="1"/>
  <c r="Y462" i="172" s="1"/>
  <c r="Y445" i="172" a="1"/>
  <c r="Y445" i="172" s="1"/>
  <c r="Y437" i="172" a="1"/>
  <c r="Y437" i="172" s="1"/>
  <c r="Y429" i="172" a="1"/>
  <c r="Y429" i="172" s="1"/>
  <c r="Y421" i="172" a="1"/>
  <c r="Y421" i="172" s="1"/>
  <c r="Y413" i="172" a="1"/>
  <c r="Y413" i="172" s="1"/>
  <c r="Y405" i="172" a="1"/>
  <c r="Y405" i="172" s="1"/>
  <c r="Y397" i="172" a="1"/>
  <c r="Y397" i="172" s="1"/>
  <c r="Y389" i="172" a="1"/>
  <c r="Y389" i="172" s="1"/>
  <c r="Y381" i="172" a="1"/>
  <c r="Y381" i="172" s="1"/>
  <c r="Y373" i="172" a="1"/>
  <c r="Y373" i="172" s="1"/>
  <c r="Y365" i="172" a="1"/>
  <c r="Y365" i="172" s="1"/>
  <c r="Y357" i="172" a="1"/>
  <c r="Y357" i="172" s="1"/>
  <c r="Y349" i="172" a="1"/>
  <c r="Y349" i="172" s="1"/>
  <c r="Y341" i="172" a="1"/>
  <c r="Y341" i="172" s="1"/>
  <c r="Y333" i="172" a="1"/>
  <c r="Y333" i="172" s="1"/>
  <c r="Y325" i="172" a="1"/>
  <c r="Y325" i="172" s="1"/>
  <c r="Y317" i="172" a="1"/>
  <c r="Y317" i="172" s="1"/>
  <c r="Y309" i="172" a="1"/>
  <c r="Y309" i="172" s="1"/>
  <c r="Y299" i="172" a="1"/>
  <c r="Y299" i="172" s="1"/>
  <c r="Y281" i="172" a="1"/>
  <c r="Y281" i="172" s="1"/>
  <c r="Y269" i="172" a="1"/>
  <c r="Y269" i="172" s="1"/>
  <c r="Y261" i="172" a="1"/>
  <c r="Y261" i="172" s="1"/>
  <c r="Y221" i="172" a="1"/>
  <c r="Y221" i="172" s="1"/>
  <c r="Y175" i="172" a="1"/>
  <c r="Y175" i="172" s="1"/>
  <c r="Y105" i="172" a="1"/>
  <c r="Y105" i="172" s="1"/>
  <c r="Y72" i="172" a="1"/>
  <c r="Y72" i="172" s="1"/>
  <c r="Y812" i="172" a="1"/>
  <c r="Y812" i="172" s="1"/>
  <c r="Y796" i="172" a="1"/>
  <c r="Y796" i="172" s="1"/>
  <c r="Y780" i="172" a="1"/>
  <c r="Y780" i="172" s="1"/>
  <c r="Y766" i="172" a="1"/>
  <c r="Y766" i="172" s="1"/>
  <c r="Y753" i="172" a="1"/>
  <c r="Y753" i="172" s="1"/>
  <c r="Y737" i="172" a="1"/>
  <c r="Y737" i="172" s="1"/>
  <c r="Y715" i="172" a="1"/>
  <c r="Y715" i="172" s="1"/>
  <c r="Y705" i="172" a="1"/>
  <c r="Y705" i="172" s="1"/>
  <c r="Y692" i="172" a="1"/>
  <c r="Y692" i="172" s="1"/>
  <c r="Y673" i="172" a="1"/>
  <c r="Y673" i="172" s="1"/>
  <c r="Y651" i="172" a="1"/>
  <c r="Y651" i="172" s="1"/>
  <c r="Y641" i="172" a="1"/>
  <c r="Y641" i="172" s="1"/>
  <c r="Y621" i="172" a="1"/>
  <c r="Y621" i="172" s="1"/>
  <c r="Y600" i="172" a="1"/>
  <c r="Y600" i="172" s="1"/>
  <c r="Y584" i="172" a="1"/>
  <c r="Y584" i="172" s="1"/>
  <c r="Y574" i="172" a="1"/>
  <c r="Y574" i="172" s="1"/>
  <c r="Y552" i="172" a="1"/>
  <c r="Y552" i="172" s="1"/>
  <c r="Y542" i="172" a="1"/>
  <c r="Y542" i="172" s="1"/>
  <c r="Y520" i="172" a="1"/>
  <c r="Y520" i="172" s="1"/>
  <c r="Y504" i="172" a="1"/>
  <c r="Y504" i="172" s="1"/>
  <c r="Y491" i="172" a="1"/>
  <c r="Y491" i="172" s="1"/>
  <c r="Y468" i="172" a="1"/>
  <c r="Y468" i="172" s="1"/>
  <c r="Y452" i="172" a="1"/>
  <c r="Y452" i="172" s="1"/>
  <c r="Y435" i="172" a="1"/>
  <c r="Y435" i="172" s="1"/>
  <c r="Y419" i="172" a="1"/>
  <c r="Y419" i="172" s="1"/>
  <c r="Y403" i="172" a="1"/>
  <c r="Y403" i="172" s="1"/>
  <c r="Y387" i="172" a="1"/>
  <c r="Y387" i="172" s="1"/>
  <c r="Y371" i="172" a="1"/>
  <c r="Y371" i="172" s="1"/>
  <c r="Y355" i="172" a="1"/>
  <c r="Y355" i="172" s="1"/>
  <c r="Y339" i="172" a="1"/>
  <c r="Y339" i="172" s="1"/>
  <c r="Y323" i="172" a="1"/>
  <c r="Y323" i="172" s="1"/>
  <c r="Y307" i="172" a="1"/>
  <c r="Y307" i="172" s="1"/>
  <c r="Y292" i="172" a="1"/>
  <c r="Y292" i="172" s="1"/>
  <c r="Y252" i="172" a="1"/>
  <c r="Y252" i="172" s="1"/>
  <c r="Y228" i="172" a="1"/>
  <c r="Y228" i="172" s="1"/>
  <c r="Y179" i="172" a="1"/>
  <c r="Y179" i="172" s="1"/>
  <c r="Y135" i="172" a="1"/>
  <c r="Y135" i="172" s="1"/>
  <c r="Y87" i="172" a="1"/>
  <c r="Y87" i="172" s="1"/>
  <c r="Y41" i="172" a="1"/>
  <c r="Y41" i="172" s="1"/>
  <c r="Y215" i="172" a="1"/>
  <c r="Y215" i="172" s="1"/>
  <c r="Y200" i="172" a="1"/>
  <c r="Y200" i="172" s="1"/>
  <c r="Y186" i="172" a="1"/>
  <c r="Y186" i="172" s="1"/>
  <c r="Y172" i="172" a="1"/>
  <c r="Y172" i="172" s="1"/>
  <c r="Y158" i="172" a="1"/>
  <c r="Y158" i="172" s="1"/>
  <c r="Y130" i="172" a="1"/>
  <c r="Y130" i="172" s="1"/>
  <c r="Y102" i="172" a="1"/>
  <c r="Y102" i="172" s="1"/>
  <c r="Y85" i="172" a="1"/>
  <c r="Y85" i="172" s="1"/>
  <c r="Y70" i="172" a="1"/>
  <c r="Y70" i="172" s="1"/>
  <c r="Y62" i="172" a="1"/>
  <c r="Y62" i="172" s="1"/>
  <c r="Y54" i="172" a="1"/>
  <c r="Y54" i="172" s="1"/>
  <c r="Y44" i="172" a="1"/>
  <c r="Y44" i="172" s="1"/>
  <c r="Y25" i="172" a="1"/>
  <c r="Y25" i="172" s="1"/>
  <c r="Y15" i="172" a="1"/>
  <c r="Y15" i="172" s="1"/>
  <c r="Y216" i="172" a="1"/>
  <c r="Y216" i="172" s="1"/>
  <c r="Y198" i="172" a="1"/>
  <c r="Y198" i="172" s="1"/>
  <c r="Y176" i="172" a="1"/>
  <c r="Y176" i="172" s="1"/>
  <c r="Y153" i="172" a="1"/>
  <c r="Y153" i="172" s="1"/>
  <c r="Y145" i="172" a="1"/>
  <c r="Y145" i="172" s="1"/>
  <c r="Y136" i="172" a="1"/>
  <c r="Y136" i="172" s="1"/>
  <c r="Y124" i="172" a="1"/>
  <c r="Y124" i="172" s="1"/>
  <c r="Y115" i="172" a="1"/>
  <c r="Y115" i="172" s="1"/>
  <c r="Y100" i="172" a="1"/>
  <c r="Y100" i="172" s="1"/>
  <c r="Y82" i="172" a="1"/>
  <c r="Y82" i="172" s="1"/>
  <c r="Y63" i="172" a="1"/>
  <c r="Y63" i="172" s="1"/>
  <c r="Y42" i="172" a="1"/>
  <c r="Y42" i="172" s="1"/>
  <c r="Y30" i="172" a="1"/>
  <c r="Y30" i="172" s="1"/>
  <c r="Y249" i="172" a="1"/>
  <c r="Y249" i="172" s="1"/>
  <c r="Y242" i="172" a="1"/>
  <c r="Y242" i="172" s="1"/>
  <c r="Y234" i="172" a="1"/>
  <c r="Y234" i="172" s="1"/>
  <c r="Y226" i="172" a="1"/>
  <c r="Y226" i="172" s="1"/>
  <c r="Y218" i="172" a="1"/>
  <c r="Y218" i="172" s="1"/>
  <c r="Y210" i="172" a="1"/>
  <c r="Y210" i="172" s="1"/>
  <c r="Y199" i="172" a="1"/>
  <c r="Y199" i="172" s="1"/>
  <c r="Y187" i="172" a="1"/>
  <c r="Y187" i="172" s="1"/>
  <c r="Y169" i="172" a="1"/>
  <c r="Y169" i="172" s="1"/>
  <c r="Y141" i="172" a="1"/>
  <c r="Y141" i="172" s="1"/>
  <c r="Y129" i="172" a="1"/>
  <c r="Y129" i="172" s="1"/>
  <c r="Y118" i="172" a="1"/>
  <c r="Y118" i="172" s="1"/>
  <c r="Y109" i="172" a="1"/>
  <c r="Y109" i="172" s="1"/>
  <c r="Y90" i="172" a="1"/>
  <c r="Y90" i="172" s="1"/>
  <c r="Y76" i="172" a="1"/>
  <c r="Y76" i="172" s="1"/>
  <c r="Y58" i="172" a="1"/>
  <c r="Y58" i="172" s="1"/>
  <c r="Y40" i="172" a="1"/>
  <c r="Y40" i="172" s="1"/>
  <c r="Y23" i="172" a="1"/>
  <c r="Y23" i="172" s="1"/>
  <c r="Y926" i="172" a="1"/>
  <c r="Y926" i="172" s="1"/>
  <c r="Y905" i="172" a="1"/>
  <c r="Y905" i="172" s="1"/>
  <c r="Y996" i="172" a="1"/>
  <c r="Y996" i="172" s="1"/>
  <c r="Y988" i="172" a="1"/>
  <c r="Y988" i="172" s="1"/>
  <c r="Y980" i="172" a="1"/>
  <c r="Y980" i="172" s="1"/>
  <c r="Y972" i="172" a="1"/>
  <c r="Y972" i="172" s="1"/>
  <c r="Y964" i="172" a="1"/>
  <c r="Y964" i="172" s="1"/>
  <c r="Y956" i="172" a="1"/>
  <c r="Y956" i="172" s="1"/>
  <c r="Y948" i="172" a="1"/>
  <c r="Y948" i="172" s="1"/>
  <c r="Y940" i="172" a="1"/>
  <c r="Y940" i="172" s="1"/>
  <c r="Y932" i="172" a="1"/>
  <c r="Y932" i="172" s="1"/>
  <c r="Y920" i="172" a="1"/>
  <c r="Y920" i="172" s="1"/>
  <c r="Y995" i="172" a="1"/>
  <c r="Y995" i="172" s="1"/>
  <c r="Y914" i="172" a="1"/>
  <c r="Y914" i="172" s="1"/>
  <c r="Y987" i="172" a="1"/>
  <c r="Y987" i="172" s="1"/>
  <c r="Y979" i="172" a="1"/>
  <c r="Y979" i="172" s="1"/>
  <c r="Y971" i="172" a="1"/>
  <c r="Y971" i="172" s="1"/>
  <c r="Y963" i="172" a="1"/>
  <c r="Y963" i="172" s="1"/>
  <c r="Y955" i="172" a="1"/>
  <c r="Y955" i="172" s="1"/>
  <c r="Y947" i="172" a="1"/>
  <c r="Y947" i="172" s="1"/>
  <c r="Y939" i="172" a="1"/>
  <c r="Y939" i="172" s="1"/>
  <c r="Y931" i="172" a="1"/>
  <c r="Y931" i="172" s="1"/>
  <c r="Y919" i="172" a="1"/>
  <c r="Y919" i="172" s="1"/>
  <c r="Y897" i="172" a="1"/>
  <c r="Y897" i="172" s="1"/>
  <c r="Y889" i="172" a="1"/>
  <c r="Y889" i="172" s="1"/>
  <c r="Y881" i="172" a="1"/>
  <c r="Y881" i="172" s="1"/>
  <c r="Y873" i="172" a="1"/>
  <c r="Y873" i="172" s="1"/>
  <c r="Y865" i="172" a="1"/>
  <c r="Y865" i="172" s="1"/>
  <c r="Y850" i="172" a="1"/>
  <c r="Y850" i="172" s="1"/>
  <c r="Y835" i="172" a="1"/>
  <c r="Y835" i="172" s="1"/>
  <c r="Y824" i="172" a="1"/>
  <c r="Y824" i="172" s="1"/>
  <c r="Y800" i="172" a="1"/>
  <c r="Y800" i="172" s="1"/>
  <c r="Y781" i="172" a="1"/>
  <c r="Y781" i="172" s="1"/>
  <c r="Y744" i="172" a="1"/>
  <c r="Y744" i="172" s="1"/>
  <c r="Y710" i="172" a="1"/>
  <c r="Y710" i="172" s="1"/>
  <c r="Y608" i="172" a="1"/>
  <c r="Y608" i="172" s="1"/>
  <c r="Y575" i="172" a="1"/>
  <c r="Y575" i="172" s="1"/>
  <c r="Y525" i="172" a="1"/>
  <c r="Y525" i="172" s="1"/>
  <c r="Y258" i="172" a="1"/>
  <c r="Y258" i="172" s="1"/>
  <c r="Y855" i="172" a="1"/>
  <c r="Y855" i="172" s="1"/>
  <c r="Y843" i="172" a="1"/>
  <c r="Y843" i="172" s="1"/>
  <c r="Y832" i="172" a="1"/>
  <c r="Y832" i="172" s="1"/>
  <c r="Y808" i="172" a="1"/>
  <c r="Y808" i="172" s="1"/>
  <c r="Y783" i="172" a="1"/>
  <c r="Y783" i="172" s="1"/>
  <c r="Y751" i="172" a="1"/>
  <c r="Y751" i="172" s="1"/>
  <c r="Y630" i="172" a="1"/>
  <c r="Y630" i="172" s="1"/>
  <c r="Y585" i="172" a="1"/>
  <c r="Y585" i="172" s="1"/>
  <c r="Y497" i="172" a="1"/>
  <c r="Y497" i="172" s="1"/>
  <c r="Y428" i="172" a="1"/>
  <c r="Y428" i="172" s="1"/>
  <c r="Y396" i="172" a="1"/>
  <c r="Y396" i="172" s="1"/>
  <c r="Y364" i="172" a="1"/>
  <c r="Y364" i="172" s="1"/>
  <c r="Y332" i="172" a="1"/>
  <c r="Y332" i="172" s="1"/>
  <c r="Y285" i="172" a="1"/>
  <c r="Y285" i="172" s="1"/>
  <c r="Y257" i="172" a="1"/>
  <c r="Y257" i="172" s="1"/>
  <c r="Y906" i="172" a="1"/>
  <c r="Y906" i="172" s="1"/>
  <c r="Y898" i="172" a="1"/>
  <c r="Y898" i="172" s="1"/>
  <c r="Y890" i="172" a="1"/>
  <c r="Y890" i="172" s="1"/>
  <c r="Y882" i="172" a="1"/>
  <c r="Y882" i="172" s="1"/>
  <c r="Y874" i="172" a="1"/>
  <c r="Y874" i="172" s="1"/>
  <c r="Y866" i="172" a="1"/>
  <c r="Y866" i="172" s="1"/>
  <c r="Y852" i="172" a="1"/>
  <c r="Y852" i="172" s="1"/>
  <c r="Y829" i="172" a="1"/>
  <c r="Y829" i="172" s="1"/>
  <c r="Y814" i="172" a="1"/>
  <c r="Y814" i="172" s="1"/>
  <c r="Y792" i="172" a="1"/>
  <c r="Y792" i="172" s="1"/>
  <c r="Y773" i="172" a="1"/>
  <c r="Y773" i="172" s="1"/>
  <c r="Y713" i="172" a="1"/>
  <c r="Y713" i="172" s="1"/>
  <c r="Y634" i="172" a="1"/>
  <c r="Y634" i="172" s="1"/>
  <c r="Y550" i="172" a="1"/>
  <c r="Y550" i="172" s="1"/>
  <c r="Y496" i="172" a="1"/>
  <c r="Y496" i="172" s="1"/>
  <c r="Y861" i="172" a="1"/>
  <c r="Y861" i="172" s="1"/>
  <c r="Y837" i="172" a="1"/>
  <c r="Y837" i="172" s="1"/>
  <c r="Y826" i="172" a="1"/>
  <c r="Y826" i="172" s="1"/>
  <c r="Y807" i="172" a="1"/>
  <c r="Y807" i="172" s="1"/>
  <c r="Y778" i="172" a="1"/>
  <c r="Y778" i="172" s="1"/>
  <c r="Y750" i="172" a="1"/>
  <c r="Y750" i="172" s="1"/>
  <c r="Y695" i="172" a="1"/>
  <c r="Y695" i="172" s="1"/>
  <c r="Y666" i="172" a="1"/>
  <c r="Y666" i="172" s="1"/>
  <c r="Y593" i="172" a="1"/>
  <c r="Y593" i="172" s="1"/>
  <c r="Y543" i="172" a="1"/>
  <c r="Y543" i="172" s="1"/>
  <c r="Y495" i="172" a="1"/>
  <c r="Y495" i="172" s="1"/>
  <c r="Y431" i="172" a="1"/>
  <c r="Y431" i="172" s="1"/>
  <c r="Y399" i="172" a="1"/>
  <c r="Y399" i="172" s="1"/>
  <c r="Y367" i="172" a="1"/>
  <c r="Y367" i="172" s="1"/>
  <c r="Y335" i="172" a="1"/>
  <c r="Y335" i="172" s="1"/>
  <c r="Y287" i="172" a="1"/>
  <c r="Y287" i="172" s="1"/>
  <c r="Y246" i="172" a="1"/>
  <c r="Y246" i="172" s="1"/>
  <c r="Y97" i="172" a="1"/>
  <c r="Y97" i="172" s="1"/>
  <c r="Y735" i="172" a="1"/>
  <c r="Y735" i="172" s="1"/>
  <c r="Y724" i="172" a="1"/>
  <c r="Y724" i="172" s="1"/>
  <c r="Y703" i="172" a="1"/>
  <c r="Y703" i="172" s="1"/>
  <c r="Y687" i="172" a="1"/>
  <c r="Y687" i="172" s="1"/>
  <c r="Y667" i="172" a="1"/>
  <c r="Y667" i="172" s="1"/>
  <c r="Y657" i="172" a="1"/>
  <c r="Y657" i="172" s="1"/>
  <c r="Y635" i="172" a="1"/>
  <c r="Y635" i="172" s="1"/>
  <c r="Y622" i="172" a="1"/>
  <c r="Y622" i="172" s="1"/>
  <c r="Y609" i="172" a="1"/>
  <c r="Y609" i="172" s="1"/>
  <c r="Y594" i="172" a="1"/>
  <c r="Y594" i="172" s="1"/>
  <c r="Y572" i="172" a="1"/>
  <c r="Y572" i="172" s="1"/>
  <c r="Y561" i="172" a="1"/>
  <c r="Y561" i="172" s="1"/>
  <c r="Y540" i="172" a="1"/>
  <c r="Y540" i="172" s="1"/>
  <c r="Y529" i="172" a="1"/>
  <c r="Y529" i="172" s="1"/>
  <c r="Y514" i="172" a="1"/>
  <c r="Y514" i="172" s="1"/>
  <c r="Y498" i="172" a="1"/>
  <c r="Y498" i="172" s="1"/>
  <c r="Y482" i="172" a="1"/>
  <c r="Y482" i="172" s="1"/>
  <c r="Y473" i="172" a="1"/>
  <c r="Y473" i="172" s="1"/>
  <c r="Y465" i="172" a="1"/>
  <c r="Y465" i="172" s="1"/>
  <c r="Y457" i="172" a="1"/>
  <c r="Y457" i="172" s="1"/>
  <c r="Y449" i="172" a="1"/>
  <c r="Y449" i="172" s="1"/>
  <c r="Y298" i="172" a="1"/>
  <c r="Y298" i="172" s="1"/>
  <c r="Y290" i="172" a="1"/>
  <c r="Y290" i="172" s="1"/>
  <c r="Y280" i="172" a="1"/>
  <c r="Y280" i="172" s="1"/>
  <c r="Y260" i="172" a="1"/>
  <c r="Y260" i="172" s="1"/>
  <c r="Y191" i="172" a="1"/>
  <c r="Y191" i="172" s="1"/>
  <c r="Y149" i="172" a="1"/>
  <c r="Y149" i="172" s="1"/>
  <c r="Y84" i="172" a="1"/>
  <c r="Y84" i="172" s="1"/>
  <c r="Y790" i="172" a="1"/>
  <c r="Y790" i="172" s="1"/>
  <c r="Y764" i="172" a="1"/>
  <c r="Y764" i="172" s="1"/>
  <c r="Y749" i="172" a="1"/>
  <c r="Y749" i="172" s="1"/>
  <c r="Y736" i="172" a="1"/>
  <c r="Y736" i="172" s="1"/>
  <c r="Y726" i="172" a="1"/>
  <c r="Y726" i="172" s="1"/>
  <c r="Y704" i="172" a="1"/>
  <c r="Y704" i="172" s="1"/>
  <c r="Y691" i="172" a="1"/>
  <c r="Y691" i="172" s="1"/>
  <c r="Y678" i="172" a="1"/>
  <c r="Y678" i="172" s="1"/>
  <c r="Y668" i="172" a="1"/>
  <c r="Y668" i="172" s="1"/>
  <c r="Y646" i="172" a="1"/>
  <c r="Y646" i="172" s="1"/>
  <c r="Y636" i="172" a="1"/>
  <c r="Y636" i="172" s="1"/>
  <c r="Y623" i="172" a="1"/>
  <c r="Y623" i="172" s="1"/>
  <c r="Y610" i="172" a="1"/>
  <c r="Y610" i="172" s="1"/>
  <c r="Y580" i="172" a="1"/>
  <c r="Y580" i="172" s="1"/>
  <c r="Y569" i="172" a="1"/>
  <c r="Y569" i="172" s="1"/>
  <c r="Y548" i="172" a="1"/>
  <c r="Y548" i="172" s="1"/>
  <c r="Y537" i="172" a="1"/>
  <c r="Y537" i="172" s="1"/>
  <c r="Y523" i="172" a="1"/>
  <c r="Y523" i="172" s="1"/>
  <c r="Y507" i="172" a="1"/>
  <c r="Y507" i="172" s="1"/>
  <c r="Y489" i="172" a="1"/>
  <c r="Y489" i="172" s="1"/>
  <c r="Y475" i="172" a="1"/>
  <c r="Y475" i="172" s="1"/>
  <c r="Y459" i="172" a="1"/>
  <c r="Y459" i="172" s="1"/>
  <c r="Y442" i="172" a="1"/>
  <c r="Y442" i="172" s="1"/>
  <c r="Y434" i="172" a="1"/>
  <c r="Y434" i="172" s="1"/>
  <c r="Y426" i="172" a="1"/>
  <c r="Y426" i="172" s="1"/>
  <c r="Y418" i="172" a="1"/>
  <c r="Y418" i="172" s="1"/>
  <c r="Y410" i="172" a="1"/>
  <c r="Y410" i="172" s="1"/>
  <c r="Y402" i="172" a="1"/>
  <c r="Y402" i="172" s="1"/>
  <c r="Y394" i="172" a="1"/>
  <c r="Y394" i="172" s="1"/>
  <c r="Y386" i="172" a="1"/>
  <c r="Y386" i="172" s="1"/>
  <c r="Y378" i="172" a="1"/>
  <c r="Y378" i="172" s="1"/>
  <c r="Y370" i="172" a="1"/>
  <c r="Y370" i="172" s="1"/>
  <c r="Y362" i="172" a="1"/>
  <c r="Y362" i="172" s="1"/>
  <c r="Y354" i="172" a="1"/>
  <c r="Y354" i="172" s="1"/>
  <c r="Y346" i="172" a="1"/>
  <c r="Y346" i="172" s="1"/>
  <c r="Y338" i="172" a="1"/>
  <c r="Y338" i="172" s="1"/>
  <c r="Y330" i="172" a="1"/>
  <c r="Y330" i="172" s="1"/>
  <c r="Y322" i="172" a="1"/>
  <c r="Y322" i="172" s="1"/>
  <c r="Y314" i="172" a="1"/>
  <c r="Y314" i="172" s="1"/>
  <c r="Y306" i="172" a="1"/>
  <c r="Y306" i="172" s="1"/>
  <c r="Y294" i="172" a="1"/>
  <c r="Y294" i="172" s="1"/>
  <c r="Y278" i="172" a="1"/>
  <c r="Y278" i="172" s="1"/>
  <c r="Y267" i="172" a="1"/>
  <c r="Y267" i="172" s="1"/>
  <c r="Y256" i="172" a="1"/>
  <c r="Y256" i="172" s="1"/>
  <c r="Y212" i="172" a="1"/>
  <c r="Y212" i="172" s="1"/>
  <c r="Y170" i="172" a="1"/>
  <c r="Y170" i="172" s="1"/>
  <c r="Y94" i="172" a="1"/>
  <c r="Y94" i="172" s="1"/>
  <c r="Y27" i="172" a="1"/>
  <c r="Y27" i="172" s="1"/>
  <c r="Y809" i="172" a="1"/>
  <c r="Y809" i="172" s="1"/>
  <c r="Y793" i="172" a="1"/>
  <c r="Y793" i="172" s="1"/>
  <c r="Y777" i="172" a="1"/>
  <c r="Y777" i="172" s="1"/>
  <c r="Y761" i="172" a="1"/>
  <c r="Y761" i="172" s="1"/>
  <c r="Y746" i="172" a="1"/>
  <c r="Y746" i="172" s="1"/>
  <c r="Y734" i="172" a="1"/>
  <c r="Y734" i="172" s="1"/>
  <c r="Y712" i="172" a="1"/>
  <c r="Y712" i="172" s="1"/>
  <c r="Y702" i="172" a="1"/>
  <c r="Y702" i="172" s="1"/>
  <c r="Y680" i="172" a="1"/>
  <c r="Y680" i="172" s="1"/>
  <c r="Y669" i="172" a="1"/>
  <c r="Y669" i="172" s="1"/>
  <c r="Y648" i="172" a="1"/>
  <c r="Y648" i="172" s="1"/>
  <c r="Y637" i="172" a="1"/>
  <c r="Y637" i="172" s="1"/>
  <c r="Y615" i="172" a="1"/>
  <c r="Y615" i="172" s="1"/>
  <c r="Y596" i="172" a="1"/>
  <c r="Y596" i="172" s="1"/>
  <c r="Y581" i="172" a="1"/>
  <c r="Y581" i="172" s="1"/>
  <c r="Y571" i="172" a="1"/>
  <c r="Y571" i="172" s="1"/>
  <c r="Y549" i="172" a="1"/>
  <c r="Y549" i="172" s="1"/>
  <c r="Y539" i="172" a="1"/>
  <c r="Y539" i="172" s="1"/>
  <c r="Y516" i="172" a="1"/>
  <c r="Y516" i="172" s="1"/>
  <c r="Y500" i="172" a="1"/>
  <c r="Y500" i="172" s="1"/>
  <c r="Y487" i="172" a="1"/>
  <c r="Y487" i="172" s="1"/>
  <c r="Y463" i="172" a="1"/>
  <c r="Y463" i="172" s="1"/>
  <c r="Y446" i="172" a="1"/>
  <c r="Y446" i="172" s="1"/>
  <c r="Y430" i="172" a="1"/>
  <c r="Y430" i="172" s="1"/>
  <c r="Y414" i="172" a="1"/>
  <c r="Y414" i="172" s="1"/>
  <c r="Y398" i="172" a="1"/>
  <c r="Y398" i="172" s="1"/>
  <c r="Y382" i="172" a="1"/>
  <c r="Y382" i="172" s="1"/>
  <c r="Y366" i="172" a="1"/>
  <c r="Y366" i="172" s="1"/>
  <c r="Y350" i="172" a="1"/>
  <c r="Y350" i="172" s="1"/>
  <c r="Y334" i="172" a="1"/>
  <c r="Y334" i="172" s="1"/>
  <c r="Y318" i="172" a="1"/>
  <c r="Y318" i="172" s="1"/>
  <c r="Y303" i="172" a="1"/>
  <c r="Y303" i="172" s="1"/>
  <c r="Y282" i="172" a="1"/>
  <c r="Y282" i="172" s="1"/>
  <c r="Y250" i="172" a="1"/>
  <c r="Y250" i="172" s="1"/>
  <c r="Y220" i="172" a="1"/>
  <c r="Y220" i="172" s="1"/>
  <c r="Y163" i="172" a="1"/>
  <c r="Y163" i="172" s="1"/>
  <c r="Y119" i="172" a="1"/>
  <c r="Y119" i="172" s="1"/>
  <c r="Y64" i="172" a="1"/>
  <c r="Y64" i="172" s="1"/>
  <c r="Y36" i="172" a="1"/>
  <c r="Y36" i="172" s="1"/>
  <c r="Y213" i="172" a="1"/>
  <c r="Y213" i="172" s="1"/>
  <c r="Y197" i="172" a="1"/>
  <c r="Y197" i="172" s="1"/>
  <c r="Y183" i="172" a="1"/>
  <c r="Y183" i="172" s="1"/>
  <c r="Y168" i="172" a="1"/>
  <c r="Y168" i="172" s="1"/>
  <c r="Y157" i="172" a="1"/>
  <c r="Y157" i="172" s="1"/>
  <c r="Y122" i="172" a="1"/>
  <c r="Y122" i="172" s="1"/>
  <c r="Y95" i="172" a="1"/>
  <c r="Y95" i="172" s="1"/>
  <c r="Y80" i="172" a="1"/>
  <c r="Y80" i="172" s="1"/>
  <c r="Y69" i="172" a="1"/>
  <c r="Y69" i="172" s="1"/>
  <c r="Y61" i="172" a="1"/>
  <c r="Y61" i="172" s="1"/>
  <c r="Y53" i="172" a="1"/>
  <c r="Y53" i="172" s="1"/>
  <c r="Y38" i="172" a="1"/>
  <c r="Y38" i="172" s="1"/>
  <c r="Y22" i="172" a="1"/>
  <c r="Y22" i="172" s="1"/>
  <c r="Y240" i="172" a="1"/>
  <c r="Y240" i="172" s="1"/>
  <c r="Y208" i="172" a="1"/>
  <c r="Y208" i="172" s="1"/>
  <c r="Y195" i="172" a="1"/>
  <c r="Y195" i="172" s="1"/>
  <c r="Y173" i="172" a="1"/>
  <c r="Y173" i="172" s="1"/>
  <c r="Y151" i="172" a="1"/>
  <c r="Y151" i="172" s="1"/>
  <c r="Y144" i="172" a="1"/>
  <c r="Y144" i="172" s="1"/>
  <c r="Y132" i="172" a="1"/>
  <c r="Y132" i="172" s="1"/>
  <c r="Y123" i="172" a="1"/>
  <c r="Y123" i="172" s="1"/>
  <c r="Y112" i="172" a="1"/>
  <c r="Y112" i="172" s="1"/>
  <c r="Y99" i="172" a="1"/>
  <c r="Y99" i="172" s="1"/>
  <c r="Y81" i="172" a="1"/>
  <c r="Y81" i="172" s="1"/>
  <c r="Y49" i="172" a="1"/>
  <c r="Y49" i="172" s="1"/>
  <c r="Y39" i="172" a="1"/>
  <c r="Y39" i="172" s="1"/>
  <c r="Y29" i="172" a="1"/>
  <c r="Y29" i="172" s="1"/>
  <c r="Y248" i="172" a="1"/>
  <c r="Y248" i="172" s="1"/>
  <c r="Y241" i="172" a="1"/>
  <c r="Y241" i="172" s="1"/>
  <c r="Y233" i="172" a="1"/>
  <c r="Y233" i="172" s="1"/>
  <c r="Y225" i="172" a="1"/>
  <c r="Y225" i="172" s="1"/>
  <c r="Y217" i="172" a="1"/>
  <c r="Y217" i="172" s="1"/>
  <c r="Y209" i="172" a="1"/>
  <c r="Y209" i="172" s="1"/>
  <c r="Y196" i="172" a="1"/>
  <c r="Y196" i="172" s="1"/>
  <c r="Y185" i="172" a="1"/>
  <c r="Y185" i="172" s="1"/>
  <c r="Y167" i="172" a="1"/>
  <c r="Y167" i="172" s="1"/>
  <c r="Y137" i="172" a="1"/>
  <c r="Y137" i="172" s="1"/>
  <c r="Y126" i="172" a="1"/>
  <c r="Y126" i="172" s="1"/>
  <c r="Y117" i="172" a="1"/>
  <c r="Y117" i="172" s="1"/>
  <c r="Y103" i="172" a="1"/>
  <c r="Y103" i="172" s="1"/>
  <c r="Y89" i="172" a="1"/>
  <c r="Y89" i="172" s="1"/>
  <c r="Y75" i="172" a="1"/>
  <c r="Y75" i="172" s="1"/>
  <c r="Y55" i="172" a="1"/>
  <c r="Y55" i="172" s="1"/>
  <c r="Y35" i="172" a="1"/>
  <c r="Y35" i="172" s="1"/>
  <c r="Y17" i="172" a="1"/>
  <c r="Y17" i="172" s="1"/>
  <c r="K161" i="171"/>
  <c r="H109" i="172" s="1"/>
  <c r="K168" i="171"/>
  <c r="H116" i="172" s="1"/>
  <c r="I116" i="172" s="1"/>
  <c r="K171" i="171"/>
  <c r="H119" i="172" s="1"/>
  <c r="I119" i="172" s="1"/>
  <c r="K174" i="171"/>
  <c r="H122" i="172" s="1"/>
  <c r="I122" i="172" s="1"/>
  <c r="K177" i="171"/>
  <c r="H125" i="172" s="1"/>
  <c r="I125" i="172" s="1"/>
  <c r="K160" i="171"/>
  <c r="H108" i="172" s="1"/>
  <c r="K176" i="171"/>
  <c r="H124" i="172" s="1"/>
  <c r="I124" i="172" s="1"/>
  <c r="K167" i="171"/>
  <c r="H115" i="172" s="1"/>
  <c r="I115" i="172" s="1"/>
  <c r="K170" i="171"/>
  <c r="H118" i="172" s="1"/>
  <c r="I118" i="172" s="1"/>
  <c r="K173" i="171"/>
  <c r="H121" i="172" s="1"/>
  <c r="K163" i="171"/>
  <c r="H111" i="172" s="1"/>
  <c r="I111" i="172" s="1"/>
  <c r="K166" i="171"/>
  <c r="H114" i="172" s="1"/>
  <c r="I114" i="172" s="1"/>
  <c r="K169" i="171"/>
  <c r="H117" i="172" s="1"/>
  <c r="I117" i="172" s="1"/>
  <c r="K162" i="171"/>
  <c r="H110" i="172" s="1"/>
  <c r="I110" i="172" s="1"/>
  <c r="K159" i="171"/>
  <c r="H107" i="172" s="1"/>
  <c r="I107" i="172" s="1"/>
  <c r="K172" i="171"/>
  <c r="H120" i="172" s="1"/>
  <c r="I120" i="172" s="1"/>
  <c r="K175" i="171"/>
  <c r="H123" i="172" s="1"/>
  <c r="K76" i="171"/>
  <c r="H24" i="172" s="1"/>
  <c r="I24" i="172" s="1"/>
  <c r="K67" i="171"/>
  <c r="H15" i="172" s="1"/>
  <c r="I15" i="172" s="1"/>
  <c r="K109" i="171"/>
  <c r="H57" i="172" s="1"/>
  <c r="I57" i="172" s="1"/>
  <c r="K125" i="171"/>
  <c r="H73" i="172" s="1"/>
  <c r="I73" i="172" s="1"/>
  <c r="K141" i="171"/>
  <c r="H89" i="172" s="1"/>
  <c r="I89" i="172" s="1"/>
  <c r="K157" i="171"/>
  <c r="H105" i="172" s="1"/>
  <c r="K84" i="171"/>
  <c r="H32" i="172" s="1"/>
  <c r="I32" i="172" s="1"/>
  <c r="K100" i="171"/>
  <c r="H48" i="172" s="1"/>
  <c r="K69" i="171"/>
  <c r="H17" i="172" s="1"/>
  <c r="I17" i="172" s="1"/>
  <c r="K110" i="171"/>
  <c r="H58" i="172" s="1"/>
  <c r="I58" i="172" s="1"/>
  <c r="K126" i="171"/>
  <c r="H74" i="172" s="1"/>
  <c r="I74" i="172" s="1"/>
  <c r="K142" i="171"/>
  <c r="H90" i="172" s="1"/>
  <c r="I90" i="172" s="1"/>
  <c r="K158" i="171"/>
  <c r="H106" i="172" s="1"/>
  <c r="I106" i="172" s="1"/>
  <c r="K85" i="171"/>
  <c r="H33" i="172" s="1"/>
  <c r="I33" i="172" s="1"/>
  <c r="K101" i="171"/>
  <c r="H49" i="172" s="1"/>
  <c r="K70" i="171"/>
  <c r="H18" i="172" s="1"/>
  <c r="I18" i="172" s="1"/>
  <c r="K107" i="171"/>
  <c r="H55" i="172" s="1"/>
  <c r="K123" i="171"/>
  <c r="H71" i="172" s="1"/>
  <c r="I71" i="172" s="1"/>
  <c r="K139" i="171"/>
  <c r="H87" i="172" s="1"/>
  <c r="I87" i="172" s="1"/>
  <c r="K155" i="171"/>
  <c r="H103" i="172" s="1"/>
  <c r="I103" i="172" s="1"/>
  <c r="K82" i="171"/>
  <c r="H30" i="172" s="1"/>
  <c r="I30" i="172" s="1"/>
  <c r="K98" i="171"/>
  <c r="H46" i="172" s="1"/>
  <c r="K112" i="171"/>
  <c r="H60" i="172" s="1"/>
  <c r="I60" i="172" s="1"/>
  <c r="K120" i="171"/>
  <c r="H68" i="172" s="1"/>
  <c r="I68" i="172" s="1"/>
  <c r="K136" i="171"/>
  <c r="H84" i="172" s="1"/>
  <c r="I84" i="172" s="1"/>
  <c r="K148" i="171"/>
  <c r="H96" i="172" s="1"/>
  <c r="I96" i="172" s="1"/>
  <c r="K71" i="171"/>
  <c r="H19" i="172" s="1"/>
  <c r="I19" i="172" s="1"/>
  <c r="K79" i="171"/>
  <c r="H27" i="172" s="1"/>
  <c r="I27" i="172" s="1"/>
  <c r="K95" i="171"/>
  <c r="H43" i="172" s="1"/>
  <c r="I43" i="172" s="1"/>
  <c r="K60" i="171"/>
  <c r="H8" i="172" s="1"/>
  <c r="I8" i="172" s="1"/>
  <c r="K116" i="171"/>
  <c r="H64" i="172" s="1"/>
  <c r="I64" i="172" s="1"/>
  <c r="K128" i="171"/>
  <c r="H76" i="172" s="1"/>
  <c r="I76" i="172" s="1"/>
  <c r="K144" i="171"/>
  <c r="H92" i="172" s="1"/>
  <c r="I92" i="172" s="1"/>
  <c r="K152" i="171"/>
  <c r="H100" i="172" s="1"/>
  <c r="I100" i="172" s="1"/>
  <c r="K75" i="171"/>
  <c r="H23" i="172" s="1"/>
  <c r="K87" i="171"/>
  <c r="H35" i="172" s="1"/>
  <c r="I35" i="172" s="1"/>
  <c r="K99" i="171"/>
  <c r="H47" i="172" s="1"/>
  <c r="K64" i="171"/>
  <c r="H12" i="172" s="1"/>
  <c r="I12" i="172" s="1"/>
  <c r="K108" i="171"/>
  <c r="H56" i="172" s="1"/>
  <c r="K124" i="171"/>
  <c r="H72" i="172" s="1"/>
  <c r="I72" i="172" s="1"/>
  <c r="K132" i="171"/>
  <c r="H80" i="172" s="1"/>
  <c r="I80" i="172" s="1"/>
  <c r="K140" i="171"/>
  <c r="H88" i="172" s="1"/>
  <c r="I88" i="172" s="1"/>
  <c r="K156" i="171"/>
  <c r="H104" i="172" s="1"/>
  <c r="I104" i="172" s="1"/>
  <c r="K83" i="171"/>
  <c r="H31" i="172" s="1"/>
  <c r="I31" i="172" s="1"/>
  <c r="K91" i="171"/>
  <c r="H39" i="172" s="1"/>
  <c r="I39" i="172" s="1"/>
  <c r="K103" i="171"/>
  <c r="H51" i="172" s="1"/>
  <c r="I51" i="172" s="1"/>
  <c r="K68" i="171"/>
  <c r="H16" i="172" s="1"/>
  <c r="I16" i="172" s="1"/>
  <c r="K113" i="171"/>
  <c r="H61" i="172" s="1"/>
  <c r="I61" i="172" s="1"/>
  <c r="K129" i="171"/>
  <c r="H77" i="172" s="1"/>
  <c r="K145" i="171"/>
  <c r="H93" i="172" s="1"/>
  <c r="I93" i="172" s="1"/>
  <c r="K72" i="171"/>
  <c r="H20" i="172" s="1"/>
  <c r="I20" i="172" s="1"/>
  <c r="K88" i="171"/>
  <c r="H36" i="172" s="1"/>
  <c r="I36" i="172" s="1"/>
  <c r="K104" i="171"/>
  <c r="H52" i="172" s="1"/>
  <c r="I52" i="172" s="1"/>
  <c r="K114" i="171"/>
  <c r="H62" i="172" s="1"/>
  <c r="I62" i="172" s="1"/>
  <c r="K130" i="171"/>
  <c r="H78" i="172" s="1"/>
  <c r="K146" i="171"/>
  <c r="H94" i="172" s="1"/>
  <c r="I94" i="172" s="1"/>
  <c r="K73" i="171"/>
  <c r="H21" i="172" s="1"/>
  <c r="K89" i="171"/>
  <c r="H37" i="172" s="1"/>
  <c r="I37" i="172" s="1"/>
  <c r="K58" i="171"/>
  <c r="H6" i="172" s="1"/>
  <c r="I6" i="172" s="1"/>
  <c r="K111" i="171"/>
  <c r="H59" i="172" s="1"/>
  <c r="K127" i="171"/>
  <c r="H75" i="172" s="1"/>
  <c r="I75" i="172" s="1"/>
  <c r="K143" i="171"/>
  <c r="H91" i="172" s="1"/>
  <c r="I91" i="172" s="1"/>
  <c r="K86" i="171"/>
  <c r="H34" i="172" s="1"/>
  <c r="I34" i="172" s="1"/>
  <c r="K102" i="171"/>
  <c r="H50" i="172" s="1"/>
  <c r="I50" i="172" s="1"/>
  <c r="K57" i="171"/>
  <c r="H5" i="172" s="1"/>
  <c r="I5" i="172" s="1"/>
  <c r="K117" i="171"/>
  <c r="H65" i="172" s="1"/>
  <c r="I65" i="172" s="1"/>
  <c r="K133" i="171"/>
  <c r="H81" i="172" s="1"/>
  <c r="I81" i="172" s="1"/>
  <c r="K149" i="171"/>
  <c r="H97" i="172" s="1"/>
  <c r="I97" i="172" s="1"/>
  <c r="K92" i="171"/>
  <c r="H40" i="172" s="1"/>
  <c r="I40" i="172" s="1"/>
  <c r="K61" i="171"/>
  <c r="H9" i="172" s="1"/>
  <c r="I9" i="172" s="1"/>
  <c r="K118" i="171"/>
  <c r="H66" i="172" s="1"/>
  <c r="I66" i="172" s="1"/>
  <c r="K134" i="171"/>
  <c r="H82" i="172" s="1"/>
  <c r="I82" i="172" s="1"/>
  <c r="K150" i="171"/>
  <c r="H98" i="172" s="1"/>
  <c r="I98" i="172" s="1"/>
  <c r="K77" i="171"/>
  <c r="H25" i="172" s="1"/>
  <c r="I25" i="172" s="1"/>
  <c r="K93" i="171"/>
  <c r="H41" i="172" s="1"/>
  <c r="I41" i="172" s="1"/>
  <c r="K62" i="171"/>
  <c r="H10" i="172" s="1"/>
  <c r="I10" i="172" s="1"/>
  <c r="K115" i="171"/>
  <c r="H63" i="172" s="1"/>
  <c r="I63" i="172" s="1"/>
  <c r="K131" i="171"/>
  <c r="H79" i="172" s="1"/>
  <c r="I79" i="172" s="1"/>
  <c r="K147" i="171"/>
  <c r="H95" i="172" s="1"/>
  <c r="I95" i="172" s="1"/>
  <c r="K74" i="171"/>
  <c r="H22" i="172" s="1"/>
  <c r="K90" i="171"/>
  <c r="H38" i="172" s="1"/>
  <c r="I38" i="172" s="1"/>
  <c r="K59" i="171"/>
  <c r="H7" i="172" s="1"/>
  <c r="I7" i="172" s="1"/>
  <c r="K105" i="171"/>
  <c r="H53" i="172" s="1"/>
  <c r="I53" i="172" s="1"/>
  <c r="K121" i="171"/>
  <c r="H69" i="172" s="1"/>
  <c r="I69" i="172" s="1"/>
  <c r="K137" i="171"/>
  <c r="H85" i="172" s="1"/>
  <c r="I85" i="172" s="1"/>
  <c r="K153" i="171"/>
  <c r="H101" i="172" s="1"/>
  <c r="I101" i="172" s="1"/>
  <c r="K80" i="171"/>
  <c r="H28" i="172" s="1"/>
  <c r="I28" i="172" s="1"/>
  <c r="K96" i="171"/>
  <c r="H44" i="172" s="1"/>
  <c r="I44" i="172" s="1"/>
  <c r="K65" i="171"/>
  <c r="H13" i="172" s="1"/>
  <c r="I13" i="172" s="1"/>
  <c r="K106" i="171"/>
  <c r="H54" i="172" s="1"/>
  <c r="I54" i="172" s="1"/>
  <c r="K122" i="171"/>
  <c r="H70" i="172" s="1"/>
  <c r="K138" i="171"/>
  <c r="H86" i="172" s="1"/>
  <c r="I86" i="172" s="1"/>
  <c r="K154" i="171"/>
  <c r="H102" i="172" s="1"/>
  <c r="I102" i="172" s="1"/>
  <c r="K81" i="171"/>
  <c r="H29" i="172" s="1"/>
  <c r="I29" i="172" s="1"/>
  <c r="K97" i="171"/>
  <c r="H45" i="172" s="1"/>
  <c r="I45" i="172" s="1"/>
  <c r="K66" i="171"/>
  <c r="H14" i="172" s="1"/>
  <c r="I14" i="172" s="1"/>
  <c r="K119" i="171"/>
  <c r="H67" i="172" s="1"/>
  <c r="K135" i="171"/>
  <c r="H83" i="172" s="1"/>
  <c r="I83" i="172" s="1"/>
  <c r="K151" i="171"/>
  <c r="H99" i="172" s="1"/>
  <c r="K78" i="171"/>
  <c r="H26" i="172" s="1"/>
  <c r="I26" i="172" s="1"/>
  <c r="K94" i="171"/>
  <c r="H42" i="172" s="1"/>
  <c r="I42" i="172" s="1"/>
  <c r="K63" i="171"/>
  <c r="H11" i="172" s="1"/>
  <c r="I11" i="172" s="1"/>
  <c r="E409" i="171"/>
  <c r="E410" i="171"/>
  <c r="E411" i="171"/>
  <c r="E412" i="171"/>
  <c r="E413" i="171"/>
  <c r="E414" i="171"/>
  <c r="E415" i="171"/>
  <c r="E416" i="171"/>
  <c r="E417" i="171"/>
  <c r="E418" i="171"/>
  <c r="E419" i="171"/>
  <c r="E420" i="171"/>
  <c r="E421" i="171"/>
  <c r="E422" i="171"/>
  <c r="E423" i="171"/>
  <c r="E424" i="171"/>
  <c r="E425" i="171"/>
  <c r="E426" i="171"/>
  <c r="E427" i="171"/>
  <c r="E428" i="171"/>
  <c r="E429" i="171"/>
  <c r="E430" i="171"/>
  <c r="E431" i="171"/>
  <c r="E432" i="171"/>
  <c r="E433" i="171"/>
  <c r="E434" i="171"/>
  <c r="E435" i="171"/>
  <c r="E436" i="171"/>
  <c r="E437" i="171"/>
  <c r="E438" i="171"/>
  <c r="E439" i="171"/>
  <c r="E440" i="171"/>
  <c r="E441" i="171"/>
  <c r="E442" i="171"/>
  <c r="E443" i="171"/>
  <c r="E444" i="171"/>
  <c r="E445" i="171"/>
  <c r="E446" i="171"/>
  <c r="E447" i="171"/>
  <c r="E448" i="171"/>
  <c r="E449" i="171"/>
  <c r="E450" i="171"/>
  <c r="E451" i="171"/>
  <c r="E452" i="171"/>
  <c r="E453" i="171"/>
  <c r="E454" i="171"/>
  <c r="E455" i="171"/>
  <c r="E456" i="171"/>
  <c r="E457" i="171"/>
  <c r="E458" i="171"/>
  <c r="E459" i="171"/>
  <c r="E460" i="171"/>
  <c r="E461" i="171"/>
  <c r="E462" i="171"/>
  <c r="E463" i="171"/>
  <c r="E464" i="171"/>
  <c r="E465" i="171"/>
  <c r="E466" i="171"/>
  <c r="E467" i="171"/>
  <c r="E468" i="171"/>
  <c r="E469" i="171"/>
  <c r="E470" i="171"/>
  <c r="E471" i="171"/>
  <c r="E472" i="171"/>
  <c r="E473" i="171"/>
  <c r="E474" i="171"/>
  <c r="E475" i="171"/>
  <c r="E476" i="171"/>
  <c r="E477" i="171"/>
  <c r="E478" i="171"/>
  <c r="E479" i="171"/>
  <c r="E480" i="171"/>
  <c r="E481" i="171"/>
  <c r="E482" i="171"/>
  <c r="E483" i="171"/>
  <c r="E484" i="171"/>
  <c r="E485" i="171"/>
  <c r="E486" i="171"/>
  <c r="E487" i="171"/>
  <c r="E488" i="171"/>
  <c r="E489" i="171"/>
  <c r="E490" i="171"/>
  <c r="E491" i="171"/>
  <c r="E492" i="171"/>
  <c r="E493" i="171"/>
  <c r="E494" i="171"/>
  <c r="E495" i="171"/>
  <c r="E496" i="171"/>
  <c r="E497" i="171"/>
  <c r="E498" i="171"/>
  <c r="E499" i="171"/>
  <c r="E500" i="171"/>
  <c r="E501" i="171"/>
  <c r="E502" i="171"/>
  <c r="E503" i="171"/>
  <c r="E504" i="171"/>
  <c r="E505" i="171"/>
  <c r="E506" i="171"/>
  <c r="E507" i="171"/>
  <c r="E508" i="171"/>
  <c r="E509" i="171"/>
  <c r="E510" i="171"/>
  <c r="E511" i="171"/>
  <c r="E512" i="171"/>
  <c r="E513" i="171"/>
  <c r="E514" i="171"/>
  <c r="E515" i="171"/>
  <c r="E516" i="171"/>
  <c r="E517" i="171"/>
  <c r="E518" i="171"/>
  <c r="E519" i="171"/>
  <c r="E520" i="171"/>
  <c r="E521" i="171"/>
  <c r="E522" i="171"/>
  <c r="E523" i="171"/>
  <c r="E524" i="171"/>
  <c r="E525" i="171"/>
  <c r="E526" i="171"/>
  <c r="E527" i="171"/>
  <c r="E528" i="171"/>
  <c r="E529" i="171"/>
  <c r="E530" i="171"/>
  <c r="E531" i="171"/>
  <c r="E532" i="171"/>
  <c r="E533" i="171"/>
  <c r="E534" i="171"/>
  <c r="E535" i="171"/>
  <c r="E536" i="171"/>
  <c r="E537" i="171"/>
  <c r="E538" i="171"/>
  <c r="E539" i="171"/>
  <c r="E540" i="171"/>
  <c r="E541" i="171"/>
  <c r="E542" i="171"/>
  <c r="E543" i="171"/>
  <c r="E544" i="171"/>
  <c r="E545" i="171"/>
  <c r="E546" i="171"/>
  <c r="E547" i="171"/>
  <c r="E548" i="171"/>
  <c r="E549" i="171"/>
  <c r="E550" i="171"/>
  <c r="E551" i="171"/>
  <c r="E552" i="171"/>
  <c r="E553" i="171"/>
  <c r="E554" i="171"/>
  <c r="E555" i="171"/>
  <c r="E556" i="171"/>
  <c r="E557" i="171"/>
  <c r="E558" i="171"/>
  <c r="E559" i="171"/>
  <c r="E560" i="171"/>
  <c r="E561" i="171"/>
  <c r="E562" i="171"/>
  <c r="E563" i="171"/>
  <c r="E564" i="171"/>
  <c r="E565" i="171"/>
  <c r="E566" i="171"/>
  <c r="E567" i="171"/>
  <c r="E568" i="171"/>
  <c r="E569" i="171"/>
  <c r="E570" i="171"/>
  <c r="E571" i="171"/>
  <c r="E572" i="171"/>
  <c r="E573" i="171"/>
  <c r="E574" i="171"/>
  <c r="E575" i="171"/>
  <c r="E576" i="171"/>
  <c r="E577" i="171"/>
  <c r="E578" i="171"/>
  <c r="E579" i="171"/>
  <c r="E580" i="171"/>
  <c r="E581" i="171"/>
  <c r="E582" i="171"/>
  <c r="E583" i="171"/>
  <c r="E584" i="171"/>
  <c r="E585" i="171"/>
  <c r="E586" i="171"/>
  <c r="E587" i="171"/>
  <c r="E588" i="171"/>
  <c r="E589" i="171"/>
  <c r="E590" i="171"/>
  <c r="E591" i="171"/>
  <c r="E592" i="171"/>
  <c r="E593" i="171"/>
  <c r="E594" i="171"/>
  <c r="E595" i="171"/>
  <c r="E596" i="171"/>
  <c r="E597" i="171"/>
  <c r="E598" i="171"/>
  <c r="E599" i="171"/>
  <c r="E600" i="171"/>
  <c r="E601" i="171"/>
  <c r="E602" i="171"/>
  <c r="E603" i="171"/>
  <c r="E604" i="171"/>
  <c r="E605" i="171"/>
  <c r="E606" i="171"/>
  <c r="E607" i="171"/>
  <c r="E608" i="171"/>
  <c r="E609" i="171"/>
  <c r="E610" i="171"/>
  <c r="E611" i="171"/>
  <c r="E612" i="171"/>
  <c r="E613" i="171"/>
  <c r="E614" i="171"/>
  <c r="E615" i="171"/>
  <c r="E616" i="171"/>
  <c r="E617" i="171"/>
  <c r="E618" i="171"/>
  <c r="E619" i="171"/>
  <c r="E620" i="171"/>
  <c r="E621" i="171"/>
  <c r="E622" i="171"/>
  <c r="E623" i="171"/>
  <c r="E624" i="171"/>
  <c r="E625" i="171"/>
  <c r="E626" i="171"/>
  <c r="E627" i="171"/>
  <c r="E628" i="171"/>
  <c r="E629" i="171"/>
  <c r="E630" i="171"/>
  <c r="E631" i="171"/>
  <c r="E632" i="171"/>
  <c r="E633" i="171"/>
  <c r="E634" i="171"/>
  <c r="E635" i="171"/>
  <c r="E636" i="171"/>
  <c r="E637" i="171"/>
  <c r="E638" i="171"/>
  <c r="E639" i="171"/>
  <c r="E640" i="171"/>
  <c r="E641" i="171"/>
  <c r="E642" i="171"/>
  <c r="E643" i="171"/>
  <c r="E644" i="171"/>
  <c r="E645" i="171"/>
  <c r="E646" i="171"/>
  <c r="E647" i="171"/>
  <c r="E648" i="171"/>
  <c r="E649" i="171"/>
  <c r="E650" i="171"/>
  <c r="E651" i="171"/>
  <c r="E652" i="171"/>
  <c r="E653" i="171"/>
  <c r="E654" i="171"/>
  <c r="E655" i="171"/>
  <c r="E656" i="171"/>
  <c r="E657" i="171"/>
  <c r="E658" i="171"/>
  <c r="E659" i="171"/>
  <c r="E660" i="171"/>
  <c r="E661" i="171"/>
  <c r="E662" i="171"/>
  <c r="E663" i="171"/>
  <c r="E664" i="171"/>
  <c r="E665" i="171"/>
  <c r="E666" i="171"/>
  <c r="E667" i="171"/>
  <c r="E668" i="171"/>
  <c r="E669" i="171"/>
  <c r="E670" i="171"/>
  <c r="E671" i="171"/>
  <c r="E672" i="171"/>
  <c r="E673" i="171"/>
  <c r="E674" i="171"/>
  <c r="E675" i="171"/>
  <c r="E676" i="171"/>
  <c r="E677" i="171"/>
  <c r="E678" i="171"/>
  <c r="E679" i="171"/>
  <c r="E680" i="171"/>
  <c r="E681" i="171"/>
  <c r="E682" i="171"/>
  <c r="E683" i="171"/>
  <c r="E684" i="171"/>
  <c r="E685" i="171"/>
  <c r="E686" i="171"/>
  <c r="E687" i="171"/>
  <c r="E688" i="171"/>
  <c r="E689" i="171"/>
  <c r="E690" i="171"/>
  <c r="E691" i="171"/>
  <c r="E692" i="171"/>
  <c r="E693" i="171"/>
  <c r="E694" i="171"/>
  <c r="E695" i="171"/>
  <c r="E696" i="171"/>
  <c r="E697" i="171"/>
  <c r="E698" i="171"/>
  <c r="E699" i="171"/>
  <c r="E700" i="171"/>
  <c r="E701" i="171"/>
  <c r="E702" i="171"/>
  <c r="E703" i="171"/>
  <c r="E704" i="171"/>
  <c r="E705" i="171"/>
  <c r="E706" i="171"/>
  <c r="E707" i="171"/>
  <c r="E708" i="171"/>
  <c r="E709" i="171"/>
  <c r="E710" i="171"/>
  <c r="E711" i="171"/>
  <c r="E712" i="171"/>
  <c r="E713" i="171"/>
  <c r="E714" i="171"/>
  <c r="E715" i="171"/>
  <c r="E716" i="171"/>
  <c r="E717" i="171"/>
  <c r="E718" i="171"/>
  <c r="E719" i="171"/>
  <c r="E720" i="171"/>
  <c r="E721" i="171"/>
  <c r="E722" i="171"/>
  <c r="E723" i="171"/>
  <c r="E724" i="171"/>
  <c r="E725" i="171"/>
  <c r="E726" i="171"/>
  <c r="E727" i="171"/>
  <c r="E728" i="171"/>
  <c r="E729" i="171"/>
  <c r="E730" i="171"/>
  <c r="E731" i="171"/>
  <c r="E732" i="171"/>
  <c r="E733" i="171"/>
  <c r="E734" i="171"/>
  <c r="E735" i="171"/>
  <c r="E736" i="171"/>
  <c r="E737" i="171"/>
  <c r="E738" i="171"/>
  <c r="E739" i="171"/>
  <c r="E740" i="171"/>
  <c r="E741" i="171"/>
  <c r="E742" i="171"/>
  <c r="E743" i="171"/>
  <c r="E744" i="171"/>
  <c r="E745" i="171"/>
  <c r="E746" i="171"/>
  <c r="E747" i="171"/>
  <c r="E748" i="171"/>
  <c r="E749" i="171"/>
  <c r="E750" i="171"/>
  <c r="E751" i="171"/>
  <c r="E752" i="171"/>
  <c r="E753" i="171"/>
  <c r="E754" i="171"/>
  <c r="E755" i="171"/>
  <c r="E756" i="171"/>
  <c r="E757" i="171"/>
  <c r="E758" i="171"/>
  <c r="E759" i="171"/>
  <c r="E760" i="171"/>
  <c r="E761" i="171"/>
  <c r="E762" i="171"/>
  <c r="E763" i="171"/>
  <c r="E764" i="171"/>
  <c r="E765" i="171"/>
  <c r="E766" i="171"/>
  <c r="E767" i="171"/>
  <c r="E768" i="171"/>
  <c r="E769" i="171"/>
  <c r="E770" i="171"/>
  <c r="E771" i="171"/>
  <c r="E772" i="171"/>
  <c r="E773" i="171"/>
  <c r="E774" i="171"/>
  <c r="E775" i="171"/>
  <c r="E776" i="171"/>
  <c r="E777" i="171"/>
  <c r="E778" i="171"/>
  <c r="E779" i="171"/>
  <c r="E780" i="171"/>
  <c r="E781" i="171"/>
  <c r="E782" i="171"/>
  <c r="E783" i="171"/>
  <c r="E784" i="171"/>
  <c r="E785" i="171"/>
  <c r="E786" i="171"/>
  <c r="E787" i="171"/>
  <c r="E788" i="171"/>
  <c r="E789" i="171"/>
  <c r="E790" i="171"/>
  <c r="E791" i="171"/>
  <c r="E792" i="171"/>
  <c r="E793" i="171"/>
  <c r="E794" i="171"/>
  <c r="E795" i="171"/>
  <c r="E796" i="171"/>
  <c r="E797" i="171"/>
  <c r="E798" i="171"/>
  <c r="E799" i="171"/>
  <c r="E800" i="171"/>
  <c r="E801" i="171"/>
  <c r="E802" i="171"/>
  <c r="E803" i="171"/>
  <c r="E804" i="171"/>
  <c r="E805" i="171"/>
  <c r="E806" i="171"/>
  <c r="E807" i="171"/>
  <c r="E808" i="171"/>
  <c r="E809" i="171"/>
  <c r="E810" i="171"/>
  <c r="E811" i="171"/>
  <c r="E812" i="171"/>
  <c r="E813" i="171"/>
  <c r="E814" i="171"/>
  <c r="E815" i="171"/>
  <c r="E816" i="171"/>
  <c r="E817" i="171"/>
  <c r="E818" i="171"/>
  <c r="E819" i="171"/>
  <c r="E820" i="171"/>
  <c r="E821" i="171"/>
  <c r="E822" i="171"/>
  <c r="E823" i="171"/>
  <c r="E824" i="171"/>
  <c r="E825" i="171"/>
  <c r="E826" i="171"/>
  <c r="E827" i="171"/>
  <c r="E828" i="171"/>
  <c r="E829" i="171"/>
  <c r="E830" i="171"/>
  <c r="E831" i="171"/>
  <c r="E832" i="171"/>
  <c r="E833" i="171"/>
  <c r="E834" i="171"/>
  <c r="E835" i="171"/>
  <c r="E836" i="171"/>
  <c r="E837" i="171"/>
  <c r="E838" i="171"/>
  <c r="E839" i="171"/>
  <c r="E840" i="171"/>
  <c r="E841" i="171"/>
  <c r="E842" i="171"/>
  <c r="E843" i="171"/>
  <c r="E844" i="171"/>
  <c r="E845" i="171"/>
  <c r="E846" i="171"/>
  <c r="E847" i="171"/>
  <c r="E848" i="171"/>
  <c r="E849" i="171"/>
  <c r="E850" i="171"/>
  <c r="E851" i="171"/>
  <c r="E852" i="171"/>
  <c r="E853" i="171"/>
  <c r="E854" i="171"/>
  <c r="E855" i="171"/>
  <c r="E856" i="171"/>
  <c r="E857" i="171"/>
  <c r="E858" i="171"/>
  <c r="E859" i="171"/>
  <c r="E860" i="171"/>
  <c r="E861" i="171"/>
  <c r="E862" i="171"/>
  <c r="E863" i="171"/>
  <c r="E864" i="171"/>
  <c r="E865" i="171"/>
  <c r="E866" i="171"/>
  <c r="E867" i="171"/>
  <c r="E868" i="171"/>
  <c r="E869" i="171"/>
  <c r="E870" i="171"/>
  <c r="E871" i="171"/>
  <c r="E872" i="171"/>
  <c r="E873" i="171"/>
  <c r="E874" i="171"/>
  <c r="E875" i="171"/>
  <c r="E876" i="171"/>
  <c r="E877" i="171"/>
  <c r="E878" i="171"/>
  <c r="E879" i="171"/>
  <c r="E880" i="171"/>
  <c r="E881" i="171"/>
  <c r="E882" i="171"/>
  <c r="E883" i="171"/>
  <c r="E884" i="171"/>
  <c r="E885" i="171"/>
  <c r="E886" i="171"/>
  <c r="E887" i="171"/>
  <c r="E888" i="171"/>
  <c r="E889" i="171"/>
  <c r="E890" i="171"/>
  <c r="E891" i="171"/>
  <c r="E892" i="171"/>
  <c r="E893" i="171"/>
  <c r="E894" i="171"/>
  <c r="E895" i="171"/>
  <c r="E896" i="171"/>
  <c r="E897" i="171"/>
  <c r="E898" i="171"/>
  <c r="E899" i="171"/>
  <c r="E900" i="171"/>
  <c r="E901" i="171"/>
  <c r="E902" i="171"/>
  <c r="E903" i="171"/>
  <c r="E904" i="171"/>
  <c r="E905" i="171"/>
  <c r="E906" i="171"/>
  <c r="E907" i="171"/>
  <c r="E908" i="171"/>
  <c r="E909" i="171"/>
  <c r="E910" i="171"/>
  <c r="E911" i="171"/>
  <c r="E912" i="171"/>
  <c r="E913" i="171"/>
  <c r="E914" i="171"/>
  <c r="E915" i="171"/>
  <c r="E916" i="171"/>
  <c r="E917" i="171"/>
  <c r="E918" i="171"/>
  <c r="E919" i="171"/>
  <c r="E920" i="171"/>
  <c r="E921" i="171"/>
  <c r="E922" i="171"/>
  <c r="E923" i="171"/>
  <c r="E924" i="171"/>
  <c r="E925" i="171"/>
  <c r="E926" i="171"/>
  <c r="E927" i="171"/>
  <c r="E928" i="171"/>
  <c r="E929" i="171"/>
  <c r="E930" i="171"/>
  <c r="E931" i="171"/>
  <c r="E932" i="171"/>
  <c r="E933" i="171"/>
  <c r="E934" i="171"/>
  <c r="E935" i="171"/>
  <c r="E936" i="171"/>
  <c r="E937" i="171"/>
  <c r="E938" i="171"/>
  <c r="E939" i="171"/>
  <c r="E940" i="171"/>
  <c r="E941" i="171"/>
  <c r="E942" i="171"/>
  <c r="E943" i="171"/>
  <c r="E944" i="171"/>
  <c r="E945" i="171"/>
  <c r="E946" i="171"/>
  <c r="E947" i="171"/>
  <c r="E948" i="171"/>
  <c r="E949" i="171"/>
  <c r="E950" i="171"/>
  <c r="E951" i="171"/>
  <c r="E952" i="171"/>
  <c r="E953" i="171"/>
  <c r="E954" i="171"/>
  <c r="E955" i="171"/>
  <c r="E956" i="171"/>
  <c r="E957" i="171"/>
  <c r="E958" i="171"/>
  <c r="E959" i="171"/>
  <c r="E960" i="171"/>
  <c r="E961" i="171"/>
  <c r="E962" i="171"/>
  <c r="E963" i="171"/>
  <c r="E964" i="171"/>
  <c r="E965" i="171"/>
  <c r="E966" i="171"/>
  <c r="E967" i="171"/>
  <c r="E968" i="171"/>
  <c r="E969" i="171"/>
  <c r="E970" i="171"/>
  <c r="E971" i="171"/>
  <c r="E972" i="171"/>
  <c r="E973" i="171"/>
  <c r="E974" i="171"/>
  <c r="E975" i="171"/>
  <c r="E976" i="171"/>
  <c r="E977" i="171"/>
  <c r="E978" i="171"/>
  <c r="E979" i="171"/>
  <c r="E980" i="171"/>
  <c r="E981" i="171"/>
  <c r="E982" i="171"/>
  <c r="E983" i="171"/>
  <c r="E984" i="171"/>
  <c r="E985" i="171"/>
  <c r="E986" i="171"/>
  <c r="E987" i="171"/>
  <c r="E988" i="171"/>
  <c r="E989" i="171"/>
  <c r="E990" i="171"/>
  <c r="E991" i="171"/>
  <c r="E992" i="171"/>
  <c r="E993" i="171"/>
  <c r="E994" i="171"/>
  <c r="E995" i="171"/>
  <c r="E996" i="171"/>
  <c r="E997" i="171"/>
  <c r="E998" i="171"/>
  <c r="E999" i="171"/>
  <c r="E1000" i="171"/>
  <c r="E1001" i="171"/>
  <c r="E1002" i="171"/>
  <c r="E1003" i="171"/>
  <c r="E1004" i="171"/>
  <c r="E1005" i="171"/>
  <c r="E1006" i="171"/>
  <c r="E1007" i="171"/>
  <c r="E1008" i="171"/>
  <c r="E1009" i="171"/>
  <c r="E1010" i="171"/>
  <c r="E1011" i="171"/>
  <c r="E1012" i="171"/>
  <c r="E1013" i="171"/>
  <c r="E1014" i="171"/>
  <c r="E1015" i="171"/>
  <c r="E1016" i="171"/>
  <c r="E1017" i="171"/>
  <c r="E1018" i="171"/>
  <c r="E1019" i="171"/>
  <c r="E1020" i="171"/>
  <c r="E1021" i="171"/>
  <c r="E1022" i="171"/>
  <c r="E1023" i="171"/>
  <c r="E1024" i="171"/>
  <c r="E1025" i="171"/>
  <c r="E1026" i="171"/>
  <c r="E1027" i="171"/>
  <c r="E1028" i="171"/>
  <c r="E1029" i="171"/>
  <c r="E1030" i="171"/>
  <c r="E1031" i="171"/>
  <c r="E1032" i="171"/>
  <c r="E1033" i="171"/>
  <c r="E1034" i="171"/>
  <c r="E1035" i="171"/>
  <c r="E1036" i="171"/>
  <c r="E1037" i="171"/>
  <c r="E1038" i="171"/>
  <c r="E1039" i="171"/>
  <c r="E1040" i="171"/>
  <c r="E1041" i="171"/>
  <c r="E1042" i="171"/>
  <c r="E1043" i="171"/>
  <c r="E1044" i="171"/>
  <c r="E1045" i="171"/>
  <c r="E1046" i="171"/>
  <c r="E1047" i="171"/>
  <c r="E1048" i="171"/>
  <c r="E1049" i="171"/>
  <c r="E1050" i="171"/>
  <c r="E1051" i="171"/>
  <c r="E1052" i="171"/>
  <c r="E1053" i="171"/>
  <c r="E1054" i="171"/>
  <c r="E1055" i="171"/>
  <c r="E1056" i="171"/>
  <c r="E1057" i="171"/>
  <c r="E1058" i="171"/>
  <c r="E1059" i="171"/>
  <c r="E1060" i="171"/>
  <c r="E1061" i="171"/>
  <c r="E1062" i="171"/>
  <c r="E1063" i="171"/>
  <c r="E1064" i="171"/>
  <c r="E1065" i="171"/>
  <c r="E1066" i="171"/>
  <c r="E1067" i="171"/>
  <c r="E1068" i="171"/>
  <c r="E1069" i="171"/>
  <c r="E1070" i="171"/>
  <c r="E1071" i="171"/>
  <c r="E1072" i="171"/>
  <c r="E1073" i="171"/>
  <c r="E1074" i="171"/>
  <c r="E1075" i="171"/>
  <c r="E1076" i="171"/>
  <c r="E1077" i="171"/>
  <c r="E1078" i="171"/>
  <c r="E1079" i="171"/>
  <c r="E1080" i="171"/>
  <c r="E1081" i="171"/>
  <c r="E1082" i="171"/>
  <c r="E1083" i="171"/>
  <c r="E1084" i="171"/>
  <c r="E1085" i="171"/>
  <c r="E1086" i="171"/>
  <c r="E1087" i="171"/>
  <c r="E1088" i="171"/>
  <c r="E1089" i="171"/>
  <c r="E1090" i="171"/>
  <c r="E1091" i="171"/>
  <c r="E1092" i="171"/>
  <c r="E1093" i="171"/>
  <c r="E1094" i="171"/>
  <c r="E1095" i="171"/>
  <c r="E1096" i="171"/>
  <c r="E1097" i="171"/>
  <c r="E1098" i="171"/>
  <c r="E1099" i="171"/>
  <c r="E1100" i="171"/>
  <c r="E1101" i="171"/>
  <c r="E1102" i="171"/>
  <c r="E1103" i="171"/>
  <c r="E1104" i="171"/>
  <c r="E1105" i="171"/>
  <c r="E1106" i="171"/>
  <c r="E1107" i="171"/>
  <c r="E1108" i="171"/>
  <c r="E1109" i="171"/>
  <c r="E1110" i="171"/>
  <c r="E1111" i="171"/>
  <c r="E1112" i="171"/>
  <c r="E1113" i="171"/>
  <c r="E1114" i="171"/>
  <c r="E1115" i="171"/>
  <c r="E1116" i="171"/>
  <c r="E1117" i="171"/>
  <c r="E1118" i="171"/>
  <c r="E1119" i="171"/>
  <c r="E1120" i="171"/>
  <c r="E1121" i="171"/>
  <c r="E1122" i="171"/>
  <c r="E1123" i="171"/>
  <c r="E1124" i="171"/>
  <c r="E1125" i="171"/>
  <c r="E1126" i="171"/>
  <c r="E1127" i="171"/>
  <c r="E1128" i="171"/>
  <c r="E1129" i="171"/>
  <c r="E1130" i="171"/>
  <c r="E1131" i="171"/>
  <c r="E1132" i="171"/>
  <c r="E1133" i="171"/>
  <c r="E1134" i="171"/>
  <c r="E1135" i="171"/>
  <c r="E1136" i="171"/>
  <c r="E1137" i="171"/>
  <c r="E1138" i="171"/>
  <c r="E1139" i="171"/>
  <c r="E1140" i="171"/>
  <c r="E1141" i="171"/>
  <c r="E1142" i="171"/>
  <c r="E1143" i="171"/>
  <c r="E1144" i="171"/>
  <c r="E1145" i="171"/>
  <c r="E1146" i="171"/>
  <c r="E1147" i="171"/>
  <c r="E1148" i="171"/>
  <c r="E1149" i="171"/>
  <c r="E1150" i="171"/>
  <c r="E1151" i="171"/>
  <c r="E1152" i="171"/>
  <c r="E1153" i="171"/>
  <c r="E1154" i="171"/>
  <c r="E1155" i="171"/>
  <c r="E1156" i="171"/>
  <c r="E1157" i="171"/>
  <c r="E1158" i="171"/>
  <c r="E1159" i="171"/>
  <c r="E1160" i="171"/>
  <c r="E1161" i="171"/>
  <c r="E1162" i="171"/>
  <c r="E1163" i="171"/>
  <c r="E1164" i="171"/>
  <c r="E1165" i="171"/>
  <c r="E1166" i="171"/>
  <c r="E1167" i="171"/>
  <c r="E1168" i="171"/>
  <c r="E1169" i="171"/>
  <c r="E1170" i="171"/>
  <c r="E1171" i="171"/>
  <c r="E1172" i="171"/>
  <c r="E1173" i="171"/>
  <c r="E1174" i="171"/>
  <c r="E1175" i="171"/>
  <c r="E1176" i="171"/>
  <c r="E1177" i="171"/>
  <c r="E1178" i="171"/>
  <c r="E1179" i="171"/>
  <c r="E1180" i="171"/>
  <c r="E1181" i="171"/>
  <c r="E1182" i="171"/>
  <c r="E1183" i="171"/>
  <c r="E1184" i="171"/>
  <c r="E1185" i="171"/>
  <c r="E1186" i="171"/>
  <c r="E1187" i="171"/>
  <c r="E1188" i="171"/>
  <c r="E1189" i="171"/>
  <c r="E1190" i="171"/>
  <c r="E1191" i="171"/>
  <c r="E1192" i="171"/>
  <c r="E1193" i="171"/>
  <c r="E1194" i="171"/>
  <c r="E1195" i="171"/>
  <c r="E1196" i="171"/>
  <c r="E1197" i="171"/>
  <c r="E1198" i="171"/>
  <c r="AX254" i="172" l="1"/>
  <c r="AY254" i="172" s="1"/>
  <c r="AX861" i="172"/>
  <c r="AY861" i="172" s="1"/>
  <c r="AX271" i="172"/>
  <c r="AY271" i="172" s="1"/>
  <c r="AX558" i="172"/>
  <c r="AY558" i="172" s="1"/>
  <c r="AX425" i="172"/>
  <c r="AY425" i="172" s="1"/>
  <c r="AX963" i="172"/>
  <c r="AY963" i="172" s="1"/>
  <c r="AX995" i="172"/>
  <c r="AY995" i="172" s="1"/>
  <c r="AX73" i="172"/>
  <c r="AY73" i="172" s="1"/>
  <c r="AX443" i="172"/>
  <c r="AY443" i="172" s="1"/>
  <c r="AX957" i="172"/>
  <c r="AY957" i="172" s="1"/>
  <c r="AX989" i="172"/>
  <c r="AY989" i="172" s="1"/>
  <c r="AX565" i="172"/>
  <c r="AY565" i="172" s="1"/>
  <c r="AX901" i="172"/>
  <c r="AY901" i="172" s="1"/>
  <c r="AX522" i="172"/>
  <c r="AY522" i="172" s="1"/>
  <c r="AX923" i="172"/>
  <c r="AY923" i="172" s="1"/>
  <c r="AX951" i="172"/>
  <c r="AY951" i="172" s="1"/>
  <c r="AX983" i="172"/>
  <c r="AY983" i="172" s="1"/>
  <c r="AX590" i="172"/>
  <c r="AY590" i="172" s="1"/>
  <c r="AX961" i="172"/>
  <c r="AY961" i="172" s="1"/>
  <c r="AX993" i="172"/>
  <c r="AY993" i="172" s="1"/>
  <c r="AX471" i="172"/>
  <c r="AY471" i="172" s="1"/>
  <c r="AX803" i="172"/>
  <c r="AY803" i="172" s="1"/>
  <c r="AX890" i="172"/>
  <c r="AY890" i="172" s="1"/>
  <c r="AX975" i="172"/>
  <c r="AY975" i="172" s="1"/>
  <c r="AX569" i="172"/>
  <c r="AY569" i="172" s="1"/>
  <c r="AX191" i="172"/>
  <c r="AY191" i="172" s="1"/>
  <c r="AX576" i="172"/>
  <c r="AY576" i="172" s="1"/>
  <c r="AX366" i="172"/>
  <c r="AY366" i="172" s="1"/>
  <c r="AX560" i="172"/>
  <c r="AY560" i="172" s="1"/>
  <c r="AX887" i="172"/>
  <c r="AY887" i="172" s="1"/>
  <c r="AX875" i="172"/>
  <c r="AY875" i="172" s="1"/>
  <c r="AX895" i="172"/>
  <c r="AY895" i="172" s="1"/>
  <c r="AX30" i="172"/>
  <c r="AY30" i="172" s="1"/>
  <c r="AX526" i="172"/>
  <c r="AY526" i="172" s="1"/>
  <c r="AX772" i="172"/>
  <c r="AY772" i="172" s="1"/>
  <c r="AU24" i="172"/>
  <c r="AU128" i="172"/>
  <c r="AU182" i="172"/>
  <c r="AU542" i="172"/>
  <c r="AF35" i="172"/>
  <c r="AG35" i="172"/>
  <c r="AG75" i="172"/>
  <c r="AF75" i="172"/>
  <c r="AG103" i="172"/>
  <c r="AF103" i="172"/>
  <c r="AF167" i="172"/>
  <c r="AG167" i="172"/>
  <c r="AF196" i="172"/>
  <c r="AG196" i="172"/>
  <c r="AG217" i="172"/>
  <c r="AF217" i="172"/>
  <c r="AF233" i="172"/>
  <c r="AG233" i="172"/>
  <c r="AF248" i="172"/>
  <c r="AG248" i="172"/>
  <c r="AF132" i="172"/>
  <c r="AG132" i="172"/>
  <c r="AG195" i="172"/>
  <c r="AF195" i="172"/>
  <c r="AF38" i="172"/>
  <c r="AG38" i="172"/>
  <c r="AF61" i="172"/>
  <c r="AG61" i="172"/>
  <c r="AF80" i="172"/>
  <c r="AG80" i="172"/>
  <c r="AG122" i="172"/>
  <c r="AF122" i="172"/>
  <c r="AF168" i="172"/>
  <c r="AG168" i="172"/>
  <c r="AF197" i="172"/>
  <c r="AG197" i="172"/>
  <c r="AF350" i="172"/>
  <c r="AG350" i="172"/>
  <c r="AG414" i="172"/>
  <c r="AF414" i="172"/>
  <c r="AG446" i="172"/>
  <c r="AF446" i="172"/>
  <c r="AG487" i="172"/>
  <c r="AF487" i="172"/>
  <c r="AF516" i="172"/>
  <c r="AG516" i="172"/>
  <c r="AF549" i="172"/>
  <c r="AG549" i="172"/>
  <c r="AF648" i="172"/>
  <c r="AG648" i="172"/>
  <c r="AF680" i="172"/>
  <c r="AG680" i="172"/>
  <c r="AG712" i="172"/>
  <c r="AF712" i="172"/>
  <c r="AG777" i="172"/>
  <c r="AF777" i="172"/>
  <c r="AG94" i="172"/>
  <c r="AF94" i="172"/>
  <c r="AF267" i="172"/>
  <c r="AG267" i="172"/>
  <c r="AF294" i="172"/>
  <c r="AG294" i="172"/>
  <c r="AG314" i="172"/>
  <c r="AF314" i="172"/>
  <c r="AG330" i="172"/>
  <c r="AF330" i="172"/>
  <c r="AG346" i="172"/>
  <c r="AF346" i="172"/>
  <c r="AF362" i="172"/>
  <c r="AG362" i="172"/>
  <c r="AG378" i="172"/>
  <c r="AF378" i="172"/>
  <c r="AG410" i="172"/>
  <c r="AF410" i="172"/>
  <c r="AF426" i="172"/>
  <c r="AG426" i="172"/>
  <c r="AF475" i="172"/>
  <c r="AG475" i="172"/>
  <c r="AG537" i="172"/>
  <c r="AF537" i="172"/>
  <c r="AF569" i="172"/>
  <c r="AG569" i="172"/>
  <c r="AF610" i="172"/>
  <c r="AG610" i="172"/>
  <c r="AF636" i="172"/>
  <c r="AG636" i="172"/>
  <c r="AF668" i="172"/>
  <c r="AG668" i="172"/>
  <c r="AF790" i="172"/>
  <c r="AG790" i="172"/>
  <c r="AG260" i="172"/>
  <c r="AF260" i="172"/>
  <c r="AG290" i="172"/>
  <c r="AF290" i="172"/>
  <c r="AF449" i="172"/>
  <c r="AG449" i="172"/>
  <c r="AF465" i="172"/>
  <c r="AG465" i="172"/>
  <c r="AF482" i="172"/>
  <c r="AG482" i="172"/>
  <c r="AF540" i="172"/>
  <c r="AG540" i="172"/>
  <c r="AF572" i="172"/>
  <c r="AG572" i="172"/>
  <c r="AG735" i="172"/>
  <c r="AF735" i="172"/>
  <c r="AG246" i="172"/>
  <c r="AF246" i="172"/>
  <c r="AF335" i="172"/>
  <c r="AG335" i="172"/>
  <c r="AG778" i="172"/>
  <c r="AF778" i="172"/>
  <c r="AG861" i="172"/>
  <c r="AF861" i="172"/>
  <c r="AF550" i="172"/>
  <c r="AG550" i="172"/>
  <c r="AF882" i="172"/>
  <c r="AG882" i="172"/>
  <c r="AF630" i="172"/>
  <c r="AG630" i="172"/>
  <c r="AF783" i="172"/>
  <c r="AG783" i="172"/>
  <c r="AF855" i="172"/>
  <c r="AG855" i="172"/>
  <c r="AG525" i="172"/>
  <c r="AF525" i="172"/>
  <c r="AF608" i="172"/>
  <c r="AG608" i="172"/>
  <c r="AG744" i="172"/>
  <c r="AF744" i="172"/>
  <c r="AF865" i="172"/>
  <c r="AG865" i="172"/>
  <c r="AG897" i="172"/>
  <c r="AF897" i="172"/>
  <c r="AF988" i="172"/>
  <c r="AG988" i="172"/>
  <c r="AE14" i="172"/>
  <c r="AB163" i="172"/>
  <c r="AE163" i="172" s="1"/>
  <c r="AB191" i="172"/>
  <c r="AB64" i="172"/>
  <c r="AE64" i="172" s="1"/>
  <c r="AE121" i="172"/>
  <c r="AE230" i="172"/>
  <c r="AE115" i="172"/>
  <c r="AE134" i="172"/>
  <c r="AE153" i="172"/>
  <c r="AE316" i="172"/>
  <c r="AE348" i="172"/>
  <c r="AE412" i="172"/>
  <c r="AB473" i="172"/>
  <c r="AB498" i="172"/>
  <c r="AE498" i="172" s="1"/>
  <c r="AB514" i="172"/>
  <c r="AE514" i="172" s="1"/>
  <c r="AB561" i="172"/>
  <c r="AE561" i="172" s="1"/>
  <c r="AB630" i="172"/>
  <c r="AE727" i="172"/>
  <c r="AE755" i="172"/>
  <c r="AE799" i="172"/>
  <c r="AE60" i="172"/>
  <c r="AB282" i="172"/>
  <c r="AE282" i="172" s="1"/>
  <c r="AE455" i="172"/>
  <c r="AB495" i="172"/>
  <c r="AE495" i="172" s="1"/>
  <c r="AE181" i="172"/>
  <c r="AE274" i="172"/>
  <c r="AB354" i="172"/>
  <c r="AE354" i="172" s="1"/>
  <c r="AE376" i="172"/>
  <c r="AB418" i="172"/>
  <c r="AE418" i="172" s="1"/>
  <c r="AE440" i="172"/>
  <c r="AE504" i="172"/>
  <c r="AB646" i="172"/>
  <c r="AB69" i="172"/>
  <c r="AE313" i="172"/>
  <c r="AB809" i="172"/>
  <c r="AE809" i="172" s="1"/>
  <c r="AB889" i="172"/>
  <c r="AB572" i="172"/>
  <c r="AB861" i="172"/>
  <c r="AE776" i="172"/>
  <c r="AE868" i="172"/>
  <c r="AE900" i="172"/>
  <c r="AE916" i="172"/>
  <c r="AE317" i="172"/>
  <c r="AE810" i="172"/>
  <c r="AB843" i="172"/>
  <c r="AB948" i="172"/>
  <c r="AE948" i="172" s="1"/>
  <c r="AB980" i="172"/>
  <c r="AE980" i="172" s="1"/>
  <c r="AB996" i="172"/>
  <c r="AE996" i="172" s="1"/>
  <c r="AX22" i="172"/>
  <c r="AY22" i="172" s="1"/>
  <c r="AR62" i="172"/>
  <c r="AU62" i="172" s="1"/>
  <c r="AU306" i="172"/>
  <c r="AX356" i="172"/>
  <c r="AY356" i="172" s="1"/>
  <c r="AX449" i="172"/>
  <c r="AY449" i="172" s="1"/>
  <c r="AU110" i="172"/>
  <c r="AU158" i="172"/>
  <c r="AU169" i="172"/>
  <c r="AX216" i="172"/>
  <c r="AY216" i="172" s="1"/>
  <c r="AX510" i="172"/>
  <c r="AY510" i="172" s="1"/>
  <c r="AU740" i="172"/>
  <c r="AU878" i="172"/>
  <c r="AU179" i="172"/>
  <c r="AU491" i="172"/>
  <c r="AU909" i="172"/>
  <c r="AX867" i="172"/>
  <c r="AY867" i="172" s="1"/>
  <c r="AU900" i="172"/>
  <c r="AX409" i="172"/>
  <c r="AY409" i="172" s="1"/>
  <c r="AU741" i="172"/>
  <c r="AX756" i="172"/>
  <c r="AY756" i="172" s="1"/>
  <c r="AU883" i="172"/>
  <c r="AU972" i="172"/>
  <c r="AU921" i="172"/>
  <c r="AU229" i="172"/>
  <c r="AU987" i="172"/>
  <c r="AG55" i="172"/>
  <c r="AF55" i="172"/>
  <c r="AF89" i="172"/>
  <c r="AG89" i="172"/>
  <c r="AF117" i="172"/>
  <c r="AG117" i="172"/>
  <c r="AF137" i="172"/>
  <c r="AG137" i="172"/>
  <c r="AF185" i="172"/>
  <c r="AG185" i="172"/>
  <c r="AF49" i="172"/>
  <c r="AG49" i="172"/>
  <c r="AG99" i="172"/>
  <c r="AF99" i="172"/>
  <c r="AF123" i="172"/>
  <c r="AG123" i="172"/>
  <c r="AF53" i="172"/>
  <c r="AG53" i="172"/>
  <c r="AE69" i="172"/>
  <c r="AF95" i="172"/>
  <c r="AG95" i="172"/>
  <c r="AF157" i="172"/>
  <c r="AG157" i="172"/>
  <c r="AG213" i="172"/>
  <c r="AF213" i="172"/>
  <c r="AG64" i="172"/>
  <c r="AF64" i="172"/>
  <c r="AF303" i="172"/>
  <c r="AG303" i="172"/>
  <c r="AF334" i="172"/>
  <c r="AG334" i="172"/>
  <c r="AF398" i="172"/>
  <c r="AG398" i="172"/>
  <c r="AF500" i="172"/>
  <c r="AG500" i="172"/>
  <c r="AF539" i="172"/>
  <c r="AG539" i="172"/>
  <c r="AG637" i="172"/>
  <c r="AF637" i="172"/>
  <c r="AG669" i="172"/>
  <c r="AF669" i="172"/>
  <c r="AF761" i="172"/>
  <c r="AG761" i="172"/>
  <c r="AF170" i="172"/>
  <c r="AG170" i="172"/>
  <c r="AG322" i="172"/>
  <c r="AF322" i="172"/>
  <c r="AG338" i="172"/>
  <c r="AF338" i="172"/>
  <c r="AF354" i="172"/>
  <c r="AG354" i="172"/>
  <c r="AG418" i="172"/>
  <c r="AF418" i="172"/>
  <c r="AF548" i="172"/>
  <c r="AG548" i="172"/>
  <c r="AG623" i="172"/>
  <c r="AF623" i="172"/>
  <c r="AE646" i="172"/>
  <c r="AE191" i="172"/>
  <c r="AF280" i="172"/>
  <c r="AG280" i="172"/>
  <c r="AF457" i="172"/>
  <c r="AG457" i="172"/>
  <c r="AF473" i="172"/>
  <c r="AG473" i="172"/>
  <c r="AG498" i="172"/>
  <c r="AF498" i="172"/>
  <c r="AG529" i="172"/>
  <c r="AF529" i="172"/>
  <c r="AG657" i="172"/>
  <c r="AF657" i="172"/>
  <c r="AG687" i="172"/>
  <c r="AF687" i="172"/>
  <c r="AF807" i="172"/>
  <c r="AG807" i="172"/>
  <c r="AG773" i="172"/>
  <c r="AF773" i="172"/>
  <c r="AF852" i="172"/>
  <c r="AG852" i="172"/>
  <c r="AF890" i="172"/>
  <c r="AG890" i="172"/>
  <c r="AG585" i="172"/>
  <c r="AF585" i="172"/>
  <c r="AE843" i="172"/>
  <c r="AF258" i="172"/>
  <c r="AG258" i="172"/>
  <c r="AF824" i="172"/>
  <c r="AG824" i="172"/>
  <c r="AF873" i="172"/>
  <c r="AG873" i="172"/>
  <c r="AG889" i="172"/>
  <c r="AF889" i="172"/>
  <c r="AG919" i="172"/>
  <c r="AF919" i="172"/>
  <c r="AG939" i="172"/>
  <c r="AF939" i="172"/>
  <c r="AG955" i="172"/>
  <c r="AF955" i="172"/>
  <c r="AG971" i="172"/>
  <c r="AF971" i="172"/>
  <c r="AF987" i="172"/>
  <c r="AG987" i="172"/>
  <c r="AF932" i="172"/>
  <c r="AG932" i="172"/>
  <c r="AF964" i="172"/>
  <c r="AG964" i="172"/>
  <c r="AF980" i="172"/>
  <c r="AG980" i="172"/>
  <c r="AB119" i="172"/>
  <c r="AE119" i="172" s="1"/>
  <c r="AE179" i="172"/>
  <c r="AE50" i="172"/>
  <c r="AE63" i="172"/>
  <c r="AE145" i="172"/>
  <c r="AE177" i="172"/>
  <c r="AB168" i="172"/>
  <c r="AB364" i="172"/>
  <c r="AE364" i="172" s="1"/>
  <c r="AE547" i="172"/>
  <c r="AE579" i="172"/>
  <c r="AB713" i="172"/>
  <c r="AE713" i="172" s="1"/>
  <c r="AB744" i="172"/>
  <c r="AE744" i="172" s="1"/>
  <c r="AE767" i="172"/>
  <c r="AE207" i="172"/>
  <c r="AB303" i="172"/>
  <c r="AE303" i="172" s="1"/>
  <c r="AB366" i="172"/>
  <c r="AE366" i="172" s="1"/>
  <c r="AB430" i="172"/>
  <c r="AE430" i="172" s="1"/>
  <c r="AB596" i="172"/>
  <c r="AE596" i="172" s="1"/>
  <c r="AE658" i="172"/>
  <c r="AE44" i="172"/>
  <c r="AB122" i="172"/>
  <c r="AE122" i="172" s="1"/>
  <c r="AE221" i="172"/>
  <c r="AE408" i="172"/>
  <c r="AE462" i="172"/>
  <c r="AE531" i="172"/>
  <c r="AB712" i="172"/>
  <c r="AB537" i="172"/>
  <c r="AE537" i="172" s="1"/>
  <c r="AB824" i="172"/>
  <c r="AE824" i="172" s="1"/>
  <c r="AB881" i="172"/>
  <c r="AE881" i="172" s="1"/>
  <c r="AB897" i="172"/>
  <c r="AB248" i="172"/>
  <c r="AE248" i="172" s="1"/>
  <c r="AE341" i="172"/>
  <c r="AB459" i="172"/>
  <c r="AE459" i="172" s="1"/>
  <c r="AE840" i="172"/>
  <c r="AE876" i="172"/>
  <c r="AE924" i="172"/>
  <c r="AE642" i="172"/>
  <c r="AE732" i="172"/>
  <c r="AE822" i="172"/>
  <c r="AB852" i="172"/>
  <c r="AE852" i="172" s="1"/>
  <c r="AB956" i="172"/>
  <c r="AE956" i="172" s="1"/>
  <c r="AB972" i="172"/>
  <c r="AE972" i="172" s="1"/>
  <c r="AB988" i="172"/>
  <c r="AE988" i="172" s="1"/>
  <c r="AU23" i="172"/>
  <c r="AX156" i="172"/>
  <c r="AY156" i="172" s="1"/>
  <c r="AU298" i="172"/>
  <c r="AX335" i="172"/>
  <c r="AY335" i="172" s="1"/>
  <c r="AX24" i="172"/>
  <c r="AY24" i="172" s="1"/>
  <c r="AX23" i="172"/>
  <c r="AY23" i="172" s="1"/>
  <c r="AU134" i="172"/>
  <c r="AU372" i="172"/>
  <c r="AU513" i="172"/>
  <c r="AU303" i="172"/>
  <c r="AU379" i="172"/>
  <c r="AU27" i="172"/>
  <c r="AU165" i="172"/>
  <c r="AX446" i="172"/>
  <c r="AY446" i="172" s="1"/>
  <c r="AU571" i="172"/>
  <c r="AX893" i="172"/>
  <c r="AY893" i="172" s="1"/>
  <c r="AU743" i="172"/>
  <c r="AU893" i="172"/>
  <c r="AU251" i="172"/>
  <c r="AU884" i="172"/>
  <c r="AX369" i="172"/>
  <c r="AY369" i="172" s="1"/>
  <c r="AX740" i="172"/>
  <c r="AY740" i="172" s="1"/>
  <c r="AU773" i="172"/>
  <c r="AU903" i="172"/>
  <c r="AX947" i="172"/>
  <c r="AY947" i="172" s="1"/>
  <c r="AX979" i="172"/>
  <c r="AY979" i="172" s="1"/>
  <c r="AU194" i="172"/>
  <c r="AU64" i="172"/>
  <c r="AU261" i="172"/>
  <c r="AU370" i="172"/>
  <c r="AU369" i="172"/>
  <c r="AF17" i="172"/>
  <c r="AG17" i="172"/>
  <c r="AF209" i="172"/>
  <c r="AG209" i="172"/>
  <c r="AG225" i="172"/>
  <c r="AF225" i="172"/>
  <c r="AG241" i="172"/>
  <c r="AF241" i="172"/>
  <c r="AG29" i="172"/>
  <c r="AF29" i="172"/>
  <c r="AG144" i="172"/>
  <c r="AF144" i="172"/>
  <c r="AF173" i="172"/>
  <c r="AG173" i="172"/>
  <c r="AG208" i="172"/>
  <c r="AF208" i="172"/>
  <c r="AF22" i="172"/>
  <c r="AG22" i="172"/>
  <c r="AF69" i="172"/>
  <c r="AG69" i="172"/>
  <c r="AF183" i="172"/>
  <c r="AG183" i="172"/>
  <c r="AF163" i="172"/>
  <c r="AG163" i="172"/>
  <c r="AF250" i="172"/>
  <c r="AG250" i="172"/>
  <c r="AG366" i="172"/>
  <c r="AF366" i="172"/>
  <c r="AG430" i="172"/>
  <c r="AF430" i="172"/>
  <c r="AF463" i="172"/>
  <c r="AG463" i="172"/>
  <c r="AF571" i="172"/>
  <c r="AG571" i="172"/>
  <c r="AF596" i="172"/>
  <c r="AG596" i="172"/>
  <c r="AF702" i="172"/>
  <c r="AG702" i="172"/>
  <c r="AG734" i="172"/>
  <c r="AF734" i="172"/>
  <c r="AF793" i="172"/>
  <c r="AG793" i="172"/>
  <c r="AF27" i="172"/>
  <c r="AG27" i="172"/>
  <c r="AF256" i="172"/>
  <c r="AG256" i="172"/>
  <c r="AF278" i="172"/>
  <c r="AG278" i="172"/>
  <c r="AG306" i="172"/>
  <c r="AF306" i="172"/>
  <c r="AG370" i="172"/>
  <c r="AF370" i="172"/>
  <c r="AF386" i="172"/>
  <c r="AG386" i="172"/>
  <c r="AG402" i="172"/>
  <c r="AF402" i="172"/>
  <c r="AG434" i="172"/>
  <c r="AF434" i="172"/>
  <c r="AF459" i="172"/>
  <c r="AG459" i="172"/>
  <c r="AF489" i="172"/>
  <c r="AG489" i="172"/>
  <c r="AF523" i="172"/>
  <c r="AG523" i="172"/>
  <c r="AF580" i="172"/>
  <c r="AG580" i="172"/>
  <c r="AF646" i="172"/>
  <c r="AG646" i="172"/>
  <c r="AF678" i="172"/>
  <c r="AG678" i="172"/>
  <c r="AF704" i="172"/>
  <c r="AG704" i="172"/>
  <c r="AG736" i="172"/>
  <c r="AF736" i="172"/>
  <c r="AG764" i="172"/>
  <c r="AF764" i="172"/>
  <c r="AF84" i="172"/>
  <c r="AG84" i="172"/>
  <c r="AF191" i="172"/>
  <c r="AG191" i="172"/>
  <c r="AG298" i="172"/>
  <c r="AF298" i="172"/>
  <c r="AE473" i="172"/>
  <c r="AG561" i="172"/>
  <c r="AF561" i="172"/>
  <c r="AF594" i="172"/>
  <c r="AG594" i="172"/>
  <c r="AF622" i="172"/>
  <c r="AG622" i="172"/>
  <c r="AG724" i="172"/>
  <c r="AF724" i="172"/>
  <c r="AG97" i="172"/>
  <c r="AF97" i="172"/>
  <c r="AF287" i="172"/>
  <c r="AG287" i="172"/>
  <c r="AG367" i="172"/>
  <c r="AF367" i="172"/>
  <c r="AG431" i="172"/>
  <c r="AF431" i="172"/>
  <c r="AF543" i="172"/>
  <c r="AG543" i="172"/>
  <c r="AF666" i="172"/>
  <c r="AG666" i="172"/>
  <c r="AF750" i="172"/>
  <c r="AG750" i="172"/>
  <c r="AF837" i="172"/>
  <c r="AG837" i="172"/>
  <c r="AG496" i="172"/>
  <c r="AF496" i="172"/>
  <c r="AF634" i="172"/>
  <c r="AG634" i="172"/>
  <c r="AF814" i="172"/>
  <c r="AG814" i="172"/>
  <c r="AF874" i="172"/>
  <c r="AG874" i="172"/>
  <c r="AF906" i="172"/>
  <c r="AG906" i="172"/>
  <c r="AG285" i="172"/>
  <c r="AF285" i="172"/>
  <c r="AF364" i="172"/>
  <c r="AG364" i="172"/>
  <c r="AF428" i="172"/>
  <c r="AG428" i="172"/>
  <c r="AG751" i="172"/>
  <c r="AF751" i="172"/>
  <c r="AF808" i="172"/>
  <c r="AG808" i="172"/>
  <c r="AG843" i="172"/>
  <c r="AF843" i="172"/>
  <c r="AG575" i="172"/>
  <c r="AF575" i="172"/>
  <c r="AG710" i="172"/>
  <c r="AF710" i="172"/>
  <c r="AG781" i="172"/>
  <c r="AF781" i="172"/>
  <c r="AF850" i="172"/>
  <c r="AG850" i="172"/>
  <c r="AE889" i="172"/>
  <c r="AE919" i="172"/>
  <c r="AF995" i="172"/>
  <c r="AG995" i="172"/>
  <c r="AF948" i="172"/>
  <c r="AG948" i="172"/>
  <c r="AF996" i="172"/>
  <c r="AG996" i="172"/>
  <c r="AF926" i="172"/>
  <c r="AG926" i="172"/>
  <c r="AB137" i="172"/>
  <c r="AE137" i="172" s="1"/>
  <c r="AB185" i="172"/>
  <c r="AE185" i="172" s="1"/>
  <c r="AB99" i="172"/>
  <c r="AE99" i="172" s="1"/>
  <c r="AB260" i="172"/>
  <c r="AE260" i="172" s="1"/>
  <c r="AB332" i="172"/>
  <c r="AE332" i="172" s="1"/>
  <c r="AB396" i="172"/>
  <c r="AE396" i="172" s="1"/>
  <c r="AB428" i="172"/>
  <c r="AE428" i="172" s="1"/>
  <c r="AB457" i="172"/>
  <c r="AE457" i="172" s="1"/>
  <c r="AB267" i="172"/>
  <c r="AB294" i="172"/>
  <c r="AE294" i="172" s="1"/>
  <c r="AB322" i="172"/>
  <c r="AE322" i="172" s="1"/>
  <c r="AB386" i="172"/>
  <c r="AE386" i="172" s="1"/>
  <c r="AB865" i="172"/>
  <c r="AB736" i="172"/>
  <c r="AE736" i="172" s="1"/>
  <c r="AB919" i="172"/>
  <c r="AB940" i="172"/>
  <c r="AE940" i="172" s="1"/>
  <c r="AG9" i="172"/>
  <c r="AF9" i="172"/>
  <c r="AX59" i="172"/>
  <c r="AY59" i="172" s="1"/>
  <c r="AR207" i="172"/>
  <c r="AU207" i="172" s="1"/>
  <c r="AR290" i="172"/>
  <c r="AR322" i="172"/>
  <c r="AU322" i="172" s="1"/>
  <c r="AX388" i="172"/>
  <c r="AY388" i="172" s="1"/>
  <c r="AR450" i="172"/>
  <c r="AX513" i="172"/>
  <c r="AY513" i="172" s="1"/>
  <c r="AR530" i="172"/>
  <c r="AU530" i="172" s="1"/>
  <c r="AX88" i="172"/>
  <c r="AY88" i="172" s="1"/>
  <c r="AX121" i="172"/>
  <c r="AY121" i="172" s="1"/>
  <c r="AX120" i="172"/>
  <c r="AY120" i="172" s="1"/>
  <c r="AU156" i="172"/>
  <c r="AU296" i="172"/>
  <c r="AU497" i="172"/>
  <c r="AX272" i="172"/>
  <c r="AY272" i="172" s="1"/>
  <c r="AU536" i="172"/>
  <c r="AU112" i="172"/>
  <c r="AU548" i="172"/>
  <c r="AU756" i="172"/>
  <c r="AU910" i="172"/>
  <c r="AU539" i="172"/>
  <c r="AU559" i="172"/>
  <c r="AU775" i="172"/>
  <c r="AU877" i="172"/>
  <c r="AU184" i="172"/>
  <c r="AU770" i="172"/>
  <c r="AU757" i="172"/>
  <c r="AX788" i="172"/>
  <c r="AY788" i="172" s="1"/>
  <c r="AX971" i="172"/>
  <c r="AY971" i="172" s="1"/>
  <c r="AU96" i="172"/>
  <c r="AU403" i="172"/>
  <c r="AU419" i="172"/>
  <c r="AU272" i="172"/>
  <c r="AU447" i="172"/>
  <c r="AU320" i="172"/>
  <c r="AU450" i="172"/>
  <c r="AF126" i="172"/>
  <c r="AG126" i="172"/>
  <c r="AF39" i="172"/>
  <c r="AG39" i="172"/>
  <c r="AF81" i="172"/>
  <c r="AG81" i="172"/>
  <c r="AF112" i="172"/>
  <c r="AG112" i="172"/>
  <c r="AF151" i="172"/>
  <c r="AG151" i="172"/>
  <c r="AF240" i="172"/>
  <c r="AG240" i="172"/>
  <c r="AE168" i="172"/>
  <c r="AG36" i="172"/>
  <c r="AF36" i="172"/>
  <c r="AG119" i="172"/>
  <c r="AF119" i="172"/>
  <c r="AF220" i="172"/>
  <c r="AG220" i="172"/>
  <c r="AG282" i="172"/>
  <c r="AF282" i="172"/>
  <c r="AF318" i="172"/>
  <c r="AG318" i="172"/>
  <c r="AG382" i="172"/>
  <c r="AF382" i="172"/>
  <c r="AG581" i="172"/>
  <c r="AF581" i="172"/>
  <c r="AG615" i="172"/>
  <c r="AF615" i="172"/>
  <c r="AE712" i="172"/>
  <c r="AG746" i="172"/>
  <c r="AF746" i="172"/>
  <c r="AG809" i="172"/>
  <c r="AF809" i="172"/>
  <c r="AF212" i="172"/>
  <c r="AG212" i="172"/>
  <c r="AE267" i="172"/>
  <c r="AG394" i="172"/>
  <c r="AF394" i="172"/>
  <c r="AF442" i="172"/>
  <c r="AG442" i="172"/>
  <c r="AF507" i="172"/>
  <c r="AG507" i="172"/>
  <c r="AG691" i="172"/>
  <c r="AF691" i="172"/>
  <c r="AG726" i="172"/>
  <c r="AF726" i="172"/>
  <c r="AG749" i="172"/>
  <c r="AF749" i="172"/>
  <c r="AF149" i="172"/>
  <c r="AG149" i="172"/>
  <c r="AG514" i="172"/>
  <c r="AF514" i="172"/>
  <c r="AE572" i="172"/>
  <c r="AG609" i="172"/>
  <c r="AF609" i="172"/>
  <c r="AG635" i="172"/>
  <c r="AF635" i="172"/>
  <c r="AG667" i="172"/>
  <c r="AF667" i="172"/>
  <c r="AG703" i="172"/>
  <c r="AF703" i="172"/>
  <c r="AG399" i="172"/>
  <c r="AF399" i="172"/>
  <c r="AF495" i="172"/>
  <c r="AG495" i="172"/>
  <c r="AG593" i="172"/>
  <c r="AF593" i="172"/>
  <c r="AG695" i="172"/>
  <c r="AF695" i="172"/>
  <c r="AF826" i="172"/>
  <c r="AG826" i="172"/>
  <c r="AE861" i="172"/>
  <c r="AG713" i="172"/>
  <c r="AF713" i="172"/>
  <c r="AF792" i="172"/>
  <c r="AG792" i="172"/>
  <c r="AG829" i="172"/>
  <c r="AF829" i="172"/>
  <c r="AF866" i="172"/>
  <c r="AG866" i="172"/>
  <c r="AF898" i="172"/>
  <c r="AG898" i="172"/>
  <c r="AF257" i="172"/>
  <c r="AG257" i="172"/>
  <c r="AG332" i="172"/>
  <c r="AF332" i="172"/>
  <c r="AF396" i="172"/>
  <c r="AG396" i="172"/>
  <c r="AG497" i="172"/>
  <c r="AF497" i="172"/>
  <c r="AE630" i="172"/>
  <c r="AF832" i="172"/>
  <c r="AG832" i="172"/>
  <c r="AF800" i="172"/>
  <c r="AG800" i="172"/>
  <c r="AF835" i="172"/>
  <c r="AG835" i="172"/>
  <c r="AE865" i="172"/>
  <c r="AF881" i="172"/>
  <c r="AG881" i="172"/>
  <c r="AE897" i="172"/>
  <c r="AG931" i="172"/>
  <c r="AF931" i="172"/>
  <c r="AG947" i="172"/>
  <c r="AF947" i="172"/>
  <c r="AG963" i="172"/>
  <c r="AF963" i="172"/>
  <c r="AG979" i="172"/>
  <c r="AF979" i="172"/>
  <c r="AF914" i="172"/>
  <c r="AG914" i="172"/>
  <c r="AF920" i="172"/>
  <c r="AG920" i="172"/>
  <c r="AF940" i="172"/>
  <c r="AG940" i="172"/>
  <c r="AF956" i="172"/>
  <c r="AG956" i="172"/>
  <c r="AF972" i="172"/>
  <c r="AG972" i="172"/>
  <c r="AF905" i="172"/>
  <c r="AG905" i="172"/>
  <c r="AB97" i="172"/>
  <c r="AE97" i="172" s="1"/>
  <c r="AB94" i="172"/>
  <c r="AE94" i="172" s="1"/>
  <c r="AB167" i="172"/>
  <c r="AE167" i="172" s="1"/>
  <c r="AB53" i="172"/>
  <c r="AE53" i="172" s="1"/>
  <c r="AB287" i="172"/>
  <c r="AE287" i="172" s="1"/>
  <c r="AB529" i="172"/>
  <c r="AE529" i="172" s="1"/>
  <c r="AB334" i="172"/>
  <c r="AE334" i="172" s="1"/>
  <c r="AB398" i="172"/>
  <c r="AE398" i="172" s="1"/>
  <c r="AB256" i="172"/>
  <c r="AE256" i="172" s="1"/>
  <c r="AE545" i="172"/>
  <c r="AB678" i="172"/>
  <c r="AE678" i="172" s="1"/>
  <c r="AB144" i="172"/>
  <c r="AE144" i="172" s="1"/>
  <c r="AB873" i="172"/>
  <c r="AE873" i="172" s="1"/>
  <c r="AB905" i="172"/>
  <c r="AE905" i="172" s="1"/>
  <c r="AB298" i="172"/>
  <c r="AE298" i="172" s="1"/>
  <c r="AB837" i="172"/>
  <c r="AE837" i="172" s="1"/>
  <c r="AB703" i="172"/>
  <c r="AE703" i="172" s="1"/>
  <c r="AB932" i="172"/>
  <c r="AE932" i="172" s="1"/>
  <c r="AB964" i="172"/>
  <c r="AE964" i="172" s="1"/>
  <c r="AR58" i="172"/>
  <c r="AU58" i="172" s="1"/>
  <c r="AU157" i="172"/>
  <c r="AU290" i="172"/>
  <c r="AR341" i="172"/>
  <c r="AU341" i="172" s="1"/>
  <c r="AX372" i="172"/>
  <c r="AY372" i="172" s="1"/>
  <c r="AX434" i="172"/>
  <c r="AY434" i="172" s="1"/>
  <c r="AX497" i="172"/>
  <c r="AY497" i="172" s="1"/>
  <c r="AX481" i="172"/>
  <c r="AY481" i="172" s="1"/>
  <c r="AR514" i="172"/>
  <c r="AU514" i="172" s="1"/>
  <c r="AX577" i="172"/>
  <c r="AY577" i="172" s="1"/>
  <c r="AX104" i="172"/>
  <c r="AY104" i="172" s="1"/>
  <c r="AU121" i="172"/>
  <c r="AX136" i="172"/>
  <c r="AY136" i="172" s="1"/>
  <c r="AX255" i="172"/>
  <c r="AY255" i="172" s="1"/>
  <c r="AU517" i="172"/>
  <c r="AX194" i="172"/>
  <c r="AY194" i="172" s="1"/>
  <c r="AX296" i="172"/>
  <c r="AY296" i="172" s="1"/>
  <c r="AU305" i="172"/>
  <c r="AX328" i="172"/>
  <c r="AY328" i="172" s="1"/>
  <c r="AX350" i="172"/>
  <c r="AY350" i="172" s="1"/>
  <c r="AR492" i="172"/>
  <c r="AU492" i="172" s="1"/>
  <c r="AX539" i="172"/>
  <c r="AY539" i="172" s="1"/>
  <c r="AR32" i="172"/>
  <c r="AU32" i="172" s="1"/>
  <c r="AR99" i="172"/>
  <c r="AU99" i="172" s="1"/>
  <c r="AX161" i="172"/>
  <c r="AY161" i="172" s="1"/>
  <c r="AX230" i="172"/>
  <c r="AY230" i="172" s="1"/>
  <c r="AR463" i="172"/>
  <c r="AU463" i="172" s="1"/>
  <c r="AX524" i="172"/>
  <c r="AY524" i="172" s="1"/>
  <c r="AR698" i="172"/>
  <c r="AU698" i="172" s="1"/>
  <c r="AR744" i="172"/>
  <c r="AU744" i="172" s="1"/>
  <c r="AX759" i="172"/>
  <c r="AY759" i="172" s="1"/>
  <c r="AR792" i="172"/>
  <c r="AU792" i="172" s="1"/>
  <c r="AR824" i="172"/>
  <c r="AU824" i="172" s="1"/>
  <c r="AU183" i="172"/>
  <c r="AX248" i="172"/>
  <c r="AY248" i="172" s="1"/>
  <c r="AX542" i="172"/>
  <c r="AY542" i="172" s="1"/>
  <c r="AR610" i="172"/>
  <c r="AU610" i="172" s="1"/>
  <c r="AR642" i="172"/>
  <c r="AU642" i="172" s="1"/>
  <c r="AR674" i="172"/>
  <c r="AU674" i="172" s="1"/>
  <c r="AR700" i="172"/>
  <c r="AU700" i="172" s="1"/>
  <c r="AR830" i="172"/>
  <c r="AU830" i="172" s="1"/>
  <c r="AX536" i="172"/>
  <c r="AY536" i="172" s="1"/>
  <c r="AX773" i="172"/>
  <c r="AY773" i="172" s="1"/>
  <c r="AU805" i="172"/>
  <c r="AR237" i="172"/>
  <c r="AU237" i="172" s="1"/>
  <c r="AX413" i="172"/>
  <c r="AY413" i="172" s="1"/>
  <c r="AX498" i="172"/>
  <c r="AY498" i="172" s="1"/>
  <c r="AR582" i="172"/>
  <c r="AU582" i="172" s="1"/>
  <c r="AX595" i="172"/>
  <c r="AY595" i="172" s="1"/>
  <c r="AX615" i="172"/>
  <c r="AY615" i="172" s="1"/>
  <c r="AR632" i="172"/>
  <c r="AU632" i="172" s="1"/>
  <c r="AX647" i="172"/>
  <c r="AY647" i="172" s="1"/>
  <c r="AR664" i="172"/>
  <c r="AU664" i="172" s="1"/>
  <c r="AX679" i="172"/>
  <c r="AY679" i="172" s="1"/>
  <c r="AR696" i="172"/>
  <c r="AU696" i="172" s="1"/>
  <c r="AR728" i="172"/>
  <c r="AU728" i="172" s="1"/>
  <c r="AR745" i="172"/>
  <c r="AU745" i="172" s="1"/>
  <c r="AX760" i="172"/>
  <c r="AY760" i="172" s="1"/>
  <c r="AR793" i="172"/>
  <c r="AU793" i="172" s="1"/>
  <c r="AR810" i="172"/>
  <c r="AU810" i="172" s="1"/>
  <c r="AR826" i="172"/>
  <c r="AU826" i="172" s="1"/>
  <c r="AX934" i="172"/>
  <c r="AY934" i="172" s="1"/>
  <c r="AX935" i="172"/>
  <c r="AY935" i="172" s="1"/>
  <c r="AX972" i="172"/>
  <c r="AY972" i="172" s="1"/>
  <c r="AR989" i="172"/>
  <c r="AU989" i="172" s="1"/>
  <c r="AU573" i="172"/>
  <c r="AU404" i="172"/>
  <c r="AU420" i="172"/>
  <c r="AU328" i="172"/>
  <c r="AU216" i="172"/>
  <c r="AU562" i="172"/>
  <c r="AU955" i="172"/>
  <c r="AU997" i="172"/>
  <c r="AG23" i="172"/>
  <c r="AF23" i="172"/>
  <c r="AG90" i="172"/>
  <c r="AF90" i="172"/>
  <c r="AF118" i="172"/>
  <c r="AG118" i="172"/>
  <c r="AF187" i="172"/>
  <c r="AG187" i="172"/>
  <c r="AG226" i="172"/>
  <c r="AF226" i="172"/>
  <c r="AF242" i="172"/>
  <c r="AG242" i="172"/>
  <c r="AG63" i="172"/>
  <c r="AF63" i="172"/>
  <c r="AF124" i="172"/>
  <c r="AG124" i="172"/>
  <c r="AF145" i="172"/>
  <c r="AG145" i="172"/>
  <c r="AG25" i="172"/>
  <c r="AF25" i="172"/>
  <c r="AG70" i="172"/>
  <c r="AF70" i="172"/>
  <c r="AG158" i="172"/>
  <c r="AF158" i="172"/>
  <c r="AG186" i="172"/>
  <c r="AF186" i="172"/>
  <c r="AF252" i="172"/>
  <c r="AG252" i="172"/>
  <c r="AG371" i="172"/>
  <c r="AF371" i="172"/>
  <c r="AG435" i="172"/>
  <c r="AF435" i="172"/>
  <c r="AG504" i="172"/>
  <c r="AF504" i="172"/>
  <c r="AF574" i="172"/>
  <c r="AG574" i="172"/>
  <c r="AG641" i="172"/>
  <c r="AF641" i="172"/>
  <c r="AG673" i="172"/>
  <c r="AF673" i="172"/>
  <c r="AG705" i="172"/>
  <c r="AF705" i="172"/>
  <c r="AF766" i="172"/>
  <c r="AG766" i="172"/>
  <c r="AF796" i="172"/>
  <c r="AG796" i="172"/>
  <c r="AG72" i="172"/>
  <c r="AF72" i="172"/>
  <c r="AF309" i="172"/>
  <c r="AG309" i="172"/>
  <c r="AF325" i="172"/>
  <c r="AG325" i="172"/>
  <c r="AF341" i="172"/>
  <c r="AG341" i="172"/>
  <c r="AF405" i="172"/>
  <c r="AG405" i="172"/>
  <c r="AF490" i="172"/>
  <c r="AG490" i="172"/>
  <c r="AF527" i="172"/>
  <c r="AG527" i="172"/>
  <c r="AG591" i="172"/>
  <c r="AF591" i="172"/>
  <c r="AG707" i="172"/>
  <c r="AF707" i="172"/>
  <c r="AG739" i="172"/>
  <c r="AF739" i="172"/>
  <c r="AE245" i="172"/>
  <c r="AG530" i="172"/>
  <c r="AF530" i="172"/>
  <c r="AE562" i="172"/>
  <c r="AG599" i="172"/>
  <c r="AF599" i="172"/>
  <c r="AG725" i="172"/>
  <c r="AF725" i="172"/>
  <c r="AF554" i="172"/>
  <c r="AG554" i="172"/>
  <c r="AG677" i="172"/>
  <c r="AF677" i="172"/>
  <c r="AG755" i="172"/>
  <c r="AF755" i="172"/>
  <c r="AF849" i="172"/>
  <c r="AG849" i="172"/>
  <c r="AF501" i="172"/>
  <c r="AG501" i="172"/>
  <c r="AG645" i="172"/>
  <c r="AF645" i="172"/>
  <c r="AG776" i="172"/>
  <c r="AF776" i="172"/>
  <c r="AF856" i="172"/>
  <c r="AG856" i="172"/>
  <c r="AF876" i="172"/>
  <c r="AG876" i="172"/>
  <c r="AF892" i="172"/>
  <c r="AG892" i="172"/>
  <c r="AF908" i="172"/>
  <c r="AG908" i="172"/>
  <c r="AF311" i="172"/>
  <c r="AG311" i="172"/>
  <c r="AG375" i="172"/>
  <c r="AF375" i="172"/>
  <c r="AG439" i="172"/>
  <c r="AF439" i="172"/>
  <c r="AG601" i="172"/>
  <c r="AF601" i="172"/>
  <c r="AG762" i="172"/>
  <c r="AF762" i="172"/>
  <c r="AF810" i="172"/>
  <c r="AG810" i="172"/>
  <c r="AF275" i="172"/>
  <c r="AG275" i="172"/>
  <c r="AF854" i="172"/>
  <c r="AG854" i="172"/>
  <c r="AG875" i="172"/>
  <c r="AF875" i="172"/>
  <c r="AF924" i="172"/>
  <c r="AG924" i="172"/>
  <c r="AE941" i="172"/>
  <c r="AE957" i="172"/>
  <c r="AG973" i="172"/>
  <c r="AF973" i="172"/>
  <c r="AG989" i="172"/>
  <c r="AF989" i="172"/>
  <c r="AG903" i="172"/>
  <c r="AF903" i="172"/>
  <c r="AF950" i="172"/>
  <c r="AG950" i="172"/>
  <c r="AF998" i="172"/>
  <c r="AG998" i="172"/>
  <c r="AG993" i="172"/>
  <c r="AF993" i="172"/>
  <c r="AB36" i="172"/>
  <c r="AE36" i="172" s="1"/>
  <c r="AB155" i="172"/>
  <c r="AE155" i="172" s="1"/>
  <c r="AB84" i="172"/>
  <c r="AE84" i="172" s="1"/>
  <c r="AB225" i="172"/>
  <c r="AE225" i="172" s="1"/>
  <c r="AB126" i="172"/>
  <c r="AE126" i="172" s="1"/>
  <c r="AE147" i="172"/>
  <c r="AB218" i="172"/>
  <c r="AB183" i="172"/>
  <c r="AE183" i="172" s="1"/>
  <c r="AB335" i="172"/>
  <c r="AE335" i="172" s="1"/>
  <c r="AB367" i="172"/>
  <c r="AE367" i="172" s="1"/>
  <c r="AE484" i="172"/>
  <c r="AB525" i="172"/>
  <c r="AE525" i="172" s="1"/>
  <c r="AE747" i="172"/>
  <c r="AB659" i="172"/>
  <c r="AB761" i="172"/>
  <c r="AE761" i="172" s="1"/>
  <c r="AB61" i="172"/>
  <c r="AE61" i="172" s="1"/>
  <c r="AB269" i="172"/>
  <c r="AB346" i="172"/>
  <c r="AE346" i="172" s="1"/>
  <c r="AB691" i="172"/>
  <c r="AE691" i="172" s="1"/>
  <c r="AB828" i="172"/>
  <c r="AE828" i="172" s="1"/>
  <c r="AB883" i="172"/>
  <c r="AB766" i="172"/>
  <c r="AE766" i="172" s="1"/>
  <c r="AE894" i="172"/>
  <c r="AB926" i="172"/>
  <c r="AE926" i="172" s="1"/>
  <c r="AB397" i="172"/>
  <c r="AB482" i="172"/>
  <c r="AE482" i="172" s="1"/>
  <c r="AB749" i="172"/>
  <c r="AE749" i="172" s="1"/>
  <c r="AB832" i="172"/>
  <c r="AE832" i="172" s="1"/>
  <c r="AB958" i="172"/>
  <c r="AE958" i="172" s="1"/>
  <c r="AB974" i="172"/>
  <c r="AE974" i="172" s="1"/>
  <c r="AR61" i="172"/>
  <c r="AX33" i="172"/>
  <c r="AY33" i="172" s="1"/>
  <c r="AR50" i="172"/>
  <c r="AU50" i="172" s="1"/>
  <c r="AX64" i="172"/>
  <c r="AY64" i="172" s="1"/>
  <c r="AR224" i="172"/>
  <c r="AR300" i="172"/>
  <c r="AU300" i="172" s="1"/>
  <c r="AR332" i="172"/>
  <c r="AU332" i="172" s="1"/>
  <c r="AX344" i="172"/>
  <c r="AY344" i="172" s="1"/>
  <c r="AX437" i="172"/>
  <c r="AY437" i="172" s="1"/>
  <c r="AX469" i="172"/>
  <c r="AY469" i="172" s="1"/>
  <c r="AU75" i="172"/>
  <c r="AX81" i="172"/>
  <c r="AY81" i="172" s="1"/>
  <c r="AR98" i="172"/>
  <c r="AU98" i="172" s="1"/>
  <c r="AX113" i="172"/>
  <c r="AY113" i="172" s="1"/>
  <c r="AX249" i="172"/>
  <c r="AY249" i="172" s="1"/>
  <c r="AR258" i="172"/>
  <c r="AU258" i="172" s="1"/>
  <c r="AR348" i="172"/>
  <c r="AU348" i="172" s="1"/>
  <c r="AR441" i="172"/>
  <c r="AU441" i="172" s="1"/>
  <c r="AX472" i="172"/>
  <c r="AY472" i="172" s="1"/>
  <c r="AR505" i="172"/>
  <c r="AU505" i="172" s="1"/>
  <c r="AX14" i="172"/>
  <c r="AY14" i="172" s="1"/>
  <c r="AU47" i="172"/>
  <c r="AX158" i="172"/>
  <c r="AY158" i="172" s="1"/>
  <c r="AR204" i="172"/>
  <c r="AU204" i="172" s="1"/>
  <c r="AR223" i="172"/>
  <c r="AU223" i="172" s="1"/>
  <c r="AX290" i="172"/>
  <c r="AY290" i="172" s="1"/>
  <c r="AR307" i="172"/>
  <c r="AU307" i="172" s="1"/>
  <c r="AX322" i="172"/>
  <c r="AY322" i="172" s="1"/>
  <c r="AR387" i="172"/>
  <c r="AU387" i="172" s="1"/>
  <c r="AX463" i="172"/>
  <c r="AY463" i="172" s="1"/>
  <c r="AR480" i="172"/>
  <c r="AU480" i="172" s="1"/>
  <c r="AX527" i="172"/>
  <c r="AY527" i="172" s="1"/>
  <c r="AR11" i="172"/>
  <c r="AU11" i="172" s="1"/>
  <c r="AR43" i="172"/>
  <c r="AU43" i="172" s="1"/>
  <c r="AR84" i="172"/>
  <c r="AX100" i="172"/>
  <c r="AY100" i="172" s="1"/>
  <c r="AX99" i="172"/>
  <c r="AY99" i="172" s="1"/>
  <c r="AR116" i="172"/>
  <c r="AU116" i="172" s="1"/>
  <c r="AX131" i="172"/>
  <c r="AY131" i="172" s="1"/>
  <c r="AX154" i="172"/>
  <c r="AY154" i="172" s="1"/>
  <c r="AR163" i="172"/>
  <c r="AU163" i="172" s="1"/>
  <c r="AR167" i="172"/>
  <c r="AU167" i="172" s="1"/>
  <c r="AR239" i="172"/>
  <c r="AX410" i="172"/>
  <c r="AY410" i="172" s="1"/>
  <c r="AX478" i="172"/>
  <c r="AY478" i="172" s="1"/>
  <c r="AR557" i="172"/>
  <c r="AU557" i="172" s="1"/>
  <c r="AR581" i="172"/>
  <c r="AX593" i="172"/>
  <c r="AY593" i="172" s="1"/>
  <c r="AR733" i="172"/>
  <c r="AX747" i="172"/>
  <c r="AY747" i="172" s="1"/>
  <c r="AR780" i="172"/>
  <c r="AU780" i="172" s="1"/>
  <c r="AX808" i="172"/>
  <c r="AY808" i="172" s="1"/>
  <c r="AX839" i="172"/>
  <c r="AY839" i="172" s="1"/>
  <c r="AR870" i="172"/>
  <c r="AU870" i="172" s="1"/>
  <c r="AX224" i="172"/>
  <c r="AY224" i="172" s="1"/>
  <c r="AX423" i="172"/>
  <c r="AY423" i="172" s="1"/>
  <c r="AR584" i="172"/>
  <c r="AX599" i="172"/>
  <c r="AY599" i="172" s="1"/>
  <c r="AX618" i="172"/>
  <c r="AY618" i="172" s="1"/>
  <c r="AR635" i="172"/>
  <c r="AU635" i="172" s="1"/>
  <c r="AX650" i="172"/>
  <c r="AY650" i="172" s="1"/>
  <c r="AR667" i="172"/>
  <c r="AU667" i="172" s="1"/>
  <c r="AX682" i="172"/>
  <c r="AY682" i="172" s="1"/>
  <c r="AR751" i="172"/>
  <c r="AU751" i="172" s="1"/>
  <c r="AR799" i="172"/>
  <c r="AU799" i="172" s="1"/>
  <c r="AR815" i="172"/>
  <c r="AX830" i="172"/>
  <c r="AY830" i="172" s="1"/>
  <c r="AX868" i="172"/>
  <c r="AY868" i="172" s="1"/>
  <c r="AR901" i="172"/>
  <c r="AU901" i="172" s="1"/>
  <c r="AU267" i="172"/>
  <c r="AX416" i="172"/>
  <c r="AY416" i="172" s="1"/>
  <c r="AX502" i="172"/>
  <c r="AY502" i="172" s="1"/>
  <c r="AX696" i="172"/>
  <c r="AY696" i="172" s="1"/>
  <c r="AR729" i="172"/>
  <c r="AU729" i="172" s="1"/>
  <c r="AR746" i="172"/>
  <c r="AU746" i="172" s="1"/>
  <c r="AX761" i="172"/>
  <c r="AY761" i="172" s="1"/>
  <c r="AR794" i="172"/>
  <c r="AU794" i="172" s="1"/>
  <c r="AR812" i="172"/>
  <c r="AU812" i="172" s="1"/>
  <c r="AR876" i="172"/>
  <c r="AU876" i="172" s="1"/>
  <c r="AR892" i="172"/>
  <c r="AU892" i="172" s="1"/>
  <c r="AX401" i="172"/>
  <c r="AY401" i="172" s="1"/>
  <c r="AX450" i="172"/>
  <c r="AY450" i="172" s="1"/>
  <c r="AX543" i="172"/>
  <c r="AY543" i="172" s="1"/>
  <c r="AR587" i="172"/>
  <c r="AU587" i="172" s="1"/>
  <c r="AX608" i="172"/>
  <c r="AY608" i="172" s="1"/>
  <c r="AR625" i="172"/>
  <c r="AU625" i="172" s="1"/>
  <c r="AX640" i="172"/>
  <c r="AY640" i="172" s="1"/>
  <c r="AR657" i="172"/>
  <c r="AU657" i="172" s="1"/>
  <c r="AX672" i="172"/>
  <c r="AY672" i="172" s="1"/>
  <c r="AR689" i="172"/>
  <c r="AU689" i="172" s="1"/>
  <c r="AR715" i="172"/>
  <c r="AR731" i="172"/>
  <c r="AX748" i="172"/>
  <c r="AY748" i="172" s="1"/>
  <c r="AR781" i="172"/>
  <c r="AU781" i="172" s="1"/>
  <c r="AX810" i="172"/>
  <c r="AY810" i="172" s="1"/>
  <c r="AX844" i="172"/>
  <c r="AY844" i="172" s="1"/>
  <c r="AX924" i="172"/>
  <c r="AY924" i="172" s="1"/>
  <c r="AR923" i="172"/>
  <c r="AU923" i="172" s="1"/>
  <c r="AR968" i="172"/>
  <c r="AU968" i="172" s="1"/>
  <c r="AR899" i="172"/>
  <c r="AU899" i="172" s="1"/>
  <c r="AX910" i="172"/>
  <c r="AY910" i="172" s="1"/>
  <c r="AX966" i="172"/>
  <c r="AY966" i="172" s="1"/>
  <c r="AX998" i="172"/>
  <c r="AY998" i="172" s="1"/>
  <c r="AX999" i="172"/>
  <c r="AY999" i="172" s="1"/>
  <c r="AU28" i="172"/>
  <c r="AU214" i="172"/>
  <c r="AU238" i="172"/>
  <c r="AU254" i="172"/>
  <c r="AU271" i="172"/>
  <c r="AU356" i="172"/>
  <c r="AU577" i="172"/>
  <c r="AU273" i="172"/>
  <c r="AU295" i="172"/>
  <c r="AU311" i="172"/>
  <c r="AU327" i="172"/>
  <c r="AU413" i="172"/>
  <c r="AU429" i="172"/>
  <c r="AU91" i="172"/>
  <c r="AU176" i="172"/>
  <c r="AU225" i="172"/>
  <c r="AU362" i="172"/>
  <c r="AU394" i="172"/>
  <c r="AU106" i="172"/>
  <c r="AU277" i="172"/>
  <c r="AU361" i="172"/>
  <c r="AU868" i="172"/>
  <c r="AU856" i="172"/>
  <c r="AU336" i="172"/>
  <c r="AU846" i="172"/>
  <c r="AU222" i="172"/>
  <c r="AU510" i="172"/>
  <c r="AF26" i="172"/>
  <c r="AG26" i="172"/>
  <c r="AE96" i="172"/>
  <c r="AF142" i="172"/>
  <c r="AG142" i="172"/>
  <c r="AG188" i="172"/>
  <c r="AF188" i="172"/>
  <c r="AF211" i="172"/>
  <c r="AG211" i="172"/>
  <c r="AF243" i="172"/>
  <c r="AG243" i="172"/>
  <c r="AE31" i="172"/>
  <c r="AG71" i="172"/>
  <c r="AF71" i="172"/>
  <c r="AF128" i="172"/>
  <c r="AG128" i="172"/>
  <c r="AF177" i="172"/>
  <c r="AG177" i="172"/>
  <c r="AF73" i="172"/>
  <c r="AG73" i="172"/>
  <c r="AG106" i="172"/>
  <c r="AF106" i="172"/>
  <c r="AF161" i="172"/>
  <c r="AG161" i="172"/>
  <c r="AE192" i="172"/>
  <c r="AF189" i="172"/>
  <c r="AG189" i="172"/>
  <c r="AF270" i="172"/>
  <c r="AG270" i="172"/>
  <c r="AF310" i="172"/>
  <c r="AG310" i="172"/>
  <c r="AF342" i="172"/>
  <c r="AG342" i="172"/>
  <c r="AF406" i="172"/>
  <c r="AG406" i="172"/>
  <c r="AE471" i="172"/>
  <c r="AG577" i="172"/>
  <c r="AF577" i="172"/>
  <c r="AF604" i="172"/>
  <c r="AG604" i="172"/>
  <c r="AF644" i="172"/>
  <c r="AG644" i="172"/>
  <c r="AF676" i="172"/>
  <c r="AG676" i="172"/>
  <c r="AG708" i="172"/>
  <c r="AF708" i="172"/>
  <c r="AF801" i="172"/>
  <c r="AG801" i="172"/>
  <c r="AE77" i="172"/>
  <c r="AF263" i="172"/>
  <c r="AG263" i="172"/>
  <c r="AF284" i="172"/>
  <c r="AG284" i="172"/>
  <c r="AF312" i="172"/>
  <c r="AG312" i="172"/>
  <c r="AF328" i="172"/>
  <c r="AG328" i="172"/>
  <c r="AF344" i="172"/>
  <c r="AG344" i="172"/>
  <c r="AG376" i="172"/>
  <c r="AF376" i="172"/>
  <c r="AG392" i="172"/>
  <c r="AF392" i="172"/>
  <c r="AG408" i="172"/>
  <c r="AF408" i="172"/>
  <c r="AG440" i="172"/>
  <c r="AF440" i="172"/>
  <c r="AF531" i="172"/>
  <c r="AG531" i="172"/>
  <c r="AF563" i="172"/>
  <c r="AG563" i="172"/>
  <c r="AE595" i="172"/>
  <c r="AE629" i="172"/>
  <c r="AE661" i="172"/>
  <c r="AG742" i="172"/>
  <c r="AF742" i="172"/>
  <c r="AF253" i="172"/>
  <c r="AG253" i="172"/>
  <c r="AG461" i="172"/>
  <c r="AF461" i="172"/>
  <c r="AF506" i="172"/>
  <c r="AG506" i="172"/>
  <c r="AG533" i="172"/>
  <c r="AF533" i="172"/>
  <c r="AE631" i="172"/>
  <c r="AE663" i="172"/>
  <c r="AF696" i="172"/>
  <c r="AG696" i="172"/>
  <c r="AE728" i="172"/>
  <c r="AG223" i="172"/>
  <c r="AF223" i="172"/>
  <c r="AE319" i="172"/>
  <c r="AG383" i="172"/>
  <c r="AF383" i="172"/>
  <c r="AG447" i="172"/>
  <c r="AF447" i="172"/>
  <c r="AF820" i="172"/>
  <c r="AG820" i="172"/>
  <c r="AE853" i="172"/>
  <c r="AF656" i="172"/>
  <c r="AG656" i="172"/>
  <c r="AE779" i="172"/>
  <c r="AG316" i="172"/>
  <c r="AF316" i="172"/>
  <c r="AF380" i="172"/>
  <c r="AG380" i="172"/>
  <c r="AG444" i="172"/>
  <c r="AF444" i="172"/>
  <c r="AF612" i="172"/>
  <c r="AG612" i="172"/>
  <c r="AF816" i="172"/>
  <c r="AG816" i="172"/>
  <c r="AF847" i="172"/>
  <c r="AG847" i="172"/>
  <c r="AF286" i="172"/>
  <c r="AG286" i="172"/>
  <c r="AE597" i="172"/>
  <c r="AF787" i="172"/>
  <c r="AG787" i="172"/>
  <c r="AG893" i="172"/>
  <c r="AF893" i="172"/>
  <c r="AE927" i="172"/>
  <c r="AE943" i="172"/>
  <c r="AE975" i="172"/>
  <c r="AF936" i="172"/>
  <c r="AG936" i="172"/>
  <c r="AF984" i="172"/>
  <c r="AG984" i="172"/>
  <c r="AG991" i="172"/>
  <c r="AF991" i="172"/>
  <c r="AF999" i="172"/>
  <c r="AG999" i="172"/>
  <c r="AB156" i="172"/>
  <c r="AE156" i="172" s="1"/>
  <c r="AB55" i="172"/>
  <c r="AE55" i="172" s="1"/>
  <c r="AB89" i="172"/>
  <c r="AE89" i="172" s="1"/>
  <c r="AB160" i="172"/>
  <c r="AB188" i="172"/>
  <c r="AB243" i="172"/>
  <c r="AB39" i="172"/>
  <c r="AE39" i="172" s="1"/>
  <c r="AB195" i="172"/>
  <c r="AE195" i="172" s="1"/>
  <c r="AB223" i="172"/>
  <c r="AE223" i="172" s="1"/>
  <c r="AB285" i="172"/>
  <c r="AE285" i="172" s="1"/>
  <c r="AB372" i="172"/>
  <c r="AE372" i="172" s="1"/>
  <c r="AB436" i="172"/>
  <c r="AE436" i="172" s="1"/>
  <c r="AB465" i="172"/>
  <c r="AE465" i="172" s="1"/>
  <c r="AB783" i="172"/>
  <c r="AE783" i="172" s="1"/>
  <c r="AB258" i="172"/>
  <c r="AE258" i="172" s="1"/>
  <c r="AB552" i="172"/>
  <c r="AB584" i="172"/>
  <c r="AB600" i="172"/>
  <c r="AE600" i="172" s="1"/>
  <c r="AB734" i="172"/>
  <c r="AE734" i="172" s="1"/>
  <c r="AB769" i="172"/>
  <c r="AE769" i="172" s="1"/>
  <c r="AB306" i="172"/>
  <c r="AE306" i="172" s="1"/>
  <c r="AB370" i="172"/>
  <c r="AE370" i="172" s="1"/>
  <c r="AB392" i="172"/>
  <c r="AE392" i="172" s="1"/>
  <c r="AB434" i="172"/>
  <c r="AE434" i="172" s="1"/>
  <c r="AB500" i="172"/>
  <c r="AE500" i="172" s="1"/>
  <c r="AB570" i="172"/>
  <c r="AB726" i="172"/>
  <c r="AE726" i="172" s="1"/>
  <c r="AB112" i="172"/>
  <c r="AE112" i="172" s="1"/>
  <c r="AB215" i="172"/>
  <c r="AB752" i="172"/>
  <c r="AE752" i="172" s="1"/>
  <c r="AB800" i="172"/>
  <c r="AE800" i="172" s="1"/>
  <c r="AB869" i="172"/>
  <c r="AB885" i="172"/>
  <c r="AB901" i="172"/>
  <c r="AE901" i="172" s="1"/>
  <c r="AB639" i="172"/>
  <c r="AB540" i="172"/>
  <c r="AE540" i="172" s="1"/>
  <c r="AB657" i="172"/>
  <c r="AE657" i="172" s="1"/>
  <c r="AB764" i="172"/>
  <c r="AE764" i="172" s="1"/>
  <c r="AB856" i="172"/>
  <c r="AE856" i="172" s="1"/>
  <c r="AB928" i="172"/>
  <c r="AE928" i="172" s="1"/>
  <c r="AB960" i="172"/>
  <c r="AE960" i="172" s="1"/>
  <c r="AB11" i="172"/>
  <c r="AE11" i="172" s="1"/>
  <c r="AX12" i="172"/>
  <c r="AY12" i="172" s="1"/>
  <c r="AR21" i="172"/>
  <c r="AU21" i="172" s="1"/>
  <c r="AR29" i="172"/>
  <c r="AU29" i="172" s="1"/>
  <c r="AX44" i="172"/>
  <c r="AY44" i="172" s="1"/>
  <c r="AR51" i="172"/>
  <c r="AR68" i="172"/>
  <c r="AX38" i="172"/>
  <c r="AY38" i="172" s="1"/>
  <c r="AX214" i="172"/>
  <c r="AY214" i="172" s="1"/>
  <c r="AR310" i="172"/>
  <c r="AU310" i="172" s="1"/>
  <c r="AX364" i="172"/>
  <c r="AY364" i="172" s="1"/>
  <c r="AR397" i="172"/>
  <c r="AR442" i="172"/>
  <c r="AX457" i="172"/>
  <c r="AY457" i="172" s="1"/>
  <c r="AX489" i="172"/>
  <c r="AY489" i="172" s="1"/>
  <c r="AR554" i="172"/>
  <c r="AU554" i="172" s="1"/>
  <c r="AX76" i="172"/>
  <c r="AY76" i="172" s="1"/>
  <c r="AR85" i="172"/>
  <c r="AU85" i="172" s="1"/>
  <c r="AR93" i="172"/>
  <c r="AU93" i="172" s="1"/>
  <c r="AX108" i="172"/>
  <c r="AY108" i="172" s="1"/>
  <c r="AR117" i="172"/>
  <c r="AU117" i="172" s="1"/>
  <c r="AX140" i="172"/>
  <c r="AY140" i="172" s="1"/>
  <c r="AR153" i="172"/>
  <c r="AU153" i="172" s="1"/>
  <c r="AX197" i="172"/>
  <c r="AY197" i="172" s="1"/>
  <c r="AX227" i="172"/>
  <c r="AY227" i="172" s="1"/>
  <c r="AR236" i="172"/>
  <c r="AU236" i="172" s="1"/>
  <c r="AX259" i="172"/>
  <c r="AY259" i="172" s="1"/>
  <c r="AR268" i="172"/>
  <c r="AU268" i="172" s="1"/>
  <c r="AR283" i="172"/>
  <c r="AX367" i="172"/>
  <c r="AY367" i="172" s="1"/>
  <c r="AR384" i="172"/>
  <c r="AU384" i="172" s="1"/>
  <c r="AR400" i="172"/>
  <c r="AX492" i="172"/>
  <c r="AY492" i="172" s="1"/>
  <c r="AX19" i="172"/>
  <c r="AY19" i="172" s="1"/>
  <c r="AR148" i="172"/>
  <c r="AU148" i="172" s="1"/>
  <c r="AR270" i="172"/>
  <c r="AX300" i="172"/>
  <c r="AY300" i="172" s="1"/>
  <c r="AR309" i="172"/>
  <c r="AX332" i="172"/>
  <c r="AY332" i="172" s="1"/>
  <c r="AX358" i="172"/>
  <c r="AY358" i="172" s="1"/>
  <c r="AX451" i="172"/>
  <c r="AY451" i="172" s="1"/>
  <c r="AX483" i="172"/>
  <c r="AY483" i="172" s="1"/>
  <c r="AR500" i="172"/>
  <c r="AU500" i="172" s="1"/>
  <c r="AX15" i="172"/>
  <c r="AY15" i="172" s="1"/>
  <c r="AX94" i="172"/>
  <c r="AY94" i="172" s="1"/>
  <c r="AR103" i="172"/>
  <c r="AX126" i="172"/>
  <c r="AY126" i="172" s="1"/>
  <c r="AR144" i="172"/>
  <c r="AU144" i="172" s="1"/>
  <c r="AX163" i="172"/>
  <c r="AY163" i="172" s="1"/>
  <c r="AR168" i="172"/>
  <c r="AX246" i="172"/>
  <c r="AY246" i="172" s="1"/>
  <c r="AR339" i="172"/>
  <c r="AU339" i="172" s="1"/>
  <c r="AX540" i="172"/>
  <c r="AY540" i="172" s="1"/>
  <c r="AX584" i="172"/>
  <c r="AY584" i="172" s="1"/>
  <c r="AR736" i="172"/>
  <c r="AR752" i="172"/>
  <c r="AU752" i="172" s="1"/>
  <c r="AX767" i="172"/>
  <c r="AY767" i="172" s="1"/>
  <c r="AX799" i="172"/>
  <c r="AY799" i="172" s="1"/>
  <c r="AX856" i="172"/>
  <c r="AY856" i="172" s="1"/>
  <c r="AR874" i="172"/>
  <c r="AR890" i="172"/>
  <c r="AU890" i="172" s="1"/>
  <c r="AX921" i="172"/>
  <c r="AY921" i="172" s="1"/>
  <c r="AR175" i="172"/>
  <c r="AX264" i="172"/>
  <c r="AY264" i="172" s="1"/>
  <c r="AR412" i="172"/>
  <c r="AU412" i="172" s="1"/>
  <c r="AR614" i="172"/>
  <c r="AX629" i="172"/>
  <c r="AY629" i="172" s="1"/>
  <c r="AR646" i="172"/>
  <c r="AX661" i="172"/>
  <c r="AY661" i="172" s="1"/>
  <c r="AR678" i="172"/>
  <c r="AX693" i="172"/>
  <c r="AY693" i="172" s="1"/>
  <c r="AR708" i="172"/>
  <c r="AU708" i="172" s="1"/>
  <c r="AR755" i="172"/>
  <c r="AU755" i="172" s="1"/>
  <c r="AX786" i="172"/>
  <c r="AY786" i="172" s="1"/>
  <c r="AX821" i="172"/>
  <c r="AY821" i="172" s="1"/>
  <c r="AR837" i="172"/>
  <c r="AX888" i="172"/>
  <c r="AY888" i="172" s="1"/>
  <c r="AR180" i="172"/>
  <c r="AX242" i="172"/>
  <c r="AY242" i="172" s="1"/>
  <c r="AR342" i="172"/>
  <c r="AR455" i="172"/>
  <c r="AU455" i="172" s="1"/>
  <c r="AR521" i="172"/>
  <c r="AU521" i="172" s="1"/>
  <c r="AX548" i="172"/>
  <c r="AY548" i="172" s="1"/>
  <c r="AR718" i="172"/>
  <c r="AX781" i="172"/>
  <c r="AY781" i="172" s="1"/>
  <c r="AR813" i="172"/>
  <c r="AU813" i="172" s="1"/>
  <c r="AR850" i="172"/>
  <c r="AR912" i="172"/>
  <c r="AX188" i="172"/>
  <c r="AY188" i="172" s="1"/>
  <c r="AR253" i="172"/>
  <c r="AU253" i="172" s="1"/>
  <c r="AR354" i="172"/>
  <c r="AU354" i="172" s="1"/>
  <c r="AX421" i="172"/>
  <c r="AY421" i="172" s="1"/>
  <c r="AX518" i="172"/>
  <c r="AY518" i="172" s="1"/>
  <c r="AR569" i="172"/>
  <c r="AU569" i="172" s="1"/>
  <c r="AX619" i="172"/>
  <c r="AY619" i="172" s="1"/>
  <c r="AX651" i="172"/>
  <c r="AY651" i="172" s="1"/>
  <c r="AX683" i="172"/>
  <c r="AY683" i="172" s="1"/>
  <c r="AR737" i="172"/>
  <c r="AX768" i="172"/>
  <c r="AY768" i="172" s="1"/>
  <c r="AX801" i="172"/>
  <c r="AY801" i="172" s="1"/>
  <c r="AR834" i="172"/>
  <c r="AX862" i="172"/>
  <c r="AY862" i="172" s="1"/>
  <c r="AR895" i="172"/>
  <c r="AU895" i="172" s="1"/>
  <c r="AX942" i="172"/>
  <c r="AY942" i="172" s="1"/>
  <c r="AR946" i="172"/>
  <c r="AU946" i="172" s="1"/>
  <c r="AR978" i="172"/>
  <c r="AX943" i="172"/>
  <c r="AY943" i="172" s="1"/>
  <c r="AR961" i="172"/>
  <c r="AU961" i="172" s="1"/>
  <c r="AX976" i="172"/>
  <c r="AY976" i="172" s="1"/>
  <c r="AR993" i="172"/>
  <c r="AU993" i="172" s="1"/>
  <c r="AU33" i="172"/>
  <c r="AU129" i="172"/>
  <c r="AU219" i="172"/>
  <c r="AU240" i="172"/>
  <c r="AU360" i="172"/>
  <c r="AU66" i="172"/>
  <c r="AU195" i="172"/>
  <c r="AU297" i="172"/>
  <c r="AU313" i="172"/>
  <c r="AU329" i="172"/>
  <c r="AU406" i="172"/>
  <c r="AU422" i="172"/>
  <c r="AU456" i="172"/>
  <c r="AU127" i="172"/>
  <c r="AU202" i="172"/>
  <c r="AU243" i="172"/>
  <c r="AU398" i="172"/>
  <c r="AU459" i="172"/>
  <c r="AU142" i="172"/>
  <c r="AU807" i="172"/>
  <c r="AU334" i="172"/>
  <c r="AU726" i="172"/>
  <c r="AU859" i="172"/>
  <c r="AU274" i="172"/>
  <c r="AU353" i="172"/>
  <c r="AU558" i="172"/>
  <c r="AU595" i="172"/>
  <c r="AU849" i="172"/>
  <c r="AU882" i="172"/>
  <c r="AU269" i="172"/>
  <c r="AU847" i="172"/>
  <c r="AF32" i="172"/>
  <c r="AG32" i="172"/>
  <c r="AF125" i="172"/>
  <c r="AG125" i="172"/>
  <c r="AF162" i="172"/>
  <c r="AG162" i="172"/>
  <c r="AF193" i="172"/>
  <c r="AG193" i="172"/>
  <c r="AE214" i="172"/>
  <c r="AG230" i="172"/>
  <c r="AF230" i="172"/>
  <c r="AE247" i="172"/>
  <c r="AF34" i="172"/>
  <c r="AG34" i="172"/>
  <c r="AF78" i="172"/>
  <c r="AG78" i="172"/>
  <c r="AE108" i="172"/>
  <c r="AF131" i="172"/>
  <c r="AG131" i="172"/>
  <c r="AE37" i="172"/>
  <c r="AF60" i="172"/>
  <c r="AG60" i="172"/>
  <c r="AF165" i="172"/>
  <c r="AG165" i="172"/>
  <c r="AF194" i="172"/>
  <c r="AG194" i="172"/>
  <c r="AE104" i="172"/>
  <c r="AE206" i="172"/>
  <c r="AF271" i="172"/>
  <c r="AG271" i="172"/>
  <c r="AG379" i="172"/>
  <c r="AF379" i="172"/>
  <c r="AE411" i="172"/>
  <c r="AG443" i="172"/>
  <c r="AF443" i="172"/>
  <c r="AE479" i="172"/>
  <c r="AE512" i="172"/>
  <c r="AG546" i="172"/>
  <c r="AF546" i="172"/>
  <c r="AG578" i="172"/>
  <c r="AF578" i="172"/>
  <c r="AE611" i="172"/>
  <c r="AE647" i="172"/>
  <c r="AE679" i="172"/>
  <c r="AE709" i="172"/>
  <c r="AG743" i="172"/>
  <c r="AF743" i="172"/>
  <c r="AG772" i="172"/>
  <c r="AF772" i="172"/>
  <c r="AF190" i="172"/>
  <c r="AG190" i="172"/>
  <c r="AF291" i="172"/>
  <c r="AG291" i="172"/>
  <c r="AF313" i="172"/>
  <c r="AG313" i="172"/>
  <c r="AF345" i="172"/>
  <c r="AG345" i="172"/>
  <c r="AF361" i="172"/>
  <c r="AG361" i="172"/>
  <c r="AF377" i="172"/>
  <c r="AG377" i="172"/>
  <c r="AF393" i="172"/>
  <c r="AG393" i="172"/>
  <c r="AE409" i="172"/>
  <c r="AF425" i="172"/>
  <c r="AG425" i="172"/>
  <c r="AF441" i="172"/>
  <c r="AG441" i="172"/>
  <c r="AF503" i="172"/>
  <c r="AG503" i="172"/>
  <c r="AF534" i="172"/>
  <c r="AG534" i="172"/>
  <c r="AE566" i="172"/>
  <c r="AE607" i="172"/>
  <c r="AE633" i="172"/>
  <c r="AE665" i="172"/>
  <c r="AF688" i="172"/>
  <c r="AG688" i="172"/>
  <c r="AE722" i="172"/>
  <c r="AF143" i="172"/>
  <c r="AG143" i="172"/>
  <c r="AE255" i="172"/>
  <c r="AG289" i="172"/>
  <c r="AF289" i="172"/>
  <c r="AF464" i="172"/>
  <c r="AG464" i="172"/>
  <c r="AE481" i="172"/>
  <c r="AG510" i="172"/>
  <c r="AF510" i="172"/>
  <c r="AE536" i="172"/>
  <c r="AG568" i="172"/>
  <c r="AF568" i="172"/>
  <c r="AF606" i="172"/>
  <c r="AG606" i="172"/>
  <c r="AF632" i="172"/>
  <c r="AG632" i="172"/>
  <c r="AF664" i="172"/>
  <c r="AG664" i="172"/>
  <c r="AE699" i="172"/>
  <c r="AF231" i="172"/>
  <c r="AG231" i="172"/>
  <c r="AF388" i="172"/>
  <c r="AG388" i="172"/>
  <c r="AF582" i="172"/>
  <c r="AG582" i="172"/>
  <c r="AE823" i="172"/>
  <c r="AG528" i="172"/>
  <c r="AF528" i="172"/>
  <c r="AF662" i="172"/>
  <c r="AG662" i="172"/>
  <c r="AE789" i="172"/>
  <c r="AE825" i="172"/>
  <c r="AF880" i="172"/>
  <c r="AG880" i="172"/>
  <c r="AF896" i="172"/>
  <c r="AG896" i="172"/>
  <c r="AF327" i="172"/>
  <c r="AG327" i="172"/>
  <c r="AG391" i="172"/>
  <c r="AF391" i="172"/>
  <c r="AG476" i="172"/>
  <c r="AF476" i="172"/>
  <c r="AF618" i="172"/>
  <c r="AG618" i="172"/>
  <c r="AG851" i="172"/>
  <c r="AF851" i="172"/>
  <c r="AF509" i="172"/>
  <c r="AG509" i="172"/>
  <c r="AF602" i="172"/>
  <c r="AG602" i="172"/>
  <c r="AG738" i="172"/>
  <c r="AF738" i="172"/>
  <c r="AF798" i="172"/>
  <c r="AG798" i="172"/>
  <c r="AF834" i="172"/>
  <c r="AG834" i="172"/>
  <c r="AF862" i="172"/>
  <c r="AG862" i="172"/>
  <c r="AF895" i="172"/>
  <c r="AG895" i="172"/>
  <c r="AG929" i="172"/>
  <c r="AF929" i="172"/>
  <c r="AF945" i="172"/>
  <c r="AG945" i="172"/>
  <c r="AG961" i="172"/>
  <c r="AF961" i="172"/>
  <c r="AE977" i="172"/>
  <c r="AF909" i="172"/>
  <c r="AG909" i="172"/>
  <c r="AE915" i="172"/>
  <c r="AF938" i="172"/>
  <c r="AG938" i="172"/>
  <c r="AF970" i="172"/>
  <c r="AG970" i="172"/>
  <c r="AF986" i="172"/>
  <c r="AG986" i="172"/>
  <c r="AF997" i="172"/>
  <c r="AG997" i="172"/>
  <c r="AB13" i="172"/>
  <c r="AB47" i="172"/>
  <c r="AE47" i="172" s="1"/>
  <c r="AB143" i="172"/>
  <c r="AE143" i="172" s="1"/>
  <c r="AB56" i="172"/>
  <c r="AE56" i="172" s="1"/>
  <c r="AB90" i="172"/>
  <c r="AE90" i="172" s="1"/>
  <c r="AB117" i="172"/>
  <c r="AE117" i="172" s="1"/>
  <c r="AB162" i="172"/>
  <c r="AB190" i="172"/>
  <c r="AB228" i="172"/>
  <c r="AE228" i="172" s="1"/>
  <c r="AB40" i="172"/>
  <c r="AE40" i="172" s="1"/>
  <c r="AB30" i="172"/>
  <c r="AE30" i="172" s="1"/>
  <c r="AB286" i="172"/>
  <c r="AE286" i="172" s="1"/>
  <c r="AB311" i="172"/>
  <c r="AB343" i="172"/>
  <c r="AE343" i="172" s="1"/>
  <c r="AB375" i="172"/>
  <c r="AE375" i="172" s="1"/>
  <c r="AB407" i="172"/>
  <c r="AE407" i="172" s="1"/>
  <c r="AB439" i="172"/>
  <c r="AE439" i="172" s="1"/>
  <c r="AB469" i="172"/>
  <c r="AB598" i="172"/>
  <c r="AB656" i="172"/>
  <c r="AB724" i="172"/>
  <c r="AE724" i="172" s="1"/>
  <c r="AB751" i="172"/>
  <c r="AE751" i="172" s="1"/>
  <c r="AB54" i="172"/>
  <c r="AE54" i="172" s="1"/>
  <c r="AB326" i="172"/>
  <c r="AE326" i="172" s="1"/>
  <c r="AB390" i="172"/>
  <c r="AE390" i="172" s="1"/>
  <c r="AB452" i="172"/>
  <c r="AE452" i="172" s="1"/>
  <c r="AB491" i="172"/>
  <c r="AE491" i="172" s="1"/>
  <c r="AB585" i="172"/>
  <c r="AE585" i="172" s="1"/>
  <c r="AB601" i="172"/>
  <c r="AB641" i="172"/>
  <c r="AB770" i="172"/>
  <c r="AE770" i="172" s="1"/>
  <c r="AB793" i="172"/>
  <c r="AE793" i="172" s="1"/>
  <c r="AB73" i="172"/>
  <c r="AB176" i="172"/>
  <c r="AE176" i="172" s="1"/>
  <c r="AB307" i="172"/>
  <c r="AE307" i="172" s="1"/>
  <c r="AB352" i="172"/>
  <c r="AE352" i="172" s="1"/>
  <c r="AB394" i="172"/>
  <c r="AE394" i="172" s="1"/>
  <c r="AB416" i="172"/>
  <c r="AE416" i="172" s="1"/>
  <c r="AB435" i="172"/>
  <c r="AB519" i="172"/>
  <c r="AB544" i="172"/>
  <c r="AB614" i="172"/>
  <c r="AB640" i="172"/>
  <c r="AB729" i="172"/>
  <c r="AB62" i="172"/>
  <c r="AE62" i="172" s="1"/>
  <c r="AB128" i="172"/>
  <c r="AB425" i="172"/>
  <c r="AB802" i="172"/>
  <c r="AE802" i="172" s="1"/>
  <c r="AB871" i="172"/>
  <c r="AB887" i="172"/>
  <c r="AB903" i="172"/>
  <c r="AB283" i="172"/>
  <c r="AE283" i="172" s="1"/>
  <c r="AB794" i="172"/>
  <c r="AE794" i="172" s="1"/>
  <c r="AB834" i="172"/>
  <c r="AE834" i="172" s="1"/>
  <c r="AB858" i="172"/>
  <c r="AE858" i="172" s="1"/>
  <c r="AB369" i="172"/>
  <c r="AB551" i="172"/>
  <c r="AB914" i="172"/>
  <c r="AE914" i="172" s="1"/>
  <c r="AB296" i="172"/>
  <c r="AE296" i="172" s="1"/>
  <c r="AB429" i="172"/>
  <c r="AB859" i="172"/>
  <c r="AB931" i="172"/>
  <c r="AE931" i="172" s="1"/>
  <c r="AB947" i="172"/>
  <c r="AE947" i="172" s="1"/>
  <c r="AB963" i="172"/>
  <c r="AE963" i="172" s="1"/>
  <c r="AB946" i="172"/>
  <c r="AE946" i="172" s="1"/>
  <c r="AB994" i="172"/>
  <c r="AE994" i="172" s="1"/>
  <c r="AX465" i="172"/>
  <c r="AY465" i="172" s="1"/>
  <c r="AU498" i="172"/>
  <c r="AX529" i="172"/>
  <c r="AY529" i="172" s="1"/>
  <c r="AX96" i="172"/>
  <c r="AY96" i="172" s="1"/>
  <c r="AX128" i="172"/>
  <c r="AY128" i="172" s="1"/>
  <c r="AU501" i="172"/>
  <c r="AX288" i="172"/>
  <c r="AY288" i="172" s="1"/>
  <c r="AX320" i="172"/>
  <c r="AY320" i="172" s="1"/>
  <c r="AR476" i="172"/>
  <c r="AU476" i="172" s="1"/>
  <c r="AR131" i="172"/>
  <c r="AU131" i="172" s="1"/>
  <c r="AX149" i="172"/>
  <c r="AY149" i="172" s="1"/>
  <c r="AR162" i="172"/>
  <c r="AU162" i="172" s="1"/>
  <c r="AR166" i="172"/>
  <c r="AU166" i="172" s="1"/>
  <c r="AU231" i="172"/>
  <c r="AR423" i="172"/>
  <c r="AU423" i="172" s="1"/>
  <c r="AX462" i="172"/>
  <c r="AY462" i="172" s="1"/>
  <c r="AR593" i="172"/>
  <c r="AU593" i="172" s="1"/>
  <c r="AR730" i="172"/>
  <c r="AU730" i="172" s="1"/>
  <c r="AX743" i="172"/>
  <c r="AY743" i="172" s="1"/>
  <c r="AR776" i="172"/>
  <c r="AU776" i="172" s="1"/>
  <c r="AR808" i="172"/>
  <c r="AU808" i="172" s="1"/>
  <c r="AX838" i="172"/>
  <c r="AY838" i="172" s="1"/>
  <c r="AX217" i="172"/>
  <c r="AY217" i="172" s="1"/>
  <c r="AX419" i="172"/>
  <c r="AY419" i="172" s="1"/>
  <c r="AR580" i="172"/>
  <c r="AU580" i="172" s="1"/>
  <c r="AR599" i="172"/>
  <c r="AU599" i="172" s="1"/>
  <c r="AR634" i="172"/>
  <c r="AU634" i="172" s="1"/>
  <c r="AR666" i="172"/>
  <c r="AU666" i="172" s="1"/>
  <c r="AR732" i="172"/>
  <c r="AU732" i="172" s="1"/>
  <c r="AR747" i="172"/>
  <c r="AU747" i="172" s="1"/>
  <c r="AR795" i="172"/>
  <c r="AU795" i="172" s="1"/>
  <c r="AR814" i="172"/>
  <c r="AU814" i="172" s="1"/>
  <c r="AU563" i="172"/>
  <c r="AX597" i="172"/>
  <c r="AY597" i="172" s="1"/>
  <c r="AX757" i="172"/>
  <c r="AY757" i="172" s="1"/>
  <c r="AU790" i="172"/>
  <c r="AX820" i="172"/>
  <c r="AY820" i="172" s="1"/>
  <c r="AU872" i="172"/>
  <c r="AX385" i="172"/>
  <c r="AY385" i="172" s="1"/>
  <c r="AR560" i="172"/>
  <c r="AU560" i="172" s="1"/>
  <c r="AX607" i="172"/>
  <c r="AY607" i="172" s="1"/>
  <c r="AR624" i="172"/>
  <c r="AU624" i="172" s="1"/>
  <c r="AX639" i="172"/>
  <c r="AY639" i="172" s="1"/>
  <c r="AR656" i="172"/>
  <c r="AU656" i="172" s="1"/>
  <c r="AX671" i="172"/>
  <c r="AY671" i="172" s="1"/>
  <c r="AR688" i="172"/>
  <c r="AU688" i="172" s="1"/>
  <c r="AX711" i="172"/>
  <c r="AY711" i="172" s="1"/>
  <c r="AX744" i="172"/>
  <c r="AY744" i="172" s="1"/>
  <c r="AR777" i="172"/>
  <c r="AU777" i="172" s="1"/>
  <c r="AX835" i="172"/>
  <c r="AY835" i="172" s="1"/>
  <c r="AX916" i="172"/>
  <c r="AY916" i="172" s="1"/>
  <c r="AR915" i="172"/>
  <c r="AU915" i="172" s="1"/>
  <c r="AX964" i="172"/>
  <c r="AY964" i="172" s="1"/>
  <c r="AX996" i="172"/>
  <c r="AY996" i="172" s="1"/>
  <c r="AU68" i="172"/>
  <c r="AU89" i="172"/>
  <c r="AU270" i="172"/>
  <c r="AU309" i="172"/>
  <c r="AU220" i="172"/>
  <c r="AU239" i="172"/>
  <c r="AU255" i="172"/>
  <c r="AU358" i="172"/>
  <c r="AU61" i="172"/>
  <c r="AU224" i="172"/>
  <c r="AU718" i="172"/>
  <c r="AU851" i="172"/>
  <c r="AU874" i="172"/>
  <c r="AU330" i="172"/>
  <c r="AE23" i="172"/>
  <c r="AF58" i="172"/>
  <c r="AG58" i="172"/>
  <c r="AF141" i="172"/>
  <c r="AG141" i="172"/>
  <c r="AG210" i="172"/>
  <c r="AF210" i="172"/>
  <c r="AF30" i="172"/>
  <c r="AG30" i="172"/>
  <c r="AF100" i="172"/>
  <c r="AG100" i="172"/>
  <c r="AE124" i="172"/>
  <c r="AG176" i="172"/>
  <c r="AF176" i="172"/>
  <c r="AF216" i="172"/>
  <c r="AG216" i="172"/>
  <c r="AF54" i="172"/>
  <c r="AG54" i="172"/>
  <c r="AF102" i="172"/>
  <c r="AG102" i="172"/>
  <c r="AF215" i="172"/>
  <c r="AG215" i="172"/>
  <c r="AF87" i="172"/>
  <c r="AG87" i="172"/>
  <c r="AF179" i="172"/>
  <c r="AG179" i="172"/>
  <c r="AF307" i="172"/>
  <c r="AG307" i="172"/>
  <c r="AF339" i="172"/>
  <c r="AG339" i="172"/>
  <c r="AG403" i="172"/>
  <c r="AF403" i="172"/>
  <c r="AE435" i="172"/>
  <c r="AG468" i="172"/>
  <c r="AF468" i="172"/>
  <c r="AG542" i="172"/>
  <c r="AF542" i="172"/>
  <c r="AE574" i="172"/>
  <c r="AF600" i="172"/>
  <c r="AG600" i="172"/>
  <c r="AE641" i="172"/>
  <c r="AF737" i="172"/>
  <c r="AG737" i="172"/>
  <c r="AF175" i="172"/>
  <c r="AG175" i="172"/>
  <c r="AF261" i="172"/>
  <c r="AG261" i="172"/>
  <c r="AG281" i="172"/>
  <c r="AF281" i="172"/>
  <c r="AF357" i="172"/>
  <c r="AG357" i="172"/>
  <c r="AF373" i="172"/>
  <c r="AG373" i="172"/>
  <c r="AF389" i="172"/>
  <c r="AG389" i="172"/>
  <c r="AE405" i="172"/>
  <c r="AF421" i="172"/>
  <c r="AG421" i="172"/>
  <c r="AF437" i="172"/>
  <c r="AG437" i="172"/>
  <c r="AG462" i="172"/>
  <c r="AF462" i="172"/>
  <c r="AF559" i="172"/>
  <c r="AG559" i="172"/>
  <c r="AF624" i="172"/>
  <c r="AG624" i="172"/>
  <c r="AF650" i="172"/>
  <c r="AG650" i="172"/>
  <c r="AF682" i="172"/>
  <c r="AG682" i="172"/>
  <c r="AG765" i="172"/>
  <c r="AF765" i="172"/>
  <c r="AG111" i="172"/>
  <c r="AF111" i="172"/>
  <c r="AF245" i="172"/>
  <c r="AG245" i="172"/>
  <c r="AF283" i="172"/>
  <c r="AG283" i="172"/>
  <c r="AF301" i="172"/>
  <c r="AG301" i="172"/>
  <c r="AF458" i="172"/>
  <c r="AG458" i="172"/>
  <c r="AF474" i="172"/>
  <c r="AG474" i="172"/>
  <c r="AF502" i="172"/>
  <c r="AG502" i="172"/>
  <c r="AF562" i="172"/>
  <c r="AG562" i="172"/>
  <c r="AF626" i="172"/>
  <c r="AG626" i="172"/>
  <c r="AF660" i="172"/>
  <c r="AG660" i="172"/>
  <c r="AF690" i="172"/>
  <c r="AG690" i="172"/>
  <c r="AG156" i="172"/>
  <c r="AF156" i="172"/>
  <c r="AG308" i="172"/>
  <c r="AF308" i="172"/>
  <c r="AF372" i="172"/>
  <c r="AG372" i="172"/>
  <c r="AF436" i="172"/>
  <c r="AG436" i="172"/>
  <c r="AE677" i="172"/>
  <c r="AG811" i="172"/>
  <c r="AF811" i="172"/>
  <c r="AE645" i="172"/>
  <c r="AG819" i="172"/>
  <c r="AF819" i="172"/>
  <c r="AE311" i="172"/>
  <c r="AE601" i="172"/>
  <c r="AF846" i="172"/>
  <c r="AG846" i="172"/>
  <c r="AF586" i="172"/>
  <c r="AG586" i="172"/>
  <c r="AG716" i="172"/>
  <c r="AF716" i="172"/>
  <c r="AF784" i="172"/>
  <c r="AG784" i="172"/>
  <c r="AF828" i="172"/>
  <c r="AG828" i="172"/>
  <c r="AF891" i="172"/>
  <c r="AG891" i="172"/>
  <c r="AF941" i="172"/>
  <c r="AG941" i="172"/>
  <c r="AG957" i="172"/>
  <c r="AF957" i="172"/>
  <c r="AE973" i="172"/>
  <c r="AE989" i="172"/>
  <c r="AE903" i="172"/>
  <c r="AF934" i="172"/>
  <c r="AG934" i="172"/>
  <c r="AF966" i="172"/>
  <c r="AG966" i="172"/>
  <c r="AF982" i="172"/>
  <c r="AG982" i="172"/>
  <c r="AE180" i="172"/>
  <c r="AB109" i="172"/>
  <c r="AE109" i="172" s="1"/>
  <c r="AB141" i="172"/>
  <c r="AE141" i="172" s="1"/>
  <c r="AB187" i="172"/>
  <c r="AE187" i="172" s="1"/>
  <c r="AB209" i="172"/>
  <c r="AE209" i="172" s="1"/>
  <c r="AB241" i="172"/>
  <c r="AE241" i="172" s="1"/>
  <c r="AE32" i="172"/>
  <c r="AB262" i="172"/>
  <c r="AE262" i="172" s="1"/>
  <c r="AB280" i="172"/>
  <c r="AE280" i="172" s="1"/>
  <c r="AB301" i="172"/>
  <c r="AE301" i="172" s="1"/>
  <c r="AB399" i="172"/>
  <c r="AE399" i="172" s="1"/>
  <c r="AB431" i="172"/>
  <c r="AE431" i="172" s="1"/>
  <c r="AB550" i="172"/>
  <c r="AE550" i="172" s="1"/>
  <c r="AB254" i="172"/>
  <c r="AE254" i="172" s="1"/>
  <c r="AE310" i="172"/>
  <c r="AE438" i="172"/>
  <c r="AE546" i="172"/>
  <c r="AB786" i="172"/>
  <c r="AE786" i="172" s="1"/>
  <c r="AB323" i="172"/>
  <c r="AE323" i="172" s="1"/>
  <c r="AB387" i="172"/>
  <c r="AB410" i="172"/>
  <c r="AE410" i="172" s="1"/>
  <c r="AE470" i="172"/>
  <c r="AE515" i="172"/>
  <c r="AE51" i="172"/>
  <c r="AB102" i="172"/>
  <c r="AE102" i="172" s="1"/>
  <c r="AB198" i="172"/>
  <c r="AB867" i="172"/>
  <c r="AB899" i="172"/>
  <c r="AB357" i="172"/>
  <c r="AE357" i="172" s="1"/>
  <c r="AB622" i="172"/>
  <c r="AE622" i="172" s="1"/>
  <c r="AB827" i="172"/>
  <c r="AB854" i="172"/>
  <c r="AE854" i="172" s="1"/>
  <c r="AB623" i="172"/>
  <c r="AE623" i="172" s="1"/>
  <c r="AE844" i="172"/>
  <c r="AB855" i="172"/>
  <c r="AE855" i="172" s="1"/>
  <c r="AE959" i="172"/>
  <c r="AB923" i="172"/>
  <c r="AB942" i="172"/>
  <c r="AE942" i="172" s="1"/>
  <c r="AB990" i="172"/>
  <c r="AE990" i="172" s="1"/>
  <c r="AF11" i="172"/>
  <c r="AG11" i="172"/>
  <c r="AE8" i="172"/>
  <c r="AR10" i="172"/>
  <c r="AU10" i="172" s="1"/>
  <c r="AX25" i="172"/>
  <c r="AY25" i="172" s="1"/>
  <c r="AR34" i="172"/>
  <c r="AU34" i="172" s="1"/>
  <c r="AR42" i="172"/>
  <c r="AU42" i="172" s="1"/>
  <c r="AR63" i="172"/>
  <c r="AU63" i="172" s="1"/>
  <c r="AX145" i="172"/>
  <c r="AY145" i="172" s="1"/>
  <c r="AR197" i="172"/>
  <c r="AU197" i="172" s="1"/>
  <c r="AR208" i="172"/>
  <c r="AU208" i="172" s="1"/>
  <c r="AX278" i="172"/>
  <c r="AY278" i="172" s="1"/>
  <c r="AX392" i="172"/>
  <c r="AY392" i="172" s="1"/>
  <c r="AR454" i="172"/>
  <c r="AU454" i="172" s="1"/>
  <c r="AX517" i="172"/>
  <c r="AY517" i="172" s="1"/>
  <c r="AR40" i="172"/>
  <c r="AU40" i="172" s="1"/>
  <c r="AX105" i="172"/>
  <c r="AY105" i="172" s="1"/>
  <c r="AR130" i="172"/>
  <c r="AU130" i="172" s="1"/>
  <c r="AX137" i="172"/>
  <c r="AY137" i="172" s="1"/>
  <c r="AX195" i="172"/>
  <c r="AY195" i="172" s="1"/>
  <c r="AR206" i="172"/>
  <c r="AU206" i="172" s="1"/>
  <c r="AR226" i="172"/>
  <c r="AU226" i="172" s="1"/>
  <c r="AX241" i="172"/>
  <c r="AY241" i="172" s="1"/>
  <c r="AR250" i="172"/>
  <c r="AU250" i="172" s="1"/>
  <c r="AR364" i="172"/>
  <c r="AU364" i="172" s="1"/>
  <c r="AX395" i="172"/>
  <c r="AY395" i="172" s="1"/>
  <c r="AX456" i="172"/>
  <c r="AY456" i="172" s="1"/>
  <c r="AX142" i="172"/>
  <c r="AY142" i="172" s="1"/>
  <c r="AX279" i="172"/>
  <c r="AY279" i="172" s="1"/>
  <c r="AR299" i="172"/>
  <c r="AU299" i="172" s="1"/>
  <c r="AX314" i="172"/>
  <c r="AY314" i="172" s="1"/>
  <c r="AR331" i="172"/>
  <c r="AU331" i="172" s="1"/>
  <c r="AR355" i="172"/>
  <c r="AU355" i="172" s="1"/>
  <c r="AR371" i="172"/>
  <c r="AU371" i="172" s="1"/>
  <c r="AX386" i="172"/>
  <c r="AY386" i="172" s="1"/>
  <c r="AX511" i="172"/>
  <c r="AY511" i="172" s="1"/>
  <c r="AX10" i="172"/>
  <c r="AY10" i="172" s="1"/>
  <c r="AX71" i="172"/>
  <c r="AY71" i="172" s="1"/>
  <c r="AX91" i="172"/>
  <c r="AY91" i="172" s="1"/>
  <c r="AX123" i="172"/>
  <c r="AY123" i="172" s="1"/>
  <c r="AR155" i="172"/>
  <c r="AU155" i="172" s="1"/>
  <c r="AR190" i="172"/>
  <c r="AU190" i="172" s="1"/>
  <c r="AR427" i="172"/>
  <c r="AU427" i="172" s="1"/>
  <c r="AU533" i="172"/>
  <c r="AX580" i="172"/>
  <c r="AY580" i="172" s="1"/>
  <c r="AR717" i="172"/>
  <c r="AU717" i="172" s="1"/>
  <c r="AX732" i="172"/>
  <c r="AY732" i="172" s="1"/>
  <c r="AR764" i="172"/>
  <c r="AU764" i="172" s="1"/>
  <c r="AX795" i="172"/>
  <c r="AY795" i="172" s="1"/>
  <c r="AR854" i="172"/>
  <c r="AU854" i="172" s="1"/>
  <c r="AR918" i="172"/>
  <c r="AU918" i="172" s="1"/>
  <c r="AX186" i="172"/>
  <c r="AY186" i="172" s="1"/>
  <c r="AX407" i="172"/>
  <c r="AY407" i="172" s="1"/>
  <c r="AR424" i="172"/>
  <c r="AX583" i="172"/>
  <c r="AY583" i="172" s="1"/>
  <c r="AX610" i="172"/>
  <c r="AY610" i="172" s="1"/>
  <c r="AR627" i="172"/>
  <c r="AX642" i="172"/>
  <c r="AY642" i="172" s="1"/>
  <c r="AR659" i="172"/>
  <c r="AX674" i="172"/>
  <c r="AY674" i="172" s="1"/>
  <c r="AR691" i="172"/>
  <c r="AR735" i="172"/>
  <c r="AU735" i="172" s="1"/>
  <c r="AR783" i="172"/>
  <c r="AU783" i="172" s="1"/>
  <c r="AX814" i="172"/>
  <c r="AY814" i="172" s="1"/>
  <c r="AX851" i="172"/>
  <c r="AY851" i="172" s="1"/>
  <c r="AR885" i="172"/>
  <c r="AU885" i="172" s="1"/>
  <c r="AX389" i="172"/>
  <c r="AY389" i="172" s="1"/>
  <c r="AX438" i="172"/>
  <c r="AY438" i="172" s="1"/>
  <c r="AR547" i="172"/>
  <c r="AU547" i="172" s="1"/>
  <c r="AR589" i="172"/>
  <c r="AU589" i="172" s="1"/>
  <c r="AR713" i="172"/>
  <c r="AU713" i="172" s="1"/>
  <c r="AX745" i="172"/>
  <c r="AY745" i="172" s="1"/>
  <c r="AR778" i="172"/>
  <c r="AU778" i="172" s="1"/>
  <c r="AX841" i="172"/>
  <c r="AY841" i="172" s="1"/>
  <c r="AX907" i="172"/>
  <c r="AY907" i="172" s="1"/>
  <c r="AU185" i="172"/>
  <c r="AX281" i="172"/>
  <c r="AY281" i="172" s="1"/>
  <c r="AR402" i="172"/>
  <c r="AU402" i="172" s="1"/>
  <c r="AR515" i="172"/>
  <c r="AU515" i="172" s="1"/>
  <c r="AX566" i="172"/>
  <c r="AY566" i="172" s="1"/>
  <c r="AX602" i="172"/>
  <c r="AY602" i="172" s="1"/>
  <c r="AR617" i="172"/>
  <c r="AX632" i="172"/>
  <c r="AY632" i="172" s="1"/>
  <c r="AR649" i="172"/>
  <c r="AX664" i="172"/>
  <c r="AY664" i="172" s="1"/>
  <c r="AR681" i="172"/>
  <c r="AU715" i="172"/>
  <c r="AX730" i="172"/>
  <c r="AY730" i="172" s="1"/>
  <c r="AR765" i="172"/>
  <c r="AU765" i="172" s="1"/>
  <c r="AX796" i="172"/>
  <c r="AY796" i="172" s="1"/>
  <c r="AR845" i="172"/>
  <c r="AU845" i="172" s="1"/>
  <c r="AX941" i="172"/>
  <c r="AY941" i="172" s="1"/>
  <c r="AR960" i="172"/>
  <c r="AU960" i="172" s="1"/>
  <c r="AR992" i="172"/>
  <c r="AU992" i="172" s="1"/>
  <c r="AX932" i="172"/>
  <c r="AY932" i="172" s="1"/>
  <c r="AR940" i="172"/>
  <c r="AU940" i="172" s="1"/>
  <c r="AX958" i="172"/>
  <c r="AY958" i="172" s="1"/>
  <c r="AX990" i="172"/>
  <c r="AY990" i="172" s="1"/>
  <c r="AU38" i="172"/>
  <c r="AU36" i="172"/>
  <c r="AU59" i="172"/>
  <c r="AU433" i="172"/>
  <c r="AU335" i="172"/>
  <c r="AU363" i="172"/>
  <c r="AU395" i="172"/>
  <c r="AU417" i="172"/>
  <c r="AU76" i="172"/>
  <c r="AU316" i="172"/>
  <c r="AU614" i="172"/>
  <c r="AU646" i="172"/>
  <c r="AU678" i="172"/>
  <c r="AU853" i="172"/>
  <c r="AU579" i="172"/>
  <c r="AU705" i="172"/>
  <c r="AU836" i="172"/>
  <c r="AU401" i="172"/>
  <c r="AU574" i="172"/>
  <c r="AU737" i="172"/>
  <c r="AU926" i="172"/>
  <c r="AU446" i="172"/>
  <c r="AU546" i="172"/>
  <c r="AU736" i="172"/>
  <c r="AU948" i="172"/>
  <c r="AU964" i="172"/>
  <c r="AU980" i="172"/>
  <c r="AU996" i="172"/>
  <c r="AU949" i="172"/>
  <c r="AU965" i="172"/>
  <c r="AU934" i="172"/>
  <c r="AF110" i="172"/>
  <c r="AG110" i="172"/>
  <c r="AF133" i="172"/>
  <c r="AG133" i="172"/>
  <c r="AF202" i="172"/>
  <c r="AG202" i="172"/>
  <c r="AG219" i="172"/>
  <c r="AF219" i="172"/>
  <c r="AF235" i="172"/>
  <c r="AG235" i="172"/>
  <c r="AF45" i="172"/>
  <c r="AG45" i="172"/>
  <c r="AE116" i="172"/>
  <c r="AF159" i="172"/>
  <c r="AG159" i="172"/>
  <c r="AF201" i="172"/>
  <c r="AG201" i="172"/>
  <c r="AF18" i="172"/>
  <c r="AG18" i="172"/>
  <c r="AE65" i="172"/>
  <c r="AG138" i="172"/>
  <c r="AF138" i="172"/>
  <c r="AF146" i="172"/>
  <c r="AG146" i="172"/>
  <c r="AF236" i="172"/>
  <c r="AG236" i="172"/>
  <c r="AF326" i="172"/>
  <c r="AG326" i="172"/>
  <c r="AG358" i="172"/>
  <c r="AF358" i="172"/>
  <c r="AE556" i="172"/>
  <c r="AG625" i="172"/>
  <c r="AF625" i="172"/>
  <c r="AG697" i="172"/>
  <c r="AF697" i="172"/>
  <c r="AE754" i="172"/>
  <c r="AE785" i="172"/>
  <c r="AF815" i="172"/>
  <c r="AG815" i="172"/>
  <c r="AE154" i="172"/>
  <c r="AE229" i="172"/>
  <c r="AG273" i="172"/>
  <c r="AF273" i="172"/>
  <c r="AF320" i="172"/>
  <c r="AG320" i="172"/>
  <c r="AF336" i="172"/>
  <c r="AG336" i="172"/>
  <c r="AG384" i="172"/>
  <c r="AF384" i="172"/>
  <c r="AE451" i="172"/>
  <c r="AG483" i="172"/>
  <c r="AF483" i="172"/>
  <c r="AG617" i="172"/>
  <c r="AF617" i="172"/>
  <c r="AE640" i="172"/>
  <c r="AG732" i="172"/>
  <c r="AF732" i="172"/>
  <c r="AG759" i="172"/>
  <c r="AF759" i="172"/>
  <c r="AG160" i="172"/>
  <c r="AF160" i="172"/>
  <c r="AG469" i="172"/>
  <c r="AF469" i="172"/>
  <c r="AF488" i="172"/>
  <c r="AG488" i="172"/>
  <c r="AF555" i="172"/>
  <c r="AG555" i="172"/>
  <c r="AG587" i="172"/>
  <c r="AF587" i="172"/>
  <c r="AE616" i="172"/>
  <c r="AE13" i="172"/>
  <c r="AF259" i="172"/>
  <c r="AG259" i="172"/>
  <c r="AE351" i="172"/>
  <c r="AE415" i="172"/>
  <c r="AG649" i="172"/>
  <c r="AF649" i="172"/>
  <c r="AG717" i="172"/>
  <c r="AF717" i="172"/>
  <c r="AG794" i="172"/>
  <c r="AF794" i="172"/>
  <c r="AF272" i="172"/>
  <c r="AG272" i="172"/>
  <c r="AG605" i="172"/>
  <c r="AF605" i="172"/>
  <c r="AG799" i="172"/>
  <c r="AF799" i="172"/>
  <c r="AF886" i="172"/>
  <c r="AG886" i="172"/>
  <c r="AF268" i="172"/>
  <c r="AG268" i="172"/>
  <c r="AF557" i="172"/>
  <c r="AG557" i="172"/>
  <c r="AE795" i="172"/>
  <c r="AG863" i="172"/>
  <c r="AF863" i="172"/>
  <c r="AF553" i="172"/>
  <c r="AG553" i="172"/>
  <c r="AG681" i="172"/>
  <c r="AF681" i="172"/>
  <c r="AG768" i="172"/>
  <c r="AF768" i="172"/>
  <c r="AF813" i="172"/>
  <c r="AG813" i="172"/>
  <c r="AE841" i="172"/>
  <c r="AF869" i="172"/>
  <c r="AG869" i="172"/>
  <c r="AG885" i="172"/>
  <c r="AF885" i="172"/>
  <c r="AG907" i="172"/>
  <c r="AF907" i="172"/>
  <c r="AG935" i="172"/>
  <c r="AF935" i="172"/>
  <c r="AG951" i="172"/>
  <c r="AF951" i="172"/>
  <c r="AG967" i="172"/>
  <c r="AF967" i="172"/>
  <c r="AF983" i="172"/>
  <c r="AG983" i="172"/>
  <c r="AF922" i="172"/>
  <c r="AG922" i="172"/>
  <c r="AF928" i="172"/>
  <c r="AG928" i="172"/>
  <c r="AF944" i="172"/>
  <c r="AG944" i="172"/>
  <c r="AF960" i="172"/>
  <c r="AG960" i="172"/>
  <c r="AF918" i="172"/>
  <c r="AG918" i="172"/>
  <c r="AB70" i="172"/>
  <c r="AE70" i="172" s="1"/>
  <c r="AB35" i="172"/>
  <c r="AE35" i="172" s="1"/>
  <c r="AB129" i="172"/>
  <c r="AE129" i="172" s="1"/>
  <c r="AB88" i="172"/>
  <c r="AE88" i="172" s="1"/>
  <c r="AB208" i="172"/>
  <c r="AE208" i="172" s="1"/>
  <c r="AB130" i="172"/>
  <c r="AE130" i="172" s="1"/>
  <c r="AB477" i="172"/>
  <c r="AE477" i="172" s="1"/>
  <c r="AB565" i="172"/>
  <c r="AE565" i="172" s="1"/>
  <c r="AB634" i="172"/>
  <c r="AE634" i="172" s="1"/>
  <c r="AB666" i="172"/>
  <c r="AE666" i="172" s="1"/>
  <c r="AB706" i="172"/>
  <c r="AE706" i="172" s="1"/>
  <c r="AB758" i="172"/>
  <c r="AE758" i="172" s="1"/>
  <c r="AB242" i="172"/>
  <c r="AE242" i="172" s="1"/>
  <c r="AB350" i="172"/>
  <c r="AE350" i="172" s="1"/>
  <c r="AB463" i="172"/>
  <c r="AE463" i="172" s="1"/>
  <c r="AB683" i="172"/>
  <c r="AE683" i="172" s="1"/>
  <c r="AB716" i="172"/>
  <c r="AE716" i="172" s="1"/>
  <c r="AB778" i="172"/>
  <c r="AE778" i="172" s="1"/>
  <c r="AB100" i="172"/>
  <c r="AE100" i="172" s="1"/>
  <c r="AB281" i="172"/>
  <c r="AE281" i="172" s="1"/>
  <c r="AB338" i="172"/>
  <c r="AE338" i="172" s="1"/>
  <c r="AB402" i="172"/>
  <c r="AE402" i="172" s="1"/>
  <c r="AB490" i="172"/>
  <c r="AE490" i="172" s="1"/>
  <c r="AB524" i="172"/>
  <c r="AE524" i="172" s="1"/>
  <c r="AB581" i="172"/>
  <c r="AE581" i="172" s="1"/>
  <c r="AB650" i="172"/>
  <c r="AE650" i="172" s="1"/>
  <c r="AB682" i="172"/>
  <c r="AE682" i="172" s="1"/>
  <c r="AB708" i="172"/>
  <c r="AE708" i="172" s="1"/>
  <c r="AB467" i="172"/>
  <c r="AE467" i="172" s="1"/>
  <c r="AB784" i="172"/>
  <c r="AE784" i="172" s="1"/>
  <c r="AB815" i="172"/>
  <c r="AB893" i="172"/>
  <c r="AB594" i="172"/>
  <c r="AE594" i="172" s="1"/>
  <c r="AB811" i="172"/>
  <c r="AE811" i="172" s="1"/>
  <c r="AB849" i="172"/>
  <c r="AE849" i="172" s="1"/>
  <c r="AB573" i="172"/>
  <c r="AE573" i="172" s="1"/>
  <c r="AB725" i="172"/>
  <c r="AE725" i="172" s="1"/>
  <c r="AB920" i="172"/>
  <c r="AE920" i="172" s="1"/>
  <c r="AB349" i="172"/>
  <c r="AE349" i="172" s="1"/>
  <c r="AB704" i="172"/>
  <c r="AE704" i="172" s="1"/>
  <c r="AB917" i="172"/>
  <c r="AB952" i="172"/>
  <c r="AE952" i="172" s="1"/>
  <c r="AB984" i="172"/>
  <c r="AE984" i="172" s="1"/>
  <c r="AF10" i="172"/>
  <c r="AG10" i="172"/>
  <c r="AX36" i="172"/>
  <c r="AY36" i="172" s="1"/>
  <c r="AR45" i="172"/>
  <c r="AU45" i="172" s="1"/>
  <c r="AX199" i="172"/>
  <c r="AY199" i="172" s="1"/>
  <c r="AX348" i="172"/>
  <c r="AY348" i="172" s="1"/>
  <c r="AR381" i="172"/>
  <c r="AU381" i="172" s="1"/>
  <c r="AX441" i="172"/>
  <c r="AY441" i="172" s="1"/>
  <c r="AX473" i="172"/>
  <c r="AY473" i="172" s="1"/>
  <c r="AR506" i="172"/>
  <c r="AU506" i="172" s="1"/>
  <c r="AX537" i="172"/>
  <c r="AY537" i="172" s="1"/>
  <c r="AX55" i="172"/>
  <c r="AY55" i="172" s="1"/>
  <c r="AR77" i="172"/>
  <c r="AU77" i="172" s="1"/>
  <c r="AX132" i="172"/>
  <c r="AY132" i="172" s="1"/>
  <c r="AR141" i="172"/>
  <c r="AU141" i="172" s="1"/>
  <c r="AX212" i="172"/>
  <c r="AY212" i="172" s="1"/>
  <c r="AR228" i="172"/>
  <c r="AX251" i="172"/>
  <c r="AY251" i="172" s="1"/>
  <c r="AR260" i="172"/>
  <c r="AR352" i="172"/>
  <c r="AU352" i="172" s="1"/>
  <c r="AR368" i="172"/>
  <c r="AR461" i="172"/>
  <c r="AX476" i="172"/>
  <c r="AY476" i="172" s="1"/>
  <c r="AR509" i="172"/>
  <c r="AU509" i="172" s="1"/>
  <c r="AR20" i="172"/>
  <c r="AX56" i="172"/>
  <c r="AY56" i="172" s="1"/>
  <c r="AR211" i="172"/>
  <c r="AX292" i="172"/>
  <c r="AY292" i="172" s="1"/>
  <c r="AR301" i="172"/>
  <c r="AU301" i="172" s="1"/>
  <c r="AX324" i="172"/>
  <c r="AY324" i="172" s="1"/>
  <c r="AR375" i="172"/>
  <c r="AU375" i="172" s="1"/>
  <c r="AR391" i="172"/>
  <c r="AX435" i="172"/>
  <c r="AY435" i="172" s="1"/>
  <c r="AR484" i="172"/>
  <c r="AU484" i="172" s="1"/>
  <c r="AX52" i="172"/>
  <c r="AY52" i="172" s="1"/>
  <c r="AX86" i="172"/>
  <c r="AY86" i="172" s="1"/>
  <c r="AX118" i="172"/>
  <c r="AY118" i="172" s="1"/>
  <c r="AR135" i="172"/>
  <c r="AU135" i="172" s="1"/>
  <c r="AX159" i="172"/>
  <c r="AY159" i="172" s="1"/>
  <c r="AR164" i="172"/>
  <c r="AU164" i="172" s="1"/>
  <c r="AX202" i="172"/>
  <c r="AY202" i="172" s="1"/>
  <c r="AX414" i="172"/>
  <c r="AY414" i="172" s="1"/>
  <c r="AR431" i="172"/>
  <c r="AU431" i="172" s="1"/>
  <c r="AX494" i="172"/>
  <c r="AY494" i="172" s="1"/>
  <c r="AR564" i="172"/>
  <c r="AU564" i="172" s="1"/>
  <c r="AR601" i="172"/>
  <c r="AX721" i="172"/>
  <c r="AY721" i="172" s="1"/>
  <c r="AX751" i="172"/>
  <c r="AY751" i="172" s="1"/>
  <c r="AR784" i="172"/>
  <c r="AU784" i="172" s="1"/>
  <c r="AR800" i="172"/>
  <c r="AU800" i="172" s="1"/>
  <c r="AR816" i="172"/>
  <c r="AU816" i="172" s="1"/>
  <c r="AX842" i="172"/>
  <c r="AY842" i="172" s="1"/>
  <c r="AR857" i="172"/>
  <c r="AU175" i="172"/>
  <c r="AX232" i="172"/>
  <c r="AY232" i="172" s="1"/>
  <c r="AR265" i="172"/>
  <c r="AR378" i="172"/>
  <c r="AU378" i="172" s="1"/>
  <c r="AX427" i="172"/>
  <c r="AY427" i="172" s="1"/>
  <c r="AU475" i="172"/>
  <c r="AX530" i="172"/>
  <c r="AY530" i="172" s="1"/>
  <c r="AR606" i="172"/>
  <c r="AX621" i="172"/>
  <c r="AY621" i="172" s="1"/>
  <c r="AR638" i="172"/>
  <c r="AX653" i="172"/>
  <c r="AY653" i="172" s="1"/>
  <c r="AR670" i="172"/>
  <c r="AX685" i="172"/>
  <c r="AY685" i="172" s="1"/>
  <c r="AX770" i="172"/>
  <c r="AY770" i="172" s="1"/>
  <c r="AX805" i="172"/>
  <c r="AY805" i="172" s="1"/>
  <c r="AR822" i="172"/>
  <c r="AU822" i="172" s="1"/>
  <c r="AX872" i="172"/>
  <c r="AY872" i="172" s="1"/>
  <c r="AR210" i="172"/>
  <c r="AU210" i="172" s="1"/>
  <c r="AX341" i="172"/>
  <c r="AY341" i="172" s="1"/>
  <c r="AX420" i="172"/>
  <c r="AY420" i="172" s="1"/>
  <c r="AX520" i="172"/>
  <c r="AY520" i="172" s="1"/>
  <c r="AR590" i="172"/>
  <c r="AU590" i="172" s="1"/>
  <c r="AR702" i="172"/>
  <c r="AR750" i="172"/>
  <c r="AU750" i="172" s="1"/>
  <c r="AX765" i="172"/>
  <c r="AY765" i="172" s="1"/>
  <c r="AR798" i="172"/>
  <c r="AU798" i="172" s="1"/>
  <c r="AX828" i="172"/>
  <c r="AY828" i="172" s="1"/>
  <c r="AR896" i="172"/>
  <c r="AU896" i="172" s="1"/>
  <c r="AX172" i="172"/>
  <c r="AY172" i="172" s="1"/>
  <c r="AX405" i="172"/>
  <c r="AY405" i="172" s="1"/>
  <c r="AX466" i="172"/>
  <c r="AY466" i="172" s="1"/>
  <c r="AX587" i="172"/>
  <c r="AY587" i="172" s="1"/>
  <c r="AX611" i="172"/>
  <c r="AY611" i="172" s="1"/>
  <c r="AR620" i="172"/>
  <c r="AU620" i="172" s="1"/>
  <c r="AR628" i="172"/>
  <c r="AX643" i="172"/>
  <c r="AY643" i="172" s="1"/>
  <c r="AR652" i="172"/>
  <c r="AU652" i="172" s="1"/>
  <c r="AR660" i="172"/>
  <c r="AX675" i="172"/>
  <c r="AY675" i="172" s="1"/>
  <c r="AR684" i="172"/>
  <c r="AU684" i="172" s="1"/>
  <c r="AR692" i="172"/>
  <c r="AX719" i="172"/>
  <c r="AY719" i="172" s="1"/>
  <c r="AX752" i="172"/>
  <c r="AY752" i="172" s="1"/>
  <c r="AR785" i="172"/>
  <c r="AU785" i="172" s="1"/>
  <c r="AR802" i="172"/>
  <c r="AU802" i="172" s="1"/>
  <c r="AR818" i="172"/>
  <c r="AX847" i="172"/>
  <c r="AY847" i="172" s="1"/>
  <c r="AR879" i="172"/>
  <c r="AU879" i="172" s="1"/>
  <c r="AX926" i="172"/>
  <c r="AY926" i="172" s="1"/>
  <c r="AR931" i="172"/>
  <c r="AR970" i="172"/>
  <c r="AU970" i="172" s="1"/>
  <c r="AR913" i="172"/>
  <c r="AU913" i="172" s="1"/>
  <c r="AX918" i="172"/>
  <c r="AY918" i="172" s="1"/>
  <c r="AR953" i="172"/>
  <c r="AU953" i="172" s="1"/>
  <c r="AX968" i="172"/>
  <c r="AY968" i="172" s="1"/>
  <c r="AU9" i="172"/>
  <c r="AU60" i="172"/>
  <c r="AU7" i="172"/>
  <c r="AU39" i="172"/>
  <c r="AU81" i="172"/>
  <c r="AU113" i="172"/>
  <c r="AU232" i="172"/>
  <c r="AU248" i="172"/>
  <c r="AU264" i="172"/>
  <c r="AU437" i="172"/>
  <c r="AU124" i="172"/>
  <c r="AU150" i="172"/>
  <c r="AU399" i="172"/>
  <c r="AU418" i="172"/>
  <c r="AU79" i="172"/>
  <c r="AU189" i="172"/>
  <c r="AU217" i="172"/>
  <c r="AU235" i="172"/>
  <c r="AU324" i="172"/>
  <c r="AU592" i="172"/>
  <c r="AU615" i="172"/>
  <c r="AU631" i="172"/>
  <c r="AU647" i="172"/>
  <c r="AU663" i="172"/>
  <c r="AU679" i="172"/>
  <c r="AU695" i="172"/>
  <c r="AU727" i="172"/>
  <c r="AU920" i="172"/>
  <c r="AU583" i="172"/>
  <c r="AU312" i="172"/>
  <c r="AU434" i="172"/>
  <c r="AU576" i="172"/>
  <c r="AU605" i="172"/>
  <c r="AU621" i="172"/>
  <c r="AU637" i="172"/>
  <c r="AU653" i="172"/>
  <c r="AU669" i="172"/>
  <c r="AU685" i="172"/>
  <c r="AU866" i="172"/>
  <c r="AU462" i="172"/>
  <c r="AU586" i="172"/>
  <c r="AU950" i="172"/>
  <c r="AU966" i="172"/>
  <c r="AU982" i="172"/>
  <c r="AU998" i="172"/>
  <c r="AU951" i="172"/>
  <c r="AU967" i="172"/>
  <c r="AU938" i="172"/>
  <c r="AU981" i="172"/>
  <c r="AE86" i="172"/>
  <c r="AG113" i="172"/>
  <c r="AF113" i="172"/>
  <c r="AG178" i="172"/>
  <c r="AF178" i="172"/>
  <c r="AF203" i="172"/>
  <c r="AG203" i="172"/>
  <c r="AE222" i="172"/>
  <c r="AG19" i="172"/>
  <c r="AF19" i="172"/>
  <c r="AF120" i="172"/>
  <c r="AG120" i="172"/>
  <c r="AG140" i="172"/>
  <c r="AF140" i="172"/>
  <c r="AE166" i="172"/>
  <c r="AE205" i="172"/>
  <c r="AG67" i="172"/>
  <c r="AF67" i="172"/>
  <c r="AF92" i="172"/>
  <c r="AG92" i="172"/>
  <c r="AE182" i="172"/>
  <c r="AG59" i="172"/>
  <c r="AF59" i="172"/>
  <c r="AF331" i="172"/>
  <c r="AG331" i="172"/>
  <c r="AE363" i="172"/>
  <c r="AE395" i="172"/>
  <c r="AE427" i="172"/>
  <c r="AG460" i="172"/>
  <c r="AF460" i="172"/>
  <c r="AF494" i="172"/>
  <c r="AG494" i="172"/>
  <c r="AF535" i="172"/>
  <c r="AG535" i="172"/>
  <c r="AF567" i="172"/>
  <c r="AG567" i="172"/>
  <c r="AE592" i="172"/>
  <c r="AG627" i="172"/>
  <c r="AF627" i="172"/>
  <c r="AE730" i="172"/>
  <c r="AG760" i="172"/>
  <c r="AF760" i="172"/>
  <c r="AE164" i="172"/>
  <c r="AF237" i="172"/>
  <c r="AG237" i="172"/>
  <c r="AG274" i="172"/>
  <c r="AF274" i="172"/>
  <c r="AF321" i="172"/>
  <c r="AG321" i="172"/>
  <c r="AF337" i="172"/>
  <c r="AG337" i="172"/>
  <c r="AE353" i="172"/>
  <c r="AF369" i="172"/>
  <c r="AG369" i="172"/>
  <c r="AE385" i="172"/>
  <c r="AE401" i="172"/>
  <c r="AE417" i="172"/>
  <c r="AF433" i="172"/>
  <c r="AG433" i="172"/>
  <c r="AG486" i="172"/>
  <c r="AF486" i="172"/>
  <c r="AF519" i="172"/>
  <c r="AG519" i="172"/>
  <c r="AE544" i="172"/>
  <c r="AG576" i="172"/>
  <c r="AF576" i="172"/>
  <c r="AG643" i="172"/>
  <c r="AF643" i="172"/>
  <c r="AG675" i="172"/>
  <c r="AF675" i="172"/>
  <c r="AG701" i="172"/>
  <c r="AF701" i="172"/>
  <c r="AG733" i="172"/>
  <c r="AF733" i="172"/>
  <c r="AE763" i="172"/>
  <c r="AF492" i="172"/>
  <c r="AG492" i="172"/>
  <c r="AF558" i="172"/>
  <c r="AG558" i="172"/>
  <c r="AG619" i="172"/>
  <c r="AF619" i="172"/>
  <c r="AG653" i="172"/>
  <c r="AF653" i="172"/>
  <c r="AE265" i="172"/>
  <c r="AF356" i="172"/>
  <c r="AG356" i="172"/>
  <c r="AF420" i="172"/>
  <c r="AG420" i="172"/>
  <c r="AF532" i="172"/>
  <c r="AG532" i="172"/>
  <c r="AG655" i="172"/>
  <c r="AF655" i="172"/>
  <c r="AG805" i="172"/>
  <c r="AF805" i="172"/>
  <c r="AG833" i="172"/>
  <c r="AF833" i="172"/>
  <c r="AG756" i="172"/>
  <c r="AF756" i="172"/>
  <c r="AG803" i="172"/>
  <c r="AF803" i="172"/>
  <c r="AF888" i="172"/>
  <c r="AG888" i="172"/>
  <c r="AF279" i="172"/>
  <c r="AG279" i="172"/>
  <c r="AG579" i="172"/>
  <c r="AF579" i="172"/>
  <c r="AF806" i="172"/>
  <c r="AG806" i="172"/>
  <c r="AF842" i="172"/>
  <c r="AG842" i="172"/>
  <c r="AF251" i="172"/>
  <c r="AG251" i="172"/>
  <c r="AE564" i="172"/>
  <c r="AG693" i="172"/>
  <c r="AF693" i="172"/>
  <c r="AE771" i="172"/>
  <c r="AF817" i="172"/>
  <c r="AG817" i="172"/>
  <c r="AE845" i="172"/>
  <c r="AG871" i="172"/>
  <c r="AF871" i="172"/>
  <c r="AE887" i="172"/>
  <c r="AF937" i="172"/>
  <c r="AG937" i="172"/>
  <c r="AG953" i="172"/>
  <c r="AF953" i="172"/>
  <c r="AE969" i="172"/>
  <c r="AF946" i="172"/>
  <c r="AG946" i="172"/>
  <c r="AF978" i="172"/>
  <c r="AG978" i="172"/>
  <c r="AF994" i="172"/>
  <c r="AG994" i="172"/>
  <c r="AG921" i="172"/>
  <c r="AF921" i="172"/>
  <c r="AB72" i="172"/>
  <c r="AE72" i="172" s="1"/>
  <c r="AB152" i="172"/>
  <c r="AE152" i="172" s="1"/>
  <c r="AB204" i="172"/>
  <c r="AE204" i="172" s="1"/>
  <c r="AB43" i="172"/>
  <c r="AE43" i="172" s="1"/>
  <c r="AB75" i="172"/>
  <c r="AE75" i="172" s="1"/>
  <c r="AB103" i="172"/>
  <c r="AE103" i="172" s="1"/>
  <c r="AB133" i="172"/>
  <c r="AE133" i="172" s="1"/>
  <c r="AB203" i="172"/>
  <c r="AE203" i="172" s="1"/>
  <c r="AB236" i="172"/>
  <c r="AE236" i="172" s="1"/>
  <c r="AB123" i="172"/>
  <c r="AE123" i="172" s="1"/>
  <c r="AB174" i="172"/>
  <c r="AE174" i="172" s="1"/>
  <c r="AB157" i="172"/>
  <c r="AE157" i="172" s="1"/>
  <c r="AB259" i="172"/>
  <c r="AB276" i="172"/>
  <c r="AE276" i="172" s="1"/>
  <c r="AB359" i="172"/>
  <c r="AE359" i="172" s="1"/>
  <c r="AB423" i="172"/>
  <c r="AE423" i="172" s="1"/>
  <c r="AB453" i="172"/>
  <c r="AE453" i="172" s="1"/>
  <c r="AB480" i="172"/>
  <c r="AE480" i="172" s="1"/>
  <c r="AB505" i="172"/>
  <c r="AE505" i="172" s="1"/>
  <c r="AB543" i="172"/>
  <c r="AE543" i="172" s="1"/>
  <c r="AB575" i="172"/>
  <c r="AE575" i="172" s="1"/>
  <c r="AB612" i="172"/>
  <c r="AE612" i="172" s="1"/>
  <c r="AB635" i="172"/>
  <c r="AE635" i="172" s="1"/>
  <c r="AB667" i="172"/>
  <c r="AE667" i="172" s="1"/>
  <c r="AB710" i="172"/>
  <c r="AE710" i="172" s="1"/>
  <c r="AB762" i="172"/>
  <c r="AE762" i="172" s="1"/>
  <c r="AB136" i="172"/>
  <c r="AE136" i="172" s="1"/>
  <c r="AB358" i="172"/>
  <c r="AE358" i="172" s="1"/>
  <c r="AB422" i="172"/>
  <c r="AE422" i="172" s="1"/>
  <c r="AB468" i="172"/>
  <c r="AE468" i="172" s="1"/>
  <c r="AB539" i="172"/>
  <c r="AE539" i="172" s="1"/>
  <c r="AB571" i="172"/>
  <c r="AE571" i="172" s="1"/>
  <c r="AB689" i="172"/>
  <c r="AE689" i="172" s="1"/>
  <c r="AB38" i="172"/>
  <c r="AE38" i="172" s="1"/>
  <c r="AB320" i="172"/>
  <c r="AE320" i="172" s="1"/>
  <c r="AB339" i="172"/>
  <c r="AE339" i="172" s="1"/>
  <c r="AB403" i="172"/>
  <c r="AE403" i="172" s="1"/>
  <c r="AB511" i="172"/>
  <c r="AE511" i="172" s="1"/>
  <c r="AB559" i="172"/>
  <c r="AE559" i="172" s="1"/>
  <c r="AB627" i="172"/>
  <c r="AB651" i="172"/>
  <c r="AB685" i="172"/>
  <c r="AE685" i="172" s="1"/>
  <c r="AB711" i="172"/>
  <c r="AE711" i="172" s="1"/>
  <c r="AB745" i="172"/>
  <c r="AE745" i="172" s="1"/>
  <c r="AB489" i="172"/>
  <c r="AE489" i="172" s="1"/>
  <c r="AB660" i="172"/>
  <c r="AE660" i="172" s="1"/>
  <c r="AB787" i="172"/>
  <c r="AB817" i="172"/>
  <c r="AB879" i="172"/>
  <c r="AE879" i="172" s="1"/>
  <c r="AB820" i="172"/>
  <c r="AE820" i="172" s="1"/>
  <c r="AB850" i="172"/>
  <c r="AE850" i="172" s="1"/>
  <c r="AB305" i="172"/>
  <c r="AE305" i="172" s="1"/>
  <c r="AB731" i="172"/>
  <c r="AE731" i="172" s="1"/>
  <c r="AB906" i="172"/>
  <c r="AE906" i="172" s="1"/>
  <c r="AB922" i="172"/>
  <c r="AE922" i="172" s="1"/>
  <c r="AB365" i="172"/>
  <c r="AB466" i="172"/>
  <c r="AE466" i="172" s="1"/>
  <c r="AB569" i="172"/>
  <c r="AE569" i="172" s="1"/>
  <c r="AB721" i="172"/>
  <c r="AE721" i="172" s="1"/>
  <c r="AB821" i="172"/>
  <c r="AE821" i="172" s="1"/>
  <c r="AB851" i="172"/>
  <c r="AB921" i="172"/>
  <c r="AE921" i="172" s="1"/>
  <c r="AB971" i="172"/>
  <c r="AE971" i="172" s="1"/>
  <c r="AB987" i="172"/>
  <c r="AE987" i="172" s="1"/>
  <c r="AB938" i="172"/>
  <c r="AE938" i="172" s="1"/>
  <c r="AB954" i="172"/>
  <c r="AE954" i="172" s="1"/>
  <c r="AB986" i="172"/>
  <c r="AE986" i="172" s="1"/>
  <c r="AF12" i="172"/>
  <c r="AG12" i="172"/>
  <c r="AX277" i="172"/>
  <c r="AY277" i="172" s="1"/>
  <c r="AX312" i="172"/>
  <c r="AY312" i="172" s="1"/>
  <c r="AR460" i="172"/>
  <c r="AU460" i="172" s="1"/>
  <c r="AR83" i="172"/>
  <c r="AU83" i="172" s="1"/>
  <c r="AR115" i="172"/>
  <c r="AU115" i="172" s="1"/>
  <c r="AX169" i="172"/>
  <c r="AY169" i="172" s="1"/>
  <c r="AR186" i="172"/>
  <c r="AR407" i="172"/>
  <c r="AU407" i="172" s="1"/>
  <c r="AR555" i="172"/>
  <c r="AU555" i="172" s="1"/>
  <c r="AR714" i="172"/>
  <c r="AU714" i="172" s="1"/>
  <c r="AR760" i="172"/>
  <c r="AU760" i="172" s="1"/>
  <c r="AX791" i="172"/>
  <c r="AY791" i="172" s="1"/>
  <c r="AX823" i="172"/>
  <c r="AY823" i="172" s="1"/>
  <c r="AR839" i="172"/>
  <c r="AU839" i="172" s="1"/>
  <c r="AX182" i="172"/>
  <c r="AY182" i="172" s="1"/>
  <c r="AR218" i="172"/>
  <c r="AU218" i="172" s="1"/>
  <c r="AX403" i="172"/>
  <c r="AY403" i="172" s="1"/>
  <c r="AX579" i="172"/>
  <c r="AY579" i="172" s="1"/>
  <c r="AR626" i="172"/>
  <c r="AU626" i="172" s="1"/>
  <c r="AR658" i="172"/>
  <c r="AU658" i="172" s="1"/>
  <c r="AR690" i="172"/>
  <c r="AU690" i="172" s="1"/>
  <c r="AR779" i="172"/>
  <c r="AU779" i="172" s="1"/>
  <c r="AX846" i="172"/>
  <c r="AY846" i="172" s="1"/>
  <c r="AX373" i="172"/>
  <c r="AY373" i="172" s="1"/>
  <c r="AX709" i="172"/>
  <c r="AY709" i="172" s="1"/>
  <c r="AX741" i="172"/>
  <c r="AY741" i="172" s="1"/>
  <c r="AX804" i="172"/>
  <c r="AY804" i="172" s="1"/>
  <c r="AX903" i="172"/>
  <c r="AY903" i="172" s="1"/>
  <c r="AX274" i="172"/>
  <c r="AY274" i="172" s="1"/>
  <c r="AX559" i="172"/>
  <c r="AY559" i="172" s="1"/>
  <c r="AR616" i="172"/>
  <c r="AU616" i="172" s="1"/>
  <c r="AX631" i="172"/>
  <c r="AY631" i="172" s="1"/>
  <c r="AR648" i="172"/>
  <c r="AU648" i="172" s="1"/>
  <c r="AX663" i="172"/>
  <c r="AY663" i="172" s="1"/>
  <c r="AR680" i="172"/>
  <c r="AU680" i="172" s="1"/>
  <c r="AX695" i="172"/>
  <c r="AY695" i="172" s="1"/>
  <c r="AR712" i="172"/>
  <c r="AU712" i="172" s="1"/>
  <c r="AX727" i="172"/>
  <c r="AY727" i="172" s="1"/>
  <c r="AR761" i="172"/>
  <c r="AU761" i="172" s="1"/>
  <c r="AX792" i="172"/>
  <c r="AY792" i="172" s="1"/>
  <c r="AR936" i="172"/>
  <c r="AU936" i="172" s="1"/>
  <c r="AX956" i="172"/>
  <c r="AY956" i="172" s="1"/>
  <c r="AX988" i="172"/>
  <c r="AY988" i="172" s="1"/>
  <c r="AU51" i="172"/>
  <c r="AU74" i="172"/>
  <c r="AU137" i="172"/>
  <c r="AU228" i="172"/>
  <c r="AU260" i="172"/>
  <c r="AU400" i="172"/>
  <c r="AU391" i="172"/>
  <c r="AU416" i="172"/>
  <c r="AU432" i="172"/>
  <c r="AU209" i="172"/>
  <c r="AU435" i="172"/>
  <c r="AU584" i="172"/>
  <c r="AU912" i="172"/>
  <c r="AU617" i="172"/>
  <c r="AU649" i="172"/>
  <c r="AU681" i="172"/>
  <c r="AU581" i="172"/>
  <c r="AU945" i="172"/>
  <c r="AU978" i="172"/>
  <c r="AU947" i="172"/>
  <c r="AU963" i="172"/>
  <c r="AU931" i="172"/>
  <c r="AU995" i="172"/>
  <c r="AF76" i="172"/>
  <c r="AG76" i="172"/>
  <c r="AG129" i="172"/>
  <c r="AF129" i="172"/>
  <c r="AF169" i="172"/>
  <c r="AG169" i="172"/>
  <c r="AE218" i="172"/>
  <c r="AF234" i="172"/>
  <c r="AG234" i="172"/>
  <c r="AF249" i="172"/>
  <c r="AG249" i="172"/>
  <c r="AG42" i="172"/>
  <c r="AF42" i="172"/>
  <c r="AG82" i="172"/>
  <c r="AF82" i="172"/>
  <c r="AF115" i="172"/>
  <c r="AG115" i="172"/>
  <c r="AF153" i="172"/>
  <c r="AG153" i="172"/>
  <c r="AE198" i="172"/>
  <c r="AF44" i="172"/>
  <c r="AG44" i="172"/>
  <c r="AG62" i="172"/>
  <c r="AF62" i="172"/>
  <c r="AF85" i="172"/>
  <c r="AG85" i="172"/>
  <c r="AG130" i="172"/>
  <c r="AF130" i="172"/>
  <c r="AF172" i="172"/>
  <c r="AG172" i="172"/>
  <c r="AF135" i="172"/>
  <c r="AG135" i="172"/>
  <c r="AG228" i="172"/>
  <c r="AF228" i="172"/>
  <c r="AG355" i="172"/>
  <c r="AF355" i="172"/>
  <c r="AE387" i="172"/>
  <c r="AE520" i="172"/>
  <c r="AE552" i="172"/>
  <c r="AE584" i="172"/>
  <c r="AG621" i="172"/>
  <c r="AF621" i="172"/>
  <c r="AG651" i="172"/>
  <c r="AF651" i="172"/>
  <c r="AG715" i="172"/>
  <c r="AF715" i="172"/>
  <c r="AF780" i="172"/>
  <c r="AG780" i="172"/>
  <c r="AF812" i="172"/>
  <c r="AG812" i="172"/>
  <c r="AF269" i="172"/>
  <c r="AG269" i="172"/>
  <c r="AF299" i="172"/>
  <c r="AG299" i="172"/>
  <c r="AF365" i="172"/>
  <c r="AG365" i="172"/>
  <c r="AE381" i="172"/>
  <c r="AE397" i="172"/>
  <c r="AF429" i="172"/>
  <c r="AG429" i="172"/>
  <c r="AE445" i="172"/>
  <c r="AF478" i="172"/>
  <c r="AG478" i="172"/>
  <c r="AF538" i="172"/>
  <c r="AG538" i="172"/>
  <c r="AE570" i="172"/>
  <c r="AE614" i="172"/>
  <c r="AG639" i="172"/>
  <c r="AF639" i="172"/>
  <c r="AG671" i="172"/>
  <c r="AF671" i="172"/>
  <c r="AE729" i="172"/>
  <c r="AE33" i="172"/>
  <c r="AF155" i="172"/>
  <c r="AG155" i="172"/>
  <c r="AF293" i="172"/>
  <c r="AG293" i="172"/>
  <c r="AF466" i="172"/>
  <c r="AG466" i="172"/>
  <c r="AF518" i="172"/>
  <c r="AG518" i="172"/>
  <c r="AE551" i="172"/>
  <c r="AG583" i="172"/>
  <c r="AF583" i="172"/>
  <c r="AG613" i="172"/>
  <c r="AF613" i="172"/>
  <c r="AF254" i="172"/>
  <c r="AG254" i="172"/>
  <c r="AG340" i="172"/>
  <c r="AF340" i="172"/>
  <c r="AE598" i="172"/>
  <c r="AG791" i="172"/>
  <c r="AF791" i="172"/>
  <c r="AF827" i="172"/>
  <c r="AG827" i="172"/>
  <c r="AE239" i="172"/>
  <c r="AG589" i="172"/>
  <c r="AF589" i="172"/>
  <c r="AE797" i="172"/>
  <c r="AF840" i="172"/>
  <c r="AG840" i="172"/>
  <c r="AF868" i="172"/>
  <c r="AG868" i="172"/>
  <c r="AF884" i="172"/>
  <c r="AG884" i="172"/>
  <c r="AF900" i="172"/>
  <c r="AG900" i="172"/>
  <c r="AE859" i="172"/>
  <c r="AF547" i="172"/>
  <c r="AG547" i="172"/>
  <c r="AG659" i="172"/>
  <c r="AF659" i="172"/>
  <c r="AF838" i="172"/>
  <c r="AG838" i="172"/>
  <c r="AE867" i="172"/>
  <c r="AE883" i="172"/>
  <c r="AE899" i="172"/>
  <c r="AF933" i="172"/>
  <c r="AG933" i="172"/>
  <c r="AG949" i="172"/>
  <c r="AF949" i="172"/>
  <c r="AF965" i="172"/>
  <c r="AG965" i="172"/>
  <c r="AE981" i="172"/>
  <c r="AG917" i="172"/>
  <c r="AF917" i="172"/>
  <c r="AG923" i="172"/>
  <c r="AF923" i="172"/>
  <c r="AF942" i="172"/>
  <c r="AG942" i="172"/>
  <c r="AF974" i="172"/>
  <c r="AG974" i="172"/>
  <c r="AB196" i="172"/>
  <c r="AE196" i="172" s="1"/>
  <c r="AB233" i="172"/>
  <c r="AE233" i="172" s="1"/>
  <c r="AE139" i="172"/>
  <c r="AB246" i="172"/>
  <c r="AE246" i="172" s="1"/>
  <c r="AE272" i="172"/>
  <c r="AB695" i="172"/>
  <c r="AE695" i="172" s="1"/>
  <c r="AB292" i="172"/>
  <c r="AE292" i="172" s="1"/>
  <c r="AB589" i="172"/>
  <c r="AB680" i="172"/>
  <c r="AE680" i="172" s="1"/>
  <c r="AB715" i="172"/>
  <c r="AB746" i="172"/>
  <c r="AE746" i="172" s="1"/>
  <c r="AB22" i="172"/>
  <c r="AE22" i="172" s="1"/>
  <c r="AB95" i="172"/>
  <c r="AE95" i="172" s="1"/>
  <c r="AB186" i="172"/>
  <c r="AE186" i="172" s="1"/>
  <c r="AB261" i="172"/>
  <c r="AE261" i="172" s="1"/>
  <c r="AB314" i="172"/>
  <c r="AE314" i="172" s="1"/>
  <c r="AB355" i="172"/>
  <c r="AB378" i="172"/>
  <c r="AE378" i="172" s="1"/>
  <c r="AB419" i="172"/>
  <c r="AE419" i="172" s="1"/>
  <c r="AB442" i="172"/>
  <c r="AE442" i="172" s="1"/>
  <c r="AB507" i="172"/>
  <c r="AE507" i="172" s="1"/>
  <c r="AB548" i="172"/>
  <c r="AE548" i="172" s="1"/>
  <c r="AB580" i="172"/>
  <c r="AE580" i="172" s="1"/>
  <c r="AB707" i="172"/>
  <c r="AE707" i="172" s="1"/>
  <c r="AE74" i="172"/>
  <c r="AB781" i="172"/>
  <c r="AE781" i="172" s="1"/>
  <c r="AB875" i="172"/>
  <c r="AE875" i="172" s="1"/>
  <c r="AB714" i="172"/>
  <c r="AE714" i="172" s="1"/>
  <c r="AB826" i="172"/>
  <c r="AE826" i="172" s="1"/>
  <c r="AB333" i="172"/>
  <c r="AE333" i="172" s="1"/>
  <c r="AB765" i="172"/>
  <c r="AE765" i="172" s="1"/>
  <c r="AB814" i="172"/>
  <c r="AE814" i="172" s="1"/>
  <c r="AB934" i="172"/>
  <c r="AE934" i="172" s="1"/>
  <c r="AB950" i="172"/>
  <c r="AE950" i="172" s="1"/>
  <c r="AB982" i="172"/>
  <c r="AE982" i="172" s="1"/>
  <c r="AB998" i="172"/>
  <c r="AE998" i="172" s="1"/>
  <c r="AB9" i="172"/>
  <c r="AE9" i="172" s="1"/>
  <c r="AX60" i="172"/>
  <c r="AY60" i="172" s="1"/>
  <c r="AX17" i="172"/>
  <c r="AY17" i="172" s="1"/>
  <c r="AX49" i="172"/>
  <c r="AY49" i="172" s="1"/>
  <c r="AR279" i="172"/>
  <c r="AU279" i="172" s="1"/>
  <c r="AU292" i="172"/>
  <c r="AR345" i="172"/>
  <c r="AU345" i="172" s="1"/>
  <c r="AX376" i="172"/>
  <c r="AY376" i="172" s="1"/>
  <c r="AR438" i="172"/>
  <c r="AU438" i="172" s="1"/>
  <c r="AX501" i="172"/>
  <c r="AY501" i="172" s="1"/>
  <c r="AR518" i="172"/>
  <c r="AR82" i="172"/>
  <c r="AU82" i="172" s="1"/>
  <c r="AX97" i="172"/>
  <c r="AY97" i="172" s="1"/>
  <c r="AR114" i="172"/>
  <c r="AU114" i="172" s="1"/>
  <c r="AX129" i="172"/>
  <c r="AY129" i="172" s="1"/>
  <c r="AR196" i="172"/>
  <c r="AU196" i="172" s="1"/>
  <c r="AX205" i="172"/>
  <c r="AY205" i="172" s="1"/>
  <c r="AR242" i="172"/>
  <c r="AU242" i="172" s="1"/>
  <c r="AR281" i="172"/>
  <c r="AU281" i="172" s="1"/>
  <c r="AX347" i="172"/>
  <c r="AY347" i="172" s="1"/>
  <c r="AX379" i="172"/>
  <c r="AY379" i="172" s="1"/>
  <c r="AR396" i="172"/>
  <c r="AU396" i="172" s="1"/>
  <c r="AX440" i="172"/>
  <c r="AY440" i="172" s="1"/>
  <c r="AR489" i="172"/>
  <c r="AU489" i="172" s="1"/>
  <c r="AX504" i="172"/>
  <c r="AY504" i="172" s="1"/>
  <c r="AX46" i="172"/>
  <c r="AY46" i="172" s="1"/>
  <c r="AR159" i="172"/>
  <c r="AU159" i="172" s="1"/>
  <c r="AX222" i="172"/>
  <c r="AY222" i="172" s="1"/>
  <c r="AR280" i="172"/>
  <c r="AU280" i="172" s="1"/>
  <c r="AR291" i="172"/>
  <c r="AU291" i="172" s="1"/>
  <c r="AX306" i="172"/>
  <c r="AY306" i="172" s="1"/>
  <c r="AR323" i="172"/>
  <c r="AU323" i="172" s="1"/>
  <c r="AR340" i="172"/>
  <c r="AU340" i="172" s="1"/>
  <c r="AX370" i="172"/>
  <c r="AY370" i="172" s="1"/>
  <c r="AX432" i="172"/>
  <c r="AY432" i="172" s="1"/>
  <c r="AR448" i="172"/>
  <c r="AU448" i="172" s="1"/>
  <c r="AR464" i="172"/>
  <c r="AU464" i="172" s="1"/>
  <c r="AX42" i="172"/>
  <c r="AY42" i="172" s="1"/>
  <c r="AX83" i="172"/>
  <c r="AY83" i="172" s="1"/>
  <c r="AR100" i="172"/>
  <c r="AU100" i="172" s="1"/>
  <c r="AX115" i="172"/>
  <c r="AY115" i="172" s="1"/>
  <c r="AX166" i="172"/>
  <c r="AY166" i="172" s="1"/>
  <c r="AR174" i="172"/>
  <c r="AU174" i="172" s="1"/>
  <c r="AR411" i="172"/>
  <c r="AU411" i="172" s="1"/>
  <c r="AR479" i="172"/>
  <c r="AU479" i="172" s="1"/>
  <c r="AX556" i="172"/>
  <c r="AY556" i="172" s="1"/>
  <c r="AR701" i="172"/>
  <c r="AU701" i="172" s="1"/>
  <c r="AX716" i="172"/>
  <c r="AY716" i="172" s="1"/>
  <c r="AX779" i="172"/>
  <c r="AY779" i="172" s="1"/>
  <c r="AR825" i="172"/>
  <c r="AR840" i="172"/>
  <c r="AU840" i="172" s="1"/>
  <c r="AR902" i="172"/>
  <c r="AU902" i="172" s="1"/>
  <c r="AX170" i="172"/>
  <c r="AY170" i="172" s="1"/>
  <c r="AR187" i="172"/>
  <c r="AX361" i="172"/>
  <c r="AY361" i="172" s="1"/>
  <c r="AR408" i="172"/>
  <c r="AR619" i="172"/>
  <c r="AU619" i="172" s="1"/>
  <c r="AX634" i="172"/>
  <c r="AY634" i="172" s="1"/>
  <c r="AR651" i="172"/>
  <c r="AU651" i="172" s="1"/>
  <c r="AX666" i="172"/>
  <c r="AY666" i="172" s="1"/>
  <c r="AR683" i="172"/>
  <c r="AU683" i="172" s="1"/>
  <c r="AR719" i="172"/>
  <c r="AU719" i="172" s="1"/>
  <c r="AR767" i="172"/>
  <c r="AU767" i="172" s="1"/>
  <c r="AR831" i="172"/>
  <c r="AU831" i="172" s="1"/>
  <c r="AR869" i="172"/>
  <c r="AU869" i="172" s="1"/>
  <c r="AX900" i="172"/>
  <c r="AY900" i="172" s="1"/>
  <c r="AX266" i="172"/>
  <c r="AY266" i="172" s="1"/>
  <c r="AX728" i="172"/>
  <c r="AY728" i="172" s="1"/>
  <c r="AR762" i="172"/>
  <c r="AU762" i="172" s="1"/>
  <c r="AX793" i="172"/>
  <c r="AY793" i="172" s="1"/>
  <c r="AR860" i="172"/>
  <c r="AU860" i="172" s="1"/>
  <c r="AR924" i="172"/>
  <c r="AU924" i="172" s="1"/>
  <c r="AR451" i="172"/>
  <c r="AU451" i="172" s="1"/>
  <c r="AR544" i="172"/>
  <c r="AU544" i="172" s="1"/>
  <c r="AX586" i="172"/>
  <c r="AY586" i="172" s="1"/>
  <c r="AR609" i="172"/>
  <c r="AU609" i="172" s="1"/>
  <c r="AX624" i="172"/>
  <c r="AY624" i="172" s="1"/>
  <c r="AR641" i="172"/>
  <c r="AU641" i="172" s="1"/>
  <c r="AX656" i="172"/>
  <c r="AY656" i="172" s="1"/>
  <c r="AR673" i="172"/>
  <c r="AU673" i="172" s="1"/>
  <c r="AX688" i="172"/>
  <c r="AY688" i="172" s="1"/>
  <c r="AR699" i="172"/>
  <c r="AU699" i="172" s="1"/>
  <c r="AX714" i="172"/>
  <c r="AY714" i="172" s="1"/>
  <c r="AX780" i="172"/>
  <c r="AY780" i="172" s="1"/>
  <c r="AR811" i="172"/>
  <c r="AU811" i="172" s="1"/>
  <c r="AR827" i="172"/>
  <c r="AU827" i="172" s="1"/>
  <c r="AR952" i="172"/>
  <c r="AU952" i="172" s="1"/>
  <c r="AR984" i="172"/>
  <c r="AU984" i="172" s="1"/>
  <c r="AX898" i="172"/>
  <c r="AY898" i="172" s="1"/>
  <c r="AR911" i="172"/>
  <c r="AU911" i="172" s="1"/>
  <c r="AX950" i="172"/>
  <c r="AY950" i="172" s="1"/>
  <c r="AX982" i="172"/>
  <c r="AY982" i="172" s="1"/>
  <c r="AR999" i="172"/>
  <c r="AU999" i="172" s="1"/>
  <c r="AU22" i="172"/>
  <c r="AU55" i="172"/>
  <c r="AU54" i="172"/>
  <c r="AU20" i="172"/>
  <c r="AU246" i="172"/>
  <c r="AU262" i="172"/>
  <c r="AU338" i="172"/>
  <c r="AU88" i="172"/>
  <c r="AU120" i="172"/>
  <c r="AU149" i="172"/>
  <c r="AU212" i="172"/>
  <c r="AU287" i="172"/>
  <c r="AU319" i="172"/>
  <c r="AU409" i="172"/>
  <c r="AU425" i="172"/>
  <c r="AU107" i="172"/>
  <c r="AU172" i="172"/>
  <c r="AU180" i="172"/>
  <c r="AU188" i="172"/>
  <c r="AU249" i="172"/>
  <c r="AU265" i="172"/>
  <c r="AU346" i="172"/>
  <c r="AU90" i="172"/>
  <c r="AU550" i="172"/>
  <c r="AU526" i="172"/>
  <c r="AU738" i="172"/>
  <c r="AU871" i="172"/>
  <c r="AU834" i="172"/>
  <c r="AU862" i="172"/>
  <c r="AU861" i="172"/>
  <c r="AG43" i="172"/>
  <c r="AF43" i="172"/>
  <c r="AF79" i="172"/>
  <c r="AG79" i="172"/>
  <c r="AF174" i="172"/>
  <c r="AG174" i="172"/>
  <c r="AE202" i="172"/>
  <c r="AF16" i="172"/>
  <c r="AG16" i="172"/>
  <c r="AE45" i="172"/>
  <c r="AF88" i="172"/>
  <c r="AG88" i="172"/>
  <c r="AF116" i="172"/>
  <c r="AG116" i="172"/>
  <c r="AF139" i="172"/>
  <c r="AG139" i="172"/>
  <c r="AF48" i="172"/>
  <c r="AG48" i="172"/>
  <c r="AF65" i="172"/>
  <c r="AG65" i="172"/>
  <c r="AF91" i="172"/>
  <c r="AG91" i="172"/>
  <c r="AE138" i="172"/>
  <c r="AF181" i="172"/>
  <c r="AG181" i="172"/>
  <c r="AF204" i="172"/>
  <c r="AG204" i="172"/>
  <c r="AG47" i="172"/>
  <c r="AF47" i="172"/>
  <c r="AE146" i="172"/>
  <c r="AF295" i="172"/>
  <c r="AG295" i="172"/>
  <c r="AG390" i="172"/>
  <c r="AF390" i="172"/>
  <c r="AG422" i="172"/>
  <c r="AF422" i="172"/>
  <c r="AG455" i="172"/>
  <c r="AF455" i="172"/>
  <c r="AF493" i="172"/>
  <c r="AG493" i="172"/>
  <c r="AF524" i="172"/>
  <c r="AG524" i="172"/>
  <c r="AF556" i="172"/>
  <c r="AG556" i="172"/>
  <c r="AF588" i="172"/>
  <c r="AG588" i="172"/>
  <c r="AE625" i="172"/>
  <c r="AF654" i="172"/>
  <c r="AG654" i="172"/>
  <c r="AE697" i="172"/>
  <c r="AG719" i="172"/>
  <c r="AF719" i="172"/>
  <c r="AG754" i="172"/>
  <c r="AF754" i="172"/>
  <c r="AF785" i="172"/>
  <c r="AG785" i="172"/>
  <c r="AE815" i="172"/>
  <c r="AG154" i="172"/>
  <c r="AF154" i="172"/>
  <c r="AF229" i="172"/>
  <c r="AG229" i="172"/>
  <c r="AF302" i="172"/>
  <c r="AG302" i="172"/>
  <c r="AG352" i="172"/>
  <c r="AF352" i="172"/>
  <c r="AG368" i="172"/>
  <c r="AF368" i="172"/>
  <c r="AG400" i="172"/>
  <c r="AF400" i="172"/>
  <c r="AG416" i="172"/>
  <c r="AF416" i="172"/>
  <c r="AG432" i="172"/>
  <c r="AF432" i="172"/>
  <c r="AG451" i="172"/>
  <c r="AF451" i="172"/>
  <c r="AF515" i="172"/>
  <c r="AG515" i="172"/>
  <c r="AF541" i="172"/>
  <c r="AG541" i="172"/>
  <c r="AF573" i="172"/>
  <c r="AG573" i="172"/>
  <c r="AE617" i="172"/>
  <c r="AF640" i="172"/>
  <c r="AG640" i="172"/>
  <c r="AF672" i="172"/>
  <c r="AG672" i="172"/>
  <c r="AF700" i="172"/>
  <c r="AG700" i="172"/>
  <c r="AE759" i="172"/>
  <c r="AF50" i="172"/>
  <c r="AG50" i="172"/>
  <c r="AE160" i="172"/>
  <c r="AF276" i="172"/>
  <c r="AG276" i="172"/>
  <c r="AF296" i="172"/>
  <c r="AG296" i="172"/>
  <c r="AF453" i="172"/>
  <c r="AG453" i="172"/>
  <c r="AE469" i="172"/>
  <c r="AF522" i="172"/>
  <c r="AG522" i="172"/>
  <c r="AE587" i="172"/>
  <c r="AF616" i="172"/>
  <c r="AG616" i="172"/>
  <c r="AF642" i="172"/>
  <c r="AG642" i="172"/>
  <c r="AF674" i="172"/>
  <c r="AG674" i="172"/>
  <c r="AF718" i="172"/>
  <c r="AG718" i="172"/>
  <c r="AF13" i="172"/>
  <c r="AG13" i="172"/>
  <c r="AE259" i="172"/>
  <c r="AF351" i="172"/>
  <c r="AG351" i="172"/>
  <c r="AG415" i="172"/>
  <c r="AF415" i="172"/>
  <c r="AG521" i="172"/>
  <c r="AF521" i="172"/>
  <c r="AE649" i="172"/>
  <c r="AE717" i="172"/>
  <c r="AF830" i="172"/>
  <c r="AG830" i="172"/>
  <c r="AE605" i="172"/>
  <c r="AG747" i="172"/>
  <c r="AF747" i="172"/>
  <c r="AF844" i="172"/>
  <c r="AG844" i="172"/>
  <c r="AF870" i="172"/>
  <c r="AG870" i="172"/>
  <c r="AF902" i="172"/>
  <c r="AG902" i="172"/>
  <c r="AG348" i="172"/>
  <c r="AF348" i="172"/>
  <c r="AG412" i="172"/>
  <c r="AF412" i="172"/>
  <c r="AF686" i="172"/>
  <c r="AG686" i="172"/>
  <c r="AF795" i="172"/>
  <c r="AG795" i="172"/>
  <c r="AG839" i="172"/>
  <c r="AF839" i="172"/>
  <c r="AE681" i="172"/>
  <c r="AE813" i="172"/>
  <c r="AF841" i="172"/>
  <c r="AG841" i="172"/>
  <c r="AE869" i="172"/>
  <c r="AE885" i="172"/>
  <c r="AE907" i="172"/>
  <c r="AE935" i="172"/>
  <c r="AE951" i="172"/>
  <c r="AE967" i="172"/>
  <c r="AE983" i="172"/>
  <c r="AF976" i="172"/>
  <c r="AG976" i="172"/>
  <c r="AF992" i="172"/>
  <c r="AG992" i="172"/>
  <c r="AE20" i="172"/>
  <c r="AB105" i="172"/>
  <c r="AE105" i="172" s="1"/>
  <c r="AB200" i="172"/>
  <c r="AE200" i="172" s="1"/>
  <c r="AE68" i="172"/>
  <c r="AE101" i="172"/>
  <c r="AB170" i="172"/>
  <c r="AE170" i="172" s="1"/>
  <c r="AB199" i="172"/>
  <c r="AE199" i="172" s="1"/>
  <c r="AB219" i="172"/>
  <c r="AE219" i="172" s="1"/>
  <c r="AB235" i="172"/>
  <c r="AE235" i="172" s="1"/>
  <c r="AB26" i="172"/>
  <c r="AE26" i="172" s="1"/>
  <c r="AB49" i="172"/>
  <c r="AE49" i="172" s="1"/>
  <c r="AB118" i="172"/>
  <c r="AE118" i="172" s="1"/>
  <c r="AB173" i="172"/>
  <c r="AE173" i="172" s="1"/>
  <c r="AB257" i="172"/>
  <c r="AE257" i="172" s="1"/>
  <c r="AB275" i="172"/>
  <c r="AE275" i="172" s="1"/>
  <c r="AB449" i="172"/>
  <c r="AE449" i="172" s="1"/>
  <c r="AB502" i="172"/>
  <c r="AE502" i="172" s="1"/>
  <c r="AB518" i="172"/>
  <c r="AE518" i="172" s="1"/>
  <c r="AB533" i="172"/>
  <c r="AE533" i="172" s="1"/>
  <c r="AB609" i="172"/>
  <c r="AE609" i="172" s="1"/>
  <c r="AB816" i="172"/>
  <c r="AE816" i="172" s="1"/>
  <c r="AB295" i="172"/>
  <c r="AE295" i="172" s="1"/>
  <c r="AB414" i="172"/>
  <c r="AE414" i="172" s="1"/>
  <c r="AE535" i="172"/>
  <c r="AB654" i="172"/>
  <c r="AE654" i="172" s="1"/>
  <c r="AB750" i="172"/>
  <c r="AE750" i="172" s="1"/>
  <c r="AB28" i="172"/>
  <c r="AE28" i="172" s="1"/>
  <c r="AB197" i="172"/>
  <c r="AE197" i="172" s="1"/>
  <c r="AB263" i="172"/>
  <c r="AE315" i="172"/>
  <c r="AB360" i="172"/>
  <c r="AE360" i="172" s="1"/>
  <c r="AB424" i="172"/>
  <c r="AE424" i="172" s="1"/>
  <c r="AB508" i="172"/>
  <c r="AE508" i="172" s="1"/>
  <c r="AB549" i="172"/>
  <c r="AE549" i="172" s="1"/>
  <c r="AB624" i="172"/>
  <c r="AE624" i="172" s="1"/>
  <c r="AB740" i="172"/>
  <c r="AE740" i="172" s="1"/>
  <c r="AB80" i="172"/>
  <c r="AE80" i="172" s="1"/>
  <c r="AE345" i="172"/>
  <c r="AB877" i="172"/>
  <c r="AE877" i="172" s="1"/>
  <c r="AB309" i="172"/>
  <c r="AE309" i="172" s="1"/>
  <c r="AB437" i="172"/>
  <c r="AE437" i="172" s="1"/>
  <c r="AB718" i="172"/>
  <c r="AE718" i="172" s="1"/>
  <c r="AB299" i="172"/>
  <c r="AB829" i="172"/>
  <c r="AE829" i="172" s="1"/>
  <c r="AE872" i="172"/>
  <c r="AE888" i="172"/>
  <c r="AE904" i="172"/>
  <c r="AE456" i="172"/>
  <c r="AB774" i="172"/>
  <c r="AE774" i="172" s="1"/>
  <c r="AE848" i="172"/>
  <c r="AB913" i="172"/>
  <c r="AE913" i="172" s="1"/>
  <c r="AB936" i="172"/>
  <c r="AE936" i="172" s="1"/>
  <c r="AB968" i="172"/>
  <c r="AE968" i="172" s="1"/>
  <c r="AR13" i="172"/>
  <c r="AU13" i="172" s="1"/>
  <c r="AX28" i="172"/>
  <c r="AY28" i="172" s="1"/>
  <c r="AX67" i="172"/>
  <c r="AY67" i="172" s="1"/>
  <c r="AX150" i="172"/>
  <c r="AY150" i="172" s="1"/>
  <c r="AR215" i="172"/>
  <c r="AU215" i="172" s="1"/>
  <c r="AR294" i="172"/>
  <c r="AR326" i="172"/>
  <c r="AU326" i="172" s="1"/>
  <c r="AX396" i="172"/>
  <c r="AY396" i="172" s="1"/>
  <c r="AR490" i="172"/>
  <c r="AU490" i="172" s="1"/>
  <c r="AR538" i="172"/>
  <c r="AU538" i="172" s="1"/>
  <c r="AX553" i="172"/>
  <c r="AY553" i="172" s="1"/>
  <c r="AX18" i="172"/>
  <c r="AY18" i="172" s="1"/>
  <c r="AX92" i="172"/>
  <c r="AY92" i="172" s="1"/>
  <c r="AR101" i="172"/>
  <c r="AU101" i="172" s="1"/>
  <c r="AR109" i="172"/>
  <c r="AU109" i="172" s="1"/>
  <c r="AX124" i="172"/>
  <c r="AY124" i="172" s="1"/>
  <c r="AR213" i="172"/>
  <c r="AU213" i="172" s="1"/>
  <c r="AR252" i="172"/>
  <c r="AU252" i="172" s="1"/>
  <c r="AX282" i="172"/>
  <c r="AY282" i="172" s="1"/>
  <c r="AX399" i="172"/>
  <c r="AY399" i="172" s="1"/>
  <c r="AR445" i="172"/>
  <c r="AU445" i="172" s="1"/>
  <c r="AX460" i="172"/>
  <c r="AY460" i="172" s="1"/>
  <c r="AR493" i="172"/>
  <c r="AU493" i="172" s="1"/>
  <c r="AX147" i="172"/>
  <c r="AY147" i="172" s="1"/>
  <c r="AX284" i="172"/>
  <c r="AY284" i="172" s="1"/>
  <c r="AR293" i="172"/>
  <c r="AU293" i="172" s="1"/>
  <c r="AX316" i="172"/>
  <c r="AY316" i="172" s="1"/>
  <c r="AR325" i="172"/>
  <c r="AU325" i="172" s="1"/>
  <c r="AR333" i="172"/>
  <c r="AR359" i="172"/>
  <c r="AU359" i="172" s="1"/>
  <c r="AX390" i="172"/>
  <c r="AY390" i="172" s="1"/>
  <c r="AR452" i="172"/>
  <c r="AX515" i="172"/>
  <c r="AY515" i="172" s="1"/>
  <c r="AR532" i="172"/>
  <c r="AU532" i="172" s="1"/>
  <c r="AR16" i="172"/>
  <c r="AU16" i="172" s="1"/>
  <c r="AX78" i="172"/>
  <c r="AY78" i="172" s="1"/>
  <c r="AR87" i="172"/>
  <c r="AU87" i="172" s="1"/>
  <c r="AX110" i="172"/>
  <c r="AY110" i="172" s="1"/>
  <c r="AX143" i="172"/>
  <c r="AY143" i="172" s="1"/>
  <c r="AR160" i="172"/>
  <c r="AU160" i="172" s="1"/>
  <c r="AX177" i="172"/>
  <c r="AY177" i="172" s="1"/>
  <c r="AR203" i="172"/>
  <c r="AU203" i="172" s="1"/>
  <c r="AR247" i="172"/>
  <c r="AU247" i="172" s="1"/>
  <c r="AX397" i="172"/>
  <c r="AY397" i="172" s="1"/>
  <c r="AX430" i="172"/>
  <c r="AY430" i="172" s="1"/>
  <c r="AR541" i="172"/>
  <c r="AU541" i="172" s="1"/>
  <c r="AR585" i="172"/>
  <c r="AU585" i="172" s="1"/>
  <c r="AX705" i="172"/>
  <c r="AY705" i="172" s="1"/>
  <c r="AX735" i="172"/>
  <c r="AY735" i="172" s="1"/>
  <c r="AR768" i="172"/>
  <c r="AU768" i="172" s="1"/>
  <c r="AX831" i="172"/>
  <c r="AY831" i="172" s="1"/>
  <c r="AR922" i="172"/>
  <c r="AU922" i="172" s="1"/>
  <c r="AX190" i="172"/>
  <c r="AY190" i="172" s="1"/>
  <c r="AR233" i="172"/>
  <c r="AU233" i="172" s="1"/>
  <c r="AX411" i="172"/>
  <c r="AY411" i="172" s="1"/>
  <c r="AX474" i="172"/>
  <c r="AY474" i="172" s="1"/>
  <c r="AR591" i="172"/>
  <c r="AU591" i="172" s="1"/>
  <c r="AX613" i="172"/>
  <c r="AY613" i="172" s="1"/>
  <c r="AR630" i="172"/>
  <c r="AU630" i="172" s="1"/>
  <c r="AX645" i="172"/>
  <c r="AY645" i="172" s="1"/>
  <c r="AR662" i="172"/>
  <c r="AU662" i="172" s="1"/>
  <c r="AX677" i="172"/>
  <c r="AY677" i="172" s="1"/>
  <c r="AR694" i="172"/>
  <c r="AU694" i="172" s="1"/>
  <c r="AX723" i="172"/>
  <c r="AY723" i="172" s="1"/>
  <c r="AR739" i="172"/>
  <c r="AU739" i="172" s="1"/>
  <c r="AX754" i="172"/>
  <c r="AY754" i="172" s="1"/>
  <c r="AR787" i="172"/>
  <c r="AU787" i="172" s="1"/>
  <c r="AR806" i="172"/>
  <c r="AU806" i="172" s="1"/>
  <c r="AX854" i="172"/>
  <c r="AY854" i="172" s="1"/>
  <c r="AR873" i="172"/>
  <c r="AU873" i="172" s="1"/>
  <c r="AR889" i="172"/>
  <c r="AU889" i="172" s="1"/>
  <c r="AX179" i="172"/>
  <c r="AY179" i="172" s="1"/>
  <c r="AX404" i="172"/>
  <c r="AY404" i="172" s="1"/>
  <c r="AR421" i="172"/>
  <c r="AX454" i="172"/>
  <c r="AY454" i="172" s="1"/>
  <c r="AR572" i="172"/>
  <c r="AU572" i="172" s="1"/>
  <c r="AX589" i="172"/>
  <c r="AY589" i="172" s="1"/>
  <c r="AX717" i="172"/>
  <c r="AY717" i="172" s="1"/>
  <c r="AR734" i="172"/>
  <c r="AX749" i="172"/>
  <c r="AY749" i="172" s="1"/>
  <c r="AR782" i="172"/>
  <c r="AU782" i="172" s="1"/>
  <c r="AX812" i="172"/>
  <c r="AY812" i="172" s="1"/>
  <c r="AX849" i="172"/>
  <c r="AY849" i="172" s="1"/>
  <c r="AR880" i="172"/>
  <c r="AU880" i="172" s="1"/>
  <c r="AX911" i="172"/>
  <c r="AY911" i="172" s="1"/>
  <c r="AX353" i="172"/>
  <c r="AY353" i="172" s="1"/>
  <c r="AR551" i="172"/>
  <c r="AU551" i="172" s="1"/>
  <c r="AX568" i="172"/>
  <c r="AY568" i="172" s="1"/>
  <c r="AX603" i="172"/>
  <c r="AY603" i="172" s="1"/>
  <c r="AX635" i="172"/>
  <c r="AY635" i="172" s="1"/>
  <c r="AX667" i="172"/>
  <c r="AY667" i="172" s="1"/>
  <c r="AX703" i="172"/>
  <c r="AY703" i="172" s="1"/>
  <c r="AR720" i="172"/>
  <c r="AX736" i="172"/>
  <c r="AY736" i="172" s="1"/>
  <c r="AR769" i="172"/>
  <c r="AU769" i="172" s="1"/>
  <c r="AX833" i="172"/>
  <c r="AY833" i="172" s="1"/>
  <c r="AR848" i="172"/>
  <c r="AU848" i="172" s="1"/>
  <c r="AR863" i="172"/>
  <c r="AU863" i="172" s="1"/>
  <c r="AX894" i="172"/>
  <c r="AY894" i="172" s="1"/>
  <c r="AR943" i="172"/>
  <c r="AU943" i="172" s="1"/>
  <c r="AX945" i="172"/>
  <c r="AY945" i="172" s="1"/>
  <c r="AR962" i="172"/>
  <c r="AU962" i="172" s="1"/>
  <c r="AR994" i="172"/>
  <c r="AU994" i="172" s="1"/>
  <c r="AX936" i="172"/>
  <c r="AY936" i="172" s="1"/>
  <c r="AR944" i="172"/>
  <c r="AU944" i="172" s="1"/>
  <c r="AX960" i="172"/>
  <c r="AY960" i="172" s="1"/>
  <c r="AR977" i="172"/>
  <c r="AU977" i="172" s="1"/>
  <c r="AX992" i="172"/>
  <c r="AY992" i="172" s="1"/>
  <c r="AU25" i="172"/>
  <c r="AU41" i="172"/>
  <c r="AU57" i="172"/>
  <c r="AU147" i="172"/>
  <c r="AU205" i="172"/>
  <c r="AU344" i="172"/>
  <c r="AU376" i="172"/>
  <c r="AU92" i="172"/>
  <c r="AU221" i="172"/>
  <c r="AU289" i="172"/>
  <c r="AU321" i="172"/>
  <c r="AU337" i="172"/>
  <c r="AU367" i="172"/>
  <c r="AU410" i="172"/>
  <c r="AU426" i="172"/>
  <c r="AU440" i="172"/>
  <c r="AU145" i="172"/>
  <c r="AU350" i="172"/>
  <c r="AU382" i="172"/>
  <c r="AU443" i="172"/>
  <c r="AU507" i="172"/>
  <c r="AU94" i="172"/>
  <c r="AU126" i="172"/>
  <c r="AU823" i="172"/>
  <c r="AU389" i="172"/>
  <c r="AU534" i="172"/>
  <c r="AU710" i="172"/>
  <c r="AU841" i="172"/>
  <c r="AU875" i="172"/>
  <c r="AU540" i="172"/>
  <c r="AU835" i="172"/>
  <c r="AU198" i="172"/>
  <c r="AU314" i="172"/>
  <c r="AU833" i="172"/>
  <c r="AF52" i="172"/>
  <c r="AG52" i="172"/>
  <c r="AG86" i="172"/>
  <c r="AF86" i="172"/>
  <c r="AF134" i="172"/>
  <c r="AG134" i="172"/>
  <c r="AG222" i="172"/>
  <c r="AF222" i="172"/>
  <c r="AG238" i="172"/>
  <c r="AF238" i="172"/>
  <c r="AE19" i="172"/>
  <c r="AF46" i="172"/>
  <c r="AG46" i="172"/>
  <c r="AF93" i="172"/>
  <c r="AG93" i="172"/>
  <c r="AE120" i="172"/>
  <c r="AE140" i="172"/>
  <c r="AF166" i="172"/>
  <c r="AG166" i="172"/>
  <c r="AF205" i="172"/>
  <c r="AG205" i="172"/>
  <c r="AF21" i="172"/>
  <c r="AG21" i="172"/>
  <c r="AG51" i="172"/>
  <c r="AF51" i="172"/>
  <c r="AG150" i="172"/>
  <c r="AF150" i="172"/>
  <c r="AG182" i="172"/>
  <c r="AF182" i="172"/>
  <c r="AF207" i="172"/>
  <c r="AG207" i="172"/>
  <c r="AF152" i="172"/>
  <c r="AG152" i="172"/>
  <c r="AG244" i="172"/>
  <c r="AF244" i="172"/>
  <c r="AG300" i="172"/>
  <c r="AF300" i="172"/>
  <c r="AE331" i="172"/>
  <c r="AG363" i="172"/>
  <c r="AF363" i="172"/>
  <c r="AG395" i="172"/>
  <c r="AF395" i="172"/>
  <c r="AG427" i="172"/>
  <c r="AF427" i="172"/>
  <c r="AE494" i="172"/>
  <c r="AE567" i="172"/>
  <c r="AF592" i="172"/>
  <c r="AG592" i="172"/>
  <c r="AE627" i="172"/>
  <c r="AF658" i="172"/>
  <c r="AG658" i="172"/>
  <c r="AF698" i="172"/>
  <c r="AG698" i="172"/>
  <c r="AG730" i="172"/>
  <c r="AF730" i="172"/>
  <c r="AF788" i="172"/>
  <c r="AG788" i="172"/>
  <c r="AF818" i="172"/>
  <c r="AG818" i="172"/>
  <c r="AG164" i="172"/>
  <c r="AF164" i="172"/>
  <c r="AE237" i="172"/>
  <c r="AF305" i="172"/>
  <c r="AG305" i="172"/>
  <c r="AE321" i="172"/>
  <c r="AF353" i="172"/>
  <c r="AG353" i="172"/>
  <c r="AE369" i="172"/>
  <c r="AF385" i="172"/>
  <c r="AG385" i="172"/>
  <c r="AF401" i="172"/>
  <c r="AG401" i="172"/>
  <c r="AF417" i="172"/>
  <c r="AG417" i="172"/>
  <c r="AG454" i="172"/>
  <c r="AF454" i="172"/>
  <c r="AE519" i="172"/>
  <c r="AG544" i="172"/>
  <c r="AF544" i="172"/>
  <c r="AF620" i="172"/>
  <c r="AG620" i="172"/>
  <c r="AE643" i="172"/>
  <c r="AE675" i="172"/>
  <c r="AE701" i="172"/>
  <c r="AE733" i="172"/>
  <c r="AG763" i="172"/>
  <c r="AF763" i="172"/>
  <c r="AF56" i="172"/>
  <c r="AG56" i="172"/>
  <c r="AF171" i="172"/>
  <c r="AG171" i="172"/>
  <c r="AG277" i="172"/>
  <c r="AF277" i="172"/>
  <c r="AF297" i="172"/>
  <c r="AG297" i="172"/>
  <c r="AF456" i="172"/>
  <c r="AG456" i="172"/>
  <c r="AF472" i="172"/>
  <c r="AG472" i="172"/>
  <c r="AF526" i="172"/>
  <c r="AG526" i="172"/>
  <c r="AE558" i="172"/>
  <c r="AF590" i="172"/>
  <c r="AG590" i="172"/>
  <c r="AE619" i="172"/>
  <c r="AE653" i="172"/>
  <c r="AF684" i="172"/>
  <c r="AG684" i="172"/>
  <c r="AG721" i="172"/>
  <c r="AF721" i="172"/>
  <c r="AF24" i="172"/>
  <c r="AG24" i="172"/>
  <c r="AF265" i="172"/>
  <c r="AG265" i="172"/>
  <c r="AE532" i="172"/>
  <c r="AG723" i="172"/>
  <c r="AF723" i="172"/>
  <c r="AE805" i="172"/>
  <c r="AE833" i="172"/>
  <c r="AF480" i="172"/>
  <c r="AG480" i="172"/>
  <c r="AF628" i="172"/>
  <c r="AG628" i="172"/>
  <c r="AE803" i="172"/>
  <c r="AF848" i="172"/>
  <c r="AG848" i="172"/>
  <c r="AF872" i="172"/>
  <c r="AG872" i="172"/>
  <c r="AF904" i="172"/>
  <c r="AG904" i="172"/>
  <c r="AE279" i="172"/>
  <c r="AG359" i="172"/>
  <c r="AF359" i="172"/>
  <c r="AG423" i="172"/>
  <c r="AF423" i="172"/>
  <c r="AG720" i="172"/>
  <c r="AF720" i="172"/>
  <c r="AE251" i="172"/>
  <c r="AF564" i="172"/>
  <c r="AG564" i="172"/>
  <c r="AE693" i="172"/>
  <c r="AG771" i="172"/>
  <c r="AF771" i="172"/>
  <c r="AE817" i="172"/>
  <c r="AF845" i="172"/>
  <c r="AG845" i="172"/>
  <c r="AE871" i="172"/>
  <c r="AF887" i="172"/>
  <c r="AG887" i="172"/>
  <c r="AF916" i="172"/>
  <c r="AG916" i="172"/>
  <c r="AE937" i="172"/>
  <c r="AF969" i="172"/>
  <c r="AG969" i="172"/>
  <c r="AG985" i="172"/>
  <c r="AF985" i="172"/>
  <c r="AG925" i="172"/>
  <c r="AF925" i="172"/>
  <c r="AF930" i="172"/>
  <c r="AG930" i="172"/>
  <c r="AF962" i="172"/>
  <c r="AG962" i="172"/>
  <c r="AB27" i="172"/>
  <c r="AE27" i="172" s="1"/>
  <c r="AB111" i="172"/>
  <c r="AE111" i="172" s="1"/>
  <c r="AB175" i="172"/>
  <c r="AE175" i="172" s="1"/>
  <c r="AB178" i="172"/>
  <c r="AE178" i="172" s="1"/>
  <c r="AB220" i="172"/>
  <c r="AE220" i="172" s="1"/>
  <c r="AB29" i="172"/>
  <c r="AE29" i="172" s="1"/>
  <c r="AB58" i="172"/>
  <c r="AE58" i="172" s="1"/>
  <c r="AB93" i="172"/>
  <c r="AE93" i="172" s="1"/>
  <c r="AB142" i="172"/>
  <c r="AB210" i="172"/>
  <c r="AE210" i="172" s="1"/>
  <c r="AB293" i="172"/>
  <c r="AE293" i="172" s="1"/>
  <c r="AB327" i="172"/>
  <c r="AE327" i="172" s="1"/>
  <c r="AB391" i="172"/>
  <c r="AE391" i="172" s="1"/>
  <c r="AB521" i="172"/>
  <c r="AE521" i="172" s="1"/>
  <c r="AB741" i="172"/>
  <c r="AE741" i="172" s="1"/>
  <c r="AB15" i="172"/>
  <c r="AE15" i="172" s="1"/>
  <c r="AB250" i="172"/>
  <c r="AE250" i="172" s="1"/>
  <c r="AB300" i="172"/>
  <c r="AE300" i="172" s="1"/>
  <c r="AB593" i="172"/>
  <c r="AE593" i="172" s="1"/>
  <c r="AB615" i="172"/>
  <c r="AE615" i="172" s="1"/>
  <c r="AB655" i="172"/>
  <c r="AE655" i="172" s="1"/>
  <c r="AB719" i="172"/>
  <c r="AE719" i="172" s="1"/>
  <c r="AB753" i="172"/>
  <c r="AE753" i="172" s="1"/>
  <c r="AB780" i="172"/>
  <c r="AE780" i="172" s="1"/>
  <c r="AB106" i="172"/>
  <c r="AE106" i="172" s="1"/>
  <c r="AB213" i="172"/>
  <c r="AE213" i="172" s="1"/>
  <c r="AB264" i="172"/>
  <c r="AE264" i="172" s="1"/>
  <c r="AB284" i="172"/>
  <c r="AE284" i="172" s="1"/>
  <c r="AB362" i="172"/>
  <c r="AE362" i="172" s="1"/>
  <c r="AB384" i="172"/>
  <c r="AE384" i="172" s="1"/>
  <c r="AB426" i="172"/>
  <c r="AE426" i="172" s="1"/>
  <c r="AB454" i="172"/>
  <c r="AE454" i="172" s="1"/>
  <c r="AB493" i="172"/>
  <c r="AE493" i="172" s="1"/>
  <c r="AB527" i="172"/>
  <c r="AE527" i="172" s="1"/>
  <c r="AB591" i="172"/>
  <c r="AE591" i="172" s="1"/>
  <c r="AB85" i="172"/>
  <c r="AE85" i="172" s="1"/>
  <c r="AB172" i="172"/>
  <c r="AB361" i="172"/>
  <c r="AB846" i="172"/>
  <c r="AE846" i="172" s="1"/>
  <c r="AB895" i="172"/>
  <c r="AE895" i="172" s="1"/>
  <c r="AB911" i="172"/>
  <c r="AE911" i="172" s="1"/>
  <c r="AB325" i="172"/>
  <c r="AE325" i="172" s="1"/>
  <c r="AB448" i="172"/>
  <c r="AE448" i="172" s="1"/>
  <c r="AB599" i="172"/>
  <c r="AE599" i="172" s="1"/>
  <c r="AB735" i="172"/>
  <c r="AE735" i="172" s="1"/>
  <c r="AB433" i="172"/>
  <c r="AE433" i="172" s="1"/>
  <c r="AB590" i="172"/>
  <c r="AE590" i="172" s="1"/>
  <c r="AB792" i="172"/>
  <c r="AE792" i="172" s="1"/>
  <c r="AB830" i="172"/>
  <c r="AE830" i="172" s="1"/>
  <c r="AB874" i="172"/>
  <c r="AE874" i="172" s="1"/>
  <c r="AB890" i="172"/>
  <c r="AE890" i="172" s="1"/>
  <c r="AB790" i="172"/>
  <c r="AE790" i="172" s="1"/>
  <c r="AB939" i="172"/>
  <c r="AE939" i="172" s="1"/>
  <c r="AB955" i="172"/>
  <c r="AE955" i="172" s="1"/>
  <c r="AB925" i="172"/>
  <c r="AE925" i="172" s="1"/>
  <c r="AB970" i="172"/>
  <c r="AE970" i="172" s="1"/>
  <c r="AR578" i="172"/>
  <c r="AU578" i="172" s="1"/>
  <c r="AX80" i="172"/>
  <c r="AY80" i="172" s="1"/>
  <c r="AX112" i="172"/>
  <c r="AY112" i="172" s="1"/>
  <c r="AX35" i="172"/>
  <c r="AY35" i="172" s="1"/>
  <c r="AR73" i="172"/>
  <c r="AU73" i="172" s="1"/>
  <c r="AX220" i="172"/>
  <c r="AY220" i="172" s="1"/>
  <c r="AX304" i="172"/>
  <c r="AY304" i="172" s="1"/>
  <c r="AX336" i="172"/>
  <c r="AY336" i="172" s="1"/>
  <c r="AR444" i="172"/>
  <c r="AU444" i="172" s="1"/>
  <c r="AX491" i="172"/>
  <c r="AY491" i="172" s="1"/>
  <c r="AR508" i="172"/>
  <c r="AU508" i="172" s="1"/>
  <c r="AX32" i="172"/>
  <c r="AY32" i="172" s="1"/>
  <c r="AX31" i="172"/>
  <c r="AY31" i="172" s="1"/>
  <c r="AX165" i="172"/>
  <c r="AY165" i="172" s="1"/>
  <c r="AR170" i="172"/>
  <c r="AU170" i="172" s="1"/>
  <c r="AU186" i="172"/>
  <c r="AX262" i="172"/>
  <c r="AY262" i="172" s="1"/>
  <c r="AX592" i="172"/>
  <c r="AY592" i="172" s="1"/>
  <c r="AX775" i="172"/>
  <c r="AY775" i="172" s="1"/>
  <c r="AX807" i="172"/>
  <c r="AY807" i="172" s="1"/>
  <c r="AU898" i="172"/>
  <c r="AX929" i="172"/>
  <c r="AY929" i="172" s="1"/>
  <c r="AU543" i="172"/>
  <c r="AR618" i="172"/>
  <c r="AU618" i="172" s="1"/>
  <c r="AR650" i="172"/>
  <c r="AU650" i="172" s="1"/>
  <c r="AR682" i="172"/>
  <c r="AU682" i="172" s="1"/>
  <c r="AR716" i="172"/>
  <c r="AU716" i="172" s="1"/>
  <c r="AR763" i="172"/>
  <c r="AU763" i="172" s="1"/>
  <c r="AU487" i="172"/>
  <c r="AR537" i="172"/>
  <c r="AU537" i="172" s="1"/>
  <c r="AX562" i="172"/>
  <c r="AY562" i="172" s="1"/>
  <c r="AX725" i="172"/>
  <c r="AY725" i="172" s="1"/>
  <c r="AU758" i="172"/>
  <c r="AX789" i="172"/>
  <c r="AY789" i="172" s="1"/>
  <c r="AR386" i="172"/>
  <c r="AU386" i="172" s="1"/>
  <c r="AX429" i="172"/>
  <c r="AY429" i="172" s="1"/>
  <c r="AU499" i="172"/>
  <c r="AR596" i="172"/>
  <c r="AU596" i="172" s="1"/>
  <c r="AR608" i="172"/>
  <c r="AU608" i="172" s="1"/>
  <c r="AX623" i="172"/>
  <c r="AY623" i="172" s="1"/>
  <c r="AR640" i="172"/>
  <c r="AU640" i="172" s="1"/>
  <c r="AX655" i="172"/>
  <c r="AY655" i="172" s="1"/>
  <c r="AR672" i="172"/>
  <c r="AU672" i="172" s="1"/>
  <c r="AX687" i="172"/>
  <c r="AY687" i="172" s="1"/>
  <c r="AX776" i="172"/>
  <c r="AY776" i="172" s="1"/>
  <c r="AX914" i="172"/>
  <c r="AY914" i="172" s="1"/>
  <c r="AX948" i="172"/>
  <c r="AY948" i="172" s="1"/>
  <c r="AX980" i="172"/>
  <c r="AY980" i="172" s="1"/>
  <c r="AU48" i="172"/>
  <c r="AU35" i="172"/>
  <c r="AU105" i="172"/>
  <c r="AU283" i="172"/>
  <c r="AU368" i="172"/>
  <c r="AU461" i="172"/>
  <c r="AU84" i="172"/>
  <c r="AU211" i="172"/>
  <c r="AU333" i="172"/>
  <c r="AU408" i="172"/>
  <c r="AU424" i="172"/>
  <c r="AU67" i="172"/>
  <c r="AU103" i="172"/>
  <c r="AU342" i="172"/>
  <c r="AU374" i="172"/>
  <c r="AU86" i="172"/>
  <c r="AU442" i="172"/>
  <c r="AU627" i="172"/>
  <c r="AU659" i="172"/>
  <c r="AU691" i="172"/>
  <c r="AU815" i="172"/>
  <c r="AU850" i="172"/>
  <c r="AU357" i="172"/>
  <c r="AU518" i="172"/>
  <c r="AU702" i="172"/>
  <c r="AU734" i="172"/>
  <c r="AU867" i="172"/>
  <c r="AU385" i="172"/>
  <c r="AU857" i="172"/>
  <c r="AU397" i="172"/>
  <c r="AU825" i="172"/>
  <c r="AF40" i="172"/>
  <c r="AG40" i="172"/>
  <c r="AF109" i="172"/>
  <c r="AG109" i="172"/>
  <c r="AF199" i="172"/>
  <c r="AG199" i="172"/>
  <c r="AG218" i="172"/>
  <c r="AF218" i="172"/>
  <c r="AG136" i="172"/>
  <c r="AF136" i="172"/>
  <c r="AF198" i="172"/>
  <c r="AG198" i="172"/>
  <c r="AF15" i="172"/>
  <c r="AG15" i="172"/>
  <c r="AE172" i="172"/>
  <c r="AG200" i="172"/>
  <c r="AF200" i="172"/>
  <c r="AF41" i="172"/>
  <c r="AG41" i="172"/>
  <c r="AG292" i="172"/>
  <c r="AF292" i="172"/>
  <c r="AF323" i="172"/>
  <c r="AG323" i="172"/>
  <c r="AE355" i="172"/>
  <c r="AG387" i="172"/>
  <c r="AF387" i="172"/>
  <c r="AG419" i="172"/>
  <c r="AF419" i="172"/>
  <c r="AF452" i="172"/>
  <c r="AG452" i="172"/>
  <c r="AF491" i="172"/>
  <c r="AG491" i="172"/>
  <c r="AF520" i="172"/>
  <c r="AG520" i="172"/>
  <c r="AF552" i="172"/>
  <c r="AG552" i="172"/>
  <c r="AF584" i="172"/>
  <c r="AG584" i="172"/>
  <c r="AE621" i="172"/>
  <c r="AE651" i="172"/>
  <c r="AF692" i="172"/>
  <c r="AG692" i="172"/>
  <c r="AE715" i="172"/>
  <c r="AG753" i="172"/>
  <c r="AF753" i="172"/>
  <c r="AG105" i="172"/>
  <c r="AF105" i="172"/>
  <c r="AG221" i="172"/>
  <c r="AF221" i="172"/>
  <c r="AE269" i="172"/>
  <c r="AE299" i="172"/>
  <c r="AF317" i="172"/>
  <c r="AG317" i="172"/>
  <c r="AF333" i="172"/>
  <c r="AG333" i="172"/>
  <c r="AG349" i="172"/>
  <c r="AF349" i="172"/>
  <c r="AE365" i="172"/>
  <c r="AF381" i="172"/>
  <c r="AG381" i="172"/>
  <c r="AF397" i="172"/>
  <c r="AG397" i="172"/>
  <c r="AF413" i="172"/>
  <c r="AG413" i="172"/>
  <c r="AE429" i="172"/>
  <c r="AF445" i="172"/>
  <c r="AG445" i="172"/>
  <c r="AF511" i="172"/>
  <c r="AG511" i="172"/>
  <c r="AF570" i="172"/>
  <c r="AG570" i="172"/>
  <c r="AF614" i="172"/>
  <c r="AG614" i="172"/>
  <c r="AE639" i="172"/>
  <c r="AE671" i="172"/>
  <c r="AF694" i="172"/>
  <c r="AG694" i="172"/>
  <c r="AG729" i="172"/>
  <c r="AF729" i="172"/>
  <c r="AG757" i="172"/>
  <c r="AF757" i="172"/>
  <c r="AF33" i="172"/>
  <c r="AG33" i="172"/>
  <c r="AF266" i="172"/>
  <c r="AG266" i="172"/>
  <c r="AF450" i="172"/>
  <c r="AG450" i="172"/>
  <c r="AF485" i="172"/>
  <c r="AG485" i="172"/>
  <c r="AF551" i="172"/>
  <c r="AG551" i="172"/>
  <c r="AE613" i="172"/>
  <c r="AF638" i="172"/>
  <c r="AG638" i="172"/>
  <c r="AF670" i="172"/>
  <c r="AG670" i="172"/>
  <c r="AF714" i="172"/>
  <c r="AG714" i="172"/>
  <c r="AG748" i="172"/>
  <c r="AF748" i="172"/>
  <c r="AF404" i="172"/>
  <c r="AG404" i="172"/>
  <c r="AF505" i="172"/>
  <c r="AG505" i="172"/>
  <c r="AF598" i="172"/>
  <c r="AG598" i="172"/>
  <c r="AF706" i="172"/>
  <c r="AG706" i="172"/>
  <c r="AE827" i="172"/>
  <c r="AF239" i="172"/>
  <c r="AG239" i="172"/>
  <c r="AE589" i="172"/>
  <c r="AG741" i="172"/>
  <c r="AF741" i="172"/>
  <c r="AF797" i="172"/>
  <c r="AG797" i="172"/>
  <c r="AG262" i="172"/>
  <c r="AF262" i="172"/>
  <c r="AF343" i="172"/>
  <c r="AG343" i="172"/>
  <c r="AG407" i="172"/>
  <c r="AF407" i="172"/>
  <c r="AF513" i="172"/>
  <c r="AG513" i="172"/>
  <c r="AF652" i="172"/>
  <c r="AG652" i="172"/>
  <c r="AG786" i="172"/>
  <c r="AF786" i="172"/>
  <c r="AF836" i="172"/>
  <c r="AG836" i="172"/>
  <c r="AF859" i="172"/>
  <c r="AG859" i="172"/>
  <c r="AE659" i="172"/>
  <c r="AG752" i="172"/>
  <c r="AF752" i="172"/>
  <c r="AF802" i="172"/>
  <c r="AG802" i="172"/>
  <c r="AF867" i="172"/>
  <c r="AG867" i="172"/>
  <c r="AG883" i="172"/>
  <c r="AF883" i="172"/>
  <c r="AF899" i="172"/>
  <c r="AG899" i="172"/>
  <c r="AE933" i="172"/>
  <c r="AE949" i="172"/>
  <c r="AE965" i="172"/>
  <c r="AG981" i="172"/>
  <c r="AF981" i="172"/>
  <c r="AE917" i="172"/>
  <c r="AE923" i="172"/>
  <c r="AF958" i="172"/>
  <c r="AG958" i="172"/>
  <c r="AF990" i="172"/>
  <c r="AG990" i="172"/>
  <c r="AF913" i="172"/>
  <c r="AG913" i="172"/>
  <c r="AE59" i="172"/>
  <c r="AB149" i="172"/>
  <c r="AE149" i="172" s="1"/>
  <c r="AB169" i="172"/>
  <c r="AE169" i="172" s="1"/>
  <c r="AB217" i="172"/>
  <c r="AE217" i="172" s="1"/>
  <c r="AB501" i="172"/>
  <c r="AE501" i="172" s="1"/>
  <c r="AB608" i="172"/>
  <c r="AE608" i="172" s="1"/>
  <c r="AE756" i="172"/>
  <c r="AB807" i="172"/>
  <c r="AE807" i="172" s="1"/>
  <c r="AB240" i="172"/>
  <c r="AE240" i="172" s="1"/>
  <c r="AE342" i="172"/>
  <c r="AE460" i="172"/>
  <c r="AB496" i="172"/>
  <c r="AE496" i="172" s="1"/>
  <c r="AB648" i="172"/>
  <c r="AE648" i="172" s="1"/>
  <c r="AB777" i="172"/>
  <c r="AE777" i="172" s="1"/>
  <c r="AB278" i="172"/>
  <c r="AE278" i="172" s="1"/>
  <c r="AB523" i="172"/>
  <c r="AE523" i="172" s="1"/>
  <c r="AB739" i="172"/>
  <c r="AE739" i="172" s="1"/>
  <c r="AE329" i="172"/>
  <c r="AB638" i="172"/>
  <c r="AE638" i="172" s="1"/>
  <c r="AB891" i="172"/>
  <c r="AE891" i="172" s="1"/>
  <c r="AE304" i="172"/>
  <c r="AB421" i="172"/>
  <c r="AE421" i="172" s="1"/>
  <c r="AB583" i="172"/>
  <c r="AE583" i="172" s="1"/>
  <c r="AB838" i="172"/>
  <c r="AE838" i="172" s="1"/>
  <c r="AE886" i="172"/>
  <c r="AB450" i="172"/>
  <c r="AE450" i="172" s="1"/>
  <c r="AB966" i="172"/>
  <c r="AE966" i="172" s="1"/>
  <c r="AG8" i="172"/>
  <c r="AF8" i="172"/>
  <c r="AX9" i="172"/>
  <c r="AY9" i="172" s="1"/>
  <c r="AR18" i="172"/>
  <c r="AU18" i="172" s="1"/>
  <c r="AR26" i="172"/>
  <c r="AU26" i="172" s="1"/>
  <c r="AX41" i="172"/>
  <c r="AY41" i="172" s="1"/>
  <c r="AX62" i="172"/>
  <c r="AY62" i="172" s="1"/>
  <c r="AX27" i="172"/>
  <c r="AY27" i="172" s="1"/>
  <c r="AR65" i="172"/>
  <c r="AU65" i="172" s="1"/>
  <c r="AR146" i="172"/>
  <c r="AU146" i="172" s="1"/>
  <c r="AX207" i="172"/>
  <c r="AY207" i="172" s="1"/>
  <c r="AR308" i="172"/>
  <c r="AU308" i="172" s="1"/>
  <c r="AX360" i="172"/>
  <c r="AY360" i="172" s="1"/>
  <c r="AR393" i="172"/>
  <c r="AU393" i="172" s="1"/>
  <c r="AX453" i="172"/>
  <c r="AY453" i="172" s="1"/>
  <c r="AX485" i="172"/>
  <c r="AY485" i="172" s="1"/>
  <c r="AR502" i="172"/>
  <c r="AU502" i="172" s="1"/>
  <c r="AR566" i="172"/>
  <c r="AU566" i="172" s="1"/>
  <c r="AR8" i="172"/>
  <c r="AU8" i="172" s="1"/>
  <c r="AX74" i="172"/>
  <c r="AY74" i="172" s="1"/>
  <c r="AX89" i="172"/>
  <c r="AY89" i="172" s="1"/>
  <c r="AR152" i="172"/>
  <c r="AU152" i="172" s="1"/>
  <c r="AR234" i="172"/>
  <c r="AU234" i="172" s="1"/>
  <c r="AR266" i="172"/>
  <c r="AU266" i="172" s="1"/>
  <c r="AX363" i="172"/>
  <c r="AY363" i="172" s="1"/>
  <c r="AR380" i="172"/>
  <c r="AU380" i="172" s="1"/>
  <c r="AR457" i="172"/>
  <c r="AU457" i="172" s="1"/>
  <c r="AR473" i="172"/>
  <c r="AU473" i="172" s="1"/>
  <c r="AX488" i="172"/>
  <c r="AY488" i="172" s="1"/>
  <c r="AR143" i="172"/>
  <c r="AU143" i="172" s="1"/>
  <c r="AX298" i="172"/>
  <c r="AY298" i="172" s="1"/>
  <c r="AR315" i="172"/>
  <c r="AU315" i="172" s="1"/>
  <c r="AX330" i="172"/>
  <c r="AY330" i="172" s="1"/>
  <c r="AX447" i="172"/>
  <c r="AY447" i="172" s="1"/>
  <c r="AR496" i="172"/>
  <c r="AU496" i="172" s="1"/>
  <c r="AR512" i="172"/>
  <c r="AU512" i="172" s="1"/>
  <c r="AX107" i="172"/>
  <c r="AY107" i="172" s="1"/>
  <c r="AR132" i="172"/>
  <c r="AU132" i="172" s="1"/>
  <c r="AX139" i="172"/>
  <c r="AY139" i="172" s="1"/>
  <c r="AX162" i="172"/>
  <c r="AY162" i="172" s="1"/>
  <c r="AX238" i="172"/>
  <c r="AY238" i="172" s="1"/>
  <c r="AX426" i="172"/>
  <c r="AY426" i="172" s="1"/>
  <c r="AR594" i="172"/>
  <c r="AU594" i="172" s="1"/>
  <c r="AX700" i="172"/>
  <c r="AY700" i="172" s="1"/>
  <c r="AU733" i="172"/>
  <c r="AR748" i="172"/>
  <c r="AU748" i="172" s="1"/>
  <c r="AX763" i="172"/>
  <c r="AY763" i="172" s="1"/>
  <c r="AR796" i="172"/>
  <c r="AU796" i="172" s="1"/>
  <c r="AR809" i="172"/>
  <c r="AU809" i="172" s="1"/>
  <c r="AX824" i="172"/>
  <c r="AY824" i="172" s="1"/>
  <c r="AX853" i="172"/>
  <c r="AY853" i="172" s="1"/>
  <c r="AR886" i="172"/>
  <c r="AU886" i="172" s="1"/>
  <c r="AX917" i="172"/>
  <c r="AY917" i="172" s="1"/>
  <c r="AR171" i="172"/>
  <c r="AU171" i="172" s="1"/>
  <c r="AU187" i="172"/>
  <c r="AX256" i="172"/>
  <c r="AY256" i="172" s="1"/>
  <c r="AR600" i="172"/>
  <c r="AU600" i="172" s="1"/>
  <c r="AR611" i="172"/>
  <c r="AU611" i="172" s="1"/>
  <c r="AX626" i="172"/>
  <c r="AY626" i="172" s="1"/>
  <c r="AR643" i="172"/>
  <c r="AU643" i="172" s="1"/>
  <c r="AX658" i="172"/>
  <c r="AY658" i="172" s="1"/>
  <c r="AR675" i="172"/>
  <c r="AU675" i="172" s="1"/>
  <c r="AX690" i="172"/>
  <c r="AY690" i="172" s="1"/>
  <c r="AR703" i="172"/>
  <c r="AU703" i="172" s="1"/>
  <c r="AR852" i="172"/>
  <c r="AU852" i="172" s="1"/>
  <c r="AX884" i="172"/>
  <c r="AY884" i="172" s="1"/>
  <c r="AX234" i="172"/>
  <c r="AY234" i="172" s="1"/>
  <c r="AR390" i="172"/>
  <c r="AU390" i="172" s="1"/>
  <c r="AX546" i="172"/>
  <c r="AY546" i="172" s="1"/>
  <c r="AR697" i="172"/>
  <c r="AU697" i="172" s="1"/>
  <c r="AX712" i="172"/>
  <c r="AY712" i="172" s="1"/>
  <c r="AX777" i="172"/>
  <c r="AY777" i="172" s="1"/>
  <c r="AR828" i="172"/>
  <c r="AU828" i="172" s="1"/>
  <c r="AR842" i="172"/>
  <c r="AU842" i="172" s="1"/>
  <c r="AR908" i="172"/>
  <c r="AU908" i="172" s="1"/>
  <c r="AX184" i="172"/>
  <c r="AY184" i="172" s="1"/>
  <c r="AR245" i="172"/>
  <c r="AU245" i="172" s="1"/>
  <c r="AX417" i="172"/>
  <c r="AY417" i="172" s="1"/>
  <c r="AX514" i="172"/>
  <c r="AY514" i="172" s="1"/>
  <c r="AR567" i="172"/>
  <c r="AU567" i="172" s="1"/>
  <c r="AR603" i="172"/>
  <c r="AU603" i="172" s="1"/>
  <c r="AX616" i="172"/>
  <c r="AY616" i="172" s="1"/>
  <c r="AR633" i="172"/>
  <c r="AU633" i="172" s="1"/>
  <c r="AX648" i="172"/>
  <c r="AY648" i="172" s="1"/>
  <c r="AR665" i="172"/>
  <c r="AU665" i="172" s="1"/>
  <c r="AX680" i="172"/>
  <c r="AY680" i="172" s="1"/>
  <c r="AX698" i="172"/>
  <c r="AY698" i="172" s="1"/>
  <c r="AU731" i="172"/>
  <c r="AR749" i="172"/>
  <c r="AU749" i="172" s="1"/>
  <c r="AX764" i="172"/>
  <c r="AY764" i="172" s="1"/>
  <c r="AR797" i="172"/>
  <c r="AU797" i="172" s="1"/>
  <c r="AX826" i="172"/>
  <c r="AY826" i="172" s="1"/>
  <c r="AX858" i="172"/>
  <c r="AY858" i="172" s="1"/>
  <c r="AX938" i="172"/>
  <c r="AY938" i="172" s="1"/>
  <c r="AR942" i="172"/>
  <c r="AU942" i="172" s="1"/>
  <c r="AR976" i="172"/>
  <c r="AU976" i="172" s="1"/>
  <c r="AX939" i="172"/>
  <c r="AY939" i="172" s="1"/>
  <c r="AX974" i="172"/>
  <c r="AY974" i="172" s="1"/>
  <c r="AR991" i="172"/>
  <c r="AU991" i="172" s="1"/>
  <c r="AU14" i="172"/>
  <c r="AU30" i="172"/>
  <c r="AU46" i="172"/>
  <c r="AU69" i="172"/>
  <c r="AU71" i="172"/>
  <c r="AU12" i="172"/>
  <c r="AU44" i="172"/>
  <c r="AU388" i="172"/>
  <c r="AU449" i="172"/>
  <c r="AU347" i="172"/>
  <c r="AU421" i="172"/>
  <c r="AU452" i="172"/>
  <c r="AU123" i="172"/>
  <c r="AU168" i="172"/>
  <c r="AU201" i="172"/>
  <c r="AU606" i="172"/>
  <c r="AU638" i="172"/>
  <c r="AU670" i="172"/>
  <c r="AU837" i="172"/>
  <c r="AU556" i="172"/>
  <c r="AU597" i="172"/>
  <c r="AU721" i="172"/>
  <c r="AU820" i="172"/>
  <c r="AU628" i="172"/>
  <c r="AU660" i="172"/>
  <c r="AU692" i="172"/>
  <c r="AU720" i="172"/>
  <c r="AU818" i="172"/>
  <c r="AU601" i="172"/>
  <c r="AU935" i="172"/>
  <c r="AU917" i="172"/>
  <c r="AU971" i="172"/>
  <c r="AU975" i="172"/>
  <c r="AG66" i="172"/>
  <c r="AF66" i="172"/>
  <c r="AF96" i="172"/>
  <c r="AG96" i="172"/>
  <c r="AG121" i="172"/>
  <c r="AF121" i="172"/>
  <c r="AE142" i="172"/>
  <c r="AE188" i="172"/>
  <c r="AG227" i="172"/>
  <c r="AF227" i="172"/>
  <c r="AE243" i="172"/>
  <c r="AF31" i="172"/>
  <c r="AG31" i="172"/>
  <c r="AF107" i="172"/>
  <c r="AG107" i="172"/>
  <c r="AE128" i="172"/>
  <c r="AF147" i="172"/>
  <c r="AG147" i="172"/>
  <c r="AF224" i="172"/>
  <c r="AG224" i="172"/>
  <c r="AF28" i="172"/>
  <c r="AG28" i="172"/>
  <c r="AF57" i="172"/>
  <c r="AG57" i="172"/>
  <c r="AE73" i="172"/>
  <c r="AG192" i="172"/>
  <c r="AF192" i="172"/>
  <c r="AG14" i="172"/>
  <c r="AF14" i="172"/>
  <c r="AG98" i="172"/>
  <c r="AF98" i="172"/>
  <c r="AG374" i="172"/>
  <c r="AF374" i="172"/>
  <c r="AG438" i="172"/>
  <c r="AF438" i="172"/>
  <c r="AF471" i="172"/>
  <c r="AG471" i="172"/>
  <c r="AF508" i="172"/>
  <c r="AG508" i="172"/>
  <c r="AG545" i="172"/>
  <c r="AF545" i="172"/>
  <c r="AE577" i="172"/>
  <c r="AG740" i="172"/>
  <c r="AF740" i="172"/>
  <c r="AG769" i="172"/>
  <c r="AF769" i="172"/>
  <c r="AE801" i="172"/>
  <c r="AF77" i="172"/>
  <c r="AG77" i="172"/>
  <c r="AF180" i="172"/>
  <c r="AG180" i="172"/>
  <c r="AE263" i="172"/>
  <c r="AG360" i="172"/>
  <c r="AF360" i="172"/>
  <c r="AG424" i="172"/>
  <c r="AF424" i="172"/>
  <c r="AF467" i="172"/>
  <c r="AG467" i="172"/>
  <c r="AF499" i="172"/>
  <c r="AG499" i="172"/>
  <c r="AE563" i="172"/>
  <c r="AG595" i="172"/>
  <c r="AF595" i="172"/>
  <c r="AG629" i="172"/>
  <c r="AF629" i="172"/>
  <c r="AG661" i="172"/>
  <c r="AF661" i="172"/>
  <c r="AG685" i="172"/>
  <c r="AF685" i="172"/>
  <c r="AG711" i="172"/>
  <c r="AF711" i="172"/>
  <c r="AE742" i="172"/>
  <c r="AG774" i="172"/>
  <c r="AF774" i="172"/>
  <c r="AG127" i="172"/>
  <c r="AF127" i="172"/>
  <c r="AG288" i="172"/>
  <c r="AF288" i="172"/>
  <c r="AF304" i="172"/>
  <c r="AG304" i="172"/>
  <c r="AE461" i="172"/>
  <c r="AG477" i="172"/>
  <c r="AF477" i="172"/>
  <c r="AF565" i="172"/>
  <c r="AG565" i="172"/>
  <c r="AG603" i="172"/>
  <c r="AF603" i="172"/>
  <c r="AG631" i="172"/>
  <c r="AF631" i="172"/>
  <c r="AG663" i="172"/>
  <c r="AF663" i="172"/>
  <c r="AE696" i="172"/>
  <c r="AG728" i="172"/>
  <c r="AF728" i="172"/>
  <c r="AF319" i="172"/>
  <c r="AG319" i="172"/>
  <c r="AE383" i="172"/>
  <c r="AE447" i="172"/>
  <c r="AF560" i="172"/>
  <c r="AG560" i="172"/>
  <c r="AG683" i="172"/>
  <c r="AF683" i="172"/>
  <c r="AG758" i="172"/>
  <c r="AF758" i="172"/>
  <c r="AG853" i="172"/>
  <c r="AF853" i="172"/>
  <c r="AG517" i="172"/>
  <c r="AF517" i="172"/>
  <c r="AE656" i="172"/>
  <c r="AF779" i="172"/>
  <c r="AG779" i="172"/>
  <c r="AF822" i="172"/>
  <c r="AG822" i="172"/>
  <c r="AF860" i="172"/>
  <c r="AG860" i="172"/>
  <c r="AF878" i="172"/>
  <c r="AG878" i="172"/>
  <c r="AF894" i="172"/>
  <c r="AG894" i="172"/>
  <c r="AF910" i="172"/>
  <c r="AG910" i="172"/>
  <c r="AG767" i="172"/>
  <c r="AF767" i="172"/>
  <c r="AE847" i="172"/>
  <c r="AG597" i="172"/>
  <c r="AF597" i="172"/>
  <c r="AG727" i="172"/>
  <c r="AF727" i="172"/>
  <c r="AE787" i="172"/>
  <c r="AG831" i="172"/>
  <c r="AF831" i="172"/>
  <c r="AF858" i="172"/>
  <c r="AG858" i="172"/>
  <c r="AG877" i="172"/>
  <c r="AF877" i="172"/>
  <c r="AE893" i="172"/>
  <c r="AG927" i="172"/>
  <c r="AF927" i="172"/>
  <c r="AG943" i="172"/>
  <c r="AF943" i="172"/>
  <c r="AG959" i="172"/>
  <c r="AF959" i="172"/>
  <c r="AF975" i="172"/>
  <c r="AG975" i="172"/>
  <c r="AF901" i="172"/>
  <c r="AG901" i="172"/>
  <c r="AG911" i="172"/>
  <c r="AF911" i="172"/>
  <c r="AF952" i="172"/>
  <c r="AG952" i="172"/>
  <c r="AF968" i="172"/>
  <c r="AG968" i="172"/>
  <c r="AE991" i="172"/>
  <c r="AE999" i="172"/>
  <c r="AB41" i="172"/>
  <c r="AE41" i="172" s="1"/>
  <c r="AB87" i="172"/>
  <c r="AE87" i="172" s="1"/>
  <c r="AB135" i="172"/>
  <c r="AE135" i="172" s="1"/>
  <c r="AB253" i="172"/>
  <c r="AE253" i="172" s="1"/>
  <c r="AE113" i="172"/>
  <c r="AB211" i="172"/>
  <c r="AE211" i="172" s="1"/>
  <c r="AB227" i="172"/>
  <c r="AE227" i="172" s="1"/>
  <c r="AB76" i="172"/>
  <c r="AE76" i="172" s="1"/>
  <c r="AB25" i="172"/>
  <c r="AE25" i="172" s="1"/>
  <c r="AB308" i="172"/>
  <c r="AE308" i="172" s="1"/>
  <c r="AB340" i="172"/>
  <c r="AE340" i="172" s="1"/>
  <c r="AB404" i="172"/>
  <c r="AE404" i="172" s="1"/>
  <c r="AB485" i="172"/>
  <c r="AE485" i="172" s="1"/>
  <c r="AE526" i="172"/>
  <c r="AB554" i="172"/>
  <c r="AE554" i="172" s="1"/>
  <c r="AB586" i="172"/>
  <c r="AE586" i="172" s="1"/>
  <c r="AB652" i="172"/>
  <c r="AE652" i="172" s="1"/>
  <c r="AB686" i="172"/>
  <c r="AE686" i="172" s="1"/>
  <c r="AB748" i="172"/>
  <c r="AE748" i="172" s="1"/>
  <c r="AB42" i="172"/>
  <c r="AE42" i="172" s="1"/>
  <c r="AB226" i="172"/>
  <c r="AE226" i="172" s="1"/>
  <c r="AB318" i="172"/>
  <c r="AE318" i="172" s="1"/>
  <c r="AB382" i="172"/>
  <c r="AE382" i="172" s="1"/>
  <c r="AB446" i="172"/>
  <c r="AE446" i="172" s="1"/>
  <c r="AB487" i="172"/>
  <c r="AE487" i="172" s="1"/>
  <c r="AB637" i="172"/>
  <c r="AE637" i="172" s="1"/>
  <c r="AB669" i="172"/>
  <c r="AE669" i="172" s="1"/>
  <c r="AB702" i="172"/>
  <c r="AE702" i="172" s="1"/>
  <c r="AE67" i="172"/>
  <c r="AE165" i="172"/>
  <c r="AB270" i="172"/>
  <c r="AE270" i="172" s="1"/>
  <c r="AB328" i="172"/>
  <c r="AE328" i="172" s="1"/>
  <c r="AE347" i="172"/>
  <c r="AB475" i="172"/>
  <c r="AE475" i="172" s="1"/>
  <c r="AB516" i="172"/>
  <c r="AE516" i="172" s="1"/>
  <c r="AB538" i="172"/>
  <c r="AE538" i="172" s="1"/>
  <c r="AB610" i="172"/>
  <c r="AE610" i="172" s="1"/>
  <c r="AB636" i="172"/>
  <c r="AE636" i="172" s="1"/>
  <c r="AB668" i="172"/>
  <c r="AE668" i="172" s="1"/>
  <c r="AB692" i="172"/>
  <c r="AE692" i="172" s="1"/>
  <c r="AB57" i="172"/>
  <c r="AE57" i="172" s="1"/>
  <c r="AE215" i="172"/>
  <c r="AB603" i="172"/>
  <c r="AE603" i="172" s="1"/>
  <c r="AB831" i="172"/>
  <c r="AE831" i="172" s="1"/>
  <c r="AB373" i="172"/>
  <c r="AE373" i="172" s="1"/>
  <c r="AB474" i="172"/>
  <c r="AE474" i="172" s="1"/>
  <c r="AE782" i="172"/>
  <c r="AB812" i="172"/>
  <c r="AE812" i="172" s="1"/>
  <c r="AE912" i="172"/>
  <c r="AB290" i="172"/>
  <c r="AE290" i="172" s="1"/>
  <c r="AB413" i="172"/>
  <c r="AE413" i="172" s="1"/>
  <c r="AB488" i="172"/>
  <c r="AE488" i="172" s="1"/>
  <c r="AB757" i="172"/>
  <c r="AE757" i="172" s="1"/>
  <c r="AE806" i="172"/>
  <c r="AB836" i="172"/>
  <c r="AE836" i="172" s="1"/>
  <c r="AB993" i="172"/>
  <c r="AE993" i="172" s="1"/>
  <c r="AB944" i="172"/>
  <c r="AE944" i="172" s="1"/>
  <c r="AB976" i="172"/>
  <c r="AE976" i="172" s="1"/>
  <c r="AB992" i="172"/>
  <c r="AE992" i="172" s="1"/>
  <c r="AX65" i="172"/>
  <c r="AY65" i="172" s="1"/>
  <c r="AR37" i="172"/>
  <c r="AU37" i="172" s="1"/>
  <c r="AX50" i="172"/>
  <c r="AY50" i="172" s="1"/>
  <c r="AX69" i="172"/>
  <c r="AY69" i="172" s="1"/>
  <c r="AR151" i="172"/>
  <c r="AU151" i="172" s="1"/>
  <c r="AR286" i="172"/>
  <c r="AU286" i="172" s="1"/>
  <c r="AU294" i="172"/>
  <c r="AR318" i="172"/>
  <c r="AU318" i="172" s="1"/>
  <c r="AR349" i="172"/>
  <c r="AU349" i="172" s="1"/>
  <c r="AX380" i="172"/>
  <c r="AY380" i="172" s="1"/>
  <c r="AR458" i="172"/>
  <c r="AU458" i="172" s="1"/>
  <c r="AU474" i="172"/>
  <c r="AX505" i="172"/>
  <c r="AY505" i="172" s="1"/>
  <c r="AR570" i="172"/>
  <c r="AU570" i="172" s="1"/>
  <c r="AR19" i="172"/>
  <c r="AU19" i="172" s="1"/>
  <c r="AR56" i="172"/>
  <c r="AU56" i="172" s="1"/>
  <c r="AX84" i="172"/>
  <c r="AY84" i="172" s="1"/>
  <c r="AX116" i="172"/>
  <c r="AY116" i="172" s="1"/>
  <c r="AR125" i="172"/>
  <c r="AU125" i="172" s="1"/>
  <c r="AR133" i="172"/>
  <c r="AU133" i="172" s="1"/>
  <c r="AX152" i="172"/>
  <c r="AY152" i="172" s="1"/>
  <c r="AX235" i="172"/>
  <c r="AY235" i="172" s="1"/>
  <c r="AR244" i="172"/>
  <c r="AU244" i="172" s="1"/>
  <c r="AX267" i="172"/>
  <c r="AY267" i="172" s="1"/>
  <c r="AX351" i="172"/>
  <c r="AY351" i="172" s="1"/>
  <c r="AX383" i="172"/>
  <c r="AY383" i="172" s="1"/>
  <c r="AX444" i="172"/>
  <c r="AY444" i="172" s="1"/>
  <c r="AR477" i="172"/>
  <c r="AU477" i="172" s="1"/>
  <c r="AX508" i="172"/>
  <c r="AY508" i="172" s="1"/>
  <c r="AR192" i="172"/>
  <c r="AU192" i="172" s="1"/>
  <c r="AX269" i="172"/>
  <c r="AY269" i="172" s="1"/>
  <c r="AR285" i="172"/>
  <c r="AU285" i="172" s="1"/>
  <c r="AX308" i="172"/>
  <c r="AY308" i="172" s="1"/>
  <c r="AR317" i="172"/>
  <c r="AU317" i="172" s="1"/>
  <c r="AR343" i="172"/>
  <c r="AU343" i="172" s="1"/>
  <c r="AX374" i="172"/>
  <c r="AY374" i="172" s="1"/>
  <c r="AR436" i="172"/>
  <c r="AU436" i="172" s="1"/>
  <c r="AR468" i="172"/>
  <c r="AU468" i="172" s="1"/>
  <c r="AX499" i="172"/>
  <c r="AY499" i="172" s="1"/>
  <c r="AR516" i="172"/>
  <c r="AU516" i="172" s="1"/>
  <c r="AR53" i="172"/>
  <c r="AU53" i="172" s="1"/>
  <c r="AX102" i="172"/>
  <c r="AY102" i="172" s="1"/>
  <c r="AR119" i="172"/>
  <c r="AU119" i="172" s="1"/>
  <c r="AX134" i="172"/>
  <c r="AY134" i="172" s="1"/>
  <c r="AX167" i="172"/>
  <c r="AY167" i="172" s="1"/>
  <c r="AR178" i="172"/>
  <c r="AU178" i="172" s="1"/>
  <c r="AX338" i="172"/>
  <c r="AY338" i="172" s="1"/>
  <c r="AR415" i="172"/>
  <c r="AU415" i="172" s="1"/>
  <c r="AR495" i="172"/>
  <c r="AU495" i="172" s="1"/>
  <c r="AX563" i="172"/>
  <c r="AY563" i="172" s="1"/>
  <c r="AX600" i="172"/>
  <c r="AY600" i="172" s="1"/>
  <c r="AR706" i="172"/>
  <c r="AU706" i="172" s="1"/>
  <c r="AR722" i="172"/>
  <c r="AU722" i="172" s="1"/>
  <c r="AX783" i="172"/>
  <c r="AY783" i="172" s="1"/>
  <c r="AX815" i="172"/>
  <c r="AY815" i="172" s="1"/>
  <c r="AR832" i="172"/>
  <c r="AU832" i="172" s="1"/>
  <c r="AR843" i="172"/>
  <c r="AU843" i="172" s="1"/>
  <c r="AR906" i="172"/>
  <c r="AU906" i="172" s="1"/>
  <c r="AX174" i="172"/>
  <c r="AY174" i="172" s="1"/>
  <c r="AR191" i="172"/>
  <c r="AU191" i="172" s="1"/>
  <c r="AX377" i="172"/>
  <c r="AY377" i="172" s="1"/>
  <c r="AR428" i="172"/>
  <c r="AU428" i="172" s="1"/>
  <c r="AR531" i="172"/>
  <c r="AU531" i="172" s="1"/>
  <c r="AX574" i="172"/>
  <c r="AY574" i="172" s="1"/>
  <c r="AX605" i="172"/>
  <c r="AY605" i="172" s="1"/>
  <c r="AR622" i="172"/>
  <c r="AU622" i="172" s="1"/>
  <c r="AX637" i="172"/>
  <c r="AY637" i="172" s="1"/>
  <c r="AR654" i="172"/>
  <c r="AU654" i="172" s="1"/>
  <c r="AX669" i="172"/>
  <c r="AY669" i="172" s="1"/>
  <c r="AR686" i="172"/>
  <c r="AU686" i="172" s="1"/>
  <c r="AX707" i="172"/>
  <c r="AY707" i="172" s="1"/>
  <c r="AR724" i="172"/>
  <c r="AU724" i="172" s="1"/>
  <c r="AX738" i="172"/>
  <c r="AY738" i="172" s="1"/>
  <c r="AR771" i="172"/>
  <c r="AU771" i="172" s="1"/>
  <c r="AX836" i="172"/>
  <c r="AY836" i="172" s="1"/>
  <c r="AR855" i="172"/>
  <c r="AU855" i="172" s="1"/>
  <c r="AX904" i="172"/>
  <c r="AY904" i="172" s="1"/>
  <c r="AX209" i="172"/>
  <c r="AY209" i="172" s="1"/>
  <c r="AR405" i="172"/>
  <c r="AU405" i="172" s="1"/>
  <c r="AX571" i="172"/>
  <c r="AY571" i="172" s="1"/>
  <c r="AX701" i="172"/>
  <c r="AY701" i="172" s="1"/>
  <c r="AX733" i="172"/>
  <c r="AY733" i="172" s="1"/>
  <c r="AR766" i="172"/>
  <c r="AU766" i="172" s="1"/>
  <c r="AX797" i="172"/>
  <c r="AY797" i="172" s="1"/>
  <c r="AR829" i="172"/>
  <c r="AU829" i="172" s="1"/>
  <c r="AR864" i="172"/>
  <c r="AU864" i="172" s="1"/>
  <c r="AU173" i="172"/>
  <c r="AX252" i="172"/>
  <c r="AY252" i="172" s="1"/>
  <c r="AR467" i="172"/>
  <c r="AU467" i="172" s="1"/>
  <c r="AR519" i="172"/>
  <c r="AU519" i="172" s="1"/>
  <c r="AX550" i="172"/>
  <c r="AY550" i="172" s="1"/>
  <c r="AR588" i="172"/>
  <c r="AU588" i="172" s="1"/>
  <c r="AR604" i="172"/>
  <c r="AU604" i="172" s="1"/>
  <c r="AR612" i="172"/>
  <c r="AU612" i="172" s="1"/>
  <c r="AX627" i="172"/>
  <c r="AY627" i="172" s="1"/>
  <c r="AR636" i="172"/>
  <c r="AU636" i="172" s="1"/>
  <c r="AR644" i="172"/>
  <c r="AU644" i="172" s="1"/>
  <c r="AX659" i="172"/>
  <c r="AY659" i="172" s="1"/>
  <c r="AR668" i="172"/>
  <c r="AU668" i="172" s="1"/>
  <c r="AR676" i="172"/>
  <c r="AU676" i="172" s="1"/>
  <c r="AX691" i="172"/>
  <c r="AY691" i="172" s="1"/>
  <c r="AR704" i="172"/>
  <c r="AU704" i="172" s="1"/>
  <c r="AR753" i="172"/>
  <c r="AU753" i="172" s="1"/>
  <c r="AX784" i="172"/>
  <c r="AY784" i="172" s="1"/>
  <c r="AX817" i="172"/>
  <c r="AY817" i="172" s="1"/>
  <c r="AX878" i="172"/>
  <c r="AY878" i="172" s="1"/>
  <c r="AR927" i="172"/>
  <c r="AU927" i="172" s="1"/>
  <c r="AX930" i="172"/>
  <c r="AY930" i="172" s="1"/>
  <c r="AR954" i="172"/>
  <c r="AU954" i="172" s="1"/>
  <c r="AR986" i="172"/>
  <c r="AU986" i="172" s="1"/>
  <c r="AX912" i="172"/>
  <c r="AY912" i="172" s="1"/>
  <c r="AR919" i="172"/>
  <c r="AU919" i="172" s="1"/>
  <c r="AX952" i="172"/>
  <c r="AY952" i="172" s="1"/>
  <c r="AR969" i="172"/>
  <c r="AU969" i="172" s="1"/>
  <c r="AX984" i="172"/>
  <c r="AY984" i="172" s="1"/>
  <c r="AU17" i="172"/>
  <c r="AU70" i="172"/>
  <c r="AU72" i="172"/>
  <c r="AU15" i="172"/>
  <c r="AU31" i="172"/>
  <c r="AU97" i="172"/>
  <c r="AU193" i="172"/>
  <c r="AU256" i="172"/>
  <c r="AU276" i="172"/>
  <c r="AU392" i="172"/>
  <c r="AU453" i="172"/>
  <c r="AU108" i="172"/>
  <c r="AU351" i="172"/>
  <c r="AU383" i="172"/>
  <c r="AU414" i="172"/>
  <c r="AU430" i="172"/>
  <c r="AU52" i="172"/>
  <c r="AU95" i="172"/>
  <c r="AU366" i="172"/>
  <c r="AU523" i="172"/>
  <c r="AU78" i="172"/>
  <c r="AU528" i="172"/>
  <c r="AU575" i="172"/>
  <c r="AU607" i="172"/>
  <c r="AU623" i="172"/>
  <c r="AU639" i="172"/>
  <c r="AU655" i="172"/>
  <c r="AU671" i="172"/>
  <c r="AU687" i="172"/>
  <c r="AU711" i="172"/>
  <c r="AU838" i="172"/>
  <c r="AU200" i="172"/>
  <c r="AU598" i="172"/>
  <c r="AU821" i="172"/>
  <c r="AU613" i="172"/>
  <c r="AU629" i="172"/>
  <c r="AU645" i="172"/>
  <c r="AU661" i="172"/>
  <c r="AU677" i="172"/>
  <c r="AU693" i="172"/>
  <c r="AU819" i="172"/>
  <c r="AU365" i="172"/>
  <c r="AU602" i="172"/>
  <c r="AU817" i="172"/>
  <c r="AU958" i="172"/>
  <c r="AU974" i="172"/>
  <c r="AU990" i="172"/>
  <c r="AU930" i="172"/>
  <c r="AU939" i="172"/>
  <c r="AU959" i="172"/>
  <c r="AU979" i="172"/>
  <c r="AU983" i="172"/>
  <c r="AF68" i="172"/>
  <c r="AG68" i="172"/>
  <c r="AF101" i="172"/>
  <c r="AG101" i="172"/>
  <c r="AE162" i="172"/>
  <c r="AG214" i="172"/>
  <c r="AF214" i="172"/>
  <c r="AF247" i="172"/>
  <c r="AG247" i="172"/>
  <c r="AE78" i="172"/>
  <c r="AF108" i="172"/>
  <c r="AG108" i="172"/>
  <c r="AF148" i="172"/>
  <c r="AG148" i="172"/>
  <c r="AF184" i="172"/>
  <c r="AG184" i="172"/>
  <c r="AF232" i="172"/>
  <c r="AG232" i="172"/>
  <c r="AG37" i="172"/>
  <c r="AF37" i="172"/>
  <c r="AG74" i="172"/>
  <c r="AF74" i="172"/>
  <c r="AG114" i="172"/>
  <c r="AF114" i="172"/>
  <c r="AE194" i="172"/>
  <c r="AF20" i="172"/>
  <c r="AG20" i="172"/>
  <c r="AF104" i="172"/>
  <c r="AG104" i="172"/>
  <c r="AG206" i="172"/>
  <c r="AF206" i="172"/>
  <c r="AF315" i="172"/>
  <c r="AG315" i="172"/>
  <c r="AF347" i="172"/>
  <c r="AG347" i="172"/>
  <c r="AE379" i="172"/>
  <c r="AG411" i="172"/>
  <c r="AF411" i="172"/>
  <c r="AE443" i="172"/>
  <c r="AF479" i="172"/>
  <c r="AG479" i="172"/>
  <c r="AF512" i="172"/>
  <c r="AG512" i="172"/>
  <c r="AE578" i="172"/>
  <c r="AG611" i="172"/>
  <c r="AF611" i="172"/>
  <c r="AG647" i="172"/>
  <c r="AF647" i="172"/>
  <c r="AG679" i="172"/>
  <c r="AF679" i="172"/>
  <c r="AG709" i="172"/>
  <c r="AF709" i="172"/>
  <c r="AF804" i="172"/>
  <c r="AG804" i="172"/>
  <c r="AG83" i="172"/>
  <c r="AF83" i="172"/>
  <c r="AE190" i="172"/>
  <c r="AF264" i="172"/>
  <c r="AG264" i="172"/>
  <c r="AF329" i="172"/>
  <c r="AG329" i="172"/>
  <c r="AE361" i="172"/>
  <c r="AE377" i="172"/>
  <c r="AE393" i="172"/>
  <c r="AF409" i="172"/>
  <c r="AG409" i="172"/>
  <c r="AE425" i="172"/>
  <c r="AE441" i="172"/>
  <c r="AG470" i="172"/>
  <c r="AF470" i="172"/>
  <c r="AF566" i="172"/>
  <c r="AG566" i="172"/>
  <c r="AG607" i="172"/>
  <c r="AF607" i="172"/>
  <c r="AG633" i="172"/>
  <c r="AF633" i="172"/>
  <c r="AG665" i="172"/>
  <c r="AF665" i="172"/>
  <c r="AE688" i="172"/>
  <c r="AG722" i="172"/>
  <c r="AF722" i="172"/>
  <c r="AF745" i="172"/>
  <c r="AG745" i="172"/>
  <c r="AF782" i="172"/>
  <c r="AG782" i="172"/>
  <c r="AF255" i="172"/>
  <c r="AG255" i="172"/>
  <c r="AG448" i="172"/>
  <c r="AF448" i="172"/>
  <c r="AF481" i="172"/>
  <c r="AG481" i="172"/>
  <c r="AF536" i="172"/>
  <c r="AG536" i="172"/>
  <c r="AE568" i="172"/>
  <c r="AE606" i="172"/>
  <c r="AE632" i="172"/>
  <c r="AE664" i="172"/>
  <c r="AG699" i="172"/>
  <c r="AF699" i="172"/>
  <c r="AG731" i="172"/>
  <c r="AF731" i="172"/>
  <c r="AG324" i="172"/>
  <c r="AF324" i="172"/>
  <c r="AF484" i="172"/>
  <c r="AG484" i="172"/>
  <c r="AE582" i="172"/>
  <c r="AG689" i="172"/>
  <c r="AF689" i="172"/>
  <c r="AG775" i="172"/>
  <c r="AF775" i="172"/>
  <c r="AG823" i="172"/>
  <c r="AF823" i="172"/>
  <c r="AG857" i="172"/>
  <c r="AF857" i="172"/>
  <c r="AE662" i="172"/>
  <c r="AF789" i="172"/>
  <c r="AG789" i="172"/>
  <c r="AG825" i="172"/>
  <c r="AF825" i="172"/>
  <c r="AF864" i="172"/>
  <c r="AG864" i="172"/>
  <c r="AF912" i="172"/>
  <c r="AG912" i="172"/>
  <c r="AG770" i="172"/>
  <c r="AF770" i="172"/>
  <c r="AG821" i="172"/>
  <c r="AF821" i="172"/>
  <c r="AE851" i="172"/>
  <c r="AE738" i="172"/>
  <c r="AF879" i="172"/>
  <c r="AG879" i="172"/>
  <c r="AE929" i="172"/>
  <c r="AE945" i="172"/>
  <c r="AE961" i="172"/>
  <c r="AG977" i="172"/>
  <c r="AF977" i="172"/>
  <c r="AE909" i="172"/>
  <c r="AG915" i="172"/>
  <c r="AF915" i="172"/>
  <c r="AF954" i="172"/>
  <c r="AG954" i="172"/>
  <c r="AE997" i="172"/>
  <c r="AB92" i="172"/>
  <c r="AE92" i="172" s="1"/>
  <c r="AB158" i="172"/>
  <c r="AE158" i="172" s="1"/>
  <c r="AB189" i="172"/>
  <c r="AE189" i="172" s="1"/>
  <c r="AB17" i="172"/>
  <c r="AE17" i="172" s="1"/>
  <c r="AB212" i="172"/>
  <c r="AE212" i="172" s="1"/>
  <c r="AB244" i="172"/>
  <c r="AE244" i="172" s="1"/>
  <c r="AB81" i="172"/>
  <c r="AE81" i="172" s="1"/>
  <c r="AB110" i="172"/>
  <c r="AE110" i="172" s="1"/>
  <c r="AB132" i="172"/>
  <c r="AE132" i="172" s="1"/>
  <c r="AB151" i="172"/>
  <c r="AE151" i="172" s="1"/>
  <c r="AB201" i="172"/>
  <c r="AE201" i="172" s="1"/>
  <c r="AB231" i="172"/>
  <c r="AE231" i="172" s="1"/>
  <c r="AB266" i="172"/>
  <c r="AE266" i="172" s="1"/>
  <c r="AB497" i="172"/>
  <c r="AE497" i="172" s="1"/>
  <c r="AB513" i="172"/>
  <c r="AE513" i="172" s="1"/>
  <c r="AB528" i="172"/>
  <c r="AE528" i="172" s="1"/>
  <c r="AB560" i="172"/>
  <c r="AE560" i="172" s="1"/>
  <c r="AB628" i="172"/>
  <c r="AE628" i="172" s="1"/>
  <c r="AB687" i="172"/>
  <c r="AE687" i="172" s="1"/>
  <c r="AB791" i="172"/>
  <c r="AE791" i="172" s="1"/>
  <c r="AB232" i="172"/>
  <c r="AE232" i="172" s="1"/>
  <c r="AB271" i="172"/>
  <c r="AE271" i="172" s="1"/>
  <c r="AB553" i="172"/>
  <c r="AE553" i="172" s="1"/>
  <c r="AB673" i="172"/>
  <c r="AE673" i="172" s="1"/>
  <c r="AB705" i="172"/>
  <c r="AE705" i="172" s="1"/>
  <c r="AB737" i="172"/>
  <c r="AE737" i="172" s="1"/>
  <c r="AB249" i="172"/>
  <c r="AE249" i="172" s="1"/>
  <c r="AB273" i="172"/>
  <c r="AE273" i="172" s="1"/>
  <c r="AB330" i="172"/>
  <c r="AE330" i="172" s="1"/>
  <c r="AB371" i="172"/>
  <c r="AE371" i="172" s="1"/>
  <c r="AB478" i="172"/>
  <c r="AE478" i="172" s="1"/>
  <c r="AB503" i="172"/>
  <c r="AE503" i="172" s="1"/>
  <c r="AB576" i="172"/>
  <c r="AE576" i="172" s="1"/>
  <c r="AB672" i="172"/>
  <c r="AE672" i="172" s="1"/>
  <c r="AB694" i="172"/>
  <c r="AE694" i="172" s="1"/>
  <c r="AB291" i="172"/>
  <c r="AE291" i="172" s="1"/>
  <c r="AB626" i="172"/>
  <c r="AE626" i="172" s="1"/>
  <c r="AB768" i="172"/>
  <c r="AE768" i="172" s="1"/>
  <c r="AB835" i="172"/>
  <c r="AE835" i="172" s="1"/>
  <c r="AB389" i="172"/>
  <c r="AE389" i="172" s="1"/>
  <c r="AB555" i="172"/>
  <c r="AE555" i="172" s="1"/>
  <c r="AB684" i="172"/>
  <c r="AE684" i="172" s="1"/>
  <c r="AB674" i="172"/>
  <c r="AE674" i="172" s="1"/>
  <c r="AB773" i="172"/>
  <c r="AE773" i="172" s="1"/>
  <c r="AB819" i="172"/>
  <c r="AE819" i="172" s="1"/>
  <c r="AB866" i="172"/>
  <c r="AE866" i="172" s="1"/>
  <c r="AB882" i="172"/>
  <c r="AE882" i="172" s="1"/>
  <c r="AB898" i="172"/>
  <c r="AE898" i="172" s="1"/>
  <c r="AB530" i="172"/>
  <c r="AE530" i="172" s="1"/>
  <c r="AB670" i="172"/>
  <c r="AE670" i="172" s="1"/>
  <c r="AB760" i="172"/>
  <c r="AE760" i="172" s="1"/>
  <c r="AB808" i="172"/>
  <c r="AE808" i="172" s="1"/>
  <c r="AB839" i="172"/>
  <c r="AE839" i="172" s="1"/>
  <c r="AB979" i="172"/>
  <c r="AE979" i="172" s="1"/>
  <c r="AB995" i="172"/>
  <c r="AE995" i="172" s="1"/>
  <c r="AB930" i="172"/>
  <c r="AE930" i="172" s="1"/>
  <c r="AB962" i="172"/>
  <c r="AE962" i="172" s="1"/>
  <c r="AB978" i="172"/>
  <c r="AE978" i="172" s="1"/>
  <c r="AB10" i="172"/>
  <c r="AE10" i="172" s="1"/>
  <c r="AU1000" i="172"/>
  <c r="I49" i="172"/>
  <c r="AS6" i="172"/>
  <c r="I46" i="172"/>
  <c r="AT5" i="172"/>
  <c r="I55" i="172"/>
  <c r="AT6" i="172"/>
  <c r="I23" i="172"/>
  <c r="AS5" i="172"/>
  <c r="AU5" i="172" s="1"/>
  <c r="AE1000" i="172"/>
  <c r="I21" i="172"/>
  <c r="AC5" i="172"/>
  <c r="I47" i="172"/>
  <c r="AC6" i="172"/>
  <c r="I22" i="172"/>
  <c r="AD5" i="172"/>
  <c r="I59" i="172"/>
  <c r="AD7" i="172"/>
  <c r="I48" i="172"/>
  <c r="AD6" i="172"/>
  <c r="I56" i="172"/>
  <c r="AC7" i="172"/>
  <c r="AE7" i="172" s="1"/>
  <c r="I123" i="172"/>
  <c r="I109" i="172"/>
  <c r="I99" i="172"/>
  <c r="I105" i="172"/>
  <c r="I121" i="172"/>
  <c r="I108" i="172"/>
  <c r="I67" i="172"/>
  <c r="I77" i="172"/>
  <c r="I70" i="172"/>
  <c r="I78" i="172"/>
  <c r="BA21" i="172" a="1"/>
  <c r="BA21" i="172" s="1"/>
  <c r="B1208" i="171"/>
  <c r="C1208" i="171"/>
  <c r="D1208" i="171"/>
  <c r="E1208" i="171"/>
  <c r="B1209" i="171"/>
  <c r="C1209" i="171"/>
  <c r="D1209" i="171"/>
  <c r="E1209" i="171"/>
  <c r="B1210" i="171"/>
  <c r="C1210" i="171"/>
  <c r="D1210" i="171"/>
  <c r="E1210" i="171"/>
  <c r="B1211" i="171"/>
  <c r="C1211" i="171"/>
  <c r="D1211" i="171"/>
  <c r="E1211" i="171"/>
  <c r="B1212" i="171"/>
  <c r="C1212" i="171"/>
  <c r="D1212" i="171"/>
  <c r="E1212" i="171"/>
  <c r="B1213" i="171"/>
  <c r="C1213" i="171"/>
  <c r="D1213" i="171"/>
  <c r="E1213" i="171"/>
  <c r="B1214" i="171"/>
  <c r="C1214" i="171"/>
  <c r="D1214" i="171"/>
  <c r="E1214" i="171"/>
  <c r="B1215" i="171"/>
  <c r="C1215" i="171"/>
  <c r="D1215" i="171"/>
  <c r="E1215" i="171"/>
  <c r="B1216" i="171"/>
  <c r="C1216" i="171"/>
  <c r="D1216" i="171"/>
  <c r="E1216" i="171"/>
  <c r="B1217" i="171"/>
  <c r="C1217" i="171"/>
  <c r="D1217" i="171"/>
  <c r="E1217" i="171"/>
  <c r="B1218" i="171"/>
  <c r="C1218" i="171"/>
  <c r="D1218" i="171"/>
  <c r="E1218" i="171"/>
  <c r="B1219" i="171"/>
  <c r="C1219" i="171"/>
  <c r="D1219" i="171"/>
  <c r="E1219" i="171"/>
  <c r="B1220" i="171"/>
  <c r="C1220" i="171"/>
  <c r="D1220" i="171"/>
  <c r="E1220" i="171"/>
  <c r="B1221" i="171"/>
  <c r="C1221" i="171"/>
  <c r="D1221" i="171"/>
  <c r="E1221" i="171"/>
  <c r="B1222" i="171"/>
  <c r="C1222" i="171"/>
  <c r="D1222" i="171"/>
  <c r="E1222" i="171"/>
  <c r="B1223" i="171"/>
  <c r="C1223" i="171"/>
  <c r="D1223" i="171"/>
  <c r="E1223" i="171"/>
  <c r="B1224" i="171"/>
  <c r="C1224" i="171"/>
  <c r="D1224" i="171"/>
  <c r="E1224" i="171"/>
  <c r="B1225" i="171"/>
  <c r="C1225" i="171"/>
  <c r="D1225" i="171"/>
  <c r="E1225" i="171"/>
  <c r="B1226" i="171"/>
  <c r="C1226" i="171"/>
  <c r="D1226" i="171"/>
  <c r="E1226" i="171"/>
  <c r="B1227" i="171"/>
  <c r="C1227" i="171"/>
  <c r="D1227" i="171"/>
  <c r="E1227" i="171"/>
  <c r="B1228" i="171"/>
  <c r="C1228" i="171"/>
  <c r="D1228" i="171"/>
  <c r="E1228" i="171"/>
  <c r="B1229" i="171"/>
  <c r="C1229" i="171"/>
  <c r="D1229" i="171"/>
  <c r="E1229" i="171"/>
  <c r="B1230" i="171"/>
  <c r="C1230" i="171"/>
  <c r="D1230" i="171"/>
  <c r="E1230" i="171"/>
  <c r="B1231" i="171"/>
  <c r="C1231" i="171"/>
  <c r="D1231" i="171"/>
  <c r="E1231" i="171"/>
  <c r="B1232" i="171"/>
  <c r="C1232" i="171"/>
  <c r="D1232" i="171"/>
  <c r="E1232" i="171"/>
  <c r="B1233" i="171"/>
  <c r="C1233" i="171"/>
  <c r="D1233" i="171"/>
  <c r="E1233" i="171"/>
  <c r="B1234" i="171"/>
  <c r="C1234" i="171"/>
  <c r="D1234" i="171"/>
  <c r="E1234" i="171"/>
  <c r="B1235" i="171"/>
  <c r="C1235" i="171"/>
  <c r="D1235" i="171"/>
  <c r="E1235" i="171"/>
  <c r="B1236" i="171"/>
  <c r="C1236" i="171"/>
  <c r="D1236" i="171"/>
  <c r="E1236" i="171"/>
  <c r="B1237" i="171"/>
  <c r="C1237" i="171"/>
  <c r="D1237" i="171"/>
  <c r="E1237" i="171"/>
  <c r="B1238" i="171"/>
  <c r="C1238" i="171"/>
  <c r="D1238" i="171"/>
  <c r="E1238" i="171"/>
  <c r="B1239" i="171"/>
  <c r="C1239" i="171"/>
  <c r="D1239" i="171"/>
  <c r="E1239" i="171"/>
  <c r="B1240" i="171"/>
  <c r="C1240" i="171"/>
  <c r="D1240" i="171"/>
  <c r="E1240" i="171"/>
  <c r="B1241" i="171"/>
  <c r="C1241" i="171"/>
  <c r="D1241" i="171"/>
  <c r="E1241" i="171"/>
  <c r="B1242" i="171"/>
  <c r="C1242" i="171"/>
  <c r="D1242" i="171"/>
  <c r="E1242" i="171"/>
  <c r="B1243" i="171"/>
  <c r="C1243" i="171"/>
  <c r="D1243" i="171"/>
  <c r="E1243" i="171"/>
  <c r="B1244" i="171"/>
  <c r="C1244" i="171"/>
  <c r="D1244" i="171"/>
  <c r="E1244" i="171"/>
  <c r="B1245" i="171"/>
  <c r="C1245" i="171"/>
  <c r="D1245" i="171"/>
  <c r="E1245" i="171"/>
  <c r="B1246" i="171"/>
  <c r="C1246" i="171"/>
  <c r="D1246" i="171"/>
  <c r="E1246" i="171"/>
  <c r="B1247" i="171"/>
  <c r="C1247" i="171"/>
  <c r="D1247" i="171"/>
  <c r="E1247" i="171"/>
  <c r="B1248" i="171"/>
  <c r="C1248" i="171"/>
  <c r="D1248" i="171"/>
  <c r="E1248" i="171"/>
  <c r="B1249" i="171"/>
  <c r="C1249" i="171"/>
  <c r="D1249" i="171"/>
  <c r="E1249" i="171"/>
  <c r="B1250" i="171"/>
  <c r="C1250" i="171"/>
  <c r="D1250" i="171"/>
  <c r="E1250" i="171"/>
  <c r="B1251" i="171"/>
  <c r="C1251" i="171"/>
  <c r="D1251" i="171"/>
  <c r="E1251" i="171"/>
  <c r="B1252" i="171"/>
  <c r="C1252" i="171"/>
  <c r="D1252" i="171"/>
  <c r="E1252" i="171"/>
  <c r="B1253" i="171"/>
  <c r="C1253" i="171"/>
  <c r="D1253" i="171"/>
  <c r="E1253" i="171"/>
  <c r="B1254" i="171"/>
  <c r="C1254" i="171"/>
  <c r="D1254" i="171"/>
  <c r="E1254" i="171"/>
  <c r="B1255" i="171"/>
  <c r="C1255" i="171"/>
  <c r="D1255" i="171"/>
  <c r="E1255" i="171"/>
  <c r="B1256" i="171"/>
  <c r="C1256" i="171"/>
  <c r="D1256" i="171"/>
  <c r="E1256" i="171"/>
  <c r="B1257" i="171"/>
  <c r="C1257" i="171"/>
  <c r="D1257" i="171"/>
  <c r="E1257" i="171"/>
  <c r="B1258" i="171"/>
  <c r="C1258" i="171"/>
  <c r="D1258" i="171"/>
  <c r="E1258" i="171"/>
  <c r="B1259" i="171"/>
  <c r="C1259" i="171"/>
  <c r="D1259" i="171"/>
  <c r="E1259" i="171"/>
  <c r="B1260" i="171"/>
  <c r="C1260" i="171"/>
  <c r="D1260" i="171"/>
  <c r="E1260" i="171"/>
  <c r="B1261" i="171"/>
  <c r="C1261" i="171"/>
  <c r="D1261" i="171"/>
  <c r="E1261" i="171"/>
  <c r="B1262" i="171"/>
  <c r="C1262" i="171"/>
  <c r="D1262" i="171"/>
  <c r="E1262" i="171"/>
  <c r="B1263" i="171"/>
  <c r="C1263" i="171"/>
  <c r="D1263" i="171"/>
  <c r="E1263" i="171"/>
  <c r="B1264" i="171"/>
  <c r="C1264" i="171"/>
  <c r="D1264" i="171"/>
  <c r="E1264" i="171"/>
  <c r="B1265" i="171"/>
  <c r="C1265" i="171"/>
  <c r="D1265" i="171"/>
  <c r="E1265" i="171"/>
  <c r="B1266" i="171"/>
  <c r="C1266" i="171"/>
  <c r="D1266" i="171"/>
  <c r="E1266" i="171"/>
  <c r="B1267" i="171"/>
  <c r="C1267" i="171"/>
  <c r="D1267" i="171"/>
  <c r="E1267" i="171"/>
  <c r="B1268" i="171"/>
  <c r="C1268" i="171"/>
  <c r="D1268" i="171"/>
  <c r="E1268" i="171"/>
  <c r="B1269" i="171"/>
  <c r="C1269" i="171"/>
  <c r="D1269" i="171"/>
  <c r="E1269" i="171"/>
  <c r="B1270" i="171"/>
  <c r="C1270" i="171"/>
  <c r="D1270" i="171"/>
  <c r="E1270" i="171"/>
  <c r="B1271" i="171"/>
  <c r="C1271" i="171"/>
  <c r="D1271" i="171"/>
  <c r="E1271" i="171"/>
  <c r="B1272" i="171"/>
  <c r="C1272" i="171"/>
  <c r="D1272" i="171"/>
  <c r="E1272" i="171"/>
  <c r="B1273" i="171"/>
  <c r="C1273" i="171"/>
  <c r="D1273" i="171"/>
  <c r="E1273" i="171"/>
  <c r="B1274" i="171"/>
  <c r="C1274" i="171"/>
  <c r="D1274" i="171"/>
  <c r="E1274" i="171"/>
  <c r="B1275" i="171"/>
  <c r="C1275" i="171"/>
  <c r="D1275" i="171"/>
  <c r="E1275" i="171"/>
  <c r="B1276" i="171"/>
  <c r="C1276" i="171"/>
  <c r="D1276" i="171"/>
  <c r="E1276" i="171"/>
  <c r="B1277" i="171"/>
  <c r="C1277" i="171"/>
  <c r="D1277" i="171"/>
  <c r="E1277" i="171"/>
  <c r="B1278" i="171"/>
  <c r="C1278" i="171"/>
  <c r="D1278" i="171"/>
  <c r="E1278" i="171"/>
  <c r="B1279" i="171"/>
  <c r="C1279" i="171"/>
  <c r="D1279" i="171"/>
  <c r="E1279" i="171"/>
  <c r="B1280" i="171"/>
  <c r="C1280" i="171"/>
  <c r="D1280" i="171"/>
  <c r="E1280" i="171"/>
  <c r="B1281" i="171"/>
  <c r="C1281" i="171"/>
  <c r="D1281" i="171"/>
  <c r="E1281" i="171"/>
  <c r="B1282" i="171"/>
  <c r="C1282" i="171"/>
  <c r="D1282" i="171"/>
  <c r="E1282" i="171"/>
  <c r="B1283" i="171"/>
  <c r="C1283" i="171"/>
  <c r="D1283" i="171"/>
  <c r="E1283" i="171"/>
  <c r="B1284" i="171"/>
  <c r="C1284" i="171"/>
  <c r="D1284" i="171"/>
  <c r="E1284" i="171"/>
  <c r="B1285" i="171"/>
  <c r="C1285" i="171"/>
  <c r="D1285" i="171"/>
  <c r="E1285" i="171"/>
  <c r="B1286" i="171"/>
  <c r="C1286" i="171"/>
  <c r="D1286" i="171"/>
  <c r="E1286" i="171"/>
  <c r="B1287" i="171"/>
  <c r="C1287" i="171"/>
  <c r="D1287" i="171"/>
  <c r="E1287" i="171"/>
  <c r="B1288" i="171"/>
  <c r="C1288" i="171"/>
  <c r="D1288" i="171"/>
  <c r="E1288" i="171"/>
  <c r="B1289" i="171"/>
  <c r="C1289" i="171"/>
  <c r="D1289" i="171"/>
  <c r="E1289" i="171"/>
  <c r="B1290" i="171"/>
  <c r="C1290" i="171"/>
  <c r="D1290" i="171"/>
  <c r="E1290" i="171"/>
  <c r="B1291" i="171"/>
  <c r="C1291" i="171"/>
  <c r="D1291" i="171"/>
  <c r="E1291" i="171"/>
  <c r="B1292" i="171"/>
  <c r="C1292" i="171"/>
  <c r="D1292" i="171"/>
  <c r="E1292" i="171"/>
  <c r="B1293" i="171"/>
  <c r="C1293" i="171"/>
  <c r="D1293" i="171"/>
  <c r="E1293" i="171"/>
  <c r="B1294" i="171"/>
  <c r="C1294" i="171"/>
  <c r="D1294" i="171"/>
  <c r="E1294" i="171"/>
  <c r="B1295" i="171"/>
  <c r="C1295" i="171"/>
  <c r="D1295" i="171"/>
  <c r="E1295" i="171"/>
  <c r="B1296" i="171"/>
  <c r="C1296" i="171"/>
  <c r="D1296" i="171"/>
  <c r="E1296" i="171"/>
  <c r="B1297" i="171"/>
  <c r="C1297" i="171"/>
  <c r="D1297" i="171"/>
  <c r="E1297" i="171"/>
  <c r="B1298" i="171"/>
  <c r="C1298" i="171"/>
  <c r="D1298" i="171"/>
  <c r="E1298" i="171"/>
  <c r="B1299" i="171"/>
  <c r="C1299" i="171"/>
  <c r="D1299" i="171"/>
  <c r="E1299" i="171"/>
  <c r="B1300" i="171"/>
  <c r="C1300" i="171"/>
  <c r="D1300" i="171"/>
  <c r="E1300" i="171"/>
  <c r="B1301" i="171"/>
  <c r="C1301" i="171"/>
  <c r="D1301" i="171"/>
  <c r="E1301" i="171"/>
  <c r="B1302" i="171"/>
  <c r="C1302" i="171"/>
  <c r="D1302" i="171"/>
  <c r="E1302" i="171"/>
  <c r="B1303" i="171"/>
  <c r="C1303" i="171"/>
  <c r="D1303" i="171"/>
  <c r="E1303" i="171"/>
  <c r="B1304" i="171"/>
  <c r="C1304" i="171"/>
  <c r="D1304" i="171"/>
  <c r="E1304" i="171"/>
  <c r="B1305" i="171"/>
  <c r="C1305" i="171"/>
  <c r="D1305" i="171"/>
  <c r="E1305" i="171"/>
  <c r="B1306" i="171"/>
  <c r="C1306" i="171"/>
  <c r="D1306" i="171"/>
  <c r="E1306" i="171"/>
  <c r="B1307" i="171"/>
  <c r="C1307" i="171"/>
  <c r="D1307" i="171"/>
  <c r="E1307" i="171"/>
  <c r="B1308" i="171"/>
  <c r="C1308" i="171"/>
  <c r="D1308" i="171"/>
  <c r="E1308" i="171"/>
  <c r="B1309" i="171"/>
  <c r="C1309" i="171"/>
  <c r="D1309" i="171"/>
  <c r="E1309" i="171"/>
  <c r="B1310" i="171"/>
  <c r="C1310" i="171"/>
  <c r="D1310" i="171"/>
  <c r="E1310" i="171"/>
  <c r="B1311" i="171"/>
  <c r="C1311" i="171"/>
  <c r="D1311" i="171"/>
  <c r="E1311" i="171"/>
  <c r="B1312" i="171"/>
  <c r="C1312" i="171"/>
  <c r="D1312" i="171"/>
  <c r="E1312" i="171"/>
  <c r="B1313" i="171"/>
  <c r="C1313" i="171"/>
  <c r="D1313" i="171"/>
  <c r="E1313" i="171"/>
  <c r="B1314" i="171"/>
  <c r="C1314" i="171"/>
  <c r="D1314" i="171"/>
  <c r="E1314" i="171"/>
  <c r="B1315" i="171"/>
  <c r="C1315" i="171"/>
  <c r="D1315" i="171"/>
  <c r="E1315" i="171"/>
  <c r="B1316" i="171"/>
  <c r="C1316" i="171"/>
  <c r="D1316" i="171"/>
  <c r="E1316" i="171"/>
  <c r="B1317" i="171"/>
  <c r="C1317" i="171"/>
  <c r="D1317" i="171"/>
  <c r="E1317" i="171"/>
  <c r="B1318" i="171"/>
  <c r="C1318" i="171"/>
  <c r="D1318" i="171"/>
  <c r="E1318" i="171"/>
  <c r="B1319" i="171"/>
  <c r="C1319" i="171"/>
  <c r="D1319" i="171"/>
  <c r="E1319" i="171"/>
  <c r="B1320" i="171"/>
  <c r="C1320" i="171"/>
  <c r="D1320" i="171"/>
  <c r="E1320" i="171"/>
  <c r="B1321" i="171"/>
  <c r="C1321" i="171"/>
  <c r="D1321" i="171"/>
  <c r="E1321" i="171"/>
  <c r="B1322" i="171"/>
  <c r="C1322" i="171"/>
  <c r="D1322" i="171"/>
  <c r="E1322" i="171"/>
  <c r="B1323" i="171"/>
  <c r="C1323" i="171"/>
  <c r="D1323" i="171"/>
  <c r="E1323" i="171"/>
  <c r="B1324" i="171"/>
  <c r="C1324" i="171"/>
  <c r="D1324" i="171"/>
  <c r="E1324" i="171"/>
  <c r="B1325" i="171"/>
  <c r="C1325" i="171"/>
  <c r="D1325" i="171"/>
  <c r="E1325" i="171"/>
  <c r="B1326" i="171"/>
  <c r="C1326" i="171"/>
  <c r="D1326" i="171"/>
  <c r="E1326" i="171"/>
  <c r="B1327" i="171"/>
  <c r="C1327" i="171"/>
  <c r="D1327" i="171"/>
  <c r="E1327" i="171"/>
  <c r="B1328" i="171"/>
  <c r="C1328" i="171"/>
  <c r="D1328" i="171"/>
  <c r="E1328" i="171"/>
  <c r="B1329" i="171"/>
  <c r="C1329" i="171"/>
  <c r="D1329" i="171"/>
  <c r="E1329" i="171"/>
  <c r="B1330" i="171"/>
  <c r="C1330" i="171"/>
  <c r="D1330" i="171"/>
  <c r="E1330" i="171"/>
  <c r="B1331" i="171"/>
  <c r="C1331" i="171"/>
  <c r="D1331" i="171"/>
  <c r="E1331" i="171"/>
  <c r="B1332" i="171"/>
  <c r="C1332" i="171"/>
  <c r="D1332" i="171"/>
  <c r="E1332" i="171"/>
  <c r="B1333" i="171"/>
  <c r="C1333" i="171"/>
  <c r="D1333" i="171"/>
  <c r="E1333" i="171"/>
  <c r="B1334" i="171"/>
  <c r="C1334" i="171"/>
  <c r="D1334" i="171"/>
  <c r="E1334" i="171"/>
  <c r="B1335" i="171"/>
  <c r="C1335" i="171"/>
  <c r="D1335" i="171"/>
  <c r="E1335" i="171"/>
  <c r="B1336" i="171"/>
  <c r="C1336" i="171"/>
  <c r="D1336" i="171"/>
  <c r="E1336" i="171"/>
  <c r="B1337" i="171"/>
  <c r="C1337" i="171"/>
  <c r="D1337" i="171"/>
  <c r="E1337" i="171"/>
  <c r="B1338" i="171"/>
  <c r="C1338" i="171"/>
  <c r="D1338" i="171"/>
  <c r="E1338" i="171"/>
  <c r="B1339" i="171"/>
  <c r="C1339" i="171"/>
  <c r="D1339" i="171"/>
  <c r="E1339" i="171"/>
  <c r="B1340" i="171"/>
  <c r="C1340" i="171"/>
  <c r="D1340" i="171"/>
  <c r="E1340" i="171"/>
  <c r="B1341" i="171"/>
  <c r="C1341" i="171"/>
  <c r="D1341" i="171"/>
  <c r="E1341" i="171"/>
  <c r="B1342" i="171"/>
  <c r="C1342" i="171"/>
  <c r="D1342" i="171"/>
  <c r="E1342" i="171"/>
  <c r="B1343" i="171"/>
  <c r="C1343" i="171"/>
  <c r="D1343" i="171"/>
  <c r="E1343" i="171"/>
  <c r="B1344" i="171"/>
  <c r="C1344" i="171"/>
  <c r="D1344" i="171"/>
  <c r="E1344" i="171"/>
  <c r="B1345" i="171"/>
  <c r="C1345" i="171"/>
  <c r="D1345" i="171"/>
  <c r="E1345" i="171"/>
  <c r="B1346" i="171"/>
  <c r="C1346" i="171"/>
  <c r="D1346" i="171"/>
  <c r="E1346" i="171"/>
  <c r="B1347" i="171"/>
  <c r="C1347" i="171"/>
  <c r="D1347" i="171"/>
  <c r="E1347" i="171"/>
  <c r="B1348" i="171"/>
  <c r="C1348" i="171"/>
  <c r="D1348" i="171"/>
  <c r="E1348" i="171"/>
  <c r="B1349" i="171"/>
  <c r="C1349" i="171"/>
  <c r="D1349" i="171"/>
  <c r="E1349" i="171"/>
  <c r="B1350" i="171"/>
  <c r="C1350" i="171"/>
  <c r="D1350" i="171"/>
  <c r="E1350" i="171"/>
  <c r="B1351" i="171"/>
  <c r="C1351" i="171"/>
  <c r="D1351" i="171"/>
  <c r="E1351" i="171"/>
  <c r="B1352" i="171"/>
  <c r="C1352" i="171"/>
  <c r="D1352" i="171"/>
  <c r="E1352" i="171"/>
  <c r="B1353" i="171"/>
  <c r="C1353" i="171"/>
  <c r="D1353" i="171"/>
  <c r="E1353" i="171"/>
  <c r="B1354" i="171"/>
  <c r="C1354" i="171"/>
  <c r="D1354" i="171"/>
  <c r="E1354" i="171"/>
  <c r="B1355" i="171"/>
  <c r="C1355" i="171"/>
  <c r="D1355" i="171"/>
  <c r="E1355" i="171"/>
  <c r="B1356" i="171"/>
  <c r="C1356" i="171"/>
  <c r="D1356" i="171"/>
  <c r="E1356" i="171"/>
  <c r="B1357" i="171"/>
  <c r="C1357" i="171"/>
  <c r="D1357" i="171"/>
  <c r="E1357" i="171"/>
  <c r="B1358" i="171"/>
  <c r="C1358" i="171"/>
  <c r="D1358" i="171"/>
  <c r="E1358" i="171"/>
  <c r="B1359" i="171"/>
  <c r="C1359" i="171"/>
  <c r="D1359" i="171"/>
  <c r="E1359" i="171"/>
  <c r="B1360" i="171"/>
  <c r="C1360" i="171"/>
  <c r="D1360" i="171"/>
  <c r="E1360" i="171"/>
  <c r="B1361" i="171"/>
  <c r="C1361" i="171"/>
  <c r="D1361" i="171"/>
  <c r="E1361" i="171"/>
  <c r="B1362" i="171"/>
  <c r="C1362" i="171"/>
  <c r="D1362" i="171"/>
  <c r="E1362" i="171"/>
  <c r="B1363" i="171"/>
  <c r="C1363" i="171"/>
  <c r="D1363" i="171"/>
  <c r="E1363" i="171"/>
  <c r="B1364" i="171"/>
  <c r="C1364" i="171"/>
  <c r="D1364" i="171"/>
  <c r="E1364" i="171"/>
  <c r="B1365" i="171"/>
  <c r="C1365" i="171"/>
  <c r="D1365" i="171"/>
  <c r="E1365" i="171"/>
  <c r="B1366" i="171"/>
  <c r="C1366" i="171"/>
  <c r="D1366" i="171"/>
  <c r="E1366" i="171"/>
  <c r="B1367" i="171"/>
  <c r="C1367" i="171"/>
  <c r="D1367" i="171"/>
  <c r="E1367" i="171"/>
  <c r="B1368" i="171"/>
  <c r="C1368" i="171"/>
  <c r="D1368" i="171"/>
  <c r="E1368" i="171"/>
  <c r="B1369" i="171"/>
  <c r="C1369" i="171"/>
  <c r="D1369" i="171"/>
  <c r="E1369" i="171"/>
  <c r="B1370" i="171"/>
  <c r="C1370" i="171"/>
  <c r="D1370" i="171"/>
  <c r="E1370" i="171"/>
  <c r="B1371" i="171"/>
  <c r="C1371" i="171"/>
  <c r="D1371" i="171"/>
  <c r="E1371" i="171"/>
  <c r="B1372" i="171"/>
  <c r="C1372" i="171"/>
  <c r="D1372" i="171"/>
  <c r="E1372" i="171"/>
  <c r="B1373" i="171"/>
  <c r="C1373" i="171"/>
  <c r="D1373" i="171"/>
  <c r="E1373" i="171"/>
  <c r="B1374" i="171"/>
  <c r="C1374" i="171"/>
  <c r="D1374" i="171"/>
  <c r="E1374" i="171"/>
  <c r="B1375" i="171"/>
  <c r="C1375" i="171"/>
  <c r="D1375" i="171"/>
  <c r="E1375" i="171"/>
  <c r="B1376" i="171"/>
  <c r="C1376" i="171"/>
  <c r="D1376" i="171"/>
  <c r="E1376" i="171"/>
  <c r="B1377" i="171"/>
  <c r="C1377" i="171"/>
  <c r="D1377" i="171"/>
  <c r="E1377" i="171"/>
  <c r="B1378" i="171"/>
  <c r="C1378" i="171"/>
  <c r="D1378" i="171"/>
  <c r="E1378" i="171"/>
  <c r="B1379" i="171"/>
  <c r="C1379" i="171"/>
  <c r="D1379" i="171"/>
  <c r="E1379" i="171"/>
  <c r="B1380" i="171"/>
  <c r="C1380" i="171"/>
  <c r="D1380" i="171"/>
  <c r="E1380" i="171"/>
  <c r="B1381" i="171"/>
  <c r="C1381" i="171"/>
  <c r="D1381" i="171"/>
  <c r="E1381" i="171"/>
  <c r="B1382" i="171"/>
  <c r="C1382" i="171"/>
  <c r="D1382" i="171"/>
  <c r="E1382" i="171"/>
  <c r="B1383" i="171"/>
  <c r="C1383" i="171"/>
  <c r="D1383" i="171"/>
  <c r="E1383" i="171"/>
  <c r="B1384" i="171"/>
  <c r="C1384" i="171"/>
  <c r="D1384" i="171"/>
  <c r="E1384" i="171"/>
  <c r="B1385" i="171"/>
  <c r="C1385" i="171"/>
  <c r="D1385" i="171"/>
  <c r="E1385" i="171"/>
  <c r="B1386" i="171"/>
  <c r="C1386" i="171"/>
  <c r="D1386" i="171"/>
  <c r="E1386" i="171"/>
  <c r="B1387" i="171"/>
  <c r="C1387" i="171"/>
  <c r="D1387" i="171"/>
  <c r="E1387" i="171"/>
  <c r="B1388" i="171"/>
  <c r="C1388" i="171"/>
  <c r="D1388" i="171"/>
  <c r="E1388" i="171"/>
  <c r="B1389" i="171"/>
  <c r="C1389" i="171"/>
  <c r="D1389" i="171"/>
  <c r="E1389" i="171"/>
  <c r="B1390" i="171"/>
  <c r="C1390" i="171"/>
  <c r="D1390" i="171"/>
  <c r="E1390" i="171"/>
  <c r="B1391" i="171"/>
  <c r="C1391" i="171"/>
  <c r="D1391" i="171"/>
  <c r="E1391" i="171"/>
  <c r="B1392" i="171"/>
  <c r="C1392" i="171"/>
  <c r="D1392" i="171"/>
  <c r="E1392" i="171"/>
  <c r="B1393" i="171"/>
  <c r="C1393" i="171"/>
  <c r="D1393" i="171"/>
  <c r="E1393" i="171"/>
  <c r="B1394" i="171"/>
  <c r="C1394" i="171"/>
  <c r="D1394" i="171"/>
  <c r="E1394" i="171"/>
  <c r="B1395" i="171"/>
  <c r="C1395" i="171"/>
  <c r="D1395" i="171"/>
  <c r="E1395" i="171"/>
  <c r="B1396" i="171"/>
  <c r="C1396" i="171"/>
  <c r="D1396" i="171"/>
  <c r="E1396" i="171"/>
  <c r="B1397" i="171"/>
  <c r="C1397" i="171"/>
  <c r="D1397" i="171"/>
  <c r="E1397" i="171"/>
  <c r="B1398" i="171"/>
  <c r="C1398" i="171"/>
  <c r="D1398" i="171"/>
  <c r="E1398" i="171"/>
  <c r="B1399" i="171"/>
  <c r="C1399" i="171"/>
  <c r="D1399" i="171"/>
  <c r="E1399" i="171"/>
  <c r="B1400" i="171"/>
  <c r="C1400" i="171"/>
  <c r="D1400" i="171"/>
  <c r="E1400" i="171"/>
  <c r="B1401" i="171"/>
  <c r="C1401" i="171"/>
  <c r="D1401" i="171"/>
  <c r="E1401" i="171"/>
  <c r="B1402" i="171"/>
  <c r="C1402" i="171"/>
  <c r="D1402" i="171"/>
  <c r="E1402" i="171"/>
  <c r="B1403" i="171"/>
  <c r="C1403" i="171"/>
  <c r="D1403" i="171"/>
  <c r="E1403" i="171"/>
  <c r="B1404" i="171"/>
  <c r="C1404" i="171"/>
  <c r="D1404" i="171"/>
  <c r="E1404" i="171"/>
  <c r="B1405" i="171"/>
  <c r="C1405" i="171"/>
  <c r="D1405" i="171"/>
  <c r="E1405" i="171"/>
  <c r="B1406" i="171"/>
  <c r="C1406" i="171"/>
  <c r="D1406" i="171"/>
  <c r="E1406" i="171"/>
  <c r="B1407" i="171"/>
  <c r="C1407" i="171"/>
  <c r="D1407" i="171"/>
  <c r="E1407" i="171"/>
  <c r="B1408" i="171"/>
  <c r="C1408" i="171"/>
  <c r="D1408" i="171"/>
  <c r="E1408" i="171"/>
  <c r="B1409" i="171"/>
  <c r="C1409" i="171"/>
  <c r="D1409" i="171"/>
  <c r="E1409" i="171"/>
  <c r="B1410" i="171"/>
  <c r="C1410" i="171"/>
  <c r="D1410" i="171"/>
  <c r="E1410" i="171"/>
  <c r="B1411" i="171"/>
  <c r="C1411" i="171"/>
  <c r="D1411" i="171"/>
  <c r="E1411" i="171"/>
  <c r="B1412" i="171"/>
  <c r="C1412" i="171"/>
  <c r="D1412" i="171"/>
  <c r="E1412" i="171"/>
  <c r="B1413" i="171"/>
  <c r="C1413" i="171"/>
  <c r="D1413" i="171"/>
  <c r="E1413" i="171"/>
  <c r="B1414" i="171"/>
  <c r="C1414" i="171"/>
  <c r="D1414" i="171"/>
  <c r="E1414" i="171"/>
  <c r="B1415" i="171"/>
  <c r="C1415" i="171"/>
  <c r="D1415" i="171"/>
  <c r="E1415" i="171"/>
  <c r="B1416" i="171"/>
  <c r="C1416" i="171"/>
  <c r="D1416" i="171"/>
  <c r="E1416" i="171"/>
  <c r="B1417" i="171"/>
  <c r="C1417" i="171"/>
  <c r="D1417" i="171"/>
  <c r="E1417" i="171"/>
  <c r="B1418" i="171"/>
  <c r="C1418" i="171"/>
  <c r="D1418" i="171"/>
  <c r="E1418" i="171"/>
  <c r="B1419" i="171"/>
  <c r="C1419" i="171"/>
  <c r="D1419" i="171"/>
  <c r="E1419" i="171"/>
  <c r="B1420" i="171"/>
  <c r="C1420" i="171"/>
  <c r="D1420" i="171"/>
  <c r="E1420" i="171"/>
  <c r="B1421" i="171"/>
  <c r="C1421" i="171"/>
  <c r="D1421" i="171"/>
  <c r="E1421" i="171"/>
  <c r="B1422" i="171"/>
  <c r="C1422" i="171"/>
  <c r="D1422" i="171"/>
  <c r="E1422" i="171"/>
  <c r="B1423" i="171"/>
  <c r="C1423" i="171"/>
  <c r="D1423" i="171"/>
  <c r="E1423" i="171"/>
  <c r="B1424" i="171"/>
  <c r="C1424" i="171"/>
  <c r="D1424" i="171"/>
  <c r="E1424" i="171"/>
  <c r="B1425" i="171"/>
  <c r="C1425" i="171"/>
  <c r="D1425" i="171"/>
  <c r="E1425" i="171"/>
  <c r="B1426" i="171"/>
  <c r="C1426" i="171"/>
  <c r="D1426" i="171"/>
  <c r="E1426" i="171"/>
  <c r="B1427" i="171"/>
  <c r="C1427" i="171"/>
  <c r="D1427" i="171"/>
  <c r="E1427" i="171"/>
  <c r="B1428" i="171"/>
  <c r="C1428" i="171"/>
  <c r="D1428" i="171"/>
  <c r="E1428" i="171"/>
  <c r="B1429" i="171"/>
  <c r="C1429" i="171"/>
  <c r="D1429" i="171"/>
  <c r="E1429" i="171"/>
  <c r="B1430" i="171"/>
  <c r="C1430" i="171"/>
  <c r="D1430" i="171"/>
  <c r="E1430" i="171"/>
  <c r="B1431" i="171"/>
  <c r="C1431" i="171"/>
  <c r="D1431" i="171"/>
  <c r="E1431" i="171"/>
  <c r="B1432" i="171"/>
  <c r="C1432" i="171"/>
  <c r="D1432" i="171"/>
  <c r="E1432" i="171"/>
  <c r="B1433" i="171"/>
  <c r="C1433" i="171"/>
  <c r="D1433" i="171"/>
  <c r="E1433" i="171"/>
  <c r="B1434" i="171"/>
  <c r="C1434" i="171"/>
  <c r="D1434" i="171"/>
  <c r="E1434" i="171"/>
  <c r="B1435" i="171"/>
  <c r="C1435" i="171"/>
  <c r="D1435" i="171"/>
  <c r="E1435" i="171"/>
  <c r="B1436" i="171"/>
  <c r="C1436" i="171"/>
  <c r="D1436" i="171"/>
  <c r="E1436" i="171"/>
  <c r="B1437" i="171"/>
  <c r="C1437" i="171"/>
  <c r="D1437" i="171"/>
  <c r="E1437" i="171"/>
  <c r="B1438" i="171"/>
  <c r="C1438" i="171"/>
  <c r="D1438" i="171"/>
  <c r="E1438" i="171"/>
  <c r="B1439" i="171"/>
  <c r="C1439" i="171"/>
  <c r="D1439" i="171"/>
  <c r="E1439" i="171"/>
  <c r="B1440" i="171"/>
  <c r="C1440" i="171"/>
  <c r="D1440" i="171"/>
  <c r="E1440" i="171"/>
  <c r="B1441" i="171"/>
  <c r="C1441" i="171"/>
  <c r="D1441" i="171"/>
  <c r="E1441" i="171"/>
  <c r="B1442" i="171"/>
  <c r="C1442" i="171"/>
  <c r="D1442" i="171"/>
  <c r="E1442" i="171"/>
  <c r="B1443" i="171"/>
  <c r="C1443" i="171"/>
  <c r="D1443" i="171"/>
  <c r="E1443" i="171"/>
  <c r="B1444" i="171"/>
  <c r="C1444" i="171"/>
  <c r="D1444" i="171"/>
  <c r="E1444" i="171"/>
  <c r="B1445" i="171"/>
  <c r="C1445" i="171"/>
  <c r="D1445" i="171"/>
  <c r="E1445" i="171"/>
  <c r="B1446" i="171"/>
  <c r="C1446" i="171"/>
  <c r="D1446" i="171"/>
  <c r="E1446" i="171"/>
  <c r="B1447" i="171"/>
  <c r="C1447" i="171"/>
  <c r="D1447" i="171"/>
  <c r="E1447" i="171"/>
  <c r="B1448" i="171"/>
  <c r="C1448" i="171"/>
  <c r="D1448" i="171"/>
  <c r="E1448" i="171"/>
  <c r="B1449" i="171"/>
  <c r="C1449" i="171"/>
  <c r="D1449" i="171"/>
  <c r="E1449" i="171"/>
  <c r="B1450" i="171"/>
  <c r="C1450" i="171"/>
  <c r="D1450" i="171"/>
  <c r="E1450" i="171"/>
  <c r="B1451" i="171"/>
  <c r="C1451" i="171"/>
  <c r="D1451" i="171"/>
  <c r="E1451" i="171"/>
  <c r="B1452" i="171"/>
  <c r="C1452" i="171"/>
  <c r="D1452" i="171"/>
  <c r="E1452" i="171"/>
  <c r="B1453" i="171"/>
  <c r="C1453" i="171"/>
  <c r="D1453" i="171"/>
  <c r="E1453" i="171"/>
  <c r="B1454" i="171"/>
  <c r="C1454" i="171"/>
  <c r="D1454" i="171"/>
  <c r="E1454" i="171"/>
  <c r="B1455" i="171"/>
  <c r="C1455" i="171"/>
  <c r="D1455" i="171"/>
  <c r="E1455" i="171"/>
  <c r="B1456" i="171"/>
  <c r="C1456" i="171"/>
  <c r="D1456" i="171"/>
  <c r="E1456" i="171"/>
  <c r="B1457" i="171"/>
  <c r="C1457" i="171"/>
  <c r="D1457" i="171"/>
  <c r="E1457" i="171"/>
  <c r="B1458" i="171"/>
  <c r="C1458" i="171"/>
  <c r="D1458" i="171"/>
  <c r="E1458" i="171"/>
  <c r="B1459" i="171"/>
  <c r="C1459" i="171"/>
  <c r="D1459" i="171"/>
  <c r="E1459" i="171"/>
  <c r="B1460" i="171"/>
  <c r="C1460" i="171"/>
  <c r="D1460" i="171"/>
  <c r="E1460" i="171"/>
  <c r="B1461" i="171"/>
  <c r="C1461" i="171"/>
  <c r="D1461" i="171"/>
  <c r="E1461" i="171"/>
  <c r="B1462" i="171"/>
  <c r="C1462" i="171"/>
  <c r="D1462" i="171"/>
  <c r="E1462" i="171"/>
  <c r="B1463" i="171"/>
  <c r="C1463" i="171"/>
  <c r="D1463" i="171"/>
  <c r="E1463" i="171"/>
  <c r="B1464" i="171"/>
  <c r="C1464" i="171"/>
  <c r="D1464" i="171"/>
  <c r="E1464" i="171"/>
  <c r="B1465" i="171"/>
  <c r="C1465" i="171"/>
  <c r="D1465" i="171"/>
  <c r="E1465" i="171"/>
  <c r="B1466" i="171"/>
  <c r="C1466" i="171"/>
  <c r="D1466" i="171"/>
  <c r="E1466" i="171"/>
  <c r="B1467" i="171"/>
  <c r="C1467" i="171"/>
  <c r="D1467" i="171"/>
  <c r="E1467" i="171"/>
  <c r="B1468" i="171"/>
  <c r="C1468" i="171"/>
  <c r="D1468" i="171"/>
  <c r="E1468" i="171"/>
  <c r="B1469" i="171"/>
  <c r="C1469" i="171"/>
  <c r="D1469" i="171"/>
  <c r="E1469" i="171"/>
  <c r="B1470" i="171"/>
  <c r="C1470" i="171"/>
  <c r="D1470" i="171"/>
  <c r="E1470" i="171"/>
  <c r="B1471" i="171"/>
  <c r="C1471" i="171"/>
  <c r="D1471" i="171"/>
  <c r="E1471" i="171"/>
  <c r="B1472" i="171"/>
  <c r="C1472" i="171"/>
  <c r="D1472" i="171"/>
  <c r="E1472" i="171"/>
  <c r="B1473" i="171"/>
  <c r="C1473" i="171"/>
  <c r="D1473" i="171"/>
  <c r="E1473" i="171"/>
  <c r="B1474" i="171"/>
  <c r="C1474" i="171"/>
  <c r="D1474" i="171"/>
  <c r="E1474" i="171"/>
  <c r="B1475" i="171"/>
  <c r="C1475" i="171"/>
  <c r="D1475" i="171"/>
  <c r="E1475" i="171"/>
  <c r="B1476" i="171"/>
  <c r="C1476" i="171"/>
  <c r="D1476" i="171"/>
  <c r="E1476" i="171"/>
  <c r="B1477" i="171"/>
  <c r="C1477" i="171"/>
  <c r="D1477" i="171"/>
  <c r="E1477" i="171"/>
  <c r="B1478" i="171"/>
  <c r="C1478" i="171"/>
  <c r="D1478" i="171"/>
  <c r="E1478" i="171"/>
  <c r="B1479" i="171"/>
  <c r="C1479" i="171"/>
  <c r="D1479" i="171"/>
  <c r="E1479" i="171"/>
  <c r="B1480" i="171"/>
  <c r="C1480" i="171"/>
  <c r="D1480" i="171"/>
  <c r="E1480" i="171"/>
  <c r="B1481" i="171"/>
  <c r="C1481" i="171"/>
  <c r="D1481" i="171"/>
  <c r="E1481" i="171"/>
  <c r="B1482" i="171"/>
  <c r="C1482" i="171"/>
  <c r="D1482" i="171"/>
  <c r="E1482" i="171"/>
  <c r="B1483" i="171"/>
  <c r="C1483" i="171"/>
  <c r="D1483" i="171"/>
  <c r="E1483" i="171"/>
  <c r="B1484" i="171"/>
  <c r="C1484" i="171"/>
  <c r="D1484" i="171"/>
  <c r="E1484" i="171"/>
  <c r="B1485" i="171"/>
  <c r="C1485" i="171"/>
  <c r="D1485" i="171"/>
  <c r="E1485" i="171"/>
  <c r="B1486" i="171"/>
  <c r="C1486" i="171"/>
  <c r="D1486" i="171"/>
  <c r="E1486" i="171"/>
  <c r="B1487" i="171"/>
  <c r="C1487" i="171"/>
  <c r="D1487" i="171"/>
  <c r="E1487" i="171"/>
  <c r="B1488" i="171"/>
  <c r="C1488" i="171"/>
  <c r="D1488" i="171"/>
  <c r="E1488" i="171"/>
  <c r="B1489" i="171"/>
  <c r="C1489" i="171"/>
  <c r="D1489" i="171"/>
  <c r="E1489" i="171"/>
  <c r="B1490" i="171"/>
  <c r="C1490" i="171"/>
  <c r="D1490" i="171"/>
  <c r="E1490" i="171"/>
  <c r="B1491" i="171"/>
  <c r="C1491" i="171"/>
  <c r="D1491" i="171"/>
  <c r="E1491" i="171"/>
  <c r="B1492" i="171"/>
  <c r="C1492" i="171"/>
  <c r="D1492" i="171"/>
  <c r="E1492" i="171"/>
  <c r="B1493" i="171"/>
  <c r="C1493" i="171"/>
  <c r="D1493" i="171"/>
  <c r="E1493" i="171"/>
  <c r="B1494" i="171"/>
  <c r="C1494" i="171"/>
  <c r="D1494" i="171"/>
  <c r="E1494" i="171"/>
  <c r="B1495" i="171"/>
  <c r="C1495" i="171"/>
  <c r="D1495" i="171"/>
  <c r="E1495" i="171"/>
  <c r="B1496" i="171"/>
  <c r="C1496" i="171"/>
  <c r="D1496" i="171"/>
  <c r="E1496" i="171"/>
  <c r="B1497" i="171"/>
  <c r="C1497" i="171"/>
  <c r="D1497" i="171"/>
  <c r="E1497" i="171"/>
  <c r="B1498" i="171"/>
  <c r="C1498" i="171"/>
  <c r="D1498" i="171"/>
  <c r="E1498" i="171"/>
  <c r="B1499" i="171"/>
  <c r="C1499" i="171"/>
  <c r="D1499" i="171"/>
  <c r="E1499" i="171"/>
  <c r="B1500" i="171"/>
  <c r="C1500" i="171"/>
  <c r="D1500" i="171"/>
  <c r="E1500" i="171"/>
  <c r="B1501" i="171"/>
  <c r="C1501" i="171"/>
  <c r="D1501" i="171"/>
  <c r="E1501" i="171"/>
  <c r="B1502" i="171"/>
  <c r="C1502" i="171"/>
  <c r="D1502" i="171"/>
  <c r="E1502" i="171"/>
  <c r="B1503" i="171"/>
  <c r="C1503" i="171"/>
  <c r="D1503" i="171"/>
  <c r="E1503" i="171"/>
  <c r="B1504" i="171"/>
  <c r="C1504" i="171"/>
  <c r="D1504" i="171"/>
  <c r="E1504" i="171"/>
  <c r="B1505" i="171"/>
  <c r="C1505" i="171"/>
  <c r="D1505" i="171"/>
  <c r="E1505" i="171"/>
  <c r="B1506" i="171"/>
  <c r="C1506" i="171"/>
  <c r="D1506" i="171"/>
  <c r="E1506" i="171"/>
  <c r="B1507" i="171"/>
  <c r="C1507" i="171"/>
  <c r="D1507" i="171"/>
  <c r="E1507" i="171"/>
  <c r="B1508" i="171"/>
  <c r="C1508" i="171"/>
  <c r="D1508" i="171"/>
  <c r="E1508" i="171"/>
  <c r="B1509" i="171"/>
  <c r="C1509" i="171"/>
  <c r="D1509" i="171"/>
  <c r="E1509" i="171"/>
  <c r="B1510" i="171"/>
  <c r="C1510" i="171"/>
  <c r="D1510" i="171"/>
  <c r="E1510" i="171"/>
  <c r="B1511" i="171"/>
  <c r="C1511" i="171"/>
  <c r="D1511" i="171"/>
  <c r="E1511" i="171"/>
  <c r="B1512" i="171"/>
  <c r="C1512" i="171"/>
  <c r="D1512" i="171"/>
  <c r="E1512" i="171"/>
  <c r="B1513" i="171"/>
  <c r="C1513" i="171"/>
  <c r="D1513" i="171"/>
  <c r="E1513" i="171"/>
  <c r="B1514" i="171"/>
  <c r="C1514" i="171"/>
  <c r="D1514" i="171"/>
  <c r="E1514" i="171"/>
  <c r="B1515" i="171"/>
  <c r="C1515" i="171"/>
  <c r="D1515" i="171"/>
  <c r="E1515" i="171"/>
  <c r="B1516" i="171"/>
  <c r="C1516" i="171"/>
  <c r="D1516" i="171"/>
  <c r="E1516" i="171"/>
  <c r="B1517" i="171"/>
  <c r="C1517" i="171"/>
  <c r="D1517" i="171"/>
  <c r="E1517" i="171"/>
  <c r="B1518" i="171"/>
  <c r="C1518" i="171"/>
  <c r="D1518" i="171"/>
  <c r="E1518" i="171"/>
  <c r="B1519" i="171"/>
  <c r="C1519" i="171"/>
  <c r="D1519" i="171"/>
  <c r="E1519" i="171"/>
  <c r="B1520" i="171"/>
  <c r="C1520" i="171"/>
  <c r="D1520" i="171"/>
  <c r="E1520" i="171"/>
  <c r="B1521" i="171"/>
  <c r="C1521" i="171"/>
  <c r="D1521" i="171"/>
  <c r="E1521" i="171"/>
  <c r="B1522" i="171"/>
  <c r="C1522" i="171"/>
  <c r="D1522" i="171"/>
  <c r="E1522" i="171"/>
  <c r="B1523" i="171"/>
  <c r="C1523" i="171"/>
  <c r="D1523" i="171"/>
  <c r="E1523" i="171"/>
  <c r="B1524" i="171"/>
  <c r="C1524" i="171"/>
  <c r="D1524" i="171"/>
  <c r="E1524" i="171"/>
  <c r="B1525" i="171"/>
  <c r="C1525" i="171"/>
  <c r="D1525" i="171"/>
  <c r="E1525" i="171"/>
  <c r="B1526" i="171"/>
  <c r="C1526" i="171"/>
  <c r="D1526" i="171"/>
  <c r="E1526" i="171"/>
  <c r="B1527" i="171"/>
  <c r="C1527" i="171"/>
  <c r="D1527" i="171"/>
  <c r="E1527" i="171"/>
  <c r="B1528" i="171"/>
  <c r="C1528" i="171"/>
  <c r="D1528" i="171"/>
  <c r="E1528" i="171"/>
  <c r="B1529" i="171"/>
  <c r="C1529" i="171"/>
  <c r="D1529" i="171"/>
  <c r="E1529" i="171"/>
  <c r="B1530" i="171"/>
  <c r="C1530" i="171"/>
  <c r="D1530" i="171"/>
  <c r="E1530" i="171"/>
  <c r="B1531" i="171"/>
  <c r="C1531" i="171"/>
  <c r="D1531" i="171"/>
  <c r="E1531" i="171"/>
  <c r="B1532" i="171"/>
  <c r="C1532" i="171"/>
  <c r="D1532" i="171"/>
  <c r="E1532" i="171"/>
  <c r="B1533" i="171"/>
  <c r="C1533" i="171"/>
  <c r="D1533" i="171"/>
  <c r="E1533" i="171"/>
  <c r="B1534" i="171"/>
  <c r="C1534" i="171"/>
  <c r="D1534" i="171"/>
  <c r="E1534" i="171"/>
  <c r="B1535" i="171"/>
  <c r="C1535" i="171"/>
  <c r="D1535" i="171"/>
  <c r="E1535" i="171"/>
  <c r="B1536" i="171"/>
  <c r="C1536" i="171"/>
  <c r="D1536" i="171"/>
  <c r="E1536" i="171"/>
  <c r="B1537" i="171"/>
  <c r="C1537" i="171"/>
  <c r="D1537" i="171"/>
  <c r="E1537" i="171"/>
  <c r="B1538" i="171"/>
  <c r="C1538" i="171"/>
  <c r="D1538" i="171"/>
  <c r="E1538" i="171"/>
  <c r="B1539" i="171"/>
  <c r="C1539" i="171"/>
  <c r="D1539" i="171"/>
  <c r="E1539" i="171"/>
  <c r="B1540" i="171"/>
  <c r="C1540" i="171"/>
  <c r="D1540" i="171"/>
  <c r="E1540" i="171"/>
  <c r="B1541" i="171"/>
  <c r="C1541" i="171"/>
  <c r="D1541" i="171"/>
  <c r="E1541" i="171"/>
  <c r="B1542" i="171"/>
  <c r="C1542" i="171"/>
  <c r="D1542" i="171"/>
  <c r="E1542" i="171"/>
  <c r="B1543" i="171"/>
  <c r="C1543" i="171"/>
  <c r="D1543" i="171"/>
  <c r="E1543" i="171"/>
  <c r="B1544" i="171"/>
  <c r="C1544" i="171"/>
  <c r="D1544" i="171"/>
  <c r="E1544" i="171"/>
  <c r="B1545" i="171"/>
  <c r="C1545" i="171"/>
  <c r="D1545" i="171"/>
  <c r="E1545" i="171"/>
  <c r="B1546" i="171"/>
  <c r="C1546" i="171"/>
  <c r="D1546" i="171"/>
  <c r="E1546" i="171"/>
  <c r="B1547" i="171"/>
  <c r="C1547" i="171"/>
  <c r="D1547" i="171"/>
  <c r="E1547" i="171"/>
  <c r="B1548" i="171"/>
  <c r="C1548" i="171"/>
  <c r="D1548" i="171"/>
  <c r="E1548" i="171"/>
  <c r="B1549" i="171"/>
  <c r="C1549" i="171"/>
  <c r="D1549" i="171"/>
  <c r="E1549" i="171"/>
  <c r="B1550" i="171"/>
  <c r="C1550" i="171"/>
  <c r="D1550" i="171"/>
  <c r="E1550" i="171"/>
  <c r="B1551" i="171"/>
  <c r="C1551" i="171"/>
  <c r="D1551" i="171"/>
  <c r="E1551" i="171"/>
  <c r="B1552" i="171"/>
  <c r="C1552" i="171"/>
  <c r="D1552" i="171"/>
  <c r="E1552" i="171"/>
  <c r="B1553" i="171"/>
  <c r="C1553" i="171"/>
  <c r="D1553" i="171"/>
  <c r="E1553" i="171"/>
  <c r="B1554" i="171"/>
  <c r="C1554" i="171"/>
  <c r="D1554" i="171"/>
  <c r="E1554" i="171"/>
  <c r="B1555" i="171"/>
  <c r="C1555" i="171"/>
  <c r="D1555" i="171"/>
  <c r="E1555" i="171"/>
  <c r="B1556" i="171"/>
  <c r="C1556" i="171"/>
  <c r="D1556" i="171"/>
  <c r="E1556" i="171"/>
  <c r="B1557" i="171"/>
  <c r="C1557" i="171"/>
  <c r="D1557" i="171"/>
  <c r="E1557" i="171"/>
  <c r="B1558" i="171"/>
  <c r="C1558" i="171"/>
  <c r="D1558" i="171"/>
  <c r="E1558" i="171"/>
  <c r="B1559" i="171"/>
  <c r="C1559" i="171"/>
  <c r="D1559" i="171"/>
  <c r="E1559" i="171"/>
  <c r="B1560" i="171"/>
  <c r="C1560" i="171"/>
  <c r="D1560" i="171"/>
  <c r="E1560" i="171"/>
  <c r="B1561" i="171"/>
  <c r="C1561" i="171"/>
  <c r="D1561" i="171"/>
  <c r="E1561" i="171"/>
  <c r="B1562" i="171"/>
  <c r="C1562" i="171"/>
  <c r="D1562" i="171"/>
  <c r="E1562" i="171"/>
  <c r="B1563" i="171"/>
  <c r="C1563" i="171"/>
  <c r="D1563" i="171"/>
  <c r="E1563" i="171"/>
  <c r="B1564" i="171"/>
  <c r="C1564" i="171"/>
  <c r="D1564" i="171"/>
  <c r="E1564" i="171"/>
  <c r="B1565" i="171"/>
  <c r="C1565" i="171"/>
  <c r="D1565" i="171"/>
  <c r="E1565" i="171"/>
  <c r="B1566" i="171"/>
  <c r="C1566" i="171"/>
  <c r="D1566" i="171"/>
  <c r="E1566" i="171"/>
  <c r="B1567" i="171"/>
  <c r="C1567" i="171"/>
  <c r="D1567" i="171"/>
  <c r="E1567" i="171"/>
  <c r="B1568" i="171"/>
  <c r="C1568" i="171"/>
  <c r="D1568" i="171"/>
  <c r="E1568" i="171"/>
  <c r="B1569" i="171"/>
  <c r="C1569" i="171"/>
  <c r="D1569" i="171"/>
  <c r="E1569" i="171"/>
  <c r="B1570" i="171"/>
  <c r="C1570" i="171"/>
  <c r="D1570" i="171"/>
  <c r="E1570" i="171"/>
  <c r="B1571" i="171"/>
  <c r="C1571" i="171"/>
  <c r="D1571" i="171"/>
  <c r="E1571" i="171"/>
  <c r="B1572" i="171"/>
  <c r="C1572" i="171"/>
  <c r="D1572" i="171"/>
  <c r="E1572" i="171"/>
  <c r="B1573" i="171"/>
  <c r="C1573" i="171"/>
  <c r="D1573" i="171"/>
  <c r="E1573" i="171"/>
  <c r="B1574" i="171"/>
  <c r="C1574" i="171"/>
  <c r="D1574" i="171"/>
  <c r="E1574" i="171"/>
  <c r="B1575" i="171"/>
  <c r="C1575" i="171"/>
  <c r="D1575" i="171"/>
  <c r="E1575" i="171"/>
  <c r="B1576" i="171"/>
  <c r="C1576" i="171"/>
  <c r="D1576" i="171"/>
  <c r="E1576" i="171"/>
  <c r="B1577" i="171"/>
  <c r="C1577" i="171"/>
  <c r="D1577" i="171"/>
  <c r="E1577" i="171"/>
  <c r="B1578" i="171"/>
  <c r="C1578" i="171"/>
  <c r="D1578" i="171"/>
  <c r="E1578" i="171"/>
  <c r="B1579" i="171"/>
  <c r="C1579" i="171"/>
  <c r="D1579" i="171"/>
  <c r="E1579" i="171"/>
  <c r="B1580" i="171"/>
  <c r="C1580" i="171"/>
  <c r="D1580" i="171"/>
  <c r="E1580" i="171"/>
  <c r="B1581" i="171"/>
  <c r="C1581" i="171"/>
  <c r="D1581" i="171"/>
  <c r="E1581" i="171"/>
  <c r="B1582" i="171"/>
  <c r="C1582" i="171"/>
  <c r="D1582" i="171"/>
  <c r="E1582" i="171"/>
  <c r="B1583" i="171"/>
  <c r="C1583" i="171"/>
  <c r="D1583" i="171"/>
  <c r="E1583" i="171"/>
  <c r="B1584" i="171"/>
  <c r="C1584" i="171"/>
  <c r="D1584" i="171"/>
  <c r="E1584" i="171"/>
  <c r="B1585" i="171"/>
  <c r="C1585" i="171"/>
  <c r="D1585" i="171"/>
  <c r="E1585" i="171"/>
  <c r="B1586" i="171"/>
  <c r="C1586" i="171"/>
  <c r="D1586" i="171"/>
  <c r="E1586" i="171"/>
  <c r="B1587" i="171"/>
  <c r="C1587" i="171"/>
  <c r="D1587" i="171"/>
  <c r="E1587" i="171"/>
  <c r="B1588" i="171"/>
  <c r="C1588" i="171"/>
  <c r="D1588" i="171"/>
  <c r="E1588" i="171"/>
  <c r="B1589" i="171"/>
  <c r="C1589" i="171"/>
  <c r="D1589" i="171"/>
  <c r="E1589" i="171"/>
  <c r="B1590" i="171"/>
  <c r="C1590" i="171"/>
  <c r="D1590" i="171"/>
  <c r="E1590" i="171"/>
  <c r="B1591" i="171"/>
  <c r="C1591" i="171"/>
  <c r="D1591" i="171"/>
  <c r="E1591" i="171"/>
  <c r="B1592" i="171"/>
  <c r="C1592" i="171"/>
  <c r="D1592" i="171"/>
  <c r="E1592" i="171"/>
  <c r="B1593" i="171"/>
  <c r="C1593" i="171"/>
  <c r="D1593" i="171"/>
  <c r="E1593" i="171"/>
  <c r="B1594" i="171"/>
  <c r="C1594" i="171"/>
  <c r="D1594" i="171"/>
  <c r="E1594" i="171"/>
  <c r="B1595" i="171"/>
  <c r="C1595" i="171"/>
  <c r="D1595" i="171"/>
  <c r="E1595" i="171"/>
  <c r="B1596" i="171"/>
  <c r="C1596" i="171"/>
  <c r="D1596" i="171"/>
  <c r="E1596" i="171"/>
  <c r="B1597" i="171"/>
  <c r="C1597" i="171"/>
  <c r="D1597" i="171"/>
  <c r="E1597" i="171"/>
  <c r="B1598" i="171"/>
  <c r="C1598" i="171"/>
  <c r="D1598" i="171"/>
  <c r="E1598" i="171"/>
  <c r="B1599" i="171"/>
  <c r="C1599" i="171"/>
  <c r="D1599" i="171"/>
  <c r="E1599" i="171"/>
  <c r="B1600" i="171"/>
  <c r="C1600" i="171"/>
  <c r="D1600" i="171"/>
  <c r="E1600" i="171"/>
  <c r="B1601" i="171"/>
  <c r="C1601" i="171"/>
  <c r="D1601" i="171"/>
  <c r="E1601" i="171"/>
  <c r="B1602" i="171"/>
  <c r="C1602" i="171"/>
  <c r="D1602" i="171"/>
  <c r="E1602" i="171"/>
  <c r="B1603" i="171"/>
  <c r="C1603" i="171"/>
  <c r="D1603" i="171"/>
  <c r="E1603" i="171"/>
  <c r="B1604" i="171"/>
  <c r="C1604" i="171"/>
  <c r="D1604" i="171"/>
  <c r="E1604" i="171"/>
  <c r="B1605" i="171"/>
  <c r="C1605" i="171"/>
  <c r="D1605" i="171"/>
  <c r="E1605" i="171"/>
  <c r="B1606" i="171"/>
  <c r="C1606" i="171"/>
  <c r="D1606" i="171"/>
  <c r="E1606" i="171"/>
  <c r="B1607" i="171"/>
  <c r="C1607" i="171"/>
  <c r="D1607" i="171"/>
  <c r="E1607" i="171"/>
  <c r="B1608" i="171"/>
  <c r="C1608" i="171"/>
  <c r="D1608" i="171"/>
  <c r="E1608" i="171"/>
  <c r="B1609" i="171"/>
  <c r="C1609" i="171"/>
  <c r="D1609" i="171"/>
  <c r="E1609" i="171"/>
  <c r="B1610" i="171"/>
  <c r="C1610" i="171"/>
  <c r="D1610" i="171"/>
  <c r="E1610" i="171"/>
  <c r="B1611" i="171"/>
  <c r="C1611" i="171"/>
  <c r="D1611" i="171"/>
  <c r="E1611" i="171"/>
  <c r="B1612" i="171"/>
  <c r="C1612" i="171"/>
  <c r="D1612" i="171"/>
  <c r="E1612" i="171"/>
  <c r="B1613" i="171"/>
  <c r="C1613" i="171"/>
  <c r="D1613" i="171"/>
  <c r="E1613" i="171"/>
  <c r="B1614" i="171"/>
  <c r="C1614" i="171"/>
  <c r="D1614" i="171"/>
  <c r="E1614" i="171"/>
  <c r="B1615" i="171"/>
  <c r="C1615" i="171"/>
  <c r="D1615" i="171"/>
  <c r="E1615" i="171"/>
  <c r="B1616" i="171"/>
  <c r="C1616" i="171"/>
  <c r="D1616" i="171"/>
  <c r="E1616" i="171"/>
  <c r="B1617" i="171"/>
  <c r="C1617" i="171"/>
  <c r="D1617" i="171"/>
  <c r="E1617" i="171"/>
  <c r="B1618" i="171"/>
  <c r="C1618" i="171"/>
  <c r="D1618" i="171"/>
  <c r="E1618" i="171"/>
  <c r="B1619" i="171"/>
  <c r="C1619" i="171"/>
  <c r="D1619" i="171"/>
  <c r="E1619" i="171"/>
  <c r="B1620" i="171"/>
  <c r="C1620" i="171"/>
  <c r="D1620" i="171"/>
  <c r="E1620" i="171"/>
  <c r="B1621" i="171"/>
  <c r="C1621" i="171"/>
  <c r="D1621" i="171"/>
  <c r="E1621" i="171"/>
  <c r="B1622" i="171"/>
  <c r="C1622" i="171"/>
  <c r="D1622" i="171"/>
  <c r="E1622" i="171"/>
  <c r="B1623" i="171"/>
  <c r="C1623" i="171"/>
  <c r="D1623" i="171"/>
  <c r="E1623" i="171"/>
  <c r="B1624" i="171"/>
  <c r="C1624" i="171"/>
  <c r="D1624" i="171"/>
  <c r="E1624" i="171"/>
  <c r="B1625" i="171"/>
  <c r="C1625" i="171"/>
  <c r="D1625" i="171"/>
  <c r="E1625" i="171"/>
  <c r="E1207" i="171"/>
  <c r="D1207" i="171"/>
  <c r="C1207" i="171"/>
  <c r="B1207" i="171"/>
  <c r="E56" i="171"/>
  <c r="R56" i="171" s="1" a="1"/>
  <c r="R56" i="171" s="1"/>
  <c r="V14" i="171"/>
  <c r="V13" i="171"/>
  <c r="AE6" i="172" l="1"/>
  <c r="AU6" i="172"/>
  <c r="AE5" i="172"/>
  <c r="V30" i="171"/>
  <c r="V40" i="171"/>
  <c r="V39" i="171"/>
  <c r="V29" i="171"/>
  <c r="Y11" i="172" a="1"/>
  <c r="Y11" i="172" s="1"/>
  <c r="Y5" i="172" a="1"/>
  <c r="Y5" i="172" s="1"/>
  <c r="Y10" i="172" a="1"/>
  <c r="Y10" i="172" s="1"/>
  <c r="Y8" i="172" a="1"/>
  <c r="Y8" i="172" s="1"/>
  <c r="Y6" i="172" a="1"/>
  <c r="Y6" i="172" s="1"/>
  <c r="Y7" i="172" a="1"/>
  <c r="Y7" i="172" s="1"/>
  <c r="Y9" i="172" a="1"/>
  <c r="Y9" i="172" s="1"/>
  <c r="Y12" i="172" a="1"/>
  <c r="Y12" i="172" s="1"/>
  <c r="C4" i="172"/>
  <c r="BA22" i="172"/>
  <c r="AZ22" i="172"/>
  <c r="V20" i="171"/>
  <c r="V19" i="171"/>
  <c r="V16" i="171"/>
  <c r="V17" i="171"/>
  <c r="V31" i="171" l="1"/>
  <c r="V41" i="171"/>
  <c r="AZ21" i="172" a="1"/>
  <c r="AZ21" i="172" s="1"/>
  <c r="BB19" i="172" s="1"/>
  <c r="AI6" i="172" s="1"/>
  <c r="AJ4" i="172" a="1"/>
  <c r="AJ4" i="172" s="1"/>
  <c r="W4" i="172" a="1"/>
  <c r="W4" i="172" s="1"/>
  <c r="AD4" i="172"/>
  <c r="V35" i="171"/>
  <c r="V25" i="171"/>
  <c r="V24" i="171"/>
  <c r="V34" i="171"/>
  <c r="AI217" i="172" l="1"/>
  <c r="AI315" i="172"/>
  <c r="AI343" i="172"/>
  <c r="AI381" i="172"/>
  <c r="AI301" i="172"/>
  <c r="AI467" i="172"/>
  <c r="AI543" i="172"/>
  <c r="AI560" i="172"/>
  <c r="AI730" i="172"/>
  <c r="AI750" i="172"/>
  <c r="AI598" i="172"/>
  <c r="AI662" i="172"/>
  <c r="AI37" i="172"/>
  <c r="AI124" i="172"/>
  <c r="AI214" i="172"/>
  <c r="AI279" i="172"/>
  <c r="AI297" i="172"/>
  <c r="AI325" i="172"/>
  <c r="AI345" i="172"/>
  <c r="AI49" i="172"/>
  <c r="AI132" i="172"/>
  <c r="AI218" i="172"/>
  <c r="AI216" i="172"/>
  <c r="AI331" i="172"/>
  <c r="AI469" i="172"/>
  <c r="AI861" i="172"/>
  <c r="AI989" i="172"/>
  <c r="AI891" i="172"/>
  <c r="AW21" i="172"/>
  <c r="AW439" i="172"/>
  <c r="AI65" i="172"/>
  <c r="AI220" i="172"/>
  <c r="AI239" i="172"/>
  <c r="AI267" i="172"/>
  <c r="AI421" i="172"/>
  <c r="AI411" i="172"/>
  <c r="AI716" i="172"/>
  <c r="AI754" i="172"/>
  <c r="AI763" i="172"/>
  <c r="AI632" i="172"/>
  <c r="AI696" i="172"/>
  <c r="AW267" i="172"/>
  <c r="AI569" i="172"/>
  <c r="AI732" i="172"/>
  <c r="AI752" i="172"/>
  <c r="AI771" i="172"/>
  <c r="AI638" i="172"/>
  <c r="AI702" i="172"/>
  <c r="AI755" i="172"/>
  <c r="AI580" i="172"/>
  <c r="AI596" i="172"/>
  <c r="AI612" i="172"/>
  <c r="AI628" i="172"/>
  <c r="AI644" i="172"/>
  <c r="AI660" i="172"/>
  <c r="AI676" i="172"/>
  <c r="AI692" i="172"/>
  <c r="AI708" i="172"/>
  <c r="AI395" i="172"/>
  <c r="AI532" i="172"/>
  <c r="AI572" i="172"/>
  <c r="AI608" i="172"/>
  <c r="AI672" i="172"/>
  <c r="AI728" i="172"/>
  <c r="AI735" i="172"/>
  <c r="AI587" i="172"/>
  <c r="AI595" i="172"/>
  <c r="AI603" i="172"/>
  <c r="AI611" i="172"/>
  <c r="AI619" i="172"/>
  <c r="AI627" i="172"/>
  <c r="AI635" i="172"/>
  <c r="AI643" i="172"/>
  <c r="AI651" i="172"/>
  <c r="AI659" i="172"/>
  <c r="AI667" i="172"/>
  <c r="AI675" i="172"/>
  <c r="AW65" i="172"/>
  <c r="AW199" i="172"/>
  <c r="AW42" i="172"/>
  <c r="AW53" i="172"/>
  <c r="AW92" i="172"/>
  <c r="AW113" i="172"/>
  <c r="AW106" i="172"/>
  <c r="AW131" i="172"/>
  <c r="AW189" i="172"/>
  <c r="AW216" i="172"/>
  <c r="AW246" i="172"/>
  <c r="AW442" i="172"/>
  <c r="AW879" i="172"/>
  <c r="AW806" i="172"/>
  <c r="AW121" i="172"/>
  <c r="AI259" i="172"/>
  <c r="AI323" i="172"/>
  <c r="AI347" i="172"/>
  <c r="AI413" i="172"/>
  <c r="AI371" i="172"/>
  <c r="AI511" i="172"/>
  <c r="AI311" i="172"/>
  <c r="AI568" i="172"/>
  <c r="AI734" i="172"/>
  <c r="AI753" i="172"/>
  <c r="AI614" i="172"/>
  <c r="AI678" i="172"/>
  <c r="AI73" i="172"/>
  <c r="AI195" i="172"/>
  <c r="AI222" i="172"/>
  <c r="AI243" i="172"/>
  <c r="AI309" i="172"/>
  <c r="AI329" i="172"/>
  <c r="AI349" i="172"/>
  <c r="AI86" i="172"/>
  <c r="AI190" i="172"/>
  <c r="AI193" i="172"/>
  <c r="AI224" i="172"/>
  <c r="AI373" i="172"/>
  <c r="AI710" i="172"/>
  <c r="AI893" i="172"/>
  <c r="AI797" i="172"/>
  <c r="AI923" i="172"/>
  <c r="AW227" i="172"/>
  <c r="AW455" i="172"/>
  <c r="AI102" i="172"/>
  <c r="AI194" i="172"/>
  <c r="AI271" i="172"/>
  <c r="AI299" i="172"/>
  <c r="AI453" i="172"/>
  <c r="AI443" i="172"/>
  <c r="AI738" i="172"/>
  <c r="AI757" i="172"/>
  <c r="AI584" i="172"/>
  <c r="AI648" i="172"/>
  <c r="AI712" i="172"/>
  <c r="AI507" i="172"/>
  <c r="AI517" i="172"/>
  <c r="AI736" i="172"/>
  <c r="AI758" i="172"/>
  <c r="AI590" i="172"/>
  <c r="AI654" i="172"/>
  <c r="AI723" i="172"/>
  <c r="AI768" i="172"/>
  <c r="AI586" i="172"/>
  <c r="AI602" i="172"/>
  <c r="AI618" i="172"/>
  <c r="AI634" i="172"/>
  <c r="AI650" i="172"/>
  <c r="AI666" i="172"/>
  <c r="AI682" i="172"/>
  <c r="AI698" i="172"/>
  <c r="AW808" i="172"/>
  <c r="AI427" i="172"/>
  <c r="AI548" i="172"/>
  <c r="AI519" i="172"/>
  <c r="AI624" i="172"/>
  <c r="AI688" i="172"/>
  <c r="AI733" i="172"/>
  <c r="AI581" i="172"/>
  <c r="AI589" i="172"/>
  <c r="AI597" i="172"/>
  <c r="AI605" i="172"/>
  <c r="AI613" i="172"/>
  <c r="AI621" i="172"/>
  <c r="AI629" i="172"/>
  <c r="AI637" i="172"/>
  <c r="AI645" i="172"/>
  <c r="AI653" i="172"/>
  <c r="AI661" i="172"/>
  <c r="AI669" i="172"/>
  <c r="AW371" i="172"/>
  <c r="AW80" i="172"/>
  <c r="AW230" i="172"/>
  <c r="AW25" i="172"/>
  <c r="AW39" i="172"/>
  <c r="AW57" i="172"/>
  <c r="AW70" i="172"/>
  <c r="AW115" i="172"/>
  <c r="AW124" i="172"/>
  <c r="AI295" i="172"/>
  <c r="AI327" i="172"/>
  <c r="AI291" i="172"/>
  <c r="AI445" i="172"/>
  <c r="AI403" i="172"/>
  <c r="AI527" i="172"/>
  <c r="AI525" i="172"/>
  <c r="AI714" i="172"/>
  <c r="AI737" i="172"/>
  <c r="AI760" i="172"/>
  <c r="AI630" i="172"/>
  <c r="AI694" i="172"/>
  <c r="AI110" i="172"/>
  <c r="AI203" i="172"/>
  <c r="AI191" i="172"/>
  <c r="AI275" i="172"/>
  <c r="AI313" i="172"/>
  <c r="AI337" i="172"/>
  <c r="AI307" i="172"/>
  <c r="AI118" i="172"/>
  <c r="AI198" i="172"/>
  <c r="AI201" i="172"/>
  <c r="AI255" i="172"/>
  <c r="AI405" i="172"/>
  <c r="AI795" i="172"/>
  <c r="AI925" i="172"/>
  <c r="AI827" i="172"/>
  <c r="AI955" i="172"/>
  <c r="AW407" i="172"/>
  <c r="AI53" i="172"/>
  <c r="AI84" i="172"/>
  <c r="AI202" i="172"/>
  <c r="AI225" i="172"/>
  <c r="AI357" i="172"/>
  <c r="AI333" i="172"/>
  <c r="AI475" i="172"/>
  <c r="AI741" i="172"/>
  <c r="AI764" i="172"/>
  <c r="AI600" i="172"/>
  <c r="AI664" i="172"/>
  <c r="AW251" i="172"/>
  <c r="AI553" i="172"/>
  <c r="AI524" i="172"/>
  <c r="AI742" i="172"/>
  <c r="AI761" i="172"/>
  <c r="AI606" i="172"/>
  <c r="AI670" i="172"/>
  <c r="AI739" i="172"/>
  <c r="AI773" i="172"/>
  <c r="AI588" i="172"/>
  <c r="AI604" i="172"/>
  <c r="AI620" i="172"/>
  <c r="AI636" i="172"/>
  <c r="AI652" i="172"/>
  <c r="AI668" i="172"/>
  <c r="AI684" i="172"/>
  <c r="AI700" i="172"/>
  <c r="AW872" i="172"/>
  <c r="AI459" i="172"/>
  <c r="AI556" i="172"/>
  <c r="AI533" i="172"/>
  <c r="AI640" i="172"/>
  <c r="AI704" i="172"/>
  <c r="AI769" i="172"/>
  <c r="AI583" i="172"/>
  <c r="AI591" i="172"/>
  <c r="AI599" i="172"/>
  <c r="AI607" i="172"/>
  <c r="AI615" i="172"/>
  <c r="AI623" i="172"/>
  <c r="AI631" i="172"/>
  <c r="AI639" i="172"/>
  <c r="AI647" i="172"/>
  <c r="AI655" i="172"/>
  <c r="AI663" i="172"/>
  <c r="AI671" i="172"/>
  <c r="AW98" i="172"/>
  <c r="AW138" i="172"/>
  <c r="AW41" i="172"/>
  <c r="AW67" i="172"/>
  <c r="AW61" i="172"/>
  <c r="AW78" i="172"/>
  <c r="AI303" i="172"/>
  <c r="AI435" i="172"/>
  <c r="AI744" i="172"/>
  <c r="AI92" i="172"/>
  <c r="AI317" i="172"/>
  <c r="AI206" i="172"/>
  <c r="AI829" i="172"/>
  <c r="AW423" i="172"/>
  <c r="AI235" i="172"/>
  <c r="AI748" i="172"/>
  <c r="AW259" i="172"/>
  <c r="AI305" i="172"/>
  <c r="AI321" i="172"/>
  <c r="AI642" i="172"/>
  <c r="AI706" i="172"/>
  <c r="AI592" i="172"/>
  <c r="AI585" i="172"/>
  <c r="AI617" i="172"/>
  <c r="AI649" i="172"/>
  <c r="AW49" i="172"/>
  <c r="AW93" i="172"/>
  <c r="AW136" i="172"/>
  <c r="AW201" i="172"/>
  <c r="AW225" i="172"/>
  <c r="AW424" i="172"/>
  <c r="AW887" i="172"/>
  <c r="AW838" i="172"/>
  <c r="AW194" i="172"/>
  <c r="AW241" i="172"/>
  <c r="AW503" i="172"/>
  <c r="AW546" i="172"/>
  <c r="AW936" i="172"/>
  <c r="AW860" i="172"/>
  <c r="AW969" i="172"/>
  <c r="AI67" i="172"/>
  <c r="AI677" i="172"/>
  <c r="AI685" i="172"/>
  <c r="AI693" i="172"/>
  <c r="AI701" i="172"/>
  <c r="AI709" i="172"/>
  <c r="AI837" i="172"/>
  <c r="AI965" i="172"/>
  <c r="AI867" i="172"/>
  <c r="AI995" i="172"/>
  <c r="AW54" i="172"/>
  <c r="AW96" i="172"/>
  <c r="AW99" i="172"/>
  <c r="AW140" i="172"/>
  <c r="AW142" i="172"/>
  <c r="AW244" i="172"/>
  <c r="AW318" i="172"/>
  <c r="AW342" i="172"/>
  <c r="AW358" i="172"/>
  <c r="AW373" i="172"/>
  <c r="AW441" i="172"/>
  <c r="AW391" i="172"/>
  <c r="AW434" i="172"/>
  <c r="AW857" i="172"/>
  <c r="AW102" i="172"/>
  <c r="AW473" i="172"/>
  <c r="AW526" i="172"/>
  <c r="AW559" i="172"/>
  <c r="AW708" i="172"/>
  <c r="AW924" i="172"/>
  <c r="AW941" i="172"/>
  <c r="AW965" i="172"/>
  <c r="AI77" i="172"/>
  <c r="AI108" i="172"/>
  <c r="AI212" i="172"/>
  <c r="AI263" i="172"/>
  <c r="AI365" i="172"/>
  <c r="AI355" i="172"/>
  <c r="AI515" i="172"/>
  <c r="AI547" i="172"/>
  <c r="AI557" i="172"/>
  <c r="AI740" i="172"/>
  <c r="AI762" i="172"/>
  <c r="AI725" i="172"/>
  <c r="AI811" i="172"/>
  <c r="AI941" i="172"/>
  <c r="AI843" i="172"/>
  <c r="AI971" i="172"/>
  <c r="AI335" i="172"/>
  <c r="AI535" i="172"/>
  <c r="AI582" i="172"/>
  <c r="AI211" i="172"/>
  <c r="AI341" i="172"/>
  <c r="AI209" i="172"/>
  <c r="AI957" i="172"/>
  <c r="AI11" i="172"/>
  <c r="AI389" i="172"/>
  <c r="AI778" i="172"/>
  <c r="AI561" i="172"/>
  <c r="AI622" i="172"/>
  <c r="AI594" i="172"/>
  <c r="AI658" i="172"/>
  <c r="AI363" i="172"/>
  <c r="AI656" i="172"/>
  <c r="AI593" i="172"/>
  <c r="AI625" i="172"/>
  <c r="AI657" i="172"/>
  <c r="AW218" i="172"/>
  <c r="AW27" i="172"/>
  <c r="AW129" i="172"/>
  <c r="AW145" i="172"/>
  <c r="AW208" i="172"/>
  <c r="AW238" i="172"/>
  <c r="AW450" i="172"/>
  <c r="AW895" i="172"/>
  <c r="AW854" i="172"/>
  <c r="AW231" i="172"/>
  <c r="AW281" i="172"/>
  <c r="AW515" i="172"/>
  <c r="AW511" i="172"/>
  <c r="AW554" i="172"/>
  <c r="AW921" i="172"/>
  <c r="AW985" i="172"/>
  <c r="AI130" i="172"/>
  <c r="AI679" i="172"/>
  <c r="AI687" i="172"/>
  <c r="AI695" i="172"/>
  <c r="AI703" i="172"/>
  <c r="AI711" i="172"/>
  <c r="AI869" i="172"/>
  <c r="AI997" i="172"/>
  <c r="AI899" i="172"/>
  <c r="AW29" i="172"/>
  <c r="AW36" i="172"/>
  <c r="AW58" i="172"/>
  <c r="AW72" i="172"/>
  <c r="AW104" i="172"/>
  <c r="AW148" i="172"/>
  <c r="AW150" i="172"/>
  <c r="AW260" i="172"/>
  <c r="AW326" i="172"/>
  <c r="AW346" i="172"/>
  <c r="AW362" i="172"/>
  <c r="AW379" i="172"/>
  <c r="AW457" i="172"/>
  <c r="AW395" i="172"/>
  <c r="AW375" i="172"/>
  <c r="AW47" i="172"/>
  <c r="AW111" i="172"/>
  <c r="AW489" i="172"/>
  <c r="AW537" i="172"/>
  <c r="AW569" i="172"/>
  <c r="AW716" i="172"/>
  <c r="AW940" i="172"/>
  <c r="AW957" i="172"/>
  <c r="AW711" i="172"/>
  <c r="AW981" i="172"/>
  <c r="AI57" i="172"/>
  <c r="AI226" i="172"/>
  <c r="AI199" i="172"/>
  <c r="AI205" i="172"/>
  <c r="AI397" i="172"/>
  <c r="AI387" i="172"/>
  <c r="AI523" i="172"/>
  <c r="AI541" i="172"/>
  <c r="AI565" i="172"/>
  <c r="AI746" i="172"/>
  <c r="AI765" i="172"/>
  <c r="AI729" i="172"/>
  <c r="AI845" i="172"/>
  <c r="AI973" i="172"/>
  <c r="AI875" i="172"/>
  <c r="AW40" i="172"/>
  <c r="AW63" i="172"/>
  <c r="AW94" i="172"/>
  <c r="AW123" i="172"/>
  <c r="AW143" i="172"/>
  <c r="AW206" i="172"/>
  <c r="AW243" i="172"/>
  <c r="AW456" i="172"/>
  <c r="AI339" i="172"/>
  <c r="AI552" i="172"/>
  <c r="AI646" i="172"/>
  <c r="AI247" i="172"/>
  <c r="AI69" i="172"/>
  <c r="AI287" i="172"/>
  <c r="AI859" i="172"/>
  <c r="AI116" i="172"/>
  <c r="AI379" i="172"/>
  <c r="AI616" i="172"/>
  <c r="AI540" i="172"/>
  <c r="AI686" i="172"/>
  <c r="AI610" i="172"/>
  <c r="AI674" i="172"/>
  <c r="AI516" i="172"/>
  <c r="AI719" i="172"/>
  <c r="AI601" i="172"/>
  <c r="AI633" i="172"/>
  <c r="AI665" i="172"/>
  <c r="AW46" i="172"/>
  <c r="AW110" i="172"/>
  <c r="AW190" i="172"/>
  <c r="AW212" i="172"/>
  <c r="AW262" i="172"/>
  <c r="AW458" i="172"/>
  <c r="AW904" i="172"/>
  <c r="AW126" i="172"/>
  <c r="AW43" i="172"/>
  <c r="AW475" i="172"/>
  <c r="AW525" i="172"/>
  <c r="AW829" i="172"/>
  <c r="AW568" i="172"/>
  <c r="AW937" i="172"/>
  <c r="AI197" i="172"/>
  <c r="AI681" i="172"/>
  <c r="AI689" i="172"/>
  <c r="AI697" i="172"/>
  <c r="AI705" i="172"/>
  <c r="AI751" i="172"/>
  <c r="AI901" i="172"/>
  <c r="AI805" i="172"/>
  <c r="AI931" i="172"/>
  <c r="AW22" i="172"/>
  <c r="AW45" i="172"/>
  <c r="AW62" i="172"/>
  <c r="AW97" i="172"/>
  <c r="AW116" i="172"/>
  <c r="AW132" i="172"/>
  <c r="AW192" i="172"/>
  <c r="AW233" i="172"/>
  <c r="AW334" i="172"/>
  <c r="AW350" i="172"/>
  <c r="AW364" i="172"/>
  <c r="AW409" i="172"/>
  <c r="AW383" i="172"/>
  <c r="AW402" i="172"/>
  <c r="AW840" i="172"/>
  <c r="AW75" i="172"/>
  <c r="AW269" i="172"/>
  <c r="AW504" i="172"/>
  <c r="AW548" i="172"/>
  <c r="AW372" i="172"/>
  <c r="AW724" i="172"/>
  <c r="AW528" i="172"/>
  <c r="AW973" i="172"/>
  <c r="AW858" i="172"/>
  <c r="AW997" i="172"/>
  <c r="AI94" i="172"/>
  <c r="AI196" i="172"/>
  <c r="AI207" i="172"/>
  <c r="AI251" i="172"/>
  <c r="AI429" i="172"/>
  <c r="AI419" i="172"/>
  <c r="AI531" i="172"/>
  <c r="AI576" i="172"/>
  <c r="AI573" i="172"/>
  <c r="AI749" i="172"/>
  <c r="AI776" i="172"/>
  <c r="AI743" i="172"/>
  <c r="AI877" i="172"/>
  <c r="AI781" i="172"/>
  <c r="AI907" i="172"/>
  <c r="AW51" i="172"/>
  <c r="AW85" i="172"/>
  <c r="AW90" i="172"/>
  <c r="AI477" i="172"/>
  <c r="AI100" i="172"/>
  <c r="AI319" i="172"/>
  <c r="AI626" i="172"/>
  <c r="AI609" i="172"/>
  <c r="AW203" i="172"/>
  <c r="AW822" i="172"/>
  <c r="AW536" i="172"/>
  <c r="AI691" i="172"/>
  <c r="AI933" i="172"/>
  <c r="AW114" i="172"/>
  <c r="AW338" i="172"/>
  <c r="AW387" i="172"/>
  <c r="AW280" i="172"/>
  <c r="AW732" i="172"/>
  <c r="AW949" i="172"/>
  <c r="AI231" i="172"/>
  <c r="AI539" i="172"/>
  <c r="AI577" i="172"/>
  <c r="AI939" i="172"/>
  <c r="AW24" i="172"/>
  <c r="AW105" i="172"/>
  <c r="AW128" i="172"/>
  <c r="AW193" i="172"/>
  <c r="AW254" i="172"/>
  <c r="AW428" i="172"/>
  <c r="AW825" i="172"/>
  <c r="AW979" i="172"/>
  <c r="AW101" i="172"/>
  <c r="AW247" i="172"/>
  <c r="AW293" i="172"/>
  <c r="AW519" i="172"/>
  <c r="AW928" i="172"/>
  <c r="AW929" i="172"/>
  <c r="AI487" i="172"/>
  <c r="AI721" i="172"/>
  <c r="AI787" i="172"/>
  <c r="AI917" i="172"/>
  <c r="AI819" i="172"/>
  <c r="AI947" i="172"/>
  <c r="AW26" i="172"/>
  <c r="AW44" i="172"/>
  <c r="AW109" i="172"/>
  <c r="AW112" i="172"/>
  <c r="AW146" i="172"/>
  <c r="AW211" i="172"/>
  <c r="AW268" i="172"/>
  <c r="AW322" i="172"/>
  <c r="AW344" i="172"/>
  <c r="AW360" i="172"/>
  <c r="AW410" i="172"/>
  <c r="AW431" i="172"/>
  <c r="AW746" i="172"/>
  <c r="AW762" i="172"/>
  <c r="AW778" i="172"/>
  <c r="AW794" i="172"/>
  <c r="AW890" i="172"/>
  <c r="AW870" i="172"/>
  <c r="AW867" i="172"/>
  <c r="AW970" i="172"/>
  <c r="AW118" i="172"/>
  <c r="AW166" i="172"/>
  <c r="AW182" i="172"/>
  <c r="AW257" i="172"/>
  <c r="AW540" i="172"/>
  <c r="AW933" i="172"/>
  <c r="AW232" i="172"/>
  <c r="AW258" i="172"/>
  <c r="AW320" i="172"/>
  <c r="AW343" i="172"/>
  <c r="AW359" i="172"/>
  <c r="AW436" i="172"/>
  <c r="AW405" i="172"/>
  <c r="AW382" i="172"/>
  <c r="AW398" i="172"/>
  <c r="AW749" i="172"/>
  <c r="AW765" i="172"/>
  <c r="AW781" i="172"/>
  <c r="AW797" i="172"/>
  <c r="AW836" i="172"/>
  <c r="AW888" i="172"/>
  <c r="AW821" i="172"/>
  <c r="AW885" i="172"/>
  <c r="AW818" i="172"/>
  <c r="AW815" i="172"/>
  <c r="AW919" i="172"/>
  <c r="AW982" i="172"/>
  <c r="AW959" i="172"/>
  <c r="AW73" i="172"/>
  <c r="AW164" i="172"/>
  <c r="AW279" i="172"/>
  <c r="AW317" i="172"/>
  <c r="AW502" i="172"/>
  <c r="AW501" i="172"/>
  <c r="AW506" i="172"/>
  <c r="AW571" i="172"/>
  <c r="AW730" i="172"/>
  <c r="AW735" i="172"/>
  <c r="AW992" i="172"/>
  <c r="AI36" i="172"/>
  <c r="AI114" i="172"/>
  <c r="AI262" i="172"/>
  <c r="AI117" i="172"/>
  <c r="AI241" i="172"/>
  <c r="AI189" i="172"/>
  <c r="AI454" i="172"/>
  <c r="AI542" i="172"/>
  <c r="AI113" i="172"/>
  <c r="AI392" i="172"/>
  <c r="AI895" i="172"/>
  <c r="AW977" i="172"/>
  <c r="AI55" i="172"/>
  <c r="AI119" i="172"/>
  <c r="AI234" i="172"/>
  <c r="AI125" i="172"/>
  <c r="AI174" i="172"/>
  <c r="AI407" i="172"/>
  <c r="AI571" i="172"/>
  <c r="AI153" i="172"/>
  <c r="AI424" i="172"/>
  <c r="AI559" i="172"/>
  <c r="AI720" i="172"/>
  <c r="AI437" i="172"/>
  <c r="AI680" i="172"/>
  <c r="AI690" i="172"/>
  <c r="AI641" i="172"/>
  <c r="AW220" i="172"/>
  <c r="AW71" i="172"/>
  <c r="AW865" i="172"/>
  <c r="AW916" i="172"/>
  <c r="AI699" i="172"/>
  <c r="AI835" i="172"/>
  <c r="AW50" i="172"/>
  <c r="AW149" i="172"/>
  <c r="AW354" i="172"/>
  <c r="AW418" i="172"/>
  <c r="AW514" i="172"/>
  <c r="AW925" i="172"/>
  <c r="AI45" i="172"/>
  <c r="AI283" i="172"/>
  <c r="AI549" i="172"/>
  <c r="AI767" i="172"/>
  <c r="AW55" i="172"/>
  <c r="AW95" i="172"/>
  <c r="AW134" i="172"/>
  <c r="AW210" i="172"/>
  <c r="AW270" i="172"/>
  <c r="AW444" i="172"/>
  <c r="AW931" i="172"/>
  <c r="AW995" i="172"/>
  <c r="AW122" i="172"/>
  <c r="AW263" i="172"/>
  <c r="AW311" i="172"/>
  <c r="AW367" i="172"/>
  <c r="AW812" i="172"/>
  <c r="AW961" i="172"/>
  <c r="AI772" i="172"/>
  <c r="AI727" i="172"/>
  <c r="AI821" i="172"/>
  <c r="AI949" i="172"/>
  <c r="AI851" i="172"/>
  <c r="AI979" i="172"/>
  <c r="AW38" i="172"/>
  <c r="AW108" i="172"/>
  <c r="AW91" i="172"/>
  <c r="AW135" i="172"/>
  <c r="AW188" i="172"/>
  <c r="AW215" i="172"/>
  <c r="AW234" i="172"/>
  <c r="AW330" i="172"/>
  <c r="AW348" i="172"/>
  <c r="AW332" i="172"/>
  <c r="AI61" i="172"/>
  <c r="AI987" i="172"/>
  <c r="AI745" i="172"/>
  <c r="AI564" i="172"/>
  <c r="AI673" i="172"/>
  <c r="AW69" i="172"/>
  <c r="AW229" i="172"/>
  <c r="AW204" i="172"/>
  <c r="AW828" i="172"/>
  <c r="AI21" i="172"/>
  <c r="AI707" i="172"/>
  <c r="AI963" i="172"/>
  <c r="AW81" i="172"/>
  <c r="AW223" i="172"/>
  <c r="AW408" i="172"/>
  <c r="AW841" i="172"/>
  <c r="AW558" i="172"/>
  <c r="AW989" i="172"/>
  <c r="AI126" i="172"/>
  <c r="AI461" i="172"/>
  <c r="AI724" i="172"/>
  <c r="AI909" i="172"/>
  <c r="AW59" i="172"/>
  <c r="AW107" i="172"/>
  <c r="AW151" i="172"/>
  <c r="AW214" i="172"/>
  <c r="AW416" i="172"/>
  <c r="AW460" i="172"/>
  <c r="AW947" i="172"/>
  <c r="AW31" i="172"/>
  <c r="AW196" i="172"/>
  <c r="AW277" i="172"/>
  <c r="AW319" i="172"/>
  <c r="AW813" i="172"/>
  <c r="AW844" i="172"/>
  <c r="AW993" i="172"/>
  <c r="AI759" i="172"/>
  <c r="AI731" i="172"/>
  <c r="AI853" i="172"/>
  <c r="AI981" i="172"/>
  <c r="AI883" i="172"/>
  <c r="AW35" i="172"/>
  <c r="AW76" i="172"/>
  <c r="AW125" i="172"/>
  <c r="AW144" i="172"/>
  <c r="AW197" i="172"/>
  <c r="AW219" i="172"/>
  <c r="AW237" i="172"/>
  <c r="AW336" i="172"/>
  <c r="AW352" i="172"/>
  <c r="AW400" i="172"/>
  <c r="AW399" i="172"/>
  <c r="AW463" i="172"/>
  <c r="AW754" i="172"/>
  <c r="AW770" i="172"/>
  <c r="AW786" i="172"/>
  <c r="AW802" i="172"/>
  <c r="AW905" i="172"/>
  <c r="AW835" i="172"/>
  <c r="AW938" i="172"/>
  <c r="AW912" i="172"/>
  <c r="AW139" i="172"/>
  <c r="AW174" i="172"/>
  <c r="AW236" i="172"/>
  <c r="AW532" i="172"/>
  <c r="AW552" i="172"/>
  <c r="AW972" i="172"/>
  <c r="AW248" i="172"/>
  <c r="AW255" i="172"/>
  <c r="AW235" i="172"/>
  <c r="AW335" i="172"/>
  <c r="AW351" i="172"/>
  <c r="AW404" i="172"/>
  <c r="AW370" i="172"/>
  <c r="AW437" i="172"/>
  <c r="AW390" i="172"/>
  <c r="AW741" i="172"/>
  <c r="AW757" i="172"/>
  <c r="AW773" i="172"/>
  <c r="AW789" i="172"/>
  <c r="AW805" i="172"/>
  <c r="AW868" i="172"/>
  <c r="AW903" i="172"/>
  <c r="AW853" i="172"/>
  <c r="AW902" i="172"/>
  <c r="AW850" i="172"/>
  <c r="AW847" i="172"/>
  <c r="AW950" i="172"/>
  <c r="AW927" i="172"/>
  <c r="AW991" i="172"/>
  <c r="AW202" i="172"/>
  <c r="AW249" i="172"/>
  <c r="AW291" i="172"/>
  <c r="AW471" i="172"/>
  <c r="AW533" i="172"/>
  <c r="AW534" i="172"/>
  <c r="AW566" i="172"/>
  <c r="AW714" i="172"/>
  <c r="AW565" i="172"/>
  <c r="AW960" i="172"/>
  <c r="AW737" i="172"/>
  <c r="AI82" i="172"/>
  <c r="AI230" i="172"/>
  <c r="AI35" i="172"/>
  <c r="AI172" i="172"/>
  <c r="AI18" i="172"/>
  <c r="AI390" i="172"/>
  <c r="AI500" i="172"/>
  <c r="AI770" i="172"/>
  <c r="AI316" i="172"/>
  <c r="AI831" i="172"/>
  <c r="AW917" i="172"/>
  <c r="AI25" i="172"/>
  <c r="AI87" i="172"/>
  <c r="AI167" i="172"/>
  <c r="AI266" i="172"/>
  <c r="AI144" i="172"/>
  <c r="AI281" i="172"/>
  <c r="AI9" i="172"/>
  <c r="AI799" i="172"/>
  <c r="AI164" i="172"/>
  <c r="AI506" i="172"/>
  <c r="AI809" i="172"/>
  <c r="AW33" i="172"/>
  <c r="AW68" i="172"/>
  <c r="AW64" i="172"/>
  <c r="AW117" i="172"/>
  <c r="AW147" i="172"/>
  <c r="AW205" i="172"/>
  <c r="AW221" i="172"/>
  <c r="AW266" i="172"/>
  <c r="AW333" i="172"/>
  <c r="AW349" i="172"/>
  <c r="AW363" i="172"/>
  <c r="AW429" i="172"/>
  <c r="AW388" i="172"/>
  <c r="AW747" i="172"/>
  <c r="AW763" i="172"/>
  <c r="AW779" i="172"/>
  <c r="AW795" i="172"/>
  <c r="AW884" i="172"/>
  <c r="AW845" i="172"/>
  <c r="AW906" i="172"/>
  <c r="AW807" i="172"/>
  <c r="AW871" i="172"/>
  <c r="AW974" i="172"/>
  <c r="AW967" i="172"/>
  <c r="AW160" i="172"/>
  <c r="AW278" i="172"/>
  <c r="AW321" i="172"/>
  <c r="AW518" i="172"/>
  <c r="AW477" i="172"/>
  <c r="AW529" i="172"/>
  <c r="AW702" i="172"/>
  <c r="AW734" i="172"/>
  <c r="AW721" i="172"/>
  <c r="AI59" i="172"/>
  <c r="AI122" i="172"/>
  <c r="AI254" i="172"/>
  <c r="AI148" i="172"/>
  <c r="AI367" i="172"/>
  <c r="AI431" i="172"/>
  <c r="AI415" i="172"/>
  <c r="AI501" i="172"/>
  <c r="AW448" i="172"/>
  <c r="AW417" i="172"/>
  <c r="AW385" i="172"/>
  <c r="AW406" i="172"/>
  <c r="AW438" i="172"/>
  <c r="AW403" i="172"/>
  <c r="AI293" i="172"/>
  <c r="AW856" i="172"/>
  <c r="AI683" i="172"/>
  <c r="AW86" i="172"/>
  <c r="AW700" i="172"/>
  <c r="AI756" i="172"/>
  <c r="AW228" i="172"/>
  <c r="AW77" i="172"/>
  <c r="AW563" i="172"/>
  <c r="AI777" i="172"/>
  <c r="AW127" i="172"/>
  <c r="AW314" i="172"/>
  <c r="AW426" i="172"/>
  <c r="AW750" i="172"/>
  <c r="AW782" i="172"/>
  <c r="AW897" i="172"/>
  <c r="AW922" i="172"/>
  <c r="AW79" i="172"/>
  <c r="AW226" i="172"/>
  <c r="AW932" i="172"/>
  <c r="AW271" i="172"/>
  <c r="AW339" i="172"/>
  <c r="AW420" i="172"/>
  <c r="AW453" i="172"/>
  <c r="AW745" i="172"/>
  <c r="AW777" i="172"/>
  <c r="AW820" i="172"/>
  <c r="AW910" i="172"/>
  <c r="AW911" i="172"/>
  <c r="AW863" i="172"/>
  <c r="AW943" i="172"/>
  <c r="AW156" i="172"/>
  <c r="AW309" i="172"/>
  <c r="AW485" i="172"/>
  <c r="AW560" i="172"/>
  <c r="AW703" i="172"/>
  <c r="AI19" i="172"/>
  <c r="AI246" i="172"/>
  <c r="AI176" i="172"/>
  <c r="AI422" i="172"/>
  <c r="AI794" i="172"/>
  <c r="AI863" i="172"/>
  <c r="AI39" i="172"/>
  <c r="AI208" i="172"/>
  <c r="AI165" i="172"/>
  <c r="AI502" i="172"/>
  <c r="AI383" i="172"/>
  <c r="AI959" i="172"/>
  <c r="AW34" i="172"/>
  <c r="AW60" i="172"/>
  <c r="AW103" i="172"/>
  <c r="AW195" i="172"/>
  <c r="AW217" i="172"/>
  <c r="AW239" i="172"/>
  <c r="AW341" i="172"/>
  <c r="AW361" i="172"/>
  <c r="AW445" i="172"/>
  <c r="AW396" i="172"/>
  <c r="AW759" i="172"/>
  <c r="AW783" i="172"/>
  <c r="AW803" i="172"/>
  <c r="AW907" i="172"/>
  <c r="AW810" i="172"/>
  <c r="AW839" i="172"/>
  <c r="AW958" i="172"/>
  <c r="AW983" i="172"/>
  <c r="AW366" i="172"/>
  <c r="AW313" i="172"/>
  <c r="AW538" i="172"/>
  <c r="AW507" i="172"/>
  <c r="AW561" i="172"/>
  <c r="AW876" i="172"/>
  <c r="AI29" i="172"/>
  <c r="AI106" i="172"/>
  <c r="AI270" i="172"/>
  <c r="AI265" i="172"/>
  <c r="AI409" i="172"/>
  <c r="AI456" i="172"/>
  <c r="AI857" i="172"/>
  <c r="AW401" i="172"/>
  <c r="AW389" i="172"/>
  <c r="AW422" i="172"/>
  <c r="AW462" i="172"/>
  <c r="AW435" i="172"/>
  <c r="AW740" i="172"/>
  <c r="AW756" i="172"/>
  <c r="AW772" i="172"/>
  <c r="AW788" i="172"/>
  <c r="AW804" i="172"/>
  <c r="AW864" i="172"/>
  <c r="AW901" i="172"/>
  <c r="AW849" i="172"/>
  <c r="AW900" i="172"/>
  <c r="AW846" i="172"/>
  <c r="AW843" i="172"/>
  <c r="AW946" i="172"/>
  <c r="AW923" i="172"/>
  <c r="AW987" i="172"/>
  <c r="AW162" i="172"/>
  <c r="AW180" i="172"/>
  <c r="AW261" i="172"/>
  <c r="AW315" i="172"/>
  <c r="AW499" i="172"/>
  <c r="AW481" i="172"/>
  <c r="AW542" i="172"/>
  <c r="AW712" i="172"/>
  <c r="AW913" i="172"/>
  <c r="AW882" i="172"/>
  <c r="AI47" i="172"/>
  <c r="AI111" i="172"/>
  <c r="AI227" i="172"/>
  <c r="AI233" i="172"/>
  <c r="AI369" i="172"/>
  <c r="AI433" i="172"/>
  <c r="AI150" i="172"/>
  <c r="AI447" i="172"/>
  <c r="AI953" i="172"/>
  <c r="AI169" i="172"/>
  <c r="AI425" i="172"/>
  <c r="AI252" i="172"/>
  <c r="AI458" i="172"/>
  <c r="AI121" i="172"/>
  <c r="AI200" i="172"/>
  <c r="AI340" i="172"/>
  <c r="AI460" i="172"/>
  <c r="AI536" i="172"/>
  <c r="AI253" i="172"/>
  <c r="AI420" i="172"/>
  <c r="AI483" i="172"/>
  <c r="AI850" i="172"/>
  <c r="AI952" i="172"/>
  <c r="AI109" i="172"/>
  <c r="AI353" i="172"/>
  <c r="AI23" i="172"/>
  <c r="AI182" i="172"/>
  <c r="AI406" i="172"/>
  <c r="AI495" i="172"/>
  <c r="AI786" i="172"/>
  <c r="AI274" i="172"/>
  <c r="AI351" i="172"/>
  <c r="AI464" i="172"/>
  <c r="AI550" i="172"/>
  <c r="AI473" i="172"/>
  <c r="AI558" i="172"/>
  <c r="AI865" i="172"/>
  <c r="AI946" i="172"/>
  <c r="AI294" i="172"/>
  <c r="AI414" i="172"/>
  <c r="AI485" i="172"/>
  <c r="AI562" i="172"/>
  <c r="AI156" i="172"/>
  <c r="AI292" i="172"/>
  <c r="AI432" i="172"/>
  <c r="AI551" i="172"/>
  <c r="AI388" i="172"/>
  <c r="AI836" i="172"/>
  <c r="AI897" i="172"/>
  <c r="AI774" i="172"/>
  <c r="AI991" i="172"/>
  <c r="AI372" i="172"/>
  <c r="AI815" i="172"/>
  <c r="AI824" i="172"/>
  <c r="AI910" i="172"/>
  <c r="AI974" i="172"/>
  <c r="AI210" i="172"/>
  <c r="AW491" i="172"/>
  <c r="AI803" i="172"/>
  <c r="AW310" i="172"/>
  <c r="AI813" i="172"/>
  <c r="AW100" i="172"/>
  <c r="AW412" i="172"/>
  <c r="AW253" i="172"/>
  <c r="AW914" i="172"/>
  <c r="AI885" i="172"/>
  <c r="AW37" i="172"/>
  <c r="AW152" i="172"/>
  <c r="AW340" i="172"/>
  <c r="AW415" i="172"/>
  <c r="AW758" i="172"/>
  <c r="AW790" i="172"/>
  <c r="AW809" i="172"/>
  <c r="AW954" i="172"/>
  <c r="AW158" i="172"/>
  <c r="AW200" i="172"/>
  <c r="AW918" i="172"/>
  <c r="AW224" i="172"/>
  <c r="AW274" i="172"/>
  <c r="AW347" i="172"/>
  <c r="AW452" i="172"/>
  <c r="AW386" i="172"/>
  <c r="AW753" i="172"/>
  <c r="AW785" i="172"/>
  <c r="AW852" i="172"/>
  <c r="AW837" i="172"/>
  <c r="AW834" i="172"/>
  <c r="AW934" i="172"/>
  <c r="AW975" i="172"/>
  <c r="AW198" i="172"/>
  <c r="AW325" i="172"/>
  <c r="AW523" i="172"/>
  <c r="AW706" i="172"/>
  <c r="AW944" i="172"/>
  <c r="AI51" i="172"/>
  <c r="AI17" i="172"/>
  <c r="AI277" i="172"/>
  <c r="AI466" i="172"/>
  <c r="AI249" i="172"/>
  <c r="AW713" i="172"/>
  <c r="AI71" i="172"/>
  <c r="AI250" i="172"/>
  <c r="AI180" i="172"/>
  <c r="AI783" i="172"/>
  <c r="AI486" i="172"/>
  <c r="AW32" i="172"/>
  <c r="AW89" i="172"/>
  <c r="AW119" i="172"/>
  <c r="AW191" i="172"/>
  <c r="AW256" i="172"/>
  <c r="AW316" i="172"/>
  <c r="AW345" i="172"/>
  <c r="AW374" i="172"/>
  <c r="AW461" i="172"/>
  <c r="AW743" i="172"/>
  <c r="AW767" i="172"/>
  <c r="AW787" i="172"/>
  <c r="AW861" i="172"/>
  <c r="AW881" i="172"/>
  <c r="AW826" i="172"/>
  <c r="AW855" i="172"/>
  <c r="AW990" i="172"/>
  <c r="AW999" i="172"/>
  <c r="AW167" i="172"/>
  <c r="AW329" i="172"/>
  <c r="AW549" i="172"/>
  <c r="AW517" i="172"/>
  <c r="AW710" i="172"/>
  <c r="AW570" i="172"/>
  <c r="AI43" i="172"/>
  <c r="AI143" i="172"/>
  <c r="AI41" i="172"/>
  <c r="AI285" i="172"/>
  <c r="AI441" i="172"/>
  <c r="AI472" i="172"/>
  <c r="AW432" i="172"/>
  <c r="AW433" i="172"/>
  <c r="AW393" i="172"/>
  <c r="AW430" i="172"/>
  <c r="AW411" i="172"/>
  <c r="AW443" i="172"/>
  <c r="AW744" i="172"/>
  <c r="AW760" i="172"/>
  <c r="AW776" i="172"/>
  <c r="AW792" i="172"/>
  <c r="AW816" i="172"/>
  <c r="AW869" i="172"/>
  <c r="AW908" i="172"/>
  <c r="AW873" i="172"/>
  <c r="AW909" i="172"/>
  <c r="AW862" i="172"/>
  <c r="AW859" i="172"/>
  <c r="AW962" i="172"/>
  <c r="AW939" i="172"/>
  <c r="AW17" i="172"/>
  <c r="AW168" i="172"/>
  <c r="AW222" i="172"/>
  <c r="AW276" i="172"/>
  <c r="AW323" i="172"/>
  <c r="AW509" i="172"/>
  <c r="AW497" i="172"/>
  <c r="AW553" i="172"/>
  <c r="AW720" i="172"/>
  <c r="AW544" i="172"/>
  <c r="AW729" i="172"/>
  <c r="AI63" i="172"/>
  <c r="AI127" i="172"/>
  <c r="AI242" i="172"/>
  <c r="AI273" i="172"/>
  <c r="AI391" i="172"/>
  <c r="AI455" i="172"/>
  <c r="AI160" i="172"/>
  <c r="AI496" i="172"/>
  <c r="AI985" i="172"/>
  <c r="AI350" i="172"/>
  <c r="AI22" i="172"/>
  <c r="AI366" i="172"/>
  <c r="AI479" i="172"/>
  <c r="AI131" i="172"/>
  <c r="AI213" i="172"/>
  <c r="AI384" i="172"/>
  <c r="AI476" i="172"/>
  <c r="AI566" i="172"/>
  <c r="AI269" i="172"/>
  <c r="AI520" i="172"/>
  <c r="AI718" i="172"/>
  <c r="AI871" i="172"/>
  <c r="AI984" i="172"/>
  <c r="AI137" i="172"/>
  <c r="AI385" i="172"/>
  <c r="AI81" i="172"/>
  <c r="AI192" i="172"/>
  <c r="AI438" i="172"/>
  <c r="AI503" i="172"/>
  <c r="AI107" i="172"/>
  <c r="AI282" i="172"/>
  <c r="AI376" i="172"/>
  <c r="AI480" i="172"/>
  <c r="AI567" i="172"/>
  <c r="AI793" i="172"/>
  <c r="AI792" i="172"/>
  <c r="AI903" i="172"/>
  <c r="AI967" i="172"/>
  <c r="AI168" i="172"/>
  <c r="AI446" i="172"/>
  <c r="AI497" i="172"/>
  <c r="AI722" i="172"/>
  <c r="AI162" i="172"/>
  <c r="AI324" i="172"/>
  <c r="AI468" i="172"/>
  <c r="AI575" i="172"/>
  <c r="AI452" i="172"/>
  <c r="AI846" i="172"/>
  <c r="AI929" i="172"/>
  <c r="AI310" i="172"/>
  <c r="AI185" i="172"/>
  <c r="AI436" i="172"/>
  <c r="AI465" i="172"/>
  <c r="AI856" i="172"/>
  <c r="AI932" i="172"/>
  <c r="AI996" i="172"/>
  <c r="AI747" i="172"/>
  <c r="AW953" i="172"/>
  <c r="AW30" i="172"/>
  <c r="AW425" i="172"/>
  <c r="AI204" i="172"/>
  <c r="AW120" i="172"/>
  <c r="AW824" i="172"/>
  <c r="AW285" i="172"/>
  <c r="AI223" i="172"/>
  <c r="AI789" i="172"/>
  <c r="AW28" i="172"/>
  <c r="AW207" i="172"/>
  <c r="AW356" i="172"/>
  <c r="AW447" i="172"/>
  <c r="AW766" i="172"/>
  <c r="AW798" i="172"/>
  <c r="AW819" i="172"/>
  <c r="AW986" i="172"/>
  <c r="AW170" i="172"/>
  <c r="AW522" i="172"/>
  <c r="AW956" i="172"/>
  <c r="AW264" i="172"/>
  <c r="AW312" i="172"/>
  <c r="AW355" i="172"/>
  <c r="AW378" i="172"/>
  <c r="AW394" i="172"/>
  <c r="AW761" i="172"/>
  <c r="AW793" i="172"/>
  <c r="AW878" i="172"/>
  <c r="AW877" i="172"/>
  <c r="AW866" i="172"/>
  <c r="AW966" i="172"/>
  <c r="AW19" i="172"/>
  <c r="AW265" i="172"/>
  <c r="AW487" i="172"/>
  <c r="AW545" i="172"/>
  <c r="AW722" i="172"/>
  <c r="AW976" i="172"/>
  <c r="AI98" i="172"/>
  <c r="AI85" i="172"/>
  <c r="AI146" i="172"/>
  <c r="AI510" i="172"/>
  <c r="AI348" i="172"/>
  <c r="AW945" i="172"/>
  <c r="AI103" i="172"/>
  <c r="AI93" i="172"/>
  <c r="AI375" i="172"/>
  <c r="AI136" i="172"/>
  <c r="AI534" i="172"/>
  <c r="AW52" i="172"/>
  <c r="AW74" i="172"/>
  <c r="AW133" i="172"/>
  <c r="AW209" i="172"/>
  <c r="AW272" i="172"/>
  <c r="AW324" i="172"/>
  <c r="AW353" i="172"/>
  <c r="AW380" i="172"/>
  <c r="AW384" i="172"/>
  <c r="AW751" i="172"/>
  <c r="AW771" i="172"/>
  <c r="AW791" i="172"/>
  <c r="AW892" i="172"/>
  <c r="AW889" i="172"/>
  <c r="AW842" i="172"/>
  <c r="AW926" i="172"/>
  <c r="AW935" i="172"/>
  <c r="AW18" i="172"/>
  <c r="AW287" i="172"/>
  <c r="AW479" i="172"/>
  <c r="AW369" i="172"/>
  <c r="AW550" i="172"/>
  <c r="AW718" i="172"/>
  <c r="AW719" i="172"/>
  <c r="AI75" i="172"/>
  <c r="AI175" i="172"/>
  <c r="AI101" i="172"/>
  <c r="AI377" i="172"/>
  <c r="AI555" i="172"/>
  <c r="AI494" i="172"/>
  <c r="AW464" i="172"/>
  <c r="AW449" i="172"/>
  <c r="AW397" i="172"/>
  <c r="AW446" i="172"/>
  <c r="AW419" i="172"/>
  <c r="AW451" i="172"/>
  <c r="AW748" i="172"/>
  <c r="AW764" i="172"/>
  <c r="AW780" i="172"/>
  <c r="AW796" i="172"/>
  <c r="AW832" i="172"/>
  <c r="AW886" i="172"/>
  <c r="AW817" i="172"/>
  <c r="AW883" i="172"/>
  <c r="AW814" i="172"/>
  <c r="AW811" i="172"/>
  <c r="AW915" i="172"/>
  <c r="AW978" i="172"/>
  <c r="AW955" i="172"/>
  <c r="AW20" i="172"/>
  <c r="AW172" i="172"/>
  <c r="AW242" i="172"/>
  <c r="AW289" i="172"/>
  <c r="AW331" i="172"/>
  <c r="AW530" i="172"/>
  <c r="AW510" i="172"/>
  <c r="AW556" i="172"/>
  <c r="AW728" i="172"/>
  <c r="AW562" i="172"/>
  <c r="AI15" i="172"/>
  <c r="AI79" i="172"/>
  <c r="AI151" i="172"/>
  <c r="AI258" i="172"/>
  <c r="AI289" i="172"/>
  <c r="AI401" i="172"/>
  <c r="AI40" i="172"/>
  <c r="AI791" i="172"/>
  <c r="AI219" i="172"/>
  <c r="AI133" i="172"/>
  <c r="AI361" i="172"/>
  <c r="AI78" i="172"/>
  <c r="AI398" i="172"/>
  <c r="AI512" i="172"/>
  <c r="AI161" i="172"/>
  <c r="AI245" i="172"/>
  <c r="AI416" i="172"/>
  <c r="AI489" i="172"/>
  <c r="AI715" i="172"/>
  <c r="AI334" i="172"/>
  <c r="AI726" i="172"/>
  <c r="AI806" i="172"/>
  <c r="AI882" i="172"/>
  <c r="AI342" i="172"/>
  <c r="AI170" i="172"/>
  <c r="AI417" i="172"/>
  <c r="AI97" i="172"/>
  <c r="AI236" i="172"/>
  <c r="AI471" i="172"/>
  <c r="AI529" i="172"/>
  <c r="AI129" i="172"/>
  <c r="AI300" i="172"/>
  <c r="AI408" i="172"/>
  <c r="AI499" i="172"/>
  <c r="AI188" i="172"/>
  <c r="AI804" i="172"/>
  <c r="AI814" i="172"/>
  <c r="AI914" i="172"/>
  <c r="AI978" i="172"/>
  <c r="AI268" i="172"/>
  <c r="AI463" i="172"/>
  <c r="AI505" i="172"/>
  <c r="AI105" i="172"/>
  <c r="AI229" i="172"/>
  <c r="AI368" i="172"/>
  <c r="AI492" i="172"/>
  <c r="AI33" i="172"/>
  <c r="AI488" i="172"/>
  <c r="AI868" i="172"/>
  <c r="AI961" i="172"/>
  <c r="AI825" i="172"/>
  <c r="AI237" i="172"/>
  <c r="AI509" i="172"/>
  <c r="AI570" i="172"/>
  <c r="AI888" i="172"/>
  <c r="AI942" i="172"/>
  <c r="AI927" i="172"/>
  <c r="AI775" i="172"/>
  <c r="AW130" i="172"/>
  <c r="AI717" i="172"/>
  <c r="AW252" i="172"/>
  <c r="AW880" i="172"/>
  <c r="AW564" i="172"/>
  <c r="AW328" i="172"/>
  <c r="AW769" i="172"/>
  <c r="AW831" i="172"/>
  <c r="AW512" i="172"/>
  <c r="AI159" i="172"/>
  <c r="AI504" i="172"/>
  <c r="AI439" i="172"/>
  <c r="AW141" i="172"/>
  <c r="AW357" i="172"/>
  <c r="AW775" i="172"/>
  <c r="AW823" i="172"/>
  <c r="AW295" i="172"/>
  <c r="AW726" i="172"/>
  <c r="AI184" i="172"/>
  <c r="AW377" i="172"/>
  <c r="AW427" i="172"/>
  <c r="AW784" i="172"/>
  <c r="AW833" i="172"/>
  <c r="AW930" i="172"/>
  <c r="AW176" i="172"/>
  <c r="AW541" i="172"/>
  <c r="AW727" i="172"/>
  <c r="AI152" i="172"/>
  <c r="AI360" i="172"/>
  <c r="AI27" i="172"/>
  <c r="AI308" i="172"/>
  <c r="AI356" i="172"/>
  <c r="AI26" i="172"/>
  <c r="AI374" i="172"/>
  <c r="AI332" i="172"/>
  <c r="AI812" i="172"/>
  <c r="AI382" i="172"/>
  <c r="AI261" i="172"/>
  <c r="AI801" i="172"/>
  <c r="AI318" i="172"/>
  <c r="AI964" i="172"/>
  <c r="AI451" i="172"/>
  <c r="AW137" i="172"/>
  <c r="AI915" i="172"/>
  <c r="AW440" i="172"/>
  <c r="AW851" i="172"/>
  <c r="AW988" i="172"/>
  <c r="AW365" i="172"/>
  <c r="AW801" i="172"/>
  <c r="AW998" i="172"/>
  <c r="AW557" i="172"/>
  <c r="AI138" i="172"/>
  <c r="AI8" i="172"/>
  <c r="AI158" i="172"/>
  <c r="AW23" i="172"/>
  <c r="AW213" i="172"/>
  <c r="AW413" i="172"/>
  <c r="AW799" i="172"/>
  <c r="AW942" i="172"/>
  <c r="AW495" i="172"/>
  <c r="AI14" i="172"/>
  <c r="AI399" i="172"/>
  <c r="AW381" i="172"/>
  <c r="AW459" i="172"/>
  <c r="AW800" i="172"/>
  <c r="AW891" i="172"/>
  <c r="AW994" i="172"/>
  <c r="AW245" i="172"/>
  <c r="AW520" i="172"/>
  <c r="AI32" i="172"/>
  <c r="AI359" i="172"/>
  <c r="AI921" i="172"/>
  <c r="AI430" i="172"/>
  <c r="AI448" i="172"/>
  <c r="AI784" i="172"/>
  <c r="AI257" i="172"/>
  <c r="AI482" i="172"/>
  <c r="AI440" i="172"/>
  <c r="AI833" i="172"/>
  <c r="AI474" i="172"/>
  <c r="AI400" i="172"/>
  <c r="AI878" i="172"/>
  <c r="AI807" i="172"/>
  <c r="AI326" i="172"/>
  <c r="AW87" i="172"/>
  <c r="AW327" i="172"/>
  <c r="AW88" i="172"/>
  <c r="AW178" i="172"/>
  <c r="AW376" i="172"/>
  <c r="AW283" i="172"/>
  <c r="AI563" i="172"/>
  <c r="AW84" i="172"/>
  <c r="AW898" i="172"/>
  <c r="AW368" i="172"/>
  <c r="AI766" i="172"/>
  <c r="AW768" i="172"/>
  <c r="AW894" i="172"/>
  <c r="AW154" i="172"/>
  <c r="AW736" i="172"/>
  <c r="AI89" i="172"/>
  <c r="AI166" i="172"/>
  <c r="AI920" i="172"/>
  <c r="AI404" i="172"/>
  <c r="AI115" i="172"/>
  <c r="AI889" i="172"/>
  <c r="AW963" i="172"/>
  <c r="AW742" i="172"/>
  <c r="AW82" i="172"/>
  <c r="AW421" i="172"/>
  <c r="AW896" i="172"/>
  <c r="AW48" i="172"/>
  <c r="AW738" i="172"/>
  <c r="AI358" i="172"/>
  <c r="AI135" i="172"/>
  <c r="AI713" i="172"/>
  <c r="AW56" i="172"/>
  <c r="AW250" i="172"/>
  <c r="AW392" i="172"/>
  <c r="AW899" i="172"/>
  <c r="AW951" i="172"/>
  <c r="AW493" i="172"/>
  <c r="AI90" i="172"/>
  <c r="AI123" i="172"/>
  <c r="AW414" i="172"/>
  <c r="AW752" i="172"/>
  <c r="AW848" i="172"/>
  <c r="AW830" i="172"/>
  <c r="AW971" i="172"/>
  <c r="AW297" i="172"/>
  <c r="AW704" i="172"/>
  <c r="AI95" i="172"/>
  <c r="AI423" i="172"/>
  <c r="AI142" i="172"/>
  <c r="AI544" i="172"/>
  <c r="AI508" i="172"/>
  <c r="AI839" i="172"/>
  <c r="AI449" i="172"/>
  <c r="AI578" i="172"/>
  <c r="AI521" i="172"/>
  <c r="AI935" i="172"/>
  <c r="AI538" i="172"/>
  <c r="AI530" i="172"/>
  <c r="AI993" i="172"/>
  <c r="AI818" i="172"/>
  <c r="AW774" i="172"/>
  <c r="AW240" i="172"/>
  <c r="AW893" i="172"/>
  <c r="AW705" i="172"/>
  <c r="AI140" i="172"/>
  <c r="AW337" i="172"/>
  <c r="AW755" i="172"/>
  <c r="AW273" i="172"/>
  <c r="AI238" i="172"/>
  <c r="AW454" i="172"/>
  <c r="AW827" i="172"/>
  <c r="AW483" i="172"/>
  <c r="AI183" i="172"/>
  <c r="AI393" i="172"/>
  <c r="AI186" i="172"/>
  <c r="AI149" i="172"/>
  <c r="AI154" i="172"/>
  <c r="AI999" i="172"/>
  <c r="AI302" i="172"/>
  <c r="AI900" i="172"/>
  <c r="AI7" i="172"/>
  <c r="AI1000" i="172"/>
  <c r="AW5" i="172"/>
  <c r="AW1000" i="172"/>
  <c r="AW6" i="172"/>
  <c r="AI5" i="172"/>
  <c r="AI68" i="172"/>
  <c r="AI34" i="172"/>
  <c r="AI44" i="172"/>
  <c r="AI76" i="172"/>
  <c r="AI60" i="172"/>
  <c r="AI48" i="172"/>
  <c r="AI52" i="172"/>
  <c r="AI912" i="172"/>
  <c r="AI840" i="172"/>
  <c r="AI922" i="172"/>
  <c r="AI906" i="172"/>
  <c r="AI896" i="172"/>
  <c r="AI848" i="172"/>
  <c r="AI278" i="172"/>
  <c r="AI930" i="172"/>
  <c r="AI928" i="172"/>
  <c r="AI518" i="172"/>
  <c r="AI918" i="172"/>
  <c r="AI876" i="172"/>
  <c r="AI841" i="172"/>
  <c r="AI817" i="172"/>
  <c r="AI579" i="172"/>
  <c r="AI546" i="172"/>
  <c r="AI306" i="172"/>
  <c r="AI264" i="172"/>
  <c r="AI134" i="172"/>
  <c r="AI12" i="172"/>
  <c r="AI975" i="172"/>
  <c r="AI911" i="172"/>
  <c r="AI916" i="172"/>
  <c r="AI887" i="172"/>
  <c r="AI852" i="172"/>
  <c r="AI785" i="172"/>
  <c r="AI892" i="172"/>
  <c r="AI828" i="172"/>
  <c r="AI808" i="172"/>
  <c r="AI522" i="172"/>
  <c r="AI457" i="172"/>
  <c r="AI426" i="172"/>
  <c r="AI394" i="172"/>
  <c r="AI362" i="172"/>
  <c r="AI181" i="172"/>
  <c r="AI64" i="172"/>
  <c r="AI990" i="172"/>
  <c r="AI948" i="172"/>
  <c r="AI884" i="172"/>
  <c r="AI830" i="172"/>
  <c r="AI966" i="172"/>
  <c r="AI902" i="172"/>
  <c r="AI870" i="172"/>
  <c r="AI798" i="172"/>
  <c r="AI782" i="172"/>
  <c r="AI330" i="172"/>
  <c r="AI16" i="172"/>
  <c r="AI418" i="172"/>
  <c r="AI354" i="172"/>
  <c r="AI344" i="172"/>
  <c r="AI157" i="172"/>
  <c r="AI248" i="172"/>
  <c r="AI62" i="172"/>
  <c r="AI20" i="172"/>
  <c r="AI898" i="172"/>
  <c r="AI832" i="172"/>
  <c r="AI986" i="172"/>
  <c r="AI970" i="172"/>
  <c r="AI880" i="172"/>
  <c r="AI834" i="172"/>
  <c r="AI954" i="172"/>
  <c r="AI994" i="172"/>
  <c r="AI890" i="172"/>
  <c r="AI943" i="172"/>
  <c r="AI908" i="172"/>
  <c r="AI980" i="172"/>
  <c r="AI919" i="172"/>
  <c r="AI802" i="172"/>
  <c r="AI574" i="172"/>
  <c r="AI528" i="172"/>
  <c r="AI490" i="172"/>
  <c r="AI481" i="172"/>
  <c r="AI290" i="172"/>
  <c r="AI260" i="172"/>
  <c r="AI54" i="172"/>
  <c r="AI10" i="172"/>
  <c r="AI940" i="172"/>
  <c r="AI977" i="172"/>
  <c r="AI945" i="172"/>
  <c r="AI514" i="172"/>
  <c r="AI444" i="172"/>
  <c r="AI412" i="172"/>
  <c r="AI380" i="172"/>
  <c r="AI336" i="172"/>
  <c r="AI284" i="172"/>
  <c r="AI244" i="172"/>
  <c r="AI972" i="172"/>
  <c r="AI873" i="172"/>
  <c r="AI847" i="172"/>
  <c r="AI855" i="172"/>
  <c r="AI988" i="172"/>
  <c r="AI924" i="172"/>
  <c r="AI462" i="172"/>
  <c r="AI314" i="172"/>
  <c r="AI434" i="172"/>
  <c r="AI370" i="172"/>
  <c r="AI328" i="172"/>
  <c r="AI232" i="172"/>
  <c r="AI141" i="172"/>
  <c r="AI221" i="172"/>
  <c r="AI179" i="172"/>
  <c r="AI91" i="172"/>
  <c r="AI88" i="172"/>
  <c r="AI66" i="172"/>
  <c r="AI38" i="172"/>
  <c r="AI866" i="172"/>
  <c r="AI826" i="172"/>
  <c r="AI976" i="172"/>
  <c r="AI936" i="172"/>
  <c r="AI874" i="172"/>
  <c r="AI816" i="172"/>
  <c r="AI992" i="172"/>
  <c r="AI968" i="172"/>
  <c r="AI864" i="172"/>
  <c r="AI844" i="172"/>
  <c r="AI823" i="172"/>
  <c r="AI484" i="172"/>
  <c r="AI478" i="172"/>
  <c r="AI338" i="172"/>
  <c r="AI147" i="172"/>
  <c r="AI982" i="172"/>
  <c r="AI969" i="172"/>
  <c r="AI926" i="172"/>
  <c r="AI881" i="172"/>
  <c r="AI779" i="172"/>
  <c r="AI800" i="172"/>
  <c r="AI537" i="172"/>
  <c r="AI442" i="172"/>
  <c r="AI410" i="172"/>
  <c r="AI378" i="172"/>
  <c r="AI320" i="172"/>
  <c r="AI178" i="172"/>
  <c r="AI905" i="172"/>
  <c r="AI913" i="172"/>
  <c r="AI810" i="172"/>
  <c r="AI934" i="172"/>
  <c r="AI860" i="172"/>
  <c r="AI838" i="172"/>
  <c r="AI513" i="172"/>
  <c r="AI498" i="172"/>
  <c r="AI352" i="172"/>
  <c r="AI298" i="172"/>
  <c r="AI72" i="172"/>
  <c r="AI450" i="172"/>
  <c r="AI386" i="172"/>
  <c r="AI312" i="172"/>
  <c r="AI163" i="172"/>
  <c r="AI83" i="172"/>
  <c r="AI80" i="172"/>
  <c r="AI58" i="172"/>
  <c r="AI780" i="172"/>
  <c r="AI256" i="172"/>
  <c r="AI228" i="172"/>
  <c r="AI99" i="172"/>
  <c r="AI96" i="172"/>
  <c r="AI46" i="172"/>
  <c r="AI13" i="172"/>
  <c r="AI177" i="172"/>
  <c r="AI31" i="172"/>
  <c r="AI187" i="172"/>
  <c r="AI842" i="172"/>
  <c r="AI944" i="172"/>
  <c r="AI938" i="172"/>
  <c r="AI904" i="172"/>
  <c r="AI872" i="172"/>
  <c r="AI286" i="172"/>
  <c r="AI962" i="172"/>
  <c r="AI960" i="172"/>
  <c r="AI858" i="172"/>
  <c r="AI950" i="172"/>
  <c r="AI937" i="172"/>
  <c r="AI822" i="172"/>
  <c r="AI958" i="172"/>
  <c r="AI894" i="172"/>
  <c r="AI554" i="172"/>
  <c r="AI322" i="172"/>
  <c r="AI276" i="172"/>
  <c r="AI145" i="172"/>
  <c r="AI56" i="172"/>
  <c r="AI50" i="172"/>
  <c r="AI879" i="172"/>
  <c r="AI983" i="172"/>
  <c r="AI951" i="172"/>
  <c r="AI820" i="172"/>
  <c r="AI998" i="172"/>
  <c r="AI796" i="172"/>
  <c r="AI526" i="172"/>
  <c r="AI493" i="172"/>
  <c r="AI428" i="172"/>
  <c r="AI396" i="172"/>
  <c r="AI364" i="172"/>
  <c r="AI304" i="172"/>
  <c r="AI886" i="172"/>
  <c r="AI854" i="172"/>
  <c r="AI862" i="172"/>
  <c r="AI849" i="172"/>
  <c r="AI956" i="172"/>
  <c r="AI545" i="172"/>
  <c r="AI790" i="172"/>
  <c r="AI491" i="172"/>
  <c r="AI346" i="172"/>
  <c r="AI215" i="172"/>
  <c r="AI470" i="172"/>
  <c r="AI402" i="172"/>
  <c r="AI296" i="172"/>
  <c r="AI171" i="172"/>
  <c r="AI28" i="172"/>
  <c r="AI30" i="172"/>
  <c r="AI128" i="172"/>
  <c r="AI120" i="172"/>
  <c r="AI112" i="172"/>
  <c r="AI104" i="172"/>
  <c r="AI70" i="172"/>
  <c r="AW964" i="172"/>
  <c r="AI788" i="172"/>
  <c r="AI272" i="172"/>
  <c r="AW980" i="172"/>
  <c r="AW996" i="172"/>
  <c r="AW874" i="172"/>
  <c r="AW733" i="172"/>
  <c r="AW701" i="172"/>
  <c r="AW686" i="172"/>
  <c r="AW670" i="172"/>
  <c r="AW654" i="172"/>
  <c r="AW638" i="172"/>
  <c r="AW622" i="172"/>
  <c r="AW606" i="172"/>
  <c r="AW590" i="172"/>
  <c r="AW574" i="172"/>
  <c r="AW968" i="172"/>
  <c r="AW731" i="172"/>
  <c r="AW695" i="172"/>
  <c r="AW679" i="172"/>
  <c r="AW663" i="172"/>
  <c r="AW647" i="172"/>
  <c r="AW631" i="172"/>
  <c r="AW615" i="172"/>
  <c r="AW599" i="172"/>
  <c r="AW583" i="172"/>
  <c r="AW494" i="172"/>
  <c r="AW14" i="172"/>
  <c r="AW10" i="172"/>
  <c r="AW696" i="172"/>
  <c r="AW680" i="172"/>
  <c r="AW664" i="172"/>
  <c r="AW648" i="172"/>
  <c r="AW632" i="172"/>
  <c r="AW616" i="172"/>
  <c r="AW600" i="172"/>
  <c r="AW584" i="172"/>
  <c r="AW555" i="172"/>
  <c r="AW697" i="172"/>
  <c r="AW681" i="172"/>
  <c r="AW665" i="172"/>
  <c r="AW649" i="172"/>
  <c r="AW633" i="172"/>
  <c r="AW617" i="172"/>
  <c r="AW601" i="172"/>
  <c r="AW585" i="172"/>
  <c r="AW482" i="172"/>
  <c r="AW508" i="172"/>
  <c r="AW308" i="172"/>
  <c r="AW531" i="172"/>
  <c r="AW484" i="172"/>
  <c r="AW467" i="172"/>
  <c r="AW303" i="172"/>
  <c r="AW466" i="172"/>
  <c r="AW177" i="172"/>
  <c r="AW157" i="172"/>
  <c r="AW302" i="172"/>
  <c r="AW294" i="172"/>
  <c r="AW286" i="172"/>
  <c r="AW179" i="172"/>
  <c r="AW153" i="172"/>
  <c r="AW186" i="172"/>
  <c r="AI280" i="172"/>
  <c r="AI24" i="172"/>
  <c r="AW725" i="172"/>
  <c r="AW698" i="172"/>
  <c r="AW682" i="172"/>
  <c r="AW666" i="172"/>
  <c r="AW650" i="172"/>
  <c r="AW634" i="172"/>
  <c r="AW618" i="172"/>
  <c r="AW602" i="172"/>
  <c r="AW586" i="172"/>
  <c r="AW723" i="172"/>
  <c r="AW691" i="172"/>
  <c r="AW675" i="172"/>
  <c r="AW659" i="172"/>
  <c r="AW643" i="172"/>
  <c r="AW627" i="172"/>
  <c r="AW611" i="172"/>
  <c r="AW595" i="172"/>
  <c r="AW579" i="172"/>
  <c r="AW486" i="172"/>
  <c r="AW13" i="172"/>
  <c r="AW9" i="172"/>
  <c r="AW692" i="172"/>
  <c r="AW676" i="172"/>
  <c r="AW660" i="172"/>
  <c r="AW644" i="172"/>
  <c r="AW628" i="172"/>
  <c r="AW612" i="172"/>
  <c r="AW596" i="172"/>
  <c r="AW580" i="172"/>
  <c r="AW693" i="172"/>
  <c r="AW677" i="172"/>
  <c r="AW661" i="172"/>
  <c r="AW645" i="172"/>
  <c r="AW629" i="172"/>
  <c r="AW613" i="172"/>
  <c r="AW597" i="172"/>
  <c r="AW581" i="172"/>
  <c r="AW543" i="172"/>
  <c r="AW474" i="172"/>
  <c r="AW539" i="172"/>
  <c r="AW500" i="172"/>
  <c r="AW551" i="172"/>
  <c r="AW505" i="172"/>
  <c r="AW304" i="172"/>
  <c r="AW699" i="172"/>
  <c r="AW516" i="172"/>
  <c r="AW496" i="172"/>
  <c r="AW480" i="172"/>
  <c r="AW299" i="172"/>
  <c r="AW306" i="172"/>
  <c r="AW173" i="172"/>
  <c r="AW305" i="172"/>
  <c r="AW300" i="172"/>
  <c r="AW292" i="172"/>
  <c r="AW284" i="172"/>
  <c r="AW175" i="172"/>
  <c r="AW184" i="172"/>
  <c r="AW66" i="172"/>
  <c r="AI288" i="172"/>
  <c r="AI173" i="172"/>
  <c r="AI74" i="172"/>
  <c r="AW948" i="172"/>
  <c r="AW717" i="172"/>
  <c r="AW694" i="172"/>
  <c r="AW678" i="172"/>
  <c r="AW662" i="172"/>
  <c r="AW646" i="172"/>
  <c r="AW630" i="172"/>
  <c r="AW614" i="172"/>
  <c r="AW598" i="172"/>
  <c r="AW582" i="172"/>
  <c r="AW984" i="172"/>
  <c r="AW952" i="172"/>
  <c r="AW715" i="172"/>
  <c r="AW687" i="172"/>
  <c r="AW671" i="172"/>
  <c r="AW655" i="172"/>
  <c r="AW639" i="172"/>
  <c r="AW623" i="172"/>
  <c r="AW607" i="172"/>
  <c r="AW591" i="172"/>
  <c r="AW575" i="172"/>
  <c r="AW478" i="172"/>
  <c r="AW16" i="172"/>
  <c r="AW12" i="172"/>
  <c r="AW8" i="172"/>
  <c r="AW688" i="172"/>
  <c r="AW672" i="172"/>
  <c r="AW656" i="172"/>
  <c r="AW640" i="172"/>
  <c r="AW624" i="172"/>
  <c r="AW608" i="172"/>
  <c r="AW592" i="172"/>
  <c r="AW576" i="172"/>
  <c r="AW527" i="172"/>
  <c r="AI240" i="172"/>
  <c r="AI42" i="172"/>
  <c r="AI139" i="172"/>
  <c r="AI155" i="172"/>
  <c r="AW524" i="172"/>
  <c r="AW875" i="172"/>
  <c r="AW920" i="172"/>
  <c r="AW709" i="172"/>
  <c r="AW690" i="172"/>
  <c r="AW674" i="172"/>
  <c r="AW658" i="172"/>
  <c r="AW642" i="172"/>
  <c r="AW626" i="172"/>
  <c r="AW610" i="172"/>
  <c r="AW594" i="172"/>
  <c r="AW578" i="172"/>
  <c r="AW739" i="172"/>
  <c r="AW707" i="172"/>
  <c r="AW683" i="172"/>
  <c r="AW667" i="172"/>
  <c r="AW651" i="172"/>
  <c r="AW635" i="172"/>
  <c r="AW619" i="172"/>
  <c r="AW603" i="172"/>
  <c r="AW587" i="172"/>
  <c r="AW567" i="172"/>
  <c r="AW470" i="172"/>
  <c r="AW15" i="172"/>
  <c r="AW11" i="172"/>
  <c r="AW7" i="172"/>
  <c r="AW684" i="172"/>
  <c r="AW668" i="172"/>
  <c r="AW652" i="172"/>
  <c r="AW636" i="172"/>
  <c r="AW620" i="172"/>
  <c r="AW604" i="172"/>
  <c r="AW588" i="172"/>
  <c r="AW572" i="172"/>
  <c r="AW521" i="172"/>
  <c r="AW685" i="172"/>
  <c r="AW669" i="172"/>
  <c r="AW653" i="172"/>
  <c r="AW637" i="172"/>
  <c r="AW621" i="172"/>
  <c r="AW605" i="172"/>
  <c r="AW589" i="172"/>
  <c r="AW573" i="172"/>
  <c r="AW490" i="172"/>
  <c r="AW465" i="172"/>
  <c r="AW535" i="172"/>
  <c r="AW488" i="172"/>
  <c r="AW472" i="172"/>
  <c r="AW307" i="172"/>
  <c r="AW468" i="172"/>
  <c r="AW181" i="172"/>
  <c r="AW165" i="172"/>
  <c r="AW155" i="172"/>
  <c r="AW296" i="172"/>
  <c r="AW288" i="172"/>
  <c r="AW183" i="172"/>
  <c r="AW161" i="172"/>
  <c r="AW159" i="172"/>
  <c r="AW689" i="172"/>
  <c r="AW625" i="172"/>
  <c r="AW498" i="172"/>
  <c r="AW547" i="172"/>
  <c r="AW476" i="172"/>
  <c r="AW185" i="172"/>
  <c r="AW282" i="172"/>
  <c r="AW171" i="172"/>
  <c r="AW673" i="172"/>
  <c r="AW609" i="172"/>
  <c r="AW513" i="172"/>
  <c r="AW169" i="172"/>
  <c r="AW163" i="172"/>
  <c r="AW657" i="172"/>
  <c r="AW593" i="172"/>
  <c r="AW301" i="172"/>
  <c r="AW298" i="172"/>
  <c r="AW641" i="172"/>
  <c r="AW577" i="172"/>
  <c r="AW469" i="172"/>
  <c r="AW492" i="172"/>
  <c r="AW275" i="172"/>
  <c r="AW290" i="172"/>
  <c r="AW187" i="172"/>
  <c r="AW83" i="172"/>
  <c r="K44" i="172"/>
  <c r="K36" i="172"/>
  <c r="K19" i="172"/>
  <c r="K13" i="172"/>
  <c r="K52" i="172"/>
  <c r="K48" i="172"/>
  <c r="K27" i="172"/>
  <c r="K20" i="172"/>
  <c r="K42" i="172"/>
  <c r="K37" i="172"/>
  <c r="K16" i="172"/>
  <c r="K58" i="172"/>
  <c r="K40" i="172"/>
  <c r="K21" i="172"/>
  <c r="K54" i="172"/>
  <c r="K33" i="172"/>
  <c r="K10" i="172"/>
  <c r="K59" i="172"/>
  <c r="K45" i="172"/>
  <c r="K55" i="172"/>
  <c r="K32" i="172"/>
  <c r="K14" i="172"/>
  <c r="K46" i="172"/>
  <c r="K26" i="172"/>
  <c r="K47" i="172"/>
  <c r="K41" i="172"/>
  <c r="K31" i="172"/>
  <c r="K17" i="172"/>
  <c r="K7" i="172"/>
  <c r="K57" i="172"/>
  <c r="K50" i="172"/>
  <c r="K34" i="172"/>
  <c r="K25" i="172"/>
  <c r="K11" i="172"/>
  <c r="K53" i="172"/>
  <c r="K39" i="172"/>
  <c r="K30" i="172"/>
  <c r="K12" i="172"/>
  <c r="K51" i="172"/>
  <c r="K43" i="172"/>
  <c r="K35" i="172"/>
  <c r="K6" i="172"/>
  <c r="K56" i="172"/>
  <c r="K38" i="172"/>
  <c r="K24" i="172"/>
  <c r="K15" i="172"/>
  <c r="K5" i="172"/>
  <c r="K29" i="172"/>
  <c r="K22" i="172"/>
  <c r="K8" i="172"/>
  <c r="K18" i="172"/>
  <c r="K9" i="172"/>
  <c r="K49" i="172"/>
  <c r="K28" i="172"/>
  <c r="K23" i="172"/>
  <c r="K4" i="172"/>
  <c r="AC4" i="172"/>
  <c r="Y4" i="172" a="1"/>
  <c r="Y4" i="172" s="1"/>
  <c r="AT4" i="172"/>
  <c r="AN4" i="172"/>
  <c r="AS4" i="172"/>
  <c r="AO4" i="172"/>
  <c r="AA4" i="172"/>
  <c r="V36" i="171"/>
  <c r="V26" i="171"/>
  <c r="P4" i="172" l="1"/>
  <c r="R4" i="172" s="1"/>
  <c r="L4" i="172"/>
  <c r="P9" i="172"/>
  <c r="R9" i="172" s="1"/>
  <c r="L9" i="172"/>
  <c r="P29" i="172"/>
  <c r="R29" i="172" s="1"/>
  <c r="L29" i="172"/>
  <c r="P38" i="172"/>
  <c r="R38" i="172" s="1"/>
  <c r="L38" i="172"/>
  <c r="P43" i="172"/>
  <c r="R43" i="172" s="1"/>
  <c r="L43" i="172"/>
  <c r="P39" i="172"/>
  <c r="R39" i="172" s="1"/>
  <c r="L39" i="172"/>
  <c r="P34" i="172"/>
  <c r="R34" i="172" s="1"/>
  <c r="L34" i="172"/>
  <c r="P17" i="172"/>
  <c r="R17" i="172" s="1"/>
  <c r="L17" i="172"/>
  <c r="P26" i="172"/>
  <c r="R26" i="172" s="1"/>
  <c r="L26" i="172"/>
  <c r="P55" i="172"/>
  <c r="R55" i="172" s="1"/>
  <c r="L55" i="172"/>
  <c r="P33" i="172"/>
  <c r="R33" i="172" s="1"/>
  <c r="L33" i="172"/>
  <c r="P58" i="172"/>
  <c r="R58" i="172" s="1"/>
  <c r="L58" i="172"/>
  <c r="P20" i="172"/>
  <c r="R20" i="172" s="1"/>
  <c r="L20" i="172"/>
  <c r="P13" i="172"/>
  <c r="R13" i="172" s="1"/>
  <c r="L13" i="172"/>
  <c r="P23" i="172"/>
  <c r="R23" i="172" s="1"/>
  <c r="L23" i="172"/>
  <c r="P18" i="172"/>
  <c r="R18" i="172" s="1"/>
  <c r="L18" i="172"/>
  <c r="P5" i="172"/>
  <c r="R5" i="172" s="1"/>
  <c r="L5" i="172"/>
  <c r="P56" i="172"/>
  <c r="R56" i="172" s="1"/>
  <c r="L56" i="172"/>
  <c r="P51" i="172"/>
  <c r="R51" i="172" s="1"/>
  <c r="L51" i="172"/>
  <c r="P53" i="172"/>
  <c r="R53" i="172" s="1"/>
  <c r="L53" i="172"/>
  <c r="P50" i="172"/>
  <c r="R50" i="172" s="1"/>
  <c r="L50" i="172"/>
  <c r="P31" i="172"/>
  <c r="R31" i="172" s="1"/>
  <c r="L31" i="172"/>
  <c r="P46" i="172"/>
  <c r="R46" i="172" s="1"/>
  <c r="L46" i="172"/>
  <c r="P45" i="172"/>
  <c r="R45" i="172" s="1"/>
  <c r="L45" i="172"/>
  <c r="P54" i="172"/>
  <c r="R54" i="172" s="1"/>
  <c r="L54" i="172"/>
  <c r="P16" i="172"/>
  <c r="R16" i="172" s="1"/>
  <c r="L16" i="172"/>
  <c r="P27" i="172"/>
  <c r="R27" i="172" s="1"/>
  <c r="L27" i="172"/>
  <c r="P19" i="172"/>
  <c r="R19" i="172" s="1"/>
  <c r="L19" i="172"/>
  <c r="P28" i="172"/>
  <c r="R28" i="172" s="1"/>
  <c r="L28" i="172"/>
  <c r="P8" i="172"/>
  <c r="R8" i="172" s="1"/>
  <c r="L8" i="172"/>
  <c r="P15" i="172"/>
  <c r="R15" i="172" s="1"/>
  <c r="L15" i="172"/>
  <c r="P6" i="172"/>
  <c r="R6" i="172" s="1"/>
  <c r="L6" i="172"/>
  <c r="P12" i="172"/>
  <c r="R12" i="172" s="1"/>
  <c r="L12" i="172"/>
  <c r="P11" i="172"/>
  <c r="R11" i="172" s="1"/>
  <c r="L11" i="172"/>
  <c r="P57" i="172"/>
  <c r="R57" i="172" s="1"/>
  <c r="L57" i="172"/>
  <c r="P41" i="172"/>
  <c r="R41" i="172" s="1"/>
  <c r="L41" i="172"/>
  <c r="P14" i="172"/>
  <c r="R14" i="172" s="1"/>
  <c r="L14" i="172"/>
  <c r="P59" i="172"/>
  <c r="R59" i="172" s="1"/>
  <c r="L59" i="172"/>
  <c r="P21" i="172"/>
  <c r="R21" i="172" s="1"/>
  <c r="L21" i="172"/>
  <c r="P37" i="172"/>
  <c r="R37" i="172" s="1"/>
  <c r="L37" i="172"/>
  <c r="P48" i="172"/>
  <c r="R48" i="172" s="1"/>
  <c r="L48" i="172"/>
  <c r="P36" i="172"/>
  <c r="R36" i="172" s="1"/>
  <c r="L36" i="172"/>
  <c r="P49" i="172"/>
  <c r="R49" i="172" s="1"/>
  <c r="L49" i="172"/>
  <c r="P22" i="172"/>
  <c r="R22" i="172" s="1"/>
  <c r="L22" i="172"/>
  <c r="P24" i="172"/>
  <c r="R24" i="172" s="1"/>
  <c r="L24" i="172"/>
  <c r="P35" i="172"/>
  <c r="R35" i="172" s="1"/>
  <c r="L35" i="172"/>
  <c r="P30" i="172"/>
  <c r="R30" i="172" s="1"/>
  <c r="L30" i="172"/>
  <c r="P25" i="172"/>
  <c r="R25" i="172" s="1"/>
  <c r="L25" i="172"/>
  <c r="P7" i="172"/>
  <c r="R7" i="172" s="1"/>
  <c r="L7" i="172"/>
  <c r="P47" i="172"/>
  <c r="R47" i="172" s="1"/>
  <c r="L47" i="172"/>
  <c r="P32" i="172"/>
  <c r="R32" i="172" s="1"/>
  <c r="L32" i="172"/>
  <c r="P10" i="172"/>
  <c r="R10" i="172" s="1"/>
  <c r="L10" i="172"/>
  <c r="P40" i="172"/>
  <c r="R40" i="172" s="1"/>
  <c r="L40" i="172"/>
  <c r="P42" i="172"/>
  <c r="R42" i="172" s="1"/>
  <c r="L42" i="172"/>
  <c r="P52" i="172"/>
  <c r="R52" i="172" s="1"/>
  <c r="L52" i="172"/>
  <c r="P44" i="172"/>
  <c r="R44" i="172" s="1"/>
  <c r="L44" i="172"/>
  <c r="AR4" i="172"/>
  <c r="AU4" i="172" s="1"/>
  <c r="AW4" i="172" s="1"/>
  <c r="AB4" i="172"/>
  <c r="BB30" i="172" s="1"/>
  <c r="AM30" i="172" l="1" a="1"/>
  <c r="AM30" i="172" s="1"/>
  <c r="AM53" i="172" a="1"/>
  <c r="AM53" i="172" s="1"/>
  <c r="AM70" i="172" a="1"/>
  <c r="AM70" i="172" s="1"/>
  <c r="AM104" i="172" a="1"/>
  <c r="AM104" i="172" s="1"/>
  <c r="AM114" i="172" a="1"/>
  <c r="AM114" i="172" s="1"/>
  <c r="AM68" i="172" a="1"/>
  <c r="AM68" i="172" s="1"/>
  <c r="AM112" i="172" a="1"/>
  <c r="AM112" i="172" s="1"/>
  <c r="AM359" i="172" a="1"/>
  <c r="AM359" i="172" s="1"/>
  <c r="AM443" i="172" a="1"/>
  <c r="AM443" i="172" s="1"/>
  <c r="AM511" i="172" a="1"/>
  <c r="AM511" i="172" s="1"/>
  <c r="AM343" i="172" a="1"/>
  <c r="AM343" i="172" s="1"/>
  <c r="AM395" i="172" a="1"/>
  <c r="AM395" i="172" s="1"/>
  <c r="AM487" i="172" a="1"/>
  <c r="AM487" i="172" s="1"/>
  <c r="AM728" i="172" a="1"/>
  <c r="AM728" i="172" s="1"/>
  <c r="AM818" i="172" a="1"/>
  <c r="AM818" i="172" s="1"/>
  <c r="AM367" i="172" a="1"/>
  <c r="AM367" i="172" s="1"/>
  <c r="AM447" i="172" a="1"/>
  <c r="AM447" i="172" s="1"/>
  <c r="AM527" i="172" a="1"/>
  <c r="AM527" i="172" s="1"/>
  <c r="AM806" i="172" a="1"/>
  <c r="AM806" i="172" s="1"/>
  <c r="AM595" i="172" a="1"/>
  <c r="AM595" i="172" s="1"/>
  <c r="AM709" i="172" a="1"/>
  <c r="AM709" i="172" s="1"/>
  <c r="AM461" i="172" a="1"/>
  <c r="AM461" i="172" s="1"/>
  <c r="AM603" i="172" a="1"/>
  <c r="AM603" i="172" s="1"/>
  <c r="AM719" i="172" a="1"/>
  <c r="AM719" i="172" s="1"/>
  <c r="AM699" i="172" a="1"/>
  <c r="AM699" i="172" s="1"/>
  <c r="AM711" i="172" a="1"/>
  <c r="AM711" i="172" s="1"/>
  <c r="AM707" i="172" a="1"/>
  <c r="AM707" i="172" s="1"/>
  <c r="AM328" i="172" a="1"/>
  <c r="AM328" i="172" s="1"/>
  <c r="AM296" i="172" a="1"/>
  <c r="AM296" i="172" s="1"/>
  <c r="AM597" i="172" a="1"/>
  <c r="AM597" i="172" s="1"/>
  <c r="AM302" i="172" a="1"/>
  <c r="AM302" i="172" s="1"/>
  <c r="AM662" i="172" a="1"/>
  <c r="AM662" i="172" s="1"/>
  <c r="AM541" i="172" a="1"/>
  <c r="AM541" i="172" s="1"/>
  <c r="AM163" i="172" a="1"/>
  <c r="AM163" i="172" s="1"/>
  <c r="AM808" i="172" a="1"/>
  <c r="AM808" i="172" s="1"/>
  <c r="AM648" i="172" a="1"/>
  <c r="AM648" i="172" s="1"/>
  <c r="AM308" i="172" a="1"/>
  <c r="AM308" i="172" s="1"/>
  <c r="AM674" i="172" a="1"/>
  <c r="AM674" i="172" s="1"/>
  <c r="AM610" i="172" a="1"/>
  <c r="AM610" i="172" s="1"/>
  <c r="AM175" i="172" a="1"/>
  <c r="AM175" i="172" s="1"/>
  <c r="AM509" i="172" a="1"/>
  <c r="AM509" i="172" s="1"/>
  <c r="AM644" i="172" a="1"/>
  <c r="AM644" i="172" s="1"/>
  <c r="AM477" i="172" a="1"/>
  <c r="AM477" i="172" s="1"/>
  <c r="AM469" i="172" a="1"/>
  <c r="AM469" i="172" s="1"/>
  <c r="AM389" i="172" a="1"/>
  <c r="AM389" i="172" s="1"/>
  <c r="AM298" i="172" a="1"/>
  <c r="AM298" i="172" s="1"/>
  <c r="AM654" i="172" a="1"/>
  <c r="AM654" i="172" s="1"/>
  <c r="AM537" i="172" a="1"/>
  <c r="AM537" i="172" s="1"/>
  <c r="AM171" i="172" a="1"/>
  <c r="AM171" i="172" s="1"/>
  <c r="AM585" i="172" a="1"/>
  <c r="AM585" i="172" s="1"/>
  <c r="AM656" i="172" a="1"/>
  <c r="AM656" i="172" s="1"/>
  <c r="AM650" i="172" a="1"/>
  <c r="AM650" i="172" s="1"/>
  <c r="AM668" i="172" a="1"/>
  <c r="AM668" i="172" s="1"/>
  <c r="AM846" i="172" a="1"/>
  <c r="AM846" i="172" s="1"/>
  <c r="AM334" i="172" a="1"/>
  <c r="AM334" i="172" s="1"/>
  <c r="AM696" i="172" a="1"/>
  <c r="AM696" i="172" s="1"/>
  <c r="AM62" i="172" a="1"/>
  <c r="AM62" i="172" s="1"/>
  <c r="AM333" i="172" a="1"/>
  <c r="AM333" i="172" s="1"/>
  <c r="AM242" i="172" a="1"/>
  <c r="AM242" i="172" s="1"/>
  <c r="AM116" i="172" a="1"/>
  <c r="AM116" i="172" s="1"/>
  <c r="AM7" i="172" a="1"/>
  <c r="AM7" i="172" s="1"/>
  <c r="AM111" i="172" a="1"/>
  <c r="AM111" i="172" s="1"/>
  <c r="AM86" i="172" a="1"/>
  <c r="AM86" i="172" s="1"/>
  <c r="AM634" i="172" a="1"/>
  <c r="AM634" i="172" s="1"/>
  <c r="AM357" i="172" a="1"/>
  <c r="AM357" i="172" s="1"/>
  <c r="AM483" i="172" a="1"/>
  <c r="AM483" i="172" s="1"/>
  <c r="AM218" i="172" a="1"/>
  <c r="AM218" i="172" s="1"/>
  <c r="AM397" i="172" a="1"/>
  <c r="AM397" i="172" s="1"/>
  <c r="AM331" i="172" a="1"/>
  <c r="AM331" i="172" s="1"/>
  <c r="AM141" i="172" a="1"/>
  <c r="AM141" i="172" s="1"/>
  <c r="AM35" i="172" a="1"/>
  <c r="AM35" i="172" s="1"/>
  <c r="AM151" i="172" a="1"/>
  <c r="AM151" i="172" s="1"/>
  <c r="AM64" i="172" a="1"/>
  <c r="AM64" i="172" s="1"/>
  <c r="AM41" i="172" a="1"/>
  <c r="AM41" i="172" s="1"/>
  <c r="AM32" i="172" a="1"/>
  <c r="AM32" i="172" s="1"/>
  <c r="AM57" i="172" a="1"/>
  <c r="AM57" i="172" s="1"/>
  <c r="AM74" i="172" a="1"/>
  <c r="AM74" i="172" s="1"/>
  <c r="AM120" i="172" a="1"/>
  <c r="AM120" i="172" s="1"/>
  <c r="AM55" i="172" a="1"/>
  <c r="AM55" i="172" s="1"/>
  <c r="AM72" i="172" a="1"/>
  <c r="AM72" i="172" s="1"/>
  <c r="AM122" i="172" a="1"/>
  <c r="AM122" i="172" s="1"/>
  <c r="AM375" i="172" a="1"/>
  <c r="AM375" i="172" s="1"/>
  <c r="AM451" i="172" a="1"/>
  <c r="AM451" i="172" s="1"/>
  <c r="AM543" i="172" a="1"/>
  <c r="AM543" i="172" s="1"/>
  <c r="AM351" i="172" a="1"/>
  <c r="AM351" i="172" s="1"/>
  <c r="AM441" i="172" a="1"/>
  <c r="AM441" i="172" s="1"/>
  <c r="AM519" i="172" a="1"/>
  <c r="AM519" i="172" s="1"/>
  <c r="AM731" i="172" a="1"/>
  <c r="AM731" i="172" s="1"/>
  <c r="AM90" i="172" a="1"/>
  <c r="AM90" i="172" s="1"/>
  <c r="AM383" i="172" a="1"/>
  <c r="AM383" i="172" s="1"/>
  <c r="AM455" i="172" a="1"/>
  <c r="AM455" i="172" s="1"/>
  <c r="AM106" i="172" a="1"/>
  <c r="AM106" i="172" s="1"/>
  <c r="AM355" i="172" a="1"/>
  <c r="AM355" i="172" s="1"/>
  <c r="AM697" i="172" a="1"/>
  <c r="AM697" i="172" s="1"/>
  <c r="AM713" i="172" a="1"/>
  <c r="AM713" i="172" s="1"/>
  <c r="AM503" i="172" a="1"/>
  <c r="AM503" i="172" s="1"/>
  <c r="AM814" i="172" a="1"/>
  <c r="AM814" i="172" s="1"/>
  <c r="AM723" i="172" a="1"/>
  <c r="AM723" i="172" s="1"/>
  <c r="AM715" i="172" a="1"/>
  <c r="AM715" i="172" s="1"/>
  <c r="AM721" i="172" a="1"/>
  <c r="AM721" i="172" s="1"/>
  <c r="AM810" i="172" a="1"/>
  <c r="AM810" i="172" s="1"/>
  <c r="AM320" i="172" a="1"/>
  <c r="AM320" i="172" s="1"/>
  <c r="AM726" i="172" a="1"/>
  <c r="AM726" i="172" s="1"/>
  <c r="AM326" i="172" a="1"/>
  <c r="AM326" i="172" s="1"/>
  <c r="AM294" i="172" a="1"/>
  <c r="AM294" i="172" s="1"/>
  <c r="AM646" i="172" a="1"/>
  <c r="AM646" i="172" s="1"/>
  <c r="AM842" i="172" a="1"/>
  <c r="AM842" i="172" s="1"/>
  <c r="AM855" i="172" a="1"/>
  <c r="AM855" i="172" s="1"/>
  <c r="AM596" i="172" a="1"/>
  <c r="AM596" i="172" s="1"/>
  <c r="AM815" i="172" a="1"/>
  <c r="AM815" i="172" s="1"/>
  <c r="AM300" i="172" a="1"/>
  <c r="AM300" i="172" s="1"/>
  <c r="AM658" i="172" a="1"/>
  <c r="AM658" i="172" s="1"/>
  <c r="AM804" i="172" a="1"/>
  <c r="AM804" i="172" s="1"/>
  <c r="AM853" i="172" a="1"/>
  <c r="AM853" i="172" s="1"/>
  <c r="AM692" i="172" a="1"/>
  <c r="AM692" i="172" s="1"/>
  <c r="AM628" i="172" a="1"/>
  <c r="AM628" i="172" s="1"/>
  <c r="AM856" i="172" a="1"/>
  <c r="AM856" i="172" s="1"/>
  <c r="AM332" i="172" a="1"/>
  <c r="AM332" i="172" s="1"/>
  <c r="AM322" i="172" a="1"/>
  <c r="AM322" i="172" s="1"/>
  <c r="AM800" i="172" a="1"/>
  <c r="AM800" i="172" s="1"/>
  <c r="AM638" i="172" a="1"/>
  <c r="AM638" i="172" s="1"/>
  <c r="AM837" i="172" a="1"/>
  <c r="AM837" i="172" s="1"/>
  <c r="AM851" i="172" a="1"/>
  <c r="AM851" i="172" s="1"/>
  <c r="AM373" i="172" a="1"/>
  <c r="AM373" i="172" s="1"/>
  <c r="AM640" i="172" a="1"/>
  <c r="AM640" i="172" s="1"/>
  <c r="AM167" i="172" a="1"/>
  <c r="AM167" i="172" s="1"/>
  <c r="AM620" i="172" a="1"/>
  <c r="AM620" i="172" s="1"/>
  <c r="AM515" i="172" a="1"/>
  <c r="AM515" i="172" s="1"/>
  <c r="AM220" i="172" a="1"/>
  <c r="AM220" i="172" s="1"/>
  <c r="AM525" i="172" a="1"/>
  <c r="AM525" i="172" s="1"/>
  <c r="AM531" i="172" a="1"/>
  <c r="AM531" i="172" s="1"/>
  <c r="AM266" i="172" a="1"/>
  <c r="AM266" i="172" s="1"/>
  <c r="AM129" i="172" a="1"/>
  <c r="AM129" i="172" s="1"/>
  <c r="AM14" i="172" a="1"/>
  <c r="AM14" i="172" s="1"/>
  <c r="AM61" i="172" a="1"/>
  <c r="AM61" i="172" s="1"/>
  <c r="AM76" i="172" a="1"/>
  <c r="AM76" i="172" s="1"/>
  <c r="AM82" i="172" a="1"/>
  <c r="AM82" i="172" s="1"/>
  <c r="AM59" i="172" a="1"/>
  <c r="AM59" i="172" s="1"/>
  <c r="AM80" i="172" a="1"/>
  <c r="AM80" i="172" s="1"/>
  <c r="AM345" i="172" a="1"/>
  <c r="AM345" i="172" s="1"/>
  <c r="AM391" i="172" a="1"/>
  <c r="AM391" i="172" s="1"/>
  <c r="AM459" i="172" a="1"/>
  <c r="AM459" i="172" s="1"/>
  <c r="AM78" i="172" a="1"/>
  <c r="AM78" i="172" s="1"/>
  <c r="AM363" i="172" a="1"/>
  <c r="AM363" i="172" s="1"/>
  <c r="AM449" i="172" a="1"/>
  <c r="AM449" i="172" s="1"/>
  <c r="AM599" i="172" a="1"/>
  <c r="AM599" i="172" s="1"/>
  <c r="AM732" i="172" a="1"/>
  <c r="AM732" i="172" s="1"/>
  <c r="AM341" i="172" a="1"/>
  <c r="AM341" i="172" s="1"/>
  <c r="AM399" i="172" a="1"/>
  <c r="AM399" i="172" s="1"/>
  <c r="AM463" i="172" a="1"/>
  <c r="AM463" i="172" s="1"/>
  <c r="AM347" i="172" a="1"/>
  <c r="AM347" i="172" s="1"/>
  <c r="AM453" i="172" a="1"/>
  <c r="AM453" i="172" s="1"/>
  <c r="AM701" i="172" a="1"/>
  <c r="AM701" i="172" s="1"/>
  <c r="AM717" i="172" a="1"/>
  <c r="AM717" i="172" s="1"/>
  <c r="AM549" i="172" a="1"/>
  <c r="AM549" i="172" s="1"/>
  <c r="AM834" i="172" a="1"/>
  <c r="AM834" i="172" s="1"/>
  <c r="AM826" i="172" a="1"/>
  <c r="AM826" i="172" s="1"/>
  <c r="AM535" i="172" a="1"/>
  <c r="AM535" i="172" s="1"/>
  <c r="AM387" i="172" a="1"/>
  <c r="AM387" i="172" s="1"/>
  <c r="AM836" i="172" a="1"/>
  <c r="AM836" i="172" s="1"/>
  <c r="AM312" i="172" a="1"/>
  <c r="AM312" i="172" s="1"/>
  <c r="AM828" i="172" a="1"/>
  <c r="AM828" i="172" s="1"/>
  <c r="AM318" i="172" a="1"/>
  <c r="AM318" i="172" s="1"/>
  <c r="AM694" i="172" a="1"/>
  <c r="AM694" i="172" s="1"/>
  <c r="AM630" i="172" a="1"/>
  <c r="AM630" i="172" s="1"/>
  <c r="AM819" i="172" a="1"/>
  <c r="AM819" i="172" s="1"/>
  <c r="AM847" i="172" a="1"/>
  <c r="AM847" i="172" s="1"/>
  <c r="AM680" i="172" a="1"/>
  <c r="AM680" i="172" s="1"/>
  <c r="AM324" i="172" a="1"/>
  <c r="AM324" i="172" s="1"/>
  <c r="AM292" i="172" a="1"/>
  <c r="AM292" i="172" s="1"/>
  <c r="AM642" i="172" a="1"/>
  <c r="AM642" i="172" s="1"/>
  <c r="AM290" i="172" a="1"/>
  <c r="AM290" i="172" s="1"/>
  <c r="AM845" i="172" a="1"/>
  <c r="AM845" i="172" s="1"/>
  <c r="AM676" i="172" a="1"/>
  <c r="AM676" i="172" s="1"/>
  <c r="AM612" i="172" a="1"/>
  <c r="AM612" i="172" s="1"/>
  <c r="AM816" i="172" a="1"/>
  <c r="AM816" i="172" s="1"/>
  <c r="AM261" i="172" a="1"/>
  <c r="AM261" i="172" s="1"/>
  <c r="AM314" i="172" a="1"/>
  <c r="AM314" i="172" s="1"/>
  <c r="AM686" i="172" a="1"/>
  <c r="AM686" i="172" s="1"/>
  <c r="AM622" i="172" a="1"/>
  <c r="AM622" i="172" s="1"/>
  <c r="AM288" i="172" a="1"/>
  <c r="AM288" i="172" s="1"/>
  <c r="AM840" i="172" a="1"/>
  <c r="AM840" i="172" s="1"/>
  <c r="AM688" i="172" a="1"/>
  <c r="AM688" i="172" s="1"/>
  <c r="AM624" i="172" a="1"/>
  <c r="AM624" i="172" s="1"/>
  <c r="AM849" i="172" a="1"/>
  <c r="AM849" i="172" s="1"/>
  <c r="AM854" i="172" a="1"/>
  <c r="AM854" i="172" s="1"/>
  <c r="AM16" i="172" a="1"/>
  <c r="AM16" i="172" s="1"/>
  <c r="AM46" i="172" a="1"/>
  <c r="AM46" i="172" s="1"/>
  <c r="AM65" i="172" a="1"/>
  <c r="AM65" i="172" s="1"/>
  <c r="AM88" i="172" a="1"/>
  <c r="AM88" i="172" s="1"/>
  <c r="AM98" i="172" a="1"/>
  <c r="AM98" i="172" s="1"/>
  <c r="AM63" i="172" a="1"/>
  <c r="AM63" i="172" s="1"/>
  <c r="AM96" i="172" a="1"/>
  <c r="AM96" i="172" s="1"/>
  <c r="AM353" i="172" a="1"/>
  <c r="AM353" i="172" s="1"/>
  <c r="AM431" i="172" a="1"/>
  <c r="AM431" i="172" s="1"/>
  <c r="AM479" i="172" a="1"/>
  <c r="AM479" i="172" s="1"/>
  <c r="AM338" i="172" a="1"/>
  <c r="AM338" i="172" s="1"/>
  <c r="AM379" i="172" a="1"/>
  <c r="AM379" i="172" s="1"/>
  <c r="AM457" i="172" a="1"/>
  <c r="AM457" i="172" s="1"/>
  <c r="AM727" i="172" a="1"/>
  <c r="AM727" i="172" s="1"/>
  <c r="AM802" i="172" a="1"/>
  <c r="AM802" i="172" s="1"/>
  <c r="AM349" i="172" a="1"/>
  <c r="AM349" i="172" s="1"/>
  <c r="AM439" i="172" a="1"/>
  <c r="AM439" i="172" s="1"/>
  <c r="AM495" i="172" a="1"/>
  <c r="AM495" i="172" s="1"/>
  <c r="AM445" i="172" a="1"/>
  <c r="AM445" i="172" s="1"/>
  <c r="AM471" i="172" a="1"/>
  <c r="AM471" i="172" s="1"/>
  <c r="AM705" i="172" a="1"/>
  <c r="AM705" i="172" s="1"/>
  <c r="AM371" i="172" a="1"/>
  <c r="AM371" i="172" s="1"/>
  <c r="AM591" i="172" a="1"/>
  <c r="AM591" i="172" s="1"/>
  <c r="AM703" i="172" a="1"/>
  <c r="AM703" i="172" s="1"/>
  <c r="AM587" i="172" a="1"/>
  <c r="AM587" i="172" s="1"/>
  <c r="AM695" i="172" a="1"/>
  <c r="AM695" i="172" s="1"/>
  <c r="AM437" i="172" a="1"/>
  <c r="AM437" i="172" s="1"/>
  <c r="AM823" i="172" a="1"/>
  <c r="AM823" i="172" s="1"/>
  <c r="AM304" i="172" a="1"/>
  <c r="AM304" i="172" s="1"/>
  <c r="AM822" i="172" a="1"/>
  <c r="AM822" i="172" s="1"/>
  <c r="AM310" i="172" a="1"/>
  <c r="AM310" i="172" s="1"/>
  <c r="AM678" i="172" a="1"/>
  <c r="AM678" i="172" s="1"/>
  <c r="AM614" i="172" a="1"/>
  <c r="AM614" i="172" s="1"/>
  <c r="AM179" i="172" a="1"/>
  <c r="AM179" i="172" s="1"/>
  <c r="AM827" i="172" a="1"/>
  <c r="AM827" i="172" s="1"/>
  <c r="AM664" i="172" a="1"/>
  <c r="AM664" i="172" s="1"/>
  <c r="AM316" i="172" a="1"/>
  <c r="AM316" i="172" s="1"/>
  <c r="AM690" i="172" a="1"/>
  <c r="AM690" i="172" s="1"/>
  <c r="AM626" i="172" a="1"/>
  <c r="AM626" i="172" s="1"/>
  <c r="AM274" i="172" a="1"/>
  <c r="AM274" i="172" s="1"/>
  <c r="AM803" i="172" a="1"/>
  <c r="AM803" i="172" s="1"/>
  <c r="AM660" i="172" a="1"/>
  <c r="AM660" i="172" s="1"/>
  <c r="AM601" i="172" a="1"/>
  <c r="AM601" i="172" s="1"/>
  <c r="AM529" i="172" a="1"/>
  <c r="AM529" i="172" s="1"/>
  <c r="AM491" i="172" a="1"/>
  <c r="AM491" i="172" s="1"/>
  <c r="AM306" i="172" a="1"/>
  <c r="AM306" i="172" s="1"/>
  <c r="AM670" i="172" a="1"/>
  <c r="AM670" i="172" s="1"/>
  <c r="AM606" i="172" a="1"/>
  <c r="AM606" i="172" s="1"/>
  <c r="AM187" i="172" a="1"/>
  <c r="AM187" i="172" s="1"/>
  <c r="AM820" i="172" a="1"/>
  <c r="AM820" i="172" s="1"/>
  <c r="AM672" i="172" a="1"/>
  <c r="AM672" i="172" s="1"/>
  <c r="AM608" i="172" a="1"/>
  <c r="AM608" i="172" s="1"/>
  <c r="AM505" i="172" a="1"/>
  <c r="AM505" i="172" s="1"/>
  <c r="AM850" i="172" a="1"/>
  <c r="AM850" i="172" s="1"/>
  <c r="AM385" i="172" a="1"/>
  <c r="AM385" i="172" s="1"/>
  <c r="AM831" i="172" a="1"/>
  <c r="AM831" i="172" s="1"/>
  <c r="AM381" i="172" a="1"/>
  <c r="AM381" i="172" s="1"/>
  <c r="AM361" i="172" a="1"/>
  <c r="AM361" i="172" s="1"/>
  <c r="AM250" i="172" a="1"/>
  <c r="AM250" i="172" s="1"/>
  <c r="AM205" i="172" a="1"/>
  <c r="AM205" i="172" s="1"/>
  <c r="AM23" i="172" a="1"/>
  <c r="AM23" i="172" s="1"/>
  <c r="AM155" i="172" a="1"/>
  <c r="AM155" i="172" s="1"/>
  <c r="AM118" i="172" a="1"/>
  <c r="AM118" i="172" s="1"/>
  <c r="AM13" i="172" a="1"/>
  <c r="AM13" i="172" s="1"/>
  <c r="AM589" i="172" a="1"/>
  <c r="AM589" i="172" s="1"/>
  <c r="AM533" i="172" a="1"/>
  <c r="AM533" i="172" s="1"/>
  <c r="AM265" i="172" a="1"/>
  <c r="AM265" i="172" s="1"/>
  <c r="AM539" i="172" a="1"/>
  <c r="AM539" i="172" s="1"/>
  <c r="AM339" i="172" a="1"/>
  <c r="AM339" i="172" s="1"/>
  <c r="AM248" i="172" a="1"/>
  <c r="AM248" i="172" s="1"/>
  <c r="AM84" i="172" a="1"/>
  <c r="AM84" i="172" s="1"/>
  <c r="AM226" i="172" a="1"/>
  <c r="AM226" i="172" s="1"/>
  <c r="AM79" i="172" a="1"/>
  <c r="AM79" i="172" s="1"/>
  <c r="AM108" i="172" a="1"/>
  <c r="AM108" i="172" s="1"/>
  <c r="AM963" i="172" a="1"/>
  <c r="AM963" i="172" s="1"/>
  <c r="AM618" i="172" a="1"/>
  <c r="AM618" i="172" s="1"/>
  <c r="AM604" i="172" a="1"/>
  <c r="AM604" i="172" s="1"/>
  <c r="AM848" i="172" a="1"/>
  <c r="AM848" i="172" s="1"/>
  <c r="AM501" i="172" a="1"/>
  <c r="AM501" i="172" s="1"/>
  <c r="AM263" i="172" a="1"/>
  <c r="AM263" i="172" s="1"/>
  <c r="AM593" i="172" a="1"/>
  <c r="AM593" i="172" s="1"/>
  <c r="AM365" i="172" a="1"/>
  <c r="AM365" i="172" s="1"/>
  <c r="AM467" i="172" a="1"/>
  <c r="AM467" i="172" s="1"/>
  <c r="AM254" i="172" a="1"/>
  <c r="AM254" i="172" s="1"/>
  <c r="AM330" i="172" a="1"/>
  <c r="AM330" i="172" s="1"/>
  <c r="AM93" i="172" a="1"/>
  <c r="AM93" i="172" s="1"/>
  <c r="AM278" i="172" a="1"/>
  <c r="AM278" i="172" s="1"/>
  <c r="AM228" i="172" a="1"/>
  <c r="AM228" i="172" s="1"/>
  <c r="AM29" i="172" a="1"/>
  <c r="AM29" i="172" s="1"/>
  <c r="AM109" i="172" a="1"/>
  <c r="AM109" i="172" s="1"/>
  <c r="AM812" i="172" a="1"/>
  <c r="AM812" i="172" s="1"/>
  <c r="AM256" i="172" a="1"/>
  <c r="AM256" i="172" s="1"/>
  <c r="AM234" i="172" a="1"/>
  <c r="AM234" i="172" s="1"/>
  <c r="AM5" i="172" a="1"/>
  <c r="AM5" i="172" s="1"/>
  <c r="AL5" i="172" s="1" a="1"/>
  <c r="AL5" i="172" s="1"/>
  <c r="AP5" i="172" s="1"/>
  <c r="AM839" i="172" a="1"/>
  <c r="AM839" i="172" s="1"/>
  <c r="AM636" i="172" a="1"/>
  <c r="AM636" i="172" s="1"/>
  <c r="AM844" i="172" a="1"/>
  <c r="AM844" i="172" s="1"/>
  <c r="AM369" i="172" a="1"/>
  <c r="AM369" i="172" s="1"/>
  <c r="AM700" i="172" a="1"/>
  <c r="AM700" i="172" s="1"/>
  <c r="AM119" i="172" a="1"/>
  <c r="AM119" i="172" s="1"/>
  <c r="AM276" i="172" a="1"/>
  <c r="AM276" i="172" s="1"/>
  <c r="AM103" i="172" a="1"/>
  <c r="AM103" i="172" s="1"/>
  <c r="AM110" i="172" a="1"/>
  <c r="AM110" i="172" s="1"/>
  <c r="AM15" i="172" a="1"/>
  <c r="AM15" i="172" s="1"/>
  <c r="AM147" i="172" a="1"/>
  <c r="AM147" i="172" s="1"/>
  <c r="AM269" i="172" a="1"/>
  <c r="AM269" i="172" s="1"/>
  <c r="AM183" i="172" a="1"/>
  <c r="AM183" i="172" s="1"/>
  <c r="AM473" i="172" a="1"/>
  <c r="AM473" i="172" s="1"/>
  <c r="AM259" i="172" a="1"/>
  <c r="AM259" i="172" s="1"/>
  <c r="AM71" i="172" a="1"/>
  <c r="AM71" i="172" s="1"/>
  <c r="AM260" i="172" a="1"/>
  <c r="AM260" i="172" s="1"/>
  <c r="AM280" i="172" a="1"/>
  <c r="AM280" i="172" s="1"/>
  <c r="AM27" i="172" a="1"/>
  <c r="AM27" i="172" s="1"/>
  <c r="AM159" i="172" a="1"/>
  <c r="AM159" i="172" s="1"/>
  <c r="AM85" i="172" a="1"/>
  <c r="AM85" i="172" s="1"/>
  <c r="AM209" i="172" a="1"/>
  <c r="AM209" i="172" s="1"/>
  <c r="AM17" i="172" a="1"/>
  <c r="AM17" i="172" s="1"/>
  <c r="AM976" i="172" a="1"/>
  <c r="AM976" i="172" s="1"/>
  <c r="AM960" i="172" a="1"/>
  <c r="AM960" i="172" s="1"/>
  <c r="AM942" i="172" a="1"/>
  <c r="AM942" i="172" s="1"/>
  <c r="AM910" i="172" a="1"/>
  <c r="AM910" i="172" s="1"/>
  <c r="AM878" i="172" a="1"/>
  <c r="AM878" i="172" s="1"/>
  <c r="AM993" i="172" a="1"/>
  <c r="AM993" i="172" s="1"/>
  <c r="AM977" i="172" a="1"/>
  <c r="AM977" i="172" s="1"/>
  <c r="AM947" i="172" a="1"/>
  <c r="AM947" i="172" s="1"/>
  <c r="AM916" i="172" a="1"/>
  <c r="AM916" i="172" s="1"/>
  <c r="AM884" i="172" a="1"/>
  <c r="AM884" i="172" s="1"/>
  <c r="AM941" i="172" a="1"/>
  <c r="AM941" i="172" s="1"/>
  <c r="AM909" i="172" a="1"/>
  <c r="AM909" i="172" s="1"/>
  <c r="AM877" i="172" a="1"/>
  <c r="AM877" i="172" s="1"/>
  <c r="AM935" i="172" a="1"/>
  <c r="AM935" i="172" s="1"/>
  <c r="AM903" i="172" a="1"/>
  <c r="AM903" i="172" s="1"/>
  <c r="AM871" i="172" a="1"/>
  <c r="AM871" i="172" s="1"/>
  <c r="AM724" i="172" a="1"/>
  <c r="AM724" i="172" s="1"/>
  <c r="AM795" i="172" a="1"/>
  <c r="AM795" i="172" s="1"/>
  <c r="AM779" i="172" a="1"/>
  <c r="AM779" i="172" s="1"/>
  <c r="AM763" i="172" a="1"/>
  <c r="AM763" i="172" s="1"/>
  <c r="AM747" i="172" a="1"/>
  <c r="AM747" i="172" s="1"/>
  <c r="AM725" i="172" a="1"/>
  <c r="AM725" i="172" s="1"/>
  <c r="AM512" i="172" a="1"/>
  <c r="AM512" i="172" s="1"/>
  <c r="AM546" i="172" a="1"/>
  <c r="AM546" i="172" s="1"/>
  <c r="AM482" i="172" a="1"/>
  <c r="AM482" i="172" s="1"/>
  <c r="AM577" i="172" a="1"/>
  <c r="AM577" i="172" s="1"/>
  <c r="AM561" i="172" a="1"/>
  <c r="AM561" i="172" s="1"/>
  <c r="AM450" i="172" a="1"/>
  <c r="AM450" i="172" s="1"/>
  <c r="AM281" i="172" a="1"/>
  <c r="AM281" i="172" s="1"/>
  <c r="AM327" i="172" a="1"/>
  <c r="AM327" i="172" s="1"/>
  <c r="AM275" i="172" a="1"/>
  <c r="AM275" i="172" s="1"/>
  <c r="AM253" i="172" a="1"/>
  <c r="AM253" i="172" s="1"/>
  <c r="AM204" i="172" a="1"/>
  <c r="AM204" i="172" s="1"/>
  <c r="AM181" i="172" a="1"/>
  <c r="AM181" i="172" s="1"/>
  <c r="AM188" i="172" a="1"/>
  <c r="AM188" i="172" s="1"/>
  <c r="AM156" i="172" a="1"/>
  <c r="AM156" i="172" s="1"/>
  <c r="AM124" i="172" a="1"/>
  <c r="AM124" i="172" s="1"/>
  <c r="AM20" i="172" a="1"/>
  <c r="AM20" i="172" s="1"/>
  <c r="AM54" i="172" a="1"/>
  <c r="AM54" i="172" s="1"/>
  <c r="AM817" i="172" a="1"/>
  <c r="AM817" i="172" s="1"/>
  <c r="AM790" i="172" a="1"/>
  <c r="AM790" i="172" s="1"/>
  <c r="AM774" i="172" a="1"/>
  <c r="AM774" i="172" s="1"/>
  <c r="AM758" i="172" a="1"/>
  <c r="AM758" i="172" s="1"/>
  <c r="AM742" i="172" a="1"/>
  <c r="AM742" i="172" s="1"/>
  <c r="AM714" i="172" a="1"/>
  <c r="AM714" i="172" s="1"/>
  <c r="AM659" i="172" a="1"/>
  <c r="AM659" i="172" s="1"/>
  <c r="AM627" i="172" a="1"/>
  <c r="AM627" i="172" s="1"/>
  <c r="AM677" i="172" a="1"/>
  <c r="AM677" i="172" s="1"/>
  <c r="AM653" i="172" a="1"/>
  <c r="AM653" i="172" s="1"/>
  <c r="AM621" i="172" a="1"/>
  <c r="AM621" i="172" s="1"/>
  <c r="AM665" i="172" a="1"/>
  <c r="AM665" i="172" s="1"/>
  <c r="AM576" i="172" a="1"/>
  <c r="AM576" i="172" s="1"/>
  <c r="AM560" i="172" a="1"/>
  <c r="AM560" i="172" s="1"/>
  <c r="AM532" i="172" a="1"/>
  <c r="AM532" i="172" s="1"/>
  <c r="AM468" i="172" a="1"/>
  <c r="AM468" i="172" s="1"/>
  <c r="AM494" i="172" a="1"/>
  <c r="AM494" i="172" s="1"/>
  <c r="AM416" i="172" a="1"/>
  <c r="AM416" i="172" s="1"/>
  <c r="AM366" i="172" a="1"/>
  <c r="AM366" i="172" s="1"/>
  <c r="AM403" i="172" a="1"/>
  <c r="AM403" i="172" s="1"/>
  <c r="AM456" i="172" a="1"/>
  <c r="AM456" i="172" s="1"/>
  <c r="AM422" i="172" a="1"/>
  <c r="AM422" i="172" s="1"/>
  <c r="AM378" i="172" a="1"/>
  <c r="AM378" i="172" s="1"/>
  <c r="AM413" i="172" a="1"/>
  <c r="AM413" i="172" s="1"/>
  <c r="AM356" i="172" a="1"/>
  <c r="AM356" i="172" s="1"/>
  <c r="AM268" i="172" a="1"/>
  <c r="AM268" i="172" s="1"/>
  <c r="AM299" i="172" a="1"/>
  <c r="AM299" i="172" s="1"/>
  <c r="AM208" i="172" a="1"/>
  <c r="AM208" i="172" s="1"/>
  <c r="AM225" i="172" a="1"/>
  <c r="AM225" i="172" s="1"/>
  <c r="AM161" i="172" a="1"/>
  <c r="AM161" i="172" s="1"/>
  <c r="AM178" i="172" a="1"/>
  <c r="AM178" i="172" s="1"/>
  <c r="AM146" i="172" a="1"/>
  <c r="AM146" i="172" s="1"/>
  <c r="AM89" i="172" a="1"/>
  <c r="AM89" i="172" s="1"/>
  <c r="AM36" i="172" a="1"/>
  <c r="AM36" i="172" s="1"/>
  <c r="AM40" i="172" a="1"/>
  <c r="AM40" i="172" s="1"/>
  <c r="AM998" i="172" a="1"/>
  <c r="AM998" i="172" s="1"/>
  <c r="AM982" i="172" a="1"/>
  <c r="AM982" i="172" s="1"/>
  <c r="AM966" i="172" a="1"/>
  <c r="AM966" i="172" s="1"/>
  <c r="AM950" i="172" a="1"/>
  <c r="AM950" i="172" s="1"/>
  <c r="AM922" i="172" a="1"/>
  <c r="AM922" i="172" s="1"/>
  <c r="AM890" i="172" a="1"/>
  <c r="AM890" i="172" s="1"/>
  <c r="AM999" i="172" a="1"/>
  <c r="AM999" i="172" s="1"/>
  <c r="AM983" i="172" a="1"/>
  <c r="AM983" i="172" s="1"/>
  <c r="AM967" i="172" a="1"/>
  <c r="AM967" i="172" s="1"/>
  <c r="AM936" i="172" a="1"/>
  <c r="AM936" i="172" s="1"/>
  <c r="AM904" i="172" a="1"/>
  <c r="AM904" i="172" s="1"/>
  <c r="AM872" i="172" a="1"/>
  <c r="AM872" i="172" s="1"/>
  <c r="AM929" i="172" a="1"/>
  <c r="AM929" i="172" s="1"/>
  <c r="AM897" i="172" a="1"/>
  <c r="AM897" i="172" s="1"/>
  <c r="AM865" i="172" a="1"/>
  <c r="AM865" i="172" s="1"/>
  <c r="AM923" i="172" a="1"/>
  <c r="AM923" i="172" s="1"/>
  <c r="AM891" i="172" a="1"/>
  <c r="AM891" i="172" s="1"/>
  <c r="AM859" i="172" a="1"/>
  <c r="AM859" i="172" s="1"/>
  <c r="AM720" i="172" a="1"/>
  <c r="AM720" i="172" s="1"/>
  <c r="AM793" i="172" a="1"/>
  <c r="AM793" i="172" s="1"/>
  <c r="AM777" i="172" a="1"/>
  <c r="AM777" i="172" s="1"/>
  <c r="AM761" i="172" a="1"/>
  <c r="AM761" i="172" s="1"/>
  <c r="AM745" i="172" a="1"/>
  <c r="AM745" i="172" s="1"/>
  <c r="AM602" i="172" a="1"/>
  <c r="AM602" i="172" s="1"/>
  <c r="AM504" i="172" a="1"/>
  <c r="AM504" i="172" s="1"/>
  <c r="AM538" i="172" a="1"/>
  <c r="AM538" i="172" s="1"/>
  <c r="AM474" i="172" a="1"/>
  <c r="AM474" i="172" s="1"/>
  <c r="AM575" i="172" a="1"/>
  <c r="AM575" i="172" s="1"/>
  <c r="AM559" i="172" a="1"/>
  <c r="AM559" i="172" s="1"/>
  <c r="AM454" i="172" a="1"/>
  <c r="AM454" i="172" s="1"/>
  <c r="AM305" i="172" a="1"/>
  <c r="AM305" i="172" s="1"/>
  <c r="AM319" i="172" a="1"/>
  <c r="AM319" i="172" s="1"/>
  <c r="AM251" i="172" a="1"/>
  <c r="AM251" i="172" s="1"/>
  <c r="AM229" i="172" a="1"/>
  <c r="AM229" i="172" s="1"/>
  <c r="AM207" i="172" a="1"/>
  <c r="AM207" i="172" s="1"/>
  <c r="AM193" i="172" a="1"/>
  <c r="AM193" i="172" s="1"/>
  <c r="AM160" i="172" a="1"/>
  <c r="AM160" i="172" s="1"/>
  <c r="AM128" i="172" a="1"/>
  <c r="AM128" i="172" s="1"/>
  <c r="AM91" i="172" a="1"/>
  <c r="AM91" i="172" s="1"/>
  <c r="AM26" i="172" a="1"/>
  <c r="AM26" i="172" s="1"/>
  <c r="AM21" i="172" a="1"/>
  <c r="AM21" i="172" s="1"/>
  <c r="AM961" i="172" a="1"/>
  <c r="AM961" i="172" s="1"/>
  <c r="AM809" i="172" a="1"/>
  <c r="AM809" i="172" s="1"/>
  <c r="AM788" i="172" a="1"/>
  <c r="AM788" i="172" s="1"/>
  <c r="AM772" i="172" a="1"/>
  <c r="AM772" i="172" s="1"/>
  <c r="AM756" i="172" a="1"/>
  <c r="AM756" i="172" s="1"/>
  <c r="AM740" i="172" a="1"/>
  <c r="AM740" i="172" s="1"/>
  <c r="AM702" i="172" a="1"/>
  <c r="AM702" i="172" s="1"/>
  <c r="AM647" i="172" a="1"/>
  <c r="AM647" i="172" s="1"/>
  <c r="AM615" i="172" a="1"/>
  <c r="AM615" i="172" s="1"/>
  <c r="AM687" i="172" a="1"/>
  <c r="AM687" i="172" s="1"/>
  <c r="AM641" i="172" a="1"/>
  <c r="AM641" i="172" s="1"/>
  <c r="AM609" i="172" a="1"/>
  <c r="AM609" i="172" s="1"/>
  <c r="AM592" i="172" a="1"/>
  <c r="AM592" i="172" s="1"/>
  <c r="AM570" i="172" a="1"/>
  <c r="AM570" i="172" s="1"/>
  <c r="AM554" i="172" a="1"/>
  <c r="AM554" i="172" s="1"/>
  <c r="AM508" i="172" a="1"/>
  <c r="AM508" i="172" s="1"/>
  <c r="AM534" i="172" a="1"/>
  <c r="AM534" i="172" s="1"/>
  <c r="AM470" i="172" a="1"/>
  <c r="AM470" i="172" s="1"/>
  <c r="AM404" i="172" a="1"/>
  <c r="AM404" i="172" s="1"/>
  <c r="AM423" i="172" a="1"/>
  <c r="AM423" i="172" s="1"/>
  <c r="AM384" i="172" a="1"/>
  <c r="AM384" i="172" s="1"/>
  <c r="AM444" i="172" a="1"/>
  <c r="AM444" i="172" s="1"/>
  <c r="AM410" i="172" a="1"/>
  <c r="AM410" i="172" s="1"/>
  <c r="AM354" i="172" a="1"/>
  <c r="AM354" i="172" s="1"/>
  <c r="AM396" i="172" a="1"/>
  <c r="AM396" i="172" s="1"/>
  <c r="AM489" i="172" a="1"/>
  <c r="AM489" i="172" s="1"/>
  <c r="AM100" i="172" a="1"/>
  <c r="AM100" i="172" s="1"/>
  <c r="AM95" i="172" a="1"/>
  <c r="AM95" i="172" s="1"/>
  <c r="AM652" i="172" a="1"/>
  <c r="AM652" i="172" s="1"/>
  <c r="AM465" i="172" a="1"/>
  <c r="AM465" i="172" s="1"/>
  <c r="AM513" i="172" a="1"/>
  <c r="AM513" i="172" s="1"/>
  <c r="AM125" i="172" a="1"/>
  <c r="AM125" i="172" s="1"/>
  <c r="AM139" i="172" a="1"/>
  <c r="AM139" i="172" s="1"/>
  <c r="AM25" i="172" a="1"/>
  <c r="AM25" i="172" s="1"/>
  <c r="AM682" i="172" a="1"/>
  <c r="AM682" i="172" s="1"/>
  <c r="AM87" i="172" a="1"/>
  <c r="AM87" i="172" s="1"/>
  <c r="AM698" i="172" a="1"/>
  <c r="AM698" i="172" s="1"/>
  <c r="AM284" i="172" a="1"/>
  <c r="AM284" i="172" s="1"/>
  <c r="AM521" i="172" a="1"/>
  <c r="AM521" i="172" s="1"/>
  <c r="AM545" i="172" a="1"/>
  <c r="AM545" i="172" s="1"/>
  <c r="AM262" i="172" a="1"/>
  <c r="AM262" i="172" s="1"/>
  <c r="AM273" i="172" a="1"/>
  <c r="AM273" i="172" s="1"/>
  <c r="AM94" i="172" a="1"/>
  <c r="AM94" i="172" s="1"/>
  <c r="AM240" i="172" a="1"/>
  <c r="AM240" i="172" s="1"/>
  <c r="AM117" i="172" a="1"/>
  <c r="AM117" i="172" s="1"/>
  <c r="AM217" i="172" a="1"/>
  <c r="AM217" i="172" s="1"/>
  <c r="AM857" i="172" a="1"/>
  <c r="AM857" i="172" s="1"/>
  <c r="AM811" i="172" a="1"/>
  <c r="AM811" i="172" s="1"/>
  <c r="AM838" i="172" a="1"/>
  <c r="AM838" i="172" s="1"/>
  <c r="AM517" i="172" a="1"/>
  <c r="AM517" i="172" s="1"/>
  <c r="AM252" i="172" a="1"/>
  <c r="AM252" i="172" s="1"/>
  <c r="AM270" i="172" a="1"/>
  <c r="AM270" i="172" s="1"/>
  <c r="AM11" i="172" a="1"/>
  <c r="AM11" i="172" s="1"/>
  <c r="AM143" i="172" a="1"/>
  <c r="AM143" i="172" s="1"/>
  <c r="AM69" i="172" a="1"/>
  <c r="AM69" i="172" s="1"/>
  <c r="AM92" i="172" a="1"/>
  <c r="AM92" i="172" s="1"/>
  <c r="AM996" i="172" a="1"/>
  <c r="AM996" i="172" s="1"/>
  <c r="AM972" i="172" a="1"/>
  <c r="AM972" i="172" s="1"/>
  <c r="AM956" i="172" a="1"/>
  <c r="AM956" i="172" s="1"/>
  <c r="AM934" i="172" a="1"/>
  <c r="AM934" i="172" s="1"/>
  <c r="AM902" i="172" a="1"/>
  <c r="AM902" i="172" s="1"/>
  <c r="AM870" i="172" a="1"/>
  <c r="AM870" i="172" s="1"/>
  <c r="AM989" i="172" a="1"/>
  <c r="AM989" i="172" s="1"/>
  <c r="AM973" i="172" a="1"/>
  <c r="AM973" i="172" s="1"/>
  <c r="AM940" i="172" a="1"/>
  <c r="AM940" i="172" s="1"/>
  <c r="AM908" i="172" a="1"/>
  <c r="AM908" i="172" s="1"/>
  <c r="AM876" i="172" a="1"/>
  <c r="AM876" i="172" s="1"/>
  <c r="AM933" i="172" a="1"/>
  <c r="AM933" i="172" s="1"/>
  <c r="AM901" i="172" a="1"/>
  <c r="AM901" i="172" s="1"/>
  <c r="AM869" i="172" a="1"/>
  <c r="AM869" i="172" s="1"/>
  <c r="AM927" i="172" a="1"/>
  <c r="AM927" i="172" s="1"/>
  <c r="AM895" i="172" a="1"/>
  <c r="AM895" i="172" s="1"/>
  <c r="AM863" i="172" a="1"/>
  <c r="AM863" i="172" s="1"/>
  <c r="AM716" i="172" a="1"/>
  <c r="AM716" i="172" s="1"/>
  <c r="AM791" i="172" a="1"/>
  <c r="AM791" i="172" s="1"/>
  <c r="AM775" i="172" a="1"/>
  <c r="AM775" i="172" s="1"/>
  <c r="AM759" i="172" a="1"/>
  <c r="AM759" i="172" s="1"/>
  <c r="AM743" i="172" a="1"/>
  <c r="AM743" i="172" s="1"/>
  <c r="AM594" i="172" a="1"/>
  <c r="AM594" i="172" s="1"/>
  <c r="AM496" i="172" a="1"/>
  <c r="AM496" i="172" s="1"/>
  <c r="AM530" i="172" a="1"/>
  <c r="AM530" i="172" s="1"/>
  <c r="AM466" i="172" a="1"/>
  <c r="AM466" i="172" s="1"/>
  <c r="AM573" i="172" a="1"/>
  <c r="AM573" i="172" s="1"/>
  <c r="AM557" i="172" a="1"/>
  <c r="AM557" i="172" s="1"/>
  <c r="AM442" i="172" a="1"/>
  <c r="AM442" i="172" s="1"/>
  <c r="AM272" i="172" a="1"/>
  <c r="AM272" i="172" s="1"/>
  <c r="AM311" i="172" a="1"/>
  <c r="AM311" i="172" s="1"/>
  <c r="AM243" i="172" a="1"/>
  <c r="AM243" i="172" s="1"/>
  <c r="AM237" i="172" a="1"/>
  <c r="AM237" i="172" s="1"/>
  <c r="AM195" i="172" a="1"/>
  <c r="AM195" i="172" s="1"/>
  <c r="AM165" i="172" a="1"/>
  <c r="AM165" i="172" s="1"/>
  <c r="AM180" i="172" a="1"/>
  <c r="AM180" i="172" s="1"/>
  <c r="AM148" i="172" a="1"/>
  <c r="AM148" i="172" s="1"/>
  <c r="AM97" i="172" a="1"/>
  <c r="AM97" i="172" s="1"/>
  <c r="AM34" i="172" a="1"/>
  <c r="AM34" i="172" s="1"/>
  <c r="AM959" i="172" a="1"/>
  <c r="AM959" i="172" s="1"/>
  <c r="AM801" i="172" a="1"/>
  <c r="AM801" i="172" s="1"/>
  <c r="AM786" i="172" a="1"/>
  <c r="AM786" i="172" s="1"/>
  <c r="AM770" i="172" a="1"/>
  <c r="AM770" i="172" s="1"/>
  <c r="AM754" i="172" a="1"/>
  <c r="AM754" i="172" s="1"/>
  <c r="AM738" i="172" a="1"/>
  <c r="AM738" i="172" s="1"/>
  <c r="AM706" i="172" a="1"/>
  <c r="AM706" i="172" s="1"/>
  <c r="AM651" i="172" a="1"/>
  <c r="AM651" i="172" s="1"/>
  <c r="AM619" i="172" a="1"/>
  <c r="AM619" i="172" s="1"/>
  <c r="AM661" i="172" a="1"/>
  <c r="AM661" i="172" s="1"/>
  <c r="AM645" i="172" a="1"/>
  <c r="AM645" i="172" s="1"/>
  <c r="AM613" i="172" a="1"/>
  <c r="AM613" i="172" s="1"/>
  <c r="AM590" i="172" a="1"/>
  <c r="AM590" i="172" s="1"/>
  <c r="AM572" i="172" a="1"/>
  <c r="AM572" i="172" s="1"/>
  <c r="AM556" i="172" a="1"/>
  <c r="AM556" i="172" s="1"/>
  <c r="AM516" i="172" a="1"/>
  <c r="AM516" i="172" s="1"/>
  <c r="AM542" i="172" a="1"/>
  <c r="AM542" i="172" s="1"/>
  <c r="AM478" i="172" a="1"/>
  <c r="AM478" i="172" s="1"/>
  <c r="AM408" i="172" a="1"/>
  <c r="AM408" i="172" s="1"/>
  <c r="AM427" i="172" a="1"/>
  <c r="AM427" i="172" s="1"/>
  <c r="AM392" i="172" a="1"/>
  <c r="AM392" i="172" s="1"/>
  <c r="AM448" i="172" a="1"/>
  <c r="AM448" i="172" s="1"/>
  <c r="AM414" i="172" a="1"/>
  <c r="AM414" i="172" s="1"/>
  <c r="AM362" i="172" a="1"/>
  <c r="AM362" i="172" s="1"/>
  <c r="AM405" i="172" a="1"/>
  <c r="AM405" i="172" s="1"/>
  <c r="AM317" i="172" a="1"/>
  <c r="AM317" i="172" s="1"/>
  <c r="AM346" i="172" a="1"/>
  <c r="AM346" i="172" s="1"/>
  <c r="AM271" i="172" a="1"/>
  <c r="AM271" i="172" s="1"/>
  <c r="AM199" i="172" a="1"/>
  <c r="AM199" i="172" s="1"/>
  <c r="AM211" i="172" a="1"/>
  <c r="AM211" i="172" s="1"/>
  <c r="AM145" i="172" a="1"/>
  <c r="AM145" i="172" s="1"/>
  <c r="AM170" i="172" a="1"/>
  <c r="AM170" i="172" s="1"/>
  <c r="AM138" i="172" a="1"/>
  <c r="AM138" i="172" s="1"/>
  <c r="AM194" i="172" a="1"/>
  <c r="AM194" i="172" s="1"/>
  <c r="AM51" i="172" a="1"/>
  <c r="AM51" i="172" s="1"/>
  <c r="AM24" i="172" a="1"/>
  <c r="AM24" i="172" s="1"/>
  <c r="AM994" i="172" a="1"/>
  <c r="AM994" i="172" s="1"/>
  <c r="AM978" i="172" a="1"/>
  <c r="AM978" i="172" s="1"/>
  <c r="AM962" i="172" a="1"/>
  <c r="AM962" i="172" s="1"/>
  <c r="AM946" i="172" a="1"/>
  <c r="AM946" i="172" s="1"/>
  <c r="AM914" i="172" a="1"/>
  <c r="AM914" i="172" s="1"/>
  <c r="AM882" i="172" a="1"/>
  <c r="AM882" i="172" s="1"/>
  <c r="AM995" i="172" a="1"/>
  <c r="AM995" i="172" s="1"/>
  <c r="AM979" i="172" a="1"/>
  <c r="AM979" i="172" s="1"/>
  <c r="AM953" i="172" a="1"/>
  <c r="AM953" i="172" s="1"/>
  <c r="AM928" i="172" a="1"/>
  <c r="AM928" i="172" s="1"/>
  <c r="AM896" i="172" a="1"/>
  <c r="AM896" i="172" s="1"/>
  <c r="AM864" i="172" a="1"/>
  <c r="AM864" i="172" s="1"/>
  <c r="AM921" i="172" a="1"/>
  <c r="AM921" i="172" s="1"/>
  <c r="AM889" i="172" a="1"/>
  <c r="AM889" i="172" s="1"/>
  <c r="AM835" i="172" a="1"/>
  <c r="AM835" i="172" s="1"/>
  <c r="AM915" i="172" a="1"/>
  <c r="AM915" i="172" s="1"/>
  <c r="AM883" i="172" a="1"/>
  <c r="AM883" i="172" s="1"/>
  <c r="AM829" i="172" a="1"/>
  <c r="AM829" i="172" s="1"/>
  <c r="AM712" i="172" a="1"/>
  <c r="AM712" i="172" s="1"/>
  <c r="AM789" i="172" a="1"/>
  <c r="AM789" i="172" s="1"/>
  <c r="AM773" i="172" a="1"/>
  <c r="AM773" i="172" s="1"/>
  <c r="AM757" i="172" a="1"/>
  <c r="AM757" i="172" s="1"/>
  <c r="AM741" i="172" a="1"/>
  <c r="AM741" i="172" s="1"/>
  <c r="AM586" i="172" a="1"/>
  <c r="AM586" i="172" s="1"/>
  <c r="AM488" i="172" a="1"/>
  <c r="AM488" i="172" s="1"/>
  <c r="AM522" i="172" a="1"/>
  <c r="AM522" i="172" s="1"/>
  <c r="AM435" i="172" a="1"/>
  <c r="AM435" i="172" s="1"/>
  <c r="AM571" i="172" a="1"/>
  <c r="AM571" i="172" s="1"/>
  <c r="AM555" i="172" a="1"/>
  <c r="AM555" i="172" s="1"/>
  <c r="AM446" i="172" a="1"/>
  <c r="AM446" i="172" s="1"/>
  <c r="AM289" i="172" a="1"/>
  <c r="AM289" i="172" s="1"/>
  <c r="AM303" i="172" a="1"/>
  <c r="AM303" i="172" s="1"/>
  <c r="AM235" i="172" a="1"/>
  <c r="AM235" i="172" s="1"/>
  <c r="AM216" i="172" a="1"/>
  <c r="AM216" i="172" s="1"/>
  <c r="AM189" i="172" a="1"/>
  <c r="AM189" i="172" s="1"/>
  <c r="AM184" i="172" a="1"/>
  <c r="AM184" i="172" s="1"/>
  <c r="AM152" i="172" a="1"/>
  <c r="AM152" i="172" s="1"/>
  <c r="AM113" i="172" a="1"/>
  <c r="AM113" i="172" s="1"/>
  <c r="AM66" i="172" a="1"/>
  <c r="AM66" i="172" s="1"/>
  <c r="AM10" i="172" a="1"/>
  <c r="AM10" i="172" s="1"/>
  <c r="AM988" i="172" a="1"/>
  <c r="AM988" i="172" s="1"/>
  <c r="AM957" i="172" a="1"/>
  <c r="AM957" i="172" s="1"/>
  <c r="AM729" i="172" a="1"/>
  <c r="AM729" i="172" s="1"/>
  <c r="AM784" i="172" a="1"/>
  <c r="AM784" i="172" s="1"/>
  <c r="AM768" i="172" a="1"/>
  <c r="AM768" i="172" s="1"/>
  <c r="AM752" i="172" a="1"/>
  <c r="AM752" i="172" s="1"/>
  <c r="AM736" i="172" a="1"/>
  <c r="AM736" i="172" s="1"/>
  <c r="AM683" i="172" a="1"/>
  <c r="AM683" i="172" s="1"/>
  <c r="AM639" i="172" a="1"/>
  <c r="AM639" i="172" s="1"/>
  <c r="AM607" i="172" a="1"/>
  <c r="AM607" i="172" s="1"/>
  <c r="AM671" i="172" a="1"/>
  <c r="AM671" i="172" s="1"/>
  <c r="AM633" i="172" a="1"/>
  <c r="AM633" i="172" s="1"/>
  <c r="AM689" i="172" a="1"/>
  <c r="AM689" i="172" s="1"/>
  <c r="AM582" i="172" a="1"/>
  <c r="AM582" i="172" s="1"/>
  <c r="AM481" i="172" a="1"/>
  <c r="AM481" i="172" s="1"/>
  <c r="AM39" i="172" a="1"/>
  <c r="AM39" i="172" s="1"/>
  <c r="AM222" i="172" a="1"/>
  <c r="AM222" i="172" s="1"/>
  <c r="AM616" i="172" a="1"/>
  <c r="AM616" i="172" s="1"/>
  <c r="AM329" i="172" a="1"/>
  <c r="AM329" i="172" s="1"/>
  <c r="AM377" i="172" a="1"/>
  <c r="AM377" i="172" s="1"/>
  <c r="AM337" i="172" a="1"/>
  <c r="AM337" i="172" s="1"/>
  <c r="AM131" i="172" a="1"/>
  <c r="AM131" i="172" s="1"/>
  <c r="AM9" i="172" a="1"/>
  <c r="AM9" i="172" s="1"/>
  <c r="AM286" i="172" a="1"/>
  <c r="AM286" i="172" s="1"/>
  <c r="AM858" i="172" a="1"/>
  <c r="AM858" i="172" s="1"/>
  <c r="AM523" i="172" a="1"/>
  <c r="AM523" i="172" s="1"/>
  <c r="AM75" i="172" a="1"/>
  <c r="AM75" i="172" s="1"/>
  <c r="AM493" i="172" a="1"/>
  <c r="AM493" i="172" s="1"/>
  <c r="AM485" i="172" a="1"/>
  <c r="AM485" i="172" s="1"/>
  <c r="AM246" i="172" a="1"/>
  <c r="AM246" i="172" s="1"/>
  <c r="AM213" i="172" a="1"/>
  <c r="AM213" i="172" s="1"/>
  <c r="AM48" i="172" a="1"/>
  <c r="AM48" i="172" s="1"/>
  <c r="AM232" i="172" a="1"/>
  <c r="AM232" i="172" s="1"/>
  <c r="AM101" i="172" a="1"/>
  <c r="AM101" i="172" s="1"/>
  <c r="AM666" i="172" a="1"/>
  <c r="AM666" i="172" s="1"/>
  <c r="AM684" i="172" a="1"/>
  <c r="AM684" i="172" s="1"/>
  <c r="AM547" i="172" a="1"/>
  <c r="AM547" i="172" s="1"/>
  <c r="AM824" i="172" a="1"/>
  <c r="AM824" i="172" s="1"/>
  <c r="AM499" i="172" a="1"/>
  <c r="AM499" i="172" s="1"/>
  <c r="AM244" i="172" a="1"/>
  <c r="AM244" i="172" s="1"/>
  <c r="AM77" i="172" a="1"/>
  <c r="AM77" i="172" s="1"/>
  <c r="AM238" i="172" a="1"/>
  <c r="AM238" i="172" s="1"/>
  <c r="AM135" i="172" a="1"/>
  <c r="AM135" i="172" s="1"/>
  <c r="AM60" i="172" a="1"/>
  <c r="AM60" i="172" s="1"/>
  <c r="AM52" i="172" a="1"/>
  <c r="AM52" i="172" s="1"/>
  <c r="AM992" i="172" a="1"/>
  <c r="AM992" i="172" s="1"/>
  <c r="AM968" i="172" a="1"/>
  <c r="AM968" i="172" s="1"/>
  <c r="AM952" i="172" a="1"/>
  <c r="AM952" i="172" s="1"/>
  <c r="AM926" i="172" a="1"/>
  <c r="AM926" i="172" s="1"/>
  <c r="AM894" i="172" a="1"/>
  <c r="AM894" i="172" s="1"/>
  <c r="AM862" i="172" a="1"/>
  <c r="AM862" i="172" s="1"/>
  <c r="AM985" i="172" a="1"/>
  <c r="AM985" i="172" s="1"/>
  <c r="AM969" i="172" a="1"/>
  <c r="AM969" i="172" s="1"/>
  <c r="AM932" i="172" a="1"/>
  <c r="AM932" i="172" s="1"/>
  <c r="AM900" i="172" a="1"/>
  <c r="AM900" i="172" s="1"/>
  <c r="AM868" i="172" a="1"/>
  <c r="AM868" i="172" s="1"/>
  <c r="AM925" i="172" a="1"/>
  <c r="AM925" i="172" s="1"/>
  <c r="AM893" i="172" a="1"/>
  <c r="AM893" i="172" s="1"/>
  <c r="AM861" i="172" a="1"/>
  <c r="AM861" i="172" s="1"/>
  <c r="AM919" i="172" a="1"/>
  <c r="AM919" i="172" s="1"/>
  <c r="AM887" i="172" a="1"/>
  <c r="AM887" i="172" s="1"/>
  <c r="AM821" i="172" a="1"/>
  <c r="AM821" i="172" s="1"/>
  <c r="AM708" i="172" a="1"/>
  <c r="AM708" i="172" s="1"/>
  <c r="AM787" i="172" a="1"/>
  <c r="AM787" i="172" s="1"/>
  <c r="AM771" i="172" a="1"/>
  <c r="AM771" i="172" s="1"/>
  <c r="AM755" i="172" a="1"/>
  <c r="AM755" i="172" s="1"/>
  <c r="AM739" i="172" a="1"/>
  <c r="AM739" i="172" s="1"/>
  <c r="AM544" i="172" a="1"/>
  <c r="AM544" i="172" s="1"/>
  <c r="AM480" i="172" a="1"/>
  <c r="AM480" i="172" s="1"/>
  <c r="AM514" i="172" a="1"/>
  <c r="AM514" i="172" s="1"/>
  <c r="AM588" i="172" a="1"/>
  <c r="AM588" i="172" s="1"/>
  <c r="AM569" i="172" a="1"/>
  <c r="AM569" i="172" s="1"/>
  <c r="AM553" i="172" a="1"/>
  <c r="AM553" i="172" s="1"/>
  <c r="AM313" i="172" a="1"/>
  <c r="AM313" i="172" s="1"/>
  <c r="AM348" i="172" a="1"/>
  <c r="AM348" i="172" s="1"/>
  <c r="AM295" i="172" a="1"/>
  <c r="AM295" i="172" s="1"/>
  <c r="AM227" i="172" a="1"/>
  <c r="AM227" i="172" s="1"/>
  <c r="AM221" i="172" a="1"/>
  <c r="AM221" i="172" s="1"/>
  <c r="AM215" i="172" a="1"/>
  <c r="AM215" i="172" s="1"/>
  <c r="AM149" i="172" a="1"/>
  <c r="AM149" i="172" s="1"/>
  <c r="AM172" i="172" a="1"/>
  <c r="AM172" i="172" s="1"/>
  <c r="AM140" i="172" a="1"/>
  <c r="AM140" i="172" s="1"/>
  <c r="AM198" i="172" a="1"/>
  <c r="AM198" i="172" s="1"/>
  <c r="AM18" i="172" a="1"/>
  <c r="AM18" i="172" s="1"/>
  <c r="AM843" i="172" a="1"/>
  <c r="AM843" i="172" s="1"/>
  <c r="AM798" i="172" a="1"/>
  <c r="AM798" i="172" s="1"/>
  <c r="AM782" i="172" a="1"/>
  <c r="AM782" i="172" s="1"/>
  <c r="AM766" i="172" a="1"/>
  <c r="AM766" i="172" s="1"/>
  <c r="AM750" i="172" a="1"/>
  <c r="AM750" i="172" s="1"/>
  <c r="AM734" i="172" a="1"/>
  <c r="AM734" i="172" s="1"/>
  <c r="AM691" i="172" a="1"/>
  <c r="AM691" i="172" s="1"/>
  <c r="AM643" i="172" a="1"/>
  <c r="AM643" i="172" s="1"/>
  <c r="AM611" i="172" a="1"/>
  <c r="AM611" i="172" s="1"/>
  <c r="AM679" i="172" a="1"/>
  <c r="AM679" i="172" s="1"/>
  <c r="AM637" i="172" a="1"/>
  <c r="AM637" i="172" s="1"/>
  <c r="AM605" i="172" a="1"/>
  <c r="AM605" i="172" s="1"/>
  <c r="AM584" i="172" a="1"/>
  <c r="AM584" i="172" s="1"/>
  <c r="AM568" i="172" a="1"/>
  <c r="AM568" i="172" s="1"/>
  <c r="AM552" i="172" a="1"/>
  <c r="AM552" i="172" s="1"/>
  <c r="AM500" i="172" a="1"/>
  <c r="AM500" i="172" s="1"/>
  <c r="AM526" i="172" a="1"/>
  <c r="AM526" i="172" s="1"/>
  <c r="AM433" i="172" a="1"/>
  <c r="AM433" i="172" s="1"/>
  <c r="AM398" i="172" a="1"/>
  <c r="AM398" i="172" s="1"/>
  <c r="AM419" i="172" a="1"/>
  <c r="AM419" i="172" s="1"/>
  <c r="AM376" i="172" a="1"/>
  <c r="AM376" i="172" s="1"/>
  <c r="AM440" i="172" a="1"/>
  <c r="AM440" i="172" s="1"/>
  <c r="AM406" i="172" a="1"/>
  <c r="AM406" i="172" s="1"/>
  <c r="AM429" i="172" a="1"/>
  <c r="AM429" i="172" s="1"/>
  <c r="AM388" i="172" a="1"/>
  <c r="AM388" i="172" s="1"/>
  <c r="AM301" i="172" a="1"/>
  <c r="AM301" i="172" s="1"/>
  <c r="AM336" i="172" a="1"/>
  <c r="AM336" i="172" s="1"/>
  <c r="AM247" i="172" a="1"/>
  <c r="AM247" i="172" s="1"/>
  <c r="AM257" i="172" a="1"/>
  <c r="AM257" i="172" s="1"/>
  <c r="AM206" i="172" a="1"/>
  <c r="AM206" i="172" s="1"/>
  <c r="AM197" i="172" a="1"/>
  <c r="AM197" i="172" s="1"/>
  <c r="AM162" i="172" a="1"/>
  <c r="AM162" i="172" s="1"/>
  <c r="AM130" i="172" a="1"/>
  <c r="AM130" i="172" s="1"/>
  <c r="AM99" i="172" a="1"/>
  <c r="AM99" i="172" s="1"/>
  <c r="AM38" i="172" a="1"/>
  <c r="AM38" i="172" s="1"/>
  <c r="AM8" i="172" a="1"/>
  <c r="AM8" i="172" s="1"/>
  <c r="AM990" i="172" a="1"/>
  <c r="AM990" i="172" s="1"/>
  <c r="AM974" i="172" a="1"/>
  <c r="AM974" i="172" s="1"/>
  <c r="AM958" i="172" a="1"/>
  <c r="AM958" i="172" s="1"/>
  <c r="AM938" i="172" a="1"/>
  <c r="AM938" i="172" s="1"/>
  <c r="AM906" i="172" a="1"/>
  <c r="AM906" i="172" s="1"/>
  <c r="AM874" i="172" a="1"/>
  <c r="AM874" i="172" s="1"/>
  <c r="AM991" i="172" a="1"/>
  <c r="AM991" i="172" s="1"/>
  <c r="AM975" i="172" a="1"/>
  <c r="AM975" i="172" s="1"/>
  <c r="AM949" i="172" a="1"/>
  <c r="AM949" i="172" s="1"/>
  <c r="AM920" i="172" a="1"/>
  <c r="AM920" i="172" s="1"/>
  <c r="AM888" i="172" a="1"/>
  <c r="AM888" i="172" s="1"/>
  <c r="AM945" i="172" a="1"/>
  <c r="AM945" i="172" s="1"/>
  <c r="AM913" i="172" a="1"/>
  <c r="AM913" i="172" s="1"/>
  <c r="AM881" i="172" a="1"/>
  <c r="AM881" i="172" s="1"/>
  <c r="AM939" i="172" a="1"/>
  <c r="AM939" i="172" s="1"/>
  <c r="AM907" i="172" a="1"/>
  <c r="AM907" i="172" s="1"/>
  <c r="AM875" i="172" a="1"/>
  <c r="AM875" i="172" s="1"/>
  <c r="AM813" i="172" a="1"/>
  <c r="AM813" i="172" s="1"/>
  <c r="AM704" i="172" a="1"/>
  <c r="AM704" i="172" s="1"/>
  <c r="AM785" i="172" a="1"/>
  <c r="AM785" i="172" s="1"/>
  <c r="AM769" i="172" a="1"/>
  <c r="AM769" i="172" s="1"/>
  <c r="AM753" i="172" a="1"/>
  <c r="AM753" i="172" s="1"/>
  <c r="AM737" i="172" a="1"/>
  <c r="AM737" i="172" s="1"/>
  <c r="AM536" i="172" a="1"/>
  <c r="AM536" i="172" s="1"/>
  <c r="AM472" i="172" a="1"/>
  <c r="AM472" i="172" s="1"/>
  <c r="AM506" i="172" a="1"/>
  <c r="AM506" i="172" s="1"/>
  <c r="AM583" i="172" a="1"/>
  <c r="AM583" i="172" s="1"/>
  <c r="AM567" i="172" a="1"/>
  <c r="AM567" i="172" s="1"/>
  <c r="AM551" i="172" a="1"/>
  <c r="AM551" i="172" s="1"/>
  <c r="AM438" i="172" a="1"/>
  <c r="AM438" i="172" s="1"/>
  <c r="AM352" i="172" a="1"/>
  <c r="AM352" i="172" s="1"/>
  <c r="AM287" i="172" a="1"/>
  <c r="AM287" i="172" s="1"/>
  <c r="AM223" i="172" a="1"/>
  <c r="AM223" i="172" s="1"/>
  <c r="AM200" i="172" a="1"/>
  <c r="AM200" i="172" s="1"/>
  <c r="AM173" i="172" a="1"/>
  <c r="AM173" i="172" s="1"/>
  <c r="AM176" i="172" a="1"/>
  <c r="AM176" i="172" s="1"/>
  <c r="AM144" i="172" a="1"/>
  <c r="AM144" i="172" s="1"/>
  <c r="AM81" i="172" a="1"/>
  <c r="AM81" i="172" s="1"/>
  <c r="AM28" i="172" a="1"/>
  <c r="AM28" i="172" s="1"/>
  <c r="AM49" i="172" a="1"/>
  <c r="AM49" i="172" s="1"/>
  <c r="AM984" i="172" a="1"/>
  <c r="AM984" i="172" s="1"/>
  <c r="AM841" i="172" a="1"/>
  <c r="AM841" i="172" s="1"/>
  <c r="AM796" i="172" a="1"/>
  <c r="AM796" i="172" s="1"/>
  <c r="AM780" i="172" a="1"/>
  <c r="AM780" i="172" s="1"/>
  <c r="AM764" i="172" a="1"/>
  <c r="AM764" i="172" s="1"/>
  <c r="AM748" i="172" a="1"/>
  <c r="AM748" i="172" s="1"/>
  <c r="AM718" i="172" a="1"/>
  <c r="AM718" i="172" s="1"/>
  <c r="AM667" i="172" a="1"/>
  <c r="AM667" i="172" s="1"/>
  <c r="AM631" i="172" a="1"/>
  <c r="AM631" i="172" s="1"/>
  <c r="AM685" i="172" a="1"/>
  <c r="AM685" i="172" s="1"/>
  <c r="AM657" i="172" a="1"/>
  <c r="AM657" i="172" s="1"/>
  <c r="AM625" i="172" a="1"/>
  <c r="AM625" i="172" s="1"/>
  <c r="AM673" i="172" a="1"/>
  <c r="AM673" i="172" s="1"/>
  <c r="AM578" i="172" a="1"/>
  <c r="AM578" i="172" s="1"/>
  <c r="AM562" i="172" a="1"/>
  <c r="AM562" i="172" s="1"/>
  <c r="AM540" i="172" a="1"/>
  <c r="AM540" i="172" s="1"/>
  <c r="AM476" i="172" a="1"/>
  <c r="AM476" i="172" s="1"/>
  <c r="AM502" i="172" a="1"/>
  <c r="AM502" i="172" s="1"/>
  <c r="AM420" i="172" a="1"/>
  <c r="AM420" i="172" s="1"/>
  <c r="AM374" i="172" a="1"/>
  <c r="AM374" i="172" s="1"/>
  <c r="AM407" i="172" a="1"/>
  <c r="AM407" i="172" s="1"/>
  <c r="AM460" i="172" a="1"/>
  <c r="AM460" i="172" s="1"/>
  <c r="AM426" i="172" a="1"/>
  <c r="AM426" i="172" s="1"/>
  <c r="AM386" i="172" a="1"/>
  <c r="AM386" i="172" s="1"/>
  <c r="AM417" i="172" a="1"/>
  <c r="AM417" i="172" s="1"/>
  <c r="AM364" i="172" a="1"/>
  <c r="AM364" i="172" s="1"/>
  <c r="AM277" i="172" a="1"/>
  <c r="AM277" i="172" s="1"/>
  <c r="AM307" i="172" a="1"/>
  <c r="AM307" i="172" s="1"/>
  <c r="AM497" i="172" a="1"/>
  <c r="AM497" i="172" s="1"/>
  <c r="AM258" i="172" a="1"/>
  <c r="AM258" i="172" s="1"/>
  <c r="AM236" i="172" a="1"/>
  <c r="AM236" i="172" s="1"/>
  <c r="AM45" i="172" a="1"/>
  <c r="AM45" i="172" s="1"/>
  <c r="AM600" i="172" a="1"/>
  <c r="AM600" i="172" s="1"/>
  <c r="AM830" i="172" a="1"/>
  <c r="AM830" i="172" s="1"/>
  <c r="AM264" i="172" a="1"/>
  <c r="AM264" i="172" s="1"/>
  <c r="AM19" i="172" a="1"/>
  <c r="AM19" i="172" s="1"/>
  <c r="AM56" i="172" a="1"/>
  <c r="AM56" i="172" s="1"/>
  <c r="AM955" i="172" a="1"/>
  <c r="AM955" i="172" s="1"/>
  <c r="AM58" i="172" a="1"/>
  <c r="AM58" i="172" s="1"/>
  <c r="AM852" i="172" a="1"/>
  <c r="AM852" i="172" s="1"/>
  <c r="AM401" i="172" a="1"/>
  <c r="AM401" i="172" s="1"/>
  <c r="AM807" i="172" a="1"/>
  <c r="AM807" i="172" s="1"/>
  <c r="AM475" i="172" a="1"/>
  <c r="AM475" i="172" s="1"/>
  <c r="AM393" i="172" a="1"/>
  <c r="AM393" i="172" s="1"/>
  <c r="AM137" i="172" a="1"/>
  <c r="AM137" i="172" s="1"/>
  <c r="AM192" i="172" a="1"/>
  <c r="AM192" i="172" s="1"/>
  <c r="AM31" i="172" a="1"/>
  <c r="AM31" i="172" s="1"/>
  <c r="AM196" i="172" a="1"/>
  <c r="AM196" i="172" s="1"/>
  <c r="AM73" i="172" a="1"/>
  <c r="AM73" i="172" s="1"/>
  <c r="AM832" i="172" a="1"/>
  <c r="AM832" i="172" s="1"/>
  <c r="AM632" i="172" a="1"/>
  <c r="AM632" i="172" s="1"/>
  <c r="AM282" i="172" a="1"/>
  <c r="AM282" i="172" s="1"/>
  <c r="AM507" i="172" a="1"/>
  <c r="AM507" i="172" s="1"/>
  <c r="AM335" i="172" a="1"/>
  <c r="AM335" i="172" s="1"/>
  <c r="AM133" i="172" a="1"/>
  <c r="AM133" i="172" s="1"/>
  <c r="AM43" i="172" a="1"/>
  <c r="AM43" i="172" s="1"/>
  <c r="AM230" i="172" a="1"/>
  <c r="AM230" i="172" s="1"/>
  <c r="AM127" i="172" a="1"/>
  <c r="AM127" i="172" s="1"/>
  <c r="AM224" i="172" a="1"/>
  <c r="AM224" i="172" s="1"/>
  <c r="AM33" i="172" a="1"/>
  <c r="AM33" i="172" s="1"/>
  <c r="AM980" i="172" a="1"/>
  <c r="AM980" i="172" s="1"/>
  <c r="AM964" i="172" a="1"/>
  <c r="AM964" i="172" s="1"/>
  <c r="AM948" i="172" a="1"/>
  <c r="AM948" i="172" s="1"/>
  <c r="AM918" i="172" a="1"/>
  <c r="AM918" i="172" s="1"/>
  <c r="AM886" i="172" a="1"/>
  <c r="AM886" i="172" s="1"/>
  <c r="AM997" i="172" a="1"/>
  <c r="AM997" i="172" s="1"/>
  <c r="AM981" i="172" a="1"/>
  <c r="AM981" i="172" s="1"/>
  <c r="AM951" i="172" a="1"/>
  <c r="AM951" i="172" s="1"/>
  <c r="AM924" i="172" a="1"/>
  <c r="AM924" i="172" s="1"/>
  <c r="AM892" i="172" a="1"/>
  <c r="AM892" i="172" s="1"/>
  <c r="AM860" i="172" a="1"/>
  <c r="AM860" i="172" s="1"/>
  <c r="AM917" i="172" a="1"/>
  <c r="AM917" i="172" s="1"/>
  <c r="AM885" i="172" a="1"/>
  <c r="AM885" i="172" s="1"/>
  <c r="AM943" i="172" a="1"/>
  <c r="AM943" i="172" s="1"/>
  <c r="AM911" i="172" a="1"/>
  <c r="AM911" i="172" s="1"/>
  <c r="AM879" i="172" a="1"/>
  <c r="AM879" i="172" s="1"/>
  <c r="AM805" i="172" a="1"/>
  <c r="AM805" i="172" s="1"/>
  <c r="AM799" i="172" a="1"/>
  <c r="AM799" i="172" s="1"/>
  <c r="AM783" i="172" a="1"/>
  <c r="AM783" i="172" s="1"/>
  <c r="AM767" i="172" a="1"/>
  <c r="AM767" i="172" s="1"/>
  <c r="AM751" i="172" a="1"/>
  <c r="AM751" i="172" s="1"/>
  <c r="AM735" i="172" a="1"/>
  <c r="AM735" i="172" s="1"/>
  <c r="AM528" i="172" a="1"/>
  <c r="AM528" i="172" s="1"/>
  <c r="AM464" i="172" a="1"/>
  <c r="AM464" i="172" s="1"/>
  <c r="AM498" i="172" a="1"/>
  <c r="AM498" i="172" s="1"/>
  <c r="AM581" i="172" a="1"/>
  <c r="AM581" i="172" s="1"/>
  <c r="AM565" i="172" a="1"/>
  <c r="AM565" i="172" s="1"/>
  <c r="AM458" i="172" a="1"/>
  <c r="AM458" i="172" s="1"/>
  <c r="AM297" i="172" a="1"/>
  <c r="AM297" i="172" s="1"/>
  <c r="AM340" i="172" a="1"/>
  <c r="AM340" i="172" s="1"/>
  <c r="AM283" i="172" a="1"/>
  <c r="AM283" i="172" s="1"/>
  <c r="AM219" i="172" a="1"/>
  <c r="AM219" i="172" s="1"/>
  <c r="AM203" i="172" a="1"/>
  <c r="AM203" i="172" s="1"/>
  <c r="AM210" i="172" a="1"/>
  <c r="AM210" i="172" s="1"/>
  <c r="AM201" i="172" a="1"/>
  <c r="AM201" i="172" s="1"/>
  <c r="AM164" i="172" a="1"/>
  <c r="AM164" i="172" s="1"/>
  <c r="AM132" i="172" a="1"/>
  <c r="AM132" i="172" s="1"/>
  <c r="AM107" i="172" a="1"/>
  <c r="AM107" i="172" s="1"/>
  <c r="AM6" i="172" a="1"/>
  <c r="AM6" i="172" s="1"/>
  <c r="AL6" i="172" s="1" a="1"/>
  <c r="AL6" i="172" s="1"/>
  <c r="AP6" i="172" s="1"/>
  <c r="AM833" i="172" a="1"/>
  <c r="AM833" i="172" s="1"/>
  <c r="AM794" i="172" a="1"/>
  <c r="AM794" i="172" s="1"/>
  <c r="AM778" i="172" a="1"/>
  <c r="AM778" i="172" s="1"/>
  <c r="AM762" i="172" a="1"/>
  <c r="AM762" i="172" s="1"/>
  <c r="AM746" i="172" a="1"/>
  <c r="AM746" i="172" s="1"/>
  <c r="AM722" i="172" a="1"/>
  <c r="AM722" i="172" s="1"/>
  <c r="AM675" i="172" a="1"/>
  <c r="AM675" i="172" s="1"/>
  <c r="AM635" i="172" a="1"/>
  <c r="AM635" i="172" s="1"/>
  <c r="AM693" i="172" a="1"/>
  <c r="AM693" i="172" s="1"/>
  <c r="AM663" i="172" a="1"/>
  <c r="AM663" i="172" s="1"/>
  <c r="AM629" i="172" a="1"/>
  <c r="AM629" i="172" s="1"/>
  <c r="AM681" i="172" a="1"/>
  <c r="AM681" i="172" s="1"/>
  <c r="AM580" i="172" a="1"/>
  <c r="AM580" i="172" s="1"/>
  <c r="AM564" i="172" a="1"/>
  <c r="AM564" i="172" s="1"/>
  <c r="AM548" i="172" a="1"/>
  <c r="AM548" i="172" s="1"/>
  <c r="AM484" i="172" a="1"/>
  <c r="AM484" i="172" s="1"/>
  <c r="AM510" i="172" a="1"/>
  <c r="AM510" i="172" s="1"/>
  <c r="AM424" i="172" a="1"/>
  <c r="AM424" i="172" s="1"/>
  <c r="AM382" i="172" a="1"/>
  <c r="AM382" i="172" s="1"/>
  <c r="AM411" i="172" a="1"/>
  <c r="AM411" i="172" s="1"/>
  <c r="AM360" i="172" a="1"/>
  <c r="AM360" i="172" s="1"/>
  <c r="AM430" i="172" a="1"/>
  <c r="AM430" i="172" s="1"/>
  <c r="AM394" i="172" a="1"/>
  <c r="AM394" i="172" s="1"/>
  <c r="AM421" i="172" a="1"/>
  <c r="AM421" i="172" s="1"/>
  <c r="AM372" i="172" a="1"/>
  <c r="AM372" i="172" s="1"/>
  <c r="AM285" i="172" a="1"/>
  <c r="AM285" i="172" s="1"/>
  <c r="AM315" i="172" a="1"/>
  <c r="AM315" i="172" s="1"/>
  <c r="AM231" i="172" a="1"/>
  <c r="AM231" i="172" s="1"/>
  <c r="AM241" i="172" a="1"/>
  <c r="AM241" i="172" s="1"/>
  <c r="AM177" i="172" a="1"/>
  <c r="AM177" i="172" s="1"/>
  <c r="AM186" i="172" a="1"/>
  <c r="AM186" i="172" s="1"/>
  <c r="AM154" i="172" a="1"/>
  <c r="AM154" i="172" s="1"/>
  <c r="AM121" i="172" a="1"/>
  <c r="AM121" i="172" s="1"/>
  <c r="AM44" i="172" a="1"/>
  <c r="AM44" i="172" s="1"/>
  <c r="AM22" i="172" a="1"/>
  <c r="AM22" i="172" s="1"/>
  <c r="AM37" i="172" a="1"/>
  <c r="AM37" i="172" s="1"/>
  <c r="AM986" i="172" a="1"/>
  <c r="AM986" i="172" s="1"/>
  <c r="AM970" i="172" a="1"/>
  <c r="AM970" i="172" s="1"/>
  <c r="AM954" i="172" a="1"/>
  <c r="AM954" i="172" s="1"/>
  <c r="AM930" i="172" a="1"/>
  <c r="AM930" i="172" s="1"/>
  <c r="AM898" i="172" a="1"/>
  <c r="AM898" i="172" s="1"/>
  <c r="AM866" i="172" a="1"/>
  <c r="AM866" i="172" s="1"/>
  <c r="AM987" i="172" a="1"/>
  <c r="AM987" i="172" s="1"/>
  <c r="AM971" i="172" a="1"/>
  <c r="AM971" i="172" s="1"/>
  <c r="AM944" i="172" a="1"/>
  <c r="AM944" i="172" s="1"/>
  <c r="AM912" i="172" a="1"/>
  <c r="AM912" i="172" s="1"/>
  <c r="AM880" i="172" a="1"/>
  <c r="AM880" i="172" s="1"/>
  <c r="AM937" i="172" a="1"/>
  <c r="AM937" i="172" s="1"/>
  <c r="AM905" i="172" a="1"/>
  <c r="AM905" i="172" s="1"/>
  <c r="AM873" i="172" a="1"/>
  <c r="AM873" i="172" s="1"/>
  <c r="AM931" i="172" a="1"/>
  <c r="AM931" i="172" s="1"/>
  <c r="AM899" i="172" a="1"/>
  <c r="AM899" i="172" s="1"/>
  <c r="AM867" i="172" a="1"/>
  <c r="AM867" i="172" s="1"/>
  <c r="AM730" i="172" a="1"/>
  <c r="AM730" i="172" s="1"/>
  <c r="AM797" i="172" a="1"/>
  <c r="AM797" i="172" s="1"/>
  <c r="AM781" i="172" a="1"/>
  <c r="AM781" i="172" s="1"/>
  <c r="AM765" i="172" a="1"/>
  <c r="AM765" i="172" s="1"/>
  <c r="AM749" i="172" a="1"/>
  <c r="AM749" i="172" s="1"/>
  <c r="AM733" i="172" a="1"/>
  <c r="AM733" i="172" s="1"/>
  <c r="AM520" i="172" a="1"/>
  <c r="AM520" i="172" s="1"/>
  <c r="AM434" i="172" a="1"/>
  <c r="AM434" i="172" s="1"/>
  <c r="AM490" i="172" a="1"/>
  <c r="AM490" i="172" s="1"/>
  <c r="AM579" i="172" a="1"/>
  <c r="AM579" i="172" s="1"/>
  <c r="AM563" i="172" a="1"/>
  <c r="AM563" i="172" s="1"/>
  <c r="AM462" i="172" a="1"/>
  <c r="AM462" i="172" s="1"/>
  <c r="AM321" i="172" a="1"/>
  <c r="AM321" i="172" s="1"/>
  <c r="AM344" i="172" a="1"/>
  <c r="AM344" i="172" s="1"/>
  <c r="AM279" i="172" a="1"/>
  <c r="AM279" i="172" s="1"/>
  <c r="AM245" i="172" a="1"/>
  <c r="AM245" i="172" s="1"/>
  <c r="AM191" i="172" a="1"/>
  <c r="AM191" i="172" s="1"/>
  <c r="AM157" i="172" a="1"/>
  <c r="AM157" i="172" s="1"/>
  <c r="AM168" i="172" a="1"/>
  <c r="AM168" i="172" s="1"/>
  <c r="AM136" i="172" a="1"/>
  <c r="AM136" i="172" s="1"/>
  <c r="AM123" i="172" a="1"/>
  <c r="AM123" i="172" s="1"/>
  <c r="AM42" i="172" a="1"/>
  <c r="AM42" i="172" s="1"/>
  <c r="AM102" i="172" a="1"/>
  <c r="AM102" i="172" s="1"/>
  <c r="AM965" i="172" a="1"/>
  <c r="AM965" i="172" s="1"/>
  <c r="AM825" i="172" a="1"/>
  <c r="AM825" i="172" s="1"/>
  <c r="AM792" i="172" a="1"/>
  <c r="AM792" i="172" s="1"/>
  <c r="AM776" i="172" a="1"/>
  <c r="AM776" i="172" s="1"/>
  <c r="AM760" i="172" a="1"/>
  <c r="AM760" i="172" s="1"/>
  <c r="AM744" i="172" a="1"/>
  <c r="AM744" i="172" s="1"/>
  <c r="AM710" i="172" a="1"/>
  <c r="AM710" i="172" s="1"/>
  <c r="AM655" i="172" a="1"/>
  <c r="AM655" i="172" s="1"/>
  <c r="AM623" i="172" a="1"/>
  <c r="AM623" i="172" s="1"/>
  <c r="AM669" i="172" a="1"/>
  <c r="AM669" i="172" s="1"/>
  <c r="AM649" i="172" a="1"/>
  <c r="AM649" i="172" s="1"/>
  <c r="AM617" i="172" a="1"/>
  <c r="AM617" i="172" s="1"/>
  <c r="AM598" i="172" a="1"/>
  <c r="AM598" i="172" s="1"/>
  <c r="AM574" i="172" a="1"/>
  <c r="AM574" i="172" s="1"/>
  <c r="AM558" i="172" a="1"/>
  <c r="AM558" i="172" s="1"/>
  <c r="AM524" i="172" a="1"/>
  <c r="AM524" i="172" s="1"/>
  <c r="AM432" i="172" a="1"/>
  <c r="AM432" i="172" s="1"/>
  <c r="AM486" i="172" a="1"/>
  <c r="AM486" i="172" s="1"/>
  <c r="AM412" i="172" a="1"/>
  <c r="AM412" i="172" s="1"/>
  <c r="AM358" i="172" a="1"/>
  <c r="AM358" i="172" s="1"/>
  <c r="AM400" i="172" a="1"/>
  <c r="AM400" i="172" s="1"/>
  <c r="AM452" i="172" a="1"/>
  <c r="AM452" i="172" s="1"/>
  <c r="AM418" i="172" a="1"/>
  <c r="AM418" i="172" s="1"/>
  <c r="AM550" i="172" a="1"/>
  <c r="AM550" i="172" s="1"/>
  <c r="AM390" i="172" a="1"/>
  <c r="AM390" i="172" s="1"/>
  <c r="AM402" i="172" a="1"/>
  <c r="AM402" i="172" s="1"/>
  <c r="AM380" i="172" a="1"/>
  <c r="AM380" i="172" s="1"/>
  <c r="AM350" i="172" a="1"/>
  <c r="AM350" i="172" s="1"/>
  <c r="AM267" i="172" a="1"/>
  <c r="AM267" i="172" s="1"/>
  <c r="AM249" i="172" a="1"/>
  <c r="AM249" i="172" s="1"/>
  <c r="AM169" i="172" a="1"/>
  <c r="AM169" i="172" s="1"/>
  <c r="AM182" i="172" a="1"/>
  <c r="AM182" i="172" s="1"/>
  <c r="AM150" i="172" a="1"/>
  <c r="AM150" i="172" s="1"/>
  <c r="AM105" i="172" a="1"/>
  <c r="AM105" i="172" s="1"/>
  <c r="AM12" i="172" a="1"/>
  <c r="AM12" i="172" s="1"/>
  <c r="AM492" i="172" a="1"/>
  <c r="AM492" i="172" s="1"/>
  <c r="AM415" i="172" a="1"/>
  <c r="AM415" i="172" s="1"/>
  <c r="AM370" i="172" a="1"/>
  <c r="AM370" i="172" s="1"/>
  <c r="AM325" i="172" a="1"/>
  <c r="AM325" i="172" s="1"/>
  <c r="AM342" i="172" a="1"/>
  <c r="AM342" i="172" s="1"/>
  <c r="AM255" i="172" a="1"/>
  <c r="AM255" i="172" s="1"/>
  <c r="AM233" i="172" a="1"/>
  <c r="AM233" i="172" s="1"/>
  <c r="AM153" i="172" a="1"/>
  <c r="AM153" i="172" s="1"/>
  <c r="AM174" i="172" a="1"/>
  <c r="AM174" i="172" s="1"/>
  <c r="AM142" i="172" a="1"/>
  <c r="AM142" i="172" s="1"/>
  <c r="AM202" i="172" a="1"/>
  <c r="AM202" i="172" s="1"/>
  <c r="AM47" i="172" a="1"/>
  <c r="AM47" i="172" s="1"/>
  <c r="AM518" i="172" a="1"/>
  <c r="AM518" i="172" s="1"/>
  <c r="AM368" i="172" a="1"/>
  <c r="AM368" i="172" s="1"/>
  <c r="AM425" i="172" a="1"/>
  <c r="AM425" i="172" s="1"/>
  <c r="AM309" i="172" a="1"/>
  <c r="AM309" i="172" s="1"/>
  <c r="AM323" i="172" a="1"/>
  <c r="AM323" i="172" s="1"/>
  <c r="AM239" i="172" a="1"/>
  <c r="AM239" i="172" s="1"/>
  <c r="AM214" i="172" a="1"/>
  <c r="AM214" i="172" s="1"/>
  <c r="AM67" i="172" a="1"/>
  <c r="AM67" i="172" s="1"/>
  <c r="AM166" i="172" a="1"/>
  <c r="AM166" i="172" s="1"/>
  <c r="AM134" i="172" a="1"/>
  <c r="AM134" i="172" s="1"/>
  <c r="AM115" i="172" a="1"/>
  <c r="AM115" i="172" s="1"/>
  <c r="AM50" i="172" a="1"/>
  <c r="AM50" i="172" s="1"/>
  <c r="AM566" i="172" a="1"/>
  <c r="AM566" i="172" s="1"/>
  <c r="AM428" i="172" a="1"/>
  <c r="AM428" i="172" s="1"/>
  <c r="AM436" i="172" a="1"/>
  <c r="AM436" i="172" s="1"/>
  <c r="AM409" i="172" a="1"/>
  <c r="AM409" i="172" s="1"/>
  <c r="AM293" i="172" a="1"/>
  <c r="AM293" i="172" s="1"/>
  <c r="AM291" i="172" a="1"/>
  <c r="AM291" i="172" s="1"/>
  <c r="AM212" i="172" a="1"/>
  <c r="AM212" i="172" s="1"/>
  <c r="AM185" i="172" a="1"/>
  <c r="AM185" i="172" s="1"/>
  <c r="AM190" i="172" a="1"/>
  <c r="AM190" i="172" s="1"/>
  <c r="AM158" i="172" a="1"/>
  <c r="AM158" i="172" s="1"/>
  <c r="AM126" i="172" a="1"/>
  <c r="AM126" i="172" s="1"/>
  <c r="AM83" i="172" a="1"/>
  <c r="AM83" i="172" s="1"/>
  <c r="BB26" i="172"/>
  <c r="BB32" i="172"/>
  <c r="AM4" i="172" a="1"/>
  <c r="AM4" i="172" s="1"/>
  <c r="AE4" i="172"/>
  <c r="AI4" i="172" s="1"/>
  <c r="BB24" i="172" s="1"/>
  <c r="BB5" i="172"/>
  <c r="BA12" i="172"/>
  <c r="BA10" i="172"/>
  <c r="BA13" i="172"/>
  <c r="BA14" i="172"/>
  <c r="BA11" i="172"/>
  <c r="BB4" i="172"/>
  <c r="BB7" i="172"/>
  <c r="BB3" i="172"/>
  <c r="BB6" i="172"/>
  <c r="AX5" i="172" l="1"/>
  <c r="AY5" i="172" s="1"/>
  <c r="AX6" i="172"/>
  <c r="AY6" i="172" s="1"/>
  <c r="AL4" i="172" a="1"/>
  <c r="AL4" i="172" s="1"/>
  <c r="AP4" i="172" s="1"/>
  <c r="AQ4" i="172"/>
  <c r="AV4" i="172" s="1"/>
  <c r="BA3" i="172"/>
  <c r="BA6" i="172"/>
  <c r="BA7" i="172"/>
  <c r="BA4" i="172"/>
  <c r="BA5" i="172"/>
  <c r="BB36" i="172" l="1"/>
  <c r="AX4" i="172"/>
  <c r="AY4" i="172" s="1"/>
  <c r="BB28" i="172" l="1"/>
  <c r="BB11" i="172"/>
  <c r="BB12" i="172"/>
  <c r="BB10" i="172"/>
  <c r="BB13" i="172"/>
  <c r="BB14" i="172"/>
</calcChain>
</file>

<file path=xl/comments1.xml><?xml version="1.0" encoding="utf-8"?>
<comments xmlns="http://schemas.openxmlformats.org/spreadsheetml/2006/main">
  <authors>
    <author>Sky Jones</author>
  </authors>
  <commentList>
    <comment ref="C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G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H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K55" authorId="0" shapeId="0">
      <text>
        <r>
          <rPr>
            <b/>
            <sz val="9"/>
            <color indexed="81"/>
            <rFont val="Tahoma"/>
            <family val="2"/>
          </rPr>
          <t>Cannot interpolate before first shot or after last
Red cells are flowing uphill
Brown cells are beneath the ground</t>
        </r>
      </text>
    </comment>
    <comment ref="Q55" authorId="0" shapeId="0">
      <text>
        <r>
          <rPr>
            <b/>
            <sz val="9"/>
            <color indexed="81"/>
            <rFont val="Tahoma"/>
            <family val="2"/>
          </rPr>
          <t>Cannot interpolate before first shot or after last</t>
        </r>
      </text>
    </comment>
  </commentList>
</comments>
</file>

<file path=xl/comments2.xml><?xml version="1.0" encoding="utf-8"?>
<comments xmlns="http://schemas.openxmlformats.org/spreadsheetml/2006/main">
  <authors>
    <author>Sky Jones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</t>
        </r>
      </text>
    </comment>
    <comment ref="AM3" authorId="0" shapeId="0">
      <text>
        <r>
          <rPr>
            <b/>
            <sz val="9"/>
            <color indexed="81"/>
            <rFont val="Tahoma"/>
            <family val="2"/>
          </rPr>
          <t xml:space="preserve">dMax (bkf-thw)
</t>
        </r>
      </text>
    </comment>
    <comment ref="AP3" authorId="0" shapeId="0">
      <text>
        <r>
          <rPr>
            <b/>
            <sz val="9"/>
            <color indexed="81"/>
            <rFont val="Tahoma"/>
            <family val="2"/>
          </rPr>
          <t>by BKF, not measured WS</t>
        </r>
      </text>
    </comment>
    <comment ref="AV3" authorId="0" shapeId="0">
      <text>
        <r>
          <rPr>
            <b/>
            <sz val="9"/>
            <color indexed="81"/>
            <rFont val="Tahoma"/>
            <family val="2"/>
          </rPr>
          <t>Sometimes called pool depth variability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This must be manually entered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This must be manually entered</t>
        </r>
      </text>
    </comment>
  </commentList>
</comments>
</file>

<file path=xl/sharedStrings.xml><?xml version="1.0" encoding="utf-8"?>
<sst xmlns="http://schemas.openxmlformats.org/spreadsheetml/2006/main" count="149" uniqueCount="106">
  <si>
    <t>Station</t>
  </si>
  <si>
    <t>Station+</t>
  </si>
  <si>
    <t>Mod:</t>
  </si>
  <si>
    <t>thw</t>
  </si>
  <si>
    <t>ws</t>
  </si>
  <si>
    <t>bkf</t>
  </si>
  <si>
    <t>structures</t>
  </si>
  <si>
    <t>cross.sections</t>
  </si>
  <si>
    <t>Min Ele</t>
  </si>
  <si>
    <t>Max Ele</t>
  </si>
  <si>
    <t>Min Station</t>
  </si>
  <si>
    <t>Min Scale E</t>
  </si>
  <si>
    <t>Max Station</t>
  </si>
  <si>
    <t>Max Scale E</t>
  </si>
  <si>
    <t>Bkf</t>
  </si>
  <si>
    <t>Ws</t>
  </si>
  <si>
    <t>Slope:</t>
  </si>
  <si>
    <t>Intercept:</t>
  </si>
  <si>
    <t>Formula:</t>
  </si>
  <si>
    <t>description</t>
  </si>
  <si>
    <t>Northing</t>
  </si>
  <si>
    <t>Easting</t>
  </si>
  <si>
    <t>compound morphology</t>
  </si>
  <si>
    <t>simplified morphology</t>
  </si>
  <si>
    <t>gl</t>
  </si>
  <si>
    <t>ri</t>
  </si>
  <si>
    <t>ru</t>
  </si>
  <si>
    <t>po</t>
  </si>
  <si>
    <t>COLOR CODING</t>
  </si>
  <si>
    <t>Riffle</t>
  </si>
  <si>
    <t>Pool</t>
  </si>
  <si>
    <t>Index</t>
  </si>
  <si>
    <t xml:space="preserve"> Riffle Measurements</t>
  </si>
  <si>
    <t>Length</t>
  </si>
  <si>
    <t>WS Slope</t>
  </si>
  <si>
    <t xml:space="preserve"> Pool Measurements</t>
  </si>
  <si>
    <t>P-P Spacing</t>
  </si>
  <si>
    <t>Avg. WS Slope</t>
  </si>
  <si>
    <t>Elev</t>
  </si>
  <si>
    <t>Slope</t>
  </si>
  <si>
    <t xml:space="preserve">Min </t>
  </si>
  <si>
    <t>Mean</t>
  </si>
  <si>
    <t>Median</t>
  </si>
  <si>
    <t>Max</t>
  </si>
  <si>
    <t>SD</t>
  </si>
  <si>
    <t>Spacing</t>
  </si>
  <si>
    <t xml:space="preserve">Max </t>
  </si>
  <si>
    <t>Shot Number</t>
  </si>
  <si>
    <t>Station Begin</t>
  </si>
  <si>
    <t>Station End</t>
  </si>
  <si>
    <t>WS Begin</t>
  </si>
  <si>
    <t>WS End</t>
  </si>
  <si>
    <t>Station Begin IND</t>
  </si>
  <si>
    <t>Station End IND</t>
  </si>
  <si>
    <t>Riffle Bkf Width</t>
  </si>
  <si>
    <t>=</t>
  </si>
  <si>
    <t>Ri WS Slope : Avg WS Slope</t>
  </si>
  <si>
    <t>Spacing : Riff Bkf Width</t>
  </si>
  <si>
    <t>Po WS Slope : Avg WS Slope</t>
  </si>
  <si>
    <t>Ri Ind</t>
  </si>
  <si>
    <t>Po Ind</t>
  </si>
  <si>
    <t>Mean(Po Spacing:Ri Bkf Width)</t>
  </si>
  <si>
    <t>bpo</t>
  </si>
  <si>
    <t>epo</t>
  </si>
  <si>
    <t>bri</t>
  </si>
  <si>
    <t>eri</t>
  </si>
  <si>
    <t>ws (original)</t>
  </si>
  <si>
    <t>known ws sta</t>
  </si>
  <si>
    <t>known ws el</t>
  </si>
  <si>
    <t>Mean(Ri WS Slope:Avg WS Slope)</t>
  </si>
  <si>
    <t># WS Shots</t>
  </si>
  <si>
    <t># THW Shots</t>
  </si>
  <si>
    <t>interp ws</t>
  </si>
  <si>
    <t>Deepest Station</t>
  </si>
  <si>
    <t>depth</t>
  </si>
  <si>
    <t>Deepest Station DEPTH</t>
  </si>
  <si>
    <t>Max Depth Station IND</t>
  </si>
  <si>
    <t>Data</t>
  </si>
  <si>
    <t>Assessment</t>
  </si>
  <si>
    <t>tob</t>
  </si>
  <si>
    <t>bkf2</t>
  </si>
  <si>
    <t>misc</t>
  </si>
  <si>
    <t>Bkf2</t>
  </si>
  <si>
    <t>Tob</t>
  </si>
  <si>
    <t>Deepest Station Depth</t>
  </si>
  <si>
    <t>% Ri</t>
  </si>
  <si>
    <t>Mean(Po WS Slope:Avg WS Slope)</t>
  </si>
  <si>
    <t>BHR</t>
  </si>
  <si>
    <t>bhr</t>
  </si>
  <si>
    <t>bkf height above ws</t>
  </si>
  <si>
    <t>Mean(Ri BHR)</t>
  </si>
  <si>
    <t>Average Riffle Depth</t>
  </si>
  <si>
    <t>bkf (trendline)</t>
  </si>
  <si>
    <t>known tob sta</t>
  </si>
  <si>
    <t>known tob el</t>
  </si>
  <si>
    <t># ToB Shots</t>
  </si>
  <si>
    <t>tob (interpolated)</t>
  </si>
  <si>
    <t>ws (interpolated)</t>
  </si>
  <si>
    <t>tob (lin. interp.)</t>
  </si>
  <si>
    <t>Weighted BHR</t>
  </si>
  <si>
    <t>dMax</t>
  </si>
  <si>
    <t>Po Depth Ratio</t>
  </si>
  <si>
    <t>Mean(Po Depth Ratio)</t>
  </si>
  <si>
    <t>trendline bkf above thw (dMax)</t>
  </si>
  <si>
    <t>lin. interp. tob above thw (low bank height)</t>
  </si>
  <si>
    <t>Low Bank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</si>
</sst>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b/>
      <sz val="10"/>
      <color theme="1" tint="4.9989318521683403E-2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/>
      <top/>
      <bottom style="thick">
        <color auto="1"/>
      </bottom>
      <diagonal/>
    </border>
  </borders>
  <cellStyleXfs count="11273">
    <xf numFmtId="0" fontId="0" fillId="0" borderId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0" applyNumberFormat="0" applyBorder="0" applyAlignment="0" applyProtection="0"/>
    <xf numFmtId="0" fontId="12" fillId="28" borderId="9" applyNumberFormat="0" applyAlignment="0" applyProtection="0"/>
    <xf numFmtId="0" fontId="13" fillId="29" borderId="10" applyNumberFormat="0" applyAlignment="0" applyProtection="0"/>
    <xf numFmtId="0" fontId="14" fillId="0" borderId="0" applyNumberFormat="0" applyFill="0" applyBorder="0" applyAlignment="0" applyProtection="0"/>
    <xf numFmtId="0" fontId="15" fillId="30" borderId="0" applyNumberFormat="0" applyBorder="0" applyAlignment="0" applyProtection="0"/>
    <xf numFmtId="0" fontId="16" fillId="0" borderId="11" applyNumberFormat="0" applyFill="0" applyAlignment="0" applyProtection="0"/>
    <xf numFmtId="0" fontId="17" fillId="0" borderId="12" applyNumberFormat="0" applyFill="0" applyAlignment="0" applyProtection="0"/>
    <xf numFmtId="0" fontId="18" fillId="0" borderId="13" applyNumberFormat="0" applyFill="0" applyAlignment="0" applyProtection="0"/>
    <xf numFmtId="0" fontId="1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9" fillId="31" borderId="9" applyNumberFormat="0" applyAlignment="0" applyProtection="0"/>
    <xf numFmtId="0" fontId="20" fillId="0" borderId="14" applyNumberFormat="0" applyFill="0" applyAlignment="0" applyProtection="0"/>
    <xf numFmtId="0" fontId="2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22" fillId="28" borderId="15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25" fillId="0" borderId="0" applyNumberFormat="0" applyFill="0" applyBorder="0" applyAlignment="0" applyProtection="0"/>
  </cellStyleXfs>
  <cellXfs count="74">
    <xf numFmtId="0" fontId="0" fillId="0" borderId="0" xfId="0"/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6" fillId="0" borderId="0" xfId="0" applyFont="1" applyAlignment="1">
      <alignment horizontal="right"/>
    </xf>
    <xf numFmtId="2" fontId="26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right"/>
    </xf>
    <xf numFmtId="0" fontId="26" fillId="0" borderId="0" xfId="0" applyFont="1" applyAlignment="1">
      <alignment horizontal="left"/>
    </xf>
    <xf numFmtId="2" fontId="26" fillId="0" borderId="0" xfId="0" applyNumberFormat="1" applyFont="1" applyAlignment="1">
      <alignment horizontal="left"/>
    </xf>
    <xf numFmtId="2" fontId="26" fillId="0" borderId="2" xfId="0" applyNumberFormat="1" applyFont="1" applyBorder="1" applyAlignment="1">
      <alignment horizontal="right"/>
    </xf>
    <xf numFmtId="2" fontId="26" fillId="0" borderId="0" xfId="0" applyNumberFormat="1" applyFont="1" applyBorder="1" applyAlignment="1">
      <alignment horizontal="right"/>
    </xf>
    <xf numFmtId="0" fontId="26" fillId="0" borderId="7" xfId="0" applyFont="1" applyBorder="1" applyAlignment="1">
      <alignment horizontal="center"/>
    </xf>
    <xf numFmtId="2" fontId="26" fillId="0" borderId="7" xfId="0" applyNumberFormat="1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0" xfId="0" applyFont="1"/>
    <xf numFmtId="0" fontId="26" fillId="0" borderId="1" xfId="0" applyFont="1" applyBorder="1"/>
    <xf numFmtId="0" fontId="26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5" xfId="0" applyFont="1" applyBorder="1"/>
    <xf numFmtId="0" fontId="26" fillId="0" borderId="0" xfId="0" applyFont="1" applyBorder="1"/>
    <xf numFmtId="0" fontId="26" fillId="0" borderId="1" xfId="0" applyFont="1" applyFill="1" applyBorder="1" applyAlignment="1">
      <alignment horizontal="right" vertical="center"/>
    </xf>
    <xf numFmtId="0" fontId="26" fillId="0" borderId="1" xfId="0" applyFont="1" applyFill="1" applyBorder="1" applyAlignment="1">
      <alignment horizontal="left" vertical="center"/>
    </xf>
    <xf numFmtId="0" fontId="26" fillId="0" borderId="1" xfId="0" applyFont="1" applyBorder="1" applyAlignment="1">
      <alignment horizontal="right" vertical="center"/>
    </xf>
    <xf numFmtId="0" fontId="26" fillId="0" borderId="1" xfId="0" applyFont="1" applyBorder="1" applyAlignment="1">
      <alignment horizontal="left" vertical="center"/>
    </xf>
    <xf numFmtId="0" fontId="26" fillId="0" borderId="6" xfId="0" applyFont="1" applyFill="1" applyBorder="1" applyAlignment="1">
      <alignment horizontal="right" vertical="center"/>
    </xf>
    <xf numFmtId="0" fontId="26" fillId="0" borderId="20" xfId="0" applyFont="1" applyBorder="1" applyAlignment="1">
      <alignment horizontal="right" vertical="center"/>
    </xf>
    <xf numFmtId="0" fontId="26" fillId="0" borderId="20" xfId="0" applyFont="1" applyFill="1" applyBorder="1" applyAlignment="1">
      <alignment horizontal="right" vertical="center"/>
    </xf>
    <xf numFmtId="2" fontId="26" fillId="0" borderId="0" xfId="0" applyNumberFormat="1" applyFont="1" applyBorder="1"/>
    <xf numFmtId="2" fontId="26" fillId="0" borderId="5" xfId="0" applyNumberFormat="1" applyFont="1" applyBorder="1"/>
    <xf numFmtId="164" fontId="26" fillId="0" borderId="0" xfId="0" applyNumberFormat="1" applyFont="1" applyBorder="1"/>
    <xf numFmtId="2" fontId="26" fillId="0" borderId="19" xfId="0" applyNumberFormat="1" applyFont="1" applyBorder="1"/>
    <xf numFmtId="0" fontId="26" fillId="0" borderId="17" xfId="0" applyFont="1" applyBorder="1"/>
    <xf numFmtId="0" fontId="27" fillId="0" borderId="0" xfId="0" applyFont="1" applyBorder="1" applyAlignment="1">
      <alignment horizontal="right"/>
    </xf>
    <xf numFmtId="0" fontId="27" fillId="0" borderId="5" xfId="0" applyFont="1" applyBorder="1"/>
    <xf numFmtId="164" fontId="26" fillId="0" borderId="0" xfId="0" applyNumberFormat="1" applyFont="1"/>
    <xf numFmtId="2" fontId="26" fillId="0" borderId="0" xfId="0" applyNumberFormat="1" applyFont="1"/>
    <xf numFmtId="0" fontId="27" fillId="0" borderId="0" xfId="0" applyFont="1" applyAlignment="1">
      <alignment horizontal="right"/>
    </xf>
    <xf numFmtId="2" fontId="26" fillId="0" borderId="18" xfId="0" applyNumberFormat="1" applyFont="1" applyBorder="1"/>
    <xf numFmtId="0" fontId="26" fillId="0" borderId="19" xfId="0" applyFont="1" applyBorder="1"/>
    <xf numFmtId="0" fontId="26" fillId="37" borderId="0" xfId="0" applyFont="1" applyFill="1" applyBorder="1"/>
    <xf numFmtId="0" fontId="26" fillId="0" borderId="21" xfId="0" applyFont="1" applyBorder="1"/>
    <xf numFmtId="0" fontId="27" fillId="0" borderId="21" xfId="0" applyFont="1" applyBorder="1"/>
    <xf numFmtId="0" fontId="27" fillId="0" borderId="22" xfId="0" applyFont="1" applyBorder="1"/>
    <xf numFmtId="0" fontId="28" fillId="38" borderId="0" xfId="0" applyFont="1" applyFill="1"/>
    <xf numFmtId="0" fontId="26" fillId="38" borderId="0" xfId="0" applyFont="1" applyFill="1"/>
    <xf numFmtId="0" fontId="26" fillId="38" borderId="17" xfId="0" applyFont="1" applyFill="1" applyBorder="1"/>
    <xf numFmtId="0" fontId="26" fillId="38" borderId="0" xfId="0" applyFont="1" applyFill="1" applyBorder="1"/>
    <xf numFmtId="0" fontId="26" fillId="38" borderId="5" xfId="0" applyFont="1" applyFill="1" applyBorder="1"/>
    <xf numFmtId="0" fontId="26" fillId="38" borderId="19" xfId="0" applyFont="1" applyFill="1" applyBorder="1"/>
    <xf numFmtId="0" fontId="26" fillId="36" borderId="1" xfId="0" applyFont="1" applyFill="1" applyBorder="1"/>
    <xf numFmtId="0" fontId="26" fillId="39" borderId="1" xfId="0" applyFont="1" applyFill="1" applyBorder="1" applyAlignment="1">
      <alignment horizontal="center"/>
    </xf>
    <xf numFmtId="0" fontId="26" fillId="39" borderId="1" xfId="0" applyFont="1" applyFill="1" applyBorder="1"/>
    <xf numFmtId="0" fontId="26" fillId="40" borderId="6" xfId="0" applyFont="1" applyFill="1" applyBorder="1" applyAlignment="1">
      <alignment horizontal="center" vertical="center"/>
    </xf>
    <xf numFmtId="0" fontId="26" fillId="40" borderId="1" xfId="0" applyFont="1" applyFill="1" applyBorder="1"/>
    <xf numFmtId="0" fontId="26" fillId="40" borderId="20" xfId="0" applyFont="1" applyFill="1" applyBorder="1"/>
    <xf numFmtId="0" fontId="26" fillId="36" borderId="1" xfId="0" applyFont="1" applyFill="1" applyBorder="1" applyAlignment="1">
      <alignment horizontal="center" vertical="center"/>
    </xf>
    <xf numFmtId="0" fontId="26" fillId="36" borderId="18" xfId="0" applyFont="1" applyFill="1" applyBorder="1"/>
    <xf numFmtId="0" fontId="26" fillId="38" borderId="18" xfId="0" applyFont="1" applyFill="1" applyBorder="1"/>
    <xf numFmtId="0" fontId="26" fillId="38" borderId="22" xfId="0" applyFont="1" applyFill="1" applyBorder="1"/>
    <xf numFmtId="0" fontId="26" fillId="35" borderId="1" xfId="0" applyFont="1" applyFill="1" applyBorder="1" applyAlignment="1">
      <alignment horizontal="right" vertical="center"/>
    </xf>
    <xf numFmtId="0" fontId="26" fillId="34" borderId="1" xfId="0" applyFont="1" applyFill="1" applyBorder="1" applyAlignment="1">
      <alignment horizontal="right" vertical="center"/>
    </xf>
    <xf numFmtId="0" fontId="26" fillId="35" borderId="1" xfId="0" applyFont="1" applyFill="1" applyBorder="1" applyAlignment="1">
      <alignment horizontal="left" vertical="center"/>
    </xf>
    <xf numFmtId="0" fontId="26" fillId="0" borderId="2" xfId="0" applyFont="1" applyBorder="1" applyAlignment="1">
      <alignment horizontal="center"/>
    </xf>
    <xf numFmtId="0" fontId="26" fillId="0" borderId="23" xfId="0" applyFont="1" applyBorder="1" applyAlignment="1">
      <alignment horizontal="center"/>
    </xf>
    <xf numFmtId="0" fontId="26" fillId="0" borderId="24" xfId="0" applyFont="1" applyBorder="1" applyAlignment="1">
      <alignment horizontal="center"/>
    </xf>
    <xf numFmtId="0" fontId="26" fillId="41" borderId="1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horizontal="left" vertical="center"/>
    </xf>
    <xf numFmtId="0" fontId="26" fillId="0" borderId="0" xfId="0" applyFont="1" applyBorder="1" applyAlignment="1">
      <alignment horizontal="right"/>
    </xf>
    <xf numFmtId="2" fontId="26" fillId="33" borderId="3" xfId="0" applyNumberFormat="1" applyFont="1" applyFill="1" applyBorder="1"/>
  </cellXfs>
  <cellStyles count="11273">
    <cellStyle name="20% - Accent1" xfId="1" builtinId="30" customBuiltin="1"/>
    <cellStyle name="20% - Accent1 10" xfId="2"/>
    <cellStyle name="20% - Accent1 10 2" xfId="3"/>
    <cellStyle name="20% - Accent1 10 2 2" xfId="4"/>
    <cellStyle name="20% - Accent1 10 2 2 2" xfId="5"/>
    <cellStyle name="20% - Accent1 10 2 3" xfId="6"/>
    <cellStyle name="20% - Accent1 10 3" xfId="7"/>
    <cellStyle name="20% - Accent1 10 3 2" xfId="8"/>
    <cellStyle name="20% - Accent1 10 3 2 2" xfId="9"/>
    <cellStyle name="20% - Accent1 10 3 3" xfId="10"/>
    <cellStyle name="20% - Accent1 10 4" xfId="11"/>
    <cellStyle name="20% - Accent1 10 4 2" xfId="12"/>
    <cellStyle name="20% - Accent1 10 5" xfId="13"/>
    <cellStyle name="20% - Accent1 11" xfId="14"/>
    <cellStyle name="20% - Accent1 11 2" xfId="15"/>
    <cellStyle name="20% - Accent1 11 2 2" xfId="16"/>
    <cellStyle name="20% - Accent1 11 2 2 2" xfId="17"/>
    <cellStyle name="20% - Accent1 11 2 3" xfId="18"/>
    <cellStyle name="20% - Accent1 11 3" xfId="19"/>
    <cellStyle name="20% - Accent1 11 3 2" xfId="20"/>
    <cellStyle name="20% - Accent1 11 3 2 2" xfId="21"/>
    <cellStyle name="20% - Accent1 11 3 3" xfId="22"/>
    <cellStyle name="20% - Accent1 11 4" xfId="23"/>
    <cellStyle name="20% - Accent1 11 4 2" xfId="24"/>
    <cellStyle name="20% - Accent1 11 5" xfId="25"/>
    <cellStyle name="20% - Accent1 12" xfId="26"/>
    <cellStyle name="20% - Accent1 12 2" xfId="27"/>
    <cellStyle name="20% - Accent1 12 2 2" xfId="28"/>
    <cellStyle name="20% - Accent1 12 2 2 2" xfId="29"/>
    <cellStyle name="20% - Accent1 12 2 3" xfId="30"/>
    <cellStyle name="20% - Accent1 12 3" xfId="31"/>
    <cellStyle name="20% - Accent1 12 3 2" xfId="32"/>
    <cellStyle name="20% - Accent1 12 3 2 2" xfId="33"/>
    <cellStyle name="20% - Accent1 12 3 3" xfId="34"/>
    <cellStyle name="20% - Accent1 12 4" xfId="35"/>
    <cellStyle name="20% - Accent1 12 4 2" xfId="36"/>
    <cellStyle name="20% - Accent1 12 5" xfId="37"/>
    <cellStyle name="20% - Accent1 13" xfId="38"/>
    <cellStyle name="20% - Accent1 13 2" xfId="39"/>
    <cellStyle name="20% - Accent1 13 2 2" xfId="40"/>
    <cellStyle name="20% - Accent1 13 2 2 2" xfId="41"/>
    <cellStyle name="20% - Accent1 13 2 3" xfId="42"/>
    <cellStyle name="20% - Accent1 13 3" xfId="43"/>
    <cellStyle name="20% - Accent1 13 3 2" xfId="44"/>
    <cellStyle name="20% - Accent1 13 3 2 2" xfId="45"/>
    <cellStyle name="20% - Accent1 13 3 3" xfId="46"/>
    <cellStyle name="20% - Accent1 13 4" xfId="47"/>
    <cellStyle name="20% - Accent1 13 4 2" xfId="48"/>
    <cellStyle name="20% - Accent1 13 5" xfId="49"/>
    <cellStyle name="20% - Accent1 14" xfId="50"/>
    <cellStyle name="20% - Accent1 14 2" xfId="51"/>
    <cellStyle name="20% - Accent1 14 2 2" xfId="52"/>
    <cellStyle name="20% - Accent1 14 2 2 2" xfId="53"/>
    <cellStyle name="20% - Accent1 14 2 3" xfId="54"/>
    <cellStyle name="20% - Accent1 14 3" xfId="55"/>
    <cellStyle name="20% - Accent1 14 3 2" xfId="56"/>
    <cellStyle name="20% - Accent1 14 3 2 2" xfId="57"/>
    <cellStyle name="20% - Accent1 14 3 3" xfId="58"/>
    <cellStyle name="20% - Accent1 14 4" xfId="59"/>
    <cellStyle name="20% - Accent1 14 4 2" xfId="60"/>
    <cellStyle name="20% - Accent1 14 5" xfId="61"/>
    <cellStyle name="20% - Accent1 15" xfId="62"/>
    <cellStyle name="20% - Accent1 15 2" xfId="63"/>
    <cellStyle name="20% - Accent1 15 2 2" xfId="64"/>
    <cellStyle name="20% - Accent1 15 2 2 2" xfId="65"/>
    <cellStyle name="20% - Accent1 15 2 3" xfId="66"/>
    <cellStyle name="20% - Accent1 15 3" xfId="67"/>
    <cellStyle name="20% - Accent1 15 3 2" xfId="68"/>
    <cellStyle name="20% - Accent1 15 3 2 2" xfId="69"/>
    <cellStyle name="20% - Accent1 15 3 3" xfId="70"/>
    <cellStyle name="20% - Accent1 15 4" xfId="71"/>
    <cellStyle name="20% - Accent1 15 4 2" xfId="72"/>
    <cellStyle name="20% - Accent1 15 5" xfId="73"/>
    <cellStyle name="20% - Accent1 16" xfId="74"/>
    <cellStyle name="20% - Accent1 16 2" xfId="75"/>
    <cellStyle name="20% - Accent1 16 2 2" xfId="76"/>
    <cellStyle name="20% - Accent1 16 2 2 2" xfId="77"/>
    <cellStyle name="20% - Accent1 16 2 3" xfId="78"/>
    <cellStyle name="20% - Accent1 16 3" xfId="79"/>
    <cellStyle name="20% - Accent1 16 3 2" xfId="80"/>
    <cellStyle name="20% - Accent1 16 3 2 2" xfId="81"/>
    <cellStyle name="20% - Accent1 16 3 3" xfId="82"/>
    <cellStyle name="20% - Accent1 16 4" xfId="83"/>
    <cellStyle name="20% - Accent1 16 4 2" xfId="84"/>
    <cellStyle name="20% - Accent1 16 5" xfId="85"/>
    <cellStyle name="20% - Accent1 17" xfId="86"/>
    <cellStyle name="20% - Accent1 17 2" xfId="87"/>
    <cellStyle name="20% - Accent1 17 2 2" xfId="88"/>
    <cellStyle name="20% - Accent1 17 2 2 2" xfId="89"/>
    <cellStyle name="20% - Accent1 17 2 3" xfId="90"/>
    <cellStyle name="20% - Accent1 17 3" xfId="91"/>
    <cellStyle name="20% - Accent1 17 3 2" xfId="92"/>
    <cellStyle name="20% - Accent1 17 3 2 2" xfId="93"/>
    <cellStyle name="20% - Accent1 17 3 3" xfId="94"/>
    <cellStyle name="20% - Accent1 17 4" xfId="95"/>
    <cellStyle name="20% - Accent1 17 4 2" xfId="96"/>
    <cellStyle name="20% - Accent1 17 5" xfId="97"/>
    <cellStyle name="20% - Accent1 18" xfId="98"/>
    <cellStyle name="20% - Accent1 18 2" xfId="99"/>
    <cellStyle name="20% - Accent1 18 2 2" xfId="100"/>
    <cellStyle name="20% - Accent1 18 2 2 2" xfId="101"/>
    <cellStyle name="20% - Accent1 18 2 3" xfId="102"/>
    <cellStyle name="20% - Accent1 18 3" xfId="103"/>
    <cellStyle name="20% - Accent1 18 3 2" xfId="104"/>
    <cellStyle name="20% - Accent1 18 3 2 2" xfId="105"/>
    <cellStyle name="20% - Accent1 18 3 3" xfId="106"/>
    <cellStyle name="20% - Accent1 18 4" xfId="107"/>
    <cellStyle name="20% - Accent1 18 4 2" xfId="108"/>
    <cellStyle name="20% - Accent1 18 5" xfId="109"/>
    <cellStyle name="20% - Accent1 19" xfId="110"/>
    <cellStyle name="20% - Accent1 19 2" xfId="111"/>
    <cellStyle name="20% - Accent1 19 2 2" xfId="112"/>
    <cellStyle name="20% - Accent1 19 2 2 2" xfId="113"/>
    <cellStyle name="20% - Accent1 19 2 3" xfId="114"/>
    <cellStyle name="20% - Accent1 19 3" xfId="115"/>
    <cellStyle name="20% - Accent1 19 3 2" xfId="116"/>
    <cellStyle name="20% - Accent1 19 3 2 2" xfId="117"/>
    <cellStyle name="20% - Accent1 19 3 3" xfId="118"/>
    <cellStyle name="20% - Accent1 19 4" xfId="119"/>
    <cellStyle name="20% - Accent1 19 4 2" xfId="120"/>
    <cellStyle name="20% - Accent1 19 5" xfId="121"/>
    <cellStyle name="20% - Accent1 2" xfId="122"/>
    <cellStyle name="20% - Accent1 2 2" xfId="123"/>
    <cellStyle name="20% - Accent1 2 2 2" xfId="124"/>
    <cellStyle name="20% - Accent1 2 2 2 2" xfId="125"/>
    <cellStyle name="20% - Accent1 2 2 3" xfId="126"/>
    <cellStyle name="20% - Accent1 2 3" xfId="127"/>
    <cellStyle name="20% - Accent1 2 3 2" xfId="128"/>
    <cellStyle name="20% - Accent1 2 3 2 2" xfId="129"/>
    <cellStyle name="20% - Accent1 2 3 3" xfId="130"/>
    <cellStyle name="20% - Accent1 2 4" xfId="131"/>
    <cellStyle name="20% - Accent1 2 4 2" xfId="132"/>
    <cellStyle name="20% - Accent1 2 5" xfId="133"/>
    <cellStyle name="20% - Accent1 20" xfId="134"/>
    <cellStyle name="20% - Accent1 20 2" xfId="135"/>
    <cellStyle name="20% - Accent1 20 2 2" xfId="136"/>
    <cellStyle name="20% - Accent1 20 2 2 2" xfId="137"/>
    <cellStyle name="20% - Accent1 20 2 3" xfId="138"/>
    <cellStyle name="20% - Accent1 20 3" xfId="139"/>
    <cellStyle name="20% - Accent1 20 3 2" xfId="140"/>
    <cellStyle name="20% - Accent1 20 3 2 2" xfId="141"/>
    <cellStyle name="20% - Accent1 20 3 3" xfId="142"/>
    <cellStyle name="20% - Accent1 20 4" xfId="143"/>
    <cellStyle name="20% - Accent1 20 4 2" xfId="144"/>
    <cellStyle name="20% - Accent1 20 5" xfId="145"/>
    <cellStyle name="20% - Accent1 21" xfId="146"/>
    <cellStyle name="20% - Accent1 21 2" xfId="147"/>
    <cellStyle name="20% - Accent1 21 2 2" xfId="148"/>
    <cellStyle name="20% - Accent1 21 2 2 2" xfId="149"/>
    <cellStyle name="20% - Accent1 21 2 3" xfId="150"/>
    <cellStyle name="20% - Accent1 21 3" xfId="151"/>
    <cellStyle name="20% - Accent1 21 3 2" xfId="152"/>
    <cellStyle name="20% - Accent1 21 3 2 2" xfId="153"/>
    <cellStyle name="20% - Accent1 21 3 3" xfId="154"/>
    <cellStyle name="20% - Accent1 21 4" xfId="155"/>
    <cellStyle name="20% - Accent1 21 4 2" xfId="156"/>
    <cellStyle name="20% - Accent1 21 5" xfId="157"/>
    <cellStyle name="20% - Accent1 22" xfId="158"/>
    <cellStyle name="20% - Accent1 22 2" xfId="159"/>
    <cellStyle name="20% - Accent1 22 2 2" xfId="160"/>
    <cellStyle name="20% - Accent1 22 2 2 2" xfId="161"/>
    <cellStyle name="20% - Accent1 22 2 3" xfId="162"/>
    <cellStyle name="20% - Accent1 22 3" xfId="163"/>
    <cellStyle name="20% - Accent1 22 3 2" xfId="164"/>
    <cellStyle name="20% - Accent1 22 3 2 2" xfId="165"/>
    <cellStyle name="20% - Accent1 22 3 3" xfId="166"/>
    <cellStyle name="20% - Accent1 22 4" xfId="167"/>
    <cellStyle name="20% - Accent1 22 4 2" xfId="168"/>
    <cellStyle name="20% - Accent1 22 5" xfId="169"/>
    <cellStyle name="20% - Accent1 23" xfId="170"/>
    <cellStyle name="20% - Accent1 23 2" xfId="171"/>
    <cellStyle name="20% - Accent1 23 2 2" xfId="172"/>
    <cellStyle name="20% - Accent1 23 2 2 2" xfId="173"/>
    <cellStyle name="20% - Accent1 23 2 3" xfId="174"/>
    <cellStyle name="20% - Accent1 23 3" xfId="175"/>
    <cellStyle name="20% - Accent1 23 3 2" xfId="176"/>
    <cellStyle name="20% - Accent1 23 3 2 2" xfId="177"/>
    <cellStyle name="20% - Accent1 23 3 3" xfId="178"/>
    <cellStyle name="20% - Accent1 23 4" xfId="179"/>
    <cellStyle name="20% - Accent1 23 4 2" xfId="180"/>
    <cellStyle name="20% - Accent1 23 5" xfId="181"/>
    <cellStyle name="20% - Accent1 24" xfId="182"/>
    <cellStyle name="20% - Accent1 24 2" xfId="183"/>
    <cellStyle name="20% - Accent1 24 2 2" xfId="184"/>
    <cellStyle name="20% - Accent1 24 2 2 2" xfId="185"/>
    <cellStyle name="20% - Accent1 24 2 3" xfId="186"/>
    <cellStyle name="20% - Accent1 24 3" xfId="187"/>
    <cellStyle name="20% - Accent1 24 3 2" xfId="188"/>
    <cellStyle name="20% - Accent1 24 3 2 2" xfId="189"/>
    <cellStyle name="20% - Accent1 24 3 3" xfId="190"/>
    <cellStyle name="20% - Accent1 24 4" xfId="191"/>
    <cellStyle name="20% - Accent1 24 4 2" xfId="192"/>
    <cellStyle name="20% - Accent1 24 5" xfId="193"/>
    <cellStyle name="20% - Accent1 25" xfId="194"/>
    <cellStyle name="20% - Accent1 25 2" xfId="195"/>
    <cellStyle name="20% - Accent1 25 2 2" xfId="196"/>
    <cellStyle name="20% - Accent1 25 2 2 2" xfId="197"/>
    <cellStyle name="20% - Accent1 25 2 3" xfId="198"/>
    <cellStyle name="20% - Accent1 25 3" xfId="199"/>
    <cellStyle name="20% - Accent1 25 3 2" xfId="200"/>
    <cellStyle name="20% - Accent1 25 3 2 2" xfId="201"/>
    <cellStyle name="20% - Accent1 25 3 3" xfId="202"/>
    <cellStyle name="20% - Accent1 25 4" xfId="203"/>
    <cellStyle name="20% - Accent1 25 4 2" xfId="204"/>
    <cellStyle name="20% - Accent1 25 5" xfId="205"/>
    <cellStyle name="20% - Accent1 26" xfId="206"/>
    <cellStyle name="20% - Accent1 26 2" xfId="207"/>
    <cellStyle name="20% - Accent1 26 2 2" xfId="208"/>
    <cellStyle name="20% - Accent1 26 2 2 2" xfId="209"/>
    <cellStyle name="20% - Accent1 26 2 3" xfId="210"/>
    <cellStyle name="20% - Accent1 26 3" xfId="211"/>
    <cellStyle name="20% - Accent1 26 3 2" xfId="212"/>
    <cellStyle name="20% - Accent1 26 3 2 2" xfId="213"/>
    <cellStyle name="20% - Accent1 26 3 3" xfId="214"/>
    <cellStyle name="20% - Accent1 26 4" xfId="215"/>
    <cellStyle name="20% - Accent1 26 4 2" xfId="216"/>
    <cellStyle name="20% - Accent1 26 5" xfId="217"/>
    <cellStyle name="20% - Accent1 27" xfId="218"/>
    <cellStyle name="20% - Accent1 27 2" xfId="219"/>
    <cellStyle name="20% - Accent1 27 2 2" xfId="220"/>
    <cellStyle name="20% - Accent1 27 2 2 2" xfId="221"/>
    <cellStyle name="20% - Accent1 27 2 3" xfId="222"/>
    <cellStyle name="20% - Accent1 27 3" xfId="223"/>
    <cellStyle name="20% - Accent1 27 3 2" xfId="224"/>
    <cellStyle name="20% - Accent1 27 3 2 2" xfId="225"/>
    <cellStyle name="20% - Accent1 27 3 3" xfId="226"/>
    <cellStyle name="20% - Accent1 27 4" xfId="227"/>
    <cellStyle name="20% - Accent1 27 4 2" xfId="228"/>
    <cellStyle name="20% - Accent1 27 5" xfId="229"/>
    <cellStyle name="20% - Accent1 28" xfId="230"/>
    <cellStyle name="20% - Accent1 28 2" xfId="231"/>
    <cellStyle name="20% - Accent1 28 2 2" xfId="232"/>
    <cellStyle name="20% - Accent1 28 2 2 2" xfId="233"/>
    <cellStyle name="20% - Accent1 28 2 3" xfId="234"/>
    <cellStyle name="20% - Accent1 28 3" xfId="235"/>
    <cellStyle name="20% - Accent1 28 3 2" xfId="236"/>
    <cellStyle name="20% - Accent1 28 3 2 2" xfId="237"/>
    <cellStyle name="20% - Accent1 28 3 3" xfId="238"/>
    <cellStyle name="20% - Accent1 28 4" xfId="239"/>
    <cellStyle name="20% - Accent1 28 4 2" xfId="240"/>
    <cellStyle name="20% - Accent1 28 5" xfId="241"/>
    <cellStyle name="20% - Accent1 29" xfId="242"/>
    <cellStyle name="20% - Accent1 29 2" xfId="243"/>
    <cellStyle name="20% - Accent1 29 2 2" xfId="244"/>
    <cellStyle name="20% - Accent1 29 2 2 2" xfId="245"/>
    <cellStyle name="20% - Accent1 29 2 3" xfId="246"/>
    <cellStyle name="20% - Accent1 29 3" xfId="247"/>
    <cellStyle name="20% - Accent1 29 3 2" xfId="248"/>
    <cellStyle name="20% - Accent1 29 3 2 2" xfId="249"/>
    <cellStyle name="20% - Accent1 29 3 3" xfId="250"/>
    <cellStyle name="20% - Accent1 29 4" xfId="251"/>
    <cellStyle name="20% - Accent1 29 4 2" xfId="252"/>
    <cellStyle name="20% - Accent1 29 5" xfId="253"/>
    <cellStyle name="20% - Accent1 3" xfId="254"/>
    <cellStyle name="20% - Accent1 3 2" xfId="255"/>
    <cellStyle name="20% - Accent1 3 2 2" xfId="256"/>
    <cellStyle name="20% - Accent1 3 2 2 2" xfId="257"/>
    <cellStyle name="20% - Accent1 3 2 3" xfId="258"/>
    <cellStyle name="20% - Accent1 3 3" xfId="259"/>
    <cellStyle name="20% - Accent1 3 3 2" xfId="260"/>
    <cellStyle name="20% - Accent1 3 3 2 2" xfId="261"/>
    <cellStyle name="20% - Accent1 3 3 3" xfId="262"/>
    <cellStyle name="20% - Accent1 3 4" xfId="263"/>
    <cellStyle name="20% - Accent1 3 4 2" xfId="264"/>
    <cellStyle name="20% - Accent1 3 5" xfId="265"/>
    <cellStyle name="20% - Accent1 30" xfId="266"/>
    <cellStyle name="20% - Accent1 30 2" xfId="267"/>
    <cellStyle name="20% - Accent1 30 2 2" xfId="268"/>
    <cellStyle name="20% - Accent1 30 2 2 2" xfId="269"/>
    <cellStyle name="20% - Accent1 30 2 3" xfId="270"/>
    <cellStyle name="20% - Accent1 30 3" xfId="271"/>
    <cellStyle name="20% - Accent1 30 3 2" xfId="272"/>
    <cellStyle name="20% - Accent1 30 3 2 2" xfId="273"/>
    <cellStyle name="20% - Accent1 30 3 3" xfId="274"/>
    <cellStyle name="20% - Accent1 30 4" xfId="275"/>
    <cellStyle name="20% - Accent1 30 4 2" xfId="276"/>
    <cellStyle name="20% - Accent1 30 5" xfId="277"/>
    <cellStyle name="20% - Accent1 31" xfId="278"/>
    <cellStyle name="20% - Accent1 31 2" xfId="279"/>
    <cellStyle name="20% - Accent1 31 2 2" xfId="280"/>
    <cellStyle name="20% - Accent1 31 2 2 2" xfId="281"/>
    <cellStyle name="20% - Accent1 31 2 3" xfId="282"/>
    <cellStyle name="20% - Accent1 31 3" xfId="283"/>
    <cellStyle name="20% - Accent1 31 3 2" xfId="284"/>
    <cellStyle name="20% - Accent1 31 3 2 2" xfId="285"/>
    <cellStyle name="20% - Accent1 31 3 3" xfId="286"/>
    <cellStyle name="20% - Accent1 31 4" xfId="287"/>
    <cellStyle name="20% - Accent1 31 4 2" xfId="288"/>
    <cellStyle name="20% - Accent1 31 5" xfId="289"/>
    <cellStyle name="20% - Accent1 32" xfId="290"/>
    <cellStyle name="20% - Accent1 32 2" xfId="291"/>
    <cellStyle name="20% - Accent1 32 2 2" xfId="292"/>
    <cellStyle name="20% - Accent1 32 2 2 2" xfId="293"/>
    <cellStyle name="20% - Accent1 32 2 3" xfId="294"/>
    <cellStyle name="20% - Accent1 32 3" xfId="295"/>
    <cellStyle name="20% - Accent1 32 3 2" xfId="296"/>
    <cellStyle name="20% - Accent1 32 3 2 2" xfId="297"/>
    <cellStyle name="20% - Accent1 32 3 3" xfId="298"/>
    <cellStyle name="20% - Accent1 32 4" xfId="299"/>
    <cellStyle name="20% - Accent1 32 4 2" xfId="300"/>
    <cellStyle name="20% - Accent1 32 5" xfId="301"/>
    <cellStyle name="20% - Accent1 33" xfId="302"/>
    <cellStyle name="20% - Accent1 33 2" xfId="303"/>
    <cellStyle name="20% - Accent1 33 2 2" xfId="304"/>
    <cellStyle name="20% - Accent1 33 2 2 2" xfId="305"/>
    <cellStyle name="20% - Accent1 33 2 3" xfId="306"/>
    <cellStyle name="20% - Accent1 33 3" xfId="307"/>
    <cellStyle name="20% - Accent1 33 3 2" xfId="308"/>
    <cellStyle name="20% - Accent1 33 3 2 2" xfId="309"/>
    <cellStyle name="20% - Accent1 33 3 3" xfId="310"/>
    <cellStyle name="20% - Accent1 33 4" xfId="311"/>
    <cellStyle name="20% - Accent1 33 4 2" xfId="312"/>
    <cellStyle name="20% - Accent1 33 5" xfId="313"/>
    <cellStyle name="20% - Accent1 34" xfId="314"/>
    <cellStyle name="20% - Accent1 34 2" xfId="315"/>
    <cellStyle name="20% - Accent1 34 2 2" xfId="316"/>
    <cellStyle name="20% - Accent1 34 2 2 2" xfId="317"/>
    <cellStyle name="20% - Accent1 34 2 3" xfId="318"/>
    <cellStyle name="20% - Accent1 34 3" xfId="319"/>
    <cellStyle name="20% - Accent1 34 3 2" xfId="320"/>
    <cellStyle name="20% - Accent1 34 4" xfId="321"/>
    <cellStyle name="20% - Accent1 35" xfId="322"/>
    <cellStyle name="20% - Accent1 35 2" xfId="323"/>
    <cellStyle name="20% - Accent1 35 2 2" xfId="324"/>
    <cellStyle name="20% - Accent1 35 3" xfId="325"/>
    <cellStyle name="20% - Accent1 36" xfId="326"/>
    <cellStyle name="20% - Accent1 36 2" xfId="327"/>
    <cellStyle name="20% - Accent1 36 2 2" xfId="328"/>
    <cellStyle name="20% - Accent1 36 3" xfId="329"/>
    <cellStyle name="20% - Accent1 37" xfId="330"/>
    <cellStyle name="20% - Accent1 37 2" xfId="331"/>
    <cellStyle name="20% - Accent1 37 2 2" xfId="332"/>
    <cellStyle name="20% - Accent1 37 3" xfId="333"/>
    <cellStyle name="20% - Accent1 38" xfId="334"/>
    <cellStyle name="20% - Accent1 38 2" xfId="335"/>
    <cellStyle name="20% - Accent1 38 2 2" xfId="336"/>
    <cellStyle name="20% - Accent1 38 3" xfId="337"/>
    <cellStyle name="20% - Accent1 39" xfId="338"/>
    <cellStyle name="20% - Accent1 39 2" xfId="339"/>
    <cellStyle name="20% - Accent1 39 2 2" xfId="340"/>
    <cellStyle name="20% - Accent1 39 3" xfId="341"/>
    <cellStyle name="20% - Accent1 4" xfId="342"/>
    <cellStyle name="20% - Accent1 4 2" xfId="343"/>
    <cellStyle name="20% - Accent1 4 2 2" xfId="344"/>
    <cellStyle name="20% - Accent1 4 2 2 2" xfId="345"/>
    <cellStyle name="20% - Accent1 4 2 3" xfId="346"/>
    <cellStyle name="20% - Accent1 4 3" xfId="347"/>
    <cellStyle name="20% - Accent1 4 3 2" xfId="348"/>
    <cellStyle name="20% - Accent1 4 3 2 2" xfId="349"/>
    <cellStyle name="20% - Accent1 4 3 3" xfId="350"/>
    <cellStyle name="20% - Accent1 4 4" xfId="351"/>
    <cellStyle name="20% - Accent1 4 4 2" xfId="352"/>
    <cellStyle name="20% - Accent1 4 5" xfId="353"/>
    <cellStyle name="20% - Accent1 40" xfId="354"/>
    <cellStyle name="20% - Accent1 40 2" xfId="355"/>
    <cellStyle name="20% - Accent1 40 2 2" xfId="356"/>
    <cellStyle name="20% - Accent1 40 3" xfId="357"/>
    <cellStyle name="20% - Accent1 41" xfId="358"/>
    <cellStyle name="20% - Accent1 41 2" xfId="359"/>
    <cellStyle name="20% - Accent1 41 2 2" xfId="360"/>
    <cellStyle name="20% - Accent1 41 3" xfId="361"/>
    <cellStyle name="20% - Accent1 42" xfId="362"/>
    <cellStyle name="20% - Accent1 42 2" xfId="363"/>
    <cellStyle name="20% - Accent1 42 2 2" xfId="364"/>
    <cellStyle name="20% - Accent1 42 3" xfId="365"/>
    <cellStyle name="20% - Accent1 43" xfId="366"/>
    <cellStyle name="20% - Accent1 43 2" xfId="367"/>
    <cellStyle name="20% - Accent1 43 2 2" xfId="368"/>
    <cellStyle name="20% - Accent1 43 3" xfId="369"/>
    <cellStyle name="20% - Accent1 44" xfId="370"/>
    <cellStyle name="20% - Accent1 44 2" xfId="371"/>
    <cellStyle name="20% - Accent1 44 2 2" xfId="372"/>
    <cellStyle name="20% - Accent1 44 3" xfId="373"/>
    <cellStyle name="20% - Accent1 45" xfId="374"/>
    <cellStyle name="20% - Accent1 45 2" xfId="375"/>
    <cellStyle name="20% - Accent1 45 2 2" xfId="376"/>
    <cellStyle name="20% - Accent1 45 3" xfId="377"/>
    <cellStyle name="20% - Accent1 46" xfId="378"/>
    <cellStyle name="20% - Accent1 46 2" xfId="379"/>
    <cellStyle name="20% - Accent1 46 2 2" xfId="380"/>
    <cellStyle name="20% - Accent1 46 3" xfId="381"/>
    <cellStyle name="20% - Accent1 47" xfId="382"/>
    <cellStyle name="20% - Accent1 47 2" xfId="383"/>
    <cellStyle name="20% - Accent1 47 2 2" xfId="384"/>
    <cellStyle name="20% - Accent1 47 3" xfId="385"/>
    <cellStyle name="20% - Accent1 48" xfId="386"/>
    <cellStyle name="20% - Accent1 48 2" xfId="387"/>
    <cellStyle name="20% - Accent1 48 2 2" xfId="388"/>
    <cellStyle name="20% - Accent1 48 3" xfId="389"/>
    <cellStyle name="20% - Accent1 49" xfId="390"/>
    <cellStyle name="20% - Accent1 49 2" xfId="391"/>
    <cellStyle name="20% - Accent1 49 2 2" xfId="392"/>
    <cellStyle name="20% - Accent1 49 3" xfId="393"/>
    <cellStyle name="20% - Accent1 5" xfId="394"/>
    <cellStyle name="20% - Accent1 5 2" xfId="395"/>
    <cellStyle name="20% - Accent1 5 2 2" xfId="396"/>
    <cellStyle name="20% - Accent1 5 2 2 2" xfId="397"/>
    <cellStyle name="20% - Accent1 5 2 3" xfId="398"/>
    <cellStyle name="20% - Accent1 5 3" xfId="399"/>
    <cellStyle name="20% - Accent1 5 3 2" xfId="400"/>
    <cellStyle name="20% - Accent1 5 3 2 2" xfId="401"/>
    <cellStyle name="20% - Accent1 5 3 3" xfId="402"/>
    <cellStyle name="20% - Accent1 5 4" xfId="403"/>
    <cellStyle name="20% - Accent1 5 4 2" xfId="404"/>
    <cellStyle name="20% - Accent1 5 5" xfId="405"/>
    <cellStyle name="20% - Accent1 50" xfId="406"/>
    <cellStyle name="20% - Accent1 50 2" xfId="407"/>
    <cellStyle name="20% - Accent1 50 2 2" xfId="408"/>
    <cellStyle name="20% - Accent1 50 3" xfId="409"/>
    <cellStyle name="20% - Accent1 51" xfId="410"/>
    <cellStyle name="20% - Accent1 51 2" xfId="411"/>
    <cellStyle name="20% - Accent1 51 2 2" xfId="412"/>
    <cellStyle name="20% - Accent1 51 3" xfId="413"/>
    <cellStyle name="20% - Accent1 52" xfId="414"/>
    <cellStyle name="20% - Accent1 52 2" xfId="415"/>
    <cellStyle name="20% - Accent1 52 2 2" xfId="416"/>
    <cellStyle name="20% - Accent1 52 3" xfId="417"/>
    <cellStyle name="20% - Accent1 53" xfId="418"/>
    <cellStyle name="20% - Accent1 53 2" xfId="419"/>
    <cellStyle name="20% - Accent1 54" xfId="420"/>
    <cellStyle name="20% - Accent1 54 2" xfId="421"/>
    <cellStyle name="20% - Accent1 55" xfId="422"/>
    <cellStyle name="20% - Accent1 55 2" xfId="423"/>
    <cellStyle name="20% - Accent1 56" xfId="424"/>
    <cellStyle name="20% - Accent1 56 2" xfId="425"/>
    <cellStyle name="20% - Accent1 57" xfId="426"/>
    <cellStyle name="20% - Accent1 57 2" xfId="427"/>
    <cellStyle name="20% - Accent1 58" xfId="428"/>
    <cellStyle name="20% - Accent1 58 2" xfId="429"/>
    <cellStyle name="20% - Accent1 59" xfId="430"/>
    <cellStyle name="20% - Accent1 59 2" xfId="431"/>
    <cellStyle name="20% - Accent1 6" xfId="432"/>
    <cellStyle name="20% - Accent1 6 2" xfId="433"/>
    <cellStyle name="20% - Accent1 6 2 2" xfId="434"/>
    <cellStyle name="20% - Accent1 6 2 2 2" xfId="435"/>
    <cellStyle name="20% - Accent1 6 2 3" xfId="436"/>
    <cellStyle name="20% - Accent1 6 3" xfId="437"/>
    <cellStyle name="20% - Accent1 6 3 2" xfId="438"/>
    <cellStyle name="20% - Accent1 6 3 2 2" xfId="439"/>
    <cellStyle name="20% - Accent1 6 3 3" xfId="440"/>
    <cellStyle name="20% - Accent1 6 4" xfId="441"/>
    <cellStyle name="20% - Accent1 6 4 2" xfId="442"/>
    <cellStyle name="20% - Accent1 6 5" xfId="443"/>
    <cellStyle name="20% - Accent1 60" xfId="444"/>
    <cellStyle name="20% - Accent1 61" xfId="11217"/>
    <cellStyle name="20% - Accent1 7" xfId="445"/>
    <cellStyle name="20% - Accent1 7 2" xfId="446"/>
    <cellStyle name="20% - Accent1 7 2 2" xfId="447"/>
    <cellStyle name="20% - Accent1 7 2 2 2" xfId="448"/>
    <cellStyle name="20% - Accent1 7 2 3" xfId="449"/>
    <cellStyle name="20% - Accent1 7 3" xfId="450"/>
    <cellStyle name="20% - Accent1 7 3 2" xfId="451"/>
    <cellStyle name="20% - Accent1 7 3 2 2" xfId="452"/>
    <cellStyle name="20% - Accent1 7 3 3" xfId="453"/>
    <cellStyle name="20% - Accent1 7 4" xfId="454"/>
    <cellStyle name="20% - Accent1 7 4 2" xfId="455"/>
    <cellStyle name="20% - Accent1 7 5" xfId="456"/>
    <cellStyle name="20% - Accent1 8" xfId="457"/>
    <cellStyle name="20% - Accent1 8 2" xfId="458"/>
    <cellStyle name="20% - Accent1 8 2 2" xfId="459"/>
    <cellStyle name="20% - Accent1 8 2 2 2" xfId="460"/>
    <cellStyle name="20% - Accent1 8 2 3" xfId="461"/>
    <cellStyle name="20% - Accent1 8 3" xfId="462"/>
    <cellStyle name="20% - Accent1 8 3 2" xfId="463"/>
    <cellStyle name="20% - Accent1 8 3 2 2" xfId="464"/>
    <cellStyle name="20% - Accent1 8 3 3" xfId="465"/>
    <cellStyle name="20% - Accent1 8 4" xfId="466"/>
    <cellStyle name="20% - Accent1 8 4 2" xfId="467"/>
    <cellStyle name="20% - Accent1 8 5" xfId="468"/>
    <cellStyle name="20% - Accent1 9" xfId="469"/>
    <cellStyle name="20% - Accent1 9 2" xfId="470"/>
    <cellStyle name="20% - Accent1 9 2 2" xfId="471"/>
    <cellStyle name="20% - Accent1 9 2 2 2" xfId="472"/>
    <cellStyle name="20% - Accent1 9 2 3" xfId="473"/>
    <cellStyle name="20% - Accent1 9 3" xfId="474"/>
    <cellStyle name="20% - Accent1 9 3 2" xfId="475"/>
    <cellStyle name="20% - Accent1 9 3 2 2" xfId="476"/>
    <cellStyle name="20% - Accent1 9 3 3" xfId="477"/>
    <cellStyle name="20% - Accent1 9 4" xfId="478"/>
    <cellStyle name="20% - Accent1 9 4 2" xfId="479"/>
    <cellStyle name="20% - Accent1 9 5" xfId="480"/>
    <cellStyle name="20% - Accent2" xfId="481" builtinId="34" customBuiltin="1"/>
    <cellStyle name="20% - Accent2 10" xfId="482"/>
    <cellStyle name="20% - Accent2 10 2" xfId="483"/>
    <cellStyle name="20% - Accent2 10 2 2" xfId="484"/>
    <cellStyle name="20% - Accent2 10 2 2 2" xfId="485"/>
    <cellStyle name="20% - Accent2 10 2 3" xfId="486"/>
    <cellStyle name="20% - Accent2 10 3" xfId="487"/>
    <cellStyle name="20% - Accent2 10 3 2" xfId="488"/>
    <cellStyle name="20% - Accent2 10 3 2 2" xfId="489"/>
    <cellStyle name="20% - Accent2 10 3 3" xfId="490"/>
    <cellStyle name="20% - Accent2 10 4" xfId="491"/>
    <cellStyle name="20% - Accent2 10 4 2" xfId="492"/>
    <cellStyle name="20% - Accent2 10 5" xfId="493"/>
    <cellStyle name="20% - Accent2 11" xfId="494"/>
    <cellStyle name="20% - Accent2 11 2" xfId="495"/>
    <cellStyle name="20% - Accent2 11 2 2" xfId="496"/>
    <cellStyle name="20% - Accent2 11 2 2 2" xfId="497"/>
    <cellStyle name="20% - Accent2 11 2 3" xfId="498"/>
    <cellStyle name="20% - Accent2 11 3" xfId="499"/>
    <cellStyle name="20% - Accent2 11 3 2" xfId="500"/>
    <cellStyle name="20% - Accent2 11 3 2 2" xfId="501"/>
    <cellStyle name="20% - Accent2 11 3 3" xfId="502"/>
    <cellStyle name="20% - Accent2 11 4" xfId="503"/>
    <cellStyle name="20% - Accent2 11 4 2" xfId="504"/>
    <cellStyle name="20% - Accent2 11 5" xfId="505"/>
    <cellStyle name="20% - Accent2 12" xfId="506"/>
    <cellStyle name="20% - Accent2 12 2" xfId="507"/>
    <cellStyle name="20% - Accent2 12 2 2" xfId="508"/>
    <cellStyle name="20% - Accent2 12 2 2 2" xfId="509"/>
    <cellStyle name="20% - Accent2 12 2 3" xfId="510"/>
    <cellStyle name="20% - Accent2 12 3" xfId="511"/>
    <cellStyle name="20% - Accent2 12 3 2" xfId="512"/>
    <cellStyle name="20% - Accent2 12 3 2 2" xfId="513"/>
    <cellStyle name="20% - Accent2 12 3 3" xfId="514"/>
    <cellStyle name="20% - Accent2 12 4" xfId="515"/>
    <cellStyle name="20% - Accent2 12 4 2" xfId="516"/>
    <cellStyle name="20% - Accent2 12 5" xfId="517"/>
    <cellStyle name="20% - Accent2 13" xfId="518"/>
    <cellStyle name="20% - Accent2 13 2" xfId="519"/>
    <cellStyle name="20% - Accent2 13 2 2" xfId="520"/>
    <cellStyle name="20% - Accent2 13 2 2 2" xfId="521"/>
    <cellStyle name="20% - Accent2 13 2 3" xfId="522"/>
    <cellStyle name="20% - Accent2 13 3" xfId="523"/>
    <cellStyle name="20% - Accent2 13 3 2" xfId="524"/>
    <cellStyle name="20% - Accent2 13 3 2 2" xfId="525"/>
    <cellStyle name="20% - Accent2 13 3 3" xfId="526"/>
    <cellStyle name="20% - Accent2 13 4" xfId="527"/>
    <cellStyle name="20% - Accent2 13 4 2" xfId="528"/>
    <cellStyle name="20% - Accent2 13 5" xfId="529"/>
    <cellStyle name="20% - Accent2 14" xfId="530"/>
    <cellStyle name="20% - Accent2 14 2" xfId="531"/>
    <cellStyle name="20% - Accent2 14 2 2" xfId="532"/>
    <cellStyle name="20% - Accent2 14 2 2 2" xfId="533"/>
    <cellStyle name="20% - Accent2 14 2 3" xfId="534"/>
    <cellStyle name="20% - Accent2 14 3" xfId="535"/>
    <cellStyle name="20% - Accent2 14 3 2" xfId="536"/>
    <cellStyle name="20% - Accent2 14 3 2 2" xfId="537"/>
    <cellStyle name="20% - Accent2 14 3 3" xfId="538"/>
    <cellStyle name="20% - Accent2 14 4" xfId="539"/>
    <cellStyle name="20% - Accent2 14 4 2" xfId="540"/>
    <cellStyle name="20% - Accent2 14 5" xfId="541"/>
    <cellStyle name="20% - Accent2 15" xfId="542"/>
    <cellStyle name="20% - Accent2 15 2" xfId="543"/>
    <cellStyle name="20% - Accent2 15 2 2" xfId="544"/>
    <cellStyle name="20% - Accent2 15 2 2 2" xfId="545"/>
    <cellStyle name="20% - Accent2 15 2 3" xfId="546"/>
    <cellStyle name="20% - Accent2 15 3" xfId="547"/>
    <cellStyle name="20% - Accent2 15 3 2" xfId="548"/>
    <cellStyle name="20% - Accent2 15 3 2 2" xfId="549"/>
    <cellStyle name="20% - Accent2 15 3 3" xfId="550"/>
    <cellStyle name="20% - Accent2 15 4" xfId="551"/>
    <cellStyle name="20% - Accent2 15 4 2" xfId="552"/>
    <cellStyle name="20% - Accent2 15 5" xfId="553"/>
    <cellStyle name="20% - Accent2 16" xfId="554"/>
    <cellStyle name="20% - Accent2 16 2" xfId="555"/>
    <cellStyle name="20% - Accent2 16 2 2" xfId="556"/>
    <cellStyle name="20% - Accent2 16 2 2 2" xfId="557"/>
    <cellStyle name="20% - Accent2 16 2 3" xfId="558"/>
    <cellStyle name="20% - Accent2 16 3" xfId="559"/>
    <cellStyle name="20% - Accent2 16 3 2" xfId="560"/>
    <cellStyle name="20% - Accent2 16 3 2 2" xfId="561"/>
    <cellStyle name="20% - Accent2 16 3 3" xfId="562"/>
    <cellStyle name="20% - Accent2 16 4" xfId="563"/>
    <cellStyle name="20% - Accent2 16 4 2" xfId="564"/>
    <cellStyle name="20% - Accent2 16 5" xfId="565"/>
    <cellStyle name="20% - Accent2 17" xfId="566"/>
    <cellStyle name="20% - Accent2 17 2" xfId="567"/>
    <cellStyle name="20% - Accent2 17 2 2" xfId="568"/>
    <cellStyle name="20% - Accent2 17 2 2 2" xfId="569"/>
    <cellStyle name="20% - Accent2 17 2 3" xfId="570"/>
    <cellStyle name="20% - Accent2 17 3" xfId="571"/>
    <cellStyle name="20% - Accent2 17 3 2" xfId="572"/>
    <cellStyle name="20% - Accent2 17 3 2 2" xfId="573"/>
    <cellStyle name="20% - Accent2 17 3 3" xfId="574"/>
    <cellStyle name="20% - Accent2 17 4" xfId="575"/>
    <cellStyle name="20% - Accent2 17 4 2" xfId="576"/>
    <cellStyle name="20% - Accent2 17 5" xfId="577"/>
    <cellStyle name="20% - Accent2 18" xfId="578"/>
    <cellStyle name="20% - Accent2 18 2" xfId="579"/>
    <cellStyle name="20% - Accent2 18 2 2" xfId="580"/>
    <cellStyle name="20% - Accent2 18 2 2 2" xfId="581"/>
    <cellStyle name="20% - Accent2 18 2 3" xfId="582"/>
    <cellStyle name="20% - Accent2 18 3" xfId="583"/>
    <cellStyle name="20% - Accent2 18 3 2" xfId="584"/>
    <cellStyle name="20% - Accent2 18 3 2 2" xfId="585"/>
    <cellStyle name="20% - Accent2 18 3 3" xfId="586"/>
    <cellStyle name="20% - Accent2 18 4" xfId="587"/>
    <cellStyle name="20% - Accent2 18 4 2" xfId="588"/>
    <cellStyle name="20% - Accent2 18 5" xfId="589"/>
    <cellStyle name="20% - Accent2 19" xfId="590"/>
    <cellStyle name="20% - Accent2 19 2" xfId="591"/>
    <cellStyle name="20% - Accent2 19 2 2" xfId="592"/>
    <cellStyle name="20% - Accent2 19 2 2 2" xfId="593"/>
    <cellStyle name="20% - Accent2 19 2 3" xfId="594"/>
    <cellStyle name="20% - Accent2 19 3" xfId="595"/>
    <cellStyle name="20% - Accent2 19 3 2" xfId="596"/>
    <cellStyle name="20% - Accent2 19 3 2 2" xfId="597"/>
    <cellStyle name="20% - Accent2 19 3 3" xfId="598"/>
    <cellStyle name="20% - Accent2 19 4" xfId="599"/>
    <cellStyle name="20% - Accent2 19 4 2" xfId="600"/>
    <cellStyle name="20% - Accent2 19 5" xfId="601"/>
    <cellStyle name="20% - Accent2 2" xfId="602"/>
    <cellStyle name="20% - Accent2 2 2" xfId="603"/>
    <cellStyle name="20% - Accent2 2 2 2" xfId="604"/>
    <cellStyle name="20% - Accent2 2 2 2 2" xfId="605"/>
    <cellStyle name="20% - Accent2 2 2 3" xfId="606"/>
    <cellStyle name="20% - Accent2 2 3" xfId="607"/>
    <cellStyle name="20% - Accent2 2 3 2" xfId="608"/>
    <cellStyle name="20% - Accent2 2 3 2 2" xfId="609"/>
    <cellStyle name="20% - Accent2 2 3 3" xfId="610"/>
    <cellStyle name="20% - Accent2 2 4" xfId="611"/>
    <cellStyle name="20% - Accent2 2 4 2" xfId="612"/>
    <cellStyle name="20% - Accent2 2 5" xfId="613"/>
    <cellStyle name="20% - Accent2 20" xfId="614"/>
    <cellStyle name="20% - Accent2 20 2" xfId="615"/>
    <cellStyle name="20% - Accent2 20 2 2" xfId="616"/>
    <cellStyle name="20% - Accent2 20 2 2 2" xfId="617"/>
    <cellStyle name="20% - Accent2 20 2 3" xfId="618"/>
    <cellStyle name="20% - Accent2 20 3" xfId="619"/>
    <cellStyle name="20% - Accent2 20 3 2" xfId="620"/>
    <cellStyle name="20% - Accent2 20 3 2 2" xfId="621"/>
    <cellStyle name="20% - Accent2 20 3 3" xfId="622"/>
    <cellStyle name="20% - Accent2 20 4" xfId="623"/>
    <cellStyle name="20% - Accent2 20 4 2" xfId="624"/>
    <cellStyle name="20% - Accent2 20 5" xfId="625"/>
    <cellStyle name="20% - Accent2 21" xfId="626"/>
    <cellStyle name="20% - Accent2 21 2" xfId="627"/>
    <cellStyle name="20% - Accent2 21 2 2" xfId="628"/>
    <cellStyle name="20% - Accent2 21 2 2 2" xfId="629"/>
    <cellStyle name="20% - Accent2 21 2 3" xfId="630"/>
    <cellStyle name="20% - Accent2 21 3" xfId="631"/>
    <cellStyle name="20% - Accent2 21 3 2" xfId="632"/>
    <cellStyle name="20% - Accent2 21 3 2 2" xfId="633"/>
    <cellStyle name="20% - Accent2 21 3 3" xfId="634"/>
    <cellStyle name="20% - Accent2 21 4" xfId="635"/>
    <cellStyle name="20% - Accent2 21 4 2" xfId="636"/>
    <cellStyle name="20% - Accent2 21 5" xfId="637"/>
    <cellStyle name="20% - Accent2 22" xfId="638"/>
    <cellStyle name="20% - Accent2 22 2" xfId="639"/>
    <cellStyle name="20% - Accent2 22 2 2" xfId="640"/>
    <cellStyle name="20% - Accent2 22 2 2 2" xfId="641"/>
    <cellStyle name="20% - Accent2 22 2 3" xfId="642"/>
    <cellStyle name="20% - Accent2 22 3" xfId="643"/>
    <cellStyle name="20% - Accent2 22 3 2" xfId="644"/>
    <cellStyle name="20% - Accent2 22 3 2 2" xfId="645"/>
    <cellStyle name="20% - Accent2 22 3 3" xfId="646"/>
    <cellStyle name="20% - Accent2 22 4" xfId="647"/>
    <cellStyle name="20% - Accent2 22 4 2" xfId="648"/>
    <cellStyle name="20% - Accent2 22 5" xfId="649"/>
    <cellStyle name="20% - Accent2 23" xfId="650"/>
    <cellStyle name="20% - Accent2 23 2" xfId="651"/>
    <cellStyle name="20% - Accent2 23 2 2" xfId="652"/>
    <cellStyle name="20% - Accent2 23 2 2 2" xfId="653"/>
    <cellStyle name="20% - Accent2 23 2 3" xfId="654"/>
    <cellStyle name="20% - Accent2 23 3" xfId="655"/>
    <cellStyle name="20% - Accent2 23 3 2" xfId="656"/>
    <cellStyle name="20% - Accent2 23 3 2 2" xfId="657"/>
    <cellStyle name="20% - Accent2 23 3 3" xfId="658"/>
    <cellStyle name="20% - Accent2 23 4" xfId="659"/>
    <cellStyle name="20% - Accent2 23 4 2" xfId="660"/>
    <cellStyle name="20% - Accent2 23 5" xfId="661"/>
    <cellStyle name="20% - Accent2 24" xfId="662"/>
    <cellStyle name="20% - Accent2 24 2" xfId="663"/>
    <cellStyle name="20% - Accent2 24 2 2" xfId="664"/>
    <cellStyle name="20% - Accent2 24 2 2 2" xfId="665"/>
    <cellStyle name="20% - Accent2 24 2 3" xfId="666"/>
    <cellStyle name="20% - Accent2 24 3" xfId="667"/>
    <cellStyle name="20% - Accent2 24 3 2" xfId="668"/>
    <cellStyle name="20% - Accent2 24 3 2 2" xfId="669"/>
    <cellStyle name="20% - Accent2 24 3 3" xfId="670"/>
    <cellStyle name="20% - Accent2 24 4" xfId="671"/>
    <cellStyle name="20% - Accent2 24 4 2" xfId="672"/>
    <cellStyle name="20% - Accent2 24 5" xfId="673"/>
    <cellStyle name="20% - Accent2 25" xfId="674"/>
    <cellStyle name="20% - Accent2 25 2" xfId="675"/>
    <cellStyle name="20% - Accent2 25 2 2" xfId="676"/>
    <cellStyle name="20% - Accent2 25 2 2 2" xfId="677"/>
    <cellStyle name="20% - Accent2 25 2 3" xfId="678"/>
    <cellStyle name="20% - Accent2 25 3" xfId="679"/>
    <cellStyle name="20% - Accent2 25 3 2" xfId="680"/>
    <cellStyle name="20% - Accent2 25 3 2 2" xfId="681"/>
    <cellStyle name="20% - Accent2 25 3 3" xfId="682"/>
    <cellStyle name="20% - Accent2 25 4" xfId="683"/>
    <cellStyle name="20% - Accent2 25 4 2" xfId="684"/>
    <cellStyle name="20% - Accent2 25 5" xfId="685"/>
    <cellStyle name="20% - Accent2 26" xfId="686"/>
    <cellStyle name="20% - Accent2 26 2" xfId="687"/>
    <cellStyle name="20% - Accent2 26 2 2" xfId="688"/>
    <cellStyle name="20% - Accent2 26 2 2 2" xfId="689"/>
    <cellStyle name="20% - Accent2 26 2 3" xfId="690"/>
    <cellStyle name="20% - Accent2 26 3" xfId="691"/>
    <cellStyle name="20% - Accent2 26 3 2" xfId="692"/>
    <cellStyle name="20% - Accent2 26 3 2 2" xfId="693"/>
    <cellStyle name="20% - Accent2 26 3 3" xfId="694"/>
    <cellStyle name="20% - Accent2 26 4" xfId="695"/>
    <cellStyle name="20% - Accent2 26 4 2" xfId="696"/>
    <cellStyle name="20% - Accent2 26 5" xfId="697"/>
    <cellStyle name="20% - Accent2 27" xfId="698"/>
    <cellStyle name="20% - Accent2 27 2" xfId="699"/>
    <cellStyle name="20% - Accent2 27 2 2" xfId="700"/>
    <cellStyle name="20% - Accent2 27 2 2 2" xfId="701"/>
    <cellStyle name="20% - Accent2 27 2 3" xfId="702"/>
    <cellStyle name="20% - Accent2 27 3" xfId="703"/>
    <cellStyle name="20% - Accent2 27 3 2" xfId="704"/>
    <cellStyle name="20% - Accent2 27 3 2 2" xfId="705"/>
    <cellStyle name="20% - Accent2 27 3 3" xfId="706"/>
    <cellStyle name="20% - Accent2 27 4" xfId="707"/>
    <cellStyle name="20% - Accent2 27 4 2" xfId="708"/>
    <cellStyle name="20% - Accent2 27 5" xfId="709"/>
    <cellStyle name="20% - Accent2 28" xfId="710"/>
    <cellStyle name="20% - Accent2 28 2" xfId="711"/>
    <cellStyle name="20% - Accent2 28 2 2" xfId="712"/>
    <cellStyle name="20% - Accent2 28 2 2 2" xfId="713"/>
    <cellStyle name="20% - Accent2 28 2 3" xfId="714"/>
    <cellStyle name="20% - Accent2 28 3" xfId="715"/>
    <cellStyle name="20% - Accent2 28 3 2" xfId="716"/>
    <cellStyle name="20% - Accent2 28 3 2 2" xfId="717"/>
    <cellStyle name="20% - Accent2 28 3 3" xfId="718"/>
    <cellStyle name="20% - Accent2 28 4" xfId="719"/>
    <cellStyle name="20% - Accent2 28 4 2" xfId="720"/>
    <cellStyle name="20% - Accent2 28 5" xfId="721"/>
    <cellStyle name="20% - Accent2 29" xfId="722"/>
    <cellStyle name="20% - Accent2 29 2" xfId="723"/>
    <cellStyle name="20% - Accent2 29 2 2" xfId="724"/>
    <cellStyle name="20% - Accent2 29 2 2 2" xfId="725"/>
    <cellStyle name="20% - Accent2 29 2 3" xfId="726"/>
    <cellStyle name="20% - Accent2 29 3" xfId="727"/>
    <cellStyle name="20% - Accent2 29 3 2" xfId="728"/>
    <cellStyle name="20% - Accent2 29 3 2 2" xfId="729"/>
    <cellStyle name="20% - Accent2 29 3 3" xfId="730"/>
    <cellStyle name="20% - Accent2 29 4" xfId="731"/>
    <cellStyle name="20% - Accent2 29 4 2" xfId="732"/>
    <cellStyle name="20% - Accent2 29 5" xfId="733"/>
    <cellStyle name="20% - Accent2 3" xfId="734"/>
    <cellStyle name="20% - Accent2 3 2" xfId="735"/>
    <cellStyle name="20% - Accent2 3 2 2" xfId="736"/>
    <cellStyle name="20% - Accent2 3 2 2 2" xfId="737"/>
    <cellStyle name="20% - Accent2 3 2 3" xfId="738"/>
    <cellStyle name="20% - Accent2 3 3" xfId="739"/>
    <cellStyle name="20% - Accent2 3 3 2" xfId="740"/>
    <cellStyle name="20% - Accent2 3 3 2 2" xfId="741"/>
    <cellStyle name="20% - Accent2 3 3 3" xfId="742"/>
    <cellStyle name="20% - Accent2 3 4" xfId="743"/>
    <cellStyle name="20% - Accent2 3 4 2" xfId="744"/>
    <cellStyle name="20% - Accent2 3 5" xfId="745"/>
    <cellStyle name="20% - Accent2 30" xfId="746"/>
    <cellStyle name="20% - Accent2 30 2" xfId="747"/>
    <cellStyle name="20% - Accent2 30 2 2" xfId="748"/>
    <cellStyle name="20% - Accent2 30 2 2 2" xfId="749"/>
    <cellStyle name="20% - Accent2 30 2 3" xfId="750"/>
    <cellStyle name="20% - Accent2 30 3" xfId="751"/>
    <cellStyle name="20% - Accent2 30 3 2" xfId="752"/>
    <cellStyle name="20% - Accent2 30 3 2 2" xfId="753"/>
    <cellStyle name="20% - Accent2 30 3 3" xfId="754"/>
    <cellStyle name="20% - Accent2 30 4" xfId="755"/>
    <cellStyle name="20% - Accent2 30 4 2" xfId="756"/>
    <cellStyle name="20% - Accent2 30 5" xfId="757"/>
    <cellStyle name="20% - Accent2 31" xfId="758"/>
    <cellStyle name="20% - Accent2 31 2" xfId="759"/>
    <cellStyle name="20% - Accent2 31 2 2" xfId="760"/>
    <cellStyle name="20% - Accent2 31 2 2 2" xfId="761"/>
    <cellStyle name="20% - Accent2 31 2 3" xfId="762"/>
    <cellStyle name="20% - Accent2 31 3" xfId="763"/>
    <cellStyle name="20% - Accent2 31 3 2" xfId="764"/>
    <cellStyle name="20% - Accent2 31 3 2 2" xfId="765"/>
    <cellStyle name="20% - Accent2 31 3 3" xfId="766"/>
    <cellStyle name="20% - Accent2 31 4" xfId="767"/>
    <cellStyle name="20% - Accent2 31 4 2" xfId="768"/>
    <cellStyle name="20% - Accent2 31 5" xfId="769"/>
    <cellStyle name="20% - Accent2 32" xfId="770"/>
    <cellStyle name="20% - Accent2 32 2" xfId="771"/>
    <cellStyle name="20% - Accent2 32 2 2" xfId="772"/>
    <cellStyle name="20% - Accent2 32 2 2 2" xfId="773"/>
    <cellStyle name="20% - Accent2 32 2 3" xfId="774"/>
    <cellStyle name="20% - Accent2 32 3" xfId="775"/>
    <cellStyle name="20% - Accent2 32 3 2" xfId="776"/>
    <cellStyle name="20% - Accent2 32 3 2 2" xfId="777"/>
    <cellStyle name="20% - Accent2 32 3 3" xfId="778"/>
    <cellStyle name="20% - Accent2 32 4" xfId="779"/>
    <cellStyle name="20% - Accent2 32 4 2" xfId="780"/>
    <cellStyle name="20% - Accent2 32 5" xfId="781"/>
    <cellStyle name="20% - Accent2 33" xfId="782"/>
    <cellStyle name="20% - Accent2 33 2" xfId="783"/>
    <cellStyle name="20% - Accent2 33 2 2" xfId="784"/>
    <cellStyle name="20% - Accent2 33 2 2 2" xfId="785"/>
    <cellStyle name="20% - Accent2 33 2 3" xfId="786"/>
    <cellStyle name="20% - Accent2 33 3" xfId="787"/>
    <cellStyle name="20% - Accent2 33 3 2" xfId="788"/>
    <cellStyle name="20% - Accent2 33 3 2 2" xfId="789"/>
    <cellStyle name="20% - Accent2 33 3 3" xfId="790"/>
    <cellStyle name="20% - Accent2 33 4" xfId="791"/>
    <cellStyle name="20% - Accent2 33 4 2" xfId="792"/>
    <cellStyle name="20% - Accent2 33 5" xfId="793"/>
    <cellStyle name="20% - Accent2 34" xfId="794"/>
    <cellStyle name="20% - Accent2 34 2" xfId="795"/>
    <cellStyle name="20% - Accent2 34 2 2" xfId="796"/>
    <cellStyle name="20% - Accent2 34 2 2 2" xfId="797"/>
    <cellStyle name="20% - Accent2 34 2 3" xfId="798"/>
    <cellStyle name="20% - Accent2 34 3" xfId="799"/>
    <cellStyle name="20% - Accent2 34 3 2" xfId="800"/>
    <cellStyle name="20% - Accent2 34 4" xfId="801"/>
    <cellStyle name="20% - Accent2 35" xfId="802"/>
    <cellStyle name="20% - Accent2 35 2" xfId="803"/>
    <cellStyle name="20% - Accent2 35 2 2" xfId="804"/>
    <cellStyle name="20% - Accent2 35 3" xfId="805"/>
    <cellStyle name="20% - Accent2 36" xfId="806"/>
    <cellStyle name="20% - Accent2 36 2" xfId="807"/>
    <cellStyle name="20% - Accent2 36 2 2" xfId="808"/>
    <cellStyle name="20% - Accent2 36 3" xfId="809"/>
    <cellStyle name="20% - Accent2 37" xfId="810"/>
    <cellStyle name="20% - Accent2 37 2" xfId="811"/>
    <cellStyle name="20% - Accent2 37 2 2" xfId="812"/>
    <cellStyle name="20% - Accent2 37 3" xfId="813"/>
    <cellStyle name="20% - Accent2 38" xfId="814"/>
    <cellStyle name="20% - Accent2 38 2" xfId="815"/>
    <cellStyle name="20% - Accent2 38 2 2" xfId="816"/>
    <cellStyle name="20% - Accent2 38 3" xfId="817"/>
    <cellStyle name="20% - Accent2 39" xfId="818"/>
    <cellStyle name="20% - Accent2 39 2" xfId="819"/>
    <cellStyle name="20% - Accent2 39 2 2" xfId="820"/>
    <cellStyle name="20% - Accent2 39 3" xfId="821"/>
    <cellStyle name="20% - Accent2 4" xfId="822"/>
    <cellStyle name="20% - Accent2 4 2" xfId="823"/>
    <cellStyle name="20% - Accent2 4 2 2" xfId="824"/>
    <cellStyle name="20% - Accent2 4 2 2 2" xfId="825"/>
    <cellStyle name="20% - Accent2 4 2 3" xfId="826"/>
    <cellStyle name="20% - Accent2 4 3" xfId="827"/>
    <cellStyle name="20% - Accent2 4 3 2" xfId="828"/>
    <cellStyle name="20% - Accent2 4 3 2 2" xfId="829"/>
    <cellStyle name="20% - Accent2 4 3 3" xfId="830"/>
    <cellStyle name="20% - Accent2 4 4" xfId="831"/>
    <cellStyle name="20% - Accent2 4 4 2" xfId="832"/>
    <cellStyle name="20% - Accent2 4 5" xfId="833"/>
    <cellStyle name="20% - Accent2 40" xfId="834"/>
    <cellStyle name="20% - Accent2 40 2" xfId="835"/>
    <cellStyle name="20% - Accent2 40 2 2" xfId="836"/>
    <cellStyle name="20% - Accent2 40 3" xfId="837"/>
    <cellStyle name="20% - Accent2 41" xfId="838"/>
    <cellStyle name="20% - Accent2 41 2" xfId="839"/>
    <cellStyle name="20% - Accent2 41 2 2" xfId="840"/>
    <cellStyle name="20% - Accent2 41 3" xfId="841"/>
    <cellStyle name="20% - Accent2 42" xfId="842"/>
    <cellStyle name="20% - Accent2 42 2" xfId="843"/>
    <cellStyle name="20% - Accent2 42 2 2" xfId="844"/>
    <cellStyle name="20% - Accent2 42 3" xfId="845"/>
    <cellStyle name="20% - Accent2 43" xfId="846"/>
    <cellStyle name="20% - Accent2 43 2" xfId="847"/>
    <cellStyle name="20% - Accent2 43 2 2" xfId="848"/>
    <cellStyle name="20% - Accent2 43 3" xfId="849"/>
    <cellStyle name="20% - Accent2 44" xfId="850"/>
    <cellStyle name="20% - Accent2 44 2" xfId="851"/>
    <cellStyle name="20% - Accent2 44 2 2" xfId="852"/>
    <cellStyle name="20% - Accent2 44 3" xfId="853"/>
    <cellStyle name="20% - Accent2 45" xfId="854"/>
    <cellStyle name="20% - Accent2 45 2" xfId="855"/>
    <cellStyle name="20% - Accent2 45 2 2" xfId="856"/>
    <cellStyle name="20% - Accent2 45 3" xfId="857"/>
    <cellStyle name="20% - Accent2 46" xfId="858"/>
    <cellStyle name="20% - Accent2 46 2" xfId="859"/>
    <cellStyle name="20% - Accent2 46 2 2" xfId="860"/>
    <cellStyle name="20% - Accent2 46 3" xfId="861"/>
    <cellStyle name="20% - Accent2 47" xfId="862"/>
    <cellStyle name="20% - Accent2 47 2" xfId="863"/>
    <cellStyle name="20% - Accent2 47 2 2" xfId="864"/>
    <cellStyle name="20% - Accent2 47 3" xfId="865"/>
    <cellStyle name="20% - Accent2 48" xfId="866"/>
    <cellStyle name="20% - Accent2 48 2" xfId="867"/>
    <cellStyle name="20% - Accent2 48 2 2" xfId="868"/>
    <cellStyle name="20% - Accent2 48 3" xfId="869"/>
    <cellStyle name="20% - Accent2 49" xfId="870"/>
    <cellStyle name="20% - Accent2 49 2" xfId="871"/>
    <cellStyle name="20% - Accent2 49 2 2" xfId="872"/>
    <cellStyle name="20% - Accent2 49 3" xfId="873"/>
    <cellStyle name="20% - Accent2 5" xfId="874"/>
    <cellStyle name="20% - Accent2 5 2" xfId="875"/>
    <cellStyle name="20% - Accent2 5 2 2" xfId="876"/>
    <cellStyle name="20% - Accent2 5 2 2 2" xfId="877"/>
    <cellStyle name="20% - Accent2 5 2 3" xfId="878"/>
    <cellStyle name="20% - Accent2 5 3" xfId="879"/>
    <cellStyle name="20% - Accent2 5 3 2" xfId="880"/>
    <cellStyle name="20% - Accent2 5 3 2 2" xfId="881"/>
    <cellStyle name="20% - Accent2 5 3 3" xfId="882"/>
    <cellStyle name="20% - Accent2 5 4" xfId="883"/>
    <cellStyle name="20% - Accent2 5 4 2" xfId="884"/>
    <cellStyle name="20% - Accent2 5 5" xfId="885"/>
    <cellStyle name="20% - Accent2 50" xfId="886"/>
    <cellStyle name="20% - Accent2 50 2" xfId="887"/>
    <cellStyle name="20% - Accent2 50 2 2" xfId="888"/>
    <cellStyle name="20% - Accent2 50 3" xfId="889"/>
    <cellStyle name="20% - Accent2 51" xfId="890"/>
    <cellStyle name="20% - Accent2 51 2" xfId="891"/>
    <cellStyle name="20% - Accent2 51 2 2" xfId="892"/>
    <cellStyle name="20% - Accent2 51 3" xfId="893"/>
    <cellStyle name="20% - Accent2 52" xfId="894"/>
    <cellStyle name="20% - Accent2 52 2" xfId="895"/>
    <cellStyle name="20% - Accent2 52 2 2" xfId="896"/>
    <cellStyle name="20% - Accent2 52 3" xfId="897"/>
    <cellStyle name="20% - Accent2 53" xfId="898"/>
    <cellStyle name="20% - Accent2 53 2" xfId="899"/>
    <cellStyle name="20% - Accent2 54" xfId="900"/>
    <cellStyle name="20% - Accent2 54 2" xfId="901"/>
    <cellStyle name="20% - Accent2 55" xfId="902"/>
    <cellStyle name="20% - Accent2 55 2" xfId="903"/>
    <cellStyle name="20% - Accent2 56" xfId="904"/>
    <cellStyle name="20% - Accent2 56 2" xfId="905"/>
    <cellStyle name="20% - Accent2 57" xfId="906"/>
    <cellStyle name="20% - Accent2 57 2" xfId="907"/>
    <cellStyle name="20% - Accent2 58" xfId="908"/>
    <cellStyle name="20% - Accent2 58 2" xfId="909"/>
    <cellStyle name="20% - Accent2 59" xfId="910"/>
    <cellStyle name="20% - Accent2 59 2" xfId="911"/>
    <cellStyle name="20% - Accent2 6" xfId="912"/>
    <cellStyle name="20% - Accent2 6 2" xfId="913"/>
    <cellStyle name="20% - Accent2 6 2 2" xfId="914"/>
    <cellStyle name="20% - Accent2 6 2 2 2" xfId="915"/>
    <cellStyle name="20% - Accent2 6 2 3" xfId="916"/>
    <cellStyle name="20% - Accent2 6 3" xfId="917"/>
    <cellStyle name="20% - Accent2 6 3 2" xfId="918"/>
    <cellStyle name="20% - Accent2 6 3 2 2" xfId="919"/>
    <cellStyle name="20% - Accent2 6 3 3" xfId="920"/>
    <cellStyle name="20% - Accent2 6 4" xfId="921"/>
    <cellStyle name="20% - Accent2 6 4 2" xfId="922"/>
    <cellStyle name="20% - Accent2 6 5" xfId="923"/>
    <cellStyle name="20% - Accent2 60" xfId="924"/>
    <cellStyle name="20% - Accent2 61" xfId="11218"/>
    <cellStyle name="20% - Accent2 7" xfId="925"/>
    <cellStyle name="20% - Accent2 7 2" xfId="926"/>
    <cellStyle name="20% - Accent2 7 2 2" xfId="927"/>
    <cellStyle name="20% - Accent2 7 2 2 2" xfId="928"/>
    <cellStyle name="20% - Accent2 7 2 3" xfId="929"/>
    <cellStyle name="20% - Accent2 7 3" xfId="930"/>
    <cellStyle name="20% - Accent2 7 3 2" xfId="931"/>
    <cellStyle name="20% - Accent2 7 3 2 2" xfId="932"/>
    <cellStyle name="20% - Accent2 7 3 3" xfId="933"/>
    <cellStyle name="20% - Accent2 7 4" xfId="934"/>
    <cellStyle name="20% - Accent2 7 4 2" xfId="935"/>
    <cellStyle name="20% - Accent2 7 5" xfId="936"/>
    <cellStyle name="20% - Accent2 8" xfId="937"/>
    <cellStyle name="20% - Accent2 8 2" xfId="938"/>
    <cellStyle name="20% - Accent2 8 2 2" xfId="939"/>
    <cellStyle name="20% - Accent2 8 2 2 2" xfId="940"/>
    <cellStyle name="20% - Accent2 8 2 3" xfId="941"/>
    <cellStyle name="20% - Accent2 8 3" xfId="942"/>
    <cellStyle name="20% - Accent2 8 3 2" xfId="943"/>
    <cellStyle name="20% - Accent2 8 3 2 2" xfId="944"/>
    <cellStyle name="20% - Accent2 8 3 3" xfId="945"/>
    <cellStyle name="20% - Accent2 8 4" xfId="946"/>
    <cellStyle name="20% - Accent2 8 4 2" xfId="947"/>
    <cellStyle name="20% - Accent2 8 5" xfId="948"/>
    <cellStyle name="20% - Accent2 9" xfId="949"/>
    <cellStyle name="20% - Accent2 9 2" xfId="950"/>
    <cellStyle name="20% - Accent2 9 2 2" xfId="951"/>
    <cellStyle name="20% - Accent2 9 2 2 2" xfId="952"/>
    <cellStyle name="20% - Accent2 9 2 3" xfId="953"/>
    <cellStyle name="20% - Accent2 9 3" xfId="954"/>
    <cellStyle name="20% - Accent2 9 3 2" xfId="955"/>
    <cellStyle name="20% - Accent2 9 3 2 2" xfId="956"/>
    <cellStyle name="20% - Accent2 9 3 3" xfId="957"/>
    <cellStyle name="20% - Accent2 9 4" xfId="958"/>
    <cellStyle name="20% - Accent2 9 4 2" xfId="959"/>
    <cellStyle name="20% - Accent2 9 5" xfId="960"/>
    <cellStyle name="20% - Accent3" xfId="961" builtinId="38" customBuiltin="1"/>
    <cellStyle name="20% - Accent3 10" xfId="962"/>
    <cellStyle name="20% - Accent3 10 2" xfId="963"/>
    <cellStyle name="20% - Accent3 10 2 2" xfId="964"/>
    <cellStyle name="20% - Accent3 10 2 2 2" xfId="965"/>
    <cellStyle name="20% - Accent3 10 2 3" xfId="966"/>
    <cellStyle name="20% - Accent3 10 3" xfId="967"/>
    <cellStyle name="20% - Accent3 10 3 2" xfId="968"/>
    <cellStyle name="20% - Accent3 10 3 2 2" xfId="969"/>
    <cellStyle name="20% - Accent3 10 3 3" xfId="970"/>
    <cellStyle name="20% - Accent3 10 4" xfId="971"/>
    <cellStyle name="20% - Accent3 10 4 2" xfId="972"/>
    <cellStyle name="20% - Accent3 10 5" xfId="973"/>
    <cellStyle name="20% - Accent3 11" xfId="974"/>
    <cellStyle name="20% - Accent3 11 2" xfId="975"/>
    <cellStyle name="20% - Accent3 11 2 2" xfId="976"/>
    <cellStyle name="20% - Accent3 11 2 2 2" xfId="977"/>
    <cellStyle name="20% - Accent3 11 2 3" xfId="978"/>
    <cellStyle name="20% - Accent3 11 3" xfId="979"/>
    <cellStyle name="20% - Accent3 11 3 2" xfId="980"/>
    <cellStyle name="20% - Accent3 11 3 2 2" xfId="981"/>
    <cellStyle name="20% - Accent3 11 3 3" xfId="982"/>
    <cellStyle name="20% - Accent3 11 4" xfId="983"/>
    <cellStyle name="20% - Accent3 11 4 2" xfId="984"/>
    <cellStyle name="20% - Accent3 11 5" xfId="985"/>
    <cellStyle name="20% - Accent3 12" xfId="986"/>
    <cellStyle name="20% - Accent3 12 2" xfId="987"/>
    <cellStyle name="20% - Accent3 12 2 2" xfId="988"/>
    <cellStyle name="20% - Accent3 12 2 2 2" xfId="989"/>
    <cellStyle name="20% - Accent3 12 2 3" xfId="990"/>
    <cellStyle name="20% - Accent3 12 3" xfId="991"/>
    <cellStyle name="20% - Accent3 12 3 2" xfId="992"/>
    <cellStyle name="20% - Accent3 12 3 2 2" xfId="993"/>
    <cellStyle name="20% - Accent3 12 3 3" xfId="994"/>
    <cellStyle name="20% - Accent3 12 4" xfId="995"/>
    <cellStyle name="20% - Accent3 12 4 2" xfId="996"/>
    <cellStyle name="20% - Accent3 12 5" xfId="997"/>
    <cellStyle name="20% - Accent3 13" xfId="998"/>
    <cellStyle name="20% - Accent3 13 2" xfId="999"/>
    <cellStyle name="20% - Accent3 13 2 2" xfId="1000"/>
    <cellStyle name="20% - Accent3 13 2 2 2" xfId="1001"/>
    <cellStyle name="20% - Accent3 13 2 3" xfId="1002"/>
    <cellStyle name="20% - Accent3 13 3" xfId="1003"/>
    <cellStyle name="20% - Accent3 13 3 2" xfId="1004"/>
    <cellStyle name="20% - Accent3 13 3 2 2" xfId="1005"/>
    <cellStyle name="20% - Accent3 13 3 3" xfId="1006"/>
    <cellStyle name="20% - Accent3 13 4" xfId="1007"/>
    <cellStyle name="20% - Accent3 13 4 2" xfId="1008"/>
    <cellStyle name="20% - Accent3 13 5" xfId="1009"/>
    <cellStyle name="20% - Accent3 14" xfId="1010"/>
    <cellStyle name="20% - Accent3 14 2" xfId="1011"/>
    <cellStyle name="20% - Accent3 14 2 2" xfId="1012"/>
    <cellStyle name="20% - Accent3 14 2 2 2" xfId="1013"/>
    <cellStyle name="20% - Accent3 14 2 3" xfId="1014"/>
    <cellStyle name="20% - Accent3 14 3" xfId="1015"/>
    <cellStyle name="20% - Accent3 14 3 2" xfId="1016"/>
    <cellStyle name="20% - Accent3 14 3 2 2" xfId="1017"/>
    <cellStyle name="20% - Accent3 14 3 3" xfId="1018"/>
    <cellStyle name="20% - Accent3 14 4" xfId="1019"/>
    <cellStyle name="20% - Accent3 14 4 2" xfId="1020"/>
    <cellStyle name="20% - Accent3 14 5" xfId="1021"/>
    <cellStyle name="20% - Accent3 15" xfId="1022"/>
    <cellStyle name="20% - Accent3 15 2" xfId="1023"/>
    <cellStyle name="20% - Accent3 15 2 2" xfId="1024"/>
    <cellStyle name="20% - Accent3 15 2 2 2" xfId="1025"/>
    <cellStyle name="20% - Accent3 15 2 3" xfId="1026"/>
    <cellStyle name="20% - Accent3 15 3" xfId="1027"/>
    <cellStyle name="20% - Accent3 15 3 2" xfId="1028"/>
    <cellStyle name="20% - Accent3 15 3 2 2" xfId="1029"/>
    <cellStyle name="20% - Accent3 15 3 3" xfId="1030"/>
    <cellStyle name="20% - Accent3 15 4" xfId="1031"/>
    <cellStyle name="20% - Accent3 15 4 2" xfId="1032"/>
    <cellStyle name="20% - Accent3 15 5" xfId="1033"/>
    <cellStyle name="20% - Accent3 16" xfId="1034"/>
    <cellStyle name="20% - Accent3 16 2" xfId="1035"/>
    <cellStyle name="20% - Accent3 16 2 2" xfId="1036"/>
    <cellStyle name="20% - Accent3 16 2 2 2" xfId="1037"/>
    <cellStyle name="20% - Accent3 16 2 3" xfId="1038"/>
    <cellStyle name="20% - Accent3 16 3" xfId="1039"/>
    <cellStyle name="20% - Accent3 16 3 2" xfId="1040"/>
    <cellStyle name="20% - Accent3 16 3 2 2" xfId="1041"/>
    <cellStyle name="20% - Accent3 16 3 3" xfId="1042"/>
    <cellStyle name="20% - Accent3 16 4" xfId="1043"/>
    <cellStyle name="20% - Accent3 16 4 2" xfId="1044"/>
    <cellStyle name="20% - Accent3 16 5" xfId="1045"/>
    <cellStyle name="20% - Accent3 17" xfId="1046"/>
    <cellStyle name="20% - Accent3 17 2" xfId="1047"/>
    <cellStyle name="20% - Accent3 17 2 2" xfId="1048"/>
    <cellStyle name="20% - Accent3 17 2 2 2" xfId="1049"/>
    <cellStyle name="20% - Accent3 17 2 3" xfId="1050"/>
    <cellStyle name="20% - Accent3 17 3" xfId="1051"/>
    <cellStyle name="20% - Accent3 17 3 2" xfId="1052"/>
    <cellStyle name="20% - Accent3 17 3 2 2" xfId="1053"/>
    <cellStyle name="20% - Accent3 17 3 3" xfId="1054"/>
    <cellStyle name="20% - Accent3 17 4" xfId="1055"/>
    <cellStyle name="20% - Accent3 17 4 2" xfId="1056"/>
    <cellStyle name="20% - Accent3 17 5" xfId="1057"/>
    <cellStyle name="20% - Accent3 18" xfId="1058"/>
    <cellStyle name="20% - Accent3 18 2" xfId="1059"/>
    <cellStyle name="20% - Accent3 18 2 2" xfId="1060"/>
    <cellStyle name="20% - Accent3 18 2 2 2" xfId="1061"/>
    <cellStyle name="20% - Accent3 18 2 3" xfId="1062"/>
    <cellStyle name="20% - Accent3 18 3" xfId="1063"/>
    <cellStyle name="20% - Accent3 18 3 2" xfId="1064"/>
    <cellStyle name="20% - Accent3 18 3 2 2" xfId="1065"/>
    <cellStyle name="20% - Accent3 18 3 3" xfId="1066"/>
    <cellStyle name="20% - Accent3 18 4" xfId="1067"/>
    <cellStyle name="20% - Accent3 18 4 2" xfId="1068"/>
    <cellStyle name="20% - Accent3 18 5" xfId="1069"/>
    <cellStyle name="20% - Accent3 19" xfId="1070"/>
    <cellStyle name="20% - Accent3 19 2" xfId="1071"/>
    <cellStyle name="20% - Accent3 19 2 2" xfId="1072"/>
    <cellStyle name="20% - Accent3 19 2 2 2" xfId="1073"/>
    <cellStyle name="20% - Accent3 19 2 3" xfId="1074"/>
    <cellStyle name="20% - Accent3 19 3" xfId="1075"/>
    <cellStyle name="20% - Accent3 19 3 2" xfId="1076"/>
    <cellStyle name="20% - Accent3 19 3 2 2" xfId="1077"/>
    <cellStyle name="20% - Accent3 19 3 3" xfId="1078"/>
    <cellStyle name="20% - Accent3 19 4" xfId="1079"/>
    <cellStyle name="20% - Accent3 19 4 2" xfId="1080"/>
    <cellStyle name="20% - Accent3 19 5" xfId="1081"/>
    <cellStyle name="20% - Accent3 2" xfId="1082"/>
    <cellStyle name="20% - Accent3 2 2" xfId="1083"/>
    <cellStyle name="20% - Accent3 2 2 2" xfId="1084"/>
    <cellStyle name="20% - Accent3 2 2 2 2" xfId="1085"/>
    <cellStyle name="20% - Accent3 2 2 3" xfId="1086"/>
    <cellStyle name="20% - Accent3 2 3" xfId="1087"/>
    <cellStyle name="20% - Accent3 2 3 2" xfId="1088"/>
    <cellStyle name="20% - Accent3 2 3 2 2" xfId="1089"/>
    <cellStyle name="20% - Accent3 2 3 3" xfId="1090"/>
    <cellStyle name="20% - Accent3 2 4" xfId="1091"/>
    <cellStyle name="20% - Accent3 2 4 2" xfId="1092"/>
    <cellStyle name="20% - Accent3 2 5" xfId="1093"/>
    <cellStyle name="20% - Accent3 20" xfId="1094"/>
    <cellStyle name="20% - Accent3 20 2" xfId="1095"/>
    <cellStyle name="20% - Accent3 20 2 2" xfId="1096"/>
    <cellStyle name="20% - Accent3 20 2 2 2" xfId="1097"/>
    <cellStyle name="20% - Accent3 20 2 3" xfId="1098"/>
    <cellStyle name="20% - Accent3 20 3" xfId="1099"/>
    <cellStyle name="20% - Accent3 20 3 2" xfId="1100"/>
    <cellStyle name="20% - Accent3 20 3 2 2" xfId="1101"/>
    <cellStyle name="20% - Accent3 20 3 3" xfId="1102"/>
    <cellStyle name="20% - Accent3 20 4" xfId="1103"/>
    <cellStyle name="20% - Accent3 20 4 2" xfId="1104"/>
    <cellStyle name="20% - Accent3 20 5" xfId="1105"/>
    <cellStyle name="20% - Accent3 21" xfId="1106"/>
    <cellStyle name="20% - Accent3 21 2" xfId="1107"/>
    <cellStyle name="20% - Accent3 21 2 2" xfId="1108"/>
    <cellStyle name="20% - Accent3 21 2 2 2" xfId="1109"/>
    <cellStyle name="20% - Accent3 21 2 3" xfId="1110"/>
    <cellStyle name="20% - Accent3 21 3" xfId="1111"/>
    <cellStyle name="20% - Accent3 21 3 2" xfId="1112"/>
    <cellStyle name="20% - Accent3 21 3 2 2" xfId="1113"/>
    <cellStyle name="20% - Accent3 21 3 3" xfId="1114"/>
    <cellStyle name="20% - Accent3 21 4" xfId="1115"/>
    <cellStyle name="20% - Accent3 21 4 2" xfId="1116"/>
    <cellStyle name="20% - Accent3 21 5" xfId="1117"/>
    <cellStyle name="20% - Accent3 22" xfId="1118"/>
    <cellStyle name="20% - Accent3 22 2" xfId="1119"/>
    <cellStyle name="20% - Accent3 22 2 2" xfId="1120"/>
    <cellStyle name="20% - Accent3 22 2 2 2" xfId="1121"/>
    <cellStyle name="20% - Accent3 22 2 3" xfId="1122"/>
    <cellStyle name="20% - Accent3 22 3" xfId="1123"/>
    <cellStyle name="20% - Accent3 22 3 2" xfId="1124"/>
    <cellStyle name="20% - Accent3 22 3 2 2" xfId="1125"/>
    <cellStyle name="20% - Accent3 22 3 3" xfId="1126"/>
    <cellStyle name="20% - Accent3 22 4" xfId="1127"/>
    <cellStyle name="20% - Accent3 22 4 2" xfId="1128"/>
    <cellStyle name="20% - Accent3 22 5" xfId="1129"/>
    <cellStyle name="20% - Accent3 23" xfId="1130"/>
    <cellStyle name="20% - Accent3 23 2" xfId="1131"/>
    <cellStyle name="20% - Accent3 23 2 2" xfId="1132"/>
    <cellStyle name="20% - Accent3 23 2 2 2" xfId="1133"/>
    <cellStyle name="20% - Accent3 23 2 3" xfId="1134"/>
    <cellStyle name="20% - Accent3 23 3" xfId="1135"/>
    <cellStyle name="20% - Accent3 23 3 2" xfId="1136"/>
    <cellStyle name="20% - Accent3 23 3 2 2" xfId="1137"/>
    <cellStyle name="20% - Accent3 23 3 3" xfId="1138"/>
    <cellStyle name="20% - Accent3 23 4" xfId="1139"/>
    <cellStyle name="20% - Accent3 23 4 2" xfId="1140"/>
    <cellStyle name="20% - Accent3 23 5" xfId="1141"/>
    <cellStyle name="20% - Accent3 24" xfId="1142"/>
    <cellStyle name="20% - Accent3 24 2" xfId="1143"/>
    <cellStyle name="20% - Accent3 24 2 2" xfId="1144"/>
    <cellStyle name="20% - Accent3 24 2 2 2" xfId="1145"/>
    <cellStyle name="20% - Accent3 24 2 3" xfId="1146"/>
    <cellStyle name="20% - Accent3 24 3" xfId="1147"/>
    <cellStyle name="20% - Accent3 24 3 2" xfId="1148"/>
    <cellStyle name="20% - Accent3 24 3 2 2" xfId="1149"/>
    <cellStyle name="20% - Accent3 24 3 3" xfId="1150"/>
    <cellStyle name="20% - Accent3 24 4" xfId="1151"/>
    <cellStyle name="20% - Accent3 24 4 2" xfId="1152"/>
    <cellStyle name="20% - Accent3 24 5" xfId="1153"/>
    <cellStyle name="20% - Accent3 25" xfId="1154"/>
    <cellStyle name="20% - Accent3 25 2" xfId="1155"/>
    <cellStyle name="20% - Accent3 25 2 2" xfId="1156"/>
    <cellStyle name="20% - Accent3 25 2 2 2" xfId="1157"/>
    <cellStyle name="20% - Accent3 25 2 3" xfId="1158"/>
    <cellStyle name="20% - Accent3 25 3" xfId="1159"/>
    <cellStyle name="20% - Accent3 25 3 2" xfId="1160"/>
    <cellStyle name="20% - Accent3 25 3 2 2" xfId="1161"/>
    <cellStyle name="20% - Accent3 25 3 3" xfId="1162"/>
    <cellStyle name="20% - Accent3 25 4" xfId="1163"/>
    <cellStyle name="20% - Accent3 25 4 2" xfId="1164"/>
    <cellStyle name="20% - Accent3 25 5" xfId="1165"/>
    <cellStyle name="20% - Accent3 26" xfId="1166"/>
    <cellStyle name="20% - Accent3 26 2" xfId="1167"/>
    <cellStyle name="20% - Accent3 26 2 2" xfId="1168"/>
    <cellStyle name="20% - Accent3 26 2 2 2" xfId="1169"/>
    <cellStyle name="20% - Accent3 26 2 3" xfId="1170"/>
    <cellStyle name="20% - Accent3 26 3" xfId="1171"/>
    <cellStyle name="20% - Accent3 26 3 2" xfId="1172"/>
    <cellStyle name="20% - Accent3 26 3 2 2" xfId="1173"/>
    <cellStyle name="20% - Accent3 26 3 3" xfId="1174"/>
    <cellStyle name="20% - Accent3 26 4" xfId="1175"/>
    <cellStyle name="20% - Accent3 26 4 2" xfId="1176"/>
    <cellStyle name="20% - Accent3 26 5" xfId="1177"/>
    <cellStyle name="20% - Accent3 27" xfId="1178"/>
    <cellStyle name="20% - Accent3 27 2" xfId="1179"/>
    <cellStyle name="20% - Accent3 27 2 2" xfId="1180"/>
    <cellStyle name="20% - Accent3 27 2 2 2" xfId="1181"/>
    <cellStyle name="20% - Accent3 27 2 3" xfId="1182"/>
    <cellStyle name="20% - Accent3 27 3" xfId="1183"/>
    <cellStyle name="20% - Accent3 27 3 2" xfId="1184"/>
    <cellStyle name="20% - Accent3 27 3 2 2" xfId="1185"/>
    <cellStyle name="20% - Accent3 27 3 3" xfId="1186"/>
    <cellStyle name="20% - Accent3 27 4" xfId="1187"/>
    <cellStyle name="20% - Accent3 27 4 2" xfId="1188"/>
    <cellStyle name="20% - Accent3 27 5" xfId="1189"/>
    <cellStyle name="20% - Accent3 28" xfId="1190"/>
    <cellStyle name="20% - Accent3 28 2" xfId="1191"/>
    <cellStyle name="20% - Accent3 28 2 2" xfId="1192"/>
    <cellStyle name="20% - Accent3 28 2 2 2" xfId="1193"/>
    <cellStyle name="20% - Accent3 28 2 3" xfId="1194"/>
    <cellStyle name="20% - Accent3 28 3" xfId="1195"/>
    <cellStyle name="20% - Accent3 28 3 2" xfId="1196"/>
    <cellStyle name="20% - Accent3 28 3 2 2" xfId="1197"/>
    <cellStyle name="20% - Accent3 28 3 3" xfId="1198"/>
    <cellStyle name="20% - Accent3 28 4" xfId="1199"/>
    <cellStyle name="20% - Accent3 28 4 2" xfId="1200"/>
    <cellStyle name="20% - Accent3 28 5" xfId="1201"/>
    <cellStyle name="20% - Accent3 29" xfId="1202"/>
    <cellStyle name="20% - Accent3 29 2" xfId="1203"/>
    <cellStyle name="20% - Accent3 29 2 2" xfId="1204"/>
    <cellStyle name="20% - Accent3 29 2 2 2" xfId="1205"/>
    <cellStyle name="20% - Accent3 29 2 3" xfId="1206"/>
    <cellStyle name="20% - Accent3 29 3" xfId="1207"/>
    <cellStyle name="20% - Accent3 29 3 2" xfId="1208"/>
    <cellStyle name="20% - Accent3 29 3 2 2" xfId="1209"/>
    <cellStyle name="20% - Accent3 29 3 3" xfId="1210"/>
    <cellStyle name="20% - Accent3 29 4" xfId="1211"/>
    <cellStyle name="20% - Accent3 29 4 2" xfId="1212"/>
    <cellStyle name="20% - Accent3 29 5" xfId="1213"/>
    <cellStyle name="20% - Accent3 3" xfId="1214"/>
    <cellStyle name="20% - Accent3 3 2" xfId="1215"/>
    <cellStyle name="20% - Accent3 3 2 2" xfId="1216"/>
    <cellStyle name="20% - Accent3 3 2 2 2" xfId="1217"/>
    <cellStyle name="20% - Accent3 3 2 3" xfId="1218"/>
    <cellStyle name="20% - Accent3 3 3" xfId="1219"/>
    <cellStyle name="20% - Accent3 3 3 2" xfId="1220"/>
    <cellStyle name="20% - Accent3 3 3 2 2" xfId="1221"/>
    <cellStyle name="20% - Accent3 3 3 3" xfId="1222"/>
    <cellStyle name="20% - Accent3 3 4" xfId="1223"/>
    <cellStyle name="20% - Accent3 3 4 2" xfId="1224"/>
    <cellStyle name="20% - Accent3 3 5" xfId="1225"/>
    <cellStyle name="20% - Accent3 30" xfId="1226"/>
    <cellStyle name="20% - Accent3 30 2" xfId="1227"/>
    <cellStyle name="20% - Accent3 30 2 2" xfId="1228"/>
    <cellStyle name="20% - Accent3 30 2 2 2" xfId="1229"/>
    <cellStyle name="20% - Accent3 30 2 3" xfId="1230"/>
    <cellStyle name="20% - Accent3 30 3" xfId="1231"/>
    <cellStyle name="20% - Accent3 30 3 2" xfId="1232"/>
    <cellStyle name="20% - Accent3 30 3 2 2" xfId="1233"/>
    <cellStyle name="20% - Accent3 30 3 3" xfId="1234"/>
    <cellStyle name="20% - Accent3 30 4" xfId="1235"/>
    <cellStyle name="20% - Accent3 30 4 2" xfId="1236"/>
    <cellStyle name="20% - Accent3 30 5" xfId="1237"/>
    <cellStyle name="20% - Accent3 31" xfId="1238"/>
    <cellStyle name="20% - Accent3 31 2" xfId="1239"/>
    <cellStyle name="20% - Accent3 31 2 2" xfId="1240"/>
    <cellStyle name="20% - Accent3 31 2 2 2" xfId="1241"/>
    <cellStyle name="20% - Accent3 31 2 3" xfId="1242"/>
    <cellStyle name="20% - Accent3 31 3" xfId="1243"/>
    <cellStyle name="20% - Accent3 31 3 2" xfId="1244"/>
    <cellStyle name="20% - Accent3 31 3 2 2" xfId="1245"/>
    <cellStyle name="20% - Accent3 31 3 3" xfId="1246"/>
    <cellStyle name="20% - Accent3 31 4" xfId="1247"/>
    <cellStyle name="20% - Accent3 31 4 2" xfId="1248"/>
    <cellStyle name="20% - Accent3 31 5" xfId="1249"/>
    <cellStyle name="20% - Accent3 32" xfId="1250"/>
    <cellStyle name="20% - Accent3 32 2" xfId="1251"/>
    <cellStyle name="20% - Accent3 32 2 2" xfId="1252"/>
    <cellStyle name="20% - Accent3 32 2 2 2" xfId="1253"/>
    <cellStyle name="20% - Accent3 32 2 3" xfId="1254"/>
    <cellStyle name="20% - Accent3 32 3" xfId="1255"/>
    <cellStyle name="20% - Accent3 32 3 2" xfId="1256"/>
    <cellStyle name="20% - Accent3 32 3 2 2" xfId="1257"/>
    <cellStyle name="20% - Accent3 32 3 3" xfId="1258"/>
    <cellStyle name="20% - Accent3 32 4" xfId="1259"/>
    <cellStyle name="20% - Accent3 32 4 2" xfId="1260"/>
    <cellStyle name="20% - Accent3 32 5" xfId="1261"/>
    <cellStyle name="20% - Accent3 33" xfId="1262"/>
    <cellStyle name="20% - Accent3 33 2" xfId="1263"/>
    <cellStyle name="20% - Accent3 33 2 2" xfId="1264"/>
    <cellStyle name="20% - Accent3 33 2 2 2" xfId="1265"/>
    <cellStyle name="20% - Accent3 33 2 3" xfId="1266"/>
    <cellStyle name="20% - Accent3 33 3" xfId="1267"/>
    <cellStyle name="20% - Accent3 33 3 2" xfId="1268"/>
    <cellStyle name="20% - Accent3 33 3 2 2" xfId="1269"/>
    <cellStyle name="20% - Accent3 33 3 3" xfId="1270"/>
    <cellStyle name="20% - Accent3 33 4" xfId="1271"/>
    <cellStyle name="20% - Accent3 33 4 2" xfId="1272"/>
    <cellStyle name="20% - Accent3 33 5" xfId="1273"/>
    <cellStyle name="20% - Accent3 34" xfId="1274"/>
    <cellStyle name="20% - Accent3 34 2" xfId="1275"/>
    <cellStyle name="20% - Accent3 34 2 2" xfId="1276"/>
    <cellStyle name="20% - Accent3 34 2 2 2" xfId="1277"/>
    <cellStyle name="20% - Accent3 34 2 3" xfId="1278"/>
    <cellStyle name="20% - Accent3 34 3" xfId="1279"/>
    <cellStyle name="20% - Accent3 34 3 2" xfId="1280"/>
    <cellStyle name="20% - Accent3 34 4" xfId="1281"/>
    <cellStyle name="20% - Accent3 35" xfId="1282"/>
    <cellStyle name="20% - Accent3 35 2" xfId="1283"/>
    <cellStyle name="20% - Accent3 35 2 2" xfId="1284"/>
    <cellStyle name="20% - Accent3 35 3" xfId="1285"/>
    <cellStyle name="20% - Accent3 36" xfId="1286"/>
    <cellStyle name="20% - Accent3 36 2" xfId="1287"/>
    <cellStyle name="20% - Accent3 36 2 2" xfId="1288"/>
    <cellStyle name="20% - Accent3 36 3" xfId="1289"/>
    <cellStyle name="20% - Accent3 37" xfId="1290"/>
    <cellStyle name="20% - Accent3 37 2" xfId="1291"/>
    <cellStyle name="20% - Accent3 37 2 2" xfId="1292"/>
    <cellStyle name="20% - Accent3 37 3" xfId="1293"/>
    <cellStyle name="20% - Accent3 38" xfId="1294"/>
    <cellStyle name="20% - Accent3 38 2" xfId="1295"/>
    <cellStyle name="20% - Accent3 38 2 2" xfId="1296"/>
    <cellStyle name="20% - Accent3 38 3" xfId="1297"/>
    <cellStyle name="20% - Accent3 39" xfId="1298"/>
    <cellStyle name="20% - Accent3 39 2" xfId="1299"/>
    <cellStyle name="20% - Accent3 39 2 2" xfId="1300"/>
    <cellStyle name="20% - Accent3 39 3" xfId="1301"/>
    <cellStyle name="20% - Accent3 4" xfId="1302"/>
    <cellStyle name="20% - Accent3 4 2" xfId="1303"/>
    <cellStyle name="20% - Accent3 4 2 2" xfId="1304"/>
    <cellStyle name="20% - Accent3 4 2 2 2" xfId="1305"/>
    <cellStyle name="20% - Accent3 4 2 3" xfId="1306"/>
    <cellStyle name="20% - Accent3 4 3" xfId="1307"/>
    <cellStyle name="20% - Accent3 4 3 2" xfId="1308"/>
    <cellStyle name="20% - Accent3 4 3 2 2" xfId="1309"/>
    <cellStyle name="20% - Accent3 4 3 3" xfId="1310"/>
    <cellStyle name="20% - Accent3 4 4" xfId="1311"/>
    <cellStyle name="20% - Accent3 4 4 2" xfId="1312"/>
    <cellStyle name="20% - Accent3 4 5" xfId="1313"/>
    <cellStyle name="20% - Accent3 40" xfId="1314"/>
    <cellStyle name="20% - Accent3 40 2" xfId="1315"/>
    <cellStyle name="20% - Accent3 40 2 2" xfId="1316"/>
    <cellStyle name="20% - Accent3 40 3" xfId="1317"/>
    <cellStyle name="20% - Accent3 41" xfId="1318"/>
    <cellStyle name="20% - Accent3 41 2" xfId="1319"/>
    <cellStyle name="20% - Accent3 41 2 2" xfId="1320"/>
    <cellStyle name="20% - Accent3 41 3" xfId="1321"/>
    <cellStyle name="20% - Accent3 42" xfId="1322"/>
    <cellStyle name="20% - Accent3 42 2" xfId="1323"/>
    <cellStyle name="20% - Accent3 42 2 2" xfId="1324"/>
    <cellStyle name="20% - Accent3 42 3" xfId="1325"/>
    <cellStyle name="20% - Accent3 43" xfId="1326"/>
    <cellStyle name="20% - Accent3 43 2" xfId="1327"/>
    <cellStyle name="20% - Accent3 43 2 2" xfId="1328"/>
    <cellStyle name="20% - Accent3 43 3" xfId="1329"/>
    <cellStyle name="20% - Accent3 44" xfId="1330"/>
    <cellStyle name="20% - Accent3 44 2" xfId="1331"/>
    <cellStyle name="20% - Accent3 44 2 2" xfId="1332"/>
    <cellStyle name="20% - Accent3 44 3" xfId="1333"/>
    <cellStyle name="20% - Accent3 45" xfId="1334"/>
    <cellStyle name="20% - Accent3 45 2" xfId="1335"/>
    <cellStyle name="20% - Accent3 45 2 2" xfId="1336"/>
    <cellStyle name="20% - Accent3 45 3" xfId="1337"/>
    <cellStyle name="20% - Accent3 46" xfId="1338"/>
    <cellStyle name="20% - Accent3 46 2" xfId="1339"/>
    <cellStyle name="20% - Accent3 46 2 2" xfId="1340"/>
    <cellStyle name="20% - Accent3 46 3" xfId="1341"/>
    <cellStyle name="20% - Accent3 47" xfId="1342"/>
    <cellStyle name="20% - Accent3 47 2" xfId="1343"/>
    <cellStyle name="20% - Accent3 47 2 2" xfId="1344"/>
    <cellStyle name="20% - Accent3 47 3" xfId="1345"/>
    <cellStyle name="20% - Accent3 48" xfId="1346"/>
    <cellStyle name="20% - Accent3 48 2" xfId="1347"/>
    <cellStyle name="20% - Accent3 48 2 2" xfId="1348"/>
    <cellStyle name="20% - Accent3 48 3" xfId="1349"/>
    <cellStyle name="20% - Accent3 49" xfId="1350"/>
    <cellStyle name="20% - Accent3 49 2" xfId="1351"/>
    <cellStyle name="20% - Accent3 49 2 2" xfId="1352"/>
    <cellStyle name="20% - Accent3 49 3" xfId="1353"/>
    <cellStyle name="20% - Accent3 5" xfId="1354"/>
    <cellStyle name="20% - Accent3 5 2" xfId="1355"/>
    <cellStyle name="20% - Accent3 5 2 2" xfId="1356"/>
    <cellStyle name="20% - Accent3 5 2 2 2" xfId="1357"/>
    <cellStyle name="20% - Accent3 5 2 3" xfId="1358"/>
    <cellStyle name="20% - Accent3 5 3" xfId="1359"/>
    <cellStyle name="20% - Accent3 5 3 2" xfId="1360"/>
    <cellStyle name="20% - Accent3 5 3 2 2" xfId="1361"/>
    <cellStyle name="20% - Accent3 5 3 3" xfId="1362"/>
    <cellStyle name="20% - Accent3 5 4" xfId="1363"/>
    <cellStyle name="20% - Accent3 5 4 2" xfId="1364"/>
    <cellStyle name="20% - Accent3 5 5" xfId="1365"/>
    <cellStyle name="20% - Accent3 50" xfId="1366"/>
    <cellStyle name="20% - Accent3 50 2" xfId="1367"/>
    <cellStyle name="20% - Accent3 50 2 2" xfId="1368"/>
    <cellStyle name="20% - Accent3 50 3" xfId="1369"/>
    <cellStyle name="20% - Accent3 51" xfId="1370"/>
    <cellStyle name="20% - Accent3 51 2" xfId="1371"/>
    <cellStyle name="20% - Accent3 51 2 2" xfId="1372"/>
    <cellStyle name="20% - Accent3 51 3" xfId="1373"/>
    <cellStyle name="20% - Accent3 52" xfId="1374"/>
    <cellStyle name="20% - Accent3 52 2" xfId="1375"/>
    <cellStyle name="20% - Accent3 52 2 2" xfId="1376"/>
    <cellStyle name="20% - Accent3 52 3" xfId="1377"/>
    <cellStyle name="20% - Accent3 53" xfId="1378"/>
    <cellStyle name="20% - Accent3 53 2" xfId="1379"/>
    <cellStyle name="20% - Accent3 54" xfId="1380"/>
    <cellStyle name="20% - Accent3 54 2" xfId="1381"/>
    <cellStyle name="20% - Accent3 55" xfId="1382"/>
    <cellStyle name="20% - Accent3 55 2" xfId="1383"/>
    <cellStyle name="20% - Accent3 56" xfId="1384"/>
    <cellStyle name="20% - Accent3 56 2" xfId="1385"/>
    <cellStyle name="20% - Accent3 57" xfId="1386"/>
    <cellStyle name="20% - Accent3 57 2" xfId="1387"/>
    <cellStyle name="20% - Accent3 58" xfId="1388"/>
    <cellStyle name="20% - Accent3 58 2" xfId="1389"/>
    <cellStyle name="20% - Accent3 59" xfId="1390"/>
    <cellStyle name="20% - Accent3 59 2" xfId="1391"/>
    <cellStyle name="20% - Accent3 6" xfId="1392"/>
    <cellStyle name="20% - Accent3 6 2" xfId="1393"/>
    <cellStyle name="20% - Accent3 6 2 2" xfId="1394"/>
    <cellStyle name="20% - Accent3 6 2 2 2" xfId="1395"/>
    <cellStyle name="20% - Accent3 6 2 3" xfId="1396"/>
    <cellStyle name="20% - Accent3 6 3" xfId="1397"/>
    <cellStyle name="20% - Accent3 6 3 2" xfId="1398"/>
    <cellStyle name="20% - Accent3 6 3 2 2" xfId="1399"/>
    <cellStyle name="20% - Accent3 6 3 3" xfId="1400"/>
    <cellStyle name="20% - Accent3 6 4" xfId="1401"/>
    <cellStyle name="20% - Accent3 6 4 2" xfId="1402"/>
    <cellStyle name="20% - Accent3 6 5" xfId="1403"/>
    <cellStyle name="20% - Accent3 60" xfId="1404"/>
    <cellStyle name="20% - Accent3 61" xfId="11219"/>
    <cellStyle name="20% - Accent3 7" xfId="1405"/>
    <cellStyle name="20% - Accent3 7 2" xfId="1406"/>
    <cellStyle name="20% - Accent3 7 2 2" xfId="1407"/>
    <cellStyle name="20% - Accent3 7 2 2 2" xfId="1408"/>
    <cellStyle name="20% - Accent3 7 2 3" xfId="1409"/>
    <cellStyle name="20% - Accent3 7 3" xfId="1410"/>
    <cellStyle name="20% - Accent3 7 3 2" xfId="1411"/>
    <cellStyle name="20% - Accent3 7 3 2 2" xfId="1412"/>
    <cellStyle name="20% - Accent3 7 3 3" xfId="1413"/>
    <cellStyle name="20% - Accent3 7 4" xfId="1414"/>
    <cellStyle name="20% - Accent3 7 4 2" xfId="1415"/>
    <cellStyle name="20% - Accent3 7 5" xfId="1416"/>
    <cellStyle name="20% - Accent3 8" xfId="1417"/>
    <cellStyle name="20% - Accent3 8 2" xfId="1418"/>
    <cellStyle name="20% - Accent3 8 2 2" xfId="1419"/>
    <cellStyle name="20% - Accent3 8 2 2 2" xfId="1420"/>
    <cellStyle name="20% - Accent3 8 2 3" xfId="1421"/>
    <cellStyle name="20% - Accent3 8 3" xfId="1422"/>
    <cellStyle name="20% - Accent3 8 3 2" xfId="1423"/>
    <cellStyle name="20% - Accent3 8 3 2 2" xfId="1424"/>
    <cellStyle name="20% - Accent3 8 3 3" xfId="1425"/>
    <cellStyle name="20% - Accent3 8 4" xfId="1426"/>
    <cellStyle name="20% - Accent3 8 4 2" xfId="1427"/>
    <cellStyle name="20% - Accent3 8 5" xfId="1428"/>
    <cellStyle name="20% - Accent3 9" xfId="1429"/>
    <cellStyle name="20% - Accent3 9 2" xfId="1430"/>
    <cellStyle name="20% - Accent3 9 2 2" xfId="1431"/>
    <cellStyle name="20% - Accent3 9 2 2 2" xfId="1432"/>
    <cellStyle name="20% - Accent3 9 2 3" xfId="1433"/>
    <cellStyle name="20% - Accent3 9 3" xfId="1434"/>
    <cellStyle name="20% - Accent3 9 3 2" xfId="1435"/>
    <cellStyle name="20% - Accent3 9 3 2 2" xfId="1436"/>
    <cellStyle name="20% - Accent3 9 3 3" xfId="1437"/>
    <cellStyle name="20% - Accent3 9 4" xfId="1438"/>
    <cellStyle name="20% - Accent3 9 4 2" xfId="1439"/>
    <cellStyle name="20% - Accent3 9 5" xfId="1440"/>
    <cellStyle name="20% - Accent4" xfId="1441" builtinId="42" customBuiltin="1"/>
    <cellStyle name="20% - Accent4 10" xfId="1442"/>
    <cellStyle name="20% - Accent4 10 2" xfId="1443"/>
    <cellStyle name="20% - Accent4 10 2 2" xfId="1444"/>
    <cellStyle name="20% - Accent4 10 2 2 2" xfId="1445"/>
    <cellStyle name="20% - Accent4 10 2 3" xfId="1446"/>
    <cellStyle name="20% - Accent4 10 3" xfId="1447"/>
    <cellStyle name="20% - Accent4 10 3 2" xfId="1448"/>
    <cellStyle name="20% - Accent4 10 3 2 2" xfId="1449"/>
    <cellStyle name="20% - Accent4 10 3 3" xfId="1450"/>
    <cellStyle name="20% - Accent4 10 4" xfId="1451"/>
    <cellStyle name="20% - Accent4 10 4 2" xfId="1452"/>
    <cellStyle name="20% - Accent4 10 5" xfId="1453"/>
    <cellStyle name="20% - Accent4 11" xfId="1454"/>
    <cellStyle name="20% - Accent4 11 2" xfId="1455"/>
    <cellStyle name="20% - Accent4 11 2 2" xfId="1456"/>
    <cellStyle name="20% - Accent4 11 2 2 2" xfId="1457"/>
    <cellStyle name="20% - Accent4 11 2 3" xfId="1458"/>
    <cellStyle name="20% - Accent4 11 3" xfId="1459"/>
    <cellStyle name="20% - Accent4 11 3 2" xfId="1460"/>
    <cellStyle name="20% - Accent4 11 3 2 2" xfId="1461"/>
    <cellStyle name="20% - Accent4 11 3 3" xfId="1462"/>
    <cellStyle name="20% - Accent4 11 4" xfId="1463"/>
    <cellStyle name="20% - Accent4 11 4 2" xfId="1464"/>
    <cellStyle name="20% - Accent4 11 5" xfId="1465"/>
    <cellStyle name="20% - Accent4 12" xfId="1466"/>
    <cellStyle name="20% - Accent4 12 2" xfId="1467"/>
    <cellStyle name="20% - Accent4 12 2 2" xfId="1468"/>
    <cellStyle name="20% - Accent4 12 2 2 2" xfId="1469"/>
    <cellStyle name="20% - Accent4 12 2 3" xfId="1470"/>
    <cellStyle name="20% - Accent4 12 3" xfId="1471"/>
    <cellStyle name="20% - Accent4 12 3 2" xfId="1472"/>
    <cellStyle name="20% - Accent4 12 3 2 2" xfId="1473"/>
    <cellStyle name="20% - Accent4 12 3 3" xfId="1474"/>
    <cellStyle name="20% - Accent4 12 4" xfId="1475"/>
    <cellStyle name="20% - Accent4 12 4 2" xfId="1476"/>
    <cellStyle name="20% - Accent4 12 5" xfId="1477"/>
    <cellStyle name="20% - Accent4 13" xfId="1478"/>
    <cellStyle name="20% - Accent4 13 2" xfId="1479"/>
    <cellStyle name="20% - Accent4 13 2 2" xfId="1480"/>
    <cellStyle name="20% - Accent4 13 2 2 2" xfId="1481"/>
    <cellStyle name="20% - Accent4 13 2 3" xfId="1482"/>
    <cellStyle name="20% - Accent4 13 3" xfId="1483"/>
    <cellStyle name="20% - Accent4 13 3 2" xfId="1484"/>
    <cellStyle name="20% - Accent4 13 3 2 2" xfId="1485"/>
    <cellStyle name="20% - Accent4 13 3 3" xfId="1486"/>
    <cellStyle name="20% - Accent4 13 4" xfId="1487"/>
    <cellStyle name="20% - Accent4 13 4 2" xfId="1488"/>
    <cellStyle name="20% - Accent4 13 5" xfId="1489"/>
    <cellStyle name="20% - Accent4 14" xfId="1490"/>
    <cellStyle name="20% - Accent4 14 2" xfId="1491"/>
    <cellStyle name="20% - Accent4 14 2 2" xfId="1492"/>
    <cellStyle name="20% - Accent4 14 2 2 2" xfId="1493"/>
    <cellStyle name="20% - Accent4 14 2 3" xfId="1494"/>
    <cellStyle name="20% - Accent4 14 3" xfId="1495"/>
    <cellStyle name="20% - Accent4 14 3 2" xfId="1496"/>
    <cellStyle name="20% - Accent4 14 3 2 2" xfId="1497"/>
    <cellStyle name="20% - Accent4 14 3 3" xfId="1498"/>
    <cellStyle name="20% - Accent4 14 4" xfId="1499"/>
    <cellStyle name="20% - Accent4 14 4 2" xfId="1500"/>
    <cellStyle name="20% - Accent4 14 5" xfId="1501"/>
    <cellStyle name="20% - Accent4 15" xfId="1502"/>
    <cellStyle name="20% - Accent4 15 2" xfId="1503"/>
    <cellStyle name="20% - Accent4 15 2 2" xfId="1504"/>
    <cellStyle name="20% - Accent4 15 2 2 2" xfId="1505"/>
    <cellStyle name="20% - Accent4 15 2 3" xfId="1506"/>
    <cellStyle name="20% - Accent4 15 3" xfId="1507"/>
    <cellStyle name="20% - Accent4 15 3 2" xfId="1508"/>
    <cellStyle name="20% - Accent4 15 3 2 2" xfId="1509"/>
    <cellStyle name="20% - Accent4 15 3 3" xfId="1510"/>
    <cellStyle name="20% - Accent4 15 4" xfId="1511"/>
    <cellStyle name="20% - Accent4 15 4 2" xfId="1512"/>
    <cellStyle name="20% - Accent4 15 5" xfId="1513"/>
    <cellStyle name="20% - Accent4 16" xfId="1514"/>
    <cellStyle name="20% - Accent4 16 2" xfId="1515"/>
    <cellStyle name="20% - Accent4 16 2 2" xfId="1516"/>
    <cellStyle name="20% - Accent4 16 2 2 2" xfId="1517"/>
    <cellStyle name="20% - Accent4 16 2 3" xfId="1518"/>
    <cellStyle name="20% - Accent4 16 3" xfId="1519"/>
    <cellStyle name="20% - Accent4 16 3 2" xfId="1520"/>
    <cellStyle name="20% - Accent4 16 3 2 2" xfId="1521"/>
    <cellStyle name="20% - Accent4 16 3 3" xfId="1522"/>
    <cellStyle name="20% - Accent4 16 4" xfId="1523"/>
    <cellStyle name="20% - Accent4 16 4 2" xfId="1524"/>
    <cellStyle name="20% - Accent4 16 5" xfId="1525"/>
    <cellStyle name="20% - Accent4 17" xfId="1526"/>
    <cellStyle name="20% - Accent4 17 2" xfId="1527"/>
    <cellStyle name="20% - Accent4 17 2 2" xfId="1528"/>
    <cellStyle name="20% - Accent4 17 2 2 2" xfId="1529"/>
    <cellStyle name="20% - Accent4 17 2 3" xfId="1530"/>
    <cellStyle name="20% - Accent4 17 3" xfId="1531"/>
    <cellStyle name="20% - Accent4 17 3 2" xfId="1532"/>
    <cellStyle name="20% - Accent4 17 3 2 2" xfId="1533"/>
    <cellStyle name="20% - Accent4 17 3 3" xfId="1534"/>
    <cellStyle name="20% - Accent4 17 4" xfId="1535"/>
    <cellStyle name="20% - Accent4 17 4 2" xfId="1536"/>
    <cellStyle name="20% - Accent4 17 5" xfId="1537"/>
    <cellStyle name="20% - Accent4 18" xfId="1538"/>
    <cellStyle name="20% - Accent4 18 2" xfId="1539"/>
    <cellStyle name="20% - Accent4 18 2 2" xfId="1540"/>
    <cellStyle name="20% - Accent4 18 2 2 2" xfId="1541"/>
    <cellStyle name="20% - Accent4 18 2 3" xfId="1542"/>
    <cellStyle name="20% - Accent4 18 3" xfId="1543"/>
    <cellStyle name="20% - Accent4 18 3 2" xfId="1544"/>
    <cellStyle name="20% - Accent4 18 3 2 2" xfId="1545"/>
    <cellStyle name="20% - Accent4 18 3 3" xfId="1546"/>
    <cellStyle name="20% - Accent4 18 4" xfId="1547"/>
    <cellStyle name="20% - Accent4 18 4 2" xfId="1548"/>
    <cellStyle name="20% - Accent4 18 5" xfId="1549"/>
    <cellStyle name="20% - Accent4 19" xfId="1550"/>
    <cellStyle name="20% - Accent4 19 2" xfId="1551"/>
    <cellStyle name="20% - Accent4 19 2 2" xfId="1552"/>
    <cellStyle name="20% - Accent4 19 2 2 2" xfId="1553"/>
    <cellStyle name="20% - Accent4 19 2 3" xfId="1554"/>
    <cellStyle name="20% - Accent4 19 3" xfId="1555"/>
    <cellStyle name="20% - Accent4 19 3 2" xfId="1556"/>
    <cellStyle name="20% - Accent4 19 3 2 2" xfId="1557"/>
    <cellStyle name="20% - Accent4 19 3 3" xfId="1558"/>
    <cellStyle name="20% - Accent4 19 4" xfId="1559"/>
    <cellStyle name="20% - Accent4 19 4 2" xfId="1560"/>
    <cellStyle name="20% - Accent4 19 5" xfId="1561"/>
    <cellStyle name="20% - Accent4 2" xfId="1562"/>
    <cellStyle name="20% - Accent4 2 2" xfId="1563"/>
    <cellStyle name="20% - Accent4 2 2 2" xfId="1564"/>
    <cellStyle name="20% - Accent4 2 2 2 2" xfId="1565"/>
    <cellStyle name="20% - Accent4 2 2 3" xfId="1566"/>
    <cellStyle name="20% - Accent4 2 3" xfId="1567"/>
    <cellStyle name="20% - Accent4 2 3 2" xfId="1568"/>
    <cellStyle name="20% - Accent4 2 3 2 2" xfId="1569"/>
    <cellStyle name="20% - Accent4 2 3 3" xfId="1570"/>
    <cellStyle name="20% - Accent4 2 4" xfId="1571"/>
    <cellStyle name="20% - Accent4 2 4 2" xfId="1572"/>
    <cellStyle name="20% - Accent4 2 5" xfId="1573"/>
    <cellStyle name="20% - Accent4 20" xfId="1574"/>
    <cellStyle name="20% - Accent4 20 2" xfId="1575"/>
    <cellStyle name="20% - Accent4 20 2 2" xfId="1576"/>
    <cellStyle name="20% - Accent4 20 2 2 2" xfId="1577"/>
    <cellStyle name="20% - Accent4 20 2 3" xfId="1578"/>
    <cellStyle name="20% - Accent4 20 3" xfId="1579"/>
    <cellStyle name="20% - Accent4 20 3 2" xfId="1580"/>
    <cellStyle name="20% - Accent4 20 3 2 2" xfId="1581"/>
    <cellStyle name="20% - Accent4 20 3 3" xfId="1582"/>
    <cellStyle name="20% - Accent4 20 4" xfId="1583"/>
    <cellStyle name="20% - Accent4 20 4 2" xfId="1584"/>
    <cellStyle name="20% - Accent4 20 5" xfId="1585"/>
    <cellStyle name="20% - Accent4 21" xfId="1586"/>
    <cellStyle name="20% - Accent4 21 2" xfId="1587"/>
    <cellStyle name="20% - Accent4 21 2 2" xfId="1588"/>
    <cellStyle name="20% - Accent4 21 2 2 2" xfId="1589"/>
    <cellStyle name="20% - Accent4 21 2 3" xfId="1590"/>
    <cellStyle name="20% - Accent4 21 3" xfId="1591"/>
    <cellStyle name="20% - Accent4 21 3 2" xfId="1592"/>
    <cellStyle name="20% - Accent4 21 3 2 2" xfId="1593"/>
    <cellStyle name="20% - Accent4 21 3 3" xfId="1594"/>
    <cellStyle name="20% - Accent4 21 4" xfId="1595"/>
    <cellStyle name="20% - Accent4 21 4 2" xfId="1596"/>
    <cellStyle name="20% - Accent4 21 5" xfId="1597"/>
    <cellStyle name="20% - Accent4 22" xfId="1598"/>
    <cellStyle name="20% - Accent4 22 2" xfId="1599"/>
    <cellStyle name="20% - Accent4 22 2 2" xfId="1600"/>
    <cellStyle name="20% - Accent4 22 2 2 2" xfId="1601"/>
    <cellStyle name="20% - Accent4 22 2 3" xfId="1602"/>
    <cellStyle name="20% - Accent4 22 3" xfId="1603"/>
    <cellStyle name="20% - Accent4 22 3 2" xfId="1604"/>
    <cellStyle name="20% - Accent4 22 3 2 2" xfId="1605"/>
    <cellStyle name="20% - Accent4 22 3 3" xfId="1606"/>
    <cellStyle name="20% - Accent4 22 4" xfId="1607"/>
    <cellStyle name="20% - Accent4 22 4 2" xfId="1608"/>
    <cellStyle name="20% - Accent4 22 5" xfId="1609"/>
    <cellStyle name="20% - Accent4 23" xfId="1610"/>
    <cellStyle name="20% - Accent4 23 2" xfId="1611"/>
    <cellStyle name="20% - Accent4 23 2 2" xfId="1612"/>
    <cellStyle name="20% - Accent4 23 2 2 2" xfId="1613"/>
    <cellStyle name="20% - Accent4 23 2 3" xfId="1614"/>
    <cellStyle name="20% - Accent4 23 3" xfId="1615"/>
    <cellStyle name="20% - Accent4 23 3 2" xfId="1616"/>
    <cellStyle name="20% - Accent4 23 3 2 2" xfId="1617"/>
    <cellStyle name="20% - Accent4 23 3 3" xfId="1618"/>
    <cellStyle name="20% - Accent4 23 4" xfId="1619"/>
    <cellStyle name="20% - Accent4 23 4 2" xfId="1620"/>
    <cellStyle name="20% - Accent4 23 5" xfId="1621"/>
    <cellStyle name="20% - Accent4 24" xfId="1622"/>
    <cellStyle name="20% - Accent4 24 2" xfId="1623"/>
    <cellStyle name="20% - Accent4 24 2 2" xfId="1624"/>
    <cellStyle name="20% - Accent4 24 2 2 2" xfId="1625"/>
    <cellStyle name="20% - Accent4 24 2 3" xfId="1626"/>
    <cellStyle name="20% - Accent4 24 3" xfId="1627"/>
    <cellStyle name="20% - Accent4 24 3 2" xfId="1628"/>
    <cellStyle name="20% - Accent4 24 3 2 2" xfId="1629"/>
    <cellStyle name="20% - Accent4 24 3 3" xfId="1630"/>
    <cellStyle name="20% - Accent4 24 4" xfId="1631"/>
    <cellStyle name="20% - Accent4 24 4 2" xfId="1632"/>
    <cellStyle name="20% - Accent4 24 5" xfId="1633"/>
    <cellStyle name="20% - Accent4 25" xfId="1634"/>
    <cellStyle name="20% - Accent4 25 2" xfId="1635"/>
    <cellStyle name="20% - Accent4 25 2 2" xfId="1636"/>
    <cellStyle name="20% - Accent4 25 2 2 2" xfId="1637"/>
    <cellStyle name="20% - Accent4 25 2 3" xfId="1638"/>
    <cellStyle name="20% - Accent4 25 3" xfId="1639"/>
    <cellStyle name="20% - Accent4 25 3 2" xfId="1640"/>
    <cellStyle name="20% - Accent4 25 3 2 2" xfId="1641"/>
    <cellStyle name="20% - Accent4 25 3 3" xfId="1642"/>
    <cellStyle name="20% - Accent4 25 4" xfId="1643"/>
    <cellStyle name="20% - Accent4 25 4 2" xfId="1644"/>
    <cellStyle name="20% - Accent4 25 5" xfId="1645"/>
    <cellStyle name="20% - Accent4 26" xfId="1646"/>
    <cellStyle name="20% - Accent4 26 2" xfId="1647"/>
    <cellStyle name="20% - Accent4 26 2 2" xfId="1648"/>
    <cellStyle name="20% - Accent4 26 2 2 2" xfId="1649"/>
    <cellStyle name="20% - Accent4 26 2 3" xfId="1650"/>
    <cellStyle name="20% - Accent4 26 3" xfId="1651"/>
    <cellStyle name="20% - Accent4 26 3 2" xfId="1652"/>
    <cellStyle name="20% - Accent4 26 3 2 2" xfId="1653"/>
    <cellStyle name="20% - Accent4 26 3 3" xfId="1654"/>
    <cellStyle name="20% - Accent4 26 4" xfId="1655"/>
    <cellStyle name="20% - Accent4 26 4 2" xfId="1656"/>
    <cellStyle name="20% - Accent4 26 5" xfId="1657"/>
    <cellStyle name="20% - Accent4 27" xfId="1658"/>
    <cellStyle name="20% - Accent4 27 2" xfId="1659"/>
    <cellStyle name="20% - Accent4 27 2 2" xfId="1660"/>
    <cellStyle name="20% - Accent4 27 2 2 2" xfId="1661"/>
    <cellStyle name="20% - Accent4 27 2 3" xfId="1662"/>
    <cellStyle name="20% - Accent4 27 3" xfId="1663"/>
    <cellStyle name="20% - Accent4 27 3 2" xfId="1664"/>
    <cellStyle name="20% - Accent4 27 3 2 2" xfId="1665"/>
    <cellStyle name="20% - Accent4 27 3 3" xfId="1666"/>
    <cellStyle name="20% - Accent4 27 4" xfId="1667"/>
    <cellStyle name="20% - Accent4 27 4 2" xfId="1668"/>
    <cellStyle name="20% - Accent4 27 5" xfId="1669"/>
    <cellStyle name="20% - Accent4 28" xfId="1670"/>
    <cellStyle name="20% - Accent4 28 2" xfId="1671"/>
    <cellStyle name="20% - Accent4 28 2 2" xfId="1672"/>
    <cellStyle name="20% - Accent4 28 2 2 2" xfId="1673"/>
    <cellStyle name="20% - Accent4 28 2 3" xfId="1674"/>
    <cellStyle name="20% - Accent4 28 3" xfId="1675"/>
    <cellStyle name="20% - Accent4 28 3 2" xfId="1676"/>
    <cellStyle name="20% - Accent4 28 3 2 2" xfId="1677"/>
    <cellStyle name="20% - Accent4 28 3 3" xfId="1678"/>
    <cellStyle name="20% - Accent4 28 4" xfId="1679"/>
    <cellStyle name="20% - Accent4 28 4 2" xfId="1680"/>
    <cellStyle name="20% - Accent4 28 5" xfId="1681"/>
    <cellStyle name="20% - Accent4 29" xfId="1682"/>
    <cellStyle name="20% - Accent4 29 2" xfId="1683"/>
    <cellStyle name="20% - Accent4 29 2 2" xfId="1684"/>
    <cellStyle name="20% - Accent4 29 2 2 2" xfId="1685"/>
    <cellStyle name="20% - Accent4 29 2 3" xfId="1686"/>
    <cellStyle name="20% - Accent4 29 3" xfId="1687"/>
    <cellStyle name="20% - Accent4 29 3 2" xfId="1688"/>
    <cellStyle name="20% - Accent4 29 3 2 2" xfId="1689"/>
    <cellStyle name="20% - Accent4 29 3 3" xfId="1690"/>
    <cellStyle name="20% - Accent4 29 4" xfId="1691"/>
    <cellStyle name="20% - Accent4 29 4 2" xfId="1692"/>
    <cellStyle name="20% - Accent4 29 5" xfId="1693"/>
    <cellStyle name="20% - Accent4 3" xfId="1694"/>
    <cellStyle name="20% - Accent4 3 2" xfId="1695"/>
    <cellStyle name="20% - Accent4 3 2 2" xfId="1696"/>
    <cellStyle name="20% - Accent4 3 2 2 2" xfId="1697"/>
    <cellStyle name="20% - Accent4 3 2 3" xfId="1698"/>
    <cellStyle name="20% - Accent4 3 3" xfId="1699"/>
    <cellStyle name="20% - Accent4 3 3 2" xfId="1700"/>
    <cellStyle name="20% - Accent4 3 3 2 2" xfId="1701"/>
    <cellStyle name="20% - Accent4 3 3 3" xfId="1702"/>
    <cellStyle name="20% - Accent4 3 4" xfId="1703"/>
    <cellStyle name="20% - Accent4 3 4 2" xfId="1704"/>
    <cellStyle name="20% - Accent4 3 5" xfId="1705"/>
    <cellStyle name="20% - Accent4 30" xfId="1706"/>
    <cellStyle name="20% - Accent4 30 2" xfId="1707"/>
    <cellStyle name="20% - Accent4 30 2 2" xfId="1708"/>
    <cellStyle name="20% - Accent4 30 2 2 2" xfId="1709"/>
    <cellStyle name="20% - Accent4 30 2 3" xfId="1710"/>
    <cellStyle name="20% - Accent4 30 3" xfId="1711"/>
    <cellStyle name="20% - Accent4 30 3 2" xfId="1712"/>
    <cellStyle name="20% - Accent4 30 3 2 2" xfId="1713"/>
    <cellStyle name="20% - Accent4 30 3 3" xfId="1714"/>
    <cellStyle name="20% - Accent4 30 4" xfId="1715"/>
    <cellStyle name="20% - Accent4 30 4 2" xfId="1716"/>
    <cellStyle name="20% - Accent4 30 5" xfId="1717"/>
    <cellStyle name="20% - Accent4 31" xfId="1718"/>
    <cellStyle name="20% - Accent4 31 2" xfId="1719"/>
    <cellStyle name="20% - Accent4 31 2 2" xfId="1720"/>
    <cellStyle name="20% - Accent4 31 2 2 2" xfId="1721"/>
    <cellStyle name="20% - Accent4 31 2 3" xfId="1722"/>
    <cellStyle name="20% - Accent4 31 3" xfId="1723"/>
    <cellStyle name="20% - Accent4 31 3 2" xfId="1724"/>
    <cellStyle name="20% - Accent4 31 3 2 2" xfId="1725"/>
    <cellStyle name="20% - Accent4 31 3 3" xfId="1726"/>
    <cellStyle name="20% - Accent4 31 4" xfId="1727"/>
    <cellStyle name="20% - Accent4 31 4 2" xfId="1728"/>
    <cellStyle name="20% - Accent4 31 5" xfId="1729"/>
    <cellStyle name="20% - Accent4 32" xfId="1730"/>
    <cellStyle name="20% - Accent4 32 2" xfId="1731"/>
    <cellStyle name="20% - Accent4 32 2 2" xfId="1732"/>
    <cellStyle name="20% - Accent4 32 2 2 2" xfId="1733"/>
    <cellStyle name="20% - Accent4 32 2 3" xfId="1734"/>
    <cellStyle name="20% - Accent4 32 3" xfId="1735"/>
    <cellStyle name="20% - Accent4 32 3 2" xfId="1736"/>
    <cellStyle name="20% - Accent4 32 3 2 2" xfId="1737"/>
    <cellStyle name="20% - Accent4 32 3 3" xfId="1738"/>
    <cellStyle name="20% - Accent4 32 4" xfId="1739"/>
    <cellStyle name="20% - Accent4 32 4 2" xfId="1740"/>
    <cellStyle name="20% - Accent4 32 5" xfId="1741"/>
    <cellStyle name="20% - Accent4 33" xfId="1742"/>
    <cellStyle name="20% - Accent4 33 2" xfId="1743"/>
    <cellStyle name="20% - Accent4 33 2 2" xfId="1744"/>
    <cellStyle name="20% - Accent4 33 2 2 2" xfId="1745"/>
    <cellStyle name="20% - Accent4 33 2 3" xfId="1746"/>
    <cellStyle name="20% - Accent4 33 3" xfId="1747"/>
    <cellStyle name="20% - Accent4 33 3 2" xfId="1748"/>
    <cellStyle name="20% - Accent4 33 3 2 2" xfId="1749"/>
    <cellStyle name="20% - Accent4 33 3 3" xfId="1750"/>
    <cellStyle name="20% - Accent4 33 4" xfId="1751"/>
    <cellStyle name="20% - Accent4 33 4 2" xfId="1752"/>
    <cellStyle name="20% - Accent4 33 5" xfId="1753"/>
    <cellStyle name="20% - Accent4 34" xfId="1754"/>
    <cellStyle name="20% - Accent4 34 2" xfId="1755"/>
    <cellStyle name="20% - Accent4 34 2 2" xfId="1756"/>
    <cellStyle name="20% - Accent4 34 2 2 2" xfId="1757"/>
    <cellStyle name="20% - Accent4 34 2 3" xfId="1758"/>
    <cellStyle name="20% - Accent4 34 3" xfId="1759"/>
    <cellStyle name="20% - Accent4 34 3 2" xfId="1760"/>
    <cellStyle name="20% - Accent4 34 4" xfId="1761"/>
    <cellStyle name="20% - Accent4 35" xfId="1762"/>
    <cellStyle name="20% - Accent4 35 2" xfId="1763"/>
    <cellStyle name="20% - Accent4 35 2 2" xfId="1764"/>
    <cellStyle name="20% - Accent4 35 3" xfId="1765"/>
    <cellStyle name="20% - Accent4 36" xfId="1766"/>
    <cellStyle name="20% - Accent4 36 2" xfId="1767"/>
    <cellStyle name="20% - Accent4 36 2 2" xfId="1768"/>
    <cellStyle name="20% - Accent4 36 3" xfId="1769"/>
    <cellStyle name="20% - Accent4 37" xfId="1770"/>
    <cellStyle name="20% - Accent4 37 2" xfId="1771"/>
    <cellStyle name="20% - Accent4 37 2 2" xfId="1772"/>
    <cellStyle name="20% - Accent4 37 3" xfId="1773"/>
    <cellStyle name="20% - Accent4 38" xfId="1774"/>
    <cellStyle name="20% - Accent4 38 2" xfId="1775"/>
    <cellStyle name="20% - Accent4 38 2 2" xfId="1776"/>
    <cellStyle name="20% - Accent4 38 3" xfId="1777"/>
    <cellStyle name="20% - Accent4 39" xfId="1778"/>
    <cellStyle name="20% - Accent4 39 2" xfId="1779"/>
    <cellStyle name="20% - Accent4 39 2 2" xfId="1780"/>
    <cellStyle name="20% - Accent4 39 3" xfId="1781"/>
    <cellStyle name="20% - Accent4 4" xfId="1782"/>
    <cellStyle name="20% - Accent4 4 2" xfId="1783"/>
    <cellStyle name="20% - Accent4 4 2 2" xfId="1784"/>
    <cellStyle name="20% - Accent4 4 2 2 2" xfId="1785"/>
    <cellStyle name="20% - Accent4 4 2 3" xfId="1786"/>
    <cellStyle name="20% - Accent4 4 3" xfId="1787"/>
    <cellStyle name="20% - Accent4 4 3 2" xfId="1788"/>
    <cellStyle name="20% - Accent4 4 3 2 2" xfId="1789"/>
    <cellStyle name="20% - Accent4 4 3 3" xfId="1790"/>
    <cellStyle name="20% - Accent4 4 4" xfId="1791"/>
    <cellStyle name="20% - Accent4 4 4 2" xfId="1792"/>
    <cellStyle name="20% - Accent4 4 5" xfId="1793"/>
    <cellStyle name="20% - Accent4 40" xfId="1794"/>
    <cellStyle name="20% - Accent4 40 2" xfId="1795"/>
    <cellStyle name="20% - Accent4 40 2 2" xfId="1796"/>
    <cellStyle name="20% - Accent4 40 3" xfId="1797"/>
    <cellStyle name="20% - Accent4 41" xfId="1798"/>
    <cellStyle name="20% - Accent4 41 2" xfId="1799"/>
    <cellStyle name="20% - Accent4 41 2 2" xfId="1800"/>
    <cellStyle name="20% - Accent4 41 3" xfId="1801"/>
    <cellStyle name="20% - Accent4 42" xfId="1802"/>
    <cellStyle name="20% - Accent4 42 2" xfId="1803"/>
    <cellStyle name="20% - Accent4 42 2 2" xfId="1804"/>
    <cellStyle name="20% - Accent4 42 3" xfId="1805"/>
    <cellStyle name="20% - Accent4 43" xfId="1806"/>
    <cellStyle name="20% - Accent4 43 2" xfId="1807"/>
    <cellStyle name="20% - Accent4 43 2 2" xfId="1808"/>
    <cellStyle name="20% - Accent4 43 3" xfId="1809"/>
    <cellStyle name="20% - Accent4 44" xfId="1810"/>
    <cellStyle name="20% - Accent4 44 2" xfId="1811"/>
    <cellStyle name="20% - Accent4 44 2 2" xfId="1812"/>
    <cellStyle name="20% - Accent4 44 3" xfId="1813"/>
    <cellStyle name="20% - Accent4 45" xfId="1814"/>
    <cellStyle name="20% - Accent4 45 2" xfId="1815"/>
    <cellStyle name="20% - Accent4 45 2 2" xfId="1816"/>
    <cellStyle name="20% - Accent4 45 3" xfId="1817"/>
    <cellStyle name="20% - Accent4 46" xfId="1818"/>
    <cellStyle name="20% - Accent4 46 2" xfId="1819"/>
    <cellStyle name="20% - Accent4 46 2 2" xfId="1820"/>
    <cellStyle name="20% - Accent4 46 3" xfId="1821"/>
    <cellStyle name="20% - Accent4 47" xfId="1822"/>
    <cellStyle name="20% - Accent4 47 2" xfId="1823"/>
    <cellStyle name="20% - Accent4 47 2 2" xfId="1824"/>
    <cellStyle name="20% - Accent4 47 3" xfId="1825"/>
    <cellStyle name="20% - Accent4 48" xfId="1826"/>
    <cellStyle name="20% - Accent4 48 2" xfId="1827"/>
    <cellStyle name="20% - Accent4 48 2 2" xfId="1828"/>
    <cellStyle name="20% - Accent4 48 3" xfId="1829"/>
    <cellStyle name="20% - Accent4 49" xfId="1830"/>
    <cellStyle name="20% - Accent4 49 2" xfId="1831"/>
    <cellStyle name="20% - Accent4 49 2 2" xfId="1832"/>
    <cellStyle name="20% - Accent4 49 3" xfId="1833"/>
    <cellStyle name="20% - Accent4 5" xfId="1834"/>
    <cellStyle name="20% - Accent4 5 2" xfId="1835"/>
    <cellStyle name="20% - Accent4 5 2 2" xfId="1836"/>
    <cellStyle name="20% - Accent4 5 2 2 2" xfId="1837"/>
    <cellStyle name="20% - Accent4 5 2 3" xfId="1838"/>
    <cellStyle name="20% - Accent4 5 3" xfId="1839"/>
    <cellStyle name="20% - Accent4 5 3 2" xfId="1840"/>
    <cellStyle name="20% - Accent4 5 3 2 2" xfId="1841"/>
    <cellStyle name="20% - Accent4 5 3 3" xfId="1842"/>
    <cellStyle name="20% - Accent4 5 4" xfId="1843"/>
    <cellStyle name="20% - Accent4 5 4 2" xfId="1844"/>
    <cellStyle name="20% - Accent4 5 5" xfId="1845"/>
    <cellStyle name="20% - Accent4 50" xfId="1846"/>
    <cellStyle name="20% - Accent4 50 2" xfId="1847"/>
    <cellStyle name="20% - Accent4 50 2 2" xfId="1848"/>
    <cellStyle name="20% - Accent4 50 3" xfId="1849"/>
    <cellStyle name="20% - Accent4 51" xfId="1850"/>
    <cellStyle name="20% - Accent4 51 2" xfId="1851"/>
    <cellStyle name="20% - Accent4 51 2 2" xfId="1852"/>
    <cellStyle name="20% - Accent4 51 3" xfId="1853"/>
    <cellStyle name="20% - Accent4 52" xfId="1854"/>
    <cellStyle name="20% - Accent4 52 2" xfId="1855"/>
    <cellStyle name="20% - Accent4 52 2 2" xfId="1856"/>
    <cellStyle name="20% - Accent4 52 3" xfId="1857"/>
    <cellStyle name="20% - Accent4 53" xfId="1858"/>
    <cellStyle name="20% - Accent4 53 2" xfId="1859"/>
    <cellStyle name="20% - Accent4 54" xfId="1860"/>
    <cellStyle name="20% - Accent4 54 2" xfId="1861"/>
    <cellStyle name="20% - Accent4 55" xfId="1862"/>
    <cellStyle name="20% - Accent4 55 2" xfId="1863"/>
    <cellStyle name="20% - Accent4 56" xfId="1864"/>
    <cellStyle name="20% - Accent4 56 2" xfId="1865"/>
    <cellStyle name="20% - Accent4 57" xfId="1866"/>
    <cellStyle name="20% - Accent4 57 2" xfId="1867"/>
    <cellStyle name="20% - Accent4 58" xfId="1868"/>
    <cellStyle name="20% - Accent4 58 2" xfId="1869"/>
    <cellStyle name="20% - Accent4 59" xfId="1870"/>
    <cellStyle name="20% - Accent4 59 2" xfId="1871"/>
    <cellStyle name="20% - Accent4 6" xfId="1872"/>
    <cellStyle name="20% - Accent4 6 2" xfId="1873"/>
    <cellStyle name="20% - Accent4 6 2 2" xfId="1874"/>
    <cellStyle name="20% - Accent4 6 2 2 2" xfId="1875"/>
    <cellStyle name="20% - Accent4 6 2 3" xfId="1876"/>
    <cellStyle name="20% - Accent4 6 3" xfId="1877"/>
    <cellStyle name="20% - Accent4 6 3 2" xfId="1878"/>
    <cellStyle name="20% - Accent4 6 3 2 2" xfId="1879"/>
    <cellStyle name="20% - Accent4 6 3 3" xfId="1880"/>
    <cellStyle name="20% - Accent4 6 4" xfId="1881"/>
    <cellStyle name="20% - Accent4 6 4 2" xfId="1882"/>
    <cellStyle name="20% - Accent4 6 5" xfId="1883"/>
    <cellStyle name="20% - Accent4 60" xfId="1884"/>
    <cellStyle name="20% - Accent4 61" xfId="11220"/>
    <cellStyle name="20% - Accent4 7" xfId="1885"/>
    <cellStyle name="20% - Accent4 7 2" xfId="1886"/>
    <cellStyle name="20% - Accent4 7 2 2" xfId="1887"/>
    <cellStyle name="20% - Accent4 7 2 2 2" xfId="1888"/>
    <cellStyle name="20% - Accent4 7 2 3" xfId="1889"/>
    <cellStyle name="20% - Accent4 7 3" xfId="1890"/>
    <cellStyle name="20% - Accent4 7 3 2" xfId="1891"/>
    <cellStyle name="20% - Accent4 7 3 2 2" xfId="1892"/>
    <cellStyle name="20% - Accent4 7 3 3" xfId="1893"/>
    <cellStyle name="20% - Accent4 7 4" xfId="1894"/>
    <cellStyle name="20% - Accent4 7 4 2" xfId="1895"/>
    <cellStyle name="20% - Accent4 7 5" xfId="1896"/>
    <cellStyle name="20% - Accent4 8" xfId="1897"/>
    <cellStyle name="20% - Accent4 8 2" xfId="1898"/>
    <cellStyle name="20% - Accent4 8 2 2" xfId="1899"/>
    <cellStyle name="20% - Accent4 8 2 2 2" xfId="1900"/>
    <cellStyle name="20% - Accent4 8 2 3" xfId="1901"/>
    <cellStyle name="20% - Accent4 8 3" xfId="1902"/>
    <cellStyle name="20% - Accent4 8 3 2" xfId="1903"/>
    <cellStyle name="20% - Accent4 8 3 2 2" xfId="1904"/>
    <cellStyle name="20% - Accent4 8 3 3" xfId="1905"/>
    <cellStyle name="20% - Accent4 8 4" xfId="1906"/>
    <cellStyle name="20% - Accent4 8 4 2" xfId="1907"/>
    <cellStyle name="20% - Accent4 8 5" xfId="1908"/>
    <cellStyle name="20% - Accent4 9" xfId="1909"/>
    <cellStyle name="20% - Accent4 9 2" xfId="1910"/>
    <cellStyle name="20% - Accent4 9 2 2" xfId="1911"/>
    <cellStyle name="20% - Accent4 9 2 2 2" xfId="1912"/>
    <cellStyle name="20% - Accent4 9 2 3" xfId="1913"/>
    <cellStyle name="20% - Accent4 9 3" xfId="1914"/>
    <cellStyle name="20% - Accent4 9 3 2" xfId="1915"/>
    <cellStyle name="20% - Accent4 9 3 2 2" xfId="1916"/>
    <cellStyle name="20% - Accent4 9 3 3" xfId="1917"/>
    <cellStyle name="20% - Accent4 9 4" xfId="1918"/>
    <cellStyle name="20% - Accent4 9 4 2" xfId="1919"/>
    <cellStyle name="20% - Accent4 9 5" xfId="1920"/>
    <cellStyle name="20% - Accent5" xfId="1921" builtinId="46" customBuiltin="1"/>
    <cellStyle name="20% - Accent5 10" xfId="1922"/>
    <cellStyle name="20% - Accent5 10 2" xfId="1923"/>
    <cellStyle name="20% - Accent5 10 2 2" xfId="1924"/>
    <cellStyle name="20% - Accent5 10 2 2 2" xfId="1925"/>
    <cellStyle name="20% - Accent5 10 2 3" xfId="1926"/>
    <cellStyle name="20% - Accent5 10 3" xfId="1927"/>
    <cellStyle name="20% - Accent5 10 3 2" xfId="1928"/>
    <cellStyle name="20% - Accent5 10 3 2 2" xfId="1929"/>
    <cellStyle name="20% - Accent5 10 3 3" xfId="1930"/>
    <cellStyle name="20% - Accent5 10 4" xfId="1931"/>
    <cellStyle name="20% - Accent5 10 4 2" xfId="1932"/>
    <cellStyle name="20% - Accent5 10 5" xfId="1933"/>
    <cellStyle name="20% - Accent5 11" xfId="1934"/>
    <cellStyle name="20% - Accent5 11 2" xfId="1935"/>
    <cellStyle name="20% - Accent5 11 2 2" xfId="1936"/>
    <cellStyle name="20% - Accent5 11 2 2 2" xfId="1937"/>
    <cellStyle name="20% - Accent5 11 2 3" xfId="1938"/>
    <cellStyle name="20% - Accent5 11 3" xfId="1939"/>
    <cellStyle name="20% - Accent5 11 3 2" xfId="1940"/>
    <cellStyle name="20% - Accent5 11 3 2 2" xfId="1941"/>
    <cellStyle name="20% - Accent5 11 3 3" xfId="1942"/>
    <cellStyle name="20% - Accent5 11 4" xfId="1943"/>
    <cellStyle name="20% - Accent5 11 4 2" xfId="1944"/>
    <cellStyle name="20% - Accent5 11 5" xfId="1945"/>
    <cellStyle name="20% - Accent5 12" xfId="1946"/>
    <cellStyle name="20% - Accent5 12 2" xfId="1947"/>
    <cellStyle name="20% - Accent5 12 2 2" xfId="1948"/>
    <cellStyle name="20% - Accent5 12 2 2 2" xfId="1949"/>
    <cellStyle name="20% - Accent5 12 2 3" xfId="1950"/>
    <cellStyle name="20% - Accent5 12 3" xfId="1951"/>
    <cellStyle name="20% - Accent5 12 3 2" xfId="1952"/>
    <cellStyle name="20% - Accent5 12 3 2 2" xfId="1953"/>
    <cellStyle name="20% - Accent5 12 3 3" xfId="1954"/>
    <cellStyle name="20% - Accent5 12 4" xfId="1955"/>
    <cellStyle name="20% - Accent5 12 4 2" xfId="1956"/>
    <cellStyle name="20% - Accent5 12 5" xfId="1957"/>
    <cellStyle name="20% - Accent5 13" xfId="1958"/>
    <cellStyle name="20% - Accent5 13 2" xfId="1959"/>
    <cellStyle name="20% - Accent5 13 2 2" xfId="1960"/>
    <cellStyle name="20% - Accent5 13 2 2 2" xfId="1961"/>
    <cellStyle name="20% - Accent5 13 2 3" xfId="1962"/>
    <cellStyle name="20% - Accent5 13 3" xfId="1963"/>
    <cellStyle name="20% - Accent5 13 3 2" xfId="1964"/>
    <cellStyle name="20% - Accent5 13 3 2 2" xfId="1965"/>
    <cellStyle name="20% - Accent5 13 3 3" xfId="1966"/>
    <cellStyle name="20% - Accent5 13 4" xfId="1967"/>
    <cellStyle name="20% - Accent5 13 4 2" xfId="1968"/>
    <cellStyle name="20% - Accent5 13 5" xfId="1969"/>
    <cellStyle name="20% - Accent5 14" xfId="1970"/>
    <cellStyle name="20% - Accent5 14 2" xfId="1971"/>
    <cellStyle name="20% - Accent5 14 2 2" xfId="1972"/>
    <cellStyle name="20% - Accent5 14 2 2 2" xfId="1973"/>
    <cellStyle name="20% - Accent5 14 2 3" xfId="1974"/>
    <cellStyle name="20% - Accent5 14 3" xfId="1975"/>
    <cellStyle name="20% - Accent5 14 3 2" xfId="1976"/>
    <cellStyle name="20% - Accent5 14 3 2 2" xfId="1977"/>
    <cellStyle name="20% - Accent5 14 3 3" xfId="1978"/>
    <cellStyle name="20% - Accent5 14 4" xfId="1979"/>
    <cellStyle name="20% - Accent5 14 4 2" xfId="1980"/>
    <cellStyle name="20% - Accent5 14 5" xfId="1981"/>
    <cellStyle name="20% - Accent5 15" xfId="1982"/>
    <cellStyle name="20% - Accent5 15 2" xfId="1983"/>
    <cellStyle name="20% - Accent5 15 2 2" xfId="1984"/>
    <cellStyle name="20% - Accent5 15 2 2 2" xfId="1985"/>
    <cellStyle name="20% - Accent5 15 2 3" xfId="1986"/>
    <cellStyle name="20% - Accent5 15 3" xfId="1987"/>
    <cellStyle name="20% - Accent5 15 3 2" xfId="1988"/>
    <cellStyle name="20% - Accent5 15 3 2 2" xfId="1989"/>
    <cellStyle name="20% - Accent5 15 3 3" xfId="1990"/>
    <cellStyle name="20% - Accent5 15 4" xfId="1991"/>
    <cellStyle name="20% - Accent5 15 4 2" xfId="1992"/>
    <cellStyle name="20% - Accent5 15 5" xfId="1993"/>
    <cellStyle name="20% - Accent5 16" xfId="1994"/>
    <cellStyle name="20% - Accent5 16 2" xfId="1995"/>
    <cellStyle name="20% - Accent5 16 2 2" xfId="1996"/>
    <cellStyle name="20% - Accent5 16 2 2 2" xfId="1997"/>
    <cellStyle name="20% - Accent5 16 2 3" xfId="1998"/>
    <cellStyle name="20% - Accent5 16 3" xfId="1999"/>
    <cellStyle name="20% - Accent5 16 3 2" xfId="2000"/>
    <cellStyle name="20% - Accent5 16 3 2 2" xfId="2001"/>
    <cellStyle name="20% - Accent5 16 3 3" xfId="2002"/>
    <cellStyle name="20% - Accent5 16 4" xfId="2003"/>
    <cellStyle name="20% - Accent5 16 4 2" xfId="2004"/>
    <cellStyle name="20% - Accent5 16 5" xfId="2005"/>
    <cellStyle name="20% - Accent5 17" xfId="2006"/>
    <cellStyle name="20% - Accent5 17 2" xfId="2007"/>
    <cellStyle name="20% - Accent5 17 2 2" xfId="2008"/>
    <cellStyle name="20% - Accent5 17 2 2 2" xfId="2009"/>
    <cellStyle name="20% - Accent5 17 2 3" xfId="2010"/>
    <cellStyle name="20% - Accent5 17 3" xfId="2011"/>
    <cellStyle name="20% - Accent5 17 3 2" xfId="2012"/>
    <cellStyle name="20% - Accent5 17 3 2 2" xfId="2013"/>
    <cellStyle name="20% - Accent5 17 3 3" xfId="2014"/>
    <cellStyle name="20% - Accent5 17 4" xfId="2015"/>
    <cellStyle name="20% - Accent5 17 4 2" xfId="2016"/>
    <cellStyle name="20% - Accent5 17 5" xfId="2017"/>
    <cellStyle name="20% - Accent5 18" xfId="2018"/>
    <cellStyle name="20% - Accent5 18 2" xfId="2019"/>
    <cellStyle name="20% - Accent5 18 2 2" xfId="2020"/>
    <cellStyle name="20% - Accent5 18 2 2 2" xfId="2021"/>
    <cellStyle name="20% - Accent5 18 2 3" xfId="2022"/>
    <cellStyle name="20% - Accent5 18 3" xfId="2023"/>
    <cellStyle name="20% - Accent5 18 3 2" xfId="2024"/>
    <cellStyle name="20% - Accent5 18 3 2 2" xfId="2025"/>
    <cellStyle name="20% - Accent5 18 3 3" xfId="2026"/>
    <cellStyle name="20% - Accent5 18 4" xfId="2027"/>
    <cellStyle name="20% - Accent5 18 4 2" xfId="2028"/>
    <cellStyle name="20% - Accent5 18 5" xfId="2029"/>
    <cellStyle name="20% - Accent5 19" xfId="2030"/>
    <cellStyle name="20% - Accent5 19 2" xfId="2031"/>
    <cellStyle name="20% - Accent5 19 2 2" xfId="2032"/>
    <cellStyle name="20% - Accent5 19 2 2 2" xfId="2033"/>
    <cellStyle name="20% - Accent5 19 2 3" xfId="2034"/>
    <cellStyle name="20% - Accent5 19 3" xfId="2035"/>
    <cellStyle name="20% - Accent5 19 3 2" xfId="2036"/>
    <cellStyle name="20% - Accent5 19 3 2 2" xfId="2037"/>
    <cellStyle name="20% - Accent5 19 3 3" xfId="2038"/>
    <cellStyle name="20% - Accent5 19 4" xfId="2039"/>
    <cellStyle name="20% - Accent5 19 4 2" xfId="2040"/>
    <cellStyle name="20% - Accent5 19 5" xfId="2041"/>
    <cellStyle name="20% - Accent5 2" xfId="2042"/>
    <cellStyle name="20% - Accent5 2 2" xfId="2043"/>
    <cellStyle name="20% - Accent5 2 2 2" xfId="2044"/>
    <cellStyle name="20% - Accent5 2 2 2 2" xfId="2045"/>
    <cellStyle name="20% - Accent5 2 2 3" xfId="2046"/>
    <cellStyle name="20% - Accent5 2 3" xfId="2047"/>
    <cellStyle name="20% - Accent5 2 3 2" xfId="2048"/>
    <cellStyle name="20% - Accent5 2 3 2 2" xfId="2049"/>
    <cellStyle name="20% - Accent5 2 3 3" xfId="2050"/>
    <cellStyle name="20% - Accent5 2 4" xfId="2051"/>
    <cellStyle name="20% - Accent5 2 4 2" xfId="2052"/>
    <cellStyle name="20% - Accent5 2 5" xfId="2053"/>
    <cellStyle name="20% - Accent5 20" xfId="2054"/>
    <cellStyle name="20% - Accent5 20 2" xfId="2055"/>
    <cellStyle name="20% - Accent5 20 2 2" xfId="2056"/>
    <cellStyle name="20% - Accent5 20 2 2 2" xfId="2057"/>
    <cellStyle name="20% - Accent5 20 2 3" xfId="2058"/>
    <cellStyle name="20% - Accent5 20 3" xfId="2059"/>
    <cellStyle name="20% - Accent5 20 3 2" xfId="2060"/>
    <cellStyle name="20% - Accent5 20 3 2 2" xfId="2061"/>
    <cellStyle name="20% - Accent5 20 3 3" xfId="2062"/>
    <cellStyle name="20% - Accent5 20 4" xfId="2063"/>
    <cellStyle name="20% - Accent5 20 4 2" xfId="2064"/>
    <cellStyle name="20% - Accent5 20 5" xfId="2065"/>
    <cellStyle name="20% - Accent5 21" xfId="2066"/>
    <cellStyle name="20% - Accent5 21 2" xfId="2067"/>
    <cellStyle name="20% - Accent5 21 2 2" xfId="2068"/>
    <cellStyle name="20% - Accent5 21 2 2 2" xfId="2069"/>
    <cellStyle name="20% - Accent5 21 2 3" xfId="2070"/>
    <cellStyle name="20% - Accent5 21 3" xfId="2071"/>
    <cellStyle name="20% - Accent5 21 3 2" xfId="2072"/>
    <cellStyle name="20% - Accent5 21 3 2 2" xfId="2073"/>
    <cellStyle name="20% - Accent5 21 3 3" xfId="2074"/>
    <cellStyle name="20% - Accent5 21 4" xfId="2075"/>
    <cellStyle name="20% - Accent5 21 4 2" xfId="2076"/>
    <cellStyle name="20% - Accent5 21 5" xfId="2077"/>
    <cellStyle name="20% - Accent5 22" xfId="2078"/>
    <cellStyle name="20% - Accent5 22 2" xfId="2079"/>
    <cellStyle name="20% - Accent5 22 2 2" xfId="2080"/>
    <cellStyle name="20% - Accent5 22 2 2 2" xfId="2081"/>
    <cellStyle name="20% - Accent5 22 2 3" xfId="2082"/>
    <cellStyle name="20% - Accent5 22 3" xfId="2083"/>
    <cellStyle name="20% - Accent5 22 3 2" xfId="2084"/>
    <cellStyle name="20% - Accent5 22 3 2 2" xfId="2085"/>
    <cellStyle name="20% - Accent5 22 3 3" xfId="2086"/>
    <cellStyle name="20% - Accent5 22 4" xfId="2087"/>
    <cellStyle name="20% - Accent5 22 4 2" xfId="2088"/>
    <cellStyle name="20% - Accent5 22 5" xfId="2089"/>
    <cellStyle name="20% - Accent5 23" xfId="2090"/>
    <cellStyle name="20% - Accent5 23 2" xfId="2091"/>
    <cellStyle name="20% - Accent5 23 2 2" xfId="2092"/>
    <cellStyle name="20% - Accent5 23 2 2 2" xfId="2093"/>
    <cellStyle name="20% - Accent5 23 2 3" xfId="2094"/>
    <cellStyle name="20% - Accent5 23 3" xfId="2095"/>
    <cellStyle name="20% - Accent5 23 3 2" xfId="2096"/>
    <cellStyle name="20% - Accent5 23 3 2 2" xfId="2097"/>
    <cellStyle name="20% - Accent5 23 3 3" xfId="2098"/>
    <cellStyle name="20% - Accent5 23 4" xfId="2099"/>
    <cellStyle name="20% - Accent5 23 4 2" xfId="2100"/>
    <cellStyle name="20% - Accent5 23 5" xfId="2101"/>
    <cellStyle name="20% - Accent5 24" xfId="2102"/>
    <cellStyle name="20% - Accent5 24 2" xfId="2103"/>
    <cellStyle name="20% - Accent5 24 2 2" xfId="2104"/>
    <cellStyle name="20% - Accent5 24 2 2 2" xfId="2105"/>
    <cellStyle name="20% - Accent5 24 2 3" xfId="2106"/>
    <cellStyle name="20% - Accent5 24 3" xfId="2107"/>
    <cellStyle name="20% - Accent5 24 3 2" xfId="2108"/>
    <cellStyle name="20% - Accent5 24 3 2 2" xfId="2109"/>
    <cellStyle name="20% - Accent5 24 3 3" xfId="2110"/>
    <cellStyle name="20% - Accent5 24 4" xfId="2111"/>
    <cellStyle name="20% - Accent5 24 4 2" xfId="2112"/>
    <cellStyle name="20% - Accent5 24 5" xfId="2113"/>
    <cellStyle name="20% - Accent5 25" xfId="2114"/>
    <cellStyle name="20% - Accent5 25 2" xfId="2115"/>
    <cellStyle name="20% - Accent5 25 2 2" xfId="2116"/>
    <cellStyle name="20% - Accent5 25 2 2 2" xfId="2117"/>
    <cellStyle name="20% - Accent5 25 2 3" xfId="2118"/>
    <cellStyle name="20% - Accent5 25 3" xfId="2119"/>
    <cellStyle name="20% - Accent5 25 3 2" xfId="2120"/>
    <cellStyle name="20% - Accent5 25 3 2 2" xfId="2121"/>
    <cellStyle name="20% - Accent5 25 3 3" xfId="2122"/>
    <cellStyle name="20% - Accent5 25 4" xfId="2123"/>
    <cellStyle name="20% - Accent5 25 4 2" xfId="2124"/>
    <cellStyle name="20% - Accent5 25 5" xfId="2125"/>
    <cellStyle name="20% - Accent5 26" xfId="2126"/>
    <cellStyle name="20% - Accent5 26 2" xfId="2127"/>
    <cellStyle name="20% - Accent5 26 2 2" xfId="2128"/>
    <cellStyle name="20% - Accent5 26 2 2 2" xfId="2129"/>
    <cellStyle name="20% - Accent5 26 2 3" xfId="2130"/>
    <cellStyle name="20% - Accent5 26 3" xfId="2131"/>
    <cellStyle name="20% - Accent5 26 3 2" xfId="2132"/>
    <cellStyle name="20% - Accent5 26 3 2 2" xfId="2133"/>
    <cellStyle name="20% - Accent5 26 3 3" xfId="2134"/>
    <cellStyle name="20% - Accent5 26 4" xfId="2135"/>
    <cellStyle name="20% - Accent5 26 4 2" xfId="2136"/>
    <cellStyle name="20% - Accent5 26 5" xfId="2137"/>
    <cellStyle name="20% - Accent5 27" xfId="2138"/>
    <cellStyle name="20% - Accent5 27 2" xfId="2139"/>
    <cellStyle name="20% - Accent5 27 2 2" xfId="2140"/>
    <cellStyle name="20% - Accent5 27 2 2 2" xfId="2141"/>
    <cellStyle name="20% - Accent5 27 2 3" xfId="2142"/>
    <cellStyle name="20% - Accent5 27 3" xfId="2143"/>
    <cellStyle name="20% - Accent5 27 3 2" xfId="2144"/>
    <cellStyle name="20% - Accent5 27 3 2 2" xfId="2145"/>
    <cellStyle name="20% - Accent5 27 3 3" xfId="2146"/>
    <cellStyle name="20% - Accent5 27 4" xfId="2147"/>
    <cellStyle name="20% - Accent5 27 4 2" xfId="2148"/>
    <cellStyle name="20% - Accent5 27 5" xfId="2149"/>
    <cellStyle name="20% - Accent5 28" xfId="2150"/>
    <cellStyle name="20% - Accent5 28 2" xfId="2151"/>
    <cellStyle name="20% - Accent5 28 2 2" xfId="2152"/>
    <cellStyle name="20% - Accent5 28 2 2 2" xfId="2153"/>
    <cellStyle name="20% - Accent5 28 2 3" xfId="2154"/>
    <cellStyle name="20% - Accent5 28 3" xfId="2155"/>
    <cellStyle name="20% - Accent5 28 3 2" xfId="2156"/>
    <cellStyle name="20% - Accent5 28 3 2 2" xfId="2157"/>
    <cellStyle name="20% - Accent5 28 3 3" xfId="2158"/>
    <cellStyle name="20% - Accent5 28 4" xfId="2159"/>
    <cellStyle name="20% - Accent5 28 4 2" xfId="2160"/>
    <cellStyle name="20% - Accent5 28 5" xfId="2161"/>
    <cellStyle name="20% - Accent5 29" xfId="2162"/>
    <cellStyle name="20% - Accent5 29 2" xfId="2163"/>
    <cellStyle name="20% - Accent5 29 2 2" xfId="2164"/>
    <cellStyle name="20% - Accent5 29 2 2 2" xfId="2165"/>
    <cellStyle name="20% - Accent5 29 2 3" xfId="2166"/>
    <cellStyle name="20% - Accent5 29 3" xfId="2167"/>
    <cellStyle name="20% - Accent5 29 3 2" xfId="2168"/>
    <cellStyle name="20% - Accent5 29 3 2 2" xfId="2169"/>
    <cellStyle name="20% - Accent5 29 3 3" xfId="2170"/>
    <cellStyle name="20% - Accent5 29 4" xfId="2171"/>
    <cellStyle name="20% - Accent5 29 4 2" xfId="2172"/>
    <cellStyle name="20% - Accent5 29 5" xfId="2173"/>
    <cellStyle name="20% - Accent5 3" xfId="2174"/>
    <cellStyle name="20% - Accent5 3 2" xfId="2175"/>
    <cellStyle name="20% - Accent5 3 2 2" xfId="2176"/>
    <cellStyle name="20% - Accent5 3 2 2 2" xfId="2177"/>
    <cellStyle name="20% - Accent5 3 2 3" xfId="2178"/>
    <cellStyle name="20% - Accent5 3 3" xfId="2179"/>
    <cellStyle name="20% - Accent5 3 3 2" xfId="2180"/>
    <cellStyle name="20% - Accent5 3 3 2 2" xfId="2181"/>
    <cellStyle name="20% - Accent5 3 3 3" xfId="2182"/>
    <cellStyle name="20% - Accent5 3 4" xfId="2183"/>
    <cellStyle name="20% - Accent5 3 4 2" xfId="2184"/>
    <cellStyle name="20% - Accent5 3 5" xfId="2185"/>
    <cellStyle name="20% - Accent5 30" xfId="2186"/>
    <cellStyle name="20% - Accent5 30 2" xfId="2187"/>
    <cellStyle name="20% - Accent5 30 2 2" xfId="2188"/>
    <cellStyle name="20% - Accent5 30 2 2 2" xfId="2189"/>
    <cellStyle name="20% - Accent5 30 2 3" xfId="2190"/>
    <cellStyle name="20% - Accent5 30 3" xfId="2191"/>
    <cellStyle name="20% - Accent5 30 3 2" xfId="2192"/>
    <cellStyle name="20% - Accent5 30 3 2 2" xfId="2193"/>
    <cellStyle name="20% - Accent5 30 3 3" xfId="2194"/>
    <cellStyle name="20% - Accent5 30 4" xfId="2195"/>
    <cellStyle name="20% - Accent5 30 4 2" xfId="2196"/>
    <cellStyle name="20% - Accent5 30 5" xfId="2197"/>
    <cellStyle name="20% - Accent5 31" xfId="2198"/>
    <cellStyle name="20% - Accent5 31 2" xfId="2199"/>
    <cellStyle name="20% - Accent5 31 2 2" xfId="2200"/>
    <cellStyle name="20% - Accent5 31 2 2 2" xfId="2201"/>
    <cellStyle name="20% - Accent5 31 2 3" xfId="2202"/>
    <cellStyle name="20% - Accent5 31 3" xfId="2203"/>
    <cellStyle name="20% - Accent5 31 3 2" xfId="2204"/>
    <cellStyle name="20% - Accent5 31 3 2 2" xfId="2205"/>
    <cellStyle name="20% - Accent5 31 3 3" xfId="2206"/>
    <cellStyle name="20% - Accent5 31 4" xfId="2207"/>
    <cellStyle name="20% - Accent5 31 4 2" xfId="2208"/>
    <cellStyle name="20% - Accent5 31 5" xfId="2209"/>
    <cellStyle name="20% - Accent5 32" xfId="2210"/>
    <cellStyle name="20% - Accent5 32 2" xfId="2211"/>
    <cellStyle name="20% - Accent5 32 2 2" xfId="2212"/>
    <cellStyle name="20% - Accent5 32 2 2 2" xfId="2213"/>
    <cellStyle name="20% - Accent5 32 2 3" xfId="2214"/>
    <cellStyle name="20% - Accent5 32 3" xfId="2215"/>
    <cellStyle name="20% - Accent5 32 3 2" xfId="2216"/>
    <cellStyle name="20% - Accent5 32 3 2 2" xfId="2217"/>
    <cellStyle name="20% - Accent5 32 3 3" xfId="2218"/>
    <cellStyle name="20% - Accent5 32 4" xfId="2219"/>
    <cellStyle name="20% - Accent5 32 4 2" xfId="2220"/>
    <cellStyle name="20% - Accent5 32 5" xfId="2221"/>
    <cellStyle name="20% - Accent5 33" xfId="2222"/>
    <cellStyle name="20% - Accent5 33 2" xfId="2223"/>
    <cellStyle name="20% - Accent5 33 2 2" xfId="2224"/>
    <cellStyle name="20% - Accent5 33 2 2 2" xfId="2225"/>
    <cellStyle name="20% - Accent5 33 2 3" xfId="2226"/>
    <cellStyle name="20% - Accent5 33 3" xfId="2227"/>
    <cellStyle name="20% - Accent5 33 3 2" xfId="2228"/>
    <cellStyle name="20% - Accent5 33 3 2 2" xfId="2229"/>
    <cellStyle name="20% - Accent5 33 3 3" xfId="2230"/>
    <cellStyle name="20% - Accent5 33 4" xfId="2231"/>
    <cellStyle name="20% - Accent5 33 4 2" xfId="2232"/>
    <cellStyle name="20% - Accent5 33 5" xfId="2233"/>
    <cellStyle name="20% - Accent5 34" xfId="2234"/>
    <cellStyle name="20% - Accent5 34 2" xfId="2235"/>
    <cellStyle name="20% - Accent5 34 2 2" xfId="2236"/>
    <cellStyle name="20% - Accent5 34 2 2 2" xfId="2237"/>
    <cellStyle name="20% - Accent5 34 2 3" xfId="2238"/>
    <cellStyle name="20% - Accent5 34 3" xfId="2239"/>
    <cellStyle name="20% - Accent5 34 3 2" xfId="2240"/>
    <cellStyle name="20% - Accent5 34 4" xfId="2241"/>
    <cellStyle name="20% - Accent5 35" xfId="2242"/>
    <cellStyle name="20% - Accent5 35 2" xfId="2243"/>
    <cellStyle name="20% - Accent5 35 2 2" xfId="2244"/>
    <cellStyle name="20% - Accent5 35 3" xfId="2245"/>
    <cellStyle name="20% - Accent5 36" xfId="2246"/>
    <cellStyle name="20% - Accent5 36 2" xfId="2247"/>
    <cellStyle name="20% - Accent5 36 2 2" xfId="2248"/>
    <cellStyle name="20% - Accent5 36 3" xfId="2249"/>
    <cellStyle name="20% - Accent5 37" xfId="2250"/>
    <cellStyle name="20% - Accent5 37 2" xfId="2251"/>
    <cellStyle name="20% - Accent5 37 2 2" xfId="2252"/>
    <cellStyle name="20% - Accent5 37 3" xfId="2253"/>
    <cellStyle name="20% - Accent5 38" xfId="2254"/>
    <cellStyle name="20% - Accent5 38 2" xfId="2255"/>
    <cellStyle name="20% - Accent5 38 2 2" xfId="2256"/>
    <cellStyle name="20% - Accent5 38 3" xfId="2257"/>
    <cellStyle name="20% - Accent5 39" xfId="2258"/>
    <cellStyle name="20% - Accent5 39 2" xfId="2259"/>
    <cellStyle name="20% - Accent5 39 2 2" xfId="2260"/>
    <cellStyle name="20% - Accent5 39 3" xfId="2261"/>
    <cellStyle name="20% - Accent5 4" xfId="2262"/>
    <cellStyle name="20% - Accent5 4 2" xfId="2263"/>
    <cellStyle name="20% - Accent5 4 2 2" xfId="2264"/>
    <cellStyle name="20% - Accent5 4 2 2 2" xfId="2265"/>
    <cellStyle name="20% - Accent5 4 2 3" xfId="2266"/>
    <cellStyle name="20% - Accent5 4 3" xfId="2267"/>
    <cellStyle name="20% - Accent5 4 3 2" xfId="2268"/>
    <cellStyle name="20% - Accent5 4 3 2 2" xfId="2269"/>
    <cellStyle name="20% - Accent5 4 3 3" xfId="2270"/>
    <cellStyle name="20% - Accent5 4 4" xfId="2271"/>
    <cellStyle name="20% - Accent5 4 4 2" xfId="2272"/>
    <cellStyle name="20% - Accent5 4 5" xfId="2273"/>
    <cellStyle name="20% - Accent5 40" xfId="2274"/>
    <cellStyle name="20% - Accent5 40 2" xfId="2275"/>
    <cellStyle name="20% - Accent5 40 2 2" xfId="2276"/>
    <cellStyle name="20% - Accent5 40 3" xfId="2277"/>
    <cellStyle name="20% - Accent5 41" xfId="2278"/>
    <cellStyle name="20% - Accent5 41 2" xfId="2279"/>
    <cellStyle name="20% - Accent5 41 2 2" xfId="2280"/>
    <cellStyle name="20% - Accent5 41 3" xfId="2281"/>
    <cellStyle name="20% - Accent5 42" xfId="2282"/>
    <cellStyle name="20% - Accent5 42 2" xfId="2283"/>
    <cellStyle name="20% - Accent5 42 2 2" xfId="2284"/>
    <cellStyle name="20% - Accent5 42 3" xfId="2285"/>
    <cellStyle name="20% - Accent5 43" xfId="2286"/>
    <cellStyle name="20% - Accent5 43 2" xfId="2287"/>
    <cellStyle name="20% - Accent5 43 2 2" xfId="2288"/>
    <cellStyle name="20% - Accent5 43 3" xfId="2289"/>
    <cellStyle name="20% - Accent5 44" xfId="2290"/>
    <cellStyle name="20% - Accent5 44 2" xfId="2291"/>
    <cellStyle name="20% - Accent5 44 2 2" xfId="2292"/>
    <cellStyle name="20% - Accent5 44 3" xfId="2293"/>
    <cellStyle name="20% - Accent5 45" xfId="2294"/>
    <cellStyle name="20% - Accent5 45 2" xfId="2295"/>
    <cellStyle name="20% - Accent5 45 2 2" xfId="2296"/>
    <cellStyle name="20% - Accent5 45 3" xfId="2297"/>
    <cellStyle name="20% - Accent5 46" xfId="2298"/>
    <cellStyle name="20% - Accent5 46 2" xfId="2299"/>
    <cellStyle name="20% - Accent5 46 2 2" xfId="2300"/>
    <cellStyle name="20% - Accent5 46 3" xfId="2301"/>
    <cellStyle name="20% - Accent5 47" xfId="2302"/>
    <cellStyle name="20% - Accent5 47 2" xfId="2303"/>
    <cellStyle name="20% - Accent5 47 2 2" xfId="2304"/>
    <cellStyle name="20% - Accent5 47 3" xfId="2305"/>
    <cellStyle name="20% - Accent5 48" xfId="2306"/>
    <cellStyle name="20% - Accent5 48 2" xfId="2307"/>
    <cellStyle name="20% - Accent5 48 2 2" xfId="2308"/>
    <cellStyle name="20% - Accent5 48 3" xfId="2309"/>
    <cellStyle name="20% - Accent5 49" xfId="2310"/>
    <cellStyle name="20% - Accent5 49 2" xfId="2311"/>
    <cellStyle name="20% - Accent5 49 2 2" xfId="2312"/>
    <cellStyle name="20% - Accent5 49 3" xfId="2313"/>
    <cellStyle name="20% - Accent5 5" xfId="2314"/>
    <cellStyle name="20% - Accent5 5 2" xfId="2315"/>
    <cellStyle name="20% - Accent5 5 2 2" xfId="2316"/>
    <cellStyle name="20% - Accent5 5 2 2 2" xfId="2317"/>
    <cellStyle name="20% - Accent5 5 2 3" xfId="2318"/>
    <cellStyle name="20% - Accent5 5 3" xfId="2319"/>
    <cellStyle name="20% - Accent5 5 3 2" xfId="2320"/>
    <cellStyle name="20% - Accent5 5 3 2 2" xfId="2321"/>
    <cellStyle name="20% - Accent5 5 3 3" xfId="2322"/>
    <cellStyle name="20% - Accent5 5 4" xfId="2323"/>
    <cellStyle name="20% - Accent5 5 4 2" xfId="2324"/>
    <cellStyle name="20% - Accent5 5 5" xfId="2325"/>
    <cellStyle name="20% - Accent5 50" xfId="2326"/>
    <cellStyle name="20% - Accent5 50 2" xfId="2327"/>
    <cellStyle name="20% - Accent5 50 2 2" xfId="2328"/>
    <cellStyle name="20% - Accent5 50 3" xfId="2329"/>
    <cellStyle name="20% - Accent5 51" xfId="2330"/>
    <cellStyle name="20% - Accent5 51 2" xfId="2331"/>
    <cellStyle name="20% - Accent5 51 2 2" xfId="2332"/>
    <cellStyle name="20% - Accent5 51 3" xfId="2333"/>
    <cellStyle name="20% - Accent5 52" xfId="2334"/>
    <cellStyle name="20% - Accent5 52 2" xfId="2335"/>
    <cellStyle name="20% - Accent5 52 2 2" xfId="2336"/>
    <cellStyle name="20% - Accent5 52 3" xfId="2337"/>
    <cellStyle name="20% - Accent5 53" xfId="2338"/>
    <cellStyle name="20% - Accent5 53 2" xfId="2339"/>
    <cellStyle name="20% - Accent5 54" xfId="2340"/>
    <cellStyle name="20% - Accent5 54 2" xfId="2341"/>
    <cellStyle name="20% - Accent5 55" xfId="2342"/>
    <cellStyle name="20% - Accent5 55 2" xfId="2343"/>
    <cellStyle name="20% - Accent5 56" xfId="2344"/>
    <cellStyle name="20% - Accent5 56 2" xfId="2345"/>
    <cellStyle name="20% - Accent5 57" xfId="2346"/>
    <cellStyle name="20% - Accent5 57 2" xfId="2347"/>
    <cellStyle name="20% - Accent5 58" xfId="2348"/>
    <cellStyle name="20% - Accent5 58 2" xfId="2349"/>
    <cellStyle name="20% - Accent5 59" xfId="2350"/>
    <cellStyle name="20% - Accent5 59 2" xfId="2351"/>
    <cellStyle name="20% - Accent5 6" xfId="2352"/>
    <cellStyle name="20% - Accent5 6 2" xfId="2353"/>
    <cellStyle name="20% - Accent5 6 2 2" xfId="2354"/>
    <cellStyle name="20% - Accent5 6 2 2 2" xfId="2355"/>
    <cellStyle name="20% - Accent5 6 2 3" xfId="2356"/>
    <cellStyle name="20% - Accent5 6 3" xfId="2357"/>
    <cellStyle name="20% - Accent5 6 3 2" xfId="2358"/>
    <cellStyle name="20% - Accent5 6 3 2 2" xfId="2359"/>
    <cellStyle name="20% - Accent5 6 3 3" xfId="2360"/>
    <cellStyle name="20% - Accent5 6 4" xfId="2361"/>
    <cellStyle name="20% - Accent5 6 4 2" xfId="2362"/>
    <cellStyle name="20% - Accent5 6 5" xfId="2363"/>
    <cellStyle name="20% - Accent5 60" xfId="2364"/>
    <cellStyle name="20% - Accent5 61" xfId="11221"/>
    <cellStyle name="20% - Accent5 7" xfId="2365"/>
    <cellStyle name="20% - Accent5 7 2" xfId="2366"/>
    <cellStyle name="20% - Accent5 7 2 2" xfId="2367"/>
    <cellStyle name="20% - Accent5 7 2 2 2" xfId="2368"/>
    <cellStyle name="20% - Accent5 7 2 3" xfId="2369"/>
    <cellStyle name="20% - Accent5 7 3" xfId="2370"/>
    <cellStyle name="20% - Accent5 7 3 2" xfId="2371"/>
    <cellStyle name="20% - Accent5 7 3 2 2" xfId="2372"/>
    <cellStyle name="20% - Accent5 7 3 3" xfId="2373"/>
    <cellStyle name="20% - Accent5 7 4" xfId="2374"/>
    <cellStyle name="20% - Accent5 7 4 2" xfId="2375"/>
    <cellStyle name="20% - Accent5 7 5" xfId="2376"/>
    <cellStyle name="20% - Accent5 8" xfId="2377"/>
    <cellStyle name="20% - Accent5 8 2" xfId="2378"/>
    <cellStyle name="20% - Accent5 8 2 2" xfId="2379"/>
    <cellStyle name="20% - Accent5 8 2 2 2" xfId="2380"/>
    <cellStyle name="20% - Accent5 8 2 3" xfId="2381"/>
    <cellStyle name="20% - Accent5 8 3" xfId="2382"/>
    <cellStyle name="20% - Accent5 8 3 2" xfId="2383"/>
    <cellStyle name="20% - Accent5 8 3 2 2" xfId="2384"/>
    <cellStyle name="20% - Accent5 8 3 3" xfId="2385"/>
    <cellStyle name="20% - Accent5 8 4" xfId="2386"/>
    <cellStyle name="20% - Accent5 8 4 2" xfId="2387"/>
    <cellStyle name="20% - Accent5 8 5" xfId="2388"/>
    <cellStyle name="20% - Accent5 9" xfId="2389"/>
    <cellStyle name="20% - Accent5 9 2" xfId="2390"/>
    <cellStyle name="20% - Accent5 9 2 2" xfId="2391"/>
    <cellStyle name="20% - Accent5 9 2 2 2" xfId="2392"/>
    <cellStyle name="20% - Accent5 9 2 3" xfId="2393"/>
    <cellStyle name="20% - Accent5 9 3" xfId="2394"/>
    <cellStyle name="20% - Accent5 9 3 2" xfId="2395"/>
    <cellStyle name="20% - Accent5 9 3 2 2" xfId="2396"/>
    <cellStyle name="20% - Accent5 9 3 3" xfId="2397"/>
    <cellStyle name="20% - Accent5 9 4" xfId="2398"/>
    <cellStyle name="20% - Accent5 9 4 2" xfId="2399"/>
    <cellStyle name="20% - Accent5 9 5" xfId="2400"/>
    <cellStyle name="20% - Accent6" xfId="2401" builtinId="50" customBuiltin="1"/>
    <cellStyle name="20% - Accent6 10" xfId="2402"/>
    <cellStyle name="20% - Accent6 10 2" xfId="2403"/>
    <cellStyle name="20% - Accent6 10 2 2" xfId="2404"/>
    <cellStyle name="20% - Accent6 10 2 2 2" xfId="2405"/>
    <cellStyle name="20% - Accent6 10 2 3" xfId="2406"/>
    <cellStyle name="20% - Accent6 10 3" xfId="2407"/>
    <cellStyle name="20% - Accent6 10 3 2" xfId="2408"/>
    <cellStyle name="20% - Accent6 10 3 2 2" xfId="2409"/>
    <cellStyle name="20% - Accent6 10 3 3" xfId="2410"/>
    <cellStyle name="20% - Accent6 10 4" xfId="2411"/>
    <cellStyle name="20% - Accent6 10 4 2" xfId="2412"/>
    <cellStyle name="20% - Accent6 10 5" xfId="2413"/>
    <cellStyle name="20% - Accent6 11" xfId="2414"/>
    <cellStyle name="20% - Accent6 11 2" xfId="2415"/>
    <cellStyle name="20% - Accent6 11 2 2" xfId="2416"/>
    <cellStyle name="20% - Accent6 11 2 2 2" xfId="2417"/>
    <cellStyle name="20% - Accent6 11 2 3" xfId="2418"/>
    <cellStyle name="20% - Accent6 11 3" xfId="2419"/>
    <cellStyle name="20% - Accent6 11 3 2" xfId="2420"/>
    <cellStyle name="20% - Accent6 11 3 2 2" xfId="2421"/>
    <cellStyle name="20% - Accent6 11 3 3" xfId="2422"/>
    <cellStyle name="20% - Accent6 11 4" xfId="2423"/>
    <cellStyle name="20% - Accent6 11 4 2" xfId="2424"/>
    <cellStyle name="20% - Accent6 11 5" xfId="2425"/>
    <cellStyle name="20% - Accent6 12" xfId="2426"/>
    <cellStyle name="20% - Accent6 12 2" xfId="2427"/>
    <cellStyle name="20% - Accent6 12 2 2" xfId="2428"/>
    <cellStyle name="20% - Accent6 12 2 2 2" xfId="2429"/>
    <cellStyle name="20% - Accent6 12 2 3" xfId="2430"/>
    <cellStyle name="20% - Accent6 12 3" xfId="2431"/>
    <cellStyle name="20% - Accent6 12 3 2" xfId="2432"/>
    <cellStyle name="20% - Accent6 12 3 2 2" xfId="2433"/>
    <cellStyle name="20% - Accent6 12 3 3" xfId="2434"/>
    <cellStyle name="20% - Accent6 12 4" xfId="2435"/>
    <cellStyle name="20% - Accent6 12 4 2" xfId="2436"/>
    <cellStyle name="20% - Accent6 12 5" xfId="2437"/>
    <cellStyle name="20% - Accent6 13" xfId="2438"/>
    <cellStyle name="20% - Accent6 13 2" xfId="2439"/>
    <cellStyle name="20% - Accent6 13 2 2" xfId="2440"/>
    <cellStyle name="20% - Accent6 13 2 2 2" xfId="2441"/>
    <cellStyle name="20% - Accent6 13 2 3" xfId="2442"/>
    <cellStyle name="20% - Accent6 13 3" xfId="2443"/>
    <cellStyle name="20% - Accent6 13 3 2" xfId="2444"/>
    <cellStyle name="20% - Accent6 13 3 2 2" xfId="2445"/>
    <cellStyle name="20% - Accent6 13 3 3" xfId="2446"/>
    <cellStyle name="20% - Accent6 13 4" xfId="2447"/>
    <cellStyle name="20% - Accent6 13 4 2" xfId="2448"/>
    <cellStyle name="20% - Accent6 13 5" xfId="2449"/>
    <cellStyle name="20% - Accent6 14" xfId="2450"/>
    <cellStyle name="20% - Accent6 14 2" xfId="2451"/>
    <cellStyle name="20% - Accent6 14 2 2" xfId="2452"/>
    <cellStyle name="20% - Accent6 14 2 2 2" xfId="2453"/>
    <cellStyle name="20% - Accent6 14 2 3" xfId="2454"/>
    <cellStyle name="20% - Accent6 14 3" xfId="2455"/>
    <cellStyle name="20% - Accent6 14 3 2" xfId="2456"/>
    <cellStyle name="20% - Accent6 14 3 2 2" xfId="2457"/>
    <cellStyle name="20% - Accent6 14 3 3" xfId="2458"/>
    <cellStyle name="20% - Accent6 14 4" xfId="2459"/>
    <cellStyle name="20% - Accent6 14 4 2" xfId="2460"/>
    <cellStyle name="20% - Accent6 14 5" xfId="2461"/>
    <cellStyle name="20% - Accent6 15" xfId="2462"/>
    <cellStyle name="20% - Accent6 15 2" xfId="2463"/>
    <cellStyle name="20% - Accent6 15 2 2" xfId="2464"/>
    <cellStyle name="20% - Accent6 15 2 2 2" xfId="2465"/>
    <cellStyle name="20% - Accent6 15 2 3" xfId="2466"/>
    <cellStyle name="20% - Accent6 15 3" xfId="2467"/>
    <cellStyle name="20% - Accent6 15 3 2" xfId="2468"/>
    <cellStyle name="20% - Accent6 15 3 2 2" xfId="2469"/>
    <cellStyle name="20% - Accent6 15 3 3" xfId="2470"/>
    <cellStyle name="20% - Accent6 15 4" xfId="2471"/>
    <cellStyle name="20% - Accent6 15 4 2" xfId="2472"/>
    <cellStyle name="20% - Accent6 15 5" xfId="2473"/>
    <cellStyle name="20% - Accent6 16" xfId="2474"/>
    <cellStyle name="20% - Accent6 16 2" xfId="2475"/>
    <cellStyle name="20% - Accent6 16 2 2" xfId="2476"/>
    <cellStyle name="20% - Accent6 16 2 2 2" xfId="2477"/>
    <cellStyle name="20% - Accent6 16 2 3" xfId="2478"/>
    <cellStyle name="20% - Accent6 16 3" xfId="2479"/>
    <cellStyle name="20% - Accent6 16 3 2" xfId="2480"/>
    <cellStyle name="20% - Accent6 16 3 2 2" xfId="2481"/>
    <cellStyle name="20% - Accent6 16 3 3" xfId="2482"/>
    <cellStyle name="20% - Accent6 16 4" xfId="2483"/>
    <cellStyle name="20% - Accent6 16 4 2" xfId="2484"/>
    <cellStyle name="20% - Accent6 16 5" xfId="2485"/>
    <cellStyle name="20% - Accent6 17" xfId="2486"/>
    <cellStyle name="20% - Accent6 17 2" xfId="2487"/>
    <cellStyle name="20% - Accent6 17 2 2" xfId="2488"/>
    <cellStyle name="20% - Accent6 17 2 2 2" xfId="2489"/>
    <cellStyle name="20% - Accent6 17 2 3" xfId="2490"/>
    <cellStyle name="20% - Accent6 17 3" xfId="2491"/>
    <cellStyle name="20% - Accent6 17 3 2" xfId="2492"/>
    <cellStyle name="20% - Accent6 17 3 2 2" xfId="2493"/>
    <cellStyle name="20% - Accent6 17 3 3" xfId="2494"/>
    <cellStyle name="20% - Accent6 17 4" xfId="2495"/>
    <cellStyle name="20% - Accent6 17 4 2" xfId="2496"/>
    <cellStyle name="20% - Accent6 17 5" xfId="2497"/>
    <cellStyle name="20% - Accent6 18" xfId="2498"/>
    <cellStyle name="20% - Accent6 18 2" xfId="2499"/>
    <cellStyle name="20% - Accent6 18 2 2" xfId="2500"/>
    <cellStyle name="20% - Accent6 18 2 2 2" xfId="2501"/>
    <cellStyle name="20% - Accent6 18 2 3" xfId="2502"/>
    <cellStyle name="20% - Accent6 18 3" xfId="2503"/>
    <cellStyle name="20% - Accent6 18 3 2" xfId="2504"/>
    <cellStyle name="20% - Accent6 18 3 2 2" xfId="2505"/>
    <cellStyle name="20% - Accent6 18 3 3" xfId="2506"/>
    <cellStyle name="20% - Accent6 18 4" xfId="2507"/>
    <cellStyle name="20% - Accent6 18 4 2" xfId="2508"/>
    <cellStyle name="20% - Accent6 18 5" xfId="2509"/>
    <cellStyle name="20% - Accent6 19" xfId="2510"/>
    <cellStyle name="20% - Accent6 19 2" xfId="2511"/>
    <cellStyle name="20% - Accent6 19 2 2" xfId="2512"/>
    <cellStyle name="20% - Accent6 19 2 2 2" xfId="2513"/>
    <cellStyle name="20% - Accent6 19 2 3" xfId="2514"/>
    <cellStyle name="20% - Accent6 19 3" xfId="2515"/>
    <cellStyle name="20% - Accent6 19 3 2" xfId="2516"/>
    <cellStyle name="20% - Accent6 19 3 2 2" xfId="2517"/>
    <cellStyle name="20% - Accent6 19 3 3" xfId="2518"/>
    <cellStyle name="20% - Accent6 19 4" xfId="2519"/>
    <cellStyle name="20% - Accent6 19 4 2" xfId="2520"/>
    <cellStyle name="20% - Accent6 19 5" xfId="2521"/>
    <cellStyle name="20% - Accent6 2" xfId="2522"/>
    <cellStyle name="20% - Accent6 2 2" xfId="2523"/>
    <cellStyle name="20% - Accent6 2 2 2" xfId="2524"/>
    <cellStyle name="20% - Accent6 2 2 2 2" xfId="2525"/>
    <cellStyle name="20% - Accent6 2 2 3" xfId="2526"/>
    <cellStyle name="20% - Accent6 2 3" xfId="2527"/>
    <cellStyle name="20% - Accent6 2 3 2" xfId="2528"/>
    <cellStyle name="20% - Accent6 2 3 2 2" xfId="2529"/>
    <cellStyle name="20% - Accent6 2 3 3" xfId="2530"/>
    <cellStyle name="20% - Accent6 2 4" xfId="2531"/>
    <cellStyle name="20% - Accent6 2 4 2" xfId="2532"/>
    <cellStyle name="20% - Accent6 2 5" xfId="2533"/>
    <cellStyle name="20% - Accent6 20" xfId="2534"/>
    <cellStyle name="20% - Accent6 20 2" xfId="2535"/>
    <cellStyle name="20% - Accent6 20 2 2" xfId="2536"/>
    <cellStyle name="20% - Accent6 20 2 2 2" xfId="2537"/>
    <cellStyle name="20% - Accent6 20 2 3" xfId="2538"/>
    <cellStyle name="20% - Accent6 20 3" xfId="2539"/>
    <cellStyle name="20% - Accent6 20 3 2" xfId="2540"/>
    <cellStyle name="20% - Accent6 20 3 2 2" xfId="2541"/>
    <cellStyle name="20% - Accent6 20 3 3" xfId="2542"/>
    <cellStyle name="20% - Accent6 20 4" xfId="2543"/>
    <cellStyle name="20% - Accent6 20 4 2" xfId="2544"/>
    <cellStyle name="20% - Accent6 20 5" xfId="2545"/>
    <cellStyle name="20% - Accent6 21" xfId="2546"/>
    <cellStyle name="20% - Accent6 21 2" xfId="2547"/>
    <cellStyle name="20% - Accent6 21 2 2" xfId="2548"/>
    <cellStyle name="20% - Accent6 21 2 2 2" xfId="2549"/>
    <cellStyle name="20% - Accent6 21 2 3" xfId="2550"/>
    <cellStyle name="20% - Accent6 21 3" xfId="2551"/>
    <cellStyle name="20% - Accent6 21 3 2" xfId="2552"/>
    <cellStyle name="20% - Accent6 21 3 2 2" xfId="2553"/>
    <cellStyle name="20% - Accent6 21 3 3" xfId="2554"/>
    <cellStyle name="20% - Accent6 21 4" xfId="2555"/>
    <cellStyle name="20% - Accent6 21 4 2" xfId="2556"/>
    <cellStyle name="20% - Accent6 21 5" xfId="2557"/>
    <cellStyle name="20% - Accent6 22" xfId="2558"/>
    <cellStyle name="20% - Accent6 22 2" xfId="2559"/>
    <cellStyle name="20% - Accent6 22 2 2" xfId="2560"/>
    <cellStyle name="20% - Accent6 22 2 2 2" xfId="2561"/>
    <cellStyle name="20% - Accent6 22 2 3" xfId="2562"/>
    <cellStyle name="20% - Accent6 22 3" xfId="2563"/>
    <cellStyle name="20% - Accent6 22 3 2" xfId="2564"/>
    <cellStyle name="20% - Accent6 22 3 2 2" xfId="2565"/>
    <cellStyle name="20% - Accent6 22 3 3" xfId="2566"/>
    <cellStyle name="20% - Accent6 22 4" xfId="2567"/>
    <cellStyle name="20% - Accent6 22 4 2" xfId="2568"/>
    <cellStyle name="20% - Accent6 22 5" xfId="2569"/>
    <cellStyle name="20% - Accent6 23" xfId="2570"/>
    <cellStyle name="20% - Accent6 23 2" xfId="2571"/>
    <cellStyle name="20% - Accent6 23 2 2" xfId="2572"/>
    <cellStyle name="20% - Accent6 23 2 2 2" xfId="2573"/>
    <cellStyle name="20% - Accent6 23 2 3" xfId="2574"/>
    <cellStyle name="20% - Accent6 23 3" xfId="2575"/>
    <cellStyle name="20% - Accent6 23 3 2" xfId="2576"/>
    <cellStyle name="20% - Accent6 23 3 2 2" xfId="2577"/>
    <cellStyle name="20% - Accent6 23 3 3" xfId="2578"/>
    <cellStyle name="20% - Accent6 23 4" xfId="2579"/>
    <cellStyle name="20% - Accent6 23 4 2" xfId="2580"/>
    <cellStyle name="20% - Accent6 23 5" xfId="2581"/>
    <cellStyle name="20% - Accent6 24" xfId="2582"/>
    <cellStyle name="20% - Accent6 24 2" xfId="2583"/>
    <cellStyle name="20% - Accent6 24 2 2" xfId="2584"/>
    <cellStyle name="20% - Accent6 24 2 2 2" xfId="2585"/>
    <cellStyle name="20% - Accent6 24 2 3" xfId="2586"/>
    <cellStyle name="20% - Accent6 24 3" xfId="2587"/>
    <cellStyle name="20% - Accent6 24 3 2" xfId="2588"/>
    <cellStyle name="20% - Accent6 24 3 2 2" xfId="2589"/>
    <cellStyle name="20% - Accent6 24 3 3" xfId="2590"/>
    <cellStyle name="20% - Accent6 24 4" xfId="2591"/>
    <cellStyle name="20% - Accent6 24 4 2" xfId="2592"/>
    <cellStyle name="20% - Accent6 24 5" xfId="2593"/>
    <cellStyle name="20% - Accent6 25" xfId="2594"/>
    <cellStyle name="20% - Accent6 25 2" xfId="2595"/>
    <cellStyle name="20% - Accent6 25 2 2" xfId="2596"/>
    <cellStyle name="20% - Accent6 25 2 2 2" xfId="2597"/>
    <cellStyle name="20% - Accent6 25 2 3" xfId="2598"/>
    <cellStyle name="20% - Accent6 25 3" xfId="2599"/>
    <cellStyle name="20% - Accent6 25 3 2" xfId="2600"/>
    <cellStyle name="20% - Accent6 25 3 2 2" xfId="2601"/>
    <cellStyle name="20% - Accent6 25 3 3" xfId="2602"/>
    <cellStyle name="20% - Accent6 25 4" xfId="2603"/>
    <cellStyle name="20% - Accent6 25 4 2" xfId="2604"/>
    <cellStyle name="20% - Accent6 25 5" xfId="2605"/>
    <cellStyle name="20% - Accent6 26" xfId="2606"/>
    <cellStyle name="20% - Accent6 26 2" xfId="2607"/>
    <cellStyle name="20% - Accent6 26 2 2" xfId="2608"/>
    <cellStyle name="20% - Accent6 26 2 2 2" xfId="2609"/>
    <cellStyle name="20% - Accent6 26 2 3" xfId="2610"/>
    <cellStyle name="20% - Accent6 26 3" xfId="2611"/>
    <cellStyle name="20% - Accent6 26 3 2" xfId="2612"/>
    <cellStyle name="20% - Accent6 26 3 2 2" xfId="2613"/>
    <cellStyle name="20% - Accent6 26 3 3" xfId="2614"/>
    <cellStyle name="20% - Accent6 26 4" xfId="2615"/>
    <cellStyle name="20% - Accent6 26 4 2" xfId="2616"/>
    <cellStyle name="20% - Accent6 26 5" xfId="2617"/>
    <cellStyle name="20% - Accent6 27" xfId="2618"/>
    <cellStyle name="20% - Accent6 27 2" xfId="2619"/>
    <cellStyle name="20% - Accent6 27 2 2" xfId="2620"/>
    <cellStyle name="20% - Accent6 27 2 2 2" xfId="2621"/>
    <cellStyle name="20% - Accent6 27 2 3" xfId="2622"/>
    <cellStyle name="20% - Accent6 27 3" xfId="2623"/>
    <cellStyle name="20% - Accent6 27 3 2" xfId="2624"/>
    <cellStyle name="20% - Accent6 27 3 2 2" xfId="2625"/>
    <cellStyle name="20% - Accent6 27 3 3" xfId="2626"/>
    <cellStyle name="20% - Accent6 27 4" xfId="2627"/>
    <cellStyle name="20% - Accent6 27 4 2" xfId="2628"/>
    <cellStyle name="20% - Accent6 27 5" xfId="2629"/>
    <cellStyle name="20% - Accent6 28" xfId="2630"/>
    <cellStyle name="20% - Accent6 28 2" xfId="2631"/>
    <cellStyle name="20% - Accent6 28 2 2" xfId="2632"/>
    <cellStyle name="20% - Accent6 28 2 2 2" xfId="2633"/>
    <cellStyle name="20% - Accent6 28 2 3" xfId="2634"/>
    <cellStyle name="20% - Accent6 28 3" xfId="2635"/>
    <cellStyle name="20% - Accent6 28 3 2" xfId="2636"/>
    <cellStyle name="20% - Accent6 28 3 2 2" xfId="2637"/>
    <cellStyle name="20% - Accent6 28 3 3" xfId="2638"/>
    <cellStyle name="20% - Accent6 28 4" xfId="2639"/>
    <cellStyle name="20% - Accent6 28 4 2" xfId="2640"/>
    <cellStyle name="20% - Accent6 28 5" xfId="2641"/>
    <cellStyle name="20% - Accent6 29" xfId="2642"/>
    <cellStyle name="20% - Accent6 29 2" xfId="2643"/>
    <cellStyle name="20% - Accent6 29 2 2" xfId="2644"/>
    <cellStyle name="20% - Accent6 29 2 2 2" xfId="2645"/>
    <cellStyle name="20% - Accent6 29 2 3" xfId="2646"/>
    <cellStyle name="20% - Accent6 29 3" xfId="2647"/>
    <cellStyle name="20% - Accent6 29 3 2" xfId="2648"/>
    <cellStyle name="20% - Accent6 29 3 2 2" xfId="2649"/>
    <cellStyle name="20% - Accent6 29 3 3" xfId="2650"/>
    <cellStyle name="20% - Accent6 29 4" xfId="2651"/>
    <cellStyle name="20% - Accent6 29 4 2" xfId="2652"/>
    <cellStyle name="20% - Accent6 29 5" xfId="2653"/>
    <cellStyle name="20% - Accent6 3" xfId="2654"/>
    <cellStyle name="20% - Accent6 3 2" xfId="2655"/>
    <cellStyle name="20% - Accent6 3 2 2" xfId="2656"/>
    <cellStyle name="20% - Accent6 3 2 2 2" xfId="2657"/>
    <cellStyle name="20% - Accent6 3 2 3" xfId="2658"/>
    <cellStyle name="20% - Accent6 3 3" xfId="2659"/>
    <cellStyle name="20% - Accent6 3 3 2" xfId="2660"/>
    <cellStyle name="20% - Accent6 3 3 2 2" xfId="2661"/>
    <cellStyle name="20% - Accent6 3 3 3" xfId="2662"/>
    <cellStyle name="20% - Accent6 3 4" xfId="2663"/>
    <cellStyle name="20% - Accent6 3 4 2" xfId="2664"/>
    <cellStyle name="20% - Accent6 3 5" xfId="2665"/>
    <cellStyle name="20% - Accent6 30" xfId="2666"/>
    <cellStyle name="20% - Accent6 30 2" xfId="2667"/>
    <cellStyle name="20% - Accent6 30 2 2" xfId="2668"/>
    <cellStyle name="20% - Accent6 30 2 2 2" xfId="2669"/>
    <cellStyle name="20% - Accent6 30 2 3" xfId="2670"/>
    <cellStyle name="20% - Accent6 30 3" xfId="2671"/>
    <cellStyle name="20% - Accent6 30 3 2" xfId="2672"/>
    <cellStyle name="20% - Accent6 30 3 2 2" xfId="2673"/>
    <cellStyle name="20% - Accent6 30 3 3" xfId="2674"/>
    <cellStyle name="20% - Accent6 30 4" xfId="2675"/>
    <cellStyle name="20% - Accent6 30 4 2" xfId="2676"/>
    <cellStyle name="20% - Accent6 30 5" xfId="2677"/>
    <cellStyle name="20% - Accent6 31" xfId="2678"/>
    <cellStyle name="20% - Accent6 31 2" xfId="2679"/>
    <cellStyle name="20% - Accent6 31 2 2" xfId="2680"/>
    <cellStyle name="20% - Accent6 31 2 2 2" xfId="2681"/>
    <cellStyle name="20% - Accent6 31 2 3" xfId="2682"/>
    <cellStyle name="20% - Accent6 31 3" xfId="2683"/>
    <cellStyle name="20% - Accent6 31 3 2" xfId="2684"/>
    <cellStyle name="20% - Accent6 31 3 2 2" xfId="2685"/>
    <cellStyle name="20% - Accent6 31 3 3" xfId="2686"/>
    <cellStyle name="20% - Accent6 31 4" xfId="2687"/>
    <cellStyle name="20% - Accent6 31 4 2" xfId="2688"/>
    <cellStyle name="20% - Accent6 31 5" xfId="2689"/>
    <cellStyle name="20% - Accent6 32" xfId="2690"/>
    <cellStyle name="20% - Accent6 32 2" xfId="2691"/>
    <cellStyle name="20% - Accent6 32 2 2" xfId="2692"/>
    <cellStyle name="20% - Accent6 32 2 2 2" xfId="2693"/>
    <cellStyle name="20% - Accent6 32 2 3" xfId="2694"/>
    <cellStyle name="20% - Accent6 32 3" xfId="2695"/>
    <cellStyle name="20% - Accent6 32 3 2" xfId="2696"/>
    <cellStyle name="20% - Accent6 32 3 2 2" xfId="2697"/>
    <cellStyle name="20% - Accent6 32 3 3" xfId="2698"/>
    <cellStyle name="20% - Accent6 32 4" xfId="2699"/>
    <cellStyle name="20% - Accent6 32 4 2" xfId="2700"/>
    <cellStyle name="20% - Accent6 32 5" xfId="2701"/>
    <cellStyle name="20% - Accent6 33" xfId="2702"/>
    <cellStyle name="20% - Accent6 33 2" xfId="2703"/>
    <cellStyle name="20% - Accent6 33 2 2" xfId="2704"/>
    <cellStyle name="20% - Accent6 33 2 2 2" xfId="2705"/>
    <cellStyle name="20% - Accent6 33 2 3" xfId="2706"/>
    <cellStyle name="20% - Accent6 33 3" xfId="2707"/>
    <cellStyle name="20% - Accent6 33 3 2" xfId="2708"/>
    <cellStyle name="20% - Accent6 33 3 2 2" xfId="2709"/>
    <cellStyle name="20% - Accent6 33 3 3" xfId="2710"/>
    <cellStyle name="20% - Accent6 33 4" xfId="2711"/>
    <cellStyle name="20% - Accent6 33 4 2" xfId="2712"/>
    <cellStyle name="20% - Accent6 33 5" xfId="2713"/>
    <cellStyle name="20% - Accent6 34" xfId="2714"/>
    <cellStyle name="20% - Accent6 34 2" xfId="2715"/>
    <cellStyle name="20% - Accent6 34 2 2" xfId="2716"/>
    <cellStyle name="20% - Accent6 34 2 2 2" xfId="2717"/>
    <cellStyle name="20% - Accent6 34 2 3" xfId="2718"/>
    <cellStyle name="20% - Accent6 34 3" xfId="2719"/>
    <cellStyle name="20% - Accent6 34 3 2" xfId="2720"/>
    <cellStyle name="20% - Accent6 34 4" xfId="2721"/>
    <cellStyle name="20% - Accent6 35" xfId="2722"/>
    <cellStyle name="20% - Accent6 35 2" xfId="2723"/>
    <cellStyle name="20% - Accent6 35 2 2" xfId="2724"/>
    <cellStyle name="20% - Accent6 35 3" xfId="2725"/>
    <cellStyle name="20% - Accent6 36" xfId="2726"/>
    <cellStyle name="20% - Accent6 36 2" xfId="2727"/>
    <cellStyle name="20% - Accent6 36 2 2" xfId="2728"/>
    <cellStyle name="20% - Accent6 36 3" xfId="2729"/>
    <cellStyle name="20% - Accent6 37" xfId="2730"/>
    <cellStyle name="20% - Accent6 37 2" xfId="2731"/>
    <cellStyle name="20% - Accent6 37 2 2" xfId="2732"/>
    <cellStyle name="20% - Accent6 37 3" xfId="2733"/>
    <cellStyle name="20% - Accent6 38" xfId="2734"/>
    <cellStyle name="20% - Accent6 38 2" xfId="2735"/>
    <cellStyle name="20% - Accent6 38 2 2" xfId="2736"/>
    <cellStyle name="20% - Accent6 38 3" xfId="2737"/>
    <cellStyle name="20% - Accent6 39" xfId="2738"/>
    <cellStyle name="20% - Accent6 39 2" xfId="2739"/>
    <cellStyle name="20% - Accent6 39 2 2" xfId="2740"/>
    <cellStyle name="20% - Accent6 39 3" xfId="2741"/>
    <cellStyle name="20% - Accent6 4" xfId="2742"/>
    <cellStyle name="20% - Accent6 4 2" xfId="2743"/>
    <cellStyle name="20% - Accent6 4 2 2" xfId="2744"/>
    <cellStyle name="20% - Accent6 4 2 2 2" xfId="2745"/>
    <cellStyle name="20% - Accent6 4 2 3" xfId="2746"/>
    <cellStyle name="20% - Accent6 4 3" xfId="2747"/>
    <cellStyle name="20% - Accent6 4 3 2" xfId="2748"/>
    <cellStyle name="20% - Accent6 4 3 2 2" xfId="2749"/>
    <cellStyle name="20% - Accent6 4 3 3" xfId="2750"/>
    <cellStyle name="20% - Accent6 4 4" xfId="2751"/>
    <cellStyle name="20% - Accent6 4 4 2" xfId="2752"/>
    <cellStyle name="20% - Accent6 4 5" xfId="2753"/>
    <cellStyle name="20% - Accent6 40" xfId="2754"/>
    <cellStyle name="20% - Accent6 40 2" xfId="2755"/>
    <cellStyle name="20% - Accent6 40 2 2" xfId="2756"/>
    <cellStyle name="20% - Accent6 40 3" xfId="2757"/>
    <cellStyle name="20% - Accent6 41" xfId="2758"/>
    <cellStyle name="20% - Accent6 41 2" xfId="2759"/>
    <cellStyle name="20% - Accent6 41 2 2" xfId="2760"/>
    <cellStyle name="20% - Accent6 41 3" xfId="2761"/>
    <cellStyle name="20% - Accent6 42" xfId="2762"/>
    <cellStyle name="20% - Accent6 42 2" xfId="2763"/>
    <cellStyle name="20% - Accent6 42 2 2" xfId="2764"/>
    <cellStyle name="20% - Accent6 42 3" xfId="2765"/>
    <cellStyle name="20% - Accent6 43" xfId="2766"/>
    <cellStyle name="20% - Accent6 43 2" xfId="2767"/>
    <cellStyle name="20% - Accent6 43 2 2" xfId="2768"/>
    <cellStyle name="20% - Accent6 43 3" xfId="2769"/>
    <cellStyle name="20% - Accent6 44" xfId="2770"/>
    <cellStyle name="20% - Accent6 44 2" xfId="2771"/>
    <cellStyle name="20% - Accent6 44 2 2" xfId="2772"/>
    <cellStyle name="20% - Accent6 44 3" xfId="2773"/>
    <cellStyle name="20% - Accent6 45" xfId="2774"/>
    <cellStyle name="20% - Accent6 45 2" xfId="2775"/>
    <cellStyle name="20% - Accent6 45 2 2" xfId="2776"/>
    <cellStyle name="20% - Accent6 45 3" xfId="2777"/>
    <cellStyle name="20% - Accent6 46" xfId="2778"/>
    <cellStyle name="20% - Accent6 46 2" xfId="2779"/>
    <cellStyle name="20% - Accent6 46 2 2" xfId="2780"/>
    <cellStyle name="20% - Accent6 46 3" xfId="2781"/>
    <cellStyle name="20% - Accent6 47" xfId="2782"/>
    <cellStyle name="20% - Accent6 47 2" xfId="2783"/>
    <cellStyle name="20% - Accent6 47 2 2" xfId="2784"/>
    <cellStyle name="20% - Accent6 47 3" xfId="2785"/>
    <cellStyle name="20% - Accent6 48" xfId="2786"/>
    <cellStyle name="20% - Accent6 48 2" xfId="2787"/>
    <cellStyle name="20% - Accent6 48 2 2" xfId="2788"/>
    <cellStyle name="20% - Accent6 48 3" xfId="2789"/>
    <cellStyle name="20% - Accent6 49" xfId="2790"/>
    <cellStyle name="20% - Accent6 49 2" xfId="2791"/>
    <cellStyle name="20% - Accent6 49 2 2" xfId="2792"/>
    <cellStyle name="20% - Accent6 49 3" xfId="2793"/>
    <cellStyle name="20% - Accent6 5" xfId="2794"/>
    <cellStyle name="20% - Accent6 5 2" xfId="2795"/>
    <cellStyle name="20% - Accent6 5 2 2" xfId="2796"/>
    <cellStyle name="20% - Accent6 5 2 2 2" xfId="2797"/>
    <cellStyle name="20% - Accent6 5 2 3" xfId="2798"/>
    <cellStyle name="20% - Accent6 5 3" xfId="2799"/>
    <cellStyle name="20% - Accent6 5 3 2" xfId="2800"/>
    <cellStyle name="20% - Accent6 5 3 2 2" xfId="2801"/>
    <cellStyle name="20% - Accent6 5 3 3" xfId="2802"/>
    <cellStyle name="20% - Accent6 5 4" xfId="2803"/>
    <cellStyle name="20% - Accent6 5 4 2" xfId="2804"/>
    <cellStyle name="20% - Accent6 5 5" xfId="2805"/>
    <cellStyle name="20% - Accent6 50" xfId="2806"/>
    <cellStyle name="20% - Accent6 50 2" xfId="2807"/>
    <cellStyle name="20% - Accent6 50 2 2" xfId="2808"/>
    <cellStyle name="20% - Accent6 50 3" xfId="2809"/>
    <cellStyle name="20% - Accent6 51" xfId="2810"/>
    <cellStyle name="20% - Accent6 51 2" xfId="2811"/>
    <cellStyle name="20% - Accent6 51 2 2" xfId="2812"/>
    <cellStyle name="20% - Accent6 51 3" xfId="2813"/>
    <cellStyle name="20% - Accent6 52" xfId="2814"/>
    <cellStyle name="20% - Accent6 52 2" xfId="2815"/>
    <cellStyle name="20% - Accent6 52 2 2" xfId="2816"/>
    <cellStyle name="20% - Accent6 52 3" xfId="2817"/>
    <cellStyle name="20% - Accent6 53" xfId="2818"/>
    <cellStyle name="20% - Accent6 53 2" xfId="2819"/>
    <cellStyle name="20% - Accent6 54" xfId="2820"/>
    <cellStyle name="20% - Accent6 54 2" xfId="2821"/>
    <cellStyle name="20% - Accent6 55" xfId="2822"/>
    <cellStyle name="20% - Accent6 55 2" xfId="2823"/>
    <cellStyle name="20% - Accent6 56" xfId="2824"/>
    <cellStyle name="20% - Accent6 56 2" xfId="2825"/>
    <cellStyle name="20% - Accent6 57" xfId="2826"/>
    <cellStyle name="20% - Accent6 57 2" xfId="2827"/>
    <cellStyle name="20% - Accent6 58" xfId="2828"/>
    <cellStyle name="20% - Accent6 58 2" xfId="2829"/>
    <cellStyle name="20% - Accent6 59" xfId="2830"/>
    <cellStyle name="20% - Accent6 59 2" xfId="2831"/>
    <cellStyle name="20% - Accent6 6" xfId="2832"/>
    <cellStyle name="20% - Accent6 6 2" xfId="2833"/>
    <cellStyle name="20% - Accent6 6 2 2" xfId="2834"/>
    <cellStyle name="20% - Accent6 6 2 2 2" xfId="2835"/>
    <cellStyle name="20% - Accent6 6 2 3" xfId="2836"/>
    <cellStyle name="20% - Accent6 6 3" xfId="2837"/>
    <cellStyle name="20% - Accent6 6 3 2" xfId="2838"/>
    <cellStyle name="20% - Accent6 6 3 2 2" xfId="2839"/>
    <cellStyle name="20% - Accent6 6 3 3" xfId="2840"/>
    <cellStyle name="20% - Accent6 6 4" xfId="2841"/>
    <cellStyle name="20% - Accent6 6 4 2" xfId="2842"/>
    <cellStyle name="20% - Accent6 6 5" xfId="2843"/>
    <cellStyle name="20% - Accent6 60" xfId="2844"/>
    <cellStyle name="20% - Accent6 61" xfId="11222"/>
    <cellStyle name="20% - Accent6 7" xfId="2845"/>
    <cellStyle name="20% - Accent6 7 2" xfId="2846"/>
    <cellStyle name="20% - Accent6 7 2 2" xfId="2847"/>
    <cellStyle name="20% - Accent6 7 2 2 2" xfId="2848"/>
    <cellStyle name="20% - Accent6 7 2 3" xfId="2849"/>
    <cellStyle name="20% - Accent6 7 3" xfId="2850"/>
    <cellStyle name="20% - Accent6 7 3 2" xfId="2851"/>
    <cellStyle name="20% - Accent6 7 3 2 2" xfId="2852"/>
    <cellStyle name="20% - Accent6 7 3 3" xfId="2853"/>
    <cellStyle name="20% - Accent6 7 4" xfId="2854"/>
    <cellStyle name="20% - Accent6 7 4 2" xfId="2855"/>
    <cellStyle name="20% - Accent6 7 5" xfId="2856"/>
    <cellStyle name="20% - Accent6 8" xfId="2857"/>
    <cellStyle name="20% - Accent6 8 2" xfId="2858"/>
    <cellStyle name="20% - Accent6 8 2 2" xfId="2859"/>
    <cellStyle name="20% - Accent6 8 2 2 2" xfId="2860"/>
    <cellStyle name="20% - Accent6 8 2 3" xfId="2861"/>
    <cellStyle name="20% - Accent6 8 3" xfId="2862"/>
    <cellStyle name="20% - Accent6 8 3 2" xfId="2863"/>
    <cellStyle name="20% - Accent6 8 3 2 2" xfId="2864"/>
    <cellStyle name="20% - Accent6 8 3 3" xfId="2865"/>
    <cellStyle name="20% - Accent6 8 4" xfId="2866"/>
    <cellStyle name="20% - Accent6 8 4 2" xfId="2867"/>
    <cellStyle name="20% - Accent6 8 5" xfId="2868"/>
    <cellStyle name="20% - Accent6 9" xfId="2869"/>
    <cellStyle name="20% - Accent6 9 2" xfId="2870"/>
    <cellStyle name="20% - Accent6 9 2 2" xfId="2871"/>
    <cellStyle name="20% - Accent6 9 2 2 2" xfId="2872"/>
    <cellStyle name="20% - Accent6 9 2 3" xfId="2873"/>
    <cellStyle name="20% - Accent6 9 3" xfId="2874"/>
    <cellStyle name="20% - Accent6 9 3 2" xfId="2875"/>
    <cellStyle name="20% - Accent6 9 3 2 2" xfId="2876"/>
    <cellStyle name="20% - Accent6 9 3 3" xfId="2877"/>
    <cellStyle name="20% - Accent6 9 4" xfId="2878"/>
    <cellStyle name="20% - Accent6 9 4 2" xfId="2879"/>
    <cellStyle name="20% - Accent6 9 5" xfId="2880"/>
    <cellStyle name="40% - Accent1" xfId="2881" builtinId="31" customBuiltin="1"/>
    <cellStyle name="40% - Accent1 10" xfId="2882"/>
    <cellStyle name="40% - Accent1 10 2" xfId="2883"/>
    <cellStyle name="40% - Accent1 10 2 2" xfId="2884"/>
    <cellStyle name="40% - Accent1 10 2 2 2" xfId="2885"/>
    <cellStyle name="40% - Accent1 10 2 3" xfId="2886"/>
    <cellStyle name="40% - Accent1 10 3" xfId="2887"/>
    <cellStyle name="40% - Accent1 10 3 2" xfId="2888"/>
    <cellStyle name="40% - Accent1 10 3 2 2" xfId="2889"/>
    <cellStyle name="40% - Accent1 10 3 3" xfId="2890"/>
    <cellStyle name="40% - Accent1 10 4" xfId="2891"/>
    <cellStyle name="40% - Accent1 10 4 2" xfId="2892"/>
    <cellStyle name="40% - Accent1 10 5" xfId="2893"/>
    <cellStyle name="40% - Accent1 11" xfId="2894"/>
    <cellStyle name="40% - Accent1 11 2" xfId="2895"/>
    <cellStyle name="40% - Accent1 11 2 2" xfId="2896"/>
    <cellStyle name="40% - Accent1 11 2 2 2" xfId="2897"/>
    <cellStyle name="40% - Accent1 11 2 3" xfId="2898"/>
    <cellStyle name="40% - Accent1 11 3" xfId="2899"/>
    <cellStyle name="40% - Accent1 11 3 2" xfId="2900"/>
    <cellStyle name="40% - Accent1 11 3 2 2" xfId="2901"/>
    <cellStyle name="40% - Accent1 11 3 3" xfId="2902"/>
    <cellStyle name="40% - Accent1 11 4" xfId="2903"/>
    <cellStyle name="40% - Accent1 11 4 2" xfId="2904"/>
    <cellStyle name="40% - Accent1 11 5" xfId="2905"/>
    <cellStyle name="40% - Accent1 12" xfId="2906"/>
    <cellStyle name="40% - Accent1 12 2" xfId="2907"/>
    <cellStyle name="40% - Accent1 12 2 2" xfId="2908"/>
    <cellStyle name="40% - Accent1 12 2 2 2" xfId="2909"/>
    <cellStyle name="40% - Accent1 12 2 3" xfId="2910"/>
    <cellStyle name="40% - Accent1 12 3" xfId="2911"/>
    <cellStyle name="40% - Accent1 12 3 2" xfId="2912"/>
    <cellStyle name="40% - Accent1 12 3 2 2" xfId="2913"/>
    <cellStyle name="40% - Accent1 12 3 3" xfId="2914"/>
    <cellStyle name="40% - Accent1 12 4" xfId="2915"/>
    <cellStyle name="40% - Accent1 12 4 2" xfId="2916"/>
    <cellStyle name="40% - Accent1 12 5" xfId="2917"/>
    <cellStyle name="40% - Accent1 13" xfId="2918"/>
    <cellStyle name="40% - Accent1 13 2" xfId="2919"/>
    <cellStyle name="40% - Accent1 13 2 2" xfId="2920"/>
    <cellStyle name="40% - Accent1 13 2 2 2" xfId="2921"/>
    <cellStyle name="40% - Accent1 13 2 3" xfId="2922"/>
    <cellStyle name="40% - Accent1 13 3" xfId="2923"/>
    <cellStyle name="40% - Accent1 13 3 2" xfId="2924"/>
    <cellStyle name="40% - Accent1 13 3 2 2" xfId="2925"/>
    <cellStyle name="40% - Accent1 13 3 3" xfId="2926"/>
    <cellStyle name="40% - Accent1 13 4" xfId="2927"/>
    <cellStyle name="40% - Accent1 13 4 2" xfId="2928"/>
    <cellStyle name="40% - Accent1 13 5" xfId="2929"/>
    <cellStyle name="40% - Accent1 14" xfId="2930"/>
    <cellStyle name="40% - Accent1 14 2" xfId="2931"/>
    <cellStyle name="40% - Accent1 14 2 2" xfId="2932"/>
    <cellStyle name="40% - Accent1 14 2 2 2" xfId="2933"/>
    <cellStyle name="40% - Accent1 14 2 3" xfId="2934"/>
    <cellStyle name="40% - Accent1 14 3" xfId="2935"/>
    <cellStyle name="40% - Accent1 14 3 2" xfId="2936"/>
    <cellStyle name="40% - Accent1 14 3 2 2" xfId="2937"/>
    <cellStyle name="40% - Accent1 14 3 3" xfId="2938"/>
    <cellStyle name="40% - Accent1 14 4" xfId="2939"/>
    <cellStyle name="40% - Accent1 14 4 2" xfId="2940"/>
    <cellStyle name="40% - Accent1 14 5" xfId="2941"/>
    <cellStyle name="40% - Accent1 15" xfId="2942"/>
    <cellStyle name="40% - Accent1 15 2" xfId="2943"/>
    <cellStyle name="40% - Accent1 15 2 2" xfId="2944"/>
    <cellStyle name="40% - Accent1 15 2 2 2" xfId="2945"/>
    <cellStyle name="40% - Accent1 15 2 3" xfId="2946"/>
    <cellStyle name="40% - Accent1 15 3" xfId="2947"/>
    <cellStyle name="40% - Accent1 15 3 2" xfId="2948"/>
    <cellStyle name="40% - Accent1 15 3 2 2" xfId="2949"/>
    <cellStyle name="40% - Accent1 15 3 3" xfId="2950"/>
    <cellStyle name="40% - Accent1 15 4" xfId="2951"/>
    <cellStyle name="40% - Accent1 15 4 2" xfId="2952"/>
    <cellStyle name="40% - Accent1 15 5" xfId="2953"/>
    <cellStyle name="40% - Accent1 16" xfId="2954"/>
    <cellStyle name="40% - Accent1 16 2" xfId="2955"/>
    <cellStyle name="40% - Accent1 16 2 2" xfId="2956"/>
    <cellStyle name="40% - Accent1 16 2 2 2" xfId="2957"/>
    <cellStyle name="40% - Accent1 16 2 3" xfId="2958"/>
    <cellStyle name="40% - Accent1 16 3" xfId="2959"/>
    <cellStyle name="40% - Accent1 16 3 2" xfId="2960"/>
    <cellStyle name="40% - Accent1 16 3 2 2" xfId="2961"/>
    <cellStyle name="40% - Accent1 16 3 3" xfId="2962"/>
    <cellStyle name="40% - Accent1 16 4" xfId="2963"/>
    <cellStyle name="40% - Accent1 16 4 2" xfId="2964"/>
    <cellStyle name="40% - Accent1 16 5" xfId="2965"/>
    <cellStyle name="40% - Accent1 17" xfId="2966"/>
    <cellStyle name="40% - Accent1 17 2" xfId="2967"/>
    <cellStyle name="40% - Accent1 17 2 2" xfId="2968"/>
    <cellStyle name="40% - Accent1 17 2 2 2" xfId="2969"/>
    <cellStyle name="40% - Accent1 17 2 3" xfId="2970"/>
    <cellStyle name="40% - Accent1 17 3" xfId="2971"/>
    <cellStyle name="40% - Accent1 17 3 2" xfId="2972"/>
    <cellStyle name="40% - Accent1 17 3 2 2" xfId="2973"/>
    <cellStyle name="40% - Accent1 17 3 3" xfId="2974"/>
    <cellStyle name="40% - Accent1 17 4" xfId="2975"/>
    <cellStyle name="40% - Accent1 17 4 2" xfId="2976"/>
    <cellStyle name="40% - Accent1 17 5" xfId="2977"/>
    <cellStyle name="40% - Accent1 18" xfId="2978"/>
    <cellStyle name="40% - Accent1 18 2" xfId="2979"/>
    <cellStyle name="40% - Accent1 18 2 2" xfId="2980"/>
    <cellStyle name="40% - Accent1 18 2 2 2" xfId="2981"/>
    <cellStyle name="40% - Accent1 18 2 3" xfId="2982"/>
    <cellStyle name="40% - Accent1 18 3" xfId="2983"/>
    <cellStyle name="40% - Accent1 18 3 2" xfId="2984"/>
    <cellStyle name="40% - Accent1 18 3 2 2" xfId="2985"/>
    <cellStyle name="40% - Accent1 18 3 3" xfId="2986"/>
    <cellStyle name="40% - Accent1 18 4" xfId="2987"/>
    <cellStyle name="40% - Accent1 18 4 2" xfId="2988"/>
    <cellStyle name="40% - Accent1 18 5" xfId="2989"/>
    <cellStyle name="40% - Accent1 19" xfId="2990"/>
    <cellStyle name="40% - Accent1 19 2" xfId="2991"/>
    <cellStyle name="40% - Accent1 19 2 2" xfId="2992"/>
    <cellStyle name="40% - Accent1 19 2 2 2" xfId="2993"/>
    <cellStyle name="40% - Accent1 19 2 3" xfId="2994"/>
    <cellStyle name="40% - Accent1 19 3" xfId="2995"/>
    <cellStyle name="40% - Accent1 19 3 2" xfId="2996"/>
    <cellStyle name="40% - Accent1 19 3 2 2" xfId="2997"/>
    <cellStyle name="40% - Accent1 19 3 3" xfId="2998"/>
    <cellStyle name="40% - Accent1 19 4" xfId="2999"/>
    <cellStyle name="40% - Accent1 19 4 2" xfId="3000"/>
    <cellStyle name="40% - Accent1 19 5" xfId="3001"/>
    <cellStyle name="40% - Accent1 2" xfId="3002"/>
    <cellStyle name="40% - Accent1 2 2" xfId="3003"/>
    <cellStyle name="40% - Accent1 2 2 2" xfId="3004"/>
    <cellStyle name="40% - Accent1 2 2 2 2" xfId="3005"/>
    <cellStyle name="40% - Accent1 2 2 3" xfId="3006"/>
    <cellStyle name="40% - Accent1 2 3" xfId="3007"/>
    <cellStyle name="40% - Accent1 2 3 2" xfId="3008"/>
    <cellStyle name="40% - Accent1 2 3 2 2" xfId="3009"/>
    <cellStyle name="40% - Accent1 2 3 3" xfId="3010"/>
    <cellStyle name="40% - Accent1 2 4" xfId="3011"/>
    <cellStyle name="40% - Accent1 2 4 2" xfId="3012"/>
    <cellStyle name="40% - Accent1 2 5" xfId="3013"/>
    <cellStyle name="40% - Accent1 20" xfId="3014"/>
    <cellStyle name="40% - Accent1 20 2" xfId="3015"/>
    <cellStyle name="40% - Accent1 20 2 2" xfId="3016"/>
    <cellStyle name="40% - Accent1 20 2 2 2" xfId="3017"/>
    <cellStyle name="40% - Accent1 20 2 3" xfId="3018"/>
    <cellStyle name="40% - Accent1 20 3" xfId="3019"/>
    <cellStyle name="40% - Accent1 20 3 2" xfId="3020"/>
    <cellStyle name="40% - Accent1 20 3 2 2" xfId="3021"/>
    <cellStyle name="40% - Accent1 20 3 3" xfId="3022"/>
    <cellStyle name="40% - Accent1 20 4" xfId="3023"/>
    <cellStyle name="40% - Accent1 20 4 2" xfId="3024"/>
    <cellStyle name="40% - Accent1 20 5" xfId="3025"/>
    <cellStyle name="40% - Accent1 21" xfId="3026"/>
    <cellStyle name="40% - Accent1 21 2" xfId="3027"/>
    <cellStyle name="40% - Accent1 21 2 2" xfId="3028"/>
    <cellStyle name="40% - Accent1 21 2 2 2" xfId="3029"/>
    <cellStyle name="40% - Accent1 21 2 3" xfId="3030"/>
    <cellStyle name="40% - Accent1 21 3" xfId="3031"/>
    <cellStyle name="40% - Accent1 21 3 2" xfId="3032"/>
    <cellStyle name="40% - Accent1 21 3 2 2" xfId="3033"/>
    <cellStyle name="40% - Accent1 21 3 3" xfId="3034"/>
    <cellStyle name="40% - Accent1 21 4" xfId="3035"/>
    <cellStyle name="40% - Accent1 21 4 2" xfId="3036"/>
    <cellStyle name="40% - Accent1 21 5" xfId="3037"/>
    <cellStyle name="40% - Accent1 22" xfId="3038"/>
    <cellStyle name="40% - Accent1 22 2" xfId="3039"/>
    <cellStyle name="40% - Accent1 22 2 2" xfId="3040"/>
    <cellStyle name="40% - Accent1 22 2 2 2" xfId="3041"/>
    <cellStyle name="40% - Accent1 22 2 3" xfId="3042"/>
    <cellStyle name="40% - Accent1 22 3" xfId="3043"/>
    <cellStyle name="40% - Accent1 22 3 2" xfId="3044"/>
    <cellStyle name="40% - Accent1 22 3 2 2" xfId="3045"/>
    <cellStyle name="40% - Accent1 22 3 3" xfId="3046"/>
    <cellStyle name="40% - Accent1 22 4" xfId="3047"/>
    <cellStyle name="40% - Accent1 22 4 2" xfId="3048"/>
    <cellStyle name="40% - Accent1 22 5" xfId="3049"/>
    <cellStyle name="40% - Accent1 23" xfId="3050"/>
    <cellStyle name="40% - Accent1 23 2" xfId="3051"/>
    <cellStyle name="40% - Accent1 23 2 2" xfId="3052"/>
    <cellStyle name="40% - Accent1 23 2 2 2" xfId="3053"/>
    <cellStyle name="40% - Accent1 23 2 3" xfId="3054"/>
    <cellStyle name="40% - Accent1 23 3" xfId="3055"/>
    <cellStyle name="40% - Accent1 23 3 2" xfId="3056"/>
    <cellStyle name="40% - Accent1 23 3 2 2" xfId="3057"/>
    <cellStyle name="40% - Accent1 23 3 3" xfId="3058"/>
    <cellStyle name="40% - Accent1 23 4" xfId="3059"/>
    <cellStyle name="40% - Accent1 23 4 2" xfId="3060"/>
    <cellStyle name="40% - Accent1 23 5" xfId="3061"/>
    <cellStyle name="40% - Accent1 24" xfId="3062"/>
    <cellStyle name="40% - Accent1 24 2" xfId="3063"/>
    <cellStyle name="40% - Accent1 24 2 2" xfId="3064"/>
    <cellStyle name="40% - Accent1 24 2 2 2" xfId="3065"/>
    <cellStyle name="40% - Accent1 24 2 3" xfId="3066"/>
    <cellStyle name="40% - Accent1 24 3" xfId="3067"/>
    <cellStyle name="40% - Accent1 24 3 2" xfId="3068"/>
    <cellStyle name="40% - Accent1 24 3 2 2" xfId="3069"/>
    <cellStyle name="40% - Accent1 24 3 3" xfId="3070"/>
    <cellStyle name="40% - Accent1 24 4" xfId="3071"/>
    <cellStyle name="40% - Accent1 24 4 2" xfId="3072"/>
    <cellStyle name="40% - Accent1 24 5" xfId="3073"/>
    <cellStyle name="40% - Accent1 25" xfId="3074"/>
    <cellStyle name="40% - Accent1 25 2" xfId="3075"/>
    <cellStyle name="40% - Accent1 25 2 2" xfId="3076"/>
    <cellStyle name="40% - Accent1 25 2 2 2" xfId="3077"/>
    <cellStyle name="40% - Accent1 25 2 3" xfId="3078"/>
    <cellStyle name="40% - Accent1 25 3" xfId="3079"/>
    <cellStyle name="40% - Accent1 25 3 2" xfId="3080"/>
    <cellStyle name="40% - Accent1 25 3 2 2" xfId="3081"/>
    <cellStyle name="40% - Accent1 25 3 3" xfId="3082"/>
    <cellStyle name="40% - Accent1 25 4" xfId="3083"/>
    <cellStyle name="40% - Accent1 25 4 2" xfId="3084"/>
    <cellStyle name="40% - Accent1 25 5" xfId="3085"/>
    <cellStyle name="40% - Accent1 26" xfId="3086"/>
    <cellStyle name="40% - Accent1 26 2" xfId="3087"/>
    <cellStyle name="40% - Accent1 26 2 2" xfId="3088"/>
    <cellStyle name="40% - Accent1 26 2 2 2" xfId="3089"/>
    <cellStyle name="40% - Accent1 26 2 3" xfId="3090"/>
    <cellStyle name="40% - Accent1 26 3" xfId="3091"/>
    <cellStyle name="40% - Accent1 26 3 2" xfId="3092"/>
    <cellStyle name="40% - Accent1 26 3 2 2" xfId="3093"/>
    <cellStyle name="40% - Accent1 26 3 3" xfId="3094"/>
    <cellStyle name="40% - Accent1 26 4" xfId="3095"/>
    <cellStyle name="40% - Accent1 26 4 2" xfId="3096"/>
    <cellStyle name="40% - Accent1 26 5" xfId="3097"/>
    <cellStyle name="40% - Accent1 27" xfId="3098"/>
    <cellStyle name="40% - Accent1 27 2" xfId="3099"/>
    <cellStyle name="40% - Accent1 27 2 2" xfId="3100"/>
    <cellStyle name="40% - Accent1 27 2 2 2" xfId="3101"/>
    <cellStyle name="40% - Accent1 27 2 3" xfId="3102"/>
    <cellStyle name="40% - Accent1 27 3" xfId="3103"/>
    <cellStyle name="40% - Accent1 27 3 2" xfId="3104"/>
    <cellStyle name="40% - Accent1 27 3 2 2" xfId="3105"/>
    <cellStyle name="40% - Accent1 27 3 3" xfId="3106"/>
    <cellStyle name="40% - Accent1 27 4" xfId="3107"/>
    <cellStyle name="40% - Accent1 27 4 2" xfId="3108"/>
    <cellStyle name="40% - Accent1 27 5" xfId="3109"/>
    <cellStyle name="40% - Accent1 28" xfId="3110"/>
    <cellStyle name="40% - Accent1 28 2" xfId="3111"/>
    <cellStyle name="40% - Accent1 28 2 2" xfId="3112"/>
    <cellStyle name="40% - Accent1 28 2 2 2" xfId="3113"/>
    <cellStyle name="40% - Accent1 28 2 3" xfId="3114"/>
    <cellStyle name="40% - Accent1 28 3" xfId="3115"/>
    <cellStyle name="40% - Accent1 28 3 2" xfId="3116"/>
    <cellStyle name="40% - Accent1 28 3 2 2" xfId="3117"/>
    <cellStyle name="40% - Accent1 28 3 3" xfId="3118"/>
    <cellStyle name="40% - Accent1 28 4" xfId="3119"/>
    <cellStyle name="40% - Accent1 28 4 2" xfId="3120"/>
    <cellStyle name="40% - Accent1 28 5" xfId="3121"/>
    <cellStyle name="40% - Accent1 29" xfId="3122"/>
    <cellStyle name="40% - Accent1 29 2" xfId="3123"/>
    <cellStyle name="40% - Accent1 29 2 2" xfId="3124"/>
    <cellStyle name="40% - Accent1 29 2 2 2" xfId="3125"/>
    <cellStyle name="40% - Accent1 29 2 3" xfId="3126"/>
    <cellStyle name="40% - Accent1 29 3" xfId="3127"/>
    <cellStyle name="40% - Accent1 29 3 2" xfId="3128"/>
    <cellStyle name="40% - Accent1 29 3 2 2" xfId="3129"/>
    <cellStyle name="40% - Accent1 29 3 3" xfId="3130"/>
    <cellStyle name="40% - Accent1 29 4" xfId="3131"/>
    <cellStyle name="40% - Accent1 29 4 2" xfId="3132"/>
    <cellStyle name="40% - Accent1 29 5" xfId="3133"/>
    <cellStyle name="40% - Accent1 3" xfId="3134"/>
    <cellStyle name="40% - Accent1 3 2" xfId="3135"/>
    <cellStyle name="40% - Accent1 3 2 2" xfId="3136"/>
    <cellStyle name="40% - Accent1 3 2 2 2" xfId="3137"/>
    <cellStyle name="40% - Accent1 3 2 3" xfId="3138"/>
    <cellStyle name="40% - Accent1 3 3" xfId="3139"/>
    <cellStyle name="40% - Accent1 3 3 2" xfId="3140"/>
    <cellStyle name="40% - Accent1 3 3 2 2" xfId="3141"/>
    <cellStyle name="40% - Accent1 3 3 3" xfId="3142"/>
    <cellStyle name="40% - Accent1 3 4" xfId="3143"/>
    <cellStyle name="40% - Accent1 3 4 2" xfId="3144"/>
    <cellStyle name="40% - Accent1 3 5" xfId="3145"/>
    <cellStyle name="40% - Accent1 30" xfId="3146"/>
    <cellStyle name="40% - Accent1 30 2" xfId="3147"/>
    <cellStyle name="40% - Accent1 30 2 2" xfId="3148"/>
    <cellStyle name="40% - Accent1 30 2 2 2" xfId="3149"/>
    <cellStyle name="40% - Accent1 30 2 3" xfId="3150"/>
    <cellStyle name="40% - Accent1 30 3" xfId="3151"/>
    <cellStyle name="40% - Accent1 30 3 2" xfId="3152"/>
    <cellStyle name="40% - Accent1 30 3 2 2" xfId="3153"/>
    <cellStyle name="40% - Accent1 30 3 3" xfId="3154"/>
    <cellStyle name="40% - Accent1 30 4" xfId="3155"/>
    <cellStyle name="40% - Accent1 30 4 2" xfId="3156"/>
    <cellStyle name="40% - Accent1 30 5" xfId="3157"/>
    <cellStyle name="40% - Accent1 31" xfId="3158"/>
    <cellStyle name="40% - Accent1 31 2" xfId="3159"/>
    <cellStyle name="40% - Accent1 31 2 2" xfId="3160"/>
    <cellStyle name="40% - Accent1 31 2 2 2" xfId="3161"/>
    <cellStyle name="40% - Accent1 31 2 3" xfId="3162"/>
    <cellStyle name="40% - Accent1 31 3" xfId="3163"/>
    <cellStyle name="40% - Accent1 31 3 2" xfId="3164"/>
    <cellStyle name="40% - Accent1 31 3 2 2" xfId="3165"/>
    <cellStyle name="40% - Accent1 31 3 3" xfId="3166"/>
    <cellStyle name="40% - Accent1 31 4" xfId="3167"/>
    <cellStyle name="40% - Accent1 31 4 2" xfId="3168"/>
    <cellStyle name="40% - Accent1 31 5" xfId="3169"/>
    <cellStyle name="40% - Accent1 32" xfId="3170"/>
    <cellStyle name="40% - Accent1 32 2" xfId="3171"/>
    <cellStyle name="40% - Accent1 32 2 2" xfId="3172"/>
    <cellStyle name="40% - Accent1 32 2 2 2" xfId="3173"/>
    <cellStyle name="40% - Accent1 32 2 3" xfId="3174"/>
    <cellStyle name="40% - Accent1 32 3" xfId="3175"/>
    <cellStyle name="40% - Accent1 32 3 2" xfId="3176"/>
    <cellStyle name="40% - Accent1 32 3 2 2" xfId="3177"/>
    <cellStyle name="40% - Accent1 32 3 3" xfId="3178"/>
    <cellStyle name="40% - Accent1 32 4" xfId="3179"/>
    <cellStyle name="40% - Accent1 32 4 2" xfId="3180"/>
    <cellStyle name="40% - Accent1 32 5" xfId="3181"/>
    <cellStyle name="40% - Accent1 33" xfId="3182"/>
    <cellStyle name="40% - Accent1 33 2" xfId="3183"/>
    <cellStyle name="40% - Accent1 33 2 2" xfId="3184"/>
    <cellStyle name="40% - Accent1 33 2 2 2" xfId="3185"/>
    <cellStyle name="40% - Accent1 33 2 3" xfId="3186"/>
    <cellStyle name="40% - Accent1 33 3" xfId="3187"/>
    <cellStyle name="40% - Accent1 33 3 2" xfId="3188"/>
    <cellStyle name="40% - Accent1 33 3 2 2" xfId="3189"/>
    <cellStyle name="40% - Accent1 33 3 3" xfId="3190"/>
    <cellStyle name="40% - Accent1 33 4" xfId="3191"/>
    <cellStyle name="40% - Accent1 33 4 2" xfId="3192"/>
    <cellStyle name="40% - Accent1 33 5" xfId="3193"/>
    <cellStyle name="40% - Accent1 34" xfId="3194"/>
    <cellStyle name="40% - Accent1 34 2" xfId="3195"/>
    <cellStyle name="40% - Accent1 34 2 2" xfId="3196"/>
    <cellStyle name="40% - Accent1 34 2 2 2" xfId="3197"/>
    <cellStyle name="40% - Accent1 34 2 3" xfId="3198"/>
    <cellStyle name="40% - Accent1 34 3" xfId="3199"/>
    <cellStyle name="40% - Accent1 34 3 2" xfId="3200"/>
    <cellStyle name="40% - Accent1 34 4" xfId="3201"/>
    <cellStyle name="40% - Accent1 35" xfId="3202"/>
    <cellStyle name="40% - Accent1 35 2" xfId="3203"/>
    <cellStyle name="40% - Accent1 35 2 2" xfId="3204"/>
    <cellStyle name="40% - Accent1 35 3" xfId="3205"/>
    <cellStyle name="40% - Accent1 36" xfId="3206"/>
    <cellStyle name="40% - Accent1 36 2" xfId="3207"/>
    <cellStyle name="40% - Accent1 36 2 2" xfId="3208"/>
    <cellStyle name="40% - Accent1 36 3" xfId="3209"/>
    <cellStyle name="40% - Accent1 37" xfId="3210"/>
    <cellStyle name="40% - Accent1 37 2" xfId="3211"/>
    <cellStyle name="40% - Accent1 37 2 2" xfId="3212"/>
    <cellStyle name="40% - Accent1 37 3" xfId="3213"/>
    <cellStyle name="40% - Accent1 38" xfId="3214"/>
    <cellStyle name="40% - Accent1 38 2" xfId="3215"/>
    <cellStyle name="40% - Accent1 38 2 2" xfId="3216"/>
    <cellStyle name="40% - Accent1 38 3" xfId="3217"/>
    <cellStyle name="40% - Accent1 39" xfId="3218"/>
    <cellStyle name="40% - Accent1 39 2" xfId="3219"/>
    <cellStyle name="40% - Accent1 39 2 2" xfId="3220"/>
    <cellStyle name="40% - Accent1 39 3" xfId="3221"/>
    <cellStyle name="40% - Accent1 4" xfId="3222"/>
    <cellStyle name="40% - Accent1 4 2" xfId="3223"/>
    <cellStyle name="40% - Accent1 4 2 2" xfId="3224"/>
    <cellStyle name="40% - Accent1 4 2 2 2" xfId="3225"/>
    <cellStyle name="40% - Accent1 4 2 3" xfId="3226"/>
    <cellStyle name="40% - Accent1 4 3" xfId="3227"/>
    <cellStyle name="40% - Accent1 4 3 2" xfId="3228"/>
    <cellStyle name="40% - Accent1 4 3 2 2" xfId="3229"/>
    <cellStyle name="40% - Accent1 4 3 3" xfId="3230"/>
    <cellStyle name="40% - Accent1 4 4" xfId="3231"/>
    <cellStyle name="40% - Accent1 4 4 2" xfId="3232"/>
    <cellStyle name="40% - Accent1 4 5" xfId="3233"/>
    <cellStyle name="40% - Accent1 40" xfId="3234"/>
    <cellStyle name="40% - Accent1 40 2" xfId="3235"/>
    <cellStyle name="40% - Accent1 40 2 2" xfId="3236"/>
    <cellStyle name="40% - Accent1 40 3" xfId="3237"/>
    <cellStyle name="40% - Accent1 41" xfId="3238"/>
    <cellStyle name="40% - Accent1 41 2" xfId="3239"/>
    <cellStyle name="40% - Accent1 41 2 2" xfId="3240"/>
    <cellStyle name="40% - Accent1 41 3" xfId="3241"/>
    <cellStyle name="40% - Accent1 42" xfId="3242"/>
    <cellStyle name="40% - Accent1 42 2" xfId="3243"/>
    <cellStyle name="40% - Accent1 42 2 2" xfId="3244"/>
    <cellStyle name="40% - Accent1 42 3" xfId="3245"/>
    <cellStyle name="40% - Accent1 43" xfId="3246"/>
    <cellStyle name="40% - Accent1 43 2" xfId="3247"/>
    <cellStyle name="40% - Accent1 43 2 2" xfId="3248"/>
    <cellStyle name="40% - Accent1 43 3" xfId="3249"/>
    <cellStyle name="40% - Accent1 44" xfId="3250"/>
    <cellStyle name="40% - Accent1 44 2" xfId="3251"/>
    <cellStyle name="40% - Accent1 44 2 2" xfId="3252"/>
    <cellStyle name="40% - Accent1 44 3" xfId="3253"/>
    <cellStyle name="40% - Accent1 45" xfId="3254"/>
    <cellStyle name="40% - Accent1 45 2" xfId="3255"/>
    <cellStyle name="40% - Accent1 45 2 2" xfId="3256"/>
    <cellStyle name="40% - Accent1 45 3" xfId="3257"/>
    <cellStyle name="40% - Accent1 46" xfId="3258"/>
    <cellStyle name="40% - Accent1 46 2" xfId="3259"/>
    <cellStyle name="40% - Accent1 46 2 2" xfId="3260"/>
    <cellStyle name="40% - Accent1 46 3" xfId="3261"/>
    <cellStyle name="40% - Accent1 47" xfId="3262"/>
    <cellStyle name="40% - Accent1 47 2" xfId="3263"/>
    <cellStyle name="40% - Accent1 47 2 2" xfId="3264"/>
    <cellStyle name="40% - Accent1 47 3" xfId="3265"/>
    <cellStyle name="40% - Accent1 48" xfId="3266"/>
    <cellStyle name="40% - Accent1 48 2" xfId="3267"/>
    <cellStyle name="40% - Accent1 48 2 2" xfId="3268"/>
    <cellStyle name="40% - Accent1 48 3" xfId="3269"/>
    <cellStyle name="40% - Accent1 49" xfId="3270"/>
    <cellStyle name="40% - Accent1 49 2" xfId="3271"/>
    <cellStyle name="40% - Accent1 49 2 2" xfId="3272"/>
    <cellStyle name="40% - Accent1 49 3" xfId="3273"/>
    <cellStyle name="40% - Accent1 5" xfId="3274"/>
    <cellStyle name="40% - Accent1 5 2" xfId="3275"/>
    <cellStyle name="40% - Accent1 5 2 2" xfId="3276"/>
    <cellStyle name="40% - Accent1 5 2 2 2" xfId="3277"/>
    <cellStyle name="40% - Accent1 5 2 3" xfId="3278"/>
    <cellStyle name="40% - Accent1 5 3" xfId="3279"/>
    <cellStyle name="40% - Accent1 5 3 2" xfId="3280"/>
    <cellStyle name="40% - Accent1 5 3 2 2" xfId="3281"/>
    <cellStyle name="40% - Accent1 5 3 3" xfId="3282"/>
    <cellStyle name="40% - Accent1 5 4" xfId="3283"/>
    <cellStyle name="40% - Accent1 5 4 2" xfId="3284"/>
    <cellStyle name="40% - Accent1 5 5" xfId="3285"/>
    <cellStyle name="40% - Accent1 50" xfId="3286"/>
    <cellStyle name="40% - Accent1 50 2" xfId="3287"/>
    <cellStyle name="40% - Accent1 50 2 2" xfId="3288"/>
    <cellStyle name="40% - Accent1 50 3" xfId="3289"/>
    <cellStyle name="40% - Accent1 51" xfId="3290"/>
    <cellStyle name="40% - Accent1 51 2" xfId="3291"/>
    <cellStyle name="40% - Accent1 51 2 2" xfId="3292"/>
    <cellStyle name="40% - Accent1 51 3" xfId="3293"/>
    <cellStyle name="40% - Accent1 52" xfId="3294"/>
    <cellStyle name="40% - Accent1 52 2" xfId="3295"/>
    <cellStyle name="40% - Accent1 52 2 2" xfId="3296"/>
    <cellStyle name="40% - Accent1 52 3" xfId="3297"/>
    <cellStyle name="40% - Accent1 53" xfId="3298"/>
    <cellStyle name="40% - Accent1 53 2" xfId="3299"/>
    <cellStyle name="40% - Accent1 54" xfId="3300"/>
    <cellStyle name="40% - Accent1 54 2" xfId="3301"/>
    <cellStyle name="40% - Accent1 55" xfId="3302"/>
    <cellStyle name="40% - Accent1 55 2" xfId="3303"/>
    <cellStyle name="40% - Accent1 56" xfId="3304"/>
    <cellStyle name="40% - Accent1 56 2" xfId="3305"/>
    <cellStyle name="40% - Accent1 57" xfId="3306"/>
    <cellStyle name="40% - Accent1 57 2" xfId="3307"/>
    <cellStyle name="40% - Accent1 58" xfId="3308"/>
    <cellStyle name="40% - Accent1 58 2" xfId="3309"/>
    <cellStyle name="40% - Accent1 59" xfId="3310"/>
    <cellStyle name="40% - Accent1 59 2" xfId="3311"/>
    <cellStyle name="40% - Accent1 6" xfId="3312"/>
    <cellStyle name="40% - Accent1 6 2" xfId="3313"/>
    <cellStyle name="40% - Accent1 6 2 2" xfId="3314"/>
    <cellStyle name="40% - Accent1 6 2 2 2" xfId="3315"/>
    <cellStyle name="40% - Accent1 6 2 3" xfId="3316"/>
    <cellStyle name="40% - Accent1 6 3" xfId="3317"/>
    <cellStyle name="40% - Accent1 6 3 2" xfId="3318"/>
    <cellStyle name="40% - Accent1 6 3 2 2" xfId="3319"/>
    <cellStyle name="40% - Accent1 6 3 3" xfId="3320"/>
    <cellStyle name="40% - Accent1 6 4" xfId="3321"/>
    <cellStyle name="40% - Accent1 6 4 2" xfId="3322"/>
    <cellStyle name="40% - Accent1 6 5" xfId="3323"/>
    <cellStyle name="40% - Accent1 60" xfId="3324"/>
    <cellStyle name="40% - Accent1 61" xfId="11223"/>
    <cellStyle name="40% - Accent1 7" xfId="3325"/>
    <cellStyle name="40% - Accent1 7 2" xfId="3326"/>
    <cellStyle name="40% - Accent1 7 2 2" xfId="3327"/>
    <cellStyle name="40% - Accent1 7 2 2 2" xfId="3328"/>
    <cellStyle name="40% - Accent1 7 2 3" xfId="3329"/>
    <cellStyle name="40% - Accent1 7 3" xfId="3330"/>
    <cellStyle name="40% - Accent1 7 3 2" xfId="3331"/>
    <cellStyle name="40% - Accent1 7 3 2 2" xfId="3332"/>
    <cellStyle name="40% - Accent1 7 3 3" xfId="3333"/>
    <cellStyle name="40% - Accent1 7 4" xfId="3334"/>
    <cellStyle name="40% - Accent1 7 4 2" xfId="3335"/>
    <cellStyle name="40% - Accent1 7 5" xfId="3336"/>
    <cellStyle name="40% - Accent1 8" xfId="3337"/>
    <cellStyle name="40% - Accent1 8 2" xfId="3338"/>
    <cellStyle name="40% - Accent1 8 2 2" xfId="3339"/>
    <cellStyle name="40% - Accent1 8 2 2 2" xfId="3340"/>
    <cellStyle name="40% - Accent1 8 2 3" xfId="3341"/>
    <cellStyle name="40% - Accent1 8 3" xfId="3342"/>
    <cellStyle name="40% - Accent1 8 3 2" xfId="3343"/>
    <cellStyle name="40% - Accent1 8 3 2 2" xfId="3344"/>
    <cellStyle name="40% - Accent1 8 3 3" xfId="3345"/>
    <cellStyle name="40% - Accent1 8 4" xfId="3346"/>
    <cellStyle name="40% - Accent1 8 4 2" xfId="3347"/>
    <cellStyle name="40% - Accent1 8 5" xfId="3348"/>
    <cellStyle name="40% - Accent1 9" xfId="3349"/>
    <cellStyle name="40% - Accent1 9 2" xfId="3350"/>
    <cellStyle name="40% - Accent1 9 2 2" xfId="3351"/>
    <cellStyle name="40% - Accent1 9 2 2 2" xfId="3352"/>
    <cellStyle name="40% - Accent1 9 2 3" xfId="3353"/>
    <cellStyle name="40% - Accent1 9 3" xfId="3354"/>
    <cellStyle name="40% - Accent1 9 3 2" xfId="3355"/>
    <cellStyle name="40% - Accent1 9 3 2 2" xfId="3356"/>
    <cellStyle name="40% - Accent1 9 3 3" xfId="3357"/>
    <cellStyle name="40% - Accent1 9 4" xfId="3358"/>
    <cellStyle name="40% - Accent1 9 4 2" xfId="3359"/>
    <cellStyle name="40% - Accent1 9 5" xfId="3360"/>
    <cellStyle name="40% - Accent2" xfId="3361" builtinId="35" customBuiltin="1"/>
    <cellStyle name="40% - Accent2 10" xfId="3362"/>
    <cellStyle name="40% - Accent2 10 2" xfId="3363"/>
    <cellStyle name="40% - Accent2 10 2 2" xfId="3364"/>
    <cellStyle name="40% - Accent2 10 2 2 2" xfId="3365"/>
    <cellStyle name="40% - Accent2 10 2 3" xfId="3366"/>
    <cellStyle name="40% - Accent2 10 3" xfId="3367"/>
    <cellStyle name="40% - Accent2 10 3 2" xfId="3368"/>
    <cellStyle name="40% - Accent2 10 3 2 2" xfId="3369"/>
    <cellStyle name="40% - Accent2 10 3 3" xfId="3370"/>
    <cellStyle name="40% - Accent2 10 4" xfId="3371"/>
    <cellStyle name="40% - Accent2 10 4 2" xfId="3372"/>
    <cellStyle name="40% - Accent2 10 5" xfId="3373"/>
    <cellStyle name="40% - Accent2 11" xfId="3374"/>
    <cellStyle name="40% - Accent2 11 2" xfId="3375"/>
    <cellStyle name="40% - Accent2 11 2 2" xfId="3376"/>
    <cellStyle name="40% - Accent2 11 2 2 2" xfId="3377"/>
    <cellStyle name="40% - Accent2 11 2 3" xfId="3378"/>
    <cellStyle name="40% - Accent2 11 3" xfId="3379"/>
    <cellStyle name="40% - Accent2 11 3 2" xfId="3380"/>
    <cellStyle name="40% - Accent2 11 3 2 2" xfId="3381"/>
    <cellStyle name="40% - Accent2 11 3 3" xfId="3382"/>
    <cellStyle name="40% - Accent2 11 4" xfId="3383"/>
    <cellStyle name="40% - Accent2 11 4 2" xfId="3384"/>
    <cellStyle name="40% - Accent2 11 5" xfId="3385"/>
    <cellStyle name="40% - Accent2 12" xfId="3386"/>
    <cellStyle name="40% - Accent2 12 2" xfId="3387"/>
    <cellStyle name="40% - Accent2 12 2 2" xfId="3388"/>
    <cellStyle name="40% - Accent2 12 2 2 2" xfId="3389"/>
    <cellStyle name="40% - Accent2 12 2 3" xfId="3390"/>
    <cellStyle name="40% - Accent2 12 3" xfId="3391"/>
    <cellStyle name="40% - Accent2 12 3 2" xfId="3392"/>
    <cellStyle name="40% - Accent2 12 3 2 2" xfId="3393"/>
    <cellStyle name="40% - Accent2 12 3 3" xfId="3394"/>
    <cellStyle name="40% - Accent2 12 4" xfId="3395"/>
    <cellStyle name="40% - Accent2 12 4 2" xfId="3396"/>
    <cellStyle name="40% - Accent2 12 5" xfId="3397"/>
    <cellStyle name="40% - Accent2 13" xfId="3398"/>
    <cellStyle name="40% - Accent2 13 2" xfId="3399"/>
    <cellStyle name="40% - Accent2 13 2 2" xfId="3400"/>
    <cellStyle name="40% - Accent2 13 2 2 2" xfId="3401"/>
    <cellStyle name="40% - Accent2 13 2 3" xfId="3402"/>
    <cellStyle name="40% - Accent2 13 3" xfId="3403"/>
    <cellStyle name="40% - Accent2 13 3 2" xfId="3404"/>
    <cellStyle name="40% - Accent2 13 3 2 2" xfId="3405"/>
    <cellStyle name="40% - Accent2 13 3 3" xfId="3406"/>
    <cellStyle name="40% - Accent2 13 4" xfId="3407"/>
    <cellStyle name="40% - Accent2 13 4 2" xfId="3408"/>
    <cellStyle name="40% - Accent2 13 5" xfId="3409"/>
    <cellStyle name="40% - Accent2 14" xfId="3410"/>
    <cellStyle name="40% - Accent2 14 2" xfId="3411"/>
    <cellStyle name="40% - Accent2 14 2 2" xfId="3412"/>
    <cellStyle name="40% - Accent2 14 2 2 2" xfId="3413"/>
    <cellStyle name="40% - Accent2 14 2 3" xfId="3414"/>
    <cellStyle name="40% - Accent2 14 3" xfId="3415"/>
    <cellStyle name="40% - Accent2 14 3 2" xfId="3416"/>
    <cellStyle name="40% - Accent2 14 3 2 2" xfId="3417"/>
    <cellStyle name="40% - Accent2 14 3 3" xfId="3418"/>
    <cellStyle name="40% - Accent2 14 4" xfId="3419"/>
    <cellStyle name="40% - Accent2 14 4 2" xfId="3420"/>
    <cellStyle name="40% - Accent2 14 5" xfId="3421"/>
    <cellStyle name="40% - Accent2 15" xfId="3422"/>
    <cellStyle name="40% - Accent2 15 2" xfId="3423"/>
    <cellStyle name="40% - Accent2 15 2 2" xfId="3424"/>
    <cellStyle name="40% - Accent2 15 2 2 2" xfId="3425"/>
    <cellStyle name="40% - Accent2 15 2 3" xfId="3426"/>
    <cellStyle name="40% - Accent2 15 3" xfId="3427"/>
    <cellStyle name="40% - Accent2 15 3 2" xfId="3428"/>
    <cellStyle name="40% - Accent2 15 3 2 2" xfId="3429"/>
    <cellStyle name="40% - Accent2 15 3 3" xfId="3430"/>
    <cellStyle name="40% - Accent2 15 4" xfId="3431"/>
    <cellStyle name="40% - Accent2 15 4 2" xfId="3432"/>
    <cellStyle name="40% - Accent2 15 5" xfId="3433"/>
    <cellStyle name="40% - Accent2 16" xfId="3434"/>
    <cellStyle name="40% - Accent2 16 2" xfId="3435"/>
    <cellStyle name="40% - Accent2 16 2 2" xfId="3436"/>
    <cellStyle name="40% - Accent2 16 2 2 2" xfId="3437"/>
    <cellStyle name="40% - Accent2 16 2 3" xfId="3438"/>
    <cellStyle name="40% - Accent2 16 3" xfId="3439"/>
    <cellStyle name="40% - Accent2 16 3 2" xfId="3440"/>
    <cellStyle name="40% - Accent2 16 3 2 2" xfId="3441"/>
    <cellStyle name="40% - Accent2 16 3 3" xfId="3442"/>
    <cellStyle name="40% - Accent2 16 4" xfId="3443"/>
    <cellStyle name="40% - Accent2 16 4 2" xfId="3444"/>
    <cellStyle name="40% - Accent2 16 5" xfId="3445"/>
    <cellStyle name="40% - Accent2 17" xfId="3446"/>
    <cellStyle name="40% - Accent2 17 2" xfId="3447"/>
    <cellStyle name="40% - Accent2 17 2 2" xfId="3448"/>
    <cellStyle name="40% - Accent2 17 2 2 2" xfId="3449"/>
    <cellStyle name="40% - Accent2 17 2 3" xfId="3450"/>
    <cellStyle name="40% - Accent2 17 3" xfId="3451"/>
    <cellStyle name="40% - Accent2 17 3 2" xfId="3452"/>
    <cellStyle name="40% - Accent2 17 3 2 2" xfId="3453"/>
    <cellStyle name="40% - Accent2 17 3 3" xfId="3454"/>
    <cellStyle name="40% - Accent2 17 4" xfId="3455"/>
    <cellStyle name="40% - Accent2 17 4 2" xfId="3456"/>
    <cellStyle name="40% - Accent2 17 5" xfId="3457"/>
    <cellStyle name="40% - Accent2 18" xfId="3458"/>
    <cellStyle name="40% - Accent2 18 2" xfId="3459"/>
    <cellStyle name="40% - Accent2 18 2 2" xfId="3460"/>
    <cellStyle name="40% - Accent2 18 2 2 2" xfId="3461"/>
    <cellStyle name="40% - Accent2 18 2 3" xfId="3462"/>
    <cellStyle name="40% - Accent2 18 3" xfId="3463"/>
    <cellStyle name="40% - Accent2 18 3 2" xfId="3464"/>
    <cellStyle name="40% - Accent2 18 3 2 2" xfId="3465"/>
    <cellStyle name="40% - Accent2 18 3 3" xfId="3466"/>
    <cellStyle name="40% - Accent2 18 4" xfId="3467"/>
    <cellStyle name="40% - Accent2 18 4 2" xfId="3468"/>
    <cellStyle name="40% - Accent2 18 5" xfId="3469"/>
    <cellStyle name="40% - Accent2 19" xfId="3470"/>
    <cellStyle name="40% - Accent2 19 2" xfId="3471"/>
    <cellStyle name="40% - Accent2 19 2 2" xfId="3472"/>
    <cellStyle name="40% - Accent2 19 2 2 2" xfId="3473"/>
    <cellStyle name="40% - Accent2 19 2 3" xfId="3474"/>
    <cellStyle name="40% - Accent2 19 3" xfId="3475"/>
    <cellStyle name="40% - Accent2 19 3 2" xfId="3476"/>
    <cellStyle name="40% - Accent2 19 3 2 2" xfId="3477"/>
    <cellStyle name="40% - Accent2 19 3 3" xfId="3478"/>
    <cellStyle name="40% - Accent2 19 4" xfId="3479"/>
    <cellStyle name="40% - Accent2 19 4 2" xfId="3480"/>
    <cellStyle name="40% - Accent2 19 5" xfId="3481"/>
    <cellStyle name="40% - Accent2 2" xfId="3482"/>
    <cellStyle name="40% - Accent2 2 2" xfId="3483"/>
    <cellStyle name="40% - Accent2 2 2 2" xfId="3484"/>
    <cellStyle name="40% - Accent2 2 2 2 2" xfId="3485"/>
    <cellStyle name="40% - Accent2 2 2 3" xfId="3486"/>
    <cellStyle name="40% - Accent2 2 3" xfId="3487"/>
    <cellStyle name="40% - Accent2 2 3 2" xfId="3488"/>
    <cellStyle name="40% - Accent2 2 3 2 2" xfId="3489"/>
    <cellStyle name="40% - Accent2 2 3 3" xfId="3490"/>
    <cellStyle name="40% - Accent2 2 4" xfId="3491"/>
    <cellStyle name="40% - Accent2 2 4 2" xfId="3492"/>
    <cellStyle name="40% - Accent2 2 5" xfId="3493"/>
    <cellStyle name="40% - Accent2 20" xfId="3494"/>
    <cellStyle name="40% - Accent2 20 2" xfId="3495"/>
    <cellStyle name="40% - Accent2 20 2 2" xfId="3496"/>
    <cellStyle name="40% - Accent2 20 2 2 2" xfId="3497"/>
    <cellStyle name="40% - Accent2 20 2 3" xfId="3498"/>
    <cellStyle name="40% - Accent2 20 3" xfId="3499"/>
    <cellStyle name="40% - Accent2 20 3 2" xfId="3500"/>
    <cellStyle name="40% - Accent2 20 3 2 2" xfId="3501"/>
    <cellStyle name="40% - Accent2 20 3 3" xfId="3502"/>
    <cellStyle name="40% - Accent2 20 4" xfId="3503"/>
    <cellStyle name="40% - Accent2 20 4 2" xfId="3504"/>
    <cellStyle name="40% - Accent2 20 5" xfId="3505"/>
    <cellStyle name="40% - Accent2 21" xfId="3506"/>
    <cellStyle name="40% - Accent2 21 2" xfId="3507"/>
    <cellStyle name="40% - Accent2 21 2 2" xfId="3508"/>
    <cellStyle name="40% - Accent2 21 2 2 2" xfId="3509"/>
    <cellStyle name="40% - Accent2 21 2 3" xfId="3510"/>
    <cellStyle name="40% - Accent2 21 3" xfId="3511"/>
    <cellStyle name="40% - Accent2 21 3 2" xfId="3512"/>
    <cellStyle name="40% - Accent2 21 3 2 2" xfId="3513"/>
    <cellStyle name="40% - Accent2 21 3 3" xfId="3514"/>
    <cellStyle name="40% - Accent2 21 4" xfId="3515"/>
    <cellStyle name="40% - Accent2 21 4 2" xfId="3516"/>
    <cellStyle name="40% - Accent2 21 5" xfId="3517"/>
    <cellStyle name="40% - Accent2 22" xfId="3518"/>
    <cellStyle name="40% - Accent2 22 2" xfId="3519"/>
    <cellStyle name="40% - Accent2 22 2 2" xfId="3520"/>
    <cellStyle name="40% - Accent2 22 2 2 2" xfId="3521"/>
    <cellStyle name="40% - Accent2 22 2 3" xfId="3522"/>
    <cellStyle name="40% - Accent2 22 3" xfId="3523"/>
    <cellStyle name="40% - Accent2 22 3 2" xfId="3524"/>
    <cellStyle name="40% - Accent2 22 3 2 2" xfId="3525"/>
    <cellStyle name="40% - Accent2 22 3 3" xfId="3526"/>
    <cellStyle name="40% - Accent2 22 4" xfId="3527"/>
    <cellStyle name="40% - Accent2 22 4 2" xfId="3528"/>
    <cellStyle name="40% - Accent2 22 5" xfId="3529"/>
    <cellStyle name="40% - Accent2 23" xfId="3530"/>
    <cellStyle name="40% - Accent2 23 2" xfId="3531"/>
    <cellStyle name="40% - Accent2 23 2 2" xfId="3532"/>
    <cellStyle name="40% - Accent2 23 2 2 2" xfId="3533"/>
    <cellStyle name="40% - Accent2 23 2 3" xfId="3534"/>
    <cellStyle name="40% - Accent2 23 3" xfId="3535"/>
    <cellStyle name="40% - Accent2 23 3 2" xfId="3536"/>
    <cellStyle name="40% - Accent2 23 3 2 2" xfId="3537"/>
    <cellStyle name="40% - Accent2 23 3 3" xfId="3538"/>
    <cellStyle name="40% - Accent2 23 4" xfId="3539"/>
    <cellStyle name="40% - Accent2 23 4 2" xfId="3540"/>
    <cellStyle name="40% - Accent2 23 5" xfId="3541"/>
    <cellStyle name="40% - Accent2 24" xfId="3542"/>
    <cellStyle name="40% - Accent2 24 2" xfId="3543"/>
    <cellStyle name="40% - Accent2 24 2 2" xfId="3544"/>
    <cellStyle name="40% - Accent2 24 2 2 2" xfId="3545"/>
    <cellStyle name="40% - Accent2 24 2 3" xfId="3546"/>
    <cellStyle name="40% - Accent2 24 3" xfId="3547"/>
    <cellStyle name="40% - Accent2 24 3 2" xfId="3548"/>
    <cellStyle name="40% - Accent2 24 3 2 2" xfId="3549"/>
    <cellStyle name="40% - Accent2 24 3 3" xfId="3550"/>
    <cellStyle name="40% - Accent2 24 4" xfId="3551"/>
    <cellStyle name="40% - Accent2 24 4 2" xfId="3552"/>
    <cellStyle name="40% - Accent2 24 5" xfId="3553"/>
    <cellStyle name="40% - Accent2 25" xfId="3554"/>
    <cellStyle name="40% - Accent2 25 2" xfId="3555"/>
    <cellStyle name="40% - Accent2 25 2 2" xfId="3556"/>
    <cellStyle name="40% - Accent2 25 2 2 2" xfId="3557"/>
    <cellStyle name="40% - Accent2 25 2 3" xfId="3558"/>
    <cellStyle name="40% - Accent2 25 3" xfId="3559"/>
    <cellStyle name="40% - Accent2 25 3 2" xfId="3560"/>
    <cellStyle name="40% - Accent2 25 3 2 2" xfId="3561"/>
    <cellStyle name="40% - Accent2 25 3 3" xfId="3562"/>
    <cellStyle name="40% - Accent2 25 4" xfId="3563"/>
    <cellStyle name="40% - Accent2 25 4 2" xfId="3564"/>
    <cellStyle name="40% - Accent2 25 5" xfId="3565"/>
    <cellStyle name="40% - Accent2 26" xfId="3566"/>
    <cellStyle name="40% - Accent2 26 2" xfId="3567"/>
    <cellStyle name="40% - Accent2 26 2 2" xfId="3568"/>
    <cellStyle name="40% - Accent2 26 2 2 2" xfId="3569"/>
    <cellStyle name="40% - Accent2 26 2 3" xfId="3570"/>
    <cellStyle name="40% - Accent2 26 3" xfId="3571"/>
    <cellStyle name="40% - Accent2 26 3 2" xfId="3572"/>
    <cellStyle name="40% - Accent2 26 3 2 2" xfId="3573"/>
    <cellStyle name="40% - Accent2 26 3 3" xfId="3574"/>
    <cellStyle name="40% - Accent2 26 4" xfId="3575"/>
    <cellStyle name="40% - Accent2 26 4 2" xfId="3576"/>
    <cellStyle name="40% - Accent2 26 5" xfId="3577"/>
    <cellStyle name="40% - Accent2 27" xfId="3578"/>
    <cellStyle name="40% - Accent2 27 2" xfId="3579"/>
    <cellStyle name="40% - Accent2 27 2 2" xfId="3580"/>
    <cellStyle name="40% - Accent2 27 2 2 2" xfId="3581"/>
    <cellStyle name="40% - Accent2 27 2 3" xfId="3582"/>
    <cellStyle name="40% - Accent2 27 3" xfId="3583"/>
    <cellStyle name="40% - Accent2 27 3 2" xfId="3584"/>
    <cellStyle name="40% - Accent2 27 3 2 2" xfId="3585"/>
    <cellStyle name="40% - Accent2 27 3 3" xfId="3586"/>
    <cellStyle name="40% - Accent2 27 4" xfId="3587"/>
    <cellStyle name="40% - Accent2 27 4 2" xfId="3588"/>
    <cellStyle name="40% - Accent2 27 5" xfId="3589"/>
    <cellStyle name="40% - Accent2 28" xfId="3590"/>
    <cellStyle name="40% - Accent2 28 2" xfId="3591"/>
    <cellStyle name="40% - Accent2 28 2 2" xfId="3592"/>
    <cellStyle name="40% - Accent2 28 2 2 2" xfId="3593"/>
    <cellStyle name="40% - Accent2 28 2 3" xfId="3594"/>
    <cellStyle name="40% - Accent2 28 3" xfId="3595"/>
    <cellStyle name="40% - Accent2 28 3 2" xfId="3596"/>
    <cellStyle name="40% - Accent2 28 3 2 2" xfId="3597"/>
    <cellStyle name="40% - Accent2 28 3 3" xfId="3598"/>
    <cellStyle name="40% - Accent2 28 4" xfId="3599"/>
    <cellStyle name="40% - Accent2 28 4 2" xfId="3600"/>
    <cellStyle name="40% - Accent2 28 5" xfId="3601"/>
    <cellStyle name="40% - Accent2 29" xfId="3602"/>
    <cellStyle name="40% - Accent2 29 2" xfId="3603"/>
    <cellStyle name="40% - Accent2 29 2 2" xfId="3604"/>
    <cellStyle name="40% - Accent2 29 2 2 2" xfId="3605"/>
    <cellStyle name="40% - Accent2 29 2 3" xfId="3606"/>
    <cellStyle name="40% - Accent2 29 3" xfId="3607"/>
    <cellStyle name="40% - Accent2 29 3 2" xfId="3608"/>
    <cellStyle name="40% - Accent2 29 3 2 2" xfId="3609"/>
    <cellStyle name="40% - Accent2 29 3 3" xfId="3610"/>
    <cellStyle name="40% - Accent2 29 4" xfId="3611"/>
    <cellStyle name="40% - Accent2 29 4 2" xfId="3612"/>
    <cellStyle name="40% - Accent2 29 5" xfId="3613"/>
    <cellStyle name="40% - Accent2 3" xfId="3614"/>
    <cellStyle name="40% - Accent2 3 2" xfId="3615"/>
    <cellStyle name="40% - Accent2 3 2 2" xfId="3616"/>
    <cellStyle name="40% - Accent2 3 2 2 2" xfId="3617"/>
    <cellStyle name="40% - Accent2 3 2 3" xfId="3618"/>
    <cellStyle name="40% - Accent2 3 3" xfId="3619"/>
    <cellStyle name="40% - Accent2 3 3 2" xfId="3620"/>
    <cellStyle name="40% - Accent2 3 3 2 2" xfId="3621"/>
    <cellStyle name="40% - Accent2 3 3 3" xfId="3622"/>
    <cellStyle name="40% - Accent2 3 4" xfId="3623"/>
    <cellStyle name="40% - Accent2 3 4 2" xfId="3624"/>
    <cellStyle name="40% - Accent2 3 5" xfId="3625"/>
    <cellStyle name="40% - Accent2 30" xfId="3626"/>
    <cellStyle name="40% - Accent2 30 2" xfId="3627"/>
    <cellStyle name="40% - Accent2 30 2 2" xfId="3628"/>
    <cellStyle name="40% - Accent2 30 2 2 2" xfId="3629"/>
    <cellStyle name="40% - Accent2 30 2 3" xfId="3630"/>
    <cellStyle name="40% - Accent2 30 3" xfId="3631"/>
    <cellStyle name="40% - Accent2 30 3 2" xfId="3632"/>
    <cellStyle name="40% - Accent2 30 3 2 2" xfId="3633"/>
    <cellStyle name="40% - Accent2 30 3 3" xfId="3634"/>
    <cellStyle name="40% - Accent2 30 4" xfId="3635"/>
    <cellStyle name="40% - Accent2 30 4 2" xfId="3636"/>
    <cellStyle name="40% - Accent2 30 5" xfId="3637"/>
    <cellStyle name="40% - Accent2 31" xfId="3638"/>
    <cellStyle name="40% - Accent2 31 2" xfId="3639"/>
    <cellStyle name="40% - Accent2 31 2 2" xfId="3640"/>
    <cellStyle name="40% - Accent2 31 2 2 2" xfId="3641"/>
    <cellStyle name="40% - Accent2 31 2 3" xfId="3642"/>
    <cellStyle name="40% - Accent2 31 3" xfId="3643"/>
    <cellStyle name="40% - Accent2 31 3 2" xfId="3644"/>
    <cellStyle name="40% - Accent2 31 3 2 2" xfId="3645"/>
    <cellStyle name="40% - Accent2 31 3 3" xfId="3646"/>
    <cellStyle name="40% - Accent2 31 4" xfId="3647"/>
    <cellStyle name="40% - Accent2 31 4 2" xfId="3648"/>
    <cellStyle name="40% - Accent2 31 5" xfId="3649"/>
    <cellStyle name="40% - Accent2 32" xfId="3650"/>
    <cellStyle name="40% - Accent2 32 2" xfId="3651"/>
    <cellStyle name="40% - Accent2 32 2 2" xfId="3652"/>
    <cellStyle name="40% - Accent2 32 2 2 2" xfId="3653"/>
    <cellStyle name="40% - Accent2 32 2 3" xfId="3654"/>
    <cellStyle name="40% - Accent2 32 3" xfId="3655"/>
    <cellStyle name="40% - Accent2 32 3 2" xfId="3656"/>
    <cellStyle name="40% - Accent2 32 3 2 2" xfId="3657"/>
    <cellStyle name="40% - Accent2 32 3 3" xfId="3658"/>
    <cellStyle name="40% - Accent2 32 4" xfId="3659"/>
    <cellStyle name="40% - Accent2 32 4 2" xfId="3660"/>
    <cellStyle name="40% - Accent2 32 5" xfId="3661"/>
    <cellStyle name="40% - Accent2 33" xfId="3662"/>
    <cellStyle name="40% - Accent2 33 2" xfId="3663"/>
    <cellStyle name="40% - Accent2 33 2 2" xfId="3664"/>
    <cellStyle name="40% - Accent2 33 2 2 2" xfId="3665"/>
    <cellStyle name="40% - Accent2 33 2 3" xfId="3666"/>
    <cellStyle name="40% - Accent2 33 3" xfId="3667"/>
    <cellStyle name="40% - Accent2 33 3 2" xfId="3668"/>
    <cellStyle name="40% - Accent2 33 3 2 2" xfId="3669"/>
    <cellStyle name="40% - Accent2 33 3 3" xfId="3670"/>
    <cellStyle name="40% - Accent2 33 4" xfId="3671"/>
    <cellStyle name="40% - Accent2 33 4 2" xfId="3672"/>
    <cellStyle name="40% - Accent2 33 5" xfId="3673"/>
    <cellStyle name="40% - Accent2 34" xfId="3674"/>
    <cellStyle name="40% - Accent2 34 2" xfId="3675"/>
    <cellStyle name="40% - Accent2 34 2 2" xfId="3676"/>
    <cellStyle name="40% - Accent2 34 2 2 2" xfId="3677"/>
    <cellStyle name="40% - Accent2 34 2 3" xfId="3678"/>
    <cellStyle name="40% - Accent2 34 3" xfId="3679"/>
    <cellStyle name="40% - Accent2 34 3 2" xfId="3680"/>
    <cellStyle name="40% - Accent2 34 4" xfId="3681"/>
    <cellStyle name="40% - Accent2 35" xfId="3682"/>
    <cellStyle name="40% - Accent2 35 2" xfId="3683"/>
    <cellStyle name="40% - Accent2 35 2 2" xfId="3684"/>
    <cellStyle name="40% - Accent2 35 3" xfId="3685"/>
    <cellStyle name="40% - Accent2 36" xfId="3686"/>
    <cellStyle name="40% - Accent2 36 2" xfId="3687"/>
    <cellStyle name="40% - Accent2 36 2 2" xfId="3688"/>
    <cellStyle name="40% - Accent2 36 3" xfId="3689"/>
    <cellStyle name="40% - Accent2 37" xfId="3690"/>
    <cellStyle name="40% - Accent2 37 2" xfId="3691"/>
    <cellStyle name="40% - Accent2 37 2 2" xfId="3692"/>
    <cellStyle name="40% - Accent2 37 3" xfId="3693"/>
    <cellStyle name="40% - Accent2 38" xfId="3694"/>
    <cellStyle name="40% - Accent2 38 2" xfId="3695"/>
    <cellStyle name="40% - Accent2 38 2 2" xfId="3696"/>
    <cellStyle name="40% - Accent2 38 3" xfId="3697"/>
    <cellStyle name="40% - Accent2 39" xfId="3698"/>
    <cellStyle name="40% - Accent2 39 2" xfId="3699"/>
    <cellStyle name="40% - Accent2 39 2 2" xfId="3700"/>
    <cellStyle name="40% - Accent2 39 3" xfId="3701"/>
    <cellStyle name="40% - Accent2 4" xfId="3702"/>
    <cellStyle name="40% - Accent2 4 2" xfId="3703"/>
    <cellStyle name="40% - Accent2 4 2 2" xfId="3704"/>
    <cellStyle name="40% - Accent2 4 2 2 2" xfId="3705"/>
    <cellStyle name="40% - Accent2 4 2 3" xfId="3706"/>
    <cellStyle name="40% - Accent2 4 3" xfId="3707"/>
    <cellStyle name="40% - Accent2 4 3 2" xfId="3708"/>
    <cellStyle name="40% - Accent2 4 3 2 2" xfId="3709"/>
    <cellStyle name="40% - Accent2 4 3 3" xfId="3710"/>
    <cellStyle name="40% - Accent2 4 4" xfId="3711"/>
    <cellStyle name="40% - Accent2 4 4 2" xfId="3712"/>
    <cellStyle name="40% - Accent2 4 5" xfId="3713"/>
    <cellStyle name="40% - Accent2 40" xfId="3714"/>
    <cellStyle name="40% - Accent2 40 2" xfId="3715"/>
    <cellStyle name="40% - Accent2 40 2 2" xfId="3716"/>
    <cellStyle name="40% - Accent2 40 3" xfId="3717"/>
    <cellStyle name="40% - Accent2 41" xfId="3718"/>
    <cellStyle name="40% - Accent2 41 2" xfId="3719"/>
    <cellStyle name="40% - Accent2 41 2 2" xfId="3720"/>
    <cellStyle name="40% - Accent2 41 3" xfId="3721"/>
    <cellStyle name="40% - Accent2 42" xfId="3722"/>
    <cellStyle name="40% - Accent2 42 2" xfId="3723"/>
    <cellStyle name="40% - Accent2 42 2 2" xfId="3724"/>
    <cellStyle name="40% - Accent2 42 3" xfId="3725"/>
    <cellStyle name="40% - Accent2 43" xfId="3726"/>
    <cellStyle name="40% - Accent2 43 2" xfId="3727"/>
    <cellStyle name="40% - Accent2 43 2 2" xfId="3728"/>
    <cellStyle name="40% - Accent2 43 3" xfId="3729"/>
    <cellStyle name="40% - Accent2 44" xfId="3730"/>
    <cellStyle name="40% - Accent2 44 2" xfId="3731"/>
    <cellStyle name="40% - Accent2 44 2 2" xfId="3732"/>
    <cellStyle name="40% - Accent2 44 3" xfId="3733"/>
    <cellStyle name="40% - Accent2 45" xfId="3734"/>
    <cellStyle name="40% - Accent2 45 2" xfId="3735"/>
    <cellStyle name="40% - Accent2 45 2 2" xfId="3736"/>
    <cellStyle name="40% - Accent2 45 3" xfId="3737"/>
    <cellStyle name="40% - Accent2 46" xfId="3738"/>
    <cellStyle name="40% - Accent2 46 2" xfId="3739"/>
    <cellStyle name="40% - Accent2 46 2 2" xfId="3740"/>
    <cellStyle name="40% - Accent2 46 3" xfId="3741"/>
    <cellStyle name="40% - Accent2 47" xfId="3742"/>
    <cellStyle name="40% - Accent2 47 2" xfId="3743"/>
    <cellStyle name="40% - Accent2 47 2 2" xfId="3744"/>
    <cellStyle name="40% - Accent2 47 3" xfId="3745"/>
    <cellStyle name="40% - Accent2 48" xfId="3746"/>
    <cellStyle name="40% - Accent2 48 2" xfId="3747"/>
    <cellStyle name="40% - Accent2 48 2 2" xfId="3748"/>
    <cellStyle name="40% - Accent2 48 3" xfId="3749"/>
    <cellStyle name="40% - Accent2 49" xfId="3750"/>
    <cellStyle name="40% - Accent2 49 2" xfId="3751"/>
    <cellStyle name="40% - Accent2 49 2 2" xfId="3752"/>
    <cellStyle name="40% - Accent2 49 3" xfId="3753"/>
    <cellStyle name="40% - Accent2 5" xfId="3754"/>
    <cellStyle name="40% - Accent2 5 2" xfId="3755"/>
    <cellStyle name="40% - Accent2 5 2 2" xfId="3756"/>
    <cellStyle name="40% - Accent2 5 2 2 2" xfId="3757"/>
    <cellStyle name="40% - Accent2 5 2 3" xfId="3758"/>
    <cellStyle name="40% - Accent2 5 3" xfId="3759"/>
    <cellStyle name="40% - Accent2 5 3 2" xfId="3760"/>
    <cellStyle name="40% - Accent2 5 3 2 2" xfId="3761"/>
    <cellStyle name="40% - Accent2 5 3 3" xfId="3762"/>
    <cellStyle name="40% - Accent2 5 4" xfId="3763"/>
    <cellStyle name="40% - Accent2 5 4 2" xfId="3764"/>
    <cellStyle name="40% - Accent2 5 5" xfId="3765"/>
    <cellStyle name="40% - Accent2 50" xfId="3766"/>
    <cellStyle name="40% - Accent2 50 2" xfId="3767"/>
    <cellStyle name="40% - Accent2 50 2 2" xfId="3768"/>
    <cellStyle name="40% - Accent2 50 3" xfId="3769"/>
    <cellStyle name="40% - Accent2 51" xfId="3770"/>
    <cellStyle name="40% - Accent2 51 2" xfId="3771"/>
    <cellStyle name="40% - Accent2 51 2 2" xfId="3772"/>
    <cellStyle name="40% - Accent2 51 3" xfId="3773"/>
    <cellStyle name="40% - Accent2 52" xfId="3774"/>
    <cellStyle name="40% - Accent2 52 2" xfId="3775"/>
    <cellStyle name="40% - Accent2 52 2 2" xfId="3776"/>
    <cellStyle name="40% - Accent2 52 3" xfId="3777"/>
    <cellStyle name="40% - Accent2 53" xfId="3778"/>
    <cellStyle name="40% - Accent2 53 2" xfId="3779"/>
    <cellStyle name="40% - Accent2 54" xfId="3780"/>
    <cellStyle name="40% - Accent2 54 2" xfId="3781"/>
    <cellStyle name="40% - Accent2 55" xfId="3782"/>
    <cellStyle name="40% - Accent2 55 2" xfId="3783"/>
    <cellStyle name="40% - Accent2 56" xfId="3784"/>
    <cellStyle name="40% - Accent2 56 2" xfId="3785"/>
    <cellStyle name="40% - Accent2 57" xfId="3786"/>
    <cellStyle name="40% - Accent2 57 2" xfId="3787"/>
    <cellStyle name="40% - Accent2 58" xfId="3788"/>
    <cellStyle name="40% - Accent2 58 2" xfId="3789"/>
    <cellStyle name="40% - Accent2 59" xfId="3790"/>
    <cellStyle name="40% - Accent2 59 2" xfId="3791"/>
    <cellStyle name="40% - Accent2 6" xfId="3792"/>
    <cellStyle name="40% - Accent2 6 2" xfId="3793"/>
    <cellStyle name="40% - Accent2 6 2 2" xfId="3794"/>
    <cellStyle name="40% - Accent2 6 2 2 2" xfId="3795"/>
    <cellStyle name="40% - Accent2 6 2 3" xfId="3796"/>
    <cellStyle name="40% - Accent2 6 3" xfId="3797"/>
    <cellStyle name="40% - Accent2 6 3 2" xfId="3798"/>
    <cellStyle name="40% - Accent2 6 3 2 2" xfId="3799"/>
    <cellStyle name="40% - Accent2 6 3 3" xfId="3800"/>
    <cellStyle name="40% - Accent2 6 4" xfId="3801"/>
    <cellStyle name="40% - Accent2 6 4 2" xfId="3802"/>
    <cellStyle name="40% - Accent2 6 5" xfId="3803"/>
    <cellStyle name="40% - Accent2 60" xfId="3804"/>
    <cellStyle name="40% - Accent2 61" xfId="11224"/>
    <cellStyle name="40% - Accent2 7" xfId="3805"/>
    <cellStyle name="40% - Accent2 7 2" xfId="3806"/>
    <cellStyle name="40% - Accent2 7 2 2" xfId="3807"/>
    <cellStyle name="40% - Accent2 7 2 2 2" xfId="3808"/>
    <cellStyle name="40% - Accent2 7 2 3" xfId="3809"/>
    <cellStyle name="40% - Accent2 7 3" xfId="3810"/>
    <cellStyle name="40% - Accent2 7 3 2" xfId="3811"/>
    <cellStyle name="40% - Accent2 7 3 2 2" xfId="3812"/>
    <cellStyle name="40% - Accent2 7 3 3" xfId="3813"/>
    <cellStyle name="40% - Accent2 7 4" xfId="3814"/>
    <cellStyle name="40% - Accent2 7 4 2" xfId="3815"/>
    <cellStyle name="40% - Accent2 7 5" xfId="3816"/>
    <cellStyle name="40% - Accent2 8" xfId="3817"/>
    <cellStyle name="40% - Accent2 8 2" xfId="3818"/>
    <cellStyle name="40% - Accent2 8 2 2" xfId="3819"/>
    <cellStyle name="40% - Accent2 8 2 2 2" xfId="3820"/>
    <cellStyle name="40% - Accent2 8 2 3" xfId="3821"/>
    <cellStyle name="40% - Accent2 8 3" xfId="3822"/>
    <cellStyle name="40% - Accent2 8 3 2" xfId="3823"/>
    <cellStyle name="40% - Accent2 8 3 2 2" xfId="3824"/>
    <cellStyle name="40% - Accent2 8 3 3" xfId="3825"/>
    <cellStyle name="40% - Accent2 8 4" xfId="3826"/>
    <cellStyle name="40% - Accent2 8 4 2" xfId="3827"/>
    <cellStyle name="40% - Accent2 8 5" xfId="3828"/>
    <cellStyle name="40% - Accent2 9" xfId="3829"/>
    <cellStyle name="40% - Accent2 9 2" xfId="3830"/>
    <cellStyle name="40% - Accent2 9 2 2" xfId="3831"/>
    <cellStyle name="40% - Accent2 9 2 2 2" xfId="3832"/>
    <cellStyle name="40% - Accent2 9 2 3" xfId="3833"/>
    <cellStyle name="40% - Accent2 9 3" xfId="3834"/>
    <cellStyle name="40% - Accent2 9 3 2" xfId="3835"/>
    <cellStyle name="40% - Accent2 9 3 2 2" xfId="3836"/>
    <cellStyle name="40% - Accent2 9 3 3" xfId="3837"/>
    <cellStyle name="40% - Accent2 9 4" xfId="3838"/>
    <cellStyle name="40% - Accent2 9 4 2" xfId="3839"/>
    <cellStyle name="40% - Accent2 9 5" xfId="3840"/>
    <cellStyle name="40% - Accent3" xfId="3841" builtinId="39" customBuiltin="1"/>
    <cellStyle name="40% - Accent3 10" xfId="3842"/>
    <cellStyle name="40% - Accent3 10 2" xfId="3843"/>
    <cellStyle name="40% - Accent3 10 2 2" xfId="3844"/>
    <cellStyle name="40% - Accent3 10 2 2 2" xfId="3845"/>
    <cellStyle name="40% - Accent3 10 2 3" xfId="3846"/>
    <cellStyle name="40% - Accent3 10 3" xfId="3847"/>
    <cellStyle name="40% - Accent3 10 3 2" xfId="3848"/>
    <cellStyle name="40% - Accent3 10 3 2 2" xfId="3849"/>
    <cellStyle name="40% - Accent3 10 3 3" xfId="3850"/>
    <cellStyle name="40% - Accent3 10 4" xfId="3851"/>
    <cellStyle name="40% - Accent3 10 4 2" xfId="3852"/>
    <cellStyle name="40% - Accent3 10 5" xfId="3853"/>
    <cellStyle name="40% - Accent3 11" xfId="3854"/>
    <cellStyle name="40% - Accent3 11 2" xfId="3855"/>
    <cellStyle name="40% - Accent3 11 2 2" xfId="3856"/>
    <cellStyle name="40% - Accent3 11 2 2 2" xfId="3857"/>
    <cellStyle name="40% - Accent3 11 2 3" xfId="3858"/>
    <cellStyle name="40% - Accent3 11 3" xfId="3859"/>
    <cellStyle name="40% - Accent3 11 3 2" xfId="3860"/>
    <cellStyle name="40% - Accent3 11 3 2 2" xfId="3861"/>
    <cellStyle name="40% - Accent3 11 3 3" xfId="3862"/>
    <cellStyle name="40% - Accent3 11 4" xfId="3863"/>
    <cellStyle name="40% - Accent3 11 4 2" xfId="3864"/>
    <cellStyle name="40% - Accent3 11 5" xfId="3865"/>
    <cellStyle name="40% - Accent3 12" xfId="3866"/>
    <cellStyle name="40% - Accent3 12 2" xfId="3867"/>
    <cellStyle name="40% - Accent3 12 2 2" xfId="3868"/>
    <cellStyle name="40% - Accent3 12 2 2 2" xfId="3869"/>
    <cellStyle name="40% - Accent3 12 2 3" xfId="3870"/>
    <cellStyle name="40% - Accent3 12 3" xfId="3871"/>
    <cellStyle name="40% - Accent3 12 3 2" xfId="3872"/>
    <cellStyle name="40% - Accent3 12 3 2 2" xfId="3873"/>
    <cellStyle name="40% - Accent3 12 3 3" xfId="3874"/>
    <cellStyle name="40% - Accent3 12 4" xfId="3875"/>
    <cellStyle name="40% - Accent3 12 4 2" xfId="3876"/>
    <cellStyle name="40% - Accent3 12 5" xfId="3877"/>
    <cellStyle name="40% - Accent3 13" xfId="3878"/>
    <cellStyle name="40% - Accent3 13 2" xfId="3879"/>
    <cellStyle name="40% - Accent3 13 2 2" xfId="3880"/>
    <cellStyle name="40% - Accent3 13 2 2 2" xfId="3881"/>
    <cellStyle name="40% - Accent3 13 2 3" xfId="3882"/>
    <cellStyle name="40% - Accent3 13 3" xfId="3883"/>
    <cellStyle name="40% - Accent3 13 3 2" xfId="3884"/>
    <cellStyle name="40% - Accent3 13 3 2 2" xfId="3885"/>
    <cellStyle name="40% - Accent3 13 3 3" xfId="3886"/>
    <cellStyle name="40% - Accent3 13 4" xfId="3887"/>
    <cellStyle name="40% - Accent3 13 4 2" xfId="3888"/>
    <cellStyle name="40% - Accent3 13 5" xfId="3889"/>
    <cellStyle name="40% - Accent3 14" xfId="3890"/>
    <cellStyle name="40% - Accent3 14 2" xfId="3891"/>
    <cellStyle name="40% - Accent3 14 2 2" xfId="3892"/>
    <cellStyle name="40% - Accent3 14 2 2 2" xfId="3893"/>
    <cellStyle name="40% - Accent3 14 2 3" xfId="3894"/>
    <cellStyle name="40% - Accent3 14 3" xfId="3895"/>
    <cellStyle name="40% - Accent3 14 3 2" xfId="3896"/>
    <cellStyle name="40% - Accent3 14 3 2 2" xfId="3897"/>
    <cellStyle name="40% - Accent3 14 3 3" xfId="3898"/>
    <cellStyle name="40% - Accent3 14 4" xfId="3899"/>
    <cellStyle name="40% - Accent3 14 4 2" xfId="3900"/>
    <cellStyle name="40% - Accent3 14 5" xfId="3901"/>
    <cellStyle name="40% - Accent3 15" xfId="3902"/>
    <cellStyle name="40% - Accent3 15 2" xfId="3903"/>
    <cellStyle name="40% - Accent3 15 2 2" xfId="3904"/>
    <cellStyle name="40% - Accent3 15 2 2 2" xfId="3905"/>
    <cellStyle name="40% - Accent3 15 2 3" xfId="3906"/>
    <cellStyle name="40% - Accent3 15 3" xfId="3907"/>
    <cellStyle name="40% - Accent3 15 3 2" xfId="3908"/>
    <cellStyle name="40% - Accent3 15 3 2 2" xfId="3909"/>
    <cellStyle name="40% - Accent3 15 3 3" xfId="3910"/>
    <cellStyle name="40% - Accent3 15 4" xfId="3911"/>
    <cellStyle name="40% - Accent3 15 4 2" xfId="3912"/>
    <cellStyle name="40% - Accent3 15 5" xfId="3913"/>
    <cellStyle name="40% - Accent3 16" xfId="3914"/>
    <cellStyle name="40% - Accent3 16 2" xfId="3915"/>
    <cellStyle name="40% - Accent3 16 2 2" xfId="3916"/>
    <cellStyle name="40% - Accent3 16 2 2 2" xfId="3917"/>
    <cellStyle name="40% - Accent3 16 2 3" xfId="3918"/>
    <cellStyle name="40% - Accent3 16 3" xfId="3919"/>
    <cellStyle name="40% - Accent3 16 3 2" xfId="3920"/>
    <cellStyle name="40% - Accent3 16 3 2 2" xfId="3921"/>
    <cellStyle name="40% - Accent3 16 3 3" xfId="3922"/>
    <cellStyle name="40% - Accent3 16 4" xfId="3923"/>
    <cellStyle name="40% - Accent3 16 4 2" xfId="3924"/>
    <cellStyle name="40% - Accent3 16 5" xfId="3925"/>
    <cellStyle name="40% - Accent3 17" xfId="3926"/>
    <cellStyle name="40% - Accent3 17 2" xfId="3927"/>
    <cellStyle name="40% - Accent3 17 2 2" xfId="3928"/>
    <cellStyle name="40% - Accent3 17 2 2 2" xfId="3929"/>
    <cellStyle name="40% - Accent3 17 2 3" xfId="3930"/>
    <cellStyle name="40% - Accent3 17 3" xfId="3931"/>
    <cellStyle name="40% - Accent3 17 3 2" xfId="3932"/>
    <cellStyle name="40% - Accent3 17 3 2 2" xfId="3933"/>
    <cellStyle name="40% - Accent3 17 3 3" xfId="3934"/>
    <cellStyle name="40% - Accent3 17 4" xfId="3935"/>
    <cellStyle name="40% - Accent3 17 4 2" xfId="3936"/>
    <cellStyle name="40% - Accent3 17 5" xfId="3937"/>
    <cellStyle name="40% - Accent3 18" xfId="3938"/>
    <cellStyle name="40% - Accent3 18 2" xfId="3939"/>
    <cellStyle name="40% - Accent3 18 2 2" xfId="3940"/>
    <cellStyle name="40% - Accent3 18 2 2 2" xfId="3941"/>
    <cellStyle name="40% - Accent3 18 2 3" xfId="3942"/>
    <cellStyle name="40% - Accent3 18 3" xfId="3943"/>
    <cellStyle name="40% - Accent3 18 3 2" xfId="3944"/>
    <cellStyle name="40% - Accent3 18 3 2 2" xfId="3945"/>
    <cellStyle name="40% - Accent3 18 3 3" xfId="3946"/>
    <cellStyle name="40% - Accent3 18 4" xfId="3947"/>
    <cellStyle name="40% - Accent3 18 4 2" xfId="3948"/>
    <cellStyle name="40% - Accent3 18 5" xfId="3949"/>
    <cellStyle name="40% - Accent3 19" xfId="3950"/>
    <cellStyle name="40% - Accent3 19 2" xfId="3951"/>
    <cellStyle name="40% - Accent3 19 2 2" xfId="3952"/>
    <cellStyle name="40% - Accent3 19 2 2 2" xfId="3953"/>
    <cellStyle name="40% - Accent3 19 2 3" xfId="3954"/>
    <cellStyle name="40% - Accent3 19 3" xfId="3955"/>
    <cellStyle name="40% - Accent3 19 3 2" xfId="3956"/>
    <cellStyle name="40% - Accent3 19 3 2 2" xfId="3957"/>
    <cellStyle name="40% - Accent3 19 3 3" xfId="3958"/>
    <cellStyle name="40% - Accent3 19 4" xfId="3959"/>
    <cellStyle name="40% - Accent3 19 4 2" xfId="3960"/>
    <cellStyle name="40% - Accent3 19 5" xfId="3961"/>
    <cellStyle name="40% - Accent3 2" xfId="3962"/>
    <cellStyle name="40% - Accent3 2 2" xfId="3963"/>
    <cellStyle name="40% - Accent3 2 2 2" xfId="3964"/>
    <cellStyle name="40% - Accent3 2 2 2 2" xfId="3965"/>
    <cellStyle name="40% - Accent3 2 2 3" xfId="3966"/>
    <cellStyle name="40% - Accent3 2 3" xfId="3967"/>
    <cellStyle name="40% - Accent3 2 3 2" xfId="3968"/>
    <cellStyle name="40% - Accent3 2 3 2 2" xfId="3969"/>
    <cellStyle name="40% - Accent3 2 3 3" xfId="3970"/>
    <cellStyle name="40% - Accent3 2 4" xfId="3971"/>
    <cellStyle name="40% - Accent3 2 4 2" xfId="3972"/>
    <cellStyle name="40% - Accent3 2 5" xfId="3973"/>
    <cellStyle name="40% - Accent3 20" xfId="3974"/>
    <cellStyle name="40% - Accent3 20 2" xfId="3975"/>
    <cellStyle name="40% - Accent3 20 2 2" xfId="3976"/>
    <cellStyle name="40% - Accent3 20 2 2 2" xfId="3977"/>
    <cellStyle name="40% - Accent3 20 2 3" xfId="3978"/>
    <cellStyle name="40% - Accent3 20 3" xfId="3979"/>
    <cellStyle name="40% - Accent3 20 3 2" xfId="3980"/>
    <cellStyle name="40% - Accent3 20 3 2 2" xfId="3981"/>
    <cellStyle name="40% - Accent3 20 3 3" xfId="3982"/>
    <cellStyle name="40% - Accent3 20 4" xfId="3983"/>
    <cellStyle name="40% - Accent3 20 4 2" xfId="3984"/>
    <cellStyle name="40% - Accent3 20 5" xfId="3985"/>
    <cellStyle name="40% - Accent3 21" xfId="3986"/>
    <cellStyle name="40% - Accent3 21 2" xfId="3987"/>
    <cellStyle name="40% - Accent3 21 2 2" xfId="3988"/>
    <cellStyle name="40% - Accent3 21 2 2 2" xfId="3989"/>
    <cellStyle name="40% - Accent3 21 2 3" xfId="3990"/>
    <cellStyle name="40% - Accent3 21 3" xfId="3991"/>
    <cellStyle name="40% - Accent3 21 3 2" xfId="3992"/>
    <cellStyle name="40% - Accent3 21 3 2 2" xfId="3993"/>
    <cellStyle name="40% - Accent3 21 3 3" xfId="3994"/>
    <cellStyle name="40% - Accent3 21 4" xfId="3995"/>
    <cellStyle name="40% - Accent3 21 4 2" xfId="3996"/>
    <cellStyle name="40% - Accent3 21 5" xfId="3997"/>
    <cellStyle name="40% - Accent3 22" xfId="3998"/>
    <cellStyle name="40% - Accent3 22 2" xfId="3999"/>
    <cellStyle name="40% - Accent3 22 2 2" xfId="4000"/>
    <cellStyle name="40% - Accent3 22 2 2 2" xfId="4001"/>
    <cellStyle name="40% - Accent3 22 2 3" xfId="4002"/>
    <cellStyle name="40% - Accent3 22 3" xfId="4003"/>
    <cellStyle name="40% - Accent3 22 3 2" xfId="4004"/>
    <cellStyle name="40% - Accent3 22 3 2 2" xfId="4005"/>
    <cellStyle name="40% - Accent3 22 3 3" xfId="4006"/>
    <cellStyle name="40% - Accent3 22 4" xfId="4007"/>
    <cellStyle name="40% - Accent3 22 4 2" xfId="4008"/>
    <cellStyle name="40% - Accent3 22 5" xfId="4009"/>
    <cellStyle name="40% - Accent3 23" xfId="4010"/>
    <cellStyle name="40% - Accent3 23 2" xfId="4011"/>
    <cellStyle name="40% - Accent3 23 2 2" xfId="4012"/>
    <cellStyle name="40% - Accent3 23 2 2 2" xfId="4013"/>
    <cellStyle name="40% - Accent3 23 2 3" xfId="4014"/>
    <cellStyle name="40% - Accent3 23 3" xfId="4015"/>
    <cellStyle name="40% - Accent3 23 3 2" xfId="4016"/>
    <cellStyle name="40% - Accent3 23 3 2 2" xfId="4017"/>
    <cellStyle name="40% - Accent3 23 3 3" xfId="4018"/>
    <cellStyle name="40% - Accent3 23 4" xfId="4019"/>
    <cellStyle name="40% - Accent3 23 4 2" xfId="4020"/>
    <cellStyle name="40% - Accent3 23 5" xfId="4021"/>
    <cellStyle name="40% - Accent3 24" xfId="4022"/>
    <cellStyle name="40% - Accent3 24 2" xfId="4023"/>
    <cellStyle name="40% - Accent3 24 2 2" xfId="4024"/>
    <cellStyle name="40% - Accent3 24 2 2 2" xfId="4025"/>
    <cellStyle name="40% - Accent3 24 2 3" xfId="4026"/>
    <cellStyle name="40% - Accent3 24 3" xfId="4027"/>
    <cellStyle name="40% - Accent3 24 3 2" xfId="4028"/>
    <cellStyle name="40% - Accent3 24 3 2 2" xfId="4029"/>
    <cellStyle name="40% - Accent3 24 3 3" xfId="4030"/>
    <cellStyle name="40% - Accent3 24 4" xfId="4031"/>
    <cellStyle name="40% - Accent3 24 4 2" xfId="4032"/>
    <cellStyle name="40% - Accent3 24 5" xfId="4033"/>
    <cellStyle name="40% - Accent3 25" xfId="4034"/>
    <cellStyle name="40% - Accent3 25 2" xfId="4035"/>
    <cellStyle name="40% - Accent3 25 2 2" xfId="4036"/>
    <cellStyle name="40% - Accent3 25 2 2 2" xfId="4037"/>
    <cellStyle name="40% - Accent3 25 2 2 2 2" xfId="7628"/>
    <cellStyle name="40% - Accent3 25 2 2 3" xfId="7627"/>
    <cellStyle name="40% - Accent3 25 2 3" xfId="4038"/>
    <cellStyle name="40% - Accent3 25 2 3 2" xfId="7629"/>
    <cellStyle name="40% - Accent3 25 2 4" xfId="7626"/>
    <cellStyle name="40% - Accent3 25 3" xfId="4039"/>
    <cellStyle name="40% - Accent3 25 3 2" xfId="4040"/>
    <cellStyle name="40% - Accent3 25 3 2 2" xfId="4041"/>
    <cellStyle name="40% - Accent3 25 3 2 2 2" xfId="7632"/>
    <cellStyle name="40% - Accent3 25 3 2 3" xfId="7631"/>
    <cellStyle name="40% - Accent3 25 3 3" xfId="4042"/>
    <cellStyle name="40% - Accent3 25 3 3 2" xfId="7633"/>
    <cellStyle name="40% - Accent3 25 3 4" xfId="7630"/>
    <cellStyle name="40% - Accent3 25 4" xfId="4043"/>
    <cellStyle name="40% - Accent3 25 4 2" xfId="4044"/>
    <cellStyle name="40% - Accent3 25 4 2 2" xfId="7635"/>
    <cellStyle name="40% - Accent3 25 4 3" xfId="7634"/>
    <cellStyle name="40% - Accent3 25 5" xfId="4045"/>
    <cellStyle name="40% - Accent3 25 5 2" xfId="7636"/>
    <cellStyle name="40% - Accent3 26" xfId="4046"/>
    <cellStyle name="40% - Accent3 26 2" xfId="4047"/>
    <cellStyle name="40% - Accent3 26 2 2" xfId="4048"/>
    <cellStyle name="40% - Accent3 26 2 2 2" xfId="4049"/>
    <cellStyle name="40% - Accent3 26 2 2 2 2" xfId="7640"/>
    <cellStyle name="40% - Accent3 26 2 2 3" xfId="7639"/>
    <cellStyle name="40% - Accent3 26 2 3" xfId="4050"/>
    <cellStyle name="40% - Accent3 26 2 3 2" xfId="7641"/>
    <cellStyle name="40% - Accent3 26 2 4" xfId="7638"/>
    <cellStyle name="40% - Accent3 26 3" xfId="4051"/>
    <cellStyle name="40% - Accent3 26 3 2" xfId="4052"/>
    <cellStyle name="40% - Accent3 26 3 2 2" xfId="4053"/>
    <cellStyle name="40% - Accent3 26 3 2 2 2" xfId="7644"/>
    <cellStyle name="40% - Accent3 26 3 2 3" xfId="7643"/>
    <cellStyle name="40% - Accent3 26 3 3" xfId="4054"/>
    <cellStyle name="40% - Accent3 26 3 3 2" xfId="7645"/>
    <cellStyle name="40% - Accent3 26 3 4" xfId="7642"/>
    <cellStyle name="40% - Accent3 26 4" xfId="4055"/>
    <cellStyle name="40% - Accent3 26 4 2" xfId="4056"/>
    <cellStyle name="40% - Accent3 26 4 2 2" xfId="7647"/>
    <cellStyle name="40% - Accent3 26 4 3" xfId="7646"/>
    <cellStyle name="40% - Accent3 26 5" xfId="4057"/>
    <cellStyle name="40% - Accent3 26 5 2" xfId="7648"/>
    <cellStyle name="40% - Accent3 26 6" xfId="7637"/>
    <cellStyle name="40% - Accent3 27" xfId="4058"/>
    <cellStyle name="40% - Accent3 27 2" xfId="4059"/>
    <cellStyle name="40% - Accent3 27 2 2" xfId="4060"/>
    <cellStyle name="40% - Accent3 27 2 2 2" xfId="4061"/>
    <cellStyle name="40% - Accent3 27 2 2 2 2" xfId="7652"/>
    <cellStyle name="40% - Accent3 27 2 2 3" xfId="7651"/>
    <cellStyle name="40% - Accent3 27 2 3" xfId="4062"/>
    <cellStyle name="40% - Accent3 27 2 3 2" xfId="7653"/>
    <cellStyle name="40% - Accent3 27 2 4" xfId="7650"/>
    <cellStyle name="40% - Accent3 27 3" xfId="4063"/>
    <cellStyle name="40% - Accent3 27 3 2" xfId="4064"/>
    <cellStyle name="40% - Accent3 27 3 2 2" xfId="4065"/>
    <cellStyle name="40% - Accent3 27 3 2 2 2" xfId="7656"/>
    <cellStyle name="40% - Accent3 27 3 2 3" xfId="7655"/>
    <cellStyle name="40% - Accent3 27 3 3" xfId="4066"/>
    <cellStyle name="40% - Accent3 27 3 3 2" xfId="7657"/>
    <cellStyle name="40% - Accent3 27 3 4" xfId="7654"/>
    <cellStyle name="40% - Accent3 27 4" xfId="4067"/>
    <cellStyle name="40% - Accent3 27 4 2" xfId="4068"/>
    <cellStyle name="40% - Accent3 27 4 2 2" xfId="7659"/>
    <cellStyle name="40% - Accent3 27 4 3" xfId="7658"/>
    <cellStyle name="40% - Accent3 27 5" xfId="4069"/>
    <cellStyle name="40% - Accent3 27 5 2" xfId="7660"/>
    <cellStyle name="40% - Accent3 27 6" xfId="7649"/>
    <cellStyle name="40% - Accent3 28" xfId="4070"/>
    <cellStyle name="40% - Accent3 28 2" xfId="4071"/>
    <cellStyle name="40% - Accent3 28 2 2" xfId="4072"/>
    <cellStyle name="40% - Accent3 28 2 2 2" xfId="4073"/>
    <cellStyle name="40% - Accent3 28 2 2 2 2" xfId="7664"/>
    <cellStyle name="40% - Accent3 28 2 2 3" xfId="7663"/>
    <cellStyle name="40% - Accent3 28 2 3" xfId="4074"/>
    <cellStyle name="40% - Accent3 28 2 3 2" xfId="7665"/>
    <cellStyle name="40% - Accent3 28 2 4" xfId="7662"/>
    <cellStyle name="40% - Accent3 28 3" xfId="4075"/>
    <cellStyle name="40% - Accent3 28 3 2" xfId="4076"/>
    <cellStyle name="40% - Accent3 28 3 2 2" xfId="4077"/>
    <cellStyle name="40% - Accent3 28 3 2 2 2" xfId="7668"/>
    <cellStyle name="40% - Accent3 28 3 2 3" xfId="7667"/>
    <cellStyle name="40% - Accent3 28 3 3" xfId="4078"/>
    <cellStyle name="40% - Accent3 28 3 3 2" xfId="7669"/>
    <cellStyle name="40% - Accent3 28 3 4" xfId="7666"/>
    <cellStyle name="40% - Accent3 28 4" xfId="4079"/>
    <cellStyle name="40% - Accent3 28 4 2" xfId="4080"/>
    <cellStyle name="40% - Accent3 28 4 2 2" xfId="7671"/>
    <cellStyle name="40% - Accent3 28 4 3" xfId="7670"/>
    <cellStyle name="40% - Accent3 28 5" xfId="4081"/>
    <cellStyle name="40% - Accent3 28 5 2" xfId="7672"/>
    <cellStyle name="40% - Accent3 28 6" xfId="7661"/>
    <cellStyle name="40% - Accent3 29" xfId="4082"/>
    <cellStyle name="40% - Accent3 29 2" xfId="4083"/>
    <cellStyle name="40% - Accent3 29 2 2" xfId="4084"/>
    <cellStyle name="40% - Accent3 29 2 2 2" xfId="4085"/>
    <cellStyle name="40% - Accent3 29 2 2 2 2" xfId="7676"/>
    <cellStyle name="40% - Accent3 29 2 2 3" xfId="7675"/>
    <cellStyle name="40% - Accent3 29 2 3" xfId="4086"/>
    <cellStyle name="40% - Accent3 29 2 3 2" xfId="7677"/>
    <cellStyle name="40% - Accent3 29 2 4" xfId="7674"/>
    <cellStyle name="40% - Accent3 29 3" xfId="4087"/>
    <cellStyle name="40% - Accent3 29 3 2" xfId="4088"/>
    <cellStyle name="40% - Accent3 29 3 2 2" xfId="4089"/>
    <cellStyle name="40% - Accent3 29 3 2 2 2" xfId="7680"/>
    <cellStyle name="40% - Accent3 29 3 2 3" xfId="7679"/>
    <cellStyle name="40% - Accent3 29 3 3" xfId="4090"/>
    <cellStyle name="40% - Accent3 29 3 3 2" xfId="7681"/>
    <cellStyle name="40% - Accent3 29 3 4" xfId="7678"/>
    <cellStyle name="40% - Accent3 29 4" xfId="4091"/>
    <cellStyle name="40% - Accent3 29 4 2" xfId="4092"/>
    <cellStyle name="40% - Accent3 29 4 2 2" xfId="7683"/>
    <cellStyle name="40% - Accent3 29 4 3" xfId="7682"/>
    <cellStyle name="40% - Accent3 29 5" xfId="4093"/>
    <cellStyle name="40% - Accent3 29 5 2" xfId="7684"/>
    <cellStyle name="40% - Accent3 29 6" xfId="7673"/>
    <cellStyle name="40% - Accent3 3" xfId="4094"/>
    <cellStyle name="40% - Accent3 3 2" xfId="4095"/>
    <cellStyle name="40% - Accent3 3 2 2" xfId="4096"/>
    <cellStyle name="40% - Accent3 3 2 2 2" xfId="4097"/>
    <cellStyle name="40% - Accent3 3 2 2 2 2" xfId="7688"/>
    <cellStyle name="40% - Accent3 3 2 2 3" xfId="7687"/>
    <cellStyle name="40% - Accent3 3 2 3" xfId="4098"/>
    <cellStyle name="40% - Accent3 3 2 3 2" xfId="7689"/>
    <cellStyle name="40% - Accent3 3 2 4" xfId="7686"/>
    <cellStyle name="40% - Accent3 3 3" xfId="4099"/>
    <cellStyle name="40% - Accent3 3 3 2" xfId="4100"/>
    <cellStyle name="40% - Accent3 3 3 2 2" xfId="4101"/>
    <cellStyle name="40% - Accent3 3 3 2 2 2" xfId="7692"/>
    <cellStyle name="40% - Accent3 3 3 2 3" xfId="7691"/>
    <cellStyle name="40% - Accent3 3 3 3" xfId="4102"/>
    <cellStyle name="40% - Accent3 3 3 3 2" xfId="7693"/>
    <cellStyle name="40% - Accent3 3 3 4" xfId="7690"/>
    <cellStyle name="40% - Accent3 3 4" xfId="4103"/>
    <cellStyle name="40% - Accent3 3 4 2" xfId="4104"/>
    <cellStyle name="40% - Accent3 3 4 2 2" xfId="7695"/>
    <cellStyle name="40% - Accent3 3 4 3" xfId="7694"/>
    <cellStyle name="40% - Accent3 3 5" xfId="4105"/>
    <cellStyle name="40% - Accent3 3 5 2" xfId="7696"/>
    <cellStyle name="40% - Accent3 3 6" xfId="7685"/>
    <cellStyle name="40% - Accent3 30" xfId="4106"/>
    <cellStyle name="40% - Accent3 30 2" xfId="4107"/>
    <cellStyle name="40% - Accent3 30 2 2" xfId="4108"/>
    <cellStyle name="40% - Accent3 30 2 2 2" xfId="4109"/>
    <cellStyle name="40% - Accent3 30 2 2 2 2" xfId="7700"/>
    <cellStyle name="40% - Accent3 30 2 2 3" xfId="7699"/>
    <cellStyle name="40% - Accent3 30 2 3" xfId="4110"/>
    <cellStyle name="40% - Accent3 30 2 3 2" xfId="7701"/>
    <cellStyle name="40% - Accent3 30 2 4" xfId="7698"/>
    <cellStyle name="40% - Accent3 30 3" xfId="4111"/>
    <cellStyle name="40% - Accent3 30 3 2" xfId="4112"/>
    <cellStyle name="40% - Accent3 30 3 2 2" xfId="4113"/>
    <cellStyle name="40% - Accent3 30 3 2 2 2" xfId="7704"/>
    <cellStyle name="40% - Accent3 30 3 2 3" xfId="7703"/>
    <cellStyle name="40% - Accent3 30 3 3" xfId="4114"/>
    <cellStyle name="40% - Accent3 30 3 3 2" xfId="7705"/>
    <cellStyle name="40% - Accent3 30 3 4" xfId="7702"/>
    <cellStyle name="40% - Accent3 30 4" xfId="4115"/>
    <cellStyle name="40% - Accent3 30 4 2" xfId="4116"/>
    <cellStyle name="40% - Accent3 30 4 2 2" xfId="7707"/>
    <cellStyle name="40% - Accent3 30 4 3" xfId="7706"/>
    <cellStyle name="40% - Accent3 30 5" xfId="4117"/>
    <cellStyle name="40% - Accent3 30 5 2" xfId="7708"/>
    <cellStyle name="40% - Accent3 30 6" xfId="7697"/>
    <cellStyle name="40% - Accent3 31" xfId="4118"/>
    <cellStyle name="40% - Accent3 31 2" xfId="4119"/>
    <cellStyle name="40% - Accent3 31 2 2" xfId="4120"/>
    <cellStyle name="40% - Accent3 31 2 2 2" xfId="4121"/>
    <cellStyle name="40% - Accent3 31 2 2 2 2" xfId="7712"/>
    <cellStyle name="40% - Accent3 31 2 2 3" xfId="7711"/>
    <cellStyle name="40% - Accent3 31 2 3" xfId="4122"/>
    <cellStyle name="40% - Accent3 31 2 3 2" xfId="7713"/>
    <cellStyle name="40% - Accent3 31 2 4" xfId="7710"/>
    <cellStyle name="40% - Accent3 31 3" xfId="4123"/>
    <cellStyle name="40% - Accent3 31 3 2" xfId="4124"/>
    <cellStyle name="40% - Accent3 31 3 2 2" xfId="4125"/>
    <cellStyle name="40% - Accent3 31 3 2 2 2" xfId="7716"/>
    <cellStyle name="40% - Accent3 31 3 2 3" xfId="7715"/>
    <cellStyle name="40% - Accent3 31 3 3" xfId="4126"/>
    <cellStyle name="40% - Accent3 31 3 3 2" xfId="7717"/>
    <cellStyle name="40% - Accent3 31 3 4" xfId="7714"/>
    <cellStyle name="40% - Accent3 31 4" xfId="4127"/>
    <cellStyle name="40% - Accent3 31 4 2" xfId="4128"/>
    <cellStyle name="40% - Accent3 31 4 2 2" xfId="7719"/>
    <cellStyle name="40% - Accent3 31 4 3" xfId="7718"/>
    <cellStyle name="40% - Accent3 31 5" xfId="4129"/>
    <cellStyle name="40% - Accent3 31 5 2" xfId="7720"/>
    <cellStyle name="40% - Accent3 31 6" xfId="7709"/>
    <cellStyle name="40% - Accent3 32" xfId="4130"/>
    <cellStyle name="40% - Accent3 32 2" xfId="4131"/>
    <cellStyle name="40% - Accent3 32 2 2" xfId="4132"/>
    <cellStyle name="40% - Accent3 32 2 2 2" xfId="4133"/>
    <cellStyle name="40% - Accent3 32 2 2 2 2" xfId="7724"/>
    <cellStyle name="40% - Accent3 32 2 2 3" xfId="7723"/>
    <cellStyle name="40% - Accent3 32 2 3" xfId="4134"/>
    <cellStyle name="40% - Accent3 32 2 3 2" xfId="7725"/>
    <cellStyle name="40% - Accent3 32 2 4" xfId="7722"/>
    <cellStyle name="40% - Accent3 32 3" xfId="4135"/>
    <cellStyle name="40% - Accent3 32 3 2" xfId="4136"/>
    <cellStyle name="40% - Accent3 32 3 2 2" xfId="4137"/>
    <cellStyle name="40% - Accent3 32 3 2 2 2" xfId="7728"/>
    <cellStyle name="40% - Accent3 32 3 2 3" xfId="7727"/>
    <cellStyle name="40% - Accent3 32 3 3" xfId="4138"/>
    <cellStyle name="40% - Accent3 32 3 3 2" xfId="7729"/>
    <cellStyle name="40% - Accent3 32 3 4" xfId="7726"/>
    <cellStyle name="40% - Accent3 32 4" xfId="4139"/>
    <cellStyle name="40% - Accent3 32 4 2" xfId="4140"/>
    <cellStyle name="40% - Accent3 32 4 2 2" xfId="7731"/>
    <cellStyle name="40% - Accent3 32 4 3" xfId="7730"/>
    <cellStyle name="40% - Accent3 32 5" xfId="4141"/>
    <cellStyle name="40% - Accent3 32 5 2" xfId="7732"/>
    <cellStyle name="40% - Accent3 32 6" xfId="7721"/>
    <cellStyle name="40% - Accent3 33" xfId="4142"/>
    <cellStyle name="40% - Accent3 33 2" xfId="4143"/>
    <cellStyle name="40% - Accent3 33 2 2" xfId="4144"/>
    <cellStyle name="40% - Accent3 33 2 2 2" xfId="4145"/>
    <cellStyle name="40% - Accent3 33 2 2 2 2" xfId="7736"/>
    <cellStyle name="40% - Accent3 33 2 2 3" xfId="7735"/>
    <cellStyle name="40% - Accent3 33 2 3" xfId="4146"/>
    <cellStyle name="40% - Accent3 33 2 3 2" xfId="7737"/>
    <cellStyle name="40% - Accent3 33 2 4" xfId="7734"/>
    <cellStyle name="40% - Accent3 33 3" xfId="4147"/>
    <cellStyle name="40% - Accent3 33 3 2" xfId="4148"/>
    <cellStyle name="40% - Accent3 33 3 2 2" xfId="4149"/>
    <cellStyle name="40% - Accent3 33 3 2 2 2" xfId="7740"/>
    <cellStyle name="40% - Accent3 33 3 2 3" xfId="7739"/>
    <cellStyle name="40% - Accent3 33 3 3" xfId="4150"/>
    <cellStyle name="40% - Accent3 33 3 3 2" xfId="7741"/>
    <cellStyle name="40% - Accent3 33 3 4" xfId="7738"/>
    <cellStyle name="40% - Accent3 33 4" xfId="4151"/>
    <cellStyle name="40% - Accent3 33 4 2" xfId="4152"/>
    <cellStyle name="40% - Accent3 33 4 2 2" xfId="7743"/>
    <cellStyle name="40% - Accent3 33 4 3" xfId="7742"/>
    <cellStyle name="40% - Accent3 33 5" xfId="4153"/>
    <cellStyle name="40% - Accent3 33 5 2" xfId="7744"/>
    <cellStyle name="40% - Accent3 33 6" xfId="7733"/>
    <cellStyle name="40% - Accent3 34" xfId="4154"/>
    <cellStyle name="40% - Accent3 34 2" xfId="4155"/>
    <cellStyle name="40% - Accent3 34 2 2" xfId="4156"/>
    <cellStyle name="40% - Accent3 34 2 2 2" xfId="4157"/>
    <cellStyle name="40% - Accent3 34 2 2 2 2" xfId="7748"/>
    <cellStyle name="40% - Accent3 34 2 2 3" xfId="7747"/>
    <cellStyle name="40% - Accent3 34 2 3" xfId="4158"/>
    <cellStyle name="40% - Accent3 34 2 3 2" xfId="7749"/>
    <cellStyle name="40% - Accent3 34 2 4" xfId="7746"/>
    <cellStyle name="40% - Accent3 34 3" xfId="4159"/>
    <cellStyle name="40% - Accent3 34 3 2" xfId="4160"/>
    <cellStyle name="40% - Accent3 34 3 2 2" xfId="7751"/>
    <cellStyle name="40% - Accent3 34 3 3" xfId="7750"/>
    <cellStyle name="40% - Accent3 34 4" xfId="4161"/>
    <cellStyle name="40% - Accent3 34 4 2" xfId="7752"/>
    <cellStyle name="40% - Accent3 34 5" xfId="7745"/>
    <cellStyle name="40% - Accent3 35" xfId="4162"/>
    <cellStyle name="40% - Accent3 35 2" xfId="4163"/>
    <cellStyle name="40% - Accent3 35 2 2" xfId="4164"/>
    <cellStyle name="40% - Accent3 35 2 2 2" xfId="7755"/>
    <cellStyle name="40% - Accent3 35 2 3" xfId="7754"/>
    <cellStyle name="40% - Accent3 35 3" xfId="4165"/>
    <cellStyle name="40% - Accent3 35 3 2" xfId="7756"/>
    <cellStyle name="40% - Accent3 35 4" xfId="7753"/>
    <cellStyle name="40% - Accent3 36" xfId="4166"/>
    <cellStyle name="40% - Accent3 36 2" xfId="4167"/>
    <cellStyle name="40% - Accent3 36 2 2" xfId="4168"/>
    <cellStyle name="40% - Accent3 36 2 2 2" xfId="7759"/>
    <cellStyle name="40% - Accent3 36 2 3" xfId="7758"/>
    <cellStyle name="40% - Accent3 36 3" xfId="4169"/>
    <cellStyle name="40% - Accent3 36 3 2" xfId="7760"/>
    <cellStyle name="40% - Accent3 36 4" xfId="7757"/>
    <cellStyle name="40% - Accent3 37" xfId="4170"/>
    <cellStyle name="40% - Accent3 37 2" xfId="4171"/>
    <cellStyle name="40% - Accent3 37 2 2" xfId="4172"/>
    <cellStyle name="40% - Accent3 37 2 2 2" xfId="7763"/>
    <cellStyle name="40% - Accent3 37 2 3" xfId="7762"/>
    <cellStyle name="40% - Accent3 37 3" xfId="4173"/>
    <cellStyle name="40% - Accent3 37 3 2" xfId="7764"/>
    <cellStyle name="40% - Accent3 37 4" xfId="7761"/>
    <cellStyle name="40% - Accent3 38" xfId="4174"/>
    <cellStyle name="40% - Accent3 38 2" xfId="4175"/>
    <cellStyle name="40% - Accent3 38 2 2" xfId="4176"/>
    <cellStyle name="40% - Accent3 38 2 2 2" xfId="7767"/>
    <cellStyle name="40% - Accent3 38 2 3" xfId="7766"/>
    <cellStyle name="40% - Accent3 38 3" xfId="4177"/>
    <cellStyle name="40% - Accent3 38 3 2" xfId="7768"/>
    <cellStyle name="40% - Accent3 38 4" xfId="7765"/>
    <cellStyle name="40% - Accent3 39" xfId="4178"/>
    <cellStyle name="40% - Accent3 39 2" xfId="4179"/>
    <cellStyle name="40% - Accent3 39 2 2" xfId="4180"/>
    <cellStyle name="40% - Accent3 39 2 2 2" xfId="7771"/>
    <cellStyle name="40% - Accent3 39 2 3" xfId="7770"/>
    <cellStyle name="40% - Accent3 39 3" xfId="4181"/>
    <cellStyle name="40% - Accent3 39 3 2" xfId="7772"/>
    <cellStyle name="40% - Accent3 39 4" xfId="7769"/>
    <cellStyle name="40% - Accent3 4" xfId="4182"/>
    <cellStyle name="40% - Accent3 4 2" xfId="4183"/>
    <cellStyle name="40% - Accent3 4 2 2" xfId="4184"/>
    <cellStyle name="40% - Accent3 4 2 2 2" xfId="4185"/>
    <cellStyle name="40% - Accent3 4 2 2 2 2" xfId="7776"/>
    <cellStyle name="40% - Accent3 4 2 2 3" xfId="7775"/>
    <cellStyle name="40% - Accent3 4 2 3" xfId="4186"/>
    <cellStyle name="40% - Accent3 4 2 3 2" xfId="7777"/>
    <cellStyle name="40% - Accent3 4 2 4" xfId="7774"/>
    <cellStyle name="40% - Accent3 4 3" xfId="4187"/>
    <cellStyle name="40% - Accent3 4 3 2" xfId="4188"/>
    <cellStyle name="40% - Accent3 4 3 2 2" xfId="4189"/>
    <cellStyle name="40% - Accent3 4 3 2 2 2" xfId="7780"/>
    <cellStyle name="40% - Accent3 4 3 2 3" xfId="7779"/>
    <cellStyle name="40% - Accent3 4 3 3" xfId="4190"/>
    <cellStyle name="40% - Accent3 4 3 3 2" xfId="7781"/>
    <cellStyle name="40% - Accent3 4 3 4" xfId="7778"/>
    <cellStyle name="40% - Accent3 4 4" xfId="4191"/>
    <cellStyle name="40% - Accent3 4 4 2" xfId="4192"/>
    <cellStyle name="40% - Accent3 4 4 2 2" xfId="7783"/>
    <cellStyle name="40% - Accent3 4 4 3" xfId="7782"/>
    <cellStyle name="40% - Accent3 4 5" xfId="4193"/>
    <cellStyle name="40% - Accent3 4 5 2" xfId="7784"/>
    <cellStyle name="40% - Accent3 4 6" xfId="7773"/>
    <cellStyle name="40% - Accent3 40" xfId="4194"/>
    <cellStyle name="40% - Accent3 40 2" xfId="4195"/>
    <cellStyle name="40% - Accent3 40 2 2" xfId="4196"/>
    <cellStyle name="40% - Accent3 40 2 2 2" xfId="7787"/>
    <cellStyle name="40% - Accent3 40 2 3" xfId="7786"/>
    <cellStyle name="40% - Accent3 40 3" xfId="4197"/>
    <cellStyle name="40% - Accent3 40 3 2" xfId="7788"/>
    <cellStyle name="40% - Accent3 40 4" xfId="7785"/>
    <cellStyle name="40% - Accent3 41" xfId="4198"/>
    <cellStyle name="40% - Accent3 41 2" xfId="4199"/>
    <cellStyle name="40% - Accent3 41 2 2" xfId="4200"/>
    <cellStyle name="40% - Accent3 41 2 2 2" xfId="7791"/>
    <cellStyle name="40% - Accent3 41 2 3" xfId="7790"/>
    <cellStyle name="40% - Accent3 41 3" xfId="4201"/>
    <cellStyle name="40% - Accent3 41 3 2" xfId="7792"/>
    <cellStyle name="40% - Accent3 41 4" xfId="7789"/>
    <cellStyle name="40% - Accent3 42" xfId="4202"/>
    <cellStyle name="40% - Accent3 42 2" xfId="4203"/>
    <cellStyle name="40% - Accent3 42 2 2" xfId="4204"/>
    <cellStyle name="40% - Accent3 42 2 2 2" xfId="7795"/>
    <cellStyle name="40% - Accent3 42 2 3" xfId="7794"/>
    <cellStyle name="40% - Accent3 42 3" xfId="4205"/>
    <cellStyle name="40% - Accent3 42 3 2" xfId="7796"/>
    <cellStyle name="40% - Accent3 42 4" xfId="7793"/>
    <cellStyle name="40% - Accent3 43" xfId="4206"/>
    <cellStyle name="40% - Accent3 43 2" xfId="4207"/>
    <cellStyle name="40% - Accent3 43 2 2" xfId="4208"/>
    <cellStyle name="40% - Accent3 43 2 2 2" xfId="7799"/>
    <cellStyle name="40% - Accent3 43 2 3" xfId="7798"/>
    <cellStyle name="40% - Accent3 43 3" xfId="4209"/>
    <cellStyle name="40% - Accent3 43 3 2" xfId="7800"/>
    <cellStyle name="40% - Accent3 43 4" xfId="7797"/>
    <cellStyle name="40% - Accent3 44" xfId="4210"/>
    <cellStyle name="40% - Accent3 44 2" xfId="4211"/>
    <cellStyle name="40% - Accent3 44 2 2" xfId="4212"/>
    <cellStyle name="40% - Accent3 44 2 2 2" xfId="7803"/>
    <cellStyle name="40% - Accent3 44 2 3" xfId="7802"/>
    <cellStyle name="40% - Accent3 44 3" xfId="4213"/>
    <cellStyle name="40% - Accent3 44 3 2" xfId="7804"/>
    <cellStyle name="40% - Accent3 44 4" xfId="7801"/>
    <cellStyle name="40% - Accent3 45" xfId="4214"/>
    <cellStyle name="40% - Accent3 45 2" xfId="4215"/>
    <cellStyle name="40% - Accent3 45 2 2" xfId="4216"/>
    <cellStyle name="40% - Accent3 45 2 2 2" xfId="7807"/>
    <cellStyle name="40% - Accent3 45 2 3" xfId="7806"/>
    <cellStyle name="40% - Accent3 45 3" xfId="4217"/>
    <cellStyle name="40% - Accent3 45 3 2" xfId="7808"/>
    <cellStyle name="40% - Accent3 45 4" xfId="7805"/>
    <cellStyle name="40% - Accent3 46" xfId="4218"/>
    <cellStyle name="40% - Accent3 46 2" xfId="4219"/>
    <cellStyle name="40% - Accent3 46 2 2" xfId="4220"/>
    <cellStyle name="40% - Accent3 46 2 2 2" xfId="7811"/>
    <cellStyle name="40% - Accent3 46 2 3" xfId="7810"/>
    <cellStyle name="40% - Accent3 46 3" xfId="4221"/>
    <cellStyle name="40% - Accent3 46 3 2" xfId="7812"/>
    <cellStyle name="40% - Accent3 46 4" xfId="7809"/>
    <cellStyle name="40% - Accent3 47" xfId="4222"/>
    <cellStyle name="40% - Accent3 47 2" xfId="4223"/>
    <cellStyle name="40% - Accent3 47 2 2" xfId="4224"/>
    <cellStyle name="40% - Accent3 47 2 2 2" xfId="7815"/>
    <cellStyle name="40% - Accent3 47 2 3" xfId="7814"/>
    <cellStyle name="40% - Accent3 47 3" xfId="4225"/>
    <cellStyle name="40% - Accent3 47 3 2" xfId="7816"/>
    <cellStyle name="40% - Accent3 47 4" xfId="7813"/>
    <cellStyle name="40% - Accent3 48" xfId="4226"/>
    <cellStyle name="40% - Accent3 48 2" xfId="4227"/>
    <cellStyle name="40% - Accent3 48 2 2" xfId="4228"/>
    <cellStyle name="40% - Accent3 48 2 2 2" xfId="7819"/>
    <cellStyle name="40% - Accent3 48 2 3" xfId="7818"/>
    <cellStyle name="40% - Accent3 48 3" xfId="4229"/>
    <cellStyle name="40% - Accent3 48 3 2" xfId="7820"/>
    <cellStyle name="40% - Accent3 48 4" xfId="7817"/>
    <cellStyle name="40% - Accent3 49" xfId="4230"/>
    <cellStyle name="40% - Accent3 49 2" xfId="4231"/>
    <cellStyle name="40% - Accent3 49 2 2" xfId="4232"/>
    <cellStyle name="40% - Accent3 49 2 2 2" xfId="7823"/>
    <cellStyle name="40% - Accent3 49 2 3" xfId="7822"/>
    <cellStyle name="40% - Accent3 49 3" xfId="4233"/>
    <cellStyle name="40% - Accent3 49 3 2" xfId="7824"/>
    <cellStyle name="40% - Accent3 49 4" xfId="7821"/>
    <cellStyle name="40% - Accent3 5" xfId="4234"/>
    <cellStyle name="40% - Accent3 5 2" xfId="4235"/>
    <cellStyle name="40% - Accent3 5 2 2" xfId="4236"/>
    <cellStyle name="40% - Accent3 5 2 2 2" xfId="4237"/>
    <cellStyle name="40% - Accent3 5 2 2 2 2" xfId="7828"/>
    <cellStyle name="40% - Accent3 5 2 2 3" xfId="7827"/>
    <cellStyle name="40% - Accent3 5 2 3" xfId="4238"/>
    <cellStyle name="40% - Accent3 5 2 3 2" xfId="7829"/>
    <cellStyle name="40% - Accent3 5 2 4" xfId="7826"/>
    <cellStyle name="40% - Accent3 5 3" xfId="4239"/>
    <cellStyle name="40% - Accent3 5 3 2" xfId="4240"/>
    <cellStyle name="40% - Accent3 5 3 2 2" xfId="4241"/>
    <cellStyle name="40% - Accent3 5 3 2 2 2" xfId="7832"/>
    <cellStyle name="40% - Accent3 5 3 2 3" xfId="7831"/>
    <cellStyle name="40% - Accent3 5 3 3" xfId="4242"/>
    <cellStyle name="40% - Accent3 5 3 3 2" xfId="7833"/>
    <cellStyle name="40% - Accent3 5 3 4" xfId="7830"/>
    <cellStyle name="40% - Accent3 5 4" xfId="4243"/>
    <cellStyle name="40% - Accent3 5 4 2" xfId="4244"/>
    <cellStyle name="40% - Accent3 5 4 2 2" xfId="7835"/>
    <cellStyle name="40% - Accent3 5 4 3" xfId="7834"/>
    <cellStyle name="40% - Accent3 5 5" xfId="4245"/>
    <cellStyle name="40% - Accent3 5 5 2" xfId="7836"/>
    <cellStyle name="40% - Accent3 5 6" xfId="7825"/>
    <cellStyle name="40% - Accent3 50" xfId="4246"/>
    <cellStyle name="40% - Accent3 50 2" xfId="4247"/>
    <cellStyle name="40% - Accent3 50 2 2" xfId="4248"/>
    <cellStyle name="40% - Accent3 50 2 2 2" xfId="7839"/>
    <cellStyle name="40% - Accent3 50 2 3" xfId="7838"/>
    <cellStyle name="40% - Accent3 50 3" xfId="4249"/>
    <cellStyle name="40% - Accent3 50 3 2" xfId="7840"/>
    <cellStyle name="40% - Accent3 50 4" xfId="7837"/>
    <cellStyle name="40% - Accent3 51" xfId="4250"/>
    <cellStyle name="40% - Accent3 51 2" xfId="4251"/>
    <cellStyle name="40% - Accent3 51 2 2" xfId="4252"/>
    <cellStyle name="40% - Accent3 51 2 2 2" xfId="7843"/>
    <cellStyle name="40% - Accent3 51 2 3" xfId="7842"/>
    <cellStyle name="40% - Accent3 51 3" xfId="4253"/>
    <cellStyle name="40% - Accent3 51 3 2" xfId="7844"/>
    <cellStyle name="40% - Accent3 51 4" xfId="7841"/>
    <cellStyle name="40% - Accent3 52" xfId="4254"/>
    <cellStyle name="40% - Accent3 52 2" xfId="4255"/>
    <cellStyle name="40% - Accent3 52 2 2" xfId="4256"/>
    <cellStyle name="40% - Accent3 52 2 2 2" xfId="7847"/>
    <cellStyle name="40% - Accent3 52 2 3" xfId="7846"/>
    <cellStyle name="40% - Accent3 52 3" xfId="4257"/>
    <cellStyle name="40% - Accent3 52 3 2" xfId="7848"/>
    <cellStyle name="40% - Accent3 52 4" xfId="7845"/>
    <cellStyle name="40% - Accent3 53" xfId="4258"/>
    <cellStyle name="40% - Accent3 53 2" xfId="4259"/>
    <cellStyle name="40% - Accent3 53 2 2" xfId="7850"/>
    <cellStyle name="40% - Accent3 53 3" xfId="7849"/>
    <cellStyle name="40% - Accent3 54" xfId="4260"/>
    <cellStyle name="40% - Accent3 54 2" xfId="4261"/>
    <cellStyle name="40% - Accent3 54 2 2" xfId="7852"/>
    <cellStyle name="40% - Accent3 54 3" xfId="7851"/>
    <cellStyle name="40% - Accent3 55" xfId="4262"/>
    <cellStyle name="40% - Accent3 55 2" xfId="4263"/>
    <cellStyle name="40% - Accent3 55 2 2" xfId="7854"/>
    <cellStyle name="40% - Accent3 55 3" xfId="7853"/>
    <cellStyle name="40% - Accent3 56" xfId="4264"/>
    <cellStyle name="40% - Accent3 56 2" xfId="4265"/>
    <cellStyle name="40% - Accent3 56 2 2" xfId="7856"/>
    <cellStyle name="40% - Accent3 56 3" xfId="7855"/>
    <cellStyle name="40% - Accent3 57" xfId="4266"/>
    <cellStyle name="40% - Accent3 57 2" xfId="4267"/>
    <cellStyle name="40% - Accent3 57 2 2" xfId="7858"/>
    <cellStyle name="40% - Accent3 57 3" xfId="7857"/>
    <cellStyle name="40% - Accent3 58" xfId="4268"/>
    <cellStyle name="40% - Accent3 58 2" xfId="4269"/>
    <cellStyle name="40% - Accent3 58 2 2" xfId="7860"/>
    <cellStyle name="40% - Accent3 58 3" xfId="7859"/>
    <cellStyle name="40% - Accent3 59" xfId="4270"/>
    <cellStyle name="40% - Accent3 59 2" xfId="4271"/>
    <cellStyle name="40% - Accent3 59 2 2" xfId="7862"/>
    <cellStyle name="40% - Accent3 59 3" xfId="7861"/>
    <cellStyle name="40% - Accent3 6" xfId="4272"/>
    <cellStyle name="40% - Accent3 6 2" xfId="4273"/>
    <cellStyle name="40% - Accent3 6 2 2" xfId="4274"/>
    <cellStyle name="40% - Accent3 6 2 2 2" xfId="4275"/>
    <cellStyle name="40% - Accent3 6 2 2 2 2" xfId="7866"/>
    <cellStyle name="40% - Accent3 6 2 2 3" xfId="7865"/>
    <cellStyle name="40% - Accent3 6 2 3" xfId="4276"/>
    <cellStyle name="40% - Accent3 6 2 3 2" xfId="7867"/>
    <cellStyle name="40% - Accent3 6 2 4" xfId="7864"/>
    <cellStyle name="40% - Accent3 6 3" xfId="4277"/>
    <cellStyle name="40% - Accent3 6 3 2" xfId="4278"/>
    <cellStyle name="40% - Accent3 6 3 2 2" xfId="4279"/>
    <cellStyle name="40% - Accent3 6 3 2 2 2" xfId="7870"/>
    <cellStyle name="40% - Accent3 6 3 2 3" xfId="7869"/>
    <cellStyle name="40% - Accent3 6 3 3" xfId="4280"/>
    <cellStyle name="40% - Accent3 6 3 3 2" xfId="7871"/>
    <cellStyle name="40% - Accent3 6 3 4" xfId="7868"/>
    <cellStyle name="40% - Accent3 6 4" xfId="4281"/>
    <cellStyle name="40% - Accent3 6 4 2" xfId="4282"/>
    <cellStyle name="40% - Accent3 6 4 2 2" xfId="7873"/>
    <cellStyle name="40% - Accent3 6 4 3" xfId="7872"/>
    <cellStyle name="40% - Accent3 6 5" xfId="4283"/>
    <cellStyle name="40% - Accent3 6 5 2" xfId="7874"/>
    <cellStyle name="40% - Accent3 6 6" xfId="7863"/>
    <cellStyle name="40% - Accent3 60" xfId="4284"/>
    <cellStyle name="40% - Accent3 60 2" xfId="7875"/>
    <cellStyle name="40% - Accent3 61" xfId="11225"/>
    <cellStyle name="40% - Accent3 7" xfId="4285"/>
    <cellStyle name="40% - Accent3 7 2" xfId="4286"/>
    <cellStyle name="40% - Accent3 7 2 2" xfId="4287"/>
    <cellStyle name="40% - Accent3 7 2 2 2" xfId="4288"/>
    <cellStyle name="40% - Accent3 7 2 2 2 2" xfId="7879"/>
    <cellStyle name="40% - Accent3 7 2 2 3" xfId="7878"/>
    <cellStyle name="40% - Accent3 7 2 3" xfId="4289"/>
    <cellStyle name="40% - Accent3 7 2 3 2" xfId="7880"/>
    <cellStyle name="40% - Accent3 7 2 4" xfId="7877"/>
    <cellStyle name="40% - Accent3 7 3" xfId="4290"/>
    <cellStyle name="40% - Accent3 7 3 2" xfId="4291"/>
    <cellStyle name="40% - Accent3 7 3 2 2" xfId="4292"/>
    <cellStyle name="40% - Accent3 7 3 2 2 2" xfId="7883"/>
    <cellStyle name="40% - Accent3 7 3 2 3" xfId="7882"/>
    <cellStyle name="40% - Accent3 7 3 3" xfId="4293"/>
    <cellStyle name="40% - Accent3 7 3 3 2" xfId="7884"/>
    <cellStyle name="40% - Accent3 7 3 4" xfId="7881"/>
    <cellStyle name="40% - Accent3 7 4" xfId="4294"/>
    <cellStyle name="40% - Accent3 7 4 2" xfId="4295"/>
    <cellStyle name="40% - Accent3 7 4 2 2" xfId="7886"/>
    <cellStyle name="40% - Accent3 7 4 3" xfId="7885"/>
    <cellStyle name="40% - Accent3 7 5" xfId="4296"/>
    <cellStyle name="40% - Accent3 7 5 2" xfId="7887"/>
    <cellStyle name="40% - Accent3 7 6" xfId="7876"/>
    <cellStyle name="40% - Accent3 8" xfId="4297"/>
    <cellStyle name="40% - Accent3 8 2" xfId="4298"/>
    <cellStyle name="40% - Accent3 8 2 2" xfId="4299"/>
    <cellStyle name="40% - Accent3 8 2 2 2" xfId="4300"/>
    <cellStyle name="40% - Accent3 8 2 2 2 2" xfId="7891"/>
    <cellStyle name="40% - Accent3 8 2 2 3" xfId="7890"/>
    <cellStyle name="40% - Accent3 8 2 3" xfId="4301"/>
    <cellStyle name="40% - Accent3 8 2 3 2" xfId="7892"/>
    <cellStyle name="40% - Accent3 8 2 4" xfId="7889"/>
    <cellStyle name="40% - Accent3 8 3" xfId="4302"/>
    <cellStyle name="40% - Accent3 8 3 2" xfId="4303"/>
    <cellStyle name="40% - Accent3 8 3 2 2" xfId="4304"/>
    <cellStyle name="40% - Accent3 8 3 2 2 2" xfId="7895"/>
    <cellStyle name="40% - Accent3 8 3 2 3" xfId="7894"/>
    <cellStyle name="40% - Accent3 8 3 3" xfId="4305"/>
    <cellStyle name="40% - Accent3 8 3 3 2" xfId="7896"/>
    <cellStyle name="40% - Accent3 8 3 4" xfId="7893"/>
    <cellStyle name="40% - Accent3 8 4" xfId="4306"/>
    <cellStyle name="40% - Accent3 8 4 2" xfId="4307"/>
    <cellStyle name="40% - Accent3 8 4 2 2" xfId="7898"/>
    <cellStyle name="40% - Accent3 8 4 3" xfId="7897"/>
    <cellStyle name="40% - Accent3 8 5" xfId="4308"/>
    <cellStyle name="40% - Accent3 8 5 2" xfId="7899"/>
    <cellStyle name="40% - Accent3 8 6" xfId="7888"/>
    <cellStyle name="40% - Accent3 9" xfId="4309"/>
    <cellStyle name="40% - Accent3 9 2" xfId="4310"/>
    <cellStyle name="40% - Accent3 9 2 2" xfId="4311"/>
    <cellStyle name="40% - Accent3 9 2 2 2" xfId="4312"/>
    <cellStyle name="40% - Accent3 9 2 2 2 2" xfId="7903"/>
    <cellStyle name="40% - Accent3 9 2 2 3" xfId="7902"/>
    <cellStyle name="40% - Accent3 9 2 3" xfId="4313"/>
    <cellStyle name="40% - Accent3 9 2 3 2" xfId="7904"/>
    <cellStyle name="40% - Accent3 9 2 4" xfId="7901"/>
    <cellStyle name="40% - Accent3 9 3" xfId="4314"/>
    <cellStyle name="40% - Accent3 9 3 2" xfId="4315"/>
    <cellStyle name="40% - Accent3 9 3 2 2" xfId="4316"/>
    <cellStyle name="40% - Accent3 9 3 2 2 2" xfId="7907"/>
    <cellStyle name="40% - Accent3 9 3 2 3" xfId="7906"/>
    <cellStyle name="40% - Accent3 9 3 3" xfId="4317"/>
    <cellStyle name="40% - Accent3 9 3 3 2" xfId="7908"/>
    <cellStyle name="40% - Accent3 9 3 4" xfId="7905"/>
    <cellStyle name="40% - Accent3 9 4" xfId="4318"/>
    <cellStyle name="40% - Accent3 9 4 2" xfId="4319"/>
    <cellStyle name="40% - Accent3 9 4 2 2" xfId="7910"/>
    <cellStyle name="40% - Accent3 9 4 3" xfId="7909"/>
    <cellStyle name="40% - Accent3 9 5" xfId="4320"/>
    <cellStyle name="40% - Accent3 9 5 2" xfId="7911"/>
    <cellStyle name="40% - Accent3 9 6" xfId="7900"/>
    <cellStyle name="40% - Accent4" xfId="4321" builtinId="43" customBuiltin="1"/>
    <cellStyle name="40% - Accent4 10" xfId="4322"/>
    <cellStyle name="40% - Accent4 10 2" xfId="4323"/>
    <cellStyle name="40% - Accent4 10 2 2" xfId="4324"/>
    <cellStyle name="40% - Accent4 10 2 2 2" xfId="4325"/>
    <cellStyle name="40% - Accent4 10 2 2 2 2" xfId="7916"/>
    <cellStyle name="40% - Accent4 10 2 2 3" xfId="7915"/>
    <cellStyle name="40% - Accent4 10 2 3" xfId="4326"/>
    <cellStyle name="40% - Accent4 10 2 3 2" xfId="7917"/>
    <cellStyle name="40% - Accent4 10 2 4" xfId="7914"/>
    <cellStyle name="40% - Accent4 10 3" xfId="4327"/>
    <cellStyle name="40% - Accent4 10 3 2" xfId="4328"/>
    <cellStyle name="40% - Accent4 10 3 2 2" xfId="4329"/>
    <cellStyle name="40% - Accent4 10 3 2 2 2" xfId="7920"/>
    <cellStyle name="40% - Accent4 10 3 2 3" xfId="7919"/>
    <cellStyle name="40% - Accent4 10 3 3" xfId="4330"/>
    <cellStyle name="40% - Accent4 10 3 3 2" xfId="7921"/>
    <cellStyle name="40% - Accent4 10 3 4" xfId="7918"/>
    <cellStyle name="40% - Accent4 10 4" xfId="4331"/>
    <cellStyle name="40% - Accent4 10 4 2" xfId="4332"/>
    <cellStyle name="40% - Accent4 10 4 2 2" xfId="7923"/>
    <cellStyle name="40% - Accent4 10 4 3" xfId="7922"/>
    <cellStyle name="40% - Accent4 10 5" xfId="4333"/>
    <cellStyle name="40% - Accent4 10 5 2" xfId="7924"/>
    <cellStyle name="40% - Accent4 10 6" xfId="7913"/>
    <cellStyle name="40% - Accent4 11" xfId="4334"/>
    <cellStyle name="40% - Accent4 11 2" xfId="4335"/>
    <cellStyle name="40% - Accent4 11 2 2" xfId="4336"/>
    <cellStyle name="40% - Accent4 11 2 2 2" xfId="4337"/>
    <cellStyle name="40% - Accent4 11 2 2 2 2" xfId="7928"/>
    <cellStyle name="40% - Accent4 11 2 2 3" xfId="7927"/>
    <cellStyle name="40% - Accent4 11 2 3" xfId="4338"/>
    <cellStyle name="40% - Accent4 11 2 3 2" xfId="7929"/>
    <cellStyle name="40% - Accent4 11 2 4" xfId="7926"/>
    <cellStyle name="40% - Accent4 11 3" xfId="4339"/>
    <cellStyle name="40% - Accent4 11 3 2" xfId="4340"/>
    <cellStyle name="40% - Accent4 11 3 2 2" xfId="4341"/>
    <cellStyle name="40% - Accent4 11 3 2 2 2" xfId="7932"/>
    <cellStyle name="40% - Accent4 11 3 2 3" xfId="7931"/>
    <cellStyle name="40% - Accent4 11 3 3" xfId="4342"/>
    <cellStyle name="40% - Accent4 11 3 3 2" xfId="7933"/>
    <cellStyle name="40% - Accent4 11 3 4" xfId="7930"/>
    <cellStyle name="40% - Accent4 11 4" xfId="4343"/>
    <cellStyle name="40% - Accent4 11 4 2" xfId="4344"/>
    <cellStyle name="40% - Accent4 11 4 2 2" xfId="7935"/>
    <cellStyle name="40% - Accent4 11 4 3" xfId="7934"/>
    <cellStyle name="40% - Accent4 11 5" xfId="4345"/>
    <cellStyle name="40% - Accent4 11 5 2" xfId="7936"/>
    <cellStyle name="40% - Accent4 11 6" xfId="7925"/>
    <cellStyle name="40% - Accent4 12" xfId="4346"/>
    <cellStyle name="40% - Accent4 12 2" xfId="4347"/>
    <cellStyle name="40% - Accent4 12 2 2" xfId="4348"/>
    <cellStyle name="40% - Accent4 12 2 2 2" xfId="4349"/>
    <cellStyle name="40% - Accent4 12 2 2 2 2" xfId="7940"/>
    <cellStyle name="40% - Accent4 12 2 2 3" xfId="7939"/>
    <cellStyle name="40% - Accent4 12 2 3" xfId="4350"/>
    <cellStyle name="40% - Accent4 12 2 3 2" xfId="7941"/>
    <cellStyle name="40% - Accent4 12 2 4" xfId="7938"/>
    <cellStyle name="40% - Accent4 12 3" xfId="4351"/>
    <cellStyle name="40% - Accent4 12 3 2" xfId="4352"/>
    <cellStyle name="40% - Accent4 12 3 2 2" xfId="4353"/>
    <cellStyle name="40% - Accent4 12 3 2 2 2" xfId="7944"/>
    <cellStyle name="40% - Accent4 12 3 2 3" xfId="7943"/>
    <cellStyle name="40% - Accent4 12 3 3" xfId="4354"/>
    <cellStyle name="40% - Accent4 12 3 3 2" xfId="7945"/>
    <cellStyle name="40% - Accent4 12 3 4" xfId="7942"/>
    <cellStyle name="40% - Accent4 12 4" xfId="4355"/>
    <cellStyle name="40% - Accent4 12 4 2" xfId="4356"/>
    <cellStyle name="40% - Accent4 12 4 2 2" xfId="7947"/>
    <cellStyle name="40% - Accent4 12 4 3" xfId="7946"/>
    <cellStyle name="40% - Accent4 12 5" xfId="4357"/>
    <cellStyle name="40% - Accent4 12 5 2" xfId="7948"/>
    <cellStyle name="40% - Accent4 12 6" xfId="7937"/>
    <cellStyle name="40% - Accent4 13" xfId="4358"/>
    <cellStyle name="40% - Accent4 13 2" xfId="4359"/>
    <cellStyle name="40% - Accent4 13 2 2" xfId="4360"/>
    <cellStyle name="40% - Accent4 13 2 2 2" xfId="4361"/>
    <cellStyle name="40% - Accent4 13 2 2 2 2" xfId="7952"/>
    <cellStyle name="40% - Accent4 13 2 2 3" xfId="7951"/>
    <cellStyle name="40% - Accent4 13 2 3" xfId="4362"/>
    <cellStyle name="40% - Accent4 13 2 3 2" xfId="7953"/>
    <cellStyle name="40% - Accent4 13 2 4" xfId="7950"/>
    <cellStyle name="40% - Accent4 13 3" xfId="4363"/>
    <cellStyle name="40% - Accent4 13 3 2" xfId="4364"/>
    <cellStyle name="40% - Accent4 13 3 2 2" xfId="4365"/>
    <cellStyle name="40% - Accent4 13 3 2 2 2" xfId="7956"/>
    <cellStyle name="40% - Accent4 13 3 2 3" xfId="7955"/>
    <cellStyle name="40% - Accent4 13 3 3" xfId="4366"/>
    <cellStyle name="40% - Accent4 13 3 3 2" xfId="7957"/>
    <cellStyle name="40% - Accent4 13 3 4" xfId="7954"/>
    <cellStyle name="40% - Accent4 13 4" xfId="4367"/>
    <cellStyle name="40% - Accent4 13 4 2" xfId="4368"/>
    <cellStyle name="40% - Accent4 13 4 2 2" xfId="7959"/>
    <cellStyle name="40% - Accent4 13 4 3" xfId="7958"/>
    <cellStyle name="40% - Accent4 13 5" xfId="4369"/>
    <cellStyle name="40% - Accent4 13 5 2" xfId="7960"/>
    <cellStyle name="40% - Accent4 13 6" xfId="7949"/>
    <cellStyle name="40% - Accent4 14" xfId="4370"/>
    <cellStyle name="40% - Accent4 14 2" xfId="4371"/>
    <cellStyle name="40% - Accent4 14 2 2" xfId="4372"/>
    <cellStyle name="40% - Accent4 14 2 2 2" xfId="4373"/>
    <cellStyle name="40% - Accent4 14 2 2 2 2" xfId="7964"/>
    <cellStyle name="40% - Accent4 14 2 2 3" xfId="7963"/>
    <cellStyle name="40% - Accent4 14 2 3" xfId="4374"/>
    <cellStyle name="40% - Accent4 14 2 3 2" xfId="7965"/>
    <cellStyle name="40% - Accent4 14 2 4" xfId="7962"/>
    <cellStyle name="40% - Accent4 14 3" xfId="4375"/>
    <cellStyle name="40% - Accent4 14 3 2" xfId="4376"/>
    <cellStyle name="40% - Accent4 14 3 2 2" xfId="4377"/>
    <cellStyle name="40% - Accent4 14 3 2 2 2" xfId="7968"/>
    <cellStyle name="40% - Accent4 14 3 2 3" xfId="7967"/>
    <cellStyle name="40% - Accent4 14 3 3" xfId="4378"/>
    <cellStyle name="40% - Accent4 14 3 3 2" xfId="7969"/>
    <cellStyle name="40% - Accent4 14 3 4" xfId="7966"/>
    <cellStyle name="40% - Accent4 14 4" xfId="4379"/>
    <cellStyle name="40% - Accent4 14 4 2" xfId="4380"/>
    <cellStyle name="40% - Accent4 14 4 2 2" xfId="7971"/>
    <cellStyle name="40% - Accent4 14 4 3" xfId="7970"/>
    <cellStyle name="40% - Accent4 14 5" xfId="4381"/>
    <cellStyle name="40% - Accent4 14 5 2" xfId="7972"/>
    <cellStyle name="40% - Accent4 14 6" xfId="7961"/>
    <cellStyle name="40% - Accent4 15" xfId="4382"/>
    <cellStyle name="40% - Accent4 15 2" xfId="4383"/>
    <cellStyle name="40% - Accent4 15 2 2" xfId="4384"/>
    <cellStyle name="40% - Accent4 15 2 2 2" xfId="4385"/>
    <cellStyle name="40% - Accent4 15 2 2 2 2" xfId="7976"/>
    <cellStyle name="40% - Accent4 15 2 2 3" xfId="7975"/>
    <cellStyle name="40% - Accent4 15 2 3" xfId="4386"/>
    <cellStyle name="40% - Accent4 15 2 3 2" xfId="7977"/>
    <cellStyle name="40% - Accent4 15 2 4" xfId="7974"/>
    <cellStyle name="40% - Accent4 15 3" xfId="4387"/>
    <cellStyle name="40% - Accent4 15 3 2" xfId="4388"/>
    <cellStyle name="40% - Accent4 15 3 2 2" xfId="4389"/>
    <cellStyle name="40% - Accent4 15 3 2 2 2" xfId="7980"/>
    <cellStyle name="40% - Accent4 15 3 2 3" xfId="7979"/>
    <cellStyle name="40% - Accent4 15 3 3" xfId="4390"/>
    <cellStyle name="40% - Accent4 15 3 3 2" xfId="7981"/>
    <cellStyle name="40% - Accent4 15 3 4" xfId="7978"/>
    <cellStyle name="40% - Accent4 15 4" xfId="4391"/>
    <cellStyle name="40% - Accent4 15 4 2" xfId="4392"/>
    <cellStyle name="40% - Accent4 15 4 2 2" xfId="7983"/>
    <cellStyle name="40% - Accent4 15 4 3" xfId="7982"/>
    <cellStyle name="40% - Accent4 15 5" xfId="4393"/>
    <cellStyle name="40% - Accent4 15 5 2" xfId="7984"/>
    <cellStyle name="40% - Accent4 15 6" xfId="7973"/>
    <cellStyle name="40% - Accent4 16" xfId="4394"/>
    <cellStyle name="40% - Accent4 16 2" xfId="4395"/>
    <cellStyle name="40% - Accent4 16 2 2" xfId="4396"/>
    <cellStyle name="40% - Accent4 16 2 2 2" xfId="4397"/>
    <cellStyle name="40% - Accent4 16 2 2 2 2" xfId="7988"/>
    <cellStyle name="40% - Accent4 16 2 2 3" xfId="7987"/>
    <cellStyle name="40% - Accent4 16 2 3" xfId="4398"/>
    <cellStyle name="40% - Accent4 16 2 3 2" xfId="7989"/>
    <cellStyle name="40% - Accent4 16 2 4" xfId="7986"/>
    <cellStyle name="40% - Accent4 16 3" xfId="4399"/>
    <cellStyle name="40% - Accent4 16 3 2" xfId="4400"/>
    <cellStyle name="40% - Accent4 16 3 2 2" xfId="4401"/>
    <cellStyle name="40% - Accent4 16 3 2 2 2" xfId="7992"/>
    <cellStyle name="40% - Accent4 16 3 2 3" xfId="7991"/>
    <cellStyle name="40% - Accent4 16 3 3" xfId="4402"/>
    <cellStyle name="40% - Accent4 16 3 3 2" xfId="7993"/>
    <cellStyle name="40% - Accent4 16 3 4" xfId="7990"/>
    <cellStyle name="40% - Accent4 16 4" xfId="4403"/>
    <cellStyle name="40% - Accent4 16 4 2" xfId="4404"/>
    <cellStyle name="40% - Accent4 16 4 2 2" xfId="7995"/>
    <cellStyle name="40% - Accent4 16 4 3" xfId="7994"/>
    <cellStyle name="40% - Accent4 16 5" xfId="4405"/>
    <cellStyle name="40% - Accent4 16 5 2" xfId="7996"/>
    <cellStyle name="40% - Accent4 16 6" xfId="7985"/>
    <cellStyle name="40% - Accent4 17" xfId="4406"/>
    <cellStyle name="40% - Accent4 17 2" xfId="4407"/>
    <cellStyle name="40% - Accent4 17 2 2" xfId="4408"/>
    <cellStyle name="40% - Accent4 17 2 2 2" xfId="4409"/>
    <cellStyle name="40% - Accent4 17 2 2 2 2" xfId="8000"/>
    <cellStyle name="40% - Accent4 17 2 2 3" xfId="7999"/>
    <cellStyle name="40% - Accent4 17 2 3" xfId="4410"/>
    <cellStyle name="40% - Accent4 17 2 3 2" xfId="8001"/>
    <cellStyle name="40% - Accent4 17 2 4" xfId="7998"/>
    <cellStyle name="40% - Accent4 17 3" xfId="4411"/>
    <cellStyle name="40% - Accent4 17 3 2" xfId="4412"/>
    <cellStyle name="40% - Accent4 17 3 2 2" xfId="4413"/>
    <cellStyle name="40% - Accent4 17 3 2 2 2" xfId="8004"/>
    <cellStyle name="40% - Accent4 17 3 2 3" xfId="8003"/>
    <cellStyle name="40% - Accent4 17 3 3" xfId="4414"/>
    <cellStyle name="40% - Accent4 17 3 3 2" xfId="8005"/>
    <cellStyle name="40% - Accent4 17 3 4" xfId="8002"/>
    <cellStyle name="40% - Accent4 17 4" xfId="4415"/>
    <cellStyle name="40% - Accent4 17 4 2" xfId="4416"/>
    <cellStyle name="40% - Accent4 17 4 2 2" xfId="8007"/>
    <cellStyle name="40% - Accent4 17 4 3" xfId="8006"/>
    <cellStyle name="40% - Accent4 17 5" xfId="4417"/>
    <cellStyle name="40% - Accent4 17 5 2" xfId="8008"/>
    <cellStyle name="40% - Accent4 17 6" xfId="7997"/>
    <cellStyle name="40% - Accent4 18" xfId="4418"/>
    <cellStyle name="40% - Accent4 18 2" xfId="4419"/>
    <cellStyle name="40% - Accent4 18 2 2" xfId="4420"/>
    <cellStyle name="40% - Accent4 18 2 2 2" xfId="4421"/>
    <cellStyle name="40% - Accent4 18 2 2 2 2" xfId="8012"/>
    <cellStyle name="40% - Accent4 18 2 2 3" xfId="8011"/>
    <cellStyle name="40% - Accent4 18 2 3" xfId="4422"/>
    <cellStyle name="40% - Accent4 18 2 3 2" xfId="8013"/>
    <cellStyle name="40% - Accent4 18 2 4" xfId="8010"/>
    <cellStyle name="40% - Accent4 18 3" xfId="4423"/>
    <cellStyle name="40% - Accent4 18 3 2" xfId="4424"/>
    <cellStyle name="40% - Accent4 18 3 2 2" xfId="4425"/>
    <cellStyle name="40% - Accent4 18 3 2 2 2" xfId="8016"/>
    <cellStyle name="40% - Accent4 18 3 2 3" xfId="8015"/>
    <cellStyle name="40% - Accent4 18 3 3" xfId="4426"/>
    <cellStyle name="40% - Accent4 18 3 3 2" xfId="8017"/>
    <cellStyle name="40% - Accent4 18 3 4" xfId="8014"/>
    <cellStyle name="40% - Accent4 18 4" xfId="4427"/>
    <cellStyle name="40% - Accent4 18 4 2" xfId="4428"/>
    <cellStyle name="40% - Accent4 18 4 2 2" xfId="8019"/>
    <cellStyle name="40% - Accent4 18 4 3" xfId="8018"/>
    <cellStyle name="40% - Accent4 18 5" xfId="4429"/>
    <cellStyle name="40% - Accent4 18 5 2" xfId="8020"/>
    <cellStyle name="40% - Accent4 18 6" xfId="8009"/>
    <cellStyle name="40% - Accent4 19" xfId="4430"/>
    <cellStyle name="40% - Accent4 19 2" xfId="4431"/>
    <cellStyle name="40% - Accent4 19 2 2" xfId="4432"/>
    <cellStyle name="40% - Accent4 19 2 2 2" xfId="4433"/>
    <cellStyle name="40% - Accent4 19 2 2 2 2" xfId="8024"/>
    <cellStyle name="40% - Accent4 19 2 2 3" xfId="8023"/>
    <cellStyle name="40% - Accent4 19 2 3" xfId="4434"/>
    <cellStyle name="40% - Accent4 19 2 3 2" xfId="8025"/>
    <cellStyle name="40% - Accent4 19 2 4" xfId="8022"/>
    <cellStyle name="40% - Accent4 19 3" xfId="4435"/>
    <cellStyle name="40% - Accent4 19 3 2" xfId="4436"/>
    <cellStyle name="40% - Accent4 19 3 2 2" xfId="4437"/>
    <cellStyle name="40% - Accent4 19 3 2 2 2" xfId="8028"/>
    <cellStyle name="40% - Accent4 19 3 2 3" xfId="8027"/>
    <cellStyle name="40% - Accent4 19 3 3" xfId="4438"/>
    <cellStyle name="40% - Accent4 19 3 3 2" xfId="8029"/>
    <cellStyle name="40% - Accent4 19 3 4" xfId="8026"/>
    <cellStyle name="40% - Accent4 19 4" xfId="4439"/>
    <cellStyle name="40% - Accent4 19 4 2" xfId="4440"/>
    <cellStyle name="40% - Accent4 19 4 2 2" xfId="8031"/>
    <cellStyle name="40% - Accent4 19 4 3" xfId="8030"/>
    <cellStyle name="40% - Accent4 19 5" xfId="4441"/>
    <cellStyle name="40% - Accent4 19 5 2" xfId="8032"/>
    <cellStyle name="40% - Accent4 19 6" xfId="8021"/>
    <cellStyle name="40% - Accent4 2" xfId="4442"/>
    <cellStyle name="40% - Accent4 2 2" xfId="4443"/>
    <cellStyle name="40% - Accent4 2 2 2" xfId="4444"/>
    <cellStyle name="40% - Accent4 2 2 2 2" xfId="4445"/>
    <cellStyle name="40% - Accent4 2 2 2 2 2" xfId="8036"/>
    <cellStyle name="40% - Accent4 2 2 2 3" xfId="8035"/>
    <cellStyle name="40% - Accent4 2 2 3" xfId="4446"/>
    <cellStyle name="40% - Accent4 2 2 3 2" xfId="8037"/>
    <cellStyle name="40% - Accent4 2 2 4" xfId="8034"/>
    <cellStyle name="40% - Accent4 2 3" xfId="4447"/>
    <cellStyle name="40% - Accent4 2 3 2" xfId="4448"/>
    <cellStyle name="40% - Accent4 2 3 2 2" xfId="4449"/>
    <cellStyle name="40% - Accent4 2 3 2 2 2" xfId="8040"/>
    <cellStyle name="40% - Accent4 2 3 2 3" xfId="8039"/>
    <cellStyle name="40% - Accent4 2 3 3" xfId="4450"/>
    <cellStyle name="40% - Accent4 2 3 3 2" xfId="8041"/>
    <cellStyle name="40% - Accent4 2 3 4" xfId="8038"/>
    <cellStyle name="40% - Accent4 2 4" xfId="4451"/>
    <cellStyle name="40% - Accent4 2 4 2" xfId="4452"/>
    <cellStyle name="40% - Accent4 2 4 2 2" xfId="8043"/>
    <cellStyle name="40% - Accent4 2 4 3" xfId="8042"/>
    <cellStyle name="40% - Accent4 2 5" xfId="4453"/>
    <cellStyle name="40% - Accent4 2 5 2" xfId="8044"/>
    <cellStyle name="40% - Accent4 2 6" xfId="8033"/>
    <cellStyle name="40% - Accent4 20" xfId="4454"/>
    <cellStyle name="40% - Accent4 20 2" xfId="4455"/>
    <cellStyle name="40% - Accent4 20 2 2" xfId="4456"/>
    <cellStyle name="40% - Accent4 20 2 2 2" xfId="4457"/>
    <cellStyle name="40% - Accent4 20 2 2 2 2" xfId="8048"/>
    <cellStyle name="40% - Accent4 20 2 2 3" xfId="8047"/>
    <cellStyle name="40% - Accent4 20 2 3" xfId="4458"/>
    <cellStyle name="40% - Accent4 20 2 3 2" xfId="8049"/>
    <cellStyle name="40% - Accent4 20 2 4" xfId="8046"/>
    <cellStyle name="40% - Accent4 20 3" xfId="4459"/>
    <cellStyle name="40% - Accent4 20 3 2" xfId="4460"/>
    <cellStyle name="40% - Accent4 20 3 2 2" xfId="4461"/>
    <cellStyle name="40% - Accent4 20 3 2 2 2" xfId="8052"/>
    <cellStyle name="40% - Accent4 20 3 2 3" xfId="8051"/>
    <cellStyle name="40% - Accent4 20 3 3" xfId="4462"/>
    <cellStyle name="40% - Accent4 20 3 3 2" xfId="8053"/>
    <cellStyle name="40% - Accent4 20 3 4" xfId="8050"/>
    <cellStyle name="40% - Accent4 20 4" xfId="4463"/>
    <cellStyle name="40% - Accent4 20 4 2" xfId="4464"/>
    <cellStyle name="40% - Accent4 20 4 2 2" xfId="8055"/>
    <cellStyle name="40% - Accent4 20 4 3" xfId="8054"/>
    <cellStyle name="40% - Accent4 20 5" xfId="4465"/>
    <cellStyle name="40% - Accent4 20 5 2" xfId="8056"/>
    <cellStyle name="40% - Accent4 20 6" xfId="8045"/>
    <cellStyle name="40% - Accent4 21" xfId="4466"/>
    <cellStyle name="40% - Accent4 21 2" xfId="4467"/>
    <cellStyle name="40% - Accent4 21 2 2" xfId="4468"/>
    <cellStyle name="40% - Accent4 21 2 2 2" xfId="4469"/>
    <cellStyle name="40% - Accent4 21 2 2 2 2" xfId="8060"/>
    <cellStyle name="40% - Accent4 21 2 2 3" xfId="8059"/>
    <cellStyle name="40% - Accent4 21 2 3" xfId="4470"/>
    <cellStyle name="40% - Accent4 21 2 3 2" xfId="8061"/>
    <cellStyle name="40% - Accent4 21 2 4" xfId="8058"/>
    <cellStyle name="40% - Accent4 21 3" xfId="4471"/>
    <cellStyle name="40% - Accent4 21 3 2" xfId="4472"/>
    <cellStyle name="40% - Accent4 21 3 2 2" xfId="4473"/>
    <cellStyle name="40% - Accent4 21 3 2 2 2" xfId="8064"/>
    <cellStyle name="40% - Accent4 21 3 2 3" xfId="8063"/>
    <cellStyle name="40% - Accent4 21 3 3" xfId="4474"/>
    <cellStyle name="40% - Accent4 21 3 3 2" xfId="8065"/>
    <cellStyle name="40% - Accent4 21 3 4" xfId="8062"/>
    <cellStyle name="40% - Accent4 21 4" xfId="4475"/>
    <cellStyle name="40% - Accent4 21 4 2" xfId="4476"/>
    <cellStyle name="40% - Accent4 21 4 2 2" xfId="8067"/>
    <cellStyle name="40% - Accent4 21 4 3" xfId="8066"/>
    <cellStyle name="40% - Accent4 21 5" xfId="4477"/>
    <cellStyle name="40% - Accent4 21 5 2" xfId="8068"/>
    <cellStyle name="40% - Accent4 21 6" xfId="8057"/>
    <cellStyle name="40% - Accent4 22" xfId="4478"/>
    <cellStyle name="40% - Accent4 22 2" xfId="4479"/>
    <cellStyle name="40% - Accent4 22 2 2" xfId="4480"/>
    <cellStyle name="40% - Accent4 22 2 2 2" xfId="4481"/>
    <cellStyle name="40% - Accent4 22 2 2 2 2" xfId="8072"/>
    <cellStyle name="40% - Accent4 22 2 2 3" xfId="8071"/>
    <cellStyle name="40% - Accent4 22 2 3" xfId="4482"/>
    <cellStyle name="40% - Accent4 22 2 3 2" xfId="8073"/>
    <cellStyle name="40% - Accent4 22 2 4" xfId="8070"/>
    <cellStyle name="40% - Accent4 22 3" xfId="4483"/>
    <cellStyle name="40% - Accent4 22 3 2" xfId="4484"/>
    <cellStyle name="40% - Accent4 22 3 2 2" xfId="4485"/>
    <cellStyle name="40% - Accent4 22 3 2 2 2" xfId="8076"/>
    <cellStyle name="40% - Accent4 22 3 2 3" xfId="8075"/>
    <cellStyle name="40% - Accent4 22 3 3" xfId="4486"/>
    <cellStyle name="40% - Accent4 22 3 3 2" xfId="8077"/>
    <cellStyle name="40% - Accent4 22 3 4" xfId="8074"/>
    <cellStyle name="40% - Accent4 22 4" xfId="4487"/>
    <cellStyle name="40% - Accent4 22 4 2" xfId="4488"/>
    <cellStyle name="40% - Accent4 22 4 2 2" xfId="8079"/>
    <cellStyle name="40% - Accent4 22 4 3" xfId="8078"/>
    <cellStyle name="40% - Accent4 22 5" xfId="4489"/>
    <cellStyle name="40% - Accent4 22 5 2" xfId="8080"/>
    <cellStyle name="40% - Accent4 22 6" xfId="8069"/>
    <cellStyle name="40% - Accent4 23" xfId="4490"/>
    <cellStyle name="40% - Accent4 23 2" xfId="4491"/>
    <cellStyle name="40% - Accent4 23 2 2" xfId="4492"/>
    <cellStyle name="40% - Accent4 23 2 2 2" xfId="4493"/>
    <cellStyle name="40% - Accent4 23 2 2 2 2" xfId="8084"/>
    <cellStyle name="40% - Accent4 23 2 2 3" xfId="8083"/>
    <cellStyle name="40% - Accent4 23 2 3" xfId="4494"/>
    <cellStyle name="40% - Accent4 23 2 3 2" xfId="8085"/>
    <cellStyle name="40% - Accent4 23 2 4" xfId="8082"/>
    <cellStyle name="40% - Accent4 23 3" xfId="4495"/>
    <cellStyle name="40% - Accent4 23 3 2" xfId="4496"/>
    <cellStyle name="40% - Accent4 23 3 2 2" xfId="4497"/>
    <cellStyle name="40% - Accent4 23 3 2 2 2" xfId="8088"/>
    <cellStyle name="40% - Accent4 23 3 2 3" xfId="8087"/>
    <cellStyle name="40% - Accent4 23 3 3" xfId="4498"/>
    <cellStyle name="40% - Accent4 23 3 3 2" xfId="8089"/>
    <cellStyle name="40% - Accent4 23 3 4" xfId="8086"/>
    <cellStyle name="40% - Accent4 23 4" xfId="4499"/>
    <cellStyle name="40% - Accent4 23 4 2" xfId="4500"/>
    <cellStyle name="40% - Accent4 23 4 2 2" xfId="8091"/>
    <cellStyle name="40% - Accent4 23 4 3" xfId="8090"/>
    <cellStyle name="40% - Accent4 23 5" xfId="4501"/>
    <cellStyle name="40% - Accent4 23 5 2" xfId="8092"/>
    <cellStyle name="40% - Accent4 23 6" xfId="8081"/>
    <cellStyle name="40% - Accent4 24" xfId="4502"/>
    <cellStyle name="40% - Accent4 24 2" xfId="4503"/>
    <cellStyle name="40% - Accent4 24 2 2" xfId="4504"/>
    <cellStyle name="40% - Accent4 24 2 2 2" xfId="4505"/>
    <cellStyle name="40% - Accent4 24 2 2 2 2" xfId="8096"/>
    <cellStyle name="40% - Accent4 24 2 2 3" xfId="8095"/>
    <cellStyle name="40% - Accent4 24 2 3" xfId="4506"/>
    <cellStyle name="40% - Accent4 24 2 3 2" xfId="8097"/>
    <cellStyle name="40% - Accent4 24 2 4" xfId="8094"/>
    <cellStyle name="40% - Accent4 24 3" xfId="4507"/>
    <cellStyle name="40% - Accent4 24 3 2" xfId="4508"/>
    <cellStyle name="40% - Accent4 24 3 2 2" xfId="4509"/>
    <cellStyle name="40% - Accent4 24 3 2 2 2" xfId="8100"/>
    <cellStyle name="40% - Accent4 24 3 2 3" xfId="8099"/>
    <cellStyle name="40% - Accent4 24 3 3" xfId="4510"/>
    <cellStyle name="40% - Accent4 24 3 3 2" xfId="8101"/>
    <cellStyle name="40% - Accent4 24 3 4" xfId="8098"/>
    <cellStyle name="40% - Accent4 24 4" xfId="4511"/>
    <cellStyle name="40% - Accent4 24 4 2" xfId="4512"/>
    <cellStyle name="40% - Accent4 24 4 2 2" xfId="8103"/>
    <cellStyle name="40% - Accent4 24 4 3" xfId="8102"/>
    <cellStyle name="40% - Accent4 24 5" xfId="4513"/>
    <cellStyle name="40% - Accent4 24 5 2" xfId="8104"/>
    <cellStyle name="40% - Accent4 24 6" xfId="8093"/>
    <cellStyle name="40% - Accent4 25" xfId="4514"/>
    <cellStyle name="40% - Accent4 25 2" xfId="4515"/>
    <cellStyle name="40% - Accent4 25 2 2" xfId="4516"/>
    <cellStyle name="40% - Accent4 25 2 2 2" xfId="4517"/>
    <cellStyle name="40% - Accent4 25 2 2 2 2" xfId="8108"/>
    <cellStyle name="40% - Accent4 25 2 2 3" xfId="8107"/>
    <cellStyle name="40% - Accent4 25 2 3" xfId="4518"/>
    <cellStyle name="40% - Accent4 25 2 3 2" xfId="8109"/>
    <cellStyle name="40% - Accent4 25 2 4" xfId="8106"/>
    <cellStyle name="40% - Accent4 25 3" xfId="4519"/>
    <cellStyle name="40% - Accent4 25 3 2" xfId="4520"/>
    <cellStyle name="40% - Accent4 25 3 2 2" xfId="4521"/>
    <cellStyle name="40% - Accent4 25 3 2 2 2" xfId="8112"/>
    <cellStyle name="40% - Accent4 25 3 2 3" xfId="8111"/>
    <cellStyle name="40% - Accent4 25 3 3" xfId="4522"/>
    <cellStyle name="40% - Accent4 25 3 3 2" xfId="8113"/>
    <cellStyle name="40% - Accent4 25 3 4" xfId="8110"/>
    <cellStyle name="40% - Accent4 25 4" xfId="4523"/>
    <cellStyle name="40% - Accent4 25 4 2" xfId="4524"/>
    <cellStyle name="40% - Accent4 25 4 2 2" xfId="8115"/>
    <cellStyle name="40% - Accent4 25 4 3" xfId="8114"/>
    <cellStyle name="40% - Accent4 25 5" xfId="4525"/>
    <cellStyle name="40% - Accent4 25 5 2" xfId="8116"/>
    <cellStyle name="40% - Accent4 25 6" xfId="8105"/>
    <cellStyle name="40% - Accent4 26" xfId="4526"/>
    <cellStyle name="40% - Accent4 26 2" xfId="4527"/>
    <cellStyle name="40% - Accent4 26 2 2" xfId="4528"/>
    <cellStyle name="40% - Accent4 26 2 2 2" xfId="4529"/>
    <cellStyle name="40% - Accent4 26 2 2 2 2" xfId="8120"/>
    <cellStyle name="40% - Accent4 26 2 2 3" xfId="8119"/>
    <cellStyle name="40% - Accent4 26 2 3" xfId="4530"/>
    <cellStyle name="40% - Accent4 26 2 3 2" xfId="8121"/>
    <cellStyle name="40% - Accent4 26 2 4" xfId="8118"/>
    <cellStyle name="40% - Accent4 26 3" xfId="4531"/>
    <cellStyle name="40% - Accent4 26 3 2" xfId="4532"/>
    <cellStyle name="40% - Accent4 26 3 2 2" xfId="4533"/>
    <cellStyle name="40% - Accent4 26 3 2 2 2" xfId="8124"/>
    <cellStyle name="40% - Accent4 26 3 2 3" xfId="8123"/>
    <cellStyle name="40% - Accent4 26 3 3" xfId="4534"/>
    <cellStyle name="40% - Accent4 26 3 3 2" xfId="8125"/>
    <cellStyle name="40% - Accent4 26 3 4" xfId="8122"/>
    <cellStyle name="40% - Accent4 26 4" xfId="4535"/>
    <cellStyle name="40% - Accent4 26 4 2" xfId="4536"/>
    <cellStyle name="40% - Accent4 26 4 2 2" xfId="8127"/>
    <cellStyle name="40% - Accent4 26 4 3" xfId="8126"/>
    <cellStyle name="40% - Accent4 26 5" xfId="4537"/>
    <cellStyle name="40% - Accent4 26 5 2" xfId="8128"/>
    <cellStyle name="40% - Accent4 26 6" xfId="8117"/>
    <cellStyle name="40% - Accent4 27" xfId="4538"/>
    <cellStyle name="40% - Accent4 27 2" xfId="4539"/>
    <cellStyle name="40% - Accent4 27 2 2" xfId="4540"/>
    <cellStyle name="40% - Accent4 27 2 2 2" xfId="4541"/>
    <cellStyle name="40% - Accent4 27 2 2 2 2" xfId="8132"/>
    <cellStyle name="40% - Accent4 27 2 2 3" xfId="8131"/>
    <cellStyle name="40% - Accent4 27 2 3" xfId="4542"/>
    <cellStyle name="40% - Accent4 27 2 3 2" xfId="8133"/>
    <cellStyle name="40% - Accent4 27 2 4" xfId="8130"/>
    <cellStyle name="40% - Accent4 27 3" xfId="4543"/>
    <cellStyle name="40% - Accent4 27 3 2" xfId="4544"/>
    <cellStyle name="40% - Accent4 27 3 2 2" xfId="4545"/>
    <cellStyle name="40% - Accent4 27 3 2 2 2" xfId="8136"/>
    <cellStyle name="40% - Accent4 27 3 2 3" xfId="8135"/>
    <cellStyle name="40% - Accent4 27 3 3" xfId="4546"/>
    <cellStyle name="40% - Accent4 27 3 3 2" xfId="8137"/>
    <cellStyle name="40% - Accent4 27 3 4" xfId="8134"/>
    <cellStyle name="40% - Accent4 27 4" xfId="4547"/>
    <cellStyle name="40% - Accent4 27 4 2" xfId="4548"/>
    <cellStyle name="40% - Accent4 27 4 2 2" xfId="8139"/>
    <cellStyle name="40% - Accent4 27 4 3" xfId="8138"/>
    <cellStyle name="40% - Accent4 27 5" xfId="4549"/>
    <cellStyle name="40% - Accent4 27 5 2" xfId="8140"/>
    <cellStyle name="40% - Accent4 27 6" xfId="8129"/>
    <cellStyle name="40% - Accent4 28" xfId="4550"/>
    <cellStyle name="40% - Accent4 28 2" xfId="4551"/>
    <cellStyle name="40% - Accent4 28 2 2" xfId="4552"/>
    <cellStyle name="40% - Accent4 28 2 2 2" xfId="4553"/>
    <cellStyle name="40% - Accent4 28 2 2 2 2" xfId="8144"/>
    <cellStyle name="40% - Accent4 28 2 2 3" xfId="8143"/>
    <cellStyle name="40% - Accent4 28 2 3" xfId="4554"/>
    <cellStyle name="40% - Accent4 28 2 3 2" xfId="8145"/>
    <cellStyle name="40% - Accent4 28 2 4" xfId="8142"/>
    <cellStyle name="40% - Accent4 28 3" xfId="4555"/>
    <cellStyle name="40% - Accent4 28 3 2" xfId="4556"/>
    <cellStyle name="40% - Accent4 28 3 2 2" xfId="4557"/>
    <cellStyle name="40% - Accent4 28 3 2 2 2" xfId="8148"/>
    <cellStyle name="40% - Accent4 28 3 2 3" xfId="8147"/>
    <cellStyle name="40% - Accent4 28 3 3" xfId="4558"/>
    <cellStyle name="40% - Accent4 28 3 3 2" xfId="8149"/>
    <cellStyle name="40% - Accent4 28 3 4" xfId="8146"/>
    <cellStyle name="40% - Accent4 28 4" xfId="4559"/>
    <cellStyle name="40% - Accent4 28 4 2" xfId="4560"/>
    <cellStyle name="40% - Accent4 28 4 2 2" xfId="8151"/>
    <cellStyle name="40% - Accent4 28 4 3" xfId="8150"/>
    <cellStyle name="40% - Accent4 28 5" xfId="4561"/>
    <cellStyle name="40% - Accent4 28 5 2" xfId="8152"/>
    <cellStyle name="40% - Accent4 28 6" xfId="8141"/>
    <cellStyle name="40% - Accent4 29" xfId="4562"/>
    <cellStyle name="40% - Accent4 29 2" xfId="4563"/>
    <cellStyle name="40% - Accent4 29 2 2" xfId="4564"/>
    <cellStyle name="40% - Accent4 29 2 2 2" xfId="4565"/>
    <cellStyle name="40% - Accent4 29 2 2 2 2" xfId="8156"/>
    <cellStyle name="40% - Accent4 29 2 2 3" xfId="8155"/>
    <cellStyle name="40% - Accent4 29 2 3" xfId="4566"/>
    <cellStyle name="40% - Accent4 29 2 3 2" xfId="8157"/>
    <cellStyle name="40% - Accent4 29 2 4" xfId="8154"/>
    <cellStyle name="40% - Accent4 29 3" xfId="4567"/>
    <cellStyle name="40% - Accent4 29 3 2" xfId="4568"/>
    <cellStyle name="40% - Accent4 29 3 2 2" xfId="4569"/>
    <cellStyle name="40% - Accent4 29 3 2 2 2" xfId="8160"/>
    <cellStyle name="40% - Accent4 29 3 2 3" xfId="8159"/>
    <cellStyle name="40% - Accent4 29 3 3" xfId="4570"/>
    <cellStyle name="40% - Accent4 29 3 3 2" xfId="8161"/>
    <cellStyle name="40% - Accent4 29 3 4" xfId="8158"/>
    <cellStyle name="40% - Accent4 29 4" xfId="4571"/>
    <cellStyle name="40% - Accent4 29 4 2" xfId="4572"/>
    <cellStyle name="40% - Accent4 29 4 2 2" xfId="8163"/>
    <cellStyle name="40% - Accent4 29 4 3" xfId="8162"/>
    <cellStyle name="40% - Accent4 29 5" xfId="4573"/>
    <cellStyle name="40% - Accent4 29 5 2" xfId="8164"/>
    <cellStyle name="40% - Accent4 29 6" xfId="8153"/>
    <cellStyle name="40% - Accent4 3" xfId="4574"/>
    <cellStyle name="40% - Accent4 3 2" xfId="4575"/>
    <cellStyle name="40% - Accent4 3 2 2" xfId="4576"/>
    <cellStyle name="40% - Accent4 3 2 2 2" xfId="4577"/>
    <cellStyle name="40% - Accent4 3 2 2 2 2" xfId="8168"/>
    <cellStyle name="40% - Accent4 3 2 2 3" xfId="8167"/>
    <cellStyle name="40% - Accent4 3 2 3" xfId="4578"/>
    <cellStyle name="40% - Accent4 3 2 3 2" xfId="8169"/>
    <cellStyle name="40% - Accent4 3 2 4" xfId="8166"/>
    <cellStyle name="40% - Accent4 3 3" xfId="4579"/>
    <cellStyle name="40% - Accent4 3 3 2" xfId="4580"/>
    <cellStyle name="40% - Accent4 3 3 2 2" xfId="4581"/>
    <cellStyle name="40% - Accent4 3 3 2 2 2" xfId="8172"/>
    <cellStyle name="40% - Accent4 3 3 2 3" xfId="8171"/>
    <cellStyle name="40% - Accent4 3 3 3" xfId="4582"/>
    <cellStyle name="40% - Accent4 3 3 3 2" xfId="8173"/>
    <cellStyle name="40% - Accent4 3 3 4" xfId="8170"/>
    <cellStyle name="40% - Accent4 3 4" xfId="4583"/>
    <cellStyle name="40% - Accent4 3 4 2" xfId="4584"/>
    <cellStyle name="40% - Accent4 3 4 2 2" xfId="8175"/>
    <cellStyle name="40% - Accent4 3 4 3" xfId="8174"/>
    <cellStyle name="40% - Accent4 3 5" xfId="4585"/>
    <cellStyle name="40% - Accent4 3 5 2" xfId="8176"/>
    <cellStyle name="40% - Accent4 3 6" xfId="8165"/>
    <cellStyle name="40% - Accent4 30" xfId="4586"/>
    <cellStyle name="40% - Accent4 30 2" xfId="4587"/>
    <cellStyle name="40% - Accent4 30 2 2" xfId="4588"/>
    <cellStyle name="40% - Accent4 30 2 2 2" xfId="4589"/>
    <cellStyle name="40% - Accent4 30 2 2 2 2" xfId="8180"/>
    <cellStyle name="40% - Accent4 30 2 2 3" xfId="8179"/>
    <cellStyle name="40% - Accent4 30 2 3" xfId="4590"/>
    <cellStyle name="40% - Accent4 30 2 3 2" xfId="8181"/>
    <cellStyle name="40% - Accent4 30 2 4" xfId="8178"/>
    <cellStyle name="40% - Accent4 30 3" xfId="4591"/>
    <cellStyle name="40% - Accent4 30 3 2" xfId="4592"/>
    <cellStyle name="40% - Accent4 30 3 2 2" xfId="4593"/>
    <cellStyle name="40% - Accent4 30 3 2 2 2" xfId="8184"/>
    <cellStyle name="40% - Accent4 30 3 2 3" xfId="8183"/>
    <cellStyle name="40% - Accent4 30 3 3" xfId="4594"/>
    <cellStyle name="40% - Accent4 30 3 3 2" xfId="8185"/>
    <cellStyle name="40% - Accent4 30 3 4" xfId="8182"/>
    <cellStyle name="40% - Accent4 30 4" xfId="4595"/>
    <cellStyle name="40% - Accent4 30 4 2" xfId="4596"/>
    <cellStyle name="40% - Accent4 30 4 2 2" xfId="8187"/>
    <cellStyle name="40% - Accent4 30 4 3" xfId="8186"/>
    <cellStyle name="40% - Accent4 30 5" xfId="4597"/>
    <cellStyle name="40% - Accent4 30 5 2" xfId="8188"/>
    <cellStyle name="40% - Accent4 30 6" xfId="8177"/>
    <cellStyle name="40% - Accent4 31" xfId="4598"/>
    <cellStyle name="40% - Accent4 31 2" xfId="4599"/>
    <cellStyle name="40% - Accent4 31 2 2" xfId="4600"/>
    <cellStyle name="40% - Accent4 31 2 2 2" xfId="4601"/>
    <cellStyle name="40% - Accent4 31 2 2 2 2" xfId="8192"/>
    <cellStyle name="40% - Accent4 31 2 2 3" xfId="8191"/>
    <cellStyle name="40% - Accent4 31 2 3" xfId="4602"/>
    <cellStyle name="40% - Accent4 31 2 3 2" xfId="8193"/>
    <cellStyle name="40% - Accent4 31 2 4" xfId="8190"/>
    <cellStyle name="40% - Accent4 31 3" xfId="4603"/>
    <cellStyle name="40% - Accent4 31 3 2" xfId="4604"/>
    <cellStyle name="40% - Accent4 31 3 2 2" xfId="4605"/>
    <cellStyle name="40% - Accent4 31 3 2 2 2" xfId="8196"/>
    <cellStyle name="40% - Accent4 31 3 2 3" xfId="8195"/>
    <cellStyle name="40% - Accent4 31 3 3" xfId="4606"/>
    <cellStyle name="40% - Accent4 31 3 3 2" xfId="8197"/>
    <cellStyle name="40% - Accent4 31 3 4" xfId="8194"/>
    <cellStyle name="40% - Accent4 31 4" xfId="4607"/>
    <cellStyle name="40% - Accent4 31 4 2" xfId="4608"/>
    <cellStyle name="40% - Accent4 31 4 2 2" xfId="8199"/>
    <cellStyle name="40% - Accent4 31 4 3" xfId="8198"/>
    <cellStyle name="40% - Accent4 31 5" xfId="4609"/>
    <cellStyle name="40% - Accent4 31 5 2" xfId="8200"/>
    <cellStyle name="40% - Accent4 31 6" xfId="8189"/>
    <cellStyle name="40% - Accent4 32" xfId="4610"/>
    <cellStyle name="40% - Accent4 32 2" xfId="4611"/>
    <cellStyle name="40% - Accent4 32 2 2" xfId="4612"/>
    <cellStyle name="40% - Accent4 32 2 2 2" xfId="4613"/>
    <cellStyle name="40% - Accent4 32 2 2 2 2" xfId="8204"/>
    <cellStyle name="40% - Accent4 32 2 2 3" xfId="8203"/>
    <cellStyle name="40% - Accent4 32 2 3" xfId="4614"/>
    <cellStyle name="40% - Accent4 32 2 3 2" xfId="8205"/>
    <cellStyle name="40% - Accent4 32 2 4" xfId="8202"/>
    <cellStyle name="40% - Accent4 32 3" xfId="4615"/>
    <cellStyle name="40% - Accent4 32 3 2" xfId="4616"/>
    <cellStyle name="40% - Accent4 32 3 2 2" xfId="4617"/>
    <cellStyle name="40% - Accent4 32 3 2 2 2" xfId="8208"/>
    <cellStyle name="40% - Accent4 32 3 2 3" xfId="8207"/>
    <cellStyle name="40% - Accent4 32 3 3" xfId="4618"/>
    <cellStyle name="40% - Accent4 32 3 3 2" xfId="8209"/>
    <cellStyle name="40% - Accent4 32 3 4" xfId="8206"/>
    <cellStyle name="40% - Accent4 32 4" xfId="4619"/>
    <cellStyle name="40% - Accent4 32 4 2" xfId="4620"/>
    <cellStyle name="40% - Accent4 32 4 2 2" xfId="8211"/>
    <cellStyle name="40% - Accent4 32 4 3" xfId="8210"/>
    <cellStyle name="40% - Accent4 32 5" xfId="4621"/>
    <cellStyle name="40% - Accent4 32 5 2" xfId="8212"/>
    <cellStyle name="40% - Accent4 32 6" xfId="8201"/>
    <cellStyle name="40% - Accent4 33" xfId="4622"/>
    <cellStyle name="40% - Accent4 33 2" xfId="4623"/>
    <cellStyle name="40% - Accent4 33 2 2" xfId="4624"/>
    <cellStyle name="40% - Accent4 33 2 2 2" xfId="4625"/>
    <cellStyle name="40% - Accent4 33 2 2 2 2" xfId="8216"/>
    <cellStyle name="40% - Accent4 33 2 2 3" xfId="8215"/>
    <cellStyle name="40% - Accent4 33 2 3" xfId="4626"/>
    <cellStyle name="40% - Accent4 33 2 3 2" xfId="8217"/>
    <cellStyle name="40% - Accent4 33 2 4" xfId="8214"/>
    <cellStyle name="40% - Accent4 33 3" xfId="4627"/>
    <cellStyle name="40% - Accent4 33 3 2" xfId="4628"/>
    <cellStyle name="40% - Accent4 33 3 2 2" xfId="4629"/>
    <cellStyle name="40% - Accent4 33 3 2 2 2" xfId="8220"/>
    <cellStyle name="40% - Accent4 33 3 2 3" xfId="8219"/>
    <cellStyle name="40% - Accent4 33 3 3" xfId="4630"/>
    <cellStyle name="40% - Accent4 33 3 3 2" xfId="8221"/>
    <cellStyle name="40% - Accent4 33 3 4" xfId="8218"/>
    <cellStyle name="40% - Accent4 33 4" xfId="4631"/>
    <cellStyle name="40% - Accent4 33 4 2" xfId="4632"/>
    <cellStyle name="40% - Accent4 33 4 2 2" xfId="8223"/>
    <cellStyle name="40% - Accent4 33 4 3" xfId="8222"/>
    <cellStyle name="40% - Accent4 33 5" xfId="4633"/>
    <cellStyle name="40% - Accent4 33 5 2" xfId="8224"/>
    <cellStyle name="40% - Accent4 33 6" xfId="8213"/>
    <cellStyle name="40% - Accent4 34" xfId="4634"/>
    <cellStyle name="40% - Accent4 34 2" xfId="4635"/>
    <cellStyle name="40% - Accent4 34 2 2" xfId="4636"/>
    <cellStyle name="40% - Accent4 34 2 2 2" xfId="4637"/>
    <cellStyle name="40% - Accent4 34 2 2 2 2" xfId="8228"/>
    <cellStyle name="40% - Accent4 34 2 2 3" xfId="8227"/>
    <cellStyle name="40% - Accent4 34 2 3" xfId="4638"/>
    <cellStyle name="40% - Accent4 34 2 3 2" xfId="8229"/>
    <cellStyle name="40% - Accent4 34 2 4" xfId="8226"/>
    <cellStyle name="40% - Accent4 34 3" xfId="4639"/>
    <cellStyle name="40% - Accent4 34 3 2" xfId="4640"/>
    <cellStyle name="40% - Accent4 34 3 2 2" xfId="8231"/>
    <cellStyle name="40% - Accent4 34 3 3" xfId="8230"/>
    <cellStyle name="40% - Accent4 34 4" xfId="4641"/>
    <cellStyle name="40% - Accent4 34 4 2" xfId="8232"/>
    <cellStyle name="40% - Accent4 34 5" xfId="8225"/>
    <cellStyle name="40% - Accent4 35" xfId="4642"/>
    <cellStyle name="40% - Accent4 35 2" xfId="4643"/>
    <cellStyle name="40% - Accent4 35 2 2" xfId="4644"/>
    <cellStyle name="40% - Accent4 35 2 2 2" xfId="8235"/>
    <cellStyle name="40% - Accent4 35 2 3" xfId="8234"/>
    <cellStyle name="40% - Accent4 35 3" xfId="4645"/>
    <cellStyle name="40% - Accent4 35 3 2" xfId="8236"/>
    <cellStyle name="40% - Accent4 35 4" xfId="8233"/>
    <cellStyle name="40% - Accent4 36" xfId="4646"/>
    <cellStyle name="40% - Accent4 36 2" xfId="4647"/>
    <cellStyle name="40% - Accent4 36 2 2" xfId="4648"/>
    <cellStyle name="40% - Accent4 36 2 2 2" xfId="8239"/>
    <cellStyle name="40% - Accent4 36 2 3" xfId="8238"/>
    <cellStyle name="40% - Accent4 36 3" xfId="4649"/>
    <cellStyle name="40% - Accent4 36 3 2" xfId="8240"/>
    <cellStyle name="40% - Accent4 36 4" xfId="8237"/>
    <cellStyle name="40% - Accent4 37" xfId="4650"/>
    <cellStyle name="40% - Accent4 37 2" xfId="4651"/>
    <cellStyle name="40% - Accent4 37 2 2" xfId="4652"/>
    <cellStyle name="40% - Accent4 37 2 2 2" xfId="8243"/>
    <cellStyle name="40% - Accent4 37 2 3" xfId="8242"/>
    <cellStyle name="40% - Accent4 37 3" xfId="4653"/>
    <cellStyle name="40% - Accent4 37 3 2" xfId="8244"/>
    <cellStyle name="40% - Accent4 37 4" xfId="8241"/>
    <cellStyle name="40% - Accent4 38" xfId="4654"/>
    <cellStyle name="40% - Accent4 38 2" xfId="4655"/>
    <cellStyle name="40% - Accent4 38 2 2" xfId="4656"/>
    <cellStyle name="40% - Accent4 38 2 2 2" xfId="8247"/>
    <cellStyle name="40% - Accent4 38 2 3" xfId="8246"/>
    <cellStyle name="40% - Accent4 38 3" xfId="4657"/>
    <cellStyle name="40% - Accent4 38 3 2" xfId="8248"/>
    <cellStyle name="40% - Accent4 38 4" xfId="8245"/>
    <cellStyle name="40% - Accent4 39" xfId="4658"/>
    <cellStyle name="40% - Accent4 39 2" xfId="4659"/>
    <cellStyle name="40% - Accent4 39 2 2" xfId="4660"/>
    <cellStyle name="40% - Accent4 39 2 2 2" xfId="8251"/>
    <cellStyle name="40% - Accent4 39 2 3" xfId="8250"/>
    <cellStyle name="40% - Accent4 39 3" xfId="4661"/>
    <cellStyle name="40% - Accent4 39 3 2" xfId="8252"/>
    <cellStyle name="40% - Accent4 39 4" xfId="8249"/>
    <cellStyle name="40% - Accent4 4" xfId="4662"/>
    <cellStyle name="40% - Accent4 4 2" xfId="4663"/>
    <cellStyle name="40% - Accent4 4 2 2" xfId="4664"/>
    <cellStyle name="40% - Accent4 4 2 2 2" xfId="4665"/>
    <cellStyle name="40% - Accent4 4 2 2 2 2" xfId="8256"/>
    <cellStyle name="40% - Accent4 4 2 2 3" xfId="8255"/>
    <cellStyle name="40% - Accent4 4 2 3" xfId="4666"/>
    <cellStyle name="40% - Accent4 4 2 3 2" xfId="8257"/>
    <cellStyle name="40% - Accent4 4 2 4" xfId="8254"/>
    <cellStyle name="40% - Accent4 4 3" xfId="4667"/>
    <cellStyle name="40% - Accent4 4 3 2" xfId="4668"/>
    <cellStyle name="40% - Accent4 4 3 2 2" xfId="4669"/>
    <cellStyle name="40% - Accent4 4 3 2 2 2" xfId="8260"/>
    <cellStyle name="40% - Accent4 4 3 2 3" xfId="8259"/>
    <cellStyle name="40% - Accent4 4 3 3" xfId="4670"/>
    <cellStyle name="40% - Accent4 4 3 3 2" xfId="8261"/>
    <cellStyle name="40% - Accent4 4 3 4" xfId="8258"/>
    <cellStyle name="40% - Accent4 4 4" xfId="4671"/>
    <cellStyle name="40% - Accent4 4 4 2" xfId="4672"/>
    <cellStyle name="40% - Accent4 4 4 2 2" xfId="8263"/>
    <cellStyle name="40% - Accent4 4 4 3" xfId="8262"/>
    <cellStyle name="40% - Accent4 4 5" xfId="4673"/>
    <cellStyle name="40% - Accent4 4 5 2" xfId="8264"/>
    <cellStyle name="40% - Accent4 4 6" xfId="8253"/>
    <cellStyle name="40% - Accent4 40" xfId="4674"/>
    <cellStyle name="40% - Accent4 40 2" xfId="4675"/>
    <cellStyle name="40% - Accent4 40 2 2" xfId="4676"/>
    <cellStyle name="40% - Accent4 40 2 2 2" xfId="8267"/>
    <cellStyle name="40% - Accent4 40 2 3" xfId="8266"/>
    <cellStyle name="40% - Accent4 40 3" xfId="4677"/>
    <cellStyle name="40% - Accent4 40 3 2" xfId="8268"/>
    <cellStyle name="40% - Accent4 40 4" xfId="8265"/>
    <cellStyle name="40% - Accent4 41" xfId="4678"/>
    <cellStyle name="40% - Accent4 41 2" xfId="4679"/>
    <cellStyle name="40% - Accent4 41 2 2" xfId="4680"/>
    <cellStyle name="40% - Accent4 41 2 2 2" xfId="8271"/>
    <cellStyle name="40% - Accent4 41 2 3" xfId="8270"/>
    <cellStyle name="40% - Accent4 41 3" xfId="4681"/>
    <cellStyle name="40% - Accent4 41 3 2" xfId="8272"/>
    <cellStyle name="40% - Accent4 41 4" xfId="8269"/>
    <cellStyle name="40% - Accent4 42" xfId="4682"/>
    <cellStyle name="40% - Accent4 42 2" xfId="4683"/>
    <cellStyle name="40% - Accent4 42 2 2" xfId="4684"/>
    <cellStyle name="40% - Accent4 42 2 2 2" xfId="8275"/>
    <cellStyle name="40% - Accent4 42 2 3" xfId="8274"/>
    <cellStyle name="40% - Accent4 42 3" xfId="4685"/>
    <cellStyle name="40% - Accent4 42 3 2" xfId="8276"/>
    <cellStyle name="40% - Accent4 42 4" xfId="8273"/>
    <cellStyle name="40% - Accent4 43" xfId="4686"/>
    <cellStyle name="40% - Accent4 43 2" xfId="4687"/>
    <cellStyle name="40% - Accent4 43 2 2" xfId="4688"/>
    <cellStyle name="40% - Accent4 43 2 2 2" xfId="8279"/>
    <cellStyle name="40% - Accent4 43 2 3" xfId="8278"/>
    <cellStyle name="40% - Accent4 43 3" xfId="4689"/>
    <cellStyle name="40% - Accent4 43 3 2" xfId="8280"/>
    <cellStyle name="40% - Accent4 43 4" xfId="8277"/>
    <cellStyle name="40% - Accent4 44" xfId="4690"/>
    <cellStyle name="40% - Accent4 44 2" xfId="4691"/>
    <cellStyle name="40% - Accent4 44 2 2" xfId="4692"/>
    <cellStyle name="40% - Accent4 44 2 2 2" xfId="8283"/>
    <cellStyle name="40% - Accent4 44 2 3" xfId="8282"/>
    <cellStyle name="40% - Accent4 44 3" xfId="4693"/>
    <cellStyle name="40% - Accent4 44 3 2" xfId="8284"/>
    <cellStyle name="40% - Accent4 44 4" xfId="8281"/>
    <cellStyle name="40% - Accent4 45" xfId="4694"/>
    <cellStyle name="40% - Accent4 45 2" xfId="4695"/>
    <cellStyle name="40% - Accent4 45 2 2" xfId="4696"/>
    <cellStyle name="40% - Accent4 45 2 2 2" xfId="8287"/>
    <cellStyle name="40% - Accent4 45 2 3" xfId="8286"/>
    <cellStyle name="40% - Accent4 45 3" xfId="4697"/>
    <cellStyle name="40% - Accent4 45 3 2" xfId="8288"/>
    <cellStyle name="40% - Accent4 45 4" xfId="8285"/>
    <cellStyle name="40% - Accent4 46" xfId="4698"/>
    <cellStyle name="40% - Accent4 46 2" xfId="4699"/>
    <cellStyle name="40% - Accent4 46 2 2" xfId="4700"/>
    <cellStyle name="40% - Accent4 46 2 2 2" xfId="8291"/>
    <cellStyle name="40% - Accent4 46 2 3" xfId="8290"/>
    <cellStyle name="40% - Accent4 46 3" xfId="4701"/>
    <cellStyle name="40% - Accent4 46 3 2" xfId="8292"/>
    <cellStyle name="40% - Accent4 46 4" xfId="8289"/>
    <cellStyle name="40% - Accent4 47" xfId="4702"/>
    <cellStyle name="40% - Accent4 47 2" xfId="4703"/>
    <cellStyle name="40% - Accent4 47 2 2" xfId="4704"/>
    <cellStyle name="40% - Accent4 47 2 2 2" xfId="8295"/>
    <cellStyle name="40% - Accent4 47 2 3" xfId="8294"/>
    <cellStyle name="40% - Accent4 47 3" xfId="4705"/>
    <cellStyle name="40% - Accent4 47 3 2" xfId="8296"/>
    <cellStyle name="40% - Accent4 47 4" xfId="8293"/>
    <cellStyle name="40% - Accent4 48" xfId="4706"/>
    <cellStyle name="40% - Accent4 48 2" xfId="4707"/>
    <cellStyle name="40% - Accent4 48 2 2" xfId="4708"/>
    <cellStyle name="40% - Accent4 48 2 2 2" xfId="8299"/>
    <cellStyle name="40% - Accent4 48 2 3" xfId="8298"/>
    <cellStyle name="40% - Accent4 48 3" xfId="4709"/>
    <cellStyle name="40% - Accent4 48 3 2" xfId="8300"/>
    <cellStyle name="40% - Accent4 48 4" xfId="8297"/>
    <cellStyle name="40% - Accent4 49" xfId="4710"/>
    <cellStyle name="40% - Accent4 49 2" xfId="4711"/>
    <cellStyle name="40% - Accent4 49 2 2" xfId="4712"/>
    <cellStyle name="40% - Accent4 49 2 2 2" xfId="8303"/>
    <cellStyle name="40% - Accent4 49 2 3" xfId="8302"/>
    <cellStyle name="40% - Accent4 49 3" xfId="4713"/>
    <cellStyle name="40% - Accent4 49 3 2" xfId="8304"/>
    <cellStyle name="40% - Accent4 49 4" xfId="8301"/>
    <cellStyle name="40% - Accent4 5" xfId="4714"/>
    <cellStyle name="40% - Accent4 5 2" xfId="4715"/>
    <cellStyle name="40% - Accent4 5 2 2" xfId="4716"/>
    <cellStyle name="40% - Accent4 5 2 2 2" xfId="4717"/>
    <cellStyle name="40% - Accent4 5 2 2 2 2" xfId="8308"/>
    <cellStyle name="40% - Accent4 5 2 2 3" xfId="8307"/>
    <cellStyle name="40% - Accent4 5 2 3" xfId="4718"/>
    <cellStyle name="40% - Accent4 5 2 3 2" xfId="8309"/>
    <cellStyle name="40% - Accent4 5 2 4" xfId="8306"/>
    <cellStyle name="40% - Accent4 5 3" xfId="4719"/>
    <cellStyle name="40% - Accent4 5 3 2" xfId="4720"/>
    <cellStyle name="40% - Accent4 5 3 2 2" xfId="4721"/>
    <cellStyle name="40% - Accent4 5 3 2 2 2" xfId="8312"/>
    <cellStyle name="40% - Accent4 5 3 2 3" xfId="8311"/>
    <cellStyle name="40% - Accent4 5 3 3" xfId="4722"/>
    <cellStyle name="40% - Accent4 5 3 3 2" xfId="8313"/>
    <cellStyle name="40% - Accent4 5 3 4" xfId="8310"/>
    <cellStyle name="40% - Accent4 5 4" xfId="4723"/>
    <cellStyle name="40% - Accent4 5 4 2" xfId="4724"/>
    <cellStyle name="40% - Accent4 5 4 2 2" xfId="8315"/>
    <cellStyle name="40% - Accent4 5 4 3" xfId="8314"/>
    <cellStyle name="40% - Accent4 5 5" xfId="4725"/>
    <cellStyle name="40% - Accent4 5 5 2" xfId="8316"/>
    <cellStyle name="40% - Accent4 5 6" xfId="8305"/>
    <cellStyle name="40% - Accent4 50" xfId="4726"/>
    <cellStyle name="40% - Accent4 50 2" xfId="4727"/>
    <cellStyle name="40% - Accent4 50 2 2" xfId="4728"/>
    <cellStyle name="40% - Accent4 50 2 2 2" xfId="8319"/>
    <cellStyle name="40% - Accent4 50 2 3" xfId="8318"/>
    <cellStyle name="40% - Accent4 50 3" xfId="4729"/>
    <cellStyle name="40% - Accent4 50 3 2" xfId="8320"/>
    <cellStyle name="40% - Accent4 50 4" xfId="8317"/>
    <cellStyle name="40% - Accent4 51" xfId="4730"/>
    <cellStyle name="40% - Accent4 51 2" xfId="4731"/>
    <cellStyle name="40% - Accent4 51 2 2" xfId="4732"/>
    <cellStyle name="40% - Accent4 51 2 2 2" xfId="8323"/>
    <cellStyle name="40% - Accent4 51 2 3" xfId="8322"/>
    <cellStyle name="40% - Accent4 51 3" xfId="4733"/>
    <cellStyle name="40% - Accent4 51 3 2" xfId="8324"/>
    <cellStyle name="40% - Accent4 51 4" xfId="8321"/>
    <cellStyle name="40% - Accent4 52" xfId="4734"/>
    <cellStyle name="40% - Accent4 52 2" xfId="4735"/>
    <cellStyle name="40% - Accent4 52 2 2" xfId="4736"/>
    <cellStyle name="40% - Accent4 52 2 2 2" xfId="8327"/>
    <cellStyle name="40% - Accent4 52 2 3" xfId="8326"/>
    <cellStyle name="40% - Accent4 52 3" xfId="4737"/>
    <cellStyle name="40% - Accent4 52 3 2" xfId="8328"/>
    <cellStyle name="40% - Accent4 52 4" xfId="8325"/>
    <cellStyle name="40% - Accent4 53" xfId="4738"/>
    <cellStyle name="40% - Accent4 53 2" xfId="4739"/>
    <cellStyle name="40% - Accent4 53 2 2" xfId="8330"/>
    <cellStyle name="40% - Accent4 53 3" xfId="8329"/>
    <cellStyle name="40% - Accent4 54" xfId="4740"/>
    <cellStyle name="40% - Accent4 54 2" xfId="4741"/>
    <cellStyle name="40% - Accent4 54 2 2" xfId="8332"/>
    <cellStyle name="40% - Accent4 54 3" xfId="8331"/>
    <cellStyle name="40% - Accent4 55" xfId="4742"/>
    <cellStyle name="40% - Accent4 55 2" xfId="4743"/>
    <cellStyle name="40% - Accent4 55 2 2" xfId="8334"/>
    <cellStyle name="40% - Accent4 55 3" xfId="8333"/>
    <cellStyle name="40% - Accent4 56" xfId="4744"/>
    <cellStyle name="40% - Accent4 56 2" xfId="4745"/>
    <cellStyle name="40% - Accent4 56 2 2" xfId="8336"/>
    <cellStyle name="40% - Accent4 56 3" xfId="8335"/>
    <cellStyle name="40% - Accent4 57" xfId="4746"/>
    <cellStyle name="40% - Accent4 57 2" xfId="4747"/>
    <cellStyle name="40% - Accent4 57 2 2" xfId="8338"/>
    <cellStyle name="40% - Accent4 57 3" xfId="8337"/>
    <cellStyle name="40% - Accent4 58" xfId="4748"/>
    <cellStyle name="40% - Accent4 58 2" xfId="4749"/>
    <cellStyle name="40% - Accent4 58 2 2" xfId="8340"/>
    <cellStyle name="40% - Accent4 58 3" xfId="8339"/>
    <cellStyle name="40% - Accent4 59" xfId="4750"/>
    <cellStyle name="40% - Accent4 59 2" xfId="4751"/>
    <cellStyle name="40% - Accent4 59 2 2" xfId="8342"/>
    <cellStyle name="40% - Accent4 59 3" xfId="8341"/>
    <cellStyle name="40% - Accent4 6" xfId="4752"/>
    <cellStyle name="40% - Accent4 6 2" xfId="4753"/>
    <cellStyle name="40% - Accent4 6 2 2" xfId="4754"/>
    <cellStyle name="40% - Accent4 6 2 2 2" xfId="4755"/>
    <cellStyle name="40% - Accent4 6 2 2 2 2" xfId="8346"/>
    <cellStyle name="40% - Accent4 6 2 2 3" xfId="8345"/>
    <cellStyle name="40% - Accent4 6 2 3" xfId="4756"/>
    <cellStyle name="40% - Accent4 6 2 3 2" xfId="8347"/>
    <cellStyle name="40% - Accent4 6 2 4" xfId="8344"/>
    <cellStyle name="40% - Accent4 6 3" xfId="4757"/>
    <cellStyle name="40% - Accent4 6 3 2" xfId="4758"/>
    <cellStyle name="40% - Accent4 6 3 2 2" xfId="4759"/>
    <cellStyle name="40% - Accent4 6 3 2 2 2" xfId="8350"/>
    <cellStyle name="40% - Accent4 6 3 2 3" xfId="8349"/>
    <cellStyle name="40% - Accent4 6 3 3" xfId="4760"/>
    <cellStyle name="40% - Accent4 6 3 3 2" xfId="8351"/>
    <cellStyle name="40% - Accent4 6 3 4" xfId="8348"/>
    <cellStyle name="40% - Accent4 6 4" xfId="4761"/>
    <cellStyle name="40% - Accent4 6 4 2" xfId="4762"/>
    <cellStyle name="40% - Accent4 6 4 2 2" xfId="8353"/>
    <cellStyle name="40% - Accent4 6 4 3" xfId="8352"/>
    <cellStyle name="40% - Accent4 6 5" xfId="4763"/>
    <cellStyle name="40% - Accent4 6 5 2" xfId="8354"/>
    <cellStyle name="40% - Accent4 6 6" xfId="8343"/>
    <cellStyle name="40% - Accent4 60" xfId="4764"/>
    <cellStyle name="40% - Accent4 60 2" xfId="8355"/>
    <cellStyle name="40% - Accent4 61" xfId="7912"/>
    <cellStyle name="40% - Accent4 62" xfId="11226"/>
    <cellStyle name="40% - Accent4 7" xfId="4765"/>
    <cellStyle name="40% - Accent4 7 2" xfId="4766"/>
    <cellStyle name="40% - Accent4 7 2 2" xfId="4767"/>
    <cellStyle name="40% - Accent4 7 2 2 2" xfId="4768"/>
    <cellStyle name="40% - Accent4 7 2 2 2 2" xfId="8359"/>
    <cellStyle name="40% - Accent4 7 2 2 3" xfId="8358"/>
    <cellStyle name="40% - Accent4 7 2 3" xfId="4769"/>
    <cellStyle name="40% - Accent4 7 2 3 2" xfId="8360"/>
    <cellStyle name="40% - Accent4 7 2 4" xfId="8357"/>
    <cellStyle name="40% - Accent4 7 3" xfId="4770"/>
    <cellStyle name="40% - Accent4 7 3 2" xfId="4771"/>
    <cellStyle name="40% - Accent4 7 3 2 2" xfId="4772"/>
    <cellStyle name="40% - Accent4 7 3 2 2 2" xfId="8363"/>
    <cellStyle name="40% - Accent4 7 3 2 3" xfId="8362"/>
    <cellStyle name="40% - Accent4 7 3 3" xfId="4773"/>
    <cellStyle name="40% - Accent4 7 3 3 2" xfId="8364"/>
    <cellStyle name="40% - Accent4 7 3 4" xfId="8361"/>
    <cellStyle name="40% - Accent4 7 4" xfId="4774"/>
    <cellStyle name="40% - Accent4 7 4 2" xfId="4775"/>
    <cellStyle name="40% - Accent4 7 4 2 2" xfId="8366"/>
    <cellStyle name="40% - Accent4 7 4 3" xfId="8365"/>
    <cellStyle name="40% - Accent4 7 5" xfId="4776"/>
    <cellStyle name="40% - Accent4 7 5 2" xfId="8367"/>
    <cellStyle name="40% - Accent4 7 6" xfId="8356"/>
    <cellStyle name="40% - Accent4 8" xfId="4777"/>
    <cellStyle name="40% - Accent4 8 2" xfId="4778"/>
    <cellStyle name="40% - Accent4 8 2 2" xfId="4779"/>
    <cellStyle name="40% - Accent4 8 2 2 2" xfId="4780"/>
    <cellStyle name="40% - Accent4 8 2 2 2 2" xfId="8371"/>
    <cellStyle name="40% - Accent4 8 2 2 3" xfId="8370"/>
    <cellStyle name="40% - Accent4 8 2 3" xfId="4781"/>
    <cellStyle name="40% - Accent4 8 2 3 2" xfId="8372"/>
    <cellStyle name="40% - Accent4 8 2 4" xfId="8369"/>
    <cellStyle name="40% - Accent4 8 3" xfId="4782"/>
    <cellStyle name="40% - Accent4 8 3 2" xfId="4783"/>
    <cellStyle name="40% - Accent4 8 3 2 2" xfId="4784"/>
    <cellStyle name="40% - Accent4 8 3 2 2 2" xfId="8375"/>
    <cellStyle name="40% - Accent4 8 3 2 3" xfId="8374"/>
    <cellStyle name="40% - Accent4 8 3 3" xfId="4785"/>
    <cellStyle name="40% - Accent4 8 3 3 2" xfId="8376"/>
    <cellStyle name="40% - Accent4 8 3 4" xfId="8373"/>
    <cellStyle name="40% - Accent4 8 4" xfId="4786"/>
    <cellStyle name="40% - Accent4 8 4 2" xfId="4787"/>
    <cellStyle name="40% - Accent4 8 4 2 2" xfId="8378"/>
    <cellStyle name="40% - Accent4 8 4 3" xfId="8377"/>
    <cellStyle name="40% - Accent4 8 5" xfId="4788"/>
    <cellStyle name="40% - Accent4 8 5 2" xfId="8379"/>
    <cellStyle name="40% - Accent4 8 6" xfId="8368"/>
    <cellStyle name="40% - Accent4 9" xfId="4789"/>
    <cellStyle name="40% - Accent4 9 2" xfId="4790"/>
    <cellStyle name="40% - Accent4 9 2 2" xfId="4791"/>
    <cellStyle name="40% - Accent4 9 2 2 2" xfId="4792"/>
    <cellStyle name="40% - Accent4 9 2 2 2 2" xfId="8383"/>
    <cellStyle name="40% - Accent4 9 2 2 3" xfId="8382"/>
    <cellStyle name="40% - Accent4 9 2 3" xfId="4793"/>
    <cellStyle name="40% - Accent4 9 2 3 2" xfId="8384"/>
    <cellStyle name="40% - Accent4 9 2 4" xfId="8381"/>
    <cellStyle name="40% - Accent4 9 3" xfId="4794"/>
    <cellStyle name="40% - Accent4 9 3 2" xfId="4795"/>
    <cellStyle name="40% - Accent4 9 3 2 2" xfId="4796"/>
    <cellStyle name="40% - Accent4 9 3 2 2 2" xfId="8387"/>
    <cellStyle name="40% - Accent4 9 3 2 3" xfId="8386"/>
    <cellStyle name="40% - Accent4 9 3 3" xfId="4797"/>
    <cellStyle name="40% - Accent4 9 3 3 2" xfId="8388"/>
    <cellStyle name="40% - Accent4 9 3 4" xfId="8385"/>
    <cellStyle name="40% - Accent4 9 4" xfId="4798"/>
    <cellStyle name="40% - Accent4 9 4 2" xfId="4799"/>
    <cellStyle name="40% - Accent4 9 4 2 2" xfId="8390"/>
    <cellStyle name="40% - Accent4 9 4 3" xfId="8389"/>
    <cellStyle name="40% - Accent4 9 5" xfId="4800"/>
    <cellStyle name="40% - Accent4 9 5 2" xfId="8391"/>
    <cellStyle name="40% - Accent4 9 6" xfId="8380"/>
    <cellStyle name="40% - Accent5" xfId="4801" builtinId="47" customBuiltin="1"/>
    <cellStyle name="40% - Accent5 10" xfId="4802"/>
    <cellStyle name="40% - Accent5 10 2" xfId="4803"/>
    <cellStyle name="40% - Accent5 10 2 2" xfId="4804"/>
    <cellStyle name="40% - Accent5 10 2 2 2" xfId="4805"/>
    <cellStyle name="40% - Accent5 10 2 2 2 2" xfId="8396"/>
    <cellStyle name="40% - Accent5 10 2 2 3" xfId="8395"/>
    <cellStyle name="40% - Accent5 10 2 3" xfId="4806"/>
    <cellStyle name="40% - Accent5 10 2 3 2" xfId="8397"/>
    <cellStyle name="40% - Accent5 10 2 4" xfId="8394"/>
    <cellStyle name="40% - Accent5 10 3" xfId="4807"/>
    <cellStyle name="40% - Accent5 10 3 2" xfId="4808"/>
    <cellStyle name="40% - Accent5 10 3 2 2" xfId="4809"/>
    <cellStyle name="40% - Accent5 10 3 2 2 2" xfId="8400"/>
    <cellStyle name="40% - Accent5 10 3 2 3" xfId="8399"/>
    <cellStyle name="40% - Accent5 10 3 3" xfId="4810"/>
    <cellStyle name="40% - Accent5 10 3 3 2" xfId="8401"/>
    <cellStyle name="40% - Accent5 10 3 4" xfId="8398"/>
    <cellStyle name="40% - Accent5 10 4" xfId="4811"/>
    <cellStyle name="40% - Accent5 10 4 2" xfId="4812"/>
    <cellStyle name="40% - Accent5 10 4 2 2" xfId="8403"/>
    <cellStyle name="40% - Accent5 10 4 3" xfId="8402"/>
    <cellStyle name="40% - Accent5 10 5" xfId="4813"/>
    <cellStyle name="40% - Accent5 10 5 2" xfId="8404"/>
    <cellStyle name="40% - Accent5 10 6" xfId="8393"/>
    <cellStyle name="40% - Accent5 11" xfId="4814"/>
    <cellStyle name="40% - Accent5 11 2" xfId="4815"/>
    <cellStyle name="40% - Accent5 11 2 2" xfId="4816"/>
    <cellStyle name="40% - Accent5 11 2 2 2" xfId="4817"/>
    <cellStyle name="40% - Accent5 11 2 2 2 2" xfId="8408"/>
    <cellStyle name="40% - Accent5 11 2 2 3" xfId="8407"/>
    <cellStyle name="40% - Accent5 11 2 3" xfId="4818"/>
    <cellStyle name="40% - Accent5 11 2 3 2" xfId="8409"/>
    <cellStyle name="40% - Accent5 11 2 4" xfId="8406"/>
    <cellStyle name="40% - Accent5 11 3" xfId="4819"/>
    <cellStyle name="40% - Accent5 11 3 2" xfId="4820"/>
    <cellStyle name="40% - Accent5 11 3 2 2" xfId="4821"/>
    <cellStyle name="40% - Accent5 11 3 2 2 2" xfId="8412"/>
    <cellStyle name="40% - Accent5 11 3 2 3" xfId="8411"/>
    <cellStyle name="40% - Accent5 11 3 3" xfId="4822"/>
    <cellStyle name="40% - Accent5 11 3 3 2" xfId="8413"/>
    <cellStyle name="40% - Accent5 11 3 4" xfId="8410"/>
    <cellStyle name="40% - Accent5 11 4" xfId="4823"/>
    <cellStyle name="40% - Accent5 11 4 2" xfId="4824"/>
    <cellStyle name="40% - Accent5 11 4 2 2" xfId="8415"/>
    <cellStyle name="40% - Accent5 11 4 3" xfId="8414"/>
    <cellStyle name="40% - Accent5 11 5" xfId="4825"/>
    <cellStyle name="40% - Accent5 11 5 2" xfId="8416"/>
    <cellStyle name="40% - Accent5 11 6" xfId="8405"/>
    <cellStyle name="40% - Accent5 12" xfId="4826"/>
    <cellStyle name="40% - Accent5 12 2" xfId="4827"/>
    <cellStyle name="40% - Accent5 12 2 2" xfId="4828"/>
    <cellStyle name="40% - Accent5 12 2 2 2" xfId="4829"/>
    <cellStyle name="40% - Accent5 12 2 2 2 2" xfId="8420"/>
    <cellStyle name="40% - Accent5 12 2 2 3" xfId="8419"/>
    <cellStyle name="40% - Accent5 12 2 3" xfId="4830"/>
    <cellStyle name="40% - Accent5 12 2 3 2" xfId="8421"/>
    <cellStyle name="40% - Accent5 12 2 4" xfId="8418"/>
    <cellStyle name="40% - Accent5 12 3" xfId="4831"/>
    <cellStyle name="40% - Accent5 12 3 2" xfId="4832"/>
    <cellStyle name="40% - Accent5 12 3 2 2" xfId="4833"/>
    <cellStyle name="40% - Accent5 12 3 2 2 2" xfId="8424"/>
    <cellStyle name="40% - Accent5 12 3 2 3" xfId="8423"/>
    <cellStyle name="40% - Accent5 12 3 3" xfId="4834"/>
    <cellStyle name="40% - Accent5 12 3 3 2" xfId="8425"/>
    <cellStyle name="40% - Accent5 12 3 4" xfId="8422"/>
    <cellStyle name="40% - Accent5 12 4" xfId="4835"/>
    <cellStyle name="40% - Accent5 12 4 2" xfId="4836"/>
    <cellStyle name="40% - Accent5 12 4 2 2" xfId="8427"/>
    <cellStyle name="40% - Accent5 12 4 3" xfId="8426"/>
    <cellStyle name="40% - Accent5 12 5" xfId="4837"/>
    <cellStyle name="40% - Accent5 12 5 2" xfId="8428"/>
    <cellStyle name="40% - Accent5 12 6" xfId="8417"/>
    <cellStyle name="40% - Accent5 13" xfId="4838"/>
    <cellStyle name="40% - Accent5 13 2" xfId="4839"/>
    <cellStyle name="40% - Accent5 13 2 2" xfId="4840"/>
    <cellStyle name="40% - Accent5 13 2 2 2" xfId="4841"/>
    <cellStyle name="40% - Accent5 13 2 2 2 2" xfId="8432"/>
    <cellStyle name="40% - Accent5 13 2 2 3" xfId="8431"/>
    <cellStyle name="40% - Accent5 13 2 3" xfId="4842"/>
    <cellStyle name="40% - Accent5 13 2 3 2" xfId="8433"/>
    <cellStyle name="40% - Accent5 13 2 4" xfId="8430"/>
    <cellStyle name="40% - Accent5 13 3" xfId="4843"/>
    <cellStyle name="40% - Accent5 13 3 2" xfId="4844"/>
    <cellStyle name="40% - Accent5 13 3 2 2" xfId="4845"/>
    <cellStyle name="40% - Accent5 13 3 2 2 2" xfId="8436"/>
    <cellStyle name="40% - Accent5 13 3 2 3" xfId="8435"/>
    <cellStyle name="40% - Accent5 13 3 3" xfId="4846"/>
    <cellStyle name="40% - Accent5 13 3 3 2" xfId="8437"/>
    <cellStyle name="40% - Accent5 13 3 4" xfId="8434"/>
    <cellStyle name="40% - Accent5 13 4" xfId="4847"/>
    <cellStyle name="40% - Accent5 13 4 2" xfId="4848"/>
    <cellStyle name="40% - Accent5 13 4 2 2" xfId="8439"/>
    <cellStyle name="40% - Accent5 13 4 3" xfId="8438"/>
    <cellStyle name="40% - Accent5 13 5" xfId="4849"/>
    <cellStyle name="40% - Accent5 13 5 2" xfId="8440"/>
    <cellStyle name="40% - Accent5 13 6" xfId="8429"/>
    <cellStyle name="40% - Accent5 14" xfId="4850"/>
    <cellStyle name="40% - Accent5 14 2" xfId="4851"/>
    <cellStyle name="40% - Accent5 14 2 2" xfId="4852"/>
    <cellStyle name="40% - Accent5 14 2 2 2" xfId="4853"/>
    <cellStyle name="40% - Accent5 14 2 2 2 2" xfId="8444"/>
    <cellStyle name="40% - Accent5 14 2 2 3" xfId="8443"/>
    <cellStyle name="40% - Accent5 14 2 3" xfId="4854"/>
    <cellStyle name="40% - Accent5 14 2 3 2" xfId="8445"/>
    <cellStyle name="40% - Accent5 14 2 4" xfId="8442"/>
    <cellStyle name="40% - Accent5 14 3" xfId="4855"/>
    <cellStyle name="40% - Accent5 14 3 2" xfId="4856"/>
    <cellStyle name="40% - Accent5 14 3 2 2" xfId="4857"/>
    <cellStyle name="40% - Accent5 14 3 2 2 2" xfId="8448"/>
    <cellStyle name="40% - Accent5 14 3 2 3" xfId="8447"/>
    <cellStyle name="40% - Accent5 14 3 3" xfId="4858"/>
    <cellStyle name="40% - Accent5 14 3 3 2" xfId="8449"/>
    <cellStyle name="40% - Accent5 14 3 4" xfId="8446"/>
    <cellStyle name="40% - Accent5 14 4" xfId="4859"/>
    <cellStyle name="40% - Accent5 14 4 2" xfId="4860"/>
    <cellStyle name="40% - Accent5 14 4 2 2" xfId="8451"/>
    <cellStyle name="40% - Accent5 14 4 3" xfId="8450"/>
    <cellStyle name="40% - Accent5 14 5" xfId="4861"/>
    <cellStyle name="40% - Accent5 14 5 2" xfId="8452"/>
    <cellStyle name="40% - Accent5 14 6" xfId="8441"/>
    <cellStyle name="40% - Accent5 15" xfId="4862"/>
    <cellStyle name="40% - Accent5 15 2" xfId="4863"/>
    <cellStyle name="40% - Accent5 15 2 2" xfId="4864"/>
    <cellStyle name="40% - Accent5 15 2 2 2" xfId="4865"/>
    <cellStyle name="40% - Accent5 15 2 2 2 2" xfId="8456"/>
    <cellStyle name="40% - Accent5 15 2 2 3" xfId="8455"/>
    <cellStyle name="40% - Accent5 15 2 3" xfId="4866"/>
    <cellStyle name="40% - Accent5 15 2 3 2" xfId="8457"/>
    <cellStyle name="40% - Accent5 15 2 4" xfId="8454"/>
    <cellStyle name="40% - Accent5 15 3" xfId="4867"/>
    <cellStyle name="40% - Accent5 15 3 2" xfId="4868"/>
    <cellStyle name="40% - Accent5 15 3 2 2" xfId="4869"/>
    <cellStyle name="40% - Accent5 15 3 2 2 2" xfId="8460"/>
    <cellStyle name="40% - Accent5 15 3 2 3" xfId="8459"/>
    <cellStyle name="40% - Accent5 15 3 3" xfId="4870"/>
    <cellStyle name="40% - Accent5 15 3 3 2" xfId="8461"/>
    <cellStyle name="40% - Accent5 15 3 4" xfId="8458"/>
    <cellStyle name="40% - Accent5 15 4" xfId="4871"/>
    <cellStyle name="40% - Accent5 15 4 2" xfId="4872"/>
    <cellStyle name="40% - Accent5 15 4 2 2" xfId="8463"/>
    <cellStyle name="40% - Accent5 15 4 3" xfId="8462"/>
    <cellStyle name="40% - Accent5 15 5" xfId="4873"/>
    <cellStyle name="40% - Accent5 15 5 2" xfId="8464"/>
    <cellStyle name="40% - Accent5 15 6" xfId="8453"/>
    <cellStyle name="40% - Accent5 16" xfId="4874"/>
    <cellStyle name="40% - Accent5 16 2" xfId="4875"/>
    <cellStyle name="40% - Accent5 16 2 2" xfId="4876"/>
    <cellStyle name="40% - Accent5 16 2 2 2" xfId="4877"/>
    <cellStyle name="40% - Accent5 16 2 2 2 2" xfId="8468"/>
    <cellStyle name="40% - Accent5 16 2 2 3" xfId="8467"/>
    <cellStyle name="40% - Accent5 16 2 3" xfId="4878"/>
    <cellStyle name="40% - Accent5 16 2 3 2" xfId="8469"/>
    <cellStyle name="40% - Accent5 16 2 4" xfId="8466"/>
    <cellStyle name="40% - Accent5 16 3" xfId="4879"/>
    <cellStyle name="40% - Accent5 16 3 2" xfId="4880"/>
    <cellStyle name="40% - Accent5 16 3 2 2" xfId="4881"/>
    <cellStyle name="40% - Accent5 16 3 2 2 2" xfId="8472"/>
    <cellStyle name="40% - Accent5 16 3 2 3" xfId="8471"/>
    <cellStyle name="40% - Accent5 16 3 3" xfId="4882"/>
    <cellStyle name="40% - Accent5 16 3 3 2" xfId="8473"/>
    <cellStyle name="40% - Accent5 16 3 4" xfId="8470"/>
    <cellStyle name="40% - Accent5 16 4" xfId="4883"/>
    <cellStyle name="40% - Accent5 16 4 2" xfId="4884"/>
    <cellStyle name="40% - Accent5 16 4 2 2" xfId="8475"/>
    <cellStyle name="40% - Accent5 16 4 3" xfId="8474"/>
    <cellStyle name="40% - Accent5 16 5" xfId="4885"/>
    <cellStyle name="40% - Accent5 16 5 2" xfId="8476"/>
    <cellStyle name="40% - Accent5 16 6" xfId="8465"/>
    <cellStyle name="40% - Accent5 17" xfId="4886"/>
    <cellStyle name="40% - Accent5 17 2" xfId="4887"/>
    <cellStyle name="40% - Accent5 17 2 2" xfId="4888"/>
    <cellStyle name="40% - Accent5 17 2 2 2" xfId="4889"/>
    <cellStyle name="40% - Accent5 17 2 2 2 2" xfId="8480"/>
    <cellStyle name="40% - Accent5 17 2 2 3" xfId="8479"/>
    <cellStyle name="40% - Accent5 17 2 3" xfId="4890"/>
    <cellStyle name="40% - Accent5 17 2 3 2" xfId="8481"/>
    <cellStyle name="40% - Accent5 17 2 4" xfId="8478"/>
    <cellStyle name="40% - Accent5 17 3" xfId="4891"/>
    <cellStyle name="40% - Accent5 17 3 2" xfId="4892"/>
    <cellStyle name="40% - Accent5 17 3 2 2" xfId="4893"/>
    <cellStyle name="40% - Accent5 17 3 2 2 2" xfId="8484"/>
    <cellStyle name="40% - Accent5 17 3 2 3" xfId="8483"/>
    <cellStyle name="40% - Accent5 17 3 3" xfId="4894"/>
    <cellStyle name="40% - Accent5 17 3 3 2" xfId="8485"/>
    <cellStyle name="40% - Accent5 17 3 4" xfId="8482"/>
    <cellStyle name="40% - Accent5 17 4" xfId="4895"/>
    <cellStyle name="40% - Accent5 17 4 2" xfId="4896"/>
    <cellStyle name="40% - Accent5 17 4 2 2" xfId="8487"/>
    <cellStyle name="40% - Accent5 17 4 3" xfId="8486"/>
    <cellStyle name="40% - Accent5 17 5" xfId="4897"/>
    <cellStyle name="40% - Accent5 17 5 2" xfId="8488"/>
    <cellStyle name="40% - Accent5 17 6" xfId="8477"/>
    <cellStyle name="40% - Accent5 18" xfId="4898"/>
    <cellStyle name="40% - Accent5 18 2" xfId="4899"/>
    <cellStyle name="40% - Accent5 18 2 2" xfId="4900"/>
    <cellStyle name="40% - Accent5 18 2 2 2" xfId="4901"/>
    <cellStyle name="40% - Accent5 18 2 2 2 2" xfId="8492"/>
    <cellStyle name="40% - Accent5 18 2 2 3" xfId="8491"/>
    <cellStyle name="40% - Accent5 18 2 3" xfId="4902"/>
    <cellStyle name="40% - Accent5 18 2 3 2" xfId="8493"/>
    <cellStyle name="40% - Accent5 18 2 4" xfId="8490"/>
    <cellStyle name="40% - Accent5 18 3" xfId="4903"/>
    <cellStyle name="40% - Accent5 18 3 2" xfId="4904"/>
    <cellStyle name="40% - Accent5 18 3 2 2" xfId="4905"/>
    <cellStyle name="40% - Accent5 18 3 2 2 2" xfId="8496"/>
    <cellStyle name="40% - Accent5 18 3 2 3" xfId="8495"/>
    <cellStyle name="40% - Accent5 18 3 3" xfId="4906"/>
    <cellStyle name="40% - Accent5 18 3 3 2" xfId="8497"/>
    <cellStyle name="40% - Accent5 18 3 4" xfId="8494"/>
    <cellStyle name="40% - Accent5 18 4" xfId="4907"/>
    <cellStyle name="40% - Accent5 18 4 2" xfId="4908"/>
    <cellStyle name="40% - Accent5 18 4 2 2" xfId="8499"/>
    <cellStyle name="40% - Accent5 18 4 3" xfId="8498"/>
    <cellStyle name="40% - Accent5 18 5" xfId="4909"/>
    <cellStyle name="40% - Accent5 18 5 2" xfId="8500"/>
    <cellStyle name="40% - Accent5 18 6" xfId="8489"/>
    <cellStyle name="40% - Accent5 19" xfId="4910"/>
    <cellStyle name="40% - Accent5 19 2" xfId="4911"/>
    <cellStyle name="40% - Accent5 19 2 2" xfId="4912"/>
    <cellStyle name="40% - Accent5 19 2 2 2" xfId="4913"/>
    <cellStyle name="40% - Accent5 19 2 2 2 2" xfId="8504"/>
    <cellStyle name="40% - Accent5 19 2 2 3" xfId="8503"/>
    <cellStyle name="40% - Accent5 19 2 3" xfId="4914"/>
    <cellStyle name="40% - Accent5 19 2 3 2" xfId="8505"/>
    <cellStyle name="40% - Accent5 19 2 4" xfId="8502"/>
    <cellStyle name="40% - Accent5 19 3" xfId="4915"/>
    <cellStyle name="40% - Accent5 19 3 2" xfId="4916"/>
    <cellStyle name="40% - Accent5 19 3 2 2" xfId="4917"/>
    <cellStyle name="40% - Accent5 19 3 2 2 2" xfId="8508"/>
    <cellStyle name="40% - Accent5 19 3 2 3" xfId="8507"/>
    <cellStyle name="40% - Accent5 19 3 3" xfId="4918"/>
    <cellStyle name="40% - Accent5 19 3 3 2" xfId="8509"/>
    <cellStyle name="40% - Accent5 19 3 4" xfId="8506"/>
    <cellStyle name="40% - Accent5 19 4" xfId="4919"/>
    <cellStyle name="40% - Accent5 19 4 2" xfId="4920"/>
    <cellStyle name="40% - Accent5 19 4 2 2" xfId="8511"/>
    <cellStyle name="40% - Accent5 19 4 3" xfId="8510"/>
    <cellStyle name="40% - Accent5 19 5" xfId="4921"/>
    <cellStyle name="40% - Accent5 19 5 2" xfId="8512"/>
    <cellStyle name="40% - Accent5 19 6" xfId="8501"/>
    <cellStyle name="40% - Accent5 2" xfId="4922"/>
    <cellStyle name="40% - Accent5 2 2" xfId="4923"/>
    <cellStyle name="40% - Accent5 2 2 2" xfId="4924"/>
    <cellStyle name="40% - Accent5 2 2 2 2" xfId="4925"/>
    <cellStyle name="40% - Accent5 2 2 2 2 2" xfId="8516"/>
    <cellStyle name="40% - Accent5 2 2 2 3" xfId="8515"/>
    <cellStyle name="40% - Accent5 2 2 3" xfId="4926"/>
    <cellStyle name="40% - Accent5 2 2 3 2" xfId="8517"/>
    <cellStyle name="40% - Accent5 2 2 4" xfId="8514"/>
    <cellStyle name="40% - Accent5 2 3" xfId="4927"/>
    <cellStyle name="40% - Accent5 2 3 2" xfId="4928"/>
    <cellStyle name="40% - Accent5 2 3 2 2" xfId="4929"/>
    <cellStyle name="40% - Accent5 2 3 2 2 2" xfId="8520"/>
    <cellStyle name="40% - Accent5 2 3 2 3" xfId="8519"/>
    <cellStyle name="40% - Accent5 2 3 3" xfId="4930"/>
    <cellStyle name="40% - Accent5 2 3 3 2" xfId="8521"/>
    <cellStyle name="40% - Accent5 2 3 4" xfId="8518"/>
    <cellStyle name="40% - Accent5 2 4" xfId="4931"/>
    <cellStyle name="40% - Accent5 2 4 2" xfId="4932"/>
    <cellStyle name="40% - Accent5 2 4 2 2" xfId="8523"/>
    <cellStyle name="40% - Accent5 2 4 3" xfId="8522"/>
    <cellStyle name="40% - Accent5 2 5" xfId="4933"/>
    <cellStyle name="40% - Accent5 2 5 2" xfId="8524"/>
    <cellStyle name="40% - Accent5 2 6" xfId="8513"/>
    <cellStyle name="40% - Accent5 20" xfId="4934"/>
    <cellStyle name="40% - Accent5 20 2" xfId="4935"/>
    <cellStyle name="40% - Accent5 20 2 2" xfId="4936"/>
    <cellStyle name="40% - Accent5 20 2 2 2" xfId="4937"/>
    <cellStyle name="40% - Accent5 20 2 2 2 2" xfId="8528"/>
    <cellStyle name="40% - Accent5 20 2 2 3" xfId="8527"/>
    <cellStyle name="40% - Accent5 20 2 3" xfId="4938"/>
    <cellStyle name="40% - Accent5 20 2 3 2" xfId="8529"/>
    <cellStyle name="40% - Accent5 20 2 4" xfId="8526"/>
    <cellStyle name="40% - Accent5 20 3" xfId="4939"/>
    <cellStyle name="40% - Accent5 20 3 2" xfId="4940"/>
    <cellStyle name="40% - Accent5 20 3 2 2" xfId="4941"/>
    <cellStyle name="40% - Accent5 20 3 2 2 2" xfId="8532"/>
    <cellStyle name="40% - Accent5 20 3 2 3" xfId="8531"/>
    <cellStyle name="40% - Accent5 20 3 3" xfId="4942"/>
    <cellStyle name="40% - Accent5 20 3 3 2" xfId="8533"/>
    <cellStyle name="40% - Accent5 20 3 4" xfId="8530"/>
    <cellStyle name="40% - Accent5 20 4" xfId="4943"/>
    <cellStyle name="40% - Accent5 20 4 2" xfId="4944"/>
    <cellStyle name="40% - Accent5 20 4 2 2" xfId="8535"/>
    <cellStyle name="40% - Accent5 20 4 3" xfId="8534"/>
    <cellStyle name="40% - Accent5 20 5" xfId="4945"/>
    <cellStyle name="40% - Accent5 20 5 2" xfId="8536"/>
    <cellStyle name="40% - Accent5 20 6" xfId="8525"/>
    <cellStyle name="40% - Accent5 21" xfId="4946"/>
    <cellStyle name="40% - Accent5 21 2" xfId="4947"/>
    <cellStyle name="40% - Accent5 21 2 2" xfId="4948"/>
    <cellStyle name="40% - Accent5 21 2 2 2" xfId="4949"/>
    <cellStyle name="40% - Accent5 21 2 2 2 2" xfId="8540"/>
    <cellStyle name="40% - Accent5 21 2 2 3" xfId="8539"/>
    <cellStyle name="40% - Accent5 21 2 3" xfId="4950"/>
    <cellStyle name="40% - Accent5 21 2 3 2" xfId="8541"/>
    <cellStyle name="40% - Accent5 21 2 4" xfId="8538"/>
    <cellStyle name="40% - Accent5 21 3" xfId="4951"/>
    <cellStyle name="40% - Accent5 21 3 2" xfId="4952"/>
    <cellStyle name="40% - Accent5 21 3 2 2" xfId="4953"/>
    <cellStyle name="40% - Accent5 21 3 2 2 2" xfId="8544"/>
    <cellStyle name="40% - Accent5 21 3 2 3" xfId="8543"/>
    <cellStyle name="40% - Accent5 21 3 3" xfId="4954"/>
    <cellStyle name="40% - Accent5 21 3 3 2" xfId="8545"/>
    <cellStyle name="40% - Accent5 21 3 4" xfId="8542"/>
    <cellStyle name="40% - Accent5 21 4" xfId="4955"/>
    <cellStyle name="40% - Accent5 21 4 2" xfId="4956"/>
    <cellStyle name="40% - Accent5 21 4 2 2" xfId="8547"/>
    <cellStyle name="40% - Accent5 21 4 3" xfId="8546"/>
    <cellStyle name="40% - Accent5 21 5" xfId="4957"/>
    <cellStyle name="40% - Accent5 21 5 2" xfId="8548"/>
    <cellStyle name="40% - Accent5 21 6" xfId="8537"/>
    <cellStyle name="40% - Accent5 22" xfId="4958"/>
    <cellStyle name="40% - Accent5 22 2" xfId="4959"/>
    <cellStyle name="40% - Accent5 22 2 2" xfId="4960"/>
    <cellStyle name="40% - Accent5 22 2 2 2" xfId="4961"/>
    <cellStyle name="40% - Accent5 22 2 2 2 2" xfId="8552"/>
    <cellStyle name="40% - Accent5 22 2 2 3" xfId="8551"/>
    <cellStyle name="40% - Accent5 22 2 3" xfId="4962"/>
    <cellStyle name="40% - Accent5 22 2 3 2" xfId="8553"/>
    <cellStyle name="40% - Accent5 22 2 4" xfId="8550"/>
    <cellStyle name="40% - Accent5 22 3" xfId="4963"/>
    <cellStyle name="40% - Accent5 22 3 2" xfId="4964"/>
    <cellStyle name="40% - Accent5 22 3 2 2" xfId="4965"/>
    <cellStyle name="40% - Accent5 22 3 2 2 2" xfId="8556"/>
    <cellStyle name="40% - Accent5 22 3 2 3" xfId="8555"/>
    <cellStyle name="40% - Accent5 22 3 3" xfId="4966"/>
    <cellStyle name="40% - Accent5 22 3 3 2" xfId="8557"/>
    <cellStyle name="40% - Accent5 22 3 4" xfId="8554"/>
    <cellStyle name="40% - Accent5 22 4" xfId="4967"/>
    <cellStyle name="40% - Accent5 22 4 2" xfId="4968"/>
    <cellStyle name="40% - Accent5 22 4 2 2" xfId="8559"/>
    <cellStyle name="40% - Accent5 22 4 3" xfId="8558"/>
    <cellStyle name="40% - Accent5 22 5" xfId="4969"/>
    <cellStyle name="40% - Accent5 22 5 2" xfId="8560"/>
    <cellStyle name="40% - Accent5 22 6" xfId="8549"/>
    <cellStyle name="40% - Accent5 23" xfId="4970"/>
    <cellStyle name="40% - Accent5 23 2" xfId="4971"/>
    <cellStyle name="40% - Accent5 23 2 2" xfId="4972"/>
    <cellStyle name="40% - Accent5 23 2 2 2" xfId="4973"/>
    <cellStyle name="40% - Accent5 23 2 2 2 2" xfId="8564"/>
    <cellStyle name="40% - Accent5 23 2 2 3" xfId="8563"/>
    <cellStyle name="40% - Accent5 23 2 3" xfId="4974"/>
    <cellStyle name="40% - Accent5 23 2 3 2" xfId="8565"/>
    <cellStyle name="40% - Accent5 23 2 4" xfId="8562"/>
    <cellStyle name="40% - Accent5 23 3" xfId="4975"/>
    <cellStyle name="40% - Accent5 23 3 2" xfId="4976"/>
    <cellStyle name="40% - Accent5 23 3 2 2" xfId="4977"/>
    <cellStyle name="40% - Accent5 23 3 2 2 2" xfId="8568"/>
    <cellStyle name="40% - Accent5 23 3 2 3" xfId="8567"/>
    <cellStyle name="40% - Accent5 23 3 3" xfId="4978"/>
    <cellStyle name="40% - Accent5 23 3 3 2" xfId="8569"/>
    <cellStyle name="40% - Accent5 23 3 4" xfId="8566"/>
    <cellStyle name="40% - Accent5 23 4" xfId="4979"/>
    <cellStyle name="40% - Accent5 23 4 2" xfId="4980"/>
    <cellStyle name="40% - Accent5 23 4 2 2" xfId="8571"/>
    <cellStyle name="40% - Accent5 23 4 3" xfId="8570"/>
    <cellStyle name="40% - Accent5 23 5" xfId="4981"/>
    <cellStyle name="40% - Accent5 23 5 2" xfId="8572"/>
    <cellStyle name="40% - Accent5 23 6" xfId="8561"/>
    <cellStyle name="40% - Accent5 24" xfId="4982"/>
    <cellStyle name="40% - Accent5 24 2" xfId="4983"/>
    <cellStyle name="40% - Accent5 24 2 2" xfId="4984"/>
    <cellStyle name="40% - Accent5 24 2 2 2" xfId="4985"/>
    <cellStyle name="40% - Accent5 24 2 2 2 2" xfId="8576"/>
    <cellStyle name="40% - Accent5 24 2 2 3" xfId="8575"/>
    <cellStyle name="40% - Accent5 24 2 3" xfId="4986"/>
    <cellStyle name="40% - Accent5 24 2 3 2" xfId="8577"/>
    <cellStyle name="40% - Accent5 24 2 4" xfId="8574"/>
    <cellStyle name="40% - Accent5 24 3" xfId="4987"/>
    <cellStyle name="40% - Accent5 24 3 2" xfId="4988"/>
    <cellStyle name="40% - Accent5 24 3 2 2" xfId="4989"/>
    <cellStyle name="40% - Accent5 24 3 2 2 2" xfId="8580"/>
    <cellStyle name="40% - Accent5 24 3 2 3" xfId="8579"/>
    <cellStyle name="40% - Accent5 24 3 3" xfId="4990"/>
    <cellStyle name="40% - Accent5 24 3 3 2" xfId="8581"/>
    <cellStyle name="40% - Accent5 24 3 4" xfId="8578"/>
    <cellStyle name="40% - Accent5 24 4" xfId="4991"/>
    <cellStyle name="40% - Accent5 24 4 2" xfId="4992"/>
    <cellStyle name="40% - Accent5 24 4 2 2" xfId="8583"/>
    <cellStyle name="40% - Accent5 24 4 3" xfId="8582"/>
    <cellStyle name="40% - Accent5 24 5" xfId="4993"/>
    <cellStyle name="40% - Accent5 24 5 2" xfId="8584"/>
    <cellStyle name="40% - Accent5 24 6" xfId="8573"/>
    <cellStyle name="40% - Accent5 25" xfId="4994"/>
    <cellStyle name="40% - Accent5 25 2" xfId="4995"/>
    <cellStyle name="40% - Accent5 25 2 2" xfId="4996"/>
    <cellStyle name="40% - Accent5 25 2 2 2" xfId="4997"/>
    <cellStyle name="40% - Accent5 25 2 2 2 2" xfId="8588"/>
    <cellStyle name="40% - Accent5 25 2 2 3" xfId="8587"/>
    <cellStyle name="40% - Accent5 25 2 3" xfId="4998"/>
    <cellStyle name="40% - Accent5 25 2 3 2" xfId="8589"/>
    <cellStyle name="40% - Accent5 25 2 4" xfId="8586"/>
    <cellStyle name="40% - Accent5 25 3" xfId="4999"/>
    <cellStyle name="40% - Accent5 25 3 2" xfId="5000"/>
    <cellStyle name="40% - Accent5 25 3 2 2" xfId="5001"/>
    <cellStyle name="40% - Accent5 25 3 2 2 2" xfId="8592"/>
    <cellStyle name="40% - Accent5 25 3 2 3" xfId="8591"/>
    <cellStyle name="40% - Accent5 25 3 3" xfId="5002"/>
    <cellStyle name="40% - Accent5 25 3 3 2" xfId="8593"/>
    <cellStyle name="40% - Accent5 25 3 4" xfId="8590"/>
    <cellStyle name="40% - Accent5 25 4" xfId="5003"/>
    <cellStyle name="40% - Accent5 25 4 2" xfId="5004"/>
    <cellStyle name="40% - Accent5 25 4 2 2" xfId="8595"/>
    <cellStyle name="40% - Accent5 25 4 3" xfId="8594"/>
    <cellStyle name="40% - Accent5 25 5" xfId="5005"/>
    <cellStyle name="40% - Accent5 25 5 2" xfId="8596"/>
    <cellStyle name="40% - Accent5 25 6" xfId="8585"/>
    <cellStyle name="40% - Accent5 26" xfId="5006"/>
    <cellStyle name="40% - Accent5 26 2" xfId="5007"/>
    <cellStyle name="40% - Accent5 26 2 2" xfId="5008"/>
    <cellStyle name="40% - Accent5 26 2 2 2" xfId="5009"/>
    <cellStyle name="40% - Accent5 26 2 2 2 2" xfId="8600"/>
    <cellStyle name="40% - Accent5 26 2 2 3" xfId="8599"/>
    <cellStyle name="40% - Accent5 26 2 3" xfId="5010"/>
    <cellStyle name="40% - Accent5 26 2 3 2" xfId="8601"/>
    <cellStyle name="40% - Accent5 26 2 4" xfId="8598"/>
    <cellStyle name="40% - Accent5 26 3" xfId="5011"/>
    <cellStyle name="40% - Accent5 26 3 2" xfId="5012"/>
    <cellStyle name="40% - Accent5 26 3 2 2" xfId="5013"/>
    <cellStyle name="40% - Accent5 26 3 2 2 2" xfId="8604"/>
    <cellStyle name="40% - Accent5 26 3 2 3" xfId="8603"/>
    <cellStyle name="40% - Accent5 26 3 3" xfId="5014"/>
    <cellStyle name="40% - Accent5 26 3 3 2" xfId="8605"/>
    <cellStyle name="40% - Accent5 26 3 4" xfId="8602"/>
    <cellStyle name="40% - Accent5 26 4" xfId="5015"/>
    <cellStyle name="40% - Accent5 26 4 2" xfId="5016"/>
    <cellStyle name="40% - Accent5 26 4 2 2" xfId="8607"/>
    <cellStyle name="40% - Accent5 26 4 3" xfId="8606"/>
    <cellStyle name="40% - Accent5 26 5" xfId="5017"/>
    <cellStyle name="40% - Accent5 26 5 2" xfId="8608"/>
    <cellStyle name="40% - Accent5 26 6" xfId="8597"/>
    <cellStyle name="40% - Accent5 27" xfId="5018"/>
    <cellStyle name="40% - Accent5 27 2" xfId="5019"/>
    <cellStyle name="40% - Accent5 27 2 2" xfId="5020"/>
    <cellStyle name="40% - Accent5 27 2 2 2" xfId="5021"/>
    <cellStyle name="40% - Accent5 27 2 2 2 2" xfId="8612"/>
    <cellStyle name="40% - Accent5 27 2 2 3" xfId="8611"/>
    <cellStyle name="40% - Accent5 27 2 3" xfId="5022"/>
    <cellStyle name="40% - Accent5 27 2 3 2" xfId="8613"/>
    <cellStyle name="40% - Accent5 27 2 4" xfId="8610"/>
    <cellStyle name="40% - Accent5 27 3" xfId="5023"/>
    <cellStyle name="40% - Accent5 27 3 2" xfId="5024"/>
    <cellStyle name="40% - Accent5 27 3 2 2" xfId="5025"/>
    <cellStyle name="40% - Accent5 27 3 2 2 2" xfId="8616"/>
    <cellStyle name="40% - Accent5 27 3 2 3" xfId="8615"/>
    <cellStyle name="40% - Accent5 27 3 3" xfId="5026"/>
    <cellStyle name="40% - Accent5 27 3 3 2" xfId="8617"/>
    <cellStyle name="40% - Accent5 27 3 4" xfId="8614"/>
    <cellStyle name="40% - Accent5 27 4" xfId="5027"/>
    <cellStyle name="40% - Accent5 27 4 2" xfId="5028"/>
    <cellStyle name="40% - Accent5 27 4 2 2" xfId="8619"/>
    <cellStyle name="40% - Accent5 27 4 3" xfId="8618"/>
    <cellStyle name="40% - Accent5 27 5" xfId="5029"/>
    <cellStyle name="40% - Accent5 27 5 2" xfId="8620"/>
    <cellStyle name="40% - Accent5 27 6" xfId="8609"/>
    <cellStyle name="40% - Accent5 28" xfId="5030"/>
    <cellStyle name="40% - Accent5 28 2" xfId="5031"/>
    <cellStyle name="40% - Accent5 28 2 2" xfId="5032"/>
    <cellStyle name="40% - Accent5 28 2 2 2" xfId="5033"/>
    <cellStyle name="40% - Accent5 28 2 2 2 2" xfId="8624"/>
    <cellStyle name="40% - Accent5 28 2 2 3" xfId="8623"/>
    <cellStyle name="40% - Accent5 28 2 3" xfId="5034"/>
    <cellStyle name="40% - Accent5 28 2 3 2" xfId="8625"/>
    <cellStyle name="40% - Accent5 28 2 4" xfId="8622"/>
    <cellStyle name="40% - Accent5 28 3" xfId="5035"/>
    <cellStyle name="40% - Accent5 28 3 2" xfId="5036"/>
    <cellStyle name="40% - Accent5 28 3 2 2" xfId="5037"/>
    <cellStyle name="40% - Accent5 28 3 2 2 2" xfId="8628"/>
    <cellStyle name="40% - Accent5 28 3 2 3" xfId="8627"/>
    <cellStyle name="40% - Accent5 28 3 3" xfId="5038"/>
    <cellStyle name="40% - Accent5 28 3 3 2" xfId="8629"/>
    <cellStyle name="40% - Accent5 28 3 4" xfId="8626"/>
    <cellStyle name="40% - Accent5 28 4" xfId="5039"/>
    <cellStyle name="40% - Accent5 28 4 2" xfId="5040"/>
    <cellStyle name="40% - Accent5 28 4 2 2" xfId="8631"/>
    <cellStyle name="40% - Accent5 28 4 3" xfId="8630"/>
    <cellStyle name="40% - Accent5 28 5" xfId="5041"/>
    <cellStyle name="40% - Accent5 28 5 2" xfId="8632"/>
    <cellStyle name="40% - Accent5 28 6" xfId="8621"/>
    <cellStyle name="40% - Accent5 29" xfId="5042"/>
    <cellStyle name="40% - Accent5 29 2" xfId="5043"/>
    <cellStyle name="40% - Accent5 29 2 2" xfId="5044"/>
    <cellStyle name="40% - Accent5 29 2 2 2" xfId="5045"/>
    <cellStyle name="40% - Accent5 29 2 2 2 2" xfId="8636"/>
    <cellStyle name="40% - Accent5 29 2 2 3" xfId="8635"/>
    <cellStyle name="40% - Accent5 29 2 3" xfId="5046"/>
    <cellStyle name="40% - Accent5 29 2 3 2" xfId="8637"/>
    <cellStyle name="40% - Accent5 29 2 4" xfId="8634"/>
    <cellStyle name="40% - Accent5 29 3" xfId="5047"/>
    <cellStyle name="40% - Accent5 29 3 2" xfId="5048"/>
    <cellStyle name="40% - Accent5 29 3 2 2" xfId="5049"/>
    <cellStyle name="40% - Accent5 29 3 2 2 2" xfId="8640"/>
    <cellStyle name="40% - Accent5 29 3 2 3" xfId="8639"/>
    <cellStyle name="40% - Accent5 29 3 3" xfId="5050"/>
    <cellStyle name="40% - Accent5 29 3 3 2" xfId="8641"/>
    <cellStyle name="40% - Accent5 29 3 4" xfId="8638"/>
    <cellStyle name="40% - Accent5 29 4" xfId="5051"/>
    <cellStyle name="40% - Accent5 29 4 2" xfId="5052"/>
    <cellStyle name="40% - Accent5 29 4 2 2" xfId="8643"/>
    <cellStyle name="40% - Accent5 29 4 3" xfId="8642"/>
    <cellStyle name="40% - Accent5 29 5" xfId="5053"/>
    <cellStyle name="40% - Accent5 29 5 2" xfId="8644"/>
    <cellStyle name="40% - Accent5 29 6" xfId="8633"/>
    <cellStyle name="40% - Accent5 3" xfId="5054"/>
    <cellStyle name="40% - Accent5 3 2" xfId="5055"/>
    <cellStyle name="40% - Accent5 3 2 2" xfId="5056"/>
    <cellStyle name="40% - Accent5 3 2 2 2" xfId="5057"/>
    <cellStyle name="40% - Accent5 3 2 2 2 2" xfId="8648"/>
    <cellStyle name="40% - Accent5 3 2 2 3" xfId="8647"/>
    <cellStyle name="40% - Accent5 3 2 3" xfId="5058"/>
    <cellStyle name="40% - Accent5 3 2 3 2" xfId="8649"/>
    <cellStyle name="40% - Accent5 3 2 4" xfId="8646"/>
    <cellStyle name="40% - Accent5 3 3" xfId="5059"/>
    <cellStyle name="40% - Accent5 3 3 2" xfId="5060"/>
    <cellStyle name="40% - Accent5 3 3 2 2" xfId="5061"/>
    <cellStyle name="40% - Accent5 3 3 2 2 2" xfId="8652"/>
    <cellStyle name="40% - Accent5 3 3 2 3" xfId="8651"/>
    <cellStyle name="40% - Accent5 3 3 3" xfId="5062"/>
    <cellStyle name="40% - Accent5 3 3 3 2" xfId="8653"/>
    <cellStyle name="40% - Accent5 3 3 4" xfId="8650"/>
    <cellStyle name="40% - Accent5 3 4" xfId="5063"/>
    <cellStyle name="40% - Accent5 3 4 2" xfId="5064"/>
    <cellStyle name="40% - Accent5 3 4 2 2" xfId="8655"/>
    <cellStyle name="40% - Accent5 3 4 3" xfId="8654"/>
    <cellStyle name="40% - Accent5 3 5" xfId="5065"/>
    <cellStyle name="40% - Accent5 3 5 2" xfId="8656"/>
    <cellStyle name="40% - Accent5 3 6" xfId="8645"/>
    <cellStyle name="40% - Accent5 30" xfId="5066"/>
    <cellStyle name="40% - Accent5 30 2" xfId="5067"/>
    <cellStyle name="40% - Accent5 30 2 2" xfId="5068"/>
    <cellStyle name="40% - Accent5 30 2 2 2" xfId="5069"/>
    <cellStyle name="40% - Accent5 30 2 2 2 2" xfId="8660"/>
    <cellStyle name="40% - Accent5 30 2 2 3" xfId="8659"/>
    <cellStyle name="40% - Accent5 30 2 3" xfId="5070"/>
    <cellStyle name="40% - Accent5 30 2 3 2" xfId="8661"/>
    <cellStyle name="40% - Accent5 30 2 4" xfId="8658"/>
    <cellStyle name="40% - Accent5 30 3" xfId="5071"/>
    <cellStyle name="40% - Accent5 30 3 2" xfId="5072"/>
    <cellStyle name="40% - Accent5 30 3 2 2" xfId="5073"/>
    <cellStyle name="40% - Accent5 30 3 2 2 2" xfId="8664"/>
    <cellStyle name="40% - Accent5 30 3 2 3" xfId="8663"/>
    <cellStyle name="40% - Accent5 30 3 3" xfId="5074"/>
    <cellStyle name="40% - Accent5 30 3 3 2" xfId="8665"/>
    <cellStyle name="40% - Accent5 30 3 4" xfId="8662"/>
    <cellStyle name="40% - Accent5 30 4" xfId="5075"/>
    <cellStyle name="40% - Accent5 30 4 2" xfId="5076"/>
    <cellStyle name="40% - Accent5 30 4 2 2" xfId="8667"/>
    <cellStyle name="40% - Accent5 30 4 3" xfId="8666"/>
    <cellStyle name="40% - Accent5 30 5" xfId="5077"/>
    <cellStyle name="40% - Accent5 30 5 2" xfId="8668"/>
    <cellStyle name="40% - Accent5 30 6" xfId="8657"/>
    <cellStyle name="40% - Accent5 31" xfId="5078"/>
    <cellStyle name="40% - Accent5 31 2" xfId="5079"/>
    <cellStyle name="40% - Accent5 31 2 2" xfId="5080"/>
    <cellStyle name="40% - Accent5 31 2 2 2" xfId="5081"/>
    <cellStyle name="40% - Accent5 31 2 2 2 2" xfId="8672"/>
    <cellStyle name="40% - Accent5 31 2 2 3" xfId="8671"/>
    <cellStyle name="40% - Accent5 31 2 3" xfId="5082"/>
    <cellStyle name="40% - Accent5 31 2 3 2" xfId="8673"/>
    <cellStyle name="40% - Accent5 31 2 4" xfId="8670"/>
    <cellStyle name="40% - Accent5 31 3" xfId="5083"/>
    <cellStyle name="40% - Accent5 31 3 2" xfId="5084"/>
    <cellStyle name="40% - Accent5 31 3 2 2" xfId="5085"/>
    <cellStyle name="40% - Accent5 31 3 2 2 2" xfId="8676"/>
    <cellStyle name="40% - Accent5 31 3 2 3" xfId="8675"/>
    <cellStyle name="40% - Accent5 31 3 3" xfId="5086"/>
    <cellStyle name="40% - Accent5 31 3 3 2" xfId="8677"/>
    <cellStyle name="40% - Accent5 31 3 4" xfId="8674"/>
    <cellStyle name="40% - Accent5 31 4" xfId="5087"/>
    <cellStyle name="40% - Accent5 31 4 2" xfId="5088"/>
    <cellStyle name="40% - Accent5 31 4 2 2" xfId="8679"/>
    <cellStyle name="40% - Accent5 31 4 3" xfId="8678"/>
    <cellStyle name="40% - Accent5 31 5" xfId="5089"/>
    <cellStyle name="40% - Accent5 31 5 2" xfId="8680"/>
    <cellStyle name="40% - Accent5 31 6" xfId="8669"/>
    <cellStyle name="40% - Accent5 32" xfId="5090"/>
    <cellStyle name="40% - Accent5 32 2" xfId="5091"/>
    <cellStyle name="40% - Accent5 32 2 2" xfId="5092"/>
    <cellStyle name="40% - Accent5 32 2 2 2" xfId="5093"/>
    <cellStyle name="40% - Accent5 32 2 2 2 2" xfId="8684"/>
    <cellStyle name="40% - Accent5 32 2 2 3" xfId="8683"/>
    <cellStyle name="40% - Accent5 32 2 3" xfId="5094"/>
    <cellStyle name="40% - Accent5 32 2 3 2" xfId="8685"/>
    <cellStyle name="40% - Accent5 32 2 4" xfId="8682"/>
    <cellStyle name="40% - Accent5 32 3" xfId="5095"/>
    <cellStyle name="40% - Accent5 32 3 2" xfId="5096"/>
    <cellStyle name="40% - Accent5 32 3 2 2" xfId="5097"/>
    <cellStyle name="40% - Accent5 32 3 2 2 2" xfId="8688"/>
    <cellStyle name="40% - Accent5 32 3 2 3" xfId="8687"/>
    <cellStyle name="40% - Accent5 32 3 3" xfId="5098"/>
    <cellStyle name="40% - Accent5 32 3 3 2" xfId="8689"/>
    <cellStyle name="40% - Accent5 32 3 4" xfId="8686"/>
    <cellStyle name="40% - Accent5 32 4" xfId="5099"/>
    <cellStyle name="40% - Accent5 32 4 2" xfId="5100"/>
    <cellStyle name="40% - Accent5 32 4 2 2" xfId="8691"/>
    <cellStyle name="40% - Accent5 32 4 3" xfId="8690"/>
    <cellStyle name="40% - Accent5 32 5" xfId="5101"/>
    <cellStyle name="40% - Accent5 32 5 2" xfId="8692"/>
    <cellStyle name="40% - Accent5 32 6" xfId="8681"/>
    <cellStyle name="40% - Accent5 33" xfId="5102"/>
    <cellStyle name="40% - Accent5 33 2" xfId="5103"/>
    <cellStyle name="40% - Accent5 33 2 2" xfId="5104"/>
    <cellStyle name="40% - Accent5 33 2 2 2" xfId="5105"/>
    <cellStyle name="40% - Accent5 33 2 2 2 2" xfId="8696"/>
    <cellStyle name="40% - Accent5 33 2 2 3" xfId="8695"/>
    <cellStyle name="40% - Accent5 33 2 3" xfId="5106"/>
    <cellStyle name="40% - Accent5 33 2 3 2" xfId="8697"/>
    <cellStyle name="40% - Accent5 33 2 4" xfId="8694"/>
    <cellStyle name="40% - Accent5 33 3" xfId="5107"/>
    <cellStyle name="40% - Accent5 33 3 2" xfId="5108"/>
    <cellStyle name="40% - Accent5 33 3 2 2" xfId="5109"/>
    <cellStyle name="40% - Accent5 33 3 2 2 2" xfId="8700"/>
    <cellStyle name="40% - Accent5 33 3 2 3" xfId="8699"/>
    <cellStyle name="40% - Accent5 33 3 3" xfId="5110"/>
    <cellStyle name="40% - Accent5 33 3 3 2" xfId="8701"/>
    <cellStyle name="40% - Accent5 33 3 4" xfId="8698"/>
    <cellStyle name="40% - Accent5 33 4" xfId="5111"/>
    <cellStyle name="40% - Accent5 33 4 2" xfId="5112"/>
    <cellStyle name="40% - Accent5 33 4 2 2" xfId="8703"/>
    <cellStyle name="40% - Accent5 33 4 3" xfId="8702"/>
    <cellStyle name="40% - Accent5 33 5" xfId="5113"/>
    <cellStyle name="40% - Accent5 33 5 2" xfId="8704"/>
    <cellStyle name="40% - Accent5 33 6" xfId="8693"/>
    <cellStyle name="40% - Accent5 34" xfId="5114"/>
    <cellStyle name="40% - Accent5 34 2" xfId="5115"/>
    <cellStyle name="40% - Accent5 34 2 2" xfId="5116"/>
    <cellStyle name="40% - Accent5 34 2 2 2" xfId="5117"/>
    <cellStyle name="40% - Accent5 34 2 2 2 2" xfId="8708"/>
    <cellStyle name="40% - Accent5 34 2 2 3" xfId="8707"/>
    <cellStyle name="40% - Accent5 34 2 3" xfId="5118"/>
    <cellStyle name="40% - Accent5 34 2 3 2" xfId="8709"/>
    <cellStyle name="40% - Accent5 34 2 4" xfId="8706"/>
    <cellStyle name="40% - Accent5 34 3" xfId="5119"/>
    <cellStyle name="40% - Accent5 34 3 2" xfId="5120"/>
    <cellStyle name="40% - Accent5 34 3 2 2" xfId="8711"/>
    <cellStyle name="40% - Accent5 34 3 3" xfId="8710"/>
    <cellStyle name="40% - Accent5 34 4" xfId="5121"/>
    <cellStyle name="40% - Accent5 34 4 2" xfId="8712"/>
    <cellStyle name="40% - Accent5 34 5" xfId="8705"/>
    <cellStyle name="40% - Accent5 35" xfId="5122"/>
    <cellStyle name="40% - Accent5 35 2" xfId="5123"/>
    <cellStyle name="40% - Accent5 35 2 2" xfId="5124"/>
    <cellStyle name="40% - Accent5 35 2 2 2" xfId="8715"/>
    <cellStyle name="40% - Accent5 35 2 3" xfId="8714"/>
    <cellStyle name="40% - Accent5 35 3" xfId="5125"/>
    <cellStyle name="40% - Accent5 35 3 2" xfId="8716"/>
    <cellStyle name="40% - Accent5 35 4" xfId="8713"/>
    <cellStyle name="40% - Accent5 36" xfId="5126"/>
    <cellStyle name="40% - Accent5 36 2" xfId="5127"/>
    <cellStyle name="40% - Accent5 36 2 2" xfId="5128"/>
    <cellStyle name="40% - Accent5 36 2 2 2" xfId="8719"/>
    <cellStyle name="40% - Accent5 36 2 3" xfId="8718"/>
    <cellStyle name="40% - Accent5 36 3" xfId="5129"/>
    <cellStyle name="40% - Accent5 36 3 2" xfId="8720"/>
    <cellStyle name="40% - Accent5 36 4" xfId="8717"/>
    <cellStyle name="40% - Accent5 37" xfId="5130"/>
    <cellStyle name="40% - Accent5 37 2" xfId="5131"/>
    <cellStyle name="40% - Accent5 37 2 2" xfId="5132"/>
    <cellStyle name="40% - Accent5 37 2 2 2" xfId="8723"/>
    <cellStyle name="40% - Accent5 37 2 3" xfId="8722"/>
    <cellStyle name="40% - Accent5 37 3" xfId="5133"/>
    <cellStyle name="40% - Accent5 37 3 2" xfId="8724"/>
    <cellStyle name="40% - Accent5 37 4" xfId="8721"/>
    <cellStyle name="40% - Accent5 38" xfId="5134"/>
    <cellStyle name="40% - Accent5 38 2" xfId="5135"/>
    <cellStyle name="40% - Accent5 38 2 2" xfId="5136"/>
    <cellStyle name="40% - Accent5 38 2 2 2" xfId="8727"/>
    <cellStyle name="40% - Accent5 38 2 3" xfId="8726"/>
    <cellStyle name="40% - Accent5 38 3" xfId="5137"/>
    <cellStyle name="40% - Accent5 38 3 2" xfId="8728"/>
    <cellStyle name="40% - Accent5 38 4" xfId="8725"/>
    <cellStyle name="40% - Accent5 39" xfId="5138"/>
    <cellStyle name="40% - Accent5 39 2" xfId="5139"/>
    <cellStyle name="40% - Accent5 39 2 2" xfId="5140"/>
    <cellStyle name="40% - Accent5 39 2 2 2" xfId="8731"/>
    <cellStyle name="40% - Accent5 39 2 3" xfId="8730"/>
    <cellStyle name="40% - Accent5 39 3" xfId="5141"/>
    <cellStyle name="40% - Accent5 39 3 2" xfId="8732"/>
    <cellStyle name="40% - Accent5 39 4" xfId="8729"/>
    <cellStyle name="40% - Accent5 4" xfId="5142"/>
    <cellStyle name="40% - Accent5 4 2" xfId="5143"/>
    <cellStyle name="40% - Accent5 4 2 2" xfId="5144"/>
    <cellStyle name="40% - Accent5 4 2 2 2" xfId="5145"/>
    <cellStyle name="40% - Accent5 4 2 2 2 2" xfId="8736"/>
    <cellStyle name="40% - Accent5 4 2 2 3" xfId="8735"/>
    <cellStyle name="40% - Accent5 4 2 3" xfId="5146"/>
    <cellStyle name="40% - Accent5 4 2 3 2" xfId="8737"/>
    <cellStyle name="40% - Accent5 4 2 4" xfId="8734"/>
    <cellStyle name="40% - Accent5 4 3" xfId="5147"/>
    <cellStyle name="40% - Accent5 4 3 2" xfId="5148"/>
    <cellStyle name="40% - Accent5 4 3 2 2" xfId="5149"/>
    <cellStyle name="40% - Accent5 4 3 2 2 2" xfId="8740"/>
    <cellStyle name="40% - Accent5 4 3 2 3" xfId="8739"/>
    <cellStyle name="40% - Accent5 4 3 3" xfId="5150"/>
    <cellStyle name="40% - Accent5 4 3 3 2" xfId="8741"/>
    <cellStyle name="40% - Accent5 4 3 4" xfId="8738"/>
    <cellStyle name="40% - Accent5 4 4" xfId="5151"/>
    <cellStyle name="40% - Accent5 4 4 2" xfId="5152"/>
    <cellStyle name="40% - Accent5 4 4 2 2" xfId="8743"/>
    <cellStyle name="40% - Accent5 4 4 3" xfId="8742"/>
    <cellStyle name="40% - Accent5 4 5" xfId="5153"/>
    <cellStyle name="40% - Accent5 4 5 2" xfId="8744"/>
    <cellStyle name="40% - Accent5 4 6" xfId="8733"/>
    <cellStyle name="40% - Accent5 40" xfId="5154"/>
    <cellStyle name="40% - Accent5 40 2" xfId="5155"/>
    <cellStyle name="40% - Accent5 40 2 2" xfId="5156"/>
    <cellStyle name="40% - Accent5 40 2 2 2" xfId="8747"/>
    <cellStyle name="40% - Accent5 40 2 3" xfId="8746"/>
    <cellStyle name="40% - Accent5 40 3" xfId="5157"/>
    <cellStyle name="40% - Accent5 40 3 2" xfId="8748"/>
    <cellStyle name="40% - Accent5 40 4" xfId="8745"/>
    <cellStyle name="40% - Accent5 41" xfId="5158"/>
    <cellStyle name="40% - Accent5 41 2" xfId="5159"/>
    <cellStyle name="40% - Accent5 41 2 2" xfId="5160"/>
    <cellStyle name="40% - Accent5 41 2 2 2" xfId="8751"/>
    <cellStyle name="40% - Accent5 41 2 3" xfId="8750"/>
    <cellStyle name="40% - Accent5 41 3" xfId="5161"/>
    <cellStyle name="40% - Accent5 41 3 2" xfId="8752"/>
    <cellStyle name="40% - Accent5 41 4" xfId="8749"/>
    <cellStyle name="40% - Accent5 42" xfId="5162"/>
    <cellStyle name="40% - Accent5 42 2" xfId="5163"/>
    <cellStyle name="40% - Accent5 42 2 2" xfId="5164"/>
    <cellStyle name="40% - Accent5 42 2 2 2" xfId="8755"/>
    <cellStyle name="40% - Accent5 42 2 3" xfId="8754"/>
    <cellStyle name="40% - Accent5 42 3" xfId="5165"/>
    <cellStyle name="40% - Accent5 42 3 2" xfId="8756"/>
    <cellStyle name="40% - Accent5 42 4" xfId="8753"/>
    <cellStyle name="40% - Accent5 43" xfId="5166"/>
    <cellStyle name="40% - Accent5 43 2" xfId="5167"/>
    <cellStyle name="40% - Accent5 43 2 2" xfId="5168"/>
    <cellStyle name="40% - Accent5 43 2 2 2" xfId="8759"/>
    <cellStyle name="40% - Accent5 43 2 3" xfId="8758"/>
    <cellStyle name="40% - Accent5 43 3" xfId="5169"/>
    <cellStyle name="40% - Accent5 43 3 2" xfId="8760"/>
    <cellStyle name="40% - Accent5 43 4" xfId="8757"/>
    <cellStyle name="40% - Accent5 44" xfId="5170"/>
    <cellStyle name="40% - Accent5 44 2" xfId="5171"/>
    <cellStyle name="40% - Accent5 44 2 2" xfId="5172"/>
    <cellStyle name="40% - Accent5 44 2 2 2" xfId="8763"/>
    <cellStyle name="40% - Accent5 44 2 3" xfId="8762"/>
    <cellStyle name="40% - Accent5 44 3" xfId="5173"/>
    <cellStyle name="40% - Accent5 44 3 2" xfId="8764"/>
    <cellStyle name="40% - Accent5 44 4" xfId="8761"/>
    <cellStyle name="40% - Accent5 45" xfId="5174"/>
    <cellStyle name="40% - Accent5 45 2" xfId="5175"/>
    <cellStyle name="40% - Accent5 45 2 2" xfId="5176"/>
    <cellStyle name="40% - Accent5 45 2 2 2" xfId="8767"/>
    <cellStyle name="40% - Accent5 45 2 3" xfId="8766"/>
    <cellStyle name="40% - Accent5 45 3" xfId="5177"/>
    <cellStyle name="40% - Accent5 45 3 2" xfId="8768"/>
    <cellStyle name="40% - Accent5 45 4" xfId="8765"/>
    <cellStyle name="40% - Accent5 46" xfId="5178"/>
    <cellStyle name="40% - Accent5 46 2" xfId="5179"/>
    <cellStyle name="40% - Accent5 46 2 2" xfId="5180"/>
    <cellStyle name="40% - Accent5 46 2 2 2" xfId="8771"/>
    <cellStyle name="40% - Accent5 46 2 3" xfId="8770"/>
    <cellStyle name="40% - Accent5 46 3" xfId="5181"/>
    <cellStyle name="40% - Accent5 46 3 2" xfId="8772"/>
    <cellStyle name="40% - Accent5 46 4" xfId="8769"/>
    <cellStyle name="40% - Accent5 47" xfId="5182"/>
    <cellStyle name="40% - Accent5 47 2" xfId="5183"/>
    <cellStyle name="40% - Accent5 47 2 2" xfId="5184"/>
    <cellStyle name="40% - Accent5 47 2 2 2" xfId="8775"/>
    <cellStyle name="40% - Accent5 47 2 3" xfId="8774"/>
    <cellStyle name="40% - Accent5 47 3" xfId="5185"/>
    <cellStyle name="40% - Accent5 47 3 2" xfId="8776"/>
    <cellStyle name="40% - Accent5 47 4" xfId="8773"/>
    <cellStyle name="40% - Accent5 48" xfId="5186"/>
    <cellStyle name="40% - Accent5 48 2" xfId="5187"/>
    <cellStyle name="40% - Accent5 48 2 2" xfId="5188"/>
    <cellStyle name="40% - Accent5 48 2 2 2" xfId="8779"/>
    <cellStyle name="40% - Accent5 48 2 3" xfId="8778"/>
    <cellStyle name="40% - Accent5 48 3" xfId="5189"/>
    <cellStyle name="40% - Accent5 48 3 2" xfId="8780"/>
    <cellStyle name="40% - Accent5 48 4" xfId="8777"/>
    <cellStyle name="40% - Accent5 49" xfId="5190"/>
    <cellStyle name="40% - Accent5 49 2" xfId="5191"/>
    <cellStyle name="40% - Accent5 49 2 2" xfId="5192"/>
    <cellStyle name="40% - Accent5 49 2 2 2" xfId="8783"/>
    <cellStyle name="40% - Accent5 49 2 3" xfId="8782"/>
    <cellStyle name="40% - Accent5 49 3" xfId="5193"/>
    <cellStyle name="40% - Accent5 49 3 2" xfId="8784"/>
    <cellStyle name="40% - Accent5 49 4" xfId="8781"/>
    <cellStyle name="40% - Accent5 5" xfId="5194"/>
    <cellStyle name="40% - Accent5 5 2" xfId="5195"/>
    <cellStyle name="40% - Accent5 5 2 2" xfId="5196"/>
    <cellStyle name="40% - Accent5 5 2 2 2" xfId="5197"/>
    <cellStyle name="40% - Accent5 5 2 2 2 2" xfId="8788"/>
    <cellStyle name="40% - Accent5 5 2 2 3" xfId="8787"/>
    <cellStyle name="40% - Accent5 5 2 3" xfId="5198"/>
    <cellStyle name="40% - Accent5 5 2 3 2" xfId="8789"/>
    <cellStyle name="40% - Accent5 5 2 4" xfId="8786"/>
    <cellStyle name="40% - Accent5 5 3" xfId="5199"/>
    <cellStyle name="40% - Accent5 5 3 2" xfId="5200"/>
    <cellStyle name="40% - Accent5 5 3 2 2" xfId="5201"/>
    <cellStyle name="40% - Accent5 5 3 2 2 2" xfId="8792"/>
    <cellStyle name="40% - Accent5 5 3 2 3" xfId="8791"/>
    <cellStyle name="40% - Accent5 5 3 3" xfId="5202"/>
    <cellStyle name="40% - Accent5 5 3 3 2" xfId="8793"/>
    <cellStyle name="40% - Accent5 5 3 4" xfId="8790"/>
    <cellStyle name="40% - Accent5 5 4" xfId="5203"/>
    <cellStyle name="40% - Accent5 5 4 2" xfId="5204"/>
    <cellStyle name="40% - Accent5 5 4 2 2" xfId="8795"/>
    <cellStyle name="40% - Accent5 5 4 3" xfId="8794"/>
    <cellStyle name="40% - Accent5 5 5" xfId="5205"/>
    <cellStyle name="40% - Accent5 5 5 2" xfId="8796"/>
    <cellStyle name="40% - Accent5 5 6" xfId="8785"/>
    <cellStyle name="40% - Accent5 50" xfId="5206"/>
    <cellStyle name="40% - Accent5 50 2" xfId="5207"/>
    <cellStyle name="40% - Accent5 50 2 2" xfId="5208"/>
    <cellStyle name="40% - Accent5 50 2 2 2" xfId="8799"/>
    <cellStyle name="40% - Accent5 50 2 3" xfId="8798"/>
    <cellStyle name="40% - Accent5 50 3" xfId="5209"/>
    <cellStyle name="40% - Accent5 50 3 2" xfId="8800"/>
    <cellStyle name="40% - Accent5 50 4" xfId="8797"/>
    <cellStyle name="40% - Accent5 51" xfId="5210"/>
    <cellStyle name="40% - Accent5 51 2" xfId="5211"/>
    <cellStyle name="40% - Accent5 51 2 2" xfId="5212"/>
    <cellStyle name="40% - Accent5 51 2 2 2" xfId="8803"/>
    <cellStyle name="40% - Accent5 51 2 3" xfId="8802"/>
    <cellStyle name="40% - Accent5 51 3" xfId="5213"/>
    <cellStyle name="40% - Accent5 51 3 2" xfId="8804"/>
    <cellStyle name="40% - Accent5 51 4" xfId="8801"/>
    <cellStyle name="40% - Accent5 52" xfId="5214"/>
    <cellStyle name="40% - Accent5 52 2" xfId="5215"/>
    <cellStyle name="40% - Accent5 52 2 2" xfId="5216"/>
    <cellStyle name="40% - Accent5 52 2 2 2" xfId="8807"/>
    <cellStyle name="40% - Accent5 52 2 3" xfId="8806"/>
    <cellStyle name="40% - Accent5 52 3" xfId="5217"/>
    <cellStyle name="40% - Accent5 52 3 2" xfId="8808"/>
    <cellStyle name="40% - Accent5 52 4" xfId="8805"/>
    <cellStyle name="40% - Accent5 53" xfId="5218"/>
    <cellStyle name="40% - Accent5 53 2" xfId="5219"/>
    <cellStyle name="40% - Accent5 53 2 2" xfId="8810"/>
    <cellStyle name="40% - Accent5 53 3" xfId="8809"/>
    <cellStyle name="40% - Accent5 54" xfId="5220"/>
    <cellStyle name="40% - Accent5 54 2" xfId="5221"/>
    <cellStyle name="40% - Accent5 54 2 2" xfId="8812"/>
    <cellStyle name="40% - Accent5 54 3" xfId="8811"/>
    <cellStyle name="40% - Accent5 55" xfId="5222"/>
    <cellStyle name="40% - Accent5 55 2" xfId="5223"/>
    <cellStyle name="40% - Accent5 55 2 2" xfId="8814"/>
    <cellStyle name="40% - Accent5 55 3" xfId="8813"/>
    <cellStyle name="40% - Accent5 56" xfId="5224"/>
    <cellStyle name="40% - Accent5 56 2" xfId="5225"/>
    <cellStyle name="40% - Accent5 56 2 2" xfId="8816"/>
    <cellStyle name="40% - Accent5 56 3" xfId="8815"/>
    <cellStyle name="40% - Accent5 57" xfId="5226"/>
    <cellStyle name="40% - Accent5 57 2" xfId="5227"/>
    <cellStyle name="40% - Accent5 57 2 2" xfId="8818"/>
    <cellStyle name="40% - Accent5 57 3" xfId="8817"/>
    <cellStyle name="40% - Accent5 58" xfId="5228"/>
    <cellStyle name="40% - Accent5 58 2" xfId="5229"/>
    <cellStyle name="40% - Accent5 58 2 2" xfId="8820"/>
    <cellStyle name="40% - Accent5 58 3" xfId="8819"/>
    <cellStyle name="40% - Accent5 59" xfId="5230"/>
    <cellStyle name="40% - Accent5 59 2" xfId="5231"/>
    <cellStyle name="40% - Accent5 59 2 2" xfId="8822"/>
    <cellStyle name="40% - Accent5 59 3" xfId="8821"/>
    <cellStyle name="40% - Accent5 6" xfId="5232"/>
    <cellStyle name="40% - Accent5 6 2" xfId="5233"/>
    <cellStyle name="40% - Accent5 6 2 2" xfId="5234"/>
    <cellStyle name="40% - Accent5 6 2 2 2" xfId="5235"/>
    <cellStyle name="40% - Accent5 6 2 2 2 2" xfId="8826"/>
    <cellStyle name="40% - Accent5 6 2 2 3" xfId="8825"/>
    <cellStyle name="40% - Accent5 6 2 3" xfId="5236"/>
    <cellStyle name="40% - Accent5 6 2 3 2" xfId="8827"/>
    <cellStyle name="40% - Accent5 6 2 4" xfId="8824"/>
    <cellStyle name="40% - Accent5 6 3" xfId="5237"/>
    <cellStyle name="40% - Accent5 6 3 2" xfId="5238"/>
    <cellStyle name="40% - Accent5 6 3 2 2" xfId="5239"/>
    <cellStyle name="40% - Accent5 6 3 2 2 2" xfId="8830"/>
    <cellStyle name="40% - Accent5 6 3 2 3" xfId="8829"/>
    <cellStyle name="40% - Accent5 6 3 3" xfId="5240"/>
    <cellStyle name="40% - Accent5 6 3 3 2" xfId="8831"/>
    <cellStyle name="40% - Accent5 6 3 4" xfId="8828"/>
    <cellStyle name="40% - Accent5 6 4" xfId="5241"/>
    <cellStyle name="40% - Accent5 6 4 2" xfId="5242"/>
    <cellStyle name="40% - Accent5 6 4 2 2" xfId="8833"/>
    <cellStyle name="40% - Accent5 6 4 3" xfId="8832"/>
    <cellStyle name="40% - Accent5 6 5" xfId="5243"/>
    <cellStyle name="40% - Accent5 6 5 2" xfId="8834"/>
    <cellStyle name="40% - Accent5 6 6" xfId="8823"/>
    <cellStyle name="40% - Accent5 60" xfId="5244"/>
    <cellStyle name="40% - Accent5 60 2" xfId="8835"/>
    <cellStyle name="40% - Accent5 61" xfId="8392"/>
    <cellStyle name="40% - Accent5 62" xfId="11227"/>
    <cellStyle name="40% - Accent5 7" xfId="5245"/>
    <cellStyle name="40% - Accent5 7 2" xfId="5246"/>
    <cellStyle name="40% - Accent5 7 2 2" xfId="5247"/>
    <cellStyle name="40% - Accent5 7 2 2 2" xfId="5248"/>
    <cellStyle name="40% - Accent5 7 2 2 2 2" xfId="8839"/>
    <cellStyle name="40% - Accent5 7 2 2 3" xfId="8838"/>
    <cellStyle name="40% - Accent5 7 2 3" xfId="5249"/>
    <cellStyle name="40% - Accent5 7 2 3 2" xfId="8840"/>
    <cellStyle name="40% - Accent5 7 2 4" xfId="8837"/>
    <cellStyle name="40% - Accent5 7 3" xfId="5250"/>
    <cellStyle name="40% - Accent5 7 3 2" xfId="5251"/>
    <cellStyle name="40% - Accent5 7 3 2 2" xfId="5252"/>
    <cellStyle name="40% - Accent5 7 3 2 2 2" xfId="8843"/>
    <cellStyle name="40% - Accent5 7 3 2 3" xfId="8842"/>
    <cellStyle name="40% - Accent5 7 3 3" xfId="5253"/>
    <cellStyle name="40% - Accent5 7 3 3 2" xfId="8844"/>
    <cellStyle name="40% - Accent5 7 3 4" xfId="8841"/>
    <cellStyle name="40% - Accent5 7 4" xfId="5254"/>
    <cellStyle name="40% - Accent5 7 4 2" xfId="5255"/>
    <cellStyle name="40% - Accent5 7 4 2 2" xfId="8846"/>
    <cellStyle name="40% - Accent5 7 4 3" xfId="8845"/>
    <cellStyle name="40% - Accent5 7 5" xfId="5256"/>
    <cellStyle name="40% - Accent5 7 5 2" xfId="8847"/>
    <cellStyle name="40% - Accent5 7 6" xfId="8836"/>
    <cellStyle name="40% - Accent5 8" xfId="5257"/>
    <cellStyle name="40% - Accent5 8 2" xfId="5258"/>
    <cellStyle name="40% - Accent5 8 2 2" xfId="5259"/>
    <cellStyle name="40% - Accent5 8 2 2 2" xfId="5260"/>
    <cellStyle name="40% - Accent5 8 2 2 2 2" xfId="8851"/>
    <cellStyle name="40% - Accent5 8 2 2 3" xfId="8850"/>
    <cellStyle name="40% - Accent5 8 2 3" xfId="5261"/>
    <cellStyle name="40% - Accent5 8 2 3 2" xfId="8852"/>
    <cellStyle name="40% - Accent5 8 2 4" xfId="8849"/>
    <cellStyle name="40% - Accent5 8 3" xfId="5262"/>
    <cellStyle name="40% - Accent5 8 3 2" xfId="5263"/>
    <cellStyle name="40% - Accent5 8 3 2 2" xfId="5264"/>
    <cellStyle name="40% - Accent5 8 3 2 2 2" xfId="8855"/>
    <cellStyle name="40% - Accent5 8 3 2 3" xfId="8854"/>
    <cellStyle name="40% - Accent5 8 3 3" xfId="5265"/>
    <cellStyle name="40% - Accent5 8 3 3 2" xfId="8856"/>
    <cellStyle name="40% - Accent5 8 3 4" xfId="8853"/>
    <cellStyle name="40% - Accent5 8 4" xfId="5266"/>
    <cellStyle name="40% - Accent5 8 4 2" xfId="5267"/>
    <cellStyle name="40% - Accent5 8 4 2 2" xfId="8858"/>
    <cellStyle name="40% - Accent5 8 4 3" xfId="8857"/>
    <cellStyle name="40% - Accent5 8 5" xfId="5268"/>
    <cellStyle name="40% - Accent5 8 5 2" xfId="8859"/>
    <cellStyle name="40% - Accent5 8 6" xfId="8848"/>
    <cellStyle name="40% - Accent5 9" xfId="5269"/>
    <cellStyle name="40% - Accent5 9 2" xfId="5270"/>
    <cellStyle name="40% - Accent5 9 2 2" xfId="5271"/>
    <cellStyle name="40% - Accent5 9 2 2 2" xfId="5272"/>
    <cellStyle name="40% - Accent5 9 2 2 2 2" xfId="8863"/>
    <cellStyle name="40% - Accent5 9 2 2 3" xfId="8862"/>
    <cellStyle name="40% - Accent5 9 2 3" xfId="5273"/>
    <cellStyle name="40% - Accent5 9 2 3 2" xfId="8864"/>
    <cellStyle name="40% - Accent5 9 2 4" xfId="8861"/>
    <cellStyle name="40% - Accent5 9 3" xfId="5274"/>
    <cellStyle name="40% - Accent5 9 3 2" xfId="5275"/>
    <cellStyle name="40% - Accent5 9 3 2 2" xfId="5276"/>
    <cellStyle name="40% - Accent5 9 3 2 2 2" xfId="8867"/>
    <cellStyle name="40% - Accent5 9 3 2 3" xfId="8866"/>
    <cellStyle name="40% - Accent5 9 3 3" xfId="5277"/>
    <cellStyle name="40% - Accent5 9 3 3 2" xfId="8868"/>
    <cellStyle name="40% - Accent5 9 3 4" xfId="8865"/>
    <cellStyle name="40% - Accent5 9 4" xfId="5278"/>
    <cellStyle name="40% - Accent5 9 4 2" xfId="5279"/>
    <cellStyle name="40% - Accent5 9 4 2 2" xfId="8870"/>
    <cellStyle name="40% - Accent5 9 4 3" xfId="8869"/>
    <cellStyle name="40% - Accent5 9 5" xfId="5280"/>
    <cellStyle name="40% - Accent5 9 5 2" xfId="8871"/>
    <cellStyle name="40% - Accent5 9 6" xfId="8860"/>
    <cellStyle name="40% - Accent6" xfId="5281" builtinId="51" customBuiltin="1"/>
    <cellStyle name="40% - Accent6 10" xfId="5282"/>
    <cellStyle name="40% - Accent6 10 2" xfId="5283"/>
    <cellStyle name="40% - Accent6 10 2 2" xfId="5284"/>
    <cellStyle name="40% - Accent6 10 2 2 2" xfId="5285"/>
    <cellStyle name="40% - Accent6 10 2 2 2 2" xfId="8876"/>
    <cellStyle name="40% - Accent6 10 2 2 3" xfId="8875"/>
    <cellStyle name="40% - Accent6 10 2 3" xfId="5286"/>
    <cellStyle name="40% - Accent6 10 2 3 2" xfId="8877"/>
    <cellStyle name="40% - Accent6 10 2 4" xfId="8874"/>
    <cellStyle name="40% - Accent6 10 3" xfId="5287"/>
    <cellStyle name="40% - Accent6 10 3 2" xfId="5288"/>
    <cellStyle name="40% - Accent6 10 3 2 2" xfId="5289"/>
    <cellStyle name="40% - Accent6 10 3 2 2 2" xfId="8880"/>
    <cellStyle name="40% - Accent6 10 3 2 3" xfId="8879"/>
    <cellStyle name="40% - Accent6 10 3 3" xfId="5290"/>
    <cellStyle name="40% - Accent6 10 3 3 2" xfId="8881"/>
    <cellStyle name="40% - Accent6 10 3 4" xfId="8878"/>
    <cellStyle name="40% - Accent6 10 4" xfId="5291"/>
    <cellStyle name="40% - Accent6 10 4 2" xfId="5292"/>
    <cellStyle name="40% - Accent6 10 4 2 2" xfId="8883"/>
    <cellStyle name="40% - Accent6 10 4 3" xfId="8882"/>
    <cellStyle name="40% - Accent6 10 5" xfId="5293"/>
    <cellStyle name="40% - Accent6 10 5 2" xfId="8884"/>
    <cellStyle name="40% - Accent6 10 6" xfId="8873"/>
    <cellStyle name="40% - Accent6 11" xfId="5294"/>
    <cellStyle name="40% - Accent6 11 2" xfId="5295"/>
    <cellStyle name="40% - Accent6 11 2 2" xfId="5296"/>
    <cellStyle name="40% - Accent6 11 2 2 2" xfId="5297"/>
    <cellStyle name="40% - Accent6 11 2 2 2 2" xfId="8888"/>
    <cellStyle name="40% - Accent6 11 2 2 3" xfId="8887"/>
    <cellStyle name="40% - Accent6 11 2 3" xfId="5298"/>
    <cellStyle name="40% - Accent6 11 2 3 2" xfId="8889"/>
    <cellStyle name="40% - Accent6 11 2 4" xfId="8886"/>
    <cellStyle name="40% - Accent6 11 3" xfId="5299"/>
    <cellStyle name="40% - Accent6 11 3 2" xfId="5300"/>
    <cellStyle name="40% - Accent6 11 3 2 2" xfId="5301"/>
    <cellStyle name="40% - Accent6 11 3 2 2 2" xfId="8892"/>
    <cellStyle name="40% - Accent6 11 3 2 3" xfId="8891"/>
    <cellStyle name="40% - Accent6 11 3 3" xfId="5302"/>
    <cellStyle name="40% - Accent6 11 3 3 2" xfId="8893"/>
    <cellStyle name="40% - Accent6 11 3 4" xfId="8890"/>
    <cellStyle name="40% - Accent6 11 4" xfId="5303"/>
    <cellStyle name="40% - Accent6 11 4 2" xfId="5304"/>
    <cellStyle name="40% - Accent6 11 4 2 2" xfId="8895"/>
    <cellStyle name="40% - Accent6 11 4 3" xfId="8894"/>
    <cellStyle name="40% - Accent6 11 5" xfId="5305"/>
    <cellStyle name="40% - Accent6 11 5 2" xfId="8896"/>
    <cellStyle name="40% - Accent6 11 6" xfId="8885"/>
    <cellStyle name="40% - Accent6 12" xfId="5306"/>
    <cellStyle name="40% - Accent6 12 2" xfId="5307"/>
    <cellStyle name="40% - Accent6 12 2 2" xfId="5308"/>
    <cellStyle name="40% - Accent6 12 2 2 2" xfId="5309"/>
    <cellStyle name="40% - Accent6 12 2 2 2 2" xfId="8900"/>
    <cellStyle name="40% - Accent6 12 2 2 3" xfId="8899"/>
    <cellStyle name="40% - Accent6 12 2 3" xfId="5310"/>
    <cellStyle name="40% - Accent6 12 2 3 2" xfId="8901"/>
    <cellStyle name="40% - Accent6 12 2 4" xfId="8898"/>
    <cellStyle name="40% - Accent6 12 3" xfId="5311"/>
    <cellStyle name="40% - Accent6 12 3 2" xfId="5312"/>
    <cellStyle name="40% - Accent6 12 3 2 2" xfId="5313"/>
    <cellStyle name="40% - Accent6 12 3 2 2 2" xfId="8904"/>
    <cellStyle name="40% - Accent6 12 3 2 3" xfId="8903"/>
    <cellStyle name="40% - Accent6 12 3 3" xfId="5314"/>
    <cellStyle name="40% - Accent6 12 3 3 2" xfId="8905"/>
    <cellStyle name="40% - Accent6 12 3 4" xfId="8902"/>
    <cellStyle name="40% - Accent6 12 4" xfId="5315"/>
    <cellStyle name="40% - Accent6 12 4 2" xfId="5316"/>
    <cellStyle name="40% - Accent6 12 4 2 2" xfId="8907"/>
    <cellStyle name="40% - Accent6 12 4 3" xfId="8906"/>
    <cellStyle name="40% - Accent6 12 5" xfId="5317"/>
    <cellStyle name="40% - Accent6 12 5 2" xfId="8908"/>
    <cellStyle name="40% - Accent6 12 6" xfId="8897"/>
    <cellStyle name="40% - Accent6 13" xfId="5318"/>
    <cellStyle name="40% - Accent6 13 2" xfId="5319"/>
    <cellStyle name="40% - Accent6 13 2 2" xfId="5320"/>
    <cellStyle name="40% - Accent6 13 2 2 2" xfId="5321"/>
    <cellStyle name="40% - Accent6 13 2 2 2 2" xfId="8912"/>
    <cellStyle name="40% - Accent6 13 2 2 3" xfId="8911"/>
    <cellStyle name="40% - Accent6 13 2 3" xfId="5322"/>
    <cellStyle name="40% - Accent6 13 2 3 2" xfId="8913"/>
    <cellStyle name="40% - Accent6 13 2 4" xfId="8910"/>
    <cellStyle name="40% - Accent6 13 3" xfId="5323"/>
    <cellStyle name="40% - Accent6 13 3 2" xfId="5324"/>
    <cellStyle name="40% - Accent6 13 3 2 2" xfId="5325"/>
    <cellStyle name="40% - Accent6 13 3 2 2 2" xfId="8916"/>
    <cellStyle name="40% - Accent6 13 3 2 3" xfId="8915"/>
    <cellStyle name="40% - Accent6 13 3 3" xfId="5326"/>
    <cellStyle name="40% - Accent6 13 3 3 2" xfId="8917"/>
    <cellStyle name="40% - Accent6 13 3 4" xfId="8914"/>
    <cellStyle name="40% - Accent6 13 4" xfId="5327"/>
    <cellStyle name="40% - Accent6 13 4 2" xfId="5328"/>
    <cellStyle name="40% - Accent6 13 4 2 2" xfId="8919"/>
    <cellStyle name="40% - Accent6 13 4 3" xfId="8918"/>
    <cellStyle name="40% - Accent6 13 5" xfId="5329"/>
    <cellStyle name="40% - Accent6 13 5 2" xfId="8920"/>
    <cellStyle name="40% - Accent6 13 6" xfId="8909"/>
    <cellStyle name="40% - Accent6 14" xfId="5330"/>
    <cellStyle name="40% - Accent6 14 2" xfId="5331"/>
    <cellStyle name="40% - Accent6 14 2 2" xfId="5332"/>
    <cellStyle name="40% - Accent6 14 2 2 2" xfId="5333"/>
    <cellStyle name="40% - Accent6 14 2 2 2 2" xfId="8924"/>
    <cellStyle name="40% - Accent6 14 2 2 3" xfId="8923"/>
    <cellStyle name="40% - Accent6 14 2 3" xfId="5334"/>
    <cellStyle name="40% - Accent6 14 2 3 2" xfId="8925"/>
    <cellStyle name="40% - Accent6 14 2 4" xfId="8922"/>
    <cellStyle name="40% - Accent6 14 3" xfId="5335"/>
    <cellStyle name="40% - Accent6 14 3 2" xfId="5336"/>
    <cellStyle name="40% - Accent6 14 3 2 2" xfId="5337"/>
    <cellStyle name="40% - Accent6 14 3 2 2 2" xfId="8928"/>
    <cellStyle name="40% - Accent6 14 3 2 3" xfId="8927"/>
    <cellStyle name="40% - Accent6 14 3 3" xfId="5338"/>
    <cellStyle name="40% - Accent6 14 3 3 2" xfId="8929"/>
    <cellStyle name="40% - Accent6 14 3 4" xfId="8926"/>
    <cellStyle name="40% - Accent6 14 4" xfId="5339"/>
    <cellStyle name="40% - Accent6 14 4 2" xfId="5340"/>
    <cellStyle name="40% - Accent6 14 4 2 2" xfId="8931"/>
    <cellStyle name="40% - Accent6 14 4 3" xfId="8930"/>
    <cellStyle name="40% - Accent6 14 5" xfId="5341"/>
    <cellStyle name="40% - Accent6 14 5 2" xfId="8932"/>
    <cellStyle name="40% - Accent6 14 6" xfId="8921"/>
    <cellStyle name="40% - Accent6 15" xfId="5342"/>
    <cellStyle name="40% - Accent6 15 2" xfId="5343"/>
    <cellStyle name="40% - Accent6 15 2 2" xfId="5344"/>
    <cellStyle name="40% - Accent6 15 2 2 2" xfId="5345"/>
    <cellStyle name="40% - Accent6 15 2 2 2 2" xfId="8936"/>
    <cellStyle name="40% - Accent6 15 2 2 3" xfId="8935"/>
    <cellStyle name="40% - Accent6 15 2 3" xfId="5346"/>
    <cellStyle name="40% - Accent6 15 2 3 2" xfId="8937"/>
    <cellStyle name="40% - Accent6 15 2 4" xfId="8934"/>
    <cellStyle name="40% - Accent6 15 3" xfId="5347"/>
    <cellStyle name="40% - Accent6 15 3 2" xfId="5348"/>
    <cellStyle name="40% - Accent6 15 3 2 2" xfId="5349"/>
    <cellStyle name="40% - Accent6 15 3 2 2 2" xfId="8940"/>
    <cellStyle name="40% - Accent6 15 3 2 3" xfId="8939"/>
    <cellStyle name="40% - Accent6 15 3 3" xfId="5350"/>
    <cellStyle name="40% - Accent6 15 3 3 2" xfId="8941"/>
    <cellStyle name="40% - Accent6 15 3 4" xfId="8938"/>
    <cellStyle name="40% - Accent6 15 4" xfId="5351"/>
    <cellStyle name="40% - Accent6 15 4 2" xfId="5352"/>
    <cellStyle name="40% - Accent6 15 4 2 2" xfId="8943"/>
    <cellStyle name="40% - Accent6 15 4 3" xfId="8942"/>
    <cellStyle name="40% - Accent6 15 5" xfId="5353"/>
    <cellStyle name="40% - Accent6 15 5 2" xfId="8944"/>
    <cellStyle name="40% - Accent6 15 6" xfId="8933"/>
    <cellStyle name="40% - Accent6 16" xfId="5354"/>
    <cellStyle name="40% - Accent6 16 2" xfId="5355"/>
    <cellStyle name="40% - Accent6 16 2 2" xfId="5356"/>
    <cellStyle name="40% - Accent6 16 2 2 2" xfId="5357"/>
    <cellStyle name="40% - Accent6 16 2 2 2 2" xfId="8948"/>
    <cellStyle name="40% - Accent6 16 2 2 3" xfId="8947"/>
    <cellStyle name="40% - Accent6 16 2 3" xfId="5358"/>
    <cellStyle name="40% - Accent6 16 2 3 2" xfId="8949"/>
    <cellStyle name="40% - Accent6 16 2 4" xfId="8946"/>
    <cellStyle name="40% - Accent6 16 3" xfId="5359"/>
    <cellStyle name="40% - Accent6 16 3 2" xfId="5360"/>
    <cellStyle name="40% - Accent6 16 3 2 2" xfId="5361"/>
    <cellStyle name="40% - Accent6 16 3 2 2 2" xfId="8952"/>
    <cellStyle name="40% - Accent6 16 3 2 3" xfId="8951"/>
    <cellStyle name="40% - Accent6 16 3 3" xfId="5362"/>
    <cellStyle name="40% - Accent6 16 3 3 2" xfId="8953"/>
    <cellStyle name="40% - Accent6 16 3 4" xfId="8950"/>
    <cellStyle name="40% - Accent6 16 4" xfId="5363"/>
    <cellStyle name="40% - Accent6 16 4 2" xfId="5364"/>
    <cellStyle name="40% - Accent6 16 4 2 2" xfId="8955"/>
    <cellStyle name="40% - Accent6 16 4 3" xfId="8954"/>
    <cellStyle name="40% - Accent6 16 5" xfId="5365"/>
    <cellStyle name="40% - Accent6 16 5 2" xfId="8956"/>
    <cellStyle name="40% - Accent6 16 6" xfId="8945"/>
    <cellStyle name="40% - Accent6 17" xfId="5366"/>
    <cellStyle name="40% - Accent6 17 2" xfId="5367"/>
    <cellStyle name="40% - Accent6 17 2 2" xfId="5368"/>
    <cellStyle name="40% - Accent6 17 2 2 2" xfId="5369"/>
    <cellStyle name="40% - Accent6 17 2 2 2 2" xfId="8960"/>
    <cellStyle name="40% - Accent6 17 2 2 3" xfId="8959"/>
    <cellStyle name="40% - Accent6 17 2 3" xfId="5370"/>
    <cellStyle name="40% - Accent6 17 2 3 2" xfId="8961"/>
    <cellStyle name="40% - Accent6 17 2 4" xfId="8958"/>
    <cellStyle name="40% - Accent6 17 3" xfId="5371"/>
    <cellStyle name="40% - Accent6 17 3 2" xfId="5372"/>
    <cellStyle name="40% - Accent6 17 3 2 2" xfId="5373"/>
    <cellStyle name="40% - Accent6 17 3 2 2 2" xfId="8964"/>
    <cellStyle name="40% - Accent6 17 3 2 3" xfId="8963"/>
    <cellStyle name="40% - Accent6 17 3 3" xfId="5374"/>
    <cellStyle name="40% - Accent6 17 3 3 2" xfId="8965"/>
    <cellStyle name="40% - Accent6 17 3 4" xfId="8962"/>
    <cellStyle name="40% - Accent6 17 4" xfId="5375"/>
    <cellStyle name="40% - Accent6 17 4 2" xfId="5376"/>
    <cellStyle name="40% - Accent6 17 4 2 2" xfId="8967"/>
    <cellStyle name="40% - Accent6 17 4 3" xfId="8966"/>
    <cellStyle name="40% - Accent6 17 5" xfId="5377"/>
    <cellStyle name="40% - Accent6 17 5 2" xfId="8968"/>
    <cellStyle name="40% - Accent6 17 6" xfId="8957"/>
    <cellStyle name="40% - Accent6 18" xfId="5378"/>
    <cellStyle name="40% - Accent6 18 2" xfId="5379"/>
    <cellStyle name="40% - Accent6 18 2 2" xfId="5380"/>
    <cellStyle name="40% - Accent6 18 2 2 2" xfId="5381"/>
    <cellStyle name="40% - Accent6 18 2 2 2 2" xfId="8972"/>
    <cellStyle name="40% - Accent6 18 2 2 3" xfId="8971"/>
    <cellStyle name="40% - Accent6 18 2 3" xfId="5382"/>
    <cellStyle name="40% - Accent6 18 2 3 2" xfId="8973"/>
    <cellStyle name="40% - Accent6 18 2 4" xfId="8970"/>
    <cellStyle name="40% - Accent6 18 3" xfId="5383"/>
    <cellStyle name="40% - Accent6 18 3 2" xfId="5384"/>
    <cellStyle name="40% - Accent6 18 3 2 2" xfId="5385"/>
    <cellStyle name="40% - Accent6 18 3 2 2 2" xfId="8976"/>
    <cellStyle name="40% - Accent6 18 3 2 3" xfId="8975"/>
    <cellStyle name="40% - Accent6 18 3 3" xfId="5386"/>
    <cellStyle name="40% - Accent6 18 3 3 2" xfId="8977"/>
    <cellStyle name="40% - Accent6 18 3 4" xfId="8974"/>
    <cellStyle name="40% - Accent6 18 4" xfId="5387"/>
    <cellStyle name="40% - Accent6 18 4 2" xfId="5388"/>
    <cellStyle name="40% - Accent6 18 4 2 2" xfId="8979"/>
    <cellStyle name="40% - Accent6 18 4 3" xfId="8978"/>
    <cellStyle name="40% - Accent6 18 5" xfId="5389"/>
    <cellStyle name="40% - Accent6 18 5 2" xfId="8980"/>
    <cellStyle name="40% - Accent6 18 6" xfId="8969"/>
    <cellStyle name="40% - Accent6 19" xfId="5390"/>
    <cellStyle name="40% - Accent6 19 2" xfId="5391"/>
    <cellStyle name="40% - Accent6 19 2 2" xfId="5392"/>
    <cellStyle name="40% - Accent6 19 2 2 2" xfId="5393"/>
    <cellStyle name="40% - Accent6 19 2 2 2 2" xfId="8984"/>
    <cellStyle name="40% - Accent6 19 2 2 3" xfId="8983"/>
    <cellStyle name="40% - Accent6 19 2 3" xfId="5394"/>
    <cellStyle name="40% - Accent6 19 2 3 2" xfId="8985"/>
    <cellStyle name="40% - Accent6 19 2 4" xfId="8982"/>
    <cellStyle name="40% - Accent6 19 3" xfId="5395"/>
    <cellStyle name="40% - Accent6 19 3 2" xfId="5396"/>
    <cellStyle name="40% - Accent6 19 3 2 2" xfId="5397"/>
    <cellStyle name="40% - Accent6 19 3 2 2 2" xfId="8988"/>
    <cellStyle name="40% - Accent6 19 3 2 3" xfId="8987"/>
    <cellStyle name="40% - Accent6 19 3 3" xfId="5398"/>
    <cellStyle name="40% - Accent6 19 3 3 2" xfId="8989"/>
    <cellStyle name="40% - Accent6 19 3 4" xfId="8986"/>
    <cellStyle name="40% - Accent6 19 4" xfId="5399"/>
    <cellStyle name="40% - Accent6 19 4 2" xfId="5400"/>
    <cellStyle name="40% - Accent6 19 4 2 2" xfId="8991"/>
    <cellStyle name="40% - Accent6 19 4 3" xfId="8990"/>
    <cellStyle name="40% - Accent6 19 5" xfId="5401"/>
    <cellStyle name="40% - Accent6 19 5 2" xfId="8992"/>
    <cellStyle name="40% - Accent6 19 6" xfId="8981"/>
    <cellStyle name="40% - Accent6 2" xfId="5402"/>
    <cellStyle name="40% - Accent6 2 2" xfId="5403"/>
    <cellStyle name="40% - Accent6 2 2 2" xfId="5404"/>
    <cellStyle name="40% - Accent6 2 2 2 2" xfId="5405"/>
    <cellStyle name="40% - Accent6 2 2 2 2 2" xfId="8996"/>
    <cellStyle name="40% - Accent6 2 2 2 3" xfId="8995"/>
    <cellStyle name="40% - Accent6 2 2 3" xfId="5406"/>
    <cellStyle name="40% - Accent6 2 2 3 2" xfId="8997"/>
    <cellStyle name="40% - Accent6 2 2 4" xfId="8994"/>
    <cellStyle name="40% - Accent6 2 3" xfId="5407"/>
    <cellStyle name="40% - Accent6 2 3 2" xfId="5408"/>
    <cellStyle name="40% - Accent6 2 3 2 2" xfId="5409"/>
    <cellStyle name="40% - Accent6 2 3 2 2 2" xfId="9000"/>
    <cellStyle name="40% - Accent6 2 3 2 3" xfId="8999"/>
    <cellStyle name="40% - Accent6 2 3 3" xfId="5410"/>
    <cellStyle name="40% - Accent6 2 3 3 2" xfId="9001"/>
    <cellStyle name="40% - Accent6 2 3 4" xfId="8998"/>
    <cellStyle name="40% - Accent6 2 4" xfId="5411"/>
    <cellStyle name="40% - Accent6 2 4 2" xfId="5412"/>
    <cellStyle name="40% - Accent6 2 4 2 2" xfId="9003"/>
    <cellStyle name="40% - Accent6 2 4 3" xfId="9002"/>
    <cellStyle name="40% - Accent6 2 5" xfId="5413"/>
    <cellStyle name="40% - Accent6 2 5 2" xfId="9004"/>
    <cellStyle name="40% - Accent6 2 6" xfId="8993"/>
    <cellStyle name="40% - Accent6 20" xfId="5414"/>
    <cellStyle name="40% - Accent6 20 2" xfId="5415"/>
    <cellStyle name="40% - Accent6 20 2 2" xfId="5416"/>
    <cellStyle name="40% - Accent6 20 2 2 2" xfId="5417"/>
    <cellStyle name="40% - Accent6 20 2 2 2 2" xfId="9008"/>
    <cellStyle name="40% - Accent6 20 2 2 3" xfId="9007"/>
    <cellStyle name="40% - Accent6 20 2 3" xfId="5418"/>
    <cellStyle name="40% - Accent6 20 2 3 2" xfId="9009"/>
    <cellStyle name="40% - Accent6 20 2 4" xfId="9006"/>
    <cellStyle name="40% - Accent6 20 3" xfId="5419"/>
    <cellStyle name="40% - Accent6 20 3 2" xfId="5420"/>
    <cellStyle name="40% - Accent6 20 3 2 2" xfId="5421"/>
    <cellStyle name="40% - Accent6 20 3 2 2 2" xfId="9012"/>
    <cellStyle name="40% - Accent6 20 3 2 3" xfId="9011"/>
    <cellStyle name="40% - Accent6 20 3 3" xfId="5422"/>
    <cellStyle name="40% - Accent6 20 3 3 2" xfId="9013"/>
    <cellStyle name="40% - Accent6 20 3 4" xfId="9010"/>
    <cellStyle name="40% - Accent6 20 4" xfId="5423"/>
    <cellStyle name="40% - Accent6 20 4 2" xfId="5424"/>
    <cellStyle name="40% - Accent6 20 4 2 2" xfId="9015"/>
    <cellStyle name="40% - Accent6 20 4 3" xfId="9014"/>
    <cellStyle name="40% - Accent6 20 5" xfId="5425"/>
    <cellStyle name="40% - Accent6 20 5 2" xfId="9016"/>
    <cellStyle name="40% - Accent6 20 6" xfId="9005"/>
    <cellStyle name="40% - Accent6 21" xfId="5426"/>
    <cellStyle name="40% - Accent6 21 2" xfId="5427"/>
    <cellStyle name="40% - Accent6 21 2 2" xfId="5428"/>
    <cellStyle name="40% - Accent6 21 2 2 2" xfId="5429"/>
    <cellStyle name="40% - Accent6 21 2 2 2 2" xfId="9020"/>
    <cellStyle name="40% - Accent6 21 2 2 3" xfId="9019"/>
    <cellStyle name="40% - Accent6 21 2 3" xfId="5430"/>
    <cellStyle name="40% - Accent6 21 2 3 2" xfId="9021"/>
    <cellStyle name="40% - Accent6 21 2 4" xfId="9018"/>
    <cellStyle name="40% - Accent6 21 3" xfId="5431"/>
    <cellStyle name="40% - Accent6 21 3 2" xfId="5432"/>
    <cellStyle name="40% - Accent6 21 3 2 2" xfId="5433"/>
    <cellStyle name="40% - Accent6 21 3 2 2 2" xfId="9024"/>
    <cellStyle name="40% - Accent6 21 3 2 3" xfId="9023"/>
    <cellStyle name="40% - Accent6 21 3 3" xfId="5434"/>
    <cellStyle name="40% - Accent6 21 3 3 2" xfId="9025"/>
    <cellStyle name="40% - Accent6 21 3 4" xfId="9022"/>
    <cellStyle name="40% - Accent6 21 4" xfId="5435"/>
    <cellStyle name="40% - Accent6 21 4 2" xfId="5436"/>
    <cellStyle name="40% - Accent6 21 4 2 2" xfId="9027"/>
    <cellStyle name="40% - Accent6 21 4 3" xfId="9026"/>
    <cellStyle name="40% - Accent6 21 5" xfId="5437"/>
    <cellStyle name="40% - Accent6 21 5 2" xfId="9028"/>
    <cellStyle name="40% - Accent6 21 6" xfId="9017"/>
    <cellStyle name="40% - Accent6 22" xfId="5438"/>
    <cellStyle name="40% - Accent6 22 2" xfId="5439"/>
    <cellStyle name="40% - Accent6 22 2 2" xfId="5440"/>
    <cellStyle name="40% - Accent6 22 2 2 2" xfId="5441"/>
    <cellStyle name="40% - Accent6 22 2 2 2 2" xfId="9032"/>
    <cellStyle name="40% - Accent6 22 2 2 3" xfId="9031"/>
    <cellStyle name="40% - Accent6 22 2 3" xfId="5442"/>
    <cellStyle name="40% - Accent6 22 2 3 2" xfId="9033"/>
    <cellStyle name="40% - Accent6 22 2 4" xfId="9030"/>
    <cellStyle name="40% - Accent6 22 3" xfId="5443"/>
    <cellStyle name="40% - Accent6 22 3 2" xfId="5444"/>
    <cellStyle name="40% - Accent6 22 3 2 2" xfId="5445"/>
    <cellStyle name="40% - Accent6 22 3 2 2 2" xfId="9036"/>
    <cellStyle name="40% - Accent6 22 3 2 3" xfId="9035"/>
    <cellStyle name="40% - Accent6 22 3 3" xfId="5446"/>
    <cellStyle name="40% - Accent6 22 3 3 2" xfId="9037"/>
    <cellStyle name="40% - Accent6 22 3 4" xfId="9034"/>
    <cellStyle name="40% - Accent6 22 4" xfId="5447"/>
    <cellStyle name="40% - Accent6 22 4 2" xfId="5448"/>
    <cellStyle name="40% - Accent6 22 4 2 2" xfId="9039"/>
    <cellStyle name="40% - Accent6 22 4 3" xfId="9038"/>
    <cellStyle name="40% - Accent6 22 5" xfId="5449"/>
    <cellStyle name="40% - Accent6 22 5 2" xfId="9040"/>
    <cellStyle name="40% - Accent6 22 6" xfId="9029"/>
    <cellStyle name="40% - Accent6 23" xfId="5450"/>
    <cellStyle name="40% - Accent6 23 2" xfId="5451"/>
    <cellStyle name="40% - Accent6 23 2 2" xfId="5452"/>
    <cellStyle name="40% - Accent6 23 2 2 2" xfId="5453"/>
    <cellStyle name="40% - Accent6 23 2 2 2 2" xfId="9044"/>
    <cellStyle name="40% - Accent6 23 2 2 3" xfId="9043"/>
    <cellStyle name="40% - Accent6 23 2 3" xfId="5454"/>
    <cellStyle name="40% - Accent6 23 2 3 2" xfId="9045"/>
    <cellStyle name="40% - Accent6 23 2 4" xfId="9042"/>
    <cellStyle name="40% - Accent6 23 3" xfId="5455"/>
    <cellStyle name="40% - Accent6 23 3 2" xfId="5456"/>
    <cellStyle name="40% - Accent6 23 3 2 2" xfId="5457"/>
    <cellStyle name="40% - Accent6 23 3 2 2 2" xfId="9048"/>
    <cellStyle name="40% - Accent6 23 3 2 3" xfId="9047"/>
    <cellStyle name="40% - Accent6 23 3 3" xfId="5458"/>
    <cellStyle name="40% - Accent6 23 3 3 2" xfId="9049"/>
    <cellStyle name="40% - Accent6 23 3 4" xfId="9046"/>
    <cellStyle name="40% - Accent6 23 4" xfId="5459"/>
    <cellStyle name="40% - Accent6 23 4 2" xfId="5460"/>
    <cellStyle name="40% - Accent6 23 4 2 2" xfId="9051"/>
    <cellStyle name="40% - Accent6 23 4 3" xfId="9050"/>
    <cellStyle name="40% - Accent6 23 5" xfId="5461"/>
    <cellStyle name="40% - Accent6 23 5 2" xfId="9052"/>
    <cellStyle name="40% - Accent6 23 6" xfId="9041"/>
    <cellStyle name="40% - Accent6 24" xfId="5462"/>
    <cellStyle name="40% - Accent6 24 2" xfId="5463"/>
    <cellStyle name="40% - Accent6 24 2 2" xfId="5464"/>
    <cellStyle name="40% - Accent6 24 2 2 2" xfId="5465"/>
    <cellStyle name="40% - Accent6 24 2 2 2 2" xfId="9056"/>
    <cellStyle name="40% - Accent6 24 2 2 3" xfId="9055"/>
    <cellStyle name="40% - Accent6 24 2 3" xfId="5466"/>
    <cellStyle name="40% - Accent6 24 2 3 2" xfId="9057"/>
    <cellStyle name="40% - Accent6 24 2 4" xfId="9054"/>
    <cellStyle name="40% - Accent6 24 3" xfId="5467"/>
    <cellStyle name="40% - Accent6 24 3 2" xfId="5468"/>
    <cellStyle name="40% - Accent6 24 3 2 2" xfId="5469"/>
    <cellStyle name="40% - Accent6 24 3 2 2 2" xfId="9060"/>
    <cellStyle name="40% - Accent6 24 3 2 3" xfId="9059"/>
    <cellStyle name="40% - Accent6 24 3 3" xfId="5470"/>
    <cellStyle name="40% - Accent6 24 3 3 2" xfId="9061"/>
    <cellStyle name="40% - Accent6 24 3 4" xfId="9058"/>
    <cellStyle name="40% - Accent6 24 4" xfId="5471"/>
    <cellStyle name="40% - Accent6 24 4 2" xfId="5472"/>
    <cellStyle name="40% - Accent6 24 4 2 2" xfId="9063"/>
    <cellStyle name="40% - Accent6 24 4 3" xfId="9062"/>
    <cellStyle name="40% - Accent6 24 5" xfId="5473"/>
    <cellStyle name="40% - Accent6 24 5 2" xfId="9064"/>
    <cellStyle name="40% - Accent6 24 6" xfId="9053"/>
    <cellStyle name="40% - Accent6 25" xfId="5474"/>
    <cellStyle name="40% - Accent6 25 2" xfId="5475"/>
    <cellStyle name="40% - Accent6 25 2 2" xfId="5476"/>
    <cellStyle name="40% - Accent6 25 2 2 2" xfId="5477"/>
    <cellStyle name="40% - Accent6 25 2 2 2 2" xfId="9068"/>
    <cellStyle name="40% - Accent6 25 2 2 3" xfId="9067"/>
    <cellStyle name="40% - Accent6 25 2 3" xfId="5478"/>
    <cellStyle name="40% - Accent6 25 2 3 2" xfId="9069"/>
    <cellStyle name="40% - Accent6 25 2 4" xfId="9066"/>
    <cellStyle name="40% - Accent6 25 3" xfId="5479"/>
    <cellStyle name="40% - Accent6 25 3 2" xfId="5480"/>
    <cellStyle name="40% - Accent6 25 3 2 2" xfId="5481"/>
    <cellStyle name="40% - Accent6 25 3 2 2 2" xfId="9072"/>
    <cellStyle name="40% - Accent6 25 3 2 3" xfId="9071"/>
    <cellStyle name="40% - Accent6 25 3 3" xfId="5482"/>
    <cellStyle name="40% - Accent6 25 3 3 2" xfId="9073"/>
    <cellStyle name="40% - Accent6 25 3 4" xfId="9070"/>
    <cellStyle name="40% - Accent6 25 4" xfId="5483"/>
    <cellStyle name="40% - Accent6 25 4 2" xfId="5484"/>
    <cellStyle name="40% - Accent6 25 4 2 2" xfId="9075"/>
    <cellStyle name="40% - Accent6 25 4 3" xfId="9074"/>
    <cellStyle name="40% - Accent6 25 5" xfId="5485"/>
    <cellStyle name="40% - Accent6 25 5 2" xfId="9076"/>
    <cellStyle name="40% - Accent6 25 6" xfId="9065"/>
    <cellStyle name="40% - Accent6 26" xfId="5486"/>
    <cellStyle name="40% - Accent6 26 2" xfId="5487"/>
    <cellStyle name="40% - Accent6 26 2 2" xfId="5488"/>
    <cellStyle name="40% - Accent6 26 2 2 2" xfId="5489"/>
    <cellStyle name="40% - Accent6 26 2 2 2 2" xfId="9080"/>
    <cellStyle name="40% - Accent6 26 2 2 3" xfId="9079"/>
    <cellStyle name="40% - Accent6 26 2 3" xfId="5490"/>
    <cellStyle name="40% - Accent6 26 2 3 2" xfId="9081"/>
    <cellStyle name="40% - Accent6 26 2 4" xfId="9078"/>
    <cellStyle name="40% - Accent6 26 3" xfId="5491"/>
    <cellStyle name="40% - Accent6 26 3 2" xfId="5492"/>
    <cellStyle name="40% - Accent6 26 3 2 2" xfId="5493"/>
    <cellStyle name="40% - Accent6 26 3 2 2 2" xfId="9084"/>
    <cellStyle name="40% - Accent6 26 3 2 3" xfId="9083"/>
    <cellStyle name="40% - Accent6 26 3 3" xfId="5494"/>
    <cellStyle name="40% - Accent6 26 3 3 2" xfId="9085"/>
    <cellStyle name="40% - Accent6 26 3 4" xfId="9082"/>
    <cellStyle name="40% - Accent6 26 4" xfId="5495"/>
    <cellStyle name="40% - Accent6 26 4 2" xfId="5496"/>
    <cellStyle name="40% - Accent6 26 4 2 2" xfId="9087"/>
    <cellStyle name="40% - Accent6 26 4 3" xfId="9086"/>
    <cellStyle name="40% - Accent6 26 5" xfId="5497"/>
    <cellStyle name="40% - Accent6 26 5 2" xfId="9088"/>
    <cellStyle name="40% - Accent6 26 6" xfId="9077"/>
    <cellStyle name="40% - Accent6 27" xfId="5498"/>
    <cellStyle name="40% - Accent6 27 2" xfId="5499"/>
    <cellStyle name="40% - Accent6 27 2 2" xfId="5500"/>
    <cellStyle name="40% - Accent6 27 2 2 2" xfId="5501"/>
    <cellStyle name="40% - Accent6 27 2 2 2 2" xfId="9092"/>
    <cellStyle name="40% - Accent6 27 2 2 3" xfId="9091"/>
    <cellStyle name="40% - Accent6 27 2 3" xfId="5502"/>
    <cellStyle name="40% - Accent6 27 2 3 2" xfId="9093"/>
    <cellStyle name="40% - Accent6 27 2 4" xfId="9090"/>
    <cellStyle name="40% - Accent6 27 3" xfId="5503"/>
    <cellStyle name="40% - Accent6 27 3 2" xfId="5504"/>
    <cellStyle name="40% - Accent6 27 3 2 2" xfId="5505"/>
    <cellStyle name="40% - Accent6 27 3 2 2 2" xfId="9096"/>
    <cellStyle name="40% - Accent6 27 3 2 3" xfId="9095"/>
    <cellStyle name="40% - Accent6 27 3 3" xfId="5506"/>
    <cellStyle name="40% - Accent6 27 3 3 2" xfId="9097"/>
    <cellStyle name="40% - Accent6 27 3 4" xfId="9094"/>
    <cellStyle name="40% - Accent6 27 4" xfId="5507"/>
    <cellStyle name="40% - Accent6 27 4 2" xfId="5508"/>
    <cellStyle name="40% - Accent6 27 4 2 2" xfId="9099"/>
    <cellStyle name="40% - Accent6 27 4 3" xfId="9098"/>
    <cellStyle name="40% - Accent6 27 5" xfId="5509"/>
    <cellStyle name="40% - Accent6 27 5 2" xfId="9100"/>
    <cellStyle name="40% - Accent6 27 6" xfId="9089"/>
    <cellStyle name="40% - Accent6 28" xfId="5510"/>
    <cellStyle name="40% - Accent6 28 2" xfId="5511"/>
    <cellStyle name="40% - Accent6 28 2 2" xfId="5512"/>
    <cellStyle name="40% - Accent6 28 2 2 2" xfId="5513"/>
    <cellStyle name="40% - Accent6 28 2 2 2 2" xfId="9104"/>
    <cellStyle name="40% - Accent6 28 2 2 3" xfId="9103"/>
    <cellStyle name="40% - Accent6 28 2 3" xfId="5514"/>
    <cellStyle name="40% - Accent6 28 2 3 2" xfId="9105"/>
    <cellStyle name="40% - Accent6 28 2 4" xfId="9102"/>
    <cellStyle name="40% - Accent6 28 3" xfId="5515"/>
    <cellStyle name="40% - Accent6 28 3 2" xfId="5516"/>
    <cellStyle name="40% - Accent6 28 3 2 2" xfId="5517"/>
    <cellStyle name="40% - Accent6 28 3 2 2 2" xfId="9108"/>
    <cellStyle name="40% - Accent6 28 3 2 3" xfId="9107"/>
    <cellStyle name="40% - Accent6 28 3 3" xfId="5518"/>
    <cellStyle name="40% - Accent6 28 3 3 2" xfId="9109"/>
    <cellStyle name="40% - Accent6 28 3 4" xfId="9106"/>
    <cellStyle name="40% - Accent6 28 4" xfId="5519"/>
    <cellStyle name="40% - Accent6 28 4 2" xfId="5520"/>
    <cellStyle name="40% - Accent6 28 4 2 2" xfId="9111"/>
    <cellStyle name="40% - Accent6 28 4 3" xfId="9110"/>
    <cellStyle name="40% - Accent6 28 5" xfId="5521"/>
    <cellStyle name="40% - Accent6 28 5 2" xfId="9112"/>
    <cellStyle name="40% - Accent6 28 6" xfId="9101"/>
    <cellStyle name="40% - Accent6 29" xfId="5522"/>
    <cellStyle name="40% - Accent6 29 2" xfId="5523"/>
    <cellStyle name="40% - Accent6 29 2 2" xfId="5524"/>
    <cellStyle name="40% - Accent6 29 2 2 2" xfId="5525"/>
    <cellStyle name="40% - Accent6 29 2 2 2 2" xfId="9116"/>
    <cellStyle name="40% - Accent6 29 2 2 3" xfId="9115"/>
    <cellStyle name="40% - Accent6 29 2 3" xfId="5526"/>
    <cellStyle name="40% - Accent6 29 2 3 2" xfId="9117"/>
    <cellStyle name="40% - Accent6 29 2 4" xfId="9114"/>
    <cellStyle name="40% - Accent6 29 3" xfId="5527"/>
    <cellStyle name="40% - Accent6 29 3 2" xfId="5528"/>
    <cellStyle name="40% - Accent6 29 3 2 2" xfId="5529"/>
    <cellStyle name="40% - Accent6 29 3 2 2 2" xfId="9120"/>
    <cellStyle name="40% - Accent6 29 3 2 3" xfId="9119"/>
    <cellStyle name="40% - Accent6 29 3 3" xfId="5530"/>
    <cellStyle name="40% - Accent6 29 3 3 2" xfId="9121"/>
    <cellStyle name="40% - Accent6 29 3 4" xfId="9118"/>
    <cellStyle name="40% - Accent6 29 4" xfId="5531"/>
    <cellStyle name="40% - Accent6 29 4 2" xfId="5532"/>
    <cellStyle name="40% - Accent6 29 4 2 2" xfId="9123"/>
    <cellStyle name="40% - Accent6 29 4 3" xfId="9122"/>
    <cellStyle name="40% - Accent6 29 5" xfId="5533"/>
    <cellStyle name="40% - Accent6 29 5 2" xfId="9124"/>
    <cellStyle name="40% - Accent6 29 6" xfId="9113"/>
    <cellStyle name="40% - Accent6 3" xfId="5534"/>
    <cellStyle name="40% - Accent6 3 2" xfId="5535"/>
    <cellStyle name="40% - Accent6 3 2 2" xfId="5536"/>
    <cellStyle name="40% - Accent6 3 2 2 2" xfId="5537"/>
    <cellStyle name="40% - Accent6 3 2 2 2 2" xfId="9128"/>
    <cellStyle name="40% - Accent6 3 2 2 3" xfId="9127"/>
    <cellStyle name="40% - Accent6 3 2 3" xfId="5538"/>
    <cellStyle name="40% - Accent6 3 2 3 2" xfId="9129"/>
    <cellStyle name="40% - Accent6 3 2 4" xfId="9126"/>
    <cellStyle name="40% - Accent6 3 3" xfId="5539"/>
    <cellStyle name="40% - Accent6 3 3 2" xfId="5540"/>
    <cellStyle name="40% - Accent6 3 3 2 2" xfId="5541"/>
    <cellStyle name="40% - Accent6 3 3 2 2 2" xfId="9132"/>
    <cellStyle name="40% - Accent6 3 3 2 3" xfId="9131"/>
    <cellStyle name="40% - Accent6 3 3 3" xfId="5542"/>
    <cellStyle name="40% - Accent6 3 3 3 2" xfId="9133"/>
    <cellStyle name="40% - Accent6 3 3 4" xfId="9130"/>
    <cellStyle name="40% - Accent6 3 4" xfId="5543"/>
    <cellStyle name="40% - Accent6 3 4 2" xfId="5544"/>
    <cellStyle name="40% - Accent6 3 4 2 2" xfId="9135"/>
    <cellStyle name="40% - Accent6 3 4 3" xfId="9134"/>
    <cellStyle name="40% - Accent6 3 5" xfId="5545"/>
    <cellStyle name="40% - Accent6 3 5 2" xfId="9136"/>
    <cellStyle name="40% - Accent6 3 6" xfId="9125"/>
    <cellStyle name="40% - Accent6 30" xfId="5546"/>
    <cellStyle name="40% - Accent6 30 2" xfId="5547"/>
    <cellStyle name="40% - Accent6 30 2 2" xfId="5548"/>
    <cellStyle name="40% - Accent6 30 2 2 2" xfId="5549"/>
    <cellStyle name="40% - Accent6 30 2 2 2 2" xfId="9140"/>
    <cellStyle name="40% - Accent6 30 2 2 3" xfId="9139"/>
    <cellStyle name="40% - Accent6 30 2 3" xfId="5550"/>
    <cellStyle name="40% - Accent6 30 2 3 2" xfId="9141"/>
    <cellStyle name="40% - Accent6 30 2 4" xfId="9138"/>
    <cellStyle name="40% - Accent6 30 3" xfId="5551"/>
    <cellStyle name="40% - Accent6 30 3 2" xfId="5552"/>
    <cellStyle name="40% - Accent6 30 3 2 2" xfId="5553"/>
    <cellStyle name="40% - Accent6 30 3 2 2 2" xfId="9144"/>
    <cellStyle name="40% - Accent6 30 3 2 3" xfId="9143"/>
    <cellStyle name="40% - Accent6 30 3 3" xfId="5554"/>
    <cellStyle name="40% - Accent6 30 3 3 2" xfId="9145"/>
    <cellStyle name="40% - Accent6 30 3 4" xfId="9142"/>
    <cellStyle name="40% - Accent6 30 4" xfId="5555"/>
    <cellStyle name="40% - Accent6 30 4 2" xfId="5556"/>
    <cellStyle name="40% - Accent6 30 4 2 2" xfId="9147"/>
    <cellStyle name="40% - Accent6 30 4 3" xfId="9146"/>
    <cellStyle name="40% - Accent6 30 5" xfId="5557"/>
    <cellStyle name="40% - Accent6 30 5 2" xfId="9148"/>
    <cellStyle name="40% - Accent6 30 6" xfId="9137"/>
    <cellStyle name="40% - Accent6 31" xfId="5558"/>
    <cellStyle name="40% - Accent6 31 2" xfId="5559"/>
    <cellStyle name="40% - Accent6 31 2 2" xfId="5560"/>
    <cellStyle name="40% - Accent6 31 2 2 2" xfId="5561"/>
    <cellStyle name="40% - Accent6 31 2 2 2 2" xfId="9152"/>
    <cellStyle name="40% - Accent6 31 2 2 3" xfId="9151"/>
    <cellStyle name="40% - Accent6 31 2 3" xfId="5562"/>
    <cellStyle name="40% - Accent6 31 2 3 2" xfId="9153"/>
    <cellStyle name="40% - Accent6 31 2 4" xfId="9150"/>
    <cellStyle name="40% - Accent6 31 3" xfId="5563"/>
    <cellStyle name="40% - Accent6 31 3 2" xfId="5564"/>
    <cellStyle name="40% - Accent6 31 3 2 2" xfId="5565"/>
    <cellStyle name="40% - Accent6 31 3 2 2 2" xfId="9156"/>
    <cellStyle name="40% - Accent6 31 3 2 3" xfId="9155"/>
    <cellStyle name="40% - Accent6 31 3 3" xfId="5566"/>
    <cellStyle name="40% - Accent6 31 3 3 2" xfId="9157"/>
    <cellStyle name="40% - Accent6 31 3 4" xfId="9154"/>
    <cellStyle name="40% - Accent6 31 4" xfId="5567"/>
    <cellStyle name="40% - Accent6 31 4 2" xfId="5568"/>
    <cellStyle name="40% - Accent6 31 4 2 2" xfId="9159"/>
    <cellStyle name="40% - Accent6 31 4 3" xfId="9158"/>
    <cellStyle name="40% - Accent6 31 5" xfId="5569"/>
    <cellStyle name="40% - Accent6 31 5 2" xfId="9160"/>
    <cellStyle name="40% - Accent6 31 6" xfId="9149"/>
    <cellStyle name="40% - Accent6 32" xfId="5570"/>
    <cellStyle name="40% - Accent6 32 2" xfId="5571"/>
    <cellStyle name="40% - Accent6 32 2 2" xfId="5572"/>
    <cellStyle name="40% - Accent6 32 2 2 2" xfId="5573"/>
    <cellStyle name="40% - Accent6 32 2 2 2 2" xfId="9164"/>
    <cellStyle name="40% - Accent6 32 2 2 3" xfId="9163"/>
    <cellStyle name="40% - Accent6 32 2 3" xfId="5574"/>
    <cellStyle name="40% - Accent6 32 2 3 2" xfId="9165"/>
    <cellStyle name="40% - Accent6 32 2 4" xfId="9162"/>
    <cellStyle name="40% - Accent6 32 3" xfId="5575"/>
    <cellStyle name="40% - Accent6 32 3 2" xfId="5576"/>
    <cellStyle name="40% - Accent6 32 3 2 2" xfId="5577"/>
    <cellStyle name="40% - Accent6 32 3 2 2 2" xfId="9168"/>
    <cellStyle name="40% - Accent6 32 3 2 3" xfId="9167"/>
    <cellStyle name="40% - Accent6 32 3 3" xfId="5578"/>
    <cellStyle name="40% - Accent6 32 3 3 2" xfId="9169"/>
    <cellStyle name="40% - Accent6 32 3 4" xfId="9166"/>
    <cellStyle name="40% - Accent6 32 4" xfId="5579"/>
    <cellStyle name="40% - Accent6 32 4 2" xfId="5580"/>
    <cellStyle name="40% - Accent6 32 4 2 2" xfId="9171"/>
    <cellStyle name="40% - Accent6 32 4 3" xfId="9170"/>
    <cellStyle name="40% - Accent6 32 5" xfId="5581"/>
    <cellStyle name="40% - Accent6 32 5 2" xfId="9172"/>
    <cellStyle name="40% - Accent6 32 6" xfId="9161"/>
    <cellStyle name="40% - Accent6 33" xfId="5582"/>
    <cellStyle name="40% - Accent6 33 2" xfId="5583"/>
    <cellStyle name="40% - Accent6 33 2 2" xfId="5584"/>
    <cellStyle name="40% - Accent6 33 2 2 2" xfId="5585"/>
    <cellStyle name="40% - Accent6 33 2 2 2 2" xfId="9176"/>
    <cellStyle name="40% - Accent6 33 2 2 3" xfId="9175"/>
    <cellStyle name="40% - Accent6 33 2 3" xfId="5586"/>
    <cellStyle name="40% - Accent6 33 2 3 2" xfId="9177"/>
    <cellStyle name="40% - Accent6 33 2 4" xfId="9174"/>
    <cellStyle name="40% - Accent6 33 3" xfId="5587"/>
    <cellStyle name="40% - Accent6 33 3 2" xfId="5588"/>
    <cellStyle name="40% - Accent6 33 3 2 2" xfId="5589"/>
    <cellStyle name="40% - Accent6 33 3 2 2 2" xfId="9180"/>
    <cellStyle name="40% - Accent6 33 3 2 3" xfId="9179"/>
    <cellStyle name="40% - Accent6 33 3 3" xfId="5590"/>
    <cellStyle name="40% - Accent6 33 3 3 2" xfId="9181"/>
    <cellStyle name="40% - Accent6 33 3 4" xfId="9178"/>
    <cellStyle name="40% - Accent6 33 4" xfId="5591"/>
    <cellStyle name="40% - Accent6 33 4 2" xfId="5592"/>
    <cellStyle name="40% - Accent6 33 4 2 2" xfId="9183"/>
    <cellStyle name="40% - Accent6 33 4 3" xfId="9182"/>
    <cellStyle name="40% - Accent6 33 5" xfId="5593"/>
    <cellStyle name="40% - Accent6 33 5 2" xfId="9184"/>
    <cellStyle name="40% - Accent6 33 6" xfId="9173"/>
    <cellStyle name="40% - Accent6 34" xfId="5594"/>
    <cellStyle name="40% - Accent6 34 2" xfId="5595"/>
    <cellStyle name="40% - Accent6 34 2 2" xfId="5596"/>
    <cellStyle name="40% - Accent6 34 2 2 2" xfId="5597"/>
    <cellStyle name="40% - Accent6 34 2 2 2 2" xfId="9188"/>
    <cellStyle name="40% - Accent6 34 2 2 3" xfId="9187"/>
    <cellStyle name="40% - Accent6 34 2 3" xfId="5598"/>
    <cellStyle name="40% - Accent6 34 2 3 2" xfId="9189"/>
    <cellStyle name="40% - Accent6 34 2 4" xfId="9186"/>
    <cellStyle name="40% - Accent6 34 3" xfId="5599"/>
    <cellStyle name="40% - Accent6 34 3 2" xfId="5600"/>
    <cellStyle name="40% - Accent6 34 3 2 2" xfId="9191"/>
    <cellStyle name="40% - Accent6 34 3 3" xfId="9190"/>
    <cellStyle name="40% - Accent6 34 4" xfId="5601"/>
    <cellStyle name="40% - Accent6 34 4 2" xfId="9192"/>
    <cellStyle name="40% - Accent6 34 5" xfId="9185"/>
    <cellStyle name="40% - Accent6 35" xfId="5602"/>
    <cellStyle name="40% - Accent6 35 2" xfId="5603"/>
    <cellStyle name="40% - Accent6 35 2 2" xfId="5604"/>
    <cellStyle name="40% - Accent6 35 2 2 2" xfId="9195"/>
    <cellStyle name="40% - Accent6 35 2 3" xfId="9194"/>
    <cellStyle name="40% - Accent6 35 3" xfId="5605"/>
    <cellStyle name="40% - Accent6 35 3 2" xfId="9196"/>
    <cellStyle name="40% - Accent6 35 4" xfId="9193"/>
    <cellStyle name="40% - Accent6 36" xfId="5606"/>
    <cellStyle name="40% - Accent6 36 2" xfId="5607"/>
    <cellStyle name="40% - Accent6 36 2 2" xfId="5608"/>
    <cellStyle name="40% - Accent6 36 2 2 2" xfId="9199"/>
    <cellStyle name="40% - Accent6 36 2 3" xfId="9198"/>
    <cellStyle name="40% - Accent6 36 3" xfId="5609"/>
    <cellStyle name="40% - Accent6 36 3 2" xfId="9200"/>
    <cellStyle name="40% - Accent6 36 4" xfId="9197"/>
    <cellStyle name="40% - Accent6 37" xfId="5610"/>
    <cellStyle name="40% - Accent6 37 2" xfId="5611"/>
    <cellStyle name="40% - Accent6 37 2 2" xfId="5612"/>
    <cellStyle name="40% - Accent6 37 2 2 2" xfId="9203"/>
    <cellStyle name="40% - Accent6 37 2 3" xfId="9202"/>
    <cellStyle name="40% - Accent6 37 3" xfId="5613"/>
    <cellStyle name="40% - Accent6 37 3 2" xfId="9204"/>
    <cellStyle name="40% - Accent6 37 4" xfId="9201"/>
    <cellStyle name="40% - Accent6 38" xfId="5614"/>
    <cellStyle name="40% - Accent6 38 2" xfId="5615"/>
    <cellStyle name="40% - Accent6 38 2 2" xfId="5616"/>
    <cellStyle name="40% - Accent6 38 2 2 2" xfId="9207"/>
    <cellStyle name="40% - Accent6 38 2 3" xfId="9206"/>
    <cellStyle name="40% - Accent6 38 3" xfId="5617"/>
    <cellStyle name="40% - Accent6 38 3 2" xfId="9208"/>
    <cellStyle name="40% - Accent6 38 4" xfId="9205"/>
    <cellStyle name="40% - Accent6 39" xfId="5618"/>
    <cellStyle name="40% - Accent6 39 2" xfId="5619"/>
    <cellStyle name="40% - Accent6 39 2 2" xfId="5620"/>
    <cellStyle name="40% - Accent6 39 2 2 2" xfId="9211"/>
    <cellStyle name="40% - Accent6 39 2 3" xfId="9210"/>
    <cellStyle name="40% - Accent6 39 3" xfId="5621"/>
    <cellStyle name="40% - Accent6 39 3 2" xfId="9212"/>
    <cellStyle name="40% - Accent6 39 4" xfId="9209"/>
    <cellStyle name="40% - Accent6 4" xfId="5622"/>
    <cellStyle name="40% - Accent6 4 2" xfId="5623"/>
    <cellStyle name="40% - Accent6 4 2 2" xfId="5624"/>
    <cellStyle name="40% - Accent6 4 2 2 2" xfId="5625"/>
    <cellStyle name="40% - Accent6 4 2 2 2 2" xfId="9216"/>
    <cellStyle name="40% - Accent6 4 2 2 3" xfId="9215"/>
    <cellStyle name="40% - Accent6 4 2 3" xfId="5626"/>
    <cellStyle name="40% - Accent6 4 2 3 2" xfId="9217"/>
    <cellStyle name="40% - Accent6 4 2 4" xfId="9214"/>
    <cellStyle name="40% - Accent6 4 3" xfId="5627"/>
    <cellStyle name="40% - Accent6 4 3 2" xfId="5628"/>
    <cellStyle name="40% - Accent6 4 3 2 2" xfId="5629"/>
    <cellStyle name="40% - Accent6 4 3 2 2 2" xfId="9220"/>
    <cellStyle name="40% - Accent6 4 3 2 3" xfId="9219"/>
    <cellStyle name="40% - Accent6 4 3 3" xfId="5630"/>
    <cellStyle name="40% - Accent6 4 3 3 2" xfId="9221"/>
    <cellStyle name="40% - Accent6 4 3 4" xfId="9218"/>
    <cellStyle name="40% - Accent6 4 4" xfId="5631"/>
    <cellStyle name="40% - Accent6 4 4 2" xfId="5632"/>
    <cellStyle name="40% - Accent6 4 4 2 2" xfId="9223"/>
    <cellStyle name="40% - Accent6 4 4 3" xfId="9222"/>
    <cellStyle name="40% - Accent6 4 5" xfId="5633"/>
    <cellStyle name="40% - Accent6 4 5 2" xfId="9224"/>
    <cellStyle name="40% - Accent6 4 6" xfId="9213"/>
    <cellStyle name="40% - Accent6 40" xfId="5634"/>
    <cellStyle name="40% - Accent6 40 2" xfId="5635"/>
    <cellStyle name="40% - Accent6 40 2 2" xfId="5636"/>
    <cellStyle name="40% - Accent6 40 2 2 2" xfId="9227"/>
    <cellStyle name="40% - Accent6 40 2 3" xfId="9226"/>
    <cellStyle name="40% - Accent6 40 3" xfId="5637"/>
    <cellStyle name="40% - Accent6 40 3 2" xfId="9228"/>
    <cellStyle name="40% - Accent6 40 4" xfId="9225"/>
    <cellStyle name="40% - Accent6 41" xfId="5638"/>
    <cellStyle name="40% - Accent6 41 2" xfId="5639"/>
    <cellStyle name="40% - Accent6 41 2 2" xfId="5640"/>
    <cellStyle name="40% - Accent6 41 2 2 2" xfId="9231"/>
    <cellStyle name="40% - Accent6 41 2 3" xfId="9230"/>
    <cellStyle name="40% - Accent6 41 3" xfId="5641"/>
    <cellStyle name="40% - Accent6 41 3 2" xfId="9232"/>
    <cellStyle name="40% - Accent6 41 4" xfId="9229"/>
    <cellStyle name="40% - Accent6 42" xfId="5642"/>
    <cellStyle name="40% - Accent6 42 2" xfId="5643"/>
    <cellStyle name="40% - Accent6 42 2 2" xfId="5644"/>
    <cellStyle name="40% - Accent6 42 2 2 2" xfId="9235"/>
    <cellStyle name="40% - Accent6 42 2 3" xfId="9234"/>
    <cellStyle name="40% - Accent6 42 3" xfId="5645"/>
    <cellStyle name="40% - Accent6 42 3 2" xfId="9236"/>
    <cellStyle name="40% - Accent6 42 4" xfId="9233"/>
    <cellStyle name="40% - Accent6 43" xfId="5646"/>
    <cellStyle name="40% - Accent6 43 2" xfId="5647"/>
    <cellStyle name="40% - Accent6 43 2 2" xfId="5648"/>
    <cellStyle name="40% - Accent6 43 2 2 2" xfId="9239"/>
    <cellStyle name="40% - Accent6 43 2 3" xfId="9238"/>
    <cellStyle name="40% - Accent6 43 3" xfId="5649"/>
    <cellStyle name="40% - Accent6 43 3 2" xfId="9240"/>
    <cellStyle name="40% - Accent6 43 4" xfId="9237"/>
    <cellStyle name="40% - Accent6 44" xfId="5650"/>
    <cellStyle name="40% - Accent6 44 2" xfId="5651"/>
    <cellStyle name="40% - Accent6 44 2 2" xfId="5652"/>
    <cellStyle name="40% - Accent6 44 2 2 2" xfId="9243"/>
    <cellStyle name="40% - Accent6 44 2 3" xfId="9242"/>
    <cellStyle name="40% - Accent6 44 3" xfId="5653"/>
    <cellStyle name="40% - Accent6 44 3 2" xfId="9244"/>
    <cellStyle name="40% - Accent6 44 4" xfId="9241"/>
    <cellStyle name="40% - Accent6 45" xfId="5654"/>
    <cellStyle name="40% - Accent6 45 2" xfId="5655"/>
    <cellStyle name="40% - Accent6 45 2 2" xfId="5656"/>
    <cellStyle name="40% - Accent6 45 2 2 2" xfId="9247"/>
    <cellStyle name="40% - Accent6 45 2 3" xfId="9246"/>
    <cellStyle name="40% - Accent6 45 3" xfId="5657"/>
    <cellStyle name="40% - Accent6 45 3 2" xfId="9248"/>
    <cellStyle name="40% - Accent6 45 4" xfId="9245"/>
    <cellStyle name="40% - Accent6 46" xfId="5658"/>
    <cellStyle name="40% - Accent6 46 2" xfId="5659"/>
    <cellStyle name="40% - Accent6 46 2 2" xfId="5660"/>
    <cellStyle name="40% - Accent6 46 2 2 2" xfId="9251"/>
    <cellStyle name="40% - Accent6 46 2 3" xfId="9250"/>
    <cellStyle name="40% - Accent6 46 3" xfId="5661"/>
    <cellStyle name="40% - Accent6 46 3 2" xfId="9252"/>
    <cellStyle name="40% - Accent6 46 4" xfId="9249"/>
    <cellStyle name="40% - Accent6 47" xfId="5662"/>
    <cellStyle name="40% - Accent6 47 2" xfId="5663"/>
    <cellStyle name="40% - Accent6 47 2 2" xfId="5664"/>
    <cellStyle name="40% - Accent6 47 2 2 2" xfId="9255"/>
    <cellStyle name="40% - Accent6 47 2 3" xfId="9254"/>
    <cellStyle name="40% - Accent6 47 3" xfId="5665"/>
    <cellStyle name="40% - Accent6 47 3 2" xfId="9256"/>
    <cellStyle name="40% - Accent6 47 4" xfId="9253"/>
    <cellStyle name="40% - Accent6 48" xfId="5666"/>
    <cellStyle name="40% - Accent6 48 2" xfId="5667"/>
    <cellStyle name="40% - Accent6 48 2 2" xfId="5668"/>
    <cellStyle name="40% - Accent6 48 2 2 2" xfId="9259"/>
    <cellStyle name="40% - Accent6 48 2 3" xfId="9258"/>
    <cellStyle name="40% - Accent6 48 3" xfId="5669"/>
    <cellStyle name="40% - Accent6 48 3 2" xfId="9260"/>
    <cellStyle name="40% - Accent6 48 4" xfId="9257"/>
    <cellStyle name="40% - Accent6 49" xfId="5670"/>
    <cellStyle name="40% - Accent6 49 2" xfId="5671"/>
    <cellStyle name="40% - Accent6 49 2 2" xfId="5672"/>
    <cellStyle name="40% - Accent6 49 2 2 2" xfId="9263"/>
    <cellStyle name="40% - Accent6 49 2 3" xfId="9262"/>
    <cellStyle name="40% - Accent6 49 3" xfId="5673"/>
    <cellStyle name="40% - Accent6 49 3 2" xfId="9264"/>
    <cellStyle name="40% - Accent6 49 4" xfId="9261"/>
    <cellStyle name="40% - Accent6 5" xfId="5674"/>
    <cellStyle name="40% - Accent6 5 2" xfId="5675"/>
    <cellStyle name="40% - Accent6 5 2 2" xfId="5676"/>
    <cellStyle name="40% - Accent6 5 2 2 2" xfId="5677"/>
    <cellStyle name="40% - Accent6 5 2 2 2 2" xfId="9268"/>
    <cellStyle name="40% - Accent6 5 2 2 3" xfId="9267"/>
    <cellStyle name="40% - Accent6 5 2 3" xfId="5678"/>
    <cellStyle name="40% - Accent6 5 2 3 2" xfId="9269"/>
    <cellStyle name="40% - Accent6 5 2 4" xfId="9266"/>
    <cellStyle name="40% - Accent6 5 3" xfId="5679"/>
    <cellStyle name="40% - Accent6 5 3 2" xfId="5680"/>
    <cellStyle name="40% - Accent6 5 3 2 2" xfId="5681"/>
    <cellStyle name="40% - Accent6 5 3 2 2 2" xfId="9272"/>
    <cellStyle name="40% - Accent6 5 3 2 3" xfId="9271"/>
    <cellStyle name="40% - Accent6 5 3 3" xfId="5682"/>
    <cellStyle name="40% - Accent6 5 3 3 2" xfId="9273"/>
    <cellStyle name="40% - Accent6 5 3 4" xfId="9270"/>
    <cellStyle name="40% - Accent6 5 4" xfId="5683"/>
    <cellStyle name="40% - Accent6 5 4 2" xfId="5684"/>
    <cellStyle name="40% - Accent6 5 4 2 2" xfId="9275"/>
    <cellStyle name="40% - Accent6 5 4 3" xfId="9274"/>
    <cellStyle name="40% - Accent6 5 5" xfId="5685"/>
    <cellStyle name="40% - Accent6 5 5 2" xfId="9276"/>
    <cellStyle name="40% - Accent6 5 6" xfId="9265"/>
    <cellStyle name="40% - Accent6 50" xfId="5686"/>
    <cellStyle name="40% - Accent6 50 2" xfId="5687"/>
    <cellStyle name="40% - Accent6 50 2 2" xfId="5688"/>
    <cellStyle name="40% - Accent6 50 2 2 2" xfId="9279"/>
    <cellStyle name="40% - Accent6 50 2 3" xfId="9278"/>
    <cellStyle name="40% - Accent6 50 3" xfId="5689"/>
    <cellStyle name="40% - Accent6 50 3 2" xfId="9280"/>
    <cellStyle name="40% - Accent6 50 4" xfId="9277"/>
    <cellStyle name="40% - Accent6 51" xfId="5690"/>
    <cellStyle name="40% - Accent6 51 2" xfId="5691"/>
    <cellStyle name="40% - Accent6 51 2 2" xfId="5692"/>
    <cellStyle name="40% - Accent6 51 2 2 2" xfId="9283"/>
    <cellStyle name="40% - Accent6 51 2 3" xfId="9282"/>
    <cellStyle name="40% - Accent6 51 3" xfId="5693"/>
    <cellStyle name="40% - Accent6 51 3 2" xfId="9284"/>
    <cellStyle name="40% - Accent6 51 4" xfId="9281"/>
    <cellStyle name="40% - Accent6 52" xfId="5694"/>
    <cellStyle name="40% - Accent6 52 2" xfId="5695"/>
    <cellStyle name="40% - Accent6 52 2 2" xfId="5696"/>
    <cellStyle name="40% - Accent6 52 2 2 2" xfId="9287"/>
    <cellStyle name="40% - Accent6 52 2 3" xfId="9286"/>
    <cellStyle name="40% - Accent6 52 3" xfId="5697"/>
    <cellStyle name="40% - Accent6 52 3 2" xfId="9288"/>
    <cellStyle name="40% - Accent6 52 4" xfId="9285"/>
    <cellStyle name="40% - Accent6 53" xfId="5698"/>
    <cellStyle name="40% - Accent6 53 2" xfId="5699"/>
    <cellStyle name="40% - Accent6 53 2 2" xfId="9290"/>
    <cellStyle name="40% - Accent6 53 3" xfId="9289"/>
    <cellStyle name="40% - Accent6 54" xfId="5700"/>
    <cellStyle name="40% - Accent6 54 2" xfId="5701"/>
    <cellStyle name="40% - Accent6 54 2 2" xfId="9292"/>
    <cellStyle name="40% - Accent6 54 3" xfId="9291"/>
    <cellStyle name="40% - Accent6 55" xfId="5702"/>
    <cellStyle name="40% - Accent6 55 2" xfId="5703"/>
    <cellStyle name="40% - Accent6 55 2 2" xfId="9294"/>
    <cellStyle name="40% - Accent6 55 3" xfId="9293"/>
    <cellStyle name="40% - Accent6 56" xfId="5704"/>
    <cellStyle name="40% - Accent6 56 2" xfId="5705"/>
    <cellStyle name="40% - Accent6 56 2 2" xfId="9296"/>
    <cellStyle name="40% - Accent6 56 3" xfId="9295"/>
    <cellStyle name="40% - Accent6 57" xfId="5706"/>
    <cellStyle name="40% - Accent6 57 2" xfId="5707"/>
    <cellStyle name="40% - Accent6 57 2 2" xfId="9298"/>
    <cellStyle name="40% - Accent6 57 3" xfId="9297"/>
    <cellStyle name="40% - Accent6 58" xfId="5708"/>
    <cellStyle name="40% - Accent6 58 2" xfId="5709"/>
    <cellStyle name="40% - Accent6 58 2 2" xfId="9300"/>
    <cellStyle name="40% - Accent6 58 3" xfId="9299"/>
    <cellStyle name="40% - Accent6 59" xfId="5710"/>
    <cellStyle name="40% - Accent6 59 2" xfId="5711"/>
    <cellStyle name="40% - Accent6 59 2 2" xfId="9302"/>
    <cellStyle name="40% - Accent6 59 3" xfId="9301"/>
    <cellStyle name="40% - Accent6 6" xfId="5712"/>
    <cellStyle name="40% - Accent6 6 2" xfId="5713"/>
    <cellStyle name="40% - Accent6 6 2 2" xfId="5714"/>
    <cellStyle name="40% - Accent6 6 2 2 2" xfId="5715"/>
    <cellStyle name="40% - Accent6 6 2 2 2 2" xfId="9306"/>
    <cellStyle name="40% - Accent6 6 2 2 3" xfId="9305"/>
    <cellStyle name="40% - Accent6 6 2 3" xfId="5716"/>
    <cellStyle name="40% - Accent6 6 2 3 2" xfId="9307"/>
    <cellStyle name="40% - Accent6 6 2 4" xfId="9304"/>
    <cellStyle name="40% - Accent6 6 3" xfId="5717"/>
    <cellStyle name="40% - Accent6 6 3 2" xfId="5718"/>
    <cellStyle name="40% - Accent6 6 3 2 2" xfId="5719"/>
    <cellStyle name="40% - Accent6 6 3 2 2 2" xfId="9310"/>
    <cellStyle name="40% - Accent6 6 3 2 3" xfId="9309"/>
    <cellStyle name="40% - Accent6 6 3 3" xfId="5720"/>
    <cellStyle name="40% - Accent6 6 3 3 2" xfId="9311"/>
    <cellStyle name="40% - Accent6 6 3 4" xfId="9308"/>
    <cellStyle name="40% - Accent6 6 4" xfId="5721"/>
    <cellStyle name="40% - Accent6 6 4 2" xfId="5722"/>
    <cellStyle name="40% - Accent6 6 4 2 2" xfId="9313"/>
    <cellStyle name="40% - Accent6 6 4 3" xfId="9312"/>
    <cellStyle name="40% - Accent6 6 5" xfId="5723"/>
    <cellStyle name="40% - Accent6 6 5 2" xfId="9314"/>
    <cellStyle name="40% - Accent6 6 6" xfId="9303"/>
    <cellStyle name="40% - Accent6 60" xfId="5724"/>
    <cellStyle name="40% - Accent6 60 2" xfId="9315"/>
    <cellStyle name="40% - Accent6 61" xfId="8872"/>
    <cellStyle name="40% - Accent6 62" xfId="11228"/>
    <cellStyle name="40% - Accent6 7" xfId="5725"/>
    <cellStyle name="40% - Accent6 7 2" xfId="5726"/>
    <cellStyle name="40% - Accent6 7 2 2" xfId="5727"/>
    <cellStyle name="40% - Accent6 7 2 2 2" xfId="5728"/>
    <cellStyle name="40% - Accent6 7 2 2 2 2" xfId="9319"/>
    <cellStyle name="40% - Accent6 7 2 2 3" xfId="9318"/>
    <cellStyle name="40% - Accent6 7 2 3" xfId="5729"/>
    <cellStyle name="40% - Accent6 7 2 3 2" xfId="9320"/>
    <cellStyle name="40% - Accent6 7 2 4" xfId="9317"/>
    <cellStyle name="40% - Accent6 7 3" xfId="5730"/>
    <cellStyle name="40% - Accent6 7 3 2" xfId="5731"/>
    <cellStyle name="40% - Accent6 7 3 2 2" xfId="5732"/>
    <cellStyle name="40% - Accent6 7 3 2 2 2" xfId="9323"/>
    <cellStyle name="40% - Accent6 7 3 2 3" xfId="9322"/>
    <cellStyle name="40% - Accent6 7 3 3" xfId="5733"/>
    <cellStyle name="40% - Accent6 7 3 3 2" xfId="9324"/>
    <cellStyle name="40% - Accent6 7 3 4" xfId="9321"/>
    <cellStyle name="40% - Accent6 7 4" xfId="5734"/>
    <cellStyle name="40% - Accent6 7 4 2" xfId="5735"/>
    <cellStyle name="40% - Accent6 7 4 2 2" xfId="9326"/>
    <cellStyle name="40% - Accent6 7 4 3" xfId="9325"/>
    <cellStyle name="40% - Accent6 7 5" xfId="5736"/>
    <cellStyle name="40% - Accent6 7 5 2" xfId="9327"/>
    <cellStyle name="40% - Accent6 7 6" xfId="9316"/>
    <cellStyle name="40% - Accent6 8" xfId="5737"/>
    <cellStyle name="40% - Accent6 8 2" xfId="5738"/>
    <cellStyle name="40% - Accent6 8 2 2" xfId="5739"/>
    <cellStyle name="40% - Accent6 8 2 2 2" xfId="5740"/>
    <cellStyle name="40% - Accent6 8 2 2 2 2" xfId="9331"/>
    <cellStyle name="40% - Accent6 8 2 2 3" xfId="9330"/>
    <cellStyle name="40% - Accent6 8 2 3" xfId="5741"/>
    <cellStyle name="40% - Accent6 8 2 3 2" xfId="9332"/>
    <cellStyle name="40% - Accent6 8 2 4" xfId="9329"/>
    <cellStyle name="40% - Accent6 8 3" xfId="5742"/>
    <cellStyle name="40% - Accent6 8 3 2" xfId="5743"/>
    <cellStyle name="40% - Accent6 8 3 2 2" xfId="5744"/>
    <cellStyle name="40% - Accent6 8 3 2 2 2" xfId="9335"/>
    <cellStyle name="40% - Accent6 8 3 2 3" xfId="9334"/>
    <cellStyle name="40% - Accent6 8 3 3" xfId="5745"/>
    <cellStyle name="40% - Accent6 8 3 3 2" xfId="9336"/>
    <cellStyle name="40% - Accent6 8 3 4" xfId="9333"/>
    <cellStyle name="40% - Accent6 8 4" xfId="5746"/>
    <cellStyle name="40% - Accent6 8 4 2" xfId="5747"/>
    <cellStyle name="40% - Accent6 8 4 2 2" xfId="9338"/>
    <cellStyle name="40% - Accent6 8 4 3" xfId="9337"/>
    <cellStyle name="40% - Accent6 8 5" xfId="5748"/>
    <cellStyle name="40% - Accent6 8 5 2" xfId="9339"/>
    <cellStyle name="40% - Accent6 8 6" xfId="9328"/>
    <cellStyle name="40% - Accent6 9" xfId="5749"/>
    <cellStyle name="40% - Accent6 9 2" xfId="5750"/>
    <cellStyle name="40% - Accent6 9 2 2" xfId="5751"/>
    <cellStyle name="40% - Accent6 9 2 2 2" xfId="5752"/>
    <cellStyle name="40% - Accent6 9 2 2 2 2" xfId="9343"/>
    <cellStyle name="40% - Accent6 9 2 2 3" xfId="9342"/>
    <cellStyle name="40% - Accent6 9 2 3" xfId="5753"/>
    <cellStyle name="40% - Accent6 9 2 3 2" xfId="9344"/>
    <cellStyle name="40% - Accent6 9 2 4" xfId="9341"/>
    <cellStyle name="40% - Accent6 9 3" xfId="5754"/>
    <cellStyle name="40% - Accent6 9 3 2" xfId="5755"/>
    <cellStyle name="40% - Accent6 9 3 2 2" xfId="5756"/>
    <cellStyle name="40% - Accent6 9 3 2 2 2" xfId="9347"/>
    <cellStyle name="40% - Accent6 9 3 2 3" xfId="9346"/>
    <cellStyle name="40% - Accent6 9 3 3" xfId="5757"/>
    <cellStyle name="40% - Accent6 9 3 3 2" xfId="9348"/>
    <cellStyle name="40% - Accent6 9 3 4" xfId="9345"/>
    <cellStyle name="40% - Accent6 9 4" xfId="5758"/>
    <cellStyle name="40% - Accent6 9 4 2" xfId="5759"/>
    <cellStyle name="40% - Accent6 9 4 2 2" xfId="9350"/>
    <cellStyle name="40% - Accent6 9 4 3" xfId="9349"/>
    <cellStyle name="40% - Accent6 9 5" xfId="5760"/>
    <cellStyle name="40% - Accent6 9 5 2" xfId="9351"/>
    <cellStyle name="40% - Accent6 9 6" xfId="9340"/>
    <cellStyle name="60% - Accent1" xfId="5761" builtinId="32" customBuiltin="1"/>
    <cellStyle name="60% - Accent1 2" xfId="9352"/>
    <cellStyle name="60% - Accent1 3" xfId="11229"/>
    <cellStyle name="60% - Accent2" xfId="5762" builtinId="36" customBuiltin="1"/>
    <cellStyle name="60% - Accent2 2" xfId="9353"/>
    <cellStyle name="60% - Accent2 3" xfId="11230"/>
    <cellStyle name="60% - Accent3" xfId="5763" builtinId="40" customBuiltin="1"/>
    <cellStyle name="60% - Accent3 2" xfId="9354"/>
    <cellStyle name="60% - Accent3 3" xfId="11231"/>
    <cellStyle name="60% - Accent4" xfId="5764" builtinId="44" customBuiltin="1"/>
    <cellStyle name="60% - Accent4 2" xfId="9355"/>
    <cellStyle name="60% - Accent4 3" xfId="11232"/>
    <cellStyle name="60% - Accent5" xfId="5765" builtinId="48" customBuiltin="1"/>
    <cellStyle name="60% - Accent5 2" xfId="9356"/>
    <cellStyle name="60% - Accent5 3" xfId="11233"/>
    <cellStyle name="60% - Accent6" xfId="5766" builtinId="52" customBuiltin="1"/>
    <cellStyle name="60% - Accent6 2" xfId="9357"/>
    <cellStyle name="60% - Accent6 3" xfId="11234"/>
    <cellStyle name="Accent1" xfId="5767" builtinId="29" customBuiltin="1"/>
    <cellStyle name="Accent1 2" xfId="9358"/>
    <cellStyle name="Accent1 3" xfId="11235"/>
    <cellStyle name="Accent2" xfId="5768" builtinId="33" customBuiltin="1"/>
    <cellStyle name="Accent2 2" xfId="9359"/>
    <cellStyle name="Accent2 3" xfId="11236"/>
    <cellStyle name="Accent3" xfId="5769" builtinId="37" customBuiltin="1"/>
    <cellStyle name="Accent3 2" xfId="9360"/>
    <cellStyle name="Accent3 3" xfId="11237"/>
    <cellStyle name="Accent4" xfId="5770" builtinId="41" customBuiltin="1"/>
    <cellStyle name="Accent4 2" xfId="9361"/>
    <cellStyle name="Accent4 3" xfId="11238"/>
    <cellStyle name="Accent5" xfId="5771" builtinId="45" customBuiltin="1"/>
    <cellStyle name="Accent5 2" xfId="9362"/>
    <cellStyle name="Accent5 3" xfId="11239"/>
    <cellStyle name="Accent6" xfId="5772" builtinId="49" customBuiltin="1"/>
    <cellStyle name="Accent6 2" xfId="9363"/>
    <cellStyle name="Accent6 3" xfId="11240"/>
    <cellStyle name="Bad" xfId="5773" builtinId="27" customBuiltin="1"/>
    <cellStyle name="Bad 2" xfId="9364"/>
    <cellStyle name="Bad 3" xfId="11241"/>
    <cellStyle name="Calculation" xfId="5774" builtinId="22" customBuiltin="1"/>
    <cellStyle name="Calculation 2" xfId="9365"/>
    <cellStyle name="Calculation 3" xfId="11242"/>
    <cellStyle name="Check Cell" xfId="5775" builtinId="23" customBuiltin="1"/>
    <cellStyle name="Check Cell 2" xfId="9366"/>
    <cellStyle name="Check Cell 3" xfId="11243"/>
    <cellStyle name="Explanatory Text" xfId="5776" builtinId="53" customBuiltin="1"/>
    <cellStyle name="Explanatory Text 2" xfId="9367"/>
    <cellStyle name="Explanatory Text 3" xfId="11244"/>
    <cellStyle name="Good" xfId="5777" builtinId="26" customBuiltin="1"/>
    <cellStyle name="Good 2" xfId="9368"/>
    <cellStyle name="Good 3" xfId="11245"/>
    <cellStyle name="Heading 1" xfId="5778" builtinId="16" customBuiltin="1"/>
    <cellStyle name="Heading 1 2" xfId="9369"/>
    <cellStyle name="Heading 1 3" xfId="11246"/>
    <cellStyle name="Heading 2" xfId="5779" builtinId="17" customBuiltin="1"/>
    <cellStyle name="Heading 2 2" xfId="9370"/>
    <cellStyle name="Heading 2 3" xfId="11247"/>
    <cellStyle name="Heading 3" xfId="5780" builtinId="18" customBuiltin="1"/>
    <cellStyle name="Heading 3 2" xfId="9371"/>
    <cellStyle name="Heading 3 3" xfId="11248"/>
    <cellStyle name="Heading 4" xfId="5781" builtinId="19" customBuiltin="1"/>
    <cellStyle name="Heading 4 2" xfId="9372"/>
    <cellStyle name="Heading 4 3" xfId="11249"/>
    <cellStyle name="Hyperlink 2" xfId="11250"/>
    <cellStyle name="Hyperlink 3" xfId="11251"/>
    <cellStyle name="Hyperlink 3 2" xfId="11252"/>
    <cellStyle name="Input" xfId="5782" builtinId="20" customBuiltin="1"/>
    <cellStyle name="Input 2" xfId="9373"/>
    <cellStyle name="Input 3" xfId="11253"/>
    <cellStyle name="Linked Cell" xfId="5783" builtinId="24" customBuiltin="1"/>
    <cellStyle name="Linked Cell 2" xfId="9374"/>
    <cellStyle name="Linked Cell 3" xfId="11254"/>
    <cellStyle name="Neutral" xfId="5784" builtinId="28" customBuiltin="1"/>
    <cellStyle name="Neutral 2" xfId="9375"/>
    <cellStyle name="Neutral 3" xfId="11255"/>
    <cellStyle name="Normal" xfId="0" builtinId="0"/>
    <cellStyle name="Normal 10" xfId="5785"/>
    <cellStyle name="Normal 10 2" xfId="5786"/>
    <cellStyle name="Normal 10 2 2" xfId="5787"/>
    <cellStyle name="Normal 10 2 2 2" xfId="5788"/>
    <cellStyle name="Normal 10 2 2 2 2" xfId="9379"/>
    <cellStyle name="Normal 10 2 2 3" xfId="9378"/>
    <cellStyle name="Normal 10 2 3" xfId="5789"/>
    <cellStyle name="Normal 10 2 3 2" xfId="9380"/>
    <cellStyle name="Normal 10 2 4" xfId="9377"/>
    <cellStyle name="Normal 10 3" xfId="5790"/>
    <cellStyle name="Normal 10 3 2" xfId="5791"/>
    <cellStyle name="Normal 10 3 2 2" xfId="5792"/>
    <cellStyle name="Normal 10 3 2 2 2" xfId="9383"/>
    <cellStyle name="Normal 10 3 2 3" xfId="9382"/>
    <cellStyle name="Normal 10 3 3" xfId="5793"/>
    <cellStyle name="Normal 10 3 3 2" xfId="9384"/>
    <cellStyle name="Normal 10 3 4" xfId="9381"/>
    <cellStyle name="Normal 10 4" xfId="5794"/>
    <cellStyle name="Normal 10 4 2" xfId="5795"/>
    <cellStyle name="Normal 10 4 2 2" xfId="9386"/>
    <cellStyle name="Normal 10 4 3" xfId="9385"/>
    <cellStyle name="Normal 10 5" xfId="5796"/>
    <cellStyle name="Normal 10 5 2" xfId="9387"/>
    <cellStyle name="Normal 10 6" xfId="9376"/>
    <cellStyle name="Normal 11" xfId="5797"/>
    <cellStyle name="Normal 11 2" xfId="5798"/>
    <cellStyle name="Normal 11 2 2" xfId="5799"/>
    <cellStyle name="Normal 11 2 2 2" xfId="5800"/>
    <cellStyle name="Normal 11 2 2 2 2" xfId="9391"/>
    <cellStyle name="Normal 11 2 2 3" xfId="9390"/>
    <cellStyle name="Normal 11 2 3" xfId="5801"/>
    <cellStyle name="Normal 11 2 3 2" xfId="9392"/>
    <cellStyle name="Normal 11 2 4" xfId="9389"/>
    <cellStyle name="Normal 11 3" xfId="5802"/>
    <cellStyle name="Normal 11 3 2" xfId="5803"/>
    <cellStyle name="Normal 11 3 2 2" xfId="5804"/>
    <cellStyle name="Normal 11 3 2 2 2" xfId="9395"/>
    <cellStyle name="Normal 11 3 2 3" xfId="9394"/>
    <cellStyle name="Normal 11 3 3" xfId="5805"/>
    <cellStyle name="Normal 11 3 3 2" xfId="9396"/>
    <cellStyle name="Normal 11 3 4" xfId="9393"/>
    <cellStyle name="Normal 11 4" xfId="5806"/>
    <cellStyle name="Normal 11 4 2" xfId="5807"/>
    <cellStyle name="Normal 11 4 2 2" xfId="9398"/>
    <cellStyle name="Normal 11 4 3" xfId="9397"/>
    <cellStyle name="Normal 11 5" xfId="5808"/>
    <cellStyle name="Normal 11 5 2" xfId="9399"/>
    <cellStyle name="Normal 11 6" xfId="9388"/>
    <cellStyle name="Normal 12" xfId="5809"/>
    <cellStyle name="Normal 12 2" xfId="9400"/>
    <cellStyle name="Normal 13" xfId="5810"/>
    <cellStyle name="Normal 13 2" xfId="5811"/>
    <cellStyle name="Normal 13 2 2" xfId="5812"/>
    <cellStyle name="Normal 13 2 2 2" xfId="5813"/>
    <cellStyle name="Normal 13 2 2 2 2" xfId="9404"/>
    <cellStyle name="Normal 13 2 2 3" xfId="9403"/>
    <cellStyle name="Normal 13 2 3" xfId="5814"/>
    <cellStyle name="Normal 13 2 3 2" xfId="9405"/>
    <cellStyle name="Normal 13 2 4" xfId="9402"/>
    <cellStyle name="Normal 13 3" xfId="5815"/>
    <cellStyle name="Normal 13 3 2" xfId="5816"/>
    <cellStyle name="Normal 13 3 2 2" xfId="5817"/>
    <cellStyle name="Normal 13 3 2 2 2" xfId="9408"/>
    <cellStyle name="Normal 13 3 2 3" xfId="9407"/>
    <cellStyle name="Normal 13 3 3" xfId="5818"/>
    <cellStyle name="Normal 13 3 3 2" xfId="9409"/>
    <cellStyle name="Normal 13 3 4" xfId="9406"/>
    <cellStyle name="Normal 13 4" xfId="5819"/>
    <cellStyle name="Normal 13 4 2" xfId="5820"/>
    <cellStyle name="Normal 13 4 2 2" xfId="9411"/>
    <cellStyle name="Normal 13 4 3" xfId="9410"/>
    <cellStyle name="Normal 13 5" xfId="5821"/>
    <cellStyle name="Normal 13 5 2" xfId="9412"/>
    <cellStyle name="Normal 13 6" xfId="9401"/>
    <cellStyle name="Normal 14" xfId="5822"/>
    <cellStyle name="Normal 14 2" xfId="5823"/>
    <cellStyle name="Normal 14 2 2" xfId="5824"/>
    <cellStyle name="Normal 14 2 2 2" xfId="5825"/>
    <cellStyle name="Normal 14 2 2 2 2" xfId="9416"/>
    <cellStyle name="Normal 14 2 2 3" xfId="9415"/>
    <cellStyle name="Normal 14 2 3" xfId="5826"/>
    <cellStyle name="Normal 14 2 3 2" xfId="9417"/>
    <cellStyle name="Normal 14 2 4" xfId="9414"/>
    <cellStyle name="Normal 14 3" xfId="5827"/>
    <cellStyle name="Normal 14 3 2" xfId="5828"/>
    <cellStyle name="Normal 14 3 2 2" xfId="5829"/>
    <cellStyle name="Normal 14 3 2 2 2" xfId="9420"/>
    <cellStyle name="Normal 14 3 2 3" xfId="9419"/>
    <cellStyle name="Normal 14 3 3" xfId="5830"/>
    <cellStyle name="Normal 14 3 3 2" xfId="9421"/>
    <cellStyle name="Normal 14 3 4" xfId="9418"/>
    <cellStyle name="Normal 14 4" xfId="5831"/>
    <cellStyle name="Normal 14 4 2" xfId="5832"/>
    <cellStyle name="Normal 14 4 2 2" xfId="9423"/>
    <cellStyle name="Normal 14 4 3" xfId="9422"/>
    <cellStyle name="Normal 14 5" xfId="5833"/>
    <cellStyle name="Normal 14 5 2" xfId="9424"/>
    <cellStyle name="Normal 14 6" xfId="9413"/>
    <cellStyle name="Normal 15" xfId="5834"/>
    <cellStyle name="Normal 15 2" xfId="5835"/>
    <cellStyle name="Normal 15 2 2" xfId="5836"/>
    <cellStyle name="Normal 15 2 2 2" xfId="5837"/>
    <cellStyle name="Normal 15 2 2 2 2" xfId="9428"/>
    <cellStyle name="Normal 15 2 2 3" xfId="9427"/>
    <cellStyle name="Normal 15 2 3" xfId="5838"/>
    <cellStyle name="Normal 15 2 3 2" xfId="9429"/>
    <cellStyle name="Normal 15 2 4" xfId="9426"/>
    <cellStyle name="Normal 15 3" xfId="5839"/>
    <cellStyle name="Normal 15 3 2" xfId="5840"/>
    <cellStyle name="Normal 15 3 2 2" xfId="5841"/>
    <cellStyle name="Normal 15 3 2 2 2" xfId="9432"/>
    <cellStyle name="Normal 15 3 2 3" xfId="9431"/>
    <cellStyle name="Normal 15 3 3" xfId="5842"/>
    <cellStyle name="Normal 15 3 3 2" xfId="9433"/>
    <cellStyle name="Normal 15 3 4" xfId="9430"/>
    <cellStyle name="Normal 15 4" xfId="5843"/>
    <cellStyle name="Normal 15 4 2" xfId="5844"/>
    <cellStyle name="Normal 15 4 2 2" xfId="9435"/>
    <cellStyle name="Normal 15 4 3" xfId="9434"/>
    <cellStyle name="Normal 15 5" xfId="5845"/>
    <cellStyle name="Normal 15 5 2" xfId="9436"/>
    <cellStyle name="Normal 15 6" xfId="9425"/>
    <cellStyle name="Normal 16" xfId="5846"/>
    <cellStyle name="Normal 16 2" xfId="5847"/>
    <cellStyle name="Normal 16 2 2" xfId="9438"/>
    <cellStyle name="Normal 16 3" xfId="5848"/>
    <cellStyle name="Normal 16 3 2" xfId="9439"/>
    <cellStyle name="Normal 16 4" xfId="9437"/>
    <cellStyle name="Normal 17" xfId="5849"/>
    <cellStyle name="Normal 17 2" xfId="5850"/>
    <cellStyle name="Normal 17 2 2" xfId="5851"/>
    <cellStyle name="Normal 17 2 2 2" xfId="5852"/>
    <cellStyle name="Normal 17 2 2 2 2" xfId="9443"/>
    <cellStyle name="Normal 17 2 2 3" xfId="9442"/>
    <cellStyle name="Normal 17 2 3" xfId="5853"/>
    <cellStyle name="Normal 17 2 3 2" xfId="9444"/>
    <cellStyle name="Normal 17 2 4" xfId="9441"/>
    <cellStyle name="Normal 17 3" xfId="5854"/>
    <cellStyle name="Normal 17 3 2" xfId="5855"/>
    <cellStyle name="Normal 17 3 2 2" xfId="5856"/>
    <cellStyle name="Normal 17 3 2 2 2" xfId="9447"/>
    <cellStyle name="Normal 17 3 2 3" xfId="9446"/>
    <cellStyle name="Normal 17 3 3" xfId="5857"/>
    <cellStyle name="Normal 17 3 3 2" xfId="9448"/>
    <cellStyle name="Normal 17 3 4" xfId="9445"/>
    <cellStyle name="Normal 17 4" xfId="5858"/>
    <cellStyle name="Normal 17 4 2" xfId="5859"/>
    <cellStyle name="Normal 17 4 2 2" xfId="9450"/>
    <cellStyle name="Normal 17 4 3" xfId="9449"/>
    <cellStyle name="Normal 17 5" xfId="5860"/>
    <cellStyle name="Normal 17 5 2" xfId="9451"/>
    <cellStyle name="Normal 17 6" xfId="9440"/>
    <cellStyle name="Normal 18" xfId="5861"/>
    <cellStyle name="Normal 18 2" xfId="5862"/>
    <cellStyle name="Normal 18 2 2" xfId="9453"/>
    <cellStyle name="Normal 18 3" xfId="5863"/>
    <cellStyle name="Normal 18 3 2" xfId="9454"/>
    <cellStyle name="Normal 18 4" xfId="9452"/>
    <cellStyle name="Normal 19" xfId="5864"/>
    <cellStyle name="Normal 19 2" xfId="5865"/>
    <cellStyle name="Normal 19 2 2" xfId="9456"/>
    <cellStyle name="Normal 19 3" xfId="5866"/>
    <cellStyle name="Normal 19 3 2" xfId="9457"/>
    <cellStyle name="Normal 19 4" xfId="9455"/>
    <cellStyle name="Normal 2" xfId="5867"/>
    <cellStyle name="Normal 2 10" xfId="5868"/>
    <cellStyle name="Normal 2 10 2" xfId="9459"/>
    <cellStyle name="Normal 2 11" xfId="5869"/>
    <cellStyle name="Normal 2 11 2" xfId="9460"/>
    <cellStyle name="Normal 2 12" xfId="5870"/>
    <cellStyle name="Normal 2 12 2" xfId="9461"/>
    <cellStyle name="Normal 2 13" xfId="5871"/>
    <cellStyle name="Normal 2 13 2" xfId="9462"/>
    <cellStyle name="Normal 2 14" xfId="5872"/>
    <cellStyle name="Normal 2 14 2" xfId="9463"/>
    <cellStyle name="Normal 2 15" xfId="5873"/>
    <cellStyle name="Normal 2 15 2" xfId="9464"/>
    <cellStyle name="Normal 2 16" xfId="5874"/>
    <cellStyle name="Normal 2 16 2" xfId="9465"/>
    <cellStyle name="Normal 2 17" xfId="5875"/>
    <cellStyle name="Normal 2 17 2" xfId="9466"/>
    <cellStyle name="Normal 2 18" xfId="5876"/>
    <cellStyle name="Normal 2 18 2" xfId="9467"/>
    <cellStyle name="Normal 2 19" xfId="5877"/>
    <cellStyle name="Normal 2 19 2" xfId="9468"/>
    <cellStyle name="Normal 2 2" xfId="5878"/>
    <cellStyle name="Normal 2 2 10" xfId="5879"/>
    <cellStyle name="Normal 2 2 10 2" xfId="9470"/>
    <cellStyle name="Normal 2 2 11" xfId="5880"/>
    <cellStyle name="Normal 2 2 11 2" xfId="9471"/>
    <cellStyle name="Normal 2 2 12" xfId="5881"/>
    <cellStyle name="Normal 2 2 12 2" xfId="9472"/>
    <cellStyle name="Normal 2 2 13" xfId="5882"/>
    <cellStyle name="Normal 2 2 13 2" xfId="9473"/>
    <cellStyle name="Normal 2 2 14" xfId="5883"/>
    <cellStyle name="Normal 2 2 14 2" xfId="9474"/>
    <cellStyle name="Normal 2 2 15" xfId="5884"/>
    <cellStyle name="Normal 2 2 15 2" xfId="9475"/>
    <cellStyle name="Normal 2 2 16" xfId="5885"/>
    <cellStyle name="Normal 2 2 16 2" xfId="9476"/>
    <cellStyle name="Normal 2 2 17" xfId="9469"/>
    <cellStyle name="Normal 2 2 2" xfId="5886"/>
    <cellStyle name="Normal 2 2 2 2" xfId="9477"/>
    <cellStyle name="Normal 2 2 3" xfId="5887"/>
    <cellStyle name="Normal 2 2 3 2" xfId="9478"/>
    <cellStyle name="Normal 2 2 4" xfId="5888"/>
    <cellStyle name="Normal 2 2 4 2" xfId="9479"/>
    <cellStyle name="Normal 2 2 5" xfId="5889"/>
    <cellStyle name="Normal 2 2 5 2" xfId="9480"/>
    <cellStyle name="Normal 2 2 6" xfId="5890"/>
    <cellStyle name="Normal 2 2 6 2" xfId="9481"/>
    <cellStyle name="Normal 2 2 7" xfId="5891"/>
    <cellStyle name="Normal 2 2 7 2" xfId="9482"/>
    <cellStyle name="Normal 2 2 8" xfId="5892"/>
    <cellStyle name="Normal 2 2 8 2" xfId="9483"/>
    <cellStyle name="Normal 2 2 9" xfId="5893"/>
    <cellStyle name="Normal 2 2 9 2" xfId="9484"/>
    <cellStyle name="Normal 2 20" xfId="5894"/>
    <cellStyle name="Normal 2 20 2" xfId="9485"/>
    <cellStyle name="Normal 2 21" xfId="5895"/>
    <cellStyle name="Normal 2 21 2" xfId="9486"/>
    <cellStyle name="Normal 2 22" xfId="5896"/>
    <cellStyle name="Normal 2 22 2" xfId="9487"/>
    <cellStyle name="Normal 2 23" xfId="5897"/>
    <cellStyle name="Normal 2 23 2" xfId="9488"/>
    <cellStyle name="Normal 2 24" xfId="9458"/>
    <cellStyle name="Normal 2 25" xfId="11256"/>
    <cellStyle name="Normal 2 3" xfId="5898"/>
    <cellStyle name="Normal 2 3 10" xfId="5899"/>
    <cellStyle name="Normal 2 3 10 2" xfId="9490"/>
    <cellStyle name="Normal 2 3 11" xfId="5900"/>
    <cellStyle name="Normal 2 3 11 2" xfId="9491"/>
    <cellStyle name="Normal 2 3 12" xfId="5901"/>
    <cellStyle name="Normal 2 3 12 2" xfId="9492"/>
    <cellStyle name="Normal 2 3 13" xfId="5902"/>
    <cellStyle name="Normal 2 3 13 2" xfId="9493"/>
    <cellStyle name="Normal 2 3 14" xfId="5903"/>
    <cellStyle name="Normal 2 3 14 2" xfId="9494"/>
    <cellStyle name="Normal 2 3 15" xfId="5904"/>
    <cellStyle name="Normal 2 3 15 2" xfId="9495"/>
    <cellStyle name="Normal 2 3 16" xfId="9489"/>
    <cellStyle name="Normal 2 3 2" xfId="5905"/>
    <cellStyle name="Normal 2 3 2 2" xfId="9496"/>
    <cellStyle name="Normal 2 3 3" xfId="5906"/>
    <cellStyle name="Normal 2 3 3 2" xfId="9497"/>
    <cellStyle name="Normal 2 3 4" xfId="5907"/>
    <cellStyle name="Normal 2 3 4 2" xfId="9498"/>
    <cellStyle name="Normal 2 3 5" xfId="5908"/>
    <cellStyle name="Normal 2 3 5 2" xfId="9499"/>
    <cellStyle name="Normal 2 3 6" xfId="5909"/>
    <cellStyle name="Normal 2 3 6 2" xfId="9500"/>
    <cellStyle name="Normal 2 3 7" xfId="5910"/>
    <cellStyle name="Normal 2 3 7 2" xfId="9501"/>
    <cellStyle name="Normal 2 3 8" xfId="5911"/>
    <cellStyle name="Normal 2 3 8 2" xfId="9502"/>
    <cellStyle name="Normal 2 3 9" xfId="5912"/>
    <cellStyle name="Normal 2 3 9 2" xfId="9503"/>
    <cellStyle name="Normal 2 4" xfId="5913"/>
    <cellStyle name="Normal 2 4 10" xfId="5914"/>
    <cellStyle name="Normal 2 4 10 2" xfId="9505"/>
    <cellStyle name="Normal 2 4 11" xfId="5915"/>
    <cellStyle name="Normal 2 4 11 2" xfId="9506"/>
    <cellStyle name="Normal 2 4 12" xfId="5916"/>
    <cellStyle name="Normal 2 4 12 2" xfId="9507"/>
    <cellStyle name="Normal 2 4 13" xfId="5917"/>
    <cellStyle name="Normal 2 4 13 2" xfId="9508"/>
    <cellStyle name="Normal 2 4 14" xfId="5918"/>
    <cellStyle name="Normal 2 4 14 2" xfId="9509"/>
    <cellStyle name="Normal 2 4 15" xfId="5919"/>
    <cellStyle name="Normal 2 4 15 2" xfId="9510"/>
    <cellStyle name="Normal 2 4 16" xfId="9504"/>
    <cellStyle name="Normal 2 4 2" xfId="5920"/>
    <cellStyle name="Normal 2 4 2 2" xfId="9511"/>
    <cellStyle name="Normal 2 4 3" xfId="5921"/>
    <cellStyle name="Normal 2 4 3 2" xfId="9512"/>
    <cellStyle name="Normal 2 4 4" xfId="5922"/>
    <cellStyle name="Normal 2 4 4 2" xfId="9513"/>
    <cellStyle name="Normal 2 4 5" xfId="5923"/>
    <cellStyle name="Normal 2 4 5 2" xfId="9514"/>
    <cellStyle name="Normal 2 4 6" xfId="5924"/>
    <cellStyle name="Normal 2 4 6 2" xfId="9515"/>
    <cellStyle name="Normal 2 4 7" xfId="5925"/>
    <cellStyle name="Normal 2 4 7 2" xfId="9516"/>
    <cellStyle name="Normal 2 4 8" xfId="5926"/>
    <cellStyle name="Normal 2 4 8 2" xfId="9517"/>
    <cellStyle name="Normal 2 4 9" xfId="5927"/>
    <cellStyle name="Normal 2 4 9 2" xfId="9518"/>
    <cellStyle name="Normal 2 5" xfId="5928"/>
    <cellStyle name="Normal 2 5 10" xfId="5929"/>
    <cellStyle name="Normal 2 5 10 2" xfId="9520"/>
    <cellStyle name="Normal 2 5 11" xfId="5930"/>
    <cellStyle name="Normal 2 5 11 2" xfId="9521"/>
    <cellStyle name="Normal 2 5 12" xfId="5931"/>
    <cellStyle name="Normal 2 5 12 2" xfId="9522"/>
    <cellStyle name="Normal 2 5 13" xfId="5932"/>
    <cellStyle name="Normal 2 5 13 2" xfId="9523"/>
    <cellStyle name="Normal 2 5 14" xfId="5933"/>
    <cellStyle name="Normal 2 5 14 2" xfId="9524"/>
    <cellStyle name="Normal 2 5 15" xfId="5934"/>
    <cellStyle name="Normal 2 5 15 2" xfId="9525"/>
    <cellStyle name="Normal 2 5 16" xfId="9519"/>
    <cellStyle name="Normal 2 5 2" xfId="5935"/>
    <cellStyle name="Normal 2 5 2 2" xfId="9526"/>
    <cellStyle name="Normal 2 5 3" xfId="5936"/>
    <cellStyle name="Normal 2 5 3 2" xfId="9527"/>
    <cellStyle name="Normal 2 5 4" xfId="5937"/>
    <cellStyle name="Normal 2 5 4 2" xfId="9528"/>
    <cellStyle name="Normal 2 5 5" xfId="5938"/>
    <cellStyle name="Normal 2 5 5 2" xfId="9529"/>
    <cellStyle name="Normal 2 5 6" xfId="5939"/>
    <cellStyle name="Normal 2 5 6 2" xfId="9530"/>
    <cellStyle name="Normal 2 5 7" xfId="5940"/>
    <cellStyle name="Normal 2 5 7 2" xfId="9531"/>
    <cellStyle name="Normal 2 5 8" xfId="5941"/>
    <cellStyle name="Normal 2 5 8 2" xfId="9532"/>
    <cellStyle name="Normal 2 5 9" xfId="5942"/>
    <cellStyle name="Normal 2 5 9 2" xfId="9533"/>
    <cellStyle name="Normal 2 6" xfId="5943"/>
    <cellStyle name="Normal 2 6 10" xfId="5944"/>
    <cellStyle name="Normal 2 6 10 2" xfId="9535"/>
    <cellStyle name="Normal 2 6 11" xfId="5945"/>
    <cellStyle name="Normal 2 6 11 2" xfId="9536"/>
    <cellStyle name="Normal 2 6 12" xfId="5946"/>
    <cellStyle name="Normal 2 6 12 2" xfId="9537"/>
    <cellStyle name="Normal 2 6 13" xfId="5947"/>
    <cellStyle name="Normal 2 6 13 2" xfId="9538"/>
    <cellStyle name="Normal 2 6 14" xfId="5948"/>
    <cellStyle name="Normal 2 6 14 2" xfId="9539"/>
    <cellStyle name="Normal 2 6 15" xfId="5949"/>
    <cellStyle name="Normal 2 6 15 2" xfId="9540"/>
    <cellStyle name="Normal 2 6 16" xfId="9534"/>
    <cellStyle name="Normal 2 6 2" xfId="5950"/>
    <cellStyle name="Normal 2 6 2 2" xfId="9541"/>
    <cellStyle name="Normal 2 6 3" xfId="5951"/>
    <cellStyle name="Normal 2 6 3 2" xfId="9542"/>
    <cellStyle name="Normal 2 6 4" xfId="5952"/>
    <cellStyle name="Normal 2 6 4 2" xfId="9543"/>
    <cellStyle name="Normal 2 6 5" xfId="5953"/>
    <cellStyle name="Normal 2 6 5 2" xfId="9544"/>
    <cellStyle name="Normal 2 6 6" xfId="5954"/>
    <cellStyle name="Normal 2 6 6 2" xfId="9545"/>
    <cellStyle name="Normal 2 6 7" xfId="5955"/>
    <cellStyle name="Normal 2 6 7 2" xfId="9546"/>
    <cellStyle name="Normal 2 6 8" xfId="5956"/>
    <cellStyle name="Normal 2 6 8 2" xfId="9547"/>
    <cellStyle name="Normal 2 6 9" xfId="5957"/>
    <cellStyle name="Normal 2 6 9 2" xfId="9548"/>
    <cellStyle name="Normal 2 7" xfId="5958"/>
    <cellStyle name="Normal 2 7 10" xfId="5959"/>
    <cellStyle name="Normal 2 7 10 2" xfId="9550"/>
    <cellStyle name="Normal 2 7 11" xfId="5960"/>
    <cellStyle name="Normal 2 7 11 2" xfId="9551"/>
    <cellStyle name="Normal 2 7 12" xfId="5961"/>
    <cellStyle name="Normal 2 7 12 2" xfId="9552"/>
    <cellStyle name="Normal 2 7 13" xfId="5962"/>
    <cellStyle name="Normal 2 7 13 2" xfId="9553"/>
    <cellStyle name="Normal 2 7 14" xfId="5963"/>
    <cellStyle name="Normal 2 7 14 2" xfId="9554"/>
    <cellStyle name="Normal 2 7 15" xfId="5964"/>
    <cellStyle name="Normal 2 7 15 2" xfId="9555"/>
    <cellStyle name="Normal 2 7 16" xfId="9549"/>
    <cellStyle name="Normal 2 7 2" xfId="5965"/>
    <cellStyle name="Normal 2 7 2 2" xfId="9556"/>
    <cellStyle name="Normal 2 7 3" xfId="5966"/>
    <cellStyle name="Normal 2 7 3 2" xfId="9557"/>
    <cellStyle name="Normal 2 7 4" xfId="5967"/>
    <cellStyle name="Normal 2 7 4 2" xfId="9558"/>
    <cellStyle name="Normal 2 7 5" xfId="5968"/>
    <cellStyle name="Normal 2 7 5 2" xfId="9559"/>
    <cellStyle name="Normal 2 7 6" xfId="5969"/>
    <cellStyle name="Normal 2 7 6 2" xfId="9560"/>
    <cellStyle name="Normal 2 7 7" xfId="5970"/>
    <cellStyle name="Normal 2 7 7 2" xfId="9561"/>
    <cellStyle name="Normal 2 7 8" xfId="5971"/>
    <cellStyle name="Normal 2 7 8 2" xfId="9562"/>
    <cellStyle name="Normal 2 7 9" xfId="5972"/>
    <cellStyle name="Normal 2 7 9 2" xfId="9563"/>
    <cellStyle name="Normal 2 8" xfId="5973"/>
    <cellStyle name="Normal 2 8 2" xfId="9564"/>
    <cellStyle name="Normal 2 9" xfId="5974"/>
    <cellStyle name="Normal 2 9 2" xfId="9565"/>
    <cellStyle name="Normal 20" xfId="5975"/>
    <cellStyle name="Normal 20 2" xfId="5976"/>
    <cellStyle name="Normal 20 2 2" xfId="5977"/>
    <cellStyle name="Normal 20 2 2 2" xfId="5978"/>
    <cellStyle name="Normal 20 2 2 2 2" xfId="9569"/>
    <cellStyle name="Normal 20 2 2 3" xfId="9568"/>
    <cellStyle name="Normal 20 2 3" xfId="5979"/>
    <cellStyle name="Normal 20 2 3 2" xfId="9570"/>
    <cellStyle name="Normal 20 2 4" xfId="9567"/>
    <cellStyle name="Normal 20 3" xfId="5980"/>
    <cellStyle name="Normal 20 3 2" xfId="5981"/>
    <cellStyle name="Normal 20 3 2 2" xfId="5982"/>
    <cellStyle name="Normal 20 3 2 2 2" xfId="9573"/>
    <cellStyle name="Normal 20 3 2 3" xfId="9572"/>
    <cellStyle name="Normal 20 3 3" xfId="5983"/>
    <cellStyle name="Normal 20 3 3 2" xfId="9574"/>
    <cellStyle name="Normal 20 3 4" xfId="9571"/>
    <cellStyle name="Normal 20 4" xfId="5984"/>
    <cellStyle name="Normal 20 4 2" xfId="5985"/>
    <cellStyle name="Normal 20 4 2 2" xfId="9576"/>
    <cellStyle name="Normal 20 4 3" xfId="9575"/>
    <cellStyle name="Normal 20 5" xfId="5986"/>
    <cellStyle name="Normal 20 5 2" xfId="9577"/>
    <cellStyle name="Normal 20 6" xfId="9566"/>
    <cellStyle name="Normal 21" xfId="5987"/>
    <cellStyle name="Normal 21 2" xfId="5988"/>
    <cellStyle name="Normal 21 2 2" xfId="5989"/>
    <cellStyle name="Normal 21 2 2 2" xfId="5990"/>
    <cellStyle name="Normal 21 2 2 2 2" xfId="9581"/>
    <cellStyle name="Normal 21 2 2 3" xfId="9580"/>
    <cellStyle name="Normal 21 2 3" xfId="5991"/>
    <cellStyle name="Normal 21 2 3 2" xfId="9582"/>
    <cellStyle name="Normal 21 2 4" xfId="9579"/>
    <cellStyle name="Normal 21 3" xfId="5992"/>
    <cellStyle name="Normal 21 3 2" xfId="5993"/>
    <cellStyle name="Normal 21 3 2 2" xfId="5994"/>
    <cellStyle name="Normal 21 3 2 2 2" xfId="9585"/>
    <cellStyle name="Normal 21 3 2 3" xfId="9584"/>
    <cellStyle name="Normal 21 3 3" xfId="5995"/>
    <cellStyle name="Normal 21 3 3 2" xfId="9586"/>
    <cellStyle name="Normal 21 3 4" xfId="9583"/>
    <cellStyle name="Normal 21 4" xfId="5996"/>
    <cellStyle name="Normal 21 4 2" xfId="5997"/>
    <cellStyle name="Normal 21 4 2 2" xfId="9588"/>
    <cellStyle name="Normal 21 4 3" xfId="9587"/>
    <cellStyle name="Normal 21 5" xfId="5998"/>
    <cellStyle name="Normal 21 5 2" xfId="9589"/>
    <cellStyle name="Normal 21 6" xfId="9578"/>
    <cellStyle name="Normal 22" xfId="5999"/>
    <cellStyle name="Normal 22 2" xfId="6000"/>
    <cellStyle name="Normal 22 2 2" xfId="6001"/>
    <cellStyle name="Normal 22 2 2 2" xfId="6002"/>
    <cellStyle name="Normal 22 2 2 2 2" xfId="9593"/>
    <cellStyle name="Normal 22 2 2 3" xfId="9592"/>
    <cellStyle name="Normal 22 2 3" xfId="6003"/>
    <cellStyle name="Normal 22 2 3 2" xfId="9594"/>
    <cellStyle name="Normal 22 2 4" xfId="9591"/>
    <cellStyle name="Normal 22 3" xfId="6004"/>
    <cellStyle name="Normal 22 3 2" xfId="6005"/>
    <cellStyle name="Normal 22 3 2 2" xfId="6006"/>
    <cellStyle name="Normal 22 3 2 2 2" xfId="9597"/>
    <cellStyle name="Normal 22 3 2 3" xfId="9596"/>
    <cellStyle name="Normal 22 3 3" xfId="6007"/>
    <cellStyle name="Normal 22 3 3 2" xfId="9598"/>
    <cellStyle name="Normal 22 3 4" xfId="9595"/>
    <cellStyle name="Normal 22 4" xfId="6008"/>
    <cellStyle name="Normal 22 4 2" xfId="6009"/>
    <cellStyle name="Normal 22 4 2 2" xfId="9600"/>
    <cellStyle name="Normal 22 4 3" xfId="9599"/>
    <cellStyle name="Normal 22 5" xfId="6010"/>
    <cellStyle name="Normal 22 5 2" xfId="9601"/>
    <cellStyle name="Normal 22 6" xfId="9590"/>
    <cellStyle name="Normal 23" xfId="6011"/>
    <cellStyle name="Normal 23 2" xfId="6012"/>
    <cellStyle name="Normal 23 2 2" xfId="9603"/>
    <cellStyle name="Normal 23 3" xfId="6013"/>
    <cellStyle name="Normal 23 3 2" xfId="9604"/>
    <cellStyle name="Normal 23 4" xfId="9602"/>
    <cellStyle name="Normal 24" xfId="6014"/>
    <cellStyle name="Normal 24 2" xfId="6015"/>
    <cellStyle name="Normal 24 2 2" xfId="9606"/>
    <cellStyle name="Normal 24 3" xfId="6016"/>
    <cellStyle name="Normal 24 3 2" xfId="9607"/>
    <cellStyle name="Normal 24 4" xfId="9605"/>
    <cellStyle name="Normal 25" xfId="6017"/>
    <cellStyle name="Normal 25 2" xfId="9608"/>
    <cellStyle name="Normal 26" xfId="6018"/>
    <cellStyle name="Normal 26 2" xfId="6019"/>
    <cellStyle name="Normal 26 2 2" xfId="6020"/>
    <cellStyle name="Normal 26 2 2 2" xfId="6021"/>
    <cellStyle name="Normal 26 2 2 2 2" xfId="9612"/>
    <cellStyle name="Normal 26 2 2 3" xfId="9611"/>
    <cellStyle name="Normal 26 2 3" xfId="6022"/>
    <cellStyle name="Normal 26 2 3 2" xfId="9613"/>
    <cellStyle name="Normal 26 2 4" xfId="9610"/>
    <cellStyle name="Normal 26 3" xfId="6023"/>
    <cellStyle name="Normal 26 3 2" xfId="6024"/>
    <cellStyle name="Normal 26 3 2 2" xfId="6025"/>
    <cellStyle name="Normal 26 3 2 2 2" xfId="9616"/>
    <cellStyle name="Normal 26 3 2 3" xfId="9615"/>
    <cellStyle name="Normal 26 3 3" xfId="6026"/>
    <cellStyle name="Normal 26 3 3 2" xfId="9617"/>
    <cellStyle name="Normal 26 3 4" xfId="9614"/>
    <cellStyle name="Normal 26 4" xfId="6027"/>
    <cellStyle name="Normal 26 4 2" xfId="6028"/>
    <cellStyle name="Normal 26 4 2 2" xfId="9619"/>
    <cellStyle name="Normal 26 4 3" xfId="9618"/>
    <cellStyle name="Normal 26 5" xfId="6029"/>
    <cellStyle name="Normal 26 5 2" xfId="9620"/>
    <cellStyle name="Normal 26 6" xfId="9609"/>
    <cellStyle name="Normal 27" xfId="6030"/>
    <cellStyle name="Normal 27 2" xfId="9621"/>
    <cellStyle name="Normal 28" xfId="6031"/>
    <cellStyle name="Normal 28 2" xfId="9622"/>
    <cellStyle name="Normal 29" xfId="6032"/>
    <cellStyle name="Normal 29 2" xfId="9623"/>
    <cellStyle name="Normal 3" xfId="6033"/>
    <cellStyle name="Normal 3 2" xfId="9624"/>
    <cellStyle name="Normal 30" xfId="6034"/>
    <cellStyle name="Normal 30 2" xfId="9625"/>
    <cellStyle name="Normal 31" xfId="6035"/>
    <cellStyle name="Normal 31 2" xfId="6036"/>
    <cellStyle name="Normal 31 2 2" xfId="6037"/>
    <cellStyle name="Normal 31 2 2 2" xfId="6038"/>
    <cellStyle name="Normal 31 2 2 2 2" xfId="9629"/>
    <cellStyle name="Normal 31 2 2 3" xfId="9628"/>
    <cellStyle name="Normal 31 2 3" xfId="6039"/>
    <cellStyle name="Normal 31 2 3 2" xfId="9630"/>
    <cellStyle name="Normal 31 2 4" xfId="9627"/>
    <cellStyle name="Normal 31 3" xfId="6040"/>
    <cellStyle name="Normal 31 3 2" xfId="6041"/>
    <cellStyle name="Normal 31 3 2 2" xfId="6042"/>
    <cellStyle name="Normal 31 3 2 2 2" xfId="9633"/>
    <cellStyle name="Normal 31 3 2 3" xfId="9632"/>
    <cellStyle name="Normal 31 3 3" xfId="6043"/>
    <cellStyle name="Normal 31 3 3 2" xfId="9634"/>
    <cellStyle name="Normal 31 3 4" xfId="9631"/>
    <cellStyle name="Normal 31 4" xfId="6044"/>
    <cellStyle name="Normal 31 4 2" xfId="6045"/>
    <cellStyle name="Normal 31 4 2 2" xfId="9636"/>
    <cellStyle name="Normal 31 4 3" xfId="9635"/>
    <cellStyle name="Normal 31 5" xfId="6046"/>
    <cellStyle name="Normal 31 5 2" xfId="9637"/>
    <cellStyle name="Normal 31 6" xfId="9626"/>
    <cellStyle name="Normal 32" xfId="6047"/>
    <cellStyle name="Normal 32 2" xfId="6048"/>
    <cellStyle name="Normal 32 2 2" xfId="6049"/>
    <cellStyle name="Normal 32 2 2 2" xfId="6050"/>
    <cellStyle name="Normal 32 2 2 2 2" xfId="9641"/>
    <cellStyle name="Normal 32 2 2 3" xfId="9640"/>
    <cellStyle name="Normal 32 2 3" xfId="6051"/>
    <cellStyle name="Normal 32 2 3 2" xfId="9642"/>
    <cellStyle name="Normal 32 2 4" xfId="9639"/>
    <cellStyle name="Normal 32 3" xfId="6052"/>
    <cellStyle name="Normal 32 3 2" xfId="6053"/>
    <cellStyle name="Normal 32 3 2 2" xfId="6054"/>
    <cellStyle name="Normal 32 3 2 2 2" xfId="9645"/>
    <cellStyle name="Normal 32 3 2 3" xfId="9644"/>
    <cellStyle name="Normal 32 3 3" xfId="6055"/>
    <cellStyle name="Normal 32 3 3 2" xfId="9646"/>
    <cellStyle name="Normal 32 3 4" xfId="9643"/>
    <cellStyle name="Normal 32 4" xfId="6056"/>
    <cellStyle name="Normal 32 4 2" xfId="6057"/>
    <cellStyle name="Normal 32 4 2 2" xfId="9648"/>
    <cellStyle name="Normal 32 4 3" xfId="9647"/>
    <cellStyle name="Normal 32 5" xfId="6058"/>
    <cellStyle name="Normal 32 5 2" xfId="9649"/>
    <cellStyle name="Normal 32 6" xfId="9638"/>
    <cellStyle name="Normal 33" xfId="6059"/>
    <cellStyle name="Normal 33 2" xfId="6060"/>
    <cellStyle name="Normal 33 2 2" xfId="6061"/>
    <cellStyle name="Normal 33 2 2 2" xfId="6062"/>
    <cellStyle name="Normal 33 2 2 2 2" xfId="9653"/>
    <cellStyle name="Normal 33 2 2 3" xfId="9652"/>
    <cellStyle name="Normal 33 2 3" xfId="6063"/>
    <cellStyle name="Normal 33 2 3 2" xfId="9654"/>
    <cellStyle name="Normal 33 2 4" xfId="9651"/>
    <cellStyle name="Normal 33 3" xfId="6064"/>
    <cellStyle name="Normal 33 3 2" xfId="6065"/>
    <cellStyle name="Normal 33 3 2 2" xfId="6066"/>
    <cellStyle name="Normal 33 3 2 2 2" xfId="9657"/>
    <cellStyle name="Normal 33 3 2 3" xfId="9656"/>
    <cellStyle name="Normal 33 3 3" xfId="6067"/>
    <cellStyle name="Normal 33 3 3 2" xfId="9658"/>
    <cellStyle name="Normal 33 3 4" xfId="9655"/>
    <cellStyle name="Normal 33 4" xfId="6068"/>
    <cellStyle name="Normal 33 4 2" xfId="6069"/>
    <cellStyle name="Normal 33 4 2 2" xfId="9660"/>
    <cellStyle name="Normal 33 4 3" xfId="9659"/>
    <cellStyle name="Normal 33 5" xfId="6070"/>
    <cellStyle name="Normal 33 5 2" xfId="9661"/>
    <cellStyle name="Normal 33 6" xfId="9650"/>
    <cellStyle name="Normal 34" xfId="6071"/>
    <cellStyle name="Normal 34 2" xfId="6072"/>
    <cellStyle name="Normal 34 2 2" xfId="6073"/>
    <cellStyle name="Normal 34 2 2 2" xfId="6074"/>
    <cellStyle name="Normal 34 2 2 2 2" xfId="9665"/>
    <cellStyle name="Normal 34 2 2 3" xfId="9664"/>
    <cellStyle name="Normal 34 2 3" xfId="6075"/>
    <cellStyle name="Normal 34 2 3 2" xfId="9666"/>
    <cellStyle name="Normal 34 2 4" xfId="9663"/>
    <cellStyle name="Normal 34 3" xfId="6076"/>
    <cellStyle name="Normal 34 3 2" xfId="6077"/>
    <cellStyle name="Normal 34 3 2 2" xfId="6078"/>
    <cellStyle name="Normal 34 3 2 2 2" xfId="9669"/>
    <cellStyle name="Normal 34 3 2 3" xfId="9668"/>
    <cellStyle name="Normal 34 3 3" xfId="6079"/>
    <cellStyle name="Normal 34 3 3 2" xfId="9670"/>
    <cellStyle name="Normal 34 3 4" xfId="9667"/>
    <cellStyle name="Normal 34 4" xfId="6080"/>
    <cellStyle name="Normal 34 4 2" xfId="6081"/>
    <cellStyle name="Normal 34 4 2 2" xfId="9672"/>
    <cellStyle name="Normal 34 4 3" xfId="9671"/>
    <cellStyle name="Normal 34 5" xfId="6082"/>
    <cellStyle name="Normal 34 5 2" xfId="9673"/>
    <cellStyle name="Normal 34 6" xfId="9662"/>
    <cellStyle name="Normal 35" xfId="6083"/>
    <cellStyle name="Normal 35 2" xfId="6084"/>
    <cellStyle name="Normal 35 2 2" xfId="6085"/>
    <cellStyle name="Normal 35 2 2 2" xfId="6086"/>
    <cellStyle name="Normal 35 2 2 2 2" xfId="9677"/>
    <cellStyle name="Normal 35 2 2 3" xfId="9676"/>
    <cellStyle name="Normal 35 2 3" xfId="6087"/>
    <cellStyle name="Normal 35 2 3 2" xfId="9678"/>
    <cellStyle name="Normal 35 2 4" xfId="9675"/>
    <cellStyle name="Normal 35 3" xfId="6088"/>
    <cellStyle name="Normal 35 3 2" xfId="6089"/>
    <cellStyle name="Normal 35 3 2 2" xfId="6090"/>
    <cellStyle name="Normal 35 3 2 2 2" xfId="9681"/>
    <cellStyle name="Normal 35 3 2 3" xfId="9680"/>
    <cellStyle name="Normal 35 3 3" xfId="6091"/>
    <cellStyle name="Normal 35 3 3 2" xfId="9682"/>
    <cellStyle name="Normal 35 3 4" xfId="9679"/>
    <cellStyle name="Normal 35 4" xfId="6092"/>
    <cellStyle name="Normal 35 4 2" xfId="6093"/>
    <cellStyle name="Normal 35 4 2 2" xfId="9684"/>
    <cellStyle name="Normal 35 4 3" xfId="9683"/>
    <cellStyle name="Normal 35 5" xfId="6094"/>
    <cellStyle name="Normal 35 5 2" xfId="9685"/>
    <cellStyle name="Normal 35 6" xfId="9674"/>
    <cellStyle name="Normal 36" xfId="6095"/>
    <cellStyle name="Normal 36 2" xfId="6096"/>
    <cellStyle name="Normal 36 2 2" xfId="9687"/>
    <cellStyle name="Normal 36 3" xfId="6097"/>
    <cellStyle name="Normal 36 3 2" xfId="9688"/>
    <cellStyle name="Normal 36 4" xfId="9686"/>
    <cellStyle name="Normal 37" xfId="6098"/>
    <cellStyle name="Normal 37 2" xfId="6099"/>
    <cellStyle name="Normal 37 2 2" xfId="9690"/>
    <cellStyle name="Normal 37 3" xfId="6100"/>
    <cellStyle name="Normal 37 3 2" xfId="9691"/>
    <cellStyle name="Normal 37 4" xfId="9689"/>
    <cellStyle name="Normal 38" xfId="6101"/>
    <cellStyle name="Normal 38 2" xfId="6102"/>
    <cellStyle name="Normal 38 2 2" xfId="9693"/>
    <cellStyle name="Normal 38 3" xfId="6103"/>
    <cellStyle name="Normal 38 3 2" xfId="9694"/>
    <cellStyle name="Normal 38 4" xfId="9692"/>
    <cellStyle name="Normal 39" xfId="6104"/>
    <cellStyle name="Normal 39 2" xfId="6105"/>
    <cellStyle name="Normal 39 2 2" xfId="9696"/>
    <cellStyle name="Normal 39 3" xfId="6106"/>
    <cellStyle name="Normal 39 3 2" xfId="9697"/>
    <cellStyle name="Normal 39 4" xfId="9695"/>
    <cellStyle name="Normal 4" xfId="6107"/>
    <cellStyle name="Normal 4 10" xfId="6108"/>
    <cellStyle name="Normal 4 10 2" xfId="6109"/>
    <cellStyle name="Normal 4 10 2 2" xfId="6110"/>
    <cellStyle name="Normal 4 10 2 2 2" xfId="9701"/>
    <cellStyle name="Normal 4 10 2 3" xfId="9700"/>
    <cellStyle name="Normal 4 10 3" xfId="6111"/>
    <cellStyle name="Normal 4 10 3 2" xfId="9702"/>
    <cellStyle name="Normal 4 10 4" xfId="9699"/>
    <cellStyle name="Normal 4 11" xfId="6112"/>
    <cellStyle name="Normal 4 11 2" xfId="6113"/>
    <cellStyle name="Normal 4 11 2 2" xfId="6114"/>
    <cellStyle name="Normal 4 11 2 2 2" xfId="9705"/>
    <cellStyle name="Normal 4 11 2 3" xfId="9704"/>
    <cellStyle name="Normal 4 11 3" xfId="6115"/>
    <cellStyle name="Normal 4 11 3 2" xfId="9706"/>
    <cellStyle name="Normal 4 11 4" xfId="9703"/>
    <cellStyle name="Normal 4 12" xfId="6116"/>
    <cellStyle name="Normal 4 12 2" xfId="6117"/>
    <cellStyle name="Normal 4 12 2 2" xfId="6118"/>
    <cellStyle name="Normal 4 12 2 2 2" xfId="9709"/>
    <cellStyle name="Normal 4 12 2 3" xfId="9708"/>
    <cellStyle name="Normal 4 12 3" xfId="6119"/>
    <cellStyle name="Normal 4 12 3 2" xfId="9710"/>
    <cellStyle name="Normal 4 12 4" xfId="9707"/>
    <cellStyle name="Normal 4 13" xfId="6120"/>
    <cellStyle name="Normal 4 13 2" xfId="6121"/>
    <cellStyle name="Normal 4 13 2 2" xfId="6122"/>
    <cellStyle name="Normal 4 13 2 2 2" xfId="9713"/>
    <cellStyle name="Normal 4 13 2 3" xfId="9712"/>
    <cellStyle name="Normal 4 13 3" xfId="6123"/>
    <cellStyle name="Normal 4 13 3 2" xfId="9714"/>
    <cellStyle name="Normal 4 13 4" xfId="9711"/>
    <cellStyle name="Normal 4 14" xfId="6124"/>
    <cellStyle name="Normal 4 14 2" xfId="6125"/>
    <cellStyle name="Normal 4 14 2 2" xfId="6126"/>
    <cellStyle name="Normal 4 14 2 2 2" xfId="9717"/>
    <cellStyle name="Normal 4 14 2 3" xfId="9716"/>
    <cellStyle name="Normal 4 14 3" xfId="6127"/>
    <cellStyle name="Normal 4 14 3 2" xfId="9718"/>
    <cellStyle name="Normal 4 14 4" xfId="9715"/>
    <cellStyle name="Normal 4 15" xfId="6128"/>
    <cellStyle name="Normal 4 15 2" xfId="6129"/>
    <cellStyle name="Normal 4 15 2 2" xfId="6130"/>
    <cellStyle name="Normal 4 15 2 2 2" xfId="9721"/>
    <cellStyle name="Normal 4 15 2 3" xfId="9720"/>
    <cellStyle name="Normal 4 15 3" xfId="6131"/>
    <cellStyle name="Normal 4 15 3 2" xfId="9722"/>
    <cellStyle name="Normal 4 15 4" xfId="9719"/>
    <cellStyle name="Normal 4 16" xfId="6132"/>
    <cellStyle name="Normal 4 16 2" xfId="6133"/>
    <cellStyle name="Normal 4 16 2 2" xfId="6134"/>
    <cellStyle name="Normal 4 16 2 2 2" xfId="9725"/>
    <cellStyle name="Normal 4 16 2 3" xfId="9724"/>
    <cellStyle name="Normal 4 16 3" xfId="6135"/>
    <cellStyle name="Normal 4 16 3 2" xfId="9726"/>
    <cellStyle name="Normal 4 16 4" xfId="9723"/>
    <cellStyle name="Normal 4 17" xfId="6136"/>
    <cellStyle name="Normal 4 17 2" xfId="6137"/>
    <cellStyle name="Normal 4 17 2 2" xfId="6138"/>
    <cellStyle name="Normal 4 17 2 2 2" xfId="9729"/>
    <cellStyle name="Normal 4 17 2 3" xfId="9728"/>
    <cellStyle name="Normal 4 17 3" xfId="6139"/>
    <cellStyle name="Normal 4 17 3 2" xfId="9730"/>
    <cellStyle name="Normal 4 17 4" xfId="9727"/>
    <cellStyle name="Normal 4 18" xfId="6140"/>
    <cellStyle name="Normal 4 18 2" xfId="6141"/>
    <cellStyle name="Normal 4 18 2 2" xfId="6142"/>
    <cellStyle name="Normal 4 18 2 2 2" xfId="9733"/>
    <cellStyle name="Normal 4 18 2 3" xfId="9732"/>
    <cellStyle name="Normal 4 18 3" xfId="6143"/>
    <cellStyle name="Normal 4 18 3 2" xfId="9734"/>
    <cellStyle name="Normal 4 18 4" xfId="9731"/>
    <cellStyle name="Normal 4 19" xfId="6144"/>
    <cellStyle name="Normal 4 19 2" xfId="6145"/>
    <cellStyle name="Normal 4 19 2 2" xfId="6146"/>
    <cellStyle name="Normal 4 19 2 2 2" xfId="9737"/>
    <cellStyle name="Normal 4 19 2 3" xfId="9736"/>
    <cellStyle name="Normal 4 19 3" xfId="6147"/>
    <cellStyle name="Normal 4 19 3 2" xfId="9738"/>
    <cellStyle name="Normal 4 19 4" xfId="9735"/>
    <cellStyle name="Normal 4 2" xfId="6148"/>
    <cellStyle name="Normal 4 2 2" xfId="6149"/>
    <cellStyle name="Normal 4 2 2 2" xfId="6150"/>
    <cellStyle name="Normal 4 2 2 2 2" xfId="6151"/>
    <cellStyle name="Normal 4 2 2 2 2 2" xfId="9742"/>
    <cellStyle name="Normal 4 2 2 2 3" xfId="9741"/>
    <cellStyle name="Normal 4 2 2 3" xfId="6152"/>
    <cellStyle name="Normal 4 2 2 3 2" xfId="9743"/>
    <cellStyle name="Normal 4 2 2 4" xfId="9740"/>
    <cellStyle name="Normal 4 2 3" xfId="6153"/>
    <cellStyle name="Normal 4 2 3 2" xfId="6154"/>
    <cellStyle name="Normal 4 2 3 2 2" xfId="6155"/>
    <cellStyle name="Normal 4 2 3 2 2 2" xfId="9746"/>
    <cellStyle name="Normal 4 2 3 2 3" xfId="9745"/>
    <cellStyle name="Normal 4 2 3 3" xfId="6156"/>
    <cellStyle name="Normal 4 2 3 3 2" xfId="9747"/>
    <cellStyle name="Normal 4 2 3 4" xfId="9744"/>
    <cellStyle name="Normal 4 2 4" xfId="6157"/>
    <cellStyle name="Normal 4 2 4 2" xfId="6158"/>
    <cellStyle name="Normal 4 2 4 2 2" xfId="9749"/>
    <cellStyle name="Normal 4 2 4 3" xfId="9748"/>
    <cellStyle name="Normal 4 2 5" xfId="6159"/>
    <cellStyle name="Normal 4 2 5 2" xfId="9750"/>
    <cellStyle name="Normal 4 2 6" xfId="9739"/>
    <cellStyle name="Normal 4 20" xfId="6160"/>
    <cellStyle name="Normal 4 20 2" xfId="6161"/>
    <cellStyle name="Normal 4 20 2 2" xfId="6162"/>
    <cellStyle name="Normal 4 20 2 2 2" xfId="9753"/>
    <cellStyle name="Normal 4 20 2 3" xfId="9752"/>
    <cellStyle name="Normal 4 20 3" xfId="6163"/>
    <cellStyle name="Normal 4 20 3 2" xfId="9754"/>
    <cellStyle name="Normal 4 20 4" xfId="9751"/>
    <cellStyle name="Normal 4 21" xfId="6164"/>
    <cellStyle name="Normal 4 21 2" xfId="6165"/>
    <cellStyle name="Normal 4 21 2 2" xfId="6166"/>
    <cellStyle name="Normal 4 21 2 2 2" xfId="9757"/>
    <cellStyle name="Normal 4 21 2 3" xfId="9756"/>
    <cellStyle name="Normal 4 21 3" xfId="6167"/>
    <cellStyle name="Normal 4 21 3 2" xfId="9758"/>
    <cellStyle name="Normal 4 21 4" xfId="9755"/>
    <cellStyle name="Normal 4 22" xfId="6168"/>
    <cellStyle name="Normal 4 22 2" xfId="6169"/>
    <cellStyle name="Normal 4 22 2 2" xfId="6170"/>
    <cellStyle name="Normal 4 22 2 2 2" xfId="9761"/>
    <cellStyle name="Normal 4 22 2 3" xfId="9760"/>
    <cellStyle name="Normal 4 22 3" xfId="6171"/>
    <cellStyle name="Normal 4 22 3 2" xfId="9762"/>
    <cellStyle name="Normal 4 22 4" xfId="9759"/>
    <cellStyle name="Normal 4 23" xfId="6172"/>
    <cellStyle name="Normal 4 23 2" xfId="6173"/>
    <cellStyle name="Normal 4 23 2 2" xfId="6174"/>
    <cellStyle name="Normal 4 23 2 2 2" xfId="9765"/>
    <cellStyle name="Normal 4 23 2 3" xfId="9764"/>
    <cellStyle name="Normal 4 23 3" xfId="6175"/>
    <cellStyle name="Normal 4 23 3 2" xfId="9766"/>
    <cellStyle name="Normal 4 23 4" xfId="9763"/>
    <cellStyle name="Normal 4 24" xfId="6176"/>
    <cellStyle name="Normal 4 24 2" xfId="6177"/>
    <cellStyle name="Normal 4 24 2 2" xfId="6178"/>
    <cellStyle name="Normal 4 24 2 2 2" xfId="9769"/>
    <cellStyle name="Normal 4 24 2 3" xfId="9768"/>
    <cellStyle name="Normal 4 24 3" xfId="6179"/>
    <cellStyle name="Normal 4 24 3 2" xfId="9770"/>
    <cellStyle name="Normal 4 24 4" xfId="9767"/>
    <cellStyle name="Normal 4 25" xfId="6180"/>
    <cellStyle name="Normal 4 25 2" xfId="6181"/>
    <cellStyle name="Normal 4 25 2 2" xfId="6182"/>
    <cellStyle name="Normal 4 25 2 2 2" xfId="9773"/>
    <cellStyle name="Normal 4 25 2 3" xfId="9772"/>
    <cellStyle name="Normal 4 25 3" xfId="6183"/>
    <cellStyle name="Normal 4 25 3 2" xfId="9774"/>
    <cellStyle name="Normal 4 25 4" xfId="9771"/>
    <cellStyle name="Normal 4 26" xfId="6184"/>
    <cellStyle name="Normal 4 26 2" xfId="6185"/>
    <cellStyle name="Normal 4 26 2 2" xfId="6186"/>
    <cellStyle name="Normal 4 26 2 2 2" xfId="9777"/>
    <cellStyle name="Normal 4 26 2 3" xfId="9776"/>
    <cellStyle name="Normal 4 26 3" xfId="6187"/>
    <cellStyle name="Normal 4 26 3 2" xfId="9778"/>
    <cellStyle name="Normal 4 26 4" xfId="9775"/>
    <cellStyle name="Normal 4 27" xfId="6188"/>
    <cellStyle name="Normal 4 27 2" xfId="6189"/>
    <cellStyle name="Normal 4 27 2 2" xfId="6190"/>
    <cellStyle name="Normal 4 27 2 2 2" xfId="9781"/>
    <cellStyle name="Normal 4 27 2 3" xfId="9780"/>
    <cellStyle name="Normal 4 27 3" xfId="6191"/>
    <cellStyle name="Normal 4 27 3 2" xfId="9782"/>
    <cellStyle name="Normal 4 27 4" xfId="9779"/>
    <cellStyle name="Normal 4 28" xfId="6192"/>
    <cellStyle name="Normal 4 28 10" xfId="6193"/>
    <cellStyle name="Normal 4 28 10 2" xfId="9784"/>
    <cellStyle name="Normal 4 28 11" xfId="6194"/>
    <cellStyle name="Normal 4 28 11 2" xfId="9785"/>
    <cellStyle name="Normal 4 28 12" xfId="6195"/>
    <cellStyle name="Normal 4 28 12 2" xfId="9786"/>
    <cellStyle name="Normal 4 28 13" xfId="6196"/>
    <cellStyle name="Normal 4 28 13 2" xfId="9787"/>
    <cellStyle name="Normal 4 28 14" xfId="6197"/>
    <cellStyle name="Normal 4 28 14 2" xfId="9788"/>
    <cellStyle name="Normal 4 28 15" xfId="6198"/>
    <cellStyle name="Normal 4 28 15 2" xfId="9789"/>
    <cellStyle name="Normal 4 28 16" xfId="9783"/>
    <cellStyle name="Normal 4 28 2" xfId="6199"/>
    <cellStyle name="Normal 4 28 2 10" xfId="6200"/>
    <cellStyle name="Normal 4 28 2 10 2" xfId="6201"/>
    <cellStyle name="Normal 4 28 2 10 2 2" xfId="9792"/>
    <cellStyle name="Normal 4 28 2 10 3" xfId="9791"/>
    <cellStyle name="Normal 4 28 2 11" xfId="6202"/>
    <cellStyle name="Normal 4 28 2 11 2" xfId="6203"/>
    <cellStyle name="Normal 4 28 2 11 2 2" xfId="9794"/>
    <cellStyle name="Normal 4 28 2 11 3" xfId="9793"/>
    <cellStyle name="Normal 4 28 2 12" xfId="6204"/>
    <cellStyle name="Normal 4 28 2 12 2" xfId="6205"/>
    <cellStyle name="Normal 4 28 2 12 2 2" xfId="9796"/>
    <cellStyle name="Normal 4 28 2 12 3" xfId="9795"/>
    <cellStyle name="Normal 4 28 2 13" xfId="6206"/>
    <cellStyle name="Normal 4 28 2 13 2" xfId="6207"/>
    <cellStyle name="Normal 4 28 2 13 2 2" xfId="9798"/>
    <cellStyle name="Normal 4 28 2 13 3" xfId="9797"/>
    <cellStyle name="Normal 4 28 2 14" xfId="6208"/>
    <cellStyle name="Normal 4 28 2 14 2" xfId="9799"/>
    <cellStyle name="Normal 4 28 2 15" xfId="9790"/>
    <cellStyle name="Normal 4 28 2 2" xfId="6209"/>
    <cellStyle name="Normal 4 28 2 2 10" xfId="6210"/>
    <cellStyle name="Normal 4 28 2 2 10 2" xfId="9801"/>
    <cellStyle name="Normal 4 28 2 2 11" xfId="6211"/>
    <cellStyle name="Normal 4 28 2 2 11 2" xfId="9802"/>
    <cellStyle name="Normal 4 28 2 2 12" xfId="6212"/>
    <cellStyle name="Normal 4 28 2 2 12 2" xfId="9803"/>
    <cellStyle name="Normal 4 28 2 2 13" xfId="6213"/>
    <cellStyle name="Normal 4 28 2 2 13 2" xfId="9804"/>
    <cellStyle name="Normal 4 28 2 2 14" xfId="9800"/>
    <cellStyle name="Normal 4 28 2 2 2" xfId="6214"/>
    <cellStyle name="Normal 4 28 2 2 2 2" xfId="6215"/>
    <cellStyle name="Normal 4 28 2 2 2 2 2" xfId="9806"/>
    <cellStyle name="Normal 4 28 2 2 2 3" xfId="6216"/>
    <cellStyle name="Normal 4 28 2 2 2 3 2" xfId="9807"/>
    <cellStyle name="Normal 4 28 2 2 2 4" xfId="9805"/>
    <cellStyle name="Normal 4 28 2 2 3" xfId="6217"/>
    <cellStyle name="Normal 4 28 2 2 3 2" xfId="9808"/>
    <cellStyle name="Normal 4 28 2 2 4" xfId="6218"/>
    <cellStyle name="Normal 4 28 2 2 4 2" xfId="9809"/>
    <cellStyle name="Normal 4 28 2 2 5" xfId="6219"/>
    <cellStyle name="Normal 4 28 2 2 5 2" xfId="9810"/>
    <cellStyle name="Normal 4 28 2 2 6" xfId="6220"/>
    <cellStyle name="Normal 4 28 2 2 6 2" xfId="9811"/>
    <cellStyle name="Normal 4 28 2 2 7" xfId="6221"/>
    <cellStyle name="Normal 4 28 2 2 7 2" xfId="9812"/>
    <cellStyle name="Normal 4 28 2 2 8" xfId="6222"/>
    <cellStyle name="Normal 4 28 2 2 8 2" xfId="9813"/>
    <cellStyle name="Normal 4 28 2 2 9" xfId="6223"/>
    <cellStyle name="Normal 4 28 2 2 9 2" xfId="9814"/>
    <cellStyle name="Normal 4 28 2 3" xfId="6224"/>
    <cellStyle name="Normal 4 28 2 3 2" xfId="6225"/>
    <cellStyle name="Normal 4 28 2 3 2 2" xfId="6226"/>
    <cellStyle name="Normal 4 28 2 3 2 2 2" xfId="9817"/>
    <cellStyle name="Normal 4 28 2 3 2 3" xfId="9816"/>
    <cellStyle name="Normal 4 28 2 3 3" xfId="9815"/>
    <cellStyle name="Normal 4 28 2 4" xfId="6227"/>
    <cellStyle name="Normal 4 28 2 4 2" xfId="6228"/>
    <cellStyle name="Normal 4 28 2 4 2 2" xfId="9819"/>
    <cellStyle name="Normal 4 28 2 4 3" xfId="9818"/>
    <cellStyle name="Normal 4 28 2 5" xfId="6229"/>
    <cellStyle name="Normal 4 28 2 5 2" xfId="6230"/>
    <cellStyle name="Normal 4 28 2 5 2 2" xfId="9821"/>
    <cellStyle name="Normal 4 28 2 5 3" xfId="9820"/>
    <cellStyle name="Normal 4 28 2 6" xfId="6231"/>
    <cellStyle name="Normal 4 28 2 6 2" xfId="6232"/>
    <cellStyle name="Normal 4 28 2 6 2 2" xfId="9823"/>
    <cellStyle name="Normal 4 28 2 6 3" xfId="9822"/>
    <cellStyle name="Normal 4 28 2 7" xfId="6233"/>
    <cellStyle name="Normal 4 28 2 7 2" xfId="6234"/>
    <cellStyle name="Normal 4 28 2 7 2 2" xfId="9825"/>
    <cellStyle name="Normal 4 28 2 7 3" xfId="9824"/>
    <cellStyle name="Normal 4 28 2 8" xfId="6235"/>
    <cellStyle name="Normal 4 28 2 8 2" xfId="6236"/>
    <cellStyle name="Normal 4 28 2 8 2 2" xfId="9827"/>
    <cellStyle name="Normal 4 28 2 8 3" xfId="9826"/>
    <cellStyle name="Normal 4 28 2 9" xfId="6237"/>
    <cellStyle name="Normal 4 28 2 9 2" xfId="6238"/>
    <cellStyle name="Normal 4 28 2 9 2 2" xfId="9829"/>
    <cellStyle name="Normal 4 28 2 9 3" xfId="9828"/>
    <cellStyle name="Normal 4 28 3" xfId="6239"/>
    <cellStyle name="Normal 4 28 3 2" xfId="9830"/>
    <cellStyle name="Normal 4 28 4" xfId="6240"/>
    <cellStyle name="Normal 4 28 4 2" xfId="6241"/>
    <cellStyle name="Normal 4 28 4 2 2" xfId="9832"/>
    <cellStyle name="Normal 4 28 4 3" xfId="6242"/>
    <cellStyle name="Normal 4 28 4 3 2" xfId="9833"/>
    <cellStyle name="Normal 4 28 4 4" xfId="9831"/>
    <cellStyle name="Normal 4 28 5" xfId="6243"/>
    <cellStyle name="Normal 4 28 5 2" xfId="9834"/>
    <cellStyle name="Normal 4 28 6" xfId="6244"/>
    <cellStyle name="Normal 4 28 6 2" xfId="9835"/>
    <cellStyle name="Normal 4 28 7" xfId="6245"/>
    <cellStyle name="Normal 4 28 7 2" xfId="9836"/>
    <cellStyle name="Normal 4 28 8" xfId="6246"/>
    <cellStyle name="Normal 4 28 8 2" xfId="9837"/>
    <cellStyle name="Normal 4 28 9" xfId="6247"/>
    <cellStyle name="Normal 4 28 9 2" xfId="9838"/>
    <cellStyle name="Normal 4 29" xfId="6248"/>
    <cellStyle name="Normal 4 29 10" xfId="6249"/>
    <cellStyle name="Normal 4 29 10 2" xfId="9840"/>
    <cellStyle name="Normal 4 29 11" xfId="6250"/>
    <cellStyle name="Normal 4 29 11 2" xfId="9841"/>
    <cellStyle name="Normal 4 29 12" xfId="6251"/>
    <cellStyle name="Normal 4 29 12 2" xfId="9842"/>
    <cellStyle name="Normal 4 29 13" xfId="6252"/>
    <cellStyle name="Normal 4 29 13 2" xfId="9843"/>
    <cellStyle name="Normal 4 29 14" xfId="9839"/>
    <cellStyle name="Normal 4 29 2" xfId="6253"/>
    <cellStyle name="Normal 4 29 2 10" xfId="6254"/>
    <cellStyle name="Normal 4 29 2 10 2" xfId="6255"/>
    <cellStyle name="Normal 4 29 2 10 2 2" xfId="9846"/>
    <cellStyle name="Normal 4 29 2 10 3" xfId="9845"/>
    <cellStyle name="Normal 4 29 2 11" xfId="6256"/>
    <cellStyle name="Normal 4 29 2 11 2" xfId="6257"/>
    <cellStyle name="Normal 4 29 2 11 2 2" xfId="9848"/>
    <cellStyle name="Normal 4 29 2 11 3" xfId="9847"/>
    <cellStyle name="Normal 4 29 2 12" xfId="6258"/>
    <cellStyle name="Normal 4 29 2 12 2" xfId="6259"/>
    <cellStyle name="Normal 4 29 2 12 2 2" xfId="9850"/>
    <cellStyle name="Normal 4 29 2 12 3" xfId="9849"/>
    <cellStyle name="Normal 4 29 2 13" xfId="6260"/>
    <cellStyle name="Normal 4 29 2 13 2" xfId="6261"/>
    <cellStyle name="Normal 4 29 2 13 2 2" xfId="9852"/>
    <cellStyle name="Normal 4 29 2 13 3" xfId="9851"/>
    <cellStyle name="Normal 4 29 2 14" xfId="6262"/>
    <cellStyle name="Normal 4 29 2 14 2" xfId="9853"/>
    <cellStyle name="Normal 4 29 2 15" xfId="9844"/>
    <cellStyle name="Normal 4 29 2 2" xfId="6263"/>
    <cellStyle name="Normal 4 29 2 2 2" xfId="6264"/>
    <cellStyle name="Normal 4 29 2 2 2 2" xfId="6265"/>
    <cellStyle name="Normal 4 29 2 2 2 2 2" xfId="9856"/>
    <cellStyle name="Normal 4 29 2 2 2 3" xfId="9855"/>
    <cellStyle name="Normal 4 29 2 2 3" xfId="9854"/>
    <cellStyle name="Normal 4 29 2 3" xfId="6266"/>
    <cellStyle name="Normal 4 29 2 3 2" xfId="6267"/>
    <cellStyle name="Normal 4 29 2 3 2 2" xfId="9858"/>
    <cellStyle name="Normal 4 29 2 3 3" xfId="9857"/>
    <cellStyle name="Normal 4 29 2 4" xfId="6268"/>
    <cellStyle name="Normal 4 29 2 4 2" xfId="6269"/>
    <cellStyle name="Normal 4 29 2 4 2 2" xfId="9860"/>
    <cellStyle name="Normal 4 29 2 4 3" xfId="9859"/>
    <cellStyle name="Normal 4 29 2 5" xfId="6270"/>
    <cellStyle name="Normal 4 29 2 5 2" xfId="6271"/>
    <cellStyle name="Normal 4 29 2 5 2 2" xfId="9862"/>
    <cellStyle name="Normal 4 29 2 5 3" xfId="9861"/>
    <cellStyle name="Normal 4 29 2 6" xfId="6272"/>
    <cellStyle name="Normal 4 29 2 6 2" xfId="6273"/>
    <cellStyle name="Normal 4 29 2 6 2 2" xfId="9864"/>
    <cellStyle name="Normal 4 29 2 6 3" xfId="9863"/>
    <cellStyle name="Normal 4 29 2 7" xfId="6274"/>
    <cellStyle name="Normal 4 29 2 7 2" xfId="6275"/>
    <cellStyle name="Normal 4 29 2 7 2 2" xfId="9866"/>
    <cellStyle name="Normal 4 29 2 7 3" xfId="9865"/>
    <cellStyle name="Normal 4 29 2 8" xfId="6276"/>
    <cellStyle name="Normal 4 29 2 8 2" xfId="6277"/>
    <cellStyle name="Normal 4 29 2 8 2 2" xfId="9868"/>
    <cellStyle name="Normal 4 29 2 8 3" xfId="9867"/>
    <cellStyle name="Normal 4 29 2 9" xfId="6278"/>
    <cellStyle name="Normal 4 29 2 9 2" xfId="6279"/>
    <cellStyle name="Normal 4 29 2 9 2 2" xfId="9870"/>
    <cellStyle name="Normal 4 29 2 9 3" xfId="9869"/>
    <cellStyle name="Normal 4 29 3" xfId="6280"/>
    <cellStyle name="Normal 4 29 3 2" xfId="6281"/>
    <cellStyle name="Normal 4 29 3 2 2" xfId="9872"/>
    <cellStyle name="Normal 4 29 3 3" xfId="6282"/>
    <cellStyle name="Normal 4 29 3 3 2" xfId="9873"/>
    <cellStyle name="Normal 4 29 3 4" xfId="9871"/>
    <cellStyle name="Normal 4 29 4" xfId="6283"/>
    <cellStyle name="Normal 4 29 4 2" xfId="9874"/>
    <cellStyle name="Normal 4 29 5" xfId="6284"/>
    <cellStyle name="Normal 4 29 5 2" xfId="9875"/>
    <cellStyle name="Normal 4 29 6" xfId="6285"/>
    <cellStyle name="Normal 4 29 6 2" xfId="9876"/>
    <cellStyle name="Normal 4 29 7" xfId="6286"/>
    <cellStyle name="Normal 4 29 7 2" xfId="9877"/>
    <cellStyle name="Normal 4 29 8" xfId="6287"/>
    <cellStyle name="Normal 4 29 8 2" xfId="9878"/>
    <cellStyle name="Normal 4 29 9" xfId="6288"/>
    <cellStyle name="Normal 4 29 9 2" xfId="9879"/>
    <cellStyle name="Normal 4 3" xfId="6289"/>
    <cellStyle name="Normal 4 3 2" xfId="6290"/>
    <cellStyle name="Normal 4 3 2 2" xfId="6291"/>
    <cellStyle name="Normal 4 3 2 2 2" xfId="6292"/>
    <cellStyle name="Normal 4 3 2 2 2 2" xfId="9883"/>
    <cellStyle name="Normal 4 3 2 2 3" xfId="9882"/>
    <cellStyle name="Normal 4 3 2 3" xfId="6293"/>
    <cellStyle name="Normal 4 3 2 3 2" xfId="9884"/>
    <cellStyle name="Normal 4 3 2 4" xfId="9881"/>
    <cellStyle name="Normal 4 3 3" xfId="6294"/>
    <cellStyle name="Normal 4 3 3 2" xfId="6295"/>
    <cellStyle name="Normal 4 3 3 2 2" xfId="6296"/>
    <cellStyle name="Normal 4 3 3 2 2 2" xfId="9887"/>
    <cellStyle name="Normal 4 3 3 2 3" xfId="9886"/>
    <cellStyle name="Normal 4 3 3 3" xfId="6297"/>
    <cellStyle name="Normal 4 3 3 3 2" xfId="9888"/>
    <cellStyle name="Normal 4 3 3 4" xfId="9885"/>
    <cellStyle name="Normal 4 3 4" xfId="6298"/>
    <cellStyle name="Normal 4 3 4 2" xfId="6299"/>
    <cellStyle name="Normal 4 3 4 2 2" xfId="9890"/>
    <cellStyle name="Normal 4 3 4 3" xfId="9889"/>
    <cellStyle name="Normal 4 3 5" xfId="6300"/>
    <cellStyle name="Normal 4 3 5 2" xfId="9891"/>
    <cellStyle name="Normal 4 3 6" xfId="9880"/>
    <cellStyle name="Normal 4 30" xfId="6301"/>
    <cellStyle name="Normal 4 30 2" xfId="6302"/>
    <cellStyle name="Normal 4 30 2 2" xfId="6303"/>
    <cellStyle name="Normal 4 30 2 2 2" xfId="9894"/>
    <cellStyle name="Normal 4 30 2 3" xfId="9893"/>
    <cellStyle name="Normal 4 30 3" xfId="6304"/>
    <cellStyle name="Normal 4 30 3 2" xfId="9895"/>
    <cellStyle name="Normal 4 30 4" xfId="9892"/>
    <cellStyle name="Normal 4 31" xfId="6305"/>
    <cellStyle name="Normal 4 31 2" xfId="6306"/>
    <cellStyle name="Normal 4 31 2 2" xfId="6307"/>
    <cellStyle name="Normal 4 31 2 2 2" xfId="9898"/>
    <cellStyle name="Normal 4 31 2 3" xfId="9897"/>
    <cellStyle name="Normal 4 31 3" xfId="6308"/>
    <cellStyle name="Normal 4 31 3 2" xfId="9899"/>
    <cellStyle name="Normal 4 31 4" xfId="9896"/>
    <cellStyle name="Normal 4 32" xfId="6309"/>
    <cellStyle name="Normal 4 32 2" xfId="6310"/>
    <cellStyle name="Normal 4 32 2 2" xfId="6311"/>
    <cellStyle name="Normal 4 32 2 2 2" xfId="9902"/>
    <cellStyle name="Normal 4 32 2 3" xfId="9901"/>
    <cellStyle name="Normal 4 32 3" xfId="6312"/>
    <cellStyle name="Normal 4 32 3 2" xfId="9903"/>
    <cellStyle name="Normal 4 32 4" xfId="9900"/>
    <cellStyle name="Normal 4 33" xfId="6313"/>
    <cellStyle name="Normal 4 33 2" xfId="6314"/>
    <cellStyle name="Normal 4 33 2 2" xfId="6315"/>
    <cellStyle name="Normal 4 33 2 2 2" xfId="9906"/>
    <cellStyle name="Normal 4 33 2 3" xfId="9905"/>
    <cellStyle name="Normal 4 33 3" xfId="6316"/>
    <cellStyle name="Normal 4 33 3 2" xfId="9907"/>
    <cellStyle name="Normal 4 33 4" xfId="9904"/>
    <cellStyle name="Normal 4 34" xfId="6317"/>
    <cellStyle name="Normal 4 34 2" xfId="6318"/>
    <cellStyle name="Normal 4 34 2 2" xfId="6319"/>
    <cellStyle name="Normal 4 34 2 2 2" xfId="9910"/>
    <cellStyle name="Normal 4 34 2 3" xfId="9909"/>
    <cellStyle name="Normal 4 34 3" xfId="6320"/>
    <cellStyle name="Normal 4 34 3 2" xfId="9911"/>
    <cellStyle name="Normal 4 34 4" xfId="9908"/>
    <cellStyle name="Normal 4 35" xfId="6321"/>
    <cellStyle name="Normal 4 35 2" xfId="6322"/>
    <cellStyle name="Normal 4 35 2 2" xfId="6323"/>
    <cellStyle name="Normal 4 35 2 2 2" xfId="9914"/>
    <cellStyle name="Normal 4 35 2 3" xfId="9913"/>
    <cellStyle name="Normal 4 35 3" xfId="6324"/>
    <cellStyle name="Normal 4 35 3 2" xfId="9915"/>
    <cellStyle name="Normal 4 35 4" xfId="9912"/>
    <cellStyle name="Normal 4 36" xfId="6325"/>
    <cellStyle name="Normal 4 36 2" xfId="6326"/>
    <cellStyle name="Normal 4 36 2 2" xfId="6327"/>
    <cellStyle name="Normal 4 36 2 2 2" xfId="9918"/>
    <cellStyle name="Normal 4 36 2 3" xfId="9917"/>
    <cellStyle name="Normal 4 36 3" xfId="6328"/>
    <cellStyle name="Normal 4 36 3 2" xfId="9919"/>
    <cellStyle name="Normal 4 36 4" xfId="9916"/>
    <cellStyle name="Normal 4 37" xfId="6329"/>
    <cellStyle name="Normal 4 37 2" xfId="6330"/>
    <cellStyle name="Normal 4 37 2 2" xfId="6331"/>
    <cellStyle name="Normal 4 37 2 2 2" xfId="9922"/>
    <cellStyle name="Normal 4 37 2 3" xfId="9921"/>
    <cellStyle name="Normal 4 37 3" xfId="6332"/>
    <cellStyle name="Normal 4 37 3 2" xfId="9923"/>
    <cellStyle name="Normal 4 37 4" xfId="9920"/>
    <cellStyle name="Normal 4 38" xfId="6333"/>
    <cellStyle name="Normal 4 38 2" xfId="6334"/>
    <cellStyle name="Normal 4 38 2 2" xfId="6335"/>
    <cellStyle name="Normal 4 38 2 2 2" xfId="9926"/>
    <cellStyle name="Normal 4 38 2 3" xfId="9925"/>
    <cellStyle name="Normal 4 38 3" xfId="6336"/>
    <cellStyle name="Normal 4 38 3 2" xfId="9927"/>
    <cellStyle name="Normal 4 38 4" xfId="9924"/>
    <cellStyle name="Normal 4 39" xfId="6337"/>
    <cellStyle name="Normal 4 39 2" xfId="6338"/>
    <cellStyle name="Normal 4 39 2 2" xfId="6339"/>
    <cellStyle name="Normal 4 39 2 2 2" xfId="9930"/>
    <cellStyle name="Normal 4 39 2 3" xfId="9929"/>
    <cellStyle name="Normal 4 39 3" xfId="6340"/>
    <cellStyle name="Normal 4 39 3 2" xfId="9931"/>
    <cellStyle name="Normal 4 39 4" xfId="9928"/>
    <cellStyle name="Normal 4 4" xfId="6341"/>
    <cellStyle name="Normal 4 4 2" xfId="6342"/>
    <cellStyle name="Normal 4 4 2 2" xfId="6343"/>
    <cellStyle name="Normal 4 4 2 2 2" xfId="6344"/>
    <cellStyle name="Normal 4 4 2 2 2 2" xfId="9935"/>
    <cellStyle name="Normal 4 4 2 2 3" xfId="9934"/>
    <cellStyle name="Normal 4 4 2 3" xfId="6345"/>
    <cellStyle name="Normal 4 4 2 3 2" xfId="9936"/>
    <cellStyle name="Normal 4 4 2 4" xfId="9933"/>
    <cellStyle name="Normal 4 4 3" xfId="6346"/>
    <cellStyle name="Normal 4 4 3 2" xfId="6347"/>
    <cellStyle name="Normal 4 4 3 2 2" xfId="6348"/>
    <cellStyle name="Normal 4 4 3 2 2 2" xfId="9939"/>
    <cellStyle name="Normal 4 4 3 2 3" xfId="9938"/>
    <cellStyle name="Normal 4 4 3 3" xfId="6349"/>
    <cellStyle name="Normal 4 4 3 3 2" xfId="9940"/>
    <cellStyle name="Normal 4 4 3 4" xfId="9937"/>
    <cellStyle name="Normal 4 4 4" xfId="6350"/>
    <cellStyle name="Normal 4 4 4 2" xfId="6351"/>
    <cellStyle name="Normal 4 4 4 2 2" xfId="9942"/>
    <cellStyle name="Normal 4 4 4 3" xfId="9941"/>
    <cellStyle name="Normal 4 4 5" xfId="6352"/>
    <cellStyle name="Normal 4 4 5 2" xfId="9943"/>
    <cellStyle name="Normal 4 4 6" xfId="9932"/>
    <cellStyle name="Normal 4 40" xfId="6353"/>
    <cellStyle name="Normal 4 40 2" xfId="6354"/>
    <cellStyle name="Normal 4 40 2 2" xfId="6355"/>
    <cellStyle name="Normal 4 40 2 2 2" xfId="9946"/>
    <cellStyle name="Normal 4 40 2 3" xfId="9945"/>
    <cellStyle name="Normal 4 40 3" xfId="6356"/>
    <cellStyle name="Normal 4 40 3 2" xfId="9947"/>
    <cellStyle name="Normal 4 40 4" xfId="9944"/>
    <cellStyle name="Normal 4 41" xfId="6357"/>
    <cellStyle name="Normal 4 41 2" xfId="6358"/>
    <cellStyle name="Normal 4 41 2 2" xfId="6359"/>
    <cellStyle name="Normal 4 41 2 2 2" xfId="9950"/>
    <cellStyle name="Normal 4 41 2 3" xfId="9949"/>
    <cellStyle name="Normal 4 41 3" xfId="6360"/>
    <cellStyle name="Normal 4 41 3 2" xfId="9951"/>
    <cellStyle name="Normal 4 41 4" xfId="9948"/>
    <cellStyle name="Normal 4 42" xfId="6361"/>
    <cellStyle name="Normal 4 42 2" xfId="6362"/>
    <cellStyle name="Normal 4 42 2 2" xfId="6363"/>
    <cellStyle name="Normal 4 42 2 2 2" xfId="9954"/>
    <cellStyle name="Normal 4 42 2 3" xfId="9953"/>
    <cellStyle name="Normal 4 42 3" xfId="6364"/>
    <cellStyle name="Normal 4 42 3 2" xfId="9955"/>
    <cellStyle name="Normal 4 42 4" xfId="9952"/>
    <cellStyle name="Normal 4 43" xfId="6365"/>
    <cellStyle name="Normal 4 43 2" xfId="6366"/>
    <cellStyle name="Normal 4 43 2 2" xfId="6367"/>
    <cellStyle name="Normal 4 43 2 2 2" xfId="9958"/>
    <cellStyle name="Normal 4 43 2 3" xfId="9957"/>
    <cellStyle name="Normal 4 43 3" xfId="6368"/>
    <cellStyle name="Normal 4 43 3 2" xfId="9959"/>
    <cellStyle name="Normal 4 43 4" xfId="9956"/>
    <cellStyle name="Normal 4 44" xfId="6369"/>
    <cellStyle name="Normal 4 44 2" xfId="6370"/>
    <cellStyle name="Normal 4 44 2 2" xfId="6371"/>
    <cellStyle name="Normal 4 44 2 2 2" xfId="9962"/>
    <cellStyle name="Normal 4 44 2 3" xfId="9961"/>
    <cellStyle name="Normal 4 44 3" xfId="6372"/>
    <cellStyle name="Normal 4 44 3 2" xfId="9963"/>
    <cellStyle name="Normal 4 44 4" xfId="9960"/>
    <cellStyle name="Normal 4 45" xfId="6373"/>
    <cellStyle name="Normal 4 45 2" xfId="9964"/>
    <cellStyle name="Normal 4 46" xfId="6374"/>
    <cellStyle name="Normal 4 46 2" xfId="9965"/>
    <cellStyle name="Normal 4 47" xfId="9698"/>
    <cellStyle name="Normal 4 48" xfId="11257"/>
    <cellStyle name="Normal 4 5" xfId="6375"/>
    <cellStyle name="Normal 4 5 2" xfId="6376"/>
    <cellStyle name="Normal 4 5 2 2" xfId="6377"/>
    <cellStyle name="Normal 4 5 2 2 2" xfId="6378"/>
    <cellStyle name="Normal 4 5 2 2 2 2" xfId="9969"/>
    <cellStyle name="Normal 4 5 2 2 3" xfId="9968"/>
    <cellStyle name="Normal 4 5 2 3" xfId="6379"/>
    <cellStyle name="Normal 4 5 2 3 2" xfId="9970"/>
    <cellStyle name="Normal 4 5 2 4" xfId="9967"/>
    <cellStyle name="Normal 4 5 3" xfId="6380"/>
    <cellStyle name="Normal 4 5 3 2" xfId="6381"/>
    <cellStyle name="Normal 4 5 3 2 2" xfId="6382"/>
    <cellStyle name="Normal 4 5 3 2 2 2" xfId="9973"/>
    <cellStyle name="Normal 4 5 3 2 3" xfId="9972"/>
    <cellStyle name="Normal 4 5 3 3" xfId="6383"/>
    <cellStyle name="Normal 4 5 3 3 2" xfId="9974"/>
    <cellStyle name="Normal 4 5 3 4" xfId="9971"/>
    <cellStyle name="Normal 4 5 4" xfId="6384"/>
    <cellStyle name="Normal 4 5 4 2" xfId="6385"/>
    <cellStyle name="Normal 4 5 4 2 2" xfId="9976"/>
    <cellStyle name="Normal 4 5 4 3" xfId="9975"/>
    <cellStyle name="Normal 4 5 5" xfId="6386"/>
    <cellStyle name="Normal 4 5 5 2" xfId="9977"/>
    <cellStyle name="Normal 4 5 6" xfId="9966"/>
    <cellStyle name="Normal 4 6" xfId="6387"/>
    <cellStyle name="Normal 4 6 2" xfId="6388"/>
    <cellStyle name="Normal 4 6 2 2" xfId="6389"/>
    <cellStyle name="Normal 4 6 2 2 2" xfId="6390"/>
    <cellStyle name="Normal 4 6 2 2 2 2" xfId="9981"/>
    <cellStyle name="Normal 4 6 2 2 3" xfId="9980"/>
    <cellStyle name="Normal 4 6 2 3" xfId="6391"/>
    <cellStyle name="Normal 4 6 2 3 2" xfId="9982"/>
    <cellStyle name="Normal 4 6 2 4" xfId="9979"/>
    <cellStyle name="Normal 4 6 3" xfId="6392"/>
    <cellStyle name="Normal 4 6 3 2" xfId="6393"/>
    <cellStyle name="Normal 4 6 3 2 2" xfId="6394"/>
    <cellStyle name="Normal 4 6 3 2 2 2" xfId="9985"/>
    <cellStyle name="Normal 4 6 3 2 3" xfId="9984"/>
    <cellStyle name="Normal 4 6 3 3" xfId="6395"/>
    <cellStyle name="Normal 4 6 3 3 2" xfId="9986"/>
    <cellStyle name="Normal 4 6 3 4" xfId="9983"/>
    <cellStyle name="Normal 4 6 4" xfId="6396"/>
    <cellStyle name="Normal 4 6 4 2" xfId="6397"/>
    <cellStyle name="Normal 4 6 4 2 2" xfId="9988"/>
    <cellStyle name="Normal 4 6 4 3" xfId="9987"/>
    <cellStyle name="Normal 4 6 5" xfId="6398"/>
    <cellStyle name="Normal 4 6 5 2" xfId="9989"/>
    <cellStyle name="Normal 4 6 6" xfId="9978"/>
    <cellStyle name="Normal 4 7" xfId="6399"/>
    <cellStyle name="Normal 4 7 2" xfId="6400"/>
    <cellStyle name="Normal 4 7 2 2" xfId="6401"/>
    <cellStyle name="Normal 4 7 2 2 2" xfId="6402"/>
    <cellStyle name="Normal 4 7 2 2 2 2" xfId="9993"/>
    <cellStyle name="Normal 4 7 2 2 3" xfId="9992"/>
    <cellStyle name="Normal 4 7 2 3" xfId="6403"/>
    <cellStyle name="Normal 4 7 2 3 2" xfId="9994"/>
    <cellStyle name="Normal 4 7 2 4" xfId="9991"/>
    <cellStyle name="Normal 4 7 3" xfId="6404"/>
    <cellStyle name="Normal 4 7 3 2" xfId="6405"/>
    <cellStyle name="Normal 4 7 3 2 2" xfId="6406"/>
    <cellStyle name="Normal 4 7 3 2 2 2" xfId="9997"/>
    <cellStyle name="Normal 4 7 3 2 3" xfId="9996"/>
    <cellStyle name="Normal 4 7 3 3" xfId="6407"/>
    <cellStyle name="Normal 4 7 3 3 2" xfId="9998"/>
    <cellStyle name="Normal 4 7 3 4" xfId="9995"/>
    <cellStyle name="Normal 4 7 4" xfId="6408"/>
    <cellStyle name="Normal 4 7 4 2" xfId="6409"/>
    <cellStyle name="Normal 4 7 4 2 2" xfId="10000"/>
    <cellStyle name="Normal 4 7 4 3" xfId="9999"/>
    <cellStyle name="Normal 4 7 5" xfId="6410"/>
    <cellStyle name="Normal 4 7 5 2" xfId="10001"/>
    <cellStyle name="Normal 4 7 6" xfId="9990"/>
    <cellStyle name="Normal 4 8" xfId="6411"/>
    <cellStyle name="Normal 4 8 2" xfId="6412"/>
    <cellStyle name="Normal 4 8 2 2" xfId="6413"/>
    <cellStyle name="Normal 4 8 2 2 2" xfId="6414"/>
    <cellStyle name="Normal 4 8 2 2 2 2" xfId="10005"/>
    <cellStyle name="Normal 4 8 2 2 3" xfId="10004"/>
    <cellStyle name="Normal 4 8 2 3" xfId="6415"/>
    <cellStyle name="Normal 4 8 2 3 2" xfId="10006"/>
    <cellStyle name="Normal 4 8 2 4" xfId="10003"/>
    <cellStyle name="Normal 4 8 3" xfId="6416"/>
    <cellStyle name="Normal 4 8 3 2" xfId="6417"/>
    <cellStyle name="Normal 4 8 3 2 2" xfId="6418"/>
    <cellStyle name="Normal 4 8 3 2 2 2" xfId="10009"/>
    <cellStyle name="Normal 4 8 3 2 3" xfId="10008"/>
    <cellStyle name="Normal 4 8 3 3" xfId="6419"/>
    <cellStyle name="Normal 4 8 3 3 2" xfId="10010"/>
    <cellStyle name="Normal 4 8 3 4" xfId="10007"/>
    <cellStyle name="Normal 4 8 4" xfId="6420"/>
    <cellStyle name="Normal 4 8 4 2" xfId="6421"/>
    <cellStyle name="Normal 4 8 4 2 2" xfId="10012"/>
    <cellStyle name="Normal 4 8 4 3" xfId="10011"/>
    <cellStyle name="Normal 4 8 5" xfId="6422"/>
    <cellStyle name="Normal 4 8 5 2" xfId="10013"/>
    <cellStyle name="Normal 4 8 6" xfId="10002"/>
    <cellStyle name="Normal 4 9" xfId="6423"/>
    <cellStyle name="Normal 4 9 2" xfId="6424"/>
    <cellStyle name="Normal 4 9 2 2" xfId="6425"/>
    <cellStyle name="Normal 4 9 2 2 2" xfId="6426"/>
    <cellStyle name="Normal 4 9 2 2 2 2" xfId="10017"/>
    <cellStyle name="Normal 4 9 2 2 3" xfId="10016"/>
    <cellStyle name="Normal 4 9 2 3" xfId="6427"/>
    <cellStyle name="Normal 4 9 2 3 2" xfId="10018"/>
    <cellStyle name="Normal 4 9 2 4" xfId="10015"/>
    <cellStyle name="Normal 4 9 3" xfId="6428"/>
    <cellStyle name="Normal 4 9 3 2" xfId="6429"/>
    <cellStyle name="Normal 4 9 3 2 2" xfId="6430"/>
    <cellStyle name="Normal 4 9 3 2 2 2" xfId="10021"/>
    <cellStyle name="Normal 4 9 3 2 3" xfId="10020"/>
    <cellStyle name="Normal 4 9 3 3" xfId="6431"/>
    <cellStyle name="Normal 4 9 3 3 2" xfId="10022"/>
    <cellStyle name="Normal 4 9 3 4" xfId="10019"/>
    <cellStyle name="Normal 4 9 4" xfId="6432"/>
    <cellStyle name="Normal 4 9 4 2" xfId="6433"/>
    <cellStyle name="Normal 4 9 4 2 2" xfId="10024"/>
    <cellStyle name="Normal 4 9 4 3" xfId="10023"/>
    <cellStyle name="Normal 4 9 5" xfId="6434"/>
    <cellStyle name="Normal 4 9 5 2" xfId="10025"/>
    <cellStyle name="Normal 4 9 6" xfId="10014"/>
    <cellStyle name="Normal 40" xfId="6435"/>
    <cellStyle name="Normal 40 2" xfId="6436"/>
    <cellStyle name="Normal 40 2 2" xfId="6437"/>
    <cellStyle name="Normal 40 2 2 2" xfId="6438"/>
    <cellStyle name="Normal 40 2 2 2 2" xfId="10029"/>
    <cellStyle name="Normal 40 2 2 3" xfId="10028"/>
    <cellStyle name="Normal 40 2 3" xfId="6439"/>
    <cellStyle name="Normal 40 2 3 2" xfId="10030"/>
    <cellStyle name="Normal 40 2 4" xfId="10027"/>
    <cellStyle name="Normal 40 3" xfId="6440"/>
    <cellStyle name="Normal 40 3 2" xfId="6441"/>
    <cellStyle name="Normal 40 3 2 2" xfId="6442"/>
    <cellStyle name="Normal 40 3 2 2 2" xfId="10033"/>
    <cellStyle name="Normal 40 3 2 3" xfId="10032"/>
    <cellStyle name="Normal 40 3 3" xfId="6443"/>
    <cellStyle name="Normal 40 3 3 2" xfId="10034"/>
    <cellStyle name="Normal 40 3 4" xfId="10031"/>
    <cellStyle name="Normal 40 4" xfId="6444"/>
    <cellStyle name="Normal 40 4 2" xfId="6445"/>
    <cellStyle name="Normal 40 4 2 2" xfId="10036"/>
    <cellStyle name="Normal 40 4 3" xfId="10035"/>
    <cellStyle name="Normal 40 5" xfId="6446"/>
    <cellStyle name="Normal 40 5 2" xfId="10037"/>
    <cellStyle name="Normal 40 6" xfId="10026"/>
    <cellStyle name="Normal 41" xfId="6447"/>
    <cellStyle name="Normal 41 2" xfId="6448"/>
    <cellStyle name="Normal 41 2 2" xfId="6449"/>
    <cellStyle name="Normal 41 2 2 2" xfId="6450"/>
    <cellStyle name="Normal 41 2 2 2 2" xfId="10041"/>
    <cellStyle name="Normal 41 2 2 3" xfId="10040"/>
    <cellStyle name="Normal 41 2 3" xfId="6451"/>
    <cellStyle name="Normal 41 2 3 2" xfId="10042"/>
    <cellStyle name="Normal 41 2 4" xfId="10039"/>
    <cellStyle name="Normal 41 3" xfId="6452"/>
    <cellStyle name="Normal 41 3 2" xfId="6453"/>
    <cellStyle name="Normal 41 3 2 2" xfId="6454"/>
    <cellStyle name="Normal 41 3 2 2 2" xfId="10045"/>
    <cellStyle name="Normal 41 3 2 3" xfId="10044"/>
    <cellStyle name="Normal 41 3 3" xfId="6455"/>
    <cellStyle name="Normal 41 3 3 2" xfId="10046"/>
    <cellStyle name="Normal 41 3 4" xfId="10043"/>
    <cellStyle name="Normal 41 4" xfId="6456"/>
    <cellStyle name="Normal 41 4 2" xfId="6457"/>
    <cellStyle name="Normal 41 4 2 2" xfId="10048"/>
    <cellStyle name="Normal 41 4 3" xfId="10047"/>
    <cellStyle name="Normal 41 5" xfId="6458"/>
    <cellStyle name="Normal 41 5 2" xfId="10049"/>
    <cellStyle name="Normal 41 6" xfId="10038"/>
    <cellStyle name="Normal 42" xfId="6459"/>
    <cellStyle name="Normal 42 2" xfId="6460"/>
    <cellStyle name="Normal 42 2 2" xfId="6461"/>
    <cellStyle name="Normal 42 2 2 2" xfId="6462"/>
    <cellStyle name="Normal 42 2 2 2 2" xfId="10053"/>
    <cellStyle name="Normal 42 2 2 3" xfId="10052"/>
    <cellStyle name="Normal 42 2 3" xfId="6463"/>
    <cellStyle name="Normal 42 2 3 2" xfId="10054"/>
    <cellStyle name="Normal 42 2 4" xfId="10051"/>
    <cellStyle name="Normal 42 3" xfId="6464"/>
    <cellStyle name="Normal 42 3 2" xfId="6465"/>
    <cellStyle name="Normal 42 3 2 2" xfId="6466"/>
    <cellStyle name="Normal 42 3 2 2 2" xfId="10057"/>
    <cellStyle name="Normal 42 3 2 3" xfId="10056"/>
    <cellStyle name="Normal 42 3 3" xfId="6467"/>
    <cellStyle name="Normal 42 3 3 2" xfId="10058"/>
    <cellStyle name="Normal 42 3 4" xfId="10055"/>
    <cellStyle name="Normal 42 4" xfId="6468"/>
    <cellStyle name="Normal 42 4 2" xfId="6469"/>
    <cellStyle name="Normal 42 4 2 2" xfId="10060"/>
    <cellStyle name="Normal 42 4 3" xfId="10059"/>
    <cellStyle name="Normal 42 5" xfId="6470"/>
    <cellStyle name="Normal 42 5 2" xfId="10061"/>
    <cellStyle name="Normal 42 6" xfId="10050"/>
    <cellStyle name="Normal 43" xfId="6471"/>
    <cellStyle name="Normal 43 2" xfId="6472"/>
    <cellStyle name="Normal 43 2 2" xfId="10063"/>
    <cellStyle name="Normal 43 3" xfId="6473"/>
    <cellStyle name="Normal 43 3 2" xfId="10064"/>
    <cellStyle name="Normal 43 4" xfId="10062"/>
    <cellStyle name="Normal 44" xfId="6474"/>
    <cellStyle name="Normal 44 2" xfId="6475"/>
    <cellStyle name="Normal 44 2 2" xfId="10066"/>
    <cellStyle name="Normal 44 3" xfId="6476"/>
    <cellStyle name="Normal 44 3 2" xfId="10067"/>
    <cellStyle name="Normal 44 4" xfId="10065"/>
    <cellStyle name="Normal 45" xfId="6477"/>
    <cellStyle name="Normal 45 2" xfId="6478"/>
    <cellStyle name="Normal 45 2 2" xfId="10069"/>
    <cellStyle name="Normal 45 3" xfId="6479"/>
    <cellStyle name="Normal 45 3 2" xfId="10070"/>
    <cellStyle name="Normal 45 4" xfId="10068"/>
    <cellStyle name="Normal 46" xfId="6480"/>
    <cellStyle name="Normal 46 2" xfId="6481"/>
    <cellStyle name="Normal 46 2 2" xfId="10072"/>
    <cellStyle name="Normal 46 3" xfId="6482"/>
    <cellStyle name="Normal 46 3 2" xfId="10073"/>
    <cellStyle name="Normal 46 4" xfId="10071"/>
    <cellStyle name="Normal 47" xfId="6483"/>
    <cellStyle name="Normal 47 2" xfId="6484"/>
    <cellStyle name="Normal 47 2 2" xfId="6485"/>
    <cellStyle name="Normal 47 2 2 2" xfId="6486"/>
    <cellStyle name="Normal 47 2 2 2 2" xfId="10077"/>
    <cellStyle name="Normal 47 2 2 3" xfId="10076"/>
    <cellStyle name="Normal 47 2 3" xfId="6487"/>
    <cellStyle name="Normal 47 2 3 2" xfId="10078"/>
    <cellStyle name="Normal 47 2 4" xfId="10075"/>
    <cellStyle name="Normal 47 3" xfId="6488"/>
    <cellStyle name="Normal 47 3 2" xfId="6489"/>
    <cellStyle name="Normal 47 3 2 2" xfId="6490"/>
    <cellStyle name="Normal 47 3 2 2 2" xfId="10081"/>
    <cellStyle name="Normal 47 3 2 3" xfId="10080"/>
    <cellStyle name="Normal 47 3 3" xfId="6491"/>
    <cellStyle name="Normal 47 3 3 2" xfId="10082"/>
    <cellStyle name="Normal 47 3 4" xfId="10079"/>
    <cellStyle name="Normal 47 4" xfId="6492"/>
    <cellStyle name="Normal 47 4 2" xfId="6493"/>
    <cellStyle name="Normal 47 4 2 2" xfId="10084"/>
    <cellStyle name="Normal 47 4 3" xfId="10083"/>
    <cellStyle name="Normal 47 5" xfId="6494"/>
    <cellStyle name="Normal 47 5 2" xfId="10085"/>
    <cellStyle name="Normal 47 6" xfId="10074"/>
    <cellStyle name="Normal 48" xfId="6495"/>
    <cellStyle name="Normal 48 2" xfId="6496"/>
    <cellStyle name="Normal 48 2 2" xfId="6497"/>
    <cellStyle name="Normal 48 2 2 2" xfId="6498"/>
    <cellStyle name="Normal 48 2 2 2 2" xfId="10089"/>
    <cellStyle name="Normal 48 2 2 3" xfId="10088"/>
    <cellStyle name="Normal 48 2 3" xfId="6499"/>
    <cellStyle name="Normal 48 2 3 2" xfId="10090"/>
    <cellStyle name="Normal 48 2 4" xfId="10087"/>
    <cellStyle name="Normal 48 3" xfId="6500"/>
    <cellStyle name="Normal 48 3 2" xfId="6501"/>
    <cellStyle name="Normal 48 3 2 2" xfId="6502"/>
    <cellStyle name="Normal 48 3 2 2 2" xfId="10093"/>
    <cellStyle name="Normal 48 3 2 3" xfId="10092"/>
    <cellStyle name="Normal 48 3 3" xfId="6503"/>
    <cellStyle name="Normal 48 3 3 2" xfId="10094"/>
    <cellStyle name="Normal 48 3 4" xfId="10091"/>
    <cellStyle name="Normal 48 4" xfId="6504"/>
    <cellStyle name="Normal 48 4 2" xfId="6505"/>
    <cellStyle name="Normal 48 4 2 2" xfId="10096"/>
    <cellStyle name="Normal 48 4 3" xfId="10095"/>
    <cellStyle name="Normal 48 5" xfId="6506"/>
    <cellStyle name="Normal 48 5 2" xfId="10097"/>
    <cellStyle name="Normal 48 6" xfId="10086"/>
    <cellStyle name="Normal 49" xfId="6507"/>
    <cellStyle name="Normal 49 2" xfId="6508"/>
    <cellStyle name="Normal 49 2 2" xfId="6509"/>
    <cellStyle name="Normal 49 2 2 2" xfId="6510"/>
    <cellStyle name="Normal 49 2 2 2 2" xfId="10101"/>
    <cellStyle name="Normal 49 2 2 3" xfId="10100"/>
    <cellStyle name="Normal 49 2 3" xfId="6511"/>
    <cellStyle name="Normal 49 2 3 2" xfId="10102"/>
    <cellStyle name="Normal 49 2 4" xfId="10099"/>
    <cellStyle name="Normal 49 3" xfId="6512"/>
    <cellStyle name="Normal 49 3 2" xfId="6513"/>
    <cellStyle name="Normal 49 3 2 2" xfId="6514"/>
    <cellStyle name="Normal 49 3 2 2 2" xfId="10105"/>
    <cellStyle name="Normal 49 3 2 3" xfId="10104"/>
    <cellStyle name="Normal 49 3 3" xfId="6515"/>
    <cellStyle name="Normal 49 3 3 2" xfId="10106"/>
    <cellStyle name="Normal 49 3 4" xfId="10103"/>
    <cellStyle name="Normal 49 4" xfId="6516"/>
    <cellStyle name="Normal 49 4 2" xfId="6517"/>
    <cellStyle name="Normal 49 4 2 2" xfId="10108"/>
    <cellStyle name="Normal 49 4 3" xfId="10107"/>
    <cellStyle name="Normal 49 5" xfId="6518"/>
    <cellStyle name="Normal 49 5 2" xfId="10109"/>
    <cellStyle name="Normal 49 6" xfId="10098"/>
    <cellStyle name="Normal 5" xfId="6519"/>
    <cellStyle name="Normal 5 2" xfId="6520"/>
    <cellStyle name="Normal 5 2 2" xfId="6521"/>
    <cellStyle name="Normal 5 2 2 2" xfId="6522"/>
    <cellStyle name="Normal 5 2 2 2 2" xfId="10113"/>
    <cellStyle name="Normal 5 2 2 3" xfId="10112"/>
    <cellStyle name="Normal 5 2 3" xfId="6523"/>
    <cellStyle name="Normal 5 2 3 2" xfId="10114"/>
    <cellStyle name="Normal 5 2 4" xfId="10111"/>
    <cellStyle name="Normal 5 3" xfId="6524"/>
    <cellStyle name="Normal 5 3 2" xfId="6525"/>
    <cellStyle name="Normal 5 3 2 2" xfId="6526"/>
    <cellStyle name="Normal 5 3 2 2 2" xfId="10117"/>
    <cellStyle name="Normal 5 3 2 3" xfId="10116"/>
    <cellStyle name="Normal 5 3 3" xfId="6527"/>
    <cellStyle name="Normal 5 3 3 2" xfId="10118"/>
    <cellStyle name="Normal 5 3 4" xfId="10115"/>
    <cellStyle name="Normal 5 4" xfId="6528"/>
    <cellStyle name="Normal 5 4 2" xfId="6529"/>
    <cellStyle name="Normal 5 4 2 2" xfId="10120"/>
    <cellStyle name="Normal 5 4 3" xfId="10119"/>
    <cellStyle name="Normal 5 5" xfId="6530"/>
    <cellStyle name="Normal 5 5 2" xfId="10121"/>
    <cellStyle name="Normal 5 6" xfId="10110"/>
    <cellStyle name="Normal 50" xfId="6531"/>
    <cellStyle name="Normal 50 2" xfId="6532"/>
    <cellStyle name="Normal 50 2 2" xfId="10123"/>
    <cellStyle name="Normal 50 3" xfId="6533"/>
    <cellStyle name="Normal 50 3 2" xfId="10124"/>
    <cellStyle name="Normal 50 4" xfId="10122"/>
    <cellStyle name="Normal 51" xfId="6534"/>
    <cellStyle name="Normal 51 2" xfId="6535"/>
    <cellStyle name="Normal 51 2 2" xfId="10126"/>
    <cellStyle name="Normal 51 3" xfId="6536"/>
    <cellStyle name="Normal 51 3 2" xfId="10127"/>
    <cellStyle name="Normal 51 4" xfId="10125"/>
    <cellStyle name="Normal 52" xfId="6537"/>
    <cellStyle name="Normal 52 2" xfId="6538"/>
    <cellStyle name="Normal 52 2 2" xfId="10129"/>
    <cellStyle name="Normal 52 3" xfId="6539"/>
    <cellStyle name="Normal 52 3 2" xfId="10130"/>
    <cellStyle name="Normal 52 4" xfId="10128"/>
    <cellStyle name="Normal 53" xfId="6540"/>
    <cellStyle name="Normal 53 2" xfId="6541"/>
    <cellStyle name="Normal 53 2 2" xfId="10132"/>
    <cellStyle name="Normal 53 3" xfId="6542"/>
    <cellStyle name="Normal 53 3 2" xfId="10133"/>
    <cellStyle name="Normal 53 4" xfId="10131"/>
    <cellStyle name="Normal 54" xfId="6543"/>
    <cellStyle name="Normal 54 10" xfId="6544"/>
    <cellStyle name="Normal 54 10 2" xfId="6545"/>
    <cellStyle name="Normal 54 10 2 2" xfId="10136"/>
    <cellStyle name="Normal 54 10 3" xfId="10135"/>
    <cellStyle name="Normal 54 11" xfId="6546"/>
    <cellStyle name="Normal 54 11 2" xfId="6547"/>
    <cellStyle name="Normal 54 11 2 2" xfId="10138"/>
    <cellStyle name="Normal 54 11 3" xfId="10137"/>
    <cellStyle name="Normal 54 12" xfId="6548"/>
    <cellStyle name="Normal 54 12 2" xfId="6549"/>
    <cellStyle name="Normal 54 12 2 2" xfId="10140"/>
    <cellStyle name="Normal 54 12 3" xfId="10139"/>
    <cellStyle name="Normal 54 13" xfId="6550"/>
    <cellStyle name="Normal 54 13 2" xfId="6551"/>
    <cellStyle name="Normal 54 13 2 2" xfId="10142"/>
    <cellStyle name="Normal 54 13 3" xfId="10141"/>
    <cellStyle name="Normal 54 14" xfId="6552"/>
    <cellStyle name="Normal 54 14 2" xfId="6553"/>
    <cellStyle name="Normal 54 14 2 2" xfId="10144"/>
    <cellStyle name="Normal 54 14 3" xfId="10143"/>
    <cellStyle name="Normal 54 15" xfId="6554"/>
    <cellStyle name="Normal 54 15 2" xfId="10145"/>
    <cellStyle name="Normal 54 16" xfId="10134"/>
    <cellStyle name="Normal 54 2" xfId="6555"/>
    <cellStyle name="Normal 54 2 2" xfId="6556"/>
    <cellStyle name="Normal 54 2 2 2" xfId="6557"/>
    <cellStyle name="Normal 54 2 2 2 2" xfId="10148"/>
    <cellStyle name="Normal 54 2 2 3" xfId="10147"/>
    <cellStyle name="Normal 54 2 3" xfId="6558"/>
    <cellStyle name="Normal 54 2 3 2" xfId="10149"/>
    <cellStyle name="Normal 54 2 4" xfId="10146"/>
    <cellStyle name="Normal 54 3" xfId="6559"/>
    <cellStyle name="Normal 54 3 2" xfId="6560"/>
    <cellStyle name="Normal 54 3 2 2" xfId="6561"/>
    <cellStyle name="Normal 54 3 2 2 2" xfId="10152"/>
    <cellStyle name="Normal 54 3 2 3" xfId="10151"/>
    <cellStyle name="Normal 54 3 3" xfId="6562"/>
    <cellStyle name="Normal 54 3 3 2" xfId="10153"/>
    <cellStyle name="Normal 54 3 4" xfId="10150"/>
    <cellStyle name="Normal 54 4" xfId="6563"/>
    <cellStyle name="Normal 54 4 2" xfId="6564"/>
    <cellStyle name="Normal 54 4 2 2" xfId="10155"/>
    <cellStyle name="Normal 54 4 3" xfId="10154"/>
    <cellStyle name="Normal 54 5" xfId="6565"/>
    <cellStyle name="Normal 54 5 2" xfId="6566"/>
    <cellStyle name="Normal 54 5 2 2" xfId="10157"/>
    <cellStyle name="Normal 54 5 3" xfId="10156"/>
    <cellStyle name="Normal 54 6" xfId="6567"/>
    <cellStyle name="Normal 54 6 2" xfId="6568"/>
    <cellStyle name="Normal 54 6 2 2" xfId="10159"/>
    <cellStyle name="Normal 54 6 3" xfId="10158"/>
    <cellStyle name="Normal 54 7" xfId="6569"/>
    <cellStyle name="Normal 54 7 2" xfId="6570"/>
    <cellStyle name="Normal 54 7 2 2" xfId="10161"/>
    <cellStyle name="Normal 54 7 3" xfId="10160"/>
    <cellStyle name="Normal 54 8" xfId="6571"/>
    <cellStyle name="Normal 54 8 2" xfId="6572"/>
    <cellStyle name="Normal 54 8 2 2" xfId="10163"/>
    <cellStyle name="Normal 54 8 3" xfId="10162"/>
    <cellStyle name="Normal 54 9" xfId="6573"/>
    <cellStyle name="Normal 54 9 2" xfId="6574"/>
    <cellStyle name="Normal 54 9 2 2" xfId="10165"/>
    <cellStyle name="Normal 54 9 3" xfId="10164"/>
    <cellStyle name="Normal 55" xfId="6575"/>
    <cellStyle name="Normal 55 10" xfId="6576"/>
    <cellStyle name="Normal 55 10 2" xfId="6577"/>
    <cellStyle name="Normal 55 10 2 2" xfId="10168"/>
    <cellStyle name="Normal 55 10 3" xfId="10167"/>
    <cellStyle name="Normal 55 11" xfId="6578"/>
    <cellStyle name="Normal 55 11 2" xfId="6579"/>
    <cellStyle name="Normal 55 11 2 2" xfId="10170"/>
    <cellStyle name="Normal 55 11 3" xfId="10169"/>
    <cellStyle name="Normal 55 12" xfId="6580"/>
    <cellStyle name="Normal 55 12 2" xfId="6581"/>
    <cellStyle name="Normal 55 12 2 2" xfId="10172"/>
    <cellStyle name="Normal 55 12 3" xfId="10171"/>
    <cellStyle name="Normal 55 13" xfId="6582"/>
    <cellStyle name="Normal 55 13 2" xfId="10173"/>
    <cellStyle name="Normal 55 14" xfId="10166"/>
    <cellStyle name="Normal 55 2" xfId="6583"/>
    <cellStyle name="Normal 55 2 2" xfId="6584"/>
    <cellStyle name="Normal 55 2 2 2" xfId="10175"/>
    <cellStyle name="Normal 55 2 3" xfId="10174"/>
    <cellStyle name="Normal 55 3" xfId="6585"/>
    <cellStyle name="Normal 55 3 2" xfId="6586"/>
    <cellStyle name="Normal 55 3 2 2" xfId="10177"/>
    <cellStyle name="Normal 55 3 3" xfId="10176"/>
    <cellStyle name="Normal 55 4" xfId="6587"/>
    <cellStyle name="Normal 55 4 2" xfId="6588"/>
    <cellStyle name="Normal 55 4 2 2" xfId="10179"/>
    <cellStyle name="Normal 55 4 3" xfId="10178"/>
    <cellStyle name="Normal 55 5" xfId="6589"/>
    <cellStyle name="Normal 55 5 2" xfId="6590"/>
    <cellStyle name="Normal 55 5 2 2" xfId="10181"/>
    <cellStyle name="Normal 55 5 3" xfId="10180"/>
    <cellStyle name="Normal 55 6" xfId="6591"/>
    <cellStyle name="Normal 55 6 2" xfId="6592"/>
    <cellStyle name="Normal 55 6 2 2" xfId="10183"/>
    <cellStyle name="Normal 55 6 3" xfId="10182"/>
    <cellStyle name="Normal 55 7" xfId="6593"/>
    <cellStyle name="Normal 55 7 2" xfId="6594"/>
    <cellStyle name="Normal 55 7 2 2" xfId="10185"/>
    <cellStyle name="Normal 55 7 3" xfId="10184"/>
    <cellStyle name="Normal 55 8" xfId="6595"/>
    <cellStyle name="Normal 55 8 2" xfId="6596"/>
    <cellStyle name="Normal 55 8 2 2" xfId="10187"/>
    <cellStyle name="Normal 55 8 3" xfId="10186"/>
    <cellStyle name="Normal 55 9" xfId="6597"/>
    <cellStyle name="Normal 55 9 2" xfId="6598"/>
    <cellStyle name="Normal 55 9 2 2" xfId="10189"/>
    <cellStyle name="Normal 55 9 3" xfId="10188"/>
    <cellStyle name="Normal 56" xfId="6599"/>
    <cellStyle name="Normal 56 10" xfId="6600"/>
    <cellStyle name="Normal 56 10 2" xfId="10191"/>
    <cellStyle name="Normal 56 11" xfId="10190"/>
    <cellStyle name="Normal 56 2" xfId="6601"/>
    <cellStyle name="Normal 56 2 2" xfId="6602"/>
    <cellStyle name="Normal 56 2 2 2" xfId="10193"/>
    <cellStyle name="Normal 56 2 3" xfId="10192"/>
    <cellStyle name="Normal 56 3" xfId="6603"/>
    <cellStyle name="Normal 56 3 2" xfId="6604"/>
    <cellStyle name="Normal 56 3 2 2" xfId="10195"/>
    <cellStyle name="Normal 56 3 3" xfId="10194"/>
    <cellStyle name="Normal 56 4" xfId="6605"/>
    <cellStyle name="Normal 56 4 2" xfId="6606"/>
    <cellStyle name="Normal 56 4 2 2" xfId="10197"/>
    <cellStyle name="Normal 56 4 3" xfId="10196"/>
    <cellStyle name="Normal 56 5" xfId="6607"/>
    <cellStyle name="Normal 56 5 2" xfId="6608"/>
    <cellStyle name="Normal 56 5 2 2" xfId="10199"/>
    <cellStyle name="Normal 56 5 3" xfId="10198"/>
    <cellStyle name="Normal 56 6" xfId="6609"/>
    <cellStyle name="Normal 56 6 2" xfId="6610"/>
    <cellStyle name="Normal 56 6 2 2" xfId="10201"/>
    <cellStyle name="Normal 56 6 3" xfId="10200"/>
    <cellStyle name="Normal 56 7" xfId="6611"/>
    <cellStyle name="Normal 56 7 2" xfId="6612"/>
    <cellStyle name="Normal 56 7 2 2" xfId="10203"/>
    <cellStyle name="Normal 56 7 3" xfId="10202"/>
    <cellStyle name="Normal 56 8" xfId="6613"/>
    <cellStyle name="Normal 56 8 2" xfId="6614"/>
    <cellStyle name="Normal 56 8 2 2" xfId="10205"/>
    <cellStyle name="Normal 56 8 3" xfId="10204"/>
    <cellStyle name="Normal 56 9" xfId="6615"/>
    <cellStyle name="Normal 56 9 2" xfId="6616"/>
    <cellStyle name="Normal 56 9 2 2" xfId="10207"/>
    <cellStyle name="Normal 56 9 3" xfId="10206"/>
    <cellStyle name="Normal 57" xfId="6617"/>
    <cellStyle name="Normal 57 10" xfId="6618"/>
    <cellStyle name="Normal 57 10 2" xfId="10209"/>
    <cellStyle name="Normal 57 11" xfId="10208"/>
    <cellStyle name="Normal 57 2" xfId="6619"/>
    <cellStyle name="Normal 57 2 2" xfId="6620"/>
    <cellStyle name="Normal 57 2 2 2" xfId="10211"/>
    <cellStyle name="Normal 57 2 3" xfId="10210"/>
    <cellStyle name="Normal 57 3" xfId="6621"/>
    <cellStyle name="Normal 57 3 2" xfId="6622"/>
    <cellStyle name="Normal 57 3 2 2" xfId="10213"/>
    <cellStyle name="Normal 57 3 3" xfId="10212"/>
    <cellStyle name="Normal 57 4" xfId="6623"/>
    <cellStyle name="Normal 57 4 2" xfId="6624"/>
    <cellStyle name="Normal 57 4 2 2" xfId="10215"/>
    <cellStyle name="Normal 57 4 3" xfId="10214"/>
    <cellStyle name="Normal 57 5" xfId="6625"/>
    <cellStyle name="Normal 57 5 2" xfId="6626"/>
    <cellStyle name="Normal 57 5 2 2" xfId="10217"/>
    <cellStyle name="Normal 57 5 3" xfId="10216"/>
    <cellStyle name="Normal 57 6" xfId="6627"/>
    <cellStyle name="Normal 57 6 2" xfId="6628"/>
    <cellStyle name="Normal 57 6 2 2" xfId="10219"/>
    <cellStyle name="Normal 57 6 3" xfId="10218"/>
    <cellStyle name="Normal 57 7" xfId="6629"/>
    <cellStyle name="Normal 57 7 2" xfId="6630"/>
    <cellStyle name="Normal 57 7 2 2" xfId="10221"/>
    <cellStyle name="Normal 57 7 3" xfId="10220"/>
    <cellStyle name="Normal 57 8" xfId="6631"/>
    <cellStyle name="Normal 57 8 2" xfId="6632"/>
    <cellStyle name="Normal 57 8 2 2" xfId="10223"/>
    <cellStyle name="Normal 57 8 3" xfId="10222"/>
    <cellStyle name="Normal 57 9" xfId="6633"/>
    <cellStyle name="Normal 57 9 2" xfId="6634"/>
    <cellStyle name="Normal 57 9 2 2" xfId="10225"/>
    <cellStyle name="Normal 57 9 3" xfId="10224"/>
    <cellStyle name="Normal 58" xfId="6635"/>
    <cellStyle name="Normal 58 2" xfId="6636"/>
    <cellStyle name="Normal 58 2 2" xfId="6637"/>
    <cellStyle name="Normal 58 2 2 2" xfId="10228"/>
    <cellStyle name="Normal 58 2 3" xfId="10227"/>
    <cellStyle name="Normal 58 3" xfId="6638"/>
    <cellStyle name="Normal 58 3 2" xfId="10229"/>
    <cellStyle name="Normal 58 4" xfId="10226"/>
    <cellStyle name="Normal 59" xfId="6639"/>
    <cellStyle name="Normal 59 2" xfId="6640"/>
    <cellStyle name="Normal 59 2 2" xfId="10231"/>
    <cellStyle name="Normal 59 3" xfId="6641"/>
    <cellStyle name="Normal 59 3 2" xfId="10232"/>
    <cellStyle name="Normal 59 4" xfId="6642"/>
    <cellStyle name="Normal 59 4 2" xfId="10233"/>
    <cellStyle name="Normal 59 5" xfId="6643"/>
    <cellStyle name="Normal 59 5 2" xfId="10234"/>
    <cellStyle name="Normal 59 6" xfId="6644"/>
    <cellStyle name="Normal 59 6 2" xfId="10235"/>
    <cellStyle name="Normal 59 7" xfId="6645"/>
    <cellStyle name="Normal 59 7 2" xfId="10236"/>
    <cellStyle name="Normal 59 8" xfId="6646"/>
    <cellStyle name="Normal 59 8 2" xfId="10237"/>
    <cellStyle name="Normal 59 9" xfId="10230"/>
    <cellStyle name="Normal 6" xfId="6647"/>
    <cellStyle name="Normal 6 10" xfId="6648"/>
    <cellStyle name="Normal 6 10 2" xfId="6649"/>
    <cellStyle name="Normal 6 10 2 2" xfId="10240"/>
    <cellStyle name="Normal 6 10 3" xfId="10239"/>
    <cellStyle name="Normal 6 11" xfId="6650"/>
    <cellStyle name="Normal 6 11 2" xfId="6651"/>
    <cellStyle name="Normal 6 11 2 2" xfId="10242"/>
    <cellStyle name="Normal 6 11 3" xfId="10241"/>
    <cellStyle name="Normal 6 12" xfId="6652"/>
    <cellStyle name="Normal 6 12 2" xfId="6653"/>
    <cellStyle name="Normal 6 12 2 2" xfId="10244"/>
    <cellStyle name="Normal 6 12 3" xfId="10243"/>
    <cellStyle name="Normal 6 13" xfId="6654"/>
    <cellStyle name="Normal 6 13 2" xfId="6655"/>
    <cellStyle name="Normal 6 13 2 2" xfId="10246"/>
    <cellStyle name="Normal 6 13 3" xfId="10245"/>
    <cellStyle name="Normal 6 14" xfId="6656"/>
    <cellStyle name="Normal 6 14 2" xfId="6657"/>
    <cellStyle name="Normal 6 14 2 2" xfId="10248"/>
    <cellStyle name="Normal 6 14 3" xfId="10247"/>
    <cellStyle name="Normal 6 15" xfId="6658"/>
    <cellStyle name="Normal 6 15 2" xfId="6659"/>
    <cellStyle name="Normal 6 15 2 2" xfId="10250"/>
    <cellStyle name="Normal 6 15 3" xfId="10249"/>
    <cellStyle name="Normal 6 16" xfId="6660"/>
    <cellStyle name="Normal 6 16 2" xfId="6661"/>
    <cellStyle name="Normal 6 16 2 2" xfId="10252"/>
    <cellStyle name="Normal 6 16 3" xfId="10251"/>
    <cellStyle name="Normal 6 17" xfId="6662"/>
    <cellStyle name="Normal 6 17 2" xfId="10253"/>
    <cellStyle name="Normal 6 18" xfId="10238"/>
    <cellStyle name="Normal 6 19" xfId="11258"/>
    <cellStyle name="Normal 6 2" xfId="6663"/>
    <cellStyle name="Normal 6 2 10" xfId="6664"/>
    <cellStyle name="Normal 6 2 10 2" xfId="10255"/>
    <cellStyle name="Normal 6 2 11" xfId="6665"/>
    <cellStyle name="Normal 6 2 11 2" xfId="10256"/>
    <cellStyle name="Normal 6 2 12" xfId="6666"/>
    <cellStyle name="Normal 6 2 12 2" xfId="10257"/>
    <cellStyle name="Normal 6 2 13" xfId="6667"/>
    <cellStyle name="Normal 6 2 13 2" xfId="10258"/>
    <cellStyle name="Normal 6 2 14" xfId="6668"/>
    <cellStyle name="Normal 6 2 14 2" xfId="10259"/>
    <cellStyle name="Normal 6 2 15" xfId="6669"/>
    <cellStyle name="Normal 6 2 15 2" xfId="10260"/>
    <cellStyle name="Normal 6 2 16" xfId="10254"/>
    <cellStyle name="Normal 6 2 2" xfId="6670"/>
    <cellStyle name="Normal 6 2 2 10" xfId="6671"/>
    <cellStyle name="Normal 6 2 2 10 2" xfId="6672"/>
    <cellStyle name="Normal 6 2 2 10 2 2" xfId="10263"/>
    <cellStyle name="Normal 6 2 2 10 3" xfId="10262"/>
    <cellStyle name="Normal 6 2 2 11" xfId="6673"/>
    <cellStyle name="Normal 6 2 2 11 2" xfId="6674"/>
    <cellStyle name="Normal 6 2 2 11 2 2" xfId="10265"/>
    <cellStyle name="Normal 6 2 2 11 3" xfId="10264"/>
    <cellStyle name="Normal 6 2 2 12" xfId="6675"/>
    <cellStyle name="Normal 6 2 2 12 2" xfId="6676"/>
    <cellStyle name="Normal 6 2 2 12 2 2" xfId="10267"/>
    <cellStyle name="Normal 6 2 2 12 3" xfId="10266"/>
    <cellStyle name="Normal 6 2 2 13" xfId="6677"/>
    <cellStyle name="Normal 6 2 2 13 2" xfId="6678"/>
    <cellStyle name="Normal 6 2 2 13 2 2" xfId="10269"/>
    <cellStyle name="Normal 6 2 2 13 3" xfId="10268"/>
    <cellStyle name="Normal 6 2 2 14" xfId="6679"/>
    <cellStyle name="Normal 6 2 2 14 2" xfId="6680"/>
    <cellStyle name="Normal 6 2 2 14 2 2" xfId="10271"/>
    <cellStyle name="Normal 6 2 2 14 3" xfId="10270"/>
    <cellStyle name="Normal 6 2 2 15" xfId="6681"/>
    <cellStyle name="Normal 6 2 2 15 2" xfId="6682"/>
    <cellStyle name="Normal 6 2 2 15 2 2" xfId="10273"/>
    <cellStyle name="Normal 6 2 2 15 3" xfId="10272"/>
    <cellStyle name="Normal 6 2 2 16" xfId="6683"/>
    <cellStyle name="Normal 6 2 2 16 2" xfId="10274"/>
    <cellStyle name="Normal 6 2 2 17" xfId="10261"/>
    <cellStyle name="Normal 6 2 2 2" xfId="6684"/>
    <cellStyle name="Normal 6 2 2 2 10" xfId="6685"/>
    <cellStyle name="Normal 6 2 2 2 10 2" xfId="10276"/>
    <cellStyle name="Normal 6 2 2 2 11" xfId="6686"/>
    <cellStyle name="Normal 6 2 2 2 11 2" xfId="10277"/>
    <cellStyle name="Normal 6 2 2 2 12" xfId="6687"/>
    <cellStyle name="Normal 6 2 2 2 12 2" xfId="10278"/>
    <cellStyle name="Normal 6 2 2 2 13" xfId="6688"/>
    <cellStyle name="Normal 6 2 2 2 13 2" xfId="10279"/>
    <cellStyle name="Normal 6 2 2 2 14" xfId="10275"/>
    <cellStyle name="Normal 6 2 2 2 2" xfId="6689"/>
    <cellStyle name="Normal 6 2 2 2 2 10" xfId="6690"/>
    <cellStyle name="Normal 6 2 2 2 2 10 2" xfId="6691"/>
    <cellStyle name="Normal 6 2 2 2 2 10 2 2" xfId="10282"/>
    <cellStyle name="Normal 6 2 2 2 2 10 3" xfId="10281"/>
    <cellStyle name="Normal 6 2 2 2 2 11" xfId="6692"/>
    <cellStyle name="Normal 6 2 2 2 2 11 2" xfId="6693"/>
    <cellStyle name="Normal 6 2 2 2 2 11 2 2" xfId="10284"/>
    <cellStyle name="Normal 6 2 2 2 2 11 3" xfId="10283"/>
    <cellStyle name="Normal 6 2 2 2 2 12" xfId="6694"/>
    <cellStyle name="Normal 6 2 2 2 2 12 2" xfId="6695"/>
    <cellStyle name="Normal 6 2 2 2 2 12 2 2" xfId="10286"/>
    <cellStyle name="Normal 6 2 2 2 2 12 3" xfId="10285"/>
    <cellStyle name="Normal 6 2 2 2 2 13" xfId="6696"/>
    <cellStyle name="Normal 6 2 2 2 2 13 2" xfId="6697"/>
    <cellStyle name="Normal 6 2 2 2 2 13 2 2" xfId="10288"/>
    <cellStyle name="Normal 6 2 2 2 2 13 3" xfId="10287"/>
    <cellStyle name="Normal 6 2 2 2 2 14" xfId="6698"/>
    <cellStyle name="Normal 6 2 2 2 2 14 2" xfId="10289"/>
    <cellStyle name="Normal 6 2 2 2 2 15" xfId="10280"/>
    <cellStyle name="Normal 6 2 2 2 2 2" xfId="6699"/>
    <cellStyle name="Normal 6 2 2 2 2 2 2" xfId="6700"/>
    <cellStyle name="Normal 6 2 2 2 2 2 2 2" xfId="6701"/>
    <cellStyle name="Normal 6 2 2 2 2 2 2 2 2" xfId="10292"/>
    <cellStyle name="Normal 6 2 2 2 2 2 2 3" xfId="10291"/>
    <cellStyle name="Normal 6 2 2 2 2 2 3" xfId="10290"/>
    <cellStyle name="Normal 6 2 2 2 2 3" xfId="6702"/>
    <cellStyle name="Normal 6 2 2 2 2 3 2" xfId="6703"/>
    <cellStyle name="Normal 6 2 2 2 2 3 2 2" xfId="10294"/>
    <cellStyle name="Normal 6 2 2 2 2 3 3" xfId="10293"/>
    <cellStyle name="Normal 6 2 2 2 2 4" xfId="6704"/>
    <cellStyle name="Normal 6 2 2 2 2 4 2" xfId="6705"/>
    <cellStyle name="Normal 6 2 2 2 2 4 2 2" xfId="10296"/>
    <cellStyle name="Normal 6 2 2 2 2 4 3" xfId="10295"/>
    <cellStyle name="Normal 6 2 2 2 2 5" xfId="6706"/>
    <cellStyle name="Normal 6 2 2 2 2 5 2" xfId="6707"/>
    <cellStyle name="Normal 6 2 2 2 2 5 2 2" xfId="10298"/>
    <cellStyle name="Normal 6 2 2 2 2 5 3" xfId="10297"/>
    <cellStyle name="Normal 6 2 2 2 2 6" xfId="6708"/>
    <cellStyle name="Normal 6 2 2 2 2 6 2" xfId="6709"/>
    <cellStyle name="Normal 6 2 2 2 2 6 2 2" xfId="10300"/>
    <cellStyle name="Normal 6 2 2 2 2 6 3" xfId="10299"/>
    <cellStyle name="Normal 6 2 2 2 2 7" xfId="6710"/>
    <cellStyle name="Normal 6 2 2 2 2 7 2" xfId="6711"/>
    <cellStyle name="Normal 6 2 2 2 2 7 2 2" xfId="10302"/>
    <cellStyle name="Normal 6 2 2 2 2 7 3" xfId="10301"/>
    <cellStyle name="Normal 6 2 2 2 2 8" xfId="6712"/>
    <cellStyle name="Normal 6 2 2 2 2 8 2" xfId="6713"/>
    <cellStyle name="Normal 6 2 2 2 2 8 2 2" xfId="10304"/>
    <cellStyle name="Normal 6 2 2 2 2 8 3" xfId="10303"/>
    <cellStyle name="Normal 6 2 2 2 2 9" xfId="6714"/>
    <cellStyle name="Normal 6 2 2 2 2 9 2" xfId="6715"/>
    <cellStyle name="Normal 6 2 2 2 2 9 2 2" xfId="10306"/>
    <cellStyle name="Normal 6 2 2 2 2 9 3" xfId="10305"/>
    <cellStyle name="Normal 6 2 2 2 3" xfId="6716"/>
    <cellStyle name="Normal 6 2 2 2 3 2" xfId="6717"/>
    <cellStyle name="Normal 6 2 2 2 3 2 2" xfId="10308"/>
    <cellStyle name="Normal 6 2 2 2 3 3" xfId="6718"/>
    <cellStyle name="Normal 6 2 2 2 3 3 2" xfId="10309"/>
    <cellStyle name="Normal 6 2 2 2 3 4" xfId="10307"/>
    <cellStyle name="Normal 6 2 2 2 4" xfId="6719"/>
    <cellStyle name="Normal 6 2 2 2 4 2" xfId="10310"/>
    <cellStyle name="Normal 6 2 2 2 5" xfId="6720"/>
    <cellStyle name="Normal 6 2 2 2 5 2" xfId="10311"/>
    <cellStyle name="Normal 6 2 2 2 6" xfId="6721"/>
    <cellStyle name="Normal 6 2 2 2 6 2" xfId="10312"/>
    <cellStyle name="Normal 6 2 2 2 7" xfId="6722"/>
    <cellStyle name="Normal 6 2 2 2 7 2" xfId="10313"/>
    <cellStyle name="Normal 6 2 2 2 8" xfId="6723"/>
    <cellStyle name="Normal 6 2 2 2 8 2" xfId="10314"/>
    <cellStyle name="Normal 6 2 2 2 9" xfId="6724"/>
    <cellStyle name="Normal 6 2 2 2 9 2" xfId="10315"/>
    <cellStyle name="Normal 6 2 2 3" xfId="6725"/>
    <cellStyle name="Normal 6 2 2 3 2" xfId="6726"/>
    <cellStyle name="Normal 6 2 2 3 2 2" xfId="6727"/>
    <cellStyle name="Normal 6 2 2 3 2 2 2" xfId="10318"/>
    <cellStyle name="Normal 6 2 2 3 2 3" xfId="10317"/>
    <cellStyle name="Normal 6 2 2 3 3" xfId="6728"/>
    <cellStyle name="Normal 6 2 2 3 3 2" xfId="10319"/>
    <cellStyle name="Normal 6 2 2 3 4" xfId="10316"/>
    <cellStyle name="Normal 6 2 2 4" xfId="6729"/>
    <cellStyle name="Normal 6 2 2 4 2" xfId="6730"/>
    <cellStyle name="Normal 6 2 2 4 2 2" xfId="6731"/>
    <cellStyle name="Normal 6 2 2 4 2 2 2" xfId="10322"/>
    <cellStyle name="Normal 6 2 2 4 2 3" xfId="10321"/>
    <cellStyle name="Normal 6 2 2 4 3" xfId="10320"/>
    <cellStyle name="Normal 6 2 2 5" xfId="6732"/>
    <cellStyle name="Normal 6 2 2 5 2" xfId="6733"/>
    <cellStyle name="Normal 6 2 2 5 2 2" xfId="10324"/>
    <cellStyle name="Normal 6 2 2 5 3" xfId="10323"/>
    <cellStyle name="Normal 6 2 2 6" xfId="6734"/>
    <cellStyle name="Normal 6 2 2 6 2" xfId="6735"/>
    <cellStyle name="Normal 6 2 2 6 2 2" xfId="10326"/>
    <cellStyle name="Normal 6 2 2 6 3" xfId="10325"/>
    <cellStyle name="Normal 6 2 2 7" xfId="6736"/>
    <cellStyle name="Normal 6 2 2 7 2" xfId="6737"/>
    <cellStyle name="Normal 6 2 2 7 2 2" xfId="10328"/>
    <cellStyle name="Normal 6 2 2 7 3" xfId="10327"/>
    <cellStyle name="Normal 6 2 2 8" xfId="6738"/>
    <cellStyle name="Normal 6 2 2 8 2" xfId="6739"/>
    <cellStyle name="Normal 6 2 2 8 2 2" xfId="10330"/>
    <cellStyle name="Normal 6 2 2 8 3" xfId="10329"/>
    <cellStyle name="Normal 6 2 2 9" xfId="6740"/>
    <cellStyle name="Normal 6 2 2 9 2" xfId="6741"/>
    <cellStyle name="Normal 6 2 2 9 2 2" xfId="10332"/>
    <cellStyle name="Normal 6 2 2 9 3" xfId="10331"/>
    <cellStyle name="Normal 6 2 3" xfId="6742"/>
    <cellStyle name="Normal 6 2 3 10" xfId="6743"/>
    <cellStyle name="Normal 6 2 3 10 2" xfId="6744"/>
    <cellStyle name="Normal 6 2 3 10 2 2" xfId="10335"/>
    <cellStyle name="Normal 6 2 3 10 3" xfId="10334"/>
    <cellStyle name="Normal 6 2 3 11" xfId="6745"/>
    <cellStyle name="Normal 6 2 3 11 2" xfId="6746"/>
    <cellStyle name="Normal 6 2 3 11 2 2" xfId="10337"/>
    <cellStyle name="Normal 6 2 3 11 3" xfId="10336"/>
    <cellStyle name="Normal 6 2 3 12" xfId="6747"/>
    <cellStyle name="Normal 6 2 3 12 2" xfId="6748"/>
    <cellStyle name="Normal 6 2 3 12 2 2" xfId="10339"/>
    <cellStyle name="Normal 6 2 3 12 3" xfId="10338"/>
    <cellStyle name="Normal 6 2 3 13" xfId="6749"/>
    <cellStyle name="Normal 6 2 3 13 2" xfId="6750"/>
    <cellStyle name="Normal 6 2 3 13 2 2" xfId="10341"/>
    <cellStyle name="Normal 6 2 3 13 3" xfId="10340"/>
    <cellStyle name="Normal 6 2 3 14" xfId="6751"/>
    <cellStyle name="Normal 6 2 3 14 2" xfId="10342"/>
    <cellStyle name="Normal 6 2 3 15" xfId="10333"/>
    <cellStyle name="Normal 6 2 3 2" xfId="6752"/>
    <cellStyle name="Normal 6 2 3 2 10" xfId="6753"/>
    <cellStyle name="Normal 6 2 3 2 10 2" xfId="10344"/>
    <cellStyle name="Normal 6 2 3 2 11" xfId="6754"/>
    <cellStyle name="Normal 6 2 3 2 11 2" xfId="10345"/>
    <cellStyle name="Normal 6 2 3 2 12" xfId="6755"/>
    <cellStyle name="Normal 6 2 3 2 12 2" xfId="10346"/>
    <cellStyle name="Normal 6 2 3 2 13" xfId="6756"/>
    <cellStyle name="Normal 6 2 3 2 13 2" xfId="10347"/>
    <cellStyle name="Normal 6 2 3 2 14" xfId="10343"/>
    <cellStyle name="Normal 6 2 3 2 2" xfId="6757"/>
    <cellStyle name="Normal 6 2 3 2 2 2" xfId="6758"/>
    <cellStyle name="Normal 6 2 3 2 2 2 2" xfId="10349"/>
    <cellStyle name="Normal 6 2 3 2 2 3" xfId="6759"/>
    <cellStyle name="Normal 6 2 3 2 2 3 2" xfId="10350"/>
    <cellStyle name="Normal 6 2 3 2 2 4" xfId="10348"/>
    <cellStyle name="Normal 6 2 3 2 3" xfId="6760"/>
    <cellStyle name="Normal 6 2 3 2 3 2" xfId="10351"/>
    <cellStyle name="Normal 6 2 3 2 4" xfId="6761"/>
    <cellStyle name="Normal 6 2 3 2 4 2" xfId="10352"/>
    <cellStyle name="Normal 6 2 3 2 5" xfId="6762"/>
    <cellStyle name="Normal 6 2 3 2 5 2" xfId="10353"/>
    <cellStyle name="Normal 6 2 3 2 6" xfId="6763"/>
    <cellStyle name="Normal 6 2 3 2 6 2" xfId="10354"/>
    <cellStyle name="Normal 6 2 3 2 7" xfId="6764"/>
    <cellStyle name="Normal 6 2 3 2 7 2" xfId="10355"/>
    <cellStyle name="Normal 6 2 3 2 8" xfId="6765"/>
    <cellStyle name="Normal 6 2 3 2 8 2" xfId="10356"/>
    <cellStyle name="Normal 6 2 3 2 9" xfId="6766"/>
    <cellStyle name="Normal 6 2 3 2 9 2" xfId="10357"/>
    <cellStyle name="Normal 6 2 3 3" xfId="6767"/>
    <cellStyle name="Normal 6 2 3 3 2" xfId="6768"/>
    <cellStyle name="Normal 6 2 3 3 2 2" xfId="6769"/>
    <cellStyle name="Normal 6 2 3 3 2 2 2" xfId="10360"/>
    <cellStyle name="Normal 6 2 3 3 2 3" xfId="10359"/>
    <cellStyle name="Normal 6 2 3 3 3" xfId="10358"/>
    <cellStyle name="Normal 6 2 3 4" xfId="6770"/>
    <cellStyle name="Normal 6 2 3 4 2" xfId="6771"/>
    <cellStyle name="Normal 6 2 3 4 2 2" xfId="10362"/>
    <cellStyle name="Normal 6 2 3 4 3" xfId="10361"/>
    <cellStyle name="Normal 6 2 3 5" xfId="6772"/>
    <cellStyle name="Normal 6 2 3 5 2" xfId="6773"/>
    <cellStyle name="Normal 6 2 3 5 2 2" xfId="10364"/>
    <cellStyle name="Normal 6 2 3 5 3" xfId="10363"/>
    <cellStyle name="Normal 6 2 3 6" xfId="6774"/>
    <cellStyle name="Normal 6 2 3 6 2" xfId="6775"/>
    <cellStyle name="Normal 6 2 3 6 2 2" xfId="10366"/>
    <cellStyle name="Normal 6 2 3 6 3" xfId="10365"/>
    <cellStyle name="Normal 6 2 3 7" xfId="6776"/>
    <cellStyle name="Normal 6 2 3 7 2" xfId="6777"/>
    <cellStyle name="Normal 6 2 3 7 2 2" xfId="10368"/>
    <cellStyle name="Normal 6 2 3 7 3" xfId="10367"/>
    <cellStyle name="Normal 6 2 3 8" xfId="6778"/>
    <cellStyle name="Normal 6 2 3 8 2" xfId="6779"/>
    <cellStyle name="Normal 6 2 3 8 2 2" xfId="10370"/>
    <cellStyle name="Normal 6 2 3 8 3" xfId="10369"/>
    <cellStyle name="Normal 6 2 3 9" xfId="6780"/>
    <cellStyle name="Normal 6 2 3 9 2" xfId="6781"/>
    <cellStyle name="Normal 6 2 3 9 2 2" xfId="10372"/>
    <cellStyle name="Normal 6 2 3 9 3" xfId="10371"/>
    <cellStyle name="Normal 6 2 4" xfId="6782"/>
    <cellStyle name="Normal 6 2 4 2" xfId="6783"/>
    <cellStyle name="Normal 6 2 4 2 2" xfId="10374"/>
    <cellStyle name="Normal 6 2 4 3" xfId="6784"/>
    <cellStyle name="Normal 6 2 4 3 2" xfId="10375"/>
    <cellStyle name="Normal 6 2 4 4" xfId="10373"/>
    <cellStyle name="Normal 6 2 5" xfId="6785"/>
    <cellStyle name="Normal 6 2 5 2" xfId="10376"/>
    <cellStyle name="Normal 6 2 6" xfId="6786"/>
    <cellStyle name="Normal 6 2 6 2" xfId="10377"/>
    <cellStyle name="Normal 6 2 7" xfId="6787"/>
    <cellStyle name="Normal 6 2 7 2" xfId="10378"/>
    <cellStyle name="Normal 6 2 8" xfId="6788"/>
    <cellStyle name="Normal 6 2 8 2" xfId="10379"/>
    <cellStyle name="Normal 6 2 9" xfId="6789"/>
    <cellStyle name="Normal 6 2 9 2" xfId="10380"/>
    <cellStyle name="Normal 6 3" xfId="6790"/>
    <cellStyle name="Normal 6 3 10" xfId="6791"/>
    <cellStyle name="Normal 6 3 10 2" xfId="10382"/>
    <cellStyle name="Normal 6 3 11" xfId="6792"/>
    <cellStyle name="Normal 6 3 11 2" xfId="10383"/>
    <cellStyle name="Normal 6 3 12" xfId="6793"/>
    <cellStyle name="Normal 6 3 12 2" xfId="10384"/>
    <cellStyle name="Normal 6 3 13" xfId="6794"/>
    <cellStyle name="Normal 6 3 13 2" xfId="10385"/>
    <cellStyle name="Normal 6 3 14" xfId="10381"/>
    <cellStyle name="Normal 6 3 2" xfId="6795"/>
    <cellStyle name="Normal 6 3 2 10" xfId="6796"/>
    <cellStyle name="Normal 6 3 2 10 2" xfId="6797"/>
    <cellStyle name="Normal 6 3 2 10 2 2" xfId="10388"/>
    <cellStyle name="Normal 6 3 2 10 3" xfId="10387"/>
    <cellStyle name="Normal 6 3 2 11" xfId="6798"/>
    <cellStyle name="Normal 6 3 2 11 2" xfId="6799"/>
    <cellStyle name="Normal 6 3 2 11 2 2" xfId="10390"/>
    <cellStyle name="Normal 6 3 2 11 3" xfId="10389"/>
    <cellStyle name="Normal 6 3 2 12" xfId="6800"/>
    <cellStyle name="Normal 6 3 2 12 2" xfId="6801"/>
    <cellStyle name="Normal 6 3 2 12 2 2" xfId="10392"/>
    <cellStyle name="Normal 6 3 2 12 3" xfId="10391"/>
    <cellStyle name="Normal 6 3 2 13" xfId="6802"/>
    <cellStyle name="Normal 6 3 2 13 2" xfId="6803"/>
    <cellStyle name="Normal 6 3 2 13 2 2" xfId="10394"/>
    <cellStyle name="Normal 6 3 2 13 3" xfId="10393"/>
    <cellStyle name="Normal 6 3 2 14" xfId="6804"/>
    <cellStyle name="Normal 6 3 2 14 2" xfId="10395"/>
    <cellStyle name="Normal 6 3 2 15" xfId="10386"/>
    <cellStyle name="Normal 6 3 2 2" xfId="6805"/>
    <cellStyle name="Normal 6 3 2 2 2" xfId="6806"/>
    <cellStyle name="Normal 6 3 2 2 2 2" xfId="6807"/>
    <cellStyle name="Normal 6 3 2 2 2 2 2" xfId="10398"/>
    <cellStyle name="Normal 6 3 2 2 2 3" xfId="10397"/>
    <cellStyle name="Normal 6 3 2 2 3" xfId="10396"/>
    <cellStyle name="Normal 6 3 2 3" xfId="6808"/>
    <cellStyle name="Normal 6 3 2 3 2" xfId="6809"/>
    <cellStyle name="Normal 6 3 2 3 2 2" xfId="10400"/>
    <cellStyle name="Normal 6 3 2 3 3" xfId="10399"/>
    <cellStyle name="Normal 6 3 2 4" xfId="6810"/>
    <cellStyle name="Normal 6 3 2 4 2" xfId="6811"/>
    <cellStyle name="Normal 6 3 2 4 2 2" xfId="10402"/>
    <cellStyle name="Normal 6 3 2 4 3" xfId="10401"/>
    <cellStyle name="Normal 6 3 2 5" xfId="6812"/>
    <cellStyle name="Normal 6 3 2 5 2" xfId="6813"/>
    <cellStyle name="Normal 6 3 2 5 2 2" xfId="10404"/>
    <cellStyle name="Normal 6 3 2 5 3" xfId="10403"/>
    <cellStyle name="Normal 6 3 2 6" xfId="6814"/>
    <cellStyle name="Normal 6 3 2 6 2" xfId="6815"/>
    <cellStyle name="Normal 6 3 2 6 2 2" xfId="10406"/>
    <cellStyle name="Normal 6 3 2 6 3" xfId="10405"/>
    <cellStyle name="Normal 6 3 2 7" xfId="6816"/>
    <cellStyle name="Normal 6 3 2 7 2" xfId="6817"/>
    <cellStyle name="Normal 6 3 2 7 2 2" xfId="10408"/>
    <cellStyle name="Normal 6 3 2 7 3" xfId="10407"/>
    <cellStyle name="Normal 6 3 2 8" xfId="6818"/>
    <cellStyle name="Normal 6 3 2 8 2" xfId="6819"/>
    <cellStyle name="Normal 6 3 2 8 2 2" xfId="10410"/>
    <cellStyle name="Normal 6 3 2 8 3" xfId="10409"/>
    <cellStyle name="Normal 6 3 2 9" xfId="6820"/>
    <cellStyle name="Normal 6 3 2 9 2" xfId="6821"/>
    <cellStyle name="Normal 6 3 2 9 2 2" xfId="10412"/>
    <cellStyle name="Normal 6 3 2 9 3" xfId="10411"/>
    <cellStyle name="Normal 6 3 3" xfId="6822"/>
    <cellStyle name="Normal 6 3 3 2" xfId="6823"/>
    <cellStyle name="Normal 6 3 3 2 2" xfId="10414"/>
    <cellStyle name="Normal 6 3 3 3" xfId="6824"/>
    <cellStyle name="Normal 6 3 3 3 2" xfId="10415"/>
    <cellStyle name="Normal 6 3 3 4" xfId="10413"/>
    <cellStyle name="Normal 6 3 4" xfId="6825"/>
    <cellStyle name="Normal 6 3 4 2" xfId="10416"/>
    <cellStyle name="Normal 6 3 5" xfId="6826"/>
    <cellStyle name="Normal 6 3 5 2" xfId="10417"/>
    <cellStyle name="Normal 6 3 6" xfId="6827"/>
    <cellStyle name="Normal 6 3 6 2" xfId="10418"/>
    <cellStyle name="Normal 6 3 7" xfId="6828"/>
    <cellStyle name="Normal 6 3 7 2" xfId="10419"/>
    <cellStyle name="Normal 6 3 8" xfId="6829"/>
    <cellStyle name="Normal 6 3 8 2" xfId="10420"/>
    <cellStyle name="Normal 6 3 9" xfId="6830"/>
    <cellStyle name="Normal 6 3 9 2" xfId="10421"/>
    <cellStyle name="Normal 6 4" xfId="6831"/>
    <cellStyle name="Normal 6 4 2" xfId="6832"/>
    <cellStyle name="Normal 6 4 2 2" xfId="6833"/>
    <cellStyle name="Normal 6 4 2 2 2" xfId="10424"/>
    <cellStyle name="Normal 6 4 2 3" xfId="10423"/>
    <cellStyle name="Normal 6 4 3" xfId="6834"/>
    <cellStyle name="Normal 6 4 3 2" xfId="10425"/>
    <cellStyle name="Normal 6 4 4" xfId="10422"/>
    <cellStyle name="Normal 6 5" xfId="6835"/>
    <cellStyle name="Normal 6 5 2" xfId="6836"/>
    <cellStyle name="Normal 6 5 2 2" xfId="6837"/>
    <cellStyle name="Normal 6 5 2 2 2" xfId="10428"/>
    <cellStyle name="Normal 6 5 2 3" xfId="10427"/>
    <cellStyle name="Normal 6 5 3" xfId="10426"/>
    <cellStyle name="Normal 6 6" xfId="6838"/>
    <cellStyle name="Normal 6 6 2" xfId="6839"/>
    <cellStyle name="Normal 6 6 2 2" xfId="10430"/>
    <cellStyle name="Normal 6 6 3" xfId="10429"/>
    <cellStyle name="Normal 6 7" xfId="6840"/>
    <cellStyle name="Normal 6 7 2" xfId="6841"/>
    <cellStyle name="Normal 6 7 2 2" xfId="10432"/>
    <cellStyle name="Normal 6 7 3" xfId="10431"/>
    <cellStyle name="Normal 6 8" xfId="6842"/>
    <cellStyle name="Normal 6 8 2" xfId="6843"/>
    <cellStyle name="Normal 6 8 2 2" xfId="10434"/>
    <cellStyle name="Normal 6 8 3" xfId="10433"/>
    <cellStyle name="Normal 6 9" xfId="6844"/>
    <cellStyle name="Normal 6 9 2" xfId="6845"/>
    <cellStyle name="Normal 6 9 2 2" xfId="10436"/>
    <cellStyle name="Normal 6 9 3" xfId="10435"/>
    <cellStyle name="Normal 60" xfId="6846"/>
    <cellStyle name="Normal 60 2" xfId="6847"/>
    <cellStyle name="Normal 60 2 2" xfId="10438"/>
    <cellStyle name="Normal 60 3" xfId="6848"/>
    <cellStyle name="Normal 60 3 2" xfId="10439"/>
    <cellStyle name="Normal 60 4" xfId="6849"/>
    <cellStyle name="Normal 60 4 2" xfId="10440"/>
    <cellStyle name="Normal 60 5" xfId="6850"/>
    <cellStyle name="Normal 60 5 2" xfId="10441"/>
    <cellStyle name="Normal 60 6" xfId="6851"/>
    <cellStyle name="Normal 60 6 2" xfId="10442"/>
    <cellStyle name="Normal 60 7" xfId="6852"/>
    <cellStyle name="Normal 60 7 2" xfId="10443"/>
    <cellStyle name="Normal 60 8" xfId="6853"/>
    <cellStyle name="Normal 60 8 2" xfId="10444"/>
    <cellStyle name="Normal 60 9" xfId="10437"/>
    <cellStyle name="Normal 61" xfId="6854"/>
    <cellStyle name="Normal 61 2" xfId="10445"/>
    <cellStyle name="Normal 62" xfId="6855"/>
    <cellStyle name="Normal 62 2" xfId="6856"/>
    <cellStyle name="Normal 62 2 2" xfId="6857"/>
    <cellStyle name="Normal 62 2 2 2" xfId="10448"/>
    <cellStyle name="Normal 62 2 3" xfId="10447"/>
    <cellStyle name="Normal 62 3" xfId="6858"/>
    <cellStyle name="Normal 62 3 2" xfId="10449"/>
    <cellStyle name="Normal 62 4" xfId="10446"/>
    <cellStyle name="Normal 63" xfId="6859"/>
    <cellStyle name="Normal 63 2" xfId="6860"/>
    <cellStyle name="Normal 63 2 2" xfId="6861"/>
    <cellStyle name="Normal 63 2 2 2" xfId="10452"/>
    <cellStyle name="Normal 63 2 3" xfId="10451"/>
    <cellStyle name="Normal 63 3" xfId="6862"/>
    <cellStyle name="Normal 63 3 2" xfId="10453"/>
    <cellStyle name="Normal 63 4" xfId="10450"/>
    <cellStyle name="Normal 64" xfId="6863"/>
    <cellStyle name="Normal 64 2" xfId="10454"/>
    <cellStyle name="Normal 65" xfId="6864"/>
    <cellStyle name="Normal 65 2" xfId="10455"/>
    <cellStyle name="Normal 66" xfId="6865"/>
    <cellStyle name="Normal 66 2" xfId="10456"/>
    <cellStyle name="Normal 67" xfId="6866"/>
    <cellStyle name="Normal 67 2" xfId="10457"/>
    <cellStyle name="Normal 68" xfId="6867"/>
    <cellStyle name="Normal 68 2" xfId="10458"/>
    <cellStyle name="Normal 69" xfId="6868"/>
    <cellStyle name="Normal 69 2" xfId="6869"/>
    <cellStyle name="Normal 69 2 2" xfId="6870"/>
    <cellStyle name="Normal 69 2 2 2" xfId="10461"/>
    <cellStyle name="Normal 69 2 3" xfId="10460"/>
    <cellStyle name="Normal 69 3" xfId="6871"/>
    <cellStyle name="Normal 69 3 2" xfId="10462"/>
    <cellStyle name="Normal 69 4" xfId="10459"/>
    <cellStyle name="Normal 7" xfId="6872"/>
    <cellStyle name="Normal 7 2" xfId="6873"/>
    <cellStyle name="Normal 7 2 2" xfId="10464"/>
    <cellStyle name="Normal 7 3" xfId="6874"/>
    <cellStyle name="Normal 7 3 2" xfId="10465"/>
    <cellStyle name="Normal 7 4" xfId="10463"/>
    <cellStyle name="Normal 7 5" xfId="11259"/>
    <cellStyle name="Normal 70" xfId="6875"/>
    <cellStyle name="Normal 70 2" xfId="10466"/>
    <cellStyle name="Normal 71" xfId="6876"/>
    <cellStyle name="Normal 71 2" xfId="6877"/>
    <cellStyle name="Normal 71 2 2" xfId="6878"/>
    <cellStyle name="Normal 71 2 2 2" xfId="10469"/>
    <cellStyle name="Normal 71 2 3" xfId="10468"/>
    <cellStyle name="Normal 71 3" xfId="6879"/>
    <cellStyle name="Normal 71 3 2" xfId="10470"/>
    <cellStyle name="Normal 71 4" xfId="10467"/>
    <cellStyle name="Normal 72" xfId="6880"/>
    <cellStyle name="Normal 72 2" xfId="6881"/>
    <cellStyle name="Normal 72 2 2" xfId="6882"/>
    <cellStyle name="Normal 72 2 2 2" xfId="10473"/>
    <cellStyle name="Normal 72 2 3" xfId="10472"/>
    <cellStyle name="Normal 72 3" xfId="6883"/>
    <cellStyle name="Normal 72 3 2" xfId="10474"/>
    <cellStyle name="Normal 72 4" xfId="10471"/>
    <cellStyle name="Normal 73" xfId="6884"/>
    <cellStyle name="Normal 73 2" xfId="6885"/>
    <cellStyle name="Normal 73 2 2" xfId="6886"/>
    <cellStyle name="Normal 73 2 2 2" xfId="10477"/>
    <cellStyle name="Normal 73 2 3" xfId="10476"/>
    <cellStyle name="Normal 73 3" xfId="6887"/>
    <cellStyle name="Normal 73 3 2" xfId="10478"/>
    <cellStyle name="Normal 73 4" xfId="10475"/>
    <cellStyle name="Normal 74" xfId="6888"/>
    <cellStyle name="Normal 74 2" xfId="6889"/>
    <cellStyle name="Normal 74 2 2" xfId="6890"/>
    <cellStyle name="Normal 74 2 2 2" xfId="10481"/>
    <cellStyle name="Normal 74 2 3" xfId="10480"/>
    <cellStyle name="Normal 74 3" xfId="6891"/>
    <cellStyle name="Normal 74 3 2" xfId="10482"/>
    <cellStyle name="Normal 74 4" xfId="10479"/>
    <cellStyle name="Normal 75" xfId="6892"/>
    <cellStyle name="Normal 75 2" xfId="6893"/>
    <cellStyle name="Normal 75 2 2" xfId="6894"/>
    <cellStyle name="Normal 75 2 2 2" xfId="10485"/>
    <cellStyle name="Normal 75 2 3" xfId="10484"/>
    <cellStyle name="Normal 75 3" xfId="6895"/>
    <cellStyle name="Normal 75 3 2" xfId="10486"/>
    <cellStyle name="Normal 75 4" xfId="10483"/>
    <cellStyle name="Normal 76" xfId="6896"/>
    <cellStyle name="Normal 76 2" xfId="6897"/>
    <cellStyle name="Normal 76 2 2" xfId="10488"/>
    <cellStyle name="Normal 76 3" xfId="10487"/>
    <cellStyle name="Normal 77" xfId="6898"/>
    <cellStyle name="Normal 77 2" xfId="10489"/>
    <cellStyle name="Normal 78" xfId="6899"/>
    <cellStyle name="Normal 78 2" xfId="10490"/>
    <cellStyle name="Normal 79" xfId="6900"/>
    <cellStyle name="Normal 79 2" xfId="6901"/>
    <cellStyle name="Normal 79 2 2" xfId="10492"/>
    <cellStyle name="Normal 79 3" xfId="10491"/>
    <cellStyle name="Normal 8" xfId="6902"/>
    <cellStyle name="Normal 8 10" xfId="6903"/>
    <cellStyle name="Normal 8 10 2" xfId="6904"/>
    <cellStyle name="Normal 8 10 2 2" xfId="10495"/>
    <cellStyle name="Normal 8 10 3" xfId="10494"/>
    <cellStyle name="Normal 8 11" xfId="6905"/>
    <cellStyle name="Normal 8 11 2" xfId="6906"/>
    <cellStyle name="Normal 8 11 2 2" xfId="10497"/>
    <cellStyle name="Normal 8 11 3" xfId="10496"/>
    <cellStyle name="Normal 8 12" xfId="6907"/>
    <cellStyle name="Normal 8 12 2" xfId="6908"/>
    <cellStyle name="Normal 8 12 2 2" xfId="10499"/>
    <cellStyle name="Normal 8 12 3" xfId="10498"/>
    <cellStyle name="Normal 8 13" xfId="6909"/>
    <cellStyle name="Normal 8 13 2" xfId="6910"/>
    <cellStyle name="Normal 8 13 2 2" xfId="10501"/>
    <cellStyle name="Normal 8 13 3" xfId="10500"/>
    <cellStyle name="Normal 8 14" xfId="6911"/>
    <cellStyle name="Normal 8 14 2" xfId="6912"/>
    <cellStyle name="Normal 8 14 2 2" xfId="10503"/>
    <cellStyle name="Normal 8 14 3" xfId="10502"/>
    <cellStyle name="Normal 8 15" xfId="6913"/>
    <cellStyle name="Normal 8 15 2" xfId="6914"/>
    <cellStyle name="Normal 8 15 2 2" xfId="10505"/>
    <cellStyle name="Normal 8 15 3" xfId="10504"/>
    <cellStyle name="Normal 8 16" xfId="6915"/>
    <cellStyle name="Normal 8 16 2" xfId="6916"/>
    <cellStyle name="Normal 8 16 2 2" xfId="10507"/>
    <cellStyle name="Normal 8 16 3" xfId="10506"/>
    <cellStyle name="Normal 8 17" xfId="6917"/>
    <cellStyle name="Normal 8 17 2" xfId="10508"/>
    <cellStyle name="Normal 8 18" xfId="10493"/>
    <cellStyle name="Normal 8 19" xfId="11260"/>
    <cellStyle name="Normal 8 2" xfId="6918"/>
    <cellStyle name="Normal 8 2 10" xfId="6919"/>
    <cellStyle name="Normal 8 2 10 2" xfId="10510"/>
    <cellStyle name="Normal 8 2 11" xfId="6920"/>
    <cellStyle name="Normal 8 2 11 2" xfId="10511"/>
    <cellStyle name="Normal 8 2 12" xfId="6921"/>
    <cellStyle name="Normal 8 2 12 2" xfId="10512"/>
    <cellStyle name="Normal 8 2 13" xfId="6922"/>
    <cellStyle name="Normal 8 2 13 2" xfId="10513"/>
    <cellStyle name="Normal 8 2 14" xfId="6923"/>
    <cellStyle name="Normal 8 2 14 2" xfId="10514"/>
    <cellStyle name="Normal 8 2 15" xfId="6924"/>
    <cellStyle name="Normal 8 2 15 2" xfId="10515"/>
    <cellStyle name="Normal 8 2 16" xfId="10509"/>
    <cellStyle name="Normal 8 2 2" xfId="6925"/>
    <cellStyle name="Normal 8 2 2 10" xfId="6926"/>
    <cellStyle name="Normal 8 2 2 10 2" xfId="6927"/>
    <cellStyle name="Normal 8 2 2 10 2 2" xfId="10518"/>
    <cellStyle name="Normal 8 2 2 10 3" xfId="10517"/>
    <cellStyle name="Normal 8 2 2 11" xfId="6928"/>
    <cellStyle name="Normal 8 2 2 11 2" xfId="6929"/>
    <cellStyle name="Normal 8 2 2 11 2 2" xfId="10520"/>
    <cellStyle name="Normal 8 2 2 11 3" xfId="10519"/>
    <cellStyle name="Normal 8 2 2 12" xfId="6930"/>
    <cellStyle name="Normal 8 2 2 12 2" xfId="6931"/>
    <cellStyle name="Normal 8 2 2 12 2 2" xfId="10522"/>
    <cellStyle name="Normal 8 2 2 12 3" xfId="10521"/>
    <cellStyle name="Normal 8 2 2 13" xfId="6932"/>
    <cellStyle name="Normal 8 2 2 13 2" xfId="6933"/>
    <cellStyle name="Normal 8 2 2 13 2 2" xfId="10524"/>
    <cellStyle name="Normal 8 2 2 13 3" xfId="10523"/>
    <cellStyle name="Normal 8 2 2 14" xfId="6934"/>
    <cellStyle name="Normal 8 2 2 14 2" xfId="6935"/>
    <cellStyle name="Normal 8 2 2 14 2 2" xfId="10526"/>
    <cellStyle name="Normal 8 2 2 14 3" xfId="10525"/>
    <cellStyle name="Normal 8 2 2 15" xfId="6936"/>
    <cellStyle name="Normal 8 2 2 15 2" xfId="6937"/>
    <cellStyle name="Normal 8 2 2 15 2 2" xfId="10528"/>
    <cellStyle name="Normal 8 2 2 15 3" xfId="10527"/>
    <cellStyle name="Normal 8 2 2 16" xfId="6938"/>
    <cellStyle name="Normal 8 2 2 16 2" xfId="10529"/>
    <cellStyle name="Normal 8 2 2 17" xfId="10516"/>
    <cellStyle name="Normal 8 2 2 2" xfId="6939"/>
    <cellStyle name="Normal 8 2 2 2 10" xfId="6940"/>
    <cellStyle name="Normal 8 2 2 2 10 2" xfId="10531"/>
    <cellStyle name="Normal 8 2 2 2 11" xfId="6941"/>
    <cellStyle name="Normal 8 2 2 2 11 2" xfId="10532"/>
    <cellStyle name="Normal 8 2 2 2 12" xfId="6942"/>
    <cellStyle name="Normal 8 2 2 2 12 2" xfId="10533"/>
    <cellStyle name="Normal 8 2 2 2 13" xfId="6943"/>
    <cellStyle name="Normal 8 2 2 2 13 2" xfId="10534"/>
    <cellStyle name="Normal 8 2 2 2 14" xfId="10530"/>
    <cellStyle name="Normal 8 2 2 2 2" xfId="6944"/>
    <cellStyle name="Normal 8 2 2 2 2 10" xfId="6945"/>
    <cellStyle name="Normal 8 2 2 2 2 10 2" xfId="6946"/>
    <cellStyle name="Normal 8 2 2 2 2 10 2 2" xfId="10537"/>
    <cellStyle name="Normal 8 2 2 2 2 10 3" xfId="10536"/>
    <cellStyle name="Normal 8 2 2 2 2 11" xfId="6947"/>
    <cellStyle name="Normal 8 2 2 2 2 11 2" xfId="6948"/>
    <cellStyle name="Normal 8 2 2 2 2 11 2 2" xfId="10539"/>
    <cellStyle name="Normal 8 2 2 2 2 11 3" xfId="10538"/>
    <cellStyle name="Normal 8 2 2 2 2 12" xfId="6949"/>
    <cellStyle name="Normal 8 2 2 2 2 12 2" xfId="6950"/>
    <cellStyle name="Normal 8 2 2 2 2 12 2 2" xfId="10541"/>
    <cellStyle name="Normal 8 2 2 2 2 12 3" xfId="10540"/>
    <cellStyle name="Normal 8 2 2 2 2 13" xfId="6951"/>
    <cellStyle name="Normal 8 2 2 2 2 13 2" xfId="6952"/>
    <cellStyle name="Normal 8 2 2 2 2 13 2 2" xfId="10543"/>
    <cellStyle name="Normal 8 2 2 2 2 13 3" xfId="10542"/>
    <cellStyle name="Normal 8 2 2 2 2 14" xfId="6953"/>
    <cellStyle name="Normal 8 2 2 2 2 14 2" xfId="10544"/>
    <cellStyle name="Normal 8 2 2 2 2 15" xfId="10535"/>
    <cellStyle name="Normal 8 2 2 2 2 2" xfId="6954"/>
    <cellStyle name="Normal 8 2 2 2 2 2 2" xfId="6955"/>
    <cellStyle name="Normal 8 2 2 2 2 2 2 2" xfId="6956"/>
    <cellStyle name="Normal 8 2 2 2 2 2 2 2 2" xfId="10547"/>
    <cellStyle name="Normal 8 2 2 2 2 2 2 3" xfId="10546"/>
    <cellStyle name="Normal 8 2 2 2 2 2 3" xfId="10545"/>
    <cellStyle name="Normal 8 2 2 2 2 3" xfId="6957"/>
    <cellStyle name="Normal 8 2 2 2 2 3 2" xfId="6958"/>
    <cellStyle name="Normal 8 2 2 2 2 3 2 2" xfId="10549"/>
    <cellStyle name="Normal 8 2 2 2 2 3 3" xfId="10548"/>
    <cellStyle name="Normal 8 2 2 2 2 4" xfId="6959"/>
    <cellStyle name="Normal 8 2 2 2 2 4 2" xfId="6960"/>
    <cellStyle name="Normal 8 2 2 2 2 4 2 2" xfId="10551"/>
    <cellStyle name="Normal 8 2 2 2 2 4 3" xfId="10550"/>
    <cellStyle name="Normal 8 2 2 2 2 5" xfId="6961"/>
    <cellStyle name="Normal 8 2 2 2 2 5 2" xfId="6962"/>
    <cellStyle name="Normal 8 2 2 2 2 5 2 2" xfId="10553"/>
    <cellStyle name="Normal 8 2 2 2 2 5 3" xfId="10552"/>
    <cellStyle name="Normal 8 2 2 2 2 6" xfId="6963"/>
    <cellStyle name="Normal 8 2 2 2 2 6 2" xfId="6964"/>
    <cellStyle name="Normal 8 2 2 2 2 6 2 2" xfId="10555"/>
    <cellStyle name="Normal 8 2 2 2 2 6 3" xfId="10554"/>
    <cellStyle name="Normal 8 2 2 2 2 7" xfId="6965"/>
    <cellStyle name="Normal 8 2 2 2 2 7 2" xfId="6966"/>
    <cellStyle name="Normal 8 2 2 2 2 7 2 2" xfId="10557"/>
    <cellStyle name="Normal 8 2 2 2 2 7 3" xfId="10556"/>
    <cellStyle name="Normal 8 2 2 2 2 8" xfId="6967"/>
    <cellStyle name="Normal 8 2 2 2 2 8 2" xfId="6968"/>
    <cellStyle name="Normal 8 2 2 2 2 8 2 2" xfId="10559"/>
    <cellStyle name="Normal 8 2 2 2 2 8 3" xfId="10558"/>
    <cellStyle name="Normal 8 2 2 2 2 9" xfId="6969"/>
    <cellStyle name="Normal 8 2 2 2 2 9 2" xfId="6970"/>
    <cellStyle name="Normal 8 2 2 2 2 9 2 2" xfId="10561"/>
    <cellStyle name="Normal 8 2 2 2 2 9 3" xfId="10560"/>
    <cellStyle name="Normal 8 2 2 2 3" xfId="6971"/>
    <cellStyle name="Normal 8 2 2 2 3 2" xfId="6972"/>
    <cellStyle name="Normal 8 2 2 2 3 2 2" xfId="10563"/>
    <cellStyle name="Normal 8 2 2 2 3 3" xfId="6973"/>
    <cellStyle name="Normal 8 2 2 2 3 3 2" xfId="10564"/>
    <cellStyle name="Normal 8 2 2 2 3 4" xfId="10562"/>
    <cellStyle name="Normal 8 2 2 2 4" xfId="6974"/>
    <cellStyle name="Normal 8 2 2 2 4 2" xfId="10565"/>
    <cellStyle name="Normal 8 2 2 2 5" xfId="6975"/>
    <cellStyle name="Normal 8 2 2 2 5 2" xfId="10566"/>
    <cellStyle name="Normal 8 2 2 2 6" xfId="6976"/>
    <cellStyle name="Normal 8 2 2 2 6 2" xfId="10567"/>
    <cellStyle name="Normal 8 2 2 2 7" xfId="6977"/>
    <cellStyle name="Normal 8 2 2 2 7 2" xfId="10568"/>
    <cellStyle name="Normal 8 2 2 2 8" xfId="6978"/>
    <cellStyle name="Normal 8 2 2 2 8 2" xfId="10569"/>
    <cellStyle name="Normal 8 2 2 2 9" xfId="6979"/>
    <cellStyle name="Normal 8 2 2 2 9 2" xfId="10570"/>
    <cellStyle name="Normal 8 2 2 3" xfId="6980"/>
    <cellStyle name="Normal 8 2 2 3 2" xfId="6981"/>
    <cellStyle name="Normal 8 2 2 3 2 2" xfId="6982"/>
    <cellStyle name="Normal 8 2 2 3 2 2 2" xfId="10573"/>
    <cellStyle name="Normal 8 2 2 3 2 3" xfId="10572"/>
    <cellStyle name="Normal 8 2 2 3 3" xfId="6983"/>
    <cellStyle name="Normal 8 2 2 3 3 2" xfId="10574"/>
    <cellStyle name="Normal 8 2 2 3 4" xfId="10571"/>
    <cellStyle name="Normal 8 2 2 4" xfId="6984"/>
    <cellStyle name="Normal 8 2 2 4 2" xfId="6985"/>
    <cellStyle name="Normal 8 2 2 4 2 2" xfId="6986"/>
    <cellStyle name="Normal 8 2 2 4 2 2 2" xfId="10577"/>
    <cellStyle name="Normal 8 2 2 4 2 3" xfId="10576"/>
    <cellStyle name="Normal 8 2 2 4 3" xfId="10575"/>
    <cellStyle name="Normal 8 2 2 5" xfId="6987"/>
    <cellStyle name="Normal 8 2 2 5 2" xfId="6988"/>
    <cellStyle name="Normal 8 2 2 5 2 2" xfId="10579"/>
    <cellStyle name="Normal 8 2 2 5 3" xfId="10578"/>
    <cellStyle name="Normal 8 2 2 6" xfId="6989"/>
    <cellStyle name="Normal 8 2 2 6 2" xfId="6990"/>
    <cellStyle name="Normal 8 2 2 6 2 2" xfId="10581"/>
    <cellStyle name="Normal 8 2 2 6 3" xfId="10580"/>
    <cellStyle name="Normal 8 2 2 7" xfId="6991"/>
    <cellStyle name="Normal 8 2 2 7 2" xfId="6992"/>
    <cellStyle name="Normal 8 2 2 7 2 2" xfId="10583"/>
    <cellStyle name="Normal 8 2 2 7 3" xfId="10582"/>
    <cellStyle name="Normal 8 2 2 8" xfId="6993"/>
    <cellStyle name="Normal 8 2 2 8 2" xfId="6994"/>
    <cellStyle name="Normal 8 2 2 8 2 2" xfId="10585"/>
    <cellStyle name="Normal 8 2 2 8 3" xfId="10584"/>
    <cellStyle name="Normal 8 2 2 9" xfId="6995"/>
    <cellStyle name="Normal 8 2 2 9 2" xfId="6996"/>
    <cellStyle name="Normal 8 2 2 9 2 2" xfId="10587"/>
    <cellStyle name="Normal 8 2 2 9 3" xfId="10586"/>
    <cellStyle name="Normal 8 2 3" xfId="6997"/>
    <cellStyle name="Normal 8 2 3 10" xfId="6998"/>
    <cellStyle name="Normal 8 2 3 10 2" xfId="6999"/>
    <cellStyle name="Normal 8 2 3 10 2 2" xfId="10590"/>
    <cellStyle name="Normal 8 2 3 10 3" xfId="10589"/>
    <cellStyle name="Normal 8 2 3 11" xfId="7000"/>
    <cellStyle name="Normal 8 2 3 11 2" xfId="7001"/>
    <cellStyle name="Normal 8 2 3 11 2 2" xfId="10592"/>
    <cellStyle name="Normal 8 2 3 11 3" xfId="10591"/>
    <cellStyle name="Normal 8 2 3 12" xfId="7002"/>
    <cellStyle name="Normal 8 2 3 12 2" xfId="7003"/>
    <cellStyle name="Normal 8 2 3 12 2 2" xfId="10594"/>
    <cellStyle name="Normal 8 2 3 12 3" xfId="10593"/>
    <cellStyle name="Normal 8 2 3 13" xfId="7004"/>
    <cellStyle name="Normal 8 2 3 13 2" xfId="7005"/>
    <cellStyle name="Normal 8 2 3 13 2 2" xfId="10596"/>
    <cellStyle name="Normal 8 2 3 13 3" xfId="10595"/>
    <cellStyle name="Normal 8 2 3 14" xfId="7006"/>
    <cellStyle name="Normal 8 2 3 14 2" xfId="10597"/>
    <cellStyle name="Normal 8 2 3 15" xfId="10588"/>
    <cellStyle name="Normal 8 2 3 2" xfId="7007"/>
    <cellStyle name="Normal 8 2 3 2 10" xfId="7008"/>
    <cellStyle name="Normal 8 2 3 2 10 2" xfId="10599"/>
    <cellStyle name="Normal 8 2 3 2 11" xfId="7009"/>
    <cellStyle name="Normal 8 2 3 2 11 2" xfId="10600"/>
    <cellStyle name="Normal 8 2 3 2 12" xfId="7010"/>
    <cellStyle name="Normal 8 2 3 2 12 2" xfId="10601"/>
    <cellStyle name="Normal 8 2 3 2 13" xfId="7011"/>
    <cellStyle name="Normal 8 2 3 2 13 2" xfId="10602"/>
    <cellStyle name="Normal 8 2 3 2 14" xfId="10598"/>
    <cellStyle name="Normal 8 2 3 2 2" xfId="7012"/>
    <cellStyle name="Normal 8 2 3 2 2 2" xfId="7013"/>
    <cellStyle name="Normal 8 2 3 2 2 2 2" xfId="10604"/>
    <cellStyle name="Normal 8 2 3 2 2 3" xfId="7014"/>
    <cellStyle name="Normal 8 2 3 2 2 3 2" xfId="10605"/>
    <cellStyle name="Normal 8 2 3 2 2 4" xfId="10603"/>
    <cellStyle name="Normal 8 2 3 2 3" xfId="7015"/>
    <cellStyle name="Normal 8 2 3 2 3 2" xfId="10606"/>
    <cellStyle name="Normal 8 2 3 2 4" xfId="7016"/>
    <cellStyle name="Normal 8 2 3 2 4 2" xfId="10607"/>
    <cellStyle name="Normal 8 2 3 2 5" xfId="7017"/>
    <cellStyle name="Normal 8 2 3 2 5 2" xfId="10608"/>
    <cellStyle name="Normal 8 2 3 2 6" xfId="7018"/>
    <cellStyle name="Normal 8 2 3 2 6 2" xfId="10609"/>
    <cellStyle name="Normal 8 2 3 2 7" xfId="7019"/>
    <cellStyle name="Normal 8 2 3 2 7 2" xfId="10610"/>
    <cellStyle name="Normal 8 2 3 2 8" xfId="7020"/>
    <cellStyle name="Normal 8 2 3 2 8 2" xfId="10611"/>
    <cellStyle name="Normal 8 2 3 2 9" xfId="7021"/>
    <cellStyle name="Normal 8 2 3 2 9 2" xfId="10612"/>
    <cellStyle name="Normal 8 2 3 3" xfId="7022"/>
    <cellStyle name="Normal 8 2 3 3 2" xfId="7023"/>
    <cellStyle name="Normal 8 2 3 3 2 2" xfId="7024"/>
    <cellStyle name="Normal 8 2 3 3 2 2 2" xfId="10615"/>
    <cellStyle name="Normal 8 2 3 3 2 3" xfId="10614"/>
    <cellStyle name="Normal 8 2 3 3 3" xfId="10613"/>
    <cellStyle name="Normal 8 2 3 4" xfId="7025"/>
    <cellStyle name="Normal 8 2 3 4 2" xfId="7026"/>
    <cellStyle name="Normal 8 2 3 4 2 2" xfId="10617"/>
    <cellStyle name="Normal 8 2 3 4 3" xfId="10616"/>
    <cellStyle name="Normal 8 2 3 5" xfId="7027"/>
    <cellStyle name="Normal 8 2 3 5 2" xfId="7028"/>
    <cellStyle name="Normal 8 2 3 5 2 2" xfId="10619"/>
    <cellStyle name="Normal 8 2 3 5 3" xfId="10618"/>
    <cellStyle name="Normal 8 2 3 6" xfId="7029"/>
    <cellStyle name="Normal 8 2 3 6 2" xfId="7030"/>
    <cellStyle name="Normal 8 2 3 6 2 2" xfId="10621"/>
    <cellStyle name="Normal 8 2 3 6 3" xfId="10620"/>
    <cellStyle name="Normal 8 2 3 7" xfId="7031"/>
    <cellStyle name="Normal 8 2 3 7 2" xfId="7032"/>
    <cellStyle name="Normal 8 2 3 7 2 2" xfId="10623"/>
    <cellStyle name="Normal 8 2 3 7 3" xfId="10622"/>
    <cellStyle name="Normal 8 2 3 8" xfId="7033"/>
    <cellStyle name="Normal 8 2 3 8 2" xfId="7034"/>
    <cellStyle name="Normal 8 2 3 8 2 2" xfId="10625"/>
    <cellStyle name="Normal 8 2 3 8 3" xfId="10624"/>
    <cellStyle name="Normal 8 2 3 9" xfId="7035"/>
    <cellStyle name="Normal 8 2 3 9 2" xfId="7036"/>
    <cellStyle name="Normal 8 2 3 9 2 2" xfId="10627"/>
    <cellStyle name="Normal 8 2 3 9 3" xfId="10626"/>
    <cellStyle name="Normal 8 2 4" xfId="7037"/>
    <cellStyle name="Normal 8 2 4 2" xfId="7038"/>
    <cellStyle name="Normal 8 2 4 2 2" xfId="10629"/>
    <cellStyle name="Normal 8 2 4 3" xfId="7039"/>
    <cellStyle name="Normal 8 2 4 3 2" xfId="10630"/>
    <cellStyle name="Normal 8 2 4 4" xfId="10628"/>
    <cellStyle name="Normal 8 2 5" xfId="7040"/>
    <cellStyle name="Normal 8 2 5 2" xfId="10631"/>
    <cellStyle name="Normal 8 2 6" xfId="7041"/>
    <cellStyle name="Normal 8 2 6 2" xfId="10632"/>
    <cellStyle name="Normal 8 2 7" xfId="7042"/>
    <cellStyle name="Normal 8 2 7 2" xfId="10633"/>
    <cellStyle name="Normal 8 2 8" xfId="7043"/>
    <cellStyle name="Normal 8 2 8 2" xfId="10634"/>
    <cellStyle name="Normal 8 2 9" xfId="7044"/>
    <cellStyle name="Normal 8 2 9 2" xfId="10635"/>
    <cellStyle name="Normal 8 3" xfId="7045"/>
    <cellStyle name="Normal 8 3 10" xfId="7046"/>
    <cellStyle name="Normal 8 3 10 2" xfId="10637"/>
    <cellStyle name="Normal 8 3 11" xfId="7047"/>
    <cellStyle name="Normal 8 3 11 2" xfId="10638"/>
    <cellStyle name="Normal 8 3 12" xfId="7048"/>
    <cellStyle name="Normal 8 3 12 2" xfId="10639"/>
    <cellStyle name="Normal 8 3 13" xfId="7049"/>
    <cellStyle name="Normal 8 3 13 2" xfId="10640"/>
    <cellStyle name="Normal 8 3 14" xfId="10636"/>
    <cellStyle name="Normal 8 3 2" xfId="7050"/>
    <cellStyle name="Normal 8 3 2 10" xfId="7051"/>
    <cellStyle name="Normal 8 3 2 10 2" xfId="7052"/>
    <cellStyle name="Normal 8 3 2 10 2 2" xfId="10643"/>
    <cellStyle name="Normal 8 3 2 10 3" xfId="10642"/>
    <cellStyle name="Normal 8 3 2 11" xfId="7053"/>
    <cellStyle name="Normal 8 3 2 11 2" xfId="7054"/>
    <cellStyle name="Normal 8 3 2 11 2 2" xfId="10645"/>
    <cellStyle name="Normal 8 3 2 11 3" xfId="10644"/>
    <cellStyle name="Normal 8 3 2 12" xfId="7055"/>
    <cellStyle name="Normal 8 3 2 12 2" xfId="7056"/>
    <cellStyle name="Normal 8 3 2 12 2 2" xfId="10647"/>
    <cellStyle name="Normal 8 3 2 12 3" xfId="10646"/>
    <cellStyle name="Normal 8 3 2 13" xfId="7057"/>
    <cellStyle name="Normal 8 3 2 13 2" xfId="7058"/>
    <cellStyle name="Normal 8 3 2 13 2 2" xfId="10649"/>
    <cellStyle name="Normal 8 3 2 13 3" xfId="10648"/>
    <cellStyle name="Normal 8 3 2 14" xfId="7059"/>
    <cellStyle name="Normal 8 3 2 14 2" xfId="10650"/>
    <cellStyle name="Normal 8 3 2 15" xfId="10641"/>
    <cellStyle name="Normal 8 3 2 2" xfId="7060"/>
    <cellStyle name="Normal 8 3 2 2 2" xfId="7061"/>
    <cellStyle name="Normal 8 3 2 2 2 2" xfId="7062"/>
    <cellStyle name="Normal 8 3 2 2 2 2 2" xfId="10653"/>
    <cellStyle name="Normal 8 3 2 2 2 3" xfId="10652"/>
    <cellStyle name="Normal 8 3 2 2 3" xfId="10651"/>
    <cellStyle name="Normal 8 3 2 3" xfId="7063"/>
    <cellStyle name="Normal 8 3 2 3 2" xfId="7064"/>
    <cellStyle name="Normal 8 3 2 3 2 2" xfId="10655"/>
    <cellStyle name="Normal 8 3 2 3 3" xfId="10654"/>
    <cellStyle name="Normal 8 3 2 4" xfId="7065"/>
    <cellStyle name="Normal 8 3 2 4 2" xfId="7066"/>
    <cellStyle name="Normal 8 3 2 4 2 2" xfId="10657"/>
    <cellStyle name="Normal 8 3 2 4 3" xfId="10656"/>
    <cellStyle name="Normal 8 3 2 5" xfId="7067"/>
    <cellStyle name="Normal 8 3 2 5 2" xfId="7068"/>
    <cellStyle name="Normal 8 3 2 5 2 2" xfId="10659"/>
    <cellStyle name="Normal 8 3 2 5 3" xfId="10658"/>
    <cellStyle name="Normal 8 3 2 6" xfId="7069"/>
    <cellStyle name="Normal 8 3 2 6 2" xfId="7070"/>
    <cellStyle name="Normal 8 3 2 6 2 2" xfId="10661"/>
    <cellStyle name="Normal 8 3 2 6 3" xfId="10660"/>
    <cellStyle name="Normal 8 3 2 7" xfId="7071"/>
    <cellStyle name="Normal 8 3 2 7 2" xfId="7072"/>
    <cellStyle name="Normal 8 3 2 7 2 2" xfId="10663"/>
    <cellStyle name="Normal 8 3 2 7 3" xfId="10662"/>
    <cellStyle name="Normal 8 3 2 8" xfId="7073"/>
    <cellStyle name="Normal 8 3 2 8 2" xfId="7074"/>
    <cellStyle name="Normal 8 3 2 8 2 2" xfId="10665"/>
    <cellStyle name="Normal 8 3 2 8 3" xfId="10664"/>
    <cellStyle name="Normal 8 3 2 9" xfId="7075"/>
    <cellStyle name="Normal 8 3 2 9 2" xfId="7076"/>
    <cellStyle name="Normal 8 3 2 9 2 2" xfId="10667"/>
    <cellStyle name="Normal 8 3 2 9 3" xfId="10666"/>
    <cellStyle name="Normal 8 3 3" xfId="7077"/>
    <cellStyle name="Normal 8 3 3 2" xfId="7078"/>
    <cellStyle name="Normal 8 3 3 2 2" xfId="10669"/>
    <cellStyle name="Normal 8 3 3 3" xfId="7079"/>
    <cellStyle name="Normal 8 3 3 3 2" xfId="10670"/>
    <cellStyle name="Normal 8 3 3 4" xfId="10668"/>
    <cellStyle name="Normal 8 3 4" xfId="7080"/>
    <cellStyle name="Normal 8 3 4 2" xfId="10671"/>
    <cellStyle name="Normal 8 3 5" xfId="7081"/>
    <cellStyle name="Normal 8 3 5 2" xfId="10672"/>
    <cellStyle name="Normal 8 3 6" xfId="7082"/>
    <cellStyle name="Normal 8 3 6 2" xfId="10673"/>
    <cellStyle name="Normal 8 3 7" xfId="7083"/>
    <cellStyle name="Normal 8 3 7 2" xfId="10674"/>
    <cellStyle name="Normal 8 3 8" xfId="7084"/>
    <cellStyle name="Normal 8 3 8 2" xfId="10675"/>
    <cellStyle name="Normal 8 3 9" xfId="7085"/>
    <cellStyle name="Normal 8 3 9 2" xfId="10676"/>
    <cellStyle name="Normal 8 4" xfId="7086"/>
    <cellStyle name="Normal 8 4 2" xfId="7087"/>
    <cellStyle name="Normal 8 4 2 2" xfId="7088"/>
    <cellStyle name="Normal 8 4 2 2 2" xfId="10679"/>
    <cellStyle name="Normal 8 4 2 3" xfId="10678"/>
    <cellStyle name="Normal 8 4 3" xfId="7089"/>
    <cellStyle name="Normal 8 4 3 2" xfId="10680"/>
    <cellStyle name="Normal 8 4 4" xfId="10677"/>
    <cellStyle name="Normal 8 5" xfId="7090"/>
    <cellStyle name="Normal 8 5 2" xfId="7091"/>
    <cellStyle name="Normal 8 5 2 2" xfId="7092"/>
    <cellStyle name="Normal 8 5 2 2 2" xfId="10683"/>
    <cellStyle name="Normal 8 5 2 3" xfId="10682"/>
    <cellStyle name="Normal 8 5 3" xfId="10681"/>
    <cellStyle name="Normal 8 6" xfId="7093"/>
    <cellStyle name="Normal 8 6 2" xfId="7094"/>
    <cellStyle name="Normal 8 6 2 2" xfId="10685"/>
    <cellStyle name="Normal 8 6 3" xfId="10684"/>
    <cellStyle name="Normal 8 7" xfId="7095"/>
    <cellStyle name="Normal 8 7 2" xfId="7096"/>
    <cellStyle name="Normal 8 7 2 2" xfId="10687"/>
    <cellStyle name="Normal 8 7 3" xfId="10686"/>
    <cellStyle name="Normal 8 8" xfId="7097"/>
    <cellStyle name="Normal 8 8 2" xfId="7098"/>
    <cellStyle name="Normal 8 8 2 2" xfId="10689"/>
    <cellStyle name="Normal 8 8 3" xfId="10688"/>
    <cellStyle name="Normal 8 9" xfId="7099"/>
    <cellStyle name="Normal 8 9 2" xfId="7100"/>
    <cellStyle name="Normal 8 9 2 2" xfId="10691"/>
    <cellStyle name="Normal 8 9 3" xfId="10690"/>
    <cellStyle name="Normal 80" xfId="7101"/>
    <cellStyle name="Normal 80 2" xfId="10692"/>
    <cellStyle name="Normal 81" xfId="7102"/>
    <cellStyle name="Normal 81 2" xfId="10693"/>
    <cellStyle name="Normal 82" xfId="7103"/>
    <cellStyle name="Normal 82 2" xfId="7104"/>
    <cellStyle name="Normal 82 2 2" xfId="10695"/>
    <cellStyle name="Normal 82 3" xfId="10694"/>
    <cellStyle name="Normal 83" xfId="7105"/>
    <cellStyle name="Normal 83 2" xfId="7106"/>
    <cellStyle name="Normal 83 2 2" xfId="10697"/>
    <cellStyle name="Normal 83 3" xfId="10696"/>
    <cellStyle name="Normal 84" xfId="7107"/>
    <cellStyle name="Normal 85" xfId="7625"/>
    <cellStyle name="Normal 86" xfId="7624"/>
    <cellStyle name="Normal 86 2 2" xfId="11216"/>
    <cellStyle name="Normal 87" xfId="11214"/>
    <cellStyle name="Normal 88" xfId="11215"/>
    <cellStyle name="Normal 9" xfId="7108"/>
    <cellStyle name="Normal 9 2" xfId="7109"/>
    <cellStyle name="Normal 9 2 2" xfId="7110"/>
    <cellStyle name="Normal 9 2 2 2" xfId="7111"/>
    <cellStyle name="Normal 9 2 2 2 2" xfId="10701"/>
    <cellStyle name="Normal 9 2 2 3" xfId="10700"/>
    <cellStyle name="Normal 9 2 3" xfId="7112"/>
    <cellStyle name="Normal 9 2 3 2" xfId="10702"/>
    <cellStyle name="Normal 9 2 4" xfId="10699"/>
    <cellStyle name="Normal 9 3" xfId="7113"/>
    <cellStyle name="Normal 9 3 2" xfId="7114"/>
    <cellStyle name="Normal 9 3 2 2" xfId="7115"/>
    <cellStyle name="Normal 9 3 2 2 2" xfId="10705"/>
    <cellStyle name="Normal 9 3 2 3" xfId="10704"/>
    <cellStyle name="Normal 9 3 3" xfId="7116"/>
    <cellStyle name="Normal 9 3 3 2" xfId="10706"/>
    <cellStyle name="Normal 9 3 4" xfId="10703"/>
    <cellStyle name="Normal 9 4" xfId="7117"/>
    <cellStyle name="Normal 9 4 2" xfId="7118"/>
    <cellStyle name="Normal 9 4 2 2" xfId="10708"/>
    <cellStyle name="Normal 9 4 3" xfId="10707"/>
    <cellStyle name="Normal 9 5" xfId="7119"/>
    <cellStyle name="Normal 9 5 2" xfId="10709"/>
    <cellStyle name="Normal 9 6" xfId="10698"/>
    <cellStyle name="Note 10" xfId="7120"/>
    <cellStyle name="Note 10 2" xfId="7121"/>
    <cellStyle name="Note 10 2 2" xfId="7122"/>
    <cellStyle name="Note 10 2 2 2" xfId="7123"/>
    <cellStyle name="Note 10 2 2 2 2" xfId="10713"/>
    <cellStyle name="Note 10 2 2 3" xfId="10712"/>
    <cellStyle name="Note 10 2 3" xfId="7124"/>
    <cellStyle name="Note 10 2 3 2" xfId="10714"/>
    <cellStyle name="Note 10 2 4" xfId="10711"/>
    <cellStyle name="Note 10 3" xfId="7125"/>
    <cellStyle name="Note 10 3 2" xfId="7126"/>
    <cellStyle name="Note 10 3 2 2" xfId="7127"/>
    <cellStyle name="Note 10 3 2 2 2" xfId="10717"/>
    <cellStyle name="Note 10 3 2 3" xfId="10716"/>
    <cellStyle name="Note 10 3 3" xfId="7128"/>
    <cellStyle name="Note 10 3 3 2" xfId="10718"/>
    <cellStyle name="Note 10 3 4" xfId="10715"/>
    <cellStyle name="Note 10 4" xfId="7129"/>
    <cellStyle name="Note 10 4 2" xfId="7130"/>
    <cellStyle name="Note 10 4 2 2" xfId="10720"/>
    <cellStyle name="Note 10 4 3" xfId="10719"/>
    <cellStyle name="Note 10 5" xfId="7131"/>
    <cellStyle name="Note 10 5 2" xfId="10721"/>
    <cellStyle name="Note 10 6" xfId="10710"/>
    <cellStyle name="Note 11" xfId="7132"/>
    <cellStyle name="Note 11 2" xfId="7133"/>
    <cellStyle name="Note 11 2 2" xfId="7134"/>
    <cellStyle name="Note 11 2 2 2" xfId="7135"/>
    <cellStyle name="Note 11 2 2 2 2" xfId="10725"/>
    <cellStyle name="Note 11 2 2 3" xfId="10724"/>
    <cellStyle name="Note 11 2 3" xfId="7136"/>
    <cellStyle name="Note 11 2 3 2" xfId="10726"/>
    <cellStyle name="Note 11 2 4" xfId="10723"/>
    <cellStyle name="Note 11 3" xfId="7137"/>
    <cellStyle name="Note 11 3 2" xfId="7138"/>
    <cellStyle name="Note 11 3 2 2" xfId="7139"/>
    <cellStyle name="Note 11 3 2 2 2" xfId="10729"/>
    <cellStyle name="Note 11 3 2 3" xfId="10728"/>
    <cellStyle name="Note 11 3 3" xfId="7140"/>
    <cellStyle name="Note 11 3 3 2" xfId="10730"/>
    <cellStyle name="Note 11 3 4" xfId="10727"/>
    <cellStyle name="Note 11 4" xfId="7141"/>
    <cellStyle name="Note 11 4 2" xfId="7142"/>
    <cellStyle name="Note 11 4 2 2" xfId="10732"/>
    <cellStyle name="Note 11 4 3" xfId="10731"/>
    <cellStyle name="Note 11 5" xfId="7143"/>
    <cellStyle name="Note 11 5 2" xfId="10733"/>
    <cellStyle name="Note 11 6" xfId="10722"/>
    <cellStyle name="Note 12" xfId="7144"/>
    <cellStyle name="Note 12 2" xfId="7145"/>
    <cellStyle name="Note 12 2 2" xfId="7146"/>
    <cellStyle name="Note 12 2 2 2" xfId="7147"/>
    <cellStyle name="Note 12 2 2 2 2" xfId="10737"/>
    <cellStyle name="Note 12 2 2 3" xfId="10736"/>
    <cellStyle name="Note 12 2 3" xfId="7148"/>
    <cellStyle name="Note 12 2 3 2" xfId="10738"/>
    <cellStyle name="Note 12 2 4" xfId="10735"/>
    <cellStyle name="Note 12 3" xfId="7149"/>
    <cellStyle name="Note 12 3 2" xfId="7150"/>
    <cellStyle name="Note 12 3 2 2" xfId="7151"/>
    <cellStyle name="Note 12 3 2 2 2" xfId="10741"/>
    <cellStyle name="Note 12 3 2 3" xfId="10740"/>
    <cellStyle name="Note 12 3 3" xfId="7152"/>
    <cellStyle name="Note 12 3 3 2" xfId="10742"/>
    <cellStyle name="Note 12 3 4" xfId="10739"/>
    <cellStyle name="Note 12 4" xfId="7153"/>
    <cellStyle name="Note 12 4 2" xfId="7154"/>
    <cellStyle name="Note 12 4 2 2" xfId="10744"/>
    <cellStyle name="Note 12 4 3" xfId="10743"/>
    <cellStyle name="Note 12 5" xfId="7155"/>
    <cellStyle name="Note 12 5 2" xfId="10745"/>
    <cellStyle name="Note 12 6" xfId="10734"/>
    <cellStyle name="Note 13" xfId="7156"/>
    <cellStyle name="Note 13 2" xfId="7157"/>
    <cellStyle name="Note 13 2 2" xfId="7158"/>
    <cellStyle name="Note 13 2 2 2" xfId="7159"/>
    <cellStyle name="Note 13 2 2 2 2" xfId="10749"/>
    <cellStyle name="Note 13 2 2 3" xfId="10748"/>
    <cellStyle name="Note 13 2 3" xfId="7160"/>
    <cellStyle name="Note 13 2 3 2" xfId="10750"/>
    <cellStyle name="Note 13 2 4" xfId="10747"/>
    <cellStyle name="Note 13 3" xfId="7161"/>
    <cellStyle name="Note 13 3 2" xfId="7162"/>
    <cellStyle name="Note 13 3 2 2" xfId="7163"/>
    <cellStyle name="Note 13 3 2 2 2" xfId="10753"/>
    <cellStyle name="Note 13 3 2 3" xfId="10752"/>
    <cellStyle name="Note 13 3 3" xfId="7164"/>
    <cellStyle name="Note 13 3 3 2" xfId="10754"/>
    <cellStyle name="Note 13 3 4" xfId="10751"/>
    <cellStyle name="Note 13 4" xfId="7165"/>
    <cellStyle name="Note 13 4 2" xfId="7166"/>
    <cellStyle name="Note 13 4 2 2" xfId="10756"/>
    <cellStyle name="Note 13 4 3" xfId="10755"/>
    <cellStyle name="Note 13 5" xfId="7167"/>
    <cellStyle name="Note 13 5 2" xfId="10757"/>
    <cellStyle name="Note 13 6" xfId="10746"/>
    <cellStyle name="Note 14" xfId="7168"/>
    <cellStyle name="Note 14 2" xfId="7169"/>
    <cellStyle name="Note 14 2 2" xfId="7170"/>
    <cellStyle name="Note 14 2 2 2" xfId="7171"/>
    <cellStyle name="Note 14 2 2 2 2" xfId="10761"/>
    <cellStyle name="Note 14 2 2 3" xfId="10760"/>
    <cellStyle name="Note 14 2 3" xfId="7172"/>
    <cellStyle name="Note 14 2 3 2" xfId="10762"/>
    <cellStyle name="Note 14 2 4" xfId="10759"/>
    <cellStyle name="Note 14 3" xfId="7173"/>
    <cellStyle name="Note 14 3 2" xfId="7174"/>
    <cellStyle name="Note 14 3 2 2" xfId="7175"/>
    <cellStyle name="Note 14 3 2 2 2" xfId="10765"/>
    <cellStyle name="Note 14 3 2 3" xfId="10764"/>
    <cellStyle name="Note 14 3 3" xfId="7176"/>
    <cellStyle name="Note 14 3 3 2" xfId="10766"/>
    <cellStyle name="Note 14 3 4" xfId="10763"/>
    <cellStyle name="Note 14 4" xfId="7177"/>
    <cellStyle name="Note 14 4 2" xfId="7178"/>
    <cellStyle name="Note 14 4 2 2" xfId="10768"/>
    <cellStyle name="Note 14 4 3" xfId="10767"/>
    <cellStyle name="Note 14 5" xfId="7179"/>
    <cellStyle name="Note 14 5 2" xfId="10769"/>
    <cellStyle name="Note 14 6" xfId="10758"/>
    <cellStyle name="Note 15" xfId="7180"/>
    <cellStyle name="Note 15 2" xfId="7181"/>
    <cellStyle name="Note 15 2 2" xfId="7182"/>
    <cellStyle name="Note 15 2 2 2" xfId="7183"/>
    <cellStyle name="Note 15 2 2 2 2" xfId="10773"/>
    <cellStyle name="Note 15 2 2 3" xfId="10772"/>
    <cellStyle name="Note 15 2 3" xfId="7184"/>
    <cellStyle name="Note 15 2 3 2" xfId="10774"/>
    <cellStyle name="Note 15 2 4" xfId="10771"/>
    <cellStyle name="Note 15 3" xfId="7185"/>
    <cellStyle name="Note 15 3 2" xfId="7186"/>
    <cellStyle name="Note 15 3 2 2" xfId="7187"/>
    <cellStyle name="Note 15 3 2 2 2" xfId="10777"/>
    <cellStyle name="Note 15 3 2 3" xfId="10776"/>
    <cellStyle name="Note 15 3 3" xfId="7188"/>
    <cellStyle name="Note 15 3 3 2" xfId="10778"/>
    <cellStyle name="Note 15 3 4" xfId="10775"/>
    <cellStyle name="Note 15 4" xfId="7189"/>
    <cellStyle name="Note 15 4 2" xfId="7190"/>
    <cellStyle name="Note 15 4 2 2" xfId="10780"/>
    <cellStyle name="Note 15 4 3" xfId="10779"/>
    <cellStyle name="Note 15 5" xfId="7191"/>
    <cellStyle name="Note 15 5 2" xfId="10781"/>
    <cellStyle name="Note 15 6" xfId="10770"/>
    <cellStyle name="Note 16" xfId="7192"/>
    <cellStyle name="Note 16 2" xfId="7193"/>
    <cellStyle name="Note 16 2 2" xfId="7194"/>
    <cellStyle name="Note 16 2 2 2" xfId="7195"/>
    <cellStyle name="Note 16 2 2 2 2" xfId="10785"/>
    <cellStyle name="Note 16 2 2 3" xfId="10784"/>
    <cellStyle name="Note 16 2 3" xfId="7196"/>
    <cellStyle name="Note 16 2 3 2" xfId="10786"/>
    <cellStyle name="Note 16 2 4" xfId="10783"/>
    <cellStyle name="Note 16 3" xfId="7197"/>
    <cellStyle name="Note 16 3 2" xfId="7198"/>
    <cellStyle name="Note 16 3 2 2" xfId="7199"/>
    <cellStyle name="Note 16 3 2 2 2" xfId="10789"/>
    <cellStyle name="Note 16 3 2 3" xfId="10788"/>
    <cellStyle name="Note 16 3 3" xfId="7200"/>
    <cellStyle name="Note 16 3 3 2" xfId="10790"/>
    <cellStyle name="Note 16 3 4" xfId="10787"/>
    <cellStyle name="Note 16 4" xfId="7201"/>
    <cellStyle name="Note 16 4 2" xfId="7202"/>
    <cellStyle name="Note 16 4 2 2" xfId="10792"/>
    <cellStyle name="Note 16 4 3" xfId="10791"/>
    <cellStyle name="Note 16 5" xfId="7203"/>
    <cellStyle name="Note 16 5 2" xfId="10793"/>
    <cellStyle name="Note 16 6" xfId="10782"/>
    <cellStyle name="Note 17" xfId="7204"/>
    <cellStyle name="Note 17 2" xfId="7205"/>
    <cellStyle name="Note 17 2 2" xfId="7206"/>
    <cellStyle name="Note 17 2 2 2" xfId="7207"/>
    <cellStyle name="Note 17 2 2 2 2" xfId="10797"/>
    <cellStyle name="Note 17 2 2 3" xfId="10796"/>
    <cellStyle name="Note 17 2 3" xfId="7208"/>
    <cellStyle name="Note 17 2 3 2" xfId="10798"/>
    <cellStyle name="Note 17 2 4" xfId="10795"/>
    <cellStyle name="Note 17 3" xfId="7209"/>
    <cellStyle name="Note 17 3 2" xfId="7210"/>
    <cellStyle name="Note 17 3 2 2" xfId="7211"/>
    <cellStyle name="Note 17 3 2 2 2" xfId="10801"/>
    <cellStyle name="Note 17 3 2 3" xfId="10800"/>
    <cellStyle name="Note 17 3 3" xfId="7212"/>
    <cellStyle name="Note 17 3 3 2" xfId="10802"/>
    <cellStyle name="Note 17 3 4" xfId="10799"/>
    <cellStyle name="Note 17 4" xfId="7213"/>
    <cellStyle name="Note 17 4 2" xfId="7214"/>
    <cellStyle name="Note 17 4 2 2" xfId="10804"/>
    <cellStyle name="Note 17 4 3" xfId="10803"/>
    <cellStyle name="Note 17 5" xfId="7215"/>
    <cellStyle name="Note 17 5 2" xfId="10805"/>
    <cellStyle name="Note 17 6" xfId="10794"/>
    <cellStyle name="Note 18" xfId="7216"/>
    <cellStyle name="Note 18 2" xfId="7217"/>
    <cellStyle name="Note 18 2 2" xfId="7218"/>
    <cellStyle name="Note 18 2 2 2" xfId="7219"/>
    <cellStyle name="Note 18 2 2 2 2" xfId="10809"/>
    <cellStyle name="Note 18 2 2 3" xfId="10808"/>
    <cellStyle name="Note 18 2 3" xfId="7220"/>
    <cellStyle name="Note 18 2 3 2" xfId="10810"/>
    <cellStyle name="Note 18 2 4" xfId="10807"/>
    <cellStyle name="Note 18 3" xfId="7221"/>
    <cellStyle name="Note 18 3 2" xfId="7222"/>
    <cellStyle name="Note 18 3 2 2" xfId="7223"/>
    <cellStyle name="Note 18 3 2 2 2" xfId="10813"/>
    <cellStyle name="Note 18 3 2 3" xfId="10812"/>
    <cellStyle name="Note 18 3 3" xfId="7224"/>
    <cellStyle name="Note 18 3 3 2" xfId="10814"/>
    <cellStyle name="Note 18 3 4" xfId="10811"/>
    <cellStyle name="Note 18 4" xfId="7225"/>
    <cellStyle name="Note 18 4 2" xfId="7226"/>
    <cellStyle name="Note 18 4 2 2" xfId="10816"/>
    <cellStyle name="Note 18 4 3" xfId="10815"/>
    <cellStyle name="Note 18 5" xfId="7227"/>
    <cellStyle name="Note 18 5 2" xfId="10817"/>
    <cellStyle name="Note 18 6" xfId="10806"/>
    <cellStyle name="Note 19" xfId="7228"/>
    <cellStyle name="Note 19 2" xfId="7229"/>
    <cellStyle name="Note 19 2 2" xfId="7230"/>
    <cellStyle name="Note 19 2 2 2" xfId="7231"/>
    <cellStyle name="Note 19 2 2 2 2" xfId="10821"/>
    <cellStyle name="Note 19 2 2 3" xfId="10820"/>
    <cellStyle name="Note 19 2 3" xfId="7232"/>
    <cellStyle name="Note 19 2 3 2" xfId="10822"/>
    <cellStyle name="Note 19 2 4" xfId="10819"/>
    <cellStyle name="Note 19 3" xfId="7233"/>
    <cellStyle name="Note 19 3 2" xfId="7234"/>
    <cellStyle name="Note 19 3 2 2" xfId="7235"/>
    <cellStyle name="Note 19 3 2 2 2" xfId="10825"/>
    <cellStyle name="Note 19 3 2 3" xfId="10824"/>
    <cellStyle name="Note 19 3 3" xfId="7236"/>
    <cellStyle name="Note 19 3 3 2" xfId="10826"/>
    <cellStyle name="Note 19 3 4" xfId="10823"/>
    <cellStyle name="Note 19 4" xfId="7237"/>
    <cellStyle name="Note 19 4 2" xfId="7238"/>
    <cellStyle name="Note 19 4 2 2" xfId="10828"/>
    <cellStyle name="Note 19 4 3" xfId="10827"/>
    <cellStyle name="Note 19 5" xfId="7239"/>
    <cellStyle name="Note 19 5 2" xfId="10829"/>
    <cellStyle name="Note 19 6" xfId="10818"/>
    <cellStyle name="Note 2" xfId="7240"/>
    <cellStyle name="Note 2 2" xfId="7241"/>
    <cellStyle name="Note 2 2 2" xfId="7242"/>
    <cellStyle name="Note 2 2 2 2" xfId="7243"/>
    <cellStyle name="Note 2 2 2 2 2" xfId="10833"/>
    <cellStyle name="Note 2 2 2 3" xfId="10832"/>
    <cellStyle name="Note 2 2 3" xfId="7244"/>
    <cellStyle name="Note 2 2 3 2" xfId="10834"/>
    <cellStyle name="Note 2 2 4" xfId="10831"/>
    <cellStyle name="Note 2 3" xfId="7245"/>
    <cellStyle name="Note 2 3 2" xfId="7246"/>
    <cellStyle name="Note 2 3 2 2" xfId="7247"/>
    <cellStyle name="Note 2 3 2 2 2" xfId="10837"/>
    <cellStyle name="Note 2 3 2 3" xfId="10836"/>
    <cellStyle name="Note 2 3 3" xfId="7248"/>
    <cellStyle name="Note 2 3 3 2" xfId="10838"/>
    <cellStyle name="Note 2 3 4" xfId="10835"/>
    <cellStyle name="Note 2 4" xfId="7249"/>
    <cellStyle name="Note 2 4 2" xfId="7250"/>
    <cellStyle name="Note 2 4 2 2" xfId="10840"/>
    <cellStyle name="Note 2 4 3" xfId="10839"/>
    <cellStyle name="Note 2 5" xfId="7251"/>
    <cellStyle name="Note 2 5 2" xfId="10841"/>
    <cellStyle name="Note 2 6" xfId="10830"/>
    <cellStyle name="Note 2 7" xfId="11261"/>
    <cellStyle name="Note 20" xfId="7252"/>
    <cellStyle name="Note 20 2" xfId="7253"/>
    <cellStyle name="Note 20 2 2" xfId="7254"/>
    <cellStyle name="Note 20 2 2 2" xfId="7255"/>
    <cellStyle name="Note 20 2 2 2 2" xfId="10845"/>
    <cellStyle name="Note 20 2 2 3" xfId="10844"/>
    <cellStyle name="Note 20 2 3" xfId="7256"/>
    <cellStyle name="Note 20 2 3 2" xfId="10846"/>
    <cellStyle name="Note 20 2 4" xfId="10843"/>
    <cellStyle name="Note 20 3" xfId="7257"/>
    <cellStyle name="Note 20 3 2" xfId="7258"/>
    <cellStyle name="Note 20 3 2 2" xfId="7259"/>
    <cellStyle name="Note 20 3 2 2 2" xfId="10849"/>
    <cellStyle name="Note 20 3 2 3" xfId="10848"/>
    <cellStyle name="Note 20 3 3" xfId="7260"/>
    <cellStyle name="Note 20 3 3 2" xfId="10850"/>
    <cellStyle name="Note 20 3 4" xfId="10847"/>
    <cellStyle name="Note 20 4" xfId="7261"/>
    <cellStyle name="Note 20 4 2" xfId="7262"/>
    <cellStyle name="Note 20 4 2 2" xfId="10852"/>
    <cellStyle name="Note 20 4 3" xfId="10851"/>
    <cellStyle name="Note 20 5" xfId="7263"/>
    <cellStyle name="Note 20 5 2" xfId="10853"/>
    <cellStyle name="Note 20 6" xfId="10842"/>
    <cellStyle name="Note 21" xfId="7264"/>
    <cellStyle name="Note 21 2" xfId="7265"/>
    <cellStyle name="Note 21 2 2" xfId="7266"/>
    <cellStyle name="Note 21 2 2 2" xfId="7267"/>
    <cellStyle name="Note 21 2 2 2 2" xfId="10857"/>
    <cellStyle name="Note 21 2 2 3" xfId="10856"/>
    <cellStyle name="Note 21 2 3" xfId="7268"/>
    <cellStyle name="Note 21 2 3 2" xfId="10858"/>
    <cellStyle name="Note 21 2 4" xfId="10855"/>
    <cellStyle name="Note 21 3" xfId="7269"/>
    <cellStyle name="Note 21 3 2" xfId="7270"/>
    <cellStyle name="Note 21 3 2 2" xfId="7271"/>
    <cellStyle name="Note 21 3 2 2 2" xfId="10861"/>
    <cellStyle name="Note 21 3 2 3" xfId="10860"/>
    <cellStyle name="Note 21 3 3" xfId="7272"/>
    <cellStyle name="Note 21 3 3 2" xfId="10862"/>
    <cellStyle name="Note 21 3 4" xfId="10859"/>
    <cellStyle name="Note 21 4" xfId="7273"/>
    <cellStyle name="Note 21 4 2" xfId="7274"/>
    <cellStyle name="Note 21 4 2 2" xfId="10864"/>
    <cellStyle name="Note 21 4 3" xfId="10863"/>
    <cellStyle name="Note 21 5" xfId="7275"/>
    <cellStyle name="Note 21 5 2" xfId="10865"/>
    <cellStyle name="Note 21 6" xfId="10854"/>
    <cellStyle name="Note 22" xfId="7276"/>
    <cellStyle name="Note 22 2" xfId="7277"/>
    <cellStyle name="Note 22 2 2" xfId="7278"/>
    <cellStyle name="Note 22 2 2 2" xfId="7279"/>
    <cellStyle name="Note 22 2 2 2 2" xfId="10869"/>
    <cellStyle name="Note 22 2 2 3" xfId="10868"/>
    <cellStyle name="Note 22 2 3" xfId="7280"/>
    <cellStyle name="Note 22 2 3 2" xfId="10870"/>
    <cellStyle name="Note 22 2 4" xfId="10867"/>
    <cellStyle name="Note 22 3" xfId="7281"/>
    <cellStyle name="Note 22 3 2" xfId="7282"/>
    <cellStyle name="Note 22 3 2 2" xfId="7283"/>
    <cellStyle name="Note 22 3 2 2 2" xfId="10873"/>
    <cellStyle name="Note 22 3 2 3" xfId="10872"/>
    <cellStyle name="Note 22 3 3" xfId="7284"/>
    <cellStyle name="Note 22 3 3 2" xfId="10874"/>
    <cellStyle name="Note 22 3 4" xfId="10871"/>
    <cellStyle name="Note 22 4" xfId="7285"/>
    <cellStyle name="Note 22 4 2" xfId="7286"/>
    <cellStyle name="Note 22 4 2 2" xfId="10876"/>
    <cellStyle name="Note 22 4 3" xfId="10875"/>
    <cellStyle name="Note 22 5" xfId="7287"/>
    <cellStyle name="Note 22 5 2" xfId="10877"/>
    <cellStyle name="Note 22 6" xfId="10866"/>
    <cellStyle name="Note 23" xfId="7288"/>
    <cellStyle name="Note 23 2" xfId="7289"/>
    <cellStyle name="Note 23 2 2" xfId="7290"/>
    <cellStyle name="Note 23 2 2 2" xfId="7291"/>
    <cellStyle name="Note 23 2 2 2 2" xfId="10881"/>
    <cellStyle name="Note 23 2 2 3" xfId="10880"/>
    <cellStyle name="Note 23 2 3" xfId="7292"/>
    <cellStyle name="Note 23 2 3 2" xfId="10882"/>
    <cellStyle name="Note 23 2 4" xfId="10879"/>
    <cellStyle name="Note 23 3" xfId="7293"/>
    <cellStyle name="Note 23 3 2" xfId="7294"/>
    <cellStyle name="Note 23 3 2 2" xfId="7295"/>
    <cellStyle name="Note 23 3 2 2 2" xfId="10885"/>
    <cellStyle name="Note 23 3 2 3" xfId="10884"/>
    <cellStyle name="Note 23 3 3" xfId="7296"/>
    <cellStyle name="Note 23 3 3 2" xfId="10886"/>
    <cellStyle name="Note 23 3 4" xfId="10883"/>
    <cellStyle name="Note 23 4" xfId="7297"/>
    <cellStyle name="Note 23 4 2" xfId="7298"/>
    <cellStyle name="Note 23 4 2 2" xfId="10888"/>
    <cellStyle name="Note 23 4 3" xfId="10887"/>
    <cellStyle name="Note 23 5" xfId="7299"/>
    <cellStyle name="Note 23 5 2" xfId="10889"/>
    <cellStyle name="Note 23 6" xfId="10878"/>
    <cellStyle name="Note 24" xfId="7300"/>
    <cellStyle name="Note 24 2" xfId="7301"/>
    <cellStyle name="Note 24 2 2" xfId="7302"/>
    <cellStyle name="Note 24 2 2 2" xfId="7303"/>
    <cellStyle name="Note 24 2 2 2 2" xfId="10893"/>
    <cellStyle name="Note 24 2 2 3" xfId="10892"/>
    <cellStyle name="Note 24 2 3" xfId="7304"/>
    <cellStyle name="Note 24 2 3 2" xfId="10894"/>
    <cellStyle name="Note 24 2 4" xfId="10891"/>
    <cellStyle name="Note 24 3" xfId="7305"/>
    <cellStyle name="Note 24 3 2" xfId="7306"/>
    <cellStyle name="Note 24 3 2 2" xfId="7307"/>
    <cellStyle name="Note 24 3 2 2 2" xfId="10897"/>
    <cellStyle name="Note 24 3 2 3" xfId="10896"/>
    <cellStyle name="Note 24 3 3" xfId="7308"/>
    <cellStyle name="Note 24 3 3 2" xfId="10898"/>
    <cellStyle name="Note 24 3 4" xfId="10895"/>
    <cellStyle name="Note 24 4" xfId="7309"/>
    <cellStyle name="Note 24 4 2" xfId="7310"/>
    <cellStyle name="Note 24 4 2 2" xfId="10900"/>
    <cellStyle name="Note 24 4 3" xfId="10899"/>
    <cellStyle name="Note 24 5" xfId="7311"/>
    <cellStyle name="Note 24 5 2" xfId="10901"/>
    <cellStyle name="Note 24 6" xfId="10890"/>
    <cellStyle name="Note 25" xfId="7312"/>
    <cellStyle name="Note 25 2" xfId="7313"/>
    <cellStyle name="Note 25 2 2" xfId="7314"/>
    <cellStyle name="Note 25 2 2 2" xfId="7315"/>
    <cellStyle name="Note 25 2 2 2 2" xfId="10905"/>
    <cellStyle name="Note 25 2 2 3" xfId="10904"/>
    <cellStyle name="Note 25 2 3" xfId="7316"/>
    <cellStyle name="Note 25 2 3 2" xfId="10906"/>
    <cellStyle name="Note 25 2 4" xfId="10903"/>
    <cellStyle name="Note 25 3" xfId="7317"/>
    <cellStyle name="Note 25 3 2" xfId="7318"/>
    <cellStyle name="Note 25 3 2 2" xfId="7319"/>
    <cellStyle name="Note 25 3 2 2 2" xfId="10909"/>
    <cellStyle name="Note 25 3 2 3" xfId="10908"/>
    <cellStyle name="Note 25 3 3" xfId="7320"/>
    <cellStyle name="Note 25 3 3 2" xfId="10910"/>
    <cellStyle name="Note 25 3 4" xfId="10907"/>
    <cellStyle name="Note 25 4" xfId="7321"/>
    <cellStyle name="Note 25 4 2" xfId="7322"/>
    <cellStyle name="Note 25 4 2 2" xfId="10912"/>
    <cellStyle name="Note 25 4 3" xfId="10911"/>
    <cellStyle name="Note 25 5" xfId="7323"/>
    <cellStyle name="Note 25 5 2" xfId="10913"/>
    <cellStyle name="Note 25 6" xfId="10902"/>
    <cellStyle name="Note 26" xfId="7324"/>
    <cellStyle name="Note 26 2" xfId="7325"/>
    <cellStyle name="Note 26 2 2" xfId="7326"/>
    <cellStyle name="Note 26 2 2 2" xfId="7327"/>
    <cellStyle name="Note 26 2 2 2 2" xfId="10917"/>
    <cellStyle name="Note 26 2 2 3" xfId="10916"/>
    <cellStyle name="Note 26 2 3" xfId="7328"/>
    <cellStyle name="Note 26 2 3 2" xfId="10918"/>
    <cellStyle name="Note 26 2 4" xfId="10915"/>
    <cellStyle name="Note 26 3" xfId="7329"/>
    <cellStyle name="Note 26 3 2" xfId="7330"/>
    <cellStyle name="Note 26 3 2 2" xfId="7331"/>
    <cellStyle name="Note 26 3 2 2 2" xfId="10921"/>
    <cellStyle name="Note 26 3 2 3" xfId="10920"/>
    <cellStyle name="Note 26 3 3" xfId="7332"/>
    <cellStyle name="Note 26 3 3 2" xfId="10922"/>
    <cellStyle name="Note 26 3 4" xfId="10919"/>
    <cellStyle name="Note 26 4" xfId="7333"/>
    <cellStyle name="Note 26 4 2" xfId="7334"/>
    <cellStyle name="Note 26 4 2 2" xfId="10924"/>
    <cellStyle name="Note 26 4 3" xfId="10923"/>
    <cellStyle name="Note 26 5" xfId="7335"/>
    <cellStyle name="Note 26 5 2" xfId="10925"/>
    <cellStyle name="Note 26 6" xfId="10914"/>
    <cellStyle name="Note 27" xfId="7336"/>
    <cellStyle name="Note 27 2" xfId="7337"/>
    <cellStyle name="Note 27 2 2" xfId="7338"/>
    <cellStyle name="Note 27 2 2 2" xfId="7339"/>
    <cellStyle name="Note 27 2 2 2 2" xfId="10929"/>
    <cellStyle name="Note 27 2 2 3" xfId="10928"/>
    <cellStyle name="Note 27 2 3" xfId="7340"/>
    <cellStyle name="Note 27 2 3 2" xfId="10930"/>
    <cellStyle name="Note 27 2 4" xfId="10927"/>
    <cellStyle name="Note 27 3" xfId="7341"/>
    <cellStyle name="Note 27 3 2" xfId="7342"/>
    <cellStyle name="Note 27 3 2 2" xfId="7343"/>
    <cellStyle name="Note 27 3 2 2 2" xfId="10933"/>
    <cellStyle name="Note 27 3 2 3" xfId="10932"/>
    <cellStyle name="Note 27 3 3" xfId="7344"/>
    <cellStyle name="Note 27 3 3 2" xfId="10934"/>
    <cellStyle name="Note 27 3 4" xfId="10931"/>
    <cellStyle name="Note 27 4" xfId="7345"/>
    <cellStyle name="Note 27 4 2" xfId="7346"/>
    <cellStyle name="Note 27 4 2 2" xfId="10936"/>
    <cellStyle name="Note 27 4 3" xfId="10935"/>
    <cellStyle name="Note 27 5" xfId="7347"/>
    <cellStyle name="Note 27 5 2" xfId="10937"/>
    <cellStyle name="Note 27 6" xfId="10926"/>
    <cellStyle name="Note 28" xfId="7348"/>
    <cellStyle name="Note 28 2" xfId="7349"/>
    <cellStyle name="Note 28 2 2" xfId="7350"/>
    <cellStyle name="Note 28 2 2 2" xfId="7351"/>
    <cellStyle name="Note 28 2 2 2 2" xfId="10941"/>
    <cellStyle name="Note 28 2 2 3" xfId="10940"/>
    <cellStyle name="Note 28 2 3" xfId="7352"/>
    <cellStyle name="Note 28 2 3 2" xfId="10942"/>
    <cellStyle name="Note 28 2 4" xfId="10939"/>
    <cellStyle name="Note 28 3" xfId="7353"/>
    <cellStyle name="Note 28 3 2" xfId="7354"/>
    <cellStyle name="Note 28 3 2 2" xfId="7355"/>
    <cellStyle name="Note 28 3 2 2 2" xfId="10945"/>
    <cellStyle name="Note 28 3 2 3" xfId="10944"/>
    <cellStyle name="Note 28 3 3" xfId="7356"/>
    <cellStyle name="Note 28 3 3 2" xfId="10946"/>
    <cellStyle name="Note 28 3 4" xfId="10943"/>
    <cellStyle name="Note 28 4" xfId="7357"/>
    <cellStyle name="Note 28 4 2" xfId="7358"/>
    <cellStyle name="Note 28 4 2 2" xfId="10948"/>
    <cellStyle name="Note 28 4 3" xfId="10947"/>
    <cellStyle name="Note 28 5" xfId="7359"/>
    <cellStyle name="Note 28 5 2" xfId="10949"/>
    <cellStyle name="Note 28 6" xfId="10938"/>
    <cellStyle name="Note 29" xfId="7360"/>
    <cellStyle name="Note 29 2" xfId="7361"/>
    <cellStyle name="Note 29 2 2" xfId="7362"/>
    <cellStyle name="Note 29 2 2 2" xfId="7363"/>
    <cellStyle name="Note 29 2 2 2 2" xfId="10953"/>
    <cellStyle name="Note 29 2 2 3" xfId="10952"/>
    <cellStyle name="Note 29 2 3" xfId="7364"/>
    <cellStyle name="Note 29 2 3 2" xfId="10954"/>
    <cellStyle name="Note 29 2 4" xfId="10951"/>
    <cellStyle name="Note 29 3" xfId="7365"/>
    <cellStyle name="Note 29 3 2" xfId="7366"/>
    <cellStyle name="Note 29 3 2 2" xfId="7367"/>
    <cellStyle name="Note 29 3 2 2 2" xfId="10957"/>
    <cellStyle name="Note 29 3 2 3" xfId="10956"/>
    <cellStyle name="Note 29 3 3" xfId="7368"/>
    <cellStyle name="Note 29 3 3 2" xfId="10958"/>
    <cellStyle name="Note 29 3 4" xfId="10955"/>
    <cellStyle name="Note 29 4" xfId="7369"/>
    <cellStyle name="Note 29 4 2" xfId="7370"/>
    <cellStyle name="Note 29 4 2 2" xfId="10960"/>
    <cellStyle name="Note 29 4 3" xfId="10959"/>
    <cellStyle name="Note 29 5" xfId="7371"/>
    <cellStyle name="Note 29 5 2" xfId="10961"/>
    <cellStyle name="Note 29 6" xfId="10950"/>
    <cellStyle name="Note 3" xfId="7372"/>
    <cellStyle name="Note 3 2" xfId="7373"/>
    <cellStyle name="Note 3 2 2" xfId="7374"/>
    <cellStyle name="Note 3 2 2 2" xfId="7375"/>
    <cellStyle name="Note 3 2 2 2 2" xfId="10965"/>
    <cellStyle name="Note 3 2 2 3" xfId="10964"/>
    <cellStyle name="Note 3 2 3" xfId="7376"/>
    <cellStyle name="Note 3 2 3 2" xfId="10966"/>
    <cellStyle name="Note 3 2 4" xfId="10963"/>
    <cellStyle name="Note 3 3" xfId="7377"/>
    <cellStyle name="Note 3 3 2" xfId="7378"/>
    <cellStyle name="Note 3 3 2 2" xfId="7379"/>
    <cellStyle name="Note 3 3 2 2 2" xfId="10969"/>
    <cellStyle name="Note 3 3 2 3" xfId="10968"/>
    <cellStyle name="Note 3 3 3" xfId="7380"/>
    <cellStyle name="Note 3 3 3 2" xfId="10970"/>
    <cellStyle name="Note 3 3 4" xfId="10967"/>
    <cellStyle name="Note 3 4" xfId="7381"/>
    <cellStyle name="Note 3 4 2" xfId="7382"/>
    <cellStyle name="Note 3 4 2 2" xfId="10972"/>
    <cellStyle name="Note 3 4 3" xfId="10971"/>
    <cellStyle name="Note 3 5" xfId="7383"/>
    <cellStyle name="Note 3 5 2" xfId="10973"/>
    <cellStyle name="Note 3 6" xfId="10962"/>
    <cellStyle name="Note 3 7" xfId="11262"/>
    <cellStyle name="Note 30" xfId="7384"/>
    <cellStyle name="Note 30 2" xfId="7385"/>
    <cellStyle name="Note 30 2 2" xfId="7386"/>
    <cellStyle name="Note 30 2 2 2" xfId="7387"/>
    <cellStyle name="Note 30 2 2 2 2" xfId="10977"/>
    <cellStyle name="Note 30 2 2 3" xfId="10976"/>
    <cellStyle name="Note 30 2 3" xfId="7388"/>
    <cellStyle name="Note 30 2 3 2" xfId="10978"/>
    <cellStyle name="Note 30 2 4" xfId="10975"/>
    <cellStyle name="Note 30 3" xfId="7389"/>
    <cellStyle name="Note 30 3 2" xfId="7390"/>
    <cellStyle name="Note 30 3 2 2" xfId="7391"/>
    <cellStyle name="Note 30 3 2 2 2" xfId="10981"/>
    <cellStyle name="Note 30 3 2 3" xfId="10980"/>
    <cellStyle name="Note 30 3 3" xfId="7392"/>
    <cellStyle name="Note 30 3 3 2" xfId="10982"/>
    <cellStyle name="Note 30 3 4" xfId="10979"/>
    <cellStyle name="Note 30 4" xfId="7393"/>
    <cellStyle name="Note 30 4 2" xfId="7394"/>
    <cellStyle name="Note 30 4 2 2" xfId="10984"/>
    <cellStyle name="Note 30 4 3" xfId="10983"/>
    <cellStyle name="Note 30 5" xfId="7395"/>
    <cellStyle name="Note 30 5 2" xfId="10985"/>
    <cellStyle name="Note 30 6" xfId="10974"/>
    <cellStyle name="Note 31" xfId="7396"/>
    <cellStyle name="Note 31 2" xfId="7397"/>
    <cellStyle name="Note 31 2 2" xfId="7398"/>
    <cellStyle name="Note 31 2 2 2" xfId="7399"/>
    <cellStyle name="Note 31 2 2 2 2" xfId="10989"/>
    <cellStyle name="Note 31 2 2 3" xfId="10988"/>
    <cellStyle name="Note 31 2 3" xfId="7400"/>
    <cellStyle name="Note 31 2 3 2" xfId="10990"/>
    <cellStyle name="Note 31 2 4" xfId="10987"/>
    <cellStyle name="Note 31 3" xfId="7401"/>
    <cellStyle name="Note 31 3 2" xfId="7402"/>
    <cellStyle name="Note 31 3 2 2" xfId="7403"/>
    <cellStyle name="Note 31 3 2 2 2" xfId="10993"/>
    <cellStyle name="Note 31 3 2 3" xfId="10992"/>
    <cellStyle name="Note 31 3 3" xfId="7404"/>
    <cellStyle name="Note 31 3 3 2" xfId="10994"/>
    <cellStyle name="Note 31 3 4" xfId="10991"/>
    <cellStyle name="Note 31 4" xfId="7405"/>
    <cellStyle name="Note 31 4 2" xfId="7406"/>
    <cellStyle name="Note 31 4 2 2" xfId="10996"/>
    <cellStyle name="Note 31 4 3" xfId="10995"/>
    <cellStyle name="Note 31 5" xfId="7407"/>
    <cellStyle name="Note 31 5 2" xfId="10997"/>
    <cellStyle name="Note 31 6" xfId="10986"/>
    <cellStyle name="Note 32" xfId="7408"/>
    <cellStyle name="Note 32 2" xfId="7409"/>
    <cellStyle name="Note 32 2 2" xfId="7410"/>
    <cellStyle name="Note 32 2 2 2" xfId="7411"/>
    <cellStyle name="Note 32 2 2 2 2" xfId="11001"/>
    <cellStyle name="Note 32 2 2 3" xfId="11000"/>
    <cellStyle name="Note 32 2 3" xfId="7412"/>
    <cellStyle name="Note 32 2 3 2" xfId="11002"/>
    <cellStyle name="Note 32 2 4" xfId="10999"/>
    <cellStyle name="Note 32 3" xfId="7413"/>
    <cellStyle name="Note 32 3 2" xfId="7414"/>
    <cellStyle name="Note 32 3 2 2" xfId="7415"/>
    <cellStyle name="Note 32 3 2 2 2" xfId="11005"/>
    <cellStyle name="Note 32 3 2 3" xfId="11004"/>
    <cellStyle name="Note 32 3 3" xfId="7416"/>
    <cellStyle name="Note 32 3 3 2" xfId="11006"/>
    <cellStyle name="Note 32 3 4" xfId="11003"/>
    <cellStyle name="Note 32 4" xfId="7417"/>
    <cellStyle name="Note 32 4 2" xfId="7418"/>
    <cellStyle name="Note 32 4 2 2" xfId="11008"/>
    <cellStyle name="Note 32 4 3" xfId="11007"/>
    <cellStyle name="Note 32 5" xfId="7419"/>
    <cellStyle name="Note 32 5 2" xfId="11009"/>
    <cellStyle name="Note 32 6" xfId="10998"/>
    <cellStyle name="Note 33" xfId="7420"/>
    <cellStyle name="Note 33 2" xfId="7421"/>
    <cellStyle name="Note 33 2 2" xfId="7422"/>
    <cellStyle name="Note 33 2 2 2" xfId="7423"/>
    <cellStyle name="Note 33 2 2 2 2" xfId="11013"/>
    <cellStyle name="Note 33 2 2 3" xfId="11012"/>
    <cellStyle name="Note 33 2 3" xfId="7424"/>
    <cellStyle name="Note 33 2 3 2" xfId="11014"/>
    <cellStyle name="Note 33 2 4" xfId="11011"/>
    <cellStyle name="Note 33 3" xfId="7425"/>
    <cellStyle name="Note 33 3 2" xfId="7426"/>
    <cellStyle name="Note 33 3 2 2" xfId="7427"/>
    <cellStyle name="Note 33 3 2 2 2" xfId="11017"/>
    <cellStyle name="Note 33 3 2 3" xfId="11016"/>
    <cellStyle name="Note 33 3 3" xfId="7428"/>
    <cellStyle name="Note 33 3 3 2" xfId="11018"/>
    <cellStyle name="Note 33 3 4" xfId="11015"/>
    <cellStyle name="Note 33 4" xfId="7429"/>
    <cellStyle name="Note 33 4 2" xfId="7430"/>
    <cellStyle name="Note 33 4 2 2" xfId="11020"/>
    <cellStyle name="Note 33 4 3" xfId="11019"/>
    <cellStyle name="Note 33 5" xfId="7431"/>
    <cellStyle name="Note 33 5 2" xfId="11021"/>
    <cellStyle name="Note 33 6" xfId="11010"/>
    <cellStyle name="Note 34" xfId="7432"/>
    <cellStyle name="Note 34 2" xfId="7433"/>
    <cellStyle name="Note 34 2 2" xfId="7434"/>
    <cellStyle name="Note 34 2 2 2" xfId="7435"/>
    <cellStyle name="Note 34 2 2 2 2" xfId="11025"/>
    <cellStyle name="Note 34 2 2 3" xfId="11024"/>
    <cellStyle name="Note 34 2 3" xfId="7436"/>
    <cellStyle name="Note 34 2 3 2" xfId="11026"/>
    <cellStyle name="Note 34 2 4" xfId="11023"/>
    <cellStyle name="Note 34 3" xfId="7437"/>
    <cellStyle name="Note 34 3 2" xfId="7438"/>
    <cellStyle name="Note 34 3 2 2" xfId="7439"/>
    <cellStyle name="Note 34 3 2 2 2" xfId="11029"/>
    <cellStyle name="Note 34 3 2 3" xfId="11028"/>
    <cellStyle name="Note 34 3 3" xfId="7440"/>
    <cellStyle name="Note 34 3 3 2" xfId="11030"/>
    <cellStyle name="Note 34 3 4" xfId="11027"/>
    <cellStyle name="Note 34 4" xfId="7441"/>
    <cellStyle name="Note 34 4 2" xfId="7442"/>
    <cellStyle name="Note 34 4 2 2" xfId="11032"/>
    <cellStyle name="Note 34 4 3" xfId="11031"/>
    <cellStyle name="Note 34 5" xfId="7443"/>
    <cellStyle name="Note 34 5 2" xfId="11033"/>
    <cellStyle name="Note 34 6" xfId="11022"/>
    <cellStyle name="Note 35" xfId="7444"/>
    <cellStyle name="Note 35 2" xfId="7445"/>
    <cellStyle name="Note 35 2 2" xfId="7446"/>
    <cellStyle name="Note 35 2 2 2" xfId="7447"/>
    <cellStyle name="Note 35 2 2 2 2" xfId="11037"/>
    <cellStyle name="Note 35 2 2 3" xfId="11036"/>
    <cellStyle name="Note 35 2 3" xfId="7448"/>
    <cellStyle name="Note 35 2 3 2" xfId="11038"/>
    <cellStyle name="Note 35 2 4" xfId="11035"/>
    <cellStyle name="Note 35 3" xfId="7449"/>
    <cellStyle name="Note 35 3 2" xfId="7450"/>
    <cellStyle name="Note 35 3 2 2" xfId="7451"/>
    <cellStyle name="Note 35 3 2 2 2" xfId="11041"/>
    <cellStyle name="Note 35 3 2 3" xfId="11040"/>
    <cellStyle name="Note 35 3 3" xfId="7452"/>
    <cellStyle name="Note 35 3 3 2" xfId="11042"/>
    <cellStyle name="Note 35 3 4" xfId="11039"/>
    <cellStyle name="Note 35 4" xfId="7453"/>
    <cellStyle name="Note 35 4 2" xfId="7454"/>
    <cellStyle name="Note 35 4 2 2" xfId="11044"/>
    <cellStyle name="Note 35 4 3" xfId="11043"/>
    <cellStyle name="Note 35 5" xfId="7455"/>
    <cellStyle name="Note 35 5 2" xfId="11045"/>
    <cellStyle name="Note 35 6" xfId="11034"/>
    <cellStyle name="Note 36" xfId="7456"/>
    <cellStyle name="Note 36 2" xfId="7457"/>
    <cellStyle name="Note 36 2 2" xfId="7458"/>
    <cellStyle name="Note 36 2 2 2" xfId="7459"/>
    <cellStyle name="Note 36 2 2 2 2" xfId="11049"/>
    <cellStyle name="Note 36 2 2 3" xfId="11048"/>
    <cellStyle name="Note 36 2 3" xfId="7460"/>
    <cellStyle name="Note 36 2 3 2" xfId="11050"/>
    <cellStyle name="Note 36 2 4" xfId="11047"/>
    <cellStyle name="Note 36 3" xfId="7461"/>
    <cellStyle name="Note 36 3 2" xfId="7462"/>
    <cellStyle name="Note 36 3 2 2" xfId="7463"/>
    <cellStyle name="Note 36 3 2 2 2" xfId="11053"/>
    <cellStyle name="Note 36 3 2 3" xfId="11052"/>
    <cellStyle name="Note 36 3 3" xfId="7464"/>
    <cellStyle name="Note 36 3 3 2" xfId="11054"/>
    <cellStyle name="Note 36 3 4" xfId="11051"/>
    <cellStyle name="Note 36 4" xfId="7465"/>
    <cellStyle name="Note 36 4 2" xfId="7466"/>
    <cellStyle name="Note 36 4 2 2" xfId="11056"/>
    <cellStyle name="Note 36 4 3" xfId="11055"/>
    <cellStyle name="Note 36 5" xfId="7467"/>
    <cellStyle name="Note 36 5 2" xfId="11057"/>
    <cellStyle name="Note 36 6" xfId="11046"/>
    <cellStyle name="Note 37" xfId="7468"/>
    <cellStyle name="Note 37 2" xfId="7469"/>
    <cellStyle name="Note 37 2 2" xfId="7470"/>
    <cellStyle name="Note 37 2 2 2" xfId="11060"/>
    <cellStyle name="Note 37 2 3" xfId="11059"/>
    <cellStyle name="Note 37 3" xfId="7471"/>
    <cellStyle name="Note 37 3 2" xfId="11061"/>
    <cellStyle name="Note 37 4" xfId="11058"/>
    <cellStyle name="Note 38" xfId="7472"/>
    <cellStyle name="Note 38 2" xfId="7473"/>
    <cellStyle name="Note 38 2 2" xfId="7474"/>
    <cellStyle name="Note 38 2 2 2" xfId="11064"/>
    <cellStyle name="Note 38 2 3" xfId="11063"/>
    <cellStyle name="Note 38 3" xfId="7475"/>
    <cellStyle name="Note 38 3 2" xfId="11065"/>
    <cellStyle name="Note 38 4" xfId="11062"/>
    <cellStyle name="Note 39" xfId="7476"/>
    <cellStyle name="Note 39 2" xfId="7477"/>
    <cellStyle name="Note 39 2 2" xfId="7478"/>
    <cellStyle name="Note 39 2 2 2" xfId="11068"/>
    <cellStyle name="Note 39 2 3" xfId="11067"/>
    <cellStyle name="Note 39 3" xfId="7479"/>
    <cellStyle name="Note 39 3 2" xfId="11069"/>
    <cellStyle name="Note 39 4" xfId="11066"/>
    <cellStyle name="Note 4" xfId="7480"/>
    <cellStyle name="Note 4 2" xfId="7481"/>
    <cellStyle name="Note 4 2 2" xfId="7482"/>
    <cellStyle name="Note 4 2 2 2" xfId="7483"/>
    <cellStyle name="Note 4 2 2 2 2" xfId="11073"/>
    <cellStyle name="Note 4 2 2 3" xfId="11072"/>
    <cellStyle name="Note 4 2 3" xfId="7484"/>
    <cellStyle name="Note 4 2 3 2" xfId="11074"/>
    <cellStyle name="Note 4 2 4" xfId="11071"/>
    <cellStyle name="Note 4 3" xfId="7485"/>
    <cellStyle name="Note 4 3 2" xfId="7486"/>
    <cellStyle name="Note 4 3 2 2" xfId="7487"/>
    <cellStyle name="Note 4 3 2 2 2" xfId="11077"/>
    <cellStyle name="Note 4 3 2 3" xfId="11076"/>
    <cellStyle name="Note 4 3 3" xfId="7488"/>
    <cellStyle name="Note 4 3 3 2" xfId="11078"/>
    <cellStyle name="Note 4 3 4" xfId="11075"/>
    <cellStyle name="Note 4 4" xfId="7489"/>
    <cellStyle name="Note 4 4 2" xfId="7490"/>
    <cellStyle name="Note 4 4 2 2" xfId="11080"/>
    <cellStyle name="Note 4 4 3" xfId="11079"/>
    <cellStyle name="Note 4 5" xfId="7491"/>
    <cellStyle name="Note 4 5 2" xfId="11081"/>
    <cellStyle name="Note 4 6" xfId="11070"/>
    <cellStyle name="Note 4 7" xfId="11263"/>
    <cellStyle name="Note 40" xfId="7492"/>
    <cellStyle name="Note 40 2" xfId="7493"/>
    <cellStyle name="Note 40 2 2" xfId="7494"/>
    <cellStyle name="Note 40 2 2 2" xfId="11084"/>
    <cellStyle name="Note 40 2 3" xfId="11083"/>
    <cellStyle name="Note 40 3" xfId="7495"/>
    <cellStyle name="Note 40 3 2" xfId="11085"/>
    <cellStyle name="Note 40 4" xfId="11082"/>
    <cellStyle name="Note 41" xfId="7496"/>
    <cellStyle name="Note 41 2" xfId="7497"/>
    <cellStyle name="Note 41 2 2" xfId="7498"/>
    <cellStyle name="Note 41 2 2 2" xfId="11088"/>
    <cellStyle name="Note 41 2 3" xfId="11087"/>
    <cellStyle name="Note 41 3" xfId="7499"/>
    <cellStyle name="Note 41 3 2" xfId="11089"/>
    <cellStyle name="Note 41 4" xfId="11086"/>
    <cellStyle name="Note 42" xfId="7500"/>
    <cellStyle name="Note 42 2" xfId="7501"/>
    <cellStyle name="Note 42 2 2" xfId="7502"/>
    <cellStyle name="Note 42 2 2 2" xfId="11092"/>
    <cellStyle name="Note 42 2 3" xfId="11091"/>
    <cellStyle name="Note 42 3" xfId="7503"/>
    <cellStyle name="Note 42 3 2" xfId="11093"/>
    <cellStyle name="Note 42 4" xfId="11090"/>
    <cellStyle name="Note 43" xfId="7504"/>
    <cellStyle name="Note 43 2" xfId="7505"/>
    <cellStyle name="Note 43 2 2" xfId="7506"/>
    <cellStyle name="Note 43 2 2 2" xfId="11096"/>
    <cellStyle name="Note 43 2 3" xfId="11095"/>
    <cellStyle name="Note 43 3" xfId="7507"/>
    <cellStyle name="Note 43 3 2" xfId="11097"/>
    <cellStyle name="Note 43 4" xfId="11094"/>
    <cellStyle name="Note 44" xfId="7508"/>
    <cellStyle name="Note 44 2" xfId="7509"/>
    <cellStyle name="Note 44 2 2" xfId="7510"/>
    <cellStyle name="Note 44 2 2 2" xfId="11100"/>
    <cellStyle name="Note 44 2 3" xfId="11099"/>
    <cellStyle name="Note 44 3" xfId="7511"/>
    <cellStyle name="Note 44 3 2" xfId="11101"/>
    <cellStyle name="Note 44 4" xfId="11098"/>
    <cellStyle name="Note 45" xfId="7512"/>
    <cellStyle name="Note 45 2" xfId="7513"/>
    <cellStyle name="Note 45 2 2" xfId="7514"/>
    <cellStyle name="Note 45 2 2 2" xfId="11104"/>
    <cellStyle name="Note 45 2 3" xfId="11103"/>
    <cellStyle name="Note 45 3" xfId="7515"/>
    <cellStyle name="Note 45 3 2" xfId="11105"/>
    <cellStyle name="Note 45 4" xfId="11102"/>
    <cellStyle name="Note 46" xfId="7516"/>
    <cellStyle name="Note 46 2" xfId="7517"/>
    <cellStyle name="Note 46 2 2" xfId="7518"/>
    <cellStyle name="Note 46 2 2 2" xfId="11108"/>
    <cellStyle name="Note 46 2 3" xfId="11107"/>
    <cellStyle name="Note 46 3" xfId="7519"/>
    <cellStyle name="Note 46 3 2" xfId="11109"/>
    <cellStyle name="Note 46 4" xfId="11106"/>
    <cellStyle name="Note 47" xfId="7520"/>
    <cellStyle name="Note 47 2" xfId="7521"/>
    <cellStyle name="Note 47 2 2" xfId="7522"/>
    <cellStyle name="Note 47 2 2 2" xfId="11112"/>
    <cellStyle name="Note 47 2 3" xfId="11111"/>
    <cellStyle name="Note 47 3" xfId="7523"/>
    <cellStyle name="Note 47 3 2" xfId="11113"/>
    <cellStyle name="Note 47 4" xfId="11110"/>
    <cellStyle name="Note 48" xfId="7524"/>
    <cellStyle name="Note 48 2" xfId="7525"/>
    <cellStyle name="Note 48 2 2" xfId="7526"/>
    <cellStyle name="Note 48 2 2 2" xfId="11116"/>
    <cellStyle name="Note 48 2 3" xfId="11115"/>
    <cellStyle name="Note 48 3" xfId="7527"/>
    <cellStyle name="Note 48 3 2" xfId="11117"/>
    <cellStyle name="Note 48 4" xfId="11114"/>
    <cellStyle name="Note 49" xfId="7528"/>
    <cellStyle name="Note 49 2" xfId="7529"/>
    <cellStyle name="Note 49 2 2" xfId="7530"/>
    <cellStyle name="Note 49 2 2 2" xfId="11120"/>
    <cellStyle name="Note 49 2 3" xfId="11119"/>
    <cellStyle name="Note 49 3" xfId="7531"/>
    <cellStyle name="Note 49 3 2" xfId="11121"/>
    <cellStyle name="Note 49 4" xfId="11118"/>
    <cellStyle name="Note 5" xfId="7532"/>
    <cellStyle name="Note 5 2" xfId="7533"/>
    <cellStyle name="Note 5 2 2" xfId="7534"/>
    <cellStyle name="Note 5 2 2 2" xfId="7535"/>
    <cellStyle name="Note 5 2 2 2 2" xfId="11125"/>
    <cellStyle name="Note 5 2 2 3" xfId="11124"/>
    <cellStyle name="Note 5 2 3" xfId="7536"/>
    <cellStyle name="Note 5 2 3 2" xfId="11126"/>
    <cellStyle name="Note 5 2 4" xfId="11123"/>
    <cellStyle name="Note 5 3" xfId="7537"/>
    <cellStyle name="Note 5 3 2" xfId="7538"/>
    <cellStyle name="Note 5 3 2 2" xfId="7539"/>
    <cellStyle name="Note 5 3 2 2 2" xfId="11129"/>
    <cellStyle name="Note 5 3 2 3" xfId="11128"/>
    <cellStyle name="Note 5 3 3" xfId="7540"/>
    <cellStyle name="Note 5 3 3 2" xfId="11130"/>
    <cellStyle name="Note 5 3 4" xfId="11127"/>
    <cellStyle name="Note 5 4" xfId="7541"/>
    <cellStyle name="Note 5 4 2" xfId="7542"/>
    <cellStyle name="Note 5 4 2 2" xfId="11132"/>
    <cellStyle name="Note 5 4 3" xfId="11131"/>
    <cellStyle name="Note 5 5" xfId="7543"/>
    <cellStyle name="Note 5 5 2" xfId="11133"/>
    <cellStyle name="Note 5 6" xfId="11122"/>
    <cellStyle name="Note 50" xfId="7544"/>
    <cellStyle name="Note 50 2" xfId="7545"/>
    <cellStyle name="Note 50 2 2" xfId="7546"/>
    <cellStyle name="Note 50 2 2 2" xfId="11136"/>
    <cellStyle name="Note 50 2 3" xfId="11135"/>
    <cellStyle name="Note 50 3" xfId="7547"/>
    <cellStyle name="Note 50 3 2" xfId="11137"/>
    <cellStyle name="Note 50 4" xfId="11134"/>
    <cellStyle name="Note 51" xfId="7548"/>
    <cellStyle name="Note 51 2" xfId="7549"/>
    <cellStyle name="Note 51 2 2" xfId="7550"/>
    <cellStyle name="Note 51 2 2 2" xfId="11140"/>
    <cellStyle name="Note 51 2 3" xfId="11139"/>
    <cellStyle name="Note 51 3" xfId="7551"/>
    <cellStyle name="Note 51 3 2" xfId="11141"/>
    <cellStyle name="Note 51 4" xfId="11138"/>
    <cellStyle name="Note 52" xfId="7552"/>
    <cellStyle name="Note 52 2" xfId="7553"/>
    <cellStyle name="Note 52 2 2" xfId="7554"/>
    <cellStyle name="Note 52 2 2 2" xfId="11144"/>
    <cellStyle name="Note 52 2 3" xfId="11143"/>
    <cellStyle name="Note 52 3" xfId="7555"/>
    <cellStyle name="Note 52 3 2" xfId="11145"/>
    <cellStyle name="Note 52 4" xfId="11142"/>
    <cellStyle name="Note 53" xfId="7556"/>
    <cellStyle name="Note 53 2" xfId="7557"/>
    <cellStyle name="Note 53 2 2" xfId="7558"/>
    <cellStyle name="Note 53 2 2 2" xfId="11148"/>
    <cellStyle name="Note 53 2 3" xfId="11147"/>
    <cellStyle name="Note 53 3" xfId="7559"/>
    <cellStyle name="Note 53 3 2" xfId="11149"/>
    <cellStyle name="Note 53 4" xfId="11146"/>
    <cellStyle name="Note 54" xfId="7560"/>
    <cellStyle name="Note 54 2" xfId="7561"/>
    <cellStyle name="Note 54 2 2" xfId="11151"/>
    <cellStyle name="Note 54 3" xfId="11150"/>
    <cellStyle name="Note 55" xfId="7562"/>
    <cellStyle name="Note 55 2" xfId="7563"/>
    <cellStyle name="Note 55 2 2" xfId="11153"/>
    <cellStyle name="Note 55 3" xfId="11152"/>
    <cellStyle name="Note 56" xfId="7564"/>
    <cellStyle name="Note 56 2" xfId="7565"/>
    <cellStyle name="Note 56 2 2" xfId="11155"/>
    <cellStyle name="Note 56 3" xfId="11154"/>
    <cellStyle name="Note 57" xfId="7566"/>
    <cellStyle name="Note 57 2" xfId="7567"/>
    <cellStyle name="Note 57 2 2" xfId="11157"/>
    <cellStyle name="Note 57 3" xfId="11156"/>
    <cellStyle name="Note 58" xfId="7568"/>
    <cellStyle name="Note 58 2" xfId="7569"/>
    <cellStyle name="Note 58 2 2" xfId="11159"/>
    <cellStyle name="Note 58 3" xfId="11158"/>
    <cellStyle name="Note 59" xfId="7570"/>
    <cellStyle name="Note 59 2" xfId="7571"/>
    <cellStyle name="Note 59 2 2" xfId="11161"/>
    <cellStyle name="Note 59 3" xfId="11160"/>
    <cellStyle name="Note 6" xfId="7572"/>
    <cellStyle name="Note 6 2" xfId="7573"/>
    <cellStyle name="Note 6 2 2" xfId="7574"/>
    <cellStyle name="Note 6 2 2 2" xfId="7575"/>
    <cellStyle name="Note 6 2 2 2 2" xfId="11165"/>
    <cellStyle name="Note 6 2 2 3" xfId="11164"/>
    <cellStyle name="Note 6 2 3" xfId="7576"/>
    <cellStyle name="Note 6 2 3 2" xfId="11166"/>
    <cellStyle name="Note 6 2 4" xfId="11163"/>
    <cellStyle name="Note 6 3" xfId="7577"/>
    <cellStyle name="Note 6 3 2" xfId="7578"/>
    <cellStyle name="Note 6 3 2 2" xfId="7579"/>
    <cellStyle name="Note 6 3 2 2 2" xfId="11169"/>
    <cellStyle name="Note 6 3 2 3" xfId="11168"/>
    <cellStyle name="Note 6 3 3" xfId="7580"/>
    <cellStyle name="Note 6 3 3 2" xfId="11170"/>
    <cellStyle name="Note 6 3 4" xfId="11167"/>
    <cellStyle name="Note 6 4" xfId="7581"/>
    <cellStyle name="Note 6 4 2" xfId="7582"/>
    <cellStyle name="Note 6 4 2 2" xfId="11172"/>
    <cellStyle name="Note 6 4 3" xfId="11171"/>
    <cellStyle name="Note 6 5" xfId="7583"/>
    <cellStyle name="Note 6 5 2" xfId="11173"/>
    <cellStyle name="Note 6 6" xfId="11162"/>
    <cellStyle name="Note 7" xfId="7584"/>
    <cellStyle name="Note 7 2" xfId="7585"/>
    <cellStyle name="Note 7 2 2" xfId="7586"/>
    <cellStyle name="Note 7 2 2 2" xfId="7587"/>
    <cellStyle name="Note 7 2 2 2 2" xfId="11177"/>
    <cellStyle name="Note 7 2 2 3" xfId="11176"/>
    <cellStyle name="Note 7 2 3" xfId="7588"/>
    <cellStyle name="Note 7 2 3 2" xfId="11178"/>
    <cellStyle name="Note 7 2 4" xfId="11175"/>
    <cellStyle name="Note 7 3" xfId="7589"/>
    <cellStyle name="Note 7 3 2" xfId="7590"/>
    <cellStyle name="Note 7 3 2 2" xfId="7591"/>
    <cellStyle name="Note 7 3 2 2 2" xfId="11181"/>
    <cellStyle name="Note 7 3 2 3" xfId="11180"/>
    <cellStyle name="Note 7 3 3" xfId="7592"/>
    <cellStyle name="Note 7 3 3 2" xfId="11182"/>
    <cellStyle name="Note 7 3 4" xfId="11179"/>
    <cellStyle name="Note 7 4" xfId="7593"/>
    <cellStyle name="Note 7 4 2" xfId="7594"/>
    <cellStyle name="Note 7 4 2 2" xfId="11184"/>
    <cellStyle name="Note 7 4 3" xfId="11183"/>
    <cellStyle name="Note 7 5" xfId="7595"/>
    <cellStyle name="Note 7 5 2" xfId="11185"/>
    <cellStyle name="Note 7 6" xfId="11174"/>
    <cellStyle name="Note 8" xfId="7596"/>
    <cellStyle name="Note 8 2" xfId="7597"/>
    <cellStyle name="Note 8 2 2" xfId="7598"/>
    <cellStyle name="Note 8 2 2 2" xfId="7599"/>
    <cellStyle name="Note 8 2 2 2 2" xfId="11189"/>
    <cellStyle name="Note 8 2 2 3" xfId="11188"/>
    <cellStyle name="Note 8 2 3" xfId="7600"/>
    <cellStyle name="Note 8 2 3 2" xfId="11190"/>
    <cellStyle name="Note 8 2 4" xfId="11187"/>
    <cellStyle name="Note 8 3" xfId="7601"/>
    <cellStyle name="Note 8 3 2" xfId="7602"/>
    <cellStyle name="Note 8 3 2 2" xfId="7603"/>
    <cellStyle name="Note 8 3 2 2 2" xfId="11193"/>
    <cellStyle name="Note 8 3 2 3" xfId="11192"/>
    <cellStyle name="Note 8 3 3" xfId="7604"/>
    <cellStyle name="Note 8 3 3 2" xfId="11194"/>
    <cellStyle name="Note 8 3 4" xfId="11191"/>
    <cellStyle name="Note 8 4" xfId="7605"/>
    <cellStyle name="Note 8 4 2" xfId="7606"/>
    <cellStyle name="Note 8 4 2 2" xfId="11196"/>
    <cellStyle name="Note 8 4 3" xfId="11195"/>
    <cellStyle name="Note 8 5" xfId="7607"/>
    <cellStyle name="Note 8 5 2" xfId="11197"/>
    <cellStyle name="Note 8 6" xfId="11186"/>
    <cellStyle name="Note 9" xfId="7608"/>
    <cellStyle name="Note 9 2" xfId="7609"/>
    <cellStyle name="Note 9 2 2" xfId="7610"/>
    <cellStyle name="Note 9 2 2 2" xfId="7611"/>
    <cellStyle name="Note 9 2 2 2 2" xfId="11201"/>
    <cellStyle name="Note 9 2 2 3" xfId="11200"/>
    <cellStyle name="Note 9 2 3" xfId="7612"/>
    <cellStyle name="Note 9 2 3 2" xfId="11202"/>
    <cellStyle name="Note 9 2 4" xfId="11199"/>
    <cellStyle name="Note 9 3" xfId="7613"/>
    <cellStyle name="Note 9 3 2" xfId="7614"/>
    <cellStyle name="Note 9 3 2 2" xfId="7615"/>
    <cellStyle name="Note 9 3 2 2 2" xfId="11205"/>
    <cellStyle name="Note 9 3 2 3" xfId="11204"/>
    <cellStyle name="Note 9 3 3" xfId="7616"/>
    <cellStyle name="Note 9 3 3 2" xfId="11206"/>
    <cellStyle name="Note 9 3 4" xfId="11203"/>
    <cellStyle name="Note 9 4" xfId="7617"/>
    <cellStyle name="Note 9 4 2" xfId="7618"/>
    <cellStyle name="Note 9 4 2 2" xfId="11208"/>
    <cellStyle name="Note 9 4 3" xfId="11207"/>
    <cellStyle name="Note 9 5" xfId="7619"/>
    <cellStyle name="Note 9 5 2" xfId="11209"/>
    <cellStyle name="Note 9 6" xfId="11198"/>
    <cellStyle name="Output" xfId="7620" builtinId="21" customBuiltin="1"/>
    <cellStyle name="Output 2" xfId="11210"/>
    <cellStyle name="Output 3" xfId="11264"/>
    <cellStyle name="Percent 2" xfId="11265"/>
    <cellStyle name="Percent 3" xfId="11266"/>
    <cellStyle name="Percent 3 2" xfId="11267"/>
    <cellStyle name="Percent 3 3" xfId="11268"/>
    <cellStyle name="Percent 3 3 2" xfId="11269"/>
    <cellStyle name="Title" xfId="7621" builtinId="15" customBuiltin="1"/>
    <cellStyle name="Title 2" xfId="11211"/>
    <cellStyle name="Title 3" xfId="11270"/>
    <cellStyle name="Total" xfId="7622" builtinId="25" customBuiltin="1"/>
    <cellStyle name="Total 2" xfId="11212"/>
    <cellStyle name="Total 3" xfId="11271"/>
    <cellStyle name="Warning Text" xfId="7623" builtinId="11" customBuiltin="1"/>
    <cellStyle name="Warning Text 2" xfId="11213"/>
    <cellStyle name="Warning Text 3" xfId="11272"/>
  </cellStyles>
  <dxfs count="2"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</dxfs>
  <tableStyles count="0" defaultTableStyle="TableStyleMedium9" defaultPivotStyle="PivotStyleLight16"/>
  <colors>
    <mruColors>
      <color rgb="FFE737FF"/>
      <color rgb="FF6E67A5"/>
      <color rgb="FFAD5353"/>
      <color rgb="FFDB9999"/>
      <color rgb="FFFFEBAB"/>
      <color rgb="FF01FF37"/>
      <color rgb="FF56E0D6"/>
      <color rgb="FFFFCC66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Longitudinal Profile</a:t>
            </a:r>
          </a:p>
          <a:p>
            <a:pPr>
              <a:defRPr/>
            </a:pPr>
            <a:r>
              <a:rPr lang="en-US" sz="1400"/>
              <a:t>[SITE NAME] - [Reach</a:t>
            </a:r>
            <a:r>
              <a:rPr lang="en-US" sz="1400" baseline="0"/>
              <a:t> Name]</a:t>
            </a:r>
            <a:endParaRPr lang="en-US" sz="1400"/>
          </a:p>
          <a:p>
            <a:pPr>
              <a:defRPr/>
            </a:pPr>
            <a:r>
              <a:rPr lang="en-US" sz="1400"/>
              <a:t>Functional Assessment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4559751962974271E-2"/>
          <c:y val="0.15540155408961964"/>
          <c:w val="0.93068966874620607"/>
          <c:h val="0.71249937203036462"/>
        </c:manualLayout>
      </c:layout>
      <c:scatterChart>
        <c:scatterStyle val="lineMarker"/>
        <c:varyColors val="0"/>
        <c:ser>
          <c:idx val="3"/>
          <c:order val="0"/>
          <c:tx>
            <c:strRef>
              <c:f>Profile!$A$54</c:f>
              <c:strCache>
                <c:ptCount val="1"/>
                <c:pt idx="0">
                  <c:v>Assessment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Profile!$E$56:$E$1000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Profile!$I$56:$I$1000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0"/>
          <c:order val="1"/>
          <c:tx>
            <c:v>Water Surface</c:v>
          </c:tx>
          <c:spPr>
            <a:ln cap="sq">
              <a:solidFill>
                <a:srgbClr val="00B0F0"/>
              </a:solidFill>
              <a:prstDash val="sysDash"/>
              <a:round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 w="12700">
                <a:solidFill>
                  <a:srgbClr val="00B0F0"/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[0]!currentWS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"/>
          <c:order val="2"/>
          <c:tx>
            <c:v>Bankfull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ln w="12700"/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[0]!currentBKF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6"/>
          <c:order val="3"/>
          <c:tx>
            <c:v>Bankfull 2</c:v>
          </c:tx>
          <c:spPr>
            <a:ln>
              <a:noFill/>
            </a:ln>
          </c:spPr>
          <c:marker>
            <c:symbol val="plus"/>
            <c:size val="10"/>
          </c:marker>
          <c:trendline>
            <c:spPr>
              <a:ln>
                <a:solidFill>
                  <a:schemeClr val="tx2">
                    <a:lumMod val="40000"/>
                    <a:lumOff val="60000"/>
                  </a:schemeClr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[0]!currentBKF2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2"/>
          <c:order val="4"/>
          <c:tx>
            <c:v>Top of Bank</c:v>
          </c:tx>
          <c:spPr>
            <a:ln>
              <a:noFill/>
            </a:ln>
          </c:spPr>
          <c:marker>
            <c:symbol val="star"/>
            <c:size val="10"/>
            <c:spPr>
              <a:ln>
                <a:solidFill>
                  <a:srgbClr val="7030A0"/>
                </a:solidFill>
              </a:ln>
            </c:spPr>
          </c:marker>
          <c:trendline>
            <c:spPr>
              <a:ln>
                <a:solidFill>
                  <a:srgbClr val="7030A0"/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[0]!currentTOB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4"/>
          <c:order val="5"/>
          <c:tx>
            <c:v>Cross Section</c:v>
          </c:tx>
          <c:spPr>
            <a:ln w="28575">
              <a:noFill/>
            </a:ln>
          </c:spPr>
          <c:marker>
            <c:symbol val="triangle"/>
            <c:size val="20"/>
            <c:spPr>
              <a:solidFill>
                <a:srgbClr val="FFC000">
                  <a:alpha val="99000"/>
                </a:srgbClr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[0]!currentXS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5"/>
          <c:order val="6"/>
          <c:tx>
            <c:v>Structure</c:v>
          </c:tx>
          <c:spPr>
            <a:ln w="28575">
              <a:noFill/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[0]!currentSTRUCT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2"/>
          <c:order val="7"/>
          <c:tx>
            <c:v>Riffle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Profile!$B$1207:$B$1625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3"/>
          <c:order val="8"/>
          <c:tx>
            <c:v>Run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Profile!$C$1207:$C$1625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4"/>
          <c:order val="9"/>
          <c:tx>
            <c:v>Pool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1FF37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Profile!$D$1207:$D$1625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5"/>
          <c:order val="10"/>
          <c:tx>
            <c:v>Glide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Profile!$E$1207:$E$1625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445064"/>
        <c:axId val="550442320"/>
      </c:scatterChart>
      <c:valAx>
        <c:axId val="550445064"/>
        <c:scaling>
          <c:orientation val="minMax"/>
          <c:max val="260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Station (ft)</a:t>
                </a:r>
              </a:p>
            </c:rich>
          </c:tx>
          <c:layout>
            <c:manualLayout>
              <c:xMode val="edge"/>
              <c:yMode val="edge"/>
              <c:x val="0.48949427662201955"/>
              <c:y val="0.89597000414796324"/>
            </c:manualLayout>
          </c:layout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550442320"/>
        <c:crosses val="autoZero"/>
        <c:crossBetween val="midCat"/>
      </c:valAx>
      <c:valAx>
        <c:axId val="550442320"/>
        <c:scaling>
          <c:orientation val="minMax"/>
          <c:max val="96"/>
          <c:min val="9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Elevation (ft)</a:t>
                </a:r>
              </a:p>
            </c:rich>
          </c:tx>
          <c:layout>
            <c:manualLayout>
              <c:xMode val="edge"/>
              <c:yMode val="edge"/>
              <c:x val="6.0017893037382407E-3"/>
              <c:y val="0.4580739708569207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550445064"/>
        <c:crosses val="autoZero"/>
        <c:crossBetween val="midCat"/>
        <c:majorUnit val="2"/>
        <c:minorUnit val="0.5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b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17880321252676268"/>
          <c:y val="0.93771121338191987"/>
          <c:w val="0.64587089699746436"/>
          <c:h val="3.1222295078579501E-2"/>
        </c:manualLayout>
      </c:layout>
      <c:overlay val="0"/>
      <c:spPr>
        <a:ln w="6350">
          <a:solidFill>
            <a:schemeClr val="tx1"/>
          </a:solidFill>
        </a:ln>
      </c:spPr>
    </c:legend>
    <c:plotVisOnly val="1"/>
    <c:dispBlanksAs val="span"/>
    <c:showDLblsOverMax val="0"/>
  </c:chart>
  <c:spPr>
    <a:ln w="12700">
      <a:solidFill>
        <a:schemeClr val="tx1"/>
      </a:solidFill>
    </a:ln>
  </c:spPr>
  <c:printSettings>
    <c:headerFooter/>
    <c:pageMargins b="0.75" l="0.7" r="0.7" t="0.75" header="0.3" footer="0.3"/>
    <c:pageSetup paperSize="17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72572</xdr:colOff>
      <xdr:row>0</xdr:row>
      <xdr:rowOff>54428</xdr:rowOff>
    </xdr:from>
    <xdr:to>
      <xdr:col>15</xdr:col>
      <xdr:colOff>582083</xdr:colOff>
      <xdr:row>46</xdr:row>
      <xdr:rowOff>107345</xdr:rowOff>
    </xdr:to>
    <xdr:graphicFrame macro="">
      <xdr:nvGraphicFramePr>
        <xdr:cNvPr id="2" name="TextBox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47</xdr:row>
          <xdr:rowOff>63500</xdr:rowOff>
        </xdr:from>
        <xdr:to>
          <xdr:col>2</xdr:col>
          <xdr:colOff>50800</xdr:colOff>
          <xdr:row>50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0.63642</cdr:x>
      <cdr:y>0.28178</cdr:y>
    </cdr:from>
    <cdr:to>
      <cdr:x>0.74824</cdr:x>
      <cdr:y>0.31467</cdr:y>
    </cdr:to>
    <cdr:sp macro="" textlink="Profile!#REF!">
      <cdr:nvSpPr>
        <cdr:cNvPr id="2" name="TextBox 1"/>
        <cdr:cNvSpPr txBox="1"/>
      </cdr:nvSpPr>
      <cdr:spPr>
        <a:xfrm xmlns:a="http://schemas.openxmlformats.org/drawingml/2006/main">
          <a:off x="8961276" y="2054030"/>
          <a:ext cx="1574540" cy="239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A1E8543-F597-43C1-8E41-6CA6D293D81A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  <cdr:relSizeAnchor xmlns:cdr="http://schemas.openxmlformats.org/drawingml/2006/chartDrawing">
    <cdr:from>
      <cdr:x>0.43164</cdr:x>
      <cdr:y>0.63644</cdr:y>
    </cdr:from>
    <cdr:to>
      <cdr:x>0.49658</cdr:x>
      <cdr:y>0.76188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077857" y="463938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0.34743</cdr:x>
      <cdr:y>0.60267</cdr:y>
    </cdr:from>
    <cdr:to>
      <cdr:x>0.46339</cdr:x>
      <cdr:y>0.63644</cdr:y>
    </cdr:to>
    <cdr:sp macro="" textlink="Profile!#REF!">
      <cdr:nvSpPr>
        <cdr:cNvPr id="6" name="TextBox 2"/>
        <cdr:cNvSpPr txBox="1"/>
      </cdr:nvSpPr>
      <cdr:spPr>
        <a:xfrm xmlns:a="http://schemas.openxmlformats.org/drawingml/2006/main">
          <a:off x="4892091" y="4393164"/>
          <a:ext cx="1632857" cy="2462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0EC3DAE-1AF8-4AA1-9FF9-0E0459744D1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3:W1625"/>
  <sheetViews>
    <sheetView zoomScale="48" zoomScaleNormal="48" workbookViewId="0">
      <selection activeCell="Q21" sqref="Q21"/>
    </sheetView>
  </sheetViews>
  <sheetFormatPr defaultRowHeight="12.5" x14ac:dyDescent="0.25"/>
  <cols>
    <col min="1" max="1" width="14.90625" style="1" customWidth="1"/>
    <col min="2" max="4" width="20.7265625" style="1" customWidth="1"/>
    <col min="5" max="5" width="8.7265625" style="1"/>
    <col min="6" max="6" width="14.7265625" style="1" customWidth="1"/>
    <col min="7" max="8" width="24" style="1" customWidth="1"/>
    <col min="9" max="9" width="11.81640625" style="1" customWidth="1"/>
    <col min="10" max="10" width="12.90625" style="1" customWidth="1"/>
    <col min="11" max="11" width="16.7265625" style="1" customWidth="1"/>
    <col min="12" max="13" width="13.26953125" style="1" customWidth="1"/>
    <col min="14" max="15" width="8.7265625" style="1"/>
    <col min="16" max="16" width="12.54296875" style="1" customWidth="1"/>
    <col min="17" max="17" width="16.1796875" style="1" customWidth="1"/>
    <col min="18" max="18" width="13.90625" style="1" customWidth="1"/>
    <col min="19" max="19" width="11.453125" style="1" customWidth="1"/>
    <col min="20" max="20" width="8.7265625" style="1"/>
    <col min="21" max="21" width="13.81640625" style="1" customWidth="1"/>
    <col min="22" max="22" width="20" style="1" customWidth="1"/>
    <col min="23" max="23" width="8.7265625" style="67"/>
    <col min="24" max="16384" width="8.7265625" style="1"/>
  </cols>
  <sheetData>
    <row r="13" spans="21:22" x14ac:dyDescent="0.25">
      <c r="U13" s="6" t="s">
        <v>8</v>
      </c>
      <c r="V13" s="7">
        <f>MIN(currentTHW)</f>
        <v>0</v>
      </c>
    </row>
    <row r="14" spans="21:22" x14ac:dyDescent="0.25">
      <c r="U14" s="6" t="s">
        <v>9</v>
      </c>
      <c r="V14" s="7">
        <f>MAX(currentTHW,currentBKF)</f>
        <v>0</v>
      </c>
    </row>
    <row r="15" spans="21:22" x14ac:dyDescent="0.25">
      <c r="U15" s="6"/>
      <c r="V15" s="6"/>
    </row>
    <row r="16" spans="21:22" x14ac:dyDescent="0.25">
      <c r="U16" s="6" t="s">
        <v>11</v>
      </c>
      <c r="V16" s="7">
        <f>FLOOR(V13-(V14-V13)*0.1,2)</f>
        <v>0</v>
      </c>
    </row>
    <row r="17" spans="21:22" x14ac:dyDescent="0.25">
      <c r="U17" s="6" t="s">
        <v>13</v>
      </c>
      <c r="V17" s="7">
        <f>CEILING(V14+(V14-V13)*0.1,2)</f>
        <v>0</v>
      </c>
    </row>
    <row r="18" spans="21:22" x14ac:dyDescent="0.25">
      <c r="U18" s="72"/>
      <c r="V18" s="6"/>
    </row>
    <row r="19" spans="21:22" x14ac:dyDescent="0.25">
      <c r="U19" s="72" t="s">
        <v>10</v>
      </c>
      <c r="V19" s="7">
        <f>FLOOR(MIN(currentSTATION),2)</f>
        <v>0</v>
      </c>
    </row>
    <row r="20" spans="21:22" x14ac:dyDescent="0.25">
      <c r="U20" s="72" t="s">
        <v>12</v>
      </c>
      <c r="V20" s="7">
        <f>CEILING(MAX(currentSTATION),1)</f>
        <v>0</v>
      </c>
    </row>
    <row r="21" spans="21:22" x14ac:dyDescent="0.25">
      <c r="U21" s="6"/>
      <c r="V21" s="6"/>
    </row>
    <row r="22" spans="21:22" x14ac:dyDescent="0.25">
      <c r="U22" s="6"/>
      <c r="V22" s="6"/>
    </row>
    <row r="23" spans="21:22" x14ac:dyDescent="0.25">
      <c r="U23" s="72" t="s">
        <v>14</v>
      </c>
      <c r="V23" s="6"/>
    </row>
    <row r="24" spans="21:22" x14ac:dyDescent="0.25">
      <c r="U24" s="72" t="s">
        <v>16</v>
      </c>
      <c r="V24" s="6" t="e">
        <f>SLOPE(currentBKF,currentSTATION)</f>
        <v>#DIV/0!</v>
      </c>
    </row>
    <row r="25" spans="21:22" x14ac:dyDescent="0.25">
      <c r="U25" s="72" t="s">
        <v>17</v>
      </c>
      <c r="V25" s="6" t="e">
        <f>INTERCEPT(currentBKF,currentSTATION)</f>
        <v>#DIV/0!</v>
      </c>
    </row>
    <row r="26" spans="21:22" x14ac:dyDescent="0.25">
      <c r="U26" s="72" t="s">
        <v>18</v>
      </c>
      <c r="V26" s="6" t="e">
        <f>CONCATENATE("Bkf = ", ROUND(V24,4), "x + ", ROUND(V25,2))</f>
        <v>#DIV/0!</v>
      </c>
    </row>
    <row r="27" spans="21:22" x14ac:dyDescent="0.25">
      <c r="U27" s="72"/>
      <c r="V27" s="6"/>
    </row>
    <row r="28" spans="21:22" x14ac:dyDescent="0.25">
      <c r="U28" s="1" t="s">
        <v>82</v>
      </c>
    </row>
    <row r="29" spans="21:22" x14ac:dyDescent="0.25">
      <c r="U29" s="72" t="s">
        <v>16</v>
      </c>
      <c r="V29" s="6" t="e">
        <f>SLOPE(currentBKF2,currentSTATION)</f>
        <v>#DIV/0!</v>
      </c>
    </row>
    <row r="30" spans="21:22" x14ac:dyDescent="0.25">
      <c r="U30" s="72" t="s">
        <v>17</v>
      </c>
      <c r="V30" s="6" t="e">
        <f>INTERCEPT(currentBKF2,currentSTATION)</f>
        <v>#DIV/0!</v>
      </c>
    </row>
    <row r="31" spans="21:22" x14ac:dyDescent="0.25">
      <c r="U31" s="72" t="s">
        <v>18</v>
      </c>
      <c r="V31" s="6" t="e">
        <f>CONCATENATE("Bkf2 = ", ROUND(V29,4), "x + ", ROUND(V30,2))</f>
        <v>#DIV/0!</v>
      </c>
    </row>
    <row r="33" spans="3:22" x14ac:dyDescent="0.25">
      <c r="U33" s="72" t="s">
        <v>15</v>
      </c>
      <c r="V33" s="6"/>
    </row>
    <row r="34" spans="3:22" x14ac:dyDescent="0.25">
      <c r="U34" s="72" t="s">
        <v>16</v>
      </c>
      <c r="V34" s="6" t="e">
        <f>SLOPE(currentWS,currentSTATION)</f>
        <v>#DIV/0!</v>
      </c>
    </row>
    <row r="35" spans="3:22" x14ac:dyDescent="0.25">
      <c r="U35" s="72" t="s">
        <v>17</v>
      </c>
      <c r="V35" s="6" t="e">
        <f>INTERCEPT(currentWS,currentSTATION)</f>
        <v>#DIV/0!</v>
      </c>
    </row>
    <row r="36" spans="3:22" x14ac:dyDescent="0.25">
      <c r="U36" s="72" t="s">
        <v>18</v>
      </c>
      <c r="V36" s="6" t="e">
        <f>CONCATENATE("Ws = ", ROUND(V34,4), "x + ", ROUND(V35,2))</f>
        <v>#DIV/0!</v>
      </c>
    </row>
    <row r="38" spans="3:22" x14ac:dyDescent="0.25">
      <c r="U38" s="1" t="s">
        <v>83</v>
      </c>
    </row>
    <row r="39" spans="3:22" x14ac:dyDescent="0.25">
      <c r="U39" s="72" t="s">
        <v>16</v>
      </c>
      <c r="V39" s="6" t="e">
        <f>SLOPE(currentTOB,currentSTATION)</f>
        <v>#DIV/0!</v>
      </c>
    </row>
    <row r="40" spans="3:22" x14ac:dyDescent="0.25">
      <c r="U40" s="72" t="s">
        <v>17</v>
      </c>
      <c r="V40" s="6" t="e">
        <f>INTERCEPT(currentTOB,currentSTATION)</f>
        <v>#DIV/0!</v>
      </c>
    </row>
    <row r="41" spans="3:22" x14ac:dyDescent="0.25">
      <c r="U41" s="72" t="s">
        <v>18</v>
      </c>
      <c r="V41" s="6" t="e">
        <f>CONCATENATE("Tob = ", ROUND(V39,4), "x + ", ROUND(V40,2))</f>
        <v>#DIV/0!</v>
      </c>
    </row>
    <row r="46" spans="3:22" x14ac:dyDescent="0.25">
      <c r="D46" s="4"/>
      <c r="E46" s="5"/>
      <c r="F46" s="5"/>
      <c r="G46" s="5"/>
      <c r="H46" s="5"/>
    </row>
    <row r="47" spans="3:22" x14ac:dyDescent="0.25">
      <c r="C47" s="4"/>
    </row>
    <row r="52" spans="1:22" x14ac:dyDescent="0.25">
      <c r="A52" s="70"/>
      <c r="B52" s="70"/>
      <c r="C52" s="70"/>
      <c r="D52" s="70"/>
      <c r="E52" s="70"/>
      <c r="F52" s="71"/>
      <c r="G52" s="71"/>
      <c r="H52" s="71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</row>
    <row r="53" spans="1:22" x14ac:dyDescent="0.25">
      <c r="I53" s="1" t="s">
        <v>71</v>
      </c>
      <c r="J53" s="1" t="s">
        <v>70</v>
      </c>
      <c r="P53" s="1" t="s">
        <v>95</v>
      </c>
    </row>
    <row r="54" spans="1:22" x14ac:dyDescent="0.25">
      <c r="A54" s="5" t="s">
        <v>78</v>
      </c>
      <c r="B54" s="1" t="s">
        <v>2</v>
      </c>
      <c r="C54" s="2">
        <v>0</v>
      </c>
      <c r="G54" s="3"/>
      <c r="H54" s="3"/>
      <c r="I54" s="2">
        <f>COUNTA(I56:I1198)</f>
        <v>0</v>
      </c>
      <c r="J54" s="1">
        <f>COUNTA(J56:J1198)</f>
        <v>0</v>
      </c>
      <c r="O54" s="2"/>
      <c r="P54" s="1">
        <f>COUNTA(P56:P1198)</f>
        <v>0</v>
      </c>
      <c r="Q54" s="2"/>
      <c r="R54" s="2"/>
      <c r="S54" s="2"/>
      <c r="T54" s="2"/>
      <c r="U54" s="2"/>
      <c r="V54" s="2"/>
    </row>
    <row r="55" spans="1:22" x14ac:dyDescent="0.25">
      <c r="A55" s="64" t="s">
        <v>47</v>
      </c>
      <c r="B55" s="64" t="s">
        <v>20</v>
      </c>
      <c r="C55" s="64" t="s">
        <v>21</v>
      </c>
      <c r="D55" s="64" t="s">
        <v>0</v>
      </c>
      <c r="E55" s="65" t="s">
        <v>1</v>
      </c>
      <c r="F55" s="66" t="s">
        <v>19</v>
      </c>
      <c r="G55" s="66" t="s">
        <v>22</v>
      </c>
      <c r="H55" s="66" t="s">
        <v>23</v>
      </c>
      <c r="I55" s="64" t="s">
        <v>3</v>
      </c>
      <c r="J55" s="64" t="s">
        <v>66</v>
      </c>
      <c r="K55" s="65" t="s">
        <v>97</v>
      </c>
      <c r="L55" s="65" t="s">
        <v>67</v>
      </c>
      <c r="M55" s="65" t="s">
        <v>68</v>
      </c>
      <c r="N55" s="64" t="s">
        <v>5</v>
      </c>
      <c r="O55" s="64" t="s">
        <v>80</v>
      </c>
      <c r="P55" s="64" t="s">
        <v>79</v>
      </c>
      <c r="Q55" s="65" t="s">
        <v>96</v>
      </c>
      <c r="R55" s="65" t="s">
        <v>93</v>
      </c>
      <c r="S55" s="65" t="s">
        <v>94</v>
      </c>
      <c r="T55" s="64" t="s">
        <v>81</v>
      </c>
      <c r="U55" s="64" t="s">
        <v>7</v>
      </c>
      <c r="V55" s="64" t="s">
        <v>6</v>
      </c>
    </row>
    <row r="56" spans="1:22" x14ac:dyDescent="0.25">
      <c r="A56" s="6"/>
      <c r="B56" s="7"/>
      <c r="C56" s="7"/>
      <c r="D56" s="7"/>
      <c r="E56" s="8" t="str">
        <f>IF(NOT(ISBLANK(D56)),D56+C$54,"")</f>
        <v/>
      </c>
      <c r="F56" s="9"/>
      <c r="G56" s="9"/>
      <c r="H56" s="9"/>
      <c r="I56" s="7"/>
      <c r="J56" s="7"/>
      <c r="K56" s="7">
        <f>J56</f>
        <v>0</v>
      </c>
      <c r="L56" s="7" t="str">
        <f t="array" ref="L56">IFERROR(INDEX(D$56:D$1054,SMALL(IF(ISNUMBER(J$56:J$1054),ROW(D$1:D$999),""),ROW(D1))),"")</f>
        <v/>
      </c>
      <c r="M56" s="7" t="str">
        <f t="array" ref="M56">IFERROR(INDEX(J$56:J$1054,SMALL(IF(ISNUMBER(J$56:J$1054),ROW(J$1:J$999),""),ROW(J1))),"")</f>
        <v/>
      </c>
      <c r="N56" s="7"/>
      <c r="O56" s="7"/>
      <c r="P56" s="7"/>
      <c r="Q56" s="7">
        <f>P56</f>
        <v>0</v>
      </c>
      <c r="R56" s="7" t="str">
        <f t="array" ref="R56">IFERROR(INDEX(E$56:E$1054,SMALL(IF(ISNUMBER(P$56:P$1054),ROW(E$1:E$999),""),ROW(J1))),"")</f>
        <v/>
      </c>
      <c r="S56" s="7" t="str">
        <f t="array" ref="S56">IFERROR(INDEX(P$56:P$1054,SMALL(IF(ISNUMBER(P$56:P$1054),ROW(P$1:P$999),""),ROW(P1))),"")</f>
        <v/>
      </c>
      <c r="T56" s="7"/>
      <c r="U56" s="7"/>
      <c r="V56" s="7"/>
    </row>
    <row r="57" spans="1:22" x14ac:dyDescent="0.25">
      <c r="A57" s="6"/>
      <c r="B57" s="7"/>
      <c r="C57" s="7"/>
      <c r="D57" s="7"/>
      <c r="E57" s="8">
        <f>IF(NOT(ISBLANK(D57)),D57+C$54,0)</f>
        <v>0</v>
      </c>
      <c r="F57" s="9"/>
      <c r="G57" s="9"/>
      <c r="H57" s="9"/>
      <c r="I57" s="7"/>
      <c r="J57" s="7"/>
      <c r="K57" s="7">
        <f ca="1">IFERROR(IF(COUNTA(J$56:J57)=J$54,J57,FORECAST(D57,OFFSET(M$56:M$254,MATCH(D57,L$56:L$254,1)-1,0,2), OFFSET(L$56:L$254,MATCH(D57,L$56:L$254,1)-1,0,2))),"")</f>
        <v>0</v>
      </c>
      <c r="L57" s="7" t="str">
        <f t="array" ref="L57">IFERROR(INDEX(D$56:D$1054,SMALL(IF(ISNUMBER(J$56:J$1054),ROW(D$1:D$999),""),ROW(D2))),"")</f>
        <v/>
      </c>
      <c r="M57" s="7" t="str">
        <f t="array" ref="M57">IFERROR(INDEX(J$56:J$1054,SMALL(IF(ISNUMBER(J$56:J$1054),ROW(J$1:J$999),""),ROW(J2))),"")</f>
        <v/>
      </c>
      <c r="N57" s="7"/>
      <c r="O57" s="7"/>
      <c r="P57" s="7"/>
      <c r="Q57" s="7">
        <f ca="1">IFERROR(IF(COUNTA(P$56:P57)=P$54,P57,FORECAST(D57,OFFSET(S$56:S$254,MATCH(D57,R$56:R$254,1)-1,0,2), OFFSET(R$56:R$254,MATCH(D57,R$56:R$254,1)-1,0,2))),"")</f>
        <v>0</v>
      </c>
      <c r="R57" s="7" t="str">
        <f t="array" ref="R57">IFERROR(INDEX(E$56:E$1054,SMALL(IF(ISNUMBER(P$56:P$1054),ROW(E$1:E$999),""),ROW(J2))),"")</f>
        <v/>
      </c>
      <c r="S57" s="7" t="str">
        <f t="array" ref="S57">IFERROR(INDEX(P$56:P$1054,SMALL(IF(ISNUMBER(P$56:P$1054),ROW(P$1:P$999),""),ROW(P2))),"")</f>
        <v/>
      </c>
      <c r="T57" s="7"/>
      <c r="U57" s="7"/>
      <c r="V57" s="7"/>
    </row>
    <row r="58" spans="1:22" x14ac:dyDescent="0.25">
      <c r="A58" s="6"/>
      <c r="B58" s="7"/>
      <c r="C58" s="7"/>
      <c r="D58" s="7"/>
      <c r="E58" s="8">
        <f t="shared" ref="E58:E121" si="0">IF(NOT(ISBLANK(D58)),D58+C$54,0)</f>
        <v>0</v>
      </c>
      <c r="F58" s="9"/>
      <c r="G58" s="9"/>
      <c r="H58" s="9"/>
      <c r="I58" s="7"/>
      <c r="J58" s="7"/>
      <c r="K58" s="7">
        <f ca="1">IFERROR(IF(COUNTA(J$56:J58)=J$54,J58,FORECAST(D58,OFFSET(M$56:M$254,MATCH(D58,L$56:L$254,1)-1,0,2), OFFSET(L$56:L$254,MATCH(D58,L$56:L$254,1)-1,0,2))),"")</f>
        <v>0</v>
      </c>
      <c r="L58" s="7" t="str">
        <f t="array" ref="L58">IFERROR(INDEX(D$56:D$1054,SMALL(IF(ISNUMBER(J$56:J$1054),ROW(D$1:D$999),""),ROW(D3))),"")</f>
        <v/>
      </c>
      <c r="M58" s="7" t="str">
        <f t="array" ref="M58">IFERROR(INDEX(J$56:J$1054,SMALL(IF(ISNUMBER(J$56:J$1054),ROW(J$1:J$999),""),ROW(J3))),"")</f>
        <v/>
      </c>
      <c r="N58" s="7"/>
      <c r="O58" s="7"/>
      <c r="P58" s="7"/>
      <c r="Q58" s="7">
        <f ca="1">IFERROR(IF(COUNTA(P$56:P58)=P$54,P58,FORECAST(D58,OFFSET(S$56:S$254,MATCH(D58,R$56:R$254,1)-1,0,2), OFFSET(R$56:R$254,MATCH(D58,R$56:R$254,1)-1,0,2))),"")</f>
        <v>0</v>
      </c>
      <c r="R58" s="7" t="str">
        <f t="array" ref="R58">IFERROR(INDEX(E$56:E$1054,SMALL(IF(ISNUMBER(P$56:P$1054),ROW(E$1:E$999),""),ROW(J3))),"")</f>
        <v/>
      </c>
      <c r="S58" s="7" t="str">
        <f t="array" ref="S58">IFERROR(INDEX(P$56:P$1054,SMALL(IF(ISNUMBER(P$56:P$1054),ROW(P$1:P$999),""),ROW(P3))),"")</f>
        <v/>
      </c>
      <c r="T58" s="7"/>
      <c r="U58" s="7"/>
      <c r="V58" s="7"/>
    </row>
    <row r="59" spans="1:22" x14ac:dyDescent="0.25">
      <c r="A59" s="6"/>
      <c r="B59" s="7"/>
      <c r="C59" s="7"/>
      <c r="D59" s="7"/>
      <c r="E59" s="8">
        <f t="shared" si="0"/>
        <v>0</v>
      </c>
      <c r="F59" s="9"/>
      <c r="G59" s="9"/>
      <c r="H59" s="9"/>
      <c r="I59" s="7"/>
      <c r="J59" s="7"/>
      <c r="K59" s="7">
        <f ca="1">IFERROR(IF(COUNTA(J$56:J59)=J$54,J59,FORECAST(D59,OFFSET(M$56:M$254,MATCH(D59,L$56:L$254,1)-1,0,2), OFFSET(L$56:L$254,MATCH(D59,L$56:L$254,1)-1,0,2))),"")</f>
        <v>0</v>
      </c>
      <c r="L59" s="7" t="str">
        <f t="array" ref="L59">IFERROR(INDEX(D$56:D$1054,SMALL(IF(ISNUMBER(J$56:J$1054),ROW(D$1:D$999),""),ROW(D4))),"")</f>
        <v/>
      </c>
      <c r="M59" s="7" t="str">
        <f t="array" ref="M59">IFERROR(INDEX(J$56:J$1054,SMALL(IF(ISNUMBER(J$56:J$1054),ROW(J$1:J$999),""),ROW(J4))),"")</f>
        <v/>
      </c>
      <c r="N59" s="7"/>
      <c r="O59" s="7"/>
      <c r="P59" s="7"/>
      <c r="Q59" s="7">
        <f ca="1">IFERROR(IF(COUNTA(P$56:P59)=P$54,P59,FORECAST(D59,OFFSET(S$56:S$254,MATCH(D59,R$56:R$254,1)-1,0,2), OFFSET(R$56:R$254,MATCH(D59,R$56:R$254,1)-1,0,2))),"")</f>
        <v>0</v>
      </c>
      <c r="R59" s="7" t="str">
        <f t="array" ref="R59">IFERROR(INDEX(E$56:E$1054,SMALL(IF(ISNUMBER(P$56:P$1054),ROW(E$1:E$999),""),ROW(J4))),"")</f>
        <v/>
      </c>
      <c r="S59" s="7" t="str">
        <f t="array" ref="S59">IFERROR(INDEX(P$56:P$1054,SMALL(IF(ISNUMBER(P$56:P$1054),ROW(P$1:P$999),""),ROW(P4))),"")</f>
        <v/>
      </c>
      <c r="T59" s="7"/>
      <c r="U59" s="7"/>
      <c r="V59" s="7"/>
    </row>
    <row r="60" spans="1:22" x14ac:dyDescent="0.25">
      <c r="A60" s="6"/>
      <c r="B60" s="7"/>
      <c r="C60" s="7"/>
      <c r="D60" s="7"/>
      <c r="E60" s="8">
        <f t="shared" si="0"/>
        <v>0</v>
      </c>
      <c r="F60" s="9"/>
      <c r="G60" s="9"/>
      <c r="H60" s="9"/>
      <c r="I60" s="7"/>
      <c r="J60" s="7"/>
      <c r="K60" s="7">
        <f ca="1">IFERROR(IF(COUNTA(J$56:J60)=J$54,J60,FORECAST(D60,OFFSET(M$56:M$254,MATCH(D60,L$56:L$254,1)-1,0,2), OFFSET(L$56:L$254,MATCH(D60,L$56:L$254,1)-1,0,2))),"")</f>
        <v>0</v>
      </c>
      <c r="L60" s="7" t="str">
        <f t="array" ref="L60">IFERROR(INDEX(D$56:D$1054,SMALL(IF(ISNUMBER(J$56:J$1054),ROW(D$1:D$999),""),ROW(D5))),"")</f>
        <v/>
      </c>
      <c r="M60" s="7" t="str">
        <f t="array" ref="M60">IFERROR(INDEX(J$56:J$1054,SMALL(IF(ISNUMBER(J$56:J$1054),ROW(J$1:J$999),""),ROW(J5))),"")</f>
        <v/>
      </c>
      <c r="N60" s="7"/>
      <c r="O60" s="7"/>
      <c r="P60" s="7"/>
      <c r="Q60" s="7">
        <f ca="1">IFERROR(IF(COUNTA(P$56:P60)=P$54,P60,FORECAST(D60,OFFSET(S$56:S$254,MATCH(D60,R$56:R$254,1)-1,0,2), OFFSET(R$56:R$254,MATCH(D60,R$56:R$254,1)-1,0,2))),"")</f>
        <v>0</v>
      </c>
      <c r="R60" s="7" t="str">
        <f t="array" ref="R60">IFERROR(INDEX(E$56:E$1054,SMALL(IF(ISNUMBER(P$56:P$1054),ROW(E$1:E$999),""),ROW(J5))),"")</f>
        <v/>
      </c>
      <c r="S60" s="7" t="str">
        <f t="array" ref="S60">IFERROR(INDEX(P$56:P$1054,SMALL(IF(ISNUMBER(P$56:P$1054),ROW(P$1:P$999),""),ROW(P5))),"")</f>
        <v/>
      </c>
      <c r="T60" s="7"/>
      <c r="U60" s="7"/>
      <c r="V60" s="7"/>
    </row>
    <row r="61" spans="1:22" x14ac:dyDescent="0.25">
      <c r="A61" s="6"/>
      <c r="B61" s="7"/>
      <c r="C61" s="7"/>
      <c r="D61" s="7"/>
      <c r="E61" s="8">
        <f t="shared" si="0"/>
        <v>0</v>
      </c>
      <c r="F61" s="9"/>
      <c r="G61" s="9"/>
      <c r="H61" s="9"/>
      <c r="I61" s="7"/>
      <c r="J61" s="7"/>
      <c r="K61" s="7">
        <f ca="1">IFERROR(IF(COUNTA(J$56:J61)=J$54,J61,FORECAST(D61,OFFSET(M$56:M$254,MATCH(D61,L$56:L$254,1)-1,0,2), OFFSET(L$56:L$254,MATCH(D61,L$56:L$254,1)-1,0,2))),"")</f>
        <v>0</v>
      </c>
      <c r="L61" s="7" t="str">
        <f t="array" ref="L61">IFERROR(INDEX(D$56:D$1054,SMALL(IF(ISNUMBER(J$56:J$1054),ROW(D$1:D$999),""),ROW(D6))),"")</f>
        <v/>
      </c>
      <c r="M61" s="7" t="str">
        <f t="array" ref="M61">IFERROR(INDEX(J$56:J$1054,SMALL(IF(ISNUMBER(J$56:J$1054),ROW(J$1:J$999),""),ROW(J6))),"")</f>
        <v/>
      </c>
      <c r="N61" s="7"/>
      <c r="O61" s="7"/>
      <c r="P61" s="7"/>
      <c r="Q61" s="7">
        <f ca="1">IFERROR(IF(COUNTA(P$56:P61)=P$54,P61,FORECAST(D61,OFFSET(S$56:S$254,MATCH(D61,R$56:R$254,1)-1,0,2), OFFSET(R$56:R$254,MATCH(D61,R$56:R$254,1)-1,0,2))),"")</f>
        <v>0</v>
      </c>
      <c r="R61" s="7" t="str">
        <f t="array" ref="R61">IFERROR(INDEX(E$56:E$1054,SMALL(IF(ISNUMBER(P$56:P$1054),ROW(E$1:E$999),""),ROW(J6))),"")</f>
        <v/>
      </c>
      <c r="S61" s="7" t="str">
        <f t="array" ref="S61">IFERROR(INDEX(P$56:P$1054,SMALL(IF(ISNUMBER(P$56:P$1054),ROW(P$1:P$999),""),ROW(P6))),"")</f>
        <v/>
      </c>
      <c r="T61" s="7"/>
      <c r="U61" s="7"/>
      <c r="V61" s="7"/>
    </row>
    <row r="62" spans="1:22" x14ac:dyDescent="0.25">
      <c r="A62" s="6"/>
      <c r="B62" s="7"/>
      <c r="C62" s="7"/>
      <c r="D62" s="7"/>
      <c r="E62" s="8">
        <f t="shared" si="0"/>
        <v>0</v>
      </c>
      <c r="F62" s="9"/>
      <c r="G62" s="9"/>
      <c r="H62" s="9"/>
      <c r="I62" s="7"/>
      <c r="J62" s="7"/>
      <c r="K62" s="7">
        <f ca="1">IFERROR(IF(COUNTA(J$56:J62)=J$54,J62,FORECAST(D62,OFFSET(M$56:M$254,MATCH(D62,L$56:L$254,1)-1,0,2), OFFSET(L$56:L$254,MATCH(D62,L$56:L$254,1)-1,0,2))),"")</f>
        <v>0</v>
      </c>
      <c r="L62" s="7" t="str">
        <f t="array" ref="L62">IFERROR(INDEX(D$56:D$1054,SMALL(IF(ISNUMBER(J$56:J$1054),ROW(D$1:D$999),""),ROW(D7))),"")</f>
        <v/>
      </c>
      <c r="M62" s="7" t="str">
        <f t="array" ref="M62">IFERROR(INDEX(J$56:J$1054,SMALL(IF(ISNUMBER(J$56:J$1054),ROW(J$1:J$999),""),ROW(J7))),"")</f>
        <v/>
      </c>
      <c r="N62" s="7"/>
      <c r="O62" s="7"/>
      <c r="P62" s="7"/>
      <c r="Q62" s="7">
        <f ca="1">IFERROR(IF(COUNTA(P$56:P62)=P$54,P62,FORECAST(D62,OFFSET(S$56:S$254,MATCH(D62,R$56:R$254,1)-1,0,2), OFFSET(R$56:R$254,MATCH(D62,R$56:R$254,1)-1,0,2))),"")</f>
        <v>0</v>
      </c>
      <c r="R62" s="7" t="str">
        <f t="array" ref="R62">IFERROR(INDEX(E$56:E$1054,SMALL(IF(ISNUMBER(P$56:P$1054),ROW(E$1:E$999),""),ROW(J7))),"")</f>
        <v/>
      </c>
      <c r="S62" s="7" t="str">
        <f t="array" ref="S62">IFERROR(INDEX(P$56:P$1054,SMALL(IF(ISNUMBER(P$56:P$1054),ROW(P$1:P$999),""),ROW(P7))),"")</f>
        <v/>
      </c>
      <c r="T62" s="7"/>
      <c r="U62" s="7"/>
      <c r="V62" s="7"/>
    </row>
    <row r="63" spans="1:22" x14ac:dyDescent="0.25">
      <c r="A63" s="6"/>
      <c r="B63" s="7"/>
      <c r="C63" s="7"/>
      <c r="D63" s="7"/>
      <c r="E63" s="8">
        <f t="shared" si="0"/>
        <v>0</v>
      </c>
      <c r="F63" s="9"/>
      <c r="G63" s="9"/>
      <c r="H63" s="9"/>
      <c r="I63" s="7"/>
      <c r="J63" s="7"/>
      <c r="K63" s="7">
        <f ca="1">IFERROR(IF(COUNTA(J$56:J63)=J$54,J63,FORECAST(D63,OFFSET(M$56:M$254,MATCH(D63,L$56:L$254,1)-1,0,2), OFFSET(L$56:L$254,MATCH(D63,L$56:L$254,1)-1,0,2))),"")</f>
        <v>0</v>
      </c>
      <c r="L63" s="7" t="str">
        <f t="array" ref="L63">IFERROR(INDEX(D$56:D$1054,SMALL(IF(ISNUMBER(J$56:J$1054),ROW(D$1:D$999),""),ROW(D8))),"")</f>
        <v/>
      </c>
      <c r="M63" s="7" t="str">
        <f t="array" ref="M63">IFERROR(INDEX(J$56:J$1054,SMALL(IF(ISNUMBER(J$56:J$1054),ROW(J$1:J$999),""),ROW(J8))),"")</f>
        <v/>
      </c>
      <c r="N63" s="7"/>
      <c r="O63" s="7"/>
      <c r="P63" s="7"/>
      <c r="Q63" s="7">
        <f ca="1">IFERROR(IF(COUNTA(P$56:P63)=P$54,P63,FORECAST(D63,OFFSET(S$56:S$254,MATCH(D63,R$56:R$254,1)-1,0,2), OFFSET(R$56:R$254,MATCH(D63,R$56:R$254,1)-1,0,2))),"")</f>
        <v>0</v>
      </c>
      <c r="R63" s="7" t="str">
        <f t="array" ref="R63">IFERROR(INDEX(E$56:E$1054,SMALL(IF(ISNUMBER(P$56:P$1054),ROW(E$1:E$999),""),ROW(J8))),"")</f>
        <v/>
      </c>
      <c r="S63" s="7" t="str">
        <f t="array" ref="S63">IFERROR(INDEX(P$56:P$1054,SMALL(IF(ISNUMBER(P$56:P$1054),ROW(P$1:P$999),""),ROW(P8))),"")</f>
        <v/>
      </c>
      <c r="T63" s="7"/>
      <c r="U63" s="7"/>
      <c r="V63" s="7"/>
    </row>
    <row r="64" spans="1:22" x14ac:dyDescent="0.25">
      <c r="A64" s="6"/>
      <c r="B64" s="7"/>
      <c r="C64" s="7"/>
      <c r="D64" s="7"/>
      <c r="E64" s="8">
        <f t="shared" si="0"/>
        <v>0</v>
      </c>
      <c r="F64" s="9"/>
      <c r="G64" s="9"/>
      <c r="H64" s="9"/>
      <c r="I64" s="7"/>
      <c r="J64" s="7"/>
      <c r="K64" s="7">
        <f ca="1">IFERROR(IF(COUNTA(J$56:J64)=J$54,J64,FORECAST(D64,OFFSET(M$56:M$254,MATCH(D64,L$56:L$254,1)-1,0,2), OFFSET(L$56:L$254,MATCH(D64,L$56:L$254,1)-1,0,2))),"")</f>
        <v>0</v>
      </c>
      <c r="L64" s="7" t="str">
        <f t="array" ref="L64">IFERROR(INDEX(D$56:D$1054,SMALL(IF(ISNUMBER(J$56:J$1054),ROW(D$1:D$999),""),ROW(D9))),"")</f>
        <v/>
      </c>
      <c r="M64" s="7" t="str">
        <f t="array" ref="M64">IFERROR(INDEX(J$56:J$1054,SMALL(IF(ISNUMBER(J$56:J$1054),ROW(J$1:J$999),""),ROW(J9))),"")</f>
        <v/>
      </c>
      <c r="N64" s="7"/>
      <c r="O64" s="7"/>
      <c r="P64" s="7"/>
      <c r="Q64" s="7">
        <f ca="1">IFERROR(IF(COUNTA(P$56:P64)=P$54,P64,FORECAST(D64,OFFSET(S$56:S$254,MATCH(D64,R$56:R$254,1)-1,0,2), OFFSET(R$56:R$254,MATCH(D64,R$56:R$254,1)-1,0,2))),"")</f>
        <v>0</v>
      </c>
      <c r="R64" s="7" t="str">
        <f t="array" ref="R64">IFERROR(INDEX(E$56:E$1054,SMALL(IF(ISNUMBER(P$56:P$1054),ROW(E$1:E$999),""),ROW(J9))),"")</f>
        <v/>
      </c>
      <c r="S64" s="7" t="str">
        <f t="array" ref="S64">IFERROR(INDEX(P$56:P$1054,SMALL(IF(ISNUMBER(P$56:P$1054),ROW(P$1:P$999),""),ROW(P9))),"")</f>
        <v/>
      </c>
      <c r="T64" s="7"/>
      <c r="U64" s="7"/>
      <c r="V64" s="7"/>
    </row>
    <row r="65" spans="1:22" x14ac:dyDescent="0.25">
      <c r="A65" s="6"/>
      <c r="B65" s="7"/>
      <c r="C65" s="7"/>
      <c r="D65" s="7"/>
      <c r="E65" s="8">
        <f t="shared" si="0"/>
        <v>0</v>
      </c>
      <c r="F65" s="9"/>
      <c r="G65" s="9"/>
      <c r="H65" s="9"/>
      <c r="I65" s="7"/>
      <c r="J65" s="7"/>
      <c r="K65" s="7">
        <f ca="1">IFERROR(IF(COUNTA(J$56:J65)=J$54,J65,FORECAST(D65,OFFSET(M$56:M$254,MATCH(D65,L$56:L$254,1)-1,0,2), OFFSET(L$56:L$254,MATCH(D65,L$56:L$254,1)-1,0,2))),"")</f>
        <v>0</v>
      </c>
      <c r="L65" s="7" t="str">
        <f t="array" ref="L65">IFERROR(INDEX(D$56:D$1054,SMALL(IF(ISNUMBER(J$56:J$1054),ROW(D$1:D$999),""),ROW(D10))),"")</f>
        <v/>
      </c>
      <c r="M65" s="7" t="str">
        <f t="array" ref="M65">IFERROR(INDEX(J$56:J$1054,SMALL(IF(ISNUMBER(J$56:J$1054),ROW(J$1:J$999),""),ROW(J10))),"")</f>
        <v/>
      </c>
      <c r="N65" s="7"/>
      <c r="O65" s="7"/>
      <c r="P65" s="7"/>
      <c r="Q65" s="7">
        <f ca="1">IFERROR(IF(COUNTA(P$56:P65)=P$54,P65,FORECAST(D65,OFFSET(S$56:S$254,MATCH(D65,R$56:R$254,1)-1,0,2), OFFSET(R$56:R$254,MATCH(D65,R$56:R$254,1)-1,0,2))),"")</f>
        <v>0</v>
      </c>
      <c r="R65" s="7" t="str">
        <f t="array" ref="R65">IFERROR(INDEX(E$56:E$1054,SMALL(IF(ISNUMBER(P$56:P$1054),ROW(E$1:E$999),""),ROW(J10))),"")</f>
        <v/>
      </c>
      <c r="S65" s="7" t="str">
        <f t="array" ref="S65">IFERROR(INDEX(P$56:P$1054,SMALL(IF(ISNUMBER(P$56:P$1054),ROW(P$1:P$999),""),ROW(P10))),"")</f>
        <v/>
      </c>
      <c r="T65" s="7"/>
      <c r="U65" s="7"/>
      <c r="V65" s="7"/>
    </row>
    <row r="66" spans="1:22" x14ac:dyDescent="0.25">
      <c r="A66" s="6"/>
      <c r="B66" s="7"/>
      <c r="C66" s="7"/>
      <c r="D66" s="7"/>
      <c r="E66" s="8">
        <f t="shared" si="0"/>
        <v>0</v>
      </c>
      <c r="F66" s="9"/>
      <c r="G66" s="9"/>
      <c r="H66" s="9"/>
      <c r="I66" s="7"/>
      <c r="J66" s="7"/>
      <c r="K66" s="7">
        <f ca="1">IFERROR(IF(COUNTA(J$56:J66)=J$54,J66,FORECAST(D66,OFFSET(M$56:M$254,MATCH(D66,L$56:L$254,1)-1,0,2), OFFSET(L$56:L$254,MATCH(D66,L$56:L$254,1)-1,0,2))),"")</f>
        <v>0</v>
      </c>
      <c r="L66" s="7" t="str">
        <f t="array" ref="L66">IFERROR(INDEX(D$56:D$1054,SMALL(IF(ISNUMBER(J$56:J$1054),ROW(D$1:D$999),""),ROW(D11))),"")</f>
        <v/>
      </c>
      <c r="M66" s="7" t="str">
        <f t="array" ref="M66">IFERROR(INDEX(J$56:J$1054,SMALL(IF(ISNUMBER(J$56:J$1054),ROW(J$1:J$999),""),ROW(J11))),"")</f>
        <v/>
      </c>
      <c r="N66" s="7"/>
      <c r="O66" s="7"/>
      <c r="P66" s="7"/>
      <c r="Q66" s="7">
        <f ca="1">IFERROR(IF(COUNTA(P$56:P66)=P$54,P66,FORECAST(D66,OFFSET(S$56:S$254,MATCH(D66,R$56:R$254,1)-1,0,2), OFFSET(R$56:R$254,MATCH(D66,R$56:R$254,1)-1,0,2))),"")</f>
        <v>0</v>
      </c>
      <c r="R66" s="7" t="str">
        <f t="array" ref="R66">IFERROR(INDEX(E$56:E$1054,SMALL(IF(ISNUMBER(P$56:P$1054),ROW(E$1:E$999),""),ROW(J11))),"")</f>
        <v/>
      </c>
      <c r="S66" s="7" t="str">
        <f t="array" ref="S66">IFERROR(INDEX(P$56:P$1054,SMALL(IF(ISNUMBER(P$56:P$1054),ROW(P$1:P$999),""),ROW(P11))),"")</f>
        <v/>
      </c>
      <c r="T66" s="7"/>
      <c r="U66" s="7"/>
      <c r="V66" s="7"/>
    </row>
    <row r="67" spans="1:22" x14ac:dyDescent="0.25">
      <c r="A67" s="6"/>
      <c r="B67" s="7"/>
      <c r="C67" s="7"/>
      <c r="D67" s="7"/>
      <c r="E67" s="8">
        <f t="shared" si="0"/>
        <v>0</v>
      </c>
      <c r="F67" s="9"/>
      <c r="G67" s="9"/>
      <c r="H67" s="9"/>
      <c r="I67" s="7"/>
      <c r="J67" s="7"/>
      <c r="K67" s="7">
        <f ca="1">IFERROR(IF(COUNTA(J$56:J67)=J$54,J67,FORECAST(D67,OFFSET(M$56:M$254,MATCH(D67,L$56:L$254,1)-1,0,2), OFFSET(L$56:L$254,MATCH(D67,L$56:L$254,1)-1,0,2))),"")</f>
        <v>0</v>
      </c>
      <c r="L67" s="7" t="str">
        <f t="array" ref="L67">IFERROR(INDEX(D$56:D$1054,SMALL(IF(ISNUMBER(J$56:J$1054),ROW(D$1:D$999),""),ROW(D12))),"")</f>
        <v/>
      </c>
      <c r="M67" s="7" t="str">
        <f t="array" ref="M67">IFERROR(INDEX(J$56:J$1054,SMALL(IF(ISNUMBER(J$56:J$1054),ROW(J$1:J$999),""),ROW(J12))),"")</f>
        <v/>
      </c>
      <c r="N67" s="7"/>
      <c r="O67" s="7"/>
      <c r="P67" s="7"/>
      <c r="Q67" s="7">
        <f ca="1">IFERROR(IF(COUNTA(P$56:P67)=P$54,P67,FORECAST(D67,OFFSET(S$56:S$254,MATCH(D67,R$56:R$254,1)-1,0,2), OFFSET(R$56:R$254,MATCH(D67,R$56:R$254,1)-1,0,2))),"")</f>
        <v>0</v>
      </c>
      <c r="R67" s="7" t="str">
        <f t="array" ref="R67">IFERROR(INDEX(E$56:E$1054,SMALL(IF(ISNUMBER(P$56:P$1054),ROW(E$1:E$999),""),ROW(J12))),"")</f>
        <v/>
      </c>
      <c r="S67" s="7" t="str">
        <f t="array" ref="S67">IFERROR(INDEX(P$56:P$1054,SMALL(IF(ISNUMBER(P$56:P$1054),ROW(P$1:P$999),""),ROW(P12))),"")</f>
        <v/>
      </c>
      <c r="T67" s="7"/>
      <c r="U67" s="7"/>
      <c r="V67" s="7"/>
    </row>
    <row r="68" spans="1:22" x14ac:dyDescent="0.25">
      <c r="A68" s="6"/>
      <c r="B68" s="7"/>
      <c r="C68" s="7"/>
      <c r="D68" s="7"/>
      <c r="E68" s="8">
        <f t="shared" si="0"/>
        <v>0</v>
      </c>
      <c r="F68" s="9"/>
      <c r="G68" s="9"/>
      <c r="H68" s="9"/>
      <c r="I68" s="7"/>
      <c r="J68" s="7"/>
      <c r="K68" s="7">
        <f ca="1">IFERROR(IF(COUNTA(J$56:J68)=J$54,J68,FORECAST(D68,OFFSET(M$56:M$254,MATCH(D68,L$56:L$254,1)-1,0,2), OFFSET(L$56:L$254,MATCH(D68,L$56:L$254,1)-1,0,2))),"")</f>
        <v>0</v>
      </c>
      <c r="L68" s="7" t="str">
        <f t="array" ref="L68">IFERROR(INDEX(D$56:D$1054,SMALL(IF(ISNUMBER(J$56:J$1054),ROW(D$1:D$999),""),ROW(D13))),"")</f>
        <v/>
      </c>
      <c r="M68" s="7" t="str">
        <f t="array" ref="M68">IFERROR(INDEX(J$56:J$1054,SMALL(IF(ISNUMBER(J$56:J$1054),ROW(J$1:J$999),""),ROW(J13))),"")</f>
        <v/>
      </c>
      <c r="N68" s="7"/>
      <c r="O68" s="7"/>
      <c r="P68" s="7"/>
      <c r="Q68" s="7">
        <f ca="1">IFERROR(IF(COUNTA(P$56:P68)=P$54,P68,FORECAST(D68,OFFSET(S$56:S$254,MATCH(D68,R$56:R$254,1)-1,0,2), OFFSET(R$56:R$254,MATCH(D68,R$56:R$254,1)-1,0,2))),"")</f>
        <v>0</v>
      </c>
      <c r="R68" s="7" t="str">
        <f t="array" ref="R68">IFERROR(INDEX(E$56:E$1054,SMALL(IF(ISNUMBER(P$56:P$1054),ROW(E$1:E$999),""),ROW(J13))),"")</f>
        <v/>
      </c>
      <c r="S68" s="7" t="str">
        <f t="array" ref="S68">IFERROR(INDEX(P$56:P$1054,SMALL(IF(ISNUMBER(P$56:P$1054),ROW(P$1:P$999),""),ROW(P13))),"")</f>
        <v/>
      </c>
      <c r="T68" s="7"/>
      <c r="U68" s="7"/>
      <c r="V68" s="7"/>
    </row>
    <row r="69" spans="1:22" x14ac:dyDescent="0.25">
      <c r="A69" s="6"/>
      <c r="B69" s="7"/>
      <c r="C69" s="7"/>
      <c r="D69" s="7"/>
      <c r="E69" s="8">
        <f t="shared" si="0"/>
        <v>0</v>
      </c>
      <c r="F69" s="9"/>
      <c r="G69" s="9"/>
      <c r="H69" s="9"/>
      <c r="I69" s="7"/>
      <c r="J69" s="7"/>
      <c r="K69" s="7">
        <f ca="1">IFERROR(IF(COUNTA(J$56:J69)=J$54,J69,FORECAST(D69,OFFSET(M$56:M$254,MATCH(D69,L$56:L$254,1)-1,0,2), OFFSET(L$56:L$254,MATCH(D69,L$56:L$254,1)-1,0,2))),"")</f>
        <v>0</v>
      </c>
      <c r="L69" s="7" t="str">
        <f t="array" ref="L69">IFERROR(INDEX(D$56:D$1054,SMALL(IF(ISNUMBER(J$56:J$1054),ROW(D$1:D$999),""),ROW(D14))),"")</f>
        <v/>
      </c>
      <c r="M69" s="7" t="str">
        <f t="array" ref="M69">IFERROR(INDEX(J$56:J$1054,SMALL(IF(ISNUMBER(J$56:J$1054),ROW(J$1:J$999),""),ROW(J14))),"")</f>
        <v/>
      </c>
      <c r="N69" s="7"/>
      <c r="O69" s="7"/>
      <c r="P69" s="7"/>
      <c r="Q69" s="7">
        <f ca="1">IFERROR(IF(COUNTA(P$56:P69)=P$54,P69,FORECAST(D69,OFFSET(S$56:S$254,MATCH(D69,R$56:R$254,1)-1,0,2), OFFSET(R$56:R$254,MATCH(D69,R$56:R$254,1)-1,0,2))),"")</f>
        <v>0</v>
      </c>
      <c r="R69" s="7" t="str">
        <f t="array" ref="R69">IFERROR(INDEX(E$56:E$1054,SMALL(IF(ISNUMBER(P$56:P$1054),ROW(E$1:E$999),""),ROW(J14))),"")</f>
        <v/>
      </c>
      <c r="S69" s="7" t="str">
        <f t="array" ref="S69">IFERROR(INDEX(P$56:P$1054,SMALL(IF(ISNUMBER(P$56:P$1054),ROW(P$1:P$999),""),ROW(P14))),"")</f>
        <v/>
      </c>
      <c r="T69" s="7"/>
      <c r="U69" s="7"/>
      <c r="V69" s="7"/>
    </row>
    <row r="70" spans="1:22" x14ac:dyDescent="0.25">
      <c r="A70" s="6"/>
      <c r="B70" s="7"/>
      <c r="C70" s="7"/>
      <c r="D70" s="7"/>
      <c r="E70" s="8">
        <f t="shared" si="0"/>
        <v>0</v>
      </c>
      <c r="F70" s="9"/>
      <c r="G70" s="9"/>
      <c r="H70" s="9"/>
      <c r="I70" s="7"/>
      <c r="J70" s="7"/>
      <c r="K70" s="7">
        <f ca="1">IFERROR(IF(COUNTA(J$56:J70)=J$54,J70,FORECAST(D70,OFFSET(M$56:M$254,MATCH(D70,L$56:L$254,1)-1,0,2), OFFSET(L$56:L$254,MATCH(D70,L$56:L$254,1)-1,0,2))),"")</f>
        <v>0</v>
      </c>
      <c r="L70" s="7" t="str">
        <f t="array" ref="L70">IFERROR(INDEX(D$56:D$1054,SMALL(IF(ISNUMBER(J$56:J$1054),ROW(D$1:D$999),""),ROW(D15))),"")</f>
        <v/>
      </c>
      <c r="M70" s="7" t="str">
        <f t="array" ref="M70">IFERROR(INDEX(J$56:J$1054,SMALL(IF(ISNUMBER(J$56:J$1054),ROW(J$1:J$999),""),ROW(J15))),"")</f>
        <v/>
      </c>
      <c r="N70" s="7"/>
      <c r="O70" s="7"/>
      <c r="P70" s="7"/>
      <c r="Q70" s="7">
        <f ca="1">IFERROR(IF(COUNTA(P$56:P70)=P$54,P70,FORECAST(D70,OFFSET(S$56:S$254,MATCH(D70,R$56:R$254,1)-1,0,2), OFFSET(R$56:R$254,MATCH(D70,R$56:R$254,1)-1,0,2))),"")</f>
        <v>0</v>
      </c>
      <c r="R70" s="7" t="str">
        <f t="array" ref="R70">IFERROR(INDEX(E$56:E$1054,SMALL(IF(ISNUMBER(P$56:P$1054),ROW(E$1:E$999),""),ROW(J15))),"")</f>
        <v/>
      </c>
      <c r="S70" s="7" t="str">
        <f t="array" ref="S70">IFERROR(INDEX(P$56:P$1054,SMALL(IF(ISNUMBER(P$56:P$1054),ROW(P$1:P$999),""),ROW(P15))),"")</f>
        <v/>
      </c>
      <c r="T70" s="7"/>
      <c r="U70" s="7"/>
      <c r="V70" s="7"/>
    </row>
    <row r="71" spans="1:22" x14ac:dyDescent="0.25">
      <c r="A71" s="6"/>
      <c r="B71" s="7"/>
      <c r="C71" s="7"/>
      <c r="D71" s="7"/>
      <c r="E71" s="8">
        <f t="shared" si="0"/>
        <v>0</v>
      </c>
      <c r="F71" s="9"/>
      <c r="G71" s="9"/>
      <c r="H71" s="9"/>
      <c r="I71" s="7"/>
      <c r="J71" s="7"/>
      <c r="K71" s="7">
        <f ca="1">IFERROR(IF(COUNTA(J$56:J71)=J$54,J71,FORECAST(D71,OFFSET(M$56:M$254,MATCH(D71,L$56:L$254,1)-1,0,2), OFFSET(L$56:L$254,MATCH(D71,L$56:L$254,1)-1,0,2))),"")</f>
        <v>0</v>
      </c>
      <c r="L71" s="7" t="str">
        <f t="array" ref="L71">IFERROR(INDEX(D$56:D$1054,SMALL(IF(ISNUMBER(J$56:J$1054),ROW(D$1:D$999),""),ROW(D16))),"")</f>
        <v/>
      </c>
      <c r="M71" s="7" t="str">
        <f t="array" ref="M71">IFERROR(INDEX(J$56:J$1054,SMALL(IF(ISNUMBER(J$56:J$1054),ROW(J$1:J$999),""),ROW(J16))),"")</f>
        <v/>
      </c>
      <c r="N71" s="7"/>
      <c r="O71" s="7"/>
      <c r="P71" s="7"/>
      <c r="Q71" s="7">
        <f ca="1">IFERROR(IF(COUNTA(P$56:P71)=P$54,P71,FORECAST(D71,OFFSET(S$56:S$254,MATCH(D71,R$56:R$254,1)-1,0,2), OFFSET(R$56:R$254,MATCH(D71,R$56:R$254,1)-1,0,2))),"")</f>
        <v>0</v>
      </c>
      <c r="R71" s="7" t="str">
        <f t="array" ref="R71">IFERROR(INDEX(E$56:E$1054,SMALL(IF(ISNUMBER(P$56:P$1054),ROW(E$1:E$999),""),ROW(J16))),"")</f>
        <v/>
      </c>
      <c r="S71" s="7" t="str">
        <f t="array" ref="S71">IFERROR(INDEX(P$56:P$1054,SMALL(IF(ISNUMBER(P$56:P$1054),ROW(P$1:P$999),""),ROW(P16))),"")</f>
        <v/>
      </c>
      <c r="T71" s="7"/>
      <c r="U71" s="7"/>
      <c r="V71" s="7"/>
    </row>
    <row r="72" spans="1:22" x14ac:dyDescent="0.25">
      <c r="A72" s="6"/>
      <c r="B72" s="7"/>
      <c r="C72" s="7"/>
      <c r="D72" s="7"/>
      <c r="E72" s="8">
        <f t="shared" si="0"/>
        <v>0</v>
      </c>
      <c r="F72" s="9"/>
      <c r="G72" s="9"/>
      <c r="H72" s="9"/>
      <c r="I72" s="7"/>
      <c r="J72" s="7"/>
      <c r="K72" s="7">
        <f ca="1">IFERROR(IF(COUNTA(J$56:J72)=J$54,J72,FORECAST(D72,OFFSET(M$56:M$254,MATCH(D72,L$56:L$254,1)-1,0,2), OFFSET(L$56:L$254,MATCH(D72,L$56:L$254,1)-1,0,2))),"")</f>
        <v>0</v>
      </c>
      <c r="L72" s="7" t="str">
        <f t="array" ref="L72">IFERROR(INDEX(D$56:D$1054,SMALL(IF(ISNUMBER(J$56:J$1054),ROW(D$1:D$999),""),ROW(D17))),"")</f>
        <v/>
      </c>
      <c r="M72" s="7" t="str">
        <f t="array" ref="M72">IFERROR(INDEX(J$56:J$1054,SMALL(IF(ISNUMBER(J$56:J$1054),ROW(J$1:J$999),""),ROW(J17))),"")</f>
        <v/>
      </c>
      <c r="N72" s="7"/>
      <c r="O72" s="7"/>
      <c r="P72" s="7"/>
      <c r="Q72" s="7">
        <f ca="1">IFERROR(IF(COUNTA(P$56:P72)=P$54,P72,FORECAST(D72,OFFSET(S$56:S$254,MATCH(D72,R$56:R$254,1)-1,0,2), OFFSET(R$56:R$254,MATCH(D72,R$56:R$254,1)-1,0,2))),"")</f>
        <v>0</v>
      </c>
      <c r="R72" s="7" t="str">
        <f t="array" ref="R72">IFERROR(INDEX(E$56:E$1054,SMALL(IF(ISNUMBER(P$56:P$1054),ROW(E$1:E$999),""),ROW(J17))),"")</f>
        <v/>
      </c>
      <c r="S72" s="7" t="str">
        <f t="array" ref="S72">IFERROR(INDEX(P$56:P$1054,SMALL(IF(ISNUMBER(P$56:P$1054),ROW(P$1:P$999),""),ROW(P17))),"")</f>
        <v/>
      </c>
      <c r="T72" s="7"/>
      <c r="U72" s="7"/>
      <c r="V72" s="7"/>
    </row>
    <row r="73" spans="1:22" x14ac:dyDescent="0.25">
      <c r="A73" s="6"/>
      <c r="B73" s="7"/>
      <c r="C73" s="7"/>
      <c r="D73" s="7"/>
      <c r="E73" s="8">
        <f t="shared" si="0"/>
        <v>0</v>
      </c>
      <c r="F73" s="9"/>
      <c r="G73" s="9"/>
      <c r="H73" s="9"/>
      <c r="I73" s="7"/>
      <c r="J73" s="7"/>
      <c r="K73" s="7">
        <f ca="1">IFERROR(IF(COUNTA(J$56:J73)=J$54,J73,FORECAST(D73,OFFSET(M$56:M$254,MATCH(D73,L$56:L$254,1)-1,0,2), OFFSET(L$56:L$254,MATCH(D73,L$56:L$254,1)-1,0,2))),"")</f>
        <v>0</v>
      </c>
      <c r="L73" s="7" t="str">
        <f t="array" ref="L73">IFERROR(INDEX(D$56:D$1054,SMALL(IF(ISNUMBER(J$56:J$1054),ROW(D$1:D$999),""),ROW(D18))),"")</f>
        <v/>
      </c>
      <c r="M73" s="7" t="str">
        <f t="array" ref="M73">IFERROR(INDEX(J$56:J$1054,SMALL(IF(ISNUMBER(J$56:J$1054),ROW(J$1:J$999),""),ROW(J18))),"")</f>
        <v/>
      </c>
      <c r="N73" s="7"/>
      <c r="O73" s="7"/>
      <c r="P73" s="7"/>
      <c r="Q73" s="7">
        <f ca="1">IFERROR(IF(COUNTA(P$56:P73)=P$54,P73,FORECAST(D73,OFFSET(S$56:S$254,MATCH(D73,R$56:R$254,1)-1,0,2), OFFSET(R$56:R$254,MATCH(D73,R$56:R$254,1)-1,0,2))),"")</f>
        <v>0</v>
      </c>
      <c r="R73" s="7" t="str">
        <f t="array" ref="R73">IFERROR(INDEX(E$56:E$1054,SMALL(IF(ISNUMBER(P$56:P$1054),ROW(E$1:E$999),""),ROW(J18))),"")</f>
        <v/>
      </c>
      <c r="S73" s="7" t="str">
        <f t="array" ref="S73">IFERROR(INDEX(P$56:P$1054,SMALL(IF(ISNUMBER(P$56:P$1054),ROW(P$1:P$999),""),ROW(P18))),"")</f>
        <v/>
      </c>
      <c r="T73" s="7"/>
      <c r="U73" s="7"/>
      <c r="V73" s="7"/>
    </row>
    <row r="74" spans="1:22" x14ac:dyDescent="0.25">
      <c r="A74" s="6"/>
      <c r="B74" s="7"/>
      <c r="C74" s="7"/>
      <c r="D74" s="7"/>
      <c r="E74" s="8">
        <f t="shared" si="0"/>
        <v>0</v>
      </c>
      <c r="F74" s="9"/>
      <c r="G74" s="9"/>
      <c r="H74" s="9"/>
      <c r="I74" s="7"/>
      <c r="J74" s="7"/>
      <c r="K74" s="7">
        <f ca="1">IFERROR(IF(COUNTA(J$56:J74)=J$54,J74,FORECAST(D74,OFFSET(M$56:M$254,MATCH(D74,L$56:L$254,1)-1,0,2), OFFSET(L$56:L$254,MATCH(D74,L$56:L$254,1)-1,0,2))),"")</f>
        <v>0</v>
      </c>
      <c r="L74" s="7" t="str">
        <f t="array" ref="L74">IFERROR(INDEX(D$56:D$1054,SMALL(IF(ISNUMBER(J$56:J$1054),ROW(D$1:D$999),""),ROW(D19))),"")</f>
        <v/>
      </c>
      <c r="M74" s="7" t="str">
        <f t="array" ref="M74">IFERROR(INDEX(J$56:J$1054,SMALL(IF(ISNUMBER(J$56:J$1054),ROW(J$1:J$999),""),ROW(J19))),"")</f>
        <v/>
      </c>
      <c r="N74" s="7"/>
      <c r="O74" s="7"/>
      <c r="P74" s="7"/>
      <c r="Q74" s="7">
        <f ca="1">IFERROR(IF(COUNTA(P$56:P74)=P$54,P74,FORECAST(D74,OFFSET(S$56:S$254,MATCH(D74,R$56:R$254,1)-1,0,2), OFFSET(R$56:R$254,MATCH(D74,R$56:R$254,1)-1,0,2))),"")</f>
        <v>0</v>
      </c>
      <c r="R74" s="7" t="str">
        <f t="array" ref="R74">IFERROR(INDEX(E$56:E$1054,SMALL(IF(ISNUMBER(P$56:P$1054),ROW(E$1:E$999),""),ROW(J19))),"")</f>
        <v/>
      </c>
      <c r="S74" s="7" t="str">
        <f t="array" ref="S74">IFERROR(INDEX(P$56:P$1054,SMALL(IF(ISNUMBER(P$56:P$1054),ROW(P$1:P$999),""),ROW(P19))),"")</f>
        <v/>
      </c>
      <c r="T74" s="7"/>
      <c r="U74" s="7"/>
      <c r="V74" s="7"/>
    </row>
    <row r="75" spans="1:22" x14ac:dyDescent="0.25">
      <c r="A75" s="6"/>
      <c r="B75" s="7"/>
      <c r="C75" s="7"/>
      <c r="D75" s="7"/>
      <c r="E75" s="8">
        <f t="shared" si="0"/>
        <v>0</v>
      </c>
      <c r="F75" s="9"/>
      <c r="G75" s="9"/>
      <c r="H75" s="9"/>
      <c r="I75" s="7"/>
      <c r="J75" s="7"/>
      <c r="K75" s="7">
        <f ca="1">IFERROR(IF(COUNTA(J$56:J75)=J$54,J75,FORECAST(D75,OFFSET(M$56:M$254,MATCH(D75,L$56:L$254,1)-1,0,2), OFFSET(L$56:L$254,MATCH(D75,L$56:L$254,1)-1,0,2))),"")</f>
        <v>0</v>
      </c>
      <c r="L75" s="7" t="str">
        <f t="array" ref="L75">IFERROR(INDEX(D$56:D$1054,SMALL(IF(ISNUMBER(J$56:J$1054),ROW(D$1:D$999),""),ROW(D20))),"")</f>
        <v/>
      </c>
      <c r="M75" s="7" t="str">
        <f t="array" ref="M75">IFERROR(INDEX(J$56:J$1054,SMALL(IF(ISNUMBER(J$56:J$1054),ROW(J$1:J$999),""),ROW(J20))),"")</f>
        <v/>
      </c>
      <c r="N75" s="7"/>
      <c r="O75" s="7"/>
      <c r="P75" s="7"/>
      <c r="Q75" s="7">
        <f ca="1">IFERROR(IF(COUNTA(P$56:P75)=P$54,P75,FORECAST(D75,OFFSET(S$56:S$254,MATCH(D75,R$56:R$254,1)-1,0,2), OFFSET(R$56:R$254,MATCH(D75,R$56:R$254,1)-1,0,2))),"")</f>
        <v>0</v>
      </c>
      <c r="R75" s="7" t="str">
        <f t="array" ref="R75">IFERROR(INDEX(E$56:E$1054,SMALL(IF(ISNUMBER(P$56:P$1054),ROW(E$1:E$999),""),ROW(J20))),"")</f>
        <v/>
      </c>
      <c r="S75" s="7" t="str">
        <f t="array" ref="S75">IFERROR(INDEX(P$56:P$1054,SMALL(IF(ISNUMBER(P$56:P$1054),ROW(P$1:P$999),""),ROW(P20))),"")</f>
        <v/>
      </c>
      <c r="T75" s="7"/>
      <c r="U75" s="7"/>
      <c r="V75" s="7"/>
    </row>
    <row r="76" spans="1:22" x14ac:dyDescent="0.25">
      <c r="A76" s="6"/>
      <c r="B76" s="7"/>
      <c r="C76" s="7"/>
      <c r="D76" s="7"/>
      <c r="E76" s="8">
        <f t="shared" si="0"/>
        <v>0</v>
      </c>
      <c r="F76" s="9"/>
      <c r="G76" s="9"/>
      <c r="H76" s="9"/>
      <c r="I76" s="7"/>
      <c r="J76" s="7"/>
      <c r="K76" s="7">
        <f ca="1">IFERROR(IF(COUNTA(J$56:J76)=J$54,J76,FORECAST(D76,OFFSET(M$56:M$254,MATCH(D76,L$56:L$254,1)-1,0,2), OFFSET(L$56:L$254,MATCH(D76,L$56:L$254,1)-1,0,2))),"")</f>
        <v>0</v>
      </c>
      <c r="L76" s="7" t="str">
        <f t="array" ref="L76">IFERROR(INDEX(D$56:D$1054,SMALL(IF(ISNUMBER(J$56:J$1054),ROW(D$1:D$999),""),ROW(D21))),"")</f>
        <v/>
      </c>
      <c r="M76" s="7" t="str">
        <f t="array" ref="M76">IFERROR(INDEX(J$56:J$1054,SMALL(IF(ISNUMBER(J$56:J$1054),ROW(J$1:J$999),""),ROW(J21))),"")</f>
        <v/>
      </c>
      <c r="N76" s="7"/>
      <c r="O76" s="7"/>
      <c r="P76" s="7"/>
      <c r="Q76" s="7">
        <f ca="1">IFERROR(IF(COUNTA(P$56:P76)=P$54,P76,FORECAST(D76,OFFSET(S$56:S$254,MATCH(D76,R$56:R$254,1)-1,0,2), OFFSET(R$56:R$254,MATCH(D76,R$56:R$254,1)-1,0,2))),"")</f>
        <v>0</v>
      </c>
      <c r="R76" s="7" t="str">
        <f t="array" ref="R76">IFERROR(INDEX(E$56:E$1054,SMALL(IF(ISNUMBER(P$56:P$1054),ROW(E$1:E$999),""),ROW(J21))),"")</f>
        <v/>
      </c>
      <c r="S76" s="7" t="str">
        <f t="array" ref="S76">IFERROR(INDEX(P$56:P$1054,SMALL(IF(ISNUMBER(P$56:P$1054),ROW(P$1:P$999),""),ROW(P21))),"")</f>
        <v/>
      </c>
      <c r="T76" s="7"/>
      <c r="U76" s="7"/>
      <c r="V76" s="7"/>
    </row>
    <row r="77" spans="1:22" x14ac:dyDescent="0.25">
      <c r="A77" s="6"/>
      <c r="B77" s="7"/>
      <c r="C77" s="7"/>
      <c r="D77" s="7"/>
      <c r="E77" s="8">
        <f t="shared" si="0"/>
        <v>0</v>
      </c>
      <c r="F77" s="9"/>
      <c r="G77" s="9"/>
      <c r="H77" s="9"/>
      <c r="I77" s="7"/>
      <c r="J77" s="7"/>
      <c r="K77" s="7">
        <f ca="1">IFERROR(IF(COUNTA(J$56:J77)=J$54,J77,FORECAST(D77,OFFSET(M$56:M$254,MATCH(D77,L$56:L$254,1)-1,0,2), OFFSET(L$56:L$254,MATCH(D77,L$56:L$254,1)-1,0,2))),"")</f>
        <v>0</v>
      </c>
      <c r="L77" s="7" t="str">
        <f t="array" ref="L77">IFERROR(INDEX(D$56:D$1054,SMALL(IF(ISNUMBER(J$56:J$1054),ROW(D$1:D$999),""),ROW(D22))),"")</f>
        <v/>
      </c>
      <c r="M77" s="7" t="str">
        <f t="array" ref="M77">IFERROR(INDEX(J$56:J$1054,SMALL(IF(ISNUMBER(J$56:J$1054),ROW(J$1:J$999),""),ROW(J22))),"")</f>
        <v/>
      </c>
      <c r="N77" s="7"/>
      <c r="O77" s="7"/>
      <c r="P77" s="7"/>
      <c r="Q77" s="7">
        <f ca="1">IFERROR(IF(COUNTA(P$56:P77)=P$54,P77,FORECAST(D77,OFFSET(S$56:S$254,MATCH(D77,R$56:R$254,1)-1,0,2), OFFSET(R$56:R$254,MATCH(D77,R$56:R$254,1)-1,0,2))),"")</f>
        <v>0</v>
      </c>
      <c r="R77" s="7" t="str">
        <f t="array" ref="R77">IFERROR(INDEX(E$56:E$1054,SMALL(IF(ISNUMBER(P$56:P$1054),ROW(E$1:E$999),""),ROW(J22))),"")</f>
        <v/>
      </c>
      <c r="S77" s="7" t="str">
        <f t="array" ref="S77">IFERROR(INDEX(P$56:P$1054,SMALL(IF(ISNUMBER(P$56:P$1054),ROW(P$1:P$999),""),ROW(P22))),"")</f>
        <v/>
      </c>
      <c r="T77" s="7"/>
      <c r="U77" s="7"/>
      <c r="V77" s="7"/>
    </row>
    <row r="78" spans="1:22" x14ac:dyDescent="0.25">
      <c r="A78" s="6"/>
      <c r="B78" s="7"/>
      <c r="C78" s="7"/>
      <c r="D78" s="7"/>
      <c r="E78" s="8">
        <f t="shared" si="0"/>
        <v>0</v>
      </c>
      <c r="F78" s="9"/>
      <c r="G78" s="9"/>
      <c r="H78" s="9"/>
      <c r="I78" s="7"/>
      <c r="J78" s="7"/>
      <c r="K78" s="7">
        <f ca="1">IFERROR(IF(COUNTA(J$56:J78)=J$54,J78,FORECAST(D78,OFFSET(M$56:M$254,MATCH(D78,L$56:L$254,1)-1,0,2), OFFSET(L$56:L$254,MATCH(D78,L$56:L$254,1)-1,0,2))),"")</f>
        <v>0</v>
      </c>
      <c r="L78" s="7" t="str">
        <f t="array" ref="L78">IFERROR(INDEX(D$56:D$1054,SMALL(IF(ISNUMBER(J$56:J$1054),ROW(D$1:D$999),""),ROW(D23))),"")</f>
        <v/>
      </c>
      <c r="M78" s="7" t="str">
        <f t="array" ref="M78">IFERROR(INDEX(J$56:J$1054,SMALL(IF(ISNUMBER(J$56:J$1054),ROW(J$1:J$999),""),ROW(J23))),"")</f>
        <v/>
      </c>
      <c r="N78" s="7"/>
      <c r="O78" s="7"/>
      <c r="P78" s="7"/>
      <c r="Q78" s="7">
        <f ca="1">IFERROR(IF(COUNTA(P$56:P78)=P$54,P78,FORECAST(D78,OFFSET(S$56:S$254,MATCH(D78,R$56:R$254,1)-1,0,2), OFFSET(R$56:R$254,MATCH(D78,R$56:R$254,1)-1,0,2))),"")</f>
        <v>0</v>
      </c>
      <c r="R78" s="7" t="str">
        <f t="array" ref="R78">IFERROR(INDEX(E$56:E$1054,SMALL(IF(ISNUMBER(P$56:P$1054),ROW(E$1:E$999),""),ROW(J23))),"")</f>
        <v/>
      </c>
      <c r="S78" s="7" t="str">
        <f t="array" ref="S78">IFERROR(INDEX(P$56:P$1054,SMALL(IF(ISNUMBER(P$56:P$1054),ROW(P$1:P$999),""),ROW(P23))),"")</f>
        <v/>
      </c>
      <c r="T78" s="7"/>
      <c r="U78" s="7"/>
      <c r="V78" s="7"/>
    </row>
    <row r="79" spans="1:22" x14ac:dyDescent="0.25">
      <c r="A79" s="6"/>
      <c r="B79" s="7"/>
      <c r="C79" s="7"/>
      <c r="D79" s="7"/>
      <c r="E79" s="8">
        <f t="shared" si="0"/>
        <v>0</v>
      </c>
      <c r="F79" s="9"/>
      <c r="G79" s="9"/>
      <c r="H79" s="9"/>
      <c r="I79" s="7"/>
      <c r="J79" s="7"/>
      <c r="K79" s="7">
        <f ca="1">IFERROR(IF(COUNTA(J$56:J79)=J$54,J79,FORECAST(D79,OFFSET(M$56:M$254,MATCH(D79,L$56:L$254,1)-1,0,2), OFFSET(L$56:L$254,MATCH(D79,L$56:L$254,1)-1,0,2))),"")</f>
        <v>0</v>
      </c>
      <c r="L79" s="7" t="str">
        <f t="array" ref="L79">IFERROR(INDEX(D$56:D$1054,SMALL(IF(ISNUMBER(J$56:J$1054),ROW(D$1:D$999),""),ROW(D24))),"")</f>
        <v/>
      </c>
      <c r="M79" s="7" t="str">
        <f t="array" ref="M79">IFERROR(INDEX(J$56:J$1054,SMALL(IF(ISNUMBER(J$56:J$1054),ROW(J$1:J$999),""),ROW(J24))),"")</f>
        <v/>
      </c>
      <c r="N79" s="7"/>
      <c r="O79" s="7"/>
      <c r="P79" s="7"/>
      <c r="Q79" s="7">
        <f ca="1">IFERROR(IF(COUNTA(P$56:P79)=P$54,P79,FORECAST(D79,OFFSET(S$56:S$254,MATCH(D79,R$56:R$254,1)-1,0,2), OFFSET(R$56:R$254,MATCH(D79,R$56:R$254,1)-1,0,2))),"")</f>
        <v>0</v>
      </c>
      <c r="R79" s="7" t="str">
        <f t="array" ref="R79">IFERROR(INDEX(E$56:E$1054,SMALL(IF(ISNUMBER(P$56:P$1054),ROW(E$1:E$999),""),ROW(J24))),"")</f>
        <v/>
      </c>
      <c r="S79" s="7" t="str">
        <f t="array" ref="S79">IFERROR(INDEX(P$56:P$1054,SMALL(IF(ISNUMBER(P$56:P$1054),ROW(P$1:P$999),""),ROW(P24))),"")</f>
        <v/>
      </c>
      <c r="T79" s="7"/>
      <c r="U79" s="7"/>
      <c r="V79" s="7"/>
    </row>
    <row r="80" spans="1:22" x14ac:dyDescent="0.25">
      <c r="A80" s="6"/>
      <c r="B80" s="7"/>
      <c r="C80" s="7"/>
      <c r="D80" s="7"/>
      <c r="E80" s="8">
        <f t="shared" si="0"/>
        <v>0</v>
      </c>
      <c r="F80" s="9"/>
      <c r="G80" s="9"/>
      <c r="H80" s="9"/>
      <c r="I80" s="7"/>
      <c r="J80" s="7"/>
      <c r="K80" s="7">
        <f ca="1">IFERROR(IF(COUNTA(J$56:J80)=J$54,J80,FORECAST(D80,OFFSET(M$56:M$254,MATCH(D80,L$56:L$254,1)-1,0,2), OFFSET(L$56:L$254,MATCH(D80,L$56:L$254,1)-1,0,2))),"")</f>
        <v>0</v>
      </c>
      <c r="L80" s="7" t="str">
        <f t="array" ref="L80">IFERROR(INDEX(D$56:D$1054,SMALL(IF(ISNUMBER(J$56:J$1054),ROW(D$1:D$999),""),ROW(D25))),"")</f>
        <v/>
      </c>
      <c r="M80" s="7" t="str">
        <f t="array" ref="M80">IFERROR(INDEX(J$56:J$1054,SMALL(IF(ISNUMBER(J$56:J$1054),ROW(J$1:J$999),""),ROW(J25))),"")</f>
        <v/>
      </c>
      <c r="N80" s="7"/>
      <c r="O80" s="7"/>
      <c r="P80" s="7"/>
      <c r="Q80" s="7">
        <f ca="1">IFERROR(IF(COUNTA(P$56:P80)=P$54,P80,FORECAST(D80,OFFSET(S$56:S$254,MATCH(D80,R$56:R$254,1)-1,0,2), OFFSET(R$56:R$254,MATCH(D80,R$56:R$254,1)-1,0,2))),"")</f>
        <v>0</v>
      </c>
      <c r="R80" s="7" t="str">
        <f t="array" ref="R80">IFERROR(INDEX(E$56:E$1054,SMALL(IF(ISNUMBER(P$56:P$1054),ROW(E$1:E$999),""),ROW(J25))),"")</f>
        <v/>
      </c>
      <c r="S80" s="7" t="str">
        <f t="array" ref="S80">IFERROR(INDEX(P$56:P$1054,SMALL(IF(ISNUMBER(P$56:P$1054),ROW(P$1:P$999),""),ROW(P25))),"")</f>
        <v/>
      </c>
      <c r="T80" s="7"/>
      <c r="U80" s="7"/>
      <c r="V80" s="7"/>
    </row>
    <row r="81" spans="1:22" x14ac:dyDescent="0.25">
      <c r="A81" s="6"/>
      <c r="B81" s="7"/>
      <c r="C81" s="7"/>
      <c r="D81" s="7"/>
      <c r="E81" s="8">
        <f t="shared" si="0"/>
        <v>0</v>
      </c>
      <c r="F81" s="9"/>
      <c r="G81" s="9"/>
      <c r="H81" s="9"/>
      <c r="I81" s="7"/>
      <c r="J81" s="7"/>
      <c r="K81" s="7">
        <f ca="1">IFERROR(IF(COUNTA(J$56:J81)=J$54,J81,FORECAST(D81,OFFSET(M$56:M$254,MATCH(D81,L$56:L$254,1)-1,0,2), OFFSET(L$56:L$254,MATCH(D81,L$56:L$254,1)-1,0,2))),"")</f>
        <v>0</v>
      </c>
      <c r="L81" s="7" t="str">
        <f t="array" ref="L81">IFERROR(INDEX(D$56:D$1054,SMALL(IF(ISNUMBER(J$56:J$1054),ROW(D$1:D$999),""),ROW(D26))),"")</f>
        <v/>
      </c>
      <c r="M81" s="7" t="str">
        <f t="array" ref="M81">IFERROR(INDEX(J$56:J$1054,SMALL(IF(ISNUMBER(J$56:J$1054),ROW(J$1:J$999),""),ROW(J26))),"")</f>
        <v/>
      </c>
      <c r="N81" s="7"/>
      <c r="O81" s="7"/>
      <c r="P81" s="7"/>
      <c r="Q81" s="7">
        <f ca="1">IFERROR(IF(COUNTA(P$56:P81)=P$54,P81,FORECAST(D81,OFFSET(S$56:S$254,MATCH(D81,R$56:R$254,1)-1,0,2), OFFSET(R$56:R$254,MATCH(D81,R$56:R$254,1)-1,0,2))),"")</f>
        <v>0</v>
      </c>
      <c r="R81" s="7" t="str">
        <f t="array" ref="R81">IFERROR(INDEX(E$56:E$1054,SMALL(IF(ISNUMBER(P$56:P$1054),ROW(E$1:E$999),""),ROW(J26))),"")</f>
        <v/>
      </c>
      <c r="S81" s="7" t="str">
        <f t="array" ref="S81">IFERROR(INDEX(P$56:P$1054,SMALL(IF(ISNUMBER(P$56:P$1054),ROW(P$1:P$999),""),ROW(P26))),"")</f>
        <v/>
      </c>
      <c r="T81" s="7"/>
      <c r="U81" s="7"/>
      <c r="V81" s="7"/>
    </row>
    <row r="82" spans="1:22" x14ac:dyDescent="0.25">
      <c r="A82" s="6"/>
      <c r="B82" s="7"/>
      <c r="C82" s="7"/>
      <c r="D82" s="7"/>
      <c r="E82" s="8">
        <f t="shared" si="0"/>
        <v>0</v>
      </c>
      <c r="F82" s="9"/>
      <c r="G82" s="9"/>
      <c r="H82" s="9"/>
      <c r="I82" s="7"/>
      <c r="J82" s="7"/>
      <c r="K82" s="7">
        <f ca="1">IFERROR(IF(COUNTA(J$56:J82)=J$54,J82,FORECAST(D82,OFFSET(M$56:M$254,MATCH(D82,L$56:L$254,1)-1,0,2), OFFSET(L$56:L$254,MATCH(D82,L$56:L$254,1)-1,0,2))),"")</f>
        <v>0</v>
      </c>
      <c r="L82" s="7" t="str">
        <f t="array" ref="L82">IFERROR(INDEX(D$56:D$1054,SMALL(IF(ISNUMBER(J$56:J$1054),ROW(D$1:D$999),""),ROW(D27))),"")</f>
        <v/>
      </c>
      <c r="M82" s="7" t="str">
        <f t="array" ref="M82">IFERROR(INDEX(J$56:J$1054,SMALL(IF(ISNUMBER(J$56:J$1054),ROW(J$1:J$999),""),ROW(J27))),"")</f>
        <v/>
      </c>
      <c r="N82" s="7"/>
      <c r="O82" s="7"/>
      <c r="P82" s="7"/>
      <c r="Q82" s="7">
        <f ca="1">IFERROR(IF(COUNTA(P$56:P82)=P$54,P82,FORECAST(D82,OFFSET(S$56:S$254,MATCH(D82,R$56:R$254,1)-1,0,2), OFFSET(R$56:R$254,MATCH(D82,R$56:R$254,1)-1,0,2))),"")</f>
        <v>0</v>
      </c>
      <c r="R82" s="7" t="str">
        <f t="array" ref="R82">IFERROR(INDEX(E$56:E$1054,SMALL(IF(ISNUMBER(P$56:P$1054),ROW(E$1:E$999),""),ROW(J27))),"")</f>
        <v/>
      </c>
      <c r="S82" s="7" t="str">
        <f t="array" ref="S82">IFERROR(INDEX(P$56:P$1054,SMALL(IF(ISNUMBER(P$56:P$1054),ROW(P$1:P$999),""),ROW(P27))),"")</f>
        <v/>
      </c>
      <c r="T82" s="7"/>
      <c r="U82" s="7"/>
      <c r="V82" s="7"/>
    </row>
    <row r="83" spans="1:22" x14ac:dyDescent="0.25">
      <c r="A83" s="6"/>
      <c r="B83" s="7"/>
      <c r="C83" s="7"/>
      <c r="D83" s="7"/>
      <c r="E83" s="8">
        <f t="shared" si="0"/>
        <v>0</v>
      </c>
      <c r="F83" s="9"/>
      <c r="G83" s="9"/>
      <c r="H83" s="9"/>
      <c r="I83" s="7"/>
      <c r="J83" s="7"/>
      <c r="K83" s="7">
        <f ca="1">IFERROR(IF(COUNTA(J$56:J83)=J$54,J83,FORECAST(D83,OFFSET(M$56:M$254,MATCH(D83,L$56:L$254,1)-1,0,2), OFFSET(L$56:L$254,MATCH(D83,L$56:L$254,1)-1,0,2))),"")</f>
        <v>0</v>
      </c>
      <c r="L83" s="7" t="str">
        <f t="array" ref="L83">IFERROR(INDEX(D$56:D$1054,SMALL(IF(ISNUMBER(J$56:J$1054),ROW(D$1:D$999),""),ROW(D28))),"")</f>
        <v/>
      </c>
      <c r="M83" s="7" t="str">
        <f t="array" ref="M83">IFERROR(INDEX(J$56:J$1054,SMALL(IF(ISNUMBER(J$56:J$1054),ROW(J$1:J$999),""),ROW(J28))),"")</f>
        <v/>
      </c>
      <c r="N83" s="7"/>
      <c r="O83" s="7"/>
      <c r="P83" s="7"/>
      <c r="Q83" s="7">
        <f ca="1">IFERROR(IF(COUNTA(P$56:P83)=P$54,P83,FORECAST(D83,OFFSET(S$56:S$254,MATCH(D83,R$56:R$254,1)-1,0,2), OFFSET(R$56:R$254,MATCH(D83,R$56:R$254,1)-1,0,2))),"")</f>
        <v>0</v>
      </c>
      <c r="R83" s="7" t="str">
        <f t="array" ref="R83">IFERROR(INDEX(E$56:E$1054,SMALL(IF(ISNUMBER(P$56:P$1054),ROW(E$1:E$999),""),ROW(J28))),"")</f>
        <v/>
      </c>
      <c r="S83" s="7" t="str">
        <f t="array" ref="S83">IFERROR(INDEX(P$56:P$1054,SMALL(IF(ISNUMBER(P$56:P$1054),ROW(P$1:P$999),""),ROW(P28))),"")</f>
        <v/>
      </c>
      <c r="T83" s="7"/>
      <c r="U83" s="7"/>
      <c r="V83" s="7"/>
    </row>
    <row r="84" spans="1:22" x14ac:dyDescent="0.25">
      <c r="A84" s="6"/>
      <c r="B84" s="7"/>
      <c r="C84" s="7"/>
      <c r="D84" s="7"/>
      <c r="E84" s="8">
        <f t="shared" si="0"/>
        <v>0</v>
      </c>
      <c r="F84" s="9"/>
      <c r="G84" s="9"/>
      <c r="H84" s="9"/>
      <c r="I84" s="7"/>
      <c r="J84" s="7"/>
      <c r="K84" s="7">
        <f ca="1">IFERROR(IF(COUNTA(J$56:J84)=J$54,J84,FORECAST(D84,OFFSET(M$56:M$254,MATCH(D84,L$56:L$254,1)-1,0,2), OFFSET(L$56:L$254,MATCH(D84,L$56:L$254,1)-1,0,2))),"")</f>
        <v>0</v>
      </c>
      <c r="L84" s="7" t="str">
        <f t="array" ref="L84">IFERROR(INDEX(D$56:D$1054,SMALL(IF(ISNUMBER(J$56:J$1054),ROW(D$1:D$999),""),ROW(D29))),"")</f>
        <v/>
      </c>
      <c r="M84" s="7" t="str">
        <f t="array" ref="M84">IFERROR(INDEX(J$56:J$1054,SMALL(IF(ISNUMBER(J$56:J$1054),ROW(J$1:J$999),""),ROW(J29))),"")</f>
        <v/>
      </c>
      <c r="N84" s="7"/>
      <c r="O84" s="7"/>
      <c r="P84" s="7"/>
      <c r="Q84" s="7">
        <f ca="1">IFERROR(IF(COUNTA(P$56:P84)=P$54,P84,FORECAST(D84,OFFSET(S$56:S$254,MATCH(D84,R$56:R$254,1)-1,0,2), OFFSET(R$56:R$254,MATCH(D84,R$56:R$254,1)-1,0,2))),"")</f>
        <v>0</v>
      </c>
      <c r="R84" s="7" t="str">
        <f t="array" ref="R84">IFERROR(INDEX(E$56:E$1054,SMALL(IF(ISNUMBER(P$56:P$1054),ROW(E$1:E$999),""),ROW(J29))),"")</f>
        <v/>
      </c>
      <c r="S84" s="7" t="str">
        <f t="array" ref="S84">IFERROR(INDEX(P$56:P$1054,SMALL(IF(ISNUMBER(P$56:P$1054),ROW(P$1:P$999),""),ROW(P29))),"")</f>
        <v/>
      </c>
      <c r="T84" s="7"/>
      <c r="U84" s="7"/>
      <c r="V84" s="7"/>
    </row>
    <row r="85" spans="1:22" x14ac:dyDescent="0.25">
      <c r="A85" s="6"/>
      <c r="B85" s="7"/>
      <c r="C85" s="7"/>
      <c r="D85" s="7"/>
      <c r="E85" s="8">
        <f t="shared" si="0"/>
        <v>0</v>
      </c>
      <c r="F85" s="9"/>
      <c r="G85" s="9"/>
      <c r="H85" s="9"/>
      <c r="I85" s="7"/>
      <c r="J85" s="7"/>
      <c r="K85" s="7">
        <f ca="1">IFERROR(IF(COUNTA(J$56:J85)=J$54,J85,FORECAST(D85,OFFSET(M$56:M$254,MATCH(D85,L$56:L$254,1)-1,0,2), OFFSET(L$56:L$254,MATCH(D85,L$56:L$254,1)-1,0,2))),"")</f>
        <v>0</v>
      </c>
      <c r="L85" s="7" t="str">
        <f t="array" ref="L85">IFERROR(INDEX(D$56:D$1054,SMALL(IF(ISNUMBER(J$56:J$1054),ROW(D$1:D$999),""),ROW(D30))),"")</f>
        <v/>
      </c>
      <c r="M85" s="7" t="str">
        <f t="array" ref="M85">IFERROR(INDEX(J$56:J$1054,SMALL(IF(ISNUMBER(J$56:J$1054),ROW(J$1:J$999),""),ROW(J30))),"")</f>
        <v/>
      </c>
      <c r="N85" s="7"/>
      <c r="O85" s="7"/>
      <c r="P85" s="7"/>
      <c r="Q85" s="7">
        <f ca="1">IFERROR(IF(COUNTA(P$56:P85)=P$54,P85,FORECAST(D85,OFFSET(S$56:S$254,MATCH(D85,R$56:R$254,1)-1,0,2), OFFSET(R$56:R$254,MATCH(D85,R$56:R$254,1)-1,0,2))),"")</f>
        <v>0</v>
      </c>
      <c r="R85" s="7" t="str">
        <f t="array" ref="R85">IFERROR(INDEX(E$56:E$1054,SMALL(IF(ISNUMBER(P$56:P$1054),ROW(E$1:E$999),""),ROW(J30))),"")</f>
        <v/>
      </c>
      <c r="S85" s="7" t="str">
        <f t="array" ref="S85">IFERROR(INDEX(P$56:P$1054,SMALL(IF(ISNUMBER(P$56:P$1054),ROW(P$1:P$999),""),ROW(P30))),"")</f>
        <v/>
      </c>
      <c r="T85" s="7"/>
      <c r="U85" s="7"/>
      <c r="V85" s="7"/>
    </row>
    <row r="86" spans="1:22" x14ac:dyDescent="0.25">
      <c r="A86" s="6"/>
      <c r="B86" s="7"/>
      <c r="C86" s="7"/>
      <c r="D86" s="7"/>
      <c r="E86" s="8">
        <f t="shared" si="0"/>
        <v>0</v>
      </c>
      <c r="F86" s="9"/>
      <c r="G86" s="9"/>
      <c r="H86" s="9"/>
      <c r="I86" s="7"/>
      <c r="J86" s="7"/>
      <c r="K86" s="7">
        <f ca="1">IFERROR(IF(COUNTA(J$56:J86)=J$54,J86,FORECAST(D86,OFFSET(M$56:M$254,MATCH(D86,L$56:L$254,1)-1,0,2), OFFSET(L$56:L$254,MATCH(D86,L$56:L$254,1)-1,0,2))),"")</f>
        <v>0</v>
      </c>
      <c r="L86" s="7" t="str">
        <f t="array" ref="L86">IFERROR(INDEX(D$56:D$1054,SMALL(IF(ISNUMBER(J$56:J$1054),ROW(D$1:D$999),""),ROW(D31))),"")</f>
        <v/>
      </c>
      <c r="M86" s="7" t="str">
        <f t="array" ref="M86">IFERROR(INDEX(J$56:J$1054,SMALL(IF(ISNUMBER(J$56:J$1054),ROW(J$1:J$999),""),ROW(J31))),"")</f>
        <v/>
      </c>
      <c r="N86" s="7"/>
      <c r="O86" s="7"/>
      <c r="P86" s="7"/>
      <c r="Q86" s="7">
        <f ca="1">IFERROR(IF(COUNTA(P$56:P86)=P$54,P86,FORECAST(D86,OFFSET(S$56:S$254,MATCH(D86,R$56:R$254,1)-1,0,2), OFFSET(R$56:R$254,MATCH(D86,R$56:R$254,1)-1,0,2))),"")</f>
        <v>0</v>
      </c>
      <c r="R86" s="7" t="str">
        <f t="array" ref="R86">IFERROR(INDEX(E$56:E$1054,SMALL(IF(ISNUMBER(P$56:P$1054),ROW(E$1:E$999),""),ROW(J31))),"")</f>
        <v/>
      </c>
      <c r="S86" s="7" t="str">
        <f t="array" ref="S86">IFERROR(INDEX(P$56:P$1054,SMALL(IF(ISNUMBER(P$56:P$1054),ROW(P$1:P$999),""),ROW(P31))),"")</f>
        <v/>
      </c>
      <c r="T86" s="7"/>
      <c r="U86" s="7"/>
      <c r="V86" s="7"/>
    </row>
    <row r="87" spans="1:22" x14ac:dyDescent="0.25">
      <c r="A87" s="6"/>
      <c r="B87" s="7"/>
      <c r="C87" s="7"/>
      <c r="D87" s="7"/>
      <c r="E87" s="8">
        <f t="shared" si="0"/>
        <v>0</v>
      </c>
      <c r="F87" s="9"/>
      <c r="G87" s="9"/>
      <c r="H87" s="9"/>
      <c r="I87" s="7"/>
      <c r="J87" s="7"/>
      <c r="K87" s="7">
        <f ca="1">IFERROR(IF(COUNTA(J$56:J87)=J$54,J87,FORECAST(D87,OFFSET(M$56:M$254,MATCH(D87,L$56:L$254,1)-1,0,2), OFFSET(L$56:L$254,MATCH(D87,L$56:L$254,1)-1,0,2))),"")</f>
        <v>0</v>
      </c>
      <c r="L87" s="7" t="str">
        <f t="array" ref="L87">IFERROR(INDEX(D$56:D$1054,SMALL(IF(ISNUMBER(J$56:J$1054),ROW(D$1:D$999),""),ROW(D32))),"")</f>
        <v/>
      </c>
      <c r="M87" s="7" t="str">
        <f t="array" ref="M87">IFERROR(INDEX(J$56:J$1054,SMALL(IF(ISNUMBER(J$56:J$1054),ROW(J$1:J$999),""),ROW(J32))),"")</f>
        <v/>
      </c>
      <c r="N87" s="7"/>
      <c r="O87" s="7"/>
      <c r="P87" s="7"/>
      <c r="Q87" s="7">
        <f ca="1">IFERROR(IF(COUNTA(P$56:P87)=P$54,P87,FORECAST(D87,OFFSET(S$56:S$254,MATCH(D87,R$56:R$254,1)-1,0,2), OFFSET(R$56:R$254,MATCH(D87,R$56:R$254,1)-1,0,2))),"")</f>
        <v>0</v>
      </c>
      <c r="R87" s="7" t="str">
        <f t="array" ref="R87">IFERROR(INDEX(E$56:E$1054,SMALL(IF(ISNUMBER(P$56:P$1054),ROW(E$1:E$999),""),ROW(J32))),"")</f>
        <v/>
      </c>
      <c r="S87" s="7" t="str">
        <f t="array" ref="S87">IFERROR(INDEX(P$56:P$1054,SMALL(IF(ISNUMBER(P$56:P$1054),ROW(P$1:P$999),""),ROW(P32))),"")</f>
        <v/>
      </c>
      <c r="T87" s="7"/>
      <c r="U87" s="7"/>
      <c r="V87" s="7"/>
    </row>
    <row r="88" spans="1:22" x14ac:dyDescent="0.25">
      <c r="A88" s="6"/>
      <c r="B88" s="7"/>
      <c r="C88" s="7"/>
      <c r="D88" s="7"/>
      <c r="E88" s="8">
        <f t="shared" si="0"/>
        <v>0</v>
      </c>
      <c r="F88" s="9"/>
      <c r="G88" s="9"/>
      <c r="H88" s="9"/>
      <c r="I88" s="7"/>
      <c r="J88" s="7"/>
      <c r="K88" s="7">
        <f ca="1">IFERROR(IF(COUNTA(J$56:J88)=J$54,J88,FORECAST(D88,OFFSET(M$56:M$254,MATCH(D88,L$56:L$254,1)-1,0,2), OFFSET(L$56:L$254,MATCH(D88,L$56:L$254,1)-1,0,2))),"")</f>
        <v>0</v>
      </c>
      <c r="L88" s="7" t="str">
        <f t="array" ref="L88">IFERROR(INDEX(D$56:D$1054,SMALL(IF(ISNUMBER(J$56:J$1054),ROW(D$1:D$999),""),ROW(D33))),"")</f>
        <v/>
      </c>
      <c r="M88" s="7" t="str">
        <f t="array" ref="M88">IFERROR(INDEX(J$56:J$1054,SMALL(IF(ISNUMBER(J$56:J$1054),ROW(J$1:J$999),""),ROW(J33))),"")</f>
        <v/>
      </c>
      <c r="N88" s="7"/>
      <c r="O88" s="7"/>
      <c r="P88" s="7"/>
      <c r="Q88" s="7">
        <f ca="1">IFERROR(IF(COUNTA(P$56:P88)=P$54,P88,FORECAST(D88,OFFSET(S$56:S$254,MATCH(D88,R$56:R$254,1)-1,0,2), OFFSET(R$56:R$254,MATCH(D88,R$56:R$254,1)-1,0,2))),"")</f>
        <v>0</v>
      </c>
      <c r="R88" s="7" t="str">
        <f t="array" ref="R88">IFERROR(INDEX(E$56:E$1054,SMALL(IF(ISNUMBER(P$56:P$1054),ROW(E$1:E$999),""),ROW(J33))),"")</f>
        <v/>
      </c>
      <c r="S88" s="7" t="str">
        <f t="array" ref="S88">IFERROR(INDEX(P$56:P$1054,SMALL(IF(ISNUMBER(P$56:P$1054),ROW(P$1:P$999),""),ROW(P33))),"")</f>
        <v/>
      </c>
      <c r="T88" s="7"/>
      <c r="U88" s="7"/>
      <c r="V88" s="7"/>
    </row>
    <row r="89" spans="1:22" x14ac:dyDescent="0.25">
      <c r="A89" s="6"/>
      <c r="B89" s="7"/>
      <c r="C89" s="7"/>
      <c r="D89" s="7"/>
      <c r="E89" s="8">
        <f t="shared" si="0"/>
        <v>0</v>
      </c>
      <c r="F89" s="9"/>
      <c r="G89" s="9"/>
      <c r="H89" s="9"/>
      <c r="I89" s="7"/>
      <c r="J89" s="7"/>
      <c r="K89" s="7">
        <f ca="1">IFERROR(IF(COUNTA(J$56:J89)=J$54,J89,FORECAST(D89,OFFSET(M$56:M$254,MATCH(D89,L$56:L$254,1)-1,0,2), OFFSET(L$56:L$254,MATCH(D89,L$56:L$254,1)-1,0,2))),"")</f>
        <v>0</v>
      </c>
      <c r="L89" s="7" t="str">
        <f t="array" ref="L89">IFERROR(INDEX(D$56:D$1054,SMALL(IF(ISNUMBER(J$56:J$1054),ROW(D$1:D$999),""),ROW(D34))),"")</f>
        <v/>
      </c>
      <c r="M89" s="7" t="str">
        <f t="array" ref="M89">IFERROR(INDEX(J$56:J$1054,SMALL(IF(ISNUMBER(J$56:J$1054),ROW(J$1:J$999),""),ROW(J34))),"")</f>
        <v/>
      </c>
      <c r="N89" s="7"/>
      <c r="O89" s="7"/>
      <c r="P89" s="7"/>
      <c r="Q89" s="7">
        <f ca="1">IFERROR(IF(COUNTA(P$56:P89)=P$54,P89,FORECAST(D89,OFFSET(S$56:S$254,MATCH(D89,R$56:R$254,1)-1,0,2), OFFSET(R$56:R$254,MATCH(D89,R$56:R$254,1)-1,0,2))),"")</f>
        <v>0</v>
      </c>
      <c r="R89" s="7" t="str">
        <f t="array" ref="R89">IFERROR(INDEX(E$56:E$1054,SMALL(IF(ISNUMBER(P$56:P$1054),ROW(E$1:E$999),""),ROW(J34))),"")</f>
        <v/>
      </c>
      <c r="S89" s="7" t="str">
        <f t="array" ref="S89">IFERROR(INDEX(P$56:P$1054,SMALL(IF(ISNUMBER(P$56:P$1054),ROW(P$1:P$999),""),ROW(P34))),"")</f>
        <v/>
      </c>
      <c r="T89" s="7"/>
      <c r="U89" s="7"/>
      <c r="V89" s="7"/>
    </row>
    <row r="90" spans="1:22" x14ac:dyDescent="0.25">
      <c r="A90" s="6"/>
      <c r="B90" s="7"/>
      <c r="C90" s="7"/>
      <c r="D90" s="7"/>
      <c r="E90" s="8">
        <f t="shared" si="0"/>
        <v>0</v>
      </c>
      <c r="F90" s="9"/>
      <c r="G90" s="9"/>
      <c r="H90" s="9"/>
      <c r="I90" s="7"/>
      <c r="J90" s="7"/>
      <c r="K90" s="7">
        <f ca="1">IFERROR(IF(COUNTA(J$56:J90)=J$54,J90,FORECAST(D90,OFFSET(M$56:M$254,MATCH(D90,L$56:L$254,1)-1,0,2), OFFSET(L$56:L$254,MATCH(D90,L$56:L$254,1)-1,0,2))),"")</f>
        <v>0</v>
      </c>
      <c r="L90" s="7" t="str">
        <f t="array" ref="L90">IFERROR(INDEX(D$56:D$1054,SMALL(IF(ISNUMBER(J$56:J$1054),ROW(D$1:D$999),""),ROW(D35))),"")</f>
        <v/>
      </c>
      <c r="M90" s="7" t="str">
        <f t="array" ref="M90">IFERROR(INDEX(J$56:J$1054,SMALL(IF(ISNUMBER(J$56:J$1054),ROW(J$1:J$999),""),ROW(J35))),"")</f>
        <v/>
      </c>
      <c r="N90" s="7"/>
      <c r="O90" s="7"/>
      <c r="P90" s="7"/>
      <c r="Q90" s="7">
        <f ca="1">IFERROR(IF(COUNTA(P$56:P90)=P$54,P90,FORECAST(D90,OFFSET(S$56:S$254,MATCH(D90,R$56:R$254,1)-1,0,2), OFFSET(R$56:R$254,MATCH(D90,R$56:R$254,1)-1,0,2))),"")</f>
        <v>0</v>
      </c>
      <c r="R90" s="7" t="str">
        <f t="array" ref="R90">IFERROR(INDEX(E$56:E$1054,SMALL(IF(ISNUMBER(P$56:P$1054),ROW(E$1:E$999),""),ROW(J35))),"")</f>
        <v/>
      </c>
      <c r="S90" s="7" t="str">
        <f t="array" ref="S90">IFERROR(INDEX(P$56:P$1054,SMALL(IF(ISNUMBER(P$56:P$1054),ROW(P$1:P$999),""),ROW(P35))),"")</f>
        <v/>
      </c>
      <c r="T90" s="7"/>
      <c r="U90" s="7"/>
      <c r="V90" s="7"/>
    </row>
    <row r="91" spans="1:22" x14ac:dyDescent="0.25">
      <c r="A91" s="6"/>
      <c r="B91" s="7"/>
      <c r="C91" s="7"/>
      <c r="D91" s="7"/>
      <c r="E91" s="8">
        <f t="shared" si="0"/>
        <v>0</v>
      </c>
      <c r="F91" s="9"/>
      <c r="G91" s="9"/>
      <c r="H91" s="9"/>
      <c r="I91" s="7"/>
      <c r="J91" s="7"/>
      <c r="K91" s="7">
        <f ca="1">IFERROR(IF(COUNTA(J$56:J91)=J$54,J91,FORECAST(D91,OFFSET(M$56:M$254,MATCH(D91,L$56:L$254,1)-1,0,2), OFFSET(L$56:L$254,MATCH(D91,L$56:L$254,1)-1,0,2))),"")</f>
        <v>0</v>
      </c>
      <c r="L91" s="7" t="str">
        <f t="array" ref="L91">IFERROR(INDEX(D$56:D$1054,SMALL(IF(ISNUMBER(J$56:J$1054),ROW(D$1:D$999),""),ROW(D36))),"")</f>
        <v/>
      </c>
      <c r="M91" s="7" t="str">
        <f t="array" ref="M91">IFERROR(INDEX(J$56:J$1054,SMALL(IF(ISNUMBER(J$56:J$1054),ROW(J$1:J$999),""),ROW(J36))),"")</f>
        <v/>
      </c>
      <c r="N91" s="7"/>
      <c r="O91" s="7"/>
      <c r="P91" s="7"/>
      <c r="Q91" s="7">
        <f ca="1">IFERROR(IF(COUNTA(P$56:P91)=P$54,P91,FORECAST(D91,OFFSET(S$56:S$254,MATCH(D91,R$56:R$254,1)-1,0,2), OFFSET(R$56:R$254,MATCH(D91,R$56:R$254,1)-1,0,2))),"")</f>
        <v>0</v>
      </c>
      <c r="R91" s="7" t="str">
        <f t="array" ref="R91">IFERROR(INDEX(E$56:E$1054,SMALL(IF(ISNUMBER(P$56:P$1054),ROW(E$1:E$999),""),ROW(J36))),"")</f>
        <v/>
      </c>
      <c r="S91" s="7" t="str">
        <f t="array" ref="S91">IFERROR(INDEX(P$56:P$1054,SMALL(IF(ISNUMBER(P$56:P$1054),ROW(P$1:P$999),""),ROW(P36))),"")</f>
        <v/>
      </c>
      <c r="T91" s="7"/>
      <c r="U91" s="7"/>
      <c r="V91" s="7"/>
    </row>
    <row r="92" spans="1:22" x14ac:dyDescent="0.25">
      <c r="A92" s="6"/>
      <c r="B92" s="7"/>
      <c r="C92" s="7"/>
      <c r="D92" s="7"/>
      <c r="E92" s="8">
        <f t="shared" si="0"/>
        <v>0</v>
      </c>
      <c r="F92" s="9"/>
      <c r="G92" s="9"/>
      <c r="H92" s="9"/>
      <c r="I92" s="7"/>
      <c r="J92" s="7"/>
      <c r="K92" s="7">
        <f ca="1">IFERROR(IF(COUNTA(J$56:J92)=J$54,J92,FORECAST(D92,OFFSET(M$56:M$254,MATCH(D92,L$56:L$254,1)-1,0,2), OFFSET(L$56:L$254,MATCH(D92,L$56:L$254,1)-1,0,2))),"")</f>
        <v>0</v>
      </c>
      <c r="L92" s="7" t="str">
        <f t="array" ref="L92">IFERROR(INDEX(D$56:D$1054,SMALL(IF(ISNUMBER(J$56:J$1054),ROW(D$1:D$999),""),ROW(D37))),"")</f>
        <v/>
      </c>
      <c r="M92" s="7" t="str">
        <f t="array" ref="M92">IFERROR(INDEX(J$56:J$1054,SMALL(IF(ISNUMBER(J$56:J$1054),ROW(J$1:J$999),""),ROW(J37))),"")</f>
        <v/>
      </c>
      <c r="N92" s="7"/>
      <c r="O92" s="7"/>
      <c r="P92" s="7"/>
      <c r="Q92" s="7">
        <f ca="1">IFERROR(IF(COUNTA(P$56:P92)=P$54,P92,FORECAST(D92,OFFSET(S$56:S$254,MATCH(D92,R$56:R$254,1)-1,0,2), OFFSET(R$56:R$254,MATCH(D92,R$56:R$254,1)-1,0,2))),"")</f>
        <v>0</v>
      </c>
      <c r="R92" s="7" t="str">
        <f t="array" ref="R92">IFERROR(INDEX(E$56:E$1054,SMALL(IF(ISNUMBER(P$56:P$1054),ROW(E$1:E$999),""),ROW(J37))),"")</f>
        <v/>
      </c>
      <c r="S92" s="7" t="str">
        <f t="array" ref="S92">IFERROR(INDEX(P$56:P$1054,SMALL(IF(ISNUMBER(P$56:P$1054),ROW(P$1:P$999),""),ROW(P37))),"")</f>
        <v/>
      </c>
      <c r="T92" s="7"/>
      <c r="U92" s="7"/>
      <c r="V92" s="7"/>
    </row>
    <row r="93" spans="1:22" x14ac:dyDescent="0.25">
      <c r="A93" s="6"/>
      <c r="B93" s="7"/>
      <c r="C93" s="7"/>
      <c r="D93" s="7"/>
      <c r="E93" s="8">
        <f t="shared" si="0"/>
        <v>0</v>
      </c>
      <c r="F93" s="9"/>
      <c r="G93" s="9"/>
      <c r="H93" s="9"/>
      <c r="I93" s="7"/>
      <c r="J93" s="7"/>
      <c r="K93" s="7">
        <f ca="1">IFERROR(IF(COUNTA(J$56:J93)=J$54,J93,FORECAST(D93,OFFSET(M$56:M$254,MATCH(D93,L$56:L$254,1)-1,0,2), OFFSET(L$56:L$254,MATCH(D93,L$56:L$254,1)-1,0,2))),"")</f>
        <v>0</v>
      </c>
      <c r="L93" s="7" t="str">
        <f t="array" ref="L93">IFERROR(INDEX(D$56:D$1054,SMALL(IF(ISNUMBER(J$56:J$1054),ROW(D$1:D$999),""),ROW(D38))),"")</f>
        <v/>
      </c>
      <c r="M93" s="7" t="str">
        <f t="array" ref="M93">IFERROR(INDEX(J$56:J$1054,SMALL(IF(ISNUMBER(J$56:J$1054),ROW(J$1:J$999),""),ROW(J38))),"")</f>
        <v/>
      </c>
      <c r="N93" s="7"/>
      <c r="O93" s="7"/>
      <c r="P93" s="7"/>
      <c r="Q93" s="7">
        <f ca="1">IFERROR(IF(COUNTA(P$56:P93)=P$54,P93,FORECAST(D93,OFFSET(S$56:S$254,MATCH(D93,R$56:R$254,1)-1,0,2), OFFSET(R$56:R$254,MATCH(D93,R$56:R$254,1)-1,0,2))),"")</f>
        <v>0</v>
      </c>
      <c r="R93" s="7" t="str">
        <f t="array" ref="R93">IFERROR(INDEX(E$56:E$1054,SMALL(IF(ISNUMBER(P$56:P$1054),ROW(E$1:E$999),""),ROW(J38))),"")</f>
        <v/>
      </c>
      <c r="S93" s="7" t="str">
        <f t="array" ref="S93">IFERROR(INDEX(P$56:P$1054,SMALL(IF(ISNUMBER(P$56:P$1054),ROW(P$1:P$999),""),ROW(P38))),"")</f>
        <v/>
      </c>
      <c r="T93" s="7"/>
      <c r="U93" s="7"/>
      <c r="V93" s="7"/>
    </row>
    <row r="94" spans="1:22" x14ac:dyDescent="0.25">
      <c r="A94" s="6"/>
      <c r="B94" s="7"/>
      <c r="C94" s="7"/>
      <c r="D94" s="7"/>
      <c r="E94" s="8">
        <f t="shared" si="0"/>
        <v>0</v>
      </c>
      <c r="F94" s="9"/>
      <c r="G94" s="9"/>
      <c r="H94" s="9"/>
      <c r="I94" s="7"/>
      <c r="J94" s="7"/>
      <c r="K94" s="7">
        <f ca="1">IFERROR(IF(COUNTA(J$56:J94)=J$54,J94,FORECAST(D94,OFFSET(M$56:M$254,MATCH(D94,L$56:L$254,1)-1,0,2), OFFSET(L$56:L$254,MATCH(D94,L$56:L$254,1)-1,0,2))),"")</f>
        <v>0</v>
      </c>
      <c r="L94" s="7" t="str">
        <f t="array" ref="L94">IFERROR(INDEX(D$56:D$1054,SMALL(IF(ISNUMBER(J$56:J$1054),ROW(D$1:D$999),""),ROW(D39))),"")</f>
        <v/>
      </c>
      <c r="M94" s="7" t="str">
        <f t="array" ref="M94">IFERROR(INDEX(J$56:J$1054,SMALL(IF(ISNUMBER(J$56:J$1054),ROW(J$1:J$999),""),ROW(J39))),"")</f>
        <v/>
      </c>
      <c r="N94" s="7"/>
      <c r="O94" s="7"/>
      <c r="P94" s="7"/>
      <c r="Q94" s="7">
        <f ca="1">IFERROR(IF(COUNTA(P$56:P94)=P$54,P94,FORECAST(D94,OFFSET(S$56:S$254,MATCH(D94,R$56:R$254,1)-1,0,2), OFFSET(R$56:R$254,MATCH(D94,R$56:R$254,1)-1,0,2))),"")</f>
        <v>0</v>
      </c>
      <c r="R94" s="7" t="str">
        <f t="array" ref="R94">IFERROR(INDEX(E$56:E$1054,SMALL(IF(ISNUMBER(P$56:P$1054),ROW(E$1:E$999),""),ROW(J39))),"")</f>
        <v/>
      </c>
      <c r="S94" s="7" t="str">
        <f t="array" ref="S94">IFERROR(INDEX(P$56:P$1054,SMALL(IF(ISNUMBER(P$56:P$1054),ROW(P$1:P$999),""),ROW(P39))),"")</f>
        <v/>
      </c>
      <c r="T94" s="7"/>
      <c r="U94" s="7"/>
      <c r="V94" s="7"/>
    </row>
    <row r="95" spans="1:22" x14ac:dyDescent="0.25">
      <c r="A95" s="6"/>
      <c r="B95" s="7"/>
      <c r="C95" s="7"/>
      <c r="D95" s="7"/>
      <c r="E95" s="8">
        <f t="shared" si="0"/>
        <v>0</v>
      </c>
      <c r="F95" s="9"/>
      <c r="G95" s="9"/>
      <c r="H95" s="9"/>
      <c r="I95" s="7"/>
      <c r="J95" s="7"/>
      <c r="K95" s="7">
        <f ca="1">IFERROR(IF(COUNTA(J$56:J95)=J$54,J95,FORECAST(D95,OFFSET(M$56:M$254,MATCH(D95,L$56:L$254,1)-1,0,2), OFFSET(L$56:L$254,MATCH(D95,L$56:L$254,1)-1,0,2))),"")</f>
        <v>0</v>
      </c>
      <c r="L95" s="7" t="str">
        <f t="array" ref="L95">IFERROR(INDEX(D$56:D$1054,SMALL(IF(ISNUMBER(J$56:J$1054),ROW(D$1:D$999),""),ROW(D40))),"")</f>
        <v/>
      </c>
      <c r="M95" s="7" t="str">
        <f t="array" ref="M95">IFERROR(INDEX(J$56:J$1054,SMALL(IF(ISNUMBER(J$56:J$1054),ROW(J$1:J$999),""),ROW(J40))),"")</f>
        <v/>
      </c>
      <c r="N95" s="7"/>
      <c r="O95" s="7"/>
      <c r="P95" s="7"/>
      <c r="Q95" s="7">
        <f ca="1">IFERROR(IF(COUNTA(P$56:P95)=P$54,P95,FORECAST(D95,OFFSET(S$56:S$254,MATCH(D95,R$56:R$254,1)-1,0,2), OFFSET(R$56:R$254,MATCH(D95,R$56:R$254,1)-1,0,2))),"")</f>
        <v>0</v>
      </c>
      <c r="R95" s="7" t="str">
        <f t="array" ref="R95">IFERROR(INDEX(E$56:E$1054,SMALL(IF(ISNUMBER(P$56:P$1054),ROW(E$1:E$999),""),ROW(J40))),"")</f>
        <v/>
      </c>
      <c r="S95" s="7" t="str">
        <f t="array" ref="S95">IFERROR(INDEX(P$56:P$1054,SMALL(IF(ISNUMBER(P$56:P$1054),ROW(P$1:P$999),""),ROW(P40))),"")</f>
        <v/>
      </c>
      <c r="T95" s="7"/>
      <c r="U95" s="7"/>
      <c r="V95" s="7"/>
    </row>
    <row r="96" spans="1:22" x14ac:dyDescent="0.25">
      <c r="A96" s="6"/>
      <c r="B96" s="7"/>
      <c r="C96" s="7"/>
      <c r="D96" s="7"/>
      <c r="E96" s="8">
        <f t="shared" si="0"/>
        <v>0</v>
      </c>
      <c r="F96" s="9"/>
      <c r="G96" s="9"/>
      <c r="H96" s="9"/>
      <c r="I96" s="7"/>
      <c r="J96" s="7"/>
      <c r="K96" s="7">
        <f ca="1">IFERROR(IF(COUNTA(J$56:J96)=J$54,J96,FORECAST(D96,OFFSET(M$56:M$254,MATCH(D96,L$56:L$254,1)-1,0,2), OFFSET(L$56:L$254,MATCH(D96,L$56:L$254,1)-1,0,2))),"")</f>
        <v>0</v>
      </c>
      <c r="L96" s="7" t="str">
        <f t="array" ref="L96">IFERROR(INDEX(D$56:D$1054,SMALL(IF(ISNUMBER(J$56:J$1054),ROW(D$1:D$999),""),ROW(D41))),"")</f>
        <v/>
      </c>
      <c r="M96" s="7" t="str">
        <f t="array" ref="M96">IFERROR(INDEX(J$56:J$1054,SMALL(IF(ISNUMBER(J$56:J$1054),ROW(J$1:J$999),""),ROW(J41))),"")</f>
        <v/>
      </c>
      <c r="N96" s="7"/>
      <c r="O96" s="7"/>
      <c r="P96" s="7"/>
      <c r="Q96" s="7">
        <f ca="1">IFERROR(IF(COUNTA(P$56:P96)=P$54,P96,FORECAST(D96,OFFSET(S$56:S$254,MATCH(D96,R$56:R$254,1)-1,0,2), OFFSET(R$56:R$254,MATCH(D96,R$56:R$254,1)-1,0,2))),"")</f>
        <v>0</v>
      </c>
      <c r="R96" s="7" t="str">
        <f t="array" ref="R96">IFERROR(INDEX(E$56:E$1054,SMALL(IF(ISNUMBER(P$56:P$1054),ROW(E$1:E$999),""),ROW(J41))),"")</f>
        <v/>
      </c>
      <c r="S96" s="7" t="str">
        <f t="array" ref="S96">IFERROR(INDEX(P$56:P$1054,SMALL(IF(ISNUMBER(P$56:P$1054),ROW(P$1:P$999),""),ROW(P41))),"")</f>
        <v/>
      </c>
      <c r="T96" s="7"/>
      <c r="U96" s="7"/>
      <c r="V96" s="7"/>
    </row>
    <row r="97" spans="1:22" x14ac:dyDescent="0.25">
      <c r="A97" s="6"/>
      <c r="B97" s="7"/>
      <c r="C97" s="7"/>
      <c r="D97" s="7"/>
      <c r="E97" s="8">
        <f t="shared" si="0"/>
        <v>0</v>
      </c>
      <c r="F97" s="9"/>
      <c r="G97" s="9"/>
      <c r="H97" s="9"/>
      <c r="I97" s="7"/>
      <c r="J97" s="7"/>
      <c r="K97" s="7">
        <f ca="1">IFERROR(IF(COUNTA(J$56:J97)=J$54,J97,FORECAST(D97,OFFSET(M$56:M$254,MATCH(D97,L$56:L$254,1)-1,0,2), OFFSET(L$56:L$254,MATCH(D97,L$56:L$254,1)-1,0,2))),"")</f>
        <v>0</v>
      </c>
      <c r="L97" s="7" t="str">
        <f t="array" ref="L97">IFERROR(INDEX(D$56:D$1054,SMALL(IF(ISNUMBER(J$56:J$1054),ROW(D$1:D$999),""),ROW(D42))),"")</f>
        <v/>
      </c>
      <c r="M97" s="7" t="str">
        <f t="array" ref="M97">IFERROR(INDEX(J$56:J$1054,SMALL(IF(ISNUMBER(J$56:J$1054),ROW(J$1:J$999),""),ROW(J42))),"")</f>
        <v/>
      </c>
      <c r="N97" s="7"/>
      <c r="O97" s="7"/>
      <c r="P97" s="7"/>
      <c r="Q97" s="7">
        <f ca="1">IFERROR(IF(COUNTA(P$56:P97)=P$54,P97,FORECAST(D97,OFFSET(S$56:S$254,MATCH(D97,R$56:R$254,1)-1,0,2), OFFSET(R$56:R$254,MATCH(D97,R$56:R$254,1)-1,0,2))),"")</f>
        <v>0</v>
      </c>
      <c r="R97" s="7" t="str">
        <f t="array" ref="R97">IFERROR(INDEX(E$56:E$1054,SMALL(IF(ISNUMBER(P$56:P$1054),ROW(E$1:E$999),""),ROW(J42))),"")</f>
        <v/>
      </c>
      <c r="S97" s="7" t="str">
        <f t="array" ref="S97">IFERROR(INDEX(P$56:P$1054,SMALL(IF(ISNUMBER(P$56:P$1054),ROW(P$1:P$999),""),ROW(P42))),"")</f>
        <v/>
      </c>
      <c r="T97" s="7"/>
      <c r="U97" s="7"/>
      <c r="V97" s="7"/>
    </row>
    <row r="98" spans="1:22" x14ac:dyDescent="0.25">
      <c r="A98" s="6"/>
      <c r="B98" s="7"/>
      <c r="C98" s="7"/>
      <c r="D98" s="7"/>
      <c r="E98" s="8">
        <f t="shared" si="0"/>
        <v>0</v>
      </c>
      <c r="F98" s="9"/>
      <c r="G98" s="9"/>
      <c r="H98" s="9"/>
      <c r="I98" s="7"/>
      <c r="J98" s="7"/>
      <c r="K98" s="7">
        <f ca="1">IFERROR(IF(COUNTA(J$56:J98)=J$54,J98,FORECAST(D98,OFFSET(M$56:M$254,MATCH(D98,L$56:L$254,1)-1,0,2), OFFSET(L$56:L$254,MATCH(D98,L$56:L$254,1)-1,0,2))),"")</f>
        <v>0</v>
      </c>
      <c r="L98" s="7" t="str">
        <f t="array" ref="L98">IFERROR(INDEX(D$56:D$1054,SMALL(IF(ISNUMBER(J$56:J$1054),ROW(D$1:D$999),""),ROW(D43))),"")</f>
        <v/>
      </c>
      <c r="M98" s="7" t="str">
        <f t="array" ref="M98">IFERROR(INDEX(J$56:J$1054,SMALL(IF(ISNUMBER(J$56:J$1054),ROW(J$1:J$999),""),ROW(J43))),"")</f>
        <v/>
      </c>
      <c r="N98" s="7"/>
      <c r="O98" s="7"/>
      <c r="P98" s="7"/>
      <c r="Q98" s="7">
        <f ca="1">IFERROR(IF(COUNTA(P$56:P98)=P$54,P98,FORECAST(D98,OFFSET(S$56:S$254,MATCH(D98,R$56:R$254,1)-1,0,2), OFFSET(R$56:R$254,MATCH(D98,R$56:R$254,1)-1,0,2))),"")</f>
        <v>0</v>
      </c>
      <c r="R98" s="7" t="str">
        <f t="array" ref="R98">IFERROR(INDEX(E$56:E$1054,SMALL(IF(ISNUMBER(P$56:P$1054),ROW(E$1:E$999),""),ROW(J43))),"")</f>
        <v/>
      </c>
      <c r="S98" s="7" t="str">
        <f t="array" ref="S98">IFERROR(INDEX(P$56:P$1054,SMALL(IF(ISNUMBER(P$56:P$1054),ROW(P$1:P$999),""),ROW(P43))),"")</f>
        <v/>
      </c>
      <c r="T98" s="7"/>
      <c r="U98" s="7"/>
      <c r="V98" s="7"/>
    </row>
    <row r="99" spans="1:22" x14ac:dyDescent="0.25">
      <c r="A99" s="6"/>
      <c r="B99" s="7"/>
      <c r="C99" s="7"/>
      <c r="D99" s="7"/>
      <c r="E99" s="8">
        <f t="shared" si="0"/>
        <v>0</v>
      </c>
      <c r="F99" s="9"/>
      <c r="G99" s="9"/>
      <c r="H99" s="9"/>
      <c r="I99" s="7"/>
      <c r="J99" s="7"/>
      <c r="K99" s="7">
        <f ca="1">IFERROR(IF(COUNTA(J$56:J99)=J$54,J99,FORECAST(D99,OFFSET(M$56:M$254,MATCH(D99,L$56:L$254,1)-1,0,2), OFFSET(L$56:L$254,MATCH(D99,L$56:L$254,1)-1,0,2))),"")</f>
        <v>0</v>
      </c>
      <c r="L99" s="7" t="str">
        <f t="array" ref="L99">IFERROR(INDEX(D$56:D$1054,SMALL(IF(ISNUMBER(J$56:J$1054),ROW(D$1:D$999),""),ROW(D44))),"")</f>
        <v/>
      </c>
      <c r="M99" s="7" t="str">
        <f t="array" ref="M99">IFERROR(INDEX(J$56:J$1054,SMALL(IF(ISNUMBER(J$56:J$1054),ROW(J$1:J$999),""),ROW(J44))),"")</f>
        <v/>
      </c>
      <c r="N99" s="7"/>
      <c r="O99" s="7"/>
      <c r="P99" s="7"/>
      <c r="Q99" s="7">
        <f ca="1">IFERROR(IF(COUNTA(P$56:P99)=P$54,P99,FORECAST(D99,OFFSET(S$56:S$254,MATCH(D99,R$56:R$254,1)-1,0,2), OFFSET(R$56:R$254,MATCH(D99,R$56:R$254,1)-1,0,2))),"")</f>
        <v>0</v>
      </c>
      <c r="R99" s="7" t="str">
        <f t="array" ref="R99">IFERROR(INDEX(E$56:E$1054,SMALL(IF(ISNUMBER(P$56:P$1054),ROW(E$1:E$999),""),ROW(J44))),"")</f>
        <v/>
      </c>
      <c r="S99" s="7" t="str">
        <f t="array" ref="S99">IFERROR(INDEX(P$56:P$1054,SMALL(IF(ISNUMBER(P$56:P$1054),ROW(P$1:P$999),""),ROW(P44))),"")</f>
        <v/>
      </c>
      <c r="T99" s="7"/>
      <c r="U99" s="7"/>
      <c r="V99" s="7"/>
    </row>
    <row r="100" spans="1:22" x14ac:dyDescent="0.25">
      <c r="A100" s="6"/>
      <c r="B100" s="7"/>
      <c r="C100" s="7"/>
      <c r="D100" s="7"/>
      <c r="E100" s="8">
        <f t="shared" si="0"/>
        <v>0</v>
      </c>
      <c r="F100" s="9"/>
      <c r="G100" s="9"/>
      <c r="H100" s="9"/>
      <c r="I100" s="7"/>
      <c r="J100" s="7"/>
      <c r="K100" s="7">
        <f ca="1">IFERROR(IF(COUNTA(J$56:J100)=J$54,J100,FORECAST(D100,OFFSET(M$56:M$254,MATCH(D100,L$56:L$254,1)-1,0,2), OFFSET(L$56:L$254,MATCH(D100,L$56:L$254,1)-1,0,2))),"")</f>
        <v>0</v>
      </c>
      <c r="L100" s="7" t="str">
        <f t="array" ref="L100">IFERROR(INDEX(D$56:D$1054,SMALL(IF(ISNUMBER(J$56:J$1054),ROW(D$1:D$999),""),ROW(D45))),"")</f>
        <v/>
      </c>
      <c r="M100" s="7" t="str">
        <f t="array" ref="M100">IFERROR(INDEX(J$56:J$1054,SMALL(IF(ISNUMBER(J$56:J$1054),ROW(J$1:J$999),""),ROW(J45))),"")</f>
        <v/>
      </c>
      <c r="N100" s="7"/>
      <c r="O100" s="7"/>
      <c r="P100" s="7"/>
      <c r="Q100" s="7">
        <f ca="1">IFERROR(IF(COUNTA(P$56:P100)=P$54,P100,FORECAST(D100,OFFSET(S$56:S$254,MATCH(D100,R$56:R$254,1)-1,0,2), OFFSET(R$56:R$254,MATCH(D100,R$56:R$254,1)-1,0,2))),"")</f>
        <v>0</v>
      </c>
      <c r="R100" s="7" t="str">
        <f t="array" ref="R100">IFERROR(INDEX(E$56:E$1054,SMALL(IF(ISNUMBER(P$56:P$1054),ROW(E$1:E$999),""),ROW(J45))),"")</f>
        <v/>
      </c>
      <c r="S100" s="7" t="str">
        <f t="array" ref="S100">IFERROR(INDEX(P$56:P$1054,SMALL(IF(ISNUMBER(P$56:P$1054),ROW(P$1:P$999),""),ROW(P45))),"")</f>
        <v/>
      </c>
      <c r="T100" s="7"/>
      <c r="U100" s="7"/>
      <c r="V100" s="7"/>
    </row>
    <row r="101" spans="1:22" x14ac:dyDescent="0.25">
      <c r="A101" s="6"/>
      <c r="B101" s="7"/>
      <c r="C101" s="7"/>
      <c r="D101" s="7"/>
      <c r="E101" s="8">
        <f t="shared" si="0"/>
        <v>0</v>
      </c>
      <c r="F101" s="9"/>
      <c r="G101" s="9"/>
      <c r="H101" s="9"/>
      <c r="I101" s="7"/>
      <c r="J101" s="7"/>
      <c r="K101" s="7">
        <f ca="1">IFERROR(IF(COUNTA(J$56:J101)=J$54,J101,FORECAST(D101,OFFSET(M$56:M$254,MATCH(D101,L$56:L$254,1)-1,0,2), OFFSET(L$56:L$254,MATCH(D101,L$56:L$254,1)-1,0,2))),"")</f>
        <v>0</v>
      </c>
      <c r="L101" s="7" t="str">
        <f t="array" ref="L101">IFERROR(INDEX(D$56:D$1054,SMALL(IF(ISNUMBER(J$56:J$1054),ROW(D$1:D$999),""),ROW(D46))),"")</f>
        <v/>
      </c>
      <c r="M101" s="7" t="str">
        <f t="array" ref="M101">IFERROR(INDEX(J$56:J$1054,SMALL(IF(ISNUMBER(J$56:J$1054),ROW(J$1:J$999),""),ROW(J46))),"")</f>
        <v/>
      </c>
      <c r="N101" s="7"/>
      <c r="O101" s="7"/>
      <c r="P101" s="7"/>
      <c r="Q101" s="7">
        <f ca="1">IFERROR(IF(COUNTA(P$56:P101)=P$54,P101,FORECAST(D101,OFFSET(S$56:S$254,MATCH(D101,R$56:R$254,1)-1,0,2), OFFSET(R$56:R$254,MATCH(D101,R$56:R$254,1)-1,0,2))),"")</f>
        <v>0</v>
      </c>
      <c r="R101" s="7" t="str">
        <f t="array" ref="R101">IFERROR(INDEX(E$56:E$1054,SMALL(IF(ISNUMBER(P$56:P$1054),ROW(E$1:E$999),""),ROW(J46))),"")</f>
        <v/>
      </c>
      <c r="S101" s="7" t="str">
        <f t="array" ref="S101">IFERROR(INDEX(P$56:P$1054,SMALL(IF(ISNUMBER(P$56:P$1054),ROW(P$1:P$999),""),ROW(P46))),"")</f>
        <v/>
      </c>
      <c r="T101" s="7"/>
      <c r="U101" s="7"/>
      <c r="V101" s="7"/>
    </row>
    <row r="102" spans="1:22" x14ac:dyDescent="0.25">
      <c r="A102" s="6"/>
      <c r="B102" s="7"/>
      <c r="C102" s="7"/>
      <c r="D102" s="7"/>
      <c r="E102" s="8">
        <f t="shared" si="0"/>
        <v>0</v>
      </c>
      <c r="F102" s="9"/>
      <c r="G102" s="9"/>
      <c r="H102" s="9"/>
      <c r="I102" s="7"/>
      <c r="J102" s="7"/>
      <c r="K102" s="7">
        <f ca="1">IFERROR(IF(COUNTA(J$56:J102)=J$54,J102,FORECAST(D102,OFFSET(M$56:M$254,MATCH(D102,L$56:L$254,1)-1,0,2), OFFSET(L$56:L$254,MATCH(D102,L$56:L$254,1)-1,0,2))),"")</f>
        <v>0</v>
      </c>
      <c r="L102" s="7" t="str">
        <f t="array" ref="L102">IFERROR(INDEX(D$56:D$1054,SMALL(IF(ISNUMBER(J$56:J$1054),ROW(D$1:D$999),""),ROW(D47))),"")</f>
        <v/>
      </c>
      <c r="M102" s="7" t="str">
        <f t="array" ref="M102">IFERROR(INDEX(J$56:J$1054,SMALL(IF(ISNUMBER(J$56:J$1054),ROW(J$1:J$999),""),ROW(J47))),"")</f>
        <v/>
      </c>
      <c r="N102" s="7"/>
      <c r="O102" s="7"/>
      <c r="P102" s="7"/>
      <c r="Q102" s="7">
        <f ca="1">IFERROR(IF(COUNTA(P$56:P102)=P$54,P102,FORECAST(D102,OFFSET(S$56:S$254,MATCH(D102,R$56:R$254,1)-1,0,2), OFFSET(R$56:R$254,MATCH(D102,R$56:R$254,1)-1,0,2))),"")</f>
        <v>0</v>
      </c>
      <c r="R102" s="7" t="str">
        <f t="array" ref="R102">IFERROR(INDEX(E$56:E$1054,SMALL(IF(ISNUMBER(P$56:P$1054),ROW(E$1:E$999),""),ROW(J47))),"")</f>
        <v/>
      </c>
      <c r="S102" s="7" t="str">
        <f t="array" ref="S102">IFERROR(INDEX(P$56:P$1054,SMALL(IF(ISNUMBER(P$56:P$1054),ROW(P$1:P$999),""),ROW(P47))),"")</f>
        <v/>
      </c>
      <c r="T102" s="7"/>
      <c r="U102" s="7"/>
      <c r="V102" s="7"/>
    </row>
    <row r="103" spans="1:22" x14ac:dyDescent="0.25">
      <c r="A103" s="6"/>
      <c r="B103" s="7"/>
      <c r="C103" s="7"/>
      <c r="D103" s="7"/>
      <c r="E103" s="8">
        <f t="shared" si="0"/>
        <v>0</v>
      </c>
      <c r="F103" s="9"/>
      <c r="G103" s="9"/>
      <c r="H103" s="9"/>
      <c r="I103" s="7"/>
      <c r="J103" s="7"/>
      <c r="K103" s="7">
        <f ca="1">IFERROR(IF(COUNTA(J$56:J103)=J$54,J103,FORECAST(D103,OFFSET(M$56:M$254,MATCH(D103,L$56:L$254,1)-1,0,2), OFFSET(L$56:L$254,MATCH(D103,L$56:L$254,1)-1,0,2))),"")</f>
        <v>0</v>
      </c>
      <c r="L103" s="7" t="str">
        <f t="array" ref="L103">IFERROR(INDEX(D$56:D$1054,SMALL(IF(ISNUMBER(J$56:J$1054),ROW(D$1:D$999),""),ROW(D48))),"")</f>
        <v/>
      </c>
      <c r="M103" s="7" t="str">
        <f t="array" ref="M103">IFERROR(INDEX(J$56:J$1054,SMALL(IF(ISNUMBER(J$56:J$1054),ROW(J$1:J$999),""),ROW(J48))),"")</f>
        <v/>
      </c>
      <c r="N103" s="7"/>
      <c r="O103" s="7"/>
      <c r="P103" s="7"/>
      <c r="Q103" s="7">
        <f ca="1">IFERROR(IF(COUNTA(P$56:P103)=P$54,P103,FORECAST(D103,OFFSET(S$56:S$254,MATCH(D103,R$56:R$254,1)-1,0,2), OFFSET(R$56:R$254,MATCH(D103,R$56:R$254,1)-1,0,2))),"")</f>
        <v>0</v>
      </c>
      <c r="R103" s="7" t="str">
        <f t="array" ref="R103">IFERROR(INDEX(E$56:E$1054,SMALL(IF(ISNUMBER(P$56:P$1054),ROW(E$1:E$999),""),ROW(J48))),"")</f>
        <v/>
      </c>
      <c r="S103" s="7" t="str">
        <f t="array" ref="S103">IFERROR(INDEX(P$56:P$1054,SMALL(IF(ISNUMBER(P$56:P$1054),ROW(P$1:P$999),""),ROW(P48))),"")</f>
        <v/>
      </c>
      <c r="T103" s="7"/>
      <c r="U103" s="7"/>
      <c r="V103" s="7"/>
    </row>
    <row r="104" spans="1:22" x14ac:dyDescent="0.25">
      <c r="A104" s="6"/>
      <c r="B104" s="7"/>
      <c r="C104" s="7"/>
      <c r="D104" s="7"/>
      <c r="E104" s="8">
        <f t="shared" si="0"/>
        <v>0</v>
      </c>
      <c r="F104" s="9"/>
      <c r="G104" s="9"/>
      <c r="H104" s="9"/>
      <c r="I104" s="7"/>
      <c r="J104" s="7"/>
      <c r="K104" s="7">
        <f ca="1">IFERROR(IF(COUNTA(J$56:J104)=J$54,J104,FORECAST(D104,OFFSET(M$56:M$254,MATCH(D104,L$56:L$254,1)-1,0,2), OFFSET(L$56:L$254,MATCH(D104,L$56:L$254,1)-1,0,2))),"")</f>
        <v>0</v>
      </c>
      <c r="L104" s="7" t="str">
        <f t="array" ref="L104">IFERROR(INDEX(D$56:D$1054,SMALL(IF(ISNUMBER(J$56:J$1054),ROW(D$1:D$999),""),ROW(D49))),"")</f>
        <v/>
      </c>
      <c r="M104" s="7" t="str">
        <f t="array" ref="M104">IFERROR(INDEX(J$56:J$1054,SMALL(IF(ISNUMBER(J$56:J$1054),ROW(J$1:J$999),""),ROW(J49))),"")</f>
        <v/>
      </c>
      <c r="N104" s="7"/>
      <c r="O104" s="7"/>
      <c r="P104" s="7"/>
      <c r="Q104" s="7">
        <f ca="1">IFERROR(IF(COUNTA(P$56:P104)=P$54,P104,FORECAST(D104,OFFSET(S$56:S$254,MATCH(D104,R$56:R$254,1)-1,0,2), OFFSET(R$56:R$254,MATCH(D104,R$56:R$254,1)-1,0,2))),"")</f>
        <v>0</v>
      </c>
      <c r="R104" s="7" t="str">
        <f t="array" ref="R104">IFERROR(INDEX(E$56:E$1054,SMALL(IF(ISNUMBER(P$56:P$1054),ROW(E$1:E$999),""),ROW(J49))),"")</f>
        <v/>
      </c>
      <c r="S104" s="7" t="str">
        <f t="array" ref="S104">IFERROR(INDEX(P$56:P$1054,SMALL(IF(ISNUMBER(P$56:P$1054),ROW(P$1:P$999),""),ROW(P49))),"")</f>
        <v/>
      </c>
      <c r="T104" s="7"/>
      <c r="U104" s="7"/>
      <c r="V104" s="7"/>
    </row>
    <row r="105" spans="1:22" x14ac:dyDescent="0.25">
      <c r="A105" s="6"/>
      <c r="B105" s="7"/>
      <c r="C105" s="7"/>
      <c r="D105" s="7"/>
      <c r="E105" s="8">
        <f t="shared" si="0"/>
        <v>0</v>
      </c>
      <c r="F105" s="9"/>
      <c r="G105" s="9"/>
      <c r="H105" s="9"/>
      <c r="I105" s="7"/>
      <c r="J105" s="7"/>
      <c r="K105" s="7">
        <f ca="1">IFERROR(IF(COUNTA(J$56:J105)=J$54,J105,FORECAST(D105,OFFSET(M$56:M$254,MATCH(D105,L$56:L$254,1)-1,0,2), OFFSET(L$56:L$254,MATCH(D105,L$56:L$254,1)-1,0,2))),"")</f>
        <v>0</v>
      </c>
      <c r="L105" s="7" t="str">
        <f t="array" ref="L105">IFERROR(INDEX(D$56:D$1054,SMALL(IF(ISNUMBER(J$56:J$1054),ROW(D$1:D$999),""),ROW(D50))),"")</f>
        <v/>
      </c>
      <c r="M105" s="7" t="str">
        <f t="array" ref="M105">IFERROR(INDEX(J$56:J$1054,SMALL(IF(ISNUMBER(J$56:J$1054),ROW(J$1:J$999),""),ROW(J50))),"")</f>
        <v/>
      </c>
      <c r="N105" s="7"/>
      <c r="O105" s="7"/>
      <c r="P105" s="7"/>
      <c r="Q105" s="7">
        <f ca="1">IFERROR(IF(COUNTA(P$56:P105)=P$54,P105,FORECAST(D105,OFFSET(S$56:S$254,MATCH(D105,R$56:R$254,1)-1,0,2), OFFSET(R$56:R$254,MATCH(D105,R$56:R$254,1)-1,0,2))),"")</f>
        <v>0</v>
      </c>
      <c r="R105" s="7" t="str">
        <f t="array" ref="R105">IFERROR(INDEX(E$56:E$1054,SMALL(IF(ISNUMBER(P$56:P$1054),ROW(E$1:E$999),""),ROW(J50))),"")</f>
        <v/>
      </c>
      <c r="S105" s="7" t="str">
        <f t="array" ref="S105">IFERROR(INDEX(P$56:P$1054,SMALL(IF(ISNUMBER(P$56:P$1054),ROW(P$1:P$999),""),ROW(P50))),"")</f>
        <v/>
      </c>
      <c r="T105" s="7"/>
      <c r="U105" s="7"/>
      <c r="V105" s="7"/>
    </row>
    <row r="106" spans="1:22" x14ac:dyDescent="0.25">
      <c r="A106" s="6"/>
      <c r="B106" s="7"/>
      <c r="C106" s="7"/>
      <c r="D106" s="7"/>
      <c r="E106" s="8">
        <f t="shared" si="0"/>
        <v>0</v>
      </c>
      <c r="F106" s="9"/>
      <c r="G106" s="9"/>
      <c r="H106" s="9"/>
      <c r="I106" s="7"/>
      <c r="J106" s="7"/>
      <c r="K106" s="7">
        <f ca="1">IFERROR(IF(COUNTA(J$56:J106)=J$54,J106,FORECAST(D106,OFFSET(M$56:M$254,MATCH(D106,L$56:L$254,1)-1,0,2), OFFSET(L$56:L$254,MATCH(D106,L$56:L$254,1)-1,0,2))),"")</f>
        <v>0</v>
      </c>
      <c r="L106" s="7" t="str">
        <f t="array" ref="L106">IFERROR(INDEX(D$56:D$1054,SMALL(IF(ISNUMBER(J$56:J$1054),ROW(D$1:D$999),""),ROW(D51))),"")</f>
        <v/>
      </c>
      <c r="M106" s="7" t="str">
        <f t="array" ref="M106">IFERROR(INDEX(J$56:J$1054,SMALL(IF(ISNUMBER(J$56:J$1054),ROW(J$1:J$999),""),ROW(J51))),"")</f>
        <v/>
      </c>
      <c r="N106" s="7"/>
      <c r="O106" s="7"/>
      <c r="P106" s="7"/>
      <c r="Q106" s="7">
        <f ca="1">IFERROR(IF(COUNTA(P$56:P106)=P$54,P106,FORECAST(D106,OFFSET(S$56:S$254,MATCH(D106,R$56:R$254,1)-1,0,2), OFFSET(R$56:R$254,MATCH(D106,R$56:R$254,1)-1,0,2))),"")</f>
        <v>0</v>
      </c>
      <c r="R106" s="7" t="str">
        <f t="array" ref="R106">IFERROR(INDEX(E$56:E$1054,SMALL(IF(ISNUMBER(P$56:P$1054),ROW(E$1:E$999),""),ROW(J51))),"")</f>
        <v/>
      </c>
      <c r="S106" s="7" t="str">
        <f t="array" ref="S106">IFERROR(INDEX(P$56:P$1054,SMALL(IF(ISNUMBER(P$56:P$1054),ROW(P$1:P$999),""),ROW(P51))),"")</f>
        <v/>
      </c>
      <c r="T106" s="7"/>
      <c r="U106" s="7"/>
      <c r="V106" s="7"/>
    </row>
    <row r="107" spans="1:22" x14ac:dyDescent="0.25">
      <c r="A107" s="6"/>
      <c r="B107" s="7"/>
      <c r="C107" s="7"/>
      <c r="D107" s="7"/>
      <c r="E107" s="8">
        <f t="shared" si="0"/>
        <v>0</v>
      </c>
      <c r="F107" s="9"/>
      <c r="G107" s="9"/>
      <c r="H107" s="9"/>
      <c r="I107" s="7"/>
      <c r="J107" s="7"/>
      <c r="K107" s="7">
        <f ca="1">IFERROR(IF(COUNTA(J$56:J107)=J$54,J107,FORECAST(D107,OFFSET(M$56:M$254,MATCH(D107,L$56:L$254,1)-1,0,2), OFFSET(L$56:L$254,MATCH(D107,L$56:L$254,1)-1,0,2))),"")</f>
        <v>0</v>
      </c>
      <c r="L107" s="7" t="str">
        <f t="array" ref="L107">IFERROR(INDEX(D$56:D$1054,SMALL(IF(ISNUMBER(J$56:J$1054),ROW(D$1:D$999),""),ROW(D52))),"")</f>
        <v/>
      </c>
      <c r="M107" s="7" t="str">
        <f t="array" ref="M107">IFERROR(INDEX(J$56:J$1054,SMALL(IF(ISNUMBER(J$56:J$1054),ROW(J$1:J$999),""),ROW(J52))),"")</f>
        <v/>
      </c>
      <c r="N107" s="7"/>
      <c r="O107" s="7"/>
      <c r="P107" s="7"/>
      <c r="Q107" s="7">
        <f ca="1">IFERROR(IF(COUNTA(P$56:P107)=P$54,P107,FORECAST(D107,OFFSET(S$56:S$254,MATCH(D107,R$56:R$254,1)-1,0,2), OFFSET(R$56:R$254,MATCH(D107,R$56:R$254,1)-1,0,2))),"")</f>
        <v>0</v>
      </c>
      <c r="R107" s="7" t="str">
        <f t="array" ref="R107">IFERROR(INDEX(E$56:E$1054,SMALL(IF(ISNUMBER(P$56:P$1054),ROW(E$1:E$999),""),ROW(J52))),"")</f>
        <v/>
      </c>
      <c r="S107" s="7" t="str">
        <f t="array" ref="S107">IFERROR(INDEX(P$56:P$1054,SMALL(IF(ISNUMBER(P$56:P$1054),ROW(P$1:P$999),""),ROW(P52))),"")</f>
        <v/>
      </c>
      <c r="T107" s="7"/>
      <c r="U107" s="7"/>
      <c r="V107" s="7"/>
    </row>
    <row r="108" spans="1:22" x14ac:dyDescent="0.25">
      <c r="A108" s="6"/>
      <c r="B108" s="7"/>
      <c r="C108" s="7"/>
      <c r="D108" s="7"/>
      <c r="E108" s="8">
        <f t="shared" si="0"/>
        <v>0</v>
      </c>
      <c r="F108" s="9"/>
      <c r="G108" s="9"/>
      <c r="H108" s="9"/>
      <c r="I108" s="7"/>
      <c r="J108" s="7"/>
      <c r="K108" s="7">
        <f ca="1">IFERROR(IF(COUNTA(J$56:J108)=J$54,J108,FORECAST(D108,OFFSET(M$56:M$254,MATCH(D108,L$56:L$254,1)-1,0,2), OFFSET(L$56:L$254,MATCH(D108,L$56:L$254,1)-1,0,2))),"")</f>
        <v>0</v>
      </c>
      <c r="L108" s="7" t="str">
        <f t="array" ref="L108">IFERROR(INDEX(D$56:D$1054,SMALL(IF(ISNUMBER(J$56:J$1054),ROW(D$1:D$999),""),ROW(D53))),"")</f>
        <v/>
      </c>
      <c r="M108" s="7" t="str">
        <f t="array" ref="M108">IFERROR(INDEX(J$56:J$1054,SMALL(IF(ISNUMBER(J$56:J$1054),ROW(J$1:J$999),""),ROW(J53))),"")</f>
        <v/>
      </c>
      <c r="N108" s="7"/>
      <c r="O108" s="7"/>
      <c r="P108" s="7"/>
      <c r="Q108" s="7">
        <f ca="1">IFERROR(IF(COUNTA(P$56:P108)=P$54,P108,FORECAST(D108,OFFSET(S$56:S$254,MATCH(D108,R$56:R$254,1)-1,0,2), OFFSET(R$56:R$254,MATCH(D108,R$56:R$254,1)-1,0,2))),"")</f>
        <v>0</v>
      </c>
      <c r="R108" s="7" t="str">
        <f t="array" ref="R108">IFERROR(INDEX(E$56:E$1054,SMALL(IF(ISNUMBER(P$56:P$1054),ROW(E$1:E$999),""),ROW(J53))),"")</f>
        <v/>
      </c>
      <c r="S108" s="7" t="str">
        <f t="array" ref="S108">IFERROR(INDEX(P$56:P$1054,SMALL(IF(ISNUMBER(P$56:P$1054),ROW(P$1:P$999),""),ROW(P53))),"")</f>
        <v/>
      </c>
      <c r="T108" s="7"/>
      <c r="U108" s="7"/>
      <c r="V108" s="7"/>
    </row>
    <row r="109" spans="1:22" x14ac:dyDescent="0.25">
      <c r="A109" s="6"/>
      <c r="B109" s="7"/>
      <c r="C109" s="7"/>
      <c r="D109" s="7"/>
      <c r="E109" s="8">
        <f t="shared" si="0"/>
        <v>0</v>
      </c>
      <c r="F109" s="9"/>
      <c r="G109" s="9"/>
      <c r="H109" s="9"/>
      <c r="I109" s="7"/>
      <c r="J109" s="7"/>
      <c r="K109" s="7">
        <f ca="1">IFERROR(IF(COUNTA(J$56:J109)=J$54,J109,FORECAST(D109,OFFSET(M$56:M$254,MATCH(D109,L$56:L$254,1)-1,0,2), OFFSET(L$56:L$254,MATCH(D109,L$56:L$254,1)-1,0,2))),"")</f>
        <v>0</v>
      </c>
      <c r="L109" s="7" t="str">
        <f t="array" ref="L109">IFERROR(INDEX(D$56:D$1054,SMALL(IF(ISNUMBER(J$56:J$1054),ROW(D$1:D$999),""),ROW(D54))),"")</f>
        <v/>
      </c>
      <c r="M109" s="7" t="str">
        <f t="array" ref="M109">IFERROR(INDEX(J$56:J$1054,SMALL(IF(ISNUMBER(J$56:J$1054),ROW(J$1:J$999),""),ROW(J54))),"")</f>
        <v/>
      </c>
      <c r="N109" s="7"/>
      <c r="O109" s="7"/>
      <c r="P109" s="7"/>
      <c r="Q109" s="7">
        <f ca="1">IFERROR(IF(COUNTA(P$56:P109)=P$54,P109,FORECAST(D109,OFFSET(S$56:S$254,MATCH(D109,R$56:R$254,1)-1,0,2), OFFSET(R$56:R$254,MATCH(D109,R$56:R$254,1)-1,0,2))),"")</f>
        <v>0</v>
      </c>
      <c r="R109" s="7" t="str">
        <f t="array" ref="R109">IFERROR(INDEX(E$56:E$1054,SMALL(IF(ISNUMBER(P$56:P$1054),ROW(E$1:E$999),""),ROW(J54))),"")</f>
        <v/>
      </c>
      <c r="S109" s="7" t="str">
        <f t="array" ref="S109">IFERROR(INDEX(P$56:P$1054,SMALL(IF(ISNUMBER(P$56:P$1054),ROW(P$1:P$999),""),ROW(P54))),"")</f>
        <v/>
      </c>
      <c r="T109" s="7"/>
      <c r="U109" s="7"/>
      <c r="V109" s="7"/>
    </row>
    <row r="110" spans="1:22" x14ac:dyDescent="0.25">
      <c r="A110" s="6"/>
      <c r="B110" s="7"/>
      <c r="C110" s="7"/>
      <c r="D110" s="7"/>
      <c r="E110" s="8">
        <f t="shared" si="0"/>
        <v>0</v>
      </c>
      <c r="F110" s="9"/>
      <c r="G110" s="9"/>
      <c r="H110" s="9"/>
      <c r="I110" s="7"/>
      <c r="J110" s="7"/>
      <c r="K110" s="7">
        <f ca="1">IFERROR(IF(COUNTA(J$56:J110)=J$54,J110,FORECAST(D110,OFFSET(M$56:M$254,MATCH(D110,L$56:L$254,1)-1,0,2), OFFSET(L$56:L$254,MATCH(D110,L$56:L$254,1)-1,0,2))),"")</f>
        <v>0</v>
      </c>
      <c r="L110" s="7" t="str">
        <f t="array" ref="L110">IFERROR(INDEX(D$56:D$1054,SMALL(IF(ISNUMBER(J$56:J$1054),ROW(D$1:D$999),""),ROW(D55))),"")</f>
        <v/>
      </c>
      <c r="M110" s="7" t="str">
        <f t="array" ref="M110">IFERROR(INDEX(J$56:J$1054,SMALL(IF(ISNUMBER(J$56:J$1054),ROW(J$1:J$999),""),ROW(J55))),"")</f>
        <v/>
      </c>
      <c r="N110" s="7"/>
      <c r="O110" s="7"/>
      <c r="P110" s="7"/>
      <c r="Q110" s="7">
        <f ca="1">IFERROR(IF(COUNTA(P$56:P110)=P$54,P110,FORECAST(D110,OFFSET(S$56:S$254,MATCH(D110,R$56:R$254,1)-1,0,2), OFFSET(R$56:R$254,MATCH(D110,R$56:R$254,1)-1,0,2))),"")</f>
        <v>0</v>
      </c>
      <c r="R110" s="7" t="str">
        <f t="array" ref="R110">IFERROR(INDEX(E$56:E$1054,SMALL(IF(ISNUMBER(P$56:P$1054),ROW(E$1:E$999),""),ROW(J55))),"")</f>
        <v/>
      </c>
      <c r="S110" s="7" t="str">
        <f t="array" ref="S110">IFERROR(INDEX(P$56:P$1054,SMALL(IF(ISNUMBER(P$56:P$1054),ROW(P$1:P$999),""),ROW(P55))),"")</f>
        <v/>
      </c>
      <c r="T110" s="7"/>
      <c r="U110" s="7"/>
      <c r="V110" s="7"/>
    </row>
    <row r="111" spans="1:22" x14ac:dyDescent="0.25">
      <c r="A111" s="6"/>
      <c r="B111" s="7"/>
      <c r="C111" s="7"/>
      <c r="D111" s="7"/>
      <c r="E111" s="8">
        <f t="shared" si="0"/>
        <v>0</v>
      </c>
      <c r="F111" s="9"/>
      <c r="G111" s="9"/>
      <c r="H111" s="9"/>
      <c r="I111" s="7"/>
      <c r="J111" s="7"/>
      <c r="K111" s="7">
        <f ca="1">IFERROR(IF(COUNTA(J$56:J111)=J$54,J111,FORECAST(D111,OFFSET(M$56:M$254,MATCH(D111,L$56:L$254,1)-1,0,2), OFFSET(L$56:L$254,MATCH(D111,L$56:L$254,1)-1,0,2))),"")</f>
        <v>0</v>
      </c>
      <c r="L111" s="7" t="str">
        <f t="array" ref="L111">IFERROR(INDEX(D$56:D$1054,SMALL(IF(ISNUMBER(J$56:J$1054),ROW(D$1:D$999),""),ROW(D56))),"")</f>
        <v/>
      </c>
      <c r="M111" s="7" t="str">
        <f t="array" ref="M111">IFERROR(INDEX(J$56:J$1054,SMALL(IF(ISNUMBER(J$56:J$1054),ROW(J$1:J$999),""),ROW(J56))),"")</f>
        <v/>
      </c>
      <c r="N111" s="7"/>
      <c r="O111" s="7"/>
      <c r="P111" s="7"/>
      <c r="Q111" s="7">
        <f ca="1">IFERROR(IF(COUNTA(P$56:P111)=P$54,P111,FORECAST(D111,OFFSET(S$56:S$254,MATCH(D111,R$56:R$254,1)-1,0,2), OFFSET(R$56:R$254,MATCH(D111,R$56:R$254,1)-1,0,2))),"")</f>
        <v>0</v>
      </c>
      <c r="R111" s="7" t="str">
        <f t="array" ref="R111">IFERROR(INDEX(E$56:E$1054,SMALL(IF(ISNUMBER(P$56:P$1054),ROW(E$1:E$999),""),ROW(J56))),"")</f>
        <v/>
      </c>
      <c r="S111" s="7" t="str">
        <f t="array" ref="S111">IFERROR(INDEX(P$56:P$1054,SMALL(IF(ISNUMBER(P$56:P$1054),ROW(P$1:P$999),""),ROW(P56))),"")</f>
        <v/>
      </c>
      <c r="T111" s="7"/>
      <c r="U111" s="7"/>
      <c r="V111" s="7"/>
    </row>
    <row r="112" spans="1:22" x14ac:dyDescent="0.25">
      <c r="A112" s="6"/>
      <c r="B112" s="7"/>
      <c r="C112" s="7"/>
      <c r="D112" s="7"/>
      <c r="E112" s="8">
        <f t="shared" si="0"/>
        <v>0</v>
      </c>
      <c r="F112" s="9"/>
      <c r="G112" s="9"/>
      <c r="H112" s="9"/>
      <c r="I112" s="7"/>
      <c r="J112" s="7"/>
      <c r="K112" s="7">
        <f ca="1">IFERROR(IF(COUNTA(J$56:J112)=J$54,J112,FORECAST(D112,OFFSET(M$56:M$254,MATCH(D112,L$56:L$254,1)-1,0,2), OFFSET(L$56:L$254,MATCH(D112,L$56:L$254,1)-1,0,2))),"")</f>
        <v>0</v>
      </c>
      <c r="L112" s="7" t="str">
        <f t="array" ref="L112">IFERROR(INDEX(D$56:D$1054,SMALL(IF(ISNUMBER(J$56:J$1054),ROW(D$1:D$999),""),ROW(D57))),"")</f>
        <v/>
      </c>
      <c r="M112" s="7" t="str">
        <f t="array" ref="M112">IFERROR(INDEX(J$56:J$1054,SMALL(IF(ISNUMBER(J$56:J$1054),ROW(J$1:J$999),""),ROW(J57))),"")</f>
        <v/>
      </c>
      <c r="N112" s="7"/>
      <c r="O112" s="7"/>
      <c r="P112" s="7"/>
      <c r="Q112" s="7">
        <f ca="1">IFERROR(IF(COUNTA(P$56:P112)=P$54,P112,FORECAST(D112,OFFSET(S$56:S$254,MATCH(D112,R$56:R$254,1)-1,0,2), OFFSET(R$56:R$254,MATCH(D112,R$56:R$254,1)-1,0,2))),"")</f>
        <v>0</v>
      </c>
      <c r="R112" s="7" t="str">
        <f t="array" ref="R112">IFERROR(INDEX(E$56:E$1054,SMALL(IF(ISNUMBER(P$56:P$1054),ROW(E$1:E$999),""),ROW(J57))),"")</f>
        <v/>
      </c>
      <c r="S112" s="7" t="str">
        <f t="array" ref="S112">IFERROR(INDEX(P$56:P$1054,SMALL(IF(ISNUMBER(P$56:P$1054),ROW(P$1:P$999),""),ROW(P57))),"")</f>
        <v/>
      </c>
      <c r="T112" s="7"/>
      <c r="U112" s="7"/>
      <c r="V112" s="7"/>
    </row>
    <row r="113" spans="1:22" x14ac:dyDescent="0.25">
      <c r="A113" s="6"/>
      <c r="B113" s="7"/>
      <c r="C113" s="7"/>
      <c r="D113" s="7"/>
      <c r="E113" s="8">
        <f t="shared" si="0"/>
        <v>0</v>
      </c>
      <c r="F113" s="9"/>
      <c r="G113" s="9"/>
      <c r="H113" s="9"/>
      <c r="I113" s="7"/>
      <c r="J113" s="7"/>
      <c r="K113" s="7">
        <f ca="1">IFERROR(IF(COUNTA(J$56:J113)=J$54,J113,FORECAST(D113,OFFSET(M$56:M$254,MATCH(D113,L$56:L$254,1)-1,0,2), OFFSET(L$56:L$254,MATCH(D113,L$56:L$254,1)-1,0,2))),"")</f>
        <v>0</v>
      </c>
      <c r="L113" s="7" t="str">
        <f t="array" ref="L113">IFERROR(INDEX(D$56:D$1054,SMALL(IF(ISNUMBER(J$56:J$1054),ROW(D$1:D$999),""),ROW(D58))),"")</f>
        <v/>
      </c>
      <c r="M113" s="7" t="str">
        <f t="array" ref="M113">IFERROR(INDEX(J$56:J$1054,SMALL(IF(ISNUMBER(J$56:J$1054),ROW(J$1:J$999),""),ROW(J58))),"")</f>
        <v/>
      </c>
      <c r="N113" s="7"/>
      <c r="O113" s="7"/>
      <c r="P113" s="7"/>
      <c r="Q113" s="7">
        <f ca="1">IFERROR(IF(COUNTA(P$56:P113)=P$54,P113,FORECAST(D113,OFFSET(S$56:S$254,MATCH(D113,R$56:R$254,1)-1,0,2), OFFSET(R$56:R$254,MATCH(D113,R$56:R$254,1)-1,0,2))),"")</f>
        <v>0</v>
      </c>
      <c r="R113" s="7" t="str">
        <f t="array" ref="R113">IFERROR(INDEX(E$56:E$1054,SMALL(IF(ISNUMBER(P$56:P$1054),ROW(E$1:E$999),""),ROW(J58))),"")</f>
        <v/>
      </c>
      <c r="S113" s="7" t="str">
        <f t="array" ref="S113">IFERROR(INDEX(P$56:P$1054,SMALL(IF(ISNUMBER(P$56:P$1054),ROW(P$1:P$999),""),ROW(P58))),"")</f>
        <v/>
      </c>
      <c r="T113" s="7"/>
      <c r="U113" s="7"/>
      <c r="V113" s="7"/>
    </row>
    <row r="114" spans="1:22" x14ac:dyDescent="0.25">
      <c r="A114" s="6"/>
      <c r="B114" s="7"/>
      <c r="C114" s="7"/>
      <c r="D114" s="7"/>
      <c r="E114" s="8">
        <f t="shared" si="0"/>
        <v>0</v>
      </c>
      <c r="F114" s="9"/>
      <c r="G114" s="9"/>
      <c r="H114" s="9"/>
      <c r="I114" s="7"/>
      <c r="J114" s="7"/>
      <c r="K114" s="7">
        <f ca="1">IFERROR(IF(COUNTA(J$56:J114)=J$54,J114,FORECAST(D114,OFFSET(M$56:M$254,MATCH(D114,L$56:L$254,1)-1,0,2), OFFSET(L$56:L$254,MATCH(D114,L$56:L$254,1)-1,0,2))),"")</f>
        <v>0</v>
      </c>
      <c r="L114" s="7" t="str">
        <f t="array" ref="L114">IFERROR(INDEX(D$56:D$1054,SMALL(IF(ISNUMBER(J$56:J$1054),ROW(D$1:D$999),""),ROW(D59))),"")</f>
        <v/>
      </c>
      <c r="M114" s="7" t="str">
        <f t="array" ref="M114">IFERROR(INDEX(J$56:J$1054,SMALL(IF(ISNUMBER(J$56:J$1054),ROW(J$1:J$999),""),ROW(J59))),"")</f>
        <v/>
      </c>
      <c r="N114" s="7"/>
      <c r="O114" s="7"/>
      <c r="P114" s="7"/>
      <c r="Q114" s="7">
        <f ca="1">IFERROR(IF(COUNTA(P$56:P114)=P$54,P114,FORECAST(D114,OFFSET(S$56:S$254,MATCH(D114,R$56:R$254,1)-1,0,2), OFFSET(R$56:R$254,MATCH(D114,R$56:R$254,1)-1,0,2))),"")</f>
        <v>0</v>
      </c>
      <c r="R114" s="7" t="str">
        <f t="array" ref="R114">IFERROR(INDEX(E$56:E$1054,SMALL(IF(ISNUMBER(P$56:P$1054),ROW(E$1:E$999),""),ROW(J59))),"")</f>
        <v/>
      </c>
      <c r="S114" s="7" t="str">
        <f t="array" ref="S114">IFERROR(INDEX(P$56:P$1054,SMALL(IF(ISNUMBER(P$56:P$1054),ROW(P$1:P$999),""),ROW(P59))),"")</f>
        <v/>
      </c>
      <c r="T114" s="7"/>
      <c r="U114" s="7"/>
      <c r="V114" s="7"/>
    </row>
    <row r="115" spans="1:22" x14ac:dyDescent="0.25">
      <c r="A115" s="6"/>
      <c r="B115" s="7"/>
      <c r="C115" s="7"/>
      <c r="D115" s="7"/>
      <c r="E115" s="8">
        <f t="shared" si="0"/>
        <v>0</v>
      </c>
      <c r="F115" s="9"/>
      <c r="G115" s="9"/>
      <c r="H115" s="9"/>
      <c r="I115" s="7"/>
      <c r="J115" s="7"/>
      <c r="K115" s="7">
        <f ca="1">IFERROR(IF(COUNTA(J$56:J115)=J$54,J115,FORECAST(D115,OFFSET(M$56:M$254,MATCH(D115,L$56:L$254,1)-1,0,2), OFFSET(L$56:L$254,MATCH(D115,L$56:L$254,1)-1,0,2))),"")</f>
        <v>0</v>
      </c>
      <c r="L115" s="7" t="str">
        <f t="array" ref="L115">IFERROR(INDEX(D$56:D$1054,SMALL(IF(ISNUMBER(J$56:J$1054),ROW(D$1:D$999),""),ROW(D60))),"")</f>
        <v/>
      </c>
      <c r="M115" s="7" t="str">
        <f t="array" ref="M115">IFERROR(INDEX(J$56:J$1054,SMALL(IF(ISNUMBER(J$56:J$1054),ROW(J$1:J$999),""),ROW(J60))),"")</f>
        <v/>
      </c>
      <c r="N115" s="7"/>
      <c r="O115" s="7"/>
      <c r="P115" s="7"/>
      <c r="Q115" s="7">
        <f ca="1">IFERROR(IF(COUNTA(P$56:P115)=P$54,P115,FORECAST(D115,OFFSET(S$56:S$254,MATCH(D115,R$56:R$254,1)-1,0,2), OFFSET(R$56:R$254,MATCH(D115,R$56:R$254,1)-1,0,2))),"")</f>
        <v>0</v>
      </c>
      <c r="R115" s="7" t="str">
        <f t="array" ref="R115">IFERROR(INDEX(E$56:E$1054,SMALL(IF(ISNUMBER(P$56:P$1054),ROW(E$1:E$999),""),ROW(J60))),"")</f>
        <v/>
      </c>
      <c r="S115" s="7" t="str">
        <f t="array" ref="S115">IFERROR(INDEX(P$56:P$1054,SMALL(IF(ISNUMBER(P$56:P$1054),ROW(P$1:P$999),""),ROW(P60))),"")</f>
        <v/>
      </c>
      <c r="T115" s="7"/>
      <c r="U115" s="7"/>
      <c r="V115" s="7"/>
    </row>
    <row r="116" spans="1:22" x14ac:dyDescent="0.25">
      <c r="A116" s="6"/>
      <c r="B116" s="7"/>
      <c r="C116" s="7"/>
      <c r="D116" s="7"/>
      <c r="E116" s="8">
        <f t="shared" si="0"/>
        <v>0</v>
      </c>
      <c r="F116" s="9"/>
      <c r="G116" s="9"/>
      <c r="H116" s="9"/>
      <c r="I116" s="7"/>
      <c r="J116" s="7"/>
      <c r="K116" s="7">
        <f ca="1">IFERROR(IF(COUNTA(J$56:J116)=J$54,J116,FORECAST(D116,OFFSET(M$56:M$254,MATCH(D116,L$56:L$254,1)-1,0,2), OFFSET(L$56:L$254,MATCH(D116,L$56:L$254,1)-1,0,2))),"")</f>
        <v>0</v>
      </c>
      <c r="L116" s="7" t="str">
        <f t="array" ref="L116">IFERROR(INDEX(D$56:D$1054,SMALL(IF(ISNUMBER(J$56:J$1054),ROW(D$1:D$999),""),ROW(D61))),"")</f>
        <v/>
      </c>
      <c r="M116" s="7" t="str">
        <f t="array" ref="M116">IFERROR(INDEX(J$56:J$1054,SMALL(IF(ISNUMBER(J$56:J$1054),ROW(J$1:J$999),""),ROW(J61))),"")</f>
        <v/>
      </c>
      <c r="N116" s="7"/>
      <c r="O116" s="7"/>
      <c r="P116" s="7"/>
      <c r="Q116" s="7">
        <f ca="1">IFERROR(IF(COUNTA(P$56:P116)=P$54,P116,FORECAST(D116,OFFSET(S$56:S$254,MATCH(D116,R$56:R$254,1)-1,0,2), OFFSET(R$56:R$254,MATCH(D116,R$56:R$254,1)-1,0,2))),"")</f>
        <v>0</v>
      </c>
      <c r="R116" s="7" t="str">
        <f t="array" ref="R116">IFERROR(INDEX(E$56:E$1054,SMALL(IF(ISNUMBER(P$56:P$1054),ROW(E$1:E$999),""),ROW(J61))),"")</f>
        <v/>
      </c>
      <c r="S116" s="7" t="str">
        <f t="array" ref="S116">IFERROR(INDEX(P$56:P$1054,SMALL(IF(ISNUMBER(P$56:P$1054),ROW(P$1:P$999),""),ROW(P61))),"")</f>
        <v/>
      </c>
      <c r="T116" s="7"/>
      <c r="U116" s="7"/>
      <c r="V116" s="7"/>
    </row>
    <row r="117" spans="1:22" x14ac:dyDescent="0.25">
      <c r="A117" s="6"/>
      <c r="B117" s="7"/>
      <c r="C117" s="7"/>
      <c r="D117" s="7"/>
      <c r="E117" s="8">
        <f t="shared" si="0"/>
        <v>0</v>
      </c>
      <c r="F117" s="9"/>
      <c r="G117" s="9"/>
      <c r="H117" s="9"/>
      <c r="I117" s="7"/>
      <c r="J117" s="7"/>
      <c r="K117" s="7">
        <f ca="1">IFERROR(IF(COUNTA(J$56:J117)=J$54,J117,FORECAST(D117,OFFSET(M$56:M$254,MATCH(D117,L$56:L$254,1)-1,0,2), OFFSET(L$56:L$254,MATCH(D117,L$56:L$254,1)-1,0,2))),"")</f>
        <v>0</v>
      </c>
      <c r="L117" s="7" t="str">
        <f t="array" ref="L117">IFERROR(INDEX(D$56:D$1054,SMALL(IF(ISNUMBER(J$56:J$1054),ROW(D$1:D$999),""),ROW(D62))),"")</f>
        <v/>
      </c>
      <c r="M117" s="7" t="str">
        <f t="array" ref="M117">IFERROR(INDEX(J$56:J$1054,SMALL(IF(ISNUMBER(J$56:J$1054),ROW(J$1:J$999),""),ROW(J62))),"")</f>
        <v/>
      </c>
      <c r="N117" s="7"/>
      <c r="O117" s="7"/>
      <c r="P117" s="7"/>
      <c r="Q117" s="7">
        <f ca="1">IFERROR(IF(COUNTA(P$56:P117)=P$54,P117,FORECAST(D117,OFFSET(S$56:S$254,MATCH(D117,R$56:R$254,1)-1,0,2), OFFSET(R$56:R$254,MATCH(D117,R$56:R$254,1)-1,0,2))),"")</f>
        <v>0</v>
      </c>
      <c r="R117" s="7" t="str">
        <f t="array" ref="R117">IFERROR(INDEX(E$56:E$1054,SMALL(IF(ISNUMBER(P$56:P$1054),ROW(E$1:E$999),""),ROW(J62))),"")</f>
        <v/>
      </c>
      <c r="S117" s="7" t="str">
        <f t="array" ref="S117">IFERROR(INDEX(P$56:P$1054,SMALL(IF(ISNUMBER(P$56:P$1054),ROW(P$1:P$999),""),ROW(P62))),"")</f>
        <v/>
      </c>
      <c r="T117" s="7"/>
      <c r="U117" s="7"/>
      <c r="V117" s="7"/>
    </row>
    <row r="118" spans="1:22" x14ac:dyDescent="0.25">
      <c r="A118" s="6"/>
      <c r="B118" s="7"/>
      <c r="C118" s="7"/>
      <c r="D118" s="7"/>
      <c r="E118" s="8">
        <f t="shared" si="0"/>
        <v>0</v>
      </c>
      <c r="F118" s="9"/>
      <c r="G118" s="9"/>
      <c r="H118" s="9"/>
      <c r="I118" s="7"/>
      <c r="J118" s="7"/>
      <c r="K118" s="7">
        <f ca="1">IFERROR(IF(COUNTA(J$56:J118)=J$54,J118,FORECAST(D118,OFFSET(M$56:M$254,MATCH(D118,L$56:L$254,1)-1,0,2), OFFSET(L$56:L$254,MATCH(D118,L$56:L$254,1)-1,0,2))),"")</f>
        <v>0</v>
      </c>
      <c r="L118" s="7" t="str">
        <f t="array" ref="L118">IFERROR(INDEX(D$56:D$1054,SMALL(IF(ISNUMBER(J$56:J$1054),ROW(D$1:D$999),""),ROW(D63))),"")</f>
        <v/>
      </c>
      <c r="M118" s="7" t="str">
        <f t="array" ref="M118">IFERROR(INDEX(J$56:J$1054,SMALL(IF(ISNUMBER(J$56:J$1054),ROW(J$1:J$999),""),ROW(J63))),"")</f>
        <v/>
      </c>
      <c r="N118" s="7"/>
      <c r="O118" s="7"/>
      <c r="P118" s="7"/>
      <c r="Q118" s="7">
        <f ca="1">IFERROR(IF(COUNTA(P$56:P118)=P$54,P118,FORECAST(D118,OFFSET(S$56:S$254,MATCH(D118,R$56:R$254,1)-1,0,2), OFFSET(R$56:R$254,MATCH(D118,R$56:R$254,1)-1,0,2))),"")</f>
        <v>0</v>
      </c>
      <c r="R118" s="7" t="str">
        <f t="array" ref="R118">IFERROR(INDEX(E$56:E$1054,SMALL(IF(ISNUMBER(P$56:P$1054),ROW(E$1:E$999),""),ROW(J63))),"")</f>
        <v/>
      </c>
      <c r="S118" s="7" t="str">
        <f t="array" ref="S118">IFERROR(INDEX(P$56:P$1054,SMALL(IF(ISNUMBER(P$56:P$1054),ROW(P$1:P$999),""),ROW(P63))),"")</f>
        <v/>
      </c>
      <c r="T118" s="7"/>
      <c r="U118" s="7"/>
      <c r="V118" s="7"/>
    </row>
    <row r="119" spans="1:22" x14ac:dyDescent="0.25">
      <c r="A119" s="6"/>
      <c r="B119" s="7"/>
      <c r="C119" s="7"/>
      <c r="D119" s="7"/>
      <c r="E119" s="8">
        <f t="shared" si="0"/>
        <v>0</v>
      </c>
      <c r="F119" s="9"/>
      <c r="G119" s="9"/>
      <c r="H119" s="9"/>
      <c r="I119" s="7"/>
      <c r="J119" s="7"/>
      <c r="K119" s="7">
        <f ca="1">IFERROR(IF(COUNTA(J$56:J119)=J$54,J119,FORECAST(D119,OFFSET(M$56:M$254,MATCH(D119,L$56:L$254,1)-1,0,2), OFFSET(L$56:L$254,MATCH(D119,L$56:L$254,1)-1,0,2))),"")</f>
        <v>0</v>
      </c>
      <c r="L119" s="7" t="str">
        <f t="array" ref="L119">IFERROR(INDEX(D$56:D$1054,SMALL(IF(ISNUMBER(J$56:J$1054),ROW(D$1:D$999),""),ROW(D64))),"")</f>
        <v/>
      </c>
      <c r="M119" s="7" t="str">
        <f t="array" ref="M119">IFERROR(INDEX(J$56:J$1054,SMALL(IF(ISNUMBER(J$56:J$1054),ROW(J$1:J$999),""),ROW(J64))),"")</f>
        <v/>
      </c>
      <c r="N119" s="7"/>
      <c r="O119" s="7"/>
      <c r="P119" s="7"/>
      <c r="Q119" s="7">
        <f ca="1">IFERROR(IF(COUNTA(P$56:P119)=P$54,P119,FORECAST(D119,OFFSET(S$56:S$254,MATCH(D119,R$56:R$254,1)-1,0,2), OFFSET(R$56:R$254,MATCH(D119,R$56:R$254,1)-1,0,2))),"")</f>
        <v>0</v>
      </c>
      <c r="R119" s="7" t="str">
        <f t="array" ref="R119">IFERROR(INDEX(E$56:E$1054,SMALL(IF(ISNUMBER(P$56:P$1054),ROW(E$1:E$999),""),ROW(J64))),"")</f>
        <v/>
      </c>
      <c r="S119" s="7" t="str">
        <f t="array" ref="S119">IFERROR(INDEX(P$56:P$1054,SMALL(IF(ISNUMBER(P$56:P$1054),ROW(P$1:P$999),""),ROW(P64))),"")</f>
        <v/>
      </c>
      <c r="T119" s="7"/>
      <c r="U119" s="7"/>
      <c r="V119" s="7"/>
    </row>
    <row r="120" spans="1:22" x14ac:dyDescent="0.25">
      <c r="A120" s="6"/>
      <c r="B120" s="7"/>
      <c r="C120" s="7"/>
      <c r="D120" s="7"/>
      <c r="E120" s="8">
        <f t="shared" si="0"/>
        <v>0</v>
      </c>
      <c r="F120" s="9"/>
      <c r="G120" s="9"/>
      <c r="H120" s="9"/>
      <c r="I120" s="7"/>
      <c r="J120" s="7"/>
      <c r="K120" s="7">
        <f ca="1">IFERROR(IF(COUNTA(J$56:J120)=J$54,J120,FORECAST(D120,OFFSET(M$56:M$254,MATCH(D120,L$56:L$254,1)-1,0,2), OFFSET(L$56:L$254,MATCH(D120,L$56:L$254,1)-1,0,2))),"")</f>
        <v>0</v>
      </c>
      <c r="L120" s="7" t="str">
        <f t="array" ref="L120">IFERROR(INDEX(D$56:D$1054,SMALL(IF(ISNUMBER(J$56:J$1054),ROW(D$1:D$999),""),ROW(D65))),"")</f>
        <v/>
      </c>
      <c r="M120" s="7" t="str">
        <f t="array" ref="M120">IFERROR(INDEX(J$56:J$1054,SMALL(IF(ISNUMBER(J$56:J$1054),ROW(J$1:J$999),""),ROW(J65))),"")</f>
        <v/>
      </c>
      <c r="N120" s="7"/>
      <c r="O120" s="7"/>
      <c r="P120" s="7"/>
      <c r="Q120" s="7">
        <f ca="1">IFERROR(IF(COUNTA(P$56:P120)=P$54,P120,FORECAST(D120,OFFSET(S$56:S$254,MATCH(D120,R$56:R$254,1)-1,0,2), OFFSET(R$56:R$254,MATCH(D120,R$56:R$254,1)-1,0,2))),"")</f>
        <v>0</v>
      </c>
      <c r="R120" s="7" t="str">
        <f t="array" ref="R120">IFERROR(INDEX(E$56:E$1054,SMALL(IF(ISNUMBER(P$56:P$1054),ROW(E$1:E$999),""),ROW(J65))),"")</f>
        <v/>
      </c>
      <c r="S120" s="7" t="str">
        <f t="array" ref="S120">IFERROR(INDEX(P$56:P$1054,SMALL(IF(ISNUMBER(P$56:P$1054),ROW(P$1:P$999),""),ROW(P65))),"")</f>
        <v/>
      </c>
      <c r="T120" s="7"/>
      <c r="U120" s="7"/>
      <c r="V120" s="7"/>
    </row>
    <row r="121" spans="1:22" x14ac:dyDescent="0.25">
      <c r="A121" s="6"/>
      <c r="B121" s="7"/>
      <c r="C121" s="7"/>
      <c r="D121" s="7"/>
      <c r="E121" s="8">
        <f t="shared" si="0"/>
        <v>0</v>
      </c>
      <c r="F121" s="9"/>
      <c r="G121" s="9"/>
      <c r="H121" s="9"/>
      <c r="I121" s="7"/>
      <c r="J121" s="7"/>
      <c r="K121" s="7">
        <f ca="1">IFERROR(IF(COUNTA(J$56:J121)=J$54,J121,FORECAST(D121,OFFSET(M$56:M$254,MATCH(D121,L$56:L$254,1)-1,0,2), OFFSET(L$56:L$254,MATCH(D121,L$56:L$254,1)-1,0,2))),"")</f>
        <v>0</v>
      </c>
      <c r="L121" s="7" t="str">
        <f t="array" ref="L121">IFERROR(INDEX(D$56:D$1054,SMALL(IF(ISNUMBER(J$56:J$1054),ROW(D$1:D$999),""),ROW(D66))),"")</f>
        <v/>
      </c>
      <c r="M121" s="7" t="str">
        <f t="array" ref="M121">IFERROR(INDEX(J$56:J$1054,SMALL(IF(ISNUMBER(J$56:J$1054),ROW(J$1:J$999),""),ROW(J66))),"")</f>
        <v/>
      </c>
      <c r="N121" s="7"/>
      <c r="O121" s="7"/>
      <c r="P121" s="7"/>
      <c r="Q121" s="7">
        <f ca="1">IFERROR(IF(COUNTA(P$56:P121)=P$54,P121,FORECAST(D121,OFFSET(S$56:S$254,MATCH(D121,R$56:R$254,1)-1,0,2), OFFSET(R$56:R$254,MATCH(D121,R$56:R$254,1)-1,0,2))),"")</f>
        <v>0</v>
      </c>
      <c r="R121" s="7" t="str">
        <f t="array" ref="R121">IFERROR(INDEX(E$56:E$1054,SMALL(IF(ISNUMBER(P$56:P$1054),ROW(E$1:E$999),""),ROW(J66))),"")</f>
        <v/>
      </c>
      <c r="S121" s="7" t="str">
        <f t="array" ref="S121">IFERROR(INDEX(P$56:P$1054,SMALL(IF(ISNUMBER(P$56:P$1054),ROW(P$1:P$999),""),ROW(P66))),"")</f>
        <v/>
      </c>
      <c r="T121" s="7"/>
      <c r="U121" s="7"/>
      <c r="V121" s="7"/>
    </row>
    <row r="122" spans="1:22" x14ac:dyDescent="0.25">
      <c r="A122" s="6"/>
      <c r="B122" s="7"/>
      <c r="C122" s="7"/>
      <c r="D122" s="7"/>
      <c r="E122" s="8">
        <f t="shared" ref="E122:E185" si="1">IF(NOT(ISBLANK(D122)),D122+C$54,0)</f>
        <v>0</v>
      </c>
      <c r="F122" s="9"/>
      <c r="G122" s="9"/>
      <c r="H122" s="9"/>
      <c r="I122" s="7"/>
      <c r="J122" s="7"/>
      <c r="K122" s="7">
        <f ca="1">IFERROR(IF(COUNTA(J$56:J122)=J$54,J122,FORECAST(D122,OFFSET(M$56:M$254,MATCH(D122,L$56:L$254,1)-1,0,2), OFFSET(L$56:L$254,MATCH(D122,L$56:L$254,1)-1,0,2))),"")</f>
        <v>0</v>
      </c>
      <c r="L122" s="7" t="str">
        <f t="array" ref="L122">IFERROR(INDEX(D$56:D$1054,SMALL(IF(ISNUMBER(J$56:J$1054),ROW(D$1:D$999),""),ROW(D67))),"")</f>
        <v/>
      </c>
      <c r="M122" s="7" t="str">
        <f t="array" ref="M122">IFERROR(INDEX(J$56:J$1054,SMALL(IF(ISNUMBER(J$56:J$1054),ROW(J$1:J$999),""),ROW(J67))),"")</f>
        <v/>
      </c>
      <c r="N122" s="7"/>
      <c r="O122" s="7"/>
      <c r="P122" s="7"/>
      <c r="Q122" s="7">
        <f ca="1">IFERROR(IF(COUNTA(P$56:P122)=P$54,P122,FORECAST(D122,OFFSET(S$56:S$254,MATCH(D122,R$56:R$254,1)-1,0,2), OFFSET(R$56:R$254,MATCH(D122,R$56:R$254,1)-1,0,2))),"")</f>
        <v>0</v>
      </c>
      <c r="R122" s="7" t="str">
        <f t="array" ref="R122">IFERROR(INDEX(E$56:E$1054,SMALL(IF(ISNUMBER(P$56:P$1054),ROW(E$1:E$999),""),ROW(J67))),"")</f>
        <v/>
      </c>
      <c r="S122" s="7" t="str">
        <f t="array" ref="S122">IFERROR(INDEX(P$56:P$1054,SMALL(IF(ISNUMBER(P$56:P$1054),ROW(P$1:P$999),""),ROW(P67))),"")</f>
        <v/>
      </c>
      <c r="T122" s="7"/>
      <c r="U122" s="7"/>
      <c r="V122" s="7"/>
    </row>
    <row r="123" spans="1:22" x14ac:dyDescent="0.25">
      <c r="A123" s="6"/>
      <c r="B123" s="7"/>
      <c r="C123" s="7"/>
      <c r="D123" s="7"/>
      <c r="E123" s="8">
        <f t="shared" si="1"/>
        <v>0</v>
      </c>
      <c r="F123" s="9"/>
      <c r="G123" s="9"/>
      <c r="H123" s="9"/>
      <c r="I123" s="7"/>
      <c r="J123" s="7"/>
      <c r="K123" s="7">
        <f ca="1">IFERROR(IF(COUNTA(J$56:J123)=J$54,J123,FORECAST(D123,OFFSET(M$56:M$254,MATCH(D123,L$56:L$254,1)-1,0,2), OFFSET(L$56:L$254,MATCH(D123,L$56:L$254,1)-1,0,2))),"")</f>
        <v>0</v>
      </c>
      <c r="L123" s="7" t="str">
        <f t="array" ref="L123">IFERROR(INDEX(D$56:D$1054,SMALL(IF(ISNUMBER(J$56:J$1054),ROW(D$1:D$999),""),ROW(D68))),"")</f>
        <v/>
      </c>
      <c r="M123" s="7" t="str">
        <f t="array" ref="M123">IFERROR(INDEX(J$56:J$1054,SMALL(IF(ISNUMBER(J$56:J$1054),ROW(J$1:J$999),""),ROW(J68))),"")</f>
        <v/>
      </c>
      <c r="N123" s="7"/>
      <c r="O123" s="7"/>
      <c r="P123" s="7"/>
      <c r="Q123" s="7">
        <f ca="1">IFERROR(IF(COUNTA(P$56:P123)=P$54,P123,FORECAST(D123,OFFSET(S$56:S$254,MATCH(D123,R$56:R$254,1)-1,0,2), OFFSET(R$56:R$254,MATCH(D123,R$56:R$254,1)-1,0,2))),"")</f>
        <v>0</v>
      </c>
      <c r="R123" s="7" t="str">
        <f t="array" ref="R123">IFERROR(INDEX(E$56:E$1054,SMALL(IF(ISNUMBER(P$56:P$1054),ROW(E$1:E$999),""),ROW(J68))),"")</f>
        <v/>
      </c>
      <c r="S123" s="7" t="str">
        <f t="array" ref="S123">IFERROR(INDEX(P$56:P$1054,SMALL(IF(ISNUMBER(P$56:P$1054),ROW(P$1:P$999),""),ROW(P68))),"")</f>
        <v/>
      </c>
      <c r="T123" s="7"/>
      <c r="U123" s="7"/>
      <c r="V123" s="7"/>
    </row>
    <row r="124" spans="1:22" x14ac:dyDescent="0.25">
      <c r="A124" s="6"/>
      <c r="B124" s="7"/>
      <c r="C124" s="7"/>
      <c r="D124" s="7"/>
      <c r="E124" s="8">
        <f t="shared" si="1"/>
        <v>0</v>
      </c>
      <c r="F124" s="9"/>
      <c r="G124" s="9"/>
      <c r="H124" s="9"/>
      <c r="I124" s="7"/>
      <c r="J124" s="7"/>
      <c r="K124" s="7">
        <f ca="1">IFERROR(IF(COUNTA(J$56:J124)=J$54,J124,FORECAST(D124,OFFSET(M$56:M$254,MATCH(D124,L$56:L$254,1)-1,0,2), OFFSET(L$56:L$254,MATCH(D124,L$56:L$254,1)-1,0,2))),"")</f>
        <v>0</v>
      </c>
      <c r="L124" s="7" t="str">
        <f t="array" ref="L124">IFERROR(INDEX(D$56:D$1054,SMALL(IF(ISNUMBER(J$56:J$1054),ROW(D$1:D$999),""),ROW(D69))),"")</f>
        <v/>
      </c>
      <c r="M124" s="7" t="str">
        <f t="array" ref="M124">IFERROR(INDEX(J$56:J$1054,SMALL(IF(ISNUMBER(J$56:J$1054),ROW(J$1:J$999),""),ROW(J69))),"")</f>
        <v/>
      </c>
      <c r="N124" s="7"/>
      <c r="O124" s="7"/>
      <c r="P124" s="7"/>
      <c r="Q124" s="7">
        <f ca="1">IFERROR(IF(COUNTA(P$56:P124)=P$54,P124,FORECAST(D124,OFFSET(S$56:S$254,MATCH(D124,R$56:R$254,1)-1,0,2), OFFSET(R$56:R$254,MATCH(D124,R$56:R$254,1)-1,0,2))),"")</f>
        <v>0</v>
      </c>
      <c r="R124" s="7" t="str">
        <f t="array" ref="R124">IFERROR(INDEX(E$56:E$1054,SMALL(IF(ISNUMBER(P$56:P$1054),ROW(E$1:E$999),""),ROW(J69))),"")</f>
        <v/>
      </c>
      <c r="S124" s="7" t="str">
        <f t="array" ref="S124">IFERROR(INDEX(P$56:P$1054,SMALL(IF(ISNUMBER(P$56:P$1054),ROW(P$1:P$999),""),ROW(P69))),"")</f>
        <v/>
      </c>
      <c r="T124" s="7"/>
      <c r="U124" s="7"/>
      <c r="V124" s="7"/>
    </row>
    <row r="125" spans="1:22" x14ac:dyDescent="0.25">
      <c r="A125" s="6"/>
      <c r="B125" s="7"/>
      <c r="C125" s="7"/>
      <c r="D125" s="7"/>
      <c r="E125" s="8">
        <f t="shared" si="1"/>
        <v>0</v>
      </c>
      <c r="F125" s="9"/>
      <c r="G125" s="9"/>
      <c r="H125" s="9"/>
      <c r="I125" s="7"/>
      <c r="J125" s="7"/>
      <c r="K125" s="7">
        <f ca="1">IFERROR(IF(COUNTA(J$56:J125)=J$54,J125,FORECAST(D125,OFFSET(M$56:M$254,MATCH(D125,L$56:L$254,1)-1,0,2), OFFSET(L$56:L$254,MATCH(D125,L$56:L$254,1)-1,0,2))),"")</f>
        <v>0</v>
      </c>
      <c r="L125" s="7" t="str">
        <f t="array" ref="L125">IFERROR(INDEX(D$56:D$1054,SMALL(IF(ISNUMBER(J$56:J$1054),ROW(D$1:D$999),""),ROW(D70))),"")</f>
        <v/>
      </c>
      <c r="M125" s="7" t="str">
        <f t="array" ref="M125">IFERROR(INDEX(J$56:J$1054,SMALL(IF(ISNUMBER(J$56:J$1054),ROW(J$1:J$999),""),ROW(J70))),"")</f>
        <v/>
      </c>
      <c r="N125" s="7"/>
      <c r="O125" s="7"/>
      <c r="P125" s="7"/>
      <c r="Q125" s="7">
        <f ca="1">IFERROR(IF(COUNTA(P$56:P125)=P$54,P125,FORECAST(D125,OFFSET(S$56:S$254,MATCH(D125,R$56:R$254,1)-1,0,2), OFFSET(R$56:R$254,MATCH(D125,R$56:R$254,1)-1,0,2))),"")</f>
        <v>0</v>
      </c>
      <c r="R125" s="7" t="str">
        <f t="array" ref="R125">IFERROR(INDEX(E$56:E$1054,SMALL(IF(ISNUMBER(P$56:P$1054),ROW(E$1:E$999),""),ROW(J70))),"")</f>
        <v/>
      </c>
      <c r="S125" s="7" t="str">
        <f t="array" ref="S125">IFERROR(INDEX(P$56:P$1054,SMALL(IF(ISNUMBER(P$56:P$1054),ROW(P$1:P$999),""),ROW(P70))),"")</f>
        <v/>
      </c>
      <c r="T125" s="7"/>
      <c r="U125" s="7"/>
      <c r="V125" s="7"/>
    </row>
    <row r="126" spans="1:22" x14ac:dyDescent="0.25">
      <c r="A126" s="6"/>
      <c r="B126" s="7"/>
      <c r="C126" s="7"/>
      <c r="D126" s="7"/>
      <c r="E126" s="8">
        <f t="shared" si="1"/>
        <v>0</v>
      </c>
      <c r="F126" s="9"/>
      <c r="G126" s="9"/>
      <c r="H126" s="9"/>
      <c r="I126" s="7"/>
      <c r="J126" s="7"/>
      <c r="K126" s="7">
        <f ca="1">IFERROR(IF(COUNTA(J$56:J126)=J$54,J126,FORECAST(D126,OFFSET(M$56:M$254,MATCH(D126,L$56:L$254,1)-1,0,2), OFFSET(L$56:L$254,MATCH(D126,L$56:L$254,1)-1,0,2))),"")</f>
        <v>0</v>
      </c>
      <c r="L126" s="7" t="str">
        <f t="array" ref="L126">IFERROR(INDEX(D$56:D$1054,SMALL(IF(ISNUMBER(J$56:J$1054),ROW(D$1:D$999),""),ROW(D71))),"")</f>
        <v/>
      </c>
      <c r="M126" s="7" t="str">
        <f t="array" ref="M126">IFERROR(INDEX(J$56:J$1054,SMALL(IF(ISNUMBER(J$56:J$1054),ROW(J$1:J$999),""),ROW(J71))),"")</f>
        <v/>
      </c>
      <c r="N126" s="7"/>
      <c r="O126" s="7"/>
      <c r="P126" s="7"/>
      <c r="Q126" s="7">
        <f ca="1">IFERROR(IF(COUNTA(P$56:P126)=P$54,P126,FORECAST(D126,OFFSET(S$56:S$254,MATCH(D126,R$56:R$254,1)-1,0,2), OFFSET(R$56:R$254,MATCH(D126,R$56:R$254,1)-1,0,2))),"")</f>
        <v>0</v>
      </c>
      <c r="R126" s="7" t="str">
        <f t="array" ref="R126">IFERROR(INDEX(E$56:E$1054,SMALL(IF(ISNUMBER(P$56:P$1054),ROW(E$1:E$999),""),ROW(J71))),"")</f>
        <v/>
      </c>
      <c r="S126" s="7" t="str">
        <f t="array" ref="S126">IFERROR(INDEX(P$56:P$1054,SMALL(IF(ISNUMBER(P$56:P$1054),ROW(P$1:P$999),""),ROW(P71))),"")</f>
        <v/>
      </c>
      <c r="T126" s="7"/>
      <c r="U126" s="7"/>
      <c r="V126" s="7"/>
    </row>
    <row r="127" spans="1:22" x14ac:dyDescent="0.25">
      <c r="A127" s="6"/>
      <c r="B127" s="7"/>
      <c r="C127" s="7"/>
      <c r="D127" s="7"/>
      <c r="E127" s="8">
        <f t="shared" si="1"/>
        <v>0</v>
      </c>
      <c r="F127" s="9"/>
      <c r="G127" s="9"/>
      <c r="H127" s="9"/>
      <c r="I127" s="7"/>
      <c r="J127" s="7"/>
      <c r="K127" s="7">
        <f ca="1">IFERROR(IF(COUNTA(J$56:J127)=J$54,J127,FORECAST(D127,OFFSET(M$56:M$254,MATCH(D127,L$56:L$254,1)-1,0,2), OFFSET(L$56:L$254,MATCH(D127,L$56:L$254,1)-1,0,2))),"")</f>
        <v>0</v>
      </c>
      <c r="L127" s="7" t="str">
        <f t="array" ref="L127">IFERROR(INDEX(D$56:D$1054,SMALL(IF(ISNUMBER(J$56:J$1054),ROW(D$1:D$999),""),ROW(D72))),"")</f>
        <v/>
      </c>
      <c r="M127" s="7" t="str">
        <f t="array" ref="M127">IFERROR(INDEX(J$56:J$1054,SMALL(IF(ISNUMBER(J$56:J$1054),ROW(J$1:J$999),""),ROW(J72))),"")</f>
        <v/>
      </c>
      <c r="N127" s="7"/>
      <c r="O127" s="7"/>
      <c r="P127" s="7"/>
      <c r="Q127" s="7">
        <f ca="1">IFERROR(IF(COUNTA(P$56:P127)=P$54,P127,FORECAST(D127,OFFSET(S$56:S$254,MATCH(D127,R$56:R$254,1)-1,0,2), OFFSET(R$56:R$254,MATCH(D127,R$56:R$254,1)-1,0,2))),"")</f>
        <v>0</v>
      </c>
      <c r="R127" s="7" t="str">
        <f t="array" ref="R127">IFERROR(INDEX(E$56:E$1054,SMALL(IF(ISNUMBER(P$56:P$1054),ROW(E$1:E$999),""),ROW(J72))),"")</f>
        <v/>
      </c>
      <c r="S127" s="7" t="str">
        <f t="array" ref="S127">IFERROR(INDEX(P$56:P$1054,SMALL(IF(ISNUMBER(P$56:P$1054),ROW(P$1:P$999),""),ROW(P72))),"")</f>
        <v/>
      </c>
      <c r="T127" s="7"/>
      <c r="U127" s="7"/>
      <c r="V127" s="7"/>
    </row>
    <row r="128" spans="1:22" x14ac:dyDescent="0.25">
      <c r="A128" s="6"/>
      <c r="B128" s="7"/>
      <c r="C128" s="7"/>
      <c r="D128" s="7"/>
      <c r="E128" s="8">
        <f t="shared" si="1"/>
        <v>0</v>
      </c>
      <c r="F128" s="9"/>
      <c r="G128" s="9"/>
      <c r="H128" s="9"/>
      <c r="I128" s="7"/>
      <c r="J128" s="7"/>
      <c r="K128" s="7">
        <f ca="1">IFERROR(IF(COUNTA(J$56:J128)=J$54,J128,FORECAST(D128,OFFSET(M$56:M$254,MATCH(D128,L$56:L$254,1)-1,0,2), OFFSET(L$56:L$254,MATCH(D128,L$56:L$254,1)-1,0,2))),"")</f>
        <v>0</v>
      </c>
      <c r="L128" s="7" t="str">
        <f t="array" ref="L128">IFERROR(INDEX(D$56:D$1054,SMALL(IF(ISNUMBER(J$56:J$1054),ROW(D$1:D$999),""),ROW(D73))),"")</f>
        <v/>
      </c>
      <c r="M128" s="7" t="str">
        <f t="array" ref="M128">IFERROR(INDEX(J$56:J$1054,SMALL(IF(ISNUMBER(J$56:J$1054),ROW(J$1:J$999),""),ROW(J73))),"")</f>
        <v/>
      </c>
      <c r="N128" s="7"/>
      <c r="O128" s="7"/>
      <c r="P128" s="7"/>
      <c r="Q128" s="7">
        <f ca="1">IFERROR(IF(COUNTA(P$56:P128)=P$54,P128,FORECAST(D128,OFFSET(S$56:S$254,MATCH(D128,R$56:R$254,1)-1,0,2), OFFSET(R$56:R$254,MATCH(D128,R$56:R$254,1)-1,0,2))),"")</f>
        <v>0</v>
      </c>
      <c r="R128" s="7" t="str">
        <f t="array" ref="R128">IFERROR(INDEX(E$56:E$1054,SMALL(IF(ISNUMBER(P$56:P$1054),ROW(E$1:E$999),""),ROW(J73))),"")</f>
        <v/>
      </c>
      <c r="S128" s="7" t="str">
        <f t="array" ref="S128">IFERROR(INDEX(P$56:P$1054,SMALL(IF(ISNUMBER(P$56:P$1054),ROW(P$1:P$999),""),ROW(P73))),"")</f>
        <v/>
      </c>
      <c r="T128" s="7"/>
      <c r="U128" s="7"/>
      <c r="V128" s="7"/>
    </row>
    <row r="129" spans="1:22" x14ac:dyDescent="0.25">
      <c r="A129" s="6"/>
      <c r="B129" s="7"/>
      <c r="C129" s="7"/>
      <c r="D129" s="7"/>
      <c r="E129" s="8">
        <f t="shared" si="1"/>
        <v>0</v>
      </c>
      <c r="F129" s="10"/>
      <c r="G129" s="10"/>
      <c r="H129" s="9"/>
      <c r="I129" s="7"/>
      <c r="J129" s="7"/>
      <c r="K129" s="7">
        <f ca="1">IFERROR(IF(COUNTA(J$56:J129)=J$54,J129,FORECAST(D129,OFFSET(M$56:M$254,MATCH(D129,L$56:L$254,1)-1,0,2), OFFSET(L$56:L$254,MATCH(D129,L$56:L$254,1)-1,0,2))),"")</f>
        <v>0</v>
      </c>
      <c r="L129" s="7" t="str">
        <f t="array" ref="L129">IFERROR(INDEX(D$56:D$1054,SMALL(IF(ISNUMBER(J$56:J$1054),ROW(D$1:D$999),""),ROW(D74))),"")</f>
        <v/>
      </c>
      <c r="M129" s="7" t="str">
        <f t="array" ref="M129">IFERROR(INDEX(J$56:J$1054,SMALL(IF(ISNUMBER(J$56:J$1054),ROW(J$1:J$999),""),ROW(J74))),"")</f>
        <v/>
      </c>
      <c r="N129" s="7"/>
      <c r="O129" s="7"/>
      <c r="P129" s="7"/>
      <c r="Q129" s="7">
        <f ca="1">IFERROR(IF(COUNTA(P$56:P129)=P$54,P129,FORECAST(D129,OFFSET(S$56:S$254,MATCH(D129,R$56:R$254,1)-1,0,2), OFFSET(R$56:R$254,MATCH(D129,R$56:R$254,1)-1,0,2))),"")</f>
        <v>0</v>
      </c>
      <c r="R129" s="7" t="str">
        <f t="array" ref="R129">IFERROR(INDEX(E$56:E$1054,SMALL(IF(ISNUMBER(P$56:P$1054),ROW(E$1:E$999),""),ROW(J74))),"")</f>
        <v/>
      </c>
      <c r="S129" s="7" t="str">
        <f t="array" ref="S129">IFERROR(INDEX(P$56:P$1054,SMALL(IF(ISNUMBER(P$56:P$1054),ROW(P$1:P$999),""),ROW(P74))),"")</f>
        <v/>
      </c>
      <c r="T129" s="7"/>
      <c r="U129" s="7"/>
      <c r="V129" s="7"/>
    </row>
    <row r="130" spans="1:22" x14ac:dyDescent="0.25">
      <c r="A130" s="6"/>
      <c r="B130" s="7"/>
      <c r="C130" s="7"/>
      <c r="D130" s="7"/>
      <c r="E130" s="8">
        <f t="shared" si="1"/>
        <v>0</v>
      </c>
      <c r="F130" s="10"/>
      <c r="G130" s="10"/>
      <c r="H130" s="9"/>
      <c r="I130" s="7"/>
      <c r="J130" s="7"/>
      <c r="K130" s="7">
        <f ca="1">IFERROR(IF(COUNTA(J$56:J130)=J$54,J130,FORECAST(D130,OFFSET(M$56:M$254,MATCH(D130,L$56:L$254,1)-1,0,2), OFFSET(L$56:L$254,MATCH(D130,L$56:L$254,1)-1,0,2))),"")</f>
        <v>0</v>
      </c>
      <c r="L130" s="7" t="str">
        <f t="array" ref="L130">IFERROR(INDEX(D$56:D$1054,SMALL(IF(ISNUMBER(J$56:J$1054),ROW(D$1:D$999),""),ROW(D75))),"")</f>
        <v/>
      </c>
      <c r="M130" s="7" t="str">
        <f t="array" ref="M130">IFERROR(INDEX(J$56:J$1054,SMALL(IF(ISNUMBER(J$56:J$1054),ROW(J$1:J$999),""),ROW(J75))),"")</f>
        <v/>
      </c>
      <c r="N130" s="7"/>
      <c r="O130" s="7"/>
      <c r="P130" s="7"/>
      <c r="Q130" s="7">
        <f ca="1">IFERROR(IF(COUNTA(P$56:P130)=P$54,P130,FORECAST(D130,OFFSET(S$56:S$254,MATCH(D130,R$56:R$254,1)-1,0,2), OFFSET(R$56:R$254,MATCH(D130,R$56:R$254,1)-1,0,2))),"")</f>
        <v>0</v>
      </c>
      <c r="R130" s="7" t="str">
        <f t="array" ref="R130">IFERROR(INDEX(E$56:E$1054,SMALL(IF(ISNUMBER(P$56:P$1054),ROW(E$1:E$999),""),ROW(J75))),"")</f>
        <v/>
      </c>
      <c r="S130" s="7" t="str">
        <f t="array" ref="S130">IFERROR(INDEX(P$56:P$1054,SMALL(IF(ISNUMBER(P$56:P$1054),ROW(P$1:P$999),""),ROW(P75))),"")</f>
        <v/>
      </c>
      <c r="T130" s="7"/>
      <c r="U130" s="7"/>
      <c r="V130" s="7"/>
    </row>
    <row r="131" spans="1:22" x14ac:dyDescent="0.25">
      <c r="A131" s="6"/>
      <c r="B131" s="7"/>
      <c r="C131" s="7"/>
      <c r="D131" s="7"/>
      <c r="E131" s="8">
        <f t="shared" si="1"/>
        <v>0</v>
      </c>
      <c r="F131" s="10"/>
      <c r="G131" s="10"/>
      <c r="H131" s="9"/>
      <c r="I131" s="7"/>
      <c r="J131" s="7"/>
      <c r="K131" s="7">
        <f ca="1">IFERROR(IF(COUNTA(J$56:J131)=J$54,J131,FORECAST(D131,OFFSET(M$56:M$254,MATCH(D131,L$56:L$254,1)-1,0,2), OFFSET(L$56:L$254,MATCH(D131,L$56:L$254,1)-1,0,2))),"")</f>
        <v>0</v>
      </c>
      <c r="L131" s="7" t="str">
        <f t="array" ref="L131">IFERROR(INDEX(D$56:D$1054,SMALL(IF(ISNUMBER(J$56:J$1054),ROW(D$1:D$999),""),ROW(D76))),"")</f>
        <v/>
      </c>
      <c r="M131" s="7" t="str">
        <f t="array" ref="M131">IFERROR(INDEX(J$56:J$1054,SMALL(IF(ISNUMBER(J$56:J$1054),ROW(J$1:J$999),""),ROW(J76))),"")</f>
        <v/>
      </c>
      <c r="N131" s="7"/>
      <c r="O131" s="7"/>
      <c r="P131" s="7"/>
      <c r="Q131" s="7">
        <f ca="1">IFERROR(IF(COUNTA(P$56:P131)=P$54,P131,FORECAST(D131,OFFSET(S$56:S$254,MATCH(D131,R$56:R$254,1)-1,0,2), OFFSET(R$56:R$254,MATCH(D131,R$56:R$254,1)-1,0,2))),"")</f>
        <v>0</v>
      </c>
      <c r="R131" s="7" t="str">
        <f t="array" ref="R131">IFERROR(INDEX(E$56:E$1054,SMALL(IF(ISNUMBER(P$56:P$1054),ROW(E$1:E$999),""),ROW(J76))),"")</f>
        <v/>
      </c>
      <c r="S131" s="7" t="str">
        <f t="array" ref="S131">IFERROR(INDEX(P$56:P$1054,SMALL(IF(ISNUMBER(P$56:P$1054),ROW(P$1:P$999),""),ROW(P76))),"")</f>
        <v/>
      </c>
      <c r="T131" s="7"/>
      <c r="U131" s="7"/>
      <c r="V131" s="7"/>
    </row>
    <row r="132" spans="1:22" x14ac:dyDescent="0.25">
      <c r="A132" s="6"/>
      <c r="B132" s="7"/>
      <c r="C132" s="7"/>
      <c r="D132" s="7"/>
      <c r="E132" s="8">
        <f t="shared" si="1"/>
        <v>0</v>
      </c>
      <c r="F132" s="10"/>
      <c r="G132" s="10"/>
      <c r="H132" s="9"/>
      <c r="I132" s="7"/>
      <c r="J132" s="7"/>
      <c r="K132" s="7">
        <f ca="1">IFERROR(IF(COUNTA(J$56:J132)=J$54,J132,FORECAST(D132,OFFSET(M$56:M$254,MATCH(D132,L$56:L$254,1)-1,0,2), OFFSET(L$56:L$254,MATCH(D132,L$56:L$254,1)-1,0,2))),"")</f>
        <v>0</v>
      </c>
      <c r="L132" s="7" t="str">
        <f t="array" ref="L132">IFERROR(INDEX(D$56:D$1054,SMALL(IF(ISNUMBER(J$56:J$1054),ROW(D$1:D$999),""),ROW(D77))),"")</f>
        <v/>
      </c>
      <c r="M132" s="7" t="str">
        <f t="array" ref="M132">IFERROR(INDEX(J$56:J$1054,SMALL(IF(ISNUMBER(J$56:J$1054),ROW(J$1:J$999),""),ROW(J77))),"")</f>
        <v/>
      </c>
      <c r="N132" s="7"/>
      <c r="O132" s="7"/>
      <c r="P132" s="7"/>
      <c r="Q132" s="7">
        <f ca="1">IFERROR(IF(COUNTA(P$56:P132)=P$54,P132,FORECAST(D132,OFFSET(S$56:S$254,MATCH(D132,R$56:R$254,1)-1,0,2), OFFSET(R$56:R$254,MATCH(D132,R$56:R$254,1)-1,0,2))),"")</f>
        <v>0</v>
      </c>
      <c r="R132" s="7" t="str">
        <f t="array" ref="R132">IFERROR(INDEX(E$56:E$1054,SMALL(IF(ISNUMBER(P$56:P$1054),ROW(E$1:E$999),""),ROW(J77))),"")</f>
        <v/>
      </c>
      <c r="S132" s="7" t="str">
        <f t="array" ref="S132">IFERROR(INDEX(P$56:P$1054,SMALL(IF(ISNUMBER(P$56:P$1054),ROW(P$1:P$999),""),ROW(P77))),"")</f>
        <v/>
      </c>
      <c r="T132" s="7"/>
      <c r="U132" s="7"/>
      <c r="V132" s="7"/>
    </row>
    <row r="133" spans="1:22" x14ac:dyDescent="0.25">
      <c r="A133" s="6"/>
      <c r="B133" s="7"/>
      <c r="C133" s="7"/>
      <c r="D133" s="7"/>
      <c r="E133" s="8">
        <f t="shared" si="1"/>
        <v>0</v>
      </c>
      <c r="F133" s="10"/>
      <c r="G133" s="10"/>
      <c r="H133" s="9"/>
      <c r="I133" s="7"/>
      <c r="J133" s="7"/>
      <c r="K133" s="7">
        <f ca="1">IFERROR(IF(COUNTA(J$56:J133)=J$54,J133,FORECAST(D133,OFFSET(M$56:M$254,MATCH(D133,L$56:L$254,1)-1,0,2), OFFSET(L$56:L$254,MATCH(D133,L$56:L$254,1)-1,0,2))),"")</f>
        <v>0</v>
      </c>
      <c r="L133" s="7" t="str">
        <f t="array" ref="L133">IFERROR(INDEX(D$56:D$1054,SMALL(IF(ISNUMBER(J$56:J$1054),ROW(D$1:D$999),""),ROW(D78))),"")</f>
        <v/>
      </c>
      <c r="M133" s="7" t="str">
        <f t="array" ref="M133">IFERROR(INDEX(J$56:J$1054,SMALL(IF(ISNUMBER(J$56:J$1054),ROW(J$1:J$999),""),ROW(J78))),"")</f>
        <v/>
      </c>
      <c r="N133" s="7"/>
      <c r="O133" s="7"/>
      <c r="P133" s="7"/>
      <c r="Q133" s="7">
        <f ca="1">IFERROR(IF(COUNTA(P$56:P133)=P$54,P133,FORECAST(D133,OFFSET(S$56:S$254,MATCH(D133,R$56:R$254,1)-1,0,2), OFFSET(R$56:R$254,MATCH(D133,R$56:R$254,1)-1,0,2))),"")</f>
        <v>0</v>
      </c>
      <c r="R133" s="7" t="str">
        <f t="array" ref="R133">IFERROR(INDEX(E$56:E$1054,SMALL(IF(ISNUMBER(P$56:P$1054),ROW(E$1:E$999),""),ROW(J78))),"")</f>
        <v/>
      </c>
      <c r="S133" s="7" t="str">
        <f t="array" ref="S133">IFERROR(INDEX(P$56:P$1054,SMALL(IF(ISNUMBER(P$56:P$1054),ROW(P$1:P$999),""),ROW(P78))),"")</f>
        <v/>
      </c>
      <c r="T133" s="7"/>
      <c r="U133" s="7"/>
      <c r="V133" s="7"/>
    </row>
    <row r="134" spans="1:22" x14ac:dyDescent="0.25">
      <c r="A134" s="6"/>
      <c r="B134" s="7"/>
      <c r="C134" s="7"/>
      <c r="D134" s="7"/>
      <c r="E134" s="8">
        <f t="shared" si="1"/>
        <v>0</v>
      </c>
      <c r="F134" s="10"/>
      <c r="G134" s="10"/>
      <c r="H134" s="9"/>
      <c r="I134" s="7"/>
      <c r="J134" s="7"/>
      <c r="K134" s="7">
        <f ca="1">IFERROR(IF(COUNTA(J$56:J134)=J$54,J134,FORECAST(D134,OFFSET(M$56:M$254,MATCH(D134,L$56:L$254,1)-1,0,2), OFFSET(L$56:L$254,MATCH(D134,L$56:L$254,1)-1,0,2))),"")</f>
        <v>0</v>
      </c>
      <c r="L134" s="7" t="str">
        <f t="array" ref="L134">IFERROR(INDEX(D$56:D$1054,SMALL(IF(ISNUMBER(J$56:J$1054),ROW(D$1:D$999),""),ROW(D79))),"")</f>
        <v/>
      </c>
      <c r="M134" s="7" t="str">
        <f t="array" ref="M134">IFERROR(INDEX(J$56:J$1054,SMALL(IF(ISNUMBER(J$56:J$1054),ROW(J$1:J$999),""),ROW(J79))),"")</f>
        <v/>
      </c>
      <c r="N134" s="7"/>
      <c r="O134" s="7"/>
      <c r="P134" s="7"/>
      <c r="Q134" s="7">
        <f ca="1">IFERROR(IF(COUNTA(P$56:P134)=P$54,P134,FORECAST(D134,OFFSET(S$56:S$254,MATCH(D134,R$56:R$254,1)-1,0,2), OFFSET(R$56:R$254,MATCH(D134,R$56:R$254,1)-1,0,2))),"")</f>
        <v>0</v>
      </c>
      <c r="R134" s="7" t="str">
        <f t="array" ref="R134">IFERROR(INDEX(E$56:E$1054,SMALL(IF(ISNUMBER(P$56:P$1054),ROW(E$1:E$999),""),ROW(J79))),"")</f>
        <v/>
      </c>
      <c r="S134" s="7" t="str">
        <f t="array" ref="S134">IFERROR(INDEX(P$56:P$1054,SMALL(IF(ISNUMBER(P$56:P$1054),ROW(P$1:P$999),""),ROW(P79))),"")</f>
        <v/>
      </c>
      <c r="T134" s="7"/>
      <c r="U134" s="7"/>
      <c r="V134" s="7"/>
    </row>
    <row r="135" spans="1:22" x14ac:dyDescent="0.25">
      <c r="A135" s="6"/>
      <c r="B135" s="7"/>
      <c r="C135" s="7"/>
      <c r="D135" s="7"/>
      <c r="E135" s="8">
        <f t="shared" si="1"/>
        <v>0</v>
      </c>
      <c r="F135" s="10"/>
      <c r="G135" s="10"/>
      <c r="H135" s="9"/>
      <c r="I135" s="7"/>
      <c r="J135" s="7"/>
      <c r="K135" s="7">
        <f ca="1">IFERROR(IF(COUNTA(J$56:J135)=J$54,J135,FORECAST(D135,OFFSET(M$56:M$254,MATCH(D135,L$56:L$254,1)-1,0,2), OFFSET(L$56:L$254,MATCH(D135,L$56:L$254,1)-1,0,2))),"")</f>
        <v>0</v>
      </c>
      <c r="L135" s="7" t="str">
        <f t="array" ref="L135">IFERROR(INDEX(D$56:D$1054,SMALL(IF(ISNUMBER(J$56:J$1054),ROW(D$1:D$999),""),ROW(D80))),"")</f>
        <v/>
      </c>
      <c r="M135" s="7" t="str">
        <f t="array" ref="M135">IFERROR(INDEX(J$56:J$1054,SMALL(IF(ISNUMBER(J$56:J$1054),ROW(J$1:J$999),""),ROW(J80))),"")</f>
        <v/>
      </c>
      <c r="N135" s="7"/>
      <c r="O135" s="7"/>
      <c r="P135" s="7"/>
      <c r="Q135" s="7">
        <f ca="1">IFERROR(IF(COUNTA(P$56:P135)=P$54,P135,FORECAST(D135,OFFSET(S$56:S$254,MATCH(D135,R$56:R$254,1)-1,0,2), OFFSET(R$56:R$254,MATCH(D135,R$56:R$254,1)-1,0,2))),"")</f>
        <v>0</v>
      </c>
      <c r="R135" s="7" t="str">
        <f t="array" ref="R135">IFERROR(INDEX(E$56:E$1054,SMALL(IF(ISNUMBER(P$56:P$1054),ROW(E$1:E$999),""),ROW(J80))),"")</f>
        <v/>
      </c>
      <c r="S135" s="7" t="str">
        <f t="array" ref="S135">IFERROR(INDEX(P$56:P$1054,SMALL(IF(ISNUMBER(P$56:P$1054),ROW(P$1:P$999),""),ROW(P80))),"")</f>
        <v/>
      </c>
      <c r="T135" s="7"/>
      <c r="U135" s="7"/>
      <c r="V135" s="7"/>
    </row>
    <row r="136" spans="1:22" x14ac:dyDescent="0.25">
      <c r="A136" s="6"/>
      <c r="B136" s="7"/>
      <c r="C136" s="7"/>
      <c r="D136" s="7"/>
      <c r="E136" s="8">
        <f t="shared" si="1"/>
        <v>0</v>
      </c>
      <c r="F136" s="10"/>
      <c r="G136" s="10"/>
      <c r="H136" s="9"/>
      <c r="I136" s="7"/>
      <c r="J136" s="7"/>
      <c r="K136" s="7">
        <f ca="1">IFERROR(IF(COUNTA(J$56:J136)=J$54,J136,FORECAST(D136,OFFSET(M$56:M$254,MATCH(D136,L$56:L$254,1)-1,0,2), OFFSET(L$56:L$254,MATCH(D136,L$56:L$254,1)-1,0,2))),"")</f>
        <v>0</v>
      </c>
      <c r="L136" s="7" t="str">
        <f t="array" ref="L136">IFERROR(INDEX(D$56:D$1054,SMALL(IF(ISNUMBER(J$56:J$1054),ROW(D$1:D$999),""),ROW(D81))),"")</f>
        <v/>
      </c>
      <c r="M136" s="7" t="str">
        <f t="array" ref="M136">IFERROR(INDEX(J$56:J$1054,SMALL(IF(ISNUMBER(J$56:J$1054),ROW(J$1:J$999),""),ROW(J81))),"")</f>
        <v/>
      </c>
      <c r="N136" s="7"/>
      <c r="O136" s="7"/>
      <c r="P136" s="7"/>
      <c r="Q136" s="7">
        <f ca="1">IFERROR(IF(COUNTA(P$56:P136)=P$54,P136,FORECAST(D136,OFFSET(S$56:S$254,MATCH(D136,R$56:R$254,1)-1,0,2), OFFSET(R$56:R$254,MATCH(D136,R$56:R$254,1)-1,0,2))),"")</f>
        <v>0</v>
      </c>
      <c r="R136" s="7" t="str">
        <f t="array" ref="R136">IFERROR(INDEX(E$56:E$1054,SMALL(IF(ISNUMBER(P$56:P$1054),ROW(E$1:E$999),""),ROW(J81))),"")</f>
        <v/>
      </c>
      <c r="S136" s="7" t="str">
        <f t="array" ref="S136">IFERROR(INDEX(P$56:P$1054,SMALL(IF(ISNUMBER(P$56:P$1054),ROW(P$1:P$999),""),ROW(P81))),"")</f>
        <v/>
      </c>
      <c r="T136" s="7"/>
      <c r="U136" s="7"/>
      <c r="V136" s="7"/>
    </row>
    <row r="137" spans="1:22" x14ac:dyDescent="0.25">
      <c r="A137" s="6"/>
      <c r="B137" s="7"/>
      <c r="C137" s="7"/>
      <c r="D137" s="7"/>
      <c r="E137" s="8">
        <f t="shared" si="1"/>
        <v>0</v>
      </c>
      <c r="F137" s="10"/>
      <c r="G137" s="10"/>
      <c r="H137" s="9"/>
      <c r="I137" s="7"/>
      <c r="J137" s="7"/>
      <c r="K137" s="7">
        <f ca="1">IFERROR(IF(COUNTA(J$56:J137)=J$54,J137,FORECAST(D137,OFFSET(M$56:M$254,MATCH(D137,L$56:L$254,1)-1,0,2), OFFSET(L$56:L$254,MATCH(D137,L$56:L$254,1)-1,0,2))),"")</f>
        <v>0</v>
      </c>
      <c r="L137" s="7" t="str">
        <f t="array" ref="L137">IFERROR(INDEX(D$56:D$1054,SMALL(IF(ISNUMBER(J$56:J$1054),ROW(D$1:D$999),""),ROW(D82))),"")</f>
        <v/>
      </c>
      <c r="M137" s="7" t="str">
        <f t="array" ref="M137">IFERROR(INDEX(J$56:J$1054,SMALL(IF(ISNUMBER(J$56:J$1054),ROW(J$1:J$999),""),ROW(J82))),"")</f>
        <v/>
      </c>
      <c r="N137" s="7"/>
      <c r="O137" s="7"/>
      <c r="P137" s="7"/>
      <c r="Q137" s="7">
        <f ca="1">IFERROR(IF(COUNTA(P$56:P137)=P$54,P137,FORECAST(D137,OFFSET(S$56:S$254,MATCH(D137,R$56:R$254,1)-1,0,2), OFFSET(R$56:R$254,MATCH(D137,R$56:R$254,1)-1,0,2))),"")</f>
        <v>0</v>
      </c>
      <c r="R137" s="7" t="str">
        <f t="array" ref="R137">IFERROR(INDEX(E$56:E$1054,SMALL(IF(ISNUMBER(P$56:P$1054),ROW(E$1:E$999),""),ROW(J82))),"")</f>
        <v/>
      </c>
      <c r="S137" s="7" t="str">
        <f t="array" ref="S137">IFERROR(INDEX(P$56:P$1054,SMALL(IF(ISNUMBER(P$56:P$1054),ROW(P$1:P$999),""),ROW(P82))),"")</f>
        <v/>
      </c>
      <c r="T137" s="7"/>
      <c r="U137" s="7"/>
      <c r="V137" s="7"/>
    </row>
    <row r="138" spans="1:22" x14ac:dyDescent="0.25">
      <c r="A138" s="6"/>
      <c r="B138" s="7"/>
      <c r="C138" s="7"/>
      <c r="D138" s="7"/>
      <c r="E138" s="8">
        <f t="shared" si="1"/>
        <v>0</v>
      </c>
      <c r="F138" s="10"/>
      <c r="G138" s="10"/>
      <c r="H138" s="9"/>
      <c r="I138" s="7"/>
      <c r="J138" s="7"/>
      <c r="K138" s="7">
        <f ca="1">IFERROR(IF(COUNTA(J$56:J138)=J$54,J138,FORECAST(D138,OFFSET(M$56:M$254,MATCH(D138,L$56:L$254,1)-1,0,2), OFFSET(L$56:L$254,MATCH(D138,L$56:L$254,1)-1,0,2))),"")</f>
        <v>0</v>
      </c>
      <c r="L138" s="7" t="str">
        <f t="array" ref="L138">IFERROR(INDEX(D$56:D$1054,SMALL(IF(ISNUMBER(J$56:J$1054),ROW(D$1:D$999),""),ROW(D83))),"")</f>
        <v/>
      </c>
      <c r="M138" s="7" t="str">
        <f t="array" ref="M138">IFERROR(INDEX(J$56:J$1054,SMALL(IF(ISNUMBER(J$56:J$1054),ROW(J$1:J$999),""),ROW(J83))),"")</f>
        <v/>
      </c>
      <c r="N138" s="7"/>
      <c r="O138" s="7"/>
      <c r="P138" s="7"/>
      <c r="Q138" s="7">
        <f ca="1">IFERROR(IF(COUNTA(P$56:P138)=P$54,P138,FORECAST(D138,OFFSET(S$56:S$254,MATCH(D138,R$56:R$254,1)-1,0,2), OFFSET(R$56:R$254,MATCH(D138,R$56:R$254,1)-1,0,2))),"")</f>
        <v>0</v>
      </c>
      <c r="R138" s="7" t="str">
        <f t="array" ref="R138">IFERROR(INDEX(E$56:E$1054,SMALL(IF(ISNUMBER(P$56:P$1054),ROW(E$1:E$999),""),ROW(J83))),"")</f>
        <v/>
      </c>
      <c r="S138" s="7" t="str">
        <f t="array" ref="S138">IFERROR(INDEX(P$56:P$1054,SMALL(IF(ISNUMBER(P$56:P$1054),ROW(P$1:P$999),""),ROW(P83))),"")</f>
        <v/>
      </c>
      <c r="T138" s="7"/>
      <c r="U138" s="7"/>
      <c r="V138" s="7"/>
    </row>
    <row r="139" spans="1:22" x14ac:dyDescent="0.25">
      <c r="A139" s="6"/>
      <c r="B139" s="7"/>
      <c r="C139" s="7"/>
      <c r="D139" s="7"/>
      <c r="E139" s="8">
        <f t="shared" si="1"/>
        <v>0</v>
      </c>
      <c r="F139" s="10"/>
      <c r="G139" s="10"/>
      <c r="H139" s="9"/>
      <c r="I139" s="7"/>
      <c r="J139" s="7"/>
      <c r="K139" s="7">
        <f ca="1">IFERROR(IF(COUNTA(J$56:J139)=J$54,J139,FORECAST(D139,OFFSET(M$56:M$254,MATCH(D139,L$56:L$254,1)-1,0,2), OFFSET(L$56:L$254,MATCH(D139,L$56:L$254,1)-1,0,2))),"")</f>
        <v>0</v>
      </c>
      <c r="L139" s="7" t="str">
        <f t="array" ref="L139">IFERROR(INDEX(D$56:D$1054,SMALL(IF(ISNUMBER(J$56:J$1054),ROW(D$1:D$999),""),ROW(D84))),"")</f>
        <v/>
      </c>
      <c r="M139" s="7" t="str">
        <f t="array" ref="M139">IFERROR(INDEX(J$56:J$1054,SMALL(IF(ISNUMBER(J$56:J$1054),ROW(J$1:J$999),""),ROW(J84))),"")</f>
        <v/>
      </c>
      <c r="N139" s="7"/>
      <c r="O139" s="7"/>
      <c r="P139" s="7"/>
      <c r="Q139" s="7">
        <f ca="1">IFERROR(IF(COUNTA(P$56:P139)=P$54,P139,FORECAST(D139,OFFSET(S$56:S$254,MATCH(D139,R$56:R$254,1)-1,0,2), OFFSET(R$56:R$254,MATCH(D139,R$56:R$254,1)-1,0,2))),"")</f>
        <v>0</v>
      </c>
      <c r="R139" s="7" t="str">
        <f t="array" ref="R139">IFERROR(INDEX(E$56:E$1054,SMALL(IF(ISNUMBER(P$56:P$1054),ROW(E$1:E$999),""),ROW(J84))),"")</f>
        <v/>
      </c>
      <c r="S139" s="7" t="str">
        <f t="array" ref="S139">IFERROR(INDEX(P$56:P$1054,SMALL(IF(ISNUMBER(P$56:P$1054),ROW(P$1:P$999),""),ROW(P84))),"")</f>
        <v/>
      </c>
      <c r="T139" s="7"/>
      <c r="U139" s="7"/>
      <c r="V139" s="7"/>
    </row>
    <row r="140" spans="1:22" x14ac:dyDescent="0.25">
      <c r="A140" s="6"/>
      <c r="B140" s="7"/>
      <c r="C140" s="7"/>
      <c r="D140" s="7"/>
      <c r="E140" s="8">
        <f t="shared" si="1"/>
        <v>0</v>
      </c>
      <c r="F140" s="10"/>
      <c r="G140" s="10"/>
      <c r="H140" s="9"/>
      <c r="I140" s="7"/>
      <c r="J140" s="7"/>
      <c r="K140" s="7">
        <f ca="1">IFERROR(IF(COUNTA(J$56:J140)=J$54,J140,FORECAST(D140,OFFSET(M$56:M$254,MATCH(D140,L$56:L$254,1)-1,0,2), OFFSET(L$56:L$254,MATCH(D140,L$56:L$254,1)-1,0,2))),"")</f>
        <v>0</v>
      </c>
      <c r="L140" s="7" t="str">
        <f t="array" ref="L140">IFERROR(INDEX(D$56:D$1054,SMALL(IF(ISNUMBER(J$56:J$1054),ROW(D$1:D$999),""),ROW(D85))),"")</f>
        <v/>
      </c>
      <c r="M140" s="7" t="str">
        <f t="array" ref="M140">IFERROR(INDEX(J$56:J$1054,SMALL(IF(ISNUMBER(J$56:J$1054),ROW(J$1:J$999),""),ROW(J85))),"")</f>
        <v/>
      </c>
      <c r="N140" s="7"/>
      <c r="O140" s="7"/>
      <c r="P140" s="7"/>
      <c r="Q140" s="7">
        <f ca="1">IFERROR(IF(COUNTA(P$56:P140)=P$54,P140,FORECAST(D140,OFFSET(S$56:S$254,MATCH(D140,R$56:R$254,1)-1,0,2), OFFSET(R$56:R$254,MATCH(D140,R$56:R$254,1)-1,0,2))),"")</f>
        <v>0</v>
      </c>
      <c r="R140" s="7" t="str">
        <f t="array" ref="R140">IFERROR(INDEX(E$56:E$1054,SMALL(IF(ISNUMBER(P$56:P$1054),ROW(E$1:E$999),""),ROW(J85))),"")</f>
        <v/>
      </c>
      <c r="S140" s="7" t="str">
        <f t="array" ref="S140">IFERROR(INDEX(P$56:P$1054,SMALL(IF(ISNUMBER(P$56:P$1054),ROW(P$1:P$999),""),ROW(P85))),"")</f>
        <v/>
      </c>
      <c r="T140" s="7"/>
      <c r="U140" s="7"/>
      <c r="V140" s="7"/>
    </row>
    <row r="141" spans="1:22" x14ac:dyDescent="0.25">
      <c r="A141" s="6"/>
      <c r="B141" s="7"/>
      <c r="C141" s="7"/>
      <c r="D141" s="7"/>
      <c r="E141" s="8">
        <f t="shared" si="1"/>
        <v>0</v>
      </c>
      <c r="F141" s="10"/>
      <c r="G141" s="10"/>
      <c r="H141" s="9"/>
      <c r="I141" s="7"/>
      <c r="J141" s="7"/>
      <c r="K141" s="7">
        <f ca="1">IFERROR(IF(COUNTA(J$56:J141)=J$54,J141,FORECAST(D141,OFFSET(M$56:M$254,MATCH(D141,L$56:L$254,1)-1,0,2), OFFSET(L$56:L$254,MATCH(D141,L$56:L$254,1)-1,0,2))),"")</f>
        <v>0</v>
      </c>
      <c r="L141" s="7" t="str">
        <f t="array" ref="L141">IFERROR(INDEX(D$56:D$1054,SMALL(IF(ISNUMBER(J$56:J$1054),ROW(D$1:D$999),""),ROW(D86))),"")</f>
        <v/>
      </c>
      <c r="M141" s="7" t="str">
        <f t="array" ref="M141">IFERROR(INDEX(J$56:J$1054,SMALL(IF(ISNUMBER(J$56:J$1054),ROW(J$1:J$999),""),ROW(J86))),"")</f>
        <v/>
      </c>
      <c r="N141" s="7"/>
      <c r="O141" s="7"/>
      <c r="P141" s="7"/>
      <c r="Q141" s="7">
        <f ca="1">IFERROR(IF(COUNTA(P$56:P141)=P$54,P141,FORECAST(D141,OFFSET(S$56:S$254,MATCH(D141,R$56:R$254,1)-1,0,2), OFFSET(R$56:R$254,MATCH(D141,R$56:R$254,1)-1,0,2))),"")</f>
        <v>0</v>
      </c>
      <c r="R141" s="7" t="str">
        <f t="array" ref="R141">IFERROR(INDEX(E$56:E$1054,SMALL(IF(ISNUMBER(P$56:P$1054),ROW(E$1:E$999),""),ROW(J86))),"")</f>
        <v/>
      </c>
      <c r="S141" s="7" t="str">
        <f t="array" ref="S141">IFERROR(INDEX(P$56:P$1054,SMALL(IF(ISNUMBER(P$56:P$1054),ROW(P$1:P$999),""),ROW(P86))),"")</f>
        <v/>
      </c>
      <c r="T141" s="7"/>
      <c r="U141" s="7"/>
      <c r="V141" s="7"/>
    </row>
    <row r="142" spans="1:22" x14ac:dyDescent="0.25">
      <c r="A142" s="6"/>
      <c r="B142" s="7"/>
      <c r="C142" s="7"/>
      <c r="D142" s="7"/>
      <c r="E142" s="8">
        <f t="shared" si="1"/>
        <v>0</v>
      </c>
      <c r="F142" s="10"/>
      <c r="G142" s="10"/>
      <c r="H142" s="9"/>
      <c r="I142" s="7"/>
      <c r="J142" s="7"/>
      <c r="K142" s="7">
        <f ca="1">IFERROR(IF(COUNTA(J$56:J142)=J$54,J142,FORECAST(D142,OFFSET(M$56:M$254,MATCH(D142,L$56:L$254,1)-1,0,2), OFFSET(L$56:L$254,MATCH(D142,L$56:L$254,1)-1,0,2))),"")</f>
        <v>0</v>
      </c>
      <c r="L142" s="7" t="str">
        <f t="array" ref="L142">IFERROR(INDEX(D$56:D$1054,SMALL(IF(ISNUMBER(J$56:J$1054),ROW(D$1:D$999),""),ROW(D87))),"")</f>
        <v/>
      </c>
      <c r="M142" s="7" t="str">
        <f t="array" ref="M142">IFERROR(INDEX(J$56:J$1054,SMALL(IF(ISNUMBER(J$56:J$1054),ROW(J$1:J$999),""),ROW(J87))),"")</f>
        <v/>
      </c>
      <c r="N142" s="7"/>
      <c r="O142" s="7"/>
      <c r="P142" s="7"/>
      <c r="Q142" s="7">
        <f ca="1">IFERROR(IF(COUNTA(P$56:P142)=P$54,P142,FORECAST(D142,OFFSET(S$56:S$254,MATCH(D142,R$56:R$254,1)-1,0,2), OFFSET(R$56:R$254,MATCH(D142,R$56:R$254,1)-1,0,2))),"")</f>
        <v>0</v>
      </c>
      <c r="R142" s="7" t="str">
        <f t="array" ref="R142">IFERROR(INDEX(E$56:E$1054,SMALL(IF(ISNUMBER(P$56:P$1054),ROW(E$1:E$999),""),ROW(J87))),"")</f>
        <v/>
      </c>
      <c r="S142" s="7" t="str">
        <f t="array" ref="S142">IFERROR(INDEX(P$56:P$1054,SMALL(IF(ISNUMBER(P$56:P$1054),ROW(P$1:P$999),""),ROW(P87))),"")</f>
        <v/>
      </c>
      <c r="T142" s="7"/>
      <c r="U142" s="7"/>
      <c r="V142" s="7"/>
    </row>
    <row r="143" spans="1:22" x14ac:dyDescent="0.25">
      <c r="A143" s="6"/>
      <c r="B143" s="7"/>
      <c r="C143" s="7"/>
      <c r="D143" s="7"/>
      <c r="E143" s="8">
        <f t="shared" si="1"/>
        <v>0</v>
      </c>
      <c r="F143" s="10"/>
      <c r="G143" s="10"/>
      <c r="H143" s="9"/>
      <c r="I143" s="7"/>
      <c r="J143" s="7"/>
      <c r="K143" s="7">
        <f ca="1">IFERROR(IF(COUNTA(J$56:J143)=J$54,J143,FORECAST(D143,OFFSET(M$56:M$254,MATCH(D143,L$56:L$254,1)-1,0,2), OFFSET(L$56:L$254,MATCH(D143,L$56:L$254,1)-1,0,2))),"")</f>
        <v>0</v>
      </c>
      <c r="L143" s="7" t="str">
        <f t="array" ref="L143">IFERROR(INDEX(D$56:D$1054,SMALL(IF(ISNUMBER(J$56:J$1054),ROW(D$1:D$999),""),ROW(D88))),"")</f>
        <v/>
      </c>
      <c r="M143" s="7" t="str">
        <f t="array" ref="M143">IFERROR(INDEX(J$56:J$1054,SMALL(IF(ISNUMBER(J$56:J$1054),ROW(J$1:J$999),""),ROW(J88))),"")</f>
        <v/>
      </c>
      <c r="N143" s="7"/>
      <c r="O143" s="7"/>
      <c r="P143" s="7"/>
      <c r="Q143" s="7">
        <f ca="1">IFERROR(IF(COUNTA(P$56:P143)=P$54,P143,FORECAST(D143,OFFSET(S$56:S$254,MATCH(D143,R$56:R$254,1)-1,0,2), OFFSET(R$56:R$254,MATCH(D143,R$56:R$254,1)-1,0,2))),"")</f>
        <v>0</v>
      </c>
      <c r="R143" s="7" t="str">
        <f t="array" ref="R143">IFERROR(INDEX(E$56:E$1054,SMALL(IF(ISNUMBER(P$56:P$1054),ROW(E$1:E$999),""),ROW(J88))),"")</f>
        <v/>
      </c>
      <c r="S143" s="7" t="str">
        <f t="array" ref="S143">IFERROR(INDEX(P$56:P$1054,SMALL(IF(ISNUMBER(P$56:P$1054),ROW(P$1:P$999),""),ROW(P88))),"")</f>
        <v/>
      </c>
      <c r="T143" s="7"/>
      <c r="U143" s="7"/>
      <c r="V143" s="7"/>
    </row>
    <row r="144" spans="1:22" x14ac:dyDescent="0.25">
      <c r="A144" s="6"/>
      <c r="B144" s="7"/>
      <c r="C144" s="7"/>
      <c r="D144" s="7"/>
      <c r="E144" s="8">
        <f t="shared" si="1"/>
        <v>0</v>
      </c>
      <c r="F144" s="10"/>
      <c r="G144" s="10"/>
      <c r="H144" s="9"/>
      <c r="I144" s="7"/>
      <c r="J144" s="7"/>
      <c r="K144" s="7">
        <f ca="1">IFERROR(IF(COUNTA(J$56:J144)=J$54,J144,FORECAST(D144,OFFSET(M$56:M$254,MATCH(D144,L$56:L$254,1)-1,0,2), OFFSET(L$56:L$254,MATCH(D144,L$56:L$254,1)-1,0,2))),"")</f>
        <v>0</v>
      </c>
      <c r="L144" s="7" t="str">
        <f t="array" ref="L144">IFERROR(INDEX(D$56:D$1054,SMALL(IF(ISNUMBER(J$56:J$1054),ROW(D$1:D$999),""),ROW(D89))),"")</f>
        <v/>
      </c>
      <c r="M144" s="7" t="str">
        <f t="array" ref="M144">IFERROR(INDEX(J$56:J$1054,SMALL(IF(ISNUMBER(J$56:J$1054),ROW(J$1:J$999),""),ROW(J89))),"")</f>
        <v/>
      </c>
      <c r="N144" s="7"/>
      <c r="O144" s="7"/>
      <c r="P144" s="7"/>
      <c r="Q144" s="7">
        <f ca="1">IFERROR(IF(COUNTA(P$56:P144)=P$54,P144,FORECAST(D144,OFFSET(S$56:S$254,MATCH(D144,R$56:R$254,1)-1,0,2), OFFSET(R$56:R$254,MATCH(D144,R$56:R$254,1)-1,0,2))),"")</f>
        <v>0</v>
      </c>
      <c r="R144" s="7" t="str">
        <f t="array" ref="R144">IFERROR(INDEX(E$56:E$1054,SMALL(IF(ISNUMBER(P$56:P$1054),ROW(E$1:E$999),""),ROW(J89))),"")</f>
        <v/>
      </c>
      <c r="S144" s="7" t="str">
        <f t="array" ref="S144">IFERROR(INDEX(P$56:P$1054,SMALL(IF(ISNUMBER(P$56:P$1054),ROW(P$1:P$999),""),ROW(P89))),"")</f>
        <v/>
      </c>
      <c r="T144" s="7"/>
      <c r="U144" s="7"/>
      <c r="V144" s="7"/>
    </row>
    <row r="145" spans="1:22" x14ac:dyDescent="0.25">
      <c r="A145" s="6"/>
      <c r="B145" s="7"/>
      <c r="C145" s="7"/>
      <c r="D145" s="7"/>
      <c r="E145" s="8">
        <f t="shared" si="1"/>
        <v>0</v>
      </c>
      <c r="F145" s="10"/>
      <c r="G145" s="10"/>
      <c r="H145" s="9"/>
      <c r="I145" s="7"/>
      <c r="J145" s="7"/>
      <c r="K145" s="7">
        <f ca="1">IFERROR(IF(COUNTA(J$56:J145)=J$54,J145,FORECAST(D145,OFFSET(M$56:M$254,MATCH(D145,L$56:L$254,1)-1,0,2), OFFSET(L$56:L$254,MATCH(D145,L$56:L$254,1)-1,0,2))),"")</f>
        <v>0</v>
      </c>
      <c r="L145" s="7" t="str">
        <f t="array" ref="L145">IFERROR(INDEX(D$56:D$1054,SMALL(IF(ISNUMBER(J$56:J$1054),ROW(D$1:D$999),""),ROW(D90))),"")</f>
        <v/>
      </c>
      <c r="M145" s="7" t="str">
        <f t="array" ref="M145">IFERROR(INDEX(J$56:J$1054,SMALL(IF(ISNUMBER(J$56:J$1054),ROW(J$1:J$999),""),ROW(J90))),"")</f>
        <v/>
      </c>
      <c r="N145" s="7"/>
      <c r="O145" s="7"/>
      <c r="P145" s="7"/>
      <c r="Q145" s="7">
        <f ca="1">IFERROR(IF(COUNTA(P$56:P145)=P$54,P145,FORECAST(D145,OFFSET(S$56:S$254,MATCH(D145,R$56:R$254,1)-1,0,2), OFFSET(R$56:R$254,MATCH(D145,R$56:R$254,1)-1,0,2))),"")</f>
        <v>0</v>
      </c>
      <c r="R145" s="7" t="str">
        <f t="array" ref="R145">IFERROR(INDEX(E$56:E$1054,SMALL(IF(ISNUMBER(P$56:P$1054),ROW(E$1:E$999),""),ROW(J90))),"")</f>
        <v/>
      </c>
      <c r="S145" s="7" t="str">
        <f t="array" ref="S145">IFERROR(INDEX(P$56:P$1054,SMALL(IF(ISNUMBER(P$56:P$1054),ROW(P$1:P$999),""),ROW(P90))),"")</f>
        <v/>
      </c>
      <c r="T145" s="7"/>
      <c r="U145" s="7"/>
      <c r="V145" s="7"/>
    </row>
    <row r="146" spans="1:22" x14ac:dyDescent="0.25">
      <c r="A146" s="6"/>
      <c r="B146" s="7"/>
      <c r="C146" s="7"/>
      <c r="D146" s="7"/>
      <c r="E146" s="8">
        <f t="shared" si="1"/>
        <v>0</v>
      </c>
      <c r="F146" s="10"/>
      <c r="G146" s="10"/>
      <c r="H146" s="9"/>
      <c r="I146" s="7"/>
      <c r="J146" s="7"/>
      <c r="K146" s="7">
        <f ca="1">IFERROR(IF(COUNTA(J$56:J146)=J$54,J146,FORECAST(D146,OFFSET(M$56:M$254,MATCH(D146,L$56:L$254,1)-1,0,2), OFFSET(L$56:L$254,MATCH(D146,L$56:L$254,1)-1,0,2))),"")</f>
        <v>0</v>
      </c>
      <c r="L146" s="7" t="str">
        <f t="array" ref="L146">IFERROR(INDEX(D$56:D$1054,SMALL(IF(ISNUMBER(J$56:J$1054),ROW(D$1:D$999),""),ROW(D91))),"")</f>
        <v/>
      </c>
      <c r="M146" s="7" t="str">
        <f t="array" ref="M146">IFERROR(INDEX(J$56:J$1054,SMALL(IF(ISNUMBER(J$56:J$1054),ROW(J$1:J$999),""),ROW(J91))),"")</f>
        <v/>
      </c>
      <c r="N146" s="7"/>
      <c r="O146" s="7"/>
      <c r="P146" s="7"/>
      <c r="Q146" s="7">
        <f ca="1">IFERROR(IF(COUNTA(P$56:P146)=P$54,P146,FORECAST(D146,OFFSET(S$56:S$254,MATCH(D146,R$56:R$254,1)-1,0,2), OFFSET(R$56:R$254,MATCH(D146,R$56:R$254,1)-1,0,2))),"")</f>
        <v>0</v>
      </c>
      <c r="R146" s="7" t="str">
        <f t="array" ref="R146">IFERROR(INDEX(E$56:E$1054,SMALL(IF(ISNUMBER(P$56:P$1054),ROW(E$1:E$999),""),ROW(J91))),"")</f>
        <v/>
      </c>
      <c r="S146" s="7" t="str">
        <f t="array" ref="S146">IFERROR(INDEX(P$56:P$1054,SMALL(IF(ISNUMBER(P$56:P$1054),ROW(P$1:P$999),""),ROW(P91))),"")</f>
        <v/>
      </c>
      <c r="T146" s="7"/>
      <c r="U146" s="7"/>
      <c r="V146" s="7"/>
    </row>
    <row r="147" spans="1:22" x14ac:dyDescent="0.25">
      <c r="A147" s="6"/>
      <c r="B147" s="7"/>
      <c r="C147" s="7"/>
      <c r="D147" s="7"/>
      <c r="E147" s="8">
        <f t="shared" si="1"/>
        <v>0</v>
      </c>
      <c r="F147" s="10"/>
      <c r="G147" s="10"/>
      <c r="H147" s="9"/>
      <c r="I147" s="7"/>
      <c r="J147" s="7"/>
      <c r="K147" s="7">
        <f ca="1">IFERROR(IF(COUNTA(J$56:J147)=J$54,J147,FORECAST(D147,OFFSET(M$56:M$254,MATCH(D147,L$56:L$254,1)-1,0,2), OFFSET(L$56:L$254,MATCH(D147,L$56:L$254,1)-1,0,2))),"")</f>
        <v>0</v>
      </c>
      <c r="L147" s="7" t="str">
        <f t="array" ref="L147">IFERROR(INDEX(D$56:D$1054,SMALL(IF(ISNUMBER(J$56:J$1054),ROW(D$1:D$999),""),ROW(D92))),"")</f>
        <v/>
      </c>
      <c r="M147" s="7" t="str">
        <f t="array" ref="M147">IFERROR(INDEX(J$56:J$1054,SMALL(IF(ISNUMBER(J$56:J$1054),ROW(J$1:J$999),""),ROW(J92))),"")</f>
        <v/>
      </c>
      <c r="N147" s="7"/>
      <c r="O147" s="7"/>
      <c r="P147" s="7"/>
      <c r="Q147" s="7">
        <f ca="1">IFERROR(IF(COUNTA(P$56:P147)=P$54,P147,FORECAST(D147,OFFSET(S$56:S$254,MATCH(D147,R$56:R$254,1)-1,0,2), OFFSET(R$56:R$254,MATCH(D147,R$56:R$254,1)-1,0,2))),"")</f>
        <v>0</v>
      </c>
      <c r="R147" s="7" t="str">
        <f t="array" ref="R147">IFERROR(INDEX(E$56:E$1054,SMALL(IF(ISNUMBER(P$56:P$1054),ROW(E$1:E$999),""),ROW(J92))),"")</f>
        <v/>
      </c>
      <c r="S147" s="7" t="str">
        <f t="array" ref="S147">IFERROR(INDEX(P$56:P$1054,SMALL(IF(ISNUMBER(P$56:P$1054),ROW(P$1:P$999),""),ROW(P92))),"")</f>
        <v/>
      </c>
      <c r="T147" s="7"/>
      <c r="U147" s="7"/>
      <c r="V147" s="7"/>
    </row>
    <row r="148" spans="1:22" x14ac:dyDescent="0.25">
      <c r="A148" s="6"/>
      <c r="B148" s="7"/>
      <c r="C148" s="7"/>
      <c r="D148" s="7"/>
      <c r="E148" s="8">
        <f t="shared" si="1"/>
        <v>0</v>
      </c>
      <c r="F148" s="10"/>
      <c r="G148" s="10"/>
      <c r="H148" s="9"/>
      <c r="I148" s="7"/>
      <c r="J148" s="7"/>
      <c r="K148" s="7">
        <f ca="1">IFERROR(IF(COUNTA(J$56:J148)=J$54,J148,FORECAST(D148,OFFSET(M$56:M$254,MATCH(D148,L$56:L$254,1)-1,0,2), OFFSET(L$56:L$254,MATCH(D148,L$56:L$254,1)-1,0,2))),"")</f>
        <v>0</v>
      </c>
      <c r="L148" s="7" t="str">
        <f t="array" ref="L148">IFERROR(INDEX(D$56:D$1054,SMALL(IF(ISNUMBER(J$56:J$1054),ROW(D$1:D$999),""),ROW(D93))),"")</f>
        <v/>
      </c>
      <c r="M148" s="7" t="str">
        <f t="array" ref="M148">IFERROR(INDEX(J$56:J$1054,SMALL(IF(ISNUMBER(J$56:J$1054),ROW(J$1:J$999),""),ROW(J93))),"")</f>
        <v/>
      </c>
      <c r="N148" s="7"/>
      <c r="O148" s="7"/>
      <c r="P148" s="7"/>
      <c r="Q148" s="7">
        <f ca="1">IFERROR(IF(COUNTA(P$56:P148)=P$54,P148,FORECAST(D148,OFFSET(S$56:S$254,MATCH(D148,R$56:R$254,1)-1,0,2), OFFSET(R$56:R$254,MATCH(D148,R$56:R$254,1)-1,0,2))),"")</f>
        <v>0</v>
      </c>
      <c r="R148" s="7" t="str">
        <f t="array" ref="R148">IFERROR(INDEX(E$56:E$1054,SMALL(IF(ISNUMBER(P$56:P$1054),ROW(E$1:E$999),""),ROW(J93))),"")</f>
        <v/>
      </c>
      <c r="S148" s="7" t="str">
        <f t="array" ref="S148">IFERROR(INDEX(P$56:P$1054,SMALL(IF(ISNUMBER(P$56:P$1054),ROW(P$1:P$999),""),ROW(P93))),"")</f>
        <v/>
      </c>
      <c r="T148" s="7"/>
      <c r="U148" s="7"/>
      <c r="V148" s="7"/>
    </row>
    <row r="149" spans="1:22" x14ac:dyDescent="0.25">
      <c r="A149" s="6"/>
      <c r="B149" s="7"/>
      <c r="C149" s="7"/>
      <c r="D149" s="7"/>
      <c r="E149" s="8">
        <f t="shared" si="1"/>
        <v>0</v>
      </c>
      <c r="F149" s="10"/>
      <c r="G149" s="10"/>
      <c r="H149" s="9"/>
      <c r="I149" s="7"/>
      <c r="J149" s="7"/>
      <c r="K149" s="7">
        <f ca="1">IFERROR(IF(COUNTA(J$56:J149)=J$54,J149,FORECAST(D149,OFFSET(M$56:M$254,MATCH(D149,L$56:L$254,1)-1,0,2), OFFSET(L$56:L$254,MATCH(D149,L$56:L$254,1)-1,0,2))),"")</f>
        <v>0</v>
      </c>
      <c r="L149" s="7" t="str">
        <f t="array" ref="L149">IFERROR(INDEX(D$56:D$1054,SMALL(IF(ISNUMBER(J$56:J$1054),ROW(D$1:D$999),""),ROW(D94))),"")</f>
        <v/>
      </c>
      <c r="M149" s="7" t="str">
        <f t="array" ref="M149">IFERROR(INDEX(J$56:J$1054,SMALL(IF(ISNUMBER(J$56:J$1054),ROW(J$1:J$999),""),ROW(J94))),"")</f>
        <v/>
      </c>
      <c r="N149" s="7"/>
      <c r="O149" s="7"/>
      <c r="P149" s="7"/>
      <c r="Q149" s="7">
        <f ca="1">IFERROR(IF(COUNTA(P$56:P149)=P$54,P149,FORECAST(D149,OFFSET(S$56:S$254,MATCH(D149,R$56:R$254,1)-1,0,2), OFFSET(R$56:R$254,MATCH(D149,R$56:R$254,1)-1,0,2))),"")</f>
        <v>0</v>
      </c>
      <c r="R149" s="7" t="str">
        <f t="array" ref="R149">IFERROR(INDEX(E$56:E$1054,SMALL(IF(ISNUMBER(P$56:P$1054),ROW(E$1:E$999),""),ROW(J94))),"")</f>
        <v/>
      </c>
      <c r="S149" s="7" t="str">
        <f t="array" ref="S149">IFERROR(INDEX(P$56:P$1054,SMALL(IF(ISNUMBER(P$56:P$1054),ROW(P$1:P$999),""),ROW(P94))),"")</f>
        <v/>
      </c>
      <c r="T149" s="7"/>
      <c r="U149" s="7"/>
      <c r="V149" s="7"/>
    </row>
    <row r="150" spans="1:22" x14ac:dyDescent="0.25">
      <c r="A150" s="6"/>
      <c r="B150" s="7"/>
      <c r="C150" s="7"/>
      <c r="D150" s="7"/>
      <c r="E150" s="8">
        <f t="shared" si="1"/>
        <v>0</v>
      </c>
      <c r="F150" s="10"/>
      <c r="G150" s="10"/>
      <c r="H150" s="9"/>
      <c r="I150" s="7"/>
      <c r="J150" s="7"/>
      <c r="K150" s="7">
        <f ca="1">IFERROR(IF(COUNTA(J$56:J150)=J$54,J150,FORECAST(D150,OFFSET(M$56:M$254,MATCH(D150,L$56:L$254,1)-1,0,2), OFFSET(L$56:L$254,MATCH(D150,L$56:L$254,1)-1,0,2))),"")</f>
        <v>0</v>
      </c>
      <c r="L150" s="7" t="str">
        <f t="array" ref="L150">IFERROR(INDEX(D$56:D$1054,SMALL(IF(ISNUMBER(J$56:J$1054),ROW(D$1:D$999),""),ROW(D95))),"")</f>
        <v/>
      </c>
      <c r="M150" s="7" t="str">
        <f t="array" ref="M150">IFERROR(INDEX(J$56:J$1054,SMALL(IF(ISNUMBER(J$56:J$1054),ROW(J$1:J$999),""),ROW(J95))),"")</f>
        <v/>
      </c>
      <c r="N150" s="7"/>
      <c r="O150" s="7"/>
      <c r="P150" s="7"/>
      <c r="Q150" s="7">
        <f ca="1">IFERROR(IF(COUNTA(P$56:P150)=P$54,P150,FORECAST(D150,OFFSET(S$56:S$254,MATCH(D150,R$56:R$254,1)-1,0,2), OFFSET(R$56:R$254,MATCH(D150,R$56:R$254,1)-1,0,2))),"")</f>
        <v>0</v>
      </c>
      <c r="R150" s="7" t="str">
        <f t="array" ref="R150">IFERROR(INDEX(E$56:E$1054,SMALL(IF(ISNUMBER(P$56:P$1054),ROW(E$1:E$999),""),ROW(J95))),"")</f>
        <v/>
      </c>
      <c r="S150" s="7" t="str">
        <f t="array" ref="S150">IFERROR(INDEX(P$56:P$1054,SMALL(IF(ISNUMBER(P$56:P$1054),ROW(P$1:P$999),""),ROW(P95))),"")</f>
        <v/>
      </c>
      <c r="T150" s="7"/>
      <c r="U150" s="7"/>
      <c r="V150" s="7"/>
    </row>
    <row r="151" spans="1:22" x14ac:dyDescent="0.25">
      <c r="A151" s="6"/>
      <c r="B151" s="7"/>
      <c r="C151" s="7"/>
      <c r="D151" s="7"/>
      <c r="E151" s="8">
        <f t="shared" si="1"/>
        <v>0</v>
      </c>
      <c r="F151" s="10"/>
      <c r="G151" s="10"/>
      <c r="H151" s="9"/>
      <c r="I151" s="7"/>
      <c r="J151" s="7"/>
      <c r="K151" s="7">
        <f ca="1">IFERROR(IF(COUNTA(J$56:J151)=J$54,J151,FORECAST(D151,OFFSET(M$56:M$254,MATCH(D151,L$56:L$254,1)-1,0,2), OFFSET(L$56:L$254,MATCH(D151,L$56:L$254,1)-1,0,2))),"")</f>
        <v>0</v>
      </c>
      <c r="L151" s="7" t="str">
        <f t="array" ref="L151">IFERROR(INDEX(D$56:D$1054,SMALL(IF(ISNUMBER(J$56:J$1054),ROW(D$1:D$999),""),ROW(D96))),"")</f>
        <v/>
      </c>
      <c r="M151" s="7" t="str">
        <f t="array" ref="M151">IFERROR(INDEX(J$56:J$1054,SMALL(IF(ISNUMBER(J$56:J$1054),ROW(J$1:J$999),""),ROW(J96))),"")</f>
        <v/>
      </c>
      <c r="N151" s="7"/>
      <c r="O151" s="7"/>
      <c r="P151" s="7"/>
      <c r="Q151" s="7">
        <f ca="1">IFERROR(IF(COUNTA(P$56:P151)=P$54,P151,FORECAST(D151,OFFSET(S$56:S$254,MATCH(D151,R$56:R$254,1)-1,0,2), OFFSET(R$56:R$254,MATCH(D151,R$56:R$254,1)-1,0,2))),"")</f>
        <v>0</v>
      </c>
      <c r="R151" s="7" t="str">
        <f t="array" ref="R151">IFERROR(INDEX(E$56:E$1054,SMALL(IF(ISNUMBER(P$56:P$1054),ROW(E$1:E$999),""),ROW(J96))),"")</f>
        <v/>
      </c>
      <c r="S151" s="7" t="str">
        <f t="array" ref="S151">IFERROR(INDEX(P$56:P$1054,SMALL(IF(ISNUMBER(P$56:P$1054),ROW(P$1:P$999),""),ROW(P96))),"")</f>
        <v/>
      </c>
      <c r="T151" s="7"/>
      <c r="U151" s="7"/>
      <c r="V151" s="7"/>
    </row>
    <row r="152" spans="1:22" x14ac:dyDescent="0.25">
      <c r="A152" s="6"/>
      <c r="B152" s="7"/>
      <c r="C152" s="7"/>
      <c r="D152" s="7"/>
      <c r="E152" s="8">
        <f t="shared" si="1"/>
        <v>0</v>
      </c>
      <c r="F152" s="10"/>
      <c r="G152" s="10"/>
      <c r="H152" s="9"/>
      <c r="I152" s="7"/>
      <c r="J152" s="7"/>
      <c r="K152" s="7">
        <f ca="1">IFERROR(IF(COUNTA(J$56:J152)=J$54,J152,FORECAST(D152,OFFSET(M$56:M$254,MATCH(D152,L$56:L$254,1)-1,0,2), OFFSET(L$56:L$254,MATCH(D152,L$56:L$254,1)-1,0,2))),"")</f>
        <v>0</v>
      </c>
      <c r="L152" s="7" t="str">
        <f t="array" ref="L152">IFERROR(INDEX(D$56:D$1054,SMALL(IF(ISNUMBER(J$56:J$1054),ROW(D$1:D$999),""),ROW(D97))),"")</f>
        <v/>
      </c>
      <c r="M152" s="7" t="str">
        <f t="array" ref="M152">IFERROR(INDEX(J$56:J$1054,SMALL(IF(ISNUMBER(J$56:J$1054),ROW(J$1:J$999),""),ROW(J97))),"")</f>
        <v/>
      </c>
      <c r="N152" s="7"/>
      <c r="O152" s="7"/>
      <c r="P152" s="7"/>
      <c r="Q152" s="7">
        <f ca="1">IFERROR(IF(COUNTA(P$56:P152)=P$54,P152,FORECAST(D152,OFFSET(S$56:S$254,MATCH(D152,R$56:R$254,1)-1,0,2), OFFSET(R$56:R$254,MATCH(D152,R$56:R$254,1)-1,0,2))),"")</f>
        <v>0</v>
      </c>
      <c r="R152" s="7" t="str">
        <f t="array" ref="R152">IFERROR(INDEX(E$56:E$1054,SMALL(IF(ISNUMBER(P$56:P$1054),ROW(E$1:E$999),""),ROW(J97))),"")</f>
        <v/>
      </c>
      <c r="S152" s="7" t="str">
        <f t="array" ref="S152">IFERROR(INDEX(P$56:P$1054,SMALL(IF(ISNUMBER(P$56:P$1054),ROW(P$1:P$999),""),ROW(P97))),"")</f>
        <v/>
      </c>
      <c r="T152" s="7"/>
      <c r="U152" s="7"/>
      <c r="V152" s="7"/>
    </row>
    <row r="153" spans="1:22" x14ac:dyDescent="0.25">
      <c r="A153" s="6"/>
      <c r="B153" s="7"/>
      <c r="C153" s="7"/>
      <c r="D153" s="7"/>
      <c r="E153" s="8">
        <f t="shared" si="1"/>
        <v>0</v>
      </c>
      <c r="F153" s="10"/>
      <c r="G153" s="10"/>
      <c r="H153" s="9"/>
      <c r="I153" s="7"/>
      <c r="J153" s="7"/>
      <c r="K153" s="7">
        <f ca="1">IFERROR(IF(COUNTA(J$56:J153)=J$54,J153,FORECAST(D153,OFFSET(M$56:M$254,MATCH(D153,L$56:L$254,1)-1,0,2), OFFSET(L$56:L$254,MATCH(D153,L$56:L$254,1)-1,0,2))),"")</f>
        <v>0</v>
      </c>
      <c r="L153" s="7" t="str">
        <f t="array" ref="L153">IFERROR(INDEX(D$56:D$1054,SMALL(IF(ISNUMBER(J$56:J$1054),ROW(D$1:D$999),""),ROW(D98))),"")</f>
        <v/>
      </c>
      <c r="M153" s="7" t="str">
        <f t="array" ref="M153">IFERROR(INDEX(J$56:J$1054,SMALL(IF(ISNUMBER(J$56:J$1054),ROW(J$1:J$999),""),ROW(J98))),"")</f>
        <v/>
      </c>
      <c r="N153" s="7"/>
      <c r="O153" s="7"/>
      <c r="P153" s="7"/>
      <c r="Q153" s="7">
        <f ca="1">IFERROR(IF(COUNTA(P$56:P153)=P$54,P153,FORECAST(D153,OFFSET(S$56:S$254,MATCH(D153,R$56:R$254,1)-1,0,2), OFFSET(R$56:R$254,MATCH(D153,R$56:R$254,1)-1,0,2))),"")</f>
        <v>0</v>
      </c>
      <c r="R153" s="7" t="str">
        <f t="array" ref="R153">IFERROR(INDEX(E$56:E$1054,SMALL(IF(ISNUMBER(P$56:P$1054),ROW(E$1:E$999),""),ROW(J98))),"")</f>
        <v/>
      </c>
      <c r="S153" s="7" t="str">
        <f t="array" ref="S153">IFERROR(INDEX(P$56:P$1054,SMALL(IF(ISNUMBER(P$56:P$1054),ROW(P$1:P$999),""),ROW(P98))),"")</f>
        <v/>
      </c>
      <c r="T153" s="7"/>
      <c r="U153" s="7"/>
      <c r="V153" s="7"/>
    </row>
    <row r="154" spans="1:22" x14ac:dyDescent="0.25">
      <c r="A154" s="6"/>
      <c r="B154" s="7"/>
      <c r="C154" s="7"/>
      <c r="D154" s="7"/>
      <c r="E154" s="8">
        <f t="shared" si="1"/>
        <v>0</v>
      </c>
      <c r="F154" s="10"/>
      <c r="G154" s="10"/>
      <c r="H154" s="9"/>
      <c r="I154" s="7"/>
      <c r="J154" s="7"/>
      <c r="K154" s="7">
        <f ca="1">IFERROR(IF(COUNTA(J$56:J154)=J$54,J154,FORECAST(D154,OFFSET(M$56:M$254,MATCH(D154,L$56:L$254,1)-1,0,2), OFFSET(L$56:L$254,MATCH(D154,L$56:L$254,1)-1,0,2))),"")</f>
        <v>0</v>
      </c>
      <c r="L154" s="7" t="str">
        <f t="array" ref="L154">IFERROR(INDEX(D$56:D$1054,SMALL(IF(ISNUMBER(J$56:J$1054),ROW(D$1:D$999),""),ROW(D99))),"")</f>
        <v/>
      </c>
      <c r="M154" s="7" t="str">
        <f t="array" ref="M154">IFERROR(INDEX(J$56:J$1054,SMALL(IF(ISNUMBER(J$56:J$1054),ROW(J$1:J$999),""),ROW(J99))),"")</f>
        <v/>
      </c>
      <c r="N154" s="7"/>
      <c r="O154" s="7"/>
      <c r="P154" s="7"/>
      <c r="Q154" s="7">
        <f ca="1">IFERROR(IF(COUNTA(P$56:P154)=P$54,P154,FORECAST(D154,OFFSET(S$56:S$254,MATCH(D154,R$56:R$254,1)-1,0,2), OFFSET(R$56:R$254,MATCH(D154,R$56:R$254,1)-1,0,2))),"")</f>
        <v>0</v>
      </c>
      <c r="R154" s="7" t="str">
        <f t="array" ref="R154">IFERROR(INDEX(E$56:E$1054,SMALL(IF(ISNUMBER(P$56:P$1054),ROW(E$1:E$999),""),ROW(J99))),"")</f>
        <v/>
      </c>
      <c r="S154" s="7" t="str">
        <f t="array" ref="S154">IFERROR(INDEX(P$56:P$1054,SMALL(IF(ISNUMBER(P$56:P$1054),ROW(P$1:P$999),""),ROW(P99))),"")</f>
        <v/>
      </c>
      <c r="T154" s="7"/>
      <c r="U154" s="7"/>
      <c r="V154" s="7"/>
    </row>
    <row r="155" spans="1:22" x14ac:dyDescent="0.25">
      <c r="A155" s="6"/>
      <c r="B155" s="7"/>
      <c r="C155" s="7"/>
      <c r="D155" s="7"/>
      <c r="E155" s="8">
        <f t="shared" si="1"/>
        <v>0</v>
      </c>
      <c r="F155" s="10"/>
      <c r="G155" s="10"/>
      <c r="H155" s="9"/>
      <c r="I155" s="7"/>
      <c r="J155" s="7"/>
      <c r="K155" s="7">
        <f ca="1">IFERROR(IF(COUNTA(J$56:J155)=J$54,J155,FORECAST(D155,OFFSET(M$56:M$254,MATCH(D155,L$56:L$254,1)-1,0,2), OFFSET(L$56:L$254,MATCH(D155,L$56:L$254,1)-1,0,2))),"")</f>
        <v>0</v>
      </c>
      <c r="L155" s="7" t="str">
        <f t="array" ref="L155">IFERROR(INDEX(D$56:D$1054,SMALL(IF(ISNUMBER(J$56:J$1054),ROW(D$1:D$999),""),ROW(D100))),"")</f>
        <v/>
      </c>
      <c r="M155" s="7" t="str">
        <f t="array" ref="M155">IFERROR(INDEX(J$56:J$1054,SMALL(IF(ISNUMBER(J$56:J$1054),ROW(J$1:J$999),""),ROW(J100))),"")</f>
        <v/>
      </c>
      <c r="N155" s="7"/>
      <c r="O155" s="7"/>
      <c r="P155" s="7"/>
      <c r="Q155" s="7">
        <f ca="1">IFERROR(IF(COUNTA(P$56:P155)=P$54,P155,FORECAST(D155,OFFSET(S$56:S$254,MATCH(D155,R$56:R$254,1)-1,0,2), OFFSET(R$56:R$254,MATCH(D155,R$56:R$254,1)-1,0,2))),"")</f>
        <v>0</v>
      </c>
      <c r="R155" s="7" t="str">
        <f t="array" ref="R155">IFERROR(INDEX(E$56:E$1054,SMALL(IF(ISNUMBER(P$56:P$1054),ROW(E$1:E$999),""),ROW(J100))),"")</f>
        <v/>
      </c>
      <c r="S155" s="7" t="str">
        <f t="array" ref="S155">IFERROR(INDEX(P$56:P$1054,SMALL(IF(ISNUMBER(P$56:P$1054),ROW(P$1:P$999),""),ROW(P100))),"")</f>
        <v/>
      </c>
      <c r="T155" s="7"/>
      <c r="U155" s="7"/>
      <c r="V155" s="7"/>
    </row>
    <row r="156" spans="1:22" x14ac:dyDescent="0.25">
      <c r="A156" s="6"/>
      <c r="B156" s="7"/>
      <c r="C156" s="7"/>
      <c r="D156" s="7"/>
      <c r="E156" s="8">
        <f t="shared" si="1"/>
        <v>0</v>
      </c>
      <c r="F156" s="10"/>
      <c r="G156" s="10"/>
      <c r="H156" s="9"/>
      <c r="I156" s="7"/>
      <c r="J156" s="7"/>
      <c r="K156" s="7">
        <f ca="1">IFERROR(IF(COUNTA(J$56:J156)=J$54,J156,FORECAST(D156,OFFSET(M$56:M$254,MATCH(D156,L$56:L$254,1)-1,0,2), OFFSET(L$56:L$254,MATCH(D156,L$56:L$254,1)-1,0,2))),"")</f>
        <v>0</v>
      </c>
      <c r="L156" s="7" t="str">
        <f t="array" ref="L156">IFERROR(INDEX(D$56:D$1054,SMALL(IF(ISNUMBER(J$56:J$1054),ROW(D$1:D$999),""),ROW(D101))),"")</f>
        <v/>
      </c>
      <c r="M156" s="7" t="str">
        <f t="array" ref="M156">IFERROR(INDEX(J$56:J$1054,SMALL(IF(ISNUMBER(J$56:J$1054),ROW(J$1:J$999),""),ROW(J101))),"")</f>
        <v/>
      </c>
      <c r="N156" s="7"/>
      <c r="O156" s="7"/>
      <c r="P156" s="7"/>
      <c r="Q156" s="7">
        <f ca="1">IFERROR(IF(COUNTA(P$56:P156)=P$54,P156,FORECAST(D156,OFFSET(S$56:S$254,MATCH(D156,R$56:R$254,1)-1,0,2), OFFSET(R$56:R$254,MATCH(D156,R$56:R$254,1)-1,0,2))),"")</f>
        <v>0</v>
      </c>
      <c r="R156" s="7" t="str">
        <f t="array" ref="R156">IFERROR(INDEX(E$56:E$1054,SMALL(IF(ISNUMBER(P$56:P$1054),ROW(E$1:E$999),""),ROW(J101))),"")</f>
        <v/>
      </c>
      <c r="S156" s="7" t="str">
        <f t="array" ref="S156">IFERROR(INDEX(P$56:P$1054,SMALL(IF(ISNUMBER(P$56:P$1054),ROW(P$1:P$999),""),ROW(P101))),"")</f>
        <v/>
      </c>
      <c r="T156" s="7"/>
      <c r="U156" s="7"/>
      <c r="V156" s="7"/>
    </row>
    <row r="157" spans="1:22" x14ac:dyDescent="0.25">
      <c r="A157" s="6"/>
      <c r="B157" s="7"/>
      <c r="C157" s="7"/>
      <c r="D157" s="7"/>
      <c r="E157" s="8">
        <f t="shared" si="1"/>
        <v>0</v>
      </c>
      <c r="F157" s="10"/>
      <c r="G157" s="10"/>
      <c r="H157" s="9"/>
      <c r="I157" s="7"/>
      <c r="J157" s="7"/>
      <c r="K157" s="7">
        <f ca="1">IFERROR(IF(COUNTA(J$56:J157)=J$54,J157,FORECAST(D157,OFFSET(M$56:M$254,MATCH(D157,L$56:L$254,1)-1,0,2), OFFSET(L$56:L$254,MATCH(D157,L$56:L$254,1)-1,0,2))),"")</f>
        <v>0</v>
      </c>
      <c r="L157" s="7" t="str">
        <f t="array" ref="L157">IFERROR(INDEX(D$56:D$1054,SMALL(IF(ISNUMBER(J$56:J$1054),ROW(D$1:D$999),""),ROW(D102))),"")</f>
        <v/>
      </c>
      <c r="M157" s="7" t="str">
        <f t="array" ref="M157">IFERROR(INDEX(J$56:J$1054,SMALL(IF(ISNUMBER(J$56:J$1054),ROW(J$1:J$999),""),ROW(J102))),"")</f>
        <v/>
      </c>
      <c r="N157" s="7"/>
      <c r="O157" s="7"/>
      <c r="P157" s="7"/>
      <c r="Q157" s="7">
        <f ca="1">IFERROR(IF(COUNTA(P$56:P157)=P$54,P157,FORECAST(D157,OFFSET(S$56:S$254,MATCH(D157,R$56:R$254,1)-1,0,2), OFFSET(R$56:R$254,MATCH(D157,R$56:R$254,1)-1,0,2))),"")</f>
        <v>0</v>
      </c>
      <c r="R157" s="7" t="str">
        <f t="array" ref="R157">IFERROR(INDEX(E$56:E$1054,SMALL(IF(ISNUMBER(P$56:P$1054),ROW(E$1:E$999),""),ROW(J102))),"")</f>
        <v/>
      </c>
      <c r="S157" s="7" t="str">
        <f t="array" ref="S157">IFERROR(INDEX(P$56:P$1054,SMALL(IF(ISNUMBER(P$56:P$1054),ROW(P$1:P$999),""),ROW(P102))),"")</f>
        <v/>
      </c>
      <c r="T157" s="7"/>
      <c r="U157" s="7"/>
      <c r="V157" s="7"/>
    </row>
    <row r="158" spans="1:22" x14ac:dyDescent="0.25">
      <c r="A158" s="6"/>
      <c r="B158" s="7"/>
      <c r="C158" s="7"/>
      <c r="D158" s="7"/>
      <c r="E158" s="8">
        <f t="shared" si="1"/>
        <v>0</v>
      </c>
      <c r="F158" s="10"/>
      <c r="G158" s="10"/>
      <c r="H158" s="9"/>
      <c r="I158" s="7"/>
      <c r="J158" s="7"/>
      <c r="K158" s="7">
        <f ca="1">IFERROR(IF(COUNTA(J$56:J158)=J$54,J158,FORECAST(D158,OFFSET(M$56:M$254,MATCH(D158,L$56:L$254,1)-1,0,2), OFFSET(L$56:L$254,MATCH(D158,L$56:L$254,1)-1,0,2))),"")</f>
        <v>0</v>
      </c>
      <c r="L158" s="7" t="str">
        <f t="array" ref="L158">IFERROR(INDEX(D$56:D$1054,SMALL(IF(ISNUMBER(J$56:J$1054),ROW(D$1:D$999),""),ROW(D103))),"")</f>
        <v/>
      </c>
      <c r="M158" s="7" t="str">
        <f t="array" ref="M158">IFERROR(INDEX(J$56:J$1054,SMALL(IF(ISNUMBER(J$56:J$1054),ROW(J$1:J$999),""),ROW(J103))),"")</f>
        <v/>
      </c>
      <c r="N158" s="7"/>
      <c r="O158" s="7"/>
      <c r="P158" s="7"/>
      <c r="Q158" s="7">
        <f ca="1">IFERROR(IF(COUNTA(P$56:P158)=P$54,P158,FORECAST(D158,OFFSET(S$56:S$254,MATCH(D158,R$56:R$254,1)-1,0,2), OFFSET(R$56:R$254,MATCH(D158,R$56:R$254,1)-1,0,2))),"")</f>
        <v>0</v>
      </c>
      <c r="R158" s="7" t="str">
        <f t="array" ref="R158">IFERROR(INDEX(E$56:E$1054,SMALL(IF(ISNUMBER(P$56:P$1054),ROW(E$1:E$999),""),ROW(J103))),"")</f>
        <v/>
      </c>
      <c r="S158" s="7" t="str">
        <f t="array" ref="S158">IFERROR(INDEX(P$56:P$1054,SMALL(IF(ISNUMBER(P$56:P$1054),ROW(P$1:P$999),""),ROW(P103))),"")</f>
        <v/>
      </c>
      <c r="T158" s="7"/>
      <c r="U158" s="7"/>
      <c r="V158" s="7"/>
    </row>
    <row r="159" spans="1:22" x14ac:dyDescent="0.25">
      <c r="A159" s="6"/>
      <c r="B159" s="7"/>
      <c r="C159" s="7"/>
      <c r="D159" s="7"/>
      <c r="E159" s="8">
        <f t="shared" si="1"/>
        <v>0</v>
      </c>
      <c r="F159" s="10"/>
      <c r="G159" s="10"/>
      <c r="H159" s="9"/>
      <c r="I159" s="7"/>
      <c r="J159" s="7"/>
      <c r="K159" s="7">
        <f ca="1">IFERROR(IF(COUNTA(J$56:J159)=J$54,J159,FORECAST(D159,OFFSET(M$56:M$254,MATCH(D159,L$56:L$254,1)-1,0,2), OFFSET(L$56:L$254,MATCH(D159,L$56:L$254,1)-1,0,2))),"")</f>
        <v>0</v>
      </c>
      <c r="L159" s="7" t="str">
        <f t="array" ref="L159">IFERROR(INDEX(D$56:D$1054,SMALL(IF(ISNUMBER(J$56:J$1054),ROW(D$1:D$999),""),ROW(D104))),"")</f>
        <v/>
      </c>
      <c r="M159" s="7" t="str">
        <f t="array" ref="M159">IFERROR(INDEX(J$56:J$1054,SMALL(IF(ISNUMBER(J$56:J$1054),ROW(J$1:J$999),""),ROW(J104))),"")</f>
        <v/>
      </c>
      <c r="N159" s="7"/>
      <c r="O159" s="7"/>
      <c r="P159" s="7"/>
      <c r="Q159" s="7">
        <f ca="1">IFERROR(IF(COUNTA(P$56:P159)=P$54,P159,FORECAST(D159,OFFSET(S$56:S$254,MATCH(D159,R$56:R$254,1)-1,0,2), OFFSET(R$56:R$254,MATCH(D159,R$56:R$254,1)-1,0,2))),"")</f>
        <v>0</v>
      </c>
      <c r="R159" s="7" t="str">
        <f t="array" ref="R159">IFERROR(INDEX(E$56:E$1054,SMALL(IF(ISNUMBER(P$56:P$1054),ROW(E$1:E$999),""),ROW(J104))),"")</f>
        <v/>
      </c>
      <c r="S159" s="7" t="str">
        <f t="array" ref="S159">IFERROR(INDEX(P$56:P$1054,SMALL(IF(ISNUMBER(P$56:P$1054),ROW(P$1:P$999),""),ROW(P104))),"")</f>
        <v/>
      </c>
      <c r="T159" s="7"/>
      <c r="U159" s="7"/>
      <c r="V159" s="7"/>
    </row>
    <row r="160" spans="1:22" x14ac:dyDescent="0.25">
      <c r="A160" s="6"/>
      <c r="B160" s="7"/>
      <c r="C160" s="7"/>
      <c r="D160" s="7"/>
      <c r="E160" s="8">
        <f t="shared" si="1"/>
        <v>0</v>
      </c>
      <c r="F160" s="10"/>
      <c r="G160" s="10"/>
      <c r="H160" s="9"/>
      <c r="I160" s="7"/>
      <c r="J160" s="7"/>
      <c r="K160" s="7">
        <f ca="1">IFERROR(IF(COUNTA(J$56:J160)=J$54,J160,FORECAST(D160,OFFSET(M$56:M$254,MATCH(D160,L$56:L$254,1)-1,0,2), OFFSET(L$56:L$254,MATCH(D160,L$56:L$254,1)-1,0,2))),"")</f>
        <v>0</v>
      </c>
      <c r="L160" s="7" t="str">
        <f t="array" ref="L160">IFERROR(INDEX(D$56:D$1054,SMALL(IF(ISNUMBER(J$56:J$1054),ROW(D$1:D$999),""),ROW(D105))),"")</f>
        <v/>
      </c>
      <c r="M160" s="7" t="str">
        <f t="array" ref="M160">IFERROR(INDEX(J$56:J$1054,SMALL(IF(ISNUMBER(J$56:J$1054),ROW(J$1:J$999),""),ROW(J105))),"")</f>
        <v/>
      </c>
      <c r="N160" s="7"/>
      <c r="O160" s="7"/>
      <c r="P160" s="7"/>
      <c r="Q160" s="7">
        <f ca="1">IFERROR(IF(COUNTA(P$56:P160)=P$54,P160,FORECAST(D160,OFFSET(S$56:S$254,MATCH(D160,R$56:R$254,1)-1,0,2), OFFSET(R$56:R$254,MATCH(D160,R$56:R$254,1)-1,0,2))),"")</f>
        <v>0</v>
      </c>
      <c r="R160" s="7" t="str">
        <f t="array" ref="R160">IFERROR(INDEX(E$56:E$1054,SMALL(IF(ISNUMBER(P$56:P$1054),ROW(E$1:E$999),""),ROW(J105))),"")</f>
        <v/>
      </c>
      <c r="S160" s="7" t="str">
        <f t="array" ref="S160">IFERROR(INDEX(P$56:P$1054,SMALL(IF(ISNUMBER(P$56:P$1054),ROW(P$1:P$999),""),ROW(P105))),"")</f>
        <v/>
      </c>
      <c r="T160" s="7"/>
      <c r="U160" s="7"/>
      <c r="V160" s="7"/>
    </row>
    <row r="161" spans="1:22" x14ac:dyDescent="0.25">
      <c r="A161" s="6"/>
      <c r="B161" s="7"/>
      <c r="C161" s="7"/>
      <c r="D161" s="7"/>
      <c r="E161" s="8">
        <f t="shared" si="1"/>
        <v>0</v>
      </c>
      <c r="F161" s="10"/>
      <c r="G161" s="10"/>
      <c r="H161" s="9"/>
      <c r="I161" s="7"/>
      <c r="J161" s="7"/>
      <c r="K161" s="7">
        <f ca="1">IFERROR(IF(COUNTA(J$56:J161)=J$54,J161,FORECAST(D161,OFFSET(M$56:M$254,MATCH(D161,L$56:L$254,1)-1,0,2), OFFSET(L$56:L$254,MATCH(D161,L$56:L$254,1)-1,0,2))),"")</f>
        <v>0</v>
      </c>
      <c r="L161" s="7" t="str">
        <f t="array" ref="L161">IFERROR(INDEX(D$56:D$1054,SMALL(IF(ISNUMBER(J$56:J$1054),ROW(D$1:D$999),""),ROW(D106))),"")</f>
        <v/>
      </c>
      <c r="M161" s="7" t="str">
        <f t="array" ref="M161">IFERROR(INDEX(J$56:J$1054,SMALL(IF(ISNUMBER(J$56:J$1054),ROW(J$1:J$999),""),ROW(J106))),"")</f>
        <v/>
      </c>
      <c r="N161" s="7"/>
      <c r="O161" s="7"/>
      <c r="P161" s="7"/>
      <c r="Q161" s="7">
        <f ca="1">IFERROR(IF(COUNTA(P$56:P161)=P$54,P161,FORECAST(D161,OFFSET(S$56:S$254,MATCH(D161,R$56:R$254,1)-1,0,2), OFFSET(R$56:R$254,MATCH(D161,R$56:R$254,1)-1,0,2))),"")</f>
        <v>0</v>
      </c>
      <c r="R161" s="7" t="str">
        <f t="array" ref="R161">IFERROR(INDEX(E$56:E$1054,SMALL(IF(ISNUMBER(P$56:P$1054),ROW(E$1:E$999),""),ROW(J106))),"")</f>
        <v/>
      </c>
      <c r="S161" s="7" t="str">
        <f t="array" ref="S161">IFERROR(INDEX(P$56:P$1054,SMALL(IF(ISNUMBER(P$56:P$1054),ROW(P$1:P$999),""),ROW(P106))),"")</f>
        <v/>
      </c>
      <c r="T161" s="7"/>
      <c r="U161" s="7"/>
      <c r="V161" s="7"/>
    </row>
    <row r="162" spans="1:22" x14ac:dyDescent="0.25">
      <c r="A162" s="6"/>
      <c r="B162" s="7"/>
      <c r="C162" s="7"/>
      <c r="D162" s="7"/>
      <c r="E162" s="8">
        <f t="shared" si="1"/>
        <v>0</v>
      </c>
      <c r="F162" s="10"/>
      <c r="G162" s="10"/>
      <c r="H162" s="9"/>
      <c r="I162" s="7"/>
      <c r="J162" s="7"/>
      <c r="K162" s="7">
        <f ca="1">IFERROR(IF(COUNTA(J$56:J162)=J$54,J162,FORECAST(D162,OFFSET(M$56:M$254,MATCH(D162,L$56:L$254,1)-1,0,2), OFFSET(L$56:L$254,MATCH(D162,L$56:L$254,1)-1,0,2))),"")</f>
        <v>0</v>
      </c>
      <c r="L162" s="7" t="str">
        <f t="array" ref="L162">IFERROR(INDEX(D$56:D$1054,SMALL(IF(ISNUMBER(J$56:J$1054),ROW(D$1:D$999),""),ROW(D107))),"")</f>
        <v/>
      </c>
      <c r="M162" s="7" t="str">
        <f t="array" ref="M162">IFERROR(INDEX(J$56:J$1054,SMALL(IF(ISNUMBER(J$56:J$1054),ROW(J$1:J$999),""),ROW(J107))),"")</f>
        <v/>
      </c>
      <c r="N162" s="7"/>
      <c r="O162" s="7"/>
      <c r="P162" s="7"/>
      <c r="Q162" s="7">
        <f ca="1">IFERROR(IF(COUNTA(P$56:P162)=P$54,P162,FORECAST(D162,OFFSET(S$56:S$254,MATCH(D162,R$56:R$254,1)-1,0,2), OFFSET(R$56:R$254,MATCH(D162,R$56:R$254,1)-1,0,2))),"")</f>
        <v>0</v>
      </c>
      <c r="R162" s="7" t="str">
        <f t="array" ref="R162">IFERROR(INDEX(E$56:E$1054,SMALL(IF(ISNUMBER(P$56:P$1054),ROW(E$1:E$999),""),ROW(J107))),"")</f>
        <v/>
      </c>
      <c r="S162" s="7" t="str">
        <f t="array" ref="S162">IFERROR(INDEX(P$56:P$1054,SMALL(IF(ISNUMBER(P$56:P$1054),ROW(P$1:P$999),""),ROW(P107))),"")</f>
        <v/>
      </c>
      <c r="T162" s="7"/>
      <c r="U162" s="7"/>
      <c r="V162" s="7"/>
    </row>
    <row r="163" spans="1:22" x14ac:dyDescent="0.25">
      <c r="A163" s="6"/>
      <c r="B163" s="7"/>
      <c r="C163" s="7"/>
      <c r="D163" s="7"/>
      <c r="E163" s="8">
        <f t="shared" si="1"/>
        <v>0</v>
      </c>
      <c r="F163" s="10"/>
      <c r="G163" s="10"/>
      <c r="H163" s="9"/>
      <c r="I163" s="7"/>
      <c r="J163" s="7"/>
      <c r="K163" s="7">
        <f ca="1">IFERROR(IF(COUNTA(J$56:J163)=J$54,J163,FORECAST(D163,OFFSET(M$56:M$254,MATCH(D163,L$56:L$254,1)-1,0,2), OFFSET(L$56:L$254,MATCH(D163,L$56:L$254,1)-1,0,2))),"")</f>
        <v>0</v>
      </c>
      <c r="L163" s="7" t="str">
        <f t="array" ref="L163">IFERROR(INDEX(D$56:D$1054,SMALL(IF(ISNUMBER(J$56:J$1054),ROW(D$1:D$999),""),ROW(D108))),"")</f>
        <v/>
      </c>
      <c r="M163" s="7" t="str">
        <f t="array" ref="M163">IFERROR(INDEX(J$56:J$1054,SMALL(IF(ISNUMBER(J$56:J$1054),ROW(J$1:J$999),""),ROW(J108))),"")</f>
        <v/>
      </c>
      <c r="N163" s="7"/>
      <c r="O163" s="7"/>
      <c r="P163" s="7"/>
      <c r="Q163" s="7">
        <f ca="1">IFERROR(IF(COUNTA(P$56:P163)=P$54,P163,FORECAST(D163,OFFSET(S$56:S$254,MATCH(D163,R$56:R$254,1)-1,0,2), OFFSET(R$56:R$254,MATCH(D163,R$56:R$254,1)-1,0,2))),"")</f>
        <v>0</v>
      </c>
      <c r="R163" s="7" t="str">
        <f t="array" ref="R163">IFERROR(INDEX(E$56:E$1054,SMALL(IF(ISNUMBER(P$56:P$1054),ROW(E$1:E$999),""),ROW(J108))),"")</f>
        <v/>
      </c>
      <c r="S163" s="7" t="str">
        <f t="array" ref="S163">IFERROR(INDEX(P$56:P$1054,SMALL(IF(ISNUMBER(P$56:P$1054),ROW(P$1:P$999),""),ROW(P108))),"")</f>
        <v/>
      </c>
      <c r="T163" s="7"/>
      <c r="U163" s="7"/>
      <c r="V163" s="7"/>
    </row>
    <row r="164" spans="1:22" x14ac:dyDescent="0.25">
      <c r="A164" s="6"/>
      <c r="B164" s="7"/>
      <c r="C164" s="7"/>
      <c r="D164" s="7"/>
      <c r="E164" s="8">
        <f t="shared" si="1"/>
        <v>0</v>
      </c>
      <c r="F164" s="10"/>
      <c r="G164" s="10"/>
      <c r="H164" s="9"/>
      <c r="I164" s="7"/>
      <c r="J164" s="7"/>
      <c r="K164" s="7">
        <f ca="1">IFERROR(IF(COUNTA(J$56:J164)=J$54,J164,FORECAST(D164,OFFSET(M$56:M$254,MATCH(D164,L$56:L$254,1)-1,0,2), OFFSET(L$56:L$254,MATCH(D164,L$56:L$254,1)-1,0,2))),"")</f>
        <v>0</v>
      </c>
      <c r="L164" s="7" t="str">
        <f t="array" ref="L164">IFERROR(INDEX(D$56:D$1054,SMALL(IF(ISNUMBER(J$56:J$1054),ROW(D$1:D$999),""),ROW(D109))),"")</f>
        <v/>
      </c>
      <c r="M164" s="7" t="str">
        <f t="array" ref="M164">IFERROR(INDEX(J$56:J$1054,SMALL(IF(ISNUMBER(J$56:J$1054),ROW(J$1:J$999),""),ROW(J109))),"")</f>
        <v/>
      </c>
      <c r="N164" s="7"/>
      <c r="O164" s="7"/>
      <c r="P164" s="7"/>
      <c r="Q164" s="7">
        <f ca="1">IFERROR(IF(COUNTA(P$56:P164)=P$54,P164,FORECAST(D164,OFFSET(S$56:S$254,MATCH(D164,R$56:R$254,1)-1,0,2), OFFSET(R$56:R$254,MATCH(D164,R$56:R$254,1)-1,0,2))),"")</f>
        <v>0</v>
      </c>
      <c r="R164" s="7" t="str">
        <f t="array" ref="R164">IFERROR(INDEX(E$56:E$1054,SMALL(IF(ISNUMBER(P$56:P$1054),ROW(E$1:E$999),""),ROW(J109))),"")</f>
        <v/>
      </c>
      <c r="S164" s="7" t="str">
        <f t="array" ref="S164">IFERROR(INDEX(P$56:P$1054,SMALL(IF(ISNUMBER(P$56:P$1054),ROW(P$1:P$999),""),ROW(P109))),"")</f>
        <v/>
      </c>
      <c r="T164" s="7"/>
      <c r="U164" s="7"/>
      <c r="V164" s="7"/>
    </row>
    <row r="165" spans="1:22" x14ac:dyDescent="0.25">
      <c r="A165" s="6"/>
      <c r="B165" s="7"/>
      <c r="C165" s="7"/>
      <c r="D165" s="7"/>
      <c r="E165" s="8">
        <f t="shared" si="1"/>
        <v>0</v>
      </c>
      <c r="F165" s="10"/>
      <c r="G165" s="10"/>
      <c r="H165" s="9"/>
      <c r="I165" s="7"/>
      <c r="J165" s="7"/>
      <c r="K165" s="7">
        <f ca="1">IFERROR(IF(COUNTA(J$56:J165)=J$54,J165,FORECAST(D165,OFFSET(M$56:M$254,MATCH(D165,L$56:L$254,1)-1,0,2), OFFSET(L$56:L$254,MATCH(D165,L$56:L$254,1)-1,0,2))),"")</f>
        <v>0</v>
      </c>
      <c r="L165" s="7" t="str">
        <f t="array" ref="L165">IFERROR(INDEX(D$56:D$1054,SMALL(IF(ISNUMBER(J$56:J$1054),ROW(D$1:D$999),""),ROW(D110))),"")</f>
        <v/>
      </c>
      <c r="M165" s="7" t="str">
        <f t="array" ref="M165">IFERROR(INDEX(J$56:J$1054,SMALL(IF(ISNUMBER(J$56:J$1054),ROW(J$1:J$999),""),ROW(J110))),"")</f>
        <v/>
      </c>
      <c r="N165" s="7"/>
      <c r="O165" s="7"/>
      <c r="P165" s="7"/>
      <c r="Q165" s="7">
        <f ca="1">IFERROR(IF(COUNTA(P$56:P165)=P$54,P165,FORECAST(D165,OFFSET(S$56:S$254,MATCH(D165,R$56:R$254,1)-1,0,2), OFFSET(R$56:R$254,MATCH(D165,R$56:R$254,1)-1,0,2))),"")</f>
        <v>0</v>
      </c>
      <c r="R165" s="7" t="str">
        <f t="array" ref="R165">IFERROR(INDEX(E$56:E$1054,SMALL(IF(ISNUMBER(P$56:P$1054),ROW(E$1:E$999),""),ROW(J110))),"")</f>
        <v/>
      </c>
      <c r="S165" s="7" t="str">
        <f t="array" ref="S165">IFERROR(INDEX(P$56:P$1054,SMALL(IF(ISNUMBER(P$56:P$1054),ROW(P$1:P$999),""),ROW(P110))),"")</f>
        <v/>
      </c>
      <c r="T165" s="7"/>
      <c r="U165" s="7"/>
      <c r="V165" s="7"/>
    </row>
    <row r="166" spans="1:22" x14ac:dyDescent="0.25">
      <c r="A166" s="6"/>
      <c r="B166" s="7"/>
      <c r="C166" s="7"/>
      <c r="D166" s="7"/>
      <c r="E166" s="8">
        <f t="shared" si="1"/>
        <v>0</v>
      </c>
      <c r="F166" s="10"/>
      <c r="G166" s="10"/>
      <c r="H166" s="9"/>
      <c r="I166" s="7"/>
      <c r="J166" s="7"/>
      <c r="K166" s="7">
        <f ca="1">IFERROR(IF(COUNTA(J$56:J166)=J$54,J166,FORECAST(D166,OFFSET(M$56:M$254,MATCH(D166,L$56:L$254,1)-1,0,2), OFFSET(L$56:L$254,MATCH(D166,L$56:L$254,1)-1,0,2))),"")</f>
        <v>0</v>
      </c>
      <c r="L166" s="7" t="str">
        <f t="array" ref="L166">IFERROR(INDEX(D$56:D$1054,SMALL(IF(ISNUMBER(J$56:J$1054),ROW(D$1:D$999),""),ROW(D111))),"")</f>
        <v/>
      </c>
      <c r="M166" s="7" t="str">
        <f t="array" ref="M166">IFERROR(INDEX(J$56:J$1054,SMALL(IF(ISNUMBER(J$56:J$1054),ROW(J$1:J$999),""),ROW(J111))),"")</f>
        <v/>
      </c>
      <c r="N166" s="7"/>
      <c r="O166" s="7"/>
      <c r="P166" s="7"/>
      <c r="Q166" s="7">
        <f ca="1">IFERROR(IF(COUNTA(P$56:P166)=P$54,P166,FORECAST(D166,OFFSET(S$56:S$254,MATCH(D166,R$56:R$254,1)-1,0,2), OFFSET(R$56:R$254,MATCH(D166,R$56:R$254,1)-1,0,2))),"")</f>
        <v>0</v>
      </c>
      <c r="R166" s="7" t="str">
        <f t="array" ref="R166">IFERROR(INDEX(E$56:E$1054,SMALL(IF(ISNUMBER(P$56:P$1054),ROW(E$1:E$999),""),ROW(J111))),"")</f>
        <v/>
      </c>
      <c r="S166" s="7" t="str">
        <f t="array" ref="S166">IFERROR(INDEX(P$56:P$1054,SMALL(IF(ISNUMBER(P$56:P$1054),ROW(P$1:P$999),""),ROW(P111))),"")</f>
        <v/>
      </c>
      <c r="T166" s="7"/>
      <c r="U166" s="7"/>
      <c r="V166" s="7"/>
    </row>
    <row r="167" spans="1:22" x14ac:dyDescent="0.25">
      <c r="A167" s="6"/>
      <c r="B167" s="7"/>
      <c r="C167" s="7"/>
      <c r="D167" s="7"/>
      <c r="E167" s="8">
        <f t="shared" si="1"/>
        <v>0</v>
      </c>
      <c r="F167" s="10"/>
      <c r="G167" s="10"/>
      <c r="H167" s="9"/>
      <c r="I167" s="7"/>
      <c r="J167" s="7"/>
      <c r="K167" s="7">
        <f ca="1">IFERROR(IF(COUNTA(J$56:J167)=J$54,J167,FORECAST(D167,OFFSET(M$56:M$254,MATCH(D167,L$56:L$254,1)-1,0,2), OFFSET(L$56:L$254,MATCH(D167,L$56:L$254,1)-1,0,2))),"")</f>
        <v>0</v>
      </c>
      <c r="L167" s="7" t="str">
        <f t="array" ref="L167">IFERROR(INDEX(D$56:D$1054,SMALL(IF(ISNUMBER(J$56:J$1054),ROW(D$1:D$999),""),ROW(D112))),"")</f>
        <v/>
      </c>
      <c r="M167" s="7" t="str">
        <f t="array" ref="M167">IFERROR(INDEX(J$56:J$1054,SMALL(IF(ISNUMBER(J$56:J$1054),ROW(J$1:J$999),""),ROW(J112))),"")</f>
        <v/>
      </c>
      <c r="N167" s="7"/>
      <c r="O167" s="7"/>
      <c r="P167" s="7"/>
      <c r="Q167" s="7">
        <f ca="1">IFERROR(IF(COUNTA(P$56:P167)=P$54,P167,FORECAST(D167,OFFSET(S$56:S$254,MATCH(D167,R$56:R$254,1)-1,0,2), OFFSET(R$56:R$254,MATCH(D167,R$56:R$254,1)-1,0,2))),"")</f>
        <v>0</v>
      </c>
      <c r="R167" s="7" t="str">
        <f t="array" ref="R167">IFERROR(INDEX(E$56:E$1054,SMALL(IF(ISNUMBER(P$56:P$1054),ROW(E$1:E$999),""),ROW(J112))),"")</f>
        <v/>
      </c>
      <c r="S167" s="7" t="str">
        <f t="array" ref="S167">IFERROR(INDEX(P$56:P$1054,SMALL(IF(ISNUMBER(P$56:P$1054),ROW(P$1:P$999),""),ROW(P112))),"")</f>
        <v/>
      </c>
      <c r="T167" s="7"/>
      <c r="U167" s="7"/>
      <c r="V167" s="7"/>
    </row>
    <row r="168" spans="1:22" x14ac:dyDescent="0.25">
      <c r="A168" s="6"/>
      <c r="B168" s="7"/>
      <c r="C168" s="7"/>
      <c r="D168" s="7"/>
      <c r="E168" s="8">
        <f t="shared" si="1"/>
        <v>0</v>
      </c>
      <c r="F168" s="10"/>
      <c r="G168" s="10"/>
      <c r="H168" s="9"/>
      <c r="I168" s="7"/>
      <c r="J168" s="7"/>
      <c r="K168" s="7">
        <f ca="1">IFERROR(IF(COUNTA(J$56:J168)=J$54,J168,FORECAST(D168,OFFSET(M$56:M$254,MATCH(D168,L$56:L$254,1)-1,0,2), OFFSET(L$56:L$254,MATCH(D168,L$56:L$254,1)-1,0,2))),"")</f>
        <v>0</v>
      </c>
      <c r="L168" s="7" t="str">
        <f t="array" ref="L168">IFERROR(INDEX(D$56:D$1054,SMALL(IF(ISNUMBER(J$56:J$1054),ROW(D$1:D$999),""),ROW(D113))),"")</f>
        <v/>
      </c>
      <c r="M168" s="7" t="str">
        <f t="array" ref="M168">IFERROR(INDEX(J$56:J$1054,SMALL(IF(ISNUMBER(J$56:J$1054),ROW(J$1:J$999),""),ROW(J113))),"")</f>
        <v/>
      </c>
      <c r="N168" s="7"/>
      <c r="O168" s="7"/>
      <c r="P168" s="7"/>
      <c r="Q168" s="7">
        <f ca="1">IFERROR(IF(COUNTA(P$56:P168)=P$54,P168,FORECAST(D168,OFFSET(S$56:S$254,MATCH(D168,R$56:R$254,1)-1,0,2), OFFSET(R$56:R$254,MATCH(D168,R$56:R$254,1)-1,0,2))),"")</f>
        <v>0</v>
      </c>
      <c r="R168" s="7" t="str">
        <f t="array" ref="R168">IFERROR(INDEX(E$56:E$1054,SMALL(IF(ISNUMBER(P$56:P$1054),ROW(E$1:E$999),""),ROW(J113))),"")</f>
        <v/>
      </c>
      <c r="S168" s="7" t="str">
        <f t="array" ref="S168">IFERROR(INDEX(P$56:P$1054,SMALL(IF(ISNUMBER(P$56:P$1054),ROW(P$1:P$999),""),ROW(P113))),"")</f>
        <v/>
      </c>
      <c r="T168" s="7"/>
      <c r="U168" s="7"/>
      <c r="V168" s="7"/>
    </row>
    <row r="169" spans="1:22" x14ac:dyDescent="0.25">
      <c r="A169" s="6"/>
      <c r="B169" s="7"/>
      <c r="C169" s="7"/>
      <c r="D169" s="7"/>
      <c r="E169" s="8">
        <f t="shared" si="1"/>
        <v>0</v>
      </c>
      <c r="F169" s="10"/>
      <c r="G169" s="10"/>
      <c r="H169" s="9"/>
      <c r="I169" s="7"/>
      <c r="J169" s="7"/>
      <c r="K169" s="7">
        <f ca="1">IFERROR(IF(COUNTA(J$56:J169)=J$54,J169,FORECAST(D169,OFFSET(M$56:M$254,MATCH(D169,L$56:L$254,1)-1,0,2), OFFSET(L$56:L$254,MATCH(D169,L$56:L$254,1)-1,0,2))),"")</f>
        <v>0</v>
      </c>
      <c r="L169" s="7" t="str">
        <f t="array" ref="L169">IFERROR(INDEX(D$56:D$1054,SMALL(IF(ISNUMBER(J$56:J$1054),ROW(D$1:D$999),""),ROW(D114))),"")</f>
        <v/>
      </c>
      <c r="M169" s="7" t="str">
        <f t="array" ref="M169">IFERROR(INDEX(J$56:J$1054,SMALL(IF(ISNUMBER(J$56:J$1054),ROW(J$1:J$999),""),ROW(J114))),"")</f>
        <v/>
      </c>
      <c r="N169" s="7"/>
      <c r="O169" s="7"/>
      <c r="P169" s="7"/>
      <c r="Q169" s="7">
        <f ca="1">IFERROR(IF(COUNTA(P$56:P169)=P$54,P169,FORECAST(D169,OFFSET(S$56:S$254,MATCH(D169,R$56:R$254,1)-1,0,2), OFFSET(R$56:R$254,MATCH(D169,R$56:R$254,1)-1,0,2))),"")</f>
        <v>0</v>
      </c>
      <c r="R169" s="7" t="str">
        <f t="array" ref="R169">IFERROR(INDEX(E$56:E$1054,SMALL(IF(ISNUMBER(P$56:P$1054),ROW(E$1:E$999),""),ROW(J114))),"")</f>
        <v/>
      </c>
      <c r="S169" s="7" t="str">
        <f t="array" ref="S169">IFERROR(INDEX(P$56:P$1054,SMALL(IF(ISNUMBER(P$56:P$1054),ROW(P$1:P$999),""),ROW(P114))),"")</f>
        <v/>
      </c>
      <c r="T169" s="7"/>
      <c r="U169" s="7"/>
      <c r="V169" s="7"/>
    </row>
    <row r="170" spans="1:22" x14ac:dyDescent="0.25">
      <c r="A170" s="6"/>
      <c r="B170" s="7"/>
      <c r="C170" s="7"/>
      <c r="D170" s="7"/>
      <c r="E170" s="8">
        <f t="shared" si="1"/>
        <v>0</v>
      </c>
      <c r="F170" s="10"/>
      <c r="G170" s="10"/>
      <c r="H170" s="9"/>
      <c r="I170" s="7"/>
      <c r="J170" s="7"/>
      <c r="K170" s="7">
        <f ca="1">IFERROR(IF(COUNTA(J$56:J170)=J$54,J170,FORECAST(D170,OFFSET(M$56:M$254,MATCH(D170,L$56:L$254,1)-1,0,2), OFFSET(L$56:L$254,MATCH(D170,L$56:L$254,1)-1,0,2))),"")</f>
        <v>0</v>
      </c>
      <c r="L170" s="7" t="str">
        <f t="array" ref="L170">IFERROR(INDEX(D$56:D$1054,SMALL(IF(ISNUMBER(J$56:J$1054),ROW(D$1:D$999),""),ROW(D115))),"")</f>
        <v/>
      </c>
      <c r="M170" s="7" t="str">
        <f t="array" ref="M170">IFERROR(INDEX(J$56:J$1054,SMALL(IF(ISNUMBER(J$56:J$1054),ROW(J$1:J$999),""),ROW(J115))),"")</f>
        <v/>
      </c>
      <c r="N170" s="7"/>
      <c r="O170" s="7"/>
      <c r="P170" s="7"/>
      <c r="Q170" s="7">
        <f ca="1">IFERROR(IF(COUNTA(P$56:P170)=P$54,P170,FORECAST(D170,OFFSET(S$56:S$254,MATCH(D170,R$56:R$254,1)-1,0,2), OFFSET(R$56:R$254,MATCH(D170,R$56:R$254,1)-1,0,2))),"")</f>
        <v>0</v>
      </c>
      <c r="R170" s="7" t="str">
        <f t="array" ref="R170">IFERROR(INDEX(E$56:E$1054,SMALL(IF(ISNUMBER(P$56:P$1054),ROW(E$1:E$999),""),ROW(J115))),"")</f>
        <v/>
      </c>
      <c r="S170" s="7" t="str">
        <f t="array" ref="S170">IFERROR(INDEX(P$56:P$1054,SMALL(IF(ISNUMBER(P$56:P$1054),ROW(P$1:P$999),""),ROW(P115))),"")</f>
        <v/>
      </c>
      <c r="T170" s="7"/>
      <c r="U170" s="7"/>
      <c r="V170" s="7"/>
    </row>
    <row r="171" spans="1:22" x14ac:dyDescent="0.25">
      <c r="A171" s="6"/>
      <c r="B171" s="7"/>
      <c r="C171" s="7"/>
      <c r="D171" s="7"/>
      <c r="E171" s="8">
        <f t="shared" si="1"/>
        <v>0</v>
      </c>
      <c r="F171" s="10"/>
      <c r="G171" s="10"/>
      <c r="H171" s="9"/>
      <c r="I171" s="7"/>
      <c r="J171" s="7"/>
      <c r="K171" s="7">
        <f ca="1">IFERROR(IF(COUNTA(J$56:J171)=J$54,J171,FORECAST(D171,OFFSET(M$56:M$254,MATCH(D171,L$56:L$254,1)-1,0,2), OFFSET(L$56:L$254,MATCH(D171,L$56:L$254,1)-1,0,2))),"")</f>
        <v>0</v>
      </c>
      <c r="L171" s="7" t="str">
        <f t="array" ref="L171">IFERROR(INDEX(D$56:D$1054,SMALL(IF(ISNUMBER(J$56:J$1054),ROW(D$1:D$999),""),ROW(D116))),"")</f>
        <v/>
      </c>
      <c r="M171" s="7" t="str">
        <f t="array" ref="M171">IFERROR(INDEX(J$56:J$1054,SMALL(IF(ISNUMBER(J$56:J$1054),ROW(J$1:J$999),""),ROW(J116))),"")</f>
        <v/>
      </c>
      <c r="N171" s="7"/>
      <c r="O171" s="7"/>
      <c r="P171" s="7"/>
      <c r="Q171" s="7">
        <f ca="1">IFERROR(IF(COUNTA(P$56:P171)=P$54,P171,FORECAST(D171,OFFSET(S$56:S$254,MATCH(D171,R$56:R$254,1)-1,0,2), OFFSET(R$56:R$254,MATCH(D171,R$56:R$254,1)-1,0,2))),"")</f>
        <v>0</v>
      </c>
      <c r="R171" s="7" t="str">
        <f t="array" ref="R171">IFERROR(INDEX(E$56:E$1054,SMALL(IF(ISNUMBER(P$56:P$1054),ROW(E$1:E$999),""),ROW(J116))),"")</f>
        <v/>
      </c>
      <c r="S171" s="7" t="str">
        <f t="array" ref="S171">IFERROR(INDEX(P$56:P$1054,SMALL(IF(ISNUMBER(P$56:P$1054),ROW(P$1:P$999),""),ROW(P116))),"")</f>
        <v/>
      </c>
      <c r="T171" s="7"/>
      <c r="U171" s="7"/>
      <c r="V171" s="7"/>
    </row>
    <row r="172" spans="1:22" x14ac:dyDescent="0.25">
      <c r="A172" s="6"/>
      <c r="B172" s="7"/>
      <c r="C172" s="7"/>
      <c r="D172" s="7"/>
      <c r="E172" s="8">
        <f t="shared" si="1"/>
        <v>0</v>
      </c>
      <c r="F172" s="10"/>
      <c r="G172" s="10"/>
      <c r="H172" s="9"/>
      <c r="I172" s="7"/>
      <c r="J172" s="7"/>
      <c r="K172" s="7">
        <f ca="1">IFERROR(IF(COUNTA(J$56:J172)=J$54,J172,FORECAST(D172,OFFSET(M$56:M$254,MATCH(D172,L$56:L$254,1)-1,0,2), OFFSET(L$56:L$254,MATCH(D172,L$56:L$254,1)-1,0,2))),"")</f>
        <v>0</v>
      </c>
      <c r="L172" s="7" t="str">
        <f t="array" ref="L172">IFERROR(INDEX(D$56:D$1054,SMALL(IF(ISNUMBER(J$56:J$1054),ROW(D$1:D$999),""),ROW(D117))),"")</f>
        <v/>
      </c>
      <c r="M172" s="7" t="str">
        <f t="array" ref="M172">IFERROR(INDEX(J$56:J$1054,SMALL(IF(ISNUMBER(J$56:J$1054),ROW(J$1:J$999),""),ROW(J117))),"")</f>
        <v/>
      </c>
      <c r="N172" s="7"/>
      <c r="O172" s="7"/>
      <c r="P172" s="7"/>
      <c r="Q172" s="7">
        <f ca="1">IFERROR(IF(COUNTA(P$56:P172)=P$54,P172,FORECAST(D172,OFFSET(S$56:S$254,MATCH(D172,R$56:R$254,1)-1,0,2), OFFSET(R$56:R$254,MATCH(D172,R$56:R$254,1)-1,0,2))),"")</f>
        <v>0</v>
      </c>
      <c r="R172" s="7" t="str">
        <f t="array" ref="R172">IFERROR(INDEX(E$56:E$1054,SMALL(IF(ISNUMBER(P$56:P$1054),ROW(E$1:E$999),""),ROW(J117))),"")</f>
        <v/>
      </c>
      <c r="S172" s="7" t="str">
        <f t="array" ref="S172">IFERROR(INDEX(P$56:P$1054,SMALL(IF(ISNUMBER(P$56:P$1054),ROW(P$1:P$999),""),ROW(P117))),"")</f>
        <v/>
      </c>
      <c r="T172" s="7"/>
      <c r="U172" s="7"/>
      <c r="V172" s="7"/>
    </row>
    <row r="173" spans="1:22" x14ac:dyDescent="0.25">
      <c r="A173" s="6"/>
      <c r="B173" s="7"/>
      <c r="C173" s="7"/>
      <c r="D173" s="7"/>
      <c r="E173" s="8">
        <f t="shared" si="1"/>
        <v>0</v>
      </c>
      <c r="F173" s="10"/>
      <c r="G173" s="10"/>
      <c r="H173" s="9"/>
      <c r="I173" s="7"/>
      <c r="J173" s="7"/>
      <c r="K173" s="7">
        <f ca="1">IFERROR(IF(COUNTA(J$56:J173)=J$54,J173,FORECAST(D173,OFFSET(M$56:M$254,MATCH(D173,L$56:L$254,1)-1,0,2), OFFSET(L$56:L$254,MATCH(D173,L$56:L$254,1)-1,0,2))),"")</f>
        <v>0</v>
      </c>
      <c r="L173" s="7" t="str">
        <f t="array" ref="L173">IFERROR(INDEX(D$56:D$1054,SMALL(IF(ISNUMBER(J$56:J$1054),ROW(D$1:D$999),""),ROW(D118))),"")</f>
        <v/>
      </c>
      <c r="M173" s="7" t="str">
        <f t="array" ref="M173">IFERROR(INDEX(J$56:J$1054,SMALL(IF(ISNUMBER(J$56:J$1054),ROW(J$1:J$999),""),ROW(J118))),"")</f>
        <v/>
      </c>
      <c r="N173" s="7"/>
      <c r="O173" s="7"/>
      <c r="P173" s="7"/>
      <c r="Q173" s="7">
        <f ca="1">IFERROR(IF(COUNTA(P$56:P173)=P$54,P173,FORECAST(D173,OFFSET(S$56:S$254,MATCH(D173,R$56:R$254,1)-1,0,2), OFFSET(R$56:R$254,MATCH(D173,R$56:R$254,1)-1,0,2))),"")</f>
        <v>0</v>
      </c>
      <c r="R173" s="7" t="str">
        <f t="array" ref="R173">IFERROR(INDEX(E$56:E$1054,SMALL(IF(ISNUMBER(P$56:P$1054),ROW(E$1:E$999),""),ROW(J118))),"")</f>
        <v/>
      </c>
      <c r="S173" s="7" t="str">
        <f t="array" ref="S173">IFERROR(INDEX(P$56:P$1054,SMALL(IF(ISNUMBER(P$56:P$1054),ROW(P$1:P$999),""),ROW(P118))),"")</f>
        <v/>
      </c>
      <c r="T173" s="7"/>
      <c r="U173" s="7"/>
      <c r="V173" s="7"/>
    </row>
    <row r="174" spans="1:22" x14ac:dyDescent="0.25">
      <c r="A174" s="6"/>
      <c r="B174" s="7"/>
      <c r="C174" s="7"/>
      <c r="D174" s="7"/>
      <c r="E174" s="8">
        <f t="shared" si="1"/>
        <v>0</v>
      </c>
      <c r="F174" s="10"/>
      <c r="G174" s="10"/>
      <c r="H174" s="9"/>
      <c r="I174" s="7"/>
      <c r="J174" s="7"/>
      <c r="K174" s="7">
        <f ca="1">IFERROR(IF(COUNTA(J$56:J174)=J$54,J174,FORECAST(D174,OFFSET(M$56:M$254,MATCH(D174,L$56:L$254,1)-1,0,2), OFFSET(L$56:L$254,MATCH(D174,L$56:L$254,1)-1,0,2))),"")</f>
        <v>0</v>
      </c>
      <c r="L174" s="7" t="str">
        <f t="array" ref="L174">IFERROR(INDEX(D$56:D$1054,SMALL(IF(ISNUMBER(J$56:J$1054),ROW(D$1:D$999),""),ROW(D119))),"")</f>
        <v/>
      </c>
      <c r="M174" s="7" t="str">
        <f t="array" ref="M174">IFERROR(INDEX(J$56:J$1054,SMALL(IF(ISNUMBER(J$56:J$1054),ROW(J$1:J$999),""),ROW(J119))),"")</f>
        <v/>
      </c>
      <c r="N174" s="7"/>
      <c r="O174" s="7"/>
      <c r="P174" s="7"/>
      <c r="Q174" s="7">
        <f ca="1">IFERROR(IF(COUNTA(P$56:P174)=P$54,P174,FORECAST(D174,OFFSET(S$56:S$254,MATCH(D174,R$56:R$254,1)-1,0,2), OFFSET(R$56:R$254,MATCH(D174,R$56:R$254,1)-1,0,2))),"")</f>
        <v>0</v>
      </c>
      <c r="R174" s="7" t="str">
        <f t="array" ref="R174">IFERROR(INDEX(E$56:E$1054,SMALL(IF(ISNUMBER(P$56:P$1054),ROW(E$1:E$999),""),ROW(J119))),"")</f>
        <v/>
      </c>
      <c r="S174" s="7" t="str">
        <f t="array" ref="S174">IFERROR(INDEX(P$56:P$1054,SMALL(IF(ISNUMBER(P$56:P$1054),ROW(P$1:P$999),""),ROW(P119))),"")</f>
        <v/>
      </c>
      <c r="T174" s="7"/>
      <c r="U174" s="7"/>
      <c r="V174" s="7"/>
    </row>
    <row r="175" spans="1:22" x14ac:dyDescent="0.25">
      <c r="A175" s="6"/>
      <c r="B175" s="7"/>
      <c r="C175" s="7"/>
      <c r="D175" s="7"/>
      <c r="E175" s="8">
        <f t="shared" si="1"/>
        <v>0</v>
      </c>
      <c r="F175" s="10"/>
      <c r="G175" s="10"/>
      <c r="H175" s="9"/>
      <c r="I175" s="7"/>
      <c r="J175" s="7"/>
      <c r="K175" s="7">
        <f ca="1">IFERROR(IF(COUNTA(J$56:J175)=J$54,J175,FORECAST(D175,OFFSET(M$56:M$254,MATCH(D175,L$56:L$254,1)-1,0,2), OFFSET(L$56:L$254,MATCH(D175,L$56:L$254,1)-1,0,2))),"")</f>
        <v>0</v>
      </c>
      <c r="L175" s="7" t="str">
        <f t="array" ref="L175">IFERROR(INDEX(D$56:D$1054,SMALL(IF(ISNUMBER(J$56:J$1054),ROW(D$1:D$999),""),ROW(D120))),"")</f>
        <v/>
      </c>
      <c r="M175" s="7" t="str">
        <f t="array" ref="M175">IFERROR(INDEX(J$56:J$1054,SMALL(IF(ISNUMBER(J$56:J$1054),ROW(J$1:J$999),""),ROW(J120))),"")</f>
        <v/>
      </c>
      <c r="N175" s="7"/>
      <c r="O175" s="7"/>
      <c r="P175" s="7"/>
      <c r="Q175" s="7">
        <f ca="1">IFERROR(IF(COUNTA(P$56:P175)=P$54,P175,FORECAST(D175,OFFSET(S$56:S$254,MATCH(D175,R$56:R$254,1)-1,0,2), OFFSET(R$56:R$254,MATCH(D175,R$56:R$254,1)-1,0,2))),"")</f>
        <v>0</v>
      </c>
      <c r="R175" s="7" t="str">
        <f t="array" ref="R175">IFERROR(INDEX(E$56:E$1054,SMALL(IF(ISNUMBER(P$56:P$1054),ROW(E$1:E$999),""),ROW(J120))),"")</f>
        <v/>
      </c>
      <c r="S175" s="7" t="str">
        <f t="array" ref="S175">IFERROR(INDEX(P$56:P$1054,SMALL(IF(ISNUMBER(P$56:P$1054),ROW(P$1:P$999),""),ROW(P120))),"")</f>
        <v/>
      </c>
      <c r="T175" s="7"/>
      <c r="U175" s="7"/>
      <c r="V175" s="7"/>
    </row>
    <row r="176" spans="1:22" x14ac:dyDescent="0.25">
      <c r="A176" s="6"/>
      <c r="B176" s="7"/>
      <c r="C176" s="7"/>
      <c r="D176" s="7"/>
      <c r="E176" s="8">
        <f t="shared" si="1"/>
        <v>0</v>
      </c>
      <c r="F176" s="10"/>
      <c r="G176" s="10"/>
      <c r="H176" s="9"/>
      <c r="I176" s="7"/>
      <c r="J176" s="7"/>
      <c r="K176" s="7">
        <f ca="1">IFERROR(IF(COUNTA(J$56:J176)=J$54,J176,FORECAST(D176,OFFSET(M$56:M$254,MATCH(D176,L$56:L$254,1)-1,0,2), OFFSET(L$56:L$254,MATCH(D176,L$56:L$254,1)-1,0,2))),"")</f>
        <v>0</v>
      </c>
      <c r="L176" s="7" t="str">
        <f t="array" ref="L176">IFERROR(INDEX(D$56:D$1054,SMALL(IF(ISNUMBER(J$56:J$1054),ROW(D$1:D$999),""),ROW(D121))),"")</f>
        <v/>
      </c>
      <c r="M176" s="7" t="str">
        <f t="array" ref="M176">IFERROR(INDEX(J$56:J$1054,SMALL(IF(ISNUMBER(J$56:J$1054),ROW(J$1:J$999),""),ROW(J121))),"")</f>
        <v/>
      </c>
      <c r="N176" s="7"/>
      <c r="O176" s="7"/>
      <c r="P176" s="7"/>
      <c r="Q176" s="7">
        <f ca="1">IFERROR(IF(COUNTA(P$56:P176)=P$54,P176,FORECAST(D176,OFFSET(S$56:S$254,MATCH(D176,R$56:R$254,1)-1,0,2), OFFSET(R$56:R$254,MATCH(D176,R$56:R$254,1)-1,0,2))),"")</f>
        <v>0</v>
      </c>
      <c r="R176" s="7" t="str">
        <f t="array" ref="R176">IFERROR(INDEX(E$56:E$1054,SMALL(IF(ISNUMBER(P$56:P$1054),ROW(E$1:E$999),""),ROW(J121))),"")</f>
        <v/>
      </c>
      <c r="S176" s="7" t="str">
        <f t="array" ref="S176">IFERROR(INDEX(P$56:P$1054,SMALL(IF(ISNUMBER(P$56:P$1054),ROW(P$1:P$999),""),ROW(P121))),"")</f>
        <v/>
      </c>
      <c r="T176" s="7"/>
      <c r="U176" s="7"/>
      <c r="V176" s="7"/>
    </row>
    <row r="177" spans="1:22" x14ac:dyDescent="0.25">
      <c r="A177" s="6"/>
      <c r="B177" s="7"/>
      <c r="C177" s="7"/>
      <c r="D177" s="7"/>
      <c r="E177" s="8">
        <f t="shared" si="1"/>
        <v>0</v>
      </c>
      <c r="F177" s="10"/>
      <c r="G177" s="10"/>
      <c r="H177" s="9"/>
      <c r="I177" s="7"/>
      <c r="J177" s="7"/>
      <c r="K177" s="7">
        <f ca="1">IFERROR(IF(COUNTA(J$56:J177)=J$54,J177,FORECAST(D177,OFFSET(M$56:M$254,MATCH(D177,L$56:L$254,1)-1,0,2), OFFSET(L$56:L$254,MATCH(D177,L$56:L$254,1)-1,0,2))),"")</f>
        <v>0</v>
      </c>
      <c r="L177" s="7" t="str">
        <f t="array" ref="L177">IFERROR(INDEX(D$56:D$1054,SMALL(IF(ISNUMBER(J$56:J$1054),ROW(D$1:D$999),""),ROW(D122))),"")</f>
        <v/>
      </c>
      <c r="M177" s="7" t="str">
        <f t="array" ref="M177">IFERROR(INDEX(J$56:J$1054,SMALL(IF(ISNUMBER(J$56:J$1054),ROW(J$1:J$999),""),ROW(J122))),"")</f>
        <v/>
      </c>
      <c r="N177" s="7"/>
      <c r="O177" s="7"/>
      <c r="P177" s="7"/>
      <c r="Q177" s="7">
        <f ca="1">IFERROR(IF(COUNTA(P$56:P177)=P$54,P177,FORECAST(D177,OFFSET(S$56:S$254,MATCH(D177,R$56:R$254,1)-1,0,2), OFFSET(R$56:R$254,MATCH(D177,R$56:R$254,1)-1,0,2))),"")</f>
        <v>0</v>
      </c>
      <c r="R177" s="7" t="str">
        <f t="array" ref="R177">IFERROR(INDEX(E$56:E$1054,SMALL(IF(ISNUMBER(P$56:P$1054),ROW(E$1:E$999),""),ROW(J122))),"")</f>
        <v/>
      </c>
      <c r="S177" s="7" t="str">
        <f t="array" ref="S177">IFERROR(INDEX(P$56:P$1054,SMALL(IF(ISNUMBER(P$56:P$1054),ROW(P$1:P$999),""),ROW(P122))),"")</f>
        <v/>
      </c>
      <c r="T177" s="7"/>
      <c r="U177" s="7"/>
      <c r="V177" s="7"/>
    </row>
    <row r="178" spans="1:22" x14ac:dyDescent="0.25">
      <c r="A178" s="6"/>
      <c r="B178" s="7"/>
      <c r="C178" s="7"/>
      <c r="D178" s="7"/>
      <c r="E178" s="8">
        <f t="shared" si="1"/>
        <v>0</v>
      </c>
      <c r="F178" s="10"/>
      <c r="G178" s="10"/>
      <c r="H178" s="9"/>
      <c r="I178" s="7"/>
      <c r="J178" s="7"/>
      <c r="K178" s="7">
        <f ca="1">IFERROR(IF(COUNTA(J$56:J178)=J$54,J178,FORECAST(D178,OFFSET(M$56:M$254,MATCH(D178,L$56:L$254,1)-1,0,2), OFFSET(L$56:L$254,MATCH(D178,L$56:L$254,1)-1,0,2))),"")</f>
        <v>0</v>
      </c>
      <c r="L178" s="7" t="str">
        <f t="array" ref="L178">IFERROR(INDEX(D$56:D$1054,SMALL(IF(ISNUMBER(J$56:J$1054),ROW(D$1:D$999),""),ROW(D123))),"")</f>
        <v/>
      </c>
      <c r="M178" s="7" t="str">
        <f t="array" ref="M178">IFERROR(INDEX(J$56:J$1054,SMALL(IF(ISNUMBER(J$56:J$1054),ROW(J$1:J$999),""),ROW(J123))),"")</f>
        <v/>
      </c>
      <c r="N178" s="7"/>
      <c r="O178" s="7"/>
      <c r="P178" s="7"/>
      <c r="Q178" s="7">
        <f ca="1">IFERROR(IF(COUNTA(P$56:P178)=P$54,P178,FORECAST(D178,OFFSET(S$56:S$254,MATCH(D178,R$56:R$254,1)-1,0,2), OFFSET(R$56:R$254,MATCH(D178,R$56:R$254,1)-1,0,2))),"")</f>
        <v>0</v>
      </c>
      <c r="R178" s="7" t="str">
        <f t="array" ref="R178">IFERROR(INDEX(E$56:E$1054,SMALL(IF(ISNUMBER(P$56:P$1054),ROW(E$1:E$999),""),ROW(J123))),"")</f>
        <v/>
      </c>
      <c r="S178" s="7" t="str">
        <f t="array" ref="S178">IFERROR(INDEX(P$56:P$1054,SMALL(IF(ISNUMBER(P$56:P$1054),ROW(P$1:P$999),""),ROW(P123))),"")</f>
        <v/>
      </c>
      <c r="T178" s="7"/>
      <c r="U178" s="7"/>
      <c r="V178" s="7"/>
    </row>
    <row r="179" spans="1:22" x14ac:dyDescent="0.25">
      <c r="A179" s="6"/>
      <c r="B179" s="7"/>
      <c r="C179" s="7"/>
      <c r="D179" s="7"/>
      <c r="E179" s="8">
        <f t="shared" si="1"/>
        <v>0</v>
      </c>
      <c r="F179" s="10"/>
      <c r="G179" s="10"/>
      <c r="H179" s="9"/>
      <c r="I179" s="7"/>
      <c r="J179" s="7"/>
      <c r="K179" s="7">
        <f ca="1">IFERROR(IF(COUNTA(J$56:J179)=J$54,J179,FORECAST(D179,OFFSET(M$56:M$254,MATCH(D179,L$56:L$254,1)-1,0,2), OFFSET(L$56:L$254,MATCH(D179,L$56:L$254,1)-1,0,2))),"")</f>
        <v>0</v>
      </c>
      <c r="L179" s="7" t="str">
        <f t="array" ref="L179">IFERROR(INDEX(D$56:D$1054,SMALL(IF(ISNUMBER(J$56:J$1054),ROW(D$1:D$999),""),ROW(D124))),"")</f>
        <v/>
      </c>
      <c r="M179" s="7" t="str">
        <f t="array" ref="M179">IFERROR(INDEX(J$56:J$1054,SMALL(IF(ISNUMBER(J$56:J$1054),ROW(J$1:J$999),""),ROW(J124))),"")</f>
        <v/>
      </c>
      <c r="N179" s="7"/>
      <c r="O179" s="7"/>
      <c r="P179" s="7"/>
      <c r="Q179" s="7">
        <f ca="1">IFERROR(IF(COUNTA(P$56:P179)=P$54,P179,FORECAST(D179,OFFSET(S$56:S$254,MATCH(D179,R$56:R$254,1)-1,0,2), OFFSET(R$56:R$254,MATCH(D179,R$56:R$254,1)-1,0,2))),"")</f>
        <v>0</v>
      </c>
      <c r="R179" s="7" t="str">
        <f t="array" ref="R179">IFERROR(INDEX(E$56:E$1054,SMALL(IF(ISNUMBER(P$56:P$1054),ROW(E$1:E$999),""),ROW(J124))),"")</f>
        <v/>
      </c>
      <c r="S179" s="7" t="str">
        <f t="array" ref="S179">IFERROR(INDEX(P$56:P$1054,SMALL(IF(ISNUMBER(P$56:P$1054),ROW(P$1:P$999),""),ROW(P124))),"")</f>
        <v/>
      </c>
      <c r="T179" s="7"/>
      <c r="U179" s="7"/>
      <c r="V179" s="7"/>
    </row>
    <row r="180" spans="1:22" x14ac:dyDescent="0.25">
      <c r="A180" s="6"/>
      <c r="B180" s="7"/>
      <c r="C180" s="7"/>
      <c r="D180" s="7"/>
      <c r="E180" s="8">
        <f t="shared" si="1"/>
        <v>0</v>
      </c>
      <c r="F180" s="10"/>
      <c r="G180" s="10"/>
      <c r="H180" s="9"/>
      <c r="I180" s="7"/>
      <c r="J180" s="7"/>
      <c r="K180" s="7">
        <f ca="1">IFERROR(IF(COUNTA(J$56:J180)=J$54,J180,FORECAST(D180,OFFSET(M$56:M$254,MATCH(D180,L$56:L$254,1)-1,0,2), OFFSET(L$56:L$254,MATCH(D180,L$56:L$254,1)-1,0,2))),"")</f>
        <v>0</v>
      </c>
      <c r="L180" s="7" t="str">
        <f t="array" ref="L180">IFERROR(INDEX(D$56:D$1054,SMALL(IF(ISNUMBER(J$56:J$1054),ROW(D$1:D$999),""),ROW(D125))),"")</f>
        <v/>
      </c>
      <c r="M180" s="7" t="str">
        <f t="array" ref="M180">IFERROR(INDEX(J$56:J$1054,SMALL(IF(ISNUMBER(J$56:J$1054),ROW(J$1:J$999),""),ROW(J125))),"")</f>
        <v/>
      </c>
      <c r="N180" s="7"/>
      <c r="O180" s="7"/>
      <c r="P180" s="7"/>
      <c r="Q180" s="7">
        <f ca="1">IFERROR(IF(COUNTA(P$56:P180)=P$54,P180,FORECAST(D180,OFFSET(S$56:S$254,MATCH(D180,R$56:R$254,1)-1,0,2), OFFSET(R$56:R$254,MATCH(D180,R$56:R$254,1)-1,0,2))),"")</f>
        <v>0</v>
      </c>
      <c r="R180" s="7" t="str">
        <f t="array" ref="R180">IFERROR(INDEX(E$56:E$1054,SMALL(IF(ISNUMBER(P$56:P$1054),ROW(E$1:E$999),""),ROW(J125))),"")</f>
        <v/>
      </c>
      <c r="S180" s="7" t="str">
        <f t="array" ref="S180">IFERROR(INDEX(P$56:P$1054,SMALL(IF(ISNUMBER(P$56:P$1054),ROW(P$1:P$999),""),ROW(P125))),"")</f>
        <v/>
      </c>
      <c r="T180" s="7"/>
      <c r="U180" s="7"/>
      <c r="V180" s="7"/>
    </row>
    <row r="181" spans="1:22" x14ac:dyDescent="0.25">
      <c r="A181" s="6"/>
      <c r="B181" s="7"/>
      <c r="C181" s="7"/>
      <c r="D181" s="7"/>
      <c r="E181" s="8">
        <f t="shared" si="1"/>
        <v>0</v>
      </c>
      <c r="F181" s="10"/>
      <c r="G181" s="10"/>
      <c r="H181" s="9"/>
      <c r="I181" s="7"/>
      <c r="J181" s="7"/>
      <c r="K181" s="7">
        <f ca="1">IFERROR(IF(COUNTA(J$56:J181)=J$54,J181,FORECAST(D181,OFFSET(M$56:M$254,MATCH(D181,L$56:L$254,1)-1,0,2), OFFSET(L$56:L$254,MATCH(D181,L$56:L$254,1)-1,0,2))),"")</f>
        <v>0</v>
      </c>
      <c r="L181" s="7" t="str">
        <f t="array" ref="L181">IFERROR(INDEX(D$56:D$1054,SMALL(IF(ISNUMBER(J$56:J$1054),ROW(D$1:D$999),""),ROW(D126))),"")</f>
        <v/>
      </c>
      <c r="M181" s="7" t="str">
        <f t="array" ref="M181">IFERROR(INDEX(J$56:J$1054,SMALL(IF(ISNUMBER(J$56:J$1054),ROW(J$1:J$999),""),ROW(J126))),"")</f>
        <v/>
      </c>
      <c r="N181" s="7"/>
      <c r="O181" s="7"/>
      <c r="P181" s="7"/>
      <c r="Q181" s="7">
        <f ca="1">IFERROR(IF(COUNTA(P$56:P181)=P$54,P181,FORECAST(D181,OFFSET(S$56:S$254,MATCH(D181,R$56:R$254,1)-1,0,2), OFFSET(R$56:R$254,MATCH(D181,R$56:R$254,1)-1,0,2))),"")</f>
        <v>0</v>
      </c>
      <c r="R181" s="7" t="str">
        <f t="array" ref="R181">IFERROR(INDEX(E$56:E$1054,SMALL(IF(ISNUMBER(P$56:P$1054),ROW(E$1:E$999),""),ROW(J126))),"")</f>
        <v/>
      </c>
      <c r="S181" s="7" t="str">
        <f t="array" ref="S181">IFERROR(INDEX(P$56:P$1054,SMALL(IF(ISNUMBER(P$56:P$1054),ROW(P$1:P$999),""),ROW(P126))),"")</f>
        <v/>
      </c>
      <c r="T181" s="7"/>
      <c r="U181" s="7"/>
      <c r="V181" s="7"/>
    </row>
    <row r="182" spans="1:22" x14ac:dyDescent="0.25">
      <c r="A182" s="6"/>
      <c r="B182" s="7"/>
      <c r="C182" s="7"/>
      <c r="D182" s="7"/>
      <c r="E182" s="8">
        <f t="shared" si="1"/>
        <v>0</v>
      </c>
      <c r="F182" s="10"/>
      <c r="G182" s="10"/>
      <c r="H182" s="9"/>
      <c r="I182" s="7"/>
      <c r="J182" s="7"/>
      <c r="K182" s="7">
        <f ca="1">IFERROR(IF(COUNTA(J$56:J182)=J$54,J182,FORECAST(D182,OFFSET(M$56:M$254,MATCH(D182,L$56:L$254,1)-1,0,2), OFFSET(L$56:L$254,MATCH(D182,L$56:L$254,1)-1,0,2))),"")</f>
        <v>0</v>
      </c>
      <c r="L182" s="7" t="str">
        <f t="array" ref="L182">IFERROR(INDEX(D$56:D$1054,SMALL(IF(ISNUMBER(J$56:J$1054),ROW(D$1:D$999),""),ROW(D127))),"")</f>
        <v/>
      </c>
      <c r="M182" s="7" t="str">
        <f t="array" ref="M182">IFERROR(INDEX(J$56:J$1054,SMALL(IF(ISNUMBER(J$56:J$1054),ROW(J$1:J$999),""),ROW(J127))),"")</f>
        <v/>
      </c>
      <c r="N182" s="7"/>
      <c r="O182" s="7"/>
      <c r="P182" s="7"/>
      <c r="Q182" s="7">
        <f ca="1">IFERROR(IF(COUNTA(P$56:P182)=P$54,P182,FORECAST(D182,OFFSET(S$56:S$254,MATCH(D182,R$56:R$254,1)-1,0,2), OFFSET(R$56:R$254,MATCH(D182,R$56:R$254,1)-1,0,2))),"")</f>
        <v>0</v>
      </c>
      <c r="R182" s="7" t="str">
        <f t="array" ref="R182">IFERROR(INDEX(E$56:E$1054,SMALL(IF(ISNUMBER(P$56:P$1054),ROW(E$1:E$999),""),ROW(J127))),"")</f>
        <v/>
      </c>
      <c r="S182" s="7" t="str">
        <f t="array" ref="S182">IFERROR(INDEX(P$56:P$1054,SMALL(IF(ISNUMBER(P$56:P$1054),ROW(P$1:P$999),""),ROW(P127))),"")</f>
        <v/>
      </c>
      <c r="T182" s="7"/>
      <c r="U182" s="7"/>
      <c r="V182" s="7"/>
    </row>
    <row r="183" spans="1:22" x14ac:dyDescent="0.25">
      <c r="A183" s="6"/>
      <c r="B183" s="7"/>
      <c r="C183" s="7"/>
      <c r="D183" s="7"/>
      <c r="E183" s="8">
        <f t="shared" si="1"/>
        <v>0</v>
      </c>
      <c r="F183" s="10"/>
      <c r="G183" s="10"/>
      <c r="H183" s="9"/>
      <c r="I183" s="7"/>
      <c r="J183" s="7"/>
      <c r="K183" s="7">
        <f ca="1">IFERROR(IF(COUNTA(J$56:J183)=J$54,J183,FORECAST(D183,OFFSET(M$56:M$254,MATCH(D183,L$56:L$254,1)-1,0,2), OFFSET(L$56:L$254,MATCH(D183,L$56:L$254,1)-1,0,2))),"")</f>
        <v>0</v>
      </c>
      <c r="L183" s="7" t="str">
        <f t="array" ref="L183">IFERROR(INDEX(D$56:D$1054,SMALL(IF(ISNUMBER(J$56:J$1054),ROW(D$1:D$999),""),ROW(D128))),"")</f>
        <v/>
      </c>
      <c r="M183" s="7" t="str">
        <f t="array" ref="M183">IFERROR(INDEX(J$56:J$1054,SMALL(IF(ISNUMBER(J$56:J$1054),ROW(J$1:J$999),""),ROW(J128))),"")</f>
        <v/>
      </c>
      <c r="N183" s="7"/>
      <c r="O183" s="7"/>
      <c r="P183" s="7"/>
      <c r="Q183" s="7">
        <f ca="1">IFERROR(IF(COUNTA(P$56:P183)=P$54,P183,FORECAST(D183,OFFSET(S$56:S$254,MATCH(D183,R$56:R$254,1)-1,0,2), OFFSET(R$56:R$254,MATCH(D183,R$56:R$254,1)-1,0,2))),"")</f>
        <v>0</v>
      </c>
      <c r="R183" s="7" t="str">
        <f t="array" ref="R183">IFERROR(INDEX(E$56:E$1054,SMALL(IF(ISNUMBER(P$56:P$1054),ROW(E$1:E$999),""),ROW(J128))),"")</f>
        <v/>
      </c>
      <c r="S183" s="7" t="str">
        <f t="array" ref="S183">IFERROR(INDEX(P$56:P$1054,SMALL(IF(ISNUMBER(P$56:P$1054),ROW(P$1:P$999),""),ROW(P128))),"")</f>
        <v/>
      </c>
      <c r="T183" s="7"/>
      <c r="U183" s="7"/>
      <c r="V183" s="7"/>
    </row>
    <row r="184" spans="1:22" x14ac:dyDescent="0.25">
      <c r="A184" s="6"/>
      <c r="B184" s="7"/>
      <c r="C184" s="7"/>
      <c r="D184" s="7"/>
      <c r="E184" s="8">
        <f t="shared" si="1"/>
        <v>0</v>
      </c>
      <c r="F184" s="10"/>
      <c r="G184" s="10"/>
      <c r="H184" s="9"/>
      <c r="I184" s="7"/>
      <c r="J184" s="7"/>
      <c r="K184" s="7">
        <f ca="1">IFERROR(IF(COUNTA(J$56:J184)=J$54,J184,FORECAST(D184,OFFSET(M$56:M$254,MATCH(D184,L$56:L$254,1)-1,0,2), OFFSET(L$56:L$254,MATCH(D184,L$56:L$254,1)-1,0,2))),"")</f>
        <v>0</v>
      </c>
      <c r="L184" s="7" t="str">
        <f t="array" ref="L184">IFERROR(INDEX(D$56:D$1054,SMALL(IF(ISNUMBER(J$56:J$1054),ROW(D$1:D$999),""),ROW(D129))),"")</f>
        <v/>
      </c>
      <c r="M184" s="7" t="str">
        <f t="array" ref="M184">IFERROR(INDEX(J$56:J$1054,SMALL(IF(ISNUMBER(J$56:J$1054),ROW(J$1:J$999),""),ROW(J129))),"")</f>
        <v/>
      </c>
      <c r="N184" s="7"/>
      <c r="O184" s="7"/>
      <c r="P184" s="7"/>
      <c r="Q184" s="7">
        <f ca="1">IFERROR(IF(COUNTA(P$56:P184)=P$54,P184,FORECAST(D184,OFFSET(S$56:S$254,MATCH(D184,R$56:R$254,1)-1,0,2), OFFSET(R$56:R$254,MATCH(D184,R$56:R$254,1)-1,0,2))),"")</f>
        <v>0</v>
      </c>
      <c r="R184" s="7" t="str">
        <f t="array" ref="R184">IFERROR(INDEX(E$56:E$1054,SMALL(IF(ISNUMBER(P$56:P$1054),ROW(E$1:E$999),""),ROW(J129))),"")</f>
        <v/>
      </c>
      <c r="S184" s="7" t="str">
        <f t="array" ref="S184">IFERROR(INDEX(P$56:P$1054,SMALL(IF(ISNUMBER(P$56:P$1054),ROW(P$1:P$999),""),ROW(P129))),"")</f>
        <v/>
      </c>
      <c r="T184" s="7"/>
      <c r="U184" s="7"/>
      <c r="V184" s="7"/>
    </row>
    <row r="185" spans="1:22" x14ac:dyDescent="0.25">
      <c r="A185" s="6"/>
      <c r="B185" s="7"/>
      <c r="C185" s="7"/>
      <c r="D185" s="7"/>
      <c r="E185" s="8">
        <f t="shared" si="1"/>
        <v>0</v>
      </c>
      <c r="F185" s="10"/>
      <c r="G185" s="10"/>
      <c r="H185" s="9"/>
      <c r="I185" s="7"/>
      <c r="J185" s="7"/>
      <c r="K185" s="7">
        <f ca="1">IFERROR(IF(COUNTA(J$56:J185)=J$54,J185,FORECAST(D185,OFFSET(M$56:M$254,MATCH(D185,L$56:L$254,1)-1,0,2), OFFSET(L$56:L$254,MATCH(D185,L$56:L$254,1)-1,0,2))),"")</f>
        <v>0</v>
      </c>
      <c r="L185" s="7" t="str">
        <f t="array" ref="L185">IFERROR(INDEX(D$56:D$1054,SMALL(IF(ISNUMBER(J$56:J$1054),ROW(D$1:D$999),""),ROW(D130))),"")</f>
        <v/>
      </c>
      <c r="M185" s="7" t="str">
        <f t="array" ref="M185">IFERROR(INDEX(J$56:J$1054,SMALL(IF(ISNUMBER(J$56:J$1054),ROW(J$1:J$999),""),ROW(J130))),"")</f>
        <v/>
      </c>
      <c r="N185" s="7"/>
      <c r="O185" s="7"/>
      <c r="P185" s="7"/>
      <c r="Q185" s="7">
        <f ca="1">IFERROR(IF(COUNTA(P$56:P185)=P$54,P185,FORECAST(D185,OFFSET(S$56:S$254,MATCH(D185,R$56:R$254,1)-1,0,2), OFFSET(R$56:R$254,MATCH(D185,R$56:R$254,1)-1,0,2))),"")</f>
        <v>0</v>
      </c>
      <c r="R185" s="7" t="str">
        <f t="array" ref="R185">IFERROR(INDEX(E$56:E$1054,SMALL(IF(ISNUMBER(P$56:P$1054),ROW(E$1:E$999),""),ROW(J130))),"")</f>
        <v/>
      </c>
      <c r="S185" s="7" t="str">
        <f t="array" ref="S185">IFERROR(INDEX(P$56:P$1054,SMALL(IF(ISNUMBER(P$56:P$1054),ROW(P$1:P$999),""),ROW(P130))),"")</f>
        <v/>
      </c>
      <c r="T185" s="7"/>
      <c r="U185" s="7"/>
      <c r="V185" s="7"/>
    </row>
    <row r="186" spans="1:22" x14ac:dyDescent="0.25">
      <c r="A186" s="6"/>
      <c r="B186" s="7"/>
      <c r="C186" s="7"/>
      <c r="D186" s="7"/>
      <c r="E186" s="8">
        <f t="shared" ref="E186:E249" si="2">IF(NOT(ISBLANK(D186)),D186+C$54,0)</f>
        <v>0</v>
      </c>
      <c r="F186" s="10"/>
      <c r="G186" s="10"/>
      <c r="H186" s="9"/>
      <c r="I186" s="7"/>
      <c r="J186" s="7"/>
      <c r="K186" s="7">
        <f ca="1">IFERROR(IF(COUNTA(J$56:J186)=J$54,J186,FORECAST(D186,OFFSET(M$56:M$254,MATCH(D186,L$56:L$254,1)-1,0,2), OFFSET(L$56:L$254,MATCH(D186,L$56:L$254,1)-1,0,2))),"")</f>
        <v>0</v>
      </c>
      <c r="L186" s="7" t="str">
        <f t="array" ref="L186">IFERROR(INDEX(D$56:D$1054,SMALL(IF(ISNUMBER(J$56:J$1054),ROW(D$1:D$999),""),ROW(D131))),"")</f>
        <v/>
      </c>
      <c r="M186" s="7" t="str">
        <f t="array" ref="M186">IFERROR(INDEX(J$56:J$1054,SMALL(IF(ISNUMBER(J$56:J$1054),ROW(J$1:J$999),""),ROW(J131))),"")</f>
        <v/>
      </c>
      <c r="N186" s="7"/>
      <c r="O186" s="7"/>
      <c r="P186" s="7"/>
      <c r="Q186" s="7">
        <f ca="1">IFERROR(IF(COUNTA(P$56:P186)=P$54,P186,FORECAST(D186,OFFSET(S$56:S$254,MATCH(D186,R$56:R$254,1)-1,0,2), OFFSET(R$56:R$254,MATCH(D186,R$56:R$254,1)-1,0,2))),"")</f>
        <v>0</v>
      </c>
      <c r="R186" s="7" t="str">
        <f t="array" ref="R186">IFERROR(INDEX(E$56:E$1054,SMALL(IF(ISNUMBER(P$56:P$1054),ROW(E$1:E$999),""),ROW(J131))),"")</f>
        <v/>
      </c>
      <c r="S186" s="7" t="str">
        <f t="array" ref="S186">IFERROR(INDEX(P$56:P$1054,SMALL(IF(ISNUMBER(P$56:P$1054),ROW(P$1:P$999),""),ROW(P131))),"")</f>
        <v/>
      </c>
      <c r="T186" s="7"/>
      <c r="U186" s="7"/>
      <c r="V186" s="7"/>
    </row>
    <row r="187" spans="1:22" x14ac:dyDescent="0.25">
      <c r="A187" s="6"/>
      <c r="B187" s="7"/>
      <c r="C187" s="7"/>
      <c r="D187" s="7"/>
      <c r="E187" s="8">
        <f t="shared" si="2"/>
        <v>0</v>
      </c>
      <c r="F187" s="10"/>
      <c r="G187" s="10"/>
      <c r="H187" s="9"/>
      <c r="I187" s="7"/>
      <c r="J187" s="7"/>
      <c r="K187" s="7">
        <f ca="1">IFERROR(IF(COUNTA(J$56:J187)=J$54,J187,FORECAST(D187,OFFSET(M$56:M$254,MATCH(D187,L$56:L$254,1)-1,0,2), OFFSET(L$56:L$254,MATCH(D187,L$56:L$254,1)-1,0,2))),"")</f>
        <v>0</v>
      </c>
      <c r="L187" s="7" t="str">
        <f t="array" ref="L187">IFERROR(INDEX(D$56:D$1054,SMALL(IF(ISNUMBER(J$56:J$1054),ROW(D$1:D$999),""),ROW(D132))),"")</f>
        <v/>
      </c>
      <c r="M187" s="7" t="str">
        <f t="array" ref="M187">IFERROR(INDEX(J$56:J$1054,SMALL(IF(ISNUMBER(J$56:J$1054),ROW(J$1:J$999),""),ROW(J132))),"")</f>
        <v/>
      </c>
      <c r="N187" s="7"/>
      <c r="O187" s="7"/>
      <c r="P187" s="7"/>
      <c r="Q187" s="7">
        <f ca="1">IFERROR(IF(COUNTA(P$56:P187)=P$54,P187,FORECAST(D187,OFFSET(S$56:S$254,MATCH(D187,R$56:R$254,1)-1,0,2), OFFSET(R$56:R$254,MATCH(D187,R$56:R$254,1)-1,0,2))),"")</f>
        <v>0</v>
      </c>
      <c r="R187" s="7" t="str">
        <f t="array" ref="R187">IFERROR(INDEX(E$56:E$1054,SMALL(IF(ISNUMBER(P$56:P$1054),ROW(E$1:E$999),""),ROW(J132))),"")</f>
        <v/>
      </c>
      <c r="S187" s="7" t="str">
        <f t="array" ref="S187">IFERROR(INDEX(P$56:P$1054,SMALL(IF(ISNUMBER(P$56:P$1054),ROW(P$1:P$999),""),ROW(P132))),"")</f>
        <v/>
      </c>
      <c r="T187" s="7"/>
      <c r="U187" s="7"/>
      <c r="V187" s="7"/>
    </row>
    <row r="188" spans="1:22" x14ac:dyDescent="0.25">
      <c r="A188" s="6"/>
      <c r="B188" s="7"/>
      <c r="C188" s="7"/>
      <c r="D188" s="7"/>
      <c r="E188" s="8">
        <f t="shared" si="2"/>
        <v>0</v>
      </c>
      <c r="F188" s="10"/>
      <c r="G188" s="10"/>
      <c r="H188" s="9"/>
      <c r="I188" s="7"/>
      <c r="J188" s="7"/>
      <c r="K188" s="7">
        <f ca="1">IFERROR(IF(COUNTA(J$56:J188)=J$54,J188,FORECAST(D188,OFFSET(M$56:M$254,MATCH(D188,L$56:L$254,1)-1,0,2), OFFSET(L$56:L$254,MATCH(D188,L$56:L$254,1)-1,0,2))),"")</f>
        <v>0</v>
      </c>
      <c r="L188" s="7" t="str">
        <f t="array" ref="L188">IFERROR(INDEX(D$56:D$1054,SMALL(IF(ISNUMBER(J$56:J$1054),ROW(D$1:D$999),""),ROW(D133))),"")</f>
        <v/>
      </c>
      <c r="M188" s="7" t="str">
        <f t="array" ref="M188">IFERROR(INDEX(J$56:J$1054,SMALL(IF(ISNUMBER(J$56:J$1054),ROW(J$1:J$999),""),ROW(J133))),"")</f>
        <v/>
      </c>
      <c r="N188" s="7"/>
      <c r="O188" s="7"/>
      <c r="P188" s="7"/>
      <c r="Q188" s="7">
        <f ca="1">IFERROR(IF(COUNTA(P$56:P188)=P$54,P188,FORECAST(D188,OFFSET(S$56:S$254,MATCH(D188,R$56:R$254,1)-1,0,2), OFFSET(R$56:R$254,MATCH(D188,R$56:R$254,1)-1,0,2))),"")</f>
        <v>0</v>
      </c>
      <c r="R188" s="7" t="str">
        <f t="array" ref="R188">IFERROR(INDEX(E$56:E$1054,SMALL(IF(ISNUMBER(P$56:P$1054),ROW(E$1:E$999),""),ROW(J133))),"")</f>
        <v/>
      </c>
      <c r="S188" s="7" t="str">
        <f t="array" ref="S188">IFERROR(INDEX(P$56:P$1054,SMALL(IF(ISNUMBER(P$56:P$1054),ROW(P$1:P$999),""),ROW(P133))),"")</f>
        <v/>
      </c>
      <c r="T188" s="7"/>
      <c r="U188" s="7"/>
      <c r="V188" s="7"/>
    </row>
    <row r="189" spans="1:22" x14ac:dyDescent="0.25">
      <c r="A189" s="6"/>
      <c r="B189" s="7"/>
      <c r="C189" s="7"/>
      <c r="D189" s="7"/>
      <c r="E189" s="8">
        <f t="shared" si="2"/>
        <v>0</v>
      </c>
      <c r="F189" s="10"/>
      <c r="G189" s="10"/>
      <c r="H189" s="9"/>
      <c r="I189" s="7"/>
      <c r="J189" s="7"/>
      <c r="K189" s="7">
        <f ca="1">IFERROR(IF(COUNTA(J$56:J189)=J$54,J189,FORECAST(D189,OFFSET(M$56:M$254,MATCH(D189,L$56:L$254,1)-1,0,2), OFFSET(L$56:L$254,MATCH(D189,L$56:L$254,1)-1,0,2))),"")</f>
        <v>0</v>
      </c>
      <c r="L189" s="7" t="str">
        <f t="array" ref="L189">IFERROR(INDEX(D$56:D$1054,SMALL(IF(ISNUMBER(J$56:J$1054),ROW(D$1:D$999),""),ROW(D134))),"")</f>
        <v/>
      </c>
      <c r="M189" s="7" t="str">
        <f t="array" ref="M189">IFERROR(INDEX(J$56:J$1054,SMALL(IF(ISNUMBER(J$56:J$1054),ROW(J$1:J$999),""),ROW(J134))),"")</f>
        <v/>
      </c>
      <c r="N189" s="7"/>
      <c r="O189" s="7"/>
      <c r="P189" s="7"/>
      <c r="Q189" s="7">
        <f ca="1">IFERROR(IF(COUNTA(P$56:P189)=P$54,P189,FORECAST(D189,OFFSET(S$56:S$254,MATCH(D189,R$56:R$254,1)-1,0,2), OFFSET(R$56:R$254,MATCH(D189,R$56:R$254,1)-1,0,2))),"")</f>
        <v>0</v>
      </c>
      <c r="R189" s="7" t="str">
        <f t="array" ref="R189">IFERROR(INDEX(E$56:E$1054,SMALL(IF(ISNUMBER(P$56:P$1054),ROW(E$1:E$999),""),ROW(J134))),"")</f>
        <v/>
      </c>
      <c r="S189" s="7" t="str">
        <f t="array" ref="S189">IFERROR(INDEX(P$56:P$1054,SMALL(IF(ISNUMBER(P$56:P$1054),ROW(P$1:P$999),""),ROW(P134))),"")</f>
        <v/>
      </c>
      <c r="T189" s="7"/>
      <c r="U189" s="7"/>
      <c r="V189" s="7"/>
    </row>
    <row r="190" spans="1:22" x14ac:dyDescent="0.25">
      <c r="A190" s="6"/>
      <c r="B190" s="7"/>
      <c r="C190" s="7"/>
      <c r="D190" s="7"/>
      <c r="E190" s="8">
        <f t="shared" si="2"/>
        <v>0</v>
      </c>
      <c r="F190" s="10"/>
      <c r="G190" s="10"/>
      <c r="H190" s="9"/>
      <c r="I190" s="7"/>
      <c r="J190" s="7"/>
      <c r="K190" s="7">
        <f ca="1">IFERROR(IF(COUNTA(J$56:J190)=J$54,J190,FORECAST(D190,OFFSET(M$56:M$254,MATCH(D190,L$56:L$254,1)-1,0,2), OFFSET(L$56:L$254,MATCH(D190,L$56:L$254,1)-1,0,2))),"")</f>
        <v>0</v>
      </c>
      <c r="L190" s="7" t="str">
        <f t="array" ref="L190">IFERROR(INDEX(D$56:D$1054,SMALL(IF(ISNUMBER(J$56:J$1054),ROW(D$1:D$999),""),ROW(D135))),"")</f>
        <v/>
      </c>
      <c r="M190" s="7" t="str">
        <f t="array" ref="M190">IFERROR(INDEX(J$56:J$1054,SMALL(IF(ISNUMBER(J$56:J$1054),ROW(J$1:J$999),""),ROW(J135))),"")</f>
        <v/>
      </c>
      <c r="N190" s="7"/>
      <c r="O190" s="7"/>
      <c r="P190" s="7"/>
      <c r="Q190" s="7">
        <f ca="1">IFERROR(IF(COUNTA(P$56:P190)=P$54,P190,FORECAST(D190,OFFSET(S$56:S$254,MATCH(D190,R$56:R$254,1)-1,0,2), OFFSET(R$56:R$254,MATCH(D190,R$56:R$254,1)-1,0,2))),"")</f>
        <v>0</v>
      </c>
      <c r="R190" s="7" t="str">
        <f t="array" ref="R190">IFERROR(INDEX(E$56:E$1054,SMALL(IF(ISNUMBER(P$56:P$1054),ROW(E$1:E$999),""),ROW(J135))),"")</f>
        <v/>
      </c>
      <c r="S190" s="7" t="str">
        <f t="array" ref="S190">IFERROR(INDEX(P$56:P$1054,SMALL(IF(ISNUMBER(P$56:P$1054),ROW(P$1:P$999),""),ROW(P135))),"")</f>
        <v/>
      </c>
      <c r="T190" s="7"/>
      <c r="U190" s="7"/>
      <c r="V190" s="7"/>
    </row>
    <row r="191" spans="1:22" x14ac:dyDescent="0.25">
      <c r="A191" s="6"/>
      <c r="B191" s="7"/>
      <c r="C191" s="7"/>
      <c r="D191" s="7"/>
      <c r="E191" s="8">
        <f t="shared" si="2"/>
        <v>0</v>
      </c>
      <c r="F191" s="10"/>
      <c r="G191" s="10"/>
      <c r="H191" s="9"/>
      <c r="I191" s="7"/>
      <c r="J191" s="7"/>
      <c r="K191" s="7">
        <f ca="1">IFERROR(IF(COUNTA(J$56:J191)=J$54,J191,FORECAST(D191,OFFSET(M$56:M$254,MATCH(D191,L$56:L$254,1)-1,0,2), OFFSET(L$56:L$254,MATCH(D191,L$56:L$254,1)-1,0,2))),"")</f>
        <v>0</v>
      </c>
      <c r="L191" s="7" t="str">
        <f t="array" ref="L191">IFERROR(INDEX(D$56:D$1054,SMALL(IF(ISNUMBER(J$56:J$1054),ROW(D$1:D$999),""),ROW(D136))),"")</f>
        <v/>
      </c>
      <c r="M191" s="7" t="str">
        <f t="array" ref="M191">IFERROR(INDEX(J$56:J$1054,SMALL(IF(ISNUMBER(J$56:J$1054),ROW(J$1:J$999),""),ROW(J136))),"")</f>
        <v/>
      </c>
      <c r="N191" s="7"/>
      <c r="O191" s="7"/>
      <c r="P191" s="7"/>
      <c r="Q191" s="7">
        <f ca="1">IFERROR(IF(COUNTA(P$56:P191)=P$54,P191,FORECAST(D191,OFFSET(S$56:S$254,MATCH(D191,R$56:R$254,1)-1,0,2), OFFSET(R$56:R$254,MATCH(D191,R$56:R$254,1)-1,0,2))),"")</f>
        <v>0</v>
      </c>
      <c r="R191" s="7" t="str">
        <f t="array" ref="R191">IFERROR(INDEX(E$56:E$1054,SMALL(IF(ISNUMBER(P$56:P$1054),ROW(E$1:E$999),""),ROW(J136))),"")</f>
        <v/>
      </c>
      <c r="S191" s="7" t="str">
        <f t="array" ref="S191">IFERROR(INDEX(P$56:P$1054,SMALL(IF(ISNUMBER(P$56:P$1054),ROW(P$1:P$999),""),ROW(P136))),"")</f>
        <v/>
      </c>
      <c r="T191" s="7"/>
      <c r="U191" s="7"/>
      <c r="V191" s="7"/>
    </row>
    <row r="192" spans="1:22" x14ac:dyDescent="0.25">
      <c r="A192" s="6"/>
      <c r="B192" s="7"/>
      <c r="C192" s="7"/>
      <c r="D192" s="7"/>
      <c r="E192" s="8">
        <f t="shared" si="2"/>
        <v>0</v>
      </c>
      <c r="F192" s="10"/>
      <c r="G192" s="10"/>
      <c r="H192" s="9"/>
      <c r="I192" s="7"/>
      <c r="J192" s="7"/>
      <c r="K192" s="7">
        <f ca="1">IFERROR(IF(COUNTA(J$56:J192)=J$54,J192,FORECAST(D192,OFFSET(M$56:M$254,MATCH(D192,L$56:L$254,1)-1,0,2), OFFSET(L$56:L$254,MATCH(D192,L$56:L$254,1)-1,0,2))),"")</f>
        <v>0</v>
      </c>
      <c r="L192" s="7" t="str">
        <f t="array" ref="L192">IFERROR(INDEX(D$56:D$1054,SMALL(IF(ISNUMBER(J$56:J$1054),ROW(D$1:D$999),""),ROW(D137))),"")</f>
        <v/>
      </c>
      <c r="M192" s="7" t="str">
        <f t="array" ref="M192">IFERROR(INDEX(J$56:J$1054,SMALL(IF(ISNUMBER(J$56:J$1054),ROW(J$1:J$999),""),ROW(J137))),"")</f>
        <v/>
      </c>
      <c r="N192" s="7"/>
      <c r="O192" s="7"/>
      <c r="P192" s="7"/>
      <c r="Q192" s="7">
        <f ca="1">IFERROR(IF(COUNTA(P$56:P192)=P$54,P192,FORECAST(D192,OFFSET(S$56:S$254,MATCH(D192,R$56:R$254,1)-1,0,2), OFFSET(R$56:R$254,MATCH(D192,R$56:R$254,1)-1,0,2))),"")</f>
        <v>0</v>
      </c>
      <c r="R192" s="7" t="str">
        <f t="array" ref="R192">IFERROR(INDEX(E$56:E$1054,SMALL(IF(ISNUMBER(P$56:P$1054),ROW(E$1:E$999),""),ROW(J137))),"")</f>
        <v/>
      </c>
      <c r="S192" s="7" t="str">
        <f t="array" ref="S192">IFERROR(INDEX(P$56:P$1054,SMALL(IF(ISNUMBER(P$56:P$1054),ROW(P$1:P$999),""),ROW(P137))),"")</f>
        <v/>
      </c>
      <c r="T192" s="7"/>
      <c r="U192" s="7"/>
      <c r="V192" s="7"/>
    </row>
    <row r="193" spans="1:22" x14ac:dyDescent="0.25">
      <c r="A193" s="6"/>
      <c r="B193" s="7"/>
      <c r="C193" s="7"/>
      <c r="D193" s="7"/>
      <c r="E193" s="8">
        <f t="shared" si="2"/>
        <v>0</v>
      </c>
      <c r="F193" s="10"/>
      <c r="G193" s="10"/>
      <c r="H193" s="9"/>
      <c r="I193" s="7"/>
      <c r="J193" s="7"/>
      <c r="K193" s="7">
        <f ca="1">IFERROR(IF(COUNTA(J$56:J193)=J$54,J193,FORECAST(D193,OFFSET(M$56:M$254,MATCH(D193,L$56:L$254,1)-1,0,2), OFFSET(L$56:L$254,MATCH(D193,L$56:L$254,1)-1,0,2))),"")</f>
        <v>0</v>
      </c>
      <c r="L193" s="7" t="str">
        <f t="array" ref="L193">IFERROR(INDEX(D$56:D$1054,SMALL(IF(ISNUMBER(J$56:J$1054),ROW(D$1:D$999),""),ROW(D138))),"")</f>
        <v/>
      </c>
      <c r="M193" s="7" t="str">
        <f t="array" ref="M193">IFERROR(INDEX(J$56:J$1054,SMALL(IF(ISNUMBER(J$56:J$1054),ROW(J$1:J$999),""),ROW(J138))),"")</f>
        <v/>
      </c>
      <c r="N193" s="7"/>
      <c r="O193" s="7"/>
      <c r="P193" s="7"/>
      <c r="Q193" s="7">
        <f ca="1">IFERROR(IF(COUNTA(P$56:P193)=P$54,P193,FORECAST(D193,OFFSET(S$56:S$254,MATCH(D193,R$56:R$254,1)-1,0,2), OFFSET(R$56:R$254,MATCH(D193,R$56:R$254,1)-1,0,2))),"")</f>
        <v>0</v>
      </c>
      <c r="R193" s="7" t="str">
        <f t="array" ref="R193">IFERROR(INDEX(E$56:E$1054,SMALL(IF(ISNUMBER(P$56:P$1054),ROW(E$1:E$999),""),ROW(J138))),"")</f>
        <v/>
      </c>
      <c r="S193" s="7" t="str">
        <f t="array" ref="S193">IFERROR(INDEX(P$56:P$1054,SMALL(IF(ISNUMBER(P$56:P$1054),ROW(P$1:P$999),""),ROW(P138))),"")</f>
        <v/>
      </c>
      <c r="T193" s="7"/>
      <c r="U193" s="7"/>
      <c r="V193" s="7"/>
    </row>
    <row r="194" spans="1:22" x14ac:dyDescent="0.25">
      <c r="A194" s="6"/>
      <c r="B194" s="7"/>
      <c r="C194" s="7"/>
      <c r="D194" s="7"/>
      <c r="E194" s="8">
        <f t="shared" si="2"/>
        <v>0</v>
      </c>
      <c r="F194" s="10"/>
      <c r="G194" s="10"/>
      <c r="H194" s="9"/>
      <c r="I194" s="7"/>
      <c r="J194" s="7"/>
      <c r="K194" s="7">
        <f ca="1">IFERROR(IF(COUNTA(J$56:J194)=J$54,J194,FORECAST(D194,OFFSET(M$56:M$254,MATCH(D194,L$56:L$254,1)-1,0,2), OFFSET(L$56:L$254,MATCH(D194,L$56:L$254,1)-1,0,2))),"")</f>
        <v>0</v>
      </c>
      <c r="L194" s="7" t="str">
        <f t="array" ref="L194">IFERROR(INDEX(D$56:D$1054,SMALL(IF(ISNUMBER(J$56:J$1054),ROW(D$1:D$999),""),ROW(D139))),"")</f>
        <v/>
      </c>
      <c r="M194" s="7" t="str">
        <f t="array" ref="M194">IFERROR(INDEX(J$56:J$1054,SMALL(IF(ISNUMBER(J$56:J$1054),ROW(J$1:J$999),""),ROW(J139))),"")</f>
        <v/>
      </c>
      <c r="N194" s="7"/>
      <c r="O194" s="7"/>
      <c r="P194" s="7"/>
      <c r="Q194" s="7">
        <f ca="1">IFERROR(IF(COUNTA(P$56:P194)=P$54,P194,FORECAST(D194,OFFSET(S$56:S$254,MATCH(D194,R$56:R$254,1)-1,0,2), OFFSET(R$56:R$254,MATCH(D194,R$56:R$254,1)-1,0,2))),"")</f>
        <v>0</v>
      </c>
      <c r="R194" s="7" t="str">
        <f t="array" ref="R194">IFERROR(INDEX(E$56:E$1054,SMALL(IF(ISNUMBER(P$56:P$1054),ROW(E$1:E$999),""),ROW(J139))),"")</f>
        <v/>
      </c>
      <c r="S194" s="7" t="str">
        <f t="array" ref="S194">IFERROR(INDEX(P$56:P$1054,SMALL(IF(ISNUMBER(P$56:P$1054),ROW(P$1:P$999),""),ROW(P139))),"")</f>
        <v/>
      </c>
      <c r="T194" s="7"/>
      <c r="U194" s="7"/>
      <c r="V194" s="7"/>
    </row>
    <row r="195" spans="1:22" x14ac:dyDescent="0.25">
      <c r="A195" s="6"/>
      <c r="B195" s="7"/>
      <c r="C195" s="7"/>
      <c r="D195" s="7"/>
      <c r="E195" s="8">
        <f t="shared" si="2"/>
        <v>0</v>
      </c>
      <c r="F195" s="10"/>
      <c r="G195" s="10"/>
      <c r="H195" s="9"/>
      <c r="I195" s="7"/>
      <c r="J195" s="7"/>
      <c r="K195" s="7">
        <f ca="1">IFERROR(IF(COUNTA(J$56:J195)=J$54,J195,FORECAST(D195,OFFSET(M$56:M$254,MATCH(D195,L$56:L$254,1)-1,0,2), OFFSET(L$56:L$254,MATCH(D195,L$56:L$254,1)-1,0,2))),"")</f>
        <v>0</v>
      </c>
      <c r="L195" s="7" t="str">
        <f t="array" ref="L195">IFERROR(INDEX(D$56:D$1054,SMALL(IF(ISNUMBER(J$56:J$1054),ROW(D$1:D$999),""),ROW(D140))),"")</f>
        <v/>
      </c>
      <c r="M195" s="7" t="str">
        <f t="array" ref="M195">IFERROR(INDEX(J$56:J$1054,SMALL(IF(ISNUMBER(J$56:J$1054),ROW(J$1:J$999),""),ROW(J140))),"")</f>
        <v/>
      </c>
      <c r="N195" s="7"/>
      <c r="O195" s="7"/>
      <c r="P195" s="7"/>
      <c r="Q195" s="7">
        <f ca="1">IFERROR(IF(COUNTA(P$56:P195)=P$54,P195,FORECAST(D195,OFFSET(S$56:S$254,MATCH(D195,R$56:R$254,1)-1,0,2), OFFSET(R$56:R$254,MATCH(D195,R$56:R$254,1)-1,0,2))),"")</f>
        <v>0</v>
      </c>
      <c r="R195" s="7" t="str">
        <f t="array" ref="R195">IFERROR(INDEX(E$56:E$1054,SMALL(IF(ISNUMBER(P$56:P$1054),ROW(E$1:E$999),""),ROW(J140))),"")</f>
        <v/>
      </c>
      <c r="S195" s="7" t="str">
        <f t="array" ref="S195">IFERROR(INDEX(P$56:P$1054,SMALL(IF(ISNUMBER(P$56:P$1054),ROW(P$1:P$999),""),ROW(P140))),"")</f>
        <v/>
      </c>
      <c r="T195" s="7"/>
      <c r="U195" s="7"/>
      <c r="V195" s="7"/>
    </row>
    <row r="196" spans="1:22" x14ac:dyDescent="0.25">
      <c r="A196" s="6"/>
      <c r="B196" s="7"/>
      <c r="C196" s="7"/>
      <c r="D196" s="7"/>
      <c r="E196" s="8">
        <f t="shared" si="2"/>
        <v>0</v>
      </c>
      <c r="F196" s="10"/>
      <c r="G196" s="10"/>
      <c r="H196" s="9"/>
      <c r="I196" s="7"/>
      <c r="J196" s="7"/>
      <c r="K196" s="7">
        <f ca="1">IFERROR(IF(COUNTA(J$56:J196)=J$54,J196,FORECAST(D196,OFFSET(M$56:M$254,MATCH(D196,L$56:L$254,1)-1,0,2), OFFSET(L$56:L$254,MATCH(D196,L$56:L$254,1)-1,0,2))),"")</f>
        <v>0</v>
      </c>
      <c r="L196" s="7" t="str">
        <f t="array" ref="L196">IFERROR(INDEX(D$56:D$1054,SMALL(IF(ISNUMBER(J$56:J$1054),ROW(D$1:D$999),""),ROW(D141))),"")</f>
        <v/>
      </c>
      <c r="M196" s="7" t="str">
        <f t="array" ref="M196">IFERROR(INDEX(J$56:J$1054,SMALL(IF(ISNUMBER(J$56:J$1054),ROW(J$1:J$999),""),ROW(J141))),"")</f>
        <v/>
      </c>
      <c r="N196" s="7"/>
      <c r="O196" s="7"/>
      <c r="P196" s="7"/>
      <c r="Q196" s="7">
        <f ca="1">IFERROR(IF(COUNTA(P$56:P196)=P$54,P196,FORECAST(D196,OFFSET(S$56:S$254,MATCH(D196,R$56:R$254,1)-1,0,2), OFFSET(R$56:R$254,MATCH(D196,R$56:R$254,1)-1,0,2))),"")</f>
        <v>0</v>
      </c>
      <c r="R196" s="7" t="str">
        <f t="array" ref="R196">IFERROR(INDEX(E$56:E$1054,SMALL(IF(ISNUMBER(P$56:P$1054),ROW(E$1:E$999),""),ROW(J141))),"")</f>
        <v/>
      </c>
      <c r="S196" s="7" t="str">
        <f t="array" ref="S196">IFERROR(INDEX(P$56:P$1054,SMALL(IF(ISNUMBER(P$56:P$1054),ROW(P$1:P$999),""),ROW(P141))),"")</f>
        <v/>
      </c>
      <c r="T196" s="7"/>
      <c r="U196" s="7"/>
      <c r="V196" s="7"/>
    </row>
    <row r="197" spans="1:22" x14ac:dyDescent="0.25">
      <c r="A197" s="6"/>
      <c r="B197" s="7"/>
      <c r="C197" s="7"/>
      <c r="D197" s="7"/>
      <c r="E197" s="8">
        <f t="shared" si="2"/>
        <v>0</v>
      </c>
      <c r="F197" s="10"/>
      <c r="G197" s="10"/>
      <c r="H197" s="9"/>
      <c r="I197" s="7"/>
      <c r="J197" s="7"/>
      <c r="K197" s="7">
        <f ca="1">IFERROR(IF(COUNTA(J$56:J197)=J$54,J197,FORECAST(D197,OFFSET(M$56:M$254,MATCH(D197,L$56:L$254,1)-1,0,2), OFFSET(L$56:L$254,MATCH(D197,L$56:L$254,1)-1,0,2))),"")</f>
        <v>0</v>
      </c>
      <c r="L197" s="7" t="str">
        <f t="array" ref="L197">IFERROR(INDEX(D$56:D$1054,SMALL(IF(ISNUMBER(J$56:J$1054),ROW(D$1:D$999),""),ROW(D142))),"")</f>
        <v/>
      </c>
      <c r="M197" s="7" t="str">
        <f t="array" ref="M197">IFERROR(INDEX(J$56:J$1054,SMALL(IF(ISNUMBER(J$56:J$1054),ROW(J$1:J$999),""),ROW(J142))),"")</f>
        <v/>
      </c>
      <c r="N197" s="7"/>
      <c r="O197" s="7"/>
      <c r="P197" s="7"/>
      <c r="Q197" s="7">
        <f ca="1">IFERROR(IF(COUNTA(P$56:P197)=P$54,P197,FORECAST(D197,OFFSET(S$56:S$254,MATCH(D197,R$56:R$254,1)-1,0,2), OFFSET(R$56:R$254,MATCH(D197,R$56:R$254,1)-1,0,2))),"")</f>
        <v>0</v>
      </c>
      <c r="R197" s="7" t="str">
        <f t="array" ref="R197">IFERROR(INDEX(E$56:E$1054,SMALL(IF(ISNUMBER(P$56:P$1054),ROW(E$1:E$999),""),ROW(J142))),"")</f>
        <v/>
      </c>
      <c r="S197" s="7" t="str">
        <f t="array" ref="S197">IFERROR(INDEX(P$56:P$1054,SMALL(IF(ISNUMBER(P$56:P$1054),ROW(P$1:P$999),""),ROW(P142))),"")</f>
        <v/>
      </c>
      <c r="T197" s="7"/>
      <c r="U197" s="7"/>
      <c r="V197" s="7"/>
    </row>
    <row r="198" spans="1:22" x14ac:dyDescent="0.25">
      <c r="A198" s="6"/>
      <c r="B198" s="7"/>
      <c r="C198" s="7"/>
      <c r="D198" s="7"/>
      <c r="E198" s="8">
        <f t="shared" si="2"/>
        <v>0</v>
      </c>
      <c r="F198" s="10"/>
      <c r="G198" s="10"/>
      <c r="H198" s="9"/>
      <c r="I198" s="7"/>
      <c r="J198" s="7"/>
      <c r="K198" s="7">
        <f ca="1">IFERROR(IF(COUNTA(J$56:J198)=J$54,J198,FORECAST(D198,OFFSET(M$56:M$254,MATCH(D198,L$56:L$254,1)-1,0,2), OFFSET(L$56:L$254,MATCH(D198,L$56:L$254,1)-1,0,2))),"")</f>
        <v>0</v>
      </c>
      <c r="L198" s="7" t="str">
        <f t="array" ref="L198">IFERROR(INDEX(D$56:D$1054,SMALL(IF(ISNUMBER(J$56:J$1054),ROW(D$1:D$999),""),ROW(D143))),"")</f>
        <v/>
      </c>
      <c r="M198" s="7" t="str">
        <f t="array" ref="M198">IFERROR(INDEX(J$56:J$1054,SMALL(IF(ISNUMBER(J$56:J$1054),ROW(J$1:J$999),""),ROW(J143))),"")</f>
        <v/>
      </c>
      <c r="N198" s="7"/>
      <c r="O198" s="7"/>
      <c r="P198" s="7"/>
      <c r="Q198" s="7">
        <f ca="1">IFERROR(IF(COUNTA(P$56:P198)=P$54,P198,FORECAST(D198,OFFSET(S$56:S$254,MATCH(D198,R$56:R$254,1)-1,0,2), OFFSET(R$56:R$254,MATCH(D198,R$56:R$254,1)-1,0,2))),"")</f>
        <v>0</v>
      </c>
      <c r="R198" s="7" t="str">
        <f t="array" ref="R198">IFERROR(INDEX(E$56:E$1054,SMALL(IF(ISNUMBER(P$56:P$1054),ROW(E$1:E$999),""),ROW(J143))),"")</f>
        <v/>
      </c>
      <c r="S198" s="7" t="str">
        <f t="array" ref="S198">IFERROR(INDEX(P$56:P$1054,SMALL(IF(ISNUMBER(P$56:P$1054),ROW(P$1:P$999),""),ROW(P143))),"")</f>
        <v/>
      </c>
      <c r="T198" s="7"/>
      <c r="U198" s="7"/>
      <c r="V198" s="7"/>
    </row>
    <row r="199" spans="1:22" x14ac:dyDescent="0.25">
      <c r="A199" s="6"/>
      <c r="B199" s="7"/>
      <c r="C199" s="7"/>
      <c r="D199" s="7"/>
      <c r="E199" s="8">
        <f t="shared" si="2"/>
        <v>0</v>
      </c>
      <c r="F199" s="10"/>
      <c r="G199" s="10"/>
      <c r="H199" s="9"/>
      <c r="I199" s="7"/>
      <c r="J199" s="7"/>
      <c r="K199" s="7">
        <f ca="1">IFERROR(IF(COUNTA(J$56:J199)=J$54,J199,FORECAST(D199,OFFSET(M$56:M$254,MATCH(D199,L$56:L$254,1)-1,0,2), OFFSET(L$56:L$254,MATCH(D199,L$56:L$254,1)-1,0,2))),"")</f>
        <v>0</v>
      </c>
      <c r="L199" s="7" t="str">
        <f t="array" ref="L199">IFERROR(INDEX(D$56:D$1054,SMALL(IF(ISNUMBER(J$56:J$1054),ROW(D$1:D$999),""),ROW(D144))),"")</f>
        <v/>
      </c>
      <c r="M199" s="7" t="str">
        <f t="array" ref="M199">IFERROR(INDEX(J$56:J$1054,SMALL(IF(ISNUMBER(J$56:J$1054),ROW(J$1:J$999),""),ROW(J144))),"")</f>
        <v/>
      </c>
      <c r="N199" s="7"/>
      <c r="O199" s="7"/>
      <c r="P199" s="7"/>
      <c r="Q199" s="7">
        <f ca="1">IFERROR(IF(COUNTA(P$56:P199)=P$54,P199,FORECAST(D199,OFFSET(S$56:S$254,MATCH(D199,R$56:R$254,1)-1,0,2), OFFSET(R$56:R$254,MATCH(D199,R$56:R$254,1)-1,0,2))),"")</f>
        <v>0</v>
      </c>
      <c r="R199" s="7" t="str">
        <f t="array" ref="R199">IFERROR(INDEX(E$56:E$1054,SMALL(IF(ISNUMBER(P$56:P$1054),ROW(E$1:E$999),""),ROW(J144))),"")</f>
        <v/>
      </c>
      <c r="S199" s="7" t="str">
        <f t="array" ref="S199">IFERROR(INDEX(P$56:P$1054,SMALL(IF(ISNUMBER(P$56:P$1054),ROW(P$1:P$999),""),ROW(P144))),"")</f>
        <v/>
      </c>
      <c r="T199" s="7"/>
      <c r="U199" s="7"/>
      <c r="V199" s="7"/>
    </row>
    <row r="200" spans="1:22" x14ac:dyDescent="0.25">
      <c r="A200" s="6"/>
      <c r="B200" s="7"/>
      <c r="C200" s="7"/>
      <c r="D200" s="7"/>
      <c r="E200" s="8">
        <f t="shared" si="2"/>
        <v>0</v>
      </c>
      <c r="F200" s="10"/>
      <c r="G200" s="10"/>
      <c r="H200" s="9"/>
      <c r="I200" s="7"/>
      <c r="J200" s="7"/>
      <c r="K200" s="7">
        <f ca="1">IFERROR(IF(COUNTA(J$56:J200)=J$54,J200,FORECAST(D200,OFFSET(M$56:M$254,MATCH(D200,L$56:L$254,1)-1,0,2), OFFSET(L$56:L$254,MATCH(D200,L$56:L$254,1)-1,0,2))),"")</f>
        <v>0</v>
      </c>
      <c r="L200" s="7" t="str">
        <f t="array" ref="L200">IFERROR(INDEX(D$56:D$1054,SMALL(IF(ISNUMBER(J$56:J$1054),ROW(D$1:D$999),""),ROW(D145))),"")</f>
        <v/>
      </c>
      <c r="M200" s="7" t="str">
        <f t="array" ref="M200">IFERROR(INDEX(J$56:J$1054,SMALL(IF(ISNUMBER(J$56:J$1054),ROW(J$1:J$999),""),ROW(J145))),"")</f>
        <v/>
      </c>
      <c r="N200" s="7"/>
      <c r="O200" s="7"/>
      <c r="P200" s="7"/>
      <c r="Q200" s="7">
        <f ca="1">IFERROR(IF(COUNTA(P$56:P200)=P$54,P200,FORECAST(D200,OFFSET(S$56:S$254,MATCH(D200,R$56:R$254,1)-1,0,2), OFFSET(R$56:R$254,MATCH(D200,R$56:R$254,1)-1,0,2))),"")</f>
        <v>0</v>
      </c>
      <c r="R200" s="7" t="str">
        <f t="array" ref="R200">IFERROR(INDEX(E$56:E$1054,SMALL(IF(ISNUMBER(P$56:P$1054),ROW(E$1:E$999),""),ROW(J145))),"")</f>
        <v/>
      </c>
      <c r="S200" s="7" t="str">
        <f t="array" ref="S200">IFERROR(INDEX(P$56:P$1054,SMALL(IF(ISNUMBER(P$56:P$1054),ROW(P$1:P$999),""),ROW(P145))),"")</f>
        <v/>
      </c>
      <c r="T200" s="7"/>
      <c r="U200" s="7"/>
      <c r="V200" s="7"/>
    </row>
    <row r="201" spans="1:22" x14ac:dyDescent="0.25">
      <c r="A201" s="6"/>
      <c r="B201" s="7"/>
      <c r="C201" s="7"/>
      <c r="D201" s="7"/>
      <c r="E201" s="8">
        <f t="shared" si="2"/>
        <v>0</v>
      </c>
      <c r="F201" s="10"/>
      <c r="G201" s="10"/>
      <c r="H201" s="9"/>
      <c r="I201" s="7"/>
      <c r="J201" s="7"/>
      <c r="K201" s="7">
        <f ca="1">IFERROR(IF(COUNTA(J$56:J201)=J$54,J201,FORECAST(D201,OFFSET(M$56:M$254,MATCH(D201,L$56:L$254,1)-1,0,2), OFFSET(L$56:L$254,MATCH(D201,L$56:L$254,1)-1,0,2))),"")</f>
        <v>0</v>
      </c>
      <c r="L201" s="7" t="str">
        <f t="array" ref="L201">IFERROR(INDEX(D$56:D$1054,SMALL(IF(ISNUMBER(J$56:J$1054),ROW(D$1:D$999),""),ROW(D146))),"")</f>
        <v/>
      </c>
      <c r="M201" s="7" t="str">
        <f t="array" ref="M201">IFERROR(INDEX(J$56:J$1054,SMALL(IF(ISNUMBER(J$56:J$1054),ROW(J$1:J$999),""),ROW(J146))),"")</f>
        <v/>
      </c>
      <c r="N201" s="7"/>
      <c r="O201" s="7"/>
      <c r="P201" s="7"/>
      <c r="Q201" s="7">
        <f ca="1">IFERROR(IF(COUNTA(P$56:P201)=P$54,P201,FORECAST(D201,OFFSET(S$56:S$254,MATCH(D201,R$56:R$254,1)-1,0,2), OFFSET(R$56:R$254,MATCH(D201,R$56:R$254,1)-1,0,2))),"")</f>
        <v>0</v>
      </c>
      <c r="R201" s="7" t="str">
        <f t="array" ref="R201">IFERROR(INDEX(E$56:E$1054,SMALL(IF(ISNUMBER(P$56:P$1054),ROW(E$1:E$999),""),ROW(J146))),"")</f>
        <v/>
      </c>
      <c r="S201" s="7" t="str">
        <f t="array" ref="S201">IFERROR(INDEX(P$56:P$1054,SMALL(IF(ISNUMBER(P$56:P$1054),ROW(P$1:P$999),""),ROW(P146))),"")</f>
        <v/>
      </c>
      <c r="T201" s="7"/>
      <c r="U201" s="7"/>
      <c r="V201" s="7"/>
    </row>
    <row r="202" spans="1:22" x14ac:dyDescent="0.25">
      <c r="A202" s="6"/>
      <c r="B202" s="7"/>
      <c r="C202" s="7"/>
      <c r="D202" s="7"/>
      <c r="E202" s="8">
        <f t="shared" si="2"/>
        <v>0</v>
      </c>
      <c r="F202" s="10"/>
      <c r="G202" s="10"/>
      <c r="H202" s="9"/>
      <c r="I202" s="7"/>
      <c r="J202" s="7"/>
      <c r="K202" s="7">
        <f ca="1">IFERROR(IF(COUNTA(J$56:J202)=J$54,J202,FORECAST(D202,OFFSET(M$56:M$254,MATCH(D202,L$56:L$254,1)-1,0,2), OFFSET(L$56:L$254,MATCH(D202,L$56:L$254,1)-1,0,2))),"")</f>
        <v>0</v>
      </c>
      <c r="L202" s="7" t="str">
        <f t="array" ref="L202">IFERROR(INDEX(D$56:D$1054,SMALL(IF(ISNUMBER(J$56:J$1054),ROW(D$1:D$999),""),ROW(D147))),"")</f>
        <v/>
      </c>
      <c r="M202" s="7" t="str">
        <f t="array" ref="M202">IFERROR(INDEX(J$56:J$1054,SMALL(IF(ISNUMBER(J$56:J$1054),ROW(J$1:J$999),""),ROW(J147))),"")</f>
        <v/>
      </c>
      <c r="N202" s="7"/>
      <c r="O202" s="7"/>
      <c r="P202" s="7"/>
      <c r="Q202" s="7">
        <f ca="1">IFERROR(IF(COUNTA(P$56:P202)=P$54,P202,FORECAST(D202,OFFSET(S$56:S$254,MATCH(D202,R$56:R$254,1)-1,0,2), OFFSET(R$56:R$254,MATCH(D202,R$56:R$254,1)-1,0,2))),"")</f>
        <v>0</v>
      </c>
      <c r="R202" s="7" t="str">
        <f t="array" ref="R202">IFERROR(INDEX(E$56:E$1054,SMALL(IF(ISNUMBER(P$56:P$1054),ROW(E$1:E$999),""),ROW(J147))),"")</f>
        <v/>
      </c>
      <c r="S202" s="7" t="str">
        <f t="array" ref="S202">IFERROR(INDEX(P$56:P$1054,SMALL(IF(ISNUMBER(P$56:P$1054),ROW(P$1:P$999),""),ROW(P147))),"")</f>
        <v/>
      </c>
      <c r="T202" s="7"/>
      <c r="U202" s="7"/>
      <c r="V202" s="7"/>
    </row>
    <row r="203" spans="1:22" x14ac:dyDescent="0.25">
      <c r="A203" s="6"/>
      <c r="B203" s="7"/>
      <c r="C203" s="7"/>
      <c r="D203" s="7"/>
      <c r="E203" s="8">
        <f t="shared" si="2"/>
        <v>0</v>
      </c>
      <c r="F203" s="10"/>
      <c r="G203" s="10"/>
      <c r="H203" s="9"/>
      <c r="I203" s="7"/>
      <c r="J203" s="7"/>
      <c r="K203" s="7">
        <f ca="1">IFERROR(IF(COUNTA(J$56:J203)=J$54,J203,FORECAST(D203,OFFSET(M$56:M$254,MATCH(D203,L$56:L$254,1)-1,0,2), OFFSET(L$56:L$254,MATCH(D203,L$56:L$254,1)-1,0,2))),"")</f>
        <v>0</v>
      </c>
      <c r="L203" s="7" t="str">
        <f t="array" ref="L203">IFERROR(INDEX(D$56:D$1054,SMALL(IF(ISNUMBER(J$56:J$1054),ROW(D$1:D$999),""),ROW(D148))),"")</f>
        <v/>
      </c>
      <c r="M203" s="7" t="str">
        <f t="array" ref="M203">IFERROR(INDEX(J$56:J$1054,SMALL(IF(ISNUMBER(J$56:J$1054),ROW(J$1:J$999),""),ROW(J148))),"")</f>
        <v/>
      </c>
      <c r="N203" s="7"/>
      <c r="O203" s="7"/>
      <c r="P203" s="7"/>
      <c r="Q203" s="7">
        <f ca="1">IFERROR(IF(COUNTA(P$56:P203)=P$54,P203,FORECAST(D203,OFFSET(S$56:S$254,MATCH(D203,R$56:R$254,1)-1,0,2), OFFSET(R$56:R$254,MATCH(D203,R$56:R$254,1)-1,0,2))),"")</f>
        <v>0</v>
      </c>
      <c r="R203" s="7" t="str">
        <f t="array" ref="R203">IFERROR(INDEX(E$56:E$1054,SMALL(IF(ISNUMBER(P$56:P$1054),ROW(E$1:E$999),""),ROW(J148))),"")</f>
        <v/>
      </c>
      <c r="S203" s="7" t="str">
        <f t="array" ref="S203">IFERROR(INDEX(P$56:P$1054,SMALL(IF(ISNUMBER(P$56:P$1054),ROW(P$1:P$999),""),ROW(P148))),"")</f>
        <v/>
      </c>
      <c r="T203" s="7"/>
      <c r="U203" s="7"/>
      <c r="V203" s="7"/>
    </row>
    <row r="204" spans="1:22" x14ac:dyDescent="0.25">
      <c r="A204" s="6"/>
      <c r="B204" s="7"/>
      <c r="C204" s="7"/>
      <c r="D204" s="7"/>
      <c r="E204" s="8">
        <f t="shared" si="2"/>
        <v>0</v>
      </c>
      <c r="F204" s="10"/>
      <c r="G204" s="10"/>
      <c r="H204" s="9"/>
      <c r="I204" s="7"/>
      <c r="J204" s="7"/>
      <c r="K204" s="7">
        <f ca="1">IFERROR(IF(COUNTA(J$56:J204)=J$54,J204,FORECAST(D204,OFFSET(M$56:M$254,MATCH(D204,L$56:L$254,1)-1,0,2), OFFSET(L$56:L$254,MATCH(D204,L$56:L$254,1)-1,0,2))),"")</f>
        <v>0</v>
      </c>
      <c r="L204" s="7" t="str">
        <f t="array" ref="L204">IFERROR(INDEX(D$56:D$1054,SMALL(IF(ISNUMBER(J$56:J$1054),ROW(D$1:D$999),""),ROW(D149))),"")</f>
        <v/>
      </c>
      <c r="M204" s="7" t="str">
        <f t="array" ref="M204">IFERROR(INDEX(J$56:J$1054,SMALL(IF(ISNUMBER(J$56:J$1054),ROW(J$1:J$999),""),ROW(J149))),"")</f>
        <v/>
      </c>
      <c r="N204" s="7"/>
      <c r="O204" s="7"/>
      <c r="P204" s="7"/>
      <c r="Q204" s="7">
        <f ca="1">IFERROR(IF(COUNTA(P$56:P204)=P$54,P204,FORECAST(D204,OFFSET(S$56:S$254,MATCH(D204,R$56:R$254,1)-1,0,2), OFFSET(R$56:R$254,MATCH(D204,R$56:R$254,1)-1,0,2))),"")</f>
        <v>0</v>
      </c>
      <c r="R204" s="7" t="str">
        <f t="array" ref="R204">IFERROR(INDEX(E$56:E$1054,SMALL(IF(ISNUMBER(P$56:P$1054),ROW(E$1:E$999),""),ROW(J149))),"")</f>
        <v/>
      </c>
      <c r="S204" s="7" t="str">
        <f t="array" ref="S204">IFERROR(INDEX(P$56:P$1054,SMALL(IF(ISNUMBER(P$56:P$1054),ROW(P$1:P$999),""),ROW(P149))),"")</f>
        <v/>
      </c>
      <c r="T204" s="7"/>
      <c r="U204" s="7"/>
      <c r="V204" s="7"/>
    </row>
    <row r="205" spans="1:22" x14ac:dyDescent="0.25">
      <c r="A205" s="6"/>
      <c r="B205" s="7"/>
      <c r="C205" s="7"/>
      <c r="D205" s="7"/>
      <c r="E205" s="8">
        <f t="shared" si="2"/>
        <v>0</v>
      </c>
      <c r="F205" s="10"/>
      <c r="G205" s="10"/>
      <c r="H205" s="9"/>
      <c r="I205" s="7"/>
      <c r="J205" s="7"/>
      <c r="K205" s="7">
        <f ca="1">IFERROR(IF(COUNTA(J$56:J205)=J$54,J205,FORECAST(D205,OFFSET(M$56:M$254,MATCH(D205,L$56:L$254,1)-1,0,2), OFFSET(L$56:L$254,MATCH(D205,L$56:L$254,1)-1,0,2))),"")</f>
        <v>0</v>
      </c>
      <c r="L205" s="7" t="str">
        <f t="array" ref="L205">IFERROR(INDEX(D$56:D$1054,SMALL(IF(ISNUMBER(J$56:J$1054),ROW(D$1:D$999),""),ROW(D150))),"")</f>
        <v/>
      </c>
      <c r="M205" s="7" t="str">
        <f t="array" ref="M205">IFERROR(INDEX(J$56:J$1054,SMALL(IF(ISNUMBER(J$56:J$1054),ROW(J$1:J$999),""),ROW(J150))),"")</f>
        <v/>
      </c>
      <c r="N205" s="7"/>
      <c r="O205" s="7"/>
      <c r="P205" s="7"/>
      <c r="Q205" s="7">
        <f ca="1">IFERROR(IF(COUNTA(P$56:P205)=P$54,P205,FORECAST(D205,OFFSET(S$56:S$254,MATCH(D205,R$56:R$254,1)-1,0,2), OFFSET(R$56:R$254,MATCH(D205,R$56:R$254,1)-1,0,2))),"")</f>
        <v>0</v>
      </c>
      <c r="R205" s="7" t="str">
        <f t="array" ref="R205">IFERROR(INDEX(E$56:E$1054,SMALL(IF(ISNUMBER(P$56:P$1054),ROW(E$1:E$999),""),ROW(J150))),"")</f>
        <v/>
      </c>
      <c r="S205" s="7" t="str">
        <f t="array" ref="S205">IFERROR(INDEX(P$56:P$1054,SMALL(IF(ISNUMBER(P$56:P$1054),ROW(P$1:P$999),""),ROW(P150))),"")</f>
        <v/>
      </c>
      <c r="T205" s="7"/>
      <c r="U205" s="7"/>
      <c r="V205" s="7"/>
    </row>
    <row r="206" spans="1:22" x14ac:dyDescent="0.25">
      <c r="A206" s="6"/>
      <c r="B206" s="7"/>
      <c r="C206" s="7"/>
      <c r="D206" s="7"/>
      <c r="E206" s="8">
        <f t="shared" si="2"/>
        <v>0</v>
      </c>
      <c r="F206" s="10"/>
      <c r="G206" s="10"/>
      <c r="H206" s="9"/>
      <c r="I206" s="7"/>
      <c r="J206" s="7"/>
      <c r="K206" s="7">
        <f ca="1">IFERROR(IF(COUNTA(J$56:J206)=J$54,J206,FORECAST(D206,OFFSET(M$56:M$254,MATCH(D206,L$56:L$254,1)-1,0,2), OFFSET(L$56:L$254,MATCH(D206,L$56:L$254,1)-1,0,2))),"")</f>
        <v>0</v>
      </c>
      <c r="L206" s="7" t="str">
        <f t="array" ref="L206">IFERROR(INDEX(D$56:D$1054,SMALL(IF(ISNUMBER(J$56:J$1054),ROW(D$1:D$999),""),ROW(D151))),"")</f>
        <v/>
      </c>
      <c r="M206" s="7" t="str">
        <f t="array" ref="M206">IFERROR(INDEX(J$56:J$1054,SMALL(IF(ISNUMBER(J$56:J$1054),ROW(J$1:J$999),""),ROW(J151))),"")</f>
        <v/>
      </c>
      <c r="N206" s="7"/>
      <c r="O206" s="7"/>
      <c r="P206" s="7"/>
      <c r="Q206" s="7">
        <f ca="1">IFERROR(IF(COUNTA(P$56:P206)=P$54,P206,FORECAST(D206,OFFSET(S$56:S$254,MATCH(D206,R$56:R$254,1)-1,0,2), OFFSET(R$56:R$254,MATCH(D206,R$56:R$254,1)-1,0,2))),"")</f>
        <v>0</v>
      </c>
      <c r="R206" s="7" t="str">
        <f t="array" ref="R206">IFERROR(INDEX(E$56:E$1054,SMALL(IF(ISNUMBER(P$56:P$1054),ROW(E$1:E$999),""),ROW(J151))),"")</f>
        <v/>
      </c>
      <c r="S206" s="7" t="str">
        <f t="array" ref="S206">IFERROR(INDEX(P$56:P$1054,SMALL(IF(ISNUMBER(P$56:P$1054),ROW(P$1:P$999),""),ROW(P151))),"")</f>
        <v/>
      </c>
      <c r="T206" s="7"/>
      <c r="U206" s="7"/>
      <c r="V206" s="7"/>
    </row>
    <row r="207" spans="1:22" x14ac:dyDescent="0.25">
      <c r="A207" s="6"/>
      <c r="B207" s="7"/>
      <c r="C207" s="7"/>
      <c r="D207" s="7"/>
      <c r="E207" s="8">
        <f t="shared" si="2"/>
        <v>0</v>
      </c>
      <c r="F207" s="10"/>
      <c r="G207" s="10"/>
      <c r="H207" s="9"/>
      <c r="I207" s="7"/>
      <c r="J207" s="7"/>
      <c r="K207" s="7">
        <f ca="1">IFERROR(IF(COUNTA(J$56:J207)=J$54,J207,FORECAST(D207,OFFSET(M$56:M$254,MATCH(D207,L$56:L$254,1)-1,0,2), OFFSET(L$56:L$254,MATCH(D207,L$56:L$254,1)-1,0,2))),"")</f>
        <v>0</v>
      </c>
      <c r="L207" s="7" t="str">
        <f t="array" ref="L207">IFERROR(INDEX(D$56:D$1054,SMALL(IF(ISNUMBER(J$56:J$1054),ROW(D$1:D$999),""),ROW(D152))),"")</f>
        <v/>
      </c>
      <c r="M207" s="7" t="str">
        <f t="array" ref="M207">IFERROR(INDEX(J$56:J$1054,SMALL(IF(ISNUMBER(J$56:J$1054),ROW(J$1:J$999),""),ROW(J152))),"")</f>
        <v/>
      </c>
      <c r="N207" s="7"/>
      <c r="O207" s="7"/>
      <c r="P207" s="7"/>
      <c r="Q207" s="7">
        <f ca="1">IFERROR(IF(COUNTA(P$56:P207)=P$54,P207,FORECAST(D207,OFFSET(S$56:S$254,MATCH(D207,R$56:R$254,1)-1,0,2), OFFSET(R$56:R$254,MATCH(D207,R$56:R$254,1)-1,0,2))),"")</f>
        <v>0</v>
      </c>
      <c r="R207" s="7" t="str">
        <f t="array" ref="R207">IFERROR(INDEX(E$56:E$1054,SMALL(IF(ISNUMBER(P$56:P$1054),ROW(E$1:E$999),""),ROW(J152))),"")</f>
        <v/>
      </c>
      <c r="S207" s="7" t="str">
        <f t="array" ref="S207">IFERROR(INDEX(P$56:P$1054,SMALL(IF(ISNUMBER(P$56:P$1054),ROW(P$1:P$999),""),ROW(P152))),"")</f>
        <v/>
      </c>
      <c r="T207" s="7"/>
      <c r="U207" s="7"/>
      <c r="V207" s="7"/>
    </row>
    <row r="208" spans="1:22" x14ac:dyDescent="0.25">
      <c r="A208" s="6"/>
      <c r="B208" s="7"/>
      <c r="C208" s="7"/>
      <c r="D208" s="7"/>
      <c r="E208" s="8">
        <f t="shared" si="2"/>
        <v>0</v>
      </c>
      <c r="F208" s="10"/>
      <c r="G208" s="10"/>
      <c r="H208" s="9"/>
      <c r="I208" s="7"/>
      <c r="J208" s="7"/>
      <c r="K208" s="7">
        <f ca="1">IFERROR(IF(COUNTA(J$56:J208)=J$54,J208,FORECAST(D208,OFFSET(M$56:M$254,MATCH(D208,L$56:L$254,1)-1,0,2), OFFSET(L$56:L$254,MATCH(D208,L$56:L$254,1)-1,0,2))),"")</f>
        <v>0</v>
      </c>
      <c r="L208" s="7" t="str">
        <f t="array" ref="L208">IFERROR(INDEX(D$56:D$1054,SMALL(IF(ISNUMBER(J$56:J$1054),ROW(D$1:D$999),""),ROW(D153))),"")</f>
        <v/>
      </c>
      <c r="M208" s="7" t="str">
        <f t="array" ref="M208">IFERROR(INDEX(J$56:J$1054,SMALL(IF(ISNUMBER(J$56:J$1054),ROW(J$1:J$999),""),ROW(J153))),"")</f>
        <v/>
      </c>
      <c r="N208" s="7"/>
      <c r="O208" s="7"/>
      <c r="P208" s="7"/>
      <c r="Q208" s="7">
        <f ca="1">IFERROR(IF(COUNTA(P$56:P208)=P$54,P208,FORECAST(D208,OFFSET(S$56:S$254,MATCH(D208,R$56:R$254,1)-1,0,2), OFFSET(R$56:R$254,MATCH(D208,R$56:R$254,1)-1,0,2))),"")</f>
        <v>0</v>
      </c>
      <c r="R208" s="7" t="str">
        <f t="array" ref="R208">IFERROR(INDEX(E$56:E$1054,SMALL(IF(ISNUMBER(P$56:P$1054),ROW(E$1:E$999),""),ROW(J153))),"")</f>
        <v/>
      </c>
      <c r="S208" s="7" t="str">
        <f t="array" ref="S208">IFERROR(INDEX(P$56:P$1054,SMALL(IF(ISNUMBER(P$56:P$1054),ROW(P$1:P$999),""),ROW(P153))),"")</f>
        <v/>
      </c>
      <c r="T208" s="7"/>
      <c r="U208" s="7"/>
      <c r="V208" s="7"/>
    </row>
    <row r="209" spans="1:22" x14ac:dyDescent="0.25">
      <c r="A209" s="6"/>
      <c r="B209" s="7"/>
      <c r="C209" s="7"/>
      <c r="D209" s="7"/>
      <c r="E209" s="8">
        <f t="shared" si="2"/>
        <v>0</v>
      </c>
      <c r="F209" s="10"/>
      <c r="G209" s="10"/>
      <c r="H209" s="9"/>
      <c r="I209" s="7"/>
      <c r="J209" s="7"/>
      <c r="K209" s="7">
        <f ca="1">IFERROR(IF(COUNTA(J$56:J209)=J$54,J209,FORECAST(D209,OFFSET(M$56:M$254,MATCH(D209,L$56:L$254,1)-1,0,2), OFFSET(L$56:L$254,MATCH(D209,L$56:L$254,1)-1,0,2))),"")</f>
        <v>0</v>
      </c>
      <c r="L209" s="7" t="str">
        <f t="array" ref="L209">IFERROR(INDEX(D$56:D$1054,SMALL(IF(ISNUMBER(J$56:J$1054),ROW(D$1:D$999),""),ROW(D154))),"")</f>
        <v/>
      </c>
      <c r="M209" s="7" t="str">
        <f t="array" ref="M209">IFERROR(INDEX(J$56:J$1054,SMALL(IF(ISNUMBER(J$56:J$1054),ROW(J$1:J$999),""),ROW(J154))),"")</f>
        <v/>
      </c>
      <c r="N209" s="7"/>
      <c r="O209" s="7"/>
      <c r="P209" s="7"/>
      <c r="Q209" s="7">
        <f ca="1">IFERROR(IF(COUNTA(P$56:P209)=P$54,P209,FORECAST(D209,OFFSET(S$56:S$254,MATCH(D209,R$56:R$254,1)-1,0,2), OFFSET(R$56:R$254,MATCH(D209,R$56:R$254,1)-1,0,2))),"")</f>
        <v>0</v>
      </c>
      <c r="R209" s="7" t="str">
        <f t="array" ref="R209">IFERROR(INDEX(E$56:E$1054,SMALL(IF(ISNUMBER(P$56:P$1054),ROW(E$1:E$999),""),ROW(J154))),"")</f>
        <v/>
      </c>
      <c r="S209" s="7" t="str">
        <f t="array" ref="S209">IFERROR(INDEX(P$56:P$1054,SMALL(IF(ISNUMBER(P$56:P$1054),ROW(P$1:P$999),""),ROW(P154))),"")</f>
        <v/>
      </c>
      <c r="T209" s="7"/>
      <c r="U209" s="7"/>
      <c r="V209" s="7"/>
    </row>
    <row r="210" spans="1:22" x14ac:dyDescent="0.25">
      <c r="A210" s="6"/>
      <c r="B210" s="7"/>
      <c r="C210" s="7"/>
      <c r="D210" s="7"/>
      <c r="E210" s="8">
        <f t="shared" si="2"/>
        <v>0</v>
      </c>
      <c r="F210" s="10"/>
      <c r="G210" s="10"/>
      <c r="H210" s="9"/>
      <c r="I210" s="7"/>
      <c r="J210" s="7"/>
      <c r="K210" s="7">
        <f ca="1">IFERROR(IF(COUNTA(J$56:J210)=J$54,J210,FORECAST(D210,OFFSET(M$56:M$254,MATCH(D210,L$56:L$254,1)-1,0,2), OFFSET(L$56:L$254,MATCH(D210,L$56:L$254,1)-1,0,2))),"")</f>
        <v>0</v>
      </c>
      <c r="L210" s="7" t="str">
        <f t="array" ref="L210">IFERROR(INDEX(D$56:D$1054,SMALL(IF(ISNUMBER(J$56:J$1054),ROW(D$1:D$999),""),ROW(D155))),"")</f>
        <v/>
      </c>
      <c r="M210" s="7" t="str">
        <f t="array" ref="M210">IFERROR(INDEX(J$56:J$1054,SMALL(IF(ISNUMBER(J$56:J$1054),ROW(J$1:J$999),""),ROW(J155))),"")</f>
        <v/>
      </c>
      <c r="N210" s="7"/>
      <c r="O210" s="7"/>
      <c r="P210" s="7"/>
      <c r="Q210" s="7">
        <f ca="1">IFERROR(IF(COUNTA(P$56:P210)=P$54,P210,FORECAST(D210,OFFSET(S$56:S$254,MATCH(D210,R$56:R$254,1)-1,0,2), OFFSET(R$56:R$254,MATCH(D210,R$56:R$254,1)-1,0,2))),"")</f>
        <v>0</v>
      </c>
      <c r="R210" s="7" t="str">
        <f t="array" ref="R210">IFERROR(INDEX(E$56:E$1054,SMALL(IF(ISNUMBER(P$56:P$1054),ROW(E$1:E$999),""),ROW(J155))),"")</f>
        <v/>
      </c>
      <c r="S210" s="7" t="str">
        <f t="array" ref="S210">IFERROR(INDEX(P$56:P$1054,SMALL(IF(ISNUMBER(P$56:P$1054),ROW(P$1:P$999),""),ROW(P155))),"")</f>
        <v/>
      </c>
      <c r="T210" s="7"/>
      <c r="U210" s="7"/>
      <c r="V210" s="7"/>
    </row>
    <row r="211" spans="1:22" x14ac:dyDescent="0.25">
      <c r="A211" s="6"/>
      <c r="B211" s="7"/>
      <c r="C211" s="7"/>
      <c r="D211" s="7"/>
      <c r="E211" s="8">
        <f t="shared" si="2"/>
        <v>0</v>
      </c>
      <c r="F211" s="10"/>
      <c r="G211" s="10"/>
      <c r="H211" s="9"/>
      <c r="I211" s="7"/>
      <c r="J211" s="7"/>
      <c r="K211" s="7">
        <f ca="1">IFERROR(IF(COUNTA(J$56:J211)=J$54,J211,FORECAST(D211,OFFSET(M$56:M$254,MATCH(D211,L$56:L$254,1)-1,0,2), OFFSET(L$56:L$254,MATCH(D211,L$56:L$254,1)-1,0,2))),"")</f>
        <v>0</v>
      </c>
      <c r="L211" s="7" t="str">
        <f t="array" ref="L211">IFERROR(INDEX(D$56:D$1054,SMALL(IF(ISNUMBER(J$56:J$1054),ROW(D$1:D$999),""),ROW(D156))),"")</f>
        <v/>
      </c>
      <c r="M211" s="7" t="str">
        <f t="array" ref="M211">IFERROR(INDEX(J$56:J$1054,SMALL(IF(ISNUMBER(J$56:J$1054),ROW(J$1:J$999),""),ROW(J156))),"")</f>
        <v/>
      </c>
      <c r="N211" s="7"/>
      <c r="O211" s="7"/>
      <c r="P211" s="7"/>
      <c r="Q211" s="7">
        <f ca="1">IFERROR(IF(COUNTA(P$56:P211)=P$54,P211,FORECAST(D211,OFFSET(S$56:S$254,MATCH(D211,R$56:R$254,1)-1,0,2), OFFSET(R$56:R$254,MATCH(D211,R$56:R$254,1)-1,0,2))),"")</f>
        <v>0</v>
      </c>
      <c r="R211" s="7" t="str">
        <f t="array" ref="R211">IFERROR(INDEX(E$56:E$1054,SMALL(IF(ISNUMBER(P$56:P$1054),ROW(E$1:E$999),""),ROW(J156))),"")</f>
        <v/>
      </c>
      <c r="S211" s="7" t="str">
        <f t="array" ref="S211">IFERROR(INDEX(P$56:P$1054,SMALL(IF(ISNUMBER(P$56:P$1054),ROW(P$1:P$999),""),ROW(P156))),"")</f>
        <v/>
      </c>
      <c r="T211" s="7"/>
      <c r="U211" s="7"/>
      <c r="V211" s="7"/>
    </row>
    <row r="212" spans="1:22" x14ac:dyDescent="0.25">
      <c r="A212" s="6"/>
      <c r="B212" s="7"/>
      <c r="C212" s="7"/>
      <c r="D212" s="7"/>
      <c r="E212" s="8">
        <f t="shared" si="2"/>
        <v>0</v>
      </c>
      <c r="F212" s="10"/>
      <c r="G212" s="10"/>
      <c r="H212" s="9"/>
      <c r="I212" s="7"/>
      <c r="J212" s="7"/>
      <c r="K212" s="7">
        <f ca="1">IFERROR(IF(COUNTA(J$56:J212)=J$54,J212,FORECAST(D212,OFFSET(M$56:M$254,MATCH(D212,L$56:L$254,1)-1,0,2), OFFSET(L$56:L$254,MATCH(D212,L$56:L$254,1)-1,0,2))),"")</f>
        <v>0</v>
      </c>
      <c r="L212" s="7" t="str">
        <f t="array" ref="L212">IFERROR(INDEX(D$56:D$1054,SMALL(IF(ISNUMBER(J$56:J$1054),ROW(D$1:D$999),""),ROW(D157))),"")</f>
        <v/>
      </c>
      <c r="M212" s="7" t="str">
        <f t="array" ref="M212">IFERROR(INDEX(J$56:J$1054,SMALL(IF(ISNUMBER(J$56:J$1054),ROW(J$1:J$999),""),ROW(J157))),"")</f>
        <v/>
      </c>
      <c r="N212" s="7"/>
      <c r="O212" s="7"/>
      <c r="P212" s="7"/>
      <c r="Q212" s="7">
        <f ca="1">IFERROR(IF(COUNTA(P$56:P212)=P$54,P212,FORECAST(D212,OFFSET(S$56:S$254,MATCH(D212,R$56:R$254,1)-1,0,2), OFFSET(R$56:R$254,MATCH(D212,R$56:R$254,1)-1,0,2))),"")</f>
        <v>0</v>
      </c>
      <c r="R212" s="7" t="str">
        <f t="array" ref="R212">IFERROR(INDEX(E$56:E$1054,SMALL(IF(ISNUMBER(P$56:P$1054),ROW(E$1:E$999),""),ROW(J157))),"")</f>
        <v/>
      </c>
      <c r="S212" s="7" t="str">
        <f t="array" ref="S212">IFERROR(INDEX(P$56:P$1054,SMALL(IF(ISNUMBER(P$56:P$1054),ROW(P$1:P$999),""),ROW(P157))),"")</f>
        <v/>
      </c>
      <c r="T212" s="7"/>
      <c r="U212" s="7"/>
      <c r="V212" s="7"/>
    </row>
    <row r="213" spans="1:22" x14ac:dyDescent="0.25">
      <c r="A213" s="6"/>
      <c r="B213" s="7"/>
      <c r="C213" s="7"/>
      <c r="D213" s="7"/>
      <c r="E213" s="8">
        <f t="shared" si="2"/>
        <v>0</v>
      </c>
      <c r="F213" s="10"/>
      <c r="G213" s="10"/>
      <c r="H213" s="9"/>
      <c r="I213" s="7"/>
      <c r="J213" s="7"/>
      <c r="K213" s="7">
        <f ca="1">IFERROR(IF(COUNTA(J$56:J213)=J$54,J213,FORECAST(D213,OFFSET(M$56:M$254,MATCH(D213,L$56:L$254,1)-1,0,2), OFFSET(L$56:L$254,MATCH(D213,L$56:L$254,1)-1,0,2))),"")</f>
        <v>0</v>
      </c>
      <c r="L213" s="7" t="str">
        <f t="array" ref="L213">IFERROR(INDEX(D$56:D$1054,SMALL(IF(ISNUMBER(J$56:J$1054),ROW(D$1:D$999),""),ROW(D158))),"")</f>
        <v/>
      </c>
      <c r="M213" s="7" t="str">
        <f t="array" ref="M213">IFERROR(INDEX(J$56:J$1054,SMALL(IF(ISNUMBER(J$56:J$1054),ROW(J$1:J$999),""),ROW(J158))),"")</f>
        <v/>
      </c>
      <c r="N213" s="7"/>
      <c r="O213" s="7"/>
      <c r="P213" s="7"/>
      <c r="Q213" s="7">
        <f ca="1">IFERROR(IF(COUNTA(P$56:P213)=P$54,P213,FORECAST(D213,OFFSET(S$56:S$254,MATCH(D213,R$56:R$254,1)-1,0,2), OFFSET(R$56:R$254,MATCH(D213,R$56:R$254,1)-1,0,2))),"")</f>
        <v>0</v>
      </c>
      <c r="R213" s="7" t="str">
        <f t="array" ref="R213">IFERROR(INDEX(E$56:E$1054,SMALL(IF(ISNUMBER(P$56:P$1054),ROW(E$1:E$999),""),ROW(J158))),"")</f>
        <v/>
      </c>
      <c r="S213" s="7" t="str">
        <f t="array" ref="S213">IFERROR(INDEX(P$56:P$1054,SMALL(IF(ISNUMBER(P$56:P$1054),ROW(P$1:P$999),""),ROW(P158))),"")</f>
        <v/>
      </c>
      <c r="T213" s="7"/>
      <c r="U213" s="7"/>
      <c r="V213" s="7"/>
    </row>
    <row r="214" spans="1:22" x14ac:dyDescent="0.25">
      <c r="A214" s="6"/>
      <c r="B214" s="7"/>
      <c r="C214" s="7"/>
      <c r="D214" s="7"/>
      <c r="E214" s="8">
        <f t="shared" si="2"/>
        <v>0</v>
      </c>
      <c r="F214" s="10"/>
      <c r="G214" s="10"/>
      <c r="H214" s="9"/>
      <c r="I214" s="7"/>
      <c r="J214" s="7"/>
      <c r="K214" s="7">
        <f ca="1">IFERROR(IF(COUNTA(J$56:J214)=J$54,J214,FORECAST(D214,OFFSET(M$56:M$254,MATCH(D214,L$56:L$254,1)-1,0,2), OFFSET(L$56:L$254,MATCH(D214,L$56:L$254,1)-1,0,2))),"")</f>
        <v>0</v>
      </c>
      <c r="L214" s="7" t="str">
        <f t="array" ref="L214">IFERROR(INDEX(D$56:D$1054,SMALL(IF(ISNUMBER(J$56:J$1054),ROW(D$1:D$999),""),ROW(D159))),"")</f>
        <v/>
      </c>
      <c r="M214" s="7" t="str">
        <f t="array" ref="M214">IFERROR(INDEX(J$56:J$1054,SMALL(IF(ISNUMBER(J$56:J$1054),ROW(J$1:J$999),""),ROW(J159))),"")</f>
        <v/>
      </c>
      <c r="N214" s="7"/>
      <c r="O214" s="7"/>
      <c r="P214" s="7"/>
      <c r="Q214" s="7">
        <f ca="1">IFERROR(IF(COUNTA(P$56:P214)=P$54,P214,FORECAST(D214,OFFSET(S$56:S$254,MATCH(D214,R$56:R$254,1)-1,0,2), OFFSET(R$56:R$254,MATCH(D214,R$56:R$254,1)-1,0,2))),"")</f>
        <v>0</v>
      </c>
      <c r="R214" s="7" t="str">
        <f t="array" ref="R214">IFERROR(INDEX(E$56:E$1054,SMALL(IF(ISNUMBER(P$56:P$1054),ROW(E$1:E$999),""),ROW(J159))),"")</f>
        <v/>
      </c>
      <c r="S214" s="7" t="str">
        <f t="array" ref="S214">IFERROR(INDEX(P$56:P$1054,SMALL(IF(ISNUMBER(P$56:P$1054),ROW(P$1:P$999),""),ROW(P159))),"")</f>
        <v/>
      </c>
      <c r="T214" s="7"/>
      <c r="U214" s="7"/>
      <c r="V214" s="7"/>
    </row>
    <row r="215" spans="1:22" x14ac:dyDescent="0.25">
      <c r="A215" s="6"/>
      <c r="B215" s="7"/>
      <c r="C215" s="7"/>
      <c r="D215" s="7"/>
      <c r="E215" s="8">
        <f t="shared" si="2"/>
        <v>0</v>
      </c>
      <c r="F215" s="10"/>
      <c r="G215" s="10"/>
      <c r="H215" s="9"/>
      <c r="I215" s="7"/>
      <c r="J215" s="7"/>
      <c r="K215" s="7">
        <f ca="1">IFERROR(IF(COUNTA(J$56:J215)=J$54,J215,FORECAST(D215,OFFSET(M$56:M$254,MATCH(D215,L$56:L$254,1)-1,0,2), OFFSET(L$56:L$254,MATCH(D215,L$56:L$254,1)-1,0,2))),"")</f>
        <v>0</v>
      </c>
      <c r="L215" s="7" t="str">
        <f t="array" ref="L215">IFERROR(INDEX(D$56:D$1054,SMALL(IF(ISNUMBER(J$56:J$1054),ROW(D$1:D$999),""),ROW(D160))),"")</f>
        <v/>
      </c>
      <c r="M215" s="7" t="str">
        <f t="array" ref="M215">IFERROR(INDEX(J$56:J$1054,SMALL(IF(ISNUMBER(J$56:J$1054),ROW(J$1:J$999),""),ROW(J160))),"")</f>
        <v/>
      </c>
      <c r="N215" s="7"/>
      <c r="O215" s="7"/>
      <c r="P215" s="7"/>
      <c r="Q215" s="7">
        <f ca="1">IFERROR(IF(COUNTA(P$56:P215)=P$54,P215,FORECAST(D215,OFFSET(S$56:S$254,MATCH(D215,R$56:R$254,1)-1,0,2), OFFSET(R$56:R$254,MATCH(D215,R$56:R$254,1)-1,0,2))),"")</f>
        <v>0</v>
      </c>
      <c r="R215" s="7" t="str">
        <f t="array" ref="R215">IFERROR(INDEX(E$56:E$1054,SMALL(IF(ISNUMBER(P$56:P$1054),ROW(E$1:E$999),""),ROW(J160))),"")</f>
        <v/>
      </c>
      <c r="S215" s="7" t="str">
        <f t="array" ref="S215">IFERROR(INDEX(P$56:P$1054,SMALL(IF(ISNUMBER(P$56:P$1054),ROW(P$1:P$999),""),ROW(P160))),"")</f>
        <v/>
      </c>
      <c r="T215" s="7"/>
      <c r="U215" s="7"/>
      <c r="V215" s="7"/>
    </row>
    <row r="216" spans="1:22" x14ac:dyDescent="0.25">
      <c r="A216" s="6"/>
      <c r="B216" s="7"/>
      <c r="C216" s="7"/>
      <c r="D216" s="7"/>
      <c r="E216" s="8">
        <f t="shared" si="2"/>
        <v>0</v>
      </c>
      <c r="F216" s="10"/>
      <c r="G216" s="10"/>
      <c r="H216" s="9"/>
      <c r="I216" s="7"/>
      <c r="J216" s="7"/>
      <c r="K216" s="7">
        <f ca="1">IFERROR(IF(COUNTA(J$56:J216)=J$54,J216,FORECAST(D216,OFFSET(M$56:M$254,MATCH(D216,L$56:L$254,1)-1,0,2), OFFSET(L$56:L$254,MATCH(D216,L$56:L$254,1)-1,0,2))),"")</f>
        <v>0</v>
      </c>
      <c r="L216" s="7" t="str">
        <f t="array" ref="L216">IFERROR(INDEX(D$56:D$1054,SMALL(IF(ISNUMBER(J$56:J$1054),ROW(D$1:D$999),""),ROW(D161))),"")</f>
        <v/>
      </c>
      <c r="M216" s="7" t="str">
        <f t="array" ref="M216">IFERROR(INDEX(J$56:J$1054,SMALL(IF(ISNUMBER(J$56:J$1054),ROW(J$1:J$999),""),ROW(J161))),"")</f>
        <v/>
      </c>
      <c r="N216" s="7"/>
      <c r="O216" s="7"/>
      <c r="P216" s="7"/>
      <c r="Q216" s="7">
        <f ca="1">IFERROR(IF(COUNTA(P$56:P216)=P$54,P216,FORECAST(D216,OFFSET(S$56:S$254,MATCH(D216,R$56:R$254,1)-1,0,2), OFFSET(R$56:R$254,MATCH(D216,R$56:R$254,1)-1,0,2))),"")</f>
        <v>0</v>
      </c>
      <c r="R216" s="7" t="str">
        <f t="array" ref="R216">IFERROR(INDEX(E$56:E$1054,SMALL(IF(ISNUMBER(P$56:P$1054),ROW(E$1:E$999),""),ROW(J161))),"")</f>
        <v/>
      </c>
      <c r="S216" s="7" t="str">
        <f t="array" ref="S216">IFERROR(INDEX(P$56:P$1054,SMALL(IF(ISNUMBER(P$56:P$1054),ROW(P$1:P$999),""),ROW(P161))),"")</f>
        <v/>
      </c>
      <c r="T216" s="7"/>
      <c r="U216" s="7"/>
      <c r="V216" s="7"/>
    </row>
    <row r="217" spans="1:22" x14ac:dyDescent="0.25">
      <c r="A217" s="6"/>
      <c r="B217" s="7"/>
      <c r="C217" s="7"/>
      <c r="D217" s="7"/>
      <c r="E217" s="8">
        <f t="shared" si="2"/>
        <v>0</v>
      </c>
      <c r="F217" s="10"/>
      <c r="G217" s="10"/>
      <c r="H217" s="9"/>
      <c r="I217" s="7"/>
      <c r="J217" s="7"/>
      <c r="K217" s="7">
        <f ca="1">IFERROR(IF(COUNTA(J$56:J217)=J$54,J217,FORECAST(D217,OFFSET(M$56:M$254,MATCH(D217,L$56:L$254,1)-1,0,2), OFFSET(L$56:L$254,MATCH(D217,L$56:L$254,1)-1,0,2))),"")</f>
        <v>0</v>
      </c>
      <c r="L217" s="7" t="str">
        <f t="array" ref="L217">IFERROR(INDEX(D$56:D$1054,SMALL(IF(ISNUMBER(J$56:J$1054),ROW(D$1:D$999),""),ROW(D162))),"")</f>
        <v/>
      </c>
      <c r="M217" s="7" t="str">
        <f t="array" ref="M217">IFERROR(INDEX(J$56:J$1054,SMALL(IF(ISNUMBER(J$56:J$1054),ROW(J$1:J$999),""),ROW(J162))),"")</f>
        <v/>
      </c>
      <c r="N217" s="7"/>
      <c r="O217" s="7"/>
      <c r="P217" s="7"/>
      <c r="Q217" s="7">
        <f ca="1">IFERROR(IF(COUNTA(P$56:P217)=P$54,P217,FORECAST(D217,OFFSET(S$56:S$254,MATCH(D217,R$56:R$254,1)-1,0,2), OFFSET(R$56:R$254,MATCH(D217,R$56:R$254,1)-1,0,2))),"")</f>
        <v>0</v>
      </c>
      <c r="R217" s="7" t="str">
        <f t="array" ref="R217">IFERROR(INDEX(E$56:E$1054,SMALL(IF(ISNUMBER(P$56:P$1054),ROW(E$1:E$999),""),ROW(J162))),"")</f>
        <v/>
      </c>
      <c r="S217" s="7" t="str">
        <f t="array" ref="S217">IFERROR(INDEX(P$56:P$1054,SMALL(IF(ISNUMBER(P$56:P$1054),ROW(P$1:P$999),""),ROW(P162))),"")</f>
        <v/>
      </c>
      <c r="T217" s="7"/>
      <c r="U217" s="7"/>
      <c r="V217" s="7"/>
    </row>
    <row r="218" spans="1:22" x14ac:dyDescent="0.25">
      <c r="A218" s="6"/>
      <c r="B218" s="7"/>
      <c r="C218" s="7"/>
      <c r="D218" s="7"/>
      <c r="E218" s="8">
        <f t="shared" si="2"/>
        <v>0</v>
      </c>
      <c r="F218" s="10"/>
      <c r="G218" s="10"/>
      <c r="H218" s="9"/>
      <c r="I218" s="7"/>
      <c r="J218" s="7"/>
      <c r="K218" s="7">
        <f ca="1">IFERROR(IF(COUNTA(J$56:J218)=J$54,J218,FORECAST(D218,OFFSET(M$56:M$254,MATCH(D218,L$56:L$254,1)-1,0,2), OFFSET(L$56:L$254,MATCH(D218,L$56:L$254,1)-1,0,2))),"")</f>
        <v>0</v>
      </c>
      <c r="L218" s="7" t="str">
        <f t="array" ref="L218">IFERROR(INDEX(D$56:D$1054,SMALL(IF(ISNUMBER(J$56:J$1054),ROW(D$1:D$999),""),ROW(D163))),"")</f>
        <v/>
      </c>
      <c r="M218" s="7" t="str">
        <f t="array" ref="M218">IFERROR(INDEX(J$56:J$1054,SMALL(IF(ISNUMBER(J$56:J$1054),ROW(J$1:J$999),""),ROW(J163))),"")</f>
        <v/>
      </c>
      <c r="N218" s="7"/>
      <c r="O218" s="7"/>
      <c r="P218" s="7"/>
      <c r="Q218" s="7">
        <f ca="1">IFERROR(IF(COUNTA(P$56:P218)=P$54,P218,FORECAST(D218,OFFSET(S$56:S$254,MATCH(D218,R$56:R$254,1)-1,0,2), OFFSET(R$56:R$254,MATCH(D218,R$56:R$254,1)-1,0,2))),"")</f>
        <v>0</v>
      </c>
      <c r="R218" s="7" t="str">
        <f t="array" ref="R218">IFERROR(INDEX(E$56:E$1054,SMALL(IF(ISNUMBER(P$56:P$1054),ROW(E$1:E$999),""),ROW(J163))),"")</f>
        <v/>
      </c>
      <c r="S218" s="7" t="str">
        <f t="array" ref="S218">IFERROR(INDEX(P$56:P$1054,SMALL(IF(ISNUMBER(P$56:P$1054),ROW(P$1:P$999),""),ROW(P163))),"")</f>
        <v/>
      </c>
      <c r="T218" s="7"/>
      <c r="U218" s="7"/>
      <c r="V218" s="7"/>
    </row>
    <row r="219" spans="1:22" x14ac:dyDescent="0.25">
      <c r="A219" s="6"/>
      <c r="B219" s="7"/>
      <c r="C219" s="7"/>
      <c r="D219" s="7"/>
      <c r="E219" s="8">
        <f t="shared" si="2"/>
        <v>0</v>
      </c>
      <c r="F219" s="10"/>
      <c r="G219" s="10"/>
      <c r="H219" s="9"/>
      <c r="I219" s="7"/>
      <c r="J219" s="7"/>
      <c r="K219" s="7">
        <f ca="1">IFERROR(IF(COUNTA(J$56:J219)=J$54,J219,FORECAST(D219,OFFSET(M$56:M$254,MATCH(D219,L$56:L$254,1)-1,0,2), OFFSET(L$56:L$254,MATCH(D219,L$56:L$254,1)-1,0,2))),"")</f>
        <v>0</v>
      </c>
      <c r="L219" s="7" t="str">
        <f t="array" ref="L219">IFERROR(INDEX(D$56:D$1054,SMALL(IF(ISNUMBER(J$56:J$1054),ROW(D$1:D$999),""),ROW(D164))),"")</f>
        <v/>
      </c>
      <c r="M219" s="7" t="str">
        <f t="array" ref="M219">IFERROR(INDEX(J$56:J$1054,SMALL(IF(ISNUMBER(J$56:J$1054),ROW(J$1:J$999),""),ROW(J164))),"")</f>
        <v/>
      </c>
      <c r="N219" s="7"/>
      <c r="O219" s="7"/>
      <c r="P219" s="7"/>
      <c r="Q219" s="7">
        <f ca="1">IFERROR(IF(COUNTA(P$56:P219)=P$54,P219,FORECAST(D219,OFFSET(S$56:S$254,MATCH(D219,R$56:R$254,1)-1,0,2), OFFSET(R$56:R$254,MATCH(D219,R$56:R$254,1)-1,0,2))),"")</f>
        <v>0</v>
      </c>
      <c r="R219" s="7" t="str">
        <f t="array" ref="R219">IFERROR(INDEX(E$56:E$1054,SMALL(IF(ISNUMBER(P$56:P$1054),ROW(E$1:E$999),""),ROW(J164))),"")</f>
        <v/>
      </c>
      <c r="S219" s="7" t="str">
        <f t="array" ref="S219">IFERROR(INDEX(P$56:P$1054,SMALL(IF(ISNUMBER(P$56:P$1054),ROW(P$1:P$999),""),ROW(P164))),"")</f>
        <v/>
      </c>
      <c r="T219" s="7"/>
      <c r="U219" s="7"/>
      <c r="V219" s="7"/>
    </row>
    <row r="220" spans="1:22" x14ac:dyDescent="0.25">
      <c r="A220" s="6"/>
      <c r="B220" s="7"/>
      <c r="C220" s="7"/>
      <c r="D220" s="7"/>
      <c r="E220" s="8">
        <f t="shared" si="2"/>
        <v>0</v>
      </c>
      <c r="F220" s="10"/>
      <c r="G220" s="10"/>
      <c r="H220" s="9"/>
      <c r="I220" s="7"/>
      <c r="J220" s="7"/>
      <c r="K220" s="7">
        <f ca="1">IFERROR(IF(COUNTA(J$56:J220)=J$54,J220,FORECAST(D220,OFFSET(M$56:M$254,MATCH(D220,L$56:L$254,1)-1,0,2), OFFSET(L$56:L$254,MATCH(D220,L$56:L$254,1)-1,0,2))),"")</f>
        <v>0</v>
      </c>
      <c r="L220" s="7" t="str">
        <f t="array" ref="L220">IFERROR(INDEX(D$56:D$1054,SMALL(IF(ISNUMBER(J$56:J$1054),ROW(D$1:D$999),""),ROW(D165))),"")</f>
        <v/>
      </c>
      <c r="M220" s="7" t="str">
        <f t="array" ref="M220">IFERROR(INDEX(J$56:J$1054,SMALL(IF(ISNUMBER(J$56:J$1054),ROW(J$1:J$999),""),ROW(J165))),"")</f>
        <v/>
      </c>
      <c r="N220" s="7"/>
      <c r="O220" s="7"/>
      <c r="P220" s="7"/>
      <c r="Q220" s="7">
        <f ca="1">IFERROR(IF(COUNTA(P$56:P220)=P$54,P220,FORECAST(D220,OFFSET(S$56:S$254,MATCH(D220,R$56:R$254,1)-1,0,2), OFFSET(R$56:R$254,MATCH(D220,R$56:R$254,1)-1,0,2))),"")</f>
        <v>0</v>
      </c>
      <c r="R220" s="7" t="str">
        <f t="array" ref="R220">IFERROR(INDEX(E$56:E$1054,SMALL(IF(ISNUMBER(P$56:P$1054),ROW(E$1:E$999),""),ROW(J165))),"")</f>
        <v/>
      </c>
      <c r="S220" s="7" t="str">
        <f t="array" ref="S220">IFERROR(INDEX(P$56:P$1054,SMALL(IF(ISNUMBER(P$56:P$1054),ROW(P$1:P$999),""),ROW(P165))),"")</f>
        <v/>
      </c>
      <c r="T220" s="7"/>
      <c r="U220" s="7"/>
      <c r="V220" s="7"/>
    </row>
    <row r="221" spans="1:22" x14ac:dyDescent="0.25">
      <c r="A221" s="6"/>
      <c r="B221" s="7"/>
      <c r="C221" s="7"/>
      <c r="D221" s="7"/>
      <c r="E221" s="8">
        <f t="shared" si="2"/>
        <v>0</v>
      </c>
      <c r="F221" s="10"/>
      <c r="G221" s="10"/>
      <c r="H221" s="9"/>
      <c r="I221" s="7"/>
      <c r="J221" s="7"/>
      <c r="K221" s="7">
        <f ca="1">IFERROR(IF(COUNTA(J$56:J221)=J$54,J221,FORECAST(D221,OFFSET(M$56:M$254,MATCH(D221,L$56:L$254,1)-1,0,2), OFFSET(L$56:L$254,MATCH(D221,L$56:L$254,1)-1,0,2))),"")</f>
        <v>0</v>
      </c>
      <c r="L221" s="7" t="str">
        <f t="array" ref="L221">IFERROR(INDEX(D$56:D$1054,SMALL(IF(ISNUMBER(J$56:J$1054),ROW(D$1:D$999),""),ROW(D166))),"")</f>
        <v/>
      </c>
      <c r="M221" s="7" t="str">
        <f t="array" ref="M221">IFERROR(INDEX(J$56:J$1054,SMALL(IF(ISNUMBER(J$56:J$1054),ROW(J$1:J$999),""),ROW(J166))),"")</f>
        <v/>
      </c>
      <c r="N221" s="7"/>
      <c r="O221" s="7"/>
      <c r="P221" s="7"/>
      <c r="Q221" s="7">
        <f ca="1">IFERROR(IF(COUNTA(P$56:P221)=P$54,P221,FORECAST(D221,OFFSET(S$56:S$254,MATCH(D221,R$56:R$254,1)-1,0,2), OFFSET(R$56:R$254,MATCH(D221,R$56:R$254,1)-1,0,2))),"")</f>
        <v>0</v>
      </c>
      <c r="R221" s="7" t="str">
        <f t="array" ref="R221">IFERROR(INDEX(E$56:E$1054,SMALL(IF(ISNUMBER(P$56:P$1054),ROW(E$1:E$999),""),ROW(J166))),"")</f>
        <v/>
      </c>
      <c r="S221" s="7" t="str">
        <f t="array" ref="S221">IFERROR(INDEX(P$56:P$1054,SMALL(IF(ISNUMBER(P$56:P$1054),ROW(P$1:P$999),""),ROW(P166))),"")</f>
        <v/>
      </c>
      <c r="T221" s="7"/>
      <c r="U221" s="7"/>
      <c r="V221" s="7"/>
    </row>
    <row r="222" spans="1:22" x14ac:dyDescent="0.25">
      <c r="A222" s="6"/>
      <c r="B222" s="7"/>
      <c r="C222" s="7"/>
      <c r="D222" s="7"/>
      <c r="E222" s="8">
        <f t="shared" si="2"/>
        <v>0</v>
      </c>
      <c r="F222" s="10"/>
      <c r="G222" s="10"/>
      <c r="H222" s="9"/>
      <c r="I222" s="7"/>
      <c r="J222" s="7"/>
      <c r="K222" s="7">
        <f ca="1">IFERROR(IF(COUNTA(J$56:J222)=J$54,J222,FORECAST(D222,OFFSET(M$56:M$254,MATCH(D222,L$56:L$254,1)-1,0,2), OFFSET(L$56:L$254,MATCH(D222,L$56:L$254,1)-1,0,2))),"")</f>
        <v>0</v>
      </c>
      <c r="L222" s="7" t="str">
        <f t="array" ref="L222">IFERROR(INDEX(D$56:D$1054,SMALL(IF(ISNUMBER(J$56:J$1054),ROW(D$1:D$999),""),ROW(D167))),"")</f>
        <v/>
      </c>
      <c r="M222" s="7" t="str">
        <f t="array" ref="M222">IFERROR(INDEX(J$56:J$1054,SMALL(IF(ISNUMBER(J$56:J$1054),ROW(J$1:J$999),""),ROW(J167))),"")</f>
        <v/>
      </c>
      <c r="N222" s="7"/>
      <c r="O222" s="7"/>
      <c r="P222" s="7"/>
      <c r="Q222" s="7">
        <f ca="1">IFERROR(IF(COUNTA(P$56:P222)=P$54,P222,FORECAST(D222,OFFSET(S$56:S$254,MATCH(D222,R$56:R$254,1)-1,0,2), OFFSET(R$56:R$254,MATCH(D222,R$56:R$254,1)-1,0,2))),"")</f>
        <v>0</v>
      </c>
      <c r="R222" s="7" t="str">
        <f t="array" ref="R222">IFERROR(INDEX(E$56:E$1054,SMALL(IF(ISNUMBER(P$56:P$1054),ROW(E$1:E$999),""),ROW(J167))),"")</f>
        <v/>
      </c>
      <c r="S222" s="7" t="str">
        <f t="array" ref="S222">IFERROR(INDEX(P$56:P$1054,SMALL(IF(ISNUMBER(P$56:P$1054),ROW(P$1:P$999),""),ROW(P167))),"")</f>
        <v/>
      </c>
      <c r="T222" s="7"/>
      <c r="U222" s="7"/>
      <c r="V222" s="7"/>
    </row>
    <row r="223" spans="1:22" x14ac:dyDescent="0.25">
      <c r="A223" s="6"/>
      <c r="B223" s="7"/>
      <c r="C223" s="7"/>
      <c r="D223" s="7"/>
      <c r="E223" s="8">
        <f t="shared" si="2"/>
        <v>0</v>
      </c>
      <c r="F223" s="10"/>
      <c r="G223" s="10"/>
      <c r="H223" s="9"/>
      <c r="I223" s="7"/>
      <c r="J223" s="7"/>
      <c r="K223" s="7">
        <f ca="1">IFERROR(IF(COUNTA(J$56:J223)=J$54,J223,FORECAST(D223,OFFSET(M$56:M$254,MATCH(D223,L$56:L$254,1)-1,0,2), OFFSET(L$56:L$254,MATCH(D223,L$56:L$254,1)-1,0,2))),"")</f>
        <v>0</v>
      </c>
      <c r="L223" s="7" t="str">
        <f t="array" ref="L223">IFERROR(INDEX(D$56:D$1054,SMALL(IF(ISNUMBER(J$56:J$1054),ROW(D$1:D$999),""),ROW(D168))),"")</f>
        <v/>
      </c>
      <c r="M223" s="7" t="str">
        <f t="array" ref="M223">IFERROR(INDEX(J$56:J$1054,SMALL(IF(ISNUMBER(J$56:J$1054),ROW(J$1:J$999),""),ROW(J168))),"")</f>
        <v/>
      </c>
      <c r="N223" s="7"/>
      <c r="O223" s="7"/>
      <c r="P223" s="7"/>
      <c r="Q223" s="7">
        <f ca="1">IFERROR(IF(COUNTA(P$56:P223)=P$54,P223,FORECAST(D223,OFFSET(S$56:S$254,MATCH(D223,R$56:R$254,1)-1,0,2), OFFSET(R$56:R$254,MATCH(D223,R$56:R$254,1)-1,0,2))),"")</f>
        <v>0</v>
      </c>
      <c r="R223" s="7" t="str">
        <f t="array" ref="R223">IFERROR(INDEX(E$56:E$1054,SMALL(IF(ISNUMBER(P$56:P$1054),ROW(E$1:E$999),""),ROW(J168))),"")</f>
        <v/>
      </c>
      <c r="S223" s="7" t="str">
        <f t="array" ref="S223">IFERROR(INDEX(P$56:P$1054,SMALL(IF(ISNUMBER(P$56:P$1054),ROW(P$1:P$999),""),ROW(P168))),"")</f>
        <v/>
      </c>
      <c r="T223" s="7"/>
      <c r="U223" s="7"/>
      <c r="V223" s="7"/>
    </row>
    <row r="224" spans="1:22" x14ac:dyDescent="0.25">
      <c r="A224" s="6"/>
      <c r="B224" s="7"/>
      <c r="C224" s="7"/>
      <c r="D224" s="7"/>
      <c r="E224" s="8">
        <f t="shared" si="2"/>
        <v>0</v>
      </c>
      <c r="F224" s="10"/>
      <c r="G224" s="10"/>
      <c r="H224" s="9"/>
      <c r="I224" s="7"/>
      <c r="J224" s="7"/>
      <c r="K224" s="7">
        <f ca="1">IFERROR(IF(COUNTA(J$56:J224)=J$54,J224,FORECAST(D224,OFFSET(M$56:M$254,MATCH(D224,L$56:L$254,1)-1,0,2), OFFSET(L$56:L$254,MATCH(D224,L$56:L$254,1)-1,0,2))),"")</f>
        <v>0</v>
      </c>
      <c r="L224" s="7" t="str">
        <f t="array" ref="L224">IFERROR(INDEX(D$56:D$1054,SMALL(IF(ISNUMBER(J$56:J$1054),ROW(D$1:D$999),""),ROW(D169))),"")</f>
        <v/>
      </c>
      <c r="M224" s="7" t="str">
        <f t="array" ref="M224">IFERROR(INDEX(J$56:J$1054,SMALL(IF(ISNUMBER(J$56:J$1054),ROW(J$1:J$999),""),ROW(J169))),"")</f>
        <v/>
      </c>
      <c r="N224" s="7"/>
      <c r="O224" s="7"/>
      <c r="P224" s="7"/>
      <c r="Q224" s="7">
        <f ca="1">IFERROR(IF(COUNTA(P$56:P224)=P$54,P224,FORECAST(D224,OFFSET(S$56:S$254,MATCH(D224,R$56:R$254,1)-1,0,2), OFFSET(R$56:R$254,MATCH(D224,R$56:R$254,1)-1,0,2))),"")</f>
        <v>0</v>
      </c>
      <c r="R224" s="7" t="str">
        <f t="array" ref="R224">IFERROR(INDEX(E$56:E$1054,SMALL(IF(ISNUMBER(P$56:P$1054),ROW(E$1:E$999),""),ROW(J169))),"")</f>
        <v/>
      </c>
      <c r="S224" s="7" t="str">
        <f t="array" ref="S224">IFERROR(INDEX(P$56:P$1054,SMALL(IF(ISNUMBER(P$56:P$1054),ROW(P$1:P$999),""),ROW(P169))),"")</f>
        <v/>
      </c>
      <c r="T224" s="7"/>
      <c r="U224" s="7"/>
      <c r="V224" s="7"/>
    </row>
    <row r="225" spans="1:22" x14ac:dyDescent="0.25">
      <c r="A225" s="6"/>
      <c r="B225" s="7"/>
      <c r="C225" s="7"/>
      <c r="D225" s="7"/>
      <c r="E225" s="8">
        <f t="shared" si="2"/>
        <v>0</v>
      </c>
      <c r="F225" s="10"/>
      <c r="G225" s="10"/>
      <c r="H225" s="9"/>
      <c r="I225" s="7"/>
      <c r="J225" s="7"/>
      <c r="K225" s="7">
        <f ca="1">IFERROR(IF(COUNTA(J$56:J225)=J$54,J225,FORECAST(D225,OFFSET(M$56:M$254,MATCH(D225,L$56:L$254,1)-1,0,2), OFFSET(L$56:L$254,MATCH(D225,L$56:L$254,1)-1,0,2))),"")</f>
        <v>0</v>
      </c>
      <c r="L225" s="7" t="str">
        <f t="array" ref="L225">IFERROR(INDEX(D$56:D$1054,SMALL(IF(ISNUMBER(J$56:J$1054),ROW(D$1:D$999),""),ROW(D170))),"")</f>
        <v/>
      </c>
      <c r="M225" s="7" t="str">
        <f t="array" ref="M225">IFERROR(INDEX(J$56:J$1054,SMALL(IF(ISNUMBER(J$56:J$1054),ROW(J$1:J$999),""),ROW(J170))),"")</f>
        <v/>
      </c>
      <c r="N225" s="7"/>
      <c r="O225" s="7"/>
      <c r="P225" s="7"/>
      <c r="Q225" s="7">
        <f ca="1">IFERROR(IF(COUNTA(P$56:P225)=P$54,P225,FORECAST(D225,OFFSET(S$56:S$254,MATCH(D225,R$56:R$254,1)-1,0,2), OFFSET(R$56:R$254,MATCH(D225,R$56:R$254,1)-1,0,2))),"")</f>
        <v>0</v>
      </c>
      <c r="R225" s="7" t="str">
        <f t="array" ref="R225">IFERROR(INDEX(E$56:E$1054,SMALL(IF(ISNUMBER(P$56:P$1054),ROW(E$1:E$999),""),ROW(J170))),"")</f>
        <v/>
      </c>
      <c r="S225" s="7" t="str">
        <f t="array" ref="S225">IFERROR(INDEX(P$56:P$1054,SMALL(IF(ISNUMBER(P$56:P$1054),ROW(P$1:P$999),""),ROW(P170))),"")</f>
        <v/>
      </c>
      <c r="T225" s="7"/>
      <c r="U225" s="7"/>
      <c r="V225" s="7"/>
    </row>
    <row r="226" spans="1:22" x14ac:dyDescent="0.25">
      <c r="A226" s="6"/>
      <c r="B226" s="7"/>
      <c r="C226" s="7"/>
      <c r="D226" s="7"/>
      <c r="E226" s="8">
        <f t="shared" si="2"/>
        <v>0</v>
      </c>
      <c r="F226" s="10"/>
      <c r="G226" s="10"/>
      <c r="H226" s="9"/>
      <c r="I226" s="7"/>
      <c r="J226" s="7"/>
      <c r="K226" s="7">
        <f ca="1">IFERROR(IF(COUNTA(J$56:J226)=J$54,J226,FORECAST(D226,OFFSET(M$56:M$254,MATCH(D226,L$56:L$254,1)-1,0,2), OFFSET(L$56:L$254,MATCH(D226,L$56:L$254,1)-1,0,2))),"")</f>
        <v>0</v>
      </c>
      <c r="L226" s="7" t="str">
        <f t="array" ref="L226">IFERROR(INDEX(D$56:D$1054,SMALL(IF(ISNUMBER(J$56:J$1054),ROW(D$1:D$999),""),ROW(D171))),"")</f>
        <v/>
      </c>
      <c r="M226" s="7" t="str">
        <f t="array" ref="M226">IFERROR(INDEX(J$56:J$1054,SMALL(IF(ISNUMBER(J$56:J$1054),ROW(J$1:J$999),""),ROW(J171))),"")</f>
        <v/>
      </c>
      <c r="N226" s="7"/>
      <c r="O226" s="7"/>
      <c r="P226" s="7"/>
      <c r="Q226" s="7">
        <f ca="1">IFERROR(IF(COUNTA(P$56:P226)=P$54,P226,FORECAST(D226,OFFSET(S$56:S$254,MATCH(D226,R$56:R$254,1)-1,0,2), OFFSET(R$56:R$254,MATCH(D226,R$56:R$254,1)-1,0,2))),"")</f>
        <v>0</v>
      </c>
      <c r="R226" s="7" t="str">
        <f t="array" ref="R226">IFERROR(INDEX(E$56:E$1054,SMALL(IF(ISNUMBER(P$56:P$1054),ROW(E$1:E$999),""),ROW(J171))),"")</f>
        <v/>
      </c>
      <c r="S226" s="7" t="str">
        <f t="array" ref="S226">IFERROR(INDEX(P$56:P$1054,SMALL(IF(ISNUMBER(P$56:P$1054),ROW(P$1:P$999),""),ROW(P171))),"")</f>
        <v/>
      </c>
      <c r="T226" s="7"/>
      <c r="U226" s="7"/>
      <c r="V226" s="7"/>
    </row>
    <row r="227" spans="1:22" x14ac:dyDescent="0.25">
      <c r="A227" s="6"/>
      <c r="B227" s="7"/>
      <c r="C227" s="7"/>
      <c r="D227" s="7"/>
      <c r="E227" s="8">
        <f t="shared" si="2"/>
        <v>0</v>
      </c>
      <c r="F227" s="10"/>
      <c r="G227" s="10"/>
      <c r="H227" s="9"/>
      <c r="I227" s="7"/>
      <c r="J227" s="7"/>
      <c r="K227" s="7">
        <f ca="1">IFERROR(IF(COUNTA(J$56:J227)=J$54,J227,FORECAST(D227,OFFSET(M$56:M$254,MATCH(D227,L$56:L$254,1)-1,0,2), OFFSET(L$56:L$254,MATCH(D227,L$56:L$254,1)-1,0,2))),"")</f>
        <v>0</v>
      </c>
      <c r="L227" s="7" t="str">
        <f t="array" ref="L227">IFERROR(INDEX(D$56:D$1054,SMALL(IF(ISNUMBER(J$56:J$1054),ROW(D$1:D$999),""),ROW(D172))),"")</f>
        <v/>
      </c>
      <c r="M227" s="7" t="str">
        <f t="array" ref="M227">IFERROR(INDEX(J$56:J$1054,SMALL(IF(ISNUMBER(J$56:J$1054),ROW(J$1:J$999),""),ROW(J172))),"")</f>
        <v/>
      </c>
      <c r="N227" s="7"/>
      <c r="O227" s="7"/>
      <c r="P227" s="7"/>
      <c r="Q227" s="7">
        <f ca="1">IFERROR(IF(COUNTA(P$56:P227)=P$54,P227,FORECAST(D227,OFFSET(S$56:S$254,MATCH(D227,R$56:R$254,1)-1,0,2), OFFSET(R$56:R$254,MATCH(D227,R$56:R$254,1)-1,0,2))),"")</f>
        <v>0</v>
      </c>
      <c r="R227" s="7" t="str">
        <f t="array" ref="R227">IFERROR(INDEX(E$56:E$1054,SMALL(IF(ISNUMBER(P$56:P$1054),ROW(E$1:E$999),""),ROW(J172))),"")</f>
        <v/>
      </c>
      <c r="S227" s="7" t="str">
        <f t="array" ref="S227">IFERROR(INDEX(P$56:P$1054,SMALL(IF(ISNUMBER(P$56:P$1054),ROW(P$1:P$999),""),ROW(P172))),"")</f>
        <v/>
      </c>
      <c r="T227" s="7"/>
      <c r="U227" s="7"/>
      <c r="V227" s="7"/>
    </row>
    <row r="228" spans="1:22" x14ac:dyDescent="0.25">
      <c r="A228" s="6"/>
      <c r="B228" s="7"/>
      <c r="C228" s="7"/>
      <c r="D228" s="7"/>
      <c r="E228" s="8">
        <f t="shared" si="2"/>
        <v>0</v>
      </c>
      <c r="F228" s="10"/>
      <c r="G228" s="10"/>
      <c r="H228" s="9"/>
      <c r="I228" s="7"/>
      <c r="J228" s="7"/>
      <c r="K228" s="7">
        <f ca="1">IFERROR(IF(COUNTA(J$56:J228)=J$54,J228,FORECAST(D228,OFFSET(M$56:M$254,MATCH(D228,L$56:L$254,1)-1,0,2), OFFSET(L$56:L$254,MATCH(D228,L$56:L$254,1)-1,0,2))),"")</f>
        <v>0</v>
      </c>
      <c r="L228" s="7" t="str">
        <f t="array" ref="L228">IFERROR(INDEX(D$56:D$1054,SMALL(IF(ISNUMBER(J$56:J$1054),ROW(D$1:D$999),""),ROW(D173))),"")</f>
        <v/>
      </c>
      <c r="M228" s="7" t="str">
        <f t="array" ref="M228">IFERROR(INDEX(J$56:J$1054,SMALL(IF(ISNUMBER(J$56:J$1054),ROW(J$1:J$999),""),ROW(J173))),"")</f>
        <v/>
      </c>
      <c r="N228" s="7"/>
      <c r="O228" s="7"/>
      <c r="P228" s="7"/>
      <c r="Q228" s="7">
        <f ca="1">IFERROR(IF(COUNTA(P$56:P228)=P$54,P228,FORECAST(D228,OFFSET(S$56:S$254,MATCH(D228,R$56:R$254,1)-1,0,2), OFFSET(R$56:R$254,MATCH(D228,R$56:R$254,1)-1,0,2))),"")</f>
        <v>0</v>
      </c>
      <c r="R228" s="7" t="str">
        <f t="array" ref="R228">IFERROR(INDEX(E$56:E$1054,SMALL(IF(ISNUMBER(P$56:P$1054),ROW(E$1:E$999),""),ROW(J173))),"")</f>
        <v/>
      </c>
      <c r="S228" s="7" t="str">
        <f t="array" ref="S228">IFERROR(INDEX(P$56:P$1054,SMALL(IF(ISNUMBER(P$56:P$1054),ROW(P$1:P$999),""),ROW(P173))),"")</f>
        <v/>
      </c>
      <c r="T228" s="7"/>
      <c r="U228" s="7"/>
      <c r="V228" s="7"/>
    </row>
    <row r="229" spans="1:22" x14ac:dyDescent="0.25">
      <c r="A229" s="6"/>
      <c r="B229" s="7"/>
      <c r="C229" s="7"/>
      <c r="D229" s="7"/>
      <c r="E229" s="8">
        <f t="shared" si="2"/>
        <v>0</v>
      </c>
      <c r="F229" s="10"/>
      <c r="G229" s="10"/>
      <c r="H229" s="9"/>
      <c r="I229" s="7"/>
      <c r="J229" s="7"/>
      <c r="K229" s="7">
        <f ca="1">IFERROR(IF(COUNTA(J$56:J229)=J$54,J229,FORECAST(D229,OFFSET(M$56:M$254,MATCH(D229,L$56:L$254,1)-1,0,2), OFFSET(L$56:L$254,MATCH(D229,L$56:L$254,1)-1,0,2))),"")</f>
        <v>0</v>
      </c>
      <c r="L229" s="7" t="str">
        <f t="array" ref="L229">IFERROR(INDEX(D$56:D$1054,SMALL(IF(ISNUMBER(J$56:J$1054),ROW(D$1:D$999),""),ROW(D174))),"")</f>
        <v/>
      </c>
      <c r="M229" s="7" t="str">
        <f t="array" ref="M229">IFERROR(INDEX(J$56:J$1054,SMALL(IF(ISNUMBER(J$56:J$1054),ROW(J$1:J$999),""),ROW(J174))),"")</f>
        <v/>
      </c>
      <c r="N229" s="7"/>
      <c r="O229" s="7"/>
      <c r="P229" s="7"/>
      <c r="Q229" s="7">
        <f ca="1">IFERROR(IF(COUNTA(P$56:P229)=P$54,P229,FORECAST(D229,OFFSET(S$56:S$254,MATCH(D229,R$56:R$254,1)-1,0,2), OFFSET(R$56:R$254,MATCH(D229,R$56:R$254,1)-1,0,2))),"")</f>
        <v>0</v>
      </c>
      <c r="R229" s="7" t="str">
        <f t="array" ref="R229">IFERROR(INDEX(E$56:E$1054,SMALL(IF(ISNUMBER(P$56:P$1054),ROW(E$1:E$999),""),ROW(J174))),"")</f>
        <v/>
      </c>
      <c r="S229" s="7" t="str">
        <f t="array" ref="S229">IFERROR(INDEX(P$56:P$1054,SMALL(IF(ISNUMBER(P$56:P$1054),ROW(P$1:P$999),""),ROW(P174))),"")</f>
        <v/>
      </c>
      <c r="T229" s="7"/>
      <c r="U229" s="7"/>
      <c r="V229" s="7"/>
    </row>
    <row r="230" spans="1:22" x14ac:dyDescent="0.25">
      <c r="A230" s="6"/>
      <c r="B230" s="7"/>
      <c r="C230" s="7"/>
      <c r="D230" s="7"/>
      <c r="E230" s="8">
        <f t="shared" si="2"/>
        <v>0</v>
      </c>
      <c r="F230" s="10"/>
      <c r="G230" s="10"/>
      <c r="H230" s="9"/>
      <c r="I230" s="7"/>
      <c r="J230" s="7"/>
      <c r="K230" s="7">
        <f ca="1">IFERROR(IF(COUNTA(J$56:J230)=J$54,J230,FORECAST(D230,OFFSET(M$56:M$254,MATCH(D230,L$56:L$254,1)-1,0,2), OFFSET(L$56:L$254,MATCH(D230,L$56:L$254,1)-1,0,2))),"")</f>
        <v>0</v>
      </c>
      <c r="L230" s="7" t="str">
        <f t="array" ref="L230">IFERROR(INDEX(D$56:D$1054,SMALL(IF(ISNUMBER(J$56:J$1054),ROW(D$1:D$999),""),ROW(D175))),"")</f>
        <v/>
      </c>
      <c r="M230" s="7" t="str">
        <f t="array" ref="M230">IFERROR(INDEX(J$56:J$1054,SMALL(IF(ISNUMBER(J$56:J$1054),ROW(J$1:J$999),""),ROW(J175))),"")</f>
        <v/>
      </c>
      <c r="N230" s="7"/>
      <c r="O230" s="7"/>
      <c r="P230" s="7"/>
      <c r="Q230" s="7">
        <f ca="1">IFERROR(IF(COUNTA(P$56:P230)=P$54,P230,FORECAST(D230,OFFSET(S$56:S$254,MATCH(D230,R$56:R$254,1)-1,0,2), OFFSET(R$56:R$254,MATCH(D230,R$56:R$254,1)-1,0,2))),"")</f>
        <v>0</v>
      </c>
      <c r="R230" s="7" t="str">
        <f t="array" ref="R230">IFERROR(INDEX(E$56:E$1054,SMALL(IF(ISNUMBER(P$56:P$1054),ROW(E$1:E$999),""),ROW(J175))),"")</f>
        <v/>
      </c>
      <c r="S230" s="7" t="str">
        <f t="array" ref="S230">IFERROR(INDEX(P$56:P$1054,SMALL(IF(ISNUMBER(P$56:P$1054),ROW(P$1:P$999),""),ROW(P175))),"")</f>
        <v/>
      </c>
      <c r="T230" s="7"/>
      <c r="U230" s="7"/>
      <c r="V230" s="7"/>
    </row>
    <row r="231" spans="1:22" x14ac:dyDescent="0.25">
      <c r="A231" s="6"/>
      <c r="B231" s="7"/>
      <c r="C231" s="7"/>
      <c r="D231" s="7"/>
      <c r="E231" s="8">
        <f t="shared" si="2"/>
        <v>0</v>
      </c>
      <c r="F231" s="10"/>
      <c r="G231" s="10"/>
      <c r="H231" s="9"/>
      <c r="I231" s="7"/>
      <c r="J231" s="7"/>
      <c r="K231" s="7">
        <f ca="1">IFERROR(IF(COUNTA(J$56:J231)=J$54,J231,FORECAST(D231,OFFSET(M$56:M$254,MATCH(D231,L$56:L$254,1)-1,0,2), OFFSET(L$56:L$254,MATCH(D231,L$56:L$254,1)-1,0,2))),"")</f>
        <v>0</v>
      </c>
      <c r="L231" s="7" t="str">
        <f t="array" ref="L231">IFERROR(INDEX(D$56:D$1054,SMALL(IF(ISNUMBER(J$56:J$1054),ROW(D$1:D$999),""),ROW(D176))),"")</f>
        <v/>
      </c>
      <c r="M231" s="7" t="str">
        <f t="array" ref="M231">IFERROR(INDEX(J$56:J$1054,SMALL(IF(ISNUMBER(J$56:J$1054),ROW(J$1:J$999),""),ROW(J176))),"")</f>
        <v/>
      </c>
      <c r="N231" s="7"/>
      <c r="O231" s="7"/>
      <c r="P231" s="7"/>
      <c r="Q231" s="7">
        <f ca="1">IFERROR(IF(COUNTA(P$56:P231)=P$54,P231,FORECAST(D231,OFFSET(S$56:S$254,MATCH(D231,R$56:R$254,1)-1,0,2), OFFSET(R$56:R$254,MATCH(D231,R$56:R$254,1)-1,0,2))),"")</f>
        <v>0</v>
      </c>
      <c r="R231" s="7" t="str">
        <f t="array" ref="R231">IFERROR(INDEX(E$56:E$1054,SMALL(IF(ISNUMBER(P$56:P$1054),ROW(E$1:E$999),""),ROW(J176))),"")</f>
        <v/>
      </c>
      <c r="S231" s="7" t="str">
        <f t="array" ref="S231">IFERROR(INDEX(P$56:P$1054,SMALL(IF(ISNUMBER(P$56:P$1054),ROW(P$1:P$999),""),ROW(P176))),"")</f>
        <v/>
      </c>
      <c r="T231" s="7"/>
      <c r="U231" s="7"/>
      <c r="V231" s="7"/>
    </row>
    <row r="232" spans="1:22" x14ac:dyDescent="0.25">
      <c r="A232" s="6"/>
      <c r="B232" s="7"/>
      <c r="C232" s="7"/>
      <c r="D232" s="7"/>
      <c r="E232" s="8">
        <f t="shared" si="2"/>
        <v>0</v>
      </c>
      <c r="F232" s="10"/>
      <c r="G232" s="10"/>
      <c r="H232" s="9"/>
      <c r="I232" s="7"/>
      <c r="J232" s="7"/>
      <c r="K232" s="7">
        <f ca="1">IFERROR(IF(COUNTA(J$56:J232)=J$54,J232,FORECAST(D232,OFFSET(M$56:M$254,MATCH(D232,L$56:L$254,1)-1,0,2), OFFSET(L$56:L$254,MATCH(D232,L$56:L$254,1)-1,0,2))),"")</f>
        <v>0</v>
      </c>
      <c r="L232" s="7" t="str">
        <f t="array" ref="L232">IFERROR(INDEX(D$56:D$1054,SMALL(IF(ISNUMBER(J$56:J$1054),ROW(D$1:D$999),""),ROW(D177))),"")</f>
        <v/>
      </c>
      <c r="M232" s="7" t="str">
        <f t="array" ref="M232">IFERROR(INDEX(J$56:J$1054,SMALL(IF(ISNUMBER(J$56:J$1054),ROW(J$1:J$999),""),ROW(J177))),"")</f>
        <v/>
      </c>
      <c r="N232" s="7"/>
      <c r="O232" s="7"/>
      <c r="P232" s="7"/>
      <c r="Q232" s="7">
        <f ca="1">IFERROR(IF(COUNTA(P$56:P232)=P$54,P232,FORECAST(D232,OFFSET(S$56:S$254,MATCH(D232,R$56:R$254,1)-1,0,2), OFFSET(R$56:R$254,MATCH(D232,R$56:R$254,1)-1,0,2))),"")</f>
        <v>0</v>
      </c>
      <c r="R232" s="7" t="str">
        <f t="array" ref="R232">IFERROR(INDEX(E$56:E$1054,SMALL(IF(ISNUMBER(P$56:P$1054),ROW(E$1:E$999),""),ROW(J177))),"")</f>
        <v/>
      </c>
      <c r="S232" s="7" t="str">
        <f t="array" ref="S232">IFERROR(INDEX(P$56:P$1054,SMALL(IF(ISNUMBER(P$56:P$1054),ROW(P$1:P$999),""),ROW(P177))),"")</f>
        <v/>
      </c>
      <c r="T232" s="7"/>
      <c r="U232" s="7"/>
      <c r="V232" s="7"/>
    </row>
    <row r="233" spans="1:22" x14ac:dyDescent="0.25">
      <c r="A233" s="6"/>
      <c r="B233" s="7"/>
      <c r="C233" s="7"/>
      <c r="D233" s="7"/>
      <c r="E233" s="8">
        <f t="shared" si="2"/>
        <v>0</v>
      </c>
      <c r="F233" s="10"/>
      <c r="G233" s="10"/>
      <c r="H233" s="9"/>
      <c r="I233" s="7"/>
      <c r="J233" s="7"/>
      <c r="K233" s="7">
        <f ca="1">IFERROR(IF(COUNTA(J$56:J233)=J$54,J233,FORECAST(D233,OFFSET(M$56:M$254,MATCH(D233,L$56:L$254,1)-1,0,2), OFFSET(L$56:L$254,MATCH(D233,L$56:L$254,1)-1,0,2))),"")</f>
        <v>0</v>
      </c>
      <c r="L233" s="7" t="str">
        <f t="array" ref="L233">IFERROR(INDEX(D$56:D$1054,SMALL(IF(ISNUMBER(J$56:J$1054),ROW(D$1:D$999),""),ROW(D178))),"")</f>
        <v/>
      </c>
      <c r="M233" s="7" t="str">
        <f t="array" ref="M233">IFERROR(INDEX(J$56:J$1054,SMALL(IF(ISNUMBER(J$56:J$1054),ROW(J$1:J$999),""),ROW(J178))),"")</f>
        <v/>
      </c>
      <c r="N233" s="7"/>
      <c r="O233" s="7"/>
      <c r="P233" s="7"/>
      <c r="Q233" s="7">
        <f ca="1">IFERROR(IF(COUNTA(P$56:P233)=P$54,P233,FORECAST(D233,OFFSET(S$56:S$254,MATCH(D233,R$56:R$254,1)-1,0,2), OFFSET(R$56:R$254,MATCH(D233,R$56:R$254,1)-1,0,2))),"")</f>
        <v>0</v>
      </c>
      <c r="R233" s="7" t="str">
        <f t="array" ref="R233">IFERROR(INDEX(E$56:E$1054,SMALL(IF(ISNUMBER(P$56:P$1054),ROW(E$1:E$999),""),ROW(J178))),"")</f>
        <v/>
      </c>
      <c r="S233" s="7" t="str">
        <f t="array" ref="S233">IFERROR(INDEX(P$56:P$1054,SMALL(IF(ISNUMBER(P$56:P$1054),ROW(P$1:P$999),""),ROW(P178))),"")</f>
        <v/>
      </c>
      <c r="T233" s="7"/>
      <c r="U233" s="7"/>
      <c r="V233" s="7"/>
    </row>
    <row r="234" spans="1:22" x14ac:dyDescent="0.25">
      <c r="A234" s="6"/>
      <c r="B234" s="7"/>
      <c r="C234" s="7"/>
      <c r="D234" s="7"/>
      <c r="E234" s="8">
        <f t="shared" si="2"/>
        <v>0</v>
      </c>
      <c r="F234" s="10"/>
      <c r="G234" s="10"/>
      <c r="H234" s="9"/>
      <c r="I234" s="7"/>
      <c r="J234" s="7"/>
      <c r="K234" s="7">
        <f ca="1">IFERROR(IF(COUNTA(J$56:J234)=J$54,J234,FORECAST(D234,OFFSET(M$56:M$254,MATCH(D234,L$56:L$254,1)-1,0,2), OFFSET(L$56:L$254,MATCH(D234,L$56:L$254,1)-1,0,2))),"")</f>
        <v>0</v>
      </c>
      <c r="L234" s="7" t="str">
        <f t="array" ref="L234">IFERROR(INDEX(D$56:D$1054,SMALL(IF(ISNUMBER(J$56:J$1054),ROW(D$1:D$999),""),ROW(D179))),"")</f>
        <v/>
      </c>
      <c r="M234" s="7" t="str">
        <f t="array" ref="M234">IFERROR(INDEX(J$56:J$1054,SMALL(IF(ISNUMBER(J$56:J$1054),ROW(J$1:J$999),""),ROW(J179))),"")</f>
        <v/>
      </c>
      <c r="N234" s="7"/>
      <c r="O234" s="7"/>
      <c r="P234" s="7"/>
      <c r="Q234" s="7">
        <f ca="1">IFERROR(IF(COUNTA(P$56:P234)=P$54,P234,FORECAST(D234,OFFSET(S$56:S$254,MATCH(D234,R$56:R$254,1)-1,0,2), OFFSET(R$56:R$254,MATCH(D234,R$56:R$254,1)-1,0,2))),"")</f>
        <v>0</v>
      </c>
      <c r="R234" s="7" t="str">
        <f t="array" ref="R234">IFERROR(INDEX(E$56:E$1054,SMALL(IF(ISNUMBER(P$56:P$1054),ROW(E$1:E$999),""),ROW(J179))),"")</f>
        <v/>
      </c>
      <c r="S234" s="7" t="str">
        <f t="array" ref="S234">IFERROR(INDEX(P$56:P$1054,SMALL(IF(ISNUMBER(P$56:P$1054),ROW(P$1:P$999),""),ROW(P179))),"")</f>
        <v/>
      </c>
      <c r="T234" s="7"/>
      <c r="U234" s="7"/>
      <c r="V234" s="7"/>
    </row>
    <row r="235" spans="1:22" x14ac:dyDescent="0.25">
      <c r="A235" s="6"/>
      <c r="B235" s="7"/>
      <c r="C235" s="7"/>
      <c r="D235" s="7"/>
      <c r="E235" s="8">
        <f t="shared" si="2"/>
        <v>0</v>
      </c>
      <c r="F235" s="10"/>
      <c r="G235" s="10"/>
      <c r="H235" s="9"/>
      <c r="I235" s="7"/>
      <c r="J235" s="7"/>
      <c r="K235" s="7">
        <f ca="1">IFERROR(IF(COUNTA(J$56:J235)=J$54,J235,FORECAST(D235,OFFSET(M$56:M$254,MATCH(D235,L$56:L$254,1)-1,0,2), OFFSET(L$56:L$254,MATCH(D235,L$56:L$254,1)-1,0,2))),"")</f>
        <v>0</v>
      </c>
      <c r="L235" s="7" t="str">
        <f t="array" ref="L235">IFERROR(INDEX(D$56:D$1054,SMALL(IF(ISNUMBER(J$56:J$1054),ROW(D$1:D$999),""),ROW(D180))),"")</f>
        <v/>
      </c>
      <c r="M235" s="7" t="str">
        <f t="array" ref="M235">IFERROR(INDEX(J$56:J$1054,SMALL(IF(ISNUMBER(J$56:J$1054),ROW(J$1:J$999),""),ROW(J180))),"")</f>
        <v/>
      </c>
      <c r="N235" s="7"/>
      <c r="O235" s="7"/>
      <c r="P235" s="7"/>
      <c r="Q235" s="7">
        <f ca="1">IFERROR(IF(COUNTA(P$56:P235)=P$54,P235,FORECAST(D235,OFFSET(S$56:S$254,MATCH(D235,R$56:R$254,1)-1,0,2), OFFSET(R$56:R$254,MATCH(D235,R$56:R$254,1)-1,0,2))),"")</f>
        <v>0</v>
      </c>
      <c r="R235" s="7" t="str">
        <f t="array" ref="R235">IFERROR(INDEX(E$56:E$1054,SMALL(IF(ISNUMBER(P$56:P$1054),ROW(E$1:E$999),""),ROW(J180))),"")</f>
        <v/>
      </c>
      <c r="S235" s="7" t="str">
        <f t="array" ref="S235">IFERROR(INDEX(P$56:P$1054,SMALL(IF(ISNUMBER(P$56:P$1054),ROW(P$1:P$999),""),ROW(P180))),"")</f>
        <v/>
      </c>
      <c r="T235" s="7"/>
      <c r="U235" s="7"/>
      <c r="V235" s="7"/>
    </row>
    <row r="236" spans="1:22" x14ac:dyDescent="0.25">
      <c r="A236" s="6"/>
      <c r="B236" s="7"/>
      <c r="C236" s="7"/>
      <c r="D236" s="7"/>
      <c r="E236" s="8">
        <f t="shared" si="2"/>
        <v>0</v>
      </c>
      <c r="F236" s="10"/>
      <c r="G236" s="10"/>
      <c r="H236" s="9"/>
      <c r="I236" s="7"/>
      <c r="J236" s="7"/>
      <c r="K236" s="7">
        <f ca="1">IFERROR(IF(COUNTA(J$56:J236)=J$54,J236,FORECAST(D236,OFFSET(M$56:M$254,MATCH(D236,L$56:L$254,1)-1,0,2), OFFSET(L$56:L$254,MATCH(D236,L$56:L$254,1)-1,0,2))),"")</f>
        <v>0</v>
      </c>
      <c r="L236" s="7" t="str">
        <f t="array" ref="L236">IFERROR(INDEX(D$56:D$1054,SMALL(IF(ISNUMBER(J$56:J$1054),ROW(D$1:D$999),""),ROW(D181))),"")</f>
        <v/>
      </c>
      <c r="M236" s="7" t="str">
        <f t="array" ref="M236">IFERROR(INDEX(J$56:J$1054,SMALL(IF(ISNUMBER(J$56:J$1054),ROW(J$1:J$999),""),ROW(J181))),"")</f>
        <v/>
      </c>
      <c r="N236" s="7"/>
      <c r="O236" s="7"/>
      <c r="P236" s="7"/>
      <c r="Q236" s="7">
        <f ca="1">IFERROR(IF(COUNTA(P$56:P236)=P$54,P236,FORECAST(D236,OFFSET(S$56:S$254,MATCH(D236,R$56:R$254,1)-1,0,2), OFFSET(R$56:R$254,MATCH(D236,R$56:R$254,1)-1,0,2))),"")</f>
        <v>0</v>
      </c>
      <c r="R236" s="7" t="str">
        <f t="array" ref="R236">IFERROR(INDEX(E$56:E$1054,SMALL(IF(ISNUMBER(P$56:P$1054),ROW(E$1:E$999),""),ROW(J181))),"")</f>
        <v/>
      </c>
      <c r="S236" s="7" t="str">
        <f t="array" ref="S236">IFERROR(INDEX(P$56:P$1054,SMALL(IF(ISNUMBER(P$56:P$1054),ROW(P$1:P$999),""),ROW(P181))),"")</f>
        <v/>
      </c>
      <c r="T236" s="7"/>
      <c r="U236" s="7"/>
      <c r="V236" s="7"/>
    </row>
    <row r="237" spans="1:22" x14ac:dyDescent="0.25">
      <c r="A237" s="6"/>
      <c r="B237" s="7"/>
      <c r="C237" s="7"/>
      <c r="D237" s="7"/>
      <c r="E237" s="8">
        <f t="shared" si="2"/>
        <v>0</v>
      </c>
      <c r="F237" s="10"/>
      <c r="G237" s="10"/>
      <c r="H237" s="9"/>
      <c r="I237" s="7"/>
      <c r="J237" s="7"/>
      <c r="K237" s="7">
        <f ca="1">IFERROR(IF(COUNTA(J$56:J237)=J$54,J237,FORECAST(D237,OFFSET(M$56:M$254,MATCH(D237,L$56:L$254,1)-1,0,2), OFFSET(L$56:L$254,MATCH(D237,L$56:L$254,1)-1,0,2))),"")</f>
        <v>0</v>
      </c>
      <c r="L237" s="7" t="str">
        <f t="array" ref="L237">IFERROR(INDEX(D$56:D$1054,SMALL(IF(ISNUMBER(J$56:J$1054),ROW(D$1:D$999),""),ROW(D182))),"")</f>
        <v/>
      </c>
      <c r="M237" s="7" t="str">
        <f t="array" ref="M237">IFERROR(INDEX(J$56:J$1054,SMALL(IF(ISNUMBER(J$56:J$1054),ROW(J$1:J$999),""),ROW(J182))),"")</f>
        <v/>
      </c>
      <c r="N237" s="7"/>
      <c r="O237" s="7"/>
      <c r="P237" s="7"/>
      <c r="Q237" s="7">
        <f ca="1">IFERROR(IF(COUNTA(P$56:P237)=P$54,P237,FORECAST(D237,OFFSET(S$56:S$254,MATCH(D237,R$56:R$254,1)-1,0,2), OFFSET(R$56:R$254,MATCH(D237,R$56:R$254,1)-1,0,2))),"")</f>
        <v>0</v>
      </c>
      <c r="R237" s="7" t="str">
        <f t="array" ref="R237">IFERROR(INDEX(E$56:E$1054,SMALL(IF(ISNUMBER(P$56:P$1054),ROW(E$1:E$999),""),ROW(J182))),"")</f>
        <v/>
      </c>
      <c r="S237" s="7" t="str">
        <f t="array" ref="S237">IFERROR(INDEX(P$56:P$1054,SMALL(IF(ISNUMBER(P$56:P$1054),ROW(P$1:P$999),""),ROW(P182))),"")</f>
        <v/>
      </c>
      <c r="T237" s="7"/>
      <c r="U237" s="7"/>
      <c r="V237" s="7"/>
    </row>
    <row r="238" spans="1:22" x14ac:dyDescent="0.25">
      <c r="A238" s="6"/>
      <c r="B238" s="7"/>
      <c r="C238" s="7"/>
      <c r="D238" s="7"/>
      <c r="E238" s="8">
        <f t="shared" si="2"/>
        <v>0</v>
      </c>
      <c r="F238" s="10"/>
      <c r="G238" s="10"/>
      <c r="H238" s="9"/>
      <c r="I238" s="7"/>
      <c r="J238" s="7"/>
      <c r="K238" s="7">
        <f ca="1">IFERROR(IF(COUNTA(J$56:J238)=J$54,J238,FORECAST(D238,OFFSET(M$56:M$254,MATCH(D238,L$56:L$254,1)-1,0,2), OFFSET(L$56:L$254,MATCH(D238,L$56:L$254,1)-1,0,2))),"")</f>
        <v>0</v>
      </c>
      <c r="L238" s="7" t="str">
        <f t="array" ref="L238">IFERROR(INDEX(D$56:D$1054,SMALL(IF(ISNUMBER(J$56:J$1054),ROW(D$1:D$999),""),ROW(D183))),"")</f>
        <v/>
      </c>
      <c r="M238" s="7" t="str">
        <f t="array" ref="M238">IFERROR(INDEX(J$56:J$1054,SMALL(IF(ISNUMBER(J$56:J$1054),ROW(J$1:J$999),""),ROW(J183))),"")</f>
        <v/>
      </c>
      <c r="N238" s="7"/>
      <c r="O238" s="7"/>
      <c r="P238" s="7"/>
      <c r="Q238" s="7">
        <f ca="1">IFERROR(IF(COUNTA(P$56:P238)=P$54,P238,FORECAST(D238,OFFSET(S$56:S$254,MATCH(D238,R$56:R$254,1)-1,0,2), OFFSET(R$56:R$254,MATCH(D238,R$56:R$254,1)-1,0,2))),"")</f>
        <v>0</v>
      </c>
      <c r="R238" s="7" t="str">
        <f t="array" ref="R238">IFERROR(INDEX(E$56:E$1054,SMALL(IF(ISNUMBER(P$56:P$1054),ROW(E$1:E$999),""),ROW(J183))),"")</f>
        <v/>
      </c>
      <c r="S238" s="7" t="str">
        <f t="array" ref="S238">IFERROR(INDEX(P$56:P$1054,SMALL(IF(ISNUMBER(P$56:P$1054),ROW(P$1:P$999),""),ROW(P183))),"")</f>
        <v/>
      </c>
      <c r="T238" s="7"/>
      <c r="U238" s="7"/>
      <c r="V238" s="7"/>
    </row>
    <row r="239" spans="1:22" x14ac:dyDescent="0.25">
      <c r="A239" s="6"/>
      <c r="B239" s="7"/>
      <c r="C239" s="7"/>
      <c r="D239" s="7"/>
      <c r="E239" s="8">
        <f t="shared" si="2"/>
        <v>0</v>
      </c>
      <c r="F239" s="10"/>
      <c r="G239" s="10"/>
      <c r="H239" s="9"/>
      <c r="I239" s="7"/>
      <c r="J239" s="7"/>
      <c r="K239" s="7">
        <f ca="1">IFERROR(IF(COUNTA(J$56:J239)=J$54,J239,FORECAST(D239,OFFSET(M$56:M$254,MATCH(D239,L$56:L$254,1)-1,0,2), OFFSET(L$56:L$254,MATCH(D239,L$56:L$254,1)-1,0,2))),"")</f>
        <v>0</v>
      </c>
      <c r="L239" s="7" t="str">
        <f t="array" ref="L239">IFERROR(INDEX(D$56:D$1054,SMALL(IF(ISNUMBER(J$56:J$1054),ROW(D$1:D$999),""),ROW(D184))),"")</f>
        <v/>
      </c>
      <c r="M239" s="7" t="str">
        <f t="array" ref="M239">IFERROR(INDEX(J$56:J$1054,SMALL(IF(ISNUMBER(J$56:J$1054),ROW(J$1:J$999),""),ROW(J184))),"")</f>
        <v/>
      </c>
      <c r="N239" s="7"/>
      <c r="O239" s="7"/>
      <c r="P239" s="7"/>
      <c r="Q239" s="7">
        <f ca="1">IFERROR(IF(COUNTA(P$56:P239)=P$54,P239,FORECAST(D239,OFFSET(S$56:S$254,MATCH(D239,R$56:R$254,1)-1,0,2), OFFSET(R$56:R$254,MATCH(D239,R$56:R$254,1)-1,0,2))),"")</f>
        <v>0</v>
      </c>
      <c r="R239" s="7" t="str">
        <f t="array" ref="R239">IFERROR(INDEX(E$56:E$1054,SMALL(IF(ISNUMBER(P$56:P$1054),ROW(E$1:E$999),""),ROW(J184))),"")</f>
        <v/>
      </c>
      <c r="S239" s="7" t="str">
        <f t="array" ref="S239">IFERROR(INDEX(P$56:P$1054,SMALL(IF(ISNUMBER(P$56:P$1054),ROW(P$1:P$999),""),ROW(P184))),"")</f>
        <v/>
      </c>
      <c r="T239" s="7"/>
      <c r="U239" s="7"/>
      <c r="V239" s="7"/>
    </row>
    <row r="240" spans="1:22" x14ac:dyDescent="0.25">
      <c r="A240" s="6"/>
      <c r="B240" s="7"/>
      <c r="C240" s="7"/>
      <c r="D240" s="7"/>
      <c r="E240" s="8">
        <f t="shared" si="2"/>
        <v>0</v>
      </c>
      <c r="F240" s="10"/>
      <c r="G240" s="10"/>
      <c r="H240" s="9"/>
      <c r="I240" s="7"/>
      <c r="J240" s="7"/>
      <c r="K240" s="7">
        <f ca="1">IFERROR(IF(COUNTA(J$56:J240)=J$54,J240,FORECAST(D240,OFFSET(M$56:M$254,MATCH(D240,L$56:L$254,1)-1,0,2), OFFSET(L$56:L$254,MATCH(D240,L$56:L$254,1)-1,0,2))),"")</f>
        <v>0</v>
      </c>
      <c r="L240" s="7" t="str">
        <f t="array" ref="L240">IFERROR(INDEX(D$56:D$1054,SMALL(IF(ISNUMBER(J$56:J$1054),ROW(D$1:D$999),""),ROW(D185))),"")</f>
        <v/>
      </c>
      <c r="M240" s="7" t="str">
        <f t="array" ref="M240">IFERROR(INDEX(J$56:J$1054,SMALL(IF(ISNUMBER(J$56:J$1054),ROW(J$1:J$999),""),ROW(J185))),"")</f>
        <v/>
      </c>
      <c r="N240" s="7"/>
      <c r="O240" s="7"/>
      <c r="P240" s="7"/>
      <c r="Q240" s="7">
        <f ca="1">IFERROR(IF(COUNTA(P$56:P240)=P$54,P240,FORECAST(D240,OFFSET(S$56:S$254,MATCH(D240,R$56:R$254,1)-1,0,2), OFFSET(R$56:R$254,MATCH(D240,R$56:R$254,1)-1,0,2))),"")</f>
        <v>0</v>
      </c>
      <c r="R240" s="7" t="str">
        <f t="array" ref="R240">IFERROR(INDEX(E$56:E$1054,SMALL(IF(ISNUMBER(P$56:P$1054),ROW(E$1:E$999),""),ROW(J185))),"")</f>
        <v/>
      </c>
      <c r="S240" s="7" t="str">
        <f t="array" ref="S240">IFERROR(INDEX(P$56:P$1054,SMALL(IF(ISNUMBER(P$56:P$1054),ROW(P$1:P$999),""),ROW(P185))),"")</f>
        <v/>
      </c>
      <c r="T240" s="7"/>
      <c r="U240" s="7"/>
      <c r="V240" s="7"/>
    </row>
    <row r="241" spans="1:22" x14ac:dyDescent="0.25">
      <c r="A241" s="6"/>
      <c r="B241" s="7"/>
      <c r="C241" s="7"/>
      <c r="D241" s="7"/>
      <c r="E241" s="8">
        <f t="shared" si="2"/>
        <v>0</v>
      </c>
      <c r="F241" s="10"/>
      <c r="G241" s="10"/>
      <c r="H241" s="9"/>
      <c r="I241" s="7"/>
      <c r="J241" s="7"/>
      <c r="K241" s="7">
        <f ca="1">IFERROR(IF(COUNTA(J$56:J241)=J$54,J241,FORECAST(D241,OFFSET(M$56:M$254,MATCH(D241,L$56:L$254,1)-1,0,2), OFFSET(L$56:L$254,MATCH(D241,L$56:L$254,1)-1,0,2))),"")</f>
        <v>0</v>
      </c>
      <c r="L241" s="7" t="str">
        <f t="array" ref="L241">IFERROR(INDEX(D$56:D$1054,SMALL(IF(ISNUMBER(J$56:J$1054),ROW(D$1:D$999),""),ROW(D186))),"")</f>
        <v/>
      </c>
      <c r="M241" s="7" t="str">
        <f t="array" ref="M241">IFERROR(INDEX(J$56:J$1054,SMALL(IF(ISNUMBER(J$56:J$1054),ROW(J$1:J$999),""),ROW(J186))),"")</f>
        <v/>
      </c>
      <c r="N241" s="7"/>
      <c r="O241" s="7"/>
      <c r="P241" s="7"/>
      <c r="Q241" s="7">
        <f ca="1">IFERROR(IF(COUNTA(P$56:P241)=P$54,P241,FORECAST(D241,OFFSET(S$56:S$254,MATCH(D241,R$56:R$254,1)-1,0,2), OFFSET(R$56:R$254,MATCH(D241,R$56:R$254,1)-1,0,2))),"")</f>
        <v>0</v>
      </c>
      <c r="R241" s="7" t="str">
        <f t="array" ref="R241">IFERROR(INDEX(E$56:E$1054,SMALL(IF(ISNUMBER(P$56:P$1054),ROW(E$1:E$999),""),ROW(J186))),"")</f>
        <v/>
      </c>
      <c r="S241" s="7" t="str">
        <f t="array" ref="S241">IFERROR(INDEX(P$56:P$1054,SMALL(IF(ISNUMBER(P$56:P$1054),ROW(P$1:P$999),""),ROW(P186))),"")</f>
        <v/>
      </c>
      <c r="T241" s="7"/>
      <c r="U241" s="7"/>
      <c r="V241" s="7"/>
    </row>
    <row r="242" spans="1:22" x14ac:dyDescent="0.25">
      <c r="A242" s="6"/>
      <c r="B242" s="7"/>
      <c r="C242" s="7"/>
      <c r="D242" s="7"/>
      <c r="E242" s="8">
        <f t="shared" si="2"/>
        <v>0</v>
      </c>
      <c r="F242" s="10"/>
      <c r="G242" s="10"/>
      <c r="H242" s="9"/>
      <c r="I242" s="7"/>
      <c r="J242" s="7"/>
      <c r="K242" s="7">
        <f ca="1">IFERROR(IF(COUNTA(J$56:J242)=J$54,J242,FORECAST(D242,OFFSET(M$56:M$254,MATCH(D242,L$56:L$254,1)-1,0,2), OFFSET(L$56:L$254,MATCH(D242,L$56:L$254,1)-1,0,2))),"")</f>
        <v>0</v>
      </c>
      <c r="L242" s="7" t="str">
        <f t="array" ref="L242">IFERROR(INDEX(D$56:D$1054,SMALL(IF(ISNUMBER(J$56:J$1054),ROW(D$1:D$999),""),ROW(D187))),"")</f>
        <v/>
      </c>
      <c r="M242" s="7" t="str">
        <f t="array" ref="M242">IFERROR(INDEX(J$56:J$1054,SMALL(IF(ISNUMBER(J$56:J$1054),ROW(J$1:J$999),""),ROW(J187))),"")</f>
        <v/>
      </c>
      <c r="N242" s="7"/>
      <c r="O242" s="7"/>
      <c r="P242" s="7"/>
      <c r="Q242" s="7">
        <f ca="1">IFERROR(IF(COUNTA(P$56:P242)=P$54,P242,FORECAST(D242,OFFSET(S$56:S$254,MATCH(D242,R$56:R$254,1)-1,0,2), OFFSET(R$56:R$254,MATCH(D242,R$56:R$254,1)-1,0,2))),"")</f>
        <v>0</v>
      </c>
      <c r="R242" s="7" t="str">
        <f t="array" ref="R242">IFERROR(INDEX(E$56:E$1054,SMALL(IF(ISNUMBER(P$56:P$1054),ROW(E$1:E$999),""),ROW(J187))),"")</f>
        <v/>
      </c>
      <c r="S242" s="7" t="str">
        <f t="array" ref="S242">IFERROR(INDEX(P$56:P$1054,SMALL(IF(ISNUMBER(P$56:P$1054),ROW(P$1:P$999),""),ROW(P187))),"")</f>
        <v/>
      </c>
      <c r="T242" s="7"/>
      <c r="U242" s="7"/>
      <c r="V242" s="7"/>
    </row>
    <row r="243" spans="1:22" x14ac:dyDescent="0.25">
      <c r="A243" s="6"/>
      <c r="B243" s="7"/>
      <c r="C243" s="7"/>
      <c r="D243" s="7"/>
      <c r="E243" s="8">
        <f t="shared" si="2"/>
        <v>0</v>
      </c>
      <c r="F243" s="10"/>
      <c r="G243" s="10"/>
      <c r="H243" s="9"/>
      <c r="I243" s="7"/>
      <c r="J243" s="7"/>
      <c r="K243" s="7">
        <f ca="1">IFERROR(IF(COUNTA(J$56:J243)=J$54,J243,FORECAST(D243,OFFSET(M$56:M$254,MATCH(D243,L$56:L$254,1)-1,0,2), OFFSET(L$56:L$254,MATCH(D243,L$56:L$254,1)-1,0,2))),"")</f>
        <v>0</v>
      </c>
      <c r="L243" s="7" t="str">
        <f t="array" ref="L243">IFERROR(INDEX(D$56:D$1054,SMALL(IF(ISNUMBER(J$56:J$1054),ROW(D$1:D$999),""),ROW(D188))),"")</f>
        <v/>
      </c>
      <c r="M243" s="7" t="str">
        <f t="array" ref="M243">IFERROR(INDEX(J$56:J$1054,SMALL(IF(ISNUMBER(J$56:J$1054),ROW(J$1:J$999),""),ROW(J188))),"")</f>
        <v/>
      </c>
      <c r="N243" s="7"/>
      <c r="O243" s="7"/>
      <c r="P243" s="7"/>
      <c r="Q243" s="7">
        <f ca="1">IFERROR(IF(COUNTA(P$56:P243)=P$54,P243,FORECAST(D243,OFFSET(S$56:S$254,MATCH(D243,R$56:R$254,1)-1,0,2), OFFSET(R$56:R$254,MATCH(D243,R$56:R$254,1)-1,0,2))),"")</f>
        <v>0</v>
      </c>
      <c r="R243" s="7" t="str">
        <f t="array" ref="R243">IFERROR(INDEX(E$56:E$1054,SMALL(IF(ISNUMBER(P$56:P$1054),ROW(E$1:E$999),""),ROW(J188))),"")</f>
        <v/>
      </c>
      <c r="S243" s="7" t="str">
        <f t="array" ref="S243">IFERROR(INDEX(P$56:P$1054,SMALL(IF(ISNUMBER(P$56:P$1054),ROW(P$1:P$999),""),ROW(P188))),"")</f>
        <v/>
      </c>
      <c r="T243" s="7"/>
      <c r="U243" s="7"/>
      <c r="V243" s="7"/>
    </row>
    <row r="244" spans="1:22" x14ac:dyDescent="0.25">
      <c r="A244" s="6"/>
      <c r="B244" s="7"/>
      <c r="C244" s="7"/>
      <c r="D244" s="7"/>
      <c r="E244" s="8">
        <f t="shared" si="2"/>
        <v>0</v>
      </c>
      <c r="F244" s="10"/>
      <c r="G244" s="10"/>
      <c r="H244" s="9"/>
      <c r="I244" s="7"/>
      <c r="J244" s="7"/>
      <c r="K244" s="7">
        <f ca="1">IFERROR(IF(COUNTA(J$56:J244)=J$54,J244,FORECAST(D244,OFFSET(M$56:M$254,MATCH(D244,L$56:L$254,1)-1,0,2), OFFSET(L$56:L$254,MATCH(D244,L$56:L$254,1)-1,0,2))),"")</f>
        <v>0</v>
      </c>
      <c r="L244" s="7" t="str">
        <f t="array" ref="L244">IFERROR(INDEX(D$56:D$1054,SMALL(IF(ISNUMBER(J$56:J$1054),ROW(D$1:D$999),""),ROW(D189))),"")</f>
        <v/>
      </c>
      <c r="M244" s="7" t="str">
        <f t="array" ref="M244">IFERROR(INDEX(J$56:J$1054,SMALL(IF(ISNUMBER(J$56:J$1054),ROW(J$1:J$999),""),ROW(J189))),"")</f>
        <v/>
      </c>
      <c r="N244" s="7"/>
      <c r="O244" s="7"/>
      <c r="P244" s="7"/>
      <c r="Q244" s="7">
        <f ca="1">IFERROR(IF(COUNTA(P$56:P244)=P$54,P244,FORECAST(D244,OFFSET(S$56:S$254,MATCH(D244,R$56:R$254,1)-1,0,2), OFFSET(R$56:R$254,MATCH(D244,R$56:R$254,1)-1,0,2))),"")</f>
        <v>0</v>
      </c>
      <c r="R244" s="7" t="str">
        <f t="array" ref="R244">IFERROR(INDEX(E$56:E$1054,SMALL(IF(ISNUMBER(P$56:P$1054),ROW(E$1:E$999),""),ROW(J189))),"")</f>
        <v/>
      </c>
      <c r="S244" s="7" t="str">
        <f t="array" ref="S244">IFERROR(INDEX(P$56:P$1054,SMALL(IF(ISNUMBER(P$56:P$1054),ROW(P$1:P$999),""),ROW(P189))),"")</f>
        <v/>
      </c>
      <c r="T244" s="7"/>
      <c r="U244" s="7"/>
      <c r="V244" s="7"/>
    </row>
    <row r="245" spans="1:22" x14ac:dyDescent="0.25">
      <c r="A245" s="6"/>
      <c r="B245" s="7"/>
      <c r="C245" s="7"/>
      <c r="D245" s="7"/>
      <c r="E245" s="8">
        <f t="shared" si="2"/>
        <v>0</v>
      </c>
      <c r="F245" s="10"/>
      <c r="G245" s="10"/>
      <c r="H245" s="9"/>
      <c r="I245" s="7"/>
      <c r="J245" s="7"/>
      <c r="K245" s="7">
        <f ca="1">IFERROR(IF(COUNTA(J$56:J245)=J$54,J245,FORECAST(D245,OFFSET(M$56:M$254,MATCH(D245,L$56:L$254,1)-1,0,2), OFFSET(L$56:L$254,MATCH(D245,L$56:L$254,1)-1,0,2))),"")</f>
        <v>0</v>
      </c>
      <c r="L245" s="7" t="str">
        <f t="array" ref="L245">IFERROR(INDEX(D$56:D$1054,SMALL(IF(ISNUMBER(J$56:J$1054),ROW(D$1:D$999),""),ROW(D190))),"")</f>
        <v/>
      </c>
      <c r="M245" s="7" t="str">
        <f t="array" ref="M245">IFERROR(INDEX(J$56:J$1054,SMALL(IF(ISNUMBER(J$56:J$1054),ROW(J$1:J$999),""),ROW(J190))),"")</f>
        <v/>
      </c>
      <c r="N245" s="7"/>
      <c r="O245" s="7"/>
      <c r="P245" s="7"/>
      <c r="Q245" s="7">
        <f ca="1">IFERROR(IF(COUNTA(P$56:P245)=P$54,P245,FORECAST(D245,OFFSET(S$56:S$254,MATCH(D245,R$56:R$254,1)-1,0,2), OFFSET(R$56:R$254,MATCH(D245,R$56:R$254,1)-1,0,2))),"")</f>
        <v>0</v>
      </c>
      <c r="R245" s="7" t="str">
        <f t="array" ref="R245">IFERROR(INDEX(E$56:E$1054,SMALL(IF(ISNUMBER(P$56:P$1054),ROW(E$1:E$999),""),ROW(J190))),"")</f>
        <v/>
      </c>
      <c r="S245" s="7" t="str">
        <f t="array" ref="S245">IFERROR(INDEX(P$56:P$1054,SMALL(IF(ISNUMBER(P$56:P$1054),ROW(P$1:P$999),""),ROW(P190))),"")</f>
        <v/>
      </c>
      <c r="T245" s="7"/>
      <c r="U245" s="7"/>
      <c r="V245" s="7"/>
    </row>
    <row r="246" spans="1:22" x14ac:dyDescent="0.25">
      <c r="A246" s="6"/>
      <c r="B246" s="7"/>
      <c r="C246" s="7"/>
      <c r="D246" s="7"/>
      <c r="E246" s="8">
        <f t="shared" si="2"/>
        <v>0</v>
      </c>
      <c r="F246" s="10"/>
      <c r="G246" s="10"/>
      <c r="H246" s="9"/>
      <c r="I246" s="7"/>
      <c r="J246" s="7"/>
      <c r="K246" s="7">
        <f ca="1">IFERROR(IF(COUNTA(J$56:J246)=J$54,J246,FORECAST(D246,OFFSET(M$56:M$254,MATCH(D246,L$56:L$254,1)-1,0,2), OFFSET(L$56:L$254,MATCH(D246,L$56:L$254,1)-1,0,2))),"")</f>
        <v>0</v>
      </c>
      <c r="L246" s="7" t="str">
        <f t="array" ref="L246">IFERROR(INDEX(D$56:D$1054,SMALL(IF(ISNUMBER(J$56:J$1054),ROW(D$1:D$999),""),ROW(D191))),"")</f>
        <v/>
      </c>
      <c r="M246" s="7" t="str">
        <f t="array" ref="M246">IFERROR(INDEX(J$56:J$1054,SMALL(IF(ISNUMBER(J$56:J$1054),ROW(J$1:J$999),""),ROW(J191))),"")</f>
        <v/>
      </c>
      <c r="N246" s="7"/>
      <c r="O246" s="7"/>
      <c r="P246" s="7"/>
      <c r="Q246" s="7">
        <f ca="1">IFERROR(IF(COUNTA(P$56:P246)=P$54,P246,FORECAST(D246,OFFSET(S$56:S$254,MATCH(D246,R$56:R$254,1)-1,0,2), OFFSET(R$56:R$254,MATCH(D246,R$56:R$254,1)-1,0,2))),"")</f>
        <v>0</v>
      </c>
      <c r="R246" s="7" t="str">
        <f t="array" ref="R246">IFERROR(INDEX(E$56:E$1054,SMALL(IF(ISNUMBER(P$56:P$1054),ROW(E$1:E$999),""),ROW(J191))),"")</f>
        <v/>
      </c>
      <c r="S246" s="7" t="str">
        <f t="array" ref="S246">IFERROR(INDEX(P$56:P$1054,SMALL(IF(ISNUMBER(P$56:P$1054),ROW(P$1:P$999),""),ROW(P191))),"")</f>
        <v/>
      </c>
      <c r="T246" s="7"/>
      <c r="U246" s="7"/>
      <c r="V246" s="7"/>
    </row>
    <row r="247" spans="1:22" x14ac:dyDescent="0.25">
      <c r="A247" s="6"/>
      <c r="B247" s="7"/>
      <c r="C247" s="7"/>
      <c r="D247" s="7"/>
      <c r="E247" s="8">
        <f t="shared" si="2"/>
        <v>0</v>
      </c>
      <c r="F247" s="10"/>
      <c r="G247" s="10"/>
      <c r="H247" s="9"/>
      <c r="I247" s="7"/>
      <c r="J247" s="7"/>
      <c r="K247" s="7">
        <f ca="1">IFERROR(IF(COUNTA(J$56:J247)=J$54,J247,FORECAST(D247,OFFSET(M$56:M$254,MATCH(D247,L$56:L$254,1)-1,0,2), OFFSET(L$56:L$254,MATCH(D247,L$56:L$254,1)-1,0,2))),"")</f>
        <v>0</v>
      </c>
      <c r="L247" s="7" t="str">
        <f t="array" ref="L247">IFERROR(INDEX(D$56:D$1054,SMALL(IF(ISNUMBER(J$56:J$1054),ROW(D$1:D$999),""),ROW(D192))),"")</f>
        <v/>
      </c>
      <c r="M247" s="7" t="str">
        <f t="array" ref="M247">IFERROR(INDEX(J$56:J$1054,SMALL(IF(ISNUMBER(J$56:J$1054),ROW(J$1:J$999),""),ROW(J192))),"")</f>
        <v/>
      </c>
      <c r="N247" s="7"/>
      <c r="O247" s="7"/>
      <c r="P247" s="7"/>
      <c r="Q247" s="7">
        <f ca="1">IFERROR(IF(COUNTA(P$56:P247)=P$54,P247,FORECAST(D247,OFFSET(S$56:S$254,MATCH(D247,R$56:R$254,1)-1,0,2), OFFSET(R$56:R$254,MATCH(D247,R$56:R$254,1)-1,0,2))),"")</f>
        <v>0</v>
      </c>
      <c r="R247" s="7" t="str">
        <f t="array" ref="R247">IFERROR(INDEX(E$56:E$1054,SMALL(IF(ISNUMBER(P$56:P$1054),ROW(E$1:E$999),""),ROW(J192))),"")</f>
        <v/>
      </c>
      <c r="S247" s="7" t="str">
        <f t="array" ref="S247">IFERROR(INDEX(P$56:P$1054,SMALL(IF(ISNUMBER(P$56:P$1054),ROW(P$1:P$999),""),ROW(P192))),"")</f>
        <v/>
      </c>
      <c r="T247" s="7"/>
      <c r="U247" s="7"/>
      <c r="V247" s="7"/>
    </row>
    <row r="248" spans="1:22" x14ac:dyDescent="0.25">
      <c r="A248" s="6"/>
      <c r="B248" s="7"/>
      <c r="C248" s="7"/>
      <c r="D248" s="7"/>
      <c r="E248" s="8">
        <f t="shared" si="2"/>
        <v>0</v>
      </c>
      <c r="F248" s="10"/>
      <c r="G248" s="10"/>
      <c r="H248" s="9"/>
      <c r="I248" s="7"/>
      <c r="J248" s="7"/>
      <c r="K248" s="7">
        <f ca="1">IFERROR(IF(COUNTA(J$56:J248)=J$54,J248,FORECAST(D248,OFFSET(M$56:M$254,MATCH(D248,L$56:L$254,1)-1,0,2), OFFSET(L$56:L$254,MATCH(D248,L$56:L$254,1)-1,0,2))),"")</f>
        <v>0</v>
      </c>
      <c r="L248" s="7" t="str">
        <f t="array" ref="L248">IFERROR(INDEX(D$56:D$1054,SMALL(IF(ISNUMBER(J$56:J$1054),ROW(D$1:D$999),""),ROW(D193))),"")</f>
        <v/>
      </c>
      <c r="M248" s="7" t="str">
        <f t="array" ref="M248">IFERROR(INDEX(J$56:J$1054,SMALL(IF(ISNUMBER(J$56:J$1054),ROW(J$1:J$999),""),ROW(J193))),"")</f>
        <v/>
      </c>
      <c r="N248" s="7"/>
      <c r="O248" s="7"/>
      <c r="P248" s="7"/>
      <c r="Q248" s="7">
        <f ca="1">IFERROR(IF(COUNTA(P$56:P248)=P$54,P248,FORECAST(D248,OFFSET(S$56:S$254,MATCH(D248,R$56:R$254,1)-1,0,2), OFFSET(R$56:R$254,MATCH(D248,R$56:R$254,1)-1,0,2))),"")</f>
        <v>0</v>
      </c>
      <c r="R248" s="7" t="str">
        <f t="array" ref="R248">IFERROR(INDEX(E$56:E$1054,SMALL(IF(ISNUMBER(P$56:P$1054),ROW(E$1:E$999),""),ROW(J193))),"")</f>
        <v/>
      </c>
      <c r="S248" s="7" t="str">
        <f t="array" ref="S248">IFERROR(INDEX(P$56:P$1054,SMALL(IF(ISNUMBER(P$56:P$1054),ROW(P$1:P$999),""),ROW(P193))),"")</f>
        <v/>
      </c>
      <c r="T248" s="7"/>
      <c r="U248" s="7"/>
      <c r="V248" s="7"/>
    </row>
    <row r="249" spans="1:22" x14ac:dyDescent="0.25">
      <c r="A249" s="6"/>
      <c r="B249" s="7"/>
      <c r="C249" s="7"/>
      <c r="D249" s="7"/>
      <c r="E249" s="8">
        <f t="shared" si="2"/>
        <v>0</v>
      </c>
      <c r="F249" s="10"/>
      <c r="G249" s="10"/>
      <c r="H249" s="9"/>
      <c r="I249" s="7"/>
      <c r="J249" s="7"/>
      <c r="K249" s="7">
        <f ca="1">IFERROR(IF(COUNTA(J$56:J249)=J$54,J249,FORECAST(D249,OFFSET(M$56:M$254,MATCH(D249,L$56:L$254,1)-1,0,2), OFFSET(L$56:L$254,MATCH(D249,L$56:L$254,1)-1,0,2))),"")</f>
        <v>0</v>
      </c>
      <c r="L249" s="7" t="str">
        <f t="array" ref="L249">IFERROR(INDEX(D$56:D$1054,SMALL(IF(ISNUMBER(J$56:J$1054),ROW(D$1:D$999),""),ROW(D194))),"")</f>
        <v/>
      </c>
      <c r="M249" s="7" t="str">
        <f t="array" ref="M249">IFERROR(INDEX(J$56:J$1054,SMALL(IF(ISNUMBER(J$56:J$1054),ROW(J$1:J$999),""),ROW(J194))),"")</f>
        <v/>
      </c>
      <c r="N249" s="7"/>
      <c r="O249" s="7"/>
      <c r="P249" s="7"/>
      <c r="Q249" s="7">
        <f ca="1">IFERROR(IF(COUNTA(P$56:P249)=P$54,P249,FORECAST(D249,OFFSET(S$56:S$254,MATCH(D249,R$56:R$254,1)-1,0,2), OFFSET(R$56:R$254,MATCH(D249,R$56:R$254,1)-1,0,2))),"")</f>
        <v>0</v>
      </c>
      <c r="R249" s="7" t="str">
        <f t="array" ref="R249">IFERROR(INDEX(E$56:E$1054,SMALL(IF(ISNUMBER(P$56:P$1054),ROW(E$1:E$999),""),ROW(J194))),"")</f>
        <v/>
      </c>
      <c r="S249" s="7" t="str">
        <f t="array" ref="S249">IFERROR(INDEX(P$56:P$1054,SMALL(IF(ISNUMBER(P$56:P$1054),ROW(P$1:P$999),""),ROW(P194))),"")</f>
        <v/>
      </c>
      <c r="T249" s="7"/>
      <c r="U249" s="7"/>
      <c r="V249" s="7"/>
    </row>
    <row r="250" spans="1:22" x14ac:dyDescent="0.25">
      <c r="A250" s="6"/>
      <c r="B250" s="7"/>
      <c r="C250" s="7"/>
      <c r="D250" s="7"/>
      <c r="E250" s="8">
        <f t="shared" ref="E250:E313" si="3">IF(NOT(ISBLANK(D250)),D250+C$54,0)</f>
        <v>0</v>
      </c>
      <c r="F250" s="10"/>
      <c r="G250" s="10"/>
      <c r="H250" s="9"/>
      <c r="I250" s="7"/>
      <c r="J250" s="7"/>
      <c r="K250" s="7">
        <f ca="1">IFERROR(IF(COUNTA(J$56:J250)=J$54,J250,FORECAST(D250,OFFSET(M$56:M$254,MATCH(D250,L$56:L$254,1)-1,0,2), OFFSET(L$56:L$254,MATCH(D250,L$56:L$254,1)-1,0,2))),"")</f>
        <v>0</v>
      </c>
      <c r="L250" s="7" t="str">
        <f t="array" ref="L250">IFERROR(INDEX(D$56:D$1054,SMALL(IF(ISNUMBER(J$56:J$1054),ROW(D$1:D$999),""),ROW(D195))),"")</f>
        <v/>
      </c>
      <c r="M250" s="7" t="str">
        <f t="array" ref="M250">IFERROR(INDEX(J$56:J$1054,SMALL(IF(ISNUMBER(J$56:J$1054),ROW(J$1:J$999),""),ROW(J195))),"")</f>
        <v/>
      </c>
      <c r="N250" s="7"/>
      <c r="O250" s="7"/>
      <c r="P250" s="7"/>
      <c r="Q250" s="7">
        <f ca="1">IFERROR(IF(COUNTA(P$56:P250)=P$54,P250,FORECAST(D250,OFFSET(S$56:S$254,MATCH(D250,R$56:R$254,1)-1,0,2), OFFSET(R$56:R$254,MATCH(D250,R$56:R$254,1)-1,0,2))),"")</f>
        <v>0</v>
      </c>
      <c r="R250" s="7" t="str">
        <f t="array" ref="R250">IFERROR(INDEX(E$56:E$1054,SMALL(IF(ISNUMBER(P$56:P$1054),ROW(E$1:E$999),""),ROW(J195))),"")</f>
        <v/>
      </c>
      <c r="S250" s="7" t="str">
        <f t="array" ref="S250">IFERROR(INDEX(P$56:P$1054,SMALL(IF(ISNUMBER(P$56:P$1054),ROW(P$1:P$999),""),ROW(P195))),"")</f>
        <v/>
      </c>
      <c r="T250" s="7"/>
      <c r="U250" s="7"/>
      <c r="V250" s="7"/>
    </row>
    <row r="251" spans="1:22" x14ac:dyDescent="0.25">
      <c r="A251" s="6"/>
      <c r="B251" s="7"/>
      <c r="C251" s="7"/>
      <c r="D251" s="7"/>
      <c r="E251" s="8">
        <f t="shared" si="3"/>
        <v>0</v>
      </c>
      <c r="F251" s="10"/>
      <c r="G251" s="10"/>
      <c r="H251" s="9"/>
      <c r="I251" s="7"/>
      <c r="J251" s="7"/>
      <c r="K251" s="7">
        <f ca="1">IFERROR(IF(COUNTA(J$56:J251)=J$54,J251,FORECAST(D251,OFFSET(M$56:M$254,MATCH(D251,L$56:L$254,1)-1,0,2), OFFSET(L$56:L$254,MATCH(D251,L$56:L$254,1)-1,0,2))),"")</f>
        <v>0</v>
      </c>
      <c r="L251" s="7" t="str">
        <f t="array" ref="L251">IFERROR(INDEX(D$56:D$1054,SMALL(IF(ISNUMBER(J$56:J$1054),ROW(D$1:D$999),""),ROW(D196))),"")</f>
        <v/>
      </c>
      <c r="M251" s="7" t="str">
        <f t="array" ref="M251">IFERROR(INDEX(J$56:J$1054,SMALL(IF(ISNUMBER(J$56:J$1054),ROW(J$1:J$999),""),ROW(J196))),"")</f>
        <v/>
      </c>
      <c r="N251" s="7"/>
      <c r="O251" s="7"/>
      <c r="P251" s="7"/>
      <c r="Q251" s="7">
        <f ca="1">IFERROR(IF(COUNTA(P$56:P251)=P$54,P251,FORECAST(D251,OFFSET(S$56:S$254,MATCH(D251,R$56:R$254,1)-1,0,2), OFFSET(R$56:R$254,MATCH(D251,R$56:R$254,1)-1,0,2))),"")</f>
        <v>0</v>
      </c>
      <c r="R251" s="7" t="str">
        <f t="array" ref="R251">IFERROR(INDEX(E$56:E$1054,SMALL(IF(ISNUMBER(P$56:P$1054),ROW(E$1:E$999),""),ROW(J196))),"")</f>
        <v/>
      </c>
      <c r="S251" s="7" t="str">
        <f t="array" ref="S251">IFERROR(INDEX(P$56:P$1054,SMALL(IF(ISNUMBER(P$56:P$1054),ROW(P$1:P$999),""),ROW(P196))),"")</f>
        <v/>
      </c>
      <c r="T251" s="7"/>
      <c r="U251" s="7"/>
      <c r="V251" s="7"/>
    </row>
    <row r="252" spans="1:22" x14ac:dyDescent="0.25">
      <c r="A252" s="6"/>
      <c r="B252" s="7"/>
      <c r="C252" s="7"/>
      <c r="D252" s="7"/>
      <c r="E252" s="8">
        <f t="shared" si="3"/>
        <v>0</v>
      </c>
      <c r="F252" s="10"/>
      <c r="G252" s="10"/>
      <c r="H252" s="9"/>
      <c r="I252" s="7"/>
      <c r="J252" s="7"/>
      <c r="K252" s="7">
        <f ca="1">IFERROR(IF(COUNTA(J$56:J252)=J$54,J252,FORECAST(D252,OFFSET(M$56:M$254,MATCH(D252,L$56:L$254,1)-1,0,2), OFFSET(L$56:L$254,MATCH(D252,L$56:L$254,1)-1,0,2))),"")</f>
        <v>0</v>
      </c>
      <c r="L252" s="7" t="str">
        <f t="array" ref="L252">IFERROR(INDEX(D$56:D$1054,SMALL(IF(ISNUMBER(J$56:J$1054),ROW(D$1:D$999),""),ROW(D197))),"")</f>
        <v/>
      </c>
      <c r="M252" s="7" t="str">
        <f t="array" ref="M252">IFERROR(INDEX(J$56:J$1054,SMALL(IF(ISNUMBER(J$56:J$1054),ROW(J$1:J$999),""),ROW(J197))),"")</f>
        <v/>
      </c>
      <c r="N252" s="7"/>
      <c r="O252" s="7"/>
      <c r="P252" s="7"/>
      <c r="Q252" s="7">
        <f ca="1">IFERROR(IF(COUNTA(P$56:P252)=P$54,P252,FORECAST(D252,OFFSET(S$56:S$254,MATCH(D252,R$56:R$254,1)-1,0,2), OFFSET(R$56:R$254,MATCH(D252,R$56:R$254,1)-1,0,2))),"")</f>
        <v>0</v>
      </c>
      <c r="R252" s="7" t="str">
        <f t="array" ref="R252">IFERROR(INDEX(E$56:E$1054,SMALL(IF(ISNUMBER(P$56:P$1054),ROW(E$1:E$999),""),ROW(J197))),"")</f>
        <v/>
      </c>
      <c r="S252" s="7" t="str">
        <f t="array" ref="S252">IFERROR(INDEX(P$56:P$1054,SMALL(IF(ISNUMBER(P$56:P$1054),ROW(P$1:P$999),""),ROW(P197))),"")</f>
        <v/>
      </c>
      <c r="T252" s="7"/>
      <c r="U252" s="7"/>
      <c r="V252" s="7"/>
    </row>
    <row r="253" spans="1:22" x14ac:dyDescent="0.25">
      <c r="A253" s="6"/>
      <c r="B253" s="7"/>
      <c r="C253" s="7"/>
      <c r="D253" s="7"/>
      <c r="E253" s="8">
        <f t="shared" si="3"/>
        <v>0</v>
      </c>
      <c r="F253" s="10"/>
      <c r="G253" s="10"/>
      <c r="H253" s="9"/>
      <c r="I253" s="7"/>
      <c r="J253" s="7"/>
      <c r="K253" s="7">
        <f ca="1">IFERROR(IF(COUNTA(J$56:J253)=J$54,J253,FORECAST(D253,OFFSET(M$56:M$254,MATCH(D253,L$56:L$254,1)-1,0,2), OFFSET(L$56:L$254,MATCH(D253,L$56:L$254,1)-1,0,2))),"")</f>
        <v>0</v>
      </c>
      <c r="L253" s="7" t="str">
        <f t="array" ref="L253">IFERROR(INDEX(D$56:D$1054,SMALL(IF(ISNUMBER(J$56:J$1054),ROW(D$1:D$999),""),ROW(D198))),"")</f>
        <v/>
      </c>
      <c r="M253" s="7" t="str">
        <f t="array" ref="M253">IFERROR(INDEX(J$56:J$1054,SMALL(IF(ISNUMBER(J$56:J$1054),ROW(J$1:J$999),""),ROW(J198))),"")</f>
        <v/>
      </c>
      <c r="N253" s="7"/>
      <c r="O253" s="7"/>
      <c r="P253" s="7"/>
      <c r="Q253" s="7">
        <f ca="1">IFERROR(IF(COUNTA(P$56:P253)=P$54,P253,FORECAST(D253,OFFSET(S$56:S$254,MATCH(D253,R$56:R$254,1)-1,0,2), OFFSET(R$56:R$254,MATCH(D253,R$56:R$254,1)-1,0,2))),"")</f>
        <v>0</v>
      </c>
      <c r="R253" s="7" t="str">
        <f t="array" ref="R253">IFERROR(INDEX(E$56:E$1054,SMALL(IF(ISNUMBER(P$56:P$1054),ROW(E$1:E$999),""),ROW(J198))),"")</f>
        <v/>
      </c>
      <c r="S253" s="7" t="str">
        <f t="array" ref="S253">IFERROR(INDEX(P$56:P$1054,SMALL(IF(ISNUMBER(P$56:P$1054),ROW(P$1:P$999),""),ROW(P198))),"")</f>
        <v/>
      </c>
      <c r="T253" s="7"/>
      <c r="U253" s="7"/>
      <c r="V253" s="7"/>
    </row>
    <row r="254" spans="1:22" x14ac:dyDescent="0.25">
      <c r="A254" s="6"/>
      <c r="B254" s="7"/>
      <c r="C254" s="7"/>
      <c r="D254" s="7"/>
      <c r="E254" s="8">
        <f t="shared" si="3"/>
        <v>0</v>
      </c>
      <c r="F254" s="10"/>
      <c r="G254" s="10"/>
      <c r="H254" s="9"/>
      <c r="I254" s="7"/>
      <c r="J254" s="7"/>
      <c r="K254" s="7">
        <f ca="1">IFERROR(IF(COUNTA(J$56:J254)=J$54,J254,FORECAST(D254,OFFSET(M$56:M$254,MATCH(D254,L$56:L$254,1)-1,0,2), OFFSET(L$56:L$254,MATCH(D254,L$56:L$254,1)-1,0,2))),"")</f>
        <v>0</v>
      </c>
      <c r="L254" s="7" t="str">
        <f t="array" ref="L254">IFERROR(INDEX(D$56:D$1054,SMALL(IF(ISNUMBER(J$56:J$1054),ROW(D$1:D$999),""),ROW(D199))),"")</f>
        <v/>
      </c>
      <c r="M254" s="7" t="str">
        <f t="array" ref="M254">IFERROR(INDEX(J$56:J$1054,SMALL(IF(ISNUMBER(J$56:J$1054),ROW(J$1:J$999),""),ROW(J199))),"")</f>
        <v/>
      </c>
      <c r="N254" s="7"/>
      <c r="O254" s="7"/>
      <c r="P254" s="7"/>
      <c r="Q254" s="7">
        <f ca="1">IFERROR(IF(COUNTA(P$56:P254)=P$54,P254,FORECAST(D254,OFFSET(S$56:S$254,MATCH(D254,R$56:R$254,1)-1,0,2), OFFSET(R$56:R$254,MATCH(D254,R$56:R$254,1)-1,0,2))),"")</f>
        <v>0</v>
      </c>
      <c r="R254" s="7" t="str">
        <f t="array" ref="R254">IFERROR(INDEX(E$56:E$1054,SMALL(IF(ISNUMBER(P$56:P$1054),ROW(E$1:E$999),""),ROW(J199))),"")</f>
        <v/>
      </c>
      <c r="S254" s="7" t="str">
        <f t="array" ref="S254">IFERROR(INDEX(P$56:P$1054,SMALL(IF(ISNUMBER(P$56:P$1054),ROW(P$1:P$999),""),ROW(P199))),"")</f>
        <v/>
      </c>
      <c r="T254" s="7"/>
      <c r="U254" s="7"/>
      <c r="V254" s="7"/>
    </row>
    <row r="255" spans="1:22" x14ac:dyDescent="0.25">
      <c r="A255" s="6"/>
      <c r="B255" s="7"/>
      <c r="C255" s="7"/>
      <c r="D255" s="7"/>
      <c r="E255" s="8">
        <f t="shared" si="3"/>
        <v>0</v>
      </c>
      <c r="F255" s="10"/>
      <c r="G255" s="10"/>
      <c r="H255" s="9"/>
      <c r="I255" s="7"/>
      <c r="J255" s="7"/>
      <c r="K255" s="7">
        <f ca="1">IFERROR(IF(COUNTA(J$56:J255)=J$54,J255,FORECAST(D255,OFFSET(M$56:M$254,MATCH(D255,L$56:L$254,1)-1,0,2), OFFSET(L$56:L$254,MATCH(D255,L$56:L$254,1)-1,0,2))),"")</f>
        <v>0</v>
      </c>
      <c r="L255" s="7" t="str">
        <f t="array" ref="L255">IFERROR(INDEX(D$56:D$1054,SMALL(IF(ISNUMBER(J$56:J$1054),ROW(D$1:D$999),""),ROW(D200))),"")</f>
        <v/>
      </c>
      <c r="M255" s="7" t="str">
        <f t="array" ref="M255">IFERROR(INDEX(J$56:J$1054,SMALL(IF(ISNUMBER(J$56:J$1054),ROW(J$1:J$999),""),ROW(J200))),"")</f>
        <v/>
      </c>
      <c r="N255" s="7"/>
      <c r="O255" s="7"/>
      <c r="P255" s="7"/>
      <c r="Q255" s="7">
        <f ca="1">IFERROR(IF(COUNTA(P$56:P255)=P$54,P255,FORECAST(D255,OFFSET(S$56:S$254,MATCH(D255,R$56:R$254,1)-1,0,2), OFFSET(R$56:R$254,MATCH(D255,R$56:R$254,1)-1,0,2))),"")</f>
        <v>0</v>
      </c>
      <c r="R255" s="7" t="str">
        <f t="array" ref="R255">IFERROR(INDEX(E$56:E$1054,SMALL(IF(ISNUMBER(P$56:P$1054),ROW(E$1:E$999),""),ROW(J200))),"")</f>
        <v/>
      </c>
      <c r="S255" s="7" t="str">
        <f t="array" ref="S255">IFERROR(INDEX(P$56:P$1054,SMALL(IF(ISNUMBER(P$56:P$1054),ROW(P$1:P$999),""),ROW(P200))),"")</f>
        <v/>
      </c>
      <c r="T255" s="7"/>
      <c r="U255" s="7"/>
      <c r="V255" s="7"/>
    </row>
    <row r="256" spans="1:22" x14ac:dyDescent="0.25">
      <c r="A256" s="6"/>
      <c r="B256" s="7"/>
      <c r="C256" s="7"/>
      <c r="D256" s="7"/>
      <c r="E256" s="8">
        <f t="shared" si="3"/>
        <v>0</v>
      </c>
      <c r="F256" s="10"/>
      <c r="G256" s="10"/>
      <c r="H256" s="9"/>
      <c r="I256" s="7"/>
      <c r="J256" s="7"/>
      <c r="K256" s="7">
        <f ca="1">IFERROR(IF(COUNTA(J$56:J256)=J$54,J256,FORECAST(D256,OFFSET(M$56:M$254,MATCH(D256,L$56:L$254,1)-1,0,2), OFFSET(L$56:L$254,MATCH(D256,L$56:L$254,1)-1,0,2))),"")</f>
        <v>0</v>
      </c>
      <c r="L256" s="7" t="str">
        <f t="array" ref="L256">IFERROR(INDEX(D$56:D$1054,SMALL(IF(ISNUMBER(J$56:J$1054),ROW(D$1:D$999),""),ROW(D201))),"")</f>
        <v/>
      </c>
      <c r="M256" s="7" t="str">
        <f t="array" ref="M256">IFERROR(INDEX(J$56:J$1054,SMALL(IF(ISNUMBER(J$56:J$1054),ROW(J$1:J$999),""),ROW(J201))),"")</f>
        <v/>
      </c>
      <c r="N256" s="7"/>
      <c r="O256" s="7"/>
      <c r="P256" s="7"/>
      <c r="Q256" s="7">
        <f ca="1">IFERROR(IF(COUNTA(P$56:P256)=P$54,P256,FORECAST(D256,OFFSET(S$56:S$254,MATCH(D256,R$56:R$254,1)-1,0,2), OFFSET(R$56:R$254,MATCH(D256,R$56:R$254,1)-1,0,2))),"")</f>
        <v>0</v>
      </c>
      <c r="R256" s="7" t="str">
        <f t="array" ref="R256">IFERROR(INDEX(E$56:E$1054,SMALL(IF(ISNUMBER(P$56:P$1054),ROW(E$1:E$999),""),ROW(J201))),"")</f>
        <v/>
      </c>
      <c r="S256" s="7" t="str">
        <f t="array" ref="S256">IFERROR(INDEX(P$56:P$1054,SMALL(IF(ISNUMBER(P$56:P$1054),ROW(P$1:P$999),""),ROW(P201))),"")</f>
        <v/>
      </c>
      <c r="T256" s="7"/>
      <c r="U256" s="7"/>
      <c r="V256" s="7"/>
    </row>
    <row r="257" spans="1:22" x14ac:dyDescent="0.25">
      <c r="A257" s="6"/>
      <c r="B257" s="7"/>
      <c r="C257" s="7"/>
      <c r="D257" s="7"/>
      <c r="E257" s="8">
        <f t="shared" si="3"/>
        <v>0</v>
      </c>
      <c r="F257" s="10"/>
      <c r="G257" s="10"/>
      <c r="H257" s="9"/>
      <c r="I257" s="7"/>
      <c r="J257" s="7"/>
      <c r="K257" s="7">
        <f ca="1">IFERROR(IF(COUNTA(J$56:J257)=J$54,J257,FORECAST(D257,OFFSET(M$56:M$254,MATCH(D257,L$56:L$254,1)-1,0,2), OFFSET(L$56:L$254,MATCH(D257,L$56:L$254,1)-1,0,2))),"")</f>
        <v>0</v>
      </c>
      <c r="L257" s="7" t="str">
        <f t="array" ref="L257">IFERROR(INDEX(D$56:D$1054,SMALL(IF(ISNUMBER(J$56:J$1054),ROW(D$1:D$999),""),ROW(D202))),"")</f>
        <v/>
      </c>
      <c r="M257" s="7" t="str">
        <f t="array" ref="M257">IFERROR(INDEX(J$56:J$1054,SMALL(IF(ISNUMBER(J$56:J$1054),ROW(J$1:J$999),""),ROW(J202))),"")</f>
        <v/>
      </c>
      <c r="N257" s="7"/>
      <c r="O257" s="7"/>
      <c r="P257" s="7"/>
      <c r="Q257" s="7">
        <f ca="1">IFERROR(IF(COUNTA(P$56:P257)=P$54,P257,FORECAST(D257,OFFSET(S$56:S$254,MATCH(D257,R$56:R$254,1)-1,0,2), OFFSET(R$56:R$254,MATCH(D257,R$56:R$254,1)-1,0,2))),"")</f>
        <v>0</v>
      </c>
      <c r="R257" s="7" t="str">
        <f t="array" ref="R257">IFERROR(INDEX(E$56:E$1054,SMALL(IF(ISNUMBER(P$56:P$1054),ROW(E$1:E$999),""),ROW(J202))),"")</f>
        <v/>
      </c>
      <c r="S257" s="7" t="str">
        <f t="array" ref="S257">IFERROR(INDEX(P$56:P$1054,SMALL(IF(ISNUMBER(P$56:P$1054),ROW(P$1:P$999),""),ROW(P202))),"")</f>
        <v/>
      </c>
      <c r="T257" s="7"/>
      <c r="U257" s="7"/>
      <c r="V257" s="7"/>
    </row>
    <row r="258" spans="1:22" x14ac:dyDescent="0.25">
      <c r="A258" s="6"/>
      <c r="B258" s="7"/>
      <c r="C258" s="7"/>
      <c r="D258" s="7"/>
      <c r="E258" s="8">
        <f t="shared" si="3"/>
        <v>0</v>
      </c>
      <c r="F258" s="10"/>
      <c r="G258" s="10"/>
      <c r="H258" s="9"/>
      <c r="I258" s="7"/>
      <c r="J258" s="7"/>
      <c r="K258" s="7">
        <f ca="1">IFERROR(IF(COUNTA(J$56:J258)=J$54,J258,FORECAST(D258,OFFSET(M$56:M$254,MATCH(D258,L$56:L$254,1)-1,0,2), OFFSET(L$56:L$254,MATCH(D258,L$56:L$254,1)-1,0,2))),"")</f>
        <v>0</v>
      </c>
      <c r="L258" s="7" t="str">
        <f t="array" ref="L258">IFERROR(INDEX(D$56:D$1054,SMALL(IF(ISNUMBER(J$56:J$1054),ROW(D$1:D$999),""),ROW(D203))),"")</f>
        <v/>
      </c>
      <c r="M258" s="7" t="str">
        <f t="array" ref="M258">IFERROR(INDEX(J$56:J$1054,SMALL(IF(ISNUMBER(J$56:J$1054),ROW(J$1:J$999),""),ROW(J203))),"")</f>
        <v/>
      </c>
      <c r="N258" s="7"/>
      <c r="O258" s="7"/>
      <c r="P258" s="7"/>
      <c r="Q258" s="7">
        <f ca="1">IFERROR(IF(COUNTA(P$56:P258)=P$54,P258,FORECAST(D258,OFFSET(S$56:S$254,MATCH(D258,R$56:R$254,1)-1,0,2), OFFSET(R$56:R$254,MATCH(D258,R$56:R$254,1)-1,0,2))),"")</f>
        <v>0</v>
      </c>
      <c r="R258" s="7" t="str">
        <f t="array" ref="R258">IFERROR(INDEX(E$56:E$1054,SMALL(IF(ISNUMBER(P$56:P$1054),ROW(E$1:E$999),""),ROW(J203))),"")</f>
        <v/>
      </c>
      <c r="S258" s="7" t="str">
        <f t="array" ref="S258">IFERROR(INDEX(P$56:P$1054,SMALL(IF(ISNUMBER(P$56:P$1054),ROW(P$1:P$999),""),ROW(P203))),"")</f>
        <v/>
      </c>
      <c r="T258" s="7"/>
      <c r="U258" s="7"/>
      <c r="V258" s="7"/>
    </row>
    <row r="259" spans="1:22" x14ac:dyDescent="0.25">
      <c r="A259" s="6"/>
      <c r="B259" s="7"/>
      <c r="C259" s="7"/>
      <c r="D259" s="7"/>
      <c r="E259" s="8">
        <f t="shared" si="3"/>
        <v>0</v>
      </c>
      <c r="F259" s="10"/>
      <c r="G259" s="10"/>
      <c r="H259" s="9"/>
      <c r="I259" s="7"/>
      <c r="J259" s="7"/>
      <c r="K259" s="7">
        <f ca="1">IFERROR(IF(COUNTA(J$56:J259)=J$54,J259,FORECAST(D259,OFFSET(M$56:M$254,MATCH(D259,L$56:L$254,1)-1,0,2), OFFSET(L$56:L$254,MATCH(D259,L$56:L$254,1)-1,0,2))),"")</f>
        <v>0</v>
      </c>
      <c r="L259" s="7" t="str">
        <f t="array" ref="L259">IFERROR(INDEX(D$56:D$1054,SMALL(IF(ISNUMBER(J$56:J$1054),ROW(D$1:D$999),""),ROW(D204))),"")</f>
        <v/>
      </c>
      <c r="M259" s="7" t="str">
        <f t="array" ref="M259">IFERROR(INDEX(J$56:J$1054,SMALL(IF(ISNUMBER(J$56:J$1054),ROW(J$1:J$999),""),ROW(J204))),"")</f>
        <v/>
      </c>
      <c r="N259" s="7"/>
      <c r="O259" s="7"/>
      <c r="P259" s="7"/>
      <c r="Q259" s="7">
        <f ca="1">IFERROR(IF(COUNTA(P$56:P259)=P$54,P259,FORECAST(D259,OFFSET(S$56:S$254,MATCH(D259,R$56:R$254,1)-1,0,2), OFFSET(R$56:R$254,MATCH(D259,R$56:R$254,1)-1,0,2))),"")</f>
        <v>0</v>
      </c>
      <c r="R259" s="7" t="str">
        <f t="array" ref="R259">IFERROR(INDEX(E$56:E$1054,SMALL(IF(ISNUMBER(P$56:P$1054),ROW(E$1:E$999),""),ROW(J204))),"")</f>
        <v/>
      </c>
      <c r="S259" s="7" t="str">
        <f t="array" ref="S259">IFERROR(INDEX(P$56:P$1054,SMALL(IF(ISNUMBER(P$56:P$1054),ROW(P$1:P$999),""),ROW(P204))),"")</f>
        <v/>
      </c>
      <c r="T259" s="7"/>
      <c r="U259" s="7"/>
      <c r="V259" s="7"/>
    </row>
    <row r="260" spans="1:22" x14ac:dyDescent="0.25">
      <c r="A260" s="6"/>
      <c r="B260" s="7"/>
      <c r="C260" s="7"/>
      <c r="D260" s="7"/>
      <c r="E260" s="8">
        <f t="shared" si="3"/>
        <v>0</v>
      </c>
      <c r="F260" s="10"/>
      <c r="G260" s="10"/>
      <c r="H260" s="9"/>
      <c r="I260" s="7"/>
      <c r="J260" s="7"/>
      <c r="K260" s="7">
        <f ca="1">IFERROR(IF(COUNTA(J$56:J260)=J$54,J260,FORECAST(D260,OFFSET(M$56:M$254,MATCH(D260,L$56:L$254,1)-1,0,2), OFFSET(L$56:L$254,MATCH(D260,L$56:L$254,1)-1,0,2))),"")</f>
        <v>0</v>
      </c>
      <c r="L260" s="7" t="str">
        <f t="array" ref="L260">IFERROR(INDEX(D$56:D$1054,SMALL(IF(ISNUMBER(J$56:J$1054),ROW(D$1:D$999),""),ROW(D205))),"")</f>
        <v/>
      </c>
      <c r="M260" s="7" t="str">
        <f t="array" ref="M260">IFERROR(INDEX(J$56:J$1054,SMALL(IF(ISNUMBER(J$56:J$1054),ROW(J$1:J$999),""),ROW(J205))),"")</f>
        <v/>
      </c>
      <c r="N260" s="7"/>
      <c r="O260" s="7"/>
      <c r="P260" s="7"/>
      <c r="Q260" s="7">
        <f ca="1">IFERROR(IF(COUNTA(P$56:P260)=P$54,P260,FORECAST(D260,OFFSET(S$56:S$254,MATCH(D260,R$56:R$254,1)-1,0,2), OFFSET(R$56:R$254,MATCH(D260,R$56:R$254,1)-1,0,2))),"")</f>
        <v>0</v>
      </c>
      <c r="R260" s="7" t="str">
        <f t="array" ref="R260">IFERROR(INDEX(E$56:E$1054,SMALL(IF(ISNUMBER(P$56:P$1054),ROW(E$1:E$999),""),ROW(J205))),"")</f>
        <v/>
      </c>
      <c r="S260" s="7" t="str">
        <f t="array" ref="S260">IFERROR(INDEX(P$56:P$1054,SMALL(IF(ISNUMBER(P$56:P$1054),ROW(P$1:P$999),""),ROW(P205))),"")</f>
        <v/>
      </c>
      <c r="T260" s="7"/>
      <c r="U260" s="7"/>
      <c r="V260" s="7"/>
    </row>
    <row r="261" spans="1:22" x14ac:dyDescent="0.25">
      <c r="A261" s="6"/>
      <c r="B261" s="7"/>
      <c r="C261" s="7"/>
      <c r="D261" s="7"/>
      <c r="E261" s="8">
        <f t="shared" si="3"/>
        <v>0</v>
      </c>
      <c r="F261" s="10"/>
      <c r="G261" s="10"/>
      <c r="H261" s="9"/>
      <c r="I261" s="7"/>
      <c r="J261" s="7"/>
      <c r="K261" s="7">
        <f ca="1">IFERROR(IF(COUNTA(J$56:J261)=J$54,J261,FORECAST(D261,OFFSET(M$56:M$254,MATCH(D261,L$56:L$254,1)-1,0,2), OFFSET(L$56:L$254,MATCH(D261,L$56:L$254,1)-1,0,2))),"")</f>
        <v>0</v>
      </c>
      <c r="L261" s="7" t="str">
        <f t="array" ref="L261">IFERROR(INDEX(D$56:D$1054,SMALL(IF(ISNUMBER(J$56:J$1054),ROW(D$1:D$999),""),ROW(D206))),"")</f>
        <v/>
      </c>
      <c r="M261" s="7" t="str">
        <f t="array" ref="M261">IFERROR(INDEX(J$56:J$1054,SMALL(IF(ISNUMBER(J$56:J$1054),ROW(J$1:J$999),""),ROW(J206))),"")</f>
        <v/>
      </c>
      <c r="N261" s="7"/>
      <c r="O261" s="7"/>
      <c r="P261" s="7"/>
      <c r="Q261" s="7">
        <f ca="1">IFERROR(IF(COUNTA(P$56:P261)=P$54,P261,FORECAST(D261,OFFSET(S$56:S$254,MATCH(D261,R$56:R$254,1)-1,0,2), OFFSET(R$56:R$254,MATCH(D261,R$56:R$254,1)-1,0,2))),"")</f>
        <v>0</v>
      </c>
      <c r="R261" s="7" t="str">
        <f t="array" ref="R261">IFERROR(INDEX(E$56:E$1054,SMALL(IF(ISNUMBER(P$56:P$1054),ROW(E$1:E$999),""),ROW(J206))),"")</f>
        <v/>
      </c>
      <c r="S261" s="7" t="str">
        <f t="array" ref="S261">IFERROR(INDEX(P$56:P$1054,SMALL(IF(ISNUMBER(P$56:P$1054),ROW(P$1:P$999),""),ROW(P206))),"")</f>
        <v/>
      </c>
      <c r="T261" s="7"/>
      <c r="U261" s="7"/>
      <c r="V261" s="7"/>
    </row>
    <row r="262" spans="1:22" x14ac:dyDescent="0.25">
      <c r="A262" s="6"/>
      <c r="B262" s="7"/>
      <c r="C262" s="7"/>
      <c r="D262" s="7"/>
      <c r="E262" s="8">
        <f t="shared" si="3"/>
        <v>0</v>
      </c>
      <c r="F262" s="10"/>
      <c r="G262" s="10"/>
      <c r="H262" s="9"/>
      <c r="I262" s="7"/>
      <c r="J262" s="7"/>
      <c r="K262" s="7">
        <f ca="1">IFERROR(IF(COUNTA(J$56:J262)=J$54,J262,FORECAST(D262,OFFSET(M$56:M$254,MATCH(D262,L$56:L$254,1)-1,0,2), OFFSET(L$56:L$254,MATCH(D262,L$56:L$254,1)-1,0,2))),"")</f>
        <v>0</v>
      </c>
      <c r="L262" s="7" t="str">
        <f t="array" ref="L262">IFERROR(INDEX(D$56:D$1054,SMALL(IF(ISNUMBER(J$56:J$1054),ROW(D$1:D$999),""),ROW(D207))),"")</f>
        <v/>
      </c>
      <c r="M262" s="7" t="str">
        <f t="array" ref="M262">IFERROR(INDEX(J$56:J$1054,SMALL(IF(ISNUMBER(J$56:J$1054),ROW(J$1:J$999),""),ROW(J207))),"")</f>
        <v/>
      </c>
      <c r="N262" s="7"/>
      <c r="O262" s="7"/>
      <c r="P262" s="7"/>
      <c r="Q262" s="7">
        <f ca="1">IFERROR(IF(COUNTA(P$56:P262)=P$54,P262,FORECAST(D262,OFFSET(S$56:S$254,MATCH(D262,R$56:R$254,1)-1,0,2), OFFSET(R$56:R$254,MATCH(D262,R$56:R$254,1)-1,0,2))),"")</f>
        <v>0</v>
      </c>
      <c r="R262" s="7" t="str">
        <f t="array" ref="R262">IFERROR(INDEX(E$56:E$1054,SMALL(IF(ISNUMBER(P$56:P$1054),ROW(E$1:E$999),""),ROW(J207))),"")</f>
        <v/>
      </c>
      <c r="S262" s="7" t="str">
        <f t="array" ref="S262">IFERROR(INDEX(P$56:P$1054,SMALL(IF(ISNUMBER(P$56:P$1054),ROW(P$1:P$999),""),ROW(P207))),"")</f>
        <v/>
      </c>
      <c r="T262" s="7"/>
      <c r="U262" s="7"/>
      <c r="V262" s="7"/>
    </row>
    <row r="263" spans="1:22" x14ac:dyDescent="0.25">
      <c r="A263" s="6"/>
      <c r="B263" s="7"/>
      <c r="C263" s="7"/>
      <c r="D263" s="7"/>
      <c r="E263" s="8">
        <f t="shared" si="3"/>
        <v>0</v>
      </c>
      <c r="F263" s="10"/>
      <c r="G263" s="10"/>
      <c r="H263" s="9"/>
      <c r="I263" s="7"/>
      <c r="J263" s="7"/>
      <c r="K263" s="7">
        <f ca="1">IFERROR(IF(COUNTA(J$56:J263)=J$54,J263,FORECAST(D263,OFFSET(M$56:M$254,MATCH(D263,L$56:L$254,1)-1,0,2), OFFSET(L$56:L$254,MATCH(D263,L$56:L$254,1)-1,0,2))),"")</f>
        <v>0</v>
      </c>
      <c r="L263" s="7" t="str">
        <f t="array" ref="L263">IFERROR(INDEX(D$56:D$1054,SMALL(IF(ISNUMBER(J$56:J$1054),ROW(D$1:D$999),""),ROW(D208))),"")</f>
        <v/>
      </c>
      <c r="M263" s="7" t="str">
        <f t="array" ref="M263">IFERROR(INDEX(J$56:J$1054,SMALL(IF(ISNUMBER(J$56:J$1054),ROW(J$1:J$999),""),ROW(J208))),"")</f>
        <v/>
      </c>
      <c r="N263" s="7"/>
      <c r="O263" s="7"/>
      <c r="P263" s="7"/>
      <c r="Q263" s="7">
        <f ca="1">IFERROR(IF(COUNTA(P$56:P263)=P$54,P263,FORECAST(D263,OFFSET(S$56:S$254,MATCH(D263,R$56:R$254,1)-1,0,2), OFFSET(R$56:R$254,MATCH(D263,R$56:R$254,1)-1,0,2))),"")</f>
        <v>0</v>
      </c>
      <c r="R263" s="7" t="str">
        <f t="array" ref="R263">IFERROR(INDEX(E$56:E$1054,SMALL(IF(ISNUMBER(P$56:P$1054),ROW(E$1:E$999),""),ROW(J208))),"")</f>
        <v/>
      </c>
      <c r="S263" s="7" t="str">
        <f t="array" ref="S263">IFERROR(INDEX(P$56:P$1054,SMALL(IF(ISNUMBER(P$56:P$1054),ROW(P$1:P$999),""),ROW(P208))),"")</f>
        <v/>
      </c>
      <c r="T263" s="7"/>
      <c r="U263" s="7"/>
      <c r="V263" s="7"/>
    </row>
    <row r="264" spans="1:22" x14ac:dyDescent="0.25">
      <c r="A264" s="6"/>
      <c r="B264" s="7"/>
      <c r="C264" s="7"/>
      <c r="D264" s="7"/>
      <c r="E264" s="8">
        <f t="shared" si="3"/>
        <v>0</v>
      </c>
      <c r="F264" s="10"/>
      <c r="G264" s="10"/>
      <c r="H264" s="9"/>
      <c r="I264" s="7"/>
      <c r="J264" s="7"/>
      <c r="K264" s="7">
        <f ca="1">IFERROR(IF(COUNTA(J$56:J264)=J$54,J264,FORECAST(D264,OFFSET(M$56:M$254,MATCH(D264,L$56:L$254,1)-1,0,2), OFFSET(L$56:L$254,MATCH(D264,L$56:L$254,1)-1,0,2))),"")</f>
        <v>0</v>
      </c>
      <c r="L264" s="7" t="str">
        <f t="array" ref="L264">IFERROR(INDEX(D$56:D$1054,SMALL(IF(ISNUMBER(J$56:J$1054),ROW(D$1:D$999),""),ROW(D209))),"")</f>
        <v/>
      </c>
      <c r="M264" s="7" t="str">
        <f t="array" ref="M264">IFERROR(INDEX(J$56:J$1054,SMALL(IF(ISNUMBER(J$56:J$1054),ROW(J$1:J$999),""),ROW(J209))),"")</f>
        <v/>
      </c>
      <c r="N264" s="7"/>
      <c r="O264" s="7"/>
      <c r="P264" s="7"/>
      <c r="Q264" s="7">
        <f ca="1">IFERROR(IF(COUNTA(P$56:P264)=P$54,P264,FORECAST(D264,OFFSET(S$56:S$254,MATCH(D264,R$56:R$254,1)-1,0,2), OFFSET(R$56:R$254,MATCH(D264,R$56:R$254,1)-1,0,2))),"")</f>
        <v>0</v>
      </c>
      <c r="R264" s="7" t="str">
        <f t="array" ref="R264">IFERROR(INDEX(E$56:E$1054,SMALL(IF(ISNUMBER(P$56:P$1054),ROW(E$1:E$999),""),ROW(J209))),"")</f>
        <v/>
      </c>
      <c r="S264" s="7" t="str">
        <f t="array" ref="S264">IFERROR(INDEX(P$56:P$1054,SMALL(IF(ISNUMBER(P$56:P$1054),ROW(P$1:P$999),""),ROW(P209))),"")</f>
        <v/>
      </c>
      <c r="T264" s="7"/>
      <c r="U264" s="7"/>
      <c r="V264" s="7"/>
    </row>
    <row r="265" spans="1:22" x14ac:dyDescent="0.25">
      <c r="A265" s="6"/>
      <c r="B265" s="7"/>
      <c r="C265" s="7"/>
      <c r="D265" s="7"/>
      <c r="E265" s="8">
        <f t="shared" si="3"/>
        <v>0</v>
      </c>
      <c r="F265" s="10"/>
      <c r="G265" s="10"/>
      <c r="H265" s="9"/>
      <c r="I265" s="7"/>
      <c r="J265" s="7"/>
      <c r="K265" s="7">
        <f ca="1">IFERROR(IF(COUNTA(J$56:J265)=J$54,J265,FORECAST(D265,OFFSET(M$56:M$254,MATCH(D265,L$56:L$254,1)-1,0,2), OFFSET(L$56:L$254,MATCH(D265,L$56:L$254,1)-1,0,2))),"")</f>
        <v>0</v>
      </c>
      <c r="L265" s="7" t="str">
        <f t="array" ref="L265">IFERROR(INDEX(D$56:D$1054,SMALL(IF(ISNUMBER(J$56:J$1054),ROW(D$1:D$999),""),ROW(D210))),"")</f>
        <v/>
      </c>
      <c r="M265" s="7" t="str">
        <f t="array" ref="M265">IFERROR(INDEX(J$56:J$1054,SMALL(IF(ISNUMBER(J$56:J$1054),ROW(J$1:J$999),""),ROW(J210))),"")</f>
        <v/>
      </c>
      <c r="N265" s="7"/>
      <c r="O265" s="7"/>
      <c r="P265" s="7"/>
      <c r="Q265" s="7">
        <f ca="1">IFERROR(IF(COUNTA(P$56:P265)=P$54,P265,FORECAST(D265,OFFSET(S$56:S$254,MATCH(D265,R$56:R$254,1)-1,0,2), OFFSET(R$56:R$254,MATCH(D265,R$56:R$254,1)-1,0,2))),"")</f>
        <v>0</v>
      </c>
      <c r="R265" s="7" t="str">
        <f t="array" ref="R265">IFERROR(INDEX(E$56:E$1054,SMALL(IF(ISNUMBER(P$56:P$1054),ROW(E$1:E$999),""),ROW(J210))),"")</f>
        <v/>
      </c>
      <c r="S265" s="7" t="str">
        <f t="array" ref="S265">IFERROR(INDEX(P$56:P$1054,SMALL(IF(ISNUMBER(P$56:P$1054),ROW(P$1:P$999),""),ROW(P210))),"")</f>
        <v/>
      </c>
      <c r="T265" s="7"/>
      <c r="U265" s="7"/>
      <c r="V265" s="7"/>
    </row>
    <row r="266" spans="1:22" x14ac:dyDescent="0.25">
      <c r="A266" s="6"/>
      <c r="B266" s="7"/>
      <c r="C266" s="7"/>
      <c r="D266" s="7"/>
      <c r="E266" s="8">
        <f t="shared" si="3"/>
        <v>0</v>
      </c>
      <c r="F266" s="10"/>
      <c r="G266" s="10"/>
      <c r="H266" s="9"/>
      <c r="I266" s="7"/>
      <c r="J266" s="7"/>
      <c r="K266" s="7">
        <f ca="1">IFERROR(IF(COUNTA(J$56:J266)=J$54,J266,FORECAST(D266,OFFSET(M$56:M$254,MATCH(D266,L$56:L$254,1)-1,0,2), OFFSET(L$56:L$254,MATCH(D266,L$56:L$254,1)-1,0,2))),"")</f>
        <v>0</v>
      </c>
      <c r="L266" s="7" t="str">
        <f t="array" ref="L266">IFERROR(INDEX(D$56:D$1054,SMALL(IF(ISNUMBER(J$56:J$1054),ROW(D$1:D$999),""),ROW(D211))),"")</f>
        <v/>
      </c>
      <c r="M266" s="7" t="str">
        <f t="array" ref="M266">IFERROR(INDEX(J$56:J$1054,SMALL(IF(ISNUMBER(J$56:J$1054),ROW(J$1:J$999),""),ROW(J211))),"")</f>
        <v/>
      </c>
      <c r="N266" s="7"/>
      <c r="O266" s="7"/>
      <c r="P266" s="7"/>
      <c r="Q266" s="7">
        <f ca="1">IFERROR(IF(COUNTA(P$56:P266)=P$54,P266,FORECAST(D266,OFFSET(S$56:S$254,MATCH(D266,R$56:R$254,1)-1,0,2), OFFSET(R$56:R$254,MATCH(D266,R$56:R$254,1)-1,0,2))),"")</f>
        <v>0</v>
      </c>
      <c r="R266" s="7" t="str">
        <f t="array" ref="R266">IFERROR(INDEX(E$56:E$1054,SMALL(IF(ISNUMBER(P$56:P$1054),ROW(E$1:E$999),""),ROW(J211))),"")</f>
        <v/>
      </c>
      <c r="S266" s="7" t="str">
        <f t="array" ref="S266">IFERROR(INDEX(P$56:P$1054,SMALL(IF(ISNUMBER(P$56:P$1054),ROW(P$1:P$999),""),ROW(P211))),"")</f>
        <v/>
      </c>
      <c r="T266" s="7"/>
      <c r="U266" s="7"/>
      <c r="V266" s="7"/>
    </row>
    <row r="267" spans="1:22" x14ac:dyDescent="0.25">
      <c r="A267" s="6"/>
      <c r="B267" s="7"/>
      <c r="C267" s="7"/>
      <c r="D267" s="7"/>
      <c r="E267" s="8">
        <f t="shared" si="3"/>
        <v>0</v>
      </c>
      <c r="F267" s="10"/>
      <c r="G267" s="10"/>
      <c r="H267" s="9"/>
      <c r="I267" s="7"/>
      <c r="J267" s="7"/>
      <c r="K267" s="7">
        <f ca="1">IFERROR(IF(COUNTA(J$56:J267)=J$54,J267,FORECAST(D267,OFFSET(M$56:M$254,MATCH(D267,L$56:L$254,1)-1,0,2), OFFSET(L$56:L$254,MATCH(D267,L$56:L$254,1)-1,0,2))),"")</f>
        <v>0</v>
      </c>
      <c r="L267" s="7" t="str">
        <f t="array" ref="L267">IFERROR(INDEX(D$56:D$1054,SMALL(IF(ISNUMBER(J$56:J$1054),ROW(D$1:D$999),""),ROW(D212))),"")</f>
        <v/>
      </c>
      <c r="M267" s="7" t="str">
        <f t="array" ref="M267">IFERROR(INDEX(J$56:J$1054,SMALL(IF(ISNUMBER(J$56:J$1054),ROW(J$1:J$999),""),ROW(J212))),"")</f>
        <v/>
      </c>
      <c r="N267" s="7"/>
      <c r="O267" s="7"/>
      <c r="P267" s="7"/>
      <c r="Q267" s="7">
        <f ca="1">IFERROR(IF(COUNTA(P$56:P267)=P$54,P267,FORECAST(D267,OFFSET(S$56:S$254,MATCH(D267,R$56:R$254,1)-1,0,2), OFFSET(R$56:R$254,MATCH(D267,R$56:R$254,1)-1,0,2))),"")</f>
        <v>0</v>
      </c>
      <c r="R267" s="7" t="str">
        <f t="array" ref="R267">IFERROR(INDEX(E$56:E$1054,SMALL(IF(ISNUMBER(P$56:P$1054),ROW(E$1:E$999),""),ROW(J212))),"")</f>
        <v/>
      </c>
      <c r="S267" s="7" t="str">
        <f t="array" ref="S267">IFERROR(INDEX(P$56:P$1054,SMALL(IF(ISNUMBER(P$56:P$1054),ROW(P$1:P$999),""),ROW(P212))),"")</f>
        <v/>
      </c>
      <c r="T267" s="7"/>
      <c r="U267" s="7"/>
      <c r="V267" s="7"/>
    </row>
    <row r="268" spans="1:22" x14ac:dyDescent="0.25">
      <c r="A268" s="6"/>
      <c r="B268" s="7"/>
      <c r="C268" s="7"/>
      <c r="D268" s="7"/>
      <c r="E268" s="8">
        <f t="shared" si="3"/>
        <v>0</v>
      </c>
      <c r="F268" s="10"/>
      <c r="G268" s="10"/>
      <c r="H268" s="9"/>
      <c r="I268" s="7"/>
      <c r="J268" s="7"/>
      <c r="K268" s="7">
        <f ca="1">IFERROR(IF(COUNTA(J$56:J268)=J$54,J268,FORECAST(D268,OFFSET(M$56:M$254,MATCH(D268,L$56:L$254,1)-1,0,2), OFFSET(L$56:L$254,MATCH(D268,L$56:L$254,1)-1,0,2))),"")</f>
        <v>0</v>
      </c>
      <c r="L268" s="7" t="str">
        <f t="array" ref="L268">IFERROR(INDEX(D$56:D$1054,SMALL(IF(ISNUMBER(J$56:J$1054),ROW(D$1:D$999),""),ROW(D213))),"")</f>
        <v/>
      </c>
      <c r="M268" s="7" t="str">
        <f t="array" ref="M268">IFERROR(INDEX(J$56:J$1054,SMALL(IF(ISNUMBER(J$56:J$1054),ROW(J$1:J$999),""),ROW(J213))),"")</f>
        <v/>
      </c>
      <c r="N268" s="7"/>
      <c r="O268" s="7"/>
      <c r="P268" s="7"/>
      <c r="Q268" s="7">
        <f ca="1">IFERROR(IF(COUNTA(P$56:P268)=P$54,P268,FORECAST(D268,OFFSET(S$56:S$254,MATCH(D268,R$56:R$254,1)-1,0,2), OFFSET(R$56:R$254,MATCH(D268,R$56:R$254,1)-1,0,2))),"")</f>
        <v>0</v>
      </c>
      <c r="R268" s="7" t="str">
        <f t="array" ref="R268">IFERROR(INDEX(E$56:E$1054,SMALL(IF(ISNUMBER(P$56:P$1054),ROW(E$1:E$999),""),ROW(J213))),"")</f>
        <v/>
      </c>
      <c r="S268" s="7" t="str">
        <f t="array" ref="S268">IFERROR(INDEX(P$56:P$1054,SMALL(IF(ISNUMBER(P$56:P$1054),ROW(P$1:P$999),""),ROW(P213))),"")</f>
        <v/>
      </c>
      <c r="T268" s="7"/>
      <c r="U268" s="7"/>
      <c r="V268" s="7"/>
    </row>
    <row r="269" spans="1:22" x14ac:dyDescent="0.25">
      <c r="A269" s="6"/>
      <c r="B269" s="7"/>
      <c r="C269" s="7"/>
      <c r="D269" s="7"/>
      <c r="E269" s="8">
        <f t="shared" si="3"/>
        <v>0</v>
      </c>
      <c r="F269" s="10"/>
      <c r="G269" s="10"/>
      <c r="H269" s="9"/>
      <c r="I269" s="7"/>
      <c r="J269" s="7"/>
      <c r="K269" s="7">
        <f ca="1">IFERROR(IF(COUNTA(J$56:J269)=J$54,J269,FORECAST(D269,OFFSET(M$56:M$254,MATCH(D269,L$56:L$254,1)-1,0,2), OFFSET(L$56:L$254,MATCH(D269,L$56:L$254,1)-1,0,2))),"")</f>
        <v>0</v>
      </c>
      <c r="L269" s="7" t="str">
        <f t="array" ref="L269">IFERROR(INDEX(D$56:D$1054,SMALL(IF(ISNUMBER(J$56:J$1054),ROW(D$1:D$999),""),ROW(D214))),"")</f>
        <v/>
      </c>
      <c r="M269" s="7" t="str">
        <f t="array" ref="M269">IFERROR(INDEX(J$56:J$1054,SMALL(IF(ISNUMBER(J$56:J$1054),ROW(J$1:J$999),""),ROW(J214))),"")</f>
        <v/>
      </c>
      <c r="N269" s="7"/>
      <c r="O269" s="7"/>
      <c r="P269" s="7"/>
      <c r="Q269" s="7">
        <f ca="1">IFERROR(IF(COUNTA(P$56:P269)=P$54,P269,FORECAST(D269,OFFSET(S$56:S$254,MATCH(D269,R$56:R$254,1)-1,0,2), OFFSET(R$56:R$254,MATCH(D269,R$56:R$254,1)-1,0,2))),"")</f>
        <v>0</v>
      </c>
      <c r="R269" s="7" t="str">
        <f t="array" ref="R269">IFERROR(INDEX(E$56:E$1054,SMALL(IF(ISNUMBER(P$56:P$1054),ROW(E$1:E$999),""),ROW(J214))),"")</f>
        <v/>
      </c>
      <c r="S269" s="7" t="str">
        <f t="array" ref="S269">IFERROR(INDEX(P$56:P$1054,SMALL(IF(ISNUMBER(P$56:P$1054),ROW(P$1:P$999),""),ROW(P214))),"")</f>
        <v/>
      </c>
      <c r="T269" s="7"/>
      <c r="U269" s="7"/>
      <c r="V269" s="7"/>
    </row>
    <row r="270" spans="1:22" x14ac:dyDescent="0.25">
      <c r="A270" s="6"/>
      <c r="B270" s="7"/>
      <c r="C270" s="7"/>
      <c r="D270" s="7"/>
      <c r="E270" s="8">
        <f t="shared" si="3"/>
        <v>0</v>
      </c>
      <c r="F270" s="10"/>
      <c r="G270" s="10"/>
      <c r="H270" s="9"/>
      <c r="I270" s="7"/>
      <c r="J270" s="7"/>
      <c r="K270" s="7">
        <f ca="1">IFERROR(IF(COUNTA(J$56:J270)=J$54,J270,FORECAST(D270,OFFSET(M$56:M$254,MATCH(D270,L$56:L$254,1)-1,0,2), OFFSET(L$56:L$254,MATCH(D270,L$56:L$254,1)-1,0,2))),"")</f>
        <v>0</v>
      </c>
      <c r="L270" s="7" t="str">
        <f t="array" ref="L270">IFERROR(INDEX(D$56:D$1054,SMALL(IF(ISNUMBER(J$56:J$1054),ROW(D$1:D$999),""),ROW(D215))),"")</f>
        <v/>
      </c>
      <c r="M270" s="7" t="str">
        <f t="array" ref="M270">IFERROR(INDEX(J$56:J$1054,SMALL(IF(ISNUMBER(J$56:J$1054),ROW(J$1:J$999),""),ROW(J215))),"")</f>
        <v/>
      </c>
      <c r="N270" s="7"/>
      <c r="O270" s="7"/>
      <c r="P270" s="7"/>
      <c r="Q270" s="7">
        <f ca="1">IFERROR(IF(COUNTA(P$56:P270)=P$54,P270,FORECAST(D270,OFFSET(S$56:S$254,MATCH(D270,R$56:R$254,1)-1,0,2), OFFSET(R$56:R$254,MATCH(D270,R$56:R$254,1)-1,0,2))),"")</f>
        <v>0</v>
      </c>
      <c r="R270" s="7" t="str">
        <f t="array" ref="R270">IFERROR(INDEX(E$56:E$1054,SMALL(IF(ISNUMBER(P$56:P$1054),ROW(E$1:E$999),""),ROW(J215))),"")</f>
        <v/>
      </c>
      <c r="S270" s="7" t="str">
        <f t="array" ref="S270">IFERROR(INDEX(P$56:P$1054,SMALL(IF(ISNUMBER(P$56:P$1054),ROW(P$1:P$999),""),ROW(P215))),"")</f>
        <v/>
      </c>
      <c r="T270" s="7"/>
      <c r="U270" s="7"/>
      <c r="V270" s="7"/>
    </row>
    <row r="271" spans="1:22" x14ac:dyDescent="0.25">
      <c r="A271" s="6"/>
      <c r="B271" s="7"/>
      <c r="C271" s="7"/>
      <c r="D271" s="7"/>
      <c r="E271" s="8">
        <f t="shared" si="3"/>
        <v>0</v>
      </c>
      <c r="F271" s="10"/>
      <c r="G271" s="10"/>
      <c r="H271" s="9"/>
      <c r="I271" s="7"/>
      <c r="J271" s="7"/>
      <c r="K271" s="7">
        <f ca="1">IFERROR(IF(COUNTA(J$56:J271)=J$54,J271,FORECAST(D271,OFFSET(M$56:M$254,MATCH(D271,L$56:L$254,1)-1,0,2), OFFSET(L$56:L$254,MATCH(D271,L$56:L$254,1)-1,0,2))),"")</f>
        <v>0</v>
      </c>
      <c r="L271" s="7" t="str">
        <f t="array" ref="L271">IFERROR(INDEX(D$56:D$1054,SMALL(IF(ISNUMBER(J$56:J$1054),ROW(D$1:D$999),""),ROW(D216))),"")</f>
        <v/>
      </c>
      <c r="M271" s="7" t="str">
        <f t="array" ref="M271">IFERROR(INDEX(J$56:J$1054,SMALL(IF(ISNUMBER(J$56:J$1054),ROW(J$1:J$999),""),ROW(J216))),"")</f>
        <v/>
      </c>
      <c r="N271" s="7"/>
      <c r="O271" s="7"/>
      <c r="P271" s="7"/>
      <c r="Q271" s="7">
        <f ca="1">IFERROR(IF(COUNTA(P$56:P271)=P$54,P271,FORECAST(D271,OFFSET(S$56:S$254,MATCH(D271,R$56:R$254,1)-1,0,2), OFFSET(R$56:R$254,MATCH(D271,R$56:R$254,1)-1,0,2))),"")</f>
        <v>0</v>
      </c>
      <c r="R271" s="7" t="str">
        <f t="array" ref="R271">IFERROR(INDEX(E$56:E$1054,SMALL(IF(ISNUMBER(P$56:P$1054),ROW(E$1:E$999),""),ROW(J216))),"")</f>
        <v/>
      </c>
      <c r="S271" s="7" t="str">
        <f t="array" ref="S271">IFERROR(INDEX(P$56:P$1054,SMALL(IF(ISNUMBER(P$56:P$1054),ROW(P$1:P$999),""),ROW(P216))),"")</f>
        <v/>
      </c>
      <c r="T271" s="7"/>
      <c r="U271" s="7"/>
      <c r="V271" s="7"/>
    </row>
    <row r="272" spans="1:22" x14ac:dyDescent="0.25">
      <c r="A272" s="6"/>
      <c r="B272" s="7"/>
      <c r="C272" s="7"/>
      <c r="D272" s="7"/>
      <c r="E272" s="8">
        <f t="shared" si="3"/>
        <v>0</v>
      </c>
      <c r="F272" s="10"/>
      <c r="G272" s="10"/>
      <c r="H272" s="9"/>
      <c r="I272" s="7"/>
      <c r="J272" s="7"/>
      <c r="K272" s="7">
        <f ca="1">IFERROR(IF(COUNTA(J$56:J272)=J$54,J272,FORECAST(D272,OFFSET(M$56:M$254,MATCH(D272,L$56:L$254,1)-1,0,2), OFFSET(L$56:L$254,MATCH(D272,L$56:L$254,1)-1,0,2))),"")</f>
        <v>0</v>
      </c>
      <c r="L272" s="7" t="str">
        <f t="array" ref="L272">IFERROR(INDEX(D$56:D$1054,SMALL(IF(ISNUMBER(J$56:J$1054),ROW(D$1:D$999),""),ROW(D217))),"")</f>
        <v/>
      </c>
      <c r="M272" s="7" t="str">
        <f t="array" ref="M272">IFERROR(INDEX(J$56:J$1054,SMALL(IF(ISNUMBER(J$56:J$1054),ROW(J$1:J$999),""),ROW(J217))),"")</f>
        <v/>
      </c>
      <c r="N272" s="7"/>
      <c r="O272" s="7"/>
      <c r="P272" s="7"/>
      <c r="Q272" s="7">
        <f ca="1">IFERROR(IF(COUNTA(P$56:P272)=P$54,P272,FORECAST(D272,OFFSET(S$56:S$254,MATCH(D272,R$56:R$254,1)-1,0,2), OFFSET(R$56:R$254,MATCH(D272,R$56:R$254,1)-1,0,2))),"")</f>
        <v>0</v>
      </c>
      <c r="R272" s="7" t="str">
        <f t="array" ref="R272">IFERROR(INDEX(E$56:E$1054,SMALL(IF(ISNUMBER(P$56:P$1054),ROW(E$1:E$999),""),ROW(J217))),"")</f>
        <v/>
      </c>
      <c r="S272" s="7" t="str">
        <f t="array" ref="S272">IFERROR(INDEX(P$56:P$1054,SMALL(IF(ISNUMBER(P$56:P$1054),ROW(P$1:P$999),""),ROW(P217))),"")</f>
        <v/>
      </c>
      <c r="T272" s="7"/>
      <c r="U272" s="7"/>
      <c r="V272" s="7"/>
    </row>
    <row r="273" spans="1:22" x14ac:dyDescent="0.25">
      <c r="A273" s="6"/>
      <c r="B273" s="7"/>
      <c r="C273" s="7"/>
      <c r="D273" s="7"/>
      <c r="E273" s="8">
        <f t="shared" si="3"/>
        <v>0</v>
      </c>
      <c r="F273" s="10"/>
      <c r="G273" s="10"/>
      <c r="H273" s="9"/>
      <c r="I273" s="7"/>
      <c r="J273" s="7"/>
      <c r="K273" s="7">
        <f ca="1">IFERROR(IF(COUNTA(J$56:J273)=J$54,J273,FORECAST(D273,OFFSET(M$56:M$254,MATCH(D273,L$56:L$254,1)-1,0,2), OFFSET(L$56:L$254,MATCH(D273,L$56:L$254,1)-1,0,2))),"")</f>
        <v>0</v>
      </c>
      <c r="L273" s="7" t="str">
        <f t="array" ref="L273">IFERROR(INDEX(D$56:D$1054,SMALL(IF(ISNUMBER(J$56:J$1054),ROW(D$1:D$999),""),ROW(D218))),"")</f>
        <v/>
      </c>
      <c r="M273" s="7" t="str">
        <f t="array" ref="M273">IFERROR(INDEX(J$56:J$1054,SMALL(IF(ISNUMBER(J$56:J$1054),ROW(J$1:J$999),""),ROW(J218))),"")</f>
        <v/>
      </c>
      <c r="N273" s="7"/>
      <c r="O273" s="7"/>
      <c r="P273" s="7"/>
      <c r="Q273" s="7">
        <f ca="1">IFERROR(IF(COUNTA(P$56:P273)=P$54,P273,FORECAST(D273,OFFSET(S$56:S$254,MATCH(D273,R$56:R$254,1)-1,0,2), OFFSET(R$56:R$254,MATCH(D273,R$56:R$254,1)-1,0,2))),"")</f>
        <v>0</v>
      </c>
      <c r="R273" s="7" t="str">
        <f t="array" ref="R273">IFERROR(INDEX(E$56:E$1054,SMALL(IF(ISNUMBER(P$56:P$1054),ROW(E$1:E$999),""),ROW(J218))),"")</f>
        <v/>
      </c>
      <c r="S273" s="7" t="str">
        <f t="array" ref="S273">IFERROR(INDEX(P$56:P$1054,SMALL(IF(ISNUMBER(P$56:P$1054),ROW(P$1:P$999),""),ROW(P218))),"")</f>
        <v/>
      </c>
      <c r="T273" s="7"/>
      <c r="U273" s="7"/>
      <c r="V273" s="7"/>
    </row>
    <row r="274" spans="1:22" x14ac:dyDescent="0.25">
      <c r="A274" s="6"/>
      <c r="B274" s="7"/>
      <c r="C274" s="7"/>
      <c r="D274" s="7"/>
      <c r="E274" s="8">
        <f t="shared" si="3"/>
        <v>0</v>
      </c>
      <c r="F274" s="10"/>
      <c r="G274" s="10"/>
      <c r="H274" s="9"/>
      <c r="I274" s="7"/>
      <c r="J274" s="7"/>
      <c r="K274" s="7">
        <f ca="1">IFERROR(IF(COUNTA(J$56:J274)=J$54,J274,FORECAST(D274,OFFSET(M$56:M$254,MATCH(D274,L$56:L$254,1)-1,0,2), OFFSET(L$56:L$254,MATCH(D274,L$56:L$254,1)-1,0,2))),"")</f>
        <v>0</v>
      </c>
      <c r="L274" s="7" t="str">
        <f t="array" ref="L274">IFERROR(INDEX(D$56:D$1054,SMALL(IF(ISNUMBER(J$56:J$1054),ROW(D$1:D$999),""),ROW(D219))),"")</f>
        <v/>
      </c>
      <c r="M274" s="7" t="str">
        <f t="array" ref="M274">IFERROR(INDEX(J$56:J$1054,SMALL(IF(ISNUMBER(J$56:J$1054),ROW(J$1:J$999),""),ROW(J219))),"")</f>
        <v/>
      </c>
      <c r="N274" s="7"/>
      <c r="O274" s="7"/>
      <c r="P274" s="7"/>
      <c r="Q274" s="7">
        <f ca="1">IFERROR(IF(COUNTA(P$56:P274)=P$54,P274,FORECAST(D274,OFFSET(S$56:S$254,MATCH(D274,R$56:R$254,1)-1,0,2), OFFSET(R$56:R$254,MATCH(D274,R$56:R$254,1)-1,0,2))),"")</f>
        <v>0</v>
      </c>
      <c r="R274" s="7" t="str">
        <f t="array" ref="R274">IFERROR(INDEX(E$56:E$1054,SMALL(IF(ISNUMBER(P$56:P$1054),ROW(E$1:E$999),""),ROW(J219))),"")</f>
        <v/>
      </c>
      <c r="S274" s="7" t="str">
        <f t="array" ref="S274">IFERROR(INDEX(P$56:P$1054,SMALL(IF(ISNUMBER(P$56:P$1054),ROW(P$1:P$999),""),ROW(P219))),"")</f>
        <v/>
      </c>
      <c r="T274" s="7"/>
      <c r="U274" s="7"/>
      <c r="V274" s="7"/>
    </row>
    <row r="275" spans="1:22" x14ac:dyDescent="0.25">
      <c r="A275" s="6"/>
      <c r="B275" s="7"/>
      <c r="C275" s="7"/>
      <c r="D275" s="7"/>
      <c r="E275" s="8">
        <f t="shared" si="3"/>
        <v>0</v>
      </c>
      <c r="F275" s="10"/>
      <c r="G275" s="10"/>
      <c r="H275" s="9"/>
      <c r="I275" s="7"/>
      <c r="J275" s="7"/>
      <c r="K275" s="7">
        <f ca="1">IFERROR(IF(COUNTA(J$56:J275)=J$54,J275,FORECAST(D275,OFFSET(M$56:M$254,MATCH(D275,L$56:L$254,1)-1,0,2), OFFSET(L$56:L$254,MATCH(D275,L$56:L$254,1)-1,0,2))),"")</f>
        <v>0</v>
      </c>
      <c r="L275" s="7" t="str">
        <f t="array" ref="L275">IFERROR(INDEX(D$56:D$1054,SMALL(IF(ISNUMBER(J$56:J$1054),ROW(D$1:D$999),""),ROW(D220))),"")</f>
        <v/>
      </c>
      <c r="M275" s="7" t="str">
        <f t="array" ref="M275">IFERROR(INDEX(J$56:J$1054,SMALL(IF(ISNUMBER(J$56:J$1054),ROW(J$1:J$999),""),ROW(J220))),"")</f>
        <v/>
      </c>
      <c r="N275" s="7"/>
      <c r="O275" s="7"/>
      <c r="P275" s="7"/>
      <c r="Q275" s="7">
        <f ca="1">IFERROR(IF(COUNTA(P$56:P275)=P$54,P275,FORECAST(D275,OFFSET(S$56:S$254,MATCH(D275,R$56:R$254,1)-1,0,2), OFFSET(R$56:R$254,MATCH(D275,R$56:R$254,1)-1,0,2))),"")</f>
        <v>0</v>
      </c>
      <c r="R275" s="7" t="str">
        <f t="array" ref="R275">IFERROR(INDEX(E$56:E$1054,SMALL(IF(ISNUMBER(P$56:P$1054),ROW(E$1:E$999),""),ROW(J220))),"")</f>
        <v/>
      </c>
      <c r="S275" s="7" t="str">
        <f t="array" ref="S275">IFERROR(INDEX(P$56:P$1054,SMALL(IF(ISNUMBER(P$56:P$1054),ROW(P$1:P$999),""),ROW(P220))),"")</f>
        <v/>
      </c>
      <c r="T275" s="7"/>
      <c r="U275" s="7"/>
      <c r="V275" s="7"/>
    </row>
    <row r="276" spans="1:22" x14ac:dyDescent="0.25">
      <c r="A276" s="6"/>
      <c r="B276" s="7"/>
      <c r="C276" s="7"/>
      <c r="D276" s="7"/>
      <c r="E276" s="8">
        <f t="shared" si="3"/>
        <v>0</v>
      </c>
      <c r="F276" s="10"/>
      <c r="G276" s="10"/>
      <c r="H276" s="9"/>
      <c r="I276" s="7"/>
      <c r="J276" s="7"/>
      <c r="K276" s="7">
        <f ca="1">IFERROR(IF(COUNTA(J$56:J276)=J$54,J276,FORECAST(D276,OFFSET(M$56:M$254,MATCH(D276,L$56:L$254,1)-1,0,2), OFFSET(L$56:L$254,MATCH(D276,L$56:L$254,1)-1,0,2))),"")</f>
        <v>0</v>
      </c>
      <c r="L276" s="7" t="str">
        <f t="array" ref="L276">IFERROR(INDEX(D$56:D$1054,SMALL(IF(ISNUMBER(J$56:J$1054),ROW(D$1:D$999),""),ROW(D221))),"")</f>
        <v/>
      </c>
      <c r="M276" s="7" t="str">
        <f t="array" ref="M276">IFERROR(INDEX(J$56:J$1054,SMALL(IF(ISNUMBER(J$56:J$1054),ROW(J$1:J$999),""),ROW(J221))),"")</f>
        <v/>
      </c>
      <c r="N276" s="7"/>
      <c r="O276" s="7"/>
      <c r="P276" s="7"/>
      <c r="Q276" s="7">
        <f ca="1">IFERROR(IF(COUNTA(P$56:P276)=P$54,P276,FORECAST(D276,OFFSET(S$56:S$254,MATCH(D276,R$56:R$254,1)-1,0,2), OFFSET(R$56:R$254,MATCH(D276,R$56:R$254,1)-1,0,2))),"")</f>
        <v>0</v>
      </c>
      <c r="R276" s="7" t="str">
        <f t="array" ref="R276">IFERROR(INDEX(E$56:E$1054,SMALL(IF(ISNUMBER(P$56:P$1054),ROW(E$1:E$999),""),ROW(J221))),"")</f>
        <v/>
      </c>
      <c r="S276" s="7" t="str">
        <f t="array" ref="S276">IFERROR(INDEX(P$56:P$1054,SMALL(IF(ISNUMBER(P$56:P$1054),ROW(P$1:P$999),""),ROW(P221))),"")</f>
        <v/>
      </c>
      <c r="T276" s="7"/>
      <c r="U276" s="7"/>
      <c r="V276" s="7"/>
    </row>
    <row r="277" spans="1:22" x14ac:dyDescent="0.25">
      <c r="A277" s="6"/>
      <c r="B277" s="7"/>
      <c r="C277" s="7"/>
      <c r="D277" s="7"/>
      <c r="E277" s="8">
        <f t="shared" si="3"/>
        <v>0</v>
      </c>
      <c r="F277" s="10"/>
      <c r="G277" s="10"/>
      <c r="H277" s="9"/>
      <c r="I277" s="7"/>
      <c r="J277" s="7"/>
      <c r="K277" s="7">
        <f ca="1">IFERROR(IF(COUNTA(J$56:J277)=J$54,J277,FORECAST(D277,OFFSET(M$56:M$254,MATCH(D277,L$56:L$254,1)-1,0,2), OFFSET(L$56:L$254,MATCH(D277,L$56:L$254,1)-1,0,2))),"")</f>
        <v>0</v>
      </c>
      <c r="L277" s="7" t="str">
        <f t="array" ref="L277">IFERROR(INDEX(D$56:D$1054,SMALL(IF(ISNUMBER(J$56:J$1054),ROW(D$1:D$999),""),ROW(D222))),"")</f>
        <v/>
      </c>
      <c r="M277" s="7" t="str">
        <f t="array" ref="M277">IFERROR(INDEX(J$56:J$1054,SMALL(IF(ISNUMBER(J$56:J$1054),ROW(J$1:J$999),""),ROW(J222))),"")</f>
        <v/>
      </c>
      <c r="N277" s="7"/>
      <c r="O277" s="7"/>
      <c r="P277" s="7"/>
      <c r="Q277" s="7">
        <f ca="1">IFERROR(IF(COUNTA(P$56:P277)=P$54,P277,FORECAST(D277,OFFSET(S$56:S$254,MATCH(D277,R$56:R$254,1)-1,0,2), OFFSET(R$56:R$254,MATCH(D277,R$56:R$254,1)-1,0,2))),"")</f>
        <v>0</v>
      </c>
      <c r="R277" s="7" t="str">
        <f t="array" ref="R277">IFERROR(INDEX(E$56:E$1054,SMALL(IF(ISNUMBER(P$56:P$1054),ROW(E$1:E$999),""),ROW(J222))),"")</f>
        <v/>
      </c>
      <c r="S277" s="7" t="str">
        <f t="array" ref="S277">IFERROR(INDEX(P$56:P$1054,SMALL(IF(ISNUMBER(P$56:P$1054),ROW(P$1:P$999),""),ROW(P222))),"")</f>
        <v/>
      </c>
      <c r="T277" s="7"/>
      <c r="U277" s="7"/>
      <c r="V277" s="7"/>
    </row>
    <row r="278" spans="1:22" x14ac:dyDescent="0.25">
      <c r="A278" s="6"/>
      <c r="B278" s="7"/>
      <c r="C278" s="7"/>
      <c r="D278" s="7"/>
      <c r="E278" s="8">
        <f t="shared" si="3"/>
        <v>0</v>
      </c>
      <c r="F278" s="10"/>
      <c r="G278" s="10"/>
      <c r="H278" s="9"/>
      <c r="I278" s="7"/>
      <c r="J278" s="7"/>
      <c r="K278" s="7">
        <f ca="1">IFERROR(IF(COUNTA(J$56:J278)=J$54,J278,FORECAST(D278,OFFSET(M$56:M$254,MATCH(D278,L$56:L$254,1)-1,0,2), OFFSET(L$56:L$254,MATCH(D278,L$56:L$254,1)-1,0,2))),"")</f>
        <v>0</v>
      </c>
      <c r="L278" s="7" t="str">
        <f t="array" ref="L278">IFERROR(INDEX(D$56:D$1054,SMALL(IF(ISNUMBER(J$56:J$1054),ROW(D$1:D$999),""),ROW(D223))),"")</f>
        <v/>
      </c>
      <c r="M278" s="7" t="str">
        <f t="array" ref="M278">IFERROR(INDEX(J$56:J$1054,SMALL(IF(ISNUMBER(J$56:J$1054),ROW(J$1:J$999),""),ROW(J223))),"")</f>
        <v/>
      </c>
      <c r="N278" s="7"/>
      <c r="O278" s="7"/>
      <c r="P278" s="7"/>
      <c r="Q278" s="7">
        <f ca="1">IFERROR(IF(COUNTA(P$56:P278)=P$54,P278,FORECAST(D278,OFFSET(S$56:S$254,MATCH(D278,R$56:R$254,1)-1,0,2), OFFSET(R$56:R$254,MATCH(D278,R$56:R$254,1)-1,0,2))),"")</f>
        <v>0</v>
      </c>
      <c r="R278" s="7" t="str">
        <f t="array" ref="R278">IFERROR(INDEX(E$56:E$1054,SMALL(IF(ISNUMBER(P$56:P$1054),ROW(E$1:E$999),""),ROW(J223))),"")</f>
        <v/>
      </c>
      <c r="S278" s="7" t="str">
        <f t="array" ref="S278">IFERROR(INDEX(P$56:P$1054,SMALL(IF(ISNUMBER(P$56:P$1054),ROW(P$1:P$999),""),ROW(P223))),"")</f>
        <v/>
      </c>
      <c r="T278" s="7"/>
      <c r="U278" s="7"/>
      <c r="V278" s="7"/>
    </row>
    <row r="279" spans="1:22" x14ac:dyDescent="0.25">
      <c r="A279" s="6"/>
      <c r="B279" s="7"/>
      <c r="C279" s="7"/>
      <c r="D279" s="7"/>
      <c r="E279" s="8">
        <f t="shared" si="3"/>
        <v>0</v>
      </c>
      <c r="F279" s="10"/>
      <c r="G279" s="10"/>
      <c r="H279" s="9"/>
      <c r="I279" s="7"/>
      <c r="J279" s="7"/>
      <c r="K279" s="7">
        <f ca="1">IFERROR(IF(COUNTA(J$56:J279)=J$54,J279,FORECAST(D279,OFFSET(M$56:M$254,MATCH(D279,L$56:L$254,1)-1,0,2), OFFSET(L$56:L$254,MATCH(D279,L$56:L$254,1)-1,0,2))),"")</f>
        <v>0</v>
      </c>
      <c r="L279" s="7" t="str">
        <f t="array" ref="L279">IFERROR(INDEX(D$56:D$1054,SMALL(IF(ISNUMBER(J$56:J$1054),ROW(D$1:D$999),""),ROW(D224))),"")</f>
        <v/>
      </c>
      <c r="M279" s="7" t="str">
        <f t="array" ref="M279">IFERROR(INDEX(J$56:J$1054,SMALL(IF(ISNUMBER(J$56:J$1054),ROW(J$1:J$999),""),ROW(J224))),"")</f>
        <v/>
      </c>
      <c r="N279" s="7"/>
      <c r="O279" s="7"/>
      <c r="P279" s="7"/>
      <c r="Q279" s="7">
        <f ca="1">IFERROR(IF(COUNTA(P$56:P279)=P$54,P279,FORECAST(D279,OFFSET(S$56:S$254,MATCH(D279,R$56:R$254,1)-1,0,2), OFFSET(R$56:R$254,MATCH(D279,R$56:R$254,1)-1,0,2))),"")</f>
        <v>0</v>
      </c>
      <c r="R279" s="7" t="str">
        <f t="array" ref="R279">IFERROR(INDEX(E$56:E$1054,SMALL(IF(ISNUMBER(P$56:P$1054),ROW(E$1:E$999),""),ROW(J224))),"")</f>
        <v/>
      </c>
      <c r="S279" s="7" t="str">
        <f t="array" ref="S279">IFERROR(INDEX(P$56:P$1054,SMALL(IF(ISNUMBER(P$56:P$1054),ROW(P$1:P$999),""),ROW(P224))),"")</f>
        <v/>
      </c>
      <c r="T279" s="7"/>
      <c r="U279" s="7"/>
      <c r="V279" s="7"/>
    </row>
    <row r="280" spans="1:22" x14ac:dyDescent="0.25">
      <c r="A280" s="6"/>
      <c r="B280" s="7"/>
      <c r="C280" s="7"/>
      <c r="D280" s="7"/>
      <c r="E280" s="8">
        <f t="shared" si="3"/>
        <v>0</v>
      </c>
      <c r="F280" s="10"/>
      <c r="G280" s="10"/>
      <c r="H280" s="9"/>
      <c r="I280" s="7"/>
      <c r="J280" s="7"/>
      <c r="K280" s="7">
        <f ca="1">IFERROR(IF(COUNTA(J$56:J280)=J$54,J280,FORECAST(D280,OFFSET(M$56:M$254,MATCH(D280,L$56:L$254,1)-1,0,2), OFFSET(L$56:L$254,MATCH(D280,L$56:L$254,1)-1,0,2))),"")</f>
        <v>0</v>
      </c>
      <c r="L280" s="7" t="str">
        <f t="array" ref="L280">IFERROR(INDEX(D$56:D$1054,SMALL(IF(ISNUMBER(J$56:J$1054),ROW(D$1:D$999),""),ROW(D225))),"")</f>
        <v/>
      </c>
      <c r="M280" s="7" t="str">
        <f t="array" ref="M280">IFERROR(INDEX(J$56:J$1054,SMALL(IF(ISNUMBER(J$56:J$1054),ROW(J$1:J$999),""),ROW(J225))),"")</f>
        <v/>
      </c>
      <c r="N280" s="7"/>
      <c r="O280" s="7"/>
      <c r="P280" s="7"/>
      <c r="Q280" s="7">
        <f ca="1">IFERROR(IF(COUNTA(P$56:P280)=P$54,P280,FORECAST(D280,OFFSET(S$56:S$254,MATCH(D280,R$56:R$254,1)-1,0,2), OFFSET(R$56:R$254,MATCH(D280,R$56:R$254,1)-1,0,2))),"")</f>
        <v>0</v>
      </c>
      <c r="R280" s="7" t="str">
        <f t="array" ref="R280">IFERROR(INDEX(E$56:E$1054,SMALL(IF(ISNUMBER(P$56:P$1054),ROW(E$1:E$999),""),ROW(J225))),"")</f>
        <v/>
      </c>
      <c r="S280" s="7" t="str">
        <f t="array" ref="S280">IFERROR(INDEX(P$56:P$1054,SMALL(IF(ISNUMBER(P$56:P$1054),ROW(P$1:P$999),""),ROW(P225))),"")</f>
        <v/>
      </c>
      <c r="T280" s="7"/>
      <c r="U280" s="7"/>
      <c r="V280" s="7"/>
    </row>
    <row r="281" spans="1:22" x14ac:dyDescent="0.25">
      <c r="A281" s="6"/>
      <c r="B281" s="7"/>
      <c r="C281" s="7"/>
      <c r="D281" s="7"/>
      <c r="E281" s="8">
        <f t="shared" si="3"/>
        <v>0</v>
      </c>
      <c r="F281" s="10"/>
      <c r="G281" s="10"/>
      <c r="H281" s="9"/>
      <c r="I281" s="7"/>
      <c r="J281" s="7"/>
      <c r="K281" s="7">
        <f ca="1">IFERROR(IF(COUNTA(J$56:J281)=J$54,J281,FORECAST(D281,OFFSET(M$56:M$254,MATCH(D281,L$56:L$254,1)-1,0,2), OFFSET(L$56:L$254,MATCH(D281,L$56:L$254,1)-1,0,2))),"")</f>
        <v>0</v>
      </c>
      <c r="L281" s="7" t="str">
        <f t="array" ref="L281">IFERROR(INDEX(D$56:D$1054,SMALL(IF(ISNUMBER(J$56:J$1054),ROW(D$1:D$999),""),ROW(D226))),"")</f>
        <v/>
      </c>
      <c r="M281" s="7" t="str">
        <f t="array" ref="M281">IFERROR(INDEX(J$56:J$1054,SMALL(IF(ISNUMBER(J$56:J$1054),ROW(J$1:J$999),""),ROW(J226))),"")</f>
        <v/>
      </c>
      <c r="N281" s="7"/>
      <c r="O281" s="7"/>
      <c r="P281" s="7"/>
      <c r="Q281" s="7">
        <f ca="1">IFERROR(IF(COUNTA(P$56:P281)=P$54,P281,FORECAST(D281,OFFSET(S$56:S$254,MATCH(D281,R$56:R$254,1)-1,0,2), OFFSET(R$56:R$254,MATCH(D281,R$56:R$254,1)-1,0,2))),"")</f>
        <v>0</v>
      </c>
      <c r="R281" s="7" t="str">
        <f t="array" ref="R281">IFERROR(INDEX(E$56:E$1054,SMALL(IF(ISNUMBER(P$56:P$1054),ROW(E$1:E$999),""),ROW(J226))),"")</f>
        <v/>
      </c>
      <c r="S281" s="7" t="str">
        <f t="array" ref="S281">IFERROR(INDEX(P$56:P$1054,SMALL(IF(ISNUMBER(P$56:P$1054),ROW(P$1:P$999),""),ROW(P226))),"")</f>
        <v/>
      </c>
      <c r="T281" s="7"/>
      <c r="U281" s="7"/>
      <c r="V281" s="7"/>
    </row>
    <row r="282" spans="1:22" x14ac:dyDescent="0.25">
      <c r="A282" s="6"/>
      <c r="B282" s="7"/>
      <c r="C282" s="7"/>
      <c r="D282" s="7"/>
      <c r="E282" s="8">
        <f t="shared" si="3"/>
        <v>0</v>
      </c>
      <c r="F282" s="10"/>
      <c r="G282" s="10"/>
      <c r="H282" s="9"/>
      <c r="I282" s="7"/>
      <c r="J282" s="7"/>
      <c r="K282" s="7">
        <f ca="1">IFERROR(IF(COUNTA(J$56:J282)=J$54,J282,FORECAST(D282,OFFSET(M$56:M$254,MATCH(D282,L$56:L$254,1)-1,0,2), OFFSET(L$56:L$254,MATCH(D282,L$56:L$254,1)-1,0,2))),"")</f>
        <v>0</v>
      </c>
      <c r="L282" s="7" t="str">
        <f t="array" ref="L282">IFERROR(INDEX(D$56:D$1054,SMALL(IF(ISNUMBER(J$56:J$1054),ROW(D$1:D$999),""),ROW(D227))),"")</f>
        <v/>
      </c>
      <c r="M282" s="7" t="str">
        <f t="array" ref="M282">IFERROR(INDEX(J$56:J$1054,SMALL(IF(ISNUMBER(J$56:J$1054),ROW(J$1:J$999),""),ROW(J227))),"")</f>
        <v/>
      </c>
      <c r="N282" s="7"/>
      <c r="O282" s="7"/>
      <c r="P282" s="7"/>
      <c r="Q282" s="7">
        <f ca="1">IFERROR(IF(COUNTA(P$56:P282)=P$54,P282,FORECAST(D282,OFFSET(S$56:S$254,MATCH(D282,R$56:R$254,1)-1,0,2), OFFSET(R$56:R$254,MATCH(D282,R$56:R$254,1)-1,0,2))),"")</f>
        <v>0</v>
      </c>
      <c r="R282" s="7" t="str">
        <f t="array" ref="R282">IFERROR(INDEX(E$56:E$1054,SMALL(IF(ISNUMBER(P$56:P$1054),ROW(E$1:E$999),""),ROW(J227))),"")</f>
        <v/>
      </c>
      <c r="S282" s="7" t="str">
        <f t="array" ref="S282">IFERROR(INDEX(P$56:P$1054,SMALL(IF(ISNUMBER(P$56:P$1054),ROW(P$1:P$999),""),ROW(P227))),"")</f>
        <v/>
      </c>
      <c r="T282" s="7"/>
      <c r="U282" s="7"/>
      <c r="V282" s="7"/>
    </row>
    <row r="283" spans="1:22" x14ac:dyDescent="0.25">
      <c r="A283" s="6"/>
      <c r="B283" s="7"/>
      <c r="C283" s="7"/>
      <c r="D283" s="7"/>
      <c r="E283" s="8">
        <f t="shared" si="3"/>
        <v>0</v>
      </c>
      <c r="F283" s="10"/>
      <c r="G283" s="10"/>
      <c r="H283" s="9"/>
      <c r="I283" s="7"/>
      <c r="J283" s="7"/>
      <c r="K283" s="7">
        <f ca="1">IFERROR(IF(COUNTA(J$56:J283)=J$54,J283,FORECAST(D283,OFFSET(M$56:M$254,MATCH(D283,L$56:L$254,1)-1,0,2), OFFSET(L$56:L$254,MATCH(D283,L$56:L$254,1)-1,0,2))),"")</f>
        <v>0</v>
      </c>
      <c r="L283" s="7" t="str">
        <f t="array" ref="L283">IFERROR(INDEX(D$56:D$1054,SMALL(IF(ISNUMBER(J$56:J$1054),ROW(D$1:D$999),""),ROW(D228))),"")</f>
        <v/>
      </c>
      <c r="M283" s="7" t="str">
        <f t="array" ref="M283">IFERROR(INDEX(J$56:J$1054,SMALL(IF(ISNUMBER(J$56:J$1054),ROW(J$1:J$999),""),ROW(J228))),"")</f>
        <v/>
      </c>
      <c r="N283" s="7"/>
      <c r="O283" s="7"/>
      <c r="P283" s="7"/>
      <c r="Q283" s="7">
        <f ca="1">IFERROR(IF(COUNTA(P$56:P283)=P$54,P283,FORECAST(D283,OFFSET(S$56:S$254,MATCH(D283,R$56:R$254,1)-1,0,2), OFFSET(R$56:R$254,MATCH(D283,R$56:R$254,1)-1,0,2))),"")</f>
        <v>0</v>
      </c>
      <c r="R283" s="7" t="str">
        <f t="array" ref="R283">IFERROR(INDEX(E$56:E$1054,SMALL(IF(ISNUMBER(P$56:P$1054),ROW(E$1:E$999),""),ROW(J228))),"")</f>
        <v/>
      </c>
      <c r="S283" s="7" t="str">
        <f t="array" ref="S283">IFERROR(INDEX(P$56:P$1054,SMALL(IF(ISNUMBER(P$56:P$1054),ROW(P$1:P$999),""),ROW(P228))),"")</f>
        <v/>
      </c>
      <c r="T283" s="7"/>
      <c r="U283" s="7"/>
      <c r="V283" s="7"/>
    </row>
    <row r="284" spans="1:22" x14ac:dyDescent="0.25">
      <c r="A284" s="6"/>
      <c r="B284" s="7"/>
      <c r="C284" s="7"/>
      <c r="D284" s="7"/>
      <c r="E284" s="8">
        <f t="shared" si="3"/>
        <v>0</v>
      </c>
      <c r="F284" s="10"/>
      <c r="G284" s="10"/>
      <c r="H284" s="9"/>
      <c r="I284" s="7"/>
      <c r="J284" s="7"/>
      <c r="K284" s="7">
        <f ca="1">IFERROR(IF(COUNTA(J$56:J284)=J$54,J284,FORECAST(D284,OFFSET(M$56:M$254,MATCH(D284,L$56:L$254,1)-1,0,2), OFFSET(L$56:L$254,MATCH(D284,L$56:L$254,1)-1,0,2))),"")</f>
        <v>0</v>
      </c>
      <c r="L284" s="7" t="str">
        <f t="array" ref="L284">IFERROR(INDEX(D$56:D$1054,SMALL(IF(ISNUMBER(J$56:J$1054),ROW(D$1:D$999),""),ROW(D229))),"")</f>
        <v/>
      </c>
      <c r="M284" s="7" t="str">
        <f t="array" ref="M284">IFERROR(INDEX(J$56:J$1054,SMALL(IF(ISNUMBER(J$56:J$1054),ROW(J$1:J$999),""),ROW(J229))),"")</f>
        <v/>
      </c>
      <c r="N284" s="7"/>
      <c r="O284" s="7"/>
      <c r="P284" s="7"/>
      <c r="Q284" s="7">
        <f ca="1">IFERROR(IF(COUNTA(P$56:P284)=P$54,P284,FORECAST(D284,OFFSET(S$56:S$254,MATCH(D284,R$56:R$254,1)-1,0,2), OFFSET(R$56:R$254,MATCH(D284,R$56:R$254,1)-1,0,2))),"")</f>
        <v>0</v>
      </c>
      <c r="R284" s="7" t="str">
        <f t="array" ref="R284">IFERROR(INDEX(E$56:E$1054,SMALL(IF(ISNUMBER(P$56:P$1054),ROW(E$1:E$999),""),ROW(J229))),"")</f>
        <v/>
      </c>
      <c r="S284" s="7" t="str">
        <f t="array" ref="S284">IFERROR(INDEX(P$56:P$1054,SMALL(IF(ISNUMBER(P$56:P$1054),ROW(P$1:P$999),""),ROW(P229))),"")</f>
        <v/>
      </c>
      <c r="T284" s="7"/>
      <c r="U284" s="7"/>
      <c r="V284" s="7"/>
    </row>
    <row r="285" spans="1:22" x14ac:dyDescent="0.25">
      <c r="A285" s="6"/>
      <c r="B285" s="7"/>
      <c r="C285" s="7"/>
      <c r="D285" s="7"/>
      <c r="E285" s="8">
        <f t="shared" si="3"/>
        <v>0</v>
      </c>
      <c r="F285" s="10"/>
      <c r="G285" s="10"/>
      <c r="H285" s="9"/>
      <c r="I285" s="7"/>
      <c r="J285" s="7"/>
      <c r="K285" s="7">
        <f ca="1">IFERROR(IF(COUNTA(J$56:J285)=J$54,J285,FORECAST(D285,OFFSET(M$56:M$254,MATCH(D285,L$56:L$254,1)-1,0,2), OFFSET(L$56:L$254,MATCH(D285,L$56:L$254,1)-1,0,2))),"")</f>
        <v>0</v>
      </c>
      <c r="L285" s="7" t="str">
        <f t="array" ref="L285">IFERROR(INDEX(D$56:D$1054,SMALL(IF(ISNUMBER(J$56:J$1054),ROW(D$1:D$999),""),ROW(D230))),"")</f>
        <v/>
      </c>
      <c r="M285" s="7" t="str">
        <f t="array" ref="M285">IFERROR(INDEX(J$56:J$1054,SMALL(IF(ISNUMBER(J$56:J$1054),ROW(J$1:J$999),""),ROW(J230))),"")</f>
        <v/>
      </c>
      <c r="N285" s="7"/>
      <c r="O285" s="7"/>
      <c r="P285" s="7"/>
      <c r="Q285" s="7">
        <f ca="1">IFERROR(IF(COUNTA(P$56:P285)=P$54,P285,FORECAST(D285,OFFSET(S$56:S$254,MATCH(D285,R$56:R$254,1)-1,0,2), OFFSET(R$56:R$254,MATCH(D285,R$56:R$254,1)-1,0,2))),"")</f>
        <v>0</v>
      </c>
      <c r="R285" s="7" t="str">
        <f t="array" ref="R285">IFERROR(INDEX(E$56:E$1054,SMALL(IF(ISNUMBER(P$56:P$1054),ROW(E$1:E$999),""),ROW(J230))),"")</f>
        <v/>
      </c>
      <c r="S285" s="7" t="str">
        <f t="array" ref="S285">IFERROR(INDEX(P$56:P$1054,SMALL(IF(ISNUMBER(P$56:P$1054),ROW(P$1:P$999),""),ROW(P230))),"")</f>
        <v/>
      </c>
      <c r="T285" s="7"/>
      <c r="U285" s="7"/>
      <c r="V285" s="7"/>
    </row>
    <row r="286" spans="1:22" x14ac:dyDescent="0.25">
      <c r="A286" s="6"/>
      <c r="B286" s="7"/>
      <c r="C286" s="7"/>
      <c r="D286" s="7"/>
      <c r="E286" s="8">
        <f t="shared" si="3"/>
        <v>0</v>
      </c>
      <c r="F286" s="10"/>
      <c r="G286" s="10"/>
      <c r="H286" s="9"/>
      <c r="I286" s="7"/>
      <c r="J286" s="7"/>
      <c r="K286" s="7">
        <f ca="1">IFERROR(IF(COUNTA(J$56:J286)=J$54,J286,FORECAST(D286,OFFSET(M$56:M$254,MATCH(D286,L$56:L$254,1)-1,0,2), OFFSET(L$56:L$254,MATCH(D286,L$56:L$254,1)-1,0,2))),"")</f>
        <v>0</v>
      </c>
      <c r="L286" s="7" t="str">
        <f t="array" ref="L286">IFERROR(INDEX(D$56:D$1054,SMALL(IF(ISNUMBER(J$56:J$1054),ROW(D$1:D$999),""),ROW(D231))),"")</f>
        <v/>
      </c>
      <c r="M286" s="7" t="str">
        <f t="array" ref="M286">IFERROR(INDEX(J$56:J$1054,SMALL(IF(ISNUMBER(J$56:J$1054),ROW(J$1:J$999),""),ROW(J231))),"")</f>
        <v/>
      </c>
      <c r="N286" s="7"/>
      <c r="O286" s="7"/>
      <c r="P286" s="7"/>
      <c r="Q286" s="7">
        <f ca="1">IFERROR(IF(COUNTA(P$56:P286)=P$54,P286,FORECAST(D286,OFFSET(S$56:S$254,MATCH(D286,R$56:R$254,1)-1,0,2), OFFSET(R$56:R$254,MATCH(D286,R$56:R$254,1)-1,0,2))),"")</f>
        <v>0</v>
      </c>
      <c r="R286" s="7" t="str">
        <f t="array" ref="R286">IFERROR(INDEX(E$56:E$1054,SMALL(IF(ISNUMBER(P$56:P$1054),ROW(E$1:E$999),""),ROW(J231))),"")</f>
        <v/>
      </c>
      <c r="S286" s="7" t="str">
        <f t="array" ref="S286">IFERROR(INDEX(P$56:P$1054,SMALL(IF(ISNUMBER(P$56:P$1054),ROW(P$1:P$999),""),ROW(P231))),"")</f>
        <v/>
      </c>
      <c r="T286" s="7"/>
      <c r="U286" s="7"/>
      <c r="V286" s="7"/>
    </row>
    <row r="287" spans="1:22" x14ac:dyDescent="0.25">
      <c r="A287" s="6"/>
      <c r="B287" s="7"/>
      <c r="C287" s="7"/>
      <c r="D287" s="7"/>
      <c r="E287" s="8">
        <f t="shared" si="3"/>
        <v>0</v>
      </c>
      <c r="F287" s="10"/>
      <c r="G287" s="10"/>
      <c r="H287" s="9"/>
      <c r="I287" s="7"/>
      <c r="J287" s="7"/>
      <c r="K287" s="7">
        <f ca="1">IFERROR(IF(COUNTA(J$56:J287)=J$54,J287,FORECAST(D287,OFFSET(M$56:M$254,MATCH(D287,L$56:L$254,1)-1,0,2), OFFSET(L$56:L$254,MATCH(D287,L$56:L$254,1)-1,0,2))),"")</f>
        <v>0</v>
      </c>
      <c r="L287" s="7" t="str">
        <f t="array" ref="L287">IFERROR(INDEX(D$56:D$1054,SMALL(IF(ISNUMBER(J$56:J$1054),ROW(D$1:D$999),""),ROW(D232))),"")</f>
        <v/>
      </c>
      <c r="M287" s="7" t="str">
        <f t="array" ref="M287">IFERROR(INDEX(J$56:J$1054,SMALL(IF(ISNUMBER(J$56:J$1054),ROW(J$1:J$999),""),ROW(J232))),"")</f>
        <v/>
      </c>
      <c r="N287" s="7"/>
      <c r="O287" s="7"/>
      <c r="P287" s="7"/>
      <c r="Q287" s="7">
        <f ca="1">IFERROR(IF(COUNTA(P$56:P287)=P$54,P287,FORECAST(D287,OFFSET(S$56:S$254,MATCH(D287,R$56:R$254,1)-1,0,2), OFFSET(R$56:R$254,MATCH(D287,R$56:R$254,1)-1,0,2))),"")</f>
        <v>0</v>
      </c>
      <c r="R287" s="7" t="str">
        <f t="array" ref="R287">IFERROR(INDEX(E$56:E$1054,SMALL(IF(ISNUMBER(P$56:P$1054),ROW(E$1:E$999),""),ROW(J232))),"")</f>
        <v/>
      </c>
      <c r="S287" s="7" t="str">
        <f t="array" ref="S287">IFERROR(INDEX(P$56:P$1054,SMALL(IF(ISNUMBER(P$56:P$1054),ROW(P$1:P$999),""),ROW(P232))),"")</f>
        <v/>
      </c>
      <c r="T287" s="7"/>
      <c r="U287" s="7"/>
      <c r="V287" s="7"/>
    </row>
    <row r="288" spans="1:22" x14ac:dyDescent="0.25">
      <c r="A288" s="6"/>
      <c r="B288" s="7"/>
      <c r="C288" s="7"/>
      <c r="D288" s="7"/>
      <c r="E288" s="8">
        <f t="shared" si="3"/>
        <v>0</v>
      </c>
      <c r="F288" s="10"/>
      <c r="G288" s="10"/>
      <c r="H288" s="9"/>
      <c r="I288" s="7"/>
      <c r="J288" s="7"/>
      <c r="K288" s="7">
        <f ca="1">IFERROR(IF(COUNTA(J$56:J288)=J$54,J288,FORECAST(D288,OFFSET(M$56:M$254,MATCH(D288,L$56:L$254,1)-1,0,2), OFFSET(L$56:L$254,MATCH(D288,L$56:L$254,1)-1,0,2))),"")</f>
        <v>0</v>
      </c>
      <c r="L288" s="7" t="str">
        <f t="array" ref="L288">IFERROR(INDEX(D$56:D$1054,SMALL(IF(ISNUMBER(J$56:J$1054),ROW(D$1:D$999),""),ROW(D233))),"")</f>
        <v/>
      </c>
      <c r="M288" s="7" t="str">
        <f t="array" ref="M288">IFERROR(INDEX(J$56:J$1054,SMALL(IF(ISNUMBER(J$56:J$1054),ROW(J$1:J$999),""),ROW(J233))),"")</f>
        <v/>
      </c>
      <c r="N288" s="7"/>
      <c r="O288" s="7"/>
      <c r="P288" s="7"/>
      <c r="Q288" s="7">
        <f ca="1">IFERROR(IF(COUNTA(P$56:P288)=P$54,P288,FORECAST(D288,OFFSET(S$56:S$254,MATCH(D288,R$56:R$254,1)-1,0,2), OFFSET(R$56:R$254,MATCH(D288,R$56:R$254,1)-1,0,2))),"")</f>
        <v>0</v>
      </c>
      <c r="R288" s="7" t="str">
        <f t="array" ref="R288">IFERROR(INDEX(E$56:E$1054,SMALL(IF(ISNUMBER(P$56:P$1054),ROW(E$1:E$999),""),ROW(J233))),"")</f>
        <v/>
      </c>
      <c r="S288" s="7" t="str">
        <f t="array" ref="S288">IFERROR(INDEX(P$56:P$1054,SMALL(IF(ISNUMBER(P$56:P$1054),ROW(P$1:P$999),""),ROW(P233))),"")</f>
        <v/>
      </c>
      <c r="T288" s="7"/>
      <c r="U288" s="7"/>
      <c r="V288" s="7"/>
    </row>
    <row r="289" spans="1:22" x14ac:dyDescent="0.25">
      <c r="A289" s="6"/>
      <c r="B289" s="7"/>
      <c r="C289" s="7"/>
      <c r="D289" s="7"/>
      <c r="E289" s="8">
        <f t="shared" si="3"/>
        <v>0</v>
      </c>
      <c r="F289" s="10"/>
      <c r="G289" s="10"/>
      <c r="H289" s="9"/>
      <c r="I289" s="7"/>
      <c r="J289" s="7"/>
      <c r="K289" s="7">
        <f ca="1">IFERROR(IF(COUNTA(J$56:J289)=J$54,J289,FORECAST(D289,OFFSET(M$56:M$254,MATCH(D289,L$56:L$254,1)-1,0,2), OFFSET(L$56:L$254,MATCH(D289,L$56:L$254,1)-1,0,2))),"")</f>
        <v>0</v>
      </c>
      <c r="L289" s="7" t="str">
        <f t="array" ref="L289">IFERROR(INDEX(D$56:D$1054,SMALL(IF(ISNUMBER(J$56:J$1054),ROW(D$1:D$999),""),ROW(D234))),"")</f>
        <v/>
      </c>
      <c r="M289" s="7" t="str">
        <f t="array" ref="M289">IFERROR(INDEX(J$56:J$1054,SMALL(IF(ISNUMBER(J$56:J$1054),ROW(J$1:J$999),""),ROW(J234))),"")</f>
        <v/>
      </c>
      <c r="N289" s="7"/>
      <c r="O289" s="7"/>
      <c r="P289" s="7"/>
      <c r="Q289" s="7">
        <f ca="1">IFERROR(IF(COUNTA(P$56:P289)=P$54,P289,FORECAST(D289,OFFSET(S$56:S$254,MATCH(D289,R$56:R$254,1)-1,0,2), OFFSET(R$56:R$254,MATCH(D289,R$56:R$254,1)-1,0,2))),"")</f>
        <v>0</v>
      </c>
      <c r="R289" s="7" t="str">
        <f t="array" ref="R289">IFERROR(INDEX(E$56:E$1054,SMALL(IF(ISNUMBER(P$56:P$1054),ROW(E$1:E$999),""),ROW(J234))),"")</f>
        <v/>
      </c>
      <c r="S289" s="7" t="str">
        <f t="array" ref="S289">IFERROR(INDEX(P$56:P$1054,SMALL(IF(ISNUMBER(P$56:P$1054),ROW(P$1:P$999),""),ROW(P234))),"")</f>
        <v/>
      </c>
      <c r="T289" s="7"/>
      <c r="U289" s="7"/>
      <c r="V289" s="7"/>
    </row>
    <row r="290" spans="1:22" x14ac:dyDescent="0.25">
      <c r="A290" s="6"/>
      <c r="B290" s="7"/>
      <c r="C290" s="7"/>
      <c r="D290" s="7"/>
      <c r="E290" s="8">
        <f t="shared" si="3"/>
        <v>0</v>
      </c>
      <c r="F290" s="10"/>
      <c r="G290" s="10"/>
      <c r="H290" s="9"/>
      <c r="I290" s="7"/>
      <c r="J290" s="7"/>
      <c r="K290" s="7">
        <f ca="1">IFERROR(IF(COUNTA(J$56:J290)=J$54,J290,FORECAST(D290,OFFSET(M$56:M$254,MATCH(D290,L$56:L$254,1)-1,0,2), OFFSET(L$56:L$254,MATCH(D290,L$56:L$254,1)-1,0,2))),"")</f>
        <v>0</v>
      </c>
      <c r="L290" s="7" t="str">
        <f t="array" ref="L290">IFERROR(INDEX(D$56:D$1054,SMALL(IF(ISNUMBER(J$56:J$1054),ROW(D$1:D$999),""),ROW(D235))),"")</f>
        <v/>
      </c>
      <c r="M290" s="7" t="str">
        <f t="array" ref="M290">IFERROR(INDEX(J$56:J$1054,SMALL(IF(ISNUMBER(J$56:J$1054),ROW(J$1:J$999),""),ROW(J235))),"")</f>
        <v/>
      </c>
      <c r="N290" s="7"/>
      <c r="O290" s="7"/>
      <c r="P290" s="7"/>
      <c r="Q290" s="7">
        <f ca="1">IFERROR(IF(COUNTA(P$56:P290)=P$54,P290,FORECAST(D290,OFFSET(S$56:S$254,MATCH(D290,R$56:R$254,1)-1,0,2), OFFSET(R$56:R$254,MATCH(D290,R$56:R$254,1)-1,0,2))),"")</f>
        <v>0</v>
      </c>
      <c r="R290" s="7" t="str">
        <f t="array" ref="R290">IFERROR(INDEX(E$56:E$1054,SMALL(IF(ISNUMBER(P$56:P$1054),ROW(E$1:E$999),""),ROW(J235))),"")</f>
        <v/>
      </c>
      <c r="S290" s="7" t="str">
        <f t="array" ref="S290">IFERROR(INDEX(P$56:P$1054,SMALL(IF(ISNUMBER(P$56:P$1054),ROW(P$1:P$999),""),ROW(P235))),"")</f>
        <v/>
      </c>
      <c r="T290" s="7"/>
      <c r="U290" s="7"/>
      <c r="V290" s="7"/>
    </row>
    <row r="291" spans="1:22" x14ac:dyDescent="0.25">
      <c r="A291" s="6"/>
      <c r="B291" s="7"/>
      <c r="C291" s="7"/>
      <c r="D291" s="7"/>
      <c r="E291" s="8">
        <f t="shared" si="3"/>
        <v>0</v>
      </c>
      <c r="F291" s="10"/>
      <c r="G291" s="10"/>
      <c r="H291" s="9"/>
      <c r="I291" s="7"/>
      <c r="J291" s="7"/>
      <c r="K291" s="7">
        <f ca="1">IFERROR(IF(COUNTA(J$56:J291)=J$54,J291,FORECAST(D291,OFFSET(M$56:M$254,MATCH(D291,L$56:L$254,1)-1,0,2), OFFSET(L$56:L$254,MATCH(D291,L$56:L$254,1)-1,0,2))),"")</f>
        <v>0</v>
      </c>
      <c r="L291" s="7" t="str">
        <f t="array" ref="L291">IFERROR(INDEX(D$56:D$1054,SMALL(IF(ISNUMBER(J$56:J$1054),ROW(D$1:D$999),""),ROW(D236))),"")</f>
        <v/>
      </c>
      <c r="M291" s="7" t="str">
        <f t="array" ref="M291">IFERROR(INDEX(J$56:J$1054,SMALL(IF(ISNUMBER(J$56:J$1054),ROW(J$1:J$999),""),ROW(J236))),"")</f>
        <v/>
      </c>
      <c r="N291" s="7"/>
      <c r="O291" s="7"/>
      <c r="P291" s="7"/>
      <c r="Q291" s="7">
        <f ca="1">IFERROR(IF(COUNTA(P$56:P291)=P$54,P291,FORECAST(D291,OFFSET(S$56:S$254,MATCH(D291,R$56:R$254,1)-1,0,2), OFFSET(R$56:R$254,MATCH(D291,R$56:R$254,1)-1,0,2))),"")</f>
        <v>0</v>
      </c>
      <c r="R291" s="7" t="str">
        <f t="array" ref="R291">IFERROR(INDEX(E$56:E$1054,SMALL(IF(ISNUMBER(P$56:P$1054),ROW(E$1:E$999),""),ROW(J236))),"")</f>
        <v/>
      </c>
      <c r="S291" s="7" t="str">
        <f t="array" ref="S291">IFERROR(INDEX(P$56:P$1054,SMALL(IF(ISNUMBER(P$56:P$1054),ROW(P$1:P$999),""),ROW(P236))),"")</f>
        <v/>
      </c>
      <c r="T291" s="7"/>
      <c r="U291" s="7"/>
      <c r="V291" s="7"/>
    </row>
    <row r="292" spans="1:22" x14ac:dyDescent="0.25">
      <c r="A292" s="6"/>
      <c r="B292" s="7"/>
      <c r="C292" s="7"/>
      <c r="D292" s="7"/>
      <c r="E292" s="8">
        <f t="shared" si="3"/>
        <v>0</v>
      </c>
      <c r="F292" s="10"/>
      <c r="G292" s="10"/>
      <c r="H292" s="9"/>
      <c r="I292" s="7"/>
      <c r="J292" s="7"/>
      <c r="K292" s="7">
        <f ca="1">IFERROR(IF(COUNTA(J$56:J292)=J$54,J292,FORECAST(D292,OFFSET(M$56:M$254,MATCH(D292,L$56:L$254,1)-1,0,2), OFFSET(L$56:L$254,MATCH(D292,L$56:L$254,1)-1,0,2))),"")</f>
        <v>0</v>
      </c>
      <c r="L292" s="7" t="str">
        <f t="array" ref="L292">IFERROR(INDEX(D$56:D$1054,SMALL(IF(ISNUMBER(J$56:J$1054),ROW(D$1:D$999),""),ROW(D237))),"")</f>
        <v/>
      </c>
      <c r="M292" s="7" t="str">
        <f t="array" ref="M292">IFERROR(INDEX(J$56:J$1054,SMALL(IF(ISNUMBER(J$56:J$1054),ROW(J$1:J$999),""),ROW(J237))),"")</f>
        <v/>
      </c>
      <c r="N292" s="7"/>
      <c r="O292" s="7"/>
      <c r="P292" s="7"/>
      <c r="Q292" s="7">
        <f ca="1">IFERROR(IF(COUNTA(P$56:P292)=P$54,P292,FORECAST(D292,OFFSET(S$56:S$254,MATCH(D292,R$56:R$254,1)-1,0,2), OFFSET(R$56:R$254,MATCH(D292,R$56:R$254,1)-1,0,2))),"")</f>
        <v>0</v>
      </c>
      <c r="R292" s="7" t="str">
        <f t="array" ref="R292">IFERROR(INDEX(E$56:E$1054,SMALL(IF(ISNUMBER(P$56:P$1054),ROW(E$1:E$999),""),ROW(J237))),"")</f>
        <v/>
      </c>
      <c r="S292" s="7" t="str">
        <f t="array" ref="S292">IFERROR(INDEX(P$56:P$1054,SMALL(IF(ISNUMBER(P$56:P$1054),ROW(P$1:P$999),""),ROW(P237))),"")</f>
        <v/>
      </c>
      <c r="T292" s="7"/>
      <c r="U292" s="7"/>
      <c r="V292" s="7"/>
    </row>
    <row r="293" spans="1:22" x14ac:dyDescent="0.25">
      <c r="A293" s="6"/>
      <c r="B293" s="7"/>
      <c r="C293" s="7"/>
      <c r="D293" s="7"/>
      <c r="E293" s="8">
        <f t="shared" si="3"/>
        <v>0</v>
      </c>
      <c r="F293" s="10"/>
      <c r="G293" s="10"/>
      <c r="H293" s="9"/>
      <c r="I293" s="7"/>
      <c r="J293" s="7"/>
      <c r="K293" s="7">
        <f ca="1">IFERROR(IF(COUNTA(J$56:J293)=J$54,J293,FORECAST(D293,OFFSET(M$56:M$254,MATCH(D293,L$56:L$254,1)-1,0,2), OFFSET(L$56:L$254,MATCH(D293,L$56:L$254,1)-1,0,2))),"")</f>
        <v>0</v>
      </c>
      <c r="L293" s="7" t="str">
        <f t="array" ref="L293">IFERROR(INDEX(D$56:D$1054,SMALL(IF(ISNUMBER(J$56:J$1054),ROW(D$1:D$999),""),ROW(D238))),"")</f>
        <v/>
      </c>
      <c r="M293" s="7" t="str">
        <f t="array" ref="M293">IFERROR(INDEX(J$56:J$1054,SMALL(IF(ISNUMBER(J$56:J$1054),ROW(J$1:J$999),""),ROW(J238))),"")</f>
        <v/>
      </c>
      <c r="N293" s="7"/>
      <c r="O293" s="7"/>
      <c r="P293" s="7"/>
      <c r="Q293" s="7">
        <f ca="1">IFERROR(IF(COUNTA(P$56:P293)=P$54,P293,FORECAST(D293,OFFSET(S$56:S$254,MATCH(D293,R$56:R$254,1)-1,0,2), OFFSET(R$56:R$254,MATCH(D293,R$56:R$254,1)-1,0,2))),"")</f>
        <v>0</v>
      </c>
      <c r="R293" s="7" t="str">
        <f t="array" ref="R293">IFERROR(INDEX(E$56:E$1054,SMALL(IF(ISNUMBER(P$56:P$1054),ROW(E$1:E$999),""),ROW(J238))),"")</f>
        <v/>
      </c>
      <c r="S293" s="7" t="str">
        <f t="array" ref="S293">IFERROR(INDEX(P$56:P$1054,SMALL(IF(ISNUMBER(P$56:P$1054),ROW(P$1:P$999),""),ROW(P238))),"")</f>
        <v/>
      </c>
      <c r="T293" s="7"/>
      <c r="U293" s="7"/>
      <c r="V293" s="7"/>
    </row>
    <row r="294" spans="1:22" x14ac:dyDescent="0.25">
      <c r="A294" s="6"/>
      <c r="B294" s="7"/>
      <c r="C294" s="7"/>
      <c r="D294" s="7"/>
      <c r="E294" s="8">
        <f t="shared" si="3"/>
        <v>0</v>
      </c>
      <c r="F294" s="10"/>
      <c r="G294" s="10"/>
      <c r="H294" s="9"/>
      <c r="I294" s="7"/>
      <c r="J294" s="7"/>
      <c r="K294" s="7">
        <f ca="1">IFERROR(IF(COUNTA(J$56:J294)=J$54,J294,FORECAST(D294,OFFSET(M$56:M$254,MATCH(D294,L$56:L$254,1)-1,0,2), OFFSET(L$56:L$254,MATCH(D294,L$56:L$254,1)-1,0,2))),"")</f>
        <v>0</v>
      </c>
      <c r="L294" s="7" t="str">
        <f t="array" ref="L294">IFERROR(INDEX(D$56:D$1054,SMALL(IF(ISNUMBER(J$56:J$1054),ROW(D$1:D$999),""),ROW(D239))),"")</f>
        <v/>
      </c>
      <c r="M294" s="7" t="str">
        <f t="array" ref="M294">IFERROR(INDEX(J$56:J$1054,SMALL(IF(ISNUMBER(J$56:J$1054),ROW(J$1:J$999),""),ROW(J239))),"")</f>
        <v/>
      </c>
      <c r="N294" s="7"/>
      <c r="O294" s="7"/>
      <c r="P294" s="7"/>
      <c r="Q294" s="7">
        <f ca="1">IFERROR(IF(COUNTA(P$56:P294)=P$54,P294,FORECAST(D294,OFFSET(S$56:S$254,MATCH(D294,R$56:R$254,1)-1,0,2), OFFSET(R$56:R$254,MATCH(D294,R$56:R$254,1)-1,0,2))),"")</f>
        <v>0</v>
      </c>
      <c r="R294" s="7" t="str">
        <f t="array" ref="R294">IFERROR(INDEX(E$56:E$1054,SMALL(IF(ISNUMBER(P$56:P$1054),ROW(E$1:E$999),""),ROW(J239))),"")</f>
        <v/>
      </c>
      <c r="S294" s="7" t="str">
        <f t="array" ref="S294">IFERROR(INDEX(P$56:P$1054,SMALL(IF(ISNUMBER(P$56:P$1054),ROW(P$1:P$999),""),ROW(P239))),"")</f>
        <v/>
      </c>
      <c r="T294" s="7"/>
      <c r="U294" s="7"/>
      <c r="V294" s="7"/>
    </row>
    <row r="295" spans="1:22" x14ac:dyDescent="0.25">
      <c r="A295" s="6"/>
      <c r="B295" s="7"/>
      <c r="C295" s="7"/>
      <c r="D295" s="7"/>
      <c r="E295" s="8">
        <f t="shared" si="3"/>
        <v>0</v>
      </c>
      <c r="F295" s="10"/>
      <c r="G295" s="10"/>
      <c r="H295" s="9"/>
      <c r="I295" s="7"/>
      <c r="J295" s="7"/>
      <c r="K295" s="7">
        <f ca="1">IFERROR(IF(COUNTA(J$56:J295)=J$54,J295,FORECAST(D295,OFFSET(M$56:M$254,MATCH(D295,L$56:L$254,1)-1,0,2), OFFSET(L$56:L$254,MATCH(D295,L$56:L$254,1)-1,0,2))),"")</f>
        <v>0</v>
      </c>
      <c r="L295" s="7" t="str">
        <f t="array" ref="L295">IFERROR(INDEX(D$56:D$1054,SMALL(IF(ISNUMBER(J$56:J$1054),ROW(D$1:D$999),""),ROW(D240))),"")</f>
        <v/>
      </c>
      <c r="M295" s="7" t="str">
        <f t="array" ref="M295">IFERROR(INDEX(J$56:J$1054,SMALL(IF(ISNUMBER(J$56:J$1054),ROW(J$1:J$999),""),ROW(J240))),"")</f>
        <v/>
      </c>
      <c r="N295" s="7"/>
      <c r="O295" s="7"/>
      <c r="P295" s="7"/>
      <c r="Q295" s="7">
        <f ca="1">IFERROR(IF(COUNTA(P$56:P295)=P$54,P295,FORECAST(D295,OFFSET(S$56:S$254,MATCH(D295,R$56:R$254,1)-1,0,2), OFFSET(R$56:R$254,MATCH(D295,R$56:R$254,1)-1,0,2))),"")</f>
        <v>0</v>
      </c>
      <c r="R295" s="7" t="str">
        <f t="array" ref="R295">IFERROR(INDEX(E$56:E$1054,SMALL(IF(ISNUMBER(P$56:P$1054),ROW(E$1:E$999),""),ROW(J240))),"")</f>
        <v/>
      </c>
      <c r="S295" s="7" t="str">
        <f t="array" ref="S295">IFERROR(INDEX(P$56:P$1054,SMALL(IF(ISNUMBER(P$56:P$1054),ROW(P$1:P$999),""),ROW(P240))),"")</f>
        <v/>
      </c>
      <c r="T295" s="7"/>
      <c r="U295" s="7"/>
      <c r="V295" s="7"/>
    </row>
    <row r="296" spans="1:22" x14ac:dyDescent="0.25">
      <c r="A296" s="6"/>
      <c r="B296" s="7"/>
      <c r="C296" s="7"/>
      <c r="D296" s="7"/>
      <c r="E296" s="8">
        <f t="shared" si="3"/>
        <v>0</v>
      </c>
      <c r="F296" s="10"/>
      <c r="G296" s="10"/>
      <c r="H296" s="9"/>
      <c r="I296" s="7"/>
      <c r="J296" s="7"/>
      <c r="K296" s="7">
        <f ca="1">IFERROR(IF(COUNTA(J$56:J296)=J$54,J296,FORECAST(D296,OFFSET(M$56:M$254,MATCH(D296,L$56:L$254,1)-1,0,2), OFFSET(L$56:L$254,MATCH(D296,L$56:L$254,1)-1,0,2))),"")</f>
        <v>0</v>
      </c>
      <c r="L296" s="7" t="str">
        <f t="array" ref="L296">IFERROR(INDEX(D$56:D$1054,SMALL(IF(ISNUMBER(J$56:J$1054),ROW(D$1:D$999),""),ROW(D241))),"")</f>
        <v/>
      </c>
      <c r="M296" s="7" t="str">
        <f t="array" ref="M296">IFERROR(INDEX(J$56:J$1054,SMALL(IF(ISNUMBER(J$56:J$1054),ROW(J$1:J$999),""),ROW(J241))),"")</f>
        <v/>
      </c>
      <c r="N296" s="7"/>
      <c r="O296" s="7"/>
      <c r="P296" s="7"/>
      <c r="Q296" s="7">
        <f ca="1">IFERROR(IF(COUNTA(P$56:P296)=P$54,P296,FORECAST(D296,OFFSET(S$56:S$254,MATCH(D296,R$56:R$254,1)-1,0,2), OFFSET(R$56:R$254,MATCH(D296,R$56:R$254,1)-1,0,2))),"")</f>
        <v>0</v>
      </c>
      <c r="R296" s="7" t="str">
        <f t="array" ref="R296">IFERROR(INDEX(E$56:E$1054,SMALL(IF(ISNUMBER(P$56:P$1054),ROW(E$1:E$999),""),ROW(J241))),"")</f>
        <v/>
      </c>
      <c r="S296" s="7" t="str">
        <f t="array" ref="S296">IFERROR(INDEX(P$56:P$1054,SMALL(IF(ISNUMBER(P$56:P$1054),ROW(P$1:P$999),""),ROW(P241))),"")</f>
        <v/>
      </c>
      <c r="T296" s="7"/>
      <c r="U296" s="7"/>
      <c r="V296" s="7"/>
    </row>
    <row r="297" spans="1:22" x14ac:dyDescent="0.25">
      <c r="A297" s="6"/>
      <c r="B297" s="7"/>
      <c r="C297" s="7"/>
      <c r="D297" s="7"/>
      <c r="E297" s="8">
        <f t="shared" si="3"/>
        <v>0</v>
      </c>
      <c r="F297" s="10"/>
      <c r="G297" s="10"/>
      <c r="H297" s="9"/>
      <c r="I297" s="7"/>
      <c r="J297" s="7"/>
      <c r="K297" s="7">
        <f ca="1">IFERROR(IF(COUNTA(J$56:J297)=J$54,J297,FORECAST(D297,OFFSET(M$56:M$254,MATCH(D297,L$56:L$254,1)-1,0,2), OFFSET(L$56:L$254,MATCH(D297,L$56:L$254,1)-1,0,2))),"")</f>
        <v>0</v>
      </c>
      <c r="L297" s="7" t="str">
        <f t="array" ref="L297">IFERROR(INDEX(D$56:D$1054,SMALL(IF(ISNUMBER(J$56:J$1054),ROW(D$1:D$999),""),ROW(D242))),"")</f>
        <v/>
      </c>
      <c r="M297" s="7" t="str">
        <f t="array" ref="M297">IFERROR(INDEX(J$56:J$1054,SMALL(IF(ISNUMBER(J$56:J$1054),ROW(J$1:J$999),""),ROW(J242))),"")</f>
        <v/>
      </c>
      <c r="N297" s="7"/>
      <c r="O297" s="7"/>
      <c r="P297" s="7"/>
      <c r="Q297" s="7">
        <f ca="1">IFERROR(IF(COUNTA(P$56:P297)=P$54,P297,FORECAST(D297,OFFSET(S$56:S$254,MATCH(D297,R$56:R$254,1)-1,0,2), OFFSET(R$56:R$254,MATCH(D297,R$56:R$254,1)-1,0,2))),"")</f>
        <v>0</v>
      </c>
      <c r="R297" s="7" t="str">
        <f t="array" ref="R297">IFERROR(INDEX(E$56:E$1054,SMALL(IF(ISNUMBER(P$56:P$1054),ROW(E$1:E$999),""),ROW(J242))),"")</f>
        <v/>
      </c>
      <c r="S297" s="7" t="str">
        <f t="array" ref="S297">IFERROR(INDEX(P$56:P$1054,SMALL(IF(ISNUMBER(P$56:P$1054),ROW(P$1:P$999),""),ROW(P242))),"")</f>
        <v/>
      </c>
      <c r="T297" s="7"/>
      <c r="U297" s="7"/>
      <c r="V297" s="7"/>
    </row>
    <row r="298" spans="1:22" x14ac:dyDescent="0.25">
      <c r="A298" s="6"/>
      <c r="B298" s="7"/>
      <c r="C298" s="7"/>
      <c r="D298" s="7"/>
      <c r="E298" s="8">
        <f t="shared" si="3"/>
        <v>0</v>
      </c>
      <c r="F298" s="10"/>
      <c r="G298" s="10"/>
      <c r="H298" s="9"/>
      <c r="I298" s="7"/>
      <c r="J298" s="7"/>
      <c r="K298" s="7">
        <f ca="1">IFERROR(IF(COUNTA(J$56:J298)=J$54,J298,FORECAST(D298,OFFSET(M$56:M$254,MATCH(D298,L$56:L$254,1)-1,0,2), OFFSET(L$56:L$254,MATCH(D298,L$56:L$254,1)-1,0,2))),"")</f>
        <v>0</v>
      </c>
      <c r="L298" s="7" t="str">
        <f t="array" ref="L298">IFERROR(INDEX(D$56:D$1054,SMALL(IF(ISNUMBER(J$56:J$1054),ROW(D$1:D$999),""),ROW(D243))),"")</f>
        <v/>
      </c>
      <c r="M298" s="7" t="str">
        <f t="array" ref="M298">IFERROR(INDEX(J$56:J$1054,SMALL(IF(ISNUMBER(J$56:J$1054),ROW(J$1:J$999),""),ROW(J243))),"")</f>
        <v/>
      </c>
      <c r="N298" s="7"/>
      <c r="O298" s="7"/>
      <c r="P298" s="7"/>
      <c r="Q298" s="7">
        <f ca="1">IFERROR(IF(COUNTA(P$56:P298)=P$54,P298,FORECAST(D298,OFFSET(S$56:S$254,MATCH(D298,R$56:R$254,1)-1,0,2), OFFSET(R$56:R$254,MATCH(D298,R$56:R$254,1)-1,0,2))),"")</f>
        <v>0</v>
      </c>
      <c r="R298" s="7" t="str">
        <f t="array" ref="R298">IFERROR(INDEX(E$56:E$1054,SMALL(IF(ISNUMBER(P$56:P$1054),ROW(E$1:E$999),""),ROW(J243))),"")</f>
        <v/>
      </c>
      <c r="S298" s="7" t="str">
        <f t="array" ref="S298">IFERROR(INDEX(P$56:P$1054,SMALL(IF(ISNUMBER(P$56:P$1054),ROW(P$1:P$999),""),ROW(P243))),"")</f>
        <v/>
      </c>
      <c r="T298" s="7"/>
      <c r="U298" s="7"/>
      <c r="V298" s="7"/>
    </row>
    <row r="299" spans="1:22" x14ac:dyDescent="0.25">
      <c r="A299" s="6"/>
      <c r="B299" s="7"/>
      <c r="C299" s="7"/>
      <c r="D299" s="7"/>
      <c r="E299" s="8">
        <f t="shared" si="3"/>
        <v>0</v>
      </c>
      <c r="F299" s="10"/>
      <c r="G299" s="10"/>
      <c r="H299" s="9"/>
      <c r="I299" s="7"/>
      <c r="J299" s="7"/>
      <c r="K299" s="7">
        <f ca="1">IFERROR(IF(COUNTA(J$56:J299)=J$54,J299,FORECAST(D299,OFFSET(M$56:M$254,MATCH(D299,L$56:L$254,1)-1,0,2), OFFSET(L$56:L$254,MATCH(D299,L$56:L$254,1)-1,0,2))),"")</f>
        <v>0</v>
      </c>
      <c r="L299" s="7" t="str">
        <f t="array" ref="L299">IFERROR(INDEX(D$56:D$1054,SMALL(IF(ISNUMBER(J$56:J$1054),ROW(D$1:D$999),""),ROW(D244))),"")</f>
        <v/>
      </c>
      <c r="M299" s="7" t="str">
        <f t="array" ref="M299">IFERROR(INDEX(J$56:J$1054,SMALL(IF(ISNUMBER(J$56:J$1054),ROW(J$1:J$999),""),ROW(J244))),"")</f>
        <v/>
      </c>
      <c r="N299" s="7"/>
      <c r="O299" s="7"/>
      <c r="P299" s="7"/>
      <c r="Q299" s="7">
        <f ca="1">IFERROR(IF(COUNTA(P$56:P299)=P$54,P299,FORECAST(D299,OFFSET(S$56:S$254,MATCH(D299,R$56:R$254,1)-1,0,2), OFFSET(R$56:R$254,MATCH(D299,R$56:R$254,1)-1,0,2))),"")</f>
        <v>0</v>
      </c>
      <c r="R299" s="7" t="str">
        <f t="array" ref="R299">IFERROR(INDEX(E$56:E$1054,SMALL(IF(ISNUMBER(P$56:P$1054),ROW(E$1:E$999),""),ROW(J244))),"")</f>
        <v/>
      </c>
      <c r="S299" s="7" t="str">
        <f t="array" ref="S299">IFERROR(INDEX(P$56:P$1054,SMALL(IF(ISNUMBER(P$56:P$1054),ROW(P$1:P$999),""),ROW(P244))),"")</f>
        <v/>
      </c>
      <c r="T299" s="7"/>
      <c r="U299" s="7"/>
      <c r="V299" s="7"/>
    </row>
    <row r="300" spans="1:22" x14ac:dyDescent="0.25">
      <c r="A300" s="6"/>
      <c r="B300" s="7"/>
      <c r="C300" s="7"/>
      <c r="D300" s="7"/>
      <c r="E300" s="8">
        <f t="shared" si="3"/>
        <v>0</v>
      </c>
      <c r="F300" s="10"/>
      <c r="G300" s="10"/>
      <c r="H300" s="9"/>
      <c r="I300" s="7"/>
      <c r="J300" s="7"/>
      <c r="K300" s="7">
        <f ca="1">IFERROR(IF(COUNTA(J$56:J300)=J$54,J300,FORECAST(D300,OFFSET(M$56:M$254,MATCH(D300,L$56:L$254,1)-1,0,2), OFFSET(L$56:L$254,MATCH(D300,L$56:L$254,1)-1,0,2))),"")</f>
        <v>0</v>
      </c>
      <c r="L300" s="7" t="str">
        <f t="array" ref="L300">IFERROR(INDEX(D$56:D$1054,SMALL(IF(ISNUMBER(J$56:J$1054),ROW(D$1:D$999),""),ROW(D245))),"")</f>
        <v/>
      </c>
      <c r="M300" s="7" t="str">
        <f t="array" ref="M300">IFERROR(INDEX(J$56:J$1054,SMALL(IF(ISNUMBER(J$56:J$1054),ROW(J$1:J$999),""),ROW(J245))),"")</f>
        <v/>
      </c>
      <c r="N300" s="7"/>
      <c r="O300" s="7"/>
      <c r="P300" s="7"/>
      <c r="Q300" s="7">
        <f ca="1">IFERROR(IF(COUNTA(P$56:P300)=P$54,P300,FORECAST(D300,OFFSET(S$56:S$254,MATCH(D300,R$56:R$254,1)-1,0,2), OFFSET(R$56:R$254,MATCH(D300,R$56:R$254,1)-1,0,2))),"")</f>
        <v>0</v>
      </c>
      <c r="R300" s="7" t="str">
        <f t="array" ref="R300">IFERROR(INDEX(E$56:E$1054,SMALL(IF(ISNUMBER(P$56:P$1054),ROW(E$1:E$999),""),ROW(J245))),"")</f>
        <v/>
      </c>
      <c r="S300" s="7" t="str">
        <f t="array" ref="S300">IFERROR(INDEX(P$56:P$1054,SMALL(IF(ISNUMBER(P$56:P$1054),ROW(P$1:P$999),""),ROW(P245))),"")</f>
        <v/>
      </c>
      <c r="T300" s="7"/>
      <c r="U300" s="7"/>
      <c r="V300" s="7"/>
    </row>
    <row r="301" spans="1:22" x14ac:dyDescent="0.25">
      <c r="A301" s="6"/>
      <c r="B301" s="7"/>
      <c r="C301" s="7"/>
      <c r="D301" s="7"/>
      <c r="E301" s="8">
        <f t="shared" si="3"/>
        <v>0</v>
      </c>
      <c r="F301" s="10"/>
      <c r="G301" s="10"/>
      <c r="H301" s="9"/>
      <c r="I301" s="7"/>
      <c r="J301" s="7"/>
      <c r="K301" s="7">
        <f ca="1">IFERROR(IF(COUNTA(J$56:J301)=J$54,J301,FORECAST(D301,OFFSET(M$56:M$254,MATCH(D301,L$56:L$254,1)-1,0,2), OFFSET(L$56:L$254,MATCH(D301,L$56:L$254,1)-1,0,2))),"")</f>
        <v>0</v>
      </c>
      <c r="L301" s="7" t="str">
        <f t="array" ref="L301">IFERROR(INDEX(D$56:D$1054,SMALL(IF(ISNUMBER(J$56:J$1054),ROW(D$1:D$999),""),ROW(D246))),"")</f>
        <v/>
      </c>
      <c r="M301" s="7" t="str">
        <f t="array" ref="M301">IFERROR(INDEX(J$56:J$1054,SMALL(IF(ISNUMBER(J$56:J$1054),ROW(J$1:J$999),""),ROW(J246))),"")</f>
        <v/>
      </c>
      <c r="N301" s="7"/>
      <c r="O301" s="7"/>
      <c r="P301" s="7"/>
      <c r="Q301" s="7">
        <f ca="1">IFERROR(IF(COUNTA(P$56:P301)=P$54,P301,FORECAST(D301,OFFSET(S$56:S$254,MATCH(D301,R$56:R$254,1)-1,0,2), OFFSET(R$56:R$254,MATCH(D301,R$56:R$254,1)-1,0,2))),"")</f>
        <v>0</v>
      </c>
      <c r="R301" s="7" t="str">
        <f t="array" ref="R301">IFERROR(INDEX(E$56:E$1054,SMALL(IF(ISNUMBER(P$56:P$1054),ROW(E$1:E$999),""),ROW(J246))),"")</f>
        <v/>
      </c>
      <c r="S301" s="7" t="str">
        <f t="array" ref="S301">IFERROR(INDEX(P$56:P$1054,SMALL(IF(ISNUMBER(P$56:P$1054),ROW(P$1:P$999),""),ROW(P246))),"")</f>
        <v/>
      </c>
      <c r="T301" s="7"/>
      <c r="U301" s="7"/>
      <c r="V301" s="7"/>
    </row>
    <row r="302" spans="1:22" x14ac:dyDescent="0.25">
      <c r="A302" s="6"/>
      <c r="B302" s="7"/>
      <c r="C302" s="7"/>
      <c r="D302" s="7"/>
      <c r="E302" s="8">
        <f t="shared" si="3"/>
        <v>0</v>
      </c>
      <c r="F302" s="10"/>
      <c r="G302" s="10"/>
      <c r="H302" s="9"/>
      <c r="I302" s="7"/>
      <c r="J302" s="7"/>
      <c r="K302" s="7">
        <f ca="1">IFERROR(IF(COUNTA(J$56:J302)=J$54,J302,FORECAST(D302,OFFSET(M$56:M$254,MATCH(D302,L$56:L$254,1)-1,0,2), OFFSET(L$56:L$254,MATCH(D302,L$56:L$254,1)-1,0,2))),"")</f>
        <v>0</v>
      </c>
      <c r="L302" s="7" t="str">
        <f t="array" ref="L302">IFERROR(INDEX(D$56:D$1054,SMALL(IF(ISNUMBER(J$56:J$1054),ROW(D$1:D$999),""),ROW(D247))),"")</f>
        <v/>
      </c>
      <c r="M302" s="7" t="str">
        <f t="array" ref="M302">IFERROR(INDEX(J$56:J$1054,SMALL(IF(ISNUMBER(J$56:J$1054),ROW(J$1:J$999),""),ROW(J247))),"")</f>
        <v/>
      </c>
      <c r="N302" s="7"/>
      <c r="O302" s="7"/>
      <c r="P302" s="7"/>
      <c r="Q302" s="7">
        <f ca="1">IFERROR(IF(COUNTA(P$56:P302)=P$54,P302,FORECAST(D302,OFFSET(S$56:S$254,MATCH(D302,R$56:R$254,1)-1,0,2), OFFSET(R$56:R$254,MATCH(D302,R$56:R$254,1)-1,0,2))),"")</f>
        <v>0</v>
      </c>
      <c r="R302" s="7" t="str">
        <f t="array" ref="R302">IFERROR(INDEX(E$56:E$1054,SMALL(IF(ISNUMBER(P$56:P$1054),ROW(E$1:E$999),""),ROW(J247))),"")</f>
        <v/>
      </c>
      <c r="S302" s="7" t="str">
        <f t="array" ref="S302">IFERROR(INDEX(P$56:P$1054,SMALL(IF(ISNUMBER(P$56:P$1054),ROW(P$1:P$999),""),ROW(P247))),"")</f>
        <v/>
      </c>
      <c r="T302" s="7"/>
      <c r="U302" s="7"/>
      <c r="V302" s="7"/>
    </row>
    <row r="303" spans="1:22" x14ac:dyDescent="0.25">
      <c r="A303" s="6"/>
      <c r="B303" s="7"/>
      <c r="C303" s="7"/>
      <c r="D303" s="7"/>
      <c r="E303" s="8">
        <f t="shared" si="3"/>
        <v>0</v>
      </c>
      <c r="F303" s="10"/>
      <c r="G303" s="10"/>
      <c r="H303" s="9"/>
      <c r="I303" s="7"/>
      <c r="J303" s="7"/>
      <c r="K303" s="7">
        <f ca="1">IFERROR(IF(COUNTA(J$56:J303)=J$54,J303,FORECAST(D303,OFFSET(M$56:M$254,MATCH(D303,L$56:L$254,1)-1,0,2), OFFSET(L$56:L$254,MATCH(D303,L$56:L$254,1)-1,0,2))),"")</f>
        <v>0</v>
      </c>
      <c r="L303" s="7" t="str">
        <f t="array" ref="L303">IFERROR(INDEX(D$56:D$1054,SMALL(IF(ISNUMBER(J$56:J$1054),ROW(D$1:D$999),""),ROW(D248))),"")</f>
        <v/>
      </c>
      <c r="M303" s="7" t="str">
        <f t="array" ref="M303">IFERROR(INDEX(J$56:J$1054,SMALL(IF(ISNUMBER(J$56:J$1054),ROW(J$1:J$999),""),ROW(J248))),"")</f>
        <v/>
      </c>
      <c r="N303" s="7"/>
      <c r="O303" s="7"/>
      <c r="P303" s="7"/>
      <c r="Q303" s="7">
        <f ca="1">IFERROR(IF(COUNTA(P$56:P303)=P$54,P303,FORECAST(D303,OFFSET(S$56:S$254,MATCH(D303,R$56:R$254,1)-1,0,2), OFFSET(R$56:R$254,MATCH(D303,R$56:R$254,1)-1,0,2))),"")</f>
        <v>0</v>
      </c>
      <c r="R303" s="7" t="str">
        <f t="array" ref="R303">IFERROR(INDEX(E$56:E$1054,SMALL(IF(ISNUMBER(P$56:P$1054),ROW(E$1:E$999),""),ROW(J248))),"")</f>
        <v/>
      </c>
      <c r="S303" s="7" t="str">
        <f t="array" ref="S303">IFERROR(INDEX(P$56:P$1054,SMALL(IF(ISNUMBER(P$56:P$1054),ROW(P$1:P$999),""),ROW(P248))),"")</f>
        <v/>
      </c>
      <c r="T303" s="7"/>
      <c r="U303" s="7"/>
      <c r="V303" s="7"/>
    </row>
    <row r="304" spans="1:22" x14ac:dyDescent="0.25">
      <c r="A304" s="6"/>
      <c r="B304" s="7"/>
      <c r="C304" s="7"/>
      <c r="D304" s="7"/>
      <c r="E304" s="8">
        <f t="shared" si="3"/>
        <v>0</v>
      </c>
      <c r="F304" s="10"/>
      <c r="G304" s="10"/>
      <c r="H304" s="9"/>
      <c r="I304" s="7"/>
      <c r="J304" s="7"/>
      <c r="K304" s="7">
        <f ca="1">IFERROR(IF(COUNTA(J$56:J304)=J$54,J304,FORECAST(D304,OFFSET(M$56:M$254,MATCH(D304,L$56:L$254,1)-1,0,2), OFFSET(L$56:L$254,MATCH(D304,L$56:L$254,1)-1,0,2))),"")</f>
        <v>0</v>
      </c>
      <c r="L304" s="7" t="str">
        <f t="array" ref="L304">IFERROR(INDEX(D$56:D$1054,SMALL(IF(ISNUMBER(J$56:J$1054),ROW(D$1:D$999),""),ROW(D249))),"")</f>
        <v/>
      </c>
      <c r="M304" s="7" t="str">
        <f t="array" ref="M304">IFERROR(INDEX(J$56:J$1054,SMALL(IF(ISNUMBER(J$56:J$1054),ROW(J$1:J$999),""),ROW(J249))),"")</f>
        <v/>
      </c>
      <c r="N304" s="7"/>
      <c r="O304" s="7"/>
      <c r="P304" s="7"/>
      <c r="Q304" s="7">
        <f ca="1">IFERROR(IF(COUNTA(P$56:P304)=P$54,P304,FORECAST(D304,OFFSET(S$56:S$254,MATCH(D304,R$56:R$254,1)-1,0,2), OFFSET(R$56:R$254,MATCH(D304,R$56:R$254,1)-1,0,2))),"")</f>
        <v>0</v>
      </c>
      <c r="R304" s="7" t="str">
        <f t="array" ref="R304">IFERROR(INDEX(E$56:E$1054,SMALL(IF(ISNUMBER(P$56:P$1054),ROW(E$1:E$999),""),ROW(J249))),"")</f>
        <v/>
      </c>
      <c r="S304" s="7" t="str">
        <f t="array" ref="S304">IFERROR(INDEX(P$56:P$1054,SMALL(IF(ISNUMBER(P$56:P$1054),ROW(P$1:P$999),""),ROW(P249))),"")</f>
        <v/>
      </c>
      <c r="T304" s="7"/>
      <c r="U304" s="7"/>
      <c r="V304" s="7"/>
    </row>
    <row r="305" spans="1:22" x14ac:dyDescent="0.25">
      <c r="A305" s="6"/>
      <c r="B305" s="7"/>
      <c r="C305" s="7"/>
      <c r="D305" s="7"/>
      <c r="E305" s="8">
        <f t="shared" si="3"/>
        <v>0</v>
      </c>
      <c r="F305" s="10"/>
      <c r="G305" s="10"/>
      <c r="H305" s="9"/>
      <c r="I305" s="7"/>
      <c r="J305" s="7"/>
      <c r="K305" s="7">
        <f ca="1">IFERROR(IF(COUNTA(J$56:J305)=J$54,J305,FORECAST(D305,OFFSET(M$56:M$254,MATCH(D305,L$56:L$254,1)-1,0,2), OFFSET(L$56:L$254,MATCH(D305,L$56:L$254,1)-1,0,2))),"")</f>
        <v>0</v>
      </c>
      <c r="L305" s="7" t="str">
        <f t="array" ref="L305">IFERROR(INDEX(D$56:D$1054,SMALL(IF(ISNUMBER(J$56:J$1054),ROW(D$1:D$999),""),ROW(D250))),"")</f>
        <v/>
      </c>
      <c r="M305" s="7" t="str">
        <f t="array" ref="M305">IFERROR(INDEX(J$56:J$1054,SMALL(IF(ISNUMBER(J$56:J$1054),ROW(J$1:J$999),""),ROW(J250))),"")</f>
        <v/>
      </c>
      <c r="N305" s="7"/>
      <c r="O305" s="7"/>
      <c r="P305" s="7"/>
      <c r="Q305" s="7">
        <f ca="1">IFERROR(IF(COUNTA(P$56:P305)=P$54,P305,FORECAST(D305,OFFSET(S$56:S$254,MATCH(D305,R$56:R$254,1)-1,0,2), OFFSET(R$56:R$254,MATCH(D305,R$56:R$254,1)-1,0,2))),"")</f>
        <v>0</v>
      </c>
      <c r="R305" s="7" t="str">
        <f t="array" ref="R305">IFERROR(INDEX(E$56:E$1054,SMALL(IF(ISNUMBER(P$56:P$1054),ROW(E$1:E$999),""),ROW(J250))),"")</f>
        <v/>
      </c>
      <c r="S305" s="7" t="str">
        <f t="array" ref="S305">IFERROR(INDEX(P$56:P$1054,SMALL(IF(ISNUMBER(P$56:P$1054),ROW(P$1:P$999),""),ROW(P250))),"")</f>
        <v/>
      </c>
      <c r="T305" s="7"/>
      <c r="U305" s="7"/>
      <c r="V305" s="7"/>
    </row>
    <row r="306" spans="1:22" x14ac:dyDescent="0.25">
      <c r="A306" s="6"/>
      <c r="B306" s="7"/>
      <c r="C306" s="7"/>
      <c r="D306" s="7"/>
      <c r="E306" s="8">
        <f t="shared" si="3"/>
        <v>0</v>
      </c>
      <c r="F306" s="10"/>
      <c r="G306" s="10"/>
      <c r="H306" s="9"/>
      <c r="I306" s="7"/>
      <c r="J306" s="7"/>
      <c r="K306" s="7">
        <f ca="1">IFERROR(IF(COUNTA(J$56:J306)=J$54,J306,FORECAST(D306,OFFSET(M$56:M$254,MATCH(D306,L$56:L$254,1)-1,0,2), OFFSET(L$56:L$254,MATCH(D306,L$56:L$254,1)-1,0,2))),"")</f>
        <v>0</v>
      </c>
      <c r="L306" s="7" t="str">
        <f t="array" ref="L306">IFERROR(INDEX(D$56:D$1054,SMALL(IF(ISNUMBER(J$56:J$1054),ROW(D$1:D$999),""),ROW(D251))),"")</f>
        <v/>
      </c>
      <c r="M306" s="7" t="str">
        <f t="array" ref="M306">IFERROR(INDEX(J$56:J$1054,SMALL(IF(ISNUMBER(J$56:J$1054),ROW(J$1:J$999),""),ROW(J251))),"")</f>
        <v/>
      </c>
      <c r="N306" s="7"/>
      <c r="O306" s="7"/>
      <c r="P306" s="7"/>
      <c r="Q306" s="7">
        <f ca="1">IFERROR(IF(COUNTA(P$56:P306)=P$54,P306,FORECAST(D306,OFFSET(S$56:S$254,MATCH(D306,R$56:R$254,1)-1,0,2), OFFSET(R$56:R$254,MATCH(D306,R$56:R$254,1)-1,0,2))),"")</f>
        <v>0</v>
      </c>
      <c r="R306" s="7" t="str">
        <f t="array" ref="R306">IFERROR(INDEX(E$56:E$1054,SMALL(IF(ISNUMBER(P$56:P$1054),ROW(E$1:E$999),""),ROW(J251))),"")</f>
        <v/>
      </c>
      <c r="S306" s="7" t="str">
        <f t="array" ref="S306">IFERROR(INDEX(P$56:P$1054,SMALL(IF(ISNUMBER(P$56:P$1054),ROW(P$1:P$999),""),ROW(P251))),"")</f>
        <v/>
      </c>
      <c r="T306" s="7"/>
      <c r="U306" s="7"/>
      <c r="V306" s="7"/>
    </row>
    <row r="307" spans="1:22" x14ac:dyDescent="0.25">
      <c r="A307" s="6"/>
      <c r="B307" s="7"/>
      <c r="C307" s="7"/>
      <c r="D307" s="7"/>
      <c r="E307" s="8">
        <f t="shared" si="3"/>
        <v>0</v>
      </c>
      <c r="F307" s="10"/>
      <c r="G307" s="10"/>
      <c r="H307" s="9"/>
      <c r="I307" s="7"/>
      <c r="J307" s="7"/>
      <c r="K307" s="7">
        <f ca="1">IFERROR(IF(COUNTA(J$56:J307)=J$54,J307,FORECAST(D307,OFFSET(M$56:M$254,MATCH(D307,L$56:L$254,1)-1,0,2), OFFSET(L$56:L$254,MATCH(D307,L$56:L$254,1)-1,0,2))),"")</f>
        <v>0</v>
      </c>
      <c r="L307" s="7" t="str">
        <f t="array" ref="L307">IFERROR(INDEX(D$56:D$1054,SMALL(IF(ISNUMBER(J$56:J$1054),ROW(D$1:D$999),""),ROW(D252))),"")</f>
        <v/>
      </c>
      <c r="M307" s="7" t="str">
        <f t="array" ref="M307">IFERROR(INDEX(J$56:J$1054,SMALL(IF(ISNUMBER(J$56:J$1054),ROW(J$1:J$999),""),ROW(J252))),"")</f>
        <v/>
      </c>
      <c r="N307" s="7"/>
      <c r="O307" s="7"/>
      <c r="P307" s="7"/>
      <c r="Q307" s="7">
        <f ca="1">IFERROR(IF(COUNTA(P$56:P307)=P$54,P307,FORECAST(D307,OFFSET(S$56:S$254,MATCH(D307,R$56:R$254,1)-1,0,2), OFFSET(R$56:R$254,MATCH(D307,R$56:R$254,1)-1,0,2))),"")</f>
        <v>0</v>
      </c>
      <c r="R307" s="7" t="str">
        <f t="array" ref="R307">IFERROR(INDEX(E$56:E$1054,SMALL(IF(ISNUMBER(P$56:P$1054),ROW(E$1:E$999),""),ROW(J252))),"")</f>
        <v/>
      </c>
      <c r="S307" s="7" t="str">
        <f t="array" ref="S307">IFERROR(INDEX(P$56:P$1054,SMALL(IF(ISNUMBER(P$56:P$1054),ROW(P$1:P$999),""),ROW(P252))),"")</f>
        <v/>
      </c>
      <c r="T307" s="7"/>
      <c r="U307" s="7"/>
      <c r="V307" s="7"/>
    </row>
    <row r="308" spans="1:22" x14ac:dyDescent="0.25">
      <c r="A308" s="6"/>
      <c r="B308" s="11"/>
      <c r="C308" s="12"/>
      <c r="D308" s="12"/>
      <c r="E308" s="8">
        <f t="shared" si="3"/>
        <v>0</v>
      </c>
      <c r="F308" s="10"/>
      <c r="G308" s="10"/>
      <c r="H308" s="9"/>
      <c r="I308" s="7"/>
      <c r="J308" s="7"/>
      <c r="K308" s="7">
        <f ca="1">IFERROR(IF(COUNTA(J$56:J308)=J$54,J308,FORECAST(D308,OFFSET(M$56:M$254,MATCH(D308,L$56:L$254,1)-1,0,2), OFFSET(L$56:L$254,MATCH(D308,L$56:L$254,1)-1,0,2))),"")</f>
        <v>0</v>
      </c>
      <c r="L308" s="7" t="str">
        <f t="array" ref="L308">IFERROR(INDEX(D$56:D$1054,SMALL(IF(ISNUMBER(J$56:J$1054),ROW(D$1:D$999),""),ROW(D253))),"")</f>
        <v/>
      </c>
      <c r="M308" s="7" t="str">
        <f t="array" ref="M308">IFERROR(INDEX(J$56:J$1054,SMALL(IF(ISNUMBER(J$56:J$1054),ROW(J$1:J$999),""),ROW(J253))),"")</f>
        <v/>
      </c>
      <c r="N308" s="7"/>
      <c r="O308" s="7"/>
      <c r="P308" s="7"/>
      <c r="Q308" s="7">
        <f ca="1">IFERROR(IF(COUNTA(P$56:P308)=P$54,P308,FORECAST(D308,OFFSET(S$56:S$254,MATCH(D308,R$56:R$254,1)-1,0,2), OFFSET(R$56:R$254,MATCH(D308,R$56:R$254,1)-1,0,2))),"")</f>
        <v>0</v>
      </c>
      <c r="R308" s="7" t="str">
        <f t="array" ref="R308">IFERROR(INDEX(E$56:E$1054,SMALL(IF(ISNUMBER(P$56:P$1054),ROW(E$1:E$999),""),ROW(J253))),"")</f>
        <v/>
      </c>
      <c r="S308" s="7" t="str">
        <f t="array" ref="S308">IFERROR(INDEX(P$56:P$1054,SMALL(IF(ISNUMBER(P$56:P$1054),ROW(P$1:P$999),""),ROW(P253))),"")</f>
        <v/>
      </c>
      <c r="T308" s="7"/>
      <c r="U308" s="7"/>
      <c r="V308" s="7"/>
    </row>
    <row r="309" spans="1:22" x14ac:dyDescent="0.25">
      <c r="A309" s="6"/>
      <c r="B309" s="11"/>
      <c r="C309" s="12"/>
      <c r="D309" s="12"/>
      <c r="E309" s="8">
        <f t="shared" si="3"/>
        <v>0</v>
      </c>
      <c r="F309" s="10"/>
      <c r="G309" s="10"/>
      <c r="H309" s="9"/>
      <c r="I309" s="7"/>
      <c r="J309" s="7"/>
      <c r="K309" s="7">
        <f ca="1">IFERROR(IF(COUNTA(J$56:J309)=J$54,J309,FORECAST(D309,OFFSET(M$56:M$254,MATCH(D309,L$56:L$254,1)-1,0,2), OFFSET(L$56:L$254,MATCH(D309,L$56:L$254,1)-1,0,2))),"")</f>
        <v>0</v>
      </c>
      <c r="L309" s="7" t="str">
        <f t="array" ref="L309">IFERROR(INDEX(D$56:D$1054,SMALL(IF(ISNUMBER(J$56:J$1054),ROW(D$1:D$999),""),ROW(D254))),"")</f>
        <v/>
      </c>
      <c r="M309" s="7" t="str">
        <f t="array" ref="M309">IFERROR(INDEX(J$56:J$1054,SMALL(IF(ISNUMBER(J$56:J$1054),ROW(J$1:J$999),""),ROW(J254))),"")</f>
        <v/>
      </c>
      <c r="N309" s="7"/>
      <c r="O309" s="7"/>
      <c r="P309" s="7"/>
      <c r="Q309" s="7">
        <f ca="1">IFERROR(IF(COUNTA(P$56:P309)=P$54,P309,FORECAST(D309,OFFSET(S$56:S$254,MATCH(D309,R$56:R$254,1)-1,0,2), OFFSET(R$56:R$254,MATCH(D309,R$56:R$254,1)-1,0,2))),"")</f>
        <v>0</v>
      </c>
      <c r="R309" s="7" t="str">
        <f t="array" ref="R309">IFERROR(INDEX(E$56:E$1054,SMALL(IF(ISNUMBER(P$56:P$1054),ROW(E$1:E$999),""),ROW(J254))),"")</f>
        <v/>
      </c>
      <c r="S309" s="7" t="str">
        <f t="array" ref="S309">IFERROR(INDEX(P$56:P$1054,SMALL(IF(ISNUMBER(P$56:P$1054),ROW(P$1:P$999),""),ROW(P254))),"")</f>
        <v/>
      </c>
      <c r="T309" s="7"/>
      <c r="U309" s="7"/>
      <c r="V309" s="7"/>
    </row>
    <row r="310" spans="1:22" x14ac:dyDescent="0.25">
      <c r="A310" s="6"/>
      <c r="B310" s="11"/>
      <c r="C310" s="12"/>
      <c r="D310" s="12"/>
      <c r="E310" s="8">
        <f t="shared" si="3"/>
        <v>0</v>
      </c>
      <c r="F310" s="10"/>
      <c r="G310" s="10"/>
      <c r="H310" s="9"/>
      <c r="I310" s="7"/>
      <c r="J310" s="7"/>
      <c r="K310" s="7">
        <f ca="1">IFERROR(IF(COUNTA(J$56:J310)=J$54,J310,FORECAST(D310,OFFSET(M$56:M$254,MATCH(D310,L$56:L$254,1)-1,0,2), OFFSET(L$56:L$254,MATCH(D310,L$56:L$254,1)-1,0,2))),"")</f>
        <v>0</v>
      </c>
      <c r="L310" s="7" t="str">
        <f t="array" ref="L310">IFERROR(INDEX(D$56:D$1054,SMALL(IF(ISNUMBER(J$56:J$1054),ROW(D$1:D$999),""),ROW(D255))),"")</f>
        <v/>
      </c>
      <c r="M310" s="7" t="str">
        <f t="array" ref="M310">IFERROR(INDEX(J$56:J$1054,SMALL(IF(ISNUMBER(J$56:J$1054),ROW(J$1:J$999),""),ROW(J255))),"")</f>
        <v/>
      </c>
      <c r="N310" s="7"/>
      <c r="O310" s="7"/>
      <c r="P310" s="7"/>
      <c r="Q310" s="7">
        <f ca="1">IFERROR(IF(COUNTA(P$56:P310)=P$54,P310,FORECAST(D310,OFFSET(S$56:S$254,MATCH(D310,R$56:R$254,1)-1,0,2), OFFSET(R$56:R$254,MATCH(D310,R$56:R$254,1)-1,0,2))),"")</f>
        <v>0</v>
      </c>
      <c r="R310" s="7" t="str">
        <f t="array" ref="R310">IFERROR(INDEX(E$56:E$1054,SMALL(IF(ISNUMBER(P$56:P$1054),ROW(E$1:E$999),""),ROW(J255))),"")</f>
        <v/>
      </c>
      <c r="S310" s="7" t="str">
        <f t="array" ref="S310">IFERROR(INDEX(P$56:P$1054,SMALL(IF(ISNUMBER(P$56:P$1054),ROW(P$1:P$999),""),ROW(P255))),"")</f>
        <v/>
      </c>
      <c r="T310" s="7"/>
      <c r="U310" s="7"/>
      <c r="V310" s="7"/>
    </row>
    <row r="311" spans="1:22" x14ac:dyDescent="0.25">
      <c r="A311" s="6"/>
      <c r="B311" s="11"/>
      <c r="C311" s="12"/>
      <c r="D311" s="12"/>
      <c r="E311" s="8">
        <f t="shared" si="3"/>
        <v>0</v>
      </c>
      <c r="F311" s="10"/>
      <c r="G311" s="10"/>
      <c r="H311" s="9"/>
      <c r="I311" s="7"/>
      <c r="J311" s="7"/>
      <c r="K311" s="7">
        <f ca="1">IFERROR(IF(COUNTA(J$56:J311)=J$54,J311,FORECAST(D311,OFFSET(M$56:M$254,MATCH(D311,L$56:L$254,1)-1,0,2), OFFSET(L$56:L$254,MATCH(D311,L$56:L$254,1)-1,0,2))),"")</f>
        <v>0</v>
      </c>
      <c r="L311" s="7" t="str">
        <f t="array" ref="L311">IFERROR(INDEX(D$56:D$1054,SMALL(IF(ISNUMBER(J$56:J$1054),ROW(D$1:D$999),""),ROW(D256))),"")</f>
        <v/>
      </c>
      <c r="M311" s="7" t="str">
        <f t="array" ref="M311">IFERROR(INDEX(J$56:J$1054,SMALL(IF(ISNUMBER(J$56:J$1054),ROW(J$1:J$999),""),ROW(J256))),"")</f>
        <v/>
      </c>
      <c r="N311" s="7"/>
      <c r="O311" s="7"/>
      <c r="P311" s="7"/>
      <c r="Q311" s="7">
        <f ca="1">IFERROR(IF(COUNTA(P$56:P311)=P$54,P311,FORECAST(D311,OFFSET(S$56:S$254,MATCH(D311,R$56:R$254,1)-1,0,2), OFFSET(R$56:R$254,MATCH(D311,R$56:R$254,1)-1,0,2))),"")</f>
        <v>0</v>
      </c>
      <c r="R311" s="7" t="str">
        <f t="array" ref="R311">IFERROR(INDEX(E$56:E$1054,SMALL(IF(ISNUMBER(P$56:P$1054),ROW(E$1:E$999),""),ROW(J256))),"")</f>
        <v/>
      </c>
      <c r="S311" s="7" t="str">
        <f t="array" ref="S311">IFERROR(INDEX(P$56:P$1054,SMALL(IF(ISNUMBER(P$56:P$1054),ROW(P$1:P$999),""),ROW(P256))),"")</f>
        <v/>
      </c>
      <c r="T311" s="7"/>
      <c r="U311" s="7"/>
      <c r="V311" s="7"/>
    </row>
    <row r="312" spans="1:22" x14ac:dyDescent="0.25">
      <c r="A312" s="6"/>
      <c r="B312" s="11"/>
      <c r="C312" s="12"/>
      <c r="D312" s="12"/>
      <c r="E312" s="8">
        <f t="shared" si="3"/>
        <v>0</v>
      </c>
      <c r="F312" s="10"/>
      <c r="G312" s="10"/>
      <c r="H312" s="9"/>
      <c r="I312" s="7"/>
      <c r="J312" s="7"/>
      <c r="K312" s="7">
        <f ca="1">IFERROR(IF(COUNTA(J$56:J312)=J$54,J312,FORECAST(D312,OFFSET(M$56:M$254,MATCH(D312,L$56:L$254,1)-1,0,2), OFFSET(L$56:L$254,MATCH(D312,L$56:L$254,1)-1,0,2))),"")</f>
        <v>0</v>
      </c>
      <c r="L312" s="7" t="str">
        <f t="array" ref="L312">IFERROR(INDEX(D$56:D$1054,SMALL(IF(ISNUMBER(J$56:J$1054),ROW(D$1:D$999),""),ROW(D257))),"")</f>
        <v/>
      </c>
      <c r="M312" s="7" t="str">
        <f t="array" ref="M312">IFERROR(INDEX(J$56:J$1054,SMALL(IF(ISNUMBER(J$56:J$1054),ROW(J$1:J$999),""),ROW(J257))),"")</f>
        <v/>
      </c>
      <c r="N312" s="7"/>
      <c r="O312" s="7"/>
      <c r="P312" s="7"/>
      <c r="Q312" s="7">
        <f ca="1">IFERROR(IF(COUNTA(P$56:P312)=P$54,P312,FORECAST(D312,OFFSET(S$56:S$254,MATCH(D312,R$56:R$254,1)-1,0,2), OFFSET(R$56:R$254,MATCH(D312,R$56:R$254,1)-1,0,2))),"")</f>
        <v>0</v>
      </c>
      <c r="R312" s="7" t="str">
        <f t="array" ref="R312">IFERROR(INDEX(E$56:E$1054,SMALL(IF(ISNUMBER(P$56:P$1054),ROW(E$1:E$999),""),ROW(J257))),"")</f>
        <v/>
      </c>
      <c r="S312" s="7" t="str">
        <f t="array" ref="S312">IFERROR(INDEX(P$56:P$1054,SMALL(IF(ISNUMBER(P$56:P$1054),ROW(P$1:P$999),""),ROW(P257))),"")</f>
        <v/>
      </c>
      <c r="T312" s="7"/>
      <c r="U312" s="7"/>
      <c r="V312" s="7"/>
    </row>
    <row r="313" spans="1:22" x14ac:dyDescent="0.25">
      <c r="A313" s="6"/>
      <c r="B313" s="11"/>
      <c r="C313" s="12"/>
      <c r="D313" s="12"/>
      <c r="E313" s="8">
        <f t="shared" si="3"/>
        <v>0</v>
      </c>
      <c r="F313" s="10"/>
      <c r="G313" s="10"/>
      <c r="H313" s="9"/>
      <c r="I313" s="7"/>
      <c r="J313" s="7"/>
      <c r="K313" s="7">
        <f ca="1">IFERROR(IF(COUNTA(J$56:J313)=J$54,J313,FORECAST(D313,OFFSET(M$56:M$254,MATCH(D313,L$56:L$254,1)-1,0,2), OFFSET(L$56:L$254,MATCH(D313,L$56:L$254,1)-1,0,2))),"")</f>
        <v>0</v>
      </c>
      <c r="L313" s="7" t="str">
        <f t="array" ref="L313">IFERROR(INDEX(D$56:D$1054,SMALL(IF(ISNUMBER(J$56:J$1054),ROW(D$1:D$999),""),ROW(D258))),"")</f>
        <v/>
      </c>
      <c r="M313" s="7" t="str">
        <f t="array" ref="M313">IFERROR(INDEX(J$56:J$1054,SMALL(IF(ISNUMBER(J$56:J$1054),ROW(J$1:J$999),""),ROW(J258))),"")</f>
        <v/>
      </c>
      <c r="N313" s="7"/>
      <c r="O313" s="7"/>
      <c r="P313" s="7"/>
      <c r="Q313" s="7">
        <f ca="1">IFERROR(IF(COUNTA(P$56:P313)=P$54,P313,FORECAST(D313,OFFSET(S$56:S$254,MATCH(D313,R$56:R$254,1)-1,0,2), OFFSET(R$56:R$254,MATCH(D313,R$56:R$254,1)-1,0,2))),"")</f>
        <v>0</v>
      </c>
      <c r="R313" s="7" t="str">
        <f t="array" ref="R313">IFERROR(INDEX(E$56:E$1054,SMALL(IF(ISNUMBER(P$56:P$1054),ROW(E$1:E$999),""),ROW(J258))),"")</f>
        <v/>
      </c>
      <c r="S313" s="7" t="str">
        <f t="array" ref="S313">IFERROR(INDEX(P$56:P$1054,SMALL(IF(ISNUMBER(P$56:P$1054),ROW(P$1:P$999),""),ROW(P258))),"")</f>
        <v/>
      </c>
      <c r="T313" s="7"/>
      <c r="U313" s="7"/>
      <c r="V313" s="7"/>
    </row>
    <row r="314" spans="1:22" x14ac:dyDescent="0.25">
      <c r="A314" s="6"/>
      <c r="B314" s="11"/>
      <c r="C314" s="12"/>
      <c r="D314" s="12"/>
      <c r="E314" s="8">
        <f t="shared" ref="E314:E377" si="4">IF(NOT(ISBLANK(D314)),D314+C$54,0)</f>
        <v>0</v>
      </c>
      <c r="F314" s="10"/>
      <c r="G314" s="10"/>
      <c r="H314" s="9"/>
      <c r="I314" s="7"/>
      <c r="J314" s="7"/>
      <c r="K314" s="7">
        <f ca="1">IFERROR(IF(COUNTA(J$56:J314)=J$54,J314,FORECAST(D314,OFFSET(M$56:M$254,MATCH(D314,L$56:L$254,1)-1,0,2), OFFSET(L$56:L$254,MATCH(D314,L$56:L$254,1)-1,0,2))),"")</f>
        <v>0</v>
      </c>
      <c r="L314" s="7" t="str">
        <f t="array" ref="L314">IFERROR(INDEX(D$56:D$1054,SMALL(IF(ISNUMBER(J$56:J$1054),ROW(D$1:D$999),""),ROW(D259))),"")</f>
        <v/>
      </c>
      <c r="M314" s="7" t="str">
        <f t="array" ref="M314">IFERROR(INDEX(J$56:J$1054,SMALL(IF(ISNUMBER(J$56:J$1054),ROW(J$1:J$999),""),ROW(J259))),"")</f>
        <v/>
      </c>
      <c r="N314" s="7"/>
      <c r="O314" s="7"/>
      <c r="P314" s="7"/>
      <c r="Q314" s="7">
        <f ca="1">IFERROR(IF(COUNTA(P$56:P314)=P$54,P314,FORECAST(D314,OFFSET(S$56:S$254,MATCH(D314,R$56:R$254,1)-1,0,2), OFFSET(R$56:R$254,MATCH(D314,R$56:R$254,1)-1,0,2))),"")</f>
        <v>0</v>
      </c>
      <c r="R314" s="7" t="str">
        <f t="array" ref="R314">IFERROR(INDEX(E$56:E$1054,SMALL(IF(ISNUMBER(P$56:P$1054),ROW(E$1:E$999),""),ROW(J259))),"")</f>
        <v/>
      </c>
      <c r="S314" s="7" t="str">
        <f t="array" ref="S314">IFERROR(INDEX(P$56:P$1054,SMALL(IF(ISNUMBER(P$56:P$1054),ROW(P$1:P$999),""),ROW(P259))),"")</f>
        <v/>
      </c>
      <c r="T314" s="7"/>
      <c r="U314" s="7"/>
      <c r="V314" s="7"/>
    </row>
    <row r="315" spans="1:22" x14ac:dyDescent="0.25">
      <c r="A315" s="6"/>
      <c r="B315" s="11"/>
      <c r="C315" s="12"/>
      <c r="D315" s="12"/>
      <c r="E315" s="8">
        <f t="shared" si="4"/>
        <v>0</v>
      </c>
      <c r="F315" s="10"/>
      <c r="G315" s="10"/>
      <c r="H315" s="9"/>
      <c r="I315" s="7"/>
      <c r="J315" s="7"/>
      <c r="K315" s="7">
        <f ca="1">IFERROR(IF(COUNTA(J$56:J315)=J$54,J315,FORECAST(D315,OFFSET(M$56:M$254,MATCH(D315,L$56:L$254,1)-1,0,2), OFFSET(L$56:L$254,MATCH(D315,L$56:L$254,1)-1,0,2))),"")</f>
        <v>0</v>
      </c>
      <c r="L315" s="7" t="str">
        <f t="array" ref="L315">IFERROR(INDEX(D$56:D$1054,SMALL(IF(ISNUMBER(J$56:J$1054),ROW(D$1:D$999),""),ROW(D260))),"")</f>
        <v/>
      </c>
      <c r="M315" s="7" t="str">
        <f t="array" ref="M315">IFERROR(INDEX(J$56:J$1054,SMALL(IF(ISNUMBER(J$56:J$1054),ROW(J$1:J$999),""),ROW(J260))),"")</f>
        <v/>
      </c>
      <c r="N315" s="7"/>
      <c r="O315" s="7"/>
      <c r="P315" s="7"/>
      <c r="Q315" s="7">
        <f ca="1">IFERROR(IF(COUNTA(P$56:P315)=P$54,P315,FORECAST(D315,OFFSET(S$56:S$254,MATCH(D315,R$56:R$254,1)-1,0,2), OFFSET(R$56:R$254,MATCH(D315,R$56:R$254,1)-1,0,2))),"")</f>
        <v>0</v>
      </c>
      <c r="R315" s="7" t="str">
        <f t="array" ref="R315">IFERROR(INDEX(E$56:E$1054,SMALL(IF(ISNUMBER(P$56:P$1054),ROW(E$1:E$999),""),ROW(J260))),"")</f>
        <v/>
      </c>
      <c r="S315" s="7" t="str">
        <f t="array" ref="S315">IFERROR(INDEX(P$56:P$1054,SMALL(IF(ISNUMBER(P$56:P$1054),ROW(P$1:P$999),""),ROW(P260))),"")</f>
        <v/>
      </c>
      <c r="T315" s="7"/>
      <c r="U315" s="7"/>
      <c r="V315" s="7"/>
    </row>
    <row r="316" spans="1:22" x14ac:dyDescent="0.25">
      <c r="A316" s="6"/>
      <c r="B316" s="11"/>
      <c r="C316" s="12"/>
      <c r="D316" s="12"/>
      <c r="E316" s="8">
        <f t="shared" si="4"/>
        <v>0</v>
      </c>
      <c r="F316" s="10"/>
      <c r="G316" s="10"/>
      <c r="H316" s="9"/>
      <c r="I316" s="7"/>
      <c r="J316" s="7"/>
      <c r="K316" s="7">
        <f ca="1">IFERROR(IF(COUNTA(J$56:J316)=J$54,J316,FORECAST(D316,OFFSET(M$56:M$254,MATCH(D316,L$56:L$254,1)-1,0,2), OFFSET(L$56:L$254,MATCH(D316,L$56:L$254,1)-1,0,2))),"")</f>
        <v>0</v>
      </c>
      <c r="L316" s="7" t="str">
        <f t="array" ref="L316">IFERROR(INDEX(D$56:D$1054,SMALL(IF(ISNUMBER(J$56:J$1054),ROW(D$1:D$999),""),ROW(D261))),"")</f>
        <v/>
      </c>
      <c r="M316" s="7" t="str">
        <f t="array" ref="M316">IFERROR(INDEX(J$56:J$1054,SMALL(IF(ISNUMBER(J$56:J$1054),ROW(J$1:J$999),""),ROW(J261))),"")</f>
        <v/>
      </c>
      <c r="N316" s="7"/>
      <c r="O316" s="7"/>
      <c r="P316" s="7"/>
      <c r="Q316" s="7">
        <f ca="1">IFERROR(IF(COUNTA(P$56:P316)=P$54,P316,FORECAST(D316,OFFSET(S$56:S$254,MATCH(D316,R$56:R$254,1)-1,0,2), OFFSET(R$56:R$254,MATCH(D316,R$56:R$254,1)-1,0,2))),"")</f>
        <v>0</v>
      </c>
      <c r="R316" s="7" t="str">
        <f t="array" ref="R316">IFERROR(INDEX(E$56:E$1054,SMALL(IF(ISNUMBER(P$56:P$1054),ROW(E$1:E$999),""),ROW(J261))),"")</f>
        <v/>
      </c>
      <c r="S316" s="7" t="str">
        <f t="array" ref="S316">IFERROR(INDEX(P$56:P$1054,SMALL(IF(ISNUMBER(P$56:P$1054),ROW(P$1:P$999),""),ROW(P261))),"")</f>
        <v/>
      </c>
      <c r="T316" s="7"/>
      <c r="U316" s="7"/>
      <c r="V316" s="7"/>
    </row>
    <row r="317" spans="1:22" x14ac:dyDescent="0.25">
      <c r="A317" s="6"/>
      <c r="B317" s="11"/>
      <c r="C317" s="12"/>
      <c r="D317" s="12"/>
      <c r="E317" s="8">
        <f t="shared" si="4"/>
        <v>0</v>
      </c>
      <c r="F317" s="10"/>
      <c r="G317" s="10"/>
      <c r="H317" s="9"/>
      <c r="I317" s="7"/>
      <c r="J317" s="7"/>
      <c r="K317" s="7">
        <f ca="1">IFERROR(IF(COUNTA(J$56:J317)=J$54,J317,FORECAST(D317,OFFSET(M$56:M$254,MATCH(D317,L$56:L$254,1)-1,0,2), OFFSET(L$56:L$254,MATCH(D317,L$56:L$254,1)-1,0,2))),"")</f>
        <v>0</v>
      </c>
      <c r="L317" s="7" t="str">
        <f t="array" ref="L317">IFERROR(INDEX(D$56:D$1054,SMALL(IF(ISNUMBER(J$56:J$1054),ROW(D$1:D$999),""),ROW(D262))),"")</f>
        <v/>
      </c>
      <c r="M317" s="7" t="str">
        <f t="array" ref="M317">IFERROR(INDEX(J$56:J$1054,SMALL(IF(ISNUMBER(J$56:J$1054),ROW(J$1:J$999),""),ROW(J262))),"")</f>
        <v/>
      </c>
      <c r="N317" s="7"/>
      <c r="O317" s="7"/>
      <c r="P317" s="7"/>
      <c r="Q317" s="7">
        <f ca="1">IFERROR(IF(COUNTA(P$56:P317)=P$54,P317,FORECAST(D317,OFFSET(S$56:S$254,MATCH(D317,R$56:R$254,1)-1,0,2), OFFSET(R$56:R$254,MATCH(D317,R$56:R$254,1)-1,0,2))),"")</f>
        <v>0</v>
      </c>
      <c r="R317" s="7" t="str">
        <f t="array" ref="R317">IFERROR(INDEX(E$56:E$1054,SMALL(IF(ISNUMBER(P$56:P$1054),ROW(E$1:E$999),""),ROW(J262))),"")</f>
        <v/>
      </c>
      <c r="S317" s="7" t="str">
        <f t="array" ref="S317">IFERROR(INDEX(P$56:P$1054,SMALL(IF(ISNUMBER(P$56:P$1054),ROW(P$1:P$999),""),ROW(P262))),"")</f>
        <v/>
      </c>
      <c r="T317" s="7"/>
      <c r="U317" s="7"/>
      <c r="V317" s="7"/>
    </row>
    <row r="318" spans="1:22" x14ac:dyDescent="0.25">
      <c r="A318" s="6"/>
      <c r="B318" s="11"/>
      <c r="C318" s="12"/>
      <c r="D318" s="12"/>
      <c r="E318" s="8">
        <f t="shared" si="4"/>
        <v>0</v>
      </c>
      <c r="F318" s="10"/>
      <c r="G318" s="10"/>
      <c r="H318" s="9"/>
      <c r="I318" s="7"/>
      <c r="J318" s="7"/>
      <c r="K318" s="7">
        <f ca="1">IFERROR(IF(COUNTA(J$56:J318)=J$54,J318,FORECAST(D318,OFFSET(M$56:M$254,MATCH(D318,L$56:L$254,1)-1,0,2), OFFSET(L$56:L$254,MATCH(D318,L$56:L$254,1)-1,0,2))),"")</f>
        <v>0</v>
      </c>
      <c r="L318" s="7" t="str">
        <f t="array" ref="L318">IFERROR(INDEX(D$56:D$1054,SMALL(IF(ISNUMBER(J$56:J$1054),ROW(D$1:D$999),""),ROW(D263))),"")</f>
        <v/>
      </c>
      <c r="M318" s="7" t="str">
        <f t="array" ref="M318">IFERROR(INDEX(J$56:J$1054,SMALL(IF(ISNUMBER(J$56:J$1054),ROW(J$1:J$999),""),ROW(J263))),"")</f>
        <v/>
      </c>
      <c r="N318" s="7"/>
      <c r="O318" s="7"/>
      <c r="P318" s="7"/>
      <c r="Q318" s="7">
        <f ca="1">IFERROR(IF(COUNTA(P$56:P318)=P$54,P318,FORECAST(D318,OFFSET(S$56:S$254,MATCH(D318,R$56:R$254,1)-1,0,2), OFFSET(R$56:R$254,MATCH(D318,R$56:R$254,1)-1,0,2))),"")</f>
        <v>0</v>
      </c>
      <c r="R318" s="7" t="str">
        <f t="array" ref="R318">IFERROR(INDEX(E$56:E$1054,SMALL(IF(ISNUMBER(P$56:P$1054),ROW(E$1:E$999),""),ROW(J263))),"")</f>
        <v/>
      </c>
      <c r="S318" s="7" t="str">
        <f t="array" ref="S318">IFERROR(INDEX(P$56:P$1054,SMALL(IF(ISNUMBER(P$56:P$1054),ROW(P$1:P$999),""),ROW(P263))),"")</f>
        <v/>
      </c>
      <c r="T318" s="7"/>
      <c r="U318" s="7"/>
      <c r="V318" s="7"/>
    </row>
    <row r="319" spans="1:22" x14ac:dyDescent="0.25">
      <c r="A319" s="6"/>
      <c r="B319" s="11"/>
      <c r="C319" s="12"/>
      <c r="D319" s="12"/>
      <c r="E319" s="8">
        <f t="shared" si="4"/>
        <v>0</v>
      </c>
      <c r="F319" s="10"/>
      <c r="G319" s="10"/>
      <c r="H319" s="9"/>
      <c r="I319" s="7"/>
      <c r="J319" s="7"/>
      <c r="K319" s="7">
        <f ca="1">IFERROR(IF(COUNTA(J$56:J319)=J$54,J319,FORECAST(D319,OFFSET(M$56:M$254,MATCH(D319,L$56:L$254,1)-1,0,2), OFFSET(L$56:L$254,MATCH(D319,L$56:L$254,1)-1,0,2))),"")</f>
        <v>0</v>
      </c>
      <c r="L319" s="7" t="str">
        <f t="array" ref="L319">IFERROR(INDEX(D$56:D$1054,SMALL(IF(ISNUMBER(J$56:J$1054),ROW(D$1:D$999),""),ROW(D264))),"")</f>
        <v/>
      </c>
      <c r="M319" s="7" t="str">
        <f t="array" ref="M319">IFERROR(INDEX(J$56:J$1054,SMALL(IF(ISNUMBER(J$56:J$1054),ROW(J$1:J$999),""),ROW(J264))),"")</f>
        <v/>
      </c>
      <c r="N319" s="7"/>
      <c r="O319" s="7"/>
      <c r="P319" s="7"/>
      <c r="Q319" s="7">
        <f ca="1">IFERROR(IF(COUNTA(P$56:P319)=P$54,P319,FORECAST(D319,OFFSET(S$56:S$254,MATCH(D319,R$56:R$254,1)-1,0,2), OFFSET(R$56:R$254,MATCH(D319,R$56:R$254,1)-1,0,2))),"")</f>
        <v>0</v>
      </c>
      <c r="R319" s="7" t="str">
        <f t="array" ref="R319">IFERROR(INDEX(E$56:E$1054,SMALL(IF(ISNUMBER(P$56:P$1054),ROW(E$1:E$999),""),ROW(J264))),"")</f>
        <v/>
      </c>
      <c r="S319" s="7" t="str">
        <f t="array" ref="S319">IFERROR(INDEX(P$56:P$1054,SMALL(IF(ISNUMBER(P$56:P$1054),ROW(P$1:P$999),""),ROW(P264))),"")</f>
        <v/>
      </c>
      <c r="T319" s="7"/>
      <c r="U319" s="7"/>
      <c r="V319" s="7"/>
    </row>
    <row r="320" spans="1:22" x14ac:dyDescent="0.25">
      <c r="A320" s="6"/>
      <c r="B320" s="11"/>
      <c r="C320" s="12"/>
      <c r="D320" s="12"/>
      <c r="E320" s="8">
        <f t="shared" si="4"/>
        <v>0</v>
      </c>
      <c r="F320" s="10"/>
      <c r="G320" s="10"/>
      <c r="H320" s="9"/>
      <c r="I320" s="7"/>
      <c r="J320" s="7"/>
      <c r="K320" s="7">
        <f ca="1">IFERROR(IF(COUNTA(J$56:J320)=J$54,J320,FORECAST(D320,OFFSET(M$56:M$254,MATCH(D320,L$56:L$254,1)-1,0,2), OFFSET(L$56:L$254,MATCH(D320,L$56:L$254,1)-1,0,2))),"")</f>
        <v>0</v>
      </c>
      <c r="L320" s="7" t="str">
        <f t="array" ref="L320">IFERROR(INDEX(D$56:D$1054,SMALL(IF(ISNUMBER(J$56:J$1054),ROW(D$1:D$999),""),ROW(D265))),"")</f>
        <v/>
      </c>
      <c r="M320" s="7" t="str">
        <f t="array" ref="M320">IFERROR(INDEX(J$56:J$1054,SMALL(IF(ISNUMBER(J$56:J$1054),ROW(J$1:J$999),""),ROW(J265))),"")</f>
        <v/>
      </c>
      <c r="N320" s="7"/>
      <c r="O320" s="7"/>
      <c r="P320" s="7"/>
      <c r="Q320" s="7">
        <f ca="1">IFERROR(IF(COUNTA(P$56:P320)=P$54,P320,FORECAST(D320,OFFSET(S$56:S$254,MATCH(D320,R$56:R$254,1)-1,0,2), OFFSET(R$56:R$254,MATCH(D320,R$56:R$254,1)-1,0,2))),"")</f>
        <v>0</v>
      </c>
      <c r="R320" s="7" t="str">
        <f t="array" ref="R320">IFERROR(INDEX(E$56:E$1054,SMALL(IF(ISNUMBER(P$56:P$1054),ROW(E$1:E$999),""),ROW(J265))),"")</f>
        <v/>
      </c>
      <c r="S320" s="7" t="str">
        <f t="array" ref="S320">IFERROR(INDEX(P$56:P$1054,SMALL(IF(ISNUMBER(P$56:P$1054),ROW(P$1:P$999),""),ROW(P265))),"")</f>
        <v/>
      </c>
      <c r="T320" s="7"/>
      <c r="U320" s="7"/>
      <c r="V320" s="7"/>
    </row>
    <row r="321" spans="1:22" x14ac:dyDescent="0.25">
      <c r="A321" s="6"/>
      <c r="B321" s="11"/>
      <c r="C321" s="12"/>
      <c r="D321" s="12"/>
      <c r="E321" s="8">
        <f t="shared" si="4"/>
        <v>0</v>
      </c>
      <c r="F321" s="10"/>
      <c r="G321" s="10"/>
      <c r="H321" s="9"/>
      <c r="I321" s="7"/>
      <c r="J321" s="7"/>
      <c r="K321" s="7">
        <f ca="1">IFERROR(IF(COUNTA(J$56:J321)=J$54,J321,FORECAST(D321,OFFSET(M$56:M$254,MATCH(D321,L$56:L$254,1)-1,0,2), OFFSET(L$56:L$254,MATCH(D321,L$56:L$254,1)-1,0,2))),"")</f>
        <v>0</v>
      </c>
      <c r="L321" s="7" t="str">
        <f t="array" ref="L321">IFERROR(INDEX(D$56:D$1054,SMALL(IF(ISNUMBER(J$56:J$1054),ROW(D$1:D$999),""),ROW(D266))),"")</f>
        <v/>
      </c>
      <c r="M321" s="7" t="str">
        <f t="array" ref="M321">IFERROR(INDEX(J$56:J$1054,SMALL(IF(ISNUMBER(J$56:J$1054),ROW(J$1:J$999),""),ROW(J266))),"")</f>
        <v/>
      </c>
      <c r="N321" s="7"/>
      <c r="O321" s="7"/>
      <c r="P321" s="7"/>
      <c r="Q321" s="7">
        <f ca="1">IFERROR(IF(COUNTA(P$56:P321)=P$54,P321,FORECAST(D321,OFFSET(S$56:S$254,MATCH(D321,R$56:R$254,1)-1,0,2), OFFSET(R$56:R$254,MATCH(D321,R$56:R$254,1)-1,0,2))),"")</f>
        <v>0</v>
      </c>
      <c r="R321" s="7" t="str">
        <f t="array" ref="R321">IFERROR(INDEX(E$56:E$1054,SMALL(IF(ISNUMBER(P$56:P$1054),ROW(E$1:E$999),""),ROW(J266))),"")</f>
        <v/>
      </c>
      <c r="S321" s="7" t="str">
        <f t="array" ref="S321">IFERROR(INDEX(P$56:P$1054,SMALL(IF(ISNUMBER(P$56:P$1054),ROW(P$1:P$999),""),ROW(P266))),"")</f>
        <v/>
      </c>
      <c r="T321" s="7"/>
      <c r="U321" s="7"/>
      <c r="V321" s="7"/>
    </row>
    <row r="322" spans="1:22" x14ac:dyDescent="0.25">
      <c r="A322" s="6"/>
      <c r="B322" s="11"/>
      <c r="C322" s="12"/>
      <c r="D322" s="12"/>
      <c r="E322" s="8">
        <f t="shared" si="4"/>
        <v>0</v>
      </c>
      <c r="F322" s="10"/>
      <c r="G322" s="10"/>
      <c r="H322" s="9"/>
      <c r="I322" s="7"/>
      <c r="J322" s="7"/>
      <c r="K322" s="7">
        <f ca="1">IFERROR(IF(COUNTA(J$56:J322)=J$54,J322,FORECAST(D322,OFFSET(M$56:M$254,MATCH(D322,L$56:L$254,1)-1,0,2), OFFSET(L$56:L$254,MATCH(D322,L$56:L$254,1)-1,0,2))),"")</f>
        <v>0</v>
      </c>
      <c r="L322" s="7" t="str">
        <f t="array" ref="L322">IFERROR(INDEX(D$56:D$1054,SMALL(IF(ISNUMBER(J$56:J$1054),ROW(D$1:D$999),""),ROW(D267))),"")</f>
        <v/>
      </c>
      <c r="M322" s="7" t="str">
        <f t="array" ref="M322">IFERROR(INDEX(J$56:J$1054,SMALL(IF(ISNUMBER(J$56:J$1054),ROW(J$1:J$999),""),ROW(J267))),"")</f>
        <v/>
      </c>
      <c r="N322" s="7"/>
      <c r="O322" s="7"/>
      <c r="P322" s="7"/>
      <c r="Q322" s="7">
        <f ca="1">IFERROR(IF(COUNTA(P$56:P322)=P$54,P322,FORECAST(D322,OFFSET(S$56:S$254,MATCH(D322,R$56:R$254,1)-1,0,2), OFFSET(R$56:R$254,MATCH(D322,R$56:R$254,1)-1,0,2))),"")</f>
        <v>0</v>
      </c>
      <c r="R322" s="7" t="str">
        <f t="array" ref="R322">IFERROR(INDEX(E$56:E$1054,SMALL(IF(ISNUMBER(P$56:P$1054),ROW(E$1:E$999),""),ROW(J267))),"")</f>
        <v/>
      </c>
      <c r="S322" s="7" t="str">
        <f t="array" ref="S322">IFERROR(INDEX(P$56:P$1054,SMALL(IF(ISNUMBER(P$56:P$1054),ROW(P$1:P$999),""),ROW(P267))),"")</f>
        <v/>
      </c>
      <c r="T322" s="7"/>
      <c r="U322" s="7"/>
      <c r="V322" s="7"/>
    </row>
    <row r="323" spans="1:22" x14ac:dyDescent="0.25">
      <c r="A323" s="6"/>
      <c r="B323" s="11"/>
      <c r="C323" s="12"/>
      <c r="D323" s="12"/>
      <c r="E323" s="8">
        <f t="shared" si="4"/>
        <v>0</v>
      </c>
      <c r="F323" s="10"/>
      <c r="G323" s="10"/>
      <c r="H323" s="9"/>
      <c r="I323" s="7"/>
      <c r="J323" s="7"/>
      <c r="K323" s="7">
        <f ca="1">IFERROR(IF(COUNTA(J$56:J323)=J$54,J323,FORECAST(D323,OFFSET(M$56:M$254,MATCH(D323,L$56:L$254,1)-1,0,2), OFFSET(L$56:L$254,MATCH(D323,L$56:L$254,1)-1,0,2))),"")</f>
        <v>0</v>
      </c>
      <c r="L323" s="7" t="str">
        <f t="array" ref="L323">IFERROR(INDEX(D$56:D$1054,SMALL(IF(ISNUMBER(J$56:J$1054),ROW(D$1:D$999),""),ROW(D268))),"")</f>
        <v/>
      </c>
      <c r="M323" s="7" t="str">
        <f t="array" ref="M323">IFERROR(INDEX(J$56:J$1054,SMALL(IF(ISNUMBER(J$56:J$1054),ROW(J$1:J$999),""),ROW(J268))),"")</f>
        <v/>
      </c>
      <c r="N323" s="7"/>
      <c r="O323" s="7"/>
      <c r="P323" s="7"/>
      <c r="Q323" s="7">
        <f ca="1">IFERROR(IF(COUNTA(P$56:P323)=P$54,P323,FORECAST(D323,OFFSET(S$56:S$254,MATCH(D323,R$56:R$254,1)-1,0,2), OFFSET(R$56:R$254,MATCH(D323,R$56:R$254,1)-1,0,2))),"")</f>
        <v>0</v>
      </c>
      <c r="R323" s="7" t="str">
        <f t="array" ref="R323">IFERROR(INDEX(E$56:E$1054,SMALL(IF(ISNUMBER(P$56:P$1054),ROW(E$1:E$999),""),ROW(J268))),"")</f>
        <v/>
      </c>
      <c r="S323" s="7" t="str">
        <f t="array" ref="S323">IFERROR(INDEX(P$56:P$1054,SMALL(IF(ISNUMBER(P$56:P$1054),ROW(P$1:P$999),""),ROW(P268))),"")</f>
        <v/>
      </c>
      <c r="T323" s="7"/>
      <c r="U323" s="7"/>
      <c r="V323" s="7"/>
    </row>
    <row r="324" spans="1:22" x14ac:dyDescent="0.25">
      <c r="A324" s="6"/>
      <c r="B324" s="11"/>
      <c r="C324" s="12"/>
      <c r="D324" s="12"/>
      <c r="E324" s="8">
        <f t="shared" si="4"/>
        <v>0</v>
      </c>
      <c r="F324" s="10"/>
      <c r="G324" s="10"/>
      <c r="H324" s="9"/>
      <c r="I324" s="7"/>
      <c r="J324" s="7"/>
      <c r="K324" s="7">
        <f ca="1">IFERROR(IF(COUNTA(J$56:J324)=J$54,J324,FORECAST(D324,OFFSET(M$56:M$254,MATCH(D324,L$56:L$254,1)-1,0,2), OFFSET(L$56:L$254,MATCH(D324,L$56:L$254,1)-1,0,2))),"")</f>
        <v>0</v>
      </c>
      <c r="L324" s="7" t="str">
        <f t="array" ref="L324">IFERROR(INDEX(D$56:D$1054,SMALL(IF(ISNUMBER(J$56:J$1054),ROW(D$1:D$999),""),ROW(D269))),"")</f>
        <v/>
      </c>
      <c r="M324" s="7" t="str">
        <f t="array" ref="M324">IFERROR(INDEX(J$56:J$1054,SMALL(IF(ISNUMBER(J$56:J$1054),ROW(J$1:J$999),""),ROW(J269))),"")</f>
        <v/>
      </c>
      <c r="N324" s="7"/>
      <c r="O324" s="7"/>
      <c r="P324" s="7"/>
      <c r="Q324" s="7">
        <f ca="1">IFERROR(IF(COUNTA(P$56:P324)=P$54,P324,FORECAST(D324,OFFSET(S$56:S$254,MATCH(D324,R$56:R$254,1)-1,0,2), OFFSET(R$56:R$254,MATCH(D324,R$56:R$254,1)-1,0,2))),"")</f>
        <v>0</v>
      </c>
      <c r="R324" s="7" t="str">
        <f t="array" ref="R324">IFERROR(INDEX(E$56:E$1054,SMALL(IF(ISNUMBER(P$56:P$1054),ROW(E$1:E$999),""),ROW(J269))),"")</f>
        <v/>
      </c>
      <c r="S324" s="7" t="str">
        <f t="array" ref="S324">IFERROR(INDEX(P$56:P$1054,SMALL(IF(ISNUMBER(P$56:P$1054),ROW(P$1:P$999),""),ROW(P269))),"")</f>
        <v/>
      </c>
      <c r="T324" s="7"/>
      <c r="U324" s="7"/>
      <c r="V324" s="7"/>
    </row>
    <row r="325" spans="1:22" x14ac:dyDescent="0.25">
      <c r="A325" s="6"/>
      <c r="B325" s="11"/>
      <c r="C325" s="12"/>
      <c r="D325" s="12"/>
      <c r="E325" s="8">
        <f t="shared" si="4"/>
        <v>0</v>
      </c>
      <c r="F325" s="10"/>
      <c r="G325" s="10"/>
      <c r="H325" s="9"/>
      <c r="I325" s="7"/>
      <c r="J325" s="7"/>
      <c r="K325" s="7">
        <f ca="1">IFERROR(IF(COUNTA(J$56:J325)=J$54,J325,FORECAST(D325,OFFSET(M$56:M$254,MATCH(D325,L$56:L$254,1)-1,0,2), OFFSET(L$56:L$254,MATCH(D325,L$56:L$254,1)-1,0,2))),"")</f>
        <v>0</v>
      </c>
      <c r="L325" s="7" t="str">
        <f t="array" ref="L325">IFERROR(INDEX(D$56:D$1054,SMALL(IF(ISNUMBER(J$56:J$1054),ROW(D$1:D$999),""),ROW(D270))),"")</f>
        <v/>
      </c>
      <c r="M325" s="7" t="str">
        <f t="array" ref="M325">IFERROR(INDEX(J$56:J$1054,SMALL(IF(ISNUMBER(J$56:J$1054),ROW(J$1:J$999),""),ROW(J270))),"")</f>
        <v/>
      </c>
      <c r="N325" s="7"/>
      <c r="O325" s="7"/>
      <c r="P325" s="7"/>
      <c r="Q325" s="7">
        <f ca="1">IFERROR(IF(COUNTA(P$56:P325)=P$54,P325,FORECAST(D325,OFFSET(S$56:S$254,MATCH(D325,R$56:R$254,1)-1,0,2), OFFSET(R$56:R$254,MATCH(D325,R$56:R$254,1)-1,0,2))),"")</f>
        <v>0</v>
      </c>
      <c r="R325" s="7" t="str">
        <f t="array" ref="R325">IFERROR(INDEX(E$56:E$1054,SMALL(IF(ISNUMBER(P$56:P$1054),ROW(E$1:E$999),""),ROW(J270))),"")</f>
        <v/>
      </c>
      <c r="S325" s="7" t="str">
        <f t="array" ref="S325">IFERROR(INDEX(P$56:P$1054,SMALL(IF(ISNUMBER(P$56:P$1054),ROW(P$1:P$999),""),ROW(P270))),"")</f>
        <v/>
      </c>
      <c r="T325" s="7"/>
      <c r="U325" s="7"/>
      <c r="V325" s="7"/>
    </row>
    <row r="326" spans="1:22" x14ac:dyDescent="0.25">
      <c r="A326" s="6"/>
      <c r="B326" s="11"/>
      <c r="C326" s="12"/>
      <c r="D326" s="12"/>
      <c r="E326" s="8">
        <f t="shared" si="4"/>
        <v>0</v>
      </c>
      <c r="F326" s="10"/>
      <c r="G326" s="10"/>
      <c r="H326" s="9"/>
      <c r="I326" s="7"/>
      <c r="J326" s="7"/>
      <c r="K326" s="7">
        <f ca="1">IFERROR(IF(COUNTA(J$56:J326)=J$54,J326,FORECAST(D326,OFFSET(M$56:M$254,MATCH(D326,L$56:L$254,1)-1,0,2), OFFSET(L$56:L$254,MATCH(D326,L$56:L$254,1)-1,0,2))),"")</f>
        <v>0</v>
      </c>
      <c r="L326" s="7" t="str">
        <f t="array" ref="L326">IFERROR(INDEX(D$56:D$1054,SMALL(IF(ISNUMBER(J$56:J$1054),ROW(D$1:D$999),""),ROW(D271))),"")</f>
        <v/>
      </c>
      <c r="M326" s="7" t="str">
        <f t="array" ref="M326">IFERROR(INDEX(J$56:J$1054,SMALL(IF(ISNUMBER(J$56:J$1054),ROW(J$1:J$999),""),ROW(J271))),"")</f>
        <v/>
      </c>
      <c r="N326" s="7"/>
      <c r="O326" s="7"/>
      <c r="P326" s="7"/>
      <c r="Q326" s="7">
        <f ca="1">IFERROR(IF(COUNTA(P$56:P326)=P$54,P326,FORECAST(D326,OFFSET(S$56:S$254,MATCH(D326,R$56:R$254,1)-1,0,2), OFFSET(R$56:R$254,MATCH(D326,R$56:R$254,1)-1,0,2))),"")</f>
        <v>0</v>
      </c>
      <c r="R326" s="7" t="str">
        <f t="array" ref="R326">IFERROR(INDEX(E$56:E$1054,SMALL(IF(ISNUMBER(P$56:P$1054),ROW(E$1:E$999),""),ROW(J271))),"")</f>
        <v/>
      </c>
      <c r="S326" s="7" t="str">
        <f t="array" ref="S326">IFERROR(INDEX(P$56:P$1054,SMALL(IF(ISNUMBER(P$56:P$1054),ROW(P$1:P$999),""),ROW(P271))),"")</f>
        <v/>
      </c>
      <c r="T326" s="7"/>
      <c r="U326" s="7"/>
      <c r="V326" s="7"/>
    </row>
    <row r="327" spans="1:22" x14ac:dyDescent="0.25">
      <c r="A327" s="6"/>
      <c r="B327" s="11"/>
      <c r="C327" s="12"/>
      <c r="D327" s="12"/>
      <c r="E327" s="8">
        <f t="shared" si="4"/>
        <v>0</v>
      </c>
      <c r="F327" s="10"/>
      <c r="G327" s="10"/>
      <c r="H327" s="9"/>
      <c r="I327" s="7"/>
      <c r="J327" s="7"/>
      <c r="K327" s="7">
        <f ca="1">IFERROR(IF(COUNTA(J$56:J327)=J$54,J327,FORECAST(D327,OFFSET(M$56:M$254,MATCH(D327,L$56:L$254,1)-1,0,2), OFFSET(L$56:L$254,MATCH(D327,L$56:L$254,1)-1,0,2))),"")</f>
        <v>0</v>
      </c>
      <c r="L327" s="7" t="str">
        <f t="array" ref="L327">IFERROR(INDEX(D$56:D$1054,SMALL(IF(ISNUMBER(J$56:J$1054),ROW(D$1:D$999),""),ROW(D272))),"")</f>
        <v/>
      </c>
      <c r="M327" s="7" t="str">
        <f t="array" ref="M327">IFERROR(INDEX(J$56:J$1054,SMALL(IF(ISNUMBER(J$56:J$1054),ROW(J$1:J$999),""),ROW(J272))),"")</f>
        <v/>
      </c>
      <c r="N327" s="7"/>
      <c r="O327" s="7"/>
      <c r="P327" s="7"/>
      <c r="Q327" s="7">
        <f ca="1">IFERROR(IF(COUNTA(P$56:P327)=P$54,P327,FORECAST(D327,OFFSET(S$56:S$254,MATCH(D327,R$56:R$254,1)-1,0,2), OFFSET(R$56:R$254,MATCH(D327,R$56:R$254,1)-1,0,2))),"")</f>
        <v>0</v>
      </c>
      <c r="R327" s="7" t="str">
        <f t="array" ref="R327">IFERROR(INDEX(E$56:E$1054,SMALL(IF(ISNUMBER(P$56:P$1054),ROW(E$1:E$999),""),ROW(J272))),"")</f>
        <v/>
      </c>
      <c r="S327" s="7" t="str">
        <f t="array" ref="S327">IFERROR(INDEX(P$56:P$1054,SMALL(IF(ISNUMBER(P$56:P$1054),ROW(P$1:P$999),""),ROW(P272))),"")</f>
        <v/>
      </c>
      <c r="T327" s="7"/>
      <c r="U327" s="7"/>
      <c r="V327" s="7"/>
    </row>
    <row r="328" spans="1:22" x14ac:dyDescent="0.25">
      <c r="A328" s="6"/>
      <c r="B328" s="11"/>
      <c r="C328" s="12"/>
      <c r="D328" s="12"/>
      <c r="E328" s="8">
        <f t="shared" si="4"/>
        <v>0</v>
      </c>
      <c r="F328" s="10"/>
      <c r="G328" s="10"/>
      <c r="H328" s="9"/>
      <c r="I328" s="7"/>
      <c r="J328" s="7"/>
      <c r="K328" s="7">
        <f ca="1">IFERROR(IF(COUNTA(J$56:J328)=J$54,J328,FORECAST(D328,OFFSET(M$56:M$254,MATCH(D328,L$56:L$254,1)-1,0,2), OFFSET(L$56:L$254,MATCH(D328,L$56:L$254,1)-1,0,2))),"")</f>
        <v>0</v>
      </c>
      <c r="L328" s="7" t="str">
        <f t="array" ref="L328">IFERROR(INDEX(D$56:D$1054,SMALL(IF(ISNUMBER(J$56:J$1054),ROW(D$1:D$999),""),ROW(D273))),"")</f>
        <v/>
      </c>
      <c r="M328" s="7" t="str">
        <f t="array" ref="M328">IFERROR(INDEX(J$56:J$1054,SMALL(IF(ISNUMBER(J$56:J$1054),ROW(J$1:J$999),""),ROW(J273))),"")</f>
        <v/>
      </c>
      <c r="N328" s="7"/>
      <c r="O328" s="7"/>
      <c r="P328" s="7"/>
      <c r="Q328" s="7">
        <f ca="1">IFERROR(IF(COUNTA(P$56:P328)=P$54,P328,FORECAST(D328,OFFSET(S$56:S$254,MATCH(D328,R$56:R$254,1)-1,0,2), OFFSET(R$56:R$254,MATCH(D328,R$56:R$254,1)-1,0,2))),"")</f>
        <v>0</v>
      </c>
      <c r="R328" s="7" t="str">
        <f t="array" ref="R328">IFERROR(INDEX(E$56:E$1054,SMALL(IF(ISNUMBER(P$56:P$1054),ROW(E$1:E$999),""),ROW(J273))),"")</f>
        <v/>
      </c>
      <c r="S328" s="7" t="str">
        <f t="array" ref="S328">IFERROR(INDEX(P$56:P$1054,SMALL(IF(ISNUMBER(P$56:P$1054),ROW(P$1:P$999),""),ROW(P273))),"")</f>
        <v/>
      </c>
      <c r="T328" s="7"/>
      <c r="U328" s="7"/>
      <c r="V328" s="7"/>
    </row>
    <row r="329" spans="1:22" x14ac:dyDescent="0.25">
      <c r="A329" s="6"/>
      <c r="B329" s="11"/>
      <c r="C329" s="12"/>
      <c r="D329" s="12"/>
      <c r="E329" s="8">
        <f t="shared" si="4"/>
        <v>0</v>
      </c>
      <c r="F329" s="10"/>
      <c r="G329" s="10"/>
      <c r="H329" s="9"/>
      <c r="I329" s="7"/>
      <c r="J329" s="7"/>
      <c r="K329" s="7">
        <f ca="1">IFERROR(IF(COUNTA(J$56:J329)=J$54,J329,FORECAST(D329,OFFSET(M$56:M$254,MATCH(D329,L$56:L$254,1)-1,0,2), OFFSET(L$56:L$254,MATCH(D329,L$56:L$254,1)-1,0,2))),"")</f>
        <v>0</v>
      </c>
      <c r="L329" s="7" t="str">
        <f t="array" ref="L329">IFERROR(INDEX(D$56:D$1054,SMALL(IF(ISNUMBER(J$56:J$1054),ROW(D$1:D$999),""),ROW(D274))),"")</f>
        <v/>
      </c>
      <c r="M329" s="7" t="str">
        <f t="array" ref="M329">IFERROR(INDEX(J$56:J$1054,SMALL(IF(ISNUMBER(J$56:J$1054),ROW(J$1:J$999),""),ROW(J274))),"")</f>
        <v/>
      </c>
      <c r="N329" s="7"/>
      <c r="O329" s="7"/>
      <c r="P329" s="7"/>
      <c r="Q329" s="7">
        <f ca="1">IFERROR(IF(COUNTA(P$56:P329)=P$54,P329,FORECAST(D329,OFFSET(S$56:S$254,MATCH(D329,R$56:R$254,1)-1,0,2), OFFSET(R$56:R$254,MATCH(D329,R$56:R$254,1)-1,0,2))),"")</f>
        <v>0</v>
      </c>
      <c r="R329" s="7" t="str">
        <f t="array" ref="R329">IFERROR(INDEX(E$56:E$1054,SMALL(IF(ISNUMBER(P$56:P$1054),ROW(E$1:E$999),""),ROW(J274))),"")</f>
        <v/>
      </c>
      <c r="S329" s="7" t="str">
        <f t="array" ref="S329">IFERROR(INDEX(P$56:P$1054,SMALL(IF(ISNUMBER(P$56:P$1054),ROW(P$1:P$999),""),ROW(P274))),"")</f>
        <v/>
      </c>
      <c r="T329" s="7"/>
      <c r="U329" s="7"/>
      <c r="V329" s="7"/>
    </row>
    <row r="330" spans="1:22" x14ac:dyDescent="0.25">
      <c r="A330" s="6"/>
      <c r="B330" s="11"/>
      <c r="C330" s="12"/>
      <c r="D330" s="12"/>
      <c r="E330" s="8">
        <f t="shared" si="4"/>
        <v>0</v>
      </c>
      <c r="F330" s="10"/>
      <c r="G330" s="10"/>
      <c r="H330" s="9"/>
      <c r="I330" s="7"/>
      <c r="J330" s="7"/>
      <c r="K330" s="7">
        <f ca="1">IFERROR(IF(COUNTA(J$56:J330)=J$54,J330,FORECAST(D330,OFFSET(M$56:M$254,MATCH(D330,L$56:L$254,1)-1,0,2), OFFSET(L$56:L$254,MATCH(D330,L$56:L$254,1)-1,0,2))),"")</f>
        <v>0</v>
      </c>
      <c r="L330" s="7" t="str">
        <f t="array" ref="L330">IFERROR(INDEX(D$56:D$1054,SMALL(IF(ISNUMBER(J$56:J$1054),ROW(D$1:D$999),""),ROW(D275))),"")</f>
        <v/>
      </c>
      <c r="M330" s="7" t="str">
        <f t="array" ref="M330">IFERROR(INDEX(J$56:J$1054,SMALL(IF(ISNUMBER(J$56:J$1054),ROW(J$1:J$999),""),ROW(J275))),"")</f>
        <v/>
      </c>
      <c r="N330" s="7"/>
      <c r="O330" s="7"/>
      <c r="P330" s="7"/>
      <c r="Q330" s="7">
        <f ca="1">IFERROR(IF(COUNTA(P$56:P330)=P$54,P330,FORECAST(D330,OFFSET(S$56:S$254,MATCH(D330,R$56:R$254,1)-1,0,2), OFFSET(R$56:R$254,MATCH(D330,R$56:R$254,1)-1,0,2))),"")</f>
        <v>0</v>
      </c>
      <c r="R330" s="7" t="str">
        <f t="array" ref="R330">IFERROR(INDEX(E$56:E$1054,SMALL(IF(ISNUMBER(P$56:P$1054),ROW(E$1:E$999),""),ROW(J275))),"")</f>
        <v/>
      </c>
      <c r="S330" s="7" t="str">
        <f t="array" ref="S330">IFERROR(INDEX(P$56:P$1054,SMALL(IF(ISNUMBER(P$56:P$1054),ROW(P$1:P$999),""),ROW(P275))),"")</f>
        <v/>
      </c>
      <c r="T330" s="7"/>
      <c r="U330" s="7"/>
      <c r="V330" s="7"/>
    </row>
    <row r="331" spans="1:22" x14ac:dyDescent="0.25">
      <c r="A331" s="6"/>
      <c r="B331" s="11"/>
      <c r="C331" s="12"/>
      <c r="D331" s="12"/>
      <c r="E331" s="8">
        <f t="shared" si="4"/>
        <v>0</v>
      </c>
      <c r="F331" s="10"/>
      <c r="G331" s="10"/>
      <c r="H331" s="9"/>
      <c r="I331" s="7"/>
      <c r="J331" s="7"/>
      <c r="K331" s="7">
        <f ca="1">IFERROR(IF(COUNTA(J$56:J331)=J$54,J331,FORECAST(D331,OFFSET(M$56:M$254,MATCH(D331,L$56:L$254,1)-1,0,2), OFFSET(L$56:L$254,MATCH(D331,L$56:L$254,1)-1,0,2))),"")</f>
        <v>0</v>
      </c>
      <c r="L331" s="7" t="str">
        <f t="array" ref="L331">IFERROR(INDEX(D$56:D$1054,SMALL(IF(ISNUMBER(J$56:J$1054),ROW(D$1:D$999),""),ROW(D276))),"")</f>
        <v/>
      </c>
      <c r="M331" s="7" t="str">
        <f t="array" ref="M331">IFERROR(INDEX(J$56:J$1054,SMALL(IF(ISNUMBER(J$56:J$1054),ROW(J$1:J$999),""),ROW(J276))),"")</f>
        <v/>
      </c>
      <c r="N331" s="7"/>
      <c r="O331" s="7"/>
      <c r="P331" s="7"/>
      <c r="Q331" s="7">
        <f ca="1">IFERROR(IF(COUNTA(P$56:P331)=P$54,P331,FORECAST(D331,OFFSET(S$56:S$254,MATCH(D331,R$56:R$254,1)-1,0,2), OFFSET(R$56:R$254,MATCH(D331,R$56:R$254,1)-1,0,2))),"")</f>
        <v>0</v>
      </c>
      <c r="R331" s="7" t="str">
        <f t="array" ref="R331">IFERROR(INDEX(E$56:E$1054,SMALL(IF(ISNUMBER(P$56:P$1054),ROW(E$1:E$999),""),ROW(J276))),"")</f>
        <v/>
      </c>
      <c r="S331" s="7" t="str">
        <f t="array" ref="S331">IFERROR(INDEX(P$56:P$1054,SMALL(IF(ISNUMBER(P$56:P$1054),ROW(P$1:P$999),""),ROW(P276))),"")</f>
        <v/>
      </c>
      <c r="T331" s="7"/>
      <c r="U331" s="7"/>
      <c r="V331" s="7"/>
    </row>
    <row r="332" spans="1:22" x14ac:dyDescent="0.25">
      <c r="A332" s="6"/>
      <c r="B332" s="11"/>
      <c r="C332" s="12"/>
      <c r="D332" s="12"/>
      <c r="E332" s="8">
        <f t="shared" si="4"/>
        <v>0</v>
      </c>
      <c r="F332" s="10"/>
      <c r="G332" s="10"/>
      <c r="H332" s="9"/>
      <c r="I332" s="7"/>
      <c r="J332" s="7"/>
      <c r="K332" s="7">
        <f ca="1">IFERROR(IF(COUNTA(J$56:J332)=J$54,J332,FORECAST(D332,OFFSET(M$56:M$254,MATCH(D332,L$56:L$254,1)-1,0,2), OFFSET(L$56:L$254,MATCH(D332,L$56:L$254,1)-1,0,2))),"")</f>
        <v>0</v>
      </c>
      <c r="L332" s="7" t="str">
        <f t="array" ref="L332">IFERROR(INDEX(D$56:D$1054,SMALL(IF(ISNUMBER(J$56:J$1054),ROW(D$1:D$999),""),ROW(D277))),"")</f>
        <v/>
      </c>
      <c r="M332" s="7" t="str">
        <f t="array" ref="M332">IFERROR(INDEX(J$56:J$1054,SMALL(IF(ISNUMBER(J$56:J$1054),ROW(J$1:J$999),""),ROW(J277))),"")</f>
        <v/>
      </c>
      <c r="N332" s="7"/>
      <c r="O332" s="7"/>
      <c r="P332" s="7"/>
      <c r="Q332" s="7">
        <f ca="1">IFERROR(IF(COUNTA(P$56:P332)=P$54,P332,FORECAST(D332,OFFSET(S$56:S$254,MATCH(D332,R$56:R$254,1)-1,0,2), OFFSET(R$56:R$254,MATCH(D332,R$56:R$254,1)-1,0,2))),"")</f>
        <v>0</v>
      </c>
      <c r="R332" s="7" t="str">
        <f t="array" ref="R332">IFERROR(INDEX(E$56:E$1054,SMALL(IF(ISNUMBER(P$56:P$1054),ROW(E$1:E$999),""),ROW(J277))),"")</f>
        <v/>
      </c>
      <c r="S332" s="7" t="str">
        <f t="array" ref="S332">IFERROR(INDEX(P$56:P$1054,SMALL(IF(ISNUMBER(P$56:P$1054),ROW(P$1:P$999),""),ROW(P277))),"")</f>
        <v/>
      </c>
      <c r="T332" s="7"/>
      <c r="U332" s="7"/>
      <c r="V332" s="7"/>
    </row>
    <row r="333" spans="1:22" x14ac:dyDescent="0.25">
      <c r="A333" s="6"/>
      <c r="B333" s="11"/>
      <c r="C333" s="12"/>
      <c r="D333" s="12"/>
      <c r="E333" s="8">
        <f t="shared" si="4"/>
        <v>0</v>
      </c>
      <c r="F333" s="10"/>
      <c r="G333" s="10"/>
      <c r="H333" s="9"/>
      <c r="I333" s="7"/>
      <c r="J333" s="7"/>
      <c r="K333" s="7">
        <f ca="1">IFERROR(IF(COUNTA(J$56:J333)=J$54,J333,FORECAST(D333,OFFSET(M$56:M$254,MATCH(D333,L$56:L$254,1)-1,0,2), OFFSET(L$56:L$254,MATCH(D333,L$56:L$254,1)-1,0,2))),"")</f>
        <v>0</v>
      </c>
      <c r="L333" s="7" t="str">
        <f t="array" ref="L333">IFERROR(INDEX(D$56:D$1054,SMALL(IF(ISNUMBER(J$56:J$1054),ROW(D$1:D$999),""),ROW(D278))),"")</f>
        <v/>
      </c>
      <c r="M333" s="7" t="str">
        <f t="array" ref="M333">IFERROR(INDEX(J$56:J$1054,SMALL(IF(ISNUMBER(J$56:J$1054),ROW(J$1:J$999),""),ROW(J278))),"")</f>
        <v/>
      </c>
      <c r="N333" s="7"/>
      <c r="O333" s="7"/>
      <c r="P333" s="7"/>
      <c r="Q333" s="7">
        <f ca="1">IFERROR(IF(COUNTA(P$56:P333)=P$54,P333,FORECAST(D333,OFFSET(S$56:S$254,MATCH(D333,R$56:R$254,1)-1,0,2), OFFSET(R$56:R$254,MATCH(D333,R$56:R$254,1)-1,0,2))),"")</f>
        <v>0</v>
      </c>
      <c r="R333" s="7" t="str">
        <f t="array" ref="R333">IFERROR(INDEX(E$56:E$1054,SMALL(IF(ISNUMBER(P$56:P$1054),ROW(E$1:E$999),""),ROW(J278))),"")</f>
        <v/>
      </c>
      <c r="S333" s="7" t="str">
        <f t="array" ref="S333">IFERROR(INDEX(P$56:P$1054,SMALL(IF(ISNUMBER(P$56:P$1054),ROW(P$1:P$999),""),ROW(P278))),"")</f>
        <v/>
      </c>
      <c r="T333" s="7"/>
      <c r="U333" s="7"/>
      <c r="V333" s="7"/>
    </row>
    <row r="334" spans="1:22" x14ac:dyDescent="0.25">
      <c r="A334" s="6"/>
      <c r="B334" s="11"/>
      <c r="C334" s="12"/>
      <c r="D334" s="12"/>
      <c r="E334" s="8">
        <f t="shared" si="4"/>
        <v>0</v>
      </c>
      <c r="F334" s="10"/>
      <c r="G334" s="10"/>
      <c r="H334" s="9"/>
      <c r="I334" s="7"/>
      <c r="J334" s="7"/>
      <c r="K334" s="7">
        <f ca="1">IFERROR(IF(COUNTA(J$56:J334)=J$54,J334,FORECAST(D334,OFFSET(M$56:M$254,MATCH(D334,L$56:L$254,1)-1,0,2), OFFSET(L$56:L$254,MATCH(D334,L$56:L$254,1)-1,0,2))),"")</f>
        <v>0</v>
      </c>
      <c r="L334" s="7" t="str">
        <f t="array" ref="L334">IFERROR(INDEX(D$56:D$1054,SMALL(IF(ISNUMBER(J$56:J$1054),ROW(D$1:D$999),""),ROW(D279))),"")</f>
        <v/>
      </c>
      <c r="M334" s="7" t="str">
        <f t="array" ref="M334">IFERROR(INDEX(J$56:J$1054,SMALL(IF(ISNUMBER(J$56:J$1054),ROW(J$1:J$999),""),ROW(J279))),"")</f>
        <v/>
      </c>
      <c r="N334" s="7"/>
      <c r="O334" s="7"/>
      <c r="P334" s="7"/>
      <c r="Q334" s="7">
        <f ca="1">IFERROR(IF(COUNTA(P$56:P334)=P$54,P334,FORECAST(D334,OFFSET(S$56:S$254,MATCH(D334,R$56:R$254,1)-1,0,2), OFFSET(R$56:R$254,MATCH(D334,R$56:R$254,1)-1,0,2))),"")</f>
        <v>0</v>
      </c>
      <c r="R334" s="7" t="str">
        <f t="array" ref="R334">IFERROR(INDEX(E$56:E$1054,SMALL(IF(ISNUMBER(P$56:P$1054),ROW(E$1:E$999),""),ROW(J279))),"")</f>
        <v/>
      </c>
      <c r="S334" s="7" t="str">
        <f t="array" ref="S334">IFERROR(INDEX(P$56:P$1054,SMALL(IF(ISNUMBER(P$56:P$1054),ROW(P$1:P$999),""),ROW(P279))),"")</f>
        <v/>
      </c>
      <c r="T334" s="7"/>
      <c r="U334" s="7"/>
      <c r="V334" s="7"/>
    </row>
    <row r="335" spans="1:22" x14ac:dyDescent="0.25">
      <c r="A335" s="6"/>
      <c r="B335" s="11"/>
      <c r="C335" s="12"/>
      <c r="D335" s="12"/>
      <c r="E335" s="8">
        <f t="shared" si="4"/>
        <v>0</v>
      </c>
      <c r="F335" s="10"/>
      <c r="G335" s="10"/>
      <c r="H335" s="9"/>
      <c r="I335" s="7"/>
      <c r="J335" s="7"/>
      <c r="K335" s="7">
        <f ca="1">IFERROR(IF(COUNTA(J$56:J335)=J$54,J335,FORECAST(D335,OFFSET(M$56:M$254,MATCH(D335,L$56:L$254,1)-1,0,2), OFFSET(L$56:L$254,MATCH(D335,L$56:L$254,1)-1,0,2))),"")</f>
        <v>0</v>
      </c>
      <c r="L335" s="7" t="str">
        <f t="array" ref="L335">IFERROR(INDEX(D$56:D$1054,SMALL(IF(ISNUMBER(J$56:J$1054),ROW(D$1:D$999),""),ROW(D280))),"")</f>
        <v/>
      </c>
      <c r="M335" s="7" t="str">
        <f t="array" ref="M335">IFERROR(INDEX(J$56:J$1054,SMALL(IF(ISNUMBER(J$56:J$1054),ROW(J$1:J$999),""),ROW(J280))),"")</f>
        <v/>
      </c>
      <c r="N335" s="7"/>
      <c r="O335" s="7"/>
      <c r="P335" s="7"/>
      <c r="Q335" s="7">
        <f ca="1">IFERROR(IF(COUNTA(P$56:P335)=P$54,P335,FORECAST(D335,OFFSET(S$56:S$254,MATCH(D335,R$56:R$254,1)-1,0,2), OFFSET(R$56:R$254,MATCH(D335,R$56:R$254,1)-1,0,2))),"")</f>
        <v>0</v>
      </c>
      <c r="R335" s="7" t="str">
        <f t="array" ref="R335">IFERROR(INDEX(E$56:E$1054,SMALL(IF(ISNUMBER(P$56:P$1054),ROW(E$1:E$999),""),ROW(J280))),"")</f>
        <v/>
      </c>
      <c r="S335" s="7" t="str">
        <f t="array" ref="S335">IFERROR(INDEX(P$56:P$1054,SMALL(IF(ISNUMBER(P$56:P$1054),ROW(P$1:P$999),""),ROW(P280))),"")</f>
        <v/>
      </c>
      <c r="T335" s="7"/>
      <c r="U335" s="7"/>
      <c r="V335" s="7"/>
    </row>
    <row r="336" spans="1:22" x14ac:dyDescent="0.25">
      <c r="A336" s="6"/>
      <c r="B336" s="11"/>
      <c r="C336" s="12"/>
      <c r="D336" s="12"/>
      <c r="E336" s="8">
        <f t="shared" si="4"/>
        <v>0</v>
      </c>
      <c r="F336" s="10"/>
      <c r="G336" s="10"/>
      <c r="H336" s="9"/>
      <c r="I336" s="7"/>
      <c r="J336" s="7"/>
      <c r="K336" s="7">
        <f ca="1">IFERROR(IF(COUNTA(J$56:J336)=J$54,J336,FORECAST(D336,OFFSET(M$56:M$254,MATCH(D336,L$56:L$254,1)-1,0,2), OFFSET(L$56:L$254,MATCH(D336,L$56:L$254,1)-1,0,2))),"")</f>
        <v>0</v>
      </c>
      <c r="L336" s="7" t="str">
        <f t="array" ref="L336">IFERROR(INDEX(D$56:D$1054,SMALL(IF(ISNUMBER(J$56:J$1054),ROW(D$1:D$999),""),ROW(D281))),"")</f>
        <v/>
      </c>
      <c r="M336" s="7" t="str">
        <f t="array" ref="M336">IFERROR(INDEX(J$56:J$1054,SMALL(IF(ISNUMBER(J$56:J$1054),ROW(J$1:J$999),""),ROW(J281))),"")</f>
        <v/>
      </c>
      <c r="N336" s="7"/>
      <c r="O336" s="7"/>
      <c r="P336" s="7"/>
      <c r="Q336" s="7">
        <f ca="1">IFERROR(IF(COUNTA(P$56:P336)=P$54,P336,FORECAST(D336,OFFSET(S$56:S$254,MATCH(D336,R$56:R$254,1)-1,0,2), OFFSET(R$56:R$254,MATCH(D336,R$56:R$254,1)-1,0,2))),"")</f>
        <v>0</v>
      </c>
      <c r="R336" s="7" t="str">
        <f t="array" ref="R336">IFERROR(INDEX(E$56:E$1054,SMALL(IF(ISNUMBER(P$56:P$1054),ROW(E$1:E$999),""),ROW(J281))),"")</f>
        <v/>
      </c>
      <c r="S336" s="7" t="str">
        <f t="array" ref="S336">IFERROR(INDEX(P$56:P$1054,SMALL(IF(ISNUMBER(P$56:P$1054),ROW(P$1:P$999),""),ROW(P281))),"")</f>
        <v/>
      </c>
      <c r="T336" s="7"/>
      <c r="U336" s="7"/>
      <c r="V336" s="7"/>
    </row>
    <row r="337" spans="1:22" x14ac:dyDescent="0.25">
      <c r="A337" s="6"/>
      <c r="B337" s="11"/>
      <c r="C337" s="12"/>
      <c r="D337" s="12"/>
      <c r="E337" s="8">
        <f t="shared" si="4"/>
        <v>0</v>
      </c>
      <c r="F337" s="10"/>
      <c r="G337" s="10"/>
      <c r="H337" s="9"/>
      <c r="I337" s="7"/>
      <c r="J337" s="7"/>
      <c r="K337" s="7">
        <f ca="1">IFERROR(IF(COUNTA(J$56:J337)=J$54,J337,FORECAST(D337,OFFSET(M$56:M$254,MATCH(D337,L$56:L$254,1)-1,0,2), OFFSET(L$56:L$254,MATCH(D337,L$56:L$254,1)-1,0,2))),"")</f>
        <v>0</v>
      </c>
      <c r="L337" s="7" t="str">
        <f t="array" ref="L337">IFERROR(INDEX(D$56:D$1054,SMALL(IF(ISNUMBER(J$56:J$1054),ROW(D$1:D$999),""),ROW(D282))),"")</f>
        <v/>
      </c>
      <c r="M337" s="7" t="str">
        <f t="array" ref="M337">IFERROR(INDEX(J$56:J$1054,SMALL(IF(ISNUMBER(J$56:J$1054),ROW(J$1:J$999),""),ROW(J282))),"")</f>
        <v/>
      </c>
      <c r="N337" s="7"/>
      <c r="O337" s="7"/>
      <c r="P337" s="7"/>
      <c r="Q337" s="7">
        <f ca="1">IFERROR(IF(COUNTA(P$56:P337)=P$54,P337,FORECAST(D337,OFFSET(S$56:S$254,MATCH(D337,R$56:R$254,1)-1,0,2), OFFSET(R$56:R$254,MATCH(D337,R$56:R$254,1)-1,0,2))),"")</f>
        <v>0</v>
      </c>
      <c r="R337" s="7" t="str">
        <f t="array" ref="R337">IFERROR(INDEX(E$56:E$1054,SMALL(IF(ISNUMBER(P$56:P$1054),ROW(E$1:E$999),""),ROW(J282))),"")</f>
        <v/>
      </c>
      <c r="S337" s="7" t="str">
        <f t="array" ref="S337">IFERROR(INDEX(P$56:P$1054,SMALL(IF(ISNUMBER(P$56:P$1054),ROW(P$1:P$999),""),ROW(P282))),"")</f>
        <v/>
      </c>
      <c r="T337" s="7"/>
      <c r="U337" s="7"/>
      <c r="V337" s="7"/>
    </row>
    <row r="338" spans="1:22" x14ac:dyDescent="0.25">
      <c r="A338" s="6"/>
      <c r="B338" s="11"/>
      <c r="C338" s="12"/>
      <c r="D338" s="12"/>
      <c r="E338" s="8">
        <f t="shared" si="4"/>
        <v>0</v>
      </c>
      <c r="F338" s="10"/>
      <c r="G338" s="10"/>
      <c r="H338" s="9"/>
      <c r="I338" s="7"/>
      <c r="J338" s="7"/>
      <c r="K338" s="7">
        <f ca="1">IFERROR(IF(COUNTA(J$56:J338)=J$54,J338,FORECAST(D338,OFFSET(M$56:M$254,MATCH(D338,L$56:L$254,1)-1,0,2), OFFSET(L$56:L$254,MATCH(D338,L$56:L$254,1)-1,0,2))),"")</f>
        <v>0</v>
      </c>
      <c r="L338" s="7" t="str">
        <f t="array" ref="L338">IFERROR(INDEX(D$56:D$1054,SMALL(IF(ISNUMBER(J$56:J$1054),ROW(D$1:D$999),""),ROW(D283))),"")</f>
        <v/>
      </c>
      <c r="M338" s="7" t="str">
        <f t="array" ref="M338">IFERROR(INDEX(J$56:J$1054,SMALL(IF(ISNUMBER(J$56:J$1054),ROW(J$1:J$999),""),ROW(J283))),"")</f>
        <v/>
      </c>
      <c r="N338" s="7"/>
      <c r="O338" s="7"/>
      <c r="P338" s="7"/>
      <c r="Q338" s="7">
        <f ca="1">IFERROR(IF(COUNTA(P$56:P338)=P$54,P338,FORECAST(D338,OFFSET(S$56:S$254,MATCH(D338,R$56:R$254,1)-1,0,2), OFFSET(R$56:R$254,MATCH(D338,R$56:R$254,1)-1,0,2))),"")</f>
        <v>0</v>
      </c>
      <c r="R338" s="7" t="str">
        <f t="array" ref="R338">IFERROR(INDEX(E$56:E$1054,SMALL(IF(ISNUMBER(P$56:P$1054),ROW(E$1:E$999),""),ROW(J283))),"")</f>
        <v/>
      </c>
      <c r="S338" s="7" t="str">
        <f t="array" ref="S338">IFERROR(INDEX(P$56:P$1054,SMALL(IF(ISNUMBER(P$56:P$1054),ROW(P$1:P$999),""),ROW(P283))),"")</f>
        <v/>
      </c>
      <c r="T338" s="7"/>
      <c r="U338" s="7"/>
      <c r="V338" s="7"/>
    </row>
    <row r="339" spans="1:22" x14ac:dyDescent="0.25">
      <c r="A339" s="6"/>
      <c r="B339" s="11"/>
      <c r="C339" s="12"/>
      <c r="D339" s="12"/>
      <c r="E339" s="8">
        <f t="shared" si="4"/>
        <v>0</v>
      </c>
      <c r="F339" s="10"/>
      <c r="G339" s="10"/>
      <c r="H339" s="9"/>
      <c r="I339" s="7"/>
      <c r="J339" s="7"/>
      <c r="K339" s="7">
        <f ca="1">IFERROR(IF(COUNTA(J$56:J339)=J$54,J339,FORECAST(D339,OFFSET(M$56:M$254,MATCH(D339,L$56:L$254,1)-1,0,2), OFFSET(L$56:L$254,MATCH(D339,L$56:L$254,1)-1,0,2))),"")</f>
        <v>0</v>
      </c>
      <c r="L339" s="7" t="str">
        <f t="array" ref="L339">IFERROR(INDEX(D$56:D$1054,SMALL(IF(ISNUMBER(J$56:J$1054),ROW(D$1:D$999),""),ROW(D284))),"")</f>
        <v/>
      </c>
      <c r="M339" s="7" t="str">
        <f t="array" ref="M339">IFERROR(INDEX(J$56:J$1054,SMALL(IF(ISNUMBER(J$56:J$1054),ROW(J$1:J$999),""),ROW(J284))),"")</f>
        <v/>
      </c>
      <c r="N339" s="7"/>
      <c r="O339" s="7"/>
      <c r="P339" s="7"/>
      <c r="Q339" s="7">
        <f ca="1">IFERROR(IF(COUNTA(P$56:P339)=P$54,P339,FORECAST(D339,OFFSET(S$56:S$254,MATCH(D339,R$56:R$254,1)-1,0,2), OFFSET(R$56:R$254,MATCH(D339,R$56:R$254,1)-1,0,2))),"")</f>
        <v>0</v>
      </c>
      <c r="R339" s="7" t="str">
        <f t="array" ref="R339">IFERROR(INDEX(E$56:E$1054,SMALL(IF(ISNUMBER(P$56:P$1054),ROW(E$1:E$999),""),ROW(J284))),"")</f>
        <v/>
      </c>
      <c r="S339" s="7" t="str">
        <f t="array" ref="S339">IFERROR(INDEX(P$56:P$1054,SMALL(IF(ISNUMBER(P$56:P$1054),ROW(P$1:P$999),""),ROW(P284))),"")</f>
        <v/>
      </c>
      <c r="T339" s="7"/>
      <c r="U339" s="7"/>
      <c r="V339" s="7"/>
    </row>
    <row r="340" spans="1:22" x14ac:dyDescent="0.25">
      <c r="A340" s="6"/>
      <c r="B340" s="11"/>
      <c r="C340" s="12"/>
      <c r="D340" s="12"/>
      <c r="E340" s="8">
        <f t="shared" si="4"/>
        <v>0</v>
      </c>
      <c r="F340" s="10"/>
      <c r="G340" s="10"/>
      <c r="H340" s="9"/>
      <c r="I340" s="7"/>
      <c r="J340" s="7"/>
      <c r="K340" s="7">
        <f ca="1">IFERROR(IF(COUNTA(J$56:J340)=J$54,J340,FORECAST(D340,OFFSET(M$56:M$254,MATCH(D340,L$56:L$254,1)-1,0,2), OFFSET(L$56:L$254,MATCH(D340,L$56:L$254,1)-1,0,2))),"")</f>
        <v>0</v>
      </c>
      <c r="L340" s="7" t="str">
        <f t="array" ref="L340">IFERROR(INDEX(D$56:D$1054,SMALL(IF(ISNUMBER(J$56:J$1054),ROW(D$1:D$999),""),ROW(D285))),"")</f>
        <v/>
      </c>
      <c r="M340" s="7" t="str">
        <f t="array" ref="M340">IFERROR(INDEX(J$56:J$1054,SMALL(IF(ISNUMBER(J$56:J$1054),ROW(J$1:J$999),""),ROW(J285))),"")</f>
        <v/>
      </c>
      <c r="N340" s="7"/>
      <c r="O340" s="7"/>
      <c r="P340" s="7"/>
      <c r="Q340" s="7">
        <f ca="1">IFERROR(IF(COUNTA(P$56:P340)=P$54,P340,FORECAST(D340,OFFSET(S$56:S$254,MATCH(D340,R$56:R$254,1)-1,0,2), OFFSET(R$56:R$254,MATCH(D340,R$56:R$254,1)-1,0,2))),"")</f>
        <v>0</v>
      </c>
      <c r="R340" s="7" t="str">
        <f t="array" ref="R340">IFERROR(INDEX(E$56:E$1054,SMALL(IF(ISNUMBER(P$56:P$1054),ROW(E$1:E$999),""),ROW(J285))),"")</f>
        <v/>
      </c>
      <c r="S340" s="7" t="str">
        <f t="array" ref="S340">IFERROR(INDEX(P$56:P$1054,SMALL(IF(ISNUMBER(P$56:P$1054),ROW(P$1:P$999),""),ROW(P285))),"")</f>
        <v/>
      </c>
      <c r="T340" s="7"/>
      <c r="U340" s="7"/>
      <c r="V340" s="7"/>
    </row>
    <row r="341" spans="1:22" x14ac:dyDescent="0.25">
      <c r="A341" s="6"/>
      <c r="B341" s="11"/>
      <c r="C341" s="12"/>
      <c r="D341" s="12"/>
      <c r="E341" s="8">
        <f t="shared" si="4"/>
        <v>0</v>
      </c>
      <c r="F341" s="10"/>
      <c r="G341" s="10"/>
      <c r="H341" s="9"/>
      <c r="I341" s="7"/>
      <c r="J341" s="7"/>
      <c r="K341" s="7">
        <f ca="1">IFERROR(IF(COUNTA(J$56:J341)=J$54,J341,FORECAST(D341,OFFSET(M$56:M$254,MATCH(D341,L$56:L$254,1)-1,0,2), OFFSET(L$56:L$254,MATCH(D341,L$56:L$254,1)-1,0,2))),"")</f>
        <v>0</v>
      </c>
      <c r="L341" s="7" t="str">
        <f t="array" ref="L341">IFERROR(INDEX(D$56:D$1054,SMALL(IF(ISNUMBER(J$56:J$1054),ROW(D$1:D$999),""),ROW(D286))),"")</f>
        <v/>
      </c>
      <c r="M341" s="7" t="str">
        <f t="array" ref="M341">IFERROR(INDEX(J$56:J$1054,SMALL(IF(ISNUMBER(J$56:J$1054),ROW(J$1:J$999),""),ROW(J286))),"")</f>
        <v/>
      </c>
      <c r="N341" s="7"/>
      <c r="O341" s="7"/>
      <c r="P341" s="7"/>
      <c r="Q341" s="7">
        <f ca="1">IFERROR(IF(COUNTA(P$56:P341)=P$54,P341,FORECAST(D341,OFFSET(S$56:S$254,MATCH(D341,R$56:R$254,1)-1,0,2), OFFSET(R$56:R$254,MATCH(D341,R$56:R$254,1)-1,0,2))),"")</f>
        <v>0</v>
      </c>
      <c r="R341" s="7" t="str">
        <f t="array" ref="R341">IFERROR(INDEX(E$56:E$1054,SMALL(IF(ISNUMBER(P$56:P$1054),ROW(E$1:E$999),""),ROW(J286))),"")</f>
        <v/>
      </c>
      <c r="S341" s="7" t="str">
        <f t="array" ref="S341">IFERROR(INDEX(P$56:P$1054,SMALL(IF(ISNUMBER(P$56:P$1054),ROW(P$1:P$999),""),ROW(P286))),"")</f>
        <v/>
      </c>
      <c r="T341" s="7"/>
      <c r="U341" s="7"/>
      <c r="V341" s="7"/>
    </row>
    <row r="342" spans="1:22" x14ac:dyDescent="0.25">
      <c r="A342" s="6"/>
      <c r="B342" s="11"/>
      <c r="C342" s="12"/>
      <c r="D342" s="12"/>
      <c r="E342" s="8">
        <f t="shared" si="4"/>
        <v>0</v>
      </c>
      <c r="F342" s="10"/>
      <c r="G342" s="10"/>
      <c r="H342" s="9"/>
      <c r="I342" s="7"/>
      <c r="J342" s="7"/>
      <c r="K342" s="7">
        <f ca="1">IFERROR(IF(COUNTA(J$56:J342)=J$54,J342,FORECAST(D342,OFFSET(M$56:M$254,MATCH(D342,L$56:L$254,1)-1,0,2), OFFSET(L$56:L$254,MATCH(D342,L$56:L$254,1)-1,0,2))),"")</f>
        <v>0</v>
      </c>
      <c r="L342" s="7" t="str">
        <f t="array" ref="L342">IFERROR(INDEX(D$56:D$1054,SMALL(IF(ISNUMBER(J$56:J$1054),ROW(D$1:D$999),""),ROW(D287))),"")</f>
        <v/>
      </c>
      <c r="M342" s="7" t="str">
        <f t="array" ref="M342">IFERROR(INDEX(J$56:J$1054,SMALL(IF(ISNUMBER(J$56:J$1054),ROW(J$1:J$999),""),ROW(J287))),"")</f>
        <v/>
      </c>
      <c r="N342" s="7"/>
      <c r="O342" s="7"/>
      <c r="P342" s="7"/>
      <c r="Q342" s="7">
        <f ca="1">IFERROR(IF(COUNTA(P$56:P342)=P$54,P342,FORECAST(D342,OFFSET(S$56:S$254,MATCH(D342,R$56:R$254,1)-1,0,2), OFFSET(R$56:R$254,MATCH(D342,R$56:R$254,1)-1,0,2))),"")</f>
        <v>0</v>
      </c>
      <c r="R342" s="7" t="str">
        <f t="array" ref="R342">IFERROR(INDEX(E$56:E$1054,SMALL(IF(ISNUMBER(P$56:P$1054),ROW(E$1:E$999),""),ROW(J287))),"")</f>
        <v/>
      </c>
      <c r="S342" s="7" t="str">
        <f t="array" ref="S342">IFERROR(INDEX(P$56:P$1054,SMALL(IF(ISNUMBER(P$56:P$1054),ROW(P$1:P$999),""),ROW(P287))),"")</f>
        <v/>
      </c>
      <c r="T342" s="7"/>
      <c r="U342" s="7"/>
      <c r="V342" s="7"/>
    </row>
    <row r="343" spans="1:22" x14ac:dyDescent="0.25">
      <c r="A343" s="6"/>
      <c r="B343" s="11"/>
      <c r="C343" s="12"/>
      <c r="D343" s="12"/>
      <c r="E343" s="8">
        <f t="shared" si="4"/>
        <v>0</v>
      </c>
      <c r="F343" s="10"/>
      <c r="G343" s="10"/>
      <c r="H343" s="9"/>
      <c r="I343" s="7"/>
      <c r="J343" s="7"/>
      <c r="K343" s="7">
        <f ca="1">IFERROR(IF(COUNTA(J$56:J343)=J$54,J343,FORECAST(D343,OFFSET(M$56:M$254,MATCH(D343,L$56:L$254,1)-1,0,2), OFFSET(L$56:L$254,MATCH(D343,L$56:L$254,1)-1,0,2))),"")</f>
        <v>0</v>
      </c>
      <c r="L343" s="7" t="str">
        <f t="array" ref="L343">IFERROR(INDEX(D$56:D$1054,SMALL(IF(ISNUMBER(J$56:J$1054),ROW(D$1:D$999),""),ROW(D288))),"")</f>
        <v/>
      </c>
      <c r="M343" s="7" t="str">
        <f t="array" ref="M343">IFERROR(INDEX(J$56:J$1054,SMALL(IF(ISNUMBER(J$56:J$1054),ROW(J$1:J$999),""),ROW(J288))),"")</f>
        <v/>
      </c>
      <c r="N343" s="7"/>
      <c r="O343" s="7"/>
      <c r="P343" s="7"/>
      <c r="Q343" s="7">
        <f ca="1">IFERROR(IF(COUNTA(P$56:P343)=P$54,P343,FORECAST(D343,OFFSET(S$56:S$254,MATCH(D343,R$56:R$254,1)-1,0,2), OFFSET(R$56:R$254,MATCH(D343,R$56:R$254,1)-1,0,2))),"")</f>
        <v>0</v>
      </c>
      <c r="R343" s="7" t="str">
        <f t="array" ref="R343">IFERROR(INDEX(E$56:E$1054,SMALL(IF(ISNUMBER(P$56:P$1054),ROW(E$1:E$999),""),ROW(J288))),"")</f>
        <v/>
      </c>
      <c r="S343" s="7" t="str">
        <f t="array" ref="S343">IFERROR(INDEX(P$56:P$1054,SMALL(IF(ISNUMBER(P$56:P$1054),ROW(P$1:P$999),""),ROW(P288))),"")</f>
        <v/>
      </c>
      <c r="T343" s="7"/>
      <c r="U343" s="7"/>
      <c r="V343" s="7"/>
    </row>
    <row r="344" spans="1:22" x14ac:dyDescent="0.25">
      <c r="A344" s="6"/>
      <c r="B344" s="11"/>
      <c r="C344" s="12"/>
      <c r="D344" s="12"/>
      <c r="E344" s="8">
        <f t="shared" si="4"/>
        <v>0</v>
      </c>
      <c r="F344" s="10"/>
      <c r="G344" s="10"/>
      <c r="H344" s="9"/>
      <c r="I344" s="7"/>
      <c r="J344" s="7"/>
      <c r="K344" s="7">
        <f ca="1">IFERROR(IF(COUNTA(J$56:J344)=J$54,J344,FORECAST(D344,OFFSET(M$56:M$254,MATCH(D344,L$56:L$254,1)-1,0,2), OFFSET(L$56:L$254,MATCH(D344,L$56:L$254,1)-1,0,2))),"")</f>
        <v>0</v>
      </c>
      <c r="L344" s="7" t="str">
        <f t="array" ref="L344">IFERROR(INDEX(D$56:D$1054,SMALL(IF(ISNUMBER(J$56:J$1054),ROW(D$1:D$999),""),ROW(D289))),"")</f>
        <v/>
      </c>
      <c r="M344" s="7" t="str">
        <f t="array" ref="M344">IFERROR(INDEX(J$56:J$1054,SMALL(IF(ISNUMBER(J$56:J$1054),ROW(J$1:J$999),""),ROW(J289))),"")</f>
        <v/>
      </c>
      <c r="N344" s="7"/>
      <c r="O344" s="7"/>
      <c r="P344" s="7"/>
      <c r="Q344" s="7">
        <f ca="1">IFERROR(IF(COUNTA(P$56:P344)=P$54,P344,FORECAST(D344,OFFSET(S$56:S$254,MATCH(D344,R$56:R$254,1)-1,0,2), OFFSET(R$56:R$254,MATCH(D344,R$56:R$254,1)-1,0,2))),"")</f>
        <v>0</v>
      </c>
      <c r="R344" s="7" t="str">
        <f t="array" ref="R344">IFERROR(INDEX(E$56:E$1054,SMALL(IF(ISNUMBER(P$56:P$1054),ROW(E$1:E$999),""),ROW(J289))),"")</f>
        <v/>
      </c>
      <c r="S344" s="7" t="str">
        <f t="array" ref="S344">IFERROR(INDEX(P$56:P$1054,SMALL(IF(ISNUMBER(P$56:P$1054),ROW(P$1:P$999),""),ROW(P289))),"")</f>
        <v/>
      </c>
      <c r="T344" s="7"/>
      <c r="U344" s="7"/>
      <c r="V344" s="7"/>
    </row>
    <row r="345" spans="1:22" x14ac:dyDescent="0.25">
      <c r="A345" s="6"/>
      <c r="B345" s="11"/>
      <c r="C345" s="12"/>
      <c r="D345" s="12"/>
      <c r="E345" s="8">
        <f t="shared" si="4"/>
        <v>0</v>
      </c>
      <c r="F345" s="10"/>
      <c r="G345" s="10"/>
      <c r="H345" s="9"/>
      <c r="I345" s="7"/>
      <c r="J345" s="7"/>
      <c r="K345" s="7">
        <f ca="1">IFERROR(IF(COUNTA(J$56:J345)=J$54,J345,FORECAST(D345,OFFSET(M$56:M$254,MATCH(D345,L$56:L$254,1)-1,0,2), OFFSET(L$56:L$254,MATCH(D345,L$56:L$254,1)-1,0,2))),"")</f>
        <v>0</v>
      </c>
      <c r="L345" s="7" t="str">
        <f t="array" ref="L345">IFERROR(INDEX(D$56:D$1054,SMALL(IF(ISNUMBER(J$56:J$1054),ROW(D$1:D$999),""),ROW(D290))),"")</f>
        <v/>
      </c>
      <c r="M345" s="7" t="str">
        <f t="array" ref="M345">IFERROR(INDEX(J$56:J$1054,SMALL(IF(ISNUMBER(J$56:J$1054),ROW(J$1:J$999),""),ROW(J290))),"")</f>
        <v/>
      </c>
      <c r="N345" s="7"/>
      <c r="O345" s="7"/>
      <c r="P345" s="7"/>
      <c r="Q345" s="7">
        <f ca="1">IFERROR(IF(COUNTA(P$56:P345)=P$54,P345,FORECAST(D345,OFFSET(S$56:S$254,MATCH(D345,R$56:R$254,1)-1,0,2), OFFSET(R$56:R$254,MATCH(D345,R$56:R$254,1)-1,0,2))),"")</f>
        <v>0</v>
      </c>
      <c r="R345" s="7" t="str">
        <f t="array" ref="R345">IFERROR(INDEX(E$56:E$1054,SMALL(IF(ISNUMBER(P$56:P$1054),ROW(E$1:E$999),""),ROW(J290))),"")</f>
        <v/>
      </c>
      <c r="S345" s="7" t="str">
        <f t="array" ref="S345">IFERROR(INDEX(P$56:P$1054,SMALL(IF(ISNUMBER(P$56:P$1054),ROW(P$1:P$999),""),ROW(P290))),"")</f>
        <v/>
      </c>
      <c r="T345" s="7"/>
      <c r="U345" s="7"/>
      <c r="V345" s="7"/>
    </row>
    <row r="346" spans="1:22" x14ac:dyDescent="0.25">
      <c r="A346" s="6"/>
      <c r="B346" s="11"/>
      <c r="C346" s="12"/>
      <c r="D346" s="12"/>
      <c r="E346" s="8">
        <f t="shared" si="4"/>
        <v>0</v>
      </c>
      <c r="F346" s="10"/>
      <c r="G346" s="10"/>
      <c r="H346" s="9"/>
      <c r="I346" s="7"/>
      <c r="J346" s="7"/>
      <c r="K346" s="7">
        <f ca="1">IFERROR(IF(COUNTA(J$56:J346)=J$54,J346,FORECAST(D346,OFFSET(M$56:M$254,MATCH(D346,L$56:L$254,1)-1,0,2), OFFSET(L$56:L$254,MATCH(D346,L$56:L$254,1)-1,0,2))),"")</f>
        <v>0</v>
      </c>
      <c r="L346" s="7" t="str">
        <f t="array" ref="L346">IFERROR(INDEX(D$56:D$1054,SMALL(IF(ISNUMBER(J$56:J$1054),ROW(D$1:D$999),""),ROW(D291))),"")</f>
        <v/>
      </c>
      <c r="M346" s="7" t="str">
        <f t="array" ref="M346">IFERROR(INDEX(J$56:J$1054,SMALL(IF(ISNUMBER(J$56:J$1054),ROW(J$1:J$999),""),ROW(J291))),"")</f>
        <v/>
      </c>
      <c r="N346" s="7"/>
      <c r="O346" s="7"/>
      <c r="P346" s="7"/>
      <c r="Q346" s="7">
        <f ca="1">IFERROR(IF(COUNTA(P$56:P346)=P$54,P346,FORECAST(D346,OFFSET(S$56:S$254,MATCH(D346,R$56:R$254,1)-1,0,2), OFFSET(R$56:R$254,MATCH(D346,R$56:R$254,1)-1,0,2))),"")</f>
        <v>0</v>
      </c>
      <c r="R346" s="7" t="str">
        <f t="array" ref="R346">IFERROR(INDEX(E$56:E$1054,SMALL(IF(ISNUMBER(P$56:P$1054),ROW(E$1:E$999),""),ROW(J291))),"")</f>
        <v/>
      </c>
      <c r="S346" s="7" t="str">
        <f t="array" ref="S346">IFERROR(INDEX(P$56:P$1054,SMALL(IF(ISNUMBER(P$56:P$1054),ROW(P$1:P$999),""),ROW(P291))),"")</f>
        <v/>
      </c>
      <c r="T346" s="7"/>
      <c r="U346" s="7"/>
      <c r="V346" s="7"/>
    </row>
    <row r="347" spans="1:22" x14ac:dyDescent="0.25">
      <c r="A347" s="6"/>
      <c r="B347" s="11"/>
      <c r="C347" s="12"/>
      <c r="D347" s="12"/>
      <c r="E347" s="8">
        <f t="shared" si="4"/>
        <v>0</v>
      </c>
      <c r="F347" s="10"/>
      <c r="G347" s="10"/>
      <c r="H347" s="9"/>
      <c r="I347" s="7"/>
      <c r="J347" s="7"/>
      <c r="K347" s="7">
        <f ca="1">IFERROR(IF(COUNTA(J$56:J347)=J$54,J347,FORECAST(D347,OFFSET(M$56:M$254,MATCH(D347,L$56:L$254,1)-1,0,2), OFFSET(L$56:L$254,MATCH(D347,L$56:L$254,1)-1,0,2))),"")</f>
        <v>0</v>
      </c>
      <c r="L347" s="7" t="str">
        <f t="array" ref="L347">IFERROR(INDEX(D$56:D$1054,SMALL(IF(ISNUMBER(J$56:J$1054),ROW(D$1:D$999),""),ROW(D292))),"")</f>
        <v/>
      </c>
      <c r="M347" s="7" t="str">
        <f t="array" ref="M347">IFERROR(INDEX(J$56:J$1054,SMALL(IF(ISNUMBER(J$56:J$1054),ROW(J$1:J$999),""),ROW(J292))),"")</f>
        <v/>
      </c>
      <c r="N347" s="7"/>
      <c r="O347" s="7"/>
      <c r="P347" s="7"/>
      <c r="Q347" s="7">
        <f ca="1">IFERROR(IF(COUNTA(P$56:P347)=P$54,P347,FORECAST(D347,OFFSET(S$56:S$254,MATCH(D347,R$56:R$254,1)-1,0,2), OFFSET(R$56:R$254,MATCH(D347,R$56:R$254,1)-1,0,2))),"")</f>
        <v>0</v>
      </c>
      <c r="R347" s="7" t="str">
        <f t="array" ref="R347">IFERROR(INDEX(E$56:E$1054,SMALL(IF(ISNUMBER(P$56:P$1054),ROW(E$1:E$999),""),ROW(J292))),"")</f>
        <v/>
      </c>
      <c r="S347" s="7" t="str">
        <f t="array" ref="S347">IFERROR(INDEX(P$56:P$1054,SMALL(IF(ISNUMBER(P$56:P$1054),ROW(P$1:P$999),""),ROW(P292))),"")</f>
        <v/>
      </c>
      <c r="T347" s="7"/>
      <c r="U347" s="7"/>
      <c r="V347" s="7"/>
    </row>
    <row r="348" spans="1:22" x14ac:dyDescent="0.25">
      <c r="A348" s="6"/>
      <c r="B348" s="11"/>
      <c r="C348" s="12"/>
      <c r="D348" s="12"/>
      <c r="E348" s="8">
        <f t="shared" si="4"/>
        <v>0</v>
      </c>
      <c r="F348" s="10"/>
      <c r="G348" s="10"/>
      <c r="H348" s="9"/>
      <c r="I348" s="7"/>
      <c r="J348" s="7"/>
      <c r="K348" s="7">
        <f ca="1">IFERROR(IF(COUNTA(J$56:J348)=J$54,J348,FORECAST(D348,OFFSET(M$56:M$254,MATCH(D348,L$56:L$254,1)-1,0,2), OFFSET(L$56:L$254,MATCH(D348,L$56:L$254,1)-1,0,2))),"")</f>
        <v>0</v>
      </c>
      <c r="L348" s="7" t="str">
        <f t="array" ref="L348">IFERROR(INDEX(D$56:D$1054,SMALL(IF(ISNUMBER(J$56:J$1054),ROW(D$1:D$999),""),ROW(D293))),"")</f>
        <v/>
      </c>
      <c r="M348" s="7" t="str">
        <f t="array" ref="M348">IFERROR(INDEX(J$56:J$1054,SMALL(IF(ISNUMBER(J$56:J$1054),ROW(J$1:J$999),""),ROW(J293))),"")</f>
        <v/>
      </c>
      <c r="N348" s="7"/>
      <c r="O348" s="7"/>
      <c r="P348" s="7"/>
      <c r="Q348" s="7">
        <f ca="1">IFERROR(IF(COUNTA(P$56:P348)=P$54,P348,FORECAST(D348,OFFSET(S$56:S$254,MATCH(D348,R$56:R$254,1)-1,0,2), OFFSET(R$56:R$254,MATCH(D348,R$56:R$254,1)-1,0,2))),"")</f>
        <v>0</v>
      </c>
      <c r="R348" s="7" t="str">
        <f t="array" ref="R348">IFERROR(INDEX(E$56:E$1054,SMALL(IF(ISNUMBER(P$56:P$1054),ROW(E$1:E$999),""),ROW(J293))),"")</f>
        <v/>
      </c>
      <c r="S348" s="7" t="str">
        <f t="array" ref="S348">IFERROR(INDEX(P$56:P$1054,SMALL(IF(ISNUMBER(P$56:P$1054),ROW(P$1:P$999),""),ROW(P293))),"")</f>
        <v/>
      </c>
      <c r="T348" s="7"/>
      <c r="U348" s="7"/>
      <c r="V348" s="7"/>
    </row>
    <row r="349" spans="1:22" x14ac:dyDescent="0.25">
      <c r="A349" s="6"/>
      <c r="B349" s="11"/>
      <c r="C349" s="12"/>
      <c r="D349" s="12"/>
      <c r="E349" s="8">
        <f t="shared" si="4"/>
        <v>0</v>
      </c>
      <c r="F349" s="10"/>
      <c r="G349" s="10"/>
      <c r="H349" s="9"/>
      <c r="I349" s="7"/>
      <c r="J349" s="7"/>
      <c r="K349" s="7">
        <f ca="1">IFERROR(IF(COUNTA(J$56:J349)=J$54,J349,FORECAST(D349,OFFSET(M$56:M$254,MATCH(D349,L$56:L$254,1)-1,0,2), OFFSET(L$56:L$254,MATCH(D349,L$56:L$254,1)-1,0,2))),"")</f>
        <v>0</v>
      </c>
      <c r="L349" s="7" t="str">
        <f t="array" ref="L349">IFERROR(INDEX(D$56:D$1054,SMALL(IF(ISNUMBER(J$56:J$1054),ROW(D$1:D$999),""),ROW(D294))),"")</f>
        <v/>
      </c>
      <c r="M349" s="7" t="str">
        <f t="array" ref="M349">IFERROR(INDEX(J$56:J$1054,SMALL(IF(ISNUMBER(J$56:J$1054),ROW(J$1:J$999),""),ROW(J294))),"")</f>
        <v/>
      </c>
      <c r="N349" s="7"/>
      <c r="O349" s="7"/>
      <c r="P349" s="7"/>
      <c r="Q349" s="7">
        <f ca="1">IFERROR(IF(COUNTA(P$56:P349)=P$54,P349,FORECAST(D349,OFFSET(S$56:S$254,MATCH(D349,R$56:R$254,1)-1,0,2), OFFSET(R$56:R$254,MATCH(D349,R$56:R$254,1)-1,0,2))),"")</f>
        <v>0</v>
      </c>
      <c r="R349" s="7" t="str">
        <f t="array" ref="R349">IFERROR(INDEX(E$56:E$1054,SMALL(IF(ISNUMBER(P$56:P$1054),ROW(E$1:E$999),""),ROW(J294))),"")</f>
        <v/>
      </c>
      <c r="S349" s="7" t="str">
        <f t="array" ref="S349">IFERROR(INDEX(P$56:P$1054,SMALL(IF(ISNUMBER(P$56:P$1054),ROW(P$1:P$999),""),ROW(P294))),"")</f>
        <v/>
      </c>
      <c r="T349" s="7"/>
      <c r="U349" s="7"/>
      <c r="V349" s="7"/>
    </row>
    <row r="350" spans="1:22" x14ac:dyDescent="0.25">
      <c r="A350" s="6"/>
      <c r="B350" s="11"/>
      <c r="C350" s="12"/>
      <c r="D350" s="12"/>
      <c r="E350" s="8">
        <f t="shared" si="4"/>
        <v>0</v>
      </c>
      <c r="F350" s="10"/>
      <c r="G350" s="10"/>
      <c r="H350" s="9"/>
      <c r="I350" s="7"/>
      <c r="J350" s="7"/>
      <c r="K350" s="7">
        <f ca="1">IFERROR(IF(COUNTA(J$56:J350)=J$54,J350,FORECAST(D350,OFFSET(M$56:M$254,MATCH(D350,L$56:L$254,1)-1,0,2), OFFSET(L$56:L$254,MATCH(D350,L$56:L$254,1)-1,0,2))),"")</f>
        <v>0</v>
      </c>
      <c r="L350" s="7" t="str">
        <f t="array" ref="L350">IFERROR(INDEX(D$56:D$1054,SMALL(IF(ISNUMBER(J$56:J$1054),ROW(D$1:D$999),""),ROW(D295))),"")</f>
        <v/>
      </c>
      <c r="M350" s="7" t="str">
        <f t="array" ref="M350">IFERROR(INDEX(J$56:J$1054,SMALL(IF(ISNUMBER(J$56:J$1054),ROW(J$1:J$999),""),ROW(J295))),"")</f>
        <v/>
      </c>
      <c r="N350" s="7"/>
      <c r="O350" s="7"/>
      <c r="P350" s="7"/>
      <c r="Q350" s="7">
        <f ca="1">IFERROR(IF(COUNTA(P$56:P350)=P$54,P350,FORECAST(D350,OFFSET(S$56:S$254,MATCH(D350,R$56:R$254,1)-1,0,2), OFFSET(R$56:R$254,MATCH(D350,R$56:R$254,1)-1,0,2))),"")</f>
        <v>0</v>
      </c>
      <c r="R350" s="7" t="str">
        <f t="array" ref="R350">IFERROR(INDEX(E$56:E$1054,SMALL(IF(ISNUMBER(P$56:P$1054),ROW(E$1:E$999),""),ROW(J295))),"")</f>
        <v/>
      </c>
      <c r="S350" s="7" t="str">
        <f t="array" ref="S350">IFERROR(INDEX(P$56:P$1054,SMALL(IF(ISNUMBER(P$56:P$1054),ROW(P$1:P$999),""),ROW(P295))),"")</f>
        <v/>
      </c>
      <c r="T350" s="7"/>
      <c r="U350" s="7"/>
      <c r="V350" s="7"/>
    </row>
    <row r="351" spans="1:22" x14ac:dyDescent="0.25">
      <c r="A351" s="6"/>
      <c r="B351" s="11"/>
      <c r="C351" s="12"/>
      <c r="D351" s="12"/>
      <c r="E351" s="8">
        <f t="shared" si="4"/>
        <v>0</v>
      </c>
      <c r="F351" s="10"/>
      <c r="G351" s="10"/>
      <c r="H351" s="9"/>
      <c r="I351" s="7"/>
      <c r="J351" s="7"/>
      <c r="K351" s="7">
        <f ca="1">IFERROR(IF(COUNTA(J$56:J351)=J$54,J351,FORECAST(D351,OFFSET(M$56:M$254,MATCH(D351,L$56:L$254,1)-1,0,2), OFFSET(L$56:L$254,MATCH(D351,L$56:L$254,1)-1,0,2))),"")</f>
        <v>0</v>
      </c>
      <c r="L351" s="7" t="str">
        <f t="array" ref="L351">IFERROR(INDEX(D$56:D$1054,SMALL(IF(ISNUMBER(J$56:J$1054),ROW(D$1:D$999),""),ROW(D296))),"")</f>
        <v/>
      </c>
      <c r="M351" s="7" t="str">
        <f t="array" ref="M351">IFERROR(INDEX(J$56:J$1054,SMALL(IF(ISNUMBER(J$56:J$1054),ROW(J$1:J$999),""),ROW(J296))),"")</f>
        <v/>
      </c>
      <c r="N351" s="7"/>
      <c r="O351" s="7"/>
      <c r="P351" s="7"/>
      <c r="Q351" s="7">
        <f ca="1">IFERROR(IF(COUNTA(P$56:P351)=P$54,P351,FORECAST(D351,OFFSET(S$56:S$254,MATCH(D351,R$56:R$254,1)-1,0,2), OFFSET(R$56:R$254,MATCH(D351,R$56:R$254,1)-1,0,2))),"")</f>
        <v>0</v>
      </c>
      <c r="R351" s="7" t="str">
        <f t="array" ref="R351">IFERROR(INDEX(E$56:E$1054,SMALL(IF(ISNUMBER(P$56:P$1054),ROW(E$1:E$999),""),ROW(J296))),"")</f>
        <v/>
      </c>
      <c r="S351" s="7" t="str">
        <f t="array" ref="S351">IFERROR(INDEX(P$56:P$1054,SMALL(IF(ISNUMBER(P$56:P$1054),ROW(P$1:P$999),""),ROW(P296))),"")</f>
        <v/>
      </c>
      <c r="T351" s="7"/>
      <c r="U351" s="7"/>
      <c r="V351" s="7"/>
    </row>
    <row r="352" spans="1:22" x14ac:dyDescent="0.25">
      <c r="A352" s="6"/>
      <c r="B352" s="11"/>
      <c r="C352" s="12"/>
      <c r="D352" s="12"/>
      <c r="E352" s="8">
        <f t="shared" si="4"/>
        <v>0</v>
      </c>
      <c r="F352" s="10"/>
      <c r="G352" s="10"/>
      <c r="H352" s="9"/>
      <c r="I352" s="7"/>
      <c r="J352" s="7"/>
      <c r="K352" s="7">
        <f ca="1">IFERROR(IF(COUNTA(J$56:J352)=J$54,J352,FORECAST(D352,OFFSET(M$56:M$254,MATCH(D352,L$56:L$254,1)-1,0,2), OFFSET(L$56:L$254,MATCH(D352,L$56:L$254,1)-1,0,2))),"")</f>
        <v>0</v>
      </c>
      <c r="L352" s="7" t="str">
        <f t="array" ref="L352">IFERROR(INDEX(D$56:D$1054,SMALL(IF(ISNUMBER(J$56:J$1054),ROW(D$1:D$999),""),ROW(D297))),"")</f>
        <v/>
      </c>
      <c r="M352" s="7" t="str">
        <f t="array" ref="M352">IFERROR(INDEX(J$56:J$1054,SMALL(IF(ISNUMBER(J$56:J$1054),ROW(J$1:J$999),""),ROW(J297))),"")</f>
        <v/>
      </c>
      <c r="N352" s="7"/>
      <c r="O352" s="7"/>
      <c r="P352" s="7"/>
      <c r="Q352" s="7">
        <f ca="1">IFERROR(IF(COUNTA(P$56:P352)=P$54,P352,FORECAST(D352,OFFSET(S$56:S$254,MATCH(D352,R$56:R$254,1)-1,0,2), OFFSET(R$56:R$254,MATCH(D352,R$56:R$254,1)-1,0,2))),"")</f>
        <v>0</v>
      </c>
      <c r="R352" s="7" t="str">
        <f t="array" ref="R352">IFERROR(INDEX(E$56:E$1054,SMALL(IF(ISNUMBER(P$56:P$1054),ROW(E$1:E$999),""),ROW(J297))),"")</f>
        <v/>
      </c>
      <c r="S352" s="7" t="str">
        <f t="array" ref="S352">IFERROR(INDEX(P$56:P$1054,SMALL(IF(ISNUMBER(P$56:P$1054),ROW(P$1:P$999),""),ROW(P297))),"")</f>
        <v/>
      </c>
      <c r="T352" s="7"/>
      <c r="U352" s="7"/>
      <c r="V352" s="7"/>
    </row>
    <row r="353" spans="1:22" x14ac:dyDescent="0.25">
      <c r="A353" s="6"/>
      <c r="B353" s="11"/>
      <c r="C353" s="12"/>
      <c r="D353" s="12"/>
      <c r="E353" s="8">
        <f t="shared" si="4"/>
        <v>0</v>
      </c>
      <c r="F353" s="10"/>
      <c r="G353" s="10"/>
      <c r="H353" s="9"/>
      <c r="I353" s="7"/>
      <c r="J353" s="7"/>
      <c r="K353" s="7">
        <f ca="1">IFERROR(IF(COUNTA(J$56:J353)=J$54,J353,FORECAST(D353,OFFSET(M$56:M$254,MATCH(D353,L$56:L$254,1)-1,0,2), OFFSET(L$56:L$254,MATCH(D353,L$56:L$254,1)-1,0,2))),"")</f>
        <v>0</v>
      </c>
      <c r="L353" s="7" t="str">
        <f t="array" ref="L353">IFERROR(INDEX(D$56:D$1054,SMALL(IF(ISNUMBER(J$56:J$1054),ROW(D$1:D$999),""),ROW(D298))),"")</f>
        <v/>
      </c>
      <c r="M353" s="7" t="str">
        <f t="array" ref="M353">IFERROR(INDEX(J$56:J$1054,SMALL(IF(ISNUMBER(J$56:J$1054),ROW(J$1:J$999),""),ROW(J298))),"")</f>
        <v/>
      </c>
      <c r="N353" s="7"/>
      <c r="O353" s="7"/>
      <c r="P353" s="7"/>
      <c r="Q353" s="7">
        <f ca="1">IFERROR(IF(COUNTA(P$56:P353)=P$54,P353,FORECAST(D353,OFFSET(S$56:S$254,MATCH(D353,R$56:R$254,1)-1,0,2), OFFSET(R$56:R$254,MATCH(D353,R$56:R$254,1)-1,0,2))),"")</f>
        <v>0</v>
      </c>
      <c r="R353" s="7" t="str">
        <f t="array" ref="R353">IFERROR(INDEX(E$56:E$1054,SMALL(IF(ISNUMBER(P$56:P$1054),ROW(E$1:E$999),""),ROW(J298))),"")</f>
        <v/>
      </c>
      <c r="S353" s="7" t="str">
        <f t="array" ref="S353">IFERROR(INDEX(P$56:P$1054,SMALL(IF(ISNUMBER(P$56:P$1054),ROW(P$1:P$999),""),ROW(P298))),"")</f>
        <v/>
      </c>
      <c r="T353" s="7"/>
      <c r="U353" s="7"/>
      <c r="V353" s="7"/>
    </row>
    <row r="354" spans="1:22" x14ac:dyDescent="0.25">
      <c r="A354" s="6"/>
      <c r="B354" s="11"/>
      <c r="C354" s="12"/>
      <c r="D354" s="12"/>
      <c r="E354" s="8">
        <f t="shared" si="4"/>
        <v>0</v>
      </c>
      <c r="F354" s="10"/>
      <c r="G354" s="10"/>
      <c r="H354" s="9"/>
      <c r="I354" s="7"/>
      <c r="J354" s="7"/>
      <c r="K354" s="7">
        <f ca="1">IFERROR(IF(COUNTA(J$56:J354)=J$54,J354,FORECAST(D354,OFFSET(M$56:M$254,MATCH(D354,L$56:L$254,1)-1,0,2), OFFSET(L$56:L$254,MATCH(D354,L$56:L$254,1)-1,0,2))),"")</f>
        <v>0</v>
      </c>
      <c r="L354" s="7" t="str">
        <f t="array" ref="L354">IFERROR(INDEX(D$56:D$1054,SMALL(IF(ISNUMBER(J$56:J$1054),ROW(D$1:D$999),""),ROW(D299))),"")</f>
        <v/>
      </c>
      <c r="M354" s="7" t="str">
        <f t="array" ref="M354">IFERROR(INDEX(J$56:J$1054,SMALL(IF(ISNUMBER(J$56:J$1054),ROW(J$1:J$999),""),ROW(J299))),"")</f>
        <v/>
      </c>
      <c r="N354" s="7"/>
      <c r="O354" s="7"/>
      <c r="P354" s="7"/>
      <c r="Q354" s="7">
        <f ca="1">IFERROR(IF(COUNTA(P$56:P354)=P$54,P354,FORECAST(D354,OFFSET(S$56:S$254,MATCH(D354,R$56:R$254,1)-1,0,2), OFFSET(R$56:R$254,MATCH(D354,R$56:R$254,1)-1,0,2))),"")</f>
        <v>0</v>
      </c>
      <c r="R354" s="7" t="str">
        <f t="array" ref="R354">IFERROR(INDEX(E$56:E$1054,SMALL(IF(ISNUMBER(P$56:P$1054),ROW(E$1:E$999),""),ROW(J299))),"")</f>
        <v/>
      </c>
      <c r="S354" s="7" t="str">
        <f t="array" ref="S354">IFERROR(INDEX(P$56:P$1054,SMALL(IF(ISNUMBER(P$56:P$1054),ROW(P$1:P$999),""),ROW(P299))),"")</f>
        <v/>
      </c>
      <c r="T354" s="7"/>
      <c r="U354" s="7"/>
      <c r="V354" s="7"/>
    </row>
    <row r="355" spans="1:22" x14ac:dyDescent="0.25">
      <c r="A355" s="6"/>
      <c r="B355" s="11"/>
      <c r="C355" s="12"/>
      <c r="D355" s="12"/>
      <c r="E355" s="8">
        <f t="shared" si="4"/>
        <v>0</v>
      </c>
      <c r="F355" s="10"/>
      <c r="G355" s="10"/>
      <c r="H355" s="9"/>
      <c r="I355" s="7"/>
      <c r="J355" s="7"/>
      <c r="K355" s="7">
        <f ca="1">IFERROR(IF(COUNTA(J$56:J355)=J$54,J355,FORECAST(D355,OFFSET(M$56:M$254,MATCH(D355,L$56:L$254,1)-1,0,2), OFFSET(L$56:L$254,MATCH(D355,L$56:L$254,1)-1,0,2))),"")</f>
        <v>0</v>
      </c>
      <c r="L355" s="7" t="str">
        <f t="array" ref="L355">IFERROR(INDEX(D$56:D$1054,SMALL(IF(ISNUMBER(J$56:J$1054),ROW(D$1:D$999),""),ROW(D300))),"")</f>
        <v/>
      </c>
      <c r="M355" s="7" t="str">
        <f t="array" ref="M355">IFERROR(INDEX(J$56:J$1054,SMALL(IF(ISNUMBER(J$56:J$1054),ROW(J$1:J$999),""),ROW(J300))),"")</f>
        <v/>
      </c>
      <c r="N355" s="7"/>
      <c r="O355" s="7"/>
      <c r="P355" s="7"/>
      <c r="Q355" s="7">
        <f ca="1">IFERROR(IF(COUNTA(P$56:P355)=P$54,P355,FORECAST(D355,OFFSET(S$56:S$254,MATCH(D355,R$56:R$254,1)-1,0,2), OFFSET(R$56:R$254,MATCH(D355,R$56:R$254,1)-1,0,2))),"")</f>
        <v>0</v>
      </c>
      <c r="R355" s="7" t="str">
        <f t="array" ref="R355">IFERROR(INDEX(E$56:E$1054,SMALL(IF(ISNUMBER(P$56:P$1054),ROW(E$1:E$999),""),ROW(J300))),"")</f>
        <v/>
      </c>
      <c r="S355" s="7" t="str">
        <f t="array" ref="S355">IFERROR(INDEX(P$56:P$1054,SMALL(IF(ISNUMBER(P$56:P$1054),ROW(P$1:P$999),""),ROW(P300))),"")</f>
        <v/>
      </c>
      <c r="T355" s="7"/>
      <c r="U355" s="7"/>
      <c r="V355" s="7"/>
    </row>
    <row r="356" spans="1:22" x14ac:dyDescent="0.25">
      <c r="A356" s="6"/>
      <c r="B356" s="11"/>
      <c r="C356" s="12"/>
      <c r="D356" s="12"/>
      <c r="E356" s="8">
        <f t="shared" si="4"/>
        <v>0</v>
      </c>
      <c r="F356" s="10"/>
      <c r="G356" s="10"/>
      <c r="H356" s="9"/>
      <c r="I356" s="7"/>
      <c r="J356" s="7"/>
      <c r="K356" s="7">
        <f ca="1">IFERROR(IF(COUNTA(J$56:J356)=J$54,J356,FORECAST(D356,OFFSET(M$56:M$254,MATCH(D356,L$56:L$254,1)-1,0,2), OFFSET(L$56:L$254,MATCH(D356,L$56:L$254,1)-1,0,2))),"")</f>
        <v>0</v>
      </c>
      <c r="L356" s="7" t="str">
        <f t="array" ref="L356">IFERROR(INDEX(D$56:D$1054,SMALL(IF(ISNUMBER(J$56:J$1054),ROW(D$1:D$999),""),ROW(D301))),"")</f>
        <v/>
      </c>
      <c r="M356" s="7" t="str">
        <f t="array" ref="M356">IFERROR(INDEX(J$56:J$1054,SMALL(IF(ISNUMBER(J$56:J$1054),ROW(J$1:J$999),""),ROW(J301))),"")</f>
        <v/>
      </c>
      <c r="N356" s="7"/>
      <c r="O356" s="7"/>
      <c r="P356" s="7"/>
      <c r="Q356" s="7">
        <f ca="1">IFERROR(IF(COUNTA(P$56:P356)=P$54,P356,FORECAST(D356,OFFSET(S$56:S$254,MATCH(D356,R$56:R$254,1)-1,0,2), OFFSET(R$56:R$254,MATCH(D356,R$56:R$254,1)-1,0,2))),"")</f>
        <v>0</v>
      </c>
      <c r="R356" s="7" t="str">
        <f t="array" ref="R356">IFERROR(INDEX(E$56:E$1054,SMALL(IF(ISNUMBER(P$56:P$1054),ROW(E$1:E$999),""),ROW(J301))),"")</f>
        <v/>
      </c>
      <c r="S356" s="7" t="str">
        <f t="array" ref="S356">IFERROR(INDEX(P$56:P$1054,SMALL(IF(ISNUMBER(P$56:P$1054),ROW(P$1:P$999),""),ROW(P301))),"")</f>
        <v/>
      </c>
      <c r="T356" s="7"/>
      <c r="U356" s="7"/>
      <c r="V356" s="7"/>
    </row>
    <row r="357" spans="1:22" x14ac:dyDescent="0.25">
      <c r="A357" s="6"/>
      <c r="B357" s="11"/>
      <c r="C357" s="12"/>
      <c r="D357" s="12"/>
      <c r="E357" s="8">
        <f t="shared" si="4"/>
        <v>0</v>
      </c>
      <c r="F357" s="10"/>
      <c r="G357" s="10"/>
      <c r="H357" s="9"/>
      <c r="I357" s="7"/>
      <c r="J357" s="7"/>
      <c r="K357" s="7">
        <f ca="1">IFERROR(IF(COUNTA(J$56:J357)=J$54,J357,FORECAST(D357,OFFSET(M$56:M$254,MATCH(D357,L$56:L$254,1)-1,0,2), OFFSET(L$56:L$254,MATCH(D357,L$56:L$254,1)-1,0,2))),"")</f>
        <v>0</v>
      </c>
      <c r="L357" s="7" t="str">
        <f t="array" ref="L357">IFERROR(INDEX(D$56:D$1054,SMALL(IF(ISNUMBER(J$56:J$1054),ROW(D$1:D$999),""),ROW(D302))),"")</f>
        <v/>
      </c>
      <c r="M357" s="7" t="str">
        <f t="array" ref="M357">IFERROR(INDEX(J$56:J$1054,SMALL(IF(ISNUMBER(J$56:J$1054),ROW(J$1:J$999),""),ROW(J302))),"")</f>
        <v/>
      </c>
      <c r="N357" s="7"/>
      <c r="O357" s="7"/>
      <c r="P357" s="7"/>
      <c r="Q357" s="7">
        <f ca="1">IFERROR(IF(COUNTA(P$56:P357)=P$54,P357,FORECAST(D357,OFFSET(S$56:S$254,MATCH(D357,R$56:R$254,1)-1,0,2), OFFSET(R$56:R$254,MATCH(D357,R$56:R$254,1)-1,0,2))),"")</f>
        <v>0</v>
      </c>
      <c r="R357" s="7" t="str">
        <f t="array" ref="R357">IFERROR(INDEX(E$56:E$1054,SMALL(IF(ISNUMBER(P$56:P$1054),ROW(E$1:E$999),""),ROW(J302))),"")</f>
        <v/>
      </c>
      <c r="S357" s="7" t="str">
        <f t="array" ref="S357">IFERROR(INDEX(P$56:P$1054,SMALL(IF(ISNUMBER(P$56:P$1054),ROW(P$1:P$999),""),ROW(P302))),"")</f>
        <v/>
      </c>
      <c r="T357" s="7"/>
      <c r="U357" s="7"/>
      <c r="V357" s="7"/>
    </row>
    <row r="358" spans="1:22" x14ac:dyDescent="0.25">
      <c r="A358" s="6"/>
      <c r="B358" s="11"/>
      <c r="C358" s="12"/>
      <c r="D358" s="12"/>
      <c r="E358" s="8">
        <f t="shared" si="4"/>
        <v>0</v>
      </c>
      <c r="F358" s="10"/>
      <c r="G358" s="10"/>
      <c r="H358" s="9"/>
      <c r="I358" s="7"/>
      <c r="J358" s="7"/>
      <c r="K358" s="7">
        <f ca="1">IFERROR(IF(COUNTA(J$56:J358)=J$54,J358,FORECAST(D358,OFFSET(M$56:M$254,MATCH(D358,L$56:L$254,1)-1,0,2), OFFSET(L$56:L$254,MATCH(D358,L$56:L$254,1)-1,0,2))),"")</f>
        <v>0</v>
      </c>
      <c r="L358" s="7" t="str">
        <f t="array" ref="L358">IFERROR(INDEX(D$56:D$1054,SMALL(IF(ISNUMBER(J$56:J$1054),ROW(D$1:D$999),""),ROW(D303))),"")</f>
        <v/>
      </c>
      <c r="M358" s="7" t="str">
        <f t="array" ref="M358">IFERROR(INDEX(J$56:J$1054,SMALL(IF(ISNUMBER(J$56:J$1054),ROW(J$1:J$999),""),ROW(J303))),"")</f>
        <v/>
      </c>
      <c r="N358" s="7"/>
      <c r="O358" s="7"/>
      <c r="P358" s="7"/>
      <c r="Q358" s="7">
        <f ca="1">IFERROR(IF(COUNTA(P$56:P358)=P$54,P358,FORECAST(D358,OFFSET(S$56:S$254,MATCH(D358,R$56:R$254,1)-1,0,2), OFFSET(R$56:R$254,MATCH(D358,R$56:R$254,1)-1,0,2))),"")</f>
        <v>0</v>
      </c>
      <c r="R358" s="7" t="str">
        <f t="array" ref="R358">IFERROR(INDEX(E$56:E$1054,SMALL(IF(ISNUMBER(P$56:P$1054),ROW(E$1:E$999),""),ROW(J303))),"")</f>
        <v/>
      </c>
      <c r="S358" s="7" t="str">
        <f t="array" ref="S358">IFERROR(INDEX(P$56:P$1054,SMALL(IF(ISNUMBER(P$56:P$1054),ROW(P$1:P$999),""),ROW(P303))),"")</f>
        <v/>
      </c>
      <c r="T358" s="7"/>
      <c r="U358" s="7"/>
      <c r="V358" s="7"/>
    </row>
    <row r="359" spans="1:22" x14ac:dyDescent="0.25">
      <c r="A359" s="6"/>
      <c r="B359" s="11"/>
      <c r="C359" s="12"/>
      <c r="D359" s="12"/>
      <c r="E359" s="8">
        <f t="shared" si="4"/>
        <v>0</v>
      </c>
      <c r="F359" s="10"/>
      <c r="G359" s="10"/>
      <c r="H359" s="9"/>
      <c r="I359" s="7"/>
      <c r="J359" s="7"/>
      <c r="K359" s="7">
        <f ca="1">IFERROR(IF(COUNTA(J$56:J359)=J$54,J359,FORECAST(D359,OFFSET(M$56:M$254,MATCH(D359,L$56:L$254,1)-1,0,2), OFFSET(L$56:L$254,MATCH(D359,L$56:L$254,1)-1,0,2))),"")</f>
        <v>0</v>
      </c>
      <c r="L359" s="7" t="str">
        <f t="array" ref="L359">IFERROR(INDEX(D$56:D$1054,SMALL(IF(ISNUMBER(J$56:J$1054),ROW(D$1:D$999),""),ROW(D304))),"")</f>
        <v/>
      </c>
      <c r="M359" s="7" t="str">
        <f t="array" ref="M359">IFERROR(INDEX(J$56:J$1054,SMALL(IF(ISNUMBER(J$56:J$1054),ROW(J$1:J$999),""),ROW(J304))),"")</f>
        <v/>
      </c>
      <c r="N359" s="7"/>
      <c r="O359" s="7"/>
      <c r="P359" s="7"/>
      <c r="Q359" s="7">
        <f ca="1">IFERROR(IF(COUNTA(P$56:P359)=P$54,P359,FORECAST(D359,OFFSET(S$56:S$254,MATCH(D359,R$56:R$254,1)-1,0,2), OFFSET(R$56:R$254,MATCH(D359,R$56:R$254,1)-1,0,2))),"")</f>
        <v>0</v>
      </c>
      <c r="R359" s="7" t="str">
        <f t="array" ref="R359">IFERROR(INDEX(E$56:E$1054,SMALL(IF(ISNUMBER(P$56:P$1054),ROW(E$1:E$999),""),ROW(J304))),"")</f>
        <v/>
      </c>
      <c r="S359" s="7" t="str">
        <f t="array" ref="S359">IFERROR(INDEX(P$56:P$1054,SMALL(IF(ISNUMBER(P$56:P$1054),ROW(P$1:P$999),""),ROW(P304))),"")</f>
        <v/>
      </c>
      <c r="T359" s="7"/>
      <c r="U359" s="7"/>
      <c r="V359" s="7"/>
    </row>
    <row r="360" spans="1:22" x14ac:dyDescent="0.25">
      <c r="A360" s="6"/>
      <c r="B360" s="11"/>
      <c r="C360" s="12"/>
      <c r="D360" s="12"/>
      <c r="E360" s="8">
        <f t="shared" si="4"/>
        <v>0</v>
      </c>
      <c r="F360" s="10"/>
      <c r="G360" s="10"/>
      <c r="H360" s="9"/>
      <c r="I360" s="7"/>
      <c r="J360" s="7"/>
      <c r="K360" s="7">
        <f ca="1">IFERROR(IF(COUNTA(J$56:J360)=J$54,J360,FORECAST(D360,OFFSET(M$56:M$254,MATCH(D360,L$56:L$254,1)-1,0,2), OFFSET(L$56:L$254,MATCH(D360,L$56:L$254,1)-1,0,2))),"")</f>
        <v>0</v>
      </c>
      <c r="L360" s="7" t="str">
        <f t="array" ref="L360">IFERROR(INDEX(D$56:D$1054,SMALL(IF(ISNUMBER(J$56:J$1054),ROW(D$1:D$999),""),ROW(D305))),"")</f>
        <v/>
      </c>
      <c r="M360" s="7" t="str">
        <f t="array" ref="M360">IFERROR(INDEX(J$56:J$1054,SMALL(IF(ISNUMBER(J$56:J$1054),ROW(J$1:J$999),""),ROW(J305))),"")</f>
        <v/>
      </c>
      <c r="N360" s="7"/>
      <c r="O360" s="7"/>
      <c r="P360" s="7"/>
      <c r="Q360" s="7">
        <f ca="1">IFERROR(IF(COUNTA(P$56:P360)=P$54,P360,FORECAST(D360,OFFSET(S$56:S$254,MATCH(D360,R$56:R$254,1)-1,0,2), OFFSET(R$56:R$254,MATCH(D360,R$56:R$254,1)-1,0,2))),"")</f>
        <v>0</v>
      </c>
      <c r="R360" s="7" t="str">
        <f t="array" ref="R360">IFERROR(INDEX(E$56:E$1054,SMALL(IF(ISNUMBER(P$56:P$1054),ROW(E$1:E$999),""),ROW(J305))),"")</f>
        <v/>
      </c>
      <c r="S360" s="7" t="str">
        <f t="array" ref="S360">IFERROR(INDEX(P$56:P$1054,SMALL(IF(ISNUMBER(P$56:P$1054),ROW(P$1:P$999),""),ROW(P305))),"")</f>
        <v/>
      </c>
      <c r="T360" s="7"/>
      <c r="U360" s="7"/>
      <c r="V360" s="7"/>
    </row>
    <row r="361" spans="1:22" x14ac:dyDescent="0.25">
      <c r="A361" s="6"/>
      <c r="B361" s="11"/>
      <c r="C361" s="12"/>
      <c r="D361" s="12"/>
      <c r="E361" s="8">
        <f t="shared" si="4"/>
        <v>0</v>
      </c>
      <c r="F361" s="10"/>
      <c r="G361" s="10"/>
      <c r="H361" s="9"/>
      <c r="I361" s="7"/>
      <c r="J361" s="7"/>
      <c r="K361" s="7">
        <f ca="1">IFERROR(IF(COUNTA(J$56:J361)=J$54,J361,FORECAST(D361,OFFSET(M$56:M$254,MATCH(D361,L$56:L$254,1)-1,0,2), OFFSET(L$56:L$254,MATCH(D361,L$56:L$254,1)-1,0,2))),"")</f>
        <v>0</v>
      </c>
      <c r="L361" s="7" t="str">
        <f t="array" ref="L361">IFERROR(INDEX(D$56:D$1054,SMALL(IF(ISNUMBER(J$56:J$1054),ROW(D$1:D$999),""),ROW(D306))),"")</f>
        <v/>
      </c>
      <c r="M361" s="7" t="str">
        <f t="array" ref="M361">IFERROR(INDEX(J$56:J$1054,SMALL(IF(ISNUMBER(J$56:J$1054),ROW(J$1:J$999),""),ROW(J306))),"")</f>
        <v/>
      </c>
      <c r="N361" s="7"/>
      <c r="O361" s="7"/>
      <c r="P361" s="7"/>
      <c r="Q361" s="7">
        <f ca="1">IFERROR(IF(COUNTA(P$56:P361)=P$54,P361,FORECAST(D361,OFFSET(S$56:S$254,MATCH(D361,R$56:R$254,1)-1,0,2), OFFSET(R$56:R$254,MATCH(D361,R$56:R$254,1)-1,0,2))),"")</f>
        <v>0</v>
      </c>
      <c r="R361" s="7" t="str">
        <f t="array" ref="R361">IFERROR(INDEX(E$56:E$1054,SMALL(IF(ISNUMBER(P$56:P$1054),ROW(E$1:E$999),""),ROW(J306))),"")</f>
        <v/>
      </c>
      <c r="S361" s="7" t="str">
        <f t="array" ref="S361">IFERROR(INDEX(P$56:P$1054,SMALL(IF(ISNUMBER(P$56:P$1054),ROW(P$1:P$999),""),ROW(P306))),"")</f>
        <v/>
      </c>
      <c r="T361" s="7"/>
      <c r="U361" s="7"/>
      <c r="V361" s="7"/>
    </row>
    <row r="362" spans="1:22" x14ac:dyDescent="0.25">
      <c r="A362" s="6"/>
      <c r="B362" s="11"/>
      <c r="C362" s="12"/>
      <c r="D362" s="12"/>
      <c r="E362" s="8">
        <f t="shared" si="4"/>
        <v>0</v>
      </c>
      <c r="F362" s="10"/>
      <c r="G362" s="10"/>
      <c r="H362" s="9"/>
      <c r="I362" s="7"/>
      <c r="J362" s="7"/>
      <c r="K362" s="7">
        <f ca="1">IFERROR(IF(COUNTA(J$56:J362)=J$54,J362,FORECAST(D362,OFFSET(M$56:M$254,MATCH(D362,L$56:L$254,1)-1,0,2), OFFSET(L$56:L$254,MATCH(D362,L$56:L$254,1)-1,0,2))),"")</f>
        <v>0</v>
      </c>
      <c r="L362" s="7" t="str">
        <f t="array" ref="L362">IFERROR(INDEX(D$56:D$1054,SMALL(IF(ISNUMBER(J$56:J$1054),ROW(D$1:D$999),""),ROW(D307))),"")</f>
        <v/>
      </c>
      <c r="M362" s="7" t="str">
        <f t="array" ref="M362">IFERROR(INDEX(J$56:J$1054,SMALL(IF(ISNUMBER(J$56:J$1054),ROW(J$1:J$999),""),ROW(J307))),"")</f>
        <v/>
      </c>
      <c r="N362" s="7"/>
      <c r="O362" s="7"/>
      <c r="P362" s="7"/>
      <c r="Q362" s="7">
        <f ca="1">IFERROR(IF(COUNTA(P$56:P362)=P$54,P362,FORECAST(D362,OFFSET(S$56:S$254,MATCH(D362,R$56:R$254,1)-1,0,2), OFFSET(R$56:R$254,MATCH(D362,R$56:R$254,1)-1,0,2))),"")</f>
        <v>0</v>
      </c>
      <c r="R362" s="7" t="str">
        <f t="array" ref="R362">IFERROR(INDEX(E$56:E$1054,SMALL(IF(ISNUMBER(P$56:P$1054),ROW(E$1:E$999),""),ROW(J307))),"")</f>
        <v/>
      </c>
      <c r="S362" s="7" t="str">
        <f t="array" ref="S362">IFERROR(INDEX(P$56:P$1054,SMALL(IF(ISNUMBER(P$56:P$1054),ROW(P$1:P$999),""),ROW(P307))),"")</f>
        <v/>
      </c>
      <c r="T362" s="7"/>
      <c r="U362" s="7"/>
      <c r="V362" s="7"/>
    </row>
    <row r="363" spans="1:22" x14ac:dyDescent="0.25">
      <c r="A363" s="6"/>
      <c r="B363" s="11"/>
      <c r="C363" s="12"/>
      <c r="D363" s="12"/>
      <c r="E363" s="8">
        <f t="shared" si="4"/>
        <v>0</v>
      </c>
      <c r="F363" s="10"/>
      <c r="G363" s="10"/>
      <c r="H363" s="9"/>
      <c r="I363" s="7"/>
      <c r="J363" s="7"/>
      <c r="K363" s="7">
        <f ca="1">IFERROR(IF(COUNTA(J$56:J363)=J$54,J363,FORECAST(D363,OFFSET(M$56:M$254,MATCH(D363,L$56:L$254,1)-1,0,2), OFFSET(L$56:L$254,MATCH(D363,L$56:L$254,1)-1,0,2))),"")</f>
        <v>0</v>
      </c>
      <c r="L363" s="7" t="str">
        <f t="array" ref="L363">IFERROR(INDEX(D$56:D$1054,SMALL(IF(ISNUMBER(J$56:J$1054),ROW(D$1:D$999),""),ROW(D308))),"")</f>
        <v/>
      </c>
      <c r="M363" s="7" t="str">
        <f t="array" ref="M363">IFERROR(INDEX(J$56:J$1054,SMALL(IF(ISNUMBER(J$56:J$1054),ROW(J$1:J$999),""),ROW(J308))),"")</f>
        <v/>
      </c>
      <c r="N363" s="7"/>
      <c r="O363" s="7"/>
      <c r="P363" s="7"/>
      <c r="Q363" s="7">
        <f ca="1">IFERROR(IF(COUNTA(P$56:P363)=P$54,P363,FORECAST(D363,OFFSET(S$56:S$254,MATCH(D363,R$56:R$254,1)-1,0,2), OFFSET(R$56:R$254,MATCH(D363,R$56:R$254,1)-1,0,2))),"")</f>
        <v>0</v>
      </c>
      <c r="R363" s="7" t="str">
        <f t="array" ref="R363">IFERROR(INDEX(E$56:E$1054,SMALL(IF(ISNUMBER(P$56:P$1054),ROW(E$1:E$999),""),ROW(J308))),"")</f>
        <v/>
      </c>
      <c r="S363" s="7" t="str">
        <f t="array" ref="S363">IFERROR(INDEX(P$56:P$1054,SMALL(IF(ISNUMBER(P$56:P$1054),ROW(P$1:P$999),""),ROW(P308))),"")</f>
        <v/>
      </c>
      <c r="T363" s="7"/>
      <c r="U363" s="7"/>
      <c r="V363" s="7"/>
    </row>
    <row r="364" spans="1:22" x14ac:dyDescent="0.25">
      <c r="A364" s="6"/>
      <c r="B364" s="11"/>
      <c r="C364" s="12"/>
      <c r="D364" s="12"/>
      <c r="E364" s="8">
        <f t="shared" si="4"/>
        <v>0</v>
      </c>
      <c r="F364" s="10"/>
      <c r="G364" s="10"/>
      <c r="H364" s="9"/>
      <c r="I364" s="7"/>
      <c r="J364" s="7"/>
      <c r="K364" s="7">
        <f ca="1">IFERROR(IF(COUNTA(J$56:J364)=J$54,J364,FORECAST(D364,OFFSET(M$56:M$254,MATCH(D364,L$56:L$254,1)-1,0,2), OFFSET(L$56:L$254,MATCH(D364,L$56:L$254,1)-1,0,2))),"")</f>
        <v>0</v>
      </c>
      <c r="L364" s="7" t="str">
        <f t="array" ref="L364">IFERROR(INDEX(D$56:D$1054,SMALL(IF(ISNUMBER(J$56:J$1054),ROW(D$1:D$999),""),ROW(D309))),"")</f>
        <v/>
      </c>
      <c r="M364" s="7" t="str">
        <f t="array" ref="M364">IFERROR(INDEX(J$56:J$1054,SMALL(IF(ISNUMBER(J$56:J$1054),ROW(J$1:J$999),""),ROW(J309))),"")</f>
        <v/>
      </c>
      <c r="N364" s="7"/>
      <c r="O364" s="7"/>
      <c r="P364" s="7"/>
      <c r="Q364" s="7">
        <f ca="1">IFERROR(IF(COUNTA(P$56:P364)=P$54,P364,FORECAST(D364,OFFSET(S$56:S$254,MATCH(D364,R$56:R$254,1)-1,0,2), OFFSET(R$56:R$254,MATCH(D364,R$56:R$254,1)-1,0,2))),"")</f>
        <v>0</v>
      </c>
      <c r="R364" s="7" t="str">
        <f t="array" ref="R364">IFERROR(INDEX(E$56:E$1054,SMALL(IF(ISNUMBER(P$56:P$1054),ROW(E$1:E$999),""),ROW(J309))),"")</f>
        <v/>
      </c>
      <c r="S364" s="7" t="str">
        <f t="array" ref="S364">IFERROR(INDEX(P$56:P$1054,SMALL(IF(ISNUMBER(P$56:P$1054),ROW(P$1:P$999),""),ROW(P309))),"")</f>
        <v/>
      </c>
      <c r="T364" s="7"/>
      <c r="U364" s="7"/>
      <c r="V364" s="7"/>
    </row>
    <row r="365" spans="1:22" x14ac:dyDescent="0.25">
      <c r="A365" s="6"/>
      <c r="B365" s="11"/>
      <c r="C365" s="12"/>
      <c r="D365" s="12"/>
      <c r="E365" s="8">
        <f t="shared" si="4"/>
        <v>0</v>
      </c>
      <c r="F365" s="10"/>
      <c r="G365" s="10"/>
      <c r="H365" s="9"/>
      <c r="I365" s="7"/>
      <c r="J365" s="7"/>
      <c r="K365" s="7">
        <f ca="1">IFERROR(IF(COUNTA(J$56:J365)=J$54,J365,FORECAST(D365,OFFSET(M$56:M$254,MATCH(D365,L$56:L$254,1)-1,0,2), OFFSET(L$56:L$254,MATCH(D365,L$56:L$254,1)-1,0,2))),"")</f>
        <v>0</v>
      </c>
      <c r="L365" s="7" t="str">
        <f t="array" ref="L365">IFERROR(INDEX(D$56:D$1054,SMALL(IF(ISNUMBER(J$56:J$1054),ROW(D$1:D$999),""),ROW(D310))),"")</f>
        <v/>
      </c>
      <c r="M365" s="7" t="str">
        <f t="array" ref="M365">IFERROR(INDEX(J$56:J$1054,SMALL(IF(ISNUMBER(J$56:J$1054),ROW(J$1:J$999),""),ROW(J310))),"")</f>
        <v/>
      </c>
      <c r="N365" s="7"/>
      <c r="O365" s="7"/>
      <c r="P365" s="7"/>
      <c r="Q365" s="7">
        <f ca="1">IFERROR(IF(COUNTA(P$56:P365)=P$54,P365,FORECAST(D365,OFFSET(S$56:S$254,MATCH(D365,R$56:R$254,1)-1,0,2), OFFSET(R$56:R$254,MATCH(D365,R$56:R$254,1)-1,0,2))),"")</f>
        <v>0</v>
      </c>
      <c r="R365" s="7" t="str">
        <f t="array" ref="R365">IFERROR(INDEX(E$56:E$1054,SMALL(IF(ISNUMBER(P$56:P$1054),ROW(E$1:E$999),""),ROW(J310))),"")</f>
        <v/>
      </c>
      <c r="S365" s="7" t="str">
        <f t="array" ref="S365">IFERROR(INDEX(P$56:P$1054,SMALL(IF(ISNUMBER(P$56:P$1054),ROW(P$1:P$999),""),ROW(P310))),"")</f>
        <v/>
      </c>
      <c r="T365" s="7"/>
      <c r="U365" s="7"/>
      <c r="V365" s="7"/>
    </row>
    <row r="366" spans="1:22" x14ac:dyDescent="0.25">
      <c r="A366" s="6"/>
      <c r="B366" s="11"/>
      <c r="C366" s="12"/>
      <c r="D366" s="12"/>
      <c r="E366" s="8">
        <f t="shared" si="4"/>
        <v>0</v>
      </c>
      <c r="F366" s="10"/>
      <c r="G366" s="10"/>
      <c r="H366" s="9"/>
      <c r="I366" s="7"/>
      <c r="J366" s="7"/>
      <c r="K366" s="7">
        <f ca="1">IFERROR(IF(COUNTA(J$56:J366)=J$54,J366,FORECAST(D366,OFFSET(M$56:M$254,MATCH(D366,L$56:L$254,1)-1,0,2), OFFSET(L$56:L$254,MATCH(D366,L$56:L$254,1)-1,0,2))),"")</f>
        <v>0</v>
      </c>
      <c r="L366" s="7" t="str">
        <f t="array" ref="L366">IFERROR(INDEX(D$56:D$1054,SMALL(IF(ISNUMBER(J$56:J$1054),ROW(D$1:D$999),""),ROW(D311))),"")</f>
        <v/>
      </c>
      <c r="M366" s="7" t="str">
        <f t="array" ref="M366">IFERROR(INDEX(J$56:J$1054,SMALL(IF(ISNUMBER(J$56:J$1054),ROW(J$1:J$999),""),ROW(J311))),"")</f>
        <v/>
      </c>
      <c r="N366" s="7"/>
      <c r="O366" s="7"/>
      <c r="P366" s="7"/>
      <c r="Q366" s="7">
        <f ca="1">IFERROR(IF(COUNTA(P$56:P366)=P$54,P366,FORECAST(D366,OFFSET(S$56:S$254,MATCH(D366,R$56:R$254,1)-1,0,2), OFFSET(R$56:R$254,MATCH(D366,R$56:R$254,1)-1,0,2))),"")</f>
        <v>0</v>
      </c>
      <c r="R366" s="7" t="str">
        <f t="array" ref="R366">IFERROR(INDEX(E$56:E$1054,SMALL(IF(ISNUMBER(P$56:P$1054),ROW(E$1:E$999),""),ROW(J311))),"")</f>
        <v/>
      </c>
      <c r="S366" s="7" t="str">
        <f t="array" ref="S366">IFERROR(INDEX(P$56:P$1054,SMALL(IF(ISNUMBER(P$56:P$1054),ROW(P$1:P$999),""),ROW(P311))),"")</f>
        <v/>
      </c>
      <c r="T366" s="7"/>
      <c r="U366" s="7"/>
      <c r="V366" s="7"/>
    </row>
    <row r="367" spans="1:22" x14ac:dyDescent="0.25">
      <c r="A367" s="6"/>
      <c r="B367" s="11"/>
      <c r="C367" s="12"/>
      <c r="D367" s="12"/>
      <c r="E367" s="8">
        <f t="shared" si="4"/>
        <v>0</v>
      </c>
      <c r="F367" s="10"/>
      <c r="G367" s="10"/>
      <c r="H367" s="9"/>
      <c r="I367" s="7"/>
      <c r="J367" s="7"/>
      <c r="K367" s="7">
        <f ca="1">IFERROR(IF(COUNTA(J$56:J367)=J$54,J367,FORECAST(D367,OFFSET(M$56:M$254,MATCH(D367,L$56:L$254,1)-1,0,2), OFFSET(L$56:L$254,MATCH(D367,L$56:L$254,1)-1,0,2))),"")</f>
        <v>0</v>
      </c>
      <c r="L367" s="7" t="str">
        <f t="array" ref="L367">IFERROR(INDEX(D$56:D$1054,SMALL(IF(ISNUMBER(J$56:J$1054),ROW(D$1:D$999),""),ROW(D312))),"")</f>
        <v/>
      </c>
      <c r="M367" s="7" t="str">
        <f t="array" ref="M367">IFERROR(INDEX(J$56:J$1054,SMALL(IF(ISNUMBER(J$56:J$1054),ROW(J$1:J$999),""),ROW(J312))),"")</f>
        <v/>
      </c>
      <c r="N367" s="7"/>
      <c r="O367" s="7"/>
      <c r="P367" s="7"/>
      <c r="Q367" s="7">
        <f ca="1">IFERROR(IF(COUNTA(P$56:P367)=P$54,P367,FORECAST(D367,OFFSET(S$56:S$254,MATCH(D367,R$56:R$254,1)-1,0,2), OFFSET(R$56:R$254,MATCH(D367,R$56:R$254,1)-1,0,2))),"")</f>
        <v>0</v>
      </c>
      <c r="R367" s="7" t="str">
        <f t="array" ref="R367">IFERROR(INDEX(E$56:E$1054,SMALL(IF(ISNUMBER(P$56:P$1054),ROW(E$1:E$999),""),ROW(J312))),"")</f>
        <v/>
      </c>
      <c r="S367" s="7" t="str">
        <f t="array" ref="S367">IFERROR(INDEX(P$56:P$1054,SMALL(IF(ISNUMBER(P$56:P$1054),ROW(P$1:P$999),""),ROW(P312))),"")</f>
        <v/>
      </c>
      <c r="T367" s="7"/>
      <c r="U367" s="7"/>
      <c r="V367" s="7"/>
    </row>
    <row r="368" spans="1:22" x14ac:dyDescent="0.25">
      <c r="A368" s="6"/>
      <c r="B368" s="11"/>
      <c r="C368" s="12"/>
      <c r="D368" s="12"/>
      <c r="E368" s="8">
        <f t="shared" si="4"/>
        <v>0</v>
      </c>
      <c r="F368" s="10"/>
      <c r="G368" s="10"/>
      <c r="H368" s="9"/>
      <c r="I368" s="7"/>
      <c r="J368" s="7"/>
      <c r="K368" s="7">
        <f ca="1">IFERROR(IF(COUNTA(J$56:J368)=J$54,J368,FORECAST(D368,OFFSET(M$56:M$254,MATCH(D368,L$56:L$254,1)-1,0,2), OFFSET(L$56:L$254,MATCH(D368,L$56:L$254,1)-1,0,2))),"")</f>
        <v>0</v>
      </c>
      <c r="L368" s="7" t="str">
        <f t="array" ref="L368">IFERROR(INDEX(D$56:D$1054,SMALL(IF(ISNUMBER(J$56:J$1054),ROW(D$1:D$999),""),ROW(D313))),"")</f>
        <v/>
      </c>
      <c r="M368" s="7" t="str">
        <f t="array" ref="M368">IFERROR(INDEX(J$56:J$1054,SMALL(IF(ISNUMBER(J$56:J$1054),ROW(J$1:J$999),""),ROW(J313))),"")</f>
        <v/>
      </c>
      <c r="N368" s="7"/>
      <c r="O368" s="7"/>
      <c r="P368" s="7"/>
      <c r="Q368" s="7">
        <f ca="1">IFERROR(IF(COUNTA(P$56:P368)=P$54,P368,FORECAST(D368,OFFSET(S$56:S$254,MATCH(D368,R$56:R$254,1)-1,0,2), OFFSET(R$56:R$254,MATCH(D368,R$56:R$254,1)-1,0,2))),"")</f>
        <v>0</v>
      </c>
      <c r="R368" s="7" t="str">
        <f t="array" ref="R368">IFERROR(INDEX(E$56:E$1054,SMALL(IF(ISNUMBER(P$56:P$1054),ROW(E$1:E$999),""),ROW(J313))),"")</f>
        <v/>
      </c>
      <c r="S368" s="7" t="str">
        <f t="array" ref="S368">IFERROR(INDEX(P$56:P$1054,SMALL(IF(ISNUMBER(P$56:P$1054),ROW(P$1:P$999),""),ROW(P313))),"")</f>
        <v/>
      </c>
      <c r="T368" s="7"/>
      <c r="U368" s="7"/>
      <c r="V368" s="7"/>
    </row>
    <row r="369" spans="1:22" x14ac:dyDescent="0.25">
      <c r="A369" s="6"/>
      <c r="B369" s="11"/>
      <c r="C369" s="12"/>
      <c r="D369" s="12"/>
      <c r="E369" s="8">
        <f t="shared" si="4"/>
        <v>0</v>
      </c>
      <c r="F369" s="10"/>
      <c r="G369" s="10"/>
      <c r="H369" s="9"/>
      <c r="I369" s="7"/>
      <c r="J369" s="7"/>
      <c r="K369" s="7">
        <f ca="1">IFERROR(IF(COUNTA(J$56:J369)=J$54,J369,FORECAST(D369,OFFSET(M$56:M$254,MATCH(D369,L$56:L$254,1)-1,0,2), OFFSET(L$56:L$254,MATCH(D369,L$56:L$254,1)-1,0,2))),"")</f>
        <v>0</v>
      </c>
      <c r="L369" s="7" t="str">
        <f t="array" ref="L369">IFERROR(INDEX(D$56:D$1054,SMALL(IF(ISNUMBER(J$56:J$1054),ROW(D$1:D$999),""),ROW(D314))),"")</f>
        <v/>
      </c>
      <c r="M369" s="7" t="str">
        <f t="array" ref="M369">IFERROR(INDEX(J$56:J$1054,SMALL(IF(ISNUMBER(J$56:J$1054),ROW(J$1:J$999),""),ROW(J314))),"")</f>
        <v/>
      </c>
      <c r="N369" s="7"/>
      <c r="O369" s="7"/>
      <c r="P369" s="7"/>
      <c r="Q369" s="7">
        <f ca="1">IFERROR(IF(COUNTA(P$56:P369)=P$54,P369,FORECAST(D369,OFFSET(S$56:S$254,MATCH(D369,R$56:R$254,1)-1,0,2), OFFSET(R$56:R$254,MATCH(D369,R$56:R$254,1)-1,0,2))),"")</f>
        <v>0</v>
      </c>
      <c r="R369" s="7" t="str">
        <f t="array" ref="R369">IFERROR(INDEX(E$56:E$1054,SMALL(IF(ISNUMBER(P$56:P$1054),ROW(E$1:E$999),""),ROW(J314))),"")</f>
        <v/>
      </c>
      <c r="S369" s="7" t="str">
        <f t="array" ref="S369">IFERROR(INDEX(P$56:P$1054,SMALL(IF(ISNUMBER(P$56:P$1054),ROW(P$1:P$999),""),ROW(P314))),"")</f>
        <v/>
      </c>
      <c r="T369" s="7"/>
      <c r="U369" s="7"/>
      <c r="V369" s="7"/>
    </row>
    <row r="370" spans="1:22" x14ac:dyDescent="0.25">
      <c r="A370" s="6"/>
      <c r="B370" s="11"/>
      <c r="C370" s="12"/>
      <c r="D370" s="12"/>
      <c r="E370" s="8">
        <f t="shared" si="4"/>
        <v>0</v>
      </c>
      <c r="F370" s="10"/>
      <c r="G370" s="10"/>
      <c r="H370" s="9"/>
      <c r="I370" s="7"/>
      <c r="J370" s="7"/>
      <c r="K370" s="7">
        <f ca="1">IFERROR(IF(COUNTA(J$56:J370)=J$54,J370,FORECAST(D370,OFFSET(M$56:M$254,MATCH(D370,L$56:L$254,1)-1,0,2), OFFSET(L$56:L$254,MATCH(D370,L$56:L$254,1)-1,0,2))),"")</f>
        <v>0</v>
      </c>
      <c r="L370" s="7" t="str">
        <f t="array" ref="L370">IFERROR(INDEX(D$56:D$1054,SMALL(IF(ISNUMBER(J$56:J$1054),ROW(D$1:D$999),""),ROW(D315))),"")</f>
        <v/>
      </c>
      <c r="M370" s="7" t="str">
        <f t="array" ref="M370">IFERROR(INDEX(J$56:J$1054,SMALL(IF(ISNUMBER(J$56:J$1054),ROW(J$1:J$999),""),ROW(J315))),"")</f>
        <v/>
      </c>
      <c r="N370" s="7"/>
      <c r="O370" s="7"/>
      <c r="P370" s="7"/>
      <c r="Q370" s="7">
        <f ca="1">IFERROR(IF(COUNTA(P$56:P370)=P$54,P370,FORECAST(D370,OFFSET(S$56:S$254,MATCH(D370,R$56:R$254,1)-1,0,2), OFFSET(R$56:R$254,MATCH(D370,R$56:R$254,1)-1,0,2))),"")</f>
        <v>0</v>
      </c>
      <c r="R370" s="7" t="str">
        <f t="array" ref="R370">IFERROR(INDEX(E$56:E$1054,SMALL(IF(ISNUMBER(P$56:P$1054),ROW(E$1:E$999),""),ROW(J315))),"")</f>
        <v/>
      </c>
      <c r="S370" s="7" t="str">
        <f t="array" ref="S370">IFERROR(INDEX(P$56:P$1054,SMALL(IF(ISNUMBER(P$56:P$1054),ROW(P$1:P$999),""),ROW(P315))),"")</f>
        <v/>
      </c>
      <c r="T370" s="7"/>
      <c r="U370" s="7"/>
      <c r="V370" s="7"/>
    </row>
    <row r="371" spans="1:22" x14ac:dyDescent="0.25">
      <c r="A371" s="6"/>
      <c r="B371" s="11"/>
      <c r="C371" s="12"/>
      <c r="D371" s="12"/>
      <c r="E371" s="8">
        <f t="shared" si="4"/>
        <v>0</v>
      </c>
      <c r="F371" s="10"/>
      <c r="G371" s="10"/>
      <c r="H371" s="9"/>
      <c r="I371" s="7"/>
      <c r="J371" s="7"/>
      <c r="K371" s="7">
        <f ca="1">IFERROR(IF(COUNTA(J$56:J371)=J$54,J371,FORECAST(D371,OFFSET(M$56:M$254,MATCH(D371,L$56:L$254,1)-1,0,2), OFFSET(L$56:L$254,MATCH(D371,L$56:L$254,1)-1,0,2))),"")</f>
        <v>0</v>
      </c>
      <c r="L371" s="7" t="str">
        <f t="array" ref="L371">IFERROR(INDEX(D$56:D$1054,SMALL(IF(ISNUMBER(J$56:J$1054),ROW(D$1:D$999),""),ROW(D316))),"")</f>
        <v/>
      </c>
      <c r="M371" s="7" t="str">
        <f t="array" ref="M371">IFERROR(INDEX(J$56:J$1054,SMALL(IF(ISNUMBER(J$56:J$1054),ROW(J$1:J$999),""),ROW(J316))),"")</f>
        <v/>
      </c>
      <c r="N371" s="7"/>
      <c r="O371" s="7"/>
      <c r="P371" s="7"/>
      <c r="Q371" s="7">
        <f ca="1">IFERROR(IF(COUNTA(P$56:P371)=P$54,P371,FORECAST(D371,OFFSET(S$56:S$254,MATCH(D371,R$56:R$254,1)-1,0,2), OFFSET(R$56:R$254,MATCH(D371,R$56:R$254,1)-1,0,2))),"")</f>
        <v>0</v>
      </c>
      <c r="R371" s="7" t="str">
        <f t="array" ref="R371">IFERROR(INDEX(E$56:E$1054,SMALL(IF(ISNUMBER(P$56:P$1054),ROW(E$1:E$999),""),ROW(J316))),"")</f>
        <v/>
      </c>
      <c r="S371" s="7" t="str">
        <f t="array" ref="S371">IFERROR(INDEX(P$56:P$1054,SMALL(IF(ISNUMBER(P$56:P$1054),ROW(P$1:P$999),""),ROW(P316))),"")</f>
        <v/>
      </c>
      <c r="T371" s="7"/>
      <c r="U371" s="7"/>
      <c r="V371" s="7"/>
    </row>
    <row r="372" spans="1:22" x14ac:dyDescent="0.25">
      <c r="A372" s="6"/>
      <c r="B372" s="11"/>
      <c r="C372" s="12"/>
      <c r="D372" s="12"/>
      <c r="E372" s="8">
        <f t="shared" si="4"/>
        <v>0</v>
      </c>
      <c r="F372" s="10"/>
      <c r="G372" s="10"/>
      <c r="H372" s="9"/>
      <c r="I372" s="7"/>
      <c r="J372" s="7"/>
      <c r="K372" s="7">
        <f ca="1">IFERROR(IF(COUNTA(J$56:J372)=J$54,J372,FORECAST(D372,OFFSET(M$56:M$254,MATCH(D372,L$56:L$254,1)-1,0,2), OFFSET(L$56:L$254,MATCH(D372,L$56:L$254,1)-1,0,2))),"")</f>
        <v>0</v>
      </c>
      <c r="L372" s="7" t="str">
        <f t="array" ref="L372">IFERROR(INDEX(D$56:D$1054,SMALL(IF(ISNUMBER(J$56:J$1054),ROW(D$1:D$999),""),ROW(D317))),"")</f>
        <v/>
      </c>
      <c r="M372" s="7" t="str">
        <f t="array" ref="M372">IFERROR(INDEX(J$56:J$1054,SMALL(IF(ISNUMBER(J$56:J$1054),ROW(J$1:J$999),""),ROW(J317))),"")</f>
        <v/>
      </c>
      <c r="N372" s="7"/>
      <c r="O372" s="7"/>
      <c r="P372" s="7"/>
      <c r="Q372" s="7">
        <f ca="1">IFERROR(IF(COUNTA(P$56:P372)=P$54,P372,FORECAST(D372,OFFSET(S$56:S$254,MATCH(D372,R$56:R$254,1)-1,0,2), OFFSET(R$56:R$254,MATCH(D372,R$56:R$254,1)-1,0,2))),"")</f>
        <v>0</v>
      </c>
      <c r="R372" s="7" t="str">
        <f t="array" ref="R372">IFERROR(INDEX(E$56:E$1054,SMALL(IF(ISNUMBER(P$56:P$1054),ROW(E$1:E$999),""),ROW(J317))),"")</f>
        <v/>
      </c>
      <c r="S372" s="7" t="str">
        <f t="array" ref="S372">IFERROR(INDEX(P$56:P$1054,SMALL(IF(ISNUMBER(P$56:P$1054),ROW(P$1:P$999),""),ROW(P317))),"")</f>
        <v/>
      </c>
      <c r="T372" s="7"/>
      <c r="U372" s="7"/>
      <c r="V372" s="7"/>
    </row>
    <row r="373" spans="1:22" x14ac:dyDescent="0.25">
      <c r="A373" s="6"/>
      <c r="B373" s="11"/>
      <c r="C373" s="12"/>
      <c r="D373" s="12"/>
      <c r="E373" s="8">
        <f t="shared" si="4"/>
        <v>0</v>
      </c>
      <c r="F373" s="10"/>
      <c r="G373" s="10"/>
      <c r="H373" s="9"/>
      <c r="I373" s="7"/>
      <c r="J373" s="7"/>
      <c r="K373" s="7">
        <f ca="1">IFERROR(IF(COUNTA(J$56:J373)=J$54,J373,FORECAST(D373,OFFSET(M$56:M$254,MATCH(D373,L$56:L$254,1)-1,0,2), OFFSET(L$56:L$254,MATCH(D373,L$56:L$254,1)-1,0,2))),"")</f>
        <v>0</v>
      </c>
      <c r="L373" s="7" t="str">
        <f t="array" ref="L373">IFERROR(INDEX(D$56:D$1054,SMALL(IF(ISNUMBER(J$56:J$1054),ROW(D$1:D$999),""),ROW(D318))),"")</f>
        <v/>
      </c>
      <c r="M373" s="7" t="str">
        <f t="array" ref="M373">IFERROR(INDEX(J$56:J$1054,SMALL(IF(ISNUMBER(J$56:J$1054),ROW(J$1:J$999),""),ROW(J318))),"")</f>
        <v/>
      </c>
      <c r="N373" s="7"/>
      <c r="O373" s="7"/>
      <c r="P373" s="7"/>
      <c r="Q373" s="7">
        <f ca="1">IFERROR(IF(COUNTA(P$56:P373)=P$54,P373,FORECAST(D373,OFFSET(S$56:S$254,MATCH(D373,R$56:R$254,1)-1,0,2), OFFSET(R$56:R$254,MATCH(D373,R$56:R$254,1)-1,0,2))),"")</f>
        <v>0</v>
      </c>
      <c r="R373" s="7" t="str">
        <f t="array" ref="R373">IFERROR(INDEX(E$56:E$1054,SMALL(IF(ISNUMBER(P$56:P$1054),ROW(E$1:E$999),""),ROW(J318))),"")</f>
        <v/>
      </c>
      <c r="S373" s="7" t="str">
        <f t="array" ref="S373">IFERROR(INDEX(P$56:P$1054,SMALL(IF(ISNUMBER(P$56:P$1054),ROW(P$1:P$999),""),ROW(P318))),"")</f>
        <v/>
      </c>
      <c r="T373" s="7"/>
      <c r="U373" s="7"/>
      <c r="V373" s="7"/>
    </row>
    <row r="374" spans="1:22" x14ac:dyDescent="0.25">
      <c r="A374" s="6"/>
      <c r="B374" s="11"/>
      <c r="C374" s="12"/>
      <c r="D374" s="12"/>
      <c r="E374" s="8">
        <f t="shared" si="4"/>
        <v>0</v>
      </c>
      <c r="F374" s="10"/>
      <c r="G374" s="10"/>
      <c r="H374" s="9"/>
      <c r="I374" s="7"/>
      <c r="J374" s="7"/>
      <c r="K374" s="7">
        <f ca="1">IFERROR(IF(COUNTA(J$56:J374)=J$54,J374,FORECAST(D374,OFFSET(M$56:M$254,MATCH(D374,L$56:L$254,1)-1,0,2), OFFSET(L$56:L$254,MATCH(D374,L$56:L$254,1)-1,0,2))),"")</f>
        <v>0</v>
      </c>
      <c r="L374" s="7" t="str">
        <f t="array" ref="L374">IFERROR(INDEX(D$56:D$1054,SMALL(IF(ISNUMBER(J$56:J$1054),ROW(D$1:D$999),""),ROW(D319))),"")</f>
        <v/>
      </c>
      <c r="M374" s="7" t="str">
        <f t="array" ref="M374">IFERROR(INDEX(J$56:J$1054,SMALL(IF(ISNUMBER(J$56:J$1054),ROW(J$1:J$999),""),ROW(J319))),"")</f>
        <v/>
      </c>
      <c r="N374" s="7"/>
      <c r="O374" s="7"/>
      <c r="P374" s="7"/>
      <c r="Q374" s="7">
        <f ca="1">IFERROR(IF(COUNTA(P$56:P374)=P$54,P374,FORECAST(D374,OFFSET(S$56:S$254,MATCH(D374,R$56:R$254,1)-1,0,2), OFFSET(R$56:R$254,MATCH(D374,R$56:R$254,1)-1,0,2))),"")</f>
        <v>0</v>
      </c>
      <c r="R374" s="7" t="str">
        <f t="array" ref="R374">IFERROR(INDEX(E$56:E$1054,SMALL(IF(ISNUMBER(P$56:P$1054),ROW(E$1:E$999),""),ROW(J319))),"")</f>
        <v/>
      </c>
      <c r="S374" s="7" t="str">
        <f t="array" ref="S374">IFERROR(INDEX(P$56:P$1054,SMALL(IF(ISNUMBER(P$56:P$1054),ROW(P$1:P$999),""),ROW(P319))),"")</f>
        <v/>
      </c>
      <c r="T374" s="7"/>
      <c r="U374" s="7"/>
      <c r="V374" s="7"/>
    </row>
    <row r="375" spans="1:22" x14ac:dyDescent="0.25">
      <c r="A375" s="6"/>
      <c r="B375" s="11"/>
      <c r="C375" s="12"/>
      <c r="D375" s="12"/>
      <c r="E375" s="8">
        <f t="shared" si="4"/>
        <v>0</v>
      </c>
      <c r="F375" s="10"/>
      <c r="G375" s="10"/>
      <c r="H375" s="9"/>
      <c r="I375" s="7"/>
      <c r="J375" s="7"/>
      <c r="K375" s="7">
        <f ca="1">IFERROR(IF(COUNTA(J$56:J375)=J$54,J375,FORECAST(D375,OFFSET(M$56:M$254,MATCH(D375,L$56:L$254,1)-1,0,2), OFFSET(L$56:L$254,MATCH(D375,L$56:L$254,1)-1,0,2))),"")</f>
        <v>0</v>
      </c>
      <c r="L375" s="7" t="str">
        <f t="array" ref="L375">IFERROR(INDEX(D$56:D$1054,SMALL(IF(ISNUMBER(J$56:J$1054),ROW(D$1:D$999),""),ROW(D320))),"")</f>
        <v/>
      </c>
      <c r="M375" s="7" t="str">
        <f t="array" ref="M375">IFERROR(INDEX(J$56:J$1054,SMALL(IF(ISNUMBER(J$56:J$1054),ROW(J$1:J$999),""),ROW(J320))),"")</f>
        <v/>
      </c>
      <c r="N375" s="7"/>
      <c r="O375" s="7"/>
      <c r="P375" s="7"/>
      <c r="Q375" s="7">
        <f ca="1">IFERROR(IF(COUNTA(P$56:P375)=P$54,P375,FORECAST(D375,OFFSET(S$56:S$254,MATCH(D375,R$56:R$254,1)-1,0,2), OFFSET(R$56:R$254,MATCH(D375,R$56:R$254,1)-1,0,2))),"")</f>
        <v>0</v>
      </c>
      <c r="R375" s="7" t="str">
        <f t="array" ref="R375">IFERROR(INDEX(E$56:E$1054,SMALL(IF(ISNUMBER(P$56:P$1054),ROW(E$1:E$999),""),ROW(J320))),"")</f>
        <v/>
      </c>
      <c r="S375" s="7" t="str">
        <f t="array" ref="S375">IFERROR(INDEX(P$56:P$1054,SMALL(IF(ISNUMBER(P$56:P$1054),ROW(P$1:P$999),""),ROW(P320))),"")</f>
        <v/>
      </c>
      <c r="T375" s="7"/>
      <c r="U375" s="7"/>
      <c r="V375" s="7"/>
    </row>
    <row r="376" spans="1:22" x14ac:dyDescent="0.25">
      <c r="A376" s="6"/>
      <c r="B376" s="11"/>
      <c r="C376" s="12"/>
      <c r="D376" s="12"/>
      <c r="E376" s="8">
        <f t="shared" si="4"/>
        <v>0</v>
      </c>
      <c r="F376" s="10"/>
      <c r="G376" s="10"/>
      <c r="H376" s="9"/>
      <c r="I376" s="7"/>
      <c r="J376" s="7"/>
      <c r="K376" s="7">
        <f ca="1">IFERROR(IF(COUNTA(J$56:J376)=J$54,J376,FORECAST(D376,OFFSET(M$56:M$254,MATCH(D376,L$56:L$254,1)-1,0,2), OFFSET(L$56:L$254,MATCH(D376,L$56:L$254,1)-1,0,2))),"")</f>
        <v>0</v>
      </c>
      <c r="L376" s="7" t="str">
        <f t="array" ref="L376">IFERROR(INDEX(D$56:D$1054,SMALL(IF(ISNUMBER(J$56:J$1054),ROW(D$1:D$999),""),ROW(D321))),"")</f>
        <v/>
      </c>
      <c r="M376" s="7" t="str">
        <f t="array" ref="M376">IFERROR(INDEX(J$56:J$1054,SMALL(IF(ISNUMBER(J$56:J$1054),ROW(J$1:J$999),""),ROW(J321))),"")</f>
        <v/>
      </c>
      <c r="N376" s="7"/>
      <c r="O376" s="7"/>
      <c r="P376" s="7"/>
      <c r="Q376" s="7">
        <f ca="1">IFERROR(IF(COUNTA(P$56:P376)=P$54,P376,FORECAST(D376,OFFSET(S$56:S$254,MATCH(D376,R$56:R$254,1)-1,0,2), OFFSET(R$56:R$254,MATCH(D376,R$56:R$254,1)-1,0,2))),"")</f>
        <v>0</v>
      </c>
      <c r="R376" s="7" t="str">
        <f t="array" ref="R376">IFERROR(INDEX(E$56:E$1054,SMALL(IF(ISNUMBER(P$56:P$1054),ROW(E$1:E$999),""),ROW(J321))),"")</f>
        <v/>
      </c>
      <c r="S376" s="7" t="str">
        <f t="array" ref="S376">IFERROR(INDEX(P$56:P$1054,SMALL(IF(ISNUMBER(P$56:P$1054),ROW(P$1:P$999),""),ROW(P321))),"")</f>
        <v/>
      </c>
      <c r="T376" s="7"/>
      <c r="U376" s="7"/>
      <c r="V376" s="7"/>
    </row>
    <row r="377" spans="1:22" x14ac:dyDescent="0.25">
      <c r="A377" s="6"/>
      <c r="B377" s="11"/>
      <c r="C377" s="12"/>
      <c r="D377" s="12"/>
      <c r="E377" s="8">
        <f t="shared" si="4"/>
        <v>0</v>
      </c>
      <c r="F377" s="10"/>
      <c r="G377" s="10"/>
      <c r="H377" s="9"/>
      <c r="I377" s="7"/>
      <c r="J377" s="7"/>
      <c r="K377" s="7">
        <f ca="1">IFERROR(IF(COUNTA(J$56:J377)=J$54,J377,FORECAST(D377,OFFSET(M$56:M$254,MATCH(D377,L$56:L$254,1)-1,0,2), OFFSET(L$56:L$254,MATCH(D377,L$56:L$254,1)-1,0,2))),"")</f>
        <v>0</v>
      </c>
      <c r="L377" s="7" t="str">
        <f t="array" ref="L377">IFERROR(INDEX(D$56:D$1054,SMALL(IF(ISNUMBER(J$56:J$1054),ROW(D$1:D$999),""),ROW(D322))),"")</f>
        <v/>
      </c>
      <c r="M377" s="7" t="str">
        <f t="array" ref="M377">IFERROR(INDEX(J$56:J$1054,SMALL(IF(ISNUMBER(J$56:J$1054),ROW(J$1:J$999),""),ROW(J322))),"")</f>
        <v/>
      </c>
      <c r="N377" s="7"/>
      <c r="O377" s="7"/>
      <c r="P377" s="7"/>
      <c r="Q377" s="7">
        <f ca="1">IFERROR(IF(COUNTA(P$56:P377)=P$54,P377,FORECAST(D377,OFFSET(S$56:S$254,MATCH(D377,R$56:R$254,1)-1,0,2), OFFSET(R$56:R$254,MATCH(D377,R$56:R$254,1)-1,0,2))),"")</f>
        <v>0</v>
      </c>
      <c r="R377" s="7" t="str">
        <f t="array" ref="R377">IFERROR(INDEX(E$56:E$1054,SMALL(IF(ISNUMBER(P$56:P$1054),ROW(E$1:E$999),""),ROW(J322))),"")</f>
        <v/>
      </c>
      <c r="S377" s="7" t="str">
        <f t="array" ref="S377">IFERROR(INDEX(P$56:P$1054,SMALL(IF(ISNUMBER(P$56:P$1054),ROW(P$1:P$999),""),ROW(P322))),"")</f>
        <v/>
      </c>
      <c r="T377" s="7"/>
      <c r="U377" s="7"/>
      <c r="V377" s="7"/>
    </row>
    <row r="378" spans="1:22" x14ac:dyDescent="0.25">
      <c r="A378" s="6"/>
      <c r="B378" s="11"/>
      <c r="C378" s="12"/>
      <c r="D378" s="12"/>
      <c r="E378" s="8">
        <f t="shared" ref="E378:E441" si="5">IF(NOT(ISBLANK(D378)),D378+C$54,0)</f>
        <v>0</v>
      </c>
      <c r="F378" s="10"/>
      <c r="G378" s="10"/>
      <c r="H378" s="9"/>
      <c r="I378" s="7"/>
      <c r="J378" s="7"/>
      <c r="K378" s="7">
        <f ca="1">IFERROR(IF(COUNTA(J$56:J378)=J$54,J378,FORECAST(D378,OFFSET(M$56:M$254,MATCH(D378,L$56:L$254,1)-1,0,2), OFFSET(L$56:L$254,MATCH(D378,L$56:L$254,1)-1,0,2))),"")</f>
        <v>0</v>
      </c>
      <c r="L378" s="7" t="str">
        <f t="array" ref="L378">IFERROR(INDEX(D$56:D$1054,SMALL(IF(ISNUMBER(J$56:J$1054),ROW(D$1:D$999),""),ROW(D323))),"")</f>
        <v/>
      </c>
      <c r="M378" s="7" t="str">
        <f t="array" ref="M378">IFERROR(INDEX(J$56:J$1054,SMALL(IF(ISNUMBER(J$56:J$1054),ROW(J$1:J$999),""),ROW(J323))),"")</f>
        <v/>
      </c>
      <c r="N378" s="7"/>
      <c r="O378" s="7"/>
      <c r="P378" s="7"/>
      <c r="Q378" s="7">
        <f ca="1">IFERROR(IF(COUNTA(P$56:P378)=P$54,P378,FORECAST(D378,OFFSET(S$56:S$254,MATCH(D378,R$56:R$254,1)-1,0,2), OFFSET(R$56:R$254,MATCH(D378,R$56:R$254,1)-1,0,2))),"")</f>
        <v>0</v>
      </c>
      <c r="R378" s="7" t="str">
        <f t="array" ref="R378">IFERROR(INDEX(E$56:E$1054,SMALL(IF(ISNUMBER(P$56:P$1054),ROW(E$1:E$999),""),ROW(J323))),"")</f>
        <v/>
      </c>
      <c r="S378" s="7" t="str">
        <f t="array" ref="S378">IFERROR(INDEX(P$56:P$1054,SMALL(IF(ISNUMBER(P$56:P$1054),ROW(P$1:P$999),""),ROW(P323))),"")</f>
        <v/>
      </c>
      <c r="T378" s="7"/>
      <c r="U378" s="7"/>
      <c r="V378" s="7"/>
    </row>
    <row r="379" spans="1:22" x14ac:dyDescent="0.25">
      <c r="A379" s="6"/>
      <c r="B379" s="11"/>
      <c r="C379" s="12"/>
      <c r="D379" s="12"/>
      <c r="E379" s="8">
        <f t="shared" si="5"/>
        <v>0</v>
      </c>
      <c r="F379" s="10"/>
      <c r="G379" s="10"/>
      <c r="H379" s="9"/>
      <c r="I379" s="7"/>
      <c r="J379" s="7"/>
      <c r="K379" s="7">
        <f ca="1">IFERROR(IF(COUNTA(J$56:J379)=J$54,J379,FORECAST(D379,OFFSET(M$56:M$254,MATCH(D379,L$56:L$254,1)-1,0,2), OFFSET(L$56:L$254,MATCH(D379,L$56:L$254,1)-1,0,2))),"")</f>
        <v>0</v>
      </c>
      <c r="L379" s="7" t="str">
        <f t="array" ref="L379">IFERROR(INDEX(D$56:D$1054,SMALL(IF(ISNUMBER(J$56:J$1054),ROW(D$1:D$999),""),ROW(D324))),"")</f>
        <v/>
      </c>
      <c r="M379" s="7" t="str">
        <f t="array" ref="M379">IFERROR(INDEX(J$56:J$1054,SMALL(IF(ISNUMBER(J$56:J$1054),ROW(J$1:J$999),""),ROW(J324))),"")</f>
        <v/>
      </c>
      <c r="N379" s="7"/>
      <c r="O379" s="7"/>
      <c r="P379" s="7"/>
      <c r="Q379" s="7">
        <f ca="1">IFERROR(IF(COUNTA(P$56:P379)=P$54,P379,FORECAST(D379,OFFSET(S$56:S$254,MATCH(D379,R$56:R$254,1)-1,0,2), OFFSET(R$56:R$254,MATCH(D379,R$56:R$254,1)-1,0,2))),"")</f>
        <v>0</v>
      </c>
      <c r="R379" s="7" t="str">
        <f t="array" ref="R379">IFERROR(INDEX(E$56:E$1054,SMALL(IF(ISNUMBER(P$56:P$1054),ROW(E$1:E$999),""),ROW(J324))),"")</f>
        <v/>
      </c>
      <c r="S379" s="7" t="str">
        <f t="array" ref="S379">IFERROR(INDEX(P$56:P$1054,SMALL(IF(ISNUMBER(P$56:P$1054),ROW(P$1:P$999),""),ROW(P324))),"")</f>
        <v/>
      </c>
      <c r="T379" s="7"/>
      <c r="U379" s="7"/>
      <c r="V379" s="7"/>
    </row>
    <row r="380" spans="1:22" x14ac:dyDescent="0.25">
      <c r="A380" s="6"/>
      <c r="B380" s="11"/>
      <c r="C380" s="12"/>
      <c r="D380" s="12"/>
      <c r="E380" s="8">
        <f t="shared" si="5"/>
        <v>0</v>
      </c>
      <c r="F380" s="10"/>
      <c r="G380" s="10"/>
      <c r="H380" s="9"/>
      <c r="I380" s="7"/>
      <c r="J380" s="7"/>
      <c r="K380" s="7">
        <f ca="1">IFERROR(IF(COUNTA(J$56:J380)=J$54,J380,FORECAST(D380,OFFSET(M$56:M$254,MATCH(D380,L$56:L$254,1)-1,0,2), OFFSET(L$56:L$254,MATCH(D380,L$56:L$254,1)-1,0,2))),"")</f>
        <v>0</v>
      </c>
      <c r="L380" s="7" t="str">
        <f t="array" ref="L380">IFERROR(INDEX(D$56:D$1054,SMALL(IF(ISNUMBER(J$56:J$1054),ROW(D$1:D$999),""),ROW(D325))),"")</f>
        <v/>
      </c>
      <c r="M380" s="7" t="str">
        <f t="array" ref="M380">IFERROR(INDEX(J$56:J$1054,SMALL(IF(ISNUMBER(J$56:J$1054),ROW(J$1:J$999),""),ROW(J325))),"")</f>
        <v/>
      </c>
      <c r="N380" s="7"/>
      <c r="O380" s="7"/>
      <c r="P380" s="7"/>
      <c r="Q380" s="7">
        <f ca="1">IFERROR(IF(COUNTA(P$56:P380)=P$54,P380,FORECAST(D380,OFFSET(S$56:S$254,MATCH(D380,R$56:R$254,1)-1,0,2), OFFSET(R$56:R$254,MATCH(D380,R$56:R$254,1)-1,0,2))),"")</f>
        <v>0</v>
      </c>
      <c r="R380" s="7" t="str">
        <f t="array" ref="R380">IFERROR(INDEX(E$56:E$1054,SMALL(IF(ISNUMBER(P$56:P$1054),ROW(E$1:E$999),""),ROW(J325))),"")</f>
        <v/>
      </c>
      <c r="S380" s="7" t="str">
        <f t="array" ref="S380">IFERROR(INDEX(P$56:P$1054,SMALL(IF(ISNUMBER(P$56:P$1054),ROW(P$1:P$999),""),ROW(P325))),"")</f>
        <v/>
      </c>
      <c r="T380" s="7"/>
      <c r="U380" s="7"/>
      <c r="V380" s="7"/>
    </row>
    <row r="381" spans="1:22" x14ac:dyDescent="0.25">
      <c r="A381" s="6"/>
      <c r="B381" s="11"/>
      <c r="C381" s="12"/>
      <c r="D381" s="12"/>
      <c r="E381" s="8">
        <f t="shared" si="5"/>
        <v>0</v>
      </c>
      <c r="F381" s="10"/>
      <c r="G381" s="10"/>
      <c r="H381" s="9"/>
      <c r="I381" s="7"/>
      <c r="J381" s="7"/>
      <c r="K381" s="7">
        <f ca="1">IFERROR(IF(COUNTA(J$56:J381)=J$54,J381,FORECAST(D381,OFFSET(M$56:M$254,MATCH(D381,L$56:L$254,1)-1,0,2), OFFSET(L$56:L$254,MATCH(D381,L$56:L$254,1)-1,0,2))),"")</f>
        <v>0</v>
      </c>
      <c r="L381" s="7" t="str">
        <f t="array" ref="L381">IFERROR(INDEX(D$56:D$1054,SMALL(IF(ISNUMBER(J$56:J$1054),ROW(D$1:D$999),""),ROW(D326))),"")</f>
        <v/>
      </c>
      <c r="M381" s="7" t="str">
        <f t="array" ref="M381">IFERROR(INDEX(J$56:J$1054,SMALL(IF(ISNUMBER(J$56:J$1054),ROW(J$1:J$999),""),ROW(J326))),"")</f>
        <v/>
      </c>
      <c r="N381" s="7"/>
      <c r="O381" s="7"/>
      <c r="P381" s="7"/>
      <c r="Q381" s="7">
        <f ca="1">IFERROR(IF(COUNTA(P$56:P381)=P$54,P381,FORECAST(D381,OFFSET(S$56:S$254,MATCH(D381,R$56:R$254,1)-1,0,2), OFFSET(R$56:R$254,MATCH(D381,R$56:R$254,1)-1,0,2))),"")</f>
        <v>0</v>
      </c>
      <c r="R381" s="7" t="str">
        <f t="array" ref="R381">IFERROR(INDEX(E$56:E$1054,SMALL(IF(ISNUMBER(P$56:P$1054),ROW(E$1:E$999),""),ROW(J326))),"")</f>
        <v/>
      </c>
      <c r="S381" s="7" t="str">
        <f t="array" ref="S381">IFERROR(INDEX(P$56:P$1054,SMALL(IF(ISNUMBER(P$56:P$1054),ROW(P$1:P$999),""),ROW(P326))),"")</f>
        <v/>
      </c>
      <c r="T381" s="7"/>
      <c r="U381" s="7"/>
      <c r="V381" s="7"/>
    </row>
    <row r="382" spans="1:22" x14ac:dyDescent="0.25">
      <c r="A382" s="6"/>
      <c r="B382" s="11"/>
      <c r="C382" s="12"/>
      <c r="D382" s="12"/>
      <c r="E382" s="8">
        <f t="shared" si="5"/>
        <v>0</v>
      </c>
      <c r="F382" s="10"/>
      <c r="G382" s="10"/>
      <c r="H382" s="9"/>
      <c r="I382" s="7"/>
      <c r="J382" s="7"/>
      <c r="K382" s="7">
        <f ca="1">IFERROR(IF(COUNTA(J$56:J382)=J$54,J382,FORECAST(D382,OFFSET(M$56:M$254,MATCH(D382,L$56:L$254,1)-1,0,2), OFFSET(L$56:L$254,MATCH(D382,L$56:L$254,1)-1,0,2))),"")</f>
        <v>0</v>
      </c>
      <c r="L382" s="7" t="str">
        <f t="array" ref="L382">IFERROR(INDEX(D$56:D$1054,SMALL(IF(ISNUMBER(J$56:J$1054),ROW(D$1:D$999),""),ROW(D327))),"")</f>
        <v/>
      </c>
      <c r="M382" s="7" t="str">
        <f t="array" ref="M382">IFERROR(INDEX(J$56:J$1054,SMALL(IF(ISNUMBER(J$56:J$1054),ROW(J$1:J$999),""),ROW(J327))),"")</f>
        <v/>
      </c>
      <c r="N382" s="7"/>
      <c r="O382" s="7"/>
      <c r="P382" s="7"/>
      <c r="Q382" s="7">
        <f ca="1">IFERROR(IF(COUNTA(P$56:P382)=P$54,P382,FORECAST(D382,OFFSET(S$56:S$254,MATCH(D382,R$56:R$254,1)-1,0,2), OFFSET(R$56:R$254,MATCH(D382,R$56:R$254,1)-1,0,2))),"")</f>
        <v>0</v>
      </c>
      <c r="R382" s="7" t="str">
        <f t="array" ref="R382">IFERROR(INDEX(E$56:E$1054,SMALL(IF(ISNUMBER(P$56:P$1054),ROW(E$1:E$999),""),ROW(J327))),"")</f>
        <v/>
      </c>
      <c r="S382" s="7" t="str">
        <f t="array" ref="S382">IFERROR(INDEX(P$56:P$1054,SMALL(IF(ISNUMBER(P$56:P$1054),ROW(P$1:P$999),""),ROW(P327))),"")</f>
        <v/>
      </c>
      <c r="T382" s="7"/>
      <c r="U382" s="7"/>
      <c r="V382" s="7"/>
    </row>
    <row r="383" spans="1:22" x14ac:dyDescent="0.25">
      <c r="A383" s="6"/>
      <c r="B383" s="11"/>
      <c r="C383" s="12"/>
      <c r="D383" s="12"/>
      <c r="E383" s="8">
        <f t="shared" si="5"/>
        <v>0</v>
      </c>
      <c r="F383" s="10"/>
      <c r="G383" s="10"/>
      <c r="H383" s="9"/>
      <c r="I383" s="7"/>
      <c r="J383" s="7"/>
      <c r="K383" s="7">
        <f ca="1">IFERROR(IF(COUNTA(J$56:J383)=J$54,J383,FORECAST(D383,OFFSET(M$56:M$254,MATCH(D383,L$56:L$254,1)-1,0,2), OFFSET(L$56:L$254,MATCH(D383,L$56:L$254,1)-1,0,2))),"")</f>
        <v>0</v>
      </c>
      <c r="L383" s="7" t="str">
        <f t="array" ref="L383">IFERROR(INDEX(D$56:D$1054,SMALL(IF(ISNUMBER(J$56:J$1054),ROW(D$1:D$999),""),ROW(D328))),"")</f>
        <v/>
      </c>
      <c r="M383" s="7" t="str">
        <f t="array" ref="M383">IFERROR(INDEX(J$56:J$1054,SMALL(IF(ISNUMBER(J$56:J$1054),ROW(J$1:J$999),""),ROW(J328))),"")</f>
        <v/>
      </c>
      <c r="N383" s="7"/>
      <c r="O383" s="7"/>
      <c r="P383" s="7"/>
      <c r="Q383" s="7">
        <f ca="1">IFERROR(IF(COUNTA(P$56:P383)=P$54,P383,FORECAST(D383,OFFSET(S$56:S$254,MATCH(D383,R$56:R$254,1)-1,0,2), OFFSET(R$56:R$254,MATCH(D383,R$56:R$254,1)-1,0,2))),"")</f>
        <v>0</v>
      </c>
      <c r="R383" s="7" t="str">
        <f t="array" ref="R383">IFERROR(INDEX(E$56:E$1054,SMALL(IF(ISNUMBER(P$56:P$1054),ROW(E$1:E$999),""),ROW(J328))),"")</f>
        <v/>
      </c>
      <c r="S383" s="7" t="str">
        <f t="array" ref="S383">IFERROR(INDEX(P$56:P$1054,SMALL(IF(ISNUMBER(P$56:P$1054),ROW(P$1:P$999),""),ROW(P328))),"")</f>
        <v/>
      </c>
      <c r="T383" s="7"/>
      <c r="U383" s="7"/>
      <c r="V383" s="7"/>
    </row>
    <row r="384" spans="1:22" x14ac:dyDescent="0.25">
      <c r="A384" s="6"/>
      <c r="B384" s="11"/>
      <c r="C384" s="12"/>
      <c r="D384" s="12"/>
      <c r="E384" s="8">
        <f t="shared" si="5"/>
        <v>0</v>
      </c>
      <c r="F384" s="10"/>
      <c r="G384" s="10"/>
      <c r="H384" s="9"/>
      <c r="I384" s="7"/>
      <c r="J384" s="7"/>
      <c r="K384" s="7">
        <f ca="1">IFERROR(IF(COUNTA(J$56:J384)=J$54,J384,FORECAST(D384,OFFSET(M$56:M$254,MATCH(D384,L$56:L$254,1)-1,0,2), OFFSET(L$56:L$254,MATCH(D384,L$56:L$254,1)-1,0,2))),"")</f>
        <v>0</v>
      </c>
      <c r="L384" s="7" t="str">
        <f t="array" ref="L384">IFERROR(INDEX(D$56:D$1054,SMALL(IF(ISNUMBER(J$56:J$1054),ROW(D$1:D$999),""),ROW(D329))),"")</f>
        <v/>
      </c>
      <c r="M384" s="7" t="str">
        <f t="array" ref="M384">IFERROR(INDEX(J$56:J$1054,SMALL(IF(ISNUMBER(J$56:J$1054),ROW(J$1:J$999),""),ROW(J329))),"")</f>
        <v/>
      </c>
      <c r="N384" s="7"/>
      <c r="O384" s="7"/>
      <c r="P384" s="7"/>
      <c r="Q384" s="7">
        <f ca="1">IFERROR(IF(COUNTA(P$56:P384)=P$54,P384,FORECAST(D384,OFFSET(S$56:S$254,MATCH(D384,R$56:R$254,1)-1,0,2), OFFSET(R$56:R$254,MATCH(D384,R$56:R$254,1)-1,0,2))),"")</f>
        <v>0</v>
      </c>
      <c r="R384" s="7" t="str">
        <f t="array" ref="R384">IFERROR(INDEX(E$56:E$1054,SMALL(IF(ISNUMBER(P$56:P$1054),ROW(E$1:E$999),""),ROW(J329))),"")</f>
        <v/>
      </c>
      <c r="S384" s="7" t="str">
        <f t="array" ref="S384">IFERROR(INDEX(P$56:P$1054,SMALL(IF(ISNUMBER(P$56:P$1054),ROW(P$1:P$999),""),ROW(P329))),"")</f>
        <v/>
      </c>
      <c r="T384" s="7"/>
      <c r="U384" s="7"/>
      <c r="V384" s="7"/>
    </row>
    <row r="385" spans="1:22" x14ac:dyDescent="0.25">
      <c r="A385" s="6"/>
      <c r="B385" s="11"/>
      <c r="C385" s="12"/>
      <c r="D385" s="12"/>
      <c r="E385" s="8">
        <f t="shared" si="5"/>
        <v>0</v>
      </c>
      <c r="F385" s="10"/>
      <c r="G385" s="10"/>
      <c r="H385" s="9"/>
      <c r="I385" s="7"/>
      <c r="J385" s="7"/>
      <c r="K385" s="7">
        <f ca="1">IFERROR(IF(COUNTA(J$56:J385)=J$54,J385,FORECAST(D385,OFFSET(M$56:M$254,MATCH(D385,L$56:L$254,1)-1,0,2), OFFSET(L$56:L$254,MATCH(D385,L$56:L$254,1)-1,0,2))),"")</f>
        <v>0</v>
      </c>
      <c r="L385" s="7" t="str">
        <f t="array" ref="L385">IFERROR(INDEX(D$56:D$1054,SMALL(IF(ISNUMBER(J$56:J$1054),ROW(D$1:D$999),""),ROW(D330))),"")</f>
        <v/>
      </c>
      <c r="M385" s="7" t="str">
        <f t="array" ref="M385">IFERROR(INDEX(J$56:J$1054,SMALL(IF(ISNUMBER(J$56:J$1054),ROW(J$1:J$999),""),ROW(J330))),"")</f>
        <v/>
      </c>
      <c r="N385" s="7"/>
      <c r="O385" s="7"/>
      <c r="P385" s="7"/>
      <c r="Q385" s="7">
        <f ca="1">IFERROR(IF(COUNTA(P$56:P385)=P$54,P385,FORECAST(D385,OFFSET(S$56:S$254,MATCH(D385,R$56:R$254,1)-1,0,2), OFFSET(R$56:R$254,MATCH(D385,R$56:R$254,1)-1,0,2))),"")</f>
        <v>0</v>
      </c>
      <c r="R385" s="7" t="str">
        <f t="array" ref="R385">IFERROR(INDEX(E$56:E$1054,SMALL(IF(ISNUMBER(P$56:P$1054),ROW(E$1:E$999),""),ROW(J330))),"")</f>
        <v/>
      </c>
      <c r="S385" s="7" t="str">
        <f t="array" ref="S385">IFERROR(INDEX(P$56:P$1054,SMALL(IF(ISNUMBER(P$56:P$1054),ROW(P$1:P$999),""),ROW(P330))),"")</f>
        <v/>
      </c>
      <c r="T385" s="7"/>
      <c r="U385" s="7"/>
      <c r="V385" s="7"/>
    </row>
    <row r="386" spans="1:22" x14ac:dyDescent="0.25">
      <c r="A386" s="6"/>
      <c r="B386" s="11"/>
      <c r="C386" s="12"/>
      <c r="D386" s="12"/>
      <c r="E386" s="8">
        <f t="shared" si="5"/>
        <v>0</v>
      </c>
      <c r="F386" s="10"/>
      <c r="G386" s="10"/>
      <c r="H386" s="9"/>
      <c r="I386" s="7"/>
      <c r="J386" s="7"/>
      <c r="K386" s="7">
        <f ca="1">IFERROR(IF(COUNTA(J$56:J386)=J$54,J386,FORECAST(D386,OFFSET(M$56:M$254,MATCH(D386,L$56:L$254,1)-1,0,2), OFFSET(L$56:L$254,MATCH(D386,L$56:L$254,1)-1,0,2))),"")</f>
        <v>0</v>
      </c>
      <c r="L386" s="7" t="str">
        <f t="array" ref="L386">IFERROR(INDEX(D$56:D$1054,SMALL(IF(ISNUMBER(J$56:J$1054),ROW(D$1:D$999),""),ROW(D331))),"")</f>
        <v/>
      </c>
      <c r="M386" s="7" t="str">
        <f t="array" ref="M386">IFERROR(INDEX(J$56:J$1054,SMALL(IF(ISNUMBER(J$56:J$1054),ROW(J$1:J$999),""),ROW(J331))),"")</f>
        <v/>
      </c>
      <c r="N386" s="7"/>
      <c r="O386" s="7"/>
      <c r="P386" s="7"/>
      <c r="Q386" s="7">
        <f ca="1">IFERROR(IF(COUNTA(P$56:P386)=P$54,P386,FORECAST(D386,OFFSET(S$56:S$254,MATCH(D386,R$56:R$254,1)-1,0,2), OFFSET(R$56:R$254,MATCH(D386,R$56:R$254,1)-1,0,2))),"")</f>
        <v>0</v>
      </c>
      <c r="R386" s="7" t="str">
        <f t="array" ref="R386">IFERROR(INDEX(E$56:E$1054,SMALL(IF(ISNUMBER(P$56:P$1054),ROW(E$1:E$999),""),ROW(J331))),"")</f>
        <v/>
      </c>
      <c r="S386" s="7" t="str">
        <f t="array" ref="S386">IFERROR(INDEX(P$56:P$1054,SMALL(IF(ISNUMBER(P$56:P$1054),ROW(P$1:P$999),""),ROW(P331))),"")</f>
        <v/>
      </c>
      <c r="T386" s="7"/>
      <c r="U386" s="7"/>
      <c r="V386" s="7"/>
    </row>
    <row r="387" spans="1:22" x14ac:dyDescent="0.25">
      <c r="A387" s="6"/>
      <c r="B387" s="11"/>
      <c r="C387" s="12"/>
      <c r="D387" s="12"/>
      <c r="E387" s="8">
        <f t="shared" si="5"/>
        <v>0</v>
      </c>
      <c r="F387" s="10"/>
      <c r="G387" s="10"/>
      <c r="H387" s="9"/>
      <c r="I387" s="7"/>
      <c r="J387" s="7"/>
      <c r="K387" s="7">
        <f ca="1">IFERROR(IF(COUNTA(J$56:J387)=J$54,J387,FORECAST(D387,OFFSET(M$56:M$254,MATCH(D387,L$56:L$254,1)-1,0,2), OFFSET(L$56:L$254,MATCH(D387,L$56:L$254,1)-1,0,2))),"")</f>
        <v>0</v>
      </c>
      <c r="L387" s="7" t="str">
        <f t="array" ref="L387">IFERROR(INDEX(D$56:D$1054,SMALL(IF(ISNUMBER(J$56:J$1054),ROW(D$1:D$999),""),ROW(D332))),"")</f>
        <v/>
      </c>
      <c r="M387" s="7" t="str">
        <f t="array" ref="M387">IFERROR(INDEX(J$56:J$1054,SMALL(IF(ISNUMBER(J$56:J$1054),ROW(J$1:J$999),""),ROW(J332))),"")</f>
        <v/>
      </c>
      <c r="N387" s="7"/>
      <c r="O387" s="7"/>
      <c r="P387" s="7"/>
      <c r="Q387" s="7">
        <f ca="1">IFERROR(IF(COUNTA(P$56:P387)=P$54,P387,FORECAST(D387,OFFSET(S$56:S$254,MATCH(D387,R$56:R$254,1)-1,0,2), OFFSET(R$56:R$254,MATCH(D387,R$56:R$254,1)-1,0,2))),"")</f>
        <v>0</v>
      </c>
      <c r="R387" s="7" t="str">
        <f t="array" ref="R387">IFERROR(INDEX(E$56:E$1054,SMALL(IF(ISNUMBER(P$56:P$1054),ROW(E$1:E$999),""),ROW(J332))),"")</f>
        <v/>
      </c>
      <c r="S387" s="7" t="str">
        <f t="array" ref="S387">IFERROR(INDEX(P$56:P$1054,SMALL(IF(ISNUMBER(P$56:P$1054),ROW(P$1:P$999),""),ROW(P332))),"")</f>
        <v/>
      </c>
      <c r="T387" s="7"/>
      <c r="U387" s="7"/>
      <c r="V387" s="7"/>
    </row>
    <row r="388" spans="1:22" x14ac:dyDescent="0.25">
      <c r="A388" s="6"/>
      <c r="B388" s="11"/>
      <c r="C388" s="12"/>
      <c r="D388" s="12"/>
      <c r="E388" s="8">
        <f t="shared" si="5"/>
        <v>0</v>
      </c>
      <c r="F388" s="10"/>
      <c r="G388" s="10"/>
      <c r="H388" s="9"/>
      <c r="I388" s="7"/>
      <c r="J388" s="7"/>
      <c r="K388" s="7">
        <f ca="1">IFERROR(IF(COUNTA(J$56:J388)=J$54,J388,FORECAST(D388,OFFSET(M$56:M$254,MATCH(D388,L$56:L$254,1)-1,0,2), OFFSET(L$56:L$254,MATCH(D388,L$56:L$254,1)-1,0,2))),"")</f>
        <v>0</v>
      </c>
      <c r="L388" s="7" t="str">
        <f t="array" ref="L388">IFERROR(INDEX(D$56:D$1054,SMALL(IF(ISNUMBER(J$56:J$1054),ROW(D$1:D$999),""),ROW(D333))),"")</f>
        <v/>
      </c>
      <c r="M388" s="7" t="str">
        <f t="array" ref="M388">IFERROR(INDEX(J$56:J$1054,SMALL(IF(ISNUMBER(J$56:J$1054),ROW(J$1:J$999),""),ROW(J333))),"")</f>
        <v/>
      </c>
      <c r="N388" s="7"/>
      <c r="O388" s="7"/>
      <c r="P388" s="7"/>
      <c r="Q388" s="7">
        <f ca="1">IFERROR(IF(COUNTA(P$56:P388)=P$54,P388,FORECAST(D388,OFFSET(S$56:S$254,MATCH(D388,R$56:R$254,1)-1,0,2), OFFSET(R$56:R$254,MATCH(D388,R$56:R$254,1)-1,0,2))),"")</f>
        <v>0</v>
      </c>
      <c r="R388" s="7" t="str">
        <f t="array" ref="R388">IFERROR(INDEX(E$56:E$1054,SMALL(IF(ISNUMBER(P$56:P$1054),ROW(E$1:E$999),""),ROW(J333))),"")</f>
        <v/>
      </c>
      <c r="S388" s="7" t="str">
        <f t="array" ref="S388">IFERROR(INDEX(P$56:P$1054,SMALL(IF(ISNUMBER(P$56:P$1054),ROW(P$1:P$999),""),ROW(P333))),"")</f>
        <v/>
      </c>
      <c r="T388" s="7"/>
      <c r="U388" s="7"/>
      <c r="V388" s="7"/>
    </row>
    <row r="389" spans="1:22" x14ac:dyDescent="0.25">
      <c r="A389" s="6"/>
      <c r="B389" s="11"/>
      <c r="C389" s="12"/>
      <c r="D389" s="12"/>
      <c r="E389" s="8">
        <f t="shared" si="5"/>
        <v>0</v>
      </c>
      <c r="F389" s="10"/>
      <c r="G389" s="10"/>
      <c r="H389" s="9"/>
      <c r="I389" s="7"/>
      <c r="J389" s="7"/>
      <c r="K389" s="7">
        <f ca="1">IFERROR(IF(COUNTA(J$56:J389)=J$54,J389,FORECAST(D389,OFFSET(M$56:M$254,MATCH(D389,L$56:L$254,1)-1,0,2), OFFSET(L$56:L$254,MATCH(D389,L$56:L$254,1)-1,0,2))),"")</f>
        <v>0</v>
      </c>
      <c r="L389" s="7" t="str">
        <f t="array" ref="L389">IFERROR(INDEX(D$56:D$1054,SMALL(IF(ISNUMBER(J$56:J$1054),ROW(D$1:D$999),""),ROW(D334))),"")</f>
        <v/>
      </c>
      <c r="M389" s="7" t="str">
        <f t="array" ref="M389">IFERROR(INDEX(J$56:J$1054,SMALL(IF(ISNUMBER(J$56:J$1054),ROW(J$1:J$999),""),ROW(J334))),"")</f>
        <v/>
      </c>
      <c r="N389" s="7"/>
      <c r="O389" s="7"/>
      <c r="P389" s="7"/>
      <c r="Q389" s="7">
        <f ca="1">IFERROR(IF(COUNTA(P$56:P389)=P$54,P389,FORECAST(D389,OFFSET(S$56:S$254,MATCH(D389,R$56:R$254,1)-1,0,2), OFFSET(R$56:R$254,MATCH(D389,R$56:R$254,1)-1,0,2))),"")</f>
        <v>0</v>
      </c>
      <c r="R389" s="7" t="str">
        <f t="array" ref="R389">IFERROR(INDEX(E$56:E$1054,SMALL(IF(ISNUMBER(P$56:P$1054),ROW(E$1:E$999),""),ROW(J334))),"")</f>
        <v/>
      </c>
      <c r="S389" s="7" t="str">
        <f t="array" ref="S389">IFERROR(INDEX(P$56:P$1054,SMALL(IF(ISNUMBER(P$56:P$1054),ROW(P$1:P$999),""),ROW(P334))),"")</f>
        <v/>
      </c>
      <c r="T389" s="7"/>
      <c r="U389" s="7"/>
      <c r="V389" s="7"/>
    </row>
    <row r="390" spans="1:22" x14ac:dyDescent="0.25">
      <c r="A390" s="6"/>
      <c r="B390" s="11"/>
      <c r="C390" s="12"/>
      <c r="D390" s="12"/>
      <c r="E390" s="8">
        <f t="shared" si="5"/>
        <v>0</v>
      </c>
      <c r="F390" s="10"/>
      <c r="G390" s="10"/>
      <c r="H390" s="9"/>
      <c r="I390" s="7"/>
      <c r="J390" s="7"/>
      <c r="K390" s="7">
        <f ca="1">IFERROR(IF(COUNTA(J$56:J390)=J$54,J390,FORECAST(D390,OFFSET(M$56:M$254,MATCH(D390,L$56:L$254,1)-1,0,2), OFFSET(L$56:L$254,MATCH(D390,L$56:L$254,1)-1,0,2))),"")</f>
        <v>0</v>
      </c>
      <c r="L390" s="7" t="str">
        <f t="array" ref="L390">IFERROR(INDEX(D$56:D$1054,SMALL(IF(ISNUMBER(J$56:J$1054),ROW(D$1:D$999),""),ROW(D335))),"")</f>
        <v/>
      </c>
      <c r="M390" s="7" t="str">
        <f t="array" ref="M390">IFERROR(INDEX(J$56:J$1054,SMALL(IF(ISNUMBER(J$56:J$1054),ROW(J$1:J$999),""),ROW(J335))),"")</f>
        <v/>
      </c>
      <c r="N390" s="7"/>
      <c r="O390" s="7"/>
      <c r="P390" s="7"/>
      <c r="Q390" s="7">
        <f ca="1">IFERROR(IF(COUNTA(P$56:P390)=P$54,P390,FORECAST(D390,OFFSET(S$56:S$254,MATCH(D390,R$56:R$254,1)-1,0,2), OFFSET(R$56:R$254,MATCH(D390,R$56:R$254,1)-1,0,2))),"")</f>
        <v>0</v>
      </c>
      <c r="R390" s="7" t="str">
        <f t="array" ref="R390">IFERROR(INDEX(E$56:E$1054,SMALL(IF(ISNUMBER(P$56:P$1054),ROW(E$1:E$999),""),ROW(J335))),"")</f>
        <v/>
      </c>
      <c r="S390" s="7" t="str">
        <f t="array" ref="S390">IFERROR(INDEX(P$56:P$1054,SMALL(IF(ISNUMBER(P$56:P$1054),ROW(P$1:P$999),""),ROW(P335))),"")</f>
        <v/>
      </c>
      <c r="T390" s="7"/>
      <c r="U390" s="7"/>
      <c r="V390" s="7"/>
    </row>
    <row r="391" spans="1:22" x14ac:dyDescent="0.25">
      <c r="A391" s="6"/>
      <c r="B391" s="11"/>
      <c r="C391" s="12"/>
      <c r="D391" s="12"/>
      <c r="E391" s="8">
        <f t="shared" si="5"/>
        <v>0</v>
      </c>
      <c r="F391" s="10"/>
      <c r="G391" s="10"/>
      <c r="H391" s="9"/>
      <c r="I391" s="7"/>
      <c r="J391" s="7"/>
      <c r="K391" s="7">
        <f ca="1">IFERROR(IF(COUNTA(J$56:J391)=J$54,J391,FORECAST(D391,OFFSET(M$56:M$254,MATCH(D391,L$56:L$254,1)-1,0,2), OFFSET(L$56:L$254,MATCH(D391,L$56:L$254,1)-1,0,2))),"")</f>
        <v>0</v>
      </c>
      <c r="L391" s="7" t="str">
        <f t="array" ref="L391">IFERROR(INDEX(D$56:D$1054,SMALL(IF(ISNUMBER(J$56:J$1054),ROW(D$1:D$999),""),ROW(D336))),"")</f>
        <v/>
      </c>
      <c r="M391" s="7" t="str">
        <f t="array" ref="M391">IFERROR(INDEX(J$56:J$1054,SMALL(IF(ISNUMBER(J$56:J$1054),ROW(J$1:J$999),""),ROW(J336))),"")</f>
        <v/>
      </c>
      <c r="N391" s="7"/>
      <c r="O391" s="7"/>
      <c r="P391" s="7"/>
      <c r="Q391" s="7">
        <f ca="1">IFERROR(IF(COUNTA(P$56:P391)=P$54,P391,FORECAST(D391,OFFSET(S$56:S$254,MATCH(D391,R$56:R$254,1)-1,0,2), OFFSET(R$56:R$254,MATCH(D391,R$56:R$254,1)-1,0,2))),"")</f>
        <v>0</v>
      </c>
      <c r="R391" s="7" t="str">
        <f t="array" ref="R391">IFERROR(INDEX(E$56:E$1054,SMALL(IF(ISNUMBER(P$56:P$1054),ROW(E$1:E$999),""),ROW(J336))),"")</f>
        <v/>
      </c>
      <c r="S391" s="7" t="str">
        <f t="array" ref="S391">IFERROR(INDEX(P$56:P$1054,SMALL(IF(ISNUMBER(P$56:P$1054),ROW(P$1:P$999),""),ROW(P336))),"")</f>
        <v/>
      </c>
      <c r="T391" s="7"/>
      <c r="U391" s="7"/>
      <c r="V391" s="7"/>
    </row>
    <row r="392" spans="1:22" x14ac:dyDescent="0.25">
      <c r="A392" s="6"/>
      <c r="B392" s="11"/>
      <c r="C392" s="12"/>
      <c r="D392" s="12"/>
      <c r="E392" s="8">
        <f t="shared" si="5"/>
        <v>0</v>
      </c>
      <c r="F392" s="10"/>
      <c r="G392" s="10"/>
      <c r="H392" s="9"/>
      <c r="I392" s="7"/>
      <c r="J392" s="7"/>
      <c r="K392" s="7">
        <f ca="1">IFERROR(IF(COUNTA(J$56:J392)=J$54,J392,FORECAST(D392,OFFSET(M$56:M$254,MATCH(D392,L$56:L$254,1)-1,0,2), OFFSET(L$56:L$254,MATCH(D392,L$56:L$254,1)-1,0,2))),"")</f>
        <v>0</v>
      </c>
      <c r="L392" s="7" t="str">
        <f t="array" ref="L392">IFERROR(INDEX(D$56:D$1054,SMALL(IF(ISNUMBER(J$56:J$1054),ROW(D$1:D$999),""),ROW(D337))),"")</f>
        <v/>
      </c>
      <c r="M392" s="7" t="str">
        <f t="array" ref="M392">IFERROR(INDEX(J$56:J$1054,SMALL(IF(ISNUMBER(J$56:J$1054),ROW(J$1:J$999),""),ROW(J337))),"")</f>
        <v/>
      </c>
      <c r="N392" s="7"/>
      <c r="O392" s="7"/>
      <c r="P392" s="7"/>
      <c r="Q392" s="7">
        <f ca="1">IFERROR(IF(COUNTA(P$56:P392)=P$54,P392,FORECAST(D392,OFFSET(S$56:S$254,MATCH(D392,R$56:R$254,1)-1,0,2), OFFSET(R$56:R$254,MATCH(D392,R$56:R$254,1)-1,0,2))),"")</f>
        <v>0</v>
      </c>
      <c r="R392" s="7" t="str">
        <f t="array" ref="R392">IFERROR(INDEX(E$56:E$1054,SMALL(IF(ISNUMBER(P$56:P$1054),ROW(E$1:E$999),""),ROW(J337))),"")</f>
        <v/>
      </c>
      <c r="S392" s="7" t="str">
        <f t="array" ref="S392">IFERROR(INDEX(P$56:P$1054,SMALL(IF(ISNUMBER(P$56:P$1054),ROW(P$1:P$999),""),ROW(P337))),"")</f>
        <v/>
      </c>
      <c r="T392" s="7"/>
      <c r="U392" s="7"/>
      <c r="V392" s="7"/>
    </row>
    <row r="393" spans="1:22" x14ac:dyDescent="0.25">
      <c r="A393" s="6"/>
      <c r="B393" s="11"/>
      <c r="C393" s="12"/>
      <c r="D393" s="12"/>
      <c r="E393" s="8">
        <f t="shared" si="5"/>
        <v>0</v>
      </c>
      <c r="F393" s="10"/>
      <c r="G393" s="10"/>
      <c r="H393" s="9"/>
      <c r="I393" s="7"/>
      <c r="J393" s="7"/>
      <c r="K393" s="7">
        <f ca="1">IFERROR(IF(COUNTA(J$56:J393)=J$54,J393,FORECAST(D393,OFFSET(M$56:M$254,MATCH(D393,L$56:L$254,1)-1,0,2), OFFSET(L$56:L$254,MATCH(D393,L$56:L$254,1)-1,0,2))),"")</f>
        <v>0</v>
      </c>
      <c r="L393" s="7" t="str">
        <f t="array" ref="L393">IFERROR(INDEX(D$56:D$1054,SMALL(IF(ISNUMBER(J$56:J$1054),ROW(D$1:D$999),""),ROW(D338))),"")</f>
        <v/>
      </c>
      <c r="M393" s="7" t="str">
        <f t="array" ref="M393">IFERROR(INDEX(J$56:J$1054,SMALL(IF(ISNUMBER(J$56:J$1054),ROW(J$1:J$999),""),ROW(J338))),"")</f>
        <v/>
      </c>
      <c r="N393" s="7"/>
      <c r="O393" s="7"/>
      <c r="P393" s="7"/>
      <c r="Q393" s="7">
        <f ca="1">IFERROR(IF(COUNTA(P$56:P393)=P$54,P393,FORECAST(D393,OFFSET(S$56:S$254,MATCH(D393,R$56:R$254,1)-1,0,2), OFFSET(R$56:R$254,MATCH(D393,R$56:R$254,1)-1,0,2))),"")</f>
        <v>0</v>
      </c>
      <c r="R393" s="7" t="str">
        <f t="array" ref="R393">IFERROR(INDEX(E$56:E$1054,SMALL(IF(ISNUMBER(P$56:P$1054),ROW(E$1:E$999),""),ROW(J338))),"")</f>
        <v/>
      </c>
      <c r="S393" s="7" t="str">
        <f t="array" ref="S393">IFERROR(INDEX(P$56:P$1054,SMALL(IF(ISNUMBER(P$56:P$1054),ROW(P$1:P$999),""),ROW(P338))),"")</f>
        <v/>
      </c>
      <c r="T393" s="7"/>
      <c r="U393" s="7"/>
      <c r="V393" s="7"/>
    </row>
    <row r="394" spans="1:22" x14ac:dyDescent="0.25">
      <c r="A394" s="6"/>
      <c r="B394" s="11"/>
      <c r="C394" s="12"/>
      <c r="D394" s="12"/>
      <c r="E394" s="8">
        <f t="shared" si="5"/>
        <v>0</v>
      </c>
      <c r="F394" s="10"/>
      <c r="G394" s="10"/>
      <c r="H394" s="9"/>
      <c r="I394" s="7"/>
      <c r="J394" s="7"/>
      <c r="K394" s="7">
        <f ca="1">IFERROR(IF(COUNTA(J$56:J394)=J$54,J394,FORECAST(D394,OFFSET(M$56:M$254,MATCH(D394,L$56:L$254,1)-1,0,2), OFFSET(L$56:L$254,MATCH(D394,L$56:L$254,1)-1,0,2))),"")</f>
        <v>0</v>
      </c>
      <c r="L394" s="7" t="str">
        <f t="array" ref="L394">IFERROR(INDEX(D$56:D$1054,SMALL(IF(ISNUMBER(J$56:J$1054),ROW(D$1:D$999),""),ROW(D339))),"")</f>
        <v/>
      </c>
      <c r="M394" s="7" t="str">
        <f t="array" ref="M394">IFERROR(INDEX(J$56:J$1054,SMALL(IF(ISNUMBER(J$56:J$1054),ROW(J$1:J$999),""),ROW(J339))),"")</f>
        <v/>
      </c>
      <c r="N394" s="7"/>
      <c r="O394" s="7"/>
      <c r="P394" s="7"/>
      <c r="Q394" s="7">
        <f ca="1">IFERROR(IF(COUNTA(P$56:P394)=P$54,P394,FORECAST(D394,OFFSET(S$56:S$254,MATCH(D394,R$56:R$254,1)-1,0,2), OFFSET(R$56:R$254,MATCH(D394,R$56:R$254,1)-1,0,2))),"")</f>
        <v>0</v>
      </c>
      <c r="R394" s="7" t="str">
        <f t="array" ref="R394">IFERROR(INDEX(E$56:E$1054,SMALL(IF(ISNUMBER(P$56:P$1054),ROW(E$1:E$999),""),ROW(J339))),"")</f>
        <v/>
      </c>
      <c r="S394" s="7" t="str">
        <f t="array" ref="S394">IFERROR(INDEX(P$56:P$1054,SMALL(IF(ISNUMBER(P$56:P$1054),ROW(P$1:P$999),""),ROW(P339))),"")</f>
        <v/>
      </c>
      <c r="T394" s="7"/>
      <c r="U394" s="7"/>
      <c r="V394" s="7"/>
    </row>
    <row r="395" spans="1:22" x14ac:dyDescent="0.25">
      <c r="A395" s="6"/>
      <c r="B395" s="11"/>
      <c r="C395" s="12"/>
      <c r="D395" s="12"/>
      <c r="E395" s="8">
        <f t="shared" si="5"/>
        <v>0</v>
      </c>
      <c r="F395" s="10"/>
      <c r="G395" s="10"/>
      <c r="H395" s="9"/>
      <c r="I395" s="7"/>
      <c r="J395" s="7"/>
      <c r="K395" s="7">
        <f ca="1">IFERROR(IF(COUNTA(J$56:J395)=J$54,J395,FORECAST(D395,OFFSET(M$56:M$254,MATCH(D395,L$56:L$254,1)-1,0,2), OFFSET(L$56:L$254,MATCH(D395,L$56:L$254,1)-1,0,2))),"")</f>
        <v>0</v>
      </c>
      <c r="L395" s="7" t="str">
        <f t="array" ref="L395">IFERROR(INDEX(D$56:D$1054,SMALL(IF(ISNUMBER(J$56:J$1054),ROW(D$1:D$999),""),ROW(D340))),"")</f>
        <v/>
      </c>
      <c r="M395" s="7" t="str">
        <f t="array" ref="M395">IFERROR(INDEX(J$56:J$1054,SMALL(IF(ISNUMBER(J$56:J$1054),ROW(J$1:J$999),""),ROW(J340))),"")</f>
        <v/>
      </c>
      <c r="N395" s="7"/>
      <c r="O395" s="7"/>
      <c r="P395" s="7"/>
      <c r="Q395" s="7">
        <f ca="1">IFERROR(IF(COUNTA(P$56:P395)=P$54,P395,FORECAST(D395,OFFSET(S$56:S$254,MATCH(D395,R$56:R$254,1)-1,0,2), OFFSET(R$56:R$254,MATCH(D395,R$56:R$254,1)-1,0,2))),"")</f>
        <v>0</v>
      </c>
      <c r="R395" s="7" t="str">
        <f t="array" ref="R395">IFERROR(INDEX(E$56:E$1054,SMALL(IF(ISNUMBER(P$56:P$1054),ROW(E$1:E$999),""),ROW(J340))),"")</f>
        <v/>
      </c>
      <c r="S395" s="7" t="str">
        <f t="array" ref="S395">IFERROR(INDEX(P$56:P$1054,SMALL(IF(ISNUMBER(P$56:P$1054),ROW(P$1:P$999),""),ROW(P340))),"")</f>
        <v/>
      </c>
      <c r="T395" s="7"/>
      <c r="U395" s="7"/>
      <c r="V395" s="7"/>
    </row>
    <row r="396" spans="1:22" x14ac:dyDescent="0.25">
      <c r="A396" s="6"/>
      <c r="B396" s="11"/>
      <c r="C396" s="12"/>
      <c r="D396" s="12"/>
      <c r="E396" s="8">
        <f t="shared" si="5"/>
        <v>0</v>
      </c>
      <c r="F396" s="10"/>
      <c r="G396" s="10"/>
      <c r="H396" s="9"/>
      <c r="I396" s="7"/>
      <c r="J396" s="7"/>
      <c r="K396" s="7">
        <f ca="1">IFERROR(IF(COUNTA(J$56:J396)=J$54,J396,FORECAST(D396,OFFSET(M$56:M$254,MATCH(D396,L$56:L$254,1)-1,0,2), OFFSET(L$56:L$254,MATCH(D396,L$56:L$254,1)-1,0,2))),"")</f>
        <v>0</v>
      </c>
      <c r="L396" s="7" t="str">
        <f t="array" ref="L396">IFERROR(INDEX(D$56:D$1054,SMALL(IF(ISNUMBER(J$56:J$1054),ROW(D$1:D$999),""),ROW(D341))),"")</f>
        <v/>
      </c>
      <c r="M396" s="7" t="str">
        <f t="array" ref="M396">IFERROR(INDEX(J$56:J$1054,SMALL(IF(ISNUMBER(J$56:J$1054),ROW(J$1:J$999),""),ROW(J341))),"")</f>
        <v/>
      </c>
      <c r="N396" s="7"/>
      <c r="O396" s="7"/>
      <c r="P396" s="7"/>
      <c r="Q396" s="7">
        <f ca="1">IFERROR(IF(COUNTA(P$56:P396)=P$54,P396,FORECAST(D396,OFFSET(S$56:S$254,MATCH(D396,R$56:R$254,1)-1,0,2), OFFSET(R$56:R$254,MATCH(D396,R$56:R$254,1)-1,0,2))),"")</f>
        <v>0</v>
      </c>
      <c r="R396" s="7" t="str">
        <f t="array" ref="R396">IFERROR(INDEX(E$56:E$1054,SMALL(IF(ISNUMBER(P$56:P$1054),ROW(E$1:E$999),""),ROW(J341))),"")</f>
        <v/>
      </c>
      <c r="S396" s="7" t="str">
        <f t="array" ref="S396">IFERROR(INDEX(P$56:P$1054,SMALL(IF(ISNUMBER(P$56:P$1054),ROW(P$1:P$999),""),ROW(P341))),"")</f>
        <v/>
      </c>
      <c r="T396" s="7"/>
      <c r="U396" s="7"/>
      <c r="V396" s="7"/>
    </row>
    <row r="397" spans="1:22" x14ac:dyDescent="0.25">
      <c r="A397" s="6"/>
      <c r="B397" s="11"/>
      <c r="C397" s="12"/>
      <c r="D397" s="12"/>
      <c r="E397" s="8">
        <f t="shared" si="5"/>
        <v>0</v>
      </c>
      <c r="F397" s="10"/>
      <c r="G397" s="10"/>
      <c r="H397" s="9"/>
      <c r="I397" s="7"/>
      <c r="J397" s="7"/>
      <c r="K397" s="7">
        <f ca="1">IFERROR(IF(COUNTA(J$56:J397)=J$54,J397,FORECAST(D397,OFFSET(M$56:M$254,MATCH(D397,L$56:L$254,1)-1,0,2), OFFSET(L$56:L$254,MATCH(D397,L$56:L$254,1)-1,0,2))),"")</f>
        <v>0</v>
      </c>
      <c r="L397" s="7" t="str">
        <f t="array" ref="L397">IFERROR(INDEX(D$56:D$1054,SMALL(IF(ISNUMBER(J$56:J$1054),ROW(D$1:D$999),""),ROW(D342))),"")</f>
        <v/>
      </c>
      <c r="M397" s="7" t="str">
        <f t="array" ref="M397">IFERROR(INDEX(J$56:J$1054,SMALL(IF(ISNUMBER(J$56:J$1054),ROW(J$1:J$999),""),ROW(J342))),"")</f>
        <v/>
      </c>
      <c r="N397" s="7"/>
      <c r="O397" s="7"/>
      <c r="P397" s="7"/>
      <c r="Q397" s="7">
        <f ca="1">IFERROR(IF(COUNTA(P$56:P397)=P$54,P397,FORECAST(D397,OFFSET(S$56:S$254,MATCH(D397,R$56:R$254,1)-1,0,2), OFFSET(R$56:R$254,MATCH(D397,R$56:R$254,1)-1,0,2))),"")</f>
        <v>0</v>
      </c>
      <c r="R397" s="7" t="str">
        <f t="array" ref="R397">IFERROR(INDEX(E$56:E$1054,SMALL(IF(ISNUMBER(P$56:P$1054),ROW(E$1:E$999),""),ROW(J342))),"")</f>
        <v/>
      </c>
      <c r="S397" s="7" t="str">
        <f t="array" ref="S397">IFERROR(INDEX(P$56:P$1054,SMALL(IF(ISNUMBER(P$56:P$1054),ROW(P$1:P$999),""),ROW(P342))),"")</f>
        <v/>
      </c>
      <c r="T397" s="7"/>
      <c r="U397" s="7"/>
      <c r="V397" s="7"/>
    </row>
    <row r="398" spans="1:22" x14ac:dyDescent="0.25">
      <c r="A398" s="6"/>
      <c r="B398" s="11"/>
      <c r="C398" s="12"/>
      <c r="D398" s="12"/>
      <c r="E398" s="8">
        <f t="shared" si="5"/>
        <v>0</v>
      </c>
      <c r="F398" s="10"/>
      <c r="G398" s="10"/>
      <c r="H398" s="9"/>
      <c r="I398" s="7"/>
      <c r="J398" s="7"/>
      <c r="K398" s="7">
        <f ca="1">IFERROR(IF(COUNTA(J$56:J398)=J$54,J398,FORECAST(D398,OFFSET(M$56:M$254,MATCH(D398,L$56:L$254,1)-1,0,2), OFFSET(L$56:L$254,MATCH(D398,L$56:L$254,1)-1,0,2))),"")</f>
        <v>0</v>
      </c>
      <c r="L398" s="7" t="str">
        <f t="array" ref="L398">IFERROR(INDEX(D$56:D$1054,SMALL(IF(ISNUMBER(J$56:J$1054),ROW(D$1:D$999),""),ROW(D343))),"")</f>
        <v/>
      </c>
      <c r="M398" s="7" t="str">
        <f t="array" ref="M398">IFERROR(INDEX(J$56:J$1054,SMALL(IF(ISNUMBER(J$56:J$1054),ROW(J$1:J$999),""),ROW(J343))),"")</f>
        <v/>
      </c>
      <c r="N398" s="7"/>
      <c r="O398" s="7"/>
      <c r="P398" s="7"/>
      <c r="Q398" s="7">
        <f ca="1">IFERROR(IF(COUNTA(P$56:P398)=P$54,P398,FORECAST(D398,OFFSET(S$56:S$254,MATCH(D398,R$56:R$254,1)-1,0,2), OFFSET(R$56:R$254,MATCH(D398,R$56:R$254,1)-1,0,2))),"")</f>
        <v>0</v>
      </c>
      <c r="R398" s="7" t="str">
        <f t="array" ref="R398">IFERROR(INDEX(E$56:E$1054,SMALL(IF(ISNUMBER(P$56:P$1054),ROW(E$1:E$999),""),ROW(J343))),"")</f>
        <v/>
      </c>
      <c r="S398" s="7" t="str">
        <f t="array" ref="S398">IFERROR(INDEX(P$56:P$1054,SMALL(IF(ISNUMBER(P$56:P$1054),ROW(P$1:P$999),""),ROW(P343))),"")</f>
        <v/>
      </c>
      <c r="T398" s="7"/>
      <c r="U398" s="7"/>
      <c r="V398" s="7"/>
    </row>
    <row r="399" spans="1:22" x14ac:dyDescent="0.25">
      <c r="A399" s="6"/>
      <c r="B399" s="11"/>
      <c r="C399" s="12"/>
      <c r="D399" s="12"/>
      <c r="E399" s="8">
        <f t="shared" si="5"/>
        <v>0</v>
      </c>
      <c r="F399" s="10"/>
      <c r="G399" s="10"/>
      <c r="H399" s="9"/>
      <c r="I399" s="7"/>
      <c r="J399" s="7"/>
      <c r="K399" s="7">
        <f ca="1">IFERROR(IF(COUNTA(J$56:J399)=J$54,J399,FORECAST(D399,OFFSET(M$56:M$254,MATCH(D399,L$56:L$254,1)-1,0,2), OFFSET(L$56:L$254,MATCH(D399,L$56:L$254,1)-1,0,2))),"")</f>
        <v>0</v>
      </c>
      <c r="L399" s="7" t="str">
        <f t="array" ref="L399">IFERROR(INDEX(D$56:D$1054,SMALL(IF(ISNUMBER(J$56:J$1054),ROW(D$1:D$999),""),ROW(D344))),"")</f>
        <v/>
      </c>
      <c r="M399" s="7" t="str">
        <f t="array" ref="M399">IFERROR(INDEX(J$56:J$1054,SMALL(IF(ISNUMBER(J$56:J$1054),ROW(J$1:J$999),""),ROW(J344))),"")</f>
        <v/>
      </c>
      <c r="N399" s="7"/>
      <c r="O399" s="7"/>
      <c r="P399" s="7"/>
      <c r="Q399" s="7">
        <f ca="1">IFERROR(IF(COUNTA(P$56:P399)=P$54,P399,FORECAST(D399,OFFSET(S$56:S$254,MATCH(D399,R$56:R$254,1)-1,0,2), OFFSET(R$56:R$254,MATCH(D399,R$56:R$254,1)-1,0,2))),"")</f>
        <v>0</v>
      </c>
      <c r="R399" s="7" t="str">
        <f t="array" ref="R399">IFERROR(INDEX(E$56:E$1054,SMALL(IF(ISNUMBER(P$56:P$1054),ROW(E$1:E$999),""),ROW(J344))),"")</f>
        <v/>
      </c>
      <c r="S399" s="7" t="str">
        <f t="array" ref="S399">IFERROR(INDEX(P$56:P$1054,SMALL(IF(ISNUMBER(P$56:P$1054),ROW(P$1:P$999),""),ROW(P344))),"")</f>
        <v/>
      </c>
      <c r="T399" s="7"/>
      <c r="U399" s="7"/>
      <c r="V399" s="7"/>
    </row>
    <row r="400" spans="1:22" x14ac:dyDescent="0.25">
      <c r="A400" s="6"/>
      <c r="B400" s="11"/>
      <c r="C400" s="12"/>
      <c r="D400" s="12"/>
      <c r="E400" s="8">
        <f t="shared" si="5"/>
        <v>0</v>
      </c>
      <c r="F400" s="10"/>
      <c r="G400" s="10"/>
      <c r="H400" s="9"/>
      <c r="I400" s="7"/>
      <c r="J400" s="7"/>
      <c r="K400" s="7">
        <f ca="1">IFERROR(IF(COUNTA(J$56:J400)=J$54,J400,FORECAST(D400,OFFSET(M$56:M$254,MATCH(D400,L$56:L$254,1)-1,0,2), OFFSET(L$56:L$254,MATCH(D400,L$56:L$254,1)-1,0,2))),"")</f>
        <v>0</v>
      </c>
      <c r="L400" s="7" t="str">
        <f t="array" ref="L400">IFERROR(INDEX(D$56:D$1054,SMALL(IF(ISNUMBER(J$56:J$1054),ROW(D$1:D$999),""),ROW(D345))),"")</f>
        <v/>
      </c>
      <c r="M400" s="7" t="str">
        <f t="array" ref="M400">IFERROR(INDEX(J$56:J$1054,SMALL(IF(ISNUMBER(J$56:J$1054),ROW(J$1:J$999),""),ROW(J345))),"")</f>
        <v/>
      </c>
      <c r="N400" s="7"/>
      <c r="O400" s="7"/>
      <c r="P400" s="7"/>
      <c r="Q400" s="7">
        <f ca="1">IFERROR(IF(COUNTA(P$56:P400)=P$54,P400,FORECAST(D400,OFFSET(S$56:S$254,MATCH(D400,R$56:R$254,1)-1,0,2), OFFSET(R$56:R$254,MATCH(D400,R$56:R$254,1)-1,0,2))),"")</f>
        <v>0</v>
      </c>
      <c r="R400" s="7" t="str">
        <f t="array" ref="R400">IFERROR(INDEX(E$56:E$1054,SMALL(IF(ISNUMBER(P$56:P$1054),ROW(E$1:E$999),""),ROW(J345))),"")</f>
        <v/>
      </c>
      <c r="S400" s="7" t="str">
        <f t="array" ref="S400">IFERROR(INDEX(P$56:P$1054,SMALL(IF(ISNUMBER(P$56:P$1054),ROW(P$1:P$999),""),ROW(P345))),"")</f>
        <v/>
      </c>
      <c r="T400" s="7"/>
      <c r="U400" s="7"/>
      <c r="V400" s="7"/>
    </row>
    <row r="401" spans="1:22" x14ac:dyDescent="0.25">
      <c r="A401" s="6"/>
      <c r="B401" s="11"/>
      <c r="C401" s="12"/>
      <c r="D401" s="12"/>
      <c r="E401" s="8">
        <f t="shared" si="5"/>
        <v>0</v>
      </c>
      <c r="F401" s="10"/>
      <c r="G401" s="10"/>
      <c r="H401" s="9"/>
      <c r="I401" s="7"/>
      <c r="J401" s="7"/>
      <c r="K401" s="7">
        <f ca="1">IFERROR(IF(COUNTA(J$56:J401)=J$54,J401,FORECAST(D401,OFFSET(M$56:M$254,MATCH(D401,L$56:L$254,1)-1,0,2), OFFSET(L$56:L$254,MATCH(D401,L$56:L$254,1)-1,0,2))),"")</f>
        <v>0</v>
      </c>
      <c r="L401" s="7" t="str">
        <f t="array" ref="L401">IFERROR(INDEX(D$56:D$1054,SMALL(IF(ISNUMBER(J$56:J$1054),ROW(D$1:D$999),""),ROW(D346))),"")</f>
        <v/>
      </c>
      <c r="M401" s="7" t="str">
        <f t="array" ref="M401">IFERROR(INDEX(J$56:J$1054,SMALL(IF(ISNUMBER(J$56:J$1054),ROW(J$1:J$999),""),ROW(J346))),"")</f>
        <v/>
      </c>
      <c r="N401" s="7"/>
      <c r="O401" s="7"/>
      <c r="P401" s="7"/>
      <c r="Q401" s="7">
        <f ca="1">IFERROR(IF(COUNTA(P$56:P401)=P$54,P401,FORECAST(D401,OFFSET(S$56:S$254,MATCH(D401,R$56:R$254,1)-1,0,2), OFFSET(R$56:R$254,MATCH(D401,R$56:R$254,1)-1,0,2))),"")</f>
        <v>0</v>
      </c>
      <c r="R401" s="7" t="str">
        <f t="array" ref="R401">IFERROR(INDEX(E$56:E$1054,SMALL(IF(ISNUMBER(P$56:P$1054),ROW(E$1:E$999),""),ROW(J346))),"")</f>
        <v/>
      </c>
      <c r="S401" s="7" t="str">
        <f t="array" ref="S401">IFERROR(INDEX(P$56:P$1054,SMALL(IF(ISNUMBER(P$56:P$1054),ROW(P$1:P$999),""),ROW(P346))),"")</f>
        <v/>
      </c>
      <c r="T401" s="7"/>
      <c r="U401" s="7"/>
      <c r="V401" s="7"/>
    </row>
    <row r="402" spans="1:22" x14ac:dyDescent="0.25">
      <c r="A402" s="6"/>
      <c r="B402" s="11"/>
      <c r="C402" s="12"/>
      <c r="D402" s="12"/>
      <c r="E402" s="8">
        <f t="shared" si="5"/>
        <v>0</v>
      </c>
      <c r="F402" s="10"/>
      <c r="G402" s="10"/>
      <c r="H402" s="9"/>
      <c r="I402" s="7"/>
      <c r="J402" s="7"/>
      <c r="K402" s="7">
        <f ca="1">IFERROR(IF(COUNTA(J$56:J402)=J$54,J402,FORECAST(D402,OFFSET(M$56:M$254,MATCH(D402,L$56:L$254,1)-1,0,2), OFFSET(L$56:L$254,MATCH(D402,L$56:L$254,1)-1,0,2))),"")</f>
        <v>0</v>
      </c>
      <c r="L402" s="7" t="str">
        <f t="array" ref="L402">IFERROR(INDEX(D$56:D$1054,SMALL(IF(ISNUMBER(J$56:J$1054),ROW(D$1:D$999),""),ROW(D347))),"")</f>
        <v/>
      </c>
      <c r="M402" s="7" t="str">
        <f t="array" ref="M402">IFERROR(INDEX(J$56:J$1054,SMALL(IF(ISNUMBER(J$56:J$1054),ROW(J$1:J$999),""),ROW(J347))),"")</f>
        <v/>
      </c>
      <c r="N402" s="7"/>
      <c r="O402" s="7"/>
      <c r="P402" s="7"/>
      <c r="Q402" s="7">
        <f ca="1">IFERROR(IF(COUNTA(P$56:P402)=P$54,P402,FORECAST(D402,OFFSET(S$56:S$254,MATCH(D402,R$56:R$254,1)-1,0,2), OFFSET(R$56:R$254,MATCH(D402,R$56:R$254,1)-1,0,2))),"")</f>
        <v>0</v>
      </c>
      <c r="R402" s="7" t="str">
        <f t="array" ref="R402">IFERROR(INDEX(E$56:E$1054,SMALL(IF(ISNUMBER(P$56:P$1054),ROW(E$1:E$999),""),ROW(J347))),"")</f>
        <v/>
      </c>
      <c r="S402" s="7" t="str">
        <f t="array" ref="S402">IFERROR(INDEX(P$56:P$1054,SMALL(IF(ISNUMBER(P$56:P$1054),ROW(P$1:P$999),""),ROW(P347))),"")</f>
        <v/>
      </c>
      <c r="T402" s="7"/>
      <c r="U402" s="7"/>
      <c r="V402" s="7"/>
    </row>
    <row r="403" spans="1:22" x14ac:dyDescent="0.25">
      <c r="A403" s="6"/>
      <c r="B403" s="11"/>
      <c r="C403" s="12"/>
      <c r="D403" s="12"/>
      <c r="E403" s="8">
        <f t="shared" si="5"/>
        <v>0</v>
      </c>
      <c r="F403" s="10"/>
      <c r="G403" s="10"/>
      <c r="H403" s="9"/>
      <c r="I403" s="7"/>
      <c r="J403" s="7"/>
      <c r="K403" s="7">
        <f ca="1">IFERROR(IF(COUNTA(J$56:J403)=J$54,J403,FORECAST(D403,OFFSET(M$56:M$254,MATCH(D403,L$56:L$254,1)-1,0,2), OFFSET(L$56:L$254,MATCH(D403,L$56:L$254,1)-1,0,2))),"")</f>
        <v>0</v>
      </c>
      <c r="L403" s="7" t="str">
        <f t="array" ref="L403">IFERROR(INDEX(D$56:D$1054,SMALL(IF(ISNUMBER(J$56:J$1054),ROW(D$1:D$999),""),ROW(D348))),"")</f>
        <v/>
      </c>
      <c r="M403" s="7" t="str">
        <f t="array" ref="M403">IFERROR(INDEX(J$56:J$1054,SMALL(IF(ISNUMBER(J$56:J$1054),ROW(J$1:J$999),""),ROW(J348))),"")</f>
        <v/>
      </c>
      <c r="N403" s="7"/>
      <c r="O403" s="7"/>
      <c r="P403" s="7"/>
      <c r="Q403" s="7">
        <f ca="1">IFERROR(IF(COUNTA(P$56:P403)=P$54,P403,FORECAST(D403,OFFSET(S$56:S$254,MATCH(D403,R$56:R$254,1)-1,0,2), OFFSET(R$56:R$254,MATCH(D403,R$56:R$254,1)-1,0,2))),"")</f>
        <v>0</v>
      </c>
      <c r="R403" s="7" t="str">
        <f t="array" ref="R403">IFERROR(INDEX(E$56:E$1054,SMALL(IF(ISNUMBER(P$56:P$1054),ROW(E$1:E$999),""),ROW(J348))),"")</f>
        <v/>
      </c>
      <c r="S403" s="7" t="str">
        <f t="array" ref="S403">IFERROR(INDEX(P$56:P$1054,SMALL(IF(ISNUMBER(P$56:P$1054),ROW(P$1:P$999),""),ROW(P348))),"")</f>
        <v/>
      </c>
      <c r="T403" s="7"/>
      <c r="U403" s="7"/>
      <c r="V403" s="7"/>
    </row>
    <row r="404" spans="1:22" x14ac:dyDescent="0.25">
      <c r="A404" s="6"/>
      <c r="B404" s="11"/>
      <c r="C404" s="12"/>
      <c r="D404" s="12"/>
      <c r="E404" s="8">
        <f t="shared" si="5"/>
        <v>0</v>
      </c>
      <c r="F404" s="10"/>
      <c r="G404" s="10"/>
      <c r="H404" s="9"/>
      <c r="I404" s="7"/>
      <c r="J404" s="7"/>
      <c r="K404" s="7">
        <f ca="1">IFERROR(IF(COUNTA(J$56:J404)=J$54,J404,FORECAST(D404,OFFSET(M$56:M$254,MATCH(D404,L$56:L$254,1)-1,0,2), OFFSET(L$56:L$254,MATCH(D404,L$56:L$254,1)-1,0,2))),"")</f>
        <v>0</v>
      </c>
      <c r="L404" s="7" t="str">
        <f t="array" ref="L404">IFERROR(INDEX(D$56:D$1054,SMALL(IF(ISNUMBER(J$56:J$1054),ROW(D$1:D$999),""),ROW(D349))),"")</f>
        <v/>
      </c>
      <c r="M404" s="7" t="str">
        <f t="array" ref="M404">IFERROR(INDEX(J$56:J$1054,SMALL(IF(ISNUMBER(J$56:J$1054),ROW(J$1:J$999),""),ROW(J349))),"")</f>
        <v/>
      </c>
      <c r="N404" s="7"/>
      <c r="O404" s="7"/>
      <c r="P404" s="7"/>
      <c r="Q404" s="7">
        <f ca="1">IFERROR(IF(COUNTA(P$56:P404)=P$54,P404,FORECAST(D404,OFFSET(S$56:S$254,MATCH(D404,R$56:R$254,1)-1,0,2), OFFSET(R$56:R$254,MATCH(D404,R$56:R$254,1)-1,0,2))),"")</f>
        <v>0</v>
      </c>
      <c r="R404" s="7" t="str">
        <f t="array" ref="R404">IFERROR(INDEX(E$56:E$1054,SMALL(IF(ISNUMBER(P$56:P$1054),ROW(E$1:E$999),""),ROW(J349))),"")</f>
        <v/>
      </c>
      <c r="S404" s="7" t="str">
        <f t="array" ref="S404">IFERROR(INDEX(P$56:P$1054,SMALL(IF(ISNUMBER(P$56:P$1054),ROW(P$1:P$999),""),ROW(P349))),"")</f>
        <v/>
      </c>
      <c r="T404" s="7"/>
      <c r="U404" s="7"/>
      <c r="V404" s="7"/>
    </row>
    <row r="405" spans="1:22" x14ac:dyDescent="0.25">
      <c r="A405" s="6"/>
      <c r="B405" s="11"/>
      <c r="C405" s="12"/>
      <c r="D405" s="12"/>
      <c r="E405" s="8">
        <f t="shared" si="5"/>
        <v>0</v>
      </c>
      <c r="F405" s="10"/>
      <c r="G405" s="10"/>
      <c r="H405" s="9"/>
      <c r="I405" s="7"/>
      <c r="J405" s="7"/>
      <c r="K405" s="7">
        <f ca="1">IFERROR(IF(COUNTA(J$56:J405)=J$54,J405,FORECAST(D405,OFFSET(M$56:M$254,MATCH(D405,L$56:L$254,1)-1,0,2), OFFSET(L$56:L$254,MATCH(D405,L$56:L$254,1)-1,0,2))),"")</f>
        <v>0</v>
      </c>
      <c r="L405" s="7" t="str">
        <f t="array" ref="L405">IFERROR(INDEX(D$56:D$1054,SMALL(IF(ISNUMBER(J$56:J$1054),ROW(D$1:D$999),""),ROW(D350))),"")</f>
        <v/>
      </c>
      <c r="M405" s="7" t="str">
        <f t="array" ref="M405">IFERROR(INDEX(J$56:J$1054,SMALL(IF(ISNUMBER(J$56:J$1054),ROW(J$1:J$999),""),ROW(J350))),"")</f>
        <v/>
      </c>
      <c r="N405" s="7"/>
      <c r="O405" s="7"/>
      <c r="P405" s="7"/>
      <c r="Q405" s="7">
        <f ca="1">IFERROR(IF(COUNTA(P$56:P405)=P$54,P405,FORECAST(D405,OFFSET(S$56:S$254,MATCH(D405,R$56:R$254,1)-1,0,2), OFFSET(R$56:R$254,MATCH(D405,R$56:R$254,1)-1,0,2))),"")</f>
        <v>0</v>
      </c>
      <c r="R405" s="7" t="str">
        <f t="array" ref="R405">IFERROR(INDEX(E$56:E$1054,SMALL(IF(ISNUMBER(P$56:P$1054),ROW(E$1:E$999),""),ROW(J350))),"")</f>
        <v/>
      </c>
      <c r="S405" s="7" t="str">
        <f t="array" ref="S405">IFERROR(INDEX(P$56:P$1054,SMALL(IF(ISNUMBER(P$56:P$1054),ROW(P$1:P$999),""),ROW(P350))),"")</f>
        <v/>
      </c>
      <c r="T405" s="7"/>
      <c r="U405" s="7"/>
      <c r="V405" s="7"/>
    </row>
    <row r="406" spans="1:22" x14ac:dyDescent="0.25">
      <c r="A406" s="6"/>
      <c r="B406" s="11"/>
      <c r="C406" s="12"/>
      <c r="D406" s="12"/>
      <c r="E406" s="8">
        <f t="shared" si="5"/>
        <v>0</v>
      </c>
      <c r="F406" s="10"/>
      <c r="G406" s="10"/>
      <c r="H406" s="9"/>
      <c r="I406" s="7"/>
      <c r="J406" s="7"/>
      <c r="K406" s="7">
        <f ca="1">IFERROR(IF(COUNTA(J$56:J406)=J$54,J406,FORECAST(D406,OFFSET(M$56:M$254,MATCH(D406,L$56:L$254,1)-1,0,2), OFFSET(L$56:L$254,MATCH(D406,L$56:L$254,1)-1,0,2))),"")</f>
        <v>0</v>
      </c>
      <c r="L406" s="7" t="str">
        <f t="array" ref="L406">IFERROR(INDEX(D$56:D$1054,SMALL(IF(ISNUMBER(J$56:J$1054),ROW(D$1:D$999),""),ROW(D351))),"")</f>
        <v/>
      </c>
      <c r="M406" s="7" t="str">
        <f t="array" ref="M406">IFERROR(INDEX(J$56:J$1054,SMALL(IF(ISNUMBER(J$56:J$1054),ROW(J$1:J$999),""),ROW(J351))),"")</f>
        <v/>
      </c>
      <c r="N406" s="7"/>
      <c r="O406" s="7"/>
      <c r="P406" s="7"/>
      <c r="Q406" s="7">
        <f ca="1">IFERROR(IF(COUNTA(P$56:P406)=P$54,P406,FORECAST(D406,OFFSET(S$56:S$254,MATCH(D406,R$56:R$254,1)-1,0,2), OFFSET(R$56:R$254,MATCH(D406,R$56:R$254,1)-1,0,2))),"")</f>
        <v>0</v>
      </c>
      <c r="R406" s="7" t="str">
        <f t="array" ref="R406">IFERROR(INDEX(E$56:E$1054,SMALL(IF(ISNUMBER(P$56:P$1054),ROW(E$1:E$999),""),ROW(J351))),"")</f>
        <v/>
      </c>
      <c r="S406" s="7" t="str">
        <f t="array" ref="S406">IFERROR(INDEX(P$56:P$1054,SMALL(IF(ISNUMBER(P$56:P$1054),ROW(P$1:P$999),""),ROW(P351))),"")</f>
        <v/>
      </c>
      <c r="T406" s="7"/>
      <c r="U406" s="7"/>
      <c r="V406" s="7"/>
    </row>
    <row r="407" spans="1:22" x14ac:dyDescent="0.25">
      <c r="A407" s="6"/>
      <c r="B407" s="11"/>
      <c r="C407" s="12"/>
      <c r="D407" s="12"/>
      <c r="E407" s="8">
        <f t="shared" si="5"/>
        <v>0</v>
      </c>
      <c r="F407" s="10"/>
      <c r="G407" s="10"/>
      <c r="H407" s="9"/>
      <c r="I407" s="7"/>
      <c r="J407" s="7"/>
      <c r="K407" s="7">
        <f ca="1">IFERROR(IF(COUNTA(J$56:J407)=J$54,J407,FORECAST(D407,OFFSET(M$56:M$254,MATCH(D407,L$56:L$254,1)-1,0,2), OFFSET(L$56:L$254,MATCH(D407,L$56:L$254,1)-1,0,2))),"")</f>
        <v>0</v>
      </c>
      <c r="L407" s="7" t="str">
        <f t="array" ref="L407">IFERROR(INDEX(D$56:D$1054,SMALL(IF(ISNUMBER(J$56:J$1054),ROW(D$1:D$999),""),ROW(D352))),"")</f>
        <v/>
      </c>
      <c r="M407" s="7" t="str">
        <f t="array" ref="M407">IFERROR(INDEX(J$56:J$1054,SMALL(IF(ISNUMBER(J$56:J$1054),ROW(J$1:J$999),""),ROW(J352))),"")</f>
        <v/>
      </c>
      <c r="N407" s="7"/>
      <c r="O407" s="7"/>
      <c r="P407" s="7"/>
      <c r="Q407" s="7">
        <f ca="1">IFERROR(IF(COUNTA(P$56:P407)=P$54,P407,FORECAST(D407,OFFSET(S$56:S$254,MATCH(D407,R$56:R$254,1)-1,0,2), OFFSET(R$56:R$254,MATCH(D407,R$56:R$254,1)-1,0,2))),"")</f>
        <v>0</v>
      </c>
      <c r="R407" s="7" t="str">
        <f t="array" ref="R407">IFERROR(INDEX(E$56:E$1054,SMALL(IF(ISNUMBER(P$56:P$1054),ROW(E$1:E$999),""),ROW(J352))),"")</f>
        <v/>
      </c>
      <c r="S407" s="7" t="str">
        <f t="array" ref="S407">IFERROR(INDEX(P$56:P$1054,SMALL(IF(ISNUMBER(P$56:P$1054),ROW(P$1:P$999),""),ROW(P352))),"")</f>
        <v/>
      </c>
      <c r="T407" s="7"/>
      <c r="U407" s="7"/>
      <c r="V407" s="7"/>
    </row>
    <row r="408" spans="1:22" x14ac:dyDescent="0.25">
      <c r="A408" s="6"/>
      <c r="B408" s="11"/>
      <c r="C408" s="12"/>
      <c r="D408" s="12"/>
      <c r="E408" s="8">
        <f t="shared" si="5"/>
        <v>0</v>
      </c>
      <c r="F408" s="10"/>
      <c r="G408" s="10"/>
      <c r="H408" s="9"/>
      <c r="I408" s="7"/>
      <c r="J408" s="7"/>
      <c r="K408" s="7">
        <f ca="1">IFERROR(IF(COUNTA(J$56:J408)=J$54,J408,FORECAST(D408,OFFSET(M$56:M$254,MATCH(D408,L$56:L$254,1)-1,0,2), OFFSET(L$56:L$254,MATCH(D408,L$56:L$254,1)-1,0,2))),"")</f>
        <v>0</v>
      </c>
      <c r="L408" s="7" t="str">
        <f t="array" ref="L408">IFERROR(INDEX(D$56:D$1054,SMALL(IF(ISNUMBER(J$56:J$1054),ROW(D$1:D$999),""),ROW(D353))),"")</f>
        <v/>
      </c>
      <c r="M408" s="7" t="str">
        <f t="array" ref="M408">IFERROR(INDEX(J$56:J$1054,SMALL(IF(ISNUMBER(J$56:J$1054),ROW(J$1:J$999),""),ROW(J353))),"")</f>
        <v/>
      </c>
      <c r="N408" s="7"/>
      <c r="O408" s="7"/>
      <c r="P408" s="7"/>
      <c r="Q408" s="7">
        <f ca="1">IFERROR(IF(COUNTA(P$56:P408)=P$54,P408,FORECAST(D408,OFFSET(S$56:S$254,MATCH(D408,R$56:R$254,1)-1,0,2), OFFSET(R$56:R$254,MATCH(D408,R$56:R$254,1)-1,0,2))),"")</f>
        <v>0</v>
      </c>
      <c r="R408" s="7" t="str">
        <f t="array" ref="R408">IFERROR(INDEX(E$56:E$1054,SMALL(IF(ISNUMBER(P$56:P$1054),ROW(E$1:E$999),""),ROW(J353))),"")</f>
        <v/>
      </c>
      <c r="S408" s="7" t="str">
        <f t="array" ref="S408">IFERROR(INDEX(P$56:P$1054,SMALL(IF(ISNUMBER(P$56:P$1054),ROW(P$1:P$999),""),ROW(P353))),"")</f>
        <v/>
      </c>
      <c r="T408" s="7"/>
      <c r="U408" s="7"/>
      <c r="V408" s="7"/>
    </row>
    <row r="409" spans="1:22" x14ac:dyDescent="0.25">
      <c r="A409" s="6"/>
      <c r="B409" s="11"/>
      <c r="C409" s="12"/>
      <c r="D409" s="12"/>
      <c r="E409" s="8">
        <f t="shared" si="5"/>
        <v>0</v>
      </c>
      <c r="F409" s="10"/>
      <c r="G409" s="10"/>
      <c r="H409" s="9"/>
      <c r="I409" s="7"/>
      <c r="J409" s="7"/>
      <c r="K409" s="7">
        <f ca="1">IFERROR(IF(COUNTA(J$56:J409)=J$54,J409,FORECAST(D409,OFFSET(M$56:M$254,MATCH(D409,L$56:L$254,1)-1,0,2), OFFSET(L$56:L$254,MATCH(D409,L$56:L$254,1)-1,0,2))),"")</f>
        <v>0</v>
      </c>
      <c r="L409" s="7" t="str">
        <f t="array" ref="L409">IFERROR(INDEX(D$56:D$1054,SMALL(IF(ISNUMBER(J$56:J$1054),ROW(D$1:D$999),""),ROW(D354))),"")</f>
        <v/>
      </c>
      <c r="M409" s="7" t="str">
        <f t="array" ref="M409">IFERROR(INDEX(J$56:J$1054,SMALL(IF(ISNUMBER(J$56:J$1054),ROW(J$1:J$999),""),ROW(J354))),"")</f>
        <v/>
      </c>
      <c r="N409" s="7"/>
      <c r="O409" s="7"/>
      <c r="P409" s="7"/>
      <c r="Q409" s="7">
        <f ca="1">IFERROR(IF(COUNTA(P$56:P409)=P$54,P409,FORECAST(D409,OFFSET(S$56:S$254,MATCH(D409,R$56:R$254,1)-1,0,2), OFFSET(R$56:R$254,MATCH(D409,R$56:R$254,1)-1,0,2))),"")</f>
        <v>0</v>
      </c>
      <c r="R409" s="7" t="str">
        <f t="array" ref="R409">IFERROR(INDEX(E$56:E$1054,SMALL(IF(ISNUMBER(P$56:P$1054),ROW(E$1:E$999),""),ROW(J354))),"")</f>
        <v/>
      </c>
      <c r="S409" s="7" t="str">
        <f t="array" ref="S409">IFERROR(INDEX(P$56:P$1054,SMALL(IF(ISNUMBER(P$56:P$1054),ROW(P$1:P$999),""),ROW(P354))),"")</f>
        <v/>
      </c>
      <c r="T409" s="7"/>
      <c r="U409" s="7"/>
      <c r="V409" s="7"/>
    </row>
    <row r="410" spans="1:22" x14ac:dyDescent="0.25">
      <c r="A410" s="6"/>
      <c r="B410" s="11"/>
      <c r="C410" s="12"/>
      <c r="D410" s="12"/>
      <c r="E410" s="8">
        <f t="shared" si="5"/>
        <v>0</v>
      </c>
      <c r="F410" s="10"/>
      <c r="G410" s="10"/>
      <c r="H410" s="9"/>
      <c r="I410" s="7"/>
      <c r="J410" s="7"/>
      <c r="K410" s="7">
        <f ca="1">IFERROR(IF(COUNTA(J$56:J410)=J$54,J410,FORECAST(D410,OFFSET(M$56:M$254,MATCH(D410,L$56:L$254,1)-1,0,2), OFFSET(L$56:L$254,MATCH(D410,L$56:L$254,1)-1,0,2))),"")</f>
        <v>0</v>
      </c>
      <c r="L410" s="7" t="str">
        <f t="array" ref="L410">IFERROR(INDEX(D$56:D$1054,SMALL(IF(ISNUMBER(J$56:J$1054),ROW(D$1:D$999),""),ROW(D355))),"")</f>
        <v/>
      </c>
      <c r="M410" s="7" t="str">
        <f t="array" ref="M410">IFERROR(INDEX(J$56:J$1054,SMALL(IF(ISNUMBER(J$56:J$1054),ROW(J$1:J$999),""),ROW(J355))),"")</f>
        <v/>
      </c>
      <c r="N410" s="7"/>
      <c r="O410" s="7"/>
      <c r="P410" s="7"/>
      <c r="Q410" s="7">
        <f ca="1">IFERROR(IF(COUNTA(P$56:P410)=P$54,P410,FORECAST(D410,OFFSET(S$56:S$254,MATCH(D410,R$56:R$254,1)-1,0,2), OFFSET(R$56:R$254,MATCH(D410,R$56:R$254,1)-1,0,2))),"")</f>
        <v>0</v>
      </c>
      <c r="R410" s="7" t="str">
        <f t="array" ref="R410">IFERROR(INDEX(E$56:E$1054,SMALL(IF(ISNUMBER(P$56:P$1054),ROW(E$1:E$999),""),ROW(J355))),"")</f>
        <v/>
      </c>
      <c r="S410" s="7" t="str">
        <f t="array" ref="S410">IFERROR(INDEX(P$56:P$1054,SMALL(IF(ISNUMBER(P$56:P$1054),ROW(P$1:P$999),""),ROW(P355))),"")</f>
        <v/>
      </c>
      <c r="T410" s="7"/>
      <c r="U410" s="7"/>
      <c r="V410" s="7"/>
    </row>
    <row r="411" spans="1:22" x14ac:dyDescent="0.25">
      <c r="A411" s="6"/>
      <c r="B411" s="11"/>
      <c r="C411" s="12"/>
      <c r="D411" s="12"/>
      <c r="E411" s="8">
        <f t="shared" si="5"/>
        <v>0</v>
      </c>
      <c r="F411" s="10"/>
      <c r="G411" s="10"/>
      <c r="H411" s="9"/>
      <c r="I411" s="7"/>
      <c r="J411" s="7"/>
      <c r="K411" s="7">
        <f ca="1">IFERROR(IF(COUNTA(J$56:J411)=J$54,J411,FORECAST(D411,OFFSET(M$56:M$254,MATCH(D411,L$56:L$254,1)-1,0,2), OFFSET(L$56:L$254,MATCH(D411,L$56:L$254,1)-1,0,2))),"")</f>
        <v>0</v>
      </c>
      <c r="L411" s="7" t="str">
        <f t="array" ref="L411">IFERROR(INDEX(D$56:D$1054,SMALL(IF(ISNUMBER(J$56:J$1054),ROW(D$1:D$999),""),ROW(D356))),"")</f>
        <v/>
      </c>
      <c r="M411" s="7" t="str">
        <f t="array" ref="M411">IFERROR(INDEX(J$56:J$1054,SMALL(IF(ISNUMBER(J$56:J$1054),ROW(J$1:J$999),""),ROW(J356))),"")</f>
        <v/>
      </c>
      <c r="N411" s="7"/>
      <c r="O411" s="7"/>
      <c r="P411" s="7"/>
      <c r="Q411" s="7">
        <f ca="1">IFERROR(IF(COUNTA(P$56:P411)=P$54,P411,FORECAST(D411,OFFSET(S$56:S$254,MATCH(D411,R$56:R$254,1)-1,0,2), OFFSET(R$56:R$254,MATCH(D411,R$56:R$254,1)-1,0,2))),"")</f>
        <v>0</v>
      </c>
      <c r="R411" s="7" t="str">
        <f t="array" ref="R411">IFERROR(INDEX(E$56:E$1054,SMALL(IF(ISNUMBER(P$56:P$1054),ROW(E$1:E$999),""),ROW(J356))),"")</f>
        <v/>
      </c>
      <c r="S411" s="7" t="str">
        <f t="array" ref="S411">IFERROR(INDEX(P$56:P$1054,SMALL(IF(ISNUMBER(P$56:P$1054),ROW(P$1:P$999),""),ROW(P356))),"")</f>
        <v/>
      </c>
      <c r="T411" s="7"/>
      <c r="U411" s="7"/>
      <c r="V411" s="7"/>
    </row>
    <row r="412" spans="1:22" x14ac:dyDescent="0.25">
      <c r="A412" s="6"/>
      <c r="B412" s="11"/>
      <c r="C412" s="12"/>
      <c r="D412" s="12"/>
      <c r="E412" s="8">
        <f t="shared" si="5"/>
        <v>0</v>
      </c>
      <c r="F412" s="10"/>
      <c r="G412" s="10"/>
      <c r="H412" s="9"/>
      <c r="I412" s="7"/>
      <c r="J412" s="7"/>
      <c r="K412" s="7">
        <f ca="1">IFERROR(IF(COUNTA(J$56:J412)=J$54,J412,FORECAST(D412,OFFSET(M$56:M$254,MATCH(D412,L$56:L$254,1)-1,0,2), OFFSET(L$56:L$254,MATCH(D412,L$56:L$254,1)-1,0,2))),"")</f>
        <v>0</v>
      </c>
      <c r="L412" s="7" t="str">
        <f t="array" ref="L412">IFERROR(INDEX(D$56:D$1054,SMALL(IF(ISNUMBER(J$56:J$1054),ROW(D$1:D$999),""),ROW(D357))),"")</f>
        <v/>
      </c>
      <c r="M412" s="7" t="str">
        <f t="array" ref="M412">IFERROR(INDEX(J$56:J$1054,SMALL(IF(ISNUMBER(J$56:J$1054),ROW(J$1:J$999),""),ROW(J357))),"")</f>
        <v/>
      </c>
      <c r="N412" s="7"/>
      <c r="O412" s="7"/>
      <c r="P412" s="7"/>
      <c r="Q412" s="7">
        <f ca="1">IFERROR(IF(COUNTA(P$56:P412)=P$54,P412,FORECAST(D412,OFFSET(S$56:S$254,MATCH(D412,R$56:R$254,1)-1,0,2), OFFSET(R$56:R$254,MATCH(D412,R$56:R$254,1)-1,0,2))),"")</f>
        <v>0</v>
      </c>
      <c r="R412" s="7" t="str">
        <f t="array" ref="R412">IFERROR(INDEX(E$56:E$1054,SMALL(IF(ISNUMBER(P$56:P$1054),ROW(E$1:E$999),""),ROW(J357))),"")</f>
        <v/>
      </c>
      <c r="S412" s="7" t="str">
        <f t="array" ref="S412">IFERROR(INDEX(P$56:P$1054,SMALL(IF(ISNUMBER(P$56:P$1054),ROW(P$1:P$999),""),ROW(P357))),"")</f>
        <v/>
      </c>
      <c r="T412" s="7"/>
      <c r="U412" s="7"/>
      <c r="V412" s="7"/>
    </row>
    <row r="413" spans="1:22" x14ac:dyDescent="0.25">
      <c r="A413" s="6"/>
      <c r="B413" s="11"/>
      <c r="C413" s="12"/>
      <c r="D413" s="12"/>
      <c r="E413" s="8">
        <f t="shared" si="5"/>
        <v>0</v>
      </c>
      <c r="F413" s="10"/>
      <c r="G413" s="10"/>
      <c r="H413" s="9"/>
      <c r="I413" s="7"/>
      <c r="J413" s="7"/>
      <c r="K413" s="7">
        <f ca="1">IFERROR(IF(COUNTA(J$56:J413)=J$54,J413,FORECAST(D413,OFFSET(M$56:M$254,MATCH(D413,L$56:L$254,1)-1,0,2), OFFSET(L$56:L$254,MATCH(D413,L$56:L$254,1)-1,0,2))),"")</f>
        <v>0</v>
      </c>
      <c r="L413" s="7" t="str">
        <f t="array" ref="L413">IFERROR(INDEX(D$56:D$1054,SMALL(IF(ISNUMBER(J$56:J$1054),ROW(D$1:D$999),""),ROW(D358))),"")</f>
        <v/>
      </c>
      <c r="M413" s="7" t="str">
        <f t="array" ref="M413">IFERROR(INDEX(J$56:J$1054,SMALL(IF(ISNUMBER(J$56:J$1054),ROW(J$1:J$999),""),ROW(J358))),"")</f>
        <v/>
      </c>
      <c r="N413" s="7"/>
      <c r="O413" s="7"/>
      <c r="P413" s="7"/>
      <c r="Q413" s="7">
        <f ca="1">IFERROR(IF(COUNTA(P$56:P413)=P$54,P413,FORECAST(D413,OFFSET(S$56:S$254,MATCH(D413,R$56:R$254,1)-1,0,2), OFFSET(R$56:R$254,MATCH(D413,R$56:R$254,1)-1,0,2))),"")</f>
        <v>0</v>
      </c>
      <c r="R413" s="7" t="str">
        <f t="array" ref="R413">IFERROR(INDEX(E$56:E$1054,SMALL(IF(ISNUMBER(P$56:P$1054),ROW(E$1:E$999),""),ROW(J358))),"")</f>
        <v/>
      </c>
      <c r="S413" s="7" t="str">
        <f t="array" ref="S413">IFERROR(INDEX(P$56:P$1054,SMALL(IF(ISNUMBER(P$56:P$1054),ROW(P$1:P$999),""),ROW(P358))),"")</f>
        <v/>
      </c>
      <c r="T413" s="7"/>
      <c r="U413" s="7"/>
      <c r="V413" s="7"/>
    </row>
    <row r="414" spans="1:22" x14ac:dyDescent="0.25">
      <c r="A414" s="6"/>
      <c r="B414" s="11"/>
      <c r="C414" s="12"/>
      <c r="D414" s="12"/>
      <c r="E414" s="8">
        <f t="shared" si="5"/>
        <v>0</v>
      </c>
      <c r="F414" s="10"/>
      <c r="G414" s="10"/>
      <c r="H414" s="9"/>
      <c r="I414" s="7"/>
      <c r="J414" s="7"/>
      <c r="K414" s="7">
        <f ca="1">IFERROR(IF(COUNTA(J$56:J414)=J$54,J414,FORECAST(D414,OFFSET(M$56:M$254,MATCH(D414,L$56:L$254,1)-1,0,2), OFFSET(L$56:L$254,MATCH(D414,L$56:L$254,1)-1,0,2))),"")</f>
        <v>0</v>
      </c>
      <c r="L414" s="7" t="str">
        <f t="array" ref="L414">IFERROR(INDEX(D$56:D$1054,SMALL(IF(ISNUMBER(J$56:J$1054),ROW(D$1:D$999),""),ROW(D359))),"")</f>
        <v/>
      </c>
      <c r="M414" s="7" t="str">
        <f t="array" ref="M414">IFERROR(INDEX(J$56:J$1054,SMALL(IF(ISNUMBER(J$56:J$1054),ROW(J$1:J$999),""),ROW(J359))),"")</f>
        <v/>
      </c>
      <c r="N414" s="7"/>
      <c r="O414" s="7"/>
      <c r="P414" s="7"/>
      <c r="Q414" s="7">
        <f ca="1">IFERROR(IF(COUNTA(P$56:P414)=P$54,P414,FORECAST(D414,OFFSET(S$56:S$254,MATCH(D414,R$56:R$254,1)-1,0,2), OFFSET(R$56:R$254,MATCH(D414,R$56:R$254,1)-1,0,2))),"")</f>
        <v>0</v>
      </c>
      <c r="R414" s="7" t="str">
        <f t="array" ref="R414">IFERROR(INDEX(E$56:E$1054,SMALL(IF(ISNUMBER(P$56:P$1054),ROW(E$1:E$999),""),ROW(J359))),"")</f>
        <v/>
      </c>
      <c r="S414" s="7" t="str">
        <f t="array" ref="S414">IFERROR(INDEX(P$56:P$1054,SMALL(IF(ISNUMBER(P$56:P$1054),ROW(P$1:P$999),""),ROW(P359))),"")</f>
        <v/>
      </c>
      <c r="T414" s="7"/>
      <c r="U414" s="7"/>
      <c r="V414" s="7"/>
    </row>
    <row r="415" spans="1:22" x14ac:dyDescent="0.25">
      <c r="A415" s="6"/>
      <c r="B415" s="11"/>
      <c r="C415" s="12"/>
      <c r="D415" s="12"/>
      <c r="E415" s="8">
        <f t="shared" si="5"/>
        <v>0</v>
      </c>
      <c r="F415" s="10"/>
      <c r="G415" s="10"/>
      <c r="H415" s="9"/>
      <c r="I415" s="7"/>
      <c r="J415" s="7"/>
      <c r="K415" s="7">
        <f ca="1">IFERROR(IF(COUNTA(J$56:J415)=J$54,J415,FORECAST(D415,OFFSET(M$56:M$254,MATCH(D415,L$56:L$254,1)-1,0,2), OFFSET(L$56:L$254,MATCH(D415,L$56:L$254,1)-1,0,2))),"")</f>
        <v>0</v>
      </c>
      <c r="L415" s="7" t="str">
        <f t="array" ref="L415">IFERROR(INDEX(D$56:D$1054,SMALL(IF(ISNUMBER(J$56:J$1054),ROW(D$1:D$999),""),ROW(D360))),"")</f>
        <v/>
      </c>
      <c r="M415" s="7" t="str">
        <f t="array" ref="M415">IFERROR(INDEX(J$56:J$1054,SMALL(IF(ISNUMBER(J$56:J$1054),ROW(J$1:J$999),""),ROW(J360))),"")</f>
        <v/>
      </c>
      <c r="N415" s="7"/>
      <c r="O415" s="7"/>
      <c r="P415" s="7"/>
      <c r="Q415" s="7">
        <f ca="1">IFERROR(IF(COUNTA(P$56:P415)=P$54,P415,FORECAST(D415,OFFSET(S$56:S$254,MATCH(D415,R$56:R$254,1)-1,0,2), OFFSET(R$56:R$254,MATCH(D415,R$56:R$254,1)-1,0,2))),"")</f>
        <v>0</v>
      </c>
      <c r="R415" s="7" t="str">
        <f t="array" ref="R415">IFERROR(INDEX(E$56:E$1054,SMALL(IF(ISNUMBER(P$56:P$1054),ROW(E$1:E$999),""),ROW(J360))),"")</f>
        <v/>
      </c>
      <c r="S415" s="7" t="str">
        <f t="array" ref="S415">IFERROR(INDEX(P$56:P$1054,SMALL(IF(ISNUMBER(P$56:P$1054),ROW(P$1:P$999),""),ROW(P360))),"")</f>
        <v/>
      </c>
      <c r="T415" s="7"/>
      <c r="U415" s="7"/>
      <c r="V415" s="7"/>
    </row>
    <row r="416" spans="1:22" x14ac:dyDescent="0.25">
      <c r="A416" s="6"/>
      <c r="B416" s="11"/>
      <c r="C416" s="12"/>
      <c r="D416" s="12"/>
      <c r="E416" s="8">
        <f t="shared" si="5"/>
        <v>0</v>
      </c>
      <c r="F416" s="10"/>
      <c r="G416" s="10"/>
      <c r="H416" s="9"/>
      <c r="I416" s="7"/>
      <c r="J416" s="7"/>
      <c r="K416" s="7">
        <f ca="1">IFERROR(IF(COUNTA(J$56:J416)=J$54,J416,FORECAST(D416,OFFSET(M$56:M$254,MATCH(D416,L$56:L$254,1)-1,0,2), OFFSET(L$56:L$254,MATCH(D416,L$56:L$254,1)-1,0,2))),"")</f>
        <v>0</v>
      </c>
      <c r="L416" s="7" t="str">
        <f t="array" ref="L416">IFERROR(INDEX(D$56:D$1054,SMALL(IF(ISNUMBER(J$56:J$1054),ROW(D$1:D$999),""),ROW(D361))),"")</f>
        <v/>
      </c>
      <c r="M416" s="7" t="str">
        <f t="array" ref="M416">IFERROR(INDEX(J$56:J$1054,SMALL(IF(ISNUMBER(J$56:J$1054),ROW(J$1:J$999),""),ROW(J361))),"")</f>
        <v/>
      </c>
      <c r="N416" s="7"/>
      <c r="O416" s="7"/>
      <c r="P416" s="7"/>
      <c r="Q416" s="7">
        <f ca="1">IFERROR(IF(COUNTA(P$56:P416)=P$54,P416,FORECAST(D416,OFFSET(S$56:S$254,MATCH(D416,R$56:R$254,1)-1,0,2), OFFSET(R$56:R$254,MATCH(D416,R$56:R$254,1)-1,0,2))),"")</f>
        <v>0</v>
      </c>
      <c r="R416" s="7" t="str">
        <f t="array" ref="R416">IFERROR(INDEX(E$56:E$1054,SMALL(IF(ISNUMBER(P$56:P$1054),ROW(E$1:E$999),""),ROW(J361))),"")</f>
        <v/>
      </c>
      <c r="S416" s="7" t="str">
        <f t="array" ref="S416">IFERROR(INDEX(P$56:P$1054,SMALL(IF(ISNUMBER(P$56:P$1054),ROW(P$1:P$999),""),ROW(P361))),"")</f>
        <v/>
      </c>
      <c r="T416" s="7"/>
      <c r="U416" s="7"/>
      <c r="V416" s="7"/>
    </row>
    <row r="417" spans="1:22" x14ac:dyDescent="0.25">
      <c r="A417" s="6"/>
      <c r="B417" s="11"/>
      <c r="C417" s="12"/>
      <c r="D417" s="12"/>
      <c r="E417" s="8">
        <f t="shared" si="5"/>
        <v>0</v>
      </c>
      <c r="F417" s="10"/>
      <c r="G417" s="10"/>
      <c r="H417" s="9"/>
      <c r="I417" s="7"/>
      <c r="J417" s="7"/>
      <c r="K417" s="7">
        <f ca="1">IFERROR(IF(COUNTA(J$56:J417)=J$54,J417,FORECAST(D417,OFFSET(M$56:M$254,MATCH(D417,L$56:L$254,1)-1,0,2), OFFSET(L$56:L$254,MATCH(D417,L$56:L$254,1)-1,0,2))),"")</f>
        <v>0</v>
      </c>
      <c r="L417" s="7" t="str">
        <f t="array" ref="L417">IFERROR(INDEX(D$56:D$1054,SMALL(IF(ISNUMBER(J$56:J$1054),ROW(D$1:D$999),""),ROW(D362))),"")</f>
        <v/>
      </c>
      <c r="M417" s="7" t="str">
        <f t="array" ref="M417">IFERROR(INDEX(J$56:J$1054,SMALL(IF(ISNUMBER(J$56:J$1054),ROW(J$1:J$999),""),ROW(J362))),"")</f>
        <v/>
      </c>
      <c r="N417" s="7"/>
      <c r="O417" s="7"/>
      <c r="P417" s="7"/>
      <c r="Q417" s="7">
        <f ca="1">IFERROR(IF(COUNTA(P$56:P417)=P$54,P417,FORECAST(D417,OFFSET(S$56:S$254,MATCH(D417,R$56:R$254,1)-1,0,2), OFFSET(R$56:R$254,MATCH(D417,R$56:R$254,1)-1,0,2))),"")</f>
        <v>0</v>
      </c>
      <c r="R417" s="7" t="str">
        <f t="array" ref="R417">IFERROR(INDEX(E$56:E$1054,SMALL(IF(ISNUMBER(P$56:P$1054),ROW(E$1:E$999),""),ROW(J362))),"")</f>
        <v/>
      </c>
      <c r="S417" s="7" t="str">
        <f t="array" ref="S417">IFERROR(INDEX(P$56:P$1054,SMALL(IF(ISNUMBER(P$56:P$1054),ROW(P$1:P$999),""),ROW(P362))),"")</f>
        <v/>
      </c>
      <c r="T417" s="7"/>
      <c r="U417" s="7"/>
      <c r="V417" s="7"/>
    </row>
    <row r="418" spans="1:22" x14ac:dyDescent="0.25">
      <c r="A418" s="6"/>
      <c r="B418" s="11"/>
      <c r="C418" s="12"/>
      <c r="D418" s="12"/>
      <c r="E418" s="8">
        <f t="shared" si="5"/>
        <v>0</v>
      </c>
      <c r="F418" s="10"/>
      <c r="G418" s="10"/>
      <c r="H418" s="9"/>
      <c r="I418" s="7"/>
      <c r="J418" s="7"/>
      <c r="K418" s="7">
        <f ca="1">IFERROR(IF(COUNTA(J$56:J418)=J$54,J418,FORECAST(D418,OFFSET(M$56:M$254,MATCH(D418,L$56:L$254,1)-1,0,2), OFFSET(L$56:L$254,MATCH(D418,L$56:L$254,1)-1,0,2))),"")</f>
        <v>0</v>
      </c>
      <c r="L418" s="7" t="str">
        <f t="array" ref="L418">IFERROR(INDEX(D$56:D$1054,SMALL(IF(ISNUMBER(J$56:J$1054),ROW(D$1:D$999),""),ROW(D363))),"")</f>
        <v/>
      </c>
      <c r="M418" s="7" t="str">
        <f t="array" ref="M418">IFERROR(INDEX(J$56:J$1054,SMALL(IF(ISNUMBER(J$56:J$1054),ROW(J$1:J$999),""),ROW(J363))),"")</f>
        <v/>
      </c>
      <c r="N418" s="7"/>
      <c r="O418" s="7"/>
      <c r="P418" s="7"/>
      <c r="Q418" s="7">
        <f ca="1">IFERROR(IF(COUNTA(P$56:P418)=P$54,P418,FORECAST(D418,OFFSET(S$56:S$254,MATCH(D418,R$56:R$254,1)-1,0,2), OFFSET(R$56:R$254,MATCH(D418,R$56:R$254,1)-1,0,2))),"")</f>
        <v>0</v>
      </c>
      <c r="R418" s="7" t="str">
        <f t="array" ref="R418">IFERROR(INDEX(E$56:E$1054,SMALL(IF(ISNUMBER(P$56:P$1054),ROW(E$1:E$999),""),ROW(J363))),"")</f>
        <v/>
      </c>
      <c r="S418" s="7" t="str">
        <f t="array" ref="S418">IFERROR(INDEX(P$56:P$1054,SMALL(IF(ISNUMBER(P$56:P$1054),ROW(P$1:P$999),""),ROW(P363))),"")</f>
        <v/>
      </c>
      <c r="T418" s="7"/>
      <c r="U418" s="7"/>
      <c r="V418" s="7"/>
    </row>
    <row r="419" spans="1:22" x14ac:dyDescent="0.25">
      <c r="A419" s="6"/>
      <c r="B419" s="11"/>
      <c r="C419" s="12"/>
      <c r="D419" s="12"/>
      <c r="E419" s="8">
        <f t="shared" si="5"/>
        <v>0</v>
      </c>
      <c r="F419" s="10"/>
      <c r="G419" s="10"/>
      <c r="H419" s="9"/>
      <c r="I419" s="7"/>
      <c r="J419" s="7"/>
      <c r="K419" s="7">
        <f ca="1">IFERROR(IF(COUNTA(J$56:J419)=J$54,J419,FORECAST(D419,OFFSET(M$56:M$254,MATCH(D419,L$56:L$254,1)-1,0,2), OFFSET(L$56:L$254,MATCH(D419,L$56:L$254,1)-1,0,2))),"")</f>
        <v>0</v>
      </c>
      <c r="L419" s="7" t="str">
        <f t="array" ref="L419">IFERROR(INDEX(D$56:D$1054,SMALL(IF(ISNUMBER(J$56:J$1054),ROW(D$1:D$999),""),ROW(D364))),"")</f>
        <v/>
      </c>
      <c r="M419" s="7" t="str">
        <f t="array" ref="M419">IFERROR(INDEX(J$56:J$1054,SMALL(IF(ISNUMBER(J$56:J$1054),ROW(J$1:J$999),""),ROW(J364))),"")</f>
        <v/>
      </c>
      <c r="N419" s="7"/>
      <c r="O419" s="7"/>
      <c r="P419" s="7"/>
      <c r="Q419" s="7">
        <f ca="1">IFERROR(IF(COUNTA(P$56:P419)=P$54,P419,FORECAST(D419,OFFSET(S$56:S$254,MATCH(D419,R$56:R$254,1)-1,0,2), OFFSET(R$56:R$254,MATCH(D419,R$56:R$254,1)-1,0,2))),"")</f>
        <v>0</v>
      </c>
      <c r="R419" s="7" t="str">
        <f t="array" ref="R419">IFERROR(INDEX(E$56:E$1054,SMALL(IF(ISNUMBER(P$56:P$1054),ROW(E$1:E$999),""),ROW(J364))),"")</f>
        <v/>
      </c>
      <c r="S419" s="7" t="str">
        <f t="array" ref="S419">IFERROR(INDEX(P$56:P$1054,SMALL(IF(ISNUMBER(P$56:P$1054),ROW(P$1:P$999),""),ROW(P364))),"")</f>
        <v/>
      </c>
      <c r="T419" s="7"/>
      <c r="U419" s="7"/>
      <c r="V419" s="7"/>
    </row>
    <row r="420" spans="1:22" x14ac:dyDescent="0.25">
      <c r="A420" s="6"/>
      <c r="B420" s="11"/>
      <c r="C420" s="12"/>
      <c r="D420" s="12"/>
      <c r="E420" s="8">
        <f t="shared" si="5"/>
        <v>0</v>
      </c>
      <c r="F420" s="10"/>
      <c r="G420" s="10"/>
      <c r="H420" s="9"/>
      <c r="I420" s="7"/>
      <c r="J420" s="7"/>
      <c r="K420" s="7">
        <f ca="1">IFERROR(IF(COUNTA(J$56:J420)=J$54,J420,FORECAST(D420,OFFSET(M$56:M$254,MATCH(D420,L$56:L$254,1)-1,0,2), OFFSET(L$56:L$254,MATCH(D420,L$56:L$254,1)-1,0,2))),"")</f>
        <v>0</v>
      </c>
      <c r="L420" s="7" t="str">
        <f t="array" ref="L420">IFERROR(INDEX(D$56:D$1054,SMALL(IF(ISNUMBER(J$56:J$1054),ROW(D$1:D$999),""),ROW(D365))),"")</f>
        <v/>
      </c>
      <c r="M420" s="7" t="str">
        <f t="array" ref="M420">IFERROR(INDEX(J$56:J$1054,SMALL(IF(ISNUMBER(J$56:J$1054),ROW(J$1:J$999),""),ROW(J365))),"")</f>
        <v/>
      </c>
      <c r="N420" s="7"/>
      <c r="O420" s="7"/>
      <c r="P420" s="7"/>
      <c r="Q420" s="7">
        <f ca="1">IFERROR(IF(COUNTA(P$56:P420)=P$54,P420,FORECAST(D420,OFFSET(S$56:S$254,MATCH(D420,R$56:R$254,1)-1,0,2), OFFSET(R$56:R$254,MATCH(D420,R$56:R$254,1)-1,0,2))),"")</f>
        <v>0</v>
      </c>
      <c r="R420" s="7" t="str">
        <f t="array" ref="R420">IFERROR(INDEX(E$56:E$1054,SMALL(IF(ISNUMBER(P$56:P$1054),ROW(E$1:E$999),""),ROW(J365))),"")</f>
        <v/>
      </c>
      <c r="S420" s="7" t="str">
        <f t="array" ref="S420">IFERROR(INDEX(P$56:P$1054,SMALL(IF(ISNUMBER(P$56:P$1054),ROW(P$1:P$999),""),ROW(P365))),"")</f>
        <v/>
      </c>
      <c r="T420" s="7"/>
      <c r="U420" s="7"/>
      <c r="V420" s="7"/>
    </row>
    <row r="421" spans="1:22" x14ac:dyDescent="0.25">
      <c r="A421" s="6"/>
      <c r="B421" s="11"/>
      <c r="C421" s="12"/>
      <c r="D421" s="12"/>
      <c r="E421" s="8">
        <f t="shared" si="5"/>
        <v>0</v>
      </c>
      <c r="F421" s="10"/>
      <c r="G421" s="10"/>
      <c r="H421" s="9"/>
      <c r="I421" s="7"/>
      <c r="J421" s="7"/>
      <c r="K421" s="7">
        <f ca="1">IFERROR(IF(COUNTA(J$56:J421)=J$54,J421,FORECAST(D421,OFFSET(M$56:M$254,MATCH(D421,L$56:L$254,1)-1,0,2), OFFSET(L$56:L$254,MATCH(D421,L$56:L$254,1)-1,0,2))),"")</f>
        <v>0</v>
      </c>
      <c r="L421" s="7" t="str">
        <f t="array" ref="L421">IFERROR(INDEX(D$56:D$1054,SMALL(IF(ISNUMBER(J$56:J$1054),ROW(D$1:D$999),""),ROW(D366))),"")</f>
        <v/>
      </c>
      <c r="M421" s="7" t="str">
        <f t="array" ref="M421">IFERROR(INDEX(J$56:J$1054,SMALL(IF(ISNUMBER(J$56:J$1054),ROW(J$1:J$999),""),ROW(J366))),"")</f>
        <v/>
      </c>
      <c r="N421" s="7"/>
      <c r="O421" s="7"/>
      <c r="P421" s="7"/>
      <c r="Q421" s="7">
        <f ca="1">IFERROR(IF(COUNTA(P$56:P421)=P$54,P421,FORECAST(D421,OFFSET(S$56:S$254,MATCH(D421,R$56:R$254,1)-1,0,2), OFFSET(R$56:R$254,MATCH(D421,R$56:R$254,1)-1,0,2))),"")</f>
        <v>0</v>
      </c>
      <c r="R421" s="7" t="str">
        <f t="array" ref="R421">IFERROR(INDEX(E$56:E$1054,SMALL(IF(ISNUMBER(P$56:P$1054),ROW(E$1:E$999),""),ROW(J366))),"")</f>
        <v/>
      </c>
      <c r="S421" s="7" t="str">
        <f t="array" ref="S421">IFERROR(INDEX(P$56:P$1054,SMALL(IF(ISNUMBER(P$56:P$1054),ROW(P$1:P$999),""),ROW(P366))),"")</f>
        <v/>
      </c>
      <c r="T421" s="7"/>
      <c r="U421" s="7"/>
      <c r="V421" s="7"/>
    </row>
    <row r="422" spans="1:22" x14ac:dyDescent="0.25">
      <c r="A422" s="6"/>
      <c r="B422" s="11"/>
      <c r="C422" s="12"/>
      <c r="D422" s="12"/>
      <c r="E422" s="8">
        <f t="shared" si="5"/>
        <v>0</v>
      </c>
      <c r="F422" s="10"/>
      <c r="G422" s="10"/>
      <c r="H422" s="9"/>
      <c r="I422" s="7"/>
      <c r="J422" s="7"/>
      <c r="K422" s="7">
        <f ca="1">IFERROR(IF(COUNTA(J$56:J422)=J$54,J422,FORECAST(D422,OFFSET(M$56:M$254,MATCH(D422,L$56:L$254,1)-1,0,2), OFFSET(L$56:L$254,MATCH(D422,L$56:L$254,1)-1,0,2))),"")</f>
        <v>0</v>
      </c>
      <c r="L422" s="7" t="str">
        <f t="array" ref="L422">IFERROR(INDEX(D$56:D$1054,SMALL(IF(ISNUMBER(J$56:J$1054),ROW(D$1:D$999),""),ROW(D367))),"")</f>
        <v/>
      </c>
      <c r="M422" s="7" t="str">
        <f t="array" ref="M422">IFERROR(INDEX(J$56:J$1054,SMALL(IF(ISNUMBER(J$56:J$1054),ROW(J$1:J$999),""),ROW(J367))),"")</f>
        <v/>
      </c>
      <c r="N422" s="7"/>
      <c r="O422" s="7"/>
      <c r="P422" s="7"/>
      <c r="Q422" s="7">
        <f ca="1">IFERROR(IF(COUNTA(P$56:P422)=P$54,P422,FORECAST(D422,OFFSET(S$56:S$254,MATCH(D422,R$56:R$254,1)-1,0,2), OFFSET(R$56:R$254,MATCH(D422,R$56:R$254,1)-1,0,2))),"")</f>
        <v>0</v>
      </c>
      <c r="R422" s="7" t="str">
        <f t="array" ref="R422">IFERROR(INDEX(E$56:E$1054,SMALL(IF(ISNUMBER(P$56:P$1054),ROW(E$1:E$999),""),ROW(J367))),"")</f>
        <v/>
      </c>
      <c r="S422" s="7" t="str">
        <f t="array" ref="S422">IFERROR(INDEX(P$56:P$1054,SMALL(IF(ISNUMBER(P$56:P$1054),ROW(P$1:P$999),""),ROW(P367))),"")</f>
        <v/>
      </c>
      <c r="T422" s="7"/>
      <c r="U422" s="7"/>
      <c r="V422" s="7"/>
    </row>
    <row r="423" spans="1:22" x14ac:dyDescent="0.25">
      <c r="A423" s="6"/>
      <c r="B423" s="11"/>
      <c r="C423" s="12"/>
      <c r="D423" s="12"/>
      <c r="E423" s="8">
        <f t="shared" si="5"/>
        <v>0</v>
      </c>
      <c r="F423" s="10"/>
      <c r="G423" s="10"/>
      <c r="H423" s="9"/>
      <c r="I423" s="7"/>
      <c r="J423" s="7"/>
      <c r="K423" s="7">
        <f ca="1">IFERROR(IF(COUNTA(J$56:J423)=J$54,J423,FORECAST(D423,OFFSET(M$56:M$254,MATCH(D423,L$56:L$254,1)-1,0,2), OFFSET(L$56:L$254,MATCH(D423,L$56:L$254,1)-1,0,2))),"")</f>
        <v>0</v>
      </c>
      <c r="L423" s="7" t="str">
        <f t="array" ref="L423">IFERROR(INDEX(D$56:D$1054,SMALL(IF(ISNUMBER(J$56:J$1054),ROW(D$1:D$999),""),ROW(D368))),"")</f>
        <v/>
      </c>
      <c r="M423" s="7" t="str">
        <f t="array" ref="M423">IFERROR(INDEX(J$56:J$1054,SMALL(IF(ISNUMBER(J$56:J$1054),ROW(J$1:J$999),""),ROW(J368))),"")</f>
        <v/>
      </c>
      <c r="N423" s="7"/>
      <c r="O423" s="7"/>
      <c r="P423" s="7"/>
      <c r="Q423" s="7">
        <f ca="1">IFERROR(IF(COUNTA(P$56:P423)=P$54,P423,FORECAST(D423,OFFSET(S$56:S$254,MATCH(D423,R$56:R$254,1)-1,0,2), OFFSET(R$56:R$254,MATCH(D423,R$56:R$254,1)-1,0,2))),"")</f>
        <v>0</v>
      </c>
      <c r="R423" s="7" t="str">
        <f t="array" ref="R423">IFERROR(INDEX(E$56:E$1054,SMALL(IF(ISNUMBER(P$56:P$1054),ROW(E$1:E$999),""),ROW(J368))),"")</f>
        <v/>
      </c>
      <c r="S423" s="7" t="str">
        <f t="array" ref="S423">IFERROR(INDEX(P$56:P$1054,SMALL(IF(ISNUMBER(P$56:P$1054),ROW(P$1:P$999),""),ROW(P368))),"")</f>
        <v/>
      </c>
      <c r="T423" s="7"/>
      <c r="U423" s="7"/>
      <c r="V423" s="7"/>
    </row>
    <row r="424" spans="1:22" x14ac:dyDescent="0.25">
      <c r="A424" s="6"/>
      <c r="B424" s="11"/>
      <c r="C424" s="12"/>
      <c r="D424" s="12"/>
      <c r="E424" s="8">
        <f t="shared" si="5"/>
        <v>0</v>
      </c>
      <c r="F424" s="10"/>
      <c r="G424" s="10"/>
      <c r="H424" s="9"/>
      <c r="I424" s="7"/>
      <c r="J424" s="7"/>
      <c r="K424" s="7">
        <f ca="1">IFERROR(IF(COUNTA(J$56:J424)=J$54,J424,FORECAST(D424,OFFSET(M$56:M$254,MATCH(D424,L$56:L$254,1)-1,0,2), OFFSET(L$56:L$254,MATCH(D424,L$56:L$254,1)-1,0,2))),"")</f>
        <v>0</v>
      </c>
      <c r="L424" s="7" t="str">
        <f t="array" ref="L424">IFERROR(INDEX(D$56:D$1054,SMALL(IF(ISNUMBER(J$56:J$1054),ROW(D$1:D$999),""),ROW(D369))),"")</f>
        <v/>
      </c>
      <c r="M424" s="7" t="str">
        <f t="array" ref="M424">IFERROR(INDEX(J$56:J$1054,SMALL(IF(ISNUMBER(J$56:J$1054),ROW(J$1:J$999),""),ROW(J369))),"")</f>
        <v/>
      </c>
      <c r="N424" s="7"/>
      <c r="O424" s="7"/>
      <c r="P424" s="7"/>
      <c r="Q424" s="7">
        <f ca="1">IFERROR(IF(COUNTA(P$56:P424)=P$54,P424,FORECAST(D424,OFFSET(S$56:S$254,MATCH(D424,R$56:R$254,1)-1,0,2), OFFSET(R$56:R$254,MATCH(D424,R$56:R$254,1)-1,0,2))),"")</f>
        <v>0</v>
      </c>
      <c r="R424" s="7" t="str">
        <f t="array" ref="R424">IFERROR(INDEX(E$56:E$1054,SMALL(IF(ISNUMBER(P$56:P$1054),ROW(E$1:E$999),""),ROW(J369))),"")</f>
        <v/>
      </c>
      <c r="S424" s="7" t="str">
        <f t="array" ref="S424">IFERROR(INDEX(P$56:P$1054,SMALL(IF(ISNUMBER(P$56:P$1054),ROW(P$1:P$999),""),ROW(P369))),"")</f>
        <v/>
      </c>
      <c r="T424" s="7"/>
      <c r="U424" s="7"/>
      <c r="V424" s="7"/>
    </row>
    <row r="425" spans="1:22" x14ac:dyDescent="0.25">
      <c r="A425" s="6"/>
      <c r="B425" s="11"/>
      <c r="C425" s="12"/>
      <c r="D425" s="12"/>
      <c r="E425" s="8">
        <f t="shared" si="5"/>
        <v>0</v>
      </c>
      <c r="F425" s="10"/>
      <c r="G425" s="10"/>
      <c r="H425" s="9"/>
      <c r="I425" s="7"/>
      <c r="J425" s="7"/>
      <c r="K425" s="7">
        <f ca="1">IFERROR(IF(COUNTA(J$56:J425)=J$54,J425,FORECAST(D425,OFFSET(M$56:M$254,MATCH(D425,L$56:L$254,1)-1,0,2), OFFSET(L$56:L$254,MATCH(D425,L$56:L$254,1)-1,0,2))),"")</f>
        <v>0</v>
      </c>
      <c r="L425" s="7" t="str">
        <f t="array" ref="L425">IFERROR(INDEX(D$56:D$1054,SMALL(IF(ISNUMBER(J$56:J$1054),ROW(D$1:D$999),""),ROW(D370))),"")</f>
        <v/>
      </c>
      <c r="M425" s="7" t="str">
        <f t="array" ref="M425">IFERROR(INDEX(J$56:J$1054,SMALL(IF(ISNUMBER(J$56:J$1054),ROW(J$1:J$999),""),ROW(J370))),"")</f>
        <v/>
      </c>
      <c r="N425" s="7"/>
      <c r="O425" s="7"/>
      <c r="P425" s="7"/>
      <c r="Q425" s="7">
        <f ca="1">IFERROR(IF(COUNTA(P$56:P425)=P$54,P425,FORECAST(D425,OFFSET(S$56:S$254,MATCH(D425,R$56:R$254,1)-1,0,2), OFFSET(R$56:R$254,MATCH(D425,R$56:R$254,1)-1,0,2))),"")</f>
        <v>0</v>
      </c>
      <c r="R425" s="7" t="str">
        <f t="array" ref="R425">IFERROR(INDEX(E$56:E$1054,SMALL(IF(ISNUMBER(P$56:P$1054),ROW(E$1:E$999),""),ROW(J370))),"")</f>
        <v/>
      </c>
      <c r="S425" s="7" t="str">
        <f t="array" ref="S425">IFERROR(INDEX(P$56:P$1054,SMALL(IF(ISNUMBER(P$56:P$1054),ROW(P$1:P$999),""),ROW(P370))),"")</f>
        <v/>
      </c>
      <c r="T425" s="7"/>
      <c r="U425" s="7"/>
      <c r="V425" s="7"/>
    </row>
    <row r="426" spans="1:22" x14ac:dyDescent="0.25">
      <c r="A426" s="6"/>
      <c r="B426" s="11"/>
      <c r="C426" s="12"/>
      <c r="D426" s="12"/>
      <c r="E426" s="8">
        <f t="shared" si="5"/>
        <v>0</v>
      </c>
      <c r="F426" s="10"/>
      <c r="G426" s="10"/>
      <c r="H426" s="9"/>
      <c r="I426" s="7"/>
      <c r="J426" s="7"/>
      <c r="K426" s="7">
        <f ca="1">IFERROR(IF(COUNTA(J$56:J426)=J$54,J426,FORECAST(D426,OFFSET(M$56:M$254,MATCH(D426,L$56:L$254,1)-1,0,2), OFFSET(L$56:L$254,MATCH(D426,L$56:L$254,1)-1,0,2))),"")</f>
        <v>0</v>
      </c>
      <c r="L426" s="7" t="str">
        <f t="array" ref="L426">IFERROR(INDEX(D$56:D$1054,SMALL(IF(ISNUMBER(J$56:J$1054),ROW(D$1:D$999),""),ROW(D371))),"")</f>
        <v/>
      </c>
      <c r="M426" s="7" t="str">
        <f t="array" ref="M426">IFERROR(INDEX(J$56:J$1054,SMALL(IF(ISNUMBER(J$56:J$1054),ROW(J$1:J$999),""),ROW(J371))),"")</f>
        <v/>
      </c>
      <c r="N426" s="7"/>
      <c r="O426" s="7"/>
      <c r="P426" s="7"/>
      <c r="Q426" s="7">
        <f ca="1">IFERROR(IF(COUNTA(P$56:P426)=P$54,P426,FORECAST(D426,OFFSET(S$56:S$254,MATCH(D426,R$56:R$254,1)-1,0,2), OFFSET(R$56:R$254,MATCH(D426,R$56:R$254,1)-1,0,2))),"")</f>
        <v>0</v>
      </c>
      <c r="R426" s="7" t="str">
        <f t="array" ref="R426">IFERROR(INDEX(E$56:E$1054,SMALL(IF(ISNUMBER(P$56:P$1054),ROW(E$1:E$999),""),ROW(J371))),"")</f>
        <v/>
      </c>
      <c r="S426" s="7" t="str">
        <f t="array" ref="S426">IFERROR(INDEX(P$56:P$1054,SMALL(IF(ISNUMBER(P$56:P$1054),ROW(P$1:P$999),""),ROW(P371))),"")</f>
        <v/>
      </c>
      <c r="T426" s="7"/>
      <c r="U426" s="7"/>
      <c r="V426" s="7"/>
    </row>
    <row r="427" spans="1:22" x14ac:dyDescent="0.25">
      <c r="A427" s="6"/>
      <c r="B427" s="11"/>
      <c r="C427" s="12"/>
      <c r="D427" s="12"/>
      <c r="E427" s="8">
        <f t="shared" si="5"/>
        <v>0</v>
      </c>
      <c r="F427" s="10"/>
      <c r="G427" s="10"/>
      <c r="H427" s="9"/>
      <c r="I427" s="7"/>
      <c r="J427" s="7"/>
      <c r="K427" s="7">
        <f ca="1">IFERROR(IF(COUNTA(J$56:J427)=J$54,J427,FORECAST(D427,OFFSET(M$56:M$254,MATCH(D427,L$56:L$254,1)-1,0,2), OFFSET(L$56:L$254,MATCH(D427,L$56:L$254,1)-1,0,2))),"")</f>
        <v>0</v>
      </c>
      <c r="L427" s="7" t="str">
        <f t="array" ref="L427">IFERROR(INDEX(D$56:D$1054,SMALL(IF(ISNUMBER(J$56:J$1054),ROW(D$1:D$999),""),ROW(D372))),"")</f>
        <v/>
      </c>
      <c r="M427" s="7" t="str">
        <f t="array" ref="M427">IFERROR(INDEX(J$56:J$1054,SMALL(IF(ISNUMBER(J$56:J$1054),ROW(J$1:J$999),""),ROW(J372))),"")</f>
        <v/>
      </c>
      <c r="N427" s="7"/>
      <c r="O427" s="7"/>
      <c r="P427" s="7"/>
      <c r="Q427" s="7">
        <f ca="1">IFERROR(IF(COUNTA(P$56:P427)=P$54,P427,FORECAST(D427,OFFSET(S$56:S$254,MATCH(D427,R$56:R$254,1)-1,0,2), OFFSET(R$56:R$254,MATCH(D427,R$56:R$254,1)-1,0,2))),"")</f>
        <v>0</v>
      </c>
      <c r="R427" s="7" t="str">
        <f t="array" ref="R427">IFERROR(INDEX(E$56:E$1054,SMALL(IF(ISNUMBER(P$56:P$1054),ROW(E$1:E$999),""),ROW(J372))),"")</f>
        <v/>
      </c>
      <c r="S427" s="7" t="str">
        <f t="array" ref="S427">IFERROR(INDEX(P$56:P$1054,SMALL(IF(ISNUMBER(P$56:P$1054),ROW(P$1:P$999),""),ROW(P372))),"")</f>
        <v/>
      </c>
      <c r="T427" s="7"/>
      <c r="U427" s="7"/>
      <c r="V427" s="7"/>
    </row>
    <row r="428" spans="1:22" x14ac:dyDescent="0.25">
      <c r="A428" s="6"/>
      <c r="B428" s="11"/>
      <c r="C428" s="12"/>
      <c r="D428" s="12"/>
      <c r="E428" s="8">
        <f t="shared" si="5"/>
        <v>0</v>
      </c>
      <c r="F428" s="10"/>
      <c r="G428" s="10"/>
      <c r="H428" s="9"/>
      <c r="I428" s="7"/>
      <c r="J428" s="7"/>
      <c r="K428" s="7">
        <f ca="1">IFERROR(IF(COUNTA(J$56:J428)=J$54,J428,FORECAST(D428,OFFSET(M$56:M$254,MATCH(D428,L$56:L$254,1)-1,0,2), OFFSET(L$56:L$254,MATCH(D428,L$56:L$254,1)-1,0,2))),"")</f>
        <v>0</v>
      </c>
      <c r="L428" s="7" t="str">
        <f t="array" ref="L428">IFERROR(INDEX(D$56:D$1054,SMALL(IF(ISNUMBER(J$56:J$1054),ROW(D$1:D$999),""),ROW(D373))),"")</f>
        <v/>
      </c>
      <c r="M428" s="7" t="str">
        <f t="array" ref="M428">IFERROR(INDEX(J$56:J$1054,SMALL(IF(ISNUMBER(J$56:J$1054),ROW(J$1:J$999),""),ROW(J373))),"")</f>
        <v/>
      </c>
      <c r="N428" s="7"/>
      <c r="O428" s="7"/>
      <c r="P428" s="7"/>
      <c r="Q428" s="7">
        <f ca="1">IFERROR(IF(COUNTA(P$56:P428)=P$54,P428,FORECAST(D428,OFFSET(S$56:S$254,MATCH(D428,R$56:R$254,1)-1,0,2), OFFSET(R$56:R$254,MATCH(D428,R$56:R$254,1)-1,0,2))),"")</f>
        <v>0</v>
      </c>
      <c r="R428" s="7" t="str">
        <f t="array" ref="R428">IFERROR(INDEX(E$56:E$1054,SMALL(IF(ISNUMBER(P$56:P$1054),ROW(E$1:E$999),""),ROW(J373))),"")</f>
        <v/>
      </c>
      <c r="S428" s="7" t="str">
        <f t="array" ref="S428">IFERROR(INDEX(P$56:P$1054,SMALL(IF(ISNUMBER(P$56:P$1054),ROW(P$1:P$999),""),ROW(P373))),"")</f>
        <v/>
      </c>
      <c r="T428" s="7"/>
      <c r="U428" s="7"/>
      <c r="V428" s="7"/>
    </row>
    <row r="429" spans="1:22" x14ac:dyDescent="0.25">
      <c r="A429" s="6"/>
      <c r="B429" s="11"/>
      <c r="C429" s="12"/>
      <c r="D429" s="12"/>
      <c r="E429" s="8">
        <f t="shared" si="5"/>
        <v>0</v>
      </c>
      <c r="F429" s="10"/>
      <c r="G429" s="10"/>
      <c r="H429" s="9"/>
      <c r="I429" s="7"/>
      <c r="J429" s="7"/>
      <c r="K429" s="7">
        <f ca="1">IFERROR(IF(COUNTA(J$56:J429)=J$54,J429,FORECAST(D429,OFFSET(M$56:M$254,MATCH(D429,L$56:L$254,1)-1,0,2), OFFSET(L$56:L$254,MATCH(D429,L$56:L$254,1)-1,0,2))),"")</f>
        <v>0</v>
      </c>
      <c r="L429" s="7" t="str">
        <f t="array" ref="L429">IFERROR(INDEX(D$56:D$1054,SMALL(IF(ISNUMBER(J$56:J$1054),ROW(D$1:D$999),""),ROW(D374))),"")</f>
        <v/>
      </c>
      <c r="M429" s="7" t="str">
        <f t="array" ref="M429">IFERROR(INDEX(J$56:J$1054,SMALL(IF(ISNUMBER(J$56:J$1054),ROW(J$1:J$999),""),ROW(J374))),"")</f>
        <v/>
      </c>
      <c r="N429" s="7"/>
      <c r="O429" s="7"/>
      <c r="P429" s="7"/>
      <c r="Q429" s="7">
        <f ca="1">IFERROR(IF(COUNTA(P$56:P429)=P$54,P429,FORECAST(D429,OFFSET(S$56:S$254,MATCH(D429,R$56:R$254,1)-1,0,2), OFFSET(R$56:R$254,MATCH(D429,R$56:R$254,1)-1,0,2))),"")</f>
        <v>0</v>
      </c>
      <c r="R429" s="7" t="str">
        <f t="array" ref="R429">IFERROR(INDEX(E$56:E$1054,SMALL(IF(ISNUMBER(P$56:P$1054),ROW(E$1:E$999),""),ROW(J374))),"")</f>
        <v/>
      </c>
      <c r="S429" s="7" t="str">
        <f t="array" ref="S429">IFERROR(INDEX(P$56:P$1054,SMALL(IF(ISNUMBER(P$56:P$1054),ROW(P$1:P$999),""),ROW(P374))),"")</f>
        <v/>
      </c>
      <c r="T429" s="7"/>
      <c r="U429" s="7"/>
      <c r="V429" s="7"/>
    </row>
    <row r="430" spans="1:22" x14ac:dyDescent="0.25">
      <c r="A430" s="6"/>
      <c r="B430" s="11"/>
      <c r="C430" s="12"/>
      <c r="D430" s="12"/>
      <c r="E430" s="8">
        <f t="shared" si="5"/>
        <v>0</v>
      </c>
      <c r="F430" s="10"/>
      <c r="G430" s="10"/>
      <c r="H430" s="9"/>
      <c r="I430" s="7"/>
      <c r="J430" s="7"/>
      <c r="K430" s="7">
        <f ca="1">IFERROR(IF(COUNTA(J$56:J430)=J$54,J430,FORECAST(D430,OFFSET(M$56:M$254,MATCH(D430,L$56:L$254,1)-1,0,2), OFFSET(L$56:L$254,MATCH(D430,L$56:L$254,1)-1,0,2))),"")</f>
        <v>0</v>
      </c>
      <c r="L430" s="7" t="str">
        <f t="array" ref="L430">IFERROR(INDEX(D$56:D$1054,SMALL(IF(ISNUMBER(J$56:J$1054),ROW(D$1:D$999),""),ROW(D375))),"")</f>
        <v/>
      </c>
      <c r="M430" s="7" t="str">
        <f t="array" ref="M430">IFERROR(INDEX(J$56:J$1054,SMALL(IF(ISNUMBER(J$56:J$1054),ROW(J$1:J$999),""),ROW(J375))),"")</f>
        <v/>
      </c>
      <c r="N430" s="7"/>
      <c r="O430" s="7"/>
      <c r="P430" s="7"/>
      <c r="Q430" s="7">
        <f ca="1">IFERROR(IF(COUNTA(P$56:P430)=P$54,P430,FORECAST(D430,OFFSET(S$56:S$254,MATCH(D430,R$56:R$254,1)-1,0,2), OFFSET(R$56:R$254,MATCH(D430,R$56:R$254,1)-1,0,2))),"")</f>
        <v>0</v>
      </c>
      <c r="R430" s="7" t="str">
        <f t="array" ref="R430">IFERROR(INDEX(E$56:E$1054,SMALL(IF(ISNUMBER(P$56:P$1054),ROW(E$1:E$999),""),ROW(J375))),"")</f>
        <v/>
      </c>
      <c r="S430" s="7" t="str">
        <f t="array" ref="S430">IFERROR(INDEX(P$56:P$1054,SMALL(IF(ISNUMBER(P$56:P$1054),ROW(P$1:P$999),""),ROW(P375))),"")</f>
        <v/>
      </c>
      <c r="T430" s="7"/>
      <c r="U430" s="7"/>
      <c r="V430" s="7"/>
    </row>
    <row r="431" spans="1:22" x14ac:dyDescent="0.25">
      <c r="A431" s="6"/>
      <c r="B431" s="11"/>
      <c r="C431" s="12"/>
      <c r="D431" s="12"/>
      <c r="E431" s="8">
        <f t="shared" si="5"/>
        <v>0</v>
      </c>
      <c r="F431" s="10"/>
      <c r="G431" s="10"/>
      <c r="H431" s="9"/>
      <c r="I431" s="7"/>
      <c r="J431" s="7"/>
      <c r="K431" s="7">
        <f ca="1">IFERROR(IF(COUNTA(J$56:J431)=J$54,J431,FORECAST(D431,OFFSET(M$56:M$254,MATCH(D431,L$56:L$254,1)-1,0,2), OFFSET(L$56:L$254,MATCH(D431,L$56:L$254,1)-1,0,2))),"")</f>
        <v>0</v>
      </c>
      <c r="L431" s="7" t="str">
        <f t="array" ref="L431">IFERROR(INDEX(D$56:D$1054,SMALL(IF(ISNUMBER(J$56:J$1054),ROW(D$1:D$999),""),ROW(D376))),"")</f>
        <v/>
      </c>
      <c r="M431" s="7" t="str">
        <f t="array" ref="M431">IFERROR(INDEX(J$56:J$1054,SMALL(IF(ISNUMBER(J$56:J$1054),ROW(J$1:J$999),""),ROW(J376))),"")</f>
        <v/>
      </c>
      <c r="N431" s="7"/>
      <c r="O431" s="7"/>
      <c r="P431" s="7"/>
      <c r="Q431" s="7">
        <f ca="1">IFERROR(IF(COUNTA(P$56:P431)=P$54,P431,FORECAST(D431,OFFSET(S$56:S$254,MATCH(D431,R$56:R$254,1)-1,0,2), OFFSET(R$56:R$254,MATCH(D431,R$56:R$254,1)-1,0,2))),"")</f>
        <v>0</v>
      </c>
      <c r="R431" s="7" t="str">
        <f t="array" ref="R431">IFERROR(INDEX(E$56:E$1054,SMALL(IF(ISNUMBER(P$56:P$1054),ROW(E$1:E$999),""),ROW(J376))),"")</f>
        <v/>
      </c>
      <c r="S431" s="7" t="str">
        <f t="array" ref="S431">IFERROR(INDEX(P$56:P$1054,SMALL(IF(ISNUMBER(P$56:P$1054),ROW(P$1:P$999),""),ROW(P376))),"")</f>
        <v/>
      </c>
      <c r="T431" s="7"/>
      <c r="U431" s="7"/>
      <c r="V431" s="7"/>
    </row>
    <row r="432" spans="1:22" x14ac:dyDescent="0.25">
      <c r="A432" s="6"/>
      <c r="B432" s="11"/>
      <c r="C432" s="12"/>
      <c r="D432" s="12"/>
      <c r="E432" s="8">
        <f t="shared" si="5"/>
        <v>0</v>
      </c>
      <c r="F432" s="10"/>
      <c r="G432" s="10"/>
      <c r="H432" s="9"/>
      <c r="I432" s="7"/>
      <c r="J432" s="7"/>
      <c r="K432" s="7">
        <f ca="1">IFERROR(IF(COUNTA(J$56:J432)=J$54,J432,FORECAST(D432,OFFSET(M$56:M$254,MATCH(D432,L$56:L$254,1)-1,0,2), OFFSET(L$56:L$254,MATCH(D432,L$56:L$254,1)-1,0,2))),"")</f>
        <v>0</v>
      </c>
      <c r="L432" s="7" t="str">
        <f t="array" ref="L432">IFERROR(INDEX(D$56:D$1054,SMALL(IF(ISNUMBER(J$56:J$1054),ROW(D$1:D$999),""),ROW(D377))),"")</f>
        <v/>
      </c>
      <c r="M432" s="7" t="str">
        <f t="array" ref="M432">IFERROR(INDEX(J$56:J$1054,SMALL(IF(ISNUMBER(J$56:J$1054),ROW(J$1:J$999),""),ROW(J377))),"")</f>
        <v/>
      </c>
      <c r="N432" s="7"/>
      <c r="O432" s="7"/>
      <c r="P432" s="7"/>
      <c r="Q432" s="7">
        <f ca="1">IFERROR(IF(COUNTA(P$56:P432)=P$54,P432,FORECAST(D432,OFFSET(S$56:S$254,MATCH(D432,R$56:R$254,1)-1,0,2), OFFSET(R$56:R$254,MATCH(D432,R$56:R$254,1)-1,0,2))),"")</f>
        <v>0</v>
      </c>
      <c r="R432" s="7" t="str">
        <f t="array" ref="R432">IFERROR(INDEX(E$56:E$1054,SMALL(IF(ISNUMBER(P$56:P$1054),ROW(E$1:E$999),""),ROW(J377))),"")</f>
        <v/>
      </c>
      <c r="S432" s="7" t="str">
        <f t="array" ref="S432">IFERROR(INDEX(P$56:P$1054,SMALL(IF(ISNUMBER(P$56:P$1054),ROW(P$1:P$999),""),ROW(P377))),"")</f>
        <v/>
      </c>
      <c r="T432" s="7"/>
      <c r="U432" s="7"/>
      <c r="V432" s="7"/>
    </row>
    <row r="433" spans="1:22" x14ac:dyDescent="0.25">
      <c r="A433" s="6"/>
      <c r="B433" s="11"/>
      <c r="C433" s="12"/>
      <c r="D433" s="12"/>
      <c r="E433" s="8">
        <f t="shared" si="5"/>
        <v>0</v>
      </c>
      <c r="F433" s="10"/>
      <c r="G433" s="10"/>
      <c r="H433" s="9"/>
      <c r="I433" s="7"/>
      <c r="J433" s="7"/>
      <c r="K433" s="7">
        <f ca="1">IFERROR(IF(COUNTA(J$56:J433)=J$54,J433,FORECAST(D433,OFFSET(M$56:M$254,MATCH(D433,L$56:L$254,1)-1,0,2), OFFSET(L$56:L$254,MATCH(D433,L$56:L$254,1)-1,0,2))),"")</f>
        <v>0</v>
      </c>
      <c r="L433" s="7" t="str">
        <f t="array" ref="L433">IFERROR(INDEX(D$56:D$1054,SMALL(IF(ISNUMBER(J$56:J$1054),ROW(D$1:D$999),""),ROW(D378))),"")</f>
        <v/>
      </c>
      <c r="M433" s="7" t="str">
        <f t="array" ref="M433">IFERROR(INDEX(J$56:J$1054,SMALL(IF(ISNUMBER(J$56:J$1054),ROW(J$1:J$999),""),ROW(J378))),"")</f>
        <v/>
      </c>
      <c r="N433" s="7"/>
      <c r="O433" s="7"/>
      <c r="P433" s="7"/>
      <c r="Q433" s="7">
        <f ca="1">IFERROR(IF(COUNTA(P$56:P433)=P$54,P433,FORECAST(D433,OFFSET(S$56:S$254,MATCH(D433,R$56:R$254,1)-1,0,2), OFFSET(R$56:R$254,MATCH(D433,R$56:R$254,1)-1,0,2))),"")</f>
        <v>0</v>
      </c>
      <c r="R433" s="7" t="str">
        <f t="array" ref="R433">IFERROR(INDEX(E$56:E$1054,SMALL(IF(ISNUMBER(P$56:P$1054),ROW(E$1:E$999),""),ROW(J378))),"")</f>
        <v/>
      </c>
      <c r="S433" s="7" t="str">
        <f t="array" ref="S433">IFERROR(INDEX(P$56:P$1054,SMALL(IF(ISNUMBER(P$56:P$1054),ROW(P$1:P$999),""),ROW(P378))),"")</f>
        <v/>
      </c>
      <c r="T433" s="7"/>
      <c r="U433" s="7"/>
      <c r="V433" s="7"/>
    </row>
    <row r="434" spans="1:22" x14ac:dyDescent="0.25">
      <c r="A434" s="6"/>
      <c r="B434" s="11"/>
      <c r="C434" s="12"/>
      <c r="D434" s="12"/>
      <c r="E434" s="8">
        <f t="shared" si="5"/>
        <v>0</v>
      </c>
      <c r="F434" s="10"/>
      <c r="G434" s="10"/>
      <c r="H434" s="9"/>
      <c r="I434" s="7"/>
      <c r="J434" s="7"/>
      <c r="K434" s="7">
        <f ca="1">IFERROR(IF(COUNTA(J$56:J434)=J$54,J434,FORECAST(D434,OFFSET(M$56:M$254,MATCH(D434,L$56:L$254,1)-1,0,2), OFFSET(L$56:L$254,MATCH(D434,L$56:L$254,1)-1,0,2))),"")</f>
        <v>0</v>
      </c>
      <c r="L434" s="7" t="str">
        <f t="array" ref="L434">IFERROR(INDEX(D$56:D$1054,SMALL(IF(ISNUMBER(J$56:J$1054),ROW(D$1:D$999),""),ROW(D379))),"")</f>
        <v/>
      </c>
      <c r="M434" s="7" t="str">
        <f t="array" ref="M434">IFERROR(INDEX(J$56:J$1054,SMALL(IF(ISNUMBER(J$56:J$1054),ROW(J$1:J$999),""),ROW(J379))),"")</f>
        <v/>
      </c>
      <c r="N434" s="7"/>
      <c r="O434" s="7"/>
      <c r="P434" s="7"/>
      <c r="Q434" s="7">
        <f ca="1">IFERROR(IF(COUNTA(P$56:P434)=P$54,P434,FORECAST(D434,OFFSET(S$56:S$254,MATCH(D434,R$56:R$254,1)-1,0,2), OFFSET(R$56:R$254,MATCH(D434,R$56:R$254,1)-1,0,2))),"")</f>
        <v>0</v>
      </c>
      <c r="R434" s="7" t="str">
        <f t="array" ref="R434">IFERROR(INDEX(E$56:E$1054,SMALL(IF(ISNUMBER(P$56:P$1054),ROW(E$1:E$999),""),ROW(J379))),"")</f>
        <v/>
      </c>
      <c r="S434" s="7" t="str">
        <f t="array" ref="S434">IFERROR(INDEX(P$56:P$1054,SMALL(IF(ISNUMBER(P$56:P$1054),ROW(P$1:P$999),""),ROW(P379))),"")</f>
        <v/>
      </c>
      <c r="T434" s="7"/>
      <c r="U434" s="7"/>
      <c r="V434" s="7"/>
    </row>
    <row r="435" spans="1:22" x14ac:dyDescent="0.25">
      <c r="A435" s="6"/>
      <c r="B435" s="11"/>
      <c r="C435" s="12"/>
      <c r="D435" s="12"/>
      <c r="E435" s="8">
        <f t="shared" si="5"/>
        <v>0</v>
      </c>
      <c r="F435" s="10"/>
      <c r="G435" s="10"/>
      <c r="H435" s="9"/>
      <c r="I435" s="7"/>
      <c r="J435" s="7"/>
      <c r="K435" s="7">
        <f ca="1">IFERROR(IF(COUNTA(J$56:J435)=J$54,J435,FORECAST(D435,OFFSET(M$56:M$254,MATCH(D435,L$56:L$254,1)-1,0,2), OFFSET(L$56:L$254,MATCH(D435,L$56:L$254,1)-1,0,2))),"")</f>
        <v>0</v>
      </c>
      <c r="L435" s="7" t="str">
        <f t="array" ref="L435">IFERROR(INDEX(D$56:D$1054,SMALL(IF(ISNUMBER(J$56:J$1054),ROW(D$1:D$999),""),ROW(D380))),"")</f>
        <v/>
      </c>
      <c r="M435" s="7" t="str">
        <f t="array" ref="M435">IFERROR(INDEX(J$56:J$1054,SMALL(IF(ISNUMBER(J$56:J$1054),ROW(J$1:J$999),""),ROW(J380))),"")</f>
        <v/>
      </c>
      <c r="N435" s="7"/>
      <c r="O435" s="7"/>
      <c r="P435" s="7"/>
      <c r="Q435" s="7">
        <f ca="1">IFERROR(IF(COUNTA(P$56:P435)=P$54,P435,FORECAST(D435,OFFSET(S$56:S$254,MATCH(D435,R$56:R$254,1)-1,0,2), OFFSET(R$56:R$254,MATCH(D435,R$56:R$254,1)-1,0,2))),"")</f>
        <v>0</v>
      </c>
      <c r="R435" s="7" t="str">
        <f t="array" ref="R435">IFERROR(INDEX(E$56:E$1054,SMALL(IF(ISNUMBER(P$56:P$1054),ROW(E$1:E$999),""),ROW(J380))),"")</f>
        <v/>
      </c>
      <c r="S435" s="7" t="str">
        <f t="array" ref="S435">IFERROR(INDEX(P$56:P$1054,SMALL(IF(ISNUMBER(P$56:P$1054),ROW(P$1:P$999),""),ROW(P380))),"")</f>
        <v/>
      </c>
      <c r="T435" s="7"/>
      <c r="U435" s="7"/>
      <c r="V435" s="7"/>
    </row>
    <row r="436" spans="1:22" x14ac:dyDescent="0.25">
      <c r="A436" s="6"/>
      <c r="B436" s="11"/>
      <c r="C436" s="12"/>
      <c r="D436" s="12"/>
      <c r="E436" s="8">
        <f t="shared" si="5"/>
        <v>0</v>
      </c>
      <c r="F436" s="10"/>
      <c r="G436" s="10"/>
      <c r="H436" s="9"/>
      <c r="I436" s="7"/>
      <c r="J436" s="7"/>
      <c r="K436" s="7">
        <f ca="1">IFERROR(IF(COUNTA(J$56:J436)=J$54,J436,FORECAST(D436,OFFSET(M$56:M$254,MATCH(D436,L$56:L$254,1)-1,0,2), OFFSET(L$56:L$254,MATCH(D436,L$56:L$254,1)-1,0,2))),"")</f>
        <v>0</v>
      </c>
      <c r="L436" s="7" t="str">
        <f t="array" ref="L436">IFERROR(INDEX(D$56:D$1054,SMALL(IF(ISNUMBER(J$56:J$1054),ROW(D$1:D$999),""),ROW(D381))),"")</f>
        <v/>
      </c>
      <c r="M436" s="7" t="str">
        <f t="array" ref="M436">IFERROR(INDEX(J$56:J$1054,SMALL(IF(ISNUMBER(J$56:J$1054),ROW(J$1:J$999),""),ROW(J381))),"")</f>
        <v/>
      </c>
      <c r="N436" s="7"/>
      <c r="O436" s="7"/>
      <c r="P436" s="7"/>
      <c r="Q436" s="7">
        <f ca="1">IFERROR(IF(COUNTA(P$56:P436)=P$54,P436,FORECAST(D436,OFFSET(S$56:S$254,MATCH(D436,R$56:R$254,1)-1,0,2), OFFSET(R$56:R$254,MATCH(D436,R$56:R$254,1)-1,0,2))),"")</f>
        <v>0</v>
      </c>
      <c r="R436" s="7" t="str">
        <f t="array" ref="R436">IFERROR(INDEX(E$56:E$1054,SMALL(IF(ISNUMBER(P$56:P$1054),ROW(E$1:E$999),""),ROW(J381))),"")</f>
        <v/>
      </c>
      <c r="S436" s="7" t="str">
        <f t="array" ref="S436">IFERROR(INDEX(P$56:P$1054,SMALL(IF(ISNUMBER(P$56:P$1054),ROW(P$1:P$999),""),ROW(P381))),"")</f>
        <v/>
      </c>
      <c r="T436" s="7"/>
      <c r="U436" s="7"/>
      <c r="V436" s="7"/>
    </row>
    <row r="437" spans="1:22" x14ac:dyDescent="0.25">
      <c r="A437" s="6"/>
      <c r="B437" s="11"/>
      <c r="C437" s="12"/>
      <c r="D437" s="12"/>
      <c r="E437" s="8">
        <f t="shared" si="5"/>
        <v>0</v>
      </c>
      <c r="F437" s="10"/>
      <c r="G437" s="10"/>
      <c r="H437" s="9"/>
      <c r="I437" s="7"/>
      <c r="J437" s="7"/>
      <c r="K437" s="7">
        <f ca="1">IFERROR(IF(COUNTA(J$56:J437)=J$54,J437,FORECAST(D437,OFFSET(M$56:M$254,MATCH(D437,L$56:L$254,1)-1,0,2), OFFSET(L$56:L$254,MATCH(D437,L$56:L$254,1)-1,0,2))),"")</f>
        <v>0</v>
      </c>
      <c r="L437" s="7" t="str">
        <f t="array" ref="L437">IFERROR(INDEX(D$56:D$1054,SMALL(IF(ISNUMBER(J$56:J$1054),ROW(D$1:D$999),""),ROW(D382))),"")</f>
        <v/>
      </c>
      <c r="M437" s="7" t="str">
        <f t="array" ref="M437">IFERROR(INDEX(J$56:J$1054,SMALL(IF(ISNUMBER(J$56:J$1054),ROW(J$1:J$999),""),ROW(J382))),"")</f>
        <v/>
      </c>
      <c r="N437" s="7"/>
      <c r="O437" s="7"/>
      <c r="P437" s="7"/>
      <c r="Q437" s="7">
        <f ca="1">IFERROR(IF(COUNTA(P$56:P437)=P$54,P437,FORECAST(D437,OFFSET(S$56:S$254,MATCH(D437,R$56:R$254,1)-1,0,2), OFFSET(R$56:R$254,MATCH(D437,R$56:R$254,1)-1,0,2))),"")</f>
        <v>0</v>
      </c>
      <c r="R437" s="7" t="str">
        <f t="array" ref="R437">IFERROR(INDEX(E$56:E$1054,SMALL(IF(ISNUMBER(P$56:P$1054),ROW(E$1:E$999),""),ROW(J382))),"")</f>
        <v/>
      </c>
      <c r="S437" s="7" t="str">
        <f t="array" ref="S437">IFERROR(INDEX(P$56:P$1054,SMALL(IF(ISNUMBER(P$56:P$1054),ROW(P$1:P$999),""),ROW(P382))),"")</f>
        <v/>
      </c>
      <c r="T437" s="7"/>
      <c r="U437" s="7"/>
      <c r="V437" s="7"/>
    </row>
    <row r="438" spans="1:22" x14ac:dyDescent="0.25">
      <c r="A438" s="6"/>
      <c r="B438" s="11"/>
      <c r="C438" s="12"/>
      <c r="D438" s="12"/>
      <c r="E438" s="8">
        <f t="shared" si="5"/>
        <v>0</v>
      </c>
      <c r="F438" s="10"/>
      <c r="G438" s="10"/>
      <c r="H438" s="9"/>
      <c r="I438" s="7"/>
      <c r="J438" s="7"/>
      <c r="K438" s="7">
        <f ca="1">IFERROR(IF(COUNTA(J$56:J438)=J$54,J438,FORECAST(D438,OFFSET(M$56:M$254,MATCH(D438,L$56:L$254,1)-1,0,2), OFFSET(L$56:L$254,MATCH(D438,L$56:L$254,1)-1,0,2))),"")</f>
        <v>0</v>
      </c>
      <c r="L438" s="7" t="str">
        <f t="array" ref="L438">IFERROR(INDEX(D$56:D$1054,SMALL(IF(ISNUMBER(J$56:J$1054),ROW(D$1:D$999),""),ROW(D383))),"")</f>
        <v/>
      </c>
      <c r="M438" s="7" t="str">
        <f t="array" ref="M438">IFERROR(INDEX(J$56:J$1054,SMALL(IF(ISNUMBER(J$56:J$1054),ROW(J$1:J$999),""),ROW(J383))),"")</f>
        <v/>
      </c>
      <c r="N438" s="7"/>
      <c r="O438" s="7"/>
      <c r="P438" s="7"/>
      <c r="Q438" s="7">
        <f ca="1">IFERROR(IF(COUNTA(P$56:P438)=P$54,P438,FORECAST(D438,OFFSET(S$56:S$254,MATCH(D438,R$56:R$254,1)-1,0,2), OFFSET(R$56:R$254,MATCH(D438,R$56:R$254,1)-1,0,2))),"")</f>
        <v>0</v>
      </c>
      <c r="R438" s="7" t="str">
        <f t="array" ref="R438">IFERROR(INDEX(E$56:E$1054,SMALL(IF(ISNUMBER(P$56:P$1054),ROW(E$1:E$999),""),ROW(J383))),"")</f>
        <v/>
      </c>
      <c r="S438" s="7" t="str">
        <f t="array" ref="S438">IFERROR(INDEX(P$56:P$1054,SMALL(IF(ISNUMBER(P$56:P$1054),ROW(P$1:P$999),""),ROW(P383))),"")</f>
        <v/>
      </c>
      <c r="T438" s="7"/>
      <c r="U438" s="7"/>
      <c r="V438" s="7"/>
    </row>
    <row r="439" spans="1:22" x14ac:dyDescent="0.25">
      <c r="A439" s="6"/>
      <c r="B439" s="11"/>
      <c r="C439" s="12"/>
      <c r="D439" s="12"/>
      <c r="E439" s="8">
        <f t="shared" si="5"/>
        <v>0</v>
      </c>
      <c r="F439" s="10"/>
      <c r="G439" s="10"/>
      <c r="H439" s="9"/>
      <c r="I439" s="7"/>
      <c r="J439" s="7"/>
      <c r="K439" s="7">
        <f ca="1">IFERROR(IF(COUNTA(J$56:J439)=J$54,J439,FORECAST(D439,OFFSET(M$56:M$254,MATCH(D439,L$56:L$254,1)-1,0,2), OFFSET(L$56:L$254,MATCH(D439,L$56:L$254,1)-1,0,2))),"")</f>
        <v>0</v>
      </c>
      <c r="L439" s="7" t="str">
        <f t="array" ref="L439">IFERROR(INDEX(D$56:D$1054,SMALL(IF(ISNUMBER(J$56:J$1054),ROW(D$1:D$999),""),ROW(D384))),"")</f>
        <v/>
      </c>
      <c r="M439" s="7" t="str">
        <f t="array" ref="M439">IFERROR(INDEX(J$56:J$1054,SMALL(IF(ISNUMBER(J$56:J$1054),ROW(J$1:J$999),""),ROW(J384))),"")</f>
        <v/>
      </c>
      <c r="N439" s="7"/>
      <c r="O439" s="7"/>
      <c r="P439" s="7"/>
      <c r="Q439" s="7">
        <f ca="1">IFERROR(IF(COUNTA(P$56:P439)=P$54,P439,FORECAST(D439,OFFSET(S$56:S$254,MATCH(D439,R$56:R$254,1)-1,0,2), OFFSET(R$56:R$254,MATCH(D439,R$56:R$254,1)-1,0,2))),"")</f>
        <v>0</v>
      </c>
      <c r="R439" s="7" t="str">
        <f t="array" ref="R439">IFERROR(INDEX(E$56:E$1054,SMALL(IF(ISNUMBER(P$56:P$1054),ROW(E$1:E$999),""),ROW(J384))),"")</f>
        <v/>
      </c>
      <c r="S439" s="7" t="str">
        <f t="array" ref="S439">IFERROR(INDEX(P$56:P$1054,SMALL(IF(ISNUMBER(P$56:P$1054),ROW(P$1:P$999),""),ROW(P384))),"")</f>
        <v/>
      </c>
      <c r="T439" s="7"/>
      <c r="U439" s="7"/>
      <c r="V439" s="7"/>
    </row>
    <row r="440" spans="1:22" x14ac:dyDescent="0.25">
      <c r="A440" s="6"/>
      <c r="B440" s="11"/>
      <c r="C440" s="12"/>
      <c r="D440" s="12"/>
      <c r="E440" s="8">
        <f t="shared" si="5"/>
        <v>0</v>
      </c>
      <c r="F440" s="10"/>
      <c r="G440" s="10"/>
      <c r="H440" s="9"/>
      <c r="I440" s="7"/>
      <c r="J440" s="7"/>
      <c r="K440" s="7">
        <f ca="1">IFERROR(IF(COUNTA(J$56:J440)=J$54,J440,FORECAST(D440,OFFSET(M$56:M$254,MATCH(D440,L$56:L$254,1)-1,0,2), OFFSET(L$56:L$254,MATCH(D440,L$56:L$254,1)-1,0,2))),"")</f>
        <v>0</v>
      </c>
      <c r="L440" s="7" t="str">
        <f t="array" ref="L440">IFERROR(INDEX(D$56:D$1054,SMALL(IF(ISNUMBER(J$56:J$1054),ROW(D$1:D$999),""),ROW(D385))),"")</f>
        <v/>
      </c>
      <c r="M440" s="7" t="str">
        <f t="array" ref="M440">IFERROR(INDEX(J$56:J$1054,SMALL(IF(ISNUMBER(J$56:J$1054),ROW(J$1:J$999),""),ROW(J385))),"")</f>
        <v/>
      </c>
      <c r="N440" s="7"/>
      <c r="O440" s="7"/>
      <c r="P440" s="7"/>
      <c r="Q440" s="7">
        <f ca="1">IFERROR(IF(COUNTA(P$56:P440)=P$54,P440,FORECAST(D440,OFFSET(S$56:S$254,MATCH(D440,R$56:R$254,1)-1,0,2), OFFSET(R$56:R$254,MATCH(D440,R$56:R$254,1)-1,0,2))),"")</f>
        <v>0</v>
      </c>
      <c r="R440" s="7" t="str">
        <f t="array" ref="R440">IFERROR(INDEX(E$56:E$1054,SMALL(IF(ISNUMBER(P$56:P$1054),ROW(E$1:E$999),""),ROW(J385))),"")</f>
        <v/>
      </c>
      <c r="S440" s="7" t="str">
        <f t="array" ref="S440">IFERROR(INDEX(P$56:P$1054,SMALL(IF(ISNUMBER(P$56:P$1054),ROW(P$1:P$999),""),ROW(P385))),"")</f>
        <v/>
      </c>
      <c r="T440" s="7"/>
      <c r="U440" s="7"/>
      <c r="V440" s="7"/>
    </row>
    <row r="441" spans="1:22" x14ac:dyDescent="0.25">
      <c r="A441" s="6"/>
      <c r="B441" s="11"/>
      <c r="C441" s="12"/>
      <c r="D441" s="12"/>
      <c r="E441" s="8">
        <f t="shared" si="5"/>
        <v>0</v>
      </c>
      <c r="F441" s="10"/>
      <c r="G441" s="10"/>
      <c r="H441" s="9"/>
      <c r="I441" s="7"/>
      <c r="J441" s="7"/>
      <c r="K441" s="7">
        <f ca="1">IFERROR(IF(COUNTA(J$56:J441)=J$54,J441,FORECAST(D441,OFFSET(M$56:M$254,MATCH(D441,L$56:L$254,1)-1,0,2), OFFSET(L$56:L$254,MATCH(D441,L$56:L$254,1)-1,0,2))),"")</f>
        <v>0</v>
      </c>
      <c r="L441" s="7" t="str">
        <f t="array" ref="L441">IFERROR(INDEX(D$56:D$1054,SMALL(IF(ISNUMBER(J$56:J$1054),ROW(D$1:D$999),""),ROW(D386))),"")</f>
        <v/>
      </c>
      <c r="M441" s="7" t="str">
        <f t="array" ref="M441">IFERROR(INDEX(J$56:J$1054,SMALL(IF(ISNUMBER(J$56:J$1054),ROW(J$1:J$999),""),ROW(J386))),"")</f>
        <v/>
      </c>
      <c r="N441" s="7"/>
      <c r="O441" s="7"/>
      <c r="P441" s="7"/>
      <c r="Q441" s="7">
        <f ca="1">IFERROR(IF(COUNTA(P$56:P441)=P$54,P441,FORECAST(D441,OFFSET(S$56:S$254,MATCH(D441,R$56:R$254,1)-1,0,2), OFFSET(R$56:R$254,MATCH(D441,R$56:R$254,1)-1,0,2))),"")</f>
        <v>0</v>
      </c>
      <c r="R441" s="7" t="str">
        <f t="array" ref="R441">IFERROR(INDEX(E$56:E$1054,SMALL(IF(ISNUMBER(P$56:P$1054),ROW(E$1:E$999),""),ROW(J386))),"")</f>
        <v/>
      </c>
      <c r="S441" s="7" t="str">
        <f t="array" ref="S441">IFERROR(INDEX(P$56:P$1054,SMALL(IF(ISNUMBER(P$56:P$1054),ROW(P$1:P$999),""),ROW(P386))),"")</f>
        <v/>
      </c>
      <c r="T441" s="7"/>
      <c r="U441" s="7"/>
      <c r="V441" s="7"/>
    </row>
    <row r="442" spans="1:22" x14ac:dyDescent="0.25">
      <c r="A442" s="6"/>
      <c r="B442" s="11"/>
      <c r="C442" s="12"/>
      <c r="D442" s="12"/>
      <c r="E442" s="8">
        <f t="shared" ref="E442:E505" si="6">IF(NOT(ISBLANK(D442)),D442+C$54,0)</f>
        <v>0</v>
      </c>
      <c r="F442" s="10"/>
      <c r="G442" s="10"/>
      <c r="H442" s="9"/>
      <c r="I442" s="7"/>
      <c r="J442" s="7"/>
      <c r="K442" s="7">
        <f ca="1">IFERROR(IF(COUNTA(J$56:J442)=J$54,J442,FORECAST(D442,OFFSET(M$56:M$254,MATCH(D442,L$56:L$254,1)-1,0,2), OFFSET(L$56:L$254,MATCH(D442,L$56:L$254,1)-1,0,2))),"")</f>
        <v>0</v>
      </c>
      <c r="L442" s="7" t="str">
        <f t="array" ref="L442">IFERROR(INDEX(D$56:D$1054,SMALL(IF(ISNUMBER(J$56:J$1054),ROW(D$1:D$999),""),ROW(D387))),"")</f>
        <v/>
      </c>
      <c r="M442" s="7" t="str">
        <f t="array" ref="M442">IFERROR(INDEX(J$56:J$1054,SMALL(IF(ISNUMBER(J$56:J$1054),ROW(J$1:J$999),""),ROW(J387))),"")</f>
        <v/>
      </c>
      <c r="N442" s="7"/>
      <c r="O442" s="7"/>
      <c r="P442" s="7"/>
      <c r="Q442" s="7">
        <f ca="1">IFERROR(IF(COUNTA(P$56:P442)=P$54,P442,FORECAST(D442,OFFSET(S$56:S$254,MATCH(D442,R$56:R$254,1)-1,0,2), OFFSET(R$56:R$254,MATCH(D442,R$56:R$254,1)-1,0,2))),"")</f>
        <v>0</v>
      </c>
      <c r="R442" s="7" t="str">
        <f t="array" ref="R442">IFERROR(INDEX(E$56:E$1054,SMALL(IF(ISNUMBER(P$56:P$1054),ROW(E$1:E$999),""),ROW(J387))),"")</f>
        <v/>
      </c>
      <c r="S442" s="7" t="str">
        <f t="array" ref="S442">IFERROR(INDEX(P$56:P$1054,SMALL(IF(ISNUMBER(P$56:P$1054),ROW(P$1:P$999),""),ROW(P387))),"")</f>
        <v/>
      </c>
      <c r="T442" s="7"/>
      <c r="U442" s="7"/>
      <c r="V442" s="7"/>
    </row>
    <row r="443" spans="1:22" x14ac:dyDescent="0.25">
      <c r="A443" s="6"/>
      <c r="B443" s="11"/>
      <c r="C443" s="12"/>
      <c r="D443" s="12"/>
      <c r="E443" s="8">
        <f t="shared" si="6"/>
        <v>0</v>
      </c>
      <c r="F443" s="10"/>
      <c r="G443" s="10"/>
      <c r="H443" s="9"/>
      <c r="I443" s="7"/>
      <c r="J443" s="7"/>
      <c r="K443" s="7">
        <f ca="1">IFERROR(IF(COUNTA(J$56:J443)=J$54,J443,FORECAST(D443,OFFSET(M$56:M$254,MATCH(D443,L$56:L$254,1)-1,0,2), OFFSET(L$56:L$254,MATCH(D443,L$56:L$254,1)-1,0,2))),"")</f>
        <v>0</v>
      </c>
      <c r="L443" s="7" t="str">
        <f t="array" ref="L443">IFERROR(INDEX(D$56:D$1054,SMALL(IF(ISNUMBER(J$56:J$1054),ROW(D$1:D$999),""),ROW(D388))),"")</f>
        <v/>
      </c>
      <c r="M443" s="7" t="str">
        <f t="array" ref="M443">IFERROR(INDEX(J$56:J$1054,SMALL(IF(ISNUMBER(J$56:J$1054),ROW(J$1:J$999),""),ROW(J388))),"")</f>
        <v/>
      </c>
      <c r="N443" s="7"/>
      <c r="O443" s="7"/>
      <c r="P443" s="7"/>
      <c r="Q443" s="7">
        <f ca="1">IFERROR(IF(COUNTA(P$56:P443)=P$54,P443,FORECAST(D443,OFFSET(S$56:S$254,MATCH(D443,R$56:R$254,1)-1,0,2), OFFSET(R$56:R$254,MATCH(D443,R$56:R$254,1)-1,0,2))),"")</f>
        <v>0</v>
      </c>
      <c r="R443" s="7" t="str">
        <f t="array" ref="R443">IFERROR(INDEX(E$56:E$1054,SMALL(IF(ISNUMBER(P$56:P$1054),ROW(E$1:E$999),""),ROW(J388))),"")</f>
        <v/>
      </c>
      <c r="S443" s="7" t="str">
        <f t="array" ref="S443">IFERROR(INDEX(P$56:P$1054,SMALL(IF(ISNUMBER(P$56:P$1054),ROW(P$1:P$999),""),ROW(P388))),"")</f>
        <v/>
      </c>
      <c r="T443" s="7"/>
      <c r="U443" s="7"/>
      <c r="V443" s="7"/>
    </row>
    <row r="444" spans="1:22" x14ac:dyDescent="0.25">
      <c r="A444" s="6"/>
      <c r="B444" s="11"/>
      <c r="C444" s="12"/>
      <c r="D444" s="12"/>
      <c r="E444" s="8">
        <f t="shared" si="6"/>
        <v>0</v>
      </c>
      <c r="F444" s="10"/>
      <c r="G444" s="10"/>
      <c r="H444" s="9"/>
      <c r="I444" s="7"/>
      <c r="J444" s="7"/>
      <c r="K444" s="7">
        <f ca="1">IFERROR(IF(COUNTA(J$56:J444)=J$54,J444,FORECAST(D444,OFFSET(M$56:M$254,MATCH(D444,L$56:L$254,1)-1,0,2), OFFSET(L$56:L$254,MATCH(D444,L$56:L$254,1)-1,0,2))),"")</f>
        <v>0</v>
      </c>
      <c r="L444" s="7" t="str">
        <f t="array" ref="L444">IFERROR(INDEX(D$56:D$1054,SMALL(IF(ISNUMBER(J$56:J$1054),ROW(D$1:D$999),""),ROW(D389))),"")</f>
        <v/>
      </c>
      <c r="M444" s="7" t="str">
        <f t="array" ref="M444">IFERROR(INDEX(J$56:J$1054,SMALL(IF(ISNUMBER(J$56:J$1054),ROW(J$1:J$999),""),ROW(J389))),"")</f>
        <v/>
      </c>
      <c r="N444" s="7"/>
      <c r="O444" s="7"/>
      <c r="P444" s="7"/>
      <c r="Q444" s="7">
        <f ca="1">IFERROR(IF(COUNTA(P$56:P444)=P$54,P444,FORECAST(D444,OFFSET(S$56:S$254,MATCH(D444,R$56:R$254,1)-1,0,2), OFFSET(R$56:R$254,MATCH(D444,R$56:R$254,1)-1,0,2))),"")</f>
        <v>0</v>
      </c>
      <c r="R444" s="7" t="str">
        <f t="array" ref="R444">IFERROR(INDEX(E$56:E$1054,SMALL(IF(ISNUMBER(P$56:P$1054),ROW(E$1:E$999),""),ROW(J389))),"")</f>
        <v/>
      </c>
      <c r="S444" s="7" t="str">
        <f t="array" ref="S444">IFERROR(INDEX(P$56:P$1054,SMALL(IF(ISNUMBER(P$56:P$1054),ROW(P$1:P$999),""),ROW(P389))),"")</f>
        <v/>
      </c>
      <c r="T444" s="7"/>
      <c r="U444" s="7"/>
      <c r="V444" s="7"/>
    </row>
    <row r="445" spans="1:22" x14ac:dyDescent="0.25">
      <c r="A445" s="6"/>
      <c r="B445" s="11"/>
      <c r="C445" s="12"/>
      <c r="D445" s="12"/>
      <c r="E445" s="8">
        <f t="shared" si="6"/>
        <v>0</v>
      </c>
      <c r="F445" s="10"/>
      <c r="G445" s="10"/>
      <c r="H445" s="9"/>
      <c r="I445" s="7"/>
      <c r="J445" s="7"/>
      <c r="K445" s="7">
        <f ca="1">IFERROR(IF(COUNTA(J$56:J445)=J$54,J445,FORECAST(D445,OFFSET(M$56:M$254,MATCH(D445,L$56:L$254,1)-1,0,2), OFFSET(L$56:L$254,MATCH(D445,L$56:L$254,1)-1,0,2))),"")</f>
        <v>0</v>
      </c>
      <c r="L445" s="7" t="str">
        <f t="array" ref="L445">IFERROR(INDEX(D$56:D$1054,SMALL(IF(ISNUMBER(J$56:J$1054),ROW(D$1:D$999),""),ROW(D390))),"")</f>
        <v/>
      </c>
      <c r="M445" s="7" t="str">
        <f t="array" ref="M445">IFERROR(INDEX(J$56:J$1054,SMALL(IF(ISNUMBER(J$56:J$1054),ROW(J$1:J$999),""),ROW(J390))),"")</f>
        <v/>
      </c>
      <c r="N445" s="7"/>
      <c r="O445" s="7"/>
      <c r="P445" s="7"/>
      <c r="Q445" s="7">
        <f ca="1">IFERROR(IF(COUNTA(P$56:P445)=P$54,P445,FORECAST(D445,OFFSET(S$56:S$254,MATCH(D445,R$56:R$254,1)-1,0,2), OFFSET(R$56:R$254,MATCH(D445,R$56:R$254,1)-1,0,2))),"")</f>
        <v>0</v>
      </c>
      <c r="R445" s="7" t="str">
        <f t="array" ref="R445">IFERROR(INDEX(E$56:E$1054,SMALL(IF(ISNUMBER(P$56:P$1054),ROW(E$1:E$999),""),ROW(J390))),"")</f>
        <v/>
      </c>
      <c r="S445" s="7" t="str">
        <f t="array" ref="S445">IFERROR(INDEX(P$56:P$1054,SMALL(IF(ISNUMBER(P$56:P$1054),ROW(P$1:P$999),""),ROW(P390))),"")</f>
        <v/>
      </c>
      <c r="T445" s="7"/>
      <c r="U445" s="7"/>
      <c r="V445" s="7"/>
    </row>
    <row r="446" spans="1:22" x14ac:dyDescent="0.25">
      <c r="A446" s="6"/>
      <c r="B446" s="11"/>
      <c r="C446" s="12"/>
      <c r="D446" s="12"/>
      <c r="E446" s="8">
        <f t="shared" si="6"/>
        <v>0</v>
      </c>
      <c r="F446" s="10"/>
      <c r="G446" s="10"/>
      <c r="H446" s="9"/>
      <c r="I446" s="7"/>
      <c r="J446" s="7"/>
      <c r="K446" s="7">
        <f ca="1">IFERROR(IF(COUNTA(J$56:J446)=J$54,J446,FORECAST(D446,OFFSET(M$56:M$254,MATCH(D446,L$56:L$254,1)-1,0,2), OFFSET(L$56:L$254,MATCH(D446,L$56:L$254,1)-1,0,2))),"")</f>
        <v>0</v>
      </c>
      <c r="L446" s="7" t="str">
        <f t="array" ref="L446">IFERROR(INDEX(D$56:D$1054,SMALL(IF(ISNUMBER(J$56:J$1054),ROW(D$1:D$999),""),ROW(D391))),"")</f>
        <v/>
      </c>
      <c r="M446" s="7" t="str">
        <f t="array" ref="M446">IFERROR(INDEX(J$56:J$1054,SMALL(IF(ISNUMBER(J$56:J$1054),ROW(J$1:J$999),""),ROW(J391))),"")</f>
        <v/>
      </c>
      <c r="N446" s="7"/>
      <c r="O446" s="7"/>
      <c r="P446" s="7"/>
      <c r="Q446" s="7">
        <f ca="1">IFERROR(IF(COUNTA(P$56:P446)=P$54,P446,FORECAST(D446,OFFSET(S$56:S$254,MATCH(D446,R$56:R$254,1)-1,0,2), OFFSET(R$56:R$254,MATCH(D446,R$56:R$254,1)-1,0,2))),"")</f>
        <v>0</v>
      </c>
      <c r="R446" s="7" t="str">
        <f t="array" ref="R446">IFERROR(INDEX(E$56:E$1054,SMALL(IF(ISNUMBER(P$56:P$1054),ROW(E$1:E$999),""),ROW(J391))),"")</f>
        <v/>
      </c>
      <c r="S446" s="7" t="str">
        <f t="array" ref="S446">IFERROR(INDEX(P$56:P$1054,SMALL(IF(ISNUMBER(P$56:P$1054),ROW(P$1:P$999),""),ROW(P391))),"")</f>
        <v/>
      </c>
      <c r="T446" s="7"/>
      <c r="U446" s="7"/>
      <c r="V446" s="7"/>
    </row>
    <row r="447" spans="1:22" x14ac:dyDescent="0.25">
      <c r="A447" s="6"/>
      <c r="B447" s="11"/>
      <c r="C447" s="12"/>
      <c r="D447" s="12"/>
      <c r="E447" s="8">
        <f t="shared" si="6"/>
        <v>0</v>
      </c>
      <c r="F447" s="10"/>
      <c r="G447" s="10"/>
      <c r="H447" s="9"/>
      <c r="I447" s="7"/>
      <c r="J447" s="7"/>
      <c r="K447" s="7">
        <f ca="1">IFERROR(IF(COUNTA(J$56:J447)=J$54,J447,FORECAST(D447,OFFSET(M$56:M$254,MATCH(D447,L$56:L$254,1)-1,0,2), OFFSET(L$56:L$254,MATCH(D447,L$56:L$254,1)-1,0,2))),"")</f>
        <v>0</v>
      </c>
      <c r="L447" s="7" t="str">
        <f t="array" ref="L447">IFERROR(INDEX(D$56:D$1054,SMALL(IF(ISNUMBER(J$56:J$1054),ROW(D$1:D$999),""),ROW(D392))),"")</f>
        <v/>
      </c>
      <c r="M447" s="7" t="str">
        <f t="array" ref="M447">IFERROR(INDEX(J$56:J$1054,SMALL(IF(ISNUMBER(J$56:J$1054),ROW(J$1:J$999),""),ROW(J392))),"")</f>
        <v/>
      </c>
      <c r="N447" s="7"/>
      <c r="O447" s="7"/>
      <c r="P447" s="7"/>
      <c r="Q447" s="7">
        <f ca="1">IFERROR(IF(COUNTA(P$56:P447)=P$54,P447,FORECAST(D447,OFFSET(S$56:S$254,MATCH(D447,R$56:R$254,1)-1,0,2), OFFSET(R$56:R$254,MATCH(D447,R$56:R$254,1)-1,0,2))),"")</f>
        <v>0</v>
      </c>
      <c r="R447" s="7" t="str">
        <f t="array" ref="R447">IFERROR(INDEX(E$56:E$1054,SMALL(IF(ISNUMBER(P$56:P$1054),ROW(E$1:E$999),""),ROW(J392))),"")</f>
        <v/>
      </c>
      <c r="S447" s="7" t="str">
        <f t="array" ref="S447">IFERROR(INDEX(P$56:P$1054,SMALL(IF(ISNUMBER(P$56:P$1054),ROW(P$1:P$999),""),ROW(P392))),"")</f>
        <v/>
      </c>
      <c r="T447" s="7"/>
      <c r="U447" s="7"/>
      <c r="V447" s="7"/>
    </row>
    <row r="448" spans="1:22" x14ac:dyDescent="0.25">
      <c r="A448" s="6"/>
      <c r="B448" s="11"/>
      <c r="C448" s="12"/>
      <c r="D448" s="12"/>
      <c r="E448" s="8">
        <f t="shared" si="6"/>
        <v>0</v>
      </c>
      <c r="F448" s="10"/>
      <c r="G448" s="10"/>
      <c r="H448" s="9"/>
      <c r="I448" s="7"/>
      <c r="J448" s="7"/>
      <c r="K448" s="7">
        <f ca="1">IFERROR(IF(COUNTA(J$56:J448)=J$54,J448,FORECAST(D448,OFFSET(M$56:M$254,MATCH(D448,L$56:L$254,1)-1,0,2), OFFSET(L$56:L$254,MATCH(D448,L$56:L$254,1)-1,0,2))),"")</f>
        <v>0</v>
      </c>
      <c r="L448" s="7" t="str">
        <f t="array" ref="L448">IFERROR(INDEX(D$56:D$1054,SMALL(IF(ISNUMBER(J$56:J$1054),ROW(D$1:D$999),""),ROW(D393))),"")</f>
        <v/>
      </c>
      <c r="M448" s="7" t="str">
        <f t="array" ref="M448">IFERROR(INDEX(J$56:J$1054,SMALL(IF(ISNUMBER(J$56:J$1054),ROW(J$1:J$999),""),ROW(J393))),"")</f>
        <v/>
      </c>
      <c r="N448" s="7"/>
      <c r="O448" s="7"/>
      <c r="P448" s="7"/>
      <c r="Q448" s="7">
        <f ca="1">IFERROR(IF(COUNTA(P$56:P448)=P$54,P448,FORECAST(D448,OFFSET(S$56:S$254,MATCH(D448,R$56:R$254,1)-1,0,2), OFFSET(R$56:R$254,MATCH(D448,R$56:R$254,1)-1,0,2))),"")</f>
        <v>0</v>
      </c>
      <c r="R448" s="7" t="str">
        <f t="array" ref="R448">IFERROR(INDEX(E$56:E$1054,SMALL(IF(ISNUMBER(P$56:P$1054),ROW(E$1:E$999),""),ROW(J393))),"")</f>
        <v/>
      </c>
      <c r="S448" s="7" t="str">
        <f t="array" ref="S448">IFERROR(INDEX(P$56:P$1054,SMALL(IF(ISNUMBER(P$56:P$1054),ROW(P$1:P$999),""),ROW(P393))),"")</f>
        <v/>
      </c>
      <c r="T448" s="7"/>
      <c r="U448" s="7"/>
      <c r="V448" s="7"/>
    </row>
    <row r="449" spans="1:22" x14ac:dyDescent="0.25">
      <c r="A449" s="6"/>
      <c r="B449" s="11"/>
      <c r="C449" s="12"/>
      <c r="D449" s="12"/>
      <c r="E449" s="8">
        <f t="shared" si="6"/>
        <v>0</v>
      </c>
      <c r="F449" s="10"/>
      <c r="G449" s="10"/>
      <c r="H449" s="9"/>
      <c r="I449" s="7"/>
      <c r="J449" s="7"/>
      <c r="K449" s="7">
        <f ca="1">IFERROR(IF(COUNTA(J$56:J449)=J$54,J449,FORECAST(D449,OFFSET(M$56:M$254,MATCH(D449,L$56:L$254,1)-1,0,2), OFFSET(L$56:L$254,MATCH(D449,L$56:L$254,1)-1,0,2))),"")</f>
        <v>0</v>
      </c>
      <c r="L449" s="7" t="str">
        <f t="array" ref="L449">IFERROR(INDEX(D$56:D$1054,SMALL(IF(ISNUMBER(J$56:J$1054),ROW(D$1:D$999),""),ROW(D394))),"")</f>
        <v/>
      </c>
      <c r="M449" s="7" t="str">
        <f t="array" ref="M449">IFERROR(INDEX(J$56:J$1054,SMALL(IF(ISNUMBER(J$56:J$1054),ROW(J$1:J$999),""),ROW(J394))),"")</f>
        <v/>
      </c>
      <c r="N449" s="7"/>
      <c r="O449" s="7"/>
      <c r="P449" s="7"/>
      <c r="Q449" s="7">
        <f ca="1">IFERROR(IF(COUNTA(P$56:P449)=P$54,P449,FORECAST(D449,OFFSET(S$56:S$254,MATCH(D449,R$56:R$254,1)-1,0,2), OFFSET(R$56:R$254,MATCH(D449,R$56:R$254,1)-1,0,2))),"")</f>
        <v>0</v>
      </c>
      <c r="R449" s="7" t="str">
        <f t="array" ref="R449">IFERROR(INDEX(E$56:E$1054,SMALL(IF(ISNUMBER(P$56:P$1054),ROW(E$1:E$999),""),ROW(J394))),"")</f>
        <v/>
      </c>
      <c r="S449" s="7" t="str">
        <f t="array" ref="S449">IFERROR(INDEX(P$56:P$1054,SMALL(IF(ISNUMBER(P$56:P$1054),ROW(P$1:P$999),""),ROW(P394))),"")</f>
        <v/>
      </c>
      <c r="T449" s="7"/>
      <c r="U449" s="7"/>
      <c r="V449" s="7"/>
    </row>
    <row r="450" spans="1:22" x14ac:dyDescent="0.25">
      <c r="A450" s="6"/>
      <c r="B450" s="11"/>
      <c r="C450" s="12"/>
      <c r="D450" s="12"/>
      <c r="E450" s="8">
        <f t="shared" si="6"/>
        <v>0</v>
      </c>
      <c r="F450" s="10"/>
      <c r="G450" s="10"/>
      <c r="H450" s="9"/>
      <c r="I450" s="7"/>
      <c r="J450" s="7"/>
      <c r="K450" s="7">
        <f ca="1">IFERROR(IF(COUNTA(J$56:J450)=J$54,J450,FORECAST(D450,OFFSET(M$56:M$254,MATCH(D450,L$56:L$254,1)-1,0,2), OFFSET(L$56:L$254,MATCH(D450,L$56:L$254,1)-1,0,2))),"")</f>
        <v>0</v>
      </c>
      <c r="L450" s="7" t="str">
        <f t="array" ref="L450">IFERROR(INDEX(D$56:D$1054,SMALL(IF(ISNUMBER(J$56:J$1054),ROW(D$1:D$999),""),ROW(D395))),"")</f>
        <v/>
      </c>
      <c r="M450" s="7" t="str">
        <f t="array" ref="M450">IFERROR(INDEX(J$56:J$1054,SMALL(IF(ISNUMBER(J$56:J$1054),ROW(J$1:J$999),""),ROW(J395))),"")</f>
        <v/>
      </c>
      <c r="N450" s="7"/>
      <c r="O450" s="7"/>
      <c r="P450" s="7"/>
      <c r="Q450" s="7">
        <f ca="1">IFERROR(IF(COUNTA(P$56:P450)=P$54,P450,FORECAST(D450,OFFSET(S$56:S$254,MATCH(D450,R$56:R$254,1)-1,0,2), OFFSET(R$56:R$254,MATCH(D450,R$56:R$254,1)-1,0,2))),"")</f>
        <v>0</v>
      </c>
      <c r="R450" s="7" t="str">
        <f t="array" ref="R450">IFERROR(INDEX(E$56:E$1054,SMALL(IF(ISNUMBER(P$56:P$1054),ROW(E$1:E$999),""),ROW(J395))),"")</f>
        <v/>
      </c>
      <c r="S450" s="7" t="str">
        <f t="array" ref="S450">IFERROR(INDEX(P$56:P$1054,SMALL(IF(ISNUMBER(P$56:P$1054),ROW(P$1:P$999),""),ROW(P395))),"")</f>
        <v/>
      </c>
      <c r="T450" s="7"/>
      <c r="U450" s="7"/>
      <c r="V450" s="7"/>
    </row>
    <row r="451" spans="1:22" x14ac:dyDescent="0.25">
      <c r="A451" s="6"/>
      <c r="B451" s="11"/>
      <c r="C451" s="12"/>
      <c r="D451" s="12"/>
      <c r="E451" s="8">
        <f t="shared" si="6"/>
        <v>0</v>
      </c>
      <c r="F451" s="10"/>
      <c r="G451" s="10"/>
      <c r="H451" s="9"/>
      <c r="I451" s="7"/>
      <c r="J451" s="7"/>
      <c r="K451" s="7">
        <f ca="1">IFERROR(IF(COUNTA(J$56:J451)=J$54,J451,FORECAST(D451,OFFSET(M$56:M$254,MATCH(D451,L$56:L$254,1)-1,0,2), OFFSET(L$56:L$254,MATCH(D451,L$56:L$254,1)-1,0,2))),"")</f>
        <v>0</v>
      </c>
      <c r="L451" s="7" t="str">
        <f t="array" ref="L451">IFERROR(INDEX(D$56:D$1054,SMALL(IF(ISNUMBER(J$56:J$1054),ROW(D$1:D$999),""),ROW(D396))),"")</f>
        <v/>
      </c>
      <c r="M451" s="7" t="str">
        <f t="array" ref="M451">IFERROR(INDEX(J$56:J$1054,SMALL(IF(ISNUMBER(J$56:J$1054),ROW(J$1:J$999),""),ROW(J396))),"")</f>
        <v/>
      </c>
      <c r="N451" s="7"/>
      <c r="O451" s="7"/>
      <c r="P451" s="7"/>
      <c r="Q451" s="7">
        <f ca="1">IFERROR(IF(COUNTA(P$56:P451)=P$54,P451,FORECAST(D451,OFFSET(S$56:S$254,MATCH(D451,R$56:R$254,1)-1,0,2), OFFSET(R$56:R$254,MATCH(D451,R$56:R$254,1)-1,0,2))),"")</f>
        <v>0</v>
      </c>
      <c r="R451" s="7" t="str">
        <f t="array" ref="R451">IFERROR(INDEX(E$56:E$1054,SMALL(IF(ISNUMBER(P$56:P$1054),ROW(E$1:E$999),""),ROW(J396))),"")</f>
        <v/>
      </c>
      <c r="S451" s="7" t="str">
        <f t="array" ref="S451">IFERROR(INDEX(P$56:P$1054,SMALL(IF(ISNUMBER(P$56:P$1054),ROW(P$1:P$999),""),ROW(P396))),"")</f>
        <v/>
      </c>
      <c r="T451" s="7"/>
      <c r="U451" s="7"/>
      <c r="V451" s="7"/>
    </row>
    <row r="452" spans="1:22" x14ac:dyDescent="0.25">
      <c r="A452" s="6"/>
      <c r="B452" s="11"/>
      <c r="C452" s="12"/>
      <c r="D452" s="12"/>
      <c r="E452" s="8">
        <f t="shared" si="6"/>
        <v>0</v>
      </c>
      <c r="F452" s="10"/>
      <c r="G452" s="10"/>
      <c r="H452" s="9"/>
      <c r="I452" s="7"/>
      <c r="J452" s="7"/>
      <c r="K452" s="7">
        <f ca="1">IFERROR(IF(COUNTA(J$56:J452)=J$54,J452,FORECAST(D452,OFFSET(M$56:M$254,MATCH(D452,L$56:L$254,1)-1,0,2), OFFSET(L$56:L$254,MATCH(D452,L$56:L$254,1)-1,0,2))),"")</f>
        <v>0</v>
      </c>
      <c r="L452" s="7" t="str">
        <f t="array" ref="L452">IFERROR(INDEX(D$56:D$1054,SMALL(IF(ISNUMBER(J$56:J$1054),ROW(D$1:D$999),""),ROW(D397))),"")</f>
        <v/>
      </c>
      <c r="M452" s="7" t="str">
        <f t="array" ref="M452">IFERROR(INDEX(J$56:J$1054,SMALL(IF(ISNUMBER(J$56:J$1054),ROW(J$1:J$999),""),ROW(J397))),"")</f>
        <v/>
      </c>
      <c r="N452" s="7"/>
      <c r="O452" s="7"/>
      <c r="P452" s="7"/>
      <c r="Q452" s="7">
        <f ca="1">IFERROR(IF(COUNTA(P$56:P452)=P$54,P452,FORECAST(D452,OFFSET(S$56:S$254,MATCH(D452,R$56:R$254,1)-1,0,2), OFFSET(R$56:R$254,MATCH(D452,R$56:R$254,1)-1,0,2))),"")</f>
        <v>0</v>
      </c>
      <c r="R452" s="7" t="str">
        <f t="array" ref="R452">IFERROR(INDEX(E$56:E$1054,SMALL(IF(ISNUMBER(P$56:P$1054),ROW(E$1:E$999),""),ROW(J397))),"")</f>
        <v/>
      </c>
      <c r="S452" s="7" t="str">
        <f t="array" ref="S452">IFERROR(INDEX(P$56:P$1054,SMALL(IF(ISNUMBER(P$56:P$1054),ROW(P$1:P$999),""),ROW(P397))),"")</f>
        <v/>
      </c>
      <c r="T452" s="7"/>
      <c r="U452" s="7"/>
      <c r="V452" s="7"/>
    </row>
    <row r="453" spans="1:22" x14ac:dyDescent="0.25">
      <c r="A453" s="6"/>
      <c r="B453" s="11"/>
      <c r="C453" s="12"/>
      <c r="D453" s="12"/>
      <c r="E453" s="8">
        <f t="shared" si="6"/>
        <v>0</v>
      </c>
      <c r="F453" s="10"/>
      <c r="G453" s="10"/>
      <c r="H453" s="9"/>
      <c r="I453" s="7"/>
      <c r="J453" s="7"/>
      <c r="K453" s="7">
        <f ca="1">IFERROR(IF(COUNTA(J$56:J453)=J$54,J453,FORECAST(D453,OFFSET(M$56:M$254,MATCH(D453,L$56:L$254,1)-1,0,2), OFFSET(L$56:L$254,MATCH(D453,L$56:L$254,1)-1,0,2))),"")</f>
        <v>0</v>
      </c>
      <c r="L453" s="7" t="str">
        <f t="array" ref="L453">IFERROR(INDEX(D$56:D$1054,SMALL(IF(ISNUMBER(J$56:J$1054),ROW(D$1:D$999),""),ROW(D398))),"")</f>
        <v/>
      </c>
      <c r="M453" s="7" t="str">
        <f t="array" ref="M453">IFERROR(INDEX(J$56:J$1054,SMALL(IF(ISNUMBER(J$56:J$1054),ROW(J$1:J$999),""),ROW(J398))),"")</f>
        <v/>
      </c>
      <c r="N453" s="7"/>
      <c r="O453" s="7"/>
      <c r="P453" s="7"/>
      <c r="Q453" s="7">
        <f ca="1">IFERROR(IF(COUNTA(P$56:P453)=P$54,P453,FORECAST(D453,OFFSET(S$56:S$254,MATCH(D453,R$56:R$254,1)-1,0,2), OFFSET(R$56:R$254,MATCH(D453,R$56:R$254,1)-1,0,2))),"")</f>
        <v>0</v>
      </c>
      <c r="R453" s="7" t="str">
        <f t="array" ref="R453">IFERROR(INDEX(E$56:E$1054,SMALL(IF(ISNUMBER(P$56:P$1054),ROW(E$1:E$999),""),ROW(J398))),"")</f>
        <v/>
      </c>
      <c r="S453" s="7" t="str">
        <f t="array" ref="S453">IFERROR(INDEX(P$56:P$1054,SMALL(IF(ISNUMBER(P$56:P$1054),ROW(P$1:P$999),""),ROW(P398))),"")</f>
        <v/>
      </c>
      <c r="T453" s="7"/>
      <c r="U453" s="7"/>
      <c r="V453" s="7"/>
    </row>
    <row r="454" spans="1:22" x14ac:dyDescent="0.25">
      <c r="A454" s="6"/>
      <c r="B454" s="11"/>
      <c r="C454" s="12"/>
      <c r="D454" s="12"/>
      <c r="E454" s="8">
        <f t="shared" si="6"/>
        <v>0</v>
      </c>
      <c r="F454" s="10"/>
      <c r="G454" s="10"/>
      <c r="H454" s="9"/>
      <c r="I454" s="7"/>
      <c r="J454" s="7"/>
      <c r="K454" s="7">
        <f ca="1">IFERROR(IF(COUNTA(J$56:J454)=J$54,J454,FORECAST(D454,OFFSET(M$56:M$254,MATCH(D454,L$56:L$254,1)-1,0,2), OFFSET(L$56:L$254,MATCH(D454,L$56:L$254,1)-1,0,2))),"")</f>
        <v>0</v>
      </c>
      <c r="L454" s="7" t="str">
        <f t="array" ref="L454">IFERROR(INDEX(D$56:D$1054,SMALL(IF(ISNUMBER(J$56:J$1054),ROW(D$1:D$999),""),ROW(D399))),"")</f>
        <v/>
      </c>
      <c r="M454" s="7" t="str">
        <f t="array" ref="M454">IFERROR(INDEX(J$56:J$1054,SMALL(IF(ISNUMBER(J$56:J$1054),ROW(J$1:J$999),""),ROW(J399))),"")</f>
        <v/>
      </c>
      <c r="N454" s="7"/>
      <c r="O454" s="7"/>
      <c r="P454" s="7"/>
      <c r="Q454" s="7">
        <f ca="1">IFERROR(IF(COUNTA(P$56:P454)=P$54,P454,FORECAST(D454,OFFSET(S$56:S$254,MATCH(D454,R$56:R$254,1)-1,0,2), OFFSET(R$56:R$254,MATCH(D454,R$56:R$254,1)-1,0,2))),"")</f>
        <v>0</v>
      </c>
      <c r="R454" s="7" t="str">
        <f t="array" ref="R454">IFERROR(INDEX(E$56:E$1054,SMALL(IF(ISNUMBER(P$56:P$1054),ROW(E$1:E$999),""),ROW(J399))),"")</f>
        <v/>
      </c>
      <c r="S454" s="7" t="str">
        <f t="array" ref="S454">IFERROR(INDEX(P$56:P$1054,SMALL(IF(ISNUMBER(P$56:P$1054),ROW(P$1:P$999),""),ROW(P399))),"")</f>
        <v/>
      </c>
      <c r="T454" s="7"/>
      <c r="U454" s="7"/>
      <c r="V454" s="7"/>
    </row>
    <row r="455" spans="1:22" x14ac:dyDescent="0.25">
      <c r="A455" s="6"/>
      <c r="B455" s="11"/>
      <c r="C455" s="12"/>
      <c r="D455" s="12"/>
      <c r="E455" s="8">
        <f t="shared" si="6"/>
        <v>0</v>
      </c>
      <c r="F455" s="10"/>
      <c r="G455" s="10"/>
      <c r="H455" s="9"/>
      <c r="I455" s="7"/>
      <c r="J455" s="7"/>
      <c r="K455" s="7">
        <f ca="1">IFERROR(IF(COUNTA(J$56:J455)=J$54,J455,FORECAST(D455,OFFSET(M$56:M$254,MATCH(D455,L$56:L$254,1)-1,0,2), OFFSET(L$56:L$254,MATCH(D455,L$56:L$254,1)-1,0,2))),"")</f>
        <v>0</v>
      </c>
      <c r="L455" s="7" t="str">
        <f t="array" ref="L455">IFERROR(INDEX(D$56:D$1054,SMALL(IF(ISNUMBER(J$56:J$1054),ROW(D$1:D$999),""),ROW(D400))),"")</f>
        <v/>
      </c>
      <c r="M455" s="7" t="str">
        <f t="array" ref="M455">IFERROR(INDEX(J$56:J$1054,SMALL(IF(ISNUMBER(J$56:J$1054),ROW(J$1:J$999),""),ROW(J400))),"")</f>
        <v/>
      </c>
      <c r="N455" s="7"/>
      <c r="O455" s="7"/>
      <c r="P455" s="7"/>
      <c r="Q455" s="7">
        <f ca="1">IFERROR(IF(COUNTA(P$56:P455)=P$54,P455,FORECAST(D455,OFFSET(S$56:S$254,MATCH(D455,R$56:R$254,1)-1,0,2), OFFSET(R$56:R$254,MATCH(D455,R$56:R$254,1)-1,0,2))),"")</f>
        <v>0</v>
      </c>
      <c r="R455" s="7" t="str">
        <f t="array" ref="R455">IFERROR(INDEX(E$56:E$1054,SMALL(IF(ISNUMBER(P$56:P$1054),ROW(E$1:E$999),""),ROW(J400))),"")</f>
        <v/>
      </c>
      <c r="S455" s="7" t="str">
        <f t="array" ref="S455">IFERROR(INDEX(P$56:P$1054,SMALL(IF(ISNUMBER(P$56:P$1054),ROW(P$1:P$999),""),ROW(P400))),"")</f>
        <v/>
      </c>
      <c r="T455" s="7"/>
      <c r="U455" s="7"/>
      <c r="V455" s="7"/>
    </row>
    <row r="456" spans="1:22" x14ac:dyDescent="0.25">
      <c r="A456" s="6"/>
      <c r="B456" s="11"/>
      <c r="C456" s="12"/>
      <c r="D456" s="12"/>
      <c r="E456" s="8">
        <f t="shared" si="6"/>
        <v>0</v>
      </c>
      <c r="F456" s="10"/>
      <c r="G456" s="10"/>
      <c r="H456" s="9"/>
      <c r="I456" s="7"/>
      <c r="J456" s="7"/>
      <c r="K456" s="7">
        <f ca="1">IFERROR(IF(COUNTA(J$56:J456)=J$54,J456,FORECAST(D456,OFFSET(M$56:M$254,MATCH(D456,L$56:L$254,1)-1,0,2), OFFSET(L$56:L$254,MATCH(D456,L$56:L$254,1)-1,0,2))),"")</f>
        <v>0</v>
      </c>
      <c r="L456" s="7" t="str">
        <f t="array" ref="L456">IFERROR(INDEX(D$56:D$1054,SMALL(IF(ISNUMBER(J$56:J$1054),ROW(D$1:D$999),""),ROW(D401))),"")</f>
        <v/>
      </c>
      <c r="M456" s="7" t="str">
        <f t="array" ref="M456">IFERROR(INDEX(J$56:J$1054,SMALL(IF(ISNUMBER(J$56:J$1054),ROW(J$1:J$999),""),ROW(J401))),"")</f>
        <v/>
      </c>
      <c r="N456" s="7"/>
      <c r="O456" s="7"/>
      <c r="P456" s="7"/>
      <c r="Q456" s="7">
        <f ca="1">IFERROR(IF(COUNTA(P$56:P456)=P$54,P456,FORECAST(D456,OFFSET(S$56:S$254,MATCH(D456,R$56:R$254,1)-1,0,2), OFFSET(R$56:R$254,MATCH(D456,R$56:R$254,1)-1,0,2))),"")</f>
        <v>0</v>
      </c>
      <c r="R456" s="7" t="str">
        <f t="array" ref="R456">IFERROR(INDEX(E$56:E$1054,SMALL(IF(ISNUMBER(P$56:P$1054),ROW(E$1:E$999),""),ROW(J401))),"")</f>
        <v/>
      </c>
      <c r="S456" s="7" t="str">
        <f t="array" ref="S456">IFERROR(INDEX(P$56:P$1054,SMALL(IF(ISNUMBER(P$56:P$1054),ROW(P$1:P$999),""),ROW(P401))),"")</f>
        <v/>
      </c>
      <c r="T456" s="7"/>
      <c r="U456" s="7"/>
      <c r="V456" s="7"/>
    </row>
    <row r="457" spans="1:22" x14ac:dyDescent="0.25">
      <c r="A457" s="6"/>
      <c r="B457" s="11"/>
      <c r="C457" s="12"/>
      <c r="D457" s="12"/>
      <c r="E457" s="8">
        <f t="shared" si="6"/>
        <v>0</v>
      </c>
      <c r="F457" s="10"/>
      <c r="G457" s="10"/>
      <c r="H457" s="9"/>
      <c r="I457" s="7"/>
      <c r="J457" s="7"/>
      <c r="K457" s="7">
        <f ca="1">IFERROR(IF(COUNTA(J$56:J457)=J$54,J457,FORECAST(D457,OFFSET(M$56:M$254,MATCH(D457,L$56:L$254,1)-1,0,2), OFFSET(L$56:L$254,MATCH(D457,L$56:L$254,1)-1,0,2))),"")</f>
        <v>0</v>
      </c>
      <c r="L457" s="7" t="str">
        <f t="array" ref="L457">IFERROR(INDEX(D$56:D$1054,SMALL(IF(ISNUMBER(J$56:J$1054),ROW(D$1:D$999),""),ROW(D402))),"")</f>
        <v/>
      </c>
      <c r="M457" s="7" t="str">
        <f t="array" ref="M457">IFERROR(INDEX(J$56:J$1054,SMALL(IF(ISNUMBER(J$56:J$1054),ROW(J$1:J$999),""),ROW(J402))),"")</f>
        <v/>
      </c>
      <c r="N457" s="7"/>
      <c r="O457" s="7"/>
      <c r="P457" s="7"/>
      <c r="Q457" s="7">
        <f ca="1">IFERROR(IF(COUNTA(P$56:P457)=P$54,P457,FORECAST(D457,OFFSET(S$56:S$254,MATCH(D457,R$56:R$254,1)-1,0,2), OFFSET(R$56:R$254,MATCH(D457,R$56:R$254,1)-1,0,2))),"")</f>
        <v>0</v>
      </c>
      <c r="R457" s="7" t="str">
        <f t="array" ref="R457">IFERROR(INDEX(E$56:E$1054,SMALL(IF(ISNUMBER(P$56:P$1054),ROW(E$1:E$999),""),ROW(J402))),"")</f>
        <v/>
      </c>
      <c r="S457" s="7" t="str">
        <f t="array" ref="S457">IFERROR(INDEX(P$56:P$1054,SMALL(IF(ISNUMBER(P$56:P$1054),ROW(P$1:P$999),""),ROW(P402))),"")</f>
        <v/>
      </c>
      <c r="T457" s="7"/>
      <c r="U457" s="7"/>
      <c r="V457" s="7"/>
    </row>
    <row r="458" spans="1:22" x14ac:dyDescent="0.25">
      <c r="A458" s="6"/>
      <c r="B458" s="11"/>
      <c r="C458" s="12"/>
      <c r="D458" s="12"/>
      <c r="E458" s="8">
        <f t="shared" si="6"/>
        <v>0</v>
      </c>
      <c r="F458" s="10"/>
      <c r="G458" s="10"/>
      <c r="H458" s="9"/>
      <c r="I458" s="7"/>
      <c r="J458" s="7"/>
      <c r="K458" s="7">
        <f ca="1">IFERROR(IF(COUNTA(J$56:J458)=J$54,J458,FORECAST(D458,OFFSET(M$56:M$254,MATCH(D458,L$56:L$254,1)-1,0,2), OFFSET(L$56:L$254,MATCH(D458,L$56:L$254,1)-1,0,2))),"")</f>
        <v>0</v>
      </c>
      <c r="L458" s="7" t="str">
        <f t="array" ref="L458">IFERROR(INDEX(D$56:D$1054,SMALL(IF(ISNUMBER(J$56:J$1054),ROW(D$1:D$999),""),ROW(D403))),"")</f>
        <v/>
      </c>
      <c r="M458" s="7" t="str">
        <f t="array" ref="M458">IFERROR(INDEX(J$56:J$1054,SMALL(IF(ISNUMBER(J$56:J$1054),ROW(J$1:J$999),""),ROW(J403))),"")</f>
        <v/>
      </c>
      <c r="N458" s="7"/>
      <c r="O458" s="7"/>
      <c r="P458" s="7"/>
      <c r="Q458" s="7">
        <f ca="1">IFERROR(IF(COUNTA(P$56:P458)=P$54,P458,FORECAST(D458,OFFSET(S$56:S$254,MATCH(D458,R$56:R$254,1)-1,0,2), OFFSET(R$56:R$254,MATCH(D458,R$56:R$254,1)-1,0,2))),"")</f>
        <v>0</v>
      </c>
      <c r="R458" s="7" t="str">
        <f t="array" ref="R458">IFERROR(INDEX(E$56:E$1054,SMALL(IF(ISNUMBER(P$56:P$1054),ROW(E$1:E$999),""),ROW(J403))),"")</f>
        <v/>
      </c>
      <c r="S458" s="7" t="str">
        <f t="array" ref="S458">IFERROR(INDEX(P$56:P$1054,SMALL(IF(ISNUMBER(P$56:P$1054),ROW(P$1:P$999),""),ROW(P403))),"")</f>
        <v/>
      </c>
      <c r="T458" s="7"/>
      <c r="U458" s="7"/>
      <c r="V458" s="7"/>
    </row>
    <row r="459" spans="1:22" x14ac:dyDescent="0.25">
      <c r="A459" s="6"/>
      <c r="B459" s="11"/>
      <c r="C459" s="12"/>
      <c r="D459" s="12"/>
      <c r="E459" s="8">
        <f t="shared" si="6"/>
        <v>0</v>
      </c>
      <c r="F459" s="10"/>
      <c r="G459" s="10"/>
      <c r="H459" s="9"/>
      <c r="I459" s="7"/>
      <c r="J459" s="7"/>
      <c r="K459" s="7">
        <f ca="1">IFERROR(IF(COUNTA(J$56:J459)=J$54,J459,FORECAST(D459,OFFSET(M$56:M$254,MATCH(D459,L$56:L$254,1)-1,0,2), OFFSET(L$56:L$254,MATCH(D459,L$56:L$254,1)-1,0,2))),"")</f>
        <v>0</v>
      </c>
      <c r="L459" s="7" t="str">
        <f t="array" ref="L459">IFERROR(INDEX(D$56:D$1054,SMALL(IF(ISNUMBER(J$56:J$1054),ROW(D$1:D$999),""),ROW(D404))),"")</f>
        <v/>
      </c>
      <c r="M459" s="7" t="str">
        <f t="array" ref="M459">IFERROR(INDEX(J$56:J$1054,SMALL(IF(ISNUMBER(J$56:J$1054),ROW(J$1:J$999),""),ROW(J404))),"")</f>
        <v/>
      </c>
      <c r="N459" s="7"/>
      <c r="O459" s="7"/>
      <c r="P459" s="7"/>
      <c r="Q459" s="7">
        <f ca="1">IFERROR(IF(COUNTA(P$56:P459)=P$54,P459,FORECAST(D459,OFFSET(S$56:S$254,MATCH(D459,R$56:R$254,1)-1,0,2), OFFSET(R$56:R$254,MATCH(D459,R$56:R$254,1)-1,0,2))),"")</f>
        <v>0</v>
      </c>
      <c r="R459" s="7" t="str">
        <f t="array" ref="R459">IFERROR(INDEX(E$56:E$1054,SMALL(IF(ISNUMBER(P$56:P$1054),ROW(E$1:E$999),""),ROW(J404))),"")</f>
        <v/>
      </c>
      <c r="S459" s="7" t="str">
        <f t="array" ref="S459">IFERROR(INDEX(P$56:P$1054,SMALL(IF(ISNUMBER(P$56:P$1054),ROW(P$1:P$999),""),ROW(P404))),"")</f>
        <v/>
      </c>
      <c r="T459" s="7"/>
      <c r="U459" s="7"/>
      <c r="V459" s="7"/>
    </row>
    <row r="460" spans="1:22" x14ac:dyDescent="0.25">
      <c r="A460" s="6"/>
      <c r="B460" s="11"/>
      <c r="C460" s="12"/>
      <c r="D460" s="12"/>
      <c r="E460" s="8">
        <f t="shared" si="6"/>
        <v>0</v>
      </c>
      <c r="F460" s="10"/>
      <c r="G460" s="10"/>
      <c r="H460" s="9"/>
      <c r="I460" s="7"/>
      <c r="J460" s="7"/>
      <c r="K460" s="7">
        <f ca="1">IFERROR(IF(COUNTA(J$56:J460)=J$54,J460,FORECAST(D460,OFFSET(M$56:M$254,MATCH(D460,L$56:L$254,1)-1,0,2), OFFSET(L$56:L$254,MATCH(D460,L$56:L$254,1)-1,0,2))),"")</f>
        <v>0</v>
      </c>
      <c r="L460" s="7" t="str">
        <f t="array" ref="L460">IFERROR(INDEX(D$56:D$1054,SMALL(IF(ISNUMBER(J$56:J$1054),ROW(D$1:D$999),""),ROW(D405))),"")</f>
        <v/>
      </c>
      <c r="M460" s="7" t="str">
        <f t="array" ref="M460">IFERROR(INDEX(J$56:J$1054,SMALL(IF(ISNUMBER(J$56:J$1054),ROW(J$1:J$999),""),ROW(J405))),"")</f>
        <v/>
      </c>
      <c r="N460" s="7"/>
      <c r="O460" s="7"/>
      <c r="P460" s="7"/>
      <c r="Q460" s="7">
        <f ca="1">IFERROR(IF(COUNTA(P$56:P460)=P$54,P460,FORECAST(D460,OFFSET(S$56:S$254,MATCH(D460,R$56:R$254,1)-1,0,2), OFFSET(R$56:R$254,MATCH(D460,R$56:R$254,1)-1,0,2))),"")</f>
        <v>0</v>
      </c>
      <c r="R460" s="7" t="str">
        <f t="array" ref="R460">IFERROR(INDEX(E$56:E$1054,SMALL(IF(ISNUMBER(P$56:P$1054),ROW(E$1:E$999),""),ROW(J405))),"")</f>
        <v/>
      </c>
      <c r="S460" s="7" t="str">
        <f t="array" ref="S460">IFERROR(INDEX(P$56:P$1054,SMALL(IF(ISNUMBER(P$56:P$1054),ROW(P$1:P$999),""),ROW(P405))),"")</f>
        <v/>
      </c>
      <c r="T460" s="7"/>
      <c r="U460" s="7"/>
      <c r="V460" s="7"/>
    </row>
    <row r="461" spans="1:22" x14ac:dyDescent="0.25">
      <c r="A461" s="6"/>
      <c r="B461" s="11"/>
      <c r="C461" s="12"/>
      <c r="D461" s="12"/>
      <c r="E461" s="8">
        <f t="shared" si="6"/>
        <v>0</v>
      </c>
      <c r="F461" s="10"/>
      <c r="G461" s="10"/>
      <c r="H461" s="9"/>
      <c r="I461" s="7"/>
      <c r="J461" s="7"/>
      <c r="K461" s="7">
        <f ca="1">IFERROR(IF(COUNTA(J$56:J461)=J$54,J461,FORECAST(D461,OFFSET(M$56:M$254,MATCH(D461,L$56:L$254,1)-1,0,2), OFFSET(L$56:L$254,MATCH(D461,L$56:L$254,1)-1,0,2))),"")</f>
        <v>0</v>
      </c>
      <c r="L461" s="7" t="str">
        <f t="array" ref="L461">IFERROR(INDEX(D$56:D$1054,SMALL(IF(ISNUMBER(J$56:J$1054),ROW(D$1:D$999),""),ROW(D406))),"")</f>
        <v/>
      </c>
      <c r="M461" s="7" t="str">
        <f t="array" ref="M461">IFERROR(INDEX(J$56:J$1054,SMALL(IF(ISNUMBER(J$56:J$1054),ROW(J$1:J$999),""),ROW(J406))),"")</f>
        <v/>
      </c>
      <c r="N461" s="7"/>
      <c r="O461" s="7"/>
      <c r="P461" s="7"/>
      <c r="Q461" s="7">
        <f ca="1">IFERROR(IF(COUNTA(P$56:P461)=P$54,P461,FORECAST(D461,OFFSET(S$56:S$254,MATCH(D461,R$56:R$254,1)-1,0,2), OFFSET(R$56:R$254,MATCH(D461,R$56:R$254,1)-1,0,2))),"")</f>
        <v>0</v>
      </c>
      <c r="R461" s="7" t="str">
        <f t="array" ref="R461">IFERROR(INDEX(E$56:E$1054,SMALL(IF(ISNUMBER(P$56:P$1054),ROW(E$1:E$999),""),ROW(J406))),"")</f>
        <v/>
      </c>
      <c r="S461" s="7" t="str">
        <f t="array" ref="S461">IFERROR(INDEX(P$56:P$1054,SMALL(IF(ISNUMBER(P$56:P$1054),ROW(P$1:P$999),""),ROW(P406))),"")</f>
        <v/>
      </c>
      <c r="T461" s="7"/>
      <c r="U461" s="7"/>
      <c r="V461" s="7"/>
    </row>
    <row r="462" spans="1:22" x14ac:dyDescent="0.25">
      <c r="A462" s="6"/>
      <c r="B462" s="11"/>
      <c r="C462" s="12"/>
      <c r="D462" s="12"/>
      <c r="E462" s="8">
        <f t="shared" si="6"/>
        <v>0</v>
      </c>
      <c r="F462" s="10"/>
      <c r="G462" s="10"/>
      <c r="H462" s="9"/>
      <c r="I462" s="7"/>
      <c r="J462" s="7"/>
      <c r="K462" s="7">
        <f ca="1">IFERROR(IF(COUNTA(J$56:J462)=J$54,J462,FORECAST(D462,OFFSET(M$56:M$254,MATCH(D462,L$56:L$254,1)-1,0,2), OFFSET(L$56:L$254,MATCH(D462,L$56:L$254,1)-1,0,2))),"")</f>
        <v>0</v>
      </c>
      <c r="L462" s="7" t="str">
        <f t="array" ref="L462">IFERROR(INDEX(D$56:D$1054,SMALL(IF(ISNUMBER(J$56:J$1054),ROW(D$1:D$999),""),ROW(D407))),"")</f>
        <v/>
      </c>
      <c r="M462" s="7" t="str">
        <f t="array" ref="M462">IFERROR(INDEX(J$56:J$1054,SMALL(IF(ISNUMBER(J$56:J$1054),ROW(J$1:J$999),""),ROW(J407))),"")</f>
        <v/>
      </c>
      <c r="N462" s="7"/>
      <c r="O462" s="7"/>
      <c r="P462" s="7"/>
      <c r="Q462" s="7">
        <f ca="1">IFERROR(IF(COUNTA(P$56:P462)=P$54,P462,FORECAST(D462,OFFSET(S$56:S$254,MATCH(D462,R$56:R$254,1)-1,0,2), OFFSET(R$56:R$254,MATCH(D462,R$56:R$254,1)-1,0,2))),"")</f>
        <v>0</v>
      </c>
      <c r="R462" s="7" t="str">
        <f t="array" ref="R462">IFERROR(INDEX(E$56:E$1054,SMALL(IF(ISNUMBER(P$56:P$1054),ROW(E$1:E$999),""),ROW(J407))),"")</f>
        <v/>
      </c>
      <c r="S462" s="7" t="str">
        <f t="array" ref="S462">IFERROR(INDEX(P$56:P$1054,SMALL(IF(ISNUMBER(P$56:P$1054),ROW(P$1:P$999),""),ROW(P407))),"")</f>
        <v/>
      </c>
      <c r="T462" s="7"/>
      <c r="U462" s="7"/>
      <c r="V462" s="7"/>
    </row>
    <row r="463" spans="1:22" x14ac:dyDescent="0.25">
      <c r="A463" s="6"/>
      <c r="B463" s="11"/>
      <c r="C463" s="12"/>
      <c r="D463" s="12"/>
      <c r="E463" s="8">
        <f t="shared" si="6"/>
        <v>0</v>
      </c>
      <c r="F463" s="10"/>
      <c r="G463" s="10"/>
      <c r="H463" s="9"/>
      <c r="I463" s="7"/>
      <c r="J463" s="7"/>
      <c r="K463" s="7">
        <f ca="1">IFERROR(IF(COUNTA(J$56:J463)=J$54,J463,FORECAST(D463,OFFSET(M$56:M$254,MATCH(D463,L$56:L$254,1)-1,0,2), OFFSET(L$56:L$254,MATCH(D463,L$56:L$254,1)-1,0,2))),"")</f>
        <v>0</v>
      </c>
      <c r="L463" s="7" t="str">
        <f t="array" ref="L463">IFERROR(INDEX(D$56:D$1054,SMALL(IF(ISNUMBER(J$56:J$1054),ROW(D$1:D$999),""),ROW(D408))),"")</f>
        <v/>
      </c>
      <c r="M463" s="7" t="str">
        <f t="array" ref="M463">IFERROR(INDEX(J$56:J$1054,SMALL(IF(ISNUMBER(J$56:J$1054),ROW(J$1:J$999),""),ROW(J408))),"")</f>
        <v/>
      </c>
      <c r="N463" s="7"/>
      <c r="O463" s="7"/>
      <c r="P463" s="7"/>
      <c r="Q463" s="7">
        <f ca="1">IFERROR(IF(COUNTA(P$56:P463)=P$54,P463,FORECAST(D463,OFFSET(S$56:S$254,MATCH(D463,R$56:R$254,1)-1,0,2), OFFSET(R$56:R$254,MATCH(D463,R$56:R$254,1)-1,0,2))),"")</f>
        <v>0</v>
      </c>
      <c r="R463" s="7" t="str">
        <f t="array" ref="R463">IFERROR(INDEX(E$56:E$1054,SMALL(IF(ISNUMBER(P$56:P$1054),ROW(E$1:E$999),""),ROW(J408))),"")</f>
        <v/>
      </c>
      <c r="S463" s="7" t="str">
        <f t="array" ref="S463">IFERROR(INDEX(P$56:P$1054,SMALL(IF(ISNUMBER(P$56:P$1054),ROW(P$1:P$999),""),ROW(P408))),"")</f>
        <v/>
      </c>
      <c r="T463" s="7"/>
      <c r="U463" s="7"/>
      <c r="V463" s="7"/>
    </row>
    <row r="464" spans="1:22" x14ac:dyDescent="0.25">
      <c r="A464" s="6"/>
      <c r="B464" s="11"/>
      <c r="C464" s="12"/>
      <c r="D464" s="12"/>
      <c r="E464" s="8">
        <f t="shared" si="6"/>
        <v>0</v>
      </c>
      <c r="F464" s="10"/>
      <c r="G464" s="10"/>
      <c r="H464" s="9"/>
      <c r="I464" s="7"/>
      <c r="J464" s="7"/>
      <c r="K464" s="7">
        <f ca="1">IFERROR(IF(COUNTA(J$56:J464)=J$54,J464,FORECAST(D464,OFFSET(M$56:M$254,MATCH(D464,L$56:L$254,1)-1,0,2), OFFSET(L$56:L$254,MATCH(D464,L$56:L$254,1)-1,0,2))),"")</f>
        <v>0</v>
      </c>
      <c r="L464" s="7" t="str">
        <f t="array" ref="L464">IFERROR(INDEX(D$56:D$1054,SMALL(IF(ISNUMBER(J$56:J$1054),ROW(D$1:D$999),""),ROW(D409))),"")</f>
        <v/>
      </c>
      <c r="M464" s="7" t="str">
        <f t="array" ref="M464">IFERROR(INDEX(J$56:J$1054,SMALL(IF(ISNUMBER(J$56:J$1054),ROW(J$1:J$999),""),ROW(J409))),"")</f>
        <v/>
      </c>
      <c r="N464" s="7"/>
      <c r="O464" s="7"/>
      <c r="P464" s="7"/>
      <c r="Q464" s="7">
        <f ca="1">IFERROR(IF(COUNTA(P$56:P464)=P$54,P464,FORECAST(D464,OFFSET(S$56:S$254,MATCH(D464,R$56:R$254,1)-1,0,2), OFFSET(R$56:R$254,MATCH(D464,R$56:R$254,1)-1,0,2))),"")</f>
        <v>0</v>
      </c>
      <c r="R464" s="7" t="str">
        <f t="array" ref="R464">IFERROR(INDEX(E$56:E$1054,SMALL(IF(ISNUMBER(P$56:P$1054),ROW(E$1:E$999),""),ROW(J409))),"")</f>
        <v/>
      </c>
      <c r="S464" s="7" t="str">
        <f t="array" ref="S464">IFERROR(INDEX(P$56:P$1054,SMALL(IF(ISNUMBER(P$56:P$1054),ROW(P$1:P$999),""),ROW(P409))),"")</f>
        <v/>
      </c>
      <c r="T464" s="7"/>
      <c r="U464" s="7"/>
      <c r="V464" s="7"/>
    </row>
    <row r="465" spans="1:22" x14ac:dyDescent="0.25">
      <c r="A465" s="6"/>
      <c r="B465" s="11"/>
      <c r="C465" s="12"/>
      <c r="D465" s="12"/>
      <c r="E465" s="8">
        <f t="shared" si="6"/>
        <v>0</v>
      </c>
      <c r="F465" s="10"/>
      <c r="G465" s="10"/>
      <c r="H465" s="9"/>
      <c r="I465" s="7"/>
      <c r="J465" s="7"/>
      <c r="K465" s="7">
        <f ca="1">IFERROR(IF(COUNTA(J$56:J465)=J$54,J465,FORECAST(D465,OFFSET(M$56:M$254,MATCH(D465,L$56:L$254,1)-1,0,2), OFFSET(L$56:L$254,MATCH(D465,L$56:L$254,1)-1,0,2))),"")</f>
        <v>0</v>
      </c>
      <c r="L465" s="7" t="str">
        <f t="array" ref="L465">IFERROR(INDEX(D$56:D$1054,SMALL(IF(ISNUMBER(J$56:J$1054),ROW(D$1:D$999),""),ROW(D410))),"")</f>
        <v/>
      </c>
      <c r="M465" s="7" t="str">
        <f t="array" ref="M465">IFERROR(INDEX(J$56:J$1054,SMALL(IF(ISNUMBER(J$56:J$1054),ROW(J$1:J$999),""),ROW(J410))),"")</f>
        <v/>
      </c>
      <c r="N465" s="7"/>
      <c r="O465" s="7"/>
      <c r="P465" s="7"/>
      <c r="Q465" s="7">
        <f ca="1">IFERROR(IF(COUNTA(P$56:P465)=P$54,P465,FORECAST(D465,OFFSET(S$56:S$254,MATCH(D465,R$56:R$254,1)-1,0,2), OFFSET(R$56:R$254,MATCH(D465,R$56:R$254,1)-1,0,2))),"")</f>
        <v>0</v>
      </c>
      <c r="R465" s="7" t="str">
        <f t="array" ref="R465">IFERROR(INDEX(E$56:E$1054,SMALL(IF(ISNUMBER(P$56:P$1054),ROW(E$1:E$999),""),ROW(J410))),"")</f>
        <v/>
      </c>
      <c r="S465" s="7" t="str">
        <f t="array" ref="S465">IFERROR(INDEX(P$56:P$1054,SMALL(IF(ISNUMBER(P$56:P$1054),ROW(P$1:P$999),""),ROW(P410))),"")</f>
        <v/>
      </c>
      <c r="T465" s="7"/>
      <c r="U465" s="7"/>
      <c r="V465" s="7"/>
    </row>
    <row r="466" spans="1:22" x14ac:dyDescent="0.25">
      <c r="A466" s="6"/>
      <c r="B466" s="11"/>
      <c r="C466" s="12"/>
      <c r="D466" s="12"/>
      <c r="E466" s="8">
        <f t="shared" si="6"/>
        <v>0</v>
      </c>
      <c r="F466" s="10"/>
      <c r="G466" s="10"/>
      <c r="H466" s="9"/>
      <c r="I466" s="7"/>
      <c r="J466" s="7"/>
      <c r="K466" s="7">
        <f ca="1">IFERROR(IF(COUNTA(J$56:J466)=J$54,J466,FORECAST(D466,OFFSET(M$56:M$254,MATCH(D466,L$56:L$254,1)-1,0,2), OFFSET(L$56:L$254,MATCH(D466,L$56:L$254,1)-1,0,2))),"")</f>
        <v>0</v>
      </c>
      <c r="L466" s="7" t="str">
        <f t="array" ref="L466">IFERROR(INDEX(D$56:D$1054,SMALL(IF(ISNUMBER(J$56:J$1054),ROW(D$1:D$999),""),ROW(D411))),"")</f>
        <v/>
      </c>
      <c r="M466" s="7" t="str">
        <f t="array" ref="M466">IFERROR(INDEX(J$56:J$1054,SMALL(IF(ISNUMBER(J$56:J$1054),ROW(J$1:J$999),""),ROW(J411))),"")</f>
        <v/>
      </c>
      <c r="N466" s="7"/>
      <c r="O466" s="7"/>
      <c r="P466" s="7"/>
      <c r="Q466" s="7">
        <f ca="1">IFERROR(IF(COUNTA(P$56:P466)=P$54,P466,FORECAST(D466,OFFSET(S$56:S$254,MATCH(D466,R$56:R$254,1)-1,0,2), OFFSET(R$56:R$254,MATCH(D466,R$56:R$254,1)-1,0,2))),"")</f>
        <v>0</v>
      </c>
      <c r="R466" s="7" t="str">
        <f t="array" ref="R466">IFERROR(INDEX(E$56:E$1054,SMALL(IF(ISNUMBER(P$56:P$1054),ROW(E$1:E$999),""),ROW(J411))),"")</f>
        <v/>
      </c>
      <c r="S466" s="7" t="str">
        <f t="array" ref="S466">IFERROR(INDEX(P$56:P$1054,SMALL(IF(ISNUMBER(P$56:P$1054),ROW(P$1:P$999),""),ROW(P411))),"")</f>
        <v/>
      </c>
      <c r="T466" s="7"/>
      <c r="U466" s="7"/>
      <c r="V466" s="7"/>
    </row>
    <row r="467" spans="1:22" x14ac:dyDescent="0.25">
      <c r="A467" s="6"/>
      <c r="B467" s="11"/>
      <c r="C467" s="12"/>
      <c r="D467" s="12"/>
      <c r="E467" s="8">
        <f t="shared" si="6"/>
        <v>0</v>
      </c>
      <c r="F467" s="10"/>
      <c r="G467" s="10"/>
      <c r="H467" s="9"/>
      <c r="I467" s="7"/>
      <c r="J467" s="7"/>
      <c r="K467" s="7">
        <f ca="1">IFERROR(IF(COUNTA(J$56:J467)=J$54,J467,FORECAST(D467,OFFSET(M$56:M$254,MATCH(D467,L$56:L$254,1)-1,0,2), OFFSET(L$56:L$254,MATCH(D467,L$56:L$254,1)-1,0,2))),"")</f>
        <v>0</v>
      </c>
      <c r="L467" s="7" t="str">
        <f t="array" ref="L467">IFERROR(INDEX(D$56:D$1054,SMALL(IF(ISNUMBER(J$56:J$1054),ROW(D$1:D$999),""),ROW(D412))),"")</f>
        <v/>
      </c>
      <c r="M467" s="7" t="str">
        <f t="array" ref="M467">IFERROR(INDEX(J$56:J$1054,SMALL(IF(ISNUMBER(J$56:J$1054),ROW(J$1:J$999),""),ROW(J412))),"")</f>
        <v/>
      </c>
      <c r="N467" s="7"/>
      <c r="O467" s="7"/>
      <c r="P467" s="7"/>
      <c r="Q467" s="7">
        <f ca="1">IFERROR(IF(COUNTA(P$56:P467)=P$54,P467,FORECAST(D467,OFFSET(S$56:S$254,MATCH(D467,R$56:R$254,1)-1,0,2), OFFSET(R$56:R$254,MATCH(D467,R$56:R$254,1)-1,0,2))),"")</f>
        <v>0</v>
      </c>
      <c r="R467" s="7" t="str">
        <f t="array" ref="R467">IFERROR(INDEX(E$56:E$1054,SMALL(IF(ISNUMBER(P$56:P$1054),ROW(E$1:E$999),""),ROW(J412))),"")</f>
        <v/>
      </c>
      <c r="S467" s="7" t="str">
        <f t="array" ref="S467">IFERROR(INDEX(P$56:P$1054,SMALL(IF(ISNUMBER(P$56:P$1054),ROW(P$1:P$999),""),ROW(P412))),"")</f>
        <v/>
      </c>
      <c r="T467" s="7"/>
      <c r="U467" s="7"/>
      <c r="V467" s="7"/>
    </row>
    <row r="468" spans="1:22" x14ac:dyDescent="0.25">
      <c r="A468" s="6"/>
      <c r="B468" s="11"/>
      <c r="C468" s="12"/>
      <c r="D468" s="12"/>
      <c r="E468" s="8">
        <f t="shared" si="6"/>
        <v>0</v>
      </c>
      <c r="F468" s="10"/>
      <c r="G468" s="10"/>
      <c r="H468" s="9"/>
      <c r="I468" s="7"/>
      <c r="J468" s="7"/>
      <c r="K468" s="7">
        <f ca="1">IFERROR(IF(COUNTA(J$56:J468)=J$54,J468,FORECAST(D468,OFFSET(M$56:M$254,MATCH(D468,L$56:L$254,1)-1,0,2), OFFSET(L$56:L$254,MATCH(D468,L$56:L$254,1)-1,0,2))),"")</f>
        <v>0</v>
      </c>
      <c r="L468" s="7" t="str">
        <f t="array" ref="L468">IFERROR(INDEX(D$56:D$1054,SMALL(IF(ISNUMBER(J$56:J$1054),ROW(D$1:D$999),""),ROW(D413))),"")</f>
        <v/>
      </c>
      <c r="M468" s="7" t="str">
        <f t="array" ref="M468">IFERROR(INDEX(J$56:J$1054,SMALL(IF(ISNUMBER(J$56:J$1054),ROW(J$1:J$999),""),ROW(J413))),"")</f>
        <v/>
      </c>
      <c r="N468" s="7"/>
      <c r="O468" s="7"/>
      <c r="P468" s="7"/>
      <c r="Q468" s="7">
        <f ca="1">IFERROR(IF(COUNTA(P$56:P468)=P$54,P468,FORECAST(D468,OFFSET(S$56:S$254,MATCH(D468,R$56:R$254,1)-1,0,2), OFFSET(R$56:R$254,MATCH(D468,R$56:R$254,1)-1,0,2))),"")</f>
        <v>0</v>
      </c>
      <c r="R468" s="7" t="str">
        <f t="array" ref="R468">IFERROR(INDEX(E$56:E$1054,SMALL(IF(ISNUMBER(P$56:P$1054),ROW(E$1:E$999),""),ROW(J413))),"")</f>
        <v/>
      </c>
      <c r="S468" s="7" t="str">
        <f t="array" ref="S468">IFERROR(INDEX(P$56:P$1054,SMALL(IF(ISNUMBER(P$56:P$1054),ROW(P$1:P$999),""),ROW(P413))),"")</f>
        <v/>
      </c>
      <c r="T468" s="7"/>
      <c r="U468" s="7"/>
      <c r="V468" s="7"/>
    </row>
    <row r="469" spans="1:22" x14ac:dyDescent="0.25">
      <c r="A469" s="6"/>
      <c r="B469" s="11"/>
      <c r="C469" s="12"/>
      <c r="D469" s="12"/>
      <c r="E469" s="8">
        <f t="shared" si="6"/>
        <v>0</v>
      </c>
      <c r="F469" s="10"/>
      <c r="G469" s="10"/>
      <c r="H469" s="9"/>
      <c r="I469" s="7"/>
      <c r="J469" s="7"/>
      <c r="K469" s="7">
        <f ca="1">IFERROR(IF(COUNTA(J$56:J469)=J$54,J469,FORECAST(D469,OFFSET(M$56:M$254,MATCH(D469,L$56:L$254,1)-1,0,2), OFFSET(L$56:L$254,MATCH(D469,L$56:L$254,1)-1,0,2))),"")</f>
        <v>0</v>
      </c>
      <c r="L469" s="7" t="str">
        <f t="array" ref="L469">IFERROR(INDEX(D$56:D$1054,SMALL(IF(ISNUMBER(J$56:J$1054),ROW(D$1:D$999),""),ROW(D414))),"")</f>
        <v/>
      </c>
      <c r="M469" s="7" t="str">
        <f t="array" ref="M469">IFERROR(INDEX(J$56:J$1054,SMALL(IF(ISNUMBER(J$56:J$1054),ROW(J$1:J$999),""),ROW(J414))),"")</f>
        <v/>
      </c>
      <c r="N469" s="7"/>
      <c r="O469" s="7"/>
      <c r="P469" s="7"/>
      <c r="Q469" s="7">
        <f ca="1">IFERROR(IF(COUNTA(P$56:P469)=P$54,P469,FORECAST(D469,OFFSET(S$56:S$254,MATCH(D469,R$56:R$254,1)-1,0,2), OFFSET(R$56:R$254,MATCH(D469,R$56:R$254,1)-1,0,2))),"")</f>
        <v>0</v>
      </c>
      <c r="R469" s="7" t="str">
        <f t="array" ref="R469">IFERROR(INDEX(E$56:E$1054,SMALL(IF(ISNUMBER(P$56:P$1054),ROW(E$1:E$999),""),ROW(J414))),"")</f>
        <v/>
      </c>
      <c r="S469" s="7" t="str">
        <f t="array" ref="S469">IFERROR(INDEX(P$56:P$1054,SMALL(IF(ISNUMBER(P$56:P$1054),ROW(P$1:P$999),""),ROW(P414))),"")</f>
        <v/>
      </c>
      <c r="T469" s="7"/>
      <c r="U469" s="7"/>
      <c r="V469" s="7"/>
    </row>
    <row r="470" spans="1:22" x14ac:dyDescent="0.25">
      <c r="A470" s="6"/>
      <c r="B470" s="11"/>
      <c r="C470" s="12"/>
      <c r="D470" s="12"/>
      <c r="E470" s="8">
        <f t="shared" si="6"/>
        <v>0</v>
      </c>
      <c r="F470" s="10"/>
      <c r="G470" s="10"/>
      <c r="H470" s="9"/>
      <c r="I470" s="7"/>
      <c r="J470" s="7"/>
      <c r="K470" s="7">
        <f ca="1">IFERROR(IF(COUNTA(J$56:J470)=J$54,J470,FORECAST(D470,OFFSET(M$56:M$254,MATCH(D470,L$56:L$254,1)-1,0,2), OFFSET(L$56:L$254,MATCH(D470,L$56:L$254,1)-1,0,2))),"")</f>
        <v>0</v>
      </c>
      <c r="L470" s="7" t="str">
        <f t="array" ref="L470">IFERROR(INDEX(D$56:D$1054,SMALL(IF(ISNUMBER(J$56:J$1054),ROW(D$1:D$999),""),ROW(D415))),"")</f>
        <v/>
      </c>
      <c r="M470" s="7" t="str">
        <f t="array" ref="M470">IFERROR(INDEX(J$56:J$1054,SMALL(IF(ISNUMBER(J$56:J$1054),ROW(J$1:J$999),""),ROW(J415))),"")</f>
        <v/>
      </c>
      <c r="N470" s="7"/>
      <c r="O470" s="7"/>
      <c r="P470" s="7"/>
      <c r="Q470" s="7">
        <f ca="1">IFERROR(IF(COUNTA(P$56:P470)=P$54,P470,FORECAST(D470,OFFSET(S$56:S$254,MATCH(D470,R$56:R$254,1)-1,0,2), OFFSET(R$56:R$254,MATCH(D470,R$56:R$254,1)-1,0,2))),"")</f>
        <v>0</v>
      </c>
      <c r="R470" s="7" t="str">
        <f t="array" ref="R470">IFERROR(INDEX(E$56:E$1054,SMALL(IF(ISNUMBER(P$56:P$1054),ROW(E$1:E$999),""),ROW(J415))),"")</f>
        <v/>
      </c>
      <c r="S470" s="7" t="str">
        <f t="array" ref="S470">IFERROR(INDEX(P$56:P$1054,SMALL(IF(ISNUMBER(P$56:P$1054),ROW(P$1:P$999),""),ROW(P415))),"")</f>
        <v/>
      </c>
      <c r="T470" s="7"/>
      <c r="U470" s="7"/>
      <c r="V470" s="7"/>
    </row>
    <row r="471" spans="1:22" x14ac:dyDescent="0.25">
      <c r="A471" s="6"/>
      <c r="B471" s="11"/>
      <c r="C471" s="12"/>
      <c r="D471" s="12"/>
      <c r="E471" s="8">
        <f t="shared" si="6"/>
        <v>0</v>
      </c>
      <c r="F471" s="10"/>
      <c r="G471" s="10"/>
      <c r="H471" s="9"/>
      <c r="I471" s="7"/>
      <c r="J471" s="7"/>
      <c r="K471" s="7">
        <f ca="1">IFERROR(IF(COUNTA(J$56:J471)=J$54,J471,FORECAST(D471,OFFSET(M$56:M$254,MATCH(D471,L$56:L$254,1)-1,0,2), OFFSET(L$56:L$254,MATCH(D471,L$56:L$254,1)-1,0,2))),"")</f>
        <v>0</v>
      </c>
      <c r="L471" s="7" t="str">
        <f t="array" ref="L471">IFERROR(INDEX(D$56:D$1054,SMALL(IF(ISNUMBER(J$56:J$1054),ROW(D$1:D$999),""),ROW(D416))),"")</f>
        <v/>
      </c>
      <c r="M471" s="7" t="str">
        <f t="array" ref="M471">IFERROR(INDEX(J$56:J$1054,SMALL(IF(ISNUMBER(J$56:J$1054),ROW(J$1:J$999),""),ROW(J416))),"")</f>
        <v/>
      </c>
      <c r="N471" s="7"/>
      <c r="O471" s="7"/>
      <c r="P471" s="7"/>
      <c r="Q471" s="7">
        <f ca="1">IFERROR(IF(COUNTA(P$56:P471)=P$54,P471,FORECAST(D471,OFFSET(S$56:S$254,MATCH(D471,R$56:R$254,1)-1,0,2), OFFSET(R$56:R$254,MATCH(D471,R$56:R$254,1)-1,0,2))),"")</f>
        <v>0</v>
      </c>
      <c r="R471" s="7" t="str">
        <f t="array" ref="R471">IFERROR(INDEX(E$56:E$1054,SMALL(IF(ISNUMBER(P$56:P$1054),ROW(E$1:E$999),""),ROW(J416))),"")</f>
        <v/>
      </c>
      <c r="S471" s="7" t="str">
        <f t="array" ref="S471">IFERROR(INDEX(P$56:P$1054,SMALL(IF(ISNUMBER(P$56:P$1054),ROW(P$1:P$999),""),ROW(P416))),"")</f>
        <v/>
      </c>
      <c r="T471" s="7"/>
      <c r="U471" s="7"/>
      <c r="V471" s="7"/>
    </row>
    <row r="472" spans="1:22" x14ac:dyDescent="0.25">
      <c r="A472" s="6"/>
      <c r="B472" s="11"/>
      <c r="C472" s="12"/>
      <c r="D472" s="12"/>
      <c r="E472" s="8">
        <f t="shared" si="6"/>
        <v>0</v>
      </c>
      <c r="F472" s="10"/>
      <c r="G472" s="10"/>
      <c r="H472" s="9"/>
      <c r="I472" s="7"/>
      <c r="J472" s="7"/>
      <c r="K472" s="7">
        <f ca="1">IFERROR(IF(COUNTA(J$56:J472)=J$54,J472,FORECAST(D472,OFFSET(M$56:M$254,MATCH(D472,L$56:L$254,1)-1,0,2), OFFSET(L$56:L$254,MATCH(D472,L$56:L$254,1)-1,0,2))),"")</f>
        <v>0</v>
      </c>
      <c r="L472" s="7" t="str">
        <f t="array" ref="L472">IFERROR(INDEX(D$56:D$1054,SMALL(IF(ISNUMBER(J$56:J$1054),ROW(D$1:D$999),""),ROW(D417))),"")</f>
        <v/>
      </c>
      <c r="M472" s="7" t="str">
        <f t="array" ref="M472">IFERROR(INDEX(J$56:J$1054,SMALL(IF(ISNUMBER(J$56:J$1054),ROW(J$1:J$999),""),ROW(J417))),"")</f>
        <v/>
      </c>
      <c r="N472" s="7"/>
      <c r="O472" s="7"/>
      <c r="P472" s="7"/>
      <c r="Q472" s="7">
        <f ca="1">IFERROR(IF(COUNTA(P$56:P472)=P$54,P472,FORECAST(D472,OFFSET(S$56:S$254,MATCH(D472,R$56:R$254,1)-1,0,2), OFFSET(R$56:R$254,MATCH(D472,R$56:R$254,1)-1,0,2))),"")</f>
        <v>0</v>
      </c>
      <c r="R472" s="7" t="str">
        <f t="array" ref="R472">IFERROR(INDEX(E$56:E$1054,SMALL(IF(ISNUMBER(P$56:P$1054),ROW(E$1:E$999),""),ROW(J417))),"")</f>
        <v/>
      </c>
      <c r="S472" s="7" t="str">
        <f t="array" ref="S472">IFERROR(INDEX(P$56:P$1054,SMALL(IF(ISNUMBER(P$56:P$1054),ROW(P$1:P$999),""),ROW(P417))),"")</f>
        <v/>
      </c>
      <c r="T472" s="7"/>
      <c r="U472" s="7"/>
      <c r="V472" s="7"/>
    </row>
    <row r="473" spans="1:22" x14ac:dyDescent="0.25">
      <c r="A473" s="6"/>
      <c r="B473" s="11"/>
      <c r="C473" s="12"/>
      <c r="D473" s="12"/>
      <c r="E473" s="8">
        <f t="shared" si="6"/>
        <v>0</v>
      </c>
      <c r="F473" s="10"/>
      <c r="G473" s="10"/>
      <c r="H473" s="9"/>
      <c r="I473" s="7"/>
      <c r="J473" s="7"/>
      <c r="K473" s="7">
        <f ca="1">IFERROR(IF(COUNTA(J$56:J473)=J$54,J473,FORECAST(D473,OFFSET(M$56:M$254,MATCH(D473,L$56:L$254,1)-1,0,2), OFFSET(L$56:L$254,MATCH(D473,L$56:L$254,1)-1,0,2))),"")</f>
        <v>0</v>
      </c>
      <c r="L473" s="7" t="str">
        <f t="array" ref="L473">IFERROR(INDEX(D$56:D$1054,SMALL(IF(ISNUMBER(J$56:J$1054),ROW(D$1:D$999),""),ROW(D418))),"")</f>
        <v/>
      </c>
      <c r="M473" s="7" t="str">
        <f t="array" ref="M473">IFERROR(INDEX(J$56:J$1054,SMALL(IF(ISNUMBER(J$56:J$1054),ROW(J$1:J$999),""),ROW(J418))),"")</f>
        <v/>
      </c>
      <c r="N473" s="7"/>
      <c r="O473" s="7"/>
      <c r="P473" s="7"/>
      <c r="Q473" s="7">
        <f ca="1">IFERROR(IF(COUNTA(P$56:P473)=P$54,P473,FORECAST(D473,OFFSET(S$56:S$254,MATCH(D473,R$56:R$254,1)-1,0,2), OFFSET(R$56:R$254,MATCH(D473,R$56:R$254,1)-1,0,2))),"")</f>
        <v>0</v>
      </c>
      <c r="R473" s="7" t="str">
        <f t="array" ref="R473">IFERROR(INDEX(E$56:E$1054,SMALL(IF(ISNUMBER(P$56:P$1054),ROW(E$1:E$999),""),ROW(J418))),"")</f>
        <v/>
      </c>
      <c r="S473" s="7" t="str">
        <f t="array" ref="S473">IFERROR(INDEX(P$56:P$1054,SMALL(IF(ISNUMBER(P$56:P$1054),ROW(P$1:P$999),""),ROW(P418))),"")</f>
        <v/>
      </c>
      <c r="T473" s="7"/>
      <c r="U473" s="7"/>
      <c r="V473" s="7"/>
    </row>
    <row r="474" spans="1:22" x14ac:dyDescent="0.25">
      <c r="A474" s="6"/>
      <c r="B474" s="11"/>
      <c r="C474" s="12"/>
      <c r="D474" s="12"/>
      <c r="E474" s="8">
        <f t="shared" si="6"/>
        <v>0</v>
      </c>
      <c r="F474" s="10"/>
      <c r="G474" s="10"/>
      <c r="H474" s="9"/>
      <c r="I474" s="7"/>
      <c r="J474" s="7"/>
      <c r="K474" s="7">
        <f ca="1">IFERROR(IF(COUNTA(J$56:J474)=J$54,J474,FORECAST(D474,OFFSET(M$56:M$254,MATCH(D474,L$56:L$254,1)-1,0,2), OFFSET(L$56:L$254,MATCH(D474,L$56:L$254,1)-1,0,2))),"")</f>
        <v>0</v>
      </c>
      <c r="L474" s="7" t="str">
        <f t="array" ref="L474">IFERROR(INDEX(D$56:D$1054,SMALL(IF(ISNUMBER(J$56:J$1054),ROW(D$1:D$999),""),ROW(D419))),"")</f>
        <v/>
      </c>
      <c r="M474" s="7" t="str">
        <f t="array" ref="M474">IFERROR(INDEX(J$56:J$1054,SMALL(IF(ISNUMBER(J$56:J$1054),ROW(J$1:J$999),""),ROW(J419))),"")</f>
        <v/>
      </c>
      <c r="N474" s="7"/>
      <c r="O474" s="7"/>
      <c r="P474" s="7"/>
      <c r="Q474" s="7">
        <f ca="1">IFERROR(IF(COUNTA(P$56:P474)=P$54,P474,FORECAST(D474,OFFSET(S$56:S$254,MATCH(D474,R$56:R$254,1)-1,0,2), OFFSET(R$56:R$254,MATCH(D474,R$56:R$254,1)-1,0,2))),"")</f>
        <v>0</v>
      </c>
      <c r="R474" s="7" t="str">
        <f t="array" ref="R474">IFERROR(INDEX(E$56:E$1054,SMALL(IF(ISNUMBER(P$56:P$1054),ROW(E$1:E$999),""),ROW(J419))),"")</f>
        <v/>
      </c>
      <c r="S474" s="7" t="str">
        <f t="array" ref="S474">IFERROR(INDEX(P$56:P$1054,SMALL(IF(ISNUMBER(P$56:P$1054),ROW(P$1:P$999),""),ROW(P419))),"")</f>
        <v/>
      </c>
      <c r="T474" s="7"/>
      <c r="U474" s="7"/>
      <c r="V474" s="7"/>
    </row>
    <row r="475" spans="1:22" x14ac:dyDescent="0.25">
      <c r="A475" s="6"/>
      <c r="B475" s="11"/>
      <c r="C475" s="12"/>
      <c r="D475" s="12"/>
      <c r="E475" s="8">
        <f t="shared" si="6"/>
        <v>0</v>
      </c>
      <c r="F475" s="10"/>
      <c r="G475" s="10"/>
      <c r="H475" s="9"/>
      <c r="I475" s="7"/>
      <c r="J475" s="7"/>
      <c r="K475" s="7">
        <f ca="1">IFERROR(IF(COUNTA(J$56:J475)=J$54,J475,FORECAST(D475,OFFSET(M$56:M$254,MATCH(D475,L$56:L$254,1)-1,0,2), OFFSET(L$56:L$254,MATCH(D475,L$56:L$254,1)-1,0,2))),"")</f>
        <v>0</v>
      </c>
      <c r="L475" s="7" t="str">
        <f t="array" ref="L475">IFERROR(INDEX(D$56:D$1054,SMALL(IF(ISNUMBER(J$56:J$1054),ROW(D$1:D$999),""),ROW(D420))),"")</f>
        <v/>
      </c>
      <c r="M475" s="7" t="str">
        <f t="array" ref="M475">IFERROR(INDEX(J$56:J$1054,SMALL(IF(ISNUMBER(J$56:J$1054),ROW(J$1:J$999),""),ROW(J420))),"")</f>
        <v/>
      </c>
      <c r="N475" s="7"/>
      <c r="O475" s="7"/>
      <c r="P475" s="7"/>
      <c r="Q475" s="7">
        <f ca="1">IFERROR(IF(COUNTA(P$56:P475)=P$54,P475,FORECAST(D475,OFFSET(S$56:S$254,MATCH(D475,R$56:R$254,1)-1,0,2), OFFSET(R$56:R$254,MATCH(D475,R$56:R$254,1)-1,0,2))),"")</f>
        <v>0</v>
      </c>
      <c r="R475" s="7" t="str">
        <f t="array" ref="R475">IFERROR(INDEX(E$56:E$1054,SMALL(IF(ISNUMBER(P$56:P$1054),ROW(E$1:E$999),""),ROW(J420))),"")</f>
        <v/>
      </c>
      <c r="S475" s="7" t="str">
        <f t="array" ref="S475">IFERROR(INDEX(P$56:P$1054,SMALL(IF(ISNUMBER(P$56:P$1054),ROW(P$1:P$999),""),ROW(P420))),"")</f>
        <v/>
      </c>
      <c r="T475" s="7"/>
      <c r="U475" s="7"/>
      <c r="V475" s="7"/>
    </row>
    <row r="476" spans="1:22" x14ac:dyDescent="0.25">
      <c r="A476" s="6"/>
      <c r="B476" s="11"/>
      <c r="C476" s="12"/>
      <c r="D476" s="12"/>
      <c r="E476" s="8">
        <f t="shared" si="6"/>
        <v>0</v>
      </c>
      <c r="F476" s="10"/>
      <c r="G476" s="10"/>
      <c r="H476" s="9"/>
      <c r="I476" s="7"/>
      <c r="J476" s="7"/>
      <c r="K476" s="7">
        <f ca="1">IFERROR(IF(COUNTA(J$56:J476)=J$54,J476,FORECAST(D476,OFFSET(M$56:M$254,MATCH(D476,L$56:L$254,1)-1,0,2), OFFSET(L$56:L$254,MATCH(D476,L$56:L$254,1)-1,0,2))),"")</f>
        <v>0</v>
      </c>
      <c r="L476" s="7" t="str">
        <f t="array" ref="L476">IFERROR(INDEX(D$56:D$1054,SMALL(IF(ISNUMBER(J$56:J$1054),ROW(D$1:D$999),""),ROW(D421))),"")</f>
        <v/>
      </c>
      <c r="M476" s="7" t="str">
        <f t="array" ref="M476">IFERROR(INDEX(J$56:J$1054,SMALL(IF(ISNUMBER(J$56:J$1054),ROW(J$1:J$999),""),ROW(J421))),"")</f>
        <v/>
      </c>
      <c r="N476" s="7"/>
      <c r="O476" s="7"/>
      <c r="P476" s="7"/>
      <c r="Q476" s="7">
        <f ca="1">IFERROR(IF(COUNTA(P$56:P476)=P$54,P476,FORECAST(D476,OFFSET(S$56:S$254,MATCH(D476,R$56:R$254,1)-1,0,2), OFFSET(R$56:R$254,MATCH(D476,R$56:R$254,1)-1,0,2))),"")</f>
        <v>0</v>
      </c>
      <c r="R476" s="7" t="str">
        <f t="array" ref="R476">IFERROR(INDEX(E$56:E$1054,SMALL(IF(ISNUMBER(P$56:P$1054),ROW(E$1:E$999),""),ROW(J421))),"")</f>
        <v/>
      </c>
      <c r="S476" s="7" t="str">
        <f t="array" ref="S476">IFERROR(INDEX(P$56:P$1054,SMALL(IF(ISNUMBER(P$56:P$1054),ROW(P$1:P$999),""),ROW(P421))),"")</f>
        <v/>
      </c>
      <c r="T476" s="7"/>
      <c r="U476" s="7"/>
      <c r="V476" s="7"/>
    </row>
    <row r="477" spans="1:22" x14ac:dyDescent="0.25">
      <c r="A477" s="6"/>
      <c r="B477" s="11"/>
      <c r="C477" s="12"/>
      <c r="D477" s="12"/>
      <c r="E477" s="8">
        <f t="shared" si="6"/>
        <v>0</v>
      </c>
      <c r="F477" s="10"/>
      <c r="G477" s="10"/>
      <c r="H477" s="9"/>
      <c r="I477" s="7"/>
      <c r="J477" s="7"/>
      <c r="K477" s="7">
        <f ca="1">IFERROR(IF(COUNTA(J$56:J477)=J$54,J477,FORECAST(D477,OFFSET(M$56:M$254,MATCH(D477,L$56:L$254,1)-1,0,2), OFFSET(L$56:L$254,MATCH(D477,L$56:L$254,1)-1,0,2))),"")</f>
        <v>0</v>
      </c>
      <c r="L477" s="7" t="str">
        <f t="array" ref="L477">IFERROR(INDEX(D$56:D$1054,SMALL(IF(ISNUMBER(J$56:J$1054),ROW(D$1:D$999),""),ROW(D422))),"")</f>
        <v/>
      </c>
      <c r="M477" s="7" t="str">
        <f t="array" ref="M477">IFERROR(INDEX(J$56:J$1054,SMALL(IF(ISNUMBER(J$56:J$1054),ROW(J$1:J$999),""),ROW(J422))),"")</f>
        <v/>
      </c>
      <c r="N477" s="7"/>
      <c r="O477" s="7"/>
      <c r="P477" s="7"/>
      <c r="Q477" s="7">
        <f ca="1">IFERROR(IF(COUNTA(P$56:P477)=P$54,P477,FORECAST(D477,OFFSET(S$56:S$254,MATCH(D477,R$56:R$254,1)-1,0,2), OFFSET(R$56:R$254,MATCH(D477,R$56:R$254,1)-1,0,2))),"")</f>
        <v>0</v>
      </c>
      <c r="R477" s="7" t="str">
        <f t="array" ref="R477">IFERROR(INDEX(E$56:E$1054,SMALL(IF(ISNUMBER(P$56:P$1054),ROW(E$1:E$999),""),ROW(J422))),"")</f>
        <v/>
      </c>
      <c r="S477" s="7" t="str">
        <f t="array" ref="S477">IFERROR(INDEX(P$56:P$1054,SMALL(IF(ISNUMBER(P$56:P$1054),ROW(P$1:P$999),""),ROW(P422))),"")</f>
        <v/>
      </c>
      <c r="T477" s="7"/>
      <c r="U477" s="7"/>
      <c r="V477" s="7"/>
    </row>
    <row r="478" spans="1:22" x14ac:dyDescent="0.25">
      <c r="A478" s="6"/>
      <c r="B478" s="11"/>
      <c r="C478" s="12"/>
      <c r="D478" s="12"/>
      <c r="E478" s="8">
        <f t="shared" si="6"/>
        <v>0</v>
      </c>
      <c r="F478" s="10"/>
      <c r="G478" s="10"/>
      <c r="H478" s="9"/>
      <c r="I478" s="7"/>
      <c r="J478" s="7"/>
      <c r="K478" s="7">
        <f ca="1">IFERROR(IF(COUNTA(J$56:J478)=J$54,J478,FORECAST(D478,OFFSET(M$56:M$254,MATCH(D478,L$56:L$254,1)-1,0,2), OFFSET(L$56:L$254,MATCH(D478,L$56:L$254,1)-1,0,2))),"")</f>
        <v>0</v>
      </c>
      <c r="L478" s="7" t="str">
        <f t="array" ref="L478">IFERROR(INDEX(D$56:D$1054,SMALL(IF(ISNUMBER(J$56:J$1054),ROW(D$1:D$999),""),ROW(D423))),"")</f>
        <v/>
      </c>
      <c r="M478" s="7" t="str">
        <f t="array" ref="M478">IFERROR(INDEX(J$56:J$1054,SMALL(IF(ISNUMBER(J$56:J$1054),ROW(J$1:J$999),""),ROW(J423))),"")</f>
        <v/>
      </c>
      <c r="N478" s="7"/>
      <c r="O478" s="7"/>
      <c r="P478" s="7"/>
      <c r="Q478" s="7">
        <f ca="1">IFERROR(IF(COUNTA(P$56:P478)=P$54,P478,FORECAST(D478,OFFSET(S$56:S$254,MATCH(D478,R$56:R$254,1)-1,0,2), OFFSET(R$56:R$254,MATCH(D478,R$56:R$254,1)-1,0,2))),"")</f>
        <v>0</v>
      </c>
      <c r="R478" s="7" t="str">
        <f t="array" ref="R478">IFERROR(INDEX(E$56:E$1054,SMALL(IF(ISNUMBER(P$56:P$1054),ROW(E$1:E$999),""),ROW(J423))),"")</f>
        <v/>
      </c>
      <c r="S478" s="7" t="str">
        <f t="array" ref="S478">IFERROR(INDEX(P$56:P$1054,SMALL(IF(ISNUMBER(P$56:P$1054),ROW(P$1:P$999),""),ROW(P423))),"")</f>
        <v/>
      </c>
      <c r="T478" s="7"/>
      <c r="U478" s="7"/>
      <c r="V478" s="7"/>
    </row>
    <row r="479" spans="1:22" x14ac:dyDescent="0.25">
      <c r="A479" s="6"/>
      <c r="B479" s="11"/>
      <c r="C479" s="12"/>
      <c r="D479" s="12"/>
      <c r="E479" s="8">
        <f t="shared" si="6"/>
        <v>0</v>
      </c>
      <c r="F479" s="10"/>
      <c r="G479" s="10"/>
      <c r="H479" s="9"/>
      <c r="I479" s="7"/>
      <c r="J479" s="7"/>
      <c r="K479" s="7">
        <f ca="1">IFERROR(IF(COUNTA(J$56:J479)=J$54,J479,FORECAST(D479,OFFSET(M$56:M$254,MATCH(D479,L$56:L$254,1)-1,0,2), OFFSET(L$56:L$254,MATCH(D479,L$56:L$254,1)-1,0,2))),"")</f>
        <v>0</v>
      </c>
      <c r="L479" s="7" t="str">
        <f t="array" ref="L479">IFERROR(INDEX(D$56:D$1054,SMALL(IF(ISNUMBER(J$56:J$1054),ROW(D$1:D$999),""),ROW(D424))),"")</f>
        <v/>
      </c>
      <c r="M479" s="7" t="str">
        <f t="array" ref="M479">IFERROR(INDEX(J$56:J$1054,SMALL(IF(ISNUMBER(J$56:J$1054),ROW(J$1:J$999),""),ROW(J424))),"")</f>
        <v/>
      </c>
      <c r="N479" s="7"/>
      <c r="O479" s="7"/>
      <c r="P479" s="7"/>
      <c r="Q479" s="7">
        <f ca="1">IFERROR(IF(COUNTA(P$56:P479)=P$54,P479,FORECAST(D479,OFFSET(S$56:S$254,MATCH(D479,R$56:R$254,1)-1,0,2), OFFSET(R$56:R$254,MATCH(D479,R$56:R$254,1)-1,0,2))),"")</f>
        <v>0</v>
      </c>
      <c r="R479" s="7" t="str">
        <f t="array" ref="R479">IFERROR(INDEX(E$56:E$1054,SMALL(IF(ISNUMBER(P$56:P$1054),ROW(E$1:E$999),""),ROW(J424))),"")</f>
        <v/>
      </c>
      <c r="S479" s="7" t="str">
        <f t="array" ref="S479">IFERROR(INDEX(P$56:P$1054,SMALL(IF(ISNUMBER(P$56:P$1054),ROW(P$1:P$999),""),ROW(P424))),"")</f>
        <v/>
      </c>
      <c r="T479" s="7"/>
      <c r="U479" s="7"/>
      <c r="V479" s="7"/>
    </row>
    <row r="480" spans="1:22" x14ac:dyDescent="0.25">
      <c r="A480" s="6"/>
      <c r="B480" s="11"/>
      <c r="C480" s="12"/>
      <c r="D480" s="12"/>
      <c r="E480" s="8">
        <f t="shared" si="6"/>
        <v>0</v>
      </c>
      <c r="F480" s="10"/>
      <c r="G480" s="10"/>
      <c r="H480" s="9"/>
      <c r="I480" s="7"/>
      <c r="J480" s="7"/>
      <c r="K480" s="7">
        <f ca="1">IFERROR(IF(COUNTA(J$56:J480)=J$54,J480,FORECAST(D480,OFFSET(M$56:M$254,MATCH(D480,L$56:L$254,1)-1,0,2), OFFSET(L$56:L$254,MATCH(D480,L$56:L$254,1)-1,0,2))),"")</f>
        <v>0</v>
      </c>
      <c r="L480" s="7" t="str">
        <f t="array" ref="L480">IFERROR(INDEX(D$56:D$1054,SMALL(IF(ISNUMBER(J$56:J$1054),ROW(D$1:D$999),""),ROW(D425))),"")</f>
        <v/>
      </c>
      <c r="M480" s="7" t="str">
        <f t="array" ref="M480">IFERROR(INDEX(J$56:J$1054,SMALL(IF(ISNUMBER(J$56:J$1054),ROW(J$1:J$999),""),ROW(J425))),"")</f>
        <v/>
      </c>
      <c r="N480" s="7"/>
      <c r="O480" s="7"/>
      <c r="P480" s="7"/>
      <c r="Q480" s="7">
        <f ca="1">IFERROR(IF(COUNTA(P$56:P480)=P$54,P480,FORECAST(D480,OFFSET(S$56:S$254,MATCH(D480,R$56:R$254,1)-1,0,2), OFFSET(R$56:R$254,MATCH(D480,R$56:R$254,1)-1,0,2))),"")</f>
        <v>0</v>
      </c>
      <c r="R480" s="7" t="str">
        <f t="array" ref="R480">IFERROR(INDEX(E$56:E$1054,SMALL(IF(ISNUMBER(P$56:P$1054),ROW(E$1:E$999),""),ROW(J425))),"")</f>
        <v/>
      </c>
      <c r="S480" s="7" t="str">
        <f t="array" ref="S480">IFERROR(INDEX(P$56:P$1054,SMALL(IF(ISNUMBER(P$56:P$1054),ROW(P$1:P$999),""),ROW(P425))),"")</f>
        <v/>
      </c>
      <c r="T480" s="7"/>
      <c r="U480" s="7"/>
      <c r="V480" s="7"/>
    </row>
    <row r="481" spans="1:22" x14ac:dyDescent="0.25">
      <c r="A481" s="6"/>
      <c r="B481" s="11"/>
      <c r="C481" s="12"/>
      <c r="D481" s="12"/>
      <c r="E481" s="8">
        <f t="shared" si="6"/>
        <v>0</v>
      </c>
      <c r="F481" s="10"/>
      <c r="G481" s="10"/>
      <c r="H481" s="9"/>
      <c r="I481" s="7"/>
      <c r="J481" s="7"/>
      <c r="K481" s="7">
        <f ca="1">IFERROR(IF(COUNTA(J$56:J481)=J$54,J481,FORECAST(D481,OFFSET(M$56:M$254,MATCH(D481,L$56:L$254,1)-1,0,2), OFFSET(L$56:L$254,MATCH(D481,L$56:L$254,1)-1,0,2))),"")</f>
        <v>0</v>
      </c>
      <c r="L481" s="7" t="str">
        <f t="array" ref="L481">IFERROR(INDEX(D$56:D$1054,SMALL(IF(ISNUMBER(J$56:J$1054),ROW(D$1:D$999),""),ROW(D426))),"")</f>
        <v/>
      </c>
      <c r="M481" s="7" t="str">
        <f t="array" ref="M481">IFERROR(INDEX(J$56:J$1054,SMALL(IF(ISNUMBER(J$56:J$1054),ROW(J$1:J$999),""),ROW(J426))),"")</f>
        <v/>
      </c>
      <c r="N481" s="7"/>
      <c r="O481" s="7"/>
      <c r="P481" s="7"/>
      <c r="Q481" s="7">
        <f ca="1">IFERROR(IF(COUNTA(P$56:P481)=P$54,P481,FORECAST(D481,OFFSET(S$56:S$254,MATCH(D481,R$56:R$254,1)-1,0,2), OFFSET(R$56:R$254,MATCH(D481,R$56:R$254,1)-1,0,2))),"")</f>
        <v>0</v>
      </c>
      <c r="R481" s="7" t="str">
        <f t="array" ref="R481">IFERROR(INDEX(E$56:E$1054,SMALL(IF(ISNUMBER(P$56:P$1054),ROW(E$1:E$999),""),ROW(J426))),"")</f>
        <v/>
      </c>
      <c r="S481" s="7" t="str">
        <f t="array" ref="S481">IFERROR(INDEX(P$56:P$1054,SMALL(IF(ISNUMBER(P$56:P$1054),ROW(P$1:P$999),""),ROW(P426))),"")</f>
        <v/>
      </c>
      <c r="T481" s="7"/>
      <c r="U481" s="7"/>
      <c r="V481" s="7"/>
    </row>
    <row r="482" spans="1:22" x14ac:dyDescent="0.25">
      <c r="A482" s="6"/>
      <c r="B482" s="11"/>
      <c r="C482" s="12"/>
      <c r="D482" s="12"/>
      <c r="E482" s="8">
        <f t="shared" si="6"/>
        <v>0</v>
      </c>
      <c r="F482" s="10"/>
      <c r="G482" s="10"/>
      <c r="H482" s="9"/>
      <c r="I482" s="7"/>
      <c r="J482" s="7"/>
      <c r="K482" s="7">
        <f ca="1">IFERROR(IF(COUNTA(J$56:J482)=J$54,J482,FORECAST(D482,OFFSET(M$56:M$254,MATCH(D482,L$56:L$254,1)-1,0,2), OFFSET(L$56:L$254,MATCH(D482,L$56:L$254,1)-1,0,2))),"")</f>
        <v>0</v>
      </c>
      <c r="L482" s="7" t="str">
        <f t="array" ref="L482">IFERROR(INDEX(D$56:D$1054,SMALL(IF(ISNUMBER(J$56:J$1054),ROW(D$1:D$999),""),ROW(D427))),"")</f>
        <v/>
      </c>
      <c r="M482" s="7" t="str">
        <f t="array" ref="M482">IFERROR(INDEX(J$56:J$1054,SMALL(IF(ISNUMBER(J$56:J$1054),ROW(J$1:J$999),""),ROW(J427))),"")</f>
        <v/>
      </c>
      <c r="N482" s="7"/>
      <c r="O482" s="7"/>
      <c r="P482" s="7"/>
      <c r="Q482" s="7">
        <f ca="1">IFERROR(IF(COUNTA(P$56:P482)=P$54,P482,FORECAST(D482,OFFSET(S$56:S$254,MATCH(D482,R$56:R$254,1)-1,0,2), OFFSET(R$56:R$254,MATCH(D482,R$56:R$254,1)-1,0,2))),"")</f>
        <v>0</v>
      </c>
      <c r="R482" s="7" t="str">
        <f t="array" ref="R482">IFERROR(INDEX(E$56:E$1054,SMALL(IF(ISNUMBER(P$56:P$1054),ROW(E$1:E$999),""),ROW(J427))),"")</f>
        <v/>
      </c>
      <c r="S482" s="7" t="str">
        <f t="array" ref="S482">IFERROR(INDEX(P$56:P$1054,SMALL(IF(ISNUMBER(P$56:P$1054),ROW(P$1:P$999),""),ROW(P427))),"")</f>
        <v/>
      </c>
      <c r="T482" s="7"/>
      <c r="U482" s="7"/>
      <c r="V482" s="7"/>
    </row>
    <row r="483" spans="1:22" x14ac:dyDescent="0.25">
      <c r="A483" s="6"/>
      <c r="B483" s="11"/>
      <c r="C483" s="12"/>
      <c r="D483" s="12"/>
      <c r="E483" s="8">
        <f t="shared" si="6"/>
        <v>0</v>
      </c>
      <c r="F483" s="10"/>
      <c r="G483" s="10"/>
      <c r="H483" s="9"/>
      <c r="I483" s="7"/>
      <c r="J483" s="7"/>
      <c r="K483" s="7">
        <f ca="1">IFERROR(IF(COUNTA(J$56:J483)=J$54,J483,FORECAST(D483,OFFSET(M$56:M$254,MATCH(D483,L$56:L$254,1)-1,0,2), OFFSET(L$56:L$254,MATCH(D483,L$56:L$254,1)-1,0,2))),"")</f>
        <v>0</v>
      </c>
      <c r="L483" s="7" t="str">
        <f t="array" ref="L483">IFERROR(INDEX(D$56:D$1054,SMALL(IF(ISNUMBER(J$56:J$1054),ROW(D$1:D$999),""),ROW(D428))),"")</f>
        <v/>
      </c>
      <c r="M483" s="7" t="str">
        <f t="array" ref="M483">IFERROR(INDEX(J$56:J$1054,SMALL(IF(ISNUMBER(J$56:J$1054),ROW(J$1:J$999),""),ROW(J428))),"")</f>
        <v/>
      </c>
      <c r="N483" s="7"/>
      <c r="O483" s="7"/>
      <c r="P483" s="7"/>
      <c r="Q483" s="7">
        <f ca="1">IFERROR(IF(COUNTA(P$56:P483)=P$54,P483,FORECAST(D483,OFFSET(S$56:S$254,MATCH(D483,R$56:R$254,1)-1,0,2), OFFSET(R$56:R$254,MATCH(D483,R$56:R$254,1)-1,0,2))),"")</f>
        <v>0</v>
      </c>
      <c r="R483" s="7" t="str">
        <f t="array" ref="R483">IFERROR(INDEX(E$56:E$1054,SMALL(IF(ISNUMBER(P$56:P$1054),ROW(E$1:E$999),""),ROW(J428))),"")</f>
        <v/>
      </c>
      <c r="S483" s="7" t="str">
        <f t="array" ref="S483">IFERROR(INDEX(P$56:P$1054,SMALL(IF(ISNUMBER(P$56:P$1054),ROW(P$1:P$999),""),ROW(P428))),"")</f>
        <v/>
      </c>
      <c r="T483" s="7"/>
      <c r="U483" s="7"/>
      <c r="V483" s="7"/>
    </row>
    <row r="484" spans="1:22" x14ac:dyDescent="0.25">
      <c r="A484" s="6"/>
      <c r="B484" s="11"/>
      <c r="C484" s="12"/>
      <c r="D484" s="12"/>
      <c r="E484" s="8">
        <f t="shared" si="6"/>
        <v>0</v>
      </c>
      <c r="F484" s="10"/>
      <c r="G484" s="10"/>
      <c r="H484" s="9"/>
      <c r="I484" s="7"/>
      <c r="J484" s="7"/>
      <c r="K484" s="7">
        <f ca="1">IFERROR(IF(COUNTA(J$56:J484)=J$54,J484,FORECAST(D484,OFFSET(M$56:M$254,MATCH(D484,L$56:L$254,1)-1,0,2), OFFSET(L$56:L$254,MATCH(D484,L$56:L$254,1)-1,0,2))),"")</f>
        <v>0</v>
      </c>
      <c r="L484" s="7" t="str">
        <f t="array" ref="L484">IFERROR(INDEX(D$56:D$1054,SMALL(IF(ISNUMBER(J$56:J$1054),ROW(D$1:D$999),""),ROW(D429))),"")</f>
        <v/>
      </c>
      <c r="M484" s="7" t="str">
        <f t="array" ref="M484">IFERROR(INDEX(J$56:J$1054,SMALL(IF(ISNUMBER(J$56:J$1054),ROW(J$1:J$999),""),ROW(J429))),"")</f>
        <v/>
      </c>
      <c r="N484" s="7"/>
      <c r="O484" s="7"/>
      <c r="P484" s="7"/>
      <c r="Q484" s="7">
        <f ca="1">IFERROR(IF(COUNTA(P$56:P484)=P$54,P484,FORECAST(D484,OFFSET(S$56:S$254,MATCH(D484,R$56:R$254,1)-1,0,2), OFFSET(R$56:R$254,MATCH(D484,R$56:R$254,1)-1,0,2))),"")</f>
        <v>0</v>
      </c>
      <c r="R484" s="7" t="str">
        <f t="array" ref="R484">IFERROR(INDEX(E$56:E$1054,SMALL(IF(ISNUMBER(P$56:P$1054),ROW(E$1:E$999),""),ROW(J429))),"")</f>
        <v/>
      </c>
      <c r="S484" s="7" t="str">
        <f t="array" ref="S484">IFERROR(INDEX(P$56:P$1054,SMALL(IF(ISNUMBER(P$56:P$1054),ROW(P$1:P$999),""),ROW(P429))),"")</f>
        <v/>
      </c>
      <c r="T484" s="7"/>
      <c r="U484" s="7"/>
      <c r="V484" s="7"/>
    </row>
    <row r="485" spans="1:22" x14ac:dyDescent="0.25">
      <c r="A485" s="6"/>
      <c r="B485" s="11"/>
      <c r="C485" s="12"/>
      <c r="D485" s="12"/>
      <c r="E485" s="8">
        <f t="shared" si="6"/>
        <v>0</v>
      </c>
      <c r="F485" s="10"/>
      <c r="G485" s="10"/>
      <c r="H485" s="9"/>
      <c r="I485" s="7"/>
      <c r="J485" s="7"/>
      <c r="K485" s="7">
        <f ca="1">IFERROR(IF(COUNTA(J$56:J485)=J$54,J485,FORECAST(D485,OFFSET(M$56:M$254,MATCH(D485,L$56:L$254,1)-1,0,2), OFFSET(L$56:L$254,MATCH(D485,L$56:L$254,1)-1,0,2))),"")</f>
        <v>0</v>
      </c>
      <c r="L485" s="7" t="str">
        <f t="array" ref="L485">IFERROR(INDEX(D$56:D$1054,SMALL(IF(ISNUMBER(J$56:J$1054),ROW(D$1:D$999),""),ROW(D430))),"")</f>
        <v/>
      </c>
      <c r="M485" s="7" t="str">
        <f t="array" ref="M485">IFERROR(INDEX(J$56:J$1054,SMALL(IF(ISNUMBER(J$56:J$1054),ROW(J$1:J$999),""),ROW(J430))),"")</f>
        <v/>
      </c>
      <c r="N485" s="7"/>
      <c r="O485" s="7"/>
      <c r="P485" s="7"/>
      <c r="Q485" s="7">
        <f ca="1">IFERROR(IF(COUNTA(P$56:P485)=P$54,P485,FORECAST(D485,OFFSET(S$56:S$254,MATCH(D485,R$56:R$254,1)-1,0,2), OFFSET(R$56:R$254,MATCH(D485,R$56:R$254,1)-1,0,2))),"")</f>
        <v>0</v>
      </c>
      <c r="R485" s="7" t="str">
        <f t="array" ref="R485">IFERROR(INDEX(E$56:E$1054,SMALL(IF(ISNUMBER(P$56:P$1054),ROW(E$1:E$999),""),ROW(J430))),"")</f>
        <v/>
      </c>
      <c r="S485" s="7" t="str">
        <f t="array" ref="S485">IFERROR(INDEX(P$56:P$1054,SMALL(IF(ISNUMBER(P$56:P$1054),ROW(P$1:P$999),""),ROW(P430))),"")</f>
        <v/>
      </c>
      <c r="T485" s="7"/>
      <c r="U485" s="7"/>
      <c r="V485" s="7"/>
    </row>
    <row r="486" spans="1:22" x14ac:dyDescent="0.25">
      <c r="A486" s="6"/>
      <c r="B486" s="11"/>
      <c r="C486" s="12"/>
      <c r="D486" s="12"/>
      <c r="E486" s="8">
        <f t="shared" si="6"/>
        <v>0</v>
      </c>
      <c r="F486" s="10"/>
      <c r="G486" s="10"/>
      <c r="H486" s="9"/>
      <c r="I486" s="7"/>
      <c r="J486" s="7"/>
      <c r="K486" s="7">
        <f ca="1">IFERROR(IF(COUNTA(J$56:J486)=J$54,J486,FORECAST(D486,OFFSET(M$56:M$254,MATCH(D486,L$56:L$254,1)-1,0,2), OFFSET(L$56:L$254,MATCH(D486,L$56:L$254,1)-1,0,2))),"")</f>
        <v>0</v>
      </c>
      <c r="L486" s="7" t="str">
        <f t="array" ref="L486">IFERROR(INDEX(D$56:D$1054,SMALL(IF(ISNUMBER(J$56:J$1054),ROW(D$1:D$999),""),ROW(D431))),"")</f>
        <v/>
      </c>
      <c r="M486" s="7" t="str">
        <f t="array" ref="M486">IFERROR(INDEX(J$56:J$1054,SMALL(IF(ISNUMBER(J$56:J$1054),ROW(J$1:J$999),""),ROW(J431))),"")</f>
        <v/>
      </c>
      <c r="N486" s="7"/>
      <c r="O486" s="7"/>
      <c r="P486" s="7"/>
      <c r="Q486" s="7">
        <f ca="1">IFERROR(IF(COUNTA(P$56:P486)=P$54,P486,FORECAST(D486,OFFSET(S$56:S$254,MATCH(D486,R$56:R$254,1)-1,0,2), OFFSET(R$56:R$254,MATCH(D486,R$56:R$254,1)-1,0,2))),"")</f>
        <v>0</v>
      </c>
      <c r="R486" s="7" t="str">
        <f t="array" ref="R486">IFERROR(INDEX(E$56:E$1054,SMALL(IF(ISNUMBER(P$56:P$1054),ROW(E$1:E$999),""),ROW(J431))),"")</f>
        <v/>
      </c>
      <c r="S486" s="7" t="str">
        <f t="array" ref="S486">IFERROR(INDEX(P$56:P$1054,SMALL(IF(ISNUMBER(P$56:P$1054),ROW(P$1:P$999),""),ROW(P431))),"")</f>
        <v/>
      </c>
      <c r="T486" s="7"/>
      <c r="U486" s="7"/>
      <c r="V486" s="7"/>
    </row>
    <row r="487" spans="1:22" x14ac:dyDescent="0.25">
      <c r="A487" s="6"/>
      <c r="B487" s="11"/>
      <c r="C487" s="12"/>
      <c r="D487" s="12"/>
      <c r="E487" s="8">
        <f t="shared" si="6"/>
        <v>0</v>
      </c>
      <c r="F487" s="10"/>
      <c r="G487" s="10"/>
      <c r="H487" s="9"/>
      <c r="I487" s="7"/>
      <c r="J487" s="7"/>
      <c r="K487" s="7">
        <f ca="1">IFERROR(IF(COUNTA(J$56:J487)=J$54,J487,FORECAST(D487,OFFSET(M$56:M$254,MATCH(D487,L$56:L$254,1)-1,0,2), OFFSET(L$56:L$254,MATCH(D487,L$56:L$254,1)-1,0,2))),"")</f>
        <v>0</v>
      </c>
      <c r="L487" s="7" t="str">
        <f t="array" ref="L487">IFERROR(INDEX(D$56:D$1054,SMALL(IF(ISNUMBER(J$56:J$1054),ROW(D$1:D$999),""),ROW(D432))),"")</f>
        <v/>
      </c>
      <c r="M487" s="7" t="str">
        <f t="array" ref="M487">IFERROR(INDEX(J$56:J$1054,SMALL(IF(ISNUMBER(J$56:J$1054),ROW(J$1:J$999),""),ROW(J432))),"")</f>
        <v/>
      </c>
      <c r="N487" s="7"/>
      <c r="O487" s="7"/>
      <c r="P487" s="7"/>
      <c r="Q487" s="7">
        <f ca="1">IFERROR(IF(COUNTA(P$56:P487)=P$54,P487,FORECAST(D487,OFFSET(S$56:S$254,MATCH(D487,R$56:R$254,1)-1,0,2), OFFSET(R$56:R$254,MATCH(D487,R$56:R$254,1)-1,0,2))),"")</f>
        <v>0</v>
      </c>
      <c r="R487" s="7" t="str">
        <f t="array" ref="R487">IFERROR(INDEX(E$56:E$1054,SMALL(IF(ISNUMBER(P$56:P$1054),ROW(E$1:E$999),""),ROW(J432))),"")</f>
        <v/>
      </c>
      <c r="S487" s="7" t="str">
        <f t="array" ref="S487">IFERROR(INDEX(P$56:P$1054,SMALL(IF(ISNUMBER(P$56:P$1054),ROW(P$1:P$999),""),ROW(P432))),"")</f>
        <v/>
      </c>
      <c r="T487" s="7"/>
      <c r="U487" s="7"/>
      <c r="V487" s="7"/>
    </row>
    <row r="488" spans="1:22" x14ac:dyDescent="0.25">
      <c r="A488" s="6"/>
      <c r="B488" s="11"/>
      <c r="C488" s="12"/>
      <c r="D488" s="12"/>
      <c r="E488" s="8">
        <f t="shared" si="6"/>
        <v>0</v>
      </c>
      <c r="F488" s="10"/>
      <c r="G488" s="10"/>
      <c r="H488" s="9"/>
      <c r="I488" s="7"/>
      <c r="J488" s="7"/>
      <c r="K488" s="7">
        <f ca="1">IFERROR(IF(COUNTA(J$56:J488)=J$54,J488,FORECAST(D488,OFFSET(M$56:M$254,MATCH(D488,L$56:L$254,1)-1,0,2), OFFSET(L$56:L$254,MATCH(D488,L$56:L$254,1)-1,0,2))),"")</f>
        <v>0</v>
      </c>
      <c r="L488" s="7" t="str">
        <f t="array" ref="L488">IFERROR(INDEX(D$56:D$1054,SMALL(IF(ISNUMBER(J$56:J$1054),ROW(D$1:D$999),""),ROW(D433))),"")</f>
        <v/>
      </c>
      <c r="M488" s="7" t="str">
        <f t="array" ref="M488">IFERROR(INDEX(J$56:J$1054,SMALL(IF(ISNUMBER(J$56:J$1054),ROW(J$1:J$999),""),ROW(J433))),"")</f>
        <v/>
      </c>
      <c r="N488" s="7"/>
      <c r="O488" s="7"/>
      <c r="P488" s="7"/>
      <c r="Q488" s="7">
        <f ca="1">IFERROR(IF(COUNTA(P$56:P488)=P$54,P488,FORECAST(D488,OFFSET(S$56:S$254,MATCH(D488,R$56:R$254,1)-1,0,2), OFFSET(R$56:R$254,MATCH(D488,R$56:R$254,1)-1,0,2))),"")</f>
        <v>0</v>
      </c>
      <c r="R488" s="7" t="str">
        <f t="array" ref="R488">IFERROR(INDEX(E$56:E$1054,SMALL(IF(ISNUMBER(P$56:P$1054),ROW(E$1:E$999),""),ROW(J433))),"")</f>
        <v/>
      </c>
      <c r="S488" s="7" t="str">
        <f t="array" ref="S488">IFERROR(INDEX(P$56:P$1054,SMALL(IF(ISNUMBER(P$56:P$1054),ROW(P$1:P$999),""),ROW(P433))),"")</f>
        <v/>
      </c>
      <c r="T488" s="7"/>
      <c r="U488" s="7"/>
      <c r="V488" s="7"/>
    </row>
    <row r="489" spans="1:22" x14ac:dyDescent="0.25">
      <c r="A489" s="6"/>
      <c r="B489" s="11"/>
      <c r="C489" s="12"/>
      <c r="D489" s="12"/>
      <c r="E489" s="8">
        <f t="shared" si="6"/>
        <v>0</v>
      </c>
      <c r="F489" s="10"/>
      <c r="G489" s="10"/>
      <c r="H489" s="9"/>
      <c r="I489" s="7"/>
      <c r="J489" s="7"/>
      <c r="K489" s="7">
        <f ca="1">IFERROR(IF(COUNTA(J$56:J489)=J$54,J489,FORECAST(D489,OFFSET(M$56:M$254,MATCH(D489,L$56:L$254,1)-1,0,2), OFFSET(L$56:L$254,MATCH(D489,L$56:L$254,1)-1,0,2))),"")</f>
        <v>0</v>
      </c>
      <c r="L489" s="7" t="str">
        <f t="array" ref="L489">IFERROR(INDEX(D$56:D$1054,SMALL(IF(ISNUMBER(J$56:J$1054),ROW(D$1:D$999),""),ROW(D434))),"")</f>
        <v/>
      </c>
      <c r="M489" s="7" t="str">
        <f t="array" ref="M489">IFERROR(INDEX(J$56:J$1054,SMALL(IF(ISNUMBER(J$56:J$1054),ROW(J$1:J$999),""),ROW(J434))),"")</f>
        <v/>
      </c>
      <c r="N489" s="7"/>
      <c r="O489" s="7"/>
      <c r="P489" s="7"/>
      <c r="Q489" s="7">
        <f ca="1">IFERROR(IF(COUNTA(P$56:P489)=P$54,P489,FORECAST(D489,OFFSET(S$56:S$254,MATCH(D489,R$56:R$254,1)-1,0,2), OFFSET(R$56:R$254,MATCH(D489,R$56:R$254,1)-1,0,2))),"")</f>
        <v>0</v>
      </c>
      <c r="R489" s="7" t="str">
        <f t="array" ref="R489">IFERROR(INDEX(E$56:E$1054,SMALL(IF(ISNUMBER(P$56:P$1054),ROW(E$1:E$999),""),ROW(J434))),"")</f>
        <v/>
      </c>
      <c r="S489" s="7" t="str">
        <f t="array" ref="S489">IFERROR(INDEX(P$56:P$1054,SMALL(IF(ISNUMBER(P$56:P$1054),ROW(P$1:P$999),""),ROW(P434))),"")</f>
        <v/>
      </c>
      <c r="T489" s="7"/>
      <c r="U489" s="7"/>
      <c r="V489" s="7"/>
    </row>
    <row r="490" spans="1:22" x14ac:dyDescent="0.25">
      <c r="A490" s="6"/>
      <c r="B490" s="11"/>
      <c r="C490" s="12"/>
      <c r="D490" s="12"/>
      <c r="E490" s="8">
        <f t="shared" si="6"/>
        <v>0</v>
      </c>
      <c r="F490" s="10"/>
      <c r="G490" s="10"/>
      <c r="H490" s="9"/>
      <c r="I490" s="7"/>
      <c r="J490" s="7"/>
      <c r="K490" s="7">
        <f ca="1">IFERROR(IF(COUNTA(J$56:J490)=J$54,J490,FORECAST(D490,OFFSET(M$56:M$254,MATCH(D490,L$56:L$254,1)-1,0,2), OFFSET(L$56:L$254,MATCH(D490,L$56:L$254,1)-1,0,2))),"")</f>
        <v>0</v>
      </c>
      <c r="L490" s="7" t="str">
        <f t="array" ref="L490">IFERROR(INDEX(D$56:D$1054,SMALL(IF(ISNUMBER(J$56:J$1054),ROW(D$1:D$999),""),ROW(D435))),"")</f>
        <v/>
      </c>
      <c r="M490" s="7" t="str">
        <f t="array" ref="M490">IFERROR(INDEX(J$56:J$1054,SMALL(IF(ISNUMBER(J$56:J$1054),ROW(J$1:J$999),""),ROW(J435))),"")</f>
        <v/>
      </c>
      <c r="N490" s="7"/>
      <c r="O490" s="7"/>
      <c r="P490" s="7"/>
      <c r="Q490" s="7">
        <f ca="1">IFERROR(IF(COUNTA(P$56:P490)=P$54,P490,FORECAST(D490,OFFSET(S$56:S$254,MATCH(D490,R$56:R$254,1)-1,0,2), OFFSET(R$56:R$254,MATCH(D490,R$56:R$254,1)-1,0,2))),"")</f>
        <v>0</v>
      </c>
      <c r="R490" s="7" t="str">
        <f t="array" ref="R490">IFERROR(INDEX(E$56:E$1054,SMALL(IF(ISNUMBER(P$56:P$1054),ROW(E$1:E$999),""),ROW(J435))),"")</f>
        <v/>
      </c>
      <c r="S490" s="7" t="str">
        <f t="array" ref="S490">IFERROR(INDEX(P$56:P$1054,SMALL(IF(ISNUMBER(P$56:P$1054),ROW(P$1:P$999),""),ROW(P435))),"")</f>
        <v/>
      </c>
      <c r="T490" s="7"/>
      <c r="U490" s="7"/>
      <c r="V490" s="7"/>
    </row>
    <row r="491" spans="1:22" x14ac:dyDescent="0.25">
      <c r="A491" s="6"/>
      <c r="B491" s="11"/>
      <c r="C491" s="12"/>
      <c r="D491" s="12"/>
      <c r="E491" s="8">
        <f t="shared" si="6"/>
        <v>0</v>
      </c>
      <c r="F491" s="10"/>
      <c r="G491" s="10"/>
      <c r="H491" s="9"/>
      <c r="I491" s="7"/>
      <c r="J491" s="7"/>
      <c r="K491" s="7">
        <f ca="1">IFERROR(IF(COUNTA(J$56:J491)=J$54,J491,FORECAST(D491,OFFSET(M$56:M$254,MATCH(D491,L$56:L$254,1)-1,0,2), OFFSET(L$56:L$254,MATCH(D491,L$56:L$254,1)-1,0,2))),"")</f>
        <v>0</v>
      </c>
      <c r="L491" s="7" t="str">
        <f t="array" ref="L491">IFERROR(INDEX(D$56:D$1054,SMALL(IF(ISNUMBER(J$56:J$1054),ROW(D$1:D$999),""),ROW(D436))),"")</f>
        <v/>
      </c>
      <c r="M491" s="7" t="str">
        <f t="array" ref="M491">IFERROR(INDEX(J$56:J$1054,SMALL(IF(ISNUMBER(J$56:J$1054),ROW(J$1:J$999),""),ROW(J436))),"")</f>
        <v/>
      </c>
      <c r="N491" s="7"/>
      <c r="O491" s="7"/>
      <c r="P491" s="7"/>
      <c r="Q491" s="7">
        <f ca="1">IFERROR(IF(COUNTA(P$56:P491)=P$54,P491,FORECAST(D491,OFFSET(S$56:S$254,MATCH(D491,R$56:R$254,1)-1,0,2), OFFSET(R$56:R$254,MATCH(D491,R$56:R$254,1)-1,0,2))),"")</f>
        <v>0</v>
      </c>
      <c r="R491" s="7" t="str">
        <f t="array" ref="R491">IFERROR(INDEX(E$56:E$1054,SMALL(IF(ISNUMBER(P$56:P$1054),ROW(E$1:E$999),""),ROW(J436))),"")</f>
        <v/>
      </c>
      <c r="S491" s="7" t="str">
        <f t="array" ref="S491">IFERROR(INDEX(P$56:P$1054,SMALL(IF(ISNUMBER(P$56:P$1054),ROW(P$1:P$999),""),ROW(P436))),"")</f>
        <v/>
      </c>
      <c r="T491" s="7"/>
      <c r="U491" s="7"/>
      <c r="V491" s="7"/>
    </row>
    <row r="492" spans="1:22" x14ac:dyDescent="0.25">
      <c r="A492" s="6"/>
      <c r="B492" s="11"/>
      <c r="C492" s="12"/>
      <c r="D492" s="12"/>
      <c r="E492" s="8">
        <f t="shared" si="6"/>
        <v>0</v>
      </c>
      <c r="F492" s="10"/>
      <c r="G492" s="10"/>
      <c r="H492" s="9"/>
      <c r="I492" s="7"/>
      <c r="J492" s="7"/>
      <c r="K492" s="7">
        <f ca="1">IFERROR(IF(COUNTA(J$56:J492)=J$54,J492,FORECAST(D492,OFFSET(M$56:M$254,MATCH(D492,L$56:L$254,1)-1,0,2), OFFSET(L$56:L$254,MATCH(D492,L$56:L$254,1)-1,0,2))),"")</f>
        <v>0</v>
      </c>
      <c r="L492" s="7" t="str">
        <f t="array" ref="L492">IFERROR(INDEX(D$56:D$1054,SMALL(IF(ISNUMBER(J$56:J$1054),ROW(D$1:D$999),""),ROW(D437))),"")</f>
        <v/>
      </c>
      <c r="M492" s="7" t="str">
        <f t="array" ref="M492">IFERROR(INDEX(J$56:J$1054,SMALL(IF(ISNUMBER(J$56:J$1054),ROW(J$1:J$999),""),ROW(J437))),"")</f>
        <v/>
      </c>
      <c r="N492" s="7"/>
      <c r="O492" s="7"/>
      <c r="P492" s="7"/>
      <c r="Q492" s="7">
        <f ca="1">IFERROR(IF(COUNTA(P$56:P492)=P$54,P492,FORECAST(D492,OFFSET(S$56:S$254,MATCH(D492,R$56:R$254,1)-1,0,2), OFFSET(R$56:R$254,MATCH(D492,R$56:R$254,1)-1,0,2))),"")</f>
        <v>0</v>
      </c>
      <c r="R492" s="7" t="str">
        <f t="array" ref="R492">IFERROR(INDEX(E$56:E$1054,SMALL(IF(ISNUMBER(P$56:P$1054),ROW(E$1:E$999),""),ROW(J437))),"")</f>
        <v/>
      </c>
      <c r="S492" s="7" t="str">
        <f t="array" ref="S492">IFERROR(INDEX(P$56:P$1054,SMALL(IF(ISNUMBER(P$56:P$1054),ROW(P$1:P$999),""),ROW(P437))),"")</f>
        <v/>
      </c>
      <c r="T492" s="7"/>
      <c r="U492" s="7"/>
      <c r="V492" s="7"/>
    </row>
    <row r="493" spans="1:22" x14ac:dyDescent="0.25">
      <c r="A493" s="6"/>
      <c r="B493" s="11"/>
      <c r="C493" s="12"/>
      <c r="D493" s="12"/>
      <c r="E493" s="8">
        <f t="shared" si="6"/>
        <v>0</v>
      </c>
      <c r="F493" s="10"/>
      <c r="G493" s="10"/>
      <c r="H493" s="9"/>
      <c r="I493" s="7"/>
      <c r="J493" s="7"/>
      <c r="K493" s="7">
        <f ca="1">IFERROR(IF(COUNTA(J$56:J493)=J$54,J493,FORECAST(D493,OFFSET(M$56:M$254,MATCH(D493,L$56:L$254,1)-1,0,2), OFFSET(L$56:L$254,MATCH(D493,L$56:L$254,1)-1,0,2))),"")</f>
        <v>0</v>
      </c>
      <c r="L493" s="7" t="str">
        <f t="array" ref="L493">IFERROR(INDEX(D$56:D$1054,SMALL(IF(ISNUMBER(J$56:J$1054),ROW(D$1:D$999),""),ROW(D438))),"")</f>
        <v/>
      </c>
      <c r="M493" s="7" t="str">
        <f t="array" ref="M493">IFERROR(INDEX(J$56:J$1054,SMALL(IF(ISNUMBER(J$56:J$1054),ROW(J$1:J$999),""),ROW(J438))),"")</f>
        <v/>
      </c>
      <c r="N493" s="7"/>
      <c r="O493" s="7"/>
      <c r="P493" s="7"/>
      <c r="Q493" s="7">
        <f ca="1">IFERROR(IF(COUNTA(P$56:P493)=P$54,P493,FORECAST(D493,OFFSET(S$56:S$254,MATCH(D493,R$56:R$254,1)-1,0,2), OFFSET(R$56:R$254,MATCH(D493,R$56:R$254,1)-1,0,2))),"")</f>
        <v>0</v>
      </c>
      <c r="R493" s="7" t="str">
        <f t="array" ref="R493">IFERROR(INDEX(E$56:E$1054,SMALL(IF(ISNUMBER(P$56:P$1054),ROW(E$1:E$999),""),ROW(J438))),"")</f>
        <v/>
      </c>
      <c r="S493" s="7" t="str">
        <f t="array" ref="S493">IFERROR(INDEX(P$56:P$1054,SMALL(IF(ISNUMBER(P$56:P$1054),ROW(P$1:P$999),""),ROW(P438))),"")</f>
        <v/>
      </c>
      <c r="T493" s="7"/>
      <c r="U493" s="7"/>
      <c r="V493" s="7"/>
    </row>
    <row r="494" spans="1:22" x14ac:dyDescent="0.25">
      <c r="A494" s="6"/>
      <c r="B494" s="11"/>
      <c r="C494" s="12"/>
      <c r="D494" s="12"/>
      <c r="E494" s="8">
        <f t="shared" si="6"/>
        <v>0</v>
      </c>
      <c r="F494" s="10"/>
      <c r="G494" s="10"/>
      <c r="H494" s="9"/>
      <c r="I494" s="7"/>
      <c r="J494" s="7"/>
      <c r="K494" s="7">
        <f ca="1">IFERROR(IF(COUNTA(J$56:J494)=J$54,J494,FORECAST(D494,OFFSET(M$56:M$254,MATCH(D494,L$56:L$254,1)-1,0,2), OFFSET(L$56:L$254,MATCH(D494,L$56:L$254,1)-1,0,2))),"")</f>
        <v>0</v>
      </c>
      <c r="L494" s="7" t="str">
        <f t="array" ref="L494">IFERROR(INDEX(D$56:D$1054,SMALL(IF(ISNUMBER(J$56:J$1054),ROW(D$1:D$999),""),ROW(D439))),"")</f>
        <v/>
      </c>
      <c r="M494" s="7" t="str">
        <f t="array" ref="M494">IFERROR(INDEX(J$56:J$1054,SMALL(IF(ISNUMBER(J$56:J$1054),ROW(J$1:J$999),""),ROW(J439))),"")</f>
        <v/>
      </c>
      <c r="N494" s="7"/>
      <c r="O494" s="7"/>
      <c r="P494" s="7"/>
      <c r="Q494" s="7">
        <f ca="1">IFERROR(IF(COUNTA(P$56:P494)=P$54,P494,FORECAST(D494,OFFSET(S$56:S$254,MATCH(D494,R$56:R$254,1)-1,0,2), OFFSET(R$56:R$254,MATCH(D494,R$56:R$254,1)-1,0,2))),"")</f>
        <v>0</v>
      </c>
      <c r="R494" s="7" t="str">
        <f t="array" ref="R494">IFERROR(INDEX(E$56:E$1054,SMALL(IF(ISNUMBER(P$56:P$1054),ROW(E$1:E$999),""),ROW(J439))),"")</f>
        <v/>
      </c>
      <c r="S494" s="7" t="str">
        <f t="array" ref="S494">IFERROR(INDEX(P$56:P$1054,SMALL(IF(ISNUMBER(P$56:P$1054),ROW(P$1:P$999),""),ROW(P439))),"")</f>
        <v/>
      </c>
      <c r="T494" s="7"/>
      <c r="U494" s="7"/>
      <c r="V494" s="7"/>
    </row>
    <row r="495" spans="1:22" x14ac:dyDescent="0.25">
      <c r="A495" s="6"/>
      <c r="B495" s="11"/>
      <c r="C495" s="12"/>
      <c r="D495" s="12"/>
      <c r="E495" s="8">
        <f t="shared" si="6"/>
        <v>0</v>
      </c>
      <c r="F495" s="10"/>
      <c r="G495" s="10"/>
      <c r="H495" s="9"/>
      <c r="I495" s="7"/>
      <c r="J495" s="7"/>
      <c r="K495" s="7">
        <f ca="1">IFERROR(IF(COUNTA(J$56:J495)=J$54,J495,FORECAST(D495,OFFSET(M$56:M$254,MATCH(D495,L$56:L$254,1)-1,0,2), OFFSET(L$56:L$254,MATCH(D495,L$56:L$254,1)-1,0,2))),"")</f>
        <v>0</v>
      </c>
      <c r="L495" s="7" t="str">
        <f t="array" ref="L495">IFERROR(INDEX(D$56:D$1054,SMALL(IF(ISNUMBER(J$56:J$1054),ROW(D$1:D$999),""),ROW(D440))),"")</f>
        <v/>
      </c>
      <c r="M495" s="7" t="str">
        <f t="array" ref="M495">IFERROR(INDEX(J$56:J$1054,SMALL(IF(ISNUMBER(J$56:J$1054),ROW(J$1:J$999),""),ROW(J440))),"")</f>
        <v/>
      </c>
      <c r="N495" s="7"/>
      <c r="O495" s="7"/>
      <c r="P495" s="7"/>
      <c r="Q495" s="7">
        <f ca="1">IFERROR(IF(COUNTA(P$56:P495)=P$54,P495,FORECAST(D495,OFFSET(S$56:S$254,MATCH(D495,R$56:R$254,1)-1,0,2), OFFSET(R$56:R$254,MATCH(D495,R$56:R$254,1)-1,0,2))),"")</f>
        <v>0</v>
      </c>
      <c r="R495" s="7" t="str">
        <f t="array" ref="R495">IFERROR(INDEX(E$56:E$1054,SMALL(IF(ISNUMBER(P$56:P$1054),ROW(E$1:E$999),""),ROW(J440))),"")</f>
        <v/>
      </c>
      <c r="S495" s="7" t="str">
        <f t="array" ref="S495">IFERROR(INDEX(P$56:P$1054,SMALL(IF(ISNUMBER(P$56:P$1054),ROW(P$1:P$999),""),ROW(P440))),"")</f>
        <v/>
      </c>
      <c r="T495" s="7"/>
      <c r="U495" s="7"/>
      <c r="V495" s="7"/>
    </row>
    <row r="496" spans="1:22" x14ac:dyDescent="0.25">
      <c r="A496" s="6"/>
      <c r="B496" s="11"/>
      <c r="C496" s="12"/>
      <c r="D496" s="12"/>
      <c r="E496" s="8">
        <f t="shared" si="6"/>
        <v>0</v>
      </c>
      <c r="F496" s="10"/>
      <c r="G496" s="10"/>
      <c r="H496" s="9"/>
      <c r="I496" s="7"/>
      <c r="J496" s="7"/>
      <c r="K496" s="7">
        <f ca="1">IFERROR(IF(COUNTA(J$56:J496)=J$54,J496,FORECAST(D496,OFFSET(M$56:M$254,MATCH(D496,L$56:L$254,1)-1,0,2), OFFSET(L$56:L$254,MATCH(D496,L$56:L$254,1)-1,0,2))),"")</f>
        <v>0</v>
      </c>
      <c r="L496" s="7" t="str">
        <f t="array" ref="L496">IFERROR(INDEX(D$56:D$1054,SMALL(IF(ISNUMBER(J$56:J$1054),ROW(D$1:D$999),""),ROW(D441))),"")</f>
        <v/>
      </c>
      <c r="M496" s="7" t="str">
        <f t="array" ref="M496">IFERROR(INDEX(J$56:J$1054,SMALL(IF(ISNUMBER(J$56:J$1054),ROW(J$1:J$999),""),ROW(J441))),"")</f>
        <v/>
      </c>
      <c r="N496" s="7"/>
      <c r="O496" s="7"/>
      <c r="P496" s="7"/>
      <c r="Q496" s="7">
        <f ca="1">IFERROR(IF(COUNTA(P$56:P496)=P$54,P496,FORECAST(D496,OFFSET(S$56:S$254,MATCH(D496,R$56:R$254,1)-1,0,2), OFFSET(R$56:R$254,MATCH(D496,R$56:R$254,1)-1,0,2))),"")</f>
        <v>0</v>
      </c>
      <c r="R496" s="7" t="str">
        <f t="array" ref="R496">IFERROR(INDEX(E$56:E$1054,SMALL(IF(ISNUMBER(P$56:P$1054),ROW(E$1:E$999),""),ROW(J441))),"")</f>
        <v/>
      </c>
      <c r="S496" s="7" t="str">
        <f t="array" ref="S496">IFERROR(INDEX(P$56:P$1054,SMALL(IF(ISNUMBER(P$56:P$1054),ROW(P$1:P$999),""),ROW(P441))),"")</f>
        <v/>
      </c>
      <c r="T496" s="7"/>
      <c r="U496" s="7"/>
      <c r="V496" s="7"/>
    </row>
    <row r="497" spans="1:22" x14ac:dyDescent="0.25">
      <c r="A497" s="6"/>
      <c r="B497" s="11"/>
      <c r="C497" s="12"/>
      <c r="D497" s="12"/>
      <c r="E497" s="8">
        <f t="shared" si="6"/>
        <v>0</v>
      </c>
      <c r="F497" s="10"/>
      <c r="G497" s="10"/>
      <c r="H497" s="9"/>
      <c r="I497" s="7"/>
      <c r="J497" s="7"/>
      <c r="K497" s="7">
        <f ca="1">IFERROR(IF(COUNTA(J$56:J497)=J$54,J497,FORECAST(D497,OFFSET(M$56:M$254,MATCH(D497,L$56:L$254,1)-1,0,2), OFFSET(L$56:L$254,MATCH(D497,L$56:L$254,1)-1,0,2))),"")</f>
        <v>0</v>
      </c>
      <c r="L497" s="7" t="str">
        <f t="array" ref="L497">IFERROR(INDEX(D$56:D$1054,SMALL(IF(ISNUMBER(J$56:J$1054),ROW(D$1:D$999),""),ROW(D442))),"")</f>
        <v/>
      </c>
      <c r="M497" s="7" t="str">
        <f t="array" ref="M497">IFERROR(INDEX(J$56:J$1054,SMALL(IF(ISNUMBER(J$56:J$1054),ROW(J$1:J$999),""),ROW(J442))),"")</f>
        <v/>
      </c>
      <c r="N497" s="7"/>
      <c r="O497" s="7"/>
      <c r="P497" s="7"/>
      <c r="Q497" s="7">
        <f ca="1">IFERROR(IF(COUNTA(P$56:P497)=P$54,P497,FORECAST(D497,OFFSET(S$56:S$254,MATCH(D497,R$56:R$254,1)-1,0,2), OFFSET(R$56:R$254,MATCH(D497,R$56:R$254,1)-1,0,2))),"")</f>
        <v>0</v>
      </c>
      <c r="R497" s="7" t="str">
        <f t="array" ref="R497">IFERROR(INDEX(E$56:E$1054,SMALL(IF(ISNUMBER(P$56:P$1054),ROW(E$1:E$999),""),ROW(J442))),"")</f>
        <v/>
      </c>
      <c r="S497" s="7" t="str">
        <f t="array" ref="S497">IFERROR(INDEX(P$56:P$1054,SMALL(IF(ISNUMBER(P$56:P$1054),ROW(P$1:P$999),""),ROW(P442))),"")</f>
        <v/>
      </c>
      <c r="T497" s="7"/>
      <c r="U497" s="7"/>
      <c r="V497" s="7"/>
    </row>
    <row r="498" spans="1:22" x14ac:dyDescent="0.25">
      <c r="A498" s="6"/>
      <c r="B498" s="11"/>
      <c r="C498" s="12"/>
      <c r="D498" s="12"/>
      <c r="E498" s="8">
        <f t="shared" si="6"/>
        <v>0</v>
      </c>
      <c r="F498" s="10"/>
      <c r="G498" s="10"/>
      <c r="H498" s="9"/>
      <c r="I498" s="7"/>
      <c r="J498" s="7"/>
      <c r="K498" s="7">
        <f ca="1">IFERROR(IF(COUNTA(J$56:J498)=J$54,J498,FORECAST(D498,OFFSET(M$56:M$254,MATCH(D498,L$56:L$254,1)-1,0,2), OFFSET(L$56:L$254,MATCH(D498,L$56:L$254,1)-1,0,2))),"")</f>
        <v>0</v>
      </c>
      <c r="L498" s="7" t="str">
        <f t="array" ref="L498">IFERROR(INDEX(D$56:D$1054,SMALL(IF(ISNUMBER(J$56:J$1054),ROW(D$1:D$999),""),ROW(D443))),"")</f>
        <v/>
      </c>
      <c r="M498" s="7" t="str">
        <f t="array" ref="M498">IFERROR(INDEX(J$56:J$1054,SMALL(IF(ISNUMBER(J$56:J$1054),ROW(J$1:J$999),""),ROW(J443))),"")</f>
        <v/>
      </c>
      <c r="N498" s="7"/>
      <c r="O498" s="7"/>
      <c r="P498" s="7"/>
      <c r="Q498" s="7">
        <f ca="1">IFERROR(IF(COUNTA(P$56:P498)=P$54,P498,FORECAST(D498,OFFSET(S$56:S$254,MATCH(D498,R$56:R$254,1)-1,0,2), OFFSET(R$56:R$254,MATCH(D498,R$56:R$254,1)-1,0,2))),"")</f>
        <v>0</v>
      </c>
      <c r="R498" s="7" t="str">
        <f t="array" ref="R498">IFERROR(INDEX(E$56:E$1054,SMALL(IF(ISNUMBER(P$56:P$1054),ROW(E$1:E$999),""),ROW(J443))),"")</f>
        <v/>
      </c>
      <c r="S498" s="7" t="str">
        <f t="array" ref="S498">IFERROR(INDEX(P$56:P$1054,SMALL(IF(ISNUMBER(P$56:P$1054),ROW(P$1:P$999),""),ROW(P443))),"")</f>
        <v/>
      </c>
      <c r="T498" s="7"/>
      <c r="U498" s="7"/>
      <c r="V498" s="7"/>
    </row>
    <row r="499" spans="1:22" x14ac:dyDescent="0.25">
      <c r="A499" s="6"/>
      <c r="B499" s="11"/>
      <c r="C499" s="12"/>
      <c r="D499" s="12"/>
      <c r="E499" s="8">
        <f t="shared" si="6"/>
        <v>0</v>
      </c>
      <c r="F499" s="10"/>
      <c r="G499" s="10"/>
      <c r="H499" s="9"/>
      <c r="I499" s="7"/>
      <c r="J499" s="7"/>
      <c r="K499" s="7">
        <f ca="1">IFERROR(IF(COUNTA(J$56:J499)=J$54,J499,FORECAST(D499,OFFSET(M$56:M$254,MATCH(D499,L$56:L$254,1)-1,0,2), OFFSET(L$56:L$254,MATCH(D499,L$56:L$254,1)-1,0,2))),"")</f>
        <v>0</v>
      </c>
      <c r="L499" s="7" t="str">
        <f t="array" ref="L499">IFERROR(INDEX(D$56:D$1054,SMALL(IF(ISNUMBER(J$56:J$1054),ROW(D$1:D$999),""),ROW(D444))),"")</f>
        <v/>
      </c>
      <c r="M499" s="7" t="str">
        <f t="array" ref="M499">IFERROR(INDEX(J$56:J$1054,SMALL(IF(ISNUMBER(J$56:J$1054),ROW(J$1:J$999),""),ROW(J444))),"")</f>
        <v/>
      </c>
      <c r="N499" s="7"/>
      <c r="O499" s="7"/>
      <c r="P499" s="7"/>
      <c r="Q499" s="7">
        <f ca="1">IFERROR(IF(COUNTA(P$56:P499)=P$54,P499,FORECAST(D499,OFFSET(S$56:S$254,MATCH(D499,R$56:R$254,1)-1,0,2), OFFSET(R$56:R$254,MATCH(D499,R$56:R$254,1)-1,0,2))),"")</f>
        <v>0</v>
      </c>
      <c r="R499" s="7" t="str">
        <f t="array" ref="R499">IFERROR(INDEX(E$56:E$1054,SMALL(IF(ISNUMBER(P$56:P$1054),ROW(E$1:E$999),""),ROW(J444))),"")</f>
        <v/>
      </c>
      <c r="S499" s="7" t="str">
        <f t="array" ref="S499">IFERROR(INDEX(P$56:P$1054,SMALL(IF(ISNUMBER(P$56:P$1054),ROW(P$1:P$999),""),ROW(P444))),"")</f>
        <v/>
      </c>
      <c r="T499" s="7"/>
      <c r="U499" s="7"/>
      <c r="V499" s="7"/>
    </row>
    <row r="500" spans="1:22" x14ac:dyDescent="0.25">
      <c r="A500" s="6"/>
      <c r="B500" s="11"/>
      <c r="C500" s="12"/>
      <c r="D500" s="12"/>
      <c r="E500" s="8">
        <f t="shared" si="6"/>
        <v>0</v>
      </c>
      <c r="F500" s="10"/>
      <c r="G500" s="10"/>
      <c r="H500" s="9"/>
      <c r="I500" s="7"/>
      <c r="J500" s="7"/>
      <c r="K500" s="7">
        <f ca="1">IFERROR(IF(COUNTA(J$56:J500)=J$54,J500,FORECAST(D500,OFFSET(M$56:M$254,MATCH(D500,L$56:L$254,1)-1,0,2), OFFSET(L$56:L$254,MATCH(D500,L$56:L$254,1)-1,0,2))),"")</f>
        <v>0</v>
      </c>
      <c r="L500" s="7" t="str">
        <f t="array" ref="L500">IFERROR(INDEX(D$56:D$1054,SMALL(IF(ISNUMBER(J$56:J$1054),ROW(D$1:D$999),""),ROW(D445))),"")</f>
        <v/>
      </c>
      <c r="M500" s="7" t="str">
        <f t="array" ref="M500">IFERROR(INDEX(J$56:J$1054,SMALL(IF(ISNUMBER(J$56:J$1054),ROW(J$1:J$999),""),ROW(J445))),"")</f>
        <v/>
      </c>
      <c r="N500" s="7"/>
      <c r="O500" s="7"/>
      <c r="P500" s="7"/>
      <c r="Q500" s="7">
        <f ca="1">IFERROR(IF(COUNTA(P$56:P500)=P$54,P500,FORECAST(D500,OFFSET(S$56:S$254,MATCH(D500,R$56:R$254,1)-1,0,2), OFFSET(R$56:R$254,MATCH(D500,R$56:R$254,1)-1,0,2))),"")</f>
        <v>0</v>
      </c>
      <c r="R500" s="7" t="str">
        <f t="array" ref="R500">IFERROR(INDEX(E$56:E$1054,SMALL(IF(ISNUMBER(P$56:P$1054),ROW(E$1:E$999),""),ROW(J445))),"")</f>
        <v/>
      </c>
      <c r="S500" s="7" t="str">
        <f t="array" ref="S500">IFERROR(INDEX(P$56:P$1054,SMALL(IF(ISNUMBER(P$56:P$1054),ROW(P$1:P$999),""),ROW(P445))),"")</f>
        <v/>
      </c>
      <c r="T500" s="7"/>
      <c r="U500" s="7"/>
      <c r="V500" s="7"/>
    </row>
    <row r="501" spans="1:22" x14ac:dyDescent="0.25">
      <c r="A501" s="6"/>
      <c r="B501" s="11"/>
      <c r="C501" s="12"/>
      <c r="D501" s="12"/>
      <c r="E501" s="8">
        <f t="shared" si="6"/>
        <v>0</v>
      </c>
      <c r="F501" s="10"/>
      <c r="G501" s="10"/>
      <c r="H501" s="9"/>
      <c r="I501" s="7"/>
      <c r="J501" s="7"/>
      <c r="K501" s="7">
        <f ca="1">IFERROR(IF(COUNTA(J$56:J501)=J$54,J501,FORECAST(D501,OFFSET(M$56:M$254,MATCH(D501,L$56:L$254,1)-1,0,2), OFFSET(L$56:L$254,MATCH(D501,L$56:L$254,1)-1,0,2))),"")</f>
        <v>0</v>
      </c>
      <c r="L501" s="7" t="str">
        <f t="array" ref="L501">IFERROR(INDEX(D$56:D$1054,SMALL(IF(ISNUMBER(J$56:J$1054),ROW(D$1:D$999),""),ROW(D446))),"")</f>
        <v/>
      </c>
      <c r="M501" s="7" t="str">
        <f t="array" ref="M501">IFERROR(INDEX(J$56:J$1054,SMALL(IF(ISNUMBER(J$56:J$1054),ROW(J$1:J$999),""),ROW(J446))),"")</f>
        <v/>
      </c>
      <c r="N501" s="7"/>
      <c r="O501" s="7"/>
      <c r="P501" s="7"/>
      <c r="Q501" s="7">
        <f ca="1">IFERROR(IF(COUNTA(P$56:P501)=P$54,P501,FORECAST(D501,OFFSET(S$56:S$254,MATCH(D501,R$56:R$254,1)-1,0,2), OFFSET(R$56:R$254,MATCH(D501,R$56:R$254,1)-1,0,2))),"")</f>
        <v>0</v>
      </c>
      <c r="R501" s="7" t="str">
        <f t="array" ref="R501">IFERROR(INDEX(E$56:E$1054,SMALL(IF(ISNUMBER(P$56:P$1054),ROW(E$1:E$999),""),ROW(J446))),"")</f>
        <v/>
      </c>
      <c r="S501" s="7" t="str">
        <f t="array" ref="S501">IFERROR(INDEX(P$56:P$1054,SMALL(IF(ISNUMBER(P$56:P$1054),ROW(P$1:P$999),""),ROW(P446))),"")</f>
        <v/>
      </c>
      <c r="T501" s="7"/>
      <c r="U501" s="7"/>
      <c r="V501" s="7"/>
    </row>
    <row r="502" spans="1:22" x14ac:dyDescent="0.25">
      <c r="A502" s="6"/>
      <c r="B502" s="11"/>
      <c r="C502" s="12"/>
      <c r="D502" s="12"/>
      <c r="E502" s="8">
        <f t="shared" si="6"/>
        <v>0</v>
      </c>
      <c r="F502" s="10"/>
      <c r="G502" s="10"/>
      <c r="H502" s="9"/>
      <c r="I502" s="7"/>
      <c r="J502" s="7"/>
      <c r="K502" s="7">
        <f ca="1">IFERROR(IF(COUNTA(J$56:J502)=J$54,J502,FORECAST(D502,OFFSET(M$56:M$254,MATCH(D502,L$56:L$254,1)-1,0,2), OFFSET(L$56:L$254,MATCH(D502,L$56:L$254,1)-1,0,2))),"")</f>
        <v>0</v>
      </c>
      <c r="L502" s="7" t="str">
        <f t="array" ref="L502">IFERROR(INDEX(D$56:D$1054,SMALL(IF(ISNUMBER(J$56:J$1054),ROW(D$1:D$999),""),ROW(D447))),"")</f>
        <v/>
      </c>
      <c r="M502" s="7" t="str">
        <f t="array" ref="M502">IFERROR(INDEX(J$56:J$1054,SMALL(IF(ISNUMBER(J$56:J$1054),ROW(J$1:J$999),""),ROW(J447))),"")</f>
        <v/>
      </c>
      <c r="N502" s="7"/>
      <c r="O502" s="7"/>
      <c r="P502" s="7"/>
      <c r="Q502" s="7">
        <f ca="1">IFERROR(IF(COUNTA(P$56:P502)=P$54,P502,FORECAST(D502,OFFSET(S$56:S$254,MATCH(D502,R$56:R$254,1)-1,0,2), OFFSET(R$56:R$254,MATCH(D502,R$56:R$254,1)-1,0,2))),"")</f>
        <v>0</v>
      </c>
      <c r="R502" s="7" t="str">
        <f t="array" ref="R502">IFERROR(INDEX(E$56:E$1054,SMALL(IF(ISNUMBER(P$56:P$1054),ROW(E$1:E$999),""),ROW(J447))),"")</f>
        <v/>
      </c>
      <c r="S502" s="7" t="str">
        <f t="array" ref="S502">IFERROR(INDEX(P$56:P$1054,SMALL(IF(ISNUMBER(P$56:P$1054),ROW(P$1:P$999),""),ROW(P447))),"")</f>
        <v/>
      </c>
      <c r="T502" s="7"/>
      <c r="U502" s="7"/>
      <c r="V502" s="7"/>
    </row>
    <row r="503" spans="1:22" x14ac:dyDescent="0.25">
      <c r="A503" s="6"/>
      <c r="B503" s="11"/>
      <c r="C503" s="12"/>
      <c r="D503" s="12"/>
      <c r="E503" s="8">
        <f t="shared" si="6"/>
        <v>0</v>
      </c>
      <c r="F503" s="10"/>
      <c r="G503" s="10"/>
      <c r="H503" s="9"/>
      <c r="I503" s="7"/>
      <c r="J503" s="7"/>
      <c r="K503" s="7">
        <f ca="1">IFERROR(IF(COUNTA(J$56:J503)=J$54,J503,FORECAST(D503,OFFSET(M$56:M$254,MATCH(D503,L$56:L$254,1)-1,0,2), OFFSET(L$56:L$254,MATCH(D503,L$56:L$254,1)-1,0,2))),"")</f>
        <v>0</v>
      </c>
      <c r="L503" s="7" t="str">
        <f t="array" ref="L503">IFERROR(INDEX(D$56:D$1054,SMALL(IF(ISNUMBER(J$56:J$1054),ROW(D$1:D$999),""),ROW(D448))),"")</f>
        <v/>
      </c>
      <c r="M503" s="7" t="str">
        <f t="array" ref="M503">IFERROR(INDEX(J$56:J$1054,SMALL(IF(ISNUMBER(J$56:J$1054),ROW(J$1:J$999),""),ROW(J448))),"")</f>
        <v/>
      </c>
      <c r="N503" s="7"/>
      <c r="O503" s="7"/>
      <c r="P503" s="7"/>
      <c r="Q503" s="7">
        <f ca="1">IFERROR(IF(COUNTA(P$56:P503)=P$54,P503,FORECAST(D503,OFFSET(S$56:S$254,MATCH(D503,R$56:R$254,1)-1,0,2), OFFSET(R$56:R$254,MATCH(D503,R$56:R$254,1)-1,0,2))),"")</f>
        <v>0</v>
      </c>
      <c r="R503" s="7" t="str">
        <f t="array" ref="R503">IFERROR(INDEX(E$56:E$1054,SMALL(IF(ISNUMBER(P$56:P$1054),ROW(E$1:E$999),""),ROW(J448))),"")</f>
        <v/>
      </c>
      <c r="S503" s="7" t="str">
        <f t="array" ref="S503">IFERROR(INDEX(P$56:P$1054,SMALL(IF(ISNUMBER(P$56:P$1054),ROW(P$1:P$999),""),ROW(P448))),"")</f>
        <v/>
      </c>
      <c r="T503" s="7"/>
      <c r="U503" s="7"/>
      <c r="V503" s="7"/>
    </row>
    <row r="504" spans="1:22" x14ac:dyDescent="0.25">
      <c r="A504" s="6"/>
      <c r="B504" s="11"/>
      <c r="C504" s="12"/>
      <c r="D504" s="12"/>
      <c r="E504" s="8">
        <f t="shared" si="6"/>
        <v>0</v>
      </c>
      <c r="F504" s="10"/>
      <c r="G504" s="10"/>
      <c r="H504" s="9"/>
      <c r="I504" s="7"/>
      <c r="J504" s="7"/>
      <c r="K504" s="7">
        <f ca="1">IFERROR(IF(COUNTA(J$56:J504)=J$54,J504,FORECAST(D504,OFFSET(M$56:M$254,MATCH(D504,L$56:L$254,1)-1,0,2), OFFSET(L$56:L$254,MATCH(D504,L$56:L$254,1)-1,0,2))),"")</f>
        <v>0</v>
      </c>
      <c r="L504" s="7" t="str">
        <f t="array" ref="L504">IFERROR(INDEX(D$56:D$1054,SMALL(IF(ISNUMBER(J$56:J$1054),ROW(D$1:D$999),""),ROW(D449))),"")</f>
        <v/>
      </c>
      <c r="M504" s="7" t="str">
        <f t="array" ref="M504">IFERROR(INDEX(J$56:J$1054,SMALL(IF(ISNUMBER(J$56:J$1054),ROW(J$1:J$999),""),ROW(J449))),"")</f>
        <v/>
      </c>
      <c r="N504" s="7"/>
      <c r="O504" s="7"/>
      <c r="P504" s="7"/>
      <c r="Q504" s="7">
        <f ca="1">IFERROR(IF(COUNTA(P$56:P504)=P$54,P504,FORECAST(D504,OFFSET(S$56:S$254,MATCH(D504,R$56:R$254,1)-1,0,2), OFFSET(R$56:R$254,MATCH(D504,R$56:R$254,1)-1,0,2))),"")</f>
        <v>0</v>
      </c>
      <c r="R504" s="7" t="str">
        <f t="array" ref="R504">IFERROR(INDEX(E$56:E$1054,SMALL(IF(ISNUMBER(P$56:P$1054),ROW(E$1:E$999),""),ROW(J449))),"")</f>
        <v/>
      </c>
      <c r="S504" s="7" t="str">
        <f t="array" ref="S504">IFERROR(INDEX(P$56:P$1054,SMALL(IF(ISNUMBER(P$56:P$1054),ROW(P$1:P$999),""),ROW(P449))),"")</f>
        <v/>
      </c>
      <c r="T504" s="7"/>
      <c r="U504" s="7"/>
      <c r="V504" s="7"/>
    </row>
    <row r="505" spans="1:22" x14ac:dyDescent="0.25">
      <c r="A505" s="6"/>
      <c r="B505" s="11"/>
      <c r="C505" s="12"/>
      <c r="D505" s="12"/>
      <c r="E505" s="8">
        <f t="shared" si="6"/>
        <v>0</v>
      </c>
      <c r="F505" s="10"/>
      <c r="G505" s="10"/>
      <c r="H505" s="9"/>
      <c r="I505" s="7"/>
      <c r="J505" s="7"/>
      <c r="K505" s="7">
        <f ca="1">IFERROR(IF(COUNTA(J$56:J505)=J$54,J505,FORECAST(D505,OFFSET(M$56:M$254,MATCH(D505,L$56:L$254,1)-1,0,2), OFFSET(L$56:L$254,MATCH(D505,L$56:L$254,1)-1,0,2))),"")</f>
        <v>0</v>
      </c>
      <c r="L505" s="7" t="str">
        <f t="array" ref="L505">IFERROR(INDEX(D$56:D$1054,SMALL(IF(ISNUMBER(J$56:J$1054),ROW(D$1:D$999),""),ROW(D450))),"")</f>
        <v/>
      </c>
      <c r="M505" s="7" t="str">
        <f t="array" ref="M505">IFERROR(INDEX(J$56:J$1054,SMALL(IF(ISNUMBER(J$56:J$1054),ROW(J$1:J$999),""),ROW(J450))),"")</f>
        <v/>
      </c>
      <c r="N505" s="7"/>
      <c r="O505" s="7"/>
      <c r="P505" s="7"/>
      <c r="Q505" s="7">
        <f ca="1">IFERROR(IF(COUNTA(P$56:P505)=P$54,P505,FORECAST(D505,OFFSET(S$56:S$254,MATCH(D505,R$56:R$254,1)-1,0,2), OFFSET(R$56:R$254,MATCH(D505,R$56:R$254,1)-1,0,2))),"")</f>
        <v>0</v>
      </c>
      <c r="R505" s="7" t="str">
        <f t="array" ref="R505">IFERROR(INDEX(E$56:E$1054,SMALL(IF(ISNUMBER(P$56:P$1054),ROW(E$1:E$999),""),ROW(J450))),"")</f>
        <v/>
      </c>
      <c r="S505" s="7" t="str">
        <f t="array" ref="S505">IFERROR(INDEX(P$56:P$1054,SMALL(IF(ISNUMBER(P$56:P$1054),ROW(P$1:P$999),""),ROW(P450))),"")</f>
        <v/>
      </c>
      <c r="T505" s="7"/>
      <c r="U505" s="7"/>
      <c r="V505" s="7"/>
    </row>
    <row r="506" spans="1:22" x14ac:dyDescent="0.25">
      <c r="A506" s="6"/>
      <c r="B506" s="11"/>
      <c r="C506" s="12"/>
      <c r="D506" s="12"/>
      <c r="E506" s="8">
        <f t="shared" ref="E506:E569" si="7">IF(NOT(ISBLANK(D506)),D506+C$54,0)</f>
        <v>0</v>
      </c>
      <c r="F506" s="10"/>
      <c r="G506" s="10"/>
      <c r="H506" s="9"/>
      <c r="I506" s="7"/>
      <c r="J506" s="7"/>
      <c r="K506" s="7">
        <f ca="1">IFERROR(IF(COUNTA(J$56:J506)=J$54,J506,FORECAST(D506,OFFSET(M$56:M$254,MATCH(D506,L$56:L$254,1)-1,0,2), OFFSET(L$56:L$254,MATCH(D506,L$56:L$254,1)-1,0,2))),"")</f>
        <v>0</v>
      </c>
      <c r="L506" s="7" t="str">
        <f t="array" ref="L506">IFERROR(INDEX(D$56:D$1054,SMALL(IF(ISNUMBER(J$56:J$1054),ROW(D$1:D$999),""),ROW(D451))),"")</f>
        <v/>
      </c>
      <c r="M506" s="7" t="str">
        <f t="array" ref="M506">IFERROR(INDEX(J$56:J$1054,SMALL(IF(ISNUMBER(J$56:J$1054),ROW(J$1:J$999),""),ROW(J451))),"")</f>
        <v/>
      </c>
      <c r="N506" s="7"/>
      <c r="O506" s="7"/>
      <c r="P506" s="7"/>
      <c r="Q506" s="7">
        <f ca="1">IFERROR(IF(COUNTA(P$56:P506)=P$54,P506,FORECAST(D506,OFFSET(S$56:S$254,MATCH(D506,R$56:R$254,1)-1,0,2), OFFSET(R$56:R$254,MATCH(D506,R$56:R$254,1)-1,0,2))),"")</f>
        <v>0</v>
      </c>
      <c r="R506" s="7" t="str">
        <f t="array" ref="R506">IFERROR(INDEX(E$56:E$1054,SMALL(IF(ISNUMBER(P$56:P$1054),ROW(E$1:E$999),""),ROW(J451))),"")</f>
        <v/>
      </c>
      <c r="S506" s="7" t="str">
        <f t="array" ref="S506">IFERROR(INDEX(P$56:P$1054,SMALL(IF(ISNUMBER(P$56:P$1054),ROW(P$1:P$999),""),ROW(P451))),"")</f>
        <v/>
      </c>
      <c r="T506" s="7"/>
      <c r="U506" s="7"/>
      <c r="V506" s="7"/>
    </row>
    <row r="507" spans="1:22" x14ac:dyDescent="0.25">
      <c r="A507" s="6"/>
      <c r="B507" s="11"/>
      <c r="C507" s="12"/>
      <c r="D507" s="12"/>
      <c r="E507" s="8">
        <f t="shared" si="7"/>
        <v>0</v>
      </c>
      <c r="F507" s="10"/>
      <c r="G507" s="10"/>
      <c r="H507" s="9"/>
      <c r="I507" s="7"/>
      <c r="J507" s="7"/>
      <c r="K507" s="7">
        <f ca="1">IFERROR(IF(COUNTA(J$56:J507)=J$54,J507,FORECAST(D507,OFFSET(M$56:M$254,MATCH(D507,L$56:L$254,1)-1,0,2), OFFSET(L$56:L$254,MATCH(D507,L$56:L$254,1)-1,0,2))),"")</f>
        <v>0</v>
      </c>
      <c r="L507" s="7" t="str">
        <f t="array" ref="L507">IFERROR(INDEX(D$56:D$1054,SMALL(IF(ISNUMBER(J$56:J$1054),ROW(D$1:D$999),""),ROW(D452))),"")</f>
        <v/>
      </c>
      <c r="M507" s="7" t="str">
        <f t="array" ref="M507">IFERROR(INDEX(J$56:J$1054,SMALL(IF(ISNUMBER(J$56:J$1054),ROW(J$1:J$999),""),ROW(J452))),"")</f>
        <v/>
      </c>
      <c r="N507" s="7"/>
      <c r="O507" s="7"/>
      <c r="P507" s="7"/>
      <c r="Q507" s="7">
        <f ca="1">IFERROR(IF(COUNTA(P$56:P507)=P$54,P507,FORECAST(D507,OFFSET(S$56:S$254,MATCH(D507,R$56:R$254,1)-1,0,2), OFFSET(R$56:R$254,MATCH(D507,R$56:R$254,1)-1,0,2))),"")</f>
        <v>0</v>
      </c>
      <c r="R507" s="7" t="str">
        <f t="array" ref="R507">IFERROR(INDEX(E$56:E$1054,SMALL(IF(ISNUMBER(P$56:P$1054),ROW(E$1:E$999),""),ROW(J452))),"")</f>
        <v/>
      </c>
      <c r="S507" s="7" t="str">
        <f t="array" ref="S507">IFERROR(INDEX(P$56:P$1054,SMALL(IF(ISNUMBER(P$56:P$1054),ROW(P$1:P$999),""),ROW(P452))),"")</f>
        <v/>
      </c>
      <c r="T507" s="7"/>
      <c r="U507" s="7"/>
      <c r="V507" s="7"/>
    </row>
    <row r="508" spans="1:22" x14ac:dyDescent="0.25">
      <c r="A508" s="6"/>
      <c r="B508" s="11"/>
      <c r="C508" s="12"/>
      <c r="D508" s="12"/>
      <c r="E508" s="8">
        <f t="shared" si="7"/>
        <v>0</v>
      </c>
      <c r="F508" s="10"/>
      <c r="G508" s="10"/>
      <c r="H508" s="9"/>
      <c r="I508" s="7"/>
      <c r="J508" s="7"/>
      <c r="K508" s="7">
        <f ca="1">IFERROR(IF(COUNTA(J$56:J508)=J$54,J508,FORECAST(D508,OFFSET(M$56:M$254,MATCH(D508,L$56:L$254,1)-1,0,2), OFFSET(L$56:L$254,MATCH(D508,L$56:L$254,1)-1,0,2))),"")</f>
        <v>0</v>
      </c>
      <c r="L508" s="7" t="str">
        <f t="array" ref="L508">IFERROR(INDEX(D$56:D$1054,SMALL(IF(ISNUMBER(J$56:J$1054),ROW(D$1:D$999),""),ROW(D453))),"")</f>
        <v/>
      </c>
      <c r="M508" s="7" t="str">
        <f t="array" ref="M508">IFERROR(INDEX(J$56:J$1054,SMALL(IF(ISNUMBER(J$56:J$1054),ROW(J$1:J$999),""),ROW(J453))),"")</f>
        <v/>
      </c>
      <c r="N508" s="7"/>
      <c r="O508" s="7"/>
      <c r="P508" s="7"/>
      <c r="Q508" s="7">
        <f ca="1">IFERROR(IF(COUNTA(P$56:P508)=P$54,P508,FORECAST(D508,OFFSET(S$56:S$254,MATCH(D508,R$56:R$254,1)-1,0,2), OFFSET(R$56:R$254,MATCH(D508,R$56:R$254,1)-1,0,2))),"")</f>
        <v>0</v>
      </c>
      <c r="R508" s="7" t="str">
        <f t="array" ref="R508">IFERROR(INDEX(E$56:E$1054,SMALL(IF(ISNUMBER(P$56:P$1054),ROW(E$1:E$999),""),ROW(J453))),"")</f>
        <v/>
      </c>
      <c r="S508" s="7" t="str">
        <f t="array" ref="S508">IFERROR(INDEX(P$56:P$1054,SMALL(IF(ISNUMBER(P$56:P$1054),ROW(P$1:P$999),""),ROW(P453))),"")</f>
        <v/>
      </c>
      <c r="T508" s="7"/>
      <c r="U508" s="7"/>
      <c r="V508" s="7"/>
    </row>
    <row r="509" spans="1:22" x14ac:dyDescent="0.25">
      <c r="A509" s="6"/>
      <c r="B509" s="11"/>
      <c r="C509" s="12"/>
      <c r="D509" s="12"/>
      <c r="E509" s="8">
        <f t="shared" si="7"/>
        <v>0</v>
      </c>
      <c r="F509" s="10"/>
      <c r="G509" s="10"/>
      <c r="H509" s="9"/>
      <c r="I509" s="7"/>
      <c r="J509" s="7"/>
      <c r="K509" s="7">
        <f ca="1">IFERROR(IF(COUNTA(J$56:J509)=J$54,J509,FORECAST(D509,OFFSET(M$56:M$254,MATCH(D509,L$56:L$254,1)-1,0,2), OFFSET(L$56:L$254,MATCH(D509,L$56:L$254,1)-1,0,2))),"")</f>
        <v>0</v>
      </c>
      <c r="L509" s="7" t="str">
        <f t="array" ref="L509">IFERROR(INDEX(D$56:D$1054,SMALL(IF(ISNUMBER(J$56:J$1054),ROW(D$1:D$999),""),ROW(D454))),"")</f>
        <v/>
      </c>
      <c r="M509" s="7" t="str">
        <f t="array" ref="M509">IFERROR(INDEX(J$56:J$1054,SMALL(IF(ISNUMBER(J$56:J$1054),ROW(J$1:J$999),""),ROW(J454))),"")</f>
        <v/>
      </c>
      <c r="N509" s="7"/>
      <c r="O509" s="7"/>
      <c r="P509" s="7"/>
      <c r="Q509" s="7">
        <f ca="1">IFERROR(IF(COUNTA(P$56:P509)=P$54,P509,FORECAST(D509,OFFSET(S$56:S$254,MATCH(D509,R$56:R$254,1)-1,0,2), OFFSET(R$56:R$254,MATCH(D509,R$56:R$254,1)-1,0,2))),"")</f>
        <v>0</v>
      </c>
      <c r="R509" s="7" t="str">
        <f t="array" ref="R509">IFERROR(INDEX(E$56:E$1054,SMALL(IF(ISNUMBER(P$56:P$1054),ROW(E$1:E$999),""),ROW(J454))),"")</f>
        <v/>
      </c>
      <c r="S509" s="7" t="str">
        <f t="array" ref="S509">IFERROR(INDEX(P$56:P$1054,SMALL(IF(ISNUMBER(P$56:P$1054),ROW(P$1:P$999),""),ROW(P454))),"")</f>
        <v/>
      </c>
      <c r="T509" s="7"/>
      <c r="U509" s="7"/>
      <c r="V509" s="7"/>
    </row>
    <row r="510" spans="1:22" x14ac:dyDescent="0.25">
      <c r="A510" s="6"/>
      <c r="B510" s="11"/>
      <c r="C510" s="12"/>
      <c r="D510" s="12"/>
      <c r="E510" s="8">
        <f t="shared" si="7"/>
        <v>0</v>
      </c>
      <c r="F510" s="10"/>
      <c r="G510" s="10"/>
      <c r="H510" s="9"/>
      <c r="I510" s="7"/>
      <c r="J510" s="7"/>
      <c r="K510" s="7">
        <f ca="1">IFERROR(IF(COUNTA(J$56:J510)=J$54,J510,FORECAST(D510,OFFSET(M$56:M$254,MATCH(D510,L$56:L$254,1)-1,0,2), OFFSET(L$56:L$254,MATCH(D510,L$56:L$254,1)-1,0,2))),"")</f>
        <v>0</v>
      </c>
      <c r="L510" s="7" t="str">
        <f t="array" ref="L510">IFERROR(INDEX(D$56:D$1054,SMALL(IF(ISNUMBER(J$56:J$1054),ROW(D$1:D$999),""),ROW(D455))),"")</f>
        <v/>
      </c>
      <c r="M510" s="7" t="str">
        <f t="array" ref="M510">IFERROR(INDEX(J$56:J$1054,SMALL(IF(ISNUMBER(J$56:J$1054),ROW(J$1:J$999),""),ROW(J455))),"")</f>
        <v/>
      </c>
      <c r="N510" s="7"/>
      <c r="O510" s="7"/>
      <c r="P510" s="7"/>
      <c r="Q510" s="7">
        <f ca="1">IFERROR(IF(COUNTA(P$56:P510)=P$54,P510,FORECAST(D510,OFFSET(S$56:S$254,MATCH(D510,R$56:R$254,1)-1,0,2), OFFSET(R$56:R$254,MATCH(D510,R$56:R$254,1)-1,0,2))),"")</f>
        <v>0</v>
      </c>
      <c r="R510" s="7" t="str">
        <f t="array" ref="R510">IFERROR(INDEX(E$56:E$1054,SMALL(IF(ISNUMBER(P$56:P$1054),ROW(E$1:E$999),""),ROW(J455))),"")</f>
        <v/>
      </c>
      <c r="S510" s="7" t="str">
        <f t="array" ref="S510">IFERROR(INDEX(P$56:P$1054,SMALL(IF(ISNUMBER(P$56:P$1054),ROW(P$1:P$999),""),ROW(P455))),"")</f>
        <v/>
      </c>
      <c r="T510" s="7"/>
      <c r="U510" s="7"/>
      <c r="V510" s="7"/>
    </row>
    <row r="511" spans="1:22" x14ac:dyDescent="0.25">
      <c r="A511" s="6"/>
      <c r="B511" s="11"/>
      <c r="C511" s="12"/>
      <c r="D511" s="12"/>
      <c r="E511" s="8">
        <f t="shared" si="7"/>
        <v>0</v>
      </c>
      <c r="F511" s="10"/>
      <c r="G511" s="10"/>
      <c r="H511" s="9"/>
      <c r="I511" s="7"/>
      <c r="J511" s="7"/>
      <c r="K511" s="7">
        <f ca="1">IFERROR(IF(COUNTA(J$56:J511)=J$54,J511,FORECAST(D511,OFFSET(M$56:M$254,MATCH(D511,L$56:L$254,1)-1,0,2), OFFSET(L$56:L$254,MATCH(D511,L$56:L$254,1)-1,0,2))),"")</f>
        <v>0</v>
      </c>
      <c r="L511" s="7" t="str">
        <f t="array" ref="L511">IFERROR(INDEX(D$56:D$1054,SMALL(IF(ISNUMBER(J$56:J$1054),ROW(D$1:D$999),""),ROW(D456))),"")</f>
        <v/>
      </c>
      <c r="M511" s="7" t="str">
        <f t="array" ref="M511">IFERROR(INDEX(J$56:J$1054,SMALL(IF(ISNUMBER(J$56:J$1054),ROW(J$1:J$999),""),ROW(J456))),"")</f>
        <v/>
      </c>
      <c r="N511" s="7"/>
      <c r="O511" s="7"/>
      <c r="P511" s="7"/>
      <c r="Q511" s="7">
        <f ca="1">IFERROR(IF(COUNTA(P$56:P511)=P$54,P511,FORECAST(D511,OFFSET(S$56:S$254,MATCH(D511,R$56:R$254,1)-1,0,2), OFFSET(R$56:R$254,MATCH(D511,R$56:R$254,1)-1,0,2))),"")</f>
        <v>0</v>
      </c>
      <c r="R511" s="7" t="str">
        <f t="array" ref="R511">IFERROR(INDEX(E$56:E$1054,SMALL(IF(ISNUMBER(P$56:P$1054),ROW(E$1:E$999),""),ROW(J456))),"")</f>
        <v/>
      </c>
      <c r="S511" s="7" t="str">
        <f t="array" ref="S511">IFERROR(INDEX(P$56:P$1054,SMALL(IF(ISNUMBER(P$56:P$1054),ROW(P$1:P$999),""),ROW(P456))),"")</f>
        <v/>
      </c>
      <c r="T511" s="7"/>
      <c r="U511" s="7"/>
      <c r="V511" s="7"/>
    </row>
    <row r="512" spans="1:22" x14ac:dyDescent="0.25">
      <c r="A512" s="6"/>
      <c r="B512" s="11"/>
      <c r="C512" s="12"/>
      <c r="D512" s="12"/>
      <c r="E512" s="8">
        <f t="shared" si="7"/>
        <v>0</v>
      </c>
      <c r="F512" s="10"/>
      <c r="G512" s="10"/>
      <c r="H512" s="9"/>
      <c r="I512" s="7"/>
      <c r="J512" s="7"/>
      <c r="K512" s="7">
        <f ca="1">IFERROR(IF(COUNTA(J$56:J512)=J$54,J512,FORECAST(D512,OFFSET(M$56:M$254,MATCH(D512,L$56:L$254,1)-1,0,2), OFFSET(L$56:L$254,MATCH(D512,L$56:L$254,1)-1,0,2))),"")</f>
        <v>0</v>
      </c>
      <c r="L512" s="7" t="str">
        <f t="array" ref="L512">IFERROR(INDEX(D$56:D$1054,SMALL(IF(ISNUMBER(J$56:J$1054),ROW(D$1:D$999),""),ROW(D457))),"")</f>
        <v/>
      </c>
      <c r="M512" s="7" t="str">
        <f t="array" ref="M512">IFERROR(INDEX(J$56:J$1054,SMALL(IF(ISNUMBER(J$56:J$1054),ROW(J$1:J$999),""),ROW(J457))),"")</f>
        <v/>
      </c>
      <c r="N512" s="7"/>
      <c r="O512" s="7"/>
      <c r="P512" s="7"/>
      <c r="Q512" s="7">
        <f ca="1">IFERROR(IF(COUNTA(P$56:P512)=P$54,P512,FORECAST(D512,OFFSET(S$56:S$254,MATCH(D512,R$56:R$254,1)-1,0,2), OFFSET(R$56:R$254,MATCH(D512,R$56:R$254,1)-1,0,2))),"")</f>
        <v>0</v>
      </c>
      <c r="R512" s="7" t="str">
        <f t="array" ref="R512">IFERROR(INDEX(E$56:E$1054,SMALL(IF(ISNUMBER(P$56:P$1054),ROW(E$1:E$999),""),ROW(J457))),"")</f>
        <v/>
      </c>
      <c r="S512" s="7" t="str">
        <f t="array" ref="S512">IFERROR(INDEX(P$56:P$1054,SMALL(IF(ISNUMBER(P$56:P$1054),ROW(P$1:P$999),""),ROW(P457))),"")</f>
        <v/>
      </c>
      <c r="T512" s="7"/>
      <c r="U512" s="7"/>
      <c r="V512" s="7"/>
    </row>
    <row r="513" spans="1:22" x14ac:dyDescent="0.25">
      <c r="A513" s="6"/>
      <c r="B513" s="11"/>
      <c r="C513" s="12"/>
      <c r="D513" s="12"/>
      <c r="E513" s="8">
        <f t="shared" si="7"/>
        <v>0</v>
      </c>
      <c r="F513" s="10"/>
      <c r="G513" s="10"/>
      <c r="H513" s="9"/>
      <c r="I513" s="7"/>
      <c r="J513" s="7"/>
      <c r="K513" s="7">
        <f ca="1">IFERROR(IF(COUNTA(J$56:J513)=J$54,J513,FORECAST(D513,OFFSET(M$56:M$254,MATCH(D513,L$56:L$254,1)-1,0,2), OFFSET(L$56:L$254,MATCH(D513,L$56:L$254,1)-1,0,2))),"")</f>
        <v>0</v>
      </c>
      <c r="L513" s="7" t="str">
        <f t="array" ref="L513">IFERROR(INDEX(D$56:D$1054,SMALL(IF(ISNUMBER(J$56:J$1054),ROW(D$1:D$999),""),ROW(D458))),"")</f>
        <v/>
      </c>
      <c r="M513" s="7" t="str">
        <f t="array" ref="M513">IFERROR(INDEX(J$56:J$1054,SMALL(IF(ISNUMBER(J$56:J$1054),ROW(J$1:J$999),""),ROW(J458))),"")</f>
        <v/>
      </c>
      <c r="N513" s="7"/>
      <c r="O513" s="7"/>
      <c r="P513" s="7"/>
      <c r="Q513" s="7">
        <f ca="1">IFERROR(IF(COUNTA(P$56:P513)=P$54,P513,FORECAST(D513,OFFSET(S$56:S$254,MATCH(D513,R$56:R$254,1)-1,0,2), OFFSET(R$56:R$254,MATCH(D513,R$56:R$254,1)-1,0,2))),"")</f>
        <v>0</v>
      </c>
      <c r="R513" s="7" t="str">
        <f t="array" ref="R513">IFERROR(INDEX(E$56:E$1054,SMALL(IF(ISNUMBER(P$56:P$1054),ROW(E$1:E$999),""),ROW(J458))),"")</f>
        <v/>
      </c>
      <c r="S513" s="7" t="str">
        <f t="array" ref="S513">IFERROR(INDEX(P$56:P$1054,SMALL(IF(ISNUMBER(P$56:P$1054),ROW(P$1:P$999),""),ROW(P458))),"")</f>
        <v/>
      </c>
      <c r="T513" s="7"/>
      <c r="U513" s="7"/>
      <c r="V513" s="7"/>
    </row>
    <row r="514" spans="1:22" x14ac:dyDescent="0.25">
      <c r="A514" s="6"/>
      <c r="B514" s="11"/>
      <c r="C514" s="12"/>
      <c r="D514" s="12"/>
      <c r="E514" s="8">
        <f t="shared" si="7"/>
        <v>0</v>
      </c>
      <c r="F514" s="10"/>
      <c r="G514" s="10"/>
      <c r="H514" s="9"/>
      <c r="I514" s="7"/>
      <c r="J514" s="7"/>
      <c r="K514" s="7">
        <f ca="1">IFERROR(IF(COUNTA(J$56:J514)=J$54,J514,FORECAST(D514,OFFSET(M$56:M$254,MATCH(D514,L$56:L$254,1)-1,0,2), OFFSET(L$56:L$254,MATCH(D514,L$56:L$254,1)-1,0,2))),"")</f>
        <v>0</v>
      </c>
      <c r="L514" s="7" t="str">
        <f t="array" ref="L514">IFERROR(INDEX(D$56:D$1054,SMALL(IF(ISNUMBER(J$56:J$1054),ROW(D$1:D$999),""),ROW(D459))),"")</f>
        <v/>
      </c>
      <c r="M514" s="7" t="str">
        <f t="array" ref="M514">IFERROR(INDEX(J$56:J$1054,SMALL(IF(ISNUMBER(J$56:J$1054),ROW(J$1:J$999),""),ROW(J459))),"")</f>
        <v/>
      </c>
      <c r="N514" s="7"/>
      <c r="O514" s="7"/>
      <c r="P514" s="7"/>
      <c r="Q514" s="7">
        <f ca="1">IFERROR(IF(COUNTA(P$56:P514)=P$54,P514,FORECAST(D514,OFFSET(S$56:S$254,MATCH(D514,R$56:R$254,1)-1,0,2), OFFSET(R$56:R$254,MATCH(D514,R$56:R$254,1)-1,0,2))),"")</f>
        <v>0</v>
      </c>
      <c r="R514" s="7" t="str">
        <f t="array" ref="R514">IFERROR(INDEX(E$56:E$1054,SMALL(IF(ISNUMBER(P$56:P$1054),ROW(E$1:E$999),""),ROW(J459))),"")</f>
        <v/>
      </c>
      <c r="S514" s="7" t="str">
        <f t="array" ref="S514">IFERROR(INDEX(P$56:P$1054,SMALL(IF(ISNUMBER(P$56:P$1054),ROW(P$1:P$999),""),ROW(P459))),"")</f>
        <v/>
      </c>
      <c r="T514" s="7"/>
      <c r="U514" s="7"/>
      <c r="V514" s="7"/>
    </row>
    <row r="515" spans="1:22" x14ac:dyDescent="0.25">
      <c r="A515" s="6"/>
      <c r="B515" s="11"/>
      <c r="C515" s="12"/>
      <c r="D515" s="12"/>
      <c r="E515" s="8">
        <f t="shared" si="7"/>
        <v>0</v>
      </c>
      <c r="F515" s="10"/>
      <c r="G515" s="10"/>
      <c r="H515" s="9"/>
      <c r="I515" s="7"/>
      <c r="J515" s="7"/>
      <c r="K515" s="7">
        <f ca="1">IFERROR(IF(COUNTA(J$56:J515)=J$54,J515,FORECAST(D515,OFFSET(M$56:M$254,MATCH(D515,L$56:L$254,1)-1,0,2), OFFSET(L$56:L$254,MATCH(D515,L$56:L$254,1)-1,0,2))),"")</f>
        <v>0</v>
      </c>
      <c r="L515" s="7" t="str">
        <f t="array" ref="L515">IFERROR(INDEX(D$56:D$1054,SMALL(IF(ISNUMBER(J$56:J$1054),ROW(D$1:D$999),""),ROW(D460))),"")</f>
        <v/>
      </c>
      <c r="M515" s="7" t="str">
        <f t="array" ref="M515">IFERROR(INDEX(J$56:J$1054,SMALL(IF(ISNUMBER(J$56:J$1054),ROW(J$1:J$999),""),ROW(J460))),"")</f>
        <v/>
      </c>
      <c r="N515" s="7"/>
      <c r="O515" s="7"/>
      <c r="P515" s="7"/>
      <c r="Q515" s="7">
        <f ca="1">IFERROR(IF(COUNTA(P$56:P515)=P$54,P515,FORECAST(D515,OFFSET(S$56:S$254,MATCH(D515,R$56:R$254,1)-1,0,2), OFFSET(R$56:R$254,MATCH(D515,R$56:R$254,1)-1,0,2))),"")</f>
        <v>0</v>
      </c>
      <c r="R515" s="7" t="str">
        <f t="array" ref="R515">IFERROR(INDEX(E$56:E$1054,SMALL(IF(ISNUMBER(P$56:P$1054),ROW(E$1:E$999),""),ROW(J460))),"")</f>
        <v/>
      </c>
      <c r="S515" s="7" t="str">
        <f t="array" ref="S515">IFERROR(INDEX(P$56:P$1054,SMALL(IF(ISNUMBER(P$56:P$1054),ROW(P$1:P$999),""),ROW(P460))),"")</f>
        <v/>
      </c>
      <c r="T515" s="7"/>
      <c r="U515" s="7"/>
      <c r="V515" s="7"/>
    </row>
    <row r="516" spans="1:22" x14ac:dyDescent="0.25">
      <c r="A516" s="6"/>
      <c r="B516" s="11"/>
      <c r="C516" s="12"/>
      <c r="D516" s="12"/>
      <c r="E516" s="8">
        <f t="shared" si="7"/>
        <v>0</v>
      </c>
      <c r="F516" s="10"/>
      <c r="G516" s="10"/>
      <c r="H516" s="9"/>
      <c r="I516" s="7"/>
      <c r="J516" s="7"/>
      <c r="K516" s="7">
        <f ca="1">IFERROR(IF(COUNTA(J$56:J516)=J$54,J516,FORECAST(D516,OFFSET(M$56:M$254,MATCH(D516,L$56:L$254,1)-1,0,2), OFFSET(L$56:L$254,MATCH(D516,L$56:L$254,1)-1,0,2))),"")</f>
        <v>0</v>
      </c>
      <c r="L516" s="7" t="str">
        <f t="array" ref="L516">IFERROR(INDEX(D$56:D$1054,SMALL(IF(ISNUMBER(J$56:J$1054),ROW(D$1:D$999),""),ROW(D461))),"")</f>
        <v/>
      </c>
      <c r="M516" s="7" t="str">
        <f t="array" ref="M516">IFERROR(INDEX(J$56:J$1054,SMALL(IF(ISNUMBER(J$56:J$1054),ROW(J$1:J$999),""),ROW(J461))),"")</f>
        <v/>
      </c>
      <c r="N516" s="7"/>
      <c r="O516" s="7"/>
      <c r="P516" s="7"/>
      <c r="Q516" s="7">
        <f ca="1">IFERROR(IF(COUNTA(P$56:P516)=P$54,P516,FORECAST(D516,OFFSET(S$56:S$254,MATCH(D516,R$56:R$254,1)-1,0,2), OFFSET(R$56:R$254,MATCH(D516,R$56:R$254,1)-1,0,2))),"")</f>
        <v>0</v>
      </c>
      <c r="R516" s="7" t="str">
        <f t="array" ref="R516">IFERROR(INDEX(E$56:E$1054,SMALL(IF(ISNUMBER(P$56:P$1054),ROW(E$1:E$999),""),ROW(J461))),"")</f>
        <v/>
      </c>
      <c r="S516" s="7" t="str">
        <f t="array" ref="S516">IFERROR(INDEX(P$56:P$1054,SMALL(IF(ISNUMBER(P$56:P$1054),ROW(P$1:P$999),""),ROW(P461))),"")</f>
        <v/>
      </c>
      <c r="T516" s="7"/>
      <c r="U516" s="7"/>
      <c r="V516" s="7"/>
    </row>
    <row r="517" spans="1:22" x14ac:dyDescent="0.25">
      <c r="A517" s="6"/>
      <c r="B517" s="11"/>
      <c r="C517" s="12"/>
      <c r="D517" s="12"/>
      <c r="E517" s="8">
        <f t="shared" si="7"/>
        <v>0</v>
      </c>
      <c r="F517" s="10"/>
      <c r="G517" s="10"/>
      <c r="H517" s="9"/>
      <c r="I517" s="7"/>
      <c r="J517" s="7"/>
      <c r="K517" s="7">
        <f ca="1">IFERROR(IF(COUNTA(J$56:J517)=J$54,J517,FORECAST(D517,OFFSET(M$56:M$254,MATCH(D517,L$56:L$254,1)-1,0,2), OFFSET(L$56:L$254,MATCH(D517,L$56:L$254,1)-1,0,2))),"")</f>
        <v>0</v>
      </c>
      <c r="L517" s="7" t="str">
        <f t="array" ref="L517">IFERROR(INDEX(D$56:D$1054,SMALL(IF(ISNUMBER(J$56:J$1054),ROW(D$1:D$999),""),ROW(D462))),"")</f>
        <v/>
      </c>
      <c r="M517" s="7" t="str">
        <f t="array" ref="M517">IFERROR(INDEX(J$56:J$1054,SMALL(IF(ISNUMBER(J$56:J$1054),ROW(J$1:J$999),""),ROW(J462))),"")</f>
        <v/>
      </c>
      <c r="N517" s="7"/>
      <c r="O517" s="7"/>
      <c r="P517" s="7"/>
      <c r="Q517" s="7">
        <f ca="1">IFERROR(IF(COUNTA(P$56:P517)=P$54,P517,FORECAST(D517,OFFSET(S$56:S$254,MATCH(D517,R$56:R$254,1)-1,0,2), OFFSET(R$56:R$254,MATCH(D517,R$56:R$254,1)-1,0,2))),"")</f>
        <v>0</v>
      </c>
      <c r="R517" s="7" t="str">
        <f t="array" ref="R517">IFERROR(INDEX(E$56:E$1054,SMALL(IF(ISNUMBER(P$56:P$1054),ROW(E$1:E$999),""),ROW(J462))),"")</f>
        <v/>
      </c>
      <c r="S517" s="7" t="str">
        <f t="array" ref="S517">IFERROR(INDEX(P$56:P$1054,SMALL(IF(ISNUMBER(P$56:P$1054),ROW(P$1:P$999),""),ROW(P462))),"")</f>
        <v/>
      </c>
      <c r="T517" s="7"/>
      <c r="U517" s="7"/>
      <c r="V517" s="7"/>
    </row>
    <row r="518" spans="1:22" x14ac:dyDescent="0.25">
      <c r="A518" s="6"/>
      <c r="B518" s="11"/>
      <c r="C518" s="12"/>
      <c r="D518" s="12"/>
      <c r="E518" s="8">
        <f t="shared" si="7"/>
        <v>0</v>
      </c>
      <c r="F518" s="10"/>
      <c r="G518" s="10"/>
      <c r="H518" s="9"/>
      <c r="I518" s="7"/>
      <c r="J518" s="7"/>
      <c r="K518" s="7">
        <f ca="1">IFERROR(IF(COUNTA(J$56:J518)=J$54,J518,FORECAST(D518,OFFSET(M$56:M$254,MATCH(D518,L$56:L$254,1)-1,0,2), OFFSET(L$56:L$254,MATCH(D518,L$56:L$254,1)-1,0,2))),"")</f>
        <v>0</v>
      </c>
      <c r="L518" s="7" t="str">
        <f t="array" ref="L518">IFERROR(INDEX(D$56:D$1054,SMALL(IF(ISNUMBER(J$56:J$1054),ROW(D$1:D$999),""),ROW(D463))),"")</f>
        <v/>
      </c>
      <c r="M518" s="7" t="str">
        <f t="array" ref="M518">IFERROR(INDEX(J$56:J$1054,SMALL(IF(ISNUMBER(J$56:J$1054),ROW(J$1:J$999),""),ROW(J463))),"")</f>
        <v/>
      </c>
      <c r="N518" s="7"/>
      <c r="O518" s="7"/>
      <c r="P518" s="7"/>
      <c r="Q518" s="7">
        <f ca="1">IFERROR(IF(COUNTA(P$56:P518)=P$54,P518,FORECAST(D518,OFFSET(S$56:S$254,MATCH(D518,R$56:R$254,1)-1,0,2), OFFSET(R$56:R$254,MATCH(D518,R$56:R$254,1)-1,0,2))),"")</f>
        <v>0</v>
      </c>
      <c r="R518" s="7" t="str">
        <f t="array" ref="R518">IFERROR(INDEX(E$56:E$1054,SMALL(IF(ISNUMBER(P$56:P$1054),ROW(E$1:E$999),""),ROW(J463))),"")</f>
        <v/>
      </c>
      <c r="S518" s="7" t="str">
        <f t="array" ref="S518">IFERROR(INDEX(P$56:P$1054,SMALL(IF(ISNUMBER(P$56:P$1054),ROW(P$1:P$999),""),ROW(P463))),"")</f>
        <v/>
      </c>
      <c r="T518" s="7"/>
      <c r="U518" s="7"/>
      <c r="V518" s="7"/>
    </row>
    <row r="519" spans="1:22" x14ac:dyDescent="0.25">
      <c r="A519" s="6"/>
      <c r="B519" s="11"/>
      <c r="C519" s="12"/>
      <c r="D519" s="12"/>
      <c r="E519" s="8">
        <f t="shared" si="7"/>
        <v>0</v>
      </c>
      <c r="F519" s="10"/>
      <c r="G519" s="10"/>
      <c r="H519" s="9"/>
      <c r="I519" s="7"/>
      <c r="J519" s="7"/>
      <c r="K519" s="7">
        <f ca="1">IFERROR(IF(COUNTA(J$56:J519)=J$54,J519,FORECAST(D519,OFFSET(M$56:M$254,MATCH(D519,L$56:L$254,1)-1,0,2), OFFSET(L$56:L$254,MATCH(D519,L$56:L$254,1)-1,0,2))),"")</f>
        <v>0</v>
      </c>
      <c r="L519" s="7" t="str">
        <f t="array" ref="L519">IFERROR(INDEX(D$56:D$1054,SMALL(IF(ISNUMBER(J$56:J$1054),ROW(D$1:D$999),""),ROW(D464))),"")</f>
        <v/>
      </c>
      <c r="M519" s="7" t="str">
        <f t="array" ref="M519">IFERROR(INDEX(J$56:J$1054,SMALL(IF(ISNUMBER(J$56:J$1054),ROW(J$1:J$999),""),ROW(J464))),"")</f>
        <v/>
      </c>
      <c r="N519" s="7"/>
      <c r="O519" s="7"/>
      <c r="P519" s="7"/>
      <c r="Q519" s="7">
        <f ca="1">IFERROR(IF(COUNTA(P$56:P519)=P$54,P519,FORECAST(D519,OFFSET(S$56:S$254,MATCH(D519,R$56:R$254,1)-1,0,2), OFFSET(R$56:R$254,MATCH(D519,R$56:R$254,1)-1,0,2))),"")</f>
        <v>0</v>
      </c>
      <c r="R519" s="7" t="str">
        <f t="array" ref="R519">IFERROR(INDEX(E$56:E$1054,SMALL(IF(ISNUMBER(P$56:P$1054),ROW(E$1:E$999),""),ROW(J464))),"")</f>
        <v/>
      </c>
      <c r="S519" s="7" t="str">
        <f t="array" ref="S519">IFERROR(INDEX(P$56:P$1054,SMALL(IF(ISNUMBER(P$56:P$1054),ROW(P$1:P$999),""),ROW(P464))),"")</f>
        <v/>
      </c>
      <c r="T519" s="7"/>
      <c r="U519" s="7"/>
      <c r="V519" s="7"/>
    </row>
    <row r="520" spans="1:22" x14ac:dyDescent="0.25">
      <c r="A520" s="6"/>
      <c r="B520" s="11"/>
      <c r="C520" s="12"/>
      <c r="D520" s="12"/>
      <c r="E520" s="8">
        <f t="shared" si="7"/>
        <v>0</v>
      </c>
      <c r="F520" s="10"/>
      <c r="G520" s="10"/>
      <c r="H520" s="9"/>
      <c r="I520" s="7"/>
      <c r="J520" s="7"/>
      <c r="K520" s="7">
        <f ca="1">IFERROR(IF(COUNTA(J$56:J520)=J$54,J520,FORECAST(D520,OFFSET(M$56:M$254,MATCH(D520,L$56:L$254,1)-1,0,2), OFFSET(L$56:L$254,MATCH(D520,L$56:L$254,1)-1,0,2))),"")</f>
        <v>0</v>
      </c>
      <c r="L520" s="7" t="str">
        <f t="array" ref="L520">IFERROR(INDEX(D$56:D$1054,SMALL(IF(ISNUMBER(J$56:J$1054),ROW(D$1:D$999),""),ROW(D465))),"")</f>
        <v/>
      </c>
      <c r="M520" s="7" t="str">
        <f t="array" ref="M520">IFERROR(INDEX(J$56:J$1054,SMALL(IF(ISNUMBER(J$56:J$1054),ROW(J$1:J$999),""),ROW(J465))),"")</f>
        <v/>
      </c>
      <c r="N520" s="7"/>
      <c r="O520" s="7"/>
      <c r="P520" s="7"/>
      <c r="Q520" s="7">
        <f ca="1">IFERROR(IF(COUNTA(P$56:P520)=P$54,P520,FORECAST(D520,OFFSET(S$56:S$254,MATCH(D520,R$56:R$254,1)-1,0,2), OFFSET(R$56:R$254,MATCH(D520,R$56:R$254,1)-1,0,2))),"")</f>
        <v>0</v>
      </c>
      <c r="R520" s="7" t="str">
        <f t="array" ref="R520">IFERROR(INDEX(E$56:E$1054,SMALL(IF(ISNUMBER(P$56:P$1054),ROW(E$1:E$999),""),ROW(J465))),"")</f>
        <v/>
      </c>
      <c r="S520" s="7" t="str">
        <f t="array" ref="S520">IFERROR(INDEX(P$56:P$1054,SMALL(IF(ISNUMBER(P$56:P$1054),ROW(P$1:P$999),""),ROW(P465))),"")</f>
        <v/>
      </c>
      <c r="T520" s="7"/>
      <c r="U520" s="7"/>
      <c r="V520" s="7"/>
    </row>
    <row r="521" spans="1:22" x14ac:dyDescent="0.25">
      <c r="A521" s="6"/>
      <c r="B521" s="11"/>
      <c r="C521" s="12"/>
      <c r="D521" s="12"/>
      <c r="E521" s="8">
        <f t="shared" si="7"/>
        <v>0</v>
      </c>
      <c r="F521" s="10"/>
      <c r="G521" s="10"/>
      <c r="H521" s="9"/>
      <c r="I521" s="7"/>
      <c r="J521" s="7"/>
      <c r="K521" s="7">
        <f ca="1">IFERROR(IF(COUNTA(J$56:J521)=J$54,J521,FORECAST(D521,OFFSET(M$56:M$254,MATCH(D521,L$56:L$254,1)-1,0,2), OFFSET(L$56:L$254,MATCH(D521,L$56:L$254,1)-1,0,2))),"")</f>
        <v>0</v>
      </c>
      <c r="L521" s="7" t="str">
        <f t="array" ref="L521">IFERROR(INDEX(D$56:D$1054,SMALL(IF(ISNUMBER(J$56:J$1054),ROW(D$1:D$999),""),ROW(D466))),"")</f>
        <v/>
      </c>
      <c r="M521" s="7" t="str">
        <f t="array" ref="M521">IFERROR(INDEX(J$56:J$1054,SMALL(IF(ISNUMBER(J$56:J$1054),ROW(J$1:J$999),""),ROW(J466))),"")</f>
        <v/>
      </c>
      <c r="N521" s="7"/>
      <c r="O521" s="7"/>
      <c r="P521" s="7"/>
      <c r="Q521" s="7">
        <f ca="1">IFERROR(IF(COUNTA(P$56:P521)=P$54,P521,FORECAST(D521,OFFSET(S$56:S$254,MATCH(D521,R$56:R$254,1)-1,0,2), OFFSET(R$56:R$254,MATCH(D521,R$56:R$254,1)-1,0,2))),"")</f>
        <v>0</v>
      </c>
      <c r="R521" s="7" t="str">
        <f t="array" ref="R521">IFERROR(INDEX(E$56:E$1054,SMALL(IF(ISNUMBER(P$56:P$1054),ROW(E$1:E$999),""),ROW(J466))),"")</f>
        <v/>
      </c>
      <c r="S521" s="7" t="str">
        <f t="array" ref="S521">IFERROR(INDEX(P$56:P$1054,SMALL(IF(ISNUMBER(P$56:P$1054),ROW(P$1:P$999),""),ROW(P466))),"")</f>
        <v/>
      </c>
      <c r="T521" s="7"/>
      <c r="U521" s="7"/>
      <c r="V521" s="7"/>
    </row>
    <row r="522" spans="1:22" x14ac:dyDescent="0.25">
      <c r="A522" s="6"/>
      <c r="B522" s="11"/>
      <c r="C522" s="12"/>
      <c r="D522" s="12"/>
      <c r="E522" s="8">
        <f t="shared" si="7"/>
        <v>0</v>
      </c>
      <c r="F522" s="10"/>
      <c r="G522" s="10"/>
      <c r="H522" s="9"/>
      <c r="I522" s="7"/>
      <c r="J522" s="7"/>
      <c r="K522" s="7">
        <f ca="1">IFERROR(IF(COUNTA(J$56:J522)=J$54,J522,FORECAST(D522,OFFSET(M$56:M$254,MATCH(D522,L$56:L$254,1)-1,0,2), OFFSET(L$56:L$254,MATCH(D522,L$56:L$254,1)-1,0,2))),"")</f>
        <v>0</v>
      </c>
      <c r="L522" s="7" t="str">
        <f t="array" ref="L522">IFERROR(INDEX(D$56:D$1054,SMALL(IF(ISNUMBER(J$56:J$1054),ROW(D$1:D$999),""),ROW(D467))),"")</f>
        <v/>
      </c>
      <c r="M522" s="7" t="str">
        <f t="array" ref="M522">IFERROR(INDEX(J$56:J$1054,SMALL(IF(ISNUMBER(J$56:J$1054),ROW(J$1:J$999),""),ROW(J467))),"")</f>
        <v/>
      </c>
      <c r="N522" s="7"/>
      <c r="O522" s="7"/>
      <c r="P522" s="7"/>
      <c r="Q522" s="7">
        <f ca="1">IFERROR(IF(COUNTA(P$56:P522)=P$54,P522,FORECAST(D522,OFFSET(S$56:S$254,MATCH(D522,R$56:R$254,1)-1,0,2), OFFSET(R$56:R$254,MATCH(D522,R$56:R$254,1)-1,0,2))),"")</f>
        <v>0</v>
      </c>
      <c r="R522" s="7" t="str">
        <f t="array" ref="R522">IFERROR(INDEX(E$56:E$1054,SMALL(IF(ISNUMBER(P$56:P$1054),ROW(E$1:E$999),""),ROW(J467))),"")</f>
        <v/>
      </c>
      <c r="S522" s="7" t="str">
        <f t="array" ref="S522">IFERROR(INDEX(P$56:P$1054,SMALL(IF(ISNUMBER(P$56:P$1054),ROW(P$1:P$999),""),ROW(P467))),"")</f>
        <v/>
      </c>
      <c r="T522" s="7"/>
      <c r="U522" s="7"/>
      <c r="V522" s="7"/>
    </row>
    <row r="523" spans="1:22" x14ac:dyDescent="0.25">
      <c r="A523" s="6"/>
      <c r="B523" s="11"/>
      <c r="C523" s="12"/>
      <c r="D523" s="12"/>
      <c r="E523" s="8">
        <f t="shared" si="7"/>
        <v>0</v>
      </c>
      <c r="F523" s="10"/>
      <c r="G523" s="10"/>
      <c r="H523" s="9"/>
      <c r="I523" s="7"/>
      <c r="J523" s="7"/>
      <c r="K523" s="7">
        <f ca="1">IFERROR(IF(COUNTA(J$56:J523)=J$54,J523,FORECAST(D523,OFFSET(M$56:M$254,MATCH(D523,L$56:L$254,1)-1,0,2), OFFSET(L$56:L$254,MATCH(D523,L$56:L$254,1)-1,0,2))),"")</f>
        <v>0</v>
      </c>
      <c r="L523" s="7" t="str">
        <f t="array" ref="L523">IFERROR(INDEX(D$56:D$1054,SMALL(IF(ISNUMBER(J$56:J$1054),ROW(D$1:D$999),""),ROW(D468))),"")</f>
        <v/>
      </c>
      <c r="M523" s="7" t="str">
        <f t="array" ref="M523">IFERROR(INDEX(J$56:J$1054,SMALL(IF(ISNUMBER(J$56:J$1054),ROW(J$1:J$999),""),ROW(J468))),"")</f>
        <v/>
      </c>
      <c r="N523" s="7"/>
      <c r="O523" s="7"/>
      <c r="P523" s="7"/>
      <c r="Q523" s="7">
        <f ca="1">IFERROR(IF(COUNTA(P$56:P523)=P$54,P523,FORECAST(D523,OFFSET(S$56:S$254,MATCH(D523,R$56:R$254,1)-1,0,2), OFFSET(R$56:R$254,MATCH(D523,R$56:R$254,1)-1,0,2))),"")</f>
        <v>0</v>
      </c>
      <c r="R523" s="7" t="str">
        <f t="array" ref="R523">IFERROR(INDEX(E$56:E$1054,SMALL(IF(ISNUMBER(P$56:P$1054),ROW(E$1:E$999),""),ROW(J468))),"")</f>
        <v/>
      </c>
      <c r="S523" s="7" t="str">
        <f t="array" ref="S523">IFERROR(INDEX(P$56:P$1054,SMALL(IF(ISNUMBER(P$56:P$1054),ROW(P$1:P$999),""),ROW(P468))),"")</f>
        <v/>
      </c>
      <c r="T523" s="7"/>
      <c r="U523" s="7"/>
      <c r="V523" s="7"/>
    </row>
    <row r="524" spans="1:22" x14ac:dyDescent="0.25">
      <c r="A524" s="6"/>
      <c r="B524" s="11"/>
      <c r="C524" s="12"/>
      <c r="D524" s="12"/>
      <c r="E524" s="8">
        <f t="shared" si="7"/>
        <v>0</v>
      </c>
      <c r="F524" s="10"/>
      <c r="G524" s="10"/>
      <c r="H524" s="9"/>
      <c r="I524" s="7"/>
      <c r="J524" s="7"/>
      <c r="K524" s="7">
        <f ca="1">IFERROR(IF(COUNTA(J$56:J524)=J$54,J524,FORECAST(D524,OFFSET(M$56:M$254,MATCH(D524,L$56:L$254,1)-1,0,2), OFFSET(L$56:L$254,MATCH(D524,L$56:L$254,1)-1,0,2))),"")</f>
        <v>0</v>
      </c>
      <c r="L524" s="7" t="str">
        <f t="array" ref="L524">IFERROR(INDEX(D$56:D$1054,SMALL(IF(ISNUMBER(J$56:J$1054),ROW(D$1:D$999),""),ROW(D469))),"")</f>
        <v/>
      </c>
      <c r="M524" s="7" t="str">
        <f t="array" ref="M524">IFERROR(INDEX(J$56:J$1054,SMALL(IF(ISNUMBER(J$56:J$1054),ROW(J$1:J$999),""),ROW(J469))),"")</f>
        <v/>
      </c>
      <c r="N524" s="7"/>
      <c r="O524" s="7"/>
      <c r="P524" s="7"/>
      <c r="Q524" s="7">
        <f ca="1">IFERROR(IF(COUNTA(P$56:P524)=P$54,P524,FORECAST(D524,OFFSET(S$56:S$254,MATCH(D524,R$56:R$254,1)-1,0,2), OFFSET(R$56:R$254,MATCH(D524,R$56:R$254,1)-1,0,2))),"")</f>
        <v>0</v>
      </c>
      <c r="R524" s="7" t="str">
        <f t="array" ref="R524">IFERROR(INDEX(E$56:E$1054,SMALL(IF(ISNUMBER(P$56:P$1054),ROW(E$1:E$999),""),ROW(J469))),"")</f>
        <v/>
      </c>
      <c r="S524" s="7" t="str">
        <f t="array" ref="S524">IFERROR(INDEX(P$56:P$1054,SMALL(IF(ISNUMBER(P$56:P$1054),ROW(P$1:P$999),""),ROW(P469))),"")</f>
        <v/>
      </c>
      <c r="T524" s="7"/>
      <c r="U524" s="7"/>
      <c r="V524" s="7"/>
    </row>
    <row r="525" spans="1:22" x14ac:dyDescent="0.25">
      <c r="A525" s="6"/>
      <c r="B525" s="11"/>
      <c r="C525" s="12"/>
      <c r="D525" s="12"/>
      <c r="E525" s="8">
        <f t="shared" si="7"/>
        <v>0</v>
      </c>
      <c r="F525" s="10"/>
      <c r="G525" s="10"/>
      <c r="H525" s="9"/>
      <c r="I525" s="7"/>
      <c r="J525" s="7"/>
      <c r="K525" s="7">
        <f ca="1">IFERROR(IF(COUNTA(J$56:J525)=J$54,J525,FORECAST(D525,OFFSET(M$56:M$254,MATCH(D525,L$56:L$254,1)-1,0,2), OFFSET(L$56:L$254,MATCH(D525,L$56:L$254,1)-1,0,2))),"")</f>
        <v>0</v>
      </c>
      <c r="L525" s="7" t="str">
        <f t="array" ref="L525">IFERROR(INDEX(D$56:D$1054,SMALL(IF(ISNUMBER(J$56:J$1054),ROW(D$1:D$999),""),ROW(D470))),"")</f>
        <v/>
      </c>
      <c r="M525" s="7" t="str">
        <f t="array" ref="M525">IFERROR(INDEX(J$56:J$1054,SMALL(IF(ISNUMBER(J$56:J$1054),ROW(J$1:J$999),""),ROW(J470))),"")</f>
        <v/>
      </c>
      <c r="N525" s="7"/>
      <c r="O525" s="7"/>
      <c r="P525" s="7"/>
      <c r="Q525" s="7">
        <f ca="1">IFERROR(IF(COUNTA(P$56:P525)=P$54,P525,FORECAST(D525,OFFSET(S$56:S$254,MATCH(D525,R$56:R$254,1)-1,0,2), OFFSET(R$56:R$254,MATCH(D525,R$56:R$254,1)-1,0,2))),"")</f>
        <v>0</v>
      </c>
      <c r="R525" s="7" t="str">
        <f t="array" ref="R525">IFERROR(INDEX(E$56:E$1054,SMALL(IF(ISNUMBER(P$56:P$1054),ROW(E$1:E$999),""),ROW(J470))),"")</f>
        <v/>
      </c>
      <c r="S525" s="7" t="str">
        <f t="array" ref="S525">IFERROR(INDEX(P$56:P$1054,SMALL(IF(ISNUMBER(P$56:P$1054),ROW(P$1:P$999),""),ROW(P470))),"")</f>
        <v/>
      </c>
      <c r="T525" s="7"/>
      <c r="U525" s="7"/>
      <c r="V525" s="7"/>
    </row>
    <row r="526" spans="1:22" x14ac:dyDescent="0.25">
      <c r="A526" s="6"/>
      <c r="B526" s="11"/>
      <c r="C526" s="12"/>
      <c r="D526" s="12"/>
      <c r="E526" s="8">
        <f t="shared" si="7"/>
        <v>0</v>
      </c>
      <c r="F526" s="10"/>
      <c r="G526" s="10"/>
      <c r="H526" s="9"/>
      <c r="I526" s="7"/>
      <c r="J526" s="7"/>
      <c r="K526" s="7">
        <f ca="1">IFERROR(IF(COUNTA(J$56:J526)=J$54,J526,FORECAST(D526,OFFSET(M$56:M$254,MATCH(D526,L$56:L$254,1)-1,0,2), OFFSET(L$56:L$254,MATCH(D526,L$56:L$254,1)-1,0,2))),"")</f>
        <v>0</v>
      </c>
      <c r="L526" s="7" t="str">
        <f t="array" ref="L526">IFERROR(INDEX(D$56:D$1054,SMALL(IF(ISNUMBER(J$56:J$1054),ROW(D$1:D$999),""),ROW(D471))),"")</f>
        <v/>
      </c>
      <c r="M526" s="7" t="str">
        <f t="array" ref="M526">IFERROR(INDEX(J$56:J$1054,SMALL(IF(ISNUMBER(J$56:J$1054),ROW(J$1:J$999),""),ROW(J471))),"")</f>
        <v/>
      </c>
      <c r="N526" s="7"/>
      <c r="O526" s="7"/>
      <c r="P526" s="7"/>
      <c r="Q526" s="7">
        <f ca="1">IFERROR(IF(COUNTA(P$56:P526)=P$54,P526,FORECAST(D526,OFFSET(S$56:S$254,MATCH(D526,R$56:R$254,1)-1,0,2), OFFSET(R$56:R$254,MATCH(D526,R$56:R$254,1)-1,0,2))),"")</f>
        <v>0</v>
      </c>
      <c r="R526" s="7" t="str">
        <f t="array" ref="R526">IFERROR(INDEX(E$56:E$1054,SMALL(IF(ISNUMBER(P$56:P$1054),ROW(E$1:E$999),""),ROW(J471))),"")</f>
        <v/>
      </c>
      <c r="S526" s="7" t="str">
        <f t="array" ref="S526">IFERROR(INDEX(P$56:P$1054,SMALL(IF(ISNUMBER(P$56:P$1054),ROW(P$1:P$999),""),ROW(P471))),"")</f>
        <v/>
      </c>
      <c r="T526" s="7"/>
      <c r="U526" s="7"/>
      <c r="V526" s="7"/>
    </row>
    <row r="527" spans="1:22" x14ac:dyDescent="0.25">
      <c r="A527" s="6"/>
      <c r="B527" s="11"/>
      <c r="C527" s="12"/>
      <c r="D527" s="12"/>
      <c r="E527" s="8">
        <f t="shared" si="7"/>
        <v>0</v>
      </c>
      <c r="F527" s="10"/>
      <c r="G527" s="10"/>
      <c r="H527" s="9"/>
      <c r="I527" s="7"/>
      <c r="J527" s="7"/>
      <c r="K527" s="7">
        <f ca="1">IFERROR(IF(COUNTA(J$56:J527)=J$54,J527,FORECAST(D527,OFFSET(M$56:M$254,MATCH(D527,L$56:L$254,1)-1,0,2), OFFSET(L$56:L$254,MATCH(D527,L$56:L$254,1)-1,0,2))),"")</f>
        <v>0</v>
      </c>
      <c r="L527" s="7" t="str">
        <f t="array" ref="L527">IFERROR(INDEX(D$56:D$1054,SMALL(IF(ISNUMBER(J$56:J$1054),ROW(D$1:D$999),""),ROW(D472))),"")</f>
        <v/>
      </c>
      <c r="M527" s="7" t="str">
        <f t="array" ref="M527">IFERROR(INDEX(J$56:J$1054,SMALL(IF(ISNUMBER(J$56:J$1054),ROW(J$1:J$999),""),ROW(J472))),"")</f>
        <v/>
      </c>
      <c r="N527" s="7"/>
      <c r="O527" s="7"/>
      <c r="P527" s="7"/>
      <c r="Q527" s="7">
        <f ca="1">IFERROR(IF(COUNTA(P$56:P527)=P$54,P527,FORECAST(D527,OFFSET(S$56:S$254,MATCH(D527,R$56:R$254,1)-1,0,2), OFFSET(R$56:R$254,MATCH(D527,R$56:R$254,1)-1,0,2))),"")</f>
        <v>0</v>
      </c>
      <c r="R527" s="7" t="str">
        <f t="array" ref="R527">IFERROR(INDEX(E$56:E$1054,SMALL(IF(ISNUMBER(P$56:P$1054),ROW(E$1:E$999),""),ROW(J472))),"")</f>
        <v/>
      </c>
      <c r="S527" s="7" t="str">
        <f t="array" ref="S527">IFERROR(INDEX(P$56:P$1054,SMALL(IF(ISNUMBER(P$56:P$1054),ROW(P$1:P$999),""),ROW(P472))),"")</f>
        <v/>
      </c>
      <c r="T527" s="7"/>
      <c r="U527" s="7"/>
      <c r="V527" s="7"/>
    </row>
    <row r="528" spans="1:22" x14ac:dyDescent="0.25">
      <c r="A528" s="6"/>
      <c r="B528" s="11"/>
      <c r="C528" s="12"/>
      <c r="D528" s="12"/>
      <c r="E528" s="8">
        <f t="shared" si="7"/>
        <v>0</v>
      </c>
      <c r="F528" s="10"/>
      <c r="G528" s="10"/>
      <c r="H528" s="9"/>
      <c r="I528" s="7"/>
      <c r="J528" s="7"/>
      <c r="K528" s="7">
        <f ca="1">IFERROR(IF(COUNTA(J$56:J528)=J$54,J528,FORECAST(D528,OFFSET(M$56:M$254,MATCH(D528,L$56:L$254,1)-1,0,2), OFFSET(L$56:L$254,MATCH(D528,L$56:L$254,1)-1,0,2))),"")</f>
        <v>0</v>
      </c>
      <c r="L528" s="7" t="str">
        <f t="array" ref="L528">IFERROR(INDEX(D$56:D$1054,SMALL(IF(ISNUMBER(J$56:J$1054),ROW(D$1:D$999),""),ROW(D473))),"")</f>
        <v/>
      </c>
      <c r="M528" s="7" t="str">
        <f t="array" ref="M528">IFERROR(INDEX(J$56:J$1054,SMALL(IF(ISNUMBER(J$56:J$1054),ROW(J$1:J$999),""),ROW(J473))),"")</f>
        <v/>
      </c>
      <c r="N528" s="7"/>
      <c r="O528" s="7"/>
      <c r="P528" s="7"/>
      <c r="Q528" s="7">
        <f ca="1">IFERROR(IF(COUNTA(P$56:P528)=P$54,P528,FORECAST(D528,OFFSET(S$56:S$254,MATCH(D528,R$56:R$254,1)-1,0,2), OFFSET(R$56:R$254,MATCH(D528,R$56:R$254,1)-1,0,2))),"")</f>
        <v>0</v>
      </c>
      <c r="R528" s="7" t="str">
        <f t="array" ref="R528">IFERROR(INDEX(E$56:E$1054,SMALL(IF(ISNUMBER(P$56:P$1054),ROW(E$1:E$999),""),ROW(J473))),"")</f>
        <v/>
      </c>
      <c r="S528" s="7" t="str">
        <f t="array" ref="S528">IFERROR(INDEX(P$56:P$1054,SMALL(IF(ISNUMBER(P$56:P$1054),ROW(P$1:P$999),""),ROW(P473))),"")</f>
        <v/>
      </c>
      <c r="T528" s="7"/>
      <c r="U528" s="7"/>
      <c r="V528" s="7"/>
    </row>
    <row r="529" spans="1:22" x14ac:dyDescent="0.25">
      <c r="A529" s="6"/>
      <c r="B529" s="11"/>
      <c r="C529" s="12"/>
      <c r="D529" s="12"/>
      <c r="E529" s="8">
        <f t="shared" si="7"/>
        <v>0</v>
      </c>
      <c r="F529" s="10"/>
      <c r="G529" s="10"/>
      <c r="H529" s="9"/>
      <c r="I529" s="7"/>
      <c r="J529" s="7"/>
      <c r="K529" s="7">
        <f ca="1">IFERROR(IF(COUNTA(J$56:J529)=J$54,J529,FORECAST(D529,OFFSET(M$56:M$254,MATCH(D529,L$56:L$254,1)-1,0,2), OFFSET(L$56:L$254,MATCH(D529,L$56:L$254,1)-1,0,2))),"")</f>
        <v>0</v>
      </c>
      <c r="L529" s="7" t="str">
        <f t="array" ref="L529">IFERROR(INDEX(D$56:D$1054,SMALL(IF(ISNUMBER(J$56:J$1054),ROW(D$1:D$999),""),ROW(D474))),"")</f>
        <v/>
      </c>
      <c r="M529" s="7" t="str">
        <f t="array" ref="M529">IFERROR(INDEX(J$56:J$1054,SMALL(IF(ISNUMBER(J$56:J$1054),ROW(J$1:J$999),""),ROW(J474))),"")</f>
        <v/>
      </c>
      <c r="N529" s="7"/>
      <c r="O529" s="7"/>
      <c r="P529" s="7"/>
      <c r="Q529" s="7">
        <f ca="1">IFERROR(IF(COUNTA(P$56:P529)=P$54,P529,FORECAST(D529,OFFSET(S$56:S$254,MATCH(D529,R$56:R$254,1)-1,0,2), OFFSET(R$56:R$254,MATCH(D529,R$56:R$254,1)-1,0,2))),"")</f>
        <v>0</v>
      </c>
      <c r="R529" s="7" t="str">
        <f t="array" ref="R529">IFERROR(INDEX(E$56:E$1054,SMALL(IF(ISNUMBER(P$56:P$1054),ROW(E$1:E$999),""),ROW(J474))),"")</f>
        <v/>
      </c>
      <c r="S529" s="7" t="str">
        <f t="array" ref="S529">IFERROR(INDEX(P$56:P$1054,SMALL(IF(ISNUMBER(P$56:P$1054),ROW(P$1:P$999),""),ROW(P474))),"")</f>
        <v/>
      </c>
      <c r="T529" s="7"/>
      <c r="U529" s="7"/>
      <c r="V529" s="7"/>
    </row>
    <row r="530" spans="1:22" x14ac:dyDescent="0.25">
      <c r="A530" s="6"/>
      <c r="B530" s="11"/>
      <c r="C530" s="12"/>
      <c r="D530" s="12"/>
      <c r="E530" s="8">
        <f t="shared" si="7"/>
        <v>0</v>
      </c>
      <c r="F530" s="10"/>
      <c r="G530" s="10"/>
      <c r="H530" s="9"/>
      <c r="I530" s="7"/>
      <c r="J530" s="7"/>
      <c r="K530" s="7">
        <f ca="1">IFERROR(IF(COUNTA(J$56:J530)=J$54,J530,FORECAST(D530,OFFSET(M$56:M$254,MATCH(D530,L$56:L$254,1)-1,0,2), OFFSET(L$56:L$254,MATCH(D530,L$56:L$254,1)-1,0,2))),"")</f>
        <v>0</v>
      </c>
      <c r="L530" s="7" t="str">
        <f t="array" ref="L530">IFERROR(INDEX(D$56:D$1054,SMALL(IF(ISNUMBER(J$56:J$1054),ROW(D$1:D$999),""),ROW(D475))),"")</f>
        <v/>
      </c>
      <c r="M530" s="7" t="str">
        <f t="array" ref="M530">IFERROR(INDEX(J$56:J$1054,SMALL(IF(ISNUMBER(J$56:J$1054),ROW(J$1:J$999),""),ROW(J475))),"")</f>
        <v/>
      </c>
      <c r="N530" s="7"/>
      <c r="O530" s="7"/>
      <c r="P530" s="7"/>
      <c r="Q530" s="7">
        <f ca="1">IFERROR(IF(COUNTA(P$56:P530)=P$54,P530,FORECAST(D530,OFFSET(S$56:S$254,MATCH(D530,R$56:R$254,1)-1,0,2), OFFSET(R$56:R$254,MATCH(D530,R$56:R$254,1)-1,0,2))),"")</f>
        <v>0</v>
      </c>
      <c r="R530" s="7" t="str">
        <f t="array" ref="R530">IFERROR(INDEX(E$56:E$1054,SMALL(IF(ISNUMBER(P$56:P$1054),ROW(E$1:E$999),""),ROW(J475))),"")</f>
        <v/>
      </c>
      <c r="S530" s="7" t="str">
        <f t="array" ref="S530">IFERROR(INDEX(P$56:P$1054,SMALL(IF(ISNUMBER(P$56:P$1054),ROW(P$1:P$999),""),ROW(P475))),"")</f>
        <v/>
      </c>
      <c r="T530" s="7"/>
      <c r="U530" s="7"/>
      <c r="V530" s="7"/>
    </row>
    <row r="531" spans="1:22" x14ac:dyDescent="0.25">
      <c r="A531" s="6"/>
      <c r="B531" s="11"/>
      <c r="C531" s="12"/>
      <c r="D531" s="12"/>
      <c r="E531" s="8">
        <f t="shared" si="7"/>
        <v>0</v>
      </c>
      <c r="F531" s="10"/>
      <c r="G531" s="10"/>
      <c r="H531" s="9"/>
      <c r="I531" s="7"/>
      <c r="J531" s="7"/>
      <c r="K531" s="7">
        <f ca="1">IFERROR(IF(COUNTA(J$56:J531)=J$54,J531,FORECAST(D531,OFFSET(M$56:M$254,MATCH(D531,L$56:L$254,1)-1,0,2), OFFSET(L$56:L$254,MATCH(D531,L$56:L$254,1)-1,0,2))),"")</f>
        <v>0</v>
      </c>
      <c r="L531" s="7" t="str">
        <f t="array" ref="L531">IFERROR(INDEX(D$56:D$1054,SMALL(IF(ISNUMBER(J$56:J$1054),ROW(D$1:D$999),""),ROW(D476))),"")</f>
        <v/>
      </c>
      <c r="M531" s="7" t="str">
        <f t="array" ref="M531">IFERROR(INDEX(J$56:J$1054,SMALL(IF(ISNUMBER(J$56:J$1054),ROW(J$1:J$999),""),ROW(J476))),"")</f>
        <v/>
      </c>
      <c r="N531" s="7"/>
      <c r="O531" s="7"/>
      <c r="P531" s="7"/>
      <c r="Q531" s="7">
        <f ca="1">IFERROR(IF(COUNTA(P$56:P531)=P$54,P531,FORECAST(D531,OFFSET(S$56:S$254,MATCH(D531,R$56:R$254,1)-1,0,2), OFFSET(R$56:R$254,MATCH(D531,R$56:R$254,1)-1,0,2))),"")</f>
        <v>0</v>
      </c>
      <c r="R531" s="7" t="str">
        <f t="array" ref="R531">IFERROR(INDEX(E$56:E$1054,SMALL(IF(ISNUMBER(P$56:P$1054),ROW(E$1:E$999),""),ROW(J476))),"")</f>
        <v/>
      </c>
      <c r="S531" s="7" t="str">
        <f t="array" ref="S531">IFERROR(INDEX(P$56:P$1054,SMALL(IF(ISNUMBER(P$56:P$1054),ROW(P$1:P$999),""),ROW(P476))),"")</f>
        <v/>
      </c>
      <c r="T531" s="7"/>
      <c r="U531" s="7"/>
      <c r="V531" s="7"/>
    </row>
    <row r="532" spans="1:22" x14ac:dyDescent="0.25">
      <c r="A532" s="6"/>
      <c r="B532" s="11"/>
      <c r="C532" s="12"/>
      <c r="D532" s="12"/>
      <c r="E532" s="8">
        <f t="shared" si="7"/>
        <v>0</v>
      </c>
      <c r="F532" s="10"/>
      <c r="G532" s="10"/>
      <c r="H532" s="9"/>
      <c r="I532" s="7"/>
      <c r="J532" s="7"/>
      <c r="K532" s="7">
        <f ca="1">IFERROR(IF(COUNTA(J$56:J532)=J$54,J532,FORECAST(D532,OFFSET(M$56:M$254,MATCH(D532,L$56:L$254,1)-1,0,2), OFFSET(L$56:L$254,MATCH(D532,L$56:L$254,1)-1,0,2))),"")</f>
        <v>0</v>
      </c>
      <c r="L532" s="7" t="str">
        <f t="array" ref="L532">IFERROR(INDEX(D$56:D$1054,SMALL(IF(ISNUMBER(J$56:J$1054),ROW(D$1:D$999),""),ROW(D477))),"")</f>
        <v/>
      </c>
      <c r="M532" s="7" t="str">
        <f t="array" ref="M532">IFERROR(INDEX(J$56:J$1054,SMALL(IF(ISNUMBER(J$56:J$1054),ROW(J$1:J$999),""),ROW(J477))),"")</f>
        <v/>
      </c>
      <c r="N532" s="7"/>
      <c r="O532" s="7"/>
      <c r="P532" s="7"/>
      <c r="Q532" s="7">
        <f ca="1">IFERROR(IF(COUNTA(P$56:P532)=P$54,P532,FORECAST(D532,OFFSET(S$56:S$254,MATCH(D532,R$56:R$254,1)-1,0,2), OFFSET(R$56:R$254,MATCH(D532,R$56:R$254,1)-1,0,2))),"")</f>
        <v>0</v>
      </c>
      <c r="R532" s="7" t="str">
        <f t="array" ref="R532">IFERROR(INDEX(E$56:E$1054,SMALL(IF(ISNUMBER(P$56:P$1054),ROW(E$1:E$999),""),ROW(J477))),"")</f>
        <v/>
      </c>
      <c r="S532" s="7" t="str">
        <f t="array" ref="S532">IFERROR(INDEX(P$56:P$1054,SMALL(IF(ISNUMBER(P$56:P$1054),ROW(P$1:P$999),""),ROW(P477))),"")</f>
        <v/>
      </c>
      <c r="T532" s="7"/>
      <c r="U532" s="7"/>
      <c r="V532" s="7"/>
    </row>
    <row r="533" spans="1:22" x14ac:dyDescent="0.25">
      <c r="A533" s="6"/>
      <c r="B533" s="11"/>
      <c r="C533" s="12"/>
      <c r="D533" s="12"/>
      <c r="E533" s="8">
        <f t="shared" si="7"/>
        <v>0</v>
      </c>
      <c r="F533" s="10"/>
      <c r="G533" s="10"/>
      <c r="H533" s="9"/>
      <c r="I533" s="7"/>
      <c r="J533" s="7"/>
      <c r="K533" s="7">
        <f ca="1">IFERROR(IF(COUNTA(J$56:J533)=J$54,J533,FORECAST(D533,OFFSET(M$56:M$254,MATCH(D533,L$56:L$254,1)-1,0,2), OFFSET(L$56:L$254,MATCH(D533,L$56:L$254,1)-1,0,2))),"")</f>
        <v>0</v>
      </c>
      <c r="L533" s="7" t="str">
        <f t="array" ref="L533">IFERROR(INDEX(D$56:D$1054,SMALL(IF(ISNUMBER(J$56:J$1054),ROW(D$1:D$999),""),ROW(D478))),"")</f>
        <v/>
      </c>
      <c r="M533" s="7" t="str">
        <f t="array" ref="M533">IFERROR(INDEX(J$56:J$1054,SMALL(IF(ISNUMBER(J$56:J$1054),ROW(J$1:J$999),""),ROW(J478))),"")</f>
        <v/>
      </c>
      <c r="N533" s="7"/>
      <c r="O533" s="7"/>
      <c r="P533" s="7"/>
      <c r="Q533" s="7">
        <f ca="1">IFERROR(IF(COUNTA(P$56:P533)=P$54,P533,FORECAST(D533,OFFSET(S$56:S$254,MATCH(D533,R$56:R$254,1)-1,0,2), OFFSET(R$56:R$254,MATCH(D533,R$56:R$254,1)-1,0,2))),"")</f>
        <v>0</v>
      </c>
      <c r="R533" s="7" t="str">
        <f t="array" ref="R533">IFERROR(INDEX(E$56:E$1054,SMALL(IF(ISNUMBER(P$56:P$1054),ROW(E$1:E$999),""),ROW(J478))),"")</f>
        <v/>
      </c>
      <c r="S533" s="7" t="str">
        <f t="array" ref="S533">IFERROR(INDEX(P$56:P$1054,SMALL(IF(ISNUMBER(P$56:P$1054),ROW(P$1:P$999),""),ROW(P478))),"")</f>
        <v/>
      </c>
      <c r="T533" s="7"/>
      <c r="U533" s="7"/>
      <c r="V533" s="7"/>
    </row>
    <row r="534" spans="1:22" x14ac:dyDescent="0.25">
      <c r="A534" s="6"/>
      <c r="B534" s="11"/>
      <c r="C534" s="12"/>
      <c r="D534" s="12"/>
      <c r="E534" s="8">
        <f t="shared" si="7"/>
        <v>0</v>
      </c>
      <c r="F534" s="10"/>
      <c r="G534" s="10"/>
      <c r="H534" s="9"/>
      <c r="I534" s="7"/>
      <c r="J534" s="7"/>
      <c r="K534" s="7">
        <f ca="1">IFERROR(IF(COUNTA(J$56:J534)=J$54,J534,FORECAST(D534,OFFSET(M$56:M$254,MATCH(D534,L$56:L$254,1)-1,0,2), OFFSET(L$56:L$254,MATCH(D534,L$56:L$254,1)-1,0,2))),"")</f>
        <v>0</v>
      </c>
      <c r="L534" s="7" t="str">
        <f t="array" ref="L534">IFERROR(INDEX(D$56:D$1054,SMALL(IF(ISNUMBER(J$56:J$1054),ROW(D$1:D$999),""),ROW(D479))),"")</f>
        <v/>
      </c>
      <c r="M534" s="7" t="str">
        <f t="array" ref="M534">IFERROR(INDEX(J$56:J$1054,SMALL(IF(ISNUMBER(J$56:J$1054),ROW(J$1:J$999),""),ROW(J479))),"")</f>
        <v/>
      </c>
      <c r="N534" s="7"/>
      <c r="O534" s="7"/>
      <c r="P534" s="7"/>
      <c r="Q534" s="7">
        <f ca="1">IFERROR(IF(COUNTA(P$56:P534)=P$54,P534,FORECAST(D534,OFFSET(S$56:S$254,MATCH(D534,R$56:R$254,1)-1,0,2), OFFSET(R$56:R$254,MATCH(D534,R$56:R$254,1)-1,0,2))),"")</f>
        <v>0</v>
      </c>
      <c r="R534" s="7" t="str">
        <f t="array" ref="R534">IFERROR(INDEX(E$56:E$1054,SMALL(IF(ISNUMBER(P$56:P$1054),ROW(E$1:E$999),""),ROW(J479))),"")</f>
        <v/>
      </c>
      <c r="S534" s="7" t="str">
        <f t="array" ref="S534">IFERROR(INDEX(P$56:P$1054,SMALL(IF(ISNUMBER(P$56:P$1054),ROW(P$1:P$999),""),ROW(P479))),"")</f>
        <v/>
      </c>
      <c r="T534" s="7"/>
      <c r="U534" s="7"/>
      <c r="V534" s="7"/>
    </row>
    <row r="535" spans="1:22" x14ac:dyDescent="0.25">
      <c r="A535" s="6"/>
      <c r="B535" s="11"/>
      <c r="C535" s="12"/>
      <c r="D535" s="12"/>
      <c r="E535" s="8">
        <f t="shared" si="7"/>
        <v>0</v>
      </c>
      <c r="F535" s="10"/>
      <c r="G535" s="10"/>
      <c r="H535" s="9"/>
      <c r="I535" s="7"/>
      <c r="J535" s="7"/>
      <c r="K535" s="7">
        <f ca="1">IFERROR(IF(COUNTA(J$56:J535)=J$54,J535,FORECAST(D535,OFFSET(M$56:M$254,MATCH(D535,L$56:L$254,1)-1,0,2), OFFSET(L$56:L$254,MATCH(D535,L$56:L$254,1)-1,0,2))),"")</f>
        <v>0</v>
      </c>
      <c r="L535" s="7" t="str">
        <f t="array" ref="L535">IFERROR(INDEX(D$56:D$1054,SMALL(IF(ISNUMBER(J$56:J$1054),ROW(D$1:D$999),""),ROW(D480))),"")</f>
        <v/>
      </c>
      <c r="M535" s="7" t="str">
        <f t="array" ref="M535">IFERROR(INDEX(J$56:J$1054,SMALL(IF(ISNUMBER(J$56:J$1054),ROW(J$1:J$999),""),ROW(J480))),"")</f>
        <v/>
      </c>
      <c r="N535" s="7"/>
      <c r="O535" s="7"/>
      <c r="P535" s="7"/>
      <c r="Q535" s="7">
        <f ca="1">IFERROR(IF(COUNTA(P$56:P535)=P$54,P535,FORECAST(D535,OFFSET(S$56:S$254,MATCH(D535,R$56:R$254,1)-1,0,2), OFFSET(R$56:R$254,MATCH(D535,R$56:R$254,1)-1,0,2))),"")</f>
        <v>0</v>
      </c>
      <c r="R535" s="7" t="str">
        <f t="array" ref="R535">IFERROR(INDEX(E$56:E$1054,SMALL(IF(ISNUMBER(P$56:P$1054),ROW(E$1:E$999),""),ROW(J480))),"")</f>
        <v/>
      </c>
      <c r="S535" s="7" t="str">
        <f t="array" ref="S535">IFERROR(INDEX(P$56:P$1054,SMALL(IF(ISNUMBER(P$56:P$1054),ROW(P$1:P$999),""),ROW(P480))),"")</f>
        <v/>
      </c>
      <c r="T535" s="7"/>
      <c r="U535" s="7"/>
      <c r="V535" s="7"/>
    </row>
    <row r="536" spans="1:22" x14ac:dyDescent="0.25">
      <c r="A536" s="6"/>
      <c r="B536" s="11"/>
      <c r="C536" s="12"/>
      <c r="D536" s="12"/>
      <c r="E536" s="8">
        <f t="shared" si="7"/>
        <v>0</v>
      </c>
      <c r="F536" s="10"/>
      <c r="G536" s="10"/>
      <c r="H536" s="9"/>
      <c r="I536" s="7"/>
      <c r="J536" s="7"/>
      <c r="K536" s="7">
        <f ca="1">IFERROR(IF(COUNTA(J$56:J536)=J$54,J536,FORECAST(D536,OFFSET(M$56:M$254,MATCH(D536,L$56:L$254,1)-1,0,2), OFFSET(L$56:L$254,MATCH(D536,L$56:L$254,1)-1,0,2))),"")</f>
        <v>0</v>
      </c>
      <c r="L536" s="7" t="str">
        <f t="array" ref="L536">IFERROR(INDEX(D$56:D$1054,SMALL(IF(ISNUMBER(J$56:J$1054),ROW(D$1:D$999),""),ROW(D481))),"")</f>
        <v/>
      </c>
      <c r="M536" s="7" t="str">
        <f t="array" ref="M536">IFERROR(INDEX(J$56:J$1054,SMALL(IF(ISNUMBER(J$56:J$1054),ROW(J$1:J$999),""),ROW(J481))),"")</f>
        <v/>
      </c>
      <c r="N536" s="7"/>
      <c r="O536" s="7"/>
      <c r="P536" s="7"/>
      <c r="Q536" s="7">
        <f ca="1">IFERROR(IF(COUNTA(P$56:P536)=P$54,P536,FORECAST(D536,OFFSET(S$56:S$254,MATCH(D536,R$56:R$254,1)-1,0,2), OFFSET(R$56:R$254,MATCH(D536,R$56:R$254,1)-1,0,2))),"")</f>
        <v>0</v>
      </c>
      <c r="R536" s="7" t="str">
        <f t="array" ref="R536">IFERROR(INDEX(E$56:E$1054,SMALL(IF(ISNUMBER(P$56:P$1054),ROW(E$1:E$999),""),ROW(J481))),"")</f>
        <v/>
      </c>
      <c r="S536" s="7" t="str">
        <f t="array" ref="S536">IFERROR(INDEX(P$56:P$1054,SMALL(IF(ISNUMBER(P$56:P$1054),ROW(P$1:P$999),""),ROW(P481))),"")</f>
        <v/>
      </c>
      <c r="T536" s="7"/>
      <c r="U536" s="7"/>
      <c r="V536" s="7"/>
    </row>
    <row r="537" spans="1:22" x14ac:dyDescent="0.25">
      <c r="A537" s="6"/>
      <c r="B537" s="11"/>
      <c r="C537" s="12"/>
      <c r="D537" s="12"/>
      <c r="E537" s="8">
        <f t="shared" si="7"/>
        <v>0</v>
      </c>
      <c r="F537" s="10"/>
      <c r="G537" s="10"/>
      <c r="H537" s="9"/>
      <c r="I537" s="7"/>
      <c r="J537" s="7"/>
      <c r="K537" s="7">
        <f ca="1">IFERROR(IF(COUNTA(J$56:J537)=J$54,J537,FORECAST(D537,OFFSET(M$56:M$254,MATCH(D537,L$56:L$254,1)-1,0,2), OFFSET(L$56:L$254,MATCH(D537,L$56:L$254,1)-1,0,2))),"")</f>
        <v>0</v>
      </c>
      <c r="L537" s="7" t="str">
        <f t="array" ref="L537">IFERROR(INDEX(D$56:D$1054,SMALL(IF(ISNUMBER(J$56:J$1054),ROW(D$1:D$999),""),ROW(D482))),"")</f>
        <v/>
      </c>
      <c r="M537" s="7" t="str">
        <f t="array" ref="M537">IFERROR(INDEX(J$56:J$1054,SMALL(IF(ISNUMBER(J$56:J$1054),ROW(J$1:J$999),""),ROW(J482))),"")</f>
        <v/>
      </c>
      <c r="N537" s="7"/>
      <c r="O537" s="7"/>
      <c r="P537" s="7"/>
      <c r="Q537" s="7">
        <f ca="1">IFERROR(IF(COUNTA(P$56:P537)=P$54,P537,FORECAST(D537,OFFSET(S$56:S$254,MATCH(D537,R$56:R$254,1)-1,0,2), OFFSET(R$56:R$254,MATCH(D537,R$56:R$254,1)-1,0,2))),"")</f>
        <v>0</v>
      </c>
      <c r="R537" s="7" t="str">
        <f t="array" ref="R537">IFERROR(INDEX(E$56:E$1054,SMALL(IF(ISNUMBER(P$56:P$1054),ROW(E$1:E$999),""),ROW(J482))),"")</f>
        <v/>
      </c>
      <c r="S537" s="7" t="str">
        <f t="array" ref="S537">IFERROR(INDEX(P$56:P$1054,SMALL(IF(ISNUMBER(P$56:P$1054),ROW(P$1:P$999),""),ROW(P482))),"")</f>
        <v/>
      </c>
      <c r="T537" s="7"/>
      <c r="U537" s="7"/>
      <c r="V537" s="7"/>
    </row>
    <row r="538" spans="1:22" x14ac:dyDescent="0.25">
      <c r="A538" s="6"/>
      <c r="B538" s="11"/>
      <c r="C538" s="12"/>
      <c r="D538" s="12"/>
      <c r="E538" s="8">
        <f t="shared" si="7"/>
        <v>0</v>
      </c>
      <c r="F538" s="10"/>
      <c r="G538" s="10"/>
      <c r="H538" s="9"/>
      <c r="I538" s="7"/>
      <c r="J538" s="7"/>
      <c r="K538" s="7">
        <f ca="1">IFERROR(IF(COUNTA(J$56:J538)=J$54,J538,FORECAST(D538,OFFSET(M$56:M$254,MATCH(D538,L$56:L$254,1)-1,0,2), OFFSET(L$56:L$254,MATCH(D538,L$56:L$254,1)-1,0,2))),"")</f>
        <v>0</v>
      </c>
      <c r="L538" s="7" t="str">
        <f t="array" ref="L538">IFERROR(INDEX(D$56:D$1054,SMALL(IF(ISNUMBER(J$56:J$1054),ROW(D$1:D$999),""),ROW(D483))),"")</f>
        <v/>
      </c>
      <c r="M538" s="7" t="str">
        <f t="array" ref="M538">IFERROR(INDEX(J$56:J$1054,SMALL(IF(ISNUMBER(J$56:J$1054),ROW(J$1:J$999),""),ROW(J483))),"")</f>
        <v/>
      </c>
      <c r="N538" s="7"/>
      <c r="O538" s="7"/>
      <c r="P538" s="7"/>
      <c r="Q538" s="7">
        <f ca="1">IFERROR(IF(COUNTA(P$56:P538)=P$54,P538,FORECAST(D538,OFFSET(S$56:S$254,MATCH(D538,R$56:R$254,1)-1,0,2), OFFSET(R$56:R$254,MATCH(D538,R$56:R$254,1)-1,0,2))),"")</f>
        <v>0</v>
      </c>
      <c r="R538" s="7" t="str">
        <f t="array" ref="R538">IFERROR(INDEX(E$56:E$1054,SMALL(IF(ISNUMBER(P$56:P$1054),ROW(E$1:E$999),""),ROW(J483))),"")</f>
        <v/>
      </c>
      <c r="S538" s="7" t="str">
        <f t="array" ref="S538">IFERROR(INDEX(P$56:P$1054,SMALL(IF(ISNUMBER(P$56:P$1054),ROW(P$1:P$999),""),ROW(P483))),"")</f>
        <v/>
      </c>
      <c r="T538" s="7"/>
      <c r="U538" s="7"/>
      <c r="V538" s="7"/>
    </row>
    <row r="539" spans="1:22" x14ac:dyDescent="0.25">
      <c r="A539" s="6"/>
      <c r="B539" s="11"/>
      <c r="C539" s="12"/>
      <c r="D539" s="12"/>
      <c r="E539" s="8">
        <f t="shared" si="7"/>
        <v>0</v>
      </c>
      <c r="F539" s="10"/>
      <c r="G539" s="10"/>
      <c r="H539" s="9"/>
      <c r="I539" s="7"/>
      <c r="J539" s="7"/>
      <c r="K539" s="7">
        <f ca="1">IFERROR(IF(COUNTA(J$56:J539)=J$54,J539,FORECAST(D539,OFFSET(M$56:M$254,MATCH(D539,L$56:L$254,1)-1,0,2), OFFSET(L$56:L$254,MATCH(D539,L$56:L$254,1)-1,0,2))),"")</f>
        <v>0</v>
      </c>
      <c r="L539" s="7" t="str">
        <f t="array" ref="L539">IFERROR(INDEX(D$56:D$1054,SMALL(IF(ISNUMBER(J$56:J$1054),ROW(D$1:D$999),""),ROW(D484))),"")</f>
        <v/>
      </c>
      <c r="M539" s="7" t="str">
        <f t="array" ref="M539">IFERROR(INDEX(J$56:J$1054,SMALL(IF(ISNUMBER(J$56:J$1054),ROW(J$1:J$999),""),ROW(J484))),"")</f>
        <v/>
      </c>
      <c r="N539" s="7"/>
      <c r="O539" s="7"/>
      <c r="P539" s="7"/>
      <c r="Q539" s="7">
        <f ca="1">IFERROR(IF(COUNTA(P$56:P539)=P$54,P539,FORECAST(D539,OFFSET(S$56:S$254,MATCH(D539,R$56:R$254,1)-1,0,2), OFFSET(R$56:R$254,MATCH(D539,R$56:R$254,1)-1,0,2))),"")</f>
        <v>0</v>
      </c>
      <c r="R539" s="7" t="str">
        <f t="array" ref="R539">IFERROR(INDEX(E$56:E$1054,SMALL(IF(ISNUMBER(P$56:P$1054),ROW(E$1:E$999),""),ROW(J484))),"")</f>
        <v/>
      </c>
      <c r="S539" s="7" t="str">
        <f t="array" ref="S539">IFERROR(INDEX(P$56:P$1054,SMALL(IF(ISNUMBER(P$56:P$1054),ROW(P$1:P$999),""),ROW(P484))),"")</f>
        <v/>
      </c>
      <c r="T539" s="7"/>
      <c r="U539" s="7"/>
      <c r="V539" s="7"/>
    </row>
    <row r="540" spans="1:22" x14ac:dyDescent="0.25">
      <c r="A540" s="6"/>
      <c r="B540" s="11"/>
      <c r="C540" s="12"/>
      <c r="D540" s="12"/>
      <c r="E540" s="8">
        <f t="shared" si="7"/>
        <v>0</v>
      </c>
      <c r="F540" s="10"/>
      <c r="G540" s="10"/>
      <c r="H540" s="9"/>
      <c r="I540" s="7"/>
      <c r="J540" s="7"/>
      <c r="K540" s="7">
        <f ca="1">IFERROR(IF(COUNTA(J$56:J540)=J$54,J540,FORECAST(D540,OFFSET(M$56:M$254,MATCH(D540,L$56:L$254,1)-1,0,2), OFFSET(L$56:L$254,MATCH(D540,L$56:L$254,1)-1,0,2))),"")</f>
        <v>0</v>
      </c>
      <c r="L540" s="7" t="str">
        <f t="array" ref="L540">IFERROR(INDEX(D$56:D$1054,SMALL(IF(ISNUMBER(J$56:J$1054),ROW(D$1:D$999),""),ROW(D485))),"")</f>
        <v/>
      </c>
      <c r="M540" s="7" t="str">
        <f t="array" ref="M540">IFERROR(INDEX(J$56:J$1054,SMALL(IF(ISNUMBER(J$56:J$1054),ROW(J$1:J$999),""),ROW(J485))),"")</f>
        <v/>
      </c>
      <c r="N540" s="7"/>
      <c r="O540" s="7"/>
      <c r="P540" s="7"/>
      <c r="Q540" s="7">
        <f ca="1">IFERROR(IF(COUNTA(P$56:P540)=P$54,P540,FORECAST(D540,OFFSET(S$56:S$254,MATCH(D540,R$56:R$254,1)-1,0,2), OFFSET(R$56:R$254,MATCH(D540,R$56:R$254,1)-1,0,2))),"")</f>
        <v>0</v>
      </c>
      <c r="R540" s="7" t="str">
        <f t="array" ref="R540">IFERROR(INDEX(E$56:E$1054,SMALL(IF(ISNUMBER(P$56:P$1054),ROW(E$1:E$999),""),ROW(J485))),"")</f>
        <v/>
      </c>
      <c r="S540" s="7" t="str">
        <f t="array" ref="S540">IFERROR(INDEX(P$56:P$1054,SMALL(IF(ISNUMBER(P$56:P$1054),ROW(P$1:P$999),""),ROW(P485))),"")</f>
        <v/>
      </c>
      <c r="T540" s="7"/>
      <c r="U540" s="7"/>
      <c r="V540" s="7"/>
    </row>
    <row r="541" spans="1:22" x14ac:dyDescent="0.25">
      <c r="A541" s="6"/>
      <c r="B541" s="11"/>
      <c r="C541" s="12"/>
      <c r="D541" s="12"/>
      <c r="E541" s="8">
        <f t="shared" si="7"/>
        <v>0</v>
      </c>
      <c r="F541" s="10"/>
      <c r="G541" s="10"/>
      <c r="H541" s="9"/>
      <c r="I541" s="7"/>
      <c r="J541" s="7"/>
      <c r="K541" s="7">
        <f ca="1">IFERROR(IF(COUNTA(J$56:J541)=J$54,J541,FORECAST(D541,OFFSET(M$56:M$254,MATCH(D541,L$56:L$254,1)-1,0,2), OFFSET(L$56:L$254,MATCH(D541,L$56:L$254,1)-1,0,2))),"")</f>
        <v>0</v>
      </c>
      <c r="L541" s="7" t="str">
        <f t="array" ref="L541">IFERROR(INDEX(D$56:D$1054,SMALL(IF(ISNUMBER(J$56:J$1054),ROW(D$1:D$999),""),ROW(D486))),"")</f>
        <v/>
      </c>
      <c r="M541" s="7" t="str">
        <f t="array" ref="M541">IFERROR(INDEX(J$56:J$1054,SMALL(IF(ISNUMBER(J$56:J$1054),ROW(J$1:J$999),""),ROW(J486))),"")</f>
        <v/>
      </c>
      <c r="N541" s="7"/>
      <c r="O541" s="7"/>
      <c r="P541" s="7"/>
      <c r="Q541" s="7">
        <f ca="1">IFERROR(IF(COUNTA(P$56:P541)=P$54,P541,FORECAST(D541,OFFSET(S$56:S$254,MATCH(D541,R$56:R$254,1)-1,0,2), OFFSET(R$56:R$254,MATCH(D541,R$56:R$254,1)-1,0,2))),"")</f>
        <v>0</v>
      </c>
      <c r="R541" s="7" t="str">
        <f t="array" ref="R541">IFERROR(INDEX(E$56:E$1054,SMALL(IF(ISNUMBER(P$56:P$1054),ROW(E$1:E$999),""),ROW(J486))),"")</f>
        <v/>
      </c>
      <c r="S541" s="7" t="str">
        <f t="array" ref="S541">IFERROR(INDEX(P$56:P$1054,SMALL(IF(ISNUMBER(P$56:P$1054),ROW(P$1:P$999),""),ROW(P486))),"")</f>
        <v/>
      </c>
      <c r="T541" s="7"/>
      <c r="U541" s="7"/>
      <c r="V541" s="7"/>
    </row>
    <row r="542" spans="1:22" x14ac:dyDescent="0.25">
      <c r="A542" s="6"/>
      <c r="B542" s="11"/>
      <c r="C542" s="12"/>
      <c r="D542" s="12"/>
      <c r="E542" s="8">
        <f t="shared" si="7"/>
        <v>0</v>
      </c>
      <c r="F542" s="10"/>
      <c r="G542" s="10"/>
      <c r="H542" s="9"/>
      <c r="I542" s="7"/>
      <c r="J542" s="7"/>
      <c r="K542" s="7">
        <f ca="1">IFERROR(IF(COUNTA(J$56:J542)=J$54,J542,FORECAST(D542,OFFSET(M$56:M$254,MATCH(D542,L$56:L$254,1)-1,0,2), OFFSET(L$56:L$254,MATCH(D542,L$56:L$254,1)-1,0,2))),"")</f>
        <v>0</v>
      </c>
      <c r="L542" s="7" t="str">
        <f t="array" ref="L542">IFERROR(INDEX(D$56:D$1054,SMALL(IF(ISNUMBER(J$56:J$1054),ROW(D$1:D$999),""),ROW(D487))),"")</f>
        <v/>
      </c>
      <c r="M542" s="7" t="str">
        <f t="array" ref="M542">IFERROR(INDEX(J$56:J$1054,SMALL(IF(ISNUMBER(J$56:J$1054),ROW(J$1:J$999),""),ROW(J487))),"")</f>
        <v/>
      </c>
      <c r="N542" s="7"/>
      <c r="O542" s="7"/>
      <c r="P542" s="7"/>
      <c r="Q542" s="7">
        <f ca="1">IFERROR(IF(COUNTA(P$56:P542)=P$54,P542,FORECAST(D542,OFFSET(S$56:S$254,MATCH(D542,R$56:R$254,1)-1,0,2), OFFSET(R$56:R$254,MATCH(D542,R$56:R$254,1)-1,0,2))),"")</f>
        <v>0</v>
      </c>
      <c r="R542" s="7" t="str">
        <f t="array" ref="R542">IFERROR(INDEX(E$56:E$1054,SMALL(IF(ISNUMBER(P$56:P$1054),ROW(E$1:E$999),""),ROW(J487))),"")</f>
        <v/>
      </c>
      <c r="S542" s="7" t="str">
        <f t="array" ref="S542">IFERROR(INDEX(P$56:P$1054,SMALL(IF(ISNUMBER(P$56:P$1054),ROW(P$1:P$999),""),ROW(P487))),"")</f>
        <v/>
      </c>
      <c r="T542" s="7"/>
      <c r="U542" s="7"/>
      <c r="V542" s="7"/>
    </row>
    <row r="543" spans="1:22" x14ac:dyDescent="0.25">
      <c r="A543" s="6"/>
      <c r="B543" s="11"/>
      <c r="C543" s="12"/>
      <c r="D543" s="12"/>
      <c r="E543" s="8">
        <f t="shared" si="7"/>
        <v>0</v>
      </c>
      <c r="F543" s="10"/>
      <c r="G543" s="10"/>
      <c r="H543" s="9"/>
      <c r="I543" s="7"/>
      <c r="J543" s="7"/>
      <c r="K543" s="7">
        <f ca="1">IFERROR(IF(COUNTA(J$56:J543)=J$54,J543,FORECAST(D543,OFFSET(M$56:M$254,MATCH(D543,L$56:L$254,1)-1,0,2), OFFSET(L$56:L$254,MATCH(D543,L$56:L$254,1)-1,0,2))),"")</f>
        <v>0</v>
      </c>
      <c r="L543" s="7" t="str">
        <f t="array" ref="L543">IFERROR(INDEX(D$56:D$1054,SMALL(IF(ISNUMBER(J$56:J$1054),ROW(D$1:D$999),""),ROW(D488))),"")</f>
        <v/>
      </c>
      <c r="M543" s="7" t="str">
        <f t="array" ref="M543">IFERROR(INDEX(J$56:J$1054,SMALL(IF(ISNUMBER(J$56:J$1054),ROW(J$1:J$999),""),ROW(J488))),"")</f>
        <v/>
      </c>
      <c r="N543" s="7"/>
      <c r="O543" s="7"/>
      <c r="P543" s="7"/>
      <c r="Q543" s="7">
        <f ca="1">IFERROR(IF(COUNTA(P$56:P543)=P$54,P543,FORECAST(D543,OFFSET(S$56:S$254,MATCH(D543,R$56:R$254,1)-1,0,2), OFFSET(R$56:R$254,MATCH(D543,R$56:R$254,1)-1,0,2))),"")</f>
        <v>0</v>
      </c>
      <c r="R543" s="7" t="str">
        <f t="array" ref="R543">IFERROR(INDEX(E$56:E$1054,SMALL(IF(ISNUMBER(P$56:P$1054),ROW(E$1:E$999),""),ROW(J488))),"")</f>
        <v/>
      </c>
      <c r="S543" s="7" t="str">
        <f t="array" ref="S543">IFERROR(INDEX(P$56:P$1054,SMALL(IF(ISNUMBER(P$56:P$1054),ROW(P$1:P$999),""),ROW(P488))),"")</f>
        <v/>
      </c>
      <c r="T543" s="7"/>
      <c r="U543" s="7"/>
      <c r="V543" s="7"/>
    </row>
    <row r="544" spans="1:22" x14ac:dyDescent="0.25">
      <c r="A544" s="6"/>
      <c r="B544" s="11"/>
      <c r="C544" s="12"/>
      <c r="D544" s="12"/>
      <c r="E544" s="8">
        <f t="shared" si="7"/>
        <v>0</v>
      </c>
      <c r="F544" s="10"/>
      <c r="G544" s="10"/>
      <c r="H544" s="9"/>
      <c r="I544" s="7"/>
      <c r="J544" s="7"/>
      <c r="K544" s="7">
        <f ca="1">IFERROR(IF(COUNTA(J$56:J544)=J$54,J544,FORECAST(D544,OFFSET(M$56:M$254,MATCH(D544,L$56:L$254,1)-1,0,2), OFFSET(L$56:L$254,MATCH(D544,L$56:L$254,1)-1,0,2))),"")</f>
        <v>0</v>
      </c>
      <c r="L544" s="7" t="str">
        <f t="array" ref="L544">IFERROR(INDEX(D$56:D$1054,SMALL(IF(ISNUMBER(J$56:J$1054),ROW(D$1:D$999),""),ROW(D489))),"")</f>
        <v/>
      </c>
      <c r="M544" s="7" t="str">
        <f t="array" ref="M544">IFERROR(INDEX(J$56:J$1054,SMALL(IF(ISNUMBER(J$56:J$1054),ROW(J$1:J$999),""),ROW(J489))),"")</f>
        <v/>
      </c>
      <c r="N544" s="7"/>
      <c r="O544" s="7"/>
      <c r="P544" s="7"/>
      <c r="Q544" s="7">
        <f ca="1">IFERROR(IF(COUNTA(P$56:P544)=P$54,P544,FORECAST(D544,OFFSET(S$56:S$254,MATCH(D544,R$56:R$254,1)-1,0,2), OFFSET(R$56:R$254,MATCH(D544,R$56:R$254,1)-1,0,2))),"")</f>
        <v>0</v>
      </c>
      <c r="R544" s="7" t="str">
        <f t="array" ref="R544">IFERROR(INDEX(E$56:E$1054,SMALL(IF(ISNUMBER(P$56:P$1054),ROW(E$1:E$999),""),ROW(J489))),"")</f>
        <v/>
      </c>
      <c r="S544" s="7" t="str">
        <f t="array" ref="S544">IFERROR(INDEX(P$56:P$1054,SMALL(IF(ISNUMBER(P$56:P$1054),ROW(P$1:P$999),""),ROW(P489))),"")</f>
        <v/>
      </c>
      <c r="T544" s="7"/>
      <c r="U544" s="7"/>
      <c r="V544" s="7"/>
    </row>
    <row r="545" spans="1:22" x14ac:dyDescent="0.25">
      <c r="A545" s="6"/>
      <c r="B545" s="11"/>
      <c r="C545" s="12"/>
      <c r="D545" s="12"/>
      <c r="E545" s="8">
        <f t="shared" si="7"/>
        <v>0</v>
      </c>
      <c r="F545" s="10"/>
      <c r="G545" s="10"/>
      <c r="H545" s="9"/>
      <c r="I545" s="7"/>
      <c r="J545" s="7"/>
      <c r="K545" s="7">
        <f ca="1">IFERROR(IF(COUNTA(J$56:J545)=J$54,J545,FORECAST(D545,OFFSET(M$56:M$254,MATCH(D545,L$56:L$254,1)-1,0,2), OFFSET(L$56:L$254,MATCH(D545,L$56:L$254,1)-1,0,2))),"")</f>
        <v>0</v>
      </c>
      <c r="L545" s="7" t="str">
        <f t="array" ref="L545">IFERROR(INDEX(D$56:D$1054,SMALL(IF(ISNUMBER(J$56:J$1054),ROW(D$1:D$999),""),ROW(D490))),"")</f>
        <v/>
      </c>
      <c r="M545" s="7" t="str">
        <f t="array" ref="M545">IFERROR(INDEX(J$56:J$1054,SMALL(IF(ISNUMBER(J$56:J$1054),ROW(J$1:J$999),""),ROW(J490))),"")</f>
        <v/>
      </c>
      <c r="N545" s="7"/>
      <c r="O545" s="7"/>
      <c r="P545" s="7"/>
      <c r="Q545" s="7">
        <f ca="1">IFERROR(IF(COUNTA(P$56:P545)=P$54,P545,FORECAST(D545,OFFSET(S$56:S$254,MATCH(D545,R$56:R$254,1)-1,0,2), OFFSET(R$56:R$254,MATCH(D545,R$56:R$254,1)-1,0,2))),"")</f>
        <v>0</v>
      </c>
      <c r="R545" s="7" t="str">
        <f t="array" ref="R545">IFERROR(INDEX(E$56:E$1054,SMALL(IF(ISNUMBER(P$56:P$1054),ROW(E$1:E$999),""),ROW(J490))),"")</f>
        <v/>
      </c>
      <c r="S545" s="7" t="str">
        <f t="array" ref="S545">IFERROR(INDEX(P$56:P$1054,SMALL(IF(ISNUMBER(P$56:P$1054),ROW(P$1:P$999),""),ROW(P490))),"")</f>
        <v/>
      </c>
      <c r="T545" s="7"/>
      <c r="U545" s="7"/>
      <c r="V545" s="7"/>
    </row>
    <row r="546" spans="1:22" x14ac:dyDescent="0.25">
      <c r="A546" s="6"/>
      <c r="B546" s="11"/>
      <c r="C546" s="12"/>
      <c r="D546" s="12"/>
      <c r="E546" s="8">
        <f t="shared" si="7"/>
        <v>0</v>
      </c>
      <c r="F546" s="10"/>
      <c r="G546" s="10"/>
      <c r="H546" s="9"/>
      <c r="I546" s="7"/>
      <c r="J546" s="7"/>
      <c r="K546" s="7">
        <f ca="1">IFERROR(IF(COUNTA(J$56:J546)=J$54,J546,FORECAST(D546,OFFSET(M$56:M$254,MATCH(D546,L$56:L$254,1)-1,0,2), OFFSET(L$56:L$254,MATCH(D546,L$56:L$254,1)-1,0,2))),"")</f>
        <v>0</v>
      </c>
      <c r="L546" s="7" t="str">
        <f t="array" ref="L546">IFERROR(INDEX(D$56:D$1054,SMALL(IF(ISNUMBER(J$56:J$1054),ROW(D$1:D$999),""),ROW(D491))),"")</f>
        <v/>
      </c>
      <c r="M546" s="7" t="str">
        <f t="array" ref="M546">IFERROR(INDEX(J$56:J$1054,SMALL(IF(ISNUMBER(J$56:J$1054),ROW(J$1:J$999),""),ROW(J491))),"")</f>
        <v/>
      </c>
      <c r="N546" s="7"/>
      <c r="O546" s="7"/>
      <c r="P546" s="7"/>
      <c r="Q546" s="7">
        <f ca="1">IFERROR(IF(COUNTA(P$56:P546)=P$54,P546,FORECAST(D546,OFFSET(S$56:S$254,MATCH(D546,R$56:R$254,1)-1,0,2), OFFSET(R$56:R$254,MATCH(D546,R$56:R$254,1)-1,0,2))),"")</f>
        <v>0</v>
      </c>
      <c r="R546" s="7" t="str">
        <f t="array" ref="R546">IFERROR(INDEX(E$56:E$1054,SMALL(IF(ISNUMBER(P$56:P$1054),ROW(E$1:E$999),""),ROW(J491))),"")</f>
        <v/>
      </c>
      <c r="S546" s="7" t="str">
        <f t="array" ref="S546">IFERROR(INDEX(P$56:P$1054,SMALL(IF(ISNUMBER(P$56:P$1054),ROW(P$1:P$999),""),ROW(P491))),"")</f>
        <v/>
      </c>
      <c r="T546" s="7"/>
      <c r="U546" s="7"/>
      <c r="V546" s="7"/>
    </row>
    <row r="547" spans="1:22" x14ac:dyDescent="0.25">
      <c r="A547" s="6"/>
      <c r="B547" s="11"/>
      <c r="C547" s="12"/>
      <c r="D547" s="12"/>
      <c r="E547" s="8">
        <f t="shared" si="7"/>
        <v>0</v>
      </c>
      <c r="F547" s="10"/>
      <c r="G547" s="10"/>
      <c r="H547" s="9"/>
      <c r="I547" s="7"/>
      <c r="J547" s="7"/>
      <c r="K547" s="7">
        <f ca="1">IFERROR(IF(COUNTA(J$56:J547)=J$54,J547,FORECAST(D547,OFFSET(M$56:M$254,MATCH(D547,L$56:L$254,1)-1,0,2), OFFSET(L$56:L$254,MATCH(D547,L$56:L$254,1)-1,0,2))),"")</f>
        <v>0</v>
      </c>
      <c r="L547" s="7" t="str">
        <f t="array" ref="L547">IFERROR(INDEX(D$56:D$1054,SMALL(IF(ISNUMBER(J$56:J$1054),ROW(D$1:D$999),""),ROW(D492))),"")</f>
        <v/>
      </c>
      <c r="M547" s="7" t="str">
        <f t="array" ref="M547">IFERROR(INDEX(J$56:J$1054,SMALL(IF(ISNUMBER(J$56:J$1054),ROW(J$1:J$999),""),ROW(J492))),"")</f>
        <v/>
      </c>
      <c r="N547" s="7"/>
      <c r="O547" s="7"/>
      <c r="P547" s="7"/>
      <c r="Q547" s="7">
        <f ca="1">IFERROR(IF(COUNTA(P$56:P547)=P$54,P547,FORECAST(D547,OFFSET(S$56:S$254,MATCH(D547,R$56:R$254,1)-1,0,2), OFFSET(R$56:R$254,MATCH(D547,R$56:R$254,1)-1,0,2))),"")</f>
        <v>0</v>
      </c>
      <c r="R547" s="7" t="str">
        <f t="array" ref="R547">IFERROR(INDEX(E$56:E$1054,SMALL(IF(ISNUMBER(P$56:P$1054),ROW(E$1:E$999),""),ROW(J492))),"")</f>
        <v/>
      </c>
      <c r="S547" s="7" t="str">
        <f t="array" ref="S547">IFERROR(INDEX(P$56:P$1054,SMALL(IF(ISNUMBER(P$56:P$1054),ROW(P$1:P$999),""),ROW(P492))),"")</f>
        <v/>
      </c>
      <c r="T547" s="7"/>
      <c r="U547" s="7"/>
      <c r="V547" s="7"/>
    </row>
    <row r="548" spans="1:22" x14ac:dyDescent="0.25">
      <c r="A548" s="6"/>
      <c r="B548" s="11"/>
      <c r="C548" s="12"/>
      <c r="D548" s="12"/>
      <c r="E548" s="8">
        <f t="shared" si="7"/>
        <v>0</v>
      </c>
      <c r="F548" s="10"/>
      <c r="G548" s="10"/>
      <c r="H548" s="9"/>
      <c r="I548" s="7"/>
      <c r="J548" s="7"/>
      <c r="K548" s="7">
        <f ca="1">IFERROR(IF(COUNTA(J$56:J548)=J$54,J548,FORECAST(D548,OFFSET(M$56:M$254,MATCH(D548,L$56:L$254,1)-1,0,2), OFFSET(L$56:L$254,MATCH(D548,L$56:L$254,1)-1,0,2))),"")</f>
        <v>0</v>
      </c>
      <c r="L548" s="7" t="str">
        <f t="array" ref="L548">IFERROR(INDEX(D$56:D$1054,SMALL(IF(ISNUMBER(J$56:J$1054),ROW(D$1:D$999),""),ROW(D493))),"")</f>
        <v/>
      </c>
      <c r="M548" s="7" t="str">
        <f t="array" ref="M548">IFERROR(INDEX(J$56:J$1054,SMALL(IF(ISNUMBER(J$56:J$1054),ROW(J$1:J$999),""),ROW(J493))),"")</f>
        <v/>
      </c>
      <c r="N548" s="7"/>
      <c r="O548" s="7"/>
      <c r="P548" s="7"/>
      <c r="Q548" s="7">
        <f ca="1">IFERROR(IF(COUNTA(P$56:P548)=P$54,P548,FORECAST(D548,OFFSET(S$56:S$254,MATCH(D548,R$56:R$254,1)-1,0,2), OFFSET(R$56:R$254,MATCH(D548,R$56:R$254,1)-1,0,2))),"")</f>
        <v>0</v>
      </c>
      <c r="R548" s="7" t="str">
        <f t="array" ref="R548">IFERROR(INDEX(E$56:E$1054,SMALL(IF(ISNUMBER(P$56:P$1054),ROW(E$1:E$999),""),ROW(J493))),"")</f>
        <v/>
      </c>
      <c r="S548" s="7" t="str">
        <f t="array" ref="S548">IFERROR(INDEX(P$56:P$1054,SMALL(IF(ISNUMBER(P$56:P$1054),ROW(P$1:P$999),""),ROW(P493))),"")</f>
        <v/>
      </c>
      <c r="T548" s="7"/>
      <c r="U548" s="7"/>
      <c r="V548" s="7"/>
    </row>
    <row r="549" spans="1:22" x14ac:dyDescent="0.25">
      <c r="A549" s="6"/>
      <c r="B549" s="11"/>
      <c r="C549" s="12"/>
      <c r="D549" s="12"/>
      <c r="E549" s="8">
        <f t="shared" si="7"/>
        <v>0</v>
      </c>
      <c r="F549" s="10"/>
      <c r="G549" s="10"/>
      <c r="H549" s="9"/>
      <c r="I549" s="7"/>
      <c r="J549" s="7"/>
      <c r="K549" s="7">
        <f ca="1">IFERROR(IF(COUNTA(J$56:J549)=J$54,J549,FORECAST(D549,OFFSET(M$56:M$254,MATCH(D549,L$56:L$254,1)-1,0,2), OFFSET(L$56:L$254,MATCH(D549,L$56:L$254,1)-1,0,2))),"")</f>
        <v>0</v>
      </c>
      <c r="L549" s="7" t="str">
        <f t="array" ref="L549">IFERROR(INDEX(D$56:D$1054,SMALL(IF(ISNUMBER(J$56:J$1054),ROW(D$1:D$999),""),ROW(D494))),"")</f>
        <v/>
      </c>
      <c r="M549" s="7" t="str">
        <f t="array" ref="M549">IFERROR(INDEX(J$56:J$1054,SMALL(IF(ISNUMBER(J$56:J$1054),ROW(J$1:J$999),""),ROW(J494))),"")</f>
        <v/>
      </c>
      <c r="N549" s="7"/>
      <c r="O549" s="7"/>
      <c r="P549" s="7"/>
      <c r="Q549" s="7">
        <f ca="1">IFERROR(IF(COUNTA(P$56:P549)=P$54,P549,FORECAST(D549,OFFSET(S$56:S$254,MATCH(D549,R$56:R$254,1)-1,0,2), OFFSET(R$56:R$254,MATCH(D549,R$56:R$254,1)-1,0,2))),"")</f>
        <v>0</v>
      </c>
      <c r="R549" s="7" t="str">
        <f t="array" ref="R549">IFERROR(INDEX(E$56:E$1054,SMALL(IF(ISNUMBER(P$56:P$1054),ROW(E$1:E$999),""),ROW(J494))),"")</f>
        <v/>
      </c>
      <c r="S549" s="7" t="str">
        <f t="array" ref="S549">IFERROR(INDEX(P$56:P$1054,SMALL(IF(ISNUMBER(P$56:P$1054),ROW(P$1:P$999),""),ROW(P494))),"")</f>
        <v/>
      </c>
      <c r="T549" s="7"/>
      <c r="U549" s="7"/>
      <c r="V549" s="7"/>
    </row>
    <row r="550" spans="1:22" x14ac:dyDescent="0.25">
      <c r="A550" s="6"/>
      <c r="B550" s="11"/>
      <c r="C550" s="12"/>
      <c r="D550" s="12"/>
      <c r="E550" s="8">
        <f t="shared" si="7"/>
        <v>0</v>
      </c>
      <c r="F550" s="10"/>
      <c r="G550" s="10"/>
      <c r="H550" s="9"/>
      <c r="I550" s="7"/>
      <c r="J550" s="7"/>
      <c r="K550" s="7">
        <f ca="1">IFERROR(IF(COUNTA(J$56:J550)=J$54,J550,FORECAST(D550,OFFSET(M$56:M$254,MATCH(D550,L$56:L$254,1)-1,0,2), OFFSET(L$56:L$254,MATCH(D550,L$56:L$254,1)-1,0,2))),"")</f>
        <v>0</v>
      </c>
      <c r="L550" s="7" t="str">
        <f t="array" ref="L550">IFERROR(INDEX(D$56:D$1054,SMALL(IF(ISNUMBER(J$56:J$1054),ROW(D$1:D$999),""),ROW(D495))),"")</f>
        <v/>
      </c>
      <c r="M550" s="7" t="str">
        <f t="array" ref="M550">IFERROR(INDEX(J$56:J$1054,SMALL(IF(ISNUMBER(J$56:J$1054),ROW(J$1:J$999),""),ROW(J495))),"")</f>
        <v/>
      </c>
      <c r="N550" s="7"/>
      <c r="O550" s="7"/>
      <c r="P550" s="7"/>
      <c r="Q550" s="7">
        <f ca="1">IFERROR(IF(COUNTA(P$56:P550)=P$54,P550,FORECAST(D550,OFFSET(S$56:S$254,MATCH(D550,R$56:R$254,1)-1,0,2), OFFSET(R$56:R$254,MATCH(D550,R$56:R$254,1)-1,0,2))),"")</f>
        <v>0</v>
      </c>
      <c r="R550" s="7" t="str">
        <f t="array" ref="R550">IFERROR(INDEX(E$56:E$1054,SMALL(IF(ISNUMBER(P$56:P$1054),ROW(E$1:E$999),""),ROW(J495))),"")</f>
        <v/>
      </c>
      <c r="S550" s="7" t="str">
        <f t="array" ref="S550">IFERROR(INDEX(P$56:P$1054,SMALL(IF(ISNUMBER(P$56:P$1054),ROW(P$1:P$999),""),ROW(P495))),"")</f>
        <v/>
      </c>
      <c r="T550" s="7"/>
      <c r="U550" s="7"/>
      <c r="V550" s="7"/>
    </row>
    <row r="551" spans="1:22" x14ac:dyDescent="0.25">
      <c r="A551" s="6"/>
      <c r="B551" s="11"/>
      <c r="C551" s="12"/>
      <c r="D551" s="12"/>
      <c r="E551" s="8">
        <f t="shared" si="7"/>
        <v>0</v>
      </c>
      <c r="F551" s="10"/>
      <c r="G551" s="10"/>
      <c r="H551" s="9"/>
      <c r="I551" s="7"/>
      <c r="J551" s="7"/>
      <c r="K551" s="7">
        <f ca="1">IFERROR(IF(COUNTA(J$56:J551)=J$54,J551,FORECAST(D551,OFFSET(M$56:M$254,MATCH(D551,L$56:L$254,1)-1,0,2), OFFSET(L$56:L$254,MATCH(D551,L$56:L$254,1)-1,0,2))),"")</f>
        <v>0</v>
      </c>
      <c r="L551" s="7" t="str">
        <f t="array" ref="L551">IFERROR(INDEX(D$56:D$1054,SMALL(IF(ISNUMBER(J$56:J$1054),ROW(D$1:D$999),""),ROW(D496))),"")</f>
        <v/>
      </c>
      <c r="M551" s="7" t="str">
        <f t="array" ref="M551">IFERROR(INDEX(J$56:J$1054,SMALL(IF(ISNUMBER(J$56:J$1054),ROW(J$1:J$999),""),ROW(J496))),"")</f>
        <v/>
      </c>
      <c r="N551" s="7"/>
      <c r="O551" s="7"/>
      <c r="P551" s="7"/>
      <c r="Q551" s="7">
        <f ca="1">IFERROR(IF(COUNTA(P$56:P551)=P$54,P551,FORECAST(D551,OFFSET(S$56:S$254,MATCH(D551,R$56:R$254,1)-1,0,2), OFFSET(R$56:R$254,MATCH(D551,R$56:R$254,1)-1,0,2))),"")</f>
        <v>0</v>
      </c>
      <c r="R551" s="7" t="str">
        <f t="array" ref="R551">IFERROR(INDEX(E$56:E$1054,SMALL(IF(ISNUMBER(P$56:P$1054),ROW(E$1:E$999),""),ROW(J496))),"")</f>
        <v/>
      </c>
      <c r="S551" s="7" t="str">
        <f t="array" ref="S551">IFERROR(INDEX(P$56:P$1054,SMALL(IF(ISNUMBER(P$56:P$1054),ROW(P$1:P$999),""),ROW(P496))),"")</f>
        <v/>
      </c>
      <c r="T551" s="7"/>
      <c r="U551" s="7"/>
      <c r="V551" s="7"/>
    </row>
    <row r="552" spans="1:22" x14ac:dyDescent="0.25">
      <c r="A552" s="6"/>
      <c r="B552" s="11"/>
      <c r="C552" s="12"/>
      <c r="D552" s="12"/>
      <c r="E552" s="8">
        <f t="shared" si="7"/>
        <v>0</v>
      </c>
      <c r="F552" s="10"/>
      <c r="G552" s="10"/>
      <c r="H552" s="9"/>
      <c r="I552" s="7"/>
      <c r="J552" s="7"/>
      <c r="K552" s="7">
        <f ca="1">IFERROR(IF(COUNTA(J$56:J552)=J$54,J552,FORECAST(D552,OFFSET(M$56:M$254,MATCH(D552,L$56:L$254,1)-1,0,2), OFFSET(L$56:L$254,MATCH(D552,L$56:L$254,1)-1,0,2))),"")</f>
        <v>0</v>
      </c>
      <c r="L552" s="7" t="str">
        <f t="array" ref="L552">IFERROR(INDEX(D$56:D$1054,SMALL(IF(ISNUMBER(J$56:J$1054),ROW(D$1:D$999),""),ROW(D497))),"")</f>
        <v/>
      </c>
      <c r="M552" s="7" t="str">
        <f t="array" ref="M552">IFERROR(INDEX(J$56:J$1054,SMALL(IF(ISNUMBER(J$56:J$1054),ROW(J$1:J$999),""),ROW(J497))),"")</f>
        <v/>
      </c>
      <c r="N552" s="7"/>
      <c r="O552" s="7"/>
      <c r="P552" s="7"/>
      <c r="Q552" s="7">
        <f ca="1">IFERROR(IF(COUNTA(P$56:P552)=P$54,P552,FORECAST(D552,OFFSET(S$56:S$254,MATCH(D552,R$56:R$254,1)-1,0,2), OFFSET(R$56:R$254,MATCH(D552,R$56:R$254,1)-1,0,2))),"")</f>
        <v>0</v>
      </c>
      <c r="R552" s="7" t="str">
        <f t="array" ref="R552">IFERROR(INDEX(E$56:E$1054,SMALL(IF(ISNUMBER(P$56:P$1054),ROW(E$1:E$999),""),ROW(J497))),"")</f>
        <v/>
      </c>
      <c r="S552" s="7" t="str">
        <f t="array" ref="S552">IFERROR(INDEX(P$56:P$1054,SMALL(IF(ISNUMBER(P$56:P$1054),ROW(P$1:P$999),""),ROW(P497))),"")</f>
        <v/>
      </c>
      <c r="T552" s="7"/>
      <c r="U552" s="7"/>
      <c r="V552" s="7"/>
    </row>
    <row r="553" spans="1:22" x14ac:dyDescent="0.25">
      <c r="A553" s="6"/>
      <c r="B553" s="11"/>
      <c r="C553" s="12"/>
      <c r="D553" s="12"/>
      <c r="E553" s="8">
        <f t="shared" si="7"/>
        <v>0</v>
      </c>
      <c r="F553" s="10"/>
      <c r="G553" s="10"/>
      <c r="H553" s="9"/>
      <c r="I553" s="7"/>
      <c r="J553" s="7"/>
      <c r="K553" s="7">
        <f ca="1">IFERROR(IF(COUNTA(J$56:J553)=J$54,J553,FORECAST(D553,OFFSET(M$56:M$254,MATCH(D553,L$56:L$254,1)-1,0,2), OFFSET(L$56:L$254,MATCH(D553,L$56:L$254,1)-1,0,2))),"")</f>
        <v>0</v>
      </c>
      <c r="L553" s="7" t="str">
        <f t="array" ref="L553">IFERROR(INDEX(D$56:D$1054,SMALL(IF(ISNUMBER(J$56:J$1054),ROW(D$1:D$999),""),ROW(D498))),"")</f>
        <v/>
      </c>
      <c r="M553" s="7" t="str">
        <f t="array" ref="M553">IFERROR(INDEX(J$56:J$1054,SMALL(IF(ISNUMBER(J$56:J$1054),ROW(J$1:J$999),""),ROW(J498))),"")</f>
        <v/>
      </c>
      <c r="N553" s="7"/>
      <c r="O553" s="7"/>
      <c r="P553" s="7"/>
      <c r="Q553" s="7">
        <f ca="1">IFERROR(IF(COUNTA(P$56:P553)=P$54,P553,FORECAST(D553,OFFSET(S$56:S$254,MATCH(D553,R$56:R$254,1)-1,0,2), OFFSET(R$56:R$254,MATCH(D553,R$56:R$254,1)-1,0,2))),"")</f>
        <v>0</v>
      </c>
      <c r="R553" s="7" t="str">
        <f t="array" ref="R553">IFERROR(INDEX(E$56:E$1054,SMALL(IF(ISNUMBER(P$56:P$1054),ROW(E$1:E$999),""),ROW(J498))),"")</f>
        <v/>
      </c>
      <c r="S553" s="7" t="str">
        <f t="array" ref="S553">IFERROR(INDEX(P$56:P$1054,SMALL(IF(ISNUMBER(P$56:P$1054),ROW(P$1:P$999),""),ROW(P498))),"")</f>
        <v/>
      </c>
      <c r="T553" s="7"/>
      <c r="U553" s="7"/>
      <c r="V553" s="7"/>
    </row>
    <row r="554" spans="1:22" x14ac:dyDescent="0.25">
      <c r="A554" s="6"/>
      <c r="B554" s="11"/>
      <c r="C554" s="12"/>
      <c r="D554" s="12"/>
      <c r="E554" s="8">
        <f t="shared" si="7"/>
        <v>0</v>
      </c>
      <c r="F554" s="10"/>
      <c r="G554" s="10"/>
      <c r="H554" s="9"/>
      <c r="I554" s="7"/>
      <c r="J554" s="7"/>
      <c r="K554" s="7">
        <f ca="1">IFERROR(IF(COUNTA(J$56:J554)=J$54,J554,FORECAST(D554,OFFSET(M$56:M$254,MATCH(D554,L$56:L$254,1)-1,0,2), OFFSET(L$56:L$254,MATCH(D554,L$56:L$254,1)-1,0,2))),"")</f>
        <v>0</v>
      </c>
      <c r="L554" s="7" t="str">
        <f t="array" ref="L554">IFERROR(INDEX(D$56:D$1054,SMALL(IF(ISNUMBER(J$56:J$1054),ROW(D$1:D$999),""),ROW(D499))),"")</f>
        <v/>
      </c>
      <c r="M554" s="7" t="str">
        <f t="array" ref="M554">IFERROR(INDEX(J$56:J$1054,SMALL(IF(ISNUMBER(J$56:J$1054),ROW(J$1:J$999),""),ROW(J499))),"")</f>
        <v/>
      </c>
      <c r="N554" s="7"/>
      <c r="O554" s="7"/>
      <c r="P554" s="7"/>
      <c r="Q554" s="7">
        <f ca="1">IFERROR(IF(COUNTA(P$56:P554)=P$54,P554,FORECAST(D554,OFFSET(S$56:S$254,MATCH(D554,R$56:R$254,1)-1,0,2), OFFSET(R$56:R$254,MATCH(D554,R$56:R$254,1)-1,0,2))),"")</f>
        <v>0</v>
      </c>
      <c r="R554" s="7" t="str">
        <f t="array" ref="R554">IFERROR(INDEX(E$56:E$1054,SMALL(IF(ISNUMBER(P$56:P$1054),ROW(E$1:E$999),""),ROW(J499))),"")</f>
        <v/>
      </c>
      <c r="S554" s="7" t="str">
        <f t="array" ref="S554">IFERROR(INDEX(P$56:P$1054,SMALL(IF(ISNUMBER(P$56:P$1054),ROW(P$1:P$999),""),ROW(P499))),"")</f>
        <v/>
      </c>
      <c r="T554" s="7"/>
      <c r="U554" s="7"/>
      <c r="V554" s="7"/>
    </row>
    <row r="555" spans="1:22" x14ac:dyDescent="0.25">
      <c r="A555" s="6"/>
      <c r="B555" s="11"/>
      <c r="C555" s="12"/>
      <c r="D555" s="12"/>
      <c r="E555" s="8">
        <f t="shared" si="7"/>
        <v>0</v>
      </c>
      <c r="F555" s="10"/>
      <c r="G555" s="10"/>
      <c r="H555" s="9"/>
      <c r="I555" s="7"/>
      <c r="J555" s="7"/>
      <c r="K555" s="7">
        <f ca="1">IFERROR(IF(COUNTA(J$56:J555)=J$54,J555,FORECAST(D555,OFFSET(M$56:M$254,MATCH(D555,L$56:L$254,1)-1,0,2), OFFSET(L$56:L$254,MATCH(D555,L$56:L$254,1)-1,0,2))),"")</f>
        <v>0</v>
      </c>
      <c r="L555" s="7" t="str">
        <f t="array" ref="L555">IFERROR(INDEX(D$56:D$1054,SMALL(IF(ISNUMBER(J$56:J$1054),ROW(D$1:D$999),""),ROW(D500))),"")</f>
        <v/>
      </c>
      <c r="M555" s="7" t="str">
        <f t="array" ref="M555">IFERROR(INDEX(J$56:J$1054,SMALL(IF(ISNUMBER(J$56:J$1054),ROW(J$1:J$999),""),ROW(J500))),"")</f>
        <v/>
      </c>
      <c r="N555" s="7"/>
      <c r="O555" s="7"/>
      <c r="P555" s="7"/>
      <c r="Q555" s="7">
        <f ca="1">IFERROR(IF(COUNTA(P$56:P555)=P$54,P555,FORECAST(D555,OFFSET(S$56:S$254,MATCH(D555,R$56:R$254,1)-1,0,2), OFFSET(R$56:R$254,MATCH(D555,R$56:R$254,1)-1,0,2))),"")</f>
        <v>0</v>
      </c>
      <c r="R555" s="7" t="str">
        <f t="array" ref="R555">IFERROR(INDEX(E$56:E$1054,SMALL(IF(ISNUMBER(P$56:P$1054),ROW(E$1:E$999),""),ROW(J500))),"")</f>
        <v/>
      </c>
      <c r="S555" s="7" t="str">
        <f t="array" ref="S555">IFERROR(INDEX(P$56:P$1054,SMALL(IF(ISNUMBER(P$56:P$1054),ROW(P$1:P$999),""),ROW(P500))),"")</f>
        <v/>
      </c>
      <c r="T555" s="7"/>
      <c r="U555" s="7"/>
      <c r="V555" s="7"/>
    </row>
    <row r="556" spans="1:22" x14ac:dyDescent="0.25">
      <c r="A556" s="6"/>
      <c r="B556" s="11"/>
      <c r="C556" s="12"/>
      <c r="D556" s="12"/>
      <c r="E556" s="8">
        <f t="shared" si="7"/>
        <v>0</v>
      </c>
      <c r="F556" s="10"/>
      <c r="G556" s="10"/>
      <c r="H556" s="9"/>
      <c r="I556" s="7"/>
      <c r="J556" s="7"/>
      <c r="K556" s="7">
        <f ca="1">IFERROR(IF(COUNTA(J$56:J556)=J$54,J556,FORECAST(D556,OFFSET(M$56:M$254,MATCH(D556,L$56:L$254,1)-1,0,2), OFFSET(L$56:L$254,MATCH(D556,L$56:L$254,1)-1,0,2))),"")</f>
        <v>0</v>
      </c>
      <c r="L556" s="7" t="str">
        <f t="array" ref="L556">IFERROR(INDEX(D$56:D$1054,SMALL(IF(ISNUMBER(J$56:J$1054),ROW(D$1:D$999),""),ROW(D501))),"")</f>
        <v/>
      </c>
      <c r="M556" s="7" t="str">
        <f t="array" ref="M556">IFERROR(INDEX(J$56:J$1054,SMALL(IF(ISNUMBER(J$56:J$1054),ROW(J$1:J$999),""),ROW(J501))),"")</f>
        <v/>
      </c>
      <c r="N556" s="7"/>
      <c r="O556" s="7"/>
      <c r="P556" s="7"/>
      <c r="Q556" s="7">
        <f ca="1">IFERROR(IF(COUNTA(P$56:P556)=P$54,P556,FORECAST(D556,OFFSET(S$56:S$254,MATCH(D556,R$56:R$254,1)-1,0,2), OFFSET(R$56:R$254,MATCH(D556,R$56:R$254,1)-1,0,2))),"")</f>
        <v>0</v>
      </c>
      <c r="R556" s="7" t="str">
        <f t="array" ref="R556">IFERROR(INDEX(E$56:E$1054,SMALL(IF(ISNUMBER(P$56:P$1054),ROW(E$1:E$999),""),ROW(J501))),"")</f>
        <v/>
      </c>
      <c r="S556" s="7" t="str">
        <f t="array" ref="S556">IFERROR(INDEX(P$56:P$1054,SMALL(IF(ISNUMBER(P$56:P$1054),ROW(P$1:P$999),""),ROW(P501))),"")</f>
        <v/>
      </c>
      <c r="T556" s="7"/>
      <c r="U556" s="7"/>
      <c r="V556" s="7"/>
    </row>
    <row r="557" spans="1:22" x14ac:dyDescent="0.25">
      <c r="A557" s="6"/>
      <c r="B557" s="11"/>
      <c r="C557" s="12"/>
      <c r="D557" s="12"/>
      <c r="E557" s="8">
        <f t="shared" si="7"/>
        <v>0</v>
      </c>
      <c r="F557" s="10"/>
      <c r="G557" s="10"/>
      <c r="H557" s="9"/>
      <c r="I557" s="7"/>
      <c r="J557" s="7"/>
      <c r="K557" s="7">
        <f ca="1">IFERROR(IF(COUNTA(J$56:J557)=J$54,J557,FORECAST(D557,OFFSET(M$56:M$254,MATCH(D557,L$56:L$254,1)-1,0,2), OFFSET(L$56:L$254,MATCH(D557,L$56:L$254,1)-1,0,2))),"")</f>
        <v>0</v>
      </c>
      <c r="L557" s="7" t="str">
        <f t="array" ref="L557">IFERROR(INDEX(D$56:D$1054,SMALL(IF(ISNUMBER(J$56:J$1054),ROW(D$1:D$999),""),ROW(D502))),"")</f>
        <v/>
      </c>
      <c r="M557" s="7" t="str">
        <f t="array" ref="M557">IFERROR(INDEX(J$56:J$1054,SMALL(IF(ISNUMBER(J$56:J$1054),ROW(J$1:J$999),""),ROW(J502))),"")</f>
        <v/>
      </c>
      <c r="N557" s="7"/>
      <c r="O557" s="7"/>
      <c r="P557" s="7"/>
      <c r="Q557" s="7">
        <f ca="1">IFERROR(IF(COUNTA(P$56:P557)=P$54,P557,FORECAST(D557,OFFSET(S$56:S$254,MATCH(D557,R$56:R$254,1)-1,0,2), OFFSET(R$56:R$254,MATCH(D557,R$56:R$254,1)-1,0,2))),"")</f>
        <v>0</v>
      </c>
      <c r="R557" s="7" t="str">
        <f t="array" ref="R557">IFERROR(INDEX(E$56:E$1054,SMALL(IF(ISNUMBER(P$56:P$1054),ROW(E$1:E$999),""),ROW(J502))),"")</f>
        <v/>
      </c>
      <c r="S557" s="7" t="str">
        <f t="array" ref="S557">IFERROR(INDEX(P$56:P$1054,SMALL(IF(ISNUMBER(P$56:P$1054),ROW(P$1:P$999),""),ROW(P502))),"")</f>
        <v/>
      </c>
      <c r="T557" s="7"/>
      <c r="U557" s="7"/>
      <c r="V557" s="7"/>
    </row>
    <row r="558" spans="1:22" x14ac:dyDescent="0.25">
      <c r="A558" s="6"/>
      <c r="B558" s="11"/>
      <c r="C558" s="12"/>
      <c r="D558" s="12"/>
      <c r="E558" s="8">
        <f t="shared" si="7"/>
        <v>0</v>
      </c>
      <c r="F558" s="10"/>
      <c r="G558" s="10"/>
      <c r="H558" s="9"/>
      <c r="I558" s="7"/>
      <c r="J558" s="7"/>
      <c r="K558" s="7">
        <f ca="1">IFERROR(IF(COUNTA(J$56:J558)=J$54,J558,FORECAST(D558,OFFSET(M$56:M$254,MATCH(D558,L$56:L$254,1)-1,0,2), OFFSET(L$56:L$254,MATCH(D558,L$56:L$254,1)-1,0,2))),"")</f>
        <v>0</v>
      </c>
      <c r="L558" s="7" t="str">
        <f t="array" ref="L558">IFERROR(INDEX(D$56:D$1054,SMALL(IF(ISNUMBER(J$56:J$1054),ROW(D$1:D$999),""),ROW(D503))),"")</f>
        <v/>
      </c>
      <c r="M558" s="7" t="str">
        <f t="array" ref="M558">IFERROR(INDEX(J$56:J$1054,SMALL(IF(ISNUMBER(J$56:J$1054),ROW(J$1:J$999),""),ROW(J503))),"")</f>
        <v/>
      </c>
      <c r="N558" s="7"/>
      <c r="O558" s="7"/>
      <c r="P558" s="7"/>
      <c r="Q558" s="7">
        <f ca="1">IFERROR(IF(COUNTA(P$56:P558)=P$54,P558,FORECAST(D558,OFFSET(S$56:S$254,MATCH(D558,R$56:R$254,1)-1,0,2), OFFSET(R$56:R$254,MATCH(D558,R$56:R$254,1)-1,0,2))),"")</f>
        <v>0</v>
      </c>
      <c r="R558" s="7" t="str">
        <f t="array" ref="R558">IFERROR(INDEX(E$56:E$1054,SMALL(IF(ISNUMBER(P$56:P$1054),ROW(E$1:E$999),""),ROW(J503))),"")</f>
        <v/>
      </c>
      <c r="S558" s="7" t="str">
        <f t="array" ref="S558">IFERROR(INDEX(P$56:P$1054,SMALL(IF(ISNUMBER(P$56:P$1054),ROW(P$1:P$999),""),ROW(P503))),"")</f>
        <v/>
      </c>
      <c r="T558" s="7"/>
      <c r="U558" s="7"/>
      <c r="V558" s="7"/>
    </row>
    <row r="559" spans="1:22" x14ac:dyDescent="0.25">
      <c r="A559" s="6"/>
      <c r="B559" s="11"/>
      <c r="C559" s="12"/>
      <c r="D559" s="12"/>
      <c r="E559" s="8">
        <f t="shared" si="7"/>
        <v>0</v>
      </c>
      <c r="F559" s="10"/>
      <c r="G559" s="10"/>
      <c r="H559" s="9"/>
      <c r="I559" s="7"/>
      <c r="J559" s="7"/>
      <c r="K559" s="7">
        <f ca="1">IFERROR(IF(COUNTA(J$56:J559)=J$54,J559,FORECAST(D559,OFFSET(M$56:M$254,MATCH(D559,L$56:L$254,1)-1,0,2), OFFSET(L$56:L$254,MATCH(D559,L$56:L$254,1)-1,0,2))),"")</f>
        <v>0</v>
      </c>
      <c r="L559" s="7" t="str">
        <f t="array" ref="L559">IFERROR(INDEX(D$56:D$1054,SMALL(IF(ISNUMBER(J$56:J$1054),ROW(D$1:D$999),""),ROW(D504))),"")</f>
        <v/>
      </c>
      <c r="M559" s="7" t="str">
        <f t="array" ref="M559">IFERROR(INDEX(J$56:J$1054,SMALL(IF(ISNUMBER(J$56:J$1054),ROW(J$1:J$999),""),ROW(J504))),"")</f>
        <v/>
      </c>
      <c r="N559" s="7"/>
      <c r="O559" s="7"/>
      <c r="P559" s="7"/>
      <c r="Q559" s="7">
        <f ca="1">IFERROR(IF(COUNTA(P$56:P559)=P$54,P559,FORECAST(D559,OFFSET(S$56:S$254,MATCH(D559,R$56:R$254,1)-1,0,2), OFFSET(R$56:R$254,MATCH(D559,R$56:R$254,1)-1,0,2))),"")</f>
        <v>0</v>
      </c>
      <c r="R559" s="7" t="str">
        <f t="array" ref="R559">IFERROR(INDEX(E$56:E$1054,SMALL(IF(ISNUMBER(P$56:P$1054),ROW(E$1:E$999),""),ROW(J504))),"")</f>
        <v/>
      </c>
      <c r="S559" s="7" t="str">
        <f t="array" ref="S559">IFERROR(INDEX(P$56:P$1054,SMALL(IF(ISNUMBER(P$56:P$1054),ROW(P$1:P$999),""),ROW(P504))),"")</f>
        <v/>
      </c>
      <c r="T559" s="7"/>
      <c r="U559" s="7"/>
      <c r="V559" s="7"/>
    </row>
    <row r="560" spans="1:22" x14ac:dyDescent="0.25">
      <c r="A560" s="6"/>
      <c r="B560" s="11"/>
      <c r="C560" s="12"/>
      <c r="D560" s="12"/>
      <c r="E560" s="8">
        <f t="shared" si="7"/>
        <v>0</v>
      </c>
      <c r="F560" s="10"/>
      <c r="G560" s="10"/>
      <c r="H560" s="9"/>
      <c r="I560" s="7"/>
      <c r="J560" s="7"/>
      <c r="K560" s="7">
        <f ca="1">IFERROR(IF(COUNTA(J$56:J560)=J$54,J560,FORECAST(D560,OFFSET(M$56:M$254,MATCH(D560,L$56:L$254,1)-1,0,2), OFFSET(L$56:L$254,MATCH(D560,L$56:L$254,1)-1,0,2))),"")</f>
        <v>0</v>
      </c>
      <c r="L560" s="7" t="str">
        <f t="array" ref="L560">IFERROR(INDEX(D$56:D$1054,SMALL(IF(ISNUMBER(J$56:J$1054),ROW(D$1:D$999),""),ROW(D505))),"")</f>
        <v/>
      </c>
      <c r="M560" s="7" t="str">
        <f t="array" ref="M560">IFERROR(INDEX(J$56:J$1054,SMALL(IF(ISNUMBER(J$56:J$1054),ROW(J$1:J$999),""),ROW(J505))),"")</f>
        <v/>
      </c>
      <c r="N560" s="7"/>
      <c r="O560" s="7"/>
      <c r="P560" s="7"/>
      <c r="Q560" s="7">
        <f ca="1">IFERROR(IF(COUNTA(P$56:P560)=P$54,P560,FORECAST(D560,OFFSET(S$56:S$254,MATCH(D560,R$56:R$254,1)-1,0,2), OFFSET(R$56:R$254,MATCH(D560,R$56:R$254,1)-1,0,2))),"")</f>
        <v>0</v>
      </c>
      <c r="R560" s="7" t="str">
        <f t="array" ref="R560">IFERROR(INDEX(E$56:E$1054,SMALL(IF(ISNUMBER(P$56:P$1054),ROW(E$1:E$999),""),ROW(J505))),"")</f>
        <v/>
      </c>
      <c r="S560" s="7" t="str">
        <f t="array" ref="S560">IFERROR(INDEX(P$56:P$1054,SMALL(IF(ISNUMBER(P$56:P$1054),ROW(P$1:P$999),""),ROW(P505))),"")</f>
        <v/>
      </c>
      <c r="T560" s="7"/>
      <c r="U560" s="7"/>
      <c r="V560" s="7"/>
    </row>
    <row r="561" spans="1:22" x14ac:dyDescent="0.25">
      <c r="A561" s="6"/>
      <c r="B561" s="11"/>
      <c r="C561" s="12"/>
      <c r="D561" s="12"/>
      <c r="E561" s="8">
        <f t="shared" si="7"/>
        <v>0</v>
      </c>
      <c r="F561" s="10"/>
      <c r="G561" s="10"/>
      <c r="H561" s="9"/>
      <c r="I561" s="7"/>
      <c r="J561" s="7"/>
      <c r="K561" s="7">
        <f ca="1">IFERROR(IF(COUNTA(J$56:J561)=J$54,J561,FORECAST(D561,OFFSET(M$56:M$254,MATCH(D561,L$56:L$254,1)-1,0,2), OFFSET(L$56:L$254,MATCH(D561,L$56:L$254,1)-1,0,2))),"")</f>
        <v>0</v>
      </c>
      <c r="L561" s="7" t="str">
        <f t="array" ref="L561">IFERROR(INDEX(D$56:D$1054,SMALL(IF(ISNUMBER(J$56:J$1054),ROW(D$1:D$999),""),ROW(D506))),"")</f>
        <v/>
      </c>
      <c r="M561" s="7" t="str">
        <f t="array" ref="M561">IFERROR(INDEX(J$56:J$1054,SMALL(IF(ISNUMBER(J$56:J$1054),ROW(J$1:J$999),""),ROW(J506))),"")</f>
        <v/>
      </c>
      <c r="N561" s="7"/>
      <c r="O561" s="7"/>
      <c r="P561" s="7"/>
      <c r="Q561" s="7">
        <f ca="1">IFERROR(IF(COUNTA(P$56:P561)=P$54,P561,FORECAST(D561,OFFSET(S$56:S$254,MATCH(D561,R$56:R$254,1)-1,0,2), OFFSET(R$56:R$254,MATCH(D561,R$56:R$254,1)-1,0,2))),"")</f>
        <v>0</v>
      </c>
      <c r="R561" s="7" t="str">
        <f t="array" ref="R561">IFERROR(INDEX(E$56:E$1054,SMALL(IF(ISNUMBER(P$56:P$1054),ROW(E$1:E$999),""),ROW(J506))),"")</f>
        <v/>
      </c>
      <c r="S561" s="7" t="str">
        <f t="array" ref="S561">IFERROR(INDEX(P$56:P$1054,SMALL(IF(ISNUMBER(P$56:P$1054),ROW(P$1:P$999),""),ROW(P506))),"")</f>
        <v/>
      </c>
      <c r="T561" s="7"/>
      <c r="U561" s="7"/>
      <c r="V561" s="7"/>
    </row>
    <row r="562" spans="1:22" x14ac:dyDescent="0.25">
      <c r="A562" s="6"/>
      <c r="B562" s="11"/>
      <c r="C562" s="12"/>
      <c r="D562" s="12"/>
      <c r="E562" s="8">
        <f t="shared" si="7"/>
        <v>0</v>
      </c>
      <c r="F562" s="10"/>
      <c r="G562" s="10"/>
      <c r="H562" s="9"/>
      <c r="I562" s="7"/>
      <c r="J562" s="7"/>
      <c r="K562" s="7">
        <f ca="1">IFERROR(IF(COUNTA(J$56:J562)=J$54,J562,FORECAST(D562,OFFSET(M$56:M$254,MATCH(D562,L$56:L$254,1)-1,0,2), OFFSET(L$56:L$254,MATCH(D562,L$56:L$254,1)-1,0,2))),"")</f>
        <v>0</v>
      </c>
      <c r="L562" s="7" t="str">
        <f t="array" ref="L562">IFERROR(INDEX(D$56:D$1054,SMALL(IF(ISNUMBER(J$56:J$1054),ROW(D$1:D$999),""),ROW(D507))),"")</f>
        <v/>
      </c>
      <c r="M562" s="7" t="str">
        <f t="array" ref="M562">IFERROR(INDEX(J$56:J$1054,SMALL(IF(ISNUMBER(J$56:J$1054),ROW(J$1:J$999),""),ROW(J507))),"")</f>
        <v/>
      </c>
      <c r="N562" s="7"/>
      <c r="O562" s="7"/>
      <c r="P562" s="7"/>
      <c r="Q562" s="7">
        <f ca="1">IFERROR(IF(COUNTA(P$56:P562)=P$54,P562,FORECAST(D562,OFFSET(S$56:S$254,MATCH(D562,R$56:R$254,1)-1,0,2), OFFSET(R$56:R$254,MATCH(D562,R$56:R$254,1)-1,0,2))),"")</f>
        <v>0</v>
      </c>
      <c r="R562" s="7" t="str">
        <f t="array" ref="R562">IFERROR(INDEX(E$56:E$1054,SMALL(IF(ISNUMBER(P$56:P$1054),ROW(E$1:E$999),""),ROW(J507))),"")</f>
        <v/>
      </c>
      <c r="S562" s="7" t="str">
        <f t="array" ref="S562">IFERROR(INDEX(P$56:P$1054,SMALL(IF(ISNUMBER(P$56:P$1054),ROW(P$1:P$999),""),ROW(P507))),"")</f>
        <v/>
      </c>
      <c r="T562" s="7"/>
      <c r="U562" s="7"/>
      <c r="V562" s="7"/>
    </row>
    <row r="563" spans="1:22" x14ac:dyDescent="0.25">
      <c r="A563" s="6"/>
      <c r="B563" s="11"/>
      <c r="C563" s="12"/>
      <c r="D563" s="12"/>
      <c r="E563" s="8">
        <f t="shared" si="7"/>
        <v>0</v>
      </c>
      <c r="F563" s="10"/>
      <c r="G563" s="10"/>
      <c r="H563" s="9"/>
      <c r="I563" s="7"/>
      <c r="J563" s="7"/>
      <c r="K563" s="7">
        <f ca="1">IFERROR(IF(COUNTA(J$56:J563)=J$54,J563,FORECAST(D563,OFFSET(M$56:M$254,MATCH(D563,L$56:L$254,1)-1,0,2), OFFSET(L$56:L$254,MATCH(D563,L$56:L$254,1)-1,0,2))),"")</f>
        <v>0</v>
      </c>
      <c r="L563" s="7" t="str">
        <f t="array" ref="L563">IFERROR(INDEX(D$56:D$1054,SMALL(IF(ISNUMBER(J$56:J$1054),ROW(D$1:D$999),""),ROW(D508))),"")</f>
        <v/>
      </c>
      <c r="M563" s="7" t="str">
        <f t="array" ref="M563">IFERROR(INDEX(J$56:J$1054,SMALL(IF(ISNUMBER(J$56:J$1054),ROW(J$1:J$999),""),ROW(J508))),"")</f>
        <v/>
      </c>
      <c r="N563" s="7"/>
      <c r="O563" s="7"/>
      <c r="P563" s="7"/>
      <c r="Q563" s="7">
        <f ca="1">IFERROR(IF(COUNTA(P$56:P563)=P$54,P563,FORECAST(D563,OFFSET(S$56:S$254,MATCH(D563,R$56:R$254,1)-1,0,2), OFFSET(R$56:R$254,MATCH(D563,R$56:R$254,1)-1,0,2))),"")</f>
        <v>0</v>
      </c>
      <c r="R563" s="7" t="str">
        <f t="array" ref="R563">IFERROR(INDEX(E$56:E$1054,SMALL(IF(ISNUMBER(P$56:P$1054),ROW(E$1:E$999),""),ROW(J508))),"")</f>
        <v/>
      </c>
      <c r="S563" s="7" t="str">
        <f t="array" ref="S563">IFERROR(INDEX(P$56:P$1054,SMALL(IF(ISNUMBER(P$56:P$1054),ROW(P$1:P$999),""),ROW(P508))),"")</f>
        <v/>
      </c>
      <c r="T563" s="7"/>
      <c r="U563" s="7"/>
      <c r="V563" s="7"/>
    </row>
    <row r="564" spans="1:22" x14ac:dyDescent="0.25">
      <c r="A564" s="6"/>
      <c r="B564" s="11"/>
      <c r="C564" s="12"/>
      <c r="D564" s="12"/>
      <c r="E564" s="8">
        <f t="shared" si="7"/>
        <v>0</v>
      </c>
      <c r="F564" s="10"/>
      <c r="G564" s="10"/>
      <c r="H564" s="9"/>
      <c r="I564" s="7"/>
      <c r="J564" s="7"/>
      <c r="K564" s="7">
        <f ca="1">IFERROR(IF(COUNTA(J$56:J564)=J$54,J564,FORECAST(D564,OFFSET(M$56:M$254,MATCH(D564,L$56:L$254,1)-1,0,2), OFFSET(L$56:L$254,MATCH(D564,L$56:L$254,1)-1,0,2))),"")</f>
        <v>0</v>
      </c>
      <c r="L564" s="7" t="str">
        <f t="array" ref="L564">IFERROR(INDEX(D$56:D$1054,SMALL(IF(ISNUMBER(J$56:J$1054),ROW(D$1:D$999),""),ROW(D509))),"")</f>
        <v/>
      </c>
      <c r="M564" s="7" t="str">
        <f t="array" ref="M564">IFERROR(INDEX(J$56:J$1054,SMALL(IF(ISNUMBER(J$56:J$1054),ROW(J$1:J$999),""),ROW(J509))),"")</f>
        <v/>
      </c>
      <c r="N564" s="7"/>
      <c r="O564" s="7"/>
      <c r="P564" s="7"/>
      <c r="Q564" s="7">
        <f ca="1">IFERROR(IF(COUNTA(P$56:P564)=P$54,P564,FORECAST(D564,OFFSET(S$56:S$254,MATCH(D564,R$56:R$254,1)-1,0,2), OFFSET(R$56:R$254,MATCH(D564,R$56:R$254,1)-1,0,2))),"")</f>
        <v>0</v>
      </c>
      <c r="R564" s="7" t="str">
        <f t="array" ref="R564">IFERROR(INDEX(E$56:E$1054,SMALL(IF(ISNUMBER(P$56:P$1054),ROW(E$1:E$999),""),ROW(J509))),"")</f>
        <v/>
      </c>
      <c r="S564" s="7" t="str">
        <f t="array" ref="S564">IFERROR(INDEX(P$56:P$1054,SMALL(IF(ISNUMBER(P$56:P$1054),ROW(P$1:P$999),""),ROW(P509))),"")</f>
        <v/>
      </c>
      <c r="T564" s="7"/>
      <c r="U564" s="7"/>
      <c r="V564" s="7"/>
    </row>
    <row r="565" spans="1:22" x14ac:dyDescent="0.25">
      <c r="A565" s="6"/>
      <c r="B565" s="11"/>
      <c r="C565" s="12"/>
      <c r="D565" s="12"/>
      <c r="E565" s="8">
        <f t="shared" si="7"/>
        <v>0</v>
      </c>
      <c r="F565" s="10"/>
      <c r="G565" s="10"/>
      <c r="H565" s="9"/>
      <c r="I565" s="7"/>
      <c r="J565" s="7"/>
      <c r="K565" s="7">
        <f ca="1">IFERROR(IF(COUNTA(J$56:J565)=J$54,J565,FORECAST(D565,OFFSET(M$56:M$254,MATCH(D565,L$56:L$254,1)-1,0,2), OFFSET(L$56:L$254,MATCH(D565,L$56:L$254,1)-1,0,2))),"")</f>
        <v>0</v>
      </c>
      <c r="L565" s="7" t="str">
        <f t="array" ref="L565">IFERROR(INDEX(D$56:D$1054,SMALL(IF(ISNUMBER(J$56:J$1054),ROW(D$1:D$999),""),ROW(D510))),"")</f>
        <v/>
      </c>
      <c r="M565" s="7" t="str">
        <f t="array" ref="M565">IFERROR(INDEX(J$56:J$1054,SMALL(IF(ISNUMBER(J$56:J$1054),ROW(J$1:J$999),""),ROW(J510))),"")</f>
        <v/>
      </c>
      <c r="N565" s="7"/>
      <c r="O565" s="7"/>
      <c r="P565" s="7"/>
      <c r="Q565" s="7">
        <f ca="1">IFERROR(IF(COUNTA(P$56:P565)=P$54,P565,FORECAST(D565,OFFSET(S$56:S$254,MATCH(D565,R$56:R$254,1)-1,0,2), OFFSET(R$56:R$254,MATCH(D565,R$56:R$254,1)-1,0,2))),"")</f>
        <v>0</v>
      </c>
      <c r="R565" s="7" t="str">
        <f t="array" ref="R565">IFERROR(INDEX(E$56:E$1054,SMALL(IF(ISNUMBER(P$56:P$1054),ROW(E$1:E$999),""),ROW(J510))),"")</f>
        <v/>
      </c>
      <c r="S565" s="7" t="str">
        <f t="array" ref="S565">IFERROR(INDEX(P$56:P$1054,SMALL(IF(ISNUMBER(P$56:P$1054),ROW(P$1:P$999),""),ROW(P510))),"")</f>
        <v/>
      </c>
      <c r="T565" s="7"/>
      <c r="U565" s="7"/>
      <c r="V565" s="7"/>
    </row>
    <row r="566" spans="1:22" x14ac:dyDescent="0.25">
      <c r="A566" s="6"/>
      <c r="B566" s="11"/>
      <c r="C566" s="12"/>
      <c r="D566" s="12"/>
      <c r="E566" s="8">
        <f t="shared" si="7"/>
        <v>0</v>
      </c>
      <c r="F566" s="10"/>
      <c r="G566" s="10"/>
      <c r="H566" s="9"/>
      <c r="I566" s="7"/>
      <c r="J566" s="7"/>
      <c r="K566" s="7">
        <f ca="1">IFERROR(IF(COUNTA(J$56:J566)=J$54,J566,FORECAST(D566,OFFSET(M$56:M$254,MATCH(D566,L$56:L$254,1)-1,0,2), OFFSET(L$56:L$254,MATCH(D566,L$56:L$254,1)-1,0,2))),"")</f>
        <v>0</v>
      </c>
      <c r="L566" s="7" t="str">
        <f t="array" ref="L566">IFERROR(INDEX(D$56:D$1054,SMALL(IF(ISNUMBER(J$56:J$1054),ROW(D$1:D$999),""),ROW(D511))),"")</f>
        <v/>
      </c>
      <c r="M566" s="7" t="str">
        <f t="array" ref="M566">IFERROR(INDEX(J$56:J$1054,SMALL(IF(ISNUMBER(J$56:J$1054),ROW(J$1:J$999),""),ROW(J511))),"")</f>
        <v/>
      </c>
      <c r="N566" s="7"/>
      <c r="O566" s="7"/>
      <c r="P566" s="7"/>
      <c r="Q566" s="7">
        <f ca="1">IFERROR(IF(COUNTA(P$56:P566)=P$54,P566,FORECAST(D566,OFFSET(S$56:S$254,MATCH(D566,R$56:R$254,1)-1,0,2), OFFSET(R$56:R$254,MATCH(D566,R$56:R$254,1)-1,0,2))),"")</f>
        <v>0</v>
      </c>
      <c r="R566" s="7" t="str">
        <f t="array" ref="R566">IFERROR(INDEX(E$56:E$1054,SMALL(IF(ISNUMBER(P$56:P$1054),ROW(E$1:E$999),""),ROW(J511))),"")</f>
        <v/>
      </c>
      <c r="S566" s="7" t="str">
        <f t="array" ref="S566">IFERROR(INDEX(P$56:P$1054,SMALL(IF(ISNUMBER(P$56:P$1054),ROW(P$1:P$999),""),ROW(P511))),"")</f>
        <v/>
      </c>
      <c r="T566" s="7"/>
      <c r="U566" s="7"/>
      <c r="V566" s="7"/>
    </row>
    <row r="567" spans="1:22" x14ac:dyDescent="0.25">
      <c r="A567" s="6"/>
      <c r="B567" s="11"/>
      <c r="C567" s="12"/>
      <c r="D567" s="12"/>
      <c r="E567" s="8">
        <f t="shared" si="7"/>
        <v>0</v>
      </c>
      <c r="F567" s="10"/>
      <c r="G567" s="10"/>
      <c r="H567" s="9"/>
      <c r="I567" s="7"/>
      <c r="J567" s="7"/>
      <c r="K567" s="7">
        <f ca="1">IFERROR(IF(COUNTA(J$56:J567)=J$54,J567,FORECAST(D567,OFFSET(M$56:M$254,MATCH(D567,L$56:L$254,1)-1,0,2), OFFSET(L$56:L$254,MATCH(D567,L$56:L$254,1)-1,0,2))),"")</f>
        <v>0</v>
      </c>
      <c r="L567" s="7" t="str">
        <f t="array" ref="L567">IFERROR(INDEX(D$56:D$1054,SMALL(IF(ISNUMBER(J$56:J$1054),ROW(D$1:D$999),""),ROW(D512))),"")</f>
        <v/>
      </c>
      <c r="M567" s="7" t="str">
        <f t="array" ref="M567">IFERROR(INDEX(J$56:J$1054,SMALL(IF(ISNUMBER(J$56:J$1054),ROW(J$1:J$999),""),ROW(J512))),"")</f>
        <v/>
      </c>
      <c r="N567" s="7"/>
      <c r="O567" s="7"/>
      <c r="P567" s="7"/>
      <c r="Q567" s="7">
        <f ca="1">IFERROR(IF(COUNTA(P$56:P567)=P$54,P567,FORECAST(D567,OFFSET(S$56:S$254,MATCH(D567,R$56:R$254,1)-1,0,2), OFFSET(R$56:R$254,MATCH(D567,R$56:R$254,1)-1,0,2))),"")</f>
        <v>0</v>
      </c>
      <c r="R567" s="7" t="str">
        <f t="array" ref="R567">IFERROR(INDEX(E$56:E$1054,SMALL(IF(ISNUMBER(P$56:P$1054),ROW(E$1:E$999),""),ROW(J512))),"")</f>
        <v/>
      </c>
      <c r="S567" s="7" t="str">
        <f t="array" ref="S567">IFERROR(INDEX(P$56:P$1054,SMALL(IF(ISNUMBER(P$56:P$1054),ROW(P$1:P$999),""),ROW(P512))),"")</f>
        <v/>
      </c>
      <c r="T567" s="7"/>
      <c r="U567" s="7"/>
      <c r="V567" s="7"/>
    </row>
    <row r="568" spans="1:22" x14ac:dyDescent="0.25">
      <c r="A568" s="6"/>
      <c r="B568" s="11"/>
      <c r="C568" s="12"/>
      <c r="D568" s="12"/>
      <c r="E568" s="8">
        <f t="shared" si="7"/>
        <v>0</v>
      </c>
      <c r="F568" s="10"/>
      <c r="G568" s="10"/>
      <c r="H568" s="9"/>
      <c r="I568" s="7"/>
      <c r="J568" s="7"/>
      <c r="K568" s="7">
        <f ca="1">IFERROR(IF(COUNTA(J$56:J568)=J$54,J568,FORECAST(D568,OFFSET(M$56:M$254,MATCH(D568,L$56:L$254,1)-1,0,2), OFFSET(L$56:L$254,MATCH(D568,L$56:L$254,1)-1,0,2))),"")</f>
        <v>0</v>
      </c>
      <c r="L568" s="7" t="str">
        <f t="array" ref="L568">IFERROR(INDEX(D$56:D$1054,SMALL(IF(ISNUMBER(J$56:J$1054),ROW(D$1:D$999),""),ROW(D513))),"")</f>
        <v/>
      </c>
      <c r="M568" s="7" t="str">
        <f t="array" ref="M568">IFERROR(INDEX(J$56:J$1054,SMALL(IF(ISNUMBER(J$56:J$1054),ROW(J$1:J$999),""),ROW(J513))),"")</f>
        <v/>
      </c>
      <c r="N568" s="7"/>
      <c r="O568" s="7"/>
      <c r="P568" s="7"/>
      <c r="Q568" s="7">
        <f ca="1">IFERROR(IF(COUNTA(P$56:P568)=P$54,P568,FORECAST(D568,OFFSET(S$56:S$254,MATCH(D568,R$56:R$254,1)-1,0,2), OFFSET(R$56:R$254,MATCH(D568,R$56:R$254,1)-1,0,2))),"")</f>
        <v>0</v>
      </c>
      <c r="R568" s="7" t="str">
        <f t="array" ref="R568">IFERROR(INDEX(E$56:E$1054,SMALL(IF(ISNUMBER(P$56:P$1054),ROW(E$1:E$999),""),ROW(J513))),"")</f>
        <v/>
      </c>
      <c r="S568" s="7" t="str">
        <f t="array" ref="S568">IFERROR(INDEX(P$56:P$1054,SMALL(IF(ISNUMBER(P$56:P$1054),ROW(P$1:P$999),""),ROW(P513))),"")</f>
        <v/>
      </c>
      <c r="T568" s="7"/>
      <c r="U568" s="7"/>
      <c r="V568" s="7"/>
    </row>
    <row r="569" spans="1:22" x14ac:dyDescent="0.25">
      <c r="A569" s="6"/>
      <c r="B569" s="11"/>
      <c r="C569" s="12"/>
      <c r="D569" s="12"/>
      <c r="E569" s="8">
        <f t="shared" si="7"/>
        <v>0</v>
      </c>
      <c r="F569" s="10"/>
      <c r="G569" s="10"/>
      <c r="H569" s="9"/>
      <c r="I569" s="7"/>
      <c r="J569" s="7"/>
      <c r="K569" s="7">
        <f ca="1">IFERROR(IF(COUNTA(J$56:J569)=J$54,J569,FORECAST(D569,OFFSET(M$56:M$254,MATCH(D569,L$56:L$254,1)-1,0,2), OFFSET(L$56:L$254,MATCH(D569,L$56:L$254,1)-1,0,2))),"")</f>
        <v>0</v>
      </c>
      <c r="L569" s="7" t="str">
        <f t="array" ref="L569">IFERROR(INDEX(D$56:D$1054,SMALL(IF(ISNUMBER(J$56:J$1054),ROW(D$1:D$999),""),ROW(D514))),"")</f>
        <v/>
      </c>
      <c r="M569" s="7" t="str">
        <f t="array" ref="M569">IFERROR(INDEX(J$56:J$1054,SMALL(IF(ISNUMBER(J$56:J$1054),ROW(J$1:J$999),""),ROW(J514))),"")</f>
        <v/>
      </c>
      <c r="N569" s="7"/>
      <c r="O569" s="7"/>
      <c r="P569" s="7"/>
      <c r="Q569" s="7">
        <f ca="1">IFERROR(IF(COUNTA(P$56:P569)=P$54,P569,FORECAST(D569,OFFSET(S$56:S$254,MATCH(D569,R$56:R$254,1)-1,0,2), OFFSET(R$56:R$254,MATCH(D569,R$56:R$254,1)-1,0,2))),"")</f>
        <v>0</v>
      </c>
      <c r="R569" s="7" t="str">
        <f t="array" ref="R569">IFERROR(INDEX(E$56:E$1054,SMALL(IF(ISNUMBER(P$56:P$1054),ROW(E$1:E$999),""),ROW(J514))),"")</f>
        <v/>
      </c>
      <c r="S569" s="7" t="str">
        <f t="array" ref="S569">IFERROR(INDEX(P$56:P$1054,SMALL(IF(ISNUMBER(P$56:P$1054),ROW(P$1:P$999),""),ROW(P514))),"")</f>
        <v/>
      </c>
      <c r="T569" s="7"/>
      <c r="U569" s="7"/>
      <c r="V569" s="7"/>
    </row>
    <row r="570" spans="1:22" x14ac:dyDescent="0.25">
      <c r="A570" s="6"/>
      <c r="B570" s="11"/>
      <c r="C570" s="12"/>
      <c r="D570" s="12"/>
      <c r="E570" s="8">
        <f t="shared" ref="E570:E633" si="8">IF(NOT(ISBLANK(D570)),D570+C$54,0)</f>
        <v>0</v>
      </c>
      <c r="F570" s="10"/>
      <c r="G570" s="10"/>
      <c r="H570" s="9"/>
      <c r="I570" s="7"/>
      <c r="J570" s="7"/>
      <c r="K570" s="7">
        <f ca="1">IFERROR(IF(COUNTA(J$56:J570)=J$54,J570,FORECAST(D570,OFFSET(M$56:M$254,MATCH(D570,L$56:L$254,1)-1,0,2), OFFSET(L$56:L$254,MATCH(D570,L$56:L$254,1)-1,0,2))),"")</f>
        <v>0</v>
      </c>
      <c r="L570" s="7" t="str">
        <f t="array" ref="L570">IFERROR(INDEX(D$56:D$1054,SMALL(IF(ISNUMBER(J$56:J$1054),ROW(D$1:D$999),""),ROW(D515))),"")</f>
        <v/>
      </c>
      <c r="M570" s="7" t="str">
        <f t="array" ref="M570">IFERROR(INDEX(J$56:J$1054,SMALL(IF(ISNUMBER(J$56:J$1054),ROW(J$1:J$999),""),ROW(J515))),"")</f>
        <v/>
      </c>
      <c r="N570" s="7"/>
      <c r="O570" s="7"/>
      <c r="P570" s="7"/>
      <c r="Q570" s="7">
        <f ca="1">IFERROR(IF(COUNTA(P$56:P570)=P$54,P570,FORECAST(D570,OFFSET(S$56:S$254,MATCH(D570,R$56:R$254,1)-1,0,2), OFFSET(R$56:R$254,MATCH(D570,R$56:R$254,1)-1,0,2))),"")</f>
        <v>0</v>
      </c>
      <c r="R570" s="7" t="str">
        <f t="array" ref="R570">IFERROR(INDEX(E$56:E$1054,SMALL(IF(ISNUMBER(P$56:P$1054),ROW(E$1:E$999),""),ROW(J515))),"")</f>
        <v/>
      </c>
      <c r="S570" s="7" t="str">
        <f t="array" ref="S570">IFERROR(INDEX(P$56:P$1054,SMALL(IF(ISNUMBER(P$56:P$1054),ROW(P$1:P$999),""),ROW(P515))),"")</f>
        <v/>
      </c>
      <c r="T570" s="7"/>
      <c r="U570" s="7"/>
      <c r="V570" s="7"/>
    </row>
    <row r="571" spans="1:22" x14ac:dyDescent="0.25">
      <c r="A571" s="6"/>
      <c r="B571" s="11"/>
      <c r="C571" s="12"/>
      <c r="D571" s="12"/>
      <c r="E571" s="8">
        <f t="shared" si="8"/>
        <v>0</v>
      </c>
      <c r="F571" s="10"/>
      <c r="G571" s="10"/>
      <c r="H571" s="9"/>
      <c r="I571" s="7"/>
      <c r="J571" s="7"/>
      <c r="K571" s="7">
        <f ca="1">IFERROR(IF(COUNTA(J$56:J571)=J$54,J571,FORECAST(D571,OFFSET(M$56:M$254,MATCH(D571,L$56:L$254,1)-1,0,2), OFFSET(L$56:L$254,MATCH(D571,L$56:L$254,1)-1,0,2))),"")</f>
        <v>0</v>
      </c>
      <c r="L571" s="7" t="str">
        <f t="array" ref="L571">IFERROR(INDEX(D$56:D$1054,SMALL(IF(ISNUMBER(J$56:J$1054),ROW(D$1:D$999),""),ROW(D516))),"")</f>
        <v/>
      </c>
      <c r="M571" s="7" t="str">
        <f t="array" ref="M571">IFERROR(INDEX(J$56:J$1054,SMALL(IF(ISNUMBER(J$56:J$1054),ROW(J$1:J$999),""),ROW(J516))),"")</f>
        <v/>
      </c>
      <c r="N571" s="7"/>
      <c r="O571" s="7"/>
      <c r="P571" s="7"/>
      <c r="Q571" s="7">
        <f ca="1">IFERROR(IF(COUNTA(P$56:P571)=P$54,P571,FORECAST(D571,OFFSET(S$56:S$254,MATCH(D571,R$56:R$254,1)-1,0,2), OFFSET(R$56:R$254,MATCH(D571,R$56:R$254,1)-1,0,2))),"")</f>
        <v>0</v>
      </c>
      <c r="R571" s="7" t="str">
        <f t="array" ref="R571">IFERROR(INDEX(E$56:E$1054,SMALL(IF(ISNUMBER(P$56:P$1054),ROW(E$1:E$999),""),ROW(J516))),"")</f>
        <v/>
      </c>
      <c r="S571" s="7" t="str">
        <f t="array" ref="S571">IFERROR(INDEX(P$56:P$1054,SMALL(IF(ISNUMBER(P$56:P$1054),ROW(P$1:P$999),""),ROW(P516))),"")</f>
        <v/>
      </c>
      <c r="T571" s="7"/>
      <c r="U571" s="7"/>
      <c r="V571" s="7"/>
    </row>
    <row r="572" spans="1:22" x14ac:dyDescent="0.25">
      <c r="A572" s="6"/>
      <c r="B572" s="11"/>
      <c r="C572" s="12"/>
      <c r="D572" s="12"/>
      <c r="E572" s="8">
        <f t="shared" si="8"/>
        <v>0</v>
      </c>
      <c r="F572" s="10"/>
      <c r="G572" s="10"/>
      <c r="H572" s="9"/>
      <c r="I572" s="7"/>
      <c r="J572" s="7"/>
      <c r="K572" s="7">
        <f ca="1">IFERROR(IF(COUNTA(J$56:J572)=J$54,J572,FORECAST(D572,OFFSET(M$56:M$254,MATCH(D572,L$56:L$254,1)-1,0,2), OFFSET(L$56:L$254,MATCH(D572,L$56:L$254,1)-1,0,2))),"")</f>
        <v>0</v>
      </c>
      <c r="L572" s="7" t="str">
        <f t="array" ref="L572">IFERROR(INDEX(D$56:D$1054,SMALL(IF(ISNUMBER(J$56:J$1054),ROW(D$1:D$999),""),ROW(D517))),"")</f>
        <v/>
      </c>
      <c r="M572" s="7" t="str">
        <f t="array" ref="M572">IFERROR(INDEX(J$56:J$1054,SMALL(IF(ISNUMBER(J$56:J$1054),ROW(J$1:J$999),""),ROW(J517))),"")</f>
        <v/>
      </c>
      <c r="N572" s="7"/>
      <c r="O572" s="7"/>
      <c r="P572" s="7"/>
      <c r="Q572" s="7">
        <f ca="1">IFERROR(IF(COUNTA(P$56:P572)=P$54,P572,FORECAST(D572,OFFSET(S$56:S$254,MATCH(D572,R$56:R$254,1)-1,0,2), OFFSET(R$56:R$254,MATCH(D572,R$56:R$254,1)-1,0,2))),"")</f>
        <v>0</v>
      </c>
      <c r="R572" s="7" t="str">
        <f t="array" ref="R572">IFERROR(INDEX(E$56:E$1054,SMALL(IF(ISNUMBER(P$56:P$1054),ROW(E$1:E$999),""),ROW(J517))),"")</f>
        <v/>
      </c>
      <c r="S572" s="7" t="str">
        <f t="array" ref="S572">IFERROR(INDEX(P$56:P$1054,SMALL(IF(ISNUMBER(P$56:P$1054),ROW(P$1:P$999),""),ROW(P517))),"")</f>
        <v/>
      </c>
      <c r="T572" s="7"/>
      <c r="U572" s="7"/>
      <c r="V572" s="7"/>
    </row>
    <row r="573" spans="1:22" x14ac:dyDescent="0.25">
      <c r="A573" s="6"/>
      <c r="B573" s="11"/>
      <c r="C573" s="12"/>
      <c r="D573" s="12"/>
      <c r="E573" s="8">
        <f t="shared" si="8"/>
        <v>0</v>
      </c>
      <c r="F573" s="10"/>
      <c r="G573" s="10"/>
      <c r="H573" s="9"/>
      <c r="I573" s="7"/>
      <c r="J573" s="7"/>
      <c r="K573" s="7">
        <f ca="1">IFERROR(IF(COUNTA(J$56:J573)=J$54,J573,FORECAST(D573,OFFSET(M$56:M$254,MATCH(D573,L$56:L$254,1)-1,0,2), OFFSET(L$56:L$254,MATCH(D573,L$56:L$254,1)-1,0,2))),"")</f>
        <v>0</v>
      </c>
      <c r="L573" s="7" t="str">
        <f t="array" ref="L573">IFERROR(INDEX(D$56:D$1054,SMALL(IF(ISNUMBER(J$56:J$1054),ROW(D$1:D$999),""),ROW(D518))),"")</f>
        <v/>
      </c>
      <c r="M573" s="7" t="str">
        <f t="array" ref="M573">IFERROR(INDEX(J$56:J$1054,SMALL(IF(ISNUMBER(J$56:J$1054),ROW(J$1:J$999),""),ROW(J518))),"")</f>
        <v/>
      </c>
      <c r="N573" s="7"/>
      <c r="O573" s="7"/>
      <c r="P573" s="7"/>
      <c r="Q573" s="7">
        <f ca="1">IFERROR(IF(COUNTA(P$56:P573)=P$54,P573,FORECAST(D573,OFFSET(S$56:S$254,MATCH(D573,R$56:R$254,1)-1,0,2), OFFSET(R$56:R$254,MATCH(D573,R$56:R$254,1)-1,0,2))),"")</f>
        <v>0</v>
      </c>
      <c r="R573" s="7" t="str">
        <f t="array" ref="R573">IFERROR(INDEX(E$56:E$1054,SMALL(IF(ISNUMBER(P$56:P$1054),ROW(E$1:E$999),""),ROW(J518))),"")</f>
        <v/>
      </c>
      <c r="S573" s="7" t="str">
        <f t="array" ref="S573">IFERROR(INDEX(P$56:P$1054,SMALL(IF(ISNUMBER(P$56:P$1054),ROW(P$1:P$999),""),ROW(P518))),"")</f>
        <v/>
      </c>
      <c r="T573" s="7"/>
      <c r="U573" s="7"/>
      <c r="V573" s="7"/>
    </row>
    <row r="574" spans="1:22" x14ac:dyDescent="0.25">
      <c r="A574" s="6"/>
      <c r="B574" s="11"/>
      <c r="C574" s="12"/>
      <c r="D574" s="12"/>
      <c r="E574" s="8">
        <f t="shared" si="8"/>
        <v>0</v>
      </c>
      <c r="F574" s="10"/>
      <c r="G574" s="10"/>
      <c r="H574" s="9"/>
      <c r="I574" s="7"/>
      <c r="J574" s="7"/>
      <c r="K574" s="7">
        <f ca="1">IFERROR(IF(COUNTA(J$56:J574)=J$54,J574,FORECAST(D574,OFFSET(M$56:M$254,MATCH(D574,L$56:L$254,1)-1,0,2), OFFSET(L$56:L$254,MATCH(D574,L$56:L$254,1)-1,0,2))),"")</f>
        <v>0</v>
      </c>
      <c r="L574" s="7" t="str">
        <f t="array" ref="L574">IFERROR(INDEX(D$56:D$1054,SMALL(IF(ISNUMBER(J$56:J$1054),ROW(D$1:D$999),""),ROW(D519))),"")</f>
        <v/>
      </c>
      <c r="M574" s="7" t="str">
        <f t="array" ref="M574">IFERROR(INDEX(J$56:J$1054,SMALL(IF(ISNUMBER(J$56:J$1054),ROW(J$1:J$999),""),ROW(J519))),"")</f>
        <v/>
      </c>
      <c r="N574" s="7"/>
      <c r="O574" s="7"/>
      <c r="P574" s="7"/>
      <c r="Q574" s="7">
        <f ca="1">IFERROR(IF(COUNTA(P$56:P574)=P$54,P574,FORECAST(D574,OFFSET(S$56:S$254,MATCH(D574,R$56:R$254,1)-1,0,2), OFFSET(R$56:R$254,MATCH(D574,R$56:R$254,1)-1,0,2))),"")</f>
        <v>0</v>
      </c>
      <c r="R574" s="7" t="str">
        <f t="array" ref="R574">IFERROR(INDEX(E$56:E$1054,SMALL(IF(ISNUMBER(P$56:P$1054),ROW(E$1:E$999),""),ROW(J519))),"")</f>
        <v/>
      </c>
      <c r="S574" s="7" t="str">
        <f t="array" ref="S574">IFERROR(INDEX(P$56:P$1054,SMALL(IF(ISNUMBER(P$56:P$1054),ROW(P$1:P$999),""),ROW(P519))),"")</f>
        <v/>
      </c>
      <c r="T574" s="7"/>
      <c r="U574" s="7"/>
      <c r="V574" s="7"/>
    </row>
    <row r="575" spans="1:22" x14ac:dyDescent="0.25">
      <c r="A575" s="6"/>
      <c r="B575" s="11"/>
      <c r="C575" s="12"/>
      <c r="D575" s="12"/>
      <c r="E575" s="8">
        <f t="shared" si="8"/>
        <v>0</v>
      </c>
      <c r="F575" s="10"/>
      <c r="G575" s="10"/>
      <c r="H575" s="9"/>
      <c r="I575" s="7"/>
      <c r="J575" s="7"/>
      <c r="K575" s="7">
        <f ca="1">IFERROR(IF(COUNTA(J$56:J575)=J$54,J575,FORECAST(D575,OFFSET(M$56:M$254,MATCH(D575,L$56:L$254,1)-1,0,2), OFFSET(L$56:L$254,MATCH(D575,L$56:L$254,1)-1,0,2))),"")</f>
        <v>0</v>
      </c>
      <c r="L575" s="7" t="str">
        <f t="array" ref="L575">IFERROR(INDEX(D$56:D$1054,SMALL(IF(ISNUMBER(J$56:J$1054),ROW(D$1:D$999),""),ROW(D520))),"")</f>
        <v/>
      </c>
      <c r="M575" s="7" t="str">
        <f t="array" ref="M575">IFERROR(INDEX(J$56:J$1054,SMALL(IF(ISNUMBER(J$56:J$1054),ROW(J$1:J$999),""),ROW(J520))),"")</f>
        <v/>
      </c>
      <c r="N575" s="7"/>
      <c r="O575" s="7"/>
      <c r="P575" s="7"/>
      <c r="Q575" s="7">
        <f ca="1">IFERROR(IF(COUNTA(P$56:P575)=P$54,P575,FORECAST(D575,OFFSET(S$56:S$254,MATCH(D575,R$56:R$254,1)-1,0,2), OFFSET(R$56:R$254,MATCH(D575,R$56:R$254,1)-1,0,2))),"")</f>
        <v>0</v>
      </c>
      <c r="R575" s="7" t="str">
        <f t="array" ref="R575">IFERROR(INDEX(E$56:E$1054,SMALL(IF(ISNUMBER(P$56:P$1054),ROW(E$1:E$999),""),ROW(J520))),"")</f>
        <v/>
      </c>
      <c r="S575" s="7" t="str">
        <f t="array" ref="S575">IFERROR(INDEX(P$56:P$1054,SMALL(IF(ISNUMBER(P$56:P$1054),ROW(P$1:P$999),""),ROW(P520))),"")</f>
        <v/>
      </c>
      <c r="T575" s="7"/>
      <c r="U575" s="7"/>
      <c r="V575" s="7"/>
    </row>
    <row r="576" spans="1:22" x14ac:dyDescent="0.25">
      <c r="A576" s="6"/>
      <c r="B576" s="11"/>
      <c r="C576" s="12"/>
      <c r="D576" s="12"/>
      <c r="E576" s="8">
        <f t="shared" si="8"/>
        <v>0</v>
      </c>
      <c r="F576" s="10"/>
      <c r="G576" s="10"/>
      <c r="H576" s="9"/>
      <c r="I576" s="7"/>
      <c r="J576" s="7"/>
      <c r="K576" s="7">
        <f ca="1">IFERROR(IF(COUNTA(J$56:J576)=J$54,J576,FORECAST(D576,OFFSET(M$56:M$254,MATCH(D576,L$56:L$254,1)-1,0,2), OFFSET(L$56:L$254,MATCH(D576,L$56:L$254,1)-1,0,2))),"")</f>
        <v>0</v>
      </c>
      <c r="L576" s="7" t="str">
        <f t="array" ref="L576">IFERROR(INDEX(D$56:D$1054,SMALL(IF(ISNUMBER(J$56:J$1054),ROW(D$1:D$999),""),ROW(D521))),"")</f>
        <v/>
      </c>
      <c r="M576" s="7" t="str">
        <f t="array" ref="M576">IFERROR(INDEX(J$56:J$1054,SMALL(IF(ISNUMBER(J$56:J$1054),ROW(J$1:J$999),""),ROW(J521))),"")</f>
        <v/>
      </c>
      <c r="N576" s="7"/>
      <c r="O576" s="7"/>
      <c r="P576" s="7"/>
      <c r="Q576" s="7">
        <f ca="1">IFERROR(IF(COUNTA(P$56:P576)=P$54,P576,FORECAST(D576,OFFSET(S$56:S$254,MATCH(D576,R$56:R$254,1)-1,0,2), OFFSET(R$56:R$254,MATCH(D576,R$56:R$254,1)-1,0,2))),"")</f>
        <v>0</v>
      </c>
      <c r="R576" s="7" t="str">
        <f t="array" ref="R576">IFERROR(INDEX(E$56:E$1054,SMALL(IF(ISNUMBER(P$56:P$1054),ROW(E$1:E$999),""),ROW(J521))),"")</f>
        <v/>
      </c>
      <c r="S576" s="7" t="str">
        <f t="array" ref="S576">IFERROR(INDEX(P$56:P$1054,SMALL(IF(ISNUMBER(P$56:P$1054),ROW(P$1:P$999),""),ROW(P521))),"")</f>
        <v/>
      </c>
      <c r="T576" s="7"/>
      <c r="U576" s="7"/>
      <c r="V576" s="7"/>
    </row>
    <row r="577" spans="1:22" x14ac:dyDescent="0.25">
      <c r="A577" s="6"/>
      <c r="B577" s="11"/>
      <c r="C577" s="12"/>
      <c r="D577" s="12"/>
      <c r="E577" s="8">
        <f t="shared" si="8"/>
        <v>0</v>
      </c>
      <c r="F577" s="10"/>
      <c r="G577" s="10"/>
      <c r="H577" s="9"/>
      <c r="I577" s="7"/>
      <c r="J577" s="7"/>
      <c r="K577" s="7">
        <f ca="1">IFERROR(IF(COUNTA(J$56:J577)=J$54,J577,FORECAST(D577,OFFSET(M$56:M$254,MATCH(D577,L$56:L$254,1)-1,0,2), OFFSET(L$56:L$254,MATCH(D577,L$56:L$254,1)-1,0,2))),"")</f>
        <v>0</v>
      </c>
      <c r="L577" s="7" t="str">
        <f t="array" ref="L577">IFERROR(INDEX(D$56:D$1054,SMALL(IF(ISNUMBER(J$56:J$1054),ROW(D$1:D$999),""),ROW(D522))),"")</f>
        <v/>
      </c>
      <c r="M577" s="7" t="str">
        <f t="array" ref="M577">IFERROR(INDEX(J$56:J$1054,SMALL(IF(ISNUMBER(J$56:J$1054),ROW(J$1:J$999),""),ROW(J522))),"")</f>
        <v/>
      </c>
      <c r="N577" s="7"/>
      <c r="O577" s="7"/>
      <c r="P577" s="7"/>
      <c r="Q577" s="7">
        <f ca="1">IFERROR(IF(COUNTA(P$56:P577)=P$54,P577,FORECAST(D577,OFFSET(S$56:S$254,MATCH(D577,R$56:R$254,1)-1,0,2), OFFSET(R$56:R$254,MATCH(D577,R$56:R$254,1)-1,0,2))),"")</f>
        <v>0</v>
      </c>
      <c r="R577" s="7" t="str">
        <f t="array" ref="R577">IFERROR(INDEX(E$56:E$1054,SMALL(IF(ISNUMBER(P$56:P$1054),ROW(E$1:E$999),""),ROW(J522))),"")</f>
        <v/>
      </c>
      <c r="S577" s="7" t="str">
        <f t="array" ref="S577">IFERROR(INDEX(P$56:P$1054,SMALL(IF(ISNUMBER(P$56:P$1054),ROW(P$1:P$999),""),ROW(P522))),"")</f>
        <v/>
      </c>
      <c r="T577" s="7"/>
      <c r="U577" s="7"/>
      <c r="V577" s="7"/>
    </row>
    <row r="578" spans="1:22" x14ac:dyDescent="0.25">
      <c r="A578" s="6"/>
      <c r="B578" s="11"/>
      <c r="C578" s="12"/>
      <c r="D578" s="12"/>
      <c r="E578" s="8">
        <f t="shared" si="8"/>
        <v>0</v>
      </c>
      <c r="F578" s="10"/>
      <c r="G578" s="10"/>
      <c r="H578" s="9"/>
      <c r="I578" s="7"/>
      <c r="J578" s="7"/>
      <c r="K578" s="7">
        <f ca="1">IFERROR(IF(COUNTA(J$56:J578)=J$54,J578,FORECAST(D578,OFFSET(M$56:M$254,MATCH(D578,L$56:L$254,1)-1,0,2), OFFSET(L$56:L$254,MATCH(D578,L$56:L$254,1)-1,0,2))),"")</f>
        <v>0</v>
      </c>
      <c r="L578" s="7" t="str">
        <f t="array" ref="L578">IFERROR(INDEX(D$56:D$1054,SMALL(IF(ISNUMBER(J$56:J$1054),ROW(D$1:D$999),""),ROW(D523))),"")</f>
        <v/>
      </c>
      <c r="M578" s="7" t="str">
        <f t="array" ref="M578">IFERROR(INDEX(J$56:J$1054,SMALL(IF(ISNUMBER(J$56:J$1054),ROW(J$1:J$999),""),ROW(J523))),"")</f>
        <v/>
      </c>
      <c r="N578" s="7"/>
      <c r="O578" s="7"/>
      <c r="P578" s="7"/>
      <c r="Q578" s="7">
        <f ca="1">IFERROR(IF(COUNTA(P$56:P578)=P$54,P578,FORECAST(D578,OFFSET(S$56:S$254,MATCH(D578,R$56:R$254,1)-1,0,2), OFFSET(R$56:R$254,MATCH(D578,R$56:R$254,1)-1,0,2))),"")</f>
        <v>0</v>
      </c>
      <c r="R578" s="7" t="str">
        <f t="array" ref="R578">IFERROR(INDEX(E$56:E$1054,SMALL(IF(ISNUMBER(P$56:P$1054),ROW(E$1:E$999),""),ROW(J523))),"")</f>
        <v/>
      </c>
      <c r="S578" s="7" t="str">
        <f t="array" ref="S578">IFERROR(INDEX(P$56:P$1054,SMALL(IF(ISNUMBER(P$56:P$1054),ROW(P$1:P$999),""),ROW(P523))),"")</f>
        <v/>
      </c>
      <c r="T578" s="7"/>
      <c r="U578" s="7"/>
      <c r="V578" s="7"/>
    </row>
    <row r="579" spans="1:22" x14ac:dyDescent="0.25">
      <c r="A579" s="6"/>
      <c r="B579" s="11"/>
      <c r="C579" s="12"/>
      <c r="D579" s="12"/>
      <c r="E579" s="8">
        <f t="shared" si="8"/>
        <v>0</v>
      </c>
      <c r="F579" s="10"/>
      <c r="G579" s="10"/>
      <c r="H579" s="9"/>
      <c r="I579" s="7"/>
      <c r="J579" s="7"/>
      <c r="K579" s="7">
        <f ca="1">IFERROR(IF(COUNTA(J$56:J579)=J$54,J579,FORECAST(D579,OFFSET(M$56:M$254,MATCH(D579,L$56:L$254,1)-1,0,2), OFFSET(L$56:L$254,MATCH(D579,L$56:L$254,1)-1,0,2))),"")</f>
        <v>0</v>
      </c>
      <c r="L579" s="7" t="str">
        <f t="array" ref="L579">IFERROR(INDEX(D$56:D$1054,SMALL(IF(ISNUMBER(J$56:J$1054),ROW(D$1:D$999),""),ROW(D524))),"")</f>
        <v/>
      </c>
      <c r="M579" s="7" t="str">
        <f t="array" ref="M579">IFERROR(INDEX(J$56:J$1054,SMALL(IF(ISNUMBER(J$56:J$1054),ROW(J$1:J$999),""),ROW(J524))),"")</f>
        <v/>
      </c>
      <c r="N579" s="7"/>
      <c r="O579" s="7"/>
      <c r="P579" s="7"/>
      <c r="Q579" s="7">
        <f ca="1">IFERROR(IF(COUNTA(P$56:P579)=P$54,P579,FORECAST(D579,OFFSET(S$56:S$254,MATCH(D579,R$56:R$254,1)-1,0,2), OFFSET(R$56:R$254,MATCH(D579,R$56:R$254,1)-1,0,2))),"")</f>
        <v>0</v>
      </c>
      <c r="R579" s="7" t="str">
        <f t="array" ref="R579">IFERROR(INDEX(E$56:E$1054,SMALL(IF(ISNUMBER(P$56:P$1054),ROW(E$1:E$999),""),ROW(J524))),"")</f>
        <v/>
      </c>
      <c r="S579" s="7" t="str">
        <f t="array" ref="S579">IFERROR(INDEX(P$56:P$1054,SMALL(IF(ISNUMBER(P$56:P$1054),ROW(P$1:P$999),""),ROW(P524))),"")</f>
        <v/>
      </c>
      <c r="T579" s="7"/>
      <c r="U579" s="7"/>
      <c r="V579" s="7"/>
    </row>
    <row r="580" spans="1:22" x14ac:dyDescent="0.25">
      <c r="A580" s="6"/>
      <c r="B580" s="11"/>
      <c r="C580" s="12"/>
      <c r="D580" s="12"/>
      <c r="E580" s="8">
        <f t="shared" si="8"/>
        <v>0</v>
      </c>
      <c r="F580" s="10"/>
      <c r="G580" s="10"/>
      <c r="H580" s="9"/>
      <c r="I580" s="7"/>
      <c r="J580" s="7"/>
      <c r="K580" s="7">
        <f ca="1">IFERROR(IF(COUNTA(J$56:J580)=J$54,J580,FORECAST(D580,OFFSET(M$56:M$254,MATCH(D580,L$56:L$254,1)-1,0,2), OFFSET(L$56:L$254,MATCH(D580,L$56:L$254,1)-1,0,2))),"")</f>
        <v>0</v>
      </c>
      <c r="L580" s="7" t="str">
        <f t="array" ref="L580">IFERROR(INDEX(D$56:D$1054,SMALL(IF(ISNUMBER(J$56:J$1054),ROW(D$1:D$999),""),ROW(D525))),"")</f>
        <v/>
      </c>
      <c r="M580" s="7" t="str">
        <f t="array" ref="M580">IFERROR(INDEX(J$56:J$1054,SMALL(IF(ISNUMBER(J$56:J$1054),ROW(J$1:J$999),""),ROW(J525))),"")</f>
        <v/>
      </c>
      <c r="N580" s="7"/>
      <c r="O580" s="7"/>
      <c r="P580" s="7"/>
      <c r="Q580" s="7">
        <f ca="1">IFERROR(IF(COUNTA(P$56:P580)=P$54,P580,FORECAST(D580,OFFSET(S$56:S$254,MATCH(D580,R$56:R$254,1)-1,0,2), OFFSET(R$56:R$254,MATCH(D580,R$56:R$254,1)-1,0,2))),"")</f>
        <v>0</v>
      </c>
      <c r="R580" s="7" t="str">
        <f t="array" ref="R580">IFERROR(INDEX(E$56:E$1054,SMALL(IF(ISNUMBER(P$56:P$1054),ROW(E$1:E$999),""),ROW(J525))),"")</f>
        <v/>
      </c>
      <c r="S580" s="7" t="str">
        <f t="array" ref="S580">IFERROR(INDEX(P$56:P$1054,SMALL(IF(ISNUMBER(P$56:P$1054),ROW(P$1:P$999),""),ROW(P525))),"")</f>
        <v/>
      </c>
      <c r="T580" s="7"/>
      <c r="U580" s="7"/>
      <c r="V580" s="7"/>
    </row>
    <row r="581" spans="1:22" x14ac:dyDescent="0.25">
      <c r="A581" s="6"/>
      <c r="B581" s="11"/>
      <c r="C581" s="12"/>
      <c r="D581" s="12"/>
      <c r="E581" s="8">
        <f t="shared" si="8"/>
        <v>0</v>
      </c>
      <c r="F581" s="10"/>
      <c r="G581" s="10"/>
      <c r="H581" s="9"/>
      <c r="I581" s="7"/>
      <c r="J581" s="7"/>
      <c r="K581" s="7">
        <f ca="1">IFERROR(IF(COUNTA(J$56:J581)=J$54,J581,FORECAST(D581,OFFSET(M$56:M$254,MATCH(D581,L$56:L$254,1)-1,0,2), OFFSET(L$56:L$254,MATCH(D581,L$56:L$254,1)-1,0,2))),"")</f>
        <v>0</v>
      </c>
      <c r="L581" s="7" t="str">
        <f t="array" ref="L581">IFERROR(INDEX(D$56:D$1054,SMALL(IF(ISNUMBER(J$56:J$1054),ROW(D$1:D$999),""),ROW(D526))),"")</f>
        <v/>
      </c>
      <c r="M581" s="7" t="str">
        <f t="array" ref="M581">IFERROR(INDEX(J$56:J$1054,SMALL(IF(ISNUMBER(J$56:J$1054),ROW(J$1:J$999),""),ROW(J526))),"")</f>
        <v/>
      </c>
      <c r="N581" s="7"/>
      <c r="O581" s="7"/>
      <c r="P581" s="7"/>
      <c r="Q581" s="7">
        <f ca="1">IFERROR(IF(COUNTA(P$56:P581)=P$54,P581,FORECAST(D581,OFFSET(S$56:S$254,MATCH(D581,R$56:R$254,1)-1,0,2), OFFSET(R$56:R$254,MATCH(D581,R$56:R$254,1)-1,0,2))),"")</f>
        <v>0</v>
      </c>
      <c r="R581" s="7" t="str">
        <f t="array" ref="R581">IFERROR(INDEX(E$56:E$1054,SMALL(IF(ISNUMBER(P$56:P$1054),ROW(E$1:E$999),""),ROW(J526))),"")</f>
        <v/>
      </c>
      <c r="S581" s="7" t="str">
        <f t="array" ref="S581">IFERROR(INDEX(P$56:P$1054,SMALL(IF(ISNUMBER(P$56:P$1054),ROW(P$1:P$999),""),ROW(P526))),"")</f>
        <v/>
      </c>
      <c r="T581" s="7"/>
      <c r="U581" s="7"/>
      <c r="V581" s="7"/>
    </row>
    <row r="582" spans="1:22" x14ac:dyDescent="0.25">
      <c r="A582" s="6"/>
      <c r="B582" s="11"/>
      <c r="C582" s="12"/>
      <c r="D582" s="12"/>
      <c r="E582" s="8">
        <f t="shared" si="8"/>
        <v>0</v>
      </c>
      <c r="F582" s="10"/>
      <c r="G582" s="10"/>
      <c r="H582" s="9"/>
      <c r="I582" s="7"/>
      <c r="J582" s="7"/>
      <c r="K582" s="7">
        <f ca="1">IFERROR(IF(COUNTA(J$56:J582)=J$54,J582,FORECAST(D582,OFFSET(M$56:M$254,MATCH(D582,L$56:L$254,1)-1,0,2), OFFSET(L$56:L$254,MATCH(D582,L$56:L$254,1)-1,0,2))),"")</f>
        <v>0</v>
      </c>
      <c r="L582" s="7" t="str">
        <f t="array" ref="L582">IFERROR(INDEX(D$56:D$1054,SMALL(IF(ISNUMBER(J$56:J$1054),ROW(D$1:D$999),""),ROW(D527))),"")</f>
        <v/>
      </c>
      <c r="M582" s="7" t="str">
        <f t="array" ref="M582">IFERROR(INDEX(J$56:J$1054,SMALL(IF(ISNUMBER(J$56:J$1054),ROW(J$1:J$999),""),ROW(J527))),"")</f>
        <v/>
      </c>
      <c r="N582" s="7"/>
      <c r="O582" s="7"/>
      <c r="P582" s="7"/>
      <c r="Q582" s="7">
        <f ca="1">IFERROR(IF(COUNTA(P$56:P582)=P$54,P582,FORECAST(D582,OFFSET(S$56:S$254,MATCH(D582,R$56:R$254,1)-1,0,2), OFFSET(R$56:R$254,MATCH(D582,R$56:R$254,1)-1,0,2))),"")</f>
        <v>0</v>
      </c>
      <c r="R582" s="7" t="str">
        <f t="array" ref="R582">IFERROR(INDEX(E$56:E$1054,SMALL(IF(ISNUMBER(P$56:P$1054),ROW(E$1:E$999),""),ROW(J527))),"")</f>
        <v/>
      </c>
      <c r="S582" s="7" t="str">
        <f t="array" ref="S582">IFERROR(INDEX(P$56:P$1054,SMALL(IF(ISNUMBER(P$56:P$1054),ROW(P$1:P$999),""),ROW(P527))),"")</f>
        <v/>
      </c>
      <c r="T582" s="7"/>
      <c r="U582" s="7"/>
      <c r="V582" s="7"/>
    </row>
    <row r="583" spans="1:22" x14ac:dyDescent="0.25">
      <c r="A583" s="6"/>
      <c r="B583" s="11"/>
      <c r="C583" s="12"/>
      <c r="D583" s="12"/>
      <c r="E583" s="8">
        <f t="shared" si="8"/>
        <v>0</v>
      </c>
      <c r="F583" s="10"/>
      <c r="G583" s="10"/>
      <c r="H583" s="9"/>
      <c r="I583" s="7"/>
      <c r="J583" s="7"/>
      <c r="K583" s="7">
        <f ca="1">IFERROR(IF(COUNTA(J$56:J583)=J$54,J583,FORECAST(D583,OFFSET(M$56:M$254,MATCH(D583,L$56:L$254,1)-1,0,2), OFFSET(L$56:L$254,MATCH(D583,L$56:L$254,1)-1,0,2))),"")</f>
        <v>0</v>
      </c>
      <c r="L583" s="7" t="str">
        <f t="array" ref="L583">IFERROR(INDEX(D$56:D$1054,SMALL(IF(ISNUMBER(J$56:J$1054),ROW(D$1:D$999),""),ROW(D528))),"")</f>
        <v/>
      </c>
      <c r="M583" s="7" t="str">
        <f t="array" ref="M583">IFERROR(INDEX(J$56:J$1054,SMALL(IF(ISNUMBER(J$56:J$1054),ROW(J$1:J$999),""),ROW(J528))),"")</f>
        <v/>
      </c>
      <c r="N583" s="7"/>
      <c r="O583" s="7"/>
      <c r="P583" s="7"/>
      <c r="Q583" s="7">
        <f ca="1">IFERROR(IF(COUNTA(P$56:P583)=P$54,P583,FORECAST(D583,OFFSET(S$56:S$254,MATCH(D583,R$56:R$254,1)-1,0,2), OFFSET(R$56:R$254,MATCH(D583,R$56:R$254,1)-1,0,2))),"")</f>
        <v>0</v>
      </c>
      <c r="R583" s="7" t="str">
        <f t="array" ref="R583">IFERROR(INDEX(E$56:E$1054,SMALL(IF(ISNUMBER(P$56:P$1054),ROW(E$1:E$999),""),ROW(J528))),"")</f>
        <v/>
      </c>
      <c r="S583" s="7" t="str">
        <f t="array" ref="S583">IFERROR(INDEX(P$56:P$1054,SMALL(IF(ISNUMBER(P$56:P$1054),ROW(P$1:P$999),""),ROW(P528))),"")</f>
        <v/>
      </c>
      <c r="T583" s="7"/>
      <c r="U583" s="7"/>
      <c r="V583" s="7"/>
    </row>
    <row r="584" spans="1:22" x14ac:dyDescent="0.25">
      <c r="A584" s="6"/>
      <c r="B584" s="11"/>
      <c r="C584" s="12"/>
      <c r="D584" s="12"/>
      <c r="E584" s="8">
        <f t="shared" si="8"/>
        <v>0</v>
      </c>
      <c r="F584" s="10"/>
      <c r="G584" s="10"/>
      <c r="H584" s="9"/>
      <c r="I584" s="7"/>
      <c r="J584" s="7"/>
      <c r="K584" s="7">
        <f ca="1">IFERROR(IF(COUNTA(J$56:J584)=J$54,J584,FORECAST(D584,OFFSET(M$56:M$254,MATCH(D584,L$56:L$254,1)-1,0,2), OFFSET(L$56:L$254,MATCH(D584,L$56:L$254,1)-1,0,2))),"")</f>
        <v>0</v>
      </c>
      <c r="L584" s="7" t="str">
        <f t="array" ref="L584">IFERROR(INDEX(D$56:D$1054,SMALL(IF(ISNUMBER(J$56:J$1054),ROW(D$1:D$999),""),ROW(D529))),"")</f>
        <v/>
      </c>
      <c r="M584" s="7" t="str">
        <f t="array" ref="M584">IFERROR(INDEX(J$56:J$1054,SMALL(IF(ISNUMBER(J$56:J$1054),ROW(J$1:J$999),""),ROW(J529))),"")</f>
        <v/>
      </c>
      <c r="N584" s="7"/>
      <c r="O584" s="7"/>
      <c r="P584" s="7"/>
      <c r="Q584" s="7">
        <f ca="1">IFERROR(IF(COUNTA(P$56:P584)=P$54,P584,FORECAST(D584,OFFSET(S$56:S$254,MATCH(D584,R$56:R$254,1)-1,0,2), OFFSET(R$56:R$254,MATCH(D584,R$56:R$254,1)-1,0,2))),"")</f>
        <v>0</v>
      </c>
      <c r="R584" s="7" t="str">
        <f t="array" ref="R584">IFERROR(INDEX(E$56:E$1054,SMALL(IF(ISNUMBER(P$56:P$1054),ROW(E$1:E$999),""),ROW(J529))),"")</f>
        <v/>
      </c>
      <c r="S584" s="7" t="str">
        <f t="array" ref="S584">IFERROR(INDEX(P$56:P$1054,SMALL(IF(ISNUMBER(P$56:P$1054),ROW(P$1:P$999),""),ROW(P529))),"")</f>
        <v/>
      </c>
      <c r="T584" s="7"/>
      <c r="U584" s="7"/>
      <c r="V584" s="7"/>
    </row>
    <row r="585" spans="1:22" x14ac:dyDescent="0.25">
      <c r="A585" s="6"/>
      <c r="B585" s="11"/>
      <c r="C585" s="12"/>
      <c r="D585" s="12"/>
      <c r="E585" s="8">
        <f t="shared" si="8"/>
        <v>0</v>
      </c>
      <c r="F585" s="10"/>
      <c r="G585" s="10"/>
      <c r="H585" s="9"/>
      <c r="I585" s="7"/>
      <c r="J585" s="7"/>
      <c r="K585" s="7">
        <f ca="1">IFERROR(IF(COUNTA(J$56:J585)=J$54,J585,FORECAST(D585,OFFSET(M$56:M$254,MATCH(D585,L$56:L$254,1)-1,0,2), OFFSET(L$56:L$254,MATCH(D585,L$56:L$254,1)-1,0,2))),"")</f>
        <v>0</v>
      </c>
      <c r="L585" s="7" t="str">
        <f t="array" ref="L585">IFERROR(INDEX(D$56:D$1054,SMALL(IF(ISNUMBER(J$56:J$1054),ROW(D$1:D$999),""),ROW(D530))),"")</f>
        <v/>
      </c>
      <c r="M585" s="7" t="str">
        <f t="array" ref="M585">IFERROR(INDEX(J$56:J$1054,SMALL(IF(ISNUMBER(J$56:J$1054),ROW(J$1:J$999),""),ROW(J530))),"")</f>
        <v/>
      </c>
      <c r="N585" s="7"/>
      <c r="O585" s="7"/>
      <c r="P585" s="7"/>
      <c r="Q585" s="7">
        <f ca="1">IFERROR(IF(COUNTA(P$56:P585)=P$54,P585,FORECAST(D585,OFFSET(S$56:S$254,MATCH(D585,R$56:R$254,1)-1,0,2), OFFSET(R$56:R$254,MATCH(D585,R$56:R$254,1)-1,0,2))),"")</f>
        <v>0</v>
      </c>
      <c r="R585" s="7" t="str">
        <f t="array" ref="R585">IFERROR(INDEX(E$56:E$1054,SMALL(IF(ISNUMBER(P$56:P$1054),ROW(E$1:E$999),""),ROW(J530))),"")</f>
        <v/>
      </c>
      <c r="S585" s="7" t="str">
        <f t="array" ref="S585">IFERROR(INDEX(P$56:P$1054,SMALL(IF(ISNUMBER(P$56:P$1054),ROW(P$1:P$999),""),ROW(P530))),"")</f>
        <v/>
      </c>
      <c r="T585" s="7"/>
      <c r="U585" s="7"/>
      <c r="V585" s="7"/>
    </row>
    <row r="586" spans="1:22" x14ac:dyDescent="0.25">
      <c r="A586" s="6"/>
      <c r="B586" s="11"/>
      <c r="C586" s="12"/>
      <c r="D586" s="12"/>
      <c r="E586" s="8">
        <f t="shared" si="8"/>
        <v>0</v>
      </c>
      <c r="F586" s="10"/>
      <c r="G586" s="10"/>
      <c r="H586" s="9"/>
      <c r="I586" s="7"/>
      <c r="J586" s="7"/>
      <c r="K586" s="7">
        <f ca="1">IFERROR(IF(COUNTA(J$56:J586)=J$54,J586,FORECAST(D586,OFFSET(M$56:M$254,MATCH(D586,L$56:L$254,1)-1,0,2), OFFSET(L$56:L$254,MATCH(D586,L$56:L$254,1)-1,0,2))),"")</f>
        <v>0</v>
      </c>
      <c r="L586" s="7" t="str">
        <f t="array" ref="L586">IFERROR(INDEX(D$56:D$1054,SMALL(IF(ISNUMBER(J$56:J$1054),ROW(D$1:D$999),""),ROW(D531))),"")</f>
        <v/>
      </c>
      <c r="M586" s="7" t="str">
        <f t="array" ref="M586">IFERROR(INDEX(J$56:J$1054,SMALL(IF(ISNUMBER(J$56:J$1054),ROW(J$1:J$999),""),ROW(J531))),"")</f>
        <v/>
      </c>
      <c r="N586" s="7"/>
      <c r="O586" s="7"/>
      <c r="P586" s="7"/>
      <c r="Q586" s="7">
        <f ca="1">IFERROR(IF(COUNTA(P$56:P586)=P$54,P586,FORECAST(D586,OFFSET(S$56:S$254,MATCH(D586,R$56:R$254,1)-1,0,2), OFFSET(R$56:R$254,MATCH(D586,R$56:R$254,1)-1,0,2))),"")</f>
        <v>0</v>
      </c>
      <c r="R586" s="7" t="str">
        <f t="array" ref="R586">IFERROR(INDEX(E$56:E$1054,SMALL(IF(ISNUMBER(P$56:P$1054),ROW(E$1:E$999),""),ROW(J531))),"")</f>
        <v/>
      </c>
      <c r="S586" s="7" t="str">
        <f t="array" ref="S586">IFERROR(INDEX(P$56:P$1054,SMALL(IF(ISNUMBER(P$56:P$1054),ROW(P$1:P$999),""),ROW(P531))),"")</f>
        <v/>
      </c>
      <c r="T586" s="7"/>
      <c r="U586" s="7"/>
      <c r="V586" s="7"/>
    </row>
    <row r="587" spans="1:22" x14ac:dyDescent="0.25">
      <c r="A587" s="6"/>
      <c r="B587" s="11"/>
      <c r="C587" s="12"/>
      <c r="D587" s="12"/>
      <c r="E587" s="8">
        <f t="shared" si="8"/>
        <v>0</v>
      </c>
      <c r="F587" s="10"/>
      <c r="G587" s="10"/>
      <c r="H587" s="9"/>
      <c r="I587" s="7"/>
      <c r="J587" s="7"/>
      <c r="K587" s="7">
        <f ca="1">IFERROR(IF(COUNTA(J$56:J587)=J$54,J587,FORECAST(D587,OFFSET(M$56:M$254,MATCH(D587,L$56:L$254,1)-1,0,2), OFFSET(L$56:L$254,MATCH(D587,L$56:L$254,1)-1,0,2))),"")</f>
        <v>0</v>
      </c>
      <c r="L587" s="7" t="str">
        <f t="array" ref="L587">IFERROR(INDEX(D$56:D$1054,SMALL(IF(ISNUMBER(J$56:J$1054),ROW(D$1:D$999),""),ROW(D532))),"")</f>
        <v/>
      </c>
      <c r="M587" s="7" t="str">
        <f t="array" ref="M587">IFERROR(INDEX(J$56:J$1054,SMALL(IF(ISNUMBER(J$56:J$1054),ROW(J$1:J$999),""),ROW(J532))),"")</f>
        <v/>
      </c>
      <c r="N587" s="7"/>
      <c r="O587" s="7"/>
      <c r="P587" s="7"/>
      <c r="Q587" s="7">
        <f ca="1">IFERROR(IF(COUNTA(P$56:P587)=P$54,P587,FORECAST(D587,OFFSET(S$56:S$254,MATCH(D587,R$56:R$254,1)-1,0,2), OFFSET(R$56:R$254,MATCH(D587,R$56:R$254,1)-1,0,2))),"")</f>
        <v>0</v>
      </c>
      <c r="R587" s="7" t="str">
        <f t="array" ref="R587">IFERROR(INDEX(E$56:E$1054,SMALL(IF(ISNUMBER(P$56:P$1054),ROW(E$1:E$999),""),ROW(J532))),"")</f>
        <v/>
      </c>
      <c r="S587" s="7" t="str">
        <f t="array" ref="S587">IFERROR(INDEX(P$56:P$1054,SMALL(IF(ISNUMBER(P$56:P$1054),ROW(P$1:P$999),""),ROW(P532))),"")</f>
        <v/>
      </c>
      <c r="T587" s="7"/>
      <c r="U587" s="7"/>
      <c r="V587" s="7"/>
    </row>
    <row r="588" spans="1:22" x14ac:dyDescent="0.25">
      <c r="A588" s="6"/>
      <c r="B588" s="11"/>
      <c r="C588" s="12"/>
      <c r="D588" s="12"/>
      <c r="E588" s="8">
        <f t="shared" si="8"/>
        <v>0</v>
      </c>
      <c r="F588" s="10"/>
      <c r="G588" s="10"/>
      <c r="H588" s="9"/>
      <c r="I588" s="7"/>
      <c r="J588" s="7"/>
      <c r="K588" s="7">
        <f ca="1">IFERROR(IF(COUNTA(J$56:J588)=J$54,J588,FORECAST(D588,OFFSET(M$56:M$254,MATCH(D588,L$56:L$254,1)-1,0,2), OFFSET(L$56:L$254,MATCH(D588,L$56:L$254,1)-1,0,2))),"")</f>
        <v>0</v>
      </c>
      <c r="L588" s="7" t="str">
        <f t="array" ref="L588">IFERROR(INDEX(D$56:D$1054,SMALL(IF(ISNUMBER(J$56:J$1054),ROW(D$1:D$999),""),ROW(D533))),"")</f>
        <v/>
      </c>
      <c r="M588" s="7" t="str">
        <f t="array" ref="M588">IFERROR(INDEX(J$56:J$1054,SMALL(IF(ISNUMBER(J$56:J$1054),ROW(J$1:J$999),""),ROW(J533))),"")</f>
        <v/>
      </c>
      <c r="N588" s="7"/>
      <c r="O588" s="7"/>
      <c r="P588" s="7"/>
      <c r="Q588" s="7">
        <f ca="1">IFERROR(IF(COUNTA(P$56:P588)=P$54,P588,FORECAST(D588,OFFSET(S$56:S$254,MATCH(D588,R$56:R$254,1)-1,0,2), OFFSET(R$56:R$254,MATCH(D588,R$56:R$254,1)-1,0,2))),"")</f>
        <v>0</v>
      </c>
      <c r="R588" s="7" t="str">
        <f t="array" ref="R588">IFERROR(INDEX(E$56:E$1054,SMALL(IF(ISNUMBER(P$56:P$1054),ROW(E$1:E$999),""),ROW(J533))),"")</f>
        <v/>
      </c>
      <c r="S588" s="7" t="str">
        <f t="array" ref="S588">IFERROR(INDEX(P$56:P$1054,SMALL(IF(ISNUMBER(P$56:P$1054),ROW(P$1:P$999),""),ROW(P533))),"")</f>
        <v/>
      </c>
      <c r="T588" s="7"/>
      <c r="U588" s="7"/>
      <c r="V588" s="7"/>
    </row>
    <row r="589" spans="1:22" x14ac:dyDescent="0.25">
      <c r="A589" s="6"/>
      <c r="B589" s="11"/>
      <c r="C589" s="12"/>
      <c r="D589" s="12"/>
      <c r="E589" s="8">
        <f t="shared" si="8"/>
        <v>0</v>
      </c>
      <c r="F589" s="10"/>
      <c r="G589" s="10"/>
      <c r="H589" s="9"/>
      <c r="I589" s="7"/>
      <c r="J589" s="7"/>
      <c r="K589" s="7">
        <f ca="1">IFERROR(IF(COUNTA(J$56:J589)=J$54,J589,FORECAST(D589,OFFSET(M$56:M$254,MATCH(D589,L$56:L$254,1)-1,0,2), OFFSET(L$56:L$254,MATCH(D589,L$56:L$254,1)-1,0,2))),"")</f>
        <v>0</v>
      </c>
      <c r="L589" s="7" t="str">
        <f t="array" ref="L589">IFERROR(INDEX(D$56:D$1054,SMALL(IF(ISNUMBER(J$56:J$1054),ROW(D$1:D$999),""),ROW(D534))),"")</f>
        <v/>
      </c>
      <c r="M589" s="7" t="str">
        <f t="array" ref="M589">IFERROR(INDEX(J$56:J$1054,SMALL(IF(ISNUMBER(J$56:J$1054),ROW(J$1:J$999),""),ROW(J534))),"")</f>
        <v/>
      </c>
      <c r="N589" s="7"/>
      <c r="O589" s="7"/>
      <c r="P589" s="7"/>
      <c r="Q589" s="7">
        <f ca="1">IFERROR(IF(COUNTA(P$56:P589)=P$54,P589,FORECAST(D589,OFFSET(S$56:S$254,MATCH(D589,R$56:R$254,1)-1,0,2), OFFSET(R$56:R$254,MATCH(D589,R$56:R$254,1)-1,0,2))),"")</f>
        <v>0</v>
      </c>
      <c r="R589" s="7" t="str">
        <f t="array" ref="R589">IFERROR(INDEX(E$56:E$1054,SMALL(IF(ISNUMBER(P$56:P$1054),ROW(E$1:E$999),""),ROW(J534))),"")</f>
        <v/>
      </c>
      <c r="S589" s="7" t="str">
        <f t="array" ref="S589">IFERROR(INDEX(P$56:P$1054,SMALL(IF(ISNUMBER(P$56:P$1054),ROW(P$1:P$999),""),ROW(P534))),"")</f>
        <v/>
      </c>
      <c r="T589" s="7"/>
      <c r="U589" s="7"/>
      <c r="V589" s="7"/>
    </row>
    <row r="590" spans="1:22" x14ac:dyDescent="0.25">
      <c r="A590" s="6"/>
      <c r="B590" s="11"/>
      <c r="C590" s="12"/>
      <c r="D590" s="12"/>
      <c r="E590" s="8">
        <f t="shared" si="8"/>
        <v>0</v>
      </c>
      <c r="F590" s="10"/>
      <c r="G590" s="10"/>
      <c r="H590" s="9"/>
      <c r="I590" s="7"/>
      <c r="J590" s="7"/>
      <c r="K590" s="7">
        <f ca="1">IFERROR(IF(COUNTA(J$56:J590)=J$54,J590,FORECAST(D590,OFFSET(M$56:M$254,MATCH(D590,L$56:L$254,1)-1,0,2), OFFSET(L$56:L$254,MATCH(D590,L$56:L$254,1)-1,0,2))),"")</f>
        <v>0</v>
      </c>
      <c r="L590" s="7" t="str">
        <f t="array" ref="L590">IFERROR(INDEX(D$56:D$1054,SMALL(IF(ISNUMBER(J$56:J$1054),ROW(D$1:D$999),""),ROW(D535))),"")</f>
        <v/>
      </c>
      <c r="M590" s="7" t="str">
        <f t="array" ref="M590">IFERROR(INDEX(J$56:J$1054,SMALL(IF(ISNUMBER(J$56:J$1054),ROW(J$1:J$999),""),ROW(J535))),"")</f>
        <v/>
      </c>
      <c r="N590" s="7"/>
      <c r="O590" s="7"/>
      <c r="P590" s="7"/>
      <c r="Q590" s="7">
        <f ca="1">IFERROR(IF(COUNTA(P$56:P590)=P$54,P590,FORECAST(D590,OFFSET(S$56:S$254,MATCH(D590,R$56:R$254,1)-1,0,2), OFFSET(R$56:R$254,MATCH(D590,R$56:R$254,1)-1,0,2))),"")</f>
        <v>0</v>
      </c>
      <c r="R590" s="7" t="str">
        <f t="array" ref="R590">IFERROR(INDEX(E$56:E$1054,SMALL(IF(ISNUMBER(P$56:P$1054),ROW(E$1:E$999),""),ROW(J535))),"")</f>
        <v/>
      </c>
      <c r="S590" s="7" t="str">
        <f t="array" ref="S590">IFERROR(INDEX(P$56:P$1054,SMALL(IF(ISNUMBER(P$56:P$1054),ROW(P$1:P$999),""),ROW(P535))),"")</f>
        <v/>
      </c>
      <c r="T590" s="7"/>
      <c r="U590" s="7"/>
      <c r="V590" s="7"/>
    </row>
    <row r="591" spans="1:22" x14ac:dyDescent="0.25">
      <c r="A591" s="6"/>
      <c r="B591" s="11"/>
      <c r="C591" s="12"/>
      <c r="D591" s="12"/>
      <c r="E591" s="8">
        <f t="shared" si="8"/>
        <v>0</v>
      </c>
      <c r="F591" s="10"/>
      <c r="G591" s="10"/>
      <c r="H591" s="9"/>
      <c r="I591" s="7"/>
      <c r="J591" s="7"/>
      <c r="K591" s="7">
        <f ca="1">IFERROR(IF(COUNTA(J$56:J591)=J$54,J591,FORECAST(D591,OFFSET(M$56:M$254,MATCH(D591,L$56:L$254,1)-1,0,2), OFFSET(L$56:L$254,MATCH(D591,L$56:L$254,1)-1,0,2))),"")</f>
        <v>0</v>
      </c>
      <c r="L591" s="7" t="str">
        <f t="array" ref="L591">IFERROR(INDEX(D$56:D$1054,SMALL(IF(ISNUMBER(J$56:J$1054),ROW(D$1:D$999),""),ROW(D536))),"")</f>
        <v/>
      </c>
      <c r="M591" s="7" t="str">
        <f t="array" ref="M591">IFERROR(INDEX(J$56:J$1054,SMALL(IF(ISNUMBER(J$56:J$1054),ROW(J$1:J$999),""),ROW(J536))),"")</f>
        <v/>
      </c>
      <c r="N591" s="7"/>
      <c r="O591" s="7"/>
      <c r="P591" s="7"/>
      <c r="Q591" s="7">
        <f ca="1">IFERROR(IF(COUNTA(P$56:P591)=P$54,P591,FORECAST(D591,OFFSET(S$56:S$254,MATCH(D591,R$56:R$254,1)-1,0,2), OFFSET(R$56:R$254,MATCH(D591,R$56:R$254,1)-1,0,2))),"")</f>
        <v>0</v>
      </c>
      <c r="R591" s="7" t="str">
        <f t="array" ref="R591">IFERROR(INDEX(E$56:E$1054,SMALL(IF(ISNUMBER(P$56:P$1054),ROW(E$1:E$999),""),ROW(J536))),"")</f>
        <v/>
      </c>
      <c r="S591" s="7" t="str">
        <f t="array" ref="S591">IFERROR(INDEX(P$56:P$1054,SMALL(IF(ISNUMBER(P$56:P$1054),ROW(P$1:P$999),""),ROW(P536))),"")</f>
        <v/>
      </c>
      <c r="T591" s="7"/>
      <c r="U591" s="7"/>
      <c r="V591" s="7"/>
    </row>
    <row r="592" spans="1:22" x14ac:dyDescent="0.25">
      <c r="A592" s="6"/>
      <c r="B592" s="11"/>
      <c r="C592" s="12"/>
      <c r="D592" s="12"/>
      <c r="E592" s="8">
        <f t="shared" si="8"/>
        <v>0</v>
      </c>
      <c r="F592" s="10"/>
      <c r="G592" s="10"/>
      <c r="H592" s="9"/>
      <c r="I592" s="7"/>
      <c r="J592" s="7"/>
      <c r="K592" s="7">
        <f ca="1">IFERROR(IF(COUNTA(J$56:J592)=J$54,J592,FORECAST(D592,OFFSET(M$56:M$254,MATCH(D592,L$56:L$254,1)-1,0,2), OFFSET(L$56:L$254,MATCH(D592,L$56:L$254,1)-1,0,2))),"")</f>
        <v>0</v>
      </c>
      <c r="L592" s="7" t="str">
        <f t="array" ref="L592">IFERROR(INDEX(D$56:D$1054,SMALL(IF(ISNUMBER(J$56:J$1054),ROW(D$1:D$999),""),ROW(D537))),"")</f>
        <v/>
      </c>
      <c r="M592" s="7" t="str">
        <f t="array" ref="M592">IFERROR(INDEX(J$56:J$1054,SMALL(IF(ISNUMBER(J$56:J$1054),ROW(J$1:J$999),""),ROW(J537))),"")</f>
        <v/>
      </c>
      <c r="N592" s="7"/>
      <c r="O592" s="7"/>
      <c r="P592" s="7"/>
      <c r="Q592" s="7">
        <f ca="1">IFERROR(IF(COUNTA(P$56:P592)=P$54,P592,FORECAST(D592,OFFSET(S$56:S$254,MATCH(D592,R$56:R$254,1)-1,0,2), OFFSET(R$56:R$254,MATCH(D592,R$56:R$254,1)-1,0,2))),"")</f>
        <v>0</v>
      </c>
      <c r="R592" s="7" t="str">
        <f t="array" ref="R592">IFERROR(INDEX(E$56:E$1054,SMALL(IF(ISNUMBER(P$56:P$1054),ROW(E$1:E$999),""),ROW(J537))),"")</f>
        <v/>
      </c>
      <c r="S592" s="7" t="str">
        <f t="array" ref="S592">IFERROR(INDEX(P$56:P$1054,SMALL(IF(ISNUMBER(P$56:P$1054),ROW(P$1:P$999),""),ROW(P537))),"")</f>
        <v/>
      </c>
      <c r="T592" s="7"/>
      <c r="U592" s="7"/>
      <c r="V592" s="7"/>
    </row>
    <row r="593" spans="1:22" x14ac:dyDescent="0.25">
      <c r="A593" s="6"/>
      <c r="B593" s="11"/>
      <c r="C593" s="12"/>
      <c r="D593" s="12"/>
      <c r="E593" s="8">
        <f t="shared" si="8"/>
        <v>0</v>
      </c>
      <c r="F593" s="10"/>
      <c r="G593" s="10"/>
      <c r="H593" s="9"/>
      <c r="I593" s="7"/>
      <c r="J593" s="7"/>
      <c r="K593" s="7">
        <f ca="1">IFERROR(IF(COUNTA(J$56:J593)=J$54,J593,FORECAST(D593,OFFSET(M$56:M$254,MATCH(D593,L$56:L$254,1)-1,0,2), OFFSET(L$56:L$254,MATCH(D593,L$56:L$254,1)-1,0,2))),"")</f>
        <v>0</v>
      </c>
      <c r="L593" s="7" t="str">
        <f t="array" ref="L593">IFERROR(INDEX(D$56:D$1054,SMALL(IF(ISNUMBER(J$56:J$1054),ROW(D$1:D$999),""),ROW(D538))),"")</f>
        <v/>
      </c>
      <c r="M593" s="7" t="str">
        <f t="array" ref="M593">IFERROR(INDEX(J$56:J$1054,SMALL(IF(ISNUMBER(J$56:J$1054),ROW(J$1:J$999),""),ROW(J538))),"")</f>
        <v/>
      </c>
      <c r="N593" s="7"/>
      <c r="O593" s="7"/>
      <c r="P593" s="7"/>
      <c r="Q593" s="7">
        <f ca="1">IFERROR(IF(COUNTA(P$56:P593)=P$54,P593,FORECAST(D593,OFFSET(S$56:S$254,MATCH(D593,R$56:R$254,1)-1,0,2), OFFSET(R$56:R$254,MATCH(D593,R$56:R$254,1)-1,0,2))),"")</f>
        <v>0</v>
      </c>
      <c r="R593" s="7" t="str">
        <f t="array" ref="R593">IFERROR(INDEX(E$56:E$1054,SMALL(IF(ISNUMBER(P$56:P$1054),ROW(E$1:E$999),""),ROW(J538))),"")</f>
        <v/>
      </c>
      <c r="S593" s="7" t="str">
        <f t="array" ref="S593">IFERROR(INDEX(P$56:P$1054,SMALL(IF(ISNUMBER(P$56:P$1054),ROW(P$1:P$999),""),ROW(P538))),"")</f>
        <v/>
      </c>
      <c r="T593" s="7"/>
      <c r="U593" s="7"/>
      <c r="V593" s="7"/>
    </row>
    <row r="594" spans="1:22" x14ac:dyDescent="0.25">
      <c r="A594" s="6"/>
      <c r="B594" s="11"/>
      <c r="C594" s="12"/>
      <c r="D594" s="12"/>
      <c r="E594" s="8">
        <f t="shared" si="8"/>
        <v>0</v>
      </c>
      <c r="F594" s="10"/>
      <c r="G594" s="10"/>
      <c r="H594" s="9"/>
      <c r="I594" s="7"/>
      <c r="J594" s="7"/>
      <c r="K594" s="7">
        <f ca="1">IFERROR(IF(COUNTA(J$56:J594)=J$54,J594,FORECAST(D594,OFFSET(M$56:M$254,MATCH(D594,L$56:L$254,1)-1,0,2), OFFSET(L$56:L$254,MATCH(D594,L$56:L$254,1)-1,0,2))),"")</f>
        <v>0</v>
      </c>
      <c r="L594" s="7" t="str">
        <f t="array" ref="L594">IFERROR(INDEX(D$56:D$1054,SMALL(IF(ISNUMBER(J$56:J$1054),ROW(D$1:D$999),""),ROW(D539))),"")</f>
        <v/>
      </c>
      <c r="M594" s="7" t="str">
        <f t="array" ref="M594">IFERROR(INDEX(J$56:J$1054,SMALL(IF(ISNUMBER(J$56:J$1054),ROW(J$1:J$999),""),ROW(J539))),"")</f>
        <v/>
      </c>
      <c r="N594" s="7"/>
      <c r="O594" s="7"/>
      <c r="P594" s="7"/>
      <c r="Q594" s="7">
        <f ca="1">IFERROR(IF(COUNTA(P$56:P594)=P$54,P594,FORECAST(D594,OFFSET(S$56:S$254,MATCH(D594,R$56:R$254,1)-1,0,2), OFFSET(R$56:R$254,MATCH(D594,R$56:R$254,1)-1,0,2))),"")</f>
        <v>0</v>
      </c>
      <c r="R594" s="7" t="str">
        <f t="array" ref="R594">IFERROR(INDEX(E$56:E$1054,SMALL(IF(ISNUMBER(P$56:P$1054),ROW(E$1:E$999),""),ROW(J539))),"")</f>
        <v/>
      </c>
      <c r="S594" s="7" t="str">
        <f t="array" ref="S594">IFERROR(INDEX(P$56:P$1054,SMALL(IF(ISNUMBER(P$56:P$1054),ROW(P$1:P$999),""),ROW(P539))),"")</f>
        <v/>
      </c>
      <c r="T594" s="7"/>
      <c r="U594" s="7"/>
      <c r="V594" s="7"/>
    </row>
    <row r="595" spans="1:22" x14ac:dyDescent="0.25">
      <c r="A595" s="6"/>
      <c r="B595" s="11"/>
      <c r="C595" s="12"/>
      <c r="D595" s="12"/>
      <c r="E595" s="8">
        <f t="shared" si="8"/>
        <v>0</v>
      </c>
      <c r="F595" s="10"/>
      <c r="G595" s="10"/>
      <c r="H595" s="9"/>
      <c r="I595" s="7"/>
      <c r="J595" s="7"/>
      <c r="K595" s="7">
        <f ca="1">IFERROR(IF(COUNTA(J$56:J595)=J$54,J595,FORECAST(D595,OFFSET(M$56:M$254,MATCH(D595,L$56:L$254,1)-1,0,2), OFFSET(L$56:L$254,MATCH(D595,L$56:L$254,1)-1,0,2))),"")</f>
        <v>0</v>
      </c>
      <c r="L595" s="7" t="str">
        <f t="array" ref="L595">IFERROR(INDEX(D$56:D$1054,SMALL(IF(ISNUMBER(J$56:J$1054),ROW(D$1:D$999),""),ROW(D540))),"")</f>
        <v/>
      </c>
      <c r="M595" s="7" t="str">
        <f t="array" ref="M595">IFERROR(INDEX(J$56:J$1054,SMALL(IF(ISNUMBER(J$56:J$1054),ROW(J$1:J$999),""),ROW(J540))),"")</f>
        <v/>
      </c>
      <c r="N595" s="7"/>
      <c r="O595" s="7"/>
      <c r="P595" s="7"/>
      <c r="Q595" s="7">
        <f ca="1">IFERROR(IF(COUNTA(P$56:P595)=P$54,P595,FORECAST(D595,OFFSET(S$56:S$254,MATCH(D595,R$56:R$254,1)-1,0,2), OFFSET(R$56:R$254,MATCH(D595,R$56:R$254,1)-1,0,2))),"")</f>
        <v>0</v>
      </c>
      <c r="R595" s="7" t="str">
        <f t="array" ref="R595">IFERROR(INDEX(E$56:E$1054,SMALL(IF(ISNUMBER(P$56:P$1054),ROW(E$1:E$999),""),ROW(J540))),"")</f>
        <v/>
      </c>
      <c r="S595" s="7" t="str">
        <f t="array" ref="S595">IFERROR(INDEX(P$56:P$1054,SMALL(IF(ISNUMBER(P$56:P$1054),ROW(P$1:P$999),""),ROW(P540))),"")</f>
        <v/>
      </c>
      <c r="T595" s="7"/>
      <c r="U595" s="7"/>
      <c r="V595" s="7"/>
    </row>
    <row r="596" spans="1:22" x14ac:dyDescent="0.25">
      <c r="A596" s="6"/>
      <c r="B596" s="11"/>
      <c r="C596" s="12"/>
      <c r="D596" s="12"/>
      <c r="E596" s="8">
        <f t="shared" si="8"/>
        <v>0</v>
      </c>
      <c r="F596" s="10"/>
      <c r="G596" s="10"/>
      <c r="H596" s="9"/>
      <c r="I596" s="7"/>
      <c r="J596" s="7"/>
      <c r="K596" s="7">
        <f ca="1">IFERROR(IF(COUNTA(J$56:J596)=J$54,J596,FORECAST(D596,OFFSET(M$56:M$254,MATCH(D596,L$56:L$254,1)-1,0,2), OFFSET(L$56:L$254,MATCH(D596,L$56:L$254,1)-1,0,2))),"")</f>
        <v>0</v>
      </c>
      <c r="L596" s="7" t="str">
        <f t="array" ref="L596">IFERROR(INDEX(D$56:D$1054,SMALL(IF(ISNUMBER(J$56:J$1054),ROW(D$1:D$999),""),ROW(D541))),"")</f>
        <v/>
      </c>
      <c r="M596" s="7" t="str">
        <f t="array" ref="M596">IFERROR(INDEX(J$56:J$1054,SMALL(IF(ISNUMBER(J$56:J$1054),ROW(J$1:J$999),""),ROW(J541))),"")</f>
        <v/>
      </c>
      <c r="N596" s="7"/>
      <c r="O596" s="7"/>
      <c r="P596" s="7"/>
      <c r="Q596" s="7">
        <f ca="1">IFERROR(IF(COUNTA(P$56:P596)=P$54,P596,FORECAST(D596,OFFSET(S$56:S$254,MATCH(D596,R$56:R$254,1)-1,0,2), OFFSET(R$56:R$254,MATCH(D596,R$56:R$254,1)-1,0,2))),"")</f>
        <v>0</v>
      </c>
      <c r="R596" s="7" t="str">
        <f t="array" ref="R596">IFERROR(INDEX(E$56:E$1054,SMALL(IF(ISNUMBER(P$56:P$1054),ROW(E$1:E$999),""),ROW(J541))),"")</f>
        <v/>
      </c>
      <c r="S596" s="7" t="str">
        <f t="array" ref="S596">IFERROR(INDEX(P$56:P$1054,SMALL(IF(ISNUMBER(P$56:P$1054),ROW(P$1:P$999),""),ROW(P541))),"")</f>
        <v/>
      </c>
      <c r="T596" s="7"/>
      <c r="U596" s="7"/>
      <c r="V596" s="7"/>
    </row>
    <row r="597" spans="1:22" x14ac:dyDescent="0.25">
      <c r="A597" s="6"/>
      <c r="B597" s="11"/>
      <c r="C597" s="12"/>
      <c r="D597" s="12"/>
      <c r="E597" s="8">
        <f t="shared" si="8"/>
        <v>0</v>
      </c>
      <c r="F597" s="10"/>
      <c r="G597" s="10"/>
      <c r="H597" s="9"/>
      <c r="I597" s="7"/>
      <c r="J597" s="7"/>
      <c r="K597" s="7">
        <f ca="1">IFERROR(IF(COUNTA(J$56:J597)=J$54,J597,FORECAST(D597,OFFSET(M$56:M$254,MATCH(D597,L$56:L$254,1)-1,0,2), OFFSET(L$56:L$254,MATCH(D597,L$56:L$254,1)-1,0,2))),"")</f>
        <v>0</v>
      </c>
      <c r="L597" s="7" t="str">
        <f t="array" ref="L597">IFERROR(INDEX(D$56:D$1054,SMALL(IF(ISNUMBER(J$56:J$1054),ROW(D$1:D$999),""),ROW(D542))),"")</f>
        <v/>
      </c>
      <c r="M597" s="7" t="str">
        <f t="array" ref="M597">IFERROR(INDEX(J$56:J$1054,SMALL(IF(ISNUMBER(J$56:J$1054),ROW(J$1:J$999),""),ROW(J542))),"")</f>
        <v/>
      </c>
      <c r="N597" s="7"/>
      <c r="O597" s="7"/>
      <c r="P597" s="7"/>
      <c r="Q597" s="7">
        <f ca="1">IFERROR(IF(COUNTA(P$56:P597)=P$54,P597,FORECAST(D597,OFFSET(S$56:S$254,MATCH(D597,R$56:R$254,1)-1,0,2), OFFSET(R$56:R$254,MATCH(D597,R$56:R$254,1)-1,0,2))),"")</f>
        <v>0</v>
      </c>
      <c r="R597" s="7" t="str">
        <f t="array" ref="R597">IFERROR(INDEX(E$56:E$1054,SMALL(IF(ISNUMBER(P$56:P$1054),ROW(E$1:E$999),""),ROW(J542))),"")</f>
        <v/>
      </c>
      <c r="S597" s="7" t="str">
        <f t="array" ref="S597">IFERROR(INDEX(P$56:P$1054,SMALL(IF(ISNUMBER(P$56:P$1054),ROW(P$1:P$999),""),ROW(P542))),"")</f>
        <v/>
      </c>
      <c r="T597" s="7"/>
      <c r="U597" s="7"/>
      <c r="V597" s="7"/>
    </row>
    <row r="598" spans="1:22" x14ac:dyDescent="0.25">
      <c r="A598" s="6"/>
      <c r="B598" s="11"/>
      <c r="C598" s="12"/>
      <c r="D598" s="12"/>
      <c r="E598" s="8">
        <f t="shared" si="8"/>
        <v>0</v>
      </c>
      <c r="F598" s="10"/>
      <c r="G598" s="10"/>
      <c r="H598" s="9"/>
      <c r="I598" s="7"/>
      <c r="J598" s="7"/>
      <c r="K598" s="7">
        <f ca="1">IFERROR(IF(COUNTA(J$56:J598)=J$54,J598,FORECAST(D598,OFFSET(M$56:M$254,MATCH(D598,L$56:L$254,1)-1,0,2), OFFSET(L$56:L$254,MATCH(D598,L$56:L$254,1)-1,0,2))),"")</f>
        <v>0</v>
      </c>
      <c r="L598" s="7" t="str">
        <f t="array" ref="L598">IFERROR(INDEX(D$56:D$1054,SMALL(IF(ISNUMBER(J$56:J$1054),ROW(D$1:D$999),""),ROW(D543))),"")</f>
        <v/>
      </c>
      <c r="M598" s="7" t="str">
        <f t="array" ref="M598">IFERROR(INDEX(J$56:J$1054,SMALL(IF(ISNUMBER(J$56:J$1054),ROW(J$1:J$999),""),ROW(J543))),"")</f>
        <v/>
      </c>
      <c r="N598" s="7"/>
      <c r="O598" s="7"/>
      <c r="P598" s="7"/>
      <c r="Q598" s="7">
        <f ca="1">IFERROR(IF(COUNTA(P$56:P598)=P$54,P598,FORECAST(D598,OFFSET(S$56:S$254,MATCH(D598,R$56:R$254,1)-1,0,2), OFFSET(R$56:R$254,MATCH(D598,R$56:R$254,1)-1,0,2))),"")</f>
        <v>0</v>
      </c>
      <c r="R598" s="7" t="str">
        <f t="array" ref="R598">IFERROR(INDEX(E$56:E$1054,SMALL(IF(ISNUMBER(P$56:P$1054),ROW(E$1:E$999),""),ROW(J543))),"")</f>
        <v/>
      </c>
      <c r="S598" s="7" t="str">
        <f t="array" ref="S598">IFERROR(INDEX(P$56:P$1054,SMALL(IF(ISNUMBER(P$56:P$1054),ROW(P$1:P$999),""),ROW(P543))),"")</f>
        <v/>
      </c>
      <c r="T598" s="7"/>
      <c r="U598" s="7"/>
      <c r="V598" s="7"/>
    </row>
    <row r="599" spans="1:22" x14ac:dyDescent="0.25">
      <c r="A599" s="6"/>
      <c r="B599" s="11"/>
      <c r="C599" s="12"/>
      <c r="D599" s="12"/>
      <c r="E599" s="8">
        <f t="shared" si="8"/>
        <v>0</v>
      </c>
      <c r="F599" s="10"/>
      <c r="G599" s="10"/>
      <c r="H599" s="9"/>
      <c r="I599" s="7"/>
      <c r="J599" s="7"/>
      <c r="K599" s="7">
        <f ca="1">IFERROR(IF(COUNTA(J$56:J599)=J$54,J599,FORECAST(D599,OFFSET(M$56:M$254,MATCH(D599,L$56:L$254,1)-1,0,2), OFFSET(L$56:L$254,MATCH(D599,L$56:L$254,1)-1,0,2))),"")</f>
        <v>0</v>
      </c>
      <c r="L599" s="7" t="str">
        <f t="array" ref="L599">IFERROR(INDEX(D$56:D$1054,SMALL(IF(ISNUMBER(J$56:J$1054),ROW(D$1:D$999),""),ROW(D544))),"")</f>
        <v/>
      </c>
      <c r="M599" s="7" t="str">
        <f t="array" ref="M599">IFERROR(INDEX(J$56:J$1054,SMALL(IF(ISNUMBER(J$56:J$1054),ROW(J$1:J$999),""),ROW(J544))),"")</f>
        <v/>
      </c>
      <c r="N599" s="7"/>
      <c r="O599" s="7"/>
      <c r="P599" s="7"/>
      <c r="Q599" s="7">
        <f ca="1">IFERROR(IF(COUNTA(P$56:P599)=P$54,P599,FORECAST(D599,OFFSET(S$56:S$254,MATCH(D599,R$56:R$254,1)-1,0,2), OFFSET(R$56:R$254,MATCH(D599,R$56:R$254,1)-1,0,2))),"")</f>
        <v>0</v>
      </c>
      <c r="R599" s="7" t="str">
        <f t="array" ref="R599">IFERROR(INDEX(E$56:E$1054,SMALL(IF(ISNUMBER(P$56:P$1054),ROW(E$1:E$999),""),ROW(J544))),"")</f>
        <v/>
      </c>
      <c r="S599" s="7" t="str">
        <f t="array" ref="S599">IFERROR(INDEX(P$56:P$1054,SMALL(IF(ISNUMBER(P$56:P$1054),ROW(P$1:P$999),""),ROW(P544))),"")</f>
        <v/>
      </c>
      <c r="T599" s="7"/>
      <c r="U599" s="7"/>
      <c r="V599" s="7"/>
    </row>
    <row r="600" spans="1:22" x14ac:dyDescent="0.25">
      <c r="A600" s="6"/>
      <c r="B600" s="11"/>
      <c r="C600" s="12"/>
      <c r="D600" s="12"/>
      <c r="E600" s="8">
        <f t="shared" si="8"/>
        <v>0</v>
      </c>
      <c r="F600" s="10"/>
      <c r="G600" s="10"/>
      <c r="H600" s="9"/>
      <c r="I600" s="7"/>
      <c r="J600" s="7"/>
      <c r="K600" s="7">
        <f ca="1">IFERROR(IF(COUNTA(J$56:J600)=J$54,J600,FORECAST(D600,OFFSET(M$56:M$254,MATCH(D600,L$56:L$254,1)-1,0,2), OFFSET(L$56:L$254,MATCH(D600,L$56:L$254,1)-1,0,2))),"")</f>
        <v>0</v>
      </c>
      <c r="L600" s="7" t="str">
        <f t="array" ref="L600">IFERROR(INDEX(D$56:D$1054,SMALL(IF(ISNUMBER(J$56:J$1054),ROW(D$1:D$999),""),ROW(D545))),"")</f>
        <v/>
      </c>
      <c r="M600" s="7" t="str">
        <f t="array" ref="M600">IFERROR(INDEX(J$56:J$1054,SMALL(IF(ISNUMBER(J$56:J$1054),ROW(J$1:J$999),""),ROW(J545))),"")</f>
        <v/>
      </c>
      <c r="N600" s="7"/>
      <c r="O600" s="7"/>
      <c r="P600" s="7"/>
      <c r="Q600" s="7">
        <f ca="1">IFERROR(IF(COUNTA(P$56:P600)=P$54,P600,FORECAST(D600,OFFSET(S$56:S$254,MATCH(D600,R$56:R$254,1)-1,0,2), OFFSET(R$56:R$254,MATCH(D600,R$56:R$254,1)-1,0,2))),"")</f>
        <v>0</v>
      </c>
      <c r="R600" s="7" t="str">
        <f t="array" ref="R600">IFERROR(INDEX(E$56:E$1054,SMALL(IF(ISNUMBER(P$56:P$1054),ROW(E$1:E$999),""),ROW(J545))),"")</f>
        <v/>
      </c>
      <c r="S600" s="7" t="str">
        <f t="array" ref="S600">IFERROR(INDEX(P$56:P$1054,SMALL(IF(ISNUMBER(P$56:P$1054),ROW(P$1:P$999),""),ROW(P545))),"")</f>
        <v/>
      </c>
      <c r="T600" s="7"/>
      <c r="U600" s="7"/>
      <c r="V600" s="7"/>
    </row>
    <row r="601" spans="1:22" x14ac:dyDescent="0.25">
      <c r="A601" s="6"/>
      <c r="B601" s="11"/>
      <c r="C601" s="12"/>
      <c r="D601" s="12"/>
      <c r="E601" s="8">
        <f t="shared" si="8"/>
        <v>0</v>
      </c>
      <c r="F601" s="10"/>
      <c r="G601" s="10"/>
      <c r="H601" s="9"/>
      <c r="I601" s="7"/>
      <c r="J601" s="7"/>
      <c r="K601" s="7">
        <f ca="1">IFERROR(IF(COUNTA(J$56:J601)=J$54,J601,FORECAST(D601,OFFSET(M$56:M$254,MATCH(D601,L$56:L$254,1)-1,0,2), OFFSET(L$56:L$254,MATCH(D601,L$56:L$254,1)-1,0,2))),"")</f>
        <v>0</v>
      </c>
      <c r="L601" s="7" t="str">
        <f t="array" ref="L601">IFERROR(INDEX(D$56:D$1054,SMALL(IF(ISNUMBER(J$56:J$1054),ROW(D$1:D$999),""),ROW(D546))),"")</f>
        <v/>
      </c>
      <c r="M601" s="7" t="str">
        <f t="array" ref="M601">IFERROR(INDEX(J$56:J$1054,SMALL(IF(ISNUMBER(J$56:J$1054),ROW(J$1:J$999),""),ROW(J546))),"")</f>
        <v/>
      </c>
      <c r="N601" s="7"/>
      <c r="O601" s="7"/>
      <c r="P601" s="7"/>
      <c r="Q601" s="7">
        <f ca="1">IFERROR(IF(COUNTA(P$56:P601)=P$54,P601,FORECAST(D601,OFFSET(S$56:S$254,MATCH(D601,R$56:R$254,1)-1,0,2), OFFSET(R$56:R$254,MATCH(D601,R$56:R$254,1)-1,0,2))),"")</f>
        <v>0</v>
      </c>
      <c r="R601" s="7" t="str">
        <f t="array" ref="R601">IFERROR(INDEX(E$56:E$1054,SMALL(IF(ISNUMBER(P$56:P$1054),ROW(E$1:E$999),""),ROW(J546))),"")</f>
        <v/>
      </c>
      <c r="S601" s="7" t="str">
        <f t="array" ref="S601">IFERROR(INDEX(P$56:P$1054,SMALL(IF(ISNUMBER(P$56:P$1054),ROW(P$1:P$999),""),ROW(P546))),"")</f>
        <v/>
      </c>
      <c r="T601" s="7"/>
      <c r="U601" s="7"/>
      <c r="V601" s="7"/>
    </row>
    <row r="602" spans="1:22" x14ac:dyDescent="0.25">
      <c r="A602" s="6"/>
      <c r="B602" s="11"/>
      <c r="C602" s="12"/>
      <c r="D602" s="12"/>
      <c r="E602" s="8">
        <f t="shared" si="8"/>
        <v>0</v>
      </c>
      <c r="F602" s="10"/>
      <c r="G602" s="10"/>
      <c r="H602" s="9"/>
      <c r="I602" s="7"/>
      <c r="J602" s="7"/>
      <c r="K602" s="7">
        <f ca="1">IFERROR(IF(COUNTA(J$56:J602)=J$54,J602,FORECAST(D602,OFFSET(M$56:M$254,MATCH(D602,L$56:L$254,1)-1,0,2), OFFSET(L$56:L$254,MATCH(D602,L$56:L$254,1)-1,0,2))),"")</f>
        <v>0</v>
      </c>
      <c r="L602" s="7" t="str">
        <f t="array" ref="L602">IFERROR(INDEX(D$56:D$1054,SMALL(IF(ISNUMBER(J$56:J$1054),ROW(D$1:D$999),""),ROW(D547))),"")</f>
        <v/>
      </c>
      <c r="M602" s="7" t="str">
        <f t="array" ref="M602">IFERROR(INDEX(J$56:J$1054,SMALL(IF(ISNUMBER(J$56:J$1054),ROW(J$1:J$999),""),ROW(J547))),"")</f>
        <v/>
      </c>
      <c r="N602" s="7"/>
      <c r="O602" s="7"/>
      <c r="P602" s="7"/>
      <c r="Q602" s="7">
        <f ca="1">IFERROR(IF(COUNTA(P$56:P602)=P$54,P602,FORECAST(D602,OFFSET(S$56:S$254,MATCH(D602,R$56:R$254,1)-1,0,2), OFFSET(R$56:R$254,MATCH(D602,R$56:R$254,1)-1,0,2))),"")</f>
        <v>0</v>
      </c>
      <c r="R602" s="7" t="str">
        <f t="array" ref="R602">IFERROR(INDEX(E$56:E$1054,SMALL(IF(ISNUMBER(P$56:P$1054),ROW(E$1:E$999),""),ROW(J547))),"")</f>
        <v/>
      </c>
      <c r="S602" s="7" t="str">
        <f t="array" ref="S602">IFERROR(INDEX(P$56:P$1054,SMALL(IF(ISNUMBER(P$56:P$1054),ROW(P$1:P$999),""),ROW(P547))),"")</f>
        <v/>
      </c>
      <c r="T602" s="7"/>
      <c r="U602" s="7"/>
      <c r="V602" s="7"/>
    </row>
    <row r="603" spans="1:22" x14ac:dyDescent="0.25">
      <c r="A603" s="6"/>
      <c r="B603" s="11"/>
      <c r="C603" s="12"/>
      <c r="D603" s="12"/>
      <c r="E603" s="8">
        <f t="shared" si="8"/>
        <v>0</v>
      </c>
      <c r="F603" s="10"/>
      <c r="G603" s="10"/>
      <c r="H603" s="9"/>
      <c r="I603" s="7"/>
      <c r="J603" s="7"/>
      <c r="K603" s="7">
        <f ca="1">IFERROR(IF(COUNTA(J$56:J603)=J$54,J603,FORECAST(D603,OFFSET(M$56:M$254,MATCH(D603,L$56:L$254,1)-1,0,2), OFFSET(L$56:L$254,MATCH(D603,L$56:L$254,1)-1,0,2))),"")</f>
        <v>0</v>
      </c>
      <c r="L603" s="7" t="str">
        <f t="array" ref="L603">IFERROR(INDEX(D$56:D$1054,SMALL(IF(ISNUMBER(J$56:J$1054),ROW(D$1:D$999),""),ROW(D548))),"")</f>
        <v/>
      </c>
      <c r="M603" s="7" t="str">
        <f t="array" ref="M603">IFERROR(INDEX(J$56:J$1054,SMALL(IF(ISNUMBER(J$56:J$1054),ROW(J$1:J$999),""),ROW(J548))),"")</f>
        <v/>
      </c>
      <c r="N603" s="7"/>
      <c r="O603" s="7"/>
      <c r="P603" s="7"/>
      <c r="Q603" s="7">
        <f ca="1">IFERROR(IF(COUNTA(P$56:P603)=P$54,P603,FORECAST(D603,OFFSET(S$56:S$254,MATCH(D603,R$56:R$254,1)-1,0,2), OFFSET(R$56:R$254,MATCH(D603,R$56:R$254,1)-1,0,2))),"")</f>
        <v>0</v>
      </c>
      <c r="R603" s="7" t="str">
        <f t="array" ref="R603">IFERROR(INDEX(E$56:E$1054,SMALL(IF(ISNUMBER(P$56:P$1054),ROW(E$1:E$999),""),ROW(J548))),"")</f>
        <v/>
      </c>
      <c r="S603" s="7" t="str">
        <f t="array" ref="S603">IFERROR(INDEX(P$56:P$1054,SMALL(IF(ISNUMBER(P$56:P$1054),ROW(P$1:P$999),""),ROW(P548))),"")</f>
        <v/>
      </c>
      <c r="T603" s="7"/>
      <c r="U603" s="7"/>
      <c r="V603" s="7"/>
    </row>
    <row r="604" spans="1:22" x14ac:dyDescent="0.25">
      <c r="A604" s="6"/>
      <c r="B604" s="11"/>
      <c r="C604" s="12"/>
      <c r="D604" s="12"/>
      <c r="E604" s="8">
        <f t="shared" si="8"/>
        <v>0</v>
      </c>
      <c r="F604" s="10"/>
      <c r="G604" s="10"/>
      <c r="H604" s="9"/>
      <c r="I604" s="7"/>
      <c r="J604" s="7"/>
      <c r="K604" s="7">
        <f ca="1">IFERROR(IF(COUNTA(J$56:J604)=J$54,J604,FORECAST(D604,OFFSET(M$56:M$254,MATCH(D604,L$56:L$254,1)-1,0,2), OFFSET(L$56:L$254,MATCH(D604,L$56:L$254,1)-1,0,2))),"")</f>
        <v>0</v>
      </c>
      <c r="L604" s="7" t="str">
        <f t="array" ref="L604">IFERROR(INDEX(D$56:D$1054,SMALL(IF(ISNUMBER(J$56:J$1054),ROW(D$1:D$999),""),ROW(D549))),"")</f>
        <v/>
      </c>
      <c r="M604" s="7" t="str">
        <f t="array" ref="M604">IFERROR(INDEX(J$56:J$1054,SMALL(IF(ISNUMBER(J$56:J$1054),ROW(J$1:J$999),""),ROW(J549))),"")</f>
        <v/>
      </c>
      <c r="N604" s="7"/>
      <c r="O604" s="7"/>
      <c r="P604" s="7"/>
      <c r="Q604" s="7">
        <f ca="1">IFERROR(IF(COUNTA(P$56:P604)=P$54,P604,FORECAST(D604,OFFSET(S$56:S$254,MATCH(D604,R$56:R$254,1)-1,0,2), OFFSET(R$56:R$254,MATCH(D604,R$56:R$254,1)-1,0,2))),"")</f>
        <v>0</v>
      </c>
      <c r="R604" s="7" t="str">
        <f t="array" ref="R604">IFERROR(INDEX(E$56:E$1054,SMALL(IF(ISNUMBER(P$56:P$1054),ROW(E$1:E$999),""),ROW(J549))),"")</f>
        <v/>
      </c>
      <c r="S604" s="7" t="str">
        <f t="array" ref="S604">IFERROR(INDEX(P$56:P$1054,SMALL(IF(ISNUMBER(P$56:P$1054),ROW(P$1:P$999),""),ROW(P549))),"")</f>
        <v/>
      </c>
      <c r="T604" s="7"/>
      <c r="U604" s="7"/>
      <c r="V604" s="7"/>
    </row>
    <row r="605" spans="1:22" x14ac:dyDescent="0.25">
      <c r="A605" s="6"/>
      <c r="B605" s="11"/>
      <c r="C605" s="12"/>
      <c r="D605" s="12"/>
      <c r="E605" s="8">
        <f t="shared" si="8"/>
        <v>0</v>
      </c>
      <c r="F605" s="10"/>
      <c r="G605" s="10"/>
      <c r="H605" s="9"/>
      <c r="I605" s="7"/>
      <c r="J605" s="7"/>
      <c r="K605" s="7">
        <f ca="1">IFERROR(IF(COUNTA(J$56:J605)=J$54,J605,FORECAST(D605,OFFSET(M$56:M$254,MATCH(D605,L$56:L$254,1)-1,0,2), OFFSET(L$56:L$254,MATCH(D605,L$56:L$254,1)-1,0,2))),"")</f>
        <v>0</v>
      </c>
      <c r="L605" s="7" t="str">
        <f t="array" ref="L605">IFERROR(INDEX(D$56:D$1054,SMALL(IF(ISNUMBER(J$56:J$1054),ROW(D$1:D$999),""),ROW(D550))),"")</f>
        <v/>
      </c>
      <c r="M605" s="7" t="str">
        <f t="array" ref="M605">IFERROR(INDEX(J$56:J$1054,SMALL(IF(ISNUMBER(J$56:J$1054),ROW(J$1:J$999),""),ROW(J550))),"")</f>
        <v/>
      </c>
      <c r="N605" s="7"/>
      <c r="O605" s="7"/>
      <c r="P605" s="7"/>
      <c r="Q605" s="7">
        <f ca="1">IFERROR(IF(COUNTA(P$56:P605)=P$54,P605,FORECAST(D605,OFFSET(S$56:S$254,MATCH(D605,R$56:R$254,1)-1,0,2), OFFSET(R$56:R$254,MATCH(D605,R$56:R$254,1)-1,0,2))),"")</f>
        <v>0</v>
      </c>
      <c r="R605" s="7" t="str">
        <f t="array" ref="R605">IFERROR(INDEX(E$56:E$1054,SMALL(IF(ISNUMBER(P$56:P$1054),ROW(E$1:E$999),""),ROW(J550))),"")</f>
        <v/>
      </c>
      <c r="S605" s="7" t="str">
        <f t="array" ref="S605">IFERROR(INDEX(P$56:P$1054,SMALL(IF(ISNUMBER(P$56:P$1054),ROW(P$1:P$999),""),ROW(P550))),"")</f>
        <v/>
      </c>
      <c r="T605" s="7"/>
      <c r="U605" s="7"/>
      <c r="V605" s="7"/>
    </row>
    <row r="606" spans="1:22" x14ac:dyDescent="0.25">
      <c r="A606" s="6"/>
      <c r="B606" s="11"/>
      <c r="C606" s="12"/>
      <c r="D606" s="12"/>
      <c r="E606" s="8">
        <f t="shared" si="8"/>
        <v>0</v>
      </c>
      <c r="F606" s="10"/>
      <c r="G606" s="10"/>
      <c r="H606" s="9"/>
      <c r="I606" s="7"/>
      <c r="J606" s="7"/>
      <c r="K606" s="7">
        <f ca="1">IFERROR(IF(COUNTA(J$56:J606)=J$54,J606,FORECAST(D606,OFFSET(M$56:M$254,MATCH(D606,L$56:L$254,1)-1,0,2), OFFSET(L$56:L$254,MATCH(D606,L$56:L$254,1)-1,0,2))),"")</f>
        <v>0</v>
      </c>
      <c r="L606" s="7" t="str">
        <f t="array" ref="L606">IFERROR(INDEX(D$56:D$1054,SMALL(IF(ISNUMBER(J$56:J$1054),ROW(D$1:D$999),""),ROW(D551))),"")</f>
        <v/>
      </c>
      <c r="M606" s="7" t="str">
        <f t="array" ref="M606">IFERROR(INDEX(J$56:J$1054,SMALL(IF(ISNUMBER(J$56:J$1054),ROW(J$1:J$999),""),ROW(J551))),"")</f>
        <v/>
      </c>
      <c r="N606" s="7"/>
      <c r="O606" s="7"/>
      <c r="P606" s="7"/>
      <c r="Q606" s="7">
        <f ca="1">IFERROR(IF(COUNTA(P$56:P606)=P$54,P606,FORECAST(D606,OFFSET(S$56:S$254,MATCH(D606,R$56:R$254,1)-1,0,2), OFFSET(R$56:R$254,MATCH(D606,R$56:R$254,1)-1,0,2))),"")</f>
        <v>0</v>
      </c>
      <c r="R606" s="7" t="str">
        <f t="array" ref="R606">IFERROR(INDEX(E$56:E$1054,SMALL(IF(ISNUMBER(P$56:P$1054),ROW(E$1:E$999),""),ROW(J551))),"")</f>
        <v/>
      </c>
      <c r="S606" s="7" t="str">
        <f t="array" ref="S606">IFERROR(INDEX(P$56:P$1054,SMALL(IF(ISNUMBER(P$56:P$1054),ROW(P$1:P$999),""),ROW(P551))),"")</f>
        <v/>
      </c>
      <c r="T606" s="7"/>
      <c r="U606" s="7"/>
      <c r="V606" s="7"/>
    </row>
    <row r="607" spans="1:22" x14ac:dyDescent="0.25">
      <c r="A607" s="6"/>
      <c r="B607" s="11"/>
      <c r="C607" s="12"/>
      <c r="D607" s="12"/>
      <c r="E607" s="8">
        <f t="shared" si="8"/>
        <v>0</v>
      </c>
      <c r="F607" s="10"/>
      <c r="G607" s="10"/>
      <c r="H607" s="9"/>
      <c r="I607" s="7"/>
      <c r="J607" s="7"/>
      <c r="K607" s="7">
        <f ca="1">IFERROR(IF(COUNTA(J$56:J607)=J$54,J607,FORECAST(D607,OFFSET(M$56:M$254,MATCH(D607,L$56:L$254,1)-1,0,2), OFFSET(L$56:L$254,MATCH(D607,L$56:L$254,1)-1,0,2))),"")</f>
        <v>0</v>
      </c>
      <c r="L607" s="7" t="str">
        <f t="array" ref="L607">IFERROR(INDEX(D$56:D$1054,SMALL(IF(ISNUMBER(J$56:J$1054),ROW(D$1:D$999),""),ROW(D552))),"")</f>
        <v/>
      </c>
      <c r="M607" s="7" t="str">
        <f t="array" ref="M607">IFERROR(INDEX(J$56:J$1054,SMALL(IF(ISNUMBER(J$56:J$1054),ROW(J$1:J$999),""),ROW(J552))),"")</f>
        <v/>
      </c>
      <c r="N607" s="7"/>
      <c r="O607" s="7"/>
      <c r="P607" s="7"/>
      <c r="Q607" s="7">
        <f ca="1">IFERROR(IF(COUNTA(P$56:P607)=P$54,P607,FORECAST(D607,OFFSET(S$56:S$254,MATCH(D607,R$56:R$254,1)-1,0,2), OFFSET(R$56:R$254,MATCH(D607,R$56:R$254,1)-1,0,2))),"")</f>
        <v>0</v>
      </c>
      <c r="R607" s="7" t="str">
        <f t="array" ref="R607">IFERROR(INDEX(E$56:E$1054,SMALL(IF(ISNUMBER(P$56:P$1054),ROW(E$1:E$999),""),ROW(J552))),"")</f>
        <v/>
      </c>
      <c r="S607" s="7" t="str">
        <f t="array" ref="S607">IFERROR(INDEX(P$56:P$1054,SMALL(IF(ISNUMBER(P$56:P$1054),ROW(P$1:P$999),""),ROW(P552))),"")</f>
        <v/>
      </c>
      <c r="T607" s="7"/>
      <c r="U607" s="7"/>
      <c r="V607" s="7"/>
    </row>
    <row r="608" spans="1:22" x14ac:dyDescent="0.25">
      <c r="A608" s="6"/>
      <c r="B608" s="11"/>
      <c r="C608" s="12"/>
      <c r="D608" s="12"/>
      <c r="E608" s="8">
        <f t="shared" si="8"/>
        <v>0</v>
      </c>
      <c r="F608" s="10"/>
      <c r="G608" s="10"/>
      <c r="H608" s="9"/>
      <c r="I608" s="7"/>
      <c r="J608" s="7"/>
      <c r="K608" s="7">
        <f ca="1">IFERROR(IF(COUNTA(J$56:J608)=J$54,J608,FORECAST(D608,OFFSET(M$56:M$254,MATCH(D608,L$56:L$254,1)-1,0,2), OFFSET(L$56:L$254,MATCH(D608,L$56:L$254,1)-1,0,2))),"")</f>
        <v>0</v>
      </c>
      <c r="L608" s="7" t="str">
        <f t="array" ref="L608">IFERROR(INDEX(D$56:D$1054,SMALL(IF(ISNUMBER(J$56:J$1054),ROW(D$1:D$999),""),ROW(D553))),"")</f>
        <v/>
      </c>
      <c r="M608" s="7" t="str">
        <f t="array" ref="M608">IFERROR(INDEX(J$56:J$1054,SMALL(IF(ISNUMBER(J$56:J$1054),ROW(J$1:J$999),""),ROW(J553))),"")</f>
        <v/>
      </c>
      <c r="N608" s="7"/>
      <c r="O608" s="7"/>
      <c r="P608" s="7"/>
      <c r="Q608" s="7">
        <f ca="1">IFERROR(IF(COUNTA(P$56:P608)=P$54,P608,FORECAST(D608,OFFSET(S$56:S$254,MATCH(D608,R$56:R$254,1)-1,0,2), OFFSET(R$56:R$254,MATCH(D608,R$56:R$254,1)-1,0,2))),"")</f>
        <v>0</v>
      </c>
      <c r="R608" s="7" t="str">
        <f t="array" ref="R608">IFERROR(INDEX(E$56:E$1054,SMALL(IF(ISNUMBER(P$56:P$1054),ROW(E$1:E$999),""),ROW(J553))),"")</f>
        <v/>
      </c>
      <c r="S608" s="7" t="str">
        <f t="array" ref="S608">IFERROR(INDEX(P$56:P$1054,SMALL(IF(ISNUMBER(P$56:P$1054),ROW(P$1:P$999),""),ROW(P553))),"")</f>
        <v/>
      </c>
      <c r="T608" s="7"/>
      <c r="U608" s="7"/>
      <c r="V608" s="7"/>
    </row>
    <row r="609" spans="1:22" x14ac:dyDescent="0.25">
      <c r="A609" s="6"/>
      <c r="B609" s="11"/>
      <c r="C609" s="12"/>
      <c r="D609" s="12"/>
      <c r="E609" s="8">
        <f t="shared" si="8"/>
        <v>0</v>
      </c>
      <c r="F609" s="10"/>
      <c r="G609" s="10"/>
      <c r="H609" s="9"/>
      <c r="I609" s="7"/>
      <c r="J609" s="7"/>
      <c r="K609" s="7">
        <f ca="1">IFERROR(IF(COUNTA(J$56:J609)=J$54,J609,FORECAST(D609,OFFSET(M$56:M$254,MATCH(D609,L$56:L$254,1)-1,0,2), OFFSET(L$56:L$254,MATCH(D609,L$56:L$254,1)-1,0,2))),"")</f>
        <v>0</v>
      </c>
      <c r="L609" s="7" t="str">
        <f t="array" ref="L609">IFERROR(INDEX(D$56:D$1054,SMALL(IF(ISNUMBER(J$56:J$1054),ROW(D$1:D$999),""),ROW(D554))),"")</f>
        <v/>
      </c>
      <c r="M609" s="7" t="str">
        <f t="array" ref="M609">IFERROR(INDEX(J$56:J$1054,SMALL(IF(ISNUMBER(J$56:J$1054),ROW(J$1:J$999),""),ROW(J554))),"")</f>
        <v/>
      </c>
      <c r="N609" s="7"/>
      <c r="O609" s="7"/>
      <c r="P609" s="7"/>
      <c r="Q609" s="7">
        <f ca="1">IFERROR(IF(COUNTA(P$56:P609)=P$54,P609,FORECAST(D609,OFFSET(S$56:S$254,MATCH(D609,R$56:R$254,1)-1,0,2), OFFSET(R$56:R$254,MATCH(D609,R$56:R$254,1)-1,0,2))),"")</f>
        <v>0</v>
      </c>
      <c r="R609" s="7" t="str">
        <f t="array" ref="R609">IFERROR(INDEX(E$56:E$1054,SMALL(IF(ISNUMBER(P$56:P$1054),ROW(E$1:E$999),""),ROW(J554))),"")</f>
        <v/>
      </c>
      <c r="S609" s="7" t="str">
        <f t="array" ref="S609">IFERROR(INDEX(P$56:P$1054,SMALL(IF(ISNUMBER(P$56:P$1054),ROW(P$1:P$999),""),ROW(P554))),"")</f>
        <v/>
      </c>
      <c r="T609" s="7"/>
      <c r="U609" s="7"/>
      <c r="V609" s="7"/>
    </row>
    <row r="610" spans="1:22" x14ac:dyDescent="0.25">
      <c r="A610" s="6"/>
      <c r="B610" s="11"/>
      <c r="C610" s="12"/>
      <c r="D610" s="12"/>
      <c r="E610" s="8">
        <f t="shared" si="8"/>
        <v>0</v>
      </c>
      <c r="F610" s="10"/>
      <c r="G610" s="10"/>
      <c r="H610" s="9"/>
      <c r="I610" s="7"/>
      <c r="J610" s="7"/>
      <c r="K610" s="7">
        <f ca="1">IFERROR(IF(COUNTA(J$56:J610)=J$54,J610,FORECAST(D610,OFFSET(M$56:M$254,MATCH(D610,L$56:L$254,1)-1,0,2), OFFSET(L$56:L$254,MATCH(D610,L$56:L$254,1)-1,0,2))),"")</f>
        <v>0</v>
      </c>
      <c r="L610" s="7" t="str">
        <f t="array" ref="L610">IFERROR(INDEX(D$56:D$1054,SMALL(IF(ISNUMBER(J$56:J$1054),ROW(D$1:D$999),""),ROW(D555))),"")</f>
        <v/>
      </c>
      <c r="M610" s="7" t="str">
        <f t="array" ref="M610">IFERROR(INDEX(J$56:J$1054,SMALL(IF(ISNUMBER(J$56:J$1054),ROW(J$1:J$999),""),ROW(J555))),"")</f>
        <v/>
      </c>
      <c r="N610" s="7"/>
      <c r="O610" s="7"/>
      <c r="P610" s="7"/>
      <c r="Q610" s="7">
        <f ca="1">IFERROR(IF(COUNTA(P$56:P610)=P$54,P610,FORECAST(D610,OFFSET(S$56:S$254,MATCH(D610,R$56:R$254,1)-1,0,2), OFFSET(R$56:R$254,MATCH(D610,R$56:R$254,1)-1,0,2))),"")</f>
        <v>0</v>
      </c>
      <c r="R610" s="7" t="str">
        <f t="array" ref="R610">IFERROR(INDEX(E$56:E$1054,SMALL(IF(ISNUMBER(P$56:P$1054),ROW(E$1:E$999),""),ROW(J555))),"")</f>
        <v/>
      </c>
      <c r="S610" s="7" t="str">
        <f t="array" ref="S610">IFERROR(INDEX(P$56:P$1054,SMALL(IF(ISNUMBER(P$56:P$1054),ROW(P$1:P$999),""),ROW(P555))),"")</f>
        <v/>
      </c>
      <c r="T610" s="7"/>
      <c r="U610" s="7"/>
      <c r="V610" s="7"/>
    </row>
    <row r="611" spans="1:22" x14ac:dyDescent="0.25">
      <c r="A611" s="6"/>
      <c r="B611" s="11"/>
      <c r="C611" s="12"/>
      <c r="D611" s="12"/>
      <c r="E611" s="8">
        <f t="shared" si="8"/>
        <v>0</v>
      </c>
      <c r="F611" s="10"/>
      <c r="G611" s="10"/>
      <c r="H611" s="9"/>
      <c r="I611" s="7"/>
      <c r="J611" s="7"/>
      <c r="K611" s="7">
        <f ca="1">IFERROR(IF(COUNTA(J$56:J611)=J$54,J611,FORECAST(D611,OFFSET(M$56:M$254,MATCH(D611,L$56:L$254,1)-1,0,2), OFFSET(L$56:L$254,MATCH(D611,L$56:L$254,1)-1,0,2))),"")</f>
        <v>0</v>
      </c>
      <c r="L611" s="7" t="str">
        <f t="array" ref="L611">IFERROR(INDEX(D$56:D$1054,SMALL(IF(ISNUMBER(J$56:J$1054),ROW(D$1:D$999),""),ROW(D556))),"")</f>
        <v/>
      </c>
      <c r="M611" s="7" t="str">
        <f t="array" ref="M611">IFERROR(INDEX(J$56:J$1054,SMALL(IF(ISNUMBER(J$56:J$1054),ROW(J$1:J$999),""),ROW(J556))),"")</f>
        <v/>
      </c>
      <c r="N611" s="7"/>
      <c r="O611" s="7"/>
      <c r="P611" s="7"/>
      <c r="Q611" s="7">
        <f ca="1">IFERROR(IF(COUNTA(P$56:P611)=P$54,P611,FORECAST(D611,OFFSET(S$56:S$254,MATCH(D611,R$56:R$254,1)-1,0,2), OFFSET(R$56:R$254,MATCH(D611,R$56:R$254,1)-1,0,2))),"")</f>
        <v>0</v>
      </c>
      <c r="R611" s="7" t="str">
        <f t="array" ref="R611">IFERROR(INDEX(E$56:E$1054,SMALL(IF(ISNUMBER(P$56:P$1054),ROW(E$1:E$999),""),ROW(J556))),"")</f>
        <v/>
      </c>
      <c r="S611" s="7" t="str">
        <f t="array" ref="S611">IFERROR(INDEX(P$56:P$1054,SMALL(IF(ISNUMBER(P$56:P$1054),ROW(P$1:P$999),""),ROW(P556))),"")</f>
        <v/>
      </c>
      <c r="T611" s="7"/>
      <c r="U611" s="7"/>
      <c r="V611" s="7"/>
    </row>
    <row r="612" spans="1:22" x14ac:dyDescent="0.25">
      <c r="A612" s="6"/>
      <c r="B612" s="11"/>
      <c r="C612" s="12"/>
      <c r="D612" s="12"/>
      <c r="E612" s="8">
        <f t="shared" si="8"/>
        <v>0</v>
      </c>
      <c r="F612" s="10"/>
      <c r="G612" s="10"/>
      <c r="H612" s="9"/>
      <c r="I612" s="7"/>
      <c r="J612" s="7"/>
      <c r="K612" s="7">
        <f ca="1">IFERROR(IF(COUNTA(J$56:J612)=J$54,J612,FORECAST(D612,OFFSET(M$56:M$254,MATCH(D612,L$56:L$254,1)-1,0,2), OFFSET(L$56:L$254,MATCH(D612,L$56:L$254,1)-1,0,2))),"")</f>
        <v>0</v>
      </c>
      <c r="L612" s="7" t="str">
        <f t="array" ref="L612">IFERROR(INDEX(D$56:D$1054,SMALL(IF(ISNUMBER(J$56:J$1054),ROW(D$1:D$999),""),ROW(D557))),"")</f>
        <v/>
      </c>
      <c r="M612" s="7" t="str">
        <f t="array" ref="M612">IFERROR(INDEX(J$56:J$1054,SMALL(IF(ISNUMBER(J$56:J$1054),ROW(J$1:J$999),""),ROW(J557))),"")</f>
        <v/>
      </c>
      <c r="N612" s="7"/>
      <c r="O612" s="7"/>
      <c r="P612" s="7"/>
      <c r="Q612" s="7">
        <f ca="1">IFERROR(IF(COUNTA(P$56:P612)=P$54,P612,FORECAST(D612,OFFSET(S$56:S$254,MATCH(D612,R$56:R$254,1)-1,0,2), OFFSET(R$56:R$254,MATCH(D612,R$56:R$254,1)-1,0,2))),"")</f>
        <v>0</v>
      </c>
      <c r="R612" s="7" t="str">
        <f t="array" ref="R612">IFERROR(INDEX(E$56:E$1054,SMALL(IF(ISNUMBER(P$56:P$1054),ROW(E$1:E$999),""),ROW(J557))),"")</f>
        <v/>
      </c>
      <c r="S612" s="7" t="str">
        <f t="array" ref="S612">IFERROR(INDEX(P$56:P$1054,SMALL(IF(ISNUMBER(P$56:P$1054),ROW(P$1:P$999),""),ROW(P557))),"")</f>
        <v/>
      </c>
      <c r="T612" s="7"/>
      <c r="U612" s="7"/>
      <c r="V612" s="7"/>
    </row>
    <row r="613" spans="1:22" x14ac:dyDescent="0.25">
      <c r="A613" s="6"/>
      <c r="B613" s="11"/>
      <c r="C613" s="12"/>
      <c r="D613" s="12"/>
      <c r="E613" s="8">
        <f t="shared" si="8"/>
        <v>0</v>
      </c>
      <c r="F613" s="10"/>
      <c r="G613" s="10"/>
      <c r="H613" s="9"/>
      <c r="I613" s="7"/>
      <c r="J613" s="7"/>
      <c r="K613" s="7">
        <f ca="1">IFERROR(IF(COUNTA(J$56:J613)=J$54,J613,FORECAST(D613,OFFSET(M$56:M$254,MATCH(D613,L$56:L$254,1)-1,0,2), OFFSET(L$56:L$254,MATCH(D613,L$56:L$254,1)-1,0,2))),"")</f>
        <v>0</v>
      </c>
      <c r="L613" s="7" t="str">
        <f t="array" ref="L613">IFERROR(INDEX(D$56:D$1054,SMALL(IF(ISNUMBER(J$56:J$1054),ROW(D$1:D$999),""),ROW(D558))),"")</f>
        <v/>
      </c>
      <c r="M613" s="7" t="str">
        <f t="array" ref="M613">IFERROR(INDEX(J$56:J$1054,SMALL(IF(ISNUMBER(J$56:J$1054),ROW(J$1:J$999),""),ROW(J558))),"")</f>
        <v/>
      </c>
      <c r="N613" s="7"/>
      <c r="O613" s="7"/>
      <c r="P613" s="7"/>
      <c r="Q613" s="7">
        <f ca="1">IFERROR(IF(COUNTA(P$56:P613)=P$54,P613,FORECAST(D613,OFFSET(S$56:S$254,MATCH(D613,R$56:R$254,1)-1,0,2), OFFSET(R$56:R$254,MATCH(D613,R$56:R$254,1)-1,0,2))),"")</f>
        <v>0</v>
      </c>
      <c r="R613" s="7" t="str">
        <f t="array" ref="R613">IFERROR(INDEX(E$56:E$1054,SMALL(IF(ISNUMBER(P$56:P$1054),ROW(E$1:E$999),""),ROW(J558))),"")</f>
        <v/>
      </c>
      <c r="S613" s="7" t="str">
        <f t="array" ref="S613">IFERROR(INDEX(P$56:P$1054,SMALL(IF(ISNUMBER(P$56:P$1054),ROW(P$1:P$999),""),ROW(P558))),"")</f>
        <v/>
      </c>
      <c r="T613" s="7"/>
      <c r="U613" s="7"/>
      <c r="V613" s="7"/>
    </row>
    <row r="614" spans="1:22" x14ac:dyDescent="0.25">
      <c r="A614" s="6"/>
      <c r="B614" s="11"/>
      <c r="C614" s="12"/>
      <c r="D614" s="12"/>
      <c r="E614" s="8">
        <f t="shared" si="8"/>
        <v>0</v>
      </c>
      <c r="F614" s="10"/>
      <c r="G614" s="10"/>
      <c r="H614" s="9"/>
      <c r="I614" s="7"/>
      <c r="J614" s="7"/>
      <c r="K614" s="7">
        <f ca="1">IFERROR(IF(COUNTA(J$56:J614)=J$54,J614,FORECAST(D614,OFFSET(M$56:M$254,MATCH(D614,L$56:L$254,1)-1,0,2), OFFSET(L$56:L$254,MATCH(D614,L$56:L$254,1)-1,0,2))),"")</f>
        <v>0</v>
      </c>
      <c r="L614" s="7" t="str">
        <f t="array" ref="L614">IFERROR(INDEX(D$56:D$1054,SMALL(IF(ISNUMBER(J$56:J$1054),ROW(D$1:D$999),""),ROW(D559))),"")</f>
        <v/>
      </c>
      <c r="M614" s="7" t="str">
        <f t="array" ref="M614">IFERROR(INDEX(J$56:J$1054,SMALL(IF(ISNUMBER(J$56:J$1054),ROW(J$1:J$999),""),ROW(J559))),"")</f>
        <v/>
      </c>
      <c r="N614" s="7"/>
      <c r="O614" s="7"/>
      <c r="P614" s="7"/>
      <c r="Q614" s="7">
        <f ca="1">IFERROR(IF(COUNTA(P$56:P614)=P$54,P614,FORECAST(D614,OFFSET(S$56:S$254,MATCH(D614,R$56:R$254,1)-1,0,2), OFFSET(R$56:R$254,MATCH(D614,R$56:R$254,1)-1,0,2))),"")</f>
        <v>0</v>
      </c>
      <c r="R614" s="7" t="str">
        <f t="array" ref="R614">IFERROR(INDEX(E$56:E$1054,SMALL(IF(ISNUMBER(P$56:P$1054),ROW(E$1:E$999),""),ROW(J559))),"")</f>
        <v/>
      </c>
      <c r="S614" s="7" t="str">
        <f t="array" ref="S614">IFERROR(INDEX(P$56:P$1054,SMALL(IF(ISNUMBER(P$56:P$1054),ROW(P$1:P$999),""),ROW(P559))),"")</f>
        <v/>
      </c>
      <c r="T614" s="7"/>
      <c r="U614" s="7"/>
      <c r="V614" s="7"/>
    </row>
    <row r="615" spans="1:22" x14ac:dyDescent="0.25">
      <c r="A615" s="6"/>
      <c r="B615" s="11"/>
      <c r="C615" s="12"/>
      <c r="D615" s="12"/>
      <c r="E615" s="8">
        <f t="shared" si="8"/>
        <v>0</v>
      </c>
      <c r="F615" s="10"/>
      <c r="G615" s="10"/>
      <c r="H615" s="9"/>
      <c r="I615" s="7"/>
      <c r="J615" s="7"/>
      <c r="K615" s="7">
        <f ca="1">IFERROR(IF(COUNTA(J$56:J615)=J$54,J615,FORECAST(D615,OFFSET(M$56:M$254,MATCH(D615,L$56:L$254,1)-1,0,2), OFFSET(L$56:L$254,MATCH(D615,L$56:L$254,1)-1,0,2))),"")</f>
        <v>0</v>
      </c>
      <c r="L615" s="7" t="str">
        <f t="array" ref="L615">IFERROR(INDEX(D$56:D$1054,SMALL(IF(ISNUMBER(J$56:J$1054),ROW(D$1:D$999),""),ROW(D560))),"")</f>
        <v/>
      </c>
      <c r="M615" s="7" t="str">
        <f t="array" ref="M615">IFERROR(INDEX(J$56:J$1054,SMALL(IF(ISNUMBER(J$56:J$1054),ROW(J$1:J$999),""),ROW(J560))),"")</f>
        <v/>
      </c>
      <c r="N615" s="7"/>
      <c r="O615" s="7"/>
      <c r="P615" s="7"/>
      <c r="Q615" s="7">
        <f ca="1">IFERROR(IF(COUNTA(P$56:P615)=P$54,P615,FORECAST(D615,OFFSET(S$56:S$254,MATCH(D615,R$56:R$254,1)-1,0,2), OFFSET(R$56:R$254,MATCH(D615,R$56:R$254,1)-1,0,2))),"")</f>
        <v>0</v>
      </c>
      <c r="R615" s="7" t="str">
        <f t="array" ref="R615">IFERROR(INDEX(E$56:E$1054,SMALL(IF(ISNUMBER(P$56:P$1054),ROW(E$1:E$999),""),ROW(J560))),"")</f>
        <v/>
      </c>
      <c r="S615" s="7" t="str">
        <f t="array" ref="S615">IFERROR(INDEX(P$56:P$1054,SMALL(IF(ISNUMBER(P$56:P$1054),ROW(P$1:P$999),""),ROW(P560))),"")</f>
        <v/>
      </c>
      <c r="T615" s="7"/>
      <c r="U615" s="7"/>
      <c r="V615" s="7"/>
    </row>
    <row r="616" spans="1:22" x14ac:dyDescent="0.25">
      <c r="A616" s="6"/>
      <c r="B616" s="11"/>
      <c r="C616" s="12"/>
      <c r="D616" s="12"/>
      <c r="E616" s="8">
        <f t="shared" si="8"/>
        <v>0</v>
      </c>
      <c r="F616" s="10"/>
      <c r="G616" s="10"/>
      <c r="H616" s="9"/>
      <c r="I616" s="7"/>
      <c r="J616" s="7"/>
      <c r="K616" s="7">
        <f ca="1">IFERROR(IF(COUNTA(J$56:J616)=J$54,J616,FORECAST(D616,OFFSET(M$56:M$254,MATCH(D616,L$56:L$254,1)-1,0,2), OFFSET(L$56:L$254,MATCH(D616,L$56:L$254,1)-1,0,2))),"")</f>
        <v>0</v>
      </c>
      <c r="L616" s="7" t="str">
        <f t="array" ref="L616">IFERROR(INDEX(D$56:D$1054,SMALL(IF(ISNUMBER(J$56:J$1054),ROW(D$1:D$999),""),ROW(D561))),"")</f>
        <v/>
      </c>
      <c r="M616" s="7" t="str">
        <f t="array" ref="M616">IFERROR(INDEX(J$56:J$1054,SMALL(IF(ISNUMBER(J$56:J$1054),ROW(J$1:J$999),""),ROW(J561))),"")</f>
        <v/>
      </c>
      <c r="N616" s="7"/>
      <c r="O616" s="7"/>
      <c r="P616" s="7"/>
      <c r="Q616" s="7">
        <f ca="1">IFERROR(IF(COUNTA(P$56:P616)=P$54,P616,FORECAST(D616,OFFSET(S$56:S$254,MATCH(D616,R$56:R$254,1)-1,0,2), OFFSET(R$56:R$254,MATCH(D616,R$56:R$254,1)-1,0,2))),"")</f>
        <v>0</v>
      </c>
      <c r="R616" s="7" t="str">
        <f t="array" ref="R616">IFERROR(INDEX(E$56:E$1054,SMALL(IF(ISNUMBER(P$56:P$1054),ROW(E$1:E$999),""),ROW(J561))),"")</f>
        <v/>
      </c>
      <c r="S616" s="7" t="str">
        <f t="array" ref="S616">IFERROR(INDEX(P$56:P$1054,SMALL(IF(ISNUMBER(P$56:P$1054),ROW(P$1:P$999),""),ROW(P561))),"")</f>
        <v/>
      </c>
      <c r="T616" s="7"/>
      <c r="U616" s="7"/>
      <c r="V616" s="7"/>
    </row>
    <row r="617" spans="1:22" x14ac:dyDescent="0.25">
      <c r="A617" s="6"/>
      <c r="B617" s="11"/>
      <c r="C617" s="12"/>
      <c r="D617" s="12"/>
      <c r="E617" s="8">
        <f t="shared" si="8"/>
        <v>0</v>
      </c>
      <c r="F617" s="10"/>
      <c r="G617" s="10"/>
      <c r="H617" s="9"/>
      <c r="I617" s="7"/>
      <c r="J617" s="7"/>
      <c r="K617" s="7">
        <f ca="1">IFERROR(IF(COUNTA(J$56:J617)=J$54,J617,FORECAST(D617,OFFSET(M$56:M$254,MATCH(D617,L$56:L$254,1)-1,0,2), OFFSET(L$56:L$254,MATCH(D617,L$56:L$254,1)-1,0,2))),"")</f>
        <v>0</v>
      </c>
      <c r="L617" s="7" t="str">
        <f t="array" ref="L617">IFERROR(INDEX(D$56:D$1054,SMALL(IF(ISNUMBER(J$56:J$1054),ROW(D$1:D$999),""),ROW(D562))),"")</f>
        <v/>
      </c>
      <c r="M617" s="7" t="str">
        <f t="array" ref="M617">IFERROR(INDEX(J$56:J$1054,SMALL(IF(ISNUMBER(J$56:J$1054),ROW(J$1:J$999),""),ROW(J562))),"")</f>
        <v/>
      </c>
      <c r="N617" s="7"/>
      <c r="O617" s="7"/>
      <c r="P617" s="7"/>
      <c r="Q617" s="7">
        <f ca="1">IFERROR(IF(COUNTA(P$56:P617)=P$54,P617,FORECAST(D617,OFFSET(S$56:S$254,MATCH(D617,R$56:R$254,1)-1,0,2), OFFSET(R$56:R$254,MATCH(D617,R$56:R$254,1)-1,0,2))),"")</f>
        <v>0</v>
      </c>
      <c r="R617" s="7" t="str">
        <f t="array" ref="R617">IFERROR(INDEX(E$56:E$1054,SMALL(IF(ISNUMBER(P$56:P$1054),ROW(E$1:E$999),""),ROW(J562))),"")</f>
        <v/>
      </c>
      <c r="S617" s="7" t="str">
        <f t="array" ref="S617">IFERROR(INDEX(P$56:P$1054,SMALL(IF(ISNUMBER(P$56:P$1054),ROW(P$1:P$999),""),ROW(P562))),"")</f>
        <v/>
      </c>
      <c r="T617" s="7"/>
      <c r="U617" s="7"/>
      <c r="V617" s="7"/>
    </row>
    <row r="618" spans="1:22" x14ac:dyDescent="0.25">
      <c r="A618" s="6"/>
      <c r="B618" s="11"/>
      <c r="C618" s="12"/>
      <c r="D618" s="12"/>
      <c r="E618" s="8">
        <f t="shared" si="8"/>
        <v>0</v>
      </c>
      <c r="F618" s="10"/>
      <c r="G618" s="10"/>
      <c r="H618" s="9"/>
      <c r="I618" s="7"/>
      <c r="J618" s="7"/>
      <c r="K618" s="7">
        <f ca="1">IFERROR(IF(COUNTA(J$56:J618)=J$54,J618,FORECAST(D618,OFFSET(M$56:M$254,MATCH(D618,L$56:L$254,1)-1,0,2), OFFSET(L$56:L$254,MATCH(D618,L$56:L$254,1)-1,0,2))),"")</f>
        <v>0</v>
      </c>
      <c r="L618" s="7" t="str">
        <f t="array" ref="L618">IFERROR(INDEX(D$56:D$1054,SMALL(IF(ISNUMBER(J$56:J$1054),ROW(D$1:D$999),""),ROW(D563))),"")</f>
        <v/>
      </c>
      <c r="M618" s="7" t="str">
        <f t="array" ref="M618">IFERROR(INDEX(J$56:J$1054,SMALL(IF(ISNUMBER(J$56:J$1054),ROW(J$1:J$999),""),ROW(J563))),"")</f>
        <v/>
      </c>
      <c r="N618" s="7"/>
      <c r="O618" s="7"/>
      <c r="P618" s="7"/>
      <c r="Q618" s="7">
        <f ca="1">IFERROR(IF(COUNTA(P$56:P618)=P$54,P618,FORECAST(D618,OFFSET(S$56:S$254,MATCH(D618,R$56:R$254,1)-1,0,2), OFFSET(R$56:R$254,MATCH(D618,R$56:R$254,1)-1,0,2))),"")</f>
        <v>0</v>
      </c>
      <c r="R618" s="7" t="str">
        <f t="array" ref="R618">IFERROR(INDEX(E$56:E$1054,SMALL(IF(ISNUMBER(P$56:P$1054),ROW(E$1:E$999),""),ROW(J563))),"")</f>
        <v/>
      </c>
      <c r="S618" s="7" t="str">
        <f t="array" ref="S618">IFERROR(INDEX(P$56:P$1054,SMALL(IF(ISNUMBER(P$56:P$1054),ROW(P$1:P$999),""),ROW(P563))),"")</f>
        <v/>
      </c>
      <c r="T618" s="7"/>
      <c r="U618" s="7"/>
      <c r="V618" s="7"/>
    </row>
    <row r="619" spans="1:22" x14ac:dyDescent="0.25">
      <c r="A619" s="6"/>
      <c r="B619" s="11"/>
      <c r="C619" s="12"/>
      <c r="D619" s="12"/>
      <c r="E619" s="8">
        <f t="shared" si="8"/>
        <v>0</v>
      </c>
      <c r="F619" s="10"/>
      <c r="G619" s="10"/>
      <c r="H619" s="9"/>
      <c r="I619" s="7"/>
      <c r="J619" s="7"/>
      <c r="K619" s="7">
        <f ca="1">IFERROR(IF(COUNTA(J$56:J619)=J$54,J619,FORECAST(D619,OFFSET(M$56:M$254,MATCH(D619,L$56:L$254,1)-1,0,2), OFFSET(L$56:L$254,MATCH(D619,L$56:L$254,1)-1,0,2))),"")</f>
        <v>0</v>
      </c>
      <c r="L619" s="7" t="str">
        <f t="array" ref="L619">IFERROR(INDEX(D$56:D$1054,SMALL(IF(ISNUMBER(J$56:J$1054),ROW(D$1:D$999),""),ROW(D564))),"")</f>
        <v/>
      </c>
      <c r="M619" s="7" t="str">
        <f t="array" ref="M619">IFERROR(INDEX(J$56:J$1054,SMALL(IF(ISNUMBER(J$56:J$1054),ROW(J$1:J$999),""),ROW(J564))),"")</f>
        <v/>
      </c>
      <c r="N619" s="7"/>
      <c r="O619" s="7"/>
      <c r="P619" s="7"/>
      <c r="Q619" s="7">
        <f ca="1">IFERROR(IF(COUNTA(P$56:P619)=P$54,P619,FORECAST(D619,OFFSET(S$56:S$254,MATCH(D619,R$56:R$254,1)-1,0,2), OFFSET(R$56:R$254,MATCH(D619,R$56:R$254,1)-1,0,2))),"")</f>
        <v>0</v>
      </c>
      <c r="R619" s="7" t="str">
        <f t="array" ref="R619">IFERROR(INDEX(E$56:E$1054,SMALL(IF(ISNUMBER(P$56:P$1054),ROW(E$1:E$999),""),ROW(J564))),"")</f>
        <v/>
      </c>
      <c r="S619" s="7" t="str">
        <f t="array" ref="S619">IFERROR(INDEX(P$56:P$1054,SMALL(IF(ISNUMBER(P$56:P$1054),ROW(P$1:P$999),""),ROW(P564))),"")</f>
        <v/>
      </c>
      <c r="T619" s="7"/>
      <c r="U619" s="7"/>
      <c r="V619" s="7"/>
    </row>
    <row r="620" spans="1:22" x14ac:dyDescent="0.25">
      <c r="A620" s="6"/>
      <c r="B620" s="11"/>
      <c r="C620" s="12"/>
      <c r="D620" s="12"/>
      <c r="E620" s="8">
        <f t="shared" si="8"/>
        <v>0</v>
      </c>
      <c r="F620" s="10"/>
      <c r="G620" s="10"/>
      <c r="H620" s="9"/>
      <c r="I620" s="7"/>
      <c r="J620" s="7"/>
      <c r="K620" s="7">
        <f ca="1">IFERROR(IF(COUNTA(J$56:J620)=J$54,J620,FORECAST(D620,OFFSET(M$56:M$254,MATCH(D620,L$56:L$254,1)-1,0,2), OFFSET(L$56:L$254,MATCH(D620,L$56:L$254,1)-1,0,2))),"")</f>
        <v>0</v>
      </c>
      <c r="L620" s="7" t="str">
        <f t="array" ref="L620">IFERROR(INDEX(D$56:D$1054,SMALL(IF(ISNUMBER(J$56:J$1054),ROW(D$1:D$999),""),ROW(D565))),"")</f>
        <v/>
      </c>
      <c r="M620" s="7" t="str">
        <f t="array" ref="M620">IFERROR(INDEX(J$56:J$1054,SMALL(IF(ISNUMBER(J$56:J$1054),ROW(J$1:J$999),""),ROW(J565))),"")</f>
        <v/>
      </c>
      <c r="N620" s="7"/>
      <c r="O620" s="7"/>
      <c r="P620" s="7"/>
      <c r="Q620" s="7">
        <f ca="1">IFERROR(IF(COUNTA(P$56:P620)=P$54,P620,FORECAST(D620,OFFSET(S$56:S$254,MATCH(D620,R$56:R$254,1)-1,0,2), OFFSET(R$56:R$254,MATCH(D620,R$56:R$254,1)-1,0,2))),"")</f>
        <v>0</v>
      </c>
      <c r="R620" s="7" t="str">
        <f t="array" ref="R620">IFERROR(INDEX(E$56:E$1054,SMALL(IF(ISNUMBER(P$56:P$1054),ROW(E$1:E$999),""),ROW(J565))),"")</f>
        <v/>
      </c>
      <c r="S620" s="7" t="str">
        <f t="array" ref="S620">IFERROR(INDEX(P$56:P$1054,SMALL(IF(ISNUMBER(P$56:P$1054),ROW(P$1:P$999),""),ROW(P565))),"")</f>
        <v/>
      </c>
      <c r="T620" s="7"/>
      <c r="U620" s="7"/>
      <c r="V620" s="7"/>
    </row>
    <row r="621" spans="1:22" x14ac:dyDescent="0.25">
      <c r="A621" s="6"/>
      <c r="B621" s="11"/>
      <c r="C621" s="12"/>
      <c r="D621" s="12"/>
      <c r="E621" s="8">
        <f t="shared" si="8"/>
        <v>0</v>
      </c>
      <c r="F621" s="10"/>
      <c r="G621" s="10"/>
      <c r="H621" s="9"/>
      <c r="I621" s="7"/>
      <c r="J621" s="7"/>
      <c r="K621" s="7">
        <f ca="1">IFERROR(IF(COUNTA(J$56:J621)=J$54,J621,FORECAST(D621,OFFSET(M$56:M$254,MATCH(D621,L$56:L$254,1)-1,0,2), OFFSET(L$56:L$254,MATCH(D621,L$56:L$254,1)-1,0,2))),"")</f>
        <v>0</v>
      </c>
      <c r="L621" s="7" t="str">
        <f t="array" ref="L621">IFERROR(INDEX(D$56:D$1054,SMALL(IF(ISNUMBER(J$56:J$1054),ROW(D$1:D$999),""),ROW(D566))),"")</f>
        <v/>
      </c>
      <c r="M621" s="7" t="str">
        <f t="array" ref="M621">IFERROR(INDEX(J$56:J$1054,SMALL(IF(ISNUMBER(J$56:J$1054),ROW(J$1:J$999),""),ROW(J566))),"")</f>
        <v/>
      </c>
      <c r="N621" s="7"/>
      <c r="O621" s="7"/>
      <c r="P621" s="7"/>
      <c r="Q621" s="7">
        <f ca="1">IFERROR(IF(COUNTA(P$56:P621)=P$54,P621,FORECAST(D621,OFFSET(S$56:S$254,MATCH(D621,R$56:R$254,1)-1,0,2), OFFSET(R$56:R$254,MATCH(D621,R$56:R$254,1)-1,0,2))),"")</f>
        <v>0</v>
      </c>
      <c r="R621" s="7" t="str">
        <f t="array" ref="R621">IFERROR(INDEX(E$56:E$1054,SMALL(IF(ISNUMBER(P$56:P$1054),ROW(E$1:E$999),""),ROW(J566))),"")</f>
        <v/>
      </c>
      <c r="S621" s="7" t="str">
        <f t="array" ref="S621">IFERROR(INDEX(P$56:P$1054,SMALL(IF(ISNUMBER(P$56:P$1054),ROW(P$1:P$999),""),ROW(P566))),"")</f>
        <v/>
      </c>
      <c r="T621" s="7"/>
      <c r="U621" s="7"/>
      <c r="V621" s="7"/>
    </row>
    <row r="622" spans="1:22" x14ac:dyDescent="0.25">
      <c r="A622" s="6"/>
      <c r="B622" s="11"/>
      <c r="C622" s="12"/>
      <c r="D622" s="12"/>
      <c r="E622" s="8">
        <f t="shared" si="8"/>
        <v>0</v>
      </c>
      <c r="F622" s="10"/>
      <c r="G622" s="10"/>
      <c r="H622" s="9"/>
      <c r="I622" s="7"/>
      <c r="J622" s="7"/>
      <c r="K622" s="7">
        <f ca="1">IFERROR(IF(COUNTA(J$56:J622)=J$54,J622,FORECAST(D622,OFFSET(M$56:M$254,MATCH(D622,L$56:L$254,1)-1,0,2), OFFSET(L$56:L$254,MATCH(D622,L$56:L$254,1)-1,0,2))),"")</f>
        <v>0</v>
      </c>
      <c r="L622" s="7" t="str">
        <f t="array" ref="L622">IFERROR(INDEX(D$56:D$1054,SMALL(IF(ISNUMBER(J$56:J$1054),ROW(D$1:D$999),""),ROW(D567))),"")</f>
        <v/>
      </c>
      <c r="M622" s="7" t="str">
        <f t="array" ref="M622">IFERROR(INDEX(J$56:J$1054,SMALL(IF(ISNUMBER(J$56:J$1054),ROW(J$1:J$999),""),ROW(J567))),"")</f>
        <v/>
      </c>
      <c r="N622" s="7"/>
      <c r="O622" s="7"/>
      <c r="P622" s="7"/>
      <c r="Q622" s="7">
        <f ca="1">IFERROR(IF(COUNTA(P$56:P622)=P$54,P622,FORECAST(D622,OFFSET(S$56:S$254,MATCH(D622,R$56:R$254,1)-1,0,2), OFFSET(R$56:R$254,MATCH(D622,R$56:R$254,1)-1,0,2))),"")</f>
        <v>0</v>
      </c>
      <c r="R622" s="7" t="str">
        <f t="array" ref="R622">IFERROR(INDEX(E$56:E$1054,SMALL(IF(ISNUMBER(P$56:P$1054),ROW(E$1:E$999),""),ROW(J567))),"")</f>
        <v/>
      </c>
      <c r="S622" s="7" t="str">
        <f t="array" ref="S622">IFERROR(INDEX(P$56:P$1054,SMALL(IF(ISNUMBER(P$56:P$1054),ROW(P$1:P$999),""),ROW(P567))),"")</f>
        <v/>
      </c>
      <c r="T622" s="7"/>
      <c r="U622" s="7"/>
      <c r="V622" s="7"/>
    </row>
    <row r="623" spans="1:22" x14ac:dyDescent="0.25">
      <c r="A623" s="6"/>
      <c r="B623" s="11"/>
      <c r="C623" s="12"/>
      <c r="D623" s="12"/>
      <c r="E623" s="8">
        <f t="shared" si="8"/>
        <v>0</v>
      </c>
      <c r="F623" s="10"/>
      <c r="G623" s="10"/>
      <c r="H623" s="9"/>
      <c r="I623" s="7"/>
      <c r="J623" s="7"/>
      <c r="K623" s="7">
        <f ca="1">IFERROR(IF(COUNTA(J$56:J623)=J$54,J623,FORECAST(D623,OFFSET(M$56:M$254,MATCH(D623,L$56:L$254,1)-1,0,2), OFFSET(L$56:L$254,MATCH(D623,L$56:L$254,1)-1,0,2))),"")</f>
        <v>0</v>
      </c>
      <c r="L623" s="7" t="str">
        <f t="array" ref="L623">IFERROR(INDEX(D$56:D$1054,SMALL(IF(ISNUMBER(J$56:J$1054),ROW(D$1:D$999),""),ROW(D568))),"")</f>
        <v/>
      </c>
      <c r="M623" s="7" t="str">
        <f t="array" ref="M623">IFERROR(INDEX(J$56:J$1054,SMALL(IF(ISNUMBER(J$56:J$1054),ROW(J$1:J$999),""),ROW(J568))),"")</f>
        <v/>
      </c>
      <c r="N623" s="7"/>
      <c r="O623" s="7"/>
      <c r="P623" s="7"/>
      <c r="Q623" s="7">
        <f ca="1">IFERROR(IF(COUNTA(P$56:P623)=P$54,P623,FORECAST(D623,OFFSET(S$56:S$254,MATCH(D623,R$56:R$254,1)-1,0,2), OFFSET(R$56:R$254,MATCH(D623,R$56:R$254,1)-1,0,2))),"")</f>
        <v>0</v>
      </c>
      <c r="R623" s="7" t="str">
        <f t="array" ref="R623">IFERROR(INDEX(E$56:E$1054,SMALL(IF(ISNUMBER(P$56:P$1054),ROW(E$1:E$999),""),ROW(J568))),"")</f>
        <v/>
      </c>
      <c r="S623" s="7" t="str">
        <f t="array" ref="S623">IFERROR(INDEX(P$56:P$1054,SMALL(IF(ISNUMBER(P$56:P$1054),ROW(P$1:P$999),""),ROW(P568))),"")</f>
        <v/>
      </c>
      <c r="T623" s="7"/>
      <c r="U623" s="7"/>
      <c r="V623" s="7"/>
    </row>
    <row r="624" spans="1:22" x14ac:dyDescent="0.25">
      <c r="A624" s="6"/>
      <c r="B624" s="11"/>
      <c r="C624" s="12"/>
      <c r="D624" s="12"/>
      <c r="E624" s="8">
        <f t="shared" si="8"/>
        <v>0</v>
      </c>
      <c r="F624" s="10"/>
      <c r="G624" s="10"/>
      <c r="H624" s="9"/>
      <c r="I624" s="7"/>
      <c r="J624" s="7"/>
      <c r="K624" s="7">
        <f ca="1">IFERROR(IF(COUNTA(J$56:J624)=J$54,J624,FORECAST(D624,OFFSET(M$56:M$254,MATCH(D624,L$56:L$254,1)-1,0,2), OFFSET(L$56:L$254,MATCH(D624,L$56:L$254,1)-1,0,2))),"")</f>
        <v>0</v>
      </c>
      <c r="L624" s="7" t="str">
        <f t="array" ref="L624">IFERROR(INDEX(D$56:D$1054,SMALL(IF(ISNUMBER(J$56:J$1054),ROW(D$1:D$999),""),ROW(D569))),"")</f>
        <v/>
      </c>
      <c r="M624" s="7" t="str">
        <f t="array" ref="M624">IFERROR(INDEX(J$56:J$1054,SMALL(IF(ISNUMBER(J$56:J$1054),ROW(J$1:J$999),""),ROW(J569))),"")</f>
        <v/>
      </c>
      <c r="N624" s="7"/>
      <c r="O624" s="7"/>
      <c r="P624" s="7"/>
      <c r="Q624" s="7">
        <f ca="1">IFERROR(IF(COUNTA(P$56:P624)=P$54,P624,FORECAST(D624,OFFSET(S$56:S$254,MATCH(D624,R$56:R$254,1)-1,0,2), OFFSET(R$56:R$254,MATCH(D624,R$56:R$254,1)-1,0,2))),"")</f>
        <v>0</v>
      </c>
      <c r="R624" s="7" t="str">
        <f t="array" ref="R624">IFERROR(INDEX(E$56:E$1054,SMALL(IF(ISNUMBER(P$56:P$1054),ROW(E$1:E$999),""),ROW(J569))),"")</f>
        <v/>
      </c>
      <c r="S624" s="7" t="str">
        <f t="array" ref="S624">IFERROR(INDEX(P$56:P$1054,SMALL(IF(ISNUMBER(P$56:P$1054),ROW(P$1:P$999),""),ROW(P569))),"")</f>
        <v/>
      </c>
      <c r="T624" s="7"/>
      <c r="U624" s="7"/>
      <c r="V624" s="7"/>
    </row>
    <row r="625" spans="1:22" x14ac:dyDescent="0.25">
      <c r="A625" s="6"/>
      <c r="B625" s="11"/>
      <c r="C625" s="12"/>
      <c r="D625" s="12"/>
      <c r="E625" s="8">
        <f t="shared" si="8"/>
        <v>0</v>
      </c>
      <c r="F625" s="10"/>
      <c r="G625" s="10"/>
      <c r="H625" s="9"/>
      <c r="I625" s="7"/>
      <c r="J625" s="7"/>
      <c r="K625" s="7">
        <f ca="1">IFERROR(IF(COUNTA(J$56:J625)=J$54,J625,FORECAST(D625,OFFSET(M$56:M$254,MATCH(D625,L$56:L$254,1)-1,0,2), OFFSET(L$56:L$254,MATCH(D625,L$56:L$254,1)-1,0,2))),"")</f>
        <v>0</v>
      </c>
      <c r="L625" s="7" t="str">
        <f t="array" ref="L625">IFERROR(INDEX(D$56:D$1054,SMALL(IF(ISNUMBER(J$56:J$1054),ROW(D$1:D$999),""),ROW(D570))),"")</f>
        <v/>
      </c>
      <c r="M625" s="7" t="str">
        <f t="array" ref="M625">IFERROR(INDEX(J$56:J$1054,SMALL(IF(ISNUMBER(J$56:J$1054),ROW(J$1:J$999),""),ROW(J570))),"")</f>
        <v/>
      </c>
      <c r="N625" s="7"/>
      <c r="O625" s="7"/>
      <c r="P625" s="7"/>
      <c r="Q625" s="7">
        <f ca="1">IFERROR(IF(COUNTA(P$56:P625)=P$54,P625,FORECAST(D625,OFFSET(S$56:S$254,MATCH(D625,R$56:R$254,1)-1,0,2), OFFSET(R$56:R$254,MATCH(D625,R$56:R$254,1)-1,0,2))),"")</f>
        <v>0</v>
      </c>
      <c r="R625" s="7" t="str">
        <f t="array" ref="R625">IFERROR(INDEX(E$56:E$1054,SMALL(IF(ISNUMBER(P$56:P$1054),ROW(E$1:E$999),""),ROW(J570))),"")</f>
        <v/>
      </c>
      <c r="S625" s="7" t="str">
        <f t="array" ref="S625">IFERROR(INDEX(P$56:P$1054,SMALL(IF(ISNUMBER(P$56:P$1054),ROW(P$1:P$999),""),ROW(P570))),"")</f>
        <v/>
      </c>
      <c r="T625" s="7"/>
      <c r="U625" s="7"/>
      <c r="V625" s="7"/>
    </row>
    <row r="626" spans="1:22" x14ac:dyDescent="0.25">
      <c r="A626" s="6"/>
      <c r="B626" s="11"/>
      <c r="C626" s="12"/>
      <c r="D626" s="12"/>
      <c r="E626" s="8">
        <f t="shared" si="8"/>
        <v>0</v>
      </c>
      <c r="F626" s="10"/>
      <c r="G626" s="10"/>
      <c r="H626" s="9"/>
      <c r="I626" s="7"/>
      <c r="J626" s="7"/>
      <c r="K626" s="7">
        <f ca="1">IFERROR(IF(COUNTA(J$56:J626)=J$54,J626,FORECAST(D626,OFFSET(M$56:M$254,MATCH(D626,L$56:L$254,1)-1,0,2), OFFSET(L$56:L$254,MATCH(D626,L$56:L$254,1)-1,0,2))),"")</f>
        <v>0</v>
      </c>
      <c r="L626" s="7" t="str">
        <f t="array" ref="L626">IFERROR(INDEX(D$56:D$1054,SMALL(IF(ISNUMBER(J$56:J$1054),ROW(D$1:D$999),""),ROW(D571))),"")</f>
        <v/>
      </c>
      <c r="M626" s="7" t="str">
        <f t="array" ref="M626">IFERROR(INDEX(J$56:J$1054,SMALL(IF(ISNUMBER(J$56:J$1054),ROW(J$1:J$999),""),ROW(J571))),"")</f>
        <v/>
      </c>
      <c r="N626" s="7"/>
      <c r="O626" s="7"/>
      <c r="P626" s="7"/>
      <c r="Q626" s="7">
        <f ca="1">IFERROR(IF(COUNTA(P$56:P626)=P$54,P626,FORECAST(D626,OFFSET(S$56:S$254,MATCH(D626,R$56:R$254,1)-1,0,2), OFFSET(R$56:R$254,MATCH(D626,R$56:R$254,1)-1,0,2))),"")</f>
        <v>0</v>
      </c>
      <c r="R626" s="7" t="str">
        <f t="array" ref="R626">IFERROR(INDEX(E$56:E$1054,SMALL(IF(ISNUMBER(P$56:P$1054),ROW(E$1:E$999),""),ROW(J571))),"")</f>
        <v/>
      </c>
      <c r="S626" s="7" t="str">
        <f t="array" ref="S626">IFERROR(INDEX(P$56:P$1054,SMALL(IF(ISNUMBER(P$56:P$1054),ROW(P$1:P$999),""),ROW(P571))),"")</f>
        <v/>
      </c>
      <c r="T626" s="7"/>
      <c r="U626" s="7"/>
      <c r="V626" s="7"/>
    </row>
    <row r="627" spans="1:22" x14ac:dyDescent="0.25">
      <c r="A627" s="6"/>
      <c r="B627" s="11"/>
      <c r="C627" s="12"/>
      <c r="D627" s="12"/>
      <c r="E627" s="8">
        <f t="shared" si="8"/>
        <v>0</v>
      </c>
      <c r="F627" s="10"/>
      <c r="G627" s="10"/>
      <c r="H627" s="9"/>
      <c r="I627" s="7"/>
      <c r="J627" s="7"/>
      <c r="K627" s="7">
        <f ca="1">IFERROR(IF(COUNTA(J$56:J627)=J$54,J627,FORECAST(D627,OFFSET(M$56:M$254,MATCH(D627,L$56:L$254,1)-1,0,2), OFFSET(L$56:L$254,MATCH(D627,L$56:L$254,1)-1,0,2))),"")</f>
        <v>0</v>
      </c>
      <c r="L627" s="7" t="str">
        <f t="array" ref="L627">IFERROR(INDEX(D$56:D$1054,SMALL(IF(ISNUMBER(J$56:J$1054),ROW(D$1:D$999),""),ROW(D572))),"")</f>
        <v/>
      </c>
      <c r="M627" s="7" t="str">
        <f t="array" ref="M627">IFERROR(INDEX(J$56:J$1054,SMALL(IF(ISNUMBER(J$56:J$1054),ROW(J$1:J$999),""),ROW(J572))),"")</f>
        <v/>
      </c>
      <c r="N627" s="7"/>
      <c r="O627" s="7"/>
      <c r="P627" s="7"/>
      <c r="Q627" s="7">
        <f ca="1">IFERROR(IF(COUNTA(P$56:P627)=P$54,P627,FORECAST(D627,OFFSET(S$56:S$254,MATCH(D627,R$56:R$254,1)-1,0,2), OFFSET(R$56:R$254,MATCH(D627,R$56:R$254,1)-1,0,2))),"")</f>
        <v>0</v>
      </c>
      <c r="R627" s="7" t="str">
        <f t="array" ref="R627">IFERROR(INDEX(E$56:E$1054,SMALL(IF(ISNUMBER(P$56:P$1054),ROW(E$1:E$999),""),ROW(J572))),"")</f>
        <v/>
      </c>
      <c r="S627" s="7" t="str">
        <f t="array" ref="S627">IFERROR(INDEX(P$56:P$1054,SMALL(IF(ISNUMBER(P$56:P$1054),ROW(P$1:P$999),""),ROW(P572))),"")</f>
        <v/>
      </c>
      <c r="T627" s="7"/>
      <c r="U627" s="7"/>
      <c r="V627" s="7"/>
    </row>
    <row r="628" spans="1:22" x14ac:dyDescent="0.25">
      <c r="A628" s="6"/>
      <c r="B628" s="11"/>
      <c r="C628" s="12"/>
      <c r="D628" s="12"/>
      <c r="E628" s="8">
        <f t="shared" si="8"/>
        <v>0</v>
      </c>
      <c r="F628" s="10"/>
      <c r="G628" s="10"/>
      <c r="H628" s="9"/>
      <c r="I628" s="7"/>
      <c r="J628" s="7"/>
      <c r="K628" s="7">
        <f ca="1">IFERROR(IF(COUNTA(J$56:J628)=J$54,J628,FORECAST(D628,OFFSET(M$56:M$254,MATCH(D628,L$56:L$254,1)-1,0,2), OFFSET(L$56:L$254,MATCH(D628,L$56:L$254,1)-1,0,2))),"")</f>
        <v>0</v>
      </c>
      <c r="L628" s="7" t="str">
        <f t="array" ref="L628">IFERROR(INDEX(D$56:D$1054,SMALL(IF(ISNUMBER(J$56:J$1054),ROW(D$1:D$999),""),ROW(D573))),"")</f>
        <v/>
      </c>
      <c r="M628" s="7" t="str">
        <f t="array" ref="M628">IFERROR(INDEX(J$56:J$1054,SMALL(IF(ISNUMBER(J$56:J$1054),ROW(J$1:J$999),""),ROW(J573))),"")</f>
        <v/>
      </c>
      <c r="N628" s="7"/>
      <c r="O628" s="7"/>
      <c r="P628" s="7"/>
      <c r="Q628" s="7">
        <f ca="1">IFERROR(IF(COUNTA(P$56:P628)=P$54,P628,FORECAST(D628,OFFSET(S$56:S$254,MATCH(D628,R$56:R$254,1)-1,0,2), OFFSET(R$56:R$254,MATCH(D628,R$56:R$254,1)-1,0,2))),"")</f>
        <v>0</v>
      </c>
      <c r="R628" s="7" t="str">
        <f t="array" ref="R628">IFERROR(INDEX(E$56:E$1054,SMALL(IF(ISNUMBER(P$56:P$1054),ROW(E$1:E$999),""),ROW(J573))),"")</f>
        <v/>
      </c>
      <c r="S628" s="7" t="str">
        <f t="array" ref="S628">IFERROR(INDEX(P$56:P$1054,SMALL(IF(ISNUMBER(P$56:P$1054),ROW(P$1:P$999),""),ROW(P573))),"")</f>
        <v/>
      </c>
      <c r="T628" s="7"/>
      <c r="U628" s="7"/>
      <c r="V628" s="7"/>
    </row>
    <row r="629" spans="1:22" x14ac:dyDescent="0.25">
      <c r="A629" s="6"/>
      <c r="B629" s="11"/>
      <c r="C629" s="12"/>
      <c r="D629" s="12"/>
      <c r="E629" s="8">
        <f t="shared" si="8"/>
        <v>0</v>
      </c>
      <c r="F629" s="10"/>
      <c r="G629" s="10"/>
      <c r="H629" s="9"/>
      <c r="I629" s="7"/>
      <c r="J629" s="7"/>
      <c r="K629" s="7">
        <f ca="1">IFERROR(IF(COUNTA(J$56:J629)=J$54,J629,FORECAST(D629,OFFSET(M$56:M$254,MATCH(D629,L$56:L$254,1)-1,0,2), OFFSET(L$56:L$254,MATCH(D629,L$56:L$254,1)-1,0,2))),"")</f>
        <v>0</v>
      </c>
      <c r="L629" s="7" t="str">
        <f t="array" ref="L629">IFERROR(INDEX(D$56:D$1054,SMALL(IF(ISNUMBER(J$56:J$1054),ROW(D$1:D$999),""),ROW(D574))),"")</f>
        <v/>
      </c>
      <c r="M629" s="7" t="str">
        <f t="array" ref="M629">IFERROR(INDEX(J$56:J$1054,SMALL(IF(ISNUMBER(J$56:J$1054),ROW(J$1:J$999),""),ROW(J574))),"")</f>
        <v/>
      </c>
      <c r="N629" s="7"/>
      <c r="O629" s="7"/>
      <c r="P629" s="7"/>
      <c r="Q629" s="7">
        <f ca="1">IFERROR(IF(COUNTA(P$56:P629)=P$54,P629,FORECAST(D629,OFFSET(S$56:S$254,MATCH(D629,R$56:R$254,1)-1,0,2), OFFSET(R$56:R$254,MATCH(D629,R$56:R$254,1)-1,0,2))),"")</f>
        <v>0</v>
      </c>
      <c r="R629" s="7" t="str">
        <f t="array" ref="R629">IFERROR(INDEX(E$56:E$1054,SMALL(IF(ISNUMBER(P$56:P$1054),ROW(E$1:E$999),""),ROW(J574))),"")</f>
        <v/>
      </c>
      <c r="S629" s="7" t="str">
        <f t="array" ref="S629">IFERROR(INDEX(P$56:P$1054,SMALL(IF(ISNUMBER(P$56:P$1054),ROW(P$1:P$999),""),ROW(P574))),"")</f>
        <v/>
      </c>
      <c r="T629" s="7"/>
      <c r="U629" s="7"/>
      <c r="V629" s="7"/>
    </row>
    <row r="630" spans="1:22" x14ac:dyDescent="0.25">
      <c r="A630" s="6"/>
      <c r="B630" s="11"/>
      <c r="C630" s="12"/>
      <c r="D630" s="12"/>
      <c r="E630" s="8">
        <f t="shared" si="8"/>
        <v>0</v>
      </c>
      <c r="F630" s="10"/>
      <c r="G630" s="10"/>
      <c r="H630" s="9"/>
      <c r="I630" s="7"/>
      <c r="J630" s="7"/>
      <c r="K630" s="7">
        <f ca="1">IFERROR(IF(COUNTA(J$56:J630)=J$54,J630,FORECAST(D630,OFFSET(M$56:M$254,MATCH(D630,L$56:L$254,1)-1,0,2), OFFSET(L$56:L$254,MATCH(D630,L$56:L$254,1)-1,0,2))),"")</f>
        <v>0</v>
      </c>
      <c r="L630" s="7" t="str">
        <f t="array" ref="L630">IFERROR(INDEX(D$56:D$1054,SMALL(IF(ISNUMBER(J$56:J$1054),ROW(D$1:D$999),""),ROW(D575))),"")</f>
        <v/>
      </c>
      <c r="M630" s="7" t="str">
        <f t="array" ref="M630">IFERROR(INDEX(J$56:J$1054,SMALL(IF(ISNUMBER(J$56:J$1054),ROW(J$1:J$999),""),ROW(J575))),"")</f>
        <v/>
      </c>
      <c r="N630" s="7"/>
      <c r="O630" s="7"/>
      <c r="P630" s="7"/>
      <c r="Q630" s="7">
        <f ca="1">IFERROR(IF(COUNTA(P$56:P630)=P$54,P630,FORECAST(D630,OFFSET(S$56:S$254,MATCH(D630,R$56:R$254,1)-1,0,2), OFFSET(R$56:R$254,MATCH(D630,R$56:R$254,1)-1,0,2))),"")</f>
        <v>0</v>
      </c>
      <c r="R630" s="7" t="str">
        <f t="array" ref="R630">IFERROR(INDEX(E$56:E$1054,SMALL(IF(ISNUMBER(P$56:P$1054),ROW(E$1:E$999),""),ROW(J575))),"")</f>
        <v/>
      </c>
      <c r="S630" s="7" t="str">
        <f t="array" ref="S630">IFERROR(INDEX(P$56:P$1054,SMALL(IF(ISNUMBER(P$56:P$1054),ROW(P$1:P$999),""),ROW(P575))),"")</f>
        <v/>
      </c>
      <c r="T630" s="7"/>
      <c r="U630" s="7"/>
      <c r="V630" s="7"/>
    </row>
    <row r="631" spans="1:22" x14ac:dyDescent="0.25">
      <c r="A631" s="6"/>
      <c r="B631" s="11"/>
      <c r="C631" s="12"/>
      <c r="D631" s="12"/>
      <c r="E631" s="8">
        <f t="shared" si="8"/>
        <v>0</v>
      </c>
      <c r="F631" s="10"/>
      <c r="G631" s="10"/>
      <c r="H631" s="9"/>
      <c r="I631" s="7"/>
      <c r="J631" s="7"/>
      <c r="K631" s="7">
        <f ca="1">IFERROR(IF(COUNTA(J$56:J631)=J$54,J631,FORECAST(D631,OFFSET(M$56:M$254,MATCH(D631,L$56:L$254,1)-1,0,2), OFFSET(L$56:L$254,MATCH(D631,L$56:L$254,1)-1,0,2))),"")</f>
        <v>0</v>
      </c>
      <c r="L631" s="7" t="str">
        <f t="array" ref="L631">IFERROR(INDEX(D$56:D$1054,SMALL(IF(ISNUMBER(J$56:J$1054),ROW(D$1:D$999),""),ROW(D576))),"")</f>
        <v/>
      </c>
      <c r="M631" s="7" t="str">
        <f t="array" ref="M631">IFERROR(INDEX(J$56:J$1054,SMALL(IF(ISNUMBER(J$56:J$1054),ROW(J$1:J$999),""),ROW(J576))),"")</f>
        <v/>
      </c>
      <c r="N631" s="7"/>
      <c r="O631" s="7"/>
      <c r="P631" s="7"/>
      <c r="Q631" s="7">
        <f ca="1">IFERROR(IF(COUNTA(P$56:P631)=P$54,P631,FORECAST(D631,OFFSET(S$56:S$254,MATCH(D631,R$56:R$254,1)-1,0,2), OFFSET(R$56:R$254,MATCH(D631,R$56:R$254,1)-1,0,2))),"")</f>
        <v>0</v>
      </c>
      <c r="R631" s="7" t="str">
        <f t="array" ref="R631">IFERROR(INDEX(E$56:E$1054,SMALL(IF(ISNUMBER(P$56:P$1054),ROW(E$1:E$999),""),ROW(J576))),"")</f>
        <v/>
      </c>
      <c r="S631" s="7" t="str">
        <f t="array" ref="S631">IFERROR(INDEX(P$56:P$1054,SMALL(IF(ISNUMBER(P$56:P$1054),ROW(P$1:P$999),""),ROW(P576))),"")</f>
        <v/>
      </c>
      <c r="T631" s="7"/>
      <c r="U631" s="7"/>
      <c r="V631" s="7"/>
    </row>
    <row r="632" spans="1:22" x14ac:dyDescent="0.25">
      <c r="A632" s="6"/>
      <c r="B632" s="11"/>
      <c r="C632" s="12"/>
      <c r="D632" s="12"/>
      <c r="E632" s="8">
        <f t="shared" si="8"/>
        <v>0</v>
      </c>
      <c r="F632" s="10"/>
      <c r="G632" s="10"/>
      <c r="H632" s="9"/>
      <c r="I632" s="7"/>
      <c r="J632" s="7"/>
      <c r="K632" s="7">
        <f ca="1">IFERROR(IF(COUNTA(J$56:J632)=J$54,J632,FORECAST(D632,OFFSET(M$56:M$254,MATCH(D632,L$56:L$254,1)-1,0,2), OFFSET(L$56:L$254,MATCH(D632,L$56:L$254,1)-1,0,2))),"")</f>
        <v>0</v>
      </c>
      <c r="L632" s="7" t="str">
        <f t="array" ref="L632">IFERROR(INDEX(D$56:D$1054,SMALL(IF(ISNUMBER(J$56:J$1054),ROW(D$1:D$999),""),ROW(D577))),"")</f>
        <v/>
      </c>
      <c r="M632" s="7" t="str">
        <f t="array" ref="M632">IFERROR(INDEX(J$56:J$1054,SMALL(IF(ISNUMBER(J$56:J$1054),ROW(J$1:J$999),""),ROW(J577))),"")</f>
        <v/>
      </c>
      <c r="N632" s="7"/>
      <c r="O632" s="7"/>
      <c r="P632" s="7"/>
      <c r="Q632" s="7">
        <f ca="1">IFERROR(IF(COUNTA(P$56:P632)=P$54,P632,FORECAST(D632,OFFSET(S$56:S$254,MATCH(D632,R$56:R$254,1)-1,0,2), OFFSET(R$56:R$254,MATCH(D632,R$56:R$254,1)-1,0,2))),"")</f>
        <v>0</v>
      </c>
      <c r="R632" s="7" t="str">
        <f t="array" ref="R632">IFERROR(INDEX(E$56:E$1054,SMALL(IF(ISNUMBER(P$56:P$1054),ROW(E$1:E$999),""),ROW(J577))),"")</f>
        <v/>
      </c>
      <c r="S632" s="7" t="str">
        <f t="array" ref="S632">IFERROR(INDEX(P$56:P$1054,SMALL(IF(ISNUMBER(P$56:P$1054),ROW(P$1:P$999),""),ROW(P577))),"")</f>
        <v/>
      </c>
      <c r="T632" s="7"/>
      <c r="U632" s="7"/>
      <c r="V632" s="7"/>
    </row>
    <row r="633" spans="1:22" x14ac:dyDescent="0.25">
      <c r="A633" s="6"/>
      <c r="B633" s="11"/>
      <c r="C633" s="12"/>
      <c r="D633" s="12"/>
      <c r="E633" s="8">
        <f t="shared" si="8"/>
        <v>0</v>
      </c>
      <c r="F633" s="10"/>
      <c r="G633" s="10"/>
      <c r="H633" s="9"/>
      <c r="I633" s="7"/>
      <c r="J633" s="7"/>
      <c r="K633" s="7">
        <f ca="1">IFERROR(IF(COUNTA(J$56:J633)=J$54,J633,FORECAST(D633,OFFSET(M$56:M$254,MATCH(D633,L$56:L$254,1)-1,0,2), OFFSET(L$56:L$254,MATCH(D633,L$56:L$254,1)-1,0,2))),"")</f>
        <v>0</v>
      </c>
      <c r="L633" s="7" t="str">
        <f t="array" ref="L633">IFERROR(INDEX(D$56:D$1054,SMALL(IF(ISNUMBER(J$56:J$1054),ROW(D$1:D$999),""),ROW(D578))),"")</f>
        <v/>
      </c>
      <c r="M633" s="7" t="str">
        <f t="array" ref="M633">IFERROR(INDEX(J$56:J$1054,SMALL(IF(ISNUMBER(J$56:J$1054),ROW(J$1:J$999),""),ROW(J578))),"")</f>
        <v/>
      </c>
      <c r="N633" s="7"/>
      <c r="O633" s="7"/>
      <c r="P633" s="7"/>
      <c r="Q633" s="7">
        <f ca="1">IFERROR(IF(COUNTA(P$56:P633)=P$54,P633,FORECAST(D633,OFFSET(S$56:S$254,MATCH(D633,R$56:R$254,1)-1,0,2), OFFSET(R$56:R$254,MATCH(D633,R$56:R$254,1)-1,0,2))),"")</f>
        <v>0</v>
      </c>
      <c r="R633" s="7" t="str">
        <f t="array" ref="R633">IFERROR(INDEX(E$56:E$1054,SMALL(IF(ISNUMBER(P$56:P$1054),ROW(E$1:E$999),""),ROW(J578))),"")</f>
        <v/>
      </c>
      <c r="S633" s="7" t="str">
        <f t="array" ref="S633">IFERROR(INDEX(P$56:P$1054,SMALL(IF(ISNUMBER(P$56:P$1054),ROW(P$1:P$999),""),ROW(P578))),"")</f>
        <v/>
      </c>
      <c r="T633" s="7"/>
      <c r="U633" s="7"/>
      <c r="V633" s="7"/>
    </row>
    <row r="634" spans="1:22" x14ac:dyDescent="0.25">
      <c r="A634" s="6"/>
      <c r="B634" s="11"/>
      <c r="C634" s="12"/>
      <c r="D634" s="12"/>
      <c r="E634" s="8">
        <f t="shared" ref="E634:E697" si="9">IF(NOT(ISBLANK(D634)),D634+C$54,0)</f>
        <v>0</v>
      </c>
      <c r="F634" s="10"/>
      <c r="G634" s="10"/>
      <c r="H634" s="9"/>
      <c r="I634" s="7"/>
      <c r="J634" s="7"/>
      <c r="K634" s="7">
        <f ca="1">IFERROR(IF(COUNTA(J$56:J634)=J$54,J634,FORECAST(D634,OFFSET(M$56:M$254,MATCH(D634,L$56:L$254,1)-1,0,2), OFFSET(L$56:L$254,MATCH(D634,L$56:L$254,1)-1,0,2))),"")</f>
        <v>0</v>
      </c>
      <c r="L634" s="7" t="str">
        <f t="array" ref="L634">IFERROR(INDEX(D$56:D$1054,SMALL(IF(ISNUMBER(J$56:J$1054),ROW(D$1:D$999),""),ROW(D579))),"")</f>
        <v/>
      </c>
      <c r="M634" s="7" t="str">
        <f t="array" ref="M634">IFERROR(INDEX(J$56:J$1054,SMALL(IF(ISNUMBER(J$56:J$1054),ROW(J$1:J$999),""),ROW(J579))),"")</f>
        <v/>
      </c>
      <c r="N634" s="7"/>
      <c r="O634" s="7"/>
      <c r="P634" s="7"/>
      <c r="Q634" s="7">
        <f ca="1">IFERROR(IF(COUNTA(P$56:P634)=P$54,P634,FORECAST(D634,OFFSET(S$56:S$254,MATCH(D634,R$56:R$254,1)-1,0,2), OFFSET(R$56:R$254,MATCH(D634,R$56:R$254,1)-1,0,2))),"")</f>
        <v>0</v>
      </c>
      <c r="R634" s="7" t="str">
        <f t="array" ref="R634">IFERROR(INDEX(E$56:E$1054,SMALL(IF(ISNUMBER(P$56:P$1054),ROW(E$1:E$999),""),ROW(J579))),"")</f>
        <v/>
      </c>
      <c r="S634" s="7" t="str">
        <f t="array" ref="S634">IFERROR(INDEX(P$56:P$1054,SMALL(IF(ISNUMBER(P$56:P$1054),ROW(P$1:P$999),""),ROW(P579))),"")</f>
        <v/>
      </c>
      <c r="T634" s="7"/>
      <c r="U634" s="7"/>
      <c r="V634" s="7"/>
    </row>
    <row r="635" spans="1:22" x14ac:dyDescent="0.25">
      <c r="A635" s="6"/>
      <c r="B635" s="11"/>
      <c r="C635" s="12"/>
      <c r="D635" s="12"/>
      <c r="E635" s="8">
        <f t="shared" si="9"/>
        <v>0</v>
      </c>
      <c r="F635" s="10"/>
      <c r="G635" s="10"/>
      <c r="H635" s="9"/>
      <c r="I635" s="7"/>
      <c r="J635" s="7"/>
      <c r="K635" s="7">
        <f ca="1">IFERROR(IF(COUNTA(J$56:J635)=J$54,J635,FORECAST(D635,OFFSET(M$56:M$254,MATCH(D635,L$56:L$254,1)-1,0,2), OFFSET(L$56:L$254,MATCH(D635,L$56:L$254,1)-1,0,2))),"")</f>
        <v>0</v>
      </c>
      <c r="L635" s="7" t="str">
        <f t="array" ref="L635">IFERROR(INDEX(D$56:D$1054,SMALL(IF(ISNUMBER(J$56:J$1054),ROW(D$1:D$999),""),ROW(D580))),"")</f>
        <v/>
      </c>
      <c r="M635" s="7" t="str">
        <f t="array" ref="M635">IFERROR(INDEX(J$56:J$1054,SMALL(IF(ISNUMBER(J$56:J$1054),ROW(J$1:J$999),""),ROW(J580))),"")</f>
        <v/>
      </c>
      <c r="N635" s="7"/>
      <c r="O635" s="7"/>
      <c r="P635" s="7"/>
      <c r="Q635" s="7">
        <f ca="1">IFERROR(IF(COUNTA(P$56:P635)=P$54,P635,FORECAST(D635,OFFSET(S$56:S$254,MATCH(D635,R$56:R$254,1)-1,0,2), OFFSET(R$56:R$254,MATCH(D635,R$56:R$254,1)-1,0,2))),"")</f>
        <v>0</v>
      </c>
      <c r="R635" s="7" t="str">
        <f t="array" ref="R635">IFERROR(INDEX(E$56:E$1054,SMALL(IF(ISNUMBER(P$56:P$1054),ROW(E$1:E$999),""),ROW(J580))),"")</f>
        <v/>
      </c>
      <c r="S635" s="7" t="str">
        <f t="array" ref="S635">IFERROR(INDEX(P$56:P$1054,SMALL(IF(ISNUMBER(P$56:P$1054),ROW(P$1:P$999),""),ROW(P580))),"")</f>
        <v/>
      </c>
      <c r="T635" s="7"/>
      <c r="U635" s="7"/>
      <c r="V635" s="7"/>
    </row>
    <row r="636" spans="1:22" x14ac:dyDescent="0.25">
      <c r="A636" s="6"/>
      <c r="B636" s="11"/>
      <c r="C636" s="12"/>
      <c r="D636" s="12"/>
      <c r="E636" s="8">
        <f t="shared" si="9"/>
        <v>0</v>
      </c>
      <c r="F636" s="10"/>
      <c r="G636" s="10"/>
      <c r="H636" s="9"/>
      <c r="I636" s="7"/>
      <c r="J636" s="7"/>
      <c r="K636" s="7">
        <f ca="1">IFERROR(IF(COUNTA(J$56:J636)=J$54,J636,FORECAST(D636,OFFSET(M$56:M$254,MATCH(D636,L$56:L$254,1)-1,0,2), OFFSET(L$56:L$254,MATCH(D636,L$56:L$254,1)-1,0,2))),"")</f>
        <v>0</v>
      </c>
      <c r="L636" s="7" t="str">
        <f t="array" ref="L636">IFERROR(INDEX(D$56:D$1054,SMALL(IF(ISNUMBER(J$56:J$1054),ROW(D$1:D$999),""),ROW(D581))),"")</f>
        <v/>
      </c>
      <c r="M636" s="7" t="str">
        <f t="array" ref="M636">IFERROR(INDEX(J$56:J$1054,SMALL(IF(ISNUMBER(J$56:J$1054),ROW(J$1:J$999),""),ROW(J581))),"")</f>
        <v/>
      </c>
      <c r="N636" s="7"/>
      <c r="O636" s="7"/>
      <c r="P636" s="7"/>
      <c r="Q636" s="7">
        <f ca="1">IFERROR(IF(COUNTA(P$56:P636)=P$54,P636,FORECAST(D636,OFFSET(S$56:S$254,MATCH(D636,R$56:R$254,1)-1,0,2), OFFSET(R$56:R$254,MATCH(D636,R$56:R$254,1)-1,0,2))),"")</f>
        <v>0</v>
      </c>
      <c r="R636" s="7" t="str">
        <f t="array" ref="R636">IFERROR(INDEX(E$56:E$1054,SMALL(IF(ISNUMBER(P$56:P$1054),ROW(E$1:E$999),""),ROW(J581))),"")</f>
        <v/>
      </c>
      <c r="S636" s="7" t="str">
        <f t="array" ref="S636">IFERROR(INDEX(P$56:P$1054,SMALL(IF(ISNUMBER(P$56:P$1054),ROW(P$1:P$999),""),ROW(P581))),"")</f>
        <v/>
      </c>
      <c r="T636" s="7"/>
      <c r="U636" s="7"/>
      <c r="V636" s="7"/>
    </row>
    <row r="637" spans="1:22" x14ac:dyDescent="0.25">
      <c r="A637" s="6"/>
      <c r="B637" s="11"/>
      <c r="C637" s="12"/>
      <c r="D637" s="12"/>
      <c r="E637" s="8">
        <f t="shared" si="9"/>
        <v>0</v>
      </c>
      <c r="F637" s="10"/>
      <c r="G637" s="10"/>
      <c r="H637" s="9"/>
      <c r="I637" s="7"/>
      <c r="J637" s="7"/>
      <c r="K637" s="7">
        <f ca="1">IFERROR(IF(COUNTA(J$56:J637)=J$54,J637,FORECAST(D637,OFFSET(M$56:M$254,MATCH(D637,L$56:L$254,1)-1,0,2), OFFSET(L$56:L$254,MATCH(D637,L$56:L$254,1)-1,0,2))),"")</f>
        <v>0</v>
      </c>
      <c r="L637" s="7" t="str">
        <f t="array" ref="L637">IFERROR(INDEX(D$56:D$1054,SMALL(IF(ISNUMBER(J$56:J$1054),ROW(D$1:D$999),""),ROW(D582))),"")</f>
        <v/>
      </c>
      <c r="M637" s="7" t="str">
        <f t="array" ref="M637">IFERROR(INDEX(J$56:J$1054,SMALL(IF(ISNUMBER(J$56:J$1054),ROW(J$1:J$999),""),ROW(J582))),"")</f>
        <v/>
      </c>
      <c r="N637" s="7"/>
      <c r="O637" s="7"/>
      <c r="P637" s="7"/>
      <c r="Q637" s="7">
        <f ca="1">IFERROR(IF(COUNTA(P$56:P637)=P$54,P637,FORECAST(D637,OFFSET(S$56:S$254,MATCH(D637,R$56:R$254,1)-1,0,2), OFFSET(R$56:R$254,MATCH(D637,R$56:R$254,1)-1,0,2))),"")</f>
        <v>0</v>
      </c>
      <c r="R637" s="7" t="str">
        <f t="array" ref="R637">IFERROR(INDEX(E$56:E$1054,SMALL(IF(ISNUMBER(P$56:P$1054),ROW(E$1:E$999),""),ROW(J582))),"")</f>
        <v/>
      </c>
      <c r="S637" s="7" t="str">
        <f t="array" ref="S637">IFERROR(INDEX(P$56:P$1054,SMALL(IF(ISNUMBER(P$56:P$1054),ROW(P$1:P$999),""),ROW(P582))),"")</f>
        <v/>
      </c>
      <c r="T637" s="7"/>
      <c r="U637" s="7"/>
      <c r="V637" s="7"/>
    </row>
    <row r="638" spans="1:22" x14ac:dyDescent="0.25">
      <c r="A638" s="6"/>
      <c r="B638" s="11"/>
      <c r="C638" s="12"/>
      <c r="D638" s="12"/>
      <c r="E638" s="8">
        <f t="shared" si="9"/>
        <v>0</v>
      </c>
      <c r="F638" s="10"/>
      <c r="G638" s="10"/>
      <c r="H638" s="9"/>
      <c r="I638" s="7"/>
      <c r="J638" s="7"/>
      <c r="K638" s="7">
        <f ca="1">IFERROR(IF(COUNTA(J$56:J638)=J$54,J638,FORECAST(D638,OFFSET(M$56:M$254,MATCH(D638,L$56:L$254,1)-1,0,2), OFFSET(L$56:L$254,MATCH(D638,L$56:L$254,1)-1,0,2))),"")</f>
        <v>0</v>
      </c>
      <c r="L638" s="7" t="str">
        <f t="array" ref="L638">IFERROR(INDEX(D$56:D$1054,SMALL(IF(ISNUMBER(J$56:J$1054),ROW(D$1:D$999),""),ROW(D583))),"")</f>
        <v/>
      </c>
      <c r="M638" s="7" t="str">
        <f t="array" ref="M638">IFERROR(INDEX(J$56:J$1054,SMALL(IF(ISNUMBER(J$56:J$1054),ROW(J$1:J$999),""),ROW(J583))),"")</f>
        <v/>
      </c>
      <c r="N638" s="7"/>
      <c r="O638" s="7"/>
      <c r="P638" s="7"/>
      <c r="Q638" s="7">
        <f ca="1">IFERROR(IF(COUNTA(P$56:P638)=P$54,P638,FORECAST(D638,OFFSET(S$56:S$254,MATCH(D638,R$56:R$254,1)-1,0,2), OFFSET(R$56:R$254,MATCH(D638,R$56:R$254,1)-1,0,2))),"")</f>
        <v>0</v>
      </c>
      <c r="R638" s="7" t="str">
        <f t="array" ref="R638">IFERROR(INDEX(E$56:E$1054,SMALL(IF(ISNUMBER(P$56:P$1054),ROW(E$1:E$999),""),ROW(J583))),"")</f>
        <v/>
      </c>
      <c r="S638" s="7" t="str">
        <f t="array" ref="S638">IFERROR(INDEX(P$56:P$1054,SMALL(IF(ISNUMBER(P$56:P$1054),ROW(P$1:P$999),""),ROW(P583))),"")</f>
        <v/>
      </c>
      <c r="T638" s="7"/>
      <c r="U638" s="7"/>
      <c r="V638" s="7"/>
    </row>
    <row r="639" spans="1:22" x14ac:dyDescent="0.25">
      <c r="A639" s="6"/>
      <c r="B639" s="11"/>
      <c r="C639" s="12"/>
      <c r="D639" s="12"/>
      <c r="E639" s="8">
        <f t="shared" si="9"/>
        <v>0</v>
      </c>
      <c r="F639" s="10"/>
      <c r="G639" s="10"/>
      <c r="H639" s="9"/>
      <c r="I639" s="7"/>
      <c r="J639" s="7"/>
      <c r="K639" s="7">
        <f ca="1">IFERROR(IF(COUNTA(J$56:J639)=J$54,J639,FORECAST(D639,OFFSET(M$56:M$254,MATCH(D639,L$56:L$254,1)-1,0,2), OFFSET(L$56:L$254,MATCH(D639,L$56:L$254,1)-1,0,2))),"")</f>
        <v>0</v>
      </c>
      <c r="L639" s="7" t="str">
        <f t="array" ref="L639">IFERROR(INDEX(D$56:D$1054,SMALL(IF(ISNUMBER(J$56:J$1054),ROW(D$1:D$999),""),ROW(D584))),"")</f>
        <v/>
      </c>
      <c r="M639" s="7" t="str">
        <f t="array" ref="M639">IFERROR(INDEX(J$56:J$1054,SMALL(IF(ISNUMBER(J$56:J$1054),ROW(J$1:J$999),""),ROW(J584))),"")</f>
        <v/>
      </c>
      <c r="N639" s="7"/>
      <c r="O639" s="7"/>
      <c r="P639" s="7"/>
      <c r="Q639" s="7">
        <f ca="1">IFERROR(IF(COUNTA(P$56:P639)=P$54,P639,FORECAST(D639,OFFSET(S$56:S$254,MATCH(D639,R$56:R$254,1)-1,0,2), OFFSET(R$56:R$254,MATCH(D639,R$56:R$254,1)-1,0,2))),"")</f>
        <v>0</v>
      </c>
      <c r="R639" s="7" t="str">
        <f t="array" ref="R639">IFERROR(INDEX(E$56:E$1054,SMALL(IF(ISNUMBER(P$56:P$1054),ROW(E$1:E$999),""),ROW(J584))),"")</f>
        <v/>
      </c>
      <c r="S639" s="7" t="str">
        <f t="array" ref="S639">IFERROR(INDEX(P$56:P$1054,SMALL(IF(ISNUMBER(P$56:P$1054),ROW(P$1:P$999),""),ROW(P584))),"")</f>
        <v/>
      </c>
      <c r="T639" s="7"/>
      <c r="U639" s="7"/>
      <c r="V639" s="7"/>
    </row>
    <row r="640" spans="1:22" x14ac:dyDescent="0.25">
      <c r="A640" s="6"/>
      <c r="B640" s="11"/>
      <c r="C640" s="12"/>
      <c r="D640" s="12"/>
      <c r="E640" s="8">
        <f t="shared" si="9"/>
        <v>0</v>
      </c>
      <c r="F640" s="10"/>
      <c r="G640" s="10"/>
      <c r="H640" s="9"/>
      <c r="I640" s="7"/>
      <c r="J640" s="7"/>
      <c r="K640" s="7">
        <f ca="1">IFERROR(IF(COUNTA(J$56:J640)=J$54,J640,FORECAST(D640,OFFSET(M$56:M$254,MATCH(D640,L$56:L$254,1)-1,0,2), OFFSET(L$56:L$254,MATCH(D640,L$56:L$254,1)-1,0,2))),"")</f>
        <v>0</v>
      </c>
      <c r="L640" s="7" t="str">
        <f t="array" ref="L640">IFERROR(INDEX(D$56:D$1054,SMALL(IF(ISNUMBER(J$56:J$1054),ROW(D$1:D$999),""),ROW(D585))),"")</f>
        <v/>
      </c>
      <c r="M640" s="7" t="str">
        <f t="array" ref="M640">IFERROR(INDEX(J$56:J$1054,SMALL(IF(ISNUMBER(J$56:J$1054),ROW(J$1:J$999),""),ROW(J585))),"")</f>
        <v/>
      </c>
      <c r="N640" s="7"/>
      <c r="O640" s="7"/>
      <c r="P640" s="7"/>
      <c r="Q640" s="7">
        <f ca="1">IFERROR(IF(COUNTA(P$56:P640)=P$54,P640,FORECAST(D640,OFFSET(S$56:S$254,MATCH(D640,R$56:R$254,1)-1,0,2), OFFSET(R$56:R$254,MATCH(D640,R$56:R$254,1)-1,0,2))),"")</f>
        <v>0</v>
      </c>
      <c r="R640" s="7" t="str">
        <f t="array" ref="R640">IFERROR(INDEX(E$56:E$1054,SMALL(IF(ISNUMBER(P$56:P$1054),ROW(E$1:E$999),""),ROW(J585))),"")</f>
        <v/>
      </c>
      <c r="S640" s="7" t="str">
        <f t="array" ref="S640">IFERROR(INDEX(P$56:P$1054,SMALL(IF(ISNUMBER(P$56:P$1054),ROW(P$1:P$999),""),ROW(P585))),"")</f>
        <v/>
      </c>
      <c r="T640" s="7"/>
      <c r="U640" s="7"/>
      <c r="V640" s="7"/>
    </row>
    <row r="641" spans="1:22" x14ac:dyDescent="0.25">
      <c r="A641" s="6"/>
      <c r="B641" s="11"/>
      <c r="C641" s="12"/>
      <c r="D641" s="12"/>
      <c r="E641" s="8">
        <f t="shared" si="9"/>
        <v>0</v>
      </c>
      <c r="F641" s="10"/>
      <c r="G641" s="10"/>
      <c r="H641" s="9"/>
      <c r="I641" s="7"/>
      <c r="J641" s="7"/>
      <c r="K641" s="7">
        <f ca="1">IFERROR(IF(COUNTA(J$56:J641)=J$54,J641,FORECAST(D641,OFFSET(M$56:M$254,MATCH(D641,L$56:L$254,1)-1,0,2), OFFSET(L$56:L$254,MATCH(D641,L$56:L$254,1)-1,0,2))),"")</f>
        <v>0</v>
      </c>
      <c r="L641" s="7" t="str">
        <f t="array" ref="L641">IFERROR(INDEX(D$56:D$1054,SMALL(IF(ISNUMBER(J$56:J$1054),ROW(D$1:D$999),""),ROW(D586))),"")</f>
        <v/>
      </c>
      <c r="M641" s="7" t="str">
        <f t="array" ref="M641">IFERROR(INDEX(J$56:J$1054,SMALL(IF(ISNUMBER(J$56:J$1054),ROW(J$1:J$999),""),ROW(J586))),"")</f>
        <v/>
      </c>
      <c r="N641" s="7"/>
      <c r="O641" s="7"/>
      <c r="P641" s="7"/>
      <c r="Q641" s="7">
        <f ca="1">IFERROR(IF(COUNTA(P$56:P641)=P$54,P641,FORECAST(D641,OFFSET(S$56:S$254,MATCH(D641,R$56:R$254,1)-1,0,2), OFFSET(R$56:R$254,MATCH(D641,R$56:R$254,1)-1,0,2))),"")</f>
        <v>0</v>
      </c>
      <c r="R641" s="7" t="str">
        <f t="array" ref="R641">IFERROR(INDEX(E$56:E$1054,SMALL(IF(ISNUMBER(P$56:P$1054),ROW(E$1:E$999),""),ROW(J586))),"")</f>
        <v/>
      </c>
      <c r="S641" s="7" t="str">
        <f t="array" ref="S641">IFERROR(INDEX(P$56:P$1054,SMALL(IF(ISNUMBER(P$56:P$1054),ROW(P$1:P$999),""),ROW(P586))),"")</f>
        <v/>
      </c>
      <c r="T641" s="7"/>
      <c r="U641" s="7"/>
      <c r="V641" s="7"/>
    </row>
    <row r="642" spans="1:22" x14ac:dyDescent="0.25">
      <c r="A642" s="6"/>
      <c r="B642" s="11"/>
      <c r="C642" s="12"/>
      <c r="D642" s="12"/>
      <c r="E642" s="8">
        <f t="shared" si="9"/>
        <v>0</v>
      </c>
      <c r="F642" s="10"/>
      <c r="G642" s="10"/>
      <c r="H642" s="9"/>
      <c r="I642" s="7"/>
      <c r="J642" s="7"/>
      <c r="K642" s="7">
        <f ca="1">IFERROR(IF(COUNTA(J$56:J642)=J$54,J642,FORECAST(D642,OFFSET(M$56:M$254,MATCH(D642,L$56:L$254,1)-1,0,2), OFFSET(L$56:L$254,MATCH(D642,L$56:L$254,1)-1,0,2))),"")</f>
        <v>0</v>
      </c>
      <c r="L642" s="7" t="str">
        <f t="array" ref="L642">IFERROR(INDEX(D$56:D$1054,SMALL(IF(ISNUMBER(J$56:J$1054),ROW(D$1:D$999),""),ROW(D587))),"")</f>
        <v/>
      </c>
      <c r="M642" s="7" t="str">
        <f t="array" ref="M642">IFERROR(INDEX(J$56:J$1054,SMALL(IF(ISNUMBER(J$56:J$1054),ROW(J$1:J$999),""),ROW(J587))),"")</f>
        <v/>
      </c>
      <c r="N642" s="7"/>
      <c r="O642" s="7"/>
      <c r="P642" s="7"/>
      <c r="Q642" s="7">
        <f ca="1">IFERROR(IF(COUNTA(P$56:P642)=P$54,P642,FORECAST(D642,OFFSET(S$56:S$254,MATCH(D642,R$56:R$254,1)-1,0,2), OFFSET(R$56:R$254,MATCH(D642,R$56:R$254,1)-1,0,2))),"")</f>
        <v>0</v>
      </c>
      <c r="R642" s="7" t="str">
        <f t="array" ref="R642">IFERROR(INDEX(E$56:E$1054,SMALL(IF(ISNUMBER(P$56:P$1054),ROW(E$1:E$999),""),ROW(J587))),"")</f>
        <v/>
      </c>
      <c r="S642" s="7" t="str">
        <f t="array" ref="S642">IFERROR(INDEX(P$56:P$1054,SMALL(IF(ISNUMBER(P$56:P$1054),ROW(P$1:P$999),""),ROW(P587))),"")</f>
        <v/>
      </c>
      <c r="T642" s="7"/>
      <c r="U642" s="7"/>
      <c r="V642" s="7"/>
    </row>
    <row r="643" spans="1:22" x14ac:dyDescent="0.25">
      <c r="A643" s="6"/>
      <c r="B643" s="11"/>
      <c r="C643" s="12"/>
      <c r="D643" s="12"/>
      <c r="E643" s="8">
        <f t="shared" si="9"/>
        <v>0</v>
      </c>
      <c r="F643" s="10"/>
      <c r="G643" s="10"/>
      <c r="H643" s="9"/>
      <c r="I643" s="7"/>
      <c r="J643" s="7"/>
      <c r="K643" s="7">
        <f ca="1">IFERROR(IF(COUNTA(J$56:J643)=J$54,J643,FORECAST(D643,OFFSET(M$56:M$254,MATCH(D643,L$56:L$254,1)-1,0,2), OFFSET(L$56:L$254,MATCH(D643,L$56:L$254,1)-1,0,2))),"")</f>
        <v>0</v>
      </c>
      <c r="L643" s="7" t="str">
        <f t="array" ref="L643">IFERROR(INDEX(D$56:D$1054,SMALL(IF(ISNUMBER(J$56:J$1054),ROW(D$1:D$999),""),ROW(D588))),"")</f>
        <v/>
      </c>
      <c r="M643" s="7" t="str">
        <f t="array" ref="M643">IFERROR(INDEX(J$56:J$1054,SMALL(IF(ISNUMBER(J$56:J$1054),ROW(J$1:J$999),""),ROW(J588))),"")</f>
        <v/>
      </c>
      <c r="N643" s="7"/>
      <c r="O643" s="7"/>
      <c r="P643" s="7"/>
      <c r="Q643" s="7">
        <f ca="1">IFERROR(IF(COUNTA(P$56:P643)=P$54,P643,FORECAST(D643,OFFSET(S$56:S$254,MATCH(D643,R$56:R$254,1)-1,0,2), OFFSET(R$56:R$254,MATCH(D643,R$56:R$254,1)-1,0,2))),"")</f>
        <v>0</v>
      </c>
      <c r="R643" s="7" t="str">
        <f t="array" ref="R643">IFERROR(INDEX(E$56:E$1054,SMALL(IF(ISNUMBER(P$56:P$1054),ROW(E$1:E$999),""),ROW(J588))),"")</f>
        <v/>
      </c>
      <c r="S643" s="7" t="str">
        <f t="array" ref="S643">IFERROR(INDEX(P$56:P$1054,SMALL(IF(ISNUMBER(P$56:P$1054),ROW(P$1:P$999),""),ROW(P588))),"")</f>
        <v/>
      </c>
      <c r="T643" s="7"/>
      <c r="U643" s="7"/>
      <c r="V643" s="7"/>
    </row>
    <row r="644" spans="1:22" x14ac:dyDescent="0.25">
      <c r="A644" s="6"/>
      <c r="B644" s="11"/>
      <c r="C644" s="12"/>
      <c r="D644" s="12"/>
      <c r="E644" s="8">
        <f t="shared" si="9"/>
        <v>0</v>
      </c>
      <c r="F644" s="10"/>
      <c r="G644" s="10"/>
      <c r="H644" s="9"/>
      <c r="I644" s="7"/>
      <c r="J644" s="7"/>
      <c r="K644" s="7">
        <f ca="1">IFERROR(IF(COUNTA(J$56:J644)=J$54,J644,FORECAST(D644,OFFSET(M$56:M$254,MATCH(D644,L$56:L$254,1)-1,0,2), OFFSET(L$56:L$254,MATCH(D644,L$56:L$254,1)-1,0,2))),"")</f>
        <v>0</v>
      </c>
      <c r="L644" s="7" t="str">
        <f t="array" ref="L644">IFERROR(INDEX(D$56:D$1054,SMALL(IF(ISNUMBER(J$56:J$1054),ROW(D$1:D$999),""),ROW(D589))),"")</f>
        <v/>
      </c>
      <c r="M644" s="7" t="str">
        <f t="array" ref="M644">IFERROR(INDEX(J$56:J$1054,SMALL(IF(ISNUMBER(J$56:J$1054),ROW(J$1:J$999),""),ROW(J589))),"")</f>
        <v/>
      </c>
      <c r="N644" s="7"/>
      <c r="O644" s="7"/>
      <c r="P644" s="7"/>
      <c r="Q644" s="7">
        <f ca="1">IFERROR(IF(COUNTA(P$56:P644)=P$54,P644,FORECAST(D644,OFFSET(S$56:S$254,MATCH(D644,R$56:R$254,1)-1,0,2), OFFSET(R$56:R$254,MATCH(D644,R$56:R$254,1)-1,0,2))),"")</f>
        <v>0</v>
      </c>
      <c r="R644" s="7" t="str">
        <f t="array" ref="R644">IFERROR(INDEX(E$56:E$1054,SMALL(IF(ISNUMBER(P$56:P$1054),ROW(E$1:E$999),""),ROW(J589))),"")</f>
        <v/>
      </c>
      <c r="S644" s="7" t="str">
        <f t="array" ref="S644">IFERROR(INDEX(P$56:P$1054,SMALL(IF(ISNUMBER(P$56:P$1054),ROW(P$1:P$999),""),ROW(P589))),"")</f>
        <v/>
      </c>
      <c r="T644" s="7"/>
      <c r="U644" s="7"/>
      <c r="V644" s="7"/>
    </row>
    <row r="645" spans="1:22" x14ac:dyDescent="0.25">
      <c r="A645" s="6"/>
      <c r="B645" s="11"/>
      <c r="C645" s="12"/>
      <c r="D645" s="12"/>
      <c r="E645" s="8">
        <f t="shared" si="9"/>
        <v>0</v>
      </c>
      <c r="F645" s="10"/>
      <c r="G645" s="10"/>
      <c r="H645" s="9"/>
      <c r="I645" s="7"/>
      <c r="J645" s="7"/>
      <c r="K645" s="7">
        <f ca="1">IFERROR(IF(COUNTA(J$56:J645)=J$54,J645,FORECAST(D645,OFFSET(M$56:M$254,MATCH(D645,L$56:L$254,1)-1,0,2), OFFSET(L$56:L$254,MATCH(D645,L$56:L$254,1)-1,0,2))),"")</f>
        <v>0</v>
      </c>
      <c r="L645" s="7" t="str">
        <f t="array" ref="L645">IFERROR(INDEX(D$56:D$1054,SMALL(IF(ISNUMBER(J$56:J$1054),ROW(D$1:D$999),""),ROW(D590))),"")</f>
        <v/>
      </c>
      <c r="M645" s="7" t="str">
        <f t="array" ref="M645">IFERROR(INDEX(J$56:J$1054,SMALL(IF(ISNUMBER(J$56:J$1054),ROW(J$1:J$999),""),ROW(J590))),"")</f>
        <v/>
      </c>
      <c r="N645" s="7"/>
      <c r="O645" s="7"/>
      <c r="P645" s="7"/>
      <c r="Q645" s="7">
        <f ca="1">IFERROR(IF(COUNTA(P$56:P645)=P$54,P645,FORECAST(D645,OFFSET(S$56:S$254,MATCH(D645,R$56:R$254,1)-1,0,2), OFFSET(R$56:R$254,MATCH(D645,R$56:R$254,1)-1,0,2))),"")</f>
        <v>0</v>
      </c>
      <c r="R645" s="7" t="str">
        <f t="array" ref="R645">IFERROR(INDEX(E$56:E$1054,SMALL(IF(ISNUMBER(P$56:P$1054),ROW(E$1:E$999),""),ROW(J590))),"")</f>
        <v/>
      </c>
      <c r="S645" s="7" t="str">
        <f t="array" ref="S645">IFERROR(INDEX(P$56:P$1054,SMALL(IF(ISNUMBER(P$56:P$1054),ROW(P$1:P$999),""),ROW(P590))),"")</f>
        <v/>
      </c>
      <c r="T645" s="7"/>
      <c r="U645" s="7"/>
      <c r="V645" s="7"/>
    </row>
    <row r="646" spans="1:22" x14ac:dyDescent="0.25">
      <c r="A646" s="6"/>
      <c r="B646" s="11"/>
      <c r="C646" s="12"/>
      <c r="D646" s="12"/>
      <c r="E646" s="8">
        <f t="shared" si="9"/>
        <v>0</v>
      </c>
      <c r="F646" s="10"/>
      <c r="G646" s="10"/>
      <c r="H646" s="9"/>
      <c r="I646" s="7"/>
      <c r="J646" s="7"/>
      <c r="K646" s="7">
        <f ca="1">IFERROR(IF(COUNTA(J$56:J646)=J$54,J646,FORECAST(D646,OFFSET(M$56:M$254,MATCH(D646,L$56:L$254,1)-1,0,2), OFFSET(L$56:L$254,MATCH(D646,L$56:L$254,1)-1,0,2))),"")</f>
        <v>0</v>
      </c>
      <c r="L646" s="7" t="str">
        <f t="array" ref="L646">IFERROR(INDEX(D$56:D$1054,SMALL(IF(ISNUMBER(J$56:J$1054),ROW(D$1:D$999),""),ROW(D591))),"")</f>
        <v/>
      </c>
      <c r="M646" s="7" t="str">
        <f t="array" ref="M646">IFERROR(INDEX(J$56:J$1054,SMALL(IF(ISNUMBER(J$56:J$1054),ROW(J$1:J$999),""),ROW(J591))),"")</f>
        <v/>
      </c>
      <c r="N646" s="7"/>
      <c r="O646" s="7"/>
      <c r="P646" s="7"/>
      <c r="Q646" s="7">
        <f ca="1">IFERROR(IF(COUNTA(P$56:P646)=P$54,P646,FORECAST(D646,OFFSET(S$56:S$254,MATCH(D646,R$56:R$254,1)-1,0,2), OFFSET(R$56:R$254,MATCH(D646,R$56:R$254,1)-1,0,2))),"")</f>
        <v>0</v>
      </c>
      <c r="R646" s="7" t="str">
        <f t="array" ref="R646">IFERROR(INDEX(E$56:E$1054,SMALL(IF(ISNUMBER(P$56:P$1054),ROW(E$1:E$999),""),ROW(J591))),"")</f>
        <v/>
      </c>
      <c r="S646" s="7" t="str">
        <f t="array" ref="S646">IFERROR(INDEX(P$56:P$1054,SMALL(IF(ISNUMBER(P$56:P$1054),ROW(P$1:P$999),""),ROW(P591))),"")</f>
        <v/>
      </c>
      <c r="T646" s="7"/>
      <c r="U646" s="7"/>
      <c r="V646" s="7"/>
    </row>
    <row r="647" spans="1:22" x14ac:dyDescent="0.25">
      <c r="A647" s="6"/>
      <c r="B647" s="11"/>
      <c r="C647" s="12"/>
      <c r="D647" s="12"/>
      <c r="E647" s="8">
        <f t="shared" si="9"/>
        <v>0</v>
      </c>
      <c r="F647" s="10"/>
      <c r="G647" s="10"/>
      <c r="H647" s="9"/>
      <c r="I647" s="7"/>
      <c r="J647" s="7"/>
      <c r="K647" s="7">
        <f ca="1">IFERROR(IF(COUNTA(J$56:J647)=J$54,J647,FORECAST(D647,OFFSET(M$56:M$254,MATCH(D647,L$56:L$254,1)-1,0,2), OFFSET(L$56:L$254,MATCH(D647,L$56:L$254,1)-1,0,2))),"")</f>
        <v>0</v>
      </c>
      <c r="L647" s="7" t="str">
        <f t="array" ref="L647">IFERROR(INDEX(D$56:D$1054,SMALL(IF(ISNUMBER(J$56:J$1054),ROW(D$1:D$999),""),ROW(D592))),"")</f>
        <v/>
      </c>
      <c r="M647" s="7" t="str">
        <f t="array" ref="M647">IFERROR(INDEX(J$56:J$1054,SMALL(IF(ISNUMBER(J$56:J$1054),ROW(J$1:J$999),""),ROW(J592))),"")</f>
        <v/>
      </c>
      <c r="N647" s="7"/>
      <c r="O647" s="7"/>
      <c r="P647" s="7"/>
      <c r="Q647" s="7">
        <f ca="1">IFERROR(IF(COUNTA(P$56:P647)=P$54,P647,FORECAST(D647,OFFSET(S$56:S$254,MATCH(D647,R$56:R$254,1)-1,0,2), OFFSET(R$56:R$254,MATCH(D647,R$56:R$254,1)-1,0,2))),"")</f>
        <v>0</v>
      </c>
      <c r="R647" s="7" t="str">
        <f t="array" ref="R647">IFERROR(INDEX(E$56:E$1054,SMALL(IF(ISNUMBER(P$56:P$1054),ROW(E$1:E$999),""),ROW(J592))),"")</f>
        <v/>
      </c>
      <c r="S647" s="7" t="str">
        <f t="array" ref="S647">IFERROR(INDEX(P$56:P$1054,SMALL(IF(ISNUMBER(P$56:P$1054),ROW(P$1:P$999),""),ROW(P592))),"")</f>
        <v/>
      </c>
      <c r="T647" s="7"/>
      <c r="U647" s="7"/>
      <c r="V647" s="7"/>
    </row>
    <row r="648" spans="1:22" x14ac:dyDescent="0.25">
      <c r="A648" s="6"/>
      <c r="B648" s="11"/>
      <c r="C648" s="12"/>
      <c r="D648" s="12"/>
      <c r="E648" s="8">
        <f t="shared" si="9"/>
        <v>0</v>
      </c>
      <c r="F648" s="10"/>
      <c r="G648" s="10"/>
      <c r="H648" s="9"/>
      <c r="I648" s="7"/>
      <c r="J648" s="7"/>
      <c r="K648" s="7">
        <f ca="1">IFERROR(IF(COUNTA(J$56:J648)=J$54,J648,FORECAST(D648,OFFSET(M$56:M$254,MATCH(D648,L$56:L$254,1)-1,0,2), OFFSET(L$56:L$254,MATCH(D648,L$56:L$254,1)-1,0,2))),"")</f>
        <v>0</v>
      </c>
      <c r="L648" s="7" t="str">
        <f t="array" ref="L648">IFERROR(INDEX(D$56:D$1054,SMALL(IF(ISNUMBER(J$56:J$1054),ROW(D$1:D$999),""),ROW(D593))),"")</f>
        <v/>
      </c>
      <c r="M648" s="7" t="str">
        <f t="array" ref="M648">IFERROR(INDEX(J$56:J$1054,SMALL(IF(ISNUMBER(J$56:J$1054),ROW(J$1:J$999),""),ROW(J593))),"")</f>
        <v/>
      </c>
      <c r="N648" s="7"/>
      <c r="O648" s="7"/>
      <c r="P648" s="7"/>
      <c r="Q648" s="7">
        <f ca="1">IFERROR(IF(COUNTA(P$56:P648)=P$54,P648,FORECAST(D648,OFFSET(S$56:S$254,MATCH(D648,R$56:R$254,1)-1,0,2), OFFSET(R$56:R$254,MATCH(D648,R$56:R$254,1)-1,0,2))),"")</f>
        <v>0</v>
      </c>
      <c r="R648" s="7" t="str">
        <f t="array" ref="R648">IFERROR(INDEX(E$56:E$1054,SMALL(IF(ISNUMBER(P$56:P$1054),ROW(E$1:E$999),""),ROW(J593))),"")</f>
        <v/>
      </c>
      <c r="S648" s="7" t="str">
        <f t="array" ref="S648">IFERROR(INDEX(P$56:P$1054,SMALL(IF(ISNUMBER(P$56:P$1054),ROW(P$1:P$999),""),ROW(P593))),"")</f>
        <v/>
      </c>
      <c r="T648" s="7"/>
      <c r="U648" s="7"/>
      <c r="V648" s="7"/>
    </row>
    <row r="649" spans="1:22" x14ac:dyDescent="0.25">
      <c r="A649" s="6"/>
      <c r="B649" s="11"/>
      <c r="C649" s="12"/>
      <c r="D649" s="12"/>
      <c r="E649" s="8">
        <f t="shared" si="9"/>
        <v>0</v>
      </c>
      <c r="F649" s="10"/>
      <c r="G649" s="10"/>
      <c r="H649" s="9"/>
      <c r="I649" s="7"/>
      <c r="J649" s="7"/>
      <c r="K649" s="7">
        <f ca="1">IFERROR(IF(COUNTA(J$56:J649)=J$54,J649,FORECAST(D649,OFFSET(M$56:M$254,MATCH(D649,L$56:L$254,1)-1,0,2), OFFSET(L$56:L$254,MATCH(D649,L$56:L$254,1)-1,0,2))),"")</f>
        <v>0</v>
      </c>
      <c r="L649" s="7" t="str">
        <f t="array" ref="L649">IFERROR(INDEX(D$56:D$1054,SMALL(IF(ISNUMBER(J$56:J$1054),ROW(D$1:D$999),""),ROW(D594))),"")</f>
        <v/>
      </c>
      <c r="M649" s="7" t="str">
        <f t="array" ref="M649">IFERROR(INDEX(J$56:J$1054,SMALL(IF(ISNUMBER(J$56:J$1054),ROW(J$1:J$999),""),ROW(J594))),"")</f>
        <v/>
      </c>
      <c r="N649" s="7"/>
      <c r="O649" s="7"/>
      <c r="P649" s="7"/>
      <c r="Q649" s="7">
        <f ca="1">IFERROR(IF(COUNTA(P$56:P649)=P$54,P649,FORECAST(D649,OFFSET(S$56:S$254,MATCH(D649,R$56:R$254,1)-1,0,2), OFFSET(R$56:R$254,MATCH(D649,R$56:R$254,1)-1,0,2))),"")</f>
        <v>0</v>
      </c>
      <c r="R649" s="7" t="str">
        <f t="array" ref="R649">IFERROR(INDEX(E$56:E$1054,SMALL(IF(ISNUMBER(P$56:P$1054),ROW(E$1:E$999),""),ROW(J594))),"")</f>
        <v/>
      </c>
      <c r="S649" s="7" t="str">
        <f t="array" ref="S649">IFERROR(INDEX(P$56:P$1054,SMALL(IF(ISNUMBER(P$56:P$1054),ROW(P$1:P$999),""),ROW(P594))),"")</f>
        <v/>
      </c>
      <c r="T649" s="7"/>
      <c r="U649" s="7"/>
      <c r="V649" s="7"/>
    </row>
    <row r="650" spans="1:22" x14ac:dyDescent="0.25">
      <c r="A650" s="6"/>
      <c r="B650" s="11"/>
      <c r="C650" s="12"/>
      <c r="D650" s="12"/>
      <c r="E650" s="8">
        <f t="shared" si="9"/>
        <v>0</v>
      </c>
      <c r="F650" s="10"/>
      <c r="G650" s="10"/>
      <c r="H650" s="9"/>
      <c r="I650" s="7"/>
      <c r="J650" s="7"/>
      <c r="K650" s="7">
        <f ca="1">IFERROR(IF(COUNTA(J$56:J650)=J$54,J650,FORECAST(D650,OFFSET(M$56:M$254,MATCH(D650,L$56:L$254,1)-1,0,2), OFFSET(L$56:L$254,MATCH(D650,L$56:L$254,1)-1,0,2))),"")</f>
        <v>0</v>
      </c>
      <c r="L650" s="7" t="str">
        <f t="array" ref="L650">IFERROR(INDEX(D$56:D$1054,SMALL(IF(ISNUMBER(J$56:J$1054),ROW(D$1:D$999),""),ROW(D595))),"")</f>
        <v/>
      </c>
      <c r="M650" s="7" t="str">
        <f t="array" ref="M650">IFERROR(INDEX(J$56:J$1054,SMALL(IF(ISNUMBER(J$56:J$1054),ROW(J$1:J$999),""),ROW(J595))),"")</f>
        <v/>
      </c>
      <c r="N650" s="7"/>
      <c r="O650" s="7"/>
      <c r="P650" s="7"/>
      <c r="Q650" s="7">
        <f ca="1">IFERROR(IF(COUNTA(P$56:P650)=P$54,P650,FORECAST(D650,OFFSET(S$56:S$254,MATCH(D650,R$56:R$254,1)-1,0,2), OFFSET(R$56:R$254,MATCH(D650,R$56:R$254,1)-1,0,2))),"")</f>
        <v>0</v>
      </c>
      <c r="R650" s="7" t="str">
        <f t="array" ref="R650">IFERROR(INDEX(E$56:E$1054,SMALL(IF(ISNUMBER(P$56:P$1054),ROW(E$1:E$999),""),ROW(J595))),"")</f>
        <v/>
      </c>
      <c r="S650" s="7" t="str">
        <f t="array" ref="S650">IFERROR(INDEX(P$56:P$1054,SMALL(IF(ISNUMBER(P$56:P$1054),ROW(P$1:P$999),""),ROW(P595))),"")</f>
        <v/>
      </c>
      <c r="T650" s="7"/>
      <c r="U650" s="7"/>
      <c r="V650" s="7"/>
    </row>
    <row r="651" spans="1:22" x14ac:dyDescent="0.25">
      <c r="A651" s="6"/>
      <c r="B651" s="11"/>
      <c r="C651" s="12"/>
      <c r="D651" s="12"/>
      <c r="E651" s="8">
        <f t="shared" si="9"/>
        <v>0</v>
      </c>
      <c r="F651" s="10"/>
      <c r="G651" s="10"/>
      <c r="H651" s="9"/>
      <c r="I651" s="7"/>
      <c r="J651" s="7"/>
      <c r="K651" s="7">
        <f ca="1">IFERROR(IF(COUNTA(J$56:J651)=J$54,J651,FORECAST(D651,OFFSET(M$56:M$254,MATCH(D651,L$56:L$254,1)-1,0,2), OFFSET(L$56:L$254,MATCH(D651,L$56:L$254,1)-1,0,2))),"")</f>
        <v>0</v>
      </c>
      <c r="L651" s="7" t="str">
        <f t="array" ref="L651">IFERROR(INDEX(D$56:D$1054,SMALL(IF(ISNUMBER(J$56:J$1054),ROW(D$1:D$999),""),ROW(D596))),"")</f>
        <v/>
      </c>
      <c r="M651" s="7" t="str">
        <f t="array" ref="M651">IFERROR(INDEX(J$56:J$1054,SMALL(IF(ISNUMBER(J$56:J$1054),ROW(J$1:J$999),""),ROW(J596))),"")</f>
        <v/>
      </c>
      <c r="N651" s="7"/>
      <c r="O651" s="7"/>
      <c r="P651" s="7"/>
      <c r="Q651" s="7">
        <f ca="1">IFERROR(IF(COUNTA(P$56:P651)=P$54,P651,FORECAST(D651,OFFSET(S$56:S$254,MATCH(D651,R$56:R$254,1)-1,0,2), OFFSET(R$56:R$254,MATCH(D651,R$56:R$254,1)-1,0,2))),"")</f>
        <v>0</v>
      </c>
      <c r="R651" s="7" t="str">
        <f t="array" ref="R651">IFERROR(INDEX(E$56:E$1054,SMALL(IF(ISNUMBER(P$56:P$1054),ROW(E$1:E$999),""),ROW(J596))),"")</f>
        <v/>
      </c>
      <c r="S651" s="7" t="str">
        <f t="array" ref="S651">IFERROR(INDEX(P$56:P$1054,SMALL(IF(ISNUMBER(P$56:P$1054),ROW(P$1:P$999),""),ROW(P596))),"")</f>
        <v/>
      </c>
      <c r="T651" s="7"/>
      <c r="U651" s="7"/>
      <c r="V651" s="7"/>
    </row>
    <row r="652" spans="1:22" x14ac:dyDescent="0.25">
      <c r="A652" s="6"/>
      <c r="B652" s="11"/>
      <c r="C652" s="12"/>
      <c r="D652" s="12"/>
      <c r="E652" s="8">
        <f t="shared" si="9"/>
        <v>0</v>
      </c>
      <c r="F652" s="10"/>
      <c r="G652" s="10"/>
      <c r="H652" s="9"/>
      <c r="I652" s="7"/>
      <c r="J652" s="7"/>
      <c r="K652" s="7">
        <f ca="1">IFERROR(IF(COUNTA(J$56:J652)=J$54,J652,FORECAST(D652,OFFSET(M$56:M$254,MATCH(D652,L$56:L$254,1)-1,0,2), OFFSET(L$56:L$254,MATCH(D652,L$56:L$254,1)-1,0,2))),"")</f>
        <v>0</v>
      </c>
      <c r="L652" s="7" t="str">
        <f t="array" ref="L652">IFERROR(INDEX(D$56:D$1054,SMALL(IF(ISNUMBER(J$56:J$1054),ROW(D$1:D$999),""),ROW(D597))),"")</f>
        <v/>
      </c>
      <c r="M652" s="7" t="str">
        <f t="array" ref="M652">IFERROR(INDEX(J$56:J$1054,SMALL(IF(ISNUMBER(J$56:J$1054),ROW(J$1:J$999),""),ROW(J597))),"")</f>
        <v/>
      </c>
      <c r="N652" s="7"/>
      <c r="O652" s="7"/>
      <c r="P652" s="7"/>
      <c r="Q652" s="7">
        <f ca="1">IFERROR(IF(COUNTA(P$56:P652)=P$54,P652,FORECAST(D652,OFFSET(S$56:S$254,MATCH(D652,R$56:R$254,1)-1,0,2), OFFSET(R$56:R$254,MATCH(D652,R$56:R$254,1)-1,0,2))),"")</f>
        <v>0</v>
      </c>
      <c r="R652" s="7" t="str">
        <f t="array" ref="R652">IFERROR(INDEX(E$56:E$1054,SMALL(IF(ISNUMBER(P$56:P$1054),ROW(E$1:E$999),""),ROW(J597))),"")</f>
        <v/>
      </c>
      <c r="S652" s="7" t="str">
        <f t="array" ref="S652">IFERROR(INDEX(P$56:P$1054,SMALL(IF(ISNUMBER(P$56:P$1054),ROW(P$1:P$999),""),ROW(P597))),"")</f>
        <v/>
      </c>
      <c r="T652" s="7"/>
      <c r="U652" s="7"/>
      <c r="V652" s="7"/>
    </row>
    <row r="653" spans="1:22" x14ac:dyDescent="0.25">
      <c r="A653" s="6"/>
      <c r="B653" s="11"/>
      <c r="C653" s="12"/>
      <c r="D653" s="12"/>
      <c r="E653" s="8">
        <f t="shared" si="9"/>
        <v>0</v>
      </c>
      <c r="F653" s="10"/>
      <c r="G653" s="10"/>
      <c r="H653" s="9"/>
      <c r="I653" s="7"/>
      <c r="J653" s="7"/>
      <c r="K653" s="7">
        <f ca="1">IFERROR(IF(COUNTA(J$56:J653)=J$54,J653,FORECAST(D653,OFFSET(M$56:M$254,MATCH(D653,L$56:L$254,1)-1,0,2), OFFSET(L$56:L$254,MATCH(D653,L$56:L$254,1)-1,0,2))),"")</f>
        <v>0</v>
      </c>
      <c r="L653" s="7" t="str">
        <f t="array" ref="L653">IFERROR(INDEX(D$56:D$1054,SMALL(IF(ISNUMBER(J$56:J$1054),ROW(D$1:D$999),""),ROW(D598))),"")</f>
        <v/>
      </c>
      <c r="M653" s="7" t="str">
        <f t="array" ref="M653">IFERROR(INDEX(J$56:J$1054,SMALL(IF(ISNUMBER(J$56:J$1054),ROW(J$1:J$999),""),ROW(J598))),"")</f>
        <v/>
      </c>
      <c r="N653" s="7"/>
      <c r="O653" s="7"/>
      <c r="P653" s="7"/>
      <c r="Q653" s="7">
        <f ca="1">IFERROR(IF(COUNTA(P$56:P653)=P$54,P653,FORECAST(D653,OFFSET(S$56:S$254,MATCH(D653,R$56:R$254,1)-1,0,2), OFFSET(R$56:R$254,MATCH(D653,R$56:R$254,1)-1,0,2))),"")</f>
        <v>0</v>
      </c>
      <c r="R653" s="7" t="str">
        <f t="array" ref="R653">IFERROR(INDEX(E$56:E$1054,SMALL(IF(ISNUMBER(P$56:P$1054),ROW(E$1:E$999),""),ROW(J598))),"")</f>
        <v/>
      </c>
      <c r="S653" s="7" t="str">
        <f t="array" ref="S653">IFERROR(INDEX(P$56:P$1054,SMALL(IF(ISNUMBER(P$56:P$1054),ROW(P$1:P$999),""),ROW(P598))),"")</f>
        <v/>
      </c>
      <c r="T653" s="7"/>
      <c r="U653" s="7"/>
      <c r="V653" s="7"/>
    </row>
    <row r="654" spans="1:22" x14ac:dyDescent="0.25">
      <c r="A654" s="6"/>
      <c r="B654" s="11"/>
      <c r="C654" s="12"/>
      <c r="D654" s="12"/>
      <c r="E654" s="8">
        <f t="shared" si="9"/>
        <v>0</v>
      </c>
      <c r="F654" s="10"/>
      <c r="G654" s="10"/>
      <c r="H654" s="9"/>
      <c r="I654" s="7"/>
      <c r="J654" s="7"/>
      <c r="K654" s="7">
        <f ca="1">IFERROR(IF(COUNTA(J$56:J654)=J$54,J654,FORECAST(D654,OFFSET(M$56:M$254,MATCH(D654,L$56:L$254,1)-1,0,2), OFFSET(L$56:L$254,MATCH(D654,L$56:L$254,1)-1,0,2))),"")</f>
        <v>0</v>
      </c>
      <c r="L654" s="7" t="str">
        <f t="array" ref="L654">IFERROR(INDEX(D$56:D$1054,SMALL(IF(ISNUMBER(J$56:J$1054),ROW(D$1:D$999),""),ROW(D599))),"")</f>
        <v/>
      </c>
      <c r="M654" s="7" t="str">
        <f t="array" ref="M654">IFERROR(INDEX(J$56:J$1054,SMALL(IF(ISNUMBER(J$56:J$1054),ROW(J$1:J$999),""),ROW(J599))),"")</f>
        <v/>
      </c>
      <c r="N654" s="7"/>
      <c r="O654" s="7"/>
      <c r="P654" s="7"/>
      <c r="Q654" s="7">
        <f ca="1">IFERROR(IF(COUNTA(P$56:P654)=P$54,P654,FORECAST(D654,OFFSET(S$56:S$254,MATCH(D654,R$56:R$254,1)-1,0,2), OFFSET(R$56:R$254,MATCH(D654,R$56:R$254,1)-1,0,2))),"")</f>
        <v>0</v>
      </c>
      <c r="R654" s="7" t="str">
        <f t="array" ref="R654">IFERROR(INDEX(E$56:E$1054,SMALL(IF(ISNUMBER(P$56:P$1054),ROW(E$1:E$999),""),ROW(J599))),"")</f>
        <v/>
      </c>
      <c r="S654" s="7" t="str">
        <f t="array" ref="S654">IFERROR(INDEX(P$56:P$1054,SMALL(IF(ISNUMBER(P$56:P$1054),ROW(P$1:P$999),""),ROW(P599))),"")</f>
        <v/>
      </c>
      <c r="T654" s="7"/>
      <c r="U654" s="7"/>
      <c r="V654" s="7"/>
    </row>
    <row r="655" spans="1:22" x14ac:dyDescent="0.25">
      <c r="A655" s="6"/>
      <c r="B655" s="11"/>
      <c r="C655" s="12"/>
      <c r="D655" s="12"/>
      <c r="E655" s="8">
        <f t="shared" si="9"/>
        <v>0</v>
      </c>
      <c r="F655" s="10"/>
      <c r="G655" s="10"/>
      <c r="H655" s="9"/>
      <c r="I655" s="7"/>
      <c r="J655" s="7"/>
      <c r="K655" s="7">
        <f ca="1">IFERROR(IF(COUNTA(J$56:J655)=J$54,J655,FORECAST(D655,OFFSET(M$56:M$254,MATCH(D655,L$56:L$254,1)-1,0,2), OFFSET(L$56:L$254,MATCH(D655,L$56:L$254,1)-1,0,2))),"")</f>
        <v>0</v>
      </c>
      <c r="L655" s="7" t="str">
        <f t="array" ref="L655">IFERROR(INDEX(D$56:D$1054,SMALL(IF(ISNUMBER(J$56:J$1054),ROW(D$1:D$999),""),ROW(D600))),"")</f>
        <v/>
      </c>
      <c r="M655" s="7" t="str">
        <f t="array" ref="M655">IFERROR(INDEX(J$56:J$1054,SMALL(IF(ISNUMBER(J$56:J$1054),ROW(J$1:J$999),""),ROW(J600))),"")</f>
        <v/>
      </c>
      <c r="N655" s="7"/>
      <c r="O655" s="7"/>
      <c r="P655" s="7"/>
      <c r="Q655" s="7">
        <f ca="1">IFERROR(IF(COUNTA(P$56:P655)=P$54,P655,FORECAST(D655,OFFSET(S$56:S$254,MATCH(D655,R$56:R$254,1)-1,0,2), OFFSET(R$56:R$254,MATCH(D655,R$56:R$254,1)-1,0,2))),"")</f>
        <v>0</v>
      </c>
      <c r="R655" s="7" t="str">
        <f t="array" ref="R655">IFERROR(INDEX(E$56:E$1054,SMALL(IF(ISNUMBER(P$56:P$1054),ROW(E$1:E$999),""),ROW(J600))),"")</f>
        <v/>
      </c>
      <c r="S655" s="7" t="str">
        <f t="array" ref="S655">IFERROR(INDEX(P$56:P$1054,SMALL(IF(ISNUMBER(P$56:P$1054),ROW(P$1:P$999),""),ROW(P600))),"")</f>
        <v/>
      </c>
      <c r="T655" s="7"/>
      <c r="U655" s="7"/>
      <c r="V655" s="7"/>
    </row>
    <row r="656" spans="1:22" x14ac:dyDescent="0.25">
      <c r="A656" s="6"/>
      <c r="B656" s="11"/>
      <c r="C656" s="12"/>
      <c r="D656" s="12"/>
      <c r="E656" s="8">
        <f t="shared" si="9"/>
        <v>0</v>
      </c>
      <c r="F656" s="10"/>
      <c r="G656" s="10"/>
      <c r="H656" s="9"/>
      <c r="I656" s="7"/>
      <c r="J656" s="7"/>
      <c r="K656" s="7">
        <f ca="1">IFERROR(IF(COUNTA(J$56:J656)=J$54,J656,FORECAST(D656,OFFSET(M$56:M$254,MATCH(D656,L$56:L$254,1)-1,0,2), OFFSET(L$56:L$254,MATCH(D656,L$56:L$254,1)-1,0,2))),"")</f>
        <v>0</v>
      </c>
      <c r="L656" s="7" t="str">
        <f t="array" ref="L656">IFERROR(INDEX(D$56:D$1054,SMALL(IF(ISNUMBER(J$56:J$1054),ROW(D$1:D$999),""),ROW(D601))),"")</f>
        <v/>
      </c>
      <c r="M656" s="7" t="str">
        <f t="array" ref="M656">IFERROR(INDEX(J$56:J$1054,SMALL(IF(ISNUMBER(J$56:J$1054),ROW(J$1:J$999),""),ROW(J601))),"")</f>
        <v/>
      </c>
      <c r="N656" s="7"/>
      <c r="O656" s="7"/>
      <c r="P656" s="7"/>
      <c r="Q656" s="7">
        <f ca="1">IFERROR(IF(COUNTA(P$56:P656)=P$54,P656,FORECAST(D656,OFFSET(S$56:S$254,MATCH(D656,R$56:R$254,1)-1,0,2), OFFSET(R$56:R$254,MATCH(D656,R$56:R$254,1)-1,0,2))),"")</f>
        <v>0</v>
      </c>
      <c r="R656" s="7" t="str">
        <f t="array" ref="R656">IFERROR(INDEX(E$56:E$1054,SMALL(IF(ISNUMBER(P$56:P$1054),ROW(E$1:E$999),""),ROW(J601))),"")</f>
        <v/>
      </c>
      <c r="S656" s="7" t="str">
        <f t="array" ref="S656">IFERROR(INDEX(P$56:P$1054,SMALL(IF(ISNUMBER(P$56:P$1054),ROW(P$1:P$999),""),ROW(P601))),"")</f>
        <v/>
      </c>
      <c r="T656" s="7"/>
      <c r="U656" s="7"/>
      <c r="V656" s="7"/>
    </row>
    <row r="657" spans="1:22" x14ac:dyDescent="0.25">
      <c r="A657" s="6"/>
      <c r="B657" s="11"/>
      <c r="C657" s="12"/>
      <c r="D657" s="12"/>
      <c r="E657" s="8">
        <f t="shared" si="9"/>
        <v>0</v>
      </c>
      <c r="F657" s="10"/>
      <c r="G657" s="10"/>
      <c r="H657" s="9"/>
      <c r="I657" s="7"/>
      <c r="J657" s="7"/>
      <c r="K657" s="7">
        <f ca="1">IFERROR(IF(COUNTA(J$56:J657)=J$54,J657,FORECAST(D657,OFFSET(M$56:M$254,MATCH(D657,L$56:L$254,1)-1,0,2), OFFSET(L$56:L$254,MATCH(D657,L$56:L$254,1)-1,0,2))),"")</f>
        <v>0</v>
      </c>
      <c r="L657" s="7" t="str">
        <f t="array" ref="L657">IFERROR(INDEX(D$56:D$1054,SMALL(IF(ISNUMBER(J$56:J$1054),ROW(D$1:D$999),""),ROW(D602))),"")</f>
        <v/>
      </c>
      <c r="M657" s="7" t="str">
        <f t="array" ref="M657">IFERROR(INDEX(J$56:J$1054,SMALL(IF(ISNUMBER(J$56:J$1054),ROW(J$1:J$999),""),ROW(J602))),"")</f>
        <v/>
      </c>
      <c r="N657" s="7"/>
      <c r="O657" s="7"/>
      <c r="P657" s="7"/>
      <c r="Q657" s="7">
        <f ca="1">IFERROR(IF(COUNTA(P$56:P657)=P$54,P657,FORECAST(D657,OFFSET(S$56:S$254,MATCH(D657,R$56:R$254,1)-1,0,2), OFFSET(R$56:R$254,MATCH(D657,R$56:R$254,1)-1,0,2))),"")</f>
        <v>0</v>
      </c>
      <c r="R657" s="7" t="str">
        <f t="array" ref="R657">IFERROR(INDEX(E$56:E$1054,SMALL(IF(ISNUMBER(P$56:P$1054),ROW(E$1:E$999),""),ROW(J602))),"")</f>
        <v/>
      </c>
      <c r="S657" s="7" t="str">
        <f t="array" ref="S657">IFERROR(INDEX(P$56:P$1054,SMALL(IF(ISNUMBER(P$56:P$1054),ROW(P$1:P$999),""),ROW(P602))),"")</f>
        <v/>
      </c>
      <c r="T657" s="7"/>
      <c r="U657" s="7"/>
      <c r="V657" s="7"/>
    </row>
    <row r="658" spans="1:22" x14ac:dyDescent="0.25">
      <c r="A658" s="6"/>
      <c r="B658" s="11"/>
      <c r="C658" s="12"/>
      <c r="D658" s="12"/>
      <c r="E658" s="8">
        <f t="shared" si="9"/>
        <v>0</v>
      </c>
      <c r="F658" s="10"/>
      <c r="G658" s="10"/>
      <c r="H658" s="9"/>
      <c r="I658" s="7"/>
      <c r="J658" s="7"/>
      <c r="K658" s="7">
        <f ca="1">IFERROR(IF(COUNTA(J$56:J658)=J$54,J658,FORECAST(D658,OFFSET(M$56:M$254,MATCH(D658,L$56:L$254,1)-1,0,2), OFFSET(L$56:L$254,MATCH(D658,L$56:L$254,1)-1,0,2))),"")</f>
        <v>0</v>
      </c>
      <c r="L658" s="7" t="str">
        <f t="array" ref="L658">IFERROR(INDEX(D$56:D$1054,SMALL(IF(ISNUMBER(J$56:J$1054),ROW(D$1:D$999),""),ROW(D603))),"")</f>
        <v/>
      </c>
      <c r="M658" s="7" t="str">
        <f t="array" ref="M658">IFERROR(INDEX(J$56:J$1054,SMALL(IF(ISNUMBER(J$56:J$1054),ROW(J$1:J$999),""),ROW(J603))),"")</f>
        <v/>
      </c>
      <c r="N658" s="7"/>
      <c r="O658" s="7"/>
      <c r="P658" s="7"/>
      <c r="Q658" s="7">
        <f ca="1">IFERROR(IF(COUNTA(P$56:P658)=P$54,P658,FORECAST(D658,OFFSET(S$56:S$254,MATCH(D658,R$56:R$254,1)-1,0,2), OFFSET(R$56:R$254,MATCH(D658,R$56:R$254,1)-1,0,2))),"")</f>
        <v>0</v>
      </c>
      <c r="R658" s="7" t="str">
        <f t="array" ref="R658">IFERROR(INDEX(E$56:E$1054,SMALL(IF(ISNUMBER(P$56:P$1054),ROW(E$1:E$999),""),ROW(J603))),"")</f>
        <v/>
      </c>
      <c r="S658" s="7" t="str">
        <f t="array" ref="S658">IFERROR(INDEX(P$56:P$1054,SMALL(IF(ISNUMBER(P$56:P$1054),ROW(P$1:P$999),""),ROW(P603))),"")</f>
        <v/>
      </c>
      <c r="T658" s="7"/>
      <c r="U658" s="7"/>
      <c r="V658" s="7"/>
    </row>
    <row r="659" spans="1:22" x14ac:dyDescent="0.25">
      <c r="A659" s="6"/>
      <c r="B659" s="11"/>
      <c r="C659" s="12"/>
      <c r="D659" s="12"/>
      <c r="E659" s="8">
        <f t="shared" si="9"/>
        <v>0</v>
      </c>
      <c r="F659" s="10"/>
      <c r="G659" s="10"/>
      <c r="H659" s="9"/>
      <c r="I659" s="7"/>
      <c r="J659" s="7"/>
      <c r="K659" s="7">
        <f ca="1">IFERROR(IF(COUNTA(J$56:J659)=J$54,J659,FORECAST(D659,OFFSET(M$56:M$254,MATCH(D659,L$56:L$254,1)-1,0,2), OFFSET(L$56:L$254,MATCH(D659,L$56:L$254,1)-1,0,2))),"")</f>
        <v>0</v>
      </c>
      <c r="L659" s="7" t="str">
        <f t="array" ref="L659">IFERROR(INDEX(D$56:D$1054,SMALL(IF(ISNUMBER(J$56:J$1054),ROW(D$1:D$999),""),ROW(D604))),"")</f>
        <v/>
      </c>
      <c r="M659" s="7" t="str">
        <f t="array" ref="M659">IFERROR(INDEX(J$56:J$1054,SMALL(IF(ISNUMBER(J$56:J$1054),ROW(J$1:J$999),""),ROW(J604))),"")</f>
        <v/>
      </c>
      <c r="N659" s="7"/>
      <c r="O659" s="7"/>
      <c r="P659" s="7"/>
      <c r="Q659" s="7">
        <f ca="1">IFERROR(IF(COUNTA(P$56:P659)=P$54,P659,FORECAST(D659,OFFSET(S$56:S$254,MATCH(D659,R$56:R$254,1)-1,0,2), OFFSET(R$56:R$254,MATCH(D659,R$56:R$254,1)-1,0,2))),"")</f>
        <v>0</v>
      </c>
      <c r="R659" s="7" t="str">
        <f t="array" ref="R659">IFERROR(INDEX(E$56:E$1054,SMALL(IF(ISNUMBER(P$56:P$1054),ROW(E$1:E$999),""),ROW(J604))),"")</f>
        <v/>
      </c>
      <c r="S659" s="7" t="str">
        <f t="array" ref="S659">IFERROR(INDEX(P$56:P$1054,SMALL(IF(ISNUMBER(P$56:P$1054),ROW(P$1:P$999),""),ROW(P604))),"")</f>
        <v/>
      </c>
      <c r="T659" s="7"/>
      <c r="U659" s="7"/>
      <c r="V659" s="7"/>
    </row>
    <row r="660" spans="1:22" x14ac:dyDescent="0.25">
      <c r="A660" s="6"/>
      <c r="B660" s="11"/>
      <c r="C660" s="12"/>
      <c r="D660" s="12"/>
      <c r="E660" s="8">
        <f t="shared" si="9"/>
        <v>0</v>
      </c>
      <c r="F660" s="10"/>
      <c r="G660" s="10"/>
      <c r="H660" s="9"/>
      <c r="I660" s="7"/>
      <c r="J660" s="7"/>
      <c r="K660" s="7">
        <f ca="1">IFERROR(IF(COUNTA(J$56:J660)=J$54,J660,FORECAST(D660,OFFSET(M$56:M$254,MATCH(D660,L$56:L$254,1)-1,0,2), OFFSET(L$56:L$254,MATCH(D660,L$56:L$254,1)-1,0,2))),"")</f>
        <v>0</v>
      </c>
      <c r="L660" s="7" t="str">
        <f t="array" ref="L660">IFERROR(INDEX(D$56:D$1054,SMALL(IF(ISNUMBER(J$56:J$1054),ROW(D$1:D$999),""),ROW(D605))),"")</f>
        <v/>
      </c>
      <c r="M660" s="7" t="str">
        <f t="array" ref="M660">IFERROR(INDEX(J$56:J$1054,SMALL(IF(ISNUMBER(J$56:J$1054),ROW(J$1:J$999),""),ROW(J605))),"")</f>
        <v/>
      </c>
      <c r="N660" s="7"/>
      <c r="O660" s="7"/>
      <c r="P660" s="7"/>
      <c r="Q660" s="7">
        <f ca="1">IFERROR(IF(COUNTA(P$56:P660)=P$54,P660,FORECAST(D660,OFFSET(S$56:S$254,MATCH(D660,R$56:R$254,1)-1,0,2), OFFSET(R$56:R$254,MATCH(D660,R$56:R$254,1)-1,0,2))),"")</f>
        <v>0</v>
      </c>
      <c r="R660" s="7" t="str">
        <f t="array" ref="R660">IFERROR(INDEX(E$56:E$1054,SMALL(IF(ISNUMBER(P$56:P$1054),ROW(E$1:E$999),""),ROW(J605))),"")</f>
        <v/>
      </c>
      <c r="S660" s="7" t="str">
        <f t="array" ref="S660">IFERROR(INDEX(P$56:P$1054,SMALL(IF(ISNUMBER(P$56:P$1054),ROW(P$1:P$999),""),ROW(P605))),"")</f>
        <v/>
      </c>
      <c r="T660" s="7"/>
      <c r="U660" s="7"/>
      <c r="V660" s="7"/>
    </row>
    <row r="661" spans="1:22" x14ac:dyDescent="0.25">
      <c r="A661" s="6"/>
      <c r="B661" s="11"/>
      <c r="C661" s="12"/>
      <c r="D661" s="12"/>
      <c r="E661" s="8">
        <f t="shared" si="9"/>
        <v>0</v>
      </c>
      <c r="F661" s="10"/>
      <c r="G661" s="10"/>
      <c r="H661" s="9"/>
      <c r="I661" s="7"/>
      <c r="J661" s="7"/>
      <c r="K661" s="7">
        <f ca="1">IFERROR(IF(COUNTA(J$56:J661)=J$54,J661,FORECAST(D661,OFFSET(M$56:M$254,MATCH(D661,L$56:L$254,1)-1,0,2), OFFSET(L$56:L$254,MATCH(D661,L$56:L$254,1)-1,0,2))),"")</f>
        <v>0</v>
      </c>
      <c r="L661" s="7" t="str">
        <f t="array" ref="L661">IFERROR(INDEX(D$56:D$1054,SMALL(IF(ISNUMBER(J$56:J$1054),ROW(D$1:D$999),""),ROW(D606))),"")</f>
        <v/>
      </c>
      <c r="M661" s="7" t="str">
        <f t="array" ref="M661">IFERROR(INDEX(J$56:J$1054,SMALL(IF(ISNUMBER(J$56:J$1054),ROW(J$1:J$999),""),ROW(J606))),"")</f>
        <v/>
      </c>
      <c r="N661" s="7"/>
      <c r="O661" s="7"/>
      <c r="P661" s="7"/>
      <c r="Q661" s="7">
        <f ca="1">IFERROR(IF(COUNTA(P$56:P661)=P$54,P661,FORECAST(D661,OFFSET(S$56:S$254,MATCH(D661,R$56:R$254,1)-1,0,2), OFFSET(R$56:R$254,MATCH(D661,R$56:R$254,1)-1,0,2))),"")</f>
        <v>0</v>
      </c>
      <c r="R661" s="7" t="str">
        <f t="array" ref="R661">IFERROR(INDEX(E$56:E$1054,SMALL(IF(ISNUMBER(P$56:P$1054),ROW(E$1:E$999),""),ROW(J606))),"")</f>
        <v/>
      </c>
      <c r="S661" s="7" t="str">
        <f t="array" ref="S661">IFERROR(INDEX(P$56:P$1054,SMALL(IF(ISNUMBER(P$56:P$1054),ROW(P$1:P$999),""),ROW(P606))),"")</f>
        <v/>
      </c>
      <c r="T661" s="7"/>
      <c r="U661" s="7"/>
      <c r="V661" s="7"/>
    </row>
    <row r="662" spans="1:22" x14ac:dyDescent="0.25">
      <c r="A662" s="6"/>
      <c r="B662" s="11"/>
      <c r="C662" s="12"/>
      <c r="D662" s="12"/>
      <c r="E662" s="8">
        <f t="shared" si="9"/>
        <v>0</v>
      </c>
      <c r="F662" s="10"/>
      <c r="G662" s="10"/>
      <c r="H662" s="9"/>
      <c r="I662" s="7"/>
      <c r="J662" s="7"/>
      <c r="K662" s="7">
        <f ca="1">IFERROR(IF(COUNTA(J$56:J662)=J$54,J662,FORECAST(D662,OFFSET(M$56:M$254,MATCH(D662,L$56:L$254,1)-1,0,2), OFFSET(L$56:L$254,MATCH(D662,L$56:L$254,1)-1,0,2))),"")</f>
        <v>0</v>
      </c>
      <c r="L662" s="7" t="str">
        <f t="array" ref="L662">IFERROR(INDEX(D$56:D$1054,SMALL(IF(ISNUMBER(J$56:J$1054),ROW(D$1:D$999),""),ROW(D607))),"")</f>
        <v/>
      </c>
      <c r="M662" s="7" t="str">
        <f t="array" ref="M662">IFERROR(INDEX(J$56:J$1054,SMALL(IF(ISNUMBER(J$56:J$1054),ROW(J$1:J$999),""),ROW(J607))),"")</f>
        <v/>
      </c>
      <c r="N662" s="7"/>
      <c r="O662" s="7"/>
      <c r="P662" s="7"/>
      <c r="Q662" s="7">
        <f ca="1">IFERROR(IF(COUNTA(P$56:P662)=P$54,P662,FORECAST(D662,OFFSET(S$56:S$254,MATCH(D662,R$56:R$254,1)-1,0,2), OFFSET(R$56:R$254,MATCH(D662,R$56:R$254,1)-1,0,2))),"")</f>
        <v>0</v>
      </c>
      <c r="R662" s="7" t="str">
        <f t="array" ref="R662">IFERROR(INDEX(E$56:E$1054,SMALL(IF(ISNUMBER(P$56:P$1054),ROW(E$1:E$999),""),ROW(J607))),"")</f>
        <v/>
      </c>
      <c r="S662" s="7" t="str">
        <f t="array" ref="S662">IFERROR(INDEX(P$56:P$1054,SMALL(IF(ISNUMBER(P$56:P$1054),ROW(P$1:P$999),""),ROW(P607))),"")</f>
        <v/>
      </c>
      <c r="T662" s="7"/>
      <c r="U662" s="7"/>
      <c r="V662" s="7"/>
    </row>
    <row r="663" spans="1:22" x14ac:dyDescent="0.25">
      <c r="A663" s="6"/>
      <c r="B663" s="11"/>
      <c r="C663" s="12"/>
      <c r="D663" s="12"/>
      <c r="E663" s="8">
        <f t="shared" si="9"/>
        <v>0</v>
      </c>
      <c r="F663" s="10"/>
      <c r="G663" s="10"/>
      <c r="H663" s="9"/>
      <c r="I663" s="7"/>
      <c r="J663" s="7"/>
      <c r="K663" s="7">
        <f ca="1">IFERROR(IF(COUNTA(J$56:J663)=J$54,J663,FORECAST(D663,OFFSET(M$56:M$254,MATCH(D663,L$56:L$254,1)-1,0,2), OFFSET(L$56:L$254,MATCH(D663,L$56:L$254,1)-1,0,2))),"")</f>
        <v>0</v>
      </c>
      <c r="L663" s="7" t="str">
        <f t="array" ref="L663">IFERROR(INDEX(D$56:D$1054,SMALL(IF(ISNUMBER(J$56:J$1054),ROW(D$1:D$999),""),ROW(D608))),"")</f>
        <v/>
      </c>
      <c r="M663" s="7" t="str">
        <f t="array" ref="M663">IFERROR(INDEX(J$56:J$1054,SMALL(IF(ISNUMBER(J$56:J$1054),ROW(J$1:J$999),""),ROW(J608))),"")</f>
        <v/>
      </c>
      <c r="N663" s="7"/>
      <c r="O663" s="7"/>
      <c r="P663" s="7"/>
      <c r="Q663" s="7">
        <f ca="1">IFERROR(IF(COUNTA(P$56:P663)=P$54,P663,FORECAST(D663,OFFSET(S$56:S$254,MATCH(D663,R$56:R$254,1)-1,0,2), OFFSET(R$56:R$254,MATCH(D663,R$56:R$254,1)-1,0,2))),"")</f>
        <v>0</v>
      </c>
      <c r="R663" s="7" t="str">
        <f t="array" ref="R663">IFERROR(INDEX(E$56:E$1054,SMALL(IF(ISNUMBER(P$56:P$1054),ROW(E$1:E$999),""),ROW(J608))),"")</f>
        <v/>
      </c>
      <c r="S663" s="7" t="str">
        <f t="array" ref="S663">IFERROR(INDEX(P$56:P$1054,SMALL(IF(ISNUMBER(P$56:P$1054),ROW(P$1:P$999),""),ROW(P608))),"")</f>
        <v/>
      </c>
      <c r="T663" s="7"/>
      <c r="U663" s="7"/>
      <c r="V663" s="7"/>
    </row>
    <row r="664" spans="1:22" x14ac:dyDescent="0.25">
      <c r="A664" s="6"/>
      <c r="B664" s="11"/>
      <c r="C664" s="12"/>
      <c r="D664" s="12"/>
      <c r="E664" s="8">
        <f t="shared" si="9"/>
        <v>0</v>
      </c>
      <c r="F664" s="10"/>
      <c r="G664" s="10"/>
      <c r="H664" s="9"/>
      <c r="I664" s="7"/>
      <c r="J664" s="7"/>
      <c r="K664" s="7">
        <f ca="1">IFERROR(IF(COUNTA(J$56:J664)=J$54,J664,FORECAST(D664,OFFSET(M$56:M$254,MATCH(D664,L$56:L$254,1)-1,0,2), OFFSET(L$56:L$254,MATCH(D664,L$56:L$254,1)-1,0,2))),"")</f>
        <v>0</v>
      </c>
      <c r="L664" s="7" t="str">
        <f t="array" ref="L664">IFERROR(INDEX(D$56:D$1054,SMALL(IF(ISNUMBER(J$56:J$1054),ROW(D$1:D$999),""),ROW(D609))),"")</f>
        <v/>
      </c>
      <c r="M664" s="7" t="str">
        <f t="array" ref="M664">IFERROR(INDEX(J$56:J$1054,SMALL(IF(ISNUMBER(J$56:J$1054),ROW(J$1:J$999),""),ROW(J609))),"")</f>
        <v/>
      </c>
      <c r="N664" s="7"/>
      <c r="O664" s="7"/>
      <c r="P664" s="7"/>
      <c r="Q664" s="7">
        <f ca="1">IFERROR(IF(COUNTA(P$56:P664)=P$54,P664,FORECAST(D664,OFFSET(S$56:S$254,MATCH(D664,R$56:R$254,1)-1,0,2), OFFSET(R$56:R$254,MATCH(D664,R$56:R$254,1)-1,0,2))),"")</f>
        <v>0</v>
      </c>
      <c r="R664" s="7" t="str">
        <f t="array" ref="R664">IFERROR(INDEX(E$56:E$1054,SMALL(IF(ISNUMBER(P$56:P$1054),ROW(E$1:E$999),""),ROW(J609))),"")</f>
        <v/>
      </c>
      <c r="S664" s="7" t="str">
        <f t="array" ref="S664">IFERROR(INDEX(P$56:P$1054,SMALL(IF(ISNUMBER(P$56:P$1054),ROW(P$1:P$999),""),ROW(P609))),"")</f>
        <v/>
      </c>
      <c r="T664" s="7"/>
      <c r="U664" s="7"/>
      <c r="V664" s="7"/>
    </row>
    <row r="665" spans="1:22" x14ac:dyDescent="0.25">
      <c r="A665" s="6"/>
      <c r="B665" s="11"/>
      <c r="C665" s="12"/>
      <c r="D665" s="12"/>
      <c r="E665" s="8">
        <f t="shared" si="9"/>
        <v>0</v>
      </c>
      <c r="F665" s="10"/>
      <c r="G665" s="10"/>
      <c r="H665" s="9"/>
      <c r="I665" s="7"/>
      <c r="J665" s="7"/>
      <c r="K665" s="7">
        <f ca="1">IFERROR(IF(COUNTA(J$56:J665)=J$54,J665,FORECAST(D665,OFFSET(M$56:M$254,MATCH(D665,L$56:L$254,1)-1,0,2), OFFSET(L$56:L$254,MATCH(D665,L$56:L$254,1)-1,0,2))),"")</f>
        <v>0</v>
      </c>
      <c r="L665" s="7" t="str">
        <f t="array" ref="L665">IFERROR(INDEX(D$56:D$1054,SMALL(IF(ISNUMBER(J$56:J$1054),ROW(D$1:D$999),""),ROW(D610))),"")</f>
        <v/>
      </c>
      <c r="M665" s="7" t="str">
        <f t="array" ref="M665">IFERROR(INDEX(J$56:J$1054,SMALL(IF(ISNUMBER(J$56:J$1054),ROW(J$1:J$999),""),ROW(J610))),"")</f>
        <v/>
      </c>
      <c r="N665" s="7"/>
      <c r="O665" s="7"/>
      <c r="P665" s="7"/>
      <c r="Q665" s="7">
        <f ca="1">IFERROR(IF(COUNTA(P$56:P665)=P$54,P665,FORECAST(D665,OFFSET(S$56:S$254,MATCH(D665,R$56:R$254,1)-1,0,2), OFFSET(R$56:R$254,MATCH(D665,R$56:R$254,1)-1,0,2))),"")</f>
        <v>0</v>
      </c>
      <c r="R665" s="7" t="str">
        <f t="array" ref="R665">IFERROR(INDEX(E$56:E$1054,SMALL(IF(ISNUMBER(P$56:P$1054),ROW(E$1:E$999),""),ROW(J610))),"")</f>
        <v/>
      </c>
      <c r="S665" s="7" t="str">
        <f t="array" ref="S665">IFERROR(INDEX(P$56:P$1054,SMALL(IF(ISNUMBER(P$56:P$1054),ROW(P$1:P$999),""),ROW(P610))),"")</f>
        <v/>
      </c>
      <c r="T665" s="7"/>
      <c r="U665" s="7"/>
      <c r="V665" s="7"/>
    </row>
    <row r="666" spans="1:22" x14ac:dyDescent="0.25">
      <c r="A666" s="6"/>
      <c r="B666" s="11"/>
      <c r="C666" s="12"/>
      <c r="D666" s="12"/>
      <c r="E666" s="8">
        <f t="shared" si="9"/>
        <v>0</v>
      </c>
      <c r="F666" s="10"/>
      <c r="G666" s="10"/>
      <c r="H666" s="9"/>
      <c r="I666" s="7"/>
      <c r="J666" s="7"/>
      <c r="K666" s="7">
        <f ca="1">IFERROR(IF(COUNTA(J$56:J666)=J$54,J666,FORECAST(D666,OFFSET(M$56:M$254,MATCH(D666,L$56:L$254,1)-1,0,2), OFFSET(L$56:L$254,MATCH(D666,L$56:L$254,1)-1,0,2))),"")</f>
        <v>0</v>
      </c>
      <c r="L666" s="7" t="str">
        <f t="array" ref="L666">IFERROR(INDEX(D$56:D$1054,SMALL(IF(ISNUMBER(J$56:J$1054),ROW(D$1:D$999),""),ROW(D611))),"")</f>
        <v/>
      </c>
      <c r="M666" s="7" t="str">
        <f t="array" ref="M666">IFERROR(INDEX(J$56:J$1054,SMALL(IF(ISNUMBER(J$56:J$1054),ROW(J$1:J$999),""),ROW(J611))),"")</f>
        <v/>
      </c>
      <c r="N666" s="7"/>
      <c r="O666" s="7"/>
      <c r="P666" s="7"/>
      <c r="Q666" s="7">
        <f ca="1">IFERROR(IF(COUNTA(P$56:P666)=P$54,P666,FORECAST(D666,OFFSET(S$56:S$254,MATCH(D666,R$56:R$254,1)-1,0,2), OFFSET(R$56:R$254,MATCH(D666,R$56:R$254,1)-1,0,2))),"")</f>
        <v>0</v>
      </c>
      <c r="R666" s="7" t="str">
        <f t="array" ref="R666">IFERROR(INDEX(E$56:E$1054,SMALL(IF(ISNUMBER(P$56:P$1054),ROW(E$1:E$999),""),ROW(J611))),"")</f>
        <v/>
      </c>
      <c r="S666" s="7" t="str">
        <f t="array" ref="S666">IFERROR(INDEX(P$56:P$1054,SMALL(IF(ISNUMBER(P$56:P$1054),ROW(P$1:P$999),""),ROW(P611))),"")</f>
        <v/>
      </c>
      <c r="T666" s="7"/>
      <c r="U666" s="7"/>
      <c r="V666" s="7"/>
    </row>
    <row r="667" spans="1:22" x14ac:dyDescent="0.25">
      <c r="A667" s="6"/>
      <c r="B667" s="11"/>
      <c r="C667" s="12"/>
      <c r="D667" s="12"/>
      <c r="E667" s="8">
        <f t="shared" si="9"/>
        <v>0</v>
      </c>
      <c r="F667" s="10"/>
      <c r="G667" s="10"/>
      <c r="H667" s="9"/>
      <c r="I667" s="7"/>
      <c r="J667" s="7"/>
      <c r="K667" s="7">
        <f ca="1">IFERROR(IF(COUNTA(J$56:J667)=J$54,J667,FORECAST(D667,OFFSET(M$56:M$254,MATCH(D667,L$56:L$254,1)-1,0,2), OFFSET(L$56:L$254,MATCH(D667,L$56:L$254,1)-1,0,2))),"")</f>
        <v>0</v>
      </c>
      <c r="L667" s="7" t="str">
        <f t="array" ref="L667">IFERROR(INDEX(D$56:D$1054,SMALL(IF(ISNUMBER(J$56:J$1054),ROW(D$1:D$999),""),ROW(D612))),"")</f>
        <v/>
      </c>
      <c r="M667" s="7" t="str">
        <f t="array" ref="M667">IFERROR(INDEX(J$56:J$1054,SMALL(IF(ISNUMBER(J$56:J$1054),ROW(J$1:J$999),""),ROW(J612))),"")</f>
        <v/>
      </c>
      <c r="N667" s="7"/>
      <c r="O667" s="7"/>
      <c r="P667" s="7"/>
      <c r="Q667" s="7">
        <f ca="1">IFERROR(IF(COUNTA(P$56:P667)=P$54,P667,FORECAST(D667,OFFSET(S$56:S$254,MATCH(D667,R$56:R$254,1)-1,0,2), OFFSET(R$56:R$254,MATCH(D667,R$56:R$254,1)-1,0,2))),"")</f>
        <v>0</v>
      </c>
      <c r="R667" s="7" t="str">
        <f t="array" ref="R667">IFERROR(INDEX(E$56:E$1054,SMALL(IF(ISNUMBER(P$56:P$1054),ROW(E$1:E$999),""),ROW(J612))),"")</f>
        <v/>
      </c>
      <c r="S667" s="7" t="str">
        <f t="array" ref="S667">IFERROR(INDEX(P$56:P$1054,SMALL(IF(ISNUMBER(P$56:P$1054),ROW(P$1:P$999),""),ROW(P612))),"")</f>
        <v/>
      </c>
      <c r="T667" s="7"/>
      <c r="U667" s="7"/>
      <c r="V667" s="7"/>
    </row>
    <row r="668" spans="1:22" x14ac:dyDescent="0.25">
      <c r="A668" s="6"/>
      <c r="B668" s="11"/>
      <c r="C668" s="12"/>
      <c r="D668" s="12"/>
      <c r="E668" s="8">
        <f t="shared" si="9"/>
        <v>0</v>
      </c>
      <c r="F668" s="10"/>
      <c r="G668" s="10"/>
      <c r="H668" s="9"/>
      <c r="I668" s="7"/>
      <c r="J668" s="7"/>
      <c r="K668" s="7">
        <f ca="1">IFERROR(IF(COUNTA(J$56:J668)=J$54,J668,FORECAST(D668,OFFSET(M$56:M$254,MATCH(D668,L$56:L$254,1)-1,0,2), OFFSET(L$56:L$254,MATCH(D668,L$56:L$254,1)-1,0,2))),"")</f>
        <v>0</v>
      </c>
      <c r="L668" s="7" t="str">
        <f t="array" ref="L668">IFERROR(INDEX(D$56:D$1054,SMALL(IF(ISNUMBER(J$56:J$1054),ROW(D$1:D$999),""),ROW(D613))),"")</f>
        <v/>
      </c>
      <c r="M668" s="7" t="str">
        <f t="array" ref="M668">IFERROR(INDEX(J$56:J$1054,SMALL(IF(ISNUMBER(J$56:J$1054),ROW(J$1:J$999),""),ROW(J613))),"")</f>
        <v/>
      </c>
      <c r="N668" s="7"/>
      <c r="O668" s="7"/>
      <c r="P668" s="7"/>
      <c r="Q668" s="7">
        <f ca="1">IFERROR(IF(COUNTA(P$56:P668)=P$54,P668,FORECAST(D668,OFFSET(S$56:S$254,MATCH(D668,R$56:R$254,1)-1,0,2), OFFSET(R$56:R$254,MATCH(D668,R$56:R$254,1)-1,0,2))),"")</f>
        <v>0</v>
      </c>
      <c r="R668" s="7" t="str">
        <f t="array" ref="R668">IFERROR(INDEX(E$56:E$1054,SMALL(IF(ISNUMBER(P$56:P$1054),ROW(E$1:E$999),""),ROW(J613))),"")</f>
        <v/>
      </c>
      <c r="S668" s="7" t="str">
        <f t="array" ref="S668">IFERROR(INDEX(P$56:P$1054,SMALL(IF(ISNUMBER(P$56:P$1054),ROW(P$1:P$999),""),ROW(P613))),"")</f>
        <v/>
      </c>
      <c r="T668" s="7"/>
      <c r="U668" s="7"/>
      <c r="V668" s="7"/>
    </row>
    <row r="669" spans="1:22" x14ac:dyDescent="0.25">
      <c r="A669" s="6"/>
      <c r="B669" s="11"/>
      <c r="C669" s="12"/>
      <c r="D669" s="12"/>
      <c r="E669" s="8">
        <f t="shared" si="9"/>
        <v>0</v>
      </c>
      <c r="F669" s="10"/>
      <c r="G669" s="10"/>
      <c r="H669" s="9"/>
      <c r="I669" s="7"/>
      <c r="J669" s="7"/>
      <c r="K669" s="7">
        <f ca="1">IFERROR(IF(COUNTA(J$56:J669)=J$54,J669,FORECAST(D669,OFFSET(M$56:M$254,MATCH(D669,L$56:L$254,1)-1,0,2), OFFSET(L$56:L$254,MATCH(D669,L$56:L$254,1)-1,0,2))),"")</f>
        <v>0</v>
      </c>
      <c r="L669" s="7" t="str">
        <f t="array" ref="L669">IFERROR(INDEX(D$56:D$1054,SMALL(IF(ISNUMBER(J$56:J$1054),ROW(D$1:D$999),""),ROW(D614))),"")</f>
        <v/>
      </c>
      <c r="M669" s="7" t="str">
        <f t="array" ref="M669">IFERROR(INDEX(J$56:J$1054,SMALL(IF(ISNUMBER(J$56:J$1054),ROW(J$1:J$999),""),ROW(J614))),"")</f>
        <v/>
      </c>
      <c r="N669" s="7"/>
      <c r="O669" s="7"/>
      <c r="P669" s="7"/>
      <c r="Q669" s="7">
        <f ca="1">IFERROR(IF(COUNTA(P$56:P669)=P$54,P669,FORECAST(D669,OFFSET(S$56:S$254,MATCH(D669,R$56:R$254,1)-1,0,2), OFFSET(R$56:R$254,MATCH(D669,R$56:R$254,1)-1,0,2))),"")</f>
        <v>0</v>
      </c>
      <c r="R669" s="7" t="str">
        <f t="array" ref="R669">IFERROR(INDEX(E$56:E$1054,SMALL(IF(ISNUMBER(P$56:P$1054),ROW(E$1:E$999),""),ROW(J614))),"")</f>
        <v/>
      </c>
      <c r="S669" s="7" t="str">
        <f t="array" ref="S669">IFERROR(INDEX(P$56:P$1054,SMALL(IF(ISNUMBER(P$56:P$1054),ROW(P$1:P$999),""),ROW(P614))),"")</f>
        <v/>
      </c>
      <c r="T669" s="7"/>
      <c r="U669" s="7"/>
      <c r="V669" s="7"/>
    </row>
    <row r="670" spans="1:22" x14ac:dyDescent="0.25">
      <c r="A670" s="6"/>
      <c r="B670" s="11"/>
      <c r="C670" s="12"/>
      <c r="D670" s="12"/>
      <c r="E670" s="8">
        <f t="shared" si="9"/>
        <v>0</v>
      </c>
      <c r="F670" s="10"/>
      <c r="G670" s="10"/>
      <c r="H670" s="9"/>
      <c r="I670" s="7"/>
      <c r="J670" s="7"/>
      <c r="K670" s="7">
        <f ca="1">IFERROR(IF(COUNTA(J$56:J670)=J$54,J670,FORECAST(D670,OFFSET(M$56:M$254,MATCH(D670,L$56:L$254,1)-1,0,2), OFFSET(L$56:L$254,MATCH(D670,L$56:L$254,1)-1,0,2))),"")</f>
        <v>0</v>
      </c>
      <c r="L670" s="7" t="str">
        <f t="array" ref="L670">IFERROR(INDEX(D$56:D$1054,SMALL(IF(ISNUMBER(J$56:J$1054),ROW(D$1:D$999),""),ROW(D615))),"")</f>
        <v/>
      </c>
      <c r="M670" s="7" t="str">
        <f t="array" ref="M670">IFERROR(INDEX(J$56:J$1054,SMALL(IF(ISNUMBER(J$56:J$1054),ROW(J$1:J$999),""),ROW(J615))),"")</f>
        <v/>
      </c>
      <c r="N670" s="7"/>
      <c r="O670" s="7"/>
      <c r="P670" s="7"/>
      <c r="Q670" s="7">
        <f ca="1">IFERROR(IF(COUNTA(P$56:P670)=P$54,P670,FORECAST(D670,OFFSET(S$56:S$254,MATCH(D670,R$56:R$254,1)-1,0,2), OFFSET(R$56:R$254,MATCH(D670,R$56:R$254,1)-1,0,2))),"")</f>
        <v>0</v>
      </c>
      <c r="R670" s="7" t="str">
        <f t="array" ref="R670">IFERROR(INDEX(E$56:E$1054,SMALL(IF(ISNUMBER(P$56:P$1054),ROW(E$1:E$999),""),ROW(J615))),"")</f>
        <v/>
      </c>
      <c r="S670" s="7" t="str">
        <f t="array" ref="S670">IFERROR(INDEX(P$56:P$1054,SMALL(IF(ISNUMBER(P$56:P$1054),ROW(P$1:P$999),""),ROW(P615))),"")</f>
        <v/>
      </c>
      <c r="T670" s="7"/>
      <c r="U670" s="7"/>
      <c r="V670" s="7"/>
    </row>
    <row r="671" spans="1:22" x14ac:dyDescent="0.25">
      <c r="A671" s="6"/>
      <c r="B671" s="11"/>
      <c r="C671" s="12"/>
      <c r="D671" s="12"/>
      <c r="E671" s="8">
        <f t="shared" si="9"/>
        <v>0</v>
      </c>
      <c r="F671" s="10"/>
      <c r="G671" s="10"/>
      <c r="H671" s="9"/>
      <c r="I671" s="7"/>
      <c r="J671" s="7"/>
      <c r="K671" s="7">
        <f ca="1">IFERROR(IF(COUNTA(J$56:J671)=J$54,J671,FORECAST(D671,OFFSET(M$56:M$254,MATCH(D671,L$56:L$254,1)-1,0,2), OFFSET(L$56:L$254,MATCH(D671,L$56:L$254,1)-1,0,2))),"")</f>
        <v>0</v>
      </c>
      <c r="L671" s="7" t="str">
        <f t="array" ref="L671">IFERROR(INDEX(D$56:D$1054,SMALL(IF(ISNUMBER(J$56:J$1054),ROW(D$1:D$999),""),ROW(D616))),"")</f>
        <v/>
      </c>
      <c r="M671" s="7" t="str">
        <f t="array" ref="M671">IFERROR(INDEX(J$56:J$1054,SMALL(IF(ISNUMBER(J$56:J$1054),ROW(J$1:J$999),""),ROW(J616))),"")</f>
        <v/>
      </c>
      <c r="N671" s="7"/>
      <c r="O671" s="7"/>
      <c r="P671" s="7"/>
      <c r="Q671" s="7">
        <f ca="1">IFERROR(IF(COUNTA(P$56:P671)=P$54,P671,FORECAST(D671,OFFSET(S$56:S$254,MATCH(D671,R$56:R$254,1)-1,0,2), OFFSET(R$56:R$254,MATCH(D671,R$56:R$254,1)-1,0,2))),"")</f>
        <v>0</v>
      </c>
      <c r="R671" s="7" t="str">
        <f t="array" ref="R671">IFERROR(INDEX(E$56:E$1054,SMALL(IF(ISNUMBER(P$56:P$1054),ROW(E$1:E$999),""),ROW(J616))),"")</f>
        <v/>
      </c>
      <c r="S671" s="7" t="str">
        <f t="array" ref="S671">IFERROR(INDEX(P$56:P$1054,SMALL(IF(ISNUMBER(P$56:P$1054),ROW(P$1:P$999),""),ROW(P616))),"")</f>
        <v/>
      </c>
      <c r="T671" s="7"/>
      <c r="U671" s="7"/>
      <c r="V671" s="7"/>
    </row>
    <row r="672" spans="1:22" x14ac:dyDescent="0.25">
      <c r="A672" s="6"/>
      <c r="B672" s="11"/>
      <c r="C672" s="12"/>
      <c r="D672" s="12"/>
      <c r="E672" s="8">
        <f t="shared" si="9"/>
        <v>0</v>
      </c>
      <c r="F672" s="10"/>
      <c r="G672" s="10"/>
      <c r="H672" s="9"/>
      <c r="I672" s="7"/>
      <c r="J672" s="7"/>
      <c r="K672" s="7">
        <f ca="1">IFERROR(IF(COUNTA(J$56:J672)=J$54,J672,FORECAST(D672,OFFSET(M$56:M$254,MATCH(D672,L$56:L$254,1)-1,0,2), OFFSET(L$56:L$254,MATCH(D672,L$56:L$254,1)-1,0,2))),"")</f>
        <v>0</v>
      </c>
      <c r="L672" s="7" t="str">
        <f t="array" ref="L672">IFERROR(INDEX(D$56:D$1054,SMALL(IF(ISNUMBER(J$56:J$1054),ROW(D$1:D$999),""),ROW(D617))),"")</f>
        <v/>
      </c>
      <c r="M672" s="7" t="str">
        <f t="array" ref="M672">IFERROR(INDEX(J$56:J$1054,SMALL(IF(ISNUMBER(J$56:J$1054),ROW(J$1:J$999),""),ROW(J617))),"")</f>
        <v/>
      </c>
      <c r="N672" s="7"/>
      <c r="O672" s="7"/>
      <c r="P672" s="7"/>
      <c r="Q672" s="7">
        <f ca="1">IFERROR(IF(COUNTA(P$56:P672)=P$54,P672,FORECAST(D672,OFFSET(S$56:S$254,MATCH(D672,R$56:R$254,1)-1,0,2), OFFSET(R$56:R$254,MATCH(D672,R$56:R$254,1)-1,0,2))),"")</f>
        <v>0</v>
      </c>
      <c r="R672" s="7" t="str">
        <f t="array" ref="R672">IFERROR(INDEX(E$56:E$1054,SMALL(IF(ISNUMBER(P$56:P$1054),ROW(E$1:E$999),""),ROW(J617))),"")</f>
        <v/>
      </c>
      <c r="S672" s="7" t="str">
        <f t="array" ref="S672">IFERROR(INDEX(P$56:P$1054,SMALL(IF(ISNUMBER(P$56:P$1054),ROW(P$1:P$999),""),ROW(P617))),"")</f>
        <v/>
      </c>
      <c r="T672" s="7"/>
      <c r="U672" s="7"/>
      <c r="V672" s="7"/>
    </row>
    <row r="673" spans="1:22" x14ac:dyDescent="0.25">
      <c r="A673" s="6"/>
      <c r="B673" s="11"/>
      <c r="C673" s="12"/>
      <c r="D673" s="12"/>
      <c r="E673" s="8">
        <f t="shared" si="9"/>
        <v>0</v>
      </c>
      <c r="F673" s="10"/>
      <c r="G673" s="10"/>
      <c r="H673" s="9"/>
      <c r="I673" s="7"/>
      <c r="J673" s="7"/>
      <c r="K673" s="7">
        <f ca="1">IFERROR(IF(COUNTA(J$56:J673)=J$54,J673,FORECAST(D673,OFFSET(M$56:M$254,MATCH(D673,L$56:L$254,1)-1,0,2), OFFSET(L$56:L$254,MATCH(D673,L$56:L$254,1)-1,0,2))),"")</f>
        <v>0</v>
      </c>
      <c r="L673" s="7" t="str">
        <f t="array" ref="L673">IFERROR(INDEX(D$56:D$1054,SMALL(IF(ISNUMBER(J$56:J$1054),ROW(D$1:D$999),""),ROW(D618))),"")</f>
        <v/>
      </c>
      <c r="M673" s="7" t="str">
        <f t="array" ref="M673">IFERROR(INDEX(J$56:J$1054,SMALL(IF(ISNUMBER(J$56:J$1054),ROW(J$1:J$999),""),ROW(J618))),"")</f>
        <v/>
      </c>
      <c r="N673" s="7"/>
      <c r="O673" s="7"/>
      <c r="P673" s="7"/>
      <c r="Q673" s="7">
        <f ca="1">IFERROR(IF(COUNTA(P$56:P673)=P$54,P673,FORECAST(D673,OFFSET(S$56:S$254,MATCH(D673,R$56:R$254,1)-1,0,2), OFFSET(R$56:R$254,MATCH(D673,R$56:R$254,1)-1,0,2))),"")</f>
        <v>0</v>
      </c>
      <c r="R673" s="7" t="str">
        <f t="array" ref="R673">IFERROR(INDEX(E$56:E$1054,SMALL(IF(ISNUMBER(P$56:P$1054),ROW(E$1:E$999),""),ROW(J618))),"")</f>
        <v/>
      </c>
      <c r="S673" s="7" t="str">
        <f t="array" ref="S673">IFERROR(INDEX(P$56:P$1054,SMALL(IF(ISNUMBER(P$56:P$1054),ROW(P$1:P$999),""),ROW(P618))),"")</f>
        <v/>
      </c>
      <c r="T673" s="7"/>
      <c r="U673" s="7"/>
      <c r="V673" s="7"/>
    </row>
    <row r="674" spans="1:22" x14ac:dyDescent="0.25">
      <c r="A674" s="6"/>
      <c r="B674" s="11"/>
      <c r="C674" s="12"/>
      <c r="D674" s="12"/>
      <c r="E674" s="8">
        <f t="shared" si="9"/>
        <v>0</v>
      </c>
      <c r="F674" s="10"/>
      <c r="G674" s="10"/>
      <c r="H674" s="9"/>
      <c r="I674" s="7"/>
      <c r="J674" s="7"/>
      <c r="K674" s="7">
        <f ca="1">IFERROR(IF(COUNTA(J$56:J674)=J$54,J674,FORECAST(D674,OFFSET(M$56:M$254,MATCH(D674,L$56:L$254,1)-1,0,2), OFFSET(L$56:L$254,MATCH(D674,L$56:L$254,1)-1,0,2))),"")</f>
        <v>0</v>
      </c>
      <c r="L674" s="7" t="str">
        <f t="array" ref="L674">IFERROR(INDEX(D$56:D$1054,SMALL(IF(ISNUMBER(J$56:J$1054),ROW(D$1:D$999),""),ROW(D619))),"")</f>
        <v/>
      </c>
      <c r="M674" s="7" t="str">
        <f t="array" ref="M674">IFERROR(INDEX(J$56:J$1054,SMALL(IF(ISNUMBER(J$56:J$1054),ROW(J$1:J$999),""),ROW(J619))),"")</f>
        <v/>
      </c>
      <c r="N674" s="7"/>
      <c r="O674" s="7"/>
      <c r="P674" s="7"/>
      <c r="Q674" s="7">
        <f ca="1">IFERROR(IF(COUNTA(P$56:P674)=P$54,P674,FORECAST(D674,OFFSET(S$56:S$254,MATCH(D674,R$56:R$254,1)-1,0,2), OFFSET(R$56:R$254,MATCH(D674,R$56:R$254,1)-1,0,2))),"")</f>
        <v>0</v>
      </c>
      <c r="R674" s="7" t="str">
        <f t="array" ref="R674">IFERROR(INDEX(E$56:E$1054,SMALL(IF(ISNUMBER(P$56:P$1054),ROW(E$1:E$999),""),ROW(J619))),"")</f>
        <v/>
      </c>
      <c r="S674" s="7" t="str">
        <f t="array" ref="S674">IFERROR(INDEX(P$56:P$1054,SMALL(IF(ISNUMBER(P$56:P$1054),ROW(P$1:P$999),""),ROW(P619))),"")</f>
        <v/>
      </c>
      <c r="T674" s="7"/>
      <c r="U674" s="7"/>
      <c r="V674" s="7"/>
    </row>
    <row r="675" spans="1:22" x14ac:dyDescent="0.25">
      <c r="A675" s="6"/>
      <c r="B675" s="11"/>
      <c r="C675" s="12"/>
      <c r="D675" s="12"/>
      <c r="E675" s="8">
        <f t="shared" si="9"/>
        <v>0</v>
      </c>
      <c r="F675" s="10"/>
      <c r="G675" s="10"/>
      <c r="H675" s="9"/>
      <c r="I675" s="7"/>
      <c r="J675" s="7"/>
      <c r="K675" s="7">
        <f ca="1">IFERROR(IF(COUNTA(J$56:J675)=J$54,J675,FORECAST(D675,OFFSET(M$56:M$254,MATCH(D675,L$56:L$254,1)-1,0,2), OFFSET(L$56:L$254,MATCH(D675,L$56:L$254,1)-1,0,2))),"")</f>
        <v>0</v>
      </c>
      <c r="L675" s="7" t="str">
        <f t="array" ref="L675">IFERROR(INDEX(D$56:D$1054,SMALL(IF(ISNUMBER(J$56:J$1054),ROW(D$1:D$999),""),ROW(D620))),"")</f>
        <v/>
      </c>
      <c r="M675" s="7" t="str">
        <f t="array" ref="M675">IFERROR(INDEX(J$56:J$1054,SMALL(IF(ISNUMBER(J$56:J$1054),ROW(J$1:J$999),""),ROW(J620))),"")</f>
        <v/>
      </c>
      <c r="N675" s="7"/>
      <c r="O675" s="7"/>
      <c r="P675" s="7"/>
      <c r="Q675" s="7">
        <f ca="1">IFERROR(IF(COUNTA(P$56:P675)=P$54,P675,FORECAST(D675,OFFSET(S$56:S$254,MATCH(D675,R$56:R$254,1)-1,0,2), OFFSET(R$56:R$254,MATCH(D675,R$56:R$254,1)-1,0,2))),"")</f>
        <v>0</v>
      </c>
      <c r="R675" s="7" t="str">
        <f t="array" ref="R675">IFERROR(INDEX(E$56:E$1054,SMALL(IF(ISNUMBER(P$56:P$1054),ROW(E$1:E$999),""),ROW(J620))),"")</f>
        <v/>
      </c>
      <c r="S675" s="7" t="str">
        <f t="array" ref="S675">IFERROR(INDEX(P$56:P$1054,SMALL(IF(ISNUMBER(P$56:P$1054),ROW(P$1:P$999),""),ROW(P620))),"")</f>
        <v/>
      </c>
      <c r="T675" s="7"/>
      <c r="U675" s="7"/>
      <c r="V675" s="7"/>
    </row>
    <row r="676" spans="1:22" x14ac:dyDescent="0.25">
      <c r="A676" s="6"/>
      <c r="B676" s="11"/>
      <c r="C676" s="12"/>
      <c r="D676" s="12"/>
      <c r="E676" s="8">
        <f t="shared" si="9"/>
        <v>0</v>
      </c>
      <c r="F676" s="10"/>
      <c r="G676" s="10"/>
      <c r="H676" s="9"/>
      <c r="I676" s="7"/>
      <c r="J676" s="7"/>
      <c r="K676" s="7">
        <f ca="1">IFERROR(IF(COUNTA(J$56:J676)=J$54,J676,FORECAST(D676,OFFSET(M$56:M$254,MATCH(D676,L$56:L$254,1)-1,0,2), OFFSET(L$56:L$254,MATCH(D676,L$56:L$254,1)-1,0,2))),"")</f>
        <v>0</v>
      </c>
      <c r="L676" s="7" t="str">
        <f t="array" ref="L676">IFERROR(INDEX(D$56:D$1054,SMALL(IF(ISNUMBER(J$56:J$1054),ROW(D$1:D$999),""),ROW(D621))),"")</f>
        <v/>
      </c>
      <c r="M676" s="7" t="str">
        <f t="array" ref="M676">IFERROR(INDEX(J$56:J$1054,SMALL(IF(ISNUMBER(J$56:J$1054),ROW(J$1:J$999),""),ROW(J621))),"")</f>
        <v/>
      </c>
      <c r="N676" s="7"/>
      <c r="O676" s="7"/>
      <c r="P676" s="7"/>
      <c r="Q676" s="7">
        <f ca="1">IFERROR(IF(COUNTA(P$56:P676)=P$54,P676,FORECAST(D676,OFFSET(S$56:S$254,MATCH(D676,R$56:R$254,1)-1,0,2), OFFSET(R$56:R$254,MATCH(D676,R$56:R$254,1)-1,0,2))),"")</f>
        <v>0</v>
      </c>
      <c r="R676" s="7" t="str">
        <f t="array" ref="R676">IFERROR(INDEX(E$56:E$1054,SMALL(IF(ISNUMBER(P$56:P$1054),ROW(E$1:E$999),""),ROW(J621))),"")</f>
        <v/>
      </c>
      <c r="S676" s="7" t="str">
        <f t="array" ref="S676">IFERROR(INDEX(P$56:P$1054,SMALL(IF(ISNUMBER(P$56:P$1054),ROW(P$1:P$999),""),ROW(P621))),"")</f>
        <v/>
      </c>
      <c r="T676" s="7"/>
      <c r="U676" s="7"/>
      <c r="V676" s="7"/>
    </row>
    <row r="677" spans="1:22" x14ac:dyDescent="0.25">
      <c r="A677" s="6"/>
      <c r="B677" s="11"/>
      <c r="C677" s="12"/>
      <c r="D677" s="12"/>
      <c r="E677" s="8">
        <f t="shared" si="9"/>
        <v>0</v>
      </c>
      <c r="F677" s="10"/>
      <c r="G677" s="10"/>
      <c r="H677" s="9"/>
      <c r="I677" s="7"/>
      <c r="J677" s="7"/>
      <c r="K677" s="7">
        <f ca="1">IFERROR(IF(COUNTA(J$56:J677)=J$54,J677,FORECAST(D677,OFFSET(M$56:M$254,MATCH(D677,L$56:L$254,1)-1,0,2), OFFSET(L$56:L$254,MATCH(D677,L$56:L$254,1)-1,0,2))),"")</f>
        <v>0</v>
      </c>
      <c r="L677" s="7" t="str">
        <f t="array" ref="L677">IFERROR(INDEX(D$56:D$1054,SMALL(IF(ISNUMBER(J$56:J$1054),ROW(D$1:D$999),""),ROW(D622))),"")</f>
        <v/>
      </c>
      <c r="M677" s="7" t="str">
        <f t="array" ref="M677">IFERROR(INDEX(J$56:J$1054,SMALL(IF(ISNUMBER(J$56:J$1054),ROW(J$1:J$999),""),ROW(J622))),"")</f>
        <v/>
      </c>
      <c r="N677" s="7"/>
      <c r="O677" s="7"/>
      <c r="P677" s="7"/>
      <c r="Q677" s="7">
        <f ca="1">IFERROR(IF(COUNTA(P$56:P677)=P$54,P677,FORECAST(D677,OFFSET(S$56:S$254,MATCH(D677,R$56:R$254,1)-1,0,2), OFFSET(R$56:R$254,MATCH(D677,R$56:R$254,1)-1,0,2))),"")</f>
        <v>0</v>
      </c>
      <c r="R677" s="7" t="str">
        <f t="array" ref="R677">IFERROR(INDEX(E$56:E$1054,SMALL(IF(ISNUMBER(P$56:P$1054),ROW(E$1:E$999),""),ROW(J622))),"")</f>
        <v/>
      </c>
      <c r="S677" s="7" t="str">
        <f t="array" ref="S677">IFERROR(INDEX(P$56:P$1054,SMALL(IF(ISNUMBER(P$56:P$1054),ROW(P$1:P$999),""),ROW(P622))),"")</f>
        <v/>
      </c>
      <c r="T677" s="7"/>
      <c r="U677" s="7"/>
      <c r="V677" s="7"/>
    </row>
    <row r="678" spans="1:22" x14ac:dyDescent="0.25">
      <c r="A678" s="6"/>
      <c r="B678" s="11"/>
      <c r="C678" s="12"/>
      <c r="D678" s="12"/>
      <c r="E678" s="8">
        <f t="shared" si="9"/>
        <v>0</v>
      </c>
      <c r="F678" s="10"/>
      <c r="G678" s="10"/>
      <c r="H678" s="9"/>
      <c r="I678" s="7"/>
      <c r="J678" s="7"/>
      <c r="K678" s="7">
        <f ca="1">IFERROR(IF(COUNTA(J$56:J678)=J$54,J678,FORECAST(D678,OFFSET(M$56:M$254,MATCH(D678,L$56:L$254,1)-1,0,2), OFFSET(L$56:L$254,MATCH(D678,L$56:L$254,1)-1,0,2))),"")</f>
        <v>0</v>
      </c>
      <c r="L678" s="7" t="str">
        <f t="array" ref="L678">IFERROR(INDEX(D$56:D$1054,SMALL(IF(ISNUMBER(J$56:J$1054),ROW(D$1:D$999),""),ROW(D623))),"")</f>
        <v/>
      </c>
      <c r="M678" s="7" t="str">
        <f t="array" ref="M678">IFERROR(INDEX(J$56:J$1054,SMALL(IF(ISNUMBER(J$56:J$1054),ROW(J$1:J$999),""),ROW(J623))),"")</f>
        <v/>
      </c>
      <c r="N678" s="7"/>
      <c r="O678" s="7"/>
      <c r="P678" s="7"/>
      <c r="Q678" s="7">
        <f ca="1">IFERROR(IF(COUNTA(P$56:P678)=P$54,P678,FORECAST(D678,OFFSET(S$56:S$254,MATCH(D678,R$56:R$254,1)-1,0,2), OFFSET(R$56:R$254,MATCH(D678,R$56:R$254,1)-1,0,2))),"")</f>
        <v>0</v>
      </c>
      <c r="R678" s="7" t="str">
        <f t="array" ref="R678">IFERROR(INDEX(E$56:E$1054,SMALL(IF(ISNUMBER(P$56:P$1054),ROW(E$1:E$999),""),ROW(J623))),"")</f>
        <v/>
      </c>
      <c r="S678" s="7" t="str">
        <f t="array" ref="S678">IFERROR(INDEX(P$56:P$1054,SMALL(IF(ISNUMBER(P$56:P$1054),ROW(P$1:P$999),""),ROW(P623))),"")</f>
        <v/>
      </c>
      <c r="T678" s="7"/>
      <c r="U678" s="7"/>
      <c r="V678" s="7"/>
    </row>
    <row r="679" spans="1:22" x14ac:dyDescent="0.25">
      <c r="A679" s="6"/>
      <c r="B679" s="11"/>
      <c r="C679" s="12"/>
      <c r="D679" s="12"/>
      <c r="E679" s="8">
        <f t="shared" si="9"/>
        <v>0</v>
      </c>
      <c r="F679" s="10"/>
      <c r="G679" s="10"/>
      <c r="H679" s="9"/>
      <c r="I679" s="7"/>
      <c r="J679" s="7"/>
      <c r="K679" s="7">
        <f ca="1">IFERROR(IF(COUNTA(J$56:J679)=J$54,J679,FORECAST(D679,OFFSET(M$56:M$254,MATCH(D679,L$56:L$254,1)-1,0,2), OFFSET(L$56:L$254,MATCH(D679,L$56:L$254,1)-1,0,2))),"")</f>
        <v>0</v>
      </c>
      <c r="L679" s="7" t="str">
        <f t="array" ref="L679">IFERROR(INDEX(D$56:D$1054,SMALL(IF(ISNUMBER(J$56:J$1054),ROW(D$1:D$999),""),ROW(D624))),"")</f>
        <v/>
      </c>
      <c r="M679" s="7" t="str">
        <f t="array" ref="M679">IFERROR(INDEX(J$56:J$1054,SMALL(IF(ISNUMBER(J$56:J$1054),ROW(J$1:J$999),""),ROW(J624))),"")</f>
        <v/>
      </c>
      <c r="N679" s="7"/>
      <c r="O679" s="7"/>
      <c r="P679" s="7"/>
      <c r="Q679" s="7">
        <f ca="1">IFERROR(IF(COUNTA(P$56:P679)=P$54,P679,FORECAST(D679,OFFSET(S$56:S$254,MATCH(D679,R$56:R$254,1)-1,0,2), OFFSET(R$56:R$254,MATCH(D679,R$56:R$254,1)-1,0,2))),"")</f>
        <v>0</v>
      </c>
      <c r="R679" s="7" t="str">
        <f t="array" ref="R679">IFERROR(INDEX(E$56:E$1054,SMALL(IF(ISNUMBER(P$56:P$1054),ROW(E$1:E$999),""),ROW(J624))),"")</f>
        <v/>
      </c>
      <c r="S679" s="7" t="str">
        <f t="array" ref="S679">IFERROR(INDEX(P$56:P$1054,SMALL(IF(ISNUMBER(P$56:P$1054),ROW(P$1:P$999),""),ROW(P624))),"")</f>
        <v/>
      </c>
      <c r="T679" s="7"/>
      <c r="U679" s="7"/>
      <c r="V679" s="7"/>
    </row>
    <row r="680" spans="1:22" x14ac:dyDescent="0.25">
      <c r="A680" s="6"/>
      <c r="B680" s="11"/>
      <c r="C680" s="12"/>
      <c r="D680" s="12"/>
      <c r="E680" s="8">
        <f t="shared" si="9"/>
        <v>0</v>
      </c>
      <c r="F680" s="10"/>
      <c r="G680" s="10"/>
      <c r="H680" s="9"/>
      <c r="I680" s="7"/>
      <c r="J680" s="7"/>
      <c r="K680" s="7">
        <f ca="1">IFERROR(IF(COUNTA(J$56:J680)=J$54,J680,FORECAST(D680,OFFSET(M$56:M$254,MATCH(D680,L$56:L$254,1)-1,0,2), OFFSET(L$56:L$254,MATCH(D680,L$56:L$254,1)-1,0,2))),"")</f>
        <v>0</v>
      </c>
      <c r="L680" s="7" t="str">
        <f t="array" ref="L680">IFERROR(INDEX(D$56:D$1054,SMALL(IF(ISNUMBER(J$56:J$1054),ROW(D$1:D$999),""),ROW(D625))),"")</f>
        <v/>
      </c>
      <c r="M680" s="7" t="str">
        <f t="array" ref="M680">IFERROR(INDEX(J$56:J$1054,SMALL(IF(ISNUMBER(J$56:J$1054),ROW(J$1:J$999),""),ROW(J625))),"")</f>
        <v/>
      </c>
      <c r="N680" s="7"/>
      <c r="O680" s="7"/>
      <c r="P680" s="7"/>
      <c r="Q680" s="7">
        <f ca="1">IFERROR(IF(COUNTA(P$56:P680)=P$54,P680,FORECAST(D680,OFFSET(S$56:S$254,MATCH(D680,R$56:R$254,1)-1,0,2), OFFSET(R$56:R$254,MATCH(D680,R$56:R$254,1)-1,0,2))),"")</f>
        <v>0</v>
      </c>
      <c r="R680" s="7" t="str">
        <f t="array" ref="R680">IFERROR(INDEX(E$56:E$1054,SMALL(IF(ISNUMBER(P$56:P$1054),ROW(E$1:E$999),""),ROW(J625))),"")</f>
        <v/>
      </c>
      <c r="S680" s="7" t="str">
        <f t="array" ref="S680">IFERROR(INDEX(P$56:P$1054,SMALL(IF(ISNUMBER(P$56:P$1054),ROW(P$1:P$999),""),ROW(P625))),"")</f>
        <v/>
      </c>
      <c r="T680" s="7"/>
      <c r="U680" s="7"/>
      <c r="V680" s="7"/>
    </row>
    <row r="681" spans="1:22" x14ac:dyDescent="0.25">
      <c r="A681" s="6"/>
      <c r="B681" s="11"/>
      <c r="C681" s="12"/>
      <c r="D681" s="12"/>
      <c r="E681" s="8">
        <f t="shared" si="9"/>
        <v>0</v>
      </c>
      <c r="F681" s="10"/>
      <c r="G681" s="10"/>
      <c r="H681" s="9"/>
      <c r="I681" s="7"/>
      <c r="J681" s="7"/>
      <c r="K681" s="7">
        <f ca="1">IFERROR(IF(COUNTA(J$56:J681)=J$54,J681,FORECAST(D681,OFFSET(M$56:M$254,MATCH(D681,L$56:L$254,1)-1,0,2), OFFSET(L$56:L$254,MATCH(D681,L$56:L$254,1)-1,0,2))),"")</f>
        <v>0</v>
      </c>
      <c r="L681" s="7" t="str">
        <f t="array" ref="L681">IFERROR(INDEX(D$56:D$1054,SMALL(IF(ISNUMBER(J$56:J$1054),ROW(D$1:D$999),""),ROW(D626))),"")</f>
        <v/>
      </c>
      <c r="M681" s="7" t="str">
        <f t="array" ref="M681">IFERROR(INDEX(J$56:J$1054,SMALL(IF(ISNUMBER(J$56:J$1054),ROW(J$1:J$999),""),ROW(J626))),"")</f>
        <v/>
      </c>
      <c r="N681" s="7"/>
      <c r="O681" s="7"/>
      <c r="P681" s="7"/>
      <c r="Q681" s="7">
        <f ca="1">IFERROR(IF(COUNTA(P$56:P681)=P$54,P681,FORECAST(D681,OFFSET(S$56:S$254,MATCH(D681,R$56:R$254,1)-1,0,2), OFFSET(R$56:R$254,MATCH(D681,R$56:R$254,1)-1,0,2))),"")</f>
        <v>0</v>
      </c>
      <c r="R681" s="7" t="str">
        <f t="array" ref="R681">IFERROR(INDEX(E$56:E$1054,SMALL(IF(ISNUMBER(P$56:P$1054),ROW(E$1:E$999),""),ROW(J626))),"")</f>
        <v/>
      </c>
      <c r="S681" s="7" t="str">
        <f t="array" ref="S681">IFERROR(INDEX(P$56:P$1054,SMALL(IF(ISNUMBER(P$56:P$1054),ROW(P$1:P$999),""),ROW(P626))),"")</f>
        <v/>
      </c>
      <c r="T681" s="7"/>
      <c r="U681" s="7"/>
      <c r="V681" s="7"/>
    </row>
    <row r="682" spans="1:22" x14ac:dyDescent="0.25">
      <c r="A682" s="6"/>
      <c r="B682" s="11"/>
      <c r="C682" s="12"/>
      <c r="D682" s="12"/>
      <c r="E682" s="8">
        <f t="shared" si="9"/>
        <v>0</v>
      </c>
      <c r="F682" s="10"/>
      <c r="G682" s="10"/>
      <c r="H682" s="9"/>
      <c r="I682" s="7"/>
      <c r="J682" s="7"/>
      <c r="K682" s="7">
        <f ca="1">IFERROR(IF(COUNTA(J$56:J682)=J$54,J682,FORECAST(D682,OFFSET(M$56:M$254,MATCH(D682,L$56:L$254,1)-1,0,2), OFFSET(L$56:L$254,MATCH(D682,L$56:L$254,1)-1,0,2))),"")</f>
        <v>0</v>
      </c>
      <c r="L682" s="7" t="str">
        <f t="array" ref="L682">IFERROR(INDEX(D$56:D$1054,SMALL(IF(ISNUMBER(J$56:J$1054),ROW(D$1:D$999),""),ROW(D627))),"")</f>
        <v/>
      </c>
      <c r="M682" s="7" t="str">
        <f t="array" ref="M682">IFERROR(INDEX(J$56:J$1054,SMALL(IF(ISNUMBER(J$56:J$1054),ROW(J$1:J$999),""),ROW(J627))),"")</f>
        <v/>
      </c>
      <c r="N682" s="7"/>
      <c r="O682" s="7"/>
      <c r="P682" s="7"/>
      <c r="Q682" s="7">
        <f ca="1">IFERROR(IF(COUNTA(P$56:P682)=P$54,P682,FORECAST(D682,OFFSET(S$56:S$254,MATCH(D682,R$56:R$254,1)-1,0,2), OFFSET(R$56:R$254,MATCH(D682,R$56:R$254,1)-1,0,2))),"")</f>
        <v>0</v>
      </c>
      <c r="R682" s="7" t="str">
        <f t="array" ref="R682">IFERROR(INDEX(E$56:E$1054,SMALL(IF(ISNUMBER(P$56:P$1054),ROW(E$1:E$999),""),ROW(J627))),"")</f>
        <v/>
      </c>
      <c r="S682" s="7" t="str">
        <f t="array" ref="S682">IFERROR(INDEX(P$56:P$1054,SMALL(IF(ISNUMBER(P$56:P$1054),ROW(P$1:P$999),""),ROW(P627))),"")</f>
        <v/>
      </c>
      <c r="T682" s="7"/>
      <c r="U682" s="7"/>
      <c r="V682" s="7"/>
    </row>
    <row r="683" spans="1:22" x14ac:dyDescent="0.25">
      <c r="A683" s="6"/>
      <c r="B683" s="11"/>
      <c r="C683" s="12"/>
      <c r="D683" s="12"/>
      <c r="E683" s="8">
        <f t="shared" si="9"/>
        <v>0</v>
      </c>
      <c r="F683" s="10"/>
      <c r="G683" s="10"/>
      <c r="H683" s="9"/>
      <c r="I683" s="7"/>
      <c r="J683" s="7"/>
      <c r="K683" s="7">
        <f ca="1">IFERROR(IF(COUNTA(J$56:J683)=J$54,J683,FORECAST(D683,OFFSET(M$56:M$254,MATCH(D683,L$56:L$254,1)-1,0,2), OFFSET(L$56:L$254,MATCH(D683,L$56:L$254,1)-1,0,2))),"")</f>
        <v>0</v>
      </c>
      <c r="L683" s="7" t="str">
        <f t="array" ref="L683">IFERROR(INDEX(D$56:D$1054,SMALL(IF(ISNUMBER(J$56:J$1054),ROW(D$1:D$999),""),ROW(D628))),"")</f>
        <v/>
      </c>
      <c r="M683" s="7" t="str">
        <f t="array" ref="M683">IFERROR(INDEX(J$56:J$1054,SMALL(IF(ISNUMBER(J$56:J$1054),ROW(J$1:J$999),""),ROW(J628))),"")</f>
        <v/>
      </c>
      <c r="N683" s="7"/>
      <c r="O683" s="7"/>
      <c r="P683" s="7"/>
      <c r="Q683" s="7">
        <f ca="1">IFERROR(IF(COUNTA(P$56:P683)=P$54,P683,FORECAST(D683,OFFSET(S$56:S$254,MATCH(D683,R$56:R$254,1)-1,0,2), OFFSET(R$56:R$254,MATCH(D683,R$56:R$254,1)-1,0,2))),"")</f>
        <v>0</v>
      </c>
      <c r="R683" s="7" t="str">
        <f t="array" ref="R683">IFERROR(INDEX(E$56:E$1054,SMALL(IF(ISNUMBER(P$56:P$1054),ROW(E$1:E$999),""),ROW(J628))),"")</f>
        <v/>
      </c>
      <c r="S683" s="7" t="str">
        <f t="array" ref="S683">IFERROR(INDEX(P$56:P$1054,SMALL(IF(ISNUMBER(P$56:P$1054),ROW(P$1:P$999),""),ROW(P628))),"")</f>
        <v/>
      </c>
      <c r="T683" s="7"/>
      <c r="U683" s="7"/>
      <c r="V683" s="7"/>
    </row>
    <row r="684" spans="1:22" x14ac:dyDescent="0.25">
      <c r="A684" s="6"/>
      <c r="B684" s="11"/>
      <c r="C684" s="12"/>
      <c r="D684" s="12"/>
      <c r="E684" s="8">
        <f t="shared" si="9"/>
        <v>0</v>
      </c>
      <c r="F684" s="10"/>
      <c r="G684" s="10"/>
      <c r="H684" s="9"/>
      <c r="I684" s="7"/>
      <c r="J684" s="7"/>
      <c r="K684" s="7">
        <f ca="1">IFERROR(IF(COUNTA(J$56:J684)=J$54,J684,FORECAST(D684,OFFSET(M$56:M$254,MATCH(D684,L$56:L$254,1)-1,0,2), OFFSET(L$56:L$254,MATCH(D684,L$56:L$254,1)-1,0,2))),"")</f>
        <v>0</v>
      </c>
      <c r="L684" s="7" t="str">
        <f t="array" ref="L684">IFERROR(INDEX(D$56:D$1054,SMALL(IF(ISNUMBER(J$56:J$1054),ROW(D$1:D$999),""),ROW(D629))),"")</f>
        <v/>
      </c>
      <c r="M684" s="7" t="str">
        <f t="array" ref="M684">IFERROR(INDEX(J$56:J$1054,SMALL(IF(ISNUMBER(J$56:J$1054),ROW(J$1:J$999),""),ROW(J629))),"")</f>
        <v/>
      </c>
      <c r="N684" s="7"/>
      <c r="O684" s="7"/>
      <c r="P684" s="7"/>
      <c r="Q684" s="7">
        <f ca="1">IFERROR(IF(COUNTA(P$56:P684)=P$54,P684,FORECAST(D684,OFFSET(S$56:S$254,MATCH(D684,R$56:R$254,1)-1,0,2), OFFSET(R$56:R$254,MATCH(D684,R$56:R$254,1)-1,0,2))),"")</f>
        <v>0</v>
      </c>
      <c r="R684" s="7" t="str">
        <f t="array" ref="R684">IFERROR(INDEX(E$56:E$1054,SMALL(IF(ISNUMBER(P$56:P$1054),ROW(E$1:E$999),""),ROW(J629))),"")</f>
        <v/>
      </c>
      <c r="S684" s="7" t="str">
        <f t="array" ref="S684">IFERROR(INDEX(P$56:P$1054,SMALL(IF(ISNUMBER(P$56:P$1054),ROW(P$1:P$999),""),ROW(P629))),"")</f>
        <v/>
      </c>
      <c r="T684" s="7"/>
      <c r="U684" s="7"/>
      <c r="V684" s="7"/>
    </row>
    <row r="685" spans="1:22" x14ac:dyDescent="0.25">
      <c r="A685" s="6"/>
      <c r="B685" s="11"/>
      <c r="C685" s="12"/>
      <c r="D685" s="12"/>
      <c r="E685" s="8">
        <f t="shared" si="9"/>
        <v>0</v>
      </c>
      <c r="F685" s="10"/>
      <c r="G685" s="10"/>
      <c r="H685" s="9"/>
      <c r="I685" s="7"/>
      <c r="J685" s="7"/>
      <c r="K685" s="7">
        <f ca="1">IFERROR(IF(COUNTA(J$56:J685)=J$54,J685,FORECAST(D685,OFFSET(M$56:M$254,MATCH(D685,L$56:L$254,1)-1,0,2), OFFSET(L$56:L$254,MATCH(D685,L$56:L$254,1)-1,0,2))),"")</f>
        <v>0</v>
      </c>
      <c r="L685" s="7" t="str">
        <f t="array" ref="L685">IFERROR(INDEX(D$56:D$1054,SMALL(IF(ISNUMBER(J$56:J$1054),ROW(D$1:D$999),""),ROW(D630))),"")</f>
        <v/>
      </c>
      <c r="M685" s="7" t="str">
        <f t="array" ref="M685">IFERROR(INDEX(J$56:J$1054,SMALL(IF(ISNUMBER(J$56:J$1054),ROW(J$1:J$999),""),ROW(J630))),"")</f>
        <v/>
      </c>
      <c r="N685" s="7"/>
      <c r="O685" s="7"/>
      <c r="P685" s="7"/>
      <c r="Q685" s="7">
        <f ca="1">IFERROR(IF(COUNTA(P$56:P685)=P$54,P685,FORECAST(D685,OFFSET(S$56:S$254,MATCH(D685,R$56:R$254,1)-1,0,2), OFFSET(R$56:R$254,MATCH(D685,R$56:R$254,1)-1,0,2))),"")</f>
        <v>0</v>
      </c>
      <c r="R685" s="7" t="str">
        <f t="array" ref="R685">IFERROR(INDEX(E$56:E$1054,SMALL(IF(ISNUMBER(P$56:P$1054),ROW(E$1:E$999),""),ROW(J630))),"")</f>
        <v/>
      </c>
      <c r="S685" s="7" t="str">
        <f t="array" ref="S685">IFERROR(INDEX(P$56:P$1054,SMALL(IF(ISNUMBER(P$56:P$1054),ROW(P$1:P$999),""),ROW(P630))),"")</f>
        <v/>
      </c>
      <c r="T685" s="7"/>
      <c r="U685" s="7"/>
      <c r="V685" s="7"/>
    </row>
    <row r="686" spans="1:22" x14ac:dyDescent="0.25">
      <c r="A686" s="6"/>
      <c r="B686" s="11"/>
      <c r="C686" s="12"/>
      <c r="D686" s="12"/>
      <c r="E686" s="8">
        <f t="shared" si="9"/>
        <v>0</v>
      </c>
      <c r="F686" s="10"/>
      <c r="G686" s="10"/>
      <c r="H686" s="9"/>
      <c r="I686" s="7"/>
      <c r="J686" s="7"/>
      <c r="K686" s="7">
        <f ca="1">IFERROR(IF(COUNTA(J$56:J686)=J$54,J686,FORECAST(D686,OFFSET(M$56:M$254,MATCH(D686,L$56:L$254,1)-1,0,2), OFFSET(L$56:L$254,MATCH(D686,L$56:L$254,1)-1,0,2))),"")</f>
        <v>0</v>
      </c>
      <c r="L686" s="7" t="str">
        <f t="array" ref="L686">IFERROR(INDEX(D$56:D$1054,SMALL(IF(ISNUMBER(J$56:J$1054),ROW(D$1:D$999),""),ROW(D631))),"")</f>
        <v/>
      </c>
      <c r="M686" s="7" t="str">
        <f t="array" ref="M686">IFERROR(INDEX(J$56:J$1054,SMALL(IF(ISNUMBER(J$56:J$1054),ROW(J$1:J$999),""),ROW(J631))),"")</f>
        <v/>
      </c>
      <c r="N686" s="7"/>
      <c r="O686" s="7"/>
      <c r="P686" s="7"/>
      <c r="Q686" s="7">
        <f ca="1">IFERROR(IF(COUNTA(P$56:P686)=P$54,P686,FORECAST(D686,OFFSET(S$56:S$254,MATCH(D686,R$56:R$254,1)-1,0,2), OFFSET(R$56:R$254,MATCH(D686,R$56:R$254,1)-1,0,2))),"")</f>
        <v>0</v>
      </c>
      <c r="R686" s="7" t="str">
        <f t="array" ref="R686">IFERROR(INDEX(E$56:E$1054,SMALL(IF(ISNUMBER(P$56:P$1054),ROW(E$1:E$999),""),ROW(J631))),"")</f>
        <v/>
      </c>
      <c r="S686" s="7" t="str">
        <f t="array" ref="S686">IFERROR(INDEX(P$56:P$1054,SMALL(IF(ISNUMBER(P$56:P$1054),ROW(P$1:P$999),""),ROW(P631))),"")</f>
        <v/>
      </c>
      <c r="T686" s="7"/>
      <c r="U686" s="7"/>
      <c r="V686" s="7"/>
    </row>
    <row r="687" spans="1:22" x14ac:dyDescent="0.25">
      <c r="A687" s="6"/>
      <c r="B687" s="11"/>
      <c r="C687" s="12"/>
      <c r="D687" s="12"/>
      <c r="E687" s="8">
        <f t="shared" si="9"/>
        <v>0</v>
      </c>
      <c r="F687" s="10"/>
      <c r="G687" s="10"/>
      <c r="H687" s="9"/>
      <c r="I687" s="7"/>
      <c r="J687" s="7"/>
      <c r="K687" s="7">
        <f ca="1">IFERROR(IF(COUNTA(J$56:J687)=J$54,J687,FORECAST(D687,OFFSET(M$56:M$254,MATCH(D687,L$56:L$254,1)-1,0,2), OFFSET(L$56:L$254,MATCH(D687,L$56:L$254,1)-1,0,2))),"")</f>
        <v>0</v>
      </c>
      <c r="L687" s="7" t="str">
        <f t="array" ref="L687">IFERROR(INDEX(D$56:D$1054,SMALL(IF(ISNUMBER(J$56:J$1054),ROW(D$1:D$999),""),ROW(D632))),"")</f>
        <v/>
      </c>
      <c r="M687" s="7" t="str">
        <f t="array" ref="M687">IFERROR(INDEX(J$56:J$1054,SMALL(IF(ISNUMBER(J$56:J$1054),ROW(J$1:J$999),""),ROW(J632))),"")</f>
        <v/>
      </c>
      <c r="N687" s="7"/>
      <c r="O687" s="7"/>
      <c r="P687" s="7"/>
      <c r="Q687" s="7">
        <f ca="1">IFERROR(IF(COUNTA(P$56:P687)=P$54,P687,FORECAST(D687,OFFSET(S$56:S$254,MATCH(D687,R$56:R$254,1)-1,0,2), OFFSET(R$56:R$254,MATCH(D687,R$56:R$254,1)-1,0,2))),"")</f>
        <v>0</v>
      </c>
      <c r="R687" s="7" t="str">
        <f t="array" ref="R687">IFERROR(INDEX(E$56:E$1054,SMALL(IF(ISNUMBER(P$56:P$1054),ROW(E$1:E$999),""),ROW(J632))),"")</f>
        <v/>
      </c>
      <c r="S687" s="7" t="str">
        <f t="array" ref="S687">IFERROR(INDEX(P$56:P$1054,SMALL(IF(ISNUMBER(P$56:P$1054),ROW(P$1:P$999),""),ROW(P632))),"")</f>
        <v/>
      </c>
      <c r="T687" s="7"/>
      <c r="U687" s="7"/>
      <c r="V687" s="7"/>
    </row>
    <row r="688" spans="1:22" x14ac:dyDescent="0.25">
      <c r="A688" s="6"/>
      <c r="B688" s="11"/>
      <c r="C688" s="12"/>
      <c r="D688" s="12"/>
      <c r="E688" s="8">
        <f t="shared" si="9"/>
        <v>0</v>
      </c>
      <c r="F688" s="10"/>
      <c r="G688" s="10"/>
      <c r="H688" s="9"/>
      <c r="I688" s="7"/>
      <c r="J688" s="7"/>
      <c r="K688" s="7">
        <f ca="1">IFERROR(IF(COUNTA(J$56:J688)=J$54,J688,FORECAST(D688,OFFSET(M$56:M$254,MATCH(D688,L$56:L$254,1)-1,0,2), OFFSET(L$56:L$254,MATCH(D688,L$56:L$254,1)-1,0,2))),"")</f>
        <v>0</v>
      </c>
      <c r="L688" s="7" t="str">
        <f t="array" ref="L688">IFERROR(INDEX(D$56:D$1054,SMALL(IF(ISNUMBER(J$56:J$1054),ROW(D$1:D$999),""),ROW(D633))),"")</f>
        <v/>
      </c>
      <c r="M688" s="7" t="str">
        <f t="array" ref="M688">IFERROR(INDEX(J$56:J$1054,SMALL(IF(ISNUMBER(J$56:J$1054),ROW(J$1:J$999),""),ROW(J633))),"")</f>
        <v/>
      </c>
      <c r="N688" s="7"/>
      <c r="O688" s="7"/>
      <c r="P688" s="7"/>
      <c r="Q688" s="7">
        <f ca="1">IFERROR(IF(COUNTA(P$56:P688)=P$54,P688,FORECAST(D688,OFFSET(S$56:S$254,MATCH(D688,R$56:R$254,1)-1,0,2), OFFSET(R$56:R$254,MATCH(D688,R$56:R$254,1)-1,0,2))),"")</f>
        <v>0</v>
      </c>
      <c r="R688" s="7" t="str">
        <f t="array" ref="R688">IFERROR(INDEX(E$56:E$1054,SMALL(IF(ISNUMBER(P$56:P$1054),ROW(E$1:E$999),""),ROW(J633))),"")</f>
        <v/>
      </c>
      <c r="S688" s="7" t="str">
        <f t="array" ref="S688">IFERROR(INDEX(P$56:P$1054,SMALL(IF(ISNUMBER(P$56:P$1054),ROW(P$1:P$999),""),ROW(P633))),"")</f>
        <v/>
      </c>
      <c r="T688" s="7"/>
      <c r="U688" s="7"/>
      <c r="V688" s="7"/>
    </row>
    <row r="689" spans="1:22" x14ac:dyDescent="0.25">
      <c r="A689" s="6"/>
      <c r="B689" s="11"/>
      <c r="C689" s="12"/>
      <c r="D689" s="12"/>
      <c r="E689" s="8">
        <f t="shared" si="9"/>
        <v>0</v>
      </c>
      <c r="F689" s="10"/>
      <c r="G689" s="10"/>
      <c r="H689" s="9"/>
      <c r="I689" s="7"/>
      <c r="J689" s="7"/>
      <c r="K689" s="7">
        <f ca="1">IFERROR(IF(COUNTA(J$56:J689)=J$54,J689,FORECAST(D689,OFFSET(M$56:M$254,MATCH(D689,L$56:L$254,1)-1,0,2), OFFSET(L$56:L$254,MATCH(D689,L$56:L$254,1)-1,0,2))),"")</f>
        <v>0</v>
      </c>
      <c r="L689" s="7" t="str">
        <f t="array" ref="L689">IFERROR(INDEX(D$56:D$1054,SMALL(IF(ISNUMBER(J$56:J$1054),ROW(D$1:D$999),""),ROW(D634))),"")</f>
        <v/>
      </c>
      <c r="M689" s="7" t="str">
        <f t="array" ref="M689">IFERROR(INDEX(J$56:J$1054,SMALL(IF(ISNUMBER(J$56:J$1054),ROW(J$1:J$999),""),ROW(J634))),"")</f>
        <v/>
      </c>
      <c r="N689" s="7"/>
      <c r="O689" s="7"/>
      <c r="P689" s="7"/>
      <c r="Q689" s="7">
        <f ca="1">IFERROR(IF(COUNTA(P$56:P689)=P$54,P689,FORECAST(D689,OFFSET(S$56:S$254,MATCH(D689,R$56:R$254,1)-1,0,2), OFFSET(R$56:R$254,MATCH(D689,R$56:R$254,1)-1,0,2))),"")</f>
        <v>0</v>
      </c>
      <c r="R689" s="7" t="str">
        <f t="array" ref="R689">IFERROR(INDEX(E$56:E$1054,SMALL(IF(ISNUMBER(P$56:P$1054),ROW(E$1:E$999),""),ROW(J634))),"")</f>
        <v/>
      </c>
      <c r="S689" s="7" t="str">
        <f t="array" ref="S689">IFERROR(INDEX(P$56:P$1054,SMALL(IF(ISNUMBER(P$56:P$1054),ROW(P$1:P$999),""),ROW(P634))),"")</f>
        <v/>
      </c>
      <c r="T689" s="7"/>
      <c r="U689" s="7"/>
      <c r="V689" s="7"/>
    </row>
    <row r="690" spans="1:22" x14ac:dyDescent="0.25">
      <c r="A690" s="6"/>
      <c r="B690" s="11"/>
      <c r="C690" s="12"/>
      <c r="D690" s="12"/>
      <c r="E690" s="8">
        <f t="shared" si="9"/>
        <v>0</v>
      </c>
      <c r="F690" s="10"/>
      <c r="G690" s="10"/>
      <c r="H690" s="9"/>
      <c r="I690" s="7"/>
      <c r="J690" s="7"/>
      <c r="K690" s="7">
        <f ca="1">IFERROR(IF(COUNTA(J$56:J690)=J$54,J690,FORECAST(D690,OFFSET(M$56:M$254,MATCH(D690,L$56:L$254,1)-1,0,2), OFFSET(L$56:L$254,MATCH(D690,L$56:L$254,1)-1,0,2))),"")</f>
        <v>0</v>
      </c>
      <c r="L690" s="7" t="str">
        <f t="array" ref="L690">IFERROR(INDEX(D$56:D$1054,SMALL(IF(ISNUMBER(J$56:J$1054),ROW(D$1:D$999),""),ROW(D635))),"")</f>
        <v/>
      </c>
      <c r="M690" s="7" t="str">
        <f t="array" ref="M690">IFERROR(INDEX(J$56:J$1054,SMALL(IF(ISNUMBER(J$56:J$1054),ROW(J$1:J$999),""),ROW(J635))),"")</f>
        <v/>
      </c>
      <c r="N690" s="7"/>
      <c r="O690" s="7"/>
      <c r="P690" s="7"/>
      <c r="Q690" s="7">
        <f ca="1">IFERROR(IF(COUNTA(P$56:P690)=P$54,P690,FORECAST(D690,OFFSET(S$56:S$254,MATCH(D690,R$56:R$254,1)-1,0,2), OFFSET(R$56:R$254,MATCH(D690,R$56:R$254,1)-1,0,2))),"")</f>
        <v>0</v>
      </c>
      <c r="R690" s="7" t="str">
        <f t="array" ref="R690">IFERROR(INDEX(E$56:E$1054,SMALL(IF(ISNUMBER(P$56:P$1054),ROW(E$1:E$999),""),ROW(J635))),"")</f>
        <v/>
      </c>
      <c r="S690" s="7" t="str">
        <f t="array" ref="S690">IFERROR(INDEX(P$56:P$1054,SMALL(IF(ISNUMBER(P$56:P$1054),ROW(P$1:P$999),""),ROW(P635))),"")</f>
        <v/>
      </c>
      <c r="T690" s="7"/>
      <c r="U690" s="7"/>
      <c r="V690" s="7"/>
    </row>
    <row r="691" spans="1:22" x14ac:dyDescent="0.25">
      <c r="A691" s="6"/>
      <c r="B691" s="11"/>
      <c r="C691" s="12"/>
      <c r="D691" s="12"/>
      <c r="E691" s="8">
        <f t="shared" si="9"/>
        <v>0</v>
      </c>
      <c r="F691" s="10"/>
      <c r="G691" s="10"/>
      <c r="H691" s="9"/>
      <c r="I691" s="7"/>
      <c r="J691" s="7"/>
      <c r="K691" s="7">
        <f ca="1">IFERROR(IF(COUNTA(J$56:J691)=J$54,J691,FORECAST(D691,OFFSET(M$56:M$254,MATCH(D691,L$56:L$254,1)-1,0,2), OFFSET(L$56:L$254,MATCH(D691,L$56:L$254,1)-1,0,2))),"")</f>
        <v>0</v>
      </c>
      <c r="L691" s="7" t="str">
        <f t="array" ref="L691">IFERROR(INDEX(D$56:D$1054,SMALL(IF(ISNUMBER(J$56:J$1054),ROW(D$1:D$999),""),ROW(D636))),"")</f>
        <v/>
      </c>
      <c r="M691" s="7" t="str">
        <f t="array" ref="M691">IFERROR(INDEX(J$56:J$1054,SMALL(IF(ISNUMBER(J$56:J$1054),ROW(J$1:J$999),""),ROW(J636))),"")</f>
        <v/>
      </c>
      <c r="N691" s="7"/>
      <c r="O691" s="7"/>
      <c r="P691" s="7"/>
      <c r="Q691" s="7">
        <f ca="1">IFERROR(IF(COUNTA(P$56:P691)=P$54,P691,FORECAST(D691,OFFSET(S$56:S$254,MATCH(D691,R$56:R$254,1)-1,0,2), OFFSET(R$56:R$254,MATCH(D691,R$56:R$254,1)-1,0,2))),"")</f>
        <v>0</v>
      </c>
      <c r="R691" s="7" t="str">
        <f t="array" ref="R691">IFERROR(INDEX(E$56:E$1054,SMALL(IF(ISNUMBER(P$56:P$1054),ROW(E$1:E$999),""),ROW(J636))),"")</f>
        <v/>
      </c>
      <c r="S691" s="7" t="str">
        <f t="array" ref="S691">IFERROR(INDEX(P$56:P$1054,SMALL(IF(ISNUMBER(P$56:P$1054),ROW(P$1:P$999),""),ROW(P636))),"")</f>
        <v/>
      </c>
      <c r="T691" s="7"/>
      <c r="U691" s="7"/>
      <c r="V691" s="7"/>
    </row>
    <row r="692" spans="1:22" x14ac:dyDescent="0.25">
      <c r="A692" s="6"/>
      <c r="B692" s="11"/>
      <c r="C692" s="12"/>
      <c r="D692" s="12"/>
      <c r="E692" s="8">
        <f t="shared" si="9"/>
        <v>0</v>
      </c>
      <c r="F692" s="10"/>
      <c r="G692" s="10"/>
      <c r="H692" s="9"/>
      <c r="I692" s="7"/>
      <c r="J692" s="7"/>
      <c r="K692" s="7">
        <f ca="1">IFERROR(IF(COUNTA(J$56:J692)=J$54,J692,FORECAST(D692,OFFSET(M$56:M$254,MATCH(D692,L$56:L$254,1)-1,0,2), OFFSET(L$56:L$254,MATCH(D692,L$56:L$254,1)-1,0,2))),"")</f>
        <v>0</v>
      </c>
      <c r="L692" s="7" t="str">
        <f t="array" ref="L692">IFERROR(INDEX(D$56:D$1054,SMALL(IF(ISNUMBER(J$56:J$1054),ROW(D$1:D$999),""),ROW(D637))),"")</f>
        <v/>
      </c>
      <c r="M692" s="7" t="str">
        <f t="array" ref="M692">IFERROR(INDEX(J$56:J$1054,SMALL(IF(ISNUMBER(J$56:J$1054),ROW(J$1:J$999),""),ROW(J637))),"")</f>
        <v/>
      </c>
      <c r="N692" s="7"/>
      <c r="O692" s="7"/>
      <c r="P692" s="7"/>
      <c r="Q692" s="7">
        <f ca="1">IFERROR(IF(COUNTA(P$56:P692)=P$54,P692,FORECAST(D692,OFFSET(S$56:S$254,MATCH(D692,R$56:R$254,1)-1,0,2), OFFSET(R$56:R$254,MATCH(D692,R$56:R$254,1)-1,0,2))),"")</f>
        <v>0</v>
      </c>
      <c r="R692" s="7" t="str">
        <f t="array" ref="R692">IFERROR(INDEX(E$56:E$1054,SMALL(IF(ISNUMBER(P$56:P$1054),ROW(E$1:E$999),""),ROW(J637))),"")</f>
        <v/>
      </c>
      <c r="S692" s="7" t="str">
        <f t="array" ref="S692">IFERROR(INDEX(P$56:P$1054,SMALL(IF(ISNUMBER(P$56:P$1054),ROW(P$1:P$999),""),ROW(P637))),"")</f>
        <v/>
      </c>
      <c r="T692" s="7"/>
      <c r="U692" s="7"/>
      <c r="V692" s="7"/>
    </row>
    <row r="693" spans="1:22" x14ac:dyDescent="0.25">
      <c r="A693" s="6"/>
      <c r="B693" s="11"/>
      <c r="C693" s="12"/>
      <c r="D693" s="12"/>
      <c r="E693" s="8">
        <f t="shared" si="9"/>
        <v>0</v>
      </c>
      <c r="F693" s="10"/>
      <c r="G693" s="10"/>
      <c r="H693" s="9"/>
      <c r="I693" s="7"/>
      <c r="J693" s="7"/>
      <c r="K693" s="7">
        <f ca="1">IFERROR(IF(COUNTA(J$56:J693)=J$54,J693,FORECAST(D693,OFFSET(M$56:M$254,MATCH(D693,L$56:L$254,1)-1,0,2), OFFSET(L$56:L$254,MATCH(D693,L$56:L$254,1)-1,0,2))),"")</f>
        <v>0</v>
      </c>
      <c r="L693" s="7" t="str">
        <f t="array" ref="L693">IFERROR(INDEX(D$56:D$1054,SMALL(IF(ISNUMBER(J$56:J$1054),ROW(D$1:D$999),""),ROW(D638))),"")</f>
        <v/>
      </c>
      <c r="M693" s="7" t="str">
        <f t="array" ref="M693">IFERROR(INDEX(J$56:J$1054,SMALL(IF(ISNUMBER(J$56:J$1054),ROW(J$1:J$999),""),ROW(J638))),"")</f>
        <v/>
      </c>
      <c r="N693" s="7"/>
      <c r="O693" s="7"/>
      <c r="P693" s="7"/>
      <c r="Q693" s="7">
        <f ca="1">IFERROR(IF(COUNTA(P$56:P693)=P$54,P693,FORECAST(D693,OFFSET(S$56:S$254,MATCH(D693,R$56:R$254,1)-1,0,2), OFFSET(R$56:R$254,MATCH(D693,R$56:R$254,1)-1,0,2))),"")</f>
        <v>0</v>
      </c>
      <c r="R693" s="7" t="str">
        <f t="array" ref="R693">IFERROR(INDEX(E$56:E$1054,SMALL(IF(ISNUMBER(P$56:P$1054),ROW(E$1:E$999),""),ROW(J638))),"")</f>
        <v/>
      </c>
      <c r="S693" s="7" t="str">
        <f t="array" ref="S693">IFERROR(INDEX(P$56:P$1054,SMALL(IF(ISNUMBER(P$56:P$1054),ROW(P$1:P$999),""),ROW(P638))),"")</f>
        <v/>
      </c>
      <c r="T693" s="7"/>
      <c r="U693" s="7"/>
      <c r="V693" s="7"/>
    </row>
    <row r="694" spans="1:22" x14ac:dyDescent="0.25">
      <c r="A694" s="6"/>
      <c r="B694" s="11"/>
      <c r="C694" s="12"/>
      <c r="D694" s="12"/>
      <c r="E694" s="8">
        <f t="shared" si="9"/>
        <v>0</v>
      </c>
      <c r="F694" s="10"/>
      <c r="G694" s="10"/>
      <c r="H694" s="9"/>
      <c r="I694" s="7"/>
      <c r="J694" s="7"/>
      <c r="K694" s="7">
        <f ca="1">IFERROR(IF(COUNTA(J$56:J694)=J$54,J694,FORECAST(D694,OFFSET(M$56:M$254,MATCH(D694,L$56:L$254,1)-1,0,2), OFFSET(L$56:L$254,MATCH(D694,L$56:L$254,1)-1,0,2))),"")</f>
        <v>0</v>
      </c>
      <c r="L694" s="7" t="str">
        <f t="array" ref="L694">IFERROR(INDEX(D$56:D$1054,SMALL(IF(ISNUMBER(J$56:J$1054),ROW(D$1:D$999),""),ROW(D639))),"")</f>
        <v/>
      </c>
      <c r="M694" s="7" t="str">
        <f t="array" ref="M694">IFERROR(INDEX(J$56:J$1054,SMALL(IF(ISNUMBER(J$56:J$1054),ROW(J$1:J$999),""),ROW(J639))),"")</f>
        <v/>
      </c>
      <c r="N694" s="7"/>
      <c r="O694" s="7"/>
      <c r="P694" s="7"/>
      <c r="Q694" s="7">
        <f ca="1">IFERROR(IF(COUNTA(P$56:P694)=P$54,P694,FORECAST(D694,OFFSET(S$56:S$254,MATCH(D694,R$56:R$254,1)-1,0,2), OFFSET(R$56:R$254,MATCH(D694,R$56:R$254,1)-1,0,2))),"")</f>
        <v>0</v>
      </c>
      <c r="R694" s="7" t="str">
        <f t="array" ref="R694">IFERROR(INDEX(E$56:E$1054,SMALL(IF(ISNUMBER(P$56:P$1054),ROW(E$1:E$999),""),ROW(J639))),"")</f>
        <v/>
      </c>
      <c r="S694" s="7" t="str">
        <f t="array" ref="S694">IFERROR(INDEX(P$56:P$1054,SMALL(IF(ISNUMBER(P$56:P$1054),ROW(P$1:P$999),""),ROW(P639))),"")</f>
        <v/>
      </c>
      <c r="T694" s="7"/>
      <c r="U694" s="7"/>
      <c r="V694" s="7"/>
    </row>
    <row r="695" spans="1:22" x14ac:dyDescent="0.25">
      <c r="A695" s="6"/>
      <c r="B695" s="11"/>
      <c r="C695" s="12"/>
      <c r="D695" s="12"/>
      <c r="E695" s="8">
        <f t="shared" si="9"/>
        <v>0</v>
      </c>
      <c r="F695" s="10"/>
      <c r="G695" s="10"/>
      <c r="H695" s="9"/>
      <c r="I695" s="7"/>
      <c r="J695" s="7"/>
      <c r="K695" s="7">
        <f ca="1">IFERROR(IF(COUNTA(J$56:J695)=J$54,J695,FORECAST(D695,OFFSET(M$56:M$254,MATCH(D695,L$56:L$254,1)-1,0,2), OFFSET(L$56:L$254,MATCH(D695,L$56:L$254,1)-1,0,2))),"")</f>
        <v>0</v>
      </c>
      <c r="L695" s="7" t="str">
        <f t="array" ref="L695">IFERROR(INDEX(D$56:D$1054,SMALL(IF(ISNUMBER(J$56:J$1054),ROW(D$1:D$999),""),ROW(D640))),"")</f>
        <v/>
      </c>
      <c r="M695" s="7" t="str">
        <f t="array" ref="M695">IFERROR(INDEX(J$56:J$1054,SMALL(IF(ISNUMBER(J$56:J$1054),ROW(J$1:J$999),""),ROW(J640))),"")</f>
        <v/>
      </c>
      <c r="N695" s="7"/>
      <c r="O695" s="7"/>
      <c r="P695" s="7"/>
      <c r="Q695" s="7">
        <f ca="1">IFERROR(IF(COUNTA(P$56:P695)=P$54,P695,FORECAST(D695,OFFSET(S$56:S$254,MATCH(D695,R$56:R$254,1)-1,0,2), OFFSET(R$56:R$254,MATCH(D695,R$56:R$254,1)-1,0,2))),"")</f>
        <v>0</v>
      </c>
      <c r="R695" s="7" t="str">
        <f t="array" ref="R695">IFERROR(INDEX(E$56:E$1054,SMALL(IF(ISNUMBER(P$56:P$1054),ROW(E$1:E$999),""),ROW(J640))),"")</f>
        <v/>
      </c>
      <c r="S695" s="7" t="str">
        <f t="array" ref="S695">IFERROR(INDEX(P$56:P$1054,SMALL(IF(ISNUMBER(P$56:P$1054),ROW(P$1:P$999),""),ROW(P640))),"")</f>
        <v/>
      </c>
      <c r="T695" s="7"/>
      <c r="U695" s="7"/>
      <c r="V695" s="7"/>
    </row>
    <row r="696" spans="1:22" x14ac:dyDescent="0.25">
      <c r="A696" s="6"/>
      <c r="B696" s="11"/>
      <c r="C696" s="12"/>
      <c r="D696" s="12"/>
      <c r="E696" s="8">
        <f t="shared" si="9"/>
        <v>0</v>
      </c>
      <c r="F696" s="10"/>
      <c r="G696" s="10"/>
      <c r="H696" s="9"/>
      <c r="I696" s="7"/>
      <c r="J696" s="7"/>
      <c r="K696" s="7">
        <f ca="1">IFERROR(IF(COUNTA(J$56:J696)=J$54,J696,FORECAST(D696,OFFSET(M$56:M$254,MATCH(D696,L$56:L$254,1)-1,0,2), OFFSET(L$56:L$254,MATCH(D696,L$56:L$254,1)-1,0,2))),"")</f>
        <v>0</v>
      </c>
      <c r="L696" s="7" t="str">
        <f t="array" ref="L696">IFERROR(INDEX(D$56:D$1054,SMALL(IF(ISNUMBER(J$56:J$1054),ROW(D$1:D$999),""),ROW(D641))),"")</f>
        <v/>
      </c>
      <c r="M696" s="7" t="str">
        <f t="array" ref="M696">IFERROR(INDEX(J$56:J$1054,SMALL(IF(ISNUMBER(J$56:J$1054),ROW(J$1:J$999),""),ROW(J641))),"")</f>
        <v/>
      </c>
      <c r="N696" s="7"/>
      <c r="O696" s="7"/>
      <c r="P696" s="7"/>
      <c r="Q696" s="7">
        <f ca="1">IFERROR(IF(COUNTA(P$56:P696)=P$54,P696,FORECAST(D696,OFFSET(S$56:S$254,MATCH(D696,R$56:R$254,1)-1,0,2), OFFSET(R$56:R$254,MATCH(D696,R$56:R$254,1)-1,0,2))),"")</f>
        <v>0</v>
      </c>
      <c r="R696" s="7" t="str">
        <f t="array" ref="R696">IFERROR(INDEX(E$56:E$1054,SMALL(IF(ISNUMBER(P$56:P$1054),ROW(E$1:E$999),""),ROW(J641))),"")</f>
        <v/>
      </c>
      <c r="S696" s="7" t="str">
        <f t="array" ref="S696">IFERROR(INDEX(P$56:P$1054,SMALL(IF(ISNUMBER(P$56:P$1054),ROW(P$1:P$999),""),ROW(P641))),"")</f>
        <v/>
      </c>
      <c r="T696" s="7"/>
      <c r="U696" s="7"/>
      <c r="V696" s="7"/>
    </row>
    <row r="697" spans="1:22" x14ac:dyDescent="0.25">
      <c r="A697" s="6"/>
      <c r="B697" s="11"/>
      <c r="C697" s="12"/>
      <c r="D697" s="12"/>
      <c r="E697" s="8">
        <f t="shared" si="9"/>
        <v>0</v>
      </c>
      <c r="F697" s="10"/>
      <c r="G697" s="10"/>
      <c r="H697" s="9"/>
      <c r="I697" s="7"/>
      <c r="J697" s="7"/>
      <c r="K697" s="7">
        <f ca="1">IFERROR(IF(COUNTA(J$56:J697)=J$54,J697,FORECAST(D697,OFFSET(M$56:M$254,MATCH(D697,L$56:L$254,1)-1,0,2), OFFSET(L$56:L$254,MATCH(D697,L$56:L$254,1)-1,0,2))),"")</f>
        <v>0</v>
      </c>
      <c r="L697" s="7" t="str">
        <f t="array" ref="L697">IFERROR(INDEX(D$56:D$1054,SMALL(IF(ISNUMBER(J$56:J$1054),ROW(D$1:D$999),""),ROW(D642))),"")</f>
        <v/>
      </c>
      <c r="M697" s="7" t="str">
        <f t="array" ref="M697">IFERROR(INDEX(J$56:J$1054,SMALL(IF(ISNUMBER(J$56:J$1054),ROW(J$1:J$999),""),ROW(J642))),"")</f>
        <v/>
      </c>
      <c r="N697" s="7"/>
      <c r="O697" s="7"/>
      <c r="P697" s="7"/>
      <c r="Q697" s="7">
        <f ca="1">IFERROR(IF(COUNTA(P$56:P697)=P$54,P697,FORECAST(D697,OFFSET(S$56:S$254,MATCH(D697,R$56:R$254,1)-1,0,2), OFFSET(R$56:R$254,MATCH(D697,R$56:R$254,1)-1,0,2))),"")</f>
        <v>0</v>
      </c>
      <c r="R697" s="7" t="str">
        <f t="array" ref="R697">IFERROR(INDEX(E$56:E$1054,SMALL(IF(ISNUMBER(P$56:P$1054),ROW(E$1:E$999),""),ROW(J642))),"")</f>
        <v/>
      </c>
      <c r="S697" s="7" t="str">
        <f t="array" ref="S697">IFERROR(INDEX(P$56:P$1054,SMALL(IF(ISNUMBER(P$56:P$1054),ROW(P$1:P$999),""),ROW(P642))),"")</f>
        <v/>
      </c>
      <c r="T697" s="7"/>
      <c r="U697" s="7"/>
      <c r="V697" s="7"/>
    </row>
    <row r="698" spans="1:22" x14ac:dyDescent="0.25">
      <c r="A698" s="6"/>
      <c r="B698" s="11"/>
      <c r="C698" s="12"/>
      <c r="D698" s="12"/>
      <c r="E698" s="8">
        <f t="shared" ref="E698:E761" si="10">IF(NOT(ISBLANK(D698)),D698+C$54,0)</f>
        <v>0</v>
      </c>
      <c r="F698" s="10"/>
      <c r="G698" s="10"/>
      <c r="H698" s="9"/>
      <c r="I698" s="7"/>
      <c r="J698" s="7"/>
      <c r="K698" s="7">
        <f ca="1">IFERROR(IF(COUNTA(J$56:J698)=J$54,J698,FORECAST(D698,OFFSET(M$56:M$254,MATCH(D698,L$56:L$254,1)-1,0,2), OFFSET(L$56:L$254,MATCH(D698,L$56:L$254,1)-1,0,2))),"")</f>
        <v>0</v>
      </c>
      <c r="L698" s="7" t="str">
        <f t="array" ref="L698">IFERROR(INDEX(D$56:D$1054,SMALL(IF(ISNUMBER(J$56:J$1054),ROW(D$1:D$999),""),ROW(D643))),"")</f>
        <v/>
      </c>
      <c r="M698" s="7" t="str">
        <f t="array" ref="M698">IFERROR(INDEX(J$56:J$1054,SMALL(IF(ISNUMBER(J$56:J$1054),ROW(J$1:J$999),""),ROW(J643))),"")</f>
        <v/>
      </c>
      <c r="N698" s="7"/>
      <c r="O698" s="7"/>
      <c r="P698" s="7"/>
      <c r="Q698" s="7">
        <f ca="1">IFERROR(IF(COUNTA(P$56:P698)=P$54,P698,FORECAST(D698,OFFSET(S$56:S$254,MATCH(D698,R$56:R$254,1)-1,0,2), OFFSET(R$56:R$254,MATCH(D698,R$56:R$254,1)-1,0,2))),"")</f>
        <v>0</v>
      </c>
      <c r="R698" s="7" t="str">
        <f t="array" ref="R698">IFERROR(INDEX(E$56:E$1054,SMALL(IF(ISNUMBER(P$56:P$1054),ROW(E$1:E$999),""),ROW(J643))),"")</f>
        <v/>
      </c>
      <c r="S698" s="7" t="str">
        <f t="array" ref="S698">IFERROR(INDEX(P$56:P$1054,SMALL(IF(ISNUMBER(P$56:P$1054),ROW(P$1:P$999),""),ROW(P643))),"")</f>
        <v/>
      </c>
      <c r="T698" s="7"/>
      <c r="U698" s="7"/>
      <c r="V698" s="7"/>
    </row>
    <row r="699" spans="1:22" x14ac:dyDescent="0.25">
      <c r="A699" s="6"/>
      <c r="B699" s="11"/>
      <c r="C699" s="12"/>
      <c r="D699" s="12"/>
      <c r="E699" s="8">
        <f t="shared" si="10"/>
        <v>0</v>
      </c>
      <c r="F699" s="10"/>
      <c r="G699" s="10"/>
      <c r="H699" s="9"/>
      <c r="I699" s="7"/>
      <c r="J699" s="7"/>
      <c r="K699" s="7">
        <f ca="1">IFERROR(IF(COUNTA(J$56:J699)=J$54,J699,FORECAST(D699,OFFSET(M$56:M$254,MATCH(D699,L$56:L$254,1)-1,0,2), OFFSET(L$56:L$254,MATCH(D699,L$56:L$254,1)-1,0,2))),"")</f>
        <v>0</v>
      </c>
      <c r="L699" s="7" t="str">
        <f t="array" ref="L699">IFERROR(INDEX(D$56:D$1054,SMALL(IF(ISNUMBER(J$56:J$1054),ROW(D$1:D$999),""),ROW(D644))),"")</f>
        <v/>
      </c>
      <c r="M699" s="7" t="str">
        <f t="array" ref="M699">IFERROR(INDEX(J$56:J$1054,SMALL(IF(ISNUMBER(J$56:J$1054),ROW(J$1:J$999),""),ROW(J644))),"")</f>
        <v/>
      </c>
      <c r="N699" s="7"/>
      <c r="O699" s="7"/>
      <c r="P699" s="7"/>
      <c r="Q699" s="7">
        <f ca="1">IFERROR(IF(COUNTA(P$56:P699)=P$54,P699,FORECAST(D699,OFFSET(S$56:S$254,MATCH(D699,R$56:R$254,1)-1,0,2), OFFSET(R$56:R$254,MATCH(D699,R$56:R$254,1)-1,0,2))),"")</f>
        <v>0</v>
      </c>
      <c r="R699" s="7" t="str">
        <f t="array" ref="R699">IFERROR(INDEX(E$56:E$1054,SMALL(IF(ISNUMBER(P$56:P$1054),ROW(E$1:E$999),""),ROW(J644))),"")</f>
        <v/>
      </c>
      <c r="S699" s="7" t="str">
        <f t="array" ref="S699">IFERROR(INDEX(P$56:P$1054,SMALL(IF(ISNUMBER(P$56:P$1054),ROW(P$1:P$999),""),ROW(P644))),"")</f>
        <v/>
      </c>
      <c r="T699" s="7"/>
      <c r="U699" s="7"/>
      <c r="V699" s="7"/>
    </row>
    <row r="700" spans="1:22" x14ac:dyDescent="0.25">
      <c r="A700" s="6"/>
      <c r="B700" s="11"/>
      <c r="C700" s="12"/>
      <c r="D700" s="12"/>
      <c r="E700" s="8">
        <f t="shared" si="10"/>
        <v>0</v>
      </c>
      <c r="F700" s="10"/>
      <c r="G700" s="10"/>
      <c r="H700" s="9"/>
      <c r="I700" s="7"/>
      <c r="J700" s="7"/>
      <c r="K700" s="7">
        <f ca="1">IFERROR(IF(COUNTA(J$56:J700)=J$54,J700,FORECAST(D700,OFFSET(M$56:M$254,MATCH(D700,L$56:L$254,1)-1,0,2), OFFSET(L$56:L$254,MATCH(D700,L$56:L$254,1)-1,0,2))),"")</f>
        <v>0</v>
      </c>
      <c r="L700" s="7" t="str">
        <f t="array" ref="L700">IFERROR(INDEX(D$56:D$1054,SMALL(IF(ISNUMBER(J$56:J$1054),ROW(D$1:D$999),""),ROW(D645))),"")</f>
        <v/>
      </c>
      <c r="M700" s="7" t="str">
        <f t="array" ref="M700">IFERROR(INDEX(J$56:J$1054,SMALL(IF(ISNUMBER(J$56:J$1054),ROW(J$1:J$999),""),ROW(J645))),"")</f>
        <v/>
      </c>
      <c r="N700" s="7"/>
      <c r="O700" s="7"/>
      <c r="P700" s="7"/>
      <c r="Q700" s="7">
        <f ca="1">IFERROR(IF(COUNTA(P$56:P700)=P$54,P700,FORECAST(D700,OFFSET(S$56:S$254,MATCH(D700,R$56:R$254,1)-1,0,2), OFFSET(R$56:R$254,MATCH(D700,R$56:R$254,1)-1,0,2))),"")</f>
        <v>0</v>
      </c>
      <c r="R700" s="7" t="str">
        <f t="array" ref="R700">IFERROR(INDEX(E$56:E$1054,SMALL(IF(ISNUMBER(P$56:P$1054),ROW(E$1:E$999),""),ROW(J645))),"")</f>
        <v/>
      </c>
      <c r="S700" s="7" t="str">
        <f t="array" ref="S700">IFERROR(INDEX(P$56:P$1054,SMALL(IF(ISNUMBER(P$56:P$1054),ROW(P$1:P$999),""),ROW(P645))),"")</f>
        <v/>
      </c>
      <c r="T700" s="7"/>
      <c r="U700" s="7"/>
      <c r="V700" s="7"/>
    </row>
    <row r="701" spans="1:22" x14ac:dyDescent="0.25">
      <c r="A701" s="6"/>
      <c r="B701" s="11"/>
      <c r="C701" s="12"/>
      <c r="D701" s="12"/>
      <c r="E701" s="8">
        <f t="shared" si="10"/>
        <v>0</v>
      </c>
      <c r="F701" s="10"/>
      <c r="G701" s="10"/>
      <c r="H701" s="9"/>
      <c r="I701" s="7"/>
      <c r="J701" s="7"/>
      <c r="K701" s="7">
        <f ca="1">IFERROR(IF(COUNTA(J$56:J701)=J$54,J701,FORECAST(D701,OFFSET(M$56:M$254,MATCH(D701,L$56:L$254,1)-1,0,2), OFFSET(L$56:L$254,MATCH(D701,L$56:L$254,1)-1,0,2))),"")</f>
        <v>0</v>
      </c>
      <c r="L701" s="7" t="str">
        <f t="array" ref="L701">IFERROR(INDEX(D$56:D$1054,SMALL(IF(ISNUMBER(J$56:J$1054),ROW(D$1:D$999),""),ROW(D646))),"")</f>
        <v/>
      </c>
      <c r="M701" s="7" t="str">
        <f t="array" ref="M701">IFERROR(INDEX(J$56:J$1054,SMALL(IF(ISNUMBER(J$56:J$1054),ROW(J$1:J$999),""),ROW(J646))),"")</f>
        <v/>
      </c>
      <c r="N701" s="7"/>
      <c r="O701" s="7"/>
      <c r="P701" s="7"/>
      <c r="Q701" s="7">
        <f ca="1">IFERROR(IF(COUNTA(P$56:P701)=P$54,P701,FORECAST(D701,OFFSET(S$56:S$254,MATCH(D701,R$56:R$254,1)-1,0,2), OFFSET(R$56:R$254,MATCH(D701,R$56:R$254,1)-1,0,2))),"")</f>
        <v>0</v>
      </c>
      <c r="R701" s="7" t="str">
        <f t="array" ref="R701">IFERROR(INDEX(E$56:E$1054,SMALL(IF(ISNUMBER(P$56:P$1054),ROW(E$1:E$999),""),ROW(J646))),"")</f>
        <v/>
      </c>
      <c r="S701" s="7" t="str">
        <f t="array" ref="S701">IFERROR(INDEX(P$56:P$1054,SMALL(IF(ISNUMBER(P$56:P$1054),ROW(P$1:P$999),""),ROW(P646))),"")</f>
        <v/>
      </c>
      <c r="T701" s="7"/>
      <c r="U701" s="7"/>
      <c r="V701" s="7"/>
    </row>
    <row r="702" spans="1:22" x14ac:dyDescent="0.25">
      <c r="A702" s="6"/>
      <c r="B702" s="11"/>
      <c r="C702" s="12"/>
      <c r="D702" s="12"/>
      <c r="E702" s="8">
        <f t="shared" si="10"/>
        <v>0</v>
      </c>
      <c r="F702" s="10"/>
      <c r="G702" s="10"/>
      <c r="H702" s="9"/>
      <c r="I702" s="7"/>
      <c r="J702" s="7"/>
      <c r="K702" s="7">
        <f ca="1">IFERROR(IF(COUNTA(J$56:J702)=J$54,J702,FORECAST(D702,OFFSET(M$56:M$254,MATCH(D702,L$56:L$254,1)-1,0,2), OFFSET(L$56:L$254,MATCH(D702,L$56:L$254,1)-1,0,2))),"")</f>
        <v>0</v>
      </c>
      <c r="L702" s="7" t="str">
        <f t="array" ref="L702">IFERROR(INDEX(D$56:D$1054,SMALL(IF(ISNUMBER(J$56:J$1054),ROW(D$1:D$999),""),ROW(D647))),"")</f>
        <v/>
      </c>
      <c r="M702" s="7" t="str">
        <f t="array" ref="M702">IFERROR(INDEX(J$56:J$1054,SMALL(IF(ISNUMBER(J$56:J$1054),ROW(J$1:J$999),""),ROW(J647))),"")</f>
        <v/>
      </c>
      <c r="N702" s="7"/>
      <c r="O702" s="7"/>
      <c r="P702" s="7"/>
      <c r="Q702" s="7">
        <f ca="1">IFERROR(IF(COUNTA(P$56:P702)=P$54,P702,FORECAST(D702,OFFSET(S$56:S$254,MATCH(D702,R$56:R$254,1)-1,0,2), OFFSET(R$56:R$254,MATCH(D702,R$56:R$254,1)-1,0,2))),"")</f>
        <v>0</v>
      </c>
      <c r="R702" s="7" t="str">
        <f t="array" ref="R702">IFERROR(INDEX(E$56:E$1054,SMALL(IF(ISNUMBER(P$56:P$1054),ROW(E$1:E$999),""),ROW(J647))),"")</f>
        <v/>
      </c>
      <c r="S702" s="7" t="str">
        <f t="array" ref="S702">IFERROR(INDEX(P$56:P$1054,SMALL(IF(ISNUMBER(P$56:P$1054),ROW(P$1:P$999),""),ROW(P647))),"")</f>
        <v/>
      </c>
      <c r="T702" s="7"/>
      <c r="U702" s="7"/>
      <c r="V702" s="7"/>
    </row>
    <row r="703" spans="1:22" x14ac:dyDescent="0.25">
      <c r="A703" s="6"/>
      <c r="B703" s="11"/>
      <c r="C703" s="12"/>
      <c r="D703" s="12"/>
      <c r="E703" s="8">
        <f t="shared" si="10"/>
        <v>0</v>
      </c>
      <c r="F703" s="10"/>
      <c r="G703" s="10"/>
      <c r="H703" s="9"/>
      <c r="I703" s="7"/>
      <c r="J703" s="7"/>
      <c r="K703" s="7">
        <f ca="1">IFERROR(IF(COUNTA(J$56:J703)=J$54,J703,FORECAST(D703,OFFSET(M$56:M$254,MATCH(D703,L$56:L$254,1)-1,0,2), OFFSET(L$56:L$254,MATCH(D703,L$56:L$254,1)-1,0,2))),"")</f>
        <v>0</v>
      </c>
      <c r="L703" s="7" t="str">
        <f t="array" ref="L703">IFERROR(INDEX(D$56:D$1054,SMALL(IF(ISNUMBER(J$56:J$1054),ROW(D$1:D$999),""),ROW(D648))),"")</f>
        <v/>
      </c>
      <c r="M703" s="7" t="str">
        <f t="array" ref="M703">IFERROR(INDEX(J$56:J$1054,SMALL(IF(ISNUMBER(J$56:J$1054),ROW(J$1:J$999),""),ROW(J648))),"")</f>
        <v/>
      </c>
      <c r="N703" s="7"/>
      <c r="O703" s="7"/>
      <c r="P703" s="7"/>
      <c r="Q703" s="7">
        <f ca="1">IFERROR(IF(COUNTA(P$56:P703)=P$54,P703,FORECAST(D703,OFFSET(S$56:S$254,MATCH(D703,R$56:R$254,1)-1,0,2), OFFSET(R$56:R$254,MATCH(D703,R$56:R$254,1)-1,0,2))),"")</f>
        <v>0</v>
      </c>
      <c r="R703" s="7" t="str">
        <f t="array" ref="R703">IFERROR(INDEX(E$56:E$1054,SMALL(IF(ISNUMBER(P$56:P$1054),ROW(E$1:E$999),""),ROW(J648))),"")</f>
        <v/>
      </c>
      <c r="S703" s="7" t="str">
        <f t="array" ref="S703">IFERROR(INDEX(P$56:P$1054,SMALL(IF(ISNUMBER(P$56:P$1054),ROW(P$1:P$999),""),ROW(P648))),"")</f>
        <v/>
      </c>
      <c r="T703" s="7"/>
      <c r="U703" s="7"/>
      <c r="V703" s="7"/>
    </row>
    <row r="704" spans="1:22" x14ac:dyDescent="0.25">
      <c r="A704" s="6"/>
      <c r="B704" s="11"/>
      <c r="C704" s="12"/>
      <c r="D704" s="12"/>
      <c r="E704" s="8">
        <f t="shared" si="10"/>
        <v>0</v>
      </c>
      <c r="F704" s="10"/>
      <c r="G704" s="10"/>
      <c r="H704" s="9"/>
      <c r="I704" s="7"/>
      <c r="J704" s="7"/>
      <c r="K704" s="7">
        <f ca="1">IFERROR(IF(COUNTA(J$56:J704)=J$54,J704,FORECAST(D704,OFFSET(M$56:M$254,MATCH(D704,L$56:L$254,1)-1,0,2), OFFSET(L$56:L$254,MATCH(D704,L$56:L$254,1)-1,0,2))),"")</f>
        <v>0</v>
      </c>
      <c r="L704" s="7" t="str">
        <f t="array" ref="L704">IFERROR(INDEX(D$56:D$1054,SMALL(IF(ISNUMBER(J$56:J$1054),ROW(D$1:D$999),""),ROW(D649))),"")</f>
        <v/>
      </c>
      <c r="M704" s="7" t="str">
        <f t="array" ref="M704">IFERROR(INDEX(J$56:J$1054,SMALL(IF(ISNUMBER(J$56:J$1054),ROW(J$1:J$999),""),ROW(J649))),"")</f>
        <v/>
      </c>
      <c r="N704" s="7"/>
      <c r="O704" s="7"/>
      <c r="P704" s="7"/>
      <c r="Q704" s="7">
        <f ca="1">IFERROR(IF(COUNTA(P$56:P704)=P$54,P704,FORECAST(D704,OFFSET(S$56:S$254,MATCH(D704,R$56:R$254,1)-1,0,2), OFFSET(R$56:R$254,MATCH(D704,R$56:R$254,1)-1,0,2))),"")</f>
        <v>0</v>
      </c>
      <c r="R704" s="7" t="str">
        <f t="array" ref="R704">IFERROR(INDEX(E$56:E$1054,SMALL(IF(ISNUMBER(P$56:P$1054),ROW(E$1:E$999),""),ROW(J649))),"")</f>
        <v/>
      </c>
      <c r="S704" s="7" t="str">
        <f t="array" ref="S704">IFERROR(INDEX(P$56:P$1054,SMALL(IF(ISNUMBER(P$56:P$1054),ROW(P$1:P$999),""),ROW(P649))),"")</f>
        <v/>
      </c>
      <c r="T704" s="7"/>
      <c r="U704" s="7"/>
      <c r="V704" s="7"/>
    </row>
    <row r="705" spans="1:22" x14ac:dyDescent="0.25">
      <c r="A705" s="6"/>
      <c r="B705" s="11"/>
      <c r="C705" s="12"/>
      <c r="D705" s="12"/>
      <c r="E705" s="8">
        <f t="shared" si="10"/>
        <v>0</v>
      </c>
      <c r="F705" s="10"/>
      <c r="G705" s="10"/>
      <c r="H705" s="9"/>
      <c r="I705" s="7"/>
      <c r="J705" s="7"/>
      <c r="K705" s="7">
        <f ca="1">IFERROR(IF(COUNTA(J$56:J705)=J$54,J705,FORECAST(D705,OFFSET(M$56:M$254,MATCH(D705,L$56:L$254,1)-1,0,2), OFFSET(L$56:L$254,MATCH(D705,L$56:L$254,1)-1,0,2))),"")</f>
        <v>0</v>
      </c>
      <c r="L705" s="7" t="str">
        <f t="array" ref="L705">IFERROR(INDEX(D$56:D$1054,SMALL(IF(ISNUMBER(J$56:J$1054),ROW(D$1:D$999),""),ROW(D650))),"")</f>
        <v/>
      </c>
      <c r="M705" s="7" t="str">
        <f t="array" ref="M705">IFERROR(INDEX(J$56:J$1054,SMALL(IF(ISNUMBER(J$56:J$1054),ROW(J$1:J$999),""),ROW(J650))),"")</f>
        <v/>
      </c>
      <c r="N705" s="7"/>
      <c r="O705" s="7"/>
      <c r="P705" s="7"/>
      <c r="Q705" s="7">
        <f ca="1">IFERROR(IF(COUNTA(P$56:P705)=P$54,P705,FORECAST(D705,OFFSET(S$56:S$254,MATCH(D705,R$56:R$254,1)-1,0,2), OFFSET(R$56:R$254,MATCH(D705,R$56:R$254,1)-1,0,2))),"")</f>
        <v>0</v>
      </c>
      <c r="R705" s="7" t="str">
        <f t="array" ref="R705">IFERROR(INDEX(E$56:E$1054,SMALL(IF(ISNUMBER(P$56:P$1054),ROW(E$1:E$999),""),ROW(J650))),"")</f>
        <v/>
      </c>
      <c r="S705" s="7" t="str">
        <f t="array" ref="S705">IFERROR(INDEX(P$56:P$1054,SMALL(IF(ISNUMBER(P$56:P$1054),ROW(P$1:P$999),""),ROW(P650))),"")</f>
        <v/>
      </c>
      <c r="T705" s="7"/>
      <c r="U705" s="7"/>
      <c r="V705" s="7"/>
    </row>
    <row r="706" spans="1:22" x14ac:dyDescent="0.25">
      <c r="A706" s="6"/>
      <c r="B706" s="11"/>
      <c r="C706" s="12"/>
      <c r="D706" s="12"/>
      <c r="E706" s="8">
        <f t="shared" si="10"/>
        <v>0</v>
      </c>
      <c r="F706" s="10"/>
      <c r="G706" s="10"/>
      <c r="H706" s="9"/>
      <c r="I706" s="7"/>
      <c r="J706" s="7"/>
      <c r="K706" s="7">
        <f ca="1">IFERROR(IF(COUNTA(J$56:J706)=J$54,J706,FORECAST(D706,OFFSET(M$56:M$254,MATCH(D706,L$56:L$254,1)-1,0,2), OFFSET(L$56:L$254,MATCH(D706,L$56:L$254,1)-1,0,2))),"")</f>
        <v>0</v>
      </c>
      <c r="L706" s="7" t="str">
        <f t="array" ref="L706">IFERROR(INDEX(D$56:D$1054,SMALL(IF(ISNUMBER(J$56:J$1054),ROW(D$1:D$999),""),ROW(D651))),"")</f>
        <v/>
      </c>
      <c r="M706" s="7" t="str">
        <f t="array" ref="M706">IFERROR(INDEX(J$56:J$1054,SMALL(IF(ISNUMBER(J$56:J$1054),ROW(J$1:J$999),""),ROW(J651))),"")</f>
        <v/>
      </c>
      <c r="N706" s="7"/>
      <c r="O706" s="7"/>
      <c r="P706" s="7"/>
      <c r="Q706" s="7">
        <f ca="1">IFERROR(IF(COUNTA(P$56:P706)=P$54,P706,FORECAST(D706,OFFSET(S$56:S$254,MATCH(D706,R$56:R$254,1)-1,0,2), OFFSET(R$56:R$254,MATCH(D706,R$56:R$254,1)-1,0,2))),"")</f>
        <v>0</v>
      </c>
      <c r="R706" s="7" t="str">
        <f t="array" ref="R706">IFERROR(INDEX(E$56:E$1054,SMALL(IF(ISNUMBER(P$56:P$1054),ROW(E$1:E$999),""),ROW(J651))),"")</f>
        <v/>
      </c>
      <c r="S706" s="7" t="str">
        <f t="array" ref="S706">IFERROR(INDEX(P$56:P$1054,SMALL(IF(ISNUMBER(P$56:P$1054),ROW(P$1:P$999),""),ROW(P651))),"")</f>
        <v/>
      </c>
      <c r="T706" s="7"/>
      <c r="U706" s="7"/>
      <c r="V706" s="7"/>
    </row>
    <row r="707" spans="1:22" x14ac:dyDescent="0.25">
      <c r="A707" s="6"/>
      <c r="B707" s="11"/>
      <c r="C707" s="12"/>
      <c r="D707" s="12"/>
      <c r="E707" s="8">
        <f t="shared" si="10"/>
        <v>0</v>
      </c>
      <c r="F707" s="10"/>
      <c r="G707" s="10"/>
      <c r="H707" s="9"/>
      <c r="I707" s="7"/>
      <c r="J707" s="7"/>
      <c r="K707" s="7">
        <f ca="1">IFERROR(IF(COUNTA(J$56:J707)=J$54,J707,FORECAST(D707,OFFSET(M$56:M$254,MATCH(D707,L$56:L$254,1)-1,0,2), OFFSET(L$56:L$254,MATCH(D707,L$56:L$254,1)-1,0,2))),"")</f>
        <v>0</v>
      </c>
      <c r="L707" s="7" t="str">
        <f t="array" ref="L707">IFERROR(INDEX(D$56:D$1054,SMALL(IF(ISNUMBER(J$56:J$1054),ROW(D$1:D$999),""),ROW(D652))),"")</f>
        <v/>
      </c>
      <c r="M707" s="7" t="str">
        <f t="array" ref="M707">IFERROR(INDEX(J$56:J$1054,SMALL(IF(ISNUMBER(J$56:J$1054),ROW(J$1:J$999),""),ROW(J652))),"")</f>
        <v/>
      </c>
      <c r="N707" s="7"/>
      <c r="O707" s="7"/>
      <c r="P707" s="7"/>
      <c r="Q707" s="7">
        <f ca="1">IFERROR(IF(COUNTA(P$56:P707)=P$54,P707,FORECAST(D707,OFFSET(S$56:S$254,MATCH(D707,R$56:R$254,1)-1,0,2), OFFSET(R$56:R$254,MATCH(D707,R$56:R$254,1)-1,0,2))),"")</f>
        <v>0</v>
      </c>
      <c r="R707" s="7" t="str">
        <f t="array" ref="R707">IFERROR(INDEX(E$56:E$1054,SMALL(IF(ISNUMBER(P$56:P$1054),ROW(E$1:E$999),""),ROW(J652))),"")</f>
        <v/>
      </c>
      <c r="S707" s="7" t="str">
        <f t="array" ref="S707">IFERROR(INDEX(P$56:P$1054,SMALL(IF(ISNUMBER(P$56:P$1054),ROW(P$1:P$999),""),ROW(P652))),"")</f>
        <v/>
      </c>
      <c r="T707" s="7"/>
      <c r="U707" s="7"/>
      <c r="V707" s="7"/>
    </row>
    <row r="708" spans="1:22" x14ac:dyDescent="0.25">
      <c r="A708" s="6"/>
      <c r="B708" s="11"/>
      <c r="C708" s="12"/>
      <c r="D708" s="12"/>
      <c r="E708" s="8">
        <f t="shared" si="10"/>
        <v>0</v>
      </c>
      <c r="F708" s="10"/>
      <c r="G708" s="10"/>
      <c r="H708" s="9"/>
      <c r="I708" s="7"/>
      <c r="J708" s="7"/>
      <c r="K708" s="7">
        <f ca="1">IFERROR(IF(COUNTA(J$56:J708)=J$54,J708,FORECAST(D708,OFFSET(M$56:M$254,MATCH(D708,L$56:L$254,1)-1,0,2), OFFSET(L$56:L$254,MATCH(D708,L$56:L$254,1)-1,0,2))),"")</f>
        <v>0</v>
      </c>
      <c r="L708" s="7" t="str">
        <f t="array" ref="L708">IFERROR(INDEX(D$56:D$1054,SMALL(IF(ISNUMBER(J$56:J$1054),ROW(D$1:D$999),""),ROW(D653))),"")</f>
        <v/>
      </c>
      <c r="M708" s="7" t="str">
        <f t="array" ref="M708">IFERROR(INDEX(J$56:J$1054,SMALL(IF(ISNUMBER(J$56:J$1054),ROW(J$1:J$999),""),ROW(J653))),"")</f>
        <v/>
      </c>
      <c r="N708" s="7"/>
      <c r="O708" s="7"/>
      <c r="P708" s="7"/>
      <c r="Q708" s="7">
        <f ca="1">IFERROR(IF(COUNTA(P$56:P708)=P$54,P708,FORECAST(D708,OFFSET(S$56:S$254,MATCH(D708,R$56:R$254,1)-1,0,2), OFFSET(R$56:R$254,MATCH(D708,R$56:R$254,1)-1,0,2))),"")</f>
        <v>0</v>
      </c>
      <c r="R708" s="7" t="str">
        <f t="array" ref="R708">IFERROR(INDEX(E$56:E$1054,SMALL(IF(ISNUMBER(P$56:P$1054),ROW(E$1:E$999),""),ROW(J653))),"")</f>
        <v/>
      </c>
      <c r="S708" s="7" t="str">
        <f t="array" ref="S708">IFERROR(INDEX(P$56:P$1054,SMALL(IF(ISNUMBER(P$56:P$1054),ROW(P$1:P$999),""),ROW(P653))),"")</f>
        <v/>
      </c>
      <c r="T708" s="7"/>
      <c r="U708" s="7"/>
      <c r="V708" s="7"/>
    </row>
    <row r="709" spans="1:22" x14ac:dyDescent="0.25">
      <c r="A709" s="6"/>
      <c r="B709" s="11"/>
      <c r="C709" s="12"/>
      <c r="D709" s="12"/>
      <c r="E709" s="8">
        <f t="shared" si="10"/>
        <v>0</v>
      </c>
      <c r="F709" s="10"/>
      <c r="G709" s="10"/>
      <c r="H709" s="9"/>
      <c r="I709" s="7"/>
      <c r="J709" s="7"/>
      <c r="K709" s="7">
        <f ca="1">IFERROR(IF(COUNTA(J$56:J709)=J$54,J709,FORECAST(D709,OFFSET(M$56:M$254,MATCH(D709,L$56:L$254,1)-1,0,2), OFFSET(L$56:L$254,MATCH(D709,L$56:L$254,1)-1,0,2))),"")</f>
        <v>0</v>
      </c>
      <c r="L709" s="7" t="str">
        <f t="array" ref="L709">IFERROR(INDEX(D$56:D$1054,SMALL(IF(ISNUMBER(J$56:J$1054),ROW(D$1:D$999),""),ROW(D654))),"")</f>
        <v/>
      </c>
      <c r="M709" s="7" t="str">
        <f t="array" ref="M709">IFERROR(INDEX(J$56:J$1054,SMALL(IF(ISNUMBER(J$56:J$1054),ROW(J$1:J$999),""),ROW(J654))),"")</f>
        <v/>
      </c>
      <c r="N709" s="7"/>
      <c r="O709" s="7"/>
      <c r="P709" s="7"/>
      <c r="Q709" s="7">
        <f ca="1">IFERROR(IF(COUNTA(P$56:P709)=P$54,P709,FORECAST(D709,OFFSET(S$56:S$254,MATCH(D709,R$56:R$254,1)-1,0,2), OFFSET(R$56:R$254,MATCH(D709,R$56:R$254,1)-1,0,2))),"")</f>
        <v>0</v>
      </c>
      <c r="R709" s="7" t="str">
        <f t="array" ref="R709">IFERROR(INDEX(E$56:E$1054,SMALL(IF(ISNUMBER(P$56:P$1054),ROW(E$1:E$999),""),ROW(J654))),"")</f>
        <v/>
      </c>
      <c r="S709" s="7" t="str">
        <f t="array" ref="S709">IFERROR(INDEX(P$56:P$1054,SMALL(IF(ISNUMBER(P$56:P$1054),ROW(P$1:P$999),""),ROW(P654))),"")</f>
        <v/>
      </c>
      <c r="T709" s="7"/>
      <c r="U709" s="7"/>
      <c r="V709" s="7"/>
    </row>
    <row r="710" spans="1:22" x14ac:dyDescent="0.25">
      <c r="A710" s="6"/>
      <c r="B710" s="11"/>
      <c r="C710" s="12"/>
      <c r="D710" s="12"/>
      <c r="E710" s="8">
        <f t="shared" si="10"/>
        <v>0</v>
      </c>
      <c r="F710" s="10"/>
      <c r="G710" s="10"/>
      <c r="H710" s="9"/>
      <c r="I710" s="7"/>
      <c r="J710" s="7"/>
      <c r="K710" s="7">
        <f ca="1">IFERROR(IF(COUNTA(J$56:J710)=J$54,J710,FORECAST(D710,OFFSET(M$56:M$254,MATCH(D710,L$56:L$254,1)-1,0,2), OFFSET(L$56:L$254,MATCH(D710,L$56:L$254,1)-1,0,2))),"")</f>
        <v>0</v>
      </c>
      <c r="L710" s="7" t="str">
        <f t="array" ref="L710">IFERROR(INDEX(D$56:D$1054,SMALL(IF(ISNUMBER(J$56:J$1054),ROW(D$1:D$999),""),ROW(D655))),"")</f>
        <v/>
      </c>
      <c r="M710" s="7" t="str">
        <f t="array" ref="M710">IFERROR(INDEX(J$56:J$1054,SMALL(IF(ISNUMBER(J$56:J$1054),ROW(J$1:J$999),""),ROW(J655))),"")</f>
        <v/>
      </c>
      <c r="N710" s="7"/>
      <c r="O710" s="7"/>
      <c r="P710" s="7"/>
      <c r="Q710" s="7">
        <f ca="1">IFERROR(IF(COUNTA(P$56:P710)=P$54,P710,FORECAST(D710,OFFSET(S$56:S$254,MATCH(D710,R$56:R$254,1)-1,0,2), OFFSET(R$56:R$254,MATCH(D710,R$56:R$254,1)-1,0,2))),"")</f>
        <v>0</v>
      </c>
      <c r="R710" s="7" t="str">
        <f t="array" ref="R710">IFERROR(INDEX(E$56:E$1054,SMALL(IF(ISNUMBER(P$56:P$1054),ROW(E$1:E$999),""),ROW(J655))),"")</f>
        <v/>
      </c>
      <c r="S710" s="7" t="str">
        <f t="array" ref="S710">IFERROR(INDEX(P$56:P$1054,SMALL(IF(ISNUMBER(P$56:P$1054),ROW(P$1:P$999),""),ROW(P655))),"")</f>
        <v/>
      </c>
      <c r="T710" s="7"/>
      <c r="U710" s="7"/>
      <c r="V710" s="7"/>
    </row>
    <row r="711" spans="1:22" x14ac:dyDescent="0.25">
      <c r="A711" s="6"/>
      <c r="B711" s="11"/>
      <c r="C711" s="12"/>
      <c r="D711" s="12"/>
      <c r="E711" s="8">
        <f t="shared" si="10"/>
        <v>0</v>
      </c>
      <c r="F711" s="10"/>
      <c r="G711" s="10"/>
      <c r="H711" s="9"/>
      <c r="I711" s="7"/>
      <c r="J711" s="7"/>
      <c r="K711" s="7">
        <f ca="1">IFERROR(IF(COUNTA(J$56:J711)=J$54,J711,FORECAST(D711,OFFSET(M$56:M$254,MATCH(D711,L$56:L$254,1)-1,0,2), OFFSET(L$56:L$254,MATCH(D711,L$56:L$254,1)-1,0,2))),"")</f>
        <v>0</v>
      </c>
      <c r="L711" s="7" t="str">
        <f t="array" ref="L711">IFERROR(INDEX(D$56:D$1054,SMALL(IF(ISNUMBER(J$56:J$1054),ROW(D$1:D$999),""),ROW(D656))),"")</f>
        <v/>
      </c>
      <c r="M711" s="7" t="str">
        <f t="array" ref="M711">IFERROR(INDEX(J$56:J$1054,SMALL(IF(ISNUMBER(J$56:J$1054),ROW(J$1:J$999),""),ROW(J656))),"")</f>
        <v/>
      </c>
      <c r="N711" s="7"/>
      <c r="O711" s="7"/>
      <c r="P711" s="7"/>
      <c r="Q711" s="7">
        <f ca="1">IFERROR(IF(COUNTA(P$56:P711)=P$54,P711,FORECAST(D711,OFFSET(S$56:S$254,MATCH(D711,R$56:R$254,1)-1,0,2), OFFSET(R$56:R$254,MATCH(D711,R$56:R$254,1)-1,0,2))),"")</f>
        <v>0</v>
      </c>
      <c r="R711" s="7" t="str">
        <f t="array" ref="R711">IFERROR(INDEX(E$56:E$1054,SMALL(IF(ISNUMBER(P$56:P$1054),ROW(E$1:E$999),""),ROW(J656))),"")</f>
        <v/>
      </c>
      <c r="S711" s="7" t="str">
        <f t="array" ref="S711">IFERROR(INDEX(P$56:P$1054,SMALL(IF(ISNUMBER(P$56:P$1054),ROW(P$1:P$999),""),ROW(P656))),"")</f>
        <v/>
      </c>
      <c r="T711" s="7"/>
      <c r="U711" s="7"/>
      <c r="V711" s="7"/>
    </row>
    <row r="712" spans="1:22" x14ac:dyDescent="0.25">
      <c r="A712" s="6"/>
      <c r="B712" s="11"/>
      <c r="C712" s="12"/>
      <c r="D712" s="12"/>
      <c r="E712" s="8">
        <f t="shared" si="10"/>
        <v>0</v>
      </c>
      <c r="F712" s="10"/>
      <c r="G712" s="10"/>
      <c r="H712" s="9"/>
      <c r="I712" s="7"/>
      <c r="J712" s="7"/>
      <c r="K712" s="7">
        <f ca="1">IFERROR(IF(COUNTA(J$56:J712)=J$54,J712,FORECAST(D712,OFFSET(M$56:M$254,MATCH(D712,L$56:L$254,1)-1,0,2), OFFSET(L$56:L$254,MATCH(D712,L$56:L$254,1)-1,0,2))),"")</f>
        <v>0</v>
      </c>
      <c r="L712" s="7" t="str">
        <f t="array" ref="L712">IFERROR(INDEX(D$56:D$1054,SMALL(IF(ISNUMBER(J$56:J$1054),ROW(D$1:D$999),""),ROW(D657))),"")</f>
        <v/>
      </c>
      <c r="M712" s="7" t="str">
        <f t="array" ref="M712">IFERROR(INDEX(J$56:J$1054,SMALL(IF(ISNUMBER(J$56:J$1054),ROW(J$1:J$999),""),ROW(J657))),"")</f>
        <v/>
      </c>
      <c r="N712" s="7"/>
      <c r="O712" s="7"/>
      <c r="P712" s="7"/>
      <c r="Q712" s="7">
        <f ca="1">IFERROR(IF(COUNTA(P$56:P712)=P$54,P712,FORECAST(D712,OFFSET(S$56:S$254,MATCH(D712,R$56:R$254,1)-1,0,2), OFFSET(R$56:R$254,MATCH(D712,R$56:R$254,1)-1,0,2))),"")</f>
        <v>0</v>
      </c>
      <c r="R712" s="7" t="str">
        <f t="array" ref="R712">IFERROR(INDEX(E$56:E$1054,SMALL(IF(ISNUMBER(P$56:P$1054),ROW(E$1:E$999),""),ROW(J657))),"")</f>
        <v/>
      </c>
      <c r="S712" s="7" t="str">
        <f t="array" ref="S712">IFERROR(INDEX(P$56:P$1054,SMALL(IF(ISNUMBER(P$56:P$1054),ROW(P$1:P$999),""),ROW(P657))),"")</f>
        <v/>
      </c>
      <c r="T712" s="7"/>
      <c r="U712" s="7"/>
      <c r="V712" s="7"/>
    </row>
    <row r="713" spans="1:22" x14ac:dyDescent="0.25">
      <c r="A713" s="6"/>
      <c r="B713" s="11"/>
      <c r="C713" s="12"/>
      <c r="D713" s="12"/>
      <c r="E713" s="8">
        <f t="shared" si="10"/>
        <v>0</v>
      </c>
      <c r="F713" s="10"/>
      <c r="G713" s="10"/>
      <c r="H713" s="9"/>
      <c r="I713" s="7"/>
      <c r="J713" s="7"/>
      <c r="K713" s="7">
        <f ca="1">IFERROR(IF(COUNTA(J$56:J713)=J$54,J713,FORECAST(D713,OFFSET(M$56:M$254,MATCH(D713,L$56:L$254,1)-1,0,2), OFFSET(L$56:L$254,MATCH(D713,L$56:L$254,1)-1,0,2))),"")</f>
        <v>0</v>
      </c>
      <c r="L713" s="7" t="str">
        <f t="array" ref="L713">IFERROR(INDEX(D$56:D$1054,SMALL(IF(ISNUMBER(J$56:J$1054),ROW(D$1:D$999),""),ROW(D658))),"")</f>
        <v/>
      </c>
      <c r="M713" s="7" t="str">
        <f t="array" ref="M713">IFERROR(INDEX(J$56:J$1054,SMALL(IF(ISNUMBER(J$56:J$1054),ROW(J$1:J$999),""),ROW(J658))),"")</f>
        <v/>
      </c>
      <c r="N713" s="7"/>
      <c r="O713" s="7"/>
      <c r="P713" s="7"/>
      <c r="Q713" s="7">
        <f ca="1">IFERROR(IF(COUNTA(P$56:P713)=P$54,P713,FORECAST(D713,OFFSET(S$56:S$254,MATCH(D713,R$56:R$254,1)-1,0,2), OFFSET(R$56:R$254,MATCH(D713,R$56:R$254,1)-1,0,2))),"")</f>
        <v>0</v>
      </c>
      <c r="R713" s="7" t="str">
        <f t="array" ref="R713">IFERROR(INDEX(E$56:E$1054,SMALL(IF(ISNUMBER(P$56:P$1054),ROW(E$1:E$999),""),ROW(J658))),"")</f>
        <v/>
      </c>
      <c r="S713" s="7" t="str">
        <f t="array" ref="S713">IFERROR(INDEX(P$56:P$1054,SMALL(IF(ISNUMBER(P$56:P$1054),ROW(P$1:P$999),""),ROW(P658))),"")</f>
        <v/>
      </c>
      <c r="T713" s="7"/>
      <c r="U713" s="7"/>
      <c r="V713" s="7"/>
    </row>
    <row r="714" spans="1:22" x14ac:dyDescent="0.25">
      <c r="A714" s="6"/>
      <c r="B714" s="11"/>
      <c r="C714" s="12"/>
      <c r="D714" s="12"/>
      <c r="E714" s="8">
        <f t="shared" si="10"/>
        <v>0</v>
      </c>
      <c r="F714" s="10"/>
      <c r="G714" s="10"/>
      <c r="H714" s="9"/>
      <c r="I714" s="7"/>
      <c r="J714" s="7"/>
      <c r="K714" s="7">
        <f ca="1">IFERROR(IF(COUNTA(J$56:J714)=J$54,J714,FORECAST(D714,OFFSET(M$56:M$254,MATCH(D714,L$56:L$254,1)-1,0,2), OFFSET(L$56:L$254,MATCH(D714,L$56:L$254,1)-1,0,2))),"")</f>
        <v>0</v>
      </c>
      <c r="L714" s="7" t="str">
        <f t="array" ref="L714">IFERROR(INDEX(D$56:D$1054,SMALL(IF(ISNUMBER(J$56:J$1054),ROW(D$1:D$999),""),ROW(D659))),"")</f>
        <v/>
      </c>
      <c r="M714" s="7" t="str">
        <f t="array" ref="M714">IFERROR(INDEX(J$56:J$1054,SMALL(IF(ISNUMBER(J$56:J$1054),ROW(J$1:J$999),""),ROW(J659))),"")</f>
        <v/>
      </c>
      <c r="N714" s="7"/>
      <c r="O714" s="7"/>
      <c r="P714" s="7"/>
      <c r="Q714" s="7">
        <f ca="1">IFERROR(IF(COUNTA(P$56:P714)=P$54,P714,FORECAST(D714,OFFSET(S$56:S$254,MATCH(D714,R$56:R$254,1)-1,0,2), OFFSET(R$56:R$254,MATCH(D714,R$56:R$254,1)-1,0,2))),"")</f>
        <v>0</v>
      </c>
      <c r="R714" s="7" t="str">
        <f t="array" ref="R714">IFERROR(INDEX(E$56:E$1054,SMALL(IF(ISNUMBER(P$56:P$1054),ROW(E$1:E$999),""),ROW(J659))),"")</f>
        <v/>
      </c>
      <c r="S714" s="7" t="str">
        <f t="array" ref="S714">IFERROR(INDEX(P$56:P$1054,SMALL(IF(ISNUMBER(P$56:P$1054),ROW(P$1:P$999),""),ROW(P659))),"")</f>
        <v/>
      </c>
      <c r="T714" s="7"/>
      <c r="U714" s="7"/>
      <c r="V714" s="7"/>
    </row>
    <row r="715" spans="1:22" x14ac:dyDescent="0.25">
      <c r="A715" s="6"/>
      <c r="B715" s="11"/>
      <c r="C715" s="12"/>
      <c r="D715" s="12"/>
      <c r="E715" s="8">
        <f t="shared" si="10"/>
        <v>0</v>
      </c>
      <c r="F715" s="10"/>
      <c r="G715" s="10"/>
      <c r="H715" s="9"/>
      <c r="I715" s="7"/>
      <c r="J715" s="7"/>
      <c r="K715" s="7">
        <f ca="1">IFERROR(IF(COUNTA(J$56:J715)=J$54,J715,FORECAST(D715,OFFSET(M$56:M$254,MATCH(D715,L$56:L$254,1)-1,0,2), OFFSET(L$56:L$254,MATCH(D715,L$56:L$254,1)-1,0,2))),"")</f>
        <v>0</v>
      </c>
      <c r="L715" s="7" t="str">
        <f t="array" ref="L715">IFERROR(INDEX(D$56:D$1054,SMALL(IF(ISNUMBER(J$56:J$1054),ROW(D$1:D$999),""),ROW(D660))),"")</f>
        <v/>
      </c>
      <c r="M715" s="7" t="str">
        <f t="array" ref="M715">IFERROR(INDEX(J$56:J$1054,SMALL(IF(ISNUMBER(J$56:J$1054),ROW(J$1:J$999),""),ROW(J660))),"")</f>
        <v/>
      </c>
      <c r="N715" s="7"/>
      <c r="O715" s="7"/>
      <c r="P715" s="7"/>
      <c r="Q715" s="7">
        <f ca="1">IFERROR(IF(COUNTA(P$56:P715)=P$54,P715,FORECAST(D715,OFFSET(S$56:S$254,MATCH(D715,R$56:R$254,1)-1,0,2), OFFSET(R$56:R$254,MATCH(D715,R$56:R$254,1)-1,0,2))),"")</f>
        <v>0</v>
      </c>
      <c r="R715" s="7" t="str">
        <f t="array" ref="R715">IFERROR(INDEX(E$56:E$1054,SMALL(IF(ISNUMBER(P$56:P$1054),ROW(E$1:E$999),""),ROW(J660))),"")</f>
        <v/>
      </c>
      <c r="S715" s="7" t="str">
        <f t="array" ref="S715">IFERROR(INDEX(P$56:P$1054,SMALL(IF(ISNUMBER(P$56:P$1054),ROW(P$1:P$999),""),ROW(P660))),"")</f>
        <v/>
      </c>
      <c r="T715" s="7"/>
      <c r="U715" s="7"/>
      <c r="V715" s="7"/>
    </row>
    <row r="716" spans="1:22" x14ac:dyDescent="0.25">
      <c r="A716" s="6"/>
      <c r="B716" s="11"/>
      <c r="C716" s="12"/>
      <c r="D716" s="12"/>
      <c r="E716" s="8">
        <f t="shared" si="10"/>
        <v>0</v>
      </c>
      <c r="F716" s="10"/>
      <c r="G716" s="10"/>
      <c r="H716" s="9"/>
      <c r="I716" s="7"/>
      <c r="J716" s="7"/>
      <c r="K716" s="7">
        <f ca="1">IFERROR(IF(COUNTA(J$56:J716)=J$54,J716,FORECAST(D716,OFFSET(M$56:M$254,MATCH(D716,L$56:L$254,1)-1,0,2), OFFSET(L$56:L$254,MATCH(D716,L$56:L$254,1)-1,0,2))),"")</f>
        <v>0</v>
      </c>
      <c r="L716" s="7" t="str">
        <f t="array" ref="L716">IFERROR(INDEX(D$56:D$1054,SMALL(IF(ISNUMBER(J$56:J$1054),ROW(D$1:D$999),""),ROW(D661))),"")</f>
        <v/>
      </c>
      <c r="M716" s="7" t="str">
        <f t="array" ref="M716">IFERROR(INDEX(J$56:J$1054,SMALL(IF(ISNUMBER(J$56:J$1054),ROW(J$1:J$999),""),ROW(J661))),"")</f>
        <v/>
      </c>
      <c r="N716" s="7"/>
      <c r="O716" s="7"/>
      <c r="P716" s="7"/>
      <c r="Q716" s="7">
        <f ca="1">IFERROR(IF(COUNTA(P$56:P716)=P$54,P716,FORECAST(D716,OFFSET(S$56:S$254,MATCH(D716,R$56:R$254,1)-1,0,2), OFFSET(R$56:R$254,MATCH(D716,R$56:R$254,1)-1,0,2))),"")</f>
        <v>0</v>
      </c>
      <c r="R716" s="7" t="str">
        <f t="array" ref="R716">IFERROR(INDEX(E$56:E$1054,SMALL(IF(ISNUMBER(P$56:P$1054),ROW(E$1:E$999),""),ROW(J661))),"")</f>
        <v/>
      </c>
      <c r="S716" s="7" t="str">
        <f t="array" ref="S716">IFERROR(INDEX(P$56:P$1054,SMALL(IF(ISNUMBER(P$56:P$1054),ROW(P$1:P$999),""),ROW(P661))),"")</f>
        <v/>
      </c>
      <c r="T716" s="7"/>
      <c r="U716" s="7"/>
      <c r="V716" s="7"/>
    </row>
    <row r="717" spans="1:22" x14ac:dyDescent="0.25">
      <c r="A717" s="6"/>
      <c r="B717" s="11"/>
      <c r="C717" s="12"/>
      <c r="D717" s="12"/>
      <c r="E717" s="8">
        <f t="shared" si="10"/>
        <v>0</v>
      </c>
      <c r="F717" s="10"/>
      <c r="G717" s="10"/>
      <c r="H717" s="9"/>
      <c r="I717" s="7"/>
      <c r="J717" s="7"/>
      <c r="K717" s="7">
        <f ca="1">IFERROR(IF(COUNTA(J$56:J717)=J$54,J717,FORECAST(D717,OFFSET(M$56:M$254,MATCH(D717,L$56:L$254,1)-1,0,2), OFFSET(L$56:L$254,MATCH(D717,L$56:L$254,1)-1,0,2))),"")</f>
        <v>0</v>
      </c>
      <c r="L717" s="7" t="str">
        <f t="array" ref="L717">IFERROR(INDEX(D$56:D$1054,SMALL(IF(ISNUMBER(J$56:J$1054),ROW(D$1:D$999),""),ROW(D662))),"")</f>
        <v/>
      </c>
      <c r="M717" s="7" t="str">
        <f t="array" ref="M717">IFERROR(INDEX(J$56:J$1054,SMALL(IF(ISNUMBER(J$56:J$1054),ROW(J$1:J$999),""),ROW(J662))),"")</f>
        <v/>
      </c>
      <c r="N717" s="7"/>
      <c r="O717" s="7"/>
      <c r="P717" s="7"/>
      <c r="Q717" s="7">
        <f ca="1">IFERROR(IF(COUNTA(P$56:P717)=P$54,P717,FORECAST(D717,OFFSET(S$56:S$254,MATCH(D717,R$56:R$254,1)-1,0,2), OFFSET(R$56:R$254,MATCH(D717,R$56:R$254,1)-1,0,2))),"")</f>
        <v>0</v>
      </c>
      <c r="R717" s="7" t="str">
        <f t="array" ref="R717">IFERROR(INDEX(E$56:E$1054,SMALL(IF(ISNUMBER(P$56:P$1054),ROW(E$1:E$999),""),ROW(J662))),"")</f>
        <v/>
      </c>
      <c r="S717" s="7" t="str">
        <f t="array" ref="S717">IFERROR(INDEX(P$56:P$1054,SMALL(IF(ISNUMBER(P$56:P$1054),ROW(P$1:P$999),""),ROW(P662))),"")</f>
        <v/>
      </c>
      <c r="T717" s="7"/>
      <c r="U717" s="7"/>
      <c r="V717" s="7"/>
    </row>
    <row r="718" spans="1:22" x14ac:dyDescent="0.25">
      <c r="A718" s="6"/>
      <c r="B718" s="11"/>
      <c r="C718" s="12"/>
      <c r="D718" s="12"/>
      <c r="E718" s="8">
        <f t="shared" si="10"/>
        <v>0</v>
      </c>
      <c r="F718" s="10"/>
      <c r="G718" s="10"/>
      <c r="H718" s="9"/>
      <c r="I718" s="7"/>
      <c r="J718" s="7"/>
      <c r="K718" s="7">
        <f ca="1">IFERROR(IF(COUNTA(J$56:J718)=J$54,J718,FORECAST(D718,OFFSET(M$56:M$254,MATCH(D718,L$56:L$254,1)-1,0,2), OFFSET(L$56:L$254,MATCH(D718,L$56:L$254,1)-1,0,2))),"")</f>
        <v>0</v>
      </c>
      <c r="L718" s="7" t="str">
        <f t="array" ref="L718">IFERROR(INDEX(D$56:D$1054,SMALL(IF(ISNUMBER(J$56:J$1054),ROW(D$1:D$999),""),ROW(D663))),"")</f>
        <v/>
      </c>
      <c r="M718" s="7" t="str">
        <f t="array" ref="M718">IFERROR(INDEX(J$56:J$1054,SMALL(IF(ISNUMBER(J$56:J$1054),ROW(J$1:J$999),""),ROW(J663))),"")</f>
        <v/>
      </c>
      <c r="N718" s="7"/>
      <c r="O718" s="7"/>
      <c r="P718" s="7"/>
      <c r="Q718" s="7">
        <f ca="1">IFERROR(IF(COUNTA(P$56:P718)=P$54,P718,FORECAST(D718,OFFSET(S$56:S$254,MATCH(D718,R$56:R$254,1)-1,0,2), OFFSET(R$56:R$254,MATCH(D718,R$56:R$254,1)-1,0,2))),"")</f>
        <v>0</v>
      </c>
      <c r="R718" s="7" t="str">
        <f t="array" ref="R718">IFERROR(INDEX(E$56:E$1054,SMALL(IF(ISNUMBER(P$56:P$1054),ROW(E$1:E$999),""),ROW(J663))),"")</f>
        <v/>
      </c>
      <c r="S718" s="7" t="str">
        <f t="array" ref="S718">IFERROR(INDEX(P$56:P$1054,SMALL(IF(ISNUMBER(P$56:P$1054),ROW(P$1:P$999),""),ROW(P663))),"")</f>
        <v/>
      </c>
      <c r="T718" s="7"/>
      <c r="U718" s="7"/>
      <c r="V718" s="7"/>
    </row>
    <row r="719" spans="1:22" x14ac:dyDescent="0.25">
      <c r="A719" s="6"/>
      <c r="B719" s="11"/>
      <c r="C719" s="12"/>
      <c r="D719" s="12"/>
      <c r="E719" s="8">
        <f t="shared" si="10"/>
        <v>0</v>
      </c>
      <c r="F719" s="10"/>
      <c r="G719" s="10"/>
      <c r="H719" s="9"/>
      <c r="I719" s="7"/>
      <c r="J719" s="7"/>
      <c r="K719" s="7">
        <f ca="1">IFERROR(IF(COUNTA(J$56:J719)=J$54,J719,FORECAST(D719,OFFSET(M$56:M$254,MATCH(D719,L$56:L$254,1)-1,0,2), OFFSET(L$56:L$254,MATCH(D719,L$56:L$254,1)-1,0,2))),"")</f>
        <v>0</v>
      </c>
      <c r="L719" s="7" t="str">
        <f t="array" ref="L719">IFERROR(INDEX(D$56:D$1054,SMALL(IF(ISNUMBER(J$56:J$1054),ROW(D$1:D$999),""),ROW(D664))),"")</f>
        <v/>
      </c>
      <c r="M719" s="7" t="str">
        <f t="array" ref="M719">IFERROR(INDEX(J$56:J$1054,SMALL(IF(ISNUMBER(J$56:J$1054),ROW(J$1:J$999),""),ROW(J664))),"")</f>
        <v/>
      </c>
      <c r="N719" s="7"/>
      <c r="O719" s="7"/>
      <c r="P719" s="7"/>
      <c r="Q719" s="7">
        <f ca="1">IFERROR(IF(COUNTA(P$56:P719)=P$54,P719,FORECAST(D719,OFFSET(S$56:S$254,MATCH(D719,R$56:R$254,1)-1,0,2), OFFSET(R$56:R$254,MATCH(D719,R$56:R$254,1)-1,0,2))),"")</f>
        <v>0</v>
      </c>
      <c r="R719" s="7" t="str">
        <f t="array" ref="R719">IFERROR(INDEX(E$56:E$1054,SMALL(IF(ISNUMBER(P$56:P$1054),ROW(E$1:E$999),""),ROW(J664))),"")</f>
        <v/>
      </c>
      <c r="S719" s="7" t="str">
        <f t="array" ref="S719">IFERROR(INDEX(P$56:P$1054,SMALL(IF(ISNUMBER(P$56:P$1054),ROW(P$1:P$999),""),ROW(P664))),"")</f>
        <v/>
      </c>
      <c r="T719" s="7"/>
      <c r="U719" s="7"/>
      <c r="V719" s="7"/>
    </row>
    <row r="720" spans="1:22" x14ac:dyDescent="0.25">
      <c r="A720" s="6"/>
      <c r="B720" s="11"/>
      <c r="C720" s="12"/>
      <c r="D720" s="12"/>
      <c r="E720" s="8">
        <f t="shared" si="10"/>
        <v>0</v>
      </c>
      <c r="F720" s="10"/>
      <c r="G720" s="10"/>
      <c r="H720" s="9"/>
      <c r="I720" s="7"/>
      <c r="J720" s="7"/>
      <c r="K720" s="7">
        <f ca="1">IFERROR(IF(COUNTA(J$56:J720)=J$54,J720,FORECAST(D720,OFFSET(M$56:M$254,MATCH(D720,L$56:L$254,1)-1,0,2), OFFSET(L$56:L$254,MATCH(D720,L$56:L$254,1)-1,0,2))),"")</f>
        <v>0</v>
      </c>
      <c r="L720" s="7" t="str">
        <f t="array" ref="L720">IFERROR(INDEX(D$56:D$1054,SMALL(IF(ISNUMBER(J$56:J$1054),ROW(D$1:D$999),""),ROW(D665))),"")</f>
        <v/>
      </c>
      <c r="M720" s="7" t="str">
        <f t="array" ref="M720">IFERROR(INDEX(J$56:J$1054,SMALL(IF(ISNUMBER(J$56:J$1054),ROW(J$1:J$999),""),ROW(J665))),"")</f>
        <v/>
      </c>
      <c r="N720" s="7"/>
      <c r="O720" s="7"/>
      <c r="P720" s="7"/>
      <c r="Q720" s="7">
        <f ca="1">IFERROR(IF(COUNTA(P$56:P720)=P$54,P720,FORECAST(D720,OFFSET(S$56:S$254,MATCH(D720,R$56:R$254,1)-1,0,2), OFFSET(R$56:R$254,MATCH(D720,R$56:R$254,1)-1,0,2))),"")</f>
        <v>0</v>
      </c>
      <c r="R720" s="7" t="str">
        <f t="array" ref="R720">IFERROR(INDEX(E$56:E$1054,SMALL(IF(ISNUMBER(P$56:P$1054),ROW(E$1:E$999),""),ROW(J665))),"")</f>
        <v/>
      </c>
      <c r="S720" s="7" t="str">
        <f t="array" ref="S720">IFERROR(INDEX(P$56:P$1054,SMALL(IF(ISNUMBER(P$56:P$1054),ROW(P$1:P$999),""),ROW(P665))),"")</f>
        <v/>
      </c>
      <c r="T720" s="7"/>
      <c r="U720" s="7"/>
      <c r="V720" s="7"/>
    </row>
    <row r="721" spans="1:22" x14ac:dyDescent="0.25">
      <c r="A721" s="6"/>
      <c r="B721" s="11"/>
      <c r="C721" s="12"/>
      <c r="D721" s="12"/>
      <c r="E721" s="8">
        <f t="shared" si="10"/>
        <v>0</v>
      </c>
      <c r="F721" s="10"/>
      <c r="G721" s="10"/>
      <c r="H721" s="9"/>
      <c r="I721" s="7"/>
      <c r="J721" s="7"/>
      <c r="K721" s="7">
        <f ca="1">IFERROR(IF(COUNTA(J$56:J721)=J$54,J721,FORECAST(D721,OFFSET(M$56:M$254,MATCH(D721,L$56:L$254,1)-1,0,2), OFFSET(L$56:L$254,MATCH(D721,L$56:L$254,1)-1,0,2))),"")</f>
        <v>0</v>
      </c>
      <c r="L721" s="7" t="str">
        <f t="array" ref="L721">IFERROR(INDEX(D$56:D$1054,SMALL(IF(ISNUMBER(J$56:J$1054),ROW(D$1:D$999),""),ROW(D666))),"")</f>
        <v/>
      </c>
      <c r="M721" s="7" t="str">
        <f t="array" ref="M721">IFERROR(INDEX(J$56:J$1054,SMALL(IF(ISNUMBER(J$56:J$1054),ROW(J$1:J$999),""),ROW(J666))),"")</f>
        <v/>
      </c>
      <c r="N721" s="7"/>
      <c r="O721" s="7"/>
      <c r="P721" s="7"/>
      <c r="Q721" s="7">
        <f ca="1">IFERROR(IF(COUNTA(P$56:P721)=P$54,P721,FORECAST(D721,OFFSET(S$56:S$254,MATCH(D721,R$56:R$254,1)-1,0,2), OFFSET(R$56:R$254,MATCH(D721,R$56:R$254,1)-1,0,2))),"")</f>
        <v>0</v>
      </c>
      <c r="R721" s="7" t="str">
        <f t="array" ref="R721">IFERROR(INDEX(E$56:E$1054,SMALL(IF(ISNUMBER(P$56:P$1054),ROW(E$1:E$999),""),ROW(J666))),"")</f>
        <v/>
      </c>
      <c r="S721" s="7" t="str">
        <f t="array" ref="S721">IFERROR(INDEX(P$56:P$1054,SMALL(IF(ISNUMBER(P$56:P$1054),ROW(P$1:P$999),""),ROW(P666))),"")</f>
        <v/>
      </c>
      <c r="T721" s="7"/>
      <c r="U721" s="7"/>
      <c r="V721" s="7"/>
    </row>
    <row r="722" spans="1:22" x14ac:dyDescent="0.25">
      <c r="A722" s="6"/>
      <c r="B722" s="11"/>
      <c r="C722" s="12"/>
      <c r="D722" s="12"/>
      <c r="E722" s="8">
        <f t="shared" si="10"/>
        <v>0</v>
      </c>
      <c r="F722" s="10"/>
      <c r="G722" s="10"/>
      <c r="H722" s="9"/>
      <c r="I722" s="7"/>
      <c r="J722" s="7"/>
      <c r="K722" s="7">
        <f ca="1">IFERROR(IF(COUNTA(J$56:J722)=J$54,J722,FORECAST(D722,OFFSET(M$56:M$254,MATCH(D722,L$56:L$254,1)-1,0,2), OFFSET(L$56:L$254,MATCH(D722,L$56:L$254,1)-1,0,2))),"")</f>
        <v>0</v>
      </c>
      <c r="L722" s="7" t="str">
        <f t="array" ref="L722">IFERROR(INDEX(D$56:D$1054,SMALL(IF(ISNUMBER(J$56:J$1054),ROW(D$1:D$999),""),ROW(D667))),"")</f>
        <v/>
      </c>
      <c r="M722" s="7" t="str">
        <f t="array" ref="M722">IFERROR(INDEX(J$56:J$1054,SMALL(IF(ISNUMBER(J$56:J$1054),ROW(J$1:J$999),""),ROW(J667))),"")</f>
        <v/>
      </c>
      <c r="N722" s="7"/>
      <c r="O722" s="7"/>
      <c r="P722" s="7"/>
      <c r="Q722" s="7">
        <f ca="1">IFERROR(IF(COUNTA(P$56:P722)=P$54,P722,FORECAST(D722,OFFSET(S$56:S$254,MATCH(D722,R$56:R$254,1)-1,0,2), OFFSET(R$56:R$254,MATCH(D722,R$56:R$254,1)-1,0,2))),"")</f>
        <v>0</v>
      </c>
      <c r="R722" s="7" t="str">
        <f t="array" ref="R722">IFERROR(INDEX(E$56:E$1054,SMALL(IF(ISNUMBER(P$56:P$1054),ROW(E$1:E$999),""),ROW(J667))),"")</f>
        <v/>
      </c>
      <c r="S722" s="7" t="str">
        <f t="array" ref="S722">IFERROR(INDEX(P$56:P$1054,SMALL(IF(ISNUMBER(P$56:P$1054),ROW(P$1:P$999),""),ROW(P667))),"")</f>
        <v/>
      </c>
      <c r="T722" s="7"/>
      <c r="U722" s="7"/>
      <c r="V722" s="7"/>
    </row>
    <row r="723" spans="1:22" x14ac:dyDescent="0.25">
      <c r="A723" s="6"/>
      <c r="B723" s="11"/>
      <c r="C723" s="12"/>
      <c r="D723" s="12"/>
      <c r="E723" s="8">
        <f t="shared" si="10"/>
        <v>0</v>
      </c>
      <c r="F723" s="10"/>
      <c r="G723" s="10"/>
      <c r="H723" s="9"/>
      <c r="I723" s="7"/>
      <c r="J723" s="7"/>
      <c r="K723" s="7">
        <f ca="1">IFERROR(IF(COUNTA(J$56:J723)=J$54,J723,FORECAST(D723,OFFSET(M$56:M$254,MATCH(D723,L$56:L$254,1)-1,0,2), OFFSET(L$56:L$254,MATCH(D723,L$56:L$254,1)-1,0,2))),"")</f>
        <v>0</v>
      </c>
      <c r="L723" s="7" t="str">
        <f t="array" ref="L723">IFERROR(INDEX(D$56:D$1054,SMALL(IF(ISNUMBER(J$56:J$1054),ROW(D$1:D$999),""),ROW(D668))),"")</f>
        <v/>
      </c>
      <c r="M723" s="7" t="str">
        <f t="array" ref="M723">IFERROR(INDEX(J$56:J$1054,SMALL(IF(ISNUMBER(J$56:J$1054),ROW(J$1:J$999),""),ROW(J668))),"")</f>
        <v/>
      </c>
      <c r="N723" s="7"/>
      <c r="O723" s="7"/>
      <c r="P723" s="7"/>
      <c r="Q723" s="7">
        <f ca="1">IFERROR(IF(COUNTA(P$56:P723)=P$54,P723,FORECAST(D723,OFFSET(S$56:S$254,MATCH(D723,R$56:R$254,1)-1,0,2), OFFSET(R$56:R$254,MATCH(D723,R$56:R$254,1)-1,0,2))),"")</f>
        <v>0</v>
      </c>
      <c r="R723" s="7" t="str">
        <f t="array" ref="R723">IFERROR(INDEX(E$56:E$1054,SMALL(IF(ISNUMBER(P$56:P$1054),ROW(E$1:E$999),""),ROW(J668))),"")</f>
        <v/>
      </c>
      <c r="S723" s="7" t="str">
        <f t="array" ref="S723">IFERROR(INDEX(P$56:P$1054,SMALL(IF(ISNUMBER(P$56:P$1054),ROW(P$1:P$999),""),ROW(P668))),"")</f>
        <v/>
      </c>
      <c r="T723" s="7"/>
      <c r="U723" s="7"/>
      <c r="V723" s="7"/>
    </row>
    <row r="724" spans="1:22" x14ac:dyDescent="0.25">
      <c r="A724" s="6"/>
      <c r="B724" s="11"/>
      <c r="C724" s="12"/>
      <c r="D724" s="12"/>
      <c r="E724" s="8">
        <f t="shared" si="10"/>
        <v>0</v>
      </c>
      <c r="F724" s="10"/>
      <c r="G724" s="10"/>
      <c r="H724" s="9"/>
      <c r="I724" s="7"/>
      <c r="J724" s="7"/>
      <c r="K724" s="7">
        <f ca="1">IFERROR(IF(COUNTA(J$56:J724)=J$54,J724,FORECAST(D724,OFFSET(M$56:M$254,MATCH(D724,L$56:L$254,1)-1,0,2), OFFSET(L$56:L$254,MATCH(D724,L$56:L$254,1)-1,0,2))),"")</f>
        <v>0</v>
      </c>
      <c r="L724" s="7" t="str">
        <f t="array" ref="L724">IFERROR(INDEX(D$56:D$1054,SMALL(IF(ISNUMBER(J$56:J$1054),ROW(D$1:D$999),""),ROW(D669))),"")</f>
        <v/>
      </c>
      <c r="M724" s="7" t="str">
        <f t="array" ref="M724">IFERROR(INDEX(J$56:J$1054,SMALL(IF(ISNUMBER(J$56:J$1054),ROW(J$1:J$999),""),ROW(J669))),"")</f>
        <v/>
      </c>
      <c r="N724" s="7"/>
      <c r="O724" s="7"/>
      <c r="P724" s="7"/>
      <c r="Q724" s="7">
        <f ca="1">IFERROR(IF(COUNTA(P$56:P724)=P$54,P724,FORECAST(D724,OFFSET(S$56:S$254,MATCH(D724,R$56:R$254,1)-1,0,2), OFFSET(R$56:R$254,MATCH(D724,R$56:R$254,1)-1,0,2))),"")</f>
        <v>0</v>
      </c>
      <c r="R724" s="7" t="str">
        <f t="array" ref="R724">IFERROR(INDEX(E$56:E$1054,SMALL(IF(ISNUMBER(P$56:P$1054),ROW(E$1:E$999),""),ROW(J669))),"")</f>
        <v/>
      </c>
      <c r="S724" s="7" t="str">
        <f t="array" ref="S724">IFERROR(INDEX(P$56:P$1054,SMALL(IF(ISNUMBER(P$56:P$1054),ROW(P$1:P$999),""),ROW(P669))),"")</f>
        <v/>
      </c>
      <c r="T724" s="7"/>
      <c r="U724" s="7"/>
      <c r="V724" s="7"/>
    </row>
    <row r="725" spans="1:22" x14ac:dyDescent="0.25">
      <c r="A725" s="6"/>
      <c r="B725" s="11"/>
      <c r="C725" s="12"/>
      <c r="D725" s="12"/>
      <c r="E725" s="8">
        <f t="shared" si="10"/>
        <v>0</v>
      </c>
      <c r="F725" s="10"/>
      <c r="G725" s="10"/>
      <c r="H725" s="9"/>
      <c r="I725" s="7"/>
      <c r="J725" s="7"/>
      <c r="K725" s="7">
        <f ca="1">IFERROR(IF(COUNTA(J$56:J725)=J$54,J725,FORECAST(D725,OFFSET(M$56:M$254,MATCH(D725,L$56:L$254,1)-1,0,2), OFFSET(L$56:L$254,MATCH(D725,L$56:L$254,1)-1,0,2))),"")</f>
        <v>0</v>
      </c>
      <c r="L725" s="7" t="str">
        <f t="array" ref="L725">IFERROR(INDEX(D$56:D$1054,SMALL(IF(ISNUMBER(J$56:J$1054),ROW(D$1:D$999),""),ROW(D670))),"")</f>
        <v/>
      </c>
      <c r="M725" s="7" t="str">
        <f t="array" ref="M725">IFERROR(INDEX(J$56:J$1054,SMALL(IF(ISNUMBER(J$56:J$1054),ROW(J$1:J$999),""),ROW(J670))),"")</f>
        <v/>
      </c>
      <c r="N725" s="7"/>
      <c r="O725" s="7"/>
      <c r="P725" s="7"/>
      <c r="Q725" s="7">
        <f ca="1">IFERROR(IF(COUNTA(P$56:P725)=P$54,P725,FORECAST(D725,OFFSET(S$56:S$254,MATCH(D725,R$56:R$254,1)-1,0,2), OFFSET(R$56:R$254,MATCH(D725,R$56:R$254,1)-1,0,2))),"")</f>
        <v>0</v>
      </c>
      <c r="R725" s="7" t="str">
        <f t="array" ref="R725">IFERROR(INDEX(E$56:E$1054,SMALL(IF(ISNUMBER(P$56:P$1054),ROW(E$1:E$999),""),ROW(J670))),"")</f>
        <v/>
      </c>
      <c r="S725" s="7" t="str">
        <f t="array" ref="S725">IFERROR(INDEX(P$56:P$1054,SMALL(IF(ISNUMBER(P$56:P$1054),ROW(P$1:P$999),""),ROW(P670))),"")</f>
        <v/>
      </c>
      <c r="T725" s="7"/>
      <c r="U725" s="7"/>
      <c r="V725" s="7"/>
    </row>
    <row r="726" spans="1:22" x14ac:dyDescent="0.25">
      <c r="A726" s="6"/>
      <c r="B726" s="11"/>
      <c r="C726" s="12"/>
      <c r="D726" s="12"/>
      <c r="E726" s="8">
        <f t="shared" si="10"/>
        <v>0</v>
      </c>
      <c r="F726" s="10"/>
      <c r="G726" s="10"/>
      <c r="H726" s="9"/>
      <c r="I726" s="7"/>
      <c r="J726" s="7"/>
      <c r="K726" s="7">
        <f ca="1">IFERROR(IF(COUNTA(J$56:J726)=J$54,J726,FORECAST(D726,OFFSET(M$56:M$254,MATCH(D726,L$56:L$254,1)-1,0,2), OFFSET(L$56:L$254,MATCH(D726,L$56:L$254,1)-1,0,2))),"")</f>
        <v>0</v>
      </c>
      <c r="L726" s="7" t="str">
        <f t="array" ref="L726">IFERROR(INDEX(D$56:D$1054,SMALL(IF(ISNUMBER(J$56:J$1054),ROW(D$1:D$999),""),ROW(D671))),"")</f>
        <v/>
      </c>
      <c r="M726" s="7" t="str">
        <f t="array" ref="M726">IFERROR(INDEX(J$56:J$1054,SMALL(IF(ISNUMBER(J$56:J$1054),ROW(J$1:J$999),""),ROW(J671))),"")</f>
        <v/>
      </c>
      <c r="N726" s="7"/>
      <c r="O726" s="7"/>
      <c r="P726" s="7"/>
      <c r="Q726" s="7">
        <f ca="1">IFERROR(IF(COUNTA(P$56:P726)=P$54,P726,FORECAST(D726,OFFSET(S$56:S$254,MATCH(D726,R$56:R$254,1)-1,0,2), OFFSET(R$56:R$254,MATCH(D726,R$56:R$254,1)-1,0,2))),"")</f>
        <v>0</v>
      </c>
      <c r="R726" s="7" t="str">
        <f t="array" ref="R726">IFERROR(INDEX(E$56:E$1054,SMALL(IF(ISNUMBER(P$56:P$1054),ROW(E$1:E$999),""),ROW(J671))),"")</f>
        <v/>
      </c>
      <c r="S726" s="7" t="str">
        <f t="array" ref="S726">IFERROR(INDEX(P$56:P$1054,SMALL(IF(ISNUMBER(P$56:P$1054),ROW(P$1:P$999),""),ROW(P671))),"")</f>
        <v/>
      </c>
      <c r="T726" s="7"/>
      <c r="U726" s="7"/>
      <c r="V726" s="7"/>
    </row>
    <row r="727" spans="1:22" x14ac:dyDescent="0.25">
      <c r="A727" s="6"/>
      <c r="B727" s="11"/>
      <c r="C727" s="12"/>
      <c r="D727" s="12"/>
      <c r="E727" s="8">
        <f t="shared" si="10"/>
        <v>0</v>
      </c>
      <c r="F727" s="10"/>
      <c r="G727" s="10"/>
      <c r="H727" s="9"/>
      <c r="I727" s="7"/>
      <c r="J727" s="7"/>
      <c r="K727" s="7">
        <f ca="1">IFERROR(IF(COUNTA(J$56:J727)=J$54,J727,FORECAST(D727,OFFSET(M$56:M$254,MATCH(D727,L$56:L$254,1)-1,0,2), OFFSET(L$56:L$254,MATCH(D727,L$56:L$254,1)-1,0,2))),"")</f>
        <v>0</v>
      </c>
      <c r="L727" s="7" t="str">
        <f t="array" ref="L727">IFERROR(INDEX(D$56:D$1054,SMALL(IF(ISNUMBER(J$56:J$1054),ROW(D$1:D$999),""),ROW(D672))),"")</f>
        <v/>
      </c>
      <c r="M727" s="7" t="str">
        <f t="array" ref="M727">IFERROR(INDEX(J$56:J$1054,SMALL(IF(ISNUMBER(J$56:J$1054),ROW(J$1:J$999),""),ROW(J672))),"")</f>
        <v/>
      </c>
      <c r="N727" s="7"/>
      <c r="O727" s="7"/>
      <c r="P727" s="7"/>
      <c r="Q727" s="7">
        <f ca="1">IFERROR(IF(COUNTA(P$56:P727)=P$54,P727,FORECAST(D727,OFFSET(S$56:S$254,MATCH(D727,R$56:R$254,1)-1,0,2), OFFSET(R$56:R$254,MATCH(D727,R$56:R$254,1)-1,0,2))),"")</f>
        <v>0</v>
      </c>
      <c r="R727" s="7" t="str">
        <f t="array" ref="R727">IFERROR(INDEX(E$56:E$1054,SMALL(IF(ISNUMBER(P$56:P$1054),ROW(E$1:E$999),""),ROW(J672))),"")</f>
        <v/>
      </c>
      <c r="S727" s="7" t="str">
        <f t="array" ref="S727">IFERROR(INDEX(P$56:P$1054,SMALL(IF(ISNUMBER(P$56:P$1054),ROW(P$1:P$999),""),ROW(P672))),"")</f>
        <v/>
      </c>
      <c r="T727" s="7"/>
      <c r="U727" s="7"/>
      <c r="V727" s="7"/>
    </row>
    <row r="728" spans="1:22" x14ac:dyDescent="0.25">
      <c r="A728" s="6"/>
      <c r="B728" s="11"/>
      <c r="C728" s="12"/>
      <c r="D728" s="12"/>
      <c r="E728" s="8">
        <f t="shared" si="10"/>
        <v>0</v>
      </c>
      <c r="F728" s="10"/>
      <c r="G728" s="10"/>
      <c r="H728" s="9"/>
      <c r="I728" s="7"/>
      <c r="J728" s="7"/>
      <c r="K728" s="7">
        <f ca="1">IFERROR(IF(COUNTA(J$56:J728)=J$54,J728,FORECAST(D728,OFFSET(M$56:M$254,MATCH(D728,L$56:L$254,1)-1,0,2), OFFSET(L$56:L$254,MATCH(D728,L$56:L$254,1)-1,0,2))),"")</f>
        <v>0</v>
      </c>
      <c r="L728" s="7" t="str">
        <f t="array" ref="L728">IFERROR(INDEX(D$56:D$1054,SMALL(IF(ISNUMBER(J$56:J$1054),ROW(D$1:D$999),""),ROW(D673))),"")</f>
        <v/>
      </c>
      <c r="M728" s="7" t="str">
        <f t="array" ref="M728">IFERROR(INDEX(J$56:J$1054,SMALL(IF(ISNUMBER(J$56:J$1054),ROW(J$1:J$999),""),ROW(J673))),"")</f>
        <v/>
      </c>
      <c r="N728" s="7"/>
      <c r="O728" s="7"/>
      <c r="P728" s="7"/>
      <c r="Q728" s="7">
        <f ca="1">IFERROR(IF(COUNTA(P$56:P728)=P$54,P728,FORECAST(D728,OFFSET(S$56:S$254,MATCH(D728,R$56:R$254,1)-1,0,2), OFFSET(R$56:R$254,MATCH(D728,R$56:R$254,1)-1,0,2))),"")</f>
        <v>0</v>
      </c>
      <c r="R728" s="7" t="str">
        <f t="array" ref="R728">IFERROR(INDEX(E$56:E$1054,SMALL(IF(ISNUMBER(P$56:P$1054),ROW(E$1:E$999),""),ROW(J673))),"")</f>
        <v/>
      </c>
      <c r="S728" s="7" t="str">
        <f t="array" ref="S728">IFERROR(INDEX(P$56:P$1054,SMALL(IF(ISNUMBER(P$56:P$1054),ROW(P$1:P$999),""),ROW(P673))),"")</f>
        <v/>
      </c>
      <c r="T728" s="7"/>
      <c r="U728" s="7"/>
      <c r="V728" s="7"/>
    </row>
    <row r="729" spans="1:22" x14ac:dyDescent="0.25">
      <c r="A729" s="6"/>
      <c r="B729" s="11"/>
      <c r="C729" s="12"/>
      <c r="D729" s="12"/>
      <c r="E729" s="8">
        <f t="shared" si="10"/>
        <v>0</v>
      </c>
      <c r="F729" s="10"/>
      <c r="G729" s="10"/>
      <c r="H729" s="9"/>
      <c r="I729" s="7"/>
      <c r="J729" s="7"/>
      <c r="K729" s="7">
        <f ca="1">IFERROR(IF(COUNTA(J$56:J729)=J$54,J729,FORECAST(D729,OFFSET(M$56:M$254,MATCH(D729,L$56:L$254,1)-1,0,2), OFFSET(L$56:L$254,MATCH(D729,L$56:L$254,1)-1,0,2))),"")</f>
        <v>0</v>
      </c>
      <c r="L729" s="7" t="str">
        <f t="array" ref="L729">IFERROR(INDEX(D$56:D$1054,SMALL(IF(ISNUMBER(J$56:J$1054),ROW(D$1:D$999),""),ROW(D674))),"")</f>
        <v/>
      </c>
      <c r="M729" s="7" t="str">
        <f t="array" ref="M729">IFERROR(INDEX(J$56:J$1054,SMALL(IF(ISNUMBER(J$56:J$1054),ROW(J$1:J$999),""),ROW(J674))),"")</f>
        <v/>
      </c>
      <c r="N729" s="7"/>
      <c r="O729" s="7"/>
      <c r="P729" s="7"/>
      <c r="Q729" s="7">
        <f ca="1">IFERROR(IF(COUNTA(P$56:P729)=P$54,P729,FORECAST(D729,OFFSET(S$56:S$254,MATCH(D729,R$56:R$254,1)-1,0,2), OFFSET(R$56:R$254,MATCH(D729,R$56:R$254,1)-1,0,2))),"")</f>
        <v>0</v>
      </c>
      <c r="R729" s="7" t="str">
        <f t="array" ref="R729">IFERROR(INDEX(E$56:E$1054,SMALL(IF(ISNUMBER(P$56:P$1054),ROW(E$1:E$999),""),ROW(J674))),"")</f>
        <v/>
      </c>
      <c r="S729" s="7" t="str">
        <f t="array" ref="S729">IFERROR(INDEX(P$56:P$1054,SMALL(IF(ISNUMBER(P$56:P$1054),ROW(P$1:P$999),""),ROW(P674))),"")</f>
        <v/>
      </c>
      <c r="T729" s="7"/>
      <c r="U729" s="7"/>
      <c r="V729" s="7"/>
    </row>
    <row r="730" spans="1:22" x14ac:dyDescent="0.25">
      <c r="A730" s="6"/>
      <c r="B730" s="11"/>
      <c r="C730" s="12"/>
      <c r="D730" s="12"/>
      <c r="E730" s="8">
        <f t="shared" si="10"/>
        <v>0</v>
      </c>
      <c r="F730" s="10"/>
      <c r="G730" s="10"/>
      <c r="H730" s="9"/>
      <c r="I730" s="7"/>
      <c r="J730" s="7"/>
      <c r="K730" s="7">
        <f ca="1">IFERROR(IF(COUNTA(J$56:J730)=J$54,J730,FORECAST(D730,OFFSET(M$56:M$254,MATCH(D730,L$56:L$254,1)-1,0,2), OFFSET(L$56:L$254,MATCH(D730,L$56:L$254,1)-1,0,2))),"")</f>
        <v>0</v>
      </c>
      <c r="L730" s="7" t="str">
        <f t="array" ref="L730">IFERROR(INDEX(D$56:D$1054,SMALL(IF(ISNUMBER(J$56:J$1054),ROW(D$1:D$999),""),ROW(D675))),"")</f>
        <v/>
      </c>
      <c r="M730" s="7" t="str">
        <f t="array" ref="M730">IFERROR(INDEX(J$56:J$1054,SMALL(IF(ISNUMBER(J$56:J$1054),ROW(J$1:J$999),""),ROW(J675))),"")</f>
        <v/>
      </c>
      <c r="N730" s="7"/>
      <c r="O730" s="7"/>
      <c r="P730" s="7"/>
      <c r="Q730" s="7">
        <f ca="1">IFERROR(IF(COUNTA(P$56:P730)=P$54,P730,FORECAST(D730,OFFSET(S$56:S$254,MATCH(D730,R$56:R$254,1)-1,0,2), OFFSET(R$56:R$254,MATCH(D730,R$56:R$254,1)-1,0,2))),"")</f>
        <v>0</v>
      </c>
      <c r="R730" s="7" t="str">
        <f t="array" ref="R730">IFERROR(INDEX(E$56:E$1054,SMALL(IF(ISNUMBER(P$56:P$1054),ROW(E$1:E$999),""),ROW(J675))),"")</f>
        <v/>
      </c>
      <c r="S730" s="7" t="str">
        <f t="array" ref="S730">IFERROR(INDEX(P$56:P$1054,SMALL(IF(ISNUMBER(P$56:P$1054),ROW(P$1:P$999),""),ROW(P675))),"")</f>
        <v/>
      </c>
      <c r="T730" s="7"/>
      <c r="U730" s="7"/>
      <c r="V730" s="7"/>
    </row>
    <row r="731" spans="1:22" x14ac:dyDescent="0.25">
      <c r="A731" s="6"/>
      <c r="B731" s="11"/>
      <c r="C731" s="12"/>
      <c r="D731" s="12"/>
      <c r="E731" s="8">
        <f t="shared" si="10"/>
        <v>0</v>
      </c>
      <c r="F731" s="10"/>
      <c r="G731" s="10"/>
      <c r="H731" s="9"/>
      <c r="I731" s="7"/>
      <c r="J731" s="7"/>
      <c r="K731" s="7">
        <f ca="1">IFERROR(IF(COUNTA(J$56:J731)=J$54,J731,FORECAST(D731,OFFSET(M$56:M$254,MATCH(D731,L$56:L$254,1)-1,0,2), OFFSET(L$56:L$254,MATCH(D731,L$56:L$254,1)-1,0,2))),"")</f>
        <v>0</v>
      </c>
      <c r="L731" s="7" t="str">
        <f t="array" ref="L731">IFERROR(INDEX(D$56:D$1054,SMALL(IF(ISNUMBER(J$56:J$1054),ROW(D$1:D$999),""),ROW(D676))),"")</f>
        <v/>
      </c>
      <c r="M731" s="7" t="str">
        <f t="array" ref="M731">IFERROR(INDEX(J$56:J$1054,SMALL(IF(ISNUMBER(J$56:J$1054),ROW(J$1:J$999),""),ROW(J676))),"")</f>
        <v/>
      </c>
      <c r="N731" s="7"/>
      <c r="O731" s="7"/>
      <c r="P731" s="7"/>
      <c r="Q731" s="7">
        <f ca="1">IFERROR(IF(COUNTA(P$56:P731)=P$54,P731,FORECAST(D731,OFFSET(S$56:S$254,MATCH(D731,R$56:R$254,1)-1,0,2), OFFSET(R$56:R$254,MATCH(D731,R$56:R$254,1)-1,0,2))),"")</f>
        <v>0</v>
      </c>
      <c r="R731" s="7" t="str">
        <f t="array" ref="R731">IFERROR(INDEX(E$56:E$1054,SMALL(IF(ISNUMBER(P$56:P$1054),ROW(E$1:E$999),""),ROW(J676))),"")</f>
        <v/>
      </c>
      <c r="S731" s="7" t="str">
        <f t="array" ref="S731">IFERROR(INDEX(P$56:P$1054,SMALL(IF(ISNUMBER(P$56:P$1054),ROW(P$1:P$999),""),ROW(P676))),"")</f>
        <v/>
      </c>
      <c r="T731" s="7"/>
      <c r="U731" s="7"/>
      <c r="V731" s="7"/>
    </row>
    <row r="732" spans="1:22" x14ac:dyDescent="0.25">
      <c r="A732" s="6"/>
      <c r="B732" s="11"/>
      <c r="C732" s="12"/>
      <c r="D732" s="12"/>
      <c r="E732" s="8">
        <f t="shared" si="10"/>
        <v>0</v>
      </c>
      <c r="F732" s="10"/>
      <c r="G732" s="10"/>
      <c r="H732" s="9"/>
      <c r="I732" s="7"/>
      <c r="J732" s="7"/>
      <c r="K732" s="7">
        <f ca="1">IFERROR(IF(COUNTA(J$56:J732)=J$54,J732,FORECAST(D732,OFFSET(M$56:M$254,MATCH(D732,L$56:L$254,1)-1,0,2), OFFSET(L$56:L$254,MATCH(D732,L$56:L$254,1)-1,0,2))),"")</f>
        <v>0</v>
      </c>
      <c r="L732" s="7" t="str">
        <f t="array" ref="L732">IFERROR(INDEX(D$56:D$1054,SMALL(IF(ISNUMBER(J$56:J$1054),ROW(D$1:D$999),""),ROW(D677))),"")</f>
        <v/>
      </c>
      <c r="M732" s="7" t="str">
        <f t="array" ref="M732">IFERROR(INDEX(J$56:J$1054,SMALL(IF(ISNUMBER(J$56:J$1054),ROW(J$1:J$999),""),ROW(J677))),"")</f>
        <v/>
      </c>
      <c r="N732" s="7"/>
      <c r="O732" s="7"/>
      <c r="P732" s="7"/>
      <c r="Q732" s="7">
        <f ca="1">IFERROR(IF(COUNTA(P$56:P732)=P$54,P732,FORECAST(D732,OFFSET(S$56:S$254,MATCH(D732,R$56:R$254,1)-1,0,2), OFFSET(R$56:R$254,MATCH(D732,R$56:R$254,1)-1,0,2))),"")</f>
        <v>0</v>
      </c>
      <c r="R732" s="7" t="str">
        <f t="array" ref="R732">IFERROR(INDEX(E$56:E$1054,SMALL(IF(ISNUMBER(P$56:P$1054),ROW(E$1:E$999),""),ROW(J677))),"")</f>
        <v/>
      </c>
      <c r="S732" s="7" t="str">
        <f t="array" ref="S732">IFERROR(INDEX(P$56:P$1054,SMALL(IF(ISNUMBER(P$56:P$1054),ROW(P$1:P$999),""),ROW(P677))),"")</f>
        <v/>
      </c>
      <c r="T732" s="7"/>
      <c r="U732" s="7"/>
      <c r="V732" s="7"/>
    </row>
    <row r="733" spans="1:22" x14ac:dyDescent="0.25">
      <c r="A733" s="6"/>
      <c r="B733" s="11"/>
      <c r="C733" s="12"/>
      <c r="D733" s="12"/>
      <c r="E733" s="8">
        <f t="shared" si="10"/>
        <v>0</v>
      </c>
      <c r="F733" s="10"/>
      <c r="G733" s="10"/>
      <c r="H733" s="9"/>
      <c r="I733" s="7"/>
      <c r="J733" s="7"/>
      <c r="K733" s="7">
        <f ca="1">IFERROR(IF(COUNTA(J$56:J733)=J$54,J733,FORECAST(D733,OFFSET(M$56:M$254,MATCH(D733,L$56:L$254,1)-1,0,2), OFFSET(L$56:L$254,MATCH(D733,L$56:L$254,1)-1,0,2))),"")</f>
        <v>0</v>
      </c>
      <c r="L733" s="7" t="str">
        <f t="array" ref="L733">IFERROR(INDEX(D$56:D$1054,SMALL(IF(ISNUMBER(J$56:J$1054),ROW(D$1:D$999),""),ROW(D678))),"")</f>
        <v/>
      </c>
      <c r="M733" s="7" t="str">
        <f t="array" ref="M733">IFERROR(INDEX(J$56:J$1054,SMALL(IF(ISNUMBER(J$56:J$1054),ROW(J$1:J$999),""),ROW(J678))),"")</f>
        <v/>
      </c>
      <c r="N733" s="7"/>
      <c r="O733" s="7"/>
      <c r="P733" s="7"/>
      <c r="Q733" s="7">
        <f ca="1">IFERROR(IF(COUNTA(P$56:P733)=P$54,P733,FORECAST(D733,OFFSET(S$56:S$254,MATCH(D733,R$56:R$254,1)-1,0,2), OFFSET(R$56:R$254,MATCH(D733,R$56:R$254,1)-1,0,2))),"")</f>
        <v>0</v>
      </c>
      <c r="R733" s="7" t="str">
        <f t="array" ref="R733">IFERROR(INDEX(E$56:E$1054,SMALL(IF(ISNUMBER(P$56:P$1054),ROW(E$1:E$999),""),ROW(J678))),"")</f>
        <v/>
      </c>
      <c r="S733" s="7" t="str">
        <f t="array" ref="S733">IFERROR(INDEX(P$56:P$1054,SMALL(IF(ISNUMBER(P$56:P$1054),ROW(P$1:P$999),""),ROW(P678))),"")</f>
        <v/>
      </c>
      <c r="T733" s="7"/>
      <c r="U733" s="7"/>
      <c r="V733" s="7"/>
    </row>
    <row r="734" spans="1:22" x14ac:dyDescent="0.25">
      <c r="A734" s="6"/>
      <c r="B734" s="11"/>
      <c r="C734" s="12"/>
      <c r="D734" s="12"/>
      <c r="E734" s="8">
        <f t="shared" si="10"/>
        <v>0</v>
      </c>
      <c r="F734" s="10"/>
      <c r="G734" s="10"/>
      <c r="H734" s="9"/>
      <c r="I734" s="7"/>
      <c r="J734" s="7"/>
      <c r="K734" s="7">
        <f ca="1">IFERROR(IF(COUNTA(J$56:J734)=J$54,J734,FORECAST(D734,OFFSET(M$56:M$254,MATCH(D734,L$56:L$254,1)-1,0,2), OFFSET(L$56:L$254,MATCH(D734,L$56:L$254,1)-1,0,2))),"")</f>
        <v>0</v>
      </c>
      <c r="L734" s="7" t="str">
        <f t="array" ref="L734">IFERROR(INDEX(D$56:D$1054,SMALL(IF(ISNUMBER(J$56:J$1054),ROW(D$1:D$999),""),ROW(D679))),"")</f>
        <v/>
      </c>
      <c r="M734" s="7" t="str">
        <f t="array" ref="M734">IFERROR(INDEX(J$56:J$1054,SMALL(IF(ISNUMBER(J$56:J$1054),ROW(J$1:J$999),""),ROW(J679))),"")</f>
        <v/>
      </c>
      <c r="N734" s="7"/>
      <c r="O734" s="7"/>
      <c r="P734" s="7"/>
      <c r="Q734" s="7">
        <f ca="1">IFERROR(IF(COUNTA(P$56:P734)=P$54,P734,FORECAST(D734,OFFSET(S$56:S$254,MATCH(D734,R$56:R$254,1)-1,0,2), OFFSET(R$56:R$254,MATCH(D734,R$56:R$254,1)-1,0,2))),"")</f>
        <v>0</v>
      </c>
      <c r="R734" s="7" t="str">
        <f t="array" ref="R734">IFERROR(INDEX(E$56:E$1054,SMALL(IF(ISNUMBER(P$56:P$1054),ROW(E$1:E$999),""),ROW(J679))),"")</f>
        <v/>
      </c>
      <c r="S734" s="7" t="str">
        <f t="array" ref="S734">IFERROR(INDEX(P$56:P$1054,SMALL(IF(ISNUMBER(P$56:P$1054),ROW(P$1:P$999),""),ROW(P679))),"")</f>
        <v/>
      </c>
      <c r="T734" s="7"/>
      <c r="U734" s="7"/>
      <c r="V734" s="7"/>
    </row>
    <row r="735" spans="1:22" x14ac:dyDescent="0.25">
      <c r="A735" s="6"/>
      <c r="B735" s="11"/>
      <c r="C735" s="12"/>
      <c r="D735" s="12"/>
      <c r="E735" s="8">
        <f t="shared" si="10"/>
        <v>0</v>
      </c>
      <c r="F735" s="10"/>
      <c r="G735" s="10"/>
      <c r="H735" s="9"/>
      <c r="I735" s="7"/>
      <c r="J735" s="7"/>
      <c r="K735" s="7">
        <f ca="1">IFERROR(IF(COUNTA(J$56:J735)=J$54,J735,FORECAST(D735,OFFSET(M$56:M$254,MATCH(D735,L$56:L$254,1)-1,0,2), OFFSET(L$56:L$254,MATCH(D735,L$56:L$254,1)-1,0,2))),"")</f>
        <v>0</v>
      </c>
      <c r="L735" s="7" t="str">
        <f t="array" ref="L735">IFERROR(INDEX(D$56:D$1054,SMALL(IF(ISNUMBER(J$56:J$1054),ROW(D$1:D$999),""),ROW(D680))),"")</f>
        <v/>
      </c>
      <c r="M735" s="7" t="str">
        <f t="array" ref="M735">IFERROR(INDEX(J$56:J$1054,SMALL(IF(ISNUMBER(J$56:J$1054),ROW(J$1:J$999),""),ROW(J680))),"")</f>
        <v/>
      </c>
      <c r="N735" s="7"/>
      <c r="O735" s="7"/>
      <c r="P735" s="7"/>
      <c r="Q735" s="7">
        <f ca="1">IFERROR(IF(COUNTA(P$56:P735)=P$54,P735,FORECAST(D735,OFFSET(S$56:S$254,MATCH(D735,R$56:R$254,1)-1,0,2), OFFSET(R$56:R$254,MATCH(D735,R$56:R$254,1)-1,0,2))),"")</f>
        <v>0</v>
      </c>
      <c r="R735" s="7" t="str">
        <f t="array" ref="R735">IFERROR(INDEX(E$56:E$1054,SMALL(IF(ISNUMBER(P$56:P$1054),ROW(E$1:E$999),""),ROW(J680))),"")</f>
        <v/>
      </c>
      <c r="S735" s="7" t="str">
        <f t="array" ref="S735">IFERROR(INDEX(P$56:P$1054,SMALL(IF(ISNUMBER(P$56:P$1054),ROW(P$1:P$999),""),ROW(P680))),"")</f>
        <v/>
      </c>
      <c r="T735" s="7"/>
      <c r="U735" s="7"/>
      <c r="V735" s="7"/>
    </row>
    <row r="736" spans="1:22" x14ac:dyDescent="0.25">
      <c r="A736" s="6"/>
      <c r="B736" s="11"/>
      <c r="C736" s="12"/>
      <c r="D736" s="12"/>
      <c r="E736" s="8">
        <f t="shared" si="10"/>
        <v>0</v>
      </c>
      <c r="F736" s="10"/>
      <c r="G736" s="10"/>
      <c r="H736" s="9"/>
      <c r="I736" s="7"/>
      <c r="J736" s="7"/>
      <c r="K736" s="7">
        <f ca="1">IFERROR(IF(COUNTA(J$56:J736)=J$54,J736,FORECAST(D736,OFFSET(M$56:M$254,MATCH(D736,L$56:L$254,1)-1,0,2), OFFSET(L$56:L$254,MATCH(D736,L$56:L$254,1)-1,0,2))),"")</f>
        <v>0</v>
      </c>
      <c r="L736" s="7" t="str">
        <f t="array" ref="L736">IFERROR(INDEX(D$56:D$1054,SMALL(IF(ISNUMBER(J$56:J$1054),ROW(D$1:D$999),""),ROW(D681))),"")</f>
        <v/>
      </c>
      <c r="M736" s="7" t="str">
        <f t="array" ref="M736">IFERROR(INDEX(J$56:J$1054,SMALL(IF(ISNUMBER(J$56:J$1054),ROW(J$1:J$999),""),ROW(J681))),"")</f>
        <v/>
      </c>
      <c r="N736" s="7"/>
      <c r="O736" s="7"/>
      <c r="P736" s="7"/>
      <c r="Q736" s="7">
        <f ca="1">IFERROR(IF(COUNTA(P$56:P736)=P$54,P736,FORECAST(D736,OFFSET(S$56:S$254,MATCH(D736,R$56:R$254,1)-1,0,2), OFFSET(R$56:R$254,MATCH(D736,R$56:R$254,1)-1,0,2))),"")</f>
        <v>0</v>
      </c>
      <c r="R736" s="7" t="str">
        <f t="array" ref="R736">IFERROR(INDEX(E$56:E$1054,SMALL(IF(ISNUMBER(P$56:P$1054),ROW(E$1:E$999),""),ROW(J681))),"")</f>
        <v/>
      </c>
      <c r="S736" s="7" t="str">
        <f t="array" ref="S736">IFERROR(INDEX(P$56:P$1054,SMALL(IF(ISNUMBER(P$56:P$1054),ROW(P$1:P$999),""),ROW(P681))),"")</f>
        <v/>
      </c>
      <c r="T736" s="7"/>
      <c r="U736" s="7"/>
      <c r="V736" s="7"/>
    </row>
    <row r="737" spans="1:22" x14ac:dyDescent="0.25">
      <c r="A737" s="6"/>
      <c r="B737" s="11"/>
      <c r="C737" s="12"/>
      <c r="D737" s="12"/>
      <c r="E737" s="8">
        <f t="shared" si="10"/>
        <v>0</v>
      </c>
      <c r="F737" s="10"/>
      <c r="G737" s="10"/>
      <c r="H737" s="9"/>
      <c r="I737" s="7"/>
      <c r="J737" s="7"/>
      <c r="K737" s="7">
        <f ca="1">IFERROR(IF(COUNTA(J$56:J737)=J$54,J737,FORECAST(D737,OFFSET(M$56:M$254,MATCH(D737,L$56:L$254,1)-1,0,2), OFFSET(L$56:L$254,MATCH(D737,L$56:L$254,1)-1,0,2))),"")</f>
        <v>0</v>
      </c>
      <c r="L737" s="7" t="str">
        <f t="array" ref="L737">IFERROR(INDEX(D$56:D$1054,SMALL(IF(ISNUMBER(J$56:J$1054),ROW(D$1:D$999),""),ROW(D682))),"")</f>
        <v/>
      </c>
      <c r="M737" s="7" t="str">
        <f t="array" ref="M737">IFERROR(INDEX(J$56:J$1054,SMALL(IF(ISNUMBER(J$56:J$1054),ROW(J$1:J$999),""),ROW(J682))),"")</f>
        <v/>
      </c>
      <c r="N737" s="7"/>
      <c r="O737" s="7"/>
      <c r="P737" s="7"/>
      <c r="Q737" s="7">
        <f ca="1">IFERROR(IF(COUNTA(P$56:P737)=P$54,P737,FORECAST(D737,OFFSET(S$56:S$254,MATCH(D737,R$56:R$254,1)-1,0,2), OFFSET(R$56:R$254,MATCH(D737,R$56:R$254,1)-1,0,2))),"")</f>
        <v>0</v>
      </c>
      <c r="R737" s="7" t="str">
        <f t="array" ref="R737">IFERROR(INDEX(E$56:E$1054,SMALL(IF(ISNUMBER(P$56:P$1054),ROW(E$1:E$999),""),ROW(J682))),"")</f>
        <v/>
      </c>
      <c r="S737" s="7" t="str">
        <f t="array" ref="S737">IFERROR(INDEX(P$56:P$1054,SMALL(IF(ISNUMBER(P$56:P$1054),ROW(P$1:P$999),""),ROW(P682))),"")</f>
        <v/>
      </c>
      <c r="T737" s="7"/>
      <c r="U737" s="7"/>
      <c r="V737" s="7"/>
    </row>
    <row r="738" spans="1:22" x14ac:dyDescent="0.25">
      <c r="A738" s="6"/>
      <c r="B738" s="11"/>
      <c r="C738" s="12"/>
      <c r="D738" s="12"/>
      <c r="E738" s="8">
        <f t="shared" si="10"/>
        <v>0</v>
      </c>
      <c r="F738" s="10"/>
      <c r="G738" s="10"/>
      <c r="H738" s="9"/>
      <c r="I738" s="7"/>
      <c r="J738" s="7"/>
      <c r="K738" s="7">
        <f ca="1">IFERROR(IF(COUNTA(J$56:J738)=J$54,J738,FORECAST(D738,OFFSET(M$56:M$254,MATCH(D738,L$56:L$254,1)-1,0,2), OFFSET(L$56:L$254,MATCH(D738,L$56:L$254,1)-1,0,2))),"")</f>
        <v>0</v>
      </c>
      <c r="L738" s="7" t="str">
        <f t="array" ref="L738">IFERROR(INDEX(D$56:D$1054,SMALL(IF(ISNUMBER(J$56:J$1054),ROW(D$1:D$999),""),ROW(D683))),"")</f>
        <v/>
      </c>
      <c r="M738" s="7" t="str">
        <f t="array" ref="M738">IFERROR(INDEX(J$56:J$1054,SMALL(IF(ISNUMBER(J$56:J$1054),ROW(J$1:J$999),""),ROW(J683))),"")</f>
        <v/>
      </c>
      <c r="N738" s="7"/>
      <c r="O738" s="7"/>
      <c r="P738" s="7"/>
      <c r="Q738" s="7">
        <f ca="1">IFERROR(IF(COUNTA(P$56:P738)=P$54,P738,FORECAST(D738,OFFSET(S$56:S$254,MATCH(D738,R$56:R$254,1)-1,0,2), OFFSET(R$56:R$254,MATCH(D738,R$56:R$254,1)-1,0,2))),"")</f>
        <v>0</v>
      </c>
      <c r="R738" s="7" t="str">
        <f t="array" ref="R738">IFERROR(INDEX(E$56:E$1054,SMALL(IF(ISNUMBER(P$56:P$1054),ROW(E$1:E$999),""),ROW(J683))),"")</f>
        <v/>
      </c>
      <c r="S738" s="7" t="str">
        <f t="array" ref="S738">IFERROR(INDEX(P$56:P$1054,SMALL(IF(ISNUMBER(P$56:P$1054),ROW(P$1:P$999),""),ROW(P683))),"")</f>
        <v/>
      </c>
      <c r="T738" s="7"/>
      <c r="U738" s="7"/>
      <c r="V738" s="7"/>
    </row>
    <row r="739" spans="1:22" x14ac:dyDescent="0.25">
      <c r="A739" s="6"/>
      <c r="B739" s="11"/>
      <c r="C739" s="12"/>
      <c r="D739" s="12"/>
      <c r="E739" s="8">
        <f t="shared" si="10"/>
        <v>0</v>
      </c>
      <c r="F739" s="10"/>
      <c r="G739" s="10"/>
      <c r="H739" s="9"/>
      <c r="I739" s="7"/>
      <c r="J739" s="7"/>
      <c r="K739" s="7">
        <f ca="1">IFERROR(IF(COUNTA(J$56:J739)=J$54,J739,FORECAST(D739,OFFSET(M$56:M$254,MATCH(D739,L$56:L$254,1)-1,0,2), OFFSET(L$56:L$254,MATCH(D739,L$56:L$254,1)-1,0,2))),"")</f>
        <v>0</v>
      </c>
      <c r="L739" s="7" t="str">
        <f t="array" ref="L739">IFERROR(INDEX(D$56:D$1054,SMALL(IF(ISNUMBER(J$56:J$1054),ROW(D$1:D$999),""),ROW(D684))),"")</f>
        <v/>
      </c>
      <c r="M739" s="7" t="str">
        <f t="array" ref="M739">IFERROR(INDEX(J$56:J$1054,SMALL(IF(ISNUMBER(J$56:J$1054),ROW(J$1:J$999),""),ROW(J684))),"")</f>
        <v/>
      </c>
      <c r="N739" s="7"/>
      <c r="O739" s="7"/>
      <c r="P739" s="7"/>
      <c r="Q739" s="7">
        <f ca="1">IFERROR(IF(COUNTA(P$56:P739)=P$54,P739,FORECAST(D739,OFFSET(S$56:S$254,MATCH(D739,R$56:R$254,1)-1,0,2), OFFSET(R$56:R$254,MATCH(D739,R$56:R$254,1)-1,0,2))),"")</f>
        <v>0</v>
      </c>
      <c r="R739" s="7" t="str">
        <f t="array" ref="R739">IFERROR(INDEX(E$56:E$1054,SMALL(IF(ISNUMBER(P$56:P$1054),ROW(E$1:E$999),""),ROW(J684))),"")</f>
        <v/>
      </c>
      <c r="S739" s="7" t="str">
        <f t="array" ref="S739">IFERROR(INDEX(P$56:P$1054,SMALL(IF(ISNUMBER(P$56:P$1054),ROW(P$1:P$999),""),ROW(P684))),"")</f>
        <v/>
      </c>
      <c r="T739" s="7"/>
      <c r="U739" s="7"/>
      <c r="V739" s="7"/>
    </row>
    <row r="740" spans="1:22" x14ac:dyDescent="0.25">
      <c r="A740" s="6"/>
      <c r="B740" s="11"/>
      <c r="C740" s="12"/>
      <c r="D740" s="12"/>
      <c r="E740" s="8">
        <f t="shared" si="10"/>
        <v>0</v>
      </c>
      <c r="F740" s="10"/>
      <c r="G740" s="10"/>
      <c r="H740" s="9"/>
      <c r="I740" s="7"/>
      <c r="J740" s="7"/>
      <c r="K740" s="7">
        <f ca="1">IFERROR(IF(COUNTA(J$56:J740)=J$54,J740,FORECAST(D740,OFFSET(M$56:M$254,MATCH(D740,L$56:L$254,1)-1,0,2), OFFSET(L$56:L$254,MATCH(D740,L$56:L$254,1)-1,0,2))),"")</f>
        <v>0</v>
      </c>
      <c r="L740" s="7" t="str">
        <f t="array" ref="L740">IFERROR(INDEX(D$56:D$1054,SMALL(IF(ISNUMBER(J$56:J$1054),ROW(D$1:D$999),""),ROW(D685))),"")</f>
        <v/>
      </c>
      <c r="M740" s="7" t="str">
        <f t="array" ref="M740">IFERROR(INDEX(J$56:J$1054,SMALL(IF(ISNUMBER(J$56:J$1054),ROW(J$1:J$999),""),ROW(J685))),"")</f>
        <v/>
      </c>
      <c r="N740" s="7"/>
      <c r="O740" s="7"/>
      <c r="P740" s="7"/>
      <c r="Q740" s="7">
        <f ca="1">IFERROR(IF(COUNTA(P$56:P740)=P$54,P740,FORECAST(D740,OFFSET(S$56:S$254,MATCH(D740,R$56:R$254,1)-1,0,2), OFFSET(R$56:R$254,MATCH(D740,R$56:R$254,1)-1,0,2))),"")</f>
        <v>0</v>
      </c>
      <c r="R740" s="7" t="str">
        <f t="array" ref="R740">IFERROR(INDEX(E$56:E$1054,SMALL(IF(ISNUMBER(P$56:P$1054),ROW(E$1:E$999),""),ROW(J685))),"")</f>
        <v/>
      </c>
      <c r="S740" s="7" t="str">
        <f t="array" ref="S740">IFERROR(INDEX(P$56:P$1054,SMALL(IF(ISNUMBER(P$56:P$1054),ROW(P$1:P$999),""),ROW(P685))),"")</f>
        <v/>
      </c>
      <c r="T740" s="7"/>
      <c r="U740" s="7"/>
      <c r="V740" s="7"/>
    </row>
    <row r="741" spans="1:22" x14ac:dyDescent="0.25">
      <c r="A741" s="6"/>
      <c r="B741" s="11"/>
      <c r="C741" s="12"/>
      <c r="D741" s="12"/>
      <c r="E741" s="8">
        <f t="shared" si="10"/>
        <v>0</v>
      </c>
      <c r="F741" s="10"/>
      <c r="G741" s="10"/>
      <c r="H741" s="9"/>
      <c r="I741" s="7"/>
      <c r="J741" s="7"/>
      <c r="K741" s="7">
        <f ca="1">IFERROR(IF(COUNTA(J$56:J741)=J$54,J741,FORECAST(D741,OFFSET(M$56:M$254,MATCH(D741,L$56:L$254,1)-1,0,2), OFFSET(L$56:L$254,MATCH(D741,L$56:L$254,1)-1,0,2))),"")</f>
        <v>0</v>
      </c>
      <c r="L741" s="7" t="str">
        <f t="array" ref="L741">IFERROR(INDEX(D$56:D$1054,SMALL(IF(ISNUMBER(J$56:J$1054),ROW(D$1:D$999),""),ROW(D686))),"")</f>
        <v/>
      </c>
      <c r="M741" s="7" t="str">
        <f t="array" ref="M741">IFERROR(INDEX(J$56:J$1054,SMALL(IF(ISNUMBER(J$56:J$1054),ROW(J$1:J$999),""),ROW(J686))),"")</f>
        <v/>
      </c>
      <c r="N741" s="7"/>
      <c r="O741" s="7"/>
      <c r="P741" s="7"/>
      <c r="Q741" s="7">
        <f ca="1">IFERROR(IF(COUNTA(P$56:P741)=P$54,P741,FORECAST(D741,OFFSET(S$56:S$254,MATCH(D741,R$56:R$254,1)-1,0,2), OFFSET(R$56:R$254,MATCH(D741,R$56:R$254,1)-1,0,2))),"")</f>
        <v>0</v>
      </c>
      <c r="R741" s="7" t="str">
        <f t="array" ref="R741">IFERROR(INDEX(E$56:E$1054,SMALL(IF(ISNUMBER(P$56:P$1054),ROW(E$1:E$999),""),ROW(J686))),"")</f>
        <v/>
      </c>
      <c r="S741" s="7" t="str">
        <f t="array" ref="S741">IFERROR(INDEX(P$56:P$1054,SMALL(IF(ISNUMBER(P$56:P$1054),ROW(P$1:P$999),""),ROW(P686))),"")</f>
        <v/>
      </c>
      <c r="T741" s="7"/>
      <c r="U741" s="7"/>
      <c r="V741" s="7"/>
    </row>
    <row r="742" spans="1:22" x14ac:dyDescent="0.25">
      <c r="A742" s="6"/>
      <c r="B742" s="11"/>
      <c r="C742" s="12"/>
      <c r="D742" s="12"/>
      <c r="E742" s="8">
        <f t="shared" si="10"/>
        <v>0</v>
      </c>
      <c r="F742" s="10"/>
      <c r="G742" s="10"/>
      <c r="H742" s="9"/>
      <c r="I742" s="7"/>
      <c r="J742" s="7"/>
      <c r="K742" s="7">
        <f ca="1">IFERROR(IF(COUNTA(J$56:J742)=J$54,J742,FORECAST(D742,OFFSET(M$56:M$254,MATCH(D742,L$56:L$254,1)-1,0,2), OFFSET(L$56:L$254,MATCH(D742,L$56:L$254,1)-1,0,2))),"")</f>
        <v>0</v>
      </c>
      <c r="L742" s="7" t="str">
        <f t="array" ref="L742">IFERROR(INDEX(D$56:D$1054,SMALL(IF(ISNUMBER(J$56:J$1054),ROW(D$1:D$999),""),ROW(D687))),"")</f>
        <v/>
      </c>
      <c r="M742" s="7" t="str">
        <f t="array" ref="M742">IFERROR(INDEX(J$56:J$1054,SMALL(IF(ISNUMBER(J$56:J$1054),ROW(J$1:J$999),""),ROW(J687))),"")</f>
        <v/>
      </c>
      <c r="N742" s="7"/>
      <c r="O742" s="7"/>
      <c r="P742" s="7"/>
      <c r="Q742" s="7">
        <f ca="1">IFERROR(IF(COUNTA(P$56:P742)=P$54,P742,FORECAST(D742,OFFSET(S$56:S$254,MATCH(D742,R$56:R$254,1)-1,0,2), OFFSET(R$56:R$254,MATCH(D742,R$56:R$254,1)-1,0,2))),"")</f>
        <v>0</v>
      </c>
      <c r="R742" s="7" t="str">
        <f t="array" ref="R742">IFERROR(INDEX(E$56:E$1054,SMALL(IF(ISNUMBER(P$56:P$1054),ROW(E$1:E$999),""),ROW(J687))),"")</f>
        <v/>
      </c>
      <c r="S742" s="7" t="str">
        <f t="array" ref="S742">IFERROR(INDEX(P$56:P$1054,SMALL(IF(ISNUMBER(P$56:P$1054),ROW(P$1:P$999),""),ROW(P687))),"")</f>
        <v/>
      </c>
      <c r="T742" s="7"/>
      <c r="U742" s="7"/>
      <c r="V742" s="7"/>
    </row>
    <row r="743" spans="1:22" x14ac:dyDescent="0.25">
      <c r="A743" s="6"/>
      <c r="B743" s="11"/>
      <c r="C743" s="12"/>
      <c r="D743" s="12"/>
      <c r="E743" s="8">
        <f t="shared" si="10"/>
        <v>0</v>
      </c>
      <c r="F743" s="10"/>
      <c r="G743" s="10"/>
      <c r="H743" s="9"/>
      <c r="I743" s="7"/>
      <c r="J743" s="7"/>
      <c r="K743" s="7">
        <f ca="1">IFERROR(IF(COUNTA(J$56:J743)=J$54,J743,FORECAST(D743,OFFSET(M$56:M$254,MATCH(D743,L$56:L$254,1)-1,0,2), OFFSET(L$56:L$254,MATCH(D743,L$56:L$254,1)-1,0,2))),"")</f>
        <v>0</v>
      </c>
      <c r="L743" s="7" t="str">
        <f t="array" ref="L743">IFERROR(INDEX(D$56:D$1054,SMALL(IF(ISNUMBER(J$56:J$1054),ROW(D$1:D$999),""),ROW(D688))),"")</f>
        <v/>
      </c>
      <c r="M743" s="7" t="str">
        <f t="array" ref="M743">IFERROR(INDEX(J$56:J$1054,SMALL(IF(ISNUMBER(J$56:J$1054),ROW(J$1:J$999),""),ROW(J688))),"")</f>
        <v/>
      </c>
      <c r="N743" s="7"/>
      <c r="O743" s="7"/>
      <c r="P743" s="7"/>
      <c r="Q743" s="7">
        <f ca="1">IFERROR(IF(COUNTA(P$56:P743)=P$54,P743,FORECAST(D743,OFFSET(S$56:S$254,MATCH(D743,R$56:R$254,1)-1,0,2), OFFSET(R$56:R$254,MATCH(D743,R$56:R$254,1)-1,0,2))),"")</f>
        <v>0</v>
      </c>
      <c r="R743" s="7" t="str">
        <f t="array" ref="R743">IFERROR(INDEX(E$56:E$1054,SMALL(IF(ISNUMBER(P$56:P$1054),ROW(E$1:E$999),""),ROW(J688))),"")</f>
        <v/>
      </c>
      <c r="S743" s="7" t="str">
        <f t="array" ref="S743">IFERROR(INDEX(P$56:P$1054,SMALL(IF(ISNUMBER(P$56:P$1054),ROW(P$1:P$999),""),ROW(P688))),"")</f>
        <v/>
      </c>
      <c r="T743" s="7"/>
      <c r="U743" s="7"/>
      <c r="V743" s="7"/>
    </row>
    <row r="744" spans="1:22" x14ac:dyDescent="0.25">
      <c r="A744" s="6"/>
      <c r="B744" s="11"/>
      <c r="C744" s="12"/>
      <c r="D744" s="12"/>
      <c r="E744" s="8">
        <f t="shared" si="10"/>
        <v>0</v>
      </c>
      <c r="F744" s="10"/>
      <c r="G744" s="10"/>
      <c r="H744" s="9"/>
      <c r="I744" s="7"/>
      <c r="J744" s="7"/>
      <c r="K744" s="7">
        <f ca="1">IFERROR(IF(COUNTA(J$56:J744)=J$54,J744,FORECAST(D744,OFFSET(M$56:M$254,MATCH(D744,L$56:L$254,1)-1,0,2), OFFSET(L$56:L$254,MATCH(D744,L$56:L$254,1)-1,0,2))),"")</f>
        <v>0</v>
      </c>
      <c r="L744" s="7" t="str">
        <f t="array" ref="L744">IFERROR(INDEX(D$56:D$1054,SMALL(IF(ISNUMBER(J$56:J$1054),ROW(D$1:D$999),""),ROW(D689))),"")</f>
        <v/>
      </c>
      <c r="M744" s="7" t="str">
        <f t="array" ref="M744">IFERROR(INDEX(J$56:J$1054,SMALL(IF(ISNUMBER(J$56:J$1054),ROW(J$1:J$999),""),ROW(J689))),"")</f>
        <v/>
      </c>
      <c r="N744" s="7"/>
      <c r="O744" s="7"/>
      <c r="P744" s="7"/>
      <c r="Q744" s="7">
        <f ca="1">IFERROR(IF(COUNTA(P$56:P744)=P$54,P744,FORECAST(D744,OFFSET(S$56:S$254,MATCH(D744,R$56:R$254,1)-1,0,2), OFFSET(R$56:R$254,MATCH(D744,R$56:R$254,1)-1,0,2))),"")</f>
        <v>0</v>
      </c>
      <c r="R744" s="7" t="str">
        <f t="array" ref="R744">IFERROR(INDEX(E$56:E$1054,SMALL(IF(ISNUMBER(P$56:P$1054),ROW(E$1:E$999),""),ROW(J689))),"")</f>
        <v/>
      </c>
      <c r="S744" s="7" t="str">
        <f t="array" ref="S744">IFERROR(INDEX(P$56:P$1054,SMALL(IF(ISNUMBER(P$56:P$1054),ROW(P$1:P$999),""),ROW(P689))),"")</f>
        <v/>
      </c>
      <c r="T744" s="7"/>
      <c r="U744" s="7"/>
      <c r="V744" s="7"/>
    </row>
    <row r="745" spans="1:22" x14ac:dyDescent="0.25">
      <c r="A745" s="6"/>
      <c r="B745" s="11"/>
      <c r="C745" s="12"/>
      <c r="D745" s="12"/>
      <c r="E745" s="8">
        <f t="shared" si="10"/>
        <v>0</v>
      </c>
      <c r="F745" s="10"/>
      <c r="G745" s="10"/>
      <c r="H745" s="9"/>
      <c r="I745" s="7"/>
      <c r="J745" s="7"/>
      <c r="K745" s="7">
        <f ca="1">IFERROR(IF(COUNTA(J$56:J745)=J$54,J745,FORECAST(D745,OFFSET(M$56:M$254,MATCH(D745,L$56:L$254,1)-1,0,2), OFFSET(L$56:L$254,MATCH(D745,L$56:L$254,1)-1,0,2))),"")</f>
        <v>0</v>
      </c>
      <c r="L745" s="7" t="str">
        <f t="array" ref="L745">IFERROR(INDEX(D$56:D$1054,SMALL(IF(ISNUMBER(J$56:J$1054),ROW(D$1:D$999),""),ROW(D690))),"")</f>
        <v/>
      </c>
      <c r="M745" s="7" t="str">
        <f t="array" ref="M745">IFERROR(INDEX(J$56:J$1054,SMALL(IF(ISNUMBER(J$56:J$1054),ROW(J$1:J$999),""),ROW(J690))),"")</f>
        <v/>
      </c>
      <c r="N745" s="7"/>
      <c r="O745" s="7"/>
      <c r="P745" s="7"/>
      <c r="Q745" s="7">
        <f ca="1">IFERROR(IF(COUNTA(P$56:P745)=P$54,P745,FORECAST(D745,OFFSET(S$56:S$254,MATCH(D745,R$56:R$254,1)-1,0,2), OFFSET(R$56:R$254,MATCH(D745,R$56:R$254,1)-1,0,2))),"")</f>
        <v>0</v>
      </c>
      <c r="R745" s="7" t="str">
        <f t="array" ref="R745">IFERROR(INDEX(E$56:E$1054,SMALL(IF(ISNUMBER(P$56:P$1054),ROW(E$1:E$999),""),ROW(J690))),"")</f>
        <v/>
      </c>
      <c r="S745" s="7" t="str">
        <f t="array" ref="S745">IFERROR(INDEX(P$56:P$1054,SMALL(IF(ISNUMBER(P$56:P$1054),ROW(P$1:P$999),""),ROW(P690))),"")</f>
        <v/>
      </c>
      <c r="T745" s="7"/>
      <c r="U745" s="7"/>
      <c r="V745" s="7"/>
    </row>
    <row r="746" spans="1:22" x14ac:dyDescent="0.25">
      <c r="A746" s="6"/>
      <c r="B746" s="11"/>
      <c r="C746" s="12"/>
      <c r="D746" s="12"/>
      <c r="E746" s="8">
        <f t="shared" si="10"/>
        <v>0</v>
      </c>
      <c r="F746" s="10"/>
      <c r="G746" s="10"/>
      <c r="H746" s="9"/>
      <c r="I746" s="7"/>
      <c r="J746" s="7"/>
      <c r="K746" s="7">
        <f ca="1">IFERROR(IF(COUNTA(J$56:J746)=J$54,J746,FORECAST(D746,OFFSET(M$56:M$254,MATCH(D746,L$56:L$254,1)-1,0,2), OFFSET(L$56:L$254,MATCH(D746,L$56:L$254,1)-1,0,2))),"")</f>
        <v>0</v>
      </c>
      <c r="L746" s="7" t="str">
        <f t="array" ref="L746">IFERROR(INDEX(D$56:D$1054,SMALL(IF(ISNUMBER(J$56:J$1054),ROW(D$1:D$999),""),ROW(D691))),"")</f>
        <v/>
      </c>
      <c r="M746" s="7" t="str">
        <f t="array" ref="M746">IFERROR(INDEX(J$56:J$1054,SMALL(IF(ISNUMBER(J$56:J$1054),ROW(J$1:J$999),""),ROW(J691))),"")</f>
        <v/>
      </c>
      <c r="N746" s="7"/>
      <c r="O746" s="7"/>
      <c r="P746" s="7"/>
      <c r="Q746" s="7">
        <f ca="1">IFERROR(IF(COUNTA(P$56:P746)=P$54,P746,FORECAST(D746,OFFSET(S$56:S$254,MATCH(D746,R$56:R$254,1)-1,0,2), OFFSET(R$56:R$254,MATCH(D746,R$56:R$254,1)-1,0,2))),"")</f>
        <v>0</v>
      </c>
      <c r="R746" s="7" t="str">
        <f t="array" ref="R746">IFERROR(INDEX(E$56:E$1054,SMALL(IF(ISNUMBER(P$56:P$1054),ROW(E$1:E$999),""),ROW(J691))),"")</f>
        <v/>
      </c>
      <c r="S746" s="7" t="str">
        <f t="array" ref="S746">IFERROR(INDEX(P$56:P$1054,SMALL(IF(ISNUMBER(P$56:P$1054),ROW(P$1:P$999),""),ROW(P691))),"")</f>
        <v/>
      </c>
      <c r="T746" s="7"/>
      <c r="U746" s="7"/>
      <c r="V746" s="7"/>
    </row>
    <row r="747" spans="1:22" x14ac:dyDescent="0.25">
      <c r="A747" s="6"/>
      <c r="B747" s="11"/>
      <c r="C747" s="12"/>
      <c r="D747" s="12"/>
      <c r="E747" s="8">
        <f t="shared" si="10"/>
        <v>0</v>
      </c>
      <c r="F747" s="10"/>
      <c r="G747" s="10"/>
      <c r="H747" s="9"/>
      <c r="I747" s="7"/>
      <c r="J747" s="7"/>
      <c r="K747" s="7">
        <f ca="1">IFERROR(IF(COUNTA(J$56:J747)=J$54,J747,FORECAST(D747,OFFSET(M$56:M$254,MATCH(D747,L$56:L$254,1)-1,0,2), OFFSET(L$56:L$254,MATCH(D747,L$56:L$254,1)-1,0,2))),"")</f>
        <v>0</v>
      </c>
      <c r="L747" s="7" t="str">
        <f t="array" ref="L747">IFERROR(INDEX(D$56:D$1054,SMALL(IF(ISNUMBER(J$56:J$1054),ROW(D$1:D$999),""),ROW(D692))),"")</f>
        <v/>
      </c>
      <c r="M747" s="7" t="str">
        <f t="array" ref="M747">IFERROR(INDEX(J$56:J$1054,SMALL(IF(ISNUMBER(J$56:J$1054),ROW(J$1:J$999),""),ROW(J692))),"")</f>
        <v/>
      </c>
      <c r="N747" s="7"/>
      <c r="O747" s="7"/>
      <c r="P747" s="7"/>
      <c r="Q747" s="7">
        <f ca="1">IFERROR(IF(COUNTA(P$56:P747)=P$54,P747,FORECAST(D747,OFFSET(S$56:S$254,MATCH(D747,R$56:R$254,1)-1,0,2), OFFSET(R$56:R$254,MATCH(D747,R$56:R$254,1)-1,0,2))),"")</f>
        <v>0</v>
      </c>
      <c r="R747" s="7" t="str">
        <f t="array" ref="R747">IFERROR(INDEX(E$56:E$1054,SMALL(IF(ISNUMBER(P$56:P$1054),ROW(E$1:E$999),""),ROW(J692))),"")</f>
        <v/>
      </c>
      <c r="S747" s="7" t="str">
        <f t="array" ref="S747">IFERROR(INDEX(P$56:P$1054,SMALL(IF(ISNUMBER(P$56:P$1054),ROW(P$1:P$999),""),ROW(P692))),"")</f>
        <v/>
      </c>
      <c r="T747" s="7"/>
      <c r="U747" s="7"/>
      <c r="V747" s="7"/>
    </row>
    <row r="748" spans="1:22" x14ac:dyDescent="0.25">
      <c r="A748" s="6"/>
      <c r="B748" s="11"/>
      <c r="C748" s="12"/>
      <c r="D748" s="12"/>
      <c r="E748" s="8">
        <f t="shared" si="10"/>
        <v>0</v>
      </c>
      <c r="F748" s="10"/>
      <c r="G748" s="10"/>
      <c r="H748" s="9"/>
      <c r="I748" s="7"/>
      <c r="J748" s="7"/>
      <c r="K748" s="7">
        <f ca="1">IFERROR(IF(COUNTA(J$56:J748)=J$54,J748,FORECAST(D748,OFFSET(M$56:M$254,MATCH(D748,L$56:L$254,1)-1,0,2), OFFSET(L$56:L$254,MATCH(D748,L$56:L$254,1)-1,0,2))),"")</f>
        <v>0</v>
      </c>
      <c r="L748" s="7" t="str">
        <f t="array" ref="L748">IFERROR(INDEX(D$56:D$1054,SMALL(IF(ISNUMBER(J$56:J$1054),ROW(D$1:D$999),""),ROW(D693))),"")</f>
        <v/>
      </c>
      <c r="M748" s="7" t="str">
        <f t="array" ref="M748">IFERROR(INDEX(J$56:J$1054,SMALL(IF(ISNUMBER(J$56:J$1054),ROW(J$1:J$999),""),ROW(J693))),"")</f>
        <v/>
      </c>
      <c r="N748" s="7"/>
      <c r="O748" s="7"/>
      <c r="P748" s="7"/>
      <c r="Q748" s="7">
        <f ca="1">IFERROR(IF(COUNTA(P$56:P748)=P$54,P748,FORECAST(D748,OFFSET(S$56:S$254,MATCH(D748,R$56:R$254,1)-1,0,2), OFFSET(R$56:R$254,MATCH(D748,R$56:R$254,1)-1,0,2))),"")</f>
        <v>0</v>
      </c>
      <c r="R748" s="7" t="str">
        <f t="array" ref="R748">IFERROR(INDEX(E$56:E$1054,SMALL(IF(ISNUMBER(P$56:P$1054),ROW(E$1:E$999),""),ROW(J693))),"")</f>
        <v/>
      </c>
      <c r="S748" s="7" t="str">
        <f t="array" ref="S748">IFERROR(INDEX(P$56:P$1054,SMALL(IF(ISNUMBER(P$56:P$1054),ROW(P$1:P$999),""),ROW(P693))),"")</f>
        <v/>
      </c>
      <c r="T748" s="7"/>
      <c r="U748" s="7"/>
      <c r="V748" s="7"/>
    </row>
    <row r="749" spans="1:22" x14ac:dyDescent="0.25">
      <c r="A749" s="6"/>
      <c r="B749" s="11"/>
      <c r="C749" s="12"/>
      <c r="D749" s="12"/>
      <c r="E749" s="8">
        <f t="shared" si="10"/>
        <v>0</v>
      </c>
      <c r="F749" s="10"/>
      <c r="G749" s="10"/>
      <c r="H749" s="9"/>
      <c r="I749" s="7"/>
      <c r="J749" s="7"/>
      <c r="K749" s="7">
        <f ca="1">IFERROR(IF(COUNTA(J$56:J749)=J$54,J749,FORECAST(D749,OFFSET(M$56:M$254,MATCH(D749,L$56:L$254,1)-1,0,2), OFFSET(L$56:L$254,MATCH(D749,L$56:L$254,1)-1,0,2))),"")</f>
        <v>0</v>
      </c>
      <c r="L749" s="7" t="str">
        <f t="array" ref="L749">IFERROR(INDEX(D$56:D$1054,SMALL(IF(ISNUMBER(J$56:J$1054),ROW(D$1:D$999),""),ROW(D694))),"")</f>
        <v/>
      </c>
      <c r="M749" s="7" t="str">
        <f t="array" ref="M749">IFERROR(INDEX(J$56:J$1054,SMALL(IF(ISNUMBER(J$56:J$1054),ROW(J$1:J$999),""),ROW(J694))),"")</f>
        <v/>
      </c>
      <c r="N749" s="7"/>
      <c r="O749" s="7"/>
      <c r="P749" s="7"/>
      <c r="Q749" s="7">
        <f ca="1">IFERROR(IF(COUNTA(P$56:P749)=P$54,P749,FORECAST(D749,OFFSET(S$56:S$254,MATCH(D749,R$56:R$254,1)-1,0,2), OFFSET(R$56:R$254,MATCH(D749,R$56:R$254,1)-1,0,2))),"")</f>
        <v>0</v>
      </c>
      <c r="R749" s="7" t="str">
        <f t="array" ref="R749">IFERROR(INDEX(E$56:E$1054,SMALL(IF(ISNUMBER(P$56:P$1054),ROW(E$1:E$999),""),ROW(J694))),"")</f>
        <v/>
      </c>
      <c r="S749" s="7" t="str">
        <f t="array" ref="S749">IFERROR(INDEX(P$56:P$1054,SMALL(IF(ISNUMBER(P$56:P$1054),ROW(P$1:P$999),""),ROW(P694))),"")</f>
        <v/>
      </c>
      <c r="T749" s="7"/>
      <c r="U749" s="7"/>
      <c r="V749" s="7"/>
    </row>
    <row r="750" spans="1:22" x14ac:dyDescent="0.25">
      <c r="A750" s="6"/>
      <c r="B750" s="11"/>
      <c r="C750" s="12"/>
      <c r="D750" s="12"/>
      <c r="E750" s="8">
        <f t="shared" si="10"/>
        <v>0</v>
      </c>
      <c r="F750" s="10"/>
      <c r="G750" s="10"/>
      <c r="H750" s="9"/>
      <c r="I750" s="7"/>
      <c r="J750" s="7"/>
      <c r="K750" s="7">
        <f ca="1">IFERROR(IF(COUNTA(J$56:J750)=J$54,J750,FORECAST(D750,OFFSET(M$56:M$254,MATCH(D750,L$56:L$254,1)-1,0,2), OFFSET(L$56:L$254,MATCH(D750,L$56:L$254,1)-1,0,2))),"")</f>
        <v>0</v>
      </c>
      <c r="L750" s="7" t="str">
        <f t="array" ref="L750">IFERROR(INDEX(D$56:D$1054,SMALL(IF(ISNUMBER(J$56:J$1054),ROW(D$1:D$999),""),ROW(D695))),"")</f>
        <v/>
      </c>
      <c r="M750" s="7" t="str">
        <f t="array" ref="M750">IFERROR(INDEX(J$56:J$1054,SMALL(IF(ISNUMBER(J$56:J$1054),ROW(J$1:J$999),""),ROW(J695))),"")</f>
        <v/>
      </c>
      <c r="N750" s="7"/>
      <c r="O750" s="7"/>
      <c r="P750" s="7"/>
      <c r="Q750" s="7">
        <f ca="1">IFERROR(IF(COUNTA(P$56:P750)=P$54,P750,FORECAST(D750,OFFSET(S$56:S$254,MATCH(D750,R$56:R$254,1)-1,0,2), OFFSET(R$56:R$254,MATCH(D750,R$56:R$254,1)-1,0,2))),"")</f>
        <v>0</v>
      </c>
      <c r="R750" s="7" t="str">
        <f t="array" ref="R750">IFERROR(INDEX(E$56:E$1054,SMALL(IF(ISNUMBER(P$56:P$1054),ROW(E$1:E$999),""),ROW(J695))),"")</f>
        <v/>
      </c>
      <c r="S750" s="7" t="str">
        <f t="array" ref="S750">IFERROR(INDEX(P$56:P$1054,SMALL(IF(ISNUMBER(P$56:P$1054),ROW(P$1:P$999),""),ROW(P695))),"")</f>
        <v/>
      </c>
      <c r="T750" s="7"/>
      <c r="U750" s="7"/>
      <c r="V750" s="7"/>
    </row>
    <row r="751" spans="1:22" x14ac:dyDescent="0.25">
      <c r="A751" s="6"/>
      <c r="B751" s="11"/>
      <c r="C751" s="12"/>
      <c r="D751" s="12"/>
      <c r="E751" s="8">
        <f t="shared" si="10"/>
        <v>0</v>
      </c>
      <c r="F751" s="10"/>
      <c r="G751" s="10"/>
      <c r="H751" s="9"/>
      <c r="I751" s="7"/>
      <c r="J751" s="7"/>
      <c r="K751" s="7">
        <f ca="1">IFERROR(IF(COUNTA(J$56:J751)=J$54,J751,FORECAST(D751,OFFSET(M$56:M$254,MATCH(D751,L$56:L$254,1)-1,0,2), OFFSET(L$56:L$254,MATCH(D751,L$56:L$254,1)-1,0,2))),"")</f>
        <v>0</v>
      </c>
      <c r="L751" s="7" t="str">
        <f t="array" ref="L751">IFERROR(INDEX(D$56:D$1054,SMALL(IF(ISNUMBER(J$56:J$1054),ROW(D$1:D$999),""),ROW(D696))),"")</f>
        <v/>
      </c>
      <c r="M751" s="7" t="str">
        <f t="array" ref="M751">IFERROR(INDEX(J$56:J$1054,SMALL(IF(ISNUMBER(J$56:J$1054),ROW(J$1:J$999),""),ROW(J696))),"")</f>
        <v/>
      </c>
      <c r="N751" s="7"/>
      <c r="O751" s="7"/>
      <c r="P751" s="7"/>
      <c r="Q751" s="7">
        <f ca="1">IFERROR(IF(COUNTA(P$56:P751)=P$54,P751,FORECAST(D751,OFFSET(S$56:S$254,MATCH(D751,R$56:R$254,1)-1,0,2), OFFSET(R$56:R$254,MATCH(D751,R$56:R$254,1)-1,0,2))),"")</f>
        <v>0</v>
      </c>
      <c r="R751" s="7" t="str">
        <f t="array" ref="R751">IFERROR(INDEX(E$56:E$1054,SMALL(IF(ISNUMBER(P$56:P$1054),ROW(E$1:E$999),""),ROW(J696))),"")</f>
        <v/>
      </c>
      <c r="S751" s="7" t="str">
        <f t="array" ref="S751">IFERROR(INDEX(P$56:P$1054,SMALL(IF(ISNUMBER(P$56:P$1054),ROW(P$1:P$999),""),ROW(P696))),"")</f>
        <v/>
      </c>
      <c r="T751" s="7"/>
      <c r="U751" s="7"/>
      <c r="V751" s="7"/>
    </row>
    <row r="752" spans="1:22" x14ac:dyDescent="0.25">
      <c r="A752" s="6"/>
      <c r="B752" s="11"/>
      <c r="C752" s="12"/>
      <c r="D752" s="12"/>
      <c r="E752" s="8">
        <f t="shared" si="10"/>
        <v>0</v>
      </c>
      <c r="F752" s="10"/>
      <c r="G752" s="10"/>
      <c r="H752" s="9"/>
      <c r="I752" s="7"/>
      <c r="J752" s="7"/>
      <c r="K752" s="7">
        <f ca="1">IFERROR(IF(COUNTA(J$56:J752)=J$54,J752,FORECAST(D752,OFFSET(M$56:M$254,MATCH(D752,L$56:L$254,1)-1,0,2), OFFSET(L$56:L$254,MATCH(D752,L$56:L$254,1)-1,0,2))),"")</f>
        <v>0</v>
      </c>
      <c r="L752" s="7" t="str">
        <f t="array" ref="L752">IFERROR(INDEX(D$56:D$1054,SMALL(IF(ISNUMBER(J$56:J$1054),ROW(D$1:D$999),""),ROW(D697))),"")</f>
        <v/>
      </c>
      <c r="M752" s="7" t="str">
        <f t="array" ref="M752">IFERROR(INDEX(J$56:J$1054,SMALL(IF(ISNUMBER(J$56:J$1054),ROW(J$1:J$999),""),ROW(J697))),"")</f>
        <v/>
      </c>
      <c r="N752" s="7"/>
      <c r="O752" s="7"/>
      <c r="P752" s="7"/>
      <c r="Q752" s="7">
        <f ca="1">IFERROR(IF(COUNTA(P$56:P752)=P$54,P752,FORECAST(D752,OFFSET(S$56:S$254,MATCH(D752,R$56:R$254,1)-1,0,2), OFFSET(R$56:R$254,MATCH(D752,R$56:R$254,1)-1,0,2))),"")</f>
        <v>0</v>
      </c>
      <c r="R752" s="7" t="str">
        <f t="array" ref="R752">IFERROR(INDEX(E$56:E$1054,SMALL(IF(ISNUMBER(P$56:P$1054),ROW(E$1:E$999),""),ROW(J697))),"")</f>
        <v/>
      </c>
      <c r="S752" s="7" t="str">
        <f t="array" ref="S752">IFERROR(INDEX(P$56:P$1054,SMALL(IF(ISNUMBER(P$56:P$1054),ROW(P$1:P$999),""),ROW(P697))),"")</f>
        <v/>
      </c>
      <c r="T752" s="7"/>
      <c r="U752" s="7"/>
      <c r="V752" s="7"/>
    </row>
    <row r="753" spans="1:22" x14ac:dyDescent="0.25">
      <c r="A753" s="6"/>
      <c r="B753" s="11"/>
      <c r="C753" s="12"/>
      <c r="D753" s="12"/>
      <c r="E753" s="8">
        <f t="shared" si="10"/>
        <v>0</v>
      </c>
      <c r="F753" s="10"/>
      <c r="G753" s="10"/>
      <c r="H753" s="9"/>
      <c r="I753" s="7"/>
      <c r="J753" s="7"/>
      <c r="K753" s="7">
        <f ca="1">IFERROR(IF(COUNTA(J$56:J753)=J$54,J753,FORECAST(D753,OFFSET(M$56:M$254,MATCH(D753,L$56:L$254,1)-1,0,2), OFFSET(L$56:L$254,MATCH(D753,L$56:L$254,1)-1,0,2))),"")</f>
        <v>0</v>
      </c>
      <c r="L753" s="7" t="str">
        <f t="array" ref="L753">IFERROR(INDEX(D$56:D$1054,SMALL(IF(ISNUMBER(J$56:J$1054),ROW(D$1:D$999),""),ROW(D698))),"")</f>
        <v/>
      </c>
      <c r="M753" s="7" t="str">
        <f t="array" ref="M753">IFERROR(INDEX(J$56:J$1054,SMALL(IF(ISNUMBER(J$56:J$1054),ROW(J$1:J$999),""),ROW(J698))),"")</f>
        <v/>
      </c>
      <c r="N753" s="7"/>
      <c r="O753" s="7"/>
      <c r="P753" s="7"/>
      <c r="Q753" s="7">
        <f ca="1">IFERROR(IF(COUNTA(P$56:P753)=P$54,P753,FORECAST(D753,OFFSET(S$56:S$254,MATCH(D753,R$56:R$254,1)-1,0,2), OFFSET(R$56:R$254,MATCH(D753,R$56:R$254,1)-1,0,2))),"")</f>
        <v>0</v>
      </c>
      <c r="R753" s="7" t="str">
        <f t="array" ref="R753">IFERROR(INDEX(E$56:E$1054,SMALL(IF(ISNUMBER(P$56:P$1054),ROW(E$1:E$999),""),ROW(J698))),"")</f>
        <v/>
      </c>
      <c r="S753" s="7" t="str">
        <f t="array" ref="S753">IFERROR(INDEX(P$56:P$1054,SMALL(IF(ISNUMBER(P$56:P$1054),ROW(P$1:P$999),""),ROW(P698))),"")</f>
        <v/>
      </c>
      <c r="T753" s="7"/>
      <c r="U753" s="7"/>
      <c r="V753" s="7"/>
    </row>
    <row r="754" spans="1:22" x14ac:dyDescent="0.25">
      <c r="A754" s="6"/>
      <c r="B754" s="11"/>
      <c r="C754" s="12"/>
      <c r="D754" s="12"/>
      <c r="E754" s="8">
        <f t="shared" si="10"/>
        <v>0</v>
      </c>
      <c r="F754" s="10"/>
      <c r="G754" s="10"/>
      <c r="H754" s="9"/>
      <c r="I754" s="7"/>
      <c r="J754" s="7"/>
      <c r="K754" s="7">
        <f ca="1">IFERROR(IF(COUNTA(J$56:J754)=J$54,J754,FORECAST(D754,OFFSET(M$56:M$254,MATCH(D754,L$56:L$254,1)-1,0,2), OFFSET(L$56:L$254,MATCH(D754,L$56:L$254,1)-1,0,2))),"")</f>
        <v>0</v>
      </c>
      <c r="L754" s="7" t="str">
        <f t="array" ref="L754">IFERROR(INDEX(D$56:D$1054,SMALL(IF(ISNUMBER(J$56:J$1054),ROW(D$1:D$999),""),ROW(D699))),"")</f>
        <v/>
      </c>
      <c r="M754" s="7" t="str">
        <f t="array" ref="M754">IFERROR(INDEX(J$56:J$1054,SMALL(IF(ISNUMBER(J$56:J$1054),ROW(J$1:J$999),""),ROW(J699))),"")</f>
        <v/>
      </c>
      <c r="N754" s="7"/>
      <c r="O754" s="7"/>
      <c r="P754" s="7"/>
      <c r="Q754" s="7">
        <f ca="1">IFERROR(IF(COUNTA(P$56:P754)=P$54,P754,FORECAST(D754,OFFSET(S$56:S$254,MATCH(D754,R$56:R$254,1)-1,0,2), OFFSET(R$56:R$254,MATCH(D754,R$56:R$254,1)-1,0,2))),"")</f>
        <v>0</v>
      </c>
      <c r="R754" s="7" t="str">
        <f t="array" ref="R754">IFERROR(INDEX(E$56:E$1054,SMALL(IF(ISNUMBER(P$56:P$1054),ROW(E$1:E$999),""),ROW(J699))),"")</f>
        <v/>
      </c>
      <c r="S754" s="7" t="str">
        <f t="array" ref="S754">IFERROR(INDEX(P$56:P$1054,SMALL(IF(ISNUMBER(P$56:P$1054),ROW(P$1:P$999),""),ROW(P699))),"")</f>
        <v/>
      </c>
      <c r="T754" s="7"/>
      <c r="U754" s="7"/>
      <c r="V754" s="7"/>
    </row>
    <row r="755" spans="1:22" x14ac:dyDescent="0.25">
      <c r="A755" s="6"/>
      <c r="B755" s="11"/>
      <c r="C755" s="12"/>
      <c r="D755" s="12"/>
      <c r="E755" s="8">
        <f t="shared" si="10"/>
        <v>0</v>
      </c>
      <c r="F755" s="10"/>
      <c r="G755" s="10"/>
      <c r="H755" s="9"/>
      <c r="I755" s="7"/>
      <c r="J755" s="7"/>
      <c r="K755" s="7">
        <f ca="1">IFERROR(IF(COUNTA(J$56:J755)=J$54,J755,FORECAST(D755,OFFSET(M$56:M$254,MATCH(D755,L$56:L$254,1)-1,0,2), OFFSET(L$56:L$254,MATCH(D755,L$56:L$254,1)-1,0,2))),"")</f>
        <v>0</v>
      </c>
      <c r="L755" s="7" t="str">
        <f t="array" ref="L755">IFERROR(INDEX(D$56:D$1054,SMALL(IF(ISNUMBER(J$56:J$1054),ROW(D$1:D$999),""),ROW(D700))),"")</f>
        <v/>
      </c>
      <c r="M755" s="7" t="str">
        <f t="array" ref="M755">IFERROR(INDEX(J$56:J$1054,SMALL(IF(ISNUMBER(J$56:J$1054),ROW(J$1:J$999),""),ROW(J700))),"")</f>
        <v/>
      </c>
      <c r="N755" s="7"/>
      <c r="O755" s="7"/>
      <c r="P755" s="7"/>
      <c r="Q755" s="7">
        <f ca="1">IFERROR(IF(COUNTA(P$56:P755)=P$54,P755,FORECAST(D755,OFFSET(S$56:S$254,MATCH(D755,R$56:R$254,1)-1,0,2), OFFSET(R$56:R$254,MATCH(D755,R$56:R$254,1)-1,0,2))),"")</f>
        <v>0</v>
      </c>
      <c r="R755" s="7" t="str">
        <f t="array" ref="R755">IFERROR(INDEX(E$56:E$1054,SMALL(IF(ISNUMBER(P$56:P$1054),ROW(E$1:E$999),""),ROW(J700))),"")</f>
        <v/>
      </c>
      <c r="S755" s="7" t="str">
        <f t="array" ref="S755">IFERROR(INDEX(P$56:P$1054,SMALL(IF(ISNUMBER(P$56:P$1054),ROW(P$1:P$999),""),ROW(P700))),"")</f>
        <v/>
      </c>
      <c r="T755" s="7"/>
      <c r="U755" s="7"/>
      <c r="V755" s="7"/>
    </row>
    <row r="756" spans="1:22" x14ac:dyDescent="0.25">
      <c r="A756" s="6"/>
      <c r="B756" s="11"/>
      <c r="C756" s="12"/>
      <c r="D756" s="12"/>
      <c r="E756" s="8">
        <f t="shared" si="10"/>
        <v>0</v>
      </c>
      <c r="F756" s="10"/>
      <c r="G756" s="10"/>
      <c r="H756" s="9"/>
      <c r="I756" s="7"/>
      <c r="J756" s="7"/>
      <c r="K756" s="7">
        <f ca="1">IFERROR(IF(COUNTA(J$56:J756)=J$54,J756,FORECAST(D756,OFFSET(M$56:M$254,MATCH(D756,L$56:L$254,1)-1,0,2), OFFSET(L$56:L$254,MATCH(D756,L$56:L$254,1)-1,0,2))),"")</f>
        <v>0</v>
      </c>
      <c r="L756" s="7" t="str">
        <f t="array" ref="L756">IFERROR(INDEX(D$56:D$1054,SMALL(IF(ISNUMBER(J$56:J$1054),ROW(D$1:D$999),""),ROW(D701))),"")</f>
        <v/>
      </c>
      <c r="M756" s="7" t="str">
        <f t="array" ref="M756">IFERROR(INDEX(J$56:J$1054,SMALL(IF(ISNUMBER(J$56:J$1054),ROW(J$1:J$999),""),ROW(J701))),"")</f>
        <v/>
      </c>
      <c r="N756" s="7"/>
      <c r="O756" s="7"/>
      <c r="P756" s="7"/>
      <c r="Q756" s="7">
        <f ca="1">IFERROR(IF(COUNTA(P$56:P756)=P$54,P756,FORECAST(D756,OFFSET(S$56:S$254,MATCH(D756,R$56:R$254,1)-1,0,2), OFFSET(R$56:R$254,MATCH(D756,R$56:R$254,1)-1,0,2))),"")</f>
        <v>0</v>
      </c>
      <c r="R756" s="7" t="str">
        <f t="array" ref="R756">IFERROR(INDEX(E$56:E$1054,SMALL(IF(ISNUMBER(P$56:P$1054),ROW(E$1:E$999),""),ROW(J701))),"")</f>
        <v/>
      </c>
      <c r="S756" s="7" t="str">
        <f t="array" ref="S756">IFERROR(INDEX(P$56:P$1054,SMALL(IF(ISNUMBER(P$56:P$1054),ROW(P$1:P$999),""),ROW(P701))),"")</f>
        <v/>
      </c>
      <c r="T756" s="7"/>
      <c r="U756" s="7"/>
      <c r="V756" s="7"/>
    </row>
    <row r="757" spans="1:22" x14ac:dyDescent="0.25">
      <c r="A757" s="6"/>
      <c r="B757" s="11"/>
      <c r="C757" s="12"/>
      <c r="D757" s="12"/>
      <c r="E757" s="8">
        <f t="shared" si="10"/>
        <v>0</v>
      </c>
      <c r="F757" s="10"/>
      <c r="G757" s="10"/>
      <c r="H757" s="9"/>
      <c r="I757" s="7"/>
      <c r="J757" s="7"/>
      <c r="K757" s="7">
        <f ca="1">IFERROR(IF(COUNTA(J$56:J757)=J$54,J757,FORECAST(D757,OFFSET(M$56:M$254,MATCH(D757,L$56:L$254,1)-1,0,2), OFFSET(L$56:L$254,MATCH(D757,L$56:L$254,1)-1,0,2))),"")</f>
        <v>0</v>
      </c>
      <c r="L757" s="7" t="str">
        <f t="array" ref="L757">IFERROR(INDEX(D$56:D$1054,SMALL(IF(ISNUMBER(J$56:J$1054),ROW(D$1:D$999),""),ROW(D702))),"")</f>
        <v/>
      </c>
      <c r="M757" s="7" t="str">
        <f t="array" ref="M757">IFERROR(INDEX(J$56:J$1054,SMALL(IF(ISNUMBER(J$56:J$1054),ROW(J$1:J$999),""),ROW(J702))),"")</f>
        <v/>
      </c>
      <c r="N757" s="7"/>
      <c r="O757" s="7"/>
      <c r="P757" s="7"/>
      <c r="Q757" s="7">
        <f ca="1">IFERROR(IF(COUNTA(P$56:P757)=P$54,P757,FORECAST(D757,OFFSET(S$56:S$254,MATCH(D757,R$56:R$254,1)-1,0,2), OFFSET(R$56:R$254,MATCH(D757,R$56:R$254,1)-1,0,2))),"")</f>
        <v>0</v>
      </c>
      <c r="R757" s="7" t="str">
        <f t="array" ref="R757">IFERROR(INDEX(E$56:E$1054,SMALL(IF(ISNUMBER(P$56:P$1054),ROW(E$1:E$999),""),ROW(J702))),"")</f>
        <v/>
      </c>
      <c r="S757" s="7" t="str">
        <f t="array" ref="S757">IFERROR(INDEX(P$56:P$1054,SMALL(IF(ISNUMBER(P$56:P$1054),ROW(P$1:P$999),""),ROW(P702))),"")</f>
        <v/>
      </c>
      <c r="T757" s="7"/>
      <c r="U757" s="7"/>
      <c r="V757" s="7"/>
    </row>
    <row r="758" spans="1:22" x14ac:dyDescent="0.25">
      <c r="A758" s="6"/>
      <c r="B758" s="11"/>
      <c r="C758" s="12"/>
      <c r="D758" s="12"/>
      <c r="E758" s="8">
        <f t="shared" si="10"/>
        <v>0</v>
      </c>
      <c r="F758" s="10"/>
      <c r="G758" s="10"/>
      <c r="H758" s="9"/>
      <c r="I758" s="7"/>
      <c r="J758" s="7"/>
      <c r="K758" s="7">
        <f ca="1">IFERROR(IF(COUNTA(J$56:J758)=J$54,J758,FORECAST(D758,OFFSET(M$56:M$254,MATCH(D758,L$56:L$254,1)-1,0,2), OFFSET(L$56:L$254,MATCH(D758,L$56:L$254,1)-1,0,2))),"")</f>
        <v>0</v>
      </c>
      <c r="L758" s="7" t="str">
        <f t="array" ref="L758">IFERROR(INDEX(D$56:D$1054,SMALL(IF(ISNUMBER(J$56:J$1054),ROW(D$1:D$999),""),ROW(D703))),"")</f>
        <v/>
      </c>
      <c r="M758" s="7" t="str">
        <f t="array" ref="M758">IFERROR(INDEX(J$56:J$1054,SMALL(IF(ISNUMBER(J$56:J$1054),ROW(J$1:J$999),""),ROW(J703))),"")</f>
        <v/>
      </c>
      <c r="N758" s="7"/>
      <c r="O758" s="7"/>
      <c r="P758" s="7"/>
      <c r="Q758" s="7">
        <f ca="1">IFERROR(IF(COUNTA(P$56:P758)=P$54,P758,FORECAST(D758,OFFSET(S$56:S$254,MATCH(D758,R$56:R$254,1)-1,0,2), OFFSET(R$56:R$254,MATCH(D758,R$56:R$254,1)-1,0,2))),"")</f>
        <v>0</v>
      </c>
      <c r="R758" s="7" t="str">
        <f t="array" ref="R758">IFERROR(INDEX(E$56:E$1054,SMALL(IF(ISNUMBER(P$56:P$1054),ROW(E$1:E$999),""),ROW(J703))),"")</f>
        <v/>
      </c>
      <c r="S758" s="7" t="str">
        <f t="array" ref="S758">IFERROR(INDEX(P$56:P$1054,SMALL(IF(ISNUMBER(P$56:P$1054),ROW(P$1:P$999),""),ROW(P703))),"")</f>
        <v/>
      </c>
      <c r="T758" s="7"/>
      <c r="U758" s="7"/>
      <c r="V758" s="7"/>
    </row>
    <row r="759" spans="1:22" x14ac:dyDescent="0.25">
      <c r="A759" s="6"/>
      <c r="B759" s="11"/>
      <c r="C759" s="12"/>
      <c r="D759" s="12"/>
      <c r="E759" s="8">
        <f t="shared" si="10"/>
        <v>0</v>
      </c>
      <c r="F759" s="10"/>
      <c r="G759" s="10"/>
      <c r="H759" s="9"/>
      <c r="I759" s="7"/>
      <c r="J759" s="7"/>
      <c r="K759" s="7">
        <f ca="1">IFERROR(IF(COUNTA(J$56:J759)=J$54,J759,FORECAST(D759,OFFSET(M$56:M$254,MATCH(D759,L$56:L$254,1)-1,0,2), OFFSET(L$56:L$254,MATCH(D759,L$56:L$254,1)-1,0,2))),"")</f>
        <v>0</v>
      </c>
      <c r="L759" s="7" t="str">
        <f t="array" ref="L759">IFERROR(INDEX(D$56:D$1054,SMALL(IF(ISNUMBER(J$56:J$1054),ROW(D$1:D$999),""),ROW(D704))),"")</f>
        <v/>
      </c>
      <c r="M759" s="7" t="str">
        <f t="array" ref="M759">IFERROR(INDEX(J$56:J$1054,SMALL(IF(ISNUMBER(J$56:J$1054),ROW(J$1:J$999),""),ROW(J704))),"")</f>
        <v/>
      </c>
      <c r="N759" s="7"/>
      <c r="O759" s="7"/>
      <c r="P759" s="7"/>
      <c r="Q759" s="7">
        <f ca="1">IFERROR(IF(COUNTA(P$56:P759)=P$54,P759,FORECAST(D759,OFFSET(S$56:S$254,MATCH(D759,R$56:R$254,1)-1,0,2), OFFSET(R$56:R$254,MATCH(D759,R$56:R$254,1)-1,0,2))),"")</f>
        <v>0</v>
      </c>
      <c r="R759" s="7" t="str">
        <f t="array" ref="R759">IFERROR(INDEX(E$56:E$1054,SMALL(IF(ISNUMBER(P$56:P$1054),ROW(E$1:E$999),""),ROW(J704))),"")</f>
        <v/>
      </c>
      <c r="S759" s="7" t="str">
        <f t="array" ref="S759">IFERROR(INDEX(P$56:P$1054,SMALL(IF(ISNUMBER(P$56:P$1054),ROW(P$1:P$999),""),ROW(P704))),"")</f>
        <v/>
      </c>
      <c r="T759" s="7"/>
      <c r="U759" s="7"/>
      <c r="V759" s="7"/>
    </row>
    <row r="760" spans="1:22" x14ac:dyDescent="0.25">
      <c r="A760" s="6"/>
      <c r="B760" s="11"/>
      <c r="C760" s="12"/>
      <c r="D760" s="12"/>
      <c r="E760" s="8">
        <f t="shared" si="10"/>
        <v>0</v>
      </c>
      <c r="F760" s="10"/>
      <c r="G760" s="10"/>
      <c r="H760" s="9"/>
      <c r="I760" s="7"/>
      <c r="J760" s="7"/>
      <c r="K760" s="7">
        <f ca="1">IFERROR(IF(COUNTA(J$56:J760)=J$54,J760,FORECAST(D760,OFFSET(M$56:M$254,MATCH(D760,L$56:L$254,1)-1,0,2), OFFSET(L$56:L$254,MATCH(D760,L$56:L$254,1)-1,0,2))),"")</f>
        <v>0</v>
      </c>
      <c r="L760" s="7" t="str">
        <f t="array" ref="L760">IFERROR(INDEX(D$56:D$1054,SMALL(IF(ISNUMBER(J$56:J$1054),ROW(D$1:D$999),""),ROW(D705))),"")</f>
        <v/>
      </c>
      <c r="M760" s="7" t="str">
        <f t="array" ref="M760">IFERROR(INDEX(J$56:J$1054,SMALL(IF(ISNUMBER(J$56:J$1054),ROW(J$1:J$999),""),ROW(J705))),"")</f>
        <v/>
      </c>
      <c r="N760" s="7"/>
      <c r="O760" s="7"/>
      <c r="P760" s="7"/>
      <c r="Q760" s="7">
        <f ca="1">IFERROR(IF(COUNTA(P$56:P760)=P$54,P760,FORECAST(D760,OFFSET(S$56:S$254,MATCH(D760,R$56:R$254,1)-1,0,2), OFFSET(R$56:R$254,MATCH(D760,R$56:R$254,1)-1,0,2))),"")</f>
        <v>0</v>
      </c>
      <c r="R760" s="7" t="str">
        <f t="array" ref="R760">IFERROR(INDEX(E$56:E$1054,SMALL(IF(ISNUMBER(P$56:P$1054),ROW(E$1:E$999),""),ROW(J705))),"")</f>
        <v/>
      </c>
      <c r="S760" s="7" t="str">
        <f t="array" ref="S760">IFERROR(INDEX(P$56:P$1054,SMALL(IF(ISNUMBER(P$56:P$1054),ROW(P$1:P$999),""),ROW(P705))),"")</f>
        <v/>
      </c>
      <c r="T760" s="7"/>
      <c r="U760" s="7"/>
      <c r="V760" s="7"/>
    </row>
    <row r="761" spans="1:22" x14ac:dyDescent="0.25">
      <c r="A761" s="6"/>
      <c r="B761" s="11"/>
      <c r="C761" s="12"/>
      <c r="D761" s="12"/>
      <c r="E761" s="8">
        <f t="shared" si="10"/>
        <v>0</v>
      </c>
      <c r="F761" s="10"/>
      <c r="G761" s="10"/>
      <c r="H761" s="9"/>
      <c r="I761" s="7"/>
      <c r="J761" s="7"/>
      <c r="K761" s="7">
        <f ca="1">IFERROR(IF(COUNTA(J$56:J761)=J$54,J761,FORECAST(D761,OFFSET(M$56:M$254,MATCH(D761,L$56:L$254,1)-1,0,2), OFFSET(L$56:L$254,MATCH(D761,L$56:L$254,1)-1,0,2))),"")</f>
        <v>0</v>
      </c>
      <c r="L761" s="7" t="str">
        <f t="array" ref="L761">IFERROR(INDEX(D$56:D$1054,SMALL(IF(ISNUMBER(J$56:J$1054),ROW(D$1:D$999),""),ROW(D706))),"")</f>
        <v/>
      </c>
      <c r="M761" s="7" t="str">
        <f t="array" ref="M761">IFERROR(INDEX(J$56:J$1054,SMALL(IF(ISNUMBER(J$56:J$1054),ROW(J$1:J$999),""),ROW(J706))),"")</f>
        <v/>
      </c>
      <c r="N761" s="7"/>
      <c r="O761" s="7"/>
      <c r="P761" s="7"/>
      <c r="Q761" s="7">
        <f ca="1">IFERROR(IF(COUNTA(P$56:P761)=P$54,P761,FORECAST(D761,OFFSET(S$56:S$254,MATCH(D761,R$56:R$254,1)-1,0,2), OFFSET(R$56:R$254,MATCH(D761,R$56:R$254,1)-1,0,2))),"")</f>
        <v>0</v>
      </c>
      <c r="R761" s="7" t="str">
        <f t="array" ref="R761">IFERROR(INDEX(E$56:E$1054,SMALL(IF(ISNUMBER(P$56:P$1054),ROW(E$1:E$999),""),ROW(J706))),"")</f>
        <v/>
      </c>
      <c r="S761" s="7" t="str">
        <f t="array" ref="S761">IFERROR(INDEX(P$56:P$1054,SMALL(IF(ISNUMBER(P$56:P$1054),ROW(P$1:P$999),""),ROW(P706))),"")</f>
        <v/>
      </c>
      <c r="T761" s="7"/>
      <c r="U761" s="7"/>
      <c r="V761" s="7"/>
    </row>
    <row r="762" spans="1:22" x14ac:dyDescent="0.25">
      <c r="A762" s="6"/>
      <c r="B762" s="11"/>
      <c r="C762" s="12"/>
      <c r="D762" s="12"/>
      <c r="E762" s="8">
        <f t="shared" ref="E762:E825" si="11">IF(NOT(ISBLANK(D762)),D762+C$54,0)</f>
        <v>0</v>
      </c>
      <c r="F762" s="10"/>
      <c r="G762" s="10"/>
      <c r="H762" s="9"/>
      <c r="I762" s="7"/>
      <c r="J762" s="7"/>
      <c r="K762" s="7">
        <f ca="1">IFERROR(IF(COUNTA(J$56:J762)=J$54,J762,FORECAST(D762,OFFSET(M$56:M$254,MATCH(D762,L$56:L$254,1)-1,0,2), OFFSET(L$56:L$254,MATCH(D762,L$56:L$254,1)-1,0,2))),"")</f>
        <v>0</v>
      </c>
      <c r="L762" s="7" t="str">
        <f t="array" ref="L762">IFERROR(INDEX(D$56:D$1054,SMALL(IF(ISNUMBER(J$56:J$1054),ROW(D$1:D$999),""),ROW(D707))),"")</f>
        <v/>
      </c>
      <c r="M762" s="7" t="str">
        <f t="array" ref="M762">IFERROR(INDEX(J$56:J$1054,SMALL(IF(ISNUMBER(J$56:J$1054),ROW(J$1:J$999),""),ROW(J707))),"")</f>
        <v/>
      </c>
      <c r="N762" s="7"/>
      <c r="O762" s="7"/>
      <c r="P762" s="7"/>
      <c r="Q762" s="7">
        <f ca="1">IFERROR(IF(COUNTA(P$56:P762)=P$54,P762,FORECAST(D762,OFFSET(S$56:S$254,MATCH(D762,R$56:R$254,1)-1,0,2), OFFSET(R$56:R$254,MATCH(D762,R$56:R$254,1)-1,0,2))),"")</f>
        <v>0</v>
      </c>
      <c r="R762" s="7" t="str">
        <f t="array" ref="R762">IFERROR(INDEX(E$56:E$1054,SMALL(IF(ISNUMBER(P$56:P$1054),ROW(E$1:E$999),""),ROW(J707))),"")</f>
        <v/>
      </c>
      <c r="S762" s="7" t="str">
        <f t="array" ref="S762">IFERROR(INDEX(P$56:P$1054,SMALL(IF(ISNUMBER(P$56:P$1054),ROW(P$1:P$999),""),ROW(P707))),"")</f>
        <v/>
      </c>
      <c r="T762" s="7"/>
      <c r="U762" s="7"/>
      <c r="V762" s="7"/>
    </row>
    <row r="763" spans="1:22" x14ac:dyDescent="0.25">
      <c r="A763" s="6"/>
      <c r="B763" s="11"/>
      <c r="C763" s="12"/>
      <c r="D763" s="12"/>
      <c r="E763" s="8">
        <f t="shared" si="11"/>
        <v>0</v>
      </c>
      <c r="F763" s="10"/>
      <c r="G763" s="10"/>
      <c r="H763" s="9"/>
      <c r="I763" s="7"/>
      <c r="J763" s="7"/>
      <c r="K763" s="7">
        <f ca="1">IFERROR(IF(COUNTA(J$56:J763)=J$54,J763,FORECAST(D763,OFFSET(M$56:M$254,MATCH(D763,L$56:L$254,1)-1,0,2), OFFSET(L$56:L$254,MATCH(D763,L$56:L$254,1)-1,0,2))),"")</f>
        <v>0</v>
      </c>
      <c r="L763" s="7" t="str">
        <f t="array" ref="L763">IFERROR(INDEX(D$56:D$1054,SMALL(IF(ISNUMBER(J$56:J$1054),ROW(D$1:D$999),""),ROW(D708))),"")</f>
        <v/>
      </c>
      <c r="M763" s="7" t="str">
        <f t="array" ref="M763">IFERROR(INDEX(J$56:J$1054,SMALL(IF(ISNUMBER(J$56:J$1054),ROW(J$1:J$999),""),ROW(J708))),"")</f>
        <v/>
      </c>
      <c r="N763" s="7"/>
      <c r="O763" s="7"/>
      <c r="P763" s="7"/>
      <c r="Q763" s="7">
        <f ca="1">IFERROR(IF(COUNTA(P$56:P763)=P$54,P763,FORECAST(D763,OFFSET(S$56:S$254,MATCH(D763,R$56:R$254,1)-1,0,2), OFFSET(R$56:R$254,MATCH(D763,R$56:R$254,1)-1,0,2))),"")</f>
        <v>0</v>
      </c>
      <c r="R763" s="7" t="str">
        <f t="array" ref="R763">IFERROR(INDEX(E$56:E$1054,SMALL(IF(ISNUMBER(P$56:P$1054),ROW(E$1:E$999),""),ROW(J708))),"")</f>
        <v/>
      </c>
      <c r="S763" s="7" t="str">
        <f t="array" ref="S763">IFERROR(INDEX(P$56:P$1054,SMALL(IF(ISNUMBER(P$56:P$1054),ROW(P$1:P$999),""),ROW(P708))),"")</f>
        <v/>
      </c>
      <c r="T763" s="7"/>
      <c r="U763" s="7"/>
      <c r="V763" s="7"/>
    </row>
    <row r="764" spans="1:22" x14ac:dyDescent="0.25">
      <c r="A764" s="6"/>
      <c r="B764" s="11"/>
      <c r="C764" s="12"/>
      <c r="D764" s="12"/>
      <c r="E764" s="8">
        <f t="shared" si="11"/>
        <v>0</v>
      </c>
      <c r="F764" s="10"/>
      <c r="G764" s="10"/>
      <c r="H764" s="9"/>
      <c r="I764" s="7"/>
      <c r="J764" s="7"/>
      <c r="K764" s="7">
        <f ca="1">IFERROR(IF(COUNTA(J$56:J764)=J$54,J764,FORECAST(D764,OFFSET(M$56:M$254,MATCH(D764,L$56:L$254,1)-1,0,2), OFFSET(L$56:L$254,MATCH(D764,L$56:L$254,1)-1,0,2))),"")</f>
        <v>0</v>
      </c>
      <c r="L764" s="7" t="str">
        <f t="array" ref="L764">IFERROR(INDEX(D$56:D$1054,SMALL(IF(ISNUMBER(J$56:J$1054),ROW(D$1:D$999),""),ROW(D709))),"")</f>
        <v/>
      </c>
      <c r="M764" s="7" t="str">
        <f t="array" ref="M764">IFERROR(INDEX(J$56:J$1054,SMALL(IF(ISNUMBER(J$56:J$1054),ROW(J$1:J$999),""),ROW(J709))),"")</f>
        <v/>
      </c>
      <c r="N764" s="7"/>
      <c r="O764" s="7"/>
      <c r="P764" s="7"/>
      <c r="Q764" s="7">
        <f ca="1">IFERROR(IF(COUNTA(P$56:P764)=P$54,P764,FORECAST(D764,OFFSET(S$56:S$254,MATCH(D764,R$56:R$254,1)-1,0,2), OFFSET(R$56:R$254,MATCH(D764,R$56:R$254,1)-1,0,2))),"")</f>
        <v>0</v>
      </c>
      <c r="R764" s="7" t="str">
        <f t="array" ref="R764">IFERROR(INDEX(E$56:E$1054,SMALL(IF(ISNUMBER(P$56:P$1054),ROW(E$1:E$999),""),ROW(J709))),"")</f>
        <v/>
      </c>
      <c r="S764" s="7" t="str">
        <f t="array" ref="S764">IFERROR(INDEX(P$56:P$1054,SMALL(IF(ISNUMBER(P$56:P$1054),ROW(P$1:P$999),""),ROW(P709))),"")</f>
        <v/>
      </c>
      <c r="T764" s="7"/>
      <c r="U764" s="7"/>
      <c r="V764" s="7"/>
    </row>
    <row r="765" spans="1:22" x14ac:dyDescent="0.25">
      <c r="A765" s="6"/>
      <c r="B765" s="11"/>
      <c r="C765" s="12"/>
      <c r="D765" s="12"/>
      <c r="E765" s="8">
        <f t="shared" si="11"/>
        <v>0</v>
      </c>
      <c r="F765" s="10"/>
      <c r="G765" s="10"/>
      <c r="H765" s="9"/>
      <c r="I765" s="7"/>
      <c r="J765" s="7"/>
      <c r="K765" s="7">
        <f ca="1">IFERROR(IF(COUNTA(J$56:J765)=J$54,J765,FORECAST(D765,OFFSET(M$56:M$254,MATCH(D765,L$56:L$254,1)-1,0,2), OFFSET(L$56:L$254,MATCH(D765,L$56:L$254,1)-1,0,2))),"")</f>
        <v>0</v>
      </c>
      <c r="L765" s="7" t="str">
        <f t="array" ref="L765">IFERROR(INDEX(D$56:D$1054,SMALL(IF(ISNUMBER(J$56:J$1054),ROW(D$1:D$999),""),ROW(D710))),"")</f>
        <v/>
      </c>
      <c r="M765" s="7" t="str">
        <f t="array" ref="M765">IFERROR(INDEX(J$56:J$1054,SMALL(IF(ISNUMBER(J$56:J$1054),ROW(J$1:J$999),""),ROW(J710))),"")</f>
        <v/>
      </c>
      <c r="N765" s="7"/>
      <c r="O765" s="7"/>
      <c r="P765" s="7"/>
      <c r="Q765" s="7">
        <f ca="1">IFERROR(IF(COUNTA(P$56:P765)=P$54,P765,FORECAST(D765,OFFSET(S$56:S$254,MATCH(D765,R$56:R$254,1)-1,0,2), OFFSET(R$56:R$254,MATCH(D765,R$56:R$254,1)-1,0,2))),"")</f>
        <v>0</v>
      </c>
      <c r="R765" s="7" t="str">
        <f t="array" ref="R765">IFERROR(INDEX(E$56:E$1054,SMALL(IF(ISNUMBER(P$56:P$1054),ROW(E$1:E$999),""),ROW(J710))),"")</f>
        <v/>
      </c>
      <c r="S765" s="7" t="str">
        <f t="array" ref="S765">IFERROR(INDEX(P$56:P$1054,SMALL(IF(ISNUMBER(P$56:P$1054),ROW(P$1:P$999),""),ROW(P710))),"")</f>
        <v/>
      </c>
      <c r="T765" s="7"/>
      <c r="U765" s="7"/>
      <c r="V765" s="7"/>
    </row>
    <row r="766" spans="1:22" x14ac:dyDescent="0.25">
      <c r="A766" s="6"/>
      <c r="B766" s="11"/>
      <c r="C766" s="12"/>
      <c r="D766" s="12"/>
      <c r="E766" s="8">
        <f t="shared" si="11"/>
        <v>0</v>
      </c>
      <c r="F766" s="10"/>
      <c r="G766" s="10"/>
      <c r="H766" s="9"/>
      <c r="I766" s="7"/>
      <c r="J766" s="7"/>
      <c r="K766" s="7">
        <f ca="1">IFERROR(IF(COUNTA(J$56:J766)=J$54,J766,FORECAST(D766,OFFSET(M$56:M$254,MATCH(D766,L$56:L$254,1)-1,0,2), OFFSET(L$56:L$254,MATCH(D766,L$56:L$254,1)-1,0,2))),"")</f>
        <v>0</v>
      </c>
      <c r="L766" s="7" t="str">
        <f t="array" ref="L766">IFERROR(INDEX(D$56:D$1054,SMALL(IF(ISNUMBER(J$56:J$1054),ROW(D$1:D$999),""),ROW(D711))),"")</f>
        <v/>
      </c>
      <c r="M766" s="7" t="str">
        <f t="array" ref="M766">IFERROR(INDEX(J$56:J$1054,SMALL(IF(ISNUMBER(J$56:J$1054),ROW(J$1:J$999),""),ROW(J711))),"")</f>
        <v/>
      </c>
      <c r="N766" s="7"/>
      <c r="O766" s="7"/>
      <c r="P766" s="7"/>
      <c r="Q766" s="7">
        <f ca="1">IFERROR(IF(COUNTA(P$56:P766)=P$54,P766,FORECAST(D766,OFFSET(S$56:S$254,MATCH(D766,R$56:R$254,1)-1,0,2), OFFSET(R$56:R$254,MATCH(D766,R$56:R$254,1)-1,0,2))),"")</f>
        <v>0</v>
      </c>
      <c r="R766" s="7" t="str">
        <f t="array" ref="R766">IFERROR(INDEX(E$56:E$1054,SMALL(IF(ISNUMBER(P$56:P$1054),ROW(E$1:E$999),""),ROW(J711))),"")</f>
        <v/>
      </c>
      <c r="S766" s="7" t="str">
        <f t="array" ref="S766">IFERROR(INDEX(P$56:P$1054,SMALL(IF(ISNUMBER(P$56:P$1054),ROW(P$1:P$999),""),ROW(P711))),"")</f>
        <v/>
      </c>
      <c r="T766" s="7"/>
      <c r="U766" s="7"/>
      <c r="V766" s="7"/>
    </row>
    <row r="767" spans="1:22" x14ac:dyDescent="0.25">
      <c r="A767" s="6"/>
      <c r="B767" s="11"/>
      <c r="C767" s="12"/>
      <c r="D767" s="12"/>
      <c r="E767" s="8">
        <f t="shared" si="11"/>
        <v>0</v>
      </c>
      <c r="F767" s="10"/>
      <c r="G767" s="10"/>
      <c r="H767" s="9"/>
      <c r="I767" s="7"/>
      <c r="J767" s="7"/>
      <c r="K767" s="7">
        <f ca="1">IFERROR(IF(COUNTA(J$56:J767)=J$54,J767,FORECAST(D767,OFFSET(M$56:M$254,MATCH(D767,L$56:L$254,1)-1,0,2), OFFSET(L$56:L$254,MATCH(D767,L$56:L$254,1)-1,0,2))),"")</f>
        <v>0</v>
      </c>
      <c r="L767" s="7" t="str">
        <f t="array" ref="L767">IFERROR(INDEX(D$56:D$1054,SMALL(IF(ISNUMBER(J$56:J$1054),ROW(D$1:D$999),""),ROW(D712))),"")</f>
        <v/>
      </c>
      <c r="M767" s="7" t="str">
        <f t="array" ref="M767">IFERROR(INDEX(J$56:J$1054,SMALL(IF(ISNUMBER(J$56:J$1054),ROW(J$1:J$999),""),ROW(J712))),"")</f>
        <v/>
      </c>
      <c r="N767" s="7"/>
      <c r="O767" s="7"/>
      <c r="P767" s="7"/>
      <c r="Q767" s="7">
        <f ca="1">IFERROR(IF(COUNTA(P$56:P767)=P$54,P767,FORECAST(D767,OFFSET(S$56:S$254,MATCH(D767,R$56:R$254,1)-1,0,2), OFFSET(R$56:R$254,MATCH(D767,R$56:R$254,1)-1,0,2))),"")</f>
        <v>0</v>
      </c>
      <c r="R767" s="7" t="str">
        <f t="array" ref="R767">IFERROR(INDEX(E$56:E$1054,SMALL(IF(ISNUMBER(P$56:P$1054),ROW(E$1:E$999),""),ROW(J712))),"")</f>
        <v/>
      </c>
      <c r="S767" s="7" t="str">
        <f t="array" ref="S767">IFERROR(INDEX(P$56:P$1054,SMALL(IF(ISNUMBER(P$56:P$1054),ROW(P$1:P$999),""),ROW(P712))),"")</f>
        <v/>
      </c>
      <c r="T767" s="7"/>
      <c r="U767" s="7"/>
      <c r="V767" s="7"/>
    </row>
    <row r="768" spans="1:22" x14ac:dyDescent="0.25">
      <c r="A768" s="6"/>
      <c r="B768" s="11"/>
      <c r="C768" s="12"/>
      <c r="D768" s="12"/>
      <c r="E768" s="8">
        <f t="shared" si="11"/>
        <v>0</v>
      </c>
      <c r="F768" s="10"/>
      <c r="G768" s="10"/>
      <c r="H768" s="9"/>
      <c r="I768" s="7"/>
      <c r="J768" s="7"/>
      <c r="K768" s="7">
        <f ca="1">IFERROR(IF(COUNTA(J$56:J768)=J$54,J768,FORECAST(D768,OFFSET(M$56:M$254,MATCH(D768,L$56:L$254,1)-1,0,2), OFFSET(L$56:L$254,MATCH(D768,L$56:L$254,1)-1,0,2))),"")</f>
        <v>0</v>
      </c>
      <c r="L768" s="7" t="str">
        <f t="array" ref="L768">IFERROR(INDEX(D$56:D$1054,SMALL(IF(ISNUMBER(J$56:J$1054),ROW(D$1:D$999),""),ROW(D713))),"")</f>
        <v/>
      </c>
      <c r="M768" s="7" t="str">
        <f t="array" ref="M768">IFERROR(INDEX(J$56:J$1054,SMALL(IF(ISNUMBER(J$56:J$1054),ROW(J$1:J$999),""),ROW(J713))),"")</f>
        <v/>
      </c>
      <c r="N768" s="7"/>
      <c r="O768" s="7"/>
      <c r="P768" s="7"/>
      <c r="Q768" s="7">
        <f ca="1">IFERROR(IF(COUNTA(P$56:P768)=P$54,P768,FORECAST(D768,OFFSET(S$56:S$254,MATCH(D768,R$56:R$254,1)-1,0,2), OFFSET(R$56:R$254,MATCH(D768,R$56:R$254,1)-1,0,2))),"")</f>
        <v>0</v>
      </c>
      <c r="R768" s="7" t="str">
        <f t="array" ref="R768">IFERROR(INDEX(E$56:E$1054,SMALL(IF(ISNUMBER(P$56:P$1054),ROW(E$1:E$999),""),ROW(J713))),"")</f>
        <v/>
      </c>
      <c r="S768" s="7" t="str">
        <f t="array" ref="S768">IFERROR(INDEX(P$56:P$1054,SMALL(IF(ISNUMBER(P$56:P$1054),ROW(P$1:P$999),""),ROW(P713))),"")</f>
        <v/>
      </c>
      <c r="T768" s="7"/>
      <c r="U768" s="7"/>
      <c r="V768" s="7"/>
    </row>
    <row r="769" spans="1:22" x14ac:dyDescent="0.25">
      <c r="A769" s="6"/>
      <c r="B769" s="11"/>
      <c r="C769" s="12"/>
      <c r="D769" s="12"/>
      <c r="E769" s="8">
        <f t="shared" si="11"/>
        <v>0</v>
      </c>
      <c r="F769" s="10"/>
      <c r="G769" s="10"/>
      <c r="H769" s="9"/>
      <c r="I769" s="7"/>
      <c r="J769" s="7"/>
      <c r="K769" s="7">
        <f ca="1">IFERROR(IF(COUNTA(J$56:J769)=J$54,J769,FORECAST(D769,OFFSET(M$56:M$254,MATCH(D769,L$56:L$254,1)-1,0,2), OFFSET(L$56:L$254,MATCH(D769,L$56:L$254,1)-1,0,2))),"")</f>
        <v>0</v>
      </c>
      <c r="L769" s="7" t="str">
        <f t="array" ref="L769">IFERROR(INDEX(D$56:D$1054,SMALL(IF(ISNUMBER(J$56:J$1054),ROW(D$1:D$999),""),ROW(D714))),"")</f>
        <v/>
      </c>
      <c r="M769" s="7" t="str">
        <f t="array" ref="M769">IFERROR(INDEX(J$56:J$1054,SMALL(IF(ISNUMBER(J$56:J$1054),ROW(J$1:J$999),""),ROW(J714))),"")</f>
        <v/>
      </c>
      <c r="N769" s="7"/>
      <c r="O769" s="7"/>
      <c r="P769" s="7"/>
      <c r="Q769" s="7">
        <f ca="1">IFERROR(IF(COUNTA(P$56:P769)=P$54,P769,FORECAST(D769,OFFSET(S$56:S$254,MATCH(D769,R$56:R$254,1)-1,0,2), OFFSET(R$56:R$254,MATCH(D769,R$56:R$254,1)-1,0,2))),"")</f>
        <v>0</v>
      </c>
      <c r="R769" s="7" t="str">
        <f t="array" ref="R769">IFERROR(INDEX(E$56:E$1054,SMALL(IF(ISNUMBER(P$56:P$1054),ROW(E$1:E$999),""),ROW(J714))),"")</f>
        <v/>
      </c>
      <c r="S769" s="7" t="str">
        <f t="array" ref="S769">IFERROR(INDEX(P$56:P$1054,SMALL(IF(ISNUMBER(P$56:P$1054),ROW(P$1:P$999),""),ROW(P714))),"")</f>
        <v/>
      </c>
      <c r="T769" s="7"/>
      <c r="U769" s="7"/>
      <c r="V769" s="7"/>
    </row>
    <row r="770" spans="1:22" x14ac:dyDescent="0.25">
      <c r="A770" s="6"/>
      <c r="B770" s="11"/>
      <c r="C770" s="12"/>
      <c r="D770" s="12"/>
      <c r="E770" s="8">
        <f t="shared" si="11"/>
        <v>0</v>
      </c>
      <c r="F770" s="10"/>
      <c r="G770" s="10"/>
      <c r="H770" s="9"/>
      <c r="I770" s="7"/>
      <c r="J770" s="7"/>
      <c r="K770" s="7">
        <f ca="1">IFERROR(IF(COUNTA(J$56:J770)=J$54,J770,FORECAST(D770,OFFSET(M$56:M$254,MATCH(D770,L$56:L$254,1)-1,0,2), OFFSET(L$56:L$254,MATCH(D770,L$56:L$254,1)-1,0,2))),"")</f>
        <v>0</v>
      </c>
      <c r="L770" s="7" t="str">
        <f t="array" ref="L770">IFERROR(INDEX(D$56:D$1054,SMALL(IF(ISNUMBER(J$56:J$1054),ROW(D$1:D$999),""),ROW(D715))),"")</f>
        <v/>
      </c>
      <c r="M770" s="7" t="str">
        <f t="array" ref="M770">IFERROR(INDEX(J$56:J$1054,SMALL(IF(ISNUMBER(J$56:J$1054),ROW(J$1:J$999),""),ROW(J715))),"")</f>
        <v/>
      </c>
      <c r="N770" s="7"/>
      <c r="O770" s="7"/>
      <c r="P770" s="7"/>
      <c r="Q770" s="7">
        <f ca="1">IFERROR(IF(COUNTA(P$56:P770)=P$54,P770,FORECAST(D770,OFFSET(S$56:S$254,MATCH(D770,R$56:R$254,1)-1,0,2), OFFSET(R$56:R$254,MATCH(D770,R$56:R$254,1)-1,0,2))),"")</f>
        <v>0</v>
      </c>
      <c r="R770" s="7" t="str">
        <f t="array" ref="R770">IFERROR(INDEX(E$56:E$1054,SMALL(IF(ISNUMBER(P$56:P$1054),ROW(E$1:E$999),""),ROW(J715))),"")</f>
        <v/>
      </c>
      <c r="S770" s="7" t="str">
        <f t="array" ref="S770">IFERROR(INDEX(P$56:P$1054,SMALL(IF(ISNUMBER(P$56:P$1054),ROW(P$1:P$999),""),ROW(P715))),"")</f>
        <v/>
      </c>
      <c r="T770" s="7"/>
      <c r="U770" s="7"/>
      <c r="V770" s="7"/>
    </row>
    <row r="771" spans="1:22" x14ac:dyDescent="0.25">
      <c r="A771" s="6"/>
      <c r="B771" s="11"/>
      <c r="C771" s="12"/>
      <c r="D771" s="12"/>
      <c r="E771" s="8">
        <f t="shared" si="11"/>
        <v>0</v>
      </c>
      <c r="F771" s="10"/>
      <c r="G771" s="10"/>
      <c r="H771" s="9"/>
      <c r="I771" s="7"/>
      <c r="J771" s="7"/>
      <c r="K771" s="7">
        <f ca="1">IFERROR(IF(COUNTA(J$56:J771)=J$54,J771,FORECAST(D771,OFFSET(M$56:M$254,MATCH(D771,L$56:L$254,1)-1,0,2), OFFSET(L$56:L$254,MATCH(D771,L$56:L$254,1)-1,0,2))),"")</f>
        <v>0</v>
      </c>
      <c r="L771" s="7" t="str">
        <f t="array" ref="L771">IFERROR(INDEX(D$56:D$1054,SMALL(IF(ISNUMBER(J$56:J$1054),ROW(D$1:D$999),""),ROW(D716))),"")</f>
        <v/>
      </c>
      <c r="M771" s="7" t="str">
        <f t="array" ref="M771">IFERROR(INDEX(J$56:J$1054,SMALL(IF(ISNUMBER(J$56:J$1054),ROW(J$1:J$999),""),ROW(J716))),"")</f>
        <v/>
      </c>
      <c r="N771" s="7"/>
      <c r="O771" s="7"/>
      <c r="P771" s="7"/>
      <c r="Q771" s="7">
        <f ca="1">IFERROR(IF(COUNTA(P$56:P771)=P$54,P771,FORECAST(D771,OFFSET(S$56:S$254,MATCH(D771,R$56:R$254,1)-1,0,2), OFFSET(R$56:R$254,MATCH(D771,R$56:R$254,1)-1,0,2))),"")</f>
        <v>0</v>
      </c>
      <c r="R771" s="7" t="str">
        <f t="array" ref="R771">IFERROR(INDEX(E$56:E$1054,SMALL(IF(ISNUMBER(P$56:P$1054),ROW(E$1:E$999),""),ROW(J716))),"")</f>
        <v/>
      </c>
      <c r="S771" s="7" t="str">
        <f t="array" ref="S771">IFERROR(INDEX(P$56:P$1054,SMALL(IF(ISNUMBER(P$56:P$1054),ROW(P$1:P$999),""),ROW(P716))),"")</f>
        <v/>
      </c>
      <c r="T771" s="7"/>
      <c r="U771" s="7"/>
      <c r="V771" s="7"/>
    </row>
    <row r="772" spans="1:22" x14ac:dyDescent="0.25">
      <c r="A772" s="6"/>
      <c r="B772" s="11"/>
      <c r="C772" s="12"/>
      <c r="D772" s="12"/>
      <c r="E772" s="8">
        <f t="shared" si="11"/>
        <v>0</v>
      </c>
      <c r="F772" s="10"/>
      <c r="G772" s="10"/>
      <c r="H772" s="9"/>
      <c r="I772" s="7"/>
      <c r="J772" s="7"/>
      <c r="K772" s="7">
        <f ca="1">IFERROR(IF(COUNTA(J$56:J772)=J$54,J772,FORECAST(D772,OFFSET(M$56:M$254,MATCH(D772,L$56:L$254,1)-1,0,2), OFFSET(L$56:L$254,MATCH(D772,L$56:L$254,1)-1,0,2))),"")</f>
        <v>0</v>
      </c>
      <c r="L772" s="7" t="str">
        <f t="array" ref="L772">IFERROR(INDEX(D$56:D$1054,SMALL(IF(ISNUMBER(J$56:J$1054),ROW(D$1:D$999),""),ROW(D717))),"")</f>
        <v/>
      </c>
      <c r="M772" s="7" t="str">
        <f t="array" ref="M772">IFERROR(INDEX(J$56:J$1054,SMALL(IF(ISNUMBER(J$56:J$1054),ROW(J$1:J$999),""),ROW(J717))),"")</f>
        <v/>
      </c>
      <c r="N772" s="7"/>
      <c r="O772" s="7"/>
      <c r="P772" s="7"/>
      <c r="Q772" s="7">
        <f ca="1">IFERROR(IF(COUNTA(P$56:P772)=P$54,P772,FORECAST(D772,OFFSET(S$56:S$254,MATCH(D772,R$56:R$254,1)-1,0,2), OFFSET(R$56:R$254,MATCH(D772,R$56:R$254,1)-1,0,2))),"")</f>
        <v>0</v>
      </c>
      <c r="R772" s="7" t="str">
        <f t="array" ref="R772">IFERROR(INDEX(E$56:E$1054,SMALL(IF(ISNUMBER(P$56:P$1054),ROW(E$1:E$999),""),ROW(J717))),"")</f>
        <v/>
      </c>
      <c r="S772" s="7" t="str">
        <f t="array" ref="S772">IFERROR(INDEX(P$56:P$1054,SMALL(IF(ISNUMBER(P$56:P$1054),ROW(P$1:P$999),""),ROW(P717))),"")</f>
        <v/>
      </c>
      <c r="T772" s="7"/>
      <c r="U772" s="7"/>
      <c r="V772" s="7"/>
    </row>
    <row r="773" spans="1:22" x14ac:dyDescent="0.25">
      <c r="A773" s="6"/>
      <c r="B773" s="11"/>
      <c r="C773" s="12"/>
      <c r="D773" s="12"/>
      <c r="E773" s="8">
        <f t="shared" si="11"/>
        <v>0</v>
      </c>
      <c r="F773" s="10"/>
      <c r="G773" s="10"/>
      <c r="H773" s="9"/>
      <c r="I773" s="7"/>
      <c r="J773" s="7"/>
      <c r="K773" s="7">
        <f ca="1">IFERROR(IF(COUNTA(J$56:J773)=J$54,J773,FORECAST(D773,OFFSET(M$56:M$254,MATCH(D773,L$56:L$254,1)-1,0,2), OFFSET(L$56:L$254,MATCH(D773,L$56:L$254,1)-1,0,2))),"")</f>
        <v>0</v>
      </c>
      <c r="L773" s="7" t="str">
        <f t="array" ref="L773">IFERROR(INDEX(D$56:D$1054,SMALL(IF(ISNUMBER(J$56:J$1054),ROW(D$1:D$999),""),ROW(D718))),"")</f>
        <v/>
      </c>
      <c r="M773" s="7" t="str">
        <f t="array" ref="M773">IFERROR(INDEX(J$56:J$1054,SMALL(IF(ISNUMBER(J$56:J$1054),ROW(J$1:J$999),""),ROW(J718))),"")</f>
        <v/>
      </c>
      <c r="N773" s="7"/>
      <c r="O773" s="7"/>
      <c r="P773" s="7"/>
      <c r="Q773" s="7">
        <f ca="1">IFERROR(IF(COUNTA(P$56:P773)=P$54,P773,FORECAST(D773,OFFSET(S$56:S$254,MATCH(D773,R$56:R$254,1)-1,0,2), OFFSET(R$56:R$254,MATCH(D773,R$56:R$254,1)-1,0,2))),"")</f>
        <v>0</v>
      </c>
      <c r="R773" s="7" t="str">
        <f t="array" ref="R773">IFERROR(INDEX(E$56:E$1054,SMALL(IF(ISNUMBER(P$56:P$1054),ROW(E$1:E$999),""),ROW(J718))),"")</f>
        <v/>
      </c>
      <c r="S773" s="7" t="str">
        <f t="array" ref="S773">IFERROR(INDEX(P$56:P$1054,SMALL(IF(ISNUMBER(P$56:P$1054),ROW(P$1:P$999),""),ROW(P718))),"")</f>
        <v/>
      </c>
      <c r="T773" s="7"/>
      <c r="U773" s="7"/>
      <c r="V773" s="7"/>
    </row>
    <row r="774" spans="1:22" x14ac:dyDescent="0.25">
      <c r="A774" s="6"/>
      <c r="B774" s="11"/>
      <c r="C774" s="12"/>
      <c r="D774" s="12"/>
      <c r="E774" s="8">
        <f t="shared" si="11"/>
        <v>0</v>
      </c>
      <c r="F774" s="10"/>
      <c r="G774" s="10"/>
      <c r="H774" s="9"/>
      <c r="I774" s="7"/>
      <c r="J774" s="7"/>
      <c r="K774" s="7">
        <f ca="1">IFERROR(IF(COUNTA(J$56:J774)=J$54,J774,FORECAST(D774,OFFSET(M$56:M$254,MATCH(D774,L$56:L$254,1)-1,0,2), OFFSET(L$56:L$254,MATCH(D774,L$56:L$254,1)-1,0,2))),"")</f>
        <v>0</v>
      </c>
      <c r="L774" s="7" t="str">
        <f t="array" ref="L774">IFERROR(INDEX(D$56:D$1054,SMALL(IF(ISNUMBER(J$56:J$1054),ROW(D$1:D$999),""),ROW(D719))),"")</f>
        <v/>
      </c>
      <c r="M774" s="7" t="str">
        <f t="array" ref="M774">IFERROR(INDEX(J$56:J$1054,SMALL(IF(ISNUMBER(J$56:J$1054),ROW(J$1:J$999),""),ROW(J719))),"")</f>
        <v/>
      </c>
      <c r="N774" s="7"/>
      <c r="O774" s="7"/>
      <c r="P774" s="7"/>
      <c r="Q774" s="7">
        <f ca="1">IFERROR(IF(COUNTA(P$56:P774)=P$54,P774,FORECAST(D774,OFFSET(S$56:S$254,MATCH(D774,R$56:R$254,1)-1,0,2), OFFSET(R$56:R$254,MATCH(D774,R$56:R$254,1)-1,0,2))),"")</f>
        <v>0</v>
      </c>
      <c r="R774" s="7" t="str">
        <f t="array" ref="R774">IFERROR(INDEX(E$56:E$1054,SMALL(IF(ISNUMBER(P$56:P$1054),ROW(E$1:E$999),""),ROW(J719))),"")</f>
        <v/>
      </c>
      <c r="S774" s="7" t="str">
        <f t="array" ref="S774">IFERROR(INDEX(P$56:P$1054,SMALL(IF(ISNUMBER(P$56:P$1054),ROW(P$1:P$999),""),ROW(P719))),"")</f>
        <v/>
      </c>
      <c r="T774" s="7"/>
      <c r="U774" s="7"/>
      <c r="V774" s="7"/>
    </row>
    <row r="775" spans="1:22" x14ac:dyDescent="0.25">
      <c r="A775" s="6"/>
      <c r="B775" s="11"/>
      <c r="C775" s="12"/>
      <c r="D775" s="12"/>
      <c r="E775" s="8">
        <f t="shared" si="11"/>
        <v>0</v>
      </c>
      <c r="F775" s="10"/>
      <c r="G775" s="10"/>
      <c r="H775" s="9"/>
      <c r="I775" s="7"/>
      <c r="J775" s="7"/>
      <c r="K775" s="7">
        <f ca="1">IFERROR(IF(COUNTA(J$56:J775)=J$54,J775,FORECAST(D775,OFFSET(M$56:M$254,MATCH(D775,L$56:L$254,1)-1,0,2), OFFSET(L$56:L$254,MATCH(D775,L$56:L$254,1)-1,0,2))),"")</f>
        <v>0</v>
      </c>
      <c r="L775" s="7" t="str">
        <f t="array" ref="L775">IFERROR(INDEX(D$56:D$1054,SMALL(IF(ISNUMBER(J$56:J$1054),ROW(D$1:D$999),""),ROW(D720))),"")</f>
        <v/>
      </c>
      <c r="M775" s="7" t="str">
        <f t="array" ref="M775">IFERROR(INDEX(J$56:J$1054,SMALL(IF(ISNUMBER(J$56:J$1054),ROW(J$1:J$999),""),ROW(J720))),"")</f>
        <v/>
      </c>
      <c r="N775" s="7"/>
      <c r="O775" s="7"/>
      <c r="P775" s="7"/>
      <c r="Q775" s="7">
        <f ca="1">IFERROR(IF(COUNTA(P$56:P775)=P$54,P775,FORECAST(D775,OFFSET(S$56:S$254,MATCH(D775,R$56:R$254,1)-1,0,2), OFFSET(R$56:R$254,MATCH(D775,R$56:R$254,1)-1,0,2))),"")</f>
        <v>0</v>
      </c>
      <c r="R775" s="7" t="str">
        <f t="array" ref="R775">IFERROR(INDEX(E$56:E$1054,SMALL(IF(ISNUMBER(P$56:P$1054),ROW(E$1:E$999),""),ROW(J720))),"")</f>
        <v/>
      </c>
      <c r="S775" s="7" t="str">
        <f t="array" ref="S775">IFERROR(INDEX(P$56:P$1054,SMALL(IF(ISNUMBER(P$56:P$1054),ROW(P$1:P$999),""),ROW(P720))),"")</f>
        <v/>
      </c>
      <c r="T775" s="7"/>
      <c r="U775" s="7"/>
      <c r="V775" s="7"/>
    </row>
    <row r="776" spans="1:22" x14ac:dyDescent="0.25">
      <c r="A776" s="6"/>
      <c r="B776" s="11"/>
      <c r="C776" s="12"/>
      <c r="D776" s="12"/>
      <c r="E776" s="8">
        <f t="shared" si="11"/>
        <v>0</v>
      </c>
      <c r="F776" s="10"/>
      <c r="G776" s="10"/>
      <c r="H776" s="9"/>
      <c r="I776" s="7"/>
      <c r="J776" s="7"/>
      <c r="K776" s="7">
        <f ca="1">IFERROR(IF(COUNTA(J$56:J776)=J$54,J776,FORECAST(D776,OFFSET(M$56:M$254,MATCH(D776,L$56:L$254,1)-1,0,2), OFFSET(L$56:L$254,MATCH(D776,L$56:L$254,1)-1,0,2))),"")</f>
        <v>0</v>
      </c>
      <c r="L776" s="7" t="str">
        <f t="array" ref="L776">IFERROR(INDEX(D$56:D$1054,SMALL(IF(ISNUMBER(J$56:J$1054),ROW(D$1:D$999),""),ROW(D721))),"")</f>
        <v/>
      </c>
      <c r="M776" s="7" t="str">
        <f t="array" ref="M776">IFERROR(INDEX(J$56:J$1054,SMALL(IF(ISNUMBER(J$56:J$1054),ROW(J$1:J$999),""),ROW(J721))),"")</f>
        <v/>
      </c>
      <c r="N776" s="7"/>
      <c r="O776" s="7"/>
      <c r="P776" s="7"/>
      <c r="Q776" s="7">
        <f ca="1">IFERROR(IF(COUNTA(P$56:P776)=P$54,P776,FORECAST(D776,OFFSET(S$56:S$254,MATCH(D776,R$56:R$254,1)-1,0,2), OFFSET(R$56:R$254,MATCH(D776,R$56:R$254,1)-1,0,2))),"")</f>
        <v>0</v>
      </c>
      <c r="R776" s="7" t="str">
        <f t="array" ref="R776">IFERROR(INDEX(E$56:E$1054,SMALL(IF(ISNUMBER(P$56:P$1054),ROW(E$1:E$999),""),ROW(J721))),"")</f>
        <v/>
      </c>
      <c r="S776" s="7" t="str">
        <f t="array" ref="S776">IFERROR(INDEX(P$56:P$1054,SMALL(IF(ISNUMBER(P$56:P$1054),ROW(P$1:P$999),""),ROW(P721))),"")</f>
        <v/>
      </c>
      <c r="T776" s="7"/>
      <c r="U776" s="7"/>
      <c r="V776" s="7"/>
    </row>
    <row r="777" spans="1:22" x14ac:dyDescent="0.25">
      <c r="A777" s="6"/>
      <c r="B777" s="11"/>
      <c r="C777" s="12"/>
      <c r="D777" s="12"/>
      <c r="E777" s="8">
        <f t="shared" si="11"/>
        <v>0</v>
      </c>
      <c r="F777" s="10"/>
      <c r="G777" s="10"/>
      <c r="H777" s="9"/>
      <c r="I777" s="7"/>
      <c r="J777" s="7"/>
      <c r="K777" s="7">
        <f ca="1">IFERROR(IF(COUNTA(J$56:J777)=J$54,J777,FORECAST(D777,OFFSET(M$56:M$254,MATCH(D777,L$56:L$254,1)-1,0,2), OFFSET(L$56:L$254,MATCH(D777,L$56:L$254,1)-1,0,2))),"")</f>
        <v>0</v>
      </c>
      <c r="L777" s="7" t="str">
        <f t="array" ref="L777">IFERROR(INDEX(D$56:D$1054,SMALL(IF(ISNUMBER(J$56:J$1054),ROW(D$1:D$999),""),ROW(D722))),"")</f>
        <v/>
      </c>
      <c r="M777" s="7" t="str">
        <f t="array" ref="M777">IFERROR(INDEX(J$56:J$1054,SMALL(IF(ISNUMBER(J$56:J$1054),ROW(J$1:J$999),""),ROW(J722))),"")</f>
        <v/>
      </c>
      <c r="N777" s="7"/>
      <c r="O777" s="7"/>
      <c r="P777" s="7"/>
      <c r="Q777" s="7">
        <f ca="1">IFERROR(IF(COUNTA(P$56:P777)=P$54,P777,FORECAST(D777,OFFSET(S$56:S$254,MATCH(D777,R$56:R$254,1)-1,0,2), OFFSET(R$56:R$254,MATCH(D777,R$56:R$254,1)-1,0,2))),"")</f>
        <v>0</v>
      </c>
      <c r="R777" s="7" t="str">
        <f t="array" ref="R777">IFERROR(INDEX(E$56:E$1054,SMALL(IF(ISNUMBER(P$56:P$1054),ROW(E$1:E$999),""),ROW(J722))),"")</f>
        <v/>
      </c>
      <c r="S777" s="7" t="str">
        <f t="array" ref="S777">IFERROR(INDEX(P$56:P$1054,SMALL(IF(ISNUMBER(P$56:P$1054),ROW(P$1:P$999),""),ROW(P722))),"")</f>
        <v/>
      </c>
      <c r="T777" s="7"/>
      <c r="U777" s="7"/>
      <c r="V777" s="7"/>
    </row>
    <row r="778" spans="1:22" x14ac:dyDescent="0.25">
      <c r="A778" s="6"/>
      <c r="B778" s="11"/>
      <c r="C778" s="12"/>
      <c r="D778" s="12"/>
      <c r="E778" s="8">
        <f t="shared" si="11"/>
        <v>0</v>
      </c>
      <c r="F778" s="10"/>
      <c r="G778" s="10"/>
      <c r="H778" s="9"/>
      <c r="I778" s="7"/>
      <c r="J778" s="7"/>
      <c r="K778" s="7">
        <f ca="1">IFERROR(IF(COUNTA(J$56:J778)=J$54,J778,FORECAST(D778,OFFSET(M$56:M$254,MATCH(D778,L$56:L$254,1)-1,0,2), OFFSET(L$56:L$254,MATCH(D778,L$56:L$254,1)-1,0,2))),"")</f>
        <v>0</v>
      </c>
      <c r="L778" s="7" t="str">
        <f t="array" ref="L778">IFERROR(INDEX(D$56:D$1054,SMALL(IF(ISNUMBER(J$56:J$1054),ROW(D$1:D$999),""),ROW(D723))),"")</f>
        <v/>
      </c>
      <c r="M778" s="7" t="str">
        <f t="array" ref="M778">IFERROR(INDEX(J$56:J$1054,SMALL(IF(ISNUMBER(J$56:J$1054),ROW(J$1:J$999),""),ROW(J723))),"")</f>
        <v/>
      </c>
      <c r="N778" s="7"/>
      <c r="O778" s="7"/>
      <c r="P778" s="7"/>
      <c r="Q778" s="7">
        <f ca="1">IFERROR(IF(COUNTA(P$56:P778)=P$54,P778,FORECAST(D778,OFFSET(S$56:S$254,MATCH(D778,R$56:R$254,1)-1,0,2), OFFSET(R$56:R$254,MATCH(D778,R$56:R$254,1)-1,0,2))),"")</f>
        <v>0</v>
      </c>
      <c r="R778" s="7" t="str">
        <f t="array" ref="R778">IFERROR(INDEX(E$56:E$1054,SMALL(IF(ISNUMBER(P$56:P$1054),ROW(E$1:E$999),""),ROW(J723))),"")</f>
        <v/>
      </c>
      <c r="S778" s="7" t="str">
        <f t="array" ref="S778">IFERROR(INDEX(P$56:P$1054,SMALL(IF(ISNUMBER(P$56:P$1054),ROW(P$1:P$999),""),ROW(P723))),"")</f>
        <v/>
      </c>
      <c r="T778" s="7"/>
      <c r="U778" s="7"/>
      <c r="V778" s="7"/>
    </row>
    <row r="779" spans="1:22" x14ac:dyDescent="0.25">
      <c r="A779" s="6"/>
      <c r="B779" s="11"/>
      <c r="C779" s="12"/>
      <c r="D779" s="12"/>
      <c r="E779" s="8">
        <f t="shared" si="11"/>
        <v>0</v>
      </c>
      <c r="F779" s="10"/>
      <c r="G779" s="10"/>
      <c r="H779" s="9"/>
      <c r="I779" s="7"/>
      <c r="J779" s="7"/>
      <c r="K779" s="7">
        <f ca="1">IFERROR(IF(COUNTA(J$56:J779)=J$54,J779,FORECAST(D779,OFFSET(M$56:M$254,MATCH(D779,L$56:L$254,1)-1,0,2), OFFSET(L$56:L$254,MATCH(D779,L$56:L$254,1)-1,0,2))),"")</f>
        <v>0</v>
      </c>
      <c r="L779" s="7" t="str">
        <f t="array" ref="L779">IFERROR(INDEX(D$56:D$1054,SMALL(IF(ISNUMBER(J$56:J$1054),ROW(D$1:D$999),""),ROW(D724))),"")</f>
        <v/>
      </c>
      <c r="M779" s="7" t="str">
        <f t="array" ref="M779">IFERROR(INDEX(J$56:J$1054,SMALL(IF(ISNUMBER(J$56:J$1054),ROW(J$1:J$999),""),ROW(J724))),"")</f>
        <v/>
      </c>
      <c r="N779" s="7"/>
      <c r="O779" s="7"/>
      <c r="P779" s="7"/>
      <c r="Q779" s="7">
        <f ca="1">IFERROR(IF(COUNTA(P$56:P779)=P$54,P779,FORECAST(D779,OFFSET(S$56:S$254,MATCH(D779,R$56:R$254,1)-1,0,2), OFFSET(R$56:R$254,MATCH(D779,R$56:R$254,1)-1,0,2))),"")</f>
        <v>0</v>
      </c>
      <c r="R779" s="7" t="str">
        <f t="array" ref="R779">IFERROR(INDEX(E$56:E$1054,SMALL(IF(ISNUMBER(P$56:P$1054),ROW(E$1:E$999),""),ROW(J724))),"")</f>
        <v/>
      </c>
      <c r="S779" s="7" t="str">
        <f t="array" ref="S779">IFERROR(INDEX(P$56:P$1054,SMALL(IF(ISNUMBER(P$56:P$1054),ROW(P$1:P$999),""),ROW(P724))),"")</f>
        <v/>
      </c>
      <c r="T779" s="7"/>
      <c r="U779" s="7"/>
      <c r="V779" s="7"/>
    </row>
    <row r="780" spans="1:22" x14ac:dyDescent="0.25">
      <c r="A780" s="6"/>
      <c r="B780" s="11"/>
      <c r="C780" s="12"/>
      <c r="D780" s="12"/>
      <c r="E780" s="8">
        <f t="shared" si="11"/>
        <v>0</v>
      </c>
      <c r="F780" s="10"/>
      <c r="G780" s="10"/>
      <c r="H780" s="9"/>
      <c r="I780" s="7"/>
      <c r="J780" s="7"/>
      <c r="K780" s="7">
        <f ca="1">IFERROR(IF(COUNTA(J$56:J780)=J$54,J780,FORECAST(D780,OFFSET(M$56:M$254,MATCH(D780,L$56:L$254,1)-1,0,2), OFFSET(L$56:L$254,MATCH(D780,L$56:L$254,1)-1,0,2))),"")</f>
        <v>0</v>
      </c>
      <c r="L780" s="7" t="str">
        <f t="array" ref="L780">IFERROR(INDEX(D$56:D$1054,SMALL(IF(ISNUMBER(J$56:J$1054),ROW(D$1:D$999),""),ROW(D725))),"")</f>
        <v/>
      </c>
      <c r="M780" s="7" t="str">
        <f t="array" ref="M780">IFERROR(INDEX(J$56:J$1054,SMALL(IF(ISNUMBER(J$56:J$1054),ROW(J$1:J$999),""),ROW(J725))),"")</f>
        <v/>
      </c>
      <c r="N780" s="7"/>
      <c r="O780" s="7"/>
      <c r="P780" s="7"/>
      <c r="Q780" s="7">
        <f ca="1">IFERROR(IF(COUNTA(P$56:P780)=P$54,P780,FORECAST(D780,OFFSET(S$56:S$254,MATCH(D780,R$56:R$254,1)-1,0,2), OFFSET(R$56:R$254,MATCH(D780,R$56:R$254,1)-1,0,2))),"")</f>
        <v>0</v>
      </c>
      <c r="R780" s="7" t="str">
        <f t="array" ref="R780">IFERROR(INDEX(E$56:E$1054,SMALL(IF(ISNUMBER(P$56:P$1054),ROW(E$1:E$999),""),ROW(J725))),"")</f>
        <v/>
      </c>
      <c r="S780" s="7" t="str">
        <f t="array" ref="S780">IFERROR(INDEX(P$56:P$1054,SMALL(IF(ISNUMBER(P$56:P$1054),ROW(P$1:P$999),""),ROW(P725))),"")</f>
        <v/>
      </c>
      <c r="T780" s="7"/>
      <c r="U780" s="7"/>
      <c r="V780" s="7"/>
    </row>
    <row r="781" spans="1:22" x14ac:dyDescent="0.25">
      <c r="A781" s="6"/>
      <c r="B781" s="11"/>
      <c r="C781" s="12"/>
      <c r="D781" s="12"/>
      <c r="E781" s="8">
        <f t="shared" si="11"/>
        <v>0</v>
      </c>
      <c r="F781" s="10"/>
      <c r="G781" s="10"/>
      <c r="H781" s="9"/>
      <c r="I781" s="7"/>
      <c r="J781" s="7"/>
      <c r="K781" s="7">
        <f ca="1">IFERROR(IF(COUNTA(J$56:J781)=J$54,J781,FORECAST(D781,OFFSET(M$56:M$254,MATCH(D781,L$56:L$254,1)-1,0,2), OFFSET(L$56:L$254,MATCH(D781,L$56:L$254,1)-1,0,2))),"")</f>
        <v>0</v>
      </c>
      <c r="L781" s="7" t="str">
        <f t="array" ref="L781">IFERROR(INDEX(D$56:D$1054,SMALL(IF(ISNUMBER(J$56:J$1054),ROW(D$1:D$999),""),ROW(D726))),"")</f>
        <v/>
      </c>
      <c r="M781" s="7" t="str">
        <f t="array" ref="M781">IFERROR(INDEX(J$56:J$1054,SMALL(IF(ISNUMBER(J$56:J$1054),ROW(J$1:J$999),""),ROW(J726))),"")</f>
        <v/>
      </c>
      <c r="N781" s="7"/>
      <c r="O781" s="7"/>
      <c r="P781" s="7"/>
      <c r="Q781" s="7">
        <f ca="1">IFERROR(IF(COUNTA(P$56:P781)=P$54,P781,FORECAST(D781,OFFSET(S$56:S$254,MATCH(D781,R$56:R$254,1)-1,0,2), OFFSET(R$56:R$254,MATCH(D781,R$56:R$254,1)-1,0,2))),"")</f>
        <v>0</v>
      </c>
      <c r="R781" s="7" t="str">
        <f t="array" ref="R781">IFERROR(INDEX(E$56:E$1054,SMALL(IF(ISNUMBER(P$56:P$1054),ROW(E$1:E$999),""),ROW(J726))),"")</f>
        <v/>
      </c>
      <c r="S781" s="7" t="str">
        <f t="array" ref="S781">IFERROR(INDEX(P$56:P$1054,SMALL(IF(ISNUMBER(P$56:P$1054),ROW(P$1:P$999),""),ROW(P726))),"")</f>
        <v/>
      </c>
      <c r="T781" s="7"/>
      <c r="U781" s="7"/>
      <c r="V781" s="7"/>
    </row>
    <row r="782" spans="1:22" x14ac:dyDescent="0.25">
      <c r="A782" s="6"/>
      <c r="B782" s="11"/>
      <c r="C782" s="12"/>
      <c r="D782" s="12"/>
      <c r="E782" s="8">
        <f t="shared" si="11"/>
        <v>0</v>
      </c>
      <c r="F782" s="10"/>
      <c r="G782" s="10"/>
      <c r="H782" s="9"/>
      <c r="I782" s="7"/>
      <c r="J782" s="7"/>
      <c r="K782" s="7">
        <f ca="1">IFERROR(IF(COUNTA(J$56:J782)=J$54,J782,FORECAST(D782,OFFSET(M$56:M$254,MATCH(D782,L$56:L$254,1)-1,0,2), OFFSET(L$56:L$254,MATCH(D782,L$56:L$254,1)-1,0,2))),"")</f>
        <v>0</v>
      </c>
      <c r="L782" s="7" t="str">
        <f t="array" ref="L782">IFERROR(INDEX(D$56:D$1054,SMALL(IF(ISNUMBER(J$56:J$1054),ROW(D$1:D$999),""),ROW(D727))),"")</f>
        <v/>
      </c>
      <c r="M782" s="7" t="str">
        <f t="array" ref="M782">IFERROR(INDEX(J$56:J$1054,SMALL(IF(ISNUMBER(J$56:J$1054),ROW(J$1:J$999),""),ROW(J727))),"")</f>
        <v/>
      </c>
      <c r="N782" s="7"/>
      <c r="O782" s="7"/>
      <c r="P782" s="7"/>
      <c r="Q782" s="7">
        <f ca="1">IFERROR(IF(COUNTA(P$56:P782)=P$54,P782,FORECAST(D782,OFFSET(S$56:S$254,MATCH(D782,R$56:R$254,1)-1,0,2), OFFSET(R$56:R$254,MATCH(D782,R$56:R$254,1)-1,0,2))),"")</f>
        <v>0</v>
      </c>
      <c r="R782" s="7" t="str">
        <f t="array" ref="R782">IFERROR(INDEX(E$56:E$1054,SMALL(IF(ISNUMBER(P$56:P$1054),ROW(E$1:E$999),""),ROW(J727))),"")</f>
        <v/>
      </c>
      <c r="S782" s="7" t="str">
        <f t="array" ref="S782">IFERROR(INDEX(P$56:P$1054,SMALL(IF(ISNUMBER(P$56:P$1054),ROW(P$1:P$999),""),ROW(P727))),"")</f>
        <v/>
      </c>
      <c r="T782" s="7"/>
      <c r="U782" s="7"/>
      <c r="V782" s="7"/>
    </row>
    <row r="783" spans="1:22" x14ac:dyDescent="0.25">
      <c r="A783" s="6"/>
      <c r="B783" s="11"/>
      <c r="C783" s="12"/>
      <c r="D783" s="12"/>
      <c r="E783" s="8">
        <f t="shared" si="11"/>
        <v>0</v>
      </c>
      <c r="F783" s="10"/>
      <c r="G783" s="10"/>
      <c r="H783" s="9"/>
      <c r="I783" s="7"/>
      <c r="J783" s="7"/>
      <c r="K783" s="7">
        <f ca="1">IFERROR(IF(COUNTA(J$56:J783)=J$54,J783,FORECAST(D783,OFFSET(M$56:M$254,MATCH(D783,L$56:L$254,1)-1,0,2), OFFSET(L$56:L$254,MATCH(D783,L$56:L$254,1)-1,0,2))),"")</f>
        <v>0</v>
      </c>
      <c r="L783" s="7" t="str">
        <f t="array" ref="L783">IFERROR(INDEX(D$56:D$1054,SMALL(IF(ISNUMBER(J$56:J$1054),ROW(D$1:D$999),""),ROW(D728))),"")</f>
        <v/>
      </c>
      <c r="M783" s="7" t="str">
        <f t="array" ref="M783">IFERROR(INDEX(J$56:J$1054,SMALL(IF(ISNUMBER(J$56:J$1054),ROW(J$1:J$999),""),ROW(J728))),"")</f>
        <v/>
      </c>
      <c r="N783" s="7"/>
      <c r="O783" s="7"/>
      <c r="P783" s="7"/>
      <c r="Q783" s="7">
        <f ca="1">IFERROR(IF(COUNTA(P$56:P783)=P$54,P783,FORECAST(D783,OFFSET(S$56:S$254,MATCH(D783,R$56:R$254,1)-1,0,2), OFFSET(R$56:R$254,MATCH(D783,R$56:R$254,1)-1,0,2))),"")</f>
        <v>0</v>
      </c>
      <c r="R783" s="7" t="str">
        <f t="array" ref="R783">IFERROR(INDEX(E$56:E$1054,SMALL(IF(ISNUMBER(P$56:P$1054),ROW(E$1:E$999),""),ROW(J728))),"")</f>
        <v/>
      </c>
      <c r="S783" s="7" t="str">
        <f t="array" ref="S783">IFERROR(INDEX(P$56:P$1054,SMALL(IF(ISNUMBER(P$56:P$1054),ROW(P$1:P$999),""),ROW(P728))),"")</f>
        <v/>
      </c>
      <c r="T783" s="7"/>
      <c r="U783" s="7"/>
      <c r="V783" s="7"/>
    </row>
    <row r="784" spans="1:22" x14ac:dyDescent="0.25">
      <c r="A784" s="6"/>
      <c r="B784" s="11"/>
      <c r="C784" s="12"/>
      <c r="D784" s="12"/>
      <c r="E784" s="8">
        <f t="shared" si="11"/>
        <v>0</v>
      </c>
      <c r="F784" s="10"/>
      <c r="G784" s="10"/>
      <c r="H784" s="9"/>
      <c r="I784" s="7"/>
      <c r="J784" s="7"/>
      <c r="K784" s="7">
        <f ca="1">IFERROR(IF(COUNTA(J$56:J784)=J$54,J784,FORECAST(D784,OFFSET(M$56:M$254,MATCH(D784,L$56:L$254,1)-1,0,2), OFFSET(L$56:L$254,MATCH(D784,L$56:L$254,1)-1,0,2))),"")</f>
        <v>0</v>
      </c>
      <c r="L784" s="7" t="str">
        <f t="array" ref="L784">IFERROR(INDEX(D$56:D$1054,SMALL(IF(ISNUMBER(J$56:J$1054),ROW(D$1:D$999),""),ROW(D729))),"")</f>
        <v/>
      </c>
      <c r="M784" s="7" t="str">
        <f t="array" ref="M784">IFERROR(INDEX(J$56:J$1054,SMALL(IF(ISNUMBER(J$56:J$1054),ROW(J$1:J$999),""),ROW(J729))),"")</f>
        <v/>
      </c>
      <c r="N784" s="7"/>
      <c r="O784" s="7"/>
      <c r="P784" s="7"/>
      <c r="Q784" s="7">
        <f ca="1">IFERROR(IF(COUNTA(P$56:P784)=P$54,P784,FORECAST(D784,OFFSET(S$56:S$254,MATCH(D784,R$56:R$254,1)-1,0,2), OFFSET(R$56:R$254,MATCH(D784,R$56:R$254,1)-1,0,2))),"")</f>
        <v>0</v>
      </c>
      <c r="R784" s="7" t="str">
        <f t="array" ref="R784">IFERROR(INDEX(E$56:E$1054,SMALL(IF(ISNUMBER(P$56:P$1054),ROW(E$1:E$999),""),ROW(J729))),"")</f>
        <v/>
      </c>
      <c r="S784" s="7" t="str">
        <f t="array" ref="S784">IFERROR(INDEX(P$56:P$1054,SMALL(IF(ISNUMBER(P$56:P$1054),ROW(P$1:P$999),""),ROW(P729))),"")</f>
        <v/>
      </c>
      <c r="T784" s="7"/>
      <c r="U784" s="7"/>
      <c r="V784" s="7"/>
    </row>
    <row r="785" spans="1:22" x14ac:dyDescent="0.25">
      <c r="A785" s="6"/>
      <c r="B785" s="11"/>
      <c r="C785" s="12"/>
      <c r="D785" s="12"/>
      <c r="E785" s="8">
        <f t="shared" si="11"/>
        <v>0</v>
      </c>
      <c r="F785" s="10"/>
      <c r="G785" s="10"/>
      <c r="H785" s="9"/>
      <c r="I785" s="7"/>
      <c r="J785" s="7"/>
      <c r="K785" s="7">
        <f ca="1">IFERROR(IF(COUNTA(J$56:J785)=J$54,J785,FORECAST(D785,OFFSET(M$56:M$254,MATCH(D785,L$56:L$254,1)-1,0,2), OFFSET(L$56:L$254,MATCH(D785,L$56:L$254,1)-1,0,2))),"")</f>
        <v>0</v>
      </c>
      <c r="L785" s="7" t="str">
        <f t="array" ref="L785">IFERROR(INDEX(D$56:D$1054,SMALL(IF(ISNUMBER(J$56:J$1054),ROW(D$1:D$999),""),ROW(D730))),"")</f>
        <v/>
      </c>
      <c r="M785" s="7" t="str">
        <f t="array" ref="M785">IFERROR(INDEX(J$56:J$1054,SMALL(IF(ISNUMBER(J$56:J$1054),ROW(J$1:J$999),""),ROW(J730))),"")</f>
        <v/>
      </c>
      <c r="N785" s="7"/>
      <c r="O785" s="7"/>
      <c r="P785" s="7"/>
      <c r="Q785" s="7">
        <f ca="1">IFERROR(IF(COUNTA(P$56:P785)=P$54,P785,FORECAST(D785,OFFSET(S$56:S$254,MATCH(D785,R$56:R$254,1)-1,0,2), OFFSET(R$56:R$254,MATCH(D785,R$56:R$254,1)-1,0,2))),"")</f>
        <v>0</v>
      </c>
      <c r="R785" s="7" t="str">
        <f t="array" ref="R785">IFERROR(INDEX(E$56:E$1054,SMALL(IF(ISNUMBER(P$56:P$1054),ROW(E$1:E$999),""),ROW(J730))),"")</f>
        <v/>
      </c>
      <c r="S785" s="7" t="str">
        <f t="array" ref="S785">IFERROR(INDEX(P$56:P$1054,SMALL(IF(ISNUMBER(P$56:P$1054),ROW(P$1:P$999),""),ROW(P730))),"")</f>
        <v/>
      </c>
      <c r="T785" s="7"/>
      <c r="U785" s="7"/>
      <c r="V785" s="7"/>
    </row>
    <row r="786" spans="1:22" x14ac:dyDescent="0.25">
      <c r="A786" s="6"/>
      <c r="B786" s="11"/>
      <c r="C786" s="12"/>
      <c r="D786" s="12"/>
      <c r="E786" s="8">
        <f t="shared" si="11"/>
        <v>0</v>
      </c>
      <c r="F786" s="10"/>
      <c r="G786" s="10"/>
      <c r="H786" s="9"/>
      <c r="I786" s="7"/>
      <c r="J786" s="7"/>
      <c r="K786" s="7">
        <f ca="1">IFERROR(IF(COUNTA(J$56:J786)=J$54,J786,FORECAST(D786,OFFSET(M$56:M$254,MATCH(D786,L$56:L$254,1)-1,0,2), OFFSET(L$56:L$254,MATCH(D786,L$56:L$254,1)-1,0,2))),"")</f>
        <v>0</v>
      </c>
      <c r="L786" s="7" t="str">
        <f t="array" ref="L786">IFERROR(INDEX(D$56:D$1054,SMALL(IF(ISNUMBER(J$56:J$1054),ROW(D$1:D$999),""),ROW(D731))),"")</f>
        <v/>
      </c>
      <c r="M786" s="7" t="str">
        <f t="array" ref="M786">IFERROR(INDEX(J$56:J$1054,SMALL(IF(ISNUMBER(J$56:J$1054),ROW(J$1:J$999),""),ROW(J731))),"")</f>
        <v/>
      </c>
      <c r="N786" s="7"/>
      <c r="O786" s="7"/>
      <c r="P786" s="7"/>
      <c r="Q786" s="7">
        <f ca="1">IFERROR(IF(COUNTA(P$56:P786)=P$54,P786,FORECAST(D786,OFFSET(S$56:S$254,MATCH(D786,R$56:R$254,1)-1,0,2), OFFSET(R$56:R$254,MATCH(D786,R$56:R$254,1)-1,0,2))),"")</f>
        <v>0</v>
      </c>
      <c r="R786" s="7" t="str">
        <f t="array" ref="R786">IFERROR(INDEX(E$56:E$1054,SMALL(IF(ISNUMBER(P$56:P$1054),ROW(E$1:E$999),""),ROW(J731))),"")</f>
        <v/>
      </c>
      <c r="S786" s="7" t="str">
        <f t="array" ref="S786">IFERROR(INDEX(P$56:P$1054,SMALL(IF(ISNUMBER(P$56:P$1054),ROW(P$1:P$999),""),ROW(P731))),"")</f>
        <v/>
      </c>
      <c r="T786" s="7"/>
      <c r="U786" s="7"/>
      <c r="V786" s="7"/>
    </row>
    <row r="787" spans="1:22" x14ac:dyDescent="0.25">
      <c r="A787" s="6"/>
      <c r="B787" s="11"/>
      <c r="C787" s="12"/>
      <c r="D787" s="12"/>
      <c r="E787" s="8">
        <f t="shared" si="11"/>
        <v>0</v>
      </c>
      <c r="F787" s="10"/>
      <c r="G787" s="10"/>
      <c r="H787" s="9"/>
      <c r="I787" s="7"/>
      <c r="J787" s="7"/>
      <c r="K787" s="7">
        <f ca="1">IFERROR(IF(COUNTA(J$56:J787)=J$54,J787,FORECAST(D787,OFFSET(M$56:M$254,MATCH(D787,L$56:L$254,1)-1,0,2), OFFSET(L$56:L$254,MATCH(D787,L$56:L$254,1)-1,0,2))),"")</f>
        <v>0</v>
      </c>
      <c r="L787" s="7" t="str">
        <f t="array" ref="L787">IFERROR(INDEX(D$56:D$1054,SMALL(IF(ISNUMBER(J$56:J$1054),ROW(D$1:D$999),""),ROW(D732))),"")</f>
        <v/>
      </c>
      <c r="M787" s="7" t="str">
        <f t="array" ref="M787">IFERROR(INDEX(J$56:J$1054,SMALL(IF(ISNUMBER(J$56:J$1054),ROW(J$1:J$999),""),ROW(J732))),"")</f>
        <v/>
      </c>
      <c r="N787" s="7"/>
      <c r="O787" s="7"/>
      <c r="P787" s="7"/>
      <c r="Q787" s="7">
        <f ca="1">IFERROR(IF(COUNTA(P$56:P787)=P$54,P787,FORECAST(D787,OFFSET(S$56:S$254,MATCH(D787,R$56:R$254,1)-1,0,2), OFFSET(R$56:R$254,MATCH(D787,R$56:R$254,1)-1,0,2))),"")</f>
        <v>0</v>
      </c>
      <c r="R787" s="7" t="str">
        <f t="array" ref="R787">IFERROR(INDEX(E$56:E$1054,SMALL(IF(ISNUMBER(P$56:P$1054),ROW(E$1:E$999),""),ROW(J732))),"")</f>
        <v/>
      </c>
      <c r="S787" s="7" t="str">
        <f t="array" ref="S787">IFERROR(INDEX(P$56:P$1054,SMALL(IF(ISNUMBER(P$56:P$1054),ROW(P$1:P$999),""),ROW(P732))),"")</f>
        <v/>
      </c>
      <c r="T787" s="7"/>
      <c r="U787" s="7"/>
      <c r="V787" s="7"/>
    </row>
    <row r="788" spans="1:22" x14ac:dyDescent="0.25">
      <c r="A788" s="6"/>
      <c r="B788" s="11"/>
      <c r="C788" s="12"/>
      <c r="D788" s="12"/>
      <c r="E788" s="8">
        <f t="shared" si="11"/>
        <v>0</v>
      </c>
      <c r="F788" s="10"/>
      <c r="G788" s="10"/>
      <c r="H788" s="9"/>
      <c r="I788" s="7"/>
      <c r="J788" s="7"/>
      <c r="K788" s="7">
        <f ca="1">IFERROR(IF(COUNTA(J$56:J788)=J$54,J788,FORECAST(D788,OFFSET(M$56:M$254,MATCH(D788,L$56:L$254,1)-1,0,2), OFFSET(L$56:L$254,MATCH(D788,L$56:L$254,1)-1,0,2))),"")</f>
        <v>0</v>
      </c>
      <c r="L788" s="7" t="str">
        <f t="array" ref="L788">IFERROR(INDEX(D$56:D$1054,SMALL(IF(ISNUMBER(J$56:J$1054),ROW(D$1:D$999),""),ROW(D733))),"")</f>
        <v/>
      </c>
      <c r="M788" s="7" t="str">
        <f t="array" ref="M788">IFERROR(INDEX(J$56:J$1054,SMALL(IF(ISNUMBER(J$56:J$1054),ROW(J$1:J$999),""),ROW(J733))),"")</f>
        <v/>
      </c>
      <c r="N788" s="7"/>
      <c r="O788" s="7"/>
      <c r="P788" s="7"/>
      <c r="Q788" s="7">
        <f ca="1">IFERROR(IF(COUNTA(P$56:P788)=P$54,P788,FORECAST(D788,OFFSET(S$56:S$254,MATCH(D788,R$56:R$254,1)-1,0,2), OFFSET(R$56:R$254,MATCH(D788,R$56:R$254,1)-1,0,2))),"")</f>
        <v>0</v>
      </c>
      <c r="R788" s="7" t="str">
        <f t="array" ref="R788">IFERROR(INDEX(E$56:E$1054,SMALL(IF(ISNUMBER(P$56:P$1054),ROW(E$1:E$999),""),ROW(J733))),"")</f>
        <v/>
      </c>
      <c r="S788" s="7" t="str">
        <f t="array" ref="S788">IFERROR(INDEX(P$56:P$1054,SMALL(IF(ISNUMBER(P$56:P$1054),ROW(P$1:P$999),""),ROW(P733))),"")</f>
        <v/>
      </c>
      <c r="T788" s="7"/>
      <c r="U788" s="7"/>
      <c r="V788" s="7"/>
    </row>
    <row r="789" spans="1:22" x14ac:dyDescent="0.25">
      <c r="A789" s="6"/>
      <c r="B789" s="11"/>
      <c r="C789" s="12"/>
      <c r="D789" s="12"/>
      <c r="E789" s="8">
        <f t="shared" si="11"/>
        <v>0</v>
      </c>
      <c r="F789" s="10"/>
      <c r="G789" s="10"/>
      <c r="H789" s="9"/>
      <c r="I789" s="7"/>
      <c r="J789" s="7"/>
      <c r="K789" s="7">
        <f ca="1">IFERROR(IF(COUNTA(J$56:J789)=J$54,J789,FORECAST(D789,OFFSET(M$56:M$254,MATCH(D789,L$56:L$254,1)-1,0,2), OFFSET(L$56:L$254,MATCH(D789,L$56:L$254,1)-1,0,2))),"")</f>
        <v>0</v>
      </c>
      <c r="L789" s="7" t="str">
        <f t="array" ref="L789">IFERROR(INDEX(D$56:D$1054,SMALL(IF(ISNUMBER(J$56:J$1054),ROW(D$1:D$999),""),ROW(D734))),"")</f>
        <v/>
      </c>
      <c r="M789" s="7" t="str">
        <f t="array" ref="M789">IFERROR(INDEX(J$56:J$1054,SMALL(IF(ISNUMBER(J$56:J$1054),ROW(J$1:J$999),""),ROW(J734))),"")</f>
        <v/>
      </c>
      <c r="N789" s="7"/>
      <c r="O789" s="7"/>
      <c r="P789" s="7"/>
      <c r="Q789" s="7">
        <f ca="1">IFERROR(IF(COUNTA(P$56:P789)=P$54,P789,FORECAST(D789,OFFSET(S$56:S$254,MATCH(D789,R$56:R$254,1)-1,0,2), OFFSET(R$56:R$254,MATCH(D789,R$56:R$254,1)-1,0,2))),"")</f>
        <v>0</v>
      </c>
      <c r="R789" s="7" t="str">
        <f t="array" ref="R789">IFERROR(INDEX(E$56:E$1054,SMALL(IF(ISNUMBER(P$56:P$1054),ROW(E$1:E$999),""),ROW(J734))),"")</f>
        <v/>
      </c>
      <c r="S789" s="7" t="str">
        <f t="array" ref="S789">IFERROR(INDEX(P$56:P$1054,SMALL(IF(ISNUMBER(P$56:P$1054),ROW(P$1:P$999),""),ROW(P734))),"")</f>
        <v/>
      </c>
      <c r="T789" s="7"/>
      <c r="U789" s="7"/>
      <c r="V789" s="7"/>
    </row>
    <row r="790" spans="1:22" x14ac:dyDescent="0.25">
      <c r="A790" s="6"/>
      <c r="B790" s="11"/>
      <c r="C790" s="12"/>
      <c r="D790" s="12"/>
      <c r="E790" s="8">
        <f t="shared" si="11"/>
        <v>0</v>
      </c>
      <c r="F790" s="10"/>
      <c r="G790" s="10"/>
      <c r="H790" s="9"/>
      <c r="I790" s="7"/>
      <c r="J790" s="7"/>
      <c r="K790" s="7">
        <f ca="1">IFERROR(IF(COUNTA(J$56:J790)=J$54,J790,FORECAST(D790,OFFSET(M$56:M$254,MATCH(D790,L$56:L$254,1)-1,0,2), OFFSET(L$56:L$254,MATCH(D790,L$56:L$254,1)-1,0,2))),"")</f>
        <v>0</v>
      </c>
      <c r="L790" s="7" t="str">
        <f t="array" ref="L790">IFERROR(INDEX(D$56:D$1054,SMALL(IF(ISNUMBER(J$56:J$1054),ROW(D$1:D$999),""),ROW(D735))),"")</f>
        <v/>
      </c>
      <c r="M790" s="7" t="str">
        <f t="array" ref="M790">IFERROR(INDEX(J$56:J$1054,SMALL(IF(ISNUMBER(J$56:J$1054),ROW(J$1:J$999),""),ROW(J735))),"")</f>
        <v/>
      </c>
      <c r="N790" s="7"/>
      <c r="O790" s="7"/>
      <c r="P790" s="7"/>
      <c r="Q790" s="7">
        <f ca="1">IFERROR(IF(COUNTA(P$56:P790)=P$54,P790,FORECAST(D790,OFFSET(S$56:S$254,MATCH(D790,R$56:R$254,1)-1,0,2), OFFSET(R$56:R$254,MATCH(D790,R$56:R$254,1)-1,0,2))),"")</f>
        <v>0</v>
      </c>
      <c r="R790" s="7" t="str">
        <f t="array" ref="R790">IFERROR(INDEX(E$56:E$1054,SMALL(IF(ISNUMBER(P$56:P$1054),ROW(E$1:E$999),""),ROW(J735))),"")</f>
        <v/>
      </c>
      <c r="S790" s="7" t="str">
        <f t="array" ref="S790">IFERROR(INDEX(P$56:P$1054,SMALL(IF(ISNUMBER(P$56:P$1054),ROW(P$1:P$999),""),ROW(P735))),"")</f>
        <v/>
      </c>
      <c r="T790" s="7"/>
      <c r="U790" s="7"/>
      <c r="V790" s="7"/>
    </row>
    <row r="791" spans="1:22" x14ac:dyDescent="0.25">
      <c r="A791" s="6"/>
      <c r="B791" s="11"/>
      <c r="C791" s="12"/>
      <c r="D791" s="12"/>
      <c r="E791" s="8">
        <f t="shared" si="11"/>
        <v>0</v>
      </c>
      <c r="F791" s="10"/>
      <c r="G791" s="10"/>
      <c r="H791" s="9"/>
      <c r="I791" s="7"/>
      <c r="J791" s="7"/>
      <c r="K791" s="7">
        <f ca="1">IFERROR(IF(COUNTA(J$56:J791)=J$54,J791,FORECAST(D791,OFFSET(M$56:M$254,MATCH(D791,L$56:L$254,1)-1,0,2), OFFSET(L$56:L$254,MATCH(D791,L$56:L$254,1)-1,0,2))),"")</f>
        <v>0</v>
      </c>
      <c r="L791" s="7" t="str">
        <f t="array" ref="L791">IFERROR(INDEX(D$56:D$1054,SMALL(IF(ISNUMBER(J$56:J$1054),ROW(D$1:D$999),""),ROW(D736))),"")</f>
        <v/>
      </c>
      <c r="M791" s="7" t="str">
        <f t="array" ref="M791">IFERROR(INDEX(J$56:J$1054,SMALL(IF(ISNUMBER(J$56:J$1054),ROW(J$1:J$999),""),ROW(J736))),"")</f>
        <v/>
      </c>
      <c r="N791" s="7"/>
      <c r="O791" s="7"/>
      <c r="P791" s="7"/>
      <c r="Q791" s="7">
        <f ca="1">IFERROR(IF(COUNTA(P$56:P791)=P$54,P791,FORECAST(D791,OFFSET(S$56:S$254,MATCH(D791,R$56:R$254,1)-1,0,2), OFFSET(R$56:R$254,MATCH(D791,R$56:R$254,1)-1,0,2))),"")</f>
        <v>0</v>
      </c>
      <c r="R791" s="7" t="str">
        <f t="array" ref="R791">IFERROR(INDEX(E$56:E$1054,SMALL(IF(ISNUMBER(P$56:P$1054),ROW(E$1:E$999),""),ROW(J736))),"")</f>
        <v/>
      </c>
      <c r="S791" s="7" t="str">
        <f t="array" ref="S791">IFERROR(INDEX(P$56:P$1054,SMALL(IF(ISNUMBER(P$56:P$1054),ROW(P$1:P$999),""),ROW(P736))),"")</f>
        <v/>
      </c>
      <c r="T791" s="7"/>
      <c r="U791" s="7"/>
      <c r="V791" s="7"/>
    </row>
    <row r="792" spans="1:22" x14ac:dyDescent="0.25">
      <c r="A792" s="6"/>
      <c r="B792" s="11"/>
      <c r="C792" s="12"/>
      <c r="D792" s="12"/>
      <c r="E792" s="8">
        <f t="shared" si="11"/>
        <v>0</v>
      </c>
      <c r="F792" s="10"/>
      <c r="G792" s="10"/>
      <c r="H792" s="9"/>
      <c r="I792" s="7"/>
      <c r="J792" s="7"/>
      <c r="K792" s="7">
        <f ca="1">IFERROR(IF(COUNTA(J$56:J792)=J$54,J792,FORECAST(D792,OFFSET(M$56:M$254,MATCH(D792,L$56:L$254,1)-1,0,2), OFFSET(L$56:L$254,MATCH(D792,L$56:L$254,1)-1,0,2))),"")</f>
        <v>0</v>
      </c>
      <c r="L792" s="7" t="str">
        <f t="array" ref="L792">IFERROR(INDEX(D$56:D$1054,SMALL(IF(ISNUMBER(J$56:J$1054),ROW(D$1:D$999),""),ROW(D737))),"")</f>
        <v/>
      </c>
      <c r="M792" s="7" t="str">
        <f t="array" ref="M792">IFERROR(INDEX(J$56:J$1054,SMALL(IF(ISNUMBER(J$56:J$1054),ROW(J$1:J$999),""),ROW(J737))),"")</f>
        <v/>
      </c>
      <c r="N792" s="7"/>
      <c r="O792" s="7"/>
      <c r="P792" s="7"/>
      <c r="Q792" s="7">
        <f ca="1">IFERROR(IF(COUNTA(P$56:P792)=P$54,P792,FORECAST(D792,OFFSET(S$56:S$254,MATCH(D792,R$56:R$254,1)-1,0,2), OFFSET(R$56:R$254,MATCH(D792,R$56:R$254,1)-1,0,2))),"")</f>
        <v>0</v>
      </c>
      <c r="R792" s="7" t="str">
        <f t="array" ref="R792">IFERROR(INDEX(E$56:E$1054,SMALL(IF(ISNUMBER(P$56:P$1054),ROW(E$1:E$999),""),ROW(J737))),"")</f>
        <v/>
      </c>
      <c r="S792" s="7" t="str">
        <f t="array" ref="S792">IFERROR(INDEX(P$56:P$1054,SMALL(IF(ISNUMBER(P$56:P$1054),ROW(P$1:P$999),""),ROW(P737))),"")</f>
        <v/>
      </c>
      <c r="T792" s="7"/>
      <c r="U792" s="7"/>
      <c r="V792" s="7"/>
    </row>
    <row r="793" spans="1:22" x14ac:dyDescent="0.25">
      <c r="A793" s="6"/>
      <c r="B793" s="11"/>
      <c r="C793" s="12"/>
      <c r="D793" s="12"/>
      <c r="E793" s="8">
        <f t="shared" si="11"/>
        <v>0</v>
      </c>
      <c r="F793" s="10"/>
      <c r="G793" s="10"/>
      <c r="H793" s="9"/>
      <c r="I793" s="7"/>
      <c r="J793" s="7"/>
      <c r="K793" s="7">
        <f ca="1">IFERROR(IF(COUNTA(J$56:J793)=J$54,J793,FORECAST(D793,OFFSET(M$56:M$254,MATCH(D793,L$56:L$254,1)-1,0,2), OFFSET(L$56:L$254,MATCH(D793,L$56:L$254,1)-1,0,2))),"")</f>
        <v>0</v>
      </c>
      <c r="L793" s="7" t="str">
        <f t="array" ref="L793">IFERROR(INDEX(D$56:D$1054,SMALL(IF(ISNUMBER(J$56:J$1054),ROW(D$1:D$999),""),ROW(D738))),"")</f>
        <v/>
      </c>
      <c r="M793" s="7" t="str">
        <f t="array" ref="M793">IFERROR(INDEX(J$56:J$1054,SMALL(IF(ISNUMBER(J$56:J$1054),ROW(J$1:J$999),""),ROW(J738))),"")</f>
        <v/>
      </c>
      <c r="N793" s="7"/>
      <c r="O793" s="7"/>
      <c r="P793" s="7"/>
      <c r="Q793" s="7">
        <f ca="1">IFERROR(IF(COUNTA(P$56:P793)=P$54,P793,FORECAST(D793,OFFSET(S$56:S$254,MATCH(D793,R$56:R$254,1)-1,0,2), OFFSET(R$56:R$254,MATCH(D793,R$56:R$254,1)-1,0,2))),"")</f>
        <v>0</v>
      </c>
      <c r="R793" s="7" t="str">
        <f t="array" ref="R793">IFERROR(INDEX(E$56:E$1054,SMALL(IF(ISNUMBER(P$56:P$1054),ROW(E$1:E$999),""),ROW(J738))),"")</f>
        <v/>
      </c>
      <c r="S793" s="7" t="str">
        <f t="array" ref="S793">IFERROR(INDEX(P$56:P$1054,SMALL(IF(ISNUMBER(P$56:P$1054),ROW(P$1:P$999),""),ROW(P738))),"")</f>
        <v/>
      </c>
      <c r="T793" s="7"/>
      <c r="U793" s="7"/>
      <c r="V793" s="7"/>
    </row>
    <row r="794" spans="1:22" x14ac:dyDescent="0.25">
      <c r="A794" s="6"/>
      <c r="B794" s="11"/>
      <c r="C794" s="12"/>
      <c r="D794" s="12"/>
      <c r="E794" s="8">
        <f t="shared" si="11"/>
        <v>0</v>
      </c>
      <c r="F794" s="10"/>
      <c r="G794" s="10"/>
      <c r="H794" s="9"/>
      <c r="I794" s="7"/>
      <c r="J794" s="7"/>
      <c r="K794" s="7">
        <f ca="1">IFERROR(IF(COUNTA(J$56:J794)=J$54,J794,FORECAST(D794,OFFSET(M$56:M$254,MATCH(D794,L$56:L$254,1)-1,0,2), OFFSET(L$56:L$254,MATCH(D794,L$56:L$254,1)-1,0,2))),"")</f>
        <v>0</v>
      </c>
      <c r="L794" s="7" t="str">
        <f t="array" ref="L794">IFERROR(INDEX(D$56:D$1054,SMALL(IF(ISNUMBER(J$56:J$1054),ROW(D$1:D$999),""),ROW(D739))),"")</f>
        <v/>
      </c>
      <c r="M794" s="7" t="str">
        <f t="array" ref="M794">IFERROR(INDEX(J$56:J$1054,SMALL(IF(ISNUMBER(J$56:J$1054),ROW(J$1:J$999),""),ROW(J739))),"")</f>
        <v/>
      </c>
      <c r="N794" s="7"/>
      <c r="O794" s="7"/>
      <c r="P794" s="7"/>
      <c r="Q794" s="7">
        <f ca="1">IFERROR(IF(COUNTA(P$56:P794)=P$54,P794,FORECAST(D794,OFFSET(S$56:S$254,MATCH(D794,R$56:R$254,1)-1,0,2), OFFSET(R$56:R$254,MATCH(D794,R$56:R$254,1)-1,0,2))),"")</f>
        <v>0</v>
      </c>
      <c r="R794" s="7" t="str">
        <f t="array" ref="R794">IFERROR(INDEX(E$56:E$1054,SMALL(IF(ISNUMBER(P$56:P$1054),ROW(E$1:E$999),""),ROW(J739))),"")</f>
        <v/>
      </c>
      <c r="S794" s="7" t="str">
        <f t="array" ref="S794">IFERROR(INDEX(P$56:P$1054,SMALL(IF(ISNUMBER(P$56:P$1054),ROW(P$1:P$999),""),ROW(P739))),"")</f>
        <v/>
      </c>
      <c r="T794" s="7"/>
      <c r="U794" s="7"/>
      <c r="V794" s="7"/>
    </row>
    <row r="795" spans="1:22" x14ac:dyDescent="0.25">
      <c r="A795" s="6"/>
      <c r="B795" s="11"/>
      <c r="C795" s="12"/>
      <c r="D795" s="12"/>
      <c r="E795" s="8">
        <f t="shared" si="11"/>
        <v>0</v>
      </c>
      <c r="F795" s="10"/>
      <c r="G795" s="10"/>
      <c r="H795" s="9"/>
      <c r="I795" s="7"/>
      <c r="J795" s="7"/>
      <c r="K795" s="7">
        <f ca="1">IFERROR(IF(COUNTA(J$56:J795)=J$54,J795,FORECAST(D795,OFFSET(M$56:M$254,MATCH(D795,L$56:L$254,1)-1,0,2), OFFSET(L$56:L$254,MATCH(D795,L$56:L$254,1)-1,0,2))),"")</f>
        <v>0</v>
      </c>
      <c r="L795" s="7" t="str">
        <f t="array" ref="L795">IFERROR(INDEX(D$56:D$1054,SMALL(IF(ISNUMBER(J$56:J$1054),ROW(D$1:D$999),""),ROW(D740))),"")</f>
        <v/>
      </c>
      <c r="M795" s="7" t="str">
        <f t="array" ref="M795">IFERROR(INDEX(J$56:J$1054,SMALL(IF(ISNUMBER(J$56:J$1054),ROW(J$1:J$999),""),ROW(J740))),"")</f>
        <v/>
      </c>
      <c r="N795" s="7"/>
      <c r="O795" s="7"/>
      <c r="P795" s="7"/>
      <c r="Q795" s="7">
        <f ca="1">IFERROR(IF(COUNTA(P$56:P795)=P$54,P795,FORECAST(D795,OFFSET(S$56:S$254,MATCH(D795,R$56:R$254,1)-1,0,2), OFFSET(R$56:R$254,MATCH(D795,R$56:R$254,1)-1,0,2))),"")</f>
        <v>0</v>
      </c>
      <c r="R795" s="7" t="str">
        <f t="array" ref="R795">IFERROR(INDEX(E$56:E$1054,SMALL(IF(ISNUMBER(P$56:P$1054),ROW(E$1:E$999),""),ROW(J740))),"")</f>
        <v/>
      </c>
      <c r="S795" s="7" t="str">
        <f t="array" ref="S795">IFERROR(INDEX(P$56:P$1054,SMALL(IF(ISNUMBER(P$56:P$1054),ROW(P$1:P$999),""),ROW(P740))),"")</f>
        <v/>
      </c>
      <c r="T795" s="7"/>
      <c r="U795" s="7"/>
      <c r="V795" s="7"/>
    </row>
    <row r="796" spans="1:22" x14ac:dyDescent="0.25">
      <c r="A796" s="6"/>
      <c r="B796" s="11"/>
      <c r="C796" s="12"/>
      <c r="D796" s="12"/>
      <c r="E796" s="8">
        <f t="shared" si="11"/>
        <v>0</v>
      </c>
      <c r="F796" s="10"/>
      <c r="G796" s="10"/>
      <c r="H796" s="9"/>
      <c r="I796" s="7"/>
      <c r="J796" s="7"/>
      <c r="K796" s="7">
        <f ca="1">IFERROR(IF(COUNTA(J$56:J796)=J$54,J796,FORECAST(D796,OFFSET(M$56:M$254,MATCH(D796,L$56:L$254,1)-1,0,2), OFFSET(L$56:L$254,MATCH(D796,L$56:L$254,1)-1,0,2))),"")</f>
        <v>0</v>
      </c>
      <c r="L796" s="7" t="str">
        <f t="array" ref="L796">IFERROR(INDEX(D$56:D$1054,SMALL(IF(ISNUMBER(J$56:J$1054),ROW(D$1:D$999),""),ROW(D741))),"")</f>
        <v/>
      </c>
      <c r="M796" s="7" t="str">
        <f t="array" ref="M796">IFERROR(INDEX(J$56:J$1054,SMALL(IF(ISNUMBER(J$56:J$1054),ROW(J$1:J$999),""),ROW(J741))),"")</f>
        <v/>
      </c>
      <c r="N796" s="7"/>
      <c r="O796" s="7"/>
      <c r="P796" s="7"/>
      <c r="Q796" s="7">
        <f ca="1">IFERROR(IF(COUNTA(P$56:P796)=P$54,P796,FORECAST(D796,OFFSET(S$56:S$254,MATCH(D796,R$56:R$254,1)-1,0,2), OFFSET(R$56:R$254,MATCH(D796,R$56:R$254,1)-1,0,2))),"")</f>
        <v>0</v>
      </c>
      <c r="R796" s="7" t="str">
        <f t="array" ref="R796">IFERROR(INDEX(E$56:E$1054,SMALL(IF(ISNUMBER(P$56:P$1054),ROW(E$1:E$999),""),ROW(J741))),"")</f>
        <v/>
      </c>
      <c r="S796" s="7" t="str">
        <f t="array" ref="S796">IFERROR(INDEX(P$56:P$1054,SMALL(IF(ISNUMBER(P$56:P$1054),ROW(P$1:P$999),""),ROW(P741))),"")</f>
        <v/>
      </c>
      <c r="T796" s="7"/>
      <c r="U796" s="7"/>
      <c r="V796" s="7"/>
    </row>
    <row r="797" spans="1:22" x14ac:dyDescent="0.25">
      <c r="A797" s="6"/>
      <c r="B797" s="11"/>
      <c r="C797" s="12"/>
      <c r="D797" s="12"/>
      <c r="E797" s="8">
        <f t="shared" si="11"/>
        <v>0</v>
      </c>
      <c r="F797" s="10"/>
      <c r="G797" s="10"/>
      <c r="H797" s="9"/>
      <c r="I797" s="7"/>
      <c r="J797" s="7"/>
      <c r="K797" s="7">
        <f ca="1">IFERROR(IF(COUNTA(J$56:J797)=J$54,J797,FORECAST(D797,OFFSET(M$56:M$254,MATCH(D797,L$56:L$254,1)-1,0,2), OFFSET(L$56:L$254,MATCH(D797,L$56:L$254,1)-1,0,2))),"")</f>
        <v>0</v>
      </c>
      <c r="L797" s="7" t="str">
        <f t="array" ref="L797">IFERROR(INDEX(D$56:D$1054,SMALL(IF(ISNUMBER(J$56:J$1054),ROW(D$1:D$999),""),ROW(D742))),"")</f>
        <v/>
      </c>
      <c r="M797" s="7" t="str">
        <f t="array" ref="M797">IFERROR(INDEX(J$56:J$1054,SMALL(IF(ISNUMBER(J$56:J$1054),ROW(J$1:J$999),""),ROW(J742))),"")</f>
        <v/>
      </c>
      <c r="N797" s="7"/>
      <c r="O797" s="7"/>
      <c r="P797" s="7"/>
      <c r="Q797" s="7">
        <f ca="1">IFERROR(IF(COUNTA(P$56:P797)=P$54,P797,FORECAST(D797,OFFSET(S$56:S$254,MATCH(D797,R$56:R$254,1)-1,0,2), OFFSET(R$56:R$254,MATCH(D797,R$56:R$254,1)-1,0,2))),"")</f>
        <v>0</v>
      </c>
      <c r="R797" s="7" t="str">
        <f t="array" ref="R797">IFERROR(INDEX(E$56:E$1054,SMALL(IF(ISNUMBER(P$56:P$1054),ROW(E$1:E$999),""),ROW(J742))),"")</f>
        <v/>
      </c>
      <c r="S797" s="7" t="str">
        <f t="array" ref="S797">IFERROR(INDEX(P$56:P$1054,SMALL(IF(ISNUMBER(P$56:P$1054),ROW(P$1:P$999),""),ROW(P742))),"")</f>
        <v/>
      </c>
      <c r="T797" s="7"/>
      <c r="U797" s="7"/>
      <c r="V797" s="7"/>
    </row>
    <row r="798" spans="1:22" x14ac:dyDescent="0.25">
      <c r="A798" s="6"/>
      <c r="B798" s="11"/>
      <c r="C798" s="12"/>
      <c r="D798" s="12"/>
      <c r="E798" s="8">
        <f t="shared" si="11"/>
        <v>0</v>
      </c>
      <c r="F798" s="10"/>
      <c r="G798" s="10"/>
      <c r="H798" s="9"/>
      <c r="I798" s="7"/>
      <c r="J798" s="7"/>
      <c r="K798" s="7">
        <f ca="1">IFERROR(IF(COUNTA(J$56:J798)=J$54,J798,FORECAST(D798,OFFSET(M$56:M$254,MATCH(D798,L$56:L$254,1)-1,0,2), OFFSET(L$56:L$254,MATCH(D798,L$56:L$254,1)-1,0,2))),"")</f>
        <v>0</v>
      </c>
      <c r="L798" s="7" t="str">
        <f t="array" ref="L798">IFERROR(INDEX(D$56:D$1054,SMALL(IF(ISNUMBER(J$56:J$1054),ROW(D$1:D$999),""),ROW(D743))),"")</f>
        <v/>
      </c>
      <c r="M798" s="7" t="str">
        <f t="array" ref="M798">IFERROR(INDEX(J$56:J$1054,SMALL(IF(ISNUMBER(J$56:J$1054),ROW(J$1:J$999),""),ROW(J743))),"")</f>
        <v/>
      </c>
      <c r="N798" s="7"/>
      <c r="O798" s="7"/>
      <c r="P798" s="7"/>
      <c r="Q798" s="7">
        <f ca="1">IFERROR(IF(COUNTA(P$56:P798)=P$54,P798,FORECAST(D798,OFFSET(S$56:S$254,MATCH(D798,R$56:R$254,1)-1,0,2), OFFSET(R$56:R$254,MATCH(D798,R$56:R$254,1)-1,0,2))),"")</f>
        <v>0</v>
      </c>
      <c r="R798" s="7" t="str">
        <f t="array" ref="R798">IFERROR(INDEX(E$56:E$1054,SMALL(IF(ISNUMBER(P$56:P$1054),ROW(E$1:E$999),""),ROW(J743))),"")</f>
        <v/>
      </c>
      <c r="S798" s="7" t="str">
        <f t="array" ref="S798">IFERROR(INDEX(P$56:P$1054,SMALL(IF(ISNUMBER(P$56:P$1054),ROW(P$1:P$999),""),ROW(P743))),"")</f>
        <v/>
      </c>
      <c r="T798" s="7"/>
      <c r="U798" s="7"/>
      <c r="V798" s="7"/>
    </row>
    <row r="799" spans="1:22" x14ac:dyDescent="0.25">
      <c r="A799" s="6"/>
      <c r="B799" s="11"/>
      <c r="C799" s="12"/>
      <c r="D799" s="12"/>
      <c r="E799" s="8">
        <f t="shared" si="11"/>
        <v>0</v>
      </c>
      <c r="F799" s="10"/>
      <c r="G799" s="10"/>
      <c r="H799" s="9"/>
      <c r="I799" s="7"/>
      <c r="J799" s="7"/>
      <c r="K799" s="7">
        <f ca="1">IFERROR(IF(COUNTA(J$56:J799)=J$54,J799,FORECAST(D799,OFFSET(M$56:M$254,MATCH(D799,L$56:L$254,1)-1,0,2), OFFSET(L$56:L$254,MATCH(D799,L$56:L$254,1)-1,0,2))),"")</f>
        <v>0</v>
      </c>
      <c r="L799" s="7" t="str">
        <f t="array" ref="L799">IFERROR(INDEX(D$56:D$1054,SMALL(IF(ISNUMBER(J$56:J$1054),ROW(D$1:D$999),""),ROW(D744))),"")</f>
        <v/>
      </c>
      <c r="M799" s="7" t="str">
        <f t="array" ref="M799">IFERROR(INDEX(J$56:J$1054,SMALL(IF(ISNUMBER(J$56:J$1054),ROW(J$1:J$999),""),ROW(J744))),"")</f>
        <v/>
      </c>
      <c r="N799" s="7"/>
      <c r="O799" s="7"/>
      <c r="P799" s="7"/>
      <c r="Q799" s="7">
        <f ca="1">IFERROR(IF(COUNTA(P$56:P799)=P$54,P799,FORECAST(D799,OFFSET(S$56:S$254,MATCH(D799,R$56:R$254,1)-1,0,2), OFFSET(R$56:R$254,MATCH(D799,R$56:R$254,1)-1,0,2))),"")</f>
        <v>0</v>
      </c>
      <c r="R799" s="7" t="str">
        <f t="array" ref="R799">IFERROR(INDEX(E$56:E$1054,SMALL(IF(ISNUMBER(P$56:P$1054),ROW(E$1:E$999),""),ROW(J744))),"")</f>
        <v/>
      </c>
      <c r="S799" s="7" t="str">
        <f t="array" ref="S799">IFERROR(INDEX(P$56:P$1054,SMALL(IF(ISNUMBER(P$56:P$1054),ROW(P$1:P$999),""),ROW(P744))),"")</f>
        <v/>
      </c>
      <c r="T799" s="7"/>
      <c r="U799" s="7"/>
      <c r="V799" s="7"/>
    </row>
    <row r="800" spans="1:22" x14ac:dyDescent="0.25">
      <c r="A800" s="6"/>
      <c r="B800" s="11"/>
      <c r="C800" s="12"/>
      <c r="D800" s="12"/>
      <c r="E800" s="8">
        <f t="shared" si="11"/>
        <v>0</v>
      </c>
      <c r="F800" s="10"/>
      <c r="G800" s="10"/>
      <c r="H800" s="9"/>
      <c r="I800" s="7"/>
      <c r="J800" s="7"/>
      <c r="K800" s="7">
        <f ca="1">IFERROR(IF(COUNTA(J$56:J800)=J$54,J800,FORECAST(D800,OFFSET(M$56:M$254,MATCH(D800,L$56:L$254,1)-1,0,2), OFFSET(L$56:L$254,MATCH(D800,L$56:L$254,1)-1,0,2))),"")</f>
        <v>0</v>
      </c>
      <c r="L800" s="7" t="str">
        <f t="array" ref="L800">IFERROR(INDEX(D$56:D$1054,SMALL(IF(ISNUMBER(J$56:J$1054),ROW(D$1:D$999),""),ROW(D745))),"")</f>
        <v/>
      </c>
      <c r="M800" s="7" t="str">
        <f t="array" ref="M800">IFERROR(INDEX(J$56:J$1054,SMALL(IF(ISNUMBER(J$56:J$1054),ROW(J$1:J$999),""),ROW(J745))),"")</f>
        <v/>
      </c>
      <c r="N800" s="7"/>
      <c r="O800" s="7"/>
      <c r="P800" s="7"/>
      <c r="Q800" s="7">
        <f ca="1">IFERROR(IF(COUNTA(P$56:P800)=P$54,P800,FORECAST(D800,OFFSET(S$56:S$254,MATCH(D800,R$56:R$254,1)-1,0,2), OFFSET(R$56:R$254,MATCH(D800,R$56:R$254,1)-1,0,2))),"")</f>
        <v>0</v>
      </c>
      <c r="R800" s="7" t="str">
        <f t="array" ref="R800">IFERROR(INDEX(E$56:E$1054,SMALL(IF(ISNUMBER(P$56:P$1054),ROW(E$1:E$999),""),ROW(J745))),"")</f>
        <v/>
      </c>
      <c r="S800" s="7" t="str">
        <f t="array" ref="S800">IFERROR(INDEX(P$56:P$1054,SMALL(IF(ISNUMBER(P$56:P$1054),ROW(P$1:P$999),""),ROW(P745))),"")</f>
        <v/>
      </c>
      <c r="T800" s="7"/>
      <c r="U800" s="7"/>
      <c r="V800" s="7"/>
    </row>
    <row r="801" spans="1:22" x14ac:dyDescent="0.25">
      <c r="A801" s="6"/>
      <c r="B801" s="11"/>
      <c r="C801" s="12"/>
      <c r="D801" s="12"/>
      <c r="E801" s="8">
        <f t="shared" si="11"/>
        <v>0</v>
      </c>
      <c r="F801" s="10"/>
      <c r="G801" s="10"/>
      <c r="H801" s="9"/>
      <c r="I801" s="7"/>
      <c r="J801" s="7"/>
      <c r="K801" s="7">
        <f ca="1">IFERROR(IF(COUNTA(J$56:J801)=J$54,J801,FORECAST(D801,OFFSET(M$56:M$254,MATCH(D801,L$56:L$254,1)-1,0,2), OFFSET(L$56:L$254,MATCH(D801,L$56:L$254,1)-1,0,2))),"")</f>
        <v>0</v>
      </c>
      <c r="L801" s="7" t="str">
        <f t="array" ref="L801">IFERROR(INDEX(D$56:D$1054,SMALL(IF(ISNUMBER(J$56:J$1054),ROW(D$1:D$999),""),ROW(D746))),"")</f>
        <v/>
      </c>
      <c r="M801" s="7" t="str">
        <f t="array" ref="M801">IFERROR(INDEX(J$56:J$1054,SMALL(IF(ISNUMBER(J$56:J$1054),ROW(J$1:J$999),""),ROW(J746))),"")</f>
        <v/>
      </c>
      <c r="N801" s="7"/>
      <c r="O801" s="7"/>
      <c r="P801" s="7"/>
      <c r="Q801" s="7">
        <f ca="1">IFERROR(IF(COUNTA(P$56:P801)=P$54,P801,FORECAST(D801,OFFSET(S$56:S$254,MATCH(D801,R$56:R$254,1)-1,0,2), OFFSET(R$56:R$254,MATCH(D801,R$56:R$254,1)-1,0,2))),"")</f>
        <v>0</v>
      </c>
      <c r="R801" s="7" t="str">
        <f t="array" ref="R801">IFERROR(INDEX(E$56:E$1054,SMALL(IF(ISNUMBER(P$56:P$1054),ROW(E$1:E$999),""),ROW(J746))),"")</f>
        <v/>
      </c>
      <c r="S801" s="7" t="str">
        <f t="array" ref="S801">IFERROR(INDEX(P$56:P$1054,SMALL(IF(ISNUMBER(P$56:P$1054),ROW(P$1:P$999),""),ROW(P746))),"")</f>
        <v/>
      </c>
      <c r="T801" s="7"/>
      <c r="U801" s="7"/>
      <c r="V801" s="7"/>
    </row>
    <row r="802" spans="1:22" x14ac:dyDescent="0.25">
      <c r="A802" s="6"/>
      <c r="B802" s="11"/>
      <c r="C802" s="12"/>
      <c r="D802" s="12"/>
      <c r="E802" s="8">
        <f t="shared" si="11"/>
        <v>0</v>
      </c>
      <c r="F802" s="10"/>
      <c r="G802" s="10"/>
      <c r="H802" s="9"/>
      <c r="I802" s="7"/>
      <c r="J802" s="7"/>
      <c r="K802" s="7">
        <f ca="1">IFERROR(IF(COUNTA(J$56:J802)=J$54,J802,FORECAST(D802,OFFSET(M$56:M$254,MATCH(D802,L$56:L$254,1)-1,0,2), OFFSET(L$56:L$254,MATCH(D802,L$56:L$254,1)-1,0,2))),"")</f>
        <v>0</v>
      </c>
      <c r="L802" s="7" t="str">
        <f t="array" ref="L802">IFERROR(INDEX(D$56:D$1054,SMALL(IF(ISNUMBER(J$56:J$1054),ROW(D$1:D$999),""),ROW(D747))),"")</f>
        <v/>
      </c>
      <c r="M802" s="7" t="str">
        <f t="array" ref="M802">IFERROR(INDEX(J$56:J$1054,SMALL(IF(ISNUMBER(J$56:J$1054),ROW(J$1:J$999),""),ROW(J747))),"")</f>
        <v/>
      </c>
      <c r="N802" s="7"/>
      <c r="O802" s="7"/>
      <c r="P802" s="7"/>
      <c r="Q802" s="7">
        <f ca="1">IFERROR(IF(COUNTA(P$56:P802)=P$54,P802,FORECAST(D802,OFFSET(S$56:S$254,MATCH(D802,R$56:R$254,1)-1,0,2), OFFSET(R$56:R$254,MATCH(D802,R$56:R$254,1)-1,0,2))),"")</f>
        <v>0</v>
      </c>
      <c r="R802" s="7" t="str">
        <f t="array" ref="R802">IFERROR(INDEX(E$56:E$1054,SMALL(IF(ISNUMBER(P$56:P$1054),ROW(E$1:E$999),""),ROW(J747))),"")</f>
        <v/>
      </c>
      <c r="S802" s="7" t="str">
        <f t="array" ref="S802">IFERROR(INDEX(P$56:P$1054,SMALL(IF(ISNUMBER(P$56:P$1054),ROW(P$1:P$999),""),ROW(P747))),"")</f>
        <v/>
      </c>
      <c r="T802" s="7"/>
      <c r="U802" s="7"/>
      <c r="V802" s="7"/>
    </row>
    <row r="803" spans="1:22" x14ac:dyDescent="0.25">
      <c r="A803" s="6"/>
      <c r="B803" s="11"/>
      <c r="C803" s="12"/>
      <c r="D803" s="12"/>
      <c r="E803" s="8">
        <f t="shared" si="11"/>
        <v>0</v>
      </c>
      <c r="F803" s="10"/>
      <c r="G803" s="10"/>
      <c r="H803" s="9"/>
      <c r="I803" s="7"/>
      <c r="J803" s="7"/>
      <c r="K803" s="7">
        <f ca="1">IFERROR(IF(COUNTA(J$56:J803)=J$54,J803,FORECAST(D803,OFFSET(M$56:M$254,MATCH(D803,L$56:L$254,1)-1,0,2), OFFSET(L$56:L$254,MATCH(D803,L$56:L$254,1)-1,0,2))),"")</f>
        <v>0</v>
      </c>
      <c r="L803" s="7" t="str">
        <f t="array" ref="L803">IFERROR(INDEX(D$56:D$1054,SMALL(IF(ISNUMBER(J$56:J$1054),ROW(D$1:D$999),""),ROW(D748))),"")</f>
        <v/>
      </c>
      <c r="M803" s="7" t="str">
        <f t="array" ref="M803">IFERROR(INDEX(J$56:J$1054,SMALL(IF(ISNUMBER(J$56:J$1054),ROW(J$1:J$999),""),ROW(J748))),"")</f>
        <v/>
      </c>
      <c r="N803" s="7"/>
      <c r="O803" s="7"/>
      <c r="P803" s="7"/>
      <c r="Q803" s="7">
        <f ca="1">IFERROR(IF(COUNTA(P$56:P803)=P$54,P803,FORECAST(D803,OFFSET(S$56:S$254,MATCH(D803,R$56:R$254,1)-1,0,2), OFFSET(R$56:R$254,MATCH(D803,R$56:R$254,1)-1,0,2))),"")</f>
        <v>0</v>
      </c>
      <c r="R803" s="7" t="str">
        <f t="array" ref="R803">IFERROR(INDEX(E$56:E$1054,SMALL(IF(ISNUMBER(P$56:P$1054),ROW(E$1:E$999),""),ROW(J748))),"")</f>
        <v/>
      </c>
      <c r="S803" s="7" t="str">
        <f t="array" ref="S803">IFERROR(INDEX(P$56:P$1054,SMALL(IF(ISNUMBER(P$56:P$1054),ROW(P$1:P$999),""),ROW(P748))),"")</f>
        <v/>
      </c>
      <c r="T803" s="7"/>
      <c r="U803" s="7"/>
      <c r="V803" s="7"/>
    </row>
    <row r="804" spans="1:22" x14ac:dyDescent="0.25">
      <c r="A804" s="6"/>
      <c r="B804" s="11"/>
      <c r="C804" s="12"/>
      <c r="D804" s="12"/>
      <c r="E804" s="8">
        <f t="shared" si="11"/>
        <v>0</v>
      </c>
      <c r="F804" s="10"/>
      <c r="G804" s="10"/>
      <c r="H804" s="9"/>
      <c r="I804" s="7"/>
      <c r="J804" s="7"/>
      <c r="K804" s="7">
        <f ca="1">IFERROR(IF(COUNTA(J$56:J804)=J$54,J804,FORECAST(D804,OFFSET(M$56:M$254,MATCH(D804,L$56:L$254,1)-1,0,2), OFFSET(L$56:L$254,MATCH(D804,L$56:L$254,1)-1,0,2))),"")</f>
        <v>0</v>
      </c>
      <c r="L804" s="7" t="str">
        <f t="array" ref="L804">IFERROR(INDEX(D$56:D$1054,SMALL(IF(ISNUMBER(J$56:J$1054),ROW(D$1:D$999),""),ROW(D749))),"")</f>
        <v/>
      </c>
      <c r="M804" s="7" t="str">
        <f t="array" ref="M804">IFERROR(INDEX(J$56:J$1054,SMALL(IF(ISNUMBER(J$56:J$1054),ROW(J$1:J$999),""),ROW(J749))),"")</f>
        <v/>
      </c>
      <c r="N804" s="7"/>
      <c r="O804" s="7"/>
      <c r="P804" s="7"/>
      <c r="Q804" s="7">
        <f ca="1">IFERROR(IF(COUNTA(P$56:P804)=P$54,P804,FORECAST(D804,OFFSET(S$56:S$254,MATCH(D804,R$56:R$254,1)-1,0,2), OFFSET(R$56:R$254,MATCH(D804,R$56:R$254,1)-1,0,2))),"")</f>
        <v>0</v>
      </c>
      <c r="R804" s="7" t="str">
        <f t="array" ref="R804">IFERROR(INDEX(E$56:E$1054,SMALL(IF(ISNUMBER(P$56:P$1054),ROW(E$1:E$999),""),ROW(J749))),"")</f>
        <v/>
      </c>
      <c r="S804" s="7" t="str">
        <f t="array" ref="S804">IFERROR(INDEX(P$56:P$1054,SMALL(IF(ISNUMBER(P$56:P$1054),ROW(P$1:P$999),""),ROW(P749))),"")</f>
        <v/>
      </c>
      <c r="T804" s="7"/>
      <c r="U804" s="7"/>
      <c r="V804" s="7"/>
    </row>
    <row r="805" spans="1:22" x14ac:dyDescent="0.25">
      <c r="A805" s="6"/>
      <c r="B805" s="11"/>
      <c r="C805" s="12"/>
      <c r="D805" s="12"/>
      <c r="E805" s="8">
        <f t="shared" si="11"/>
        <v>0</v>
      </c>
      <c r="F805" s="10"/>
      <c r="G805" s="10"/>
      <c r="H805" s="9"/>
      <c r="I805" s="7"/>
      <c r="J805" s="7"/>
      <c r="K805" s="7">
        <f ca="1">IFERROR(IF(COUNTA(J$56:J805)=J$54,J805,FORECAST(D805,OFFSET(M$56:M$254,MATCH(D805,L$56:L$254,1)-1,0,2), OFFSET(L$56:L$254,MATCH(D805,L$56:L$254,1)-1,0,2))),"")</f>
        <v>0</v>
      </c>
      <c r="L805" s="7" t="str">
        <f t="array" ref="L805">IFERROR(INDEX(D$56:D$1054,SMALL(IF(ISNUMBER(J$56:J$1054),ROW(D$1:D$999),""),ROW(D750))),"")</f>
        <v/>
      </c>
      <c r="M805" s="7" t="str">
        <f t="array" ref="M805">IFERROR(INDEX(J$56:J$1054,SMALL(IF(ISNUMBER(J$56:J$1054),ROW(J$1:J$999),""),ROW(J750))),"")</f>
        <v/>
      </c>
      <c r="N805" s="7"/>
      <c r="O805" s="7"/>
      <c r="P805" s="7"/>
      <c r="Q805" s="7">
        <f ca="1">IFERROR(IF(COUNTA(P$56:P805)=P$54,P805,FORECAST(D805,OFFSET(S$56:S$254,MATCH(D805,R$56:R$254,1)-1,0,2), OFFSET(R$56:R$254,MATCH(D805,R$56:R$254,1)-1,0,2))),"")</f>
        <v>0</v>
      </c>
      <c r="R805" s="7" t="str">
        <f t="array" ref="R805">IFERROR(INDEX(E$56:E$1054,SMALL(IF(ISNUMBER(P$56:P$1054),ROW(E$1:E$999),""),ROW(J750))),"")</f>
        <v/>
      </c>
      <c r="S805" s="7" t="str">
        <f t="array" ref="S805">IFERROR(INDEX(P$56:P$1054,SMALL(IF(ISNUMBER(P$56:P$1054),ROW(P$1:P$999),""),ROW(P750))),"")</f>
        <v/>
      </c>
      <c r="T805" s="7"/>
      <c r="U805" s="7"/>
      <c r="V805" s="7"/>
    </row>
    <row r="806" spans="1:22" x14ac:dyDescent="0.25">
      <c r="A806" s="6"/>
      <c r="B806" s="11"/>
      <c r="C806" s="12"/>
      <c r="D806" s="12"/>
      <c r="E806" s="8">
        <f t="shared" si="11"/>
        <v>0</v>
      </c>
      <c r="F806" s="10"/>
      <c r="G806" s="10"/>
      <c r="H806" s="9"/>
      <c r="I806" s="7"/>
      <c r="J806" s="7"/>
      <c r="K806" s="7">
        <f ca="1">IFERROR(IF(COUNTA(J$56:J806)=J$54,J806,FORECAST(D806,OFFSET(M$56:M$254,MATCH(D806,L$56:L$254,1)-1,0,2), OFFSET(L$56:L$254,MATCH(D806,L$56:L$254,1)-1,0,2))),"")</f>
        <v>0</v>
      </c>
      <c r="L806" s="7" t="str">
        <f t="array" ref="L806">IFERROR(INDEX(D$56:D$1054,SMALL(IF(ISNUMBER(J$56:J$1054),ROW(D$1:D$999),""),ROW(D751))),"")</f>
        <v/>
      </c>
      <c r="M806" s="7" t="str">
        <f t="array" ref="M806">IFERROR(INDEX(J$56:J$1054,SMALL(IF(ISNUMBER(J$56:J$1054),ROW(J$1:J$999),""),ROW(J751))),"")</f>
        <v/>
      </c>
      <c r="N806" s="7"/>
      <c r="O806" s="7"/>
      <c r="P806" s="7"/>
      <c r="Q806" s="7">
        <f ca="1">IFERROR(IF(COUNTA(P$56:P806)=P$54,P806,FORECAST(D806,OFFSET(S$56:S$254,MATCH(D806,R$56:R$254,1)-1,0,2), OFFSET(R$56:R$254,MATCH(D806,R$56:R$254,1)-1,0,2))),"")</f>
        <v>0</v>
      </c>
      <c r="R806" s="7" t="str">
        <f t="array" ref="R806">IFERROR(INDEX(E$56:E$1054,SMALL(IF(ISNUMBER(P$56:P$1054),ROW(E$1:E$999),""),ROW(J751))),"")</f>
        <v/>
      </c>
      <c r="S806" s="7" t="str">
        <f t="array" ref="S806">IFERROR(INDEX(P$56:P$1054,SMALL(IF(ISNUMBER(P$56:P$1054),ROW(P$1:P$999),""),ROW(P751))),"")</f>
        <v/>
      </c>
      <c r="T806" s="7"/>
      <c r="U806" s="7"/>
      <c r="V806" s="7"/>
    </row>
    <row r="807" spans="1:22" x14ac:dyDescent="0.25">
      <c r="A807" s="6"/>
      <c r="B807" s="11"/>
      <c r="C807" s="12"/>
      <c r="D807" s="12"/>
      <c r="E807" s="8">
        <f t="shared" si="11"/>
        <v>0</v>
      </c>
      <c r="F807" s="10"/>
      <c r="G807" s="10"/>
      <c r="H807" s="9"/>
      <c r="I807" s="7"/>
      <c r="J807" s="7"/>
      <c r="K807" s="7">
        <f ca="1">IFERROR(IF(COUNTA(J$56:J807)=J$54,J807,FORECAST(D807,OFFSET(M$56:M$254,MATCH(D807,L$56:L$254,1)-1,0,2), OFFSET(L$56:L$254,MATCH(D807,L$56:L$254,1)-1,0,2))),"")</f>
        <v>0</v>
      </c>
      <c r="L807" s="7" t="str">
        <f t="array" ref="L807">IFERROR(INDEX(D$56:D$1054,SMALL(IF(ISNUMBER(J$56:J$1054),ROW(D$1:D$999),""),ROW(D752))),"")</f>
        <v/>
      </c>
      <c r="M807" s="7" t="str">
        <f t="array" ref="M807">IFERROR(INDEX(J$56:J$1054,SMALL(IF(ISNUMBER(J$56:J$1054),ROW(J$1:J$999),""),ROW(J752))),"")</f>
        <v/>
      </c>
      <c r="N807" s="7"/>
      <c r="O807" s="7"/>
      <c r="P807" s="7"/>
      <c r="Q807" s="7">
        <f ca="1">IFERROR(IF(COUNTA(P$56:P807)=P$54,P807,FORECAST(D807,OFFSET(S$56:S$254,MATCH(D807,R$56:R$254,1)-1,0,2), OFFSET(R$56:R$254,MATCH(D807,R$56:R$254,1)-1,0,2))),"")</f>
        <v>0</v>
      </c>
      <c r="R807" s="7" t="str">
        <f t="array" ref="R807">IFERROR(INDEX(E$56:E$1054,SMALL(IF(ISNUMBER(P$56:P$1054),ROW(E$1:E$999),""),ROW(J752))),"")</f>
        <v/>
      </c>
      <c r="S807" s="7" t="str">
        <f t="array" ref="S807">IFERROR(INDEX(P$56:P$1054,SMALL(IF(ISNUMBER(P$56:P$1054),ROW(P$1:P$999),""),ROW(P752))),"")</f>
        <v/>
      </c>
      <c r="T807" s="7"/>
      <c r="U807" s="7"/>
      <c r="V807" s="7"/>
    </row>
    <row r="808" spans="1:22" x14ac:dyDescent="0.25">
      <c r="A808" s="6"/>
      <c r="B808" s="11"/>
      <c r="C808" s="12"/>
      <c r="D808" s="12"/>
      <c r="E808" s="8">
        <f t="shared" si="11"/>
        <v>0</v>
      </c>
      <c r="F808" s="10"/>
      <c r="G808" s="10"/>
      <c r="H808" s="9"/>
      <c r="I808" s="7"/>
      <c r="J808" s="7"/>
      <c r="K808" s="7">
        <f ca="1">IFERROR(IF(COUNTA(J$56:J808)=J$54,J808,FORECAST(D808,OFFSET(M$56:M$254,MATCH(D808,L$56:L$254,1)-1,0,2), OFFSET(L$56:L$254,MATCH(D808,L$56:L$254,1)-1,0,2))),"")</f>
        <v>0</v>
      </c>
      <c r="L808" s="7" t="str">
        <f t="array" ref="L808">IFERROR(INDEX(D$56:D$1054,SMALL(IF(ISNUMBER(J$56:J$1054),ROW(D$1:D$999),""),ROW(D753))),"")</f>
        <v/>
      </c>
      <c r="M808" s="7" t="str">
        <f t="array" ref="M808">IFERROR(INDEX(J$56:J$1054,SMALL(IF(ISNUMBER(J$56:J$1054),ROW(J$1:J$999),""),ROW(J753))),"")</f>
        <v/>
      </c>
      <c r="N808" s="7"/>
      <c r="O808" s="7"/>
      <c r="P808" s="7"/>
      <c r="Q808" s="7">
        <f ca="1">IFERROR(IF(COUNTA(P$56:P808)=P$54,P808,FORECAST(D808,OFFSET(S$56:S$254,MATCH(D808,R$56:R$254,1)-1,0,2), OFFSET(R$56:R$254,MATCH(D808,R$56:R$254,1)-1,0,2))),"")</f>
        <v>0</v>
      </c>
      <c r="R808" s="7" t="str">
        <f t="array" ref="R808">IFERROR(INDEX(E$56:E$1054,SMALL(IF(ISNUMBER(P$56:P$1054),ROW(E$1:E$999),""),ROW(J753))),"")</f>
        <v/>
      </c>
      <c r="S808" s="7" t="str">
        <f t="array" ref="S808">IFERROR(INDEX(P$56:P$1054,SMALL(IF(ISNUMBER(P$56:P$1054),ROW(P$1:P$999),""),ROW(P753))),"")</f>
        <v/>
      </c>
      <c r="T808" s="7"/>
      <c r="U808" s="7"/>
      <c r="V808" s="7"/>
    </row>
    <row r="809" spans="1:22" x14ac:dyDescent="0.25">
      <c r="A809" s="6"/>
      <c r="B809" s="11"/>
      <c r="C809" s="12"/>
      <c r="D809" s="12"/>
      <c r="E809" s="8">
        <f t="shared" si="11"/>
        <v>0</v>
      </c>
      <c r="F809" s="10"/>
      <c r="G809" s="10"/>
      <c r="H809" s="9"/>
      <c r="I809" s="7"/>
      <c r="J809" s="7"/>
      <c r="K809" s="7">
        <f ca="1">IFERROR(IF(COUNTA(J$56:J809)=J$54,J809,FORECAST(D809,OFFSET(M$56:M$254,MATCH(D809,L$56:L$254,1)-1,0,2), OFFSET(L$56:L$254,MATCH(D809,L$56:L$254,1)-1,0,2))),"")</f>
        <v>0</v>
      </c>
      <c r="L809" s="7" t="str">
        <f t="array" ref="L809">IFERROR(INDEX(D$56:D$1054,SMALL(IF(ISNUMBER(J$56:J$1054),ROW(D$1:D$999),""),ROW(D754))),"")</f>
        <v/>
      </c>
      <c r="M809" s="7" t="str">
        <f t="array" ref="M809">IFERROR(INDEX(J$56:J$1054,SMALL(IF(ISNUMBER(J$56:J$1054),ROW(J$1:J$999),""),ROW(J754))),"")</f>
        <v/>
      </c>
      <c r="N809" s="7"/>
      <c r="O809" s="7"/>
      <c r="P809" s="7"/>
      <c r="Q809" s="7">
        <f ca="1">IFERROR(IF(COUNTA(P$56:P809)=P$54,P809,FORECAST(D809,OFFSET(S$56:S$254,MATCH(D809,R$56:R$254,1)-1,0,2), OFFSET(R$56:R$254,MATCH(D809,R$56:R$254,1)-1,0,2))),"")</f>
        <v>0</v>
      </c>
      <c r="R809" s="7" t="str">
        <f t="array" ref="R809">IFERROR(INDEX(E$56:E$1054,SMALL(IF(ISNUMBER(P$56:P$1054),ROW(E$1:E$999),""),ROW(J754))),"")</f>
        <v/>
      </c>
      <c r="S809" s="7" t="str">
        <f t="array" ref="S809">IFERROR(INDEX(P$56:P$1054,SMALL(IF(ISNUMBER(P$56:P$1054),ROW(P$1:P$999),""),ROW(P754))),"")</f>
        <v/>
      </c>
      <c r="T809" s="7"/>
      <c r="U809" s="7"/>
      <c r="V809" s="7"/>
    </row>
    <row r="810" spans="1:22" x14ac:dyDescent="0.25">
      <c r="A810" s="6"/>
      <c r="B810" s="11"/>
      <c r="C810" s="12"/>
      <c r="D810" s="12"/>
      <c r="E810" s="8">
        <f t="shared" si="11"/>
        <v>0</v>
      </c>
      <c r="F810" s="10"/>
      <c r="G810" s="10"/>
      <c r="H810" s="9"/>
      <c r="I810" s="7"/>
      <c r="J810" s="7"/>
      <c r="K810" s="7">
        <f ca="1">IFERROR(IF(COUNTA(J$56:J810)=J$54,J810,FORECAST(D810,OFFSET(M$56:M$254,MATCH(D810,L$56:L$254,1)-1,0,2), OFFSET(L$56:L$254,MATCH(D810,L$56:L$254,1)-1,0,2))),"")</f>
        <v>0</v>
      </c>
      <c r="L810" s="7" t="str">
        <f t="array" ref="L810">IFERROR(INDEX(D$56:D$1054,SMALL(IF(ISNUMBER(J$56:J$1054),ROW(D$1:D$999),""),ROW(D755))),"")</f>
        <v/>
      </c>
      <c r="M810" s="7" t="str">
        <f t="array" ref="M810">IFERROR(INDEX(J$56:J$1054,SMALL(IF(ISNUMBER(J$56:J$1054),ROW(J$1:J$999),""),ROW(J755))),"")</f>
        <v/>
      </c>
      <c r="N810" s="7"/>
      <c r="O810" s="7"/>
      <c r="P810" s="7"/>
      <c r="Q810" s="7">
        <f ca="1">IFERROR(IF(COUNTA(P$56:P810)=P$54,P810,FORECAST(D810,OFFSET(S$56:S$254,MATCH(D810,R$56:R$254,1)-1,0,2), OFFSET(R$56:R$254,MATCH(D810,R$56:R$254,1)-1,0,2))),"")</f>
        <v>0</v>
      </c>
      <c r="R810" s="7" t="str">
        <f t="array" ref="R810">IFERROR(INDEX(E$56:E$1054,SMALL(IF(ISNUMBER(P$56:P$1054),ROW(E$1:E$999),""),ROW(J755))),"")</f>
        <v/>
      </c>
      <c r="S810" s="7" t="str">
        <f t="array" ref="S810">IFERROR(INDEX(P$56:P$1054,SMALL(IF(ISNUMBER(P$56:P$1054),ROW(P$1:P$999),""),ROW(P755))),"")</f>
        <v/>
      </c>
      <c r="T810" s="7"/>
      <c r="U810" s="7"/>
      <c r="V810" s="7"/>
    </row>
    <row r="811" spans="1:22" x14ac:dyDescent="0.25">
      <c r="A811" s="6"/>
      <c r="B811" s="11"/>
      <c r="C811" s="12"/>
      <c r="D811" s="12"/>
      <c r="E811" s="8">
        <f t="shared" si="11"/>
        <v>0</v>
      </c>
      <c r="F811" s="10"/>
      <c r="G811" s="10"/>
      <c r="H811" s="9"/>
      <c r="I811" s="7"/>
      <c r="J811" s="7"/>
      <c r="K811" s="7">
        <f ca="1">IFERROR(IF(COUNTA(J$56:J811)=J$54,J811,FORECAST(D811,OFFSET(M$56:M$254,MATCH(D811,L$56:L$254,1)-1,0,2), OFFSET(L$56:L$254,MATCH(D811,L$56:L$254,1)-1,0,2))),"")</f>
        <v>0</v>
      </c>
      <c r="L811" s="7" t="str">
        <f t="array" ref="L811">IFERROR(INDEX(D$56:D$1054,SMALL(IF(ISNUMBER(J$56:J$1054),ROW(D$1:D$999),""),ROW(D756))),"")</f>
        <v/>
      </c>
      <c r="M811" s="7" t="str">
        <f t="array" ref="M811">IFERROR(INDEX(J$56:J$1054,SMALL(IF(ISNUMBER(J$56:J$1054),ROW(J$1:J$999),""),ROW(J756))),"")</f>
        <v/>
      </c>
      <c r="N811" s="7"/>
      <c r="O811" s="7"/>
      <c r="P811" s="7"/>
      <c r="Q811" s="7">
        <f ca="1">IFERROR(IF(COUNTA(P$56:P811)=P$54,P811,FORECAST(D811,OFFSET(S$56:S$254,MATCH(D811,R$56:R$254,1)-1,0,2), OFFSET(R$56:R$254,MATCH(D811,R$56:R$254,1)-1,0,2))),"")</f>
        <v>0</v>
      </c>
      <c r="R811" s="7" t="str">
        <f t="array" ref="R811">IFERROR(INDEX(E$56:E$1054,SMALL(IF(ISNUMBER(P$56:P$1054),ROW(E$1:E$999),""),ROW(J756))),"")</f>
        <v/>
      </c>
      <c r="S811" s="7" t="str">
        <f t="array" ref="S811">IFERROR(INDEX(P$56:P$1054,SMALL(IF(ISNUMBER(P$56:P$1054),ROW(P$1:P$999),""),ROW(P756))),"")</f>
        <v/>
      </c>
      <c r="T811" s="7"/>
      <c r="U811" s="7"/>
      <c r="V811" s="7"/>
    </row>
    <row r="812" spans="1:22" x14ac:dyDescent="0.25">
      <c r="A812" s="6"/>
      <c r="B812" s="11"/>
      <c r="C812" s="12"/>
      <c r="D812" s="12"/>
      <c r="E812" s="8">
        <f t="shared" si="11"/>
        <v>0</v>
      </c>
      <c r="F812" s="10"/>
      <c r="G812" s="10"/>
      <c r="H812" s="9"/>
      <c r="I812" s="7"/>
      <c r="J812" s="7"/>
      <c r="K812" s="7">
        <f ca="1">IFERROR(IF(COUNTA(J$56:J812)=J$54,J812,FORECAST(D812,OFFSET(M$56:M$254,MATCH(D812,L$56:L$254,1)-1,0,2), OFFSET(L$56:L$254,MATCH(D812,L$56:L$254,1)-1,0,2))),"")</f>
        <v>0</v>
      </c>
      <c r="L812" s="7" t="str">
        <f t="array" ref="L812">IFERROR(INDEX(D$56:D$1054,SMALL(IF(ISNUMBER(J$56:J$1054),ROW(D$1:D$999),""),ROW(D757))),"")</f>
        <v/>
      </c>
      <c r="M812" s="7" t="str">
        <f t="array" ref="M812">IFERROR(INDEX(J$56:J$1054,SMALL(IF(ISNUMBER(J$56:J$1054),ROW(J$1:J$999),""),ROW(J757))),"")</f>
        <v/>
      </c>
      <c r="N812" s="7"/>
      <c r="O812" s="7"/>
      <c r="P812" s="7"/>
      <c r="Q812" s="7">
        <f ca="1">IFERROR(IF(COUNTA(P$56:P812)=P$54,P812,FORECAST(D812,OFFSET(S$56:S$254,MATCH(D812,R$56:R$254,1)-1,0,2), OFFSET(R$56:R$254,MATCH(D812,R$56:R$254,1)-1,0,2))),"")</f>
        <v>0</v>
      </c>
      <c r="R812" s="7" t="str">
        <f t="array" ref="R812">IFERROR(INDEX(E$56:E$1054,SMALL(IF(ISNUMBER(P$56:P$1054),ROW(E$1:E$999),""),ROW(J757))),"")</f>
        <v/>
      </c>
      <c r="S812" s="7" t="str">
        <f t="array" ref="S812">IFERROR(INDEX(P$56:P$1054,SMALL(IF(ISNUMBER(P$56:P$1054),ROW(P$1:P$999),""),ROW(P757))),"")</f>
        <v/>
      </c>
      <c r="T812" s="7"/>
      <c r="U812" s="7"/>
      <c r="V812" s="7"/>
    </row>
    <row r="813" spans="1:22" x14ac:dyDescent="0.25">
      <c r="A813" s="6"/>
      <c r="B813" s="11"/>
      <c r="C813" s="12"/>
      <c r="D813" s="12"/>
      <c r="E813" s="8">
        <f t="shared" si="11"/>
        <v>0</v>
      </c>
      <c r="F813" s="10"/>
      <c r="G813" s="10"/>
      <c r="H813" s="9"/>
      <c r="I813" s="7"/>
      <c r="J813" s="7"/>
      <c r="K813" s="7">
        <f ca="1">IFERROR(IF(COUNTA(J$56:J813)=J$54,J813,FORECAST(D813,OFFSET(M$56:M$254,MATCH(D813,L$56:L$254,1)-1,0,2), OFFSET(L$56:L$254,MATCH(D813,L$56:L$254,1)-1,0,2))),"")</f>
        <v>0</v>
      </c>
      <c r="L813" s="7" t="str">
        <f t="array" ref="L813">IFERROR(INDEX(D$56:D$1054,SMALL(IF(ISNUMBER(J$56:J$1054),ROW(D$1:D$999),""),ROW(D758))),"")</f>
        <v/>
      </c>
      <c r="M813" s="7" t="str">
        <f t="array" ref="M813">IFERROR(INDEX(J$56:J$1054,SMALL(IF(ISNUMBER(J$56:J$1054),ROW(J$1:J$999),""),ROW(J758))),"")</f>
        <v/>
      </c>
      <c r="N813" s="7"/>
      <c r="O813" s="7"/>
      <c r="P813" s="7"/>
      <c r="Q813" s="7">
        <f ca="1">IFERROR(IF(COUNTA(P$56:P813)=P$54,P813,FORECAST(D813,OFFSET(S$56:S$254,MATCH(D813,R$56:R$254,1)-1,0,2), OFFSET(R$56:R$254,MATCH(D813,R$56:R$254,1)-1,0,2))),"")</f>
        <v>0</v>
      </c>
      <c r="R813" s="7" t="str">
        <f t="array" ref="R813">IFERROR(INDEX(E$56:E$1054,SMALL(IF(ISNUMBER(P$56:P$1054),ROW(E$1:E$999),""),ROW(J758))),"")</f>
        <v/>
      </c>
      <c r="S813" s="7" t="str">
        <f t="array" ref="S813">IFERROR(INDEX(P$56:P$1054,SMALL(IF(ISNUMBER(P$56:P$1054),ROW(P$1:P$999),""),ROW(P758))),"")</f>
        <v/>
      </c>
      <c r="T813" s="7"/>
      <c r="U813" s="7"/>
      <c r="V813" s="7"/>
    </row>
    <row r="814" spans="1:22" x14ac:dyDescent="0.25">
      <c r="A814" s="6"/>
      <c r="B814" s="11"/>
      <c r="C814" s="12"/>
      <c r="D814" s="12"/>
      <c r="E814" s="8">
        <f t="shared" si="11"/>
        <v>0</v>
      </c>
      <c r="F814" s="10"/>
      <c r="G814" s="10"/>
      <c r="H814" s="9"/>
      <c r="I814" s="7"/>
      <c r="J814" s="7"/>
      <c r="K814" s="7">
        <f ca="1">IFERROR(IF(COUNTA(J$56:J814)=J$54,J814,FORECAST(D814,OFFSET(M$56:M$254,MATCH(D814,L$56:L$254,1)-1,0,2), OFFSET(L$56:L$254,MATCH(D814,L$56:L$254,1)-1,0,2))),"")</f>
        <v>0</v>
      </c>
      <c r="L814" s="7" t="str">
        <f t="array" ref="L814">IFERROR(INDEX(D$56:D$1054,SMALL(IF(ISNUMBER(J$56:J$1054),ROW(D$1:D$999),""),ROW(D759))),"")</f>
        <v/>
      </c>
      <c r="M814" s="7" t="str">
        <f t="array" ref="M814">IFERROR(INDEX(J$56:J$1054,SMALL(IF(ISNUMBER(J$56:J$1054),ROW(J$1:J$999),""),ROW(J759))),"")</f>
        <v/>
      </c>
      <c r="N814" s="7"/>
      <c r="O814" s="7"/>
      <c r="P814" s="7"/>
      <c r="Q814" s="7">
        <f ca="1">IFERROR(IF(COUNTA(P$56:P814)=P$54,P814,FORECAST(D814,OFFSET(S$56:S$254,MATCH(D814,R$56:R$254,1)-1,0,2), OFFSET(R$56:R$254,MATCH(D814,R$56:R$254,1)-1,0,2))),"")</f>
        <v>0</v>
      </c>
      <c r="R814" s="7" t="str">
        <f t="array" ref="R814">IFERROR(INDEX(E$56:E$1054,SMALL(IF(ISNUMBER(P$56:P$1054),ROW(E$1:E$999),""),ROW(J759))),"")</f>
        <v/>
      </c>
      <c r="S814" s="7" t="str">
        <f t="array" ref="S814">IFERROR(INDEX(P$56:P$1054,SMALL(IF(ISNUMBER(P$56:P$1054),ROW(P$1:P$999),""),ROW(P759))),"")</f>
        <v/>
      </c>
      <c r="T814" s="7"/>
      <c r="U814" s="7"/>
      <c r="V814" s="7"/>
    </row>
    <row r="815" spans="1:22" x14ac:dyDescent="0.25">
      <c r="A815" s="6"/>
      <c r="B815" s="11"/>
      <c r="C815" s="12"/>
      <c r="D815" s="12"/>
      <c r="E815" s="8">
        <f t="shared" si="11"/>
        <v>0</v>
      </c>
      <c r="F815" s="10"/>
      <c r="G815" s="10"/>
      <c r="H815" s="9"/>
      <c r="I815" s="7"/>
      <c r="J815" s="7"/>
      <c r="K815" s="7">
        <f ca="1">IFERROR(IF(COUNTA(J$56:J815)=J$54,J815,FORECAST(D815,OFFSET(M$56:M$254,MATCH(D815,L$56:L$254,1)-1,0,2), OFFSET(L$56:L$254,MATCH(D815,L$56:L$254,1)-1,0,2))),"")</f>
        <v>0</v>
      </c>
      <c r="L815" s="7" t="str">
        <f t="array" ref="L815">IFERROR(INDEX(D$56:D$1054,SMALL(IF(ISNUMBER(J$56:J$1054),ROW(D$1:D$999),""),ROW(D760))),"")</f>
        <v/>
      </c>
      <c r="M815" s="7" t="str">
        <f t="array" ref="M815">IFERROR(INDEX(J$56:J$1054,SMALL(IF(ISNUMBER(J$56:J$1054),ROW(J$1:J$999),""),ROW(J760))),"")</f>
        <v/>
      </c>
      <c r="N815" s="7"/>
      <c r="O815" s="7"/>
      <c r="P815" s="7"/>
      <c r="Q815" s="7">
        <f ca="1">IFERROR(IF(COUNTA(P$56:P815)=P$54,P815,FORECAST(D815,OFFSET(S$56:S$254,MATCH(D815,R$56:R$254,1)-1,0,2), OFFSET(R$56:R$254,MATCH(D815,R$56:R$254,1)-1,0,2))),"")</f>
        <v>0</v>
      </c>
      <c r="R815" s="7" t="str">
        <f t="array" ref="R815">IFERROR(INDEX(E$56:E$1054,SMALL(IF(ISNUMBER(P$56:P$1054),ROW(E$1:E$999),""),ROW(J760))),"")</f>
        <v/>
      </c>
      <c r="S815" s="7" t="str">
        <f t="array" ref="S815">IFERROR(INDEX(P$56:P$1054,SMALL(IF(ISNUMBER(P$56:P$1054),ROW(P$1:P$999),""),ROW(P760))),"")</f>
        <v/>
      </c>
      <c r="T815" s="7"/>
      <c r="U815" s="7"/>
      <c r="V815" s="7"/>
    </row>
    <row r="816" spans="1:22" x14ac:dyDescent="0.25">
      <c r="A816" s="6"/>
      <c r="B816" s="11"/>
      <c r="C816" s="12"/>
      <c r="D816" s="12"/>
      <c r="E816" s="8">
        <f t="shared" si="11"/>
        <v>0</v>
      </c>
      <c r="F816" s="10"/>
      <c r="G816" s="10"/>
      <c r="H816" s="9"/>
      <c r="I816" s="7"/>
      <c r="J816" s="7"/>
      <c r="K816" s="7">
        <f ca="1">IFERROR(IF(COUNTA(J$56:J816)=J$54,J816,FORECAST(D816,OFFSET(M$56:M$254,MATCH(D816,L$56:L$254,1)-1,0,2), OFFSET(L$56:L$254,MATCH(D816,L$56:L$254,1)-1,0,2))),"")</f>
        <v>0</v>
      </c>
      <c r="L816" s="7" t="str">
        <f t="array" ref="L816">IFERROR(INDEX(D$56:D$1054,SMALL(IF(ISNUMBER(J$56:J$1054),ROW(D$1:D$999),""),ROW(D761))),"")</f>
        <v/>
      </c>
      <c r="M816" s="7" t="str">
        <f t="array" ref="M816">IFERROR(INDEX(J$56:J$1054,SMALL(IF(ISNUMBER(J$56:J$1054),ROW(J$1:J$999),""),ROW(J761))),"")</f>
        <v/>
      </c>
      <c r="N816" s="7"/>
      <c r="O816" s="7"/>
      <c r="P816" s="7"/>
      <c r="Q816" s="7">
        <f ca="1">IFERROR(IF(COUNTA(P$56:P816)=P$54,P816,FORECAST(D816,OFFSET(S$56:S$254,MATCH(D816,R$56:R$254,1)-1,0,2), OFFSET(R$56:R$254,MATCH(D816,R$56:R$254,1)-1,0,2))),"")</f>
        <v>0</v>
      </c>
      <c r="R816" s="7" t="str">
        <f t="array" ref="R816">IFERROR(INDEX(E$56:E$1054,SMALL(IF(ISNUMBER(P$56:P$1054),ROW(E$1:E$999),""),ROW(J761))),"")</f>
        <v/>
      </c>
      <c r="S816" s="7" t="str">
        <f t="array" ref="S816">IFERROR(INDEX(P$56:P$1054,SMALL(IF(ISNUMBER(P$56:P$1054),ROW(P$1:P$999),""),ROW(P761))),"")</f>
        <v/>
      </c>
      <c r="T816" s="7"/>
      <c r="U816" s="7"/>
      <c r="V816" s="7"/>
    </row>
    <row r="817" spans="1:22" x14ac:dyDescent="0.25">
      <c r="A817" s="6"/>
      <c r="B817" s="11"/>
      <c r="C817" s="12"/>
      <c r="D817" s="12"/>
      <c r="E817" s="8">
        <f t="shared" si="11"/>
        <v>0</v>
      </c>
      <c r="F817" s="10"/>
      <c r="G817" s="10"/>
      <c r="H817" s="9"/>
      <c r="I817" s="7"/>
      <c r="J817" s="7"/>
      <c r="K817" s="7">
        <f ca="1">IFERROR(IF(COUNTA(J$56:J817)=J$54,J817,FORECAST(D817,OFFSET(M$56:M$254,MATCH(D817,L$56:L$254,1)-1,0,2), OFFSET(L$56:L$254,MATCH(D817,L$56:L$254,1)-1,0,2))),"")</f>
        <v>0</v>
      </c>
      <c r="L817" s="7" t="str">
        <f t="array" ref="L817">IFERROR(INDEX(D$56:D$1054,SMALL(IF(ISNUMBER(J$56:J$1054),ROW(D$1:D$999),""),ROW(D762))),"")</f>
        <v/>
      </c>
      <c r="M817" s="7" t="str">
        <f t="array" ref="M817">IFERROR(INDEX(J$56:J$1054,SMALL(IF(ISNUMBER(J$56:J$1054),ROW(J$1:J$999),""),ROW(J762))),"")</f>
        <v/>
      </c>
      <c r="N817" s="7"/>
      <c r="O817" s="7"/>
      <c r="P817" s="7"/>
      <c r="Q817" s="7">
        <f ca="1">IFERROR(IF(COUNTA(P$56:P817)=P$54,P817,FORECAST(D817,OFFSET(S$56:S$254,MATCH(D817,R$56:R$254,1)-1,0,2), OFFSET(R$56:R$254,MATCH(D817,R$56:R$254,1)-1,0,2))),"")</f>
        <v>0</v>
      </c>
      <c r="R817" s="7" t="str">
        <f t="array" ref="R817">IFERROR(INDEX(E$56:E$1054,SMALL(IF(ISNUMBER(P$56:P$1054),ROW(E$1:E$999),""),ROW(J762))),"")</f>
        <v/>
      </c>
      <c r="S817" s="7" t="str">
        <f t="array" ref="S817">IFERROR(INDEX(P$56:P$1054,SMALL(IF(ISNUMBER(P$56:P$1054),ROW(P$1:P$999),""),ROW(P762))),"")</f>
        <v/>
      </c>
      <c r="T817" s="7"/>
      <c r="U817" s="7"/>
      <c r="V817" s="7"/>
    </row>
    <row r="818" spans="1:22" x14ac:dyDescent="0.25">
      <c r="A818" s="6"/>
      <c r="B818" s="11"/>
      <c r="C818" s="12"/>
      <c r="D818" s="12"/>
      <c r="E818" s="8">
        <f t="shared" si="11"/>
        <v>0</v>
      </c>
      <c r="F818" s="10"/>
      <c r="G818" s="10"/>
      <c r="H818" s="9"/>
      <c r="I818" s="7"/>
      <c r="J818" s="7"/>
      <c r="K818" s="7">
        <f ca="1">IFERROR(IF(COUNTA(J$56:J818)=J$54,J818,FORECAST(D818,OFFSET(M$56:M$254,MATCH(D818,L$56:L$254,1)-1,0,2), OFFSET(L$56:L$254,MATCH(D818,L$56:L$254,1)-1,0,2))),"")</f>
        <v>0</v>
      </c>
      <c r="L818" s="7" t="str">
        <f t="array" ref="L818">IFERROR(INDEX(D$56:D$1054,SMALL(IF(ISNUMBER(J$56:J$1054),ROW(D$1:D$999),""),ROW(D763))),"")</f>
        <v/>
      </c>
      <c r="M818" s="7" t="str">
        <f t="array" ref="M818">IFERROR(INDEX(J$56:J$1054,SMALL(IF(ISNUMBER(J$56:J$1054),ROW(J$1:J$999),""),ROW(J763))),"")</f>
        <v/>
      </c>
      <c r="N818" s="7"/>
      <c r="O818" s="7"/>
      <c r="P818" s="7"/>
      <c r="Q818" s="7">
        <f ca="1">IFERROR(IF(COUNTA(P$56:P818)=P$54,P818,FORECAST(D818,OFFSET(S$56:S$254,MATCH(D818,R$56:R$254,1)-1,0,2), OFFSET(R$56:R$254,MATCH(D818,R$56:R$254,1)-1,0,2))),"")</f>
        <v>0</v>
      </c>
      <c r="R818" s="7" t="str">
        <f t="array" ref="R818">IFERROR(INDEX(E$56:E$1054,SMALL(IF(ISNUMBER(P$56:P$1054),ROW(E$1:E$999),""),ROW(J763))),"")</f>
        <v/>
      </c>
      <c r="S818" s="7" t="str">
        <f t="array" ref="S818">IFERROR(INDEX(P$56:P$1054,SMALL(IF(ISNUMBER(P$56:P$1054),ROW(P$1:P$999),""),ROW(P763))),"")</f>
        <v/>
      </c>
      <c r="T818" s="7"/>
      <c r="U818" s="7"/>
      <c r="V818" s="7"/>
    </row>
    <row r="819" spans="1:22" x14ac:dyDescent="0.25">
      <c r="A819" s="6"/>
      <c r="B819" s="11"/>
      <c r="C819" s="12"/>
      <c r="D819" s="12"/>
      <c r="E819" s="8">
        <f t="shared" si="11"/>
        <v>0</v>
      </c>
      <c r="F819" s="10"/>
      <c r="G819" s="10"/>
      <c r="H819" s="9"/>
      <c r="I819" s="7"/>
      <c r="J819" s="7"/>
      <c r="K819" s="7">
        <f ca="1">IFERROR(IF(COUNTA(J$56:J819)=J$54,J819,FORECAST(D819,OFFSET(M$56:M$254,MATCH(D819,L$56:L$254,1)-1,0,2), OFFSET(L$56:L$254,MATCH(D819,L$56:L$254,1)-1,0,2))),"")</f>
        <v>0</v>
      </c>
      <c r="L819" s="7" t="str">
        <f t="array" ref="L819">IFERROR(INDEX(D$56:D$1054,SMALL(IF(ISNUMBER(J$56:J$1054),ROW(D$1:D$999),""),ROW(D764))),"")</f>
        <v/>
      </c>
      <c r="M819" s="7" t="str">
        <f t="array" ref="M819">IFERROR(INDEX(J$56:J$1054,SMALL(IF(ISNUMBER(J$56:J$1054),ROW(J$1:J$999),""),ROW(J764))),"")</f>
        <v/>
      </c>
      <c r="N819" s="7"/>
      <c r="O819" s="7"/>
      <c r="P819" s="7"/>
      <c r="Q819" s="7">
        <f ca="1">IFERROR(IF(COUNTA(P$56:P819)=P$54,P819,FORECAST(D819,OFFSET(S$56:S$254,MATCH(D819,R$56:R$254,1)-1,0,2), OFFSET(R$56:R$254,MATCH(D819,R$56:R$254,1)-1,0,2))),"")</f>
        <v>0</v>
      </c>
      <c r="R819" s="7" t="str">
        <f t="array" ref="R819">IFERROR(INDEX(E$56:E$1054,SMALL(IF(ISNUMBER(P$56:P$1054),ROW(E$1:E$999),""),ROW(J764))),"")</f>
        <v/>
      </c>
      <c r="S819" s="7" t="str">
        <f t="array" ref="S819">IFERROR(INDEX(P$56:P$1054,SMALL(IF(ISNUMBER(P$56:P$1054),ROW(P$1:P$999),""),ROW(P764))),"")</f>
        <v/>
      </c>
      <c r="T819" s="7"/>
      <c r="U819" s="7"/>
      <c r="V819" s="7"/>
    </row>
    <row r="820" spans="1:22" x14ac:dyDescent="0.25">
      <c r="A820" s="6"/>
      <c r="B820" s="11"/>
      <c r="C820" s="12"/>
      <c r="D820" s="12"/>
      <c r="E820" s="8">
        <f t="shared" si="11"/>
        <v>0</v>
      </c>
      <c r="F820" s="10"/>
      <c r="G820" s="10"/>
      <c r="H820" s="9"/>
      <c r="I820" s="7"/>
      <c r="J820" s="7"/>
      <c r="K820" s="7">
        <f ca="1">IFERROR(IF(COUNTA(J$56:J820)=J$54,J820,FORECAST(D820,OFFSET(M$56:M$254,MATCH(D820,L$56:L$254,1)-1,0,2), OFFSET(L$56:L$254,MATCH(D820,L$56:L$254,1)-1,0,2))),"")</f>
        <v>0</v>
      </c>
      <c r="L820" s="7" t="str">
        <f t="array" ref="L820">IFERROR(INDEX(D$56:D$1054,SMALL(IF(ISNUMBER(J$56:J$1054),ROW(D$1:D$999),""),ROW(D765))),"")</f>
        <v/>
      </c>
      <c r="M820" s="7" t="str">
        <f t="array" ref="M820">IFERROR(INDEX(J$56:J$1054,SMALL(IF(ISNUMBER(J$56:J$1054),ROW(J$1:J$999),""),ROW(J765))),"")</f>
        <v/>
      </c>
      <c r="N820" s="7"/>
      <c r="O820" s="7"/>
      <c r="P820" s="7"/>
      <c r="Q820" s="7">
        <f ca="1">IFERROR(IF(COUNTA(P$56:P820)=P$54,P820,FORECAST(D820,OFFSET(S$56:S$254,MATCH(D820,R$56:R$254,1)-1,0,2), OFFSET(R$56:R$254,MATCH(D820,R$56:R$254,1)-1,0,2))),"")</f>
        <v>0</v>
      </c>
      <c r="R820" s="7" t="str">
        <f t="array" ref="R820">IFERROR(INDEX(E$56:E$1054,SMALL(IF(ISNUMBER(P$56:P$1054),ROW(E$1:E$999),""),ROW(J765))),"")</f>
        <v/>
      </c>
      <c r="S820" s="7" t="str">
        <f t="array" ref="S820">IFERROR(INDEX(P$56:P$1054,SMALL(IF(ISNUMBER(P$56:P$1054),ROW(P$1:P$999),""),ROW(P765))),"")</f>
        <v/>
      </c>
      <c r="T820" s="7"/>
      <c r="U820" s="7"/>
      <c r="V820" s="7"/>
    </row>
    <row r="821" spans="1:22" x14ac:dyDescent="0.25">
      <c r="A821" s="6"/>
      <c r="B821" s="11"/>
      <c r="C821" s="12"/>
      <c r="D821" s="12"/>
      <c r="E821" s="8">
        <f t="shared" si="11"/>
        <v>0</v>
      </c>
      <c r="F821" s="10"/>
      <c r="G821" s="10"/>
      <c r="H821" s="9"/>
      <c r="I821" s="7"/>
      <c r="J821" s="7"/>
      <c r="K821" s="7">
        <f ca="1">IFERROR(IF(COUNTA(J$56:J821)=J$54,J821,FORECAST(D821,OFFSET(M$56:M$254,MATCH(D821,L$56:L$254,1)-1,0,2), OFFSET(L$56:L$254,MATCH(D821,L$56:L$254,1)-1,0,2))),"")</f>
        <v>0</v>
      </c>
      <c r="L821" s="7" t="str">
        <f t="array" ref="L821">IFERROR(INDEX(D$56:D$1054,SMALL(IF(ISNUMBER(J$56:J$1054),ROW(D$1:D$999),""),ROW(D766))),"")</f>
        <v/>
      </c>
      <c r="M821" s="7" t="str">
        <f t="array" ref="M821">IFERROR(INDEX(J$56:J$1054,SMALL(IF(ISNUMBER(J$56:J$1054),ROW(J$1:J$999),""),ROW(J766))),"")</f>
        <v/>
      </c>
      <c r="N821" s="7"/>
      <c r="O821" s="7"/>
      <c r="P821" s="7"/>
      <c r="Q821" s="7">
        <f ca="1">IFERROR(IF(COUNTA(P$56:P821)=P$54,P821,FORECAST(D821,OFFSET(S$56:S$254,MATCH(D821,R$56:R$254,1)-1,0,2), OFFSET(R$56:R$254,MATCH(D821,R$56:R$254,1)-1,0,2))),"")</f>
        <v>0</v>
      </c>
      <c r="R821" s="7" t="str">
        <f t="array" ref="R821">IFERROR(INDEX(E$56:E$1054,SMALL(IF(ISNUMBER(P$56:P$1054),ROW(E$1:E$999),""),ROW(J766))),"")</f>
        <v/>
      </c>
      <c r="S821" s="7" t="str">
        <f t="array" ref="S821">IFERROR(INDEX(P$56:P$1054,SMALL(IF(ISNUMBER(P$56:P$1054),ROW(P$1:P$999),""),ROW(P766))),"")</f>
        <v/>
      </c>
      <c r="T821" s="7"/>
      <c r="U821" s="7"/>
      <c r="V821" s="7"/>
    </row>
    <row r="822" spans="1:22" x14ac:dyDescent="0.25">
      <c r="A822" s="6"/>
      <c r="B822" s="11"/>
      <c r="C822" s="12"/>
      <c r="D822" s="12"/>
      <c r="E822" s="8">
        <f t="shared" si="11"/>
        <v>0</v>
      </c>
      <c r="F822" s="10"/>
      <c r="G822" s="10"/>
      <c r="H822" s="9"/>
      <c r="I822" s="7"/>
      <c r="J822" s="7"/>
      <c r="K822" s="7">
        <f ca="1">IFERROR(IF(COUNTA(J$56:J822)=J$54,J822,FORECAST(D822,OFFSET(M$56:M$254,MATCH(D822,L$56:L$254,1)-1,0,2), OFFSET(L$56:L$254,MATCH(D822,L$56:L$254,1)-1,0,2))),"")</f>
        <v>0</v>
      </c>
      <c r="L822" s="7" t="str">
        <f t="array" ref="L822">IFERROR(INDEX(D$56:D$1054,SMALL(IF(ISNUMBER(J$56:J$1054),ROW(D$1:D$999),""),ROW(D767))),"")</f>
        <v/>
      </c>
      <c r="M822" s="7" t="str">
        <f t="array" ref="M822">IFERROR(INDEX(J$56:J$1054,SMALL(IF(ISNUMBER(J$56:J$1054),ROW(J$1:J$999),""),ROW(J767))),"")</f>
        <v/>
      </c>
      <c r="N822" s="7"/>
      <c r="O822" s="7"/>
      <c r="P822" s="7"/>
      <c r="Q822" s="7">
        <f ca="1">IFERROR(IF(COUNTA(P$56:P822)=P$54,P822,FORECAST(D822,OFFSET(S$56:S$254,MATCH(D822,R$56:R$254,1)-1,0,2), OFFSET(R$56:R$254,MATCH(D822,R$56:R$254,1)-1,0,2))),"")</f>
        <v>0</v>
      </c>
      <c r="R822" s="7" t="str">
        <f t="array" ref="R822">IFERROR(INDEX(E$56:E$1054,SMALL(IF(ISNUMBER(P$56:P$1054),ROW(E$1:E$999),""),ROW(J767))),"")</f>
        <v/>
      </c>
      <c r="S822" s="7" t="str">
        <f t="array" ref="S822">IFERROR(INDEX(P$56:P$1054,SMALL(IF(ISNUMBER(P$56:P$1054),ROW(P$1:P$999),""),ROW(P767))),"")</f>
        <v/>
      </c>
      <c r="T822" s="7"/>
      <c r="U822" s="7"/>
      <c r="V822" s="7"/>
    </row>
    <row r="823" spans="1:22" x14ac:dyDescent="0.25">
      <c r="A823" s="6"/>
      <c r="B823" s="11"/>
      <c r="C823" s="12"/>
      <c r="D823" s="12"/>
      <c r="E823" s="8">
        <f t="shared" si="11"/>
        <v>0</v>
      </c>
      <c r="F823" s="10"/>
      <c r="G823" s="10"/>
      <c r="H823" s="9"/>
      <c r="I823" s="7"/>
      <c r="J823" s="7"/>
      <c r="K823" s="7">
        <f ca="1">IFERROR(IF(COUNTA(J$56:J823)=J$54,J823,FORECAST(D823,OFFSET(M$56:M$254,MATCH(D823,L$56:L$254,1)-1,0,2), OFFSET(L$56:L$254,MATCH(D823,L$56:L$254,1)-1,0,2))),"")</f>
        <v>0</v>
      </c>
      <c r="L823" s="7" t="str">
        <f t="array" ref="L823">IFERROR(INDEX(D$56:D$1054,SMALL(IF(ISNUMBER(J$56:J$1054),ROW(D$1:D$999),""),ROW(D768))),"")</f>
        <v/>
      </c>
      <c r="M823" s="7" t="str">
        <f t="array" ref="M823">IFERROR(INDEX(J$56:J$1054,SMALL(IF(ISNUMBER(J$56:J$1054),ROW(J$1:J$999),""),ROW(J768))),"")</f>
        <v/>
      </c>
      <c r="N823" s="7"/>
      <c r="O823" s="7"/>
      <c r="P823" s="7"/>
      <c r="Q823" s="7">
        <f ca="1">IFERROR(IF(COUNTA(P$56:P823)=P$54,P823,FORECAST(D823,OFFSET(S$56:S$254,MATCH(D823,R$56:R$254,1)-1,0,2), OFFSET(R$56:R$254,MATCH(D823,R$56:R$254,1)-1,0,2))),"")</f>
        <v>0</v>
      </c>
      <c r="R823" s="7" t="str">
        <f t="array" ref="R823">IFERROR(INDEX(E$56:E$1054,SMALL(IF(ISNUMBER(P$56:P$1054),ROW(E$1:E$999),""),ROW(J768))),"")</f>
        <v/>
      </c>
      <c r="S823" s="7" t="str">
        <f t="array" ref="S823">IFERROR(INDEX(P$56:P$1054,SMALL(IF(ISNUMBER(P$56:P$1054),ROW(P$1:P$999),""),ROW(P768))),"")</f>
        <v/>
      </c>
      <c r="T823" s="7"/>
      <c r="U823" s="7"/>
      <c r="V823" s="7"/>
    </row>
    <row r="824" spans="1:22" x14ac:dyDescent="0.25">
      <c r="A824" s="6"/>
      <c r="B824" s="11"/>
      <c r="C824" s="12"/>
      <c r="D824" s="12"/>
      <c r="E824" s="8">
        <f t="shared" si="11"/>
        <v>0</v>
      </c>
      <c r="F824" s="10"/>
      <c r="G824" s="10"/>
      <c r="H824" s="9"/>
      <c r="I824" s="7"/>
      <c r="J824" s="7"/>
      <c r="K824" s="7">
        <f ca="1">IFERROR(IF(COUNTA(J$56:J824)=J$54,J824,FORECAST(D824,OFFSET(M$56:M$254,MATCH(D824,L$56:L$254,1)-1,0,2), OFFSET(L$56:L$254,MATCH(D824,L$56:L$254,1)-1,0,2))),"")</f>
        <v>0</v>
      </c>
      <c r="L824" s="7" t="str">
        <f t="array" ref="L824">IFERROR(INDEX(D$56:D$1054,SMALL(IF(ISNUMBER(J$56:J$1054),ROW(D$1:D$999),""),ROW(D769))),"")</f>
        <v/>
      </c>
      <c r="M824" s="7" t="str">
        <f t="array" ref="M824">IFERROR(INDEX(J$56:J$1054,SMALL(IF(ISNUMBER(J$56:J$1054),ROW(J$1:J$999),""),ROW(J769))),"")</f>
        <v/>
      </c>
      <c r="N824" s="7"/>
      <c r="O824" s="7"/>
      <c r="P824" s="7"/>
      <c r="Q824" s="7">
        <f ca="1">IFERROR(IF(COUNTA(P$56:P824)=P$54,P824,FORECAST(D824,OFFSET(S$56:S$254,MATCH(D824,R$56:R$254,1)-1,0,2), OFFSET(R$56:R$254,MATCH(D824,R$56:R$254,1)-1,0,2))),"")</f>
        <v>0</v>
      </c>
      <c r="R824" s="7" t="str">
        <f t="array" ref="R824">IFERROR(INDEX(E$56:E$1054,SMALL(IF(ISNUMBER(P$56:P$1054),ROW(E$1:E$999),""),ROW(J769))),"")</f>
        <v/>
      </c>
      <c r="S824" s="7" t="str">
        <f t="array" ref="S824">IFERROR(INDEX(P$56:P$1054,SMALL(IF(ISNUMBER(P$56:P$1054),ROW(P$1:P$999),""),ROW(P769))),"")</f>
        <v/>
      </c>
      <c r="T824" s="7"/>
      <c r="U824" s="7"/>
      <c r="V824" s="7"/>
    </row>
    <row r="825" spans="1:22" x14ac:dyDescent="0.25">
      <c r="A825" s="6"/>
      <c r="B825" s="11"/>
      <c r="C825" s="12"/>
      <c r="D825" s="12"/>
      <c r="E825" s="8">
        <f t="shared" si="11"/>
        <v>0</v>
      </c>
      <c r="F825" s="10"/>
      <c r="G825" s="10"/>
      <c r="H825" s="9"/>
      <c r="I825" s="7"/>
      <c r="J825" s="7"/>
      <c r="K825" s="7">
        <f ca="1">IFERROR(IF(COUNTA(J$56:J825)=J$54,J825,FORECAST(D825,OFFSET(M$56:M$254,MATCH(D825,L$56:L$254,1)-1,0,2), OFFSET(L$56:L$254,MATCH(D825,L$56:L$254,1)-1,0,2))),"")</f>
        <v>0</v>
      </c>
      <c r="L825" s="7" t="str">
        <f t="array" ref="L825">IFERROR(INDEX(D$56:D$1054,SMALL(IF(ISNUMBER(J$56:J$1054),ROW(D$1:D$999),""),ROW(D770))),"")</f>
        <v/>
      </c>
      <c r="M825" s="7" t="str">
        <f t="array" ref="M825">IFERROR(INDEX(J$56:J$1054,SMALL(IF(ISNUMBER(J$56:J$1054),ROW(J$1:J$999),""),ROW(J770))),"")</f>
        <v/>
      </c>
      <c r="N825" s="7"/>
      <c r="O825" s="7"/>
      <c r="P825" s="7"/>
      <c r="Q825" s="7">
        <f ca="1">IFERROR(IF(COUNTA(P$56:P825)=P$54,P825,FORECAST(D825,OFFSET(S$56:S$254,MATCH(D825,R$56:R$254,1)-1,0,2), OFFSET(R$56:R$254,MATCH(D825,R$56:R$254,1)-1,0,2))),"")</f>
        <v>0</v>
      </c>
      <c r="R825" s="7" t="str">
        <f t="array" ref="R825">IFERROR(INDEX(E$56:E$1054,SMALL(IF(ISNUMBER(P$56:P$1054),ROW(E$1:E$999),""),ROW(J770))),"")</f>
        <v/>
      </c>
      <c r="S825" s="7" t="str">
        <f t="array" ref="S825">IFERROR(INDEX(P$56:P$1054,SMALL(IF(ISNUMBER(P$56:P$1054),ROW(P$1:P$999),""),ROW(P770))),"")</f>
        <v/>
      </c>
      <c r="T825" s="7"/>
      <c r="U825" s="7"/>
      <c r="V825" s="7"/>
    </row>
    <row r="826" spans="1:22" x14ac:dyDescent="0.25">
      <c r="A826" s="6"/>
      <c r="B826" s="11"/>
      <c r="C826" s="12"/>
      <c r="D826" s="12"/>
      <c r="E826" s="8">
        <f t="shared" ref="E826:E889" si="12">IF(NOT(ISBLANK(D826)),D826+C$54,0)</f>
        <v>0</v>
      </c>
      <c r="F826" s="10"/>
      <c r="G826" s="10"/>
      <c r="H826" s="9"/>
      <c r="I826" s="7"/>
      <c r="J826" s="7"/>
      <c r="K826" s="7">
        <f ca="1">IFERROR(IF(COUNTA(J$56:J826)=J$54,J826,FORECAST(D826,OFFSET(M$56:M$254,MATCH(D826,L$56:L$254,1)-1,0,2), OFFSET(L$56:L$254,MATCH(D826,L$56:L$254,1)-1,0,2))),"")</f>
        <v>0</v>
      </c>
      <c r="L826" s="7" t="str">
        <f t="array" ref="L826">IFERROR(INDEX(D$56:D$1054,SMALL(IF(ISNUMBER(J$56:J$1054),ROW(D$1:D$999),""),ROW(D771))),"")</f>
        <v/>
      </c>
      <c r="M826" s="7" t="str">
        <f t="array" ref="M826">IFERROR(INDEX(J$56:J$1054,SMALL(IF(ISNUMBER(J$56:J$1054),ROW(J$1:J$999),""),ROW(J771))),"")</f>
        <v/>
      </c>
      <c r="N826" s="7"/>
      <c r="O826" s="7"/>
      <c r="P826" s="7"/>
      <c r="Q826" s="7">
        <f ca="1">IFERROR(IF(COUNTA(P$56:P826)=P$54,P826,FORECAST(D826,OFFSET(S$56:S$254,MATCH(D826,R$56:R$254,1)-1,0,2), OFFSET(R$56:R$254,MATCH(D826,R$56:R$254,1)-1,0,2))),"")</f>
        <v>0</v>
      </c>
      <c r="R826" s="7" t="str">
        <f t="array" ref="R826">IFERROR(INDEX(E$56:E$1054,SMALL(IF(ISNUMBER(P$56:P$1054),ROW(E$1:E$999),""),ROW(J771))),"")</f>
        <v/>
      </c>
      <c r="S826" s="7" t="str">
        <f t="array" ref="S826">IFERROR(INDEX(P$56:P$1054,SMALL(IF(ISNUMBER(P$56:P$1054),ROW(P$1:P$999),""),ROW(P771))),"")</f>
        <v/>
      </c>
      <c r="T826" s="7"/>
      <c r="U826" s="7"/>
      <c r="V826" s="7"/>
    </row>
    <row r="827" spans="1:22" x14ac:dyDescent="0.25">
      <c r="A827" s="6"/>
      <c r="B827" s="11"/>
      <c r="C827" s="12"/>
      <c r="D827" s="12"/>
      <c r="E827" s="8">
        <f t="shared" si="12"/>
        <v>0</v>
      </c>
      <c r="F827" s="10"/>
      <c r="G827" s="10"/>
      <c r="H827" s="9"/>
      <c r="I827" s="7"/>
      <c r="J827" s="7"/>
      <c r="K827" s="7">
        <f ca="1">IFERROR(IF(COUNTA(J$56:J827)=J$54,J827,FORECAST(D827,OFFSET(M$56:M$254,MATCH(D827,L$56:L$254,1)-1,0,2), OFFSET(L$56:L$254,MATCH(D827,L$56:L$254,1)-1,0,2))),"")</f>
        <v>0</v>
      </c>
      <c r="L827" s="7" t="str">
        <f t="array" ref="L827">IFERROR(INDEX(D$56:D$1054,SMALL(IF(ISNUMBER(J$56:J$1054),ROW(D$1:D$999),""),ROW(D772))),"")</f>
        <v/>
      </c>
      <c r="M827" s="7" t="str">
        <f t="array" ref="M827">IFERROR(INDEX(J$56:J$1054,SMALL(IF(ISNUMBER(J$56:J$1054),ROW(J$1:J$999),""),ROW(J772))),"")</f>
        <v/>
      </c>
      <c r="N827" s="7"/>
      <c r="O827" s="7"/>
      <c r="P827" s="7"/>
      <c r="Q827" s="7">
        <f ca="1">IFERROR(IF(COUNTA(P$56:P827)=P$54,P827,FORECAST(D827,OFFSET(S$56:S$254,MATCH(D827,R$56:R$254,1)-1,0,2), OFFSET(R$56:R$254,MATCH(D827,R$56:R$254,1)-1,0,2))),"")</f>
        <v>0</v>
      </c>
      <c r="R827" s="7" t="str">
        <f t="array" ref="R827">IFERROR(INDEX(E$56:E$1054,SMALL(IF(ISNUMBER(P$56:P$1054),ROW(E$1:E$999),""),ROW(J772))),"")</f>
        <v/>
      </c>
      <c r="S827" s="7" t="str">
        <f t="array" ref="S827">IFERROR(INDEX(P$56:P$1054,SMALL(IF(ISNUMBER(P$56:P$1054),ROW(P$1:P$999),""),ROW(P772))),"")</f>
        <v/>
      </c>
      <c r="T827" s="7"/>
      <c r="U827" s="7"/>
      <c r="V827" s="7"/>
    </row>
    <row r="828" spans="1:22" x14ac:dyDescent="0.25">
      <c r="A828" s="6"/>
      <c r="B828" s="11"/>
      <c r="C828" s="12"/>
      <c r="D828" s="12"/>
      <c r="E828" s="8">
        <f t="shared" si="12"/>
        <v>0</v>
      </c>
      <c r="F828" s="10"/>
      <c r="G828" s="10"/>
      <c r="H828" s="9"/>
      <c r="I828" s="7"/>
      <c r="J828" s="7"/>
      <c r="K828" s="7">
        <f ca="1">IFERROR(IF(COUNTA(J$56:J828)=J$54,J828,FORECAST(D828,OFFSET(M$56:M$254,MATCH(D828,L$56:L$254,1)-1,0,2), OFFSET(L$56:L$254,MATCH(D828,L$56:L$254,1)-1,0,2))),"")</f>
        <v>0</v>
      </c>
      <c r="L828" s="7" t="str">
        <f t="array" ref="L828">IFERROR(INDEX(D$56:D$1054,SMALL(IF(ISNUMBER(J$56:J$1054),ROW(D$1:D$999),""),ROW(D773))),"")</f>
        <v/>
      </c>
      <c r="M828" s="7" t="str">
        <f t="array" ref="M828">IFERROR(INDEX(J$56:J$1054,SMALL(IF(ISNUMBER(J$56:J$1054),ROW(J$1:J$999),""),ROW(J773))),"")</f>
        <v/>
      </c>
      <c r="N828" s="7"/>
      <c r="O828" s="7"/>
      <c r="P828" s="7"/>
      <c r="Q828" s="7">
        <f ca="1">IFERROR(IF(COUNTA(P$56:P828)=P$54,P828,FORECAST(D828,OFFSET(S$56:S$254,MATCH(D828,R$56:R$254,1)-1,0,2), OFFSET(R$56:R$254,MATCH(D828,R$56:R$254,1)-1,0,2))),"")</f>
        <v>0</v>
      </c>
      <c r="R828" s="7" t="str">
        <f t="array" ref="R828">IFERROR(INDEX(E$56:E$1054,SMALL(IF(ISNUMBER(P$56:P$1054),ROW(E$1:E$999),""),ROW(J773))),"")</f>
        <v/>
      </c>
      <c r="S828" s="7" t="str">
        <f t="array" ref="S828">IFERROR(INDEX(P$56:P$1054,SMALL(IF(ISNUMBER(P$56:P$1054),ROW(P$1:P$999),""),ROW(P773))),"")</f>
        <v/>
      </c>
      <c r="T828" s="7"/>
      <c r="U828" s="7"/>
      <c r="V828" s="7"/>
    </row>
    <row r="829" spans="1:22" x14ac:dyDescent="0.25">
      <c r="A829" s="6"/>
      <c r="B829" s="11"/>
      <c r="C829" s="12"/>
      <c r="D829" s="12"/>
      <c r="E829" s="8">
        <f t="shared" si="12"/>
        <v>0</v>
      </c>
      <c r="F829" s="10"/>
      <c r="G829" s="10"/>
      <c r="H829" s="9"/>
      <c r="I829" s="7"/>
      <c r="J829" s="7"/>
      <c r="K829" s="7">
        <f ca="1">IFERROR(IF(COUNTA(J$56:J829)=J$54,J829,FORECAST(D829,OFFSET(M$56:M$254,MATCH(D829,L$56:L$254,1)-1,0,2), OFFSET(L$56:L$254,MATCH(D829,L$56:L$254,1)-1,0,2))),"")</f>
        <v>0</v>
      </c>
      <c r="L829" s="7" t="str">
        <f t="array" ref="L829">IFERROR(INDEX(D$56:D$1054,SMALL(IF(ISNUMBER(J$56:J$1054),ROW(D$1:D$999),""),ROW(D774))),"")</f>
        <v/>
      </c>
      <c r="M829" s="7" t="str">
        <f t="array" ref="M829">IFERROR(INDEX(J$56:J$1054,SMALL(IF(ISNUMBER(J$56:J$1054),ROW(J$1:J$999),""),ROW(J774))),"")</f>
        <v/>
      </c>
      <c r="N829" s="7"/>
      <c r="O829" s="7"/>
      <c r="P829" s="7"/>
      <c r="Q829" s="7">
        <f ca="1">IFERROR(IF(COUNTA(P$56:P829)=P$54,P829,FORECAST(D829,OFFSET(S$56:S$254,MATCH(D829,R$56:R$254,1)-1,0,2), OFFSET(R$56:R$254,MATCH(D829,R$56:R$254,1)-1,0,2))),"")</f>
        <v>0</v>
      </c>
      <c r="R829" s="7" t="str">
        <f t="array" ref="R829">IFERROR(INDEX(E$56:E$1054,SMALL(IF(ISNUMBER(P$56:P$1054),ROW(E$1:E$999),""),ROW(J774))),"")</f>
        <v/>
      </c>
      <c r="S829" s="7" t="str">
        <f t="array" ref="S829">IFERROR(INDEX(P$56:P$1054,SMALL(IF(ISNUMBER(P$56:P$1054),ROW(P$1:P$999),""),ROW(P774))),"")</f>
        <v/>
      </c>
      <c r="T829" s="7"/>
      <c r="U829" s="7"/>
      <c r="V829" s="7"/>
    </row>
    <row r="830" spans="1:22" x14ac:dyDescent="0.25">
      <c r="A830" s="6"/>
      <c r="B830" s="11"/>
      <c r="C830" s="12"/>
      <c r="D830" s="12"/>
      <c r="E830" s="8">
        <f t="shared" si="12"/>
        <v>0</v>
      </c>
      <c r="F830" s="10"/>
      <c r="G830" s="10"/>
      <c r="H830" s="9"/>
      <c r="I830" s="7"/>
      <c r="J830" s="7"/>
      <c r="K830" s="7">
        <f ca="1">IFERROR(IF(COUNTA(J$56:J830)=J$54,J830,FORECAST(D830,OFFSET(M$56:M$254,MATCH(D830,L$56:L$254,1)-1,0,2), OFFSET(L$56:L$254,MATCH(D830,L$56:L$254,1)-1,0,2))),"")</f>
        <v>0</v>
      </c>
      <c r="L830" s="7" t="str">
        <f t="array" ref="L830">IFERROR(INDEX(D$56:D$1054,SMALL(IF(ISNUMBER(J$56:J$1054),ROW(D$1:D$999),""),ROW(D775))),"")</f>
        <v/>
      </c>
      <c r="M830" s="7" t="str">
        <f t="array" ref="M830">IFERROR(INDEX(J$56:J$1054,SMALL(IF(ISNUMBER(J$56:J$1054),ROW(J$1:J$999),""),ROW(J775))),"")</f>
        <v/>
      </c>
      <c r="N830" s="7"/>
      <c r="O830" s="7"/>
      <c r="P830" s="7"/>
      <c r="Q830" s="7">
        <f ca="1">IFERROR(IF(COUNTA(P$56:P830)=P$54,P830,FORECAST(D830,OFFSET(S$56:S$254,MATCH(D830,R$56:R$254,1)-1,0,2), OFFSET(R$56:R$254,MATCH(D830,R$56:R$254,1)-1,0,2))),"")</f>
        <v>0</v>
      </c>
      <c r="R830" s="7" t="str">
        <f t="array" ref="R830">IFERROR(INDEX(E$56:E$1054,SMALL(IF(ISNUMBER(P$56:P$1054),ROW(E$1:E$999),""),ROW(J775))),"")</f>
        <v/>
      </c>
      <c r="S830" s="7" t="str">
        <f t="array" ref="S830">IFERROR(INDEX(P$56:P$1054,SMALL(IF(ISNUMBER(P$56:P$1054),ROW(P$1:P$999),""),ROW(P775))),"")</f>
        <v/>
      </c>
      <c r="T830" s="7"/>
      <c r="U830" s="7"/>
      <c r="V830" s="7"/>
    </row>
    <row r="831" spans="1:22" x14ac:dyDescent="0.25">
      <c r="A831" s="6"/>
      <c r="B831" s="11"/>
      <c r="C831" s="12"/>
      <c r="D831" s="12"/>
      <c r="E831" s="8">
        <f t="shared" si="12"/>
        <v>0</v>
      </c>
      <c r="F831" s="10"/>
      <c r="G831" s="10"/>
      <c r="H831" s="9"/>
      <c r="I831" s="7"/>
      <c r="J831" s="7"/>
      <c r="K831" s="7">
        <f ca="1">IFERROR(IF(COUNTA(J$56:J831)=J$54,J831,FORECAST(D831,OFFSET(M$56:M$254,MATCH(D831,L$56:L$254,1)-1,0,2), OFFSET(L$56:L$254,MATCH(D831,L$56:L$254,1)-1,0,2))),"")</f>
        <v>0</v>
      </c>
      <c r="L831" s="7" t="str">
        <f t="array" ref="L831">IFERROR(INDEX(D$56:D$1054,SMALL(IF(ISNUMBER(J$56:J$1054),ROW(D$1:D$999),""),ROW(D776))),"")</f>
        <v/>
      </c>
      <c r="M831" s="7" t="str">
        <f t="array" ref="M831">IFERROR(INDEX(J$56:J$1054,SMALL(IF(ISNUMBER(J$56:J$1054),ROW(J$1:J$999),""),ROW(J776))),"")</f>
        <v/>
      </c>
      <c r="N831" s="7"/>
      <c r="O831" s="7"/>
      <c r="P831" s="7"/>
      <c r="Q831" s="7">
        <f ca="1">IFERROR(IF(COUNTA(P$56:P831)=P$54,P831,FORECAST(D831,OFFSET(S$56:S$254,MATCH(D831,R$56:R$254,1)-1,0,2), OFFSET(R$56:R$254,MATCH(D831,R$56:R$254,1)-1,0,2))),"")</f>
        <v>0</v>
      </c>
      <c r="R831" s="7" t="str">
        <f t="array" ref="R831">IFERROR(INDEX(E$56:E$1054,SMALL(IF(ISNUMBER(P$56:P$1054),ROW(E$1:E$999),""),ROW(J776))),"")</f>
        <v/>
      </c>
      <c r="S831" s="7" t="str">
        <f t="array" ref="S831">IFERROR(INDEX(P$56:P$1054,SMALL(IF(ISNUMBER(P$56:P$1054),ROW(P$1:P$999),""),ROW(P776))),"")</f>
        <v/>
      </c>
      <c r="T831" s="7"/>
      <c r="U831" s="7"/>
      <c r="V831" s="7"/>
    </row>
    <row r="832" spans="1:22" x14ac:dyDescent="0.25">
      <c r="A832" s="6"/>
      <c r="B832" s="11"/>
      <c r="C832" s="12"/>
      <c r="D832" s="12"/>
      <c r="E832" s="8">
        <f t="shared" si="12"/>
        <v>0</v>
      </c>
      <c r="F832" s="10"/>
      <c r="G832" s="10"/>
      <c r="H832" s="9"/>
      <c r="I832" s="7"/>
      <c r="J832" s="7"/>
      <c r="K832" s="7">
        <f ca="1">IFERROR(IF(COUNTA(J$56:J832)=J$54,J832,FORECAST(D832,OFFSET(M$56:M$254,MATCH(D832,L$56:L$254,1)-1,0,2), OFFSET(L$56:L$254,MATCH(D832,L$56:L$254,1)-1,0,2))),"")</f>
        <v>0</v>
      </c>
      <c r="L832" s="7" t="str">
        <f t="array" ref="L832">IFERROR(INDEX(D$56:D$1054,SMALL(IF(ISNUMBER(J$56:J$1054),ROW(D$1:D$999),""),ROW(D777))),"")</f>
        <v/>
      </c>
      <c r="M832" s="7" t="str">
        <f t="array" ref="M832">IFERROR(INDEX(J$56:J$1054,SMALL(IF(ISNUMBER(J$56:J$1054),ROW(J$1:J$999),""),ROW(J777))),"")</f>
        <v/>
      </c>
      <c r="N832" s="7"/>
      <c r="O832" s="7"/>
      <c r="P832" s="7"/>
      <c r="Q832" s="7">
        <f ca="1">IFERROR(IF(COUNTA(P$56:P832)=P$54,P832,FORECAST(D832,OFFSET(S$56:S$254,MATCH(D832,R$56:R$254,1)-1,0,2), OFFSET(R$56:R$254,MATCH(D832,R$56:R$254,1)-1,0,2))),"")</f>
        <v>0</v>
      </c>
      <c r="R832" s="7" t="str">
        <f t="array" ref="R832">IFERROR(INDEX(E$56:E$1054,SMALL(IF(ISNUMBER(P$56:P$1054),ROW(E$1:E$999),""),ROW(J777))),"")</f>
        <v/>
      </c>
      <c r="S832" s="7" t="str">
        <f t="array" ref="S832">IFERROR(INDEX(P$56:P$1054,SMALL(IF(ISNUMBER(P$56:P$1054),ROW(P$1:P$999),""),ROW(P777))),"")</f>
        <v/>
      </c>
      <c r="T832" s="7"/>
      <c r="U832" s="7"/>
      <c r="V832" s="7"/>
    </row>
    <row r="833" spans="1:22" x14ac:dyDescent="0.25">
      <c r="A833" s="6"/>
      <c r="B833" s="11"/>
      <c r="C833" s="12"/>
      <c r="D833" s="12"/>
      <c r="E833" s="8">
        <f t="shared" si="12"/>
        <v>0</v>
      </c>
      <c r="F833" s="10"/>
      <c r="G833" s="10"/>
      <c r="H833" s="9"/>
      <c r="I833" s="7"/>
      <c r="J833" s="7"/>
      <c r="K833" s="7">
        <f ca="1">IFERROR(IF(COUNTA(J$56:J833)=J$54,J833,FORECAST(D833,OFFSET(M$56:M$254,MATCH(D833,L$56:L$254,1)-1,0,2), OFFSET(L$56:L$254,MATCH(D833,L$56:L$254,1)-1,0,2))),"")</f>
        <v>0</v>
      </c>
      <c r="L833" s="7" t="str">
        <f t="array" ref="L833">IFERROR(INDEX(D$56:D$1054,SMALL(IF(ISNUMBER(J$56:J$1054),ROW(D$1:D$999),""),ROW(D778))),"")</f>
        <v/>
      </c>
      <c r="M833" s="7" t="str">
        <f t="array" ref="M833">IFERROR(INDEX(J$56:J$1054,SMALL(IF(ISNUMBER(J$56:J$1054),ROW(J$1:J$999),""),ROW(J778))),"")</f>
        <v/>
      </c>
      <c r="N833" s="7"/>
      <c r="O833" s="7"/>
      <c r="P833" s="7"/>
      <c r="Q833" s="7">
        <f ca="1">IFERROR(IF(COUNTA(P$56:P833)=P$54,P833,FORECAST(D833,OFFSET(S$56:S$254,MATCH(D833,R$56:R$254,1)-1,0,2), OFFSET(R$56:R$254,MATCH(D833,R$56:R$254,1)-1,0,2))),"")</f>
        <v>0</v>
      </c>
      <c r="R833" s="7" t="str">
        <f t="array" ref="R833">IFERROR(INDEX(E$56:E$1054,SMALL(IF(ISNUMBER(P$56:P$1054),ROW(E$1:E$999),""),ROW(J778))),"")</f>
        <v/>
      </c>
      <c r="S833" s="7" t="str">
        <f t="array" ref="S833">IFERROR(INDEX(P$56:P$1054,SMALL(IF(ISNUMBER(P$56:P$1054),ROW(P$1:P$999),""),ROW(P778))),"")</f>
        <v/>
      </c>
      <c r="T833" s="7"/>
      <c r="U833" s="7"/>
      <c r="V833" s="7"/>
    </row>
    <row r="834" spans="1:22" x14ac:dyDescent="0.25">
      <c r="A834" s="6"/>
      <c r="B834" s="11"/>
      <c r="C834" s="12"/>
      <c r="D834" s="12"/>
      <c r="E834" s="8">
        <f t="shared" si="12"/>
        <v>0</v>
      </c>
      <c r="F834" s="10"/>
      <c r="G834" s="10"/>
      <c r="H834" s="9"/>
      <c r="I834" s="7"/>
      <c r="J834" s="7"/>
      <c r="K834" s="7">
        <f ca="1">IFERROR(IF(COUNTA(J$56:J834)=J$54,J834,FORECAST(D834,OFFSET(M$56:M$254,MATCH(D834,L$56:L$254,1)-1,0,2), OFFSET(L$56:L$254,MATCH(D834,L$56:L$254,1)-1,0,2))),"")</f>
        <v>0</v>
      </c>
      <c r="L834" s="7" t="str">
        <f t="array" ref="L834">IFERROR(INDEX(D$56:D$1054,SMALL(IF(ISNUMBER(J$56:J$1054),ROW(D$1:D$999),""),ROW(D779))),"")</f>
        <v/>
      </c>
      <c r="M834" s="7" t="str">
        <f t="array" ref="M834">IFERROR(INDEX(J$56:J$1054,SMALL(IF(ISNUMBER(J$56:J$1054),ROW(J$1:J$999),""),ROW(J779))),"")</f>
        <v/>
      </c>
      <c r="N834" s="7"/>
      <c r="O834" s="7"/>
      <c r="P834" s="7"/>
      <c r="Q834" s="7">
        <f ca="1">IFERROR(IF(COUNTA(P$56:P834)=P$54,P834,FORECAST(D834,OFFSET(S$56:S$254,MATCH(D834,R$56:R$254,1)-1,0,2), OFFSET(R$56:R$254,MATCH(D834,R$56:R$254,1)-1,0,2))),"")</f>
        <v>0</v>
      </c>
      <c r="R834" s="7" t="str">
        <f t="array" ref="R834">IFERROR(INDEX(E$56:E$1054,SMALL(IF(ISNUMBER(P$56:P$1054),ROW(E$1:E$999),""),ROW(J779))),"")</f>
        <v/>
      </c>
      <c r="S834" s="7" t="str">
        <f t="array" ref="S834">IFERROR(INDEX(P$56:P$1054,SMALL(IF(ISNUMBER(P$56:P$1054),ROW(P$1:P$999),""),ROW(P779))),"")</f>
        <v/>
      </c>
      <c r="T834" s="7"/>
      <c r="U834" s="7"/>
      <c r="V834" s="7"/>
    </row>
    <row r="835" spans="1:22" x14ac:dyDescent="0.25">
      <c r="A835" s="6"/>
      <c r="B835" s="11"/>
      <c r="C835" s="12"/>
      <c r="D835" s="12"/>
      <c r="E835" s="8">
        <f t="shared" si="12"/>
        <v>0</v>
      </c>
      <c r="F835" s="10"/>
      <c r="G835" s="10"/>
      <c r="H835" s="9"/>
      <c r="I835" s="7"/>
      <c r="J835" s="7"/>
      <c r="K835" s="7">
        <f ca="1">IFERROR(IF(COUNTA(J$56:J835)=J$54,J835,FORECAST(D835,OFFSET(M$56:M$254,MATCH(D835,L$56:L$254,1)-1,0,2), OFFSET(L$56:L$254,MATCH(D835,L$56:L$254,1)-1,0,2))),"")</f>
        <v>0</v>
      </c>
      <c r="L835" s="7" t="str">
        <f t="array" ref="L835">IFERROR(INDEX(D$56:D$1054,SMALL(IF(ISNUMBER(J$56:J$1054),ROW(D$1:D$999),""),ROW(D780))),"")</f>
        <v/>
      </c>
      <c r="M835" s="7" t="str">
        <f t="array" ref="M835">IFERROR(INDEX(J$56:J$1054,SMALL(IF(ISNUMBER(J$56:J$1054),ROW(J$1:J$999),""),ROW(J780))),"")</f>
        <v/>
      </c>
      <c r="N835" s="7"/>
      <c r="O835" s="7"/>
      <c r="P835" s="7"/>
      <c r="Q835" s="7">
        <f ca="1">IFERROR(IF(COUNTA(P$56:P835)=P$54,P835,FORECAST(D835,OFFSET(S$56:S$254,MATCH(D835,R$56:R$254,1)-1,0,2), OFFSET(R$56:R$254,MATCH(D835,R$56:R$254,1)-1,0,2))),"")</f>
        <v>0</v>
      </c>
      <c r="R835" s="7" t="str">
        <f t="array" ref="R835">IFERROR(INDEX(E$56:E$1054,SMALL(IF(ISNUMBER(P$56:P$1054),ROW(E$1:E$999),""),ROW(J780))),"")</f>
        <v/>
      </c>
      <c r="S835" s="7" t="str">
        <f t="array" ref="S835">IFERROR(INDEX(P$56:P$1054,SMALL(IF(ISNUMBER(P$56:P$1054),ROW(P$1:P$999),""),ROW(P780))),"")</f>
        <v/>
      </c>
      <c r="T835" s="7"/>
      <c r="U835" s="7"/>
      <c r="V835" s="7"/>
    </row>
    <row r="836" spans="1:22" x14ac:dyDescent="0.25">
      <c r="A836" s="6"/>
      <c r="B836" s="11"/>
      <c r="C836" s="12"/>
      <c r="D836" s="12"/>
      <c r="E836" s="8">
        <f t="shared" si="12"/>
        <v>0</v>
      </c>
      <c r="F836" s="10"/>
      <c r="G836" s="10"/>
      <c r="H836" s="9"/>
      <c r="I836" s="7"/>
      <c r="J836" s="7"/>
      <c r="K836" s="7">
        <f ca="1">IFERROR(IF(COUNTA(J$56:J836)=J$54,J836,FORECAST(D836,OFFSET(M$56:M$254,MATCH(D836,L$56:L$254,1)-1,0,2), OFFSET(L$56:L$254,MATCH(D836,L$56:L$254,1)-1,0,2))),"")</f>
        <v>0</v>
      </c>
      <c r="L836" s="7" t="str">
        <f t="array" ref="L836">IFERROR(INDEX(D$56:D$1054,SMALL(IF(ISNUMBER(J$56:J$1054),ROW(D$1:D$999),""),ROW(D781))),"")</f>
        <v/>
      </c>
      <c r="M836" s="7" t="str">
        <f t="array" ref="M836">IFERROR(INDEX(J$56:J$1054,SMALL(IF(ISNUMBER(J$56:J$1054),ROW(J$1:J$999),""),ROW(J781))),"")</f>
        <v/>
      </c>
      <c r="N836" s="7"/>
      <c r="O836" s="7"/>
      <c r="P836" s="7"/>
      <c r="Q836" s="7">
        <f ca="1">IFERROR(IF(COUNTA(P$56:P836)=P$54,P836,FORECAST(D836,OFFSET(S$56:S$254,MATCH(D836,R$56:R$254,1)-1,0,2), OFFSET(R$56:R$254,MATCH(D836,R$56:R$254,1)-1,0,2))),"")</f>
        <v>0</v>
      </c>
      <c r="R836" s="7" t="str">
        <f t="array" ref="R836">IFERROR(INDEX(E$56:E$1054,SMALL(IF(ISNUMBER(P$56:P$1054),ROW(E$1:E$999),""),ROW(J781))),"")</f>
        <v/>
      </c>
      <c r="S836" s="7" t="str">
        <f t="array" ref="S836">IFERROR(INDEX(P$56:P$1054,SMALL(IF(ISNUMBER(P$56:P$1054),ROW(P$1:P$999),""),ROW(P781))),"")</f>
        <v/>
      </c>
      <c r="T836" s="7"/>
      <c r="U836" s="7"/>
      <c r="V836" s="7"/>
    </row>
    <row r="837" spans="1:22" x14ac:dyDescent="0.25">
      <c r="A837" s="6"/>
      <c r="B837" s="11"/>
      <c r="C837" s="12"/>
      <c r="D837" s="12"/>
      <c r="E837" s="8">
        <f t="shared" si="12"/>
        <v>0</v>
      </c>
      <c r="F837" s="10"/>
      <c r="G837" s="10"/>
      <c r="H837" s="9"/>
      <c r="I837" s="7"/>
      <c r="J837" s="7"/>
      <c r="K837" s="7">
        <f ca="1">IFERROR(IF(COUNTA(J$56:J837)=J$54,J837,FORECAST(D837,OFFSET(M$56:M$254,MATCH(D837,L$56:L$254,1)-1,0,2), OFFSET(L$56:L$254,MATCH(D837,L$56:L$254,1)-1,0,2))),"")</f>
        <v>0</v>
      </c>
      <c r="L837" s="7" t="str">
        <f t="array" ref="L837">IFERROR(INDEX(D$56:D$1054,SMALL(IF(ISNUMBER(J$56:J$1054),ROW(D$1:D$999),""),ROW(D782))),"")</f>
        <v/>
      </c>
      <c r="M837" s="7" t="str">
        <f t="array" ref="M837">IFERROR(INDEX(J$56:J$1054,SMALL(IF(ISNUMBER(J$56:J$1054),ROW(J$1:J$999),""),ROW(J782))),"")</f>
        <v/>
      </c>
      <c r="N837" s="7"/>
      <c r="O837" s="7"/>
      <c r="P837" s="7"/>
      <c r="Q837" s="7">
        <f ca="1">IFERROR(IF(COUNTA(P$56:P837)=P$54,P837,FORECAST(D837,OFFSET(S$56:S$254,MATCH(D837,R$56:R$254,1)-1,0,2), OFFSET(R$56:R$254,MATCH(D837,R$56:R$254,1)-1,0,2))),"")</f>
        <v>0</v>
      </c>
      <c r="R837" s="7" t="str">
        <f t="array" ref="R837">IFERROR(INDEX(E$56:E$1054,SMALL(IF(ISNUMBER(P$56:P$1054),ROW(E$1:E$999),""),ROW(J782))),"")</f>
        <v/>
      </c>
      <c r="S837" s="7" t="str">
        <f t="array" ref="S837">IFERROR(INDEX(P$56:P$1054,SMALL(IF(ISNUMBER(P$56:P$1054),ROW(P$1:P$999),""),ROW(P782))),"")</f>
        <v/>
      </c>
      <c r="T837" s="7"/>
      <c r="U837" s="7"/>
      <c r="V837" s="7"/>
    </row>
    <row r="838" spans="1:22" x14ac:dyDescent="0.25">
      <c r="A838" s="6"/>
      <c r="B838" s="11"/>
      <c r="C838" s="12"/>
      <c r="D838" s="12"/>
      <c r="E838" s="8">
        <f t="shared" si="12"/>
        <v>0</v>
      </c>
      <c r="F838" s="10"/>
      <c r="G838" s="10"/>
      <c r="H838" s="9"/>
      <c r="I838" s="7"/>
      <c r="J838" s="7"/>
      <c r="K838" s="7">
        <f ca="1">IFERROR(IF(COUNTA(J$56:J838)=J$54,J838,FORECAST(D838,OFFSET(M$56:M$254,MATCH(D838,L$56:L$254,1)-1,0,2), OFFSET(L$56:L$254,MATCH(D838,L$56:L$254,1)-1,0,2))),"")</f>
        <v>0</v>
      </c>
      <c r="L838" s="7" t="str">
        <f t="array" ref="L838">IFERROR(INDEX(D$56:D$1054,SMALL(IF(ISNUMBER(J$56:J$1054),ROW(D$1:D$999),""),ROW(D783))),"")</f>
        <v/>
      </c>
      <c r="M838" s="7" t="str">
        <f t="array" ref="M838">IFERROR(INDEX(J$56:J$1054,SMALL(IF(ISNUMBER(J$56:J$1054),ROW(J$1:J$999),""),ROW(J783))),"")</f>
        <v/>
      </c>
      <c r="N838" s="7"/>
      <c r="O838" s="7"/>
      <c r="P838" s="7"/>
      <c r="Q838" s="7">
        <f ca="1">IFERROR(IF(COUNTA(P$56:P838)=P$54,P838,FORECAST(D838,OFFSET(S$56:S$254,MATCH(D838,R$56:R$254,1)-1,0,2), OFFSET(R$56:R$254,MATCH(D838,R$56:R$254,1)-1,0,2))),"")</f>
        <v>0</v>
      </c>
      <c r="R838" s="7" t="str">
        <f t="array" ref="R838">IFERROR(INDEX(E$56:E$1054,SMALL(IF(ISNUMBER(P$56:P$1054),ROW(E$1:E$999),""),ROW(J783))),"")</f>
        <v/>
      </c>
      <c r="S838" s="7" t="str">
        <f t="array" ref="S838">IFERROR(INDEX(P$56:P$1054,SMALL(IF(ISNUMBER(P$56:P$1054),ROW(P$1:P$999),""),ROW(P783))),"")</f>
        <v/>
      </c>
      <c r="T838" s="7"/>
      <c r="U838" s="7"/>
      <c r="V838" s="7"/>
    </row>
    <row r="839" spans="1:22" x14ac:dyDescent="0.25">
      <c r="A839" s="6"/>
      <c r="B839" s="11"/>
      <c r="C839" s="12"/>
      <c r="D839" s="12"/>
      <c r="E839" s="8">
        <f t="shared" si="12"/>
        <v>0</v>
      </c>
      <c r="F839" s="10"/>
      <c r="G839" s="10"/>
      <c r="H839" s="9"/>
      <c r="I839" s="7"/>
      <c r="J839" s="7"/>
      <c r="K839" s="7">
        <f ca="1">IFERROR(IF(COUNTA(J$56:J839)=J$54,J839,FORECAST(D839,OFFSET(M$56:M$254,MATCH(D839,L$56:L$254,1)-1,0,2), OFFSET(L$56:L$254,MATCH(D839,L$56:L$254,1)-1,0,2))),"")</f>
        <v>0</v>
      </c>
      <c r="L839" s="7" t="str">
        <f t="array" ref="L839">IFERROR(INDEX(D$56:D$1054,SMALL(IF(ISNUMBER(J$56:J$1054),ROW(D$1:D$999),""),ROW(D784))),"")</f>
        <v/>
      </c>
      <c r="M839" s="7" t="str">
        <f t="array" ref="M839">IFERROR(INDEX(J$56:J$1054,SMALL(IF(ISNUMBER(J$56:J$1054),ROW(J$1:J$999),""),ROW(J784))),"")</f>
        <v/>
      </c>
      <c r="N839" s="7"/>
      <c r="O839" s="7"/>
      <c r="P839" s="7"/>
      <c r="Q839" s="7">
        <f ca="1">IFERROR(IF(COUNTA(P$56:P839)=P$54,P839,FORECAST(D839,OFFSET(S$56:S$254,MATCH(D839,R$56:R$254,1)-1,0,2), OFFSET(R$56:R$254,MATCH(D839,R$56:R$254,1)-1,0,2))),"")</f>
        <v>0</v>
      </c>
      <c r="R839" s="7" t="str">
        <f t="array" ref="R839">IFERROR(INDEX(E$56:E$1054,SMALL(IF(ISNUMBER(P$56:P$1054),ROW(E$1:E$999),""),ROW(J784))),"")</f>
        <v/>
      </c>
      <c r="S839" s="7" t="str">
        <f t="array" ref="S839">IFERROR(INDEX(P$56:P$1054,SMALL(IF(ISNUMBER(P$56:P$1054),ROW(P$1:P$999),""),ROW(P784))),"")</f>
        <v/>
      </c>
      <c r="T839" s="7"/>
      <c r="U839" s="7"/>
      <c r="V839" s="7"/>
    </row>
    <row r="840" spans="1:22" x14ac:dyDescent="0.25">
      <c r="A840" s="6"/>
      <c r="B840" s="11"/>
      <c r="C840" s="12"/>
      <c r="D840" s="12"/>
      <c r="E840" s="8">
        <f t="shared" si="12"/>
        <v>0</v>
      </c>
      <c r="F840" s="10"/>
      <c r="G840" s="10"/>
      <c r="H840" s="9"/>
      <c r="I840" s="7"/>
      <c r="J840" s="7"/>
      <c r="K840" s="7">
        <f ca="1">IFERROR(IF(COUNTA(J$56:J840)=J$54,J840,FORECAST(D840,OFFSET(M$56:M$254,MATCH(D840,L$56:L$254,1)-1,0,2), OFFSET(L$56:L$254,MATCH(D840,L$56:L$254,1)-1,0,2))),"")</f>
        <v>0</v>
      </c>
      <c r="L840" s="7" t="str">
        <f t="array" ref="L840">IFERROR(INDEX(D$56:D$1054,SMALL(IF(ISNUMBER(J$56:J$1054),ROW(D$1:D$999),""),ROW(D785))),"")</f>
        <v/>
      </c>
      <c r="M840" s="7" t="str">
        <f t="array" ref="M840">IFERROR(INDEX(J$56:J$1054,SMALL(IF(ISNUMBER(J$56:J$1054),ROW(J$1:J$999),""),ROW(J785))),"")</f>
        <v/>
      </c>
      <c r="N840" s="7"/>
      <c r="O840" s="7"/>
      <c r="P840" s="7"/>
      <c r="Q840" s="7">
        <f ca="1">IFERROR(IF(COUNTA(P$56:P840)=P$54,P840,FORECAST(D840,OFFSET(S$56:S$254,MATCH(D840,R$56:R$254,1)-1,0,2), OFFSET(R$56:R$254,MATCH(D840,R$56:R$254,1)-1,0,2))),"")</f>
        <v>0</v>
      </c>
      <c r="R840" s="7" t="str">
        <f t="array" ref="R840">IFERROR(INDEX(E$56:E$1054,SMALL(IF(ISNUMBER(P$56:P$1054),ROW(E$1:E$999),""),ROW(J785))),"")</f>
        <v/>
      </c>
      <c r="S840" s="7" t="str">
        <f t="array" ref="S840">IFERROR(INDEX(P$56:P$1054,SMALL(IF(ISNUMBER(P$56:P$1054),ROW(P$1:P$999),""),ROW(P785))),"")</f>
        <v/>
      </c>
      <c r="T840" s="7"/>
      <c r="U840" s="7"/>
      <c r="V840" s="7"/>
    </row>
    <row r="841" spans="1:22" x14ac:dyDescent="0.25">
      <c r="A841" s="6"/>
      <c r="B841" s="11"/>
      <c r="C841" s="12"/>
      <c r="D841" s="12"/>
      <c r="E841" s="8">
        <f t="shared" si="12"/>
        <v>0</v>
      </c>
      <c r="F841" s="10"/>
      <c r="G841" s="10"/>
      <c r="H841" s="9"/>
      <c r="I841" s="7"/>
      <c r="J841" s="7"/>
      <c r="K841" s="7">
        <f ca="1">IFERROR(IF(COUNTA(J$56:J841)=J$54,J841,FORECAST(D841,OFFSET(M$56:M$254,MATCH(D841,L$56:L$254,1)-1,0,2), OFFSET(L$56:L$254,MATCH(D841,L$56:L$254,1)-1,0,2))),"")</f>
        <v>0</v>
      </c>
      <c r="L841" s="7" t="str">
        <f t="array" ref="L841">IFERROR(INDEX(D$56:D$1054,SMALL(IF(ISNUMBER(J$56:J$1054),ROW(D$1:D$999),""),ROW(D786))),"")</f>
        <v/>
      </c>
      <c r="M841" s="7" t="str">
        <f t="array" ref="M841">IFERROR(INDEX(J$56:J$1054,SMALL(IF(ISNUMBER(J$56:J$1054),ROW(J$1:J$999),""),ROW(J786))),"")</f>
        <v/>
      </c>
      <c r="N841" s="7"/>
      <c r="O841" s="7"/>
      <c r="P841" s="7"/>
      <c r="Q841" s="7">
        <f ca="1">IFERROR(IF(COUNTA(P$56:P841)=P$54,P841,FORECAST(D841,OFFSET(S$56:S$254,MATCH(D841,R$56:R$254,1)-1,0,2), OFFSET(R$56:R$254,MATCH(D841,R$56:R$254,1)-1,0,2))),"")</f>
        <v>0</v>
      </c>
      <c r="R841" s="7" t="str">
        <f t="array" ref="R841">IFERROR(INDEX(E$56:E$1054,SMALL(IF(ISNUMBER(P$56:P$1054),ROW(E$1:E$999),""),ROW(J786))),"")</f>
        <v/>
      </c>
      <c r="S841" s="7" t="str">
        <f t="array" ref="S841">IFERROR(INDEX(P$56:P$1054,SMALL(IF(ISNUMBER(P$56:P$1054),ROW(P$1:P$999),""),ROW(P786))),"")</f>
        <v/>
      </c>
      <c r="T841" s="7"/>
      <c r="U841" s="7"/>
      <c r="V841" s="7"/>
    </row>
    <row r="842" spans="1:22" x14ac:dyDescent="0.25">
      <c r="A842" s="6"/>
      <c r="B842" s="11"/>
      <c r="C842" s="12"/>
      <c r="D842" s="12"/>
      <c r="E842" s="8">
        <f t="shared" si="12"/>
        <v>0</v>
      </c>
      <c r="F842" s="10"/>
      <c r="G842" s="10"/>
      <c r="H842" s="9"/>
      <c r="I842" s="7"/>
      <c r="J842" s="7"/>
      <c r="K842" s="7">
        <f ca="1">IFERROR(IF(COUNTA(J$56:J842)=J$54,J842,FORECAST(D842,OFFSET(M$56:M$254,MATCH(D842,L$56:L$254,1)-1,0,2), OFFSET(L$56:L$254,MATCH(D842,L$56:L$254,1)-1,0,2))),"")</f>
        <v>0</v>
      </c>
      <c r="L842" s="7" t="str">
        <f t="array" ref="L842">IFERROR(INDEX(D$56:D$1054,SMALL(IF(ISNUMBER(J$56:J$1054),ROW(D$1:D$999),""),ROW(D787))),"")</f>
        <v/>
      </c>
      <c r="M842" s="7" t="str">
        <f t="array" ref="M842">IFERROR(INDEX(J$56:J$1054,SMALL(IF(ISNUMBER(J$56:J$1054),ROW(J$1:J$999),""),ROW(J787))),"")</f>
        <v/>
      </c>
      <c r="N842" s="7"/>
      <c r="O842" s="7"/>
      <c r="P842" s="7"/>
      <c r="Q842" s="7">
        <f ca="1">IFERROR(IF(COUNTA(P$56:P842)=P$54,P842,FORECAST(D842,OFFSET(S$56:S$254,MATCH(D842,R$56:R$254,1)-1,0,2), OFFSET(R$56:R$254,MATCH(D842,R$56:R$254,1)-1,0,2))),"")</f>
        <v>0</v>
      </c>
      <c r="R842" s="7" t="str">
        <f t="array" ref="R842">IFERROR(INDEX(E$56:E$1054,SMALL(IF(ISNUMBER(P$56:P$1054),ROW(E$1:E$999),""),ROW(J787))),"")</f>
        <v/>
      </c>
      <c r="S842" s="7" t="str">
        <f t="array" ref="S842">IFERROR(INDEX(P$56:P$1054,SMALL(IF(ISNUMBER(P$56:P$1054),ROW(P$1:P$999),""),ROW(P787))),"")</f>
        <v/>
      </c>
      <c r="T842" s="7"/>
      <c r="U842" s="7"/>
      <c r="V842" s="7"/>
    </row>
    <row r="843" spans="1:22" x14ac:dyDescent="0.25">
      <c r="A843" s="6"/>
      <c r="B843" s="11"/>
      <c r="C843" s="12"/>
      <c r="D843" s="12"/>
      <c r="E843" s="8">
        <f t="shared" si="12"/>
        <v>0</v>
      </c>
      <c r="F843" s="10"/>
      <c r="G843" s="10"/>
      <c r="H843" s="9"/>
      <c r="I843" s="7"/>
      <c r="J843" s="7"/>
      <c r="K843" s="7">
        <f ca="1">IFERROR(IF(COUNTA(J$56:J843)=J$54,J843,FORECAST(D843,OFFSET(M$56:M$254,MATCH(D843,L$56:L$254,1)-1,0,2), OFFSET(L$56:L$254,MATCH(D843,L$56:L$254,1)-1,0,2))),"")</f>
        <v>0</v>
      </c>
      <c r="L843" s="7" t="str">
        <f t="array" ref="L843">IFERROR(INDEX(D$56:D$1054,SMALL(IF(ISNUMBER(J$56:J$1054),ROW(D$1:D$999),""),ROW(D788))),"")</f>
        <v/>
      </c>
      <c r="M843" s="7" t="str">
        <f t="array" ref="M843">IFERROR(INDEX(J$56:J$1054,SMALL(IF(ISNUMBER(J$56:J$1054),ROW(J$1:J$999),""),ROW(J788))),"")</f>
        <v/>
      </c>
      <c r="N843" s="7"/>
      <c r="O843" s="7"/>
      <c r="P843" s="7"/>
      <c r="Q843" s="7">
        <f ca="1">IFERROR(IF(COUNTA(P$56:P843)=P$54,P843,FORECAST(D843,OFFSET(S$56:S$254,MATCH(D843,R$56:R$254,1)-1,0,2), OFFSET(R$56:R$254,MATCH(D843,R$56:R$254,1)-1,0,2))),"")</f>
        <v>0</v>
      </c>
      <c r="R843" s="7" t="str">
        <f t="array" ref="R843">IFERROR(INDEX(E$56:E$1054,SMALL(IF(ISNUMBER(P$56:P$1054),ROW(E$1:E$999),""),ROW(J788))),"")</f>
        <v/>
      </c>
      <c r="S843" s="7" t="str">
        <f t="array" ref="S843">IFERROR(INDEX(P$56:P$1054,SMALL(IF(ISNUMBER(P$56:P$1054),ROW(P$1:P$999),""),ROW(P788))),"")</f>
        <v/>
      </c>
      <c r="T843" s="7"/>
      <c r="U843" s="7"/>
      <c r="V843" s="7"/>
    </row>
    <row r="844" spans="1:22" x14ac:dyDescent="0.25">
      <c r="A844" s="6"/>
      <c r="B844" s="11"/>
      <c r="C844" s="12"/>
      <c r="D844" s="12"/>
      <c r="E844" s="8">
        <f t="shared" si="12"/>
        <v>0</v>
      </c>
      <c r="F844" s="10"/>
      <c r="G844" s="10"/>
      <c r="H844" s="9"/>
      <c r="I844" s="7"/>
      <c r="J844" s="7"/>
      <c r="K844" s="7">
        <f ca="1">IFERROR(IF(COUNTA(J$56:J844)=J$54,J844,FORECAST(D844,OFFSET(M$56:M$254,MATCH(D844,L$56:L$254,1)-1,0,2), OFFSET(L$56:L$254,MATCH(D844,L$56:L$254,1)-1,0,2))),"")</f>
        <v>0</v>
      </c>
      <c r="L844" s="7" t="str">
        <f t="array" ref="L844">IFERROR(INDEX(D$56:D$1054,SMALL(IF(ISNUMBER(J$56:J$1054),ROW(D$1:D$999),""),ROW(D789))),"")</f>
        <v/>
      </c>
      <c r="M844" s="7" t="str">
        <f t="array" ref="M844">IFERROR(INDEX(J$56:J$1054,SMALL(IF(ISNUMBER(J$56:J$1054),ROW(J$1:J$999),""),ROW(J789))),"")</f>
        <v/>
      </c>
      <c r="N844" s="7"/>
      <c r="O844" s="7"/>
      <c r="P844" s="7"/>
      <c r="Q844" s="7">
        <f ca="1">IFERROR(IF(COUNTA(P$56:P844)=P$54,P844,FORECAST(D844,OFFSET(S$56:S$254,MATCH(D844,R$56:R$254,1)-1,0,2), OFFSET(R$56:R$254,MATCH(D844,R$56:R$254,1)-1,0,2))),"")</f>
        <v>0</v>
      </c>
      <c r="R844" s="7" t="str">
        <f t="array" ref="R844">IFERROR(INDEX(E$56:E$1054,SMALL(IF(ISNUMBER(P$56:P$1054),ROW(E$1:E$999),""),ROW(J789))),"")</f>
        <v/>
      </c>
      <c r="S844" s="7" t="str">
        <f t="array" ref="S844">IFERROR(INDEX(P$56:P$1054,SMALL(IF(ISNUMBER(P$56:P$1054),ROW(P$1:P$999),""),ROW(P789))),"")</f>
        <v/>
      </c>
      <c r="T844" s="7"/>
      <c r="U844" s="7"/>
      <c r="V844" s="7"/>
    </row>
    <row r="845" spans="1:22" x14ac:dyDescent="0.25">
      <c r="A845" s="6"/>
      <c r="B845" s="11"/>
      <c r="C845" s="12"/>
      <c r="D845" s="12"/>
      <c r="E845" s="8">
        <f t="shared" si="12"/>
        <v>0</v>
      </c>
      <c r="F845" s="10"/>
      <c r="G845" s="10"/>
      <c r="H845" s="9"/>
      <c r="I845" s="7"/>
      <c r="J845" s="7"/>
      <c r="K845" s="7">
        <f ca="1">IFERROR(IF(COUNTA(J$56:J845)=J$54,J845,FORECAST(D845,OFFSET(M$56:M$254,MATCH(D845,L$56:L$254,1)-1,0,2), OFFSET(L$56:L$254,MATCH(D845,L$56:L$254,1)-1,0,2))),"")</f>
        <v>0</v>
      </c>
      <c r="L845" s="7" t="str">
        <f t="array" ref="L845">IFERROR(INDEX(D$56:D$1054,SMALL(IF(ISNUMBER(J$56:J$1054),ROW(D$1:D$999),""),ROW(D790))),"")</f>
        <v/>
      </c>
      <c r="M845" s="7" t="str">
        <f t="array" ref="M845">IFERROR(INDEX(J$56:J$1054,SMALL(IF(ISNUMBER(J$56:J$1054),ROW(J$1:J$999),""),ROW(J790))),"")</f>
        <v/>
      </c>
      <c r="N845" s="7"/>
      <c r="O845" s="7"/>
      <c r="P845" s="7"/>
      <c r="Q845" s="7">
        <f ca="1">IFERROR(IF(COUNTA(P$56:P845)=P$54,P845,FORECAST(D845,OFFSET(S$56:S$254,MATCH(D845,R$56:R$254,1)-1,0,2), OFFSET(R$56:R$254,MATCH(D845,R$56:R$254,1)-1,0,2))),"")</f>
        <v>0</v>
      </c>
      <c r="R845" s="7" t="str">
        <f t="array" ref="R845">IFERROR(INDEX(E$56:E$1054,SMALL(IF(ISNUMBER(P$56:P$1054),ROW(E$1:E$999),""),ROW(J790))),"")</f>
        <v/>
      </c>
      <c r="S845" s="7" t="str">
        <f t="array" ref="S845">IFERROR(INDEX(P$56:P$1054,SMALL(IF(ISNUMBER(P$56:P$1054),ROW(P$1:P$999),""),ROW(P790))),"")</f>
        <v/>
      </c>
      <c r="T845" s="7"/>
      <c r="U845" s="7"/>
      <c r="V845" s="7"/>
    </row>
    <row r="846" spans="1:22" x14ac:dyDescent="0.25">
      <c r="A846" s="6"/>
      <c r="B846" s="11"/>
      <c r="C846" s="12"/>
      <c r="D846" s="12"/>
      <c r="E846" s="8">
        <f t="shared" si="12"/>
        <v>0</v>
      </c>
      <c r="F846" s="10"/>
      <c r="G846" s="10"/>
      <c r="H846" s="9"/>
      <c r="I846" s="7"/>
      <c r="J846" s="7"/>
      <c r="K846" s="7">
        <f ca="1">IFERROR(IF(COUNTA(J$56:J846)=J$54,J846,FORECAST(D846,OFFSET(M$56:M$254,MATCH(D846,L$56:L$254,1)-1,0,2), OFFSET(L$56:L$254,MATCH(D846,L$56:L$254,1)-1,0,2))),"")</f>
        <v>0</v>
      </c>
      <c r="L846" s="7" t="str">
        <f t="array" ref="L846">IFERROR(INDEX(D$56:D$1054,SMALL(IF(ISNUMBER(J$56:J$1054),ROW(D$1:D$999),""),ROW(D791))),"")</f>
        <v/>
      </c>
      <c r="M846" s="7" t="str">
        <f t="array" ref="M846">IFERROR(INDEX(J$56:J$1054,SMALL(IF(ISNUMBER(J$56:J$1054),ROW(J$1:J$999),""),ROW(J791))),"")</f>
        <v/>
      </c>
      <c r="N846" s="7"/>
      <c r="O846" s="7"/>
      <c r="P846" s="7"/>
      <c r="Q846" s="7">
        <f ca="1">IFERROR(IF(COUNTA(P$56:P846)=P$54,P846,FORECAST(D846,OFFSET(S$56:S$254,MATCH(D846,R$56:R$254,1)-1,0,2), OFFSET(R$56:R$254,MATCH(D846,R$56:R$254,1)-1,0,2))),"")</f>
        <v>0</v>
      </c>
      <c r="R846" s="7" t="str">
        <f t="array" ref="R846">IFERROR(INDEX(E$56:E$1054,SMALL(IF(ISNUMBER(P$56:P$1054),ROW(E$1:E$999),""),ROW(J791))),"")</f>
        <v/>
      </c>
      <c r="S846" s="7" t="str">
        <f t="array" ref="S846">IFERROR(INDEX(P$56:P$1054,SMALL(IF(ISNUMBER(P$56:P$1054),ROW(P$1:P$999),""),ROW(P791))),"")</f>
        <v/>
      </c>
      <c r="T846" s="7"/>
      <c r="U846" s="7"/>
      <c r="V846" s="7"/>
    </row>
    <row r="847" spans="1:22" x14ac:dyDescent="0.25">
      <c r="A847" s="6"/>
      <c r="B847" s="11"/>
      <c r="C847" s="12"/>
      <c r="D847" s="12"/>
      <c r="E847" s="8">
        <f t="shared" si="12"/>
        <v>0</v>
      </c>
      <c r="F847" s="10"/>
      <c r="G847" s="10"/>
      <c r="H847" s="9"/>
      <c r="I847" s="7"/>
      <c r="J847" s="7"/>
      <c r="K847" s="7">
        <f ca="1">IFERROR(IF(COUNTA(J$56:J847)=J$54,J847,FORECAST(D847,OFFSET(M$56:M$254,MATCH(D847,L$56:L$254,1)-1,0,2), OFFSET(L$56:L$254,MATCH(D847,L$56:L$254,1)-1,0,2))),"")</f>
        <v>0</v>
      </c>
      <c r="L847" s="7" t="str">
        <f t="array" ref="L847">IFERROR(INDEX(D$56:D$1054,SMALL(IF(ISNUMBER(J$56:J$1054),ROW(D$1:D$999),""),ROW(D792))),"")</f>
        <v/>
      </c>
      <c r="M847" s="7" t="str">
        <f t="array" ref="M847">IFERROR(INDEX(J$56:J$1054,SMALL(IF(ISNUMBER(J$56:J$1054),ROW(J$1:J$999),""),ROW(J792))),"")</f>
        <v/>
      </c>
      <c r="N847" s="7"/>
      <c r="O847" s="7"/>
      <c r="P847" s="7"/>
      <c r="Q847" s="7">
        <f ca="1">IFERROR(IF(COUNTA(P$56:P847)=P$54,P847,FORECAST(D847,OFFSET(S$56:S$254,MATCH(D847,R$56:R$254,1)-1,0,2), OFFSET(R$56:R$254,MATCH(D847,R$56:R$254,1)-1,0,2))),"")</f>
        <v>0</v>
      </c>
      <c r="R847" s="7" t="str">
        <f t="array" ref="R847">IFERROR(INDEX(E$56:E$1054,SMALL(IF(ISNUMBER(P$56:P$1054),ROW(E$1:E$999),""),ROW(J792))),"")</f>
        <v/>
      </c>
      <c r="S847" s="7" t="str">
        <f t="array" ref="S847">IFERROR(INDEX(P$56:P$1054,SMALL(IF(ISNUMBER(P$56:P$1054),ROW(P$1:P$999),""),ROW(P792))),"")</f>
        <v/>
      </c>
      <c r="T847" s="7"/>
      <c r="U847" s="7"/>
      <c r="V847" s="7"/>
    </row>
    <row r="848" spans="1:22" x14ac:dyDescent="0.25">
      <c r="A848" s="6"/>
      <c r="B848" s="11"/>
      <c r="C848" s="12"/>
      <c r="D848" s="12"/>
      <c r="E848" s="8">
        <f t="shared" si="12"/>
        <v>0</v>
      </c>
      <c r="F848" s="10"/>
      <c r="G848" s="10"/>
      <c r="H848" s="9"/>
      <c r="I848" s="7"/>
      <c r="J848" s="7"/>
      <c r="K848" s="7">
        <f ca="1">IFERROR(IF(COUNTA(J$56:J848)=J$54,J848,FORECAST(D848,OFFSET(M$56:M$254,MATCH(D848,L$56:L$254,1)-1,0,2), OFFSET(L$56:L$254,MATCH(D848,L$56:L$254,1)-1,0,2))),"")</f>
        <v>0</v>
      </c>
      <c r="L848" s="7" t="str">
        <f t="array" ref="L848">IFERROR(INDEX(D$56:D$1054,SMALL(IF(ISNUMBER(J$56:J$1054),ROW(D$1:D$999),""),ROW(D793))),"")</f>
        <v/>
      </c>
      <c r="M848" s="7" t="str">
        <f t="array" ref="M848">IFERROR(INDEX(J$56:J$1054,SMALL(IF(ISNUMBER(J$56:J$1054),ROW(J$1:J$999),""),ROW(J793))),"")</f>
        <v/>
      </c>
      <c r="N848" s="7"/>
      <c r="O848" s="7"/>
      <c r="P848" s="7"/>
      <c r="Q848" s="7">
        <f ca="1">IFERROR(IF(COUNTA(P$56:P848)=P$54,P848,FORECAST(D848,OFFSET(S$56:S$254,MATCH(D848,R$56:R$254,1)-1,0,2), OFFSET(R$56:R$254,MATCH(D848,R$56:R$254,1)-1,0,2))),"")</f>
        <v>0</v>
      </c>
      <c r="R848" s="7" t="str">
        <f t="array" ref="R848">IFERROR(INDEX(E$56:E$1054,SMALL(IF(ISNUMBER(P$56:P$1054),ROW(E$1:E$999),""),ROW(J793))),"")</f>
        <v/>
      </c>
      <c r="S848" s="7" t="str">
        <f t="array" ref="S848">IFERROR(INDEX(P$56:P$1054,SMALL(IF(ISNUMBER(P$56:P$1054),ROW(P$1:P$999),""),ROW(P793))),"")</f>
        <v/>
      </c>
      <c r="T848" s="7"/>
      <c r="U848" s="7"/>
      <c r="V848" s="7"/>
    </row>
    <row r="849" spans="1:22" x14ac:dyDescent="0.25">
      <c r="A849" s="6"/>
      <c r="B849" s="11"/>
      <c r="C849" s="12"/>
      <c r="D849" s="12"/>
      <c r="E849" s="8">
        <f t="shared" si="12"/>
        <v>0</v>
      </c>
      <c r="F849" s="10"/>
      <c r="G849" s="10"/>
      <c r="H849" s="9"/>
      <c r="I849" s="7"/>
      <c r="J849" s="7"/>
      <c r="K849" s="7">
        <f ca="1">IFERROR(IF(COUNTA(J$56:J849)=J$54,J849,FORECAST(D849,OFFSET(M$56:M$254,MATCH(D849,L$56:L$254,1)-1,0,2), OFFSET(L$56:L$254,MATCH(D849,L$56:L$254,1)-1,0,2))),"")</f>
        <v>0</v>
      </c>
      <c r="L849" s="7" t="str">
        <f t="array" ref="L849">IFERROR(INDEX(D$56:D$1054,SMALL(IF(ISNUMBER(J$56:J$1054),ROW(D$1:D$999),""),ROW(D794))),"")</f>
        <v/>
      </c>
      <c r="M849" s="7" t="str">
        <f t="array" ref="M849">IFERROR(INDEX(J$56:J$1054,SMALL(IF(ISNUMBER(J$56:J$1054),ROW(J$1:J$999),""),ROW(J794))),"")</f>
        <v/>
      </c>
      <c r="N849" s="7"/>
      <c r="O849" s="7"/>
      <c r="P849" s="7"/>
      <c r="Q849" s="7">
        <f ca="1">IFERROR(IF(COUNTA(P$56:P849)=P$54,P849,FORECAST(D849,OFFSET(S$56:S$254,MATCH(D849,R$56:R$254,1)-1,0,2), OFFSET(R$56:R$254,MATCH(D849,R$56:R$254,1)-1,0,2))),"")</f>
        <v>0</v>
      </c>
      <c r="R849" s="7" t="str">
        <f t="array" ref="R849">IFERROR(INDEX(E$56:E$1054,SMALL(IF(ISNUMBER(P$56:P$1054),ROW(E$1:E$999),""),ROW(J794))),"")</f>
        <v/>
      </c>
      <c r="S849" s="7" t="str">
        <f t="array" ref="S849">IFERROR(INDEX(P$56:P$1054,SMALL(IF(ISNUMBER(P$56:P$1054),ROW(P$1:P$999),""),ROW(P794))),"")</f>
        <v/>
      </c>
      <c r="T849" s="7"/>
      <c r="U849" s="7"/>
      <c r="V849" s="7"/>
    </row>
    <row r="850" spans="1:22" x14ac:dyDescent="0.25">
      <c r="A850" s="6"/>
      <c r="B850" s="11"/>
      <c r="C850" s="12"/>
      <c r="D850" s="12"/>
      <c r="E850" s="8">
        <f t="shared" si="12"/>
        <v>0</v>
      </c>
      <c r="F850" s="10"/>
      <c r="G850" s="10"/>
      <c r="H850" s="9"/>
      <c r="I850" s="7"/>
      <c r="J850" s="7"/>
      <c r="K850" s="7">
        <f ca="1">IFERROR(IF(COUNTA(J$56:J850)=J$54,J850,FORECAST(D850,OFFSET(M$56:M$254,MATCH(D850,L$56:L$254,1)-1,0,2), OFFSET(L$56:L$254,MATCH(D850,L$56:L$254,1)-1,0,2))),"")</f>
        <v>0</v>
      </c>
      <c r="L850" s="7" t="str">
        <f t="array" ref="L850">IFERROR(INDEX(D$56:D$1054,SMALL(IF(ISNUMBER(J$56:J$1054),ROW(D$1:D$999),""),ROW(D795))),"")</f>
        <v/>
      </c>
      <c r="M850" s="7" t="str">
        <f t="array" ref="M850">IFERROR(INDEX(J$56:J$1054,SMALL(IF(ISNUMBER(J$56:J$1054),ROW(J$1:J$999),""),ROW(J795))),"")</f>
        <v/>
      </c>
      <c r="N850" s="7"/>
      <c r="O850" s="7"/>
      <c r="P850" s="7"/>
      <c r="Q850" s="7">
        <f ca="1">IFERROR(IF(COUNTA(P$56:P850)=P$54,P850,FORECAST(D850,OFFSET(S$56:S$254,MATCH(D850,R$56:R$254,1)-1,0,2), OFFSET(R$56:R$254,MATCH(D850,R$56:R$254,1)-1,0,2))),"")</f>
        <v>0</v>
      </c>
      <c r="R850" s="7" t="str">
        <f t="array" ref="R850">IFERROR(INDEX(E$56:E$1054,SMALL(IF(ISNUMBER(P$56:P$1054),ROW(E$1:E$999),""),ROW(J795))),"")</f>
        <v/>
      </c>
      <c r="S850" s="7" t="str">
        <f t="array" ref="S850">IFERROR(INDEX(P$56:P$1054,SMALL(IF(ISNUMBER(P$56:P$1054),ROW(P$1:P$999),""),ROW(P795))),"")</f>
        <v/>
      </c>
      <c r="T850" s="7"/>
      <c r="U850" s="7"/>
      <c r="V850" s="7"/>
    </row>
    <row r="851" spans="1:22" x14ac:dyDescent="0.25">
      <c r="A851" s="6"/>
      <c r="B851" s="11"/>
      <c r="C851" s="12"/>
      <c r="D851" s="12"/>
      <c r="E851" s="8">
        <f t="shared" si="12"/>
        <v>0</v>
      </c>
      <c r="F851" s="10"/>
      <c r="G851" s="10"/>
      <c r="H851" s="9"/>
      <c r="I851" s="7"/>
      <c r="J851" s="7"/>
      <c r="K851" s="7">
        <f ca="1">IFERROR(IF(COUNTA(J$56:J851)=J$54,J851,FORECAST(D851,OFFSET(M$56:M$254,MATCH(D851,L$56:L$254,1)-1,0,2), OFFSET(L$56:L$254,MATCH(D851,L$56:L$254,1)-1,0,2))),"")</f>
        <v>0</v>
      </c>
      <c r="L851" s="7" t="str">
        <f t="array" ref="L851">IFERROR(INDEX(D$56:D$1054,SMALL(IF(ISNUMBER(J$56:J$1054),ROW(D$1:D$999),""),ROW(D796))),"")</f>
        <v/>
      </c>
      <c r="M851" s="7" t="str">
        <f t="array" ref="M851">IFERROR(INDEX(J$56:J$1054,SMALL(IF(ISNUMBER(J$56:J$1054),ROW(J$1:J$999),""),ROW(J796))),"")</f>
        <v/>
      </c>
      <c r="N851" s="7"/>
      <c r="O851" s="7"/>
      <c r="P851" s="7"/>
      <c r="Q851" s="7">
        <f ca="1">IFERROR(IF(COUNTA(P$56:P851)=P$54,P851,FORECAST(D851,OFFSET(S$56:S$254,MATCH(D851,R$56:R$254,1)-1,0,2), OFFSET(R$56:R$254,MATCH(D851,R$56:R$254,1)-1,0,2))),"")</f>
        <v>0</v>
      </c>
      <c r="R851" s="7" t="str">
        <f t="array" ref="R851">IFERROR(INDEX(E$56:E$1054,SMALL(IF(ISNUMBER(P$56:P$1054),ROW(E$1:E$999),""),ROW(J796))),"")</f>
        <v/>
      </c>
      <c r="S851" s="7" t="str">
        <f t="array" ref="S851">IFERROR(INDEX(P$56:P$1054,SMALL(IF(ISNUMBER(P$56:P$1054),ROW(P$1:P$999),""),ROW(P796))),"")</f>
        <v/>
      </c>
      <c r="T851" s="7"/>
      <c r="U851" s="7"/>
      <c r="V851" s="7"/>
    </row>
    <row r="852" spans="1:22" x14ac:dyDescent="0.25">
      <c r="A852" s="6"/>
      <c r="B852" s="11"/>
      <c r="C852" s="12"/>
      <c r="D852" s="12"/>
      <c r="E852" s="8">
        <f t="shared" si="12"/>
        <v>0</v>
      </c>
      <c r="F852" s="10"/>
      <c r="G852" s="10"/>
      <c r="H852" s="9"/>
      <c r="I852" s="7"/>
      <c r="J852" s="7"/>
      <c r="K852" s="7">
        <f ca="1">IFERROR(IF(COUNTA(J$56:J852)=J$54,J852,FORECAST(D852,OFFSET(M$56:M$254,MATCH(D852,L$56:L$254,1)-1,0,2), OFFSET(L$56:L$254,MATCH(D852,L$56:L$254,1)-1,0,2))),"")</f>
        <v>0</v>
      </c>
      <c r="L852" s="7" t="str">
        <f t="array" ref="L852">IFERROR(INDEX(D$56:D$1054,SMALL(IF(ISNUMBER(J$56:J$1054),ROW(D$1:D$999),""),ROW(D797))),"")</f>
        <v/>
      </c>
      <c r="M852" s="7" t="str">
        <f t="array" ref="M852">IFERROR(INDEX(J$56:J$1054,SMALL(IF(ISNUMBER(J$56:J$1054),ROW(J$1:J$999),""),ROW(J797))),"")</f>
        <v/>
      </c>
      <c r="N852" s="7"/>
      <c r="O852" s="7"/>
      <c r="P852" s="7"/>
      <c r="Q852" s="7">
        <f ca="1">IFERROR(IF(COUNTA(P$56:P852)=P$54,P852,FORECAST(D852,OFFSET(S$56:S$254,MATCH(D852,R$56:R$254,1)-1,0,2), OFFSET(R$56:R$254,MATCH(D852,R$56:R$254,1)-1,0,2))),"")</f>
        <v>0</v>
      </c>
      <c r="R852" s="7" t="str">
        <f t="array" ref="R852">IFERROR(INDEX(E$56:E$1054,SMALL(IF(ISNUMBER(P$56:P$1054),ROW(E$1:E$999),""),ROW(J797))),"")</f>
        <v/>
      </c>
      <c r="S852" s="7" t="str">
        <f t="array" ref="S852">IFERROR(INDEX(P$56:P$1054,SMALL(IF(ISNUMBER(P$56:P$1054),ROW(P$1:P$999),""),ROW(P797))),"")</f>
        <v/>
      </c>
      <c r="T852" s="7"/>
      <c r="U852" s="7"/>
      <c r="V852" s="7"/>
    </row>
    <row r="853" spans="1:22" x14ac:dyDescent="0.25">
      <c r="A853" s="6"/>
      <c r="B853" s="11"/>
      <c r="C853" s="12"/>
      <c r="D853" s="12"/>
      <c r="E853" s="8">
        <f t="shared" si="12"/>
        <v>0</v>
      </c>
      <c r="F853" s="10"/>
      <c r="G853" s="10"/>
      <c r="H853" s="9"/>
      <c r="I853" s="7"/>
      <c r="J853" s="7"/>
      <c r="K853" s="7">
        <f ca="1">IFERROR(IF(COUNTA(J$56:J853)=J$54,J853,FORECAST(D853,OFFSET(M$56:M$254,MATCH(D853,L$56:L$254,1)-1,0,2), OFFSET(L$56:L$254,MATCH(D853,L$56:L$254,1)-1,0,2))),"")</f>
        <v>0</v>
      </c>
      <c r="L853" s="7" t="str">
        <f t="array" ref="L853">IFERROR(INDEX(D$56:D$1054,SMALL(IF(ISNUMBER(J$56:J$1054),ROW(D$1:D$999),""),ROW(D798))),"")</f>
        <v/>
      </c>
      <c r="M853" s="7" t="str">
        <f t="array" ref="M853">IFERROR(INDEX(J$56:J$1054,SMALL(IF(ISNUMBER(J$56:J$1054),ROW(J$1:J$999),""),ROW(J798))),"")</f>
        <v/>
      </c>
      <c r="N853" s="7"/>
      <c r="O853" s="7"/>
      <c r="P853" s="7"/>
      <c r="Q853" s="7">
        <f ca="1">IFERROR(IF(COUNTA(P$56:P853)=P$54,P853,FORECAST(D853,OFFSET(S$56:S$254,MATCH(D853,R$56:R$254,1)-1,0,2), OFFSET(R$56:R$254,MATCH(D853,R$56:R$254,1)-1,0,2))),"")</f>
        <v>0</v>
      </c>
      <c r="R853" s="7" t="str">
        <f t="array" ref="R853">IFERROR(INDEX(E$56:E$1054,SMALL(IF(ISNUMBER(P$56:P$1054),ROW(E$1:E$999),""),ROW(J798))),"")</f>
        <v/>
      </c>
      <c r="S853" s="7" t="str">
        <f t="array" ref="S853">IFERROR(INDEX(P$56:P$1054,SMALL(IF(ISNUMBER(P$56:P$1054),ROW(P$1:P$999),""),ROW(P798))),"")</f>
        <v/>
      </c>
      <c r="T853" s="7"/>
      <c r="U853" s="7"/>
      <c r="V853" s="7"/>
    </row>
    <row r="854" spans="1:22" x14ac:dyDescent="0.25">
      <c r="A854" s="6"/>
      <c r="B854" s="11"/>
      <c r="C854" s="12"/>
      <c r="D854" s="12"/>
      <c r="E854" s="8">
        <f t="shared" si="12"/>
        <v>0</v>
      </c>
      <c r="F854" s="10"/>
      <c r="G854" s="10"/>
      <c r="H854" s="9"/>
      <c r="I854" s="7"/>
      <c r="J854" s="7"/>
      <c r="K854" s="7">
        <f ca="1">IFERROR(IF(COUNTA(J$56:J854)=J$54,J854,FORECAST(D854,OFFSET(M$56:M$254,MATCH(D854,L$56:L$254,1)-1,0,2), OFFSET(L$56:L$254,MATCH(D854,L$56:L$254,1)-1,0,2))),"")</f>
        <v>0</v>
      </c>
      <c r="L854" s="7" t="str">
        <f t="array" ref="L854">IFERROR(INDEX(D$56:D$1054,SMALL(IF(ISNUMBER(J$56:J$1054),ROW(D$1:D$999),""),ROW(D799))),"")</f>
        <v/>
      </c>
      <c r="M854" s="7" t="str">
        <f t="array" ref="M854">IFERROR(INDEX(J$56:J$1054,SMALL(IF(ISNUMBER(J$56:J$1054),ROW(J$1:J$999),""),ROW(J799))),"")</f>
        <v/>
      </c>
      <c r="N854" s="7"/>
      <c r="O854" s="7"/>
      <c r="P854" s="7"/>
      <c r="Q854" s="7">
        <f ca="1">IFERROR(IF(COUNTA(P$56:P854)=P$54,P854,FORECAST(D854,OFFSET(S$56:S$254,MATCH(D854,R$56:R$254,1)-1,0,2), OFFSET(R$56:R$254,MATCH(D854,R$56:R$254,1)-1,0,2))),"")</f>
        <v>0</v>
      </c>
      <c r="R854" s="7" t="str">
        <f t="array" ref="R854">IFERROR(INDEX(E$56:E$1054,SMALL(IF(ISNUMBER(P$56:P$1054),ROW(E$1:E$999),""),ROW(J799))),"")</f>
        <v/>
      </c>
      <c r="S854" s="7" t="str">
        <f t="array" ref="S854">IFERROR(INDEX(P$56:P$1054,SMALL(IF(ISNUMBER(P$56:P$1054),ROW(P$1:P$999),""),ROW(P799))),"")</f>
        <v/>
      </c>
      <c r="T854" s="7"/>
      <c r="U854" s="7"/>
      <c r="V854" s="7"/>
    </row>
    <row r="855" spans="1:22" x14ac:dyDescent="0.25">
      <c r="A855" s="6"/>
      <c r="B855" s="11"/>
      <c r="C855" s="12"/>
      <c r="D855" s="12"/>
      <c r="E855" s="8">
        <f t="shared" si="12"/>
        <v>0</v>
      </c>
      <c r="F855" s="10"/>
      <c r="G855" s="10"/>
      <c r="H855" s="9"/>
      <c r="I855" s="7"/>
      <c r="J855" s="7"/>
      <c r="K855" s="7">
        <f ca="1">IFERROR(IF(COUNTA(J$56:J855)=J$54,J855,FORECAST(D855,OFFSET(M$56:M$254,MATCH(D855,L$56:L$254,1)-1,0,2), OFFSET(L$56:L$254,MATCH(D855,L$56:L$254,1)-1,0,2))),"")</f>
        <v>0</v>
      </c>
      <c r="L855" s="7" t="str">
        <f t="array" ref="L855">IFERROR(INDEX(D$56:D$1054,SMALL(IF(ISNUMBER(J$56:J$1054),ROW(D$1:D$999),""),ROW(D800))),"")</f>
        <v/>
      </c>
      <c r="M855" s="7" t="str">
        <f t="array" ref="M855">IFERROR(INDEX(J$56:J$1054,SMALL(IF(ISNUMBER(J$56:J$1054),ROW(J$1:J$999),""),ROW(J800))),"")</f>
        <v/>
      </c>
      <c r="N855" s="7"/>
      <c r="O855" s="7"/>
      <c r="P855" s="7"/>
      <c r="Q855" s="7">
        <f ca="1">IFERROR(IF(COUNTA(P$56:P855)=P$54,P855,FORECAST(D855,OFFSET(S$56:S$254,MATCH(D855,R$56:R$254,1)-1,0,2), OFFSET(R$56:R$254,MATCH(D855,R$56:R$254,1)-1,0,2))),"")</f>
        <v>0</v>
      </c>
      <c r="R855" s="7" t="str">
        <f t="array" ref="R855">IFERROR(INDEX(E$56:E$1054,SMALL(IF(ISNUMBER(P$56:P$1054),ROW(E$1:E$999),""),ROW(J800))),"")</f>
        <v/>
      </c>
      <c r="S855" s="7" t="str">
        <f t="array" ref="S855">IFERROR(INDEX(P$56:P$1054,SMALL(IF(ISNUMBER(P$56:P$1054),ROW(P$1:P$999),""),ROW(P800))),"")</f>
        <v/>
      </c>
      <c r="T855" s="7"/>
      <c r="U855" s="7"/>
      <c r="V855" s="7"/>
    </row>
    <row r="856" spans="1:22" x14ac:dyDescent="0.25">
      <c r="A856" s="6"/>
      <c r="B856" s="11"/>
      <c r="C856" s="12"/>
      <c r="D856" s="12"/>
      <c r="E856" s="8">
        <f t="shared" si="12"/>
        <v>0</v>
      </c>
      <c r="F856" s="10"/>
      <c r="G856" s="10"/>
      <c r="H856" s="9"/>
      <c r="I856" s="7"/>
      <c r="J856" s="7"/>
      <c r="K856" s="7">
        <f ca="1">IFERROR(IF(COUNTA(J$56:J856)=J$54,J856,FORECAST(D856,OFFSET(M$56:M$254,MATCH(D856,L$56:L$254,1)-1,0,2), OFFSET(L$56:L$254,MATCH(D856,L$56:L$254,1)-1,0,2))),"")</f>
        <v>0</v>
      </c>
      <c r="L856" s="7" t="str">
        <f t="array" ref="L856">IFERROR(INDEX(D$56:D$1054,SMALL(IF(ISNUMBER(J$56:J$1054),ROW(D$1:D$999),""),ROW(D801))),"")</f>
        <v/>
      </c>
      <c r="M856" s="7" t="str">
        <f t="array" ref="M856">IFERROR(INDEX(J$56:J$1054,SMALL(IF(ISNUMBER(J$56:J$1054),ROW(J$1:J$999),""),ROW(J801))),"")</f>
        <v/>
      </c>
      <c r="N856" s="7"/>
      <c r="O856" s="7"/>
      <c r="P856" s="7"/>
      <c r="Q856" s="7">
        <f ca="1">IFERROR(IF(COUNTA(P$56:P856)=P$54,P856,FORECAST(D856,OFFSET(S$56:S$254,MATCH(D856,R$56:R$254,1)-1,0,2), OFFSET(R$56:R$254,MATCH(D856,R$56:R$254,1)-1,0,2))),"")</f>
        <v>0</v>
      </c>
      <c r="R856" s="7" t="str">
        <f t="array" ref="R856">IFERROR(INDEX(E$56:E$1054,SMALL(IF(ISNUMBER(P$56:P$1054),ROW(E$1:E$999),""),ROW(J801))),"")</f>
        <v/>
      </c>
      <c r="S856" s="7" t="str">
        <f t="array" ref="S856">IFERROR(INDEX(P$56:P$1054,SMALL(IF(ISNUMBER(P$56:P$1054),ROW(P$1:P$999),""),ROW(P801))),"")</f>
        <v/>
      </c>
      <c r="T856" s="7"/>
      <c r="U856" s="7"/>
      <c r="V856" s="7"/>
    </row>
    <row r="857" spans="1:22" x14ac:dyDescent="0.25">
      <c r="A857" s="6"/>
      <c r="B857" s="11"/>
      <c r="C857" s="12"/>
      <c r="D857" s="12"/>
      <c r="E857" s="8">
        <f t="shared" si="12"/>
        <v>0</v>
      </c>
      <c r="F857" s="10"/>
      <c r="G857" s="10"/>
      <c r="H857" s="9"/>
      <c r="I857" s="7"/>
      <c r="J857" s="7"/>
      <c r="K857" s="7">
        <f ca="1">IFERROR(IF(COUNTA(J$56:J857)=J$54,J857,FORECAST(D857,OFFSET(M$56:M$254,MATCH(D857,L$56:L$254,1)-1,0,2), OFFSET(L$56:L$254,MATCH(D857,L$56:L$254,1)-1,0,2))),"")</f>
        <v>0</v>
      </c>
      <c r="L857" s="7" t="str">
        <f t="array" ref="L857">IFERROR(INDEX(D$56:D$1054,SMALL(IF(ISNUMBER(J$56:J$1054),ROW(D$1:D$999),""),ROW(D802))),"")</f>
        <v/>
      </c>
      <c r="M857" s="7" t="str">
        <f t="array" ref="M857">IFERROR(INDEX(J$56:J$1054,SMALL(IF(ISNUMBER(J$56:J$1054),ROW(J$1:J$999),""),ROW(J802))),"")</f>
        <v/>
      </c>
      <c r="N857" s="7"/>
      <c r="O857" s="7"/>
      <c r="P857" s="7"/>
      <c r="Q857" s="7">
        <f ca="1">IFERROR(IF(COUNTA(P$56:P857)=P$54,P857,FORECAST(D857,OFFSET(S$56:S$254,MATCH(D857,R$56:R$254,1)-1,0,2), OFFSET(R$56:R$254,MATCH(D857,R$56:R$254,1)-1,0,2))),"")</f>
        <v>0</v>
      </c>
      <c r="R857" s="7" t="str">
        <f t="array" ref="R857">IFERROR(INDEX(E$56:E$1054,SMALL(IF(ISNUMBER(P$56:P$1054),ROW(E$1:E$999),""),ROW(J802))),"")</f>
        <v/>
      </c>
      <c r="S857" s="7" t="str">
        <f t="array" ref="S857">IFERROR(INDEX(P$56:P$1054,SMALL(IF(ISNUMBER(P$56:P$1054),ROW(P$1:P$999),""),ROW(P802))),"")</f>
        <v/>
      </c>
      <c r="T857" s="7"/>
      <c r="U857" s="7"/>
      <c r="V857" s="7"/>
    </row>
    <row r="858" spans="1:22" x14ac:dyDescent="0.25">
      <c r="A858" s="6"/>
      <c r="B858" s="11"/>
      <c r="C858" s="12"/>
      <c r="D858" s="12"/>
      <c r="E858" s="8">
        <f t="shared" si="12"/>
        <v>0</v>
      </c>
      <c r="F858" s="10"/>
      <c r="G858" s="10"/>
      <c r="H858" s="9"/>
      <c r="I858" s="7"/>
      <c r="J858" s="7"/>
      <c r="K858" s="7">
        <f ca="1">IFERROR(IF(COUNTA(J$56:J858)=J$54,J858,FORECAST(D858,OFFSET(M$56:M$254,MATCH(D858,L$56:L$254,1)-1,0,2), OFFSET(L$56:L$254,MATCH(D858,L$56:L$254,1)-1,0,2))),"")</f>
        <v>0</v>
      </c>
      <c r="L858" s="7" t="str">
        <f t="array" ref="L858">IFERROR(INDEX(D$56:D$1054,SMALL(IF(ISNUMBER(J$56:J$1054),ROW(D$1:D$999),""),ROW(D803))),"")</f>
        <v/>
      </c>
      <c r="M858" s="7" t="str">
        <f t="array" ref="M858">IFERROR(INDEX(J$56:J$1054,SMALL(IF(ISNUMBER(J$56:J$1054),ROW(J$1:J$999),""),ROW(J803))),"")</f>
        <v/>
      </c>
      <c r="N858" s="7"/>
      <c r="O858" s="7"/>
      <c r="P858" s="7"/>
      <c r="Q858" s="7">
        <f ca="1">IFERROR(IF(COUNTA(P$56:P858)=P$54,P858,FORECAST(D858,OFFSET(S$56:S$254,MATCH(D858,R$56:R$254,1)-1,0,2), OFFSET(R$56:R$254,MATCH(D858,R$56:R$254,1)-1,0,2))),"")</f>
        <v>0</v>
      </c>
      <c r="R858" s="7" t="str">
        <f t="array" ref="R858">IFERROR(INDEX(E$56:E$1054,SMALL(IF(ISNUMBER(P$56:P$1054),ROW(E$1:E$999),""),ROW(J803))),"")</f>
        <v/>
      </c>
      <c r="S858" s="7" t="str">
        <f t="array" ref="S858">IFERROR(INDEX(P$56:P$1054,SMALL(IF(ISNUMBER(P$56:P$1054),ROW(P$1:P$999),""),ROW(P803))),"")</f>
        <v/>
      </c>
      <c r="T858" s="7"/>
      <c r="U858" s="7"/>
      <c r="V858" s="7"/>
    </row>
    <row r="859" spans="1:22" x14ac:dyDescent="0.25">
      <c r="A859" s="6"/>
      <c r="B859" s="11"/>
      <c r="C859" s="12"/>
      <c r="D859" s="12"/>
      <c r="E859" s="8">
        <f t="shared" si="12"/>
        <v>0</v>
      </c>
      <c r="F859" s="10"/>
      <c r="G859" s="10"/>
      <c r="H859" s="9"/>
      <c r="I859" s="7"/>
      <c r="J859" s="7"/>
      <c r="K859" s="7">
        <f ca="1">IFERROR(IF(COUNTA(J$56:J859)=J$54,J859,FORECAST(D859,OFFSET(M$56:M$254,MATCH(D859,L$56:L$254,1)-1,0,2), OFFSET(L$56:L$254,MATCH(D859,L$56:L$254,1)-1,0,2))),"")</f>
        <v>0</v>
      </c>
      <c r="L859" s="7" t="str">
        <f t="array" ref="L859">IFERROR(INDEX(D$56:D$1054,SMALL(IF(ISNUMBER(J$56:J$1054),ROW(D$1:D$999),""),ROW(D804))),"")</f>
        <v/>
      </c>
      <c r="M859" s="7" t="str">
        <f t="array" ref="M859">IFERROR(INDEX(J$56:J$1054,SMALL(IF(ISNUMBER(J$56:J$1054),ROW(J$1:J$999),""),ROW(J804))),"")</f>
        <v/>
      </c>
      <c r="N859" s="7"/>
      <c r="O859" s="7"/>
      <c r="P859" s="7"/>
      <c r="Q859" s="7">
        <f ca="1">IFERROR(IF(COUNTA(P$56:P859)=P$54,P859,FORECAST(D859,OFFSET(S$56:S$254,MATCH(D859,R$56:R$254,1)-1,0,2), OFFSET(R$56:R$254,MATCH(D859,R$56:R$254,1)-1,0,2))),"")</f>
        <v>0</v>
      </c>
      <c r="R859" s="7" t="str">
        <f t="array" ref="R859">IFERROR(INDEX(E$56:E$1054,SMALL(IF(ISNUMBER(P$56:P$1054),ROW(E$1:E$999),""),ROW(J804))),"")</f>
        <v/>
      </c>
      <c r="S859" s="7" t="str">
        <f t="array" ref="S859">IFERROR(INDEX(P$56:P$1054,SMALL(IF(ISNUMBER(P$56:P$1054),ROW(P$1:P$999),""),ROW(P804))),"")</f>
        <v/>
      </c>
      <c r="T859" s="7"/>
      <c r="U859" s="7"/>
      <c r="V859" s="7"/>
    </row>
    <row r="860" spans="1:22" x14ac:dyDescent="0.25">
      <c r="A860" s="6"/>
      <c r="B860" s="11"/>
      <c r="C860" s="12"/>
      <c r="D860" s="12"/>
      <c r="E860" s="8">
        <f t="shared" si="12"/>
        <v>0</v>
      </c>
      <c r="F860" s="10"/>
      <c r="G860" s="10"/>
      <c r="H860" s="9"/>
      <c r="I860" s="7"/>
      <c r="J860" s="7"/>
      <c r="K860" s="7">
        <f ca="1">IFERROR(IF(COUNTA(J$56:J860)=J$54,J860,FORECAST(D860,OFFSET(M$56:M$254,MATCH(D860,L$56:L$254,1)-1,0,2), OFFSET(L$56:L$254,MATCH(D860,L$56:L$254,1)-1,0,2))),"")</f>
        <v>0</v>
      </c>
      <c r="L860" s="7" t="str">
        <f t="array" ref="L860">IFERROR(INDEX(D$56:D$1054,SMALL(IF(ISNUMBER(J$56:J$1054),ROW(D$1:D$999),""),ROW(D805))),"")</f>
        <v/>
      </c>
      <c r="M860" s="7" t="str">
        <f t="array" ref="M860">IFERROR(INDEX(J$56:J$1054,SMALL(IF(ISNUMBER(J$56:J$1054),ROW(J$1:J$999),""),ROW(J805))),"")</f>
        <v/>
      </c>
      <c r="N860" s="7"/>
      <c r="O860" s="7"/>
      <c r="P860" s="7"/>
      <c r="Q860" s="7">
        <f ca="1">IFERROR(IF(COUNTA(P$56:P860)=P$54,P860,FORECAST(D860,OFFSET(S$56:S$254,MATCH(D860,R$56:R$254,1)-1,0,2), OFFSET(R$56:R$254,MATCH(D860,R$56:R$254,1)-1,0,2))),"")</f>
        <v>0</v>
      </c>
      <c r="R860" s="7" t="str">
        <f t="array" ref="R860">IFERROR(INDEX(E$56:E$1054,SMALL(IF(ISNUMBER(P$56:P$1054),ROW(E$1:E$999),""),ROW(J805))),"")</f>
        <v/>
      </c>
      <c r="S860" s="7" t="str">
        <f t="array" ref="S860">IFERROR(INDEX(P$56:P$1054,SMALL(IF(ISNUMBER(P$56:P$1054),ROW(P$1:P$999),""),ROW(P805))),"")</f>
        <v/>
      </c>
      <c r="T860" s="7"/>
      <c r="U860" s="7"/>
      <c r="V860" s="7"/>
    </row>
    <row r="861" spans="1:22" x14ac:dyDescent="0.25">
      <c r="A861" s="6"/>
      <c r="B861" s="11"/>
      <c r="C861" s="12"/>
      <c r="D861" s="12"/>
      <c r="E861" s="8">
        <f t="shared" si="12"/>
        <v>0</v>
      </c>
      <c r="F861" s="10"/>
      <c r="G861" s="10"/>
      <c r="H861" s="9"/>
      <c r="I861" s="7"/>
      <c r="J861" s="7"/>
      <c r="K861" s="7">
        <f ca="1">IFERROR(IF(COUNTA(J$56:J861)=J$54,J861,FORECAST(D861,OFFSET(M$56:M$254,MATCH(D861,L$56:L$254,1)-1,0,2), OFFSET(L$56:L$254,MATCH(D861,L$56:L$254,1)-1,0,2))),"")</f>
        <v>0</v>
      </c>
      <c r="L861" s="7" t="str">
        <f t="array" ref="L861">IFERROR(INDEX(D$56:D$1054,SMALL(IF(ISNUMBER(J$56:J$1054),ROW(D$1:D$999),""),ROW(D806))),"")</f>
        <v/>
      </c>
      <c r="M861" s="7" t="str">
        <f t="array" ref="M861">IFERROR(INDEX(J$56:J$1054,SMALL(IF(ISNUMBER(J$56:J$1054),ROW(J$1:J$999),""),ROW(J806))),"")</f>
        <v/>
      </c>
      <c r="N861" s="7"/>
      <c r="O861" s="7"/>
      <c r="P861" s="7"/>
      <c r="Q861" s="7">
        <f ca="1">IFERROR(IF(COUNTA(P$56:P861)=P$54,P861,FORECAST(D861,OFFSET(S$56:S$254,MATCH(D861,R$56:R$254,1)-1,0,2), OFFSET(R$56:R$254,MATCH(D861,R$56:R$254,1)-1,0,2))),"")</f>
        <v>0</v>
      </c>
      <c r="R861" s="7" t="str">
        <f t="array" ref="R861">IFERROR(INDEX(E$56:E$1054,SMALL(IF(ISNUMBER(P$56:P$1054),ROW(E$1:E$999),""),ROW(J806))),"")</f>
        <v/>
      </c>
      <c r="S861" s="7" t="str">
        <f t="array" ref="S861">IFERROR(INDEX(P$56:P$1054,SMALL(IF(ISNUMBER(P$56:P$1054),ROW(P$1:P$999),""),ROW(P806))),"")</f>
        <v/>
      </c>
      <c r="T861" s="7"/>
      <c r="U861" s="7"/>
      <c r="V861" s="7"/>
    </row>
    <row r="862" spans="1:22" x14ac:dyDescent="0.25">
      <c r="A862" s="6"/>
      <c r="B862" s="11"/>
      <c r="C862" s="12"/>
      <c r="D862" s="12"/>
      <c r="E862" s="8">
        <f t="shared" si="12"/>
        <v>0</v>
      </c>
      <c r="F862" s="10"/>
      <c r="G862" s="10"/>
      <c r="H862" s="9"/>
      <c r="I862" s="7"/>
      <c r="J862" s="7"/>
      <c r="K862" s="7">
        <f ca="1">IFERROR(IF(COUNTA(J$56:J862)=J$54,J862,FORECAST(D862,OFFSET(M$56:M$254,MATCH(D862,L$56:L$254,1)-1,0,2), OFFSET(L$56:L$254,MATCH(D862,L$56:L$254,1)-1,0,2))),"")</f>
        <v>0</v>
      </c>
      <c r="L862" s="7" t="str">
        <f t="array" ref="L862">IFERROR(INDEX(D$56:D$1054,SMALL(IF(ISNUMBER(J$56:J$1054),ROW(D$1:D$999),""),ROW(D807))),"")</f>
        <v/>
      </c>
      <c r="M862" s="7" t="str">
        <f t="array" ref="M862">IFERROR(INDEX(J$56:J$1054,SMALL(IF(ISNUMBER(J$56:J$1054),ROW(J$1:J$999),""),ROW(J807))),"")</f>
        <v/>
      </c>
      <c r="N862" s="7"/>
      <c r="O862" s="7"/>
      <c r="P862" s="7"/>
      <c r="Q862" s="7">
        <f ca="1">IFERROR(IF(COUNTA(P$56:P862)=P$54,P862,FORECAST(D862,OFFSET(S$56:S$254,MATCH(D862,R$56:R$254,1)-1,0,2), OFFSET(R$56:R$254,MATCH(D862,R$56:R$254,1)-1,0,2))),"")</f>
        <v>0</v>
      </c>
      <c r="R862" s="7" t="str">
        <f t="array" ref="R862">IFERROR(INDEX(E$56:E$1054,SMALL(IF(ISNUMBER(P$56:P$1054),ROW(E$1:E$999),""),ROW(J807))),"")</f>
        <v/>
      </c>
      <c r="S862" s="7" t="str">
        <f t="array" ref="S862">IFERROR(INDEX(P$56:P$1054,SMALL(IF(ISNUMBER(P$56:P$1054),ROW(P$1:P$999),""),ROW(P807))),"")</f>
        <v/>
      </c>
      <c r="T862" s="7"/>
      <c r="U862" s="7"/>
      <c r="V862" s="7"/>
    </row>
    <row r="863" spans="1:22" x14ac:dyDescent="0.25">
      <c r="A863" s="6"/>
      <c r="B863" s="11"/>
      <c r="C863" s="12"/>
      <c r="D863" s="12"/>
      <c r="E863" s="8">
        <f t="shared" si="12"/>
        <v>0</v>
      </c>
      <c r="F863" s="10"/>
      <c r="G863" s="10"/>
      <c r="H863" s="9"/>
      <c r="I863" s="7"/>
      <c r="J863" s="7"/>
      <c r="K863" s="7">
        <f ca="1">IFERROR(IF(COUNTA(J$56:J863)=J$54,J863,FORECAST(D863,OFFSET(M$56:M$254,MATCH(D863,L$56:L$254,1)-1,0,2), OFFSET(L$56:L$254,MATCH(D863,L$56:L$254,1)-1,0,2))),"")</f>
        <v>0</v>
      </c>
      <c r="L863" s="7" t="str">
        <f t="array" ref="L863">IFERROR(INDEX(D$56:D$1054,SMALL(IF(ISNUMBER(J$56:J$1054),ROW(D$1:D$999),""),ROW(D808))),"")</f>
        <v/>
      </c>
      <c r="M863" s="7" t="str">
        <f t="array" ref="M863">IFERROR(INDEX(J$56:J$1054,SMALL(IF(ISNUMBER(J$56:J$1054),ROW(J$1:J$999),""),ROW(J808))),"")</f>
        <v/>
      </c>
      <c r="N863" s="7"/>
      <c r="O863" s="7"/>
      <c r="P863" s="7"/>
      <c r="Q863" s="7">
        <f ca="1">IFERROR(IF(COUNTA(P$56:P863)=P$54,P863,FORECAST(D863,OFFSET(S$56:S$254,MATCH(D863,R$56:R$254,1)-1,0,2), OFFSET(R$56:R$254,MATCH(D863,R$56:R$254,1)-1,0,2))),"")</f>
        <v>0</v>
      </c>
      <c r="R863" s="7" t="str">
        <f t="array" ref="R863">IFERROR(INDEX(E$56:E$1054,SMALL(IF(ISNUMBER(P$56:P$1054),ROW(E$1:E$999),""),ROW(J808))),"")</f>
        <v/>
      </c>
      <c r="S863" s="7" t="str">
        <f t="array" ref="S863">IFERROR(INDEX(P$56:P$1054,SMALL(IF(ISNUMBER(P$56:P$1054),ROW(P$1:P$999),""),ROW(P808))),"")</f>
        <v/>
      </c>
      <c r="T863" s="7"/>
      <c r="U863" s="7"/>
      <c r="V863" s="7"/>
    </row>
    <row r="864" spans="1:22" x14ac:dyDescent="0.25">
      <c r="A864" s="6"/>
      <c r="B864" s="11"/>
      <c r="C864" s="12"/>
      <c r="D864" s="12"/>
      <c r="E864" s="8">
        <f t="shared" si="12"/>
        <v>0</v>
      </c>
      <c r="F864" s="10"/>
      <c r="G864" s="10"/>
      <c r="H864" s="9"/>
      <c r="I864" s="7"/>
      <c r="J864" s="7"/>
      <c r="K864" s="7">
        <f ca="1">IFERROR(IF(COUNTA(J$56:J864)=J$54,J864,FORECAST(D864,OFFSET(M$56:M$254,MATCH(D864,L$56:L$254,1)-1,0,2), OFFSET(L$56:L$254,MATCH(D864,L$56:L$254,1)-1,0,2))),"")</f>
        <v>0</v>
      </c>
      <c r="L864" s="7" t="str">
        <f t="array" ref="L864">IFERROR(INDEX(D$56:D$1054,SMALL(IF(ISNUMBER(J$56:J$1054),ROW(D$1:D$999),""),ROW(D809))),"")</f>
        <v/>
      </c>
      <c r="M864" s="7" t="str">
        <f t="array" ref="M864">IFERROR(INDEX(J$56:J$1054,SMALL(IF(ISNUMBER(J$56:J$1054),ROW(J$1:J$999),""),ROW(J809))),"")</f>
        <v/>
      </c>
      <c r="N864" s="7"/>
      <c r="O864" s="7"/>
      <c r="P864" s="7"/>
      <c r="Q864" s="7">
        <f ca="1">IFERROR(IF(COUNTA(P$56:P864)=P$54,P864,FORECAST(D864,OFFSET(S$56:S$254,MATCH(D864,R$56:R$254,1)-1,0,2), OFFSET(R$56:R$254,MATCH(D864,R$56:R$254,1)-1,0,2))),"")</f>
        <v>0</v>
      </c>
      <c r="R864" s="7" t="str">
        <f t="array" ref="R864">IFERROR(INDEX(E$56:E$1054,SMALL(IF(ISNUMBER(P$56:P$1054),ROW(E$1:E$999),""),ROW(J809))),"")</f>
        <v/>
      </c>
      <c r="S864" s="7" t="str">
        <f t="array" ref="S864">IFERROR(INDEX(P$56:P$1054,SMALL(IF(ISNUMBER(P$56:P$1054),ROW(P$1:P$999),""),ROW(P809))),"")</f>
        <v/>
      </c>
      <c r="T864" s="7"/>
      <c r="U864" s="7"/>
      <c r="V864" s="7"/>
    </row>
    <row r="865" spans="1:22" x14ac:dyDescent="0.25">
      <c r="A865" s="6"/>
      <c r="B865" s="11"/>
      <c r="C865" s="12"/>
      <c r="D865" s="12"/>
      <c r="E865" s="8">
        <f t="shared" si="12"/>
        <v>0</v>
      </c>
      <c r="F865" s="10"/>
      <c r="G865" s="10"/>
      <c r="H865" s="9"/>
      <c r="I865" s="7"/>
      <c r="J865" s="7"/>
      <c r="K865" s="7">
        <f ca="1">IFERROR(IF(COUNTA(J$56:J865)=J$54,J865,FORECAST(D865,OFFSET(M$56:M$254,MATCH(D865,L$56:L$254,1)-1,0,2), OFFSET(L$56:L$254,MATCH(D865,L$56:L$254,1)-1,0,2))),"")</f>
        <v>0</v>
      </c>
      <c r="L865" s="7" t="str">
        <f t="array" ref="L865">IFERROR(INDEX(D$56:D$1054,SMALL(IF(ISNUMBER(J$56:J$1054),ROW(D$1:D$999),""),ROW(D810))),"")</f>
        <v/>
      </c>
      <c r="M865" s="7" t="str">
        <f t="array" ref="M865">IFERROR(INDEX(J$56:J$1054,SMALL(IF(ISNUMBER(J$56:J$1054),ROW(J$1:J$999),""),ROW(J810))),"")</f>
        <v/>
      </c>
      <c r="N865" s="7"/>
      <c r="O865" s="7"/>
      <c r="P865" s="7"/>
      <c r="Q865" s="7">
        <f ca="1">IFERROR(IF(COUNTA(P$56:P865)=P$54,P865,FORECAST(D865,OFFSET(S$56:S$254,MATCH(D865,R$56:R$254,1)-1,0,2), OFFSET(R$56:R$254,MATCH(D865,R$56:R$254,1)-1,0,2))),"")</f>
        <v>0</v>
      </c>
      <c r="R865" s="7" t="str">
        <f t="array" ref="R865">IFERROR(INDEX(E$56:E$1054,SMALL(IF(ISNUMBER(P$56:P$1054),ROW(E$1:E$999),""),ROW(J810))),"")</f>
        <v/>
      </c>
      <c r="S865" s="7" t="str">
        <f t="array" ref="S865">IFERROR(INDEX(P$56:P$1054,SMALL(IF(ISNUMBER(P$56:P$1054),ROW(P$1:P$999),""),ROW(P810))),"")</f>
        <v/>
      </c>
      <c r="T865" s="7"/>
      <c r="U865" s="7"/>
      <c r="V865" s="7"/>
    </row>
    <row r="866" spans="1:22" x14ac:dyDescent="0.25">
      <c r="A866" s="6"/>
      <c r="B866" s="11"/>
      <c r="C866" s="12"/>
      <c r="D866" s="12"/>
      <c r="E866" s="8">
        <f t="shared" si="12"/>
        <v>0</v>
      </c>
      <c r="F866" s="10"/>
      <c r="G866" s="10"/>
      <c r="H866" s="9"/>
      <c r="I866" s="7"/>
      <c r="J866" s="7"/>
      <c r="K866" s="7">
        <f ca="1">IFERROR(IF(COUNTA(J$56:J866)=J$54,J866,FORECAST(D866,OFFSET(M$56:M$254,MATCH(D866,L$56:L$254,1)-1,0,2), OFFSET(L$56:L$254,MATCH(D866,L$56:L$254,1)-1,0,2))),"")</f>
        <v>0</v>
      </c>
      <c r="L866" s="7" t="str">
        <f t="array" ref="L866">IFERROR(INDEX(D$56:D$1054,SMALL(IF(ISNUMBER(J$56:J$1054),ROW(D$1:D$999),""),ROW(D811))),"")</f>
        <v/>
      </c>
      <c r="M866" s="7" t="str">
        <f t="array" ref="M866">IFERROR(INDEX(J$56:J$1054,SMALL(IF(ISNUMBER(J$56:J$1054),ROW(J$1:J$999),""),ROW(J811))),"")</f>
        <v/>
      </c>
      <c r="N866" s="7"/>
      <c r="O866" s="7"/>
      <c r="P866" s="7"/>
      <c r="Q866" s="7">
        <f ca="1">IFERROR(IF(COUNTA(P$56:P866)=P$54,P866,FORECAST(D866,OFFSET(S$56:S$254,MATCH(D866,R$56:R$254,1)-1,0,2), OFFSET(R$56:R$254,MATCH(D866,R$56:R$254,1)-1,0,2))),"")</f>
        <v>0</v>
      </c>
      <c r="R866" s="7" t="str">
        <f t="array" ref="R866">IFERROR(INDEX(E$56:E$1054,SMALL(IF(ISNUMBER(P$56:P$1054),ROW(E$1:E$999),""),ROW(J811))),"")</f>
        <v/>
      </c>
      <c r="S866" s="7" t="str">
        <f t="array" ref="S866">IFERROR(INDEX(P$56:P$1054,SMALL(IF(ISNUMBER(P$56:P$1054),ROW(P$1:P$999),""),ROW(P811))),"")</f>
        <v/>
      </c>
      <c r="T866" s="7"/>
      <c r="U866" s="7"/>
      <c r="V866" s="7"/>
    </row>
    <row r="867" spans="1:22" x14ac:dyDescent="0.25">
      <c r="A867" s="6"/>
      <c r="B867" s="11"/>
      <c r="C867" s="12"/>
      <c r="D867" s="12"/>
      <c r="E867" s="8">
        <f t="shared" si="12"/>
        <v>0</v>
      </c>
      <c r="F867" s="10"/>
      <c r="G867" s="10"/>
      <c r="H867" s="9"/>
      <c r="I867" s="7"/>
      <c r="J867" s="7"/>
      <c r="K867" s="7">
        <f ca="1">IFERROR(IF(COUNTA(J$56:J867)=J$54,J867,FORECAST(D867,OFFSET(M$56:M$254,MATCH(D867,L$56:L$254,1)-1,0,2), OFFSET(L$56:L$254,MATCH(D867,L$56:L$254,1)-1,0,2))),"")</f>
        <v>0</v>
      </c>
      <c r="L867" s="7" t="str">
        <f t="array" ref="L867">IFERROR(INDEX(D$56:D$1054,SMALL(IF(ISNUMBER(J$56:J$1054),ROW(D$1:D$999),""),ROW(D812))),"")</f>
        <v/>
      </c>
      <c r="M867" s="7" t="str">
        <f t="array" ref="M867">IFERROR(INDEX(J$56:J$1054,SMALL(IF(ISNUMBER(J$56:J$1054),ROW(J$1:J$999),""),ROW(J812))),"")</f>
        <v/>
      </c>
      <c r="N867" s="7"/>
      <c r="O867" s="7"/>
      <c r="P867" s="7"/>
      <c r="Q867" s="7">
        <f ca="1">IFERROR(IF(COUNTA(P$56:P867)=P$54,P867,FORECAST(D867,OFFSET(S$56:S$254,MATCH(D867,R$56:R$254,1)-1,0,2), OFFSET(R$56:R$254,MATCH(D867,R$56:R$254,1)-1,0,2))),"")</f>
        <v>0</v>
      </c>
      <c r="R867" s="7" t="str">
        <f t="array" ref="R867">IFERROR(INDEX(E$56:E$1054,SMALL(IF(ISNUMBER(P$56:P$1054),ROW(E$1:E$999),""),ROW(J812))),"")</f>
        <v/>
      </c>
      <c r="S867" s="7" t="str">
        <f t="array" ref="S867">IFERROR(INDEX(P$56:P$1054,SMALL(IF(ISNUMBER(P$56:P$1054),ROW(P$1:P$999),""),ROW(P812))),"")</f>
        <v/>
      </c>
      <c r="T867" s="7"/>
      <c r="U867" s="7"/>
      <c r="V867" s="7"/>
    </row>
    <row r="868" spans="1:22" x14ac:dyDescent="0.25">
      <c r="A868" s="6"/>
      <c r="B868" s="11"/>
      <c r="C868" s="12"/>
      <c r="D868" s="12"/>
      <c r="E868" s="8">
        <f t="shared" si="12"/>
        <v>0</v>
      </c>
      <c r="F868" s="10"/>
      <c r="G868" s="10"/>
      <c r="H868" s="9"/>
      <c r="I868" s="7"/>
      <c r="J868" s="7"/>
      <c r="K868" s="7">
        <f ca="1">IFERROR(IF(COUNTA(J$56:J868)=J$54,J868,FORECAST(D868,OFFSET(M$56:M$254,MATCH(D868,L$56:L$254,1)-1,0,2), OFFSET(L$56:L$254,MATCH(D868,L$56:L$254,1)-1,0,2))),"")</f>
        <v>0</v>
      </c>
      <c r="L868" s="7" t="str">
        <f t="array" ref="L868">IFERROR(INDEX(D$56:D$1054,SMALL(IF(ISNUMBER(J$56:J$1054),ROW(D$1:D$999),""),ROW(D813))),"")</f>
        <v/>
      </c>
      <c r="M868" s="7" t="str">
        <f t="array" ref="M868">IFERROR(INDEX(J$56:J$1054,SMALL(IF(ISNUMBER(J$56:J$1054),ROW(J$1:J$999),""),ROW(J813))),"")</f>
        <v/>
      </c>
      <c r="N868" s="7"/>
      <c r="O868" s="7"/>
      <c r="P868" s="7"/>
      <c r="Q868" s="7">
        <f ca="1">IFERROR(IF(COUNTA(P$56:P868)=P$54,P868,FORECAST(D868,OFFSET(S$56:S$254,MATCH(D868,R$56:R$254,1)-1,0,2), OFFSET(R$56:R$254,MATCH(D868,R$56:R$254,1)-1,0,2))),"")</f>
        <v>0</v>
      </c>
      <c r="R868" s="7" t="str">
        <f t="array" ref="R868">IFERROR(INDEX(E$56:E$1054,SMALL(IF(ISNUMBER(P$56:P$1054),ROW(E$1:E$999),""),ROW(J813))),"")</f>
        <v/>
      </c>
      <c r="S868" s="7" t="str">
        <f t="array" ref="S868">IFERROR(INDEX(P$56:P$1054,SMALL(IF(ISNUMBER(P$56:P$1054),ROW(P$1:P$999),""),ROW(P813))),"")</f>
        <v/>
      </c>
      <c r="T868" s="7"/>
      <c r="U868" s="7"/>
      <c r="V868" s="7"/>
    </row>
    <row r="869" spans="1:22" x14ac:dyDescent="0.25">
      <c r="A869" s="6"/>
      <c r="B869" s="11"/>
      <c r="C869" s="12"/>
      <c r="D869" s="12"/>
      <c r="E869" s="8">
        <f t="shared" si="12"/>
        <v>0</v>
      </c>
      <c r="F869" s="10"/>
      <c r="G869" s="10"/>
      <c r="H869" s="9"/>
      <c r="I869" s="7"/>
      <c r="J869" s="7"/>
      <c r="K869" s="7">
        <f ca="1">IFERROR(IF(COUNTA(J$56:J869)=J$54,J869,FORECAST(D869,OFFSET(M$56:M$254,MATCH(D869,L$56:L$254,1)-1,0,2), OFFSET(L$56:L$254,MATCH(D869,L$56:L$254,1)-1,0,2))),"")</f>
        <v>0</v>
      </c>
      <c r="L869" s="7" t="str">
        <f t="array" ref="L869">IFERROR(INDEX(D$56:D$1054,SMALL(IF(ISNUMBER(J$56:J$1054),ROW(D$1:D$999),""),ROW(D814))),"")</f>
        <v/>
      </c>
      <c r="M869" s="7" t="str">
        <f t="array" ref="M869">IFERROR(INDEX(J$56:J$1054,SMALL(IF(ISNUMBER(J$56:J$1054),ROW(J$1:J$999),""),ROW(J814))),"")</f>
        <v/>
      </c>
      <c r="N869" s="7"/>
      <c r="O869" s="7"/>
      <c r="P869" s="7"/>
      <c r="Q869" s="7">
        <f ca="1">IFERROR(IF(COUNTA(P$56:P869)=P$54,P869,FORECAST(D869,OFFSET(S$56:S$254,MATCH(D869,R$56:R$254,1)-1,0,2), OFFSET(R$56:R$254,MATCH(D869,R$56:R$254,1)-1,0,2))),"")</f>
        <v>0</v>
      </c>
      <c r="R869" s="7" t="str">
        <f t="array" ref="R869">IFERROR(INDEX(E$56:E$1054,SMALL(IF(ISNUMBER(P$56:P$1054),ROW(E$1:E$999),""),ROW(J814))),"")</f>
        <v/>
      </c>
      <c r="S869" s="7" t="str">
        <f t="array" ref="S869">IFERROR(INDEX(P$56:P$1054,SMALL(IF(ISNUMBER(P$56:P$1054),ROW(P$1:P$999),""),ROW(P814))),"")</f>
        <v/>
      </c>
      <c r="T869" s="7"/>
      <c r="U869" s="7"/>
      <c r="V869" s="7"/>
    </row>
    <row r="870" spans="1:22" x14ac:dyDescent="0.25">
      <c r="A870" s="6"/>
      <c r="B870" s="11"/>
      <c r="C870" s="12"/>
      <c r="D870" s="12"/>
      <c r="E870" s="8">
        <f t="shared" si="12"/>
        <v>0</v>
      </c>
      <c r="F870" s="10"/>
      <c r="G870" s="10"/>
      <c r="H870" s="9"/>
      <c r="I870" s="7"/>
      <c r="J870" s="7"/>
      <c r="K870" s="7">
        <f ca="1">IFERROR(IF(COUNTA(J$56:J870)=J$54,J870,FORECAST(D870,OFFSET(M$56:M$254,MATCH(D870,L$56:L$254,1)-1,0,2), OFFSET(L$56:L$254,MATCH(D870,L$56:L$254,1)-1,0,2))),"")</f>
        <v>0</v>
      </c>
      <c r="L870" s="7" t="str">
        <f t="array" ref="L870">IFERROR(INDEX(D$56:D$1054,SMALL(IF(ISNUMBER(J$56:J$1054),ROW(D$1:D$999),""),ROW(D815))),"")</f>
        <v/>
      </c>
      <c r="M870" s="7" t="str">
        <f t="array" ref="M870">IFERROR(INDEX(J$56:J$1054,SMALL(IF(ISNUMBER(J$56:J$1054),ROW(J$1:J$999),""),ROW(J815))),"")</f>
        <v/>
      </c>
      <c r="N870" s="7"/>
      <c r="O870" s="7"/>
      <c r="P870" s="7"/>
      <c r="Q870" s="7">
        <f ca="1">IFERROR(IF(COUNTA(P$56:P870)=P$54,P870,FORECAST(D870,OFFSET(S$56:S$254,MATCH(D870,R$56:R$254,1)-1,0,2), OFFSET(R$56:R$254,MATCH(D870,R$56:R$254,1)-1,0,2))),"")</f>
        <v>0</v>
      </c>
      <c r="R870" s="7" t="str">
        <f t="array" ref="R870">IFERROR(INDEX(E$56:E$1054,SMALL(IF(ISNUMBER(P$56:P$1054),ROW(E$1:E$999),""),ROW(J815))),"")</f>
        <v/>
      </c>
      <c r="S870" s="7" t="str">
        <f t="array" ref="S870">IFERROR(INDEX(P$56:P$1054,SMALL(IF(ISNUMBER(P$56:P$1054),ROW(P$1:P$999),""),ROW(P815))),"")</f>
        <v/>
      </c>
      <c r="T870" s="7"/>
      <c r="U870" s="7"/>
      <c r="V870" s="7"/>
    </row>
    <row r="871" spans="1:22" x14ac:dyDescent="0.25">
      <c r="A871" s="6"/>
      <c r="B871" s="11"/>
      <c r="C871" s="12"/>
      <c r="D871" s="12"/>
      <c r="E871" s="8">
        <f t="shared" si="12"/>
        <v>0</v>
      </c>
      <c r="F871" s="10"/>
      <c r="G871" s="10"/>
      <c r="H871" s="9"/>
      <c r="I871" s="7"/>
      <c r="J871" s="7"/>
      <c r="K871" s="7">
        <f ca="1">IFERROR(IF(COUNTA(J$56:J871)=J$54,J871,FORECAST(D871,OFFSET(M$56:M$254,MATCH(D871,L$56:L$254,1)-1,0,2), OFFSET(L$56:L$254,MATCH(D871,L$56:L$254,1)-1,0,2))),"")</f>
        <v>0</v>
      </c>
      <c r="L871" s="7" t="str">
        <f t="array" ref="L871">IFERROR(INDEX(D$56:D$1054,SMALL(IF(ISNUMBER(J$56:J$1054),ROW(D$1:D$999),""),ROW(D816))),"")</f>
        <v/>
      </c>
      <c r="M871" s="7" t="str">
        <f t="array" ref="M871">IFERROR(INDEX(J$56:J$1054,SMALL(IF(ISNUMBER(J$56:J$1054),ROW(J$1:J$999),""),ROW(J816))),"")</f>
        <v/>
      </c>
      <c r="N871" s="7"/>
      <c r="O871" s="7"/>
      <c r="P871" s="7"/>
      <c r="Q871" s="7">
        <f ca="1">IFERROR(IF(COUNTA(P$56:P871)=P$54,P871,FORECAST(D871,OFFSET(S$56:S$254,MATCH(D871,R$56:R$254,1)-1,0,2), OFFSET(R$56:R$254,MATCH(D871,R$56:R$254,1)-1,0,2))),"")</f>
        <v>0</v>
      </c>
      <c r="R871" s="7" t="str">
        <f t="array" ref="R871">IFERROR(INDEX(E$56:E$1054,SMALL(IF(ISNUMBER(P$56:P$1054),ROW(E$1:E$999),""),ROW(J816))),"")</f>
        <v/>
      </c>
      <c r="S871" s="7" t="str">
        <f t="array" ref="S871">IFERROR(INDEX(P$56:P$1054,SMALL(IF(ISNUMBER(P$56:P$1054),ROW(P$1:P$999),""),ROW(P816))),"")</f>
        <v/>
      </c>
      <c r="T871" s="7"/>
      <c r="U871" s="7"/>
      <c r="V871" s="7"/>
    </row>
    <row r="872" spans="1:22" x14ac:dyDescent="0.25">
      <c r="A872" s="6"/>
      <c r="B872" s="11"/>
      <c r="C872" s="12"/>
      <c r="D872" s="12"/>
      <c r="E872" s="8">
        <f t="shared" si="12"/>
        <v>0</v>
      </c>
      <c r="F872" s="10"/>
      <c r="G872" s="10"/>
      <c r="H872" s="9"/>
      <c r="I872" s="7"/>
      <c r="J872" s="7"/>
      <c r="K872" s="7">
        <f ca="1">IFERROR(IF(COUNTA(J$56:J872)=J$54,J872,FORECAST(D872,OFFSET(M$56:M$254,MATCH(D872,L$56:L$254,1)-1,0,2), OFFSET(L$56:L$254,MATCH(D872,L$56:L$254,1)-1,0,2))),"")</f>
        <v>0</v>
      </c>
      <c r="L872" s="7" t="str">
        <f t="array" ref="L872">IFERROR(INDEX(D$56:D$1054,SMALL(IF(ISNUMBER(J$56:J$1054),ROW(D$1:D$999),""),ROW(D817))),"")</f>
        <v/>
      </c>
      <c r="M872" s="7" t="str">
        <f t="array" ref="M872">IFERROR(INDEX(J$56:J$1054,SMALL(IF(ISNUMBER(J$56:J$1054),ROW(J$1:J$999),""),ROW(J817))),"")</f>
        <v/>
      </c>
      <c r="N872" s="7"/>
      <c r="O872" s="7"/>
      <c r="P872" s="7"/>
      <c r="Q872" s="7">
        <f ca="1">IFERROR(IF(COUNTA(P$56:P872)=P$54,P872,FORECAST(D872,OFFSET(S$56:S$254,MATCH(D872,R$56:R$254,1)-1,0,2), OFFSET(R$56:R$254,MATCH(D872,R$56:R$254,1)-1,0,2))),"")</f>
        <v>0</v>
      </c>
      <c r="R872" s="7" t="str">
        <f t="array" ref="R872">IFERROR(INDEX(E$56:E$1054,SMALL(IF(ISNUMBER(P$56:P$1054),ROW(E$1:E$999),""),ROW(J817))),"")</f>
        <v/>
      </c>
      <c r="S872" s="7" t="str">
        <f t="array" ref="S872">IFERROR(INDEX(P$56:P$1054,SMALL(IF(ISNUMBER(P$56:P$1054),ROW(P$1:P$999),""),ROW(P817))),"")</f>
        <v/>
      </c>
      <c r="T872" s="7"/>
      <c r="U872" s="7"/>
      <c r="V872" s="7"/>
    </row>
    <row r="873" spans="1:22" x14ac:dyDescent="0.25">
      <c r="A873" s="6"/>
      <c r="B873" s="11"/>
      <c r="C873" s="12"/>
      <c r="D873" s="12"/>
      <c r="E873" s="8">
        <f t="shared" si="12"/>
        <v>0</v>
      </c>
      <c r="F873" s="10"/>
      <c r="G873" s="10"/>
      <c r="H873" s="9"/>
      <c r="I873" s="7"/>
      <c r="J873" s="7"/>
      <c r="K873" s="7">
        <f ca="1">IFERROR(IF(COUNTA(J$56:J873)=J$54,J873,FORECAST(D873,OFFSET(M$56:M$254,MATCH(D873,L$56:L$254,1)-1,0,2), OFFSET(L$56:L$254,MATCH(D873,L$56:L$254,1)-1,0,2))),"")</f>
        <v>0</v>
      </c>
      <c r="L873" s="7" t="str">
        <f t="array" ref="L873">IFERROR(INDEX(D$56:D$1054,SMALL(IF(ISNUMBER(J$56:J$1054),ROW(D$1:D$999),""),ROW(D818))),"")</f>
        <v/>
      </c>
      <c r="M873" s="7" t="str">
        <f t="array" ref="M873">IFERROR(INDEX(J$56:J$1054,SMALL(IF(ISNUMBER(J$56:J$1054),ROW(J$1:J$999),""),ROW(J818))),"")</f>
        <v/>
      </c>
      <c r="N873" s="7"/>
      <c r="O873" s="7"/>
      <c r="P873" s="7"/>
      <c r="Q873" s="7">
        <f ca="1">IFERROR(IF(COUNTA(P$56:P873)=P$54,P873,FORECAST(D873,OFFSET(S$56:S$254,MATCH(D873,R$56:R$254,1)-1,0,2), OFFSET(R$56:R$254,MATCH(D873,R$56:R$254,1)-1,0,2))),"")</f>
        <v>0</v>
      </c>
      <c r="R873" s="7" t="str">
        <f t="array" ref="R873">IFERROR(INDEX(E$56:E$1054,SMALL(IF(ISNUMBER(P$56:P$1054),ROW(E$1:E$999),""),ROW(J818))),"")</f>
        <v/>
      </c>
      <c r="S873" s="7" t="str">
        <f t="array" ref="S873">IFERROR(INDEX(P$56:P$1054,SMALL(IF(ISNUMBER(P$56:P$1054),ROW(P$1:P$999),""),ROW(P818))),"")</f>
        <v/>
      </c>
      <c r="T873" s="7"/>
      <c r="U873" s="7"/>
      <c r="V873" s="7"/>
    </row>
    <row r="874" spans="1:22" x14ac:dyDescent="0.25">
      <c r="A874" s="6"/>
      <c r="B874" s="11"/>
      <c r="C874" s="12"/>
      <c r="D874" s="12"/>
      <c r="E874" s="8">
        <f t="shared" si="12"/>
        <v>0</v>
      </c>
      <c r="F874" s="10"/>
      <c r="G874" s="10"/>
      <c r="H874" s="9"/>
      <c r="I874" s="7"/>
      <c r="J874" s="7"/>
      <c r="K874" s="7">
        <f ca="1">IFERROR(IF(COUNTA(J$56:J874)=J$54,J874,FORECAST(D874,OFFSET(M$56:M$254,MATCH(D874,L$56:L$254,1)-1,0,2), OFFSET(L$56:L$254,MATCH(D874,L$56:L$254,1)-1,0,2))),"")</f>
        <v>0</v>
      </c>
      <c r="L874" s="7" t="str">
        <f t="array" ref="L874">IFERROR(INDEX(D$56:D$1054,SMALL(IF(ISNUMBER(J$56:J$1054),ROW(D$1:D$999),""),ROW(D819))),"")</f>
        <v/>
      </c>
      <c r="M874" s="7" t="str">
        <f t="array" ref="M874">IFERROR(INDEX(J$56:J$1054,SMALL(IF(ISNUMBER(J$56:J$1054),ROW(J$1:J$999),""),ROW(J819))),"")</f>
        <v/>
      </c>
      <c r="N874" s="7"/>
      <c r="O874" s="7"/>
      <c r="P874" s="7"/>
      <c r="Q874" s="7">
        <f ca="1">IFERROR(IF(COUNTA(P$56:P874)=P$54,P874,FORECAST(D874,OFFSET(S$56:S$254,MATCH(D874,R$56:R$254,1)-1,0,2), OFFSET(R$56:R$254,MATCH(D874,R$56:R$254,1)-1,0,2))),"")</f>
        <v>0</v>
      </c>
      <c r="R874" s="7" t="str">
        <f t="array" ref="R874">IFERROR(INDEX(E$56:E$1054,SMALL(IF(ISNUMBER(P$56:P$1054),ROW(E$1:E$999),""),ROW(J819))),"")</f>
        <v/>
      </c>
      <c r="S874" s="7" t="str">
        <f t="array" ref="S874">IFERROR(INDEX(P$56:P$1054,SMALL(IF(ISNUMBER(P$56:P$1054),ROW(P$1:P$999),""),ROW(P819))),"")</f>
        <v/>
      </c>
      <c r="T874" s="7"/>
      <c r="U874" s="7"/>
      <c r="V874" s="7"/>
    </row>
    <row r="875" spans="1:22" x14ac:dyDescent="0.25">
      <c r="A875" s="6"/>
      <c r="B875" s="11"/>
      <c r="C875" s="12"/>
      <c r="D875" s="12"/>
      <c r="E875" s="8">
        <f t="shared" si="12"/>
        <v>0</v>
      </c>
      <c r="F875" s="10"/>
      <c r="G875" s="10"/>
      <c r="H875" s="9"/>
      <c r="I875" s="7"/>
      <c r="J875" s="7"/>
      <c r="K875" s="7">
        <f ca="1">IFERROR(IF(COUNTA(J$56:J875)=J$54,J875,FORECAST(D875,OFFSET(M$56:M$254,MATCH(D875,L$56:L$254,1)-1,0,2), OFFSET(L$56:L$254,MATCH(D875,L$56:L$254,1)-1,0,2))),"")</f>
        <v>0</v>
      </c>
      <c r="L875" s="7" t="str">
        <f t="array" ref="L875">IFERROR(INDEX(D$56:D$1054,SMALL(IF(ISNUMBER(J$56:J$1054),ROW(D$1:D$999),""),ROW(D820))),"")</f>
        <v/>
      </c>
      <c r="M875" s="7" t="str">
        <f t="array" ref="M875">IFERROR(INDEX(J$56:J$1054,SMALL(IF(ISNUMBER(J$56:J$1054),ROW(J$1:J$999),""),ROW(J820))),"")</f>
        <v/>
      </c>
      <c r="N875" s="7"/>
      <c r="O875" s="7"/>
      <c r="P875" s="7"/>
      <c r="Q875" s="7">
        <f ca="1">IFERROR(IF(COUNTA(P$56:P875)=P$54,P875,FORECAST(D875,OFFSET(S$56:S$254,MATCH(D875,R$56:R$254,1)-1,0,2), OFFSET(R$56:R$254,MATCH(D875,R$56:R$254,1)-1,0,2))),"")</f>
        <v>0</v>
      </c>
      <c r="R875" s="7" t="str">
        <f t="array" ref="R875">IFERROR(INDEX(E$56:E$1054,SMALL(IF(ISNUMBER(P$56:P$1054),ROW(E$1:E$999),""),ROW(J820))),"")</f>
        <v/>
      </c>
      <c r="S875" s="7" t="str">
        <f t="array" ref="S875">IFERROR(INDEX(P$56:P$1054,SMALL(IF(ISNUMBER(P$56:P$1054),ROW(P$1:P$999),""),ROW(P820))),"")</f>
        <v/>
      </c>
      <c r="T875" s="7"/>
      <c r="U875" s="7"/>
      <c r="V875" s="7"/>
    </row>
    <row r="876" spans="1:22" x14ac:dyDescent="0.25">
      <c r="A876" s="6"/>
      <c r="B876" s="11"/>
      <c r="C876" s="12"/>
      <c r="D876" s="12"/>
      <c r="E876" s="8">
        <f t="shared" si="12"/>
        <v>0</v>
      </c>
      <c r="F876" s="10"/>
      <c r="G876" s="10"/>
      <c r="H876" s="9"/>
      <c r="I876" s="7"/>
      <c r="J876" s="7"/>
      <c r="K876" s="7">
        <f ca="1">IFERROR(IF(COUNTA(J$56:J876)=J$54,J876,FORECAST(D876,OFFSET(M$56:M$254,MATCH(D876,L$56:L$254,1)-1,0,2), OFFSET(L$56:L$254,MATCH(D876,L$56:L$254,1)-1,0,2))),"")</f>
        <v>0</v>
      </c>
      <c r="L876" s="7" t="str">
        <f t="array" ref="L876">IFERROR(INDEX(D$56:D$1054,SMALL(IF(ISNUMBER(J$56:J$1054),ROW(D$1:D$999),""),ROW(D821))),"")</f>
        <v/>
      </c>
      <c r="M876" s="7" t="str">
        <f t="array" ref="M876">IFERROR(INDEX(J$56:J$1054,SMALL(IF(ISNUMBER(J$56:J$1054),ROW(J$1:J$999),""),ROW(J821))),"")</f>
        <v/>
      </c>
      <c r="N876" s="7"/>
      <c r="O876" s="7"/>
      <c r="P876" s="7"/>
      <c r="Q876" s="7">
        <f ca="1">IFERROR(IF(COUNTA(P$56:P876)=P$54,P876,FORECAST(D876,OFFSET(S$56:S$254,MATCH(D876,R$56:R$254,1)-1,0,2), OFFSET(R$56:R$254,MATCH(D876,R$56:R$254,1)-1,0,2))),"")</f>
        <v>0</v>
      </c>
      <c r="R876" s="7" t="str">
        <f t="array" ref="R876">IFERROR(INDEX(E$56:E$1054,SMALL(IF(ISNUMBER(P$56:P$1054),ROW(E$1:E$999),""),ROW(J821))),"")</f>
        <v/>
      </c>
      <c r="S876" s="7" t="str">
        <f t="array" ref="S876">IFERROR(INDEX(P$56:P$1054,SMALL(IF(ISNUMBER(P$56:P$1054),ROW(P$1:P$999),""),ROW(P821))),"")</f>
        <v/>
      </c>
      <c r="T876" s="7"/>
      <c r="U876" s="7"/>
      <c r="V876" s="7"/>
    </row>
    <row r="877" spans="1:22" x14ac:dyDescent="0.25">
      <c r="A877" s="6"/>
      <c r="B877" s="11"/>
      <c r="C877" s="12"/>
      <c r="D877" s="12"/>
      <c r="E877" s="8">
        <f t="shared" si="12"/>
        <v>0</v>
      </c>
      <c r="F877" s="10"/>
      <c r="G877" s="10"/>
      <c r="H877" s="9"/>
      <c r="I877" s="7"/>
      <c r="J877" s="7"/>
      <c r="K877" s="7">
        <f ca="1">IFERROR(IF(COUNTA(J$56:J877)=J$54,J877,FORECAST(D877,OFFSET(M$56:M$254,MATCH(D877,L$56:L$254,1)-1,0,2), OFFSET(L$56:L$254,MATCH(D877,L$56:L$254,1)-1,0,2))),"")</f>
        <v>0</v>
      </c>
      <c r="L877" s="7" t="str">
        <f t="array" ref="L877">IFERROR(INDEX(D$56:D$1054,SMALL(IF(ISNUMBER(J$56:J$1054),ROW(D$1:D$999),""),ROW(D822))),"")</f>
        <v/>
      </c>
      <c r="M877" s="7" t="str">
        <f t="array" ref="M877">IFERROR(INDEX(J$56:J$1054,SMALL(IF(ISNUMBER(J$56:J$1054),ROW(J$1:J$999),""),ROW(J822))),"")</f>
        <v/>
      </c>
      <c r="N877" s="7"/>
      <c r="O877" s="7"/>
      <c r="P877" s="7"/>
      <c r="Q877" s="7">
        <f ca="1">IFERROR(IF(COUNTA(P$56:P877)=P$54,P877,FORECAST(D877,OFFSET(S$56:S$254,MATCH(D877,R$56:R$254,1)-1,0,2), OFFSET(R$56:R$254,MATCH(D877,R$56:R$254,1)-1,0,2))),"")</f>
        <v>0</v>
      </c>
      <c r="R877" s="7" t="str">
        <f t="array" ref="R877">IFERROR(INDEX(E$56:E$1054,SMALL(IF(ISNUMBER(P$56:P$1054),ROW(E$1:E$999),""),ROW(J822))),"")</f>
        <v/>
      </c>
      <c r="S877" s="7" t="str">
        <f t="array" ref="S877">IFERROR(INDEX(P$56:P$1054,SMALL(IF(ISNUMBER(P$56:P$1054),ROW(P$1:P$999),""),ROW(P822))),"")</f>
        <v/>
      </c>
      <c r="T877" s="7"/>
      <c r="U877" s="7"/>
      <c r="V877" s="7"/>
    </row>
    <row r="878" spans="1:22" x14ac:dyDescent="0.25">
      <c r="A878" s="6"/>
      <c r="B878" s="11"/>
      <c r="C878" s="12"/>
      <c r="D878" s="12"/>
      <c r="E878" s="8">
        <f t="shared" si="12"/>
        <v>0</v>
      </c>
      <c r="F878" s="10"/>
      <c r="G878" s="10"/>
      <c r="H878" s="9"/>
      <c r="I878" s="7"/>
      <c r="J878" s="7"/>
      <c r="K878" s="7">
        <f ca="1">IFERROR(IF(COUNTA(J$56:J878)=J$54,J878,FORECAST(D878,OFFSET(M$56:M$254,MATCH(D878,L$56:L$254,1)-1,0,2), OFFSET(L$56:L$254,MATCH(D878,L$56:L$254,1)-1,0,2))),"")</f>
        <v>0</v>
      </c>
      <c r="L878" s="7" t="str">
        <f t="array" ref="L878">IFERROR(INDEX(D$56:D$1054,SMALL(IF(ISNUMBER(J$56:J$1054),ROW(D$1:D$999),""),ROW(D823))),"")</f>
        <v/>
      </c>
      <c r="M878" s="7" t="str">
        <f t="array" ref="M878">IFERROR(INDEX(J$56:J$1054,SMALL(IF(ISNUMBER(J$56:J$1054),ROW(J$1:J$999),""),ROW(J823))),"")</f>
        <v/>
      </c>
      <c r="N878" s="7"/>
      <c r="O878" s="7"/>
      <c r="P878" s="7"/>
      <c r="Q878" s="7">
        <f ca="1">IFERROR(IF(COUNTA(P$56:P878)=P$54,P878,FORECAST(D878,OFFSET(S$56:S$254,MATCH(D878,R$56:R$254,1)-1,0,2), OFFSET(R$56:R$254,MATCH(D878,R$56:R$254,1)-1,0,2))),"")</f>
        <v>0</v>
      </c>
      <c r="R878" s="7" t="str">
        <f t="array" ref="R878">IFERROR(INDEX(E$56:E$1054,SMALL(IF(ISNUMBER(P$56:P$1054),ROW(E$1:E$999),""),ROW(J823))),"")</f>
        <v/>
      </c>
      <c r="S878" s="7" t="str">
        <f t="array" ref="S878">IFERROR(INDEX(P$56:P$1054,SMALL(IF(ISNUMBER(P$56:P$1054),ROW(P$1:P$999),""),ROW(P823))),"")</f>
        <v/>
      </c>
      <c r="T878" s="7"/>
      <c r="U878" s="7"/>
      <c r="V878" s="7"/>
    </row>
    <row r="879" spans="1:22" x14ac:dyDescent="0.25">
      <c r="A879" s="6"/>
      <c r="B879" s="11"/>
      <c r="C879" s="12"/>
      <c r="D879" s="12"/>
      <c r="E879" s="8">
        <f t="shared" si="12"/>
        <v>0</v>
      </c>
      <c r="F879" s="10"/>
      <c r="G879" s="10"/>
      <c r="H879" s="9"/>
      <c r="I879" s="7"/>
      <c r="J879" s="7"/>
      <c r="K879" s="7">
        <f ca="1">IFERROR(IF(COUNTA(J$56:J879)=J$54,J879,FORECAST(D879,OFFSET(M$56:M$254,MATCH(D879,L$56:L$254,1)-1,0,2), OFFSET(L$56:L$254,MATCH(D879,L$56:L$254,1)-1,0,2))),"")</f>
        <v>0</v>
      </c>
      <c r="L879" s="7" t="str">
        <f t="array" ref="L879">IFERROR(INDEX(D$56:D$1054,SMALL(IF(ISNUMBER(J$56:J$1054),ROW(D$1:D$999),""),ROW(D824))),"")</f>
        <v/>
      </c>
      <c r="M879" s="7" t="str">
        <f t="array" ref="M879">IFERROR(INDEX(J$56:J$1054,SMALL(IF(ISNUMBER(J$56:J$1054),ROW(J$1:J$999),""),ROW(J824))),"")</f>
        <v/>
      </c>
      <c r="N879" s="7"/>
      <c r="O879" s="7"/>
      <c r="P879" s="7"/>
      <c r="Q879" s="7">
        <f ca="1">IFERROR(IF(COUNTA(P$56:P879)=P$54,P879,FORECAST(D879,OFFSET(S$56:S$254,MATCH(D879,R$56:R$254,1)-1,0,2), OFFSET(R$56:R$254,MATCH(D879,R$56:R$254,1)-1,0,2))),"")</f>
        <v>0</v>
      </c>
      <c r="R879" s="7" t="str">
        <f t="array" ref="R879">IFERROR(INDEX(E$56:E$1054,SMALL(IF(ISNUMBER(P$56:P$1054),ROW(E$1:E$999),""),ROW(J824))),"")</f>
        <v/>
      </c>
      <c r="S879" s="7" t="str">
        <f t="array" ref="S879">IFERROR(INDEX(P$56:P$1054,SMALL(IF(ISNUMBER(P$56:P$1054),ROW(P$1:P$999),""),ROW(P824))),"")</f>
        <v/>
      </c>
      <c r="T879" s="7"/>
      <c r="U879" s="7"/>
      <c r="V879" s="7"/>
    </row>
    <row r="880" spans="1:22" x14ac:dyDescent="0.25">
      <c r="A880" s="6"/>
      <c r="B880" s="11"/>
      <c r="C880" s="12"/>
      <c r="D880" s="12"/>
      <c r="E880" s="8">
        <f t="shared" si="12"/>
        <v>0</v>
      </c>
      <c r="F880" s="10"/>
      <c r="G880" s="10"/>
      <c r="H880" s="9"/>
      <c r="I880" s="7"/>
      <c r="J880" s="7"/>
      <c r="K880" s="7">
        <f ca="1">IFERROR(IF(COUNTA(J$56:J880)=J$54,J880,FORECAST(D880,OFFSET(M$56:M$254,MATCH(D880,L$56:L$254,1)-1,0,2), OFFSET(L$56:L$254,MATCH(D880,L$56:L$254,1)-1,0,2))),"")</f>
        <v>0</v>
      </c>
      <c r="L880" s="7" t="str">
        <f t="array" ref="L880">IFERROR(INDEX(D$56:D$1054,SMALL(IF(ISNUMBER(J$56:J$1054),ROW(D$1:D$999),""),ROW(D825))),"")</f>
        <v/>
      </c>
      <c r="M880" s="7" t="str">
        <f t="array" ref="M880">IFERROR(INDEX(J$56:J$1054,SMALL(IF(ISNUMBER(J$56:J$1054),ROW(J$1:J$999),""),ROW(J825))),"")</f>
        <v/>
      </c>
      <c r="N880" s="7"/>
      <c r="O880" s="7"/>
      <c r="P880" s="7"/>
      <c r="Q880" s="7">
        <f ca="1">IFERROR(IF(COUNTA(P$56:P880)=P$54,P880,FORECAST(D880,OFFSET(S$56:S$254,MATCH(D880,R$56:R$254,1)-1,0,2), OFFSET(R$56:R$254,MATCH(D880,R$56:R$254,1)-1,0,2))),"")</f>
        <v>0</v>
      </c>
      <c r="R880" s="7" t="str">
        <f t="array" ref="R880">IFERROR(INDEX(E$56:E$1054,SMALL(IF(ISNUMBER(P$56:P$1054),ROW(E$1:E$999),""),ROW(J825))),"")</f>
        <v/>
      </c>
      <c r="S880" s="7" t="str">
        <f t="array" ref="S880">IFERROR(INDEX(P$56:P$1054,SMALL(IF(ISNUMBER(P$56:P$1054),ROW(P$1:P$999),""),ROW(P825))),"")</f>
        <v/>
      </c>
      <c r="T880" s="7"/>
      <c r="U880" s="7"/>
      <c r="V880" s="7"/>
    </row>
    <row r="881" spans="1:22" x14ac:dyDescent="0.25">
      <c r="A881" s="6"/>
      <c r="B881" s="11"/>
      <c r="C881" s="12"/>
      <c r="D881" s="12"/>
      <c r="E881" s="8">
        <f t="shared" si="12"/>
        <v>0</v>
      </c>
      <c r="F881" s="10"/>
      <c r="G881" s="10"/>
      <c r="H881" s="9"/>
      <c r="I881" s="7"/>
      <c r="J881" s="7"/>
      <c r="K881" s="7">
        <f ca="1">IFERROR(IF(COUNTA(J$56:J881)=J$54,J881,FORECAST(D881,OFFSET(M$56:M$254,MATCH(D881,L$56:L$254,1)-1,0,2), OFFSET(L$56:L$254,MATCH(D881,L$56:L$254,1)-1,0,2))),"")</f>
        <v>0</v>
      </c>
      <c r="L881" s="7" t="str">
        <f t="array" ref="L881">IFERROR(INDEX(D$56:D$1054,SMALL(IF(ISNUMBER(J$56:J$1054),ROW(D$1:D$999),""),ROW(D826))),"")</f>
        <v/>
      </c>
      <c r="M881" s="7" t="str">
        <f t="array" ref="M881">IFERROR(INDEX(J$56:J$1054,SMALL(IF(ISNUMBER(J$56:J$1054),ROW(J$1:J$999),""),ROW(J826))),"")</f>
        <v/>
      </c>
      <c r="N881" s="7"/>
      <c r="O881" s="7"/>
      <c r="P881" s="7"/>
      <c r="Q881" s="7">
        <f ca="1">IFERROR(IF(COUNTA(P$56:P881)=P$54,P881,FORECAST(D881,OFFSET(S$56:S$254,MATCH(D881,R$56:R$254,1)-1,0,2), OFFSET(R$56:R$254,MATCH(D881,R$56:R$254,1)-1,0,2))),"")</f>
        <v>0</v>
      </c>
      <c r="R881" s="7" t="str">
        <f t="array" ref="R881">IFERROR(INDEX(E$56:E$1054,SMALL(IF(ISNUMBER(P$56:P$1054),ROW(E$1:E$999),""),ROW(J826))),"")</f>
        <v/>
      </c>
      <c r="S881" s="7" t="str">
        <f t="array" ref="S881">IFERROR(INDEX(P$56:P$1054,SMALL(IF(ISNUMBER(P$56:P$1054),ROW(P$1:P$999),""),ROW(P826))),"")</f>
        <v/>
      </c>
      <c r="T881" s="7"/>
      <c r="U881" s="7"/>
      <c r="V881" s="7"/>
    </row>
    <row r="882" spans="1:22" x14ac:dyDescent="0.25">
      <c r="A882" s="6"/>
      <c r="B882" s="11"/>
      <c r="C882" s="12"/>
      <c r="D882" s="12"/>
      <c r="E882" s="8">
        <f t="shared" si="12"/>
        <v>0</v>
      </c>
      <c r="F882" s="10"/>
      <c r="G882" s="10"/>
      <c r="H882" s="9"/>
      <c r="I882" s="7"/>
      <c r="J882" s="7"/>
      <c r="K882" s="7">
        <f ca="1">IFERROR(IF(COUNTA(J$56:J882)=J$54,J882,FORECAST(D882,OFFSET(M$56:M$254,MATCH(D882,L$56:L$254,1)-1,0,2), OFFSET(L$56:L$254,MATCH(D882,L$56:L$254,1)-1,0,2))),"")</f>
        <v>0</v>
      </c>
      <c r="L882" s="7" t="str">
        <f t="array" ref="L882">IFERROR(INDEX(D$56:D$1054,SMALL(IF(ISNUMBER(J$56:J$1054),ROW(D$1:D$999),""),ROW(D827))),"")</f>
        <v/>
      </c>
      <c r="M882" s="7" t="str">
        <f t="array" ref="M882">IFERROR(INDEX(J$56:J$1054,SMALL(IF(ISNUMBER(J$56:J$1054),ROW(J$1:J$999),""),ROW(J827))),"")</f>
        <v/>
      </c>
      <c r="N882" s="7"/>
      <c r="O882" s="7"/>
      <c r="P882" s="7"/>
      <c r="Q882" s="7">
        <f ca="1">IFERROR(IF(COUNTA(P$56:P882)=P$54,P882,FORECAST(D882,OFFSET(S$56:S$254,MATCH(D882,R$56:R$254,1)-1,0,2), OFFSET(R$56:R$254,MATCH(D882,R$56:R$254,1)-1,0,2))),"")</f>
        <v>0</v>
      </c>
      <c r="R882" s="7" t="str">
        <f t="array" ref="R882">IFERROR(INDEX(E$56:E$1054,SMALL(IF(ISNUMBER(P$56:P$1054),ROW(E$1:E$999),""),ROW(J827))),"")</f>
        <v/>
      </c>
      <c r="S882" s="7" t="str">
        <f t="array" ref="S882">IFERROR(INDEX(P$56:P$1054,SMALL(IF(ISNUMBER(P$56:P$1054),ROW(P$1:P$999),""),ROW(P827))),"")</f>
        <v/>
      </c>
      <c r="T882" s="7"/>
      <c r="U882" s="7"/>
      <c r="V882" s="7"/>
    </row>
    <row r="883" spans="1:22" x14ac:dyDescent="0.25">
      <c r="A883" s="6"/>
      <c r="B883" s="11"/>
      <c r="C883" s="12"/>
      <c r="D883" s="12"/>
      <c r="E883" s="8">
        <f t="shared" si="12"/>
        <v>0</v>
      </c>
      <c r="F883" s="10"/>
      <c r="G883" s="10"/>
      <c r="H883" s="9"/>
      <c r="I883" s="7"/>
      <c r="J883" s="7"/>
      <c r="K883" s="7">
        <f ca="1">IFERROR(IF(COUNTA(J$56:J883)=J$54,J883,FORECAST(D883,OFFSET(M$56:M$254,MATCH(D883,L$56:L$254,1)-1,0,2), OFFSET(L$56:L$254,MATCH(D883,L$56:L$254,1)-1,0,2))),"")</f>
        <v>0</v>
      </c>
      <c r="L883" s="7" t="str">
        <f t="array" ref="L883">IFERROR(INDEX(D$56:D$1054,SMALL(IF(ISNUMBER(J$56:J$1054),ROW(D$1:D$999),""),ROW(D828))),"")</f>
        <v/>
      </c>
      <c r="M883" s="7" t="str">
        <f t="array" ref="M883">IFERROR(INDEX(J$56:J$1054,SMALL(IF(ISNUMBER(J$56:J$1054),ROW(J$1:J$999),""),ROW(J828))),"")</f>
        <v/>
      </c>
      <c r="N883" s="7"/>
      <c r="O883" s="7"/>
      <c r="P883" s="7"/>
      <c r="Q883" s="7">
        <f ca="1">IFERROR(IF(COUNTA(P$56:P883)=P$54,P883,FORECAST(D883,OFFSET(S$56:S$254,MATCH(D883,R$56:R$254,1)-1,0,2), OFFSET(R$56:R$254,MATCH(D883,R$56:R$254,1)-1,0,2))),"")</f>
        <v>0</v>
      </c>
      <c r="R883" s="7" t="str">
        <f t="array" ref="R883">IFERROR(INDEX(E$56:E$1054,SMALL(IF(ISNUMBER(P$56:P$1054),ROW(E$1:E$999),""),ROW(J828))),"")</f>
        <v/>
      </c>
      <c r="S883" s="7" t="str">
        <f t="array" ref="S883">IFERROR(INDEX(P$56:P$1054,SMALL(IF(ISNUMBER(P$56:P$1054),ROW(P$1:P$999),""),ROW(P828))),"")</f>
        <v/>
      </c>
      <c r="T883" s="7"/>
      <c r="U883" s="7"/>
      <c r="V883" s="7"/>
    </row>
    <row r="884" spans="1:22" x14ac:dyDescent="0.25">
      <c r="A884" s="6"/>
      <c r="B884" s="11"/>
      <c r="C884" s="12"/>
      <c r="D884" s="12"/>
      <c r="E884" s="8">
        <f t="shared" si="12"/>
        <v>0</v>
      </c>
      <c r="F884" s="10"/>
      <c r="G884" s="10"/>
      <c r="H884" s="9"/>
      <c r="I884" s="7"/>
      <c r="J884" s="7"/>
      <c r="K884" s="7">
        <f ca="1">IFERROR(IF(COUNTA(J$56:J884)=J$54,J884,FORECAST(D884,OFFSET(M$56:M$254,MATCH(D884,L$56:L$254,1)-1,0,2), OFFSET(L$56:L$254,MATCH(D884,L$56:L$254,1)-1,0,2))),"")</f>
        <v>0</v>
      </c>
      <c r="L884" s="7" t="str">
        <f t="array" ref="L884">IFERROR(INDEX(D$56:D$1054,SMALL(IF(ISNUMBER(J$56:J$1054),ROW(D$1:D$999),""),ROW(D829))),"")</f>
        <v/>
      </c>
      <c r="M884" s="7" t="str">
        <f t="array" ref="M884">IFERROR(INDEX(J$56:J$1054,SMALL(IF(ISNUMBER(J$56:J$1054),ROW(J$1:J$999),""),ROW(J829))),"")</f>
        <v/>
      </c>
      <c r="N884" s="7"/>
      <c r="O884" s="7"/>
      <c r="P884" s="7"/>
      <c r="Q884" s="7">
        <f ca="1">IFERROR(IF(COUNTA(P$56:P884)=P$54,P884,FORECAST(D884,OFFSET(S$56:S$254,MATCH(D884,R$56:R$254,1)-1,0,2), OFFSET(R$56:R$254,MATCH(D884,R$56:R$254,1)-1,0,2))),"")</f>
        <v>0</v>
      </c>
      <c r="R884" s="7" t="str">
        <f t="array" ref="R884">IFERROR(INDEX(E$56:E$1054,SMALL(IF(ISNUMBER(P$56:P$1054),ROW(E$1:E$999),""),ROW(J829))),"")</f>
        <v/>
      </c>
      <c r="S884" s="7" t="str">
        <f t="array" ref="S884">IFERROR(INDEX(P$56:P$1054,SMALL(IF(ISNUMBER(P$56:P$1054),ROW(P$1:P$999),""),ROW(P829))),"")</f>
        <v/>
      </c>
      <c r="T884" s="7"/>
      <c r="U884" s="7"/>
      <c r="V884" s="7"/>
    </row>
    <row r="885" spans="1:22" x14ac:dyDescent="0.25">
      <c r="A885" s="6"/>
      <c r="B885" s="11"/>
      <c r="C885" s="12"/>
      <c r="D885" s="12"/>
      <c r="E885" s="8">
        <f t="shared" si="12"/>
        <v>0</v>
      </c>
      <c r="F885" s="10"/>
      <c r="G885" s="10"/>
      <c r="H885" s="9"/>
      <c r="I885" s="7"/>
      <c r="J885" s="7"/>
      <c r="K885" s="7">
        <f ca="1">IFERROR(IF(COUNTA(J$56:J885)=J$54,J885,FORECAST(D885,OFFSET(M$56:M$254,MATCH(D885,L$56:L$254,1)-1,0,2), OFFSET(L$56:L$254,MATCH(D885,L$56:L$254,1)-1,0,2))),"")</f>
        <v>0</v>
      </c>
      <c r="L885" s="7" t="str">
        <f t="array" ref="L885">IFERROR(INDEX(D$56:D$1054,SMALL(IF(ISNUMBER(J$56:J$1054),ROW(D$1:D$999),""),ROW(D830))),"")</f>
        <v/>
      </c>
      <c r="M885" s="7" t="str">
        <f t="array" ref="M885">IFERROR(INDEX(J$56:J$1054,SMALL(IF(ISNUMBER(J$56:J$1054),ROW(J$1:J$999),""),ROW(J830))),"")</f>
        <v/>
      </c>
      <c r="N885" s="7"/>
      <c r="O885" s="7"/>
      <c r="P885" s="7"/>
      <c r="Q885" s="7">
        <f ca="1">IFERROR(IF(COUNTA(P$56:P885)=P$54,P885,FORECAST(D885,OFFSET(S$56:S$254,MATCH(D885,R$56:R$254,1)-1,0,2), OFFSET(R$56:R$254,MATCH(D885,R$56:R$254,1)-1,0,2))),"")</f>
        <v>0</v>
      </c>
      <c r="R885" s="7" t="str">
        <f t="array" ref="R885">IFERROR(INDEX(E$56:E$1054,SMALL(IF(ISNUMBER(P$56:P$1054),ROW(E$1:E$999),""),ROW(J830))),"")</f>
        <v/>
      </c>
      <c r="S885" s="7" t="str">
        <f t="array" ref="S885">IFERROR(INDEX(P$56:P$1054,SMALL(IF(ISNUMBER(P$56:P$1054),ROW(P$1:P$999),""),ROW(P830))),"")</f>
        <v/>
      </c>
      <c r="T885" s="7"/>
      <c r="U885" s="7"/>
      <c r="V885" s="7"/>
    </row>
    <row r="886" spans="1:22" x14ac:dyDescent="0.25">
      <c r="A886" s="6"/>
      <c r="B886" s="11"/>
      <c r="C886" s="12"/>
      <c r="D886" s="12"/>
      <c r="E886" s="8">
        <f t="shared" si="12"/>
        <v>0</v>
      </c>
      <c r="F886" s="10"/>
      <c r="G886" s="10"/>
      <c r="H886" s="9"/>
      <c r="I886" s="7"/>
      <c r="J886" s="7"/>
      <c r="K886" s="7">
        <f ca="1">IFERROR(IF(COUNTA(J$56:J886)=J$54,J886,FORECAST(D886,OFFSET(M$56:M$254,MATCH(D886,L$56:L$254,1)-1,0,2), OFFSET(L$56:L$254,MATCH(D886,L$56:L$254,1)-1,0,2))),"")</f>
        <v>0</v>
      </c>
      <c r="L886" s="7" t="str">
        <f t="array" ref="L886">IFERROR(INDEX(D$56:D$1054,SMALL(IF(ISNUMBER(J$56:J$1054),ROW(D$1:D$999),""),ROW(D831))),"")</f>
        <v/>
      </c>
      <c r="M886" s="7" t="str">
        <f t="array" ref="M886">IFERROR(INDEX(J$56:J$1054,SMALL(IF(ISNUMBER(J$56:J$1054),ROW(J$1:J$999),""),ROW(J831))),"")</f>
        <v/>
      </c>
      <c r="N886" s="7"/>
      <c r="O886" s="7"/>
      <c r="P886" s="7"/>
      <c r="Q886" s="7">
        <f ca="1">IFERROR(IF(COUNTA(P$56:P886)=P$54,P886,FORECAST(D886,OFFSET(S$56:S$254,MATCH(D886,R$56:R$254,1)-1,0,2), OFFSET(R$56:R$254,MATCH(D886,R$56:R$254,1)-1,0,2))),"")</f>
        <v>0</v>
      </c>
      <c r="R886" s="7" t="str">
        <f t="array" ref="R886">IFERROR(INDEX(E$56:E$1054,SMALL(IF(ISNUMBER(P$56:P$1054),ROW(E$1:E$999),""),ROW(J831))),"")</f>
        <v/>
      </c>
      <c r="S886" s="7" t="str">
        <f t="array" ref="S886">IFERROR(INDEX(P$56:P$1054,SMALL(IF(ISNUMBER(P$56:P$1054),ROW(P$1:P$999),""),ROW(P831))),"")</f>
        <v/>
      </c>
      <c r="T886" s="7"/>
      <c r="U886" s="7"/>
      <c r="V886" s="7"/>
    </row>
    <row r="887" spans="1:22" x14ac:dyDescent="0.25">
      <c r="A887" s="6"/>
      <c r="B887" s="11"/>
      <c r="C887" s="12"/>
      <c r="D887" s="12"/>
      <c r="E887" s="8">
        <f t="shared" si="12"/>
        <v>0</v>
      </c>
      <c r="F887" s="10"/>
      <c r="G887" s="10"/>
      <c r="H887" s="9"/>
      <c r="I887" s="7"/>
      <c r="J887" s="7"/>
      <c r="K887" s="7">
        <f ca="1">IFERROR(IF(COUNTA(J$56:J887)=J$54,J887,FORECAST(D887,OFFSET(M$56:M$254,MATCH(D887,L$56:L$254,1)-1,0,2), OFFSET(L$56:L$254,MATCH(D887,L$56:L$254,1)-1,0,2))),"")</f>
        <v>0</v>
      </c>
      <c r="L887" s="7" t="str">
        <f t="array" ref="L887">IFERROR(INDEX(D$56:D$1054,SMALL(IF(ISNUMBER(J$56:J$1054),ROW(D$1:D$999),""),ROW(D832))),"")</f>
        <v/>
      </c>
      <c r="M887" s="7" t="str">
        <f t="array" ref="M887">IFERROR(INDEX(J$56:J$1054,SMALL(IF(ISNUMBER(J$56:J$1054),ROW(J$1:J$999),""),ROW(J832))),"")</f>
        <v/>
      </c>
      <c r="N887" s="7"/>
      <c r="O887" s="7"/>
      <c r="P887" s="7"/>
      <c r="Q887" s="7">
        <f ca="1">IFERROR(IF(COUNTA(P$56:P887)=P$54,P887,FORECAST(D887,OFFSET(S$56:S$254,MATCH(D887,R$56:R$254,1)-1,0,2), OFFSET(R$56:R$254,MATCH(D887,R$56:R$254,1)-1,0,2))),"")</f>
        <v>0</v>
      </c>
      <c r="R887" s="7" t="str">
        <f t="array" ref="R887">IFERROR(INDEX(E$56:E$1054,SMALL(IF(ISNUMBER(P$56:P$1054),ROW(E$1:E$999),""),ROW(J832))),"")</f>
        <v/>
      </c>
      <c r="S887" s="7" t="str">
        <f t="array" ref="S887">IFERROR(INDEX(P$56:P$1054,SMALL(IF(ISNUMBER(P$56:P$1054),ROW(P$1:P$999),""),ROW(P832))),"")</f>
        <v/>
      </c>
      <c r="T887" s="7"/>
      <c r="U887" s="7"/>
      <c r="V887" s="7"/>
    </row>
    <row r="888" spans="1:22" x14ac:dyDescent="0.25">
      <c r="A888" s="6"/>
      <c r="B888" s="11"/>
      <c r="C888" s="12"/>
      <c r="D888" s="12"/>
      <c r="E888" s="8">
        <f t="shared" si="12"/>
        <v>0</v>
      </c>
      <c r="F888" s="10"/>
      <c r="G888" s="10"/>
      <c r="H888" s="9"/>
      <c r="I888" s="7"/>
      <c r="J888" s="7"/>
      <c r="K888" s="7">
        <f ca="1">IFERROR(IF(COUNTA(J$56:J888)=J$54,J888,FORECAST(D888,OFFSET(M$56:M$254,MATCH(D888,L$56:L$254,1)-1,0,2), OFFSET(L$56:L$254,MATCH(D888,L$56:L$254,1)-1,0,2))),"")</f>
        <v>0</v>
      </c>
      <c r="L888" s="7" t="str">
        <f t="array" ref="L888">IFERROR(INDEX(D$56:D$1054,SMALL(IF(ISNUMBER(J$56:J$1054),ROW(D$1:D$999),""),ROW(D833))),"")</f>
        <v/>
      </c>
      <c r="M888" s="7" t="str">
        <f t="array" ref="M888">IFERROR(INDEX(J$56:J$1054,SMALL(IF(ISNUMBER(J$56:J$1054),ROW(J$1:J$999),""),ROW(J833))),"")</f>
        <v/>
      </c>
      <c r="N888" s="7"/>
      <c r="O888" s="7"/>
      <c r="P888" s="7"/>
      <c r="Q888" s="7">
        <f ca="1">IFERROR(IF(COUNTA(P$56:P888)=P$54,P888,FORECAST(D888,OFFSET(S$56:S$254,MATCH(D888,R$56:R$254,1)-1,0,2), OFFSET(R$56:R$254,MATCH(D888,R$56:R$254,1)-1,0,2))),"")</f>
        <v>0</v>
      </c>
      <c r="R888" s="7" t="str">
        <f t="array" ref="R888">IFERROR(INDEX(E$56:E$1054,SMALL(IF(ISNUMBER(P$56:P$1054),ROW(E$1:E$999),""),ROW(J833))),"")</f>
        <v/>
      </c>
      <c r="S888" s="7" t="str">
        <f t="array" ref="S888">IFERROR(INDEX(P$56:P$1054,SMALL(IF(ISNUMBER(P$56:P$1054),ROW(P$1:P$999),""),ROW(P833))),"")</f>
        <v/>
      </c>
      <c r="T888" s="7"/>
      <c r="U888" s="7"/>
      <c r="V888" s="7"/>
    </row>
    <row r="889" spans="1:22" x14ac:dyDescent="0.25">
      <c r="A889" s="6"/>
      <c r="B889" s="11"/>
      <c r="C889" s="12"/>
      <c r="D889" s="12"/>
      <c r="E889" s="8">
        <f t="shared" si="12"/>
        <v>0</v>
      </c>
      <c r="F889" s="10"/>
      <c r="G889" s="10"/>
      <c r="H889" s="9"/>
      <c r="I889" s="7"/>
      <c r="J889" s="7"/>
      <c r="K889" s="7">
        <f ca="1">IFERROR(IF(COUNTA(J$56:J889)=J$54,J889,FORECAST(D889,OFFSET(M$56:M$254,MATCH(D889,L$56:L$254,1)-1,0,2), OFFSET(L$56:L$254,MATCH(D889,L$56:L$254,1)-1,0,2))),"")</f>
        <v>0</v>
      </c>
      <c r="L889" s="7" t="str">
        <f t="array" ref="L889">IFERROR(INDEX(D$56:D$1054,SMALL(IF(ISNUMBER(J$56:J$1054),ROW(D$1:D$999),""),ROW(D834))),"")</f>
        <v/>
      </c>
      <c r="M889" s="7" t="str">
        <f t="array" ref="M889">IFERROR(INDEX(J$56:J$1054,SMALL(IF(ISNUMBER(J$56:J$1054),ROW(J$1:J$999),""),ROW(J834))),"")</f>
        <v/>
      </c>
      <c r="N889" s="7"/>
      <c r="O889" s="7"/>
      <c r="P889" s="7"/>
      <c r="Q889" s="7">
        <f ca="1">IFERROR(IF(COUNTA(P$56:P889)=P$54,P889,FORECAST(D889,OFFSET(S$56:S$254,MATCH(D889,R$56:R$254,1)-1,0,2), OFFSET(R$56:R$254,MATCH(D889,R$56:R$254,1)-1,0,2))),"")</f>
        <v>0</v>
      </c>
      <c r="R889" s="7" t="str">
        <f t="array" ref="R889">IFERROR(INDEX(E$56:E$1054,SMALL(IF(ISNUMBER(P$56:P$1054),ROW(E$1:E$999),""),ROW(J834))),"")</f>
        <v/>
      </c>
      <c r="S889" s="7" t="str">
        <f t="array" ref="S889">IFERROR(INDEX(P$56:P$1054,SMALL(IF(ISNUMBER(P$56:P$1054),ROW(P$1:P$999),""),ROW(P834))),"")</f>
        <v/>
      </c>
      <c r="T889" s="7"/>
      <c r="U889" s="7"/>
      <c r="V889" s="7"/>
    </row>
    <row r="890" spans="1:22" x14ac:dyDescent="0.25">
      <c r="A890" s="6"/>
      <c r="B890" s="11"/>
      <c r="C890" s="12"/>
      <c r="D890" s="12"/>
      <c r="E890" s="8">
        <f t="shared" ref="E890:E953" si="13">IF(NOT(ISBLANK(D890)),D890+C$54,0)</f>
        <v>0</v>
      </c>
      <c r="F890" s="10"/>
      <c r="G890" s="10"/>
      <c r="H890" s="9"/>
      <c r="I890" s="7"/>
      <c r="J890" s="7"/>
      <c r="K890" s="7">
        <f ca="1">IFERROR(IF(COUNTA(J$56:J890)=J$54,J890,FORECAST(D890,OFFSET(M$56:M$254,MATCH(D890,L$56:L$254,1)-1,0,2), OFFSET(L$56:L$254,MATCH(D890,L$56:L$254,1)-1,0,2))),"")</f>
        <v>0</v>
      </c>
      <c r="L890" s="7" t="str">
        <f t="array" ref="L890">IFERROR(INDEX(D$56:D$1054,SMALL(IF(ISNUMBER(J$56:J$1054),ROW(D$1:D$999),""),ROW(D835))),"")</f>
        <v/>
      </c>
      <c r="M890" s="7" t="str">
        <f t="array" ref="M890">IFERROR(INDEX(J$56:J$1054,SMALL(IF(ISNUMBER(J$56:J$1054),ROW(J$1:J$999),""),ROW(J835))),"")</f>
        <v/>
      </c>
      <c r="N890" s="7"/>
      <c r="O890" s="7"/>
      <c r="P890" s="7"/>
      <c r="Q890" s="7">
        <f ca="1">IFERROR(IF(COUNTA(P$56:P890)=P$54,P890,FORECAST(D890,OFFSET(S$56:S$254,MATCH(D890,R$56:R$254,1)-1,0,2), OFFSET(R$56:R$254,MATCH(D890,R$56:R$254,1)-1,0,2))),"")</f>
        <v>0</v>
      </c>
      <c r="R890" s="7" t="str">
        <f t="array" ref="R890">IFERROR(INDEX(E$56:E$1054,SMALL(IF(ISNUMBER(P$56:P$1054),ROW(E$1:E$999),""),ROW(J835))),"")</f>
        <v/>
      </c>
      <c r="S890" s="7" t="str">
        <f t="array" ref="S890">IFERROR(INDEX(P$56:P$1054,SMALL(IF(ISNUMBER(P$56:P$1054),ROW(P$1:P$999),""),ROW(P835))),"")</f>
        <v/>
      </c>
      <c r="T890" s="7"/>
      <c r="U890" s="7"/>
      <c r="V890" s="7"/>
    </row>
    <row r="891" spans="1:22" x14ac:dyDescent="0.25">
      <c r="A891" s="6"/>
      <c r="B891" s="11"/>
      <c r="C891" s="12"/>
      <c r="D891" s="12"/>
      <c r="E891" s="8">
        <f t="shared" si="13"/>
        <v>0</v>
      </c>
      <c r="F891" s="10"/>
      <c r="G891" s="10"/>
      <c r="H891" s="9"/>
      <c r="I891" s="7"/>
      <c r="J891" s="7"/>
      <c r="K891" s="7">
        <f ca="1">IFERROR(IF(COUNTA(J$56:J891)=J$54,J891,FORECAST(D891,OFFSET(M$56:M$254,MATCH(D891,L$56:L$254,1)-1,0,2), OFFSET(L$56:L$254,MATCH(D891,L$56:L$254,1)-1,0,2))),"")</f>
        <v>0</v>
      </c>
      <c r="L891" s="7" t="str">
        <f t="array" ref="L891">IFERROR(INDEX(D$56:D$1054,SMALL(IF(ISNUMBER(J$56:J$1054),ROW(D$1:D$999),""),ROW(D836))),"")</f>
        <v/>
      </c>
      <c r="M891" s="7" t="str">
        <f t="array" ref="M891">IFERROR(INDEX(J$56:J$1054,SMALL(IF(ISNUMBER(J$56:J$1054),ROW(J$1:J$999),""),ROW(J836))),"")</f>
        <v/>
      </c>
      <c r="N891" s="7"/>
      <c r="O891" s="7"/>
      <c r="P891" s="7"/>
      <c r="Q891" s="7">
        <f ca="1">IFERROR(IF(COUNTA(P$56:P891)=P$54,P891,FORECAST(D891,OFFSET(S$56:S$254,MATCH(D891,R$56:R$254,1)-1,0,2), OFFSET(R$56:R$254,MATCH(D891,R$56:R$254,1)-1,0,2))),"")</f>
        <v>0</v>
      </c>
      <c r="R891" s="7" t="str">
        <f t="array" ref="R891">IFERROR(INDEX(E$56:E$1054,SMALL(IF(ISNUMBER(P$56:P$1054),ROW(E$1:E$999),""),ROW(J836))),"")</f>
        <v/>
      </c>
      <c r="S891" s="7" t="str">
        <f t="array" ref="S891">IFERROR(INDEX(P$56:P$1054,SMALL(IF(ISNUMBER(P$56:P$1054),ROW(P$1:P$999),""),ROW(P836))),"")</f>
        <v/>
      </c>
      <c r="T891" s="7"/>
      <c r="U891" s="7"/>
      <c r="V891" s="7"/>
    </row>
    <row r="892" spans="1:22" x14ac:dyDescent="0.25">
      <c r="A892" s="6"/>
      <c r="B892" s="11"/>
      <c r="C892" s="12"/>
      <c r="D892" s="12"/>
      <c r="E892" s="8">
        <f t="shared" si="13"/>
        <v>0</v>
      </c>
      <c r="F892" s="10"/>
      <c r="G892" s="10"/>
      <c r="H892" s="9"/>
      <c r="I892" s="7"/>
      <c r="J892" s="7"/>
      <c r="K892" s="7">
        <f ca="1">IFERROR(IF(COUNTA(J$56:J892)=J$54,J892,FORECAST(D892,OFFSET(M$56:M$254,MATCH(D892,L$56:L$254,1)-1,0,2), OFFSET(L$56:L$254,MATCH(D892,L$56:L$254,1)-1,0,2))),"")</f>
        <v>0</v>
      </c>
      <c r="L892" s="7" t="str">
        <f t="array" ref="L892">IFERROR(INDEX(D$56:D$1054,SMALL(IF(ISNUMBER(J$56:J$1054),ROW(D$1:D$999),""),ROW(D837))),"")</f>
        <v/>
      </c>
      <c r="M892" s="7" t="str">
        <f t="array" ref="M892">IFERROR(INDEX(J$56:J$1054,SMALL(IF(ISNUMBER(J$56:J$1054),ROW(J$1:J$999),""),ROW(J837))),"")</f>
        <v/>
      </c>
      <c r="N892" s="7"/>
      <c r="O892" s="7"/>
      <c r="P892" s="7"/>
      <c r="Q892" s="7">
        <f ca="1">IFERROR(IF(COUNTA(P$56:P892)=P$54,P892,FORECAST(D892,OFFSET(S$56:S$254,MATCH(D892,R$56:R$254,1)-1,0,2), OFFSET(R$56:R$254,MATCH(D892,R$56:R$254,1)-1,0,2))),"")</f>
        <v>0</v>
      </c>
      <c r="R892" s="7" t="str">
        <f t="array" ref="R892">IFERROR(INDEX(E$56:E$1054,SMALL(IF(ISNUMBER(P$56:P$1054),ROW(E$1:E$999),""),ROW(J837))),"")</f>
        <v/>
      </c>
      <c r="S892" s="7" t="str">
        <f t="array" ref="S892">IFERROR(INDEX(P$56:P$1054,SMALL(IF(ISNUMBER(P$56:P$1054),ROW(P$1:P$999),""),ROW(P837))),"")</f>
        <v/>
      </c>
      <c r="T892" s="7"/>
      <c r="U892" s="7"/>
      <c r="V892" s="7"/>
    </row>
    <row r="893" spans="1:22" x14ac:dyDescent="0.25">
      <c r="A893" s="6"/>
      <c r="B893" s="11"/>
      <c r="C893" s="12"/>
      <c r="D893" s="12"/>
      <c r="E893" s="8">
        <f t="shared" si="13"/>
        <v>0</v>
      </c>
      <c r="F893" s="10"/>
      <c r="G893" s="10"/>
      <c r="H893" s="9"/>
      <c r="I893" s="7"/>
      <c r="J893" s="7"/>
      <c r="K893" s="7">
        <f ca="1">IFERROR(IF(COUNTA(J$56:J893)=J$54,J893,FORECAST(D893,OFFSET(M$56:M$254,MATCH(D893,L$56:L$254,1)-1,0,2), OFFSET(L$56:L$254,MATCH(D893,L$56:L$254,1)-1,0,2))),"")</f>
        <v>0</v>
      </c>
      <c r="L893" s="7" t="str">
        <f t="array" ref="L893">IFERROR(INDEX(D$56:D$1054,SMALL(IF(ISNUMBER(J$56:J$1054),ROW(D$1:D$999),""),ROW(D838))),"")</f>
        <v/>
      </c>
      <c r="M893" s="7" t="str">
        <f t="array" ref="M893">IFERROR(INDEX(J$56:J$1054,SMALL(IF(ISNUMBER(J$56:J$1054),ROW(J$1:J$999),""),ROW(J838))),"")</f>
        <v/>
      </c>
      <c r="N893" s="7"/>
      <c r="O893" s="7"/>
      <c r="P893" s="7"/>
      <c r="Q893" s="7">
        <f ca="1">IFERROR(IF(COUNTA(P$56:P893)=P$54,P893,FORECAST(D893,OFFSET(S$56:S$254,MATCH(D893,R$56:R$254,1)-1,0,2), OFFSET(R$56:R$254,MATCH(D893,R$56:R$254,1)-1,0,2))),"")</f>
        <v>0</v>
      </c>
      <c r="R893" s="7" t="str">
        <f t="array" ref="R893">IFERROR(INDEX(E$56:E$1054,SMALL(IF(ISNUMBER(P$56:P$1054),ROW(E$1:E$999),""),ROW(J838))),"")</f>
        <v/>
      </c>
      <c r="S893" s="7" t="str">
        <f t="array" ref="S893">IFERROR(INDEX(P$56:P$1054,SMALL(IF(ISNUMBER(P$56:P$1054),ROW(P$1:P$999),""),ROW(P838))),"")</f>
        <v/>
      </c>
      <c r="T893" s="7"/>
      <c r="U893" s="7"/>
      <c r="V893" s="7"/>
    </row>
    <row r="894" spans="1:22" x14ac:dyDescent="0.25">
      <c r="A894" s="6"/>
      <c r="B894" s="11"/>
      <c r="C894" s="12"/>
      <c r="D894" s="12"/>
      <c r="E894" s="8">
        <f t="shared" si="13"/>
        <v>0</v>
      </c>
      <c r="F894" s="10"/>
      <c r="G894" s="10"/>
      <c r="H894" s="9"/>
      <c r="I894" s="7"/>
      <c r="J894" s="7"/>
      <c r="K894" s="7">
        <f ca="1">IFERROR(IF(COUNTA(J$56:J894)=J$54,J894,FORECAST(D894,OFFSET(M$56:M$254,MATCH(D894,L$56:L$254,1)-1,0,2), OFFSET(L$56:L$254,MATCH(D894,L$56:L$254,1)-1,0,2))),"")</f>
        <v>0</v>
      </c>
      <c r="L894" s="7" t="str">
        <f t="array" ref="L894">IFERROR(INDEX(D$56:D$1054,SMALL(IF(ISNUMBER(J$56:J$1054),ROW(D$1:D$999),""),ROW(D839))),"")</f>
        <v/>
      </c>
      <c r="M894" s="7" t="str">
        <f t="array" ref="M894">IFERROR(INDEX(J$56:J$1054,SMALL(IF(ISNUMBER(J$56:J$1054),ROW(J$1:J$999),""),ROW(J839))),"")</f>
        <v/>
      </c>
      <c r="N894" s="7"/>
      <c r="O894" s="7"/>
      <c r="P894" s="7"/>
      <c r="Q894" s="7">
        <f ca="1">IFERROR(IF(COUNTA(P$56:P894)=P$54,P894,FORECAST(D894,OFFSET(S$56:S$254,MATCH(D894,R$56:R$254,1)-1,0,2), OFFSET(R$56:R$254,MATCH(D894,R$56:R$254,1)-1,0,2))),"")</f>
        <v>0</v>
      </c>
      <c r="R894" s="7" t="str">
        <f t="array" ref="R894">IFERROR(INDEX(E$56:E$1054,SMALL(IF(ISNUMBER(P$56:P$1054),ROW(E$1:E$999),""),ROW(J839))),"")</f>
        <v/>
      </c>
      <c r="S894" s="7" t="str">
        <f t="array" ref="S894">IFERROR(INDEX(P$56:P$1054,SMALL(IF(ISNUMBER(P$56:P$1054),ROW(P$1:P$999),""),ROW(P839))),"")</f>
        <v/>
      </c>
      <c r="T894" s="7"/>
      <c r="U894" s="7"/>
      <c r="V894" s="7"/>
    </row>
    <row r="895" spans="1:22" x14ac:dyDescent="0.25">
      <c r="A895" s="6"/>
      <c r="B895" s="11"/>
      <c r="C895" s="12"/>
      <c r="D895" s="12"/>
      <c r="E895" s="8">
        <f t="shared" si="13"/>
        <v>0</v>
      </c>
      <c r="F895" s="10"/>
      <c r="G895" s="10"/>
      <c r="H895" s="9"/>
      <c r="I895" s="7"/>
      <c r="J895" s="7"/>
      <c r="K895" s="7">
        <f ca="1">IFERROR(IF(COUNTA(J$56:J895)=J$54,J895,FORECAST(D895,OFFSET(M$56:M$254,MATCH(D895,L$56:L$254,1)-1,0,2), OFFSET(L$56:L$254,MATCH(D895,L$56:L$254,1)-1,0,2))),"")</f>
        <v>0</v>
      </c>
      <c r="L895" s="7" t="str">
        <f t="array" ref="L895">IFERROR(INDEX(D$56:D$1054,SMALL(IF(ISNUMBER(J$56:J$1054),ROW(D$1:D$999),""),ROW(D840))),"")</f>
        <v/>
      </c>
      <c r="M895" s="7" t="str">
        <f t="array" ref="M895">IFERROR(INDEX(J$56:J$1054,SMALL(IF(ISNUMBER(J$56:J$1054),ROW(J$1:J$999),""),ROW(J840))),"")</f>
        <v/>
      </c>
      <c r="N895" s="7"/>
      <c r="O895" s="7"/>
      <c r="P895" s="7"/>
      <c r="Q895" s="7">
        <f ca="1">IFERROR(IF(COUNTA(P$56:P895)=P$54,P895,FORECAST(D895,OFFSET(S$56:S$254,MATCH(D895,R$56:R$254,1)-1,0,2), OFFSET(R$56:R$254,MATCH(D895,R$56:R$254,1)-1,0,2))),"")</f>
        <v>0</v>
      </c>
      <c r="R895" s="7" t="str">
        <f t="array" ref="R895">IFERROR(INDEX(E$56:E$1054,SMALL(IF(ISNUMBER(P$56:P$1054),ROW(E$1:E$999),""),ROW(J840))),"")</f>
        <v/>
      </c>
      <c r="S895" s="7" t="str">
        <f t="array" ref="S895">IFERROR(INDEX(P$56:P$1054,SMALL(IF(ISNUMBER(P$56:P$1054),ROW(P$1:P$999),""),ROW(P840))),"")</f>
        <v/>
      </c>
      <c r="T895" s="7"/>
      <c r="U895" s="7"/>
      <c r="V895" s="7"/>
    </row>
    <row r="896" spans="1:22" x14ac:dyDescent="0.25">
      <c r="A896" s="6"/>
      <c r="B896" s="11"/>
      <c r="C896" s="12"/>
      <c r="D896" s="12"/>
      <c r="E896" s="8">
        <f t="shared" si="13"/>
        <v>0</v>
      </c>
      <c r="F896" s="10"/>
      <c r="G896" s="10"/>
      <c r="H896" s="9"/>
      <c r="I896" s="7"/>
      <c r="J896" s="7"/>
      <c r="K896" s="7">
        <f ca="1">IFERROR(IF(COUNTA(J$56:J896)=J$54,J896,FORECAST(D896,OFFSET(M$56:M$254,MATCH(D896,L$56:L$254,1)-1,0,2), OFFSET(L$56:L$254,MATCH(D896,L$56:L$254,1)-1,0,2))),"")</f>
        <v>0</v>
      </c>
      <c r="L896" s="7" t="str">
        <f t="array" ref="L896">IFERROR(INDEX(D$56:D$1054,SMALL(IF(ISNUMBER(J$56:J$1054),ROW(D$1:D$999),""),ROW(D841))),"")</f>
        <v/>
      </c>
      <c r="M896" s="7" t="str">
        <f t="array" ref="M896">IFERROR(INDEX(J$56:J$1054,SMALL(IF(ISNUMBER(J$56:J$1054),ROW(J$1:J$999),""),ROW(J841))),"")</f>
        <v/>
      </c>
      <c r="N896" s="7"/>
      <c r="O896" s="7"/>
      <c r="P896" s="7"/>
      <c r="Q896" s="7">
        <f ca="1">IFERROR(IF(COUNTA(P$56:P896)=P$54,P896,FORECAST(D896,OFFSET(S$56:S$254,MATCH(D896,R$56:R$254,1)-1,0,2), OFFSET(R$56:R$254,MATCH(D896,R$56:R$254,1)-1,0,2))),"")</f>
        <v>0</v>
      </c>
      <c r="R896" s="7" t="str">
        <f t="array" ref="R896">IFERROR(INDEX(E$56:E$1054,SMALL(IF(ISNUMBER(P$56:P$1054),ROW(E$1:E$999),""),ROW(J841))),"")</f>
        <v/>
      </c>
      <c r="S896" s="7" t="str">
        <f t="array" ref="S896">IFERROR(INDEX(P$56:P$1054,SMALL(IF(ISNUMBER(P$56:P$1054),ROW(P$1:P$999),""),ROW(P841))),"")</f>
        <v/>
      </c>
      <c r="T896" s="7"/>
      <c r="U896" s="7"/>
      <c r="V896" s="7"/>
    </row>
    <row r="897" spans="1:22" x14ac:dyDescent="0.25">
      <c r="A897" s="6"/>
      <c r="B897" s="11"/>
      <c r="C897" s="12"/>
      <c r="D897" s="12"/>
      <c r="E897" s="8">
        <f t="shared" si="13"/>
        <v>0</v>
      </c>
      <c r="F897" s="10"/>
      <c r="G897" s="10"/>
      <c r="H897" s="9"/>
      <c r="I897" s="7"/>
      <c r="J897" s="7"/>
      <c r="K897" s="7">
        <f ca="1">IFERROR(IF(COUNTA(J$56:J897)=J$54,J897,FORECAST(D897,OFFSET(M$56:M$254,MATCH(D897,L$56:L$254,1)-1,0,2), OFFSET(L$56:L$254,MATCH(D897,L$56:L$254,1)-1,0,2))),"")</f>
        <v>0</v>
      </c>
      <c r="L897" s="7" t="str">
        <f t="array" ref="L897">IFERROR(INDEX(D$56:D$1054,SMALL(IF(ISNUMBER(J$56:J$1054),ROW(D$1:D$999),""),ROW(D842))),"")</f>
        <v/>
      </c>
      <c r="M897" s="7" t="str">
        <f t="array" ref="M897">IFERROR(INDEX(J$56:J$1054,SMALL(IF(ISNUMBER(J$56:J$1054),ROW(J$1:J$999),""),ROW(J842))),"")</f>
        <v/>
      </c>
      <c r="N897" s="7"/>
      <c r="O897" s="7"/>
      <c r="P897" s="7"/>
      <c r="Q897" s="7">
        <f ca="1">IFERROR(IF(COUNTA(P$56:P897)=P$54,P897,FORECAST(D897,OFFSET(S$56:S$254,MATCH(D897,R$56:R$254,1)-1,0,2), OFFSET(R$56:R$254,MATCH(D897,R$56:R$254,1)-1,0,2))),"")</f>
        <v>0</v>
      </c>
      <c r="R897" s="7" t="str">
        <f t="array" ref="R897">IFERROR(INDEX(E$56:E$1054,SMALL(IF(ISNUMBER(P$56:P$1054),ROW(E$1:E$999),""),ROW(J842))),"")</f>
        <v/>
      </c>
      <c r="S897" s="7" t="str">
        <f t="array" ref="S897">IFERROR(INDEX(P$56:P$1054,SMALL(IF(ISNUMBER(P$56:P$1054),ROW(P$1:P$999),""),ROW(P842))),"")</f>
        <v/>
      </c>
      <c r="T897" s="7"/>
      <c r="U897" s="7"/>
      <c r="V897" s="7"/>
    </row>
    <row r="898" spans="1:22" x14ac:dyDescent="0.25">
      <c r="A898" s="6"/>
      <c r="B898" s="11"/>
      <c r="C898" s="12"/>
      <c r="D898" s="12"/>
      <c r="E898" s="8">
        <f t="shared" si="13"/>
        <v>0</v>
      </c>
      <c r="F898" s="10"/>
      <c r="G898" s="10"/>
      <c r="H898" s="9"/>
      <c r="I898" s="7"/>
      <c r="J898" s="7"/>
      <c r="K898" s="7">
        <f ca="1">IFERROR(IF(COUNTA(J$56:J898)=J$54,J898,FORECAST(D898,OFFSET(M$56:M$254,MATCH(D898,L$56:L$254,1)-1,0,2), OFFSET(L$56:L$254,MATCH(D898,L$56:L$254,1)-1,0,2))),"")</f>
        <v>0</v>
      </c>
      <c r="L898" s="7" t="str">
        <f t="array" ref="L898">IFERROR(INDEX(D$56:D$1054,SMALL(IF(ISNUMBER(J$56:J$1054),ROW(D$1:D$999),""),ROW(D843))),"")</f>
        <v/>
      </c>
      <c r="M898" s="7" t="str">
        <f t="array" ref="M898">IFERROR(INDEX(J$56:J$1054,SMALL(IF(ISNUMBER(J$56:J$1054),ROW(J$1:J$999),""),ROW(J843))),"")</f>
        <v/>
      </c>
      <c r="N898" s="7"/>
      <c r="O898" s="7"/>
      <c r="P898" s="7"/>
      <c r="Q898" s="7">
        <f ca="1">IFERROR(IF(COUNTA(P$56:P898)=P$54,P898,FORECAST(D898,OFFSET(S$56:S$254,MATCH(D898,R$56:R$254,1)-1,0,2), OFFSET(R$56:R$254,MATCH(D898,R$56:R$254,1)-1,0,2))),"")</f>
        <v>0</v>
      </c>
      <c r="R898" s="7" t="str">
        <f t="array" ref="R898">IFERROR(INDEX(E$56:E$1054,SMALL(IF(ISNUMBER(P$56:P$1054),ROW(E$1:E$999),""),ROW(J843))),"")</f>
        <v/>
      </c>
      <c r="S898" s="7" t="str">
        <f t="array" ref="S898">IFERROR(INDEX(P$56:P$1054,SMALL(IF(ISNUMBER(P$56:P$1054),ROW(P$1:P$999),""),ROW(P843))),"")</f>
        <v/>
      </c>
      <c r="T898" s="7"/>
      <c r="U898" s="7"/>
      <c r="V898" s="7"/>
    </row>
    <row r="899" spans="1:22" x14ac:dyDescent="0.25">
      <c r="A899" s="6"/>
      <c r="B899" s="11"/>
      <c r="C899" s="12"/>
      <c r="D899" s="12"/>
      <c r="E899" s="8">
        <f t="shared" si="13"/>
        <v>0</v>
      </c>
      <c r="F899" s="10"/>
      <c r="G899" s="10"/>
      <c r="H899" s="9"/>
      <c r="I899" s="7"/>
      <c r="J899" s="7"/>
      <c r="K899" s="7">
        <f ca="1">IFERROR(IF(COUNTA(J$56:J899)=J$54,J899,FORECAST(D899,OFFSET(M$56:M$254,MATCH(D899,L$56:L$254,1)-1,0,2), OFFSET(L$56:L$254,MATCH(D899,L$56:L$254,1)-1,0,2))),"")</f>
        <v>0</v>
      </c>
      <c r="L899" s="7" t="str">
        <f t="array" ref="L899">IFERROR(INDEX(D$56:D$1054,SMALL(IF(ISNUMBER(J$56:J$1054),ROW(D$1:D$999),""),ROW(D844))),"")</f>
        <v/>
      </c>
      <c r="M899" s="7" t="str">
        <f t="array" ref="M899">IFERROR(INDEX(J$56:J$1054,SMALL(IF(ISNUMBER(J$56:J$1054),ROW(J$1:J$999),""),ROW(J844))),"")</f>
        <v/>
      </c>
      <c r="N899" s="7"/>
      <c r="O899" s="7"/>
      <c r="P899" s="7"/>
      <c r="Q899" s="7">
        <f ca="1">IFERROR(IF(COUNTA(P$56:P899)=P$54,P899,FORECAST(D899,OFFSET(S$56:S$254,MATCH(D899,R$56:R$254,1)-1,0,2), OFFSET(R$56:R$254,MATCH(D899,R$56:R$254,1)-1,0,2))),"")</f>
        <v>0</v>
      </c>
      <c r="R899" s="7" t="str">
        <f t="array" ref="R899">IFERROR(INDEX(E$56:E$1054,SMALL(IF(ISNUMBER(P$56:P$1054),ROW(E$1:E$999),""),ROW(J844))),"")</f>
        <v/>
      </c>
      <c r="S899" s="7" t="str">
        <f t="array" ref="S899">IFERROR(INDEX(P$56:P$1054,SMALL(IF(ISNUMBER(P$56:P$1054),ROW(P$1:P$999),""),ROW(P844))),"")</f>
        <v/>
      </c>
      <c r="T899" s="7"/>
      <c r="U899" s="7"/>
      <c r="V899" s="7"/>
    </row>
    <row r="900" spans="1:22" x14ac:dyDescent="0.25">
      <c r="A900" s="6"/>
      <c r="B900" s="11"/>
      <c r="C900" s="12"/>
      <c r="D900" s="12"/>
      <c r="E900" s="8">
        <f t="shared" si="13"/>
        <v>0</v>
      </c>
      <c r="F900" s="10"/>
      <c r="G900" s="10"/>
      <c r="H900" s="9"/>
      <c r="I900" s="7"/>
      <c r="J900" s="7"/>
      <c r="K900" s="7">
        <f ca="1">IFERROR(IF(COUNTA(J$56:J900)=J$54,J900,FORECAST(D900,OFFSET(M$56:M$254,MATCH(D900,L$56:L$254,1)-1,0,2), OFFSET(L$56:L$254,MATCH(D900,L$56:L$254,1)-1,0,2))),"")</f>
        <v>0</v>
      </c>
      <c r="L900" s="7" t="str">
        <f t="array" ref="L900">IFERROR(INDEX(D$56:D$1054,SMALL(IF(ISNUMBER(J$56:J$1054),ROW(D$1:D$999),""),ROW(D845))),"")</f>
        <v/>
      </c>
      <c r="M900" s="7" t="str">
        <f t="array" ref="M900">IFERROR(INDEX(J$56:J$1054,SMALL(IF(ISNUMBER(J$56:J$1054),ROW(J$1:J$999),""),ROW(J845))),"")</f>
        <v/>
      </c>
      <c r="N900" s="7"/>
      <c r="O900" s="7"/>
      <c r="P900" s="7"/>
      <c r="Q900" s="7">
        <f ca="1">IFERROR(IF(COUNTA(P$56:P900)=P$54,P900,FORECAST(D900,OFFSET(S$56:S$254,MATCH(D900,R$56:R$254,1)-1,0,2), OFFSET(R$56:R$254,MATCH(D900,R$56:R$254,1)-1,0,2))),"")</f>
        <v>0</v>
      </c>
      <c r="R900" s="7" t="str">
        <f t="array" ref="R900">IFERROR(INDEX(E$56:E$1054,SMALL(IF(ISNUMBER(P$56:P$1054),ROW(E$1:E$999),""),ROW(J845))),"")</f>
        <v/>
      </c>
      <c r="S900" s="7" t="str">
        <f t="array" ref="S900">IFERROR(INDEX(P$56:P$1054,SMALL(IF(ISNUMBER(P$56:P$1054),ROW(P$1:P$999),""),ROW(P845))),"")</f>
        <v/>
      </c>
      <c r="T900" s="7"/>
      <c r="U900" s="7"/>
      <c r="V900" s="7"/>
    </row>
    <row r="901" spans="1:22" x14ac:dyDescent="0.25">
      <c r="A901" s="6"/>
      <c r="B901" s="11"/>
      <c r="C901" s="12"/>
      <c r="D901" s="12"/>
      <c r="E901" s="8">
        <f t="shared" si="13"/>
        <v>0</v>
      </c>
      <c r="F901" s="10"/>
      <c r="G901" s="10"/>
      <c r="H901" s="9"/>
      <c r="I901" s="7"/>
      <c r="J901" s="7"/>
      <c r="K901" s="7">
        <f ca="1">IFERROR(IF(COUNTA(J$56:J901)=J$54,J901,FORECAST(D901,OFFSET(M$56:M$254,MATCH(D901,L$56:L$254,1)-1,0,2), OFFSET(L$56:L$254,MATCH(D901,L$56:L$254,1)-1,0,2))),"")</f>
        <v>0</v>
      </c>
      <c r="L901" s="7" t="str">
        <f t="array" ref="L901">IFERROR(INDEX(D$56:D$1054,SMALL(IF(ISNUMBER(J$56:J$1054),ROW(D$1:D$999),""),ROW(D846))),"")</f>
        <v/>
      </c>
      <c r="M901" s="7" t="str">
        <f t="array" ref="M901">IFERROR(INDEX(J$56:J$1054,SMALL(IF(ISNUMBER(J$56:J$1054),ROW(J$1:J$999),""),ROW(J846))),"")</f>
        <v/>
      </c>
      <c r="N901" s="7"/>
      <c r="O901" s="7"/>
      <c r="P901" s="7"/>
      <c r="Q901" s="7">
        <f ca="1">IFERROR(IF(COUNTA(P$56:P901)=P$54,P901,FORECAST(D901,OFFSET(S$56:S$254,MATCH(D901,R$56:R$254,1)-1,0,2), OFFSET(R$56:R$254,MATCH(D901,R$56:R$254,1)-1,0,2))),"")</f>
        <v>0</v>
      </c>
      <c r="R901" s="7" t="str">
        <f t="array" ref="R901">IFERROR(INDEX(E$56:E$1054,SMALL(IF(ISNUMBER(P$56:P$1054),ROW(E$1:E$999),""),ROW(J846))),"")</f>
        <v/>
      </c>
      <c r="S901" s="7" t="str">
        <f t="array" ref="S901">IFERROR(INDEX(P$56:P$1054,SMALL(IF(ISNUMBER(P$56:P$1054),ROW(P$1:P$999),""),ROW(P846))),"")</f>
        <v/>
      </c>
      <c r="T901" s="7"/>
      <c r="U901" s="7"/>
      <c r="V901" s="7"/>
    </row>
    <row r="902" spans="1:22" x14ac:dyDescent="0.25">
      <c r="A902" s="6"/>
      <c r="B902" s="11"/>
      <c r="C902" s="12"/>
      <c r="D902" s="12"/>
      <c r="E902" s="8">
        <f t="shared" si="13"/>
        <v>0</v>
      </c>
      <c r="F902" s="10"/>
      <c r="G902" s="10"/>
      <c r="H902" s="9"/>
      <c r="I902" s="7"/>
      <c r="J902" s="7"/>
      <c r="K902" s="7">
        <f ca="1">IFERROR(IF(COUNTA(J$56:J902)=J$54,J902,FORECAST(D902,OFFSET(M$56:M$254,MATCH(D902,L$56:L$254,1)-1,0,2), OFFSET(L$56:L$254,MATCH(D902,L$56:L$254,1)-1,0,2))),"")</f>
        <v>0</v>
      </c>
      <c r="L902" s="7" t="str">
        <f t="array" ref="L902">IFERROR(INDEX(D$56:D$1054,SMALL(IF(ISNUMBER(J$56:J$1054),ROW(D$1:D$999),""),ROW(D847))),"")</f>
        <v/>
      </c>
      <c r="M902" s="7" t="str">
        <f t="array" ref="M902">IFERROR(INDEX(J$56:J$1054,SMALL(IF(ISNUMBER(J$56:J$1054),ROW(J$1:J$999),""),ROW(J847))),"")</f>
        <v/>
      </c>
      <c r="N902" s="7"/>
      <c r="O902" s="7"/>
      <c r="P902" s="7"/>
      <c r="Q902" s="7">
        <f ca="1">IFERROR(IF(COUNTA(P$56:P902)=P$54,P902,FORECAST(D902,OFFSET(S$56:S$254,MATCH(D902,R$56:R$254,1)-1,0,2), OFFSET(R$56:R$254,MATCH(D902,R$56:R$254,1)-1,0,2))),"")</f>
        <v>0</v>
      </c>
      <c r="R902" s="7" t="str">
        <f t="array" ref="R902">IFERROR(INDEX(E$56:E$1054,SMALL(IF(ISNUMBER(P$56:P$1054),ROW(E$1:E$999),""),ROW(J847))),"")</f>
        <v/>
      </c>
      <c r="S902" s="7" t="str">
        <f t="array" ref="S902">IFERROR(INDEX(P$56:P$1054,SMALL(IF(ISNUMBER(P$56:P$1054),ROW(P$1:P$999),""),ROW(P847))),"")</f>
        <v/>
      </c>
      <c r="T902" s="7"/>
      <c r="U902" s="7"/>
      <c r="V902" s="7"/>
    </row>
    <row r="903" spans="1:22" x14ac:dyDescent="0.25">
      <c r="A903" s="6"/>
      <c r="B903" s="11"/>
      <c r="C903" s="12"/>
      <c r="D903" s="12"/>
      <c r="E903" s="8">
        <f t="shared" si="13"/>
        <v>0</v>
      </c>
      <c r="F903" s="10"/>
      <c r="G903" s="10"/>
      <c r="H903" s="9"/>
      <c r="I903" s="7"/>
      <c r="J903" s="7"/>
      <c r="K903" s="7">
        <f ca="1">IFERROR(IF(COUNTA(J$56:J903)=J$54,J903,FORECAST(D903,OFFSET(M$56:M$254,MATCH(D903,L$56:L$254,1)-1,0,2), OFFSET(L$56:L$254,MATCH(D903,L$56:L$254,1)-1,0,2))),"")</f>
        <v>0</v>
      </c>
      <c r="L903" s="7" t="str">
        <f t="array" ref="L903">IFERROR(INDEX(D$56:D$1054,SMALL(IF(ISNUMBER(J$56:J$1054),ROW(D$1:D$999),""),ROW(D848))),"")</f>
        <v/>
      </c>
      <c r="M903" s="7" t="str">
        <f t="array" ref="M903">IFERROR(INDEX(J$56:J$1054,SMALL(IF(ISNUMBER(J$56:J$1054),ROW(J$1:J$999),""),ROW(J848))),"")</f>
        <v/>
      </c>
      <c r="N903" s="7"/>
      <c r="O903" s="7"/>
      <c r="P903" s="7"/>
      <c r="Q903" s="7">
        <f ca="1">IFERROR(IF(COUNTA(P$56:P903)=P$54,P903,FORECAST(D903,OFFSET(S$56:S$254,MATCH(D903,R$56:R$254,1)-1,0,2), OFFSET(R$56:R$254,MATCH(D903,R$56:R$254,1)-1,0,2))),"")</f>
        <v>0</v>
      </c>
      <c r="R903" s="7" t="str">
        <f t="array" ref="R903">IFERROR(INDEX(E$56:E$1054,SMALL(IF(ISNUMBER(P$56:P$1054),ROW(E$1:E$999),""),ROW(J848))),"")</f>
        <v/>
      </c>
      <c r="S903" s="7" t="str">
        <f t="array" ref="S903">IFERROR(INDEX(P$56:P$1054,SMALL(IF(ISNUMBER(P$56:P$1054),ROW(P$1:P$999),""),ROW(P848))),"")</f>
        <v/>
      </c>
      <c r="T903" s="7"/>
      <c r="U903" s="7"/>
      <c r="V903" s="7"/>
    </row>
    <row r="904" spans="1:22" x14ac:dyDescent="0.25">
      <c r="A904" s="6"/>
      <c r="B904" s="11"/>
      <c r="C904" s="12"/>
      <c r="D904" s="12"/>
      <c r="E904" s="8">
        <f t="shared" si="13"/>
        <v>0</v>
      </c>
      <c r="F904" s="10"/>
      <c r="G904" s="10"/>
      <c r="H904" s="9"/>
      <c r="I904" s="7"/>
      <c r="J904" s="7"/>
      <c r="K904" s="7">
        <f ca="1">IFERROR(IF(COUNTA(J$56:J904)=J$54,J904,FORECAST(D904,OFFSET(M$56:M$254,MATCH(D904,L$56:L$254,1)-1,0,2), OFFSET(L$56:L$254,MATCH(D904,L$56:L$254,1)-1,0,2))),"")</f>
        <v>0</v>
      </c>
      <c r="L904" s="7" t="str">
        <f t="array" ref="L904">IFERROR(INDEX(D$56:D$1054,SMALL(IF(ISNUMBER(J$56:J$1054),ROW(D$1:D$999),""),ROW(D849))),"")</f>
        <v/>
      </c>
      <c r="M904" s="7" t="str">
        <f t="array" ref="M904">IFERROR(INDEX(J$56:J$1054,SMALL(IF(ISNUMBER(J$56:J$1054),ROW(J$1:J$999),""),ROW(J849))),"")</f>
        <v/>
      </c>
      <c r="N904" s="7"/>
      <c r="O904" s="7"/>
      <c r="P904" s="7"/>
      <c r="Q904" s="7">
        <f ca="1">IFERROR(IF(COUNTA(P$56:P904)=P$54,P904,FORECAST(D904,OFFSET(S$56:S$254,MATCH(D904,R$56:R$254,1)-1,0,2), OFFSET(R$56:R$254,MATCH(D904,R$56:R$254,1)-1,0,2))),"")</f>
        <v>0</v>
      </c>
      <c r="R904" s="7" t="str">
        <f t="array" ref="R904">IFERROR(INDEX(E$56:E$1054,SMALL(IF(ISNUMBER(P$56:P$1054),ROW(E$1:E$999),""),ROW(J849))),"")</f>
        <v/>
      </c>
      <c r="S904" s="7" t="str">
        <f t="array" ref="S904">IFERROR(INDEX(P$56:P$1054,SMALL(IF(ISNUMBER(P$56:P$1054),ROW(P$1:P$999),""),ROW(P849))),"")</f>
        <v/>
      </c>
      <c r="T904" s="7"/>
      <c r="U904" s="7"/>
      <c r="V904" s="7"/>
    </row>
    <row r="905" spans="1:22" x14ac:dyDescent="0.25">
      <c r="A905" s="6"/>
      <c r="B905" s="11"/>
      <c r="C905" s="12"/>
      <c r="D905" s="12"/>
      <c r="E905" s="8">
        <f t="shared" si="13"/>
        <v>0</v>
      </c>
      <c r="F905" s="10"/>
      <c r="G905" s="10"/>
      <c r="H905" s="9"/>
      <c r="I905" s="7"/>
      <c r="J905" s="7"/>
      <c r="K905" s="7">
        <f ca="1">IFERROR(IF(COUNTA(J$56:J905)=J$54,J905,FORECAST(D905,OFFSET(M$56:M$254,MATCH(D905,L$56:L$254,1)-1,0,2), OFFSET(L$56:L$254,MATCH(D905,L$56:L$254,1)-1,0,2))),"")</f>
        <v>0</v>
      </c>
      <c r="L905" s="7" t="str">
        <f t="array" ref="L905">IFERROR(INDEX(D$56:D$1054,SMALL(IF(ISNUMBER(J$56:J$1054),ROW(D$1:D$999),""),ROW(D850))),"")</f>
        <v/>
      </c>
      <c r="M905" s="7" t="str">
        <f t="array" ref="M905">IFERROR(INDEX(J$56:J$1054,SMALL(IF(ISNUMBER(J$56:J$1054),ROW(J$1:J$999),""),ROW(J850))),"")</f>
        <v/>
      </c>
      <c r="N905" s="7"/>
      <c r="O905" s="7"/>
      <c r="P905" s="7"/>
      <c r="Q905" s="7">
        <f ca="1">IFERROR(IF(COUNTA(P$56:P905)=P$54,P905,FORECAST(D905,OFFSET(S$56:S$254,MATCH(D905,R$56:R$254,1)-1,0,2), OFFSET(R$56:R$254,MATCH(D905,R$56:R$254,1)-1,0,2))),"")</f>
        <v>0</v>
      </c>
      <c r="R905" s="7" t="str">
        <f t="array" ref="R905">IFERROR(INDEX(E$56:E$1054,SMALL(IF(ISNUMBER(P$56:P$1054),ROW(E$1:E$999),""),ROW(J850))),"")</f>
        <v/>
      </c>
      <c r="S905" s="7" t="str">
        <f t="array" ref="S905">IFERROR(INDEX(P$56:P$1054,SMALL(IF(ISNUMBER(P$56:P$1054),ROW(P$1:P$999),""),ROW(P850))),"")</f>
        <v/>
      </c>
      <c r="T905" s="7"/>
      <c r="U905" s="7"/>
      <c r="V905" s="7"/>
    </row>
    <row r="906" spans="1:22" x14ac:dyDescent="0.25">
      <c r="A906" s="6"/>
      <c r="B906" s="11"/>
      <c r="C906" s="12"/>
      <c r="D906" s="12"/>
      <c r="E906" s="8">
        <f t="shared" si="13"/>
        <v>0</v>
      </c>
      <c r="F906" s="10"/>
      <c r="G906" s="10"/>
      <c r="H906" s="9"/>
      <c r="I906" s="7"/>
      <c r="J906" s="7"/>
      <c r="K906" s="7">
        <f ca="1">IFERROR(IF(COUNTA(J$56:J906)=J$54,J906,FORECAST(D906,OFFSET(M$56:M$254,MATCH(D906,L$56:L$254,1)-1,0,2), OFFSET(L$56:L$254,MATCH(D906,L$56:L$254,1)-1,0,2))),"")</f>
        <v>0</v>
      </c>
      <c r="L906" s="7" t="str">
        <f t="array" ref="L906">IFERROR(INDEX(D$56:D$1054,SMALL(IF(ISNUMBER(J$56:J$1054),ROW(D$1:D$999),""),ROW(D851))),"")</f>
        <v/>
      </c>
      <c r="M906" s="7" t="str">
        <f t="array" ref="M906">IFERROR(INDEX(J$56:J$1054,SMALL(IF(ISNUMBER(J$56:J$1054),ROW(J$1:J$999),""),ROW(J851))),"")</f>
        <v/>
      </c>
      <c r="N906" s="7"/>
      <c r="O906" s="7"/>
      <c r="P906" s="7"/>
      <c r="Q906" s="7">
        <f ca="1">IFERROR(IF(COUNTA(P$56:P906)=P$54,P906,FORECAST(D906,OFFSET(S$56:S$254,MATCH(D906,R$56:R$254,1)-1,0,2), OFFSET(R$56:R$254,MATCH(D906,R$56:R$254,1)-1,0,2))),"")</f>
        <v>0</v>
      </c>
      <c r="R906" s="7" t="str">
        <f t="array" ref="R906">IFERROR(INDEX(E$56:E$1054,SMALL(IF(ISNUMBER(P$56:P$1054),ROW(E$1:E$999),""),ROW(J851))),"")</f>
        <v/>
      </c>
      <c r="S906" s="7" t="str">
        <f t="array" ref="S906">IFERROR(INDEX(P$56:P$1054,SMALL(IF(ISNUMBER(P$56:P$1054),ROW(P$1:P$999),""),ROW(P851))),"")</f>
        <v/>
      </c>
      <c r="T906" s="7"/>
      <c r="U906" s="7"/>
      <c r="V906" s="7"/>
    </row>
    <row r="907" spans="1:22" x14ac:dyDescent="0.25">
      <c r="A907" s="6"/>
      <c r="B907" s="11"/>
      <c r="C907" s="12"/>
      <c r="D907" s="12"/>
      <c r="E907" s="8">
        <f t="shared" si="13"/>
        <v>0</v>
      </c>
      <c r="F907" s="10"/>
      <c r="G907" s="10"/>
      <c r="H907" s="9"/>
      <c r="I907" s="7"/>
      <c r="J907" s="7"/>
      <c r="K907" s="7">
        <f ca="1">IFERROR(IF(COUNTA(J$56:J907)=J$54,J907,FORECAST(D907,OFFSET(M$56:M$254,MATCH(D907,L$56:L$254,1)-1,0,2), OFFSET(L$56:L$254,MATCH(D907,L$56:L$254,1)-1,0,2))),"")</f>
        <v>0</v>
      </c>
      <c r="L907" s="7" t="str">
        <f t="array" ref="L907">IFERROR(INDEX(D$56:D$1054,SMALL(IF(ISNUMBER(J$56:J$1054),ROW(D$1:D$999),""),ROW(D852))),"")</f>
        <v/>
      </c>
      <c r="M907" s="7" t="str">
        <f t="array" ref="M907">IFERROR(INDEX(J$56:J$1054,SMALL(IF(ISNUMBER(J$56:J$1054),ROW(J$1:J$999),""),ROW(J852))),"")</f>
        <v/>
      </c>
      <c r="N907" s="7"/>
      <c r="O907" s="7"/>
      <c r="P907" s="7"/>
      <c r="Q907" s="7">
        <f ca="1">IFERROR(IF(COUNTA(P$56:P907)=P$54,P907,FORECAST(D907,OFFSET(S$56:S$254,MATCH(D907,R$56:R$254,1)-1,0,2), OFFSET(R$56:R$254,MATCH(D907,R$56:R$254,1)-1,0,2))),"")</f>
        <v>0</v>
      </c>
      <c r="R907" s="7" t="str">
        <f t="array" ref="R907">IFERROR(INDEX(E$56:E$1054,SMALL(IF(ISNUMBER(P$56:P$1054),ROW(E$1:E$999),""),ROW(J852))),"")</f>
        <v/>
      </c>
      <c r="S907" s="7" t="str">
        <f t="array" ref="S907">IFERROR(INDEX(P$56:P$1054,SMALL(IF(ISNUMBER(P$56:P$1054),ROW(P$1:P$999),""),ROW(P852))),"")</f>
        <v/>
      </c>
      <c r="T907" s="7"/>
      <c r="U907" s="7"/>
      <c r="V907" s="7"/>
    </row>
    <row r="908" spans="1:22" x14ac:dyDescent="0.25">
      <c r="A908" s="6"/>
      <c r="B908" s="11"/>
      <c r="C908" s="12"/>
      <c r="D908" s="12"/>
      <c r="E908" s="8">
        <f t="shared" si="13"/>
        <v>0</v>
      </c>
      <c r="F908" s="10"/>
      <c r="G908" s="10"/>
      <c r="H908" s="9"/>
      <c r="I908" s="7"/>
      <c r="J908" s="7"/>
      <c r="K908" s="7">
        <f ca="1">IFERROR(IF(COUNTA(J$56:J908)=J$54,J908,FORECAST(D908,OFFSET(M$56:M$254,MATCH(D908,L$56:L$254,1)-1,0,2), OFFSET(L$56:L$254,MATCH(D908,L$56:L$254,1)-1,0,2))),"")</f>
        <v>0</v>
      </c>
      <c r="L908" s="7" t="str">
        <f t="array" ref="L908">IFERROR(INDEX(D$56:D$1054,SMALL(IF(ISNUMBER(J$56:J$1054),ROW(D$1:D$999),""),ROW(D853))),"")</f>
        <v/>
      </c>
      <c r="M908" s="7" t="str">
        <f t="array" ref="M908">IFERROR(INDEX(J$56:J$1054,SMALL(IF(ISNUMBER(J$56:J$1054),ROW(J$1:J$999),""),ROW(J853))),"")</f>
        <v/>
      </c>
      <c r="N908" s="7"/>
      <c r="O908" s="7"/>
      <c r="P908" s="7"/>
      <c r="Q908" s="7">
        <f ca="1">IFERROR(IF(COUNTA(P$56:P908)=P$54,P908,FORECAST(D908,OFFSET(S$56:S$254,MATCH(D908,R$56:R$254,1)-1,0,2), OFFSET(R$56:R$254,MATCH(D908,R$56:R$254,1)-1,0,2))),"")</f>
        <v>0</v>
      </c>
      <c r="R908" s="7" t="str">
        <f t="array" ref="R908">IFERROR(INDEX(E$56:E$1054,SMALL(IF(ISNUMBER(P$56:P$1054),ROW(E$1:E$999),""),ROW(J853))),"")</f>
        <v/>
      </c>
      <c r="S908" s="7" t="str">
        <f t="array" ref="S908">IFERROR(INDEX(P$56:P$1054,SMALL(IF(ISNUMBER(P$56:P$1054),ROW(P$1:P$999),""),ROW(P853))),"")</f>
        <v/>
      </c>
      <c r="T908" s="7"/>
      <c r="U908" s="7"/>
      <c r="V908" s="7"/>
    </row>
    <row r="909" spans="1:22" x14ac:dyDescent="0.25">
      <c r="A909" s="6"/>
      <c r="B909" s="11"/>
      <c r="C909" s="12"/>
      <c r="D909" s="12"/>
      <c r="E909" s="8">
        <f t="shared" si="13"/>
        <v>0</v>
      </c>
      <c r="F909" s="10"/>
      <c r="G909" s="10"/>
      <c r="H909" s="9"/>
      <c r="I909" s="7"/>
      <c r="J909" s="7"/>
      <c r="K909" s="7">
        <f ca="1">IFERROR(IF(COUNTA(J$56:J909)=J$54,J909,FORECAST(D909,OFFSET(M$56:M$254,MATCH(D909,L$56:L$254,1)-1,0,2), OFFSET(L$56:L$254,MATCH(D909,L$56:L$254,1)-1,0,2))),"")</f>
        <v>0</v>
      </c>
      <c r="L909" s="7" t="str">
        <f t="array" ref="L909">IFERROR(INDEX(D$56:D$1054,SMALL(IF(ISNUMBER(J$56:J$1054),ROW(D$1:D$999),""),ROW(D854))),"")</f>
        <v/>
      </c>
      <c r="M909" s="7" t="str">
        <f t="array" ref="M909">IFERROR(INDEX(J$56:J$1054,SMALL(IF(ISNUMBER(J$56:J$1054),ROW(J$1:J$999),""),ROW(J854))),"")</f>
        <v/>
      </c>
      <c r="N909" s="7"/>
      <c r="O909" s="7"/>
      <c r="P909" s="7"/>
      <c r="Q909" s="7">
        <f ca="1">IFERROR(IF(COUNTA(P$56:P909)=P$54,P909,FORECAST(D909,OFFSET(S$56:S$254,MATCH(D909,R$56:R$254,1)-1,0,2), OFFSET(R$56:R$254,MATCH(D909,R$56:R$254,1)-1,0,2))),"")</f>
        <v>0</v>
      </c>
      <c r="R909" s="7" t="str">
        <f t="array" ref="R909">IFERROR(INDEX(E$56:E$1054,SMALL(IF(ISNUMBER(P$56:P$1054),ROW(E$1:E$999),""),ROW(J854))),"")</f>
        <v/>
      </c>
      <c r="S909" s="7" t="str">
        <f t="array" ref="S909">IFERROR(INDEX(P$56:P$1054,SMALL(IF(ISNUMBER(P$56:P$1054),ROW(P$1:P$999),""),ROW(P854))),"")</f>
        <v/>
      </c>
      <c r="T909" s="7"/>
      <c r="U909" s="7"/>
      <c r="V909" s="7"/>
    </row>
    <row r="910" spans="1:22" x14ac:dyDescent="0.25">
      <c r="A910" s="6"/>
      <c r="B910" s="11"/>
      <c r="C910" s="12"/>
      <c r="D910" s="12"/>
      <c r="E910" s="8">
        <f t="shared" si="13"/>
        <v>0</v>
      </c>
      <c r="F910" s="10"/>
      <c r="G910" s="10"/>
      <c r="H910" s="9"/>
      <c r="I910" s="7"/>
      <c r="J910" s="7"/>
      <c r="K910" s="7">
        <f ca="1">IFERROR(IF(COUNTA(J$56:J910)=J$54,J910,FORECAST(D910,OFFSET(M$56:M$254,MATCH(D910,L$56:L$254,1)-1,0,2), OFFSET(L$56:L$254,MATCH(D910,L$56:L$254,1)-1,0,2))),"")</f>
        <v>0</v>
      </c>
      <c r="L910" s="7" t="str">
        <f t="array" ref="L910">IFERROR(INDEX(D$56:D$1054,SMALL(IF(ISNUMBER(J$56:J$1054),ROW(D$1:D$999),""),ROW(D855))),"")</f>
        <v/>
      </c>
      <c r="M910" s="7" t="str">
        <f t="array" ref="M910">IFERROR(INDEX(J$56:J$1054,SMALL(IF(ISNUMBER(J$56:J$1054),ROW(J$1:J$999),""),ROW(J855))),"")</f>
        <v/>
      </c>
      <c r="N910" s="7"/>
      <c r="O910" s="7"/>
      <c r="P910" s="7"/>
      <c r="Q910" s="7">
        <f ca="1">IFERROR(IF(COUNTA(P$56:P910)=P$54,P910,FORECAST(D910,OFFSET(S$56:S$254,MATCH(D910,R$56:R$254,1)-1,0,2), OFFSET(R$56:R$254,MATCH(D910,R$56:R$254,1)-1,0,2))),"")</f>
        <v>0</v>
      </c>
      <c r="R910" s="7" t="str">
        <f t="array" ref="R910">IFERROR(INDEX(E$56:E$1054,SMALL(IF(ISNUMBER(P$56:P$1054),ROW(E$1:E$999),""),ROW(J855))),"")</f>
        <v/>
      </c>
      <c r="S910" s="7" t="str">
        <f t="array" ref="S910">IFERROR(INDEX(P$56:P$1054,SMALL(IF(ISNUMBER(P$56:P$1054),ROW(P$1:P$999),""),ROW(P855))),"")</f>
        <v/>
      </c>
      <c r="T910" s="7"/>
      <c r="U910" s="7"/>
      <c r="V910" s="7"/>
    </row>
    <row r="911" spans="1:22" x14ac:dyDescent="0.25">
      <c r="A911" s="6"/>
      <c r="B911" s="11"/>
      <c r="C911" s="12"/>
      <c r="D911" s="12"/>
      <c r="E911" s="8">
        <f t="shared" si="13"/>
        <v>0</v>
      </c>
      <c r="F911" s="10"/>
      <c r="G911" s="10"/>
      <c r="H911" s="9"/>
      <c r="I911" s="7"/>
      <c r="J911" s="7"/>
      <c r="K911" s="7">
        <f ca="1">IFERROR(IF(COUNTA(J$56:J911)=J$54,J911,FORECAST(D911,OFFSET(M$56:M$254,MATCH(D911,L$56:L$254,1)-1,0,2), OFFSET(L$56:L$254,MATCH(D911,L$56:L$254,1)-1,0,2))),"")</f>
        <v>0</v>
      </c>
      <c r="L911" s="7" t="str">
        <f t="array" ref="L911">IFERROR(INDEX(D$56:D$1054,SMALL(IF(ISNUMBER(J$56:J$1054),ROW(D$1:D$999),""),ROW(D856))),"")</f>
        <v/>
      </c>
      <c r="M911" s="7" t="str">
        <f t="array" ref="M911">IFERROR(INDEX(J$56:J$1054,SMALL(IF(ISNUMBER(J$56:J$1054),ROW(J$1:J$999),""),ROW(J856))),"")</f>
        <v/>
      </c>
      <c r="N911" s="7"/>
      <c r="O911" s="7"/>
      <c r="P911" s="7"/>
      <c r="Q911" s="7">
        <f ca="1">IFERROR(IF(COUNTA(P$56:P911)=P$54,P911,FORECAST(D911,OFFSET(S$56:S$254,MATCH(D911,R$56:R$254,1)-1,0,2), OFFSET(R$56:R$254,MATCH(D911,R$56:R$254,1)-1,0,2))),"")</f>
        <v>0</v>
      </c>
      <c r="R911" s="7" t="str">
        <f t="array" ref="R911">IFERROR(INDEX(E$56:E$1054,SMALL(IF(ISNUMBER(P$56:P$1054),ROW(E$1:E$999),""),ROW(J856))),"")</f>
        <v/>
      </c>
      <c r="S911" s="7" t="str">
        <f t="array" ref="S911">IFERROR(INDEX(P$56:P$1054,SMALL(IF(ISNUMBER(P$56:P$1054),ROW(P$1:P$999),""),ROW(P856))),"")</f>
        <v/>
      </c>
      <c r="T911" s="7"/>
      <c r="U911" s="7"/>
      <c r="V911" s="7"/>
    </row>
    <row r="912" spans="1:22" x14ac:dyDescent="0.25">
      <c r="A912" s="6"/>
      <c r="B912" s="11"/>
      <c r="C912" s="12"/>
      <c r="D912" s="12"/>
      <c r="E912" s="8">
        <f t="shared" si="13"/>
        <v>0</v>
      </c>
      <c r="F912" s="10"/>
      <c r="G912" s="10"/>
      <c r="H912" s="9"/>
      <c r="I912" s="7"/>
      <c r="J912" s="7"/>
      <c r="K912" s="7">
        <f ca="1">IFERROR(IF(COUNTA(J$56:J912)=J$54,J912,FORECAST(D912,OFFSET(M$56:M$254,MATCH(D912,L$56:L$254,1)-1,0,2), OFFSET(L$56:L$254,MATCH(D912,L$56:L$254,1)-1,0,2))),"")</f>
        <v>0</v>
      </c>
      <c r="L912" s="7" t="str">
        <f t="array" ref="L912">IFERROR(INDEX(D$56:D$1054,SMALL(IF(ISNUMBER(J$56:J$1054),ROW(D$1:D$999),""),ROW(D857))),"")</f>
        <v/>
      </c>
      <c r="M912" s="7" t="str">
        <f t="array" ref="M912">IFERROR(INDEX(J$56:J$1054,SMALL(IF(ISNUMBER(J$56:J$1054),ROW(J$1:J$999),""),ROW(J857))),"")</f>
        <v/>
      </c>
      <c r="N912" s="7"/>
      <c r="O912" s="7"/>
      <c r="P912" s="7"/>
      <c r="Q912" s="7">
        <f ca="1">IFERROR(IF(COUNTA(P$56:P912)=P$54,P912,FORECAST(D912,OFFSET(S$56:S$254,MATCH(D912,R$56:R$254,1)-1,0,2), OFFSET(R$56:R$254,MATCH(D912,R$56:R$254,1)-1,0,2))),"")</f>
        <v>0</v>
      </c>
      <c r="R912" s="7" t="str">
        <f t="array" ref="R912">IFERROR(INDEX(E$56:E$1054,SMALL(IF(ISNUMBER(P$56:P$1054),ROW(E$1:E$999),""),ROW(J857))),"")</f>
        <v/>
      </c>
      <c r="S912" s="7" t="str">
        <f t="array" ref="S912">IFERROR(INDEX(P$56:P$1054,SMALL(IF(ISNUMBER(P$56:P$1054),ROW(P$1:P$999),""),ROW(P857))),"")</f>
        <v/>
      </c>
      <c r="T912" s="7"/>
      <c r="U912" s="7"/>
      <c r="V912" s="7"/>
    </row>
    <row r="913" spans="1:22" x14ac:dyDescent="0.25">
      <c r="A913" s="6"/>
      <c r="B913" s="11"/>
      <c r="C913" s="12"/>
      <c r="D913" s="12"/>
      <c r="E913" s="8">
        <f t="shared" si="13"/>
        <v>0</v>
      </c>
      <c r="F913" s="10"/>
      <c r="G913" s="10"/>
      <c r="H913" s="9"/>
      <c r="I913" s="7"/>
      <c r="J913" s="7"/>
      <c r="K913" s="7">
        <f ca="1">IFERROR(IF(COUNTA(J$56:J913)=J$54,J913,FORECAST(D913,OFFSET(M$56:M$254,MATCH(D913,L$56:L$254,1)-1,0,2), OFFSET(L$56:L$254,MATCH(D913,L$56:L$254,1)-1,0,2))),"")</f>
        <v>0</v>
      </c>
      <c r="L913" s="7" t="str">
        <f t="array" ref="L913">IFERROR(INDEX(D$56:D$1054,SMALL(IF(ISNUMBER(J$56:J$1054),ROW(D$1:D$999),""),ROW(D858))),"")</f>
        <v/>
      </c>
      <c r="M913" s="7" t="str">
        <f t="array" ref="M913">IFERROR(INDEX(J$56:J$1054,SMALL(IF(ISNUMBER(J$56:J$1054),ROW(J$1:J$999),""),ROW(J858))),"")</f>
        <v/>
      </c>
      <c r="N913" s="7"/>
      <c r="O913" s="7"/>
      <c r="P913" s="7"/>
      <c r="Q913" s="7">
        <f ca="1">IFERROR(IF(COUNTA(P$56:P913)=P$54,P913,FORECAST(D913,OFFSET(S$56:S$254,MATCH(D913,R$56:R$254,1)-1,0,2), OFFSET(R$56:R$254,MATCH(D913,R$56:R$254,1)-1,0,2))),"")</f>
        <v>0</v>
      </c>
      <c r="R913" s="7" t="str">
        <f t="array" ref="R913">IFERROR(INDEX(E$56:E$1054,SMALL(IF(ISNUMBER(P$56:P$1054),ROW(E$1:E$999),""),ROW(J858))),"")</f>
        <v/>
      </c>
      <c r="S913" s="7" t="str">
        <f t="array" ref="S913">IFERROR(INDEX(P$56:P$1054,SMALL(IF(ISNUMBER(P$56:P$1054),ROW(P$1:P$999),""),ROW(P858))),"")</f>
        <v/>
      </c>
      <c r="T913" s="7"/>
      <c r="U913" s="7"/>
      <c r="V913" s="7"/>
    </row>
    <row r="914" spans="1:22" x14ac:dyDescent="0.25">
      <c r="A914" s="6"/>
      <c r="B914" s="11"/>
      <c r="C914" s="12"/>
      <c r="D914" s="12"/>
      <c r="E914" s="8">
        <f t="shared" si="13"/>
        <v>0</v>
      </c>
      <c r="F914" s="10"/>
      <c r="G914" s="10"/>
      <c r="H914" s="9"/>
      <c r="I914" s="7"/>
      <c r="J914" s="7"/>
      <c r="K914" s="7">
        <f ca="1">IFERROR(IF(COUNTA(J$56:J914)=J$54,J914,FORECAST(D914,OFFSET(M$56:M$254,MATCH(D914,L$56:L$254,1)-1,0,2), OFFSET(L$56:L$254,MATCH(D914,L$56:L$254,1)-1,0,2))),"")</f>
        <v>0</v>
      </c>
      <c r="L914" s="7" t="str">
        <f t="array" ref="L914">IFERROR(INDEX(D$56:D$1054,SMALL(IF(ISNUMBER(J$56:J$1054),ROW(D$1:D$999),""),ROW(D859))),"")</f>
        <v/>
      </c>
      <c r="M914" s="7" t="str">
        <f t="array" ref="M914">IFERROR(INDEX(J$56:J$1054,SMALL(IF(ISNUMBER(J$56:J$1054),ROW(J$1:J$999),""),ROW(J859))),"")</f>
        <v/>
      </c>
      <c r="N914" s="7"/>
      <c r="O914" s="7"/>
      <c r="P914" s="7"/>
      <c r="Q914" s="7">
        <f ca="1">IFERROR(IF(COUNTA(P$56:P914)=P$54,P914,FORECAST(D914,OFFSET(S$56:S$254,MATCH(D914,R$56:R$254,1)-1,0,2), OFFSET(R$56:R$254,MATCH(D914,R$56:R$254,1)-1,0,2))),"")</f>
        <v>0</v>
      </c>
      <c r="R914" s="7" t="str">
        <f t="array" ref="R914">IFERROR(INDEX(E$56:E$1054,SMALL(IF(ISNUMBER(P$56:P$1054),ROW(E$1:E$999),""),ROW(J859))),"")</f>
        <v/>
      </c>
      <c r="S914" s="7" t="str">
        <f t="array" ref="S914">IFERROR(INDEX(P$56:P$1054,SMALL(IF(ISNUMBER(P$56:P$1054),ROW(P$1:P$999),""),ROW(P859))),"")</f>
        <v/>
      </c>
      <c r="T914" s="7"/>
      <c r="U914" s="7"/>
      <c r="V914" s="7"/>
    </row>
    <row r="915" spans="1:22" x14ac:dyDescent="0.25">
      <c r="A915" s="6"/>
      <c r="B915" s="11"/>
      <c r="C915" s="12"/>
      <c r="D915" s="12"/>
      <c r="E915" s="8">
        <f t="shared" si="13"/>
        <v>0</v>
      </c>
      <c r="F915" s="10"/>
      <c r="G915" s="10"/>
      <c r="H915" s="9"/>
      <c r="I915" s="7"/>
      <c r="J915" s="7"/>
      <c r="K915" s="7">
        <f ca="1">IFERROR(IF(COUNTA(J$56:J915)=J$54,J915,FORECAST(D915,OFFSET(M$56:M$254,MATCH(D915,L$56:L$254,1)-1,0,2), OFFSET(L$56:L$254,MATCH(D915,L$56:L$254,1)-1,0,2))),"")</f>
        <v>0</v>
      </c>
      <c r="L915" s="7" t="str">
        <f t="array" ref="L915">IFERROR(INDEX(D$56:D$1054,SMALL(IF(ISNUMBER(J$56:J$1054),ROW(D$1:D$999),""),ROW(D860))),"")</f>
        <v/>
      </c>
      <c r="M915" s="7" t="str">
        <f t="array" ref="M915">IFERROR(INDEX(J$56:J$1054,SMALL(IF(ISNUMBER(J$56:J$1054),ROW(J$1:J$999),""),ROW(J860))),"")</f>
        <v/>
      </c>
      <c r="N915" s="7"/>
      <c r="O915" s="7"/>
      <c r="P915" s="7"/>
      <c r="Q915" s="7">
        <f ca="1">IFERROR(IF(COUNTA(P$56:P915)=P$54,P915,FORECAST(D915,OFFSET(S$56:S$254,MATCH(D915,R$56:R$254,1)-1,0,2), OFFSET(R$56:R$254,MATCH(D915,R$56:R$254,1)-1,0,2))),"")</f>
        <v>0</v>
      </c>
      <c r="R915" s="7" t="str">
        <f t="array" ref="R915">IFERROR(INDEX(E$56:E$1054,SMALL(IF(ISNUMBER(P$56:P$1054),ROW(E$1:E$999),""),ROW(J860))),"")</f>
        <v/>
      </c>
      <c r="S915" s="7" t="str">
        <f t="array" ref="S915">IFERROR(INDEX(P$56:P$1054,SMALL(IF(ISNUMBER(P$56:P$1054),ROW(P$1:P$999),""),ROW(P860))),"")</f>
        <v/>
      </c>
      <c r="T915" s="7"/>
      <c r="U915" s="7"/>
      <c r="V915" s="7"/>
    </row>
    <row r="916" spans="1:22" x14ac:dyDescent="0.25">
      <c r="A916" s="6"/>
      <c r="B916" s="11"/>
      <c r="C916" s="12"/>
      <c r="D916" s="12"/>
      <c r="E916" s="8">
        <f t="shared" si="13"/>
        <v>0</v>
      </c>
      <c r="F916" s="10"/>
      <c r="G916" s="10"/>
      <c r="H916" s="9"/>
      <c r="I916" s="7"/>
      <c r="J916" s="7"/>
      <c r="K916" s="7">
        <f ca="1">IFERROR(IF(COUNTA(J$56:J916)=J$54,J916,FORECAST(D916,OFFSET(M$56:M$254,MATCH(D916,L$56:L$254,1)-1,0,2), OFFSET(L$56:L$254,MATCH(D916,L$56:L$254,1)-1,0,2))),"")</f>
        <v>0</v>
      </c>
      <c r="L916" s="7" t="str">
        <f t="array" ref="L916">IFERROR(INDEX(D$56:D$1054,SMALL(IF(ISNUMBER(J$56:J$1054),ROW(D$1:D$999),""),ROW(D861))),"")</f>
        <v/>
      </c>
      <c r="M916" s="7" t="str">
        <f t="array" ref="M916">IFERROR(INDEX(J$56:J$1054,SMALL(IF(ISNUMBER(J$56:J$1054),ROW(J$1:J$999),""),ROW(J861))),"")</f>
        <v/>
      </c>
      <c r="N916" s="7"/>
      <c r="O916" s="7"/>
      <c r="P916" s="7"/>
      <c r="Q916" s="7">
        <f ca="1">IFERROR(IF(COUNTA(P$56:P916)=P$54,P916,FORECAST(D916,OFFSET(S$56:S$254,MATCH(D916,R$56:R$254,1)-1,0,2), OFFSET(R$56:R$254,MATCH(D916,R$56:R$254,1)-1,0,2))),"")</f>
        <v>0</v>
      </c>
      <c r="R916" s="7" t="str">
        <f t="array" ref="R916">IFERROR(INDEX(E$56:E$1054,SMALL(IF(ISNUMBER(P$56:P$1054),ROW(E$1:E$999),""),ROW(J861))),"")</f>
        <v/>
      </c>
      <c r="S916" s="7" t="str">
        <f t="array" ref="S916">IFERROR(INDEX(P$56:P$1054,SMALL(IF(ISNUMBER(P$56:P$1054),ROW(P$1:P$999),""),ROW(P861))),"")</f>
        <v/>
      </c>
      <c r="T916" s="7"/>
      <c r="U916" s="7"/>
      <c r="V916" s="7"/>
    </row>
    <row r="917" spans="1:22" x14ac:dyDescent="0.25">
      <c r="A917" s="6"/>
      <c r="B917" s="11"/>
      <c r="C917" s="12"/>
      <c r="D917" s="12"/>
      <c r="E917" s="8">
        <f t="shared" si="13"/>
        <v>0</v>
      </c>
      <c r="F917" s="10"/>
      <c r="G917" s="10"/>
      <c r="H917" s="9"/>
      <c r="I917" s="7"/>
      <c r="J917" s="7"/>
      <c r="K917" s="7">
        <f ca="1">IFERROR(IF(COUNTA(J$56:J917)=J$54,J917,FORECAST(D917,OFFSET(M$56:M$254,MATCH(D917,L$56:L$254,1)-1,0,2), OFFSET(L$56:L$254,MATCH(D917,L$56:L$254,1)-1,0,2))),"")</f>
        <v>0</v>
      </c>
      <c r="L917" s="7" t="str">
        <f t="array" ref="L917">IFERROR(INDEX(D$56:D$1054,SMALL(IF(ISNUMBER(J$56:J$1054),ROW(D$1:D$999),""),ROW(D862))),"")</f>
        <v/>
      </c>
      <c r="M917" s="7" t="str">
        <f t="array" ref="M917">IFERROR(INDEX(J$56:J$1054,SMALL(IF(ISNUMBER(J$56:J$1054),ROW(J$1:J$999),""),ROW(J862))),"")</f>
        <v/>
      </c>
      <c r="N917" s="7"/>
      <c r="O917" s="7"/>
      <c r="P917" s="7"/>
      <c r="Q917" s="7">
        <f ca="1">IFERROR(IF(COUNTA(P$56:P917)=P$54,P917,FORECAST(D917,OFFSET(S$56:S$254,MATCH(D917,R$56:R$254,1)-1,0,2), OFFSET(R$56:R$254,MATCH(D917,R$56:R$254,1)-1,0,2))),"")</f>
        <v>0</v>
      </c>
      <c r="R917" s="7" t="str">
        <f t="array" ref="R917">IFERROR(INDEX(E$56:E$1054,SMALL(IF(ISNUMBER(P$56:P$1054),ROW(E$1:E$999),""),ROW(J862))),"")</f>
        <v/>
      </c>
      <c r="S917" s="7" t="str">
        <f t="array" ref="S917">IFERROR(INDEX(P$56:P$1054,SMALL(IF(ISNUMBER(P$56:P$1054),ROW(P$1:P$999),""),ROW(P862))),"")</f>
        <v/>
      </c>
      <c r="T917" s="7"/>
      <c r="U917" s="7"/>
      <c r="V917" s="7"/>
    </row>
    <row r="918" spans="1:22" x14ac:dyDescent="0.25">
      <c r="A918" s="6"/>
      <c r="B918" s="11"/>
      <c r="C918" s="12"/>
      <c r="D918" s="12"/>
      <c r="E918" s="8">
        <f t="shared" si="13"/>
        <v>0</v>
      </c>
      <c r="F918" s="10"/>
      <c r="G918" s="10"/>
      <c r="H918" s="9"/>
      <c r="I918" s="7"/>
      <c r="J918" s="7"/>
      <c r="K918" s="7">
        <f ca="1">IFERROR(IF(COUNTA(J$56:J918)=J$54,J918,FORECAST(D918,OFFSET(M$56:M$254,MATCH(D918,L$56:L$254,1)-1,0,2), OFFSET(L$56:L$254,MATCH(D918,L$56:L$254,1)-1,0,2))),"")</f>
        <v>0</v>
      </c>
      <c r="L918" s="7" t="str">
        <f t="array" ref="L918">IFERROR(INDEX(D$56:D$1054,SMALL(IF(ISNUMBER(J$56:J$1054),ROW(D$1:D$999),""),ROW(D863))),"")</f>
        <v/>
      </c>
      <c r="M918" s="7" t="str">
        <f t="array" ref="M918">IFERROR(INDEX(J$56:J$1054,SMALL(IF(ISNUMBER(J$56:J$1054),ROW(J$1:J$999),""),ROW(J863))),"")</f>
        <v/>
      </c>
      <c r="N918" s="7"/>
      <c r="O918" s="7"/>
      <c r="P918" s="7"/>
      <c r="Q918" s="7">
        <f ca="1">IFERROR(IF(COUNTA(P$56:P918)=P$54,P918,FORECAST(D918,OFFSET(S$56:S$254,MATCH(D918,R$56:R$254,1)-1,0,2), OFFSET(R$56:R$254,MATCH(D918,R$56:R$254,1)-1,0,2))),"")</f>
        <v>0</v>
      </c>
      <c r="R918" s="7" t="str">
        <f t="array" ref="R918">IFERROR(INDEX(E$56:E$1054,SMALL(IF(ISNUMBER(P$56:P$1054),ROW(E$1:E$999),""),ROW(J863))),"")</f>
        <v/>
      </c>
      <c r="S918" s="7" t="str">
        <f t="array" ref="S918">IFERROR(INDEX(P$56:P$1054,SMALL(IF(ISNUMBER(P$56:P$1054),ROW(P$1:P$999),""),ROW(P863))),"")</f>
        <v/>
      </c>
      <c r="T918" s="7"/>
      <c r="U918" s="7"/>
      <c r="V918" s="7"/>
    </row>
    <row r="919" spans="1:22" x14ac:dyDescent="0.25">
      <c r="A919" s="6"/>
      <c r="B919" s="11"/>
      <c r="C919" s="12"/>
      <c r="D919" s="12"/>
      <c r="E919" s="8">
        <f t="shared" si="13"/>
        <v>0</v>
      </c>
      <c r="F919" s="10"/>
      <c r="G919" s="10"/>
      <c r="H919" s="9"/>
      <c r="I919" s="7"/>
      <c r="J919" s="7"/>
      <c r="K919" s="7">
        <f ca="1">IFERROR(IF(COUNTA(J$56:J919)=J$54,J919,FORECAST(D919,OFFSET(M$56:M$254,MATCH(D919,L$56:L$254,1)-1,0,2), OFFSET(L$56:L$254,MATCH(D919,L$56:L$254,1)-1,0,2))),"")</f>
        <v>0</v>
      </c>
      <c r="L919" s="7" t="str">
        <f t="array" ref="L919">IFERROR(INDEX(D$56:D$1054,SMALL(IF(ISNUMBER(J$56:J$1054),ROW(D$1:D$999),""),ROW(D864))),"")</f>
        <v/>
      </c>
      <c r="M919" s="7" t="str">
        <f t="array" ref="M919">IFERROR(INDEX(J$56:J$1054,SMALL(IF(ISNUMBER(J$56:J$1054),ROW(J$1:J$999),""),ROW(J864))),"")</f>
        <v/>
      </c>
      <c r="N919" s="7"/>
      <c r="O919" s="7"/>
      <c r="P919" s="7"/>
      <c r="Q919" s="7">
        <f ca="1">IFERROR(IF(COUNTA(P$56:P919)=P$54,P919,FORECAST(D919,OFFSET(S$56:S$254,MATCH(D919,R$56:R$254,1)-1,0,2), OFFSET(R$56:R$254,MATCH(D919,R$56:R$254,1)-1,0,2))),"")</f>
        <v>0</v>
      </c>
      <c r="R919" s="7" t="str">
        <f t="array" ref="R919">IFERROR(INDEX(E$56:E$1054,SMALL(IF(ISNUMBER(P$56:P$1054),ROW(E$1:E$999),""),ROW(J864))),"")</f>
        <v/>
      </c>
      <c r="S919" s="7" t="str">
        <f t="array" ref="S919">IFERROR(INDEX(P$56:P$1054,SMALL(IF(ISNUMBER(P$56:P$1054),ROW(P$1:P$999),""),ROW(P864))),"")</f>
        <v/>
      </c>
      <c r="T919" s="7"/>
      <c r="U919" s="7"/>
      <c r="V919" s="7"/>
    </row>
    <row r="920" spans="1:22" x14ac:dyDescent="0.25">
      <c r="A920" s="6"/>
      <c r="B920" s="11"/>
      <c r="C920" s="12"/>
      <c r="D920" s="12"/>
      <c r="E920" s="8">
        <f t="shared" si="13"/>
        <v>0</v>
      </c>
      <c r="F920" s="10"/>
      <c r="G920" s="10"/>
      <c r="H920" s="9"/>
      <c r="I920" s="7"/>
      <c r="J920" s="7"/>
      <c r="K920" s="7">
        <f ca="1">IFERROR(IF(COUNTA(J$56:J920)=J$54,J920,FORECAST(D920,OFFSET(M$56:M$254,MATCH(D920,L$56:L$254,1)-1,0,2), OFFSET(L$56:L$254,MATCH(D920,L$56:L$254,1)-1,0,2))),"")</f>
        <v>0</v>
      </c>
      <c r="L920" s="7" t="str">
        <f t="array" ref="L920">IFERROR(INDEX(D$56:D$1054,SMALL(IF(ISNUMBER(J$56:J$1054),ROW(D$1:D$999),""),ROW(D865))),"")</f>
        <v/>
      </c>
      <c r="M920" s="7" t="str">
        <f t="array" ref="M920">IFERROR(INDEX(J$56:J$1054,SMALL(IF(ISNUMBER(J$56:J$1054),ROW(J$1:J$999),""),ROW(J865))),"")</f>
        <v/>
      </c>
      <c r="N920" s="7"/>
      <c r="O920" s="7"/>
      <c r="P920" s="7"/>
      <c r="Q920" s="7">
        <f ca="1">IFERROR(IF(COUNTA(P$56:P920)=P$54,P920,FORECAST(D920,OFFSET(S$56:S$254,MATCH(D920,R$56:R$254,1)-1,0,2), OFFSET(R$56:R$254,MATCH(D920,R$56:R$254,1)-1,0,2))),"")</f>
        <v>0</v>
      </c>
      <c r="R920" s="7" t="str">
        <f t="array" ref="R920">IFERROR(INDEX(E$56:E$1054,SMALL(IF(ISNUMBER(P$56:P$1054),ROW(E$1:E$999),""),ROW(J865))),"")</f>
        <v/>
      </c>
      <c r="S920" s="7" t="str">
        <f t="array" ref="S920">IFERROR(INDEX(P$56:P$1054,SMALL(IF(ISNUMBER(P$56:P$1054),ROW(P$1:P$999),""),ROW(P865))),"")</f>
        <v/>
      </c>
      <c r="T920" s="7"/>
      <c r="U920" s="7"/>
      <c r="V920" s="7"/>
    </row>
    <row r="921" spans="1:22" x14ac:dyDescent="0.25">
      <c r="A921" s="6"/>
      <c r="B921" s="11"/>
      <c r="C921" s="12"/>
      <c r="D921" s="12"/>
      <c r="E921" s="8">
        <f t="shared" si="13"/>
        <v>0</v>
      </c>
      <c r="F921" s="10"/>
      <c r="G921" s="10"/>
      <c r="H921" s="9"/>
      <c r="I921" s="7"/>
      <c r="J921" s="7"/>
      <c r="K921" s="7">
        <f ca="1">IFERROR(IF(COUNTA(J$56:J921)=J$54,J921,FORECAST(D921,OFFSET(M$56:M$254,MATCH(D921,L$56:L$254,1)-1,0,2), OFFSET(L$56:L$254,MATCH(D921,L$56:L$254,1)-1,0,2))),"")</f>
        <v>0</v>
      </c>
      <c r="L921" s="7" t="str">
        <f t="array" ref="L921">IFERROR(INDEX(D$56:D$1054,SMALL(IF(ISNUMBER(J$56:J$1054),ROW(D$1:D$999),""),ROW(D866))),"")</f>
        <v/>
      </c>
      <c r="M921" s="7" t="str">
        <f t="array" ref="M921">IFERROR(INDEX(J$56:J$1054,SMALL(IF(ISNUMBER(J$56:J$1054),ROW(J$1:J$999),""),ROW(J866))),"")</f>
        <v/>
      </c>
      <c r="N921" s="7"/>
      <c r="O921" s="7"/>
      <c r="P921" s="7"/>
      <c r="Q921" s="7">
        <f ca="1">IFERROR(IF(COUNTA(P$56:P921)=P$54,P921,FORECAST(D921,OFFSET(S$56:S$254,MATCH(D921,R$56:R$254,1)-1,0,2), OFFSET(R$56:R$254,MATCH(D921,R$56:R$254,1)-1,0,2))),"")</f>
        <v>0</v>
      </c>
      <c r="R921" s="7" t="str">
        <f t="array" ref="R921">IFERROR(INDEX(E$56:E$1054,SMALL(IF(ISNUMBER(P$56:P$1054),ROW(E$1:E$999),""),ROW(J866))),"")</f>
        <v/>
      </c>
      <c r="S921" s="7" t="str">
        <f t="array" ref="S921">IFERROR(INDEX(P$56:P$1054,SMALL(IF(ISNUMBER(P$56:P$1054),ROW(P$1:P$999),""),ROW(P866))),"")</f>
        <v/>
      </c>
      <c r="T921" s="7"/>
      <c r="U921" s="7"/>
      <c r="V921" s="7"/>
    </row>
    <row r="922" spans="1:22" x14ac:dyDescent="0.25">
      <c r="A922" s="6"/>
      <c r="B922" s="11"/>
      <c r="C922" s="12"/>
      <c r="D922" s="12"/>
      <c r="E922" s="8">
        <f t="shared" si="13"/>
        <v>0</v>
      </c>
      <c r="F922" s="10"/>
      <c r="G922" s="10"/>
      <c r="H922" s="9"/>
      <c r="I922" s="7"/>
      <c r="J922" s="7"/>
      <c r="K922" s="7">
        <f ca="1">IFERROR(IF(COUNTA(J$56:J922)=J$54,J922,FORECAST(D922,OFFSET(M$56:M$254,MATCH(D922,L$56:L$254,1)-1,0,2), OFFSET(L$56:L$254,MATCH(D922,L$56:L$254,1)-1,0,2))),"")</f>
        <v>0</v>
      </c>
      <c r="L922" s="7" t="str">
        <f t="array" ref="L922">IFERROR(INDEX(D$56:D$1054,SMALL(IF(ISNUMBER(J$56:J$1054),ROW(D$1:D$999),""),ROW(D867))),"")</f>
        <v/>
      </c>
      <c r="M922" s="7" t="str">
        <f t="array" ref="M922">IFERROR(INDEX(J$56:J$1054,SMALL(IF(ISNUMBER(J$56:J$1054),ROW(J$1:J$999),""),ROW(J867))),"")</f>
        <v/>
      </c>
      <c r="N922" s="7"/>
      <c r="O922" s="7"/>
      <c r="P922" s="7"/>
      <c r="Q922" s="7">
        <f ca="1">IFERROR(IF(COUNTA(P$56:P922)=P$54,P922,FORECAST(D922,OFFSET(S$56:S$254,MATCH(D922,R$56:R$254,1)-1,0,2), OFFSET(R$56:R$254,MATCH(D922,R$56:R$254,1)-1,0,2))),"")</f>
        <v>0</v>
      </c>
      <c r="R922" s="7" t="str">
        <f t="array" ref="R922">IFERROR(INDEX(E$56:E$1054,SMALL(IF(ISNUMBER(P$56:P$1054),ROW(E$1:E$999),""),ROW(J867))),"")</f>
        <v/>
      </c>
      <c r="S922" s="7" t="str">
        <f t="array" ref="S922">IFERROR(INDEX(P$56:P$1054,SMALL(IF(ISNUMBER(P$56:P$1054),ROW(P$1:P$999),""),ROW(P867))),"")</f>
        <v/>
      </c>
      <c r="T922" s="7"/>
      <c r="U922" s="7"/>
      <c r="V922" s="7"/>
    </row>
    <row r="923" spans="1:22" x14ac:dyDescent="0.25">
      <c r="A923" s="6"/>
      <c r="B923" s="11"/>
      <c r="C923" s="12"/>
      <c r="D923" s="12"/>
      <c r="E923" s="8">
        <f t="shared" si="13"/>
        <v>0</v>
      </c>
      <c r="F923" s="10"/>
      <c r="G923" s="10"/>
      <c r="H923" s="9"/>
      <c r="I923" s="7"/>
      <c r="J923" s="7"/>
      <c r="K923" s="7">
        <f ca="1">IFERROR(IF(COUNTA(J$56:J923)=J$54,J923,FORECAST(D923,OFFSET(M$56:M$254,MATCH(D923,L$56:L$254,1)-1,0,2), OFFSET(L$56:L$254,MATCH(D923,L$56:L$254,1)-1,0,2))),"")</f>
        <v>0</v>
      </c>
      <c r="L923" s="7" t="str">
        <f t="array" ref="L923">IFERROR(INDEX(D$56:D$1054,SMALL(IF(ISNUMBER(J$56:J$1054),ROW(D$1:D$999),""),ROW(D868))),"")</f>
        <v/>
      </c>
      <c r="M923" s="7" t="str">
        <f t="array" ref="M923">IFERROR(INDEX(J$56:J$1054,SMALL(IF(ISNUMBER(J$56:J$1054),ROW(J$1:J$999),""),ROW(J868))),"")</f>
        <v/>
      </c>
      <c r="N923" s="7"/>
      <c r="O923" s="7"/>
      <c r="P923" s="7"/>
      <c r="Q923" s="7">
        <f ca="1">IFERROR(IF(COUNTA(P$56:P923)=P$54,P923,FORECAST(D923,OFFSET(S$56:S$254,MATCH(D923,R$56:R$254,1)-1,0,2), OFFSET(R$56:R$254,MATCH(D923,R$56:R$254,1)-1,0,2))),"")</f>
        <v>0</v>
      </c>
      <c r="R923" s="7" t="str">
        <f t="array" ref="R923">IFERROR(INDEX(E$56:E$1054,SMALL(IF(ISNUMBER(P$56:P$1054),ROW(E$1:E$999),""),ROW(J868))),"")</f>
        <v/>
      </c>
      <c r="S923" s="7" t="str">
        <f t="array" ref="S923">IFERROR(INDEX(P$56:P$1054,SMALL(IF(ISNUMBER(P$56:P$1054),ROW(P$1:P$999),""),ROW(P868))),"")</f>
        <v/>
      </c>
      <c r="T923" s="7"/>
      <c r="U923" s="7"/>
      <c r="V923" s="7"/>
    </row>
    <row r="924" spans="1:22" x14ac:dyDescent="0.25">
      <c r="A924" s="6"/>
      <c r="B924" s="11"/>
      <c r="C924" s="12"/>
      <c r="D924" s="12"/>
      <c r="E924" s="8">
        <f t="shared" si="13"/>
        <v>0</v>
      </c>
      <c r="F924" s="10"/>
      <c r="G924" s="10"/>
      <c r="H924" s="9"/>
      <c r="I924" s="7"/>
      <c r="J924" s="7"/>
      <c r="K924" s="7">
        <f ca="1">IFERROR(IF(COUNTA(J$56:J924)=J$54,J924,FORECAST(D924,OFFSET(M$56:M$254,MATCH(D924,L$56:L$254,1)-1,0,2), OFFSET(L$56:L$254,MATCH(D924,L$56:L$254,1)-1,0,2))),"")</f>
        <v>0</v>
      </c>
      <c r="L924" s="7" t="str">
        <f t="array" ref="L924">IFERROR(INDEX(D$56:D$1054,SMALL(IF(ISNUMBER(J$56:J$1054),ROW(D$1:D$999),""),ROW(D869))),"")</f>
        <v/>
      </c>
      <c r="M924" s="7" t="str">
        <f t="array" ref="M924">IFERROR(INDEX(J$56:J$1054,SMALL(IF(ISNUMBER(J$56:J$1054),ROW(J$1:J$999),""),ROW(J869))),"")</f>
        <v/>
      </c>
      <c r="N924" s="7"/>
      <c r="O924" s="7"/>
      <c r="P924" s="7"/>
      <c r="Q924" s="7">
        <f ca="1">IFERROR(IF(COUNTA(P$56:P924)=P$54,P924,FORECAST(D924,OFFSET(S$56:S$254,MATCH(D924,R$56:R$254,1)-1,0,2), OFFSET(R$56:R$254,MATCH(D924,R$56:R$254,1)-1,0,2))),"")</f>
        <v>0</v>
      </c>
      <c r="R924" s="7" t="str">
        <f t="array" ref="R924">IFERROR(INDEX(E$56:E$1054,SMALL(IF(ISNUMBER(P$56:P$1054),ROW(E$1:E$999),""),ROW(J869))),"")</f>
        <v/>
      </c>
      <c r="S924" s="7" t="str">
        <f t="array" ref="S924">IFERROR(INDEX(P$56:P$1054,SMALL(IF(ISNUMBER(P$56:P$1054),ROW(P$1:P$999),""),ROW(P869))),"")</f>
        <v/>
      </c>
      <c r="T924" s="7"/>
      <c r="U924" s="7"/>
      <c r="V924" s="7"/>
    </row>
    <row r="925" spans="1:22" x14ac:dyDescent="0.25">
      <c r="A925" s="6"/>
      <c r="B925" s="11"/>
      <c r="C925" s="12"/>
      <c r="D925" s="12"/>
      <c r="E925" s="8">
        <f t="shared" si="13"/>
        <v>0</v>
      </c>
      <c r="F925" s="10"/>
      <c r="G925" s="10"/>
      <c r="H925" s="9"/>
      <c r="I925" s="7"/>
      <c r="J925" s="7"/>
      <c r="K925" s="7">
        <f ca="1">IFERROR(IF(COUNTA(J$56:J925)=J$54,J925,FORECAST(D925,OFFSET(M$56:M$254,MATCH(D925,L$56:L$254,1)-1,0,2), OFFSET(L$56:L$254,MATCH(D925,L$56:L$254,1)-1,0,2))),"")</f>
        <v>0</v>
      </c>
      <c r="L925" s="7" t="str">
        <f t="array" ref="L925">IFERROR(INDEX(D$56:D$1054,SMALL(IF(ISNUMBER(J$56:J$1054),ROW(D$1:D$999),""),ROW(D870))),"")</f>
        <v/>
      </c>
      <c r="M925" s="7" t="str">
        <f t="array" ref="M925">IFERROR(INDEX(J$56:J$1054,SMALL(IF(ISNUMBER(J$56:J$1054),ROW(J$1:J$999),""),ROW(J870))),"")</f>
        <v/>
      </c>
      <c r="N925" s="7"/>
      <c r="O925" s="7"/>
      <c r="P925" s="7"/>
      <c r="Q925" s="7">
        <f ca="1">IFERROR(IF(COUNTA(P$56:P925)=P$54,P925,FORECAST(D925,OFFSET(S$56:S$254,MATCH(D925,R$56:R$254,1)-1,0,2), OFFSET(R$56:R$254,MATCH(D925,R$56:R$254,1)-1,0,2))),"")</f>
        <v>0</v>
      </c>
      <c r="R925" s="7" t="str">
        <f t="array" ref="R925">IFERROR(INDEX(E$56:E$1054,SMALL(IF(ISNUMBER(P$56:P$1054),ROW(E$1:E$999),""),ROW(J870))),"")</f>
        <v/>
      </c>
      <c r="S925" s="7" t="str">
        <f t="array" ref="S925">IFERROR(INDEX(P$56:P$1054,SMALL(IF(ISNUMBER(P$56:P$1054),ROW(P$1:P$999),""),ROW(P870))),"")</f>
        <v/>
      </c>
      <c r="T925" s="7"/>
      <c r="U925" s="7"/>
      <c r="V925" s="7"/>
    </row>
    <row r="926" spans="1:22" x14ac:dyDescent="0.25">
      <c r="A926" s="6"/>
      <c r="B926" s="11"/>
      <c r="C926" s="12"/>
      <c r="D926" s="12"/>
      <c r="E926" s="8">
        <f t="shared" si="13"/>
        <v>0</v>
      </c>
      <c r="F926" s="10"/>
      <c r="G926" s="10"/>
      <c r="H926" s="9"/>
      <c r="I926" s="7"/>
      <c r="J926" s="7"/>
      <c r="K926" s="7">
        <f ca="1">IFERROR(IF(COUNTA(J$56:J926)=J$54,J926,FORECAST(D926,OFFSET(M$56:M$254,MATCH(D926,L$56:L$254,1)-1,0,2), OFFSET(L$56:L$254,MATCH(D926,L$56:L$254,1)-1,0,2))),"")</f>
        <v>0</v>
      </c>
      <c r="L926" s="7" t="str">
        <f t="array" ref="L926">IFERROR(INDEX(D$56:D$1054,SMALL(IF(ISNUMBER(J$56:J$1054),ROW(D$1:D$999),""),ROW(D871))),"")</f>
        <v/>
      </c>
      <c r="M926" s="7" t="str">
        <f t="array" ref="M926">IFERROR(INDEX(J$56:J$1054,SMALL(IF(ISNUMBER(J$56:J$1054),ROW(J$1:J$999),""),ROW(J871))),"")</f>
        <v/>
      </c>
      <c r="N926" s="7"/>
      <c r="O926" s="7"/>
      <c r="P926" s="7"/>
      <c r="Q926" s="7">
        <f ca="1">IFERROR(IF(COUNTA(P$56:P926)=P$54,P926,FORECAST(D926,OFFSET(S$56:S$254,MATCH(D926,R$56:R$254,1)-1,0,2), OFFSET(R$56:R$254,MATCH(D926,R$56:R$254,1)-1,0,2))),"")</f>
        <v>0</v>
      </c>
      <c r="R926" s="7" t="str">
        <f t="array" ref="R926">IFERROR(INDEX(E$56:E$1054,SMALL(IF(ISNUMBER(P$56:P$1054),ROW(E$1:E$999),""),ROW(J871))),"")</f>
        <v/>
      </c>
      <c r="S926" s="7" t="str">
        <f t="array" ref="S926">IFERROR(INDEX(P$56:P$1054,SMALL(IF(ISNUMBER(P$56:P$1054),ROW(P$1:P$999),""),ROW(P871))),"")</f>
        <v/>
      </c>
      <c r="T926" s="7"/>
      <c r="U926" s="7"/>
      <c r="V926" s="7"/>
    </row>
    <row r="927" spans="1:22" x14ac:dyDescent="0.25">
      <c r="A927" s="6"/>
      <c r="B927" s="11"/>
      <c r="C927" s="12"/>
      <c r="D927" s="12"/>
      <c r="E927" s="8">
        <f t="shared" si="13"/>
        <v>0</v>
      </c>
      <c r="F927" s="10"/>
      <c r="G927" s="10"/>
      <c r="H927" s="9"/>
      <c r="I927" s="7"/>
      <c r="J927" s="7"/>
      <c r="K927" s="7">
        <f ca="1">IFERROR(IF(COUNTA(J$56:J927)=J$54,J927,FORECAST(D927,OFFSET(M$56:M$254,MATCH(D927,L$56:L$254,1)-1,0,2), OFFSET(L$56:L$254,MATCH(D927,L$56:L$254,1)-1,0,2))),"")</f>
        <v>0</v>
      </c>
      <c r="L927" s="7" t="str">
        <f t="array" ref="L927">IFERROR(INDEX(D$56:D$1054,SMALL(IF(ISNUMBER(J$56:J$1054),ROW(D$1:D$999),""),ROW(D872))),"")</f>
        <v/>
      </c>
      <c r="M927" s="7" t="str">
        <f t="array" ref="M927">IFERROR(INDEX(J$56:J$1054,SMALL(IF(ISNUMBER(J$56:J$1054),ROW(J$1:J$999),""),ROW(J872))),"")</f>
        <v/>
      </c>
      <c r="N927" s="7"/>
      <c r="O927" s="7"/>
      <c r="P927" s="7"/>
      <c r="Q927" s="7">
        <f ca="1">IFERROR(IF(COUNTA(P$56:P927)=P$54,P927,FORECAST(D927,OFFSET(S$56:S$254,MATCH(D927,R$56:R$254,1)-1,0,2), OFFSET(R$56:R$254,MATCH(D927,R$56:R$254,1)-1,0,2))),"")</f>
        <v>0</v>
      </c>
      <c r="R927" s="7" t="str">
        <f t="array" ref="R927">IFERROR(INDEX(E$56:E$1054,SMALL(IF(ISNUMBER(P$56:P$1054),ROW(E$1:E$999),""),ROW(J872))),"")</f>
        <v/>
      </c>
      <c r="S927" s="7" t="str">
        <f t="array" ref="S927">IFERROR(INDEX(P$56:P$1054,SMALL(IF(ISNUMBER(P$56:P$1054),ROW(P$1:P$999),""),ROW(P872))),"")</f>
        <v/>
      </c>
      <c r="T927" s="7"/>
      <c r="U927" s="7"/>
      <c r="V927" s="7"/>
    </row>
    <row r="928" spans="1:22" x14ac:dyDescent="0.25">
      <c r="A928" s="6"/>
      <c r="B928" s="11"/>
      <c r="C928" s="12"/>
      <c r="D928" s="12"/>
      <c r="E928" s="8">
        <f t="shared" si="13"/>
        <v>0</v>
      </c>
      <c r="F928" s="10"/>
      <c r="G928" s="10"/>
      <c r="H928" s="9"/>
      <c r="I928" s="7"/>
      <c r="J928" s="7"/>
      <c r="K928" s="7">
        <f ca="1">IFERROR(IF(COUNTA(J$56:J928)=J$54,J928,FORECAST(D928,OFFSET(M$56:M$254,MATCH(D928,L$56:L$254,1)-1,0,2), OFFSET(L$56:L$254,MATCH(D928,L$56:L$254,1)-1,0,2))),"")</f>
        <v>0</v>
      </c>
      <c r="L928" s="7" t="str">
        <f t="array" ref="L928">IFERROR(INDEX(D$56:D$1054,SMALL(IF(ISNUMBER(J$56:J$1054),ROW(D$1:D$999),""),ROW(D873))),"")</f>
        <v/>
      </c>
      <c r="M928" s="7" t="str">
        <f t="array" ref="M928">IFERROR(INDEX(J$56:J$1054,SMALL(IF(ISNUMBER(J$56:J$1054),ROW(J$1:J$999),""),ROW(J873))),"")</f>
        <v/>
      </c>
      <c r="N928" s="7"/>
      <c r="O928" s="7"/>
      <c r="P928" s="7"/>
      <c r="Q928" s="7">
        <f ca="1">IFERROR(IF(COUNTA(P$56:P928)=P$54,P928,FORECAST(D928,OFFSET(S$56:S$254,MATCH(D928,R$56:R$254,1)-1,0,2), OFFSET(R$56:R$254,MATCH(D928,R$56:R$254,1)-1,0,2))),"")</f>
        <v>0</v>
      </c>
      <c r="R928" s="7" t="str">
        <f t="array" ref="R928">IFERROR(INDEX(E$56:E$1054,SMALL(IF(ISNUMBER(P$56:P$1054),ROW(E$1:E$999),""),ROW(J873))),"")</f>
        <v/>
      </c>
      <c r="S928" s="7" t="str">
        <f t="array" ref="S928">IFERROR(INDEX(P$56:P$1054,SMALL(IF(ISNUMBER(P$56:P$1054),ROW(P$1:P$999),""),ROW(P873))),"")</f>
        <v/>
      </c>
      <c r="T928" s="7"/>
      <c r="U928" s="7"/>
      <c r="V928" s="7"/>
    </row>
    <row r="929" spans="1:22" x14ac:dyDescent="0.25">
      <c r="A929" s="6"/>
      <c r="B929" s="11"/>
      <c r="C929" s="12"/>
      <c r="D929" s="12"/>
      <c r="E929" s="8">
        <f t="shared" si="13"/>
        <v>0</v>
      </c>
      <c r="F929" s="10"/>
      <c r="G929" s="10"/>
      <c r="H929" s="9"/>
      <c r="I929" s="7"/>
      <c r="J929" s="7"/>
      <c r="K929" s="7">
        <f ca="1">IFERROR(IF(COUNTA(J$56:J929)=J$54,J929,FORECAST(D929,OFFSET(M$56:M$254,MATCH(D929,L$56:L$254,1)-1,0,2), OFFSET(L$56:L$254,MATCH(D929,L$56:L$254,1)-1,0,2))),"")</f>
        <v>0</v>
      </c>
      <c r="L929" s="7" t="str">
        <f t="array" ref="L929">IFERROR(INDEX(D$56:D$1054,SMALL(IF(ISNUMBER(J$56:J$1054),ROW(D$1:D$999),""),ROW(D874))),"")</f>
        <v/>
      </c>
      <c r="M929" s="7" t="str">
        <f t="array" ref="M929">IFERROR(INDEX(J$56:J$1054,SMALL(IF(ISNUMBER(J$56:J$1054),ROW(J$1:J$999),""),ROW(J874))),"")</f>
        <v/>
      </c>
      <c r="N929" s="7"/>
      <c r="O929" s="7"/>
      <c r="P929" s="7"/>
      <c r="Q929" s="7">
        <f ca="1">IFERROR(IF(COUNTA(P$56:P929)=P$54,P929,FORECAST(D929,OFFSET(S$56:S$254,MATCH(D929,R$56:R$254,1)-1,0,2), OFFSET(R$56:R$254,MATCH(D929,R$56:R$254,1)-1,0,2))),"")</f>
        <v>0</v>
      </c>
      <c r="R929" s="7" t="str">
        <f t="array" ref="R929">IFERROR(INDEX(E$56:E$1054,SMALL(IF(ISNUMBER(P$56:P$1054),ROW(E$1:E$999),""),ROW(J874))),"")</f>
        <v/>
      </c>
      <c r="S929" s="7" t="str">
        <f t="array" ref="S929">IFERROR(INDEX(P$56:P$1054,SMALL(IF(ISNUMBER(P$56:P$1054),ROW(P$1:P$999),""),ROW(P874))),"")</f>
        <v/>
      </c>
      <c r="T929" s="7"/>
      <c r="U929" s="7"/>
      <c r="V929" s="7"/>
    </row>
    <row r="930" spans="1:22" x14ac:dyDescent="0.25">
      <c r="A930" s="6"/>
      <c r="B930" s="11"/>
      <c r="C930" s="12"/>
      <c r="D930" s="12"/>
      <c r="E930" s="8">
        <f t="shared" si="13"/>
        <v>0</v>
      </c>
      <c r="F930" s="10"/>
      <c r="G930" s="10"/>
      <c r="H930" s="9"/>
      <c r="I930" s="7"/>
      <c r="J930" s="7"/>
      <c r="K930" s="7">
        <f ca="1">IFERROR(IF(COUNTA(J$56:J930)=J$54,J930,FORECAST(D930,OFFSET(M$56:M$254,MATCH(D930,L$56:L$254,1)-1,0,2), OFFSET(L$56:L$254,MATCH(D930,L$56:L$254,1)-1,0,2))),"")</f>
        <v>0</v>
      </c>
      <c r="L930" s="7" t="str">
        <f t="array" ref="L930">IFERROR(INDEX(D$56:D$1054,SMALL(IF(ISNUMBER(J$56:J$1054),ROW(D$1:D$999),""),ROW(D875))),"")</f>
        <v/>
      </c>
      <c r="M930" s="7" t="str">
        <f t="array" ref="M930">IFERROR(INDEX(J$56:J$1054,SMALL(IF(ISNUMBER(J$56:J$1054),ROW(J$1:J$999),""),ROW(J875))),"")</f>
        <v/>
      </c>
      <c r="N930" s="7"/>
      <c r="O930" s="7"/>
      <c r="P930" s="7"/>
      <c r="Q930" s="7">
        <f ca="1">IFERROR(IF(COUNTA(P$56:P930)=P$54,P930,FORECAST(D930,OFFSET(S$56:S$254,MATCH(D930,R$56:R$254,1)-1,0,2), OFFSET(R$56:R$254,MATCH(D930,R$56:R$254,1)-1,0,2))),"")</f>
        <v>0</v>
      </c>
      <c r="R930" s="7" t="str">
        <f t="array" ref="R930">IFERROR(INDEX(E$56:E$1054,SMALL(IF(ISNUMBER(P$56:P$1054),ROW(E$1:E$999),""),ROW(J875))),"")</f>
        <v/>
      </c>
      <c r="S930" s="7" t="str">
        <f t="array" ref="S930">IFERROR(INDEX(P$56:P$1054,SMALL(IF(ISNUMBER(P$56:P$1054),ROW(P$1:P$999),""),ROW(P875))),"")</f>
        <v/>
      </c>
      <c r="T930" s="7"/>
      <c r="U930" s="7"/>
      <c r="V930" s="7"/>
    </row>
    <row r="931" spans="1:22" x14ac:dyDescent="0.25">
      <c r="A931" s="6"/>
      <c r="B931" s="11"/>
      <c r="C931" s="12"/>
      <c r="D931" s="12"/>
      <c r="E931" s="8">
        <f t="shared" si="13"/>
        <v>0</v>
      </c>
      <c r="F931" s="10"/>
      <c r="G931" s="10"/>
      <c r="H931" s="9"/>
      <c r="I931" s="7"/>
      <c r="J931" s="7"/>
      <c r="K931" s="7">
        <f ca="1">IFERROR(IF(COUNTA(J$56:J931)=J$54,J931,FORECAST(D931,OFFSET(M$56:M$254,MATCH(D931,L$56:L$254,1)-1,0,2), OFFSET(L$56:L$254,MATCH(D931,L$56:L$254,1)-1,0,2))),"")</f>
        <v>0</v>
      </c>
      <c r="L931" s="7" t="str">
        <f t="array" ref="L931">IFERROR(INDEX(D$56:D$1054,SMALL(IF(ISNUMBER(J$56:J$1054),ROW(D$1:D$999),""),ROW(D876))),"")</f>
        <v/>
      </c>
      <c r="M931" s="7" t="str">
        <f t="array" ref="M931">IFERROR(INDEX(J$56:J$1054,SMALL(IF(ISNUMBER(J$56:J$1054),ROW(J$1:J$999),""),ROW(J876))),"")</f>
        <v/>
      </c>
      <c r="N931" s="7"/>
      <c r="O931" s="7"/>
      <c r="P931" s="7"/>
      <c r="Q931" s="7">
        <f ca="1">IFERROR(IF(COUNTA(P$56:P931)=P$54,P931,FORECAST(D931,OFFSET(S$56:S$254,MATCH(D931,R$56:R$254,1)-1,0,2), OFFSET(R$56:R$254,MATCH(D931,R$56:R$254,1)-1,0,2))),"")</f>
        <v>0</v>
      </c>
      <c r="R931" s="7" t="str">
        <f t="array" ref="R931">IFERROR(INDEX(E$56:E$1054,SMALL(IF(ISNUMBER(P$56:P$1054),ROW(E$1:E$999),""),ROW(J876))),"")</f>
        <v/>
      </c>
      <c r="S931" s="7" t="str">
        <f t="array" ref="S931">IFERROR(INDEX(P$56:P$1054,SMALL(IF(ISNUMBER(P$56:P$1054),ROW(P$1:P$999),""),ROW(P876))),"")</f>
        <v/>
      </c>
      <c r="T931" s="7"/>
      <c r="U931" s="7"/>
      <c r="V931" s="7"/>
    </row>
    <row r="932" spans="1:22" x14ac:dyDescent="0.25">
      <c r="A932" s="6"/>
      <c r="B932" s="11"/>
      <c r="C932" s="12"/>
      <c r="D932" s="12"/>
      <c r="E932" s="8">
        <f t="shared" si="13"/>
        <v>0</v>
      </c>
      <c r="F932" s="10"/>
      <c r="G932" s="10"/>
      <c r="H932" s="9"/>
      <c r="I932" s="7"/>
      <c r="J932" s="7"/>
      <c r="K932" s="7">
        <f ca="1">IFERROR(IF(COUNTA(J$56:J932)=J$54,J932,FORECAST(D932,OFFSET(M$56:M$254,MATCH(D932,L$56:L$254,1)-1,0,2), OFFSET(L$56:L$254,MATCH(D932,L$56:L$254,1)-1,0,2))),"")</f>
        <v>0</v>
      </c>
      <c r="L932" s="7" t="str">
        <f t="array" ref="L932">IFERROR(INDEX(D$56:D$1054,SMALL(IF(ISNUMBER(J$56:J$1054),ROW(D$1:D$999),""),ROW(D877))),"")</f>
        <v/>
      </c>
      <c r="M932" s="7" t="str">
        <f t="array" ref="M932">IFERROR(INDEX(J$56:J$1054,SMALL(IF(ISNUMBER(J$56:J$1054),ROW(J$1:J$999),""),ROW(J877))),"")</f>
        <v/>
      </c>
      <c r="N932" s="7"/>
      <c r="O932" s="7"/>
      <c r="P932" s="7"/>
      <c r="Q932" s="7">
        <f ca="1">IFERROR(IF(COUNTA(P$56:P932)=P$54,P932,FORECAST(D932,OFFSET(S$56:S$254,MATCH(D932,R$56:R$254,1)-1,0,2), OFFSET(R$56:R$254,MATCH(D932,R$56:R$254,1)-1,0,2))),"")</f>
        <v>0</v>
      </c>
      <c r="R932" s="7" t="str">
        <f t="array" ref="R932">IFERROR(INDEX(E$56:E$1054,SMALL(IF(ISNUMBER(P$56:P$1054),ROW(E$1:E$999),""),ROW(J877))),"")</f>
        <v/>
      </c>
      <c r="S932" s="7" t="str">
        <f t="array" ref="S932">IFERROR(INDEX(P$56:P$1054,SMALL(IF(ISNUMBER(P$56:P$1054),ROW(P$1:P$999),""),ROW(P877))),"")</f>
        <v/>
      </c>
      <c r="T932" s="7"/>
      <c r="U932" s="7"/>
      <c r="V932" s="7"/>
    </row>
    <row r="933" spans="1:22" x14ac:dyDescent="0.25">
      <c r="A933" s="6"/>
      <c r="B933" s="11"/>
      <c r="C933" s="12"/>
      <c r="D933" s="12"/>
      <c r="E933" s="8">
        <f t="shared" si="13"/>
        <v>0</v>
      </c>
      <c r="F933" s="10"/>
      <c r="G933" s="10"/>
      <c r="H933" s="9"/>
      <c r="I933" s="7"/>
      <c r="J933" s="7"/>
      <c r="K933" s="7">
        <f ca="1">IFERROR(IF(COUNTA(J$56:J933)=J$54,J933,FORECAST(D933,OFFSET(M$56:M$254,MATCH(D933,L$56:L$254,1)-1,0,2), OFFSET(L$56:L$254,MATCH(D933,L$56:L$254,1)-1,0,2))),"")</f>
        <v>0</v>
      </c>
      <c r="L933" s="7" t="str">
        <f t="array" ref="L933">IFERROR(INDEX(D$56:D$1054,SMALL(IF(ISNUMBER(J$56:J$1054),ROW(D$1:D$999),""),ROW(D878))),"")</f>
        <v/>
      </c>
      <c r="M933" s="7" t="str">
        <f t="array" ref="M933">IFERROR(INDEX(J$56:J$1054,SMALL(IF(ISNUMBER(J$56:J$1054),ROW(J$1:J$999),""),ROW(J878))),"")</f>
        <v/>
      </c>
      <c r="N933" s="7"/>
      <c r="O933" s="7"/>
      <c r="P933" s="7"/>
      <c r="Q933" s="7">
        <f ca="1">IFERROR(IF(COUNTA(P$56:P933)=P$54,P933,FORECAST(D933,OFFSET(S$56:S$254,MATCH(D933,R$56:R$254,1)-1,0,2), OFFSET(R$56:R$254,MATCH(D933,R$56:R$254,1)-1,0,2))),"")</f>
        <v>0</v>
      </c>
      <c r="R933" s="7" t="str">
        <f t="array" ref="R933">IFERROR(INDEX(E$56:E$1054,SMALL(IF(ISNUMBER(P$56:P$1054),ROW(E$1:E$999),""),ROW(J878))),"")</f>
        <v/>
      </c>
      <c r="S933" s="7" t="str">
        <f t="array" ref="S933">IFERROR(INDEX(P$56:P$1054,SMALL(IF(ISNUMBER(P$56:P$1054),ROW(P$1:P$999),""),ROW(P878))),"")</f>
        <v/>
      </c>
      <c r="T933" s="7"/>
      <c r="U933" s="7"/>
      <c r="V933" s="7"/>
    </row>
    <row r="934" spans="1:22" x14ac:dyDescent="0.25">
      <c r="A934" s="6"/>
      <c r="B934" s="11"/>
      <c r="C934" s="12"/>
      <c r="D934" s="12"/>
      <c r="E934" s="8">
        <f t="shared" si="13"/>
        <v>0</v>
      </c>
      <c r="F934" s="10"/>
      <c r="G934" s="10"/>
      <c r="H934" s="9"/>
      <c r="I934" s="7"/>
      <c r="J934" s="7"/>
      <c r="K934" s="7">
        <f ca="1">IFERROR(IF(COUNTA(J$56:J934)=J$54,J934,FORECAST(D934,OFFSET(M$56:M$254,MATCH(D934,L$56:L$254,1)-1,0,2), OFFSET(L$56:L$254,MATCH(D934,L$56:L$254,1)-1,0,2))),"")</f>
        <v>0</v>
      </c>
      <c r="L934" s="7" t="str">
        <f t="array" ref="L934">IFERROR(INDEX(D$56:D$1054,SMALL(IF(ISNUMBER(J$56:J$1054),ROW(D$1:D$999),""),ROW(D879))),"")</f>
        <v/>
      </c>
      <c r="M934" s="7" t="str">
        <f t="array" ref="M934">IFERROR(INDEX(J$56:J$1054,SMALL(IF(ISNUMBER(J$56:J$1054),ROW(J$1:J$999),""),ROW(J879))),"")</f>
        <v/>
      </c>
      <c r="N934" s="7"/>
      <c r="O934" s="7"/>
      <c r="P934" s="7"/>
      <c r="Q934" s="7">
        <f ca="1">IFERROR(IF(COUNTA(P$56:P934)=P$54,P934,FORECAST(D934,OFFSET(S$56:S$254,MATCH(D934,R$56:R$254,1)-1,0,2), OFFSET(R$56:R$254,MATCH(D934,R$56:R$254,1)-1,0,2))),"")</f>
        <v>0</v>
      </c>
      <c r="R934" s="7" t="str">
        <f t="array" ref="R934">IFERROR(INDEX(E$56:E$1054,SMALL(IF(ISNUMBER(P$56:P$1054),ROW(E$1:E$999),""),ROW(J879))),"")</f>
        <v/>
      </c>
      <c r="S934" s="7" t="str">
        <f t="array" ref="S934">IFERROR(INDEX(P$56:P$1054,SMALL(IF(ISNUMBER(P$56:P$1054),ROW(P$1:P$999),""),ROW(P879))),"")</f>
        <v/>
      </c>
      <c r="T934" s="7"/>
      <c r="U934" s="7"/>
      <c r="V934" s="7"/>
    </row>
    <row r="935" spans="1:22" x14ac:dyDescent="0.25">
      <c r="A935" s="6"/>
      <c r="B935" s="11"/>
      <c r="C935" s="12"/>
      <c r="D935" s="12"/>
      <c r="E935" s="8">
        <f t="shared" si="13"/>
        <v>0</v>
      </c>
      <c r="F935" s="10"/>
      <c r="G935" s="10"/>
      <c r="H935" s="9"/>
      <c r="I935" s="7"/>
      <c r="J935" s="7"/>
      <c r="K935" s="7">
        <f ca="1">IFERROR(IF(COUNTA(J$56:J935)=J$54,J935,FORECAST(D935,OFFSET(M$56:M$254,MATCH(D935,L$56:L$254,1)-1,0,2), OFFSET(L$56:L$254,MATCH(D935,L$56:L$254,1)-1,0,2))),"")</f>
        <v>0</v>
      </c>
      <c r="L935" s="7" t="str">
        <f t="array" ref="L935">IFERROR(INDEX(D$56:D$1054,SMALL(IF(ISNUMBER(J$56:J$1054),ROW(D$1:D$999),""),ROW(D880))),"")</f>
        <v/>
      </c>
      <c r="M935" s="7" t="str">
        <f t="array" ref="M935">IFERROR(INDEX(J$56:J$1054,SMALL(IF(ISNUMBER(J$56:J$1054),ROW(J$1:J$999),""),ROW(J880))),"")</f>
        <v/>
      </c>
      <c r="N935" s="7"/>
      <c r="O935" s="7"/>
      <c r="P935" s="7"/>
      <c r="Q935" s="7">
        <f ca="1">IFERROR(IF(COUNTA(P$56:P935)=P$54,P935,FORECAST(D935,OFFSET(S$56:S$254,MATCH(D935,R$56:R$254,1)-1,0,2), OFFSET(R$56:R$254,MATCH(D935,R$56:R$254,1)-1,0,2))),"")</f>
        <v>0</v>
      </c>
      <c r="R935" s="7" t="str">
        <f t="array" ref="R935">IFERROR(INDEX(E$56:E$1054,SMALL(IF(ISNUMBER(P$56:P$1054),ROW(E$1:E$999),""),ROW(J880))),"")</f>
        <v/>
      </c>
      <c r="S935" s="7" t="str">
        <f t="array" ref="S935">IFERROR(INDEX(P$56:P$1054,SMALL(IF(ISNUMBER(P$56:P$1054),ROW(P$1:P$999),""),ROW(P880))),"")</f>
        <v/>
      </c>
      <c r="T935" s="7"/>
      <c r="U935" s="7"/>
      <c r="V935" s="7"/>
    </row>
    <row r="936" spans="1:22" x14ac:dyDescent="0.25">
      <c r="A936" s="6"/>
      <c r="B936" s="11"/>
      <c r="C936" s="12"/>
      <c r="D936" s="12"/>
      <c r="E936" s="8">
        <f t="shared" si="13"/>
        <v>0</v>
      </c>
      <c r="F936" s="10"/>
      <c r="G936" s="10"/>
      <c r="H936" s="9"/>
      <c r="I936" s="7"/>
      <c r="J936" s="7"/>
      <c r="K936" s="7">
        <f ca="1">IFERROR(IF(COUNTA(J$56:J936)=J$54,J936,FORECAST(D936,OFFSET(M$56:M$254,MATCH(D936,L$56:L$254,1)-1,0,2), OFFSET(L$56:L$254,MATCH(D936,L$56:L$254,1)-1,0,2))),"")</f>
        <v>0</v>
      </c>
      <c r="L936" s="7" t="str">
        <f t="array" ref="L936">IFERROR(INDEX(D$56:D$1054,SMALL(IF(ISNUMBER(J$56:J$1054),ROW(D$1:D$999),""),ROW(D881))),"")</f>
        <v/>
      </c>
      <c r="M936" s="7" t="str">
        <f t="array" ref="M936">IFERROR(INDEX(J$56:J$1054,SMALL(IF(ISNUMBER(J$56:J$1054),ROW(J$1:J$999),""),ROW(J881))),"")</f>
        <v/>
      </c>
      <c r="N936" s="7"/>
      <c r="O936" s="7"/>
      <c r="P936" s="7"/>
      <c r="Q936" s="7">
        <f ca="1">IFERROR(IF(COUNTA(P$56:P936)=P$54,P936,FORECAST(D936,OFFSET(S$56:S$254,MATCH(D936,R$56:R$254,1)-1,0,2), OFFSET(R$56:R$254,MATCH(D936,R$56:R$254,1)-1,0,2))),"")</f>
        <v>0</v>
      </c>
      <c r="R936" s="7" t="str">
        <f t="array" ref="R936">IFERROR(INDEX(E$56:E$1054,SMALL(IF(ISNUMBER(P$56:P$1054),ROW(E$1:E$999),""),ROW(J881))),"")</f>
        <v/>
      </c>
      <c r="S936" s="7" t="str">
        <f t="array" ref="S936">IFERROR(INDEX(P$56:P$1054,SMALL(IF(ISNUMBER(P$56:P$1054),ROW(P$1:P$999),""),ROW(P881))),"")</f>
        <v/>
      </c>
      <c r="T936" s="7"/>
      <c r="U936" s="7"/>
      <c r="V936" s="7"/>
    </row>
    <row r="937" spans="1:22" x14ac:dyDescent="0.25">
      <c r="A937" s="6"/>
      <c r="B937" s="11"/>
      <c r="C937" s="12"/>
      <c r="D937" s="12"/>
      <c r="E937" s="8">
        <f t="shared" si="13"/>
        <v>0</v>
      </c>
      <c r="F937" s="10"/>
      <c r="G937" s="10"/>
      <c r="H937" s="9"/>
      <c r="I937" s="7"/>
      <c r="J937" s="7"/>
      <c r="K937" s="7">
        <f ca="1">IFERROR(IF(COUNTA(J$56:J937)=J$54,J937,FORECAST(D937,OFFSET(M$56:M$254,MATCH(D937,L$56:L$254,1)-1,0,2), OFFSET(L$56:L$254,MATCH(D937,L$56:L$254,1)-1,0,2))),"")</f>
        <v>0</v>
      </c>
      <c r="L937" s="7" t="str">
        <f t="array" ref="L937">IFERROR(INDEX(D$56:D$1054,SMALL(IF(ISNUMBER(J$56:J$1054),ROW(D$1:D$999),""),ROW(D882))),"")</f>
        <v/>
      </c>
      <c r="M937" s="7" t="str">
        <f t="array" ref="M937">IFERROR(INDEX(J$56:J$1054,SMALL(IF(ISNUMBER(J$56:J$1054),ROW(J$1:J$999),""),ROW(J882))),"")</f>
        <v/>
      </c>
      <c r="N937" s="7"/>
      <c r="O937" s="7"/>
      <c r="P937" s="7"/>
      <c r="Q937" s="7">
        <f ca="1">IFERROR(IF(COUNTA(P$56:P937)=P$54,P937,FORECAST(D937,OFFSET(S$56:S$254,MATCH(D937,R$56:R$254,1)-1,0,2), OFFSET(R$56:R$254,MATCH(D937,R$56:R$254,1)-1,0,2))),"")</f>
        <v>0</v>
      </c>
      <c r="R937" s="7" t="str">
        <f t="array" ref="R937">IFERROR(INDEX(E$56:E$1054,SMALL(IF(ISNUMBER(P$56:P$1054),ROW(E$1:E$999),""),ROW(J882))),"")</f>
        <v/>
      </c>
      <c r="S937" s="7" t="str">
        <f t="array" ref="S937">IFERROR(INDEX(P$56:P$1054,SMALL(IF(ISNUMBER(P$56:P$1054),ROW(P$1:P$999),""),ROW(P882))),"")</f>
        <v/>
      </c>
      <c r="T937" s="7"/>
      <c r="U937" s="7"/>
      <c r="V937" s="7"/>
    </row>
    <row r="938" spans="1:22" x14ac:dyDescent="0.25">
      <c r="A938" s="6"/>
      <c r="B938" s="11"/>
      <c r="C938" s="12"/>
      <c r="D938" s="12"/>
      <c r="E938" s="8">
        <f t="shared" si="13"/>
        <v>0</v>
      </c>
      <c r="F938" s="10"/>
      <c r="G938" s="10"/>
      <c r="H938" s="9"/>
      <c r="I938" s="7"/>
      <c r="J938" s="7"/>
      <c r="K938" s="7">
        <f ca="1">IFERROR(IF(COUNTA(J$56:J938)=J$54,J938,FORECAST(D938,OFFSET(M$56:M$254,MATCH(D938,L$56:L$254,1)-1,0,2), OFFSET(L$56:L$254,MATCH(D938,L$56:L$254,1)-1,0,2))),"")</f>
        <v>0</v>
      </c>
      <c r="L938" s="7" t="str">
        <f t="array" ref="L938">IFERROR(INDEX(D$56:D$1054,SMALL(IF(ISNUMBER(J$56:J$1054),ROW(D$1:D$999),""),ROW(D883))),"")</f>
        <v/>
      </c>
      <c r="M938" s="7" t="str">
        <f t="array" ref="M938">IFERROR(INDEX(J$56:J$1054,SMALL(IF(ISNUMBER(J$56:J$1054),ROW(J$1:J$999),""),ROW(J883))),"")</f>
        <v/>
      </c>
      <c r="N938" s="7"/>
      <c r="O938" s="7"/>
      <c r="P938" s="7"/>
      <c r="Q938" s="7">
        <f ca="1">IFERROR(IF(COUNTA(P$56:P938)=P$54,P938,FORECAST(D938,OFFSET(S$56:S$254,MATCH(D938,R$56:R$254,1)-1,0,2), OFFSET(R$56:R$254,MATCH(D938,R$56:R$254,1)-1,0,2))),"")</f>
        <v>0</v>
      </c>
      <c r="R938" s="7" t="str">
        <f t="array" ref="R938">IFERROR(INDEX(E$56:E$1054,SMALL(IF(ISNUMBER(P$56:P$1054),ROW(E$1:E$999),""),ROW(J883))),"")</f>
        <v/>
      </c>
      <c r="S938" s="7" t="str">
        <f t="array" ref="S938">IFERROR(INDEX(P$56:P$1054,SMALL(IF(ISNUMBER(P$56:P$1054),ROW(P$1:P$999),""),ROW(P883))),"")</f>
        <v/>
      </c>
      <c r="T938" s="7"/>
      <c r="U938" s="7"/>
      <c r="V938" s="7"/>
    </row>
    <row r="939" spans="1:22" x14ac:dyDescent="0.25">
      <c r="A939" s="6"/>
      <c r="B939" s="11"/>
      <c r="C939" s="12"/>
      <c r="D939" s="12"/>
      <c r="E939" s="8">
        <f t="shared" si="13"/>
        <v>0</v>
      </c>
      <c r="F939" s="10"/>
      <c r="G939" s="10"/>
      <c r="H939" s="9"/>
      <c r="I939" s="7"/>
      <c r="J939" s="7"/>
      <c r="K939" s="7">
        <f ca="1">IFERROR(IF(COUNTA(J$56:J939)=J$54,J939,FORECAST(D939,OFFSET(M$56:M$254,MATCH(D939,L$56:L$254,1)-1,0,2), OFFSET(L$56:L$254,MATCH(D939,L$56:L$254,1)-1,0,2))),"")</f>
        <v>0</v>
      </c>
      <c r="L939" s="7" t="str">
        <f t="array" ref="L939">IFERROR(INDEX(D$56:D$1054,SMALL(IF(ISNUMBER(J$56:J$1054),ROW(D$1:D$999),""),ROW(D884))),"")</f>
        <v/>
      </c>
      <c r="M939" s="7" t="str">
        <f t="array" ref="M939">IFERROR(INDEX(J$56:J$1054,SMALL(IF(ISNUMBER(J$56:J$1054),ROW(J$1:J$999),""),ROW(J884))),"")</f>
        <v/>
      </c>
      <c r="N939" s="7"/>
      <c r="O939" s="7"/>
      <c r="P939" s="7"/>
      <c r="Q939" s="7">
        <f ca="1">IFERROR(IF(COUNTA(P$56:P939)=P$54,P939,FORECAST(D939,OFFSET(S$56:S$254,MATCH(D939,R$56:R$254,1)-1,0,2), OFFSET(R$56:R$254,MATCH(D939,R$56:R$254,1)-1,0,2))),"")</f>
        <v>0</v>
      </c>
      <c r="R939" s="7" t="str">
        <f t="array" ref="R939">IFERROR(INDEX(E$56:E$1054,SMALL(IF(ISNUMBER(P$56:P$1054),ROW(E$1:E$999),""),ROW(J884))),"")</f>
        <v/>
      </c>
      <c r="S939" s="7" t="str">
        <f t="array" ref="S939">IFERROR(INDEX(P$56:P$1054,SMALL(IF(ISNUMBER(P$56:P$1054),ROW(P$1:P$999),""),ROW(P884))),"")</f>
        <v/>
      </c>
      <c r="T939" s="7"/>
      <c r="U939" s="7"/>
      <c r="V939" s="7"/>
    </row>
    <row r="940" spans="1:22" x14ac:dyDescent="0.25">
      <c r="A940" s="6"/>
      <c r="B940" s="11"/>
      <c r="C940" s="12"/>
      <c r="D940" s="12"/>
      <c r="E940" s="8">
        <f t="shared" si="13"/>
        <v>0</v>
      </c>
      <c r="F940" s="10"/>
      <c r="G940" s="10"/>
      <c r="H940" s="9"/>
      <c r="I940" s="7"/>
      <c r="J940" s="7"/>
      <c r="K940" s="7">
        <f ca="1">IFERROR(IF(COUNTA(J$56:J940)=J$54,J940,FORECAST(D940,OFFSET(M$56:M$254,MATCH(D940,L$56:L$254,1)-1,0,2), OFFSET(L$56:L$254,MATCH(D940,L$56:L$254,1)-1,0,2))),"")</f>
        <v>0</v>
      </c>
      <c r="L940" s="7" t="str">
        <f t="array" ref="L940">IFERROR(INDEX(D$56:D$1054,SMALL(IF(ISNUMBER(J$56:J$1054),ROW(D$1:D$999),""),ROW(D885))),"")</f>
        <v/>
      </c>
      <c r="M940" s="7" t="str">
        <f t="array" ref="M940">IFERROR(INDEX(J$56:J$1054,SMALL(IF(ISNUMBER(J$56:J$1054),ROW(J$1:J$999),""),ROW(J885))),"")</f>
        <v/>
      </c>
      <c r="N940" s="7"/>
      <c r="O940" s="7"/>
      <c r="P940" s="7"/>
      <c r="Q940" s="7">
        <f ca="1">IFERROR(IF(COUNTA(P$56:P940)=P$54,P940,FORECAST(D940,OFFSET(S$56:S$254,MATCH(D940,R$56:R$254,1)-1,0,2), OFFSET(R$56:R$254,MATCH(D940,R$56:R$254,1)-1,0,2))),"")</f>
        <v>0</v>
      </c>
      <c r="R940" s="7" t="str">
        <f t="array" ref="R940">IFERROR(INDEX(E$56:E$1054,SMALL(IF(ISNUMBER(P$56:P$1054),ROW(E$1:E$999),""),ROW(J885))),"")</f>
        <v/>
      </c>
      <c r="S940" s="7" t="str">
        <f t="array" ref="S940">IFERROR(INDEX(P$56:P$1054,SMALL(IF(ISNUMBER(P$56:P$1054),ROW(P$1:P$999),""),ROW(P885))),"")</f>
        <v/>
      </c>
      <c r="T940" s="7"/>
      <c r="U940" s="7"/>
      <c r="V940" s="7"/>
    </row>
    <row r="941" spans="1:22" x14ac:dyDescent="0.25">
      <c r="A941" s="6"/>
      <c r="B941" s="11"/>
      <c r="C941" s="12"/>
      <c r="D941" s="12"/>
      <c r="E941" s="8">
        <f t="shared" si="13"/>
        <v>0</v>
      </c>
      <c r="F941" s="10"/>
      <c r="G941" s="10"/>
      <c r="H941" s="9"/>
      <c r="I941" s="7"/>
      <c r="J941" s="7"/>
      <c r="K941" s="7">
        <f ca="1">IFERROR(IF(COUNTA(J$56:J941)=J$54,J941,FORECAST(D941,OFFSET(M$56:M$254,MATCH(D941,L$56:L$254,1)-1,0,2), OFFSET(L$56:L$254,MATCH(D941,L$56:L$254,1)-1,0,2))),"")</f>
        <v>0</v>
      </c>
      <c r="L941" s="7" t="str">
        <f t="array" ref="L941">IFERROR(INDEX(D$56:D$1054,SMALL(IF(ISNUMBER(J$56:J$1054),ROW(D$1:D$999),""),ROW(D886))),"")</f>
        <v/>
      </c>
      <c r="M941" s="7" t="str">
        <f t="array" ref="M941">IFERROR(INDEX(J$56:J$1054,SMALL(IF(ISNUMBER(J$56:J$1054),ROW(J$1:J$999),""),ROW(J886))),"")</f>
        <v/>
      </c>
      <c r="N941" s="7"/>
      <c r="O941" s="7"/>
      <c r="P941" s="7"/>
      <c r="Q941" s="7">
        <f ca="1">IFERROR(IF(COUNTA(P$56:P941)=P$54,P941,FORECAST(D941,OFFSET(S$56:S$254,MATCH(D941,R$56:R$254,1)-1,0,2), OFFSET(R$56:R$254,MATCH(D941,R$56:R$254,1)-1,0,2))),"")</f>
        <v>0</v>
      </c>
      <c r="R941" s="7" t="str">
        <f t="array" ref="R941">IFERROR(INDEX(E$56:E$1054,SMALL(IF(ISNUMBER(P$56:P$1054),ROW(E$1:E$999),""),ROW(J886))),"")</f>
        <v/>
      </c>
      <c r="S941" s="7" t="str">
        <f t="array" ref="S941">IFERROR(INDEX(P$56:P$1054,SMALL(IF(ISNUMBER(P$56:P$1054),ROW(P$1:P$999),""),ROW(P886))),"")</f>
        <v/>
      </c>
      <c r="T941" s="7"/>
      <c r="U941" s="7"/>
      <c r="V941" s="7"/>
    </row>
    <row r="942" spans="1:22" x14ac:dyDescent="0.25">
      <c r="A942" s="6"/>
      <c r="B942" s="11"/>
      <c r="C942" s="12"/>
      <c r="D942" s="12"/>
      <c r="E942" s="8">
        <f t="shared" si="13"/>
        <v>0</v>
      </c>
      <c r="F942" s="10"/>
      <c r="G942" s="10"/>
      <c r="H942" s="9"/>
      <c r="I942" s="7"/>
      <c r="J942" s="7"/>
      <c r="K942" s="7">
        <f ca="1">IFERROR(IF(COUNTA(J$56:J942)=J$54,J942,FORECAST(D942,OFFSET(M$56:M$254,MATCH(D942,L$56:L$254,1)-1,0,2), OFFSET(L$56:L$254,MATCH(D942,L$56:L$254,1)-1,0,2))),"")</f>
        <v>0</v>
      </c>
      <c r="L942" s="7" t="str">
        <f t="array" ref="L942">IFERROR(INDEX(D$56:D$1054,SMALL(IF(ISNUMBER(J$56:J$1054),ROW(D$1:D$999),""),ROW(D887))),"")</f>
        <v/>
      </c>
      <c r="M942" s="7" t="str">
        <f t="array" ref="M942">IFERROR(INDEX(J$56:J$1054,SMALL(IF(ISNUMBER(J$56:J$1054),ROW(J$1:J$999),""),ROW(J887))),"")</f>
        <v/>
      </c>
      <c r="N942" s="7"/>
      <c r="O942" s="7"/>
      <c r="P942" s="7"/>
      <c r="Q942" s="7">
        <f ca="1">IFERROR(IF(COUNTA(P$56:P942)=P$54,P942,FORECAST(D942,OFFSET(S$56:S$254,MATCH(D942,R$56:R$254,1)-1,0,2), OFFSET(R$56:R$254,MATCH(D942,R$56:R$254,1)-1,0,2))),"")</f>
        <v>0</v>
      </c>
      <c r="R942" s="7" t="str">
        <f t="array" ref="R942">IFERROR(INDEX(E$56:E$1054,SMALL(IF(ISNUMBER(P$56:P$1054),ROW(E$1:E$999),""),ROW(J887))),"")</f>
        <v/>
      </c>
      <c r="S942" s="7" t="str">
        <f t="array" ref="S942">IFERROR(INDEX(P$56:P$1054,SMALL(IF(ISNUMBER(P$56:P$1054),ROW(P$1:P$999),""),ROW(P887))),"")</f>
        <v/>
      </c>
      <c r="T942" s="7"/>
      <c r="U942" s="7"/>
      <c r="V942" s="7"/>
    </row>
    <row r="943" spans="1:22" x14ac:dyDescent="0.25">
      <c r="A943" s="6"/>
      <c r="B943" s="11"/>
      <c r="C943" s="12"/>
      <c r="D943" s="12"/>
      <c r="E943" s="8">
        <f t="shared" si="13"/>
        <v>0</v>
      </c>
      <c r="F943" s="10"/>
      <c r="G943" s="10"/>
      <c r="H943" s="9"/>
      <c r="I943" s="7"/>
      <c r="J943" s="7"/>
      <c r="K943" s="7">
        <f ca="1">IFERROR(IF(COUNTA(J$56:J943)=J$54,J943,FORECAST(D943,OFFSET(M$56:M$254,MATCH(D943,L$56:L$254,1)-1,0,2), OFFSET(L$56:L$254,MATCH(D943,L$56:L$254,1)-1,0,2))),"")</f>
        <v>0</v>
      </c>
      <c r="L943" s="7" t="str">
        <f t="array" ref="L943">IFERROR(INDEX(D$56:D$1054,SMALL(IF(ISNUMBER(J$56:J$1054),ROW(D$1:D$999),""),ROW(D888))),"")</f>
        <v/>
      </c>
      <c r="M943" s="7" t="str">
        <f t="array" ref="M943">IFERROR(INDEX(J$56:J$1054,SMALL(IF(ISNUMBER(J$56:J$1054),ROW(J$1:J$999),""),ROW(J888))),"")</f>
        <v/>
      </c>
      <c r="N943" s="7"/>
      <c r="O943" s="7"/>
      <c r="P943" s="7"/>
      <c r="Q943" s="7">
        <f ca="1">IFERROR(IF(COUNTA(P$56:P943)=P$54,P943,FORECAST(D943,OFFSET(S$56:S$254,MATCH(D943,R$56:R$254,1)-1,0,2), OFFSET(R$56:R$254,MATCH(D943,R$56:R$254,1)-1,0,2))),"")</f>
        <v>0</v>
      </c>
      <c r="R943" s="7" t="str">
        <f t="array" ref="R943">IFERROR(INDEX(E$56:E$1054,SMALL(IF(ISNUMBER(P$56:P$1054),ROW(E$1:E$999),""),ROW(J888))),"")</f>
        <v/>
      </c>
      <c r="S943" s="7" t="str">
        <f t="array" ref="S943">IFERROR(INDEX(P$56:P$1054,SMALL(IF(ISNUMBER(P$56:P$1054),ROW(P$1:P$999),""),ROW(P888))),"")</f>
        <v/>
      </c>
      <c r="T943" s="7"/>
      <c r="U943" s="7"/>
      <c r="V943" s="7"/>
    </row>
    <row r="944" spans="1:22" x14ac:dyDescent="0.25">
      <c r="A944" s="6"/>
      <c r="B944" s="11"/>
      <c r="C944" s="12"/>
      <c r="D944" s="12"/>
      <c r="E944" s="8">
        <f t="shared" si="13"/>
        <v>0</v>
      </c>
      <c r="F944" s="10"/>
      <c r="G944" s="10"/>
      <c r="H944" s="9"/>
      <c r="I944" s="7"/>
      <c r="J944" s="7"/>
      <c r="K944" s="7">
        <f ca="1">IFERROR(IF(COUNTA(J$56:J944)=J$54,J944,FORECAST(D944,OFFSET(M$56:M$254,MATCH(D944,L$56:L$254,1)-1,0,2), OFFSET(L$56:L$254,MATCH(D944,L$56:L$254,1)-1,0,2))),"")</f>
        <v>0</v>
      </c>
      <c r="L944" s="7" t="str">
        <f t="array" ref="L944">IFERROR(INDEX(D$56:D$1054,SMALL(IF(ISNUMBER(J$56:J$1054),ROW(D$1:D$999),""),ROW(D889))),"")</f>
        <v/>
      </c>
      <c r="M944" s="7" t="str">
        <f t="array" ref="M944">IFERROR(INDEX(J$56:J$1054,SMALL(IF(ISNUMBER(J$56:J$1054),ROW(J$1:J$999),""),ROW(J889))),"")</f>
        <v/>
      </c>
      <c r="N944" s="7"/>
      <c r="O944" s="7"/>
      <c r="P944" s="7"/>
      <c r="Q944" s="7">
        <f ca="1">IFERROR(IF(COUNTA(P$56:P944)=P$54,P944,FORECAST(D944,OFFSET(S$56:S$254,MATCH(D944,R$56:R$254,1)-1,0,2), OFFSET(R$56:R$254,MATCH(D944,R$56:R$254,1)-1,0,2))),"")</f>
        <v>0</v>
      </c>
      <c r="R944" s="7" t="str">
        <f t="array" ref="R944">IFERROR(INDEX(E$56:E$1054,SMALL(IF(ISNUMBER(P$56:P$1054),ROW(E$1:E$999),""),ROW(J889))),"")</f>
        <v/>
      </c>
      <c r="S944" s="7" t="str">
        <f t="array" ref="S944">IFERROR(INDEX(P$56:P$1054,SMALL(IF(ISNUMBER(P$56:P$1054),ROW(P$1:P$999),""),ROW(P889))),"")</f>
        <v/>
      </c>
      <c r="T944" s="7"/>
      <c r="U944" s="7"/>
      <c r="V944" s="7"/>
    </row>
    <row r="945" spans="1:22" x14ac:dyDescent="0.25">
      <c r="A945" s="6"/>
      <c r="B945" s="11"/>
      <c r="C945" s="12"/>
      <c r="D945" s="12"/>
      <c r="E945" s="8">
        <f t="shared" si="13"/>
        <v>0</v>
      </c>
      <c r="F945" s="10"/>
      <c r="G945" s="10"/>
      <c r="H945" s="9"/>
      <c r="I945" s="7"/>
      <c r="J945" s="7"/>
      <c r="K945" s="7">
        <f ca="1">IFERROR(IF(COUNTA(J$56:J945)=J$54,J945,FORECAST(D945,OFFSET(M$56:M$254,MATCH(D945,L$56:L$254,1)-1,0,2), OFFSET(L$56:L$254,MATCH(D945,L$56:L$254,1)-1,0,2))),"")</f>
        <v>0</v>
      </c>
      <c r="L945" s="7" t="str">
        <f t="array" ref="L945">IFERROR(INDEX(D$56:D$1054,SMALL(IF(ISNUMBER(J$56:J$1054),ROW(D$1:D$999),""),ROW(D890))),"")</f>
        <v/>
      </c>
      <c r="M945" s="7" t="str">
        <f t="array" ref="M945">IFERROR(INDEX(J$56:J$1054,SMALL(IF(ISNUMBER(J$56:J$1054),ROW(J$1:J$999),""),ROW(J890))),"")</f>
        <v/>
      </c>
      <c r="N945" s="7"/>
      <c r="O945" s="7"/>
      <c r="P945" s="7"/>
      <c r="Q945" s="7">
        <f ca="1">IFERROR(IF(COUNTA(P$56:P945)=P$54,P945,FORECAST(D945,OFFSET(S$56:S$254,MATCH(D945,R$56:R$254,1)-1,0,2), OFFSET(R$56:R$254,MATCH(D945,R$56:R$254,1)-1,0,2))),"")</f>
        <v>0</v>
      </c>
      <c r="R945" s="7" t="str">
        <f t="array" ref="R945">IFERROR(INDEX(E$56:E$1054,SMALL(IF(ISNUMBER(P$56:P$1054),ROW(E$1:E$999),""),ROW(J890))),"")</f>
        <v/>
      </c>
      <c r="S945" s="7" t="str">
        <f t="array" ref="S945">IFERROR(INDEX(P$56:P$1054,SMALL(IF(ISNUMBER(P$56:P$1054),ROW(P$1:P$999),""),ROW(P890))),"")</f>
        <v/>
      </c>
      <c r="T945" s="7"/>
      <c r="U945" s="7"/>
      <c r="V945" s="7"/>
    </row>
    <row r="946" spans="1:22" x14ac:dyDescent="0.25">
      <c r="A946" s="6"/>
      <c r="B946" s="11"/>
      <c r="C946" s="12"/>
      <c r="D946" s="12"/>
      <c r="E946" s="8">
        <f t="shared" si="13"/>
        <v>0</v>
      </c>
      <c r="F946" s="10"/>
      <c r="G946" s="10"/>
      <c r="H946" s="9"/>
      <c r="I946" s="7"/>
      <c r="J946" s="7"/>
      <c r="K946" s="7">
        <f ca="1">IFERROR(IF(COUNTA(J$56:J946)=J$54,J946,FORECAST(D946,OFFSET(M$56:M$254,MATCH(D946,L$56:L$254,1)-1,0,2), OFFSET(L$56:L$254,MATCH(D946,L$56:L$254,1)-1,0,2))),"")</f>
        <v>0</v>
      </c>
      <c r="L946" s="7" t="str">
        <f t="array" ref="L946">IFERROR(INDEX(D$56:D$1054,SMALL(IF(ISNUMBER(J$56:J$1054),ROW(D$1:D$999),""),ROW(D891))),"")</f>
        <v/>
      </c>
      <c r="M946" s="7" t="str">
        <f t="array" ref="M946">IFERROR(INDEX(J$56:J$1054,SMALL(IF(ISNUMBER(J$56:J$1054),ROW(J$1:J$999),""),ROW(J891))),"")</f>
        <v/>
      </c>
      <c r="N946" s="7"/>
      <c r="O946" s="7"/>
      <c r="P946" s="7"/>
      <c r="Q946" s="7">
        <f ca="1">IFERROR(IF(COUNTA(P$56:P946)=P$54,P946,FORECAST(D946,OFFSET(S$56:S$254,MATCH(D946,R$56:R$254,1)-1,0,2), OFFSET(R$56:R$254,MATCH(D946,R$56:R$254,1)-1,0,2))),"")</f>
        <v>0</v>
      </c>
      <c r="R946" s="7" t="str">
        <f t="array" ref="R946">IFERROR(INDEX(E$56:E$1054,SMALL(IF(ISNUMBER(P$56:P$1054),ROW(E$1:E$999),""),ROW(J891))),"")</f>
        <v/>
      </c>
      <c r="S946" s="7" t="str">
        <f t="array" ref="S946">IFERROR(INDEX(P$56:P$1054,SMALL(IF(ISNUMBER(P$56:P$1054),ROW(P$1:P$999),""),ROW(P891))),"")</f>
        <v/>
      </c>
      <c r="T946" s="7"/>
      <c r="U946" s="7"/>
      <c r="V946" s="7"/>
    </row>
    <row r="947" spans="1:22" x14ac:dyDescent="0.25">
      <c r="A947" s="6"/>
      <c r="B947" s="11"/>
      <c r="C947" s="12"/>
      <c r="D947" s="12"/>
      <c r="E947" s="8">
        <f t="shared" si="13"/>
        <v>0</v>
      </c>
      <c r="F947" s="10"/>
      <c r="G947" s="10"/>
      <c r="H947" s="9"/>
      <c r="I947" s="7"/>
      <c r="J947" s="7"/>
      <c r="K947" s="7">
        <f ca="1">IFERROR(IF(COUNTA(J$56:J947)=J$54,J947,FORECAST(D947,OFFSET(M$56:M$254,MATCH(D947,L$56:L$254,1)-1,0,2), OFFSET(L$56:L$254,MATCH(D947,L$56:L$254,1)-1,0,2))),"")</f>
        <v>0</v>
      </c>
      <c r="L947" s="7" t="str">
        <f t="array" ref="L947">IFERROR(INDEX(D$56:D$1054,SMALL(IF(ISNUMBER(J$56:J$1054),ROW(D$1:D$999),""),ROW(D892))),"")</f>
        <v/>
      </c>
      <c r="M947" s="7" t="str">
        <f t="array" ref="M947">IFERROR(INDEX(J$56:J$1054,SMALL(IF(ISNUMBER(J$56:J$1054),ROW(J$1:J$999),""),ROW(J892))),"")</f>
        <v/>
      </c>
      <c r="N947" s="7"/>
      <c r="O947" s="7"/>
      <c r="P947" s="7"/>
      <c r="Q947" s="7">
        <f ca="1">IFERROR(IF(COUNTA(P$56:P947)=P$54,P947,FORECAST(D947,OFFSET(S$56:S$254,MATCH(D947,R$56:R$254,1)-1,0,2), OFFSET(R$56:R$254,MATCH(D947,R$56:R$254,1)-1,0,2))),"")</f>
        <v>0</v>
      </c>
      <c r="R947" s="7" t="str">
        <f t="array" ref="R947">IFERROR(INDEX(E$56:E$1054,SMALL(IF(ISNUMBER(P$56:P$1054),ROW(E$1:E$999),""),ROW(J892))),"")</f>
        <v/>
      </c>
      <c r="S947" s="7" t="str">
        <f t="array" ref="S947">IFERROR(INDEX(P$56:P$1054,SMALL(IF(ISNUMBER(P$56:P$1054),ROW(P$1:P$999),""),ROW(P892))),"")</f>
        <v/>
      </c>
      <c r="T947" s="7"/>
      <c r="U947" s="7"/>
      <c r="V947" s="7"/>
    </row>
    <row r="948" spans="1:22" x14ac:dyDescent="0.25">
      <c r="A948" s="6"/>
      <c r="B948" s="11"/>
      <c r="C948" s="12"/>
      <c r="D948" s="12"/>
      <c r="E948" s="8">
        <f t="shared" si="13"/>
        <v>0</v>
      </c>
      <c r="F948" s="10"/>
      <c r="G948" s="10"/>
      <c r="H948" s="9"/>
      <c r="I948" s="7"/>
      <c r="J948" s="7"/>
      <c r="K948" s="7">
        <f ca="1">IFERROR(IF(COUNTA(J$56:J948)=J$54,J948,FORECAST(D948,OFFSET(M$56:M$254,MATCH(D948,L$56:L$254,1)-1,0,2), OFFSET(L$56:L$254,MATCH(D948,L$56:L$254,1)-1,0,2))),"")</f>
        <v>0</v>
      </c>
      <c r="L948" s="7" t="str">
        <f t="array" ref="L948">IFERROR(INDEX(D$56:D$1054,SMALL(IF(ISNUMBER(J$56:J$1054),ROW(D$1:D$999),""),ROW(D893))),"")</f>
        <v/>
      </c>
      <c r="M948" s="7" t="str">
        <f t="array" ref="M948">IFERROR(INDEX(J$56:J$1054,SMALL(IF(ISNUMBER(J$56:J$1054),ROW(J$1:J$999),""),ROW(J893))),"")</f>
        <v/>
      </c>
      <c r="N948" s="7"/>
      <c r="O948" s="7"/>
      <c r="P948" s="7"/>
      <c r="Q948" s="7">
        <f ca="1">IFERROR(IF(COUNTA(P$56:P948)=P$54,P948,FORECAST(D948,OFFSET(S$56:S$254,MATCH(D948,R$56:R$254,1)-1,0,2), OFFSET(R$56:R$254,MATCH(D948,R$56:R$254,1)-1,0,2))),"")</f>
        <v>0</v>
      </c>
      <c r="R948" s="7" t="str">
        <f t="array" ref="R948">IFERROR(INDEX(E$56:E$1054,SMALL(IF(ISNUMBER(P$56:P$1054),ROW(E$1:E$999),""),ROW(J893))),"")</f>
        <v/>
      </c>
      <c r="S948" s="7" t="str">
        <f t="array" ref="S948">IFERROR(INDEX(P$56:P$1054,SMALL(IF(ISNUMBER(P$56:P$1054),ROW(P$1:P$999),""),ROW(P893))),"")</f>
        <v/>
      </c>
      <c r="T948" s="7"/>
      <c r="U948" s="7"/>
      <c r="V948" s="7"/>
    </row>
    <row r="949" spans="1:22" x14ac:dyDescent="0.25">
      <c r="A949" s="6"/>
      <c r="B949" s="11"/>
      <c r="C949" s="12"/>
      <c r="D949" s="12"/>
      <c r="E949" s="8">
        <f t="shared" si="13"/>
        <v>0</v>
      </c>
      <c r="F949" s="10"/>
      <c r="G949" s="10"/>
      <c r="H949" s="9"/>
      <c r="I949" s="7"/>
      <c r="J949" s="7"/>
      <c r="K949" s="7">
        <f ca="1">IFERROR(IF(COUNTA(J$56:J949)=J$54,J949,FORECAST(D949,OFFSET(M$56:M$254,MATCH(D949,L$56:L$254,1)-1,0,2), OFFSET(L$56:L$254,MATCH(D949,L$56:L$254,1)-1,0,2))),"")</f>
        <v>0</v>
      </c>
      <c r="L949" s="7" t="str">
        <f t="array" ref="L949">IFERROR(INDEX(D$56:D$1054,SMALL(IF(ISNUMBER(J$56:J$1054),ROW(D$1:D$999),""),ROW(D894))),"")</f>
        <v/>
      </c>
      <c r="M949" s="7" t="str">
        <f t="array" ref="M949">IFERROR(INDEX(J$56:J$1054,SMALL(IF(ISNUMBER(J$56:J$1054),ROW(J$1:J$999),""),ROW(J894))),"")</f>
        <v/>
      </c>
      <c r="N949" s="7"/>
      <c r="O949" s="7"/>
      <c r="P949" s="7"/>
      <c r="Q949" s="7">
        <f ca="1">IFERROR(IF(COUNTA(P$56:P949)=P$54,P949,FORECAST(D949,OFFSET(S$56:S$254,MATCH(D949,R$56:R$254,1)-1,0,2), OFFSET(R$56:R$254,MATCH(D949,R$56:R$254,1)-1,0,2))),"")</f>
        <v>0</v>
      </c>
      <c r="R949" s="7" t="str">
        <f t="array" ref="R949">IFERROR(INDEX(E$56:E$1054,SMALL(IF(ISNUMBER(P$56:P$1054),ROW(E$1:E$999),""),ROW(J894))),"")</f>
        <v/>
      </c>
      <c r="S949" s="7" t="str">
        <f t="array" ref="S949">IFERROR(INDEX(P$56:P$1054,SMALL(IF(ISNUMBER(P$56:P$1054),ROW(P$1:P$999),""),ROW(P894))),"")</f>
        <v/>
      </c>
      <c r="T949" s="7"/>
      <c r="U949" s="7"/>
      <c r="V949" s="7"/>
    </row>
    <row r="950" spans="1:22" x14ac:dyDescent="0.25">
      <c r="A950" s="6"/>
      <c r="B950" s="11"/>
      <c r="C950" s="12"/>
      <c r="D950" s="12"/>
      <c r="E950" s="8">
        <f t="shared" si="13"/>
        <v>0</v>
      </c>
      <c r="F950" s="10"/>
      <c r="G950" s="10"/>
      <c r="H950" s="9"/>
      <c r="I950" s="7"/>
      <c r="J950" s="7"/>
      <c r="K950" s="7">
        <f ca="1">IFERROR(IF(COUNTA(J$56:J950)=J$54,J950,FORECAST(D950,OFFSET(M$56:M$254,MATCH(D950,L$56:L$254,1)-1,0,2), OFFSET(L$56:L$254,MATCH(D950,L$56:L$254,1)-1,0,2))),"")</f>
        <v>0</v>
      </c>
      <c r="L950" s="7" t="str">
        <f t="array" ref="L950">IFERROR(INDEX(D$56:D$1054,SMALL(IF(ISNUMBER(J$56:J$1054),ROW(D$1:D$999),""),ROW(D895))),"")</f>
        <v/>
      </c>
      <c r="M950" s="7" t="str">
        <f t="array" ref="M950">IFERROR(INDEX(J$56:J$1054,SMALL(IF(ISNUMBER(J$56:J$1054),ROW(J$1:J$999),""),ROW(J895))),"")</f>
        <v/>
      </c>
      <c r="N950" s="7"/>
      <c r="O950" s="7"/>
      <c r="P950" s="7"/>
      <c r="Q950" s="7">
        <f ca="1">IFERROR(IF(COUNTA(P$56:P950)=P$54,P950,FORECAST(D950,OFFSET(S$56:S$254,MATCH(D950,R$56:R$254,1)-1,0,2), OFFSET(R$56:R$254,MATCH(D950,R$56:R$254,1)-1,0,2))),"")</f>
        <v>0</v>
      </c>
      <c r="R950" s="7" t="str">
        <f t="array" ref="R950">IFERROR(INDEX(E$56:E$1054,SMALL(IF(ISNUMBER(P$56:P$1054),ROW(E$1:E$999),""),ROW(J895))),"")</f>
        <v/>
      </c>
      <c r="S950" s="7" t="str">
        <f t="array" ref="S950">IFERROR(INDEX(P$56:P$1054,SMALL(IF(ISNUMBER(P$56:P$1054),ROW(P$1:P$999),""),ROW(P895))),"")</f>
        <v/>
      </c>
      <c r="T950" s="7"/>
      <c r="U950" s="7"/>
      <c r="V950" s="7"/>
    </row>
    <row r="951" spans="1:22" x14ac:dyDescent="0.25">
      <c r="A951" s="6"/>
      <c r="B951" s="11"/>
      <c r="C951" s="12"/>
      <c r="D951" s="12"/>
      <c r="E951" s="8">
        <f t="shared" si="13"/>
        <v>0</v>
      </c>
      <c r="F951" s="10"/>
      <c r="G951" s="10"/>
      <c r="H951" s="9"/>
      <c r="I951" s="7"/>
      <c r="J951" s="7"/>
      <c r="K951" s="7">
        <f ca="1">IFERROR(IF(COUNTA(J$56:J951)=J$54,J951,FORECAST(D951,OFFSET(M$56:M$254,MATCH(D951,L$56:L$254,1)-1,0,2), OFFSET(L$56:L$254,MATCH(D951,L$56:L$254,1)-1,0,2))),"")</f>
        <v>0</v>
      </c>
      <c r="L951" s="7" t="str">
        <f t="array" ref="L951">IFERROR(INDEX(D$56:D$1054,SMALL(IF(ISNUMBER(J$56:J$1054),ROW(D$1:D$999),""),ROW(D896))),"")</f>
        <v/>
      </c>
      <c r="M951" s="7" t="str">
        <f t="array" ref="M951">IFERROR(INDEX(J$56:J$1054,SMALL(IF(ISNUMBER(J$56:J$1054),ROW(J$1:J$999),""),ROW(J896))),"")</f>
        <v/>
      </c>
      <c r="N951" s="7"/>
      <c r="O951" s="7"/>
      <c r="P951" s="7"/>
      <c r="Q951" s="7">
        <f ca="1">IFERROR(IF(COUNTA(P$56:P951)=P$54,P951,FORECAST(D951,OFFSET(S$56:S$254,MATCH(D951,R$56:R$254,1)-1,0,2), OFFSET(R$56:R$254,MATCH(D951,R$56:R$254,1)-1,0,2))),"")</f>
        <v>0</v>
      </c>
      <c r="R951" s="7" t="str">
        <f t="array" ref="R951">IFERROR(INDEX(E$56:E$1054,SMALL(IF(ISNUMBER(P$56:P$1054),ROW(E$1:E$999),""),ROW(J896))),"")</f>
        <v/>
      </c>
      <c r="S951" s="7" t="str">
        <f t="array" ref="S951">IFERROR(INDEX(P$56:P$1054,SMALL(IF(ISNUMBER(P$56:P$1054),ROW(P$1:P$999),""),ROW(P896))),"")</f>
        <v/>
      </c>
      <c r="T951" s="7"/>
      <c r="U951" s="7"/>
      <c r="V951" s="7"/>
    </row>
    <row r="952" spans="1:22" x14ac:dyDescent="0.25">
      <c r="A952" s="6"/>
      <c r="B952" s="11"/>
      <c r="C952" s="12"/>
      <c r="D952" s="12"/>
      <c r="E952" s="8">
        <f t="shared" si="13"/>
        <v>0</v>
      </c>
      <c r="F952" s="10"/>
      <c r="G952" s="10"/>
      <c r="H952" s="9"/>
      <c r="I952" s="7"/>
      <c r="J952" s="7"/>
      <c r="K952" s="7">
        <f ca="1">IFERROR(IF(COUNTA(J$56:J952)=J$54,J952,FORECAST(D952,OFFSET(M$56:M$254,MATCH(D952,L$56:L$254,1)-1,0,2), OFFSET(L$56:L$254,MATCH(D952,L$56:L$254,1)-1,0,2))),"")</f>
        <v>0</v>
      </c>
      <c r="L952" s="7" t="str">
        <f t="array" ref="L952">IFERROR(INDEX(D$56:D$1054,SMALL(IF(ISNUMBER(J$56:J$1054),ROW(D$1:D$999),""),ROW(D897))),"")</f>
        <v/>
      </c>
      <c r="M952" s="7" t="str">
        <f t="array" ref="M952">IFERROR(INDEX(J$56:J$1054,SMALL(IF(ISNUMBER(J$56:J$1054),ROW(J$1:J$999),""),ROW(J897))),"")</f>
        <v/>
      </c>
      <c r="N952" s="7"/>
      <c r="O952" s="7"/>
      <c r="P952" s="7"/>
      <c r="Q952" s="7">
        <f ca="1">IFERROR(IF(COUNTA(P$56:P952)=P$54,P952,FORECAST(D952,OFFSET(S$56:S$254,MATCH(D952,R$56:R$254,1)-1,0,2), OFFSET(R$56:R$254,MATCH(D952,R$56:R$254,1)-1,0,2))),"")</f>
        <v>0</v>
      </c>
      <c r="R952" s="7" t="str">
        <f t="array" ref="R952">IFERROR(INDEX(E$56:E$1054,SMALL(IF(ISNUMBER(P$56:P$1054),ROW(E$1:E$999),""),ROW(J897))),"")</f>
        <v/>
      </c>
      <c r="S952" s="7" t="str">
        <f t="array" ref="S952">IFERROR(INDEX(P$56:P$1054,SMALL(IF(ISNUMBER(P$56:P$1054),ROW(P$1:P$999),""),ROW(P897))),"")</f>
        <v/>
      </c>
      <c r="T952" s="7"/>
      <c r="U952" s="7"/>
      <c r="V952" s="7"/>
    </row>
    <row r="953" spans="1:22" x14ac:dyDescent="0.25">
      <c r="A953" s="6"/>
      <c r="B953" s="11"/>
      <c r="C953" s="12"/>
      <c r="D953" s="12"/>
      <c r="E953" s="8">
        <f t="shared" si="13"/>
        <v>0</v>
      </c>
      <c r="F953" s="10"/>
      <c r="G953" s="10"/>
      <c r="H953" s="9"/>
      <c r="I953" s="7"/>
      <c r="J953" s="7"/>
      <c r="K953" s="7">
        <f ca="1">IFERROR(IF(COUNTA(J$56:J953)=J$54,J953,FORECAST(D953,OFFSET(M$56:M$254,MATCH(D953,L$56:L$254,1)-1,0,2), OFFSET(L$56:L$254,MATCH(D953,L$56:L$254,1)-1,0,2))),"")</f>
        <v>0</v>
      </c>
      <c r="L953" s="7" t="str">
        <f t="array" ref="L953">IFERROR(INDEX(D$56:D$1054,SMALL(IF(ISNUMBER(J$56:J$1054),ROW(D$1:D$999),""),ROW(D898))),"")</f>
        <v/>
      </c>
      <c r="M953" s="7" t="str">
        <f t="array" ref="M953">IFERROR(INDEX(J$56:J$1054,SMALL(IF(ISNUMBER(J$56:J$1054),ROW(J$1:J$999),""),ROW(J898))),"")</f>
        <v/>
      </c>
      <c r="N953" s="7"/>
      <c r="O953" s="7"/>
      <c r="P953" s="7"/>
      <c r="Q953" s="7">
        <f ca="1">IFERROR(IF(COUNTA(P$56:P953)=P$54,P953,FORECAST(D953,OFFSET(S$56:S$254,MATCH(D953,R$56:R$254,1)-1,0,2), OFFSET(R$56:R$254,MATCH(D953,R$56:R$254,1)-1,0,2))),"")</f>
        <v>0</v>
      </c>
      <c r="R953" s="7" t="str">
        <f t="array" ref="R953">IFERROR(INDEX(E$56:E$1054,SMALL(IF(ISNUMBER(P$56:P$1054),ROW(E$1:E$999),""),ROW(J898))),"")</f>
        <v/>
      </c>
      <c r="S953" s="7" t="str">
        <f t="array" ref="S953">IFERROR(INDEX(P$56:P$1054,SMALL(IF(ISNUMBER(P$56:P$1054),ROW(P$1:P$999),""),ROW(P898))),"")</f>
        <v/>
      </c>
      <c r="T953" s="7"/>
      <c r="U953" s="7"/>
      <c r="V953" s="7"/>
    </row>
    <row r="954" spans="1:22" x14ac:dyDescent="0.25">
      <c r="A954" s="6"/>
      <c r="B954" s="11"/>
      <c r="C954" s="12"/>
      <c r="D954" s="12"/>
      <c r="E954" s="8">
        <f t="shared" ref="E954:E1017" si="14">IF(NOT(ISBLANK(D954)),D954+C$54,0)</f>
        <v>0</v>
      </c>
      <c r="F954" s="10"/>
      <c r="G954" s="10"/>
      <c r="H954" s="9"/>
      <c r="I954" s="7"/>
      <c r="J954" s="7"/>
      <c r="K954" s="7">
        <f ca="1">IFERROR(IF(COUNTA(J$56:J954)=J$54,J954,FORECAST(D954,OFFSET(M$56:M$254,MATCH(D954,L$56:L$254,1)-1,0,2), OFFSET(L$56:L$254,MATCH(D954,L$56:L$254,1)-1,0,2))),"")</f>
        <v>0</v>
      </c>
      <c r="L954" s="7" t="str">
        <f t="array" ref="L954">IFERROR(INDEX(D$56:D$1054,SMALL(IF(ISNUMBER(J$56:J$1054),ROW(D$1:D$999),""),ROW(D899))),"")</f>
        <v/>
      </c>
      <c r="M954" s="7" t="str">
        <f t="array" ref="M954">IFERROR(INDEX(J$56:J$1054,SMALL(IF(ISNUMBER(J$56:J$1054),ROW(J$1:J$999),""),ROW(J899))),"")</f>
        <v/>
      </c>
      <c r="N954" s="7"/>
      <c r="O954" s="7"/>
      <c r="P954" s="7"/>
      <c r="Q954" s="7">
        <f ca="1">IFERROR(IF(COUNTA(P$56:P954)=P$54,P954,FORECAST(D954,OFFSET(S$56:S$254,MATCH(D954,R$56:R$254,1)-1,0,2), OFFSET(R$56:R$254,MATCH(D954,R$56:R$254,1)-1,0,2))),"")</f>
        <v>0</v>
      </c>
      <c r="R954" s="7" t="str">
        <f t="array" ref="R954">IFERROR(INDEX(E$56:E$1054,SMALL(IF(ISNUMBER(P$56:P$1054),ROW(E$1:E$999),""),ROW(J899))),"")</f>
        <v/>
      </c>
      <c r="S954" s="7" t="str">
        <f t="array" ref="S954">IFERROR(INDEX(P$56:P$1054,SMALL(IF(ISNUMBER(P$56:P$1054),ROW(P$1:P$999),""),ROW(P899))),"")</f>
        <v/>
      </c>
      <c r="T954" s="7"/>
      <c r="U954" s="7"/>
      <c r="V954" s="7"/>
    </row>
    <row r="955" spans="1:22" x14ac:dyDescent="0.25">
      <c r="A955" s="6"/>
      <c r="B955" s="11"/>
      <c r="C955" s="12"/>
      <c r="D955" s="12"/>
      <c r="E955" s="8">
        <f t="shared" si="14"/>
        <v>0</v>
      </c>
      <c r="F955" s="10"/>
      <c r="G955" s="10"/>
      <c r="H955" s="9"/>
      <c r="I955" s="7"/>
      <c r="J955" s="7"/>
      <c r="K955" s="7">
        <f ca="1">IFERROR(IF(COUNTA(J$56:J955)=J$54,J955,FORECAST(D955,OFFSET(M$56:M$254,MATCH(D955,L$56:L$254,1)-1,0,2), OFFSET(L$56:L$254,MATCH(D955,L$56:L$254,1)-1,0,2))),"")</f>
        <v>0</v>
      </c>
      <c r="L955" s="7" t="str">
        <f t="array" ref="L955">IFERROR(INDEX(D$56:D$1054,SMALL(IF(ISNUMBER(J$56:J$1054),ROW(D$1:D$999),""),ROW(D900))),"")</f>
        <v/>
      </c>
      <c r="M955" s="7" t="str">
        <f t="array" ref="M955">IFERROR(INDEX(J$56:J$1054,SMALL(IF(ISNUMBER(J$56:J$1054),ROW(J$1:J$999),""),ROW(J900))),"")</f>
        <v/>
      </c>
      <c r="N955" s="7"/>
      <c r="O955" s="7"/>
      <c r="P955" s="7"/>
      <c r="Q955" s="7">
        <f ca="1">IFERROR(IF(COUNTA(P$56:P955)=P$54,P955,FORECAST(D955,OFFSET(S$56:S$254,MATCH(D955,R$56:R$254,1)-1,0,2), OFFSET(R$56:R$254,MATCH(D955,R$56:R$254,1)-1,0,2))),"")</f>
        <v>0</v>
      </c>
      <c r="R955" s="7" t="str">
        <f t="array" ref="R955">IFERROR(INDEX(E$56:E$1054,SMALL(IF(ISNUMBER(P$56:P$1054),ROW(E$1:E$999),""),ROW(J900))),"")</f>
        <v/>
      </c>
      <c r="S955" s="7" t="str">
        <f t="array" ref="S955">IFERROR(INDEX(P$56:P$1054,SMALL(IF(ISNUMBER(P$56:P$1054),ROW(P$1:P$999),""),ROW(P900))),"")</f>
        <v/>
      </c>
      <c r="T955" s="7"/>
      <c r="U955" s="7"/>
      <c r="V955" s="7"/>
    </row>
    <row r="956" spans="1:22" x14ac:dyDescent="0.25">
      <c r="A956" s="6"/>
      <c r="B956" s="11"/>
      <c r="C956" s="12"/>
      <c r="D956" s="12"/>
      <c r="E956" s="8">
        <f t="shared" si="14"/>
        <v>0</v>
      </c>
      <c r="F956" s="10"/>
      <c r="G956" s="10"/>
      <c r="H956" s="9"/>
      <c r="I956" s="7"/>
      <c r="J956" s="7"/>
      <c r="K956" s="7">
        <f ca="1">IFERROR(IF(COUNTA(J$56:J956)=J$54,J956,FORECAST(D956,OFFSET(M$56:M$254,MATCH(D956,L$56:L$254,1)-1,0,2), OFFSET(L$56:L$254,MATCH(D956,L$56:L$254,1)-1,0,2))),"")</f>
        <v>0</v>
      </c>
      <c r="L956" s="7" t="str">
        <f t="array" ref="L956">IFERROR(INDEX(D$56:D$1054,SMALL(IF(ISNUMBER(J$56:J$1054),ROW(D$1:D$999),""),ROW(D901))),"")</f>
        <v/>
      </c>
      <c r="M956" s="7" t="str">
        <f t="array" ref="M956">IFERROR(INDEX(J$56:J$1054,SMALL(IF(ISNUMBER(J$56:J$1054),ROW(J$1:J$999),""),ROW(J901))),"")</f>
        <v/>
      </c>
      <c r="N956" s="7"/>
      <c r="O956" s="7"/>
      <c r="P956" s="7"/>
      <c r="Q956" s="7">
        <f ca="1">IFERROR(IF(COUNTA(P$56:P956)=P$54,P956,FORECAST(D956,OFFSET(S$56:S$254,MATCH(D956,R$56:R$254,1)-1,0,2), OFFSET(R$56:R$254,MATCH(D956,R$56:R$254,1)-1,0,2))),"")</f>
        <v>0</v>
      </c>
      <c r="R956" s="7" t="str">
        <f t="array" ref="R956">IFERROR(INDEX(E$56:E$1054,SMALL(IF(ISNUMBER(P$56:P$1054),ROW(E$1:E$999),""),ROW(J901))),"")</f>
        <v/>
      </c>
      <c r="S956" s="7" t="str">
        <f t="array" ref="S956">IFERROR(INDEX(P$56:P$1054,SMALL(IF(ISNUMBER(P$56:P$1054),ROW(P$1:P$999),""),ROW(P901))),"")</f>
        <v/>
      </c>
      <c r="T956" s="7"/>
      <c r="U956" s="7"/>
      <c r="V956" s="7"/>
    </row>
    <row r="957" spans="1:22" x14ac:dyDescent="0.25">
      <c r="A957" s="6"/>
      <c r="B957" s="11"/>
      <c r="C957" s="12"/>
      <c r="D957" s="12"/>
      <c r="E957" s="8">
        <f t="shared" si="14"/>
        <v>0</v>
      </c>
      <c r="F957" s="10"/>
      <c r="G957" s="10"/>
      <c r="H957" s="9"/>
      <c r="I957" s="7"/>
      <c r="J957" s="7"/>
      <c r="K957" s="7">
        <f ca="1">IFERROR(IF(COUNTA(J$56:J957)=J$54,J957,FORECAST(D957,OFFSET(M$56:M$254,MATCH(D957,L$56:L$254,1)-1,0,2), OFFSET(L$56:L$254,MATCH(D957,L$56:L$254,1)-1,0,2))),"")</f>
        <v>0</v>
      </c>
      <c r="L957" s="7" t="str">
        <f t="array" ref="L957">IFERROR(INDEX(D$56:D$1054,SMALL(IF(ISNUMBER(J$56:J$1054),ROW(D$1:D$999),""),ROW(D902))),"")</f>
        <v/>
      </c>
      <c r="M957" s="7" t="str">
        <f t="array" ref="M957">IFERROR(INDEX(J$56:J$1054,SMALL(IF(ISNUMBER(J$56:J$1054),ROW(J$1:J$999),""),ROW(J902))),"")</f>
        <v/>
      </c>
      <c r="N957" s="7"/>
      <c r="O957" s="7"/>
      <c r="P957" s="7"/>
      <c r="Q957" s="7">
        <f ca="1">IFERROR(IF(COUNTA(P$56:P957)=P$54,P957,FORECAST(D957,OFFSET(S$56:S$254,MATCH(D957,R$56:R$254,1)-1,0,2), OFFSET(R$56:R$254,MATCH(D957,R$56:R$254,1)-1,0,2))),"")</f>
        <v>0</v>
      </c>
      <c r="R957" s="7" t="str">
        <f t="array" ref="R957">IFERROR(INDEX(E$56:E$1054,SMALL(IF(ISNUMBER(P$56:P$1054),ROW(E$1:E$999),""),ROW(J902))),"")</f>
        <v/>
      </c>
      <c r="S957" s="7" t="str">
        <f t="array" ref="S957">IFERROR(INDEX(P$56:P$1054,SMALL(IF(ISNUMBER(P$56:P$1054),ROW(P$1:P$999),""),ROW(P902))),"")</f>
        <v/>
      </c>
      <c r="T957" s="7"/>
      <c r="U957" s="7"/>
      <c r="V957" s="7"/>
    </row>
    <row r="958" spans="1:22" x14ac:dyDescent="0.25">
      <c r="A958" s="6"/>
      <c r="B958" s="11"/>
      <c r="C958" s="12"/>
      <c r="D958" s="12"/>
      <c r="E958" s="8">
        <f t="shared" si="14"/>
        <v>0</v>
      </c>
      <c r="F958" s="10"/>
      <c r="G958" s="10"/>
      <c r="H958" s="9"/>
      <c r="I958" s="7"/>
      <c r="J958" s="7"/>
      <c r="K958" s="7">
        <f ca="1">IFERROR(IF(COUNTA(J$56:J958)=J$54,J958,FORECAST(D958,OFFSET(M$56:M$254,MATCH(D958,L$56:L$254,1)-1,0,2), OFFSET(L$56:L$254,MATCH(D958,L$56:L$254,1)-1,0,2))),"")</f>
        <v>0</v>
      </c>
      <c r="L958" s="7" t="str">
        <f t="array" ref="L958">IFERROR(INDEX(D$56:D$1054,SMALL(IF(ISNUMBER(J$56:J$1054),ROW(D$1:D$999),""),ROW(D903))),"")</f>
        <v/>
      </c>
      <c r="M958" s="7" t="str">
        <f t="array" ref="M958">IFERROR(INDEX(J$56:J$1054,SMALL(IF(ISNUMBER(J$56:J$1054),ROW(J$1:J$999),""),ROW(J903))),"")</f>
        <v/>
      </c>
      <c r="N958" s="7"/>
      <c r="O958" s="7"/>
      <c r="P958" s="7"/>
      <c r="Q958" s="7">
        <f ca="1">IFERROR(IF(COUNTA(P$56:P958)=P$54,P958,FORECAST(D958,OFFSET(S$56:S$254,MATCH(D958,R$56:R$254,1)-1,0,2), OFFSET(R$56:R$254,MATCH(D958,R$56:R$254,1)-1,0,2))),"")</f>
        <v>0</v>
      </c>
      <c r="R958" s="7" t="str">
        <f t="array" ref="R958">IFERROR(INDEX(E$56:E$1054,SMALL(IF(ISNUMBER(P$56:P$1054),ROW(E$1:E$999),""),ROW(J903))),"")</f>
        <v/>
      </c>
      <c r="S958" s="7" t="str">
        <f t="array" ref="S958">IFERROR(INDEX(P$56:P$1054,SMALL(IF(ISNUMBER(P$56:P$1054),ROW(P$1:P$999),""),ROW(P903))),"")</f>
        <v/>
      </c>
      <c r="T958" s="7"/>
      <c r="U958" s="7"/>
      <c r="V958" s="7"/>
    </row>
    <row r="959" spans="1:22" x14ac:dyDescent="0.25">
      <c r="A959" s="6"/>
      <c r="B959" s="11"/>
      <c r="C959" s="12"/>
      <c r="D959" s="12"/>
      <c r="E959" s="8">
        <f t="shared" si="14"/>
        <v>0</v>
      </c>
      <c r="F959" s="10"/>
      <c r="G959" s="10"/>
      <c r="H959" s="9"/>
      <c r="I959" s="7"/>
      <c r="J959" s="7"/>
      <c r="K959" s="7">
        <f ca="1">IFERROR(IF(COUNTA(J$56:J959)=J$54,J959,FORECAST(D959,OFFSET(M$56:M$254,MATCH(D959,L$56:L$254,1)-1,0,2), OFFSET(L$56:L$254,MATCH(D959,L$56:L$254,1)-1,0,2))),"")</f>
        <v>0</v>
      </c>
      <c r="L959" s="7" t="str">
        <f t="array" ref="L959">IFERROR(INDEX(D$56:D$1054,SMALL(IF(ISNUMBER(J$56:J$1054),ROW(D$1:D$999),""),ROW(D904))),"")</f>
        <v/>
      </c>
      <c r="M959" s="7" t="str">
        <f t="array" ref="M959">IFERROR(INDEX(J$56:J$1054,SMALL(IF(ISNUMBER(J$56:J$1054),ROW(J$1:J$999),""),ROW(J904))),"")</f>
        <v/>
      </c>
      <c r="N959" s="7"/>
      <c r="O959" s="7"/>
      <c r="P959" s="7"/>
      <c r="Q959" s="7">
        <f ca="1">IFERROR(IF(COUNTA(P$56:P959)=P$54,P959,FORECAST(D959,OFFSET(S$56:S$254,MATCH(D959,R$56:R$254,1)-1,0,2), OFFSET(R$56:R$254,MATCH(D959,R$56:R$254,1)-1,0,2))),"")</f>
        <v>0</v>
      </c>
      <c r="R959" s="7" t="str">
        <f t="array" ref="R959">IFERROR(INDEX(E$56:E$1054,SMALL(IF(ISNUMBER(P$56:P$1054),ROW(E$1:E$999),""),ROW(J904))),"")</f>
        <v/>
      </c>
      <c r="S959" s="7" t="str">
        <f t="array" ref="S959">IFERROR(INDEX(P$56:P$1054,SMALL(IF(ISNUMBER(P$56:P$1054),ROW(P$1:P$999),""),ROW(P904))),"")</f>
        <v/>
      </c>
      <c r="T959" s="7"/>
      <c r="U959" s="7"/>
      <c r="V959" s="7"/>
    </row>
    <row r="960" spans="1:22" x14ac:dyDescent="0.25">
      <c r="A960" s="6"/>
      <c r="B960" s="11"/>
      <c r="C960" s="12"/>
      <c r="D960" s="12"/>
      <c r="E960" s="8">
        <f t="shared" si="14"/>
        <v>0</v>
      </c>
      <c r="F960" s="10"/>
      <c r="G960" s="10"/>
      <c r="H960" s="9"/>
      <c r="I960" s="7"/>
      <c r="J960" s="7"/>
      <c r="K960" s="7">
        <f ca="1">IFERROR(IF(COUNTA(J$56:J960)=J$54,J960,FORECAST(D960,OFFSET(M$56:M$254,MATCH(D960,L$56:L$254,1)-1,0,2), OFFSET(L$56:L$254,MATCH(D960,L$56:L$254,1)-1,0,2))),"")</f>
        <v>0</v>
      </c>
      <c r="L960" s="7" t="str">
        <f t="array" ref="L960">IFERROR(INDEX(D$56:D$1054,SMALL(IF(ISNUMBER(J$56:J$1054),ROW(D$1:D$999),""),ROW(D905))),"")</f>
        <v/>
      </c>
      <c r="M960" s="7" t="str">
        <f t="array" ref="M960">IFERROR(INDEX(J$56:J$1054,SMALL(IF(ISNUMBER(J$56:J$1054),ROW(J$1:J$999),""),ROW(J905))),"")</f>
        <v/>
      </c>
      <c r="N960" s="7"/>
      <c r="O960" s="7"/>
      <c r="P960" s="7"/>
      <c r="Q960" s="7">
        <f ca="1">IFERROR(IF(COUNTA(P$56:P960)=P$54,P960,FORECAST(D960,OFFSET(S$56:S$254,MATCH(D960,R$56:R$254,1)-1,0,2), OFFSET(R$56:R$254,MATCH(D960,R$56:R$254,1)-1,0,2))),"")</f>
        <v>0</v>
      </c>
      <c r="R960" s="7" t="str">
        <f t="array" ref="R960">IFERROR(INDEX(E$56:E$1054,SMALL(IF(ISNUMBER(P$56:P$1054),ROW(E$1:E$999),""),ROW(J905))),"")</f>
        <v/>
      </c>
      <c r="S960" s="7" t="str">
        <f t="array" ref="S960">IFERROR(INDEX(P$56:P$1054,SMALL(IF(ISNUMBER(P$56:P$1054),ROW(P$1:P$999),""),ROW(P905))),"")</f>
        <v/>
      </c>
      <c r="T960" s="7"/>
      <c r="U960" s="7"/>
      <c r="V960" s="7"/>
    </row>
    <row r="961" spans="1:22" x14ac:dyDescent="0.25">
      <c r="A961" s="6"/>
      <c r="B961" s="11"/>
      <c r="C961" s="12"/>
      <c r="D961" s="12"/>
      <c r="E961" s="8">
        <f t="shared" si="14"/>
        <v>0</v>
      </c>
      <c r="F961" s="10"/>
      <c r="G961" s="10"/>
      <c r="H961" s="9"/>
      <c r="I961" s="7"/>
      <c r="J961" s="7"/>
      <c r="K961" s="7">
        <f ca="1">IFERROR(IF(COUNTA(J$56:J961)=J$54,J961,FORECAST(D961,OFFSET(M$56:M$254,MATCH(D961,L$56:L$254,1)-1,0,2), OFFSET(L$56:L$254,MATCH(D961,L$56:L$254,1)-1,0,2))),"")</f>
        <v>0</v>
      </c>
      <c r="L961" s="7" t="str">
        <f t="array" ref="L961">IFERROR(INDEX(D$56:D$1054,SMALL(IF(ISNUMBER(J$56:J$1054),ROW(D$1:D$999),""),ROW(D906))),"")</f>
        <v/>
      </c>
      <c r="M961" s="7" t="str">
        <f t="array" ref="M961">IFERROR(INDEX(J$56:J$1054,SMALL(IF(ISNUMBER(J$56:J$1054),ROW(J$1:J$999),""),ROW(J906))),"")</f>
        <v/>
      </c>
      <c r="N961" s="7"/>
      <c r="O961" s="7"/>
      <c r="P961" s="7"/>
      <c r="Q961" s="7">
        <f ca="1">IFERROR(IF(COUNTA(P$56:P961)=P$54,P961,FORECAST(D961,OFFSET(S$56:S$254,MATCH(D961,R$56:R$254,1)-1,0,2), OFFSET(R$56:R$254,MATCH(D961,R$56:R$254,1)-1,0,2))),"")</f>
        <v>0</v>
      </c>
      <c r="R961" s="7" t="str">
        <f t="array" ref="R961">IFERROR(INDEX(E$56:E$1054,SMALL(IF(ISNUMBER(P$56:P$1054),ROW(E$1:E$999),""),ROW(J906))),"")</f>
        <v/>
      </c>
      <c r="S961" s="7" t="str">
        <f t="array" ref="S961">IFERROR(INDEX(P$56:P$1054,SMALL(IF(ISNUMBER(P$56:P$1054),ROW(P$1:P$999),""),ROW(P906))),"")</f>
        <v/>
      </c>
      <c r="T961" s="7"/>
      <c r="U961" s="7"/>
      <c r="V961" s="7"/>
    </row>
    <row r="962" spans="1:22" x14ac:dyDescent="0.25">
      <c r="A962" s="6"/>
      <c r="B962" s="11"/>
      <c r="C962" s="12"/>
      <c r="D962" s="12"/>
      <c r="E962" s="8">
        <f t="shared" si="14"/>
        <v>0</v>
      </c>
      <c r="F962" s="10"/>
      <c r="G962" s="10"/>
      <c r="H962" s="9"/>
      <c r="I962" s="7"/>
      <c r="J962" s="7"/>
      <c r="K962" s="7">
        <f ca="1">IFERROR(IF(COUNTA(J$56:J962)=J$54,J962,FORECAST(D962,OFFSET(M$56:M$254,MATCH(D962,L$56:L$254,1)-1,0,2), OFFSET(L$56:L$254,MATCH(D962,L$56:L$254,1)-1,0,2))),"")</f>
        <v>0</v>
      </c>
      <c r="L962" s="7" t="str">
        <f t="array" ref="L962">IFERROR(INDEX(D$56:D$1054,SMALL(IF(ISNUMBER(J$56:J$1054),ROW(D$1:D$999),""),ROW(D907))),"")</f>
        <v/>
      </c>
      <c r="M962" s="7" t="str">
        <f t="array" ref="M962">IFERROR(INDEX(J$56:J$1054,SMALL(IF(ISNUMBER(J$56:J$1054),ROW(J$1:J$999),""),ROW(J907))),"")</f>
        <v/>
      </c>
      <c r="N962" s="7"/>
      <c r="O962" s="7"/>
      <c r="P962" s="7"/>
      <c r="Q962" s="7">
        <f ca="1">IFERROR(IF(COUNTA(P$56:P962)=P$54,P962,FORECAST(D962,OFFSET(S$56:S$254,MATCH(D962,R$56:R$254,1)-1,0,2), OFFSET(R$56:R$254,MATCH(D962,R$56:R$254,1)-1,0,2))),"")</f>
        <v>0</v>
      </c>
      <c r="R962" s="7" t="str">
        <f t="array" ref="R962">IFERROR(INDEX(E$56:E$1054,SMALL(IF(ISNUMBER(P$56:P$1054),ROW(E$1:E$999),""),ROW(J907))),"")</f>
        <v/>
      </c>
      <c r="S962" s="7" t="str">
        <f t="array" ref="S962">IFERROR(INDEX(P$56:P$1054,SMALL(IF(ISNUMBER(P$56:P$1054),ROW(P$1:P$999),""),ROW(P907))),"")</f>
        <v/>
      </c>
      <c r="T962" s="7"/>
      <c r="U962" s="7"/>
      <c r="V962" s="7"/>
    </row>
    <row r="963" spans="1:22" x14ac:dyDescent="0.25">
      <c r="A963" s="6"/>
      <c r="B963" s="11"/>
      <c r="C963" s="12"/>
      <c r="D963" s="12"/>
      <c r="E963" s="8">
        <f t="shared" si="14"/>
        <v>0</v>
      </c>
      <c r="F963" s="10"/>
      <c r="G963" s="10"/>
      <c r="H963" s="9"/>
      <c r="I963" s="7"/>
      <c r="J963" s="7"/>
      <c r="K963" s="7">
        <f ca="1">IFERROR(IF(COUNTA(J$56:J963)=J$54,J963,FORECAST(D963,OFFSET(M$56:M$254,MATCH(D963,L$56:L$254,1)-1,0,2), OFFSET(L$56:L$254,MATCH(D963,L$56:L$254,1)-1,0,2))),"")</f>
        <v>0</v>
      </c>
      <c r="L963" s="7" t="str">
        <f t="array" ref="L963">IFERROR(INDEX(D$56:D$1054,SMALL(IF(ISNUMBER(J$56:J$1054),ROW(D$1:D$999),""),ROW(D908))),"")</f>
        <v/>
      </c>
      <c r="M963" s="7" t="str">
        <f t="array" ref="M963">IFERROR(INDEX(J$56:J$1054,SMALL(IF(ISNUMBER(J$56:J$1054),ROW(J$1:J$999),""),ROW(J908))),"")</f>
        <v/>
      </c>
      <c r="N963" s="7"/>
      <c r="O963" s="7"/>
      <c r="P963" s="7"/>
      <c r="Q963" s="7">
        <f ca="1">IFERROR(IF(COUNTA(P$56:P963)=P$54,P963,FORECAST(D963,OFFSET(S$56:S$254,MATCH(D963,R$56:R$254,1)-1,0,2), OFFSET(R$56:R$254,MATCH(D963,R$56:R$254,1)-1,0,2))),"")</f>
        <v>0</v>
      </c>
      <c r="R963" s="7" t="str">
        <f t="array" ref="R963">IFERROR(INDEX(E$56:E$1054,SMALL(IF(ISNUMBER(P$56:P$1054),ROW(E$1:E$999),""),ROW(J908))),"")</f>
        <v/>
      </c>
      <c r="S963" s="7" t="str">
        <f t="array" ref="S963">IFERROR(INDEX(P$56:P$1054,SMALL(IF(ISNUMBER(P$56:P$1054),ROW(P$1:P$999),""),ROW(P908))),"")</f>
        <v/>
      </c>
      <c r="T963" s="7"/>
      <c r="U963" s="7"/>
      <c r="V963" s="7"/>
    </row>
    <row r="964" spans="1:22" x14ac:dyDescent="0.25">
      <c r="A964" s="6"/>
      <c r="B964" s="11"/>
      <c r="C964" s="12"/>
      <c r="D964" s="12"/>
      <c r="E964" s="8">
        <f t="shared" si="14"/>
        <v>0</v>
      </c>
      <c r="F964" s="10"/>
      <c r="G964" s="10"/>
      <c r="H964" s="9"/>
      <c r="I964" s="7"/>
      <c r="J964" s="7"/>
      <c r="K964" s="7">
        <f ca="1">IFERROR(IF(COUNTA(J$56:J964)=J$54,J964,FORECAST(D964,OFFSET(M$56:M$254,MATCH(D964,L$56:L$254,1)-1,0,2), OFFSET(L$56:L$254,MATCH(D964,L$56:L$254,1)-1,0,2))),"")</f>
        <v>0</v>
      </c>
      <c r="L964" s="7" t="str">
        <f t="array" ref="L964">IFERROR(INDEX(D$56:D$1054,SMALL(IF(ISNUMBER(J$56:J$1054),ROW(D$1:D$999),""),ROW(D909))),"")</f>
        <v/>
      </c>
      <c r="M964" s="7" t="str">
        <f t="array" ref="M964">IFERROR(INDEX(J$56:J$1054,SMALL(IF(ISNUMBER(J$56:J$1054),ROW(J$1:J$999),""),ROW(J909))),"")</f>
        <v/>
      </c>
      <c r="N964" s="7"/>
      <c r="O964" s="7"/>
      <c r="P964" s="7"/>
      <c r="Q964" s="7">
        <f ca="1">IFERROR(IF(COUNTA(P$56:P964)=P$54,P964,FORECAST(D964,OFFSET(S$56:S$254,MATCH(D964,R$56:R$254,1)-1,0,2), OFFSET(R$56:R$254,MATCH(D964,R$56:R$254,1)-1,0,2))),"")</f>
        <v>0</v>
      </c>
      <c r="R964" s="7" t="str">
        <f t="array" ref="R964">IFERROR(INDEX(E$56:E$1054,SMALL(IF(ISNUMBER(P$56:P$1054),ROW(E$1:E$999),""),ROW(J909))),"")</f>
        <v/>
      </c>
      <c r="S964" s="7" t="str">
        <f t="array" ref="S964">IFERROR(INDEX(P$56:P$1054,SMALL(IF(ISNUMBER(P$56:P$1054),ROW(P$1:P$999),""),ROW(P909))),"")</f>
        <v/>
      </c>
      <c r="T964" s="7"/>
      <c r="U964" s="7"/>
      <c r="V964" s="7"/>
    </row>
    <row r="965" spans="1:22" x14ac:dyDescent="0.25">
      <c r="A965" s="6"/>
      <c r="B965" s="11"/>
      <c r="C965" s="12"/>
      <c r="D965" s="12"/>
      <c r="E965" s="8">
        <f t="shared" si="14"/>
        <v>0</v>
      </c>
      <c r="F965" s="10"/>
      <c r="G965" s="10"/>
      <c r="H965" s="9"/>
      <c r="I965" s="7"/>
      <c r="J965" s="7"/>
      <c r="K965" s="7">
        <f ca="1">IFERROR(IF(COUNTA(J$56:J965)=J$54,J965,FORECAST(D965,OFFSET(M$56:M$254,MATCH(D965,L$56:L$254,1)-1,0,2), OFFSET(L$56:L$254,MATCH(D965,L$56:L$254,1)-1,0,2))),"")</f>
        <v>0</v>
      </c>
      <c r="L965" s="7" t="str">
        <f t="array" ref="L965">IFERROR(INDEX(D$56:D$1054,SMALL(IF(ISNUMBER(J$56:J$1054),ROW(D$1:D$999),""),ROW(D910))),"")</f>
        <v/>
      </c>
      <c r="M965" s="7" t="str">
        <f t="array" ref="M965">IFERROR(INDEX(J$56:J$1054,SMALL(IF(ISNUMBER(J$56:J$1054),ROW(J$1:J$999),""),ROW(J910))),"")</f>
        <v/>
      </c>
      <c r="N965" s="7"/>
      <c r="O965" s="7"/>
      <c r="P965" s="7"/>
      <c r="Q965" s="7">
        <f ca="1">IFERROR(IF(COUNTA(P$56:P965)=P$54,P965,FORECAST(D965,OFFSET(S$56:S$254,MATCH(D965,R$56:R$254,1)-1,0,2), OFFSET(R$56:R$254,MATCH(D965,R$56:R$254,1)-1,0,2))),"")</f>
        <v>0</v>
      </c>
      <c r="R965" s="7" t="str">
        <f t="array" ref="R965">IFERROR(INDEX(E$56:E$1054,SMALL(IF(ISNUMBER(P$56:P$1054),ROW(E$1:E$999),""),ROW(J910))),"")</f>
        <v/>
      </c>
      <c r="S965" s="7" t="str">
        <f t="array" ref="S965">IFERROR(INDEX(P$56:P$1054,SMALL(IF(ISNUMBER(P$56:P$1054),ROW(P$1:P$999),""),ROW(P910))),"")</f>
        <v/>
      </c>
      <c r="T965" s="7"/>
      <c r="U965" s="7"/>
      <c r="V965" s="7"/>
    </row>
    <row r="966" spans="1:22" x14ac:dyDescent="0.25">
      <c r="A966" s="6"/>
      <c r="B966" s="11"/>
      <c r="C966" s="12"/>
      <c r="D966" s="12"/>
      <c r="E966" s="8">
        <f t="shared" si="14"/>
        <v>0</v>
      </c>
      <c r="F966" s="10"/>
      <c r="G966" s="10"/>
      <c r="H966" s="9"/>
      <c r="I966" s="7"/>
      <c r="J966" s="7"/>
      <c r="K966" s="7">
        <f ca="1">IFERROR(IF(COUNTA(J$56:J966)=J$54,J966,FORECAST(D966,OFFSET(M$56:M$254,MATCH(D966,L$56:L$254,1)-1,0,2), OFFSET(L$56:L$254,MATCH(D966,L$56:L$254,1)-1,0,2))),"")</f>
        <v>0</v>
      </c>
      <c r="L966" s="7" t="str">
        <f t="array" ref="L966">IFERROR(INDEX(D$56:D$1054,SMALL(IF(ISNUMBER(J$56:J$1054),ROW(D$1:D$999),""),ROW(D911))),"")</f>
        <v/>
      </c>
      <c r="M966" s="7" t="str">
        <f t="array" ref="M966">IFERROR(INDEX(J$56:J$1054,SMALL(IF(ISNUMBER(J$56:J$1054),ROW(J$1:J$999),""),ROW(J911))),"")</f>
        <v/>
      </c>
      <c r="N966" s="7"/>
      <c r="O966" s="7"/>
      <c r="P966" s="7"/>
      <c r="Q966" s="7">
        <f ca="1">IFERROR(IF(COUNTA(P$56:P966)=P$54,P966,FORECAST(D966,OFFSET(S$56:S$254,MATCH(D966,R$56:R$254,1)-1,0,2), OFFSET(R$56:R$254,MATCH(D966,R$56:R$254,1)-1,0,2))),"")</f>
        <v>0</v>
      </c>
      <c r="R966" s="7" t="str">
        <f t="array" ref="R966">IFERROR(INDEX(E$56:E$1054,SMALL(IF(ISNUMBER(P$56:P$1054),ROW(E$1:E$999),""),ROW(J911))),"")</f>
        <v/>
      </c>
      <c r="S966" s="7" t="str">
        <f t="array" ref="S966">IFERROR(INDEX(P$56:P$1054,SMALL(IF(ISNUMBER(P$56:P$1054),ROW(P$1:P$999),""),ROW(P911))),"")</f>
        <v/>
      </c>
      <c r="T966" s="7"/>
      <c r="U966" s="7"/>
      <c r="V966" s="7"/>
    </row>
    <row r="967" spans="1:22" x14ac:dyDescent="0.25">
      <c r="A967" s="6"/>
      <c r="B967" s="11"/>
      <c r="C967" s="12"/>
      <c r="D967" s="12"/>
      <c r="E967" s="8">
        <f t="shared" si="14"/>
        <v>0</v>
      </c>
      <c r="F967" s="10"/>
      <c r="G967" s="10"/>
      <c r="H967" s="9"/>
      <c r="I967" s="7"/>
      <c r="J967" s="7"/>
      <c r="K967" s="7">
        <f ca="1">IFERROR(IF(COUNTA(J$56:J967)=J$54,J967,FORECAST(D967,OFFSET(M$56:M$254,MATCH(D967,L$56:L$254,1)-1,0,2), OFFSET(L$56:L$254,MATCH(D967,L$56:L$254,1)-1,0,2))),"")</f>
        <v>0</v>
      </c>
      <c r="L967" s="7" t="str">
        <f t="array" ref="L967">IFERROR(INDEX(D$56:D$1054,SMALL(IF(ISNUMBER(J$56:J$1054),ROW(D$1:D$999),""),ROW(D912))),"")</f>
        <v/>
      </c>
      <c r="M967" s="7" t="str">
        <f t="array" ref="M967">IFERROR(INDEX(J$56:J$1054,SMALL(IF(ISNUMBER(J$56:J$1054),ROW(J$1:J$999),""),ROW(J912))),"")</f>
        <v/>
      </c>
      <c r="N967" s="7"/>
      <c r="O967" s="7"/>
      <c r="P967" s="7"/>
      <c r="Q967" s="7">
        <f ca="1">IFERROR(IF(COUNTA(P$56:P967)=P$54,P967,FORECAST(D967,OFFSET(S$56:S$254,MATCH(D967,R$56:R$254,1)-1,0,2), OFFSET(R$56:R$254,MATCH(D967,R$56:R$254,1)-1,0,2))),"")</f>
        <v>0</v>
      </c>
      <c r="R967" s="7" t="str">
        <f t="array" ref="R967">IFERROR(INDEX(E$56:E$1054,SMALL(IF(ISNUMBER(P$56:P$1054),ROW(E$1:E$999),""),ROW(J912))),"")</f>
        <v/>
      </c>
      <c r="S967" s="7" t="str">
        <f t="array" ref="S967">IFERROR(INDEX(P$56:P$1054,SMALL(IF(ISNUMBER(P$56:P$1054),ROW(P$1:P$999),""),ROW(P912))),"")</f>
        <v/>
      </c>
      <c r="T967" s="7"/>
      <c r="U967" s="7"/>
      <c r="V967" s="7"/>
    </row>
    <row r="968" spans="1:22" x14ac:dyDescent="0.25">
      <c r="A968" s="6"/>
      <c r="B968" s="11"/>
      <c r="C968" s="12"/>
      <c r="D968" s="12"/>
      <c r="E968" s="8">
        <f t="shared" si="14"/>
        <v>0</v>
      </c>
      <c r="F968" s="10"/>
      <c r="G968" s="10"/>
      <c r="H968" s="9"/>
      <c r="I968" s="7"/>
      <c r="J968" s="7"/>
      <c r="K968" s="7">
        <f ca="1">IFERROR(IF(COUNTA(J$56:J968)=J$54,J968,FORECAST(D968,OFFSET(M$56:M$254,MATCH(D968,L$56:L$254,1)-1,0,2), OFFSET(L$56:L$254,MATCH(D968,L$56:L$254,1)-1,0,2))),"")</f>
        <v>0</v>
      </c>
      <c r="L968" s="7" t="str">
        <f t="array" ref="L968">IFERROR(INDEX(D$56:D$1054,SMALL(IF(ISNUMBER(J$56:J$1054),ROW(D$1:D$999),""),ROW(D913))),"")</f>
        <v/>
      </c>
      <c r="M968" s="7" t="str">
        <f t="array" ref="M968">IFERROR(INDEX(J$56:J$1054,SMALL(IF(ISNUMBER(J$56:J$1054),ROW(J$1:J$999),""),ROW(J913))),"")</f>
        <v/>
      </c>
      <c r="N968" s="7"/>
      <c r="O968" s="7"/>
      <c r="P968" s="7"/>
      <c r="Q968" s="7">
        <f ca="1">IFERROR(IF(COUNTA(P$56:P968)=P$54,P968,FORECAST(D968,OFFSET(S$56:S$254,MATCH(D968,R$56:R$254,1)-1,0,2), OFFSET(R$56:R$254,MATCH(D968,R$56:R$254,1)-1,0,2))),"")</f>
        <v>0</v>
      </c>
      <c r="R968" s="7" t="str">
        <f t="array" ref="R968">IFERROR(INDEX(E$56:E$1054,SMALL(IF(ISNUMBER(P$56:P$1054),ROW(E$1:E$999),""),ROW(J913))),"")</f>
        <v/>
      </c>
      <c r="S968" s="7" t="str">
        <f t="array" ref="S968">IFERROR(INDEX(P$56:P$1054,SMALL(IF(ISNUMBER(P$56:P$1054),ROW(P$1:P$999),""),ROW(P913))),"")</f>
        <v/>
      </c>
      <c r="T968" s="7"/>
      <c r="U968" s="7"/>
      <c r="V968" s="7"/>
    </row>
    <row r="969" spans="1:22" x14ac:dyDescent="0.25">
      <c r="A969" s="6"/>
      <c r="B969" s="11"/>
      <c r="C969" s="12"/>
      <c r="D969" s="12"/>
      <c r="E969" s="8">
        <f t="shared" si="14"/>
        <v>0</v>
      </c>
      <c r="F969" s="10"/>
      <c r="G969" s="10"/>
      <c r="H969" s="9"/>
      <c r="I969" s="7"/>
      <c r="J969" s="7"/>
      <c r="K969" s="7">
        <f ca="1">IFERROR(IF(COUNTA(J$56:J969)=J$54,J969,FORECAST(D969,OFFSET(M$56:M$254,MATCH(D969,L$56:L$254,1)-1,0,2), OFFSET(L$56:L$254,MATCH(D969,L$56:L$254,1)-1,0,2))),"")</f>
        <v>0</v>
      </c>
      <c r="L969" s="7" t="str">
        <f t="array" ref="L969">IFERROR(INDEX(D$56:D$1054,SMALL(IF(ISNUMBER(J$56:J$1054),ROW(D$1:D$999),""),ROW(D914))),"")</f>
        <v/>
      </c>
      <c r="M969" s="7" t="str">
        <f t="array" ref="M969">IFERROR(INDEX(J$56:J$1054,SMALL(IF(ISNUMBER(J$56:J$1054),ROW(J$1:J$999),""),ROW(J914))),"")</f>
        <v/>
      </c>
      <c r="N969" s="7"/>
      <c r="O969" s="7"/>
      <c r="P969" s="7"/>
      <c r="Q969" s="7">
        <f ca="1">IFERROR(IF(COUNTA(P$56:P969)=P$54,P969,FORECAST(D969,OFFSET(S$56:S$254,MATCH(D969,R$56:R$254,1)-1,0,2), OFFSET(R$56:R$254,MATCH(D969,R$56:R$254,1)-1,0,2))),"")</f>
        <v>0</v>
      </c>
      <c r="R969" s="7" t="str">
        <f t="array" ref="R969">IFERROR(INDEX(E$56:E$1054,SMALL(IF(ISNUMBER(P$56:P$1054),ROW(E$1:E$999),""),ROW(J914))),"")</f>
        <v/>
      </c>
      <c r="S969" s="7" t="str">
        <f t="array" ref="S969">IFERROR(INDEX(P$56:P$1054,SMALL(IF(ISNUMBER(P$56:P$1054),ROW(P$1:P$999),""),ROW(P914))),"")</f>
        <v/>
      </c>
      <c r="T969" s="7"/>
      <c r="U969" s="7"/>
      <c r="V969" s="7"/>
    </row>
    <row r="970" spans="1:22" x14ac:dyDescent="0.25">
      <c r="A970" s="6"/>
      <c r="B970" s="11"/>
      <c r="C970" s="12"/>
      <c r="D970" s="12"/>
      <c r="E970" s="8">
        <f t="shared" si="14"/>
        <v>0</v>
      </c>
      <c r="F970" s="10"/>
      <c r="G970" s="10"/>
      <c r="H970" s="9"/>
      <c r="I970" s="7"/>
      <c r="J970" s="7"/>
      <c r="K970" s="7">
        <f ca="1">IFERROR(IF(COUNTA(J$56:J970)=J$54,J970,FORECAST(D970,OFFSET(M$56:M$254,MATCH(D970,L$56:L$254,1)-1,0,2), OFFSET(L$56:L$254,MATCH(D970,L$56:L$254,1)-1,0,2))),"")</f>
        <v>0</v>
      </c>
      <c r="L970" s="7" t="str">
        <f t="array" ref="L970">IFERROR(INDEX(D$56:D$1054,SMALL(IF(ISNUMBER(J$56:J$1054),ROW(D$1:D$999),""),ROW(D915))),"")</f>
        <v/>
      </c>
      <c r="M970" s="7" t="str">
        <f t="array" ref="M970">IFERROR(INDEX(J$56:J$1054,SMALL(IF(ISNUMBER(J$56:J$1054),ROW(J$1:J$999),""),ROW(J915))),"")</f>
        <v/>
      </c>
      <c r="N970" s="7"/>
      <c r="O970" s="7"/>
      <c r="P970" s="7"/>
      <c r="Q970" s="7">
        <f ca="1">IFERROR(IF(COUNTA(P$56:P970)=P$54,P970,FORECAST(D970,OFFSET(S$56:S$254,MATCH(D970,R$56:R$254,1)-1,0,2), OFFSET(R$56:R$254,MATCH(D970,R$56:R$254,1)-1,0,2))),"")</f>
        <v>0</v>
      </c>
      <c r="R970" s="7" t="str">
        <f t="array" ref="R970">IFERROR(INDEX(E$56:E$1054,SMALL(IF(ISNUMBER(P$56:P$1054),ROW(E$1:E$999),""),ROW(J915))),"")</f>
        <v/>
      </c>
      <c r="S970" s="7" t="str">
        <f t="array" ref="S970">IFERROR(INDEX(P$56:P$1054,SMALL(IF(ISNUMBER(P$56:P$1054),ROW(P$1:P$999),""),ROW(P915))),"")</f>
        <v/>
      </c>
      <c r="T970" s="7"/>
      <c r="U970" s="7"/>
      <c r="V970" s="7"/>
    </row>
    <row r="971" spans="1:22" x14ac:dyDescent="0.25">
      <c r="A971" s="6"/>
      <c r="B971" s="11"/>
      <c r="C971" s="12"/>
      <c r="D971" s="12"/>
      <c r="E971" s="8">
        <f t="shared" si="14"/>
        <v>0</v>
      </c>
      <c r="F971" s="10"/>
      <c r="G971" s="10"/>
      <c r="H971" s="9"/>
      <c r="I971" s="7"/>
      <c r="J971" s="7"/>
      <c r="K971" s="7">
        <f ca="1">IFERROR(IF(COUNTA(J$56:J971)=J$54,J971,FORECAST(D971,OFFSET(M$56:M$254,MATCH(D971,L$56:L$254,1)-1,0,2), OFFSET(L$56:L$254,MATCH(D971,L$56:L$254,1)-1,0,2))),"")</f>
        <v>0</v>
      </c>
      <c r="L971" s="7" t="str">
        <f t="array" ref="L971">IFERROR(INDEX(D$56:D$1054,SMALL(IF(ISNUMBER(J$56:J$1054),ROW(D$1:D$999),""),ROW(D916))),"")</f>
        <v/>
      </c>
      <c r="M971" s="7" t="str">
        <f t="array" ref="M971">IFERROR(INDEX(J$56:J$1054,SMALL(IF(ISNUMBER(J$56:J$1054),ROW(J$1:J$999),""),ROW(J916))),"")</f>
        <v/>
      </c>
      <c r="N971" s="7"/>
      <c r="O971" s="7"/>
      <c r="P971" s="7"/>
      <c r="Q971" s="7">
        <f ca="1">IFERROR(IF(COUNTA(P$56:P971)=P$54,P971,FORECAST(D971,OFFSET(S$56:S$254,MATCH(D971,R$56:R$254,1)-1,0,2), OFFSET(R$56:R$254,MATCH(D971,R$56:R$254,1)-1,0,2))),"")</f>
        <v>0</v>
      </c>
      <c r="R971" s="7" t="str">
        <f t="array" ref="R971">IFERROR(INDEX(E$56:E$1054,SMALL(IF(ISNUMBER(P$56:P$1054),ROW(E$1:E$999),""),ROW(J916))),"")</f>
        <v/>
      </c>
      <c r="S971" s="7" t="str">
        <f t="array" ref="S971">IFERROR(INDEX(P$56:P$1054,SMALL(IF(ISNUMBER(P$56:P$1054),ROW(P$1:P$999),""),ROW(P916))),"")</f>
        <v/>
      </c>
      <c r="T971" s="7"/>
      <c r="U971" s="7"/>
      <c r="V971" s="7"/>
    </row>
    <row r="972" spans="1:22" x14ac:dyDescent="0.25">
      <c r="A972" s="6"/>
      <c r="B972" s="11"/>
      <c r="C972" s="12"/>
      <c r="D972" s="12"/>
      <c r="E972" s="8">
        <f t="shared" si="14"/>
        <v>0</v>
      </c>
      <c r="F972" s="10"/>
      <c r="G972" s="10"/>
      <c r="H972" s="9"/>
      <c r="I972" s="7"/>
      <c r="J972" s="7"/>
      <c r="K972" s="7">
        <f ca="1">IFERROR(IF(COUNTA(J$56:J972)=J$54,J972,FORECAST(D972,OFFSET(M$56:M$254,MATCH(D972,L$56:L$254,1)-1,0,2), OFFSET(L$56:L$254,MATCH(D972,L$56:L$254,1)-1,0,2))),"")</f>
        <v>0</v>
      </c>
      <c r="L972" s="7" t="str">
        <f t="array" ref="L972">IFERROR(INDEX(D$56:D$1054,SMALL(IF(ISNUMBER(J$56:J$1054),ROW(D$1:D$999),""),ROW(D917))),"")</f>
        <v/>
      </c>
      <c r="M972" s="7" t="str">
        <f t="array" ref="M972">IFERROR(INDEX(J$56:J$1054,SMALL(IF(ISNUMBER(J$56:J$1054),ROW(J$1:J$999),""),ROW(J917))),"")</f>
        <v/>
      </c>
      <c r="N972" s="7"/>
      <c r="O972" s="7"/>
      <c r="P972" s="7"/>
      <c r="Q972" s="7">
        <f ca="1">IFERROR(IF(COUNTA(P$56:P972)=P$54,P972,FORECAST(D972,OFFSET(S$56:S$254,MATCH(D972,R$56:R$254,1)-1,0,2), OFFSET(R$56:R$254,MATCH(D972,R$56:R$254,1)-1,0,2))),"")</f>
        <v>0</v>
      </c>
      <c r="R972" s="7" t="str">
        <f t="array" ref="R972">IFERROR(INDEX(E$56:E$1054,SMALL(IF(ISNUMBER(P$56:P$1054),ROW(E$1:E$999),""),ROW(J917))),"")</f>
        <v/>
      </c>
      <c r="S972" s="7" t="str">
        <f t="array" ref="S972">IFERROR(INDEX(P$56:P$1054,SMALL(IF(ISNUMBER(P$56:P$1054),ROW(P$1:P$999),""),ROW(P917))),"")</f>
        <v/>
      </c>
      <c r="T972" s="7"/>
      <c r="U972" s="7"/>
      <c r="V972" s="7"/>
    </row>
    <row r="973" spans="1:22" x14ac:dyDescent="0.25">
      <c r="A973" s="6"/>
      <c r="B973" s="11"/>
      <c r="C973" s="12"/>
      <c r="D973" s="12"/>
      <c r="E973" s="8">
        <f t="shared" si="14"/>
        <v>0</v>
      </c>
      <c r="F973" s="10"/>
      <c r="G973" s="10"/>
      <c r="H973" s="9"/>
      <c r="I973" s="7"/>
      <c r="J973" s="7"/>
      <c r="K973" s="7">
        <f ca="1">IFERROR(IF(COUNTA(J$56:J973)=J$54,J973,FORECAST(D973,OFFSET(M$56:M$254,MATCH(D973,L$56:L$254,1)-1,0,2), OFFSET(L$56:L$254,MATCH(D973,L$56:L$254,1)-1,0,2))),"")</f>
        <v>0</v>
      </c>
      <c r="L973" s="7" t="str">
        <f t="array" ref="L973">IFERROR(INDEX(D$56:D$1054,SMALL(IF(ISNUMBER(J$56:J$1054),ROW(D$1:D$999),""),ROW(D918))),"")</f>
        <v/>
      </c>
      <c r="M973" s="7" t="str">
        <f t="array" ref="M973">IFERROR(INDEX(J$56:J$1054,SMALL(IF(ISNUMBER(J$56:J$1054),ROW(J$1:J$999),""),ROW(J918))),"")</f>
        <v/>
      </c>
      <c r="N973" s="7"/>
      <c r="O973" s="7"/>
      <c r="P973" s="7"/>
      <c r="Q973" s="7">
        <f ca="1">IFERROR(IF(COUNTA(P$56:P973)=P$54,P973,FORECAST(D973,OFFSET(S$56:S$254,MATCH(D973,R$56:R$254,1)-1,0,2), OFFSET(R$56:R$254,MATCH(D973,R$56:R$254,1)-1,0,2))),"")</f>
        <v>0</v>
      </c>
      <c r="R973" s="7" t="str">
        <f t="array" ref="R973">IFERROR(INDEX(E$56:E$1054,SMALL(IF(ISNUMBER(P$56:P$1054),ROW(E$1:E$999),""),ROW(J918))),"")</f>
        <v/>
      </c>
      <c r="S973" s="7" t="str">
        <f t="array" ref="S973">IFERROR(INDEX(P$56:P$1054,SMALL(IF(ISNUMBER(P$56:P$1054),ROW(P$1:P$999),""),ROW(P918))),"")</f>
        <v/>
      </c>
      <c r="T973" s="7"/>
      <c r="U973" s="7"/>
      <c r="V973" s="7"/>
    </row>
    <row r="974" spans="1:22" x14ac:dyDescent="0.25">
      <c r="A974" s="6"/>
      <c r="B974" s="11"/>
      <c r="C974" s="12"/>
      <c r="D974" s="12"/>
      <c r="E974" s="8">
        <f t="shared" si="14"/>
        <v>0</v>
      </c>
      <c r="F974" s="10"/>
      <c r="G974" s="10"/>
      <c r="H974" s="9"/>
      <c r="I974" s="7"/>
      <c r="J974" s="7"/>
      <c r="K974" s="7">
        <f ca="1">IFERROR(IF(COUNTA(J$56:J974)=J$54,J974,FORECAST(D974,OFFSET(M$56:M$254,MATCH(D974,L$56:L$254,1)-1,0,2), OFFSET(L$56:L$254,MATCH(D974,L$56:L$254,1)-1,0,2))),"")</f>
        <v>0</v>
      </c>
      <c r="L974" s="7" t="str">
        <f t="array" ref="L974">IFERROR(INDEX(D$56:D$1054,SMALL(IF(ISNUMBER(J$56:J$1054),ROW(D$1:D$999),""),ROW(D919))),"")</f>
        <v/>
      </c>
      <c r="M974" s="7" t="str">
        <f t="array" ref="M974">IFERROR(INDEX(J$56:J$1054,SMALL(IF(ISNUMBER(J$56:J$1054),ROW(J$1:J$999),""),ROW(J919))),"")</f>
        <v/>
      </c>
      <c r="N974" s="7"/>
      <c r="O974" s="7"/>
      <c r="P974" s="7"/>
      <c r="Q974" s="7">
        <f ca="1">IFERROR(IF(COUNTA(P$56:P974)=P$54,P974,FORECAST(D974,OFFSET(S$56:S$254,MATCH(D974,R$56:R$254,1)-1,0,2), OFFSET(R$56:R$254,MATCH(D974,R$56:R$254,1)-1,0,2))),"")</f>
        <v>0</v>
      </c>
      <c r="R974" s="7" t="str">
        <f t="array" ref="R974">IFERROR(INDEX(E$56:E$1054,SMALL(IF(ISNUMBER(P$56:P$1054),ROW(E$1:E$999),""),ROW(J919))),"")</f>
        <v/>
      </c>
      <c r="S974" s="7" t="str">
        <f t="array" ref="S974">IFERROR(INDEX(P$56:P$1054,SMALL(IF(ISNUMBER(P$56:P$1054),ROW(P$1:P$999),""),ROW(P919))),"")</f>
        <v/>
      </c>
      <c r="T974" s="7"/>
      <c r="U974" s="7"/>
      <c r="V974" s="7"/>
    </row>
    <row r="975" spans="1:22" x14ac:dyDescent="0.25">
      <c r="A975" s="6"/>
      <c r="B975" s="11"/>
      <c r="C975" s="12"/>
      <c r="D975" s="12"/>
      <c r="E975" s="8">
        <f t="shared" si="14"/>
        <v>0</v>
      </c>
      <c r="F975" s="10"/>
      <c r="G975" s="10"/>
      <c r="H975" s="9"/>
      <c r="I975" s="7"/>
      <c r="J975" s="7"/>
      <c r="K975" s="7">
        <f ca="1">IFERROR(IF(COUNTA(J$56:J975)=J$54,J975,FORECAST(D975,OFFSET(M$56:M$254,MATCH(D975,L$56:L$254,1)-1,0,2), OFFSET(L$56:L$254,MATCH(D975,L$56:L$254,1)-1,0,2))),"")</f>
        <v>0</v>
      </c>
      <c r="L975" s="7" t="str">
        <f t="array" ref="L975">IFERROR(INDEX(D$56:D$1054,SMALL(IF(ISNUMBER(J$56:J$1054),ROW(D$1:D$999),""),ROW(D920))),"")</f>
        <v/>
      </c>
      <c r="M975" s="7" t="str">
        <f t="array" ref="M975">IFERROR(INDEX(J$56:J$1054,SMALL(IF(ISNUMBER(J$56:J$1054),ROW(J$1:J$999),""),ROW(J920))),"")</f>
        <v/>
      </c>
      <c r="N975" s="7"/>
      <c r="O975" s="7"/>
      <c r="P975" s="7"/>
      <c r="Q975" s="7">
        <f ca="1">IFERROR(IF(COUNTA(P$56:P975)=P$54,P975,FORECAST(D975,OFFSET(S$56:S$254,MATCH(D975,R$56:R$254,1)-1,0,2), OFFSET(R$56:R$254,MATCH(D975,R$56:R$254,1)-1,0,2))),"")</f>
        <v>0</v>
      </c>
      <c r="R975" s="7" t="str">
        <f t="array" ref="R975">IFERROR(INDEX(E$56:E$1054,SMALL(IF(ISNUMBER(P$56:P$1054),ROW(E$1:E$999),""),ROW(J920))),"")</f>
        <v/>
      </c>
      <c r="S975" s="7" t="str">
        <f t="array" ref="S975">IFERROR(INDEX(P$56:P$1054,SMALL(IF(ISNUMBER(P$56:P$1054),ROW(P$1:P$999),""),ROW(P920))),"")</f>
        <v/>
      </c>
      <c r="T975" s="7"/>
      <c r="U975" s="7"/>
      <c r="V975" s="7"/>
    </row>
    <row r="976" spans="1:22" x14ac:dyDescent="0.25">
      <c r="A976" s="6"/>
      <c r="B976" s="11"/>
      <c r="C976" s="12"/>
      <c r="D976" s="12"/>
      <c r="E976" s="8">
        <f t="shared" si="14"/>
        <v>0</v>
      </c>
      <c r="F976" s="10"/>
      <c r="G976" s="10"/>
      <c r="H976" s="9"/>
      <c r="I976" s="7"/>
      <c r="J976" s="7"/>
      <c r="K976" s="7">
        <f ca="1">IFERROR(IF(COUNTA(J$56:J976)=J$54,J976,FORECAST(D976,OFFSET(M$56:M$254,MATCH(D976,L$56:L$254,1)-1,0,2), OFFSET(L$56:L$254,MATCH(D976,L$56:L$254,1)-1,0,2))),"")</f>
        <v>0</v>
      </c>
      <c r="L976" s="7" t="str">
        <f t="array" ref="L976">IFERROR(INDEX(D$56:D$1054,SMALL(IF(ISNUMBER(J$56:J$1054),ROW(D$1:D$999),""),ROW(D921))),"")</f>
        <v/>
      </c>
      <c r="M976" s="7" t="str">
        <f t="array" ref="M976">IFERROR(INDEX(J$56:J$1054,SMALL(IF(ISNUMBER(J$56:J$1054),ROW(J$1:J$999),""),ROW(J921))),"")</f>
        <v/>
      </c>
      <c r="N976" s="7"/>
      <c r="O976" s="7"/>
      <c r="P976" s="7"/>
      <c r="Q976" s="7">
        <f ca="1">IFERROR(IF(COUNTA(P$56:P976)=P$54,P976,FORECAST(D976,OFFSET(S$56:S$254,MATCH(D976,R$56:R$254,1)-1,0,2), OFFSET(R$56:R$254,MATCH(D976,R$56:R$254,1)-1,0,2))),"")</f>
        <v>0</v>
      </c>
      <c r="R976" s="7" t="str">
        <f t="array" ref="R976">IFERROR(INDEX(E$56:E$1054,SMALL(IF(ISNUMBER(P$56:P$1054),ROW(E$1:E$999),""),ROW(J921))),"")</f>
        <v/>
      </c>
      <c r="S976" s="7" t="str">
        <f t="array" ref="S976">IFERROR(INDEX(P$56:P$1054,SMALL(IF(ISNUMBER(P$56:P$1054),ROW(P$1:P$999),""),ROW(P921))),"")</f>
        <v/>
      </c>
      <c r="T976" s="7"/>
      <c r="U976" s="7"/>
      <c r="V976" s="7"/>
    </row>
    <row r="977" spans="1:22" x14ac:dyDescent="0.25">
      <c r="A977" s="6"/>
      <c r="B977" s="11"/>
      <c r="C977" s="12"/>
      <c r="D977" s="12"/>
      <c r="E977" s="8">
        <f t="shared" si="14"/>
        <v>0</v>
      </c>
      <c r="F977" s="10"/>
      <c r="G977" s="10"/>
      <c r="H977" s="9"/>
      <c r="I977" s="7"/>
      <c r="J977" s="7"/>
      <c r="K977" s="7">
        <f ca="1">IFERROR(IF(COUNTA(J$56:J977)=J$54,J977,FORECAST(D977,OFFSET(M$56:M$254,MATCH(D977,L$56:L$254,1)-1,0,2), OFFSET(L$56:L$254,MATCH(D977,L$56:L$254,1)-1,0,2))),"")</f>
        <v>0</v>
      </c>
      <c r="L977" s="7" t="str">
        <f t="array" ref="L977">IFERROR(INDEX(D$56:D$1054,SMALL(IF(ISNUMBER(J$56:J$1054),ROW(D$1:D$999),""),ROW(D922))),"")</f>
        <v/>
      </c>
      <c r="M977" s="7" t="str">
        <f t="array" ref="M977">IFERROR(INDEX(J$56:J$1054,SMALL(IF(ISNUMBER(J$56:J$1054),ROW(J$1:J$999),""),ROW(J922))),"")</f>
        <v/>
      </c>
      <c r="N977" s="7"/>
      <c r="O977" s="7"/>
      <c r="P977" s="7"/>
      <c r="Q977" s="7">
        <f ca="1">IFERROR(IF(COUNTA(P$56:P977)=P$54,P977,FORECAST(D977,OFFSET(S$56:S$254,MATCH(D977,R$56:R$254,1)-1,0,2), OFFSET(R$56:R$254,MATCH(D977,R$56:R$254,1)-1,0,2))),"")</f>
        <v>0</v>
      </c>
      <c r="R977" s="7" t="str">
        <f t="array" ref="R977">IFERROR(INDEX(E$56:E$1054,SMALL(IF(ISNUMBER(P$56:P$1054),ROW(E$1:E$999),""),ROW(J922))),"")</f>
        <v/>
      </c>
      <c r="S977" s="7" t="str">
        <f t="array" ref="S977">IFERROR(INDEX(P$56:P$1054,SMALL(IF(ISNUMBER(P$56:P$1054),ROW(P$1:P$999),""),ROW(P922))),"")</f>
        <v/>
      </c>
      <c r="T977" s="7"/>
      <c r="U977" s="7"/>
      <c r="V977" s="7"/>
    </row>
    <row r="978" spans="1:22" x14ac:dyDescent="0.25">
      <c r="A978" s="6"/>
      <c r="B978" s="11"/>
      <c r="C978" s="12"/>
      <c r="D978" s="12"/>
      <c r="E978" s="8">
        <f t="shared" si="14"/>
        <v>0</v>
      </c>
      <c r="F978" s="10"/>
      <c r="G978" s="10"/>
      <c r="H978" s="9"/>
      <c r="I978" s="7"/>
      <c r="J978" s="7"/>
      <c r="K978" s="7">
        <f ca="1">IFERROR(IF(COUNTA(J$56:J978)=J$54,J978,FORECAST(D978,OFFSET(M$56:M$254,MATCH(D978,L$56:L$254,1)-1,0,2), OFFSET(L$56:L$254,MATCH(D978,L$56:L$254,1)-1,0,2))),"")</f>
        <v>0</v>
      </c>
      <c r="L978" s="7" t="str">
        <f t="array" ref="L978">IFERROR(INDEX(D$56:D$1054,SMALL(IF(ISNUMBER(J$56:J$1054),ROW(D$1:D$999),""),ROW(D923))),"")</f>
        <v/>
      </c>
      <c r="M978" s="7" t="str">
        <f t="array" ref="M978">IFERROR(INDEX(J$56:J$1054,SMALL(IF(ISNUMBER(J$56:J$1054),ROW(J$1:J$999),""),ROW(J923))),"")</f>
        <v/>
      </c>
      <c r="N978" s="7"/>
      <c r="O978" s="7"/>
      <c r="P978" s="7"/>
      <c r="Q978" s="7">
        <f ca="1">IFERROR(IF(COUNTA(P$56:P978)=P$54,P978,FORECAST(D978,OFFSET(S$56:S$254,MATCH(D978,R$56:R$254,1)-1,0,2), OFFSET(R$56:R$254,MATCH(D978,R$56:R$254,1)-1,0,2))),"")</f>
        <v>0</v>
      </c>
      <c r="R978" s="7" t="str">
        <f t="array" ref="R978">IFERROR(INDEX(E$56:E$1054,SMALL(IF(ISNUMBER(P$56:P$1054),ROW(E$1:E$999),""),ROW(J923))),"")</f>
        <v/>
      </c>
      <c r="S978" s="7" t="str">
        <f t="array" ref="S978">IFERROR(INDEX(P$56:P$1054,SMALL(IF(ISNUMBER(P$56:P$1054),ROW(P$1:P$999),""),ROW(P923))),"")</f>
        <v/>
      </c>
      <c r="T978" s="7"/>
      <c r="U978" s="7"/>
      <c r="V978" s="7"/>
    </row>
    <row r="979" spans="1:22" x14ac:dyDescent="0.25">
      <c r="A979" s="6"/>
      <c r="B979" s="11"/>
      <c r="C979" s="12"/>
      <c r="D979" s="12"/>
      <c r="E979" s="8">
        <f t="shared" si="14"/>
        <v>0</v>
      </c>
      <c r="F979" s="10"/>
      <c r="G979" s="10"/>
      <c r="H979" s="9"/>
      <c r="I979" s="7"/>
      <c r="J979" s="7"/>
      <c r="K979" s="7">
        <f ca="1">IFERROR(IF(COUNTA(J$56:J979)=J$54,J979,FORECAST(D979,OFFSET(M$56:M$254,MATCH(D979,L$56:L$254,1)-1,0,2), OFFSET(L$56:L$254,MATCH(D979,L$56:L$254,1)-1,0,2))),"")</f>
        <v>0</v>
      </c>
      <c r="L979" s="7" t="str">
        <f t="array" ref="L979">IFERROR(INDEX(D$56:D$1054,SMALL(IF(ISNUMBER(J$56:J$1054),ROW(D$1:D$999),""),ROW(D924))),"")</f>
        <v/>
      </c>
      <c r="M979" s="7" t="str">
        <f t="array" ref="M979">IFERROR(INDEX(J$56:J$1054,SMALL(IF(ISNUMBER(J$56:J$1054),ROW(J$1:J$999),""),ROW(J924))),"")</f>
        <v/>
      </c>
      <c r="N979" s="7"/>
      <c r="O979" s="7"/>
      <c r="P979" s="7"/>
      <c r="Q979" s="7">
        <f ca="1">IFERROR(IF(COUNTA(P$56:P979)=P$54,P979,FORECAST(D979,OFFSET(S$56:S$254,MATCH(D979,R$56:R$254,1)-1,0,2), OFFSET(R$56:R$254,MATCH(D979,R$56:R$254,1)-1,0,2))),"")</f>
        <v>0</v>
      </c>
      <c r="R979" s="7" t="str">
        <f t="array" ref="R979">IFERROR(INDEX(E$56:E$1054,SMALL(IF(ISNUMBER(P$56:P$1054),ROW(E$1:E$999),""),ROW(J924))),"")</f>
        <v/>
      </c>
      <c r="S979" s="7" t="str">
        <f t="array" ref="S979">IFERROR(INDEX(P$56:P$1054,SMALL(IF(ISNUMBER(P$56:P$1054),ROW(P$1:P$999),""),ROW(P924))),"")</f>
        <v/>
      </c>
      <c r="T979" s="7"/>
      <c r="U979" s="7"/>
      <c r="V979" s="7"/>
    </row>
    <row r="980" spans="1:22" x14ac:dyDescent="0.25">
      <c r="A980" s="6"/>
      <c r="B980" s="11"/>
      <c r="C980" s="12"/>
      <c r="D980" s="12"/>
      <c r="E980" s="8">
        <f t="shared" si="14"/>
        <v>0</v>
      </c>
      <c r="F980" s="10"/>
      <c r="G980" s="10"/>
      <c r="H980" s="9"/>
      <c r="I980" s="7"/>
      <c r="J980" s="7"/>
      <c r="K980" s="7">
        <f ca="1">IFERROR(IF(COUNTA(J$56:J980)=J$54,J980,FORECAST(D980,OFFSET(M$56:M$254,MATCH(D980,L$56:L$254,1)-1,0,2), OFFSET(L$56:L$254,MATCH(D980,L$56:L$254,1)-1,0,2))),"")</f>
        <v>0</v>
      </c>
      <c r="L980" s="7" t="str">
        <f t="array" ref="L980">IFERROR(INDEX(D$56:D$1054,SMALL(IF(ISNUMBER(J$56:J$1054),ROW(D$1:D$999),""),ROW(D925))),"")</f>
        <v/>
      </c>
      <c r="M980" s="7" t="str">
        <f t="array" ref="M980">IFERROR(INDEX(J$56:J$1054,SMALL(IF(ISNUMBER(J$56:J$1054),ROW(J$1:J$999),""),ROW(J925))),"")</f>
        <v/>
      </c>
      <c r="N980" s="7"/>
      <c r="O980" s="7"/>
      <c r="P980" s="7"/>
      <c r="Q980" s="7">
        <f ca="1">IFERROR(IF(COUNTA(P$56:P980)=P$54,P980,FORECAST(D980,OFFSET(S$56:S$254,MATCH(D980,R$56:R$254,1)-1,0,2), OFFSET(R$56:R$254,MATCH(D980,R$56:R$254,1)-1,0,2))),"")</f>
        <v>0</v>
      </c>
      <c r="R980" s="7" t="str">
        <f t="array" ref="R980">IFERROR(INDEX(E$56:E$1054,SMALL(IF(ISNUMBER(P$56:P$1054),ROW(E$1:E$999),""),ROW(J925))),"")</f>
        <v/>
      </c>
      <c r="S980" s="7" t="str">
        <f t="array" ref="S980">IFERROR(INDEX(P$56:P$1054,SMALL(IF(ISNUMBER(P$56:P$1054),ROW(P$1:P$999),""),ROW(P925))),"")</f>
        <v/>
      </c>
      <c r="T980" s="7"/>
      <c r="U980" s="7"/>
      <c r="V980" s="7"/>
    </row>
    <row r="981" spans="1:22" x14ac:dyDescent="0.25">
      <c r="A981" s="6"/>
      <c r="B981" s="11"/>
      <c r="C981" s="12"/>
      <c r="D981" s="12"/>
      <c r="E981" s="8">
        <f t="shared" si="14"/>
        <v>0</v>
      </c>
      <c r="F981" s="10"/>
      <c r="G981" s="10"/>
      <c r="H981" s="9"/>
      <c r="I981" s="7"/>
      <c r="J981" s="7"/>
      <c r="K981" s="7">
        <f ca="1">IFERROR(IF(COUNTA(J$56:J981)=J$54,J981,FORECAST(D981,OFFSET(M$56:M$254,MATCH(D981,L$56:L$254,1)-1,0,2), OFFSET(L$56:L$254,MATCH(D981,L$56:L$254,1)-1,0,2))),"")</f>
        <v>0</v>
      </c>
      <c r="L981" s="7" t="str">
        <f t="array" ref="L981">IFERROR(INDEX(D$56:D$1054,SMALL(IF(ISNUMBER(J$56:J$1054),ROW(D$1:D$999),""),ROW(D926))),"")</f>
        <v/>
      </c>
      <c r="M981" s="7" t="str">
        <f t="array" ref="M981">IFERROR(INDEX(J$56:J$1054,SMALL(IF(ISNUMBER(J$56:J$1054),ROW(J$1:J$999),""),ROW(J926))),"")</f>
        <v/>
      </c>
      <c r="N981" s="7"/>
      <c r="O981" s="7"/>
      <c r="P981" s="7"/>
      <c r="Q981" s="7">
        <f ca="1">IFERROR(IF(COUNTA(P$56:P981)=P$54,P981,FORECAST(D981,OFFSET(S$56:S$254,MATCH(D981,R$56:R$254,1)-1,0,2), OFFSET(R$56:R$254,MATCH(D981,R$56:R$254,1)-1,0,2))),"")</f>
        <v>0</v>
      </c>
      <c r="R981" s="7" t="str">
        <f t="array" ref="R981">IFERROR(INDEX(E$56:E$1054,SMALL(IF(ISNUMBER(P$56:P$1054),ROW(E$1:E$999),""),ROW(J926))),"")</f>
        <v/>
      </c>
      <c r="S981" s="7" t="str">
        <f t="array" ref="S981">IFERROR(INDEX(P$56:P$1054,SMALL(IF(ISNUMBER(P$56:P$1054),ROW(P$1:P$999),""),ROW(P926))),"")</f>
        <v/>
      </c>
      <c r="T981" s="7"/>
      <c r="U981" s="7"/>
      <c r="V981" s="7"/>
    </row>
    <row r="982" spans="1:22" x14ac:dyDescent="0.25">
      <c r="A982" s="6"/>
      <c r="B982" s="11"/>
      <c r="C982" s="12"/>
      <c r="D982" s="12"/>
      <c r="E982" s="8">
        <f t="shared" si="14"/>
        <v>0</v>
      </c>
      <c r="F982" s="10"/>
      <c r="G982" s="10"/>
      <c r="H982" s="9"/>
      <c r="I982" s="7"/>
      <c r="J982" s="7"/>
      <c r="K982" s="7">
        <f ca="1">IFERROR(IF(COUNTA(J$56:J982)=J$54,J982,FORECAST(D982,OFFSET(M$56:M$254,MATCH(D982,L$56:L$254,1)-1,0,2), OFFSET(L$56:L$254,MATCH(D982,L$56:L$254,1)-1,0,2))),"")</f>
        <v>0</v>
      </c>
      <c r="L982" s="7" t="str">
        <f t="array" ref="L982">IFERROR(INDEX(D$56:D$1054,SMALL(IF(ISNUMBER(J$56:J$1054),ROW(D$1:D$999),""),ROW(D927))),"")</f>
        <v/>
      </c>
      <c r="M982" s="7" t="str">
        <f t="array" ref="M982">IFERROR(INDEX(J$56:J$1054,SMALL(IF(ISNUMBER(J$56:J$1054),ROW(J$1:J$999),""),ROW(J927))),"")</f>
        <v/>
      </c>
      <c r="N982" s="7"/>
      <c r="O982" s="7"/>
      <c r="P982" s="7"/>
      <c r="Q982" s="7">
        <f ca="1">IFERROR(IF(COUNTA(P$56:P982)=P$54,P982,FORECAST(D982,OFFSET(S$56:S$254,MATCH(D982,R$56:R$254,1)-1,0,2), OFFSET(R$56:R$254,MATCH(D982,R$56:R$254,1)-1,0,2))),"")</f>
        <v>0</v>
      </c>
      <c r="R982" s="7" t="str">
        <f t="array" ref="R982">IFERROR(INDEX(E$56:E$1054,SMALL(IF(ISNUMBER(P$56:P$1054),ROW(E$1:E$999),""),ROW(J927))),"")</f>
        <v/>
      </c>
      <c r="S982" s="7" t="str">
        <f t="array" ref="S982">IFERROR(INDEX(P$56:P$1054,SMALL(IF(ISNUMBER(P$56:P$1054),ROW(P$1:P$999),""),ROW(P927))),"")</f>
        <v/>
      </c>
      <c r="T982" s="7"/>
      <c r="U982" s="7"/>
      <c r="V982" s="7"/>
    </row>
    <row r="983" spans="1:22" x14ac:dyDescent="0.25">
      <c r="A983" s="6"/>
      <c r="B983" s="11"/>
      <c r="C983" s="12"/>
      <c r="D983" s="12"/>
      <c r="E983" s="8">
        <f t="shared" si="14"/>
        <v>0</v>
      </c>
      <c r="F983" s="10"/>
      <c r="G983" s="10"/>
      <c r="H983" s="9"/>
      <c r="I983" s="7"/>
      <c r="J983" s="7"/>
      <c r="K983" s="7">
        <f ca="1">IFERROR(IF(COUNTA(J$56:J983)=J$54,J983,FORECAST(D983,OFFSET(M$56:M$254,MATCH(D983,L$56:L$254,1)-1,0,2), OFFSET(L$56:L$254,MATCH(D983,L$56:L$254,1)-1,0,2))),"")</f>
        <v>0</v>
      </c>
      <c r="L983" s="7" t="str">
        <f t="array" ref="L983">IFERROR(INDEX(D$56:D$1054,SMALL(IF(ISNUMBER(J$56:J$1054),ROW(D$1:D$999),""),ROW(D928))),"")</f>
        <v/>
      </c>
      <c r="M983" s="7" t="str">
        <f t="array" ref="M983">IFERROR(INDEX(J$56:J$1054,SMALL(IF(ISNUMBER(J$56:J$1054),ROW(J$1:J$999),""),ROW(J928))),"")</f>
        <v/>
      </c>
      <c r="N983" s="7"/>
      <c r="O983" s="7"/>
      <c r="P983" s="7"/>
      <c r="Q983" s="7">
        <f ca="1">IFERROR(IF(COUNTA(P$56:P983)=P$54,P983,FORECAST(D983,OFFSET(S$56:S$254,MATCH(D983,R$56:R$254,1)-1,0,2), OFFSET(R$56:R$254,MATCH(D983,R$56:R$254,1)-1,0,2))),"")</f>
        <v>0</v>
      </c>
      <c r="R983" s="7" t="str">
        <f t="array" ref="R983">IFERROR(INDEX(E$56:E$1054,SMALL(IF(ISNUMBER(P$56:P$1054),ROW(E$1:E$999),""),ROW(J928))),"")</f>
        <v/>
      </c>
      <c r="S983" s="7" t="str">
        <f t="array" ref="S983">IFERROR(INDEX(P$56:P$1054,SMALL(IF(ISNUMBER(P$56:P$1054),ROW(P$1:P$999),""),ROW(P928))),"")</f>
        <v/>
      </c>
      <c r="T983" s="7"/>
      <c r="U983" s="7"/>
      <c r="V983" s="7"/>
    </row>
    <row r="984" spans="1:22" x14ac:dyDescent="0.25">
      <c r="A984" s="6"/>
      <c r="B984" s="11"/>
      <c r="C984" s="12"/>
      <c r="D984" s="12"/>
      <c r="E984" s="8">
        <f t="shared" si="14"/>
        <v>0</v>
      </c>
      <c r="F984" s="10"/>
      <c r="G984" s="10"/>
      <c r="H984" s="9"/>
      <c r="I984" s="7"/>
      <c r="J984" s="7"/>
      <c r="K984" s="7">
        <f ca="1">IFERROR(IF(COUNTA(J$56:J984)=J$54,J984,FORECAST(D984,OFFSET(M$56:M$254,MATCH(D984,L$56:L$254,1)-1,0,2), OFFSET(L$56:L$254,MATCH(D984,L$56:L$254,1)-1,0,2))),"")</f>
        <v>0</v>
      </c>
      <c r="L984" s="7" t="str">
        <f t="array" ref="L984">IFERROR(INDEX(D$56:D$1054,SMALL(IF(ISNUMBER(J$56:J$1054),ROW(D$1:D$999),""),ROW(D929))),"")</f>
        <v/>
      </c>
      <c r="M984" s="7" t="str">
        <f t="array" ref="M984">IFERROR(INDEX(J$56:J$1054,SMALL(IF(ISNUMBER(J$56:J$1054),ROW(J$1:J$999),""),ROW(J929))),"")</f>
        <v/>
      </c>
      <c r="N984" s="7"/>
      <c r="O984" s="7"/>
      <c r="P984" s="7"/>
      <c r="Q984" s="7">
        <f ca="1">IFERROR(IF(COUNTA(P$56:P984)=P$54,P984,FORECAST(D984,OFFSET(S$56:S$254,MATCH(D984,R$56:R$254,1)-1,0,2), OFFSET(R$56:R$254,MATCH(D984,R$56:R$254,1)-1,0,2))),"")</f>
        <v>0</v>
      </c>
      <c r="R984" s="7" t="str">
        <f t="array" ref="R984">IFERROR(INDEX(E$56:E$1054,SMALL(IF(ISNUMBER(P$56:P$1054),ROW(E$1:E$999),""),ROW(J929))),"")</f>
        <v/>
      </c>
      <c r="S984" s="7" t="str">
        <f t="array" ref="S984">IFERROR(INDEX(P$56:P$1054,SMALL(IF(ISNUMBER(P$56:P$1054),ROW(P$1:P$999),""),ROW(P929))),"")</f>
        <v/>
      </c>
      <c r="T984" s="7"/>
      <c r="U984" s="7"/>
      <c r="V984" s="7"/>
    </row>
    <row r="985" spans="1:22" x14ac:dyDescent="0.25">
      <c r="A985" s="6"/>
      <c r="B985" s="11"/>
      <c r="C985" s="12"/>
      <c r="D985" s="12"/>
      <c r="E985" s="8">
        <f t="shared" si="14"/>
        <v>0</v>
      </c>
      <c r="F985" s="10"/>
      <c r="G985" s="10"/>
      <c r="H985" s="9"/>
      <c r="I985" s="7"/>
      <c r="J985" s="7"/>
      <c r="K985" s="7">
        <f ca="1">IFERROR(IF(COUNTA(J$56:J985)=J$54,J985,FORECAST(D985,OFFSET(M$56:M$254,MATCH(D985,L$56:L$254,1)-1,0,2), OFFSET(L$56:L$254,MATCH(D985,L$56:L$254,1)-1,0,2))),"")</f>
        <v>0</v>
      </c>
      <c r="L985" s="7" t="str">
        <f t="array" ref="L985">IFERROR(INDEX(D$56:D$1054,SMALL(IF(ISNUMBER(J$56:J$1054),ROW(D$1:D$999),""),ROW(D930))),"")</f>
        <v/>
      </c>
      <c r="M985" s="7" t="str">
        <f t="array" ref="M985">IFERROR(INDEX(J$56:J$1054,SMALL(IF(ISNUMBER(J$56:J$1054),ROW(J$1:J$999),""),ROW(J930))),"")</f>
        <v/>
      </c>
      <c r="N985" s="7"/>
      <c r="O985" s="7"/>
      <c r="P985" s="7"/>
      <c r="Q985" s="7">
        <f ca="1">IFERROR(IF(COUNTA(P$56:P985)=P$54,P985,FORECAST(D985,OFFSET(S$56:S$254,MATCH(D985,R$56:R$254,1)-1,0,2), OFFSET(R$56:R$254,MATCH(D985,R$56:R$254,1)-1,0,2))),"")</f>
        <v>0</v>
      </c>
      <c r="R985" s="7" t="str">
        <f t="array" ref="R985">IFERROR(INDEX(E$56:E$1054,SMALL(IF(ISNUMBER(P$56:P$1054),ROW(E$1:E$999),""),ROW(J930))),"")</f>
        <v/>
      </c>
      <c r="S985" s="7" t="str">
        <f t="array" ref="S985">IFERROR(INDEX(P$56:P$1054,SMALL(IF(ISNUMBER(P$56:P$1054),ROW(P$1:P$999),""),ROW(P930))),"")</f>
        <v/>
      </c>
      <c r="T985" s="7"/>
      <c r="U985" s="7"/>
      <c r="V985" s="7"/>
    </row>
    <row r="986" spans="1:22" x14ac:dyDescent="0.25">
      <c r="A986" s="6"/>
      <c r="B986" s="11"/>
      <c r="C986" s="12"/>
      <c r="D986" s="12"/>
      <c r="E986" s="8">
        <f t="shared" si="14"/>
        <v>0</v>
      </c>
      <c r="F986" s="10"/>
      <c r="G986" s="10"/>
      <c r="H986" s="9"/>
      <c r="I986" s="7"/>
      <c r="J986" s="7"/>
      <c r="K986" s="7">
        <f ca="1">IFERROR(IF(COUNTA(J$56:J986)=J$54,J986,FORECAST(D986,OFFSET(M$56:M$254,MATCH(D986,L$56:L$254,1)-1,0,2), OFFSET(L$56:L$254,MATCH(D986,L$56:L$254,1)-1,0,2))),"")</f>
        <v>0</v>
      </c>
      <c r="L986" s="7" t="str">
        <f t="array" ref="L986">IFERROR(INDEX(D$56:D$1054,SMALL(IF(ISNUMBER(J$56:J$1054),ROW(D$1:D$999),""),ROW(D931))),"")</f>
        <v/>
      </c>
      <c r="M986" s="7" t="str">
        <f t="array" ref="M986">IFERROR(INDEX(J$56:J$1054,SMALL(IF(ISNUMBER(J$56:J$1054),ROW(J$1:J$999),""),ROW(J931))),"")</f>
        <v/>
      </c>
      <c r="N986" s="7"/>
      <c r="O986" s="7"/>
      <c r="P986" s="7"/>
      <c r="Q986" s="7">
        <f ca="1">IFERROR(IF(COUNTA(P$56:P986)=P$54,P986,FORECAST(D986,OFFSET(S$56:S$254,MATCH(D986,R$56:R$254,1)-1,0,2), OFFSET(R$56:R$254,MATCH(D986,R$56:R$254,1)-1,0,2))),"")</f>
        <v>0</v>
      </c>
      <c r="R986" s="7" t="str">
        <f t="array" ref="R986">IFERROR(INDEX(E$56:E$1054,SMALL(IF(ISNUMBER(P$56:P$1054),ROW(E$1:E$999),""),ROW(J931))),"")</f>
        <v/>
      </c>
      <c r="S986" s="7" t="str">
        <f t="array" ref="S986">IFERROR(INDEX(P$56:P$1054,SMALL(IF(ISNUMBER(P$56:P$1054),ROW(P$1:P$999),""),ROW(P931))),"")</f>
        <v/>
      </c>
      <c r="T986" s="7"/>
      <c r="U986" s="7"/>
      <c r="V986" s="7"/>
    </row>
    <row r="987" spans="1:22" x14ac:dyDescent="0.25">
      <c r="A987" s="6"/>
      <c r="B987" s="11"/>
      <c r="C987" s="12"/>
      <c r="D987" s="12"/>
      <c r="E987" s="8">
        <f t="shared" si="14"/>
        <v>0</v>
      </c>
      <c r="F987" s="10"/>
      <c r="G987" s="10"/>
      <c r="H987" s="9"/>
      <c r="I987" s="7"/>
      <c r="J987" s="7"/>
      <c r="K987" s="7">
        <f ca="1">IFERROR(IF(COUNTA(J$56:J987)=J$54,J987,FORECAST(D987,OFFSET(M$56:M$254,MATCH(D987,L$56:L$254,1)-1,0,2), OFFSET(L$56:L$254,MATCH(D987,L$56:L$254,1)-1,0,2))),"")</f>
        <v>0</v>
      </c>
      <c r="L987" s="7" t="str">
        <f t="array" ref="L987">IFERROR(INDEX(D$56:D$1054,SMALL(IF(ISNUMBER(J$56:J$1054),ROW(D$1:D$999),""),ROW(D932))),"")</f>
        <v/>
      </c>
      <c r="M987" s="7" t="str">
        <f t="array" ref="M987">IFERROR(INDEX(J$56:J$1054,SMALL(IF(ISNUMBER(J$56:J$1054),ROW(J$1:J$999),""),ROW(J932))),"")</f>
        <v/>
      </c>
      <c r="N987" s="7"/>
      <c r="O987" s="7"/>
      <c r="P987" s="7"/>
      <c r="Q987" s="7">
        <f ca="1">IFERROR(IF(COUNTA(P$56:P987)=P$54,P987,FORECAST(D987,OFFSET(S$56:S$254,MATCH(D987,R$56:R$254,1)-1,0,2), OFFSET(R$56:R$254,MATCH(D987,R$56:R$254,1)-1,0,2))),"")</f>
        <v>0</v>
      </c>
      <c r="R987" s="7" t="str">
        <f t="array" ref="R987">IFERROR(INDEX(E$56:E$1054,SMALL(IF(ISNUMBER(P$56:P$1054),ROW(E$1:E$999),""),ROW(J932))),"")</f>
        <v/>
      </c>
      <c r="S987" s="7" t="str">
        <f t="array" ref="S987">IFERROR(INDEX(P$56:P$1054,SMALL(IF(ISNUMBER(P$56:P$1054),ROW(P$1:P$999),""),ROW(P932))),"")</f>
        <v/>
      </c>
      <c r="T987" s="7"/>
      <c r="U987" s="7"/>
      <c r="V987" s="7"/>
    </row>
    <row r="988" spans="1:22" x14ac:dyDescent="0.25">
      <c r="A988" s="6"/>
      <c r="B988" s="11"/>
      <c r="C988" s="12"/>
      <c r="D988" s="12"/>
      <c r="E988" s="8">
        <f t="shared" si="14"/>
        <v>0</v>
      </c>
      <c r="F988" s="10"/>
      <c r="G988" s="10"/>
      <c r="H988" s="9"/>
      <c r="I988" s="7"/>
      <c r="J988" s="7"/>
      <c r="K988" s="7">
        <f ca="1">IFERROR(IF(COUNTA(J$56:J988)=J$54,J988,FORECAST(D988,OFFSET(M$56:M$254,MATCH(D988,L$56:L$254,1)-1,0,2), OFFSET(L$56:L$254,MATCH(D988,L$56:L$254,1)-1,0,2))),"")</f>
        <v>0</v>
      </c>
      <c r="L988" s="7" t="str">
        <f t="array" ref="L988">IFERROR(INDEX(D$56:D$1054,SMALL(IF(ISNUMBER(J$56:J$1054),ROW(D$1:D$999),""),ROW(D933))),"")</f>
        <v/>
      </c>
      <c r="M988" s="7" t="str">
        <f t="array" ref="M988">IFERROR(INDEX(J$56:J$1054,SMALL(IF(ISNUMBER(J$56:J$1054),ROW(J$1:J$999),""),ROW(J933))),"")</f>
        <v/>
      </c>
      <c r="N988" s="7"/>
      <c r="O988" s="7"/>
      <c r="P988" s="7"/>
      <c r="Q988" s="7">
        <f ca="1">IFERROR(IF(COUNTA(P$56:P988)=P$54,P988,FORECAST(D988,OFFSET(S$56:S$254,MATCH(D988,R$56:R$254,1)-1,0,2), OFFSET(R$56:R$254,MATCH(D988,R$56:R$254,1)-1,0,2))),"")</f>
        <v>0</v>
      </c>
      <c r="R988" s="7" t="str">
        <f t="array" ref="R988">IFERROR(INDEX(E$56:E$1054,SMALL(IF(ISNUMBER(P$56:P$1054),ROW(E$1:E$999),""),ROW(J933))),"")</f>
        <v/>
      </c>
      <c r="S988" s="7" t="str">
        <f t="array" ref="S988">IFERROR(INDEX(P$56:P$1054,SMALL(IF(ISNUMBER(P$56:P$1054),ROW(P$1:P$999),""),ROW(P933))),"")</f>
        <v/>
      </c>
      <c r="T988" s="7"/>
      <c r="U988" s="7"/>
      <c r="V988" s="7"/>
    </row>
    <row r="989" spans="1:22" x14ac:dyDescent="0.25">
      <c r="A989" s="6"/>
      <c r="B989" s="11"/>
      <c r="C989" s="12"/>
      <c r="D989" s="12"/>
      <c r="E989" s="8">
        <f t="shared" si="14"/>
        <v>0</v>
      </c>
      <c r="F989" s="10"/>
      <c r="G989" s="10"/>
      <c r="H989" s="9"/>
      <c r="I989" s="7"/>
      <c r="J989" s="7"/>
      <c r="K989" s="7">
        <f ca="1">IFERROR(IF(COUNTA(J$56:J989)=J$54,J989,FORECAST(D989,OFFSET(M$56:M$254,MATCH(D989,L$56:L$254,1)-1,0,2), OFFSET(L$56:L$254,MATCH(D989,L$56:L$254,1)-1,0,2))),"")</f>
        <v>0</v>
      </c>
      <c r="L989" s="7" t="str">
        <f t="array" ref="L989">IFERROR(INDEX(D$56:D$1054,SMALL(IF(ISNUMBER(J$56:J$1054),ROW(D$1:D$999),""),ROW(D934))),"")</f>
        <v/>
      </c>
      <c r="M989" s="7" t="str">
        <f t="array" ref="M989">IFERROR(INDEX(J$56:J$1054,SMALL(IF(ISNUMBER(J$56:J$1054),ROW(J$1:J$999),""),ROW(J934))),"")</f>
        <v/>
      </c>
      <c r="N989" s="7"/>
      <c r="O989" s="7"/>
      <c r="P989" s="7"/>
      <c r="Q989" s="7">
        <f ca="1">IFERROR(IF(COUNTA(P$56:P989)=P$54,P989,FORECAST(D989,OFFSET(S$56:S$254,MATCH(D989,R$56:R$254,1)-1,0,2), OFFSET(R$56:R$254,MATCH(D989,R$56:R$254,1)-1,0,2))),"")</f>
        <v>0</v>
      </c>
      <c r="R989" s="7" t="str">
        <f t="array" ref="R989">IFERROR(INDEX(E$56:E$1054,SMALL(IF(ISNUMBER(P$56:P$1054),ROW(E$1:E$999),""),ROW(J934))),"")</f>
        <v/>
      </c>
      <c r="S989" s="7" t="str">
        <f t="array" ref="S989">IFERROR(INDEX(P$56:P$1054,SMALL(IF(ISNUMBER(P$56:P$1054),ROW(P$1:P$999),""),ROW(P934))),"")</f>
        <v/>
      </c>
      <c r="T989" s="7"/>
      <c r="U989" s="7"/>
      <c r="V989" s="7"/>
    </row>
    <row r="990" spans="1:22" x14ac:dyDescent="0.25">
      <c r="A990" s="6"/>
      <c r="B990" s="11"/>
      <c r="C990" s="12"/>
      <c r="D990" s="12"/>
      <c r="E990" s="8">
        <f t="shared" si="14"/>
        <v>0</v>
      </c>
      <c r="F990" s="10"/>
      <c r="G990" s="10"/>
      <c r="H990" s="9"/>
      <c r="I990" s="7"/>
      <c r="J990" s="7"/>
      <c r="K990" s="7">
        <f ca="1">IFERROR(IF(COUNTA(J$56:J990)=J$54,J990,FORECAST(D990,OFFSET(M$56:M$254,MATCH(D990,L$56:L$254,1)-1,0,2), OFFSET(L$56:L$254,MATCH(D990,L$56:L$254,1)-1,0,2))),"")</f>
        <v>0</v>
      </c>
      <c r="L990" s="7" t="str">
        <f t="array" ref="L990">IFERROR(INDEX(D$56:D$1054,SMALL(IF(ISNUMBER(J$56:J$1054),ROW(D$1:D$999),""),ROW(D935))),"")</f>
        <v/>
      </c>
      <c r="M990" s="7" t="str">
        <f t="array" ref="M990">IFERROR(INDEX(J$56:J$1054,SMALL(IF(ISNUMBER(J$56:J$1054),ROW(J$1:J$999),""),ROW(J935))),"")</f>
        <v/>
      </c>
      <c r="N990" s="7"/>
      <c r="O990" s="7"/>
      <c r="P990" s="7"/>
      <c r="Q990" s="7">
        <f ca="1">IFERROR(IF(COUNTA(P$56:P990)=P$54,P990,FORECAST(D990,OFFSET(S$56:S$254,MATCH(D990,R$56:R$254,1)-1,0,2), OFFSET(R$56:R$254,MATCH(D990,R$56:R$254,1)-1,0,2))),"")</f>
        <v>0</v>
      </c>
      <c r="R990" s="7" t="str">
        <f t="array" ref="R990">IFERROR(INDEX(E$56:E$1054,SMALL(IF(ISNUMBER(P$56:P$1054),ROW(E$1:E$999),""),ROW(J935))),"")</f>
        <v/>
      </c>
      <c r="S990" s="7" t="str">
        <f t="array" ref="S990">IFERROR(INDEX(P$56:P$1054,SMALL(IF(ISNUMBER(P$56:P$1054),ROW(P$1:P$999),""),ROW(P935))),"")</f>
        <v/>
      </c>
      <c r="T990" s="7"/>
      <c r="U990" s="7"/>
      <c r="V990" s="7"/>
    </row>
    <row r="991" spans="1:22" x14ac:dyDescent="0.25">
      <c r="A991" s="6"/>
      <c r="B991" s="11"/>
      <c r="C991" s="12"/>
      <c r="D991" s="12"/>
      <c r="E991" s="8">
        <f t="shared" si="14"/>
        <v>0</v>
      </c>
      <c r="F991" s="10"/>
      <c r="G991" s="10"/>
      <c r="H991" s="9"/>
      <c r="I991" s="7"/>
      <c r="J991" s="7"/>
      <c r="K991" s="7">
        <f ca="1">IFERROR(IF(COUNTA(J$56:J991)=J$54,J991,FORECAST(D991,OFFSET(M$56:M$254,MATCH(D991,L$56:L$254,1)-1,0,2), OFFSET(L$56:L$254,MATCH(D991,L$56:L$254,1)-1,0,2))),"")</f>
        <v>0</v>
      </c>
      <c r="L991" s="7" t="str">
        <f t="array" ref="L991">IFERROR(INDEX(D$56:D$1054,SMALL(IF(ISNUMBER(J$56:J$1054),ROW(D$1:D$999),""),ROW(D936))),"")</f>
        <v/>
      </c>
      <c r="M991" s="7" t="str">
        <f t="array" ref="M991">IFERROR(INDEX(J$56:J$1054,SMALL(IF(ISNUMBER(J$56:J$1054),ROW(J$1:J$999),""),ROW(J936))),"")</f>
        <v/>
      </c>
      <c r="N991" s="7"/>
      <c r="O991" s="7"/>
      <c r="P991" s="7"/>
      <c r="Q991" s="7">
        <f ca="1">IFERROR(IF(COUNTA(P$56:P991)=P$54,P991,FORECAST(D991,OFFSET(S$56:S$254,MATCH(D991,R$56:R$254,1)-1,0,2), OFFSET(R$56:R$254,MATCH(D991,R$56:R$254,1)-1,0,2))),"")</f>
        <v>0</v>
      </c>
      <c r="R991" s="7" t="str">
        <f t="array" ref="R991">IFERROR(INDEX(E$56:E$1054,SMALL(IF(ISNUMBER(P$56:P$1054),ROW(E$1:E$999),""),ROW(J936))),"")</f>
        <v/>
      </c>
      <c r="S991" s="7" t="str">
        <f t="array" ref="S991">IFERROR(INDEX(P$56:P$1054,SMALL(IF(ISNUMBER(P$56:P$1054),ROW(P$1:P$999),""),ROW(P936))),"")</f>
        <v/>
      </c>
      <c r="T991" s="7"/>
      <c r="U991" s="7"/>
      <c r="V991" s="7"/>
    </row>
    <row r="992" spans="1:22" x14ac:dyDescent="0.25">
      <c r="A992" s="6"/>
      <c r="B992" s="11"/>
      <c r="C992" s="12"/>
      <c r="D992" s="12"/>
      <c r="E992" s="8">
        <f t="shared" si="14"/>
        <v>0</v>
      </c>
      <c r="F992" s="10"/>
      <c r="G992" s="10"/>
      <c r="H992" s="9"/>
      <c r="I992" s="7"/>
      <c r="J992" s="7"/>
      <c r="K992" s="7">
        <f ca="1">IFERROR(IF(COUNTA(J$56:J992)=J$54,J992,FORECAST(D992,OFFSET(M$56:M$254,MATCH(D992,L$56:L$254,1)-1,0,2), OFFSET(L$56:L$254,MATCH(D992,L$56:L$254,1)-1,0,2))),"")</f>
        <v>0</v>
      </c>
      <c r="L992" s="7" t="str">
        <f t="array" ref="L992">IFERROR(INDEX(D$56:D$1054,SMALL(IF(ISNUMBER(J$56:J$1054),ROW(D$1:D$999),""),ROW(D937))),"")</f>
        <v/>
      </c>
      <c r="M992" s="7" t="str">
        <f t="array" ref="M992">IFERROR(INDEX(J$56:J$1054,SMALL(IF(ISNUMBER(J$56:J$1054),ROW(J$1:J$999),""),ROW(J937))),"")</f>
        <v/>
      </c>
      <c r="N992" s="7"/>
      <c r="O992" s="7"/>
      <c r="P992" s="7"/>
      <c r="Q992" s="7">
        <f ca="1">IFERROR(IF(COUNTA(P$56:P992)=P$54,P992,FORECAST(D992,OFFSET(S$56:S$254,MATCH(D992,R$56:R$254,1)-1,0,2), OFFSET(R$56:R$254,MATCH(D992,R$56:R$254,1)-1,0,2))),"")</f>
        <v>0</v>
      </c>
      <c r="R992" s="7" t="str">
        <f t="array" ref="R992">IFERROR(INDEX(E$56:E$1054,SMALL(IF(ISNUMBER(P$56:P$1054),ROW(E$1:E$999),""),ROW(J937))),"")</f>
        <v/>
      </c>
      <c r="S992" s="7" t="str">
        <f t="array" ref="S992">IFERROR(INDEX(P$56:P$1054,SMALL(IF(ISNUMBER(P$56:P$1054),ROW(P$1:P$999),""),ROW(P937))),"")</f>
        <v/>
      </c>
      <c r="T992" s="7"/>
      <c r="U992" s="7"/>
      <c r="V992" s="7"/>
    </row>
    <row r="993" spans="1:22" x14ac:dyDescent="0.25">
      <c r="A993" s="6"/>
      <c r="B993" s="11"/>
      <c r="C993" s="12"/>
      <c r="D993" s="12"/>
      <c r="E993" s="8">
        <f t="shared" si="14"/>
        <v>0</v>
      </c>
      <c r="F993" s="10"/>
      <c r="G993" s="10"/>
      <c r="H993" s="9"/>
      <c r="I993" s="7"/>
      <c r="J993" s="7"/>
      <c r="K993" s="7">
        <f ca="1">IFERROR(IF(COUNTA(J$56:J993)=J$54,J993,FORECAST(D993,OFFSET(M$56:M$254,MATCH(D993,L$56:L$254,1)-1,0,2), OFFSET(L$56:L$254,MATCH(D993,L$56:L$254,1)-1,0,2))),"")</f>
        <v>0</v>
      </c>
      <c r="L993" s="7" t="str">
        <f t="array" ref="L993">IFERROR(INDEX(D$56:D$1054,SMALL(IF(ISNUMBER(J$56:J$1054),ROW(D$1:D$999),""),ROW(D938))),"")</f>
        <v/>
      </c>
      <c r="M993" s="7" t="str">
        <f t="array" ref="M993">IFERROR(INDEX(J$56:J$1054,SMALL(IF(ISNUMBER(J$56:J$1054),ROW(J$1:J$999),""),ROW(J938))),"")</f>
        <v/>
      </c>
      <c r="N993" s="7"/>
      <c r="O993" s="7"/>
      <c r="P993" s="7"/>
      <c r="Q993" s="7">
        <f ca="1">IFERROR(IF(COUNTA(P$56:P993)=P$54,P993,FORECAST(D993,OFFSET(S$56:S$254,MATCH(D993,R$56:R$254,1)-1,0,2), OFFSET(R$56:R$254,MATCH(D993,R$56:R$254,1)-1,0,2))),"")</f>
        <v>0</v>
      </c>
      <c r="R993" s="7" t="str">
        <f t="array" ref="R993">IFERROR(INDEX(E$56:E$1054,SMALL(IF(ISNUMBER(P$56:P$1054),ROW(E$1:E$999),""),ROW(J938))),"")</f>
        <v/>
      </c>
      <c r="S993" s="7" t="str">
        <f t="array" ref="S993">IFERROR(INDEX(P$56:P$1054,SMALL(IF(ISNUMBER(P$56:P$1054),ROW(P$1:P$999),""),ROW(P938))),"")</f>
        <v/>
      </c>
      <c r="T993" s="7"/>
      <c r="U993" s="7"/>
      <c r="V993" s="7"/>
    </row>
    <row r="994" spans="1:22" x14ac:dyDescent="0.25">
      <c r="A994" s="6"/>
      <c r="B994" s="11"/>
      <c r="C994" s="12"/>
      <c r="D994" s="12"/>
      <c r="E994" s="8">
        <f t="shared" si="14"/>
        <v>0</v>
      </c>
      <c r="F994" s="10"/>
      <c r="G994" s="10"/>
      <c r="H994" s="9"/>
      <c r="I994" s="7"/>
      <c r="J994" s="7"/>
      <c r="K994" s="7">
        <f ca="1">IFERROR(IF(COUNTA(J$56:J994)=J$54,J994,FORECAST(D994,OFFSET(M$56:M$254,MATCH(D994,L$56:L$254,1)-1,0,2), OFFSET(L$56:L$254,MATCH(D994,L$56:L$254,1)-1,0,2))),"")</f>
        <v>0</v>
      </c>
      <c r="L994" s="7" t="str">
        <f t="array" ref="L994">IFERROR(INDEX(D$56:D$1054,SMALL(IF(ISNUMBER(J$56:J$1054),ROW(D$1:D$999),""),ROW(D939))),"")</f>
        <v/>
      </c>
      <c r="M994" s="7" t="str">
        <f t="array" ref="M994">IFERROR(INDEX(J$56:J$1054,SMALL(IF(ISNUMBER(J$56:J$1054),ROW(J$1:J$999),""),ROW(J939))),"")</f>
        <v/>
      </c>
      <c r="N994" s="7"/>
      <c r="O994" s="7"/>
      <c r="P994" s="7"/>
      <c r="Q994" s="7">
        <f ca="1">IFERROR(IF(COUNTA(P$56:P994)=P$54,P994,FORECAST(D994,OFFSET(S$56:S$254,MATCH(D994,R$56:R$254,1)-1,0,2), OFFSET(R$56:R$254,MATCH(D994,R$56:R$254,1)-1,0,2))),"")</f>
        <v>0</v>
      </c>
      <c r="R994" s="7" t="str">
        <f t="array" ref="R994">IFERROR(INDEX(E$56:E$1054,SMALL(IF(ISNUMBER(P$56:P$1054),ROW(E$1:E$999),""),ROW(J939))),"")</f>
        <v/>
      </c>
      <c r="S994" s="7" t="str">
        <f t="array" ref="S994">IFERROR(INDEX(P$56:P$1054,SMALL(IF(ISNUMBER(P$56:P$1054),ROW(P$1:P$999),""),ROW(P939))),"")</f>
        <v/>
      </c>
      <c r="T994" s="7"/>
      <c r="U994" s="7"/>
      <c r="V994" s="7"/>
    </row>
    <row r="995" spans="1:22" x14ac:dyDescent="0.25">
      <c r="A995" s="6"/>
      <c r="B995" s="11"/>
      <c r="C995" s="12"/>
      <c r="D995" s="12"/>
      <c r="E995" s="8">
        <f t="shared" si="14"/>
        <v>0</v>
      </c>
      <c r="F995" s="10"/>
      <c r="G995" s="10"/>
      <c r="H995" s="9"/>
      <c r="I995" s="7"/>
      <c r="J995" s="7"/>
      <c r="K995" s="7">
        <f ca="1">IFERROR(IF(COUNTA(J$56:J995)=J$54,J995,FORECAST(D995,OFFSET(M$56:M$254,MATCH(D995,L$56:L$254,1)-1,0,2), OFFSET(L$56:L$254,MATCH(D995,L$56:L$254,1)-1,0,2))),"")</f>
        <v>0</v>
      </c>
      <c r="L995" s="7" t="str">
        <f t="array" ref="L995">IFERROR(INDEX(D$56:D$1054,SMALL(IF(ISNUMBER(J$56:J$1054),ROW(D$1:D$999),""),ROW(D940))),"")</f>
        <v/>
      </c>
      <c r="M995" s="7" t="str">
        <f t="array" ref="M995">IFERROR(INDEX(J$56:J$1054,SMALL(IF(ISNUMBER(J$56:J$1054),ROW(J$1:J$999),""),ROW(J940))),"")</f>
        <v/>
      </c>
      <c r="N995" s="7"/>
      <c r="O995" s="7"/>
      <c r="P995" s="7"/>
      <c r="Q995" s="7">
        <f ca="1">IFERROR(IF(COUNTA(P$56:P995)=P$54,P995,FORECAST(D995,OFFSET(S$56:S$254,MATCH(D995,R$56:R$254,1)-1,0,2), OFFSET(R$56:R$254,MATCH(D995,R$56:R$254,1)-1,0,2))),"")</f>
        <v>0</v>
      </c>
      <c r="R995" s="7" t="str">
        <f t="array" ref="R995">IFERROR(INDEX(E$56:E$1054,SMALL(IF(ISNUMBER(P$56:P$1054),ROW(E$1:E$999),""),ROW(J940))),"")</f>
        <v/>
      </c>
      <c r="S995" s="7" t="str">
        <f t="array" ref="S995">IFERROR(INDEX(P$56:P$1054,SMALL(IF(ISNUMBER(P$56:P$1054),ROW(P$1:P$999),""),ROW(P940))),"")</f>
        <v/>
      </c>
      <c r="T995" s="7"/>
      <c r="U995" s="7"/>
      <c r="V995" s="7"/>
    </row>
    <row r="996" spans="1:22" x14ac:dyDescent="0.25">
      <c r="A996" s="6"/>
      <c r="B996" s="11"/>
      <c r="C996" s="12"/>
      <c r="D996" s="12"/>
      <c r="E996" s="8">
        <f t="shared" si="14"/>
        <v>0</v>
      </c>
      <c r="F996" s="10"/>
      <c r="G996" s="10"/>
      <c r="H996" s="9"/>
      <c r="I996" s="7"/>
      <c r="J996" s="7"/>
      <c r="K996" s="7">
        <f ca="1">IFERROR(IF(COUNTA(J$56:J996)=J$54,J996,FORECAST(D996,OFFSET(M$56:M$254,MATCH(D996,L$56:L$254,1)-1,0,2), OFFSET(L$56:L$254,MATCH(D996,L$56:L$254,1)-1,0,2))),"")</f>
        <v>0</v>
      </c>
      <c r="L996" s="7" t="str">
        <f t="array" ref="L996">IFERROR(INDEX(D$56:D$1054,SMALL(IF(ISNUMBER(J$56:J$1054),ROW(D$1:D$999),""),ROW(D941))),"")</f>
        <v/>
      </c>
      <c r="M996" s="7" t="str">
        <f t="array" ref="M996">IFERROR(INDEX(J$56:J$1054,SMALL(IF(ISNUMBER(J$56:J$1054),ROW(J$1:J$999),""),ROW(J941))),"")</f>
        <v/>
      </c>
      <c r="N996" s="7"/>
      <c r="O996" s="7"/>
      <c r="P996" s="7"/>
      <c r="Q996" s="7">
        <f ca="1">IFERROR(IF(COUNTA(P$56:P996)=P$54,P996,FORECAST(D996,OFFSET(S$56:S$254,MATCH(D996,R$56:R$254,1)-1,0,2), OFFSET(R$56:R$254,MATCH(D996,R$56:R$254,1)-1,0,2))),"")</f>
        <v>0</v>
      </c>
      <c r="R996" s="7" t="str">
        <f t="array" ref="R996">IFERROR(INDEX(E$56:E$1054,SMALL(IF(ISNUMBER(P$56:P$1054),ROW(E$1:E$999),""),ROW(J941))),"")</f>
        <v/>
      </c>
      <c r="S996" s="7" t="str">
        <f t="array" ref="S996">IFERROR(INDEX(P$56:P$1054,SMALL(IF(ISNUMBER(P$56:P$1054),ROW(P$1:P$999),""),ROW(P941))),"")</f>
        <v/>
      </c>
      <c r="T996" s="7"/>
      <c r="U996" s="7"/>
      <c r="V996" s="7"/>
    </row>
    <row r="997" spans="1:22" x14ac:dyDescent="0.25">
      <c r="A997" s="6"/>
      <c r="B997" s="11"/>
      <c r="C997" s="12"/>
      <c r="D997" s="12"/>
      <c r="E997" s="8">
        <f t="shared" si="14"/>
        <v>0</v>
      </c>
      <c r="F997" s="10"/>
      <c r="G997" s="10"/>
      <c r="H997" s="9"/>
      <c r="I997" s="7"/>
      <c r="J997" s="7"/>
      <c r="K997" s="7">
        <f ca="1">IFERROR(IF(COUNTA(J$56:J997)=J$54,J997,FORECAST(D997,OFFSET(M$56:M$254,MATCH(D997,L$56:L$254,1)-1,0,2), OFFSET(L$56:L$254,MATCH(D997,L$56:L$254,1)-1,0,2))),"")</f>
        <v>0</v>
      </c>
      <c r="L997" s="7" t="str">
        <f t="array" ref="L997">IFERROR(INDEX(D$56:D$1054,SMALL(IF(ISNUMBER(J$56:J$1054),ROW(D$1:D$999),""),ROW(D942))),"")</f>
        <v/>
      </c>
      <c r="M997" s="7" t="str">
        <f t="array" ref="M997">IFERROR(INDEX(J$56:J$1054,SMALL(IF(ISNUMBER(J$56:J$1054),ROW(J$1:J$999),""),ROW(J942))),"")</f>
        <v/>
      </c>
      <c r="N997" s="7"/>
      <c r="O997" s="7"/>
      <c r="P997" s="7"/>
      <c r="Q997" s="7">
        <f ca="1">IFERROR(IF(COUNTA(P$56:P997)=P$54,P997,FORECAST(D997,OFFSET(S$56:S$254,MATCH(D997,R$56:R$254,1)-1,0,2), OFFSET(R$56:R$254,MATCH(D997,R$56:R$254,1)-1,0,2))),"")</f>
        <v>0</v>
      </c>
      <c r="R997" s="7" t="str">
        <f t="array" ref="R997">IFERROR(INDEX(E$56:E$1054,SMALL(IF(ISNUMBER(P$56:P$1054),ROW(E$1:E$999),""),ROW(J942))),"")</f>
        <v/>
      </c>
      <c r="S997" s="7" t="str">
        <f t="array" ref="S997">IFERROR(INDEX(P$56:P$1054,SMALL(IF(ISNUMBER(P$56:P$1054),ROW(P$1:P$999),""),ROW(P942))),"")</f>
        <v/>
      </c>
      <c r="T997" s="7"/>
      <c r="U997" s="7"/>
      <c r="V997" s="7"/>
    </row>
    <row r="998" spans="1:22" x14ac:dyDescent="0.25">
      <c r="A998" s="6"/>
      <c r="B998" s="11"/>
      <c r="C998" s="12"/>
      <c r="D998" s="12"/>
      <c r="E998" s="8">
        <f t="shared" si="14"/>
        <v>0</v>
      </c>
      <c r="F998" s="10"/>
      <c r="G998" s="10"/>
      <c r="H998" s="9"/>
      <c r="I998" s="7"/>
      <c r="J998" s="7"/>
      <c r="K998" s="7">
        <f ca="1">IFERROR(IF(COUNTA(J$56:J998)=J$54,J998,FORECAST(D998,OFFSET(M$56:M$254,MATCH(D998,L$56:L$254,1)-1,0,2), OFFSET(L$56:L$254,MATCH(D998,L$56:L$254,1)-1,0,2))),"")</f>
        <v>0</v>
      </c>
      <c r="L998" s="7" t="str">
        <f t="array" ref="L998">IFERROR(INDEX(D$56:D$1054,SMALL(IF(ISNUMBER(J$56:J$1054),ROW(D$1:D$999),""),ROW(D943))),"")</f>
        <v/>
      </c>
      <c r="M998" s="7" t="str">
        <f t="array" ref="M998">IFERROR(INDEX(J$56:J$1054,SMALL(IF(ISNUMBER(J$56:J$1054),ROW(J$1:J$999),""),ROW(J943))),"")</f>
        <v/>
      </c>
      <c r="N998" s="7"/>
      <c r="O998" s="7"/>
      <c r="P998" s="7"/>
      <c r="Q998" s="7">
        <f ca="1">IFERROR(IF(COUNTA(P$56:P998)=P$54,P998,FORECAST(D998,OFFSET(S$56:S$254,MATCH(D998,R$56:R$254,1)-1,0,2), OFFSET(R$56:R$254,MATCH(D998,R$56:R$254,1)-1,0,2))),"")</f>
        <v>0</v>
      </c>
      <c r="R998" s="7" t="str">
        <f t="array" ref="R998">IFERROR(INDEX(E$56:E$1054,SMALL(IF(ISNUMBER(P$56:P$1054),ROW(E$1:E$999),""),ROW(J943))),"")</f>
        <v/>
      </c>
      <c r="S998" s="7" t="str">
        <f t="array" ref="S998">IFERROR(INDEX(P$56:P$1054,SMALL(IF(ISNUMBER(P$56:P$1054),ROW(P$1:P$999),""),ROW(P943))),"")</f>
        <v/>
      </c>
      <c r="T998" s="7"/>
      <c r="U998" s="7"/>
      <c r="V998" s="7"/>
    </row>
    <row r="999" spans="1:22" x14ac:dyDescent="0.25">
      <c r="A999" s="6"/>
      <c r="B999" s="11"/>
      <c r="C999" s="12"/>
      <c r="D999" s="12"/>
      <c r="E999" s="8">
        <f t="shared" si="14"/>
        <v>0</v>
      </c>
      <c r="F999" s="10"/>
      <c r="G999" s="10"/>
      <c r="H999" s="9"/>
      <c r="I999" s="7"/>
      <c r="J999" s="7"/>
      <c r="K999" s="7">
        <f ca="1">IFERROR(IF(COUNTA(J$56:J999)=J$54,J999,FORECAST(D999,OFFSET(M$56:M$254,MATCH(D999,L$56:L$254,1)-1,0,2), OFFSET(L$56:L$254,MATCH(D999,L$56:L$254,1)-1,0,2))),"")</f>
        <v>0</v>
      </c>
      <c r="L999" s="7" t="str">
        <f t="array" ref="L999">IFERROR(INDEX(D$56:D$1054,SMALL(IF(ISNUMBER(J$56:J$1054),ROW(D$1:D$999),""),ROW(D944))),"")</f>
        <v/>
      </c>
      <c r="M999" s="7" t="str">
        <f t="array" ref="M999">IFERROR(INDEX(J$56:J$1054,SMALL(IF(ISNUMBER(J$56:J$1054),ROW(J$1:J$999),""),ROW(J944))),"")</f>
        <v/>
      </c>
      <c r="N999" s="7"/>
      <c r="O999" s="7"/>
      <c r="P999" s="7"/>
      <c r="Q999" s="7">
        <f ca="1">IFERROR(IF(COUNTA(P$56:P999)=P$54,P999,FORECAST(D999,OFFSET(S$56:S$254,MATCH(D999,R$56:R$254,1)-1,0,2), OFFSET(R$56:R$254,MATCH(D999,R$56:R$254,1)-1,0,2))),"")</f>
        <v>0</v>
      </c>
      <c r="R999" s="7" t="str">
        <f t="array" ref="R999">IFERROR(INDEX(E$56:E$1054,SMALL(IF(ISNUMBER(P$56:P$1054),ROW(E$1:E$999),""),ROW(J944))),"")</f>
        <v/>
      </c>
      <c r="S999" s="7" t="str">
        <f t="array" ref="S999">IFERROR(INDEX(P$56:P$1054,SMALL(IF(ISNUMBER(P$56:P$1054),ROW(P$1:P$999),""),ROW(P944))),"")</f>
        <v/>
      </c>
      <c r="T999" s="7"/>
      <c r="U999" s="7"/>
      <c r="V999" s="7"/>
    </row>
    <row r="1000" spans="1:22" x14ac:dyDescent="0.25">
      <c r="A1000" s="6"/>
      <c r="B1000" s="11"/>
      <c r="C1000" s="12"/>
      <c r="D1000" s="12"/>
      <c r="E1000" s="8">
        <f t="shared" si="14"/>
        <v>0</v>
      </c>
      <c r="F1000" s="10"/>
      <c r="G1000" s="10"/>
      <c r="H1000" s="9"/>
      <c r="I1000" s="7"/>
      <c r="J1000" s="7"/>
      <c r="K1000" s="7">
        <f ca="1">IFERROR(IF(COUNTA(J$56:J1000)=J$54,J1000,FORECAST(D1000,OFFSET(M$56:M$254,MATCH(D1000,L$56:L$254,1)-1,0,2), OFFSET(L$56:L$254,MATCH(D1000,L$56:L$254,1)-1,0,2))),"")</f>
        <v>0</v>
      </c>
      <c r="L1000" s="7" t="str">
        <f t="array" ref="L1000">IFERROR(INDEX(D$56:D$1054,SMALL(IF(ISNUMBER(J$56:J$1054),ROW(D$1:D$999),""),ROW(D945))),"")</f>
        <v/>
      </c>
      <c r="M1000" s="7" t="str">
        <f t="array" ref="M1000">IFERROR(INDEX(J$56:J$1054,SMALL(IF(ISNUMBER(J$56:J$1054),ROW(J$1:J$999),""),ROW(J945))),"")</f>
        <v/>
      </c>
      <c r="N1000" s="7"/>
      <c r="O1000" s="7"/>
      <c r="P1000" s="7"/>
      <c r="Q1000" s="7">
        <f ca="1">IFERROR(IF(COUNTA(P$56:P1000)=P$54,P1000,FORECAST(D1000,OFFSET(S$56:S$254,MATCH(D1000,R$56:R$254,1)-1,0,2), OFFSET(R$56:R$254,MATCH(D1000,R$56:R$254,1)-1,0,2))),"")</f>
        <v>0</v>
      </c>
      <c r="R1000" s="7" t="str">
        <f t="array" ref="R1000">IFERROR(INDEX(E$56:E$1054,SMALL(IF(ISNUMBER(P$56:P$1054),ROW(E$1:E$999),""),ROW(J945))),"")</f>
        <v/>
      </c>
      <c r="S1000" s="7" t="str">
        <f t="array" ref="S1000">IFERROR(INDEX(P$56:P$1054,SMALL(IF(ISNUMBER(P$56:P$1054),ROW(P$1:P$999),""),ROW(P945))),"")</f>
        <v/>
      </c>
      <c r="T1000" s="7"/>
      <c r="U1000" s="7"/>
      <c r="V1000" s="7"/>
    </row>
    <row r="1001" spans="1:22" x14ac:dyDescent="0.25">
      <c r="A1001" s="6"/>
      <c r="B1001" s="11"/>
      <c r="C1001" s="12"/>
      <c r="D1001" s="12"/>
      <c r="E1001" s="8">
        <f t="shared" si="14"/>
        <v>0</v>
      </c>
      <c r="F1001" s="10"/>
      <c r="G1001" s="10"/>
      <c r="H1001" s="9"/>
      <c r="I1001" s="7"/>
      <c r="J1001" s="7"/>
      <c r="K1001" s="7">
        <f ca="1">IFERROR(IF(COUNTA(J$56:J1001)=J$54,J1001,FORECAST(D1001,OFFSET(M$56:M$254,MATCH(D1001,L$56:L$254,1)-1,0,2), OFFSET(L$56:L$254,MATCH(D1001,L$56:L$254,1)-1,0,2))),"")</f>
        <v>0</v>
      </c>
      <c r="L1001" s="7" t="str">
        <f t="array" ref="L1001">IFERROR(INDEX(D$56:D$1054,SMALL(IF(ISNUMBER(J$56:J$1054),ROW(D$1:D$999),""),ROW(D946))),"")</f>
        <v/>
      </c>
      <c r="M1001" s="7" t="str">
        <f t="array" ref="M1001">IFERROR(INDEX(J$56:J$1054,SMALL(IF(ISNUMBER(J$56:J$1054),ROW(J$1:J$999),""),ROW(J946))),"")</f>
        <v/>
      </c>
      <c r="N1001" s="7"/>
      <c r="O1001" s="7"/>
      <c r="P1001" s="7"/>
      <c r="Q1001" s="7">
        <f ca="1">IFERROR(IF(COUNTA(P$56:P1001)=P$54,P1001,FORECAST(D1001,OFFSET(S$56:S$254,MATCH(D1001,R$56:R$254,1)-1,0,2), OFFSET(R$56:R$254,MATCH(D1001,R$56:R$254,1)-1,0,2))),"")</f>
        <v>0</v>
      </c>
      <c r="R1001" s="7" t="str">
        <f t="array" ref="R1001">IFERROR(INDEX(E$56:E$1054,SMALL(IF(ISNUMBER(P$56:P$1054),ROW(E$1:E$999),""),ROW(J946))),"")</f>
        <v/>
      </c>
      <c r="S1001" s="7" t="str">
        <f t="array" ref="S1001">IFERROR(INDEX(P$56:P$1054,SMALL(IF(ISNUMBER(P$56:P$1054),ROW(P$1:P$999),""),ROW(P946))),"")</f>
        <v/>
      </c>
      <c r="T1001" s="7"/>
      <c r="U1001" s="7"/>
      <c r="V1001" s="7"/>
    </row>
    <row r="1002" spans="1:22" x14ac:dyDescent="0.25">
      <c r="A1002" s="6"/>
      <c r="B1002" s="11"/>
      <c r="C1002" s="12"/>
      <c r="D1002" s="12"/>
      <c r="E1002" s="8">
        <f t="shared" si="14"/>
        <v>0</v>
      </c>
      <c r="F1002" s="10"/>
      <c r="G1002" s="10"/>
      <c r="H1002" s="9"/>
      <c r="I1002" s="7"/>
      <c r="J1002" s="7"/>
      <c r="K1002" s="7">
        <f ca="1">IFERROR(IF(COUNTA(J$56:J1002)=J$54,J1002,FORECAST(D1002,OFFSET(M$56:M$254,MATCH(D1002,L$56:L$254,1)-1,0,2), OFFSET(L$56:L$254,MATCH(D1002,L$56:L$254,1)-1,0,2))),"")</f>
        <v>0</v>
      </c>
      <c r="L1002" s="7" t="str">
        <f t="array" ref="L1002">IFERROR(INDEX(D$56:D$1054,SMALL(IF(ISNUMBER(J$56:J$1054),ROW(D$1:D$999),""),ROW(D947))),"")</f>
        <v/>
      </c>
      <c r="M1002" s="7" t="str">
        <f t="array" ref="M1002">IFERROR(INDEX(J$56:J$1054,SMALL(IF(ISNUMBER(J$56:J$1054),ROW(J$1:J$999),""),ROW(J947))),"")</f>
        <v/>
      </c>
      <c r="N1002" s="7"/>
      <c r="O1002" s="7"/>
      <c r="P1002" s="7"/>
      <c r="Q1002" s="7">
        <f ca="1">IFERROR(IF(COUNTA(P$56:P1002)=P$54,P1002,FORECAST(D1002,OFFSET(S$56:S$254,MATCH(D1002,R$56:R$254,1)-1,0,2), OFFSET(R$56:R$254,MATCH(D1002,R$56:R$254,1)-1,0,2))),"")</f>
        <v>0</v>
      </c>
      <c r="R1002" s="7" t="str">
        <f t="array" ref="R1002">IFERROR(INDEX(E$56:E$1054,SMALL(IF(ISNUMBER(P$56:P$1054),ROW(E$1:E$999),""),ROW(J947))),"")</f>
        <v/>
      </c>
      <c r="S1002" s="7" t="str">
        <f t="array" ref="S1002">IFERROR(INDEX(P$56:P$1054,SMALL(IF(ISNUMBER(P$56:P$1054),ROW(P$1:P$999),""),ROW(P947))),"")</f>
        <v/>
      </c>
      <c r="T1002" s="7"/>
      <c r="U1002" s="7"/>
      <c r="V1002" s="7"/>
    </row>
    <row r="1003" spans="1:22" x14ac:dyDescent="0.25">
      <c r="A1003" s="6"/>
      <c r="B1003" s="11"/>
      <c r="C1003" s="12"/>
      <c r="D1003" s="12"/>
      <c r="E1003" s="8">
        <f t="shared" si="14"/>
        <v>0</v>
      </c>
      <c r="F1003" s="10"/>
      <c r="G1003" s="10"/>
      <c r="H1003" s="9"/>
      <c r="I1003" s="7"/>
      <c r="J1003" s="7"/>
      <c r="K1003" s="7">
        <f ca="1">IFERROR(IF(COUNTA(J$56:J1003)=J$54,J1003,FORECAST(D1003,OFFSET(M$56:M$254,MATCH(D1003,L$56:L$254,1)-1,0,2), OFFSET(L$56:L$254,MATCH(D1003,L$56:L$254,1)-1,0,2))),"")</f>
        <v>0</v>
      </c>
      <c r="L1003" s="7" t="str">
        <f t="array" ref="L1003">IFERROR(INDEX(D$56:D$1054,SMALL(IF(ISNUMBER(J$56:J$1054),ROW(D$1:D$999),""),ROW(D948))),"")</f>
        <v/>
      </c>
      <c r="M1003" s="7" t="str">
        <f t="array" ref="M1003">IFERROR(INDEX(J$56:J$1054,SMALL(IF(ISNUMBER(J$56:J$1054),ROW(J$1:J$999),""),ROW(J948))),"")</f>
        <v/>
      </c>
      <c r="N1003" s="7"/>
      <c r="O1003" s="7"/>
      <c r="P1003" s="7"/>
      <c r="Q1003" s="7">
        <f ca="1">IFERROR(IF(COUNTA(P$56:P1003)=P$54,P1003,FORECAST(D1003,OFFSET(S$56:S$254,MATCH(D1003,R$56:R$254,1)-1,0,2), OFFSET(R$56:R$254,MATCH(D1003,R$56:R$254,1)-1,0,2))),"")</f>
        <v>0</v>
      </c>
      <c r="R1003" s="7" t="str">
        <f t="array" ref="R1003">IFERROR(INDEX(E$56:E$1054,SMALL(IF(ISNUMBER(P$56:P$1054),ROW(E$1:E$999),""),ROW(J948))),"")</f>
        <v/>
      </c>
      <c r="S1003" s="7" t="str">
        <f t="array" ref="S1003">IFERROR(INDEX(P$56:P$1054,SMALL(IF(ISNUMBER(P$56:P$1054),ROW(P$1:P$999),""),ROW(P948))),"")</f>
        <v/>
      </c>
      <c r="T1003" s="7"/>
      <c r="U1003" s="7"/>
      <c r="V1003" s="7"/>
    </row>
    <row r="1004" spans="1:22" x14ac:dyDescent="0.25">
      <c r="A1004" s="6"/>
      <c r="B1004" s="11"/>
      <c r="C1004" s="12"/>
      <c r="D1004" s="12"/>
      <c r="E1004" s="8">
        <f t="shared" si="14"/>
        <v>0</v>
      </c>
      <c r="F1004" s="10"/>
      <c r="G1004" s="10"/>
      <c r="H1004" s="9"/>
      <c r="I1004" s="7"/>
      <c r="J1004" s="7"/>
      <c r="K1004" s="7">
        <f ca="1">IFERROR(IF(COUNTA(J$56:J1004)=J$54,J1004,FORECAST(D1004,OFFSET(M$56:M$254,MATCH(D1004,L$56:L$254,1)-1,0,2), OFFSET(L$56:L$254,MATCH(D1004,L$56:L$254,1)-1,0,2))),"")</f>
        <v>0</v>
      </c>
      <c r="L1004" s="7" t="str">
        <f t="array" ref="L1004">IFERROR(INDEX(D$56:D$1054,SMALL(IF(ISNUMBER(J$56:J$1054),ROW(D$1:D$999),""),ROW(D949))),"")</f>
        <v/>
      </c>
      <c r="M1004" s="7" t="str">
        <f t="array" ref="M1004">IFERROR(INDEX(J$56:J$1054,SMALL(IF(ISNUMBER(J$56:J$1054),ROW(J$1:J$999),""),ROW(J949))),"")</f>
        <v/>
      </c>
      <c r="N1004" s="7"/>
      <c r="O1004" s="7"/>
      <c r="P1004" s="7"/>
      <c r="Q1004" s="7">
        <f ca="1">IFERROR(IF(COUNTA(P$56:P1004)=P$54,P1004,FORECAST(D1004,OFFSET(S$56:S$254,MATCH(D1004,R$56:R$254,1)-1,0,2), OFFSET(R$56:R$254,MATCH(D1004,R$56:R$254,1)-1,0,2))),"")</f>
        <v>0</v>
      </c>
      <c r="R1004" s="7" t="str">
        <f t="array" ref="R1004">IFERROR(INDEX(E$56:E$1054,SMALL(IF(ISNUMBER(P$56:P$1054),ROW(E$1:E$999),""),ROW(J949))),"")</f>
        <v/>
      </c>
      <c r="S1004" s="7" t="str">
        <f t="array" ref="S1004">IFERROR(INDEX(P$56:P$1054,SMALL(IF(ISNUMBER(P$56:P$1054),ROW(P$1:P$999),""),ROW(P949))),"")</f>
        <v/>
      </c>
      <c r="T1004" s="7"/>
      <c r="U1004" s="7"/>
      <c r="V1004" s="7"/>
    </row>
    <row r="1005" spans="1:22" x14ac:dyDescent="0.25">
      <c r="A1005" s="6"/>
      <c r="B1005" s="11"/>
      <c r="C1005" s="12"/>
      <c r="D1005" s="12"/>
      <c r="E1005" s="8">
        <f t="shared" si="14"/>
        <v>0</v>
      </c>
      <c r="F1005" s="10"/>
      <c r="G1005" s="10"/>
      <c r="H1005" s="9"/>
      <c r="I1005" s="7"/>
      <c r="J1005" s="7"/>
      <c r="K1005" s="7">
        <f ca="1">IFERROR(IF(COUNTA(J$56:J1005)=J$54,J1005,FORECAST(D1005,OFFSET(M$56:M$254,MATCH(D1005,L$56:L$254,1)-1,0,2), OFFSET(L$56:L$254,MATCH(D1005,L$56:L$254,1)-1,0,2))),"")</f>
        <v>0</v>
      </c>
      <c r="L1005" s="7" t="str">
        <f t="array" ref="L1005">IFERROR(INDEX(D$56:D$1054,SMALL(IF(ISNUMBER(J$56:J$1054),ROW(D$1:D$999),""),ROW(D950))),"")</f>
        <v/>
      </c>
      <c r="M1005" s="7" t="str">
        <f t="array" ref="M1005">IFERROR(INDEX(J$56:J$1054,SMALL(IF(ISNUMBER(J$56:J$1054),ROW(J$1:J$999),""),ROW(J950))),"")</f>
        <v/>
      </c>
      <c r="N1005" s="7"/>
      <c r="O1005" s="7"/>
      <c r="P1005" s="7"/>
      <c r="Q1005" s="7">
        <f ca="1">IFERROR(IF(COUNTA(P$56:P1005)=P$54,P1005,FORECAST(D1005,OFFSET(S$56:S$254,MATCH(D1005,R$56:R$254,1)-1,0,2), OFFSET(R$56:R$254,MATCH(D1005,R$56:R$254,1)-1,0,2))),"")</f>
        <v>0</v>
      </c>
      <c r="R1005" s="7" t="str">
        <f t="array" ref="R1005">IFERROR(INDEX(E$56:E$1054,SMALL(IF(ISNUMBER(P$56:P$1054),ROW(E$1:E$999),""),ROW(J950))),"")</f>
        <v/>
      </c>
      <c r="S1005" s="7" t="str">
        <f t="array" ref="S1005">IFERROR(INDEX(P$56:P$1054,SMALL(IF(ISNUMBER(P$56:P$1054),ROW(P$1:P$999),""),ROW(P950))),"")</f>
        <v/>
      </c>
      <c r="T1005" s="7"/>
      <c r="U1005" s="7"/>
      <c r="V1005" s="7"/>
    </row>
    <row r="1006" spans="1:22" x14ac:dyDescent="0.25">
      <c r="A1006" s="6"/>
      <c r="B1006" s="11"/>
      <c r="C1006" s="12"/>
      <c r="D1006" s="12"/>
      <c r="E1006" s="8">
        <f t="shared" si="14"/>
        <v>0</v>
      </c>
      <c r="F1006" s="10"/>
      <c r="G1006" s="10"/>
      <c r="H1006" s="9"/>
      <c r="I1006" s="7"/>
      <c r="J1006" s="7"/>
      <c r="K1006" s="7">
        <f ca="1">IFERROR(IF(COUNTA(J$56:J1006)=J$54,J1006,FORECAST(D1006,OFFSET(M$56:M$254,MATCH(D1006,L$56:L$254,1)-1,0,2), OFFSET(L$56:L$254,MATCH(D1006,L$56:L$254,1)-1,0,2))),"")</f>
        <v>0</v>
      </c>
      <c r="L1006" s="7" t="str">
        <f t="array" ref="L1006">IFERROR(INDEX(D$56:D$1054,SMALL(IF(ISNUMBER(J$56:J$1054),ROW(D$1:D$999),""),ROW(D951))),"")</f>
        <v/>
      </c>
      <c r="M1006" s="7" t="str">
        <f t="array" ref="M1006">IFERROR(INDEX(J$56:J$1054,SMALL(IF(ISNUMBER(J$56:J$1054),ROW(J$1:J$999),""),ROW(J951))),"")</f>
        <v/>
      </c>
      <c r="N1006" s="7"/>
      <c r="O1006" s="7"/>
      <c r="P1006" s="7"/>
      <c r="Q1006" s="7">
        <f ca="1">IFERROR(IF(COUNTA(P$56:P1006)=P$54,P1006,FORECAST(D1006,OFFSET(S$56:S$254,MATCH(D1006,R$56:R$254,1)-1,0,2), OFFSET(R$56:R$254,MATCH(D1006,R$56:R$254,1)-1,0,2))),"")</f>
        <v>0</v>
      </c>
      <c r="R1006" s="7" t="str">
        <f t="array" ref="R1006">IFERROR(INDEX(E$56:E$1054,SMALL(IF(ISNUMBER(P$56:P$1054),ROW(E$1:E$999),""),ROW(J951))),"")</f>
        <v/>
      </c>
      <c r="S1006" s="7" t="str">
        <f t="array" ref="S1006">IFERROR(INDEX(P$56:P$1054,SMALL(IF(ISNUMBER(P$56:P$1054),ROW(P$1:P$999),""),ROW(P951))),"")</f>
        <v/>
      </c>
      <c r="T1006" s="7"/>
      <c r="U1006" s="7"/>
      <c r="V1006" s="7"/>
    </row>
    <row r="1007" spans="1:22" x14ac:dyDescent="0.25">
      <c r="A1007" s="6"/>
      <c r="B1007" s="11"/>
      <c r="C1007" s="12"/>
      <c r="D1007" s="12"/>
      <c r="E1007" s="8">
        <f t="shared" si="14"/>
        <v>0</v>
      </c>
      <c r="F1007" s="10"/>
      <c r="G1007" s="10"/>
      <c r="H1007" s="9"/>
      <c r="I1007" s="7"/>
      <c r="J1007" s="7"/>
      <c r="K1007" s="7">
        <f ca="1">IFERROR(IF(COUNTA(J$56:J1007)=J$54,J1007,FORECAST(D1007,OFFSET(M$56:M$254,MATCH(D1007,L$56:L$254,1)-1,0,2), OFFSET(L$56:L$254,MATCH(D1007,L$56:L$254,1)-1,0,2))),"")</f>
        <v>0</v>
      </c>
      <c r="L1007" s="7" t="str">
        <f t="array" ref="L1007">IFERROR(INDEX(D$56:D$1054,SMALL(IF(ISNUMBER(J$56:J$1054),ROW(D$1:D$999),""),ROW(D952))),"")</f>
        <v/>
      </c>
      <c r="M1007" s="7" t="str">
        <f t="array" ref="M1007">IFERROR(INDEX(J$56:J$1054,SMALL(IF(ISNUMBER(J$56:J$1054),ROW(J$1:J$999),""),ROW(J952))),"")</f>
        <v/>
      </c>
      <c r="N1007" s="7"/>
      <c r="O1007" s="7"/>
      <c r="P1007" s="7"/>
      <c r="Q1007" s="7">
        <f ca="1">IFERROR(IF(COUNTA(P$56:P1007)=P$54,P1007,FORECAST(D1007,OFFSET(S$56:S$254,MATCH(D1007,R$56:R$254,1)-1,0,2), OFFSET(R$56:R$254,MATCH(D1007,R$56:R$254,1)-1,0,2))),"")</f>
        <v>0</v>
      </c>
      <c r="R1007" s="7" t="str">
        <f t="array" ref="R1007">IFERROR(INDEX(E$56:E$1054,SMALL(IF(ISNUMBER(P$56:P$1054),ROW(E$1:E$999),""),ROW(J952))),"")</f>
        <v/>
      </c>
      <c r="S1007" s="7" t="str">
        <f t="array" ref="S1007">IFERROR(INDEX(P$56:P$1054,SMALL(IF(ISNUMBER(P$56:P$1054),ROW(P$1:P$999),""),ROW(P952))),"")</f>
        <v/>
      </c>
      <c r="T1007" s="7"/>
      <c r="U1007" s="7"/>
      <c r="V1007" s="7"/>
    </row>
    <row r="1008" spans="1:22" x14ac:dyDescent="0.25">
      <c r="A1008" s="6"/>
      <c r="B1008" s="11"/>
      <c r="C1008" s="12"/>
      <c r="D1008" s="12"/>
      <c r="E1008" s="8">
        <f t="shared" si="14"/>
        <v>0</v>
      </c>
      <c r="F1008" s="10"/>
      <c r="G1008" s="10"/>
      <c r="H1008" s="9"/>
      <c r="I1008" s="7"/>
      <c r="J1008" s="7"/>
      <c r="K1008" s="7">
        <f ca="1">IFERROR(IF(COUNTA(J$56:J1008)=J$54,J1008,FORECAST(D1008,OFFSET(M$56:M$254,MATCH(D1008,L$56:L$254,1)-1,0,2), OFFSET(L$56:L$254,MATCH(D1008,L$56:L$254,1)-1,0,2))),"")</f>
        <v>0</v>
      </c>
      <c r="L1008" s="7" t="str">
        <f t="array" ref="L1008">IFERROR(INDEX(D$56:D$1054,SMALL(IF(ISNUMBER(J$56:J$1054),ROW(D$1:D$999),""),ROW(D953))),"")</f>
        <v/>
      </c>
      <c r="M1008" s="7" t="str">
        <f t="array" ref="M1008">IFERROR(INDEX(J$56:J$1054,SMALL(IF(ISNUMBER(J$56:J$1054),ROW(J$1:J$999),""),ROW(J953))),"")</f>
        <v/>
      </c>
      <c r="N1008" s="7"/>
      <c r="O1008" s="7"/>
      <c r="P1008" s="7"/>
      <c r="Q1008" s="7">
        <f ca="1">IFERROR(IF(COUNTA(P$56:P1008)=P$54,P1008,FORECAST(D1008,OFFSET(S$56:S$254,MATCH(D1008,R$56:R$254,1)-1,0,2), OFFSET(R$56:R$254,MATCH(D1008,R$56:R$254,1)-1,0,2))),"")</f>
        <v>0</v>
      </c>
      <c r="R1008" s="7" t="str">
        <f t="array" ref="R1008">IFERROR(INDEX(E$56:E$1054,SMALL(IF(ISNUMBER(P$56:P$1054),ROW(E$1:E$999),""),ROW(J953))),"")</f>
        <v/>
      </c>
      <c r="S1008" s="7" t="str">
        <f t="array" ref="S1008">IFERROR(INDEX(P$56:P$1054,SMALL(IF(ISNUMBER(P$56:P$1054),ROW(P$1:P$999),""),ROW(P953))),"")</f>
        <v/>
      </c>
      <c r="T1008" s="7"/>
      <c r="U1008" s="7"/>
      <c r="V1008" s="7"/>
    </row>
    <row r="1009" spans="1:22" x14ac:dyDescent="0.25">
      <c r="A1009" s="6"/>
      <c r="B1009" s="11"/>
      <c r="C1009" s="12"/>
      <c r="D1009" s="12"/>
      <c r="E1009" s="8">
        <f t="shared" si="14"/>
        <v>0</v>
      </c>
      <c r="F1009" s="10"/>
      <c r="G1009" s="10"/>
      <c r="H1009" s="9"/>
      <c r="I1009" s="7"/>
      <c r="J1009" s="7"/>
      <c r="K1009" s="7">
        <f ca="1">IFERROR(IF(COUNTA(J$56:J1009)=J$54,J1009,FORECAST(D1009,OFFSET(M$56:M$254,MATCH(D1009,L$56:L$254,1)-1,0,2), OFFSET(L$56:L$254,MATCH(D1009,L$56:L$254,1)-1,0,2))),"")</f>
        <v>0</v>
      </c>
      <c r="L1009" s="7" t="str">
        <f t="array" ref="L1009">IFERROR(INDEX(D$56:D$1054,SMALL(IF(ISNUMBER(J$56:J$1054),ROW(D$1:D$999),""),ROW(D954))),"")</f>
        <v/>
      </c>
      <c r="M1009" s="7" t="str">
        <f t="array" ref="M1009">IFERROR(INDEX(J$56:J$1054,SMALL(IF(ISNUMBER(J$56:J$1054),ROW(J$1:J$999),""),ROW(J954))),"")</f>
        <v/>
      </c>
      <c r="N1009" s="7"/>
      <c r="O1009" s="7"/>
      <c r="P1009" s="7"/>
      <c r="Q1009" s="7">
        <f ca="1">IFERROR(IF(COUNTA(P$56:P1009)=P$54,P1009,FORECAST(D1009,OFFSET(S$56:S$254,MATCH(D1009,R$56:R$254,1)-1,0,2), OFFSET(R$56:R$254,MATCH(D1009,R$56:R$254,1)-1,0,2))),"")</f>
        <v>0</v>
      </c>
      <c r="R1009" s="7" t="str">
        <f t="array" ref="R1009">IFERROR(INDEX(E$56:E$1054,SMALL(IF(ISNUMBER(P$56:P$1054),ROW(E$1:E$999),""),ROW(J954))),"")</f>
        <v/>
      </c>
      <c r="S1009" s="7" t="str">
        <f t="array" ref="S1009">IFERROR(INDEX(P$56:P$1054,SMALL(IF(ISNUMBER(P$56:P$1054),ROW(P$1:P$999),""),ROW(P954))),"")</f>
        <v/>
      </c>
      <c r="T1009" s="7"/>
      <c r="U1009" s="7"/>
      <c r="V1009" s="7"/>
    </row>
    <row r="1010" spans="1:22" x14ac:dyDescent="0.25">
      <c r="A1010" s="6"/>
      <c r="B1010" s="11"/>
      <c r="C1010" s="12"/>
      <c r="D1010" s="12"/>
      <c r="E1010" s="8">
        <f t="shared" si="14"/>
        <v>0</v>
      </c>
      <c r="F1010" s="10"/>
      <c r="G1010" s="10"/>
      <c r="H1010" s="9"/>
      <c r="I1010" s="7"/>
      <c r="J1010" s="7"/>
      <c r="K1010" s="7">
        <f ca="1">IFERROR(IF(COUNTA(J$56:J1010)=J$54,J1010,FORECAST(D1010,OFFSET(M$56:M$254,MATCH(D1010,L$56:L$254,1)-1,0,2), OFFSET(L$56:L$254,MATCH(D1010,L$56:L$254,1)-1,0,2))),"")</f>
        <v>0</v>
      </c>
      <c r="L1010" s="7" t="str">
        <f t="array" ref="L1010">IFERROR(INDEX(D$56:D$1054,SMALL(IF(ISNUMBER(J$56:J$1054),ROW(D$1:D$999),""),ROW(D955))),"")</f>
        <v/>
      </c>
      <c r="M1010" s="7" t="str">
        <f t="array" ref="M1010">IFERROR(INDEX(J$56:J$1054,SMALL(IF(ISNUMBER(J$56:J$1054),ROW(J$1:J$999),""),ROW(J955))),"")</f>
        <v/>
      </c>
      <c r="N1010" s="7"/>
      <c r="O1010" s="7"/>
      <c r="P1010" s="7"/>
      <c r="Q1010" s="7">
        <f ca="1">IFERROR(IF(COUNTA(P$56:P1010)=P$54,P1010,FORECAST(D1010,OFFSET(S$56:S$254,MATCH(D1010,R$56:R$254,1)-1,0,2), OFFSET(R$56:R$254,MATCH(D1010,R$56:R$254,1)-1,0,2))),"")</f>
        <v>0</v>
      </c>
      <c r="R1010" s="7" t="str">
        <f t="array" ref="R1010">IFERROR(INDEX(E$56:E$1054,SMALL(IF(ISNUMBER(P$56:P$1054),ROW(E$1:E$999),""),ROW(J955))),"")</f>
        <v/>
      </c>
      <c r="S1010" s="7" t="str">
        <f t="array" ref="S1010">IFERROR(INDEX(P$56:P$1054,SMALL(IF(ISNUMBER(P$56:P$1054),ROW(P$1:P$999),""),ROW(P955))),"")</f>
        <v/>
      </c>
      <c r="T1010" s="7"/>
      <c r="U1010" s="7"/>
      <c r="V1010" s="7"/>
    </row>
    <row r="1011" spans="1:22" x14ac:dyDescent="0.25">
      <c r="A1011" s="6"/>
      <c r="B1011" s="11"/>
      <c r="C1011" s="12"/>
      <c r="D1011" s="12"/>
      <c r="E1011" s="8">
        <f t="shared" si="14"/>
        <v>0</v>
      </c>
      <c r="F1011" s="10"/>
      <c r="G1011" s="10"/>
      <c r="H1011" s="9"/>
      <c r="I1011" s="7"/>
      <c r="J1011" s="7"/>
      <c r="K1011" s="7">
        <f ca="1">IFERROR(IF(COUNTA(J$56:J1011)=J$54,J1011,FORECAST(D1011,OFFSET(M$56:M$254,MATCH(D1011,L$56:L$254,1)-1,0,2), OFFSET(L$56:L$254,MATCH(D1011,L$56:L$254,1)-1,0,2))),"")</f>
        <v>0</v>
      </c>
      <c r="L1011" s="7" t="str">
        <f t="array" ref="L1011">IFERROR(INDEX(D$56:D$1054,SMALL(IF(ISNUMBER(J$56:J$1054),ROW(D$1:D$999),""),ROW(D956))),"")</f>
        <v/>
      </c>
      <c r="M1011" s="7" t="str">
        <f t="array" ref="M1011">IFERROR(INDEX(J$56:J$1054,SMALL(IF(ISNUMBER(J$56:J$1054),ROW(J$1:J$999),""),ROW(J956))),"")</f>
        <v/>
      </c>
      <c r="N1011" s="7"/>
      <c r="O1011" s="7"/>
      <c r="P1011" s="7"/>
      <c r="Q1011" s="7">
        <f ca="1">IFERROR(IF(COUNTA(P$56:P1011)=P$54,P1011,FORECAST(D1011,OFFSET(S$56:S$254,MATCH(D1011,R$56:R$254,1)-1,0,2), OFFSET(R$56:R$254,MATCH(D1011,R$56:R$254,1)-1,0,2))),"")</f>
        <v>0</v>
      </c>
      <c r="R1011" s="7" t="str">
        <f t="array" ref="R1011">IFERROR(INDEX(E$56:E$1054,SMALL(IF(ISNUMBER(P$56:P$1054),ROW(E$1:E$999),""),ROW(J956))),"")</f>
        <v/>
      </c>
      <c r="S1011" s="7" t="str">
        <f t="array" ref="S1011">IFERROR(INDEX(P$56:P$1054,SMALL(IF(ISNUMBER(P$56:P$1054),ROW(P$1:P$999),""),ROW(P956))),"")</f>
        <v/>
      </c>
      <c r="T1011" s="7"/>
      <c r="U1011" s="7"/>
      <c r="V1011" s="7"/>
    </row>
    <row r="1012" spans="1:22" x14ac:dyDescent="0.25">
      <c r="A1012" s="6"/>
      <c r="B1012" s="11"/>
      <c r="C1012" s="12"/>
      <c r="D1012" s="12"/>
      <c r="E1012" s="8">
        <f t="shared" si="14"/>
        <v>0</v>
      </c>
      <c r="F1012" s="10"/>
      <c r="G1012" s="10"/>
      <c r="H1012" s="9"/>
      <c r="I1012" s="7"/>
      <c r="J1012" s="7"/>
      <c r="K1012" s="7">
        <f ca="1">IFERROR(IF(COUNTA(J$56:J1012)=J$54,J1012,FORECAST(D1012,OFFSET(M$56:M$254,MATCH(D1012,L$56:L$254,1)-1,0,2), OFFSET(L$56:L$254,MATCH(D1012,L$56:L$254,1)-1,0,2))),"")</f>
        <v>0</v>
      </c>
      <c r="L1012" s="7" t="str">
        <f t="array" ref="L1012">IFERROR(INDEX(D$56:D$1054,SMALL(IF(ISNUMBER(J$56:J$1054),ROW(D$1:D$999),""),ROW(D957))),"")</f>
        <v/>
      </c>
      <c r="M1012" s="7" t="str">
        <f t="array" ref="M1012">IFERROR(INDEX(J$56:J$1054,SMALL(IF(ISNUMBER(J$56:J$1054),ROW(J$1:J$999),""),ROW(J957))),"")</f>
        <v/>
      </c>
      <c r="N1012" s="7"/>
      <c r="O1012" s="7"/>
      <c r="P1012" s="7"/>
      <c r="Q1012" s="7">
        <f ca="1">IFERROR(IF(COUNTA(P$56:P1012)=P$54,P1012,FORECAST(D1012,OFFSET(S$56:S$254,MATCH(D1012,R$56:R$254,1)-1,0,2), OFFSET(R$56:R$254,MATCH(D1012,R$56:R$254,1)-1,0,2))),"")</f>
        <v>0</v>
      </c>
      <c r="R1012" s="7" t="str">
        <f t="array" ref="R1012">IFERROR(INDEX(E$56:E$1054,SMALL(IF(ISNUMBER(P$56:P$1054),ROW(E$1:E$999),""),ROW(J957))),"")</f>
        <v/>
      </c>
      <c r="S1012" s="7" t="str">
        <f t="array" ref="S1012">IFERROR(INDEX(P$56:P$1054,SMALL(IF(ISNUMBER(P$56:P$1054),ROW(P$1:P$999),""),ROW(P957))),"")</f>
        <v/>
      </c>
      <c r="T1012" s="7"/>
      <c r="U1012" s="7"/>
      <c r="V1012" s="7"/>
    </row>
    <row r="1013" spans="1:22" x14ac:dyDescent="0.25">
      <c r="A1013" s="6"/>
      <c r="B1013" s="11"/>
      <c r="C1013" s="12"/>
      <c r="D1013" s="12"/>
      <c r="E1013" s="8">
        <f t="shared" si="14"/>
        <v>0</v>
      </c>
      <c r="F1013" s="10"/>
      <c r="G1013" s="10"/>
      <c r="H1013" s="9"/>
      <c r="I1013" s="7"/>
      <c r="J1013" s="7"/>
      <c r="K1013" s="7">
        <f ca="1">IFERROR(IF(COUNTA(J$56:J1013)=J$54,J1013,FORECAST(D1013,OFFSET(M$56:M$254,MATCH(D1013,L$56:L$254,1)-1,0,2), OFFSET(L$56:L$254,MATCH(D1013,L$56:L$254,1)-1,0,2))),"")</f>
        <v>0</v>
      </c>
      <c r="L1013" s="7" t="str">
        <f t="array" ref="L1013">IFERROR(INDEX(D$56:D$1054,SMALL(IF(ISNUMBER(J$56:J$1054),ROW(D$1:D$999),""),ROW(D958))),"")</f>
        <v/>
      </c>
      <c r="M1013" s="7" t="str">
        <f t="array" ref="M1013">IFERROR(INDEX(J$56:J$1054,SMALL(IF(ISNUMBER(J$56:J$1054),ROW(J$1:J$999),""),ROW(J958))),"")</f>
        <v/>
      </c>
      <c r="N1013" s="7"/>
      <c r="O1013" s="7"/>
      <c r="P1013" s="7"/>
      <c r="Q1013" s="7">
        <f ca="1">IFERROR(IF(COUNTA(P$56:P1013)=P$54,P1013,FORECAST(D1013,OFFSET(S$56:S$254,MATCH(D1013,R$56:R$254,1)-1,0,2), OFFSET(R$56:R$254,MATCH(D1013,R$56:R$254,1)-1,0,2))),"")</f>
        <v>0</v>
      </c>
      <c r="R1013" s="7" t="str">
        <f t="array" ref="R1013">IFERROR(INDEX(E$56:E$1054,SMALL(IF(ISNUMBER(P$56:P$1054),ROW(E$1:E$999),""),ROW(J958))),"")</f>
        <v/>
      </c>
      <c r="S1013" s="7" t="str">
        <f t="array" ref="S1013">IFERROR(INDEX(P$56:P$1054,SMALL(IF(ISNUMBER(P$56:P$1054),ROW(P$1:P$999),""),ROW(P958))),"")</f>
        <v/>
      </c>
      <c r="T1013" s="7"/>
      <c r="U1013" s="7"/>
      <c r="V1013" s="7"/>
    </row>
    <row r="1014" spans="1:22" x14ac:dyDescent="0.25">
      <c r="A1014" s="6"/>
      <c r="B1014" s="11"/>
      <c r="C1014" s="12"/>
      <c r="D1014" s="12"/>
      <c r="E1014" s="8">
        <f t="shared" si="14"/>
        <v>0</v>
      </c>
      <c r="F1014" s="10"/>
      <c r="G1014" s="10"/>
      <c r="H1014" s="9"/>
      <c r="I1014" s="7"/>
      <c r="J1014" s="7"/>
      <c r="K1014" s="7">
        <f ca="1">IFERROR(IF(COUNTA(J$56:J1014)=J$54,J1014,FORECAST(D1014,OFFSET(M$56:M$254,MATCH(D1014,L$56:L$254,1)-1,0,2), OFFSET(L$56:L$254,MATCH(D1014,L$56:L$254,1)-1,0,2))),"")</f>
        <v>0</v>
      </c>
      <c r="L1014" s="7" t="str">
        <f t="array" ref="L1014">IFERROR(INDEX(D$56:D$1054,SMALL(IF(ISNUMBER(J$56:J$1054),ROW(D$1:D$999),""),ROW(D959))),"")</f>
        <v/>
      </c>
      <c r="M1014" s="7" t="str">
        <f t="array" ref="M1014">IFERROR(INDEX(J$56:J$1054,SMALL(IF(ISNUMBER(J$56:J$1054),ROW(J$1:J$999),""),ROW(J959))),"")</f>
        <v/>
      </c>
      <c r="N1014" s="7"/>
      <c r="O1014" s="7"/>
      <c r="P1014" s="7"/>
      <c r="Q1014" s="7">
        <f ca="1">IFERROR(IF(COUNTA(P$56:P1014)=P$54,P1014,FORECAST(D1014,OFFSET(S$56:S$254,MATCH(D1014,R$56:R$254,1)-1,0,2), OFFSET(R$56:R$254,MATCH(D1014,R$56:R$254,1)-1,0,2))),"")</f>
        <v>0</v>
      </c>
      <c r="R1014" s="7" t="str">
        <f t="array" ref="R1014">IFERROR(INDEX(E$56:E$1054,SMALL(IF(ISNUMBER(P$56:P$1054),ROW(E$1:E$999),""),ROW(J959))),"")</f>
        <v/>
      </c>
      <c r="S1014" s="7" t="str">
        <f t="array" ref="S1014">IFERROR(INDEX(P$56:P$1054,SMALL(IF(ISNUMBER(P$56:P$1054),ROW(P$1:P$999),""),ROW(P959))),"")</f>
        <v/>
      </c>
      <c r="T1014" s="7"/>
      <c r="U1014" s="7"/>
      <c r="V1014" s="7"/>
    </row>
    <row r="1015" spans="1:22" x14ac:dyDescent="0.25">
      <c r="A1015" s="6"/>
      <c r="B1015" s="11"/>
      <c r="C1015" s="12"/>
      <c r="D1015" s="12"/>
      <c r="E1015" s="8">
        <f t="shared" si="14"/>
        <v>0</v>
      </c>
      <c r="F1015" s="10"/>
      <c r="G1015" s="10"/>
      <c r="H1015" s="9"/>
      <c r="I1015" s="7"/>
      <c r="J1015" s="7"/>
      <c r="K1015" s="7">
        <f ca="1">IFERROR(IF(COUNTA(J$56:J1015)=J$54,J1015,FORECAST(D1015,OFFSET(M$56:M$254,MATCH(D1015,L$56:L$254,1)-1,0,2), OFFSET(L$56:L$254,MATCH(D1015,L$56:L$254,1)-1,0,2))),"")</f>
        <v>0</v>
      </c>
      <c r="L1015" s="7" t="str">
        <f t="array" ref="L1015">IFERROR(INDEX(D$56:D$1054,SMALL(IF(ISNUMBER(J$56:J$1054),ROW(D$1:D$999),""),ROW(D960))),"")</f>
        <v/>
      </c>
      <c r="M1015" s="7" t="str">
        <f t="array" ref="M1015">IFERROR(INDEX(J$56:J$1054,SMALL(IF(ISNUMBER(J$56:J$1054),ROW(J$1:J$999),""),ROW(J960))),"")</f>
        <v/>
      </c>
      <c r="N1015" s="7"/>
      <c r="O1015" s="7"/>
      <c r="P1015" s="7"/>
      <c r="Q1015" s="7">
        <f ca="1">IFERROR(IF(COUNTA(P$56:P1015)=P$54,P1015,FORECAST(D1015,OFFSET(S$56:S$254,MATCH(D1015,R$56:R$254,1)-1,0,2), OFFSET(R$56:R$254,MATCH(D1015,R$56:R$254,1)-1,0,2))),"")</f>
        <v>0</v>
      </c>
      <c r="R1015" s="7" t="str">
        <f t="array" ref="R1015">IFERROR(INDEX(E$56:E$1054,SMALL(IF(ISNUMBER(P$56:P$1054),ROW(E$1:E$999),""),ROW(J960))),"")</f>
        <v/>
      </c>
      <c r="S1015" s="7" t="str">
        <f t="array" ref="S1015">IFERROR(INDEX(P$56:P$1054,SMALL(IF(ISNUMBER(P$56:P$1054),ROW(P$1:P$999),""),ROW(P960))),"")</f>
        <v/>
      </c>
      <c r="T1015" s="7"/>
      <c r="U1015" s="7"/>
      <c r="V1015" s="7"/>
    </row>
    <row r="1016" spans="1:22" x14ac:dyDescent="0.25">
      <c r="A1016" s="6"/>
      <c r="B1016" s="11"/>
      <c r="C1016" s="12"/>
      <c r="D1016" s="12"/>
      <c r="E1016" s="8">
        <f t="shared" si="14"/>
        <v>0</v>
      </c>
      <c r="F1016" s="10"/>
      <c r="G1016" s="10"/>
      <c r="H1016" s="9"/>
      <c r="I1016" s="7"/>
      <c r="J1016" s="7"/>
      <c r="K1016" s="7">
        <f ca="1">IFERROR(IF(COUNTA(J$56:J1016)=J$54,J1016,FORECAST(D1016,OFFSET(M$56:M$254,MATCH(D1016,L$56:L$254,1)-1,0,2), OFFSET(L$56:L$254,MATCH(D1016,L$56:L$254,1)-1,0,2))),"")</f>
        <v>0</v>
      </c>
      <c r="L1016" s="7" t="str">
        <f t="array" ref="L1016">IFERROR(INDEX(D$56:D$1054,SMALL(IF(ISNUMBER(J$56:J$1054),ROW(D$1:D$999),""),ROW(D961))),"")</f>
        <v/>
      </c>
      <c r="M1016" s="7" t="str">
        <f t="array" ref="M1016">IFERROR(INDEX(J$56:J$1054,SMALL(IF(ISNUMBER(J$56:J$1054),ROW(J$1:J$999),""),ROW(J961))),"")</f>
        <v/>
      </c>
      <c r="N1016" s="7"/>
      <c r="O1016" s="7"/>
      <c r="P1016" s="7"/>
      <c r="Q1016" s="7">
        <f ca="1">IFERROR(IF(COUNTA(P$56:P1016)=P$54,P1016,FORECAST(D1016,OFFSET(S$56:S$254,MATCH(D1016,R$56:R$254,1)-1,0,2), OFFSET(R$56:R$254,MATCH(D1016,R$56:R$254,1)-1,0,2))),"")</f>
        <v>0</v>
      </c>
      <c r="R1016" s="7" t="str">
        <f t="array" ref="R1016">IFERROR(INDEX(E$56:E$1054,SMALL(IF(ISNUMBER(P$56:P$1054),ROW(E$1:E$999),""),ROW(J961))),"")</f>
        <v/>
      </c>
      <c r="S1016" s="7" t="str">
        <f t="array" ref="S1016">IFERROR(INDEX(P$56:P$1054,SMALL(IF(ISNUMBER(P$56:P$1054),ROW(P$1:P$999),""),ROW(P961))),"")</f>
        <v/>
      </c>
      <c r="T1016" s="7"/>
      <c r="U1016" s="7"/>
      <c r="V1016" s="7"/>
    </row>
    <row r="1017" spans="1:22" x14ac:dyDescent="0.25">
      <c r="A1017" s="6"/>
      <c r="B1017" s="11"/>
      <c r="C1017" s="12"/>
      <c r="D1017" s="12"/>
      <c r="E1017" s="8">
        <f t="shared" si="14"/>
        <v>0</v>
      </c>
      <c r="F1017" s="10"/>
      <c r="G1017" s="10"/>
      <c r="H1017" s="9"/>
      <c r="I1017" s="7"/>
      <c r="J1017" s="7"/>
      <c r="K1017" s="7">
        <f ca="1">IFERROR(IF(COUNTA(J$56:J1017)=J$54,J1017,FORECAST(D1017,OFFSET(M$56:M$254,MATCH(D1017,L$56:L$254,1)-1,0,2), OFFSET(L$56:L$254,MATCH(D1017,L$56:L$254,1)-1,0,2))),"")</f>
        <v>0</v>
      </c>
      <c r="L1017" s="7" t="str">
        <f t="array" ref="L1017">IFERROR(INDEX(D$56:D$1054,SMALL(IF(ISNUMBER(J$56:J$1054),ROW(D$1:D$999),""),ROW(D962))),"")</f>
        <v/>
      </c>
      <c r="M1017" s="7" t="str">
        <f t="array" ref="M1017">IFERROR(INDEX(J$56:J$1054,SMALL(IF(ISNUMBER(J$56:J$1054),ROW(J$1:J$999),""),ROW(J962))),"")</f>
        <v/>
      </c>
      <c r="N1017" s="7"/>
      <c r="O1017" s="7"/>
      <c r="P1017" s="7"/>
      <c r="Q1017" s="7">
        <f ca="1">IFERROR(IF(COUNTA(P$56:P1017)=P$54,P1017,FORECAST(D1017,OFFSET(S$56:S$254,MATCH(D1017,R$56:R$254,1)-1,0,2), OFFSET(R$56:R$254,MATCH(D1017,R$56:R$254,1)-1,0,2))),"")</f>
        <v>0</v>
      </c>
      <c r="R1017" s="7" t="str">
        <f t="array" ref="R1017">IFERROR(INDEX(E$56:E$1054,SMALL(IF(ISNUMBER(P$56:P$1054),ROW(E$1:E$999),""),ROW(J962))),"")</f>
        <v/>
      </c>
      <c r="S1017" s="7" t="str">
        <f t="array" ref="S1017">IFERROR(INDEX(P$56:P$1054,SMALL(IF(ISNUMBER(P$56:P$1054),ROW(P$1:P$999),""),ROW(P962))),"")</f>
        <v/>
      </c>
      <c r="T1017" s="7"/>
      <c r="U1017" s="7"/>
      <c r="V1017" s="7"/>
    </row>
    <row r="1018" spans="1:22" x14ac:dyDescent="0.25">
      <c r="A1018" s="6"/>
      <c r="B1018" s="11"/>
      <c r="C1018" s="12"/>
      <c r="D1018" s="12"/>
      <c r="E1018" s="8">
        <f t="shared" ref="E1018:E1081" si="15">IF(NOT(ISBLANK(D1018)),D1018+C$54,0)</f>
        <v>0</v>
      </c>
      <c r="F1018" s="10"/>
      <c r="G1018" s="10"/>
      <c r="H1018" s="9"/>
      <c r="I1018" s="7"/>
      <c r="J1018" s="7"/>
      <c r="K1018" s="7">
        <f ca="1">IFERROR(IF(COUNTA(J$56:J1018)=J$54,J1018,FORECAST(D1018,OFFSET(M$56:M$254,MATCH(D1018,L$56:L$254,1)-1,0,2), OFFSET(L$56:L$254,MATCH(D1018,L$56:L$254,1)-1,0,2))),"")</f>
        <v>0</v>
      </c>
      <c r="L1018" s="7" t="str">
        <f t="array" ref="L1018">IFERROR(INDEX(D$56:D$1054,SMALL(IF(ISNUMBER(J$56:J$1054),ROW(D$1:D$999),""),ROW(D963))),"")</f>
        <v/>
      </c>
      <c r="M1018" s="7" t="str">
        <f t="array" ref="M1018">IFERROR(INDEX(J$56:J$1054,SMALL(IF(ISNUMBER(J$56:J$1054),ROW(J$1:J$999),""),ROW(J963))),"")</f>
        <v/>
      </c>
      <c r="N1018" s="7"/>
      <c r="O1018" s="7"/>
      <c r="P1018" s="7"/>
      <c r="Q1018" s="7">
        <f ca="1">IFERROR(IF(COUNTA(P$56:P1018)=P$54,P1018,FORECAST(D1018,OFFSET(S$56:S$254,MATCH(D1018,R$56:R$254,1)-1,0,2), OFFSET(R$56:R$254,MATCH(D1018,R$56:R$254,1)-1,0,2))),"")</f>
        <v>0</v>
      </c>
      <c r="R1018" s="7" t="str">
        <f t="array" ref="R1018">IFERROR(INDEX(E$56:E$1054,SMALL(IF(ISNUMBER(P$56:P$1054),ROW(E$1:E$999),""),ROW(J963))),"")</f>
        <v/>
      </c>
      <c r="S1018" s="7" t="str">
        <f t="array" ref="S1018">IFERROR(INDEX(P$56:P$1054,SMALL(IF(ISNUMBER(P$56:P$1054),ROW(P$1:P$999),""),ROW(P963))),"")</f>
        <v/>
      </c>
      <c r="T1018" s="7"/>
      <c r="U1018" s="7"/>
      <c r="V1018" s="7"/>
    </row>
    <row r="1019" spans="1:22" x14ac:dyDescent="0.25">
      <c r="A1019" s="6"/>
      <c r="B1019" s="11"/>
      <c r="C1019" s="12"/>
      <c r="D1019" s="12"/>
      <c r="E1019" s="8">
        <f t="shared" si="15"/>
        <v>0</v>
      </c>
      <c r="F1019" s="10"/>
      <c r="G1019" s="10"/>
      <c r="H1019" s="9"/>
      <c r="I1019" s="7"/>
      <c r="J1019" s="7"/>
      <c r="K1019" s="7">
        <f ca="1">IFERROR(IF(COUNTA(J$56:J1019)=J$54,J1019,FORECAST(D1019,OFFSET(M$56:M$254,MATCH(D1019,L$56:L$254,1)-1,0,2), OFFSET(L$56:L$254,MATCH(D1019,L$56:L$254,1)-1,0,2))),"")</f>
        <v>0</v>
      </c>
      <c r="L1019" s="7" t="str">
        <f t="array" ref="L1019">IFERROR(INDEX(D$56:D$1054,SMALL(IF(ISNUMBER(J$56:J$1054),ROW(D$1:D$999),""),ROW(D964))),"")</f>
        <v/>
      </c>
      <c r="M1019" s="7" t="str">
        <f t="array" ref="M1019">IFERROR(INDEX(J$56:J$1054,SMALL(IF(ISNUMBER(J$56:J$1054),ROW(J$1:J$999),""),ROW(J964))),"")</f>
        <v/>
      </c>
      <c r="N1019" s="7"/>
      <c r="O1019" s="7"/>
      <c r="P1019" s="7"/>
      <c r="Q1019" s="7">
        <f ca="1">IFERROR(IF(COUNTA(P$56:P1019)=P$54,P1019,FORECAST(D1019,OFFSET(S$56:S$254,MATCH(D1019,R$56:R$254,1)-1,0,2), OFFSET(R$56:R$254,MATCH(D1019,R$56:R$254,1)-1,0,2))),"")</f>
        <v>0</v>
      </c>
      <c r="R1019" s="7" t="str">
        <f t="array" ref="R1019">IFERROR(INDEX(E$56:E$1054,SMALL(IF(ISNUMBER(P$56:P$1054),ROW(E$1:E$999),""),ROW(J964))),"")</f>
        <v/>
      </c>
      <c r="S1019" s="7" t="str">
        <f t="array" ref="S1019">IFERROR(INDEX(P$56:P$1054,SMALL(IF(ISNUMBER(P$56:P$1054),ROW(P$1:P$999),""),ROW(P964))),"")</f>
        <v/>
      </c>
      <c r="T1019" s="7"/>
      <c r="U1019" s="7"/>
      <c r="V1019" s="7"/>
    </row>
    <row r="1020" spans="1:22" x14ac:dyDescent="0.25">
      <c r="A1020" s="6"/>
      <c r="B1020" s="11"/>
      <c r="C1020" s="12"/>
      <c r="D1020" s="12"/>
      <c r="E1020" s="8">
        <f t="shared" si="15"/>
        <v>0</v>
      </c>
      <c r="F1020" s="10"/>
      <c r="G1020" s="10"/>
      <c r="H1020" s="9"/>
      <c r="I1020" s="7"/>
      <c r="J1020" s="7"/>
      <c r="K1020" s="7">
        <f ca="1">IFERROR(IF(COUNTA(J$56:J1020)=J$54,J1020,FORECAST(D1020,OFFSET(M$56:M$254,MATCH(D1020,L$56:L$254,1)-1,0,2), OFFSET(L$56:L$254,MATCH(D1020,L$56:L$254,1)-1,0,2))),"")</f>
        <v>0</v>
      </c>
      <c r="L1020" s="7" t="str">
        <f t="array" ref="L1020">IFERROR(INDEX(D$56:D$1054,SMALL(IF(ISNUMBER(J$56:J$1054),ROW(D$1:D$999),""),ROW(D965))),"")</f>
        <v/>
      </c>
      <c r="M1020" s="7" t="str">
        <f t="array" ref="M1020">IFERROR(INDEX(J$56:J$1054,SMALL(IF(ISNUMBER(J$56:J$1054),ROW(J$1:J$999),""),ROW(J965))),"")</f>
        <v/>
      </c>
      <c r="N1020" s="7"/>
      <c r="O1020" s="7"/>
      <c r="P1020" s="7"/>
      <c r="Q1020" s="7">
        <f ca="1">IFERROR(IF(COUNTA(P$56:P1020)=P$54,P1020,FORECAST(D1020,OFFSET(S$56:S$254,MATCH(D1020,R$56:R$254,1)-1,0,2), OFFSET(R$56:R$254,MATCH(D1020,R$56:R$254,1)-1,0,2))),"")</f>
        <v>0</v>
      </c>
      <c r="R1020" s="7" t="str">
        <f t="array" ref="R1020">IFERROR(INDEX(E$56:E$1054,SMALL(IF(ISNUMBER(P$56:P$1054),ROW(E$1:E$999),""),ROW(J965))),"")</f>
        <v/>
      </c>
      <c r="S1020" s="7" t="str">
        <f t="array" ref="S1020">IFERROR(INDEX(P$56:P$1054,SMALL(IF(ISNUMBER(P$56:P$1054),ROW(P$1:P$999),""),ROW(P965))),"")</f>
        <v/>
      </c>
      <c r="T1020" s="7"/>
      <c r="U1020" s="7"/>
      <c r="V1020" s="7"/>
    </row>
    <row r="1021" spans="1:22" x14ac:dyDescent="0.25">
      <c r="A1021" s="6"/>
      <c r="B1021" s="11"/>
      <c r="C1021" s="12"/>
      <c r="D1021" s="12"/>
      <c r="E1021" s="8">
        <f t="shared" si="15"/>
        <v>0</v>
      </c>
      <c r="F1021" s="10"/>
      <c r="G1021" s="10"/>
      <c r="H1021" s="9"/>
      <c r="I1021" s="7"/>
      <c r="J1021" s="7"/>
      <c r="K1021" s="7">
        <f ca="1">IFERROR(IF(COUNTA(J$56:J1021)=J$54,J1021,FORECAST(D1021,OFFSET(M$56:M$254,MATCH(D1021,L$56:L$254,1)-1,0,2), OFFSET(L$56:L$254,MATCH(D1021,L$56:L$254,1)-1,0,2))),"")</f>
        <v>0</v>
      </c>
      <c r="L1021" s="7" t="str">
        <f t="array" ref="L1021">IFERROR(INDEX(D$56:D$1054,SMALL(IF(ISNUMBER(J$56:J$1054),ROW(D$1:D$999),""),ROW(D966))),"")</f>
        <v/>
      </c>
      <c r="M1021" s="7" t="str">
        <f t="array" ref="M1021">IFERROR(INDEX(J$56:J$1054,SMALL(IF(ISNUMBER(J$56:J$1054),ROW(J$1:J$999),""),ROW(J966))),"")</f>
        <v/>
      </c>
      <c r="N1021" s="7"/>
      <c r="O1021" s="7"/>
      <c r="P1021" s="7"/>
      <c r="Q1021" s="7">
        <f ca="1">IFERROR(IF(COUNTA(P$56:P1021)=P$54,P1021,FORECAST(D1021,OFFSET(S$56:S$254,MATCH(D1021,R$56:R$254,1)-1,0,2), OFFSET(R$56:R$254,MATCH(D1021,R$56:R$254,1)-1,0,2))),"")</f>
        <v>0</v>
      </c>
      <c r="R1021" s="7" t="str">
        <f t="array" ref="R1021">IFERROR(INDEX(E$56:E$1054,SMALL(IF(ISNUMBER(P$56:P$1054),ROW(E$1:E$999),""),ROW(J966))),"")</f>
        <v/>
      </c>
      <c r="S1021" s="7" t="str">
        <f t="array" ref="S1021">IFERROR(INDEX(P$56:P$1054,SMALL(IF(ISNUMBER(P$56:P$1054),ROW(P$1:P$999),""),ROW(P966))),"")</f>
        <v/>
      </c>
      <c r="T1021" s="7"/>
      <c r="U1021" s="7"/>
      <c r="V1021" s="7"/>
    </row>
    <row r="1022" spans="1:22" x14ac:dyDescent="0.25">
      <c r="A1022" s="6"/>
      <c r="B1022" s="11"/>
      <c r="C1022" s="12"/>
      <c r="D1022" s="12"/>
      <c r="E1022" s="8">
        <f t="shared" si="15"/>
        <v>0</v>
      </c>
      <c r="F1022" s="10"/>
      <c r="G1022" s="10"/>
      <c r="H1022" s="9"/>
      <c r="I1022" s="7"/>
      <c r="J1022" s="7"/>
      <c r="K1022" s="7">
        <f ca="1">IFERROR(IF(COUNTA(J$56:J1022)=J$54,J1022,FORECAST(D1022,OFFSET(M$56:M$254,MATCH(D1022,L$56:L$254,1)-1,0,2), OFFSET(L$56:L$254,MATCH(D1022,L$56:L$254,1)-1,0,2))),"")</f>
        <v>0</v>
      </c>
      <c r="L1022" s="7" t="str">
        <f t="array" ref="L1022">IFERROR(INDEX(D$56:D$1054,SMALL(IF(ISNUMBER(J$56:J$1054),ROW(D$1:D$999),""),ROW(D967))),"")</f>
        <v/>
      </c>
      <c r="M1022" s="7" t="str">
        <f t="array" ref="M1022">IFERROR(INDEX(J$56:J$1054,SMALL(IF(ISNUMBER(J$56:J$1054),ROW(J$1:J$999),""),ROW(J967))),"")</f>
        <v/>
      </c>
      <c r="N1022" s="7"/>
      <c r="O1022" s="7"/>
      <c r="P1022" s="7"/>
      <c r="Q1022" s="7">
        <f ca="1">IFERROR(IF(COUNTA(P$56:P1022)=P$54,P1022,FORECAST(D1022,OFFSET(S$56:S$254,MATCH(D1022,R$56:R$254,1)-1,0,2), OFFSET(R$56:R$254,MATCH(D1022,R$56:R$254,1)-1,0,2))),"")</f>
        <v>0</v>
      </c>
      <c r="R1022" s="7" t="str">
        <f t="array" ref="R1022">IFERROR(INDEX(E$56:E$1054,SMALL(IF(ISNUMBER(P$56:P$1054),ROW(E$1:E$999),""),ROW(J967))),"")</f>
        <v/>
      </c>
      <c r="S1022" s="7" t="str">
        <f t="array" ref="S1022">IFERROR(INDEX(P$56:P$1054,SMALL(IF(ISNUMBER(P$56:P$1054),ROW(P$1:P$999),""),ROW(P967))),"")</f>
        <v/>
      </c>
      <c r="T1022" s="7"/>
      <c r="U1022" s="7"/>
      <c r="V1022" s="7"/>
    </row>
    <row r="1023" spans="1:22" x14ac:dyDescent="0.25">
      <c r="A1023" s="6"/>
      <c r="B1023" s="11"/>
      <c r="C1023" s="12"/>
      <c r="D1023" s="12"/>
      <c r="E1023" s="8">
        <f t="shared" si="15"/>
        <v>0</v>
      </c>
      <c r="F1023" s="10"/>
      <c r="G1023" s="10"/>
      <c r="H1023" s="9"/>
      <c r="I1023" s="7"/>
      <c r="J1023" s="7"/>
      <c r="K1023" s="7">
        <f ca="1">IFERROR(IF(COUNTA(J$56:J1023)=J$54,J1023,FORECAST(D1023,OFFSET(M$56:M$254,MATCH(D1023,L$56:L$254,1)-1,0,2), OFFSET(L$56:L$254,MATCH(D1023,L$56:L$254,1)-1,0,2))),"")</f>
        <v>0</v>
      </c>
      <c r="L1023" s="7" t="str">
        <f t="array" ref="L1023">IFERROR(INDEX(D$56:D$1054,SMALL(IF(ISNUMBER(J$56:J$1054),ROW(D$1:D$999),""),ROW(D968))),"")</f>
        <v/>
      </c>
      <c r="M1023" s="7" t="str">
        <f t="array" ref="M1023">IFERROR(INDEX(J$56:J$1054,SMALL(IF(ISNUMBER(J$56:J$1054),ROW(J$1:J$999),""),ROW(J968))),"")</f>
        <v/>
      </c>
      <c r="N1023" s="7"/>
      <c r="O1023" s="7"/>
      <c r="P1023" s="7"/>
      <c r="Q1023" s="7">
        <f ca="1">IFERROR(IF(COUNTA(P$56:P1023)=P$54,P1023,FORECAST(D1023,OFFSET(S$56:S$254,MATCH(D1023,R$56:R$254,1)-1,0,2), OFFSET(R$56:R$254,MATCH(D1023,R$56:R$254,1)-1,0,2))),"")</f>
        <v>0</v>
      </c>
      <c r="R1023" s="7" t="str">
        <f t="array" ref="R1023">IFERROR(INDEX(E$56:E$1054,SMALL(IF(ISNUMBER(P$56:P$1054),ROW(E$1:E$999),""),ROW(J968))),"")</f>
        <v/>
      </c>
      <c r="S1023" s="7" t="str">
        <f t="array" ref="S1023">IFERROR(INDEX(P$56:P$1054,SMALL(IF(ISNUMBER(P$56:P$1054),ROW(P$1:P$999),""),ROW(P968))),"")</f>
        <v/>
      </c>
      <c r="T1023" s="7"/>
      <c r="U1023" s="7"/>
      <c r="V1023" s="7"/>
    </row>
    <row r="1024" spans="1:22" x14ac:dyDescent="0.25">
      <c r="A1024" s="6"/>
      <c r="B1024" s="11"/>
      <c r="C1024" s="12"/>
      <c r="D1024" s="12"/>
      <c r="E1024" s="8">
        <f t="shared" si="15"/>
        <v>0</v>
      </c>
      <c r="F1024" s="10"/>
      <c r="G1024" s="10"/>
      <c r="H1024" s="9"/>
      <c r="I1024" s="7"/>
      <c r="J1024" s="7"/>
      <c r="K1024" s="7">
        <f ca="1">IFERROR(IF(COUNTA(J$56:J1024)=J$54,J1024,FORECAST(D1024,OFFSET(M$56:M$254,MATCH(D1024,L$56:L$254,1)-1,0,2), OFFSET(L$56:L$254,MATCH(D1024,L$56:L$254,1)-1,0,2))),"")</f>
        <v>0</v>
      </c>
      <c r="L1024" s="7" t="str">
        <f t="array" ref="L1024">IFERROR(INDEX(D$56:D$1054,SMALL(IF(ISNUMBER(J$56:J$1054),ROW(D$1:D$999),""),ROW(D969))),"")</f>
        <v/>
      </c>
      <c r="M1024" s="7" t="str">
        <f t="array" ref="M1024">IFERROR(INDEX(J$56:J$1054,SMALL(IF(ISNUMBER(J$56:J$1054),ROW(J$1:J$999),""),ROW(J969))),"")</f>
        <v/>
      </c>
      <c r="N1024" s="7"/>
      <c r="O1024" s="7"/>
      <c r="P1024" s="7"/>
      <c r="Q1024" s="7">
        <f ca="1">IFERROR(IF(COUNTA(P$56:P1024)=P$54,P1024,FORECAST(D1024,OFFSET(S$56:S$254,MATCH(D1024,R$56:R$254,1)-1,0,2), OFFSET(R$56:R$254,MATCH(D1024,R$56:R$254,1)-1,0,2))),"")</f>
        <v>0</v>
      </c>
      <c r="R1024" s="7" t="str">
        <f t="array" ref="R1024">IFERROR(INDEX(E$56:E$1054,SMALL(IF(ISNUMBER(P$56:P$1054),ROW(E$1:E$999),""),ROW(J969))),"")</f>
        <v/>
      </c>
      <c r="S1024" s="7" t="str">
        <f t="array" ref="S1024">IFERROR(INDEX(P$56:P$1054,SMALL(IF(ISNUMBER(P$56:P$1054),ROW(P$1:P$999),""),ROW(P969))),"")</f>
        <v/>
      </c>
      <c r="T1024" s="7"/>
      <c r="U1024" s="7"/>
      <c r="V1024" s="7"/>
    </row>
    <row r="1025" spans="1:22" x14ac:dyDescent="0.25">
      <c r="A1025" s="6"/>
      <c r="B1025" s="11"/>
      <c r="C1025" s="12"/>
      <c r="D1025" s="12"/>
      <c r="E1025" s="8">
        <f t="shared" si="15"/>
        <v>0</v>
      </c>
      <c r="F1025" s="10"/>
      <c r="G1025" s="10"/>
      <c r="H1025" s="9"/>
      <c r="I1025" s="7"/>
      <c r="J1025" s="7"/>
      <c r="K1025" s="7">
        <f ca="1">IFERROR(IF(COUNTA(J$56:J1025)=J$54,J1025,FORECAST(D1025,OFFSET(M$56:M$254,MATCH(D1025,L$56:L$254,1)-1,0,2), OFFSET(L$56:L$254,MATCH(D1025,L$56:L$254,1)-1,0,2))),"")</f>
        <v>0</v>
      </c>
      <c r="L1025" s="7" t="str">
        <f t="array" ref="L1025">IFERROR(INDEX(D$56:D$1054,SMALL(IF(ISNUMBER(J$56:J$1054),ROW(D$1:D$999),""),ROW(D970))),"")</f>
        <v/>
      </c>
      <c r="M1025" s="7" t="str">
        <f t="array" ref="M1025">IFERROR(INDEX(J$56:J$1054,SMALL(IF(ISNUMBER(J$56:J$1054),ROW(J$1:J$999),""),ROW(J970))),"")</f>
        <v/>
      </c>
      <c r="N1025" s="7"/>
      <c r="O1025" s="7"/>
      <c r="P1025" s="7"/>
      <c r="Q1025" s="7">
        <f ca="1">IFERROR(IF(COUNTA(P$56:P1025)=P$54,P1025,FORECAST(D1025,OFFSET(S$56:S$254,MATCH(D1025,R$56:R$254,1)-1,0,2), OFFSET(R$56:R$254,MATCH(D1025,R$56:R$254,1)-1,0,2))),"")</f>
        <v>0</v>
      </c>
      <c r="R1025" s="7" t="str">
        <f t="array" ref="R1025">IFERROR(INDEX(E$56:E$1054,SMALL(IF(ISNUMBER(P$56:P$1054),ROW(E$1:E$999),""),ROW(J970))),"")</f>
        <v/>
      </c>
      <c r="S1025" s="7" t="str">
        <f t="array" ref="S1025">IFERROR(INDEX(P$56:P$1054,SMALL(IF(ISNUMBER(P$56:P$1054),ROW(P$1:P$999),""),ROW(P970))),"")</f>
        <v/>
      </c>
      <c r="T1025" s="7"/>
      <c r="U1025" s="7"/>
      <c r="V1025" s="7"/>
    </row>
    <row r="1026" spans="1:22" x14ac:dyDescent="0.25">
      <c r="A1026" s="6"/>
      <c r="B1026" s="11"/>
      <c r="C1026" s="12"/>
      <c r="D1026" s="12"/>
      <c r="E1026" s="8">
        <f t="shared" si="15"/>
        <v>0</v>
      </c>
      <c r="F1026" s="10"/>
      <c r="G1026" s="10"/>
      <c r="H1026" s="9"/>
      <c r="I1026" s="7"/>
      <c r="J1026" s="7"/>
      <c r="K1026" s="7">
        <f ca="1">IFERROR(IF(COUNTA(J$56:J1026)=J$54,J1026,FORECAST(D1026,OFFSET(M$56:M$254,MATCH(D1026,L$56:L$254,1)-1,0,2), OFFSET(L$56:L$254,MATCH(D1026,L$56:L$254,1)-1,0,2))),"")</f>
        <v>0</v>
      </c>
      <c r="L1026" s="7" t="str">
        <f t="array" ref="L1026">IFERROR(INDEX(D$56:D$1054,SMALL(IF(ISNUMBER(J$56:J$1054),ROW(D$1:D$999),""),ROW(D971))),"")</f>
        <v/>
      </c>
      <c r="M1026" s="7" t="str">
        <f t="array" ref="M1026">IFERROR(INDEX(J$56:J$1054,SMALL(IF(ISNUMBER(J$56:J$1054),ROW(J$1:J$999),""),ROW(J971))),"")</f>
        <v/>
      </c>
      <c r="N1026" s="7"/>
      <c r="O1026" s="7"/>
      <c r="P1026" s="7"/>
      <c r="Q1026" s="7">
        <f ca="1">IFERROR(IF(COUNTA(P$56:P1026)=P$54,P1026,FORECAST(D1026,OFFSET(S$56:S$254,MATCH(D1026,R$56:R$254,1)-1,0,2), OFFSET(R$56:R$254,MATCH(D1026,R$56:R$254,1)-1,0,2))),"")</f>
        <v>0</v>
      </c>
      <c r="R1026" s="7" t="str">
        <f t="array" ref="R1026">IFERROR(INDEX(E$56:E$1054,SMALL(IF(ISNUMBER(P$56:P$1054),ROW(E$1:E$999),""),ROW(J971))),"")</f>
        <v/>
      </c>
      <c r="S1026" s="7" t="str">
        <f t="array" ref="S1026">IFERROR(INDEX(P$56:P$1054,SMALL(IF(ISNUMBER(P$56:P$1054),ROW(P$1:P$999),""),ROW(P971))),"")</f>
        <v/>
      </c>
      <c r="T1026" s="7"/>
      <c r="U1026" s="7"/>
      <c r="V1026" s="7"/>
    </row>
    <row r="1027" spans="1:22" x14ac:dyDescent="0.25">
      <c r="A1027" s="6"/>
      <c r="B1027" s="11"/>
      <c r="C1027" s="12"/>
      <c r="D1027" s="12"/>
      <c r="E1027" s="8">
        <f t="shared" si="15"/>
        <v>0</v>
      </c>
      <c r="F1027" s="10"/>
      <c r="G1027" s="10"/>
      <c r="H1027" s="9"/>
      <c r="I1027" s="7"/>
      <c r="J1027" s="7"/>
      <c r="K1027" s="7">
        <f ca="1">IFERROR(IF(COUNTA(J$56:J1027)=J$54,J1027,FORECAST(D1027,OFFSET(M$56:M$254,MATCH(D1027,L$56:L$254,1)-1,0,2), OFFSET(L$56:L$254,MATCH(D1027,L$56:L$254,1)-1,0,2))),"")</f>
        <v>0</v>
      </c>
      <c r="L1027" s="7" t="str">
        <f t="array" ref="L1027">IFERROR(INDEX(D$56:D$1054,SMALL(IF(ISNUMBER(J$56:J$1054),ROW(D$1:D$999),""),ROW(D972))),"")</f>
        <v/>
      </c>
      <c r="M1027" s="7" t="str">
        <f t="array" ref="M1027">IFERROR(INDEX(J$56:J$1054,SMALL(IF(ISNUMBER(J$56:J$1054),ROW(J$1:J$999),""),ROW(J972))),"")</f>
        <v/>
      </c>
      <c r="N1027" s="7"/>
      <c r="O1027" s="7"/>
      <c r="P1027" s="7"/>
      <c r="Q1027" s="7">
        <f ca="1">IFERROR(IF(COUNTA(P$56:P1027)=P$54,P1027,FORECAST(D1027,OFFSET(S$56:S$254,MATCH(D1027,R$56:R$254,1)-1,0,2), OFFSET(R$56:R$254,MATCH(D1027,R$56:R$254,1)-1,0,2))),"")</f>
        <v>0</v>
      </c>
      <c r="R1027" s="7" t="str">
        <f t="array" ref="R1027">IFERROR(INDEX(E$56:E$1054,SMALL(IF(ISNUMBER(P$56:P$1054),ROW(E$1:E$999),""),ROW(J972))),"")</f>
        <v/>
      </c>
      <c r="S1027" s="7" t="str">
        <f t="array" ref="S1027">IFERROR(INDEX(P$56:P$1054,SMALL(IF(ISNUMBER(P$56:P$1054),ROW(P$1:P$999),""),ROW(P972))),"")</f>
        <v/>
      </c>
      <c r="T1027" s="7"/>
      <c r="U1027" s="7"/>
      <c r="V1027" s="7"/>
    </row>
    <row r="1028" spans="1:22" x14ac:dyDescent="0.25">
      <c r="A1028" s="6"/>
      <c r="B1028" s="11"/>
      <c r="C1028" s="12"/>
      <c r="D1028" s="12"/>
      <c r="E1028" s="8">
        <f t="shared" si="15"/>
        <v>0</v>
      </c>
      <c r="F1028" s="10"/>
      <c r="G1028" s="10"/>
      <c r="H1028" s="9"/>
      <c r="I1028" s="7"/>
      <c r="J1028" s="7"/>
      <c r="K1028" s="7">
        <f ca="1">IFERROR(IF(COUNTA(J$56:J1028)=J$54,J1028,FORECAST(D1028,OFFSET(M$56:M$254,MATCH(D1028,L$56:L$254,1)-1,0,2), OFFSET(L$56:L$254,MATCH(D1028,L$56:L$254,1)-1,0,2))),"")</f>
        <v>0</v>
      </c>
      <c r="L1028" s="7" t="str">
        <f t="array" ref="L1028">IFERROR(INDEX(D$56:D$1054,SMALL(IF(ISNUMBER(J$56:J$1054),ROW(D$1:D$999),""),ROW(D973))),"")</f>
        <v/>
      </c>
      <c r="M1028" s="7" t="str">
        <f t="array" ref="M1028">IFERROR(INDEX(J$56:J$1054,SMALL(IF(ISNUMBER(J$56:J$1054),ROW(J$1:J$999),""),ROW(J973))),"")</f>
        <v/>
      </c>
      <c r="N1028" s="7"/>
      <c r="O1028" s="7"/>
      <c r="P1028" s="7"/>
      <c r="Q1028" s="7">
        <f ca="1">IFERROR(IF(COUNTA(P$56:P1028)=P$54,P1028,FORECAST(D1028,OFFSET(S$56:S$254,MATCH(D1028,R$56:R$254,1)-1,0,2), OFFSET(R$56:R$254,MATCH(D1028,R$56:R$254,1)-1,0,2))),"")</f>
        <v>0</v>
      </c>
      <c r="R1028" s="7" t="str">
        <f t="array" ref="R1028">IFERROR(INDEX(E$56:E$1054,SMALL(IF(ISNUMBER(P$56:P$1054),ROW(E$1:E$999),""),ROW(J973))),"")</f>
        <v/>
      </c>
      <c r="S1028" s="7" t="str">
        <f t="array" ref="S1028">IFERROR(INDEX(P$56:P$1054,SMALL(IF(ISNUMBER(P$56:P$1054),ROW(P$1:P$999),""),ROW(P973))),"")</f>
        <v/>
      </c>
      <c r="T1028" s="7"/>
      <c r="U1028" s="7"/>
      <c r="V1028" s="7"/>
    </row>
    <row r="1029" spans="1:22" x14ac:dyDescent="0.25">
      <c r="A1029" s="6"/>
      <c r="B1029" s="11"/>
      <c r="C1029" s="12"/>
      <c r="D1029" s="12"/>
      <c r="E1029" s="8">
        <f t="shared" si="15"/>
        <v>0</v>
      </c>
      <c r="F1029" s="10"/>
      <c r="G1029" s="10"/>
      <c r="H1029" s="9"/>
      <c r="I1029" s="7"/>
      <c r="J1029" s="7"/>
      <c r="K1029" s="7">
        <f ca="1">IFERROR(IF(COUNTA(J$56:J1029)=J$54,J1029,FORECAST(D1029,OFFSET(M$56:M$254,MATCH(D1029,L$56:L$254,1)-1,0,2), OFFSET(L$56:L$254,MATCH(D1029,L$56:L$254,1)-1,0,2))),"")</f>
        <v>0</v>
      </c>
      <c r="L1029" s="7" t="str">
        <f t="array" ref="L1029">IFERROR(INDEX(D$56:D$1054,SMALL(IF(ISNUMBER(J$56:J$1054),ROW(D$1:D$999),""),ROW(D974))),"")</f>
        <v/>
      </c>
      <c r="M1029" s="7" t="str">
        <f t="array" ref="M1029">IFERROR(INDEX(J$56:J$1054,SMALL(IF(ISNUMBER(J$56:J$1054),ROW(J$1:J$999),""),ROW(J974))),"")</f>
        <v/>
      </c>
      <c r="N1029" s="7"/>
      <c r="O1029" s="7"/>
      <c r="P1029" s="7"/>
      <c r="Q1029" s="7">
        <f ca="1">IFERROR(IF(COUNTA(P$56:P1029)=P$54,P1029,FORECAST(D1029,OFFSET(S$56:S$254,MATCH(D1029,R$56:R$254,1)-1,0,2), OFFSET(R$56:R$254,MATCH(D1029,R$56:R$254,1)-1,0,2))),"")</f>
        <v>0</v>
      </c>
      <c r="R1029" s="7" t="str">
        <f t="array" ref="R1029">IFERROR(INDEX(E$56:E$1054,SMALL(IF(ISNUMBER(P$56:P$1054),ROW(E$1:E$999),""),ROW(J974))),"")</f>
        <v/>
      </c>
      <c r="S1029" s="7" t="str">
        <f t="array" ref="S1029">IFERROR(INDEX(P$56:P$1054,SMALL(IF(ISNUMBER(P$56:P$1054),ROW(P$1:P$999),""),ROW(P974))),"")</f>
        <v/>
      </c>
      <c r="T1029" s="7"/>
      <c r="U1029" s="7"/>
      <c r="V1029" s="7"/>
    </row>
    <row r="1030" spans="1:22" x14ac:dyDescent="0.25">
      <c r="A1030" s="6"/>
      <c r="B1030" s="11"/>
      <c r="C1030" s="12"/>
      <c r="D1030" s="12"/>
      <c r="E1030" s="8">
        <f t="shared" si="15"/>
        <v>0</v>
      </c>
      <c r="F1030" s="10"/>
      <c r="G1030" s="10"/>
      <c r="H1030" s="9"/>
      <c r="I1030" s="7"/>
      <c r="J1030" s="7"/>
      <c r="K1030" s="7">
        <f ca="1">IFERROR(IF(COUNTA(J$56:J1030)=J$54,J1030,FORECAST(D1030,OFFSET(M$56:M$254,MATCH(D1030,L$56:L$254,1)-1,0,2), OFFSET(L$56:L$254,MATCH(D1030,L$56:L$254,1)-1,0,2))),"")</f>
        <v>0</v>
      </c>
      <c r="L1030" s="7" t="str">
        <f t="array" ref="L1030">IFERROR(INDEX(D$56:D$1054,SMALL(IF(ISNUMBER(J$56:J$1054),ROW(D$1:D$999),""),ROW(D975))),"")</f>
        <v/>
      </c>
      <c r="M1030" s="7" t="str">
        <f t="array" ref="M1030">IFERROR(INDEX(J$56:J$1054,SMALL(IF(ISNUMBER(J$56:J$1054),ROW(J$1:J$999),""),ROW(J975))),"")</f>
        <v/>
      </c>
      <c r="N1030" s="7"/>
      <c r="O1030" s="7"/>
      <c r="P1030" s="7"/>
      <c r="Q1030" s="7">
        <f ca="1">IFERROR(IF(COUNTA(P$56:P1030)=P$54,P1030,FORECAST(D1030,OFFSET(S$56:S$254,MATCH(D1030,R$56:R$254,1)-1,0,2), OFFSET(R$56:R$254,MATCH(D1030,R$56:R$254,1)-1,0,2))),"")</f>
        <v>0</v>
      </c>
      <c r="R1030" s="7" t="str">
        <f t="array" ref="R1030">IFERROR(INDEX(E$56:E$1054,SMALL(IF(ISNUMBER(P$56:P$1054),ROW(E$1:E$999),""),ROW(J975))),"")</f>
        <v/>
      </c>
      <c r="S1030" s="7" t="str">
        <f t="array" ref="S1030">IFERROR(INDEX(P$56:P$1054,SMALL(IF(ISNUMBER(P$56:P$1054),ROW(P$1:P$999),""),ROW(P975))),"")</f>
        <v/>
      </c>
      <c r="T1030" s="7"/>
      <c r="U1030" s="7"/>
      <c r="V1030" s="7"/>
    </row>
    <row r="1031" spans="1:22" x14ac:dyDescent="0.25">
      <c r="A1031" s="6"/>
      <c r="B1031" s="11"/>
      <c r="C1031" s="12"/>
      <c r="D1031" s="12"/>
      <c r="E1031" s="8">
        <f t="shared" si="15"/>
        <v>0</v>
      </c>
      <c r="F1031" s="10"/>
      <c r="G1031" s="10"/>
      <c r="H1031" s="9"/>
      <c r="I1031" s="7"/>
      <c r="J1031" s="7"/>
      <c r="K1031" s="7">
        <f ca="1">IFERROR(IF(COUNTA(J$56:J1031)=J$54,J1031,FORECAST(D1031,OFFSET(M$56:M$254,MATCH(D1031,L$56:L$254,1)-1,0,2), OFFSET(L$56:L$254,MATCH(D1031,L$56:L$254,1)-1,0,2))),"")</f>
        <v>0</v>
      </c>
      <c r="L1031" s="7" t="str">
        <f t="array" ref="L1031">IFERROR(INDEX(D$56:D$1054,SMALL(IF(ISNUMBER(J$56:J$1054),ROW(D$1:D$999),""),ROW(D976))),"")</f>
        <v/>
      </c>
      <c r="M1031" s="7" t="str">
        <f t="array" ref="M1031">IFERROR(INDEX(J$56:J$1054,SMALL(IF(ISNUMBER(J$56:J$1054),ROW(J$1:J$999),""),ROW(J976))),"")</f>
        <v/>
      </c>
      <c r="N1031" s="7"/>
      <c r="O1031" s="7"/>
      <c r="P1031" s="7"/>
      <c r="Q1031" s="7">
        <f ca="1">IFERROR(IF(COUNTA(P$56:P1031)=P$54,P1031,FORECAST(D1031,OFFSET(S$56:S$254,MATCH(D1031,R$56:R$254,1)-1,0,2), OFFSET(R$56:R$254,MATCH(D1031,R$56:R$254,1)-1,0,2))),"")</f>
        <v>0</v>
      </c>
      <c r="R1031" s="7" t="str">
        <f t="array" ref="R1031">IFERROR(INDEX(E$56:E$1054,SMALL(IF(ISNUMBER(P$56:P$1054),ROW(E$1:E$999),""),ROW(J976))),"")</f>
        <v/>
      </c>
      <c r="S1031" s="7" t="str">
        <f t="array" ref="S1031">IFERROR(INDEX(P$56:P$1054,SMALL(IF(ISNUMBER(P$56:P$1054),ROW(P$1:P$999),""),ROW(P976))),"")</f>
        <v/>
      </c>
      <c r="T1031" s="7"/>
      <c r="U1031" s="7"/>
      <c r="V1031" s="7"/>
    </row>
    <row r="1032" spans="1:22" x14ac:dyDescent="0.25">
      <c r="A1032" s="6"/>
      <c r="B1032" s="11"/>
      <c r="C1032" s="12"/>
      <c r="D1032" s="12"/>
      <c r="E1032" s="8">
        <f t="shared" si="15"/>
        <v>0</v>
      </c>
      <c r="F1032" s="10"/>
      <c r="G1032" s="10"/>
      <c r="H1032" s="9"/>
      <c r="I1032" s="7"/>
      <c r="J1032" s="7"/>
      <c r="K1032" s="7">
        <f ca="1">IFERROR(IF(COUNTA(J$56:J1032)=J$54,J1032,FORECAST(D1032,OFFSET(M$56:M$254,MATCH(D1032,L$56:L$254,1)-1,0,2), OFFSET(L$56:L$254,MATCH(D1032,L$56:L$254,1)-1,0,2))),"")</f>
        <v>0</v>
      </c>
      <c r="L1032" s="7" t="str">
        <f t="array" ref="L1032">IFERROR(INDEX(D$56:D$1054,SMALL(IF(ISNUMBER(J$56:J$1054),ROW(D$1:D$999),""),ROW(D977))),"")</f>
        <v/>
      </c>
      <c r="M1032" s="7" t="str">
        <f t="array" ref="M1032">IFERROR(INDEX(J$56:J$1054,SMALL(IF(ISNUMBER(J$56:J$1054),ROW(J$1:J$999),""),ROW(J977))),"")</f>
        <v/>
      </c>
      <c r="N1032" s="7"/>
      <c r="O1032" s="7"/>
      <c r="P1032" s="7"/>
      <c r="Q1032" s="7">
        <f ca="1">IFERROR(IF(COUNTA(P$56:P1032)=P$54,P1032,FORECAST(D1032,OFFSET(S$56:S$254,MATCH(D1032,R$56:R$254,1)-1,0,2), OFFSET(R$56:R$254,MATCH(D1032,R$56:R$254,1)-1,0,2))),"")</f>
        <v>0</v>
      </c>
      <c r="R1032" s="7" t="str">
        <f t="array" ref="R1032">IFERROR(INDEX(E$56:E$1054,SMALL(IF(ISNUMBER(P$56:P$1054),ROW(E$1:E$999),""),ROW(J977))),"")</f>
        <v/>
      </c>
      <c r="S1032" s="7" t="str">
        <f t="array" ref="S1032">IFERROR(INDEX(P$56:P$1054,SMALL(IF(ISNUMBER(P$56:P$1054),ROW(P$1:P$999),""),ROW(P977))),"")</f>
        <v/>
      </c>
      <c r="T1032" s="7"/>
      <c r="U1032" s="7"/>
      <c r="V1032" s="7"/>
    </row>
    <row r="1033" spans="1:22" x14ac:dyDescent="0.25">
      <c r="A1033" s="6"/>
      <c r="B1033" s="11"/>
      <c r="C1033" s="12"/>
      <c r="D1033" s="12"/>
      <c r="E1033" s="8">
        <f t="shared" si="15"/>
        <v>0</v>
      </c>
      <c r="F1033" s="10"/>
      <c r="G1033" s="10"/>
      <c r="H1033" s="9"/>
      <c r="I1033" s="7"/>
      <c r="J1033" s="7"/>
      <c r="K1033" s="7">
        <f ca="1">IFERROR(IF(COUNTA(J$56:J1033)=J$54,J1033,FORECAST(D1033,OFFSET(M$56:M$254,MATCH(D1033,L$56:L$254,1)-1,0,2), OFFSET(L$56:L$254,MATCH(D1033,L$56:L$254,1)-1,0,2))),"")</f>
        <v>0</v>
      </c>
      <c r="L1033" s="7" t="str">
        <f t="array" ref="L1033">IFERROR(INDEX(D$56:D$1054,SMALL(IF(ISNUMBER(J$56:J$1054),ROW(D$1:D$999),""),ROW(D978))),"")</f>
        <v/>
      </c>
      <c r="M1033" s="7" t="str">
        <f t="array" ref="M1033">IFERROR(INDEX(J$56:J$1054,SMALL(IF(ISNUMBER(J$56:J$1054),ROW(J$1:J$999),""),ROW(J978))),"")</f>
        <v/>
      </c>
      <c r="N1033" s="7"/>
      <c r="O1033" s="7"/>
      <c r="P1033" s="7"/>
      <c r="Q1033" s="7">
        <f ca="1">IFERROR(IF(COUNTA(P$56:P1033)=P$54,P1033,FORECAST(D1033,OFFSET(S$56:S$254,MATCH(D1033,R$56:R$254,1)-1,0,2), OFFSET(R$56:R$254,MATCH(D1033,R$56:R$254,1)-1,0,2))),"")</f>
        <v>0</v>
      </c>
      <c r="R1033" s="7" t="str">
        <f t="array" ref="R1033">IFERROR(INDEX(E$56:E$1054,SMALL(IF(ISNUMBER(P$56:P$1054),ROW(E$1:E$999),""),ROW(J978))),"")</f>
        <v/>
      </c>
      <c r="S1033" s="7" t="str">
        <f t="array" ref="S1033">IFERROR(INDEX(P$56:P$1054,SMALL(IF(ISNUMBER(P$56:P$1054),ROW(P$1:P$999),""),ROW(P978))),"")</f>
        <v/>
      </c>
      <c r="T1033" s="7"/>
      <c r="U1033" s="7"/>
      <c r="V1033" s="7"/>
    </row>
    <row r="1034" spans="1:22" x14ac:dyDescent="0.25">
      <c r="A1034" s="6"/>
      <c r="B1034" s="11"/>
      <c r="C1034" s="12"/>
      <c r="D1034" s="12"/>
      <c r="E1034" s="8">
        <f t="shared" si="15"/>
        <v>0</v>
      </c>
      <c r="F1034" s="10"/>
      <c r="G1034" s="10"/>
      <c r="H1034" s="9"/>
      <c r="I1034" s="7"/>
      <c r="J1034" s="7"/>
      <c r="K1034" s="7">
        <f ca="1">IFERROR(IF(COUNTA(J$56:J1034)=J$54,J1034,FORECAST(D1034,OFFSET(M$56:M$254,MATCH(D1034,L$56:L$254,1)-1,0,2), OFFSET(L$56:L$254,MATCH(D1034,L$56:L$254,1)-1,0,2))),"")</f>
        <v>0</v>
      </c>
      <c r="L1034" s="7" t="str">
        <f t="array" ref="L1034">IFERROR(INDEX(D$56:D$1054,SMALL(IF(ISNUMBER(J$56:J$1054),ROW(D$1:D$999),""),ROW(D979))),"")</f>
        <v/>
      </c>
      <c r="M1034" s="7" t="str">
        <f t="array" ref="M1034">IFERROR(INDEX(J$56:J$1054,SMALL(IF(ISNUMBER(J$56:J$1054),ROW(J$1:J$999),""),ROW(J979))),"")</f>
        <v/>
      </c>
      <c r="N1034" s="7"/>
      <c r="O1034" s="7"/>
      <c r="P1034" s="7"/>
      <c r="Q1034" s="7">
        <f ca="1">IFERROR(IF(COUNTA(P$56:P1034)=P$54,P1034,FORECAST(D1034,OFFSET(S$56:S$254,MATCH(D1034,R$56:R$254,1)-1,0,2), OFFSET(R$56:R$254,MATCH(D1034,R$56:R$254,1)-1,0,2))),"")</f>
        <v>0</v>
      </c>
      <c r="R1034" s="7" t="str">
        <f t="array" ref="R1034">IFERROR(INDEX(E$56:E$1054,SMALL(IF(ISNUMBER(P$56:P$1054),ROW(E$1:E$999),""),ROW(J979))),"")</f>
        <v/>
      </c>
      <c r="S1034" s="7" t="str">
        <f t="array" ref="S1034">IFERROR(INDEX(P$56:P$1054,SMALL(IF(ISNUMBER(P$56:P$1054),ROW(P$1:P$999),""),ROW(P979))),"")</f>
        <v/>
      </c>
      <c r="T1034" s="7"/>
      <c r="U1034" s="7"/>
      <c r="V1034" s="7"/>
    </row>
    <row r="1035" spans="1:22" x14ac:dyDescent="0.25">
      <c r="A1035" s="6"/>
      <c r="B1035" s="11"/>
      <c r="C1035" s="12"/>
      <c r="D1035" s="12"/>
      <c r="E1035" s="8">
        <f t="shared" si="15"/>
        <v>0</v>
      </c>
      <c r="F1035" s="10"/>
      <c r="G1035" s="10"/>
      <c r="H1035" s="9"/>
      <c r="I1035" s="7"/>
      <c r="J1035" s="7"/>
      <c r="K1035" s="7">
        <f ca="1">IFERROR(IF(COUNTA(J$56:J1035)=J$54,J1035,FORECAST(D1035,OFFSET(M$56:M$254,MATCH(D1035,L$56:L$254,1)-1,0,2), OFFSET(L$56:L$254,MATCH(D1035,L$56:L$254,1)-1,0,2))),"")</f>
        <v>0</v>
      </c>
      <c r="L1035" s="7" t="str">
        <f t="array" ref="L1035">IFERROR(INDEX(D$56:D$1054,SMALL(IF(ISNUMBER(J$56:J$1054),ROW(D$1:D$999),""),ROW(D980))),"")</f>
        <v/>
      </c>
      <c r="M1035" s="7" t="str">
        <f t="array" ref="M1035">IFERROR(INDEX(J$56:J$1054,SMALL(IF(ISNUMBER(J$56:J$1054),ROW(J$1:J$999),""),ROW(J980))),"")</f>
        <v/>
      </c>
      <c r="N1035" s="7"/>
      <c r="O1035" s="7"/>
      <c r="P1035" s="7"/>
      <c r="Q1035" s="7">
        <f ca="1">IFERROR(IF(COUNTA(P$56:P1035)=P$54,P1035,FORECAST(D1035,OFFSET(S$56:S$254,MATCH(D1035,R$56:R$254,1)-1,0,2), OFFSET(R$56:R$254,MATCH(D1035,R$56:R$254,1)-1,0,2))),"")</f>
        <v>0</v>
      </c>
      <c r="R1035" s="7" t="str">
        <f t="array" ref="R1035">IFERROR(INDEX(E$56:E$1054,SMALL(IF(ISNUMBER(P$56:P$1054),ROW(E$1:E$999),""),ROW(J980))),"")</f>
        <v/>
      </c>
      <c r="S1035" s="7" t="str">
        <f t="array" ref="S1035">IFERROR(INDEX(P$56:P$1054,SMALL(IF(ISNUMBER(P$56:P$1054),ROW(P$1:P$999),""),ROW(P980))),"")</f>
        <v/>
      </c>
      <c r="T1035" s="7"/>
      <c r="U1035" s="7"/>
      <c r="V1035" s="7"/>
    </row>
    <row r="1036" spans="1:22" x14ac:dyDescent="0.25">
      <c r="A1036" s="6"/>
      <c r="B1036" s="11"/>
      <c r="C1036" s="12"/>
      <c r="D1036" s="12"/>
      <c r="E1036" s="8">
        <f t="shared" si="15"/>
        <v>0</v>
      </c>
      <c r="F1036" s="10"/>
      <c r="G1036" s="10"/>
      <c r="H1036" s="9"/>
      <c r="I1036" s="7"/>
      <c r="J1036" s="7"/>
      <c r="K1036" s="7">
        <f ca="1">IFERROR(IF(COUNTA(J$56:J1036)=J$54,J1036,FORECAST(D1036,OFFSET(M$56:M$254,MATCH(D1036,L$56:L$254,1)-1,0,2), OFFSET(L$56:L$254,MATCH(D1036,L$56:L$254,1)-1,0,2))),"")</f>
        <v>0</v>
      </c>
      <c r="L1036" s="7" t="str">
        <f t="array" ref="L1036">IFERROR(INDEX(D$56:D$1054,SMALL(IF(ISNUMBER(J$56:J$1054),ROW(D$1:D$999),""),ROW(D981))),"")</f>
        <v/>
      </c>
      <c r="M1036" s="7" t="str">
        <f t="array" ref="M1036">IFERROR(INDEX(J$56:J$1054,SMALL(IF(ISNUMBER(J$56:J$1054),ROW(J$1:J$999),""),ROW(J981))),"")</f>
        <v/>
      </c>
      <c r="N1036" s="7"/>
      <c r="O1036" s="7"/>
      <c r="P1036" s="7"/>
      <c r="Q1036" s="7">
        <f ca="1">IFERROR(IF(COUNTA(P$56:P1036)=P$54,P1036,FORECAST(D1036,OFFSET(S$56:S$254,MATCH(D1036,R$56:R$254,1)-1,0,2), OFFSET(R$56:R$254,MATCH(D1036,R$56:R$254,1)-1,0,2))),"")</f>
        <v>0</v>
      </c>
      <c r="R1036" s="7" t="str">
        <f t="array" ref="R1036">IFERROR(INDEX(E$56:E$1054,SMALL(IF(ISNUMBER(P$56:P$1054),ROW(E$1:E$999),""),ROW(J981))),"")</f>
        <v/>
      </c>
      <c r="S1036" s="7" t="str">
        <f t="array" ref="S1036">IFERROR(INDEX(P$56:P$1054,SMALL(IF(ISNUMBER(P$56:P$1054),ROW(P$1:P$999),""),ROW(P981))),"")</f>
        <v/>
      </c>
      <c r="T1036" s="7"/>
      <c r="U1036" s="7"/>
      <c r="V1036" s="7"/>
    </row>
    <row r="1037" spans="1:22" x14ac:dyDescent="0.25">
      <c r="A1037" s="6"/>
      <c r="B1037" s="11"/>
      <c r="C1037" s="12"/>
      <c r="D1037" s="12"/>
      <c r="E1037" s="8">
        <f t="shared" si="15"/>
        <v>0</v>
      </c>
      <c r="F1037" s="10"/>
      <c r="G1037" s="10"/>
      <c r="H1037" s="9"/>
      <c r="I1037" s="7"/>
      <c r="J1037" s="7"/>
      <c r="K1037" s="7">
        <f ca="1">IFERROR(IF(COUNTA(J$56:J1037)=J$54,J1037,FORECAST(D1037,OFFSET(M$56:M$254,MATCH(D1037,L$56:L$254,1)-1,0,2), OFFSET(L$56:L$254,MATCH(D1037,L$56:L$254,1)-1,0,2))),"")</f>
        <v>0</v>
      </c>
      <c r="L1037" s="7" t="str">
        <f t="array" ref="L1037">IFERROR(INDEX(D$56:D$1054,SMALL(IF(ISNUMBER(J$56:J$1054),ROW(D$1:D$999),""),ROW(D982))),"")</f>
        <v/>
      </c>
      <c r="M1037" s="7" t="str">
        <f t="array" ref="M1037">IFERROR(INDEX(J$56:J$1054,SMALL(IF(ISNUMBER(J$56:J$1054),ROW(J$1:J$999),""),ROW(J982))),"")</f>
        <v/>
      </c>
      <c r="N1037" s="7"/>
      <c r="O1037" s="7"/>
      <c r="P1037" s="7"/>
      <c r="Q1037" s="7">
        <f ca="1">IFERROR(IF(COUNTA(P$56:P1037)=P$54,P1037,FORECAST(D1037,OFFSET(S$56:S$254,MATCH(D1037,R$56:R$254,1)-1,0,2), OFFSET(R$56:R$254,MATCH(D1037,R$56:R$254,1)-1,0,2))),"")</f>
        <v>0</v>
      </c>
      <c r="R1037" s="7" t="str">
        <f t="array" ref="R1037">IFERROR(INDEX(E$56:E$1054,SMALL(IF(ISNUMBER(P$56:P$1054),ROW(E$1:E$999),""),ROW(J982))),"")</f>
        <v/>
      </c>
      <c r="S1037" s="7" t="str">
        <f t="array" ref="S1037">IFERROR(INDEX(P$56:P$1054,SMALL(IF(ISNUMBER(P$56:P$1054),ROW(P$1:P$999),""),ROW(P982))),"")</f>
        <v/>
      </c>
      <c r="T1037" s="7"/>
      <c r="U1037" s="7"/>
      <c r="V1037" s="7"/>
    </row>
    <row r="1038" spans="1:22" x14ac:dyDescent="0.25">
      <c r="A1038" s="6"/>
      <c r="B1038" s="11"/>
      <c r="C1038" s="12"/>
      <c r="D1038" s="12"/>
      <c r="E1038" s="8">
        <f t="shared" si="15"/>
        <v>0</v>
      </c>
      <c r="F1038" s="10"/>
      <c r="G1038" s="10"/>
      <c r="H1038" s="9"/>
      <c r="I1038" s="7"/>
      <c r="J1038" s="7"/>
      <c r="K1038" s="7">
        <f ca="1">IFERROR(IF(COUNTA(J$56:J1038)=J$54,J1038,FORECAST(D1038,OFFSET(M$56:M$254,MATCH(D1038,L$56:L$254,1)-1,0,2), OFFSET(L$56:L$254,MATCH(D1038,L$56:L$254,1)-1,0,2))),"")</f>
        <v>0</v>
      </c>
      <c r="L1038" s="7" t="str">
        <f t="array" ref="L1038">IFERROR(INDEX(D$56:D$1054,SMALL(IF(ISNUMBER(J$56:J$1054),ROW(D$1:D$999),""),ROW(D983))),"")</f>
        <v/>
      </c>
      <c r="M1038" s="7" t="str">
        <f t="array" ref="M1038">IFERROR(INDEX(J$56:J$1054,SMALL(IF(ISNUMBER(J$56:J$1054),ROW(J$1:J$999),""),ROW(J983))),"")</f>
        <v/>
      </c>
      <c r="N1038" s="7"/>
      <c r="O1038" s="7"/>
      <c r="P1038" s="7"/>
      <c r="Q1038" s="7">
        <f ca="1">IFERROR(IF(COUNTA(P$56:P1038)=P$54,P1038,FORECAST(D1038,OFFSET(S$56:S$254,MATCH(D1038,R$56:R$254,1)-1,0,2), OFFSET(R$56:R$254,MATCH(D1038,R$56:R$254,1)-1,0,2))),"")</f>
        <v>0</v>
      </c>
      <c r="R1038" s="7" t="str">
        <f t="array" ref="R1038">IFERROR(INDEX(E$56:E$1054,SMALL(IF(ISNUMBER(P$56:P$1054),ROW(E$1:E$999),""),ROW(J983))),"")</f>
        <v/>
      </c>
      <c r="S1038" s="7" t="str">
        <f t="array" ref="S1038">IFERROR(INDEX(P$56:P$1054,SMALL(IF(ISNUMBER(P$56:P$1054),ROW(P$1:P$999),""),ROW(P983))),"")</f>
        <v/>
      </c>
      <c r="T1038" s="7"/>
      <c r="U1038" s="7"/>
      <c r="V1038" s="7"/>
    </row>
    <row r="1039" spans="1:22" x14ac:dyDescent="0.25">
      <c r="A1039" s="6"/>
      <c r="B1039" s="11"/>
      <c r="C1039" s="12"/>
      <c r="D1039" s="12"/>
      <c r="E1039" s="8">
        <f t="shared" si="15"/>
        <v>0</v>
      </c>
      <c r="F1039" s="10"/>
      <c r="G1039" s="10"/>
      <c r="H1039" s="9"/>
      <c r="I1039" s="7"/>
      <c r="J1039" s="7"/>
      <c r="K1039" s="7">
        <f ca="1">IFERROR(IF(COUNTA(J$56:J1039)=J$54,J1039,FORECAST(D1039,OFFSET(M$56:M$254,MATCH(D1039,L$56:L$254,1)-1,0,2), OFFSET(L$56:L$254,MATCH(D1039,L$56:L$254,1)-1,0,2))),"")</f>
        <v>0</v>
      </c>
      <c r="L1039" s="7" t="str">
        <f t="array" ref="L1039">IFERROR(INDEX(D$56:D$1054,SMALL(IF(ISNUMBER(J$56:J$1054),ROW(D$1:D$999),""),ROW(D984))),"")</f>
        <v/>
      </c>
      <c r="M1039" s="7" t="str">
        <f t="array" ref="M1039">IFERROR(INDEX(J$56:J$1054,SMALL(IF(ISNUMBER(J$56:J$1054),ROW(J$1:J$999),""),ROW(J984))),"")</f>
        <v/>
      </c>
      <c r="N1039" s="7"/>
      <c r="O1039" s="7"/>
      <c r="P1039" s="7"/>
      <c r="Q1039" s="7">
        <f ca="1">IFERROR(IF(COUNTA(P$56:P1039)=P$54,P1039,FORECAST(D1039,OFFSET(S$56:S$254,MATCH(D1039,R$56:R$254,1)-1,0,2), OFFSET(R$56:R$254,MATCH(D1039,R$56:R$254,1)-1,0,2))),"")</f>
        <v>0</v>
      </c>
      <c r="R1039" s="7" t="str">
        <f t="array" ref="R1039">IFERROR(INDEX(E$56:E$1054,SMALL(IF(ISNUMBER(P$56:P$1054),ROW(E$1:E$999),""),ROW(J984))),"")</f>
        <v/>
      </c>
      <c r="S1039" s="7" t="str">
        <f t="array" ref="S1039">IFERROR(INDEX(P$56:P$1054,SMALL(IF(ISNUMBER(P$56:P$1054),ROW(P$1:P$999),""),ROW(P984))),"")</f>
        <v/>
      </c>
      <c r="T1039" s="7"/>
      <c r="U1039" s="7"/>
      <c r="V1039" s="7"/>
    </row>
    <row r="1040" spans="1:22" x14ac:dyDescent="0.25">
      <c r="A1040" s="6"/>
      <c r="B1040" s="11"/>
      <c r="C1040" s="12"/>
      <c r="D1040" s="12"/>
      <c r="E1040" s="8">
        <f t="shared" si="15"/>
        <v>0</v>
      </c>
      <c r="F1040" s="10"/>
      <c r="G1040" s="10"/>
      <c r="H1040" s="9"/>
      <c r="I1040" s="7"/>
      <c r="J1040" s="7"/>
      <c r="K1040" s="7">
        <f ca="1">IFERROR(IF(COUNTA(J$56:J1040)=J$54,J1040,FORECAST(D1040,OFFSET(M$56:M$254,MATCH(D1040,L$56:L$254,1)-1,0,2), OFFSET(L$56:L$254,MATCH(D1040,L$56:L$254,1)-1,0,2))),"")</f>
        <v>0</v>
      </c>
      <c r="L1040" s="7" t="str">
        <f t="array" ref="L1040">IFERROR(INDEX(D$56:D$1054,SMALL(IF(ISNUMBER(J$56:J$1054),ROW(D$1:D$999),""),ROW(D985))),"")</f>
        <v/>
      </c>
      <c r="M1040" s="7" t="str">
        <f t="array" ref="M1040">IFERROR(INDEX(J$56:J$1054,SMALL(IF(ISNUMBER(J$56:J$1054),ROW(J$1:J$999),""),ROW(J985))),"")</f>
        <v/>
      </c>
      <c r="N1040" s="7"/>
      <c r="O1040" s="7"/>
      <c r="P1040" s="7"/>
      <c r="Q1040" s="7">
        <f ca="1">IFERROR(IF(COUNTA(P$56:P1040)=P$54,P1040,FORECAST(D1040,OFFSET(S$56:S$254,MATCH(D1040,R$56:R$254,1)-1,0,2), OFFSET(R$56:R$254,MATCH(D1040,R$56:R$254,1)-1,0,2))),"")</f>
        <v>0</v>
      </c>
      <c r="R1040" s="7" t="str">
        <f t="array" ref="R1040">IFERROR(INDEX(E$56:E$1054,SMALL(IF(ISNUMBER(P$56:P$1054),ROW(E$1:E$999),""),ROW(J985))),"")</f>
        <v/>
      </c>
      <c r="S1040" s="7" t="str">
        <f t="array" ref="S1040">IFERROR(INDEX(P$56:P$1054,SMALL(IF(ISNUMBER(P$56:P$1054),ROW(P$1:P$999),""),ROW(P985))),"")</f>
        <v/>
      </c>
      <c r="T1040" s="7"/>
      <c r="U1040" s="7"/>
      <c r="V1040" s="7"/>
    </row>
    <row r="1041" spans="1:22" x14ac:dyDescent="0.25">
      <c r="A1041" s="6"/>
      <c r="B1041" s="11"/>
      <c r="C1041" s="12"/>
      <c r="D1041" s="12"/>
      <c r="E1041" s="8">
        <f t="shared" si="15"/>
        <v>0</v>
      </c>
      <c r="F1041" s="10"/>
      <c r="G1041" s="10"/>
      <c r="H1041" s="9"/>
      <c r="I1041" s="7"/>
      <c r="J1041" s="7"/>
      <c r="K1041" s="7">
        <f ca="1">IFERROR(IF(COUNTA(J$56:J1041)=J$54,J1041,FORECAST(D1041,OFFSET(M$56:M$254,MATCH(D1041,L$56:L$254,1)-1,0,2), OFFSET(L$56:L$254,MATCH(D1041,L$56:L$254,1)-1,0,2))),"")</f>
        <v>0</v>
      </c>
      <c r="L1041" s="7" t="str">
        <f t="array" ref="L1041">IFERROR(INDEX(D$56:D$1054,SMALL(IF(ISNUMBER(J$56:J$1054),ROW(D$1:D$999),""),ROW(D986))),"")</f>
        <v/>
      </c>
      <c r="M1041" s="7" t="str">
        <f t="array" ref="M1041">IFERROR(INDEX(J$56:J$1054,SMALL(IF(ISNUMBER(J$56:J$1054),ROW(J$1:J$999),""),ROW(J986))),"")</f>
        <v/>
      </c>
      <c r="N1041" s="7"/>
      <c r="O1041" s="7"/>
      <c r="P1041" s="7"/>
      <c r="Q1041" s="7">
        <f ca="1">IFERROR(IF(COUNTA(P$56:P1041)=P$54,P1041,FORECAST(D1041,OFFSET(S$56:S$254,MATCH(D1041,R$56:R$254,1)-1,0,2), OFFSET(R$56:R$254,MATCH(D1041,R$56:R$254,1)-1,0,2))),"")</f>
        <v>0</v>
      </c>
      <c r="R1041" s="7" t="str">
        <f t="array" ref="R1041">IFERROR(INDEX(E$56:E$1054,SMALL(IF(ISNUMBER(P$56:P$1054),ROW(E$1:E$999),""),ROW(J986))),"")</f>
        <v/>
      </c>
      <c r="S1041" s="7" t="str">
        <f t="array" ref="S1041">IFERROR(INDEX(P$56:P$1054,SMALL(IF(ISNUMBER(P$56:P$1054),ROW(P$1:P$999),""),ROW(P986))),"")</f>
        <v/>
      </c>
      <c r="T1041" s="7"/>
      <c r="U1041" s="7"/>
      <c r="V1041" s="7"/>
    </row>
    <row r="1042" spans="1:22" x14ac:dyDescent="0.25">
      <c r="A1042" s="6"/>
      <c r="B1042" s="11"/>
      <c r="C1042" s="12"/>
      <c r="D1042" s="12"/>
      <c r="E1042" s="8">
        <f t="shared" si="15"/>
        <v>0</v>
      </c>
      <c r="F1042" s="10"/>
      <c r="G1042" s="10"/>
      <c r="H1042" s="9"/>
      <c r="I1042" s="7"/>
      <c r="J1042" s="7"/>
      <c r="K1042" s="7">
        <f ca="1">IFERROR(IF(COUNTA(J$56:J1042)=J$54,J1042,FORECAST(D1042,OFFSET(M$56:M$254,MATCH(D1042,L$56:L$254,1)-1,0,2), OFFSET(L$56:L$254,MATCH(D1042,L$56:L$254,1)-1,0,2))),"")</f>
        <v>0</v>
      </c>
      <c r="L1042" s="7" t="str">
        <f t="array" ref="L1042">IFERROR(INDEX(D$56:D$1054,SMALL(IF(ISNUMBER(J$56:J$1054),ROW(D$1:D$999),""),ROW(D987))),"")</f>
        <v/>
      </c>
      <c r="M1042" s="7" t="str">
        <f t="array" ref="M1042">IFERROR(INDEX(J$56:J$1054,SMALL(IF(ISNUMBER(J$56:J$1054),ROW(J$1:J$999),""),ROW(J987))),"")</f>
        <v/>
      </c>
      <c r="N1042" s="7"/>
      <c r="O1042" s="7"/>
      <c r="P1042" s="7"/>
      <c r="Q1042" s="7">
        <f ca="1">IFERROR(IF(COUNTA(P$56:P1042)=P$54,P1042,FORECAST(D1042,OFFSET(S$56:S$254,MATCH(D1042,R$56:R$254,1)-1,0,2), OFFSET(R$56:R$254,MATCH(D1042,R$56:R$254,1)-1,0,2))),"")</f>
        <v>0</v>
      </c>
      <c r="R1042" s="7" t="str">
        <f t="array" ref="R1042">IFERROR(INDEX(E$56:E$1054,SMALL(IF(ISNUMBER(P$56:P$1054),ROW(E$1:E$999),""),ROW(J987))),"")</f>
        <v/>
      </c>
      <c r="S1042" s="7" t="str">
        <f t="array" ref="S1042">IFERROR(INDEX(P$56:P$1054,SMALL(IF(ISNUMBER(P$56:P$1054),ROW(P$1:P$999),""),ROW(P987))),"")</f>
        <v/>
      </c>
      <c r="T1042" s="7"/>
      <c r="U1042" s="7"/>
      <c r="V1042" s="7"/>
    </row>
    <row r="1043" spans="1:22" x14ac:dyDescent="0.25">
      <c r="A1043" s="6"/>
      <c r="B1043" s="11"/>
      <c r="C1043" s="12"/>
      <c r="D1043" s="12"/>
      <c r="E1043" s="8">
        <f t="shared" si="15"/>
        <v>0</v>
      </c>
      <c r="F1043" s="10"/>
      <c r="G1043" s="10"/>
      <c r="H1043" s="9"/>
      <c r="I1043" s="7"/>
      <c r="J1043" s="7"/>
      <c r="K1043" s="7">
        <f ca="1">IFERROR(IF(COUNTA(J$56:J1043)=J$54,J1043,FORECAST(D1043,OFFSET(M$56:M$254,MATCH(D1043,L$56:L$254,1)-1,0,2), OFFSET(L$56:L$254,MATCH(D1043,L$56:L$254,1)-1,0,2))),"")</f>
        <v>0</v>
      </c>
      <c r="L1043" s="7" t="str">
        <f t="array" ref="L1043">IFERROR(INDEX(D$56:D$1054,SMALL(IF(ISNUMBER(J$56:J$1054),ROW(D$1:D$999),""),ROW(D988))),"")</f>
        <v/>
      </c>
      <c r="M1043" s="7" t="str">
        <f t="array" ref="M1043">IFERROR(INDEX(J$56:J$1054,SMALL(IF(ISNUMBER(J$56:J$1054),ROW(J$1:J$999),""),ROW(J988))),"")</f>
        <v/>
      </c>
      <c r="N1043" s="7"/>
      <c r="O1043" s="7"/>
      <c r="P1043" s="7"/>
      <c r="Q1043" s="7">
        <f ca="1">IFERROR(IF(COUNTA(P$56:P1043)=P$54,P1043,FORECAST(D1043,OFFSET(S$56:S$254,MATCH(D1043,R$56:R$254,1)-1,0,2), OFFSET(R$56:R$254,MATCH(D1043,R$56:R$254,1)-1,0,2))),"")</f>
        <v>0</v>
      </c>
      <c r="R1043" s="7" t="str">
        <f t="array" ref="R1043">IFERROR(INDEX(E$56:E$1054,SMALL(IF(ISNUMBER(P$56:P$1054),ROW(E$1:E$999),""),ROW(J988))),"")</f>
        <v/>
      </c>
      <c r="S1043" s="7" t="str">
        <f t="array" ref="S1043">IFERROR(INDEX(P$56:P$1054,SMALL(IF(ISNUMBER(P$56:P$1054),ROW(P$1:P$999),""),ROW(P988))),"")</f>
        <v/>
      </c>
      <c r="T1043" s="7"/>
      <c r="U1043" s="7"/>
      <c r="V1043" s="7"/>
    </row>
    <row r="1044" spans="1:22" x14ac:dyDescent="0.25">
      <c r="A1044" s="6"/>
      <c r="B1044" s="11"/>
      <c r="C1044" s="12"/>
      <c r="D1044" s="12"/>
      <c r="E1044" s="8">
        <f t="shared" si="15"/>
        <v>0</v>
      </c>
      <c r="F1044" s="10"/>
      <c r="G1044" s="10"/>
      <c r="H1044" s="9"/>
      <c r="I1044" s="7"/>
      <c r="J1044" s="7"/>
      <c r="K1044" s="7">
        <f ca="1">IFERROR(IF(COUNTA(J$56:J1044)=J$54,J1044,FORECAST(D1044,OFFSET(M$56:M$254,MATCH(D1044,L$56:L$254,1)-1,0,2), OFFSET(L$56:L$254,MATCH(D1044,L$56:L$254,1)-1,0,2))),"")</f>
        <v>0</v>
      </c>
      <c r="L1044" s="7" t="str">
        <f t="array" ref="L1044">IFERROR(INDEX(D$56:D$1054,SMALL(IF(ISNUMBER(J$56:J$1054),ROW(D$1:D$999),""),ROW(D989))),"")</f>
        <v/>
      </c>
      <c r="M1044" s="7" t="str">
        <f t="array" ref="M1044">IFERROR(INDEX(J$56:J$1054,SMALL(IF(ISNUMBER(J$56:J$1054),ROW(J$1:J$999),""),ROW(J989))),"")</f>
        <v/>
      </c>
      <c r="N1044" s="7"/>
      <c r="O1044" s="7"/>
      <c r="P1044" s="7"/>
      <c r="Q1044" s="7">
        <f ca="1">IFERROR(IF(COUNTA(P$56:P1044)=P$54,P1044,FORECAST(D1044,OFFSET(S$56:S$254,MATCH(D1044,R$56:R$254,1)-1,0,2), OFFSET(R$56:R$254,MATCH(D1044,R$56:R$254,1)-1,0,2))),"")</f>
        <v>0</v>
      </c>
      <c r="R1044" s="7" t="str">
        <f t="array" ref="R1044">IFERROR(INDEX(E$56:E$1054,SMALL(IF(ISNUMBER(P$56:P$1054),ROW(E$1:E$999),""),ROW(J989))),"")</f>
        <v/>
      </c>
      <c r="S1044" s="7" t="str">
        <f t="array" ref="S1044">IFERROR(INDEX(P$56:P$1054,SMALL(IF(ISNUMBER(P$56:P$1054),ROW(P$1:P$999),""),ROW(P989))),"")</f>
        <v/>
      </c>
      <c r="T1044" s="7"/>
      <c r="U1044" s="7"/>
      <c r="V1044" s="7"/>
    </row>
    <row r="1045" spans="1:22" x14ac:dyDescent="0.25">
      <c r="A1045" s="6"/>
      <c r="B1045" s="11"/>
      <c r="C1045" s="12"/>
      <c r="D1045" s="12"/>
      <c r="E1045" s="8">
        <f t="shared" si="15"/>
        <v>0</v>
      </c>
      <c r="F1045" s="10"/>
      <c r="G1045" s="10"/>
      <c r="H1045" s="9"/>
      <c r="I1045" s="7"/>
      <c r="J1045" s="7"/>
      <c r="K1045" s="7">
        <f ca="1">IFERROR(IF(COUNTA(J$56:J1045)=J$54,J1045,FORECAST(D1045,OFFSET(M$56:M$254,MATCH(D1045,L$56:L$254,1)-1,0,2), OFFSET(L$56:L$254,MATCH(D1045,L$56:L$254,1)-1,0,2))),"")</f>
        <v>0</v>
      </c>
      <c r="L1045" s="7" t="str">
        <f t="array" ref="L1045">IFERROR(INDEX(D$56:D$1054,SMALL(IF(ISNUMBER(J$56:J$1054),ROW(D$1:D$999),""),ROW(D990))),"")</f>
        <v/>
      </c>
      <c r="M1045" s="7" t="str">
        <f t="array" ref="M1045">IFERROR(INDEX(J$56:J$1054,SMALL(IF(ISNUMBER(J$56:J$1054),ROW(J$1:J$999),""),ROW(J990))),"")</f>
        <v/>
      </c>
      <c r="N1045" s="7"/>
      <c r="O1045" s="7"/>
      <c r="P1045" s="7"/>
      <c r="Q1045" s="7">
        <f ca="1">IFERROR(IF(COUNTA(P$56:P1045)=P$54,P1045,FORECAST(D1045,OFFSET(S$56:S$254,MATCH(D1045,R$56:R$254,1)-1,0,2), OFFSET(R$56:R$254,MATCH(D1045,R$56:R$254,1)-1,0,2))),"")</f>
        <v>0</v>
      </c>
      <c r="R1045" s="7" t="str">
        <f t="array" ref="R1045">IFERROR(INDEX(E$56:E$1054,SMALL(IF(ISNUMBER(P$56:P$1054),ROW(E$1:E$999),""),ROW(J990))),"")</f>
        <v/>
      </c>
      <c r="S1045" s="7" t="str">
        <f t="array" ref="S1045">IFERROR(INDEX(P$56:P$1054,SMALL(IF(ISNUMBER(P$56:P$1054),ROW(P$1:P$999),""),ROW(P990))),"")</f>
        <v/>
      </c>
      <c r="T1045" s="7"/>
      <c r="U1045" s="7"/>
      <c r="V1045" s="7"/>
    </row>
    <row r="1046" spans="1:22" x14ac:dyDescent="0.25">
      <c r="A1046" s="6"/>
      <c r="B1046" s="11"/>
      <c r="C1046" s="12"/>
      <c r="D1046" s="12"/>
      <c r="E1046" s="8">
        <f t="shared" si="15"/>
        <v>0</v>
      </c>
      <c r="F1046" s="10"/>
      <c r="G1046" s="10"/>
      <c r="H1046" s="9"/>
      <c r="I1046" s="7"/>
      <c r="J1046" s="7"/>
      <c r="K1046" s="7">
        <f ca="1">IFERROR(IF(COUNTA(J$56:J1046)=J$54,J1046,FORECAST(D1046,OFFSET(M$56:M$254,MATCH(D1046,L$56:L$254,1)-1,0,2), OFFSET(L$56:L$254,MATCH(D1046,L$56:L$254,1)-1,0,2))),"")</f>
        <v>0</v>
      </c>
      <c r="L1046" s="7" t="str">
        <f t="array" ref="L1046">IFERROR(INDEX(D$56:D$1054,SMALL(IF(ISNUMBER(J$56:J$1054),ROW(D$1:D$999),""),ROW(D991))),"")</f>
        <v/>
      </c>
      <c r="M1046" s="7" t="str">
        <f t="array" ref="M1046">IFERROR(INDEX(J$56:J$1054,SMALL(IF(ISNUMBER(J$56:J$1054),ROW(J$1:J$999),""),ROW(J991))),"")</f>
        <v/>
      </c>
      <c r="N1046" s="7"/>
      <c r="O1046" s="7"/>
      <c r="P1046" s="7"/>
      <c r="Q1046" s="7">
        <f ca="1">IFERROR(IF(COUNTA(P$56:P1046)=P$54,P1046,FORECAST(D1046,OFFSET(S$56:S$254,MATCH(D1046,R$56:R$254,1)-1,0,2), OFFSET(R$56:R$254,MATCH(D1046,R$56:R$254,1)-1,0,2))),"")</f>
        <v>0</v>
      </c>
      <c r="R1046" s="7" t="str">
        <f t="array" ref="R1046">IFERROR(INDEX(E$56:E$1054,SMALL(IF(ISNUMBER(P$56:P$1054),ROW(E$1:E$999),""),ROW(J991))),"")</f>
        <v/>
      </c>
      <c r="S1046" s="7" t="str">
        <f t="array" ref="S1046">IFERROR(INDEX(P$56:P$1054,SMALL(IF(ISNUMBER(P$56:P$1054),ROW(P$1:P$999),""),ROW(P991))),"")</f>
        <v/>
      </c>
      <c r="T1046" s="7"/>
      <c r="U1046" s="7"/>
      <c r="V1046" s="7"/>
    </row>
    <row r="1047" spans="1:22" x14ac:dyDescent="0.25">
      <c r="A1047" s="6"/>
      <c r="B1047" s="11"/>
      <c r="C1047" s="12"/>
      <c r="D1047" s="12"/>
      <c r="E1047" s="8">
        <f t="shared" si="15"/>
        <v>0</v>
      </c>
      <c r="F1047" s="10"/>
      <c r="G1047" s="10"/>
      <c r="H1047" s="9"/>
      <c r="I1047" s="7"/>
      <c r="J1047" s="7"/>
      <c r="K1047" s="7">
        <f ca="1">IFERROR(IF(COUNTA(J$56:J1047)=J$54,J1047,FORECAST(D1047,OFFSET(M$56:M$254,MATCH(D1047,L$56:L$254,1)-1,0,2), OFFSET(L$56:L$254,MATCH(D1047,L$56:L$254,1)-1,0,2))),"")</f>
        <v>0</v>
      </c>
      <c r="L1047" s="7" t="str">
        <f t="array" ref="L1047">IFERROR(INDEX(D$56:D$1054,SMALL(IF(ISNUMBER(J$56:J$1054),ROW(D$1:D$999),""),ROW(D992))),"")</f>
        <v/>
      </c>
      <c r="M1047" s="7" t="str">
        <f t="array" ref="M1047">IFERROR(INDEX(J$56:J$1054,SMALL(IF(ISNUMBER(J$56:J$1054),ROW(J$1:J$999),""),ROW(J992))),"")</f>
        <v/>
      </c>
      <c r="N1047" s="7"/>
      <c r="O1047" s="7"/>
      <c r="P1047" s="7"/>
      <c r="Q1047" s="7">
        <f ca="1">IFERROR(IF(COUNTA(P$56:P1047)=P$54,P1047,FORECAST(D1047,OFFSET(S$56:S$254,MATCH(D1047,R$56:R$254,1)-1,0,2), OFFSET(R$56:R$254,MATCH(D1047,R$56:R$254,1)-1,0,2))),"")</f>
        <v>0</v>
      </c>
      <c r="R1047" s="7" t="str">
        <f t="array" ref="R1047">IFERROR(INDEX(E$56:E$1054,SMALL(IF(ISNUMBER(P$56:P$1054),ROW(E$1:E$999),""),ROW(J992))),"")</f>
        <v/>
      </c>
      <c r="S1047" s="7" t="str">
        <f t="array" ref="S1047">IFERROR(INDEX(P$56:P$1054,SMALL(IF(ISNUMBER(P$56:P$1054),ROW(P$1:P$999),""),ROW(P992))),"")</f>
        <v/>
      </c>
      <c r="T1047" s="7"/>
      <c r="U1047" s="7"/>
      <c r="V1047" s="7"/>
    </row>
    <row r="1048" spans="1:22" x14ac:dyDescent="0.25">
      <c r="A1048" s="6"/>
      <c r="B1048" s="7"/>
      <c r="C1048" s="7"/>
      <c r="D1048" s="7"/>
      <c r="E1048" s="8">
        <f t="shared" si="15"/>
        <v>0</v>
      </c>
      <c r="F1048" s="10"/>
      <c r="G1048" s="10"/>
      <c r="H1048" s="9"/>
      <c r="I1048" s="7"/>
      <c r="J1048" s="7"/>
      <c r="K1048" s="7">
        <f ca="1">IFERROR(IF(COUNTA(J$56:J1048)=J$54,J1048,FORECAST(D1048,OFFSET(M$56:M$254,MATCH(D1048,L$56:L$254,1)-1,0,2), OFFSET(L$56:L$254,MATCH(D1048,L$56:L$254,1)-1,0,2))),"")</f>
        <v>0</v>
      </c>
      <c r="L1048" s="7" t="str">
        <f t="array" ref="L1048">IFERROR(INDEX(D$56:D$1054,SMALL(IF(ISNUMBER(J$56:J$1054),ROW(D$1:D$999),""),ROW(D993))),"")</f>
        <v/>
      </c>
      <c r="M1048" s="7" t="str">
        <f t="array" ref="M1048">IFERROR(INDEX(J$56:J$1054,SMALL(IF(ISNUMBER(J$56:J$1054),ROW(J$1:J$999),""),ROW(J993))),"")</f>
        <v/>
      </c>
      <c r="N1048" s="7"/>
      <c r="O1048" s="7"/>
      <c r="P1048" s="7"/>
      <c r="Q1048" s="7">
        <f ca="1">IFERROR(IF(COUNTA(P$56:P1048)=P$54,P1048,FORECAST(D1048,OFFSET(S$56:S$254,MATCH(D1048,R$56:R$254,1)-1,0,2), OFFSET(R$56:R$254,MATCH(D1048,R$56:R$254,1)-1,0,2))),"")</f>
        <v>0</v>
      </c>
      <c r="R1048" s="7" t="str">
        <f t="array" ref="R1048">IFERROR(INDEX(E$56:E$1054,SMALL(IF(ISNUMBER(P$56:P$1054),ROW(E$1:E$999),""),ROW(J993))),"")</f>
        <v/>
      </c>
      <c r="S1048" s="7" t="str">
        <f t="array" ref="S1048">IFERROR(INDEX(P$56:P$1054,SMALL(IF(ISNUMBER(P$56:P$1054),ROW(P$1:P$999),""),ROW(P993))),"")</f>
        <v/>
      </c>
      <c r="T1048" s="7"/>
      <c r="U1048" s="7"/>
      <c r="V1048" s="7"/>
    </row>
    <row r="1049" spans="1:22" x14ac:dyDescent="0.25">
      <c r="A1049" s="6"/>
      <c r="B1049" s="7"/>
      <c r="C1049" s="7"/>
      <c r="D1049" s="7"/>
      <c r="E1049" s="8">
        <f t="shared" si="15"/>
        <v>0</v>
      </c>
      <c r="F1049" s="10"/>
      <c r="G1049" s="10"/>
      <c r="H1049" s="9"/>
      <c r="I1049" s="7"/>
      <c r="J1049" s="7"/>
      <c r="K1049" s="7">
        <f ca="1">IFERROR(IF(COUNTA(J$56:J1049)=J$54,J1049,FORECAST(D1049,OFFSET(M$56:M$254,MATCH(D1049,L$56:L$254,1)-1,0,2), OFFSET(L$56:L$254,MATCH(D1049,L$56:L$254,1)-1,0,2))),"")</f>
        <v>0</v>
      </c>
      <c r="L1049" s="7" t="str">
        <f t="array" ref="L1049">IFERROR(INDEX(D$56:D$1054,SMALL(IF(ISNUMBER(J$56:J$1054),ROW(D$1:D$999),""),ROW(D994))),"")</f>
        <v/>
      </c>
      <c r="M1049" s="7" t="str">
        <f t="array" ref="M1049">IFERROR(INDEX(J$56:J$1054,SMALL(IF(ISNUMBER(J$56:J$1054),ROW(J$1:J$999),""),ROW(J994))),"")</f>
        <v/>
      </c>
      <c r="N1049" s="7"/>
      <c r="O1049" s="7"/>
      <c r="P1049" s="7"/>
      <c r="Q1049" s="7">
        <f ca="1">IFERROR(IF(COUNTA(P$56:P1049)=P$54,P1049,FORECAST(D1049,OFFSET(S$56:S$254,MATCH(D1049,R$56:R$254,1)-1,0,2), OFFSET(R$56:R$254,MATCH(D1049,R$56:R$254,1)-1,0,2))),"")</f>
        <v>0</v>
      </c>
      <c r="R1049" s="7" t="str">
        <f t="array" ref="R1049">IFERROR(INDEX(E$56:E$1054,SMALL(IF(ISNUMBER(P$56:P$1054),ROW(E$1:E$999),""),ROW(J994))),"")</f>
        <v/>
      </c>
      <c r="S1049" s="7" t="str">
        <f t="array" ref="S1049">IFERROR(INDEX(P$56:P$1054,SMALL(IF(ISNUMBER(P$56:P$1054),ROW(P$1:P$999),""),ROW(P994))),"")</f>
        <v/>
      </c>
      <c r="T1049" s="7"/>
      <c r="U1049" s="7"/>
      <c r="V1049" s="7"/>
    </row>
    <row r="1050" spans="1:22" x14ac:dyDescent="0.25">
      <c r="A1050" s="6"/>
      <c r="B1050" s="7"/>
      <c r="C1050" s="7"/>
      <c r="D1050" s="7"/>
      <c r="E1050" s="8">
        <f t="shared" si="15"/>
        <v>0</v>
      </c>
      <c r="F1050" s="10"/>
      <c r="G1050" s="10"/>
      <c r="H1050" s="9"/>
      <c r="I1050" s="7"/>
      <c r="J1050" s="7"/>
      <c r="K1050" s="7">
        <f ca="1">IFERROR(IF(COUNTA(J$56:J1050)=J$54,J1050,FORECAST(D1050,OFFSET(M$56:M$254,MATCH(D1050,L$56:L$254,1)-1,0,2), OFFSET(L$56:L$254,MATCH(D1050,L$56:L$254,1)-1,0,2))),"")</f>
        <v>0</v>
      </c>
      <c r="L1050" s="7" t="str">
        <f t="array" ref="L1050">IFERROR(INDEX(D$56:D$1054,SMALL(IF(ISNUMBER(J$56:J$1054),ROW(D$1:D$999),""),ROW(D995))),"")</f>
        <v/>
      </c>
      <c r="M1050" s="7" t="str">
        <f t="array" ref="M1050">IFERROR(INDEX(J$56:J$1054,SMALL(IF(ISNUMBER(J$56:J$1054),ROW(J$1:J$999),""),ROW(J995))),"")</f>
        <v/>
      </c>
      <c r="N1050" s="7"/>
      <c r="O1050" s="7"/>
      <c r="P1050" s="7"/>
      <c r="Q1050" s="7">
        <f ca="1">IFERROR(IF(COUNTA(P$56:P1050)=P$54,P1050,FORECAST(D1050,OFFSET(S$56:S$254,MATCH(D1050,R$56:R$254,1)-1,0,2), OFFSET(R$56:R$254,MATCH(D1050,R$56:R$254,1)-1,0,2))),"")</f>
        <v>0</v>
      </c>
      <c r="R1050" s="7" t="str">
        <f t="array" ref="R1050">IFERROR(INDEX(E$56:E$1054,SMALL(IF(ISNUMBER(P$56:P$1054),ROW(E$1:E$999),""),ROW(J995))),"")</f>
        <v/>
      </c>
      <c r="S1050" s="7" t="str">
        <f t="array" ref="S1050">IFERROR(INDEX(P$56:P$1054,SMALL(IF(ISNUMBER(P$56:P$1054),ROW(P$1:P$999),""),ROW(P995))),"")</f>
        <v/>
      </c>
      <c r="T1050" s="7"/>
      <c r="U1050" s="7"/>
      <c r="V1050" s="7"/>
    </row>
    <row r="1051" spans="1:22" x14ac:dyDescent="0.25">
      <c r="A1051" s="6"/>
      <c r="B1051" s="7"/>
      <c r="C1051" s="7"/>
      <c r="D1051" s="7"/>
      <c r="E1051" s="8">
        <f t="shared" si="15"/>
        <v>0</v>
      </c>
      <c r="F1051" s="10"/>
      <c r="G1051" s="10"/>
      <c r="H1051" s="9"/>
      <c r="I1051" s="7"/>
      <c r="J1051" s="7"/>
      <c r="K1051" s="7">
        <f ca="1">IFERROR(IF(COUNTA(J$56:J1051)=J$54,J1051,FORECAST(D1051,OFFSET(M$56:M$254,MATCH(D1051,L$56:L$254,1)-1,0,2), OFFSET(L$56:L$254,MATCH(D1051,L$56:L$254,1)-1,0,2))),"")</f>
        <v>0</v>
      </c>
      <c r="L1051" s="7" t="str">
        <f t="array" ref="L1051">IFERROR(INDEX(D$56:D$1054,SMALL(IF(ISNUMBER(J$56:J$1054),ROW(D$1:D$999),""),ROW(D996))),"")</f>
        <v/>
      </c>
      <c r="M1051" s="7" t="str">
        <f t="array" ref="M1051">IFERROR(INDEX(J$56:J$1054,SMALL(IF(ISNUMBER(J$56:J$1054),ROW(J$1:J$999),""),ROW(J996))),"")</f>
        <v/>
      </c>
      <c r="N1051" s="7"/>
      <c r="O1051" s="7"/>
      <c r="P1051" s="7"/>
      <c r="Q1051" s="7">
        <f ca="1">IFERROR(IF(COUNTA(P$56:P1051)=P$54,P1051,FORECAST(D1051,OFFSET(S$56:S$254,MATCH(D1051,R$56:R$254,1)-1,0,2), OFFSET(R$56:R$254,MATCH(D1051,R$56:R$254,1)-1,0,2))),"")</f>
        <v>0</v>
      </c>
      <c r="R1051" s="7" t="str">
        <f t="array" ref="R1051">IFERROR(INDEX(E$56:E$1054,SMALL(IF(ISNUMBER(P$56:P$1054),ROW(E$1:E$999),""),ROW(J996))),"")</f>
        <v/>
      </c>
      <c r="S1051" s="7" t="str">
        <f t="array" ref="S1051">IFERROR(INDEX(P$56:P$1054,SMALL(IF(ISNUMBER(P$56:P$1054),ROW(P$1:P$999),""),ROW(P996))),"")</f>
        <v/>
      </c>
      <c r="T1051" s="7"/>
      <c r="U1051" s="7"/>
      <c r="V1051" s="7"/>
    </row>
    <row r="1052" spans="1:22" x14ac:dyDescent="0.25">
      <c r="A1052" s="6"/>
      <c r="B1052" s="7"/>
      <c r="C1052" s="7"/>
      <c r="D1052" s="7"/>
      <c r="E1052" s="8">
        <f t="shared" si="15"/>
        <v>0</v>
      </c>
      <c r="F1052" s="10"/>
      <c r="G1052" s="10"/>
      <c r="H1052" s="9"/>
      <c r="I1052" s="7"/>
      <c r="J1052" s="7"/>
      <c r="K1052" s="7">
        <f ca="1">IFERROR(IF(COUNTA(J$56:J1052)=J$54,J1052,FORECAST(D1052,OFFSET(M$56:M$254,MATCH(D1052,L$56:L$254,1)-1,0,2), OFFSET(L$56:L$254,MATCH(D1052,L$56:L$254,1)-1,0,2))),"")</f>
        <v>0</v>
      </c>
      <c r="L1052" s="7" t="str">
        <f t="array" ref="L1052">IFERROR(INDEX(D$56:D$1054,SMALL(IF(ISNUMBER(J$56:J$1054),ROW(D$1:D$999),""),ROW(D997))),"")</f>
        <v/>
      </c>
      <c r="M1052" s="7" t="str">
        <f t="array" ref="M1052">IFERROR(INDEX(J$56:J$1054,SMALL(IF(ISNUMBER(J$56:J$1054),ROW(J$1:J$999),""),ROW(J997))),"")</f>
        <v/>
      </c>
      <c r="N1052" s="7"/>
      <c r="O1052" s="7"/>
      <c r="P1052" s="7"/>
      <c r="Q1052" s="7">
        <f ca="1">IFERROR(IF(COUNTA(P$56:P1052)=P$54,P1052,FORECAST(D1052,OFFSET(S$56:S$254,MATCH(D1052,R$56:R$254,1)-1,0,2), OFFSET(R$56:R$254,MATCH(D1052,R$56:R$254,1)-1,0,2))),"")</f>
        <v>0</v>
      </c>
      <c r="R1052" s="7" t="str">
        <f t="array" ref="R1052">IFERROR(INDEX(E$56:E$1054,SMALL(IF(ISNUMBER(P$56:P$1054),ROW(E$1:E$999),""),ROW(J997))),"")</f>
        <v/>
      </c>
      <c r="S1052" s="7" t="str">
        <f t="array" ref="S1052">IFERROR(INDEX(P$56:P$1054,SMALL(IF(ISNUMBER(P$56:P$1054),ROW(P$1:P$999),""),ROW(P997))),"")</f>
        <v/>
      </c>
      <c r="T1052" s="7"/>
      <c r="U1052" s="7"/>
      <c r="V1052" s="7"/>
    </row>
    <row r="1053" spans="1:22" x14ac:dyDescent="0.25">
      <c r="A1053" s="6"/>
      <c r="B1053" s="7"/>
      <c r="C1053" s="7"/>
      <c r="D1053" s="7"/>
      <c r="E1053" s="8">
        <f t="shared" si="15"/>
        <v>0</v>
      </c>
      <c r="F1053" s="10"/>
      <c r="G1053" s="10"/>
      <c r="H1053" s="9"/>
      <c r="I1053" s="7"/>
      <c r="J1053" s="7"/>
      <c r="K1053" s="7">
        <f ca="1">IFERROR(IF(COUNTA(J$56:J1053)=J$54,J1053,FORECAST(D1053,OFFSET(M$56:M$254,MATCH(D1053,L$56:L$254,1)-1,0,2), OFFSET(L$56:L$254,MATCH(D1053,L$56:L$254,1)-1,0,2))),"")</f>
        <v>0</v>
      </c>
      <c r="L1053" s="7" t="str">
        <f t="array" ref="L1053">IFERROR(INDEX(D$56:D$1054,SMALL(IF(ISNUMBER(J$56:J$1054),ROW(D$1:D$999),""),ROW(D998))),"")</f>
        <v/>
      </c>
      <c r="M1053" s="7" t="str">
        <f t="array" ref="M1053">IFERROR(INDEX(J$56:J$1054,SMALL(IF(ISNUMBER(J$56:J$1054),ROW(J$1:J$999),""),ROW(J998))),"")</f>
        <v/>
      </c>
      <c r="N1053" s="7"/>
      <c r="O1053" s="7"/>
      <c r="P1053" s="7"/>
      <c r="Q1053" s="7">
        <f ca="1">IFERROR(IF(COUNTA(P$56:P1053)=P$54,P1053,FORECAST(D1053,OFFSET(S$56:S$254,MATCH(D1053,R$56:R$254,1)-1,0,2), OFFSET(R$56:R$254,MATCH(D1053,R$56:R$254,1)-1,0,2))),"")</f>
        <v>0</v>
      </c>
      <c r="R1053" s="7" t="str">
        <f t="array" ref="R1053">IFERROR(INDEX(E$56:E$1054,SMALL(IF(ISNUMBER(P$56:P$1054),ROW(E$1:E$999),""),ROW(J998))),"")</f>
        <v/>
      </c>
      <c r="S1053" s="7" t="str">
        <f t="array" ref="S1053">IFERROR(INDEX(P$56:P$1054,SMALL(IF(ISNUMBER(P$56:P$1054),ROW(P$1:P$999),""),ROW(P998))),"")</f>
        <v/>
      </c>
      <c r="T1053" s="7"/>
      <c r="U1053" s="7"/>
      <c r="V1053" s="7"/>
    </row>
    <row r="1054" spans="1:22" x14ac:dyDescent="0.25">
      <c r="A1054" s="6"/>
      <c r="B1054" s="7"/>
      <c r="C1054" s="7"/>
      <c r="D1054" s="7"/>
      <c r="E1054" s="8">
        <f t="shared" si="15"/>
        <v>0</v>
      </c>
      <c r="F1054" s="10"/>
      <c r="G1054" s="10"/>
      <c r="H1054" s="9"/>
      <c r="I1054" s="7"/>
      <c r="J1054" s="7"/>
      <c r="K1054" s="7">
        <f ca="1">IFERROR(IF(COUNTA(J$56:J1054)=J$54,J1054,FORECAST(D1054,OFFSET(M$56:M$254,MATCH(D1054,L$56:L$254,1)-1,0,2), OFFSET(L$56:L$254,MATCH(D1054,L$56:L$254,1)-1,0,2))),"")</f>
        <v>0</v>
      </c>
      <c r="L1054" s="7" t="str">
        <f t="array" ref="L1054">IFERROR(INDEX(D$56:D$1054,SMALL(IF(ISNUMBER(J$56:J$1054),ROW(D$1:D$999),""),ROW(D999))),"")</f>
        <v/>
      </c>
      <c r="M1054" s="7" t="str">
        <f t="array" ref="M1054">IFERROR(INDEX(J$56:J$1054,SMALL(IF(ISNUMBER(J$56:J$1054),ROW(J$1:J$999),""),ROW(J999))),"")</f>
        <v/>
      </c>
      <c r="N1054" s="7"/>
      <c r="O1054" s="7"/>
      <c r="P1054" s="7"/>
      <c r="Q1054" s="7">
        <f ca="1">IFERROR(IF(COUNTA(P$56:P1054)=P$54,P1054,FORECAST(D1054,OFFSET(S$56:S$254,MATCH(D1054,R$56:R$254,1)-1,0,2), OFFSET(R$56:R$254,MATCH(D1054,R$56:R$254,1)-1,0,2))),"")</f>
        <v>0</v>
      </c>
      <c r="R1054" s="7" t="str">
        <f t="array" ref="R1054">IFERROR(INDEX(E$56:E$1054,SMALL(IF(ISNUMBER(P$56:P$1054),ROW(E$1:E$999),""),ROW(J999))),"")</f>
        <v/>
      </c>
      <c r="S1054" s="7" t="str">
        <f t="array" ref="S1054">IFERROR(INDEX(P$56:P$1054,SMALL(IF(ISNUMBER(P$56:P$1054),ROW(P$1:P$999),""),ROW(P999))),"")</f>
        <v/>
      </c>
      <c r="T1054" s="7"/>
      <c r="U1054" s="7"/>
      <c r="V1054" s="7"/>
    </row>
    <row r="1055" spans="1:22" x14ac:dyDescent="0.25">
      <c r="A1055" s="6"/>
      <c r="B1055" s="7"/>
      <c r="C1055" s="7"/>
      <c r="D1055" s="7"/>
      <c r="E1055" s="8">
        <f t="shared" si="15"/>
        <v>0</v>
      </c>
      <c r="F1055" s="10"/>
      <c r="G1055" s="10"/>
      <c r="H1055" s="9"/>
      <c r="I1055" s="7"/>
      <c r="J1055" s="7"/>
      <c r="K1055" s="7">
        <f ca="1">IFERROR(IF(COUNTA(J$56:J1055)=J$54,J1055,FORECAST(D1055,OFFSET(M$56:M$254,MATCH(D1055,L$56:L$254,1)-1,0,2), OFFSET(L$56:L$254,MATCH(D1055,L$56:L$254,1)-1,0,2))),"")</f>
        <v>0</v>
      </c>
      <c r="L1055" s="7" t="str">
        <f t="array" ref="L1055">IFERROR(INDEX(D$56:D$1054,SMALL(IF(ISNUMBER(J$56:J$1054),ROW(D$1:D$999),""),ROW(D1000))),"")</f>
        <v/>
      </c>
      <c r="M1055" s="7" t="str">
        <f t="array" ref="M1055">IFERROR(INDEX(J$56:J$1054,SMALL(IF(ISNUMBER(J$56:J$1054),ROW(J$1:J$999),""),ROW(J1000))),"")</f>
        <v/>
      </c>
      <c r="N1055" s="7"/>
      <c r="O1055" s="7"/>
      <c r="P1055" s="7"/>
      <c r="Q1055" s="7">
        <f ca="1">IFERROR(IF(COUNTA(P$56:P1055)=P$54,P1055,FORECAST(D1055,OFFSET(S$56:S$254,MATCH(D1055,R$56:R$254,1)-1,0,2), OFFSET(R$56:R$254,MATCH(D1055,R$56:R$254,1)-1,0,2))),"")</f>
        <v>0</v>
      </c>
      <c r="R1055" s="7" t="str">
        <f t="array" ref="R1055">IFERROR(INDEX(E$56:E$1054,SMALL(IF(ISNUMBER(P$56:P$1054),ROW(E$1:E$999),""),ROW(J1000))),"")</f>
        <v/>
      </c>
      <c r="S1055" s="7" t="str">
        <f t="array" ref="S1055">IFERROR(INDEX(P$56:P$1054,SMALL(IF(ISNUMBER(P$56:P$1054),ROW(P$1:P$999),""),ROW(P1000))),"")</f>
        <v/>
      </c>
      <c r="T1055" s="7"/>
      <c r="U1055" s="7"/>
      <c r="V1055" s="7"/>
    </row>
    <row r="1056" spans="1:22" x14ac:dyDescent="0.25">
      <c r="A1056" s="6"/>
      <c r="B1056" s="7"/>
      <c r="C1056" s="7"/>
      <c r="D1056" s="7"/>
      <c r="E1056" s="8">
        <f t="shared" si="15"/>
        <v>0</v>
      </c>
      <c r="F1056" s="10"/>
      <c r="G1056" s="10"/>
      <c r="H1056" s="9"/>
      <c r="I1056" s="7"/>
      <c r="J1056" s="7"/>
      <c r="K1056" s="7">
        <f ca="1">IFERROR(IF(COUNTA(J$56:J1056)=J$54,J1056,FORECAST(D1056,OFFSET(M$56:M$254,MATCH(D1056,L$56:L$254,1)-1,0,2), OFFSET(L$56:L$254,MATCH(D1056,L$56:L$254,1)-1,0,2))),"")</f>
        <v>0</v>
      </c>
      <c r="L1056" s="7" t="str">
        <f t="array" ref="L1056">IFERROR(INDEX(D$56:D$1054,SMALL(IF(ISNUMBER(J$56:J$1054),ROW(D$1:D$999),""),ROW(D1001))),"")</f>
        <v/>
      </c>
      <c r="M1056" s="7" t="str">
        <f t="array" ref="M1056">IFERROR(INDEX(J$56:J$1054,SMALL(IF(ISNUMBER(J$56:J$1054),ROW(J$1:J$999),""),ROW(J1001))),"")</f>
        <v/>
      </c>
      <c r="N1056" s="7"/>
      <c r="O1056" s="7"/>
      <c r="P1056" s="7"/>
      <c r="Q1056" s="7">
        <f ca="1">IFERROR(IF(COUNTA(P$56:P1056)=P$54,P1056,FORECAST(D1056,OFFSET(S$56:S$254,MATCH(D1056,R$56:R$254,1)-1,0,2), OFFSET(R$56:R$254,MATCH(D1056,R$56:R$254,1)-1,0,2))),"")</f>
        <v>0</v>
      </c>
      <c r="R1056" s="7" t="str">
        <f t="array" ref="R1056">IFERROR(INDEX(E$56:E$1054,SMALL(IF(ISNUMBER(P$56:P$1054),ROW(E$1:E$999),""),ROW(J1001))),"")</f>
        <v/>
      </c>
      <c r="S1056" s="7" t="str">
        <f t="array" ref="S1056">IFERROR(INDEX(P$56:P$1054,SMALL(IF(ISNUMBER(P$56:P$1054),ROW(P$1:P$999),""),ROW(P1001))),"")</f>
        <v/>
      </c>
      <c r="T1056" s="7"/>
      <c r="U1056" s="7"/>
      <c r="V1056" s="7"/>
    </row>
    <row r="1057" spans="1:22" x14ac:dyDescent="0.25">
      <c r="A1057" s="6"/>
      <c r="B1057" s="7"/>
      <c r="C1057" s="7"/>
      <c r="D1057" s="7"/>
      <c r="E1057" s="8">
        <f t="shared" si="15"/>
        <v>0</v>
      </c>
      <c r="F1057" s="10"/>
      <c r="G1057" s="10"/>
      <c r="H1057" s="9"/>
      <c r="I1057" s="7"/>
      <c r="J1057" s="7"/>
      <c r="K1057" s="7">
        <f ca="1">IFERROR(IF(COUNTA(J$56:J1057)=J$54,J1057,FORECAST(D1057,OFFSET(M$56:M$254,MATCH(D1057,L$56:L$254,1)-1,0,2), OFFSET(L$56:L$254,MATCH(D1057,L$56:L$254,1)-1,0,2))),"")</f>
        <v>0</v>
      </c>
      <c r="L1057" s="7" t="str">
        <f t="array" ref="L1057">IFERROR(INDEX(D$56:D$1054,SMALL(IF(ISNUMBER(J$56:J$1054),ROW(D$1:D$999),""),ROW(D1002))),"")</f>
        <v/>
      </c>
      <c r="M1057" s="7" t="str">
        <f t="array" ref="M1057">IFERROR(INDEX(J$56:J$1054,SMALL(IF(ISNUMBER(J$56:J$1054),ROW(J$1:J$999),""),ROW(J1002))),"")</f>
        <v/>
      </c>
      <c r="N1057" s="7"/>
      <c r="O1057" s="7"/>
      <c r="P1057" s="7"/>
      <c r="Q1057" s="7">
        <f ca="1">IFERROR(IF(COUNTA(P$56:P1057)=P$54,P1057,FORECAST(D1057,OFFSET(S$56:S$254,MATCH(D1057,R$56:R$254,1)-1,0,2), OFFSET(R$56:R$254,MATCH(D1057,R$56:R$254,1)-1,0,2))),"")</f>
        <v>0</v>
      </c>
      <c r="R1057" s="7" t="str">
        <f t="array" ref="R1057">IFERROR(INDEX(E$56:E$1054,SMALL(IF(ISNUMBER(P$56:P$1054),ROW(E$1:E$999),""),ROW(J1002))),"")</f>
        <v/>
      </c>
      <c r="S1057" s="7" t="str">
        <f t="array" ref="S1057">IFERROR(INDEX(P$56:P$1054,SMALL(IF(ISNUMBER(P$56:P$1054),ROW(P$1:P$999),""),ROW(P1002))),"")</f>
        <v/>
      </c>
      <c r="T1057" s="7"/>
      <c r="U1057" s="7"/>
      <c r="V1057" s="7"/>
    </row>
    <row r="1058" spans="1:22" x14ac:dyDescent="0.25">
      <c r="A1058" s="6"/>
      <c r="B1058" s="7"/>
      <c r="C1058" s="7"/>
      <c r="D1058" s="7"/>
      <c r="E1058" s="8">
        <f t="shared" si="15"/>
        <v>0</v>
      </c>
      <c r="F1058" s="10"/>
      <c r="G1058" s="10"/>
      <c r="H1058" s="9"/>
      <c r="I1058" s="7"/>
      <c r="J1058" s="7"/>
      <c r="K1058" s="7">
        <f ca="1">IFERROR(IF(COUNTA(J$56:J1058)=J$54,J1058,FORECAST(D1058,OFFSET(M$56:M$254,MATCH(D1058,L$56:L$254,1)-1,0,2), OFFSET(L$56:L$254,MATCH(D1058,L$56:L$254,1)-1,0,2))),"")</f>
        <v>0</v>
      </c>
      <c r="L1058" s="7" t="str">
        <f t="array" ref="L1058">IFERROR(INDEX(D$56:D$1054,SMALL(IF(ISNUMBER(J$56:J$1054),ROW(D$1:D$999),""),ROW(D1003))),"")</f>
        <v/>
      </c>
      <c r="M1058" s="7" t="str">
        <f t="array" ref="M1058">IFERROR(INDEX(J$56:J$1054,SMALL(IF(ISNUMBER(J$56:J$1054),ROW(J$1:J$999),""),ROW(J1003))),"")</f>
        <v/>
      </c>
      <c r="N1058" s="7"/>
      <c r="O1058" s="7"/>
      <c r="P1058" s="7"/>
      <c r="Q1058" s="7">
        <f ca="1">IFERROR(IF(COUNTA(P$56:P1058)=P$54,P1058,FORECAST(D1058,OFFSET(S$56:S$254,MATCH(D1058,R$56:R$254,1)-1,0,2), OFFSET(R$56:R$254,MATCH(D1058,R$56:R$254,1)-1,0,2))),"")</f>
        <v>0</v>
      </c>
      <c r="R1058" s="7" t="str">
        <f t="array" ref="R1058">IFERROR(INDEX(E$56:E$1054,SMALL(IF(ISNUMBER(P$56:P$1054),ROW(E$1:E$999),""),ROW(J1003))),"")</f>
        <v/>
      </c>
      <c r="S1058" s="7" t="str">
        <f t="array" ref="S1058">IFERROR(INDEX(P$56:P$1054,SMALL(IF(ISNUMBER(P$56:P$1054),ROW(P$1:P$999),""),ROW(P1003))),"")</f>
        <v/>
      </c>
      <c r="T1058" s="7"/>
      <c r="U1058" s="7"/>
      <c r="V1058" s="7"/>
    </row>
    <row r="1059" spans="1:22" x14ac:dyDescent="0.25">
      <c r="A1059" s="6"/>
      <c r="B1059" s="7"/>
      <c r="C1059" s="7"/>
      <c r="D1059" s="7"/>
      <c r="E1059" s="8">
        <f t="shared" si="15"/>
        <v>0</v>
      </c>
      <c r="F1059" s="10"/>
      <c r="G1059" s="10"/>
      <c r="H1059" s="9"/>
      <c r="I1059" s="7"/>
      <c r="J1059" s="7"/>
      <c r="K1059" s="7">
        <f ca="1">IFERROR(IF(COUNTA(J$56:J1059)=J$54,J1059,FORECAST(D1059,OFFSET(M$56:M$254,MATCH(D1059,L$56:L$254,1)-1,0,2), OFFSET(L$56:L$254,MATCH(D1059,L$56:L$254,1)-1,0,2))),"")</f>
        <v>0</v>
      </c>
      <c r="L1059" s="7" t="str">
        <f t="array" ref="L1059">IFERROR(INDEX(D$56:D$1054,SMALL(IF(ISNUMBER(J$56:J$1054),ROW(D$1:D$999),""),ROW(D1004))),"")</f>
        <v/>
      </c>
      <c r="M1059" s="7" t="str">
        <f t="array" ref="M1059">IFERROR(INDEX(J$56:J$1054,SMALL(IF(ISNUMBER(J$56:J$1054),ROW(J$1:J$999),""),ROW(J1004))),"")</f>
        <v/>
      </c>
      <c r="N1059" s="7"/>
      <c r="O1059" s="7"/>
      <c r="P1059" s="7"/>
      <c r="Q1059" s="7">
        <f ca="1">IFERROR(IF(COUNTA(P$56:P1059)=P$54,P1059,FORECAST(D1059,OFFSET(S$56:S$254,MATCH(D1059,R$56:R$254,1)-1,0,2), OFFSET(R$56:R$254,MATCH(D1059,R$56:R$254,1)-1,0,2))),"")</f>
        <v>0</v>
      </c>
      <c r="R1059" s="7" t="str">
        <f t="array" ref="R1059">IFERROR(INDEX(E$56:E$1054,SMALL(IF(ISNUMBER(P$56:P$1054),ROW(E$1:E$999),""),ROW(J1004))),"")</f>
        <v/>
      </c>
      <c r="S1059" s="7" t="str">
        <f t="array" ref="S1059">IFERROR(INDEX(P$56:P$1054,SMALL(IF(ISNUMBER(P$56:P$1054),ROW(P$1:P$999),""),ROW(P1004))),"")</f>
        <v/>
      </c>
      <c r="T1059" s="7"/>
      <c r="U1059" s="7"/>
      <c r="V1059" s="7"/>
    </row>
    <row r="1060" spans="1:22" x14ac:dyDescent="0.25">
      <c r="A1060" s="6"/>
      <c r="B1060" s="7"/>
      <c r="C1060" s="7"/>
      <c r="D1060" s="7"/>
      <c r="E1060" s="8">
        <f t="shared" si="15"/>
        <v>0</v>
      </c>
      <c r="F1060" s="10"/>
      <c r="G1060" s="10"/>
      <c r="H1060" s="9"/>
      <c r="I1060" s="7"/>
      <c r="J1060" s="7"/>
      <c r="K1060" s="7">
        <f ca="1">IFERROR(IF(COUNTA(J$56:J1060)=J$54,J1060,FORECAST(D1060,OFFSET(M$56:M$254,MATCH(D1060,L$56:L$254,1)-1,0,2), OFFSET(L$56:L$254,MATCH(D1060,L$56:L$254,1)-1,0,2))),"")</f>
        <v>0</v>
      </c>
      <c r="L1060" s="7" t="str">
        <f t="array" ref="L1060">IFERROR(INDEX(D$56:D$1054,SMALL(IF(ISNUMBER(J$56:J$1054),ROW(D$1:D$999),""),ROW(D1005))),"")</f>
        <v/>
      </c>
      <c r="M1060" s="7" t="str">
        <f t="array" ref="M1060">IFERROR(INDEX(J$56:J$1054,SMALL(IF(ISNUMBER(J$56:J$1054),ROW(J$1:J$999),""),ROW(J1005))),"")</f>
        <v/>
      </c>
      <c r="N1060" s="7"/>
      <c r="O1060" s="7"/>
      <c r="P1060" s="7"/>
      <c r="Q1060" s="7">
        <f ca="1">IFERROR(IF(COUNTA(P$56:P1060)=P$54,P1060,FORECAST(D1060,OFFSET(S$56:S$254,MATCH(D1060,R$56:R$254,1)-1,0,2), OFFSET(R$56:R$254,MATCH(D1060,R$56:R$254,1)-1,0,2))),"")</f>
        <v>0</v>
      </c>
      <c r="R1060" s="7" t="str">
        <f t="array" ref="R1060">IFERROR(INDEX(E$56:E$1054,SMALL(IF(ISNUMBER(P$56:P$1054),ROW(E$1:E$999),""),ROW(J1005))),"")</f>
        <v/>
      </c>
      <c r="S1060" s="7" t="str">
        <f t="array" ref="S1060">IFERROR(INDEX(P$56:P$1054,SMALL(IF(ISNUMBER(P$56:P$1054),ROW(P$1:P$999),""),ROW(P1005))),"")</f>
        <v/>
      </c>
      <c r="T1060" s="7"/>
      <c r="U1060" s="7"/>
      <c r="V1060" s="7"/>
    </row>
    <row r="1061" spans="1:22" x14ac:dyDescent="0.25">
      <c r="A1061" s="6"/>
      <c r="B1061" s="7"/>
      <c r="C1061" s="7"/>
      <c r="D1061" s="7"/>
      <c r="E1061" s="8">
        <f t="shared" si="15"/>
        <v>0</v>
      </c>
      <c r="F1061" s="10"/>
      <c r="G1061" s="10"/>
      <c r="H1061" s="9"/>
      <c r="I1061" s="7"/>
      <c r="J1061" s="7"/>
      <c r="K1061" s="7">
        <f ca="1">IFERROR(IF(COUNTA(J$56:J1061)=J$54,J1061,FORECAST(D1061,OFFSET(M$56:M$254,MATCH(D1061,L$56:L$254,1)-1,0,2), OFFSET(L$56:L$254,MATCH(D1061,L$56:L$254,1)-1,0,2))),"")</f>
        <v>0</v>
      </c>
      <c r="L1061" s="7" t="str">
        <f t="array" ref="L1061">IFERROR(INDEX(D$56:D$1054,SMALL(IF(ISNUMBER(J$56:J$1054),ROW(D$1:D$999),""),ROW(D1006))),"")</f>
        <v/>
      </c>
      <c r="M1061" s="7" t="str">
        <f t="array" ref="M1061">IFERROR(INDEX(J$56:J$1054,SMALL(IF(ISNUMBER(J$56:J$1054),ROW(J$1:J$999),""),ROW(J1006))),"")</f>
        <v/>
      </c>
      <c r="N1061" s="7"/>
      <c r="O1061" s="7"/>
      <c r="P1061" s="7"/>
      <c r="Q1061" s="7">
        <f ca="1">IFERROR(IF(COUNTA(P$56:P1061)=P$54,P1061,FORECAST(D1061,OFFSET(S$56:S$254,MATCH(D1061,R$56:R$254,1)-1,0,2), OFFSET(R$56:R$254,MATCH(D1061,R$56:R$254,1)-1,0,2))),"")</f>
        <v>0</v>
      </c>
      <c r="R1061" s="7" t="str">
        <f t="array" ref="R1061">IFERROR(INDEX(E$56:E$1054,SMALL(IF(ISNUMBER(P$56:P$1054),ROW(E$1:E$999),""),ROW(J1006))),"")</f>
        <v/>
      </c>
      <c r="S1061" s="7" t="str">
        <f t="array" ref="S1061">IFERROR(INDEX(P$56:P$1054,SMALL(IF(ISNUMBER(P$56:P$1054),ROW(P$1:P$999),""),ROW(P1006))),"")</f>
        <v/>
      </c>
      <c r="T1061" s="7"/>
      <c r="U1061" s="7"/>
      <c r="V1061" s="7"/>
    </row>
    <row r="1062" spans="1:22" x14ac:dyDescent="0.25">
      <c r="A1062" s="6"/>
      <c r="B1062" s="7"/>
      <c r="C1062" s="7"/>
      <c r="D1062" s="7"/>
      <c r="E1062" s="8">
        <f t="shared" si="15"/>
        <v>0</v>
      </c>
      <c r="F1062" s="10"/>
      <c r="G1062" s="10"/>
      <c r="H1062" s="9"/>
      <c r="I1062" s="7"/>
      <c r="J1062" s="7"/>
      <c r="K1062" s="7">
        <f ca="1">IFERROR(IF(COUNTA(J$56:J1062)=J$54,J1062,FORECAST(D1062,OFFSET(M$56:M$254,MATCH(D1062,L$56:L$254,1)-1,0,2), OFFSET(L$56:L$254,MATCH(D1062,L$56:L$254,1)-1,0,2))),"")</f>
        <v>0</v>
      </c>
      <c r="L1062" s="7" t="str">
        <f t="array" ref="L1062">IFERROR(INDEX(D$56:D$1054,SMALL(IF(ISNUMBER(J$56:J$1054),ROW(D$1:D$999),""),ROW(D1007))),"")</f>
        <v/>
      </c>
      <c r="M1062" s="7" t="str">
        <f t="array" ref="M1062">IFERROR(INDEX(J$56:J$1054,SMALL(IF(ISNUMBER(J$56:J$1054),ROW(J$1:J$999),""),ROW(J1007))),"")</f>
        <v/>
      </c>
      <c r="N1062" s="7"/>
      <c r="O1062" s="7"/>
      <c r="P1062" s="7"/>
      <c r="Q1062" s="7">
        <f ca="1">IFERROR(IF(COUNTA(P$56:P1062)=P$54,P1062,FORECAST(D1062,OFFSET(S$56:S$254,MATCH(D1062,R$56:R$254,1)-1,0,2), OFFSET(R$56:R$254,MATCH(D1062,R$56:R$254,1)-1,0,2))),"")</f>
        <v>0</v>
      </c>
      <c r="R1062" s="7" t="str">
        <f t="array" ref="R1062">IFERROR(INDEX(E$56:E$1054,SMALL(IF(ISNUMBER(P$56:P$1054),ROW(E$1:E$999),""),ROW(J1007))),"")</f>
        <v/>
      </c>
      <c r="S1062" s="7" t="str">
        <f t="array" ref="S1062">IFERROR(INDEX(P$56:P$1054,SMALL(IF(ISNUMBER(P$56:P$1054),ROW(P$1:P$999),""),ROW(P1007))),"")</f>
        <v/>
      </c>
      <c r="T1062" s="7"/>
      <c r="U1062" s="7"/>
      <c r="V1062" s="7"/>
    </row>
    <row r="1063" spans="1:22" x14ac:dyDescent="0.25">
      <c r="A1063" s="6"/>
      <c r="B1063" s="7"/>
      <c r="C1063" s="7"/>
      <c r="D1063" s="7"/>
      <c r="E1063" s="8">
        <f t="shared" si="15"/>
        <v>0</v>
      </c>
      <c r="F1063" s="10"/>
      <c r="G1063" s="10"/>
      <c r="H1063" s="9"/>
      <c r="I1063" s="7"/>
      <c r="J1063" s="7"/>
      <c r="K1063" s="7">
        <f ca="1">IFERROR(IF(COUNTA(J$56:J1063)=J$54,J1063,FORECAST(D1063,OFFSET(M$56:M$254,MATCH(D1063,L$56:L$254,1)-1,0,2), OFFSET(L$56:L$254,MATCH(D1063,L$56:L$254,1)-1,0,2))),"")</f>
        <v>0</v>
      </c>
      <c r="L1063" s="7" t="str">
        <f t="array" ref="L1063">IFERROR(INDEX(D$56:D$1054,SMALL(IF(ISNUMBER(J$56:J$1054),ROW(D$1:D$999),""),ROW(D1008))),"")</f>
        <v/>
      </c>
      <c r="M1063" s="7" t="str">
        <f t="array" ref="M1063">IFERROR(INDEX(J$56:J$1054,SMALL(IF(ISNUMBER(J$56:J$1054),ROW(J$1:J$999),""),ROW(J1008))),"")</f>
        <v/>
      </c>
      <c r="N1063" s="7"/>
      <c r="O1063" s="7"/>
      <c r="P1063" s="7"/>
      <c r="Q1063" s="7">
        <f ca="1">IFERROR(IF(COUNTA(P$56:P1063)=P$54,P1063,FORECAST(D1063,OFFSET(S$56:S$254,MATCH(D1063,R$56:R$254,1)-1,0,2), OFFSET(R$56:R$254,MATCH(D1063,R$56:R$254,1)-1,0,2))),"")</f>
        <v>0</v>
      </c>
      <c r="R1063" s="7" t="str">
        <f t="array" ref="R1063">IFERROR(INDEX(E$56:E$1054,SMALL(IF(ISNUMBER(P$56:P$1054),ROW(E$1:E$999),""),ROW(J1008))),"")</f>
        <v/>
      </c>
      <c r="S1063" s="7" t="str">
        <f t="array" ref="S1063">IFERROR(INDEX(P$56:P$1054,SMALL(IF(ISNUMBER(P$56:P$1054),ROW(P$1:P$999),""),ROW(P1008))),"")</f>
        <v/>
      </c>
      <c r="T1063" s="7"/>
      <c r="U1063" s="7"/>
      <c r="V1063" s="7"/>
    </row>
    <row r="1064" spans="1:22" x14ac:dyDescent="0.25">
      <c r="A1064" s="6"/>
      <c r="B1064" s="7"/>
      <c r="C1064" s="7"/>
      <c r="D1064" s="7"/>
      <c r="E1064" s="8">
        <f t="shared" si="15"/>
        <v>0</v>
      </c>
      <c r="F1064" s="10"/>
      <c r="G1064" s="10"/>
      <c r="H1064" s="9"/>
      <c r="I1064" s="7"/>
      <c r="J1064" s="7"/>
      <c r="K1064" s="7">
        <f ca="1">IFERROR(IF(COUNTA(J$56:J1064)=J$54,J1064,FORECAST(D1064,OFFSET(M$56:M$254,MATCH(D1064,L$56:L$254,1)-1,0,2), OFFSET(L$56:L$254,MATCH(D1064,L$56:L$254,1)-1,0,2))),"")</f>
        <v>0</v>
      </c>
      <c r="L1064" s="7" t="str">
        <f t="array" ref="L1064">IFERROR(INDEX(D$56:D$1054,SMALL(IF(ISNUMBER(J$56:J$1054),ROW(D$1:D$999),""),ROW(D1009))),"")</f>
        <v/>
      </c>
      <c r="M1064" s="7" t="str">
        <f t="array" ref="M1064">IFERROR(INDEX(J$56:J$1054,SMALL(IF(ISNUMBER(J$56:J$1054),ROW(J$1:J$999),""),ROW(J1009))),"")</f>
        <v/>
      </c>
      <c r="N1064" s="7"/>
      <c r="O1064" s="7"/>
      <c r="P1064" s="7"/>
      <c r="Q1064" s="7">
        <f ca="1">IFERROR(IF(COUNTA(P$56:P1064)=P$54,P1064,FORECAST(D1064,OFFSET(S$56:S$254,MATCH(D1064,R$56:R$254,1)-1,0,2), OFFSET(R$56:R$254,MATCH(D1064,R$56:R$254,1)-1,0,2))),"")</f>
        <v>0</v>
      </c>
      <c r="R1064" s="7" t="str">
        <f t="array" ref="R1064">IFERROR(INDEX(E$56:E$1054,SMALL(IF(ISNUMBER(P$56:P$1054),ROW(E$1:E$999),""),ROW(J1009))),"")</f>
        <v/>
      </c>
      <c r="S1064" s="7" t="str">
        <f t="array" ref="S1064">IFERROR(INDEX(P$56:P$1054,SMALL(IF(ISNUMBER(P$56:P$1054),ROW(P$1:P$999),""),ROW(P1009))),"")</f>
        <v/>
      </c>
      <c r="T1064" s="7"/>
      <c r="U1064" s="7"/>
      <c r="V1064" s="7"/>
    </row>
    <row r="1065" spans="1:22" x14ac:dyDescent="0.25">
      <c r="A1065" s="6"/>
      <c r="B1065" s="7"/>
      <c r="C1065" s="7"/>
      <c r="D1065" s="7"/>
      <c r="E1065" s="8">
        <f t="shared" si="15"/>
        <v>0</v>
      </c>
      <c r="F1065" s="10"/>
      <c r="G1065" s="10"/>
      <c r="H1065" s="9"/>
      <c r="I1065" s="7"/>
      <c r="J1065" s="7"/>
      <c r="K1065" s="7">
        <f ca="1">IFERROR(IF(COUNTA(J$56:J1065)=J$54,J1065,FORECAST(D1065,OFFSET(M$56:M$254,MATCH(D1065,L$56:L$254,1)-1,0,2), OFFSET(L$56:L$254,MATCH(D1065,L$56:L$254,1)-1,0,2))),"")</f>
        <v>0</v>
      </c>
      <c r="L1065" s="7" t="str">
        <f t="array" ref="L1065">IFERROR(INDEX(D$56:D$1054,SMALL(IF(ISNUMBER(J$56:J$1054),ROW(D$1:D$999),""),ROW(D1010))),"")</f>
        <v/>
      </c>
      <c r="M1065" s="7" t="str">
        <f t="array" ref="M1065">IFERROR(INDEX(J$56:J$1054,SMALL(IF(ISNUMBER(J$56:J$1054),ROW(J$1:J$999),""),ROW(J1010))),"")</f>
        <v/>
      </c>
      <c r="N1065" s="7"/>
      <c r="O1065" s="7"/>
      <c r="P1065" s="7"/>
      <c r="Q1065" s="7">
        <f ca="1">IFERROR(IF(COUNTA(P$56:P1065)=P$54,P1065,FORECAST(D1065,OFFSET(S$56:S$254,MATCH(D1065,R$56:R$254,1)-1,0,2), OFFSET(R$56:R$254,MATCH(D1065,R$56:R$254,1)-1,0,2))),"")</f>
        <v>0</v>
      </c>
      <c r="R1065" s="7" t="str">
        <f t="array" ref="R1065">IFERROR(INDEX(E$56:E$1054,SMALL(IF(ISNUMBER(P$56:P$1054),ROW(E$1:E$999),""),ROW(J1010))),"")</f>
        <v/>
      </c>
      <c r="S1065" s="7" t="str">
        <f t="array" ref="S1065">IFERROR(INDEX(P$56:P$1054,SMALL(IF(ISNUMBER(P$56:P$1054),ROW(P$1:P$999),""),ROW(P1010))),"")</f>
        <v/>
      </c>
      <c r="T1065" s="7"/>
      <c r="U1065" s="7"/>
      <c r="V1065" s="7"/>
    </row>
    <row r="1066" spans="1:22" x14ac:dyDescent="0.25">
      <c r="A1066" s="6"/>
      <c r="B1066" s="7"/>
      <c r="C1066" s="7"/>
      <c r="D1066" s="7"/>
      <c r="E1066" s="8">
        <f t="shared" si="15"/>
        <v>0</v>
      </c>
      <c r="F1066" s="10"/>
      <c r="G1066" s="10"/>
      <c r="H1066" s="9"/>
      <c r="I1066" s="7"/>
      <c r="J1066" s="7"/>
      <c r="K1066" s="7">
        <f ca="1">IFERROR(IF(COUNTA(J$56:J1066)=J$54,J1066,FORECAST(D1066,OFFSET(M$56:M$254,MATCH(D1066,L$56:L$254,1)-1,0,2), OFFSET(L$56:L$254,MATCH(D1066,L$56:L$254,1)-1,0,2))),"")</f>
        <v>0</v>
      </c>
      <c r="L1066" s="7" t="str">
        <f t="array" ref="L1066">IFERROR(INDEX(D$56:D$1054,SMALL(IF(ISNUMBER(J$56:J$1054),ROW(D$1:D$999),""),ROW(D1011))),"")</f>
        <v/>
      </c>
      <c r="M1066" s="7" t="str">
        <f t="array" ref="M1066">IFERROR(INDEX(J$56:J$1054,SMALL(IF(ISNUMBER(J$56:J$1054),ROW(J$1:J$999),""),ROW(J1011))),"")</f>
        <v/>
      </c>
      <c r="N1066" s="7"/>
      <c r="O1066" s="7"/>
      <c r="P1066" s="7"/>
      <c r="Q1066" s="7">
        <f ca="1">IFERROR(IF(COUNTA(P$56:P1066)=P$54,P1066,FORECAST(D1066,OFFSET(S$56:S$254,MATCH(D1066,R$56:R$254,1)-1,0,2), OFFSET(R$56:R$254,MATCH(D1066,R$56:R$254,1)-1,0,2))),"")</f>
        <v>0</v>
      </c>
      <c r="R1066" s="7" t="str">
        <f t="array" ref="R1066">IFERROR(INDEX(E$56:E$1054,SMALL(IF(ISNUMBER(P$56:P$1054),ROW(E$1:E$999),""),ROW(J1011))),"")</f>
        <v/>
      </c>
      <c r="S1066" s="7" t="str">
        <f t="array" ref="S1066">IFERROR(INDEX(P$56:P$1054,SMALL(IF(ISNUMBER(P$56:P$1054),ROW(P$1:P$999),""),ROW(P1011))),"")</f>
        <v/>
      </c>
      <c r="T1066" s="7"/>
      <c r="U1066" s="7"/>
      <c r="V1066" s="7"/>
    </row>
    <row r="1067" spans="1:22" x14ac:dyDescent="0.25">
      <c r="A1067" s="6"/>
      <c r="B1067" s="7"/>
      <c r="C1067" s="7"/>
      <c r="D1067" s="7"/>
      <c r="E1067" s="8">
        <f t="shared" si="15"/>
        <v>0</v>
      </c>
      <c r="F1067" s="10"/>
      <c r="G1067" s="10"/>
      <c r="H1067" s="9"/>
      <c r="I1067" s="7"/>
      <c r="J1067" s="7"/>
      <c r="K1067" s="7">
        <f ca="1">IFERROR(IF(COUNTA(J$56:J1067)=J$54,J1067,FORECAST(D1067,OFFSET(M$56:M$254,MATCH(D1067,L$56:L$254,1)-1,0,2), OFFSET(L$56:L$254,MATCH(D1067,L$56:L$254,1)-1,0,2))),"")</f>
        <v>0</v>
      </c>
      <c r="L1067" s="7" t="str">
        <f t="array" ref="L1067">IFERROR(INDEX(D$56:D$1054,SMALL(IF(ISNUMBER(J$56:J$1054),ROW(D$1:D$999),""),ROW(D1012))),"")</f>
        <v/>
      </c>
      <c r="M1067" s="7" t="str">
        <f t="array" ref="M1067">IFERROR(INDEX(J$56:J$1054,SMALL(IF(ISNUMBER(J$56:J$1054),ROW(J$1:J$999),""),ROW(J1012))),"")</f>
        <v/>
      </c>
      <c r="N1067" s="7"/>
      <c r="O1067" s="7"/>
      <c r="P1067" s="7"/>
      <c r="Q1067" s="7">
        <f ca="1">IFERROR(IF(COUNTA(P$56:P1067)=P$54,P1067,FORECAST(D1067,OFFSET(S$56:S$254,MATCH(D1067,R$56:R$254,1)-1,0,2), OFFSET(R$56:R$254,MATCH(D1067,R$56:R$254,1)-1,0,2))),"")</f>
        <v>0</v>
      </c>
      <c r="R1067" s="7" t="str">
        <f t="array" ref="R1067">IFERROR(INDEX(E$56:E$1054,SMALL(IF(ISNUMBER(P$56:P$1054),ROW(E$1:E$999),""),ROW(J1012))),"")</f>
        <v/>
      </c>
      <c r="S1067" s="7" t="str">
        <f t="array" ref="S1067">IFERROR(INDEX(P$56:P$1054,SMALL(IF(ISNUMBER(P$56:P$1054),ROW(P$1:P$999),""),ROW(P1012))),"")</f>
        <v/>
      </c>
      <c r="T1067" s="7"/>
      <c r="U1067" s="7"/>
      <c r="V1067" s="7"/>
    </row>
    <row r="1068" spans="1:22" x14ac:dyDescent="0.25">
      <c r="A1068" s="6"/>
      <c r="B1068" s="7"/>
      <c r="C1068" s="7"/>
      <c r="D1068" s="7"/>
      <c r="E1068" s="8">
        <f t="shared" si="15"/>
        <v>0</v>
      </c>
      <c r="F1068" s="10"/>
      <c r="G1068" s="10"/>
      <c r="H1068" s="9"/>
      <c r="I1068" s="7"/>
      <c r="J1068" s="7"/>
      <c r="K1068" s="7">
        <f ca="1">IFERROR(IF(COUNTA(J$56:J1068)=J$54,J1068,FORECAST(D1068,OFFSET(M$56:M$254,MATCH(D1068,L$56:L$254,1)-1,0,2), OFFSET(L$56:L$254,MATCH(D1068,L$56:L$254,1)-1,0,2))),"")</f>
        <v>0</v>
      </c>
      <c r="L1068" s="7" t="str">
        <f t="array" ref="L1068">IFERROR(INDEX(D$56:D$1054,SMALL(IF(ISNUMBER(J$56:J$1054),ROW(D$1:D$999),""),ROW(D1013))),"")</f>
        <v/>
      </c>
      <c r="M1068" s="7" t="str">
        <f t="array" ref="M1068">IFERROR(INDEX(J$56:J$1054,SMALL(IF(ISNUMBER(J$56:J$1054),ROW(J$1:J$999),""),ROW(J1013))),"")</f>
        <v/>
      </c>
      <c r="N1068" s="7"/>
      <c r="O1068" s="7"/>
      <c r="P1068" s="7"/>
      <c r="Q1068" s="7">
        <f ca="1">IFERROR(IF(COUNTA(P$56:P1068)=P$54,P1068,FORECAST(D1068,OFFSET(S$56:S$254,MATCH(D1068,R$56:R$254,1)-1,0,2), OFFSET(R$56:R$254,MATCH(D1068,R$56:R$254,1)-1,0,2))),"")</f>
        <v>0</v>
      </c>
      <c r="R1068" s="7" t="str">
        <f t="array" ref="R1068">IFERROR(INDEX(E$56:E$1054,SMALL(IF(ISNUMBER(P$56:P$1054),ROW(E$1:E$999),""),ROW(J1013))),"")</f>
        <v/>
      </c>
      <c r="S1068" s="7" t="str">
        <f t="array" ref="S1068">IFERROR(INDEX(P$56:P$1054,SMALL(IF(ISNUMBER(P$56:P$1054),ROW(P$1:P$999),""),ROW(P1013))),"")</f>
        <v/>
      </c>
      <c r="T1068" s="7"/>
      <c r="U1068" s="7"/>
      <c r="V1068" s="7"/>
    </row>
    <row r="1069" spans="1:22" x14ac:dyDescent="0.25">
      <c r="A1069" s="6"/>
      <c r="B1069" s="7"/>
      <c r="C1069" s="7"/>
      <c r="D1069" s="7"/>
      <c r="E1069" s="8">
        <f t="shared" si="15"/>
        <v>0</v>
      </c>
      <c r="F1069" s="10"/>
      <c r="G1069" s="10"/>
      <c r="H1069" s="9"/>
      <c r="I1069" s="7"/>
      <c r="J1069" s="7"/>
      <c r="K1069" s="7">
        <f ca="1">IFERROR(IF(COUNTA(J$56:J1069)=J$54,J1069,FORECAST(D1069,OFFSET(M$56:M$254,MATCH(D1069,L$56:L$254,1)-1,0,2), OFFSET(L$56:L$254,MATCH(D1069,L$56:L$254,1)-1,0,2))),"")</f>
        <v>0</v>
      </c>
      <c r="L1069" s="7" t="str">
        <f t="array" ref="L1069">IFERROR(INDEX(D$56:D$1054,SMALL(IF(ISNUMBER(J$56:J$1054),ROW(D$1:D$999),""),ROW(D1014))),"")</f>
        <v/>
      </c>
      <c r="M1069" s="7" t="str">
        <f t="array" ref="M1069">IFERROR(INDEX(J$56:J$1054,SMALL(IF(ISNUMBER(J$56:J$1054),ROW(J$1:J$999),""),ROW(J1014))),"")</f>
        <v/>
      </c>
      <c r="N1069" s="7"/>
      <c r="O1069" s="7"/>
      <c r="P1069" s="7"/>
      <c r="Q1069" s="7">
        <f ca="1">IFERROR(IF(COUNTA(P$56:P1069)=P$54,P1069,FORECAST(D1069,OFFSET(S$56:S$254,MATCH(D1069,R$56:R$254,1)-1,0,2), OFFSET(R$56:R$254,MATCH(D1069,R$56:R$254,1)-1,0,2))),"")</f>
        <v>0</v>
      </c>
      <c r="R1069" s="7" t="str">
        <f t="array" ref="R1069">IFERROR(INDEX(E$56:E$1054,SMALL(IF(ISNUMBER(P$56:P$1054),ROW(E$1:E$999),""),ROW(J1014))),"")</f>
        <v/>
      </c>
      <c r="S1069" s="7" t="str">
        <f t="array" ref="S1069">IFERROR(INDEX(P$56:P$1054,SMALL(IF(ISNUMBER(P$56:P$1054),ROW(P$1:P$999),""),ROW(P1014))),"")</f>
        <v/>
      </c>
      <c r="T1069" s="7"/>
      <c r="U1069" s="7"/>
      <c r="V1069" s="7"/>
    </row>
    <row r="1070" spans="1:22" x14ac:dyDescent="0.25">
      <c r="A1070" s="6"/>
      <c r="B1070" s="7"/>
      <c r="C1070" s="7"/>
      <c r="D1070" s="7"/>
      <c r="E1070" s="8">
        <f t="shared" si="15"/>
        <v>0</v>
      </c>
      <c r="F1070" s="10"/>
      <c r="G1070" s="10"/>
      <c r="H1070" s="9"/>
      <c r="I1070" s="7"/>
      <c r="J1070" s="7"/>
      <c r="K1070" s="7">
        <f ca="1">IFERROR(IF(COUNTA(J$56:J1070)=J$54,J1070,FORECAST(D1070,OFFSET(M$56:M$254,MATCH(D1070,L$56:L$254,1)-1,0,2), OFFSET(L$56:L$254,MATCH(D1070,L$56:L$254,1)-1,0,2))),"")</f>
        <v>0</v>
      </c>
      <c r="L1070" s="7" t="str">
        <f t="array" ref="L1070">IFERROR(INDEX(D$56:D$1054,SMALL(IF(ISNUMBER(J$56:J$1054),ROW(D$1:D$999),""),ROW(D1015))),"")</f>
        <v/>
      </c>
      <c r="M1070" s="7" t="str">
        <f t="array" ref="M1070">IFERROR(INDEX(J$56:J$1054,SMALL(IF(ISNUMBER(J$56:J$1054),ROW(J$1:J$999),""),ROW(J1015))),"")</f>
        <v/>
      </c>
      <c r="N1070" s="7"/>
      <c r="O1070" s="7"/>
      <c r="P1070" s="7"/>
      <c r="Q1070" s="7">
        <f ca="1">IFERROR(IF(COUNTA(P$56:P1070)=P$54,P1070,FORECAST(D1070,OFFSET(S$56:S$254,MATCH(D1070,R$56:R$254,1)-1,0,2), OFFSET(R$56:R$254,MATCH(D1070,R$56:R$254,1)-1,0,2))),"")</f>
        <v>0</v>
      </c>
      <c r="R1070" s="7" t="str">
        <f t="array" ref="R1070">IFERROR(INDEX(E$56:E$1054,SMALL(IF(ISNUMBER(P$56:P$1054),ROW(E$1:E$999),""),ROW(J1015))),"")</f>
        <v/>
      </c>
      <c r="S1070" s="7" t="str">
        <f t="array" ref="S1070">IFERROR(INDEX(P$56:P$1054,SMALL(IF(ISNUMBER(P$56:P$1054),ROW(P$1:P$999),""),ROW(P1015))),"")</f>
        <v/>
      </c>
      <c r="T1070" s="7"/>
      <c r="U1070" s="7"/>
      <c r="V1070" s="7"/>
    </row>
    <row r="1071" spans="1:22" x14ac:dyDescent="0.25">
      <c r="A1071" s="6"/>
      <c r="B1071" s="7"/>
      <c r="C1071" s="7"/>
      <c r="D1071" s="7"/>
      <c r="E1071" s="8">
        <f t="shared" si="15"/>
        <v>0</v>
      </c>
      <c r="F1071" s="10"/>
      <c r="G1071" s="10"/>
      <c r="H1071" s="9"/>
      <c r="I1071" s="7"/>
      <c r="J1071" s="7"/>
      <c r="K1071" s="7">
        <f ca="1">IFERROR(IF(COUNTA(J$56:J1071)=J$54,J1071,FORECAST(D1071,OFFSET(M$56:M$254,MATCH(D1071,L$56:L$254,1)-1,0,2), OFFSET(L$56:L$254,MATCH(D1071,L$56:L$254,1)-1,0,2))),"")</f>
        <v>0</v>
      </c>
      <c r="L1071" s="7" t="str">
        <f t="array" ref="L1071">IFERROR(INDEX(D$56:D$1054,SMALL(IF(ISNUMBER(J$56:J$1054),ROW(D$1:D$999),""),ROW(D1016))),"")</f>
        <v/>
      </c>
      <c r="M1071" s="7" t="str">
        <f t="array" ref="M1071">IFERROR(INDEX(J$56:J$1054,SMALL(IF(ISNUMBER(J$56:J$1054),ROW(J$1:J$999),""),ROW(J1016))),"")</f>
        <v/>
      </c>
      <c r="N1071" s="7"/>
      <c r="O1071" s="7"/>
      <c r="P1071" s="7"/>
      <c r="Q1071" s="7">
        <f ca="1">IFERROR(IF(COUNTA(P$56:P1071)=P$54,P1071,FORECAST(D1071,OFFSET(S$56:S$254,MATCH(D1071,R$56:R$254,1)-1,0,2), OFFSET(R$56:R$254,MATCH(D1071,R$56:R$254,1)-1,0,2))),"")</f>
        <v>0</v>
      </c>
      <c r="R1071" s="7" t="str">
        <f t="array" ref="R1071">IFERROR(INDEX(E$56:E$1054,SMALL(IF(ISNUMBER(P$56:P$1054),ROW(E$1:E$999),""),ROW(J1016))),"")</f>
        <v/>
      </c>
      <c r="S1071" s="7" t="str">
        <f t="array" ref="S1071">IFERROR(INDEX(P$56:P$1054,SMALL(IF(ISNUMBER(P$56:P$1054),ROW(P$1:P$999),""),ROW(P1016))),"")</f>
        <v/>
      </c>
      <c r="T1071" s="7"/>
      <c r="U1071" s="7"/>
      <c r="V1071" s="7"/>
    </row>
    <row r="1072" spans="1:22" x14ac:dyDescent="0.25">
      <c r="A1072" s="6"/>
      <c r="B1072" s="7"/>
      <c r="C1072" s="7"/>
      <c r="D1072" s="7"/>
      <c r="E1072" s="8">
        <f t="shared" si="15"/>
        <v>0</v>
      </c>
      <c r="F1072" s="10"/>
      <c r="G1072" s="10"/>
      <c r="H1072" s="9"/>
      <c r="I1072" s="7"/>
      <c r="J1072" s="7"/>
      <c r="K1072" s="7">
        <f ca="1">IFERROR(IF(COUNTA(J$56:J1072)=J$54,J1072,FORECAST(D1072,OFFSET(M$56:M$254,MATCH(D1072,L$56:L$254,1)-1,0,2), OFFSET(L$56:L$254,MATCH(D1072,L$56:L$254,1)-1,0,2))),"")</f>
        <v>0</v>
      </c>
      <c r="L1072" s="7" t="str">
        <f t="array" ref="L1072">IFERROR(INDEX(D$56:D$1054,SMALL(IF(ISNUMBER(J$56:J$1054),ROW(D$1:D$999),""),ROW(D1017))),"")</f>
        <v/>
      </c>
      <c r="M1072" s="7" t="str">
        <f t="array" ref="M1072">IFERROR(INDEX(J$56:J$1054,SMALL(IF(ISNUMBER(J$56:J$1054),ROW(J$1:J$999),""),ROW(J1017))),"")</f>
        <v/>
      </c>
      <c r="N1072" s="7"/>
      <c r="O1072" s="7"/>
      <c r="P1072" s="7"/>
      <c r="Q1072" s="7">
        <f ca="1">IFERROR(IF(COUNTA(P$56:P1072)=P$54,P1072,FORECAST(D1072,OFFSET(S$56:S$254,MATCH(D1072,R$56:R$254,1)-1,0,2), OFFSET(R$56:R$254,MATCH(D1072,R$56:R$254,1)-1,0,2))),"")</f>
        <v>0</v>
      </c>
      <c r="R1072" s="7" t="str">
        <f t="array" ref="R1072">IFERROR(INDEX(E$56:E$1054,SMALL(IF(ISNUMBER(P$56:P$1054),ROW(E$1:E$999),""),ROW(J1017))),"")</f>
        <v/>
      </c>
      <c r="S1072" s="7" t="str">
        <f t="array" ref="S1072">IFERROR(INDEX(P$56:P$1054,SMALL(IF(ISNUMBER(P$56:P$1054),ROW(P$1:P$999),""),ROW(P1017))),"")</f>
        <v/>
      </c>
      <c r="T1072" s="7"/>
      <c r="U1072" s="7"/>
      <c r="V1072" s="7"/>
    </row>
    <row r="1073" spans="1:22" x14ac:dyDescent="0.25">
      <c r="A1073" s="6"/>
      <c r="B1073" s="7"/>
      <c r="C1073" s="7"/>
      <c r="D1073" s="7"/>
      <c r="E1073" s="8">
        <f t="shared" si="15"/>
        <v>0</v>
      </c>
      <c r="F1073" s="10"/>
      <c r="G1073" s="10"/>
      <c r="H1073" s="9"/>
      <c r="I1073" s="7"/>
      <c r="J1073" s="7"/>
      <c r="K1073" s="7">
        <f ca="1">IFERROR(IF(COUNTA(J$56:J1073)=J$54,J1073,FORECAST(D1073,OFFSET(M$56:M$254,MATCH(D1073,L$56:L$254,1)-1,0,2), OFFSET(L$56:L$254,MATCH(D1073,L$56:L$254,1)-1,0,2))),"")</f>
        <v>0</v>
      </c>
      <c r="L1073" s="7" t="str">
        <f t="array" ref="L1073">IFERROR(INDEX(D$56:D$1054,SMALL(IF(ISNUMBER(J$56:J$1054),ROW(D$1:D$999),""),ROW(D1018))),"")</f>
        <v/>
      </c>
      <c r="M1073" s="7" t="str">
        <f t="array" ref="M1073">IFERROR(INDEX(J$56:J$1054,SMALL(IF(ISNUMBER(J$56:J$1054),ROW(J$1:J$999),""),ROW(J1018))),"")</f>
        <v/>
      </c>
      <c r="N1073" s="7"/>
      <c r="O1073" s="7"/>
      <c r="P1073" s="7"/>
      <c r="Q1073" s="7">
        <f ca="1">IFERROR(IF(COUNTA(P$56:P1073)=P$54,P1073,FORECAST(D1073,OFFSET(S$56:S$254,MATCH(D1073,R$56:R$254,1)-1,0,2), OFFSET(R$56:R$254,MATCH(D1073,R$56:R$254,1)-1,0,2))),"")</f>
        <v>0</v>
      </c>
      <c r="R1073" s="7" t="str">
        <f t="array" ref="R1073">IFERROR(INDEX(E$56:E$1054,SMALL(IF(ISNUMBER(P$56:P$1054),ROW(E$1:E$999),""),ROW(J1018))),"")</f>
        <v/>
      </c>
      <c r="S1073" s="7" t="str">
        <f t="array" ref="S1073">IFERROR(INDEX(P$56:P$1054,SMALL(IF(ISNUMBER(P$56:P$1054),ROW(P$1:P$999),""),ROW(P1018))),"")</f>
        <v/>
      </c>
      <c r="T1073" s="7"/>
      <c r="U1073" s="7"/>
      <c r="V1073" s="7"/>
    </row>
    <row r="1074" spans="1:22" x14ac:dyDescent="0.25">
      <c r="A1074" s="6"/>
      <c r="B1074" s="7"/>
      <c r="C1074" s="7"/>
      <c r="D1074" s="7"/>
      <c r="E1074" s="8">
        <f t="shared" si="15"/>
        <v>0</v>
      </c>
      <c r="F1074" s="10"/>
      <c r="G1074" s="10"/>
      <c r="H1074" s="9"/>
      <c r="I1074" s="7"/>
      <c r="J1074" s="7"/>
      <c r="K1074" s="7">
        <f ca="1">IFERROR(IF(COUNTA(J$56:J1074)=J$54,J1074,FORECAST(D1074,OFFSET(M$56:M$254,MATCH(D1074,L$56:L$254,1)-1,0,2), OFFSET(L$56:L$254,MATCH(D1074,L$56:L$254,1)-1,0,2))),"")</f>
        <v>0</v>
      </c>
      <c r="L1074" s="7" t="str">
        <f t="array" ref="L1074">IFERROR(INDEX(D$56:D$1054,SMALL(IF(ISNUMBER(J$56:J$1054),ROW(D$1:D$999),""),ROW(D1019))),"")</f>
        <v/>
      </c>
      <c r="M1074" s="7" t="str">
        <f t="array" ref="M1074">IFERROR(INDEX(J$56:J$1054,SMALL(IF(ISNUMBER(J$56:J$1054),ROW(J$1:J$999),""),ROW(J1019))),"")</f>
        <v/>
      </c>
      <c r="N1074" s="7"/>
      <c r="O1074" s="7"/>
      <c r="P1074" s="7"/>
      <c r="Q1074" s="7">
        <f ca="1">IFERROR(IF(COUNTA(P$56:P1074)=P$54,P1074,FORECAST(D1074,OFFSET(S$56:S$254,MATCH(D1074,R$56:R$254,1)-1,0,2), OFFSET(R$56:R$254,MATCH(D1074,R$56:R$254,1)-1,0,2))),"")</f>
        <v>0</v>
      </c>
      <c r="R1074" s="7" t="str">
        <f t="array" ref="R1074">IFERROR(INDEX(E$56:E$1054,SMALL(IF(ISNUMBER(P$56:P$1054),ROW(E$1:E$999),""),ROW(J1019))),"")</f>
        <v/>
      </c>
      <c r="S1074" s="7" t="str">
        <f t="array" ref="S1074">IFERROR(INDEX(P$56:P$1054,SMALL(IF(ISNUMBER(P$56:P$1054),ROW(P$1:P$999),""),ROW(P1019))),"")</f>
        <v/>
      </c>
      <c r="T1074" s="7"/>
      <c r="U1074" s="7"/>
      <c r="V1074" s="7"/>
    </row>
    <row r="1075" spans="1:22" x14ac:dyDescent="0.25">
      <c r="A1075" s="6"/>
      <c r="B1075" s="7"/>
      <c r="C1075" s="7"/>
      <c r="D1075" s="7"/>
      <c r="E1075" s="8">
        <f t="shared" si="15"/>
        <v>0</v>
      </c>
      <c r="F1075" s="10"/>
      <c r="G1075" s="10"/>
      <c r="H1075" s="9"/>
      <c r="I1075" s="7"/>
      <c r="J1075" s="7"/>
      <c r="K1075" s="7">
        <f ca="1">IFERROR(IF(COUNTA(J$56:J1075)=J$54,J1075,FORECAST(D1075,OFFSET(M$56:M$254,MATCH(D1075,L$56:L$254,1)-1,0,2), OFFSET(L$56:L$254,MATCH(D1075,L$56:L$254,1)-1,0,2))),"")</f>
        <v>0</v>
      </c>
      <c r="L1075" s="7" t="str">
        <f t="array" ref="L1075">IFERROR(INDEX(D$56:D$1054,SMALL(IF(ISNUMBER(J$56:J$1054),ROW(D$1:D$999),""),ROW(D1020))),"")</f>
        <v/>
      </c>
      <c r="M1075" s="7" t="str">
        <f t="array" ref="M1075">IFERROR(INDEX(J$56:J$1054,SMALL(IF(ISNUMBER(J$56:J$1054),ROW(J$1:J$999),""),ROW(J1020))),"")</f>
        <v/>
      </c>
      <c r="N1075" s="7"/>
      <c r="O1075" s="7"/>
      <c r="P1075" s="7"/>
      <c r="Q1075" s="7">
        <f ca="1">IFERROR(IF(COUNTA(P$56:P1075)=P$54,P1075,FORECAST(D1075,OFFSET(S$56:S$254,MATCH(D1075,R$56:R$254,1)-1,0,2), OFFSET(R$56:R$254,MATCH(D1075,R$56:R$254,1)-1,0,2))),"")</f>
        <v>0</v>
      </c>
      <c r="R1075" s="7" t="str">
        <f t="array" ref="R1075">IFERROR(INDEX(E$56:E$1054,SMALL(IF(ISNUMBER(P$56:P$1054),ROW(E$1:E$999),""),ROW(J1020))),"")</f>
        <v/>
      </c>
      <c r="S1075" s="7" t="str">
        <f t="array" ref="S1075">IFERROR(INDEX(P$56:P$1054,SMALL(IF(ISNUMBER(P$56:P$1054),ROW(P$1:P$999),""),ROW(P1020))),"")</f>
        <v/>
      </c>
      <c r="T1075" s="7"/>
      <c r="U1075" s="7"/>
      <c r="V1075" s="7"/>
    </row>
    <row r="1076" spans="1:22" x14ac:dyDescent="0.25">
      <c r="A1076" s="6"/>
      <c r="B1076" s="7"/>
      <c r="C1076" s="7"/>
      <c r="D1076" s="7"/>
      <c r="E1076" s="8">
        <f t="shared" si="15"/>
        <v>0</v>
      </c>
      <c r="F1076" s="10"/>
      <c r="G1076" s="10"/>
      <c r="H1076" s="9"/>
      <c r="I1076" s="7"/>
      <c r="J1076" s="7"/>
      <c r="K1076" s="7">
        <f ca="1">IFERROR(IF(COUNTA(J$56:J1076)=J$54,J1076,FORECAST(D1076,OFFSET(M$56:M$254,MATCH(D1076,L$56:L$254,1)-1,0,2), OFFSET(L$56:L$254,MATCH(D1076,L$56:L$254,1)-1,0,2))),"")</f>
        <v>0</v>
      </c>
      <c r="L1076" s="7" t="str">
        <f t="array" ref="L1076">IFERROR(INDEX(D$56:D$1054,SMALL(IF(ISNUMBER(J$56:J$1054),ROW(D$1:D$999),""),ROW(D1021))),"")</f>
        <v/>
      </c>
      <c r="M1076" s="7" t="str">
        <f t="array" ref="M1076">IFERROR(INDEX(J$56:J$1054,SMALL(IF(ISNUMBER(J$56:J$1054),ROW(J$1:J$999),""),ROW(J1021))),"")</f>
        <v/>
      </c>
      <c r="N1076" s="7"/>
      <c r="O1076" s="7"/>
      <c r="P1076" s="7"/>
      <c r="Q1076" s="7">
        <f ca="1">IFERROR(IF(COUNTA(P$56:P1076)=P$54,P1076,FORECAST(D1076,OFFSET(S$56:S$254,MATCH(D1076,R$56:R$254,1)-1,0,2), OFFSET(R$56:R$254,MATCH(D1076,R$56:R$254,1)-1,0,2))),"")</f>
        <v>0</v>
      </c>
      <c r="R1076" s="7" t="str">
        <f t="array" ref="R1076">IFERROR(INDEX(E$56:E$1054,SMALL(IF(ISNUMBER(P$56:P$1054),ROW(E$1:E$999),""),ROW(J1021))),"")</f>
        <v/>
      </c>
      <c r="S1076" s="7" t="str">
        <f t="array" ref="S1076">IFERROR(INDEX(P$56:P$1054,SMALL(IF(ISNUMBER(P$56:P$1054),ROW(P$1:P$999),""),ROW(P1021))),"")</f>
        <v/>
      </c>
      <c r="T1076" s="7"/>
      <c r="U1076" s="7"/>
      <c r="V1076" s="7"/>
    </row>
    <row r="1077" spans="1:22" x14ac:dyDescent="0.25">
      <c r="A1077" s="6"/>
      <c r="B1077" s="7"/>
      <c r="C1077" s="7"/>
      <c r="D1077" s="7"/>
      <c r="E1077" s="8">
        <f t="shared" si="15"/>
        <v>0</v>
      </c>
      <c r="F1077" s="10"/>
      <c r="G1077" s="10"/>
      <c r="H1077" s="9"/>
      <c r="I1077" s="7"/>
      <c r="J1077" s="7"/>
      <c r="K1077" s="7">
        <f ca="1">IFERROR(IF(COUNTA(J$56:J1077)=J$54,J1077,FORECAST(D1077,OFFSET(M$56:M$254,MATCH(D1077,L$56:L$254,1)-1,0,2), OFFSET(L$56:L$254,MATCH(D1077,L$56:L$254,1)-1,0,2))),"")</f>
        <v>0</v>
      </c>
      <c r="L1077" s="7" t="str">
        <f t="array" ref="L1077">IFERROR(INDEX(D$56:D$1054,SMALL(IF(ISNUMBER(J$56:J$1054),ROW(D$1:D$999),""),ROW(D1022))),"")</f>
        <v/>
      </c>
      <c r="M1077" s="7" t="str">
        <f t="array" ref="M1077">IFERROR(INDEX(J$56:J$1054,SMALL(IF(ISNUMBER(J$56:J$1054),ROW(J$1:J$999),""),ROW(J1022))),"")</f>
        <v/>
      </c>
      <c r="N1077" s="7"/>
      <c r="O1077" s="7"/>
      <c r="P1077" s="7"/>
      <c r="Q1077" s="7">
        <f ca="1">IFERROR(IF(COUNTA(P$56:P1077)=P$54,P1077,FORECAST(D1077,OFFSET(S$56:S$254,MATCH(D1077,R$56:R$254,1)-1,0,2), OFFSET(R$56:R$254,MATCH(D1077,R$56:R$254,1)-1,0,2))),"")</f>
        <v>0</v>
      </c>
      <c r="R1077" s="7" t="str">
        <f t="array" ref="R1077">IFERROR(INDEX(E$56:E$1054,SMALL(IF(ISNUMBER(P$56:P$1054),ROW(E$1:E$999),""),ROW(J1022))),"")</f>
        <v/>
      </c>
      <c r="S1077" s="7" t="str">
        <f t="array" ref="S1077">IFERROR(INDEX(P$56:P$1054,SMALL(IF(ISNUMBER(P$56:P$1054),ROW(P$1:P$999),""),ROW(P1022))),"")</f>
        <v/>
      </c>
      <c r="T1077" s="7"/>
      <c r="U1077" s="7"/>
      <c r="V1077" s="7"/>
    </row>
    <row r="1078" spans="1:22" x14ac:dyDescent="0.25">
      <c r="A1078" s="6"/>
      <c r="B1078" s="7"/>
      <c r="C1078" s="7"/>
      <c r="D1078" s="7"/>
      <c r="E1078" s="8">
        <f t="shared" si="15"/>
        <v>0</v>
      </c>
      <c r="F1078" s="10"/>
      <c r="G1078" s="10"/>
      <c r="H1078" s="9"/>
      <c r="I1078" s="7"/>
      <c r="J1078" s="7"/>
      <c r="K1078" s="7">
        <f ca="1">IFERROR(IF(COUNTA(J$56:J1078)=J$54,J1078,FORECAST(D1078,OFFSET(M$56:M$254,MATCH(D1078,L$56:L$254,1)-1,0,2), OFFSET(L$56:L$254,MATCH(D1078,L$56:L$254,1)-1,0,2))),"")</f>
        <v>0</v>
      </c>
      <c r="L1078" s="7" t="str">
        <f t="array" ref="L1078">IFERROR(INDEX(D$56:D$1054,SMALL(IF(ISNUMBER(J$56:J$1054),ROW(D$1:D$999),""),ROW(D1023))),"")</f>
        <v/>
      </c>
      <c r="M1078" s="7" t="str">
        <f t="array" ref="M1078">IFERROR(INDEX(J$56:J$1054,SMALL(IF(ISNUMBER(J$56:J$1054),ROW(J$1:J$999),""),ROW(J1023))),"")</f>
        <v/>
      </c>
      <c r="N1078" s="7"/>
      <c r="O1078" s="7"/>
      <c r="P1078" s="7"/>
      <c r="Q1078" s="7">
        <f ca="1">IFERROR(IF(COUNTA(P$56:P1078)=P$54,P1078,FORECAST(D1078,OFFSET(S$56:S$254,MATCH(D1078,R$56:R$254,1)-1,0,2), OFFSET(R$56:R$254,MATCH(D1078,R$56:R$254,1)-1,0,2))),"")</f>
        <v>0</v>
      </c>
      <c r="R1078" s="7" t="str">
        <f t="array" ref="R1078">IFERROR(INDEX(E$56:E$1054,SMALL(IF(ISNUMBER(P$56:P$1054),ROW(E$1:E$999),""),ROW(J1023))),"")</f>
        <v/>
      </c>
      <c r="S1078" s="7" t="str">
        <f t="array" ref="S1078">IFERROR(INDEX(P$56:P$1054,SMALL(IF(ISNUMBER(P$56:P$1054),ROW(P$1:P$999),""),ROW(P1023))),"")</f>
        <v/>
      </c>
      <c r="T1078" s="7"/>
      <c r="U1078" s="7"/>
      <c r="V1078" s="7"/>
    </row>
    <row r="1079" spans="1:22" x14ac:dyDescent="0.25">
      <c r="A1079" s="6"/>
      <c r="B1079" s="7"/>
      <c r="C1079" s="7"/>
      <c r="D1079" s="7"/>
      <c r="E1079" s="8">
        <f t="shared" si="15"/>
        <v>0</v>
      </c>
      <c r="F1079" s="10"/>
      <c r="G1079" s="10"/>
      <c r="H1079" s="9"/>
      <c r="I1079" s="7"/>
      <c r="J1079" s="7"/>
      <c r="K1079" s="7">
        <f ca="1">IFERROR(IF(COUNTA(J$56:J1079)=J$54,J1079,FORECAST(D1079,OFFSET(M$56:M$254,MATCH(D1079,L$56:L$254,1)-1,0,2), OFFSET(L$56:L$254,MATCH(D1079,L$56:L$254,1)-1,0,2))),"")</f>
        <v>0</v>
      </c>
      <c r="L1079" s="7" t="str">
        <f t="array" ref="L1079">IFERROR(INDEX(D$56:D$1054,SMALL(IF(ISNUMBER(J$56:J$1054),ROW(D$1:D$999),""),ROW(D1024))),"")</f>
        <v/>
      </c>
      <c r="M1079" s="7" t="str">
        <f t="array" ref="M1079">IFERROR(INDEX(J$56:J$1054,SMALL(IF(ISNUMBER(J$56:J$1054),ROW(J$1:J$999),""),ROW(J1024))),"")</f>
        <v/>
      </c>
      <c r="N1079" s="7"/>
      <c r="O1079" s="7"/>
      <c r="P1079" s="7"/>
      <c r="Q1079" s="7">
        <f ca="1">IFERROR(IF(COUNTA(P$56:P1079)=P$54,P1079,FORECAST(D1079,OFFSET(S$56:S$254,MATCH(D1079,R$56:R$254,1)-1,0,2), OFFSET(R$56:R$254,MATCH(D1079,R$56:R$254,1)-1,0,2))),"")</f>
        <v>0</v>
      </c>
      <c r="R1079" s="7" t="str">
        <f t="array" ref="R1079">IFERROR(INDEX(E$56:E$1054,SMALL(IF(ISNUMBER(P$56:P$1054),ROW(E$1:E$999),""),ROW(J1024))),"")</f>
        <v/>
      </c>
      <c r="S1079" s="7" t="str">
        <f t="array" ref="S1079">IFERROR(INDEX(P$56:P$1054,SMALL(IF(ISNUMBER(P$56:P$1054),ROW(P$1:P$999),""),ROW(P1024))),"")</f>
        <v/>
      </c>
      <c r="T1079" s="7"/>
      <c r="U1079" s="7"/>
      <c r="V1079" s="7"/>
    </row>
    <row r="1080" spans="1:22" x14ac:dyDescent="0.25">
      <c r="A1080" s="6"/>
      <c r="B1080" s="7"/>
      <c r="C1080" s="7"/>
      <c r="D1080" s="7"/>
      <c r="E1080" s="8">
        <f t="shared" si="15"/>
        <v>0</v>
      </c>
      <c r="F1080" s="10"/>
      <c r="G1080" s="10"/>
      <c r="H1080" s="9"/>
      <c r="I1080" s="7"/>
      <c r="J1080" s="7"/>
      <c r="K1080" s="7">
        <f ca="1">IFERROR(IF(COUNTA(J$56:J1080)=J$54,J1080,FORECAST(D1080,OFFSET(M$56:M$254,MATCH(D1080,L$56:L$254,1)-1,0,2), OFFSET(L$56:L$254,MATCH(D1080,L$56:L$254,1)-1,0,2))),"")</f>
        <v>0</v>
      </c>
      <c r="L1080" s="7" t="str">
        <f t="array" ref="L1080">IFERROR(INDEX(D$56:D$1054,SMALL(IF(ISNUMBER(J$56:J$1054),ROW(D$1:D$999),""),ROW(D1025))),"")</f>
        <v/>
      </c>
      <c r="M1080" s="7" t="str">
        <f t="array" ref="M1080">IFERROR(INDEX(J$56:J$1054,SMALL(IF(ISNUMBER(J$56:J$1054),ROW(J$1:J$999),""),ROW(J1025))),"")</f>
        <v/>
      </c>
      <c r="N1080" s="7"/>
      <c r="O1080" s="7"/>
      <c r="P1080" s="7"/>
      <c r="Q1080" s="7">
        <f ca="1">IFERROR(IF(COUNTA(P$56:P1080)=P$54,P1080,FORECAST(D1080,OFFSET(S$56:S$254,MATCH(D1080,R$56:R$254,1)-1,0,2), OFFSET(R$56:R$254,MATCH(D1080,R$56:R$254,1)-1,0,2))),"")</f>
        <v>0</v>
      </c>
      <c r="R1080" s="7" t="str">
        <f t="array" ref="R1080">IFERROR(INDEX(E$56:E$1054,SMALL(IF(ISNUMBER(P$56:P$1054),ROW(E$1:E$999),""),ROW(J1025))),"")</f>
        <v/>
      </c>
      <c r="S1080" s="7" t="str">
        <f t="array" ref="S1080">IFERROR(INDEX(P$56:P$1054,SMALL(IF(ISNUMBER(P$56:P$1054),ROW(P$1:P$999),""),ROW(P1025))),"")</f>
        <v/>
      </c>
      <c r="T1080" s="7"/>
      <c r="U1080" s="7"/>
      <c r="V1080" s="7"/>
    </row>
    <row r="1081" spans="1:22" x14ac:dyDescent="0.25">
      <c r="A1081" s="6"/>
      <c r="B1081" s="7"/>
      <c r="C1081" s="7"/>
      <c r="D1081" s="7"/>
      <c r="E1081" s="8">
        <f t="shared" si="15"/>
        <v>0</v>
      </c>
      <c r="F1081" s="10"/>
      <c r="G1081" s="10"/>
      <c r="H1081" s="9"/>
      <c r="I1081" s="7"/>
      <c r="J1081" s="7"/>
      <c r="K1081" s="7">
        <f ca="1">IFERROR(IF(COUNTA(J$56:J1081)=J$54,J1081,FORECAST(D1081,OFFSET(M$56:M$254,MATCH(D1081,L$56:L$254,1)-1,0,2), OFFSET(L$56:L$254,MATCH(D1081,L$56:L$254,1)-1,0,2))),"")</f>
        <v>0</v>
      </c>
      <c r="L1081" s="7" t="str">
        <f t="array" ref="L1081">IFERROR(INDEX(D$56:D$1054,SMALL(IF(ISNUMBER(J$56:J$1054),ROW(D$1:D$999),""),ROW(D1026))),"")</f>
        <v/>
      </c>
      <c r="M1081" s="7" t="str">
        <f t="array" ref="M1081">IFERROR(INDEX(J$56:J$1054,SMALL(IF(ISNUMBER(J$56:J$1054),ROW(J$1:J$999),""),ROW(J1026))),"")</f>
        <v/>
      </c>
      <c r="N1081" s="7"/>
      <c r="O1081" s="7"/>
      <c r="P1081" s="7"/>
      <c r="Q1081" s="7">
        <f ca="1">IFERROR(IF(COUNTA(P$56:P1081)=P$54,P1081,FORECAST(D1081,OFFSET(S$56:S$254,MATCH(D1081,R$56:R$254,1)-1,0,2), OFFSET(R$56:R$254,MATCH(D1081,R$56:R$254,1)-1,0,2))),"")</f>
        <v>0</v>
      </c>
      <c r="R1081" s="7" t="str">
        <f t="array" ref="R1081">IFERROR(INDEX(E$56:E$1054,SMALL(IF(ISNUMBER(P$56:P$1054),ROW(E$1:E$999),""),ROW(J1026))),"")</f>
        <v/>
      </c>
      <c r="S1081" s="7" t="str">
        <f t="array" ref="S1081">IFERROR(INDEX(P$56:P$1054,SMALL(IF(ISNUMBER(P$56:P$1054),ROW(P$1:P$999),""),ROW(P1026))),"")</f>
        <v/>
      </c>
      <c r="T1081" s="7"/>
      <c r="U1081" s="7"/>
      <c r="V1081" s="7"/>
    </row>
    <row r="1082" spans="1:22" x14ac:dyDescent="0.25">
      <c r="A1082" s="6"/>
      <c r="B1082" s="7"/>
      <c r="C1082" s="7"/>
      <c r="D1082" s="7"/>
      <c r="E1082" s="8">
        <f t="shared" ref="E1082:E1145" si="16">IF(NOT(ISBLANK(D1082)),D1082+C$54,0)</f>
        <v>0</v>
      </c>
      <c r="F1082" s="10"/>
      <c r="G1082" s="10"/>
      <c r="H1082" s="9"/>
      <c r="I1082" s="7"/>
      <c r="J1082" s="7"/>
      <c r="K1082" s="7">
        <f ca="1">IFERROR(IF(COUNTA(J$56:J1082)=J$54,J1082,FORECAST(D1082,OFFSET(M$56:M$254,MATCH(D1082,L$56:L$254,1)-1,0,2), OFFSET(L$56:L$254,MATCH(D1082,L$56:L$254,1)-1,0,2))),"")</f>
        <v>0</v>
      </c>
      <c r="L1082" s="7" t="str">
        <f t="array" ref="L1082">IFERROR(INDEX(D$56:D$1054,SMALL(IF(ISNUMBER(J$56:J$1054),ROW(D$1:D$999),""),ROW(D1027))),"")</f>
        <v/>
      </c>
      <c r="M1082" s="7" t="str">
        <f t="array" ref="M1082">IFERROR(INDEX(J$56:J$1054,SMALL(IF(ISNUMBER(J$56:J$1054),ROW(J$1:J$999),""),ROW(J1027))),"")</f>
        <v/>
      </c>
      <c r="N1082" s="7"/>
      <c r="O1082" s="7"/>
      <c r="P1082" s="7"/>
      <c r="Q1082" s="7">
        <f ca="1">IFERROR(IF(COUNTA(P$56:P1082)=P$54,P1082,FORECAST(D1082,OFFSET(S$56:S$254,MATCH(D1082,R$56:R$254,1)-1,0,2), OFFSET(R$56:R$254,MATCH(D1082,R$56:R$254,1)-1,0,2))),"")</f>
        <v>0</v>
      </c>
      <c r="R1082" s="7" t="str">
        <f t="array" ref="R1082">IFERROR(INDEX(E$56:E$1054,SMALL(IF(ISNUMBER(P$56:P$1054),ROW(E$1:E$999),""),ROW(J1027))),"")</f>
        <v/>
      </c>
      <c r="S1082" s="7" t="str">
        <f t="array" ref="S1082">IFERROR(INDEX(P$56:P$1054,SMALL(IF(ISNUMBER(P$56:P$1054),ROW(P$1:P$999),""),ROW(P1027))),"")</f>
        <v/>
      </c>
      <c r="T1082" s="7"/>
      <c r="U1082" s="7"/>
      <c r="V1082" s="7"/>
    </row>
    <row r="1083" spans="1:22" x14ac:dyDescent="0.25">
      <c r="A1083" s="6"/>
      <c r="B1083" s="7"/>
      <c r="C1083" s="7"/>
      <c r="D1083" s="7"/>
      <c r="E1083" s="8">
        <f t="shared" si="16"/>
        <v>0</v>
      </c>
      <c r="F1083" s="10"/>
      <c r="G1083" s="10"/>
      <c r="H1083" s="9"/>
      <c r="I1083" s="7"/>
      <c r="J1083" s="7"/>
      <c r="K1083" s="7">
        <f ca="1">IFERROR(IF(COUNTA(J$56:J1083)=J$54,J1083,FORECAST(D1083,OFFSET(M$56:M$254,MATCH(D1083,L$56:L$254,1)-1,0,2), OFFSET(L$56:L$254,MATCH(D1083,L$56:L$254,1)-1,0,2))),"")</f>
        <v>0</v>
      </c>
      <c r="L1083" s="7" t="str">
        <f t="array" ref="L1083">IFERROR(INDEX(D$56:D$1054,SMALL(IF(ISNUMBER(J$56:J$1054),ROW(D$1:D$999),""),ROW(D1028))),"")</f>
        <v/>
      </c>
      <c r="M1083" s="7" t="str">
        <f t="array" ref="M1083">IFERROR(INDEX(J$56:J$1054,SMALL(IF(ISNUMBER(J$56:J$1054),ROW(J$1:J$999),""),ROW(J1028))),"")</f>
        <v/>
      </c>
      <c r="N1083" s="7"/>
      <c r="O1083" s="7"/>
      <c r="P1083" s="7"/>
      <c r="Q1083" s="7">
        <f ca="1">IFERROR(IF(COUNTA(P$56:P1083)=P$54,P1083,FORECAST(D1083,OFFSET(S$56:S$254,MATCH(D1083,R$56:R$254,1)-1,0,2), OFFSET(R$56:R$254,MATCH(D1083,R$56:R$254,1)-1,0,2))),"")</f>
        <v>0</v>
      </c>
      <c r="R1083" s="7" t="str">
        <f t="array" ref="R1083">IFERROR(INDEX(E$56:E$1054,SMALL(IF(ISNUMBER(P$56:P$1054),ROW(E$1:E$999),""),ROW(J1028))),"")</f>
        <v/>
      </c>
      <c r="S1083" s="7" t="str">
        <f t="array" ref="S1083">IFERROR(INDEX(P$56:P$1054,SMALL(IF(ISNUMBER(P$56:P$1054),ROW(P$1:P$999),""),ROW(P1028))),"")</f>
        <v/>
      </c>
      <c r="T1083" s="7"/>
      <c r="U1083" s="7"/>
      <c r="V1083" s="7"/>
    </row>
    <row r="1084" spans="1:22" x14ac:dyDescent="0.25">
      <c r="A1084" s="6"/>
      <c r="B1084" s="7"/>
      <c r="C1084" s="7"/>
      <c r="D1084" s="7"/>
      <c r="E1084" s="8">
        <f t="shared" si="16"/>
        <v>0</v>
      </c>
      <c r="F1084" s="10"/>
      <c r="G1084" s="10"/>
      <c r="H1084" s="9"/>
      <c r="I1084" s="7"/>
      <c r="J1084" s="7"/>
      <c r="K1084" s="7">
        <f ca="1">IFERROR(IF(COUNTA(J$56:J1084)=J$54,J1084,FORECAST(D1084,OFFSET(M$56:M$254,MATCH(D1084,L$56:L$254,1)-1,0,2), OFFSET(L$56:L$254,MATCH(D1084,L$56:L$254,1)-1,0,2))),"")</f>
        <v>0</v>
      </c>
      <c r="L1084" s="7" t="str">
        <f t="array" ref="L1084">IFERROR(INDEX(D$56:D$1054,SMALL(IF(ISNUMBER(J$56:J$1054),ROW(D$1:D$999),""),ROW(D1029))),"")</f>
        <v/>
      </c>
      <c r="M1084" s="7" t="str">
        <f t="array" ref="M1084">IFERROR(INDEX(J$56:J$1054,SMALL(IF(ISNUMBER(J$56:J$1054),ROW(J$1:J$999),""),ROW(J1029))),"")</f>
        <v/>
      </c>
      <c r="N1084" s="7"/>
      <c r="O1084" s="7"/>
      <c r="P1084" s="7"/>
      <c r="Q1084" s="7">
        <f ca="1">IFERROR(IF(COUNTA(P$56:P1084)=P$54,P1084,FORECAST(D1084,OFFSET(S$56:S$254,MATCH(D1084,R$56:R$254,1)-1,0,2), OFFSET(R$56:R$254,MATCH(D1084,R$56:R$254,1)-1,0,2))),"")</f>
        <v>0</v>
      </c>
      <c r="R1084" s="7" t="str">
        <f t="array" ref="R1084">IFERROR(INDEX(E$56:E$1054,SMALL(IF(ISNUMBER(P$56:P$1054),ROW(E$1:E$999),""),ROW(J1029))),"")</f>
        <v/>
      </c>
      <c r="S1084" s="7" t="str">
        <f t="array" ref="S1084">IFERROR(INDEX(P$56:P$1054,SMALL(IF(ISNUMBER(P$56:P$1054),ROW(P$1:P$999),""),ROW(P1029))),"")</f>
        <v/>
      </c>
      <c r="T1084" s="7"/>
      <c r="U1084" s="7"/>
      <c r="V1084" s="7"/>
    </row>
    <row r="1085" spans="1:22" x14ac:dyDescent="0.25">
      <c r="A1085" s="6"/>
      <c r="B1085" s="7"/>
      <c r="C1085" s="7"/>
      <c r="D1085" s="7"/>
      <c r="E1085" s="8">
        <f t="shared" si="16"/>
        <v>0</v>
      </c>
      <c r="F1085" s="10"/>
      <c r="G1085" s="10"/>
      <c r="H1085" s="9"/>
      <c r="I1085" s="7"/>
      <c r="J1085" s="7"/>
      <c r="K1085" s="7">
        <f ca="1">IFERROR(IF(COUNTA(J$56:J1085)=J$54,J1085,FORECAST(D1085,OFFSET(M$56:M$254,MATCH(D1085,L$56:L$254,1)-1,0,2), OFFSET(L$56:L$254,MATCH(D1085,L$56:L$254,1)-1,0,2))),"")</f>
        <v>0</v>
      </c>
      <c r="L1085" s="7" t="str">
        <f t="array" ref="L1085">IFERROR(INDEX(D$56:D$1054,SMALL(IF(ISNUMBER(J$56:J$1054),ROW(D$1:D$999),""),ROW(D1030))),"")</f>
        <v/>
      </c>
      <c r="M1085" s="7" t="str">
        <f t="array" ref="M1085">IFERROR(INDEX(J$56:J$1054,SMALL(IF(ISNUMBER(J$56:J$1054),ROW(J$1:J$999),""),ROW(J1030))),"")</f>
        <v/>
      </c>
      <c r="N1085" s="7"/>
      <c r="O1085" s="7"/>
      <c r="P1085" s="7"/>
      <c r="Q1085" s="7">
        <f ca="1">IFERROR(IF(COUNTA(P$56:P1085)=P$54,P1085,FORECAST(D1085,OFFSET(S$56:S$254,MATCH(D1085,R$56:R$254,1)-1,0,2), OFFSET(R$56:R$254,MATCH(D1085,R$56:R$254,1)-1,0,2))),"")</f>
        <v>0</v>
      </c>
      <c r="R1085" s="7" t="str">
        <f t="array" ref="R1085">IFERROR(INDEX(E$56:E$1054,SMALL(IF(ISNUMBER(P$56:P$1054),ROW(E$1:E$999),""),ROW(J1030))),"")</f>
        <v/>
      </c>
      <c r="S1085" s="7" t="str">
        <f t="array" ref="S1085">IFERROR(INDEX(P$56:P$1054,SMALL(IF(ISNUMBER(P$56:P$1054),ROW(P$1:P$999),""),ROW(P1030))),"")</f>
        <v/>
      </c>
      <c r="T1085" s="7"/>
      <c r="U1085" s="7"/>
      <c r="V1085" s="7"/>
    </row>
    <row r="1086" spans="1:22" x14ac:dyDescent="0.25">
      <c r="A1086" s="6"/>
      <c r="B1086" s="7"/>
      <c r="C1086" s="7"/>
      <c r="D1086" s="7"/>
      <c r="E1086" s="8">
        <f t="shared" si="16"/>
        <v>0</v>
      </c>
      <c r="F1086" s="10"/>
      <c r="G1086" s="10"/>
      <c r="H1086" s="9"/>
      <c r="I1086" s="7"/>
      <c r="J1086" s="7"/>
      <c r="K1086" s="7">
        <f ca="1">IFERROR(IF(COUNTA(J$56:J1086)=J$54,J1086,FORECAST(D1086,OFFSET(M$56:M$254,MATCH(D1086,L$56:L$254,1)-1,0,2), OFFSET(L$56:L$254,MATCH(D1086,L$56:L$254,1)-1,0,2))),"")</f>
        <v>0</v>
      </c>
      <c r="L1086" s="7" t="str">
        <f t="array" ref="L1086">IFERROR(INDEX(D$56:D$1054,SMALL(IF(ISNUMBER(J$56:J$1054),ROW(D$1:D$999),""),ROW(D1031))),"")</f>
        <v/>
      </c>
      <c r="M1086" s="7" t="str">
        <f t="array" ref="M1086">IFERROR(INDEX(J$56:J$1054,SMALL(IF(ISNUMBER(J$56:J$1054),ROW(J$1:J$999),""),ROW(J1031))),"")</f>
        <v/>
      </c>
      <c r="N1086" s="7"/>
      <c r="O1086" s="7"/>
      <c r="P1086" s="7"/>
      <c r="Q1086" s="7">
        <f ca="1">IFERROR(IF(COUNTA(P$56:P1086)=P$54,P1086,FORECAST(D1086,OFFSET(S$56:S$254,MATCH(D1086,R$56:R$254,1)-1,0,2), OFFSET(R$56:R$254,MATCH(D1086,R$56:R$254,1)-1,0,2))),"")</f>
        <v>0</v>
      </c>
      <c r="R1086" s="7" t="str">
        <f t="array" ref="R1086">IFERROR(INDEX(E$56:E$1054,SMALL(IF(ISNUMBER(P$56:P$1054),ROW(E$1:E$999),""),ROW(J1031))),"")</f>
        <v/>
      </c>
      <c r="S1086" s="7" t="str">
        <f t="array" ref="S1086">IFERROR(INDEX(P$56:P$1054,SMALL(IF(ISNUMBER(P$56:P$1054),ROW(P$1:P$999),""),ROW(P1031))),"")</f>
        <v/>
      </c>
      <c r="T1086" s="7"/>
      <c r="U1086" s="7"/>
      <c r="V1086" s="7"/>
    </row>
    <row r="1087" spans="1:22" x14ac:dyDescent="0.25">
      <c r="A1087" s="6"/>
      <c r="B1087" s="7"/>
      <c r="C1087" s="7"/>
      <c r="D1087" s="7"/>
      <c r="E1087" s="8">
        <f t="shared" si="16"/>
        <v>0</v>
      </c>
      <c r="F1087" s="10"/>
      <c r="G1087" s="10"/>
      <c r="H1087" s="9"/>
      <c r="I1087" s="7"/>
      <c r="J1087" s="7"/>
      <c r="K1087" s="7">
        <f ca="1">IFERROR(IF(COUNTA(J$56:J1087)=J$54,J1087,FORECAST(D1087,OFFSET(M$56:M$254,MATCH(D1087,L$56:L$254,1)-1,0,2), OFFSET(L$56:L$254,MATCH(D1087,L$56:L$254,1)-1,0,2))),"")</f>
        <v>0</v>
      </c>
      <c r="L1087" s="7" t="str">
        <f t="array" ref="L1087">IFERROR(INDEX(D$56:D$1054,SMALL(IF(ISNUMBER(J$56:J$1054),ROW(D$1:D$999),""),ROW(D1032))),"")</f>
        <v/>
      </c>
      <c r="M1087" s="7" t="str">
        <f t="array" ref="M1087">IFERROR(INDEX(J$56:J$1054,SMALL(IF(ISNUMBER(J$56:J$1054),ROW(J$1:J$999),""),ROW(J1032))),"")</f>
        <v/>
      </c>
      <c r="N1087" s="7"/>
      <c r="O1087" s="7"/>
      <c r="P1087" s="7"/>
      <c r="Q1087" s="7">
        <f ca="1">IFERROR(IF(COUNTA(P$56:P1087)=P$54,P1087,FORECAST(D1087,OFFSET(S$56:S$254,MATCH(D1087,R$56:R$254,1)-1,0,2), OFFSET(R$56:R$254,MATCH(D1087,R$56:R$254,1)-1,0,2))),"")</f>
        <v>0</v>
      </c>
      <c r="R1087" s="7" t="str">
        <f t="array" ref="R1087">IFERROR(INDEX(E$56:E$1054,SMALL(IF(ISNUMBER(P$56:P$1054),ROW(E$1:E$999),""),ROW(J1032))),"")</f>
        <v/>
      </c>
      <c r="S1087" s="7" t="str">
        <f t="array" ref="S1087">IFERROR(INDEX(P$56:P$1054,SMALL(IF(ISNUMBER(P$56:P$1054),ROW(P$1:P$999),""),ROW(P1032))),"")</f>
        <v/>
      </c>
      <c r="T1087" s="7"/>
      <c r="U1087" s="7"/>
      <c r="V1087" s="7"/>
    </row>
    <row r="1088" spans="1:22" x14ac:dyDescent="0.25">
      <c r="A1088" s="6"/>
      <c r="B1088" s="7"/>
      <c r="C1088" s="7"/>
      <c r="D1088" s="7"/>
      <c r="E1088" s="8">
        <f t="shared" si="16"/>
        <v>0</v>
      </c>
      <c r="F1088" s="10"/>
      <c r="G1088" s="10"/>
      <c r="H1088" s="9"/>
      <c r="I1088" s="7"/>
      <c r="J1088" s="7"/>
      <c r="K1088" s="7">
        <f ca="1">IFERROR(IF(COUNTA(J$56:J1088)=J$54,J1088,FORECAST(D1088,OFFSET(M$56:M$254,MATCH(D1088,L$56:L$254,1)-1,0,2), OFFSET(L$56:L$254,MATCH(D1088,L$56:L$254,1)-1,0,2))),"")</f>
        <v>0</v>
      </c>
      <c r="L1088" s="7" t="str">
        <f t="array" ref="L1088">IFERROR(INDEX(D$56:D$1054,SMALL(IF(ISNUMBER(J$56:J$1054),ROW(D$1:D$999),""),ROW(D1033))),"")</f>
        <v/>
      </c>
      <c r="M1088" s="7" t="str">
        <f t="array" ref="M1088">IFERROR(INDEX(J$56:J$1054,SMALL(IF(ISNUMBER(J$56:J$1054),ROW(J$1:J$999),""),ROW(J1033))),"")</f>
        <v/>
      </c>
      <c r="N1088" s="7"/>
      <c r="O1088" s="7"/>
      <c r="P1088" s="7"/>
      <c r="Q1088" s="7">
        <f ca="1">IFERROR(IF(COUNTA(P$56:P1088)=P$54,P1088,FORECAST(D1088,OFFSET(S$56:S$254,MATCH(D1088,R$56:R$254,1)-1,0,2), OFFSET(R$56:R$254,MATCH(D1088,R$56:R$254,1)-1,0,2))),"")</f>
        <v>0</v>
      </c>
      <c r="R1088" s="7" t="str">
        <f t="array" ref="R1088">IFERROR(INDEX(E$56:E$1054,SMALL(IF(ISNUMBER(P$56:P$1054),ROW(E$1:E$999),""),ROW(J1033))),"")</f>
        <v/>
      </c>
      <c r="S1088" s="7" t="str">
        <f t="array" ref="S1088">IFERROR(INDEX(P$56:P$1054,SMALL(IF(ISNUMBER(P$56:P$1054),ROW(P$1:P$999),""),ROW(P1033))),"")</f>
        <v/>
      </c>
      <c r="T1088" s="7"/>
      <c r="U1088" s="7"/>
      <c r="V1088" s="7"/>
    </row>
    <row r="1089" spans="1:22" x14ac:dyDescent="0.25">
      <c r="A1089" s="6"/>
      <c r="B1089" s="7"/>
      <c r="C1089" s="7"/>
      <c r="D1089" s="7"/>
      <c r="E1089" s="8">
        <f t="shared" si="16"/>
        <v>0</v>
      </c>
      <c r="F1089" s="10"/>
      <c r="G1089" s="10"/>
      <c r="H1089" s="9"/>
      <c r="I1089" s="7"/>
      <c r="J1089" s="7"/>
      <c r="K1089" s="7">
        <f ca="1">IFERROR(IF(COUNTA(J$56:J1089)=J$54,J1089,FORECAST(D1089,OFFSET(M$56:M$254,MATCH(D1089,L$56:L$254,1)-1,0,2), OFFSET(L$56:L$254,MATCH(D1089,L$56:L$254,1)-1,0,2))),"")</f>
        <v>0</v>
      </c>
      <c r="L1089" s="7" t="str">
        <f t="array" ref="L1089">IFERROR(INDEX(D$56:D$1054,SMALL(IF(ISNUMBER(J$56:J$1054),ROW(D$1:D$999),""),ROW(D1034))),"")</f>
        <v/>
      </c>
      <c r="M1089" s="7" t="str">
        <f t="array" ref="M1089">IFERROR(INDEX(J$56:J$1054,SMALL(IF(ISNUMBER(J$56:J$1054),ROW(J$1:J$999),""),ROW(J1034))),"")</f>
        <v/>
      </c>
      <c r="N1089" s="7"/>
      <c r="O1089" s="7"/>
      <c r="P1089" s="7"/>
      <c r="Q1089" s="7">
        <f ca="1">IFERROR(IF(COUNTA(P$56:P1089)=P$54,P1089,FORECAST(D1089,OFFSET(S$56:S$254,MATCH(D1089,R$56:R$254,1)-1,0,2), OFFSET(R$56:R$254,MATCH(D1089,R$56:R$254,1)-1,0,2))),"")</f>
        <v>0</v>
      </c>
      <c r="R1089" s="7" t="str">
        <f t="array" ref="R1089">IFERROR(INDEX(E$56:E$1054,SMALL(IF(ISNUMBER(P$56:P$1054),ROW(E$1:E$999),""),ROW(J1034))),"")</f>
        <v/>
      </c>
      <c r="S1089" s="7" t="str">
        <f t="array" ref="S1089">IFERROR(INDEX(P$56:P$1054,SMALL(IF(ISNUMBER(P$56:P$1054),ROW(P$1:P$999),""),ROW(P1034))),"")</f>
        <v/>
      </c>
      <c r="T1089" s="7"/>
      <c r="U1089" s="7"/>
      <c r="V1089" s="7"/>
    </row>
    <row r="1090" spans="1:22" x14ac:dyDescent="0.25">
      <c r="A1090" s="6"/>
      <c r="B1090" s="7"/>
      <c r="C1090" s="7"/>
      <c r="D1090" s="7"/>
      <c r="E1090" s="8">
        <f t="shared" si="16"/>
        <v>0</v>
      </c>
      <c r="F1090" s="10"/>
      <c r="G1090" s="10"/>
      <c r="H1090" s="9"/>
      <c r="I1090" s="7"/>
      <c r="J1090" s="7"/>
      <c r="K1090" s="7">
        <f ca="1">IFERROR(IF(COUNTA(J$56:J1090)=J$54,J1090,FORECAST(D1090,OFFSET(M$56:M$254,MATCH(D1090,L$56:L$254,1)-1,0,2), OFFSET(L$56:L$254,MATCH(D1090,L$56:L$254,1)-1,0,2))),"")</f>
        <v>0</v>
      </c>
      <c r="L1090" s="7" t="str">
        <f t="array" ref="L1090">IFERROR(INDEX(D$56:D$1054,SMALL(IF(ISNUMBER(J$56:J$1054),ROW(D$1:D$999),""),ROW(D1035))),"")</f>
        <v/>
      </c>
      <c r="M1090" s="7" t="str">
        <f t="array" ref="M1090">IFERROR(INDEX(J$56:J$1054,SMALL(IF(ISNUMBER(J$56:J$1054),ROW(J$1:J$999),""),ROW(J1035))),"")</f>
        <v/>
      </c>
      <c r="N1090" s="7"/>
      <c r="O1090" s="7"/>
      <c r="P1090" s="7"/>
      <c r="Q1090" s="7">
        <f ca="1">IFERROR(IF(COUNTA(P$56:P1090)=P$54,P1090,FORECAST(D1090,OFFSET(S$56:S$254,MATCH(D1090,R$56:R$254,1)-1,0,2), OFFSET(R$56:R$254,MATCH(D1090,R$56:R$254,1)-1,0,2))),"")</f>
        <v>0</v>
      </c>
      <c r="R1090" s="7" t="str">
        <f t="array" ref="R1090">IFERROR(INDEX(E$56:E$1054,SMALL(IF(ISNUMBER(P$56:P$1054),ROW(E$1:E$999),""),ROW(J1035))),"")</f>
        <v/>
      </c>
      <c r="S1090" s="7" t="str">
        <f t="array" ref="S1090">IFERROR(INDEX(P$56:P$1054,SMALL(IF(ISNUMBER(P$56:P$1054),ROW(P$1:P$999),""),ROW(P1035))),"")</f>
        <v/>
      </c>
      <c r="T1090" s="7"/>
      <c r="U1090" s="7"/>
      <c r="V1090" s="7"/>
    </row>
    <row r="1091" spans="1:22" x14ac:dyDescent="0.25">
      <c r="A1091" s="6"/>
      <c r="B1091" s="7"/>
      <c r="C1091" s="7"/>
      <c r="D1091" s="7"/>
      <c r="E1091" s="8">
        <f t="shared" si="16"/>
        <v>0</v>
      </c>
      <c r="F1091" s="10"/>
      <c r="G1091" s="10"/>
      <c r="H1091" s="9"/>
      <c r="I1091" s="7"/>
      <c r="J1091" s="7"/>
      <c r="K1091" s="7">
        <f ca="1">IFERROR(IF(COUNTA(J$56:J1091)=J$54,J1091,FORECAST(D1091,OFFSET(M$56:M$254,MATCH(D1091,L$56:L$254,1)-1,0,2), OFFSET(L$56:L$254,MATCH(D1091,L$56:L$254,1)-1,0,2))),"")</f>
        <v>0</v>
      </c>
      <c r="L1091" s="7" t="str">
        <f t="array" ref="L1091">IFERROR(INDEX(D$56:D$1054,SMALL(IF(ISNUMBER(J$56:J$1054),ROW(D$1:D$999),""),ROW(D1036))),"")</f>
        <v/>
      </c>
      <c r="M1091" s="7" t="str">
        <f t="array" ref="M1091">IFERROR(INDEX(J$56:J$1054,SMALL(IF(ISNUMBER(J$56:J$1054),ROW(J$1:J$999),""),ROW(J1036))),"")</f>
        <v/>
      </c>
      <c r="N1091" s="7"/>
      <c r="O1091" s="7"/>
      <c r="P1091" s="7"/>
      <c r="Q1091" s="7">
        <f ca="1">IFERROR(IF(COUNTA(P$56:P1091)=P$54,P1091,FORECAST(D1091,OFFSET(S$56:S$254,MATCH(D1091,R$56:R$254,1)-1,0,2), OFFSET(R$56:R$254,MATCH(D1091,R$56:R$254,1)-1,0,2))),"")</f>
        <v>0</v>
      </c>
      <c r="R1091" s="7" t="str">
        <f t="array" ref="R1091">IFERROR(INDEX(E$56:E$1054,SMALL(IF(ISNUMBER(P$56:P$1054),ROW(E$1:E$999),""),ROW(J1036))),"")</f>
        <v/>
      </c>
      <c r="S1091" s="7" t="str">
        <f t="array" ref="S1091">IFERROR(INDEX(P$56:P$1054,SMALL(IF(ISNUMBER(P$56:P$1054),ROW(P$1:P$999),""),ROW(P1036))),"")</f>
        <v/>
      </c>
      <c r="T1091" s="7"/>
      <c r="U1091" s="7"/>
      <c r="V1091" s="7"/>
    </row>
    <row r="1092" spans="1:22" x14ac:dyDescent="0.25">
      <c r="A1092" s="6"/>
      <c r="B1092" s="7"/>
      <c r="C1092" s="7"/>
      <c r="D1092" s="7"/>
      <c r="E1092" s="8">
        <f t="shared" si="16"/>
        <v>0</v>
      </c>
      <c r="F1092" s="10"/>
      <c r="G1092" s="10"/>
      <c r="H1092" s="9"/>
      <c r="I1092" s="7"/>
      <c r="J1092" s="7"/>
      <c r="K1092" s="7">
        <f ca="1">IFERROR(IF(COUNTA(J$56:J1092)=J$54,J1092,FORECAST(D1092,OFFSET(M$56:M$254,MATCH(D1092,L$56:L$254,1)-1,0,2), OFFSET(L$56:L$254,MATCH(D1092,L$56:L$254,1)-1,0,2))),"")</f>
        <v>0</v>
      </c>
      <c r="L1092" s="7" t="str">
        <f t="array" ref="L1092">IFERROR(INDEX(D$56:D$1054,SMALL(IF(ISNUMBER(J$56:J$1054),ROW(D$1:D$999),""),ROW(D1037))),"")</f>
        <v/>
      </c>
      <c r="M1092" s="7" t="str">
        <f t="array" ref="M1092">IFERROR(INDEX(J$56:J$1054,SMALL(IF(ISNUMBER(J$56:J$1054),ROW(J$1:J$999),""),ROW(J1037))),"")</f>
        <v/>
      </c>
      <c r="N1092" s="7"/>
      <c r="O1092" s="7"/>
      <c r="P1092" s="7"/>
      <c r="Q1092" s="7">
        <f ca="1">IFERROR(IF(COUNTA(P$56:P1092)=P$54,P1092,FORECAST(D1092,OFFSET(S$56:S$254,MATCH(D1092,R$56:R$254,1)-1,0,2), OFFSET(R$56:R$254,MATCH(D1092,R$56:R$254,1)-1,0,2))),"")</f>
        <v>0</v>
      </c>
      <c r="R1092" s="7" t="str">
        <f t="array" ref="R1092">IFERROR(INDEX(E$56:E$1054,SMALL(IF(ISNUMBER(P$56:P$1054),ROW(E$1:E$999),""),ROW(J1037))),"")</f>
        <v/>
      </c>
      <c r="S1092" s="7" t="str">
        <f t="array" ref="S1092">IFERROR(INDEX(P$56:P$1054,SMALL(IF(ISNUMBER(P$56:P$1054),ROW(P$1:P$999),""),ROW(P1037))),"")</f>
        <v/>
      </c>
      <c r="T1092" s="7"/>
      <c r="U1092" s="7"/>
      <c r="V1092" s="7"/>
    </row>
    <row r="1093" spans="1:22" x14ac:dyDescent="0.25">
      <c r="A1093" s="6"/>
      <c r="B1093" s="7"/>
      <c r="C1093" s="7"/>
      <c r="D1093" s="7"/>
      <c r="E1093" s="8">
        <f t="shared" si="16"/>
        <v>0</v>
      </c>
      <c r="F1093" s="10"/>
      <c r="G1093" s="10"/>
      <c r="H1093" s="9"/>
      <c r="I1093" s="7"/>
      <c r="J1093" s="7"/>
      <c r="K1093" s="7">
        <f ca="1">IFERROR(IF(COUNTA(J$56:J1093)=J$54,J1093,FORECAST(D1093,OFFSET(M$56:M$254,MATCH(D1093,L$56:L$254,1)-1,0,2), OFFSET(L$56:L$254,MATCH(D1093,L$56:L$254,1)-1,0,2))),"")</f>
        <v>0</v>
      </c>
      <c r="L1093" s="7" t="str">
        <f t="array" ref="L1093">IFERROR(INDEX(D$56:D$1054,SMALL(IF(ISNUMBER(J$56:J$1054),ROW(D$1:D$999),""),ROW(D1038))),"")</f>
        <v/>
      </c>
      <c r="M1093" s="7" t="str">
        <f t="array" ref="M1093">IFERROR(INDEX(J$56:J$1054,SMALL(IF(ISNUMBER(J$56:J$1054),ROW(J$1:J$999),""),ROW(J1038))),"")</f>
        <v/>
      </c>
      <c r="N1093" s="7"/>
      <c r="O1093" s="7"/>
      <c r="P1093" s="7"/>
      <c r="Q1093" s="7">
        <f ca="1">IFERROR(IF(COUNTA(P$56:P1093)=P$54,P1093,FORECAST(D1093,OFFSET(S$56:S$254,MATCH(D1093,R$56:R$254,1)-1,0,2), OFFSET(R$56:R$254,MATCH(D1093,R$56:R$254,1)-1,0,2))),"")</f>
        <v>0</v>
      </c>
      <c r="R1093" s="7" t="str">
        <f t="array" ref="R1093">IFERROR(INDEX(E$56:E$1054,SMALL(IF(ISNUMBER(P$56:P$1054),ROW(E$1:E$999),""),ROW(J1038))),"")</f>
        <v/>
      </c>
      <c r="S1093" s="7" t="str">
        <f t="array" ref="S1093">IFERROR(INDEX(P$56:P$1054,SMALL(IF(ISNUMBER(P$56:P$1054),ROW(P$1:P$999),""),ROW(P1038))),"")</f>
        <v/>
      </c>
      <c r="T1093" s="7"/>
      <c r="U1093" s="7"/>
      <c r="V1093" s="7"/>
    </row>
    <row r="1094" spans="1:22" x14ac:dyDescent="0.25">
      <c r="A1094" s="6"/>
      <c r="B1094" s="7"/>
      <c r="C1094" s="7"/>
      <c r="D1094" s="7"/>
      <c r="E1094" s="8">
        <f t="shared" si="16"/>
        <v>0</v>
      </c>
      <c r="F1094" s="10"/>
      <c r="G1094" s="10"/>
      <c r="H1094" s="9"/>
      <c r="I1094" s="7"/>
      <c r="J1094" s="7"/>
      <c r="K1094" s="7">
        <f ca="1">IFERROR(IF(COUNTA(J$56:J1094)=J$54,J1094,FORECAST(D1094,OFFSET(M$56:M$254,MATCH(D1094,L$56:L$254,1)-1,0,2), OFFSET(L$56:L$254,MATCH(D1094,L$56:L$254,1)-1,0,2))),"")</f>
        <v>0</v>
      </c>
      <c r="L1094" s="7" t="str">
        <f t="array" ref="L1094">IFERROR(INDEX(D$56:D$1054,SMALL(IF(ISNUMBER(J$56:J$1054),ROW(D$1:D$999),""),ROW(D1039))),"")</f>
        <v/>
      </c>
      <c r="M1094" s="7" t="str">
        <f t="array" ref="M1094">IFERROR(INDEX(J$56:J$1054,SMALL(IF(ISNUMBER(J$56:J$1054),ROW(J$1:J$999),""),ROW(J1039))),"")</f>
        <v/>
      </c>
      <c r="N1094" s="7"/>
      <c r="O1094" s="7"/>
      <c r="P1094" s="7"/>
      <c r="Q1094" s="7">
        <f ca="1">IFERROR(IF(COUNTA(P$56:P1094)=P$54,P1094,FORECAST(D1094,OFFSET(S$56:S$254,MATCH(D1094,R$56:R$254,1)-1,0,2), OFFSET(R$56:R$254,MATCH(D1094,R$56:R$254,1)-1,0,2))),"")</f>
        <v>0</v>
      </c>
      <c r="R1094" s="7" t="str">
        <f t="array" ref="R1094">IFERROR(INDEX(E$56:E$1054,SMALL(IF(ISNUMBER(P$56:P$1054),ROW(E$1:E$999),""),ROW(J1039))),"")</f>
        <v/>
      </c>
      <c r="S1094" s="7" t="str">
        <f t="array" ref="S1094">IFERROR(INDEX(P$56:P$1054,SMALL(IF(ISNUMBER(P$56:P$1054),ROW(P$1:P$999),""),ROW(P1039))),"")</f>
        <v/>
      </c>
      <c r="T1094" s="7"/>
      <c r="U1094" s="7"/>
      <c r="V1094" s="7"/>
    </row>
    <row r="1095" spans="1:22" x14ac:dyDescent="0.25">
      <c r="A1095" s="6"/>
      <c r="B1095" s="7"/>
      <c r="C1095" s="7"/>
      <c r="D1095" s="7"/>
      <c r="E1095" s="8">
        <f t="shared" si="16"/>
        <v>0</v>
      </c>
      <c r="F1095" s="10"/>
      <c r="G1095" s="10"/>
      <c r="H1095" s="9"/>
      <c r="I1095" s="7"/>
      <c r="J1095" s="7"/>
      <c r="K1095" s="7">
        <f ca="1">IFERROR(IF(COUNTA(J$56:J1095)=J$54,J1095,FORECAST(D1095,OFFSET(M$56:M$254,MATCH(D1095,L$56:L$254,1)-1,0,2), OFFSET(L$56:L$254,MATCH(D1095,L$56:L$254,1)-1,0,2))),"")</f>
        <v>0</v>
      </c>
      <c r="L1095" s="7" t="str">
        <f t="array" ref="L1095">IFERROR(INDEX(D$56:D$1054,SMALL(IF(ISNUMBER(J$56:J$1054),ROW(D$1:D$999),""),ROW(D1040))),"")</f>
        <v/>
      </c>
      <c r="M1095" s="7" t="str">
        <f t="array" ref="M1095">IFERROR(INDEX(J$56:J$1054,SMALL(IF(ISNUMBER(J$56:J$1054),ROW(J$1:J$999),""),ROW(J1040))),"")</f>
        <v/>
      </c>
      <c r="N1095" s="7"/>
      <c r="O1095" s="7"/>
      <c r="P1095" s="7"/>
      <c r="Q1095" s="7">
        <f ca="1">IFERROR(IF(COUNTA(P$56:P1095)=P$54,P1095,FORECAST(D1095,OFFSET(S$56:S$254,MATCH(D1095,R$56:R$254,1)-1,0,2), OFFSET(R$56:R$254,MATCH(D1095,R$56:R$254,1)-1,0,2))),"")</f>
        <v>0</v>
      </c>
      <c r="R1095" s="7" t="str">
        <f t="array" ref="R1095">IFERROR(INDEX(E$56:E$1054,SMALL(IF(ISNUMBER(P$56:P$1054),ROW(E$1:E$999),""),ROW(J1040))),"")</f>
        <v/>
      </c>
      <c r="S1095" s="7" t="str">
        <f t="array" ref="S1095">IFERROR(INDEX(P$56:P$1054,SMALL(IF(ISNUMBER(P$56:P$1054),ROW(P$1:P$999),""),ROW(P1040))),"")</f>
        <v/>
      </c>
      <c r="T1095" s="7"/>
      <c r="U1095" s="7"/>
      <c r="V1095" s="7"/>
    </row>
    <row r="1096" spans="1:22" x14ac:dyDescent="0.25">
      <c r="A1096" s="6"/>
      <c r="B1096" s="7"/>
      <c r="C1096" s="7"/>
      <c r="D1096" s="7"/>
      <c r="E1096" s="8">
        <f t="shared" si="16"/>
        <v>0</v>
      </c>
      <c r="F1096" s="10"/>
      <c r="G1096" s="10"/>
      <c r="H1096" s="9"/>
      <c r="I1096" s="7"/>
      <c r="J1096" s="7"/>
      <c r="K1096" s="7">
        <f ca="1">IFERROR(IF(COUNTA(J$56:J1096)=J$54,J1096,FORECAST(D1096,OFFSET(M$56:M$254,MATCH(D1096,L$56:L$254,1)-1,0,2), OFFSET(L$56:L$254,MATCH(D1096,L$56:L$254,1)-1,0,2))),"")</f>
        <v>0</v>
      </c>
      <c r="L1096" s="7" t="str">
        <f t="array" ref="L1096">IFERROR(INDEX(D$56:D$1054,SMALL(IF(ISNUMBER(J$56:J$1054),ROW(D$1:D$999),""),ROW(D1041))),"")</f>
        <v/>
      </c>
      <c r="M1096" s="7" t="str">
        <f t="array" ref="M1096">IFERROR(INDEX(J$56:J$1054,SMALL(IF(ISNUMBER(J$56:J$1054),ROW(J$1:J$999),""),ROW(J1041))),"")</f>
        <v/>
      </c>
      <c r="N1096" s="7"/>
      <c r="O1096" s="7"/>
      <c r="P1096" s="7"/>
      <c r="Q1096" s="7">
        <f ca="1">IFERROR(IF(COUNTA(P$56:P1096)=P$54,P1096,FORECAST(D1096,OFFSET(S$56:S$254,MATCH(D1096,R$56:R$254,1)-1,0,2), OFFSET(R$56:R$254,MATCH(D1096,R$56:R$254,1)-1,0,2))),"")</f>
        <v>0</v>
      </c>
      <c r="R1096" s="7" t="str">
        <f t="array" ref="R1096">IFERROR(INDEX(E$56:E$1054,SMALL(IF(ISNUMBER(P$56:P$1054),ROW(E$1:E$999),""),ROW(J1041))),"")</f>
        <v/>
      </c>
      <c r="S1096" s="7" t="str">
        <f t="array" ref="S1096">IFERROR(INDEX(P$56:P$1054,SMALL(IF(ISNUMBER(P$56:P$1054),ROW(P$1:P$999),""),ROW(P1041))),"")</f>
        <v/>
      </c>
      <c r="T1096" s="7"/>
      <c r="U1096" s="7"/>
      <c r="V1096" s="7"/>
    </row>
    <row r="1097" spans="1:22" x14ac:dyDescent="0.25">
      <c r="A1097" s="6"/>
      <c r="B1097" s="7"/>
      <c r="C1097" s="7"/>
      <c r="D1097" s="7"/>
      <c r="E1097" s="8">
        <f t="shared" si="16"/>
        <v>0</v>
      </c>
      <c r="F1097" s="10"/>
      <c r="G1097" s="10"/>
      <c r="H1097" s="9"/>
      <c r="I1097" s="7"/>
      <c r="J1097" s="7"/>
      <c r="K1097" s="7">
        <f ca="1">IFERROR(IF(COUNTA(J$56:J1097)=J$54,J1097,FORECAST(D1097,OFFSET(M$56:M$254,MATCH(D1097,L$56:L$254,1)-1,0,2), OFFSET(L$56:L$254,MATCH(D1097,L$56:L$254,1)-1,0,2))),"")</f>
        <v>0</v>
      </c>
      <c r="L1097" s="7" t="str">
        <f t="array" ref="L1097">IFERROR(INDEX(D$56:D$1054,SMALL(IF(ISNUMBER(J$56:J$1054),ROW(D$1:D$999),""),ROW(D1042))),"")</f>
        <v/>
      </c>
      <c r="M1097" s="7" t="str">
        <f t="array" ref="M1097">IFERROR(INDEX(J$56:J$1054,SMALL(IF(ISNUMBER(J$56:J$1054),ROW(J$1:J$999),""),ROW(J1042))),"")</f>
        <v/>
      </c>
      <c r="N1097" s="7"/>
      <c r="O1097" s="7"/>
      <c r="P1097" s="7"/>
      <c r="Q1097" s="7">
        <f ca="1">IFERROR(IF(COUNTA(P$56:P1097)=P$54,P1097,FORECAST(D1097,OFFSET(S$56:S$254,MATCH(D1097,R$56:R$254,1)-1,0,2), OFFSET(R$56:R$254,MATCH(D1097,R$56:R$254,1)-1,0,2))),"")</f>
        <v>0</v>
      </c>
      <c r="R1097" s="7" t="str">
        <f t="array" ref="R1097">IFERROR(INDEX(E$56:E$1054,SMALL(IF(ISNUMBER(P$56:P$1054),ROW(E$1:E$999),""),ROW(J1042))),"")</f>
        <v/>
      </c>
      <c r="S1097" s="7" t="str">
        <f t="array" ref="S1097">IFERROR(INDEX(P$56:P$1054,SMALL(IF(ISNUMBER(P$56:P$1054),ROW(P$1:P$999),""),ROW(P1042))),"")</f>
        <v/>
      </c>
      <c r="T1097" s="7"/>
      <c r="U1097" s="7"/>
      <c r="V1097" s="7"/>
    </row>
    <row r="1098" spans="1:22" x14ac:dyDescent="0.25">
      <c r="A1098" s="6"/>
      <c r="B1098" s="7"/>
      <c r="C1098" s="7"/>
      <c r="D1098" s="7"/>
      <c r="E1098" s="8">
        <f t="shared" si="16"/>
        <v>0</v>
      </c>
      <c r="F1098" s="10"/>
      <c r="G1098" s="10"/>
      <c r="H1098" s="9"/>
      <c r="I1098" s="7"/>
      <c r="J1098" s="7"/>
      <c r="K1098" s="7">
        <f ca="1">IFERROR(IF(COUNTA(J$56:J1098)=J$54,J1098,FORECAST(D1098,OFFSET(M$56:M$254,MATCH(D1098,L$56:L$254,1)-1,0,2), OFFSET(L$56:L$254,MATCH(D1098,L$56:L$254,1)-1,0,2))),"")</f>
        <v>0</v>
      </c>
      <c r="L1098" s="7" t="str">
        <f t="array" ref="L1098">IFERROR(INDEX(D$56:D$1054,SMALL(IF(ISNUMBER(J$56:J$1054),ROW(D$1:D$999),""),ROW(D1043))),"")</f>
        <v/>
      </c>
      <c r="M1098" s="7" t="str">
        <f t="array" ref="M1098">IFERROR(INDEX(J$56:J$1054,SMALL(IF(ISNUMBER(J$56:J$1054),ROW(J$1:J$999),""),ROW(J1043))),"")</f>
        <v/>
      </c>
      <c r="N1098" s="7"/>
      <c r="O1098" s="7"/>
      <c r="P1098" s="7"/>
      <c r="Q1098" s="7">
        <f ca="1">IFERROR(IF(COUNTA(P$56:P1098)=P$54,P1098,FORECAST(D1098,OFFSET(S$56:S$254,MATCH(D1098,R$56:R$254,1)-1,0,2), OFFSET(R$56:R$254,MATCH(D1098,R$56:R$254,1)-1,0,2))),"")</f>
        <v>0</v>
      </c>
      <c r="R1098" s="7" t="str">
        <f t="array" ref="R1098">IFERROR(INDEX(E$56:E$1054,SMALL(IF(ISNUMBER(P$56:P$1054),ROW(E$1:E$999),""),ROW(J1043))),"")</f>
        <v/>
      </c>
      <c r="S1098" s="7" t="str">
        <f t="array" ref="S1098">IFERROR(INDEX(P$56:P$1054,SMALL(IF(ISNUMBER(P$56:P$1054),ROW(P$1:P$999),""),ROW(P1043))),"")</f>
        <v/>
      </c>
      <c r="T1098" s="7"/>
      <c r="U1098" s="7"/>
      <c r="V1098" s="7"/>
    </row>
    <row r="1099" spans="1:22" x14ac:dyDescent="0.25">
      <c r="A1099" s="6"/>
      <c r="B1099" s="7"/>
      <c r="C1099" s="7"/>
      <c r="D1099" s="7"/>
      <c r="E1099" s="8">
        <f t="shared" si="16"/>
        <v>0</v>
      </c>
      <c r="F1099" s="10"/>
      <c r="G1099" s="10"/>
      <c r="H1099" s="9"/>
      <c r="I1099" s="7"/>
      <c r="J1099" s="7"/>
      <c r="K1099" s="7">
        <f ca="1">IFERROR(IF(COUNTA(J$56:J1099)=J$54,J1099,FORECAST(D1099,OFFSET(M$56:M$254,MATCH(D1099,L$56:L$254,1)-1,0,2), OFFSET(L$56:L$254,MATCH(D1099,L$56:L$254,1)-1,0,2))),"")</f>
        <v>0</v>
      </c>
      <c r="L1099" s="7" t="str">
        <f t="array" ref="L1099">IFERROR(INDEX(D$56:D$1054,SMALL(IF(ISNUMBER(J$56:J$1054),ROW(D$1:D$999),""),ROW(D1044))),"")</f>
        <v/>
      </c>
      <c r="M1099" s="7" t="str">
        <f t="array" ref="M1099">IFERROR(INDEX(J$56:J$1054,SMALL(IF(ISNUMBER(J$56:J$1054),ROW(J$1:J$999),""),ROW(J1044))),"")</f>
        <v/>
      </c>
      <c r="N1099" s="7"/>
      <c r="O1099" s="7"/>
      <c r="P1099" s="7"/>
      <c r="Q1099" s="7">
        <f ca="1">IFERROR(IF(COUNTA(P$56:P1099)=P$54,P1099,FORECAST(D1099,OFFSET(S$56:S$254,MATCH(D1099,R$56:R$254,1)-1,0,2), OFFSET(R$56:R$254,MATCH(D1099,R$56:R$254,1)-1,0,2))),"")</f>
        <v>0</v>
      </c>
      <c r="R1099" s="7" t="str">
        <f t="array" ref="R1099">IFERROR(INDEX(E$56:E$1054,SMALL(IF(ISNUMBER(P$56:P$1054),ROW(E$1:E$999),""),ROW(J1044))),"")</f>
        <v/>
      </c>
      <c r="S1099" s="7" t="str">
        <f t="array" ref="S1099">IFERROR(INDEX(P$56:P$1054,SMALL(IF(ISNUMBER(P$56:P$1054),ROW(P$1:P$999),""),ROW(P1044))),"")</f>
        <v/>
      </c>
      <c r="T1099" s="7"/>
      <c r="U1099" s="7"/>
      <c r="V1099" s="7"/>
    </row>
    <row r="1100" spans="1:22" x14ac:dyDescent="0.25">
      <c r="A1100" s="6"/>
      <c r="B1100" s="7"/>
      <c r="C1100" s="7"/>
      <c r="D1100" s="7"/>
      <c r="E1100" s="8">
        <f t="shared" si="16"/>
        <v>0</v>
      </c>
      <c r="F1100" s="10"/>
      <c r="G1100" s="10"/>
      <c r="H1100" s="9"/>
      <c r="I1100" s="7"/>
      <c r="J1100" s="7"/>
      <c r="K1100" s="7">
        <f ca="1">IFERROR(IF(COUNTA(J$56:J1100)=J$54,J1100,FORECAST(D1100,OFFSET(M$56:M$254,MATCH(D1100,L$56:L$254,1)-1,0,2), OFFSET(L$56:L$254,MATCH(D1100,L$56:L$254,1)-1,0,2))),"")</f>
        <v>0</v>
      </c>
      <c r="L1100" s="7" t="str">
        <f t="array" ref="L1100">IFERROR(INDEX(D$56:D$1054,SMALL(IF(ISNUMBER(J$56:J$1054),ROW(D$1:D$999),""),ROW(D1045))),"")</f>
        <v/>
      </c>
      <c r="M1100" s="7" t="str">
        <f t="array" ref="M1100">IFERROR(INDEX(J$56:J$1054,SMALL(IF(ISNUMBER(J$56:J$1054),ROW(J$1:J$999),""),ROW(J1045))),"")</f>
        <v/>
      </c>
      <c r="N1100" s="7"/>
      <c r="O1100" s="7"/>
      <c r="P1100" s="7"/>
      <c r="Q1100" s="7">
        <f ca="1">IFERROR(IF(COUNTA(P$56:P1100)=P$54,P1100,FORECAST(D1100,OFFSET(S$56:S$254,MATCH(D1100,R$56:R$254,1)-1,0,2), OFFSET(R$56:R$254,MATCH(D1100,R$56:R$254,1)-1,0,2))),"")</f>
        <v>0</v>
      </c>
      <c r="R1100" s="7" t="str">
        <f t="array" ref="R1100">IFERROR(INDEX(E$56:E$1054,SMALL(IF(ISNUMBER(P$56:P$1054),ROW(E$1:E$999),""),ROW(J1045))),"")</f>
        <v/>
      </c>
      <c r="S1100" s="7" t="str">
        <f t="array" ref="S1100">IFERROR(INDEX(P$56:P$1054,SMALL(IF(ISNUMBER(P$56:P$1054),ROW(P$1:P$999),""),ROW(P1045))),"")</f>
        <v/>
      </c>
      <c r="T1100" s="7"/>
      <c r="U1100" s="7"/>
      <c r="V1100" s="7"/>
    </row>
    <row r="1101" spans="1:22" x14ac:dyDescent="0.25">
      <c r="A1101" s="6"/>
      <c r="B1101" s="7"/>
      <c r="C1101" s="7"/>
      <c r="D1101" s="7"/>
      <c r="E1101" s="8">
        <f t="shared" si="16"/>
        <v>0</v>
      </c>
      <c r="F1101" s="10"/>
      <c r="G1101" s="10"/>
      <c r="H1101" s="9"/>
      <c r="I1101" s="7"/>
      <c r="J1101" s="7"/>
      <c r="K1101" s="7">
        <f ca="1">IFERROR(IF(COUNTA(J$56:J1101)=J$54,J1101,FORECAST(D1101,OFFSET(M$56:M$254,MATCH(D1101,L$56:L$254,1)-1,0,2), OFFSET(L$56:L$254,MATCH(D1101,L$56:L$254,1)-1,0,2))),"")</f>
        <v>0</v>
      </c>
      <c r="L1101" s="7" t="str">
        <f t="array" ref="L1101">IFERROR(INDEX(D$56:D$1054,SMALL(IF(ISNUMBER(J$56:J$1054),ROW(D$1:D$999),""),ROW(D1046))),"")</f>
        <v/>
      </c>
      <c r="M1101" s="7" t="str">
        <f t="array" ref="M1101">IFERROR(INDEX(J$56:J$1054,SMALL(IF(ISNUMBER(J$56:J$1054),ROW(J$1:J$999),""),ROW(J1046))),"")</f>
        <v/>
      </c>
      <c r="N1101" s="7"/>
      <c r="O1101" s="7"/>
      <c r="P1101" s="7"/>
      <c r="Q1101" s="7">
        <f ca="1">IFERROR(IF(COUNTA(P$56:P1101)=P$54,P1101,FORECAST(D1101,OFFSET(S$56:S$254,MATCH(D1101,R$56:R$254,1)-1,0,2), OFFSET(R$56:R$254,MATCH(D1101,R$56:R$254,1)-1,0,2))),"")</f>
        <v>0</v>
      </c>
      <c r="R1101" s="7" t="str">
        <f t="array" ref="R1101">IFERROR(INDEX(E$56:E$1054,SMALL(IF(ISNUMBER(P$56:P$1054),ROW(E$1:E$999),""),ROW(J1046))),"")</f>
        <v/>
      </c>
      <c r="S1101" s="7" t="str">
        <f t="array" ref="S1101">IFERROR(INDEX(P$56:P$1054,SMALL(IF(ISNUMBER(P$56:P$1054),ROW(P$1:P$999),""),ROW(P1046))),"")</f>
        <v/>
      </c>
      <c r="T1101" s="7"/>
      <c r="U1101" s="7"/>
      <c r="V1101" s="7"/>
    </row>
    <row r="1102" spans="1:22" x14ac:dyDescent="0.25">
      <c r="A1102" s="6"/>
      <c r="B1102" s="7"/>
      <c r="C1102" s="7"/>
      <c r="D1102" s="7"/>
      <c r="E1102" s="8">
        <f t="shared" si="16"/>
        <v>0</v>
      </c>
      <c r="F1102" s="10"/>
      <c r="G1102" s="10"/>
      <c r="H1102" s="9"/>
      <c r="I1102" s="7"/>
      <c r="J1102" s="7"/>
      <c r="K1102" s="7">
        <f ca="1">IFERROR(IF(COUNTA(J$56:J1102)=J$54,J1102,FORECAST(D1102,OFFSET(M$56:M$254,MATCH(D1102,L$56:L$254,1)-1,0,2), OFFSET(L$56:L$254,MATCH(D1102,L$56:L$254,1)-1,0,2))),"")</f>
        <v>0</v>
      </c>
      <c r="L1102" s="7" t="str">
        <f t="array" ref="L1102">IFERROR(INDEX(D$56:D$1054,SMALL(IF(ISNUMBER(J$56:J$1054),ROW(D$1:D$999),""),ROW(D1047))),"")</f>
        <v/>
      </c>
      <c r="M1102" s="7" t="str">
        <f t="array" ref="M1102">IFERROR(INDEX(J$56:J$1054,SMALL(IF(ISNUMBER(J$56:J$1054),ROW(J$1:J$999),""),ROW(J1047))),"")</f>
        <v/>
      </c>
      <c r="N1102" s="7"/>
      <c r="O1102" s="7"/>
      <c r="P1102" s="7"/>
      <c r="Q1102" s="7">
        <f ca="1">IFERROR(IF(COUNTA(P$56:P1102)=P$54,P1102,FORECAST(D1102,OFFSET(S$56:S$254,MATCH(D1102,R$56:R$254,1)-1,0,2), OFFSET(R$56:R$254,MATCH(D1102,R$56:R$254,1)-1,0,2))),"")</f>
        <v>0</v>
      </c>
      <c r="R1102" s="7" t="str">
        <f t="array" ref="R1102">IFERROR(INDEX(E$56:E$1054,SMALL(IF(ISNUMBER(P$56:P$1054),ROW(E$1:E$999),""),ROW(J1047))),"")</f>
        <v/>
      </c>
      <c r="S1102" s="7" t="str">
        <f t="array" ref="S1102">IFERROR(INDEX(P$56:P$1054,SMALL(IF(ISNUMBER(P$56:P$1054),ROW(P$1:P$999),""),ROW(P1047))),"")</f>
        <v/>
      </c>
      <c r="T1102" s="7"/>
      <c r="U1102" s="7"/>
      <c r="V1102" s="7"/>
    </row>
    <row r="1103" spans="1:22" x14ac:dyDescent="0.25">
      <c r="A1103" s="6"/>
      <c r="B1103" s="7"/>
      <c r="C1103" s="7"/>
      <c r="D1103" s="7"/>
      <c r="E1103" s="8">
        <f t="shared" si="16"/>
        <v>0</v>
      </c>
      <c r="F1103" s="10"/>
      <c r="G1103" s="10"/>
      <c r="H1103" s="9"/>
      <c r="I1103" s="7"/>
      <c r="J1103" s="7"/>
      <c r="K1103" s="7">
        <f ca="1">IFERROR(IF(COUNTA(J$56:J1103)=J$54,J1103,FORECAST(D1103,OFFSET(M$56:M$254,MATCH(D1103,L$56:L$254,1)-1,0,2), OFFSET(L$56:L$254,MATCH(D1103,L$56:L$254,1)-1,0,2))),"")</f>
        <v>0</v>
      </c>
      <c r="L1103" s="7" t="str">
        <f t="array" ref="L1103">IFERROR(INDEX(D$56:D$1054,SMALL(IF(ISNUMBER(J$56:J$1054),ROW(D$1:D$999),""),ROW(D1048))),"")</f>
        <v/>
      </c>
      <c r="M1103" s="7" t="str">
        <f t="array" ref="M1103">IFERROR(INDEX(J$56:J$1054,SMALL(IF(ISNUMBER(J$56:J$1054),ROW(J$1:J$999),""),ROW(J1048))),"")</f>
        <v/>
      </c>
      <c r="N1103" s="7"/>
      <c r="O1103" s="7"/>
      <c r="P1103" s="7"/>
      <c r="Q1103" s="7">
        <f ca="1">IFERROR(IF(COUNTA(P$56:P1103)=P$54,P1103,FORECAST(D1103,OFFSET(S$56:S$254,MATCH(D1103,R$56:R$254,1)-1,0,2), OFFSET(R$56:R$254,MATCH(D1103,R$56:R$254,1)-1,0,2))),"")</f>
        <v>0</v>
      </c>
      <c r="R1103" s="7" t="str">
        <f t="array" ref="R1103">IFERROR(INDEX(E$56:E$1054,SMALL(IF(ISNUMBER(P$56:P$1054),ROW(E$1:E$999),""),ROW(J1048))),"")</f>
        <v/>
      </c>
      <c r="S1103" s="7" t="str">
        <f t="array" ref="S1103">IFERROR(INDEX(P$56:P$1054,SMALL(IF(ISNUMBER(P$56:P$1054),ROW(P$1:P$999),""),ROW(P1048))),"")</f>
        <v/>
      </c>
      <c r="T1103" s="7"/>
      <c r="U1103" s="7"/>
      <c r="V1103" s="7"/>
    </row>
    <row r="1104" spans="1:22" x14ac:dyDescent="0.25">
      <c r="A1104" s="6"/>
      <c r="B1104" s="7"/>
      <c r="C1104" s="7"/>
      <c r="D1104" s="7"/>
      <c r="E1104" s="8">
        <f t="shared" si="16"/>
        <v>0</v>
      </c>
      <c r="F1104" s="10"/>
      <c r="G1104" s="10"/>
      <c r="H1104" s="9"/>
      <c r="I1104" s="7"/>
      <c r="J1104" s="7"/>
      <c r="K1104" s="7">
        <f ca="1">IFERROR(IF(COUNTA(J$56:J1104)=J$54,J1104,FORECAST(D1104,OFFSET(M$56:M$254,MATCH(D1104,L$56:L$254,1)-1,0,2), OFFSET(L$56:L$254,MATCH(D1104,L$56:L$254,1)-1,0,2))),"")</f>
        <v>0</v>
      </c>
      <c r="L1104" s="7" t="str">
        <f t="array" ref="L1104">IFERROR(INDEX(D$56:D$1054,SMALL(IF(ISNUMBER(J$56:J$1054),ROW(D$1:D$999),""),ROW(D1049))),"")</f>
        <v/>
      </c>
      <c r="M1104" s="7" t="str">
        <f t="array" ref="M1104">IFERROR(INDEX(J$56:J$1054,SMALL(IF(ISNUMBER(J$56:J$1054),ROW(J$1:J$999),""),ROW(J1049))),"")</f>
        <v/>
      </c>
      <c r="N1104" s="7"/>
      <c r="O1104" s="7"/>
      <c r="P1104" s="7"/>
      <c r="Q1104" s="7">
        <f ca="1">IFERROR(IF(COUNTA(P$56:P1104)=P$54,P1104,FORECAST(D1104,OFFSET(S$56:S$254,MATCH(D1104,R$56:R$254,1)-1,0,2), OFFSET(R$56:R$254,MATCH(D1104,R$56:R$254,1)-1,0,2))),"")</f>
        <v>0</v>
      </c>
      <c r="R1104" s="7" t="str">
        <f t="array" ref="R1104">IFERROR(INDEX(E$56:E$1054,SMALL(IF(ISNUMBER(P$56:P$1054),ROW(E$1:E$999),""),ROW(J1049))),"")</f>
        <v/>
      </c>
      <c r="S1104" s="7" t="str">
        <f t="array" ref="S1104">IFERROR(INDEX(P$56:P$1054,SMALL(IF(ISNUMBER(P$56:P$1054),ROW(P$1:P$999),""),ROW(P1049))),"")</f>
        <v/>
      </c>
      <c r="T1104" s="7"/>
      <c r="U1104" s="7"/>
      <c r="V1104" s="7"/>
    </row>
    <row r="1105" spans="1:22" x14ac:dyDescent="0.25">
      <c r="A1105" s="6"/>
      <c r="B1105" s="7"/>
      <c r="C1105" s="7"/>
      <c r="D1105" s="7"/>
      <c r="E1105" s="8">
        <f t="shared" si="16"/>
        <v>0</v>
      </c>
      <c r="F1105" s="10"/>
      <c r="G1105" s="10"/>
      <c r="H1105" s="9"/>
      <c r="I1105" s="7"/>
      <c r="J1105" s="7"/>
      <c r="K1105" s="7">
        <f ca="1">IFERROR(IF(COUNTA(J$56:J1105)=J$54,J1105,FORECAST(D1105,OFFSET(M$56:M$254,MATCH(D1105,L$56:L$254,1)-1,0,2), OFFSET(L$56:L$254,MATCH(D1105,L$56:L$254,1)-1,0,2))),"")</f>
        <v>0</v>
      </c>
      <c r="L1105" s="7" t="str">
        <f t="array" ref="L1105">IFERROR(INDEX(D$56:D$1054,SMALL(IF(ISNUMBER(J$56:J$1054),ROW(D$1:D$999),""),ROW(D1050))),"")</f>
        <v/>
      </c>
      <c r="M1105" s="7" t="str">
        <f t="array" ref="M1105">IFERROR(INDEX(J$56:J$1054,SMALL(IF(ISNUMBER(J$56:J$1054),ROW(J$1:J$999),""),ROW(J1050))),"")</f>
        <v/>
      </c>
      <c r="N1105" s="7"/>
      <c r="O1105" s="7"/>
      <c r="P1105" s="7"/>
      <c r="Q1105" s="7">
        <f ca="1">IFERROR(IF(COUNTA(P$56:P1105)=P$54,P1105,FORECAST(D1105,OFFSET(S$56:S$254,MATCH(D1105,R$56:R$254,1)-1,0,2), OFFSET(R$56:R$254,MATCH(D1105,R$56:R$254,1)-1,0,2))),"")</f>
        <v>0</v>
      </c>
      <c r="R1105" s="7" t="str">
        <f t="array" ref="R1105">IFERROR(INDEX(E$56:E$1054,SMALL(IF(ISNUMBER(P$56:P$1054),ROW(E$1:E$999),""),ROW(J1050))),"")</f>
        <v/>
      </c>
      <c r="S1105" s="7" t="str">
        <f t="array" ref="S1105">IFERROR(INDEX(P$56:P$1054,SMALL(IF(ISNUMBER(P$56:P$1054),ROW(P$1:P$999),""),ROW(P1050))),"")</f>
        <v/>
      </c>
      <c r="T1105" s="7"/>
      <c r="U1105" s="7"/>
      <c r="V1105" s="7"/>
    </row>
    <row r="1106" spans="1:22" x14ac:dyDescent="0.25">
      <c r="A1106" s="6"/>
      <c r="B1106" s="7"/>
      <c r="C1106" s="7"/>
      <c r="D1106" s="7"/>
      <c r="E1106" s="8">
        <f t="shared" si="16"/>
        <v>0</v>
      </c>
      <c r="F1106" s="10"/>
      <c r="G1106" s="10"/>
      <c r="H1106" s="9"/>
      <c r="I1106" s="7"/>
      <c r="J1106" s="7"/>
      <c r="K1106" s="7">
        <f ca="1">IFERROR(IF(COUNTA(J$56:J1106)=J$54,J1106,FORECAST(D1106,OFFSET(M$56:M$254,MATCH(D1106,L$56:L$254,1)-1,0,2), OFFSET(L$56:L$254,MATCH(D1106,L$56:L$254,1)-1,0,2))),"")</f>
        <v>0</v>
      </c>
      <c r="L1106" s="7" t="str">
        <f t="array" ref="L1106">IFERROR(INDEX(D$56:D$1054,SMALL(IF(ISNUMBER(J$56:J$1054),ROW(D$1:D$999),""),ROW(D1051))),"")</f>
        <v/>
      </c>
      <c r="M1106" s="7" t="str">
        <f t="array" ref="M1106">IFERROR(INDEX(J$56:J$1054,SMALL(IF(ISNUMBER(J$56:J$1054),ROW(J$1:J$999),""),ROW(J1051))),"")</f>
        <v/>
      </c>
      <c r="N1106" s="7"/>
      <c r="O1106" s="7"/>
      <c r="P1106" s="7"/>
      <c r="Q1106" s="7">
        <f ca="1">IFERROR(IF(COUNTA(P$56:P1106)=P$54,P1106,FORECAST(D1106,OFFSET(S$56:S$254,MATCH(D1106,R$56:R$254,1)-1,0,2), OFFSET(R$56:R$254,MATCH(D1106,R$56:R$254,1)-1,0,2))),"")</f>
        <v>0</v>
      </c>
      <c r="R1106" s="7" t="str">
        <f t="array" ref="R1106">IFERROR(INDEX(E$56:E$1054,SMALL(IF(ISNUMBER(P$56:P$1054),ROW(E$1:E$999),""),ROW(J1051))),"")</f>
        <v/>
      </c>
      <c r="S1106" s="7" t="str">
        <f t="array" ref="S1106">IFERROR(INDEX(P$56:P$1054,SMALL(IF(ISNUMBER(P$56:P$1054),ROW(P$1:P$999),""),ROW(P1051))),"")</f>
        <v/>
      </c>
      <c r="T1106" s="7"/>
      <c r="U1106" s="7"/>
      <c r="V1106" s="7"/>
    </row>
    <row r="1107" spans="1:22" x14ac:dyDescent="0.25">
      <c r="A1107" s="6"/>
      <c r="B1107" s="7"/>
      <c r="C1107" s="7"/>
      <c r="D1107" s="7"/>
      <c r="E1107" s="8">
        <f t="shared" si="16"/>
        <v>0</v>
      </c>
      <c r="F1107" s="10"/>
      <c r="G1107" s="10"/>
      <c r="H1107" s="9"/>
      <c r="I1107" s="7"/>
      <c r="J1107" s="7"/>
      <c r="K1107" s="7">
        <f ca="1">IFERROR(IF(COUNTA(J$56:J1107)=J$54,J1107,FORECAST(D1107,OFFSET(M$56:M$254,MATCH(D1107,L$56:L$254,1)-1,0,2), OFFSET(L$56:L$254,MATCH(D1107,L$56:L$254,1)-1,0,2))),"")</f>
        <v>0</v>
      </c>
      <c r="L1107" s="7" t="str">
        <f t="array" ref="L1107">IFERROR(INDEX(D$56:D$1054,SMALL(IF(ISNUMBER(J$56:J$1054),ROW(D$1:D$999),""),ROW(D1052))),"")</f>
        <v/>
      </c>
      <c r="M1107" s="7" t="str">
        <f t="array" ref="M1107">IFERROR(INDEX(J$56:J$1054,SMALL(IF(ISNUMBER(J$56:J$1054),ROW(J$1:J$999),""),ROW(J1052))),"")</f>
        <v/>
      </c>
      <c r="N1107" s="7"/>
      <c r="O1107" s="7"/>
      <c r="P1107" s="7"/>
      <c r="Q1107" s="7">
        <f ca="1">IFERROR(IF(COUNTA(P$56:P1107)=P$54,P1107,FORECAST(D1107,OFFSET(S$56:S$254,MATCH(D1107,R$56:R$254,1)-1,0,2), OFFSET(R$56:R$254,MATCH(D1107,R$56:R$254,1)-1,0,2))),"")</f>
        <v>0</v>
      </c>
      <c r="R1107" s="7" t="str">
        <f t="array" ref="R1107">IFERROR(INDEX(E$56:E$1054,SMALL(IF(ISNUMBER(P$56:P$1054),ROW(E$1:E$999),""),ROW(J1052))),"")</f>
        <v/>
      </c>
      <c r="S1107" s="7" t="str">
        <f t="array" ref="S1107">IFERROR(INDEX(P$56:P$1054,SMALL(IF(ISNUMBER(P$56:P$1054),ROW(P$1:P$999),""),ROW(P1052))),"")</f>
        <v/>
      </c>
      <c r="T1107" s="7"/>
      <c r="U1107" s="7"/>
      <c r="V1107" s="7"/>
    </row>
    <row r="1108" spans="1:22" x14ac:dyDescent="0.25">
      <c r="A1108" s="6"/>
      <c r="B1108" s="7"/>
      <c r="C1108" s="7"/>
      <c r="D1108" s="7"/>
      <c r="E1108" s="8">
        <f t="shared" si="16"/>
        <v>0</v>
      </c>
      <c r="F1108" s="10"/>
      <c r="G1108" s="10"/>
      <c r="H1108" s="9"/>
      <c r="I1108" s="7"/>
      <c r="J1108" s="7"/>
      <c r="K1108" s="7">
        <f ca="1">IFERROR(IF(COUNTA(J$56:J1108)=J$54,J1108,FORECAST(D1108,OFFSET(M$56:M$254,MATCH(D1108,L$56:L$254,1)-1,0,2), OFFSET(L$56:L$254,MATCH(D1108,L$56:L$254,1)-1,0,2))),"")</f>
        <v>0</v>
      </c>
      <c r="L1108" s="7" t="str">
        <f t="array" ref="L1108">IFERROR(INDEX(D$56:D$1054,SMALL(IF(ISNUMBER(J$56:J$1054),ROW(D$1:D$999),""),ROW(D1053))),"")</f>
        <v/>
      </c>
      <c r="M1108" s="7" t="str">
        <f t="array" ref="M1108">IFERROR(INDEX(J$56:J$1054,SMALL(IF(ISNUMBER(J$56:J$1054),ROW(J$1:J$999),""),ROW(J1053))),"")</f>
        <v/>
      </c>
      <c r="N1108" s="7"/>
      <c r="O1108" s="7"/>
      <c r="P1108" s="7"/>
      <c r="Q1108" s="7">
        <f ca="1">IFERROR(IF(COUNTA(P$56:P1108)=P$54,P1108,FORECAST(D1108,OFFSET(S$56:S$254,MATCH(D1108,R$56:R$254,1)-1,0,2), OFFSET(R$56:R$254,MATCH(D1108,R$56:R$254,1)-1,0,2))),"")</f>
        <v>0</v>
      </c>
      <c r="R1108" s="7" t="str">
        <f t="array" ref="R1108">IFERROR(INDEX(E$56:E$1054,SMALL(IF(ISNUMBER(P$56:P$1054),ROW(E$1:E$999),""),ROW(J1053))),"")</f>
        <v/>
      </c>
      <c r="S1108" s="7" t="str">
        <f t="array" ref="S1108">IFERROR(INDEX(P$56:P$1054,SMALL(IF(ISNUMBER(P$56:P$1054),ROW(P$1:P$999),""),ROW(P1053))),"")</f>
        <v/>
      </c>
      <c r="T1108" s="7"/>
      <c r="U1108" s="7"/>
      <c r="V1108" s="7"/>
    </row>
    <row r="1109" spans="1:22" x14ac:dyDescent="0.25">
      <c r="A1109" s="6"/>
      <c r="B1109" s="7"/>
      <c r="C1109" s="7"/>
      <c r="D1109" s="7"/>
      <c r="E1109" s="8">
        <f t="shared" si="16"/>
        <v>0</v>
      </c>
      <c r="F1109" s="10"/>
      <c r="G1109" s="10"/>
      <c r="H1109" s="9"/>
      <c r="I1109" s="7"/>
      <c r="J1109" s="7"/>
      <c r="K1109" s="7">
        <f ca="1">IFERROR(IF(COUNTA(J$56:J1109)=J$54,J1109,FORECAST(D1109,OFFSET(M$56:M$254,MATCH(D1109,L$56:L$254,1)-1,0,2), OFFSET(L$56:L$254,MATCH(D1109,L$56:L$254,1)-1,0,2))),"")</f>
        <v>0</v>
      </c>
      <c r="L1109" s="7" t="str">
        <f t="array" ref="L1109">IFERROR(INDEX(D$56:D$1054,SMALL(IF(ISNUMBER(J$56:J$1054),ROW(D$1:D$999),""),ROW(D1054))),"")</f>
        <v/>
      </c>
      <c r="M1109" s="7" t="str">
        <f t="array" ref="M1109">IFERROR(INDEX(J$56:J$1054,SMALL(IF(ISNUMBER(J$56:J$1054),ROW(J$1:J$999),""),ROW(J1054))),"")</f>
        <v/>
      </c>
      <c r="N1109" s="7"/>
      <c r="O1109" s="7"/>
      <c r="P1109" s="7"/>
      <c r="Q1109" s="7">
        <f ca="1">IFERROR(IF(COUNTA(P$56:P1109)=P$54,P1109,FORECAST(D1109,OFFSET(S$56:S$254,MATCH(D1109,R$56:R$254,1)-1,0,2), OFFSET(R$56:R$254,MATCH(D1109,R$56:R$254,1)-1,0,2))),"")</f>
        <v>0</v>
      </c>
      <c r="R1109" s="7" t="str">
        <f t="array" ref="R1109">IFERROR(INDEX(E$56:E$1054,SMALL(IF(ISNUMBER(P$56:P$1054),ROW(E$1:E$999),""),ROW(J1054))),"")</f>
        <v/>
      </c>
      <c r="S1109" s="7" t="str">
        <f t="array" ref="S1109">IFERROR(INDEX(P$56:P$1054,SMALL(IF(ISNUMBER(P$56:P$1054),ROW(P$1:P$999),""),ROW(P1054))),"")</f>
        <v/>
      </c>
      <c r="T1109" s="7"/>
      <c r="U1109" s="7"/>
      <c r="V1109" s="7"/>
    </row>
    <row r="1110" spans="1:22" x14ac:dyDescent="0.25">
      <c r="A1110" s="6"/>
      <c r="B1110" s="7"/>
      <c r="C1110" s="7"/>
      <c r="D1110" s="7"/>
      <c r="E1110" s="8">
        <f t="shared" si="16"/>
        <v>0</v>
      </c>
      <c r="F1110" s="10"/>
      <c r="G1110" s="10"/>
      <c r="H1110" s="9"/>
      <c r="I1110" s="7"/>
      <c r="J1110" s="7"/>
      <c r="K1110" s="7">
        <f ca="1">IFERROR(IF(COUNTA(J$56:J1110)=J$54,J1110,FORECAST(D1110,OFFSET(M$56:M$254,MATCH(D1110,L$56:L$254,1)-1,0,2), OFFSET(L$56:L$254,MATCH(D1110,L$56:L$254,1)-1,0,2))),"")</f>
        <v>0</v>
      </c>
      <c r="L1110" s="7" t="str">
        <f t="array" ref="L1110">IFERROR(INDEX(D$56:D$1054,SMALL(IF(ISNUMBER(J$56:J$1054),ROW(D$1:D$999),""),ROW(D1055))),"")</f>
        <v/>
      </c>
      <c r="M1110" s="7" t="str">
        <f t="array" ref="M1110">IFERROR(INDEX(J$56:J$1054,SMALL(IF(ISNUMBER(J$56:J$1054),ROW(J$1:J$999),""),ROW(J1055))),"")</f>
        <v/>
      </c>
      <c r="N1110" s="7"/>
      <c r="O1110" s="7"/>
      <c r="P1110" s="7"/>
      <c r="Q1110" s="7">
        <f ca="1">IFERROR(IF(COUNTA(P$56:P1110)=P$54,P1110,FORECAST(D1110,OFFSET(S$56:S$254,MATCH(D1110,R$56:R$254,1)-1,0,2), OFFSET(R$56:R$254,MATCH(D1110,R$56:R$254,1)-1,0,2))),"")</f>
        <v>0</v>
      </c>
      <c r="R1110" s="7" t="str">
        <f t="array" ref="R1110">IFERROR(INDEX(E$56:E$1054,SMALL(IF(ISNUMBER(P$56:P$1054),ROW(E$1:E$999),""),ROW(J1055))),"")</f>
        <v/>
      </c>
      <c r="S1110" s="7" t="str">
        <f t="array" ref="S1110">IFERROR(INDEX(P$56:P$1054,SMALL(IF(ISNUMBER(P$56:P$1054),ROW(P$1:P$999),""),ROW(P1055))),"")</f>
        <v/>
      </c>
      <c r="T1110" s="7"/>
      <c r="U1110" s="7"/>
      <c r="V1110" s="7"/>
    </row>
    <row r="1111" spans="1:22" x14ac:dyDescent="0.25">
      <c r="A1111" s="6"/>
      <c r="B1111" s="7"/>
      <c r="C1111" s="7"/>
      <c r="D1111" s="7"/>
      <c r="E1111" s="8">
        <f t="shared" si="16"/>
        <v>0</v>
      </c>
      <c r="F1111" s="10"/>
      <c r="G1111" s="10"/>
      <c r="H1111" s="9"/>
      <c r="I1111" s="7"/>
      <c r="J1111" s="7"/>
      <c r="K1111" s="7">
        <f ca="1">IFERROR(IF(COUNTA(J$56:J1111)=J$54,J1111,FORECAST(D1111,OFFSET(M$56:M$254,MATCH(D1111,L$56:L$254,1)-1,0,2), OFFSET(L$56:L$254,MATCH(D1111,L$56:L$254,1)-1,0,2))),"")</f>
        <v>0</v>
      </c>
      <c r="L1111" s="7" t="str">
        <f t="array" ref="L1111">IFERROR(INDEX(D$56:D$1054,SMALL(IF(ISNUMBER(J$56:J$1054),ROW(D$1:D$999),""),ROW(D1056))),"")</f>
        <v/>
      </c>
      <c r="M1111" s="7" t="str">
        <f t="array" ref="M1111">IFERROR(INDEX(J$56:J$1054,SMALL(IF(ISNUMBER(J$56:J$1054),ROW(J$1:J$999),""),ROW(J1056))),"")</f>
        <v/>
      </c>
      <c r="N1111" s="7"/>
      <c r="O1111" s="7"/>
      <c r="P1111" s="7"/>
      <c r="Q1111" s="7">
        <f ca="1">IFERROR(IF(COUNTA(P$56:P1111)=P$54,P1111,FORECAST(D1111,OFFSET(S$56:S$254,MATCH(D1111,R$56:R$254,1)-1,0,2), OFFSET(R$56:R$254,MATCH(D1111,R$56:R$254,1)-1,0,2))),"")</f>
        <v>0</v>
      </c>
      <c r="R1111" s="7" t="str">
        <f t="array" ref="R1111">IFERROR(INDEX(E$56:E$1054,SMALL(IF(ISNUMBER(P$56:P$1054),ROW(E$1:E$999),""),ROW(J1056))),"")</f>
        <v/>
      </c>
      <c r="S1111" s="7" t="str">
        <f t="array" ref="S1111">IFERROR(INDEX(P$56:P$1054,SMALL(IF(ISNUMBER(P$56:P$1054),ROW(P$1:P$999),""),ROW(P1056))),"")</f>
        <v/>
      </c>
      <c r="T1111" s="7"/>
      <c r="U1111" s="7"/>
      <c r="V1111" s="7"/>
    </row>
    <row r="1112" spans="1:22" x14ac:dyDescent="0.25">
      <c r="A1112" s="6"/>
      <c r="B1112" s="7"/>
      <c r="C1112" s="7"/>
      <c r="D1112" s="7"/>
      <c r="E1112" s="8">
        <f t="shared" si="16"/>
        <v>0</v>
      </c>
      <c r="F1112" s="10"/>
      <c r="G1112" s="10"/>
      <c r="H1112" s="9"/>
      <c r="I1112" s="7"/>
      <c r="J1112" s="7"/>
      <c r="K1112" s="7">
        <f ca="1">IFERROR(IF(COUNTA(J$56:J1112)=J$54,J1112,FORECAST(D1112,OFFSET(M$56:M$254,MATCH(D1112,L$56:L$254,1)-1,0,2), OFFSET(L$56:L$254,MATCH(D1112,L$56:L$254,1)-1,0,2))),"")</f>
        <v>0</v>
      </c>
      <c r="L1112" s="7" t="str">
        <f t="array" ref="L1112">IFERROR(INDEX(D$56:D$1054,SMALL(IF(ISNUMBER(J$56:J$1054),ROW(D$1:D$999),""),ROW(D1057))),"")</f>
        <v/>
      </c>
      <c r="M1112" s="7" t="str">
        <f t="array" ref="M1112">IFERROR(INDEX(J$56:J$1054,SMALL(IF(ISNUMBER(J$56:J$1054),ROW(J$1:J$999),""),ROW(J1057))),"")</f>
        <v/>
      </c>
      <c r="N1112" s="7"/>
      <c r="O1112" s="7"/>
      <c r="P1112" s="7"/>
      <c r="Q1112" s="7">
        <f ca="1">IFERROR(IF(COUNTA(P$56:P1112)=P$54,P1112,FORECAST(D1112,OFFSET(S$56:S$254,MATCH(D1112,R$56:R$254,1)-1,0,2), OFFSET(R$56:R$254,MATCH(D1112,R$56:R$254,1)-1,0,2))),"")</f>
        <v>0</v>
      </c>
      <c r="R1112" s="7" t="str">
        <f t="array" ref="R1112">IFERROR(INDEX(E$56:E$1054,SMALL(IF(ISNUMBER(P$56:P$1054),ROW(E$1:E$999),""),ROW(J1057))),"")</f>
        <v/>
      </c>
      <c r="S1112" s="7" t="str">
        <f t="array" ref="S1112">IFERROR(INDEX(P$56:P$1054,SMALL(IF(ISNUMBER(P$56:P$1054),ROW(P$1:P$999),""),ROW(P1057))),"")</f>
        <v/>
      </c>
      <c r="T1112" s="7"/>
      <c r="U1112" s="7"/>
      <c r="V1112" s="7"/>
    </row>
    <row r="1113" spans="1:22" x14ac:dyDescent="0.25">
      <c r="A1113" s="6"/>
      <c r="B1113" s="7"/>
      <c r="C1113" s="7"/>
      <c r="D1113" s="7"/>
      <c r="E1113" s="8">
        <f t="shared" si="16"/>
        <v>0</v>
      </c>
      <c r="F1113" s="10"/>
      <c r="G1113" s="10"/>
      <c r="H1113" s="9"/>
      <c r="I1113" s="7"/>
      <c r="J1113" s="7"/>
      <c r="K1113" s="7">
        <f ca="1">IFERROR(IF(COUNTA(J$56:J1113)=J$54,J1113,FORECAST(D1113,OFFSET(M$56:M$254,MATCH(D1113,L$56:L$254,1)-1,0,2), OFFSET(L$56:L$254,MATCH(D1113,L$56:L$254,1)-1,0,2))),"")</f>
        <v>0</v>
      </c>
      <c r="L1113" s="7" t="str">
        <f t="array" ref="L1113">IFERROR(INDEX(D$56:D$1054,SMALL(IF(ISNUMBER(J$56:J$1054),ROW(D$1:D$999),""),ROW(D1058))),"")</f>
        <v/>
      </c>
      <c r="M1113" s="7" t="str">
        <f t="array" ref="M1113">IFERROR(INDEX(J$56:J$1054,SMALL(IF(ISNUMBER(J$56:J$1054),ROW(J$1:J$999),""),ROW(J1058))),"")</f>
        <v/>
      </c>
      <c r="N1113" s="7"/>
      <c r="O1113" s="7"/>
      <c r="P1113" s="7"/>
      <c r="Q1113" s="7">
        <f ca="1">IFERROR(IF(COUNTA(P$56:P1113)=P$54,P1113,FORECAST(D1113,OFFSET(S$56:S$254,MATCH(D1113,R$56:R$254,1)-1,0,2), OFFSET(R$56:R$254,MATCH(D1113,R$56:R$254,1)-1,0,2))),"")</f>
        <v>0</v>
      </c>
      <c r="R1113" s="7" t="str">
        <f t="array" ref="R1113">IFERROR(INDEX(E$56:E$1054,SMALL(IF(ISNUMBER(P$56:P$1054),ROW(E$1:E$999),""),ROW(J1058))),"")</f>
        <v/>
      </c>
      <c r="S1113" s="7" t="str">
        <f t="array" ref="S1113">IFERROR(INDEX(P$56:P$1054,SMALL(IF(ISNUMBER(P$56:P$1054),ROW(P$1:P$999),""),ROW(P1058))),"")</f>
        <v/>
      </c>
      <c r="T1113" s="7"/>
      <c r="U1113" s="7"/>
      <c r="V1113" s="7"/>
    </row>
    <row r="1114" spans="1:22" x14ac:dyDescent="0.25">
      <c r="A1114" s="6"/>
      <c r="B1114" s="7"/>
      <c r="C1114" s="7"/>
      <c r="D1114" s="7"/>
      <c r="E1114" s="8">
        <f t="shared" si="16"/>
        <v>0</v>
      </c>
      <c r="F1114" s="10"/>
      <c r="G1114" s="10"/>
      <c r="H1114" s="9"/>
      <c r="I1114" s="7"/>
      <c r="J1114" s="7"/>
      <c r="K1114" s="7">
        <f ca="1">IFERROR(IF(COUNTA(J$56:J1114)=J$54,J1114,FORECAST(D1114,OFFSET(M$56:M$254,MATCH(D1114,L$56:L$254,1)-1,0,2), OFFSET(L$56:L$254,MATCH(D1114,L$56:L$254,1)-1,0,2))),"")</f>
        <v>0</v>
      </c>
      <c r="L1114" s="7" t="str">
        <f t="array" ref="L1114">IFERROR(INDEX(D$56:D$1054,SMALL(IF(ISNUMBER(J$56:J$1054),ROW(D$1:D$999),""),ROW(D1059))),"")</f>
        <v/>
      </c>
      <c r="M1114" s="7" t="str">
        <f t="array" ref="M1114">IFERROR(INDEX(J$56:J$1054,SMALL(IF(ISNUMBER(J$56:J$1054),ROW(J$1:J$999),""),ROW(J1059))),"")</f>
        <v/>
      </c>
      <c r="N1114" s="7"/>
      <c r="O1114" s="7"/>
      <c r="P1114" s="7"/>
      <c r="Q1114" s="7">
        <f ca="1">IFERROR(IF(COUNTA(P$56:P1114)=P$54,P1114,FORECAST(D1114,OFFSET(S$56:S$254,MATCH(D1114,R$56:R$254,1)-1,0,2), OFFSET(R$56:R$254,MATCH(D1114,R$56:R$254,1)-1,0,2))),"")</f>
        <v>0</v>
      </c>
      <c r="R1114" s="7" t="str">
        <f t="array" ref="R1114">IFERROR(INDEX(E$56:E$1054,SMALL(IF(ISNUMBER(P$56:P$1054),ROW(E$1:E$999),""),ROW(J1059))),"")</f>
        <v/>
      </c>
      <c r="S1114" s="7" t="str">
        <f t="array" ref="S1114">IFERROR(INDEX(P$56:P$1054,SMALL(IF(ISNUMBER(P$56:P$1054),ROW(P$1:P$999),""),ROW(P1059))),"")</f>
        <v/>
      </c>
      <c r="T1114" s="7"/>
      <c r="U1114" s="7"/>
      <c r="V1114" s="7"/>
    </row>
    <row r="1115" spans="1:22" x14ac:dyDescent="0.25">
      <c r="A1115" s="6"/>
      <c r="B1115" s="7"/>
      <c r="C1115" s="7"/>
      <c r="D1115" s="7"/>
      <c r="E1115" s="8">
        <f t="shared" si="16"/>
        <v>0</v>
      </c>
      <c r="F1115" s="10"/>
      <c r="G1115" s="10"/>
      <c r="H1115" s="9"/>
      <c r="I1115" s="7"/>
      <c r="J1115" s="7"/>
      <c r="K1115" s="7">
        <f ca="1">IFERROR(IF(COUNTA(J$56:J1115)=J$54,J1115,FORECAST(D1115,OFFSET(M$56:M$254,MATCH(D1115,L$56:L$254,1)-1,0,2), OFFSET(L$56:L$254,MATCH(D1115,L$56:L$254,1)-1,0,2))),"")</f>
        <v>0</v>
      </c>
      <c r="L1115" s="7" t="str">
        <f t="array" ref="L1115">IFERROR(INDEX(D$56:D$1054,SMALL(IF(ISNUMBER(J$56:J$1054),ROW(D$1:D$999),""),ROW(D1060))),"")</f>
        <v/>
      </c>
      <c r="M1115" s="7" t="str">
        <f t="array" ref="M1115">IFERROR(INDEX(J$56:J$1054,SMALL(IF(ISNUMBER(J$56:J$1054),ROW(J$1:J$999),""),ROW(J1060))),"")</f>
        <v/>
      </c>
      <c r="N1115" s="7"/>
      <c r="O1115" s="7"/>
      <c r="P1115" s="7"/>
      <c r="Q1115" s="7">
        <f ca="1">IFERROR(IF(COUNTA(P$56:P1115)=P$54,P1115,FORECAST(D1115,OFFSET(S$56:S$254,MATCH(D1115,R$56:R$254,1)-1,0,2), OFFSET(R$56:R$254,MATCH(D1115,R$56:R$254,1)-1,0,2))),"")</f>
        <v>0</v>
      </c>
      <c r="R1115" s="7" t="str">
        <f t="array" ref="R1115">IFERROR(INDEX(E$56:E$1054,SMALL(IF(ISNUMBER(P$56:P$1054),ROW(E$1:E$999),""),ROW(J1060))),"")</f>
        <v/>
      </c>
      <c r="S1115" s="7" t="str">
        <f t="array" ref="S1115">IFERROR(INDEX(P$56:P$1054,SMALL(IF(ISNUMBER(P$56:P$1054),ROW(P$1:P$999),""),ROW(P1060))),"")</f>
        <v/>
      </c>
      <c r="T1115" s="7"/>
      <c r="U1115" s="7"/>
      <c r="V1115" s="7"/>
    </row>
    <row r="1116" spans="1:22" x14ac:dyDescent="0.25">
      <c r="A1116" s="6"/>
      <c r="B1116" s="7"/>
      <c r="C1116" s="7"/>
      <c r="D1116" s="7"/>
      <c r="E1116" s="8">
        <f t="shared" si="16"/>
        <v>0</v>
      </c>
      <c r="F1116" s="10"/>
      <c r="G1116" s="10"/>
      <c r="H1116" s="9"/>
      <c r="I1116" s="7"/>
      <c r="J1116" s="7"/>
      <c r="K1116" s="7">
        <f ca="1">IFERROR(IF(COUNTA(J$56:J1116)=J$54,J1116,FORECAST(D1116,OFFSET(M$56:M$254,MATCH(D1116,L$56:L$254,1)-1,0,2), OFFSET(L$56:L$254,MATCH(D1116,L$56:L$254,1)-1,0,2))),"")</f>
        <v>0</v>
      </c>
      <c r="L1116" s="7" t="str">
        <f t="array" ref="L1116">IFERROR(INDEX(D$56:D$1054,SMALL(IF(ISNUMBER(J$56:J$1054),ROW(D$1:D$999),""),ROW(D1061))),"")</f>
        <v/>
      </c>
      <c r="M1116" s="7" t="str">
        <f t="array" ref="M1116">IFERROR(INDEX(J$56:J$1054,SMALL(IF(ISNUMBER(J$56:J$1054),ROW(J$1:J$999),""),ROW(J1061))),"")</f>
        <v/>
      </c>
      <c r="N1116" s="7"/>
      <c r="O1116" s="7"/>
      <c r="P1116" s="7"/>
      <c r="Q1116" s="7">
        <f ca="1">IFERROR(IF(COUNTA(P$56:P1116)=P$54,P1116,FORECAST(D1116,OFFSET(S$56:S$254,MATCH(D1116,R$56:R$254,1)-1,0,2), OFFSET(R$56:R$254,MATCH(D1116,R$56:R$254,1)-1,0,2))),"")</f>
        <v>0</v>
      </c>
      <c r="R1116" s="7" t="str">
        <f t="array" ref="R1116">IFERROR(INDEX(E$56:E$1054,SMALL(IF(ISNUMBER(P$56:P$1054),ROW(E$1:E$999),""),ROW(J1061))),"")</f>
        <v/>
      </c>
      <c r="S1116" s="7" t="str">
        <f t="array" ref="S1116">IFERROR(INDEX(P$56:P$1054,SMALL(IF(ISNUMBER(P$56:P$1054),ROW(P$1:P$999),""),ROW(P1061))),"")</f>
        <v/>
      </c>
      <c r="T1116" s="7"/>
      <c r="U1116" s="7"/>
      <c r="V1116" s="7"/>
    </row>
    <row r="1117" spans="1:22" x14ac:dyDescent="0.25">
      <c r="A1117" s="6"/>
      <c r="B1117" s="7"/>
      <c r="C1117" s="7"/>
      <c r="D1117" s="7"/>
      <c r="E1117" s="8">
        <f t="shared" si="16"/>
        <v>0</v>
      </c>
      <c r="F1117" s="10"/>
      <c r="G1117" s="10"/>
      <c r="H1117" s="9"/>
      <c r="I1117" s="7"/>
      <c r="J1117" s="7"/>
      <c r="K1117" s="7">
        <f ca="1">IFERROR(IF(COUNTA(J$56:J1117)=J$54,J1117,FORECAST(D1117,OFFSET(M$56:M$254,MATCH(D1117,L$56:L$254,1)-1,0,2), OFFSET(L$56:L$254,MATCH(D1117,L$56:L$254,1)-1,0,2))),"")</f>
        <v>0</v>
      </c>
      <c r="L1117" s="7" t="str">
        <f t="array" ref="L1117">IFERROR(INDEX(D$56:D$1054,SMALL(IF(ISNUMBER(J$56:J$1054),ROW(D$1:D$999),""),ROW(D1062))),"")</f>
        <v/>
      </c>
      <c r="M1117" s="7" t="str">
        <f t="array" ref="M1117">IFERROR(INDEX(J$56:J$1054,SMALL(IF(ISNUMBER(J$56:J$1054),ROW(J$1:J$999),""),ROW(J1062))),"")</f>
        <v/>
      </c>
      <c r="N1117" s="7"/>
      <c r="O1117" s="7"/>
      <c r="P1117" s="7"/>
      <c r="Q1117" s="7">
        <f ca="1">IFERROR(IF(COUNTA(P$56:P1117)=P$54,P1117,FORECAST(D1117,OFFSET(S$56:S$254,MATCH(D1117,R$56:R$254,1)-1,0,2), OFFSET(R$56:R$254,MATCH(D1117,R$56:R$254,1)-1,0,2))),"")</f>
        <v>0</v>
      </c>
      <c r="R1117" s="7" t="str">
        <f t="array" ref="R1117">IFERROR(INDEX(E$56:E$1054,SMALL(IF(ISNUMBER(P$56:P$1054),ROW(E$1:E$999),""),ROW(J1062))),"")</f>
        <v/>
      </c>
      <c r="S1117" s="7" t="str">
        <f t="array" ref="S1117">IFERROR(INDEX(P$56:P$1054,SMALL(IF(ISNUMBER(P$56:P$1054),ROW(P$1:P$999),""),ROW(P1062))),"")</f>
        <v/>
      </c>
      <c r="T1117" s="7"/>
      <c r="U1117" s="7"/>
      <c r="V1117" s="7"/>
    </row>
    <row r="1118" spans="1:22" x14ac:dyDescent="0.25">
      <c r="A1118" s="6"/>
      <c r="B1118" s="7"/>
      <c r="C1118" s="7"/>
      <c r="D1118" s="7"/>
      <c r="E1118" s="8">
        <f t="shared" si="16"/>
        <v>0</v>
      </c>
      <c r="F1118" s="10"/>
      <c r="G1118" s="10"/>
      <c r="H1118" s="9"/>
      <c r="I1118" s="7"/>
      <c r="J1118" s="7"/>
      <c r="K1118" s="7">
        <f ca="1">IFERROR(IF(COUNTA(J$56:J1118)=J$54,J1118,FORECAST(D1118,OFFSET(M$56:M$254,MATCH(D1118,L$56:L$254,1)-1,0,2), OFFSET(L$56:L$254,MATCH(D1118,L$56:L$254,1)-1,0,2))),"")</f>
        <v>0</v>
      </c>
      <c r="L1118" s="7" t="str">
        <f t="array" ref="L1118">IFERROR(INDEX(D$56:D$1054,SMALL(IF(ISNUMBER(J$56:J$1054),ROW(D$1:D$999),""),ROW(D1063))),"")</f>
        <v/>
      </c>
      <c r="M1118" s="7" t="str">
        <f t="array" ref="M1118">IFERROR(INDEX(J$56:J$1054,SMALL(IF(ISNUMBER(J$56:J$1054),ROW(J$1:J$999),""),ROW(J1063))),"")</f>
        <v/>
      </c>
      <c r="N1118" s="7"/>
      <c r="O1118" s="7"/>
      <c r="P1118" s="7"/>
      <c r="Q1118" s="7">
        <f ca="1">IFERROR(IF(COUNTA(P$56:P1118)=P$54,P1118,FORECAST(D1118,OFFSET(S$56:S$254,MATCH(D1118,R$56:R$254,1)-1,0,2), OFFSET(R$56:R$254,MATCH(D1118,R$56:R$254,1)-1,0,2))),"")</f>
        <v>0</v>
      </c>
      <c r="R1118" s="7" t="str">
        <f t="array" ref="R1118">IFERROR(INDEX(E$56:E$1054,SMALL(IF(ISNUMBER(P$56:P$1054),ROW(E$1:E$999),""),ROW(J1063))),"")</f>
        <v/>
      </c>
      <c r="S1118" s="7" t="str">
        <f t="array" ref="S1118">IFERROR(INDEX(P$56:P$1054,SMALL(IF(ISNUMBER(P$56:P$1054),ROW(P$1:P$999),""),ROW(P1063))),"")</f>
        <v/>
      </c>
      <c r="T1118" s="7"/>
      <c r="U1118" s="7"/>
      <c r="V1118" s="7"/>
    </row>
    <row r="1119" spans="1:22" x14ac:dyDescent="0.25">
      <c r="A1119" s="6"/>
      <c r="B1119" s="7"/>
      <c r="C1119" s="7"/>
      <c r="D1119" s="7"/>
      <c r="E1119" s="8">
        <f t="shared" si="16"/>
        <v>0</v>
      </c>
      <c r="F1119" s="10"/>
      <c r="G1119" s="10"/>
      <c r="H1119" s="9"/>
      <c r="I1119" s="7"/>
      <c r="J1119" s="7"/>
      <c r="K1119" s="7">
        <f ca="1">IFERROR(IF(COUNTA(J$56:J1119)=J$54,J1119,FORECAST(D1119,OFFSET(M$56:M$254,MATCH(D1119,L$56:L$254,1)-1,0,2), OFFSET(L$56:L$254,MATCH(D1119,L$56:L$254,1)-1,0,2))),"")</f>
        <v>0</v>
      </c>
      <c r="L1119" s="7" t="str">
        <f t="array" ref="L1119">IFERROR(INDEX(D$56:D$1054,SMALL(IF(ISNUMBER(J$56:J$1054),ROW(D$1:D$999),""),ROW(D1064))),"")</f>
        <v/>
      </c>
      <c r="M1119" s="7" t="str">
        <f t="array" ref="M1119">IFERROR(INDEX(J$56:J$1054,SMALL(IF(ISNUMBER(J$56:J$1054),ROW(J$1:J$999),""),ROW(J1064))),"")</f>
        <v/>
      </c>
      <c r="N1119" s="7"/>
      <c r="O1119" s="7"/>
      <c r="P1119" s="7"/>
      <c r="Q1119" s="7">
        <f ca="1">IFERROR(IF(COUNTA(P$56:P1119)=P$54,P1119,FORECAST(D1119,OFFSET(S$56:S$254,MATCH(D1119,R$56:R$254,1)-1,0,2), OFFSET(R$56:R$254,MATCH(D1119,R$56:R$254,1)-1,0,2))),"")</f>
        <v>0</v>
      </c>
      <c r="R1119" s="7" t="str">
        <f t="array" ref="R1119">IFERROR(INDEX(E$56:E$1054,SMALL(IF(ISNUMBER(P$56:P$1054),ROW(E$1:E$999),""),ROW(J1064))),"")</f>
        <v/>
      </c>
      <c r="S1119" s="7" t="str">
        <f t="array" ref="S1119">IFERROR(INDEX(P$56:P$1054,SMALL(IF(ISNUMBER(P$56:P$1054),ROW(P$1:P$999),""),ROW(P1064))),"")</f>
        <v/>
      </c>
      <c r="T1119" s="7"/>
      <c r="U1119" s="7"/>
      <c r="V1119" s="7"/>
    </row>
    <row r="1120" spans="1:22" x14ac:dyDescent="0.25">
      <c r="A1120" s="6"/>
      <c r="B1120" s="7"/>
      <c r="C1120" s="7"/>
      <c r="D1120" s="7"/>
      <c r="E1120" s="8">
        <f t="shared" si="16"/>
        <v>0</v>
      </c>
      <c r="F1120" s="10"/>
      <c r="G1120" s="10"/>
      <c r="H1120" s="9"/>
      <c r="I1120" s="7"/>
      <c r="J1120" s="7"/>
      <c r="K1120" s="7">
        <f ca="1">IFERROR(IF(COUNTA(J$56:J1120)=J$54,J1120,FORECAST(D1120,OFFSET(M$56:M$254,MATCH(D1120,L$56:L$254,1)-1,0,2), OFFSET(L$56:L$254,MATCH(D1120,L$56:L$254,1)-1,0,2))),"")</f>
        <v>0</v>
      </c>
      <c r="L1120" s="7" t="str">
        <f t="array" ref="L1120">IFERROR(INDEX(D$56:D$1054,SMALL(IF(ISNUMBER(J$56:J$1054),ROW(D$1:D$999),""),ROW(D1065))),"")</f>
        <v/>
      </c>
      <c r="M1120" s="7" t="str">
        <f t="array" ref="M1120">IFERROR(INDEX(J$56:J$1054,SMALL(IF(ISNUMBER(J$56:J$1054),ROW(J$1:J$999),""),ROW(J1065))),"")</f>
        <v/>
      </c>
      <c r="N1120" s="7"/>
      <c r="O1120" s="7"/>
      <c r="P1120" s="7"/>
      <c r="Q1120" s="7">
        <f ca="1">IFERROR(IF(COUNTA(P$56:P1120)=P$54,P1120,FORECAST(D1120,OFFSET(S$56:S$254,MATCH(D1120,R$56:R$254,1)-1,0,2), OFFSET(R$56:R$254,MATCH(D1120,R$56:R$254,1)-1,0,2))),"")</f>
        <v>0</v>
      </c>
      <c r="R1120" s="7" t="str">
        <f t="array" ref="R1120">IFERROR(INDEX(E$56:E$1054,SMALL(IF(ISNUMBER(P$56:P$1054),ROW(E$1:E$999),""),ROW(J1065))),"")</f>
        <v/>
      </c>
      <c r="S1120" s="7" t="str">
        <f t="array" ref="S1120">IFERROR(INDEX(P$56:P$1054,SMALL(IF(ISNUMBER(P$56:P$1054),ROW(P$1:P$999),""),ROW(P1065))),"")</f>
        <v/>
      </c>
      <c r="T1120" s="7"/>
      <c r="U1120" s="7"/>
      <c r="V1120" s="7"/>
    </row>
    <row r="1121" spans="1:22" x14ac:dyDescent="0.25">
      <c r="A1121" s="6"/>
      <c r="B1121" s="7"/>
      <c r="C1121" s="7"/>
      <c r="D1121" s="7"/>
      <c r="E1121" s="8">
        <f t="shared" si="16"/>
        <v>0</v>
      </c>
      <c r="F1121" s="10"/>
      <c r="G1121" s="10"/>
      <c r="H1121" s="9"/>
      <c r="I1121" s="7"/>
      <c r="J1121" s="7"/>
      <c r="K1121" s="7">
        <f ca="1">IFERROR(IF(COUNTA(J$56:J1121)=J$54,J1121,FORECAST(D1121,OFFSET(M$56:M$254,MATCH(D1121,L$56:L$254,1)-1,0,2), OFFSET(L$56:L$254,MATCH(D1121,L$56:L$254,1)-1,0,2))),"")</f>
        <v>0</v>
      </c>
      <c r="L1121" s="7" t="str">
        <f t="array" ref="L1121">IFERROR(INDEX(D$56:D$1054,SMALL(IF(ISNUMBER(J$56:J$1054),ROW(D$1:D$999),""),ROW(D1066))),"")</f>
        <v/>
      </c>
      <c r="M1121" s="7" t="str">
        <f t="array" ref="M1121">IFERROR(INDEX(J$56:J$1054,SMALL(IF(ISNUMBER(J$56:J$1054),ROW(J$1:J$999),""),ROW(J1066))),"")</f>
        <v/>
      </c>
      <c r="N1121" s="7"/>
      <c r="O1121" s="7"/>
      <c r="P1121" s="7"/>
      <c r="Q1121" s="7">
        <f ca="1">IFERROR(IF(COUNTA(P$56:P1121)=P$54,P1121,FORECAST(D1121,OFFSET(S$56:S$254,MATCH(D1121,R$56:R$254,1)-1,0,2), OFFSET(R$56:R$254,MATCH(D1121,R$56:R$254,1)-1,0,2))),"")</f>
        <v>0</v>
      </c>
      <c r="R1121" s="7" t="str">
        <f t="array" ref="R1121">IFERROR(INDEX(E$56:E$1054,SMALL(IF(ISNUMBER(P$56:P$1054),ROW(E$1:E$999),""),ROW(J1066))),"")</f>
        <v/>
      </c>
      <c r="S1121" s="7" t="str">
        <f t="array" ref="S1121">IFERROR(INDEX(P$56:P$1054,SMALL(IF(ISNUMBER(P$56:P$1054),ROW(P$1:P$999),""),ROW(P1066))),"")</f>
        <v/>
      </c>
      <c r="T1121" s="7"/>
      <c r="U1121" s="7"/>
      <c r="V1121" s="7"/>
    </row>
    <row r="1122" spans="1:22" x14ac:dyDescent="0.25">
      <c r="A1122" s="6"/>
      <c r="B1122" s="7"/>
      <c r="C1122" s="7"/>
      <c r="D1122" s="7"/>
      <c r="E1122" s="8">
        <f t="shared" si="16"/>
        <v>0</v>
      </c>
      <c r="F1122" s="10"/>
      <c r="G1122" s="10"/>
      <c r="H1122" s="9"/>
      <c r="I1122" s="7"/>
      <c r="J1122" s="7"/>
      <c r="K1122" s="7">
        <f ca="1">IFERROR(IF(COUNTA(J$56:J1122)=J$54,J1122,FORECAST(D1122,OFFSET(M$56:M$254,MATCH(D1122,L$56:L$254,1)-1,0,2), OFFSET(L$56:L$254,MATCH(D1122,L$56:L$254,1)-1,0,2))),"")</f>
        <v>0</v>
      </c>
      <c r="L1122" s="7" t="str">
        <f t="array" ref="L1122">IFERROR(INDEX(D$56:D$1054,SMALL(IF(ISNUMBER(J$56:J$1054),ROW(D$1:D$999),""),ROW(D1067))),"")</f>
        <v/>
      </c>
      <c r="M1122" s="7" t="str">
        <f t="array" ref="M1122">IFERROR(INDEX(J$56:J$1054,SMALL(IF(ISNUMBER(J$56:J$1054),ROW(J$1:J$999),""),ROW(J1067))),"")</f>
        <v/>
      </c>
      <c r="N1122" s="7"/>
      <c r="O1122" s="7"/>
      <c r="P1122" s="7"/>
      <c r="Q1122" s="7">
        <f ca="1">IFERROR(IF(COUNTA(P$56:P1122)=P$54,P1122,FORECAST(D1122,OFFSET(S$56:S$254,MATCH(D1122,R$56:R$254,1)-1,0,2), OFFSET(R$56:R$254,MATCH(D1122,R$56:R$254,1)-1,0,2))),"")</f>
        <v>0</v>
      </c>
      <c r="R1122" s="7" t="str">
        <f t="array" ref="R1122">IFERROR(INDEX(E$56:E$1054,SMALL(IF(ISNUMBER(P$56:P$1054),ROW(E$1:E$999),""),ROW(J1067))),"")</f>
        <v/>
      </c>
      <c r="S1122" s="7" t="str">
        <f t="array" ref="S1122">IFERROR(INDEX(P$56:P$1054,SMALL(IF(ISNUMBER(P$56:P$1054),ROW(P$1:P$999),""),ROW(P1067))),"")</f>
        <v/>
      </c>
      <c r="T1122" s="7"/>
      <c r="U1122" s="7"/>
      <c r="V1122" s="7"/>
    </row>
    <row r="1123" spans="1:22" x14ac:dyDescent="0.25">
      <c r="A1123" s="6"/>
      <c r="B1123" s="7"/>
      <c r="C1123" s="7"/>
      <c r="D1123" s="7"/>
      <c r="E1123" s="8">
        <f t="shared" si="16"/>
        <v>0</v>
      </c>
      <c r="F1123" s="10"/>
      <c r="G1123" s="10"/>
      <c r="H1123" s="9"/>
      <c r="I1123" s="7"/>
      <c r="J1123" s="7"/>
      <c r="K1123" s="7">
        <f ca="1">IFERROR(IF(COUNTA(J$56:J1123)=J$54,J1123,FORECAST(D1123,OFFSET(M$56:M$254,MATCH(D1123,L$56:L$254,1)-1,0,2), OFFSET(L$56:L$254,MATCH(D1123,L$56:L$254,1)-1,0,2))),"")</f>
        <v>0</v>
      </c>
      <c r="L1123" s="7" t="str">
        <f t="array" ref="L1123">IFERROR(INDEX(D$56:D$1054,SMALL(IF(ISNUMBER(J$56:J$1054),ROW(D$1:D$999),""),ROW(D1068))),"")</f>
        <v/>
      </c>
      <c r="M1123" s="7" t="str">
        <f t="array" ref="M1123">IFERROR(INDEX(J$56:J$1054,SMALL(IF(ISNUMBER(J$56:J$1054),ROW(J$1:J$999),""),ROW(J1068))),"")</f>
        <v/>
      </c>
      <c r="N1123" s="7"/>
      <c r="O1123" s="7"/>
      <c r="P1123" s="7"/>
      <c r="Q1123" s="7">
        <f ca="1">IFERROR(IF(COUNTA(P$56:P1123)=P$54,P1123,FORECAST(D1123,OFFSET(S$56:S$254,MATCH(D1123,R$56:R$254,1)-1,0,2), OFFSET(R$56:R$254,MATCH(D1123,R$56:R$254,1)-1,0,2))),"")</f>
        <v>0</v>
      </c>
      <c r="R1123" s="7" t="str">
        <f t="array" ref="R1123">IFERROR(INDEX(E$56:E$1054,SMALL(IF(ISNUMBER(P$56:P$1054),ROW(E$1:E$999),""),ROW(J1068))),"")</f>
        <v/>
      </c>
      <c r="S1123" s="7" t="str">
        <f t="array" ref="S1123">IFERROR(INDEX(P$56:P$1054,SMALL(IF(ISNUMBER(P$56:P$1054),ROW(P$1:P$999),""),ROW(P1068))),"")</f>
        <v/>
      </c>
      <c r="T1123" s="7"/>
      <c r="U1123" s="7"/>
      <c r="V1123" s="7"/>
    </row>
    <row r="1124" spans="1:22" x14ac:dyDescent="0.25">
      <c r="A1124" s="6"/>
      <c r="B1124" s="7"/>
      <c r="C1124" s="7"/>
      <c r="D1124" s="7"/>
      <c r="E1124" s="8">
        <f t="shared" si="16"/>
        <v>0</v>
      </c>
      <c r="F1124" s="10"/>
      <c r="G1124" s="10"/>
      <c r="H1124" s="9"/>
      <c r="I1124" s="7"/>
      <c r="J1124" s="7"/>
      <c r="K1124" s="7">
        <f ca="1">IFERROR(IF(COUNTA(J$56:J1124)=J$54,J1124,FORECAST(D1124,OFFSET(M$56:M$254,MATCH(D1124,L$56:L$254,1)-1,0,2), OFFSET(L$56:L$254,MATCH(D1124,L$56:L$254,1)-1,0,2))),"")</f>
        <v>0</v>
      </c>
      <c r="L1124" s="7" t="str">
        <f t="array" ref="L1124">IFERROR(INDEX(D$56:D$1054,SMALL(IF(ISNUMBER(J$56:J$1054),ROW(D$1:D$999),""),ROW(D1069))),"")</f>
        <v/>
      </c>
      <c r="M1124" s="7" t="str">
        <f t="array" ref="M1124">IFERROR(INDEX(J$56:J$1054,SMALL(IF(ISNUMBER(J$56:J$1054),ROW(J$1:J$999),""),ROW(J1069))),"")</f>
        <v/>
      </c>
      <c r="N1124" s="7"/>
      <c r="O1124" s="7"/>
      <c r="P1124" s="7"/>
      <c r="Q1124" s="7">
        <f ca="1">IFERROR(IF(COUNTA(P$56:P1124)=P$54,P1124,FORECAST(D1124,OFFSET(S$56:S$254,MATCH(D1124,R$56:R$254,1)-1,0,2), OFFSET(R$56:R$254,MATCH(D1124,R$56:R$254,1)-1,0,2))),"")</f>
        <v>0</v>
      </c>
      <c r="R1124" s="7" t="str">
        <f t="array" ref="R1124">IFERROR(INDEX(E$56:E$1054,SMALL(IF(ISNUMBER(P$56:P$1054),ROW(E$1:E$999),""),ROW(J1069))),"")</f>
        <v/>
      </c>
      <c r="S1124" s="7" t="str">
        <f t="array" ref="S1124">IFERROR(INDEX(P$56:P$1054,SMALL(IF(ISNUMBER(P$56:P$1054),ROW(P$1:P$999),""),ROW(P1069))),"")</f>
        <v/>
      </c>
      <c r="T1124" s="7"/>
      <c r="U1124" s="7"/>
      <c r="V1124" s="7"/>
    </row>
    <row r="1125" spans="1:22" x14ac:dyDescent="0.25">
      <c r="A1125" s="6"/>
      <c r="B1125" s="7"/>
      <c r="C1125" s="7"/>
      <c r="D1125" s="7"/>
      <c r="E1125" s="8">
        <f t="shared" si="16"/>
        <v>0</v>
      </c>
      <c r="F1125" s="10"/>
      <c r="G1125" s="10"/>
      <c r="H1125" s="9"/>
      <c r="I1125" s="7"/>
      <c r="J1125" s="7"/>
      <c r="K1125" s="7">
        <f ca="1">IFERROR(IF(COUNTA(J$56:J1125)=J$54,J1125,FORECAST(D1125,OFFSET(M$56:M$254,MATCH(D1125,L$56:L$254,1)-1,0,2), OFFSET(L$56:L$254,MATCH(D1125,L$56:L$254,1)-1,0,2))),"")</f>
        <v>0</v>
      </c>
      <c r="L1125" s="7" t="str">
        <f t="array" ref="L1125">IFERROR(INDEX(D$56:D$1054,SMALL(IF(ISNUMBER(J$56:J$1054),ROW(D$1:D$999),""),ROW(D1070))),"")</f>
        <v/>
      </c>
      <c r="M1125" s="7" t="str">
        <f t="array" ref="M1125">IFERROR(INDEX(J$56:J$1054,SMALL(IF(ISNUMBER(J$56:J$1054),ROW(J$1:J$999),""),ROW(J1070))),"")</f>
        <v/>
      </c>
      <c r="N1125" s="7"/>
      <c r="O1125" s="7"/>
      <c r="P1125" s="7"/>
      <c r="Q1125" s="7">
        <f ca="1">IFERROR(IF(COUNTA(P$56:P1125)=P$54,P1125,FORECAST(D1125,OFFSET(S$56:S$254,MATCH(D1125,R$56:R$254,1)-1,0,2), OFFSET(R$56:R$254,MATCH(D1125,R$56:R$254,1)-1,0,2))),"")</f>
        <v>0</v>
      </c>
      <c r="R1125" s="7" t="str">
        <f t="array" ref="R1125">IFERROR(INDEX(E$56:E$1054,SMALL(IF(ISNUMBER(P$56:P$1054),ROW(E$1:E$999),""),ROW(J1070))),"")</f>
        <v/>
      </c>
      <c r="S1125" s="7" t="str">
        <f t="array" ref="S1125">IFERROR(INDEX(P$56:P$1054,SMALL(IF(ISNUMBER(P$56:P$1054),ROW(P$1:P$999),""),ROW(P1070))),"")</f>
        <v/>
      </c>
      <c r="T1125" s="7"/>
      <c r="U1125" s="7"/>
      <c r="V1125" s="7"/>
    </row>
    <row r="1126" spans="1:22" x14ac:dyDescent="0.25">
      <c r="A1126" s="6"/>
      <c r="B1126" s="7"/>
      <c r="C1126" s="7"/>
      <c r="D1126" s="7"/>
      <c r="E1126" s="8">
        <f t="shared" si="16"/>
        <v>0</v>
      </c>
      <c r="F1126" s="10"/>
      <c r="G1126" s="10"/>
      <c r="H1126" s="9"/>
      <c r="I1126" s="7"/>
      <c r="J1126" s="7"/>
      <c r="K1126" s="7">
        <f ca="1">IFERROR(IF(COUNTA(J$56:J1126)=J$54,J1126,FORECAST(D1126,OFFSET(M$56:M$254,MATCH(D1126,L$56:L$254,1)-1,0,2), OFFSET(L$56:L$254,MATCH(D1126,L$56:L$254,1)-1,0,2))),"")</f>
        <v>0</v>
      </c>
      <c r="L1126" s="7" t="str">
        <f t="array" ref="L1126">IFERROR(INDEX(D$56:D$1054,SMALL(IF(ISNUMBER(J$56:J$1054),ROW(D$1:D$999),""),ROW(D1071))),"")</f>
        <v/>
      </c>
      <c r="M1126" s="7" t="str">
        <f t="array" ref="M1126">IFERROR(INDEX(J$56:J$1054,SMALL(IF(ISNUMBER(J$56:J$1054),ROW(J$1:J$999),""),ROW(J1071))),"")</f>
        <v/>
      </c>
      <c r="N1126" s="7"/>
      <c r="O1126" s="7"/>
      <c r="P1126" s="7"/>
      <c r="Q1126" s="7">
        <f ca="1">IFERROR(IF(COUNTA(P$56:P1126)=P$54,P1126,FORECAST(D1126,OFFSET(S$56:S$254,MATCH(D1126,R$56:R$254,1)-1,0,2), OFFSET(R$56:R$254,MATCH(D1126,R$56:R$254,1)-1,0,2))),"")</f>
        <v>0</v>
      </c>
      <c r="R1126" s="7" t="str">
        <f t="array" ref="R1126">IFERROR(INDEX(E$56:E$1054,SMALL(IF(ISNUMBER(P$56:P$1054),ROW(E$1:E$999),""),ROW(J1071))),"")</f>
        <v/>
      </c>
      <c r="S1126" s="7" t="str">
        <f t="array" ref="S1126">IFERROR(INDEX(P$56:P$1054,SMALL(IF(ISNUMBER(P$56:P$1054),ROW(P$1:P$999),""),ROW(P1071))),"")</f>
        <v/>
      </c>
      <c r="T1126" s="7"/>
      <c r="U1126" s="7"/>
      <c r="V1126" s="7"/>
    </row>
    <row r="1127" spans="1:22" x14ac:dyDescent="0.25">
      <c r="A1127" s="6"/>
      <c r="B1127" s="7"/>
      <c r="C1127" s="7"/>
      <c r="D1127" s="7"/>
      <c r="E1127" s="8">
        <f t="shared" si="16"/>
        <v>0</v>
      </c>
      <c r="F1127" s="10"/>
      <c r="G1127" s="10"/>
      <c r="H1127" s="9"/>
      <c r="I1127" s="7"/>
      <c r="J1127" s="7"/>
      <c r="K1127" s="7">
        <f ca="1">IFERROR(IF(COUNTA(J$56:J1127)=J$54,J1127,FORECAST(D1127,OFFSET(M$56:M$254,MATCH(D1127,L$56:L$254,1)-1,0,2), OFFSET(L$56:L$254,MATCH(D1127,L$56:L$254,1)-1,0,2))),"")</f>
        <v>0</v>
      </c>
      <c r="L1127" s="7" t="str">
        <f t="array" ref="L1127">IFERROR(INDEX(D$56:D$1054,SMALL(IF(ISNUMBER(J$56:J$1054),ROW(D$1:D$999),""),ROW(D1072))),"")</f>
        <v/>
      </c>
      <c r="M1127" s="7" t="str">
        <f t="array" ref="M1127">IFERROR(INDEX(J$56:J$1054,SMALL(IF(ISNUMBER(J$56:J$1054),ROW(J$1:J$999),""),ROW(J1072))),"")</f>
        <v/>
      </c>
      <c r="N1127" s="7"/>
      <c r="O1127" s="7"/>
      <c r="P1127" s="7"/>
      <c r="Q1127" s="7">
        <f ca="1">IFERROR(IF(COUNTA(P$56:P1127)=P$54,P1127,FORECAST(D1127,OFFSET(S$56:S$254,MATCH(D1127,R$56:R$254,1)-1,0,2), OFFSET(R$56:R$254,MATCH(D1127,R$56:R$254,1)-1,0,2))),"")</f>
        <v>0</v>
      </c>
      <c r="R1127" s="7" t="str">
        <f t="array" ref="R1127">IFERROR(INDEX(E$56:E$1054,SMALL(IF(ISNUMBER(P$56:P$1054),ROW(E$1:E$999),""),ROW(J1072))),"")</f>
        <v/>
      </c>
      <c r="S1127" s="7" t="str">
        <f t="array" ref="S1127">IFERROR(INDEX(P$56:P$1054,SMALL(IF(ISNUMBER(P$56:P$1054),ROW(P$1:P$999),""),ROW(P1072))),"")</f>
        <v/>
      </c>
      <c r="T1127" s="7"/>
      <c r="U1127" s="7"/>
      <c r="V1127" s="7"/>
    </row>
    <row r="1128" spans="1:22" x14ac:dyDescent="0.25">
      <c r="A1128" s="6"/>
      <c r="B1128" s="7"/>
      <c r="C1128" s="7"/>
      <c r="D1128" s="7"/>
      <c r="E1128" s="8">
        <f t="shared" si="16"/>
        <v>0</v>
      </c>
      <c r="F1128" s="10"/>
      <c r="G1128" s="10"/>
      <c r="H1128" s="9"/>
      <c r="I1128" s="7"/>
      <c r="J1128" s="7"/>
      <c r="K1128" s="7">
        <f ca="1">IFERROR(IF(COUNTA(J$56:J1128)=J$54,J1128,FORECAST(D1128,OFFSET(M$56:M$254,MATCH(D1128,L$56:L$254,1)-1,0,2), OFFSET(L$56:L$254,MATCH(D1128,L$56:L$254,1)-1,0,2))),"")</f>
        <v>0</v>
      </c>
      <c r="L1128" s="7" t="str">
        <f t="array" ref="L1128">IFERROR(INDEX(D$56:D$1054,SMALL(IF(ISNUMBER(J$56:J$1054),ROW(D$1:D$999),""),ROW(D1073))),"")</f>
        <v/>
      </c>
      <c r="M1128" s="7" t="str">
        <f t="array" ref="M1128">IFERROR(INDEX(J$56:J$1054,SMALL(IF(ISNUMBER(J$56:J$1054),ROW(J$1:J$999),""),ROW(J1073))),"")</f>
        <v/>
      </c>
      <c r="N1128" s="7"/>
      <c r="O1128" s="7"/>
      <c r="P1128" s="7"/>
      <c r="Q1128" s="7">
        <f ca="1">IFERROR(IF(COUNTA(P$56:P1128)=P$54,P1128,FORECAST(D1128,OFFSET(S$56:S$254,MATCH(D1128,R$56:R$254,1)-1,0,2), OFFSET(R$56:R$254,MATCH(D1128,R$56:R$254,1)-1,0,2))),"")</f>
        <v>0</v>
      </c>
      <c r="R1128" s="7" t="str">
        <f t="array" ref="R1128">IFERROR(INDEX(E$56:E$1054,SMALL(IF(ISNUMBER(P$56:P$1054),ROW(E$1:E$999),""),ROW(J1073))),"")</f>
        <v/>
      </c>
      <c r="S1128" s="7" t="str">
        <f t="array" ref="S1128">IFERROR(INDEX(P$56:P$1054,SMALL(IF(ISNUMBER(P$56:P$1054),ROW(P$1:P$999),""),ROW(P1073))),"")</f>
        <v/>
      </c>
      <c r="T1128" s="7"/>
      <c r="U1128" s="7"/>
      <c r="V1128" s="7"/>
    </row>
    <row r="1129" spans="1:22" x14ac:dyDescent="0.25">
      <c r="A1129" s="6"/>
      <c r="B1129" s="7"/>
      <c r="C1129" s="7"/>
      <c r="D1129" s="7"/>
      <c r="E1129" s="8">
        <f t="shared" si="16"/>
        <v>0</v>
      </c>
      <c r="F1129" s="10"/>
      <c r="G1129" s="10"/>
      <c r="H1129" s="9"/>
      <c r="I1129" s="7"/>
      <c r="J1129" s="7"/>
      <c r="K1129" s="7">
        <f ca="1">IFERROR(IF(COUNTA(J$56:J1129)=J$54,J1129,FORECAST(D1129,OFFSET(M$56:M$254,MATCH(D1129,L$56:L$254,1)-1,0,2), OFFSET(L$56:L$254,MATCH(D1129,L$56:L$254,1)-1,0,2))),"")</f>
        <v>0</v>
      </c>
      <c r="L1129" s="7" t="str">
        <f t="array" ref="L1129">IFERROR(INDEX(D$56:D$1054,SMALL(IF(ISNUMBER(J$56:J$1054),ROW(D$1:D$999),""),ROW(D1074))),"")</f>
        <v/>
      </c>
      <c r="M1129" s="7" t="str">
        <f t="array" ref="M1129">IFERROR(INDEX(J$56:J$1054,SMALL(IF(ISNUMBER(J$56:J$1054),ROW(J$1:J$999),""),ROW(J1074))),"")</f>
        <v/>
      </c>
      <c r="N1129" s="7"/>
      <c r="O1129" s="7"/>
      <c r="P1129" s="7"/>
      <c r="Q1129" s="7">
        <f ca="1">IFERROR(IF(COUNTA(P$56:P1129)=P$54,P1129,FORECAST(D1129,OFFSET(S$56:S$254,MATCH(D1129,R$56:R$254,1)-1,0,2), OFFSET(R$56:R$254,MATCH(D1129,R$56:R$254,1)-1,0,2))),"")</f>
        <v>0</v>
      </c>
      <c r="R1129" s="7" t="str">
        <f t="array" ref="R1129">IFERROR(INDEX(E$56:E$1054,SMALL(IF(ISNUMBER(P$56:P$1054),ROW(E$1:E$999),""),ROW(J1074))),"")</f>
        <v/>
      </c>
      <c r="S1129" s="7" t="str">
        <f t="array" ref="S1129">IFERROR(INDEX(P$56:P$1054,SMALL(IF(ISNUMBER(P$56:P$1054),ROW(P$1:P$999),""),ROW(P1074))),"")</f>
        <v/>
      </c>
      <c r="T1129" s="7"/>
      <c r="U1129" s="7"/>
      <c r="V1129" s="7"/>
    </row>
    <row r="1130" spans="1:22" x14ac:dyDescent="0.25">
      <c r="A1130" s="6"/>
      <c r="B1130" s="7"/>
      <c r="C1130" s="7"/>
      <c r="D1130" s="7"/>
      <c r="E1130" s="8">
        <f t="shared" si="16"/>
        <v>0</v>
      </c>
      <c r="F1130" s="10"/>
      <c r="G1130" s="10"/>
      <c r="H1130" s="9"/>
      <c r="I1130" s="7"/>
      <c r="J1130" s="7"/>
      <c r="K1130" s="7">
        <f ca="1">IFERROR(IF(COUNTA(J$56:J1130)=J$54,J1130,FORECAST(D1130,OFFSET(M$56:M$254,MATCH(D1130,L$56:L$254,1)-1,0,2), OFFSET(L$56:L$254,MATCH(D1130,L$56:L$254,1)-1,0,2))),"")</f>
        <v>0</v>
      </c>
      <c r="L1130" s="7" t="str">
        <f t="array" ref="L1130">IFERROR(INDEX(D$56:D$1054,SMALL(IF(ISNUMBER(J$56:J$1054),ROW(D$1:D$999),""),ROW(D1075))),"")</f>
        <v/>
      </c>
      <c r="M1130" s="7" t="str">
        <f t="array" ref="M1130">IFERROR(INDEX(J$56:J$1054,SMALL(IF(ISNUMBER(J$56:J$1054),ROW(J$1:J$999),""),ROW(J1075))),"")</f>
        <v/>
      </c>
      <c r="N1130" s="7"/>
      <c r="O1130" s="7"/>
      <c r="P1130" s="7"/>
      <c r="Q1130" s="7">
        <f ca="1">IFERROR(IF(COUNTA(P$56:P1130)=P$54,P1130,FORECAST(D1130,OFFSET(S$56:S$254,MATCH(D1130,R$56:R$254,1)-1,0,2), OFFSET(R$56:R$254,MATCH(D1130,R$56:R$254,1)-1,0,2))),"")</f>
        <v>0</v>
      </c>
      <c r="R1130" s="7" t="str">
        <f t="array" ref="R1130">IFERROR(INDEX(E$56:E$1054,SMALL(IF(ISNUMBER(P$56:P$1054),ROW(E$1:E$999),""),ROW(J1075))),"")</f>
        <v/>
      </c>
      <c r="S1130" s="7" t="str">
        <f t="array" ref="S1130">IFERROR(INDEX(P$56:P$1054,SMALL(IF(ISNUMBER(P$56:P$1054),ROW(P$1:P$999),""),ROW(P1075))),"")</f>
        <v/>
      </c>
      <c r="T1130" s="7"/>
      <c r="U1130" s="7"/>
      <c r="V1130" s="7"/>
    </row>
    <row r="1131" spans="1:22" x14ac:dyDescent="0.25">
      <c r="A1131" s="6"/>
      <c r="B1131" s="7"/>
      <c r="C1131" s="7"/>
      <c r="D1131" s="7"/>
      <c r="E1131" s="8">
        <f t="shared" si="16"/>
        <v>0</v>
      </c>
      <c r="F1131" s="10"/>
      <c r="G1131" s="10"/>
      <c r="H1131" s="9"/>
      <c r="I1131" s="7"/>
      <c r="J1131" s="7"/>
      <c r="K1131" s="7">
        <f ca="1">IFERROR(IF(COUNTA(J$56:J1131)=J$54,J1131,FORECAST(D1131,OFFSET(M$56:M$254,MATCH(D1131,L$56:L$254,1)-1,0,2), OFFSET(L$56:L$254,MATCH(D1131,L$56:L$254,1)-1,0,2))),"")</f>
        <v>0</v>
      </c>
      <c r="L1131" s="7" t="str">
        <f t="array" ref="L1131">IFERROR(INDEX(D$56:D$1054,SMALL(IF(ISNUMBER(J$56:J$1054),ROW(D$1:D$999),""),ROW(D1076))),"")</f>
        <v/>
      </c>
      <c r="M1131" s="7" t="str">
        <f t="array" ref="M1131">IFERROR(INDEX(J$56:J$1054,SMALL(IF(ISNUMBER(J$56:J$1054),ROW(J$1:J$999),""),ROW(J1076))),"")</f>
        <v/>
      </c>
      <c r="N1131" s="7"/>
      <c r="O1131" s="7"/>
      <c r="P1131" s="7"/>
      <c r="Q1131" s="7">
        <f ca="1">IFERROR(IF(COUNTA(P$56:P1131)=P$54,P1131,FORECAST(D1131,OFFSET(S$56:S$254,MATCH(D1131,R$56:R$254,1)-1,0,2), OFFSET(R$56:R$254,MATCH(D1131,R$56:R$254,1)-1,0,2))),"")</f>
        <v>0</v>
      </c>
      <c r="R1131" s="7" t="str">
        <f t="array" ref="R1131">IFERROR(INDEX(E$56:E$1054,SMALL(IF(ISNUMBER(P$56:P$1054),ROW(E$1:E$999),""),ROW(J1076))),"")</f>
        <v/>
      </c>
      <c r="S1131" s="7" t="str">
        <f t="array" ref="S1131">IFERROR(INDEX(P$56:P$1054,SMALL(IF(ISNUMBER(P$56:P$1054),ROW(P$1:P$999),""),ROW(P1076))),"")</f>
        <v/>
      </c>
      <c r="T1131" s="7"/>
      <c r="U1131" s="7"/>
      <c r="V1131" s="7"/>
    </row>
    <row r="1132" spans="1:22" x14ac:dyDescent="0.25">
      <c r="A1132" s="6"/>
      <c r="B1132" s="7"/>
      <c r="C1132" s="7"/>
      <c r="D1132" s="7"/>
      <c r="E1132" s="8">
        <f t="shared" si="16"/>
        <v>0</v>
      </c>
      <c r="F1132" s="10"/>
      <c r="G1132" s="10"/>
      <c r="H1132" s="9"/>
      <c r="I1132" s="7"/>
      <c r="J1132" s="7"/>
      <c r="K1132" s="7">
        <f ca="1">IFERROR(IF(COUNTA(J$56:J1132)=J$54,J1132,FORECAST(D1132,OFFSET(M$56:M$254,MATCH(D1132,L$56:L$254,1)-1,0,2), OFFSET(L$56:L$254,MATCH(D1132,L$56:L$254,1)-1,0,2))),"")</f>
        <v>0</v>
      </c>
      <c r="L1132" s="7" t="str">
        <f t="array" ref="L1132">IFERROR(INDEX(D$56:D$1054,SMALL(IF(ISNUMBER(J$56:J$1054),ROW(D$1:D$999),""),ROW(D1077))),"")</f>
        <v/>
      </c>
      <c r="M1132" s="7" t="str">
        <f t="array" ref="M1132">IFERROR(INDEX(J$56:J$1054,SMALL(IF(ISNUMBER(J$56:J$1054),ROW(J$1:J$999),""),ROW(J1077))),"")</f>
        <v/>
      </c>
      <c r="N1132" s="7"/>
      <c r="O1132" s="7"/>
      <c r="P1132" s="7"/>
      <c r="Q1132" s="7">
        <f ca="1">IFERROR(IF(COUNTA(P$56:P1132)=P$54,P1132,FORECAST(D1132,OFFSET(S$56:S$254,MATCH(D1132,R$56:R$254,1)-1,0,2), OFFSET(R$56:R$254,MATCH(D1132,R$56:R$254,1)-1,0,2))),"")</f>
        <v>0</v>
      </c>
      <c r="R1132" s="7" t="str">
        <f t="array" ref="R1132">IFERROR(INDEX(E$56:E$1054,SMALL(IF(ISNUMBER(P$56:P$1054),ROW(E$1:E$999),""),ROW(J1077))),"")</f>
        <v/>
      </c>
      <c r="S1132" s="7" t="str">
        <f t="array" ref="S1132">IFERROR(INDEX(P$56:P$1054,SMALL(IF(ISNUMBER(P$56:P$1054),ROW(P$1:P$999),""),ROW(P1077))),"")</f>
        <v/>
      </c>
      <c r="T1132" s="7"/>
      <c r="U1132" s="7"/>
      <c r="V1132" s="7"/>
    </row>
    <row r="1133" spans="1:22" x14ac:dyDescent="0.25">
      <c r="A1133" s="6"/>
      <c r="B1133" s="7"/>
      <c r="C1133" s="7"/>
      <c r="D1133" s="7"/>
      <c r="E1133" s="8">
        <f t="shared" si="16"/>
        <v>0</v>
      </c>
      <c r="F1133" s="10"/>
      <c r="G1133" s="10"/>
      <c r="H1133" s="9"/>
      <c r="I1133" s="7"/>
      <c r="J1133" s="7"/>
      <c r="K1133" s="7">
        <f ca="1">IFERROR(IF(COUNTA(J$56:J1133)=J$54,J1133,FORECAST(D1133,OFFSET(M$56:M$254,MATCH(D1133,L$56:L$254,1)-1,0,2), OFFSET(L$56:L$254,MATCH(D1133,L$56:L$254,1)-1,0,2))),"")</f>
        <v>0</v>
      </c>
      <c r="L1133" s="7" t="str">
        <f t="array" ref="L1133">IFERROR(INDEX(D$56:D$1054,SMALL(IF(ISNUMBER(J$56:J$1054),ROW(D$1:D$999),""),ROW(D1078))),"")</f>
        <v/>
      </c>
      <c r="M1133" s="7" t="str">
        <f t="array" ref="M1133">IFERROR(INDEX(J$56:J$1054,SMALL(IF(ISNUMBER(J$56:J$1054),ROW(J$1:J$999),""),ROW(J1078))),"")</f>
        <v/>
      </c>
      <c r="N1133" s="7"/>
      <c r="O1133" s="7"/>
      <c r="P1133" s="7"/>
      <c r="Q1133" s="7">
        <f ca="1">IFERROR(IF(COUNTA(P$56:P1133)=P$54,P1133,FORECAST(D1133,OFFSET(S$56:S$254,MATCH(D1133,R$56:R$254,1)-1,0,2), OFFSET(R$56:R$254,MATCH(D1133,R$56:R$254,1)-1,0,2))),"")</f>
        <v>0</v>
      </c>
      <c r="R1133" s="7" t="str">
        <f t="array" ref="R1133">IFERROR(INDEX(E$56:E$1054,SMALL(IF(ISNUMBER(P$56:P$1054),ROW(E$1:E$999),""),ROW(J1078))),"")</f>
        <v/>
      </c>
      <c r="S1133" s="7" t="str">
        <f t="array" ref="S1133">IFERROR(INDEX(P$56:P$1054,SMALL(IF(ISNUMBER(P$56:P$1054),ROW(P$1:P$999),""),ROW(P1078))),"")</f>
        <v/>
      </c>
      <c r="T1133" s="7"/>
      <c r="U1133" s="7"/>
      <c r="V1133" s="7"/>
    </row>
    <row r="1134" spans="1:22" x14ac:dyDescent="0.25">
      <c r="A1134" s="6"/>
      <c r="B1134" s="7"/>
      <c r="C1134" s="7"/>
      <c r="D1134" s="7"/>
      <c r="E1134" s="8">
        <f t="shared" si="16"/>
        <v>0</v>
      </c>
      <c r="F1134" s="10"/>
      <c r="G1134" s="10"/>
      <c r="H1134" s="9"/>
      <c r="I1134" s="7"/>
      <c r="J1134" s="7"/>
      <c r="K1134" s="7">
        <f ca="1">IFERROR(IF(COUNTA(J$56:J1134)=J$54,J1134,FORECAST(D1134,OFFSET(M$56:M$254,MATCH(D1134,L$56:L$254,1)-1,0,2), OFFSET(L$56:L$254,MATCH(D1134,L$56:L$254,1)-1,0,2))),"")</f>
        <v>0</v>
      </c>
      <c r="L1134" s="7" t="str">
        <f t="array" ref="L1134">IFERROR(INDEX(D$56:D$1054,SMALL(IF(ISNUMBER(J$56:J$1054),ROW(D$1:D$999),""),ROW(D1079))),"")</f>
        <v/>
      </c>
      <c r="M1134" s="7" t="str">
        <f t="array" ref="M1134">IFERROR(INDEX(J$56:J$1054,SMALL(IF(ISNUMBER(J$56:J$1054),ROW(J$1:J$999),""),ROW(J1079))),"")</f>
        <v/>
      </c>
      <c r="N1134" s="7"/>
      <c r="O1134" s="7"/>
      <c r="P1134" s="7"/>
      <c r="Q1134" s="7">
        <f ca="1">IFERROR(IF(COUNTA(P$56:P1134)=P$54,P1134,FORECAST(D1134,OFFSET(S$56:S$254,MATCH(D1134,R$56:R$254,1)-1,0,2), OFFSET(R$56:R$254,MATCH(D1134,R$56:R$254,1)-1,0,2))),"")</f>
        <v>0</v>
      </c>
      <c r="R1134" s="7" t="str">
        <f t="array" ref="R1134">IFERROR(INDEX(E$56:E$1054,SMALL(IF(ISNUMBER(P$56:P$1054),ROW(E$1:E$999),""),ROW(J1079))),"")</f>
        <v/>
      </c>
      <c r="S1134" s="7" t="str">
        <f t="array" ref="S1134">IFERROR(INDEX(P$56:P$1054,SMALL(IF(ISNUMBER(P$56:P$1054),ROW(P$1:P$999),""),ROW(P1079))),"")</f>
        <v/>
      </c>
      <c r="T1134" s="7"/>
      <c r="U1134" s="7"/>
      <c r="V1134" s="7"/>
    </row>
    <row r="1135" spans="1:22" x14ac:dyDescent="0.25">
      <c r="A1135" s="6"/>
      <c r="B1135" s="7"/>
      <c r="C1135" s="7"/>
      <c r="D1135" s="7"/>
      <c r="E1135" s="8">
        <f t="shared" si="16"/>
        <v>0</v>
      </c>
      <c r="F1135" s="10"/>
      <c r="G1135" s="10"/>
      <c r="H1135" s="9"/>
      <c r="I1135" s="7"/>
      <c r="J1135" s="7"/>
      <c r="K1135" s="7">
        <f ca="1">IFERROR(IF(COUNTA(J$56:J1135)=J$54,J1135,FORECAST(D1135,OFFSET(M$56:M$254,MATCH(D1135,L$56:L$254,1)-1,0,2), OFFSET(L$56:L$254,MATCH(D1135,L$56:L$254,1)-1,0,2))),"")</f>
        <v>0</v>
      </c>
      <c r="L1135" s="7" t="str">
        <f t="array" ref="L1135">IFERROR(INDEX(D$56:D$1054,SMALL(IF(ISNUMBER(J$56:J$1054),ROW(D$1:D$999),""),ROW(D1080))),"")</f>
        <v/>
      </c>
      <c r="M1135" s="7" t="str">
        <f t="array" ref="M1135">IFERROR(INDEX(J$56:J$1054,SMALL(IF(ISNUMBER(J$56:J$1054),ROW(J$1:J$999),""),ROW(J1080))),"")</f>
        <v/>
      </c>
      <c r="N1135" s="7"/>
      <c r="O1135" s="7"/>
      <c r="P1135" s="7"/>
      <c r="Q1135" s="7">
        <f ca="1">IFERROR(IF(COUNTA(P$56:P1135)=P$54,P1135,FORECAST(D1135,OFFSET(S$56:S$254,MATCH(D1135,R$56:R$254,1)-1,0,2), OFFSET(R$56:R$254,MATCH(D1135,R$56:R$254,1)-1,0,2))),"")</f>
        <v>0</v>
      </c>
      <c r="R1135" s="7" t="str">
        <f t="array" ref="R1135">IFERROR(INDEX(E$56:E$1054,SMALL(IF(ISNUMBER(P$56:P$1054),ROW(E$1:E$999),""),ROW(J1080))),"")</f>
        <v/>
      </c>
      <c r="S1135" s="7" t="str">
        <f t="array" ref="S1135">IFERROR(INDEX(P$56:P$1054,SMALL(IF(ISNUMBER(P$56:P$1054),ROW(P$1:P$999),""),ROW(P1080))),"")</f>
        <v/>
      </c>
      <c r="T1135" s="7"/>
      <c r="U1135" s="7"/>
      <c r="V1135" s="7"/>
    </row>
    <row r="1136" spans="1:22" x14ac:dyDescent="0.25">
      <c r="A1136" s="6"/>
      <c r="B1136" s="7"/>
      <c r="C1136" s="7"/>
      <c r="D1136" s="7"/>
      <c r="E1136" s="8">
        <f t="shared" si="16"/>
        <v>0</v>
      </c>
      <c r="F1136" s="10"/>
      <c r="G1136" s="10"/>
      <c r="H1136" s="9"/>
      <c r="I1136" s="7"/>
      <c r="J1136" s="7"/>
      <c r="K1136" s="7">
        <f ca="1">IFERROR(IF(COUNTA(J$56:J1136)=J$54,J1136,FORECAST(D1136,OFFSET(M$56:M$254,MATCH(D1136,L$56:L$254,1)-1,0,2), OFFSET(L$56:L$254,MATCH(D1136,L$56:L$254,1)-1,0,2))),"")</f>
        <v>0</v>
      </c>
      <c r="L1136" s="7" t="str">
        <f t="array" ref="L1136">IFERROR(INDEX(D$56:D$1054,SMALL(IF(ISNUMBER(J$56:J$1054),ROW(D$1:D$999),""),ROW(D1081))),"")</f>
        <v/>
      </c>
      <c r="M1136" s="7" t="str">
        <f t="array" ref="M1136">IFERROR(INDEX(J$56:J$1054,SMALL(IF(ISNUMBER(J$56:J$1054),ROW(J$1:J$999),""),ROW(J1081))),"")</f>
        <v/>
      </c>
      <c r="N1136" s="7"/>
      <c r="O1136" s="7"/>
      <c r="P1136" s="7"/>
      <c r="Q1136" s="7">
        <f ca="1">IFERROR(IF(COUNTA(P$56:P1136)=P$54,P1136,FORECAST(D1136,OFFSET(S$56:S$254,MATCH(D1136,R$56:R$254,1)-1,0,2), OFFSET(R$56:R$254,MATCH(D1136,R$56:R$254,1)-1,0,2))),"")</f>
        <v>0</v>
      </c>
      <c r="R1136" s="7" t="str">
        <f t="array" ref="R1136">IFERROR(INDEX(E$56:E$1054,SMALL(IF(ISNUMBER(P$56:P$1054),ROW(E$1:E$999),""),ROW(J1081))),"")</f>
        <v/>
      </c>
      <c r="S1136" s="7" t="str">
        <f t="array" ref="S1136">IFERROR(INDEX(P$56:P$1054,SMALL(IF(ISNUMBER(P$56:P$1054),ROW(P$1:P$999),""),ROW(P1081))),"")</f>
        <v/>
      </c>
      <c r="T1136" s="7"/>
      <c r="U1136" s="7"/>
      <c r="V1136" s="7"/>
    </row>
    <row r="1137" spans="1:22" x14ac:dyDescent="0.25">
      <c r="A1137" s="6"/>
      <c r="B1137" s="7"/>
      <c r="C1137" s="7"/>
      <c r="D1137" s="7"/>
      <c r="E1137" s="8">
        <f t="shared" si="16"/>
        <v>0</v>
      </c>
      <c r="F1137" s="10"/>
      <c r="G1137" s="10"/>
      <c r="H1137" s="9"/>
      <c r="I1137" s="7"/>
      <c r="J1137" s="7"/>
      <c r="K1137" s="7">
        <f ca="1">IFERROR(IF(COUNTA(J$56:J1137)=J$54,J1137,FORECAST(D1137,OFFSET(M$56:M$254,MATCH(D1137,L$56:L$254,1)-1,0,2), OFFSET(L$56:L$254,MATCH(D1137,L$56:L$254,1)-1,0,2))),"")</f>
        <v>0</v>
      </c>
      <c r="L1137" s="7" t="str">
        <f t="array" ref="L1137">IFERROR(INDEX(D$56:D$1054,SMALL(IF(ISNUMBER(J$56:J$1054),ROW(D$1:D$999),""),ROW(D1082))),"")</f>
        <v/>
      </c>
      <c r="M1137" s="7" t="str">
        <f t="array" ref="M1137">IFERROR(INDEX(J$56:J$1054,SMALL(IF(ISNUMBER(J$56:J$1054),ROW(J$1:J$999),""),ROW(J1082))),"")</f>
        <v/>
      </c>
      <c r="N1137" s="7"/>
      <c r="O1137" s="7"/>
      <c r="P1137" s="7"/>
      <c r="Q1137" s="7">
        <f ca="1">IFERROR(IF(COUNTA(P$56:P1137)=P$54,P1137,FORECAST(D1137,OFFSET(S$56:S$254,MATCH(D1137,R$56:R$254,1)-1,0,2), OFFSET(R$56:R$254,MATCH(D1137,R$56:R$254,1)-1,0,2))),"")</f>
        <v>0</v>
      </c>
      <c r="R1137" s="7" t="str">
        <f t="array" ref="R1137">IFERROR(INDEX(E$56:E$1054,SMALL(IF(ISNUMBER(P$56:P$1054),ROW(E$1:E$999),""),ROW(J1082))),"")</f>
        <v/>
      </c>
      <c r="S1137" s="7" t="str">
        <f t="array" ref="S1137">IFERROR(INDEX(P$56:P$1054,SMALL(IF(ISNUMBER(P$56:P$1054),ROW(P$1:P$999),""),ROW(P1082))),"")</f>
        <v/>
      </c>
      <c r="T1137" s="7"/>
      <c r="U1137" s="7"/>
      <c r="V1137" s="7"/>
    </row>
    <row r="1138" spans="1:22" x14ac:dyDescent="0.25">
      <c r="A1138" s="6"/>
      <c r="B1138" s="7"/>
      <c r="C1138" s="7"/>
      <c r="D1138" s="7"/>
      <c r="E1138" s="8">
        <f t="shared" si="16"/>
        <v>0</v>
      </c>
      <c r="F1138" s="10"/>
      <c r="G1138" s="10"/>
      <c r="H1138" s="9"/>
      <c r="I1138" s="7"/>
      <c r="J1138" s="7"/>
      <c r="K1138" s="7">
        <f ca="1">IFERROR(IF(COUNTA(J$56:J1138)=J$54,J1138,FORECAST(D1138,OFFSET(M$56:M$254,MATCH(D1138,L$56:L$254,1)-1,0,2), OFFSET(L$56:L$254,MATCH(D1138,L$56:L$254,1)-1,0,2))),"")</f>
        <v>0</v>
      </c>
      <c r="L1138" s="7" t="str">
        <f t="array" ref="L1138">IFERROR(INDEX(D$56:D$1054,SMALL(IF(ISNUMBER(J$56:J$1054),ROW(D$1:D$999),""),ROW(D1083))),"")</f>
        <v/>
      </c>
      <c r="M1138" s="7" t="str">
        <f t="array" ref="M1138">IFERROR(INDEX(J$56:J$1054,SMALL(IF(ISNUMBER(J$56:J$1054),ROW(J$1:J$999),""),ROW(J1083))),"")</f>
        <v/>
      </c>
      <c r="N1138" s="7"/>
      <c r="O1138" s="7"/>
      <c r="P1138" s="7"/>
      <c r="Q1138" s="7">
        <f ca="1">IFERROR(IF(COUNTA(P$56:P1138)=P$54,P1138,FORECAST(D1138,OFFSET(S$56:S$254,MATCH(D1138,R$56:R$254,1)-1,0,2), OFFSET(R$56:R$254,MATCH(D1138,R$56:R$254,1)-1,0,2))),"")</f>
        <v>0</v>
      </c>
      <c r="R1138" s="7" t="str">
        <f t="array" ref="R1138">IFERROR(INDEX(E$56:E$1054,SMALL(IF(ISNUMBER(P$56:P$1054),ROW(E$1:E$999),""),ROW(J1083))),"")</f>
        <v/>
      </c>
      <c r="S1138" s="7" t="str">
        <f t="array" ref="S1138">IFERROR(INDEX(P$56:P$1054,SMALL(IF(ISNUMBER(P$56:P$1054),ROW(P$1:P$999),""),ROW(P1083))),"")</f>
        <v/>
      </c>
      <c r="T1138" s="7"/>
      <c r="U1138" s="7"/>
      <c r="V1138" s="7"/>
    </row>
    <row r="1139" spans="1:22" x14ac:dyDescent="0.25">
      <c r="A1139" s="6"/>
      <c r="B1139" s="7"/>
      <c r="C1139" s="7"/>
      <c r="D1139" s="7"/>
      <c r="E1139" s="8">
        <f t="shared" si="16"/>
        <v>0</v>
      </c>
      <c r="F1139" s="10"/>
      <c r="G1139" s="10"/>
      <c r="H1139" s="9"/>
      <c r="I1139" s="7"/>
      <c r="J1139" s="7"/>
      <c r="K1139" s="7">
        <f ca="1">IFERROR(IF(COUNTA(J$56:J1139)=J$54,J1139,FORECAST(D1139,OFFSET(M$56:M$254,MATCH(D1139,L$56:L$254,1)-1,0,2), OFFSET(L$56:L$254,MATCH(D1139,L$56:L$254,1)-1,0,2))),"")</f>
        <v>0</v>
      </c>
      <c r="L1139" s="7" t="str">
        <f t="array" ref="L1139">IFERROR(INDEX(D$56:D$1054,SMALL(IF(ISNUMBER(J$56:J$1054),ROW(D$1:D$999),""),ROW(D1084))),"")</f>
        <v/>
      </c>
      <c r="M1139" s="7" t="str">
        <f t="array" ref="M1139">IFERROR(INDEX(J$56:J$1054,SMALL(IF(ISNUMBER(J$56:J$1054),ROW(J$1:J$999),""),ROW(J1084))),"")</f>
        <v/>
      </c>
      <c r="N1139" s="7"/>
      <c r="O1139" s="7"/>
      <c r="P1139" s="7"/>
      <c r="Q1139" s="7">
        <f ca="1">IFERROR(IF(COUNTA(P$56:P1139)=P$54,P1139,FORECAST(D1139,OFFSET(S$56:S$254,MATCH(D1139,R$56:R$254,1)-1,0,2), OFFSET(R$56:R$254,MATCH(D1139,R$56:R$254,1)-1,0,2))),"")</f>
        <v>0</v>
      </c>
      <c r="R1139" s="7" t="str">
        <f t="array" ref="R1139">IFERROR(INDEX(E$56:E$1054,SMALL(IF(ISNUMBER(P$56:P$1054),ROW(E$1:E$999),""),ROW(J1084))),"")</f>
        <v/>
      </c>
      <c r="S1139" s="7" t="str">
        <f t="array" ref="S1139">IFERROR(INDEX(P$56:P$1054,SMALL(IF(ISNUMBER(P$56:P$1054),ROW(P$1:P$999),""),ROW(P1084))),"")</f>
        <v/>
      </c>
      <c r="T1139" s="7"/>
      <c r="U1139" s="7"/>
      <c r="V1139" s="7"/>
    </row>
    <row r="1140" spans="1:22" x14ac:dyDescent="0.25">
      <c r="A1140" s="6"/>
      <c r="B1140" s="7"/>
      <c r="C1140" s="7"/>
      <c r="D1140" s="7"/>
      <c r="E1140" s="8">
        <f t="shared" si="16"/>
        <v>0</v>
      </c>
      <c r="F1140" s="10"/>
      <c r="G1140" s="10"/>
      <c r="H1140" s="9"/>
      <c r="I1140" s="7"/>
      <c r="J1140" s="7"/>
      <c r="K1140" s="7">
        <f ca="1">IFERROR(IF(COUNTA(J$56:J1140)=J$54,J1140,FORECAST(D1140,OFFSET(M$56:M$254,MATCH(D1140,L$56:L$254,1)-1,0,2), OFFSET(L$56:L$254,MATCH(D1140,L$56:L$254,1)-1,0,2))),"")</f>
        <v>0</v>
      </c>
      <c r="L1140" s="7" t="str">
        <f t="array" ref="L1140">IFERROR(INDEX(D$56:D$1054,SMALL(IF(ISNUMBER(J$56:J$1054),ROW(D$1:D$999),""),ROW(D1085))),"")</f>
        <v/>
      </c>
      <c r="M1140" s="7" t="str">
        <f t="array" ref="M1140">IFERROR(INDEX(J$56:J$1054,SMALL(IF(ISNUMBER(J$56:J$1054),ROW(J$1:J$999),""),ROW(J1085))),"")</f>
        <v/>
      </c>
      <c r="N1140" s="7"/>
      <c r="O1140" s="7"/>
      <c r="P1140" s="7"/>
      <c r="Q1140" s="7">
        <f ca="1">IFERROR(IF(COUNTA(P$56:P1140)=P$54,P1140,FORECAST(D1140,OFFSET(S$56:S$254,MATCH(D1140,R$56:R$254,1)-1,0,2), OFFSET(R$56:R$254,MATCH(D1140,R$56:R$254,1)-1,0,2))),"")</f>
        <v>0</v>
      </c>
      <c r="R1140" s="7" t="str">
        <f t="array" ref="R1140">IFERROR(INDEX(E$56:E$1054,SMALL(IF(ISNUMBER(P$56:P$1054),ROW(E$1:E$999),""),ROW(J1085))),"")</f>
        <v/>
      </c>
      <c r="S1140" s="7" t="str">
        <f t="array" ref="S1140">IFERROR(INDEX(P$56:P$1054,SMALL(IF(ISNUMBER(P$56:P$1054),ROW(P$1:P$999),""),ROW(P1085))),"")</f>
        <v/>
      </c>
      <c r="T1140" s="7"/>
      <c r="U1140" s="7"/>
      <c r="V1140" s="7"/>
    </row>
    <row r="1141" spans="1:22" x14ac:dyDescent="0.25">
      <c r="A1141" s="6"/>
      <c r="B1141" s="7"/>
      <c r="C1141" s="7"/>
      <c r="D1141" s="7"/>
      <c r="E1141" s="8">
        <f t="shared" si="16"/>
        <v>0</v>
      </c>
      <c r="F1141" s="10"/>
      <c r="G1141" s="10"/>
      <c r="H1141" s="9"/>
      <c r="I1141" s="7"/>
      <c r="J1141" s="7"/>
      <c r="K1141" s="7">
        <f ca="1">IFERROR(IF(COUNTA(J$56:J1141)=J$54,J1141,FORECAST(D1141,OFFSET(M$56:M$254,MATCH(D1141,L$56:L$254,1)-1,0,2), OFFSET(L$56:L$254,MATCH(D1141,L$56:L$254,1)-1,0,2))),"")</f>
        <v>0</v>
      </c>
      <c r="L1141" s="7" t="str">
        <f t="array" ref="L1141">IFERROR(INDEX(D$56:D$1054,SMALL(IF(ISNUMBER(J$56:J$1054),ROW(D$1:D$999),""),ROW(D1086))),"")</f>
        <v/>
      </c>
      <c r="M1141" s="7" t="str">
        <f t="array" ref="M1141">IFERROR(INDEX(J$56:J$1054,SMALL(IF(ISNUMBER(J$56:J$1054),ROW(J$1:J$999),""),ROW(J1086))),"")</f>
        <v/>
      </c>
      <c r="N1141" s="7"/>
      <c r="O1141" s="7"/>
      <c r="P1141" s="7"/>
      <c r="Q1141" s="7">
        <f ca="1">IFERROR(IF(COUNTA(P$56:P1141)=P$54,P1141,FORECAST(D1141,OFFSET(S$56:S$254,MATCH(D1141,R$56:R$254,1)-1,0,2), OFFSET(R$56:R$254,MATCH(D1141,R$56:R$254,1)-1,0,2))),"")</f>
        <v>0</v>
      </c>
      <c r="R1141" s="7" t="str">
        <f t="array" ref="R1141">IFERROR(INDEX(E$56:E$1054,SMALL(IF(ISNUMBER(P$56:P$1054),ROW(E$1:E$999),""),ROW(J1086))),"")</f>
        <v/>
      </c>
      <c r="S1141" s="7" t="str">
        <f t="array" ref="S1141">IFERROR(INDEX(P$56:P$1054,SMALL(IF(ISNUMBER(P$56:P$1054),ROW(P$1:P$999),""),ROW(P1086))),"")</f>
        <v/>
      </c>
      <c r="T1141" s="7"/>
      <c r="U1141" s="7"/>
      <c r="V1141" s="7"/>
    </row>
    <row r="1142" spans="1:22" x14ac:dyDescent="0.25">
      <c r="A1142" s="6"/>
      <c r="B1142" s="7"/>
      <c r="C1142" s="7"/>
      <c r="D1142" s="7"/>
      <c r="E1142" s="8">
        <f t="shared" si="16"/>
        <v>0</v>
      </c>
      <c r="F1142" s="10"/>
      <c r="G1142" s="10"/>
      <c r="H1142" s="9"/>
      <c r="I1142" s="7"/>
      <c r="J1142" s="7"/>
      <c r="K1142" s="7">
        <f ca="1">IFERROR(IF(COUNTA(J$56:J1142)=J$54,J1142,FORECAST(D1142,OFFSET(M$56:M$254,MATCH(D1142,L$56:L$254,1)-1,0,2), OFFSET(L$56:L$254,MATCH(D1142,L$56:L$254,1)-1,0,2))),"")</f>
        <v>0</v>
      </c>
      <c r="L1142" s="7" t="str">
        <f t="array" ref="L1142">IFERROR(INDEX(D$56:D$1054,SMALL(IF(ISNUMBER(J$56:J$1054),ROW(D$1:D$999),""),ROW(D1087))),"")</f>
        <v/>
      </c>
      <c r="M1142" s="7" t="str">
        <f t="array" ref="M1142">IFERROR(INDEX(J$56:J$1054,SMALL(IF(ISNUMBER(J$56:J$1054),ROW(J$1:J$999),""),ROW(J1087))),"")</f>
        <v/>
      </c>
      <c r="N1142" s="7"/>
      <c r="O1142" s="7"/>
      <c r="P1142" s="7"/>
      <c r="Q1142" s="7">
        <f ca="1">IFERROR(IF(COUNTA(P$56:P1142)=P$54,P1142,FORECAST(D1142,OFFSET(S$56:S$254,MATCH(D1142,R$56:R$254,1)-1,0,2), OFFSET(R$56:R$254,MATCH(D1142,R$56:R$254,1)-1,0,2))),"")</f>
        <v>0</v>
      </c>
      <c r="R1142" s="7" t="str">
        <f t="array" ref="R1142">IFERROR(INDEX(E$56:E$1054,SMALL(IF(ISNUMBER(P$56:P$1054),ROW(E$1:E$999),""),ROW(J1087))),"")</f>
        <v/>
      </c>
      <c r="S1142" s="7" t="str">
        <f t="array" ref="S1142">IFERROR(INDEX(P$56:P$1054,SMALL(IF(ISNUMBER(P$56:P$1054),ROW(P$1:P$999),""),ROW(P1087))),"")</f>
        <v/>
      </c>
      <c r="T1142" s="7"/>
      <c r="U1142" s="7"/>
      <c r="V1142" s="7"/>
    </row>
    <row r="1143" spans="1:22" x14ac:dyDescent="0.25">
      <c r="A1143" s="6"/>
      <c r="B1143" s="7"/>
      <c r="C1143" s="7"/>
      <c r="D1143" s="7"/>
      <c r="E1143" s="8">
        <f t="shared" si="16"/>
        <v>0</v>
      </c>
      <c r="F1143" s="10"/>
      <c r="G1143" s="10"/>
      <c r="H1143" s="9"/>
      <c r="I1143" s="7"/>
      <c r="J1143" s="7"/>
      <c r="K1143" s="7">
        <f ca="1">IFERROR(IF(COUNTA(J$56:J1143)=J$54,J1143,FORECAST(D1143,OFFSET(M$56:M$254,MATCH(D1143,L$56:L$254,1)-1,0,2), OFFSET(L$56:L$254,MATCH(D1143,L$56:L$254,1)-1,0,2))),"")</f>
        <v>0</v>
      </c>
      <c r="L1143" s="7" t="str">
        <f t="array" ref="L1143">IFERROR(INDEX(D$56:D$1054,SMALL(IF(ISNUMBER(J$56:J$1054),ROW(D$1:D$999),""),ROW(D1088))),"")</f>
        <v/>
      </c>
      <c r="M1143" s="7" t="str">
        <f t="array" ref="M1143">IFERROR(INDEX(J$56:J$1054,SMALL(IF(ISNUMBER(J$56:J$1054),ROW(J$1:J$999),""),ROW(J1088))),"")</f>
        <v/>
      </c>
      <c r="N1143" s="7"/>
      <c r="O1143" s="7"/>
      <c r="P1143" s="7"/>
      <c r="Q1143" s="7">
        <f ca="1">IFERROR(IF(COUNTA(P$56:P1143)=P$54,P1143,FORECAST(D1143,OFFSET(S$56:S$254,MATCH(D1143,R$56:R$254,1)-1,0,2), OFFSET(R$56:R$254,MATCH(D1143,R$56:R$254,1)-1,0,2))),"")</f>
        <v>0</v>
      </c>
      <c r="R1143" s="7" t="str">
        <f t="array" ref="R1143">IFERROR(INDEX(E$56:E$1054,SMALL(IF(ISNUMBER(P$56:P$1054),ROW(E$1:E$999),""),ROW(J1088))),"")</f>
        <v/>
      </c>
      <c r="S1143" s="7" t="str">
        <f t="array" ref="S1143">IFERROR(INDEX(P$56:P$1054,SMALL(IF(ISNUMBER(P$56:P$1054),ROW(P$1:P$999),""),ROW(P1088))),"")</f>
        <v/>
      </c>
      <c r="T1143" s="7"/>
      <c r="U1143" s="7"/>
      <c r="V1143" s="7"/>
    </row>
    <row r="1144" spans="1:22" x14ac:dyDescent="0.25">
      <c r="A1144" s="6"/>
      <c r="B1144" s="7"/>
      <c r="C1144" s="7"/>
      <c r="D1144" s="7"/>
      <c r="E1144" s="8">
        <f t="shared" si="16"/>
        <v>0</v>
      </c>
      <c r="F1144" s="10"/>
      <c r="G1144" s="10"/>
      <c r="H1144" s="9"/>
      <c r="I1144" s="7"/>
      <c r="J1144" s="7"/>
      <c r="K1144" s="7">
        <f ca="1">IFERROR(IF(COUNTA(J$56:J1144)=J$54,J1144,FORECAST(D1144,OFFSET(M$56:M$254,MATCH(D1144,L$56:L$254,1)-1,0,2), OFFSET(L$56:L$254,MATCH(D1144,L$56:L$254,1)-1,0,2))),"")</f>
        <v>0</v>
      </c>
      <c r="L1144" s="7" t="str">
        <f t="array" ref="L1144">IFERROR(INDEX(D$56:D$1054,SMALL(IF(ISNUMBER(J$56:J$1054),ROW(D$1:D$999),""),ROW(D1089))),"")</f>
        <v/>
      </c>
      <c r="M1144" s="7" t="str">
        <f t="array" ref="M1144">IFERROR(INDEX(J$56:J$1054,SMALL(IF(ISNUMBER(J$56:J$1054),ROW(J$1:J$999),""),ROW(J1089))),"")</f>
        <v/>
      </c>
      <c r="N1144" s="7"/>
      <c r="O1144" s="7"/>
      <c r="P1144" s="7"/>
      <c r="Q1144" s="7">
        <f ca="1">IFERROR(IF(COUNTA(P$56:P1144)=P$54,P1144,FORECAST(D1144,OFFSET(S$56:S$254,MATCH(D1144,R$56:R$254,1)-1,0,2), OFFSET(R$56:R$254,MATCH(D1144,R$56:R$254,1)-1,0,2))),"")</f>
        <v>0</v>
      </c>
      <c r="R1144" s="7" t="str">
        <f t="array" ref="R1144">IFERROR(INDEX(E$56:E$1054,SMALL(IF(ISNUMBER(P$56:P$1054),ROW(E$1:E$999),""),ROW(J1089))),"")</f>
        <v/>
      </c>
      <c r="S1144" s="7" t="str">
        <f t="array" ref="S1144">IFERROR(INDEX(P$56:P$1054,SMALL(IF(ISNUMBER(P$56:P$1054),ROW(P$1:P$999),""),ROW(P1089))),"")</f>
        <v/>
      </c>
      <c r="T1144" s="7"/>
      <c r="U1144" s="7"/>
      <c r="V1144" s="7"/>
    </row>
    <row r="1145" spans="1:22" x14ac:dyDescent="0.25">
      <c r="A1145" s="6"/>
      <c r="B1145" s="7"/>
      <c r="C1145" s="7"/>
      <c r="D1145" s="7"/>
      <c r="E1145" s="8">
        <f t="shared" si="16"/>
        <v>0</v>
      </c>
      <c r="F1145" s="10"/>
      <c r="G1145" s="10"/>
      <c r="H1145" s="9"/>
      <c r="I1145" s="7"/>
      <c r="J1145" s="7"/>
      <c r="K1145" s="7">
        <f ca="1">IFERROR(IF(COUNTA(J$56:J1145)=J$54,J1145,FORECAST(D1145,OFFSET(M$56:M$254,MATCH(D1145,L$56:L$254,1)-1,0,2), OFFSET(L$56:L$254,MATCH(D1145,L$56:L$254,1)-1,0,2))),"")</f>
        <v>0</v>
      </c>
      <c r="L1145" s="7" t="str">
        <f t="array" ref="L1145">IFERROR(INDEX(D$56:D$1054,SMALL(IF(ISNUMBER(J$56:J$1054),ROW(D$1:D$999),""),ROW(D1090))),"")</f>
        <v/>
      </c>
      <c r="M1145" s="7" t="str">
        <f t="array" ref="M1145">IFERROR(INDEX(J$56:J$1054,SMALL(IF(ISNUMBER(J$56:J$1054),ROW(J$1:J$999),""),ROW(J1090))),"")</f>
        <v/>
      </c>
      <c r="N1145" s="7"/>
      <c r="O1145" s="7"/>
      <c r="P1145" s="7"/>
      <c r="Q1145" s="7">
        <f ca="1">IFERROR(IF(COUNTA(P$56:P1145)=P$54,P1145,FORECAST(D1145,OFFSET(S$56:S$254,MATCH(D1145,R$56:R$254,1)-1,0,2), OFFSET(R$56:R$254,MATCH(D1145,R$56:R$254,1)-1,0,2))),"")</f>
        <v>0</v>
      </c>
      <c r="R1145" s="7" t="str">
        <f t="array" ref="R1145">IFERROR(INDEX(E$56:E$1054,SMALL(IF(ISNUMBER(P$56:P$1054),ROW(E$1:E$999),""),ROW(J1090))),"")</f>
        <v/>
      </c>
      <c r="S1145" s="7" t="str">
        <f t="array" ref="S1145">IFERROR(INDEX(P$56:P$1054,SMALL(IF(ISNUMBER(P$56:P$1054),ROW(P$1:P$999),""),ROW(P1090))),"")</f>
        <v/>
      </c>
      <c r="T1145" s="7"/>
      <c r="U1145" s="7"/>
      <c r="V1145" s="7"/>
    </row>
    <row r="1146" spans="1:22" x14ac:dyDescent="0.25">
      <c r="A1146" s="6"/>
      <c r="B1146" s="7"/>
      <c r="C1146" s="7"/>
      <c r="D1146" s="7"/>
      <c r="E1146" s="8">
        <f t="shared" ref="E1146:E1198" si="17">IF(NOT(ISBLANK(D1146)),D1146+C$54,0)</f>
        <v>0</v>
      </c>
      <c r="F1146" s="10"/>
      <c r="G1146" s="10"/>
      <c r="H1146" s="9"/>
      <c r="I1146" s="7"/>
      <c r="J1146" s="7"/>
      <c r="K1146" s="7">
        <f ca="1">IFERROR(IF(COUNTA(J$56:J1146)=J$54,J1146,FORECAST(D1146,OFFSET(M$56:M$254,MATCH(D1146,L$56:L$254,1)-1,0,2), OFFSET(L$56:L$254,MATCH(D1146,L$56:L$254,1)-1,0,2))),"")</f>
        <v>0</v>
      </c>
      <c r="L1146" s="7" t="str">
        <f t="array" ref="L1146">IFERROR(INDEX(D$56:D$1054,SMALL(IF(ISNUMBER(J$56:J$1054),ROW(D$1:D$999),""),ROW(D1091))),"")</f>
        <v/>
      </c>
      <c r="M1146" s="7" t="str">
        <f t="array" ref="M1146">IFERROR(INDEX(J$56:J$1054,SMALL(IF(ISNUMBER(J$56:J$1054),ROW(J$1:J$999),""),ROW(J1091))),"")</f>
        <v/>
      </c>
      <c r="N1146" s="7"/>
      <c r="O1146" s="7"/>
      <c r="P1146" s="7"/>
      <c r="Q1146" s="7">
        <f ca="1">IFERROR(IF(COUNTA(P$56:P1146)=P$54,P1146,FORECAST(D1146,OFFSET(S$56:S$254,MATCH(D1146,R$56:R$254,1)-1,0,2), OFFSET(R$56:R$254,MATCH(D1146,R$56:R$254,1)-1,0,2))),"")</f>
        <v>0</v>
      </c>
      <c r="R1146" s="7" t="str">
        <f t="array" ref="R1146">IFERROR(INDEX(E$56:E$1054,SMALL(IF(ISNUMBER(P$56:P$1054),ROW(E$1:E$999),""),ROW(J1091))),"")</f>
        <v/>
      </c>
      <c r="S1146" s="7" t="str">
        <f t="array" ref="S1146">IFERROR(INDEX(P$56:P$1054,SMALL(IF(ISNUMBER(P$56:P$1054),ROW(P$1:P$999),""),ROW(P1091))),"")</f>
        <v/>
      </c>
      <c r="T1146" s="7"/>
      <c r="U1146" s="7"/>
      <c r="V1146" s="7"/>
    </row>
    <row r="1147" spans="1:22" x14ac:dyDescent="0.25">
      <c r="A1147" s="6"/>
      <c r="B1147" s="7"/>
      <c r="C1147" s="7"/>
      <c r="D1147" s="7"/>
      <c r="E1147" s="8">
        <f t="shared" si="17"/>
        <v>0</v>
      </c>
      <c r="F1147" s="10"/>
      <c r="G1147" s="10"/>
      <c r="H1147" s="9"/>
      <c r="I1147" s="7"/>
      <c r="J1147" s="7"/>
      <c r="K1147" s="7">
        <f ca="1">IFERROR(IF(COUNTA(J$56:J1147)=J$54,J1147,FORECAST(D1147,OFFSET(M$56:M$254,MATCH(D1147,L$56:L$254,1)-1,0,2), OFFSET(L$56:L$254,MATCH(D1147,L$56:L$254,1)-1,0,2))),"")</f>
        <v>0</v>
      </c>
      <c r="L1147" s="7" t="str">
        <f t="array" ref="L1147">IFERROR(INDEX(D$56:D$1054,SMALL(IF(ISNUMBER(J$56:J$1054),ROW(D$1:D$999),""),ROW(D1092))),"")</f>
        <v/>
      </c>
      <c r="M1147" s="7" t="str">
        <f t="array" ref="M1147">IFERROR(INDEX(J$56:J$1054,SMALL(IF(ISNUMBER(J$56:J$1054),ROW(J$1:J$999),""),ROW(J1092))),"")</f>
        <v/>
      </c>
      <c r="N1147" s="7"/>
      <c r="O1147" s="7"/>
      <c r="P1147" s="7"/>
      <c r="Q1147" s="7">
        <f ca="1">IFERROR(IF(COUNTA(P$56:P1147)=P$54,P1147,FORECAST(D1147,OFFSET(S$56:S$254,MATCH(D1147,R$56:R$254,1)-1,0,2), OFFSET(R$56:R$254,MATCH(D1147,R$56:R$254,1)-1,0,2))),"")</f>
        <v>0</v>
      </c>
      <c r="R1147" s="7" t="str">
        <f t="array" ref="R1147">IFERROR(INDEX(E$56:E$1054,SMALL(IF(ISNUMBER(P$56:P$1054),ROW(E$1:E$999),""),ROW(J1092))),"")</f>
        <v/>
      </c>
      <c r="S1147" s="7" t="str">
        <f t="array" ref="S1147">IFERROR(INDEX(P$56:P$1054,SMALL(IF(ISNUMBER(P$56:P$1054),ROW(P$1:P$999),""),ROW(P1092))),"")</f>
        <v/>
      </c>
      <c r="T1147" s="7"/>
      <c r="U1147" s="7"/>
      <c r="V1147" s="7"/>
    </row>
    <row r="1148" spans="1:22" x14ac:dyDescent="0.25">
      <c r="A1148" s="6"/>
      <c r="B1148" s="7"/>
      <c r="C1148" s="7"/>
      <c r="D1148" s="7"/>
      <c r="E1148" s="8">
        <f t="shared" si="17"/>
        <v>0</v>
      </c>
      <c r="F1148" s="10"/>
      <c r="G1148" s="10"/>
      <c r="H1148" s="9"/>
      <c r="I1148" s="7"/>
      <c r="J1148" s="7"/>
      <c r="K1148" s="7">
        <f ca="1">IFERROR(IF(COUNTA(J$56:J1148)=J$54,J1148,FORECAST(D1148,OFFSET(M$56:M$254,MATCH(D1148,L$56:L$254,1)-1,0,2), OFFSET(L$56:L$254,MATCH(D1148,L$56:L$254,1)-1,0,2))),"")</f>
        <v>0</v>
      </c>
      <c r="L1148" s="7" t="str">
        <f t="array" ref="L1148">IFERROR(INDEX(D$56:D$1054,SMALL(IF(ISNUMBER(J$56:J$1054),ROW(D$1:D$999),""),ROW(D1093))),"")</f>
        <v/>
      </c>
      <c r="M1148" s="7" t="str">
        <f t="array" ref="M1148">IFERROR(INDEX(J$56:J$1054,SMALL(IF(ISNUMBER(J$56:J$1054),ROW(J$1:J$999),""),ROW(J1093))),"")</f>
        <v/>
      </c>
      <c r="N1148" s="7"/>
      <c r="O1148" s="7"/>
      <c r="P1148" s="7"/>
      <c r="Q1148" s="7">
        <f ca="1">IFERROR(IF(COUNTA(P$56:P1148)=P$54,P1148,FORECAST(D1148,OFFSET(S$56:S$254,MATCH(D1148,R$56:R$254,1)-1,0,2), OFFSET(R$56:R$254,MATCH(D1148,R$56:R$254,1)-1,0,2))),"")</f>
        <v>0</v>
      </c>
      <c r="R1148" s="7" t="str">
        <f t="array" ref="R1148">IFERROR(INDEX(E$56:E$1054,SMALL(IF(ISNUMBER(P$56:P$1054),ROW(E$1:E$999),""),ROW(J1093))),"")</f>
        <v/>
      </c>
      <c r="S1148" s="7" t="str">
        <f t="array" ref="S1148">IFERROR(INDEX(P$56:P$1054,SMALL(IF(ISNUMBER(P$56:P$1054),ROW(P$1:P$999),""),ROW(P1093))),"")</f>
        <v/>
      </c>
      <c r="T1148" s="7"/>
      <c r="U1148" s="7"/>
      <c r="V1148" s="7"/>
    </row>
    <row r="1149" spans="1:22" x14ac:dyDescent="0.25">
      <c r="A1149" s="6"/>
      <c r="B1149" s="7"/>
      <c r="C1149" s="7"/>
      <c r="D1149" s="7"/>
      <c r="E1149" s="8">
        <f t="shared" si="17"/>
        <v>0</v>
      </c>
      <c r="F1149" s="10"/>
      <c r="G1149" s="10"/>
      <c r="H1149" s="9"/>
      <c r="I1149" s="7"/>
      <c r="J1149" s="7"/>
      <c r="K1149" s="7">
        <f ca="1">IFERROR(IF(COUNTA(J$56:J1149)=J$54,J1149,FORECAST(D1149,OFFSET(M$56:M$254,MATCH(D1149,L$56:L$254,1)-1,0,2), OFFSET(L$56:L$254,MATCH(D1149,L$56:L$254,1)-1,0,2))),"")</f>
        <v>0</v>
      </c>
      <c r="L1149" s="7" t="str">
        <f t="array" ref="L1149">IFERROR(INDEX(D$56:D$1054,SMALL(IF(ISNUMBER(J$56:J$1054),ROW(D$1:D$999),""),ROW(D1094))),"")</f>
        <v/>
      </c>
      <c r="M1149" s="7" t="str">
        <f t="array" ref="M1149">IFERROR(INDEX(J$56:J$1054,SMALL(IF(ISNUMBER(J$56:J$1054),ROW(J$1:J$999),""),ROW(J1094))),"")</f>
        <v/>
      </c>
      <c r="N1149" s="7"/>
      <c r="O1149" s="7"/>
      <c r="P1149" s="7"/>
      <c r="Q1149" s="7">
        <f ca="1">IFERROR(IF(COUNTA(P$56:P1149)=P$54,P1149,FORECAST(D1149,OFFSET(S$56:S$254,MATCH(D1149,R$56:R$254,1)-1,0,2), OFFSET(R$56:R$254,MATCH(D1149,R$56:R$254,1)-1,0,2))),"")</f>
        <v>0</v>
      </c>
      <c r="R1149" s="7" t="str">
        <f t="array" ref="R1149">IFERROR(INDEX(E$56:E$1054,SMALL(IF(ISNUMBER(P$56:P$1054),ROW(E$1:E$999),""),ROW(J1094))),"")</f>
        <v/>
      </c>
      <c r="S1149" s="7" t="str">
        <f t="array" ref="S1149">IFERROR(INDEX(P$56:P$1054,SMALL(IF(ISNUMBER(P$56:P$1054),ROW(P$1:P$999),""),ROW(P1094))),"")</f>
        <v/>
      </c>
      <c r="T1149" s="7"/>
      <c r="U1149" s="7"/>
      <c r="V1149" s="7"/>
    </row>
    <row r="1150" spans="1:22" x14ac:dyDescent="0.25">
      <c r="A1150" s="6"/>
      <c r="B1150" s="7"/>
      <c r="C1150" s="7"/>
      <c r="D1150" s="7"/>
      <c r="E1150" s="8">
        <f t="shared" si="17"/>
        <v>0</v>
      </c>
      <c r="F1150" s="10"/>
      <c r="G1150" s="10"/>
      <c r="H1150" s="9"/>
      <c r="I1150" s="7"/>
      <c r="J1150" s="7"/>
      <c r="K1150" s="7">
        <f ca="1">IFERROR(IF(COUNTA(J$56:J1150)=J$54,J1150,FORECAST(D1150,OFFSET(M$56:M$254,MATCH(D1150,L$56:L$254,1)-1,0,2), OFFSET(L$56:L$254,MATCH(D1150,L$56:L$254,1)-1,0,2))),"")</f>
        <v>0</v>
      </c>
      <c r="L1150" s="7" t="str">
        <f t="array" ref="L1150">IFERROR(INDEX(D$56:D$1054,SMALL(IF(ISNUMBER(J$56:J$1054),ROW(D$1:D$999),""),ROW(D1095))),"")</f>
        <v/>
      </c>
      <c r="M1150" s="7" t="str">
        <f t="array" ref="M1150">IFERROR(INDEX(J$56:J$1054,SMALL(IF(ISNUMBER(J$56:J$1054),ROW(J$1:J$999),""),ROW(J1095))),"")</f>
        <v/>
      </c>
      <c r="N1150" s="7"/>
      <c r="O1150" s="7"/>
      <c r="P1150" s="7"/>
      <c r="Q1150" s="7">
        <f ca="1">IFERROR(IF(COUNTA(P$56:P1150)=P$54,P1150,FORECAST(D1150,OFFSET(S$56:S$254,MATCH(D1150,R$56:R$254,1)-1,0,2), OFFSET(R$56:R$254,MATCH(D1150,R$56:R$254,1)-1,0,2))),"")</f>
        <v>0</v>
      </c>
      <c r="R1150" s="7" t="str">
        <f t="array" ref="R1150">IFERROR(INDEX(E$56:E$1054,SMALL(IF(ISNUMBER(P$56:P$1054),ROW(E$1:E$999),""),ROW(J1095))),"")</f>
        <v/>
      </c>
      <c r="S1150" s="7" t="str">
        <f t="array" ref="S1150">IFERROR(INDEX(P$56:P$1054,SMALL(IF(ISNUMBER(P$56:P$1054),ROW(P$1:P$999),""),ROW(P1095))),"")</f>
        <v/>
      </c>
      <c r="T1150" s="7"/>
      <c r="U1150" s="7"/>
      <c r="V1150" s="7"/>
    </row>
    <row r="1151" spans="1:22" x14ac:dyDescent="0.25">
      <c r="A1151" s="6"/>
      <c r="B1151" s="7"/>
      <c r="C1151" s="7"/>
      <c r="D1151" s="7"/>
      <c r="E1151" s="8">
        <f t="shared" si="17"/>
        <v>0</v>
      </c>
      <c r="F1151" s="10"/>
      <c r="G1151" s="10"/>
      <c r="H1151" s="9"/>
      <c r="I1151" s="7"/>
      <c r="J1151" s="7"/>
      <c r="K1151" s="7">
        <f ca="1">IFERROR(IF(COUNTA(J$56:J1151)=J$54,J1151,FORECAST(D1151,OFFSET(M$56:M$254,MATCH(D1151,L$56:L$254,1)-1,0,2), OFFSET(L$56:L$254,MATCH(D1151,L$56:L$254,1)-1,0,2))),"")</f>
        <v>0</v>
      </c>
      <c r="L1151" s="7" t="str">
        <f t="array" ref="L1151">IFERROR(INDEX(D$56:D$1054,SMALL(IF(ISNUMBER(J$56:J$1054),ROW(D$1:D$999),""),ROW(D1096))),"")</f>
        <v/>
      </c>
      <c r="M1151" s="7" t="str">
        <f t="array" ref="M1151">IFERROR(INDEX(J$56:J$1054,SMALL(IF(ISNUMBER(J$56:J$1054),ROW(J$1:J$999),""),ROW(J1096))),"")</f>
        <v/>
      </c>
      <c r="N1151" s="7"/>
      <c r="O1151" s="7"/>
      <c r="P1151" s="7"/>
      <c r="Q1151" s="7">
        <f ca="1">IFERROR(IF(COUNTA(P$56:P1151)=P$54,P1151,FORECAST(D1151,OFFSET(S$56:S$254,MATCH(D1151,R$56:R$254,1)-1,0,2), OFFSET(R$56:R$254,MATCH(D1151,R$56:R$254,1)-1,0,2))),"")</f>
        <v>0</v>
      </c>
      <c r="R1151" s="7" t="str">
        <f t="array" ref="R1151">IFERROR(INDEX(E$56:E$1054,SMALL(IF(ISNUMBER(P$56:P$1054),ROW(E$1:E$999),""),ROW(J1096))),"")</f>
        <v/>
      </c>
      <c r="S1151" s="7" t="str">
        <f t="array" ref="S1151">IFERROR(INDEX(P$56:P$1054,SMALL(IF(ISNUMBER(P$56:P$1054),ROW(P$1:P$999),""),ROW(P1096))),"")</f>
        <v/>
      </c>
      <c r="T1151" s="7"/>
      <c r="U1151" s="7"/>
      <c r="V1151" s="7"/>
    </row>
    <row r="1152" spans="1:22" x14ac:dyDescent="0.25">
      <c r="A1152" s="6"/>
      <c r="B1152" s="7"/>
      <c r="C1152" s="7"/>
      <c r="D1152" s="7"/>
      <c r="E1152" s="8">
        <f t="shared" si="17"/>
        <v>0</v>
      </c>
      <c r="F1152" s="10"/>
      <c r="G1152" s="10"/>
      <c r="H1152" s="9"/>
      <c r="I1152" s="7"/>
      <c r="J1152" s="7"/>
      <c r="K1152" s="7">
        <f ca="1">IFERROR(IF(COUNTA(J$56:J1152)=J$54,J1152,FORECAST(D1152,OFFSET(M$56:M$254,MATCH(D1152,L$56:L$254,1)-1,0,2), OFFSET(L$56:L$254,MATCH(D1152,L$56:L$254,1)-1,0,2))),"")</f>
        <v>0</v>
      </c>
      <c r="L1152" s="7" t="str">
        <f t="array" ref="L1152">IFERROR(INDEX(D$56:D$1054,SMALL(IF(ISNUMBER(J$56:J$1054),ROW(D$1:D$999),""),ROW(D1097))),"")</f>
        <v/>
      </c>
      <c r="M1152" s="7" t="str">
        <f t="array" ref="M1152">IFERROR(INDEX(J$56:J$1054,SMALL(IF(ISNUMBER(J$56:J$1054),ROW(J$1:J$999),""),ROW(J1097))),"")</f>
        <v/>
      </c>
      <c r="N1152" s="7"/>
      <c r="O1152" s="7"/>
      <c r="P1152" s="7"/>
      <c r="Q1152" s="7">
        <f ca="1">IFERROR(IF(COUNTA(P$56:P1152)=P$54,P1152,FORECAST(D1152,OFFSET(S$56:S$254,MATCH(D1152,R$56:R$254,1)-1,0,2), OFFSET(R$56:R$254,MATCH(D1152,R$56:R$254,1)-1,0,2))),"")</f>
        <v>0</v>
      </c>
      <c r="R1152" s="7" t="str">
        <f t="array" ref="R1152">IFERROR(INDEX(E$56:E$1054,SMALL(IF(ISNUMBER(P$56:P$1054),ROW(E$1:E$999),""),ROW(J1097))),"")</f>
        <v/>
      </c>
      <c r="S1152" s="7" t="str">
        <f t="array" ref="S1152">IFERROR(INDEX(P$56:P$1054,SMALL(IF(ISNUMBER(P$56:P$1054),ROW(P$1:P$999),""),ROW(P1097))),"")</f>
        <v/>
      </c>
      <c r="T1152" s="7"/>
      <c r="U1152" s="7"/>
      <c r="V1152" s="7"/>
    </row>
    <row r="1153" spans="1:22" x14ac:dyDescent="0.25">
      <c r="A1153" s="6"/>
      <c r="B1153" s="7"/>
      <c r="C1153" s="7"/>
      <c r="D1153" s="7"/>
      <c r="E1153" s="8">
        <f t="shared" si="17"/>
        <v>0</v>
      </c>
      <c r="F1153" s="10"/>
      <c r="G1153" s="10"/>
      <c r="H1153" s="9"/>
      <c r="I1153" s="7"/>
      <c r="J1153" s="7"/>
      <c r="K1153" s="7">
        <f ca="1">IFERROR(IF(COUNTA(J$56:J1153)=J$54,J1153,FORECAST(D1153,OFFSET(M$56:M$254,MATCH(D1153,L$56:L$254,1)-1,0,2), OFFSET(L$56:L$254,MATCH(D1153,L$56:L$254,1)-1,0,2))),"")</f>
        <v>0</v>
      </c>
      <c r="L1153" s="7" t="str">
        <f t="array" ref="L1153">IFERROR(INDEX(D$56:D$1054,SMALL(IF(ISNUMBER(J$56:J$1054),ROW(D$1:D$999),""),ROW(D1098))),"")</f>
        <v/>
      </c>
      <c r="M1153" s="7" t="str">
        <f t="array" ref="M1153">IFERROR(INDEX(J$56:J$1054,SMALL(IF(ISNUMBER(J$56:J$1054),ROW(J$1:J$999),""),ROW(J1098))),"")</f>
        <v/>
      </c>
      <c r="N1153" s="7"/>
      <c r="O1153" s="7"/>
      <c r="P1153" s="7"/>
      <c r="Q1153" s="7">
        <f ca="1">IFERROR(IF(COUNTA(P$56:P1153)=P$54,P1153,FORECAST(D1153,OFFSET(S$56:S$254,MATCH(D1153,R$56:R$254,1)-1,0,2), OFFSET(R$56:R$254,MATCH(D1153,R$56:R$254,1)-1,0,2))),"")</f>
        <v>0</v>
      </c>
      <c r="R1153" s="7" t="str">
        <f t="array" ref="R1153">IFERROR(INDEX(E$56:E$1054,SMALL(IF(ISNUMBER(P$56:P$1054),ROW(E$1:E$999),""),ROW(J1098))),"")</f>
        <v/>
      </c>
      <c r="S1153" s="7" t="str">
        <f t="array" ref="S1153">IFERROR(INDEX(P$56:P$1054,SMALL(IF(ISNUMBER(P$56:P$1054),ROW(P$1:P$999),""),ROW(P1098))),"")</f>
        <v/>
      </c>
      <c r="T1153" s="7"/>
      <c r="U1153" s="7"/>
      <c r="V1153" s="7"/>
    </row>
    <row r="1154" spans="1:22" x14ac:dyDescent="0.25">
      <c r="A1154" s="6"/>
      <c r="B1154" s="7"/>
      <c r="C1154" s="7"/>
      <c r="D1154" s="7"/>
      <c r="E1154" s="8">
        <f t="shared" si="17"/>
        <v>0</v>
      </c>
      <c r="F1154" s="10"/>
      <c r="G1154" s="10"/>
      <c r="H1154" s="9"/>
      <c r="I1154" s="7"/>
      <c r="J1154" s="7"/>
      <c r="K1154" s="7">
        <f ca="1">IFERROR(IF(COUNTA(J$56:J1154)=J$54,J1154,FORECAST(D1154,OFFSET(M$56:M$254,MATCH(D1154,L$56:L$254,1)-1,0,2), OFFSET(L$56:L$254,MATCH(D1154,L$56:L$254,1)-1,0,2))),"")</f>
        <v>0</v>
      </c>
      <c r="L1154" s="7" t="str">
        <f t="array" ref="L1154">IFERROR(INDEX(D$56:D$1054,SMALL(IF(ISNUMBER(J$56:J$1054),ROW(D$1:D$999),""),ROW(D1099))),"")</f>
        <v/>
      </c>
      <c r="M1154" s="7" t="str">
        <f t="array" ref="M1154">IFERROR(INDEX(J$56:J$1054,SMALL(IF(ISNUMBER(J$56:J$1054),ROW(J$1:J$999),""),ROW(J1099))),"")</f>
        <v/>
      </c>
      <c r="N1154" s="7"/>
      <c r="O1154" s="7"/>
      <c r="P1154" s="7"/>
      <c r="Q1154" s="7">
        <f ca="1">IFERROR(IF(COUNTA(P$56:P1154)=P$54,P1154,FORECAST(D1154,OFFSET(S$56:S$254,MATCH(D1154,R$56:R$254,1)-1,0,2), OFFSET(R$56:R$254,MATCH(D1154,R$56:R$254,1)-1,0,2))),"")</f>
        <v>0</v>
      </c>
      <c r="R1154" s="7" t="str">
        <f t="array" ref="R1154">IFERROR(INDEX(E$56:E$1054,SMALL(IF(ISNUMBER(P$56:P$1054),ROW(E$1:E$999),""),ROW(J1099))),"")</f>
        <v/>
      </c>
      <c r="S1154" s="7" t="str">
        <f t="array" ref="S1154">IFERROR(INDEX(P$56:P$1054,SMALL(IF(ISNUMBER(P$56:P$1054),ROW(P$1:P$999),""),ROW(P1099))),"")</f>
        <v/>
      </c>
      <c r="T1154" s="7"/>
      <c r="U1154" s="7"/>
      <c r="V1154" s="7"/>
    </row>
    <row r="1155" spans="1:22" x14ac:dyDescent="0.25">
      <c r="A1155" s="6"/>
      <c r="B1155" s="7"/>
      <c r="C1155" s="7"/>
      <c r="D1155" s="7"/>
      <c r="E1155" s="8">
        <f t="shared" si="17"/>
        <v>0</v>
      </c>
      <c r="F1155" s="10"/>
      <c r="G1155" s="10"/>
      <c r="H1155" s="9"/>
      <c r="I1155" s="7"/>
      <c r="J1155" s="7"/>
      <c r="K1155" s="7">
        <f ca="1">IFERROR(IF(COUNTA(J$56:J1155)=J$54,J1155,FORECAST(D1155,OFFSET(M$56:M$254,MATCH(D1155,L$56:L$254,1)-1,0,2), OFFSET(L$56:L$254,MATCH(D1155,L$56:L$254,1)-1,0,2))),"")</f>
        <v>0</v>
      </c>
      <c r="L1155" s="7" t="str">
        <f t="array" ref="L1155">IFERROR(INDEX(D$56:D$1054,SMALL(IF(ISNUMBER(J$56:J$1054),ROW(D$1:D$999),""),ROW(D1100))),"")</f>
        <v/>
      </c>
      <c r="M1155" s="7" t="str">
        <f t="array" ref="M1155">IFERROR(INDEX(J$56:J$1054,SMALL(IF(ISNUMBER(J$56:J$1054),ROW(J$1:J$999),""),ROW(J1100))),"")</f>
        <v/>
      </c>
      <c r="N1155" s="7"/>
      <c r="O1155" s="7"/>
      <c r="P1155" s="7"/>
      <c r="Q1155" s="7">
        <f ca="1">IFERROR(IF(COUNTA(P$56:P1155)=P$54,P1155,FORECAST(D1155,OFFSET(S$56:S$254,MATCH(D1155,R$56:R$254,1)-1,0,2), OFFSET(R$56:R$254,MATCH(D1155,R$56:R$254,1)-1,0,2))),"")</f>
        <v>0</v>
      </c>
      <c r="R1155" s="7" t="str">
        <f t="array" ref="R1155">IFERROR(INDEX(E$56:E$1054,SMALL(IF(ISNUMBER(P$56:P$1054),ROW(E$1:E$999),""),ROW(J1100))),"")</f>
        <v/>
      </c>
      <c r="S1155" s="7" t="str">
        <f t="array" ref="S1155">IFERROR(INDEX(P$56:P$1054,SMALL(IF(ISNUMBER(P$56:P$1054),ROW(P$1:P$999),""),ROW(P1100))),"")</f>
        <v/>
      </c>
      <c r="T1155" s="7"/>
      <c r="U1155" s="7"/>
      <c r="V1155" s="7"/>
    </row>
    <row r="1156" spans="1:22" x14ac:dyDescent="0.25">
      <c r="A1156" s="6"/>
      <c r="B1156" s="7"/>
      <c r="C1156" s="7"/>
      <c r="D1156" s="7"/>
      <c r="E1156" s="8">
        <f t="shared" si="17"/>
        <v>0</v>
      </c>
      <c r="F1156" s="10"/>
      <c r="G1156" s="10"/>
      <c r="H1156" s="9"/>
      <c r="I1156" s="7"/>
      <c r="J1156" s="7"/>
      <c r="K1156" s="7">
        <f ca="1">IFERROR(IF(COUNTA(J$56:J1156)=J$54,J1156,FORECAST(D1156,OFFSET(M$56:M$254,MATCH(D1156,L$56:L$254,1)-1,0,2), OFFSET(L$56:L$254,MATCH(D1156,L$56:L$254,1)-1,0,2))),"")</f>
        <v>0</v>
      </c>
      <c r="L1156" s="7" t="str">
        <f t="array" ref="L1156">IFERROR(INDEX(D$56:D$1054,SMALL(IF(ISNUMBER(J$56:J$1054),ROW(D$1:D$999),""),ROW(D1101))),"")</f>
        <v/>
      </c>
      <c r="M1156" s="7" t="str">
        <f t="array" ref="M1156">IFERROR(INDEX(J$56:J$1054,SMALL(IF(ISNUMBER(J$56:J$1054),ROW(J$1:J$999),""),ROW(J1101))),"")</f>
        <v/>
      </c>
      <c r="N1156" s="7"/>
      <c r="O1156" s="7"/>
      <c r="P1156" s="7"/>
      <c r="Q1156" s="7">
        <f ca="1">IFERROR(IF(COUNTA(P$56:P1156)=P$54,P1156,FORECAST(D1156,OFFSET(S$56:S$254,MATCH(D1156,R$56:R$254,1)-1,0,2), OFFSET(R$56:R$254,MATCH(D1156,R$56:R$254,1)-1,0,2))),"")</f>
        <v>0</v>
      </c>
      <c r="R1156" s="7" t="str">
        <f t="array" ref="R1156">IFERROR(INDEX(E$56:E$1054,SMALL(IF(ISNUMBER(P$56:P$1054),ROW(E$1:E$999),""),ROW(J1101))),"")</f>
        <v/>
      </c>
      <c r="S1156" s="7" t="str">
        <f t="array" ref="S1156">IFERROR(INDEX(P$56:P$1054,SMALL(IF(ISNUMBER(P$56:P$1054),ROW(P$1:P$999),""),ROW(P1101))),"")</f>
        <v/>
      </c>
      <c r="T1156" s="7"/>
      <c r="U1156" s="7"/>
      <c r="V1156" s="7"/>
    </row>
    <row r="1157" spans="1:22" x14ac:dyDescent="0.25">
      <c r="A1157" s="6"/>
      <c r="B1157" s="7"/>
      <c r="C1157" s="7"/>
      <c r="D1157" s="7"/>
      <c r="E1157" s="8">
        <f t="shared" si="17"/>
        <v>0</v>
      </c>
      <c r="F1157" s="10"/>
      <c r="G1157" s="10"/>
      <c r="H1157" s="9"/>
      <c r="I1157" s="7"/>
      <c r="J1157" s="7"/>
      <c r="K1157" s="7">
        <f ca="1">IFERROR(IF(COUNTA(J$56:J1157)=J$54,J1157,FORECAST(D1157,OFFSET(M$56:M$254,MATCH(D1157,L$56:L$254,1)-1,0,2), OFFSET(L$56:L$254,MATCH(D1157,L$56:L$254,1)-1,0,2))),"")</f>
        <v>0</v>
      </c>
      <c r="L1157" s="7" t="str">
        <f t="array" ref="L1157">IFERROR(INDEX(D$56:D$1054,SMALL(IF(ISNUMBER(J$56:J$1054),ROW(D$1:D$999),""),ROW(D1102))),"")</f>
        <v/>
      </c>
      <c r="M1157" s="7" t="str">
        <f t="array" ref="M1157">IFERROR(INDEX(J$56:J$1054,SMALL(IF(ISNUMBER(J$56:J$1054),ROW(J$1:J$999),""),ROW(J1102))),"")</f>
        <v/>
      </c>
      <c r="N1157" s="7"/>
      <c r="O1157" s="7"/>
      <c r="P1157" s="7"/>
      <c r="Q1157" s="7">
        <f ca="1">IFERROR(IF(COUNTA(P$56:P1157)=P$54,P1157,FORECAST(D1157,OFFSET(S$56:S$254,MATCH(D1157,R$56:R$254,1)-1,0,2), OFFSET(R$56:R$254,MATCH(D1157,R$56:R$254,1)-1,0,2))),"")</f>
        <v>0</v>
      </c>
      <c r="R1157" s="7" t="str">
        <f t="array" ref="R1157">IFERROR(INDEX(E$56:E$1054,SMALL(IF(ISNUMBER(P$56:P$1054),ROW(E$1:E$999),""),ROW(J1102))),"")</f>
        <v/>
      </c>
      <c r="S1157" s="7" t="str">
        <f t="array" ref="S1157">IFERROR(INDEX(P$56:P$1054,SMALL(IF(ISNUMBER(P$56:P$1054),ROW(P$1:P$999),""),ROW(P1102))),"")</f>
        <v/>
      </c>
      <c r="T1157" s="7"/>
      <c r="U1157" s="7"/>
      <c r="V1157" s="7"/>
    </row>
    <row r="1158" spans="1:22" x14ac:dyDescent="0.25">
      <c r="A1158" s="6"/>
      <c r="B1158" s="7"/>
      <c r="C1158" s="7"/>
      <c r="D1158" s="7"/>
      <c r="E1158" s="8">
        <f t="shared" si="17"/>
        <v>0</v>
      </c>
      <c r="F1158" s="10"/>
      <c r="G1158" s="10"/>
      <c r="H1158" s="9"/>
      <c r="I1158" s="7"/>
      <c r="J1158" s="7"/>
      <c r="K1158" s="7">
        <f ca="1">IFERROR(IF(COUNTA(J$56:J1158)=J$54,J1158,FORECAST(D1158,OFFSET(M$56:M$254,MATCH(D1158,L$56:L$254,1)-1,0,2), OFFSET(L$56:L$254,MATCH(D1158,L$56:L$254,1)-1,0,2))),"")</f>
        <v>0</v>
      </c>
      <c r="L1158" s="7" t="str">
        <f t="array" ref="L1158">IFERROR(INDEX(D$56:D$1054,SMALL(IF(ISNUMBER(J$56:J$1054),ROW(D$1:D$999),""),ROW(D1103))),"")</f>
        <v/>
      </c>
      <c r="M1158" s="7" t="str">
        <f t="array" ref="M1158">IFERROR(INDEX(J$56:J$1054,SMALL(IF(ISNUMBER(J$56:J$1054),ROW(J$1:J$999),""),ROW(J1103))),"")</f>
        <v/>
      </c>
      <c r="N1158" s="7"/>
      <c r="O1158" s="7"/>
      <c r="P1158" s="7"/>
      <c r="Q1158" s="7">
        <f ca="1">IFERROR(IF(COUNTA(P$56:P1158)=P$54,P1158,FORECAST(D1158,OFFSET(S$56:S$254,MATCH(D1158,R$56:R$254,1)-1,0,2), OFFSET(R$56:R$254,MATCH(D1158,R$56:R$254,1)-1,0,2))),"")</f>
        <v>0</v>
      </c>
      <c r="R1158" s="7" t="str">
        <f t="array" ref="R1158">IFERROR(INDEX(E$56:E$1054,SMALL(IF(ISNUMBER(P$56:P$1054),ROW(E$1:E$999),""),ROW(J1103))),"")</f>
        <v/>
      </c>
      <c r="S1158" s="7" t="str">
        <f t="array" ref="S1158">IFERROR(INDEX(P$56:P$1054,SMALL(IF(ISNUMBER(P$56:P$1054),ROW(P$1:P$999),""),ROW(P1103))),"")</f>
        <v/>
      </c>
      <c r="T1158" s="7"/>
      <c r="U1158" s="7"/>
      <c r="V1158" s="7"/>
    </row>
    <row r="1159" spans="1:22" x14ac:dyDescent="0.25">
      <c r="A1159" s="6"/>
      <c r="B1159" s="7"/>
      <c r="C1159" s="7"/>
      <c r="D1159" s="7"/>
      <c r="E1159" s="8">
        <f t="shared" si="17"/>
        <v>0</v>
      </c>
      <c r="F1159" s="10"/>
      <c r="G1159" s="10"/>
      <c r="H1159" s="9"/>
      <c r="I1159" s="7"/>
      <c r="J1159" s="7"/>
      <c r="K1159" s="7">
        <f ca="1">IFERROR(IF(COUNTA(J$56:J1159)=J$54,J1159,FORECAST(D1159,OFFSET(M$56:M$254,MATCH(D1159,L$56:L$254,1)-1,0,2), OFFSET(L$56:L$254,MATCH(D1159,L$56:L$254,1)-1,0,2))),"")</f>
        <v>0</v>
      </c>
      <c r="L1159" s="7" t="str">
        <f t="array" ref="L1159">IFERROR(INDEX(D$56:D$1054,SMALL(IF(ISNUMBER(J$56:J$1054),ROW(D$1:D$999),""),ROW(D1104))),"")</f>
        <v/>
      </c>
      <c r="M1159" s="7" t="str">
        <f t="array" ref="M1159">IFERROR(INDEX(J$56:J$1054,SMALL(IF(ISNUMBER(J$56:J$1054),ROW(J$1:J$999),""),ROW(J1104))),"")</f>
        <v/>
      </c>
      <c r="N1159" s="7"/>
      <c r="O1159" s="7"/>
      <c r="P1159" s="7"/>
      <c r="Q1159" s="7">
        <f ca="1">IFERROR(IF(COUNTA(P$56:P1159)=P$54,P1159,FORECAST(D1159,OFFSET(S$56:S$254,MATCH(D1159,R$56:R$254,1)-1,0,2), OFFSET(R$56:R$254,MATCH(D1159,R$56:R$254,1)-1,0,2))),"")</f>
        <v>0</v>
      </c>
      <c r="R1159" s="7" t="str">
        <f t="array" ref="R1159">IFERROR(INDEX(E$56:E$1054,SMALL(IF(ISNUMBER(P$56:P$1054),ROW(E$1:E$999),""),ROW(J1104))),"")</f>
        <v/>
      </c>
      <c r="S1159" s="7" t="str">
        <f t="array" ref="S1159">IFERROR(INDEX(P$56:P$1054,SMALL(IF(ISNUMBER(P$56:P$1054),ROW(P$1:P$999),""),ROW(P1104))),"")</f>
        <v/>
      </c>
      <c r="T1159" s="7"/>
      <c r="U1159" s="7"/>
      <c r="V1159" s="7"/>
    </row>
    <row r="1160" spans="1:22" x14ac:dyDescent="0.25">
      <c r="A1160" s="6"/>
      <c r="B1160" s="7"/>
      <c r="C1160" s="7"/>
      <c r="D1160" s="7"/>
      <c r="E1160" s="8">
        <f t="shared" si="17"/>
        <v>0</v>
      </c>
      <c r="F1160" s="10"/>
      <c r="G1160" s="10"/>
      <c r="H1160" s="9"/>
      <c r="I1160" s="7"/>
      <c r="J1160" s="7"/>
      <c r="K1160" s="7">
        <f ca="1">IFERROR(IF(COUNTA(J$56:J1160)=J$54,J1160,FORECAST(D1160,OFFSET(M$56:M$254,MATCH(D1160,L$56:L$254,1)-1,0,2), OFFSET(L$56:L$254,MATCH(D1160,L$56:L$254,1)-1,0,2))),"")</f>
        <v>0</v>
      </c>
      <c r="L1160" s="7" t="str">
        <f t="array" ref="L1160">IFERROR(INDEX(D$56:D$1054,SMALL(IF(ISNUMBER(J$56:J$1054),ROW(D$1:D$999),""),ROW(D1105))),"")</f>
        <v/>
      </c>
      <c r="M1160" s="7" t="str">
        <f t="array" ref="M1160">IFERROR(INDEX(J$56:J$1054,SMALL(IF(ISNUMBER(J$56:J$1054),ROW(J$1:J$999),""),ROW(J1105))),"")</f>
        <v/>
      </c>
      <c r="N1160" s="7"/>
      <c r="O1160" s="7"/>
      <c r="P1160" s="7"/>
      <c r="Q1160" s="7">
        <f ca="1">IFERROR(IF(COUNTA(P$56:P1160)=P$54,P1160,FORECAST(D1160,OFFSET(S$56:S$254,MATCH(D1160,R$56:R$254,1)-1,0,2), OFFSET(R$56:R$254,MATCH(D1160,R$56:R$254,1)-1,0,2))),"")</f>
        <v>0</v>
      </c>
      <c r="R1160" s="7" t="str">
        <f t="array" ref="R1160">IFERROR(INDEX(E$56:E$1054,SMALL(IF(ISNUMBER(P$56:P$1054),ROW(E$1:E$999),""),ROW(J1105))),"")</f>
        <v/>
      </c>
      <c r="S1160" s="7" t="str">
        <f t="array" ref="S1160">IFERROR(INDEX(P$56:P$1054,SMALL(IF(ISNUMBER(P$56:P$1054),ROW(P$1:P$999),""),ROW(P1105))),"")</f>
        <v/>
      </c>
      <c r="T1160" s="7"/>
      <c r="U1160" s="7"/>
      <c r="V1160" s="7"/>
    </row>
    <row r="1161" spans="1:22" x14ac:dyDescent="0.25">
      <c r="A1161" s="6"/>
      <c r="B1161" s="7"/>
      <c r="C1161" s="7"/>
      <c r="D1161" s="7"/>
      <c r="E1161" s="8">
        <f t="shared" si="17"/>
        <v>0</v>
      </c>
      <c r="F1161" s="10"/>
      <c r="G1161" s="10"/>
      <c r="H1161" s="9"/>
      <c r="I1161" s="7"/>
      <c r="J1161" s="7"/>
      <c r="K1161" s="7">
        <f ca="1">IFERROR(IF(COUNTA(J$56:J1161)=J$54,J1161,FORECAST(D1161,OFFSET(M$56:M$254,MATCH(D1161,L$56:L$254,1)-1,0,2), OFFSET(L$56:L$254,MATCH(D1161,L$56:L$254,1)-1,0,2))),"")</f>
        <v>0</v>
      </c>
      <c r="L1161" s="7" t="str">
        <f t="array" ref="L1161">IFERROR(INDEX(D$56:D$1054,SMALL(IF(ISNUMBER(J$56:J$1054),ROW(D$1:D$999),""),ROW(D1106))),"")</f>
        <v/>
      </c>
      <c r="M1161" s="7" t="str">
        <f t="array" ref="M1161">IFERROR(INDEX(J$56:J$1054,SMALL(IF(ISNUMBER(J$56:J$1054),ROW(J$1:J$999),""),ROW(J1106))),"")</f>
        <v/>
      </c>
      <c r="N1161" s="7"/>
      <c r="O1161" s="7"/>
      <c r="P1161" s="7"/>
      <c r="Q1161" s="7">
        <f ca="1">IFERROR(IF(COUNTA(P$56:P1161)=P$54,P1161,FORECAST(D1161,OFFSET(S$56:S$254,MATCH(D1161,R$56:R$254,1)-1,0,2), OFFSET(R$56:R$254,MATCH(D1161,R$56:R$254,1)-1,0,2))),"")</f>
        <v>0</v>
      </c>
      <c r="R1161" s="7" t="str">
        <f t="array" ref="R1161">IFERROR(INDEX(E$56:E$1054,SMALL(IF(ISNUMBER(P$56:P$1054),ROW(E$1:E$999),""),ROW(J1106))),"")</f>
        <v/>
      </c>
      <c r="S1161" s="7" t="str">
        <f t="array" ref="S1161">IFERROR(INDEX(P$56:P$1054,SMALL(IF(ISNUMBER(P$56:P$1054),ROW(P$1:P$999),""),ROW(P1106))),"")</f>
        <v/>
      </c>
      <c r="T1161" s="7"/>
      <c r="U1161" s="7"/>
      <c r="V1161" s="7"/>
    </row>
    <row r="1162" spans="1:22" x14ac:dyDescent="0.25">
      <c r="A1162" s="6"/>
      <c r="B1162" s="7"/>
      <c r="C1162" s="7"/>
      <c r="D1162" s="7"/>
      <c r="E1162" s="8">
        <f t="shared" si="17"/>
        <v>0</v>
      </c>
      <c r="F1162" s="10"/>
      <c r="G1162" s="10"/>
      <c r="H1162" s="9"/>
      <c r="I1162" s="7"/>
      <c r="J1162" s="7"/>
      <c r="K1162" s="7">
        <f ca="1">IFERROR(IF(COUNTA(J$56:J1162)=J$54,J1162,FORECAST(D1162,OFFSET(M$56:M$254,MATCH(D1162,L$56:L$254,1)-1,0,2), OFFSET(L$56:L$254,MATCH(D1162,L$56:L$254,1)-1,0,2))),"")</f>
        <v>0</v>
      </c>
      <c r="L1162" s="7" t="str">
        <f t="array" ref="L1162">IFERROR(INDEX(D$56:D$1054,SMALL(IF(ISNUMBER(J$56:J$1054),ROW(D$1:D$999),""),ROW(D1107))),"")</f>
        <v/>
      </c>
      <c r="M1162" s="7" t="str">
        <f t="array" ref="M1162">IFERROR(INDEX(J$56:J$1054,SMALL(IF(ISNUMBER(J$56:J$1054),ROW(J$1:J$999),""),ROW(J1107))),"")</f>
        <v/>
      </c>
      <c r="N1162" s="7"/>
      <c r="O1162" s="7"/>
      <c r="P1162" s="7"/>
      <c r="Q1162" s="7">
        <f ca="1">IFERROR(IF(COUNTA(P$56:P1162)=P$54,P1162,FORECAST(D1162,OFFSET(S$56:S$254,MATCH(D1162,R$56:R$254,1)-1,0,2), OFFSET(R$56:R$254,MATCH(D1162,R$56:R$254,1)-1,0,2))),"")</f>
        <v>0</v>
      </c>
      <c r="R1162" s="7" t="str">
        <f t="array" ref="R1162">IFERROR(INDEX(E$56:E$1054,SMALL(IF(ISNUMBER(P$56:P$1054),ROW(E$1:E$999),""),ROW(J1107))),"")</f>
        <v/>
      </c>
      <c r="S1162" s="7" t="str">
        <f t="array" ref="S1162">IFERROR(INDEX(P$56:P$1054,SMALL(IF(ISNUMBER(P$56:P$1054),ROW(P$1:P$999),""),ROW(P1107))),"")</f>
        <v/>
      </c>
      <c r="T1162" s="7"/>
      <c r="U1162" s="7"/>
      <c r="V1162" s="7"/>
    </row>
    <row r="1163" spans="1:22" x14ac:dyDescent="0.25">
      <c r="A1163" s="6"/>
      <c r="B1163" s="7"/>
      <c r="C1163" s="7"/>
      <c r="D1163" s="7"/>
      <c r="E1163" s="8">
        <f t="shared" si="17"/>
        <v>0</v>
      </c>
      <c r="F1163" s="10"/>
      <c r="G1163" s="10"/>
      <c r="H1163" s="9"/>
      <c r="I1163" s="7"/>
      <c r="J1163" s="7"/>
      <c r="K1163" s="7">
        <f ca="1">IFERROR(IF(COUNTA(J$56:J1163)=J$54,J1163,FORECAST(D1163,OFFSET(M$56:M$254,MATCH(D1163,L$56:L$254,1)-1,0,2), OFFSET(L$56:L$254,MATCH(D1163,L$56:L$254,1)-1,0,2))),"")</f>
        <v>0</v>
      </c>
      <c r="L1163" s="7" t="str">
        <f t="array" ref="L1163">IFERROR(INDEX(D$56:D$1054,SMALL(IF(ISNUMBER(J$56:J$1054),ROW(D$1:D$999),""),ROW(D1108))),"")</f>
        <v/>
      </c>
      <c r="M1163" s="7" t="str">
        <f t="array" ref="M1163">IFERROR(INDEX(J$56:J$1054,SMALL(IF(ISNUMBER(J$56:J$1054),ROW(J$1:J$999),""),ROW(J1108))),"")</f>
        <v/>
      </c>
      <c r="N1163" s="7"/>
      <c r="O1163" s="7"/>
      <c r="P1163" s="7"/>
      <c r="Q1163" s="7">
        <f ca="1">IFERROR(IF(COUNTA(P$56:P1163)=P$54,P1163,FORECAST(D1163,OFFSET(S$56:S$254,MATCH(D1163,R$56:R$254,1)-1,0,2), OFFSET(R$56:R$254,MATCH(D1163,R$56:R$254,1)-1,0,2))),"")</f>
        <v>0</v>
      </c>
      <c r="R1163" s="7" t="str">
        <f t="array" ref="R1163">IFERROR(INDEX(E$56:E$1054,SMALL(IF(ISNUMBER(P$56:P$1054),ROW(E$1:E$999),""),ROW(J1108))),"")</f>
        <v/>
      </c>
      <c r="S1163" s="7" t="str">
        <f t="array" ref="S1163">IFERROR(INDEX(P$56:P$1054,SMALL(IF(ISNUMBER(P$56:P$1054),ROW(P$1:P$999),""),ROW(P1108))),"")</f>
        <v/>
      </c>
      <c r="T1163" s="7"/>
      <c r="U1163" s="7"/>
      <c r="V1163" s="7"/>
    </row>
    <row r="1164" spans="1:22" x14ac:dyDescent="0.25">
      <c r="A1164" s="6"/>
      <c r="B1164" s="7"/>
      <c r="C1164" s="7"/>
      <c r="D1164" s="7"/>
      <c r="E1164" s="8">
        <f t="shared" si="17"/>
        <v>0</v>
      </c>
      <c r="F1164" s="10"/>
      <c r="G1164" s="10"/>
      <c r="H1164" s="9"/>
      <c r="I1164" s="7"/>
      <c r="J1164" s="7"/>
      <c r="K1164" s="7">
        <f ca="1">IFERROR(IF(COUNTA(J$56:J1164)=J$54,J1164,FORECAST(D1164,OFFSET(M$56:M$254,MATCH(D1164,L$56:L$254,1)-1,0,2), OFFSET(L$56:L$254,MATCH(D1164,L$56:L$254,1)-1,0,2))),"")</f>
        <v>0</v>
      </c>
      <c r="L1164" s="7" t="str">
        <f t="array" ref="L1164">IFERROR(INDEX(D$56:D$1054,SMALL(IF(ISNUMBER(J$56:J$1054),ROW(D$1:D$999),""),ROW(D1109))),"")</f>
        <v/>
      </c>
      <c r="M1164" s="7" t="str">
        <f t="array" ref="M1164">IFERROR(INDEX(J$56:J$1054,SMALL(IF(ISNUMBER(J$56:J$1054),ROW(J$1:J$999),""),ROW(J1109))),"")</f>
        <v/>
      </c>
      <c r="N1164" s="7"/>
      <c r="O1164" s="7"/>
      <c r="P1164" s="7"/>
      <c r="Q1164" s="7">
        <f ca="1">IFERROR(IF(COUNTA(P$56:P1164)=P$54,P1164,FORECAST(D1164,OFFSET(S$56:S$254,MATCH(D1164,R$56:R$254,1)-1,0,2), OFFSET(R$56:R$254,MATCH(D1164,R$56:R$254,1)-1,0,2))),"")</f>
        <v>0</v>
      </c>
      <c r="R1164" s="7" t="str">
        <f t="array" ref="R1164">IFERROR(INDEX(E$56:E$1054,SMALL(IF(ISNUMBER(P$56:P$1054),ROW(E$1:E$999),""),ROW(J1109))),"")</f>
        <v/>
      </c>
      <c r="S1164" s="7" t="str">
        <f t="array" ref="S1164">IFERROR(INDEX(P$56:P$1054,SMALL(IF(ISNUMBER(P$56:P$1054),ROW(P$1:P$999),""),ROW(P1109))),"")</f>
        <v/>
      </c>
      <c r="T1164" s="7"/>
      <c r="U1164" s="7"/>
      <c r="V1164" s="7"/>
    </row>
    <row r="1165" spans="1:22" x14ac:dyDescent="0.25">
      <c r="A1165" s="6"/>
      <c r="B1165" s="7"/>
      <c r="C1165" s="7"/>
      <c r="D1165" s="7"/>
      <c r="E1165" s="8">
        <f t="shared" si="17"/>
        <v>0</v>
      </c>
      <c r="F1165" s="10"/>
      <c r="G1165" s="10"/>
      <c r="H1165" s="9"/>
      <c r="I1165" s="7"/>
      <c r="J1165" s="7"/>
      <c r="K1165" s="7">
        <f ca="1">IFERROR(IF(COUNTA(J$56:J1165)=J$54,J1165,FORECAST(D1165,OFFSET(M$56:M$254,MATCH(D1165,L$56:L$254,1)-1,0,2), OFFSET(L$56:L$254,MATCH(D1165,L$56:L$254,1)-1,0,2))),"")</f>
        <v>0</v>
      </c>
      <c r="L1165" s="7" t="str">
        <f t="array" ref="L1165">IFERROR(INDEX(D$56:D$1054,SMALL(IF(ISNUMBER(J$56:J$1054),ROW(D$1:D$999),""),ROW(D1110))),"")</f>
        <v/>
      </c>
      <c r="M1165" s="7" t="str">
        <f t="array" ref="M1165">IFERROR(INDEX(J$56:J$1054,SMALL(IF(ISNUMBER(J$56:J$1054),ROW(J$1:J$999),""),ROW(J1110))),"")</f>
        <v/>
      </c>
      <c r="N1165" s="7"/>
      <c r="O1165" s="7"/>
      <c r="P1165" s="7"/>
      <c r="Q1165" s="7">
        <f ca="1">IFERROR(IF(COUNTA(P$56:P1165)=P$54,P1165,FORECAST(D1165,OFFSET(S$56:S$254,MATCH(D1165,R$56:R$254,1)-1,0,2), OFFSET(R$56:R$254,MATCH(D1165,R$56:R$254,1)-1,0,2))),"")</f>
        <v>0</v>
      </c>
      <c r="R1165" s="7" t="str">
        <f t="array" ref="R1165">IFERROR(INDEX(E$56:E$1054,SMALL(IF(ISNUMBER(P$56:P$1054),ROW(E$1:E$999),""),ROW(J1110))),"")</f>
        <v/>
      </c>
      <c r="S1165" s="7" t="str">
        <f t="array" ref="S1165">IFERROR(INDEX(P$56:P$1054,SMALL(IF(ISNUMBER(P$56:P$1054),ROW(P$1:P$999),""),ROW(P1110))),"")</f>
        <v/>
      </c>
      <c r="T1165" s="7"/>
      <c r="U1165" s="7"/>
      <c r="V1165" s="7"/>
    </row>
    <row r="1166" spans="1:22" x14ac:dyDescent="0.25">
      <c r="A1166" s="6"/>
      <c r="B1166" s="7"/>
      <c r="C1166" s="7"/>
      <c r="D1166" s="7"/>
      <c r="E1166" s="8">
        <f t="shared" si="17"/>
        <v>0</v>
      </c>
      <c r="F1166" s="10"/>
      <c r="G1166" s="10"/>
      <c r="H1166" s="9"/>
      <c r="I1166" s="7"/>
      <c r="J1166" s="7"/>
      <c r="K1166" s="7">
        <f ca="1">IFERROR(IF(COUNTA(J$56:J1166)=J$54,J1166,FORECAST(D1166,OFFSET(M$56:M$254,MATCH(D1166,L$56:L$254,1)-1,0,2), OFFSET(L$56:L$254,MATCH(D1166,L$56:L$254,1)-1,0,2))),"")</f>
        <v>0</v>
      </c>
      <c r="L1166" s="7" t="str">
        <f t="array" ref="L1166">IFERROR(INDEX(D$56:D$1054,SMALL(IF(ISNUMBER(J$56:J$1054),ROW(D$1:D$999),""),ROW(D1111))),"")</f>
        <v/>
      </c>
      <c r="M1166" s="7" t="str">
        <f t="array" ref="M1166">IFERROR(INDEX(J$56:J$1054,SMALL(IF(ISNUMBER(J$56:J$1054),ROW(J$1:J$999),""),ROW(J1111))),"")</f>
        <v/>
      </c>
      <c r="N1166" s="7"/>
      <c r="O1166" s="7"/>
      <c r="P1166" s="7"/>
      <c r="Q1166" s="7">
        <f ca="1">IFERROR(IF(COUNTA(P$56:P1166)=P$54,P1166,FORECAST(D1166,OFFSET(S$56:S$254,MATCH(D1166,R$56:R$254,1)-1,0,2), OFFSET(R$56:R$254,MATCH(D1166,R$56:R$254,1)-1,0,2))),"")</f>
        <v>0</v>
      </c>
      <c r="R1166" s="7" t="str">
        <f t="array" ref="R1166">IFERROR(INDEX(E$56:E$1054,SMALL(IF(ISNUMBER(P$56:P$1054),ROW(E$1:E$999),""),ROW(J1111))),"")</f>
        <v/>
      </c>
      <c r="S1166" s="7" t="str">
        <f t="array" ref="S1166">IFERROR(INDEX(P$56:P$1054,SMALL(IF(ISNUMBER(P$56:P$1054),ROW(P$1:P$999),""),ROW(P1111))),"")</f>
        <v/>
      </c>
      <c r="T1166" s="7"/>
      <c r="U1166" s="7"/>
      <c r="V1166" s="7"/>
    </row>
    <row r="1167" spans="1:22" x14ac:dyDescent="0.25">
      <c r="A1167" s="6"/>
      <c r="B1167" s="7"/>
      <c r="C1167" s="7"/>
      <c r="D1167" s="7"/>
      <c r="E1167" s="8">
        <f t="shared" si="17"/>
        <v>0</v>
      </c>
      <c r="F1167" s="10"/>
      <c r="G1167" s="10"/>
      <c r="H1167" s="9"/>
      <c r="I1167" s="7"/>
      <c r="J1167" s="7"/>
      <c r="K1167" s="7">
        <f ca="1">IFERROR(IF(COUNTA(J$56:J1167)=J$54,J1167,FORECAST(D1167,OFFSET(M$56:M$254,MATCH(D1167,L$56:L$254,1)-1,0,2), OFFSET(L$56:L$254,MATCH(D1167,L$56:L$254,1)-1,0,2))),"")</f>
        <v>0</v>
      </c>
      <c r="L1167" s="7" t="str">
        <f t="array" ref="L1167">IFERROR(INDEX(D$56:D$1054,SMALL(IF(ISNUMBER(J$56:J$1054),ROW(D$1:D$999),""),ROW(D1112))),"")</f>
        <v/>
      </c>
      <c r="M1167" s="7" t="str">
        <f t="array" ref="M1167">IFERROR(INDEX(J$56:J$1054,SMALL(IF(ISNUMBER(J$56:J$1054),ROW(J$1:J$999),""),ROW(J1112))),"")</f>
        <v/>
      </c>
      <c r="N1167" s="7"/>
      <c r="O1167" s="7"/>
      <c r="P1167" s="7"/>
      <c r="Q1167" s="7">
        <f ca="1">IFERROR(IF(COUNTA(P$56:P1167)=P$54,P1167,FORECAST(D1167,OFFSET(S$56:S$254,MATCH(D1167,R$56:R$254,1)-1,0,2), OFFSET(R$56:R$254,MATCH(D1167,R$56:R$254,1)-1,0,2))),"")</f>
        <v>0</v>
      </c>
      <c r="R1167" s="7" t="str">
        <f t="array" ref="R1167">IFERROR(INDEX(E$56:E$1054,SMALL(IF(ISNUMBER(P$56:P$1054),ROW(E$1:E$999),""),ROW(J1112))),"")</f>
        <v/>
      </c>
      <c r="S1167" s="7" t="str">
        <f t="array" ref="S1167">IFERROR(INDEX(P$56:P$1054,SMALL(IF(ISNUMBER(P$56:P$1054),ROW(P$1:P$999),""),ROW(P1112))),"")</f>
        <v/>
      </c>
      <c r="T1167" s="7"/>
      <c r="U1167" s="7"/>
      <c r="V1167" s="7"/>
    </row>
    <row r="1168" spans="1:22" x14ac:dyDescent="0.25">
      <c r="A1168" s="6"/>
      <c r="B1168" s="7"/>
      <c r="C1168" s="7"/>
      <c r="D1168" s="7"/>
      <c r="E1168" s="8">
        <f t="shared" si="17"/>
        <v>0</v>
      </c>
      <c r="F1168" s="10"/>
      <c r="G1168" s="10"/>
      <c r="H1168" s="9"/>
      <c r="I1168" s="7"/>
      <c r="J1168" s="7"/>
      <c r="K1168" s="7">
        <f ca="1">IFERROR(IF(COUNTA(J$56:J1168)=J$54,J1168,FORECAST(D1168,OFFSET(M$56:M$254,MATCH(D1168,L$56:L$254,1)-1,0,2), OFFSET(L$56:L$254,MATCH(D1168,L$56:L$254,1)-1,0,2))),"")</f>
        <v>0</v>
      </c>
      <c r="L1168" s="7" t="str">
        <f t="array" ref="L1168">IFERROR(INDEX(D$56:D$1054,SMALL(IF(ISNUMBER(J$56:J$1054),ROW(D$1:D$999),""),ROW(D1113))),"")</f>
        <v/>
      </c>
      <c r="M1168" s="7" t="str">
        <f t="array" ref="M1168">IFERROR(INDEX(J$56:J$1054,SMALL(IF(ISNUMBER(J$56:J$1054),ROW(J$1:J$999),""),ROW(J1113))),"")</f>
        <v/>
      </c>
      <c r="N1168" s="7"/>
      <c r="O1168" s="7"/>
      <c r="P1168" s="7"/>
      <c r="Q1168" s="7">
        <f ca="1">IFERROR(IF(COUNTA(P$56:P1168)=P$54,P1168,FORECAST(D1168,OFFSET(S$56:S$254,MATCH(D1168,R$56:R$254,1)-1,0,2), OFFSET(R$56:R$254,MATCH(D1168,R$56:R$254,1)-1,0,2))),"")</f>
        <v>0</v>
      </c>
      <c r="R1168" s="7" t="str">
        <f t="array" ref="R1168">IFERROR(INDEX(E$56:E$1054,SMALL(IF(ISNUMBER(P$56:P$1054),ROW(E$1:E$999),""),ROW(J1113))),"")</f>
        <v/>
      </c>
      <c r="S1168" s="7" t="str">
        <f t="array" ref="S1168">IFERROR(INDEX(P$56:P$1054,SMALL(IF(ISNUMBER(P$56:P$1054),ROW(P$1:P$999),""),ROW(P1113))),"")</f>
        <v/>
      </c>
      <c r="T1168" s="7"/>
      <c r="U1168" s="7"/>
      <c r="V1168" s="7"/>
    </row>
    <row r="1169" spans="1:22" x14ac:dyDescent="0.25">
      <c r="A1169" s="6"/>
      <c r="B1169" s="7"/>
      <c r="C1169" s="7"/>
      <c r="D1169" s="7"/>
      <c r="E1169" s="8">
        <f t="shared" si="17"/>
        <v>0</v>
      </c>
      <c r="F1169" s="10"/>
      <c r="G1169" s="10"/>
      <c r="H1169" s="9"/>
      <c r="I1169" s="7"/>
      <c r="J1169" s="7"/>
      <c r="K1169" s="7">
        <f ca="1">IFERROR(IF(COUNTA(J$56:J1169)=J$54,J1169,FORECAST(D1169,OFFSET(M$56:M$254,MATCH(D1169,L$56:L$254,1)-1,0,2), OFFSET(L$56:L$254,MATCH(D1169,L$56:L$254,1)-1,0,2))),"")</f>
        <v>0</v>
      </c>
      <c r="L1169" s="7" t="str">
        <f t="array" ref="L1169">IFERROR(INDEX(D$56:D$1054,SMALL(IF(ISNUMBER(J$56:J$1054),ROW(D$1:D$999),""),ROW(D1114))),"")</f>
        <v/>
      </c>
      <c r="M1169" s="7" t="str">
        <f t="array" ref="M1169">IFERROR(INDEX(J$56:J$1054,SMALL(IF(ISNUMBER(J$56:J$1054),ROW(J$1:J$999),""),ROW(J1114))),"")</f>
        <v/>
      </c>
      <c r="N1169" s="7"/>
      <c r="O1169" s="7"/>
      <c r="P1169" s="7"/>
      <c r="Q1169" s="7">
        <f ca="1">IFERROR(IF(COUNTA(P$56:P1169)=P$54,P1169,FORECAST(D1169,OFFSET(S$56:S$254,MATCH(D1169,R$56:R$254,1)-1,0,2), OFFSET(R$56:R$254,MATCH(D1169,R$56:R$254,1)-1,0,2))),"")</f>
        <v>0</v>
      </c>
      <c r="R1169" s="7" t="str">
        <f t="array" ref="R1169">IFERROR(INDEX(E$56:E$1054,SMALL(IF(ISNUMBER(P$56:P$1054),ROW(E$1:E$999),""),ROW(J1114))),"")</f>
        <v/>
      </c>
      <c r="S1169" s="7" t="str">
        <f t="array" ref="S1169">IFERROR(INDEX(P$56:P$1054,SMALL(IF(ISNUMBER(P$56:P$1054),ROW(P$1:P$999),""),ROW(P1114))),"")</f>
        <v/>
      </c>
      <c r="T1169" s="7"/>
      <c r="U1169" s="7"/>
      <c r="V1169" s="7"/>
    </row>
    <row r="1170" spans="1:22" x14ac:dyDescent="0.25">
      <c r="A1170" s="6"/>
      <c r="B1170" s="7"/>
      <c r="C1170" s="7"/>
      <c r="D1170" s="7"/>
      <c r="E1170" s="8">
        <f t="shared" si="17"/>
        <v>0</v>
      </c>
      <c r="F1170" s="10"/>
      <c r="G1170" s="10"/>
      <c r="H1170" s="9"/>
      <c r="I1170" s="7"/>
      <c r="J1170" s="7"/>
      <c r="K1170" s="7">
        <f ca="1">IFERROR(IF(COUNTA(J$56:J1170)=J$54,J1170,FORECAST(D1170,OFFSET(M$56:M$254,MATCH(D1170,L$56:L$254,1)-1,0,2), OFFSET(L$56:L$254,MATCH(D1170,L$56:L$254,1)-1,0,2))),"")</f>
        <v>0</v>
      </c>
      <c r="L1170" s="7" t="str">
        <f t="array" ref="L1170">IFERROR(INDEX(D$56:D$1054,SMALL(IF(ISNUMBER(J$56:J$1054),ROW(D$1:D$999),""),ROW(D1115))),"")</f>
        <v/>
      </c>
      <c r="M1170" s="7" t="str">
        <f t="array" ref="M1170">IFERROR(INDEX(J$56:J$1054,SMALL(IF(ISNUMBER(J$56:J$1054),ROW(J$1:J$999),""),ROW(J1115))),"")</f>
        <v/>
      </c>
      <c r="N1170" s="7"/>
      <c r="O1170" s="7"/>
      <c r="P1170" s="7"/>
      <c r="Q1170" s="7">
        <f ca="1">IFERROR(IF(COUNTA(P$56:P1170)=P$54,P1170,FORECAST(D1170,OFFSET(S$56:S$254,MATCH(D1170,R$56:R$254,1)-1,0,2), OFFSET(R$56:R$254,MATCH(D1170,R$56:R$254,1)-1,0,2))),"")</f>
        <v>0</v>
      </c>
      <c r="R1170" s="7" t="str">
        <f t="array" ref="R1170">IFERROR(INDEX(E$56:E$1054,SMALL(IF(ISNUMBER(P$56:P$1054),ROW(E$1:E$999),""),ROW(J1115))),"")</f>
        <v/>
      </c>
      <c r="S1170" s="7" t="str">
        <f t="array" ref="S1170">IFERROR(INDEX(P$56:P$1054,SMALL(IF(ISNUMBER(P$56:P$1054),ROW(P$1:P$999),""),ROW(P1115))),"")</f>
        <v/>
      </c>
      <c r="T1170" s="7"/>
      <c r="U1170" s="7"/>
      <c r="V1170" s="7"/>
    </row>
    <row r="1171" spans="1:22" x14ac:dyDescent="0.25">
      <c r="A1171" s="6"/>
      <c r="B1171" s="7"/>
      <c r="C1171" s="7"/>
      <c r="D1171" s="7"/>
      <c r="E1171" s="8">
        <f t="shared" si="17"/>
        <v>0</v>
      </c>
      <c r="F1171" s="10"/>
      <c r="G1171" s="10"/>
      <c r="H1171" s="9"/>
      <c r="I1171" s="7"/>
      <c r="J1171" s="7"/>
      <c r="K1171" s="7">
        <f ca="1">IFERROR(IF(COUNTA(J$56:J1171)=J$54,J1171,FORECAST(D1171,OFFSET(M$56:M$254,MATCH(D1171,L$56:L$254,1)-1,0,2), OFFSET(L$56:L$254,MATCH(D1171,L$56:L$254,1)-1,0,2))),"")</f>
        <v>0</v>
      </c>
      <c r="L1171" s="7" t="str">
        <f t="array" ref="L1171">IFERROR(INDEX(D$56:D$1054,SMALL(IF(ISNUMBER(J$56:J$1054),ROW(D$1:D$999),""),ROW(D1116))),"")</f>
        <v/>
      </c>
      <c r="M1171" s="7" t="str">
        <f t="array" ref="M1171">IFERROR(INDEX(J$56:J$1054,SMALL(IF(ISNUMBER(J$56:J$1054),ROW(J$1:J$999),""),ROW(J1116))),"")</f>
        <v/>
      </c>
      <c r="N1171" s="7"/>
      <c r="O1171" s="7"/>
      <c r="P1171" s="7"/>
      <c r="Q1171" s="7">
        <f ca="1">IFERROR(IF(COUNTA(P$56:P1171)=P$54,P1171,FORECAST(D1171,OFFSET(S$56:S$254,MATCH(D1171,R$56:R$254,1)-1,0,2), OFFSET(R$56:R$254,MATCH(D1171,R$56:R$254,1)-1,0,2))),"")</f>
        <v>0</v>
      </c>
      <c r="R1171" s="7" t="str">
        <f t="array" ref="R1171">IFERROR(INDEX(E$56:E$1054,SMALL(IF(ISNUMBER(P$56:P$1054),ROW(E$1:E$999),""),ROW(J1116))),"")</f>
        <v/>
      </c>
      <c r="S1171" s="7" t="str">
        <f t="array" ref="S1171">IFERROR(INDEX(P$56:P$1054,SMALL(IF(ISNUMBER(P$56:P$1054),ROW(P$1:P$999),""),ROW(P1116))),"")</f>
        <v/>
      </c>
      <c r="T1171" s="7"/>
      <c r="U1171" s="7"/>
      <c r="V1171" s="7"/>
    </row>
    <row r="1172" spans="1:22" x14ac:dyDescent="0.25">
      <c r="A1172" s="6"/>
      <c r="B1172" s="7"/>
      <c r="C1172" s="7"/>
      <c r="D1172" s="7"/>
      <c r="E1172" s="8">
        <f t="shared" si="17"/>
        <v>0</v>
      </c>
      <c r="F1172" s="10"/>
      <c r="G1172" s="10"/>
      <c r="H1172" s="9"/>
      <c r="I1172" s="7"/>
      <c r="J1172" s="7"/>
      <c r="K1172" s="7">
        <f ca="1">IFERROR(IF(COUNTA(J$56:J1172)=J$54,J1172,FORECAST(D1172,OFFSET(M$56:M$254,MATCH(D1172,L$56:L$254,1)-1,0,2), OFFSET(L$56:L$254,MATCH(D1172,L$56:L$254,1)-1,0,2))),"")</f>
        <v>0</v>
      </c>
      <c r="L1172" s="7" t="str">
        <f t="array" ref="L1172">IFERROR(INDEX(D$56:D$1054,SMALL(IF(ISNUMBER(J$56:J$1054),ROW(D$1:D$999),""),ROW(D1117))),"")</f>
        <v/>
      </c>
      <c r="M1172" s="7" t="str">
        <f t="array" ref="M1172">IFERROR(INDEX(J$56:J$1054,SMALL(IF(ISNUMBER(J$56:J$1054),ROW(J$1:J$999),""),ROW(J1117))),"")</f>
        <v/>
      </c>
      <c r="N1172" s="7"/>
      <c r="O1172" s="7"/>
      <c r="P1172" s="7"/>
      <c r="Q1172" s="7">
        <f ca="1">IFERROR(IF(COUNTA(P$56:P1172)=P$54,P1172,FORECAST(D1172,OFFSET(S$56:S$254,MATCH(D1172,R$56:R$254,1)-1,0,2), OFFSET(R$56:R$254,MATCH(D1172,R$56:R$254,1)-1,0,2))),"")</f>
        <v>0</v>
      </c>
      <c r="R1172" s="7" t="str">
        <f t="array" ref="R1172">IFERROR(INDEX(E$56:E$1054,SMALL(IF(ISNUMBER(P$56:P$1054),ROW(E$1:E$999),""),ROW(J1117))),"")</f>
        <v/>
      </c>
      <c r="S1172" s="7" t="str">
        <f t="array" ref="S1172">IFERROR(INDEX(P$56:P$1054,SMALL(IF(ISNUMBER(P$56:P$1054),ROW(P$1:P$999),""),ROW(P1117))),"")</f>
        <v/>
      </c>
      <c r="T1172" s="7"/>
      <c r="U1172" s="7"/>
      <c r="V1172" s="7"/>
    </row>
    <row r="1173" spans="1:22" x14ac:dyDescent="0.25">
      <c r="A1173" s="6"/>
      <c r="B1173" s="7"/>
      <c r="C1173" s="7"/>
      <c r="D1173" s="7"/>
      <c r="E1173" s="8">
        <f t="shared" si="17"/>
        <v>0</v>
      </c>
      <c r="F1173" s="10"/>
      <c r="G1173" s="10"/>
      <c r="H1173" s="9"/>
      <c r="I1173" s="7"/>
      <c r="J1173" s="7"/>
      <c r="K1173" s="7">
        <f ca="1">IFERROR(IF(COUNTA(J$56:J1173)=J$54,J1173,FORECAST(D1173,OFFSET(M$56:M$254,MATCH(D1173,L$56:L$254,1)-1,0,2), OFFSET(L$56:L$254,MATCH(D1173,L$56:L$254,1)-1,0,2))),"")</f>
        <v>0</v>
      </c>
      <c r="L1173" s="7" t="str">
        <f t="array" ref="L1173">IFERROR(INDEX(D$56:D$1054,SMALL(IF(ISNUMBER(J$56:J$1054),ROW(D$1:D$999),""),ROW(D1118))),"")</f>
        <v/>
      </c>
      <c r="M1173" s="7" t="str">
        <f t="array" ref="M1173">IFERROR(INDEX(J$56:J$1054,SMALL(IF(ISNUMBER(J$56:J$1054),ROW(J$1:J$999),""),ROW(J1118))),"")</f>
        <v/>
      </c>
      <c r="N1173" s="7"/>
      <c r="O1173" s="7"/>
      <c r="P1173" s="7"/>
      <c r="Q1173" s="7">
        <f ca="1">IFERROR(IF(COUNTA(P$56:P1173)=P$54,P1173,FORECAST(D1173,OFFSET(S$56:S$254,MATCH(D1173,R$56:R$254,1)-1,0,2), OFFSET(R$56:R$254,MATCH(D1173,R$56:R$254,1)-1,0,2))),"")</f>
        <v>0</v>
      </c>
      <c r="R1173" s="7" t="str">
        <f t="array" ref="R1173">IFERROR(INDEX(E$56:E$1054,SMALL(IF(ISNUMBER(P$56:P$1054),ROW(E$1:E$999),""),ROW(J1118))),"")</f>
        <v/>
      </c>
      <c r="S1173" s="7" t="str">
        <f t="array" ref="S1173">IFERROR(INDEX(P$56:P$1054,SMALL(IF(ISNUMBER(P$56:P$1054),ROW(P$1:P$999),""),ROW(P1118))),"")</f>
        <v/>
      </c>
      <c r="T1173" s="7"/>
      <c r="U1173" s="7"/>
      <c r="V1173" s="7"/>
    </row>
    <row r="1174" spans="1:22" x14ac:dyDescent="0.25">
      <c r="A1174" s="6"/>
      <c r="B1174" s="7"/>
      <c r="C1174" s="7"/>
      <c r="D1174" s="7"/>
      <c r="E1174" s="8">
        <f t="shared" si="17"/>
        <v>0</v>
      </c>
      <c r="F1174" s="10"/>
      <c r="G1174" s="10"/>
      <c r="H1174" s="9"/>
      <c r="I1174" s="7"/>
      <c r="J1174" s="7"/>
      <c r="K1174" s="7">
        <f ca="1">IFERROR(IF(COUNTA(J$56:J1174)=J$54,J1174,FORECAST(D1174,OFFSET(M$56:M$254,MATCH(D1174,L$56:L$254,1)-1,0,2), OFFSET(L$56:L$254,MATCH(D1174,L$56:L$254,1)-1,0,2))),"")</f>
        <v>0</v>
      </c>
      <c r="L1174" s="7" t="str">
        <f t="array" ref="L1174">IFERROR(INDEX(D$56:D$1054,SMALL(IF(ISNUMBER(J$56:J$1054),ROW(D$1:D$999),""),ROW(D1119))),"")</f>
        <v/>
      </c>
      <c r="M1174" s="7" t="str">
        <f t="array" ref="M1174">IFERROR(INDEX(J$56:J$1054,SMALL(IF(ISNUMBER(J$56:J$1054),ROW(J$1:J$999),""),ROW(J1119))),"")</f>
        <v/>
      </c>
      <c r="N1174" s="7"/>
      <c r="O1174" s="7"/>
      <c r="P1174" s="7"/>
      <c r="Q1174" s="7">
        <f ca="1">IFERROR(IF(COUNTA(P$56:P1174)=P$54,P1174,FORECAST(D1174,OFFSET(S$56:S$254,MATCH(D1174,R$56:R$254,1)-1,0,2), OFFSET(R$56:R$254,MATCH(D1174,R$56:R$254,1)-1,0,2))),"")</f>
        <v>0</v>
      </c>
      <c r="R1174" s="7" t="str">
        <f t="array" ref="R1174">IFERROR(INDEX(E$56:E$1054,SMALL(IF(ISNUMBER(P$56:P$1054),ROW(E$1:E$999),""),ROW(J1119))),"")</f>
        <v/>
      </c>
      <c r="S1174" s="7" t="str">
        <f t="array" ref="S1174">IFERROR(INDEX(P$56:P$1054,SMALL(IF(ISNUMBER(P$56:P$1054),ROW(P$1:P$999),""),ROW(P1119))),"")</f>
        <v/>
      </c>
      <c r="T1174" s="7"/>
      <c r="U1174" s="7"/>
      <c r="V1174" s="7"/>
    </row>
    <row r="1175" spans="1:22" x14ac:dyDescent="0.25">
      <c r="A1175" s="6"/>
      <c r="B1175" s="7"/>
      <c r="C1175" s="7"/>
      <c r="D1175" s="7"/>
      <c r="E1175" s="8">
        <f t="shared" si="17"/>
        <v>0</v>
      </c>
      <c r="F1175" s="10"/>
      <c r="G1175" s="10"/>
      <c r="H1175" s="9"/>
      <c r="I1175" s="7"/>
      <c r="J1175" s="7"/>
      <c r="K1175" s="7">
        <f ca="1">IFERROR(IF(COUNTA(J$56:J1175)=J$54,J1175,FORECAST(D1175,OFFSET(M$56:M$254,MATCH(D1175,L$56:L$254,1)-1,0,2), OFFSET(L$56:L$254,MATCH(D1175,L$56:L$254,1)-1,0,2))),"")</f>
        <v>0</v>
      </c>
      <c r="L1175" s="7" t="str">
        <f t="array" ref="L1175">IFERROR(INDEX(D$56:D$1054,SMALL(IF(ISNUMBER(J$56:J$1054),ROW(D$1:D$999),""),ROW(D1120))),"")</f>
        <v/>
      </c>
      <c r="M1175" s="7" t="str">
        <f t="array" ref="M1175">IFERROR(INDEX(J$56:J$1054,SMALL(IF(ISNUMBER(J$56:J$1054),ROW(J$1:J$999),""),ROW(J1120))),"")</f>
        <v/>
      </c>
      <c r="N1175" s="7"/>
      <c r="O1175" s="7"/>
      <c r="P1175" s="7"/>
      <c r="Q1175" s="7">
        <f ca="1">IFERROR(IF(COUNTA(P$56:P1175)=P$54,P1175,FORECAST(D1175,OFFSET(S$56:S$254,MATCH(D1175,R$56:R$254,1)-1,0,2), OFFSET(R$56:R$254,MATCH(D1175,R$56:R$254,1)-1,0,2))),"")</f>
        <v>0</v>
      </c>
      <c r="R1175" s="7" t="str">
        <f t="array" ref="R1175">IFERROR(INDEX(E$56:E$1054,SMALL(IF(ISNUMBER(P$56:P$1054),ROW(E$1:E$999),""),ROW(J1120))),"")</f>
        <v/>
      </c>
      <c r="S1175" s="7" t="str">
        <f t="array" ref="S1175">IFERROR(INDEX(P$56:P$1054,SMALL(IF(ISNUMBER(P$56:P$1054),ROW(P$1:P$999),""),ROW(P1120))),"")</f>
        <v/>
      </c>
      <c r="T1175" s="7"/>
      <c r="U1175" s="7"/>
      <c r="V1175" s="7"/>
    </row>
    <row r="1176" spans="1:22" x14ac:dyDescent="0.25">
      <c r="A1176" s="6"/>
      <c r="B1176" s="7"/>
      <c r="C1176" s="7"/>
      <c r="D1176" s="7"/>
      <c r="E1176" s="8">
        <f t="shared" si="17"/>
        <v>0</v>
      </c>
      <c r="F1176" s="10"/>
      <c r="G1176" s="10"/>
      <c r="H1176" s="9"/>
      <c r="I1176" s="7"/>
      <c r="J1176" s="7"/>
      <c r="K1176" s="7">
        <f ca="1">IFERROR(IF(COUNTA(J$56:J1176)=J$54,J1176,FORECAST(D1176,OFFSET(M$56:M$254,MATCH(D1176,L$56:L$254,1)-1,0,2), OFFSET(L$56:L$254,MATCH(D1176,L$56:L$254,1)-1,0,2))),"")</f>
        <v>0</v>
      </c>
      <c r="L1176" s="7" t="str">
        <f t="array" ref="L1176">IFERROR(INDEX(D$56:D$1054,SMALL(IF(ISNUMBER(J$56:J$1054),ROW(D$1:D$999),""),ROW(D1121))),"")</f>
        <v/>
      </c>
      <c r="M1176" s="7" t="str">
        <f t="array" ref="M1176">IFERROR(INDEX(J$56:J$1054,SMALL(IF(ISNUMBER(J$56:J$1054),ROW(J$1:J$999),""),ROW(J1121))),"")</f>
        <v/>
      </c>
      <c r="N1176" s="7"/>
      <c r="O1176" s="7"/>
      <c r="P1176" s="7"/>
      <c r="Q1176" s="7">
        <f ca="1">IFERROR(IF(COUNTA(P$56:P1176)=P$54,P1176,FORECAST(D1176,OFFSET(S$56:S$254,MATCH(D1176,R$56:R$254,1)-1,0,2), OFFSET(R$56:R$254,MATCH(D1176,R$56:R$254,1)-1,0,2))),"")</f>
        <v>0</v>
      </c>
      <c r="R1176" s="7" t="str">
        <f t="array" ref="R1176">IFERROR(INDEX(E$56:E$1054,SMALL(IF(ISNUMBER(P$56:P$1054),ROW(E$1:E$999),""),ROW(J1121))),"")</f>
        <v/>
      </c>
      <c r="S1176" s="7" t="str">
        <f t="array" ref="S1176">IFERROR(INDEX(P$56:P$1054,SMALL(IF(ISNUMBER(P$56:P$1054),ROW(P$1:P$999),""),ROW(P1121))),"")</f>
        <v/>
      </c>
      <c r="T1176" s="7"/>
      <c r="U1176" s="7"/>
      <c r="V1176" s="7"/>
    </row>
    <row r="1177" spans="1:22" x14ac:dyDescent="0.25">
      <c r="A1177" s="6"/>
      <c r="B1177" s="7"/>
      <c r="C1177" s="7"/>
      <c r="D1177" s="7"/>
      <c r="E1177" s="8">
        <f t="shared" si="17"/>
        <v>0</v>
      </c>
      <c r="F1177" s="10"/>
      <c r="G1177" s="10"/>
      <c r="H1177" s="9"/>
      <c r="I1177" s="7"/>
      <c r="J1177" s="7"/>
      <c r="K1177" s="7">
        <f ca="1">IFERROR(IF(COUNTA(J$56:J1177)=J$54,J1177,FORECAST(D1177,OFFSET(M$56:M$254,MATCH(D1177,L$56:L$254,1)-1,0,2), OFFSET(L$56:L$254,MATCH(D1177,L$56:L$254,1)-1,0,2))),"")</f>
        <v>0</v>
      </c>
      <c r="L1177" s="7" t="str">
        <f t="array" ref="L1177">IFERROR(INDEX(D$56:D$1054,SMALL(IF(ISNUMBER(J$56:J$1054),ROW(D$1:D$999),""),ROW(D1122))),"")</f>
        <v/>
      </c>
      <c r="M1177" s="7" t="str">
        <f t="array" ref="M1177">IFERROR(INDEX(J$56:J$1054,SMALL(IF(ISNUMBER(J$56:J$1054),ROW(J$1:J$999),""),ROW(J1122))),"")</f>
        <v/>
      </c>
      <c r="N1177" s="7"/>
      <c r="O1177" s="7"/>
      <c r="P1177" s="7"/>
      <c r="Q1177" s="7">
        <f ca="1">IFERROR(IF(COUNTA(P$56:P1177)=P$54,P1177,FORECAST(D1177,OFFSET(S$56:S$254,MATCH(D1177,R$56:R$254,1)-1,0,2), OFFSET(R$56:R$254,MATCH(D1177,R$56:R$254,1)-1,0,2))),"")</f>
        <v>0</v>
      </c>
      <c r="R1177" s="7" t="str">
        <f t="array" ref="R1177">IFERROR(INDEX(E$56:E$1054,SMALL(IF(ISNUMBER(P$56:P$1054),ROW(E$1:E$999),""),ROW(J1122))),"")</f>
        <v/>
      </c>
      <c r="S1177" s="7" t="str">
        <f t="array" ref="S1177">IFERROR(INDEX(P$56:P$1054,SMALL(IF(ISNUMBER(P$56:P$1054),ROW(P$1:P$999),""),ROW(P1122))),"")</f>
        <v/>
      </c>
      <c r="T1177" s="7"/>
      <c r="U1177" s="7"/>
      <c r="V1177" s="7"/>
    </row>
    <row r="1178" spans="1:22" x14ac:dyDescent="0.25">
      <c r="A1178" s="6"/>
      <c r="B1178" s="7"/>
      <c r="C1178" s="7"/>
      <c r="D1178" s="7"/>
      <c r="E1178" s="8">
        <f t="shared" si="17"/>
        <v>0</v>
      </c>
      <c r="F1178" s="10"/>
      <c r="G1178" s="10"/>
      <c r="H1178" s="9"/>
      <c r="I1178" s="7"/>
      <c r="J1178" s="7"/>
      <c r="K1178" s="7">
        <f ca="1">IFERROR(IF(COUNTA(J$56:J1178)=J$54,J1178,FORECAST(D1178,OFFSET(M$56:M$254,MATCH(D1178,L$56:L$254,1)-1,0,2), OFFSET(L$56:L$254,MATCH(D1178,L$56:L$254,1)-1,0,2))),"")</f>
        <v>0</v>
      </c>
      <c r="L1178" s="7" t="str">
        <f t="array" ref="L1178">IFERROR(INDEX(D$56:D$1054,SMALL(IF(ISNUMBER(J$56:J$1054),ROW(D$1:D$999),""),ROW(D1123))),"")</f>
        <v/>
      </c>
      <c r="M1178" s="7" t="str">
        <f t="array" ref="M1178">IFERROR(INDEX(J$56:J$1054,SMALL(IF(ISNUMBER(J$56:J$1054),ROW(J$1:J$999),""),ROW(J1123))),"")</f>
        <v/>
      </c>
      <c r="N1178" s="7"/>
      <c r="O1178" s="7"/>
      <c r="P1178" s="7"/>
      <c r="Q1178" s="7">
        <f ca="1">IFERROR(IF(COUNTA(P$56:P1178)=P$54,P1178,FORECAST(D1178,OFFSET(S$56:S$254,MATCH(D1178,R$56:R$254,1)-1,0,2), OFFSET(R$56:R$254,MATCH(D1178,R$56:R$254,1)-1,0,2))),"")</f>
        <v>0</v>
      </c>
      <c r="R1178" s="7" t="str">
        <f t="array" ref="R1178">IFERROR(INDEX(E$56:E$1054,SMALL(IF(ISNUMBER(P$56:P$1054),ROW(E$1:E$999),""),ROW(J1123))),"")</f>
        <v/>
      </c>
      <c r="S1178" s="7" t="str">
        <f t="array" ref="S1178">IFERROR(INDEX(P$56:P$1054,SMALL(IF(ISNUMBER(P$56:P$1054),ROW(P$1:P$999),""),ROW(P1123))),"")</f>
        <v/>
      </c>
      <c r="T1178" s="7"/>
      <c r="U1178" s="7"/>
      <c r="V1178" s="7"/>
    </row>
    <row r="1179" spans="1:22" x14ac:dyDescent="0.25">
      <c r="A1179" s="6"/>
      <c r="B1179" s="7"/>
      <c r="C1179" s="7"/>
      <c r="D1179" s="7"/>
      <c r="E1179" s="8">
        <f t="shared" si="17"/>
        <v>0</v>
      </c>
      <c r="F1179" s="10"/>
      <c r="G1179" s="10"/>
      <c r="H1179" s="9"/>
      <c r="I1179" s="7"/>
      <c r="J1179" s="7"/>
      <c r="K1179" s="7">
        <f ca="1">IFERROR(IF(COUNTA(J$56:J1179)=J$54,J1179,FORECAST(D1179,OFFSET(M$56:M$254,MATCH(D1179,L$56:L$254,1)-1,0,2), OFFSET(L$56:L$254,MATCH(D1179,L$56:L$254,1)-1,0,2))),"")</f>
        <v>0</v>
      </c>
      <c r="L1179" s="7" t="str">
        <f t="array" ref="L1179">IFERROR(INDEX(D$56:D$1054,SMALL(IF(ISNUMBER(J$56:J$1054),ROW(D$1:D$999),""),ROW(D1124))),"")</f>
        <v/>
      </c>
      <c r="M1179" s="7" t="str">
        <f t="array" ref="M1179">IFERROR(INDEX(J$56:J$1054,SMALL(IF(ISNUMBER(J$56:J$1054),ROW(J$1:J$999),""),ROW(J1124))),"")</f>
        <v/>
      </c>
      <c r="N1179" s="7"/>
      <c r="O1179" s="7"/>
      <c r="P1179" s="7"/>
      <c r="Q1179" s="7">
        <f ca="1">IFERROR(IF(COUNTA(P$56:P1179)=P$54,P1179,FORECAST(D1179,OFFSET(S$56:S$254,MATCH(D1179,R$56:R$254,1)-1,0,2), OFFSET(R$56:R$254,MATCH(D1179,R$56:R$254,1)-1,0,2))),"")</f>
        <v>0</v>
      </c>
      <c r="R1179" s="7" t="str">
        <f t="array" ref="R1179">IFERROR(INDEX(E$56:E$1054,SMALL(IF(ISNUMBER(P$56:P$1054),ROW(E$1:E$999),""),ROW(J1124))),"")</f>
        <v/>
      </c>
      <c r="S1179" s="7" t="str">
        <f t="array" ref="S1179">IFERROR(INDEX(P$56:P$1054,SMALL(IF(ISNUMBER(P$56:P$1054),ROW(P$1:P$999),""),ROW(P1124))),"")</f>
        <v/>
      </c>
      <c r="T1179" s="7"/>
      <c r="U1179" s="7"/>
      <c r="V1179" s="7"/>
    </row>
    <row r="1180" spans="1:22" x14ac:dyDescent="0.25">
      <c r="A1180" s="6"/>
      <c r="B1180" s="7"/>
      <c r="C1180" s="7"/>
      <c r="D1180" s="7"/>
      <c r="E1180" s="8">
        <f t="shared" si="17"/>
        <v>0</v>
      </c>
      <c r="F1180" s="10"/>
      <c r="G1180" s="10"/>
      <c r="H1180" s="9"/>
      <c r="I1180" s="7"/>
      <c r="J1180" s="7"/>
      <c r="K1180" s="7">
        <f ca="1">IFERROR(IF(COUNTA(J$56:J1180)=J$54,J1180,FORECAST(D1180,OFFSET(M$56:M$254,MATCH(D1180,L$56:L$254,1)-1,0,2), OFFSET(L$56:L$254,MATCH(D1180,L$56:L$254,1)-1,0,2))),"")</f>
        <v>0</v>
      </c>
      <c r="L1180" s="7" t="str">
        <f t="array" ref="L1180">IFERROR(INDEX(D$56:D$1054,SMALL(IF(ISNUMBER(J$56:J$1054),ROW(D$1:D$999),""),ROW(D1125))),"")</f>
        <v/>
      </c>
      <c r="M1180" s="7" t="str">
        <f t="array" ref="M1180">IFERROR(INDEX(J$56:J$1054,SMALL(IF(ISNUMBER(J$56:J$1054),ROW(J$1:J$999),""),ROW(J1125))),"")</f>
        <v/>
      </c>
      <c r="N1180" s="7"/>
      <c r="O1180" s="7"/>
      <c r="P1180" s="7"/>
      <c r="Q1180" s="7">
        <f ca="1">IFERROR(IF(COUNTA(P$56:P1180)=P$54,P1180,FORECAST(D1180,OFFSET(S$56:S$254,MATCH(D1180,R$56:R$254,1)-1,0,2), OFFSET(R$56:R$254,MATCH(D1180,R$56:R$254,1)-1,0,2))),"")</f>
        <v>0</v>
      </c>
      <c r="R1180" s="7" t="str">
        <f t="array" ref="R1180">IFERROR(INDEX(E$56:E$1054,SMALL(IF(ISNUMBER(P$56:P$1054),ROW(E$1:E$999),""),ROW(J1125))),"")</f>
        <v/>
      </c>
      <c r="S1180" s="7" t="str">
        <f t="array" ref="S1180">IFERROR(INDEX(P$56:P$1054,SMALL(IF(ISNUMBER(P$56:P$1054),ROW(P$1:P$999),""),ROW(P1125))),"")</f>
        <v/>
      </c>
      <c r="T1180" s="7"/>
      <c r="U1180" s="7"/>
      <c r="V1180" s="7"/>
    </row>
    <row r="1181" spans="1:22" x14ac:dyDescent="0.25">
      <c r="A1181" s="6"/>
      <c r="B1181" s="7"/>
      <c r="C1181" s="7"/>
      <c r="D1181" s="7"/>
      <c r="E1181" s="8">
        <f t="shared" si="17"/>
        <v>0</v>
      </c>
      <c r="F1181" s="10"/>
      <c r="G1181" s="10"/>
      <c r="H1181" s="9"/>
      <c r="I1181" s="7"/>
      <c r="J1181" s="7"/>
      <c r="K1181" s="7">
        <f ca="1">IFERROR(IF(COUNTA(J$56:J1181)=J$54,J1181,FORECAST(D1181,OFFSET(M$56:M$254,MATCH(D1181,L$56:L$254,1)-1,0,2), OFFSET(L$56:L$254,MATCH(D1181,L$56:L$254,1)-1,0,2))),"")</f>
        <v>0</v>
      </c>
      <c r="L1181" s="7" t="str">
        <f t="array" ref="L1181">IFERROR(INDEX(D$56:D$1054,SMALL(IF(ISNUMBER(J$56:J$1054),ROW(D$1:D$999),""),ROW(D1126))),"")</f>
        <v/>
      </c>
      <c r="M1181" s="7" t="str">
        <f t="array" ref="M1181">IFERROR(INDEX(J$56:J$1054,SMALL(IF(ISNUMBER(J$56:J$1054),ROW(J$1:J$999),""),ROW(J1126))),"")</f>
        <v/>
      </c>
      <c r="N1181" s="7"/>
      <c r="O1181" s="7"/>
      <c r="P1181" s="7"/>
      <c r="Q1181" s="7">
        <f ca="1">IFERROR(IF(COUNTA(P$56:P1181)=P$54,P1181,FORECAST(D1181,OFFSET(S$56:S$254,MATCH(D1181,R$56:R$254,1)-1,0,2), OFFSET(R$56:R$254,MATCH(D1181,R$56:R$254,1)-1,0,2))),"")</f>
        <v>0</v>
      </c>
      <c r="R1181" s="7" t="str">
        <f t="array" ref="R1181">IFERROR(INDEX(E$56:E$1054,SMALL(IF(ISNUMBER(P$56:P$1054),ROW(E$1:E$999),""),ROW(J1126))),"")</f>
        <v/>
      </c>
      <c r="S1181" s="7" t="str">
        <f t="array" ref="S1181">IFERROR(INDEX(P$56:P$1054,SMALL(IF(ISNUMBER(P$56:P$1054),ROW(P$1:P$999),""),ROW(P1126))),"")</f>
        <v/>
      </c>
      <c r="T1181" s="7"/>
      <c r="U1181" s="7"/>
      <c r="V1181" s="7"/>
    </row>
    <row r="1182" spans="1:22" x14ac:dyDescent="0.25">
      <c r="A1182" s="6"/>
      <c r="B1182" s="7"/>
      <c r="C1182" s="7"/>
      <c r="D1182" s="7"/>
      <c r="E1182" s="8">
        <f t="shared" si="17"/>
        <v>0</v>
      </c>
      <c r="F1182" s="10"/>
      <c r="G1182" s="10"/>
      <c r="H1182" s="9"/>
      <c r="I1182" s="7"/>
      <c r="J1182" s="7"/>
      <c r="K1182" s="7">
        <f ca="1">IFERROR(IF(COUNTA(J$56:J1182)=J$54,J1182,FORECAST(D1182,OFFSET(M$56:M$254,MATCH(D1182,L$56:L$254,1)-1,0,2), OFFSET(L$56:L$254,MATCH(D1182,L$56:L$254,1)-1,0,2))),"")</f>
        <v>0</v>
      </c>
      <c r="L1182" s="7" t="str">
        <f t="array" ref="L1182">IFERROR(INDEX(D$56:D$1054,SMALL(IF(ISNUMBER(J$56:J$1054),ROW(D$1:D$999),""),ROW(D1127))),"")</f>
        <v/>
      </c>
      <c r="M1182" s="7" t="str">
        <f t="array" ref="M1182">IFERROR(INDEX(J$56:J$1054,SMALL(IF(ISNUMBER(J$56:J$1054),ROW(J$1:J$999),""),ROW(J1127))),"")</f>
        <v/>
      </c>
      <c r="N1182" s="7"/>
      <c r="O1182" s="7"/>
      <c r="P1182" s="7"/>
      <c r="Q1182" s="7">
        <f ca="1">IFERROR(IF(COUNTA(P$56:P1182)=P$54,P1182,FORECAST(D1182,OFFSET(S$56:S$254,MATCH(D1182,R$56:R$254,1)-1,0,2), OFFSET(R$56:R$254,MATCH(D1182,R$56:R$254,1)-1,0,2))),"")</f>
        <v>0</v>
      </c>
      <c r="R1182" s="7" t="str">
        <f t="array" ref="R1182">IFERROR(INDEX(E$56:E$1054,SMALL(IF(ISNUMBER(P$56:P$1054),ROW(E$1:E$999),""),ROW(J1127))),"")</f>
        <v/>
      </c>
      <c r="S1182" s="7" t="str">
        <f t="array" ref="S1182">IFERROR(INDEX(P$56:P$1054,SMALL(IF(ISNUMBER(P$56:P$1054),ROW(P$1:P$999),""),ROW(P1127))),"")</f>
        <v/>
      </c>
      <c r="T1182" s="7"/>
      <c r="U1182" s="7"/>
      <c r="V1182" s="7"/>
    </row>
    <row r="1183" spans="1:22" x14ac:dyDescent="0.25">
      <c r="A1183" s="6"/>
      <c r="B1183" s="7"/>
      <c r="C1183" s="7"/>
      <c r="D1183" s="7"/>
      <c r="E1183" s="8">
        <f t="shared" si="17"/>
        <v>0</v>
      </c>
      <c r="F1183" s="10"/>
      <c r="G1183" s="10"/>
      <c r="H1183" s="9"/>
      <c r="I1183" s="7"/>
      <c r="J1183" s="7"/>
      <c r="K1183" s="7">
        <f ca="1">IFERROR(IF(COUNTA(J$56:J1183)=J$54,J1183,FORECAST(D1183,OFFSET(M$56:M$254,MATCH(D1183,L$56:L$254,1)-1,0,2), OFFSET(L$56:L$254,MATCH(D1183,L$56:L$254,1)-1,0,2))),"")</f>
        <v>0</v>
      </c>
      <c r="L1183" s="7" t="str">
        <f t="array" ref="L1183">IFERROR(INDEX(D$56:D$1054,SMALL(IF(ISNUMBER(J$56:J$1054),ROW(D$1:D$999),""),ROW(D1128))),"")</f>
        <v/>
      </c>
      <c r="M1183" s="7" t="str">
        <f t="array" ref="M1183">IFERROR(INDEX(J$56:J$1054,SMALL(IF(ISNUMBER(J$56:J$1054),ROW(J$1:J$999),""),ROW(J1128))),"")</f>
        <v/>
      </c>
      <c r="N1183" s="7"/>
      <c r="O1183" s="7"/>
      <c r="P1183" s="7"/>
      <c r="Q1183" s="7">
        <f ca="1">IFERROR(IF(COUNTA(P$56:P1183)=P$54,P1183,FORECAST(D1183,OFFSET(S$56:S$254,MATCH(D1183,R$56:R$254,1)-1,0,2), OFFSET(R$56:R$254,MATCH(D1183,R$56:R$254,1)-1,0,2))),"")</f>
        <v>0</v>
      </c>
      <c r="R1183" s="7" t="str">
        <f t="array" ref="R1183">IFERROR(INDEX(E$56:E$1054,SMALL(IF(ISNUMBER(P$56:P$1054),ROW(E$1:E$999),""),ROW(J1128))),"")</f>
        <v/>
      </c>
      <c r="S1183" s="7" t="str">
        <f t="array" ref="S1183">IFERROR(INDEX(P$56:P$1054,SMALL(IF(ISNUMBER(P$56:P$1054),ROW(P$1:P$999),""),ROW(P1128))),"")</f>
        <v/>
      </c>
      <c r="T1183" s="7"/>
      <c r="U1183" s="7"/>
      <c r="V1183" s="7"/>
    </row>
    <row r="1184" spans="1:22" x14ac:dyDescent="0.25">
      <c r="A1184" s="6"/>
      <c r="B1184" s="7"/>
      <c r="C1184" s="7"/>
      <c r="D1184" s="7"/>
      <c r="E1184" s="8">
        <f t="shared" si="17"/>
        <v>0</v>
      </c>
      <c r="F1184" s="10"/>
      <c r="G1184" s="10"/>
      <c r="H1184" s="9"/>
      <c r="I1184" s="7"/>
      <c r="J1184" s="7"/>
      <c r="K1184" s="7">
        <f ca="1">IFERROR(IF(COUNTA(J$56:J1184)=J$54,J1184,FORECAST(D1184,OFFSET(M$56:M$254,MATCH(D1184,L$56:L$254,1)-1,0,2), OFFSET(L$56:L$254,MATCH(D1184,L$56:L$254,1)-1,0,2))),"")</f>
        <v>0</v>
      </c>
      <c r="L1184" s="7" t="str">
        <f t="array" ref="L1184">IFERROR(INDEX(D$56:D$1054,SMALL(IF(ISNUMBER(J$56:J$1054),ROW(D$1:D$999),""),ROW(D1129))),"")</f>
        <v/>
      </c>
      <c r="M1184" s="7" t="str">
        <f t="array" ref="M1184">IFERROR(INDEX(J$56:J$1054,SMALL(IF(ISNUMBER(J$56:J$1054),ROW(J$1:J$999),""),ROW(J1129))),"")</f>
        <v/>
      </c>
      <c r="N1184" s="7"/>
      <c r="O1184" s="7"/>
      <c r="P1184" s="7"/>
      <c r="Q1184" s="7">
        <f ca="1">IFERROR(IF(COUNTA(P$56:P1184)=P$54,P1184,FORECAST(D1184,OFFSET(S$56:S$254,MATCH(D1184,R$56:R$254,1)-1,0,2), OFFSET(R$56:R$254,MATCH(D1184,R$56:R$254,1)-1,0,2))),"")</f>
        <v>0</v>
      </c>
      <c r="R1184" s="7" t="str">
        <f t="array" ref="R1184">IFERROR(INDEX(E$56:E$1054,SMALL(IF(ISNUMBER(P$56:P$1054),ROW(E$1:E$999),""),ROW(J1129))),"")</f>
        <v/>
      </c>
      <c r="S1184" s="7" t="str">
        <f t="array" ref="S1184">IFERROR(INDEX(P$56:P$1054,SMALL(IF(ISNUMBER(P$56:P$1054),ROW(P$1:P$999),""),ROW(P1129))),"")</f>
        <v/>
      </c>
      <c r="T1184" s="7"/>
      <c r="U1184" s="7"/>
      <c r="V1184" s="7"/>
    </row>
    <row r="1185" spans="1:23" x14ac:dyDescent="0.25">
      <c r="A1185" s="6"/>
      <c r="B1185" s="7"/>
      <c r="C1185" s="7"/>
      <c r="D1185" s="7"/>
      <c r="E1185" s="8">
        <f t="shared" si="17"/>
        <v>0</v>
      </c>
      <c r="F1185" s="10"/>
      <c r="G1185" s="10"/>
      <c r="H1185" s="9"/>
      <c r="I1185" s="7"/>
      <c r="J1185" s="7"/>
      <c r="K1185" s="7">
        <f ca="1">IFERROR(IF(COUNTA(J$56:J1185)=J$54,J1185,FORECAST(D1185,OFFSET(M$56:M$254,MATCH(D1185,L$56:L$254,1)-1,0,2), OFFSET(L$56:L$254,MATCH(D1185,L$56:L$254,1)-1,0,2))),"")</f>
        <v>0</v>
      </c>
      <c r="L1185" s="7" t="str">
        <f t="array" ref="L1185">IFERROR(INDEX(D$56:D$1054,SMALL(IF(ISNUMBER(J$56:J$1054),ROW(D$1:D$999),""),ROW(D1130))),"")</f>
        <v/>
      </c>
      <c r="M1185" s="7" t="str">
        <f t="array" ref="M1185">IFERROR(INDEX(J$56:J$1054,SMALL(IF(ISNUMBER(J$56:J$1054),ROW(J$1:J$999),""),ROW(J1130))),"")</f>
        <v/>
      </c>
      <c r="N1185" s="7"/>
      <c r="O1185" s="7"/>
      <c r="P1185" s="7"/>
      <c r="Q1185" s="7">
        <f ca="1">IFERROR(IF(COUNTA(P$56:P1185)=P$54,P1185,FORECAST(D1185,OFFSET(S$56:S$254,MATCH(D1185,R$56:R$254,1)-1,0,2), OFFSET(R$56:R$254,MATCH(D1185,R$56:R$254,1)-1,0,2))),"")</f>
        <v>0</v>
      </c>
      <c r="R1185" s="7" t="str">
        <f t="array" ref="R1185">IFERROR(INDEX(E$56:E$1054,SMALL(IF(ISNUMBER(P$56:P$1054),ROW(E$1:E$999),""),ROW(J1130))),"")</f>
        <v/>
      </c>
      <c r="S1185" s="7" t="str">
        <f t="array" ref="S1185">IFERROR(INDEX(P$56:P$1054,SMALL(IF(ISNUMBER(P$56:P$1054),ROW(P$1:P$999),""),ROW(P1130))),"")</f>
        <v/>
      </c>
      <c r="T1185" s="7"/>
      <c r="U1185" s="7"/>
      <c r="V1185" s="7"/>
    </row>
    <row r="1186" spans="1:23" x14ac:dyDescent="0.25">
      <c r="A1186" s="6"/>
      <c r="B1186" s="7"/>
      <c r="C1186" s="7"/>
      <c r="D1186" s="7"/>
      <c r="E1186" s="8">
        <f t="shared" si="17"/>
        <v>0</v>
      </c>
      <c r="F1186" s="10"/>
      <c r="G1186" s="10"/>
      <c r="H1186" s="9"/>
      <c r="I1186" s="7"/>
      <c r="J1186" s="7"/>
      <c r="K1186" s="7">
        <f ca="1">IFERROR(IF(COUNTA(J$56:J1186)=J$54,J1186,FORECAST(D1186,OFFSET(M$56:M$254,MATCH(D1186,L$56:L$254,1)-1,0,2), OFFSET(L$56:L$254,MATCH(D1186,L$56:L$254,1)-1,0,2))),"")</f>
        <v>0</v>
      </c>
      <c r="L1186" s="7" t="str">
        <f t="array" ref="L1186">IFERROR(INDEX(D$56:D$1054,SMALL(IF(ISNUMBER(J$56:J$1054),ROW(D$1:D$999),""),ROW(D1131))),"")</f>
        <v/>
      </c>
      <c r="M1186" s="7" t="str">
        <f t="array" ref="M1186">IFERROR(INDEX(J$56:J$1054,SMALL(IF(ISNUMBER(J$56:J$1054),ROW(J$1:J$999),""),ROW(J1131))),"")</f>
        <v/>
      </c>
      <c r="N1186" s="7"/>
      <c r="O1186" s="7"/>
      <c r="P1186" s="7"/>
      <c r="Q1186" s="7">
        <f ca="1">IFERROR(IF(COUNTA(P$56:P1186)=P$54,P1186,FORECAST(D1186,OFFSET(S$56:S$254,MATCH(D1186,R$56:R$254,1)-1,0,2), OFFSET(R$56:R$254,MATCH(D1186,R$56:R$254,1)-1,0,2))),"")</f>
        <v>0</v>
      </c>
      <c r="R1186" s="7" t="str">
        <f t="array" ref="R1186">IFERROR(INDEX(E$56:E$1054,SMALL(IF(ISNUMBER(P$56:P$1054),ROW(E$1:E$999),""),ROW(J1131))),"")</f>
        <v/>
      </c>
      <c r="S1186" s="7" t="str">
        <f t="array" ref="S1186">IFERROR(INDEX(P$56:P$1054,SMALL(IF(ISNUMBER(P$56:P$1054),ROW(P$1:P$999),""),ROW(P1131))),"")</f>
        <v/>
      </c>
      <c r="T1186" s="7"/>
      <c r="U1186" s="7"/>
      <c r="V1186" s="7"/>
    </row>
    <row r="1187" spans="1:23" x14ac:dyDescent="0.25">
      <c r="A1187" s="6"/>
      <c r="B1187" s="7"/>
      <c r="C1187" s="7"/>
      <c r="D1187" s="7"/>
      <c r="E1187" s="8">
        <f t="shared" si="17"/>
        <v>0</v>
      </c>
      <c r="F1187" s="10"/>
      <c r="G1187" s="10"/>
      <c r="H1187" s="9"/>
      <c r="I1187" s="7"/>
      <c r="J1187" s="7"/>
      <c r="K1187" s="7">
        <f ca="1">IFERROR(IF(COUNTA(J$56:J1187)=J$54,J1187,FORECAST(D1187,OFFSET(M$56:M$254,MATCH(D1187,L$56:L$254,1)-1,0,2), OFFSET(L$56:L$254,MATCH(D1187,L$56:L$254,1)-1,0,2))),"")</f>
        <v>0</v>
      </c>
      <c r="L1187" s="7" t="str">
        <f t="array" ref="L1187">IFERROR(INDEX(D$56:D$1054,SMALL(IF(ISNUMBER(J$56:J$1054),ROW(D$1:D$999),""),ROW(D1132))),"")</f>
        <v/>
      </c>
      <c r="M1187" s="7" t="str">
        <f t="array" ref="M1187">IFERROR(INDEX(J$56:J$1054,SMALL(IF(ISNUMBER(J$56:J$1054),ROW(J$1:J$999),""),ROW(J1132))),"")</f>
        <v/>
      </c>
      <c r="N1187" s="7"/>
      <c r="O1187" s="7"/>
      <c r="P1187" s="7"/>
      <c r="Q1187" s="7">
        <f ca="1">IFERROR(IF(COUNTA(P$56:P1187)=P$54,P1187,FORECAST(D1187,OFFSET(S$56:S$254,MATCH(D1187,R$56:R$254,1)-1,0,2), OFFSET(R$56:R$254,MATCH(D1187,R$56:R$254,1)-1,0,2))),"")</f>
        <v>0</v>
      </c>
      <c r="R1187" s="7" t="str">
        <f t="array" ref="R1187">IFERROR(INDEX(E$56:E$1054,SMALL(IF(ISNUMBER(P$56:P$1054),ROW(E$1:E$999),""),ROW(J1132))),"")</f>
        <v/>
      </c>
      <c r="S1187" s="7" t="str">
        <f t="array" ref="S1187">IFERROR(INDEX(P$56:P$1054,SMALL(IF(ISNUMBER(P$56:P$1054),ROW(P$1:P$999),""),ROW(P1132))),"")</f>
        <v/>
      </c>
      <c r="T1187" s="7"/>
      <c r="U1187" s="7"/>
      <c r="V1187" s="7"/>
    </row>
    <row r="1188" spans="1:23" x14ac:dyDescent="0.25">
      <c r="A1188" s="6"/>
      <c r="B1188" s="7"/>
      <c r="C1188" s="7"/>
      <c r="D1188" s="7"/>
      <c r="E1188" s="8">
        <f t="shared" si="17"/>
        <v>0</v>
      </c>
      <c r="F1188" s="10"/>
      <c r="G1188" s="10"/>
      <c r="H1188" s="9"/>
      <c r="I1188" s="7"/>
      <c r="J1188" s="7"/>
      <c r="K1188" s="7">
        <f ca="1">IFERROR(IF(COUNTA(J$56:J1188)=J$54,J1188,FORECAST(D1188,OFFSET(M$56:M$254,MATCH(D1188,L$56:L$254,1)-1,0,2), OFFSET(L$56:L$254,MATCH(D1188,L$56:L$254,1)-1,0,2))),"")</f>
        <v>0</v>
      </c>
      <c r="L1188" s="7" t="str">
        <f t="array" ref="L1188">IFERROR(INDEX(D$56:D$1054,SMALL(IF(ISNUMBER(J$56:J$1054),ROW(D$1:D$999),""),ROW(D1133))),"")</f>
        <v/>
      </c>
      <c r="M1188" s="7" t="str">
        <f t="array" ref="M1188">IFERROR(INDEX(J$56:J$1054,SMALL(IF(ISNUMBER(J$56:J$1054),ROW(J$1:J$999),""),ROW(J1133))),"")</f>
        <v/>
      </c>
      <c r="N1188" s="7"/>
      <c r="O1188" s="7"/>
      <c r="P1188" s="7"/>
      <c r="Q1188" s="7">
        <f ca="1">IFERROR(IF(COUNTA(P$56:P1188)=P$54,P1188,FORECAST(D1188,OFFSET(S$56:S$254,MATCH(D1188,R$56:R$254,1)-1,0,2), OFFSET(R$56:R$254,MATCH(D1188,R$56:R$254,1)-1,0,2))),"")</f>
        <v>0</v>
      </c>
      <c r="R1188" s="7" t="str">
        <f t="array" ref="R1188">IFERROR(INDEX(E$56:E$1054,SMALL(IF(ISNUMBER(P$56:P$1054),ROW(E$1:E$999),""),ROW(J1133))),"")</f>
        <v/>
      </c>
      <c r="S1188" s="7" t="str">
        <f t="array" ref="S1188">IFERROR(INDEX(P$56:P$1054,SMALL(IF(ISNUMBER(P$56:P$1054),ROW(P$1:P$999),""),ROW(P1133))),"")</f>
        <v/>
      </c>
      <c r="T1188" s="7"/>
      <c r="U1188" s="7"/>
      <c r="V1188" s="7"/>
    </row>
    <row r="1189" spans="1:23" x14ac:dyDescent="0.25">
      <c r="A1189" s="6"/>
      <c r="B1189" s="7"/>
      <c r="C1189" s="7"/>
      <c r="D1189" s="7"/>
      <c r="E1189" s="8">
        <f t="shared" si="17"/>
        <v>0</v>
      </c>
      <c r="F1189" s="10"/>
      <c r="G1189" s="10"/>
      <c r="H1189" s="9"/>
      <c r="I1189" s="7"/>
      <c r="J1189" s="7"/>
      <c r="K1189" s="7">
        <f ca="1">IFERROR(IF(COUNTA(J$56:J1189)=J$54,J1189,FORECAST(D1189,OFFSET(M$56:M$254,MATCH(D1189,L$56:L$254,1)-1,0,2), OFFSET(L$56:L$254,MATCH(D1189,L$56:L$254,1)-1,0,2))),"")</f>
        <v>0</v>
      </c>
      <c r="L1189" s="7" t="str">
        <f t="array" ref="L1189">IFERROR(INDEX(D$56:D$1054,SMALL(IF(ISNUMBER(J$56:J$1054),ROW(D$1:D$999),""),ROW(D1134))),"")</f>
        <v/>
      </c>
      <c r="M1189" s="7" t="str">
        <f t="array" ref="M1189">IFERROR(INDEX(J$56:J$1054,SMALL(IF(ISNUMBER(J$56:J$1054),ROW(J$1:J$999),""),ROW(J1134))),"")</f>
        <v/>
      </c>
      <c r="N1189" s="7"/>
      <c r="O1189" s="7"/>
      <c r="P1189" s="7"/>
      <c r="Q1189" s="7">
        <f ca="1">IFERROR(IF(COUNTA(P$56:P1189)=P$54,P1189,FORECAST(D1189,OFFSET(S$56:S$254,MATCH(D1189,R$56:R$254,1)-1,0,2), OFFSET(R$56:R$254,MATCH(D1189,R$56:R$254,1)-1,0,2))),"")</f>
        <v>0</v>
      </c>
      <c r="R1189" s="7" t="str">
        <f t="array" ref="R1189">IFERROR(INDEX(E$56:E$1054,SMALL(IF(ISNUMBER(P$56:P$1054),ROW(E$1:E$999),""),ROW(J1134))),"")</f>
        <v/>
      </c>
      <c r="S1189" s="7" t="str">
        <f t="array" ref="S1189">IFERROR(INDEX(P$56:P$1054,SMALL(IF(ISNUMBER(P$56:P$1054),ROW(P$1:P$999),""),ROW(P1134))),"")</f>
        <v/>
      </c>
      <c r="T1189" s="7"/>
      <c r="U1189" s="7"/>
      <c r="V1189" s="7"/>
    </row>
    <row r="1190" spans="1:23" x14ac:dyDescent="0.25">
      <c r="A1190" s="6"/>
      <c r="B1190" s="7"/>
      <c r="C1190" s="7"/>
      <c r="D1190" s="7"/>
      <c r="E1190" s="8">
        <f t="shared" si="17"/>
        <v>0</v>
      </c>
      <c r="F1190" s="10"/>
      <c r="G1190" s="10"/>
      <c r="H1190" s="9"/>
      <c r="I1190" s="7"/>
      <c r="J1190" s="7"/>
      <c r="K1190" s="7">
        <f ca="1">IFERROR(IF(COUNTA(J$56:J1190)=J$54,J1190,FORECAST(D1190,OFFSET(M$56:M$254,MATCH(D1190,L$56:L$254,1)-1,0,2), OFFSET(L$56:L$254,MATCH(D1190,L$56:L$254,1)-1,0,2))),"")</f>
        <v>0</v>
      </c>
      <c r="L1190" s="7" t="str">
        <f t="array" ref="L1190">IFERROR(INDEX(D$56:D$1054,SMALL(IF(ISNUMBER(J$56:J$1054),ROW(D$1:D$999),""),ROW(D1135))),"")</f>
        <v/>
      </c>
      <c r="M1190" s="7" t="str">
        <f t="array" ref="M1190">IFERROR(INDEX(J$56:J$1054,SMALL(IF(ISNUMBER(J$56:J$1054),ROW(J$1:J$999),""),ROW(J1135))),"")</f>
        <v/>
      </c>
      <c r="N1190" s="7"/>
      <c r="O1190" s="7"/>
      <c r="P1190" s="7"/>
      <c r="Q1190" s="7">
        <f ca="1">IFERROR(IF(COUNTA(P$56:P1190)=P$54,P1190,FORECAST(D1190,OFFSET(S$56:S$254,MATCH(D1190,R$56:R$254,1)-1,0,2), OFFSET(R$56:R$254,MATCH(D1190,R$56:R$254,1)-1,0,2))),"")</f>
        <v>0</v>
      </c>
      <c r="R1190" s="7" t="str">
        <f t="array" ref="R1190">IFERROR(INDEX(E$56:E$1054,SMALL(IF(ISNUMBER(P$56:P$1054),ROW(E$1:E$999),""),ROW(J1135))),"")</f>
        <v/>
      </c>
      <c r="S1190" s="7" t="str">
        <f t="array" ref="S1190">IFERROR(INDEX(P$56:P$1054,SMALL(IF(ISNUMBER(P$56:P$1054),ROW(P$1:P$999),""),ROW(P1135))),"")</f>
        <v/>
      </c>
      <c r="T1190" s="7"/>
      <c r="U1190" s="7"/>
      <c r="V1190" s="7"/>
    </row>
    <row r="1191" spans="1:23" x14ac:dyDescent="0.25">
      <c r="A1191" s="6"/>
      <c r="B1191" s="7"/>
      <c r="C1191" s="7"/>
      <c r="D1191" s="7"/>
      <c r="E1191" s="8">
        <f t="shared" si="17"/>
        <v>0</v>
      </c>
      <c r="F1191" s="10"/>
      <c r="G1191" s="10"/>
      <c r="H1191" s="9"/>
      <c r="I1191" s="7"/>
      <c r="J1191" s="7"/>
      <c r="K1191" s="7">
        <f ca="1">IFERROR(IF(COUNTA(J$56:J1191)=J$54,J1191,FORECAST(D1191,OFFSET(M$56:M$254,MATCH(D1191,L$56:L$254,1)-1,0,2), OFFSET(L$56:L$254,MATCH(D1191,L$56:L$254,1)-1,0,2))),"")</f>
        <v>0</v>
      </c>
      <c r="L1191" s="7" t="str">
        <f t="array" ref="L1191">IFERROR(INDEX(D$56:D$1054,SMALL(IF(ISNUMBER(J$56:J$1054),ROW(D$1:D$999),""),ROW(D1136))),"")</f>
        <v/>
      </c>
      <c r="M1191" s="7" t="str">
        <f t="array" ref="M1191">IFERROR(INDEX(J$56:J$1054,SMALL(IF(ISNUMBER(J$56:J$1054),ROW(J$1:J$999),""),ROW(J1136))),"")</f>
        <v/>
      </c>
      <c r="N1191" s="7"/>
      <c r="O1191" s="7"/>
      <c r="P1191" s="7"/>
      <c r="Q1191" s="7">
        <f ca="1">IFERROR(IF(COUNTA(P$56:P1191)=P$54,P1191,FORECAST(D1191,OFFSET(S$56:S$254,MATCH(D1191,R$56:R$254,1)-1,0,2), OFFSET(R$56:R$254,MATCH(D1191,R$56:R$254,1)-1,0,2))),"")</f>
        <v>0</v>
      </c>
      <c r="R1191" s="7" t="str">
        <f t="array" ref="R1191">IFERROR(INDEX(E$56:E$1054,SMALL(IF(ISNUMBER(P$56:P$1054),ROW(E$1:E$999),""),ROW(J1136))),"")</f>
        <v/>
      </c>
      <c r="S1191" s="7" t="str">
        <f t="array" ref="S1191">IFERROR(INDEX(P$56:P$1054,SMALL(IF(ISNUMBER(P$56:P$1054),ROW(P$1:P$999),""),ROW(P1136))),"")</f>
        <v/>
      </c>
      <c r="T1191" s="7"/>
      <c r="U1191" s="7"/>
      <c r="V1191" s="7"/>
    </row>
    <row r="1192" spans="1:23" x14ac:dyDescent="0.25">
      <c r="A1192" s="6"/>
      <c r="B1192" s="7"/>
      <c r="C1192" s="7"/>
      <c r="D1192" s="7"/>
      <c r="E1192" s="8">
        <f t="shared" si="17"/>
        <v>0</v>
      </c>
      <c r="F1192" s="10"/>
      <c r="G1192" s="10"/>
      <c r="H1192" s="9"/>
      <c r="I1192" s="7"/>
      <c r="J1192" s="7"/>
      <c r="K1192" s="7">
        <f ca="1">IFERROR(IF(COUNTA(J$56:J1192)=J$54,J1192,FORECAST(D1192,OFFSET(M$56:M$254,MATCH(D1192,L$56:L$254,1)-1,0,2), OFFSET(L$56:L$254,MATCH(D1192,L$56:L$254,1)-1,0,2))),"")</f>
        <v>0</v>
      </c>
      <c r="L1192" s="7" t="str">
        <f t="array" ref="L1192">IFERROR(INDEX(D$56:D$1054,SMALL(IF(ISNUMBER(J$56:J$1054),ROW(D$1:D$999),""),ROW(D1137))),"")</f>
        <v/>
      </c>
      <c r="M1192" s="7" t="str">
        <f t="array" ref="M1192">IFERROR(INDEX(J$56:J$1054,SMALL(IF(ISNUMBER(J$56:J$1054),ROW(J$1:J$999),""),ROW(J1137))),"")</f>
        <v/>
      </c>
      <c r="N1192" s="7"/>
      <c r="O1192" s="7"/>
      <c r="P1192" s="7"/>
      <c r="Q1192" s="7">
        <f ca="1">IFERROR(IF(COUNTA(P$56:P1192)=P$54,P1192,FORECAST(D1192,OFFSET(S$56:S$254,MATCH(D1192,R$56:R$254,1)-1,0,2), OFFSET(R$56:R$254,MATCH(D1192,R$56:R$254,1)-1,0,2))),"")</f>
        <v>0</v>
      </c>
      <c r="R1192" s="7" t="str">
        <f t="array" ref="R1192">IFERROR(INDEX(E$56:E$1054,SMALL(IF(ISNUMBER(P$56:P$1054),ROW(E$1:E$999),""),ROW(J1137))),"")</f>
        <v/>
      </c>
      <c r="S1192" s="7" t="str">
        <f t="array" ref="S1192">IFERROR(INDEX(P$56:P$1054,SMALL(IF(ISNUMBER(P$56:P$1054),ROW(P$1:P$999),""),ROW(P1137))),"")</f>
        <v/>
      </c>
      <c r="T1192" s="7"/>
      <c r="U1192" s="7"/>
      <c r="V1192" s="7"/>
    </row>
    <row r="1193" spans="1:23" x14ac:dyDescent="0.25">
      <c r="A1193" s="6"/>
      <c r="B1193" s="7"/>
      <c r="C1193" s="7"/>
      <c r="D1193" s="7"/>
      <c r="E1193" s="8">
        <f t="shared" si="17"/>
        <v>0</v>
      </c>
      <c r="F1193" s="10"/>
      <c r="G1193" s="10"/>
      <c r="H1193" s="9"/>
      <c r="I1193" s="7"/>
      <c r="J1193" s="7"/>
      <c r="K1193" s="7">
        <f ca="1">IFERROR(IF(COUNTA(J$56:J1193)=J$54,J1193,FORECAST(D1193,OFFSET(M$56:M$254,MATCH(D1193,L$56:L$254,1)-1,0,2), OFFSET(L$56:L$254,MATCH(D1193,L$56:L$254,1)-1,0,2))),"")</f>
        <v>0</v>
      </c>
      <c r="L1193" s="7" t="str">
        <f t="array" ref="L1193">IFERROR(INDEX(D$56:D$1054,SMALL(IF(ISNUMBER(J$56:J$1054),ROW(D$1:D$999),""),ROW(D1138))),"")</f>
        <v/>
      </c>
      <c r="M1193" s="7" t="str">
        <f t="array" ref="M1193">IFERROR(INDEX(J$56:J$1054,SMALL(IF(ISNUMBER(J$56:J$1054),ROW(J$1:J$999),""),ROW(J1138))),"")</f>
        <v/>
      </c>
      <c r="N1193" s="7"/>
      <c r="O1193" s="7"/>
      <c r="P1193" s="7"/>
      <c r="Q1193" s="7">
        <f ca="1">IFERROR(IF(COUNTA(P$56:P1193)=P$54,P1193,FORECAST(D1193,OFFSET(S$56:S$254,MATCH(D1193,R$56:R$254,1)-1,0,2), OFFSET(R$56:R$254,MATCH(D1193,R$56:R$254,1)-1,0,2))),"")</f>
        <v>0</v>
      </c>
      <c r="R1193" s="7" t="str">
        <f t="array" ref="R1193">IFERROR(INDEX(E$56:E$1054,SMALL(IF(ISNUMBER(P$56:P$1054),ROW(E$1:E$999),""),ROW(J1138))),"")</f>
        <v/>
      </c>
      <c r="S1193" s="7" t="str">
        <f t="array" ref="S1193">IFERROR(INDEX(P$56:P$1054,SMALL(IF(ISNUMBER(P$56:P$1054),ROW(P$1:P$999),""),ROW(P1138))),"")</f>
        <v/>
      </c>
      <c r="T1193" s="7"/>
      <c r="U1193" s="7"/>
      <c r="V1193" s="7"/>
    </row>
    <row r="1194" spans="1:23" x14ac:dyDescent="0.25">
      <c r="A1194" s="6"/>
      <c r="B1194" s="7"/>
      <c r="C1194" s="7"/>
      <c r="D1194" s="7"/>
      <c r="E1194" s="8">
        <f t="shared" si="17"/>
        <v>0</v>
      </c>
      <c r="F1194" s="10"/>
      <c r="G1194" s="10"/>
      <c r="H1194" s="9"/>
      <c r="I1194" s="7"/>
      <c r="J1194" s="7"/>
      <c r="K1194" s="7">
        <f ca="1">IFERROR(IF(COUNTA(J$56:J1194)=J$54,J1194,FORECAST(D1194,OFFSET(M$56:M$254,MATCH(D1194,L$56:L$254,1)-1,0,2), OFFSET(L$56:L$254,MATCH(D1194,L$56:L$254,1)-1,0,2))),"")</f>
        <v>0</v>
      </c>
      <c r="L1194" s="7" t="str">
        <f t="array" ref="L1194">IFERROR(INDEX(D$56:D$1054,SMALL(IF(ISNUMBER(J$56:J$1054),ROW(D$1:D$999),""),ROW(D1139))),"")</f>
        <v/>
      </c>
      <c r="M1194" s="7" t="str">
        <f t="array" ref="M1194">IFERROR(INDEX(J$56:J$1054,SMALL(IF(ISNUMBER(J$56:J$1054),ROW(J$1:J$999),""),ROW(J1139))),"")</f>
        <v/>
      </c>
      <c r="N1194" s="7"/>
      <c r="O1194" s="7"/>
      <c r="P1194" s="7"/>
      <c r="Q1194" s="7">
        <f ca="1">IFERROR(IF(COUNTA(P$56:P1194)=P$54,P1194,FORECAST(D1194,OFFSET(S$56:S$254,MATCH(D1194,R$56:R$254,1)-1,0,2), OFFSET(R$56:R$254,MATCH(D1194,R$56:R$254,1)-1,0,2))),"")</f>
        <v>0</v>
      </c>
      <c r="R1194" s="7" t="str">
        <f t="array" ref="R1194">IFERROR(INDEX(E$56:E$1054,SMALL(IF(ISNUMBER(P$56:P$1054),ROW(E$1:E$999),""),ROW(J1139))),"")</f>
        <v/>
      </c>
      <c r="S1194" s="7" t="str">
        <f t="array" ref="S1194">IFERROR(INDEX(P$56:P$1054,SMALL(IF(ISNUMBER(P$56:P$1054),ROW(P$1:P$999),""),ROW(P1139))),"")</f>
        <v/>
      </c>
      <c r="T1194" s="7"/>
      <c r="U1194" s="7"/>
      <c r="V1194" s="7"/>
    </row>
    <row r="1195" spans="1:23" x14ac:dyDescent="0.25">
      <c r="A1195" s="6"/>
      <c r="B1195" s="7"/>
      <c r="C1195" s="7"/>
      <c r="D1195" s="7"/>
      <c r="E1195" s="8">
        <f t="shared" si="17"/>
        <v>0</v>
      </c>
      <c r="F1195" s="10"/>
      <c r="G1195" s="10"/>
      <c r="H1195" s="9"/>
      <c r="I1195" s="7"/>
      <c r="J1195" s="7"/>
      <c r="K1195" s="7">
        <f ca="1">IFERROR(IF(COUNTA(J$56:J1195)=J$54,J1195,FORECAST(D1195,OFFSET(M$56:M$254,MATCH(D1195,L$56:L$254,1)-1,0,2), OFFSET(L$56:L$254,MATCH(D1195,L$56:L$254,1)-1,0,2))),"")</f>
        <v>0</v>
      </c>
      <c r="L1195" s="7" t="str">
        <f t="array" ref="L1195">IFERROR(INDEX(D$56:D$1054,SMALL(IF(ISNUMBER(J$56:J$1054),ROW(D$1:D$999),""),ROW(D1140))),"")</f>
        <v/>
      </c>
      <c r="M1195" s="7" t="str">
        <f t="array" ref="M1195">IFERROR(INDEX(J$56:J$1054,SMALL(IF(ISNUMBER(J$56:J$1054),ROW(J$1:J$999),""),ROW(J1140))),"")</f>
        <v/>
      </c>
      <c r="N1195" s="7"/>
      <c r="O1195" s="7"/>
      <c r="P1195" s="7"/>
      <c r="Q1195" s="7">
        <f ca="1">IFERROR(IF(COUNTA(P$56:P1195)=P$54,P1195,FORECAST(D1195,OFFSET(S$56:S$254,MATCH(D1195,R$56:R$254,1)-1,0,2), OFFSET(R$56:R$254,MATCH(D1195,R$56:R$254,1)-1,0,2))),"")</f>
        <v>0</v>
      </c>
      <c r="R1195" s="7" t="str">
        <f t="array" ref="R1195">IFERROR(INDEX(E$56:E$1054,SMALL(IF(ISNUMBER(P$56:P$1054),ROW(E$1:E$999),""),ROW(J1140))),"")</f>
        <v/>
      </c>
      <c r="S1195" s="7" t="str">
        <f t="array" ref="S1195">IFERROR(INDEX(P$56:P$1054,SMALL(IF(ISNUMBER(P$56:P$1054),ROW(P$1:P$999),""),ROW(P1140))),"")</f>
        <v/>
      </c>
      <c r="T1195" s="7"/>
      <c r="U1195" s="7"/>
      <c r="V1195" s="7"/>
    </row>
    <row r="1196" spans="1:23" x14ac:dyDescent="0.25">
      <c r="A1196" s="6"/>
      <c r="B1196" s="7"/>
      <c r="C1196" s="7"/>
      <c r="D1196" s="7"/>
      <c r="E1196" s="8">
        <f t="shared" si="17"/>
        <v>0</v>
      </c>
      <c r="F1196" s="10"/>
      <c r="G1196" s="10"/>
      <c r="H1196" s="9"/>
      <c r="I1196" s="7"/>
      <c r="J1196" s="7"/>
      <c r="K1196" s="7">
        <f ca="1">IFERROR(IF(COUNTA(J$56:J1196)=J$54,J1196,FORECAST(D1196,OFFSET(M$56:M$254,MATCH(D1196,L$56:L$254,1)-1,0,2), OFFSET(L$56:L$254,MATCH(D1196,L$56:L$254,1)-1,0,2))),"")</f>
        <v>0</v>
      </c>
      <c r="L1196" s="7" t="str">
        <f t="array" ref="L1196">IFERROR(INDEX(D$56:D$1054,SMALL(IF(ISNUMBER(J$56:J$1054),ROW(D$1:D$999),""),ROW(D1141))),"")</f>
        <v/>
      </c>
      <c r="M1196" s="7" t="str">
        <f t="array" ref="M1196">IFERROR(INDEX(J$56:J$1054,SMALL(IF(ISNUMBER(J$56:J$1054),ROW(J$1:J$999),""),ROW(J1141))),"")</f>
        <v/>
      </c>
      <c r="N1196" s="7"/>
      <c r="O1196" s="7"/>
      <c r="P1196" s="7"/>
      <c r="Q1196" s="7">
        <f ca="1">IFERROR(IF(COUNTA(P$56:P1196)=P$54,P1196,FORECAST(D1196,OFFSET(S$56:S$254,MATCH(D1196,R$56:R$254,1)-1,0,2), OFFSET(R$56:R$254,MATCH(D1196,R$56:R$254,1)-1,0,2))),"")</f>
        <v>0</v>
      </c>
      <c r="R1196" s="7" t="str">
        <f t="array" ref="R1196">IFERROR(INDEX(E$56:E$1054,SMALL(IF(ISNUMBER(P$56:P$1054),ROW(E$1:E$999),""),ROW(J1141))),"")</f>
        <v/>
      </c>
      <c r="S1196" s="7" t="str">
        <f t="array" ref="S1196">IFERROR(INDEX(P$56:P$1054,SMALL(IF(ISNUMBER(P$56:P$1054),ROW(P$1:P$999),""),ROW(P1141))),"")</f>
        <v/>
      </c>
      <c r="T1196" s="7"/>
      <c r="U1196" s="7"/>
      <c r="V1196" s="7"/>
    </row>
    <row r="1197" spans="1:23" x14ac:dyDescent="0.25">
      <c r="A1197" s="6"/>
      <c r="B1197" s="7"/>
      <c r="C1197" s="7"/>
      <c r="D1197" s="7"/>
      <c r="E1197" s="8">
        <f t="shared" si="17"/>
        <v>0</v>
      </c>
      <c r="F1197" s="10"/>
      <c r="G1197" s="10"/>
      <c r="H1197" s="9"/>
      <c r="I1197" s="7"/>
      <c r="J1197" s="7"/>
      <c r="K1197" s="7">
        <f ca="1">IFERROR(IF(COUNTA(J$56:J1197)=J$54,J1197,FORECAST(D1197,OFFSET(M$56:M$254,MATCH(D1197,L$56:L$254,1)-1,0,2), OFFSET(L$56:L$254,MATCH(D1197,L$56:L$254,1)-1,0,2))),"")</f>
        <v>0</v>
      </c>
      <c r="L1197" s="7" t="str">
        <f t="array" ref="L1197">IFERROR(INDEX(D$56:D$1054,SMALL(IF(ISNUMBER(J$56:J$1054),ROW(D$1:D$999),""),ROW(D1142))),"")</f>
        <v/>
      </c>
      <c r="M1197" s="7" t="str">
        <f t="array" ref="M1197">IFERROR(INDEX(J$56:J$1054,SMALL(IF(ISNUMBER(J$56:J$1054),ROW(J$1:J$999),""),ROW(J1142))),"")</f>
        <v/>
      </c>
      <c r="N1197" s="7"/>
      <c r="O1197" s="7"/>
      <c r="P1197" s="7"/>
      <c r="Q1197" s="7">
        <f ca="1">IFERROR(IF(COUNTA(P$56:P1197)=P$54,P1197,FORECAST(D1197,OFFSET(S$56:S$254,MATCH(D1197,R$56:R$254,1)-1,0,2), OFFSET(R$56:R$254,MATCH(D1197,R$56:R$254,1)-1,0,2))),"")</f>
        <v>0</v>
      </c>
      <c r="R1197" s="7" t="str">
        <f t="array" ref="R1197">IFERROR(INDEX(E$56:E$1054,SMALL(IF(ISNUMBER(P$56:P$1054),ROW(E$1:E$999),""),ROW(J1142))),"")</f>
        <v/>
      </c>
      <c r="S1197" s="7" t="str">
        <f t="array" ref="S1197">IFERROR(INDEX(P$56:P$1054,SMALL(IF(ISNUMBER(P$56:P$1054),ROW(P$1:P$999),""),ROW(P1142))),"")</f>
        <v/>
      </c>
      <c r="T1197" s="7"/>
      <c r="U1197" s="7"/>
      <c r="V1197" s="7"/>
    </row>
    <row r="1198" spans="1:23" x14ac:dyDescent="0.25">
      <c r="A1198" s="6"/>
      <c r="B1198" s="7"/>
      <c r="C1198" s="7"/>
      <c r="D1198" s="7"/>
      <c r="E1198" s="8">
        <f t="shared" si="17"/>
        <v>0</v>
      </c>
      <c r="F1198" s="10"/>
      <c r="G1198" s="10"/>
      <c r="H1198" s="9"/>
      <c r="I1198" s="7"/>
      <c r="J1198" s="7"/>
      <c r="K1198" s="7">
        <f ca="1">IFERROR(IF(COUNTA(J$56:J1198)=J$54,J1198,FORECAST(D1198,OFFSET(M$56:M$254,MATCH(D1198,L$56:L$254,1)-1,0,2), OFFSET(L$56:L$254,MATCH(D1198,L$56:L$254,1)-1,0,2))),"")</f>
        <v>0</v>
      </c>
      <c r="L1198" s="7" t="str">
        <f t="array" ref="L1198">IFERROR(INDEX(D$56:D$1054,SMALL(IF(ISNUMBER(J$56:J$1054),ROW(D$1:D$999),""),ROW(D1143))),"")</f>
        <v/>
      </c>
      <c r="M1198" s="7" t="str">
        <f t="array" ref="M1198">IFERROR(INDEX(J$56:J$1054,SMALL(IF(ISNUMBER(J$56:J$1054),ROW(J$1:J$999),""),ROW(J1143))),"")</f>
        <v/>
      </c>
      <c r="N1198" s="7"/>
      <c r="O1198" s="7"/>
      <c r="P1198" s="7"/>
      <c r="Q1198" s="7">
        <f ca="1">IFERROR(IF(COUNTA(P$56:P1198)=P$54,P1198,FORECAST(D1198,OFFSET(S$56:S$254,MATCH(D1198,R$56:R$254,1)-1,0,2), OFFSET(R$56:R$254,MATCH(D1198,R$56:R$254,1)-1,0,2))),"")</f>
        <v>0</v>
      </c>
      <c r="R1198" s="7" t="str">
        <f t="array" ref="R1198">IFERROR(INDEX(E$56:E$1054,SMALL(IF(ISNUMBER(P$56:P$1054),ROW(E$1:E$999),""),ROW(J1143))),"")</f>
        <v/>
      </c>
      <c r="S1198" s="7" t="str">
        <f t="array" ref="S1198">IFERROR(INDEX(P$56:P$1054,SMALL(IF(ISNUMBER(P$56:P$1054),ROW(P$1:P$999),""),ROW(P1143))),"")</f>
        <v/>
      </c>
      <c r="T1198" s="7"/>
      <c r="U1198" s="7"/>
      <c r="V1198" s="7"/>
    </row>
    <row r="1199" spans="1:23" ht="13" thickBot="1" x14ac:dyDescent="0.3">
      <c r="E1199" s="3"/>
      <c r="F1199" s="3"/>
      <c r="G1199" s="3"/>
      <c r="H1199" s="3"/>
    </row>
    <row r="1200" spans="1:23" s="13" customFormat="1" ht="13" thickTop="1" x14ac:dyDescent="0.25">
      <c r="E1200" s="14"/>
      <c r="W1200" s="68"/>
    </row>
    <row r="1201" spans="2:23" x14ac:dyDescent="0.25">
      <c r="E1201" s="3"/>
    </row>
    <row r="1202" spans="2:23" s="15" customFormat="1" ht="13" thickBot="1" x14ac:dyDescent="0.3">
      <c r="H1202" s="1"/>
      <c r="W1202" s="69"/>
    </row>
    <row r="1203" spans="2:23" s="2" customFormat="1" ht="13" thickTop="1" x14ac:dyDescent="0.25">
      <c r="H1203" s="1"/>
      <c r="W1203" s="67"/>
    </row>
    <row r="1204" spans="2:23" x14ac:dyDescent="0.25">
      <c r="B1204" s="1" t="s">
        <v>28</v>
      </c>
    </row>
    <row r="1206" spans="2:23" x14ac:dyDescent="0.25">
      <c r="B1206" s="1" t="s">
        <v>25</v>
      </c>
      <c r="C1206" s="1" t="s">
        <v>26</v>
      </c>
      <c r="D1206" s="1" t="s">
        <v>27</v>
      </c>
      <c r="E1206" s="1" t="s">
        <v>24</v>
      </c>
      <c r="F1206" s="1" t="s">
        <v>31</v>
      </c>
    </row>
    <row r="1207" spans="2:23" x14ac:dyDescent="0.25">
      <c r="B1207" s="1" t="e">
        <f t="shared" ref="B1207:B1270" si="18">IF(INDEX(currentSMORPH,$F1207) = "ri",INDEX(currentTHW,$F1207),NA())</f>
        <v>#N/A</v>
      </c>
      <c r="C1207" s="1" t="e">
        <f t="shared" ref="C1207:C1270" si="19">IF(INDEX(currentSMORPH,$F1207) = "ru",INDEX(currentTHW,$F1207),NA())</f>
        <v>#N/A</v>
      </c>
      <c r="D1207" s="1" t="e">
        <f t="shared" ref="D1207:D1270" si="20">IF(INDEX(currentSMORPH,$F1207) = "po",INDEX(currentTHW,$F1207),NA())</f>
        <v>#N/A</v>
      </c>
      <c r="E1207" s="1" t="e">
        <f t="shared" ref="E1207:E1270" si="21">IF(INDEX(currentSMORPH,$F1207) = "gl",INDEX(currentTHW,$F1207),NA())</f>
        <v>#N/A</v>
      </c>
      <c r="F1207" s="1">
        <v>1</v>
      </c>
    </row>
    <row r="1208" spans="2:23" x14ac:dyDescent="0.25">
      <c r="B1208" s="1" t="e">
        <f t="shared" si="18"/>
        <v>#N/A</v>
      </c>
      <c r="C1208" s="1" t="e">
        <f t="shared" si="19"/>
        <v>#N/A</v>
      </c>
      <c r="D1208" s="1" t="e">
        <f t="shared" si="20"/>
        <v>#N/A</v>
      </c>
      <c r="E1208" s="1" t="e">
        <f t="shared" si="21"/>
        <v>#N/A</v>
      </c>
      <c r="F1208" s="1">
        <v>2</v>
      </c>
    </row>
    <row r="1209" spans="2:23" x14ac:dyDescent="0.25">
      <c r="B1209" s="1" t="e">
        <f t="shared" si="18"/>
        <v>#N/A</v>
      </c>
      <c r="C1209" s="1" t="e">
        <f t="shared" si="19"/>
        <v>#N/A</v>
      </c>
      <c r="D1209" s="1" t="e">
        <f t="shared" si="20"/>
        <v>#N/A</v>
      </c>
      <c r="E1209" s="1" t="e">
        <f t="shared" si="21"/>
        <v>#N/A</v>
      </c>
      <c r="F1209" s="1">
        <v>3</v>
      </c>
    </row>
    <row r="1210" spans="2:23" x14ac:dyDescent="0.25">
      <c r="B1210" s="1" t="e">
        <f t="shared" si="18"/>
        <v>#N/A</v>
      </c>
      <c r="C1210" s="1" t="e">
        <f t="shared" si="19"/>
        <v>#N/A</v>
      </c>
      <c r="D1210" s="1" t="e">
        <f t="shared" si="20"/>
        <v>#N/A</v>
      </c>
      <c r="E1210" s="1" t="e">
        <f t="shared" si="21"/>
        <v>#N/A</v>
      </c>
      <c r="F1210" s="1">
        <v>4</v>
      </c>
    </row>
    <row r="1211" spans="2:23" x14ac:dyDescent="0.25">
      <c r="B1211" s="1" t="e">
        <f t="shared" si="18"/>
        <v>#N/A</v>
      </c>
      <c r="C1211" s="1" t="e">
        <f t="shared" si="19"/>
        <v>#N/A</v>
      </c>
      <c r="D1211" s="1" t="e">
        <f t="shared" si="20"/>
        <v>#N/A</v>
      </c>
      <c r="E1211" s="1" t="e">
        <f t="shared" si="21"/>
        <v>#N/A</v>
      </c>
      <c r="F1211" s="1">
        <v>5</v>
      </c>
    </row>
    <row r="1212" spans="2:23" x14ac:dyDescent="0.25">
      <c r="B1212" s="1" t="e">
        <f t="shared" si="18"/>
        <v>#N/A</v>
      </c>
      <c r="C1212" s="1" t="e">
        <f t="shared" si="19"/>
        <v>#N/A</v>
      </c>
      <c r="D1212" s="1" t="e">
        <f t="shared" si="20"/>
        <v>#N/A</v>
      </c>
      <c r="E1212" s="1" t="e">
        <f t="shared" si="21"/>
        <v>#N/A</v>
      </c>
      <c r="F1212" s="1">
        <v>6</v>
      </c>
    </row>
    <row r="1213" spans="2:23" x14ac:dyDescent="0.25">
      <c r="B1213" s="1" t="e">
        <f t="shared" si="18"/>
        <v>#N/A</v>
      </c>
      <c r="C1213" s="1" t="e">
        <f t="shared" si="19"/>
        <v>#N/A</v>
      </c>
      <c r="D1213" s="1" t="e">
        <f t="shared" si="20"/>
        <v>#N/A</v>
      </c>
      <c r="E1213" s="1" t="e">
        <f t="shared" si="21"/>
        <v>#N/A</v>
      </c>
      <c r="F1213" s="1">
        <v>7</v>
      </c>
    </row>
    <row r="1214" spans="2:23" x14ac:dyDescent="0.25">
      <c r="B1214" s="1" t="e">
        <f t="shared" si="18"/>
        <v>#N/A</v>
      </c>
      <c r="C1214" s="1" t="e">
        <f t="shared" si="19"/>
        <v>#N/A</v>
      </c>
      <c r="D1214" s="1" t="e">
        <f t="shared" si="20"/>
        <v>#N/A</v>
      </c>
      <c r="E1214" s="1" t="e">
        <f t="shared" si="21"/>
        <v>#N/A</v>
      </c>
      <c r="F1214" s="1">
        <v>8</v>
      </c>
    </row>
    <row r="1215" spans="2:23" x14ac:dyDescent="0.25">
      <c r="B1215" s="1" t="e">
        <f t="shared" si="18"/>
        <v>#N/A</v>
      </c>
      <c r="C1215" s="1" t="e">
        <f t="shared" si="19"/>
        <v>#N/A</v>
      </c>
      <c r="D1215" s="1" t="e">
        <f t="shared" si="20"/>
        <v>#N/A</v>
      </c>
      <c r="E1215" s="1" t="e">
        <f t="shared" si="21"/>
        <v>#N/A</v>
      </c>
      <c r="F1215" s="1">
        <v>9</v>
      </c>
    </row>
    <row r="1216" spans="2:23" x14ac:dyDescent="0.25">
      <c r="B1216" s="1" t="e">
        <f t="shared" si="18"/>
        <v>#N/A</v>
      </c>
      <c r="C1216" s="1" t="e">
        <f t="shared" si="19"/>
        <v>#N/A</v>
      </c>
      <c r="D1216" s="1" t="e">
        <f t="shared" si="20"/>
        <v>#N/A</v>
      </c>
      <c r="E1216" s="1" t="e">
        <f t="shared" si="21"/>
        <v>#N/A</v>
      </c>
      <c r="F1216" s="1">
        <v>10</v>
      </c>
    </row>
    <row r="1217" spans="2:6" x14ac:dyDescent="0.25">
      <c r="B1217" s="1" t="e">
        <f t="shared" si="18"/>
        <v>#N/A</v>
      </c>
      <c r="C1217" s="1" t="e">
        <f t="shared" si="19"/>
        <v>#N/A</v>
      </c>
      <c r="D1217" s="1" t="e">
        <f t="shared" si="20"/>
        <v>#N/A</v>
      </c>
      <c r="E1217" s="1" t="e">
        <f t="shared" si="21"/>
        <v>#N/A</v>
      </c>
      <c r="F1217" s="1">
        <v>11</v>
      </c>
    </row>
    <row r="1218" spans="2:6" x14ac:dyDescent="0.25">
      <c r="B1218" s="1" t="e">
        <f t="shared" si="18"/>
        <v>#N/A</v>
      </c>
      <c r="C1218" s="1" t="e">
        <f t="shared" si="19"/>
        <v>#N/A</v>
      </c>
      <c r="D1218" s="1" t="e">
        <f t="shared" si="20"/>
        <v>#N/A</v>
      </c>
      <c r="E1218" s="1" t="e">
        <f t="shared" si="21"/>
        <v>#N/A</v>
      </c>
      <c r="F1218" s="1">
        <v>12</v>
      </c>
    </row>
    <row r="1219" spans="2:6" x14ac:dyDescent="0.25">
      <c r="B1219" s="1" t="e">
        <f t="shared" si="18"/>
        <v>#N/A</v>
      </c>
      <c r="C1219" s="1" t="e">
        <f t="shared" si="19"/>
        <v>#N/A</v>
      </c>
      <c r="D1219" s="1" t="e">
        <f t="shared" si="20"/>
        <v>#N/A</v>
      </c>
      <c r="E1219" s="1" t="e">
        <f t="shared" si="21"/>
        <v>#N/A</v>
      </c>
      <c r="F1219" s="1">
        <v>13</v>
      </c>
    </row>
    <row r="1220" spans="2:6" x14ac:dyDescent="0.25">
      <c r="B1220" s="1" t="e">
        <f t="shared" si="18"/>
        <v>#N/A</v>
      </c>
      <c r="C1220" s="1" t="e">
        <f t="shared" si="19"/>
        <v>#N/A</v>
      </c>
      <c r="D1220" s="1" t="e">
        <f t="shared" si="20"/>
        <v>#N/A</v>
      </c>
      <c r="E1220" s="1" t="e">
        <f t="shared" si="21"/>
        <v>#N/A</v>
      </c>
      <c r="F1220" s="1">
        <v>14</v>
      </c>
    </row>
    <row r="1221" spans="2:6" x14ac:dyDescent="0.25">
      <c r="B1221" s="1" t="e">
        <f t="shared" si="18"/>
        <v>#N/A</v>
      </c>
      <c r="C1221" s="1" t="e">
        <f t="shared" si="19"/>
        <v>#N/A</v>
      </c>
      <c r="D1221" s="1" t="e">
        <f t="shared" si="20"/>
        <v>#N/A</v>
      </c>
      <c r="E1221" s="1" t="e">
        <f t="shared" si="21"/>
        <v>#N/A</v>
      </c>
      <c r="F1221" s="1">
        <v>15</v>
      </c>
    </row>
    <row r="1222" spans="2:6" x14ac:dyDescent="0.25">
      <c r="B1222" s="1" t="e">
        <f t="shared" si="18"/>
        <v>#N/A</v>
      </c>
      <c r="C1222" s="1" t="e">
        <f t="shared" si="19"/>
        <v>#N/A</v>
      </c>
      <c r="D1222" s="1" t="e">
        <f t="shared" si="20"/>
        <v>#N/A</v>
      </c>
      <c r="E1222" s="1" t="e">
        <f t="shared" si="21"/>
        <v>#N/A</v>
      </c>
      <c r="F1222" s="1">
        <v>16</v>
      </c>
    </row>
    <row r="1223" spans="2:6" x14ac:dyDescent="0.25">
      <c r="B1223" s="1" t="e">
        <f t="shared" si="18"/>
        <v>#N/A</v>
      </c>
      <c r="C1223" s="1" t="e">
        <f t="shared" si="19"/>
        <v>#N/A</v>
      </c>
      <c r="D1223" s="1" t="e">
        <f t="shared" si="20"/>
        <v>#N/A</v>
      </c>
      <c r="E1223" s="1" t="e">
        <f t="shared" si="21"/>
        <v>#N/A</v>
      </c>
      <c r="F1223" s="1">
        <v>17</v>
      </c>
    </row>
    <row r="1224" spans="2:6" x14ac:dyDescent="0.25">
      <c r="B1224" s="1" t="e">
        <f t="shared" si="18"/>
        <v>#N/A</v>
      </c>
      <c r="C1224" s="1" t="e">
        <f t="shared" si="19"/>
        <v>#N/A</v>
      </c>
      <c r="D1224" s="1" t="e">
        <f t="shared" si="20"/>
        <v>#N/A</v>
      </c>
      <c r="E1224" s="1" t="e">
        <f t="shared" si="21"/>
        <v>#N/A</v>
      </c>
      <c r="F1224" s="1">
        <v>18</v>
      </c>
    </row>
    <row r="1225" spans="2:6" x14ac:dyDescent="0.25">
      <c r="B1225" s="1" t="e">
        <f t="shared" si="18"/>
        <v>#N/A</v>
      </c>
      <c r="C1225" s="1" t="e">
        <f t="shared" si="19"/>
        <v>#N/A</v>
      </c>
      <c r="D1225" s="1" t="e">
        <f t="shared" si="20"/>
        <v>#N/A</v>
      </c>
      <c r="E1225" s="1" t="e">
        <f t="shared" si="21"/>
        <v>#N/A</v>
      </c>
      <c r="F1225" s="1">
        <v>19</v>
      </c>
    </row>
    <row r="1226" spans="2:6" x14ac:dyDescent="0.25">
      <c r="B1226" s="1" t="e">
        <f t="shared" si="18"/>
        <v>#N/A</v>
      </c>
      <c r="C1226" s="1" t="e">
        <f t="shared" si="19"/>
        <v>#N/A</v>
      </c>
      <c r="D1226" s="1" t="e">
        <f t="shared" si="20"/>
        <v>#N/A</v>
      </c>
      <c r="E1226" s="1" t="e">
        <f t="shared" si="21"/>
        <v>#N/A</v>
      </c>
      <c r="F1226" s="1">
        <v>20</v>
      </c>
    </row>
    <row r="1227" spans="2:6" x14ac:dyDescent="0.25">
      <c r="B1227" s="1" t="e">
        <f t="shared" si="18"/>
        <v>#N/A</v>
      </c>
      <c r="C1227" s="1" t="e">
        <f t="shared" si="19"/>
        <v>#N/A</v>
      </c>
      <c r="D1227" s="1" t="e">
        <f t="shared" si="20"/>
        <v>#N/A</v>
      </c>
      <c r="E1227" s="1" t="e">
        <f t="shared" si="21"/>
        <v>#N/A</v>
      </c>
      <c r="F1227" s="1">
        <v>21</v>
      </c>
    </row>
    <row r="1228" spans="2:6" x14ac:dyDescent="0.25">
      <c r="B1228" s="1" t="e">
        <f t="shared" si="18"/>
        <v>#N/A</v>
      </c>
      <c r="C1228" s="1" t="e">
        <f t="shared" si="19"/>
        <v>#N/A</v>
      </c>
      <c r="D1228" s="1" t="e">
        <f t="shared" si="20"/>
        <v>#N/A</v>
      </c>
      <c r="E1228" s="1" t="e">
        <f t="shared" si="21"/>
        <v>#N/A</v>
      </c>
      <c r="F1228" s="1">
        <v>22</v>
      </c>
    </row>
    <row r="1229" spans="2:6" x14ac:dyDescent="0.25">
      <c r="B1229" s="1" t="e">
        <f t="shared" si="18"/>
        <v>#N/A</v>
      </c>
      <c r="C1229" s="1" t="e">
        <f t="shared" si="19"/>
        <v>#N/A</v>
      </c>
      <c r="D1229" s="1" t="e">
        <f t="shared" si="20"/>
        <v>#N/A</v>
      </c>
      <c r="E1229" s="1" t="e">
        <f t="shared" si="21"/>
        <v>#N/A</v>
      </c>
      <c r="F1229" s="1">
        <v>23</v>
      </c>
    </row>
    <row r="1230" spans="2:6" x14ac:dyDescent="0.25">
      <c r="B1230" s="1" t="e">
        <f t="shared" si="18"/>
        <v>#N/A</v>
      </c>
      <c r="C1230" s="1" t="e">
        <f t="shared" si="19"/>
        <v>#N/A</v>
      </c>
      <c r="D1230" s="1" t="e">
        <f t="shared" si="20"/>
        <v>#N/A</v>
      </c>
      <c r="E1230" s="1" t="e">
        <f t="shared" si="21"/>
        <v>#N/A</v>
      </c>
      <c r="F1230" s="1">
        <v>24</v>
      </c>
    </row>
    <row r="1231" spans="2:6" x14ac:dyDescent="0.25">
      <c r="B1231" s="1" t="e">
        <f t="shared" si="18"/>
        <v>#N/A</v>
      </c>
      <c r="C1231" s="1" t="e">
        <f t="shared" si="19"/>
        <v>#N/A</v>
      </c>
      <c r="D1231" s="1" t="e">
        <f t="shared" si="20"/>
        <v>#N/A</v>
      </c>
      <c r="E1231" s="1" t="e">
        <f t="shared" si="21"/>
        <v>#N/A</v>
      </c>
      <c r="F1231" s="1">
        <v>25</v>
      </c>
    </row>
    <row r="1232" spans="2:6" x14ac:dyDescent="0.25">
      <c r="B1232" s="1" t="e">
        <f t="shared" si="18"/>
        <v>#N/A</v>
      </c>
      <c r="C1232" s="1" t="e">
        <f t="shared" si="19"/>
        <v>#N/A</v>
      </c>
      <c r="D1232" s="1" t="e">
        <f t="shared" si="20"/>
        <v>#N/A</v>
      </c>
      <c r="E1232" s="1" t="e">
        <f t="shared" si="21"/>
        <v>#N/A</v>
      </c>
      <c r="F1232" s="1">
        <v>26</v>
      </c>
    </row>
    <row r="1233" spans="2:6" x14ac:dyDescent="0.25">
      <c r="B1233" s="1" t="e">
        <f t="shared" si="18"/>
        <v>#N/A</v>
      </c>
      <c r="C1233" s="1" t="e">
        <f t="shared" si="19"/>
        <v>#N/A</v>
      </c>
      <c r="D1233" s="1" t="e">
        <f t="shared" si="20"/>
        <v>#N/A</v>
      </c>
      <c r="E1233" s="1" t="e">
        <f t="shared" si="21"/>
        <v>#N/A</v>
      </c>
      <c r="F1233" s="1">
        <v>27</v>
      </c>
    </row>
    <row r="1234" spans="2:6" x14ac:dyDescent="0.25">
      <c r="B1234" s="1" t="e">
        <f t="shared" si="18"/>
        <v>#N/A</v>
      </c>
      <c r="C1234" s="1" t="e">
        <f t="shared" si="19"/>
        <v>#N/A</v>
      </c>
      <c r="D1234" s="1" t="e">
        <f t="shared" si="20"/>
        <v>#N/A</v>
      </c>
      <c r="E1234" s="1" t="e">
        <f t="shared" si="21"/>
        <v>#N/A</v>
      </c>
      <c r="F1234" s="1">
        <v>28</v>
      </c>
    </row>
    <row r="1235" spans="2:6" x14ac:dyDescent="0.25">
      <c r="B1235" s="1" t="e">
        <f t="shared" si="18"/>
        <v>#N/A</v>
      </c>
      <c r="C1235" s="1" t="e">
        <f t="shared" si="19"/>
        <v>#N/A</v>
      </c>
      <c r="D1235" s="1" t="e">
        <f t="shared" si="20"/>
        <v>#N/A</v>
      </c>
      <c r="E1235" s="1" t="e">
        <f t="shared" si="21"/>
        <v>#N/A</v>
      </c>
      <c r="F1235" s="1">
        <v>29</v>
      </c>
    </row>
    <row r="1236" spans="2:6" x14ac:dyDescent="0.25">
      <c r="B1236" s="1" t="e">
        <f t="shared" si="18"/>
        <v>#N/A</v>
      </c>
      <c r="C1236" s="1" t="e">
        <f t="shared" si="19"/>
        <v>#N/A</v>
      </c>
      <c r="D1236" s="1" t="e">
        <f t="shared" si="20"/>
        <v>#N/A</v>
      </c>
      <c r="E1236" s="1" t="e">
        <f t="shared" si="21"/>
        <v>#N/A</v>
      </c>
      <c r="F1236" s="1">
        <v>30</v>
      </c>
    </row>
    <row r="1237" spans="2:6" x14ac:dyDescent="0.25">
      <c r="B1237" s="1" t="e">
        <f t="shared" si="18"/>
        <v>#N/A</v>
      </c>
      <c r="C1237" s="1" t="e">
        <f t="shared" si="19"/>
        <v>#N/A</v>
      </c>
      <c r="D1237" s="1" t="e">
        <f t="shared" si="20"/>
        <v>#N/A</v>
      </c>
      <c r="E1237" s="1" t="e">
        <f t="shared" si="21"/>
        <v>#N/A</v>
      </c>
      <c r="F1237" s="1">
        <v>31</v>
      </c>
    </row>
    <row r="1238" spans="2:6" x14ac:dyDescent="0.25">
      <c r="B1238" s="1" t="e">
        <f t="shared" si="18"/>
        <v>#N/A</v>
      </c>
      <c r="C1238" s="1" t="e">
        <f t="shared" si="19"/>
        <v>#N/A</v>
      </c>
      <c r="D1238" s="1" t="e">
        <f t="shared" si="20"/>
        <v>#N/A</v>
      </c>
      <c r="E1238" s="1" t="e">
        <f t="shared" si="21"/>
        <v>#N/A</v>
      </c>
      <c r="F1238" s="1">
        <v>32</v>
      </c>
    </row>
    <row r="1239" spans="2:6" x14ac:dyDescent="0.25">
      <c r="B1239" s="1" t="e">
        <f t="shared" si="18"/>
        <v>#N/A</v>
      </c>
      <c r="C1239" s="1" t="e">
        <f t="shared" si="19"/>
        <v>#N/A</v>
      </c>
      <c r="D1239" s="1" t="e">
        <f t="shared" si="20"/>
        <v>#N/A</v>
      </c>
      <c r="E1239" s="1" t="e">
        <f t="shared" si="21"/>
        <v>#N/A</v>
      </c>
      <c r="F1239" s="1">
        <v>33</v>
      </c>
    </row>
    <row r="1240" spans="2:6" x14ac:dyDescent="0.25">
      <c r="B1240" s="1" t="e">
        <f t="shared" si="18"/>
        <v>#N/A</v>
      </c>
      <c r="C1240" s="1" t="e">
        <f t="shared" si="19"/>
        <v>#N/A</v>
      </c>
      <c r="D1240" s="1" t="e">
        <f t="shared" si="20"/>
        <v>#N/A</v>
      </c>
      <c r="E1240" s="1" t="e">
        <f t="shared" si="21"/>
        <v>#N/A</v>
      </c>
      <c r="F1240" s="1">
        <v>34</v>
      </c>
    </row>
    <row r="1241" spans="2:6" x14ac:dyDescent="0.25">
      <c r="B1241" s="1" t="e">
        <f t="shared" si="18"/>
        <v>#N/A</v>
      </c>
      <c r="C1241" s="1" t="e">
        <f t="shared" si="19"/>
        <v>#N/A</v>
      </c>
      <c r="D1241" s="1" t="e">
        <f t="shared" si="20"/>
        <v>#N/A</v>
      </c>
      <c r="E1241" s="1" t="e">
        <f t="shared" si="21"/>
        <v>#N/A</v>
      </c>
      <c r="F1241" s="1">
        <v>35</v>
      </c>
    </row>
    <row r="1242" spans="2:6" x14ac:dyDescent="0.25">
      <c r="B1242" s="1" t="e">
        <f t="shared" si="18"/>
        <v>#N/A</v>
      </c>
      <c r="C1242" s="1" t="e">
        <f t="shared" si="19"/>
        <v>#N/A</v>
      </c>
      <c r="D1242" s="1" t="e">
        <f t="shared" si="20"/>
        <v>#N/A</v>
      </c>
      <c r="E1242" s="1" t="e">
        <f t="shared" si="21"/>
        <v>#N/A</v>
      </c>
      <c r="F1242" s="1">
        <v>36</v>
      </c>
    </row>
    <row r="1243" spans="2:6" x14ac:dyDescent="0.25">
      <c r="B1243" s="1" t="e">
        <f t="shared" si="18"/>
        <v>#N/A</v>
      </c>
      <c r="C1243" s="1" t="e">
        <f t="shared" si="19"/>
        <v>#N/A</v>
      </c>
      <c r="D1243" s="1" t="e">
        <f t="shared" si="20"/>
        <v>#N/A</v>
      </c>
      <c r="E1243" s="1" t="e">
        <f t="shared" si="21"/>
        <v>#N/A</v>
      </c>
      <c r="F1243" s="1">
        <v>37</v>
      </c>
    </row>
    <row r="1244" spans="2:6" x14ac:dyDescent="0.25">
      <c r="B1244" s="1" t="e">
        <f t="shared" si="18"/>
        <v>#N/A</v>
      </c>
      <c r="C1244" s="1" t="e">
        <f t="shared" si="19"/>
        <v>#N/A</v>
      </c>
      <c r="D1244" s="1" t="e">
        <f t="shared" si="20"/>
        <v>#N/A</v>
      </c>
      <c r="E1244" s="1" t="e">
        <f t="shared" si="21"/>
        <v>#N/A</v>
      </c>
      <c r="F1244" s="1">
        <v>38</v>
      </c>
    </row>
    <row r="1245" spans="2:6" x14ac:dyDescent="0.25">
      <c r="B1245" s="1" t="e">
        <f t="shared" si="18"/>
        <v>#N/A</v>
      </c>
      <c r="C1245" s="1" t="e">
        <f t="shared" si="19"/>
        <v>#N/A</v>
      </c>
      <c r="D1245" s="1" t="e">
        <f t="shared" si="20"/>
        <v>#N/A</v>
      </c>
      <c r="E1245" s="1" t="e">
        <f t="shared" si="21"/>
        <v>#N/A</v>
      </c>
      <c r="F1245" s="1">
        <v>39</v>
      </c>
    </row>
    <row r="1246" spans="2:6" x14ac:dyDescent="0.25">
      <c r="B1246" s="1" t="e">
        <f t="shared" si="18"/>
        <v>#N/A</v>
      </c>
      <c r="C1246" s="1" t="e">
        <f t="shared" si="19"/>
        <v>#N/A</v>
      </c>
      <c r="D1246" s="1" t="e">
        <f t="shared" si="20"/>
        <v>#N/A</v>
      </c>
      <c r="E1246" s="1" t="e">
        <f t="shared" si="21"/>
        <v>#N/A</v>
      </c>
      <c r="F1246" s="1">
        <v>40</v>
      </c>
    </row>
    <row r="1247" spans="2:6" x14ac:dyDescent="0.25">
      <c r="B1247" s="1" t="e">
        <f t="shared" si="18"/>
        <v>#N/A</v>
      </c>
      <c r="C1247" s="1" t="e">
        <f t="shared" si="19"/>
        <v>#N/A</v>
      </c>
      <c r="D1247" s="1" t="e">
        <f t="shared" si="20"/>
        <v>#N/A</v>
      </c>
      <c r="E1247" s="1" t="e">
        <f t="shared" si="21"/>
        <v>#N/A</v>
      </c>
      <c r="F1247" s="1">
        <v>41</v>
      </c>
    </row>
    <row r="1248" spans="2:6" x14ac:dyDescent="0.25">
      <c r="B1248" s="1" t="e">
        <f t="shared" si="18"/>
        <v>#N/A</v>
      </c>
      <c r="C1248" s="1" t="e">
        <f t="shared" si="19"/>
        <v>#N/A</v>
      </c>
      <c r="D1248" s="1" t="e">
        <f t="shared" si="20"/>
        <v>#N/A</v>
      </c>
      <c r="E1248" s="1" t="e">
        <f t="shared" si="21"/>
        <v>#N/A</v>
      </c>
      <c r="F1248" s="1">
        <v>42</v>
      </c>
    </row>
    <row r="1249" spans="2:6" x14ac:dyDescent="0.25">
      <c r="B1249" s="1" t="e">
        <f t="shared" si="18"/>
        <v>#N/A</v>
      </c>
      <c r="C1249" s="1" t="e">
        <f t="shared" si="19"/>
        <v>#N/A</v>
      </c>
      <c r="D1249" s="1" t="e">
        <f t="shared" si="20"/>
        <v>#N/A</v>
      </c>
      <c r="E1249" s="1" t="e">
        <f t="shared" si="21"/>
        <v>#N/A</v>
      </c>
      <c r="F1249" s="1">
        <v>43</v>
      </c>
    </row>
    <row r="1250" spans="2:6" x14ac:dyDescent="0.25">
      <c r="B1250" s="1" t="e">
        <f t="shared" si="18"/>
        <v>#N/A</v>
      </c>
      <c r="C1250" s="1" t="e">
        <f t="shared" si="19"/>
        <v>#N/A</v>
      </c>
      <c r="D1250" s="1" t="e">
        <f t="shared" si="20"/>
        <v>#N/A</v>
      </c>
      <c r="E1250" s="1" t="e">
        <f t="shared" si="21"/>
        <v>#N/A</v>
      </c>
      <c r="F1250" s="1">
        <v>44</v>
      </c>
    </row>
    <row r="1251" spans="2:6" x14ac:dyDescent="0.25">
      <c r="B1251" s="1" t="e">
        <f t="shared" si="18"/>
        <v>#N/A</v>
      </c>
      <c r="C1251" s="1" t="e">
        <f t="shared" si="19"/>
        <v>#N/A</v>
      </c>
      <c r="D1251" s="1" t="e">
        <f t="shared" si="20"/>
        <v>#N/A</v>
      </c>
      <c r="E1251" s="1" t="e">
        <f t="shared" si="21"/>
        <v>#N/A</v>
      </c>
      <c r="F1251" s="1">
        <v>45</v>
      </c>
    </row>
    <row r="1252" spans="2:6" x14ac:dyDescent="0.25">
      <c r="B1252" s="1" t="e">
        <f t="shared" si="18"/>
        <v>#N/A</v>
      </c>
      <c r="C1252" s="1" t="e">
        <f t="shared" si="19"/>
        <v>#N/A</v>
      </c>
      <c r="D1252" s="1" t="e">
        <f t="shared" si="20"/>
        <v>#N/A</v>
      </c>
      <c r="E1252" s="1" t="e">
        <f t="shared" si="21"/>
        <v>#N/A</v>
      </c>
      <c r="F1252" s="1">
        <v>46</v>
      </c>
    </row>
    <row r="1253" spans="2:6" x14ac:dyDescent="0.25">
      <c r="B1253" s="1" t="e">
        <f t="shared" si="18"/>
        <v>#N/A</v>
      </c>
      <c r="C1253" s="1" t="e">
        <f t="shared" si="19"/>
        <v>#N/A</v>
      </c>
      <c r="D1253" s="1" t="e">
        <f t="shared" si="20"/>
        <v>#N/A</v>
      </c>
      <c r="E1253" s="1" t="e">
        <f t="shared" si="21"/>
        <v>#N/A</v>
      </c>
      <c r="F1253" s="1">
        <v>47</v>
      </c>
    </row>
    <row r="1254" spans="2:6" x14ac:dyDescent="0.25">
      <c r="B1254" s="1" t="e">
        <f t="shared" si="18"/>
        <v>#N/A</v>
      </c>
      <c r="C1254" s="1" t="e">
        <f t="shared" si="19"/>
        <v>#N/A</v>
      </c>
      <c r="D1254" s="1" t="e">
        <f t="shared" si="20"/>
        <v>#N/A</v>
      </c>
      <c r="E1254" s="1" t="e">
        <f t="shared" si="21"/>
        <v>#N/A</v>
      </c>
      <c r="F1254" s="1">
        <v>48</v>
      </c>
    </row>
    <row r="1255" spans="2:6" x14ac:dyDescent="0.25">
      <c r="B1255" s="1" t="e">
        <f t="shared" si="18"/>
        <v>#N/A</v>
      </c>
      <c r="C1255" s="1" t="e">
        <f t="shared" si="19"/>
        <v>#N/A</v>
      </c>
      <c r="D1255" s="1" t="e">
        <f t="shared" si="20"/>
        <v>#N/A</v>
      </c>
      <c r="E1255" s="1" t="e">
        <f t="shared" si="21"/>
        <v>#N/A</v>
      </c>
      <c r="F1255" s="1">
        <v>49</v>
      </c>
    </row>
    <row r="1256" spans="2:6" x14ac:dyDescent="0.25">
      <c r="B1256" s="1" t="e">
        <f t="shared" si="18"/>
        <v>#N/A</v>
      </c>
      <c r="C1256" s="1" t="e">
        <f t="shared" si="19"/>
        <v>#N/A</v>
      </c>
      <c r="D1256" s="1" t="e">
        <f t="shared" si="20"/>
        <v>#N/A</v>
      </c>
      <c r="E1256" s="1" t="e">
        <f t="shared" si="21"/>
        <v>#N/A</v>
      </c>
      <c r="F1256" s="1">
        <v>50</v>
      </c>
    </row>
    <row r="1257" spans="2:6" x14ac:dyDescent="0.25">
      <c r="B1257" s="1" t="e">
        <f t="shared" si="18"/>
        <v>#N/A</v>
      </c>
      <c r="C1257" s="1" t="e">
        <f t="shared" si="19"/>
        <v>#N/A</v>
      </c>
      <c r="D1257" s="1" t="e">
        <f t="shared" si="20"/>
        <v>#N/A</v>
      </c>
      <c r="E1257" s="1" t="e">
        <f t="shared" si="21"/>
        <v>#N/A</v>
      </c>
      <c r="F1257" s="1">
        <v>51</v>
      </c>
    </row>
    <row r="1258" spans="2:6" x14ac:dyDescent="0.25">
      <c r="B1258" s="1" t="e">
        <f t="shared" si="18"/>
        <v>#N/A</v>
      </c>
      <c r="C1258" s="1" t="e">
        <f t="shared" si="19"/>
        <v>#N/A</v>
      </c>
      <c r="D1258" s="1" t="e">
        <f t="shared" si="20"/>
        <v>#N/A</v>
      </c>
      <c r="E1258" s="1" t="e">
        <f t="shared" si="21"/>
        <v>#N/A</v>
      </c>
      <c r="F1258" s="1">
        <v>52</v>
      </c>
    </row>
    <row r="1259" spans="2:6" x14ac:dyDescent="0.25">
      <c r="B1259" s="1" t="e">
        <f t="shared" si="18"/>
        <v>#N/A</v>
      </c>
      <c r="C1259" s="1" t="e">
        <f t="shared" si="19"/>
        <v>#N/A</v>
      </c>
      <c r="D1259" s="1" t="e">
        <f t="shared" si="20"/>
        <v>#N/A</v>
      </c>
      <c r="E1259" s="1" t="e">
        <f t="shared" si="21"/>
        <v>#N/A</v>
      </c>
      <c r="F1259" s="1">
        <v>53</v>
      </c>
    </row>
    <row r="1260" spans="2:6" x14ac:dyDescent="0.25">
      <c r="B1260" s="1" t="e">
        <f t="shared" si="18"/>
        <v>#N/A</v>
      </c>
      <c r="C1260" s="1" t="e">
        <f t="shared" si="19"/>
        <v>#N/A</v>
      </c>
      <c r="D1260" s="1" t="e">
        <f t="shared" si="20"/>
        <v>#N/A</v>
      </c>
      <c r="E1260" s="1" t="e">
        <f t="shared" si="21"/>
        <v>#N/A</v>
      </c>
      <c r="F1260" s="1">
        <v>54</v>
      </c>
    </row>
    <row r="1261" spans="2:6" x14ac:dyDescent="0.25">
      <c r="B1261" s="1" t="e">
        <f t="shared" si="18"/>
        <v>#N/A</v>
      </c>
      <c r="C1261" s="1" t="e">
        <f t="shared" si="19"/>
        <v>#N/A</v>
      </c>
      <c r="D1261" s="1" t="e">
        <f t="shared" si="20"/>
        <v>#N/A</v>
      </c>
      <c r="E1261" s="1" t="e">
        <f t="shared" si="21"/>
        <v>#N/A</v>
      </c>
      <c r="F1261" s="1">
        <v>55</v>
      </c>
    </row>
    <row r="1262" spans="2:6" x14ac:dyDescent="0.25">
      <c r="B1262" s="1" t="e">
        <f t="shared" si="18"/>
        <v>#N/A</v>
      </c>
      <c r="C1262" s="1" t="e">
        <f t="shared" si="19"/>
        <v>#N/A</v>
      </c>
      <c r="D1262" s="1" t="e">
        <f t="shared" si="20"/>
        <v>#N/A</v>
      </c>
      <c r="E1262" s="1" t="e">
        <f t="shared" si="21"/>
        <v>#N/A</v>
      </c>
      <c r="F1262" s="1">
        <v>56</v>
      </c>
    </row>
    <row r="1263" spans="2:6" x14ac:dyDescent="0.25">
      <c r="B1263" s="1" t="e">
        <f t="shared" si="18"/>
        <v>#N/A</v>
      </c>
      <c r="C1263" s="1" t="e">
        <f t="shared" si="19"/>
        <v>#N/A</v>
      </c>
      <c r="D1263" s="1" t="e">
        <f t="shared" si="20"/>
        <v>#N/A</v>
      </c>
      <c r="E1263" s="1" t="e">
        <f t="shared" si="21"/>
        <v>#N/A</v>
      </c>
      <c r="F1263" s="1">
        <v>57</v>
      </c>
    </row>
    <row r="1264" spans="2:6" x14ac:dyDescent="0.25">
      <c r="B1264" s="1" t="e">
        <f t="shared" si="18"/>
        <v>#N/A</v>
      </c>
      <c r="C1264" s="1" t="e">
        <f t="shared" si="19"/>
        <v>#N/A</v>
      </c>
      <c r="D1264" s="1" t="e">
        <f t="shared" si="20"/>
        <v>#N/A</v>
      </c>
      <c r="E1264" s="1" t="e">
        <f t="shared" si="21"/>
        <v>#N/A</v>
      </c>
      <c r="F1264" s="1">
        <v>58</v>
      </c>
    </row>
    <row r="1265" spans="2:6" x14ac:dyDescent="0.25">
      <c r="B1265" s="1" t="e">
        <f t="shared" si="18"/>
        <v>#N/A</v>
      </c>
      <c r="C1265" s="1" t="e">
        <f t="shared" si="19"/>
        <v>#N/A</v>
      </c>
      <c r="D1265" s="1" t="e">
        <f t="shared" si="20"/>
        <v>#N/A</v>
      </c>
      <c r="E1265" s="1" t="e">
        <f t="shared" si="21"/>
        <v>#N/A</v>
      </c>
      <c r="F1265" s="1">
        <v>59</v>
      </c>
    </row>
    <row r="1266" spans="2:6" x14ac:dyDescent="0.25">
      <c r="B1266" s="1" t="e">
        <f t="shared" si="18"/>
        <v>#N/A</v>
      </c>
      <c r="C1266" s="1" t="e">
        <f t="shared" si="19"/>
        <v>#N/A</v>
      </c>
      <c r="D1266" s="1" t="e">
        <f t="shared" si="20"/>
        <v>#N/A</v>
      </c>
      <c r="E1266" s="1" t="e">
        <f t="shared" si="21"/>
        <v>#N/A</v>
      </c>
      <c r="F1266" s="1">
        <v>60</v>
      </c>
    </row>
    <row r="1267" spans="2:6" x14ac:dyDescent="0.25">
      <c r="B1267" s="1" t="e">
        <f t="shared" si="18"/>
        <v>#N/A</v>
      </c>
      <c r="C1267" s="1" t="e">
        <f t="shared" si="19"/>
        <v>#N/A</v>
      </c>
      <c r="D1267" s="1" t="e">
        <f t="shared" si="20"/>
        <v>#N/A</v>
      </c>
      <c r="E1267" s="1" t="e">
        <f t="shared" si="21"/>
        <v>#N/A</v>
      </c>
      <c r="F1267" s="1">
        <v>61</v>
      </c>
    </row>
    <row r="1268" spans="2:6" x14ac:dyDescent="0.25">
      <c r="B1268" s="1" t="e">
        <f t="shared" si="18"/>
        <v>#N/A</v>
      </c>
      <c r="C1268" s="1" t="e">
        <f t="shared" si="19"/>
        <v>#N/A</v>
      </c>
      <c r="D1268" s="1" t="e">
        <f t="shared" si="20"/>
        <v>#N/A</v>
      </c>
      <c r="E1268" s="1" t="e">
        <f t="shared" si="21"/>
        <v>#N/A</v>
      </c>
      <c r="F1268" s="1">
        <v>62</v>
      </c>
    </row>
    <row r="1269" spans="2:6" x14ac:dyDescent="0.25">
      <c r="B1269" s="1" t="e">
        <f t="shared" si="18"/>
        <v>#N/A</v>
      </c>
      <c r="C1269" s="1" t="e">
        <f t="shared" si="19"/>
        <v>#N/A</v>
      </c>
      <c r="D1269" s="1" t="e">
        <f t="shared" si="20"/>
        <v>#N/A</v>
      </c>
      <c r="E1269" s="1" t="e">
        <f t="shared" si="21"/>
        <v>#N/A</v>
      </c>
      <c r="F1269" s="1">
        <v>63</v>
      </c>
    </row>
    <row r="1270" spans="2:6" x14ac:dyDescent="0.25">
      <c r="B1270" s="1" t="e">
        <f t="shared" si="18"/>
        <v>#N/A</v>
      </c>
      <c r="C1270" s="1" t="e">
        <f t="shared" si="19"/>
        <v>#N/A</v>
      </c>
      <c r="D1270" s="1" t="e">
        <f t="shared" si="20"/>
        <v>#N/A</v>
      </c>
      <c r="E1270" s="1" t="e">
        <f t="shared" si="21"/>
        <v>#N/A</v>
      </c>
      <c r="F1270" s="1">
        <v>64</v>
      </c>
    </row>
    <row r="1271" spans="2:6" x14ac:dyDescent="0.25">
      <c r="B1271" s="1" t="e">
        <f t="shared" ref="B1271:B1334" si="22">IF(INDEX(currentSMORPH,$F1271) = "ri",INDEX(currentTHW,$F1271),NA())</f>
        <v>#N/A</v>
      </c>
      <c r="C1271" s="1" t="e">
        <f t="shared" ref="C1271:C1334" si="23">IF(INDEX(currentSMORPH,$F1271) = "ru",INDEX(currentTHW,$F1271),NA())</f>
        <v>#N/A</v>
      </c>
      <c r="D1271" s="1" t="e">
        <f t="shared" ref="D1271:D1334" si="24">IF(INDEX(currentSMORPH,$F1271) = "po",INDEX(currentTHW,$F1271),NA())</f>
        <v>#N/A</v>
      </c>
      <c r="E1271" s="1" t="e">
        <f t="shared" ref="E1271:E1334" si="25">IF(INDEX(currentSMORPH,$F1271) = "gl",INDEX(currentTHW,$F1271),NA())</f>
        <v>#N/A</v>
      </c>
      <c r="F1271" s="1">
        <v>65</v>
      </c>
    </row>
    <row r="1272" spans="2:6" x14ac:dyDescent="0.25">
      <c r="B1272" s="1" t="e">
        <f t="shared" si="22"/>
        <v>#N/A</v>
      </c>
      <c r="C1272" s="1" t="e">
        <f t="shared" si="23"/>
        <v>#N/A</v>
      </c>
      <c r="D1272" s="1" t="e">
        <f t="shared" si="24"/>
        <v>#N/A</v>
      </c>
      <c r="E1272" s="1" t="e">
        <f t="shared" si="25"/>
        <v>#N/A</v>
      </c>
      <c r="F1272" s="1">
        <v>66</v>
      </c>
    </row>
    <row r="1273" spans="2:6" x14ac:dyDescent="0.25">
      <c r="B1273" s="1" t="e">
        <f t="shared" si="22"/>
        <v>#N/A</v>
      </c>
      <c r="C1273" s="1" t="e">
        <f t="shared" si="23"/>
        <v>#N/A</v>
      </c>
      <c r="D1273" s="1" t="e">
        <f t="shared" si="24"/>
        <v>#N/A</v>
      </c>
      <c r="E1273" s="1" t="e">
        <f t="shared" si="25"/>
        <v>#N/A</v>
      </c>
      <c r="F1273" s="1">
        <v>67</v>
      </c>
    </row>
    <row r="1274" spans="2:6" x14ac:dyDescent="0.25">
      <c r="B1274" s="1" t="e">
        <f t="shared" si="22"/>
        <v>#N/A</v>
      </c>
      <c r="C1274" s="1" t="e">
        <f t="shared" si="23"/>
        <v>#N/A</v>
      </c>
      <c r="D1274" s="1" t="e">
        <f t="shared" si="24"/>
        <v>#N/A</v>
      </c>
      <c r="E1274" s="1" t="e">
        <f t="shared" si="25"/>
        <v>#N/A</v>
      </c>
      <c r="F1274" s="1">
        <v>68</v>
      </c>
    </row>
    <row r="1275" spans="2:6" x14ac:dyDescent="0.25">
      <c r="B1275" s="1" t="e">
        <f t="shared" si="22"/>
        <v>#N/A</v>
      </c>
      <c r="C1275" s="1" t="e">
        <f t="shared" si="23"/>
        <v>#N/A</v>
      </c>
      <c r="D1275" s="1" t="e">
        <f t="shared" si="24"/>
        <v>#N/A</v>
      </c>
      <c r="E1275" s="1" t="e">
        <f t="shared" si="25"/>
        <v>#N/A</v>
      </c>
      <c r="F1275" s="1">
        <v>69</v>
      </c>
    </row>
    <row r="1276" spans="2:6" x14ac:dyDescent="0.25">
      <c r="B1276" s="1" t="e">
        <f t="shared" si="22"/>
        <v>#N/A</v>
      </c>
      <c r="C1276" s="1" t="e">
        <f t="shared" si="23"/>
        <v>#N/A</v>
      </c>
      <c r="D1276" s="1" t="e">
        <f t="shared" si="24"/>
        <v>#N/A</v>
      </c>
      <c r="E1276" s="1" t="e">
        <f t="shared" si="25"/>
        <v>#N/A</v>
      </c>
      <c r="F1276" s="1">
        <v>70</v>
      </c>
    </row>
    <row r="1277" spans="2:6" x14ac:dyDescent="0.25">
      <c r="B1277" s="1" t="e">
        <f t="shared" si="22"/>
        <v>#N/A</v>
      </c>
      <c r="C1277" s="1" t="e">
        <f t="shared" si="23"/>
        <v>#N/A</v>
      </c>
      <c r="D1277" s="1" t="e">
        <f t="shared" si="24"/>
        <v>#N/A</v>
      </c>
      <c r="E1277" s="1" t="e">
        <f t="shared" si="25"/>
        <v>#N/A</v>
      </c>
      <c r="F1277" s="1">
        <v>71</v>
      </c>
    </row>
    <row r="1278" spans="2:6" x14ac:dyDescent="0.25">
      <c r="B1278" s="1" t="e">
        <f t="shared" si="22"/>
        <v>#N/A</v>
      </c>
      <c r="C1278" s="1" t="e">
        <f t="shared" si="23"/>
        <v>#N/A</v>
      </c>
      <c r="D1278" s="1" t="e">
        <f t="shared" si="24"/>
        <v>#N/A</v>
      </c>
      <c r="E1278" s="1" t="e">
        <f t="shared" si="25"/>
        <v>#N/A</v>
      </c>
      <c r="F1278" s="1">
        <v>72</v>
      </c>
    </row>
    <row r="1279" spans="2:6" x14ac:dyDescent="0.25">
      <c r="B1279" s="1" t="e">
        <f t="shared" si="22"/>
        <v>#N/A</v>
      </c>
      <c r="C1279" s="1" t="e">
        <f t="shared" si="23"/>
        <v>#N/A</v>
      </c>
      <c r="D1279" s="1" t="e">
        <f t="shared" si="24"/>
        <v>#N/A</v>
      </c>
      <c r="E1279" s="1" t="e">
        <f t="shared" si="25"/>
        <v>#N/A</v>
      </c>
      <c r="F1279" s="1">
        <v>73</v>
      </c>
    </row>
    <row r="1280" spans="2:6" x14ac:dyDescent="0.25">
      <c r="B1280" s="1" t="e">
        <f t="shared" si="22"/>
        <v>#N/A</v>
      </c>
      <c r="C1280" s="1" t="e">
        <f t="shared" si="23"/>
        <v>#N/A</v>
      </c>
      <c r="D1280" s="1" t="e">
        <f t="shared" si="24"/>
        <v>#N/A</v>
      </c>
      <c r="E1280" s="1" t="e">
        <f t="shared" si="25"/>
        <v>#N/A</v>
      </c>
      <c r="F1280" s="1">
        <v>74</v>
      </c>
    </row>
    <row r="1281" spans="2:6" x14ac:dyDescent="0.25">
      <c r="B1281" s="1" t="e">
        <f t="shared" si="22"/>
        <v>#N/A</v>
      </c>
      <c r="C1281" s="1" t="e">
        <f t="shared" si="23"/>
        <v>#N/A</v>
      </c>
      <c r="D1281" s="1" t="e">
        <f t="shared" si="24"/>
        <v>#N/A</v>
      </c>
      <c r="E1281" s="1" t="e">
        <f t="shared" si="25"/>
        <v>#N/A</v>
      </c>
      <c r="F1281" s="1">
        <v>75</v>
      </c>
    </row>
    <row r="1282" spans="2:6" x14ac:dyDescent="0.25">
      <c r="B1282" s="1" t="e">
        <f t="shared" si="22"/>
        <v>#N/A</v>
      </c>
      <c r="C1282" s="1" t="e">
        <f t="shared" si="23"/>
        <v>#N/A</v>
      </c>
      <c r="D1282" s="1" t="e">
        <f t="shared" si="24"/>
        <v>#N/A</v>
      </c>
      <c r="E1282" s="1" t="e">
        <f t="shared" si="25"/>
        <v>#N/A</v>
      </c>
      <c r="F1282" s="1">
        <v>76</v>
      </c>
    </row>
    <row r="1283" spans="2:6" x14ac:dyDescent="0.25">
      <c r="B1283" s="1" t="e">
        <f t="shared" si="22"/>
        <v>#N/A</v>
      </c>
      <c r="C1283" s="1" t="e">
        <f t="shared" si="23"/>
        <v>#N/A</v>
      </c>
      <c r="D1283" s="1" t="e">
        <f t="shared" si="24"/>
        <v>#N/A</v>
      </c>
      <c r="E1283" s="1" t="e">
        <f t="shared" si="25"/>
        <v>#N/A</v>
      </c>
      <c r="F1283" s="1">
        <v>77</v>
      </c>
    </row>
    <row r="1284" spans="2:6" x14ac:dyDescent="0.25">
      <c r="B1284" s="1" t="e">
        <f t="shared" si="22"/>
        <v>#N/A</v>
      </c>
      <c r="C1284" s="1" t="e">
        <f t="shared" si="23"/>
        <v>#N/A</v>
      </c>
      <c r="D1284" s="1" t="e">
        <f t="shared" si="24"/>
        <v>#N/A</v>
      </c>
      <c r="E1284" s="1" t="e">
        <f t="shared" si="25"/>
        <v>#N/A</v>
      </c>
      <c r="F1284" s="1">
        <v>78</v>
      </c>
    </row>
    <row r="1285" spans="2:6" x14ac:dyDescent="0.25">
      <c r="B1285" s="1" t="e">
        <f t="shared" si="22"/>
        <v>#N/A</v>
      </c>
      <c r="C1285" s="1" t="e">
        <f t="shared" si="23"/>
        <v>#N/A</v>
      </c>
      <c r="D1285" s="1" t="e">
        <f t="shared" si="24"/>
        <v>#N/A</v>
      </c>
      <c r="E1285" s="1" t="e">
        <f t="shared" si="25"/>
        <v>#N/A</v>
      </c>
      <c r="F1285" s="1">
        <v>79</v>
      </c>
    </row>
    <row r="1286" spans="2:6" x14ac:dyDescent="0.25">
      <c r="B1286" s="1" t="e">
        <f t="shared" si="22"/>
        <v>#N/A</v>
      </c>
      <c r="C1286" s="1" t="e">
        <f t="shared" si="23"/>
        <v>#N/A</v>
      </c>
      <c r="D1286" s="1" t="e">
        <f t="shared" si="24"/>
        <v>#N/A</v>
      </c>
      <c r="E1286" s="1" t="e">
        <f t="shared" si="25"/>
        <v>#N/A</v>
      </c>
      <c r="F1286" s="1">
        <v>80</v>
      </c>
    </row>
    <row r="1287" spans="2:6" x14ac:dyDescent="0.25">
      <c r="B1287" s="1" t="e">
        <f t="shared" si="22"/>
        <v>#N/A</v>
      </c>
      <c r="C1287" s="1" t="e">
        <f t="shared" si="23"/>
        <v>#N/A</v>
      </c>
      <c r="D1287" s="1" t="e">
        <f t="shared" si="24"/>
        <v>#N/A</v>
      </c>
      <c r="E1287" s="1" t="e">
        <f t="shared" si="25"/>
        <v>#N/A</v>
      </c>
      <c r="F1287" s="1">
        <v>81</v>
      </c>
    </row>
    <row r="1288" spans="2:6" x14ac:dyDescent="0.25">
      <c r="B1288" s="1" t="e">
        <f t="shared" si="22"/>
        <v>#N/A</v>
      </c>
      <c r="C1288" s="1" t="e">
        <f t="shared" si="23"/>
        <v>#N/A</v>
      </c>
      <c r="D1288" s="1" t="e">
        <f t="shared" si="24"/>
        <v>#N/A</v>
      </c>
      <c r="E1288" s="1" t="e">
        <f t="shared" si="25"/>
        <v>#N/A</v>
      </c>
      <c r="F1288" s="1">
        <v>82</v>
      </c>
    </row>
    <row r="1289" spans="2:6" x14ac:dyDescent="0.25">
      <c r="B1289" s="1" t="e">
        <f t="shared" si="22"/>
        <v>#N/A</v>
      </c>
      <c r="C1289" s="1" t="e">
        <f t="shared" si="23"/>
        <v>#N/A</v>
      </c>
      <c r="D1289" s="1" t="e">
        <f t="shared" si="24"/>
        <v>#N/A</v>
      </c>
      <c r="E1289" s="1" t="e">
        <f t="shared" si="25"/>
        <v>#N/A</v>
      </c>
      <c r="F1289" s="1">
        <v>83</v>
      </c>
    </row>
    <row r="1290" spans="2:6" x14ac:dyDescent="0.25">
      <c r="B1290" s="1" t="e">
        <f t="shared" si="22"/>
        <v>#N/A</v>
      </c>
      <c r="C1290" s="1" t="e">
        <f t="shared" si="23"/>
        <v>#N/A</v>
      </c>
      <c r="D1290" s="1" t="e">
        <f t="shared" si="24"/>
        <v>#N/A</v>
      </c>
      <c r="E1290" s="1" t="e">
        <f t="shared" si="25"/>
        <v>#N/A</v>
      </c>
      <c r="F1290" s="1">
        <v>84</v>
      </c>
    </row>
    <row r="1291" spans="2:6" x14ac:dyDescent="0.25">
      <c r="B1291" s="1" t="e">
        <f t="shared" si="22"/>
        <v>#N/A</v>
      </c>
      <c r="C1291" s="1" t="e">
        <f t="shared" si="23"/>
        <v>#N/A</v>
      </c>
      <c r="D1291" s="1" t="e">
        <f t="shared" si="24"/>
        <v>#N/A</v>
      </c>
      <c r="E1291" s="1" t="e">
        <f t="shared" si="25"/>
        <v>#N/A</v>
      </c>
      <c r="F1291" s="1">
        <v>85</v>
      </c>
    </row>
    <row r="1292" spans="2:6" x14ac:dyDescent="0.25">
      <c r="B1292" s="1" t="e">
        <f t="shared" si="22"/>
        <v>#N/A</v>
      </c>
      <c r="C1292" s="1" t="e">
        <f t="shared" si="23"/>
        <v>#N/A</v>
      </c>
      <c r="D1292" s="1" t="e">
        <f t="shared" si="24"/>
        <v>#N/A</v>
      </c>
      <c r="E1292" s="1" t="e">
        <f t="shared" si="25"/>
        <v>#N/A</v>
      </c>
      <c r="F1292" s="1">
        <v>86</v>
      </c>
    </row>
    <row r="1293" spans="2:6" x14ac:dyDescent="0.25">
      <c r="B1293" s="1" t="e">
        <f t="shared" si="22"/>
        <v>#N/A</v>
      </c>
      <c r="C1293" s="1" t="e">
        <f t="shared" si="23"/>
        <v>#N/A</v>
      </c>
      <c r="D1293" s="1" t="e">
        <f t="shared" si="24"/>
        <v>#N/A</v>
      </c>
      <c r="E1293" s="1" t="e">
        <f t="shared" si="25"/>
        <v>#N/A</v>
      </c>
      <c r="F1293" s="1">
        <v>87</v>
      </c>
    </row>
    <row r="1294" spans="2:6" x14ac:dyDescent="0.25">
      <c r="B1294" s="1" t="e">
        <f t="shared" si="22"/>
        <v>#N/A</v>
      </c>
      <c r="C1294" s="1" t="e">
        <f t="shared" si="23"/>
        <v>#N/A</v>
      </c>
      <c r="D1294" s="1" t="e">
        <f t="shared" si="24"/>
        <v>#N/A</v>
      </c>
      <c r="E1294" s="1" t="e">
        <f t="shared" si="25"/>
        <v>#N/A</v>
      </c>
      <c r="F1294" s="1">
        <v>88</v>
      </c>
    </row>
    <row r="1295" spans="2:6" x14ac:dyDescent="0.25">
      <c r="B1295" s="1" t="e">
        <f t="shared" si="22"/>
        <v>#N/A</v>
      </c>
      <c r="C1295" s="1" t="e">
        <f t="shared" si="23"/>
        <v>#N/A</v>
      </c>
      <c r="D1295" s="1" t="e">
        <f t="shared" si="24"/>
        <v>#N/A</v>
      </c>
      <c r="E1295" s="1" t="e">
        <f t="shared" si="25"/>
        <v>#N/A</v>
      </c>
      <c r="F1295" s="1">
        <v>89</v>
      </c>
    </row>
    <row r="1296" spans="2:6" x14ac:dyDescent="0.25">
      <c r="B1296" s="1" t="e">
        <f t="shared" si="22"/>
        <v>#N/A</v>
      </c>
      <c r="C1296" s="1" t="e">
        <f t="shared" si="23"/>
        <v>#N/A</v>
      </c>
      <c r="D1296" s="1" t="e">
        <f t="shared" si="24"/>
        <v>#N/A</v>
      </c>
      <c r="E1296" s="1" t="e">
        <f t="shared" si="25"/>
        <v>#N/A</v>
      </c>
      <c r="F1296" s="1">
        <v>90</v>
      </c>
    </row>
    <row r="1297" spans="2:6" x14ac:dyDescent="0.25">
      <c r="B1297" s="1" t="e">
        <f t="shared" si="22"/>
        <v>#N/A</v>
      </c>
      <c r="C1297" s="1" t="e">
        <f t="shared" si="23"/>
        <v>#N/A</v>
      </c>
      <c r="D1297" s="1" t="e">
        <f t="shared" si="24"/>
        <v>#N/A</v>
      </c>
      <c r="E1297" s="1" t="e">
        <f t="shared" si="25"/>
        <v>#N/A</v>
      </c>
      <c r="F1297" s="1">
        <v>91</v>
      </c>
    </row>
    <row r="1298" spans="2:6" x14ac:dyDescent="0.25">
      <c r="B1298" s="1" t="e">
        <f t="shared" si="22"/>
        <v>#N/A</v>
      </c>
      <c r="C1298" s="1" t="e">
        <f t="shared" si="23"/>
        <v>#N/A</v>
      </c>
      <c r="D1298" s="1" t="e">
        <f t="shared" si="24"/>
        <v>#N/A</v>
      </c>
      <c r="E1298" s="1" t="e">
        <f t="shared" si="25"/>
        <v>#N/A</v>
      </c>
      <c r="F1298" s="1">
        <v>92</v>
      </c>
    </row>
    <row r="1299" spans="2:6" x14ac:dyDescent="0.25">
      <c r="B1299" s="1" t="e">
        <f t="shared" si="22"/>
        <v>#N/A</v>
      </c>
      <c r="C1299" s="1" t="e">
        <f t="shared" si="23"/>
        <v>#N/A</v>
      </c>
      <c r="D1299" s="1" t="e">
        <f t="shared" si="24"/>
        <v>#N/A</v>
      </c>
      <c r="E1299" s="1" t="e">
        <f t="shared" si="25"/>
        <v>#N/A</v>
      </c>
      <c r="F1299" s="1">
        <v>93</v>
      </c>
    </row>
    <row r="1300" spans="2:6" x14ac:dyDescent="0.25">
      <c r="B1300" s="1" t="e">
        <f t="shared" si="22"/>
        <v>#N/A</v>
      </c>
      <c r="C1300" s="1" t="e">
        <f t="shared" si="23"/>
        <v>#N/A</v>
      </c>
      <c r="D1300" s="1" t="e">
        <f t="shared" si="24"/>
        <v>#N/A</v>
      </c>
      <c r="E1300" s="1" t="e">
        <f t="shared" si="25"/>
        <v>#N/A</v>
      </c>
      <c r="F1300" s="1">
        <v>94</v>
      </c>
    </row>
    <row r="1301" spans="2:6" x14ac:dyDescent="0.25">
      <c r="B1301" s="1" t="e">
        <f t="shared" si="22"/>
        <v>#N/A</v>
      </c>
      <c r="C1301" s="1" t="e">
        <f t="shared" si="23"/>
        <v>#N/A</v>
      </c>
      <c r="D1301" s="1" t="e">
        <f t="shared" si="24"/>
        <v>#N/A</v>
      </c>
      <c r="E1301" s="1" t="e">
        <f t="shared" si="25"/>
        <v>#N/A</v>
      </c>
      <c r="F1301" s="1">
        <v>95</v>
      </c>
    </row>
    <row r="1302" spans="2:6" x14ac:dyDescent="0.25">
      <c r="B1302" s="1" t="e">
        <f t="shared" si="22"/>
        <v>#N/A</v>
      </c>
      <c r="C1302" s="1" t="e">
        <f t="shared" si="23"/>
        <v>#N/A</v>
      </c>
      <c r="D1302" s="1" t="e">
        <f t="shared" si="24"/>
        <v>#N/A</v>
      </c>
      <c r="E1302" s="1" t="e">
        <f t="shared" si="25"/>
        <v>#N/A</v>
      </c>
      <c r="F1302" s="1">
        <v>96</v>
      </c>
    </row>
    <row r="1303" spans="2:6" x14ac:dyDescent="0.25">
      <c r="B1303" s="1" t="e">
        <f t="shared" si="22"/>
        <v>#N/A</v>
      </c>
      <c r="C1303" s="1" t="e">
        <f t="shared" si="23"/>
        <v>#N/A</v>
      </c>
      <c r="D1303" s="1" t="e">
        <f t="shared" si="24"/>
        <v>#N/A</v>
      </c>
      <c r="E1303" s="1" t="e">
        <f t="shared" si="25"/>
        <v>#N/A</v>
      </c>
      <c r="F1303" s="1">
        <v>97</v>
      </c>
    </row>
    <row r="1304" spans="2:6" x14ac:dyDescent="0.25">
      <c r="B1304" s="1" t="e">
        <f t="shared" si="22"/>
        <v>#N/A</v>
      </c>
      <c r="C1304" s="1" t="e">
        <f t="shared" si="23"/>
        <v>#N/A</v>
      </c>
      <c r="D1304" s="1" t="e">
        <f t="shared" si="24"/>
        <v>#N/A</v>
      </c>
      <c r="E1304" s="1" t="e">
        <f t="shared" si="25"/>
        <v>#N/A</v>
      </c>
      <c r="F1304" s="1">
        <v>98</v>
      </c>
    </row>
    <row r="1305" spans="2:6" x14ac:dyDescent="0.25">
      <c r="B1305" s="1" t="e">
        <f t="shared" si="22"/>
        <v>#N/A</v>
      </c>
      <c r="C1305" s="1" t="e">
        <f t="shared" si="23"/>
        <v>#N/A</v>
      </c>
      <c r="D1305" s="1" t="e">
        <f t="shared" si="24"/>
        <v>#N/A</v>
      </c>
      <c r="E1305" s="1" t="e">
        <f t="shared" si="25"/>
        <v>#N/A</v>
      </c>
      <c r="F1305" s="1">
        <v>99</v>
      </c>
    </row>
    <row r="1306" spans="2:6" x14ac:dyDescent="0.25">
      <c r="B1306" s="1" t="e">
        <f t="shared" si="22"/>
        <v>#N/A</v>
      </c>
      <c r="C1306" s="1" t="e">
        <f t="shared" si="23"/>
        <v>#N/A</v>
      </c>
      <c r="D1306" s="1" t="e">
        <f t="shared" si="24"/>
        <v>#N/A</v>
      </c>
      <c r="E1306" s="1" t="e">
        <f t="shared" si="25"/>
        <v>#N/A</v>
      </c>
      <c r="F1306" s="1">
        <v>100</v>
      </c>
    </row>
    <row r="1307" spans="2:6" x14ac:dyDescent="0.25">
      <c r="B1307" s="1" t="e">
        <f t="shared" si="22"/>
        <v>#N/A</v>
      </c>
      <c r="C1307" s="1" t="e">
        <f t="shared" si="23"/>
        <v>#N/A</v>
      </c>
      <c r="D1307" s="1" t="e">
        <f t="shared" si="24"/>
        <v>#N/A</v>
      </c>
      <c r="E1307" s="1" t="e">
        <f t="shared" si="25"/>
        <v>#N/A</v>
      </c>
      <c r="F1307" s="1">
        <v>101</v>
      </c>
    </row>
    <row r="1308" spans="2:6" x14ac:dyDescent="0.25">
      <c r="B1308" s="1" t="e">
        <f t="shared" si="22"/>
        <v>#N/A</v>
      </c>
      <c r="C1308" s="1" t="e">
        <f t="shared" si="23"/>
        <v>#N/A</v>
      </c>
      <c r="D1308" s="1" t="e">
        <f t="shared" si="24"/>
        <v>#N/A</v>
      </c>
      <c r="E1308" s="1" t="e">
        <f t="shared" si="25"/>
        <v>#N/A</v>
      </c>
      <c r="F1308" s="1">
        <v>102</v>
      </c>
    </row>
    <row r="1309" spans="2:6" x14ac:dyDescent="0.25">
      <c r="B1309" s="1" t="e">
        <f t="shared" si="22"/>
        <v>#N/A</v>
      </c>
      <c r="C1309" s="1" t="e">
        <f t="shared" si="23"/>
        <v>#N/A</v>
      </c>
      <c r="D1309" s="1" t="e">
        <f t="shared" si="24"/>
        <v>#N/A</v>
      </c>
      <c r="E1309" s="1" t="e">
        <f t="shared" si="25"/>
        <v>#N/A</v>
      </c>
      <c r="F1309" s="1">
        <v>103</v>
      </c>
    </row>
    <row r="1310" spans="2:6" x14ac:dyDescent="0.25">
      <c r="B1310" s="1" t="e">
        <f t="shared" si="22"/>
        <v>#N/A</v>
      </c>
      <c r="C1310" s="1" t="e">
        <f t="shared" si="23"/>
        <v>#N/A</v>
      </c>
      <c r="D1310" s="1" t="e">
        <f t="shared" si="24"/>
        <v>#N/A</v>
      </c>
      <c r="E1310" s="1" t="e">
        <f t="shared" si="25"/>
        <v>#N/A</v>
      </c>
      <c r="F1310" s="1">
        <v>104</v>
      </c>
    </row>
    <row r="1311" spans="2:6" x14ac:dyDescent="0.25">
      <c r="B1311" s="1" t="e">
        <f t="shared" si="22"/>
        <v>#N/A</v>
      </c>
      <c r="C1311" s="1" t="e">
        <f t="shared" si="23"/>
        <v>#N/A</v>
      </c>
      <c r="D1311" s="1" t="e">
        <f t="shared" si="24"/>
        <v>#N/A</v>
      </c>
      <c r="E1311" s="1" t="e">
        <f t="shared" si="25"/>
        <v>#N/A</v>
      </c>
      <c r="F1311" s="1">
        <v>105</v>
      </c>
    </row>
    <row r="1312" spans="2:6" x14ac:dyDescent="0.25">
      <c r="B1312" s="1" t="e">
        <f t="shared" si="22"/>
        <v>#N/A</v>
      </c>
      <c r="C1312" s="1" t="e">
        <f t="shared" si="23"/>
        <v>#N/A</v>
      </c>
      <c r="D1312" s="1" t="e">
        <f t="shared" si="24"/>
        <v>#N/A</v>
      </c>
      <c r="E1312" s="1" t="e">
        <f t="shared" si="25"/>
        <v>#N/A</v>
      </c>
      <c r="F1312" s="1">
        <v>106</v>
      </c>
    </row>
    <row r="1313" spans="2:6" x14ac:dyDescent="0.25">
      <c r="B1313" s="1" t="e">
        <f t="shared" si="22"/>
        <v>#N/A</v>
      </c>
      <c r="C1313" s="1" t="e">
        <f t="shared" si="23"/>
        <v>#N/A</v>
      </c>
      <c r="D1313" s="1" t="e">
        <f t="shared" si="24"/>
        <v>#N/A</v>
      </c>
      <c r="E1313" s="1" t="e">
        <f t="shared" si="25"/>
        <v>#N/A</v>
      </c>
      <c r="F1313" s="1">
        <v>107</v>
      </c>
    </row>
    <row r="1314" spans="2:6" x14ac:dyDescent="0.25">
      <c r="B1314" s="1" t="e">
        <f t="shared" si="22"/>
        <v>#N/A</v>
      </c>
      <c r="C1314" s="1" t="e">
        <f t="shared" si="23"/>
        <v>#N/A</v>
      </c>
      <c r="D1314" s="1" t="e">
        <f t="shared" si="24"/>
        <v>#N/A</v>
      </c>
      <c r="E1314" s="1" t="e">
        <f t="shared" si="25"/>
        <v>#N/A</v>
      </c>
      <c r="F1314" s="1">
        <v>108</v>
      </c>
    </row>
    <row r="1315" spans="2:6" x14ac:dyDescent="0.25">
      <c r="B1315" s="1" t="e">
        <f t="shared" si="22"/>
        <v>#N/A</v>
      </c>
      <c r="C1315" s="1" t="e">
        <f t="shared" si="23"/>
        <v>#N/A</v>
      </c>
      <c r="D1315" s="1" t="e">
        <f t="shared" si="24"/>
        <v>#N/A</v>
      </c>
      <c r="E1315" s="1" t="e">
        <f t="shared" si="25"/>
        <v>#N/A</v>
      </c>
      <c r="F1315" s="1">
        <v>109</v>
      </c>
    </row>
    <row r="1316" spans="2:6" x14ac:dyDescent="0.25">
      <c r="B1316" s="1" t="e">
        <f t="shared" si="22"/>
        <v>#N/A</v>
      </c>
      <c r="C1316" s="1" t="e">
        <f t="shared" si="23"/>
        <v>#N/A</v>
      </c>
      <c r="D1316" s="1" t="e">
        <f t="shared" si="24"/>
        <v>#N/A</v>
      </c>
      <c r="E1316" s="1" t="e">
        <f t="shared" si="25"/>
        <v>#N/A</v>
      </c>
      <c r="F1316" s="1">
        <v>110</v>
      </c>
    </row>
    <row r="1317" spans="2:6" x14ac:dyDescent="0.25">
      <c r="B1317" s="1" t="e">
        <f t="shared" si="22"/>
        <v>#N/A</v>
      </c>
      <c r="C1317" s="1" t="e">
        <f t="shared" si="23"/>
        <v>#N/A</v>
      </c>
      <c r="D1317" s="1" t="e">
        <f t="shared" si="24"/>
        <v>#N/A</v>
      </c>
      <c r="E1317" s="1" t="e">
        <f t="shared" si="25"/>
        <v>#N/A</v>
      </c>
      <c r="F1317" s="1">
        <v>111</v>
      </c>
    </row>
    <row r="1318" spans="2:6" x14ac:dyDescent="0.25">
      <c r="B1318" s="1" t="e">
        <f t="shared" si="22"/>
        <v>#N/A</v>
      </c>
      <c r="C1318" s="1" t="e">
        <f t="shared" si="23"/>
        <v>#N/A</v>
      </c>
      <c r="D1318" s="1" t="e">
        <f t="shared" si="24"/>
        <v>#N/A</v>
      </c>
      <c r="E1318" s="1" t="e">
        <f t="shared" si="25"/>
        <v>#N/A</v>
      </c>
      <c r="F1318" s="1">
        <v>112</v>
      </c>
    </row>
    <row r="1319" spans="2:6" x14ac:dyDescent="0.25">
      <c r="B1319" s="1" t="e">
        <f t="shared" si="22"/>
        <v>#N/A</v>
      </c>
      <c r="C1319" s="1" t="e">
        <f t="shared" si="23"/>
        <v>#N/A</v>
      </c>
      <c r="D1319" s="1" t="e">
        <f t="shared" si="24"/>
        <v>#N/A</v>
      </c>
      <c r="E1319" s="1" t="e">
        <f t="shared" si="25"/>
        <v>#N/A</v>
      </c>
      <c r="F1319" s="1">
        <v>113</v>
      </c>
    </row>
    <row r="1320" spans="2:6" x14ac:dyDescent="0.25">
      <c r="B1320" s="1" t="e">
        <f t="shared" si="22"/>
        <v>#N/A</v>
      </c>
      <c r="C1320" s="1" t="e">
        <f t="shared" si="23"/>
        <v>#N/A</v>
      </c>
      <c r="D1320" s="1" t="e">
        <f t="shared" si="24"/>
        <v>#N/A</v>
      </c>
      <c r="E1320" s="1" t="e">
        <f t="shared" si="25"/>
        <v>#N/A</v>
      </c>
      <c r="F1320" s="1">
        <v>114</v>
      </c>
    </row>
    <row r="1321" spans="2:6" x14ac:dyDescent="0.25">
      <c r="B1321" s="1" t="e">
        <f t="shared" si="22"/>
        <v>#N/A</v>
      </c>
      <c r="C1321" s="1" t="e">
        <f t="shared" si="23"/>
        <v>#N/A</v>
      </c>
      <c r="D1321" s="1" t="e">
        <f t="shared" si="24"/>
        <v>#N/A</v>
      </c>
      <c r="E1321" s="1" t="e">
        <f t="shared" si="25"/>
        <v>#N/A</v>
      </c>
      <c r="F1321" s="1">
        <v>115</v>
      </c>
    </row>
    <row r="1322" spans="2:6" x14ac:dyDescent="0.25">
      <c r="B1322" s="1" t="e">
        <f t="shared" si="22"/>
        <v>#N/A</v>
      </c>
      <c r="C1322" s="1" t="e">
        <f t="shared" si="23"/>
        <v>#N/A</v>
      </c>
      <c r="D1322" s="1" t="e">
        <f t="shared" si="24"/>
        <v>#N/A</v>
      </c>
      <c r="E1322" s="1" t="e">
        <f t="shared" si="25"/>
        <v>#N/A</v>
      </c>
      <c r="F1322" s="1">
        <v>116</v>
      </c>
    </row>
    <row r="1323" spans="2:6" x14ac:dyDescent="0.25">
      <c r="B1323" s="1" t="e">
        <f t="shared" si="22"/>
        <v>#N/A</v>
      </c>
      <c r="C1323" s="1" t="e">
        <f t="shared" si="23"/>
        <v>#N/A</v>
      </c>
      <c r="D1323" s="1" t="e">
        <f t="shared" si="24"/>
        <v>#N/A</v>
      </c>
      <c r="E1323" s="1" t="e">
        <f t="shared" si="25"/>
        <v>#N/A</v>
      </c>
      <c r="F1323" s="1">
        <v>117</v>
      </c>
    </row>
    <row r="1324" spans="2:6" x14ac:dyDescent="0.25">
      <c r="B1324" s="1" t="e">
        <f t="shared" si="22"/>
        <v>#N/A</v>
      </c>
      <c r="C1324" s="1" t="e">
        <f t="shared" si="23"/>
        <v>#N/A</v>
      </c>
      <c r="D1324" s="1" t="e">
        <f t="shared" si="24"/>
        <v>#N/A</v>
      </c>
      <c r="E1324" s="1" t="e">
        <f t="shared" si="25"/>
        <v>#N/A</v>
      </c>
      <c r="F1324" s="1">
        <v>118</v>
      </c>
    </row>
    <row r="1325" spans="2:6" x14ac:dyDescent="0.25">
      <c r="B1325" s="1" t="e">
        <f t="shared" si="22"/>
        <v>#N/A</v>
      </c>
      <c r="C1325" s="1" t="e">
        <f t="shared" si="23"/>
        <v>#N/A</v>
      </c>
      <c r="D1325" s="1" t="e">
        <f t="shared" si="24"/>
        <v>#N/A</v>
      </c>
      <c r="E1325" s="1" t="e">
        <f t="shared" si="25"/>
        <v>#N/A</v>
      </c>
      <c r="F1325" s="1">
        <v>119</v>
      </c>
    </row>
    <row r="1326" spans="2:6" x14ac:dyDescent="0.25">
      <c r="B1326" s="1" t="e">
        <f t="shared" si="22"/>
        <v>#N/A</v>
      </c>
      <c r="C1326" s="1" t="e">
        <f t="shared" si="23"/>
        <v>#N/A</v>
      </c>
      <c r="D1326" s="1" t="e">
        <f t="shared" si="24"/>
        <v>#N/A</v>
      </c>
      <c r="E1326" s="1" t="e">
        <f t="shared" si="25"/>
        <v>#N/A</v>
      </c>
      <c r="F1326" s="1">
        <v>120</v>
      </c>
    </row>
    <row r="1327" spans="2:6" x14ac:dyDescent="0.25">
      <c r="B1327" s="1" t="e">
        <f t="shared" si="22"/>
        <v>#N/A</v>
      </c>
      <c r="C1327" s="1" t="e">
        <f t="shared" si="23"/>
        <v>#N/A</v>
      </c>
      <c r="D1327" s="1" t="e">
        <f t="shared" si="24"/>
        <v>#N/A</v>
      </c>
      <c r="E1327" s="1" t="e">
        <f t="shared" si="25"/>
        <v>#N/A</v>
      </c>
      <c r="F1327" s="1">
        <v>121</v>
      </c>
    </row>
    <row r="1328" spans="2:6" x14ac:dyDescent="0.25">
      <c r="B1328" s="1" t="e">
        <f t="shared" si="22"/>
        <v>#N/A</v>
      </c>
      <c r="C1328" s="1" t="e">
        <f t="shared" si="23"/>
        <v>#N/A</v>
      </c>
      <c r="D1328" s="1" t="e">
        <f t="shared" si="24"/>
        <v>#N/A</v>
      </c>
      <c r="E1328" s="1" t="e">
        <f t="shared" si="25"/>
        <v>#N/A</v>
      </c>
      <c r="F1328" s="1">
        <v>122</v>
      </c>
    </row>
    <row r="1329" spans="2:6" x14ac:dyDescent="0.25">
      <c r="B1329" s="1" t="e">
        <f t="shared" si="22"/>
        <v>#N/A</v>
      </c>
      <c r="C1329" s="1" t="e">
        <f t="shared" si="23"/>
        <v>#N/A</v>
      </c>
      <c r="D1329" s="1" t="e">
        <f t="shared" si="24"/>
        <v>#N/A</v>
      </c>
      <c r="E1329" s="1" t="e">
        <f t="shared" si="25"/>
        <v>#N/A</v>
      </c>
      <c r="F1329" s="1">
        <v>123</v>
      </c>
    </row>
    <row r="1330" spans="2:6" x14ac:dyDescent="0.25">
      <c r="B1330" s="1" t="e">
        <f t="shared" si="22"/>
        <v>#N/A</v>
      </c>
      <c r="C1330" s="1" t="e">
        <f t="shared" si="23"/>
        <v>#N/A</v>
      </c>
      <c r="D1330" s="1" t="e">
        <f t="shared" si="24"/>
        <v>#N/A</v>
      </c>
      <c r="E1330" s="1" t="e">
        <f t="shared" si="25"/>
        <v>#N/A</v>
      </c>
      <c r="F1330" s="1">
        <v>124</v>
      </c>
    </row>
    <row r="1331" spans="2:6" x14ac:dyDescent="0.25">
      <c r="B1331" s="1" t="e">
        <f t="shared" si="22"/>
        <v>#N/A</v>
      </c>
      <c r="C1331" s="1" t="e">
        <f t="shared" si="23"/>
        <v>#N/A</v>
      </c>
      <c r="D1331" s="1" t="e">
        <f t="shared" si="24"/>
        <v>#N/A</v>
      </c>
      <c r="E1331" s="1" t="e">
        <f t="shared" si="25"/>
        <v>#N/A</v>
      </c>
      <c r="F1331" s="1">
        <v>125</v>
      </c>
    </row>
    <row r="1332" spans="2:6" x14ac:dyDescent="0.25">
      <c r="B1332" s="1" t="e">
        <f t="shared" si="22"/>
        <v>#N/A</v>
      </c>
      <c r="C1332" s="1" t="e">
        <f t="shared" si="23"/>
        <v>#N/A</v>
      </c>
      <c r="D1332" s="1" t="e">
        <f t="shared" si="24"/>
        <v>#N/A</v>
      </c>
      <c r="E1332" s="1" t="e">
        <f t="shared" si="25"/>
        <v>#N/A</v>
      </c>
      <c r="F1332" s="1">
        <v>126</v>
      </c>
    </row>
    <row r="1333" spans="2:6" x14ac:dyDescent="0.25">
      <c r="B1333" s="1" t="e">
        <f t="shared" si="22"/>
        <v>#N/A</v>
      </c>
      <c r="C1333" s="1" t="e">
        <f t="shared" si="23"/>
        <v>#N/A</v>
      </c>
      <c r="D1333" s="1" t="e">
        <f t="shared" si="24"/>
        <v>#N/A</v>
      </c>
      <c r="E1333" s="1" t="e">
        <f t="shared" si="25"/>
        <v>#N/A</v>
      </c>
      <c r="F1333" s="1">
        <v>127</v>
      </c>
    </row>
    <row r="1334" spans="2:6" x14ac:dyDescent="0.25">
      <c r="B1334" s="1" t="e">
        <f t="shared" si="22"/>
        <v>#N/A</v>
      </c>
      <c r="C1334" s="1" t="e">
        <f t="shared" si="23"/>
        <v>#N/A</v>
      </c>
      <c r="D1334" s="1" t="e">
        <f t="shared" si="24"/>
        <v>#N/A</v>
      </c>
      <c r="E1334" s="1" t="e">
        <f t="shared" si="25"/>
        <v>#N/A</v>
      </c>
      <c r="F1334" s="1">
        <v>128</v>
      </c>
    </row>
    <row r="1335" spans="2:6" x14ac:dyDescent="0.25">
      <c r="B1335" s="1" t="e">
        <f t="shared" ref="B1335:B1398" si="26">IF(INDEX(currentSMORPH,$F1335) = "ri",INDEX(currentTHW,$F1335),NA())</f>
        <v>#N/A</v>
      </c>
      <c r="C1335" s="1" t="e">
        <f t="shared" ref="C1335:C1398" si="27">IF(INDEX(currentSMORPH,$F1335) = "ru",INDEX(currentTHW,$F1335),NA())</f>
        <v>#N/A</v>
      </c>
      <c r="D1335" s="1" t="e">
        <f t="shared" ref="D1335:D1398" si="28">IF(INDEX(currentSMORPH,$F1335) = "po",INDEX(currentTHW,$F1335),NA())</f>
        <v>#N/A</v>
      </c>
      <c r="E1335" s="1" t="e">
        <f t="shared" ref="E1335:E1398" si="29">IF(INDEX(currentSMORPH,$F1335) = "gl",INDEX(currentTHW,$F1335),NA())</f>
        <v>#N/A</v>
      </c>
      <c r="F1335" s="1">
        <v>129</v>
      </c>
    </row>
    <row r="1336" spans="2:6" x14ac:dyDescent="0.25">
      <c r="B1336" s="1" t="e">
        <f t="shared" si="26"/>
        <v>#N/A</v>
      </c>
      <c r="C1336" s="1" t="e">
        <f t="shared" si="27"/>
        <v>#N/A</v>
      </c>
      <c r="D1336" s="1" t="e">
        <f t="shared" si="28"/>
        <v>#N/A</v>
      </c>
      <c r="E1336" s="1" t="e">
        <f t="shared" si="29"/>
        <v>#N/A</v>
      </c>
      <c r="F1336" s="1">
        <v>130</v>
      </c>
    </row>
    <row r="1337" spans="2:6" x14ac:dyDescent="0.25">
      <c r="B1337" s="1" t="e">
        <f t="shared" si="26"/>
        <v>#N/A</v>
      </c>
      <c r="C1337" s="1" t="e">
        <f t="shared" si="27"/>
        <v>#N/A</v>
      </c>
      <c r="D1337" s="1" t="e">
        <f t="shared" si="28"/>
        <v>#N/A</v>
      </c>
      <c r="E1337" s="1" t="e">
        <f t="shared" si="29"/>
        <v>#N/A</v>
      </c>
      <c r="F1337" s="1">
        <v>131</v>
      </c>
    </row>
    <row r="1338" spans="2:6" x14ac:dyDescent="0.25">
      <c r="B1338" s="1" t="e">
        <f t="shared" si="26"/>
        <v>#N/A</v>
      </c>
      <c r="C1338" s="1" t="e">
        <f t="shared" si="27"/>
        <v>#N/A</v>
      </c>
      <c r="D1338" s="1" t="e">
        <f t="shared" si="28"/>
        <v>#N/A</v>
      </c>
      <c r="E1338" s="1" t="e">
        <f t="shared" si="29"/>
        <v>#N/A</v>
      </c>
      <c r="F1338" s="1">
        <v>132</v>
      </c>
    </row>
    <row r="1339" spans="2:6" x14ac:dyDescent="0.25">
      <c r="B1339" s="1" t="e">
        <f t="shared" si="26"/>
        <v>#N/A</v>
      </c>
      <c r="C1339" s="1" t="e">
        <f t="shared" si="27"/>
        <v>#N/A</v>
      </c>
      <c r="D1339" s="1" t="e">
        <f t="shared" si="28"/>
        <v>#N/A</v>
      </c>
      <c r="E1339" s="1" t="e">
        <f t="shared" si="29"/>
        <v>#N/A</v>
      </c>
      <c r="F1339" s="1">
        <v>133</v>
      </c>
    </row>
    <row r="1340" spans="2:6" x14ac:dyDescent="0.25">
      <c r="B1340" s="1" t="e">
        <f t="shared" si="26"/>
        <v>#N/A</v>
      </c>
      <c r="C1340" s="1" t="e">
        <f t="shared" si="27"/>
        <v>#N/A</v>
      </c>
      <c r="D1340" s="1" t="e">
        <f t="shared" si="28"/>
        <v>#N/A</v>
      </c>
      <c r="E1340" s="1" t="e">
        <f t="shared" si="29"/>
        <v>#N/A</v>
      </c>
      <c r="F1340" s="1">
        <v>134</v>
      </c>
    </row>
    <row r="1341" spans="2:6" x14ac:dyDescent="0.25">
      <c r="B1341" s="1" t="e">
        <f t="shared" si="26"/>
        <v>#N/A</v>
      </c>
      <c r="C1341" s="1" t="e">
        <f t="shared" si="27"/>
        <v>#N/A</v>
      </c>
      <c r="D1341" s="1" t="e">
        <f t="shared" si="28"/>
        <v>#N/A</v>
      </c>
      <c r="E1341" s="1" t="e">
        <f t="shared" si="29"/>
        <v>#N/A</v>
      </c>
      <c r="F1341" s="1">
        <v>135</v>
      </c>
    </row>
    <row r="1342" spans="2:6" x14ac:dyDescent="0.25">
      <c r="B1342" s="1" t="e">
        <f t="shared" si="26"/>
        <v>#N/A</v>
      </c>
      <c r="C1342" s="1" t="e">
        <f t="shared" si="27"/>
        <v>#N/A</v>
      </c>
      <c r="D1342" s="1" t="e">
        <f t="shared" si="28"/>
        <v>#N/A</v>
      </c>
      <c r="E1342" s="1" t="e">
        <f t="shared" si="29"/>
        <v>#N/A</v>
      </c>
      <c r="F1342" s="1">
        <v>136</v>
      </c>
    </row>
    <row r="1343" spans="2:6" x14ac:dyDescent="0.25">
      <c r="B1343" s="1" t="e">
        <f t="shared" si="26"/>
        <v>#N/A</v>
      </c>
      <c r="C1343" s="1" t="e">
        <f t="shared" si="27"/>
        <v>#N/A</v>
      </c>
      <c r="D1343" s="1" t="e">
        <f t="shared" si="28"/>
        <v>#N/A</v>
      </c>
      <c r="E1343" s="1" t="e">
        <f t="shared" si="29"/>
        <v>#N/A</v>
      </c>
      <c r="F1343" s="1">
        <v>137</v>
      </c>
    </row>
    <row r="1344" spans="2:6" x14ac:dyDescent="0.25">
      <c r="B1344" s="1" t="e">
        <f t="shared" si="26"/>
        <v>#N/A</v>
      </c>
      <c r="C1344" s="1" t="e">
        <f t="shared" si="27"/>
        <v>#N/A</v>
      </c>
      <c r="D1344" s="1" t="e">
        <f t="shared" si="28"/>
        <v>#N/A</v>
      </c>
      <c r="E1344" s="1" t="e">
        <f t="shared" si="29"/>
        <v>#N/A</v>
      </c>
      <c r="F1344" s="1">
        <v>138</v>
      </c>
    </row>
    <row r="1345" spans="2:6" x14ac:dyDescent="0.25">
      <c r="B1345" s="1" t="e">
        <f t="shared" si="26"/>
        <v>#N/A</v>
      </c>
      <c r="C1345" s="1" t="e">
        <f t="shared" si="27"/>
        <v>#N/A</v>
      </c>
      <c r="D1345" s="1" t="e">
        <f t="shared" si="28"/>
        <v>#N/A</v>
      </c>
      <c r="E1345" s="1" t="e">
        <f t="shared" si="29"/>
        <v>#N/A</v>
      </c>
      <c r="F1345" s="1">
        <v>139</v>
      </c>
    </row>
    <row r="1346" spans="2:6" x14ac:dyDescent="0.25">
      <c r="B1346" s="1" t="e">
        <f t="shared" si="26"/>
        <v>#N/A</v>
      </c>
      <c r="C1346" s="1" t="e">
        <f t="shared" si="27"/>
        <v>#N/A</v>
      </c>
      <c r="D1346" s="1" t="e">
        <f t="shared" si="28"/>
        <v>#N/A</v>
      </c>
      <c r="E1346" s="1" t="e">
        <f t="shared" si="29"/>
        <v>#N/A</v>
      </c>
      <c r="F1346" s="1">
        <v>140</v>
      </c>
    </row>
    <row r="1347" spans="2:6" x14ac:dyDescent="0.25">
      <c r="B1347" s="1" t="e">
        <f t="shared" si="26"/>
        <v>#N/A</v>
      </c>
      <c r="C1347" s="1" t="e">
        <f t="shared" si="27"/>
        <v>#N/A</v>
      </c>
      <c r="D1347" s="1" t="e">
        <f t="shared" si="28"/>
        <v>#N/A</v>
      </c>
      <c r="E1347" s="1" t="e">
        <f t="shared" si="29"/>
        <v>#N/A</v>
      </c>
      <c r="F1347" s="1">
        <v>141</v>
      </c>
    </row>
    <row r="1348" spans="2:6" x14ac:dyDescent="0.25">
      <c r="B1348" s="1" t="e">
        <f t="shared" si="26"/>
        <v>#N/A</v>
      </c>
      <c r="C1348" s="1" t="e">
        <f t="shared" si="27"/>
        <v>#N/A</v>
      </c>
      <c r="D1348" s="1" t="e">
        <f t="shared" si="28"/>
        <v>#N/A</v>
      </c>
      <c r="E1348" s="1" t="e">
        <f t="shared" si="29"/>
        <v>#N/A</v>
      </c>
      <c r="F1348" s="1">
        <v>142</v>
      </c>
    </row>
    <row r="1349" spans="2:6" x14ac:dyDescent="0.25">
      <c r="B1349" s="1" t="e">
        <f t="shared" si="26"/>
        <v>#N/A</v>
      </c>
      <c r="C1349" s="1" t="e">
        <f t="shared" si="27"/>
        <v>#N/A</v>
      </c>
      <c r="D1349" s="1" t="e">
        <f t="shared" si="28"/>
        <v>#N/A</v>
      </c>
      <c r="E1349" s="1" t="e">
        <f t="shared" si="29"/>
        <v>#N/A</v>
      </c>
      <c r="F1349" s="1">
        <v>143</v>
      </c>
    </row>
    <row r="1350" spans="2:6" x14ac:dyDescent="0.25">
      <c r="B1350" s="1" t="e">
        <f t="shared" si="26"/>
        <v>#N/A</v>
      </c>
      <c r="C1350" s="1" t="e">
        <f t="shared" si="27"/>
        <v>#N/A</v>
      </c>
      <c r="D1350" s="1" t="e">
        <f t="shared" si="28"/>
        <v>#N/A</v>
      </c>
      <c r="E1350" s="1" t="e">
        <f t="shared" si="29"/>
        <v>#N/A</v>
      </c>
      <c r="F1350" s="1">
        <v>144</v>
      </c>
    </row>
    <row r="1351" spans="2:6" x14ac:dyDescent="0.25">
      <c r="B1351" s="1" t="e">
        <f t="shared" si="26"/>
        <v>#N/A</v>
      </c>
      <c r="C1351" s="1" t="e">
        <f t="shared" si="27"/>
        <v>#N/A</v>
      </c>
      <c r="D1351" s="1" t="e">
        <f t="shared" si="28"/>
        <v>#N/A</v>
      </c>
      <c r="E1351" s="1" t="e">
        <f t="shared" si="29"/>
        <v>#N/A</v>
      </c>
      <c r="F1351" s="1">
        <v>145</v>
      </c>
    </row>
    <row r="1352" spans="2:6" x14ac:dyDescent="0.25">
      <c r="B1352" s="1" t="e">
        <f t="shared" si="26"/>
        <v>#N/A</v>
      </c>
      <c r="C1352" s="1" t="e">
        <f t="shared" si="27"/>
        <v>#N/A</v>
      </c>
      <c r="D1352" s="1" t="e">
        <f t="shared" si="28"/>
        <v>#N/A</v>
      </c>
      <c r="E1352" s="1" t="e">
        <f t="shared" si="29"/>
        <v>#N/A</v>
      </c>
      <c r="F1352" s="1">
        <v>146</v>
      </c>
    </row>
    <row r="1353" spans="2:6" x14ac:dyDescent="0.25">
      <c r="B1353" s="1" t="e">
        <f t="shared" si="26"/>
        <v>#N/A</v>
      </c>
      <c r="C1353" s="1" t="e">
        <f t="shared" si="27"/>
        <v>#N/A</v>
      </c>
      <c r="D1353" s="1" t="e">
        <f t="shared" si="28"/>
        <v>#N/A</v>
      </c>
      <c r="E1353" s="1" t="e">
        <f t="shared" si="29"/>
        <v>#N/A</v>
      </c>
      <c r="F1353" s="1">
        <v>147</v>
      </c>
    </row>
    <row r="1354" spans="2:6" x14ac:dyDescent="0.25">
      <c r="B1354" s="1" t="e">
        <f t="shared" si="26"/>
        <v>#N/A</v>
      </c>
      <c r="C1354" s="1" t="e">
        <f t="shared" si="27"/>
        <v>#N/A</v>
      </c>
      <c r="D1354" s="1" t="e">
        <f t="shared" si="28"/>
        <v>#N/A</v>
      </c>
      <c r="E1354" s="1" t="e">
        <f t="shared" si="29"/>
        <v>#N/A</v>
      </c>
      <c r="F1354" s="1">
        <v>148</v>
      </c>
    </row>
    <row r="1355" spans="2:6" x14ac:dyDescent="0.25">
      <c r="B1355" s="1" t="e">
        <f t="shared" si="26"/>
        <v>#N/A</v>
      </c>
      <c r="C1355" s="1" t="e">
        <f t="shared" si="27"/>
        <v>#N/A</v>
      </c>
      <c r="D1355" s="1" t="e">
        <f t="shared" si="28"/>
        <v>#N/A</v>
      </c>
      <c r="E1355" s="1" t="e">
        <f t="shared" si="29"/>
        <v>#N/A</v>
      </c>
      <c r="F1355" s="1">
        <v>149</v>
      </c>
    </row>
    <row r="1356" spans="2:6" x14ac:dyDescent="0.25">
      <c r="B1356" s="1" t="e">
        <f t="shared" si="26"/>
        <v>#N/A</v>
      </c>
      <c r="C1356" s="1" t="e">
        <f t="shared" si="27"/>
        <v>#N/A</v>
      </c>
      <c r="D1356" s="1" t="e">
        <f t="shared" si="28"/>
        <v>#N/A</v>
      </c>
      <c r="E1356" s="1" t="e">
        <f t="shared" si="29"/>
        <v>#N/A</v>
      </c>
      <c r="F1356" s="1">
        <v>150</v>
      </c>
    </row>
    <row r="1357" spans="2:6" x14ac:dyDescent="0.25">
      <c r="B1357" s="1" t="e">
        <f t="shared" si="26"/>
        <v>#N/A</v>
      </c>
      <c r="C1357" s="1" t="e">
        <f t="shared" si="27"/>
        <v>#N/A</v>
      </c>
      <c r="D1357" s="1" t="e">
        <f t="shared" si="28"/>
        <v>#N/A</v>
      </c>
      <c r="E1357" s="1" t="e">
        <f t="shared" si="29"/>
        <v>#N/A</v>
      </c>
      <c r="F1357" s="1">
        <v>151</v>
      </c>
    </row>
    <row r="1358" spans="2:6" x14ac:dyDescent="0.25">
      <c r="B1358" s="1" t="e">
        <f t="shared" si="26"/>
        <v>#N/A</v>
      </c>
      <c r="C1358" s="1" t="e">
        <f t="shared" si="27"/>
        <v>#N/A</v>
      </c>
      <c r="D1358" s="1" t="e">
        <f t="shared" si="28"/>
        <v>#N/A</v>
      </c>
      <c r="E1358" s="1" t="e">
        <f t="shared" si="29"/>
        <v>#N/A</v>
      </c>
      <c r="F1358" s="1">
        <v>152</v>
      </c>
    </row>
    <row r="1359" spans="2:6" x14ac:dyDescent="0.25">
      <c r="B1359" s="1" t="e">
        <f t="shared" si="26"/>
        <v>#N/A</v>
      </c>
      <c r="C1359" s="1" t="e">
        <f t="shared" si="27"/>
        <v>#N/A</v>
      </c>
      <c r="D1359" s="1" t="e">
        <f t="shared" si="28"/>
        <v>#N/A</v>
      </c>
      <c r="E1359" s="1" t="e">
        <f t="shared" si="29"/>
        <v>#N/A</v>
      </c>
      <c r="F1359" s="1">
        <v>153</v>
      </c>
    </row>
    <row r="1360" spans="2:6" x14ac:dyDescent="0.25">
      <c r="B1360" s="1" t="e">
        <f t="shared" si="26"/>
        <v>#N/A</v>
      </c>
      <c r="C1360" s="1" t="e">
        <f t="shared" si="27"/>
        <v>#N/A</v>
      </c>
      <c r="D1360" s="1" t="e">
        <f t="shared" si="28"/>
        <v>#N/A</v>
      </c>
      <c r="E1360" s="1" t="e">
        <f t="shared" si="29"/>
        <v>#N/A</v>
      </c>
      <c r="F1360" s="1">
        <v>154</v>
      </c>
    </row>
    <row r="1361" spans="2:6" x14ac:dyDescent="0.25">
      <c r="B1361" s="1" t="e">
        <f t="shared" si="26"/>
        <v>#N/A</v>
      </c>
      <c r="C1361" s="1" t="e">
        <f t="shared" si="27"/>
        <v>#N/A</v>
      </c>
      <c r="D1361" s="1" t="e">
        <f t="shared" si="28"/>
        <v>#N/A</v>
      </c>
      <c r="E1361" s="1" t="e">
        <f t="shared" si="29"/>
        <v>#N/A</v>
      </c>
      <c r="F1361" s="1">
        <v>155</v>
      </c>
    </row>
    <row r="1362" spans="2:6" x14ac:dyDescent="0.25">
      <c r="B1362" s="1" t="e">
        <f t="shared" si="26"/>
        <v>#N/A</v>
      </c>
      <c r="C1362" s="1" t="e">
        <f t="shared" si="27"/>
        <v>#N/A</v>
      </c>
      <c r="D1362" s="1" t="e">
        <f t="shared" si="28"/>
        <v>#N/A</v>
      </c>
      <c r="E1362" s="1" t="e">
        <f t="shared" si="29"/>
        <v>#N/A</v>
      </c>
      <c r="F1362" s="1">
        <v>156</v>
      </c>
    </row>
    <row r="1363" spans="2:6" x14ac:dyDescent="0.25">
      <c r="B1363" s="1" t="e">
        <f t="shared" si="26"/>
        <v>#N/A</v>
      </c>
      <c r="C1363" s="1" t="e">
        <f t="shared" si="27"/>
        <v>#N/A</v>
      </c>
      <c r="D1363" s="1" t="e">
        <f t="shared" si="28"/>
        <v>#N/A</v>
      </c>
      <c r="E1363" s="1" t="e">
        <f t="shared" si="29"/>
        <v>#N/A</v>
      </c>
      <c r="F1363" s="1">
        <v>157</v>
      </c>
    </row>
    <row r="1364" spans="2:6" x14ac:dyDescent="0.25">
      <c r="B1364" s="1" t="e">
        <f t="shared" si="26"/>
        <v>#N/A</v>
      </c>
      <c r="C1364" s="1" t="e">
        <f t="shared" si="27"/>
        <v>#N/A</v>
      </c>
      <c r="D1364" s="1" t="e">
        <f t="shared" si="28"/>
        <v>#N/A</v>
      </c>
      <c r="E1364" s="1" t="e">
        <f t="shared" si="29"/>
        <v>#N/A</v>
      </c>
      <c r="F1364" s="1">
        <v>158</v>
      </c>
    </row>
    <row r="1365" spans="2:6" x14ac:dyDescent="0.25">
      <c r="B1365" s="1" t="e">
        <f t="shared" si="26"/>
        <v>#N/A</v>
      </c>
      <c r="C1365" s="1" t="e">
        <f t="shared" si="27"/>
        <v>#N/A</v>
      </c>
      <c r="D1365" s="1" t="e">
        <f t="shared" si="28"/>
        <v>#N/A</v>
      </c>
      <c r="E1365" s="1" t="e">
        <f t="shared" si="29"/>
        <v>#N/A</v>
      </c>
      <c r="F1365" s="1">
        <v>159</v>
      </c>
    </row>
    <row r="1366" spans="2:6" x14ac:dyDescent="0.25">
      <c r="B1366" s="1" t="e">
        <f t="shared" si="26"/>
        <v>#N/A</v>
      </c>
      <c r="C1366" s="1" t="e">
        <f t="shared" si="27"/>
        <v>#N/A</v>
      </c>
      <c r="D1366" s="1" t="e">
        <f t="shared" si="28"/>
        <v>#N/A</v>
      </c>
      <c r="E1366" s="1" t="e">
        <f t="shared" si="29"/>
        <v>#N/A</v>
      </c>
      <c r="F1366" s="1">
        <v>160</v>
      </c>
    </row>
    <row r="1367" spans="2:6" x14ac:dyDescent="0.25">
      <c r="B1367" s="1" t="e">
        <f t="shared" si="26"/>
        <v>#N/A</v>
      </c>
      <c r="C1367" s="1" t="e">
        <f t="shared" si="27"/>
        <v>#N/A</v>
      </c>
      <c r="D1367" s="1" t="e">
        <f t="shared" si="28"/>
        <v>#N/A</v>
      </c>
      <c r="E1367" s="1" t="e">
        <f t="shared" si="29"/>
        <v>#N/A</v>
      </c>
      <c r="F1367" s="1">
        <v>161</v>
      </c>
    </row>
    <row r="1368" spans="2:6" x14ac:dyDescent="0.25">
      <c r="B1368" s="1" t="e">
        <f t="shared" si="26"/>
        <v>#N/A</v>
      </c>
      <c r="C1368" s="1" t="e">
        <f t="shared" si="27"/>
        <v>#N/A</v>
      </c>
      <c r="D1368" s="1" t="e">
        <f t="shared" si="28"/>
        <v>#N/A</v>
      </c>
      <c r="E1368" s="1" t="e">
        <f t="shared" si="29"/>
        <v>#N/A</v>
      </c>
      <c r="F1368" s="1">
        <v>162</v>
      </c>
    </row>
    <row r="1369" spans="2:6" x14ac:dyDescent="0.25">
      <c r="B1369" s="1" t="e">
        <f t="shared" si="26"/>
        <v>#N/A</v>
      </c>
      <c r="C1369" s="1" t="e">
        <f t="shared" si="27"/>
        <v>#N/A</v>
      </c>
      <c r="D1369" s="1" t="e">
        <f t="shared" si="28"/>
        <v>#N/A</v>
      </c>
      <c r="E1369" s="1" t="e">
        <f t="shared" si="29"/>
        <v>#N/A</v>
      </c>
      <c r="F1369" s="1">
        <v>163</v>
      </c>
    </row>
    <row r="1370" spans="2:6" x14ac:dyDescent="0.25">
      <c r="B1370" s="1" t="e">
        <f t="shared" si="26"/>
        <v>#N/A</v>
      </c>
      <c r="C1370" s="1" t="e">
        <f t="shared" si="27"/>
        <v>#N/A</v>
      </c>
      <c r="D1370" s="1" t="e">
        <f t="shared" si="28"/>
        <v>#N/A</v>
      </c>
      <c r="E1370" s="1" t="e">
        <f t="shared" si="29"/>
        <v>#N/A</v>
      </c>
      <c r="F1370" s="1">
        <v>164</v>
      </c>
    </row>
    <row r="1371" spans="2:6" x14ac:dyDescent="0.25">
      <c r="B1371" s="1" t="e">
        <f t="shared" si="26"/>
        <v>#N/A</v>
      </c>
      <c r="C1371" s="1" t="e">
        <f t="shared" si="27"/>
        <v>#N/A</v>
      </c>
      <c r="D1371" s="1" t="e">
        <f t="shared" si="28"/>
        <v>#N/A</v>
      </c>
      <c r="E1371" s="1" t="e">
        <f t="shared" si="29"/>
        <v>#N/A</v>
      </c>
      <c r="F1371" s="1">
        <v>165</v>
      </c>
    </row>
    <row r="1372" spans="2:6" x14ac:dyDescent="0.25">
      <c r="B1372" s="1" t="e">
        <f t="shared" si="26"/>
        <v>#N/A</v>
      </c>
      <c r="C1372" s="1" t="e">
        <f t="shared" si="27"/>
        <v>#N/A</v>
      </c>
      <c r="D1372" s="1" t="e">
        <f t="shared" si="28"/>
        <v>#N/A</v>
      </c>
      <c r="E1372" s="1" t="e">
        <f t="shared" si="29"/>
        <v>#N/A</v>
      </c>
      <c r="F1372" s="1">
        <v>166</v>
      </c>
    </row>
    <row r="1373" spans="2:6" x14ac:dyDescent="0.25">
      <c r="B1373" s="1" t="e">
        <f t="shared" si="26"/>
        <v>#N/A</v>
      </c>
      <c r="C1373" s="1" t="e">
        <f t="shared" si="27"/>
        <v>#N/A</v>
      </c>
      <c r="D1373" s="1" t="e">
        <f t="shared" si="28"/>
        <v>#N/A</v>
      </c>
      <c r="E1373" s="1" t="e">
        <f t="shared" si="29"/>
        <v>#N/A</v>
      </c>
      <c r="F1373" s="1">
        <v>167</v>
      </c>
    </row>
    <row r="1374" spans="2:6" x14ac:dyDescent="0.25">
      <c r="B1374" s="1" t="e">
        <f t="shared" si="26"/>
        <v>#N/A</v>
      </c>
      <c r="C1374" s="1" t="e">
        <f t="shared" si="27"/>
        <v>#N/A</v>
      </c>
      <c r="D1374" s="1" t="e">
        <f t="shared" si="28"/>
        <v>#N/A</v>
      </c>
      <c r="E1374" s="1" t="e">
        <f t="shared" si="29"/>
        <v>#N/A</v>
      </c>
      <c r="F1374" s="1">
        <v>168</v>
      </c>
    </row>
    <row r="1375" spans="2:6" x14ac:dyDescent="0.25">
      <c r="B1375" s="1" t="e">
        <f t="shared" si="26"/>
        <v>#N/A</v>
      </c>
      <c r="C1375" s="1" t="e">
        <f t="shared" si="27"/>
        <v>#N/A</v>
      </c>
      <c r="D1375" s="1" t="e">
        <f t="shared" si="28"/>
        <v>#N/A</v>
      </c>
      <c r="E1375" s="1" t="e">
        <f t="shared" si="29"/>
        <v>#N/A</v>
      </c>
      <c r="F1375" s="1">
        <v>169</v>
      </c>
    </row>
    <row r="1376" spans="2:6" x14ac:dyDescent="0.25">
      <c r="B1376" s="1" t="e">
        <f t="shared" si="26"/>
        <v>#N/A</v>
      </c>
      <c r="C1376" s="1" t="e">
        <f t="shared" si="27"/>
        <v>#N/A</v>
      </c>
      <c r="D1376" s="1" t="e">
        <f t="shared" si="28"/>
        <v>#N/A</v>
      </c>
      <c r="E1376" s="1" t="e">
        <f t="shared" si="29"/>
        <v>#N/A</v>
      </c>
      <c r="F1376" s="1">
        <v>170</v>
      </c>
    </row>
    <row r="1377" spans="2:6" x14ac:dyDescent="0.25">
      <c r="B1377" s="1" t="e">
        <f t="shared" si="26"/>
        <v>#N/A</v>
      </c>
      <c r="C1377" s="1" t="e">
        <f t="shared" si="27"/>
        <v>#N/A</v>
      </c>
      <c r="D1377" s="1" t="e">
        <f t="shared" si="28"/>
        <v>#N/A</v>
      </c>
      <c r="E1377" s="1" t="e">
        <f t="shared" si="29"/>
        <v>#N/A</v>
      </c>
      <c r="F1377" s="1">
        <v>171</v>
      </c>
    </row>
    <row r="1378" spans="2:6" x14ac:dyDescent="0.25">
      <c r="B1378" s="1" t="e">
        <f t="shared" si="26"/>
        <v>#N/A</v>
      </c>
      <c r="C1378" s="1" t="e">
        <f t="shared" si="27"/>
        <v>#N/A</v>
      </c>
      <c r="D1378" s="1" t="e">
        <f t="shared" si="28"/>
        <v>#N/A</v>
      </c>
      <c r="E1378" s="1" t="e">
        <f t="shared" si="29"/>
        <v>#N/A</v>
      </c>
      <c r="F1378" s="1">
        <v>172</v>
      </c>
    </row>
    <row r="1379" spans="2:6" x14ac:dyDescent="0.25">
      <c r="B1379" s="1" t="e">
        <f t="shared" si="26"/>
        <v>#N/A</v>
      </c>
      <c r="C1379" s="1" t="e">
        <f t="shared" si="27"/>
        <v>#N/A</v>
      </c>
      <c r="D1379" s="1" t="e">
        <f t="shared" si="28"/>
        <v>#N/A</v>
      </c>
      <c r="E1379" s="1" t="e">
        <f t="shared" si="29"/>
        <v>#N/A</v>
      </c>
      <c r="F1379" s="1">
        <v>173</v>
      </c>
    </row>
    <row r="1380" spans="2:6" x14ac:dyDescent="0.25">
      <c r="B1380" s="1" t="e">
        <f t="shared" si="26"/>
        <v>#N/A</v>
      </c>
      <c r="C1380" s="1" t="e">
        <f t="shared" si="27"/>
        <v>#N/A</v>
      </c>
      <c r="D1380" s="1" t="e">
        <f t="shared" si="28"/>
        <v>#N/A</v>
      </c>
      <c r="E1380" s="1" t="e">
        <f t="shared" si="29"/>
        <v>#N/A</v>
      </c>
      <c r="F1380" s="1">
        <v>174</v>
      </c>
    </row>
    <row r="1381" spans="2:6" x14ac:dyDescent="0.25">
      <c r="B1381" s="1" t="e">
        <f t="shared" si="26"/>
        <v>#N/A</v>
      </c>
      <c r="C1381" s="1" t="e">
        <f t="shared" si="27"/>
        <v>#N/A</v>
      </c>
      <c r="D1381" s="1" t="e">
        <f t="shared" si="28"/>
        <v>#N/A</v>
      </c>
      <c r="E1381" s="1" t="e">
        <f t="shared" si="29"/>
        <v>#N/A</v>
      </c>
      <c r="F1381" s="1">
        <v>175</v>
      </c>
    </row>
    <row r="1382" spans="2:6" x14ac:dyDescent="0.25">
      <c r="B1382" s="1" t="e">
        <f t="shared" si="26"/>
        <v>#N/A</v>
      </c>
      <c r="C1382" s="1" t="e">
        <f t="shared" si="27"/>
        <v>#N/A</v>
      </c>
      <c r="D1382" s="1" t="e">
        <f t="shared" si="28"/>
        <v>#N/A</v>
      </c>
      <c r="E1382" s="1" t="e">
        <f t="shared" si="29"/>
        <v>#N/A</v>
      </c>
      <c r="F1382" s="1">
        <v>176</v>
      </c>
    </row>
    <row r="1383" spans="2:6" x14ac:dyDescent="0.25">
      <c r="B1383" s="1" t="e">
        <f t="shared" si="26"/>
        <v>#N/A</v>
      </c>
      <c r="C1383" s="1" t="e">
        <f t="shared" si="27"/>
        <v>#N/A</v>
      </c>
      <c r="D1383" s="1" t="e">
        <f t="shared" si="28"/>
        <v>#N/A</v>
      </c>
      <c r="E1383" s="1" t="e">
        <f t="shared" si="29"/>
        <v>#N/A</v>
      </c>
      <c r="F1383" s="1">
        <v>177</v>
      </c>
    </row>
    <row r="1384" spans="2:6" x14ac:dyDescent="0.25">
      <c r="B1384" s="1" t="e">
        <f t="shared" si="26"/>
        <v>#N/A</v>
      </c>
      <c r="C1384" s="1" t="e">
        <f t="shared" si="27"/>
        <v>#N/A</v>
      </c>
      <c r="D1384" s="1" t="e">
        <f t="shared" si="28"/>
        <v>#N/A</v>
      </c>
      <c r="E1384" s="1" t="e">
        <f t="shared" si="29"/>
        <v>#N/A</v>
      </c>
      <c r="F1384" s="1">
        <v>178</v>
      </c>
    </row>
    <row r="1385" spans="2:6" x14ac:dyDescent="0.25">
      <c r="B1385" s="1" t="e">
        <f t="shared" si="26"/>
        <v>#N/A</v>
      </c>
      <c r="C1385" s="1" t="e">
        <f t="shared" si="27"/>
        <v>#N/A</v>
      </c>
      <c r="D1385" s="1" t="e">
        <f t="shared" si="28"/>
        <v>#N/A</v>
      </c>
      <c r="E1385" s="1" t="e">
        <f t="shared" si="29"/>
        <v>#N/A</v>
      </c>
      <c r="F1385" s="1">
        <v>179</v>
      </c>
    </row>
    <row r="1386" spans="2:6" x14ac:dyDescent="0.25">
      <c r="B1386" s="1" t="e">
        <f t="shared" si="26"/>
        <v>#N/A</v>
      </c>
      <c r="C1386" s="1" t="e">
        <f t="shared" si="27"/>
        <v>#N/A</v>
      </c>
      <c r="D1386" s="1" t="e">
        <f t="shared" si="28"/>
        <v>#N/A</v>
      </c>
      <c r="E1386" s="1" t="e">
        <f t="shared" si="29"/>
        <v>#N/A</v>
      </c>
      <c r="F1386" s="1">
        <v>180</v>
      </c>
    </row>
    <row r="1387" spans="2:6" x14ac:dyDescent="0.25">
      <c r="B1387" s="1" t="e">
        <f t="shared" si="26"/>
        <v>#N/A</v>
      </c>
      <c r="C1387" s="1" t="e">
        <f t="shared" si="27"/>
        <v>#N/A</v>
      </c>
      <c r="D1387" s="1" t="e">
        <f t="shared" si="28"/>
        <v>#N/A</v>
      </c>
      <c r="E1387" s="1" t="e">
        <f t="shared" si="29"/>
        <v>#N/A</v>
      </c>
      <c r="F1387" s="1">
        <v>181</v>
      </c>
    </row>
    <row r="1388" spans="2:6" x14ac:dyDescent="0.25">
      <c r="B1388" s="1" t="e">
        <f t="shared" si="26"/>
        <v>#N/A</v>
      </c>
      <c r="C1388" s="1" t="e">
        <f t="shared" si="27"/>
        <v>#N/A</v>
      </c>
      <c r="D1388" s="1" t="e">
        <f t="shared" si="28"/>
        <v>#N/A</v>
      </c>
      <c r="E1388" s="1" t="e">
        <f t="shared" si="29"/>
        <v>#N/A</v>
      </c>
      <c r="F1388" s="1">
        <v>182</v>
      </c>
    </row>
    <row r="1389" spans="2:6" x14ac:dyDescent="0.25">
      <c r="B1389" s="1" t="e">
        <f t="shared" si="26"/>
        <v>#N/A</v>
      </c>
      <c r="C1389" s="1" t="e">
        <f t="shared" si="27"/>
        <v>#N/A</v>
      </c>
      <c r="D1389" s="1" t="e">
        <f t="shared" si="28"/>
        <v>#N/A</v>
      </c>
      <c r="E1389" s="1" t="e">
        <f t="shared" si="29"/>
        <v>#N/A</v>
      </c>
      <c r="F1389" s="1">
        <v>183</v>
      </c>
    </row>
    <row r="1390" spans="2:6" x14ac:dyDescent="0.25">
      <c r="B1390" s="1" t="e">
        <f t="shared" si="26"/>
        <v>#N/A</v>
      </c>
      <c r="C1390" s="1" t="e">
        <f t="shared" si="27"/>
        <v>#N/A</v>
      </c>
      <c r="D1390" s="1" t="e">
        <f t="shared" si="28"/>
        <v>#N/A</v>
      </c>
      <c r="E1390" s="1" t="e">
        <f t="shared" si="29"/>
        <v>#N/A</v>
      </c>
      <c r="F1390" s="1">
        <v>184</v>
      </c>
    </row>
    <row r="1391" spans="2:6" x14ac:dyDescent="0.25">
      <c r="B1391" s="1" t="e">
        <f t="shared" si="26"/>
        <v>#N/A</v>
      </c>
      <c r="C1391" s="1" t="e">
        <f t="shared" si="27"/>
        <v>#N/A</v>
      </c>
      <c r="D1391" s="1" t="e">
        <f t="shared" si="28"/>
        <v>#N/A</v>
      </c>
      <c r="E1391" s="1" t="e">
        <f t="shared" si="29"/>
        <v>#N/A</v>
      </c>
      <c r="F1391" s="1">
        <v>185</v>
      </c>
    </row>
    <row r="1392" spans="2:6" x14ac:dyDescent="0.25">
      <c r="B1392" s="1" t="e">
        <f t="shared" si="26"/>
        <v>#N/A</v>
      </c>
      <c r="C1392" s="1" t="e">
        <f t="shared" si="27"/>
        <v>#N/A</v>
      </c>
      <c r="D1392" s="1" t="e">
        <f t="shared" si="28"/>
        <v>#N/A</v>
      </c>
      <c r="E1392" s="1" t="e">
        <f t="shared" si="29"/>
        <v>#N/A</v>
      </c>
      <c r="F1392" s="1">
        <v>186</v>
      </c>
    </row>
    <row r="1393" spans="2:6" x14ac:dyDescent="0.25">
      <c r="B1393" s="1" t="e">
        <f t="shared" si="26"/>
        <v>#N/A</v>
      </c>
      <c r="C1393" s="1" t="e">
        <f t="shared" si="27"/>
        <v>#N/A</v>
      </c>
      <c r="D1393" s="1" t="e">
        <f t="shared" si="28"/>
        <v>#N/A</v>
      </c>
      <c r="E1393" s="1" t="e">
        <f t="shared" si="29"/>
        <v>#N/A</v>
      </c>
      <c r="F1393" s="1">
        <v>187</v>
      </c>
    </row>
    <row r="1394" spans="2:6" x14ac:dyDescent="0.25">
      <c r="B1394" s="1" t="e">
        <f t="shared" si="26"/>
        <v>#N/A</v>
      </c>
      <c r="C1394" s="1" t="e">
        <f t="shared" si="27"/>
        <v>#N/A</v>
      </c>
      <c r="D1394" s="1" t="e">
        <f t="shared" si="28"/>
        <v>#N/A</v>
      </c>
      <c r="E1394" s="1" t="e">
        <f t="shared" si="29"/>
        <v>#N/A</v>
      </c>
      <c r="F1394" s="1">
        <v>188</v>
      </c>
    </row>
    <row r="1395" spans="2:6" x14ac:dyDescent="0.25">
      <c r="B1395" s="1" t="e">
        <f t="shared" si="26"/>
        <v>#N/A</v>
      </c>
      <c r="C1395" s="1" t="e">
        <f t="shared" si="27"/>
        <v>#N/A</v>
      </c>
      <c r="D1395" s="1" t="e">
        <f t="shared" si="28"/>
        <v>#N/A</v>
      </c>
      <c r="E1395" s="1" t="e">
        <f t="shared" si="29"/>
        <v>#N/A</v>
      </c>
      <c r="F1395" s="1">
        <v>189</v>
      </c>
    </row>
    <row r="1396" spans="2:6" x14ac:dyDescent="0.25">
      <c r="B1396" s="1" t="e">
        <f t="shared" si="26"/>
        <v>#N/A</v>
      </c>
      <c r="C1396" s="1" t="e">
        <f t="shared" si="27"/>
        <v>#N/A</v>
      </c>
      <c r="D1396" s="1" t="e">
        <f t="shared" si="28"/>
        <v>#N/A</v>
      </c>
      <c r="E1396" s="1" t="e">
        <f t="shared" si="29"/>
        <v>#N/A</v>
      </c>
      <c r="F1396" s="1">
        <v>190</v>
      </c>
    </row>
    <row r="1397" spans="2:6" x14ac:dyDescent="0.25">
      <c r="B1397" s="1" t="e">
        <f t="shared" si="26"/>
        <v>#N/A</v>
      </c>
      <c r="C1397" s="1" t="e">
        <f t="shared" si="27"/>
        <v>#N/A</v>
      </c>
      <c r="D1397" s="1" t="e">
        <f t="shared" si="28"/>
        <v>#N/A</v>
      </c>
      <c r="E1397" s="1" t="e">
        <f t="shared" si="29"/>
        <v>#N/A</v>
      </c>
      <c r="F1397" s="1">
        <v>191</v>
      </c>
    </row>
    <row r="1398" spans="2:6" x14ac:dyDescent="0.25">
      <c r="B1398" s="1" t="e">
        <f t="shared" si="26"/>
        <v>#N/A</v>
      </c>
      <c r="C1398" s="1" t="e">
        <f t="shared" si="27"/>
        <v>#N/A</v>
      </c>
      <c r="D1398" s="1" t="e">
        <f t="shared" si="28"/>
        <v>#N/A</v>
      </c>
      <c r="E1398" s="1" t="e">
        <f t="shared" si="29"/>
        <v>#N/A</v>
      </c>
      <c r="F1398" s="1">
        <v>192</v>
      </c>
    </row>
    <row r="1399" spans="2:6" x14ac:dyDescent="0.25">
      <c r="B1399" s="1" t="e">
        <f t="shared" ref="B1399:B1462" si="30">IF(INDEX(currentSMORPH,$F1399) = "ri",INDEX(currentTHW,$F1399),NA())</f>
        <v>#N/A</v>
      </c>
      <c r="C1399" s="1" t="e">
        <f t="shared" ref="C1399:C1462" si="31">IF(INDEX(currentSMORPH,$F1399) = "ru",INDEX(currentTHW,$F1399),NA())</f>
        <v>#N/A</v>
      </c>
      <c r="D1399" s="1" t="e">
        <f t="shared" ref="D1399:D1462" si="32">IF(INDEX(currentSMORPH,$F1399) = "po",INDEX(currentTHW,$F1399),NA())</f>
        <v>#N/A</v>
      </c>
      <c r="E1399" s="1" t="e">
        <f t="shared" ref="E1399:E1462" si="33">IF(INDEX(currentSMORPH,$F1399) = "gl",INDEX(currentTHW,$F1399),NA())</f>
        <v>#N/A</v>
      </c>
      <c r="F1399" s="1">
        <v>193</v>
      </c>
    </row>
    <row r="1400" spans="2:6" x14ac:dyDescent="0.25">
      <c r="B1400" s="1" t="e">
        <f t="shared" si="30"/>
        <v>#N/A</v>
      </c>
      <c r="C1400" s="1" t="e">
        <f t="shared" si="31"/>
        <v>#N/A</v>
      </c>
      <c r="D1400" s="1" t="e">
        <f t="shared" si="32"/>
        <v>#N/A</v>
      </c>
      <c r="E1400" s="1" t="e">
        <f t="shared" si="33"/>
        <v>#N/A</v>
      </c>
      <c r="F1400" s="1">
        <v>194</v>
      </c>
    </row>
    <row r="1401" spans="2:6" x14ac:dyDescent="0.25">
      <c r="B1401" s="1" t="e">
        <f t="shared" si="30"/>
        <v>#N/A</v>
      </c>
      <c r="C1401" s="1" t="e">
        <f t="shared" si="31"/>
        <v>#N/A</v>
      </c>
      <c r="D1401" s="1" t="e">
        <f t="shared" si="32"/>
        <v>#N/A</v>
      </c>
      <c r="E1401" s="1" t="e">
        <f t="shared" si="33"/>
        <v>#N/A</v>
      </c>
      <c r="F1401" s="1">
        <v>195</v>
      </c>
    </row>
    <row r="1402" spans="2:6" x14ac:dyDescent="0.25">
      <c r="B1402" s="1" t="e">
        <f t="shared" si="30"/>
        <v>#N/A</v>
      </c>
      <c r="C1402" s="1" t="e">
        <f t="shared" si="31"/>
        <v>#N/A</v>
      </c>
      <c r="D1402" s="1" t="e">
        <f t="shared" si="32"/>
        <v>#N/A</v>
      </c>
      <c r="E1402" s="1" t="e">
        <f t="shared" si="33"/>
        <v>#N/A</v>
      </c>
      <c r="F1402" s="1">
        <v>196</v>
      </c>
    </row>
    <row r="1403" spans="2:6" x14ac:dyDescent="0.25">
      <c r="B1403" s="1" t="e">
        <f t="shared" si="30"/>
        <v>#N/A</v>
      </c>
      <c r="C1403" s="1" t="e">
        <f t="shared" si="31"/>
        <v>#N/A</v>
      </c>
      <c r="D1403" s="1" t="e">
        <f t="shared" si="32"/>
        <v>#N/A</v>
      </c>
      <c r="E1403" s="1" t="e">
        <f t="shared" si="33"/>
        <v>#N/A</v>
      </c>
      <c r="F1403" s="1">
        <v>197</v>
      </c>
    </row>
    <row r="1404" spans="2:6" x14ac:dyDescent="0.25">
      <c r="B1404" s="1" t="e">
        <f t="shared" si="30"/>
        <v>#N/A</v>
      </c>
      <c r="C1404" s="1" t="e">
        <f t="shared" si="31"/>
        <v>#N/A</v>
      </c>
      <c r="D1404" s="1" t="e">
        <f t="shared" si="32"/>
        <v>#N/A</v>
      </c>
      <c r="E1404" s="1" t="e">
        <f t="shared" si="33"/>
        <v>#N/A</v>
      </c>
      <c r="F1404" s="1">
        <v>198</v>
      </c>
    </row>
    <row r="1405" spans="2:6" x14ac:dyDescent="0.25">
      <c r="B1405" s="1" t="e">
        <f t="shared" si="30"/>
        <v>#N/A</v>
      </c>
      <c r="C1405" s="1" t="e">
        <f t="shared" si="31"/>
        <v>#N/A</v>
      </c>
      <c r="D1405" s="1" t="e">
        <f t="shared" si="32"/>
        <v>#N/A</v>
      </c>
      <c r="E1405" s="1" t="e">
        <f t="shared" si="33"/>
        <v>#N/A</v>
      </c>
      <c r="F1405" s="1">
        <v>199</v>
      </c>
    </row>
    <row r="1406" spans="2:6" x14ac:dyDescent="0.25">
      <c r="B1406" s="1" t="e">
        <f t="shared" si="30"/>
        <v>#N/A</v>
      </c>
      <c r="C1406" s="1" t="e">
        <f t="shared" si="31"/>
        <v>#N/A</v>
      </c>
      <c r="D1406" s="1" t="e">
        <f t="shared" si="32"/>
        <v>#N/A</v>
      </c>
      <c r="E1406" s="1" t="e">
        <f t="shared" si="33"/>
        <v>#N/A</v>
      </c>
      <c r="F1406" s="1">
        <v>200</v>
      </c>
    </row>
    <row r="1407" spans="2:6" x14ac:dyDescent="0.25">
      <c r="B1407" s="1" t="e">
        <f t="shared" si="30"/>
        <v>#N/A</v>
      </c>
      <c r="C1407" s="1" t="e">
        <f t="shared" si="31"/>
        <v>#N/A</v>
      </c>
      <c r="D1407" s="1" t="e">
        <f t="shared" si="32"/>
        <v>#N/A</v>
      </c>
      <c r="E1407" s="1" t="e">
        <f t="shared" si="33"/>
        <v>#N/A</v>
      </c>
      <c r="F1407" s="1">
        <v>201</v>
      </c>
    </row>
    <row r="1408" spans="2:6" x14ac:dyDescent="0.25">
      <c r="B1408" s="1" t="e">
        <f t="shared" si="30"/>
        <v>#N/A</v>
      </c>
      <c r="C1408" s="1" t="e">
        <f t="shared" si="31"/>
        <v>#N/A</v>
      </c>
      <c r="D1408" s="1" t="e">
        <f t="shared" si="32"/>
        <v>#N/A</v>
      </c>
      <c r="E1408" s="1" t="e">
        <f t="shared" si="33"/>
        <v>#N/A</v>
      </c>
      <c r="F1408" s="1">
        <v>202</v>
      </c>
    </row>
    <row r="1409" spans="2:6" x14ac:dyDescent="0.25">
      <c r="B1409" s="1" t="e">
        <f t="shared" si="30"/>
        <v>#N/A</v>
      </c>
      <c r="C1409" s="1" t="e">
        <f t="shared" si="31"/>
        <v>#N/A</v>
      </c>
      <c r="D1409" s="1" t="e">
        <f t="shared" si="32"/>
        <v>#N/A</v>
      </c>
      <c r="E1409" s="1" t="e">
        <f t="shared" si="33"/>
        <v>#N/A</v>
      </c>
      <c r="F1409" s="1">
        <v>203</v>
      </c>
    </row>
    <row r="1410" spans="2:6" x14ac:dyDescent="0.25">
      <c r="B1410" s="1" t="e">
        <f t="shared" si="30"/>
        <v>#N/A</v>
      </c>
      <c r="C1410" s="1" t="e">
        <f t="shared" si="31"/>
        <v>#N/A</v>
      </c>
      <c r="D1410" s="1" t="e">
        <f t="shared" si="32"/>
        <v>#N/A</v>
      </c>
      <c r="E1410" s="1" t="e">
        <f t="shared" si="33"/>
        <v>#N/A</v>
      </c>
      <c r="F1410" s="1">
        <v>204</v>
      </c>
    </row>
    <row r="1411" spans="2:6" x14ac:dyDescent="0.25">
      <c r="B1411" s="1" t="e">
        <f t="shared" si="30"/>
        <v>#N/A</v>
      </c>
      <c r="C1411" s="1" t="e">
        <f t="shared" si="31"/>
        <v>#N/A</v>
      </c>
      <c r="D1411" s="1" t="e">
        <f t="shared" si="32"/>
        <v>#N/A</v>
      </c>
      <c r="E1411" s="1" t="e">
        <f t="shared" si="33"/>
        <v>#N/A</v>
      </c>
      <c r="F1411" s="1">
        <v>205</v>
      </c>
    </row>
    <row r="1412" spans="2:6" x14ac:dyDescent="0.25">
      <c r="B1412" s="1" t="e">
        <f t="shared" si="30"/>
        <v>#N/A</v>
      </c>
      <c r="C1412" s="1" t="e">
        <f t="shared" si="31"/>
        <v>#N/A</v>
      </c>
      <c r="D1412" s="1" t="e">
        <f t="shared" si="32"/>
        <v>#N/A</v>
      </c>
      <c r="E1412" s="1" t="e">
        <f t="shared" si="33"/>
        <v>#N/A</v>
      </c>
      <c r="F1412" s="1">
        <v>206</v>
      </c>
    </row>
    <row r="1413" spans="2:6" x14ac:dyDescent="0.25">
      <c r="B1413" s="1" t="e">
        <f t="shared" si="30"/>
        <v>#N/A</v>
      </c>
      <c r="C1413" s="1" t="e">
        <f t="shared" si="31"/>
        <v>#N/A</v>
      </c>
      <c r="D1413" s="1" t="e">
        <f t="shared" si="32"/>
        <v>#N/A</v>
      </c>
      <c r="E1413" s="1" t="e">
        <f t="shared" si="33"/>
        <v>#N/A</v>
      </c>
      <c r="F1413" s="1">
        <v>207</v>
      </c>
    </row>
    <row r="1414" spans="2:6" x14ac:dyDescent="0.25">
      <c r="B1414" s="1" t="e">
        <f t="shared" si="30"/>
        <v>#N/A</v>
      </c>
      <c r="C1414" s="1" t="e">
        <f t="shared" si="31"/>
        <v>#N/A</v>
      </c>
      <c r="D1414" s="1" t="e">
        <f t="shared" si="32"/>
        <v>#N/A</v>
      </c>
      <c r="E1414" s="1" t="e">
        <f t="shared" si="33"/>
        <v>#N/A</v>
      </c>
      <c r="F1414" s="1">
        <v>208</v>
      </c>
    </row>
    <row r="1415" spans="2:6" x14ac:dyDescent="0.25">
      <c r="B1415" s="1" t="e">
        <f t="shared" si="30"/>
        <v>#N/A</v>
      </c>
      <c r="C1415" s="1" t="e">
        <f t="shared" si="31"/>
        <v>#N/A</v>
      </c>
      <c r="D1415" s="1" t="e">
        <f t="shared" si="32"/>
        <v>#N/A</v>
      </c>
      <c r="E1415" s="1" t="e">
        <f t="shared" si="33"/>
        <v>#N/A</v>
      </c>
      <c r="F1415" s="1">
        <v>209</v>
      </c>
    </row>
    <row r="1416" spans="2:6" x14ac:dyDescent="0.25">
      <c r="B1416" s="1" t="e">
        <f t="shared" si="30"/>
        <v>#N/A</v>
      </c>
      <c r="C1416" s="1" t="e">
        <f t="shared" si="31"/>
        <v>#N/A</v>
      </c>
      <c r="D1416" s="1" t="e">
        <f t="shared" si="32"/>
        <v>#N/A</v>
      </c>
      <c r="E1416" s="1" t="e">
        <f t="shared" si="33"/>
        <v>#N/A</v>
      </c>
      <c r="F1416" s="1">
        <v>210</v>
      </c>
    </row>
    <row r="1417" spans="2:6" x14ac:dyDescent="0.25">
      <c r="B1417" s="1" t="e">
        <f t="shared" si="30"/>
        <v>#N/A</v>
      </c>
      <c r="C1417" s="1" t="e">
        <f t="shared" si="31"/>
        <v>#N/A</v>
      </c>
      <c r="D1417" s="1" t="e">
        <f t="shared" si="32"/>
        <v>#N/A</v>
      </c>
      <c r="E1417" s="1" t="e">
        <f t="shared" si="33"/>
        <v>#N/A</v>
      </c>
      <c r="F1417" s="1">
        <v>211</v>
      </c>
    </row>
    <row r="1418" spans="2:6" x14ac:dyDescent="0.25">
      <c r="B1418" s="1" t="e">
        <f t="shared" si="30"/>
        <v>#N/A</v>
      </c>
      <c r="C1418" s="1" t="e">
        <f t="shared" si="31"/>
        <v>#N/A</v>
      </c>
      <c r="D1418" s="1" t="e">
        <f t="shared" si="32"/>
        <v>#N/A</v>
      </c>
      <c r="E1418" s="1" t="e">
        <f t="shared" si="33"/>
        <v>#N/A</v>
      </c>
      <c r="F1418" s="1">
        <v>212</v>
      </c>
    </row>
    <row r="1419" spans="2:6" x14ac:dyDescent="0.25">
      <c r="B1419" s="1" t="e">
        <f t="shared" si="30"/>
        <v>#N/A</v>
      </c>
      <c r="C1419" s="1" t="e">
        <f t="shared" si="31"/>
        <v>#N/A</v>
      </c>
      <c r="D1419" s="1" t="e">
        <f t="shared" si="32"/>
        <v>#N/A</v>
      </c>
      <c r="E1419" s="1" t="e">
        <f t="shared" si="33"/>
        <v>#N/A</v>
      </c>
      <c r="F1419" s="1">
        <v>213</v>
      </c>
    </row>
    <row r="1420" spans="2:6" x14ac:dyDescent="0.25">
      <c r="B1420" s="1" t="e">
        <f t="shared" si="30"/>
        <v>#N/A</v>
      </c>
      <c r="C1420" s="1" t="e">
        <f t="shared" si="31"/>
        <v>#N/A</v>
      </c>
      <c r="D1420" s="1" t="e">
        <f t="shared" si="32"/>
        <v>#N/A</v>
      </c>
      <c r="E1420" s="1" t="e">
        <f t="shared" si="33"/>
        <v>#N/A</v>
      </c>
      <c r="F1420" s="1">
        <v>214</v>
      </c>
    </row>
    <row r="1421" spans="2:6" x14ac:dyDescent="0.25">
      <c r="B1421" s="1" t="e">
        <f t="shared" si="30"/>
        <v>#N/A</v>
      </c>
      <c r="C1421" s="1" t="e">
        <f t="shared" si="31"/>
        <v>#N/A</v>
      </c>
      <c r="D1421" s="1" t="e">
        <f t="shared" si="32"/>
        <v>#N/A</v>
      </c>
      <c r="E1421" s="1" t="e">
        <f t="shared" si="33"/>
        <v>#N/A</v>
      </c>
      <c r="F1421" s="1">
        <v>215</v>
      </c>
    </row>
    <row r="1422" spans="2:6" x14ac:dyDescent="0.25">
      <c r="B1422" s="1" t="e">
        <f t="shared" si="30"/>
        <v>#N/A</v>
      </c>
      <c r="C1422" s="1" t="e">
        <f t="shared" si="31"/>
        <v>#N/A</v>
      </c>
      <c r="D1422" s="1" t="e">
        <f t="shared" si="32"/>
        <v>#N/A</v>
      </c>
      <c r="E1422" s="1" t="e">
        <f t="shared" si="33"/>
        <v>#N/A</v>
      </c>
      <c r="F1422" s="1">
        <v>216</v>
      </c>
    </row>
    <row r="1423" spans="2:6" x14ac:dyDescent="0.25">
      <c r="B1423" s="1" t="e">
        <f t="shared" si="30"/>
        <v>#N/A</v>
      </c>
      <c r="C1423" s="1" t="e">
        <f t="shared" si="31"/>
        <v>#N/A</v>
      </c>
      <c r="D1423" s="1" t="e">
        <f t="shared" si="32"/>
        <v>#N/A</v>
      </c>
      <c r="E1423" s="1" t="e">
        <f t="shared" si="33"/>
        <v>#N/A</v>
      </c>
      <c r="F1423" s="1">
        <v>217</v>
      </c>
    </row>
    <row r="1424" spans="2:6" x14ac:dyDescent="0.25">
      <c r="B1424" s="1" t="e">
        <f t="shared" si="30"/>
        <v>#N/A</v>
      </c>
      <c r="C1424" s="1" t="e">
        <f t="shared" si="31"/>
        <v>#N/A</v>
      </c>
      <c r="D1424" s="1" t="e">
        <f t="shared" si="32"/>
        <v>#N/A</v>
      </c>
      <c r="E1424" s="1" t="e">
        <f t="shared" si="33"/>
        <v>#N/A</v>
      </c>
      <c r="F1424" s="1">
        <v>218</v>
      </c>
    </row>
    <row r="1425" spans="2:6" x14ac:dyDescent="0.25">
      <c r="B1425" s="1" t="e">
        <f t="shared" si="30"/>
        <v>#N/A</v>
      </c>
      <c r="C1425" s="1" t="e">
        <f t="shared" si="31"/>
        <v>#N/A</v>
      </c>
      <c r="D1425" s="1" t="e">
        <f t="shared" si="32"/>
        <v>#N/A</v>
      </c>
      <c r="E1425" s="1" t="e">
        <f t="shared" si="33"/>
        <v>#N/A</v>
      </c>
      <c r="F1425" s="1">
        <v>219</v>
      </c>
    </row>
    <row r="1426" spans="2:6" x14ac:dyDescent="0.25">
      <c r="B1426" s="1" t="e">
        <f t="shared" si="30"/>
        <v>#N/A</v>
      </c>
      <c r="C1426" s="1" t="e">
        <f t="shared" si="31"/>
        <v>#N/A</v>
      </c>
      <c r="D1426" s="1" t="e">
        <f t="shared" si="32"/>
        <v>#N/A</v>
      </c>
      <c r="E1426" s="1" t="e">
        <f t="shared" si="33"/>
        <v>#N/A</v>
      </c>
      <c r="F1426" s="1">
        <v>220</v>
      </c>
    </row>
    <row r="1427" spans="2:6" x14ac:dyDescent="0.25">
      <c r="B1427" s="1" t="e">
        <f t="shared" si="30"/>
        <v>#N/A</v>
      </c>
      <c r="C1427" s="1" t="e">
        <f t="shared" si="31"/>
        <v>#N/A</v>
      </c>
      <c r="D1427" s="1" t="e">
        <f t="shared" si="32"/>
        <v>#N/A</v>
      </c>
      <c r="E1427" s="1" t="e">
        <f t="shared" si="33"/>
        <v>#N/A</v>
      </c>
      <c r="F1427" s="1">
        <v>221</v>
      </c>
    </row>
    <row r="1428" spans="2:6" x14ac:dyDescent="0.25">
      <c r="B1428" s="1" t="e">
        <f t="shared" si="30"/>
        <v>#N/A</v>
      </c>
      <c r="C1428" s="1" t="e">
        <f t="shared" si="31"/>
        <v>#N/A</v>
      </c>
      <c r="D1428" s="1" t="e">
        <f t="shared" si="32"/>
        <v>#N/A</v>
      </c>
      <c r="E1428" s="1" t="e">
        <f t="shared" si="33"/>
        <v>#N/A</v>
      </c>
      <c r="F1428" s="1">
        <v>222</v>
      </c>
    </row>
    <row r="1429" spans="2:6" x14ac:dyDescent="0.25">
      <c r="B1429" s="1" t="e">
        <f t="shared" si="30"/>
        <v>#N/A</v>
      </c>
      <c r="C1429" s="1" t="e">
        <f t="shared" si="31"/>
        <v>#N/A</v>
      </c>
      <c r="D1429" s="1" t="e">
        <f t="shared" si="32"/>
        <v>#N/A</v>
      </c>
      <c r="E1429" s="1" t="e">
        <f t="shared" si="33"/>
        <v>#N/A</v>
      </c>
      <c r="F1429" s="1">
        <v>223</v>
      </c>
    </row>
    <row r="1430" spans="2:6" x14ac:dyDescent="0.25">
      <c r="B1430" s="1" t="e">
        <f t="shared" si="30"/>
        <v>#N/A</v>
      </c>
      <c r="C1430" s="1" t="e">
        <f t="shared" si="31"/>
        <v>#N/A</v>
      </c>
      <c r="D1430" s="1" t="e">
        <f t="shared" si="32"/>
        <v>#N/A</v>
      </c>
      <c r="E1430" s="1" t="e">
        <f t="shared" si="33"/>
        <v>#N/A</v>
      </c>
      <c r="F1430" s="1">
        <v>224</v>
      </c>
    </row>
    <row r="1431" spans="2:6" x14ac:dyDescent="0.25">
      <c r="B1431" s="1" t="e">
        <f t="shared" si="30"/>
        <v>#N/A</v>
      </c>
      <c r="C1431" s="1" t="e">
        <f t="shared" si="31"/>
        <v>#N/A</v>
      </c>
      <c r="D1431" s="1" t="e">
        <f t="shared" si="32"/>
        <v>#N/A</v>
      </c>
      <c r="E1431" s="1" t="e">
        <f t="shared" si="33"/>
        <v>#N/A</v>
      </c>
      <c r="F1431" s="1">
        <v>225</v>
      </c>
    </row>
    <row r="1432" spans="2:6" x14ac:dyDescent="0.25">
      <c r="B1432" s="1" t="e">
        <f t="shared" si="30"/>
        <v>#N/A</v>
      </c>
      <c r="C1432" s="1" t="e">
        <f t="shared" si="31"/>
        <v>#N/A</v>
      </c>
      <c r="D1432" s="1" t="e">
        <f t="shared" si="32"/>
        <v>#N/A</v>
      </c>
      <c r="E1432" s="1" t="e">
        <f t="shared" si="33"/>
        <v>#N/A</v>
      </c>
      <c r="F1432" s="1">
        <v>226</v>
      </c>
    </row>
    <row r="1433" spans="2:6" x14ac:dyDescent="0.25">
      <c r="B1433" s="1" t="e">
        <f t="shared" si="30"/>
        <v>#N/A</v>
      </c>
      <c r="C1433" s="1" t="e">
        <f t="shared" si="31"/>
        <v>#N/A</v>
      </c>
      <c r="D1433" s="1" t="e">
        <f t="shared" si="32"/>
        <v>#N/A</v>
      </c>
      <c r="E1433" s="1" t="e">
        <f t="shared" si="33"/>
        <v>#N/A</v>
      </c>
      <c r="F1433" s="1">
        <v>227</v>
      </c>
    </row>
    <row r="1434" spans="2:6" x14ac:dyDescent="0.25">
      <c r="B1434" s="1" t="e">
        <f t="shared" si="30"/>
        <v>#N/A</v>
      </c>
      <c r="C1434" s="1" t="e">
        <f t="shared" si="31"/>
        <v>#N/A</v>
      </c>
      <c r="D1434" s="1" t="e">
        <f t="shared" si="32"/>
        <v>#N/A</v>
      </c>
      <c r="E1434" s="1" t="e">
        <f t="shared" si="33"/>
        <v>#N/A</v>
      </c>
      <c r="F1434" s="1">
        <v>228</v>
      </c>
    </row>
    <row r="1435" spans="2:6" x14ac:dyDescent="0.25">
      <c r="B1435" s="1" t="e">
        <f t="shared" si="30"/>
        <v>#N/A</v>
      </c>
      <c r="C1435" s="1" t="e">
        <f t="shared" si="31"/>
        <v>#N/A</v>
      </c>
      <c r="D1435" s="1" t="e">
        <f t="shared" si="32"/>
        <v>#N/A</v>
      </c>
      <c r="E1435" s="1" t="e">
        <f t="shared" si="33"/>
        <v>#N/A</v>
      </c>
      <c r="F1435" s="1">
        <v>229</v>
      </c>
    </row>
    <row r="1436" spans="2:6" x14ac:dyDescent="0.25">
      <c r="B1436" s="1" t="e">
        <f t="shared" si="30"/>
        <v>#N/A</v>
      </c>
      <c r="C1436" s="1" t="e">
        <f t="shared" si="31"/>
        <v>#N/A</v>
      </c>
      <c r="D1436" s="1" t="e">
        <f t="shared" si="32"/>
        <v>#N/A</v>
      </c>
      <c r="E1436" s="1" t="e">
        <f t="shared" si="33"/>
        <v>#N/A</v>
      </c>
      <c r="F1436" s="1">
        <v>230</v>
      </c>
    </row>
    <row r="1437" spans="2:6" x14ac:dyDescent="0.25">
      <c r="B1437" s="1" t="e">
        <f t="shared" si="30"/>
        <v>#N/A</v>
      </c>
      <c r="C1437" s="1" t="e">
        <f t="shared" si="31"/>
        <v>#N/A</v>
      </c>
      <c r="D1437" s="1" t="e">
        <f t="shared" si="32"/>
        <v>#N/A</v>
      </c>
      <c r="E1437" s="1" t="e">
        <f t="shared" si="33"/>
        <v>#N/A</v>
      </c>
      <c r="F1437" s="1">
        <v>231</v>
      </c>
    </row>
    <row r="1438" spans="2:6" x14ac:dyDescent="0.25">
      <c r="B1438" s="1" t="e">
        <f t="shared" si="30"/>
        <v>#N/A</v>
      </c>
      <c r="C1438" s="1" t="e">
        <f t="shared" si="31"/>
        <v>#N/A</v>
      </c>
      <c r="D1438" s="1" t="e">
        <f t="shared" si="32"/>
        <v>#N/A</v>
      </c>
      <c r="E1438" s="1" t="e">
        <f t="shared" si="33"/>
        <v>#N/A</v>
      </c>
      <c r="F1438" s="1">
        <v>232</v>
      </c>
    </row>
    <row r="1439" spans="2:6" x14ac:dyDescent="0.25">
      <c r="B1439" s="1" t="e">
        <f t="shared" si="30"/>
        <v>#N/A</v>
      </c>
      <c r="C1439" s="1" t="e">
        <f t="shared" si="31"/>
        <v>#N/A</v>
      </c>
      <c r="D1439" s="1" t="e">
        <f t="shared" si="32"/>
        <v>#N/A</v>
      </c>
      <c r="E1439" s="1" t="e">
        <f t="shared" si="33"/>
        <v>#N/A</v>
      </c>
      <c r="F1439" s="1">
        <v>233</v>
      </c>
    </row>
    <row r="1440" spans="2:6" x14ac:dyDescent="0.25">
      <c r="B1440" s="1" t="e">
        <f t="shared" si="30"/>
        <v>#N/A</v>
      </c>
      <c r="C1440" s="1" t="e">
        <f t="shared" si="31"/>
        <v>#N/A</v>
      </c>
      <c r="D1440" s="1" t="e">
        <f t="shared" si="32"/>
        <v>#N/A</v>
      </c>
      <c r="E1440" s="1" t="e">
        <f t="shared" si="33"/>
        <v>#N/A</v>
      </c>
      <c r="F1440" s="1">
        <v>234</v>
      </c>
    </row>
    <row r="1441" spans="2:6" x14ac:dyDescent="0.25">
      <c r="B1441" s="1" t="e">
        <f t="shared" si="30"/>
        <v>#N/A</v>
      </c>
      <c r="C1441" s="1" t="e">
        <f t="shared" si="31"/>
        <v>#N/A</v>
      </c>
      <c r="D1441" s="1" t="e">
        <f t="shared" si="32"/>
        <v>#N/A</v>
      </c>
      <c r="E1441" s="1" t="e">
        <f t="shared" si="33"/>
        <v>#N/A</v>
      </c>
      <c r="F1441" s="1">
        <v>235</v>
      </c>
    </row>
    <row r="1442" spans="2:6" x14ac:dyDescent="0.25">
      <c r="B1442" s="1" t="e">
        <f t="shared" si="30"/>
        <v>#N/A</v>
      </c>
      <c r="C1442" s="1" t="e">
        <f t="shared" si="31"/>
        <v>#N/A</v>
      </c>
      <c r="D1442" s="1" t="e">
        <f t="shared" si="32"/>
        <v>#N/A</v>
      </c>
      <c r="E1442" s="1" t="e">
        <f t="shared" si="33"/>
        <v>#N/A</v>
      </c>
      <c r="F1442" s="1">
        <v>236</v>
      </c>
    </row>
    <row r="1443" spans="2:6" x14ac:dyDescent="0.25">
      <c r="B1443" s="1" t="e">
        <f t="shared" si="30"/>
        <v>#N/A</v>
      </c>
      <c r="C1443" s="1" t="e">
        <f t="shared" si="31"/>
        <v>#N/A</v>
      </c>
      <c r="D1443" s="1" t="e">
        <f t="shared" si="32"/>
        <v>#N/A</v>
      </c>
      <c r="E1443" s="1" t="e">
        <f t="shared" si="33"/>
        <v>#N/A</v>
      </c>
      <c r="F1443" s="1">
        <v>237</v>
      </c>
    </row>
    <row r="1444" spans="2:6" x14ac:dyDescent="0.25">
      <c r="B1444" s="1" t="e">
        <f t="shared" si="30"/>
        <v>#N/A</v>
      </c>
      <c r="C1444" s="1" t="e">
        <f t="shared" si="31"/>
        <v>#N/A</v>
      </c>
      <c r="D1444" s="1" t="e">
        <f t="shared" si="32"/>
        <v>#N/A</v>
      </c>
      <c r="E1444" s="1" t="e">
        <f t="shared" si="33"/>
        <v>#N/A</v>
      </c>
      <c r="F1444" s="1">
        <v>238</v>
      </c>
    </row>
    <row r="1445" spans="2:6" x14ac:dyDescent="0.25">
      <c r="B1445" s="1" t="e">
        <f t="shared" si="30"/>
        <v>#N/A</v>
      </c>
      <c r="C1445" s="1" t="e">
        <f t="shared" si="31"/>
        <v>#N/A</v>
      </c>
      <c r="D1445" s="1" t="e">
        <f t="shared" si="32"/>
        <v>#N/A</v>
      </c>
      <c r="E1445" s="1" t="e">
        <f t="shared" si="33"/>
        <v>#N/A</v>
      </c>
      <c r="F1445" s="1">
        <v>239</v>
      </c>
    </row>
    <row r="1446" spans="2:6" x14ac:dyDescent="0.25">
      <c r="B1446" s="1" t="e">
        <f t="shared" si="30"/>
        <v>#N/A</v>
      </c>
      <c r="C1446" s="1" t="e">
        <f t="shared" si="31"/>
        <v>#N/A</v>
      </c>
      <c r="D1446" s="1" t="e">
        <f t="shared" si="32"/>
        <v>#N/A</v>
      </c>
      <c r="E1446" s="1" t="e">
        <f t="shared" si="33"/>
        <v>#N/A</v>
      </c>
      <c r="F1446" s="1">
        <v>240</v>
      </c>
    </row>
    <row r="1447" spans="2:6" x14ac:dyDescent="0.25">
      <c r="B1447" s="1" t="e">
        <f t="shared" si="30"/>
        <v>#N/A</v>
      </c>
      <c r="C1447" s="1" t="e">
        <f t="shared" si="31"/>
        <v>#N/A</v>
      </c>
      <c r="D1447" s="1" t="e">
        <f t="shared" si="32"/>
        <v>#N/A</v>
      </c>
      <c r="E1447" s="1" t="e">
        <f t="shared" si="33"/>
        <v>#N/A</v>
      </c>
      <c r="F1447" s="1">
        <v>241</v>
      </c>
    </row>
    <row r="1448" spans="2:6" x14ac:dyDescent="0.25">
      <c r="B1448" s="1" t="e">
        <f t="shared" si="30"/>
        <v>#N/A</v>
      </c>
      <c r="C1448" s="1" t="e">
        <f t="shared" si="31"/>
        <v>#N/A</v>
      </c>
      <c r="D1448" s="1" t="e">
        <f t="shared" si="32"/>
        <v>#N/A</v>
      </c>
      <c r="E1448" s="1" t="e">
        <f t="shared" si="33"/>
        <v>#N/A</v>
      </c>
      <c r="F1448" s="1">
        <v>242</v>
      </c>
    </row>
    <row r="1449" spans="2:6" x14ac:dyDescent="0.25">
      <c r="B1449" s="1" t="e">
        <f t="shared" si="30"/>
        <v>#N/A</v>
      </c>
      <c r="C1449" s="1" t="e">
        <f t="shared" si="31"/>
        <v>#N/A</v>
      </c>
      <c r="D1449" s="1" t="e">
        <f t="shared" si="32"/>
        <v>#N/A</v>
      </c>
      <c r="E1449" s="1" t="e">
        <f t="shared" si="33"/>
        <v>#N/A</v>
      </c>
      <c r="F1449" s="1">
        <v>243</v>
      </c>
    </row>
    <row r="1450" spans="2:6" x14ac:dyDescent="0.25">
      <c r="B1450" s="1" t="e">
        <f t="shared" si="30"/>
        <v>#N/A</v>
      </c>
      <c r="C1450" s="1" t="e">
        <f t="shared" si="31"/>
        <v>#N/A</v>
      </c>
      <c r="D1450" s="1" t="e">
        <f t="shared" si="32"/>
        <v>#N/A</v>
      </c>
      <c r="E1450" s="1" t="e">
        <f t="shared" si="33"/>
        <v>#N/A</v>
      </c>
      <c r="F1450" s="1">
        <v>244</v>
      </c>
    </row>
    <row r="1451" spans="2:6" x14ac:dyDescent="0.25">
      <c r="B1451" s="1" t="e">
        <f t="shared" si="30"/>
        <v>#N/A</v>
      </c>
      <c r="C1451" s="1" t="e">
        <f t="shared" si="31"/>
        <v>#N/A</v>
      </c>
      <c r="D1451" s="1" t="e">
        <f t="shared" si="32"/>
        <v>#N/A</v>
      </c>
      <c r="E1451" s="1" t="e">
        <f t="shared" si="33"/>
        <v>#N/A</v>
      </c>
      <c r="F1451" s="1">
        <v>245</v>
      </c>
    </row>
    <row r="1452" spans="2:6" x14ac:dyDescent="0.25">
      <c r="B1452" s="1" t="e">
        <f t="shared" si="30"/>
        <v>#N/A</v>
      </c>
      <c r="C1452" s="1" t="e">
        <f t="shared" si="31"/>
        <v>#N/A</v>
      </c>
      <c r="D1452" s="1" t="e">
        <f t="shared" si="32"/>
        <v>#N/A</v>
      </c>
      <c r="E1452" s="1" t="e">
        <f t="shared" si="33"/>
        <v>#N/A</v>
      </c>
      <c r="F1452" s="1">
        <v>246</v>
      </c>
    </row>
    <row r="1453" spans="2:6" x14ac:dyDescent="0.25">
      <c r="B1453" s="1" t="e">
        <f t="shared" si="30"/>
        <v>#N/A</v>
      </c>
      <c r="C1453" s="1" t="e">
        <f t="shared" si="31"/>
        <v>#N/A</v>
      </c>
      <c r="D1453" s="1" t="e">
        <f t="shared" si="32"/>
        <v>#N/A</v>
      </c>
      <c r="E1453" s="1" t="e">
        <f t="shared" si="33"/>
        <v>#N/A</v>
      </c>
      <c r="F1453" s="1">
        <v>247</v>
      </c>
    </row>
    <row r="1454" spans="2:6" x14ac:dyDescent="0.25">
      <c r="B1454" s="1" t="e">
        <f t="shared" si="30"/>
        <v>#N/A</v>
      </c>
      <c r="C1454" s="1" t="e">
        <f t="shared" si="31"/>
        <v>#N/A</v>
      </c>
      <c r="D1454" s="1" t="e">
        <f t="shared" si="32"/>
        <v>#N/A</v>
      </c>
      <c r="E1454" s="1" t="e">
        <f t="shared" si="33"/>
        <v>#N/A</v>
      </c>
      <c r="F1454" s="1">
        <v>248</v>
      </c>
    </row>
    <row r="1455" spans="2:6" x14ac:dyDescent="0.25">
      <c r="B1455" s="1" t="e">
        <f t="shared" si="30"/>
        <v>#N/A</v>
      </c>
      <c r="C1455" s="1" t="e">
        <f t="shared" si="31"/>
        <v>#N/A</v>
      </c>
      <c r="D1455" s="1" t="e">
        <f t="shared" si="32"/>
        <v>#N/A</v>
      </c>
      <c r="E1455" s="1" t="e">
        <f t="shared" si="33"/>
        <v>#N/A</v>
      </c>
      <c r="F1455" s="1">
        <v>249</v>
      </c>
    </row>
    <row r="1456" spans="2:6" x14ac:dyDescent="0.25">
      <c r="B1456" s="1" t="e">
        <f t="shared" si="30"/>
        <v>#N/A</v>
      </c>
      <c r="C1456" s="1" t="e">
        <f t="shared" si="31"/>
        <v>#N/A</v>
      </c>
      <c r="D1456" s="1" t="e">
        <f t="shared" si="32"/>
        <v>#N/A</v>
      </c>
      <c r="E1456" s="1" t="e">
        <f t="shared" si="33"/>
        <v>#N/A</v>
      </c>
      <c r="F1456" s="1">
        <v>250</v>
      </c>
    </row>
    <row r="1457" spans="2:6" x14ac:dyDescent="0.25">
      <c r="B1457" s="1" t="e">
        <f t="shared" si="30"/>
        <v>#N/A</v>
      </c>
      <c r="C1457" s="1" t="e">
        <f t="shared" si="31"/>
        <v>#N/A</v>
      </c>
      <c r="D1457" s="1" t="e">
        <f t="shared" si="32"/>
        <v>#N/A</v>
      </c>
      <c r="E1457" s="1" t="e">
        <f t="shared" si="33"/>
        <v>#N/A</v>
      </c>
      <c r="F1457" s="1">
        <v>251</v>
      </c>
    </row>
    <row r="1458" spans="2:6" x14ac:dyDescent="0.25">
      <c r="B1458" s="1" t="e">
        <f t="shared" si="30"/>
        <v>#N/A</v>
      </c>
      <c r="C1458" s="1" t="e">
        <f t="shared" si="31"/>
        <v>#N/A</v>
      </c>
      <c r="D1458" s="1" t="e">
        <f t="shared" si="32"/>
        <v>#N/A</v>
      </c>
      <c r="E1458" s="1" t="e">
        <f t="shared" si="33"/>
        <v>#N/A</v>
      </c>
      <c r="F1458" s="1">
        <v>252</v>
      </c>
    </row>
    <row r="1459" spans="2:6" x14ac:dyDescent="0.25">
      <c r="B1459" s="1" t="e">
        <f t="shared" si="30"/>
        <v>#N/A</v>
      </c>
      <c r="C1459" s="1" t="e">
        <f t="shared" si="31"/>
        <v>#N/A</v>
      </c>
      <c r="D1459" s="1" t="e">
        <f t="shared" si="32"/>
        <v>#N/A</v>
      </c>
      <c r="E1459" s="1" t="e">
        <f t="shared" si="33"/>
        <v>#N/A</v>
      </c>
      <c r="F1459" s="1">
        <v>253</v>
      </c>
    </row>
    <row r="1460" spans="2:6" x14ac:dyDescent="0.25">
      <c r="B1460" s="1" t="e">
        <f t="shared" si="30"/>
        <v>#N/A</v>
      </c>
      <c r="C1460" s="1" t="e">
        <f t="shared" si="31"/>
        <v>#N/A</v>
      </c>
      <c r="D1460" s="1" t="e">
        <f t="shared" si="32"/>
        <v>#N/A</v>
      </c>
      <c r="E1460" s="1" t="e">
        <f t="shared" si="33"/>
        <v>#N/A</v>
      </c>
      <c r="F1460" s="1">
        <v>254</v>
      </c>
    </row>
    <row r="1461" spans="2:6" x14ac:dyDescent="0.25">
      <c r="B1461" s="1" t="e">
        <f t="shared" si="30"/>
        <v>#N/A</v>
      </c>
      <c r="C1461" s="1" t="e">
        <f t="shared" si="31"/>
        <v>#N/A</v>
      </c>
      <c r="D1461" s="1" t="e">
        <f t="shared" si="32"/>
        <v>#N/A</v>
      </c>
      <c r="E1461" s="1" t="e">
        <f t="shared" si="33"/>
        <v>#N/A</v>
      </c>
      <c r="F1461" s="1">
        <v>255</v>
      </c>
    </row>
    <row r="1462" spans="2:6" x14ac:dyDescent="0.25">
      <c r="B1462" s="1" t="e">
        <f t="shared" si="30"/>
        <v>#N/A</v>
      </c>
      <c r="C1462" s="1" t="e">
        <f t="shared" si="31"/>
        <v>#N/A</v>
      </c>
      <c r="D1462" s="1" t="e">
        <f t="shared" si="32"/>
        <v>#N/A</v>
      </c>
      <c r="E1462" s="1" t="e">
        <f t="shared" si="33"/>
        <v>#N/A</v>
      </c>
      <c r="F1462" s="1">
        <v>256</v>
      </c>
    </row>
    <row r="1463" spans="2:6" x14ac:dyDescent="0.25">
      <c r="B1463" s="1" t="e">
        <f t="shared" ref="B1463:B1526" si="34">IF(INDEX(currentSMORPH,$F1463) = "ri",INDEX(currentTHW,$F1463),NA())</f>
        <v>#N/A</v>
      </c>
      <c r="C1463" s="1" t="e">
        <f t="shared" ref="C1463:C1526" si="35">IF(INDEX(currentSMORPH,$F1463) = "ru",INDEX(currentTHW,$F1463),NA())</f>
        <v>#N/A</v>
      </c>
      <c r="D1463" s="1" t="e">
        <f t="shared" ref="D1463:D1526" si="36">IF(INDEX(currentSMORPH,$F1463) = "po",INDEX(currentTHW,$F1463),NA())</f>
        <v>#N/A</v>
      </c>
      <c r="E1463" s="1" t="e">
        <f t="shared" ref="E1463:E1526" si="37">IF(INDEX(currentSMORPH,$F1463) = "gl",INDEX(currentTHW,$F1463),NA())</f>
        <v>#N/A</v>
      </c>
      <c r="F1463" s="1">
        <v>257</v>
      </c>
    </row>
    <row r="1464" spans="2:6" x14ac:dyDescent="0.25">
      <c r="B1464" s="1" t="e">
        <f t="shared" si="34"/>
        <v>#N/A</v>
      </c>
      <c r="C1464" s="1" t="e">
        <f t="shared" si="35"/>
        <v>#N/A</v>
      </c>
      <c r="D1464" s="1" t="e">
        <f t="shared" si="36"/>
        <v>#N/A</v>
      </c>
      <c r="E1464" s="1" t="e">
        <f t="shared" si="37"/>
        <v>#N/A</v>
      </c>
      <c r="F1464" s="1">
        <v>258</v>
      </c>
    </row>
    <row r="1465" spans="2:6" x14ac:dyDescent="0.25">
      <c r="B1465" s="1" t="e">
        <f t="shared" si="34"/>
        <v>#N/A</v>
      </c>
      <c r="C1465" s="1" t="e">
        <f t="shared" si="35"/>
        <v>#N/A</v>
      </c>
      <c r="D1465" s="1" t="e">
        <f t="shared" si="36"/>
        <v>#N/A</v>
      </c>
      <c r="E1465" s="1" t="e">
        <f t="shared" si="37"/>
        <v>#N/A</v>
      </c>
      <c r="F1465" s="1">
        <v>259</v>
      </c>
    </row>
    <row r="1466" spans="2:6" x14ac:dyDescent="0.25">
      <c r="B1466" s="1" t="e">
        <f t="shared" si="34"/>
        <v>#N/A</v>
      </c>
      <c r="C1466" s="1" t="e">
        <f t="shared" si="35"/>
        <v>#N/A</v>
      </c>
      <c r="D1466" s="1" t="e">
        <f t="shared" si="36"/>
        <v>#N/A</v>
      </c>
      <c r="E1466" s="1" t="e">
        <f t="shared" si="37"/>
        <v>#N/A</v>
      </c>
      <c r="F1466" s="1">
        <v>260</v>
      </c>
    </row>
    <row r="1467" spans="2:6" x14ac:dyDescent="0.25">
      <c r="B1467" s="1" t="e">
        <f t="shared" si="34"/>
        <v>#N/A</v>
      </c>
      <c r="C1467" s="1" t="e">
        <f t="shared" si="35"/>
        <v>#N/A</v>
      </c>
      <c r="D1467" s="1" t="e">
        <f t="shared" si="36"/>
        <v>#N/A</v>
      </c>
      <c r="E1467" s="1" t="e">
        <f t="shared" si="37"/>
        <v>#N/A</v>
      </c>
      <c r="F1467" s="1">
        <v>261</v>
      </c>
    </row>
    <row r="1468" spans="2:6" x14ac:dyDescent="0.25">
      <c r="B1468" s="1" t="e">
        <f t="shared" si="34"/>
        <v>#N/A</v>
      </c>
      <c r="C1468" s="1" t="e">
        <f t="shared" si="35"/>
        <v>#N/A</v>
      </c>
      <c r="D1468" s="1" t="e">
        <f t="shared" si="36"/>
        <v>#N/A</v>
      </c>
      <c r="E1468" s="1" t="e">
        <f t="shared" si="37"/>
        <v>#N/A</v>
      </c>
      <c r="F1468" s="1">
        <v>262</v>
      </c>
    </row>
    <row r="1469" spans="2:6" x14ac:dyDescent="0.25">
      <c r="B1469" s="1" t="e">
        <f t="shared" si="34"/>
        <v>#N/A</v>
      </c>
      <c r="C1469" s="1" t="e">
        <f t="shared" si="35"/>
        <v>#N/A</v>
      </c>
      <c r="D1469" s="1" t="e">
        <f t="shared" si="36"/>
        <v>#N/A</v>
      </c>
      <c r="E1469" s="1" t="e">
        <f t="shared" si="37"/>
        <v>#N/A</v>
      </c>
      <c r="F1469" s="1">
        <v>263</v>
      </c>
    </row>
    <row r="1470" spans="2:6" x14ac:dyDescent="0.25">
      <c r="B1470" s="1" t="e">
        <f t="shared" si="34"/>
        <v>#N/A</v>
      </c>
      <c r="C1470" s="1" t="e">
        <f t="shared" si="35"/>
        <v>#N/A</v>
      </c>
      <c r="D1470" s="1" t="e">
        <f t="shared" si="36"/>
        <v>#N/A</v>
      </c>
      <c r="E1470" s="1" t="e">
        <f t="shared" si="37"/>
        <v>#N/A</v>
      </c>
      <c r="F1470" s="1">
        <v>264</v>
      </c>
    </row>
    <row r="1471" spans="2:6" x14ac:dyDescent="0.25">
      <c r="B1471" s="1" t="e">
        <f t="shared" si="34"/>
        <v>#N/A</v>
      </c>
      <c r="C1471" s="1" t="e">
        <f t="shared" si="35"/>
        <v>#N/A</v>
      </c>
      <c r="D1471" s="1" t="e">
        <f t="shared" si="36"/>
        <v>#N/A</v>
      </c>
      <c r="E1471" s="1" t="e">
        <f t="shared" si="37"/>
        <v>#N/A</v>
      </c>
      <c r="F1471" s="1">
        <v>265</v>
      </c>
    </row>
    <row r="1472" spans="2:6" x14ac:dyDescent="0.25">
      <c r="B1472" s="1" t="e">
        <f t="shared" si="34"/>
        <v>#N/A</v>
      </c>
      <c r="C1472" s="1" t="e">
        <f t="shared" si="35"/>
        <v>#N/A</v>
      </c>
      <c r="D1472" s="1" t="e">
        <f t="shared" si="36"/>
        <v>#N/A</v>
      </c>
      <c r="E1472" s="1" t="e">
        <f t="shared" si="37"/>
        <v>#N/A</v>
      </c>
      <c r="F1472" s="1">
        <v>266</v>
      </c>
    </row>
    <row r="1473" spans="2:6" x14ac:dyDescent="0.25">
      <c r="B1473" s="1" t="e">
        <f t="shared" si="34"/>
        <v>#N/A</v>
      </c>
      <c r="C1473" s="1" t="e">
        <f t="shared" si="35"/>
        <v>#N/A</v>
      </c>
      <c r="D1473" s="1" t="e">
        <f t="shared" si="36"/>
        <v>#N/A</v>
      </c>
      <c r="E1473" s="1" t="e">
        <f t="shared" si="37"/>
        <v>#N/A</v>
      </c>
      <c r="F1473" s="1">
        <v>267</v>
      </c>
    </row>
    <row r="1474" spans="2:6" x14ac:dyDescent="0.25">
      <c r="B1474" s="1" t="e">
        <f t="shared" si="34"/>
        <v>#N/A</v>
      </c>
      <c r="C1474" s="1" t="e">
        <f t="shared" si="35"/>
        <v>#N/A</v>
      </c>
      <c r="D1474" s="1" t="e">
        <f t="shared" si="36"/>
        <v>#N/A</v>
      </c>
      <c r="E1474" s="1" t="e">
        <f t="shared" si="37"/>
        <v>#N/A</v>
      </c>
      <c r="F1474" s="1">
        <v>268</v>
      </c>
    </row>
    <row r="1475" spans="2:6" x14ac:dyDescent="0.25">
      <c r="B1475" s="1" t="e">
        <f t="shared" si="34"/>
        <v>#N/A</v>
      </c>
      <c r="C1475" s="1" t="e">
        <f t="shared" si="35"/>
        <v>#N/A</v>
      </c>
      <c r="D1475" s="1" t="e">
        <f t="shared" si="36"/>
        <v>#N/A</v>
      </c>
      <c r="E1475" s="1" t="e">
        <f t="shared" si="37"/>
        <v>#N/A</v>
      </c>
      <c r="F1475" s="1">
        <v>269</v>
      </c>
    </row>
    <row r="1476" spans="2:6" x14ac:dyDescent="0.25">
      <c r="B1476" s="1" t="e">
        <f t="shared" si="34"/>
        <v>#N/A</v>
      </c>
      <c r="C1476" s="1" t="e">
        <f t="shared" si="35"/>
        <v>#N/A</v>
      </c>
      <c r="D1476" s="1" t="e">
        <f t="shared" si="36"/>
        <v>#N/A</v>
      </c>
      <c r="E1476" s="1" t="e">
        <f t="shared" si="37"/>
        <v>#N/A</v>
      </c>
      <c r="F1476" s="1">
        <v>270</v>
      </c>
    </row>
    <row r="1477" spans="2:6" x14ac:dyDescent="0.25">
      <c r="B1477" s="1" t="e">
        <f t="shared" si="34"/>
        <v>#N/A</v>
      </c>
      <c r="C1477" s="1" t="e">
        <f t="shared" si="35"/>
        <v>#N/A</v>
      </c>
      <c r="D1477" s="1" t="e">
        <f t="shared" si="36"/>
        <v>#N/A</v>
      </c>
      <c r="E1477" s="1" t="e">
        <f t="shared" si="37"/>
        <v>#N/A</v>
      </c>
      <c r="F1477" s="1">
        <v>271</v>
      </c>
    </row>
    <row r="1478" spans="2:6" x14ac:dyDescent="0.25">
      <c r="B1478" s="1" t="e">
        <f t="shared" si="34"/>
        <v>#N/A</v>
      </c>
      <c r="C1478" s="1" t="e">
        <f t="shared" si="35"/>
        <v>#N/A</v>
      </c>
      <c r="D1478" s="1" t="e">
        <f t="shared" si="36"/>
        <v>#N/A</v>
      </c>
      <c r="E1478" s="1" t="e">
        <f t="shared" si="37"/>
        <v>#N/A</v>
      </c>
      <c r="F1478" s="1">
        <v>272</v>
      </c>
    </row>
    <row r="1479" spans="2:6" x14ac:dyDescent="0.25">
      <c r="B1479" s="1" t="e">
        <f t="shared" si="34"/>
        <v>#N/A</v>
      </c>
      <c r="C1479" s="1" t="e">
        <f t="shared" si="35"/>
        <v>#N/A</v>
      </c>
      <c r="D1479" s="1" t="e">
        <f t="shared" si="36"/>
        <v>#N/A</v>
      </c>
      <c r="E1479" s="1" t="e">
        <f t="shared" si="37"/>
        <v>#N/A</v>
      </c>
      <c r="F1479" s="1">
        <v>273</v>
      </c>
    </row>
    <row r="1480" spans="2:6" x14ac:dyDescent="0.25">
      <c r="B1480" s="1" t="e">
        <f t="shared" si="34"/>
        <v>#N/A</v>
      </c>
      <c r="C1480" s="1" t="e">
        <f t="shared" si="35"/>
        <v>#N/A</v>
      </c>
      <c r="D1480" s="1" t="e">
        <f t="shared" si="36"/>
        <v>#N/A</v>
      </c>
      <c r="E1480" s="1" t="e">
        <f t="shared" si="37"/>
        <v>#N/A</v>
      </c>
      <c r="F1480" s="1">
        <v>274</v>
      </c>
    </row>
    <row r="1481" spans="2:6" x14ac:dyDescent="0.25">
      <c r="B1481" s="1" t="e">
        <f t="shared" si="34"/>
        <v>#N/A</v>
      </c>
      <c r="C1481" s="1" t="e">
        <f t="shared" si="35"/>
        <v>#N/A</v>
      </c>
      <c r="D1481" s="1" t="e">
        <f t="shared" si="36"/>
        <v>#N/A</v>
      </c>
      <c r="E1481" s="1" t="e">
        <f t="shared" si="37"/>
        <v>#N/A</v>
      </c>
      <c r="F1481" s="1">
        <v>275</v>
      </c>
    </row>
    <row r="1482" spans="2:6" x14ac:dyDescent="0.25">
      <c r="B1482" s="1" t="e">
        <f t="shared" si="34"/>
        <v>#N/A</v>
      </c>
      <c r="C1482" s="1" t="e">
        <f t="shared" si="35"/>
        <v>#N/A</v>
      </c>
      <c r="D1482" s="1" t="e">
        <f t="shared" si="36"/>
        <v>#N/A</v>
      </c>
      <c r="E1482" s="1" t="e">
        <f t="shared" si="37"/>
        <v>#N/A</v>
      </c>
      <c r="F1482" s="1">
        <v>276</v>
      </c>
    </row>
    <row r="1483" spans="2:6" x14ac:dyDescent="0.25">
      <c r="B1483" s="1" t="e">
        <f t="shared" si="34"/>
        <v>#N/A</v>
      </c>
      <c r="C1483" s="1" t="e">
        <f t="shared" si="35"/>
        <v>#N/A</v>
      </c>
      <c r="D1483" s="1" t="e">
        <f t="shared" si="36"/>
        <v>#N/A</v>
      </c>
      <c r="E1483" s="1" t="e">
        <f t="shared" si="37"/>
        <v>#N/A</v>
      </c>
      <c r="F1483" s="1">
        <v>277</v>
      </c>
    </row>
    <row r="1484" spans="2:6" x14ac:dyDescent="0.25">
      <c r="B1484" s="1" t="e">
        <f t="shared" si="34"/>
        <v>#N/A</v>
      </c>
      <c r="C1484" s="1" t="e">
        <f t="shared" si="35"/>
        <v>#N/A</v>
      </c>
      <c r="D1484" s="1" t="e">
        <f t="shared" si="36"/>
        <v>#N/A</v>
      </c>
      <c r="E1484" s="1" t="e">
        <f t="shared" si="37"/>
        <v>#N/A</v>
      </c>
      <c r="F1484" s="1">
        <v>278</v>
      </c>
    </row>
    <row r="1485" spans="2:6" x14ac:dyDescent="0.25">
      <c r="B1485" s="1" t="e">
        <f t="shared" si="34"/>
        <v>#N/A</v>
      </c>
      <c r="C1485" s="1" t="e">
        <f t="shared" si="35"/>
        <v>#N/A</v>
      </c>
      <c r="D1485" s="1" t="e">
        <f t="shared" si="36"/>
        <v>#N/A</v>
      </c>
      <c r="E1485" s="1" t="e">
        <f t="shared" si="37"/>
        <v>#N/A</v>
      </c>
      <c r="F1485" s="1">
        <v>279</v>
      </c>
    </row>
    <row r="1486" spans="2:6" x14ac:dyDescent="0.25">
      <c r="B1486" s="1" t="e">
        <f t="shared" si="34"/>
        <v>#N/A</v>
      </c>
      <c r="C1486" s="1" t="e">
        <f t="shared" si="35"/>
        <v>#N/A</v>
      </c>
      <c r="D1486" s="1" t="e">
        <f t="shared" si="36"/>
        <v>#N/A</v>
      </c>
      <c r="E1486" s="1" t="e">
        <f t="shared" si="37"/>
        <v>#N/A</v>
      </c>
      <c r="F1486" s="1">
        <v>280</v>
      </c>
    </row>
    <row r="1487" spans="2:6" x14ac:dyDescent="0.25">
      <c r="B1487" s="1" t="e">
        <f t="shared" si="34"/>
        <v>#N/A</v>
      </c>
      <c r="C1487" s="1" t="e">
        <f t="shared" si="35"/>
        <v>#N/A</v>
      </c>
      <c r="D1487" s="1" t="e">
        <f t="shared" si="36"/>
        <v>#N/A</v>
      </c>
      <c r="E1487" s="1" t="e">
        <f t="shared" si="37"/>
        <v>#N/A</v>
      </c>
      <c r="F1487" s="1">
        <v>281</v>
      </c>
    </row>
    <row r="1488" spans="2:6" x14ac:dyDescent="0.25">
      <c r="B1488" s="1" t="e">
        <f t="shared" si="34"/>
        <v>#N/A</v>
      </c>
      <c r="C1488" s="1" t="e">
        <f t="shared" si="35"/>
        <v>#N/A</v>
      </c>
      <c r="D1488" s="1" t="e">
        <f t="shared" si="36"/>
        <v>#N/A</v>
      </c>
      <c r="E1488" s="1" t="e">
        <f t="shared" si="37"/>
        <v>#N/A</v>
      </c>
      <c r="F1488" s="1">
        <v>282</v>
      </c>
    </row>
    <row r="1489" spans="2:6" x14ac:dyDescent="0.25">
      <c r="B1489" s="1" t="e">
        <f t="shared" si="34"/>
        <v>#N/A</v>
      </c>
      <c r="C1489" s="1" t="e">
        <f t="shared" si="35"/>
        <v>#N/A</v>
      </c>
      <c r="D1489" s="1" t="e">
        <f t="shared" si="36"/>
        <v>#N/A</v>
      </c>
      <c r="E1489" s="1" t="e">
        <f t="shared" si="37"/>
        <v>#N/A</v>
      </c>
      <c r="F1489" s="1">
        <v>283</v>
      </c>
    </row>
    <row r="1490" spans="2:6" x14ac:dyDescent="0.25">
      <c r="B1490" s="1" t="e">
        <f t="shared" si="34"/>
        <v>#N/A</v>
      </c>
      <c r="C1490" s="1" t="e">
        <f t="shared" si="35"/>
        <v>#N/A</v>
      </c>
      <c r="D1490" s="1" t="e">
        <f t="shared" si="36"/>
        <v>#N/A</v>
      </c>
      <c r="E1490" s="1" t="e">
        <f t="shared" si="37"/>
        <v>#N/A</v>
      </c>
      <c r="F1490" s="1">
        <v>284</v>
      </c>
    </row>
    <row r="1491" spans="2:6" x14ac:dyDescent="0.25">
      <c r="B1491" s="1" t="e">
        <f t="shared" si="34"/>
        <v>#N/A</v>
      </c>
      <c r="C1491" s="1" t="e">
        <f t="shared" si="35"/>
        <v>#N/A</v>
      </c>
      <c r="D1491" s="1" t="e">
        <f t="shared" si="36"/>
        <v>#N/A</v>
      </c>
      <c r="E1491" s="1" t="e">
        <f t="shared" si="37"/>
        <v>#N/A</v>
      </c>
      <c r="F1491" s="1">
        <v>285</v>
      </c>
    </row>
    <row r="1492" spans="2:6" x14ac:dyDescent="0.25">
      <c r="B1492" s="1" t="e">
        <f t="shared" si="34"/>
        <v>#N/A</v>
      </c>
      <c r="C1492" s="1" t="e">
        <f t="shared" si="35"/>
        <v>#N/A</v>
      </c>
      <c r="D1492" s="1" t="e">
        <f t="shared" si="36"/>
        <v>#N/A</v>
      </c>
      <c r="E1492" s="1" t="e">
        <f t="shared" si="37"/>
        <v>#N/A</v>
      </c>
      <c r="F1492" s="1">
        <v>286</v>
      </c>
    </row>
    <row r="1493" spans="2:6" x14ac:dyDescent="0.25">
      <c r="B1493" s="1" t="e">
        <f t="shared" si="34"/>
        <v>#N/A</v>
      </c>
      <c r="C1493" s="1" t="e">
        <f t="shared" si="35"/>
        <v>#N/A</v>
      </c>
      <c r="D1493" s="1" t="e">
        <f t="shared" si="36"/>
        <v>#N/A</v>
      </c>
      <c r="E1493" s="1" t="e">
        <f t="shared" si="37"/>
        <v>#N/A</v>
      </c>
      <c r="F1493" s="1">
        <v>287</v>
      </c>
    </row>
    <row r="1494" spans="2:6" x14ac:dyDescent="0.25">
      <c r="B1494" s="1" t="e">
        <f t="shared" si="34"/>
        <v>#N/A</v>
      </c>
      <c r="C1494" s="1" t="e">
        <f t="shared" si="35"/>
        <v>#N/A</v>
      </c>
      <c r="D1494" s="1" t="e">
        <f t="shared" si="36"/>
        <v>#N/A</v>
      </c>
      <c r="E1494" s="1" t="e">
        <f t="shared" si="37"/>
        <v>#N/A</v>
      </c>
      <c r="F1494" s="1">
        <v>288</v>
      </c>
    </row>
    <row r="1495" spans="2:6" x14ac:dyDescent="0.25">
      <c r="B1495" s="1" t="e">
        <f t="shared" si="34"/>
        <v>#N/A</v>
      </c>
      <c r="C1495" s="1" t="e">
        <f t="shared" si="35"/>
        <v>#N/A</v>
      </c>
      <c r="D1495" s="1" t="e">
        <f t="shared" si="36"/>
        <v>#N/A</v>
      </c>
      <c r="E1495" s="1" t="e">
        <f t="shared" si="37"/>
        <v>#N/A</v>
      </c>
      <c r="F1495" s="1">
        <v>289</v>
      </c>
    </row>
    <row r="1496" spans="2:6" x14ac:dyDescent="0.25">
      <c r="B1496" s="1" t="e">
        <f t="shared" si="34"/>
        <v>#N/A</v>
      </c>
      <c r="C1496" s="1" t="e">
        <f t="shared" si="35"/>
        <v>#N/A</v>
      </c>
      <c r="D1496" s="1" t="e">
        <f t="shared" si="36"/>
        <v>#N/A</v>
      </c>
      <c r="E1496" s="1" t="e">
        <f t="shared" si="37"/>
        <v>#N/A</v>
      </c>
      <c r="F1496" s="1">
        <v>290</v>
      </c>
    </row>
    <row r="1497" spans="2:6" x14ac:dyDescent="0.25">
      <c r="B1497" s="1" t="e">
        <f t="shared" si="34"/>
        <v>#N/A</v>
      </c>
      <c r="C1497" s="1" t="e">
        <f t="shared" si="35"/>
        <v>#N/A</v>
      </c>
      <c r="D1497" s="1" t="e">
        <f t="shared" si="36"/>
        <v>#N/A</v>
      </c>
      <c r="E1497" s="1" t="e">
        <f t="shared" si="37"/>
        <v>#N/A</v>
      </c>
      <c r="F1497" s="1">
        <v>291</v>
      </c>
    </row>
    <row r="1498" spans="2:6" x14ac:dyDescent="0.25">
      <c r="B1498" s="1" t="e">
        <f t="shared" si="34"/>
        <v>#N/A</v>
      </c>
      <c r="C1498" s="1" t="e">
        <f t="shared" si="35"/>
        <v>#N/A</v>
      </c>
      <c r="D1498" s="1" t="e">
        <f t="shared" si="36"/>
        <v>#N/A</v>
      </c>
      <c r="E1498" s="1" t="e">
        <f t="shared" si="37"/>
        <v>#N/A</v>
      </c>
      <c r="F1498" s="1">
        <v>292</v>
      </c>
    </row>
    <row r="1499" spans="2:6" x14ac:dyDescent="0.25">
      <c r="B1499" s="1" t="e">
        <f t="shared" si="34"/>
        <v>#N/A</v>
      </c>
      <c r="C1499" s="1" t="e">
        <f t="shared" si="35"/>
        <v>#N/A</v>
      </c>
      <c r="D1499" s="1" t="e">
        <f t="shared" si="36"/>
        <v>#N/A</v>
      </c>
      <c r="E1499" s="1" t="e">
        <f t="shared" si="37"/>
        <v>#N/A</v>
      </c>
      <c r="F1499" s="1">
        <v>293</v>
      </c>
    </row>
    <row r="1500" spans="2:6" x14ac:dyDescent="0.25">
      <c r="B1500" s="1" t="e">
        <f t="shared" si="34"/>
        <v>#N/A</v>
      </c>
      <c r="C1500" s="1" t="e">
        <f t="shared" si="35"/>
        <v>#N/A</v>
      </c>
      <c r="D1500" s="1" t="e">
        <f t="shared" si="36"/>
        <v>#N/A</v>
      </c>
      <c r="E1500" s="1" t="e">
        <f t="shared" si="37"/>
        <v>#N/A</v>
      </c>
      <c r="F1500" s="1">
        <v>294</v>
      </c>
    </row>
    <row r="1501" spans="2:6" x14ac:dyDescent="0.25">
      <c r="B1501" s="1" t="e">
        <f t="shared" si="34"/>
        <v>#N/A</v>
      </c>
      <c r="C1501" s="1" t="e">
        <f t="shared" si="35"/>
        <v>#N/A</v>
      </c>
      <c r="D1501" s="1" t="e">
        <f t="shared" si="36"/>
        <v>#N/A</v>
      </c>
      <c r="E1501" s="1" t="e">
        <f t="shared" si="37"/>
        <v>#N/A</v>
      </c>
      <c r="F1501" s="1">
        <v>295</v>
      </c>
    </row>
    <row r="1502" spans="2:6" x14ac:dyDescent="0.25">
      <c r="B1502" s="1" t="e">
        <f t="shared" si="34"/>
        <v>#N/A</v>
      </c>
      <c r="C1502" s="1" t="e">
        <f t="shared" si="35"/>
        <v>#N/A</v>
      </c>
      <c r="D1502" s="1" t="e">
        <f t="shared" si="36"/>
        <v>#N/A</v>
      </c>
      <c r="E1502" s="1" t="e">
        <f t="shared" si="37"/>
        <v>#N/A</v>
      </c>
      <c r="F1502" s="1">
        <v>296</v>
      </c>
    </row>
    <row r="1503" spans="2:6" x14ac:dyDescent="0.25">
      <c r="B1503" s="1" t="e">
        <f t="shared" si="34"/>
        <v>#N/A</v>
      </c>
      <c r="C1503" s="1" t="e">
        <f t="shared" si="35"/>
        <v>#N/A</v>
      </c>
      <c r="D1503" s="1" t="e">
        <f t="shared" si="36"/>
        <v>#N/A</v>
      </c>
      <c r="E1503" s="1" t="e">
        <f t="shared" si="37"/>
        <v>#N/A</v>
      </c>
      <c r="F1503" s="1">
        <v>297</v>
      </c>
    </row>
    <row r="1504" spans="2:6" x14ac:dyDescent="0.25">
      <c r="B1504" s="1" t="e">
        <f t="shared" si="34"/>
        <v>#N/A</v>
      </c>
      <c r="C1504" s="1" t="e">
        <f t="shared" si="35"/>
        <v>#N/A</v>
      </c>
      <c r="D1504" s="1" t="e">
        <f t="shared" si="36"/>
        <v>#N/A</v>
      </c>
      <c r="E1504" s="1" t="e">
        <f t="shared" si="37"/>
        <v>#N/A</v>
      </c>
      <c r="F1504" s="1">
        <v>298</v>
      </c>
    </row>
    <row r="1505" spans="2:6" x14ac:dyDescent="0.25">
      <c r="B1505" s="1" t="e">
        <f t="shared" si="34"/>
        <v>#N/A</v>
      </c>
      <c r="C1505" s="1" t="e">
        <f t="shared" si="35"/>
        <v>#N/A</v>
      </c>
      <c r="D1505" s="1" t="e">
        <f t="shared" si="36"/>
        <v>#N/A</v>
      </c>
      <c r="E1505" s="1" t="e">
        <f t="shared" si="37"/>
        <v>#N/A</v>
      </c>
      <c r="F1505" s="1">
        <v>299</v>
      </c>
    </row>
    <row r="1506" spans="2:6" x14ac:dyDescent="0.25">
      <c r="B1506" s="1" t="e">
        <f t="shared" si="34"/>
        <v>#N/A</v>
      </c>
      <c r="C1506" s="1" t="e">
        <f t="shared" si="35"/>
        <v>#N/A</v>
      </c>
      <c r="D1506" s="1" t="e">
        <f t="shared" si="36"/>
        <v>#N/A</v>
      </c>
      <c r="E1506" s="1" t="e">
        <f t="shared" si="37"/>
        <v>#N/A</v>
      </c>
      <c r="F1506" s="1">
        <v>300</v>
      </c>
    </row>
    <row r="1507" spans="2:6" x14ac:dyDescent="0.25">
      <c r="B1507" s="1" t="e">
        <f t="shared" si="34"/>
        <v>#N/A</v>
      </c>
      <c r="C1507" s="1" t="e">
        <f t="shared" si="35"/>
        <v>#N/A</v>
      </c>
      <c r="D1507" s="1" t="e">
        <f t="shared" si="36"/>
        <v>#N/A</v>
      </c>
      <c r="E1507" s="1" t="e">
        <f t="shared" si="37"/>
        <v>#N/A</v>
      </c>
      <c r="F1507" s="1">
        <v>301</v>
      </c>
    </row>
    <row r="1508" spans="2:6" x14ac:dyDescent="0.25">
      <c r="B1508" s="1" t="e">
        <f t="shared" si="34"/>
        <v>#N/A</v>
      </c>
      <c r="C1508" s="1" t="e">
        <f t="shared" si="35"/>
        <v>#N/A</v>
      </c>
      <c r="D1508" s="1" t="e">
        <f t="shared" si="36"/>
        <v>#N/A</v>
      </c>
      <c r="E1508" s="1" t="e">
        <f t="shared" si="37"/>
        <v>#N/A</v>
      </c>
      <c r="F1508" s="1">
        <v>302</v>
      </c>
    </row>
    <row r="1509" spans="2:6" x14ac:dyDescent="0.25">
      <c r="B1509" s="1" t="e">
        <f t="shared" si="34"/>
        <v>#N/A</v>
      </c>
      <c r="C1509" s="1" t="e">
        <f t="shared" si="35"/>
        <v>#N/A</v>
      </c>
      <c r="D1509" s="1" t="e">
        <f t="shared" si="36"/>
        <v>#N/A</v>
      </c>
      <c r="E1509" s="1" t="e">
        <f t="shared" si="37"/>
        <v>#N/A</v>
      </c>
      <c r="F1509" s="1">
        <v>303</v>
      </c>
    </row>
    <row r="1510" spans="2:6" x14ac:dyDescent="0.25">
      <c r="B1510" s="1" t="e">
        <f t="shared" si="34"/>
        <v>#N/A</v>
      </c>
      <c r="C1510" s="1" t="e">
        <f t="shared" si="35"/>
        <v>#N/A</v>
      </c>
      <c r="D1510" s="1" t="e">
        <f t="shared" si="36"/>
        <v>#N/A</v>
      </c>
      <c r="E1510" s="1" t="e">
        <f t="shared" si="37"/>
        <v>#N/A</v>
      </c>
      <c r="F1510" s="1">
        <v>304</v>
      </c>
    </row>
    <row r="1511" spans="2:6" x14ac:dyDescent="0.25">
      <c r="B1511" s="1" t="e">
        <f t="shared" si="34"/>
        <v>#N/A</v>
      </c>
      <c r="C1511" s="1" t="e">
        <f t="shared" si="35"/>
        <v>#N/A</v>
      </c>
      <c r="D1511" s="1" t="e">
        <f t="shared" si="36"/>
        <v>#N/A</v>
      </c>
      <c r="E1511" s="1" t="e">
        <f t="shared" si="37"/>
        <v>#N/A</v>
      </c>
      <c r="F1511" s="1">
        <v>305</v>
      </c>
    </row>
    <row r="1512" spans="2:6" x14ac:dyDescent="0.25">
      <c r="B1512" s="1" t="e">
        <f t="shared" si="34"/>
        <v>#N/A</v>
      </c>
      <c r="C1512" s="1" t="e">
        <f t="shared" si="35"/>
        <v>#N/A</v>
      </c>
      <c r="D1512" s="1" t="e">
        <f t="shared" si="36"/>
        <v>#N/A</v>
      </c>
      <c r="E1512" s="1" t="e">
        <f t="shared" si="37"/>
        <v>#N/A</v>
      </c>
      <c r="F1512" s="1">
        <v>306</v>
      </c>
    </row>
    <row r="1513" spans="2:6" x14ac:dyDescent="0.25">
      <c r="B1513" s="1" t="e">
        <f t="shared" si="34"/>
        <v>#N/A</v>
      </c>
      <c r="C1513" s="1" t="e">
        <f t="shared" si="35"/>
        <v>#N/A</v>
      </c>
      <c r="D1513" s="1" t="e">
        <f t="shared" si="36"/>
        <v>#N/A</v>
      </c>
      <c r="E1513" s="1" t="e">
        <f t="shared" si="37"/>
        <v>#N/A</v>
      </c>
      <c r="F1513" s="1">
        <v>307</v>
      </c>
    </row>
    <row r="1514" spans="2:6" x14ac:dyDescent="0.25">
      <c r="B1514" s="1" t="e">
        <f t="shared" si="34"/>
        <v>#N/A</v>
      </c>
      <c r="C1514" s="1" t="e">
        <f t="shared" si="35"/>
        <v>#N/A</v>
      </c>
      <c r="D1514" s="1" t="e">
        <f t="shared" si="36"/>
        <v>#N/A</v>
      </c>
      <c r="E1514" s="1" t="e">
        <f t="shared" si="37"/>
        <v>#N/A</v>
      </c>
      <c r="F1514" s="1">
        <v>308</v>
      </c>
    </row>
    <row r="1515" spans="2:6" x14ac:dyDescent="0.25">
      <c r="B1515" s="1" t="e">
        <f t="shared" si="34"/>
        <v>#N/A</v>
      </c>
      <c r="C1515" s="1" t="e">
        <f t="shared" si="35"/>
        <v>#N/A</v>
      </c>
      <c r="D1515" s="1" t="e">
        <f t="shared" si="36"/>
        <v>#N/A</v>
      </c>
      <c r="E1515" s="1" t="e">
        <f t="shared" si="37"/>
        <v>#N/A</v>
      </c>
      <c r="F1515" s="1">
        <v>309</v>
      </c>
    </row>
    <row r="1516" spans="2:6" x14ac:dyDescent="0.25">
      <c r="B1516" s="1" t="e">
        <f t="shared" si="34"/>
        <v>#N/A</v>
      </c>
      <c r="C1516" s="1" t="e">
        <f t="shared" si="35"/>
        <v>#N/A</v>
      </c>
      <c r="D1516" s="1" t="e">
        <f t="shared" si="36"/>
        <v>#N/A</v>
      </c>
      <c r="E1516" s="1" t="e">
        <f t="shared" si="37"/>
        <v>#N/A</v>
      </c>
      <c r="F1516" s="1">
        <v>310</v>
      </c>
    </row>
    <row r="1517" spans="2:6" x14ac:dyDescent="0.25">
      <c r="B1517" s="1" t="e">
        <f t="shared" si="34"/>
        <v>#N/A</v>
      </c>
      <c r="C1517" s="1" t="e">
        <f t="shared" si="35"/>
        <v>#N/A</v>
      </c>
      <c r="D1517" s="1" t="e">
        <f t="shared" si="36"/>
        <v>#N/A</v>
      </c>
      <c r="E1517" s="1" t="e">
        <f t="shared" si="37"/>
        <v>#N/A</v>
      </c>
      <c r="F1517" s="1">
        <v>311</v>
      </c>
    </row>
    <row r="1518" spans="2:6" x14ac:dyDescent="0.25">
      <c r="B1518" s="1" t="e">
        <f t="shared" si="34"/>
        <v>#N/A</v>
      </c>
      <c r="C1518" s="1" t="e">
        <f t="shared" si="35"/>
        <v>#N/A</v>
      </c>
      <c r="D1518" s="1" t="e">
        <f t="shared" si="36"/>
        <v>#N/A</v>
      </c>
      <c r="E1518" s="1" t="e">
        <f t="shared" si="37"/>
        <v>#N/A</v>
      </c>
      <c r="F1518" s="1">
        <v>312</v>
      </c>
    </row>
    <row r="1519" spans="2:6" x14ac:dyDescent="0.25">
      <c r="B1519" s="1" t="e">
        <f t="shared" si="34"/>
        <v>#N/A</v>
      </c>
      <c r="C1519" s="1" t="e">
        <f t="shared" si="35"/>
        <v>#N/A</v>
      </c>
      <c r="D1519" s="1" t="e">
        <f t="shared" si="36"/>
        <v>#N/A</v>
      </c>
      <c r="E1519" s="1" t="e">
        <f t="shared" si="37"/>
        <v>#N/A</v>
      </c>
      <c r="F1519" s="1">
        <v>313</v>
      </c>
    </row>
    <row r="1520" spans="2:6" x14ac:dyDescent="0.25">
      <c r="B1520" s="1" t="e">
        <f t="shared" si="34"/>
        <v>#N/A</v>
      </c>
      <c r="C1520" s="1" t="e">
        <f t="shared" si="35"/>
        <v>#N/A</v>
      </c>
      <c r="D1520" s="1" t="e">
        <f t="shared" si="36"/>
        <v>#N/A</v>
      </c>
      <c r="E1520" s="1" t="e">
        <f t="shared" si="37"/>
        <v>#N/A</v>
      </c>
      <c r="F1520" s="1">
        <v>314</v>
      </c>
    </row>
    <row r="1521" spans="2:6" x14ac:dyDescent="0.25">
      <c r="B1521" s="1" t="e">
        <f t="shared" si="34"/>
        <v>#N/A</v>
      </c>
      <c r="C1521" s="1" t="e">
        <f t="shared" si="35"/>
        <v>#N/A</v>
      </c>
      <c r="D1521" s="1" t="e">
        <f t="shared" si="36"/>
        <v>#N/A</v>
      </c>
      <c r="E1521" s="1" t="e">
        <f t="shared" si="37"/>
        <v>#N/A</v>
      </c>
      <c r="F1521" s="1">
        <v>315</v>
      </c>
    </row>
    <row r="1522" spans="2:6" x14ac:dyDescent="0.25">
      <c r="B1522" s="1" t="e">
        <f t="shared" si="34"/>
        <v>#N/A</v>
      </c>
      <c r="C1522" s="1" t="e">
        <f t="shared" si="35"/>
        <v>#N/A</v>
      </c>
      <c r="D1522" s="1" t="e">
        <f t="shared" si="36"/>
        <v>#N/A</v>
      </c>
      <c r="E1522" s="1" t="e">
        <f t="shared" si="37"/>
        <v>#N/A</v>
      </c>
      <c r="F1522" s="1">
        <v>316</v>
      </c>
    </row>
    <row r="1523" spans="2:6" x14ac:dyDescent="0.25">
      <c r="B1523" s="1" t="e">
        <f t="shared" si="34"/>
        <v>#N/A</v>
      </c>
      <c r="C1523" s="1" t="e">
        <f t="shared" si="35"/>
        <v>#N/A</v>
      </c>
      <c r="D1523" s="1" t="e">
        <f t="shared" si="36"/>
        <v>#N/A</v>
      </c>
      <c r="E1523" s="1" t="e">
        <f t="shared" si="37"/>
        <v>#N/A</v>
      </c>
      <c r="F1523" s="1">
        <v>317</v>
      </c>
    </row>
    <row r="1524" spans="2:6" x14ac:dyDescent="0.25">
      <c r="B1524" s="1" t="e">
        <f t="shared" si="34"/>
        <v>#N/A</v>
      </c>
      <c r="C1524" s="1" t="e">
        <f t="shared" si="35"/>
        <v>#N/A</v>
      </c>
      <c r="D1524" s="1" t="e">
        <f t="shared" si="36"/>
        <v>#N/A</v>
      </c>
      <c r="E1524" s="1" t="e">
        <f t="shared" si="37"/>
        <v>#N/A</v>
      </c>
      <c r="F1524" s="1">
        <v>318</v>
      </c>
    </row>
    <row r="1525" spans="2:6" x14ac:dyDescent="0.25">
      <c r="B1525" s="1" t="e">
        <f t="shared" si="34"/>
        <v>#N/A</v>
      </c>
      <c r="C1525" s="1" t="e">
        <f t="shared" si="35"/>
        <v>#N/A</v>
      </c>
      <c r="D1525" s="1" t="e">
        <f t="shared" si="36"/>
        <v>#N/A</v>
      </c>
      <c r="E1525" s="1" t="e">
        <f t="shared" si="37"/>
        <v>#N/A</v>
      </c>
      <c r="F1525" s="1">
        <v>319</v>
      </c>
    </row>
    <row r="1526" spans="2:6" x14ac:dyDescent="0.25">
      <c r="B1526" s="1" t="e">
        <f t="shared" si="34"/>
        <v>#N/A</v>
      </c>
      <c r="C1526" s="1" t="e">
        <f t="shared" si="35"/>
        <v>#N/A</v>
      </c>
      <c r="D1526" s="1" t="e">
        <f t="shared" si="36"/>
        <v>#N/A</v>
      </c>
      <c r="E1526" s="1" t="e">
        <f t="shared" si="37"/>
        <v>#N/A</v>
      </c>
      <c r="F1526" s="1">
        <v>320</v>
      </c>
    </row>
    <row r="1527" spans="2:6" x14ac:dyDescent="0.25">
      <c r="B1527" s="1" t="e">
        <f t="shared" ref="B1527:B1590" si="38">IF(INDEX(currentSMORPH,$F1527) = "ri",INDEX(currentTHW,$F1527),NA())</f>
        <v>#N/A</v>
      </c>
      <c r="C1527" s="1" t="e">
        <f t="shared" ref="C1527:C1590" si="39">IF(INDEX(currentSMORPH,$F1527) = "ru",INDEX(currentTHW,$F1527),NA())</f>
        <v>#N/A</v>
      </c>
      <c r="D1527" s="1" t="e">
        <f t="shared" ref="D1527:D1590" si="40">IF(INDEX(currentSMORPH,$F1527) = "po",INDEX(currentTHW,$F1527),NA())</f>
        <v>#N/A</v>
      </c>
      <c r="E1527" s="1" t="e">
        <f t="shared" ref="E1527:E1590" si="41">IF(INDEX(currentSMORPH,$F1527) = "gl",INDEX(currentTHW,$F1527),NA())</f>
        <v>#N/A</v>
      </c>
      <c r="F1527" s="1">
        <v>321</v>
      </c>
    </row>
    <row r="1528" spans="2:6" x14ac:dyDescent="0.25">
      <c r="B1528" s="1" t="e">
        <f t="shared" si="38"/>
        <v>#N/A</v>
      </c>
      <c r="C1528" s="1" t="e">
        <f t="shared" si="39"/>
        <v>#N/A</v>
      </c>
      <c r="D1528" s="1" t="e">
        <f t="shared" si="40"/>
        <v>#N/A</v>
      </c>
      <c r="E1528" s="1" t="e">
        <f t="shared" si="41"/>
        <v>#N/A</v>
      </c>
      <c r="F1528" s="1">
        <v>322</v>
      </c>
    </row>
    <row r="1529" spans="2:6" x14ac:dyDescent="0.25">
      <c r="B1529" s="1" t="e">
        <f t="shared" si="38"/>
        <v>#N/A</v>
      </c>
      <c r="C1529" s="1" t="e">
        <f t="shared" si="39"/>
        <v>#N/A</v>
      </c>
      <c r="D1529" s="1" t="e">
        <f t="shared" si="40"/>
        <v>#N/A</v>
      </c>
      <c r="E1529" s="1" t="e">
        <f t="shared" si="41"/>
        <v>#N/A</v>
      </c>
      <c r="F1529" s="1">
        <v>323</v>
      </c>
    </row>
    <row r="1530" spans="2:6" x14ac:dyDescent="0.25">
      <c r="B1530" s="1" t="e">
        <f t="shared" si="38"/>
        <v>#N/A</v>
      </c>
      <c r="C1530" s="1" t="e">
        <f t="shared" si="39"/>
        <v>#N/A</v>
      </c>
      <c r="D1530" s="1" t="e">
        <f t="shared" si="40"/>
        <v>#N/A</v>
      </c>
      <c r="E1530" s="1" t="e">
        <f t="shared" si="41"/>
        <v>#N/A</v>
      </c>
      <c r="F1530" s="1">
        <v>324</v>
      </c>
    </row>
    <row r="1531" spans="2:6" x14ac:dyDescent="0.25">
      <c r="B1531" s="1" t="e">
        <f t="shared" si="38"/>
        <v>#N/A</v>
      </c>
      <c r="C1531" s="1" t="e">
        <f t="shared" si="39"/>
        <v>#N/A</v>
      </c>
      <c r="D1531" s="1" t="e">
        <f t="shared" si="40"/>
        <v>#N/A</v>
      </c>
      <c r="E1531" s="1" t="e">
        <f t="shared" si="41"/>
        <v>#N/A</v>
      </c>
      <c r="F1531" s="1">
        <v>325</v>
      </c>
    </row>
    <row r="1532" spans="2:6" x14ac:dyDescent="0.25">
      <c r="B1532" s="1" t="e">
        <f t="shared" si="38"/>
        <v>#N/A</v>
      </c>
      <c r="C1532" s="1" t="e">
        <f t="shared" si="39"/>
        <v>#N/A</v>
      </c>
      <c r="D1532" s="1" t="e">
        <f t="shared" si="40"/>
        <v>#N/A</v>
      </c>
      <c r="E1532" s="1" t="e">
        <f t="shared" si="41"/>
        <v>#N/A</v>
      </c>
      <c r="F1532" s="1">
        <v>326</v>
      </c>
    </row>
    <row r="1533" spans="2:6" x14ac:dyDescent="0.25">
      <c r="B1533" s="1" t="e">
        <f t="shared" si="38"/>
        <v>#N/A</v>
      </c>
      <c r="C1533" s="1" t="e">
        <f t="shared" si="39"/>
        <v>#N/A</v>
      </c>
      <c r="D1533" s="1" t="e">
        <f t="shared" si="40"/>
        <v>#N/A</v>
      </c>
      <c r="E1533" s="1" t="e">
        <f t="shared" si="41"/>
        <v>#N/A</v>
      </c>
      <c r="F1533" s="1">
        <v>327</v>
      </c>
    </row>
    <row r="1534" spans="2:6" x14ac:dyDescent="0.25">
      <c r="B1534" s="1" t="e">
        <f t="shared" si="38"/>
        <v>#N/A</v>
      </c>
      <c r="C1534" s="1" t="e">
        <f t="shared" si="39"/>
        <v>#N/A</v>
      </c>
      <c r="D1534" s="1" t="e">
        <f t="shared" si="40"/>
        <v>#N/A</v>
      </c>
      <c r="E1534" s="1" t="e">
        <f t="shared" si="41"/>
        <v>#N/A</v>
      </c>
      <c r="F1534" s="1">
        <v>328</v>
      </c>
    </row>
    <row r="1535" spans="2:6" x14ac:dyDescent="0.25">
      <c r="B1535" s="1" t="e">
        <f t="shared" si="38"/>
        <v>#N/A</v>
      </c>
      <c r="C1535" s="1" t="e">
        <f t="shared" si="39"/>
        <v>#N/A</v>
      </c>
      <c r="D1535" s="1" t="e">
        <f t="shared" si="40"/>
        <v>#N/A</v>
      </c>
      <c r="E1535" s="1" t="e">
        <f t="shared" si="41"/>
        <v>#N/A</v>
      </c>
      <c r="F1535" s="1">
        <v>329</v>
      </c>
    </row>
    <row r="1536" spans="2:6" x14ac:dyDescent="0.25">
      <c r="B1536" s="1" t="e">
        <f t="shared" si="38"/>
        <v>#N/A</v>
      </c>
      <c r="C1536" s="1" t="e">
        <f t="shared" si="39"/>
        <v>#N/A</v>
      </c>
      <c r="D1536" s="1" t="e">
        <f t="shared" si="40"/>
        <v>#N/A</v>
      </c>
      <c r="E1536" s="1" t="e">
        <f t="shared" si="41"/>
        <v>#N/A</v>
      </c>
      <c r="F1536" s="1">
        <v>330</v>
      </c>
    </row>
    <row r="1537" spans="2:6" x14ac:dyDescent="0.25">
      <c r="B1537" s="1" t="e">
        <f t="shared" si="38"/>
        <v>#N/A</v>
      </c>
      <c r="C1537" s="1" t="e">
        <f t="shared" si="39"/>
        <v>#N/A</v>
      </c>
      <c r="D1537" s="1" t="e">
        <f t="shared" si="40"/>
        <v>#N/A</v>
      </c>
      <c r="E1537" s="1" t="e">
        <f t="shared" si="41"/>
        <v>#N/A</v>
      </c>
      <c r="F1537" s="1">
        <v>331</v>
      </c>
    </row>
    <row r="1538" spans="2:6" x14ac:dyDescent="0.25">
      <c r="B1538" s="1" t="e">
        <f t="shared" si="38"/>
        <v>#N/A</v>
      </c>
      <c r="C1538" s="1" t="e">
        <f t="shared" si="39"/>
        <v>#N/A</v>
      </c>
      <c r="D1538" s="1" t="e">
        <f t="shared" si="40"/>
        <v>#N/A</v>
      </c>
      <c r="E1538" s="1" t="e">
        <f t="shared" si="41"/>
        <v>#N/A</v>
      </c>
      <c r="F1538" s="1">
        <v>332</v>
      </c>
    </row>
    <row r="1539" spans="2:6" x14ac:dyDescent="0.25">
      <c r="B1539" s="1" t="e">
        <f t="shared" si="38"/>
        <v>#N/A</v>
      </c>
      <c r="C1539" s="1" t="e">
        <f t="shared" si="39"/>
        <v>#N/A</v>
      </c>
      <c r="D1539" s="1" t="e">
        <f t="shared" si="40"/>
        <v>#N/A</v>
      </c>
      <c r="E1539" s="1" t="e">
        <f t="shared" si="41"/>
        <v>#N/A</v>
      </c>
      <c r="F1539" s="1">
        <v>333</v>
      </c>
    </row>
    <row r="1540" spans="2:6" x14ac:dyDescent="0.25">
      <c r="B1540" s="1" t="e">
        <f t="shared" si="38"/>
        <v>#N/A</v>
      </c>
      <c r="C1540" s="1" t="e">
        <f t="shared" si="39"/>
        <v>#N/A</v>
      </c>
      <c r="D1540" s="1" t="e">
        <f t="shared" si="40"/>
        <v>#N/A</v>
      </c>
      <c r="E1540" s="1" t="e">
        <f t="shared" si="41"/>
        <v>#N/A</v>
      </c>
      <c r="F1540" s="1">
        <v>334</v>
      </c>
    </row>
    <row r="1541" spans="2:6" x14ac:dyDescent="0.25">
      <c r="B1541" s="1" t="e">
        <f t="shared" si="38"/>
        <v>#N/A</v>
      </c>
      <c r="C1541" s="1" t="e">
        <f t="shared" si="39"/>
        <v>#N/A</v>
      </c>
      <c r="D1541" s="1" t="e">
        <f t="shared" si="40"/>
        <v>#N/A</v>
      </c>
      <c r="E1541" s="1" t="e">
        <f t="shared" si="41"/>
        <v>#N/A</v>
      </c>
      <c r="F1541" s="1">
        <v>335</v>
      </c>
    </row>
    <row r="1542" spans="2:6" x14ac:dyDescent="0.25">
      <c r="B1542" s="1" t="e">
        <f t="shared" si="38"/>
        <v>#N/A</v>
      </c>
      <c r="C1542" s="1" t="e">
        <f t="shared" si="39"/>
        <v>#N/A</v>
      </c>
      <c r="D1542" s="1" t="e">
        <f t="shared" si="40"/>
        <v>#N/A</v>
      </c>
      <c r="E1542" s="1" t="e">
        <f t="shared" si="41"/>
        <v>#N/A</v>
      </c>
      <c r="F1542" s="1">
        <v>336</v>
      </c>
    </row>
    <row r="1543" spans="2:6" x14ac:dyDescent="0.25">
      <c r="B1543" s="1" t="e">
        <f t="shared" si="38"/>
        <v>#N/A</v>
      </c>
      <c r="C1543" s="1" t="e">
        <f t="shared" si="39"/>
        <v>#N/A</v>
      </c>
      <c r="D1543" s="1" t="e">
        <f t="shared" si="40"/>
        <v>#N/A</v>
      </c>
      <c r="E1543" s="1" t="e">
        <f t="shared" si="41"/>
        <v>#N/A</v>
      </c>
      <c r="F1543" s="1">
        <v>337</v>
      </c>
    </row>
    <row r="1544" spans="2:6" x14ac:dyDescent="0.25">
      <c r="B1544" s="1" t="e">
        <f t="shared" si="38"/>
        <v>#N/A</v>
      </c>
      <c r="C1544" s="1" t="e">
        <f t="shared" si="39"/>
        <v>#N/A</v>
      </c>
      <c r="D1544" s="1" t="e">
        <f t="shared" si="40"/>
        <v>#N/A</v>
      </c>
      <c r="E1544" s="1" t="e">
        <f t="shared" si="41"/>
        <v>#N/A</v>
      </c>
      <c r="F1544" s="1">
        <v>338</v>
      </c>
    </row>
    <row r="1545" spans="2:6" x14ac:dyDescent="0.25">
      <c r="B1545" s="1" t="e">
        <f t="shared" si="38"/>
        <v>#N/A</v>
      </c>
      <c r="C1545" s="1" t="e">
        <f t="shared" si="39"/>
        <v>#N/A</v>
      </c>
      <c r="D1545" s="1" t="e">
        <f t="shared" si="40"/>
        <v>#N/A</v>
      </c>
      <c r="E1545" s="1" t="e">
        <f t="shared" si="41"/>
        <v>#N/A</v>
      </c>
      <c r="F1545" s="1">
        <v>339</v>
      </c>
    </row>
    <row r="1546" spans="2:6" x14ac:dyDescent="0.25">
      <c r="B1546" s="1" t="e">
        <f t="shared" si="38"/>
        <v>#N/A</v>
      </c>
      <c r="C1546" s="1" t="e">
        <f t="shared" si="39"/>
        <v>#N/A</v>
      </c>
      <c r="D1546" s="1" t="e">
        <f t="shared" si="40"/>
        <v>#N/A</v>
      </c>
      <c r="E1546" s="1" t="e">
        <f t="shared" si="41"/>
        <v>#N/A</v>
      </c>
      <c r="F1546" s="1">
        <v>340</v>
      </c>
    </row>
    <row r="1547" spans="2:6" x14ac:dyDescent="0.25">
      <c r="B1547" s="1" t="e">
        <f t="shared" si="38"/>
        <v>#N/A</v>
      </c>
      <c r="C1547" s="1" t="e">
        <f t="shared" si="39"/>
        <v>#N/A</v>
      </c>
      <c r="D1547" s="1" t="e">
        <f t="shared" si="40"/>
        <v>#N/A</v>
      </c>
      <c r="E1547" s="1" t="e">
        <f t="shared" si="41"/>
        <v>#N/A</v>
      </c>
      <c r="F1547" s="1">
        <v>341</v>
      </c>
    </row>
    <row r="1548" spans="2:6" x14ac:dyDescent="0.25">
      <c r="B1548" s="1" t="e">
        <f t="shared" si="38"/>
        <v>#N/A</v>
      </c>
      <c r="C1548" s="1" t="e">
        <f t="shared" si="39"/>
        <v>#N/A</v>
      </c>
      <c r="D1548" s="1" t="e">
        <f t="shared" si="40"/>
        <v>#N/A</v>
      </c>
      <c r="E1548" s="1" t="e">
        <f t="shared" si="41"/>
        <v>#N/A</v>
      </c>
      <c r="F1548" s="1">
        <v>342</v>
      </c>
    </row>
    <row r="1549" spans="2:6" x14ac:dyDescent="0.25">
      <c r="B1549" s="1" t="e">
        <f t="shared" si="38"/>
        <v>#N/A</v>
      </c>
      <c r="C1549" s="1" t="e">
        <f t="shared" si="39"/>
        <v>#N/A</v>
      </c>
      <c r="D1549" s="1" t="e">
        <f t="shared" si="40"/>
        <v>#N/A</v>
      </c>
      <c r="E1549" s="1" t="e">
        <f t="shared" si="41"/>
        <v>#N/A</v>
      </c>
      <c r="F1549" s="1">
        <v>343</v>
      </c>
    </row>
    <row r="1550" spans="2:6" x14ac:dyDescent="0.25">
      <c r="B1550" s="1" t="e">
        <f t="shared" si="38"/>
        <v>#N/A</v>
      </c>
      <c r="C1550" s="1" t="e">
        <f t="shared" si="39"/>
        <v>#N/A</v>
      </c>
      <c r="D1550" s="1" t="e">
        <f t="shared" si="40"/>
        <v>#N/A</v>
      </c>
      <c r="E1550" s="1" t="e">
        <f t="shared" si="41"/>
        <v>#N/A</v>
      </c>
      <c r="F1550" s="1">
        <v>344</v>
      </c>
    </row>
    <row r="1551" spans="2:6" x14ac:dyDescent="0.25">
      <c r="B1551" s="1" t="e">
        <f t="shared" si="38"/>
        <v>#N/A</v>
      </c>
      <c r="C1551" s="1" t="e">
        <f t="shared" si="39"/>
        <v>#N/A</v>
      </c>
      <c r="D1551" s="1" t="e">
        <f t="shared" si="40"/>
        <v>#N/A</v>
      </c>
      <c r="E1551" s="1" t="e">
        <f t="shared" si="41"/>
        <v>#N/A</v>
      </c>
      <c r="F1551" s="1">
        <v>345</v>
      </c>
    </row>
    <row r="1552" spans="2:6" x14ac:dyDescent="0.25">
      <c r="B1552" s="1" t="e">
        <f t="shared" si="38"/>
        <v>#N/A</v>
      </c>
      <c r="C1552" s="1" t="e">
        <f t="shared" si="39"/>
        <v>#N/A</v>
      </c>
      <c r="D1552" s="1" t="e">
        <f t="shared" si="40"/>
        <v>#N/A</v>
      </c>
      <c r="E1552" s="1" t="e">
        <f t="shared" si="41"/>
        <v>#N/A</v>
      </c>
      <c r="F1552" s="1">
        <v>346</v>
      </c>
    </row>
    <row r="1553" spans="2:6" x14ac:dyDescent="0.25">
      <c r="B1553" s="1" t="e">
        <f t="shared" si="38"/>
        <v>#N/A</v>
      </c>
      <c r="C1553" s="1" t="e">
        <f t="shared" si="39"/>
        <v>#N/A</v>
      </c>
      <c r="D1553" s="1" t="e">
        <f t="shared" si="40"/>
        <v>#N/A</v>
      </c>
      <c r="E1553" s="1" t="e">
        <f t="shared" si="41"/>
        <v>#N/A</v>
      </c>
      <c r="F1553" s="1">
        <v>347</v>
      </c>
    </row>
    <row r="1554" spans="2:6" x14ac:dyDescent="0.25">
      <c r="B1554" s="1" t="e">
        <f t="shared" si="38"/>
        <v>#N/A</v>
      </c>
      <c r="C1554" s="1" t="e">
        <f t="shared" si="39"/>
        <v>#N/A</v>
      </c>
      <c r="D1554" s="1" t="e">
        <f t="shared" si="40"/>
        <v>#N/A</v>
      </c>
      <c r="E1554" s="1" t="e">
        <f t="shared" si="41"/>
        <v>#N/A</v>
      </c>
      <c r="F1554" s="1">
        <v>348</v>
      </c>
    </row>
    <row r="1555" spans="2:6" x14ac:dyDescent="0.25">
      <c r="B1555" s="1" t="e">
        <f t="shared" si="38"/>
        <v>#N/A</v>
      </c>
      <c r="C1555" s="1" t="e">
        <f t="shared" si="39"/>
        <v>#N/A</v>
      </c>
      <c r="D1555" s="1" t="e">
        <f t="shared" si="40"/>
        <v>#N/A</v>
      </c>
      <c r="E1555" s="1" t="e">
        <f t="shared" si="41"/>
        <v>#N/A</v>
      </c>
      <c r="F1555" s="1">
        <v>349</v>
      </c>
    </row>
    <row r="1556" spans="2:6" x14ac:dyDescent="0.25">
      <c r="B1556" s="1" t="e">
        <f t="shared" si="38"/>
        <v>#N/A</v>
      </c>
      <c r="C1556" s="1" t="e">
        <f t="shared" si="39"/>
        <v>#N/A</v>
      </c>
      <c r="D1556" s="1" t="e">
        <f t="shared" si="40"/>
        <v>#N/A</v>
      </c>
      <c r="E1556" s="1" t="e">
        <f t="shared" si="41"/>
        <v>#N/A</v>
      </c>
      <c r="F1556" s="1">
        <v>350</v>
      </c>
    </row>
    <row r="1557" spans="2:6" x14ac:dyDescent="0.25">
      <c r="B1557" s="1" t="e">
        <f t="shared" si="38"/>
        <v>#N/A</v>
      </c>
      <c r="C1557" s="1" t="e">
        <f t="shared" si="39"/>
        <v>#N/A</v>
      </c>
      <c r="D1557" s="1" t="e">
        <f t="shared" si="40"/>
        <v>#N/A</v>
      </c>
      <c r="E1557" s="1" t="e">
        <f t="shared" si="41"/>
        <v>#N/A</v>
      </c>
      <c r="F1557" s="1">
        <v>351</v>
      </c>
    </row>
    <row r="1558" spans="2:6" x14ac:dyDescent="0.25">
      <c r="B1558" s="1" t="e">
        <f t="shared" si="38"/>
        <v>#N/A</v>
      </c>
      <c r="C1558" s="1" t="e">
        <f t="shared" si="39"/>
        <v>#N/A</v>
      </c>
      <c r="D1558" s="1" t="e">
        <f t="shared" si="40"/>
        <v>#N/A</v>
      </c>
      <c r="E1558" s="1" t="e">
        <f t="shared" si="41"/>
        <v>#N/A</v>
      </c>
      <c r="F1558" s="1">
        <v>352</v>
      </c>
    </row>
    <row r="1559" spans="2:6" x14ac:dyDescent="0.25">
      <c r="B1559" s="1" t="e">
        <f t="shared" si="38"/>
        <v>#N/A</v>
      </c>
      <c r="C1559" s="1" t="e">
        <f t="shared" si="39"/>
        <v>#N/A</v>
      </c>
      <c r="D1559" s="1" t="e">
        <f t="shared" si="40"/>
        <v>#N/A</v>
      </c>
      <c r="E1559" s="1" t="e">
        <f t="shared" si="41"/>
        <v>#N/A</v>
      </c>
      <c r="F1559" s="1">
        <v>353</v>
      </c>
    </row>
    <row r="1560" spans="2:6" x14ac:dyDescent="0.25">
      <c r="B1560" s="1" t="e">
        <f t="shared" si="38"/>
        <v>#N/A</v>
      </c>
      <c r="C1560" s="1" t="e">
        <f t="shared" si="39"/>
        <v>#N/A</v>
      </c>
      <c r="D1560" s="1" t="e">
        <f t="shared" si="40"/>
        <v>#N/A</v>
      </c>
      <c r="E1560" s="1" t="e">
        <f t="shared" si="41"/>
        <v>#N/A</v>
      </c>
      <c r="F1560" s="1">
        <v>354</v>
      </c>
    </row>
    <row r="1561" spans="2:6" x14ac:dyDescent="0.25">
      <c r="B1561" s="1" t="e">
        <f t="shared" si="38"/>
        <v>#N/A</v>
      </c>
      <c r="C1561" s="1" t="e">
        <f t="shared" si="39"/>
        <v>#N/A</v>
      </c>
      <c r="D1561" s="1" t="e">
        <f t="shared" si="40"/>
        <v>#N/A</v>
      </c>
      <c r="E1561" s="1" t="e">
        <f t="shared" si="41"/>
        <v>#N/A</v>
      </c>
      <c r="F1561" s="1">
        <v>355</v>
      </c>
    </row>
    <row r="1562" spans="2:6" x14ac:dyDescent="0.25">
      <c r="B1562" s="1" t="e">
        <f t="shared" si="38"/>
        <v>#N/A</v>
      </c>
      <c r="C1562" s="1" t="e">
        <f t="shared" si="39"/>
        <v>#N/A</v>
      </c>
      <c r="D1562" s="1" t="e">
        <f t="shared" si="40"/>
        <v>#N/A</v>
      </c>
      <c r="E1562" s="1" t="e">
        <f t="shared" si="41"/>
        <v>#N/A</v>
      </c>
      <c r="F1562" s="1">
        <v>356</v>
      </c>
    </row>
    <row r="1563" spans="2:6" x14ac:dyDescent="0.25">
      <c r="B1563" s="1" t="e">
        <f t="shared" si="38"/>
        <v>#N/A</v>
      </c>
      <c r="C1563" s="1" t="e">
        <f t="shared" si="39"/>
        <v>#N/A</v>
      </c>
      <c r="D1563" s="1" t="e">
        <f t="shared" si="40"/>
        <v>#N/A</v>
      </c>
      <c r="E1563" s="1" t="e">
        <f t="shared" si="41"/>
        <v>#N/A</v>
      </c>
      <c r="F1563" s="1">
        <v>357</v>
      </c>
    </row>
    <row r="1564" spans="2:6" x14ac:dyDescent="0.25">
      <c r="B1564" s="1" t="e">
        <f t="shared" si="38"/>
        <v>#N/A</v>
      </c>
      <c r="C1564" s="1" t="e">
        <f t="shared" si="39"/>
        <v>#N/A</v>
      </c>
      <c r="D1564" s="1" t="e">
        <f t="shared" si="40"/>
        <v>#N/A</v>
      </c>
      <c r="E1564" s="1" t="e">
        <f t="shared" si="41"/>
        <v>#N/A</v>
      </c>
      <c r="F1564" s="1">
        <v>358</v>
      </c>
    </row>
    <row r="1565" spans="2:6" x14ac:dyDescent="0.25">
      <c r="B1565" s="1" t="e">
        <f t="shared" si="38"/>
        <v>#N/A</v>
      </c>
      <c r="C1565" s="1" t="e">
        <f t="shared" si="39"/>
        <v>#N/A</v>
      </c>
      <c r="D1565" s="1" t="e">
        <f t="shared" si="40"/>
        <v>#N/A</v>
      </c>
      <c r="E1565" s="1" t="e">
        <f t="shared" si="41"/>
        <v>#N/A</v>
      </c>
      <c r="F1565" s="1">
        <v>359</v>
      </c>
    </row>
    <row r="1566" spans="2:6" x14ac:dyDescent="0.25">
      <c r="B1566" s="1" t="e">
        <f t="shared" si="38"/>
        <v>#N/A</v>
      </c>
      <c r="C1566" s="1" t="e">
        <f t="shared" si="39"/>
        <v>#N/A</v>
      </c>
      <c r="D1566" s="1" t="e">
        <f t="shared" si="40"/>
        <v>#N/A</v>
      </c>
      <c r="E1566" s="1" t="e">
        <f t="shared" si="41"/>
        <v>#N/A</v>
      </c>
      <c r="F1566" s="1">
        <v>360</v>
      </c>
    </row>
    <row r="1567" spans="2:6" x14ac:dyDescent="0.25">
      <c r="B1567" s="1" t="e">
        <f t="shared" si="38"/>
        <v>#N/A</v>
      </c>
      <c r="C1567" s="1" t="e">
        <f t="shared" si="39"/>
        <v>#N/A</v>
      </c>
      <c r="D1567" s="1" t="e">
        <f t="shared" si="40"/>
        <v>#N/A</v>
      </c>
      <c r="E1567" s="1" t="e">
        <f t="shared" si="41"/>
        <v>#N/A</v>
      </c>
      <c r="F1567" s="1">
        <v>361</v>
      </c>
    </row>
    <row r="1568" spans="2:6" x14ac:dyDescent="0.25">
      <c r="B1568" s="1" t="e">
        <f t="shared" si="38"/>
        <v>#N/A</v>
      </c>
      <c r="C1568" s="1" t="e">
        <f t="shared" si="39"/>
        <v>#N/A</v>
      </c>
      <c r="D1568" s="1" t="e">
        <f t="shared" si="40"/>
        <v>#N/A</v>
      </c>
      <c r="E1568" s="1" t="e">
        <f t="shared" si="41"/>
        <v>#N/A</v>
      </c>
      <c r="F1568" s="1">
        <v>362</v>
      </c>
    </row>
    <row r="1569" spans="2:6" x14ac:dyDescent="0.25">
      <c r="B1569" s="1" t="e">
        <f t="shared" si="38"/>
        <v>#N/A</v>
      </c>
      <c r="C1569" s="1" t="e">
        <f t="shared" si="39"/>
        <v>#N/A</v>
      </c>
      <c r="D1569" s="1" t="e">
        <f t="shared" si="40"/>
        <v>#N/A</v>
      </c>
      <c r="E1569" s="1" t="e">
        <f t="shared" si="41"/>
        <v>#N/A</v>
      </c>
      <c r="F1569" s="1">
        <v>363</v>
      </c>
    </row>
    <row r="1570" spans="2:6" x14ac:dyDescent="0.25">
      <c r="B1570" s="1" t="e">
        <f t="shared" si="38"/>
        <v>#N/A</v>
      </c>
      <c r="C1570" s="1" t="e">
        <f t="shared" si="39"/>
        <v>#N/A</v>
      </c>
      <c r="D1570" s="1" t="e">
        <f t="shared" si="40"/>
        <v>#N/A</v>
      </c>
      <c r="E1570" s="1" t="e">
        <f t="shared" si="41"/>
        <v>#N/A</v>
      </c>
      <c r="F1570" s="1">
        <v>364</v>
      </c>
    </row>
    <row r="1571" spans="2:6" x14ac:dyDescent="0.25">
      <c r="B1571" s="1" t="e">
        <f t="shared" si="38"/>
        <v>#N/A</v>
      </c>
      <c r="C1571" s="1" t="e">
        <f t="shared" si="39"/>
        <v>#N/A</v>
      </c>
      <c r="D1571" s="1" t="e">
        <f t="shared" si="40"/>
        <v>#N/A</v>
      </c>
      <c r="E1571" s="1" t="e">
        <f t="shared" si="41"/>
        <v>#N/A</v>
      </c>
      <c r="F1571" s="1">
        <v>365</v>
      </c>
    </row>
    <row r="1572" spans="2:6" x14ac:dyDescent="0.25">
      <c r="B1572" s="1" t="e">
        <f t="shared" si="38"/>
        <v>#N/A</v>
      </c>
      <c r="C1572" s="1" t="e">
        <f t="shared" si="39"/>
        <v>#N/A</v>
      </c>
      <c r="D1572" s="1" t="e">
        <f t="shared" si="40"/>
        <v>#N/A</v>
      </c>
      <c r="E1572" s="1" t="e">
        <f t="shared" si="41"/>
        <v>#N/A</v>
      </c>
      <c r="F1572" s="1">
        <v>366</v>
      </c>
    </row>
    <row r="1573" spans="2:6" x14ac:dyDescent="0.25">
      <c r="B1573" s="1" t="e">
        <f t="shared" si="38"/>
        <v>#N/A</v>
      </c>
      <c r="C1573" s="1" t="e">
        <f t="shared" si="39"/>
        <v>#N/A</v>
      </c>
      <c r="D1573" s="1" t="e">
        <f t="shared" si="40"/>
        <v>#N/A</v>
      </c>
      <c r="E1573" s="1" t="e">
        <f t="shared" si="41"/>
        <v>#N/A</v>
      </c>
      <c r="F1573" s="1">
        <v>367</v>
      </c>
    </row>
    <row r="1574" spans="2:6" x14ac:dyDescent="0.25">
      <c r="B1574" s="1" t="e">
        <f t="shared" si="38"/>
        <v>#N/A</v>
      </c>
      <c r="C1574" s="1" t="e">
        <f t="shared" si="39"/>
        <v>#N/A</v>
      </c>
      <c r="D1574" s="1" t="e">
        <f t="shared" si="40"/>
        <v>#N/A</v>
      </c>
      <c r="E1574" s="1" t="e">
        <f t="shared" si="41"/>
        <v>#N/A</v>
      </c>
      <c r="F1574" s="1">
        <v>368</v>
      </c>
    </row>
    <row r="1575" spans="2:6" x14ac:dyDescent="0.25">
      <c r="B1575" s="1" t="e">
        <f t="shared" si="38"/>
        <v>#N/A</v>
      </c>
      <c r="C1575" s="1" t="e">
        <f t="shared" si="39"/>
        <v>#N/A</v>
      </c>
      <c r="D1575" s="1" t="e">
        <f t="shared" si="40"/>
        <v>#N/A</v>
      </c>
      <c r="E1575" s="1" t="e">
        <f t="shared" si="41"/>
        <v>#N/A</v>
      </c>
      <c r="F1575" s="1">
        <v>369</v>
      </c>
    </row>
    <row r="1576" spans="2:6" x14ac:dyDescent="0.25">
      <c r="B1576" s="1" t="e">
        <f t="shared" si="38"/>
        <v>#N/A</v>
      </c>
      <c r="C1576" s="1" t="e">
        <f t="shared" si="39"/>
        <v>#N/A</v>
      </c>
      <c r="D1576" s="1" t="e">
        <f t="shared" si="40"/>
        <v>#N/A</v>
      </c>
      <c r="E1576" s="1" t="e">
        <f t="shared" si="41"/>
        <v>#N/A</v>
      </c>
      <c r="F1576" s="1">
        <v>370</v>
      </c>
    </row>
    <row r="1577" spans="2:6" x14ac:dyDescent="0.25">
      <c r="B1577" s="1" t="e">
        <f t="shared" si="38"/>
        <v>#N/A</v>
      </c>
      <c r="C1577" s="1" t="e">
        <f t="shared" si="39"/>
        <v>#N/A</v>
      </c>
      <c r="D1577" s="1" t="e">
        <f t="shared" si="40"/>
        <v>#N/A</v>
      </c>
      <c r="E1577" s="1" t="e">
        <f t="shared" si="41"/>
        <v>#N/A</v>
      </c>
      <c r="F1577" s="1">
        <v>371</v>
      </c>
    </row>
    <row r="1578" spans="2:6" x14ac:dyDescent="0.25">
      <c r="B1578" s="1" t="e">
        <f t="shared" si="38"/>
        <v>#N/A</v>
      </c>
      <c r="C1578" s="1" t="e">
        <f t="shared" si="39"/>
        <v>#N/A</v>
      </c>
      <c r="D1578" s="1" t="e">
        <f t="shared" si="40"/>
        <v>#N/A</v>
      </c>
      <c r="E1578" s="1" t="e">
        <f t="shared" si="41"/>
        <v>#N/A</v>
      </c>
      <c r="F1578" s="1">
        <v>372</v>
      </c>
    </row>
    <row r="1579" spans="2:6" x14ac:dyDescent="0.25">
      <c r="B1579" s="1" t="e">
        <f t="shared" si="38"/>
        <v>#N/A</v>
      </c>
      <c r="C1579" s="1" t="e">
        <f t="shared" si="39"/>
        <v>#N/A</v>
      </c>
      <c r="D1579" s="1" t="e">
        <f t="shared" si="40"/>
        <v>#N/A</v>
      </c>
      <c r="E1579" s="1" t="e">
        <f t="shared" si="41"/>
        <v>#N/A</v>
      </c>
      <c r="F1579" s="1">
        <v>373</v>
      </c>
    </row>
    <row r="1580" spans="2:6" x14ac:dyDescent="0.25">
      <c r="B1580" s="1" t="e">
        <f t="shared" si="38"/>
        <v>#N/A</v>
      </c>
      <c r="C1580" s="1" t="e">
        <f t="shared" si="39"/>
        <v>#N/A</v>
      </c>
      <c r="D1580" s="1" t="e">
        <f t="shared" si="40"/>
        <v>#N/A</v>
      </c>
      <c r="E1580" s="1" t="e">
        <f t="shared" si="41"/>
        <v>#N/A</v>
      </c>
      <c r="F1580" s="1">
        <v>374</v>
      </c>
    </row>
    <row r="1581" spans="2:6" x14ac:dyDescent="0.25">
      <c r="B1581" s="1" t="e">
        <f t="shared" si="38"/>
        <v>#N/A</v>
      </c>
      <c r="C1581" s="1" t="e">
        <f t="shared" si="39"/>
        <v>#N/A</v>
      </c>
      <c r="D1581" s="1" t="e">
        <f t="shared" si="40"/>
        <v>#N/A</v>
      </c>
      <c r="E1581" s="1" t="e">
        <f t="shared" si="41"/>
        <v>#N/A</v>
      </c>
      <c r="F1581" s="1">
        <v>375</v>
      </c>
    </row>
    <row r="1582" spans="2:6" x14ac:dyDescent="0.25">
      <c r="B1582" s="1" t="e">
        <f t="shared" si="38"/>
        <v>#N/A</v>
      </c>
      <c r="C1582" s="1" t="e">
        <f t="shared" si="39"/>
        <v>#N/A</v>
      </c>
      <c r="D1582" s="1" t="e">
        <f t="shared" si="40"/>
        <v>#N/A</v>
      </c>
      <c r="E1582" s="1" t="e">
        <f t="shared" si="41"/>
        <v>#N/A</v>
      </c>
      <c r="F1582" s="1">
        <v>376</v>
      </c>
    </row>
    <row r="1583" spans="2:6" x14ac:dyDescent="0.25">
      <c r="B1583" s="1" t="e">
        <f t="shared" si="38"/>
        <v>#N/A</v>
      </c>
      <c r="C1583" s="1" t="e">
        <f t="shared" si="39"/>
        <v>#N/A</v>
      </c>
      <c r="D1583" s="1" t="e">
        <f t="shared" si="40"/>
        <v>#N/A</v>
      </c>
      <c r="E1583" s="1" t="e">
        <f t="shared" si="41"/>
        <v>#N/A</v>
      </c>
      <c r="F1583" s="1">
        <v>377</v>
      </c>
    </row>
    <row r="1584" spans="2:6" x14ac:dyDescent="0.25">
      <c r="B1584" s="1" t="e">
        <f t="shared" si="38"/>
        <v>#N/A</v>
      </c>
      <c r="C1584" s="1" t="e">
        <f t="shared" si="39"/>
        <v>#N/A</v>
      </c>
      <c r="D1584" s="1" t="e">
        <f t="shared" si="40"/>
        <v>#N/A</v>
      </c>
      <c r="E1584" s="1" t="e">
        <f t="shared" si="41"/>
        <v>#N/A</v>
      </c>
      <c r="F1584" s="1">
        <v>378</v>
      </c>
    </row>
    <row r="1585" spans="2:6" x14ac:dyDescent="0.25">
      <c r="B1585" s="1" t="e">
        <f t="shared" si="38"/>
        <v>#N/A</v>
      </c>
      <c r="C1585" s="1" t="e">
        <f t="shared" si="39"/>
        <v>#N/A</v>
      </c>
      <c r="D1585" s="1" t="e">
        <f t="shared" si="40"/>
        <v>#N/A</v>
      </c>
      <c r="E1585" s="1" t="e">
        <f t="shared" si="41"/>
        <v>#N/A</v>
      </c>
      <c r="F1585" s="1">
        <v>379</v>
      </c>
    </row>
    <row r="1586" spans="2:6" x14ac:dyDescent="0.25">
      <c r="B1586" s="1" t="e">
        <f t="shared" si="38"/>
        <v>#N/A</v>
      </c>
      <c r="C1586" s="1" t="e">
        <f t="shared" si="39"/>
        <v>#N/A</v>
      </c>
      <c r="D1586" s="1" t="e">
        <f t="shared" si="40"/>
        <v>#N/A</v>
      </c>
      <c r="E1586" s="1" t="e">
        <f t="shared" si="41"/>
        <v>#N/A</v>
      </c>
      <c r="F1586" s="1">
        <v>380</v>
      </c>
    </row>
    <row r="1587" spans="2:6" x14ac:dyDescent="0.25">
      <c r="B1587" s="1" t="e">
        <f t="shared" si="38"/>
        <v>#N/A</v>
      </c>
      <c r="C1587" s="1" t="e">
        <f t="shared" si="39"/>
        <v>#N/A</v>
      </c>
      <c r="D1587" s="1" t="e">
        <f t="shared" si="40"/>
        <v>#N/A</v>
      </c>
      <c r="E1587" s="1" t="e">
        <f t="shared" si="41"/>
        <v>#N/A</v>
      </c>
      <c r="F1587" s="1">
        <v>381</v>
      </c>
    </row>
    <row r="1588" spans="2:6" x14ac:dyDescent="0.25">
      <c r="B1588" s="1" t="e">
        <f t="shared" si="38"/>
        <v>#N/A</v>
      </c>
      <c r="C1588" s="1" t="e">
        <f t="shared" si="39"/>
        <v>#N/A</v>
      </c>
      <c r="D1588" s="1" t="e">
        <f t="shared" si="40"/>
        <v>#N/A</v>
      </c>
      <c r="E1588" s="1" t="e">
        <f t="shared" si="41"/>
        <v>#N/A</v>
      </c>
      <c r="F1588" s="1">
        <v>382</v>
      </c>
    </row>
    <row r="1589" spans="2:6" x14ac:dyDescent="0.25">
      <c r="B1589" s="1" t="e">
        <f t="shared" si="38"/>
        <v>#N/A</v>
      </c>
      <c r="C1589" s="1" t="e">
        <f t="shared" si="39"/>
        <v>#N/A</v>
      </c>
      <c r="D1589" s="1" t="e">
        <f t="shared" si="40"/>
        <v>#N/A</v>
      </c>
      <c r="E1589" s="1" t="e">
        <f t="shared" si="41"/>
        <v>#N/A</v>
      </c>
      <c r="F1589" s="1">
        <v>383</v>
      </c>
    </row>
    <row r="1590" spans="2:6" x14ac:dyDescent="0.25">
      <c r="B1590" s="1" t="e">
        <f t="shared" si="38"/>
        <v>#N/A</v>
      </c>
      <c r="C1590" s="1" t="e">
        <f t="shared" si="39"/>
        <v>#N/A</v>
      </c>
      <c r="D1590" s="1" t="e">
        <f t="shared" si="40"/>
        <v>#N/A</v>
      </c>
      <c r="E1590" s="1" t="e">
        <f t="shared" si="41"/>
        <v>#N/A</v>
      </c>
      <c r="F1590" s="1">
        <v>384</v>
      </c>
    </row>
    <row r="1591" spans="2:6" x14ac:dyDescent="0.25">
      <c r="B1591" s="1" t="e">
        <f t="shared" ref="B1591:B1625" si="42">IF(INDEX(currentSMORPH,$F1591) = "ri",INDEX(currentTHW,$F1591),NA())</f>
        <v>#N/A</v>
      </c>
      <c r="C1591" s="1" t="e">
        <f t="shared" ref="C1591:C1625" si="43">IF(INDEX(currentSMORPH,$F1591) = "ru",INDEX(currentTHW,$F1591),NA())</f>
        <v>#N/A</v>
      </c>
      <c r="D1591" s="1" t="e">
        <f t="shared" ref="D1591:D1625" si="44">IF(INDEX(currentSMORPH,$F1591) = "po",INDEX(currentTHW,$F1591),NA())</f>
        <v>#N/A</v>
      </c>
      <c r="E1591" s="1" t="e">
        <f t="shared" ref="E1591:E1625" si="45">IF(INDEX(currentSMORPH,$F1591) = "gl",INDEX(currentTHW,$F1591),NA())</f>
        <v>#N/A</v>
      </c>
      <c r="F1591" s="1">
        <v>385</v>
      </c>
    </row>
    <row r="1592" spans="2:6" x14ac:dyDescent="0.25">
      <c r="B1592" s="1" t="e">
        <f t="shared" si="42"/>
        <v>#N/A</v>
      </c>
      <c r="C1592" s="1" t="e">
        <f t="shared" si="43"/>
        <v>#N/A</v>
      </c>
      <c r="D1592" s="1" t="e">
        <f t="shared" si="44"/>
        <v>#N/A</v>
      </c>
      <c r="E1592" s="1" t="e">
        <f t="shared" si="45"/>
        <v>#N/A</v>
      </c>
      <c r="F1592" s="1">
        <v>386</v>
      </c>
    </row>
    <row r="1593" spans="2:6" x14ac:dyDescent="0.25">
      <c r="B1593" s="1" t="e">
        <f t="shared" si="42"/>
        <v>#N/A</v>
      </c>
      <c r="C1593" s="1" t="e">
        <f t="shared" si="43"/>
        <v>#N/A</v>
      </c>
      <c r="D1593" s="1" t="e">
        <f t="shared" si="44"/>
        <v>#N/A</v>
      </c>
      <c r="E1593" s="1" t="e">
        <f t="shared" si="45"/>
        <v>#N/A</v>
      </c>
      <c r="F1593" s="1">
        <v>387</v>
      </c>
    </row>
    <row r="1594" spans="2:6" x14ac:dyDescent="0.25">
      <c r="B1594" s="1" t="e">
        <f t="shared" si="42"/>
        <v>#N/A</v>
      </c>
      <c r="C1594" s="1" t="e">
        <f t="shared" si="43"/>
        <v>#N/A</v>
      </c>
      <c r="D1594" s="1" t="e">
        <f t="shared" si="44"/>
        <v>#N/A</v>
      </c>
      <c r="E1594" s="1" t="e">
        <f t="shared" si="45"/>
        <v>#N/A</v>
      </c>
      <c r="F1594" s="1">
        <v>388</v>
      </c>
    </row>
    <row r="1595" spans="2:6" x14ac:dyDescent="0.25">
      <c r="B1595" s="1" t="e">
        <f t="shared" si="42"/>
        <v>#N/A</v>
      </c>
      <c r="C1595" s="1" t="e">
        <f t="shared" si="43"/>
        <v>#N/A</v>
      </c>
      <c r="D1595" s="1" t="e">
        <f t="shared" si="44"/>
        <v>#N/A</v>
      </c>
      <c r="E1595" s="1" t="e">
        <f t="shared" si="45"/>
        <v>#N/A</v>
      </c>
      <c r="F1595" s="1">
        <v>389</v>
      </c>
    </row>
    <row r="1596" spans="2:6" x14ac:dyDescent="0.25">
      <c r="B1596" s="1" t="e">
        <f t="shared" si="42"/>
        <v>#N/A</v>
      </c>
      <c r="C1596" s="1" t="e">
        <f t="shared" si="43"/>
        <v>#N/A</v>
      </c>
      <c r="D1596" s="1" t="e">
        <f t="shared" si="44"/>
        <v>#N/A</v>
      </c>
      <c r="E1596" s="1" t="e">
        <f t="shared" si="45"/>
        <v>#N/A</v>
      </c>
      <c r="F1596" s="1">
        <v>390</v>
      </c>
    </row>
    <row r="1597" spans="2:6" x14ac:dyDescent="0.25">
      <c r="B1597" s="1" t="e">
        <f t="shared" si="42"/>
        <v>#N/A</v>
      </c>
      <c r="C1597" s="1" t="e">
        <f t="shared" si="43"/>
        <v>#N/A</v>
      </c>
      <c r="D1597" s="1" t="e">
        <f t="shared" si="44"/>
        <v>#N/A</v>
      </c>
      <c r="E1597" s="1" t="e">
        <f t="shared" si="45"/>
        <v>#N/A</v>
      </c>
      <c r="F1597" s="1">
        <v>391</v>
      </c>
    </row>
    <row r="1598" spans="2:6" x14ac:dyDescent="0.25">
      <c r="B1598" s="1" t="e">
        <f t="shared" si="42"/>
        <v>#N/A</v>
      </c>
      <c r="C1598" s="1" t="e">
        <f t="shared" si="43"/>
        <v>#N/A</v>
      </c>
      <c r="D1598" s="1" t="e">
        <f t="shared" si="44"/>
        <v>#N/A</v>
      </c>
      <c r="E1598" s="1" t="e">
        <f t="shared" si="45"/>
        <v>#N/A</v>
      </c>
      <c r="F1598" s="1">
        <v>392</v>
      </c>
    </row>
    <row r="1599" spans="2:6" x14ac:dyDescent="0.25">
      <c r="B1599" s="1" t="e">
        <f t="shared" si="42"/>
        <v>#N/A</v>
      </c>
      <c r="C1599" s="1" t="e">
        <f t="shared" si="43"/>
        <v>#N/A</v>
      </c>
      <c r="D1599" s="1" t="e">
        <f t="shared" si="44"/>
        <v>#N/A</v>
      </c>
      <c r="E1599" s="1" t="e">
        <f t="shared" si="45"/>
        <v>#N/A</v>
      </c>
      <c r="F1599" s="1">
        <v>393</v>
      </c>
    </row>
    <row r="1600" spans="2:6" x14ac:dyDescent="0.25">
      <c r="B1600" s="1" t="e">
        <f t="shared" si="42"/>
        <v>#N/A</v>
      </c>
      <c r="C1600" s="1" t="e">
        <f t="shared" si="43"/>
        <v>#N/A</v>
      </c>
      <c r="D1600" s="1" t="e">
        <f t="shared" si="44"/>
        <v>#N/A</v>
      </c>
      <c r="E1600" s="1" t="e">
        <f t="shared" si="45"/>
        <v>#N/A</v>
      </c>
      <c r="F1600" s="1">
        <v>394</v>
      </c>
    </row>
    <row r="1601" spans="2:6" x14ac:dyDescent="0.25">
      <c r="B1601" s="1" t="e">
        <f t="shared" si="42"/>
        <v>#N/A</v>
      </c>
      <c r="C1601" s="1" t="e">
        <f t="shared" si="43"/>
        <v>#N/A</v>
      </c>
      <c r="D1601" s="1" t="e">
        <f t="shared" si="44"/>
        <v>#N/A</v>
      </c>
      <c r="E1601" s="1" t="e">
        <f t="shared" si="45"/>
        <v>#N/A</v>
      </c>
      <c r="F1601" s="1">
        <v>395</v>
      </c>
    </row>
    <row r="1602" spans="2:6" x14ac:dyDescent="0.25">
      <c r="B1602" s="1" t="e">
        <f t="shared" si="42"/>
        <v>#N/A</v>
      </c>
      <c r="C1602" s="1" t="e">
        <f t="shared" si="43"/>
        <v>#N/A</v>
      </c>
      <c r="D1602" s="1" t="e">
        <f t="shared" si="44"/>
        <v>#N/A</v>
      </c>
      <c r="E1602" s="1" t="e">
        <f t="shared" si="45"/>
        <v>#N/A</v>
      </c>
      <c r="F1602" s="1">
        <v>396</v>
      </c>
    </row>
    <row r="1603" spans="2:6" x14ac:dyDescent="0.25">
      <c r="B1603" s="1" t="e">
        <f t="shared" si="42"/>
        <v>#N/A</v>
      </c>
      <c r="C1603" s="1" t="e">
        <f t="shared" si="43"/>
        <v>#N/A</v>
      </c>
      <c r="D1603" s="1" t="e">
        <f t="shared" si="44"/>
        <v>#N/A</v>
      </c>
      <c r="E1603" s="1" t="e">
        <f t="shared" si="45"/>
        <v>#N/A</v>
      </c>
      <c r="F1603" s="1">
        <v>397</v>
      </c>
    </row>
    <row r="1604" spans="2:6" x14ac:dyDescent="0.25">
      <c r="B1604" s="1" t="e">
        <f t="shared" si="42"/>
        <v>#N/A</v>
      </c>
      <c r="C1604" s="1" t="e">
        <f t="shared" si="43"/>
        <v>#N/A</v>
      </c>
      <c r="D1604" s="1" t="e">
        <f t="shared" si="44"/>
        <v>#N/A</v>
      </c>
      <c r="E1604" s="1" t="e">
        <f t="shared" si="45"/>
        <v>#N/A</v>
      </c>
      <c r="F1604" s="1">
        <v>398</v>
      </c>
    </row>
    <row r="1605" spans="2:6" x14ac:dyDescent="0.25">
      <c r="B1605" s="1" t="e">
        <f t="shared" si="42"/>
        <v>#N/A</v>
      </c>
      <c r="C1605" s="1" t="e">
        <f t="shared" si="43"/>
        <v>#N/A</v>
      </c>
      <c r="D1605" s="1" t="e">
        <f t="shared" si="44"/>
        <v>#N/A</v>
      </c>
      <c r="E1605" s="1" t="e">
        <f t="shared" si="45"/>
        <v>#N/A</v>
      </c>
      <c r="F1605" s="1">
        <v>399</v>
      </c>
    </row>
    <row r="1606" spans="2:6" x14ac:dyDescent="0.25">
      <c r="B1606" s="1" t="e">
        <f t="shared" si="42"/>
        <v>#N/A</v>
      </c>
      <c r="C1606" s="1" t="e">
        <f t="shared" si="43"/>
        <v>#N/A</v>
      </c>
      <c r="D1606" s="1" t="e">
        <f t="shared" si="44"/>
        <v>#N/A</v>
      </c>
      <c r="E1606" s="1" t="e">
        <f t="shared" si="45"/>
        <v>#N/A</v>
      </c>
      <c r="F1606" s="1">
        <v>400</v>
      </c>
    </row>
    <row r="1607" spans="2:6" x14ac:dyDescent="0.25">
      <c r="B1607" s="1" t="e">
        <f t="shared" si="42"/>
        <v>#N/A</v>
      </c>
      <c r="C1607" s="1" t="e">
        <f t="shared" si="43"/>
        <v>#N/A</v>
      </c>
      <c r="D1607" s="1" t="e">
        <f t="shared" si="44"/>
        <v>#N/A</v>
      </c>
      <c r="E1607" s="1" t="e">
        <f t="shared" si="45"/>
        <v>#N/A</v>
      </c>
      <c r="F1607" s="1">
        <v>401</v>
      </c>
    </row>
    <row r="1608" spans="2:6" x14ac:dyDescent="0.25">
      <c r="B1608" s="1" t="e">
        <f t="shared" si="42"/>
        <v>#N/A</v>
      </c>
      <c r="C1608" s="1" t="e">
        <f t="shared" si="43"/>
        <v>#N/A</v>
      </c>
      <c r="D1608" s="1" t="e">
        <f t="shared" si="44"/>
        <v>#N/A</v>
      </c>
      <c r="E1608" s="1" t="e">
        <f t="shared" si="45"/>
        <v>#N/A</v>
      </c>
      <c r="F1608" s="1">
        <v>402</v>
      </c>
    </row>
    <row r="1609" spans="2:6" x14ac:dyDescent="0.25">
      <c r="B1609" s="1" t="e">
        <f t="shared" si="42"/>
        <v>#N/A</v>
      </c>
      <c r="C1609" s="1" t="e">
        <f t="shared" si="43"/>
        <v>#N/A</v>
      </c>
      <c r="D1609" s="1" t="e">
        <f t="shared" si="44"/>
        <v>#N/A</v>
      </c>
      <c r="E1609" s="1" t="e">
        <f t="shared" si="45"/>
        <v>#N/A</v>
      </c>
      <c r="F1609" s="1">
        <v>403</v>
      </c>
    </row>
    <row r="1610" spans="2:6" x14ac:dyDescent="0.25">
      <c r="B1610" s="1" t="e">
        <f t="shared" si="42"/>
        <v>#N/A</v>
      </c>
      <c r="C1610" s="1" t="e">
        <f t="shared" si="43"/>
        <v>#N/A</v>
      </c>
      <c r="D1610" s="1" t="e">
        <f t="shared" si="44"/>
        <v>#N/A</v>
      </c>
      <c r="E1610" s="1" t="e">
        <f t="shared" si="45"/>
        <v>#N/A</v>
      </c>
      <c r="F1610" s="1">
        <v>404</v>
      </c>
    </row>
    <row r="1611" spans="2:6" x14ac:dyDescent="0.25">
      <c r="B1611" s="1" t="e">
        <f t="shared" si="42"/>
        <v>#N/A</v>
      </c>
      <c r="C1611" s="1" t="e">
        <f t="shared" si="43"/>
        <v>#N/A</v>
      </c>
      <c r="D1611" s="1" t="e">
        <f t="shared" si="44"/>
        <v>#N/A</v>
      </c>
      <c r="E1611" s="1" t="e">
        <f t="shared" si="45"/>
        <v>#N/A</v>
      </c>
      <c r="F1611" s="1">
        <v>405</v>
      </c>
    </row>
    <row r="1612" spans="2:6" x14ac:dyDescent="0.25">
      <c r="B1612" s="1" t="e">
        <f t="shared" si="42"/>
        <v>#N/A</v>
      </c>
      <c r="C1612" s="1" t="e">
        <f t="shared" si="43"/>
        <v>#N/A</v>
      </c>
      <c r="D1612" s="1" t="e">
        <f t="shared" si="44"/>
        <v>#N/A</v>
      </c>
      <c r="E1612" s="1" t="e">
        <f t="shared" si="45"/>
        <v>#N/A</v>
      </c>
      <c r="F1612" s="1">
        <v>406</v>
      </c>
    </row>
    <row r="1613" spans="2:6" x14ac:dyDescent="0.25">
      <c r="B1613" s="1" t="e">
        <f t="shared" si="42"/>
        <v>#N/A</v>
      </c>
      <c r="C1613" s="1" t="e">
        <f t="shared" si="43"/>
        <v>#N/A</v>
      </c>
      <c r="D1613" s="1" t="e">
        <f t="shared" si="44"/>
        <v>#N/A</v>
      </c>
      <c r="E1613" s="1" t="e">
        <f t="shared" si="45"/>
        <v>#N/A</v>
      </c>
      <c r="F1613" s="1">
        <v>407</v>
      </c>
    </row>
    <row r="1614" spans="2:6" x14ac:dyDescent="0.25">
      <c r="B1614" s="1" t="e">
        <f t="shared" si="42"/>
        <v>#N/A</v>
      </c>
      <c r="C1614" s="1" t="e">
        <f t="shared" si="43"/>
        <v>#N/A</v>
      </c>
      <c r="D1614" s="1" t="e">
        <f t="shared" si="44"/>
        <v>#N/A</v>
      </c>
      <c r="E1614" s="1" t="e">
        <f t="shared" si="45"/>
        <v>#N/A</v>
      </c>
      <c r="F1614" s="1">
        <v>408</v>
      </c>
    </row>
    <row r="1615" spans="2:6" x14ac:dyDescent="0.25">
      <c r="B1615" s="1" t="e">
        <f t="shared" si="42"/>
        <v>#N/A</v>
      </c>
      <c r="C1615" s="1" t="e">
        <f t="shared" si="43"/>
        <v>#N/A</v>
      </c>
      <c r="D1615" s="1" t="e">
        <f t="shared" si="44"/>
        <v>#N/A</v>
      </c>
      <c r="E1615" s="1" t="e">
        <f t="shared" si="45"/>
        <v>#N/A</v>
      </c>
      <c r="F1615" s="1">
        <v>409</v>
      </c>
    </row>
    <row r="1616" spans="2:6" x14ac:dyDescent="0.25">
      <c r="B1616" s="1" t="e">
        <f t="shared" si="42"/>
        <v>#N/A</v>
      </c>
      <c r="C1616" s="1" t="e">
        <f t="shared" si="43"/>
        <v>#N/A</v>
      </c>
      <c r="D1616" s="1" t="e">
        <f t="shared" si="44"/>
        <v>#N/A</v>
      </c>
      <c r="E1616" s="1" t="e">
        <f t="shared" si="45"/>
        <v>#N/A</v>
      </c>
      <c r="F1616" s="1">
        <v>410</v>
      </c>
    </row>
    <row r="1617" spans="2:6" x14ac:dyDescent="0.25">
      <c r="B1617" s="1" t="e">
        <f t="shared" si="42"/>
        <v>#N/A</v>
      </c>
      <c r="C1617" s="1" t="e">
        <f t="shared" si="43"/>
        <v>#N/A</v>
      </c>
      <c r="D1617" s="1" t="e">
        <f t="shared" si="44"/>
        <v>#N/A</v>
      </c>
      <c r="E1617" s="1" t="e">
        <f t="shared" si="45"/>
        <v>#N/A</v>
      </c>
      <c r="F1617" s="1">
        <v>411</v>
      </c>
    </row>
    <row r="1618" spans="2:6" x14ac:dyDescent="0.25">
      <c r="B1618" s="1" t="e">
        <f t="shared" si="42"/>
        <v>#N/A</v>
      </c>
      <c r="C1618" s="1" t="e">
        <f t="shared" si="43"/>
        <v>#N/A</v>
      </c>
      <c r="D1618" s="1" t="e">
        <f t="shared" si="44"/>
        <v>#N/A</v>
      </c>
      <c r="E1618" s="1" t="e">
        <f t="shared" si="45"/>
        <v>#N/A</v>
      </c>
      <c r="F1618" s="1">
        <v>412</v>
      </c>
    </row>
    <row r="1619" spans="2:6" x14ac:dyDescent="0.25">
      <c r="B1619" s="1" t="e">
        <f t="shared" si="42"/>
        <v>#N/A</v>
      </c>
      <c r="C1619" s="1" t="e">
        <f t="shared" si="43"/>
        <v>#N/A</v>
      </c>
      <c r="D1619" s="1" t="e">
        <f t="shared" si="44"/>
        <v>#N/A</v>
      </c>
      <c r="E1619" s="1" t="e">
        <f t="shared" si="45"/>
        <v>#N/A</v>
      </c>
      <c r="F1619" s="1">
        <v>413</v>
      </c>
    </row>
    <row r="1620" spans="2:6" x14ac:dyDescent="0.25">
      <c r="B1620" s="1" t="e">
        <f t="shared" si="42"/>
        <v>#N/A</v>
      </c>
      <c r="C1620" s="1" t="e">
        <f t="shared" si="43"/>
        <v>#N/A</v>
      </c>
      <c r="D1620" s="1" t="e">
        <f t="shared" si="44"/>
        <v>#N/A</v>
      </c>
      <c r="E1620" s="1" t="e">
        <f t="shared" si="45"/>
        <v>#N/A</v>
      </c>
      <c r="F1620" s="1">
        <v>414</v>
      </c>
    </row>
    <row r="1621" spans="2:6" x14ac:dyDescent="0.25">
      <c r="B1621" s="1" t="e">
        <f t="shared" si="42"/>
        <v>#N/A</v>
      </c>
      <c r="C1621" s="1" t="e">
        <f t="shared" si="43"/>
        <v>#N/A</v>
      </c>
      <c r="D1621" s="1" t="e">
        <f t="shared" si="44"/>
        <v>#N/A</v>
      </c>
      <c r="E1621" s="1" t="e">
        <f t="shared" si="45"/>
        <v>#N/A</v>
      </c>
      <c r="F1621" s="1">
        <v>415</v>
      </c>
    </row>
    <row r="1622" spans="2:6" x14ac:dyDescent="0.25">
      <c r="B1622" s="1" t="e">
        <f t="shared" si="42"/>
        <v>#N/A</v>
      </c>
      <c r="C1622" s="1" t="e">
        <f t="shared" si="43"/>
        <v>#N/A</v>
      </c>
      <c r="D1622" s="1" t="e">
        <f t="shared" si="44"/>
        <v>#N/A</v>
      </c>
      <c r="E1622" s="1" t="e">
        <f t="shared" si="45"/>
        <v>#N/A</v>
      </c>
      <c r="F1622" s="1">
        <v>416</v>
      </c>
    </row>
    <row r="1623" spans="2:6" x14ac:dyDescent="0.25">
      <c r="B1623" s="1" t="e">
        <f t="shared" si="42"/>
        <v>#N/A</v>
      </c>
      <c r="C1623" s="1" t="e">
        <f t="shared" si="43"/>
        <v>#N/A</v>
      </c>
      <c r="D1623" s="1" t="e">
        <f t="shared" si="44"/>
        <v>#N/A</v>
      </c>
      <c r="E1623" s="1" t="e">
        <f t="shared" si="45"/>
        <v>#N/A</v>
      </c>
      <c r="F1623" s="1">
        <v>417</v>
      </c>
    </row>
    <row r="1624" spans="2:6" x14ac:dyDescent="0.25">
      <c r="B1624" s="1" t="e">
        <f t="shared" si="42"/>
        <v>#N/A</v>
      </c>
      <c r="C1624" s="1" t="e">
        <f t="shared" si="43"/>
        <v>#N/A</v>
      </c>
      <c r="D1624" s="1" t="e">
        <f t="shared" si="44"/>
        <v>#N/A</v>
      </c>
      <c r="E1624" s="1" t="e">
        <f t="shared" si="45"/>
        <v>#N/A</v>
      </c>
      <c r="F1624" s="1">
        <v>418</v>
      </c>
    </row>
    <row r="1625" spans="2:6" x14ac:dyDescent="0.25">
      <c r="B1625" s="1" t="e">
        <f t="shared" si="42"/>
        <v>#N/A</v>
      </c>
      <c r="C1625" s="1" t="e">
        <f t="shared" si="43"/>
        <v>#N/A</v>
      </c>
      <c r="D1625" s="1" t="e">
        <f t="shared" si="44"/>
        <v>#N/A</v>
      </c>
      <c r="E1625" s="1" t="e">
        <f t="shared" si="45"/>
        <v>#N/A</v>
      </c>
      <c r="F1625" s="1">
        <v>419</v>
      </c>
    </row>
  </sheetData>
  <conditionalFormatting sqref="K57:K1198">
    <cfRule type="expression" dxfId="1" priority="17" stopIfTrue="1">
      <formula>K57&lt;I57</formula>
    </cfRule>
    <cfRule type="expression" dxfId="0" priority="18">
      <formula>K57&gt;K56</formula>
    </cfRule>
  </conditionalFormatting>
  <pageMargins left="0.7" right="0.7" top="0.75" bottom="0.75" header="0.3" footer="0.3"/>
  <pageSetup paperSize="17" scale="61" orientation="landscape" r:id="rId1"/>
  <rowBreaks count="2" manualBreakCount="2">
    <brk id="47" max="18" man="1"/>
    <brk id="1202" max="18" man="1"/>
  </rowBreaks>
  <colBreaks count="1" manualBreakCount="1">
    <brk id="22" max="1048575" man="1"/>
  </colBreaks>
  <ignoredErrors>
    <ignoredError sqref="K61:K119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caleAxes">
                <anchor moveWithCells="1">
                  <from>
                    <xdr:col>1</xdr:col>
                    <xdr:colOff>158750</xdr:colOff>
                    <xdr:row>47</xdr:row>
                    <xdr:rowOff>63500</xdr:rowOff>
                  </from>
                  <to>
                    <xdr:col>2</xdr:col>
                    <xdr:colOff>50800</xdr:colOff>
                    <xdr:row>50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A1000"/>
  <sheetViews>
    <sheetView tabSelected="1" topLeftCell="AN1" zoomScale="70" zoomScaleNormal="70" workbookViewId="0">
      <selection activeCell="AW16" sqref="AW16"/>
    </sheetView>
  </sheetViews>
  <sheetFormatPr defaultRowHeight="12.5" x14ac:dyDescent="0.25"/>
  <cols>
    <col min="1" max="1" width="12.1796875" style="16" customWidth="1"/>
    <col min="2" max="2" width="8.54296875" style="16" customWidth="1"/>
    <col min="3" max="3" width="12.36328125" style="16" customWidth="1"/>
    <col min="4" max="4" width="16.08984375" style="16" customWidth="1"/>
    <col min="5" max="5" width="22.36328125" style="16" customWidth="1"/>
    <col min="6" max="7" width="8.7265625" style="16"/>
    <col min="8" max="8" width="10.1796875" style="16" customWidth="1"/>
    <col min="9" max="10" width="8.7265625" style="16"/>
    <col min="11" max="12" width="12" style="16" customWidth="1"/>
    <col min="13" max="13" width="8.7265625" style="16"/>
    <col min="14" max="14" width="14.81640625" style="16" customWidth="1"/>
    <col min="15" max="15" width="18.08984375" style="16" customWidth="1"/>
    <col min="16" max="16" width="22" style="16" customWidth="1"/>
    <col min="17" max="17" width="30.26953125" style="16" customWidth="1"/>
    <col min="18" max="18" width="10.453125" style="16" customWidth="1"/>
    <col min="19" max="22" width="8.7265625" style="16"/>
    <col min="23" max="23" width="18.1796875" style="23" hidden="1" customWidth="1"/>
    <col min="24" max="24" width="18.1796875" style="24" hidden="1" customWidth="1"/>
    <col min="25" max="25" width="20.81640625" style="24" hidden="1" customWidth="1"/>
    <col min="26" max="26" width="16.90625" style="23" customWidth="1"/>
    <col min="27" max="28" width="13.453125" style="16" customWidth="1"/>
    <col min="29" max="29" width="11.7265625" style="16" customWidth="1"/>
    <col min="30" max="30" width="11.36328125" style="16" bestFit="1" customWidth="1"/>
    <col min="31" max="31" width="11.7265625" style="16" customWidth="1"/>
    <col min="32" max="32" width="18.81640625" style="16" customWidth="1"/>
    <col min="33" max="34" width="11.7265625" style="16" customWidth="1"/>
    <col min="35" max="35" width="27.54296875" style="43" customWidth="1"/>
    <col min="36" max="36" width="16" style="23" hidden="1" customWidth="1"/>
    <col min="37" max="37" width="16" style="24" hidden="1" customWidth="1"/>
    <col min="38" max="38" width="20.36328125" style="24" hidden="1" customWidth="1"/>
    <col min="39" max="39" width="23.1796875" style="43" hidden="1" customWidth="1"/>
    <col min="40" max="40" width="18.1796875" style="24" customWidth="1"/>
    <col min="41" max="41" width="17.36328125" style="24" customWidth="1"/>
    <col min="42" max="42" width="18.1796875" style="24" customWidth="1"/>
    <col min="43" max="43" width="20" style="24" customWidth="1"/>
    <col min="44" max="44" width="16" style="24" customWidth="1"/>
    <col min="45" max="46" width="12.36328125" style="16" bestFit="1" customWidth="1"/>
    <col min="47" max="47" width="10.36328125" style="16" bestFit="1" customWidth="1"/>
    <col min="48" max="48" width="18.90625" style="16" customWidth="1"/>
    <col min="49" max="49" width="27.36328125" style="16" customWidth="1"/>
    <col min="50" max="50" width="15.453125" style="16" customWidth="1"/>
    <col min="51" max="51" width="24.08984375" style="16" customWidth="1"/>
    <col min="52" max="52" width="29.54296875" style="23" customWidth="1"/>
    <col min="53" max="54" width="10.36328125" style="16" bestFit="1" customWidth="1"/>
    <col min="55" max="55" width="8.7265625" style="45"/>
    <col min="56" max="287" width="8.7265625" style="44"/>
    <col min="288" max="16384" width="8.7265625" style="16"/>
  </cols>
  <sheetData>
    <row r="1" spans="1:287" x14ac:dyDescent="0.25">
      <c r="A1" s="48" t="str">
        <f>currentYEAR</f>
        <v>Assessment</v>
      </c>
      <c r="B1" s="48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50"/>
      <c r="X1" s="51"/>
      <c r="Y1" s="51"/>
      <c r="Z1" s="52"/>
      <c r="AA1" s="49"/>
      <c r="AB1" s="49"/>
      <c r="AC1" s="49"/>
      <c r="AD1" s="49"/>
      <c r="AE1" s="49"/>
      <c r="AF1" s="49"/>
      <c r="AG1" s="49"/>
      <c r="AH1" s="49"/>
      <c r="AI1" s="53"/>
      <c r="AJ1" s="52"/>
      <c r="AK1" s="51"/>
      <c r="AL1" s="51"/>
      <c r="AM1" s="53"/>
      <c r="AN1" s="51"/>
      <c r="AO1" s="51"/>
      <c r="AP1" s="51"/>
      <c r="AQ1" s="51"/>
      <c r="AR1" s="51"/>
      <c r="AS1" s="49"/>
      <c r="AT1" s="49"/>
      <c r="AU1" s="49"/>
      <c r="AV1" s="49"/>
      <c r="AW1" s="49"/>
      <c r="AX1" s="49"/>
      <c r="AY1" s="62"/>
      <c r="AZ1" s="50"/>
      <c r="BA1" s="62"/>
      <c r="BB1" s="62"/>
      <c r="BC1" s="63"/>
    </row>
    <row r="2" spans="1:287" s="17" customFormat="1" x14ac:dyDescent="0.25">
      <c r="A2" s="55" t="s">
        <v>77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18" t="s">
        <v>59</v>
      </c>
      <c r="X2" s="19"/>
      <c r="Y2" s="19"/>
      <c r="Z2" s="57" t="s">
        <v>32</v>
      </c>
      <c r="AA2" s="58"/>
      <c r="AB2" s="58"/>
      <c r="AC2" s="58"/>
      <c r="AD2" s="58"/>
      <c r="AE2" s="58"/>
      <c r="AF2" s="58"/>
      <c r="AG2" s="58"/>
      <c r="AH2" s="58"/>
      <c r="AI2" s="59"/>
      <c r="AJ2" s="20" t="s">
        <v>60</v>
      </c>
      <c r="AK2" s="21"/>
      <c r="AL2" s="21"/>
      <c r="AM2" s="22"/>
      <c r="AN2" s="60" t="s">
        <v>35</v>
      </c>
      <c r="AO2" s="60"/>
      <c r="AP2" s="60"/>
      <c r="AQ2" s="60"/>
      <c r="AR2" s="60"/>
      <c r="AS2" s="54"/>
      <c r="AT2" s="54"/>
      <c r="AU2" s="54"/>
      <c r="AV2" s="54"/>
      <c r="AW2" s="54"/>
      <c r="AX2" s="54"/>
      <c r="AY2" s="61"/>
      <c r="AZ2" s="23"/>
      <c r="BA2" s="37" t="s">
        <v>39</v>
      </c>
      <c r="BB2" s="37" t="s">
        <v>33</v>
      </c>
      <c r="BC2" s="45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4"/>
      <c r="DK2" s="44"/>
      <c r="DL2" s="44"/>
      <c r="DM2" s="44"/>
      <c r="DN2" s="44"/>
      <c r="DO2" s="44"/>
      <c r="DP2" s="44"/>
      <c r="DQ2" s="44"/>
      <c r="DR2" s="44"/>
      <c r="DS2" s="44"/>
      <c r="DT2" s="44"/>
      <c r="DU2" s="44"/>
      <c r="DV2" s="44"/>
      <c r="DW2" s="44"/>
      <c r="DX2" s="44"/>
      <c r="DY2" s="44"/>
      <c r="DZ2" s="44"/>
      <c r="EA2" s="44"/>
      <c r="EB2" s="44"/>
      <c r="EC2" s="44"/>
      <c r="ED2" s="44"/>
      <c r="EE2" s="44"/>
      <c r="EF2" s="44"/>
      <c r="EG2" s="44"/>
      <c r="EH2" s="44"/>
      <c r="EI2" s="44"/>
      <c r="EJ2" s="44"/>
      <c r="EK2" s="44"/>
      <c r="EL2" s="44"/>
      <c r="EM2" s="44"/>
      <c r="EN2" s="44"/>
      <c r="EO2" s="44"/>
      <c r="EP2" s="44"/>
      <c r="EQ2" s="44"/>
      <c r="ER2" s="44"/>
      <c r="ES2" s="44"/>
      <c r="ET2" s="44"/>
      <c r="EU2" s="44"/>
      <c r="EV2" s="44"/>
      <c r="EW2" s="44"/>
      <c r="EX2" s="44"/>
      <c r="EY2" s="44"/>
      <c r="EZ2" s="44"/>
      <c r="FA2" s="44"/>
      <c r="FB2" s="44"/>
      <c r="FC2" s="44"/>
      <c r="FD2" s="44"/>
      <c r="FE2" s="44"/>
      <c r="FF2" s="44"/>
      <c r="FG2" s="44"/>
      <c r="FH2" s="44"/>
      <c r="FI2" s="44"/>
      <c r="FJ2" s="44"/>
      <c r="FK2" s="44"/>
      <c r="FL2" s="44"/>
      <c r="FM2" s="44"/>
      <c r="FN2" s="44"/>
      <c r="FO2" s="44"/>
      <c r="FP2" s="44"/>
      <c r="FQ2" s="44"/>
      <c r="FR2" s="44"/>
      <c r="FS2" s="44"/>
      <c r="FT2" s="44"/>
      <c r="FU2" s="44"/>
      <c r="FV2" s="44"/>
      <c r="FW2" s="44"/>
      <c r="FX2" s="44"/>
      <c r="FY2" s="44"/>
      <c r="FZ2" s="44"/>
      <c r="GA2" s="44"/>
      <c r="GB2" s="44"/>
      <c r="GC2" s="44"/>
      <c r="GD2" s="44"/>
      <c r="GE2" s="44"/>
      <c r="GF2" s="44"/>
      <c r="GG2" s="44"/>
      <c r="GH2" s="44"/>
      <c r="GI2" s="44"/>
      <c r="GJ2" s="44"/>
      <c r="GK2" s="44"/>
      <c r="GL2" s="44"/>
      <c r="GM2" s="44"/>
      <c r="GN2" s="44"/>
      <c r="GO2" s="44"/>
      <c r="GP2" s="44"/>
      <c r="GQ2" s="44"/>
      <c r="GR2" s="44"/>
      <c r="GS2" s="44"/>
      <c r="GT2" s="44"/>
      <c r="GU2" s="44"/>
      <c r="GV2" s="44"/>
      <c r="GW2" s="44"/>
      <c r="GX2" s="44"/>
      <c r="GY2" s="44"/>
      <c r="GZ2" s="44"/>
      <c r="HA2" s="44"/>
      <c r="HB2" s="44"/>
      <c r="HC2" s="44"/>
      <c r="HD2" s="44"/>
      <c r="HE2" s="44"/>
      <c r="HF2" s="44"/>
      <c r="HG2" s="44"/>
      <c r="HH2" s="44"/>
      <c r="HI2" s="44"/>
      <c r="HJ2" s="44"/>
      <c r="HK2" s="44"/>
      <c r="HL2" s="44"/>
      <c r="HM2" s="44"/>
      <c r="HN2" s="44"/>
      <c r="HO2" s="44"/>
      <c r="HP2" s="44"/>
      <c r="HQ2" s="44"/>
      <c r="HR2" s="44"/>
      <c r="HS2" s="44"/>
      <c r="HT2" s="44"/>
      <c r="HU2" s="44"/>
      <c r="HV2" s="44"/>
      <c r="HW2" s="44"/>
      <c r="HX2" s="44"/>
      <c r="HY2" s="44"/>
      <c r="HZ2" s="44"/>
      <c r="IA2" s="44"/>
      <c r="IB2" s="44"/>
      <c r="IC2" s="44"/>
      <c r="ID2" s="44"/>
      <c r="IE2" s="44"/>
      <c r="IF2" s="44"/>
      <c r="IG2" s="44"/>
      <c r="IH2" s="44"/>
      <c r="II2" s="44"/>
      <c r="IJ2" s="44"/>
      <c r="IK2" s="44"/>
      <c r="IL2" s="44"/>
      <c r="IM2" s="44"/>
      <c r="IN2" s="44"/>
      <c r="IO2" s="44"/>
      <c r="IP2" s="44"/>
      <c r="IQ2" s="44"/>
      <c r="IR2" s="44"/>
      <c r="IS2" s="44"/>
      <c r="IT2" s="44"/>
      <c r="IU2" s="44"/>
      <c r="IV2" s="44"/>
      <c r="IW2" s="44"/>
      <c r="IX2" s="44"/>
      <c r="IY2" s="44"/>
      <c r="IZ2" s="44"/>
      <c r="JA2" s="44"/>
      <c r="JB2" s="44"/>
      <c r="JC2" s="44"/>
      <c r="JD2" s="44"/>
      <c r="JE2" s="44"/>
      <c r="JF2" s="44"/>
      <c r="JG2" s="44"/>
      <c r="JH2" s="44"/>
      <c r="JI2" s="44"/>
      <c r="JJ2" s="44"/>
      <c r="JK2" s="44"/>
      <c r="JL2" s="44"/>
      <c r="JM2" s="44"/>
      <c r="JN2" s="44"/>
      <c r="JO2" s="44"/>
      <c r="JP2" s="44"/>
      <c r="JQ2" s="44"/>
      <c r="JR2" s="44"/>
      <c r="JS2" s="44"/>
      <c r="JT2" s="44"/>
      <c r="JU2" s="44"/>
      <c r="JV2" s="44"/>
      <c r="JW2" s="44"/>
      <c r="JX2" s="44"/>
      <c r="JY2" s="44"/>
      <c r="JZ2" s="44"/>
      <c r="KA2" s="44"/>
    </row>
    <row r="3" spans="1:287" s="17" customFormat="1" x14ac:dyDescent="0.25">
      <c r="A3" s="25" t="s">
        <v>47</v>
      </c>
      <c r="B3" s="25" t="s">
        <v>31</v>
      </c>
      <c r="C3" s="25" t="s">
        <v>1</v>
      </c>
      <c r="D3" s="26" t="s">
        <v>19</v>
      </c>
      <c r="E3" s="26" t="s">
        <v>22</v>
      </c>
      <c r="F3" s="27" t="s">
        <v>3</v>
      </c>
      <c r="G3" s="27" t="s">
        <v>4</v>
      </c>
      <c r="H3" s="27" t="s">
        <v>72</v>
      </c>
      <c r="I3" s="27" t="s">
        <v>74</v>
      </c>
      <c r="J3" s="27" t="s">
        <v>5</v>
      </c>
      <c r="K3" s="27" t="s">
        <v>92</v>
      </c>
      <c r="L3" s="27" t="s">
        <v>100</v>
      </c>
      <c r="M3" s="27" t="s">
        <v>79</v>
      </c>
      <c r="N3" s="27" t="s">
        <v>98</v>
      </c>
      <c r="O3" s="27" t="s">
        <v>89</v>
      </c>
      <c r="P3" s="27" t="s">
        <v>103</v>
      </c>
      <c r="Q3" s="27" t="s">
        <v>104</v>
      </c>
      <c r="R3" s="27" t="s">
        <v>88</v>
      </c>
      <c r="S3" s="28" t="s">
        <v>64</v>
      </c>
      <c r="T3" s="28" t="s">
        <v>65</v>
      </c>
      <c r="U3" s="28" t="s">
        <v>62</v>
      </c>
      <c r="V3" s="28" t="s">
        <v>63</v>
      </c>
      <c r="W3" s="18" t="s">
        <v>52</v>
      </c>
      <c r="X3" s="19" t="s">
        <v>53</v>
      </c>
      <c r="Y3" s="19" t="s">
        <v>75</v>
      </c>
      <c r="Z3" s="29" t="s">
        <v>48</v>
      </c>
      <c r="AA3" s="25" t="s">
        <v>49</v>
      </c>
      <c r="AB3" s="25" t="s">
        <v>33</v>
      </c>
      <c r="AC3" s="25" t="s">
        <v>50</v>
      </c>
      <c r="AD3" s="25" t="s">
        <v>51</v>
      </c>
      <c r="AE3" s="27" t="s">
        <v>34</v>
      </c>
      <c r="AF3" s="27" t="s">
        <v>105</v>
      </c>
      <c r="AG3" s="27" t="s">
        <v>100</v>
      </c>
      <c r="AH3" s="27" t="s">
        <v>87</v>
      </c>
      <c r="AI3" s="30" t="s">
        <v>56</v>
      </c>
      <c r="AJ3" s="29" t="s">
        <v>52</v>
      </c>
      <c r="AK3" s="25" t="s">
        <v>53</v>
      </c>
      <c r="AL3" s="25" t="s">
        <v>76</v>
      </c>
      <c r="AM3" s="31" t="s">
        <v>75</v>
      </c>
      <c r="AN3" s="25" t="s">
        <v>48</v>
      </c>
      <c r="AO3" s="25" t="s">
        <v>49</v>
      </c>
      <c r="AP3" s="25" t="s">
        <v>73</v>
      </c>
      <c r="AQ3" s="25" t="s">
        <v>84</v>
      </c>
      <c r="AR3" s="25" t="s">
        <v>33</v>
      </c>
      <c r="AS3" s="25" t="s">
        <v>50</v>
      </c>
      <c r="AT3" s="25" t="s">
        <v>51</v>
      </c>
      <c r="AU3" s="25" t="s">
        <v>34</v>
      </c>
      <c r="AV3" s="25" t="s">
        <v>101</v>
      </c>
      <c r="AW3" s="27" t="s">
        <v>58</v>
      </c>
      <c r="AX3" s="27" t="s">
        <v>36</v>
      </c>
      <c r="AY3" s="27" t="s">
        <v>57</v>
      </c>
      <c r="AZ3" s="38" t="s">
        <v>29</v>
      </c>
      <c r="BA3" s="39">
        <f>MIN(AE4:AE97)</f>
        <v>0</v>
      </c>
      <c r="BB3" s="40">
        <f>MIN(AB4:AB81)</f>
        <v>0</v>
      </c>
      <c r="BC3" s="46" t="s">
        <v>40</v>
      </c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  <c r="IS3" s="44"/>
      <c r="IT3" s="44"/>
      <c r="IU3" s="44"/>
      <c r="IV3" s="44"/>
      <c r="IW3" s="44"/>
      <c r="IX3" s="44"/>
      <c r="IY3" s="44"/>
      <c r="IZ3" s="44"/>
      <c r="JA3" s="44"/>
      <c r="JB3" s="44"/>
      <c r="JC3" s="44"/>
      <c r="JD3" s="44"/>
      <c r="JE3" s="44"/>
      <c r="JF3" s="44"/>
      <c r="JG3" s="44"/>
      <c r="JH3" s="44"/>
      <c r="JI3" s="44"/>
      <c r="JJ3" s="44"/>
      <c r="JK3" s="44"/>
      <c r="JL3" s="44"/>
      <c r="JM3" s="44"/>
      <c r="JN3" s="44"/>
      <c r="JO3" s="44"/>
      <c r="JP3" s="44"/>
      <c r="JQ3" s="44"/>
      <c r="JR3" s="44"/>
      <c r="JS3" s="44"/>
      <c r="JT3" s="44"/>
      <c r="JU3" s="44"/>
      <c r="JV3" s="44"/>
      <c r="JW3" s="44"/>
      <c r="JX3" s="44"/>
      <c r="JY3" s="44"/>
      <c r="JZ3" s="44"/>
      <c r="KA3" s="44"/>
    </row>
    <row r="4" spans="1:287" s="24" customFormat="1" x14ac:dyDescent="0.25">
      <c r="A4" s="24" t="str">
        <f t="shared" ref="A4:A67" si="0">IF(NOT(ISBLANK(INDEX(currentNUM,ROW(A1)))),INDEX(currentNUM,ROW(A1)),"")</f>
        <v/>
      </c>
      <c r="B4" s="24" t="str">
        <f>IF(NOT(A4=""),ROW(B4),"")</f>
        <v/>
      </c>
      <c r="C4" s="32" t="str">
        <f t="shared" ref="C4:C67" si="1">IF(NOT(A4=""),INDEX(currentSTATION,ROW(C1)),"")</f>
        <v/>
      </c>
      <c r="D4" s="24" t="str">
        <f t="shared" ref="D4:D67" si="2">IF(NOT(ISBLANK(INDEX(currentDESC,ROW(D1)))),INDEX(currentDESC,ROW(D1)),"")</f>
        <v/>
      </c>
      <c r="E4" s="24" t="str">
        <f t="shared" ref="E4:E67" si="3">IF(NOT(ISBLANK(INDEX(currentCMORPH,ROW(E1)))),INDEX(currentCMORPH,ROW(E1)),"")</f>
        <v/>
      </c>
      <c r="F4" s="32" t="str">
        <f t="shared" ref="F4:F67" si="4">IF(NOT(ISBLANK(INDEX(currentTHW,ROW(F1)))),INDEX(currentTHW,ROW(F1)),"")</f>
        <v/>
      </c>
      <c r="G4" s="32" t="str">
        <f t="shared" ref="G4:G67" si="5">IF(NOT(ISBLANK(INDEX(currentWS,ROW(G1)))),INDEX(currentWS,ROW(G1)),"")</f>
        <v/>
      </c>
      <c r="H4" s="32" t="str">
        <f t="shared" ref="H4:H67" si="6">IF(NOT(OR(ISBLANK(INDEX(currentINTERPWS,ROW(H1))),INDEX(currentINTERPWS,ROW(H1))=0)),INDEX(currentINTERPWS,ROW(H1)),"")</f>
        <v/>
      </c>
      <c r="I4" s="32" t="str">
        <f>IFERROR(IF(H4-F4&gt;=0,H4-F4,"NEG"),"")</f>
        <v/>
      </c>
      <c r="J4" s="32" t="str">
        <f t="shared" ref="J4:J67" si="7">IF(NOT(ISBLANK(INDEX(currentBKF,ROW(G1)))),INDEX(currentBKF,ROW(G1)),"")</f>
        <v/>
      </c>
      <c r="K4" s="32" t="str">
        <f>IF(ISNUMBER(A4),Profile!$V$25+Profile!$V$24*'Ri-Po'!C4,"")</f>
        <v/>
      </c>
      <c r="L4" s="32" t="str">
        <f>IFERROR(K4-F4,"")</f>
        <v/>
      </c>
      <c r="M4" s="32" t="str">
        <f t="shared" ref="M4:M67" si="8">IF(NOT(ISBLANK(INDEX(currentTOB,ROW(H1)))),INDEX(currentTOB,ROW(H1)),"")</f>
        <v/>
      </c>
      <c r="N4" s="32" t="str">
        <f t="shared" ref="N4:N67" si="9">IF(ISNUMBER(A4),INDEX(currentINTTOB,ROW(I1)),"")</f>
        <v/>
      </c>
      <c r="O4" s="32" t="str">
        <f>IF(AND(ISNUMBER(G4),ISNUMBER(J4)),J4-G4,"")</f>
        <v/>
      </c>
      <c r="P4" s="32" t="str">
        <f>IF(ISNUMBER(A4),K4-F4,"")</f>
        <v/>
      </c>
      <c r="Q4" s="32" t="str">
        <f>IF(ISNUMBER(A4),N4-F4,"")</f>
        <v/>
      </c>
      <c r="R4" s="32" t="str">
        <f>IF(ISNUMBER(Q4),Q4/P4,"")</f>
        <v/>
      </c>
      <c r="S4" s="24" t="str">
        <f>IF(ISNUMBER(SEARCH("bri",E4)),"BEGIN","")</f>
        <v/>
      </c>
      <c r="T4" s="24" t="str">
        <f>IF(ISNUMBER(SEARCH("eri",E4)),"END","")</f>
        <v/>
      </c>
      <c r="U4" s="24" t="str">
        <f>IF(ISNUMBER(SEARCH("bpo",E4)),"BEGIN","")</f>
        <v/>
      </c>
      <c r="V4" s="24" t="str">
        <f>IF(ISNUMBER(SEARCH("epo",E4)),"END","")</f>
        <v/>
      </c>
      <c r="W4" s="23" t="str">
        <f t="array" ref="W4">IFERROR(SMALL(IF(S$1:S$1000="BEGIN",ROW(S$1:S$1000)),ROW()-3),"")</f>
        <v/>
      </c>
      <c r="X4" s="23" t="str">
        <f t="array" ref="X4">IFERROR(SMALL(IF(T$1:T$1000="END",ROW(T$1:T$1000)),ROW()-3),"")</f>
        <v/>
      </c>
      <c r="Y4" s="33" t="str">
        <f t="array" ref="Y4">IF(ISNUMBER(W4),MAX(IF((B$4:B$1000&lt;=X4)*(B$4:B$1000&gt;=W4),I$4:I$1000, "")),"")</f>
        <v/>
      </c>
      <c r="Z4" s="33" t="str">
        <f>IFERROR(INDEX(C:C,W4),"")</f>
        <v/>
      </c>
      <c r="AA4" s="32" t="str">
        <f>IFERROR(INDEX(C:C,X4),"")</f>
        <v/>
      </c>
      <c r="AB4" s="32" t="str">
        <f>IFERROR(AA4-Z4,"")</f>
        <v/>
      </c>
      <c r="AC4" s="32" t="str">
        <f>IFERROR(INDEX(H:H,W4),"")</f>
        <v/>
      </c>
      <c r="AD4" s="32" t="str">
        <f>IFERROR(INDEX(H:H,X4),"")</f>
        <v/>
      </c>
      <c r="AE4" s="34" t="str">
        <f>IFERROR((AC4-AD4)/(AB4),"")</f>
        <v/>
      </c>
      <c r="AF4" s="32" t="str">
        <f>IF(ISNUMBER(Z4),INDEX($Q$1:$Q$1000,W4),"")</f>
        <v/>
      </c>
      <c r="AG4" s="32" t="str">
        <f>IF(ISNUMBER(Z4),INDEX($P$1:$P$1000,W4),"")</f>
        <v/>
      </c>
      <c r="AH4" s="32" t="str">
        <f>IF(ISNUMBER(Z4),AF4/AG4,"")</f>
        <v/>
      </c>
      <c r="AI4" s="35" t="str">
        <f>IFERROR(AE4/BB$19,"")</f>
        <v/>
      </c>
      <c r="AJ4" s="23" t="str">
        <f t="array" ref="AJ4">IFERROR(SMALL(IF(U$1:U$1000="BEGIN",ROW(U$1:U$1000)),ROW()-3),"")</f>
        <v/>
      </c>
      <c r="AK4" s="23" t="str">
        <f t="array" ref="AK4">IFERROR(SMALL(IF(V$1:V$1000="END",ROW(V$1:V$1000)),ROW()-3),"")</f>
        <v/>
      </c>
      <c r="AL4" s="24" t="str">
        <f t="array" ref="AL4">IF(AK4="","",MATCH(AM4,L:L,0))</f>
        <v/>
      </c>
      <c r="AM4" s="35">
        <f t="array" ref="AM4">MAX(IF((B$4:B$1000&lt;=AK4)*(B$4:B$1000&gt;=AJ4),L$4:L$1000, ""))</f>
        <v>0</v>
      </c>
      <c r="AN4" s="32" t="str">
        <f>IFERROR(INDEX(C:C,AJ4),"")</f>
        <v/>
      </c>
      <c r="AO4" s="32" t="str">
        <f>IFERROR(INDEX(C:C,AK4),"")</f>
        <v/>
      </c>
      <c r="AP4" s="32" t="str">
        <f>IFERROR(INDEX(C:C,AL4),"")</f>
        <v/>
      </c>
      <c r="AQ4" s="32" t="str">
        <f>IF(ISNUMBER(AN4),AM4,"")</f>
        <v/>
      </c>
      <c r="AR4" s="32" t="str">
        <f>IFERROR(AO4-AN4,"")</f>
        <v/>
      </c>
      <c r="AS4" s="32" t="str">
        <f>IFERROR(INDEX(H:H,AJ4),"")</f>
        <v/>
      </c>
      <c r="AT4" s="32" t="str">
        <f>IFERROR(INDEX(H:H,AK4),"")</f>
        <v/>
      </c>
      <c r="AU4" s="34" t="str">
        <f>IFERROR((AS4-AT4)/(AR4),"")</f>
        <v/>
      </c>
      <c r="AV4" s="32" t="str">
        <f>IFERROR(AQ4/$BB$17,"")</f>
        <v/>
      </c>
      <c r="AW4" s="32" t="str">
        <f>IFERROR(AU4/BB$19,"")</f>
        <v/>
      </c>
      <c r="AX4" s="32" t="str">
        <f>IFERROR(AP5-AP4,"")</f>
        <v/>
      </c>
      <c r="AY4" s="32" t="str">
        <f t="shared" ref="AY4" si="10">IFERROR(AX4/BB$16,"")</f>
        <v/>
      </c>
      <c r="AZ4" s="23"/>
      <c r="BA4" s="39" t="e">
        <f>AVERAGE(AE4:AE97)</f>
        <v>#DIV/0!</v>
      </c>
      <c r="BB4" s="40" t="e">
        <f>AVERAGE(AB4:AB81)</f>
        <v>#DIV/0!</v>
      </c>
      <c r="BC4" s="46" t="s">
        <v>41</v>
      </c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44"/>
      <c r="DF4" s="44"/>
      <c r="DG4" s="44"/>
      <c r="DH4" s="44"/>
      <c r="DI4" s="44"/>
      <c r="DJ4" s="44"/>
      <c r="DK4" s="44"/>
      <c r="DL4" s="44"/>
      <c r="DM4" s="44"/>
      <c r="DN4" s="44"/>
      <c r="DO4" s="44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44"/>
      <c r="FJ4" s="44"/>
      <c r="FK4" s="44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44"/>
      <c r="GN4" s="44"/>
      <c r="GO4" s="44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44"/>
      <c r="HT4" s="44"/>
      <c r="HU4" s="44"/>
      <c r="HV4" s="44"/>
      <c r="HW4" s="44"/>
      <c r="HX4" s="44"/>
      <c r="HY4" s="44"/>
      <c r="HZ4" s="44"/>
      <c r="IA4" s="44"/>
      <c r="IB4" s="44"/>
      <c r="IC4" s="44"/>
      <c r="ID4" s="44"/>
      <c r="IE4" s="44"/>
      <c r="IF4" s="44"/>
      <c r="IG4" s="44"/>
      <c r="IH4" s="44"/>
      <c r="II4" s="44"/>
      <c r="IJ4" s="44"/>
      <c r="IK4" s="44"/>
      <c r="IL4" s="44"/>
      <c r="IM4" s="44"/>
      <c r="IN4" s="44"/>
      <c r="IO4" s="44"/>
      <c r="IP4" s="44"/>
      <c r="IQ4" s="44"/>
      <c r="IR4" s="44"/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44"/>
      <c r="JJ4" s="44"/>
      <c r="JK4" s="44"/>
      <c r="JL4" s="44"/>
      <c r="JM4" s="44"/>
      <c r="JN4" s="44"/>
      <c r="JO4" s="44"/>
      <c r="JP4" s="44"/>
      <c r="JQ4" s="44"/>
      <c r="JR4" s="44"/>
      <c r="JS4" s="44"/>
      <c r="JT4" s="44"/>
      <c r="JU4" s="44"/>
      <c r="JV4" s="44"/>
      <c r="JW4" s="44"/>
      <c r="JX4" s="44"/>
      <c r="JY4" s="44"/>
      <c r="JZ4" s="44"/>
      <c r="KA4" s="44"/>
    </row>
    <row r="5" spans="1:287" x14ac:dyDescent="0.25">
      <c r="A5" s="24" t="str">
        <f t="shared" si="0"/>
        <v/>
      </c>
      <c r="B5" s="24" t="str">
        <f t="shared" ref="B5:B68" si="11">IF(NOT(A5=""),ROW(B5),"")</f>
        <v/>
      </c>
      <c r="C5" s="32" t="str">
        <f t="shared" si="1"/>
        <v/>
      </c>
      <c r="D5" s="24" t="str">
        <f t="shared" si="2"/>
        <v/>
      </c>
      <c r="E5" s="24" t="str">
        <f t="shared" si="3"/>
        <v/>
      </c>
      <c r="F5" s="32" t="str">
        <f t="shared" si="4"/>
        <v/>
      </c>
      <c r="G5" s="32" t="str">
        <f t="shared" si="5"/>
        <v/>
      </c>
      <c r="H5" s="32" t="str">
        <f t="shared" ca="1" si="6"/>
        <v/>
      </c>
      <c r="I5" s="32" t="str">
        <f t="shared" ref="I5:I68" ca="1" si="12">IFERROR(IF(H5-F5&gt;=0,H5-F5,"NEG"),"")</f>
        <v/>
      </c>
      <c r="J5" s="32" t="str">
        <f t="shared" si="7"/>
        <v/>
      </c>
      <c r="K5" s="32" t="str">
        <f>IF(ISNUMBER(A5),Profile!$V$25+Profile!$V$24*'Ri-Po'!C5,"")</f>
        <v/>
      </c>
      <c r="L5" s="32" t="str">
        <f t="shared" ref="L5:L68" si="13">IFERROR(K5-F5,"")</f>
        <v/>
      </c>
      <c r="M5" s="32" t="str">
        <f t="shared" si="8"/>
        <v/>
      </c>
      <c r="N5" s="32" t="str">
        <f t="shared" si="9"/>
        <v/>
      </c>
      <c r="O5" s="32" t="str">
        <f t="shared" ref="O5" si="14">IF(AND(ISNUMBER(G5),ISNUMBER(J5)),J5-G5,"")</f>
        <v/>
      </c>
      <c r="P5" s="32" t="str">
        <f t="shared" ref="P5:P68" si="15">IF(ISNUMBER(A5),K5-F5,"")</f>
        <v/>
      </c>
      <c r="Q5" s="32" t="str">
        <f t="shared" ref="Q5:Q68" si="16">IF(ISNUMBER(A5),N5-F5,"")</f>
        <v/>
      </c>
      <c r="R5" s="32" t="str">
        <f t="shared" ref="R5" si="17">IF(ISNUMBER(Q5),Q5/P5,"")</f>
        <v/>
      </c>
      <c r="S5" s="24" t="str">
        <f t="shared" ref="S5" si="18">IF(ISNUMBER(SEARCH("bri",E5)),"BEGIN","")</f>
        <v/>
      </c>
      <c r="T5" s="24" t="str">
        <f t="shared" ref="T5" si="19">IF(ISNUMBER(SEARCH("eri",E5)),"END","")</f>
        <v/>
      </c>
      <c r="U5" s="24" t="str">
        <f t="shared" ref="U5" si="20">IF(ISNUMBER(SEARCH("bpo",E5)),"BEGIN","")</f>
        <v/>
      </c>
      <c r="V5" s="24" t="str">
        <f t="shared" ref="V5" si="21">IF(ISNUMBER(SEARCH("epo",E5)),"END","")</f>
        <v/>
      </c>
      <c r="W5" s="23" t="str">
        <f t="array" ref="W5">IFERROR(SMALL(IF(S$1:S$1000="BEGIN",ROW(S$1:S$1000)),ROW()-3),"")</f>
        <v/>
      </c>
      <c r="X5" s="23" t="str">
        <f t="array" ref="X5">IFERROR(SMALL(IF(T$1:T$1000="END",ROW(T$1:T$1000)),ROW()-3),"")</f>
        <v/>
      </c>
      <c r="Y5" s="33" t="str">
        <f t="array" ref="Y5">IF(ISNUMBER(W5),MAX(IF((B$4:B$1000&lt;=X5)*(B$4:B$1000&gt;=W5),I$4:I$1000, "")),"")</f>
        <v/>
      </c>
      <c r="Z5" s="33" t="str">
        <f t="shared" ref="Z5:Z68" si="22">IFERROR(INDEX(C:C,W5),"")</f>
        <v/>
      </c>
      <c r="AA5" s="32" t="str">
        <f t="shared" ref="AA5:AA68" si="23">IFERROR(INDEX(C:C,X5),"")</f>
        <v/>
      </c>
      <c r="AB5" s="32" t="str">
        <f t="shared" ref="AB5:AB68" si="24">IFERROR(AA5-Z5,"")</f>
        <v/>
      </c>
      <c r="AC5" s="32" t="str">
        <f t="shared" ref="AC5:AC68" si="25">IFERROR(INDEX(H:H,W5),"")</f>
        <v/>
      </c>
      <c r="AD5" s="32" t="str">
        <f t="shared" ref="AD5:AD68" si="26">IFERROR(INDEX(H:H,X5),"")</f>
        <v/>
      </c>
      <c r="AE5" s="34" t="str">
        <f t="shared" ref="AE5:AE68" si="27">IFERROR((AC5-AD5)/(AB5),"")</f>
        <v/>
      </c>
      <c r="AF5" s="32" t="str">
        <f t="shared" ref="AF5:AF68" si="28">IF(ISNUMBER(Z5),INDEX($Q$1:$Q$1000,W5),"")</f>
        <v/>
      </c>
      <c r="AG5" s="32" t="str">
        <f t="shared" ref="AG5:AG68" si="29">IF(ISNUMBER(Z5),INDEX($P$1:$P$1000,W5),"")</f>
        <v/>
      </c>
      <c r="AH5" s="32" t="str">
        <f t="shared" ref="AH5:AH68" si="30">IF(ISNUMBER(Z5),AF5/AG5,"")</f>
        <v/>
      </c>
      <c r="AI5" s="35" t="str">
        <f t="shared" ref="AI5:AI68" si="31">IFERROR(AE5/BB$19,"")</f>
        <v/>
      </c>
      <c r="AJ5" s="23" t="str">
        <f t="array" ref="AJ5">IFERROR(SMALL(IF(U$1:U$1000="BEGIN",ROW(U$1:U$1000)),ROW()-3),"")</f>
        <v/>
      </c>
      <c r="AK5" s="23" t="str">
        <f t="array" ref="AK5">IFERROR(SMALL(IF(V$1:V$1000="END",ROW(V$1:V$1000)),ROW()-3),"")</f>
        <v/>
      </c>
      <c r="AL5" s="24" t="str">
        <f t="array" ref="AL5">IF(AK5="","",MATCH(AM5,L:L,0))</f>
        <v/>
      </c>
      <c r="AM5" s="35">
        <f t="array" ref="AM5">MAX(IF((B$4:B$1000&lt;=AK5)*(B$4:B$1000&gt;=AJ5),L$4:L$1000, ""))</f>
        <v>0</v>
      </c>
      <c r="AN5" s="32" t="str">
        <f t="shared" ref="AN5:AN17" si="32">IFERROR(INDEX(C:C,AJ5),"")</f>
        <v/>
      </c>
      <c r="AO5" s="32" t="str">
        <f t="shared" ref="AO5:AO17" si="33">IFERROR(INDEX(C:C,AK5),"")</f>
        <v/>
      </c>
      <c r="AP5" s="32" t="str">
        <f t="shared" ref="AP5:AP17" si="34">IFERROR(INDEX(C:C,AL5),"")</f>
        <v/>
      </c>
      <c r="AQ5" s="32" t="str">
        <f t="shared" ref="AQ5:AQ17" si="35">IF(ISNUMBER(AN5),AM5,"")</f>
        <v/>
      </c>
      <c r="AR5" s="32" t="str">
        <f t="shared" ref="AR5:AR17" si="36">IFERROR(AO5-AN5,"")</f>
        <v/>
      </c>
      <c r="AS5" s="32" t="str">
        <f t="shared" ref="AS5:AS17" si="37">IFERROR(INDEX(H:H,AJ5),"")</f>
        <v/>
      </c>
      <c r="AT5" s="32" t="str">
        <f t="shared" ref="AT5:AT17" si="38">IFERROR(INDEX(H:H,AK5),"")</f>
        <v/>
      </c>
      <c r="AU5" s="34" t="str">
        <f t="shared" ref="AU5:AU17" si="39">IFERROR((AS5-AT5)/(AR5),"")</f>
        <v/>
      </c>
      <c r="AV5" s="32" t="str">
        <f t="shared" ref="AV5:AV17" si="40">IFERROR(AQ5/$BB$17,"")</f>
        <v/>
      </c>
      <c r="AW5" s="32" t="str">
        <f t="shared" ref="AW5:AW17" si="41">IFERROR(AU5/BB$19,"")</f>
        <v/>
      </c>
      <c r="AX5" s="32" t="str">
        <f t="shared" ref="AX5:AX17" si="42">IFERROR(AP6-AP5,"")</f>
        <v/>
      </c>
      <c r="AY5" s="32" t="str">
        <f t="shared" ref="AY5:AY17" si="43">IFERROR(AX5/BB$16,"")</f>
        <v/>
      </c>
      <c r="BA5" s="39" t="e">
        <f>MEDIAN(AE4:AE97)</f>
        <v>#NUM!</v>
      </c>
      <c r="BB5" s="40" t="e">
        <f>MEDIAN(AB4:AB81)</f>
        <v>#NUM!</v>
      </c>
      <c r="BC5" s="46" t="s">
        <v>42</v>
      </c>
    </row>
    <row r="6" spans="1:287" x14ac:dyDescent="0.25">
      <c r="A6" s="24" t="str">
        <f t="shared" si="0"/>
        <v/>
      </c>
      <c r="B6" s="24" t="str">
        <f t="shared" si="11"/>
        <v/>
      </c>
      <c r="C6" s="32" t="str">
        <f t="shared" si="1"/>
        <v/>
      </c>
      <c r="D6" s="24" t="str">
        <f t="shared" si="2"/>
        <v/>
      </c>
      <c r="E6" s="24" t="str">
        <f t="shared" si="3"/>
        <v/>
      </c>
      <c r="F6" s="32" t="str">
        <f t="shared" si="4"/>
        <v/>
      </c>
      <c r="G6" s="32" t="str">
        <f t="shared" si="5"/>
        <v/>
      </c>
      <c r="H6" s="32" t="str">
        <f t="shared" ca="1" si="6"/>
        <v/>
      </c>
      <c r="I6" s="32" t="str">
        <f t="shared" ca="1" si="12"/>
        <v/>
      </c>
      <c r="J6" s="32" t="str">
        <f t="shared" si="7"/>
        <v/>
      </c>
      <c r="K6" s="32" t="str">
        <f>IF(ISNUMBER(A6),Profile!$V$25+Profile!$V$24*'Ri-Po'!C6,"")</f>
        <v/>
      </c>
      <c r="L6" s="32" t="str">
        <f t="shared" si="13"/>
        <v/>
      </c>
      <c r="M6" s="32" t="str">
        <f t="shared" si="8"/>
        <v/>
      </c>
      <c r="N6" s="32" t="str">
        <f t="shared" si="9"/>
        <v/>
      </c>
      <c r="O6" s="32" t="str">
        <f t="shared" ref="O6:O69" si="44">IF(AND(ISNUMBER(G6),ISNUMBER(J6)),J6-G6,"")</f>
        <v/>
      </c>
      <c r="P6" s="32" t="str">
        <f t="shared" si="15"/>
        <v/>
      </c>
      <c r="Q6" s="32" t="str">
        <f t="shared" si="16"/>
        <v/>
      </c>
      <c r="R6" s="32" t="str">
        <f t="shared" ref="R6:R69" si="45">IF(ISNUMBER(Q6),Q6/P6,"")</f>
        <v/>
      </c>
      <c r="S6" s="24" t="str">
        <f t="shared" ref="S6:S69" si="46">IF(ISNUMBER(SEARCH("bri",E6)),"BEGIN","")</f>
        <v/>
      </c>
      <c r="T6" s="24" t="str">
        <f t="shared" ref="T6:T69" si="47">IF(ISNUMBER(SEARCH("eri",E6)),"END","")</f>
        <v/>
      </c>
      <c r="U6" s="24" t="str">
        <f t="shared" ref="U6:U69" si="48">IF(ISNUMBER(SEARCH("bpo",E6)),"BEGIN","")</f>
        <v/>
      </c>
      <c r="V6" s="24" t="str">
        <f t="shared" ref="V6:V69" si="49">IF(ISNUMBER(SEARCH("epo",E6)),"END","")</f>
        <v/>
      </c>
      <c r="W6" s="23" t="str">
        <f t="array" ref="W6">IFERROR(SMALL(IF(S$1:S$1000="BEGIN",ROW(S$1:S$1000)),ROW()-3),"")</f>
        <v/>
      </c>
      <c r="X6" s="23" t="str">
        <f t="array" ref="X6">IFERROR(SMALL(IF(T$1:T$1000="END",ROW(T$1:T$1000)),ROW()-3),"")</f>
        <v/>
      </c>
      <c r="Y6" s="33" t="str">
        <f t="array" ref="Y6">IF(ISNUMBER(W6),MAX(IF((B$4:B$1000&lt;=X6)*(B$4:B$1000&gt;=W6),I$4:I$1000, "")),"")</f>
        <v/>
      </c>
      <c r="Z6" s="33" t="str">
        <f t="shared" si="22"/>
        <v/>
      </c>
      <c r="AA6" s="32" t="str">
        <f t="shared" si="23"/>
        <v/>
      </c>
      <c r="AB6" s="32" t="str">
        <f t="shared" si="24"/>
        <v/>
      </c>
      <c r="AC6" s="32" t="str">
        <f t="shared" si="25"/>
        <v/>
      </c>
      <c r="AD6" s="32" t="str">
        <f t="shared" si="26"/>
        <v/>
      </c>
      <c r="AE6" s="34" t="str">
        <f t="shared" si="27"/>
        <v/>
      </c>
      <c r="AF6" s="32" t="str">
        <f t="shared" si="28"/>
        <v/>
      </c>
      <c r="AG6" s="32" t="str">
        <f t="shared" si="29"/>
        <v/>
      </c>
      <c r="AH6" s="32" t="str">
        <f t="shared" si="30"/>
        <v/>
      </c>
      <c r="AI6" s="35" t="str">
        <f t="shared" si="31"/>
        <v/>
      </c>
      <c r="AJ6" s="23" t="str">
        <f t="array" ref="AJ6">IFERROR(SMALL(IF(U$1:U$1000="BEGIN",ROW(U$1:U$1000)),ROW()-3),"")</f>
        <v/>
      </c>
      <c r="AK6" s="23" t="str">
        <f t="array" ref="AK6">IFERROR(SMALL(IF(V$1:V$1000="END",ROW(V$1:V$1000)),ROW()-3),"")</f>
        <v/>
      </c>
      <c r="AL6" s="24" t="str">
        <f t="array" ref="AL6">IF(AK6="","",MATCH(AM6,L:L,0))</f>
        <v/>
      </c>
      <c r="AM6" s="35">
        <f t="array" ref="AM6">MAX(IF((B$4:B$1000&lt;=AK6)*(B$4:B$1000&gt;=AJ6),L$4:L$1000, ""))</f>
        <v>0</v>
      </c>
      <c r="AN6" s="32" t="str">
        <f t="shared" si="32"/>
        <v/>
      </c>
      <c r="AO6" s="32" t="str">
        <f t="shared" si="33"/>
        <v/>
      </c>
      <c r="AP6" s="32" t="str">
        <f t="shared" si="34"/>
        <v/>
      </c>
      <c r="AQ6" s="32" t="str">
        <f t="shared" si="35"/>
        <v/>
      </c>
      <c r="AR6" s="32" t="str">
        <f t="shared" si="36"/>
        <v/>
      </c>
      <c r="AS6" s="32" t="str">
        <f t="shared" si="37"/>
        <v/>
      </c>
      <c r="AT6" s="32" t="str">
        <f t="shared" si="38"/>
        <v/>
      </c>
      <c r="AU6" s="34" t="str">
        <f t="shared" si="39"/>
        <v/>
      </c>
      <c r="AV6" s="32" t="str">
        <f t="shared" si="40"/>
        <v/>
      </c>
      <c r="AW6" s="32" t="str">
        <f t="shared" si="41"/>
        <v/>
      </c>
      <c r="AX6" s="32" t="str">
        <f t="shared" si="42"/>
        <v/>
      </c>
      <c r="AY6" s="32" t="str">
        <f t="shared" si="43"/>
        <v/>
      </c>
      <c r="BA6" s="39">
        <f>MAX(AE4:AE97)</f>
        <v>0</v>
      </c>
      <c r="BB6" s="40">
        <f>MAX(AB4:AB81)</f>
        <v>0</v>
      </c>
      <c r="BC6" s="46" t="s">
        <v>43</v>
      </c>
    </row>
    <row r="7" spans="1:287" x14ac:dyDescent="0.25">
      <c r="A7" s="24" t="str">
        <f t="shared" si="0"/>
        <v/>
      </c>
      <c r="B7" s="24" t="str">
        <f t="shared" si="11"/>
        <v/>
      </c>
      <c r="C7" s="32" t="str">
        <f t="shared" si="1"/>
        <v/>
      </c>
      <c r="D7" s="24" t="str">
        <f t="shared" si="2"/>
        <v/>
      </c>
      <c r="E7" s="24" t="str">
        <f t="shared" si="3"/>
        <v/>
      </c>
      <c r="F7" s="32" t="str">
        <f t="shared" si="4"/>
        <v/>
      </c>
      <c r="G7" s="32" t="str">
        <f t="shared" si="5"/>
        <v/>
      </c>
      <c r="H7" s="32" t="str">
        <f t="shared" ca="1" si="6"/>
        <v/>
      </c>
      <c r="I7" s="32" t="str">
        <f t="shared" ca="1" si="12"/>
        <v/>
      </c>
      <c r="J7" s="32" t="str">
        <f t="shared" si="7"/>
        <v/>
      </c>
      <c r="K7" s="32" t="str">
        <f>IF(ISNUMBER(A7),Profile!$V$25+Profile!$V$24*'Ri-Po'!C7,"")</f>
        <v/>
      </c>
      <c r="L7" s="32" t="str">
        <f t="shared" si="13"/>
        <v/>
      </c>
      <c r="M7" s="32" t="str">
        <f t="shared" si="8"/>
        <v/>
      </c>
      <c r="N7" s="32" t="str">
        <f t="shared" si="9"/>
        <v/>
      </c>
      <c r="O7" s="32" t="str">
        <f t="shared" si="44"/>
        <v/>
      </c>
      <c r="P7" s="32" t="str">
        <f t="shared" si="15"/>
        <v/>
      </c>
      <c r="Q7" s="32" t="str">
        <f t="shared" si="16"/>
        <v/>
      </c>
      <c r="R7" s="32" t="str">
        <f t="shared" si="45"/>
        <v/>
      </c>
      <c r="S7" s="24" t="str">
        <f t="shared" si="46"/>
        <v/>
      </c>
      <c r="T7" s="24" t="str">
        <f t="shared" si="47"/>
        <v/>
      </c>
      <c r="U7" s="24" t="str">
        <f t="shared" si="48"/>
        <v/>
      </c>
      <c r="V7" s="24" t="str">
        <f t="shared" si="49"/>
        <v/>
      </c>
      <c r="W7" s="23" t="str">
        <f t="array" ref="W7">IFERROR(SMALL(IF(S$1:S$1000="BEGIN",ROW(S$1:S$1000)),ROW()-3),"")</f>
        <v/>
      </c>
      <c r="X7" s="23" t="str">
        <f t="array" ref="X7">IFERROR(SMALL(IF(T$1:T$1000="END",ROW(T$1:T$1000)),ROW()-3),"")</f>
        <v/>
      </c>
      <c r="Y7" s="33" t="str">
        <f t="array" ref="Y7">IF(ISNUMBER(W7),MAX(IF((B$4:B$1000&lt;=X7)*(B$4:B$1000&gt;=W7),I$4:I$1000, "")),"")</f>
        <v/>
      </c>
      <c r="Z7" s="33" t="str">
        <f t="shared" si="22"/>
        <v/>
      </c>
      <c r="AA7" s="32" t="str">
        <f t="shared" si="23"/>
        <v/>
      </c>
      <c r="AB7" s="32" t="str">
        <f t="shared" si="24"/>
        <v/>
      </c>
      <c r="AC7" s="32" t="str">
        <f t="shared" si="25"/>
        <v/>
      </c>
      <c r="AD7" s="32" t="str">
        <f t="shared" si="26"/>
        <v/>
      </c>
      <c r="AE7" s="34" t="str">
        <f t="shared" si="27"/>
        <v/>
      </c>
      <c r="AF7" s="32" t="str">
        <f t="shared" si="28"/>
        <v/>
      </c>
      <c r="AG7" s="32" t="str">
        <f t="shared" si="29"/>
        <v/>
      </c>
      <c r="AH7" s="32" t="str">
        <f t="shared" si="30"/>
        <v/>
      </c>
      <c r="AI7" s="35" t="str">
        <f t="shared" si="31"/>
        <v/>
      </c>
      <c r="AJ7" s="23" t="str">
        <f t="array" ref="AJ7">IFERROR(SMALL(IF(U$1:U$1000="BEGIN",ROW(U$1:U$1000)),ROW()-3),"")</f>
        <v/>
      </c>
      <c r="AK7" s="23" t="str">
        <f t="array" ref="AK7">IFERROR(SMALL(IF(V$1:V$1000="END",ROW(V$1:V$1000)),ROW()-3),"")</f>
        <v/>
      </c>
      <c r="AL7" s="24" t="str">
        <f t="array" ref="AL7">IF(AK7="","",MATCH(AM7,L:L,0))</f>
        <v/>
      </c>
      <c r="AM7" s="35">
        <f t="array" ref="AM7">MAX(IF((B$4:B$1000&lt;=AK7)*(B$4:B$1000&gt;=AJ7),L$4:L$1000, ""))</f>
        <v>0</v>
      </c>
      <c r="AN7" s="32" t="str">
        <f t="shared" si="32"/>
        <v/>
      </c>
      <c r="AO7" s="32" t="str">
        <f t="shared" si="33"/>
        <v/>
      </c>
      <c r="AP7" s="32" t="str">
        <f t="shared" si="34"/>
        <v/>
      </c>
      <c r="AQ7" s="32" t="str">
        <f t="shared" si="35"/>
        <v/>
      </c>
      <c r="AR7" s="32" t="str">
        <f t="shared" si="36"/>
        <v/>
      </c>
      <c r="AS7" s="32" t="str">
        <f t="shared" si="37"/>
        <v/>
      </c>
      <c r="AT7" s="32" t="str">
        <f t="shared" si="38"/>
        <v/>
      </c>
      <c r="AU7" s="34" t="str">
        <f t="shared" si="39"/>
        <v/>
      </c>
      <c r="AV7" s="32" t="str">
        <f t="shared" si="40"/>
        <v/>
      </c>
      <c r="AW7" s="32" t="str">
        <f t="shared" si="41"/>
        <v/>
      </c>
      <c r="AX7" s="32" t="str">
        <f t="shared" si="42"/>
        <v/>
      </c>
      <c r="AY7" s="32" t="str">
        <f t="shared" si="43"/>
        <v/>
      </c>
      <c r="BA7" s="39" t="e">
        <f>_xlfn.STDEV.P(AE4:AE97)</f>
        <v>#DIV/0!</v>
      </c>
      <c r="BB7" s="40" t="e">
        <f>_xlfn.STDEV.P(AB4:AB81)</f>
        <v>#DIV/0!</v>
      </c>
      <c r="BC7" s="46" t="s">
        <v>44</v>
      </c>
    </row>
    <row r="8" spans="1:287" x14ac:dyDescent="0.25">
      <c r="A8" s="24" t="str">
        <f t="shared" si="0"/>
        <v/>
      </c>
      <c r="B8" s="24" t="str">
        <f t="shared" si="11"/>
        <v/>
      </c>
      <c r="C8" s="32" t="str">
        <f t="shared" si="1"/>
        <v/>
      </c>
      <c r="D8" s="24" t="str">
        <f t="shared" si="2"/>
        <v/>
      </c>
      <c r="E8" s="24" t="str">
        <f t="shared" si="3"/>
        <v/>
      </c>
      <c r="F8" s="32" t="str">
        <f t="shared" si="4"/>
        <v/>
      </c>
      <c r="G8" s="32" t="str">
        <f t="shared" si="5"/>
        <v/>
      </c>
      <c r="H8" s="32" t="str">
        <f t="shared" ca="1" si="6"/>
        <v/>
      </c>
      <c r="I8" s="32" t="str">
        <f t="shared" ca="1" si="12"/>
        <v/>
      </c>
      <c r="J8" s="32" t="str">
        <f t="shared" si="7"/>
        <v/>
      </c>
      <c r="K8" s="32" t="str">
        <f>IF(ISNUMBER(A8),Profile!$V$25+Profile!$V$24*'Ri-Po'!C8,"")</f>
        <v/>
      </c>
      <c r="L8" s="32" t="str">
        <f t="shared" si="13"/>
        <v/>
      </c>
      <c r="M8" s="32" t="str">
        <f t="shared" si="8"/>
        <v/>
      </c>
      <c r="N8" s="32" t="str">
        <f t="shared" si="9"/>
        <v/>
      </c>
      <c r="O8" s="32" t="str">
        <f t="shared" si="44"/>
        <v/>
      </c>
      <c r="P8" s="32" t="str">
        <f t="shared" si="15"/>
        <v/>
      </c>
      <c r="Q8" s="32" t="str">
        <f t="shared" si="16"/>
        <v/>
      </c>
      <c r="R8" s="32" t="str">
        <f t="shared" si="45"/>
        <v/>
      </c>
      <c r="S8" s="24" t="str">
        <f t="shared" si="46"/>
        <v/>
      </c>
      <c r="T8" s="24" t="str">
        <f t="shared" si="47"/>
        <v/>
      </c>
      <c r="U8" s="24" t="str">
        <f t="shared" si="48"/>
        <v/>
      </c>
      <c r="V8" s="24" t="str">
        <f t="shared" si="49"/>
        <v/>
      </c>
      <c r="W8" s="23" t="str">
        <f t="array" ref="W8">IFERROR(SMALL(IF(S$1:S$1000="BEGIN",ROW(S$1:S$1000)),ROW()-3),"")</f>
        <v/>
      </c>
      <c r="X8" s="23" t="str">
        <f t="array" ref="X8">IFERROR(SMALL(IF(T$1:T$1000="END",ROW(T$1:T$1000)),ROW()-3),"")</f>
        <v/>
      </c>
      <c r="Y8" s="33" t="str">
        <f t="array" ref="Y8">IF(ISNUMBER(W8),MAX(IF((B$4:B$1000&lt;=X8)*(B$4:B$1000&gt;=W8),I$4:I$1000, "")),"")</f>
        <v/>
      </c>
      <c r="Z8" s="33" t="str">
        <f t="shared" si="22"/>
        <v/>
      </c>
      <c r="AA8" s="32" t="str">
        <f t="shared" si="23"/>
        <v/>
      </c>
      <c r="AB8" s="32" t="str">
        <f t="shared" si="24"/>
        <v/>
      </c>
      <c r="AC8" s="32" t="str">
        <f t="shared" si="25"/>
        <v/>
      </c>
      <c r="AD8" s="32" t="str">
        <f t="shared" si="26"/>
        <v/>
      </c>
      <c r="AE8" s="34" t="str">
        <f t="shared" si="27"/>
        <v/>
      </c>
      <c r="AF8" s="32" t="str">
        <f t="shared" si="28"/>
        <v/>
      </c>
      <c r="AG8" s="32" t="str">
        <f t="shared" si="29"/>
        <v/>
      </c>
      <c r="AH8" s="32" t="str">
        <f t="shared" si="30"/>
        <v/>
      </c>
      <c r="AI8" s="35" t="str">
        <f t="shared" si="31"/>
        <v/>
      </c>
      <c r="AJ8" s="23" t="str">
        <f t="array" ref="AJ8">IFERROR(SMALL(IF(U$1:U$1000="BEGIN",ROW(U$1:U$1000)),ROW()-3),"")</f>
        <v/>
      </c>
      <c r="AK8" s="23" t="str">
        <f t="array" ref="AK8">IFERROR(SMALL(IF(V$1:V$1000="END",ROW(V$1:V$1000)),ROW()-3),"")</f>
        <v/>
      </c>
      <c r="AL8" s="24" t="str">
        <f t="array" ref="AL8">IF(AK8="","",MATCH(AM8,L:L,0))</f>
        <v/>
      </c>
      <c r="AM8" s="35">
        <f t="array" ref="AM8">MAX(IF((B$4:B$1000&lt;=AK8)*(B$4:B$1000&gt;=AJ8),L$4:L$1000, ""))</f>
        <v>0</v>
      </c>
      <c r="AN8" s="32" t="str">
        <f t="shared" si="32"/>
        <v/>
      </c>
      <c r="AO8" s="32" t="str">
        <f t="shared" si="33"/>
        <v/>
      </c>
      <c r="AP8" s="32" t="str">
        <f t="shared" si="34"/>
        <v/>
      </c>
      <c r="AQ8" s="32" t="str">
        <f t="shared" si="35"/>
        <v/>
      </c>
      <c r="AR8" s="32" t="str">
        <f t="shared" si="36"/>
        <v/>
      </c>
      <c r="AS8" s="32" t="str">
        <f t="shared" si="37"/>
        <v/>
      </c>
      <c r="AT8" s="32" t="str">
        <f t="shared" si="38"/>
        <v/>
      </c>
      <c r="AU8" s="34" t="str">
        <f t="shared" si="39"/>
        <v/>
      </c>
      <c r="AV8" s="32" t="str">
        <f t="shared" si="40"/>
        <v/>
      </c>
      <c r="AW8" s="32" t="str">
        <f t="shared" si="41"/>
        <v/>
      </c>
      <c r="AX8" s="32" t="str">
        <f t="shared" si="42"/>
        <v/>
      </c>
      <c r="AY8" s="32" t="str">
        <f t="shared" si="43"/>
        <v/>
      </c>
      <c r="BC8" s="46"/>
    </row>
    <row r="9" spans="1:287" x14ac:dyDescent="0.25">
      <c r="A9" s="24" t="str">
        <f t="shared" si="0"/>
        <v/>
      </c>
      <c r="B9" s="24" t="str">
        <f t="shared" si="11"/>
        <v/>
      </c>
      <c r="C9" s="32" t="str">
        <f t="shared" si="1"/>
        <v/>
      </c>
      <c r="D9" s="24" t="str">
        <f t="shared" si="2"/>
        <v/>
      </c>
      <c r="E9" s="24" t="str">
        <f t="shared" si="3"/>
        <v/>
      </c>
      <c r="F9" s="32" t="str">
        <f t="shared" si="4"/>
        <v/>
      </c>
      <c r="G9" s="32" t="str">
        <f t="shared" si="5"/>
        <v/>
      </c>
      <c r="H9" s="32" t="str">
        <f t="shared" ca="1" si="6"/>
        <v/>
      </c>
      <c r="I9" s="32" t="str">
        <f t="shared" ca="1" si="12"/>
        <v/>
      </c>
      <c r="J9" s="32" t="str">
        <f t="shared" si="7"/>
        <v/>
      </c>
      <c r="K9" s="32" t="str">
        <f>IF(ISNUMBER(A9),Profile!$V$25+Profile!$V$24*'Ri-Po'!C9,"")</f>
        <v/>
      </c>
      <c r="L9" s="32" t="str">
        <f t="shared" si="13"/>
        <v/>
      </c>
      <c r="M9" s="32" t="str">
        <f t="shared" si="8"/>
        <v/>
      </c>
      <c r="N9" s="32" t="str">
        <f t="shared" si="9"/>
        <v/>
      </c>
      <c r="O9" s="32" t="str">
        <f t="shared" si="44"/>
        <v/>
      </c>
      <c r="P9" s="32" t="str">
        <f t="shared" si="15"/>
        <v/>
      </c>
      <c r="Q9" s="32" t="str">
        <f t="shared" si="16"/>
        <v/>
      </c>
      <c r="R9" s="32" t="str">
        <f t="shared" si="45"/>
        <v/>
      </c>
      <c r="S9" s="24" t="str">
        <f t="shared" si="46"/>
        <v/>
      </c>
      <c r="T9" s="24" t="str">
        <f t="shared" si="47"/>
        <v/>
      </c>
      <c r="U9" s="24" t="str">
        <f t="shared" si="48"/>
        <v/>
      </c>
      <c r="V9" s="24" t="str">
        <f t="shared" si="49"/>
        <v/>
      </c>
      <c r="W9" s="23" t="str">
        <f t="array" ref="W9">IFERROR(SMALL(IF(S$1:S$1000="BEGIN",ROW(S$1:S$1000)),ROW()-3),"")</f>
        <v/>
      </c>
      <c r="X9" s="23" t="str">
        <f t="array" ref="X9">IFERROR(SMALL(IF(T$1:T$1000="END",ROW(T$1:T$1000)),ROW()-3),"")</f>
        <v/>
      </c>
      <c r="Y9" s="33" t="str">
        <f t="array" ref="Y9">IF(ISNUMBER(W9),MAX(IF((B$4:B$1000&lt;=X9)*(B$4:B$1000&gt;=W9),I$4:I$1000, "")),"")</f>
        <v/>
      </c>
      <c r="Z9" s="33" t="str">
        <f t="shared" si="22"/>
        <v/>
      </c>
      <c r="AA9" s="32" t="str">
        <f t="shared" si="23"/>
        <v/>
      </c>
      <c r="AB9" s="32" t="str">
        <f t="shared" si="24"/>
        <v/>
      </c>
      <c r="AC9" s="32" t="str">
        <f t="shared" si="25"/>
        <v/>
      </c>
      <c r="AD9" s="32" t="str">
        <f t="shared" si="26"/>
        <v/>
      </c>
      <c r="AE9" s="34" t="str">
        <f t="shared" si="27"/>
        <v/>
      </c>
      <c r="AF9" s="32" t="str">
        <f t="shared" si="28"/>
        <v/>
      </c>
      <c r="AG9" s="32" t="str">
        <f t="shared" si="29"/>
        <v/>
      </c>
      <c r="AH9" s="32" t="str">
        <f t="shared" si="30"/>
        <v/>
      </c>
      <c r="AI9" s="35" t="str">
        <f t="shared" si="31"/>
        <v/>
      </c>
      <c r="AJ9" s="23" t="str">
        <f t="array" ref="AJ9">IFERROR(SMALL(IF(U$1:U$1000="BEGIN",ROW(U$1:U$1000)),ROW()-3),"")</f>
        <v/>
      </c>
      <c r="AK9" s="23" t="str">
        <f t="array" ref="AK9">IFERROR(SMALL(IF(V$1:V$1000="END",ROW(V$1:V$1000)),ROW()-3),"")</f>
        <v/>
      </c>
      <c r="AL9" s="24" t="str">
        <f t="array" ref="AL9">IF(AK9="","",MATCH(AM9,L:L,0))</f>
        <v/>
      </c>
      <c r="AM9" s="35">
        <f t="array" ref="AM9">MAX(IF((B$4:B$1000&lt;=AK9)*(B$4:B$1000&gt;=AJ9),L$4:L$1000, ""))</f>
        <v>0</v>
      </c>
      <c r="AN9" s="32" t="str">
        <f t="shared" si="32"/>
        <v/>
      </c>
      <c r="AO9" s="32" t="str">
        <f t="shared" si="33"/>
        <v/>
      </c>
      <c r="AP9" s="32" t="str">
        <f t="shared" si="34"/>
        <v/>
      </c>
      <c r="AQ9" s="32" t="str">
        <f t="shared" si="35"/>
        <v/>
      </c>
      <c r="AR9" s="32" t="str">
        <f t="shared" si="36"/>
        <v/>
      </c>
      <c r="AS9" s="32" t="str">
        <f t="shared" si="37"/>
        <v/>
      </c>
      <c r="AT9" s="32" t="str">
        <f t="shared" si="38"/>
        <v/>
      </c>
      <c r="AU9" s="34" t="str">
        <f t="shared" si="39"/>
        <v/>
      </c>
      <c r="AV9" s="32" t="str">
        <f t="shared" si="40"/>
        <v/>
      </c>
      <c r="AW9" s="32" t="str">
        <f t="shared" si="41"/>
        <v/>
      </c>
      <c r="AX9" s="32" t="str">
        <f t="shared" si="42"/>
        <v/>
      </c>
      <c r="AY9" s="32" t="str">
        <f t="shared" si="43"/>
        <v/>
      </c>
      <c r="BA9" s="41" t="s">
        <v>33</v>
      </c>
      <c r="BB9" s="41" t="s">
        <v>45</v>
      </c>
      <c r="BC9" s="46"/>
    </row>
    <row r="10" spans="1:287" x14ac:dyDescent="0.25">
      <c r="A10" s="24" t="str">
        <f t="shared" si="0"/>
        <v/>
      </c>
      <c r="B10" s="24" t="str">
        <f t="shared" si="11"/>
        <v/>
      </c>
      <c r="C10" s="32" t="str">
        <f t="shared" si="1"/>
        <v/>
      </c>
      <c r="D10" s="24" t="str">
        <f t="shared" si="2"/>
        <v/>
      </c>
      <c r="E10" s="24" t="str">
        <f t="shared" si="3"/>
        <v/>
      </c>
      <c r="F10" s="32" t="str">
        <f t="shared" si="4"/>
        <v/>
      </c>
      <c r="G10" s="32" t="str">
        <f t="shared" si="5"/>
        <v/>
      </c>
      <c r="H10" s="32" t="str">
        <f t="shared" ca="1" si="6"/>
        <v/>
      </c>
      <c r="I10" s="32" t="str">
        <f t="shared" ca="1" si="12"/>
        <v/>
      </c>
      <c r="J10" s="32" t="str">
        <f t="shared" si="7"/>
        <v/>
      </c>
      <c r="K10" s="32" t="str">
        <f>IF(ISNUMBER(A10),Profile!$V$25+Profile!$V$24*'Ri-Po'!C10,"")</f>
        <v/>
      </c>
      <c r="L10" s="32" t="str">
        <f t="shared" si="13"/>
        <v/>
      </c>
      <c r="M10" s="32" t="str">
        <f t="shared" si="8"/>
        <v/>
      </c>
      <c r="N10" s="32" t="str">
        <f t="shared" si="9"/>
        <v/>
      </c>
      <c r="O10" s="32" t="str">
        <f t="shared" si="44"/>
        <v/>
      </c>
      <c r="P10" s="32" t="str">
        <f t="shared" si="15"/>
        <v/>
      </c>
      <c r="Q10" s="32" t="str">
        <f t="shared" si="16"/>
        <v/>
      </c>
      <c r="R10" s="32" t="str">
        <f t="shared" si="45"/>
        <v/>
      </c>
      <c r="S10" s="24" t="str">
        <f t="shared" si="46"/>
        <v/>
      </c>
      <c r="T10" s="24" t="str">
        <f t="shared" si="47"/>
        <v/>
      </c>
      <c r="U10" s="24" t="str">
        <f t="shared" si="48"/>
        <v/>
      </c>
      <c r="V10" s="24" t="str">
        <f t="shared" si="49"/>
        <v/>
      </c>
      <c r="W10" s="23" t="str">
        <f t="array" ref="W10">IFERROR(SMALL(IF(S$1:S$1000="BEGIN",ROW(S$1:S$1000)),ROW()-3),"")</f>
        <v/>
      </c>
      <c r="X10" s="23" t="str">
        <f t="array" ref="X10">IFERROR(SMALL(IF(T$1:T$1000="END",ROW(T$1:T$1000)),ROW()-3),"")</f>
        <v/>
      </c>
      <c r="Y10" s="33" t="str">
        <f t="array" ref="Y10">IF(ISNUMBER(W10),MAX(IF((B$4:B$1000&lt;=X10)*(B$4:B$1000&gt;=W10),I$4:I$1000, "")),"")</f>
        <v/>
      </c>
      <c r="Z10" s="33" t="str">
        <f t="shared" si="22"/>
        <v/>
      </c>
      <c r="AA10" s="32" t="str">
        <f t="shared" si="23"/>
        <v/>
      </c>
      <c r="AB10" s="32" t="str">
        <f t="shared" si="24"/>
        <v/>
      </c>
      <c r="AC10" s="32" t="str">
        <f t="shared" si="25"/>
        <v/>
      </c>
      <c r="AD10" s="32" t="str">
        <f t="shared" si="26"/>
        <v/>
      </c>
      <c r="AE10" s="34" t="str">
        <f t="shared" si="27"/>
        <v/>
      </c>
      <c r="AF10" s="32" t="str">
        <f t="shared" si="28"/>
        <v/>
      </c>
      <c r="AG10" s="32" t="str">
        <f t="shared" si="29"/>
        <v/>
      </c>
      <c r="AH10" s="32" t="str">
        <f t="shared" si="30"/>
        <v/>
      </c>
      <c r="AI10" s="35" t="str">
        <f t="shared" si="31"/>
        <v/>
      </c>
      <c r="AJ10" s="23" t="str">
        <f t="array" ref="AJ10">IFERROR(SMALL(IF(U$1:U$1000="BEGIN",ROW(U$1:U$1000)),ROW()-3),"")</f>
        <v/>
      </c>
      <c r="AK10" s="23" t="str">
        <f t="array" ref="AK10">IFERROR(SMALL(IF(V$1:V$1000="END",ROW(V$1:V$1000)),ROW()-3),"")</f>
        <v/>
      </c>
      <c r="AL10" s="24" t="str">
        <f t="array" ref="AL10">IF(AK10="","",MATCH(AM10,L:L,0))</f>
        <v/>
      </c>
      <c r="AM10" s="35">
        <f t="array" ref="AM10">MAX(IF((B$4:B$1000&lt;=AK10)*(B$4:B$1000&gt;=AJ10),L$4:L$1000, ""))</f>
        <v>0</v>
      </c>
      <c r="AN10" s="32" t="str">
        <f t="shared" si="32"/>
        <v/>
      </c>
      <c r="AO10" s="32" t="str">
        <f t="shared" si="33"/>
        <v/>
      </c>
      <c r="AP10" s="32" t="str">
        <f t="shared" si="34"/>
        <v/>
      </c>
      <c r="AQ10" s="32" t="str">
        <f t="shared" si="35"/>
        <v/>
      </c>
      <c r="AR10" s="32" t="str">
        <f t="shared" si="36"/>
        <v/>
      </c>
      <c r="AS10" s="32" t="str">
        <f t="shared" si="37"/>
        <v/>
      </c>
      <c r="AT10" s="32" t="str">
        <f t="shared" si="38"/>
        <v/>
      </c>
      <c r="AU10" s="34" t="str">
        <f t="shared" si="39"/>
        <v/>
      </c>
      <c r="AV10" s="32" t="str">
        <f t="shared" si="40"/>
        <v/>
      </c>
      <c r="AW10" s="32" t="str">
        <f t="shared" si="41"/>
        <v/>
      </c>
      <c r="AX10" s="32" t="str">
        <f t="shared" si="42"/>
        <v/>
      </c>
      <c r="AY10" s="32" t="str">
        <f t="shared" si="43"/>
        <v/>
      </c>
      <c r="AZ10" s="38" t="s">
        <v>30</v>
      </c>
      <c r="BA10" s="40">
        <f>MIN(AR4:AR365)</f>
        <v>0</v>
      </c>
      <c r="BB10" s="40">
        <f>MIN(AX4:AX243)</f>
        <v>0</v>
      </c>
      <c r="BC10" s="46" t="s">
        <v>40</v>
      </c>
    </row>
    <row r="11" spans="1:287" x14ac:dyDescent="0.25">
      <c r="A11" s="24" t="str">
        <f t="shared" si="0"/>
        <v/>
      </c>
      <c r="B11" s="24" t="str">
        <f t="shared" si="11"/>
        <v/>
      </c>
      <c r="C11" s="32" t="str">
        <f t="shared" si="1"/>
        <v/>
      </c>
      <c r="D11" s="24" t="str">
        <f t="shared" si="2"/>
        <v/>
      </c>
      <c r="E11" s="24" t="str">
        <f t="shared" si="3"/>
        <v/>
      </c>
      <c r="F11" s="32" t="str">
        <f t="shared" si="4"/>
        <v/>
      </c>
      <c r="G11" s="32" t="str">
        <f t="shared" si="5"/>
        <v/>
      </c>
      <c r="H11" s="32" t="str">
        <f t="shared" ca="1" si="6"/>
        <v/>
      </c>
      <c r="I11" s="32" t="str">
        <f t="shared" ca="1" si="12"/>
        <v/>
      </c>
      <c r="J11" s="32" t="str">
        <f t="shared" si="7"/>
        <v/>
      </c>
      <c r="K11" s="32" t="str">
        <f>IF(ISNUMBER(A11),Profile!$V$25+Profile!$V$24*'Ri-Po'!C11,"")</f>
        <v/>
      </c>
      <c r="L11" s="32" t="str">
        <f t="shared" si="13"/>
        <v/>
      </c>
      <c r="M11" s="32" t="str">
        <f t="shared" si="8"/>
        <v/>
      </c>
      <c r="N11" s="32" t="str">
        <f t="shared" si="9"/>
        <v/>
      </c>
      <c r="O11" s="32" t="str">
        <f t="shared" si="44"/>
        <v/>
      </c>
      <c r="P11" s="32" t="str">
        <f t="shared" si="15"/>
        <v/>
      </c>
      <c r="Q11" s="32" t="str">
        <f t="shared" si="16"/>
        <v/>
      </c>
      <c r="R11" s="32" t="str">
        <f t="shared" si="45"/>
        <v/>
      </c>
      <c r="S11" s="24" t="str">
        <f t="shared" si="46"/>
        <v/>
      </c>
      <c r="T11" s="24" t="str">
        <f t="shared" si="47"/>
        <v/>
      </c>
      <c r="U11" s="24" t="str">
        <f t="shared" si="48"/>
        <v/>
      </c>
      <c r="V11" s="24" t="str">
        <f t="shared" si="49"/>
        <v/>
      </c>
      <c r="W11" s="23" t="str">
        <f t="array" ref="W11">IFERROR(SMALL(IF(S$1:S$1000="BEGIN",ROW(S$1:S$1000)),ROW()-3),"")</f>
        <v/>
      </c>
      <c r="X11" s="23" t="str">
        <f t="array" ref="X11">IFERROR(SMALL(IF(T$1:T$1000="END",ROW(T$1:T$1000)),ROW()-3),"")</f>
        <v/>
      </c>
      <c r="Y11" s="33" t="str">
        <f t="array" ref="Y11">IF(ISNUMBER(W11),MAX(IF((B$4:B$1000&lt;=X11)*(B$4:B$1000&gt;=W11),I$4:I$1000, "")),"")</f>
        <v/>
      </c>
      <c r="Z11" s="33" t="str">
        <f t="shared" si="22"/>
        <v/>
      </c>
      <c r="AA11" s="32" t="str">
        <f t="shared" si="23"/>
        <v/>
      </c>
      <c r="AB11" s="32" t="str">
        <f t="shared" si="24"/>
        <v/>
      </c>
      <c r="AC11" s="32" t="str">
        <f t="shared" si="25"/>
        <v/>
      </c>
      <c r="AD11" s="32" t="str">
        <f t="shared" si="26"/>
        <v/>
      </c>
      <c r="AE11" s="34" t="str">
        <f t="shared" si="27"/>
        <v/>
      </c>
      <c r="AF11" s="32" t="str">
        <f t="shared" si="28"/>
        <v/>
      </c>
      <c r="AG11" s="32" t="str">
        <f t="shared" si="29"/>
        <v/>
      </c>
      <c r="AH11" s="32" t="str">
        <f t="shared" si="30"/>
        <v/>
      </c>
      <c r="AI11" s="35" t="str">
        <f t="shared" si="31"/>
        <v/>
      </c>
      <c r="AJ11" s="23" t="str">
        <f t="array" ref="AJ11">IFERROR(SMALL(IF(U$1:U$1000="BEGIN",ROW(U$1:U$1000)),ROW()-3),"")</f>
        <v/>
      </c>
      <c r="AK11" s="23" t="str">
        <f t="array" ref="AK11">IFERROR(SMALL(IF(V$1:V$1000="END",ROW(V$1:V$1000)),ROW()-3),"")</f>
        <v/>
      </c>
      <c r="AL11" s="24" t="str">
        <f t="array" ref="AL11">IF(AK11="","",MATCH(AM11,L:L,0))</f>
        <v/>
      </c>
      <c r="AM11" s="35">
        <f t="array" ref="AM11">MAX(IF((B$4:B$1000&lt;=AK11)*(B$4:B$1000&gt;=AJ11),L$4:L$1000, ""))</f>
        <v>0</v>
      </c>
      <c r="AN11" s="32" t="str">
        <f t="shared" si="32"/>
        <v/>
      </c>
      <c r="AO11" s="32" t="str">
        <f t="shared" si="33"/>
        <v/>
      </c>
      <c r="AP11" s="32" t="str">
        <f t="shared" si="34"/>
        <v/>
      </c>
      <c r="AQ11" s="32" t="str">
        <f t="shared" si="35"/>
        <v/>
      </c>
      <c r="AR11" s="32" t="str">
        <f t="shared" si="36"/>
        <v/>
      </c>
      <c r="AS11" s="32" t="str">
        <f t="shared" si="37"/>
        <v/>
      </c>
      <c r="AT11" s="32" t="str">
        <f t="shared" si="38"/>
        <v/>
      </c>
      <c r="AU11" s="34" t="str">
        <f t="shared" si="39"/>
        <v/>
      </c>
      <c r="AV11" s="32" t="str">
        <f t="shared" si="40"/>
        <v/>
      </c>
      <c r="AW11" s="32" t="str">
        <f t="shared" si="41"/>
        <v/>
      </c>
      <c r="AX11" s="32" t="str">
        <f t="shared" si="42"/>
        <v/>
      </c>
      <c r="AY11" s="32" t="str">
        <f t="shared" si="43"/>
        <v/>
      </c>
      <c r="BA11" s="40" t="e">
        <f>AVERAGE(AR4:AR365)</f>
        <v>#DIV/0!</v>
      </c>
      <c r="BB11" s="40" t="e">
        <f>AVERAGE(AX4:AX243)</f>
        <v>#DIV/0!</v>
      </c>
      <c r="BC11" s="46" t="s">
        <v>41</v>
      </c>
    </row>
    <row r="12" spans="1:287" x14ac:dyDescent="0.25">
      <c r="A12" s="24" t="str">
        <f t="shared" si="0"/>
        <v/>
      </c>
      <c r="B12" s="24" t="str">
        <f t="shared" si="11"/>
        <v/>
      </c>
      <c r="C12" s="32" t="str">
        <f t="shared" si="1"/>
        <v/>
      </c>
      <c r="D12" s="24" t="str">
        <f t="shared" si="2"/>
        <v/>
      </c>
      <c r="E12" s="24" t="str">
        <f t="shared" si="3"/>
        <v/>
      </c>
      <c r="F12" s="32" t="str">
        <f t="shared" si="4"/>
        <v/>
      </c>
      <c r="G12" s="32" t="str">
        <f t="shared" si="5"/>
        <v/>
      </c>
      <c r="H12" s="32" t="str">
        <f t="shared" ca="1" si="6"/>
        <v/>
      </c>
      <c r="I12" s="32" t="str">
        <f t="shared" ca="1" si="12"/>
        <v/>
      </c>
      <c r="J12" s="32" t="str">
        <f t="shared" si="7"/>
        <v/>
      </c>
      <c r="K12" s="32" t="str">
        <f>IF(ISNUMBER(A12),Profile!$V$25+Profile!$V$24*'Ri-Po'!C12,"")</f>
        <v/>
      </c>
      <c r="L12" s="32" t="str">
        <f t="shared" si="13"/>
        <v/>
      </c>
      <c r="M12" s="32" t="str">
        <f t="shared" si="8"/>
        <v/>
      </c>
      <c r="N12" s="32" t="str">
        <f t="shared" si="9"/>
        <v/>
      </c>
      <c r="O12" s="32" t="str">
        <f t="shared" si="44"/>
        <v/>
      </c>
      <c r="P12" s="32" t="str">
        <f t="shared" si="15"/>
        <v/>
      </c>
      <c r="Q12" s="32" t="str">
        <f t="shared" si="16"/>
        <v/>
      </c>
      <c r="R12" s="32" t="str">
        <f t="shared" si="45"/>
        <v/>
      </c>
      <c r="S12" s="24" t="str">
        <f t="shared" si="46"/>
        <v/>
      </c>
      <c r="T12" s="24" t="str">
        <f t="shared" si="47"/>
        <v/>
      </c>
      <c r="U12" s="24" t="str">
        <f t="shared" si="48"/>
        <v/>
      </c>
      <c r="V12" s="24" t="str">
        <f t="shared" si="49"/>
        <v/>
      </c>
      <c r="W12" s="23" t="str">
        <f t="array" ref="W12">IFERROR(SMALL(IF(S$1:S$1000="BEGIN",ROW(S$1:S$1000)),ROW()-3),"")</f>
        <v/>
      </c>
      <c r="X12" s="23" t="str">
        <f t="array" ref="X12">IFERROR(SMALL(IF(T$1:T$1000="END",ROW(T$1:T$1000)),ROW()-3),"")</f>
        <v/>
      </c>
      <c r="Y12" s="33" t="str">
        <f t="array" ref="Y12">IF(ISNUMBER(W12),MAX(IF((B$4:B$1000&lt;=X12)*(B$4:B$1000&gt;=W12),I$4:I$1000, "")),"")</f>
        <v/>
      </c>
      <c r="Z12" s="33" t="str">
        <f t="shared" si="22"/>
        <v/>
      </c>
      <c r="AA12" s="32" t="str">
        <f t="shared" si="23"/>
        <v/>
      </c>
      <c r="AB12" s="32" t="str">
        <f t="shared" si="24"/>
        <v/>
      </c>
      <c r="AC12" s="32" t="str">
        <f t="shared" si="25"/>
        <v/>
      </c>
      <c r="AD12" s="32" t="str">
        <f t="shared" si="26"/>
        <v/>
      </c>
      <c r="AE12" s="34" t="str">
        <f t="shared" si="27"/>
        <v/>
      </c>
      <c r="AF12" s="32" t="str">
        <f t="shared" si="28"/>
        <v/>
      </c>
      <c r="AG12" s="32" t="str">
        <f t="shared" si="29"/>
        <v/>
      </c>
      <c r="AH12" s="32" t="str">
        <f t="shared" si="30"/>
        <v/>
      </c>
      <c r="AI12" s="35" t="str">
        <f t="shared" si="31"/>
        <v/>
      </c>
      <c r="AJ12" s="23" t="str">
        <f t="array" ref="AJ12">IFERROR(SMALL(IF(U$1:U$1000="BEGIN",ROW(U$1:U$1000)),ROW()-3),"")</f>
        <v/>
      </c>
      <c r="AK12" s="23" t="str">
        <f t="array" ref="AK12">IFERROR(SMALL(IF(V$1:V$1000="END",ROW(V$1:V$1000)),ROW()-3),"")</f>
        <v/>
      </c>
      <c r="AL12" s="24" t="str">
        <f t="array" ref="AL12">IF(AK12="","",MATCH(AM12,L:L,0))</f>
        <v/>
      </c>
      <c r="AM12" s="35">
        <f t="array" ref="AM12">MAX(IF((B$4:B$1000&lt;=AK12)*(B$4:B$1000&gt;=AJ12),L$4:L$1000, ""))</f>
        <v>0</v>
      </c>
      <c r="AN12" s="32" t="str">
        <f t="shared" si="32"/>
        <v/>
      </c>
      <c r="AO12" s="32" t="str">
        <f t="shared" si="33"/>
        <v/>
      </c>
      <c r="AP12" s="32" t="str">
        <f t="shared" si="34"/>
        <v/>
      </c>
      <c r="AQ12" s="32" t="str">
        <f t="shared" si="35"/>
        <v/>
      </c>
      <c r="AR12" s="32" t="str">
        <f t="shared" si="36"/>
        <v/>
      </c>
      <c r="AS12" s="32" t="str">
        <f t="shared" si="37"/>
        <v/>
      </c>
      <c r="AT12" s="32" t="str">
        <f t="shared" si="38"/>
        <v/>
      </c>
      <c r="AU12" s="34" t="str">
        <f t="shared" si="39"/>
        <v/>
      </c>
      <c r="AV12" s="32" t="str">
        <f t="shared" si="40"/>
        <v/>
      </c>
      <c r="AW12" s="32" t="str">
        <f t="shared" si="41"/>
        <v/>
      </c>
      <c r="AX12" s="32" t="str">
        <f t="shared" si="42"/>
        <v/>
      </c>
      <c r="AY12" s="32" t="str">
        <f t="shared" si="43"/>
        <v/>
      </c>
      <c r="BA12" s="40" t="e">
        <f>MEDIAN(AR4:AR365)</f>
        <v>#NUM!</v>
      </c>
      <c r="BB12" s="40" t="e">
        <f>MEDIAN(AX4:AX243)</f>
        <v>#NUM!</v>
      </c>
      <c r="BC12" s="46" t="s">
        <v>42</v>
      </c>
    </row>
    <row r="13" spans="1:287" x14ac:dyDescent="0.25">
      <c r="A13" s="24" t="str">
        <f t="shared" si="0"/>
        <v/>
      </c>
      <c r="B13" s="24" t="str">
        <f t="shared" si="11"/>
        <v/>
      </c>
      <c r="C13" s="32" t="str">
        <f t="shared" si="1"/>
        <v/>
      </c>
      <c r="D13" s="24" t="str">
        <f t="shared" si="2"/>
        <v/>
      </c>
      <c r="E13" s="24" t="str">
        <f t="shared" si="3"/>
        <v/>
      </c>
      <c r="F13" s="32" t="str">
        <f t="shared" si="4"/>
        <v/>
      </c>
      <c r="G13" s="32" t="str">
        <f t="shared" si="5"/>
        <v/>
      </c>
      <c r="H13" s="32" t="str">
        <f t="shared" ca="1" si="6"/>
        <v/>
      </c>
      <c r="I13" s="32" t="str">
        <f t="shared" ca="1" si="12"/>
        <v/>
      </c>
      <c r="J13" s="32" t="str">
        <f t="shared" si="7"/>
        <v/>
      </c>
      <c r="K13" s="32" t="str">
        <f>IF(ISNUMBER(A13),Profile!$V$25+Profile!$V$24*'Ri-Po'!C13,"")</f>
        <v/>
      </c>
      <c r="L13" s="32" t="str">
        <f t="shared" si="13"/>
        <v/>
      </c>
      <c r="M13" s="32" t="str">
        <f t="shared" si="8"/>
        <v/>
      </c>
      <c r="N13" s="32" t="str">
        <f t="shared" si="9"/>
        <v/>
      </c>
      <c r="O13" s="32" t="str">
        <f t="shared" si="44"/>
        <v/>
      </c>
      <c r="P13" s="32" t="str">
        <f t="shared" si="15"/>
        <v/>
      </c>
      <c r="Q13" s="32" t="str">
        <f t="shared" si="16"/>
        <v/>
      </c>
      <c r="R13" s="32" t="str">
        <f t="shared" si="45"/>
        <v/>
      </c>
      <c r="S13" s="24" t="str">
        <f t="shared" si="46"/>
        <v/>
      </c>
      <c r="T13" s="24" t="str">
        <f t="shared" si="47"/>
        <v/>
      </c>
      <c r="U13" s="24" t="str">
        <f t="shared" si="48"/>
        <v/>
      </c>
      <c r="V13" s="24" t="str">
        <f t="shared" si="49"/>
        <v/>
      </c>
      <c r="W13" s="23" t="str">
        <f t="array" ref="W13">IFERROR(SMALL(IF(S$1:S$1000="BEGIN",ROW(S$1:S$1000)),ROW()-3),"")</f>
        <v/>
      </c>
      <c r="X13" s="23" t="str">
        <f t="array" ref="X13">IFERROR(SMALL(IF(T$1:T$1000="END",ROW(T$1:T$1000)),ROW()-3),"")</f>
        <v/>
      </c>
      <c r="Y13" s="33" t="str">
        <f t="array" ref="Y13">IF(ISNUMBER(W13),MAX(IF((B$4:B$1000&lt;=X13)*(B$4:B$1000&gt;=W13),I$4:I$1000, "")),"")</f>
        <v/>
      </c>
      <c r="Z13" s="33" t="str">
        <f t="shared" si="22"/>
        <v/>
      </c>
      <c r="AA13" s="32" t="str">
        <f t="shared" si="23"/>
        <v/>
      </c>
      <c r="AB13" s="32" t="str">
        <f t="shared" si="24"/>
        <v/>
      </c>
      <c r="AC13" s="32" t="str">
        <f t="shared" si="25"/>
        <v/>
      </c>
      <c r="AD13" s="32" t="str">
        <f t="shared" si="26"/>
        <v/>
      </c>
      <c r="AE13" s="34" t="str">
        <f t="shared" si="27"/>
        <v/>
      </c>
      <c r="AF13" s="32" t="str">
        <f t="shared" si="28"/>
        <v/>
      </c>
      <c r="AG13" s="32" t="str">
        <f t="shared" si="29"/>
        <v/>
      </c>
      <c r="AH13" s="32" t="str">
        <f t="shared" si="30"/>
        <v/>
      </c>
      <c r="AI13" s="35" t="str">
        <f t="shared" si="31"/>
        <v/>
      </c>
      <c r="AJ13" s="23" t="str">
        <f t="array" ref="AJ13">IFERROR(SMALL(IF(U$1:U$1000="BEGIN",ROW(U$1:U$1000)),ROW()-3),"")</f>
        <v/>
      </c>
      <c r="AK13" s="23" t="str">
        <f t="array" ref="AK13">IFERROR(SMALL(IF(V$1:V$1000="END",ROW(V$1:V$1000)),ROW()-3),"")</f>
        <v/>
      </c>
      <c r="AL13" s="24" t="str">
        <f t="array" ref="AL13">IF(AK13="","",MATCH(AM13,L:L,0))</f>
        <v/>
      </c>
      <c r="AM13" s="35">
        <f t="array" ref="AM13">MAX(IF((B$4:B$1000&lt;=AK13)*(B$4:B$1000&gt;=AJ13),L$4:L$1000, ""))</f>
        <v>0</v>
      </c>
      <c r="AN13" s="32" t="str">
        <f t="shared" si="32"/>
        <v/>
      </c>
      <c r="AO13" s="32" t="str">
        <f t="shared" si="33"/>
        <v/>
      </c>
      <c r="AP13" s="32" t="str">
        <f t="shared" si="34"/>
        <v/>
      </c>
      <c r="AQ13" s="32" t="str">
        <f t="shared" si="35"/>
        <v/>
      </c>
      <c r="AR13" s="32" t="str">
        <f t="shared" si="36"/>
        <v/>
      </c>
      <c r="AS13" s="32" t="str">
        <f t="shared" si="37"/>
        <v/>
      </c>
      <c r="AT13" s="32" t="str">
        <f t="shared" si="38"/>
        <v/>
      </c>
      <c r="AU13" s="34" t="str">
        <f t="shared" si="39"/>
        <v/>
      </c>
      <c r="AV13" s="32" t="str">
        <f t="shared" si="40"/>
        <v/>
      </c>
      <c r="AW13" s="32" t="str">
        <f t="shared" si="41"/>
        <v/>
      </c>
      <c r="AX13" s="32" t="str">
        <f t="shared" si="42"/>
        <v/>
      </c>
      <c r="AY13" s="32" t="str">
        <f t="shared" si="43"/>
        <v/>
      </c>
      <c r="BA13" s="40">
        <f>MAX(AR4:AR365)</f>
        <v>0</v>
      </c>
      <c r="BB13" s="40">
        <f>MAX(AX4:AX243)</f>
        <v>0</v>
      </c>
      <c r="BC13" s="46" t="s">
        <v>46</v>
      </c>
    </row>
    <row r="14" spans="1:287" x14ac:dyDescent="0.25">
      <c r="A14" s="24" t="str">
        <f t="shared" si="0"/>
        <v/>
      </c>
      <c r="B14" s="24" t="str">
        <f t="shared" si="11"/>
        <v/>
      </c>
      <c r="C14" s="32" t="str">
        <f t="shared" si="1"/>
        <v/>
      </c>
      <c r="D14" s="24" t="str">
        <f t="shared" si="2"/>
        <v/>
      </c>
      <c r="E14" s="24" t="str">
        <f t="shared" si="3"/>
        <v/>
      </c>
      <c r="F14" s="32" t="str">
        <f t="shared" si="4"/>
        <v/>
      </c>
      <c r="G14" s="32" t="str">
        <f t="shared" si="5"/>
        <v/>
      </c>
      <c r="H14" s="32" t="str">
        <f t="shared" ca="1" si="6"/>
        <v/>
      </c>
      <c r="I14" s="32" t="str">
        <f t="shared" ca="1" si="12"/>
        <v/>
      </c>
      <c r="J14" s="32" t="str">
        <f t="shared" si="7"/>
        <v/>
      </c>
      <c r="K14" s="32" t="str">
        <f>IF(ISNUMBER(A14),Profile!$V$25+Profile!$V$24*'Ri-Po'!C14,"")</f>
        <v/>
      </c>
      <c r="L14" s="32" t="str">
        <f t="shared" si="13"/>
        <v/>
      </c>
      <c r="M14" s="32" t="str">
        <f t="shared" si="8"/>
        <v/>
      </c>
      <c r="N14" s="32" t="str">
        <f t="shared" si="9"/>
        <v/>
      </c>
      <c r="O14" s="32" t="str">
        <f t="shared" si="44"/>
        <v/>
      </c>
      <c r="P14" s="32" t="str">
        <f t="shared" si="15"/>
        <v/>
      </c>
      <c r="Q14" s="32" t="str">
        <f t="shared" si="16"/>
        <v/>
      </c>
      <c r="R14" s="32" t="str">
        <f t="shared" si="45"/>
        <v/>
      </c>
      <c r="S14" s="24" t="str">
        <f t="shared" si="46"/>
        <v/>
      </c>
      <c r="T14" s="24" t="str">
        <f t="shared" si="47"/>
        <v/>
      </c>
      <c r="U14" s="24" t="str">
        <f t="shared" si="48"/>
        <v/>
      </c>
      <c r="V14" s="24" t="str">
        <f t="shared" si="49"/>
        <v/>
      </c>
      <c r="W14" s="23" t="str">
        <f t="array" ref="W14">IFERROR(SMALL(IF(S$1:S$1000="BEGIN",ROW(S$1:S$1000)),ROW()-3),"")</f>
        <v/>
      </c>
      <c r="X14" s="23" t="str">
        <f t="array" ref="X14">IFERROR(SMALL(IF(T$1:T$1000="END",ROW(T$1:T$1000)),ROW()-3),"")</f>
        <v/>
      </c>
      <c r="Y14" s="33" t="str">
        <f t="array" ref="Y14">IF(ISNUMBER(W14),MAX(IF((B$4:B$1000&lt;=X14)*(B$4:B$1000&gt;=W14),I$4:I$1000, "")),"")</f>
        <v/>
      </c>
      <c r="Z14" s="33" t="str">
        <f t="shared" si="22"/>
        <v/>
      </c>
      <c r="AA14" s="32" t="str">
        <f t="shared" si="23"/>
        <v/>
      </c>
      <c r="AB14" s="32" t="str">
        <f t="shared" si="24"/>
        <v/>
      </c>
      <c r="AC14" s="32" t="str">
        <f t="shared" si="25"/>
        <v/>
      </c>
      <c r="AD14" s="32" t="str">
        <f t="shared" si="26"/>
        <v/>
      </c>
      <c r="AE14" s="34" t="str">
        <f t="shared" si="27"/>
        <v/>
      </c>
      <c r="AF14" s="32" t="str">
        <f t="shared" si="28"/>
        <v/>
      </c>
      <c r="AG14" s="32" t="str">
        <f t="shared" si="29"/>
        <v/>
      </c>
      <c r="AH14" s="32" t="str">
        <f t="shared" si="30"/>
        <v/>
      </c>
      <c r="AI14" s="35" t="str">
        <f t="shared" si="31"/>
        <v/>
      </c>
      <c r="AJ14" s="23" t="str">
        <f t="array" ref="AJ14">IFERROR(SMALL(IF(U$1:U$1000="BEGIN",ROW(U$1:U$1000)),ROW()-3),"")</f>
        <v/>
      </c>
      <c r="AK14" s="23" t="str">
        <f t="array" ref="AK14">IFERROR(SMALL(IF(V$1:V$1000="END",ROW(V$1:V$1000)),ROW()-3),"")</f>
        <v/>
      </c>
      <c r="AL14" s="24" t="str">
        <f t="array" ref="AL14">IF(AK14="","",MATCH(AM14,L:L,0))</f>
        <v/>
      </c>
      <c r="AM14" s="35">
        <f t="array" ref="AM14">MAX(IF((B$4:B$1000&lt;=AK14)*(B$4:B$1000&gt;=AJ14),L$4:L$1000, ""))</f>
        <v>0</v>
      </c>
      <c r="AN14" s="32" t="str">
        <f t="shared" si="32"/>
        <v/>
      </c>
      <c r="AO14" s="32" t="str">
        <f t="shared" si="33"/>
        <v/>
      </c>
      <c r="AP14" s="32" t="str">
        <f t="shared" si="34"/>
        <v/>
      </c>
      <c r="AQ14" s="32" t="str">
        <f t="shared" si="35"/>
        <v/>
      </c>
      <c r="AR14" s="32" t="str">
        <f t="shared" si="36"/>
        <v/>
      </c>
      <c r="AS14" s="32" t="str">
        <f t="shared" si="37"/>
        <v/>
      </c>
      <c r="AT14" s="32" t="str">
        <f t="shared" si="38"/>
        <v/>
      </c>
      <c r="AU14" s="34" t="str">
        <f t="shared" si="39"/>
        <v/>
      </c>
      <c r="AV14" s="32" t="str">
        <f t="shared" si="40"/>
        <v/>
      </c>
      <c r="AW14" s="32" t="str">
        <f t="shared" si="41"/>
        <v/>
      </c>
      <c r="AX14" s="32" t="str">
        <f t="shared" si="42"/>
        <v/>
      </c>
      <c r="AY14" s="32" t="str">
        <f t="shared" si="43"/>
        <v/>
      </c>
      <c r="AZ14" s="36"/>
      <c r="BA14" s="42" t="e">
        <f>_xlfn.STDEV.P(AR4:AR365)</f>
        <v>#DIV/0!</v>
      </c>
      <c r="BB14" s="42" t="e">
        <f>_xlfn.STDEV.P(AX4:AX243)</f>
        <v>#DIV/0!</v>
      </c>
      <c r="BC14" s="47" t="s">
        <v>44</v>
      </c>
    </row>
    <row r="15" spans="1:287" x14ac:dyDescent="0.25">
      <c r="A15" s="24" t="str">
        <f t="shared" si="0"/>
        <v/>
      </c>
      <c r="B15" s="24" t="str">
        <f t="shared" si="11"/>
        <v/>
      </c>
      <c r="C15" s="32" t="str">
        <f t="shared" si="1"/>
        <v/>
      </c>
      <c r="D15" s="24" t="str">
        <f t="shared" si="2"/>
        <v/>
      </c>
      <c r="E15" s="24" t="str">
        <f t="shared" si="3"/>
        <v/>
      </c>
      <c r="F15" s="32" t="str">
        <f t="shared" si="4"/>
        <v/>
      </c>
      <c r="G15" s="32" t="str">
        <f t="shared" si="5"/>
        <v/>
      </c>
      <c r="H15" s="32" t="str">
        <f t="shared" ca="1" si="6"/>
        <v/>
      </c>
      <c r="I15" s="32" t="str">
        <f t="shared" ca="1" si="12"/>
        <v/>
      </c>
      <c r="J15" s="32" t="str">
        <f t="shared" si="7"/>
        <v/>
      </c>
      <c r="K15" s="32" t="str">
        <f>IF(ISNUMBER(A15),Profile!$V$25+Profile!$V$24*'Ri-Po'!C15,"")</f>
        <v/>
      </c>
      <c r="L15" s="32" t="str">
        <f t="shared" si="13"/>
        <v/>
      </c>
      <c r="M15" s="32" t="str">
        <f t="shared" si="8"/>
        <v/>
      </c>
      <c r="N15" s="32" t="str">
        <f t="shared" si="9"/>
        <v/>
      </c>
      <c r="O15" s="32" t="str">
        <f t="shared" si="44"/>
        <v/>
      </c>
      <c r="P15" s="32" t="str">
        <f t="shared" si="15"/>
        <v/>
      </c>
      <c r="Q15" s="32" t="str">
        <f t="shared" si="16"/>
        <v/>
      </c>
      <c r="R15" s="32" t="str">
        <f t="shared" si="45"/>
        <v/>
      </c>
      <c r="S15" s="24" t="str">
        <f t="shared" si="46"/>
        <v/>
      </c>
      <c r="T15" s="24" t="str">
        <f t="shared" si="47"/>
        <v/>
      </c>
      <c r="U15" s="24" t="str">
        <f t="shared" si="48"/>
        <v/>
      </c>
      <c r="V15" s="24" t="str">
        <f t="shared" si="49"/>
        <v/>
      </c>
      <c r="W15" s="23" t="str">
        <f t="array" ref="W15">IFERROR(SMALL(IF(S$1:S$1000="BEGIN",ROW(S$1:S$1000)),ROW()-3),"")</f>
        <v/>
      </c>
      <c r="X15" s="23" t="str">
        <f t="array" ref="X15">IFERROR(SMALL(IF(T$1:T$1000="END",ROW(T$1:T$1000)),ROW()-3),"")</f>
        <v/>
      </c>
      <c r="Y15" s="33" t="str">
        <f t="array" ref="Y15">IF(ISNUMBER(W15),MAX(IF((B$4:B$1000&lt;=X15)*(B$4:B$1000&gt;=W15),I$4:I$1000, "")),"")</f>
        <v/>
      </c>
      <c r="Z15" s="33" t="str">
        <f t="shared" si="22"/>
        <v/>
      </c>
      <c r="AA15" s="32" t="str">
        <f t="shared" si="23"/>
        <v/>
      </c>
      <c r="AB15" s="32" t="str">
        <f t="shared" si="24"/>
        <v/>
      </c>
      <c r="AC15" s="32" t="str">
        <f t="shared" si="25"/>
        <v/>
      </c>
      <c r="AD15" s="32" t="str">
        <f t="shared" si="26"/>
        <v/>
      </c>
      <c r="AE15" s="34" t="str">
        <f t="shared" si="27"/>
        <v/>
      </c>
      <c r="AF15" s="32" t="str">
        <f t="shared" si="28"/>
        <v/>
      </c>
      <c r="AG15" s="32" t="str">
        <f t="shared" si="29"/>
        <v/>
      </c>
      <c r="AH15" s="32" t="str">
        <f t="shared" si="30"/>
        <v/>
      </c>
      <c r="AI15" s="35" t="str">
        <f t="shared" si="31"/>
        <v/>
      </c>
      <c r="AJ15" s="23" t="str">
        <f t="array" ref="AJ15">IFERROR(SMALL(IF(U$1:U$1000="BEGIN",ROW(U$1:U$1000)),ROW()-3),"")</f>
        <v/>
      </c>
      <c r="AK15" s="23" t="str">
        <f t="array" ref="AK15">IFERROR(SMALL(IF(V$1:V$1000="END",ROW(V$1:V$1000)),ROW()-3),"")</f>
        <v/>
      </c>
      <c r="AL15" s="24" t="str">
        <f t="array" ref="AL15">IF(AK15="","",MATCH(AM15,L:L,0))</f>
        <v/>
      </c>
      <c r="AM15" s="35">
        <f t="array" ref="AM15">MAX(IF((B$4:B$1000&lt;=AK15)*(B$4:B$1000&gt;=AJ15),L$4:L$1000, ""))</f>
        <v>0</v>
      </c>
      <c r="AN15" s="32" t="str">
        <f t="shared" si="32"/>
        <v/>
      </c>
      <c r="AO15" s="32" t="str">
        <f t="shared" si="33"/>
        <v/>
      </c>
      <c r="AP15" s="32" t="str">
        <f t="shared" si="34"/>
        <v/>
      </c>
      <c r="AQ15" s="32" t="str">
        <f t="shared" si="35"/>
        <v/>
      </c>
      <c r="AR15" s="32" t="str">
        <f t="shared" si="36"/>
        <v/>
      </c>
      <c r="AS15" s="32" t="str">
        <f t="shared" si="37"/>
        <v/>
      </c>
      <c r="AT15" s="32" t="str">
        <f t="shared" si="38"/>
        <v/>
      </c>
      <c r="AU15" s="34" t="str">
        <f t="shared" si="39"/>
        <v/>
      </c>
      <c r="AV15" s="32" t="str">
        <f t="shared" si="40"/>
        <v/>
      </c>
      <c r="AW15" s="32" t="str">
        <f t="shared" si="41"/>
        <v/>
      </c>
      <c r="AX15" s="32" t="str">
        <f t="shared" si="42"/>
        <v/>
      </c>
      <c r="AY15" s="32" t="str">
        <f t="shared" si="43"/>
        <v/>
      </c>
      <c r="BC15" s="46"/>
    </row>
    <row r="16" spans="1:287" x14ac:dyDescent="0.25">
      <c r="A16" s="24" t="str">
        <f t="shared" si="0"/>
        <v/>
      </c>
      <c r="B16" s="24" t="str">
        <f t="shared" si="11"/>
        <v/>
      </c>
      <c r="C16" s="32" t="str">
        <f t="shared" si="1"/>
        <v/>
      </c>
      <c r="D16" s="24" t="str">
        <f t="shared" si="2"/>
        <v/>
      </c>
      <c r="E16" s="24" t="str">
        <f t="shared" si="3"/>
        <v/>
      </c>
      <c r="F16" s="32" t="str">
        <f t="shared" si="4"/>
        <v/>
      </c>
      <c r="G16" s="32" t="str">
        <f t="shared" si="5"/>
        <v/>
      </c>
      <c r="H16" s="32" t="str">
        <f t="shared" ca="1" si="6"/>
        <v/>
      </c>
      <c r="I16" s="32" t="str">
        <f t="shared" ca="1" si="12"/>
        <v/>
      </c>
      <c r="J16" s="32" t="str">
        <f t="shared" si="7"/>
        <v/>
      </c>
      <c r="K16" s="32" t="str">
        <f>IF(ISNUMBER(A16),Profile!$V$25+Profile!$V$24*'Ri-Po'!C16,"")</f>
        <v/>
      </c>
      <c r="L16" s="32" t="str">
        <f t="shared" si="13"/>
        <v/>
      </c>
      <c r="M16" s="32" t="str">
        <f t="shared" si="8"/>
        <v/>
      </c>
      <c r="N16" s="32" t="str">
        <f t="shared" si="9"/>
        <v/>
      </c>
      <c r="O16" s="32" t="str">
        <f t="shared" si="44"/>
        <v/>
      </c>
      <c r="P16" s="32" t="str">
        <f t="shared" si="15"/>
        <v/>
      </c>
      <c r="Q16" s="32" t="str">
        <f t="shared" si="16"/>
        <v/>
      </c>
      <c r="R16" s="32" t="str">
        <f t="shared" si="45"/>
        <v/>
      </c>
      <c r="S16" s="24" t="str">
        <f t="shared" si="46"/>
        <v/>
      </c>
      <c r="T16" s="24" t="str">
        <f t="shared" si="47"/>
        <v/>
      </c>
      <c r="U16" s="24" t="str">
        <f t="shared" si="48"/>
        <v/>
      </c>
      <c r="V16" s="24" t="str">
        <f t="shared" si="49"/>
        <v/>
      </c>
      <c r="W16" s="23" t="str">
        <f t="array" ref="W16">IFERROR(SMALL(IF(S$1:S$1000="BEGIN",ROW(S$1:S$1000)),ROW()-3),"")</f>
        <v/>
      </c>
      <c r="X16" s="23" t="str">
        <f t="array" ref="X16">IFERROR(SMALL(IF(T$1:T$1000="END",ROW(T$1:T$1000)),ROW()-3),"")</f>
        <v/>
      </c>
      <c r="Y16" s="33" t="str">
        <f t="array" ref="Y16">IF(ISNUMBER(W16),MAX(IF((B$4:B$1000&lt;=X16)*(B$4:B$1000&gt;=W16),I$4:I$1000, "")),"")</f>
        <v/>
      </c>
      <c r="Z16" s="33" t="str">
        <f t="shared" si="22"/>
        <v/>
      </c>
      <c r="AA16" s="32" t="str">
        <f t="shared" si="23"/>
        <v/>
      </c>
      <c r="AB16" s="32" t="str">
        <f t="shared" si="24"/>
        <v/>
      </c>
      <c r="AC16" s="32" t="str">
        <f t="shared" si="25"/>
        <v/>
      </c>
      <c r="AD16" s="32" t="str">
        <f t="shared" si="26"/>
        <v/>
      </c>
      <c r="AE16" s="34" t="str">
        <f t="shared" si="27"/>
        <v/>
      </c>
      <c r="AF16" s="32" t="str">
        <f t="shared" si="28"/>
        <v/>
      </c>
      <c r="AG16" s="32" t="str">
        <f t="shared" si="29"/>
        <v/>
      </c>
      <c r="AH16" s="32" t="str">
        <f t="shared" si="30"/>
        <v/>
      </c>
      <c r="AI16" s="35" t="str">
        <f t="shared" si="31"/>
        <v/>
      </c>
      <c r="AJ16" s="23" t="str">
        <f t="array" ref="AJ16">IFERROR(SMALL(IF(U$1:U$1000="BEGIN",ROW(U$1:U$1000)),ROW()-3),"")</f>
        <v/>
      </c>
      <c r="AK16" s="23" t="str">
        <f t="array" ref="AK16">IFERROR(SMALL(IF(V$1:V$1000="END",ROW(V$1:V$1000)),ROW()-3),"")</f>
        <v/>
      </c>
      <c r="AL16" s="24" t="str">
        <f t="array" ref="AL16">IF(AK16="","",MATCH(AM16,L:L,0))</f>
        <v/>
      </c>
      <c r="AM16" s="35">
        <f t="array" ref="AM16">MAX(IF((B$4:B$1000&lt;=AK16)*(B$4:B$1000&gt;=AJ16),L$4:L$1000, ""))</f>
        <v>0</v>
      </c>
      <c r="AN16" s="32" t="str">
        <f t="shared" si="32"/>
        <v/>
      </c>
      <c r="AO16" s="32" t="str">
        <f t="shared" si="33"/>
        <v/>
      </c>
      <c r="AP16" s="32" t="str">
        <f t="shared" si="34"/>
        <v/>
      </c>
      <c r="AQ16" s="32" t="str">
        <f t="shared" si="35"/>
        <v/>
      </c>
      <c r="AR16" s="32" t="str">
        <f t="shared" si="36"/>
        <v/>
      </c>
      <c r="AS16" s="32" t="str">
        <f t="shared" si="37"/>
        <v/>
      </c>
      <c r="AT16" s="32" t="str">
        <f t="shared" si="38"/>
        <v/>
      </c>
      <c r="AU16" s="34" t="str">
        <f t="shared" si="39"/>
        <v/>
      </c>
      <c r="AV16" s="32" t="str">
        <f t="shared" si="40"/>
        <v/>
      </c>
      <c r="AW16" s="32" t="str">
        <f t="shared" si="41"/>
        <v/>
      </c>
      <c r="AX16" s="32" t="str">
        <f t="shared" si="42"/>
        <v/>
      </c>
      <c r="AY16" s="32" t="str">
        <f t="shared" si="43"/>
        <v/>
      </c>
      <c r="AZ16" s="38" t="s">
        <v>54</v>
      </c>
      <c r="BA16" s="1" t="s">
        <v>55</v>
      </c>
      <c r="BB16" s="73">
        <v>10</v>
      </c>
    </row>
    <row r="17" spans="1:54" x14ac:dyDescent="0.25">
      <c r="A17" s="24" t="str">
        <f t="shared" si="0"/>
        <v/>
      </c>
      <c r="B17" s="24" t="str">
        <f t="shared" si="11"/>
        <v/>
      </c>
      <c r="C17" s="32" t="str">
        <f t="shared" si="1"/>
        <v/>
      </c>
      <c r="D17" s="24" t="str">
        <f t="shared" si="2"/>
        <v/>
      </c>
      <c r="E17" s="24" t="str">
        <f t="shared" si="3"/>
        <v/>
      </c>
      <c r="F17" s="32" t="str">
        <f t="shared" si="4"/>
        <v/>
      </c>
      <c r="G17" s="32" t="str">
        <f t="shared" si="5"/>
        <v/>
      </c>
      <c r="H17" s="32" t="str">
        <f t="shared" ca="1" si="6"/>
        <v/>
      </c>
      <c r="I17" s="32" t="str">
        <f t="shared" ca="1" si="12"/>
        <v/>
      </c>
      <c r="J17" s="32" t="str">
        <f t="shared" si="7"/>
        <v/>
      </c>
      <c r="K17" s="32" t="str">
        <f>IF(ISNUMBER(A17),Profile!$V$25+Profile!$V$24*'Ri-Po'!C17,"")</f>
        <v/>
      </c>
      <c r="L17" s="32" t="str">
        <f t="shared" si="13"/>
        <v/>
      </c>
      <c r="M17" s="32" t="str">
        <f t="shared" si="8"/>
        <v/>
      </c>
      <c r="N17" s="32" t="str">
        <f t="shared" si="9"/>
        <v/>
      </c>
      <c r="O17" s="32" t="str">
        <f t="shared" si="44"/>
        <v/>
      </c>
      <c r="P17" s="32" t="str">
        <f t="shared" si="15"/>
        <v/>
      </c>
      <c r="Q17" s="32" t="str">
        <f t="shared" si="16"/>
        <v/>
      </c>
      <c r="R17" s="32" t="str">
        <f t="shared" si="45"/>
        <v/>
      </c>
      <c r="S17" s="24" t="str">
        <f t="shared" si="46"/>
        <v/>
      </c>
      <c r="T17" s="24" t="str">
        <f t="shared" si="47"/>
        <v/>
      </c>
      <c r="U17" s="24" t="str">
        <f t="shared" si="48"/>
        <v/>
      </c>
      <c r="V17" s="24" t="str">
        <f t="shared" si="49"/>
        <v/>
      </c>
      <c r="W17" s="23" t="str">
        <f t="array" ref="W17">IFERROR(SMALL(IF(S$1:S$1000="BEGIN",ROW(S$1:S$1000)),ROW()-3),"")</f>
        <v/>
      </c>
      <c r="X17" s="23" t="str">
        <f t="array" ref="X17">IFERROR(SMALL(IF(T$1:T$1000="END",ROW(T$1:T$1000)),ROW()-3),"")</f>
        <v/>
      </c>
      <c r="Y17" s="33" t="str">
        <f t="array" ref="Y17">IF(ISNUMBER(W17),MAX(IF((B$4:B$1000&lt;=X17)*(B$4:B$1000&gt;=W17),I$4:I$1000, "")),"")</f>
        <v/>
      </c>
      <c r="Z17" s="33" t="str">
        <f t="shared" si="22"/>
        <v/>
      </c>
      <c r="AA17" s="32" t="str">
        <f t="shared" si="23"/>
        <v/>
      </c>
      <c r="AB17" s="32" t="str">
        <f t="shared" si="24"/>
        <v/>
      </c>
      <c r="AC17" s="32" t="str">
        <f t="shared" si="25"/>
        <v/>
      </c>
      <c r="AD17" s="32" t="str">
        <f t="shared" si="26"/>
        <v/>
      </c>
      <c r="AE17" s="34" t="str">
        <f t="shared" si="27"/>
        <v/>
      </c>
      <c r="AF17" s="32" t="str">
        <f t="shared" si="28"/>
        <v/>
      </c>
      <c r="AG17" s="32" t="str">
        <f t="shared" si="29"/>
        <v/>
      </c>
      <c r="AH17" s="32" t="str">
        <f t="shared" si="30"/>
        <v/>
      </c>
      <c r="AI17" s="35" t="str">
        <f t="shared" si="31"/>
        <v/>
      </c>
      <c r="AJ17" s="23" t="str">
        <f t="array" ref="AJ17">IFERROR(SMALL(IF(U$1:U$1000="BEGIN",ROW(U$1:U$1000)),ROW()-3),"")</f>
        <v/>
      </c>
      <c r="AK17" s="23" t="str">
        <f t="array" ref="AK17">IFERROR(SMALL(IF(V$1:V$1000="END",ROW(V$1:V$1000)),ROW()-3),"")</f>
        <v/>
      </c>
      <c r="AL17" s="24" t="str">
        <f t="array" ref="AL17">IF(AK17="","",MATCH(AM17,L:L,0))</f>
        <v/>
      </c>
      <c r="AM17" s="35">
        <f t="array" ref="AM17">MAX(IF((B$4:B$1000&lt;=AK17)*(B$4:B$1000&gt;=AJ17),L$4:L$1000, ""))</f>
        <v>0</v>
      </c>
      <c r="AN17" s="32" t="str">
        <f t="shared" si="32"/>
        <v/>
      </c>
      <c r="AO17" s="32" t="str">
        <f t="shared" si="33"/>
        <v/>
      </c>
      <c r="AP17" s="32" t="str">
        <f t="shared" si="34"/>
        <v/>
      </c>
      <c r="AQ17" s="32" t="str">
        <f t="shared" si="35"/>
        <v/>
      </c>
      <c r="AR17" s="32" t="str">
        <f t="shared" si="36"/>
        <v/>
      </c>
      <c r="AS17" s="32" t="str">
        <f t="shared" si="37"/>
        <v/>
      </c>
      <c r="AT17" s="32" t="str">
        <f t="shared" si="38"/>
        <v/>
      </c>
      <c r="AU17" s="34" t="str">
        <f t="shared" si="39"/>
        <v/>
      </c>
      <c r="AV17" s="32" t="str">
        <f t="shared" si="40"/>
        <v/>
      </c>
      <c r="AW17" s="32" t="str">
        <f t="shared" si="41"/>
        <v/>
      </c>
      <c r="AX17" s="32" t="str">
        <f t="shared" si="42"/>
        <v/>
      </c>
      <c r="AY17" s="32" t="str">
        <f t="shared" si="43"/>
        <v/>
      </c>
      <c r="AZ17" s="38" t="s">
        <v>91</v>
      </c>
      <c r="BA17" s="1" t="s">
        <v>55</v>
      </c>
      <c r="BB17" s="73">
        <v>1</v>
      </c>
    </row>
    <row r="18" spans="1:54" x14ac:dyDescent="0.25">
      <c r="A18" s="24" t="str">
        <f t="shared" si="0"/>
        <v/>
      </c>
      <c r="B18" s="24" t="str">
        <f t="shared" si="11"/>
        <v/>
      </c>
      <c r="C18" s="32" t="str">
        <f t="shared" si="1"/>
        <v/>
      </c>
      <c r="D18" s="24" t="str">
        <f t="shared" si="2"/>
        <v/>
      </c>
      <c r="E18" s="24" t="str">
        <f t="shared" si="3"/>
        <v/>
      </c>
      <c r="F18" s="32" t="str">
        <f t="shared" si="4"/>
        <v/>
      </c>
      <c r="G18" s="32" t="str">
        <f t="shared" si="5"/>
        <v/>
      </c>
      <c r="H18" s="32" t="str">
        <f t="shared" ca="1" si="6"/>
        <v/>
      </c>
      <c r="I18" s="32" t="str">
        <f t="shared" ca="1" si="12"/>
        <v/>
      </c>
      <c r="J18" s="32" t="str">
        <f t="shared" si="7"/>
        <v/>
      </c>
      <c r="K18" s="32" t="str">
        <f>IF(ISNUMBER(A18),Profile!$V$25+Profile!$V$24*'Ri-Po'!C18,"")</f>
        <v/>
      </c>
      <c r="L18" s="32" t="str">
        <f t="shared" si="13"/>
        <v/>
      </c>
      <c r="M18" s="32" t="str">
        <f t="shared" si="8"/>
        <v/>
      </c>
      <c r="N18" s="32" t="str">
        <f t="shared" si="9"/>
        <v/>
      </c>
      <c r="O18" s="32" t="str">
        <f t="shared" si="44"/>
        <v/>
      </c>
      <c r="P18" s="32" t="str">
        <f t="shared" si="15"/>
        <v/>
      </c>
      <c r="Q18" s="32" t="str">
        <f t="shared" si="16"/>
        <v/>
      </c>
      <c r="R18" s="32" t="str">
        <f t="shared" si="45"/>
        <v/>
      </c>
      <c r="S18" s="24" t="str">
        <f t="shared" si="46"/>
        <v/>
      </c>
      <c r="T18" s="24" t="str">
        <f t="shared" si="47"/>
        <v/>
      </c>
      <c r="U18" s="24" t="str">
        <f t="shared" si="48"/>
        <v/>
      </c>
      <c r="V18" s="24" t="str">
        <f t="shared" si="49"/>
        <v/>
      </c>
      <c r="W18" s="23" t="str">
        <f t="array" ref="W18">IFERROR(SMALL(IF(S$1:S$1000="BEGIN",ROW(S$1:S$1000)),ROW()-3),"")</f>
        <v/>
      </c>
      <c r="X18" s="23" t="str">
        <f t="array" ref="X18">IFERROR(SMALL(IF(T$1:T$1000="END",ROW(T$1:T$1000)),ROW()-3),"")</f>
        <v/>
      </c>
      <c r="Y18" s="33" t="str">
        <f t="array" ref="Y18">IF(ISNUMBER(W18),MAX(IF((B$4:B$1000&lt;=X18)*(B$4:B$1000&gt;=W18),I$4:I$1000, "")),"")</f>
        <v/>
      </c>
      <c r="Z18" s="33" t="str">
        <f t="shared" si="22"/>
        <v/>
      </c>
      <c r="AA18" s="32" t="str">
        <f t="shared" si="23"/>
        <v/>
      </c>
      <c r="AB18" s="32" t="str">
        <f t="shared" si="24"/>
        <v/>
      </c>
      <c r="AC18" s="32" t="str">
        <f t="shared" si="25"/>
        <v/>
      </c>
      <c r="AD18" s="32" t="str">
        <f t="shared" si="26"/>
        <v/>
      </c>
      <c r="AE18" s="34" t="str">
        <f t="shared" si="27"/>
        <v/>
      </c>
      <c r="AF18" s="32" t="str">
        <f t="shared" si="28"/>
        <v/>
      </c>
      <c r="AG18" s="32" t="str">
        <f t="shared" si="29"/>
        <v/>
      </c>
      <c r="AH18" s="32" t="str">
        <f t="shared" si="30"/>
        <v/>
      </c>
      <c r="AI18" s="35" t="str">
        <f t="shared" si="31"/>
        <v/>
      </c>
      <c r="AJ18" s="23" t="str">
        <f t="array" ref="AJ18">IFERROR(SMALL(IF(U$1:U$1000="BEGIN",ROW(U$1:U$1000)),ROW()-3),"")</f>
        <v/>
      </c>
      <c r="AK18" s="23" t="str">
        <f t="array" ref="AK18">IFERROR(SMALL(IF(V$1:V$1000="END",ROW(V$1:V$1000)),ROW()-3),"")</f>
        <v/>
      </c>
      <c r="AL18" s="24" t="str">
        <f t="array" ref="AL18">IF(AK18="","",MATCH(AM18,L:L,0))</f>
        <v/>
      </c>
      <c r="AM18" s="35">
        <f t="array" ref="AM18">MAX(IF((B$4:B$1000&lt;=AK18)*(B$4:B$1000&gt;=AJ18),L$4:L$1000, ""))</f>
        <v>0</v>
      </c>
      <c r="AN18" s="32" t="str">
        <f t="shared" ref="AN18:AN81" si="50">IFERROR(INDEX(C:C,AJ18),"")</f>
        <v/>
      </c>
      <c r="AO18" s="32" t="str">
        <f t="shared" ref="AO18:AO81" si="51">IFERROR(INDEX(C:C,AK18),"")</f>
        <v/>
      </c>
      <c r="AP18" s="32" t="str">
        <f t="shared" ref="AP18:AP81" si="52">IFERROR(INDEX(C:C,AL18),"")</f>
        <v/>
      </c>
      <c r="AQ18" s="32" t="str">
        <f t="shared" ref="AQ18:AQ81" si="53">IF(ISNUMBER(AN18),AM18,"")</f>
        <v/>
      </c>
      <c r="AR18" s="32" t="str">
        <f t="shared" ref="AR18:AR81" si="54">IFERROR(AO18-AN18,"")</f>
        <v/>
      </c>
      <c r="AS18" s="32" t="str">
        <f t="shared" ref="AS18:AS81" si="55">IFERROR(INDEX(H:H,AJ18),"")</f>
        <v/>
      </c>
      <c r="AT18" s="32" t="str">
        <f t="shared" ref="AT18:AT81" si="56">IFERROR(INDEX(H:H,AK18),"")</f>
        <v/>
      </c>
      <c r="AU18" s="34" t="str">
        <f t="shared" ref="AU18:AU81" si="57">IFERROR((AS18-AT18)/(AR18),"")</f>
        <v/>
      </c>
      <c r="AV18" s="32" t="str">
        <f t="shared" ref="AV18:AV81" si="58">IFERROR(AQ18/$BB$17,"")</f>
        <v/>
      </c>
      <c r="AW18" s="32" t="str">
        <f t="shared" ref="AW18:AW81" si="59">IFERROR(AU18/BB$19,"")</f>
        <v/>
      </c>
      <c r="AX18" s="32" t="str">
        <f t="shared" ref="AX18:AX81" si="60">IFERROR(AP19-AP18,"")</f>
        <v/>
      </c>
      <c r="AY18" s="32" t="str">
        <f t="shared" ref="AY18:AY81" si="61">IFERROR(AX18/BB$16,"")</f>
        <v/>
      </c>
    </row>
    <row r="19" spans="1:54" x14ac:dyDescent="0.25">
      <c r="A19" s="24" t="str">
        <f t="shared" si="0"/>
        <v/>
      </c>
      <c r="B19" s="24" t="str">
        <f t="shared" si="11"/>
        <v/>
      </c>
      <c r="C19" s="32" t="str">
        <f t="shared" si="1"/>
        <v/>
      </c>
      <c r="D19" s="24" t="str">
        <f t="shared" si="2"/>
        <v/>
      </c>
      <c r="E19" s="24" t="str">
        <f t="shared" si="3"/>
        <v/>
      </c>
      <c r="F19" s="32" t="str">
        <f t="shared" si="4"/>
        <v/>
      </c>
      <c r="G19" s="32" t="str">
        <f t="shared" si="5"/>
        <v/>
      </c>
      <c r="H19" s="32" t="str">
        <f t="shared" ca="1" si="6"/>
        <v/>
      </c>
      <c r="I19" s="32" t="str">
        <f t="shared" ca="1" si="12"/>
        <v/>
      </c>
      <c r="J19" s="32" t="str">
        <f t="shared" si="7"/>
        <v/>
      </c>
      <c r="K19" s="32" t="str">
        <f>IF(ISNUMBER(A19),Profile!$V$25+Profile!$V$24*'Ri-Po'!C19,"")</f>
        <v/>
      </c>
      <c r="L19" s="32" t="str">
        <f t="shared" si="13"/>
        <v/>
      </c>
      <c r="M19" s="32" t="str">
        <f t="shared" si="8"/>
        <v/>
      </c>
      <c r="N19" s="32" t="str">
        <f t="shared" si="9"/>
        <v/>
      </c>
      <c r="O19" s="32" t="str">
        <f t="shared" si="44"/>
        <v/>
      </c>
      <c r="P19" s="32" t="str">
        <f t="shared" si="15"/>
        <v/>
      </c>
      <c r="Q19" s="32" t="str">
        <f t="shared" si="16"/>
        <v/>
      </c>
      <c r="R19" s="32" t="str">
        <f t="shared" si="45"/>
        <v/>
      </c>
      <c r="S19" s="24" t="str">
        <f t="shared" si="46"/>
        <v/>
      </c>
      <c r="T19" s="24" t="str">
        <f t="shared" si="47"/>
        <v/>
      </c>
      <c r="U19" s="24" t="str">
        <f t="shared" si="48"/>
        <v/>
      </c>
      <c r="V19" s="24" t="str">
        <f t="shared" si="49"/>
        <v/>
      </c>
      <c r="W19" s="23" t="str">
        <f t="array" ref="W19">IFERROR(SMALL(IF(S$1:S$1000="BEGIN",ROW(S$1:S$1000)),ROW()-3),"")</f>
        <v/>
      </c>
      <c r="X19" s="23" t="str">
        <f t="array" ref="X19">IFERROR(SMALL(IF(T$1:T$1000="END",ROW(T$1:T$1000)),ROW()-3),"")</f>
        <v/>
      </c>
      <c r="Y19" s="33" t="str">
        <f t="array" ref="Y19">IF(ISNUMBER(W19),MAX(IF((B$4:B$1000&lt;=X19)*(B$4:B$1000&gt;=W19),I$4:I$1000, "")),"")</f>
        <v/>
      </c>
      <c r="Z19" s="33" t="str">
        <f t="shared" si="22"/>
        <v/>
      </c>
      <c r="AA19" s="32" t="str">
        <f t="shared" si="23"/>
        <v/>
      </c>
      <c r="AB19" s="32" t="str">
        <f t="shared" si="24"/>
        <v/>
      </c>
      <c r="AC19" s="32" t="str">
        <f t="shared" si="25"/>
        <v/>
      </c>
      <c r="AD19" s="32" t="str">
        <f t="shared" si="26"/>
        <v/>
      </c>
      <c r="AE19" s="34" t="str">
        <f t="shared" si="27"/>
        <v/>
      </c>
      <c r="AF19" s="32" t="str">
        <f t="shared" si="28"/>
        <v/>
      </c>
      <c r="AG19" s="32" t="str">
        <f t="shared" si="29"/>
        <v/>
      </c>
      <c r="AH19" s="32" t="str">
        <f t="shared" si="30"/>
        <v/>
      </c>
      <c r="AI19" s="35" t="str">
        <f t="shared" si="31"/>
        <v/>
      </c>
      <c r="AJ19" s="23" t="str">
        <f t="array" ref="AJ19">IFERROR(SMALL(IF(U$1:U$1000="BEGIN",ROW(U$1:U$1000)),ROW()-3),"")</f>
        <v/>
      </c>
      <c r="AK19" s="23" t="str">
        <f t="array" ref="AK19">IFERROR(SMALL(IF(V$1:V$1000="END",ROW(V$1:V$1000)),ROW()-3),"")</f>
        <v/>
      </c>
      <c r="AL19" s="24" t="str">
        <f t="array" ref="AL19">IF(AK19="","",MATCH(AM19,L:L,0))</f>
        <v/>
      </c>
      <c r="AM19" s="35">
        <f t="array" ref="AM19">MAX(IF((B$4:B$1000&lt;=AK19)*(B$4:B$1000&gt;=AJ19),L$4:L$1000, ""))</f>
        <v>0</v>
      </c>
      <c r="AN19" s="32" t="str">
        <f t="shared" si="50"/>
        <v/>
      </c>
      <c r="AO19" s="32" t="str">
        <f t="shared" si="51"/>
        <v/>
      </c>
      <c r="AP19" s="32" t="str">
        <f t="shared" si="52"/>
        <v/>
      </c>
      <c r="AQ19" s="32" t="str">
        <f t="shared" si="53"/>
        <v/>
      </c>
      <c r="AR19" s="32" t="str">
        <f t="shared" si="54"/>
        <v/>
      </c>
      <c r="AS19" s="32" t="str">
        <f t="shared" si="55"/>
        <v/>
      </c>
      <c r="AT19" s="32" t="str">
        <f t="shared" si="56"/>
        <v/>
      </c>
      <c r="AU19" s="34" t="str">
        <f t="shared" si="57"/>
        <v/>
      </c>
      <c r="AV19" s="32" t="str">
        <f t="shared" si="58"/>
        <v/>
      </c>
      <c r="AW19" s="32" t="str">
        <f t="shared" si="59"/>
        <v/>
      </c>
      <c r="AX19" s="32" t="str">
        <f t="shared" si="60"/>
        <v/>
      </c>
      <c r="AY19" s="32" t="str">
        <f t="shared" si="61"/>
        <v/>
      </c>
      <c r="AZ19" s="38" t="s">
        <v>37</v>
      </c>
      <c r="BA19" s="1" t="s">
        <v>55</v>
      </c>
      <c r="BB19" s="39" t="e">
        <f>(BA22-BA21)/(AZ21-AZ22)</f>
        <v>#N/A</v>
      </c>
    </row>
    <row r="20" spans="1:54" x14ac:dyDescent="0.25">
      <c r="A20" s="24" t="str">
        <f t="shared" si="0"/>
        <v/>
      </c>
      <c r="B20" s="24" t="str">
        <f t="shared" si="11"/>
        <v/>
      </c>
      <c r="C20" s="32" t="str">
        <f t="shared" si="1"/>
        <v/>
      </c>
      <c r="D20" s="24" t="str">
        <f t="shared" si="2"/>
        <v/>
      </c>
      <c r="E20" s="24" t="str">
        <f t="shared" si="3"/>
        <v/>
      </c>
      <c r="F20" s="32" t="str">
        <f t="shared" si="4"/>
        <v/>
      </c>
      <c r="G20" s="32" t="str">
        <f t="shared" si="5"/>
        <v/>
      </c>
      <c r="H20" s="32" t="str">
        <f t="shared" ca="1" si="6"/>
        <v/>
      </c>
      <c r="I20" s="32" t="str">
        <f t="shared" ca="1" si="12"/>
        <v/>
      </c>
      <c r="J20" s="32" t="str">
        <f t="shared" si="7"/>
        <v/>
      </c>
      <c r="K20" s="32" t="str">
        <f>IF(ISNUMBER(A20),Profile!$V$25+Profile!$V$24*'Ri-Po'!C20,"")</f>
        <v/>
      </c>
      <c r="L20" s="32" t="str">
        <f t="shared" si="13"/>
        <v/>
      </c>
      <c r="M20" s="32" t="str">
        <f t="shared" si="8"/>
        <v/>
      </c>
      <c r="N20" s="32" t="str">
        <f t="shared" si="9"/>
        <v/>
      </c>
      <c r="O20" s="32" t="str">
        <f t="shared" si="44"/>
        <v/>
      </c>
      <c r="P20" s="32" t="str">
        <f t="shared" si="15"/>
        <v/>
      </c>
      <c r="Q20" s="32" t="str">
        <f t="shared" si="16"/>
        <v/>
      </c>
      <c r="R20" s="32" t="str">
        <f t="shared" si="45"/>
        <v/>
      </c>
      <c r="S20" s="24" t="str">
        <f t="shared" si="46"/>
        <v/>
      </c>
      <c r="T20" s="24" t="str">
        <f t="shared" si="47"/>
        <v/>
      </c>
      <c r="U20" s="24" t="str">
        <f t="shared" si="48"/>
        <v/>
      </c>
      <c r="V20" s="24" t="str">
        <f t="shared" si="49"/>
        <v/>
      </c>
      <c r="W20" s="23" t="str">
        <f t="array" ref="W20">IFERROR(SMALL(IF(S$1:S$1000="BEGIN",ROW(S$1:S$1000)),ROW()-3),"")</f>
        <v/>
      </c>
      <c r="X20" s="23" t="str">
        <f t="array" ref="X20">IFERROR(SMALL(IF(T$1:T$1000="END",ROW(T$1:T$1000)),ROW()-3),"")</f>
        <v/>
      </c>
      <c r="Y20" s="33" t="str">
        <f t="array" ref="Y20">IF(ISNUMBER(W20),MAX(IF((B$4:B$1000&lt;=X20)*(B$4:B$1000&gt;=W20),I$4:I$1000, "")),"")</f>
        <v/>
      </c>
      <c r="Z20" s="33" t="str">
        <f t="shared" si="22"/>
        <v/>
      </c>
      <c r="AA20" s="32" t="str">
        <f t="shared" si="23"/>
        <v/>
      </c>
      <c r="AB20" s="32" t="str">
        <f t="shared" si="24"/>
        <v/>
      </c>
      <c r="AC20" s="32" t="str">
        <f t="shared" si="25"/>
        <v/>
      </c>
      <c r="AD20" s="32" t="str">
        <f t="shared" si="26"/>
        <v/>
      </c>
      <c r="AE20" s="34" t="str">
        <f t="shared" si="27"/>
        <v/>
      </c>
      <c r="AF20" s="32" t="str">
        <f t="shared" si="28"/>
        <v/>
      </c>
      <c r="AG20" s="32" t="str">
        <f t="shared" si="29"/>
        <v/>
      </c>
      <c r="AH20" s="32" t="str">
        <f t="shared" si="30"/>
        <v/>
      </c>
      <c r="AI20" s="35" t="str">
        <f t="shared" si="31"/>
        <v/>
      </c>
      <c r="AJ20" s="23" t="str">
        <f t="array" ref="AJ20">IFERROR(SMALL(IF(U$1:U$1000="BEGIN",ROW(U$1:U$1000)),ROW()-3),"")</f>
        <v/>
      </c>
      <c r="AK20" s="23" t="str">
        <f t="array" ref="AK20">IFERROR(SMALL(IF(V$1:V$1000="END",ROW(V$1:V$1000)),ROW()-3),"")</f>
        <v/>
      </c>
      <c r="AL20" s="24" t="str">
        <f t="array" ref="AL20">IF(AK20="","",MATCH(AM20,L:L,0))</f>
        <v/>
      </c>
      <c r="AM20" s="35">
        <f t="array" ref="AM20">MAX(IF((B$4:B$1000&lt;=AK20)*(B$4:B$1000&gt;=AJ20),L$4:L$1000, ""))</f>
        <v>0</v>
      </c>
      <c r="AN20" s="32" t="str">
        <f t="shared" si="50"/>
        <v/>
      </c>
      <c r="AO20" s="32" t="str">
        <f t="shared" si="51"/>
        <v/>
      </c>
      <c r="AP20" s="32" t="str">
        <f t="shared" si="52"/>
        <v/>
      </c>
      <c r="AQ20" s="32" t="str">
        <f t="shared" si="53"/>
        <v/>
      </c>
      <c r="AR20" s="32" t="str">
        <f t="shared" si="54"/>
        <v/>
      </c>
      <c r="AS20" s="32" t="str">
        <f t="shared" si="55"/>
        <v/>
      </c>
      <c r="AT20" s="32" t="str">
        <f t="shared" si="56"/>
        <v/>
      </c>
      <c r="AU20" s="34" t="str">
        <f t="shared" si="57"/>
        <v/>
      </c>
      <c r="AV20" s="32" t="str">
        <f t="shared" si="58"/>
        <v/>
      </c>
      <c r="AW20" s="32" t="str">
        <f t="shared" si="59"/>
        <v/>
      </c>
      <c r="AX20" s="32" t="str">
        <f t="shared" si="60"/>
        <v/>
      </c>
      <c r="AY20" s="32" t="str">
        <f t="shared" si="61"/>
        <v/>
      </c>
      <c r="AZ20" s="23" t="s">
        <v>0</v>
      </c>
      <c r="BA20" s="16" t="s">
        <v>38</v>
      </c>
    </row>
    <row r="21" spans="1:54" x14ac:dyDescent="0.25">
      <c r="A21" s="24" t="str">
        <f t="shared" si="0"/>
        <v/>
      </c>
      <c r="B21" s="24" t="str">
        <f t="shared" si="11"/>
        <v/>
      </c>
      <c r="C21" s="32" t="str">
        <f t="shared" si="1"/>
        <v/>
      </c>
      <c r="D21" s="24" t="str">
        <f t="shared" si="2"/>
        <v/>
      </c>
      <c r="E21" s="24" t="str">
        <f t="shared" si="3"/>
        <v/>
      </c>
      <c r="F21" s="32" t="str">
        <f t="shared" si="4"/>
        <v/>
      </c>
      <c r="G21" s="32" t="str">
        <f t="shared" si="5"/>
        <v/>
      </c>
      <c r="H21" s="32" t="str">
        <f t="shared" ca="1" si="6"/>
        <v/>
      </c>
      <c r="I21" s="32" t="str">
        <f t="shared" ca="1" si="12"/>
        <v/>
      </c>
      <c r="J21" s="32" t="str">
        <f t="shared" si="7"/>
        <v/>
      </c>
      <c r="K21" s="32" t="str">
        <f>IF(ISNUMBER(A21),Profile!$V$25+Profile!$V$24*'Ri-Po'!C21,"")</f>
        <v/>
      </c>
      <c r="L21" s="32" t="str">
        <f t="shared" si="13"/>
        <v/>
      </c>
      <c r="M21" s="32" t="str">
        <f t="shared" si="8"/>
        <v/>
      </c>
      <c r="N21" s="32" t="str">
        <f t="shared" si="9"/>
        <v/>
      </c>
      <c r="O21" s="32" t="str">
        <f t="shared" si="44"/>
        <v/>
      </c>
      <c r="P21" s="32" t="str">
        <f t="shared" si="15"/>
        <v/>
      </c>
      <c r="Q21" s="32" t="str">
        <f t="shared" si="16"/>
        <v/>
      </c>
      <c r="R21" s="32" t="str">
        <f t="shared" si="45"/>
        <v/>
      </c>
      <c r="S21" s="24" t="str">
        <f t="shared" si="46"/>
        <v/>
      </c>
      <c r="T21" s="24" t="str">
        <f t="shared" si="47"/>
        <v/>
      </c>
      <c r="U21" s="24" t="str">
        <f t="shared" si="48"/>
        <v/>
      </c>
      <c r="V21" s="24" t="str">
        <f t="shared" si="49"/>
        <v/>
      </c>
      <c r="W21" s="23" t="str">
        <f t="array" ref="W21">IFERROR(SMALL(IF(S$1:S$1000="BEGIN",ROW(S$1:S$1000)),ROW()-3),"")</f>
        <v/>
      </c>
      <c r="X21" s="23" t="str">
        <f t="array" ref="X21">IFERROR(SMALL(IF(T$1:T$1000="END",ROW(T$1:T$1000)),ROW()-3),"")</f>
        <v/>
      </c>
      <c r="Y21" s="33" t="str">
        <f t="array" ref="Y21">IF(ISNUMBER(W21),MAX(IF((B$4:B$1000&lt;=X21)*(B$4:B$1000&gt;=W21),I$4:I$1000, "")),"")</f>
        <v/>
      </c>
      <c r="Z21" s="33" t="str">
        <f t="shared" si="22"/>
        <v/>
      </c>
      <c r="AA21" s="32" t="str">
        <f t="shared" si="23"/>
        <v/>
      </c>
      <c r="AB21" s="32" t="str">
        <f t="shared" si="24"/>
        <v/>
      </c>
      <c r="AC21" s="32" t="str">
        <f t="shared" si="25"/>
        <v/>
      </c>
      <c r="AD21" s="32" t="str">
        <f t="shared" si="26"/>
        <v/>
      </c>
      <c r="AE21" s="34" t="str">
        <f t="shared" si="27"/>
        <v/>
      </c>
      <c r="AF21" s="32" t="str">
        <f t="shared" si="28"/>
        <v/>
      </c>
      <c r="AG21" s="32" t="str">
        <f t="shared" si="29"/>
        <v/>
      </c>
      <c r="AH21" s="32" t="str">
        <f t="shared" si="30"/>
        <v/>
      </c>
      <c r="AI21" s="35" t="str">
        <f t="shared" si="31"/>
        <v/>
      </c>
      <c r="AJ21" s="23" t="str">
        <f t="array" ref="AJ21">IFERROR(SMALL(IF(U$1:U$1000="BEGIN",ROW(U$1:U$1000)),ROW()-3),"")</f>
        <v/>
      </c>
      <c r="AK21" s="23" t="str">
        <f t="array" ref="AK21">IFERROR(SMALL(IF(V$1:V$1000="END",ROW(V$1:V$1000)),ROW()-3),"")</f>
        <v/>
      </c>
      <c r="AL21" s="24" t="str">
        <f t="array" ref="AL21">IF(AK21="","",MATCH(AM21,L:L,0))</f>
        <v/>
      </c>
      <c r="AM21" s="35">
        <f t="array" ref="AM21">MAX(IF((B$4:B$1000&lt;=AK21)*(B$4:B$1000&gt;=AJ21),L$4:L$1000, ""))</f>
        <v>0</v>
      </c>
      <c r="AN21" s="32" t="str">
        <f t="shared" si="50"/>
        <v/>
      </c>
      <c r="AO21" s="32" t="str">
        <f t="shared" si="51"/>
        <v/>
      </c>
      <c r="AP21" s="32" t="str">
        <f t="shared" si="52"/>
        <v/>
      </c>
      <c r="AQ21" s="32" t="str">
        <f t="shared" si="53"/>
        <v/>
      </c>
      <c r="AR21" s="32" t="str">
        <f t="shared" si="54"/>
        <v/>
      </c>
      <c r="AS21" s="32" t="str">
        <f t="shared" si="55"/>
        <v/>
      </c>
      <c r="AT21" s="32" t="str">
        <f t="shared" si="56"/>
        <v/>
      </c>
      <c r="AU21" s="34" t="str">
        <f t="shared" si="57"/>
        <v/>
      </c>
      <c r="AV21" s="32" t="str">
        <f t="shared" si="58"/>
        <v/>
      </c>
      <c r="AW21" s="32" t="str">
        <f t="shared" si="59"/>
        <v/>
      </c>
      <c r="AX21" s="32" t="str">
        <f t="shared" si="60"/>
        <v/>
      </c>
      <c r="AY21" s="32" t="str">
        <f t="shared" si="61"/>
        <v/>
      </c>
      <c r="AZ21" s="33" t="str">
        <f t="array" ref="AZ21">INDEX(C4:C1000,MATCH(FALSE,ISBLANK(G4:G1000),0))</f>
        <v/>
      </c>
      <c r="BA21" s="40" t="str">
        <f t="array" ref="BA21">INDEX(G4:G1000,MATCH(FALSE,ISBLANK(G4:G1000),0))</f>
        <v/>
      </c>
    </row>
    <row r="22" spans="1:54" x14ac:dyDescent="0.25">
      <c r="A22" s="24" t="str">
        <f t="shared" si="0"/>
        <v/>
      </c>
      <c r="B22" s="24" t="str">
        <f t="shared" si="11"/>
        <v/>
      </c>
      <c r="C22" s="32" t="str">
        <f t="shared" si="1"/>
        <v/>
      </c>
      <c r="D22" s="24" t="str">
        <f t="shared" si="2"/>
        <v/>
      </c>
      <c r="E22" s="24" t="str">
        <f t="shared" si="3"/>
        <v/>
      </c>
      <c r="F22" s="32" t="str">
        <f t="shared" si="4"/>
        <v/>
      </c>
      <c r="G22" s="32" t="str">
        <f t="shared" si="5"/>
        <v/>
      </c>
      <c r="H22" s="32" t="str">
        <f t="shared" ca="1" si="6"/>
        <v/>
      </c>
      <c r="I22" s="32" t="str">
        <f t="shared" ca="1" si="12"/>
        <v/>
      </c>
      <c r="J22" s="32" t="str">
        <f t="shared" si="7"/>
        <v/>
      </c>
      <c r="K22" s="32" t="str">
        <f>IF(ISNUMBER(A22),Profile!$V$25+Profile!$V$24*'Ri-Po'!C22,"")</f>
        <v/>
      </c>
      <c r="L22" s="32" t="str">
        <f t="shared" si="13"/>
        <v/>
      </c>
      <c r="M22" s="32" t="str">
        <f t="shared" si="8"/>
        <v/>
      </c>
      <c r="N22" s="32" t="str">
        <f t="shared" si="9"/>
        <v/>
      </c>
      <c r="O22" s="32" t="str">
        <f t="shared" si="44"/>
        <v/>
      </c>
      <c r="P22" s="32" t="str">
        <f t="shared" si="15"/>
        <v/>
      </c>
      <c r="Q22" s="32" t="str">
        <f t="shared" si="16"/>
        <v/>
      </c>
      <c r="R22" s="32" t="str">
        <f t="shared" si="45"/>
        <v/>
      </c>
      <c r="S22" s="24" t="str">
        <f t="shared" si="46"/>
        <v/>
      </c>
      <c r="T22" s="24" t="str">
        <f t="shared" si="47"/>
        <v/>
      </c>
      <c r="U22" s="24" t="str">
        <f t="shared" si="48"/>
        <v/>
      </c>
      <c r="V22" s="24" t="str">
        <f t="shared" si="49"/>
        <v/>
      </c>
      <c r="W22" s="23" t="str">
        <f t="array" ref="W22">IFERROR(SMALL(IF(S$1:S$1000="BEGIN",ROW(S$1:S$1000)),ROW()-3),"")</f>
        <v/>
      </c>
      <c r="X22" s="23" t="str">
        <f t="array" ref="X22">IFERROR(SMALL(IF(T$1:T$1000="END",ROW(T$1:T$1000)),ROW()-3),"")</f>
        <v/>
      </c>
      <c r="Y22" s="33" t="str">
        <f t="array" ref="Y22">IF(ISNUMBER(W22),MAX(IF((B$4:B$1000&lt;=X22)*(B$4:B$1000&gt;=W22),I$4:I$1000, "")),"")</f>
        <v/>
      </c>
      <c r="Z22" s="33" t="str">
        <f t="shared" si="22"/>
        <v/>
      </c>
      <c r="AA22" s="32" t="str">
        <f t="shared" si="23"/>
        <v/>
      </c>
      <c r="AB22" s="32" t="str">
        <f t="shared" si="24"/>
        <v/>
      </c>
      <c r="AC22" s="32" t="str">
        <f t="shared" si="25"/>
        <v/>
      </c>
      <c r="AD22" s="32" t="str">
        <f t="shared" si="26"/>
        <v/>
      </c>
      <c r="AE22" s="34" t="str">
        <f t="shared" si="27"/>
        <v/>
      </c>
      <c r="AF22" s="32" t="str">
        <f t="shared" si="28"/>
        <v/>
      </c>
      <c r="AG22" s="32" t="str">
        <f t="shared" si="29"/>
        <v/>
      </c>
      <c r="AH22" s="32" t="str">
        <f t="shared" si="30"/>
        <v/>
      </c>
      <c r="AI22" s="35" t="str">
        <f t="shared" si="31"/>
        <v/>
      </c>
      <c r="AJ22" s="23" t="str">
        <f t="array" ref="AJ22">IFERROR(SMALL(IF(U$1:U$1000="BEGIN",ROW(U$1:U$1000)),ROW()-3),"")</f>
        <v/>
      </c>
      <c r="AK22" s="23" t="str">
        <f t="array" ref="AK22">IFERROR(SMALL(IF(V$1:V$1000="END",ROW(V$1:V$1000)),ROW()-3),"")</f>
        <v/>
      </c>
      <c r="AL22" s="24" t="str">
        <f t="array" ref="AL22">IF(AK22="","",MATCH(AM22,L:L,0))</f>
        <v/>
      </c>
      <c r="AM22" s="35">
        <f t="array" ref="AM22">MAX(IF((B$4:B$1000&lt;=AK22)*(B$4:B$1000&gt;=AJ22),L$4:L$1000, ""))</f>
        <v>0</v>
      </c>
      <c r="AN22" s="32" t="str">
        <f t="shared" si="50"/>
        <v/>
      </c>
      <c r="AO22" s="32" t="str">
        <f t="shared" si="51"/>
        <v/>
      </c>
      <c r="AP22" s="32" t="str">
        <f t="shared" si="52"/>
        <v/>
      </c>
      <c r="AQ22" s="32" t="str">
        <f t="shared" si="53"/>
        <v/>
      </c>
      <c r="AR22" s="32" t="str">
        <f t="shared" si="54"/>
        <v/>
      </c>
      <c r="AS22" s="32" t="str">
        <f t="shared" si="55"/>
        <v/>
      </c>
      <c r="AT22" s="32" t="str">
        <f t="shared" si="56"/>
        <v/>
      </c>
      <c r="AU22" s="34" t="str">
        <f t="shared" si="57"/>
        <v/>
      </c>
      <c r="AV22" s="32" t="str">
        <f t="shared" si="58"/>
        <v/>
      </c>
      <c r="AW22" s="32" t="str">
        <f t="shared" si="59"/>
        <v/>
      </c>
      <c r="AX22" s="32" t="str">
        <f t="shared" si="60"/>
        <v/>
      </c>
      <c r="AY22" s="32" t="str">
        <f t="shared" si="61"/>
        <v/>
      </c>
      <c r="AZ22" s="33" t="e">
        <f>LOOKUP(2,1/(G4:G1000&lt;&gt;""),C4:C1000)</f>
        <v>#N/A</v>
      </c>
      <c r="BA22" s="40" t="e">
        <f>LOOKUP(2,1/(G4:G1000&lt;&gt;""),G4:G1000)</f>
        <v>#N/A</v>
      </c>
    </row>
    <row r="23" spans="1:54" x14ac:dyDescent="0.25">
      <c r="A23" s="24" t="str">
        <f t="shared" si="0"/>
        <v/>
      </c>
      <c r="B23" s="24" t="str">
        <f t="shared" si="11"/>
        <v/>
      </c>
      <c r="C23" s="32" t="str">
        <f t="shared" si="1"/>
        <v/>
      </c>
      <c r="D23" s="24" t="str">
        <f t="shared" si="2"/>
        <v/>
      </c>
      <c r="E23" s="24" t="str">
        <f t="shared" si="3"/>
        <v/>
      </c>
      <c r="F23" s="32" t="str">
        <f t="shared" si="4"/>
        <v/>
      </c>
      <c r="G23" s="32" t="str">
        <f t="shared" si="5"/>
        <v/>
      </c>
      <c r="H23" s="32" t="str">
        <f t="shared" ca="1" si="6"/>
        <v/>
      </c>
      <c r="I23" s="32" t="str">
        <f t="shared" ca="1" si="12"/>
        <v/>
      </c>
      <c r="J23" s="32" t="str">
        <f t="shared" si="7"/>
        <v/>
      </c>
      <c r="K23" s="32" t="str">
        <f>IF(ISNUMBER(A23),Profile!$V$25+Profile!$V$24*'Ri-Po'!C23,"")</f>
        <v/>
      </c>
      <c r="L23" s="32" t="str">
        <f t="shared" si="13"/>
        <v/>
      </c>
      <c r="M23" s="32" t="str">
        <f t="shared" si="8"/>
        <v/>
      </c>
      <c r="N23" s="32" t="str">
        <f t="shared" si="9"/>
        <v/>
      </c>
      <c r="O23" s="32" t="str">
        <f t="shared" si="44"/>
        <v/>
      </c>
      <c r="P23" s="32" t="str">
        <f t="shared" si="15"/>
        <v/>
      </c>
      <c r="Q23" s="32" t="str">
        <f t="shared" si="16"/>
        <v/>
      </c>
      <c r="R23" s="32" t="str">
        <f t="shared" si="45"/>
        <v/>
      </c>
      <c r="S23" s="24" t="str">
        <f t="shared" si="46"/>
        <v/>
      </c>
      <c r="T23" s="24" t="str">
        <f t="shared" si="47"/>
        <v/>
      </c>
      <c r="U23" s="24" t="str">
        <f t="shared" si="48"/>
        <v/>
      </c>
      <c r="V23" s="24" t="str">
        <f t="shared" si="49"/>
        <v/>
      </c>
      <c r="W23" s="23" t="str">
        <f t="array" ref="W23">IFERROR(SMALL(IF(S$1:S$1000="BEGIN",ROW(S$1:S$1000)),ROW()-3),"")</f>
        <v/>
      </c>
      <c r="X23" s="23" t="str">
        <f t="array" ref="X23">IFERROR(SMALL(IF(T$1:T$1000="END",ROW(T$1:T$1000)),ROW()-3),"")</f>
        <v/>
      </c>
      <c r="Y23" s="33" t="str">
        <f t="array" ref="Y23">IF(ISNUMBER(W23),MAX(IF((B$4:B$1000&lt;=X23)*(B$4:B$1000&gt;=W23),I$4:I$1000, "")),"")</f>
        <v/>
      </c>
      <c r="Z23" s="33" t="str">
        <f t="shared" si="22"/>
        <v/>
      </c>
      <c r="AA23" s="32" t="str">
        <f t="shared" si="23"/>
        <v/>
      </c>
      <c r="AB23" s="32" t="str">
        <f t="shared" si="24"/>
        <v/>
      </c>
      <c r="AC23" s="32" t="str">
        <f t="shared" si="25"/>
        <v/>
      </c>
      <c r="AD23" s="32" t="str">
        <f t="shared" si="26"/>
        <v/>
      </c>
      <c r="AE23" s="34" t="str">
        <f t="shared" si="27"/>
        <v/>
      </c>
      <c r="AF23" s="32" t="str">
        <f t="shared" si="28"/>
        <v/>
      </c>
      <c r="AG23" s="32" t="str">
        <f t="shared" si="29"/>
        <v/>
      </c>
      <c r="AH23" s="32" t="str">
        <f t="shared" si="30"/>
        <v/>
      </c>
      <c r="AI23" s="35" t="str">
        <f t="shared" si="31"/>
        <v/>
      </c>
      <c r="AJ23" s="23" t="str">
        <f t="array" ref="AJ23">IFERROR(SMALL(IF(U$1:U$1000="BEGIN",ROW(U$1:U$1000)),ROW()-3),"")</f>
        <v/>
      </c>
      <c r="AK23" s="23" t="str">
        <f t="array" ref="AK23">IFERROR(SMALL(IF(V$1:V$1000="END",ROW(V$1:V$1000)),ROW()-3),"")</f>
        <v/>
      </c>
      <c r="AL23" s="24" t="str">
        <f t="array" ref="AL23">IF(AK23="","",MATCH(AM23,L:L,0))</f>
        <v/>
      </c>
      <c r="AM23" s="35">
        <f t="array" ref="AM23">MAX(IF((B$4:B$1000&lt;=AK23)*(B$4:B$1000&gt;=AJ23),L$4:L$1000, ""))</f>
        <v>0</v>
      </c>
      <c r="AN23" s="32" t="str">
        <f t="shared" si="50"/>
        <v/>
      </c>
      <c r="AO23" s="32" t="str">
        <f t="shared" si="51"/>
        <v/>
      </c>
      <c r="AP23" s="32" t="str">
        <f t="shared" si="52"/>
        <v/>
      </c>
      <c r="AQ23" s="32" t="str">
        <f t="shared" si="53"/>
        <v/>
      </c>
      <c r="AR23" s="32" t="str">
        <f t="shared" si="54"/>
        <v/>
      </c>
      <c r="AS23" s="32" t="str">
        <f t="shared" si="55"/>
        <v/>
      </c>
      <c r="AT23" s="32" t="str">
        <f t="shared" si="56"/>
        <v/>
      </c>
      <c r="AU23" s="34" t="str">
        <f t="shared" si="57"/>
        <v/>
      </c>
      <c r="AV23" s="32" t="str">
        <f t="shared" si="58"/>
        <v/>
      </c>
      <c r="AW23" s="32" t="str">
        <f t="shared" si="59"/>
        <v/>
      </c>
      <c r="AX23" s="32" t="str">
        <f t="shared" si="60"/>
        <v/>
      </c>
      <c r="AY23" s="32" t="str">
        <f t="shared" si="61"/>
        <v/>
      </c>
    </row>
    <row r="24" spans="1:54" x14ac:dyDescent="0.25">
      <c r="A24" s="24" t="str">
        <f t="shared" si="0"/>
        <v/>
      </c>
      <c r="B24" s="24" t="str">
        <f t="shared" si="11"/>
        <v/>
      </c>
      <c r="C24" s="32" t="str">
        <f t="shared" si="1"/>
        <v/>
      </c>
      <c r="D24" s="24" t="str">
        <f t="shared" si="2"/>
        <v/>
      </c>
      <c r="E24" s="24" t="str">
        <f t="shared" si="3"/>
        <v/>
      </c>
      <c r="F24" s="32" t="str">
        <f t="shared" si="4"/>
        <v/>
      </c>
      <c r="G24" s="32" t="str">
        <f t="shared" si="5"/>
        <v/>
      </c>
      <c r="H24" s="32" t="str">
        <f t="shared" ca="1" si="6"/>
        <v/>
      </c>
      <c r="I24" s="32" t="str">
        <f t="shared" ca="1" si="12"/>
        <v/>
      </c>
      <c r="J24" s="32" t="str">
        <f t="shared" si="7"/>
        <v/>
      </c>
      <c r="K24" s="32" t="str">
        <f>IF(ISNUMBER(A24),Profile!$V$25+Profile!$V$24*'Ri-Po'!C24,"")</f>
        <v/>
      </c>
      <c r="L24" s="32" t="str">
        <f t="shared" si="13"/>
        <v/>
      </c>
      <c r="M24" s="32" t="str">
        <f t="shared" si="8"/>
        <v/>
      </c>
      <c r="N24" s="32" t="str">
        <f t="shared" si="9"/>
        <v/>
      </c>
      <c r="O24" s="32" t="str">
        <f t="shared" si="44"/>
        <v/>
      </c>
      <c r="P24" s="32" t="str">
        <f t="shared" si="15"/>
        <v/>
      </c>
      <c r="Q24" s="32" t="str">
        <f t="shared" si="16"/>
        <v/>
      </c>
      <c r="R24" s="32" t="str">
        <f t="shared" si="45"/>
        <v/>
      </c>
      <c r="S24" s="24" t="str">
        <f t="shared" si="46"/>
        <v/>
      </c>
      <c r="T24" s="24" t="str">
        <f t="shared" si="47"/>
        <v/>
      </c>
      <c r="U24" s="24" t="str">
        <f t="shared" si="48"/>
        <v/>
      </c>
      <c r="V24" s="24" t="str">
        <f t="shared" si="49"/>
        <v/>
      </c>
      <c r="W24" s="23" t="str">
        <f t="array" ref="W24">IFERROR(SMALL(IF(S$1:S$1000="BEGIN",ROW(S$1:S$1000)),ROW()-3),"")</f>
        <v/>
      </c>
      <c r="X24" s="23" t="str">
        <f t="array" ref="X24">IFERROR(SMALL(IF(T$1:T$1000="END",ROW(T$1:T$1000)),ROW()-3),"")</f>
        <v/>
      </c>
      <c r="Y24" s="33" t="str">
        <f t="array" ref="Y24">IF(ISNUMBER(W24),MAX(IF((B$4:B$1000&lt;=X24)*(B$4:B$1000&gt;=W24),I$4:I$1000, "")),"")</f>
        <v/>
      </c>
      <c r="Z24" s="33" t="str">
        <f t="shared" si="22"/>
        <v/>
      </c>
      <c r="AA24" s="32" t="str">
        <f t="shared" si="23"/>
        <v/>
      </c>
      <c r="AB24" s="32" t="str">
        <f t="shared" si="24"/>
        <v/>
      </c>
      <c r="AC24" s="32" t="str">
        <f t="shared" si="25"/>
        <v/>
      </c>
      <c r="AD24" s="32" t="str">
        <f t="shared" si="26"/>
        <v/>
      </c>
      <c r="AE24" s="34" t="str">
        <f t="shared" si="27"/>
        <v/>
      </c>
      <c r="AF24" s="32" t="str">
        <f t="shared" si="28"/>
        <v/>
      </c>
      <c r="AG24" s="32" t="str">
        <f t="shared" si="29"/>
        <v/>
      </c>
      <c r="AH24" s="32" t="str">
        <f t="shared" si="30"/>
        <v/>
      </c>
      <c r="AI24" s="35" t="str">
        <f t="shared" si="31"/>
        <v/>
      </c>
      <c r="AJ24" s="23" t="str">
        <f t="array" ref="AJ24">IFERROR(SMALL(IF(U$1:U$1000="BEGIN",ROW(U$1:U$1000)),ROW()-3),"")</f>
        <v/>
      </c>
      <c r="AK24" s="23" t="str">
        <f t="array" ref="AK24">IFERROR(SMALL(IF(V$1:V$1000="END",ROW(V$1:V$1000)),ROW()-3),"")</f>
        <v/>
      </c>
      <c r="AL24" s="24" t="str">
        <f t="array" ref="AL24">IF(AK24="","",MATCH(AM24,L:L,0))</f>
        <v/>
      </c>
      <c r="AM24" s="35">
        <f t="array" ref="AM24">MAX(IF((B$4:B$1000&lt;=AK24)*(B$4:B$1000&gt;=AJ24),L$4:L$1000, ""))</f>
        <v>0</v>
      </c>
      <c r="AN24" s="32" t="str">
        <f t="shared" si="50"/>
        <v/>
      </c>
      <c r="AO24" s="32" t="str">
        <f t="shared" si="51"/>
        <v/>
      </c>
      <c r="AP24" s="32" t="str">
        <f t="shared" si="52"/>
        <v/>
      </c>
      <c r="AQ24" s="32" t="str">
        <f t="shared" si="53"/>
        <v/>
      </c>
      <c r="AR24" s="32" t="str">
        <f t="shared" si="54"/>
        <v/>
      </c>
      <c r="AS24" s="32" t="str">
        <f t="shared" si="55"/>
        <v/>
      </c>
      <c r="AT24" s="32" t="str">
        <f t="shared" si="56"/>
        <v/>
      </c>
      <c r="AU24" s="34" t="str">
        <f t="shared" si="57"/>
        <v/>
      </c>
      <c r="AV24" s="32" t="str">
        <f t="shared" si="58"/>
        <v/>
      </c>
      <c r="AW24" s="32" t="str">
        <f t="shared" si="59"/>
        <v/>
      </c>
      <c r="AX24" s="32" t="str">
        <f t="shared" si="60"/>
        <v/>
      </c>
      <c r="AY24" s="32" t="str">
        <f t="shared" si="61"/>
        <v/>
      </c>
      <c r="AZ24" s="38" t="s">
        <v>69</v>
      </c>
      <c r="BA24" s="1" t="s">
        <v>55</v>
      </c>
      <c r="BB24" s="40" t="e">
        <f>AVERAGE(AI4:AI80)</f>
        <v>#DIV/0!</v>
      </c>
    </row>
    <row r="25" spans="1:54" x14ac:dyDescent="0.25">
      <c r="A25" s="24" t="str">
        <f t="shared" si="0"/>
        <v/>
      </c>
      <c r="B25" s="24" t="str">
        <f t="shared" si="11"/>
        <v/>
      </c>
      <c r="C25" s="32" t="str">
        <f t="shared" si="1"/>
        <v/>
      </c>
      <c r="D25" s="24" t="str">
        <f t="shared" si="2"/>
        <v/>
      </c>
      <c r="E25" s="24" t="str">
        <f t="shared" si="3"/>
        <v/>
      </c>
      <c r="F25" s="32" t="str">
        <f t="shared" si="4"/>
        <v/>
      </c>
      <c r="G25" s="32" t="str">
        <f t="shared" si="5"/>
        <v/>
      </c>
      <c r="H25" s="32" t="str">
        <f t="shared" ca="1" si="6"/>
        <v/>
      </c>
      <c r="I25" s="32" t="str">
        <f t="shared" ca="1" si="12"/>
        <v/>
      </c>
      <c r="J25" s="32" t="str">
        <f t="shared" si="7"/>
        <v/>
      </c>
      <c r="K25" s="32" t="str">
        <f>IF(ISNUMBER(A25),Profile!$V$25+Profile!$V$24*'Ri-Po'!C25,"")</f>
        <v/>
      </c>
      <c r="L25" s="32" t="str">
        <f t="shared" si="13"/>
        <v/>
      </c>
      <c r="M25" s="32" t="str">
        <f t="shared" si="8"/>
        <v/>
      </c>
      <c r="N25" s="32" t="str">
        <f t="shared" si="9"/>
        <v/>
      </c>
      <c r="O25" s="32" t="str">
        <f t="shared" si="44"/>
        <v/>
      </c>
      <c r="P25" s="32" t="str">
        <f t="shared" si="15"/>
        <v/>
      </c>
      <c r="Q25" s="32" t="str">
        <f t="shared" si="16"/>
        <v/>
      </c>
      <c r="R25" s="32" t="str">
        <f t="shared" si="45"/>
        <v/>
      </c>
      <c r="S25" s="24" t="str">
        <f t="shared" si="46"/>
        <v/>
      </c>
      <c r="T25" s="24" t="str">
        <f t="shared" si="47"/>
        <v/>
      </c>
      <c r="U25" s="24" t="str">
        <f t="shared" si="48"/>
        <v/>
      </c>
      <c r="V25" s="24" t="str">
        <f t="shared" si="49"/>
        <v/>
      </c>
      <c r="W25" s="23" t="str">
        <f t="array" ref="W25">IFERROR(SMALL(IF(S$1:S$1000="BEGIN",ROW(S$1:S$1000)),ROW()-3),"")</f>
        <v/>
      </c>
      <c r="X25" s="23" t="str">
        <f t="array" ref="X25">IFERROR(SMALL(IF(T$1:T$1000="END",ROW(T$1:T$1000)),ROW()-3),"")</f>
        <v/>
      </c>
      <c r="Y25" s="33" t="str">
        <f t="array" ref="Y25">IF(ISNUMBER(W25),MAX(IF((B$4:B$1000&lt;=X25)*(B$4:B$1000&gt;=W25),I$4:I$1000, "")),"")</f>
        <v/>
      </c>
      <c r="Z25" s="33" t="str">
        <f t="shared" si="22"/>
        <v/>
      </c>
      <c r="AA25" s="32" t="str">
        <f t="shared" si="23"/>
        <v/>
      </c>
      <c r="AB25" s="32" t="str">
        <f t="shared" si="24"/>
        <v/>
      </c>
      <c r="AC25" s="32" t="str">
        <f t="shared" si="25"/>
        <v/>
      </c>
      <c r="AD25" s="32" t="str">
        <f t="shared" si="26"/>
        <v/>
      </c>
      <c r="AE25" s="34" t="str">
        <f t="shared" si="27"/>
        <v/>
      </c>
      <c r="AF25" s="32" t="str">
        <f t="shared" si="28"/>
        <v/>
      </c>
      <c r="AG25" s="32" t="str">
        <f t="shared" si="29"/>
        <v/>
      </c>
      <c r="AH25" s="32" t="str">
        <f t="shared" si="30"/>
        <v/>
      </c>
      <c r="AI25" s="35" t="str">
        <f t="shared" si="31"/>
        <v/>
      </c>
      <c r="AJ25" s="23" t="str">
        <f t="array" ref="AJ25">IFERROR(SMALL(IF(U$1:U$1000="BEGIN",ROW(U$1:U$1000)),ROW()-3),"")</f>
        <v/>
      </c>
      <c r="AK25" s="23" t="str">
        <f t="array" ref="AK25">IFERROR(SMALL(IF(V$1:V$1000="END",ROW(V$1:V$1000)),ROW()-3),"")</f>
        <v/>
      </c>
      <c r="AL25" s="24" t="str">
        <f t="array" ref="AL25">IF(AK25="","",MATCH(AM25,L:L,0))</f>
        <v/>
      </c>
      <c r="AM25" s="35">
        <f t="array" ref="AM25">MAX(IF((B$4:B$1000&lt;=AK25)*(B$4:B$1000&gt;=AJ25),L$4:L$1000, ""))</f>
        <v>0</v>
      </c>
      <c r="AN25" s="32" t="str">
        <f t="shared" si="50"/>
        <v/>
      </c>
      <c r="AO25" s="32" t="str">
        <f t="shared" si="51"/>
        <v/>
      </c>
      <c r="AP25" s="32" t="str">
        <f t="shared" si="52"/>
        <v/>
      </c>
      <c r="AQ25" s="32" t="str">
        <f t="shared" si="53"/>
        <v/>
      </c>
      <c r="AR25" s="32" t="str">
        <f t="shared" si="54"/>
        <v/>
      </c>
      <c r="AS25" s="32" t="str">
        <f t="shared" si="55"/>
        <v/>
      </c>
      <c r="AT25" s="32" t="str">
        <f t="shared" si="56"/>
        <v/>
      </c>
      <c r="AU25" s="34" t="str">
        <f t="shared" si="57"/>
        <v/>
      </c>
      <c r="AV25" s="32" t="str">
        <f t="shared" si="58"/>
        <v/>
      </c>
      <c r="AW25" s="32" t="str">
        <f t="shared" si="59"/>
        <v/>
      </c>
      <c r="AX25" s="32" t="str">
        <f t="shared" si="60"/>
        <v/>
      </c>
      <c r="AY25" s="32" t="str">
        <f t="shared" si="61"/>
        <v/>
      </c>
      <c r="BB25" s="40"/>
    </row>
    <row r="26" spans="1:54" x14ac:dyDescent="0.25">
      <c r="A26" s="24" t="str">
        <f t="shared" si="0"/>
        <v/>
      </c>
      <c r="B26" s="24" t="str">
        <f t="shared" si="11"/>
        <v/>
      </c>
      <c r="C26" s="32" t="str">
        <f t="shared" si="1"/>
        <v/>
      </c>
      <c r="D26" s="24" t="str">
        <f t="shared" si="2"/>
        <v/>
      </c>
      <c r="E26" s="24" t="str">
        <f t="shared" si="3"/>
        <v/>
      </c>
      <c r="F26" s="32" t="str">
        <f t="shared" si="4"/>
        <v/>
      </c>
      <c r="G26" s="32" t="str">
        <f t="shared" si="5"/>
        <v/>
      </c>
      <c r="H26" s="32" t="str">
        <f t="shared" ca="1" si="6"/>
        <v/>
      </c>
      <c r="I26" s="32" t="str">
        <f t="shared" ca="1" si="12"/>
        <v/>
      </c>
      <c r="J26" s="32" t="str">
        <f t="shared" si="7"/>
        <v/>
      </c>
      <c r="K26" s="32" t="str">
        <f>IF(ISNUMBER(A26),Profile!$V$25+Profile!$V$24*'Ri-Po'!C26,"")</f>
        <v/>
      </c>
      <c r="L26" s="32" t="str">
        <f t="shared" si="13"/>
        <v/>
      </c>
      <c r="M26" s="32" t="str">
        <f t="shared" si="8"/>
        <v/>
      </c>
      <c r="N26" s="32" t="str">
        <f t="shared" si="9"/>
        <v/>
      </c>
      <c r="O26" s="32" t="str">
        <f t="shared" si="44"/>
        <v/>
      </c>
      <c r="P26" s="32" t="str">
        <f t="shared" si="15"/>
        <v/>
      </c>
      <c r="Q26" s="32" t="str">
        <f t="shared" si="16"/>
        <v/>
      </c>
      <c r="R26" s="32" t="str">
        <f t="shared" si="45"/>
        <v/>
      </c>
      <c r="S26" s="24" t="str">
        <f t="shared" si="46"/>
        <v/>
      </c>
      <c r="T26" s="24" t="str">
        <f t="shared" si="47"/>
        <v/>
      </c>
      <c r="U26" s="24" t="str">
        <f t="shared" si="48"/>
        <v/>
      </c>
      <c r="V26" s="24" t="str">
        <f t="shared" si="49"/>
        <v/>
      </c>
      <c r="W26" s="23" t="str">
        <f t="array" ref="W26">IFERROR(SMALL(IF(S$1:S$1000="BEGIN",ROW(S$1:S$1000)),ROW()-3),"")</f>
        <v/>
      </c>
      <c r="X26" s="23" t="str">
        <f t="array" ref="X26">IFERROR(SMALL(IF(T$1:T$1000="END",ROW(T$1:T$1000)),ROW()-3),"")</f>
        <v/>
      </c>
      <c r="Y26" s="33" t="str">
        <f t="array" ref="Y26">IF(ISNUMBER(W26),MAX(IF((B$4:B$1000&lt;=X26)*(B$4:B$1000&gt;=W26),I$4:I$1000, "")),"")</f>
        <v/>
      </c>
      <c r="Z26" s="33" t="str">
        <f t="shared" si="22"/>
        <v/>
      </c>
      <c r="AA26" s="32" t="str">
        <f t="shared" si="23"/>
        <v/>
      </c>
      <c r="AB26" s="32" t="str">
        <f t="shared" si="24"/>
        <v/>
      </c>
      <c r="AC26" s="32" t="str">
        <f t="shared" si="25"/>
        <v/>
      </c>
      <c r="AD26" s="32" t="str">
        <f t="shared" si="26"/>
        <v/>
      </c>
      <c r="AE26" s="34" t="str">
        <f t="shared" si="27"/>
        <v/>
      </c>
      <c r="AF26" s="32" t="str">
        <f t="shared" si="28"/>
        <v/>
      </c>
      <c r="AG26" s="32" t="str">
        <f t="shared" si="29"/>
        <v/>
      </c>
      <c r="AH26" s="32" t="str">
        <f t="shared" si="30"/>
        <v/>
      </c>
      <c r="AI26" s="35" t="str">
        <f t="shared" si="31"/>
        <v/>
      </c>
      <c r="AJ26" s="23" t="str">
        <f t="array" ref="AJ26">IFERROR(SMALL(IF(U$1:U$1000="BEGIN",ROW(U$1:U$1000)),ROW()-3),"")</f>
        <v/>
      </c>
      <c r="AK26" s="23" t="str">
        <f t="array" ref="AK26">IFERROR(SMALL(IF(V$1:V$1000="END",ROW(V$1:V$1000)),ROW()-3),"")</f>
        <v/>
      </c>
      <c r="AL26" s="24" t="str">
        <f t="array" ref="AL26">IF(AK26="","",MATCH(AM26,L:L,0))</f>
        <v/>
      </c>
      <c r="AM26" s="35">
        <f t="array" ref="AM26">MAX(IF((B$4:B$1000&lt;=AK26)*(B$4:B$1000&gt;=AJ26),L$4:L$1000, ""))</f>
        <v>0</v>
      </c>
      <c r="AN26" s="32" t="str">
        <f t="shared" si="50"/>
        <v/>
      </c>
      <c r="AO26" s="32" t="str">
        <f t="shared" si="51"/>
        <v/>
      </c>
      <c r="AP26" s="32" t="str">
        <f t="shared" si="52"/>
        <v/>
      </c>
      <c r="AQ26" s="32" t="str">
        <f t="shared" si="53"/>
        <v/>
      </c>
      <c r="AR26" s="32" t="str">
        <f t="shared" si="54"/>
        <v/>
      </c>
      <c r="AS26" s="32" t="str">
        <f t="shared" si="55"/>
        <v/>
      </c>
      <c r="AT26" s="32" t="str">
        <f t="shared" si="56"/>
        <v/>
      </c>
      <c r="AU26" s="34" t="str">
        <f t="shared" si="57"/>
        <v/>
      </c>
      <c r="AV26" s="32" t="str">
        <f t="shared" si="58"/>
        <v/>
      </c>
      <c r="AW26" s="32" t="str">
        <f t="shared" si="59"/>
        <v/>
      </c>
      <c r="AX26" s="32" t="str">
        <f t="shared" si="60"/>
        <v/>
      </c>
      <c r="AY26" s="32" t="str">
        <f t="shared" si="61"/>
        <v/>
      </c>
      <c r="AZ26" s="38" t="s">
        <v>86</v>
      </c>
      <c r="BA26" s="1" t="s">
        <v>55</v>
      </c>
      <c r="BB26" s="40" t="e">
        <f>AVERAGE(AW4:AW80)</f>
        <v>#DIV/0!</v>
      </c>
    </row>
    <row r="27" spans="1:54" x14ac:dyDescent="0.25">
      <c r="A27" s="24" t="str">
        <f t="shared" si="0"/>
        <v/>
      </c>
      <c r="B27" s="24" t="str">
        <f t="shared" si="11"/>
        <v/>
      </c>
      <c r="C27" s="32" t="str">
        <f t="shared" si="1"/>
        <v/>
      </c>
      <c r="D27" s="24" t="str">
        <f t="shared" si="2"/>
        <v/>
      </c>
      <c r="E27" s="24" t="str">
        <f t="shared" si="3"/>
        <v/>
      </c>
      <c r="F27" s="32" t="str">
        <f t="shared" si="4"/>
        <v/>
      </c>
      <c r="G27" s="32" t="str">
        <f t="shared" si="5"/>
        <v/>
      </c>
      <c r="H27" s="32" t="str">
        <f t="shared" ca="1" si="6"/>
        <v/>
      </c>
      <c r="I27" s="32" t="str">
        <f t="shared" ca="1" si="12"/>
        <v/>
      </c>
      <c r="J27" s="32" t="str">
        <f t="shared" si="7"/>
        <v/>
      </c>
      <c r="K27" s="32" t="str">
        <f>IF(ISNUMBER(A27),Profile!$V$25+Profile!$V$24*'Ri-Po'!C27,"")</f>
        <v/>
      </c>
      <c r="L27" s="32" t="str">
        <f t="shared" si="13"/>
        <v/>
      </c>
      <c r="M27" s="32" t="str">
        <f t="shared" si="8"/>
        <v/>
      </c>
      <c r="N27" s="32" t="str">
        <f t="shared" si="9"/>
        <v/>
      </c>
      <c r="O27" s="32" t="str">
        <f t="shared" si="44"/>
        <v/>
      </c>
      <c r="P27" s="32" t="str">
        <f t="shared" si="15"/>
        <v/>
      </c>
      <c r="Q27" s="32" t="str">
        <f t="shared" si="16"/>
        <v/>
      </c>
      <c r="R27" s="32" t="str">
        <f t="shared" si="45"/>
        <v/>
      </c>
      <c r="S27" s="24" t="str">
        <f t="shared" si="46"/>
        <v/>
      </c>
      <c r="T27" s="24" t="str">
        <f t="shared" si="47"/>
        <v/>
      </c>
      <c r="U27" s="24" t="str">
        <f t="shared" si="48"/>
        <v/>
      </c>
      <c r="V27" s="24" t="str">
        <f t="shared" si="49"/>
        <v/>
      </c>
      <c r="W27" s="23" t="str">
        <f t="array" ref="W27">IFERROR(SMALL(IF(S$1:S$1000="BEGIN",ROW(S$1:S$1000)),ROW()-3),"")</f>
        <v/>
      </c>
      <c r="X27" s="23" t="str">
        <f t="array" ref="X27">IFERROR(SMALL(IF(T$1:T$1000="END",ROW(T$1:T$1000)),ROW()-3),"")</f>
        <v/>
      </c>
      <c r="Y27" s="33" t="str">
        <f t="array" ref="Y27">IF(ISNUMBER(W27),MAX(IF((B$4:B$1000&lt;=X27)*(B$4:B$1000&gt;=W27),I$4:I$1000, "")),"")</f>
        <v/>
      </c>
      <c r="Z27" s="33" t="str">
        <f t="shared" si="22"/>
        <v/>
      </c>
      <c r="AA27" s="32" t="str">
        <f t="shared" si="23"/>
        <v/>
      </c>
      <c r="AB27" s="32" t="str">
        <f t="shared" si="24"/>
        <v/>
      </c>
      <c r="AC27" s="32" t="str">
        <f t="shared" si="25"/>
        <v/>
      </c>
      <c r="AD27" s="32" t="str">
        <f t="shared" si="26"/>
        <v/>
      </c>
      <c r="AE27" s="34" t="str">
        <f t="shared" si="27"/>
        <v/>
      </c>
      <c r="AF27" s="32" t="str">
        <f t="shared" si="28"/>
        <v/>
      </c>
      <c r="AG27" s="32" t="str">
        <f t="shared" si="29"/>
        <v/>
      </c>
      <c r="AH27" s="32" t="str">
        <f t="shared" si="30"/>
        <v/>
      </c>
      <c r="AI27" s="35" t="str">
        <f t="shared" si="31"/>
        <v/>
      </c>
      <c r="AJ27" s="23" t="str">
        <f t="array" ref="AJ27">IFERROR(SMALL(IF(U$1:U$1000="BEGIN",ROW(U$1:U$1000)),ROW()-3),"")</f>
        <v/>
      </c>
      <c r="AK27" s="23" t="str">
        <f t="array" ref="AK27">IFERROR(SMALL(IF(V$1:V$1000="END",ROW(V$1:V$1000)),ROW()-3),"")</f>
        <v/>
      </c>
      <c r="AL27" s="24" t="str">
        <f t="array" ref="AL27">IF(AK27="","",MATCH(AM27,L:L,0))</f>
        <v/>
      </c>
      <c r="AM27" s="35">
        <f t="array" ref="AM27">MAX(IF((B$4:B$1000&lt;=AK27)*(B$4:B$1000&gt;=AJ27),L$4:L$1000, ""))</f>
        <v>0</v>
      </c>
      <c r="AN27" s="32" t="str">
        <f t="shared" si="50"/>
        <v/>
      </c>
      <c r="AO27" s="32" t="str">
        <f t="shared" si="51"/>
        <v/>
      </c>
      <c r="AP27" s="32" t="str">
        <f t="shared" si="52"/>
        <v/>
      </c>
      <c r="AQ27" s="32" t="str">
        <f t="shared" si="53"/>
        <v/>
      </c>
      <c r="AR27" s="32" t="str">
        <f t="shared" si="54"/>
        <v/>
      </c>
      <c r="AS27" s="32" t="str">
        <f t="shared" si="55"/>
        <v/>
      </c>
      <c r="AT27" s="32" t="str">
        <f t="shared" si="56"/>
        <v/>
      </c>
      <c r="AU27" s="34" t="str">
        <f t="shared" si="57"/>
        <v/>
      </c>
      <c r="AV27" s="32" t="str">
        <f t="shared" si="58"/>
        <v/>
      </c>
      <c r="AW27" s="32" t="str">
        <f t="shared" si="59"/>
        <v/>
      </c>
      <c r="AX27" s="32" t="str">
        <f t="shared" si="60"/>
        <v/>
      </c>
      <c r="AY27" s="32" t="str">
        <f t="shared" si="61"/>
        <v/>
      </c>
      <c r="BB27" s="40"/>
    </row>
    <row r="28" spans="1:54" x14ac:dyDescent="0.25">
      <c r="A28" s="24" t="str">
        <f t="shared" si="0"/>
        <v/>
      </c>
      <c r="B28" s="24" t="str">
        <f t="shared" si="11"/>
        <v/>
      </c>
      <c r="C28" s="32" t="str">
        <f t="shared" si="1"/>
        <v/>
      </c>
      <c r="D28" s="24" t="str">
        <f t="shared" si="2"/>
        <v/>
      </c>
      <c r="E28" s="24" t="str">
        <f t="shared" si="3"/>
        <v/>
      </c>
      <c r="F28" s="32" t="str">
        <f t="shared" si="4"/>
        <v/>
      </c>
      <c r="G28" s="32" t="str">
        <f t="shared" si="5"/>
        <v/>
      </c>
      <c r="H28" s="32" t="str">
        <f t="shared" ca="1" si="6"/>
        <v/>
      </c>
      <c r="I28" s="32" t="str">
        <f t="shared" ca="1" si="12"/>
        <v/>
      </c>
      <c r="J28" s="32" t="str">
        <f t="shared" si="7"/>
        <v/>
      </c>
      <c r="K28" s="32" t="str">
        <f>IF(ISNUMBER(A28),Profile!$V$25+Profile!$V$24*'Ri-Po'!C28,"")</f>
        <v/>
      </c>
      <c r="L28" s="32" t="str">
        <f t="shared" si="13"/>
        <v/>
      </c>
      <c r="M28" s="32" t="str">
        <f t="shared" si="8"/>
        <v/>
      </c>
      <c r="N28" s="32" t="str">
        <f t="shared" si="9"/>
        <v/>
      </c>
      <c r="O28" s="32" t="str">
        <f t="shared" si="44"/>
        <v/>
      </c>
      <c r="P28" s="32" t="str">
        <f t="shared" si="15"/>
        <v/>
      </c>
      <c r="Q28" s="32" t="str">
        <f t="shared" si="16"/>
        <v/>
      </c>
      <c r="R28" s="32" t="str">
        <f t="shared" si="45"/>
        <v/>
      </c>
      <c r="S28" s="24" t="str">
        <f t="shared" si="46"/>
        <v/>
      </c>
      <c r="T28" s="24" t="str">
        <f t="shared" si="47"/>
        <v/>
      </c>
      <c r="U28" s="24" t="str">
        <f t="shared" si="48"/>
        <v/>
      </c>
      <c r="V28" s="24" t="str">
        <f t="shared" si="49"/>
        <v/>
      </c>
      <c r="W28" s="23" t="str">
        <f t="array" ref="W28">IFERROR(SMALL(IF(S$1:S$1000="BEGIN",ROW(S$1:S$1000)),ROW()-3),"")</f>
        <v/>
      </c>
      <c r="X28" s="23" t="str">
        <f t="array" ref="X28">IFERROR(SMALL(IF(T$1:T$1000="END",ROW(T$1:T$1000)),ROW()-3),"")</f>
        <v/>
      </c>
      <c r="Y28" s="33" t="str">
        <f t="array" ref="Y28">IF(ISNUMBER(W28),MAX(IF((B$4:B$1000&lt;=X28)*(B$4:B$1000&gt;=W28),I$4:I$1000, "")),"")</f>
        <v/>
      </c>
      <c r="Z28" s="33" t="str">
        <f t="shared" si="22"/>
        <v/>
      </c>
      <c r="AA28" s="32" t="str">
        <f t="shared" si="23"/>
        <v/>
      </c>
      <c r="AB28" s="32" t="str">
        <f t="shared" si="24"/>
        <v/>
      </c>
      <c r="AC28" s="32" t="str">
        <f t="shared" si="25"/>
        <v/>
      </c>
      <c r="AD28" s="32" t="str">
        <f t="shared" si="26"/>
        <v/>
      </c>
      <c r="AE28" s="34" t="str">
        <f t="shared" si="27"/>
        <v/>
      </c>
      <c r="AF28" s="32" t="str">
        <f t="shared" si="28"/>
        <v/>
      </c>
      <c r="AG28" s="32" t="str">
        <f t="shared" si="29"/>
        <v/>
      </c>
      <c r="AH28" s="32" t="str">
        <f t="shared" si="30"/>
        <v/>
      </c>
      <c r="AI28" s="35" t="str">
        <f t="shared" si="31"/>
        <v/>
      </c>
      <c r="AJ28" s="23" t="str">
        <f t="array" ref="AJ28">IFERROR(SMALL(IF(U$1:U$1000="BEGIN",ROW(U$1:U$1000)),ROW()-3),"")</f>
        <v/>
      </c>
      <c r="AK28" s="23" t="str">
        <f t="array" ref="AK28">IFERROR(SMALL(IF(V$1:V$1000="END",ROW(V$1:V$1000)),ROW()-3),"")</f>
        <v/>
      </c>
      <c r="AL28" s="24" t="str">
        <f t="array" ref="AL28">IF(AK28="","",MATCH(AM28,L:L,0))</f>
        <v/>
      </c>
      <c r="AM28" s="35">
        <f t="array" ref="AM28">MAX(IF((B$4:B$1000&lt;=AK28)*(B$4:B$1000&gt;=AJ28),L$4:L$1000, ""))</f>
        <v>0</v>
      </c>
      <c r="AN28" s="32" t="str">
        <f t="shared" si="50"/>
        <v/>
      </c>
      <c r="AO28" s="32" t="str">
        <f t="shared" si="51"/>
        <v/>
      </c>
      <c r="AP28" s="32" t="str">
        <f t="shared" si="52"/>
        <v/>
      </c>
      <c r="AQ28" s="32" t="str">
        <f t="shared" si="53"/>
        <v/>
      </c>
      <c r="AR28" s="32" t="str">
        <f t="shared" si="54"/>
        <v/>
      </c>
      <c r="AS28" s="32" t="str">
        <f t="shared" si="55"/>
        <v/>
      </c>
      <c r="AT28" s="32" t="str">
        <f t="shared" si="56"/>
        <v/>
      </c>
      <c r="AU28" s="34" t="str">
        <f t="shared" si="57"/>
        <v/>
      </c>
      <c r="AV28" s="32" t="str">
        <f t="shared" si="58"/>
        <v/>
      </c>
      <c r="AW28" s="32" t="str">
        <f t="shared" si="59"/>
        <v/>
      </c>
      <c r="AX28" s="32" t="str">
        <f t="shared" si="60"/>
        <v/>
      </c>
      <c r="AY28" s="32" t="str">
        <f t="shared" si="61"/>
        <v/>
      </c>
      <c r="AZ28" s="38" t="s">
        <v>61</v>
      </c>
      <c r="BA28" s="1" t="s">
        <v>55</v>
      </c>
      <c r="BB28" s="40" t="e">
        <f>AVERAGE(AY4:AY80)</f>
        <v>#DIV/0!</v>
      </c>
    </row>
    <row r="29" spans="1:54" x14ac:dyDescent="0.25">
      <c r="A29" s="24" t="str">
        <f t="shared" si="0"/>
        <v/>
      </c>
      <c r="B29" s="24" t="str">
        <f t="shared" si="11"/>
        <v/>
      </c>
      <c r="C29" s="32" t="str">
        <f t="shared" si="1"/>
        <v/>
      </c>
      <c r="D29" s="24" t="str">
        <f t="shared" si="2"/>
        <v/>
      </c>
      <c r="E29" s="24" t="str">
        <f t="shared" si="3"/>
        <v/>
      </c>
      <c r="F29" s="32" t="str">
        <f t="shared" si="4"/>
        <v/>
      </c>
      <c r="G29" s="32" t="str">
        <f t="shared" si="5"/>
        <v/>
      </c>
      <c r="H29" s="32" t="str">
        <f t="shared" ca="1" si="6"/>
        <v/>
      </c>
      <c r="I29" s="32" t="str">
        <f t="shared" ca="1" si="12"/>
        <v/>
      </c>
      <c r="J29" s="32" t="str">
        <f t="shared" si="7"/>
        <v/>
      </c>
      <c r="K29" s="32" t="str">
        <f>IF(ISNUMBER(A29),Profile!$V$25+Profile!$V$24*'Ri-Po'!C29,"")</f>
        <v/>
      </c>
      <c r="L29" s="32" t="str">
        <f t="shared" si="13"/>
        <v/>
      </c>
      <c r="M29" s="32" t="str">
        <f t="shared" si="8"/>
        <v/>
      </c>
      <c r="N29" s="32" t="str">
        <f t="shared" si="9"/>
        <v/>
      </c>
      <c r="O29" s="32" t="str">
        <f t="shared" si="44"/>
        <v/>
      </c>
      <c r="P29" s="32" t="str">
        <f t="shared" si="15"/>
        <v/>
      </c>
      <c r="Q29" s="32" t="str">
        <f t="shared" si="16"/>
        <v/>
      </c>
      <c r="R29" s="32" t="str">
        <f t="shared" si="45"/>
        <v/>
      </c>
      <c r="S29" s="24" t="str">
        <f t="shared" si="46"/>
        <v/>
      </c>
      <c r="T29" s="24" t="str">
        <f t="shared" si="47"/>
        <v/>
      </c>
      <c r="U29" s="24" t="str">
        <f t="shared" si="48"/>
        <v/>
      </c>
      <c r="V29" s="24" t="str">
        <f t="shared" si="49"/>
        <v/>
      </c>
      <c r="W29" s="23" t="str">
        <f t="array" ref="W29">IFERROR(SMALL(IF(S$1:S$1000="BEGIN",ROW(S$1:S$1000)),ROW()-3),"")</f>
        <v/>
      </c>
      <c r="X29" s="23" t="str">
        <f t="array" ref="X29">IFERROR(SMALL(IF(T$1:T$1000="END",ROW(T$1:T$1000)),ROW()-3),"")</f>
        <v/>
      </c>
      <c r="Y29" s="33" t="str">
        <f t="array" ref="Y29">IF(ISNUMBER(W29),MAX(IF((B$4:B$1000&lt;=X29)*(B$4:B$1000&gt;=W29),I$4:I$1000, "")),"")</f>
        <v/>
      </c>
      <c r="Z29" s="33" t="str">
        <f t="shared" si="22"/>
        <v/>
      </c>
      <c r="AA29" s="32" t="str">
        <f t="shared" si="23"/>
        <v/>
      </c>
      <c r="AB29" s="32" t="str">
        <f t="shared" si="24"/>
        <v/>
      </c>
      <c r="AC29" s="32" t="str">
        <f t="shared" si="25"/>
        <v/>
      </c>
      <c r="AD29" s="32" t="str">
        <f t="shared" si="26"/>
        <v/>
      </c>
      <c r="AE29" s="34" t="str">
        <f t="shared" si="27"/>
        <v/>
      </c>
      <c r="AF29" s="32" t="str">
        <f t="shared" si="28"/>
        <v/>
      </c>
      <c r="AG29" s="32" t="str">
        <f t="shared" si="29"/>
        <v/>
      </c>
      <c r="AH29" s="32" t="str">
        <f t="shared" si="30"/>
        <v/>
      </c>
      <c r="AI29" s="35" t="str">
        <f t="shared" si="31"/>
        <v/>
      </c>
      <c r="AJ29" s="23" t="str">
        <f t="array" ref="AJ29">IFERROR(SMALL(IF(U$1:U$1000="BEGIN",ROW(U$1:U$1000)),ROW()-3),"")</f>
        <v/>
      </c>
      <c r="AK29" s="23" t="str">
        <f t="array" ref="AK29">IFERROR(SMALL(IF(V$1:V$1000="END",ROW(V$1:V$1000)),ROW()-3),"")</f>
        <v/>
      </c>
      <c r="AL29" s="24" t="str">
        <f t="array" ref="AL29">IF(AK29="","",MATCH(AM29,L:L,0))</f>
        <v/>
      </c>
      <c r="AM29" s="35">
        <f t="array" ref="AM29">MAX(IF((B$4:B$1000&lt;=AK29)*(B$4:B$1000&gt;=AJ29),L$4:L$1000, ""))</f>
        <v>0</v>
      </c>
      <c r="AN29" s="32" t="str">
        <f t="shared" si="50"/>
        <v/>
      </c>
      <c r="AO29" s="32" t="str">
        <f t="shared" si="51"/>
        <v/>
      </c>
      <c r="AP29" s="32" t="str">
        <f t="shared" si="52"/>
        <v/>
      </c>
      <c r="AQ29" s="32" t="str">
        <f t="shared" si="53"/>
        <v/>
      </c>
      <c r="AR29" s="32" t="str">
        <f t="shared" si="54"/>
        <v/>
      </c>
      <c r="AS29" s="32" t="str">
        <f t="shared" si="55"/>
        <v/>
      </c>
      <c r="AT29" s="32" t="str">
        <f t="shared" si="56"/>
        <v/>
      </c>
      <c r="AU29" s="34" t="str">
        <f t="shared" si="57"/>
        <v/>
      </c>
      <c r="AV29" s="32" t="str">
        <f t="shared" si="58"/>
        <v/>
      </c>
      <c r="AW29" s="32" t="str">
        <f t="shared" si="59"/>
        <v/>
      </c>
      <c r="AX29" s="32" t="str">
        <f t="shared" si="60"/>
        <v/>
      </c>
      <c r="AY29" s="32" t="str">
        <f t="shared" si="61"/>
        <v/>
      </c>
      <c r="BB29" s="40"/>
    </row>
    <row r="30" spans="1:54" x14ac:dyDescent="0.25">
      <c r="A30" s="24" t="str">
        <f t="shared" si="0"/>
        <v/>
      </c>
      <c r="B30" s="24" t="str">
        <f t="shared" si="11"/>
        <v/>
      </c>
      <c r="C30" s="32" t="str">
        <f t="shared" si="1"/>
        <v/>
      </c>
      <c r="D30" s="24" t="str">
        <f t="shared" si="2"/>
        <v/>
      </c>
      <c r="E30" s="24" t="str">
        <f t="shared" si="3"/>
        <v/>
      </c>
      <c r="F30" s="32" t="str">
        <f t="shared" si="4"/>
        <v/>
      </c>
      <c r="G30" s="32" t="str">
        <f t="shared" si="5"/>
        <v/>
      </c>
      <c r="H30" s="32" t="str">
        <f t="shared" ca="1" si="6"/>
        <v/>
      </c>
      <c r="I30" s="32" t="str">
        <f t="shared" ca="1" si="12"/>
        <v/>
      </c>
      <c r="J30" s="32" t="str">
        <f t="shared" si="7"/>
        <v/>
      </c>
      <c r="K30" s="32" t="str">
        <f>IF(ISNUMBER(A30),Profile!$V$25+Profile!$V$24*'Ri-Po'!C30,"")</f>
        <v/>
      </c>
      <c r="L30" s="32" t="str">
        <f t="shared" si="13"/>
        <v/>
      </c>
      <c r="M30" s="32" t="str">
        <f t="shared" si="8"/>
        <v/>
      </c>
      <c r="N30" s="32" t="str">
        <f t="shared" si="9"/>
        <v/>
      </c>
      <c r="O30" s="32" t="str">
        <f t="shared" si="44"/>
        <v/>
      </c>
      <c r="P30" s="32" t="str">
        <f t="shared" si="15"/>
        <v/>
      </c>
      <c r="Q30" s="32" t="str">
        <f t="shared" si="16"/>
        <v/>
      </c>
      <c r="R30" s="32" t="str">
        <f t="shared" si="45"/>
        <v/>
      </c>
      <c r="S30" s="24" t="str">
        <f t="shared" si="46"/>
        <v/>
      </c>
      <c r="T30" s="24" t="str">
        <f t="shared" si="47"/>
        <v/>
      </c>
      <c r="U30" s="24" t="str">
        <f t="shared" si="48"/>
        <v/>
      </c>
      <c r="V30" s="24" t="str">
        <f t="shared" si="49"/>
        <v/>
      </c>
      <c r="W30" s="23" t="str">
        <f t="array" ref="W30">IFERROR(SMALL(IF(S$1:S$1000="BEGIN",ROW(S$1:S$1000)),ROW()-3),"")</f>
        <v/>
      </c>
      <c r="X30" s="23" t="str">
        <f t="array" ref="X30">IFERROR(SMALL(IF(T$1:T$1000="END",ROW(T$1:T$1000)),ROW()-3),"")</f>
        <v/>
      </c>
      <c r="Y30" s="33" t="str">
        <f t="array" ref="Y30">IF(ISNUMBER(W30),MAX(IF((B$4:B$1000&lt;=X30)*(B$4:B$1000&gt;=W30),I$4:I$1000, "")),"")</f>
        <v/>
      </c>
      <c r="Z30" s="33" t="str">
        <f t="shared" si="22"/>
        <v/>
      </c>
      <c r="AA30" s="32" t="str">
        <f t="shared" si="23"/>
        <v/>
      </c>
      <c r="AB30" s="32" t="str">
        <f t="shared" si="24"/>
        <v/>
      </c>
      <c r="AC30" s="32" t="str">
        <f t="shared" si="25"/>
        <v/>
      </c>
      <c r="AD30" s="32" t="str">
        <f t="shared" si="26"/>
        <v/>
      </c>
      <c r="AE30" s="34" t="str">
        <f t="shared" si="27"/>
        <v/>
      </c>
      <c r="AF30" s="32" t="str">
        <f t="shared" si="28"/>
        <v/>
      </c>
      <c r="AG30" s="32" t="str">
        <f t="shared" si="29"/>
        <v/>
      </c>
      <c r="AH30" s="32" t="str">
        <f t="shared" si="30"/>
        <v/>
      </c>
      <c r="AI30" s="35" t="str">
        <f t="shared" si="31"/>
        <v/>
      </c>
      <c r="AJ30" s="23" t="str">
        <f t="array" ref="AJ30">IFERROR(SMALL(IF(U$1:U$1000="BEGIN",ROW(U$1:U$1000)),ROW()-3),"")</f>
        <v/>
      </c>
      <c r="AK30" s="23" t="str">
        <f t="array" ref="AK30">IFERROR(SMALL(IF(V$1:V$1000="END",ROW(V$1:V$1000)),ROW()-3),"")</f>
        <v/>
      </c>
      <c r="AL30" s="24" t="str">
        <f t="array" ref="AL30">IF(AK30="","",MATCH(AM30,L:L,0))</f>
        <v/>
      </c>
      <c r="AM30" s="35">
        <f t="array" ref="AM30">MAX(IF((B$4:B$1000&lt;=AK30)*(B$4:B$1000&gt;=AJ30),L$4:L$1000, ""))</f>
        <v>0</v>
      </c>
      <c r="AN30" s="32" t="str">
        <f t="shared" si="50"/>
        <v/>
      </c>
      <c r="AO30" s="32" t="str">
        <f t="shared" si="51"/>
        <v/>
      </c>
      <c r="AP30" s="32" t="str">
        <f t="shared" si="52"/>
        <v/>
      </c>
      <c r="AQ30" s="32" t="str">
        <f t="shared" si="53"/>
        <v/>
      </c>
      <c r="AR30" s="32" t="str">
        <f t="shared" si="54"/>
        <v/>
      </c>
      <c r="AS30" s="32" t="str">
        <f t="shared" si="55"/>
        <v/>
      </c>
      <c r="AT30" s="32" t="str">
        <f t="shared" si="56"/>
        <v/>
      </c>
      <c r="AU30" s="34" t="str">
        <f t="shared" si="57"/>
        <v/>
      </c>
      <c r="AV30" s="32" t="str">
        <f t="shared" si="58"/>
        <v/>
      </c>
      <c r="AW30" s="32" t="str">
        <f t="shared" si="59"/>
        <v/>
      </c>
      <c r="AX30" s="32" t="str">
        <f t="shared" si="60"/>
        <v/>
      </c>
      <c r="AY30" s="32" t="str">
        <f t="shared" si="61"/>
        <v/>
      </c>
      <c r="AZ30" s="38" t="s">
        <v>85</v>
      </c>
      <c r="BA30" s="1" t="s">
        <v>55</v>
      </c>
      <c r="BB30" s="40" t="e">
        <f>SUM(AB4:AB326)/(MAX(currentSTATION)-MIN(currentSTATION))</f>
        <v>#DIV/0!</v>
      </c>
    </row>
    <row r="31" spans="1:54" x14ac:dyDescent="0.25">
      <c r="A31" s="24" t="str">
        <f t="shared" si="0"/>
        <v/>
      </c>
      <c r="B31" s="24" t="str">
        <f t="shared" si="11"/>
        <v/>
      </c>
      <c r="C31" s="32" t="str">
        <f t="shared" si="1"/>
        <v/>
      </c>
      <c r="D31" s="24" t="str">
        <f t="shared" si="2"/>
        <v/>
      </c>
      <c r="E31" s="24" t="str">
        <f t="shared" si="3"/>
        <v/>
      </c>
      <c r="F31" s="32" t="str">
        <f t="shared" si="4"/>
        <v/>
      </c>
      <c r="G31" s="32" t="str">
        <f t="shared" si="5"/>
        <v/>
      </c>
      <c r="H31" s="32" t="str">
        <f t="shared" ca="1" si="6"/>
        <v/>
      </c>
      <c r="I31" s="32" t="str">
        <f t="shared" ca="1" si="12"/>
        <v/>
      </c>
      <c r="J31" s="32" t="str">
        <f t="shared" si="7"/>
        <v/>
      </c>
      <c r="K31" s="32" t="str">
        <f>IF(ISNUMBER(A31),Profile!$V$25+Profile!$V$24*'Ri-Po'!C31,"")</f>
        <v/>
      </c>
      <c r="L31" s="32" t="str">
        <f t="shared" si="13"/>
        <v/>
      </c>
      <c r="M31" s="32" t="str">
        <f t="shared" si="8"/>
        <v/>
      </c>
      <c r="N31" s="32" t="str">
        <f t="shared" si="9"/>
        <v/>
      </c>
      <c r="O31" s="32" t="str">
        <f t="shared" si="44"/>
        <v/>
      </c>
      <c r="P31" s="32" t="str">
        <f t="shared" si="15"/>
        <v/>
      </c>
      <c r="Q31" s="32" t="str">
        <f t="shared" si="16"/>
        <v/>
      </c>
      <c r="R31" s="32" t="str">
        <f t="shared" si="45"/>
        <v/>
      </c>
      <c r="S31" s="24" t="str">
        <f t="shared" si="46"/>
        <v/>
      </c>
      <c r="T31" s="24" t="str">
        <f t="shared" si="47"/>
        <v/>
      </c>
      <c r="U31" s="24" t="str">
        <f t="shared" si="48"/>
        <v/>
      </c>
      <c r="V31" s="24" t="str">
        <f t="shared" si="49"/>
        <v/>
      </c>
      <c r="W31" s="23" t="str">
        <f t="array" ref="W31">IFERROR(SMALL(IF(S$1:S$1000="BEGIN",ROW(S$1:S$1000)),ROW()-3),"")</f>
        <v/>
      </c>
      <c r="X31" s="23" t="str">
        <f t="array" ref="X31">IFERROR(SMALL(IF(T$1:T$1000="END",ROW(T$1:T$1000)),ROW()-3),"")</f>
        <v/>
      </c>
      <c r="Y31" s="33" t="str">
        <f t="array" ref="Y31">IF(ISNUMBER(W31),MAX(IF((B$4:B$1000&lt;=X31)*(B$4:B$1000&gt;=W31),I$4:I$1000, "")),"")</f>
        <v/>
      </c>
      <c r="Z31" s="33" t="str">
        <f t="shared" si="22"/>
        <v/>
      </c>
      <c r="AA31" s="32" t="str">
        <f t="shared" si="23"/>
        <v/>
      </c>
      <c r="AB31" s="32" t="str">
        <f t="shared" si="24"/>
        <v/>
      </c>
      <c r="AC31" s="32" t="str">
        <f t="shared" si="25"/>
        <v/>
      </c>
      <c r="AD31" s="32" t="str">
        <f t="shared" si="26"/>
        <v/>
      </c>
      <c r="AE31" s="34" t="str">
        <f t="shared" si="27"/>
        <v/>
      </c>
      <c r="AF31" s="32" t="str">
        <f t="shared" si="28"/>
        <v/>
      </c>
      <c r="AG31" s="32" t="str">
        <f t="shared" si="29"/>
        <v/>
      </c>
      <c r="AH31" s="32" t="str">
        <f t="shared" si="30"/>
        <v/>
      </c>
      <c r="AI31" s="35" t="str">
        <f t="shared" si="31"/>
        <v/>
      </c>
      <c r="AJ31" s="23" t="str">
        <f t="array" ref="AJ31">IFERROR(SMALL(IF(U$1:U$1000="BEGIN",ROW(U$1:U$1000)),ROW()-3),"")</f>
        <v/>
      </c>
      <c r="AK31" s="23" t="str">
        <f t="array" ref="AK31">IFERROR(SMALL(IF(V$1:V$1000="END",ROW(V$1:V$1000)),ROW()-3),"")</f>
        <v/>
      </c>
      <c r="AL31" s="24" t="str">
        <f t="array" ref="AL31">IF(AK31="","",MATCH(AM31,L:L,0))</f>
        <v/>
      </c>
      <c r="AM31" s="35">
        <f t="array" ref="AM31">MAX(IF((B$4:B$1000&lt;=AK31)*(B$4:B$1000&gt;=AJ31),L$4:L$1000, ""))</f>
        <v>0</v>
      </c>
      <c r="AN31" s="32" t="str">
        <f t="shared" si="50"/>
        <v/>
      </c>
      <c r="AO31" s="32" t="str">
        <f t="shared" si="51"/>
        <v/>
      </c>
      <c r="AP31" s="32" t="str">
        <f t="shared" si="52"/>
        <v/>
      </c>
      <c r="AQ31" s="32" t="str">
        <f t="shared" si="53"/>
        <v/>
      </c>
      <c r="AR31" s="32" t="str">
        <f t="shared" si="54"/>
        <v/>
      </c>
      <c r="AS31" s="32" t="str">
        <f t="shared" si="55"/>
        <v/>
      </c>
      <c r="AT31" s="32" t="str">
        <f t="shared" si="56"/>
        <v/>
      </c>
      <c r="AU31" s="34" t="str">
        <f t="shared" si="57"/>
        <v/>
      </c>
      <c r="AV31" s="32" t="str">
        <f t="shared" si="58"/>
        <v/>
      </c>
      <c r="AW31" s="32" t="str">
        <f t="shared" si="59"/>
        <v/>
      </c>
      <c r="AX31" s="32" t="str">
        <f t="shared" si="60"/>
        <v/>
      </c>
      <c r="AY31" s="32" t="str">
        <f t="shared" si="61"/>
        <v/>
      </c>
      <c r="BB31" s="40"/>
    </row>
    <row r="32" spans="1:54" x14ac:dyDescent="0.25">
      <c r="A32" s="24" t="str">
        <f t="shared" si="0"/>
        <v/>
      </c>
      <c r="B32" s="24" t="str">
        <f t="shared" si="11"/>
        <v/>
      </c>
      <c r="C32" s="32" t="str">
        <f t="shared" si="1"/>
        <v/>
      </c>
      <c r="D32" s="24" t="str">
        <f t="shared" si="2"/>
        <v/>
      </c>
      <c r="E32" s="24" t="str">
        <f t="shared" si="3"/>
        <v/>
      </c>
      <c r="F32" s="32" t="str">
        <f t="shared" si="4"/>
        <v/>
      </c>
      <c r="G32" s="32" t="str">
        <f t="shared" si="5"/>
        <v/>
      </c>
      <c r="H32" s="32" t="str">
        <f t="shared" ca="1" si="6"/>
        <v/>
      </c>
      <c r="I32" s="32" t="str">
        <f t="shared" ca="1" si="12"/>
        <v/>
      </c>
      <c r="J32" s="32" t="str">
        <f t="shared" si="7"/>
        <v/>
      </c>
      <c r="K32" s="32" t="str">
        <f>IF(ISNUMBER(A32),Profile!$V$25+Profile!$V$24*'Ri-Po'!C32,"")</f>
        <v/>
      </c>
      <c r="L32" s="32" t="str">
        <f t="shared" si="13"/>
        <v/>
      </c>
      <c r="M32" s="32" t="str">
        <f t="shared" si="8"/>
        <v/>
      </c>
      <c r="N32" s="32" t="str">
        <f t="shared" si="9"/>
        <v/>
      </c>
      <c r="O32" s="32" t="str">
        <f t="shared" si="44"/>
        <v/>
      </c>
      <c r="P32" s="32" t="str">
        <f t="shared" si="15"/>
        <v/>
      </c>
      <c r="Q32" s="32" t="str">
        <f t="shared" si="16"/>
        <v/>
      </c>
      <c r="R32" s="32" t="str">
        <f t="shared" si="45"/>
        <v/>
      </c>
      <c r="S32" s="24" t="str">
        <f t="shared" si="46"/>
        <v/>
      </c>
      <c r="T32" s="24" t="str">
        <f t="shared" si="47"/>
        <v/>
      </c>
      <c r="U32" s="24" t="str">
        <f t="shared" si="48"/>
        <v/>
      </c>
      <c r="V32" s="24" t="str">
        <f t="shared" si="49"/>
        <v/>
      </c>
      <c r="W32" s="23" t="str">
        <f t="array" ref="W32">IFERROR(SMALL(IF(S$1:S$1000="BEGIN",ROW(S$1:S$1000)),ROW()-3),"")</f>
        <v/>
      </c>
      <c r="X32" s="23" t="str">
        <f t="array" ref="X32">IFERROR(SMALL(IF(T$1:T$1000="END",ROW(T$1:T$1000)),ROW()-3),"")</f>
        <v/>
      </c>
      <c r="Y32" s="33" t="str">
        <f t="array" ref="Y32">IF(ISNUMBER(W32),MAX(IF((B$4:B$1000&lt;=X32)*(B$4:B$1000&gt;=W32),I$4:I$1000, "")),"")</f>
        <v/>
      </c>
      <c r="Z32" s="33" t="str">
        <f t="shared" si="22"/>
        <v/>
      </c>
      <c r="AA32" s="32" t="str">
        <f t="shared" si="23"/>
        <v/>
      </c>
      <c r="AB32" s="32" t="str">
        <f t="shared" si="24"/>
        <v/>
      </c>
      <c r="AC32" s="32" t="str">
        <f t="shared" si="25"/>
        <v/>
      </c>
      <c r="AD32" s="32" t="str">
        <f t="shared" si="26"/>
        <v/>
      </c>
      <c r="AE32" s="34" t="str">
        <f t="shared" si="27"/>
        <v/>
      </c>
      <c r="AF32" s="32" t="str">
        <f t="shared" si="28"/>
        <v/>
      </c>
      <c r="AG32" s="32" t="str">
        <f t="shared" si="29"/>
        <v/>
      </c>
      <c r="AH32" s="32" t="str">
        <f t="shared" si="30"/>
        <v/>
      </c>
      <c r="AI32" s="35" t="str">
        <f t="shared" si="31"/>
        <v/>
      </c>
      <c r="AJ32" s="23" t="str">
        <f t="array" ref="AJ32">IFERROR(SMALL(IF(U$1:U$1000="BEGIN",ROW(U$1:U$1000)),ROW()-3),"")</f>
        <v/>
      </c>
      <c r="AK32" s="23" t="str">
        <f t="array" ref="AK32">IFERROR(SMALL(IF(V$1:V$1000="END",ROW(V$1:V$1000)),ROW()-3),"")</f>
        <v/>
      </c>
      <c r="AL32" s="24" t="str">
        <f t="array" ref="AL32">IF(AK32="","",MATCH(AM32,L:L,0))</f>
        <v/>
      </c>
      <c r="AM32" s="35">
        <f t="array" ref="AM32">MAX(IF((B$4:B$1000&lt;=AK32)*(B$4:B$1000&gt;=AJ32),L$4:L$1000, ""))</f>
        <v>0</v>
      </c>
      <c r="AN32" s="32" t="str">
        <f t="shared" si="50"/>
        <v/>
      </c>
      <c r="AO32" s="32" t="str">
        <f t="shared" si="51"/>
        <v/>
      </c>
      <c r="AP32" s="32" t="str">
        <f t="shared" si="52"/>
        <v/>
      </c>
      <c r="AQ32" s="32" t="str">
        <f t="shared" si="53"/>
        <v/>
      </c>
      <c r="AR32" s="32" t="str">
        <f t="shared" si="54"/>
        <v/>
      </c>
      <c r="AS32" s="32" t="str">
        <f t="shared" si="55"/>
        <v/>
      </c>
      <c r="AT32" s="32" t="str">
        <f t="shared" si="56"/>
        <v/>
      </c>
      <c r="AU32" s="34" t="str">
        <f t="shared" si="57"/>
        <v/>
      </c>
      <c r="AV32" s="32" t="str">
        <f t="shared" si="58"/>
        <v/>
      </c>
      <c r="AW32" s="32" t="str">
        <f t="shared" si="59"/>
        <v/>
      </c>
      <c r="AX32" s="32" t="str">
        <f t="shared" si="60"/>
        <v/>
      </c>
      <c r="AY32" s="32" t="str">
        <f t="shared" si="61"/>
        <v/>
      </c>
      <c r="AZ32" s="38" t="s">
        <v>90</v>
      </c>
      <c r="BA32" s="1" t="s">
        <v>55</v>
      </c>
      <c r="BB32" s="40" t="e">
        <f>AVERAGE(AH4:AH112)</f>
        <v>#DIV/0!</v>
      </c>
    </row>
    <row r="33" spans="1:54" x14ac:dyDescent="0.25">
      <c r="A33" s="24" t="str">
        <f t="shared" si="0"/>
        <v/>
      </c>
      <c r="B33" s="24" t="str">
        <f t="shared" si="11"/>
        <v/>
      </c>
      <c r="C33" s="32" t="str">
        <f t="shared" si="1"/>
        <v/>
      </c>
      <c r="D33" s="24" t="str">
        <f t="shared" si="2"/>
        <v/>
      </c>
      <c r="E33" s="24" t="str">
        <f t="shared" si="3"/>
        <v/>
      </c>
      <c r="F33" s="32" t="str">
        <f t="shared" si="4"/>
        <v/>
      </c>
      <c r="G33" s="32" t="str">
        <f t="shared" si="5"/>
        <v/>
      </c>
      <c r="H33" s="32" t="str">
        <f t="shared" ca="1" si="6"/>
        <v/>
      </c>
      <c r="I33" s="32" t="str">
        <f t="shared" ca="1" si="12"/>
        <v/>
      </c>
      <c r="J33" s="32" t="str">
        <f t="shared" si="7"/>
        <v/>
      </c>
      <c r="K33" s="32" t="str">
        <f>IF(ISNUMBER(A33),Profile!$V$25+Profile!$V$24*'Ri-Po'!C33,"")</f>
        <v/>
      </c>
      <c r="L33" s="32" t="str">
        <f t="shared" si="13"/>
        <v/>
      </c>
      <c r="M33" s="32" t="str">
        <f t="shared" si="8"/>
        <v/>
      </c>
      <c r="N33" s="32" t="str">
        <f t="shared" si="9"/>
        <v/>
      </c>
      <c r="O33" s="32" t="str">
        <f t="shared" si="44"/>
        <v/>
      </c>
      <c r="P33" s="32" t="str">
        <f t="shared" si="15"/>
        <v/>
      </c>
      <c r="Q33" s="32" t="str">
        <f t="shared" si="16"/>
        <v/>
      </c>
      <c r="R33" s="32" t="str">
        <f t="shared" si="45"/>
        <v/>
      </c>
      <c r="S33" s="24" t="str">
        <f t="shared" si="46"/>
        <v/>
      </c>
      <c r="T33" s="24" t="str">
        <f t="shared" si="47"/>
        <v/>
      </c>
      <c r="U33" s="24" t="str">
        <f t="shared" si="48"/>
        <v/>
      </c>
      <c r="V33" s="24" t="str">
        <f t="shared" si="49"/>
        <v/>
      </c>
      <c r="W33" s="23" t="str">
        <f t="array" ref="W33">IFERROR(SMALL(IF(S$1:S$1000="BEGIN",ROW(S$1:S$1000)),ROW()-3),"")</f>
        <v/>
      </c>
      <c r="X33" s="23" t="str">
        <f t="array" ref="X33">IFERROR(SMALL(IF(T$1:T$1000="END",ROW(T$1:T$1000)),ROW()-3),"")</f>
        <v/>
      </c>
      <c r="Y33" s="33" t="str">
        <f t="array" ref="Y33">IF(ISNUMBER(W33),MAX(IF((B$4:B$1000&lt;=X33)*(B$4:B$1000&gt;=W33),I$4:I$1000, "")),"")</f>
        <v/>
      </c>
      <c r="Z33" s="33" t="str">
        <f t="shared" si="22"/>
        <v/>
      </c>
      <c r="AA33" s="32" t="str">
        <f t="shared" si="23"/>
        <v/>
      </c>
      <c r="AB33" s="32" t="str">
        <f t="shared" si="24"/>
        <v/>
      </c>
      <c r="AC33" s="32" t="str">
        <f t="shared" si="25"/>
        <v/>
      </c>
      <c r="AD33" s="32" t="str">
        <f t="shared" si="26"/>
        <v/>
      </c>
      <c r="AE33" s="34" t="str">
        <f t="shared" si="27"/>
        <v/>
      </c>
      <c r="AF33" s="32" t="str">
        <f t="shared" si="28"/>
        <v/>
      </c>
      <c r="AG33" s="32" t="str">
        <f t="shared" si="29"/>
        <v/>
      </c>
      <c r="AH33" s="32" t="str">
        <f t="shared" si="30"/>
        <v/>
      </c>
      <c r="AI33" s="35" t="str">
        <f t="shared" si="31"/>
        <v/>
      </c>
      <c r="AJ33" s="23" t="str">
        <f t="array" ref="AJ33">IFERROR(SMALL(IF(U$1:U$1000="BEGIN",ROW(U$1:U$1000)),ROW()-3),"")</f>
        <v/>
      </c>
      <c r="AK33" s="23" t="str">
        <f t="array" ref="AK33">IFERROR(SMALL(IF(V$1:V$1000="END",ROW(V$1:V$1000)),ROW()-3),"")</f>
        <v/>
      </c>
      <c r="AL33" s="24" t="str">
        <f t="array" ref="AL33">IF(AK33="","",MATCH(AM33,L:L,0))</f>
        <v/>
      </c>
      <c r="AM33" s="35">
        <f t="array" ref="AM33">MAX(IF((B$4:B$1000&lt;=AK33)*(B$4:B$1000&gt;=AJ33),L$4:L$1000, ""))</f>
        <v>0</v>
      </c>
      <c r="AN33" s="32" t="str">
        <f t="shared" si="50"/>
        <v/>
      </c>
      <c r="AO33" s="32" t="str">
        <f t="shared" si="51"/>
        <v/>
      </c>
      <c r="AP33" s="32" t="str">
        <f t="shared" si="52"/>
        <v/>
      </c>
      <c r="AQ33" s="32" t="str">
        <f t="shared" si="53"/>
        <v/>
      </c>
      <c r="AR33" s="32" t="str">
        <f t="shared" si="54"/>
        <v/>
      </c>
      <c r="AS33" s="32" t="str">
        <f t="shared" si="55"/>
        <v/>
      </c>
      <c r="AT33" s="32" t="str">
        <f t="shared" si="56"/>
        <v/>
      </c>
      <c r="AU33" s="34" t="str">
        <f t="shared" si="57"/>
        <v/>
      </c>
      <c r="AV33" s="32" t="str">
        <f t="shared" si="58"/>
        <v/>
      </c>
      <c r="AW33" s="32" t="str">
        <f t="shared" si="59"/>
        <v/>
      </c>
      <c r="AX33" s="32" t="str">
        <f t="shared" si="60"/>
        <v/>
      </c>
      <c r="AY33" s="32" t="str">
        <f t="shared" si="61"/>
        <v/>
      </c>
      <c r="BB33" s="40"/>
    </row>
    <row r="34" spans="1:54" x14ac:dyDescent="0.25">
      <c r="A34" s="24" t="str">
        <f t="shared" si="0"/>
        <v/>
      </c>
      <c r="B34" s="24" t="str">
        <f t="shared" si="11"/>
        <v/>
      </c>
      <c r="C34" s="32" t="str">
        <f t="shared" si="1"/>
        <v/>
      </c>
      <c r="D34" s="24" t="str">
        <f t="shared" si="2"/>
        <v/>
      </c>
      <c r="E34" s="24" t="str">
        <f t="shared" si="3"/>
        <v/>
      </c>
      <c r="F34" s="32" t="str">
        <f t="shared" si="4"/>
        <v/>
      </c>
      <c r="G34" s="32" t="str">
        <f t="shared" si="5"/>
        <v/>
      </c>
      <c r="H34" s="32" t="str">
        <f t="shared" ca="1" si="6"/>
        <v/>
      </c>
      <c r="I34" s="32" t="str">
        <f t="shared" ca="1" si="12"/>
        <v/>
      </c>
      <c r="J34" s="32" t="str">
        <f t="shared" si="7"/>
        <v/>
      </c>
      <c r="K34" s="32" t="str">
        <f>IF(ISNUMBER(A34),Profile!$V$25+Profile!$V$24*'Ri-Po'!C34,"")</f>
        <v/>
      </c>
      <c r="L34" s="32" t="str">
        <f t="shared" si="13"/>
        <v/>
      </c>
      <c r="M34" s="32" t="str">
        <f t="shared" si="8"/>
        <v/>
      </c>
      <c r="N34" s="32" t="str">
        <f t="shared" si="9"/>
        <v/>
      </c>
      <c r="O34" s="32" t="str">
        <f t="shared" si="44"/>
        <v/>
      </c>
      <c r="P34" s="32" t="str">
        <f t="shared" si="15"/>
        <v/>
      </c>
      <c r="Q34" s="32" t="str">
        <f t="shared" si="16"/>
        <v/>
      </c>
      <c r="R34" s="32" t="str">
        <f t="shared" si="45"/>
        <v/>
      </c>
      <c r="S34" s="24" t="str">
        <f t="shared" si="46"/>
        <v/>
      </c>
      <c r="T34" s="24" t="str">
        <f t="shared" si="47"/>
        <v/>
      </c>
      <c r="U34" s="24" t="str">
        <f t="shared" si="48"/>
        <v/>
      </c>
      <c r="V34" s="24" t="str">
        <f t="shared" si="49"/>
        <v/>
      </c>
      <c r="W34" s="23" t="str">
        <f t="array" ref="W34">IFERROR(SMALL(IF(S$1:S$1000="BEGIN",ROW(S$1:S$1000)),ROW()-3),"")</f>
        <v/>
      </c>
      <c r="X34" s="23" t="str">
        <f t="array" ref="X34">IFERROR(SMALL(IF(T$1:T$1000="END",ROW(T$1:T$1000)),ROW()-3),"")</f>
        <v/>
      </c>
      <c r="Y34" s="33" t="str">
        <f t="array" ref="Y34">IF(ISNUMBER(W34),MAX(IF((B$4:B$1000&lt;=X34)*(B$4:B$1000&gt;=W34),I$4:I$1000, "")),"")</f>
        <v/>
      </c>
      <c r="Z34" s="33" t="str">
        <f t="shared" si="22"/>
        <v/>
      </c>
      <c r="AA34" s="32" t="str">
        <f t="shared" si="23"/>
        <v/>
      </c>
      <c r="AB34" s="32" t="str">
        <f t="shared" si="24"/>
        <v/>
      </c>
      <c r="AC34" s="32" t="str">
        <f t="shared" si="25"/>
        <v/>
      </c>
      <c r="AD34" s="32" t="str">
        <f t="shared" si="26"/>
        <v/>
      </c>
      <c r="AE34" s="34" t="str">
        <f t="shared" si="27"/>
        <v/>
      </c>
      <c r="AF34" s="32" t="str">
        <f t="shared" si="28"/>
        <v/>
      </c>
      <c r="AG34" s="32" t="str">
        <f t="shared" si="29"/>
        <v/>
      </c>
      <c r="AH34" s="32" t="str">
        <f t="shared" si="30"/>
        <v/>
      </c>
      <c r="AI34" s="35" t="str">
        <f t="shared" si="31"/>
        <v/>
      </c>
      <c r="AJ34" s="23" t="str">
        <f t="array" ref="AJ34">IFERROR(SMALL(IF(U$1:U$1000="BEGIN",ROW(U$1:U$1000)),ROW()-3),"")</f>
        <v/>
      </c>
      <c r="AK34" s="23" t="str">
        <f t="array" ref="AK34">IFERROR(SMALL(IF(V$1:V$1000="END",ROW(V$1:V$1000)),ROW()-3),"")</f>
        <v/>
      </c>
      <c r="AL34" s="24" t="str">
        <f t="array" ref="AL34">IF(AK34="","",MATCH(AM34,L:L,0))</f>
        <v/>
      </c>
      <c r="AM34" s="35">
        <f t="array" ref="AM34">MAX(IF((B$4:B$1000&lt;=AK34)*(B$4:B$1000&gt;=AJ34),L$4:L$1000, ""))</f>
        <v>0</v>
      </c>
      <c r="AN34" s="32" t="str">
        <f t="shared" si="50"/>
        <v/>
      </c>
      <c r="AO34" s="32" t="str">
        <f t="shared" si="51"/>
        <v/>
      </c>
      <c r="AP34" s="32" t="str">
        <f t="shared" si="52"/>
        <v/>
      </c>
      <c r="AQ34" s="32" t="str">
        <f t="shared" si="53"/>
        <v/>
      </c>
      <c r="AR34" s="32" t="str">
        <f t="shared" si="54"/>
        <v/>
      </c>
      <c r="AS34" s="32" t="str">
        <f t="shared" si="55"/>
        <v/>
      </c>
      <c r="AT34" s="32" t="str">
        <f t="shared" si="56"/>
        <v/>
      </c>
      <c r="AU34" s="34" t="str">
        <f t="shared" si="57"/>
        <v/>
      </c>
      <c r="AV34" s="32" t="str">
        <f t="shared" si="58"/>
        <v/>
      </c>
      <c r="AW34" s="32" t="str">
        <f t="shared" si="59"/>
        <v/>
      </c>
      <c r="AX34" s="32" t="str">
        <f t="shared" si="60"/>
        <v/>
      </c>
      <c r="AY34" s="32" t="str">
        <f t="shared" si="61"/>
        <v/>
      </c>
      <c r="AZ34" s="38" t="s">
        <v>99</v>
      </c>
      <c r="BA34" s="1" t="s">
        <v>55</v>
      </c>
      <c r="BB34" s="40" t="e">
        <f>SUMPRODUCT(AH4:AH1000,AB4:AB1000)/SUM(AB4:AB1000)</f>
        <v>#DIV/0!</v>
      </c>
    </row>
    <row r="35" spans="1:54" x14ac:dyDescent="0.25">
      <c r="A35" s="24" t="str">
        <f t="shared" si="0"/>
        <v/>
      </c>
      <c r="B35" s="24" t="str">
        <f t="shared" si="11"/>
        <v/>
      </c>
      <c r="C35" s="32" t="str">
        <f t="shared" si="1"/>
        <v/>
      </c>
      <c r="D35" s="24" t="str">
        <f t="shared" si="2"/>
        <v/>
      </c>
      <c r="E35" s="24" t="str">
        <f t="shared" si="3"/>
        <v/>
      </c>
      <c r="F35" s="32" t="str">
        <f t="shared" si="4"/>
        <v/>
      </c>
      <c r="G35" s="32" t="str">
        <f t="shared" si="5"/>
        <v/>
      </c>
      <c r="H35" s="32" t="str">
        <f t="shared" ca="1" si="6"/>
        <v/>
      </c>
      <c r="I35" s="32" t="str">
        <f t="shared" ca="1" si="12"/>
        <v/>
      </c>
      <c r="J35" s="32" t="str">
        <f t="shared" si="7"/>
        <v/>
      </c>
      <c r="K35" s="32" t="str">
        <f>IF(ISNUMBER(A35),Profile!$V$25+Profile!$V$24*'Ri-Po'!C35,"")</f>
        <v/>
      </c>
      <c r="L35" s="32" t="str">
        <f t="shared" si="13"/>
        <v/>
      </c>
      <c r="M35" s="32" t="str">
        <f t="shared" si="8"/>
        <v/>
      </c>
      <c r="N35" s="32" t="str">
        <f t="shared" si="9"/>
        <v/>
      </c>
      <c r="O35" s="32" t="str">
        <f t="shared" si="44"/>
        <v/>
      </c>
      <c r="P35" s="32" t="str">
        <f t="shared" si="15"/>
        <v/>
      </c>
      <c r="Q35" s="32" t="str">
        <f t="shared" si="16"/>
        <v/>
      </c>
      <c r="R35" s="32" t="str">
        <f t="shared" si="45"/>
        <v/>
      </c>
      <c r="S35" s="24" t="str">
        <f t="shared" si="46"/>
        <v/>
      </c>
      <c r="T35" s="24" t="str">
        <f t="shared" si="47"/>
        <v/>
      </c>
      <c r="U35" s="24" t="str">
        <f t="shared" si="48"/>
        <v/>
      </c>
      <c r="V35" s="24" t="str">
        <f t="shared" si="49"/>
        <v/>
      </c>
      <c r="W35" s="23" t="str">
        <f t="array" ref="W35">IFERROR(SMALL(IF(S$1:S$1000="BEGIN",ROW(S$1:S$1000)),ROW()-3),"")</f>
        <v/>
      </c>
      <c r="X35" s="23" t="str">
        <f t="array" ref="X35">IFERROR(SMALL(IF(T$1:T$1000="END",ROW(T$1:T$1000)),ROW()-3),"")</f>
        <v/>
      </c>
      <c r="Y35" s="33" t="str">
        <f t="array" ref="Y35">IF(ISNUMBER(W35),MAX(IF((B$4:B$1000&lt;=X35)*(B$4:B$1000&gt;=W35),I$4:I$1000, "")),"")</f>
        <v/>
      </c>
      <c r="Z35" s="33" t="str">
        <f t="shared" si="22"/>
        <v/>
      </c>
      <c r="AA35" s="32" t="str">
        <f t="shared" si="23"/>
        <v/>
      </c>
      <c r="AB35" s="32" t="str">
        <f t="shared" si="24"/>
        <v/>
      </c>
      <c r="AC35" s="32" t="str">
        <f t="shared" si="25"/>
        <v/>
      </c>
      <c r="AD35" s="32" t="str">
        <f t="shared" si="26"/>
        <v/>
      </c>
      <c r="AE35" s="34" t="str">
        <f t="shared" si="27"/>
        <v/>
      </c>
      <c r="AF35" s="32" t="str">
        <f t="shared" si="28"/>
        <v/>
      </c>
      <c r="AG35" s="32" t="str">
        <f t="shared" si="29"/>
        <v/>
      </c>
      <c r="AH35" s="32" t="str">
        <f t="shared" si="30"/>
        <v/>
      </c>
      <c r="AI35" s="35" t="str">
        <f t="shared" si="31"/>
        <v/>
      </c>
      <c r="AJ35" s="23" t="str">
        <f t="array" ref="AJ35">IFERROR(SMALL(IF(U$1:U$1000="BEGIN",ROW(U$1:U$1000)),ROW()-3),"")</f>
        <v/>
      </c>
      <c r="AK35" s="23" t="str">
        <f t="array" ref="AK35">IFERROR(SMALL(IF(V$1:V$1000="END",ROW(V$1:V$1000)),ROW()-3),"")</f>
        <v/>
      </c>
      <c r="AL35" s="24" t="str">
        <f t="array" ref="AL35">IF(AK35="","",MATCH(AM35,L:L,0))</f>
        <v/>
      </c>
      <c r="AM35" s="35">
        <f t="array" ref="AM35">MAX(IF((B$4:B$1000&lt;=AK35)*(B$4:B$1000&gt;=AJ35),L$4:L$1000, ""))</f>
        <v>0</v>
      </c>
      <c r="AN35" s="32" t="str">
        <f t="shared" si="50"/>
        <v/>
      </c>
      <c r="AO35" s="32" t="str">
        <f t="shared" si="51"/>
        <v/>
      </c>
      <c r="AP35" s="32" t="str">
        <f t="shared" si="52"/>
        <v/>
      </c>
      <c r="AQ35" s="32" t="str">
        <f t="shared" si="53"/>
        <v/>
      </c>
      <c r="AR35" s="32" t="str">
        <f t="shared" si="54"/>
        <v/>
      </c>
      <c r="AS35" s="32" t="str">
        <f t="shared" si="55"/>
        <v/>
      </c>
      <c r="AT35" s="32" t="str">
        <f t="shared" si="56"/>
        <v/>
      </c>
      <c r="AU35" s="34" t="str">
        <f t="shared" si="57"/>
        <v/>
      </c>
      <c r="AV35" s="32" t="str">
        <f t="shared" si="58"/>
        <v/>
      </c>
      <c r="AW35" s="32" t="str">
        <f t="shared" si="59"/>
        <v/>
      </c>
      <c r="AX35" s="32" t="str">
        <f t="shared" si="60"/>
        <v/>
      </c>
      <c r="AY35" s="32" t="str">
        <f t="shared" si="61"/>
        <v/>
      </c>
      <c r="BB35" s="40"/>
    </row>
    <row r="36" spans="1:54" x14ac:dyDescent="0.25">
      <c r="A36" s="24" t="str">
        <f t="shared" si="0"/>
        <v/>
      </c>
      <c r="B36" s="24" t="str">
        <f t="shared" si="11"/>
        <v/>
      </c>
      <c r="C36" s="32" t="str">
        <f t="shared" si="1"/>
        <v/>
      </c>
      <c r="D36" s="24" t="str">
        <f t="shared" si="2"/>
        <v/>
      </c>
      <c r="E36" s="24" t="str">
        <f t="shared" si="3"/>
        <v/>
      </c>
      <c r="F36" s="32" t="str">
        <f t="shared" si="4"/>
        <v/>
      </c>
      <c r="G36" s="32" t="str">
        <f t="shared" si="5"/>
        <v/>
      </c>
      <c r="H36" s="32" t="str">
        <f t="shared" ca="1" si="6"/>
        <v/>
      </c>
      <c r="I36" s="32" t="str">
        <f t="shared" ca="1" si="12"/>
        <v/>
      </c>
      <c r="J36" s="32" t="str">
        <f t="shared" si="7"/>
        <v/>
      </c>
      <c r="K36" s="32" t="str">
        <f>IF(ISNUMBER(A36),Profile!$V$25+Profile!$V$24*'Ri-Po'!C36,"")</f>
        <v/>
      </c>
      <c r="L36" s="32" t="str">
        <f t="shared" si="13"/>
        <v/>
      </c>
      <c r="M36" s="32" t="str">
        <f t="shared" si="8"/>
        <v/>
      </c>
      <c r="N36" s="32" t="str">
        <f t="shared" si="9"/>
        <v/>
      </c>
      <c r="O36" s="32" t="str">
        <f t="shared" si="44"/>
        <v/>
      </c>
      <c r="P36" s="32" t="str">
        <f t="shared" si="15"/>
        <v/>
      </c>
      <c r="Q36" s="32" t="str">
        <f t="shared" si="16"/>
        <v/>
      </c>
      <c r="R36" s="32" t="str">
        <f t="shared" si="45"/>
        <v/>
      </c>
      <c r="S36" s="24" t="str">
        <f t="shared" si="46"/>
        <v/>
      </c>
      <c r="T36" s="24" t="str">
        <f t="shared" si="47"/>
        <v/>
      </c>
      <c r="U36" s="24" t="str">
        <f t="shared" si="48"/>
        <v/>
      </c>
      <c r="V36" s="24" t="str">
        <f t="shared" si="49"/>
        <v/>
      </c>
      <c r="W36" s="23" t="str">
        <f t="array" ref="W36">IFERROR(SMALL(IF(S$1:S$1000="BEGIN",ROW(S$1:S$1000)),ROW()-3),"")</f>
        <v/>
      </c>
      <c r="X36" s="23" t="str">
        <f t="array" ref="X36">IFERROR(SMALL(IF(T$1:T$1000="END",ROW(T$1:T$1000)),ROW()-3),"")</f>
        <v/>
      </c>
      <c r="Y36" s="33" t="str">
        <f t="array" ref="Y36">IF(ISNUMBER(W36),MAX(IF((B$4:B$1000&lt;=X36)*(B$4:B$1000&gt;=W36),I$4:I$1000, "")),"")</f>
        <v/>
      </c>
      <c r="Z36" s="33" t="str">
        <f t="shared" si="22"/>
        <v/>
      </c>
      <c r="AA36" s="32" t="str">
        <f t="shared" si="23"/>
        <v/>
      </c>
      <c r="AB36" s="32" t="str">
        <f t="shared" si="24"/>
        <v/>
      </c>
      <c r="AC36" s="32" t="str">
        <f t="shared" si="25"/>
        <v/>
      </c>
      <c r="AD36" s="32" t="str">
        <f t="shared" si="26"/>
        <v/>
      </c>
      <c r="AE36" s="34" t="str">
        <f t="shared" si="27"/>
        <v/>
      </c>
      <c r="AF36" s="32" t="str">
        <f t="shared" si="28"/>
        <v/>
      </c>
      <c r="AG36" s="32" t="str">
        <f t="shared" si="29"/>
        <v/>
      </c>
      <c r="AH36" s="32" t="str">
        <f t="shared" si="30"/>
        <v/>
      </c>
      <c r="AI36" s="35" t="str">
        <f t="shared" si="31"/>
        <v/>
      </c>
      <c r="AJ36" s="23" t="str">
        <f t="array" ref="AJ36">IFERROR(SMALL(IF(U$1:U$1000="BEGIN",ROW(U$1:U$1000)),ROW()-3),"")</f>
        <v/>
      </c>
      <c r="AK36" s="23" t="str">
        <f t="array" ref="AK36">IFERROR(SMALL(IF(V$1:V$1000="END",ROW(V$1:V$1000)),ROW()-3),"")</f>
        <v/>
      </c>
      <c r="AL36" s="24" t="str">
        <f t="array" ref="AL36">IF(AK36="","",MATCH(AM36,L:L,0))</f>
        <v/>
      </c>
      <c r="AM36" s="35">
        <f t="array" ref="AM36">MAX(IF((B$4:B$1000&lt;=AK36)*(B$4:B$1000&gt;=AJ36),L$4:L$1000, ""))</f>
        <v>0</v>
      </c>
      <c r="AN36" s="32" t="str">
        <f t="shared" si="50"/>
        <v/>
      </c>
      <c r="AO36" s="32" t="str">
        <f t="shared" si="51"/>
        <v/>
      </c>
      <c r="AP36" s="32" t="str">
        <f t="shared" si="52"/>
        <v/>
      </c>
      <c r="AQ36" s="32" t="str">
        <f t="shared" si="53"/>
        <v/>
      </c>
      <c r="AR36" s="32" t="str">
        <f t="shared" si="54"/>
        <v/>
      </c>
      <c r="AS36" s="32" t="str">
        <f t="shared" si="55"/>
        <v/>
      </c>
      <c r="AT36" s="32" t="str">
        <f t="shared" si="56"/>
        <v/>
      </c>
      <c r="AU36" s="34" t="str">
        <f t="shared" si="57"/>
        <v/>
      </c>
      <c r="AV36" s="32" t="str">
        <f t="shared" si="58"/>
        <v/>
      </c>
      <c r="AW36" s="32" t="str">
        <f t="shared" si="59"/>
        <v/>
      </c>
      <c r="AX36" s="32" t="str">
        <f t="shared" si="60"/>
        <v/>
      </c>
      <c r="AY36" s="32" t="str">
        <f t="shared" si="61"/>
        <v/>
      </c>
      <c r="AZ36" s="38" t="s">
        <v>102</v>
      </c>
      <c r="BA36" s="1" t="s">
        <v>55</v>
      </c>
      <c r="BB36" s="40" t="e">
        <f>AVERAGE(AV4:AV352)</f>
        <v>#DIV/0!</v>
      </c>
    </row>
    <row r="37" spans="1:54" x14ac:dyDescent="0.25">
      <c r="A37" s="24" t="str">
        <f t="shared" si="0"/>
        <v/>
      </c>
      <c r="B37" s="24" t="str">
        <f t="shared" si="11"/>
        <v/>
      </c>
      <c r="C37" s="32" t="str">
        <f t="shared" si="1"/>
        <v/>
      </c>
      <c r="D37" s="24" t="str">
        <f t="shared" si="2"/>
        <v/>
      </c>
      <c r="E37" s="24" t="str">
        <f t="shared" si="3"/>
        <v/>
      </c>
      <c r="F37" s="32" t="str">
        <f t="shared" si="4"/>
        <v/>
      </c>
      <c r="G37" s="32" t="str">
        <f t="shared" si="5"/>
        <v/>
      </c>
      <c r="H37" s="32" t="str">
        <f t="shared" ca="1" si="6"/>
        <v/>
      </c>
      <c r="I37" s="32" t="str">
        <f t="shared" ca="1" si="12"/>
        <v/>
      </c>
      <c r="J37" s="32" t="str">
        <f t="shared" si="7"/>
        <v/>
      </c>
      <c r="K37" s="32" t="str">
        <f>IF(ISNUMBER(A37),Profile!$V$25+Profile!$V$24*'Ri-Po'!C37,"")</f>
        <v/>
      </c>
      <c r="L37" s="32" t="str">
        <f t="shared" si="13"/>
        <v/>
      </c>
      <c r="M37" s="32" t="str">
        <f t="shared" si="8"/>
        <v/>
      </c>
      <c r="N37" s="32" t="str">
        <f t="shared" si="9"/>
        <v/>
      </c>
      <c r="O37" s="32" t="str">
        <f t="shared" si="44"/>
        <v/>
      </c>
      <c r="P37" s="32" t="str">
        <f t="shared" si="15"/>
        <v/>
      </c>
      <c r="Q37" s="32" t="str">
        <f t="shared" si="16"/>
        <v/>
      </c>
      <c r="R37" s="32" t="str">
        <f t="shared" si="45"/>
        <v/>
      </c>
      <c r="S37" s="24" t="str">
        <f t="shared" si="46"/>
        <v/>
      </c>
      <c r="T37" s="24" t="str">
        <f t="shared" si="47"/>
        <v/>
      </c>
      <c r="U37" s="24" t="str">
        <f t="shared" si="48"/>
        <v/>
      </c>
      <c r="V37" s="24" t="str">
        <f t="shared" si="49"/>
        <v/>
      </c>
      <c r="W37" s="23" t="str">
        <f t="array" ref="W37">IFERROR(SMALL(IF(S$1:S$1000="BEGIN",ROW(S$1:S$1000)),ROW()-3),"")</f>
        <v/>
      </c>
      <c r="X37" s="23" t="str">
        <f t="array" ref="X37">IFERROR(SMALL(IF(T$1:T$1000="END",ROW(T$1:T$1000)),ROW()-3),"")</f>
        <v/>
      </c>
      <c r="Y37" s="33" t="str">
        <f t="array" ref="Y37">IF(ISNUMBER(W37),MAX(IF((B$4:B$1000&lt;=X37)*(B$4:B$1000&gt;=W37),I$4:I$1000, "")),"")</f>
        <v/>
      </c>
      <c r="Z37" s="33" t="str">
        <f t="shared" si="22"/>
        <v/>
      </c>
      <c r="AA37" s="32" t="str">
        <f t="shared" si="23"/>
        <v/>
      </c>
      <c r="AB37" s="32" t="str">
        <f t="shared" si="24"/>
        <v/>
      </c>
      <c r="AC37" s="32" t="str">
        <f t="shared" si="25"/>
        <v/>
      </c>
      <c r="AD37" s="32" t="str">
        <f t="shared" si="26"/>
        <v/>
      </c>
      <c r="AE37" s="34" t="str">
        <f t="shared" si="27"/>
        <v/>
      </c>
      <c r="AF37" s="32" t="str">
        <f t="shared" si="28"/>
        <v/>
      </c>
      <c r="AG37" s="32" t="str">
        <f t="shared" si="29"/>
        <v/>
      </c>
      <c r="AH37" s="32" t="str">
        <f t="shared" si="30"/>
        <v/>
      </c>
      <c r="AI37" s="35" t="str">
        <f t="shared" si="31"/>
        <v/>
      </c>
      <c r="AJ37" s="23" t="str">
        <f t="array" ref="AJ37">IFERROR(SMALL(IF(U$1:U$1000="BEGIN",ROW(U$1:U$1000)),ROW()-3),"")</f>
        <v/>
      </c>
      <c r="AK37" s="23" t="str">
        <f t="array" ref="AK37">IFERROR(SMALL(IF(V$1:V$1000="END",ROW(V$1:V$1000)),ROW()-3),"")</f>
        <v/>
      </c>
      <c r="AL37" s="24" t="str">
        <f t="array" ref="AL37">IF(AK37="","",MATCH(AM37,L:L,0))</f>
        <v/>
      </c>
      <c r="AM37" s="35">
        <f t="array" ref="AM37">MAX(IF((B$4:B$1000&lt;=AK37)*(B$4:B$1000&gt;=AJ37),L$4:L$1000, ""))</f>
        <v>0</v>
      </c>
      <c r="AN37" s="32" t="str">
        <f t="shared" si="50"/>
        <v/>
      </c>
      <c r="AO37" s="32" t="str">
        <f t="shared" si="51"/>
        <v/>
      </c>
      <c r="AP37" s="32" t="str">
        <f t="shared" si="52"/>
        <v/>
      </c>
      <c r="AQ37" s="32" t="str">
        <f t="shared" si="53"/>
        <v/>
      </c>
      <c r="AR37" s="32" t="str">
        <f t="shared" si="54"/>
        <v/>
      </c>
      <c r="AS37" s="32" t="str">
        <f t="shared" si="55"/>
        <v/>
      </c>
      <c r="AT37" s="32" t="str">
        <f t="shared" si="56"/>
        <v/>
      </c>
      <c r="AU37" s="34" t="str">
        <f t="shared" si="57"/>
        <v/>
      </c>
      <c r="AV37" s="32" t="str">
        <f t="shared" si="58"/>
        <v/>
      </c>
      <c r="AW37" s="32" t="str">
        <f t="shared" si="59"/>
        <v/>
      </c>
      <c r="AX37" s="32" t="str">
        <f t="shared" si="60"/>
        <v/>
      </c>
      <c r="AY37" s="32" t="str">
        <f t="shared" si="61"/>
        <v/>
      </c>
    </row>
    <row r="38" spans="1:54" x14ac:dyDescent="0.25">
      <c r="A38" s="24" t="str">
        <f t="shared" si="0"/>
        <v/>
      </c>
      <c r="B38" s="24" t="str">
        <f t="shared" si="11"/>
        <v/>
      </c>
      <c r="C38" s="32" t="str">
        <f t="shared" si="1"/>
        <v/>
      </c>
      <c r="D38" s="24" t="str">
        <f t="shared" si="2"/>
        <v/>
      </c>
      <c r="E38" s="24" t="str">
        <f t="shared" si="3"/>
        <v/>
      </c>
      <c r="F38" s="32" t="str">
        <f t="shared" si="4"/>
        <v/>
      </c>
      <c r="G38" s="32" t="str">
        <f t="shared" si="5"/>
        <v/>
      </c>
      <c r="H38" s="32" t="str">
        <f t="shared" ca="1" si="6"/>
        <v/>
      </c>
      <c r="I38" s="32" t="str">
        <f t="shared" ca="1" si="12"/>
        <v/>
      </c>
      <c r="J38" s="32" t="str">
        <f t="shared" si="7"/>
        <v/>
      </c>
      <c r="K38" s="32" t="str">
        <f>IF(ISNUMBER(A38),Profile!$V$25+Profile!$V$24*'Ri-Po'!C38,"")</f>
        <v/>
      </c>
      <c r="L38" s="32" t="str">
        <f t="shared" si="13"/>
        <v/>
      </c>
      <c r="M38" s="32" t="str">
        <f t="shared" si="8"/>
        <v/>
      </c>
      <c r="N38" s="32" t="str">
        <f t="shared" si="9"/>
        <v/>
      </c>
      <c r="O38" s="32" t="str">
        <f t="shared" si="44"/>
        <v/>
      </c>
      <c r="P38" s="32" t="str">
        <f t="shared" si="15"/>
        <v/>
      </c>
      <c r="Q38" s="32" t="str">
        <f t="shared" si="16"/>
        <v/>
      </c>
      <c r="R38" s="32" t="str">
        <f t="shared" si="45"/>
        <v/>
      </c>
      <c r="S38" s="24" t="str">
        <f t="shared" si="46"/>
        <v/>
      </c>
      <c r="T38" s="24" t="str">
        <f t="shared" si="47"/>
        <v/>
      </c>
      <c r="U38" s="24" t="str">
        <f t="shared" si="48"/>
        <v/>
      </c>
      <c r="V38" s="24" t="str">
        <f t="shared" si="49"/>
        <v/>
      </c>
      <c r="W38" s="23" t="str">
        <f t="array" ref="W38">IFERROR(SMALL(IF(S$1:S$1000="BEGIN",ROW(S$1:S$1000)),ROW()-3),"")</f>
        <v/>
      </c>
      <c r="X38" s="23" t="str">
        <f t="array" ref="X38">IFERROR(SMALL(IF(T$1:T$1000="END",ROW(T$1:T$1000)),ROW()-3),"")</f>
        <v/>
      </c>
      <c r="Y38" s="33" t="str">
        <f t="array" ref="Y38">IF(ISNUMBER(W38),MAX(IF((B$4:B$1000&lt;=X38)*(B$4:B$1000&gt;=W38),I$4:I$1000, "")),"")</f>
        <v/>
      </c>
      <c r="Z38" s="33" t="str">
        <f t="shared" si="22"/>
        <v/>
      </c>
      <c r="AA38" s="32" t="str">
        <f t="shared" si="23"/>
        <v/>
      </c>
      <c r="AB38" s="32" t="str">
        <f t="shared" si="24"/>
        <v/>
      </c>
      <c r="AC38" s="32" t="str">
        <f t="shared" si="25"/>
        <v/>
      </c>
      <c r="AD38" s="32" t="str">
        <f t="shared" si="26"/>
        <v/>
      </c>
      <c r="AE38" s="34" t="str">
        <f t="shared" si="27"/>
        <v/>
      </c>
      <c r="AF38" s="32" t="str">
        <f t="shared" si="28"/>
        <v/>
      </c>
      <c r="AG38" s="32" t="str">
        <f t="shared" si="29"/>
        <v/>
      </c>
      <c r="AH38" s="32" t="str">
        <f t="shared" si="30"/>
        <v/>
      </c>
      <c r="AI38" s="35" t="str">
        <f t="shared" si="31"/>
        <v/>
      </c>
      <c r="AJ38" s="23" t="str">
        <f t="array" ref="AJ38">IFERROR(SMALL(IF(U$1:U$1000="BEGIN",ROW(U$1:U$1000)),ROW()-3),"")</f>
        <v/>
      </c>
      <c r="AK38" s="23" t="str">
        <f t="array" ref="AK38">IFERROR(SMALL(IF(V$1:V$1000="END",ROW(V$1:V$1000)),ROW()-3),"")</f>
        <v/>
      </c>
      <c r="AL38" s="24" t="str">
        <f t="array" ref="AL38">IF(AK38="","",MATCH(AM38,L:L,0))</f>
        <v/>
      </c>
      <c r="AM38" s="35">
        <f t="array" ref="AM38">MAX(IF((B$4:B$1000&lt;=AK38)*(B$4:B$1000&gt;=AJ38),L$4:L$1000, ""))</f>
        <v>0</v>
      </c>
      <c r="AN38" s="32" t="str">
        <f t="shared" si="50"/>
        <v/>
      </c>
      <c r="AO38" s="32" t="str">
        <f t="shared" si="51"/>
        <v/>
      </c>
      <c r="AP38" s="32" t="str">
        <f t="shared" si="52"/>
        <v/>
      </c>
      <c r="AQ38" s="32" t="str">
        <f t="shared" si="53"/>
        <v/>
      </c>
      <c r="AR38" s="32" t="str">
        <f t="shared" si="54"/>
        <v/>
      </c>
      <c r="AS38" s="32" t="str">
        <f t="shared" si="55"/>
        <v/>
      </c>
      <c r="AT38" s="32" t="str">
        <f t="shared" si="56"/>
        <v/>
      </c>
      <c r="AU38" s="34" t="str">
        <f t="shared" si="57"/>
        <v/>
      </c>
      <c r="AV38" s="32" t="str">
        <f t="shared" si="58"/>
        <v/>
      </c>
      <c r="AW38" s="32" t="str">
        <f t="shared" si="59"/>
        <v/>
      </c>
      <c r="AX38" s="32" t="str">
        <f t="shared" si="60"/>
        <v/>
      </c>
      <c r="AY38" s="32" t="str">
        <f t="shared" si="61"/>
        <v/>
      </c>
    </row>
    <row r="39" spans="1:54" x14ac:dyDescent="0.25">
      <c r="A39" s="24" t="str">
        <f t="shared" si="0"/>
        <v/>
      </c>
      <c r="B39" s="24" t="str">
        <f t="shared" si="11"/>
        <v/>
      </c>
      <c r="C39" s="32" t="str">
        <f t="shared" si="1"/>
        <v/>
      </c>
      <c r="D39" s="24" t="str">
        <f t="shared" si="2"/>
        <v/>
      </c>
      <c r="E39" s="24" t="str">
        <f t="shared" si="3"/>
        <v/>
      </c>
      <c r="F39" s="32" t="str">
        <f t="shared" si="4"/>
        <v/>
      </c>
      <c r="G39" s="32" t="str">
        <f t="shared" si="5"/>
        <v/>
      </c>
      <c r="H39" s="32" t="str">
        <f t="shared" ca="1" si="6"/>
        <v/>
      </c>
      <c r="I39" s="32" t="str">
        <f t="shared" ca="1" si="12"/>
        <v/>
      </c>
      <c r="J39" s="32" t="str">
        <f t="shared" si="7"/>
        <v/>
      </c>
      <c r="K39" s="32" t="str">
        <f>IF(ISNUMBER(A39),Profile!$V$25+Profile!$V$24*'Ri-Po'!C39,"")</f>
        <v/>
      </c>
      <c r="L39" s="32" t="str">
        <f t="shared" si="13"/>
        <v/>
      </c>
      <c r="M39" s="32" t="str">
        <f t="shared" si="8"/>
        <v/>
      </c>
      <c r="N39" s="32" t="str">
        <f t="shared" si="9"/>
        <v/>
      </c>
      <c r="O39" s="32" t="str">
        <f t="shared" si="44"/>
        <v/>
      </c>
      <c r="P39" s="32" t="str">
        <f t="shared" si="15"/>
        <v/>
      </c>
      <c r="Q39" s="32" t="str">
        <f t="shared" si="16"/>
        <v/>
      </c>
      <c r="R39" s="32" t="str">
        <f t="shared" si="45"/>
        <v/>
      </c>
      <c r="S39" s="24" t="str">
        <f t="shared" si="46"/>
        <v/>
      </c>
      <c r="T39" s="24" t="str">
        <f t="shared" si="47"/>
        <v/>
      </c>
      <c r="U39" s="24" t="str">
        <f t="shared" si="48"/>
        <v/>
      </c>
      <c r="V39" s="24" t="str">
        <f t="shared" si="49"/>
        <v/>
      </c>
      <c r="W39" s="23" t="str">
        <f t="array" ref="W39">IFERROR(SMALL(IF(S$1:S$1000="BEGIN",ROW(S$1:S$1000)),ROW()-3),"")</f>
        <v/>
      </c>
      <c r="X39" s="23" t="str">
        <f t="array" ref="X39">IFERROR(SMALL(IF(T$1:T$1000="END",ROW(T$1:T$1000)),ROW()-3),"")</f>
        <v/>
      </c>
      <c r="Y39" s="33" t="str">
        <f t="array" ref="Y39">IF(ISNUMBER(W39),MAX(IF((B$4:B$1000&lt;=X39)*(B$4:B$1000&gt;=W39),I$4:I$1000, "")),"")</f>
        <v/>
      </c>
      <c r="Z39" s="33" t="str">
        <f t="shared" si="22"/>
        <v/>
      </c>
      <c r="AA39" s="32" t="str">
        <f t="shared" si="23"/>
        <v/>
      </c>
      <c r="AB39" s="32" t="str">
        <f t="shared" si="24"/>
        <v/>
      </c>
      <c r="AC39" s="32" t="str">
        <f t="shared" si="25"/>
        <v/>
      </c>
      <c r="AD39" s="32" t="str">
        <f t="shared" si="26"/>
        <v/>
      </c>
      <c r="AE39" s="34" t="str">
        <f t="shared" si="27"/>
        <v/>
      </c>
      <c r="AF39" s="32" t="str">
        <f t="shared" si="28"/>
        <v/>
      </c>
      <c r="AG39" s="32" t="str">
        <f t="shared" si="29"/>
        <v/>
      </c>
      <c r="AH39" s="32" t="str">
        <f t="shared" si="30"/>
        <v/>
      </c>
      <c r="AI39" s="35" t="str">
        <f t="shared" si="31"/>
        <v/>
      </c>
      <c r="AJ39" s="23" t="str">
        <f t="array" ref="AJ39">IFERROR(SMALL(IF(U$1:U$1000="BEGIN",ROW(U$1:U$1000)),ROW()-3),"")</f>
        <v/>
      </c>
      <c r="AK39" s="23" t="str">
        <f t="array" ref="AK39">IFERROR(SMALL(IF(V$1:V$1000="END",ROW(V$1:V$1000)),ROW()-3),"")</f>
        <v/>
      </c>
      <c r="AL39" s="24" t="str">
        <f t="array" ref="AL39">IF(AK39="","",MATCH(AM39,L:L,0))</f>
        <v/>
      </c>
      <c r="AM39" s="35">
        <f t="array" ref="AM39">MAX(IF((B$4:B$1000&lt;=AK39)*(B$4:B$1000&gt;=AJ39),L$4:L$1000, ""))</f>
        <v>0</v>
      </c>
      <c r="AN39" s="32" t="str">
        <f t="shared" si="50"/>
        <v/>
      </c>
      <c r="AO39" s="32" t="str">
        <f t="shared" si="51"/>
        <v/>
      </c>
      <c r="AP39" s="32" t="str">
        <f t="shared" si="52"/>
        <v/>
      </c>
      <c r="AQ39" s="32" t="str">
        <f t="shared" si="53"/>
        <v/>
      </c>
      <c r="AR39" s="32" t="str">
        <f t="shared" si="54"/>
        <v/>
      </c>
      <c r="AS39" s="32" t="str">
        <f t="shared" si="55"/>
        <v/>
      </c>
      <c r="AT39" s="32" t="str">
        <f t="shared" si="56"/>
        <v/>
      </c>
      <c r="AU39" s="34" t="str">
        <f t="shared" si="57"/>
        <v/>
      </c>
      <c r="AV39" s="32" t="str">
        <f t="shared" si="58"/>
        <v/>
      </c>
      <c r="AW39" s="32" t="str">
        <f t="shared" si="59"/>
        <v/>
      </c>
      <c r="AX39" s="32" t="str">
        <f t="shared" si="60"/>
        <v/>
      </c>
      <c r="AY39" s="32" t="str">
        <f t="shared" si="61"/>
        <v/>
      </c>
    </row>
    <row r="40" spans="1:54" x14ac:dyDescent="0.25">
      <c r="A40" s="24" t="str">
        <f t="shared" si="0"/>
        <v/>
      </c>
      <c r="B40" s="24" t="str">
        <f t="shared" si="11"/>
        <v/>
      </c>
      <c r="C40" s="32" t="str">
        <f t="shared" si="1"/>
        <v/>
      </c>
      <c r="D40" s="24" t="str">
        <f t="shared" si="2"/>
        <v/>
      </c>
      <c r="E40" s="24" t="str">
        <f t="shared" si="3"/>
        <v/>
      </c>
      <c r="F40" s="32" t="str">
        <f t="shared" si="4"/>
        <v/>
      </c>
      <c r="G40" s="32" t="str">
        <f t="shared" si="5"/>
        <v/>
      </c>
      <c r="H40" s="32" t="str">
        <f t="shared" ca="1" si="6"/>
        <v/>
      </c>
      <c r="I40" s="32" t="str">
        <f t="shared" ca="1" si="12"/>
        <v/>
      </c>
      <c r="J40" s="32" t="str">
        <f t="shared" si="7"/>
        <v/>
      </c>
      <c r="K40" s="32" t="str">
        <f>IF(ISNUMBER(A40),Profile!$V$25+Profile!$V$24*'Ri-Po'!C40,"")</f>
        <v/>
      </c>
      <c r="L40" s="32" t="str">
        <f t="shared" si="13"/>
        <v/>
      </c>
      <c r="M40" s="32" t="str">
        <f t="shared" si="8"/>
        <v/>
      </c>
      <c r="N40" s="32" t="str">
        <f t="shared" si="9"/>
        <v/>
      </c>
      <c r="O40" s="32" t="str">
        <f t="shared" si="44"/>
        <v/>
      </c>
      <c r="P40" s="32" t="str">
        <f t="shared" si="15"/>
        <v/>
      </c>
      <c r="Q40" s="32" t="str">
        <f t="shared" si="16"/>
        <v/>
      </c>
      <c r="R40" s="32" t="str">
        <f t="shared" si="45"/>
        <v/>
      </c>
      <c r="S40" s="24" t="str">
        <f t="shared" si="46"/>
        <v/>
      </c>
      <c r="T40" s="24" t="str">
        <f t="shared" si="47"/>
        <v/>
      </c>
      <c r="U40" s="24" t="str">
        <f t="shared" si="48"/>
        <v/>
      </c>
      <c r="V40" s="24" t="str">
        <f t="shared" si="49"/>
        <v/>
      </c>
      <c r="W40" s="23" t="str">
        <f t="array" ref="W40">IFERROR(SMALL(IF(S$1:S$1000="BEGIN",ROW(S$1:S$1000)),ROW()-3),"")</f>
        <v/>
      </c>
      <c r="X40" s="23" t="str">
        <f t="array" ref="X40">IFERROR(SMALL(IF(T$1:T$1000="END",ROW(T$1:T$1000)),ROW()-3),"")</f>
        <v/>
      </c>
      <c r="Y40" s="33" t="str">
        <f t="array" ref="Y40">IF(ISNUMBER(W40),MAX(IF((B$4:B$1000&lt;=X40)*(B$4:B$1000&gt;=W40),I$4:I$1000, "")),"")</f>
        <v/>
      </c>
      <c r="Z40" s="33" t="str">
        <f t="shared" si="22"/>
        <v/>
      </c>
      <c r="AA40" s="32" t="str">
        <f t="shared" si="23"/>
        <v/>
      </c>
      <c r="AB40" s="32" t="str">
        <f t="shared" si="24"/>
        <v/>
      </c>
      <c r="AC40" s="32" t="str">
        <f t="shared" si="25"/>
        <v/>
      </c>
      <c r="AD40" s="32" t="str">
        <f t="shared" si="26"/>
        <v/>
      </c>
      <c r="AE40" s="34" t="str">
        <f t="shared" si="27"/>
        <v/>
      </c>
      <c r="AF40" s="32" t="str">
        <f t="shared" si="28"/>
        <v/>
      </c>
      <c r="AG40" s="32" t="str">
        <f t="shared" si="29"/>
        <v/>
      </c>
      <c r="AH40" s="32" t="str">
        <f t="shared" si="30"/>
        <v/>
      </c>
      <c r="AI40" s="35" t="str">
        <f t="shared" si="31"/>
        <v/>
      </c>
      <c r="AJ40" s="23" t="str">
        <f t="array" ref="AJ40">IFERROR(SMALL(IF(U$1:U$1000="BEGIN",ROW(U$1:U$1000)),ROW()-3),"")</f>
        <v/>
      </c>
      <c r="AK40" s="23" t="str">
        <f t="array" ref="AK40">IFERROR(SMALL(IF(V$1:V$1000="END",ROW(V$1:V$1000)),ROW()-3),"")</f>
        <v/>
      </c>
      <c r="AL40" s="24" t="str">
        <f t="array" ref="AL40">IF(AK40="","",MATCH(AM40,L:L,0))</f>
        <v/>
      </c>
      <c r="AM40" s="35">
        <f t="array" ref="AM40">MAX(IF((B$4:B$1000&lt;=AK40)*(B$4:B$1000&gt;=AJ40),L$4:L$1000, ""))</f>
        <v>0</v>
      </c>
      <c r="AN40" s="32" t="str">
        <f t="shared" si="50"/>
        <v/>
      </c>
      <c r="AO40" s="32" t="str">
        <f t="shared" si="51"/>
        <v/>
      </c>
      <c r="AP40" s="32" t="str">
        <f t="shared" si="52"/>
        <v/>
      </c>
      <c r="AQ40" s="32" t="str">
        <f t="shared" si="53"/>
        <v/>
      </c>
      <c r="AR40" s="32" t="str">
        <f t="shared" si="54"/>
        <v/>
      </c>
      <c r="AS40" s="32" t="str">
        <f t="shared" si="55"/>
        <v/>
      </c>
      <c r="AT40" s="32" t="str">
        <f t="shared" si="56"/>
        <v/>
      </c>
      <c r="AU40" s="34" t="str">
        <f t="shared" si="57"/>
        <v/>
      </c>
      <c r="AV40" s="32" t="str">
        <f t="shared" si="58"/>
        <v/>
      </c>
      <c r="AW40" s="32" t="str">
        <f t="shared" si="59"/>
        <v/>
      </c>
      <c r="AX40" s="32" t="str">
        <f t="shared" si="60"/>
        <v/>
      </c>
      <c r="AY40" s="32" t="str">
        <f t="shared" si="61"/>
        <v/>
      </c>
    </row>
    <row r="41" spans="1:54" x14ac:dyDescent="0.25">
      <c r="A41" s="24" t="str">
        <f t="shared" si="0"/>
        <v/>
      </c>
      <c r="B41" s="24" t="str">
        <f t="shared" si="11"/>
        <v/>
      </c>
      <c r="C41" s="32" t="str">
        <f t="shared" si="1"/>
        <v/>
      </c>
      <c r="D41" s="24" t="str">
        <f t="shared" si="2"/>
        <v/>
      </c>
      <c r="E41" s="24" t="str">
        <f t="shared" si="3"/>
        <v/>
      </c>
      <c r="F41" s="32" t="str">
        <f t="shared" si="4"/>
        <v/>
      </c>
      <c r="G41" s="32" t="str">
        <f t="shared" si="5"/>
        <v/>
      </c>
      <c r="H41" s="32" t="str">
        <f t="shared" ca="1" si="6"/>
        <v/>
      </c>
      <c r="I41" s="32" t="str">
        <f t="shared" ca="1" si="12"/>
        <v/>
      </c>
      <c r="J41" s="32" t="str">
        <f t="shared" si="7"/>
        <v/>
      </c>
      <c r="K41" s="32" t="str">
        <f>IF(ISNUMBER(A41),Profile!$V$25+Profile!$V$24*'Ri-Po'!C41,"")</f>
        <v/>
      </c>
      <c r="L41" s="32" t="str">
        <f t="shared" si="13"/>
        <v/>
      </c>
      <c r="M41" s="32" t="str">
        <f t="shared" si="8"/>
        <v/>
      </c>
      <c r="N41" s="32" t="str">
        <f t="shared" si="9"/>
        <v/>
      </c>
      <c r="O41" s="32" t="str">
        <f t="shared" si="44"/>
        <v/>
      </c>
      <c r="P41" s="32" t="str">
        <f t="shared" si="15"/>
        <v/>
      </c>
      <c r="Q41" s="32" t="str">
        <f t="shared" si="16"/>
        <v/>
      </c>
      <c r="R41" s="32" t="str">
        <f t="shared" si="45"/>
        <v/>
      </c>
      <c r="S41" s="24" t="str">
        <f t="shared" si="46"/>
        <v/>
      </c>
      <c r="T41" s="24" t="str">
        <f t="shared" si="47"/>
        <v/>
      </c>
      <c r="U41" s="24" t="str">
        <f t="shared" si="48"/>
        <v/>
      </c>
      <c r="V41" s="24" t="str">
        <f t="shared" si="49"/>
        <v/>
      </c>
      <c r="W41" s="23" t="str">
        <f t="array" ref="W41">IFERROR(SMALL(IF(S$1:S$1000="BEGIN",ROW(S$1:S$1000)),ROW()-3),"")</f>
        <v/>
      </c>
      <c r="X41" s="23" t="str">
        <f t="array" ref="X41">IFERROR(SMALL(IF(T$1:T$1000="END",ROW(T$1:T$1000)),ROW()-3),"")</f>
        <v/>
      </c>
      <c r="Y41" s="33" t="str">
        <f t="array" ref="Y41">IF(ISNUMBER(W41),MAX(IF((B$4:B$1000&lt;=X41)*(B$4:B$1000&gt;=W41),I$4:I$1000, "")),"")</f>
        <v/>
      </c>
      <c r="Z41" s="33" t="str">
        <f t="shared" si="22"/>
        <v/>
      </c>
      <c r="AA41" s="32" t="str">
        <f t="shared" si="23"/>
        <v/>
      </c>
      <c r="AB41" s="32" t="str">
        <f t="shared" si="24"/>
        <v/>
      </c>
      <c r="AC41" s="32" t="str">
        <f t="shared" si="25"/>
        <v/>
      </c>
      <c r="AD41" s="32" t="str">
        <f t="shared" si="26"/>
        <v/>
      </c>
      <c r="AE41" s="34" t="str">
        <f t="shared" si="27"/>
        <v/>
      </c>
      <c r="AF41" s="32" t="str">
        <f t="shared" si="28"/>
        <v/>
      </c>
      <c r="AG41" s="32" t="str">
        <f t="shared" si="29"/>
        <v/>
      </c>
      <c r="AH41" s="32" t="str">
        <f t="shared" si="30"/>
        <v/>
      </c>
      <c r="AI41" s="35" t="str">
        <f t="shared" si="31"/>
        <v/>
      </c>
      <c r="AJ41" s="23" t="str">
        <f t="array" ref="AJ41">IFERROR(SMALL(IF(U$1:U$1000="BEGIN",ROW(U$1:U$1000)),ROW()-3),"")</f>
        <v/>
      </c>
      <c r="AK41" s="23" t="str">
        <f t="array" ref="AK41">IFERROR(SMALL(IF(V$1:V$1000="END",ROW(V$1:V$1000)),ROW()-3),"")</f>
        <v/>
      </c>
      <c r="AL41" s="24" t="str">
        <f t="array" ref="AL41">IF(AK41="","",MATCH(AM41,L:L,0))</f>
        <v/>
      </c>
      <c r="AM41" s="35">
        <f t="array" ref="AM41">MAX(IF((B$4:B$1000&lt;=AK41)*(B$4:B$1000&gt;=AJ41),L$4:L$1000, ""))</f>
        <v>0</v>
      </c>
      <c r="AN41" s="32" t="str">
        <f t="shared" si="50"/>
        <v/>
      </c>
      <c r="AO41" s="32" t="str">
        <f t="shared" si="51"/>
        <v/>
      </c>
      <c r="AP41" s="32" t="str">
        <f t="shared" si="52"/>
        <v/>
      </c>
      <c r="AQ41" s="32" t="str">
        <f t="shared" si="53"/>
        <v/>
      </c>
      <c r="AR41" s="32" t="str">
        <f t="shared" si="54"/>
        <v/>
      </c>
      <c r="AS41" s="32" t="str">
        <f t="shared" si="55"/>
        <v/>
      </c>
      <c r="AT41" s="32" t="str">
        <f t="shared" si="56"/>
        <v/>
      </c>
      <c r="AU41" s="34" t="str">
        <f t="shared" si="57"/>
        <v/>
      </c>
      <c r="AV41" s="32" t="str">
        <f t="shared" si="58"/>
        <v/>
      </c>
      <c r="AW41" s="32" t="str">
        <f t="shared" si="59"/>
        <v/>
      </c>
      <c r="AX41" s="32" t="str">
        <f t="shared" si="60"/>
        <v/>
      </c>
      <c r="AY41" s="32" t="str">
        <f t="shared" si="61"/>
        <v/>
      </c>
    </row>
    <row r="42" spans="1:54" x14ac:dyDescent="0.25">
      <c r="A42" s="24" t="str">
        <f t="shared" si="0"/>
        <v/>
      </c>
      <c r="B42" s="24" t="str">
        <f t="shared" si="11"/>
        <v/>
      </c>
      <c r="C42" s="32" t="str">
        <f t="shared" si="1"/>
        <v/>
      </c>
      <c r="D42" s="24" t="str">
        <f t="shared" si="2"/>
        <v/>
      </c>
      <c r="E42" s="24" t="str">
        <f t="shared" si="3"/>
        <v/>
      </c>
      <c r="F42" s="32" t="str">
        <f t="shared" si="4"/>
        <v/>
      </c>
      <c r="G42" s="32" t="str">
        <f t="shared" si="5"/>
        <v/>
      </c>
      <c r="H42" s="32" t="str">
        <f t="shared" ca="1" si="6"/>
        <v/>
      </c>
      <c r="I42" s="32" t="str">
        <f t="shared" ca="1" si="12"/>
        <v/>
      </c>
      <c r="J42" s="32" t="str">
        <f t="shared" si="7"/>
        <v/>
      </c>
      <c r="K42" s="32" t="str">
        <f>IF(ISNUMBER(A42),Profile!$V$25+Profile!$V$24*'Ri-Po'!C42,"")</f>
        <v/>
      </c>
      <c r="L42" s="32" t="str">
        <f t="shared" si="13"/>
        <v/>
      </c>
      <c r="M42" s="32" t="str">
        <f t="shared" si="8"/>
        <v/>
      </c>
      <c r="N42" s="32" t="str">
        <f t="shared" si="9"/>
        <v/>
      </c>
      <c r="O42" s="32" t="str">
        <f t="shared" si="44"/>
        <v/>
      </c>
      <c r="P42" s="32" t="str">
        <f t="shared" si="15"/>
        <v/>
      </c>
      <c r="Q42" s="32" t="str">
        <f t="shared" si="16"/>
        <v/>
      </c>
      <c r="R42" s="32" t="str">
        <f t="shared" si="45"/>
        <v/>
      </c>
      <c r="S42" s="24" t="str">
        <f t="shared" si="46"/>
        <v/>
      </c>
      <c r="T42" s="24" t="str">
        <f t="shared" si="47"/>
        <v/>
      </c>
      <c r="U42" s="24" t="str">
        <f t="shared" si="48"/>
        <v/>
      </c>
      <c r="V42" s="24" t="str">
        <f t="shared" si="49"/>
        <v/>
      </c>
      <c r="W42" s="23" t="str">
        <f t="array" ref="W42">IFERROR(SMALL(IF(S$1:S$1000="BEGIN",ROW(S$1:S$1000)),ROW()-3),"")</f>
        <v/>
      </c>
      <c r="X42" s="23" t="str">
        <f t="array" ref="X42">IFERROR(SMALL(IF(T$1:T$1000="END",ROW(T$1:T$1000)),ROW()-3),"")</f>
        <v/>
      </c>
      <c r="Y42" s="33" t="str">
        <f t="array" ref="Y42">IF(ISNUMBER(W42),MAX(IF((B$4:B$1000&lt;=X42)*(B$4:B$1000&gt;=W42),I$4:I$1000, "")),"")</f>
        <v/>
      </c>
      <c r="Z42" s="33" t="str">
        <f t="shared" si="22"/>
        <v/>
      </c>
      <c r="AA42" s="32" t="str">
        <f t="shared" si="23"/>
        <v/>
      </c>
      <c r="AB42" s="32" t="str">
        <f t="shared" si="24"/>
        <v/>
      </c>
      <c r="AC42" s="32" t="str">
        <f t="shared" si="25"/>
        <v/>
      </c>
      <c r="AD42" s="32" t="str">
        <f t="shared" si="26"/>
        <v/>
      </c>
      <c r="AE42" s="34" t="str">
        <f t="shared" si="27"/>
        <v/>
      </c>
      <c r="AF42" s="32" t="str">
        <f t="shared" si="28"/>
        <v/>
      </c>
      <c r="AG42" s="32" t="str">
        <f t="shared" si="29"/>
        <v/>
      </c>
      <c r="AH42" s="32" t="str">
        <f t="shared" si="30"/>
        <v/>
      </c>
      <c r="AI42" s="35" t="str">
        <f t="shared" si="31"/>
        <v/>
      </c>
      <c r="AJ42" s="23" t="str">
        <f t="array" ref="AJ42">IFERROR(SMALL(IF(U$1:U$1000="BEGIN",ROW(U$1:U$1000)),ROW()-3),"")</f>
        <v/>
      </c>
      <c r="AK42" s="23" t="str">
        <f t="array" ref="AK42">IFERROR(SMALL(IF(V$1:V$1000="END",ROW(V$1:V$1000)),ROW()-3),"")</f>
        <v/>
      </c>
      <c r="AL42" s="24" t="str">
        <f t="array" ref="AL42">IF(AK42="","",MATCH(AM42,L:L,0))</f>
        <v/>
      </c>
      <c r="AM42" s="35">
        <f t="array" ref="AM42">MAX(IF((B$4:B$1000&lt;=AK42)*(B$4:B$1000&gt;=AJ42),L$4:L$1000, ""))</f>
        <v>0</v>
      </c>
      <c r="AN42" s="32" t="str">
        <f t="shared" si="50"/>
        <v/>
      </c>
      <c r="AO42" s="32" t="str">
        <f t="shared" si="51"/>
        <v/>
      </c>
      <c r="AP42" s="32" t="str">
        <f t="shared" si="52"/>
        <v/>
      </c>
      <c r="AQ42" s="32" t="str">
        <f t="shared" si="53"/>
        <v/>
      </c>
      <c r="AR42" s="32" t="str">
        <f t="shared" si="54"/>
        <v/>
      </c>
      <c r="AS42" s="32" t="str">
        <f t="shared" si="55"/>
        <v/>
      </c>
      <c r="AT42" s="32" t="str">
        <f t="shared" si="56"/>
        <v/>
      </c>
      <c r="AU42" s="34" t="str">
        <f t="shared" si="57"/>
        <v/>
      </c>
      <c r="AV42" s="32" t="str">
        <f t="shared" si="58"/>
        <v/>
      </c>
      <c r="AW42" s="32" t="str">
        <f t="shared" si="59"/>
        <v/>
      </c>
      <c r="AX42" s="32" t="str">
        <f t="shared" si="60"/>
        <v/>
      </c>
      <c r="AY42" s="32" t="str">
        <f t="shared" si="61"/>
        <v/>
      </c>
    </row>
    <row r="43" spans="1:54" x14ac:dyDescent="0.25">
      <c r="A43" s="24" t="str">
        <f t="shared" si="0"/>
        <v/>
      </c>
      <c r="B43" s="24" t="str">
        <f t="shared" si="11"/>
        <v/>
      </c>
      <c r="C43" s="32" t="str">
        <f t="shared" si="1"/>
        <v/>
      </c>
      <c r="D43" s="24" t="str">
        <f t="shared" si="2"/>
        <v/>
      </c>
      <c r="E43" s="24" t="str">
        <f t="shared" si="3"/>
        <v/>
      </c>
      <c r="F43" s="32" t="str">
        <f t="shared" si="4"/>
        <v/>
      </c>
      <c r="G43" s="32" t="str">
        <f t="shared" si="5"/>
        <v/>
      </c>
      <c r="H43" s="32" t="str">
        <f t="shared" ca="1" si="6"/>
        <v/>
      </c>
      <c r="I43" s="32" t="str">
        <f t="shared" ca="1" si="12"/>
        <v/>
      </c>
      <c r="J43" s="32" t="str">
        <f t="shared" si="7"/>
        <v/>
      </c>
      <c r="K43" s="32" t="str">
        <f>IF(ISNUMBER(A43),Profile!$V$25+Profile!$V$24*'Ri-Po'!C43,"")</f>
        <v/>
      </c>
      <c r="L43" s="32" t="str">
        <f t="shared" si="13"/>
        <v/>
      </c>
      <c r="M43" s="32" t="str">
        <f t="shared" si="8"/>
        <v/>
      </c>
      <c r="N43" s="32" t="str">
        <f t="shared" si="9"/>
        <v/>
      </c>
      <c r="O43" s="32" t="str">
        <f t="shared" si="44"/>
        <v/>
      </c>
      <c r="P43" s="32" t="str">
        <f t="shared" si="15"/>
        <v/>
      </c>
      <c r="Q43" s="32" t="str">
        <f t="shared" si="16"/>
        <v/>
      </c>
      <c r="R43" s="32" t="str">
        <f t="shared" si="45"/>
        <v/>
      </c>
      <c r="S43" s="24" t="str">
        <f t="shared" si="46"/>
        <v/>
      </c>
      <c r="T43" s="24" t="str">
        <f t="shared" si="47"/>
        <v/>
      </c>
      <c r="U43" s="24" t="str">
        <f t="shared" si="48"/>
        <v/>
      </c>
      <c r="V43" s="24" t="str">
        <f t="shared" si="49"/>
        <v/>
      </c>
      <c r="W43" s="23" t="str">
        <f t="array" ref="W43">IFERROR(SMALL(IF(S$1:S$1000="BEGIN",ROW(S$1:S$1000)),ROW()-3),"")</f>
        <v/>
      </c>
      <c r="X43" s="23" t="str">
        <f t="array" ref="X43">IFERROR(SMALL(IF(T$1:T$1000="END",ROW(T$1:T$1000)),ROW()-3),"")</f>
        <v/>
      </c>
      <c r="Y43" s="33" t="str">
        <f t="array" ref="Y43">IF(ISNUMBER(W43),MAX(IF((B$4:B$1000&lt;=X43)*(B$4:B$1000&gt;=W43),I$4:I$1000, "")),"")</f>
        <v/>
      </c>
      <c r="Z43" s="33" t="str">
        <f t="shared" si="22"/>
        <v/>
      </c>
      <c r="AA43" s="32" t="str">
        <f t="shared" si="23"/>
        <v/>
      </c>
      <c r="AB43" s="32" t="str">
        <f t="shared" si="24"/>
        <v/>
      </c>
      <c r="AC43" s="32" t="str">
        <f t="shared" si="25"/>
        <v/>
      </c>
      <c r="AD43" s="32" t="str">
        <f t="shared" si="26"/>
        <v/>
      </c>
      <c r="AE43" s="34" t="str">
        <f t="shared" si="27"/>
        <v/>
      </c>
      <c r="AF43" s="32" t="str">
        <f t="shared" si="28"/>
        <v/>
      </c>
      <c r="AG43" s="32" t="str">
        <f t="shared" si="29"/>
        <v/>
      </c>
      <c r="AH43" s="32" t="str">
        <f t="shared" si="30"/>
        <v/>
      </c>
      <c r="AI43" s="35" t="str">
        <f t="shared" si="31"/>
        <v/>
      </c>
      <c r="AJ43" s="23" t="str">
        <f t="array" ref="AJ43">IFERROR(SMALL(IF(U$1:U$1000="BEGIN",ROW(U$1:U$1000)),ROW()-3),"")</f>
        <v/>
      </c>
      <c r="AK43" s="23" t="str">
        <f t="array" ref="AK43">IFERROR(SMALL(IF(V$1:V$1000="END",ROW(V$1:V$1000)),ROW()-3),"")</f>
        <v/>
      </c>
      <c r="AL43" s="24" t="str">
        <f t="array" ref="AL43">IF(AK43="","",MATCH(AM43,L:L,0))</f>
        <v/>
      </c>
      <c r="AM43" s="35">
        <f t="array" ref="AM43">MAX(IF((B$4:B$1000&lt;=AK43)*(B$4:B$1000&gt;=AJ43),L$4:L$1000, ""))</f>
        <v>0</v>
      </c>
      <c r="AN43" s="32" t="str">
        <f t="shared" si="50"/>
        <v/>
      </c>
      <c r="AO43" s="32" t="str">
        <f t="shared" si="51"/>
        <v/>
      </c>
      <c r="AP43" s="32" t="str">
        <f t="shared" si="52"/>
        <v/>
      </c>
      <c r="AQ43" s="32" t="str">
        <f t="shared" si="53"/>
        <v/>
      </c>
      <c r="AR43" s="32" t="str">
        <f t="shared" si="54"/>
        <v/>
      </c>
      <c r="AS43" s="32" t="str">
        <f t="shared" si="55"/>
        <v/>
      </c>
      <c r="AT43" s="32" t="str">
        <f t="shared" si="56"/>
        <v/>
      </c>
      <c r="AU43" s="34" t="str">
        <f t="shared" si="57"/>
        <v/>
      </c>
      <c r="AV43" s="32" t="str">
        <f t="shared" si="58"/>
        <v/>
      </c>
      <c r="AW43" s="32" t="str">
        <f t="shared" si="59"/>
        <v/>
      </c>
      <c r="AX43" s="32" t="str">
        <f t="shared" si="60"/>
        <v/>
      </c>
      <c r="AY43" s="32" t="str">
        <f t="shared" si="61"/>
        <v/>
      </c>
    </row>
    <row r="44" spans="1:54" x14ac:dyDescent="0.25">
      <c r="A44" s="24" t="str">
        <f t="shared" si="0"/>
        <v/>
      </c>
      <c r="B44" s="24" t="str">
        <f t="shared" si="11"/>
        <v/>
      </c>
      <c r="C44" s="32" t="str">
        <f t="shared" si="1"/>
        <v/>
      </c>
      <c r="D44" s="24" t="str">
        <f t="shared" si="2"/>
        <v/>
      </c>
      <c r="E44" s="24" t="str">
        <f t="shared" si="3"/>
        <v/>
      </c>
      <c r="F44" s="32" t="str">
        <f t="shared" si="4"/>
        <v/>
      </c>
      <c r="G44" s="32" t="str">
        <f t="shared" si="5"/>
        <v/>
      </c>
      <c r="H44" s="32" t="str">
        <f t="shared" ca="1" si="6"/>
        <v/>
      </c>
      <c r="I44" s="32" t="str">
        <f t="shared" ca="1" si="12"/>
        <v/>
      </c>
      <c r="J44" s="32" t="str">
        <f t="shared" si="7"/>
        <v/>
      </c>
      <c r="K44" s="32" t="str">
        <f>IF(ISNUMBER(A44),Profile!$V$25+Profile!$V$24*'Ri-Po'!C44,"")</f>
        <v/>
      </c>
      <c r="L44" s="32" t="str">
        <f t="shared" si="13"/>
        <v/>
      </c>
      <c r="M44" s="32" t="str">
        <f t="shared" si="8"/>
        <v/>
      </c>
      <c r="N44" s="32" t="str">
        <f t="shared" si="9"/>
        <v/>
      </c>
      <c r="O44" s="32" t="str">
        <f t="shared" si="44"/>
        <v/>
      </c>
      <c r="P44" s="32" t="str">
        <f t="shared" si="15"/>
        <v/>
      </c>
      <c r="Q44" s="32" t="str">
        <f t="shared" si="16"/>
        <v/>
      </c>
      <c r="R44" s="32" t="str">
        <f t="shared" si="45"/>
        <v/>
      </c>
      <c r="S44" s="24" t="str">
        <f t="shared" si="46"/>
        <v/>
      </c>
      <c r="T44" s="24" t="str">
        <f t="shared" si="47"/>
        <v/>
      </c>
      <c r="U44" s="24" t="str">
        <f t="shared" si="48"/>
        <v/>
      </c>
      <c r="V44" s="24" t="str">
        <f t="shared" si="49"/>
        <v/>
      </c>
      <c r="W44" s="23" t="str">
        <f t="array" ref="W44">IFERROR(SMALL(IF(S$1:S$1000="BEGIN",ROW(S$1:S$1000)),ROW()-3),"")</f>
        <v/>
      </c>
      <c r="X44" s="23" t="str">
        <f t="array" ref="X44">IFERROR(SMALL(IF(T$1:T$1000="END",ROW(T$1:T$1000)),ROW()-3),"")</f>
        <v/>
      </c>
      <c r="Y44" s="33" t="str">
        <f t="array" ref="Y44">IF(ISNUMBER(W44),MAX(IF((B$4:B$1000&lt;=X44)*(B$4:B$1000&gt;=W44),I$4:I$1000, "")),"")</f>
        <v/>
      </c>
      <c r="Z44" s="33" t="str">
        <f t="shared" si="22"/>
        <v/>
      </c>
      <c r="AA44" s="32" t="str">
        <f t="shared" si="23"/>
        <v/>
      </c>
      <c r="AB44" s="32" t="str">
        <f t="shared" si="24"/>
        <v/>
      </c>
      <c r="AC44" s="32" t="str">
        <f t="shared" si="25"/>
        <v/>
      </c>
      <c r="AD44" s="32" t="str">
        <f t="shared" si="26"/>
        <v/>
      </c>
      <c r="AE44" s="34" t="str">
        <f t="shared" si="27"/>
        <v/>
      </c>
      <c r="AF44" s="32" t="str">
        <f t="shared" si="28"/>
        <v/>
      </c>
      <c r="AG44" s="32" t="str">
        <f t="shared" si="29"/>
        <v/>
      </c>
      <c r="AH44" s="32" t="str">
        <f t="shared" si="30"/>
        <v/>
      </c>
      <c r="AI44" s="35" t="str">
        <f t="shared" si="31"/>
        <v/>
      </c>
      <c r="AJ44" s="23" t="str">
        <f t="array" ref="AJ44">IFERROR(SMALL(IF(U$1:U$1000="BEGIN",ROW(U$1:U$1000)),ROW()-3),"")</f>
        <v/>
      </c>
      <c r="AK44" s="23" t="str">
        <f t="array" ref="AK44">IFERROR(SMALL(IF(V$1:V$1000="END",ROW(V$1:V$1000)),ROW()-3),"")</f>
        <v/>
      </c>
      <c r="AL44" s="24" t="str">
        <f t="array" ref="AL44">IF(AK44="","",MATCH(AM44,L:L,0))</f>
        <v/>
      </c>
      <c r="AM44" s="35">
        <f t="array" ref="AM44">MAX(IF((B$4:B$1000&lt;=AK44)*(B$4:B$1000&gt;=AJ44),L$4:L$1000, ""))</f>
        <v>0</v>
      </c>
      <c r="AN44" s="32" t="str">
        <f t="shared" si="50"/>
        <v/>
      </c>
      <c r="AO44" s="32" t="str">
        <f t="shared" si="51"/>
        <v/>
      </c>
      <c r="AP44" s="32" t="str">
        <f t="shared" si="52"/>
        <v/>
      </c>
      <c r="AQ44" s="32" t="str">
        <f t="shared" si="53"/>
        <v/>
      </c>
      <c r="AR44" s="32" t="str">
        <f t="shared" si="54"/>
        <v/>
      </c>
      <c r="AS44" s="32" t="str">
        <f t="shared" si="55"/>
        <v/>
      </c>
      <c r="AT44" s="32" t="str">
        <f t="shared" si="56"/>
        <v/>
      </c>
      <c r="AU44" s="34" t="str">
        <f t="shared" si="57"/>
        <v/>
      </c>
      <c r="AV44" s="32" t="str">
        <f t="shared" si="58"/>
        <v/>
      </c>
      <c r="AW44" s="32" t="str">
        <f t="shared" si="59"/>
        <v/>
      </c>
      <c r="AX44" s="32" t="str">
        <f t="shared" si="60"/>
        <v/>
      </c>
      <c r="AY44" s="32" t="str">
        <f t="shared" si="61"/>
        <v/>
      </c>
    </row>
    <row r="45" spans="1:54" x14ac:dyDescent="0.25">
      <c r="A45" s="24" t="str">
        <f t="shared" si="0"/>
        <v/>
      </c>
      <c r="B45" s="24" t="str">
        <f t="shared" si="11"/>
        <v/>
      </c>
      <c r="C45" s="32" t="str">
        <f t="shared" si="1"/>
        <v/>
      </c>
      <c r="D45" s="24" t="str">
        <f t="shared" si="2"/>
        <v/>
      </c>
      <c r="E45" s="24" t="str">
        <f t="shared" si="3"/>
        <v/>
      </c>
      <c r="F45" s="32" t="str">
        <f t="shared" si="4"/>
        <v/>
      </c>
      <c r="G45" s="32" t="str">
        <f t="shared" si="5"/>
        <v/>
      </c>
      <c r="H45" s="32" t="str">
        <f t="shared" ca="1" si="6"/>
        <v/>
      </c>
      <c r="I45" s="32" t="str">
        <f t="shared" ca="1" si="12"/>
        <v/>
      </c>
      <c r="J45" s="32" t="str">
        <f t="shared" si="7"/>
        <v/>
      </c>
      <c r="K45" s="32" t="str">
        <f>IF(ISNUMBER(A45),Profile!$V$25+Profile!$V$24*'Ri-Po'!C45,"")</f>
        <v/>
      </c>
      <c r="L45" s="32" t="str">
        <f t="shared" si="13"/>
        <v/>
      </c>
      <c r="M45" s="32" t="str">
        <f t="shared" si="8"/>
        <v/>
      </c>
      <c r="N45" s="32" t="str">
        <f t="shared" si="9"/>
        <v/>
      </c>
      <c r="O45" s="32" t="str">
        <f t="shared" si="44"/>
        <v/>
      </c>
      <c r="P45" s="32" t="str">
        <f t="shared" si="15"/>
        <v/>
      </c>
      <c r="Q45" s="32" t="str">
        <f t="shared" si="16"/>
        <v/>
      </c>
      <c r="R45" s="32" t="str">
        <f t="shared" si="45"/>
        <v/>
      </c>
      <c r="S45" s="24" t="str">
        <f t="shared" si="46"/>
        <v/>
      </c>
      <c r="T45" s="24" t="str">
        <f t="shared" si="47"/>
        <v/>
      </c>
      <c r="U45" s="24" t="str">
        <f t="shared" si="48"/>
        <v/>
      </c>
      <c r="V45" s="24" t="str">
        <f t="shared" si="49"/>
        <v/>
      </c>
      <c r="W45" s="23" t="str">
        <f t="array" ref="W45">IFERROR(SMALL(IF(S$1:S$1000="BEGIN",ROW(S$1:S$1000)),ROW()-3),"")</f>
        <v/>
      </c>
      <c r="X45" s="23" t="str">
        <f t="array" ref="X45">IFERROR(SMALL(IF(T$1:T$1000="END",ROW(T$1:T$1000)),ROW()-3),"")</f>
        <v/>
      </c>
      <c r="Y45" s="33" t="str">
        <f t="array" ref="Y45">IF(ISNUMBER(W45),MAX(IF((B$4:B$1000&lt;=X45)*(B$4:B$1000&gt;=W45),I$4:I$1000, "")),"")</f>
        <v/>
      </c>
      <c r="Z45" s="33" t="str">
        <f t="shared" si="22"/>
        <v/>
      </c>
      <c r="AA45" s="32" t="str">
        <f t="shared" si="23"/>
        <v/>
      </c>
      <c r="AB45" s="32" t="str">
        <f t="shared" si="24"/>
        <v/>
      </c>
      <c r="AC45" s="32" t="str">
        <f t="shared" si="25"/>
        <v/>
      </c>
      <c r="AD45" s="32" t="str">
        <f t="shared" si="26"/>
        <v/>
      </c>
      <c r="AE45" s="34" t="str">
        <f t="shared" si="27"/>
        <v/>
      </c>
      <c r="AF45" s="32" t="str">
        <f t="shared" si="28"/>
        <v/>
      </c>
      <c r="AG45" s="32" t="str">
        <f t="shared" si="29"/>
        <v/>
      </c>
      <c r="AH45" s="32" t="str">
        <f t="shared" si="30"/>
        <v/>
      </c>
      <c r="AI45" s="35" t="str">
        <f t="shared" si="31"/>
        <v/>
      </c>
      <c r="AJ45" s="23" t="str">
        <f t="array" ref="AJ45">IFERROR(SMALL(IF(U$1:U$1000="BEGIN",ROW(U$1:U$1000)),ROW()-3),"")</f>
        <v/>
      </c>
      <c r="AK45" s="23" t="str">
        <f t="array" ref="AK45">IFERROR(SMALL(IF(V$1:V$1000="END",ROW(V$1:V$1000)),ROW()-3),"")</f>
        <v/>
      </c>
      <c r="AL45" s="24" t="str">
        <f t="array" ref="AL45">IF(AK45="","",MATCH(AM45,L:L,0))</f>
        <v/>
      </c>
      <c r="AM45" s="35">
        <f t="array" ref="AM45">MAX(IF((B$4:B$1000&lt;=AK45)*(B$4:B$1000&gt;=AJ45),L$4:L$1000, ""))</f>
        <v>0</v>
      </c>
      <c r="AN45" s="32" t="str">
        <f t="shared" si="50"/>
        <v/>
      </c>
      <c r="AO45" s="32" t="str">
        <f t="shared" si="51"/>
        <v/>
      </c>
      <c r="AP45" s="32" t="str">
        <f t="shared" si="52"/>
        <v/>
      </c>
      <c r="AQ45" s="32" t="str">
        <f t="shared" si="53"/>
        <v/>
      </c>
      <c r="AR45" s="32" t="str">
        <f t="shared" si="54"/>
        <v/>
      </c>
      <c r="AS45" s="32" t="str">
        <f t="shared" si="55"/>
        <v/>
      </c>
      <c r="AT45" s="32" t="str">
        <f t="shared" si="56"/>
        <v/>
      </c>
      <c r="AU45" s="34" t="str">
        <f t="shared" si="57"/>
        <v/>
      </c>
      <c r="AV45" s="32" t="str">
        <f t="shared" si="58"/>
        <v/>
      </c>
      <c r="AW45" s="32" t="str">
        <f t="shared" si="59"/>
        <v/>
      </c>
      <c r="AX45" s="32" t="str">
        <f t="shared" si="60"/>
        <v/>
      </c>
      <c r="AY45" s="32" t="str">
        <f t="shared" si="61"/>
        <v/>
      </c>
    </row>
    <row r="46" spans="1:54" x14ac:dyDescent="0.25">
      <c r="A46" s="24" t="str">
        <f t="shared" si="0"/>
        <v/>
      </c>
      <c r="B46" s="24" t="str">
        <f t="shared" si="11"/>
        <v/>
      </c>
      <c r="C46" s="32" t="str">
        <f t="shared" si="1"/>
        <v/>
      </c>
      <c r="D46" s="24" t="str">
        <f t="shared" si="2"/>
        <v/>
      </c>
      <c r="E46" s="24" t="str">
        <f t="shared" si="3"/>
        <v/>
      </c>
      <c r="F46" s="32" t="str">
        <f t="shared" si="4"/>
        <v/>
      </c>
      <c r="G46" s="32" t="str">
        <f t="shared" si="5"/>
        <v/>
      </c>
      <c r="H46" s="32" t="str">
        <f t="shared" ca="1" si="6"/>
        <v/>
      </c>
      <c r="I46" s="32" t="str">
        <f t="shared" ca="1" si="12"/>
        <v/>
      </c>
      <c r="J46" s="32" t="str">
        <f t="shared" si="7"/>
        <v/>
      </c>
      <c r="K46" s="32" t="str">
        <f>IF(ISNUMBER(A46),Profile!$V$25+Profile!$V$24*'Ri-Po'!C46,"")</f>
        <v/>
      </c>
      <c r="L46" s="32" t="str">
        <f t="shared" si="13"/>
        <v/>
      </c>
      <c r="M46" s="32" t="str">
        <f t="shared" si="8"/>
        <v/>
      </c>
      <c r="N46" s="32" t="str">
        <f t="shared" si="9"/>
        <v/>
      </c>
      <c r="O46" s="32" t="str">
        <f t="shared" si="44"/>
        <v/>
      </c>
      <c r="P46" s="32" t="str">
        <f t="shared" si="15"/>
        <v/>
      </c>
      <c r="Q46" s="32" t="str">
        <f t="shared" si="16"/>
        <v/>
      </c>
      <c r="R46" s="32" t="str">
        <f t="shared" si="45"/>
        <v/>
      </c>
      <c r="S46" s="24" t="str">
        <f t="shared" si="46"/>
        <v/>
      </c>
      <c r="T46" s="24" t="str">
        <f t="shared" si="47"/>
        <v/>
      </c>
      <c r="U46" s="24" t="str">
        <f t="shared" si="48"/>
        <v/>
      </c>
      <c r="V46" s="24" t="str">
        <f t="shared" si="49"/>
        <v/>
      </c>
      <c r="W46" s="23" t="str">
        <f t="array" ref="W46">IFERROR(SMALL(IF(S$1:S$1000="BEGIN",ROW(S$1:S$1000)),ROW()-3),"")</f>
        <v/>
      </c>
      <c r="X46" s="23" t="str">
        <f t="array" ref="X46">IFERROR(SMALL(IF(T$1:T$1000="END",ROW(T$1:T$1000)),ROW()-3),"")</f>
        <v/>
      </c>
      <c r="Y46" s="33" t="str">
        <f t="array" ref="Y46">IF(ISNUMBER(W46),MAX(IF((B$4:B$1000&lt;=X46)*(B$4:B$1000&gt;=W46),I$4:I$1000, "")),"")</f>
        <v/>
      </c>
      <c r="Z46" s="33" t="str">
        <f t="shared" si="22"/>
        <v/>
      </c>
      <c r="AA46" s="32" t="str">
        <f t="shared" si="23"/>
        <v/>
      </c>
      <c r="AB46" s="32" t="str">
        <f t="shared" si="24"/>
        <v/>
      </c>
      <c r="AC46" s="32" t="str">
        <f t="shared" si="25"/>
        <v/>
      </c>
      <c r="AD46" s="32" t="str">
        <f t="shared" si="26"/>
        <v/>
      </c>
      <c r="AE46" s="34" t="str">
        <f t="shared" si="27"/>
        <v/>
      </c>
      <c r="AF46" s="32" t="str">
        <f t="shared" si="28"/>
        <v/>
      </c>
      <c r="AG46" s="32" t="str">
        <f t="shared" si="29"/>
        <v/>
      </c>
      <c r="AH46" s="32" t="str">
        <f t="shared" si="30"/>
        <v/>
      </c>
      <c r="AI46" s="35" t="str">
        <f t="shared" si="31"/>
        <v/>
      </c>
      <c r="AJ46" s="23" t="str">
        <f t="array" ref="AJ46">IFERROR(SMALL(IF(U$1:U$1000="BEGIN",ROW(U$1:U$1000)),ROW()-3),"")</f>
        <v/>
      </c>
      <c r="AK46" s="23" t="str">
        <f t="array" ref="AK46">IFERROR(SMALL(IF(V$1:V$1000="END",ROW(V$1:V$1000)),ROW()-3),"")</f>
        <v/>
      </c>
      <c r="AL46" s="24" t="str">
        <f t="array" ref="AL46">IF(AK46="","",MATCH(AM46,L:L,0))</f>
        <v/>
      </c>
      <c r="AM46" s="35">
        <f t="array" ref="AM46">MAX(IF((B$4:B$1000&lt;=AK46)*(B$4:B$1000&gt;=AJ46),L$4:L$1000, ""))</f>
        <v>0</v>
      </c>
      <c r="AN46" s="32" t="str">
        <f t="shared" si="50"/>
        <v/>
      </c>
      <c r="AO46" s="32" t="str">
        <f t="shared" si="51"/>
        <v/>
      </c>
      <c r="AP46" s="32" t="str">
        <f t="shared" si="52"/>
        <v/>
      </c>
      <c r="AQ46" s="32" t="str">
        <f t="shared" si="53"/>
        <v/>
      </c>
      <c r="AR46" s="32" t="str">
        <f t="shared" si="54"/>
        <v/>
      </c>
      <c r="AS46" s="32" t="str">
        <f t="shared" si="55"/>
        <v/>
      </c>
      <c r="AT46" s="32" t="str">
        <f t="shared" si="56"/>
        <v/>
      </c>
      <c r="AU46" s="34" t="str">
        <f t="shared" si="57"/>
        <v/>
      </c>
      <c r="AV46" s="32" t="str">
        <f t="shared" si="58"/>
        <v/>
      </c>
      <c r="AW46" s="32" t="str">
        <f t="shared" si="59"/>
        <v/>
      </c>
      <c r="AX46" s="32" t="str">
        <f t="shared" si="60"/>
        <v/>
      </c>
      <c r="AY46" s="32" t="str">
        <f t="shared" si="61"/>
        <v/>
      </c>
    </row>
    <row r="47" spans="1:54" x14ac:dyDescent="0.25">
      <c r="A47" s="24" t="str">
        <f t="shared" si="0"/>
        <v/>
      </c>
      <c r="B47" s="24" t="str">
        <f t="shared" si="11"/>
        <v/>
      </c>
      <c r="C47" s="32" t="str">
        <f t="shared" si="1"/>
        <v/>
      </c>
      <c r="D47" s="24" t="str">
        <f t="shared" si="2"/>
        <v/>
      </c>
      <c r="E47" s="24" t="str">
        <f t="shared" si="3"/>
        <v/>
      </c>
      <c r="F47" s="32" t="str">
        <f t="shared" si="4"/>
        <v/>
      </c>
      <c r="G47" s="32" t="str">
        <f t="shared" si="5"/>
        <v/>
      </c>
      <c r="H47" s="32" t="str">
        <f t="shared" ca="1" si="6"/>
        <v/>
      </c>
      <c r="I47" s="32" t="str">
        <f t="shared" ca="1" si="12"/>
        <v/>
      </c>
      <c r="J47" s="32" t="str">
        <f t="shared" si="7"/>
        <v/>
      </c>
      <c r="K47" s="32" t="str">
        <f>IF(ISNUMBER(A47),Profile!$V$25+Profile!$V$24*'Ri-Po'!C47,"")</f>
        <v/>
      </c>
      <c r="L47" s="32" t="str">
        <f t="shared" si="13"/>
        <v/>
      </c>
      <c r="M47" s="32" t="str">
        <f t="shared" si="8"/>
        <v/>
      </c>
      <c r="N47" s="32" t="str">
        <f t="shared" si="9"/>
        <v/>
      </c>
      <c r="O47" s="32" t="str">
        <f t="shared" si="44"/>
        <v/>
      </c>
      <c r="P47" s="32" t="str">
        <f t="shared" si="15"/>
        <v/>
      </c>
      <c r="Q47" s="32" t="str">
        <f t="shared" si="16"/>
        <v/>
      </c>
      <c r="R47" s="32" t="str">
        <f t="shared" si="45"/>
        <v/>
      </c>
      <c r="S47" s="24" t="str">
        <f t="shared" si="46"/>
        <v/>
      </c>
      <c r="T47" s="24" t="str">
        <f t="shared" si="47"/>
        <v/>
      </c>
      <c r="U47" s="24" t="str">
        <f t="shared" si="48"/>
        <v/>
      </c>
      <c r="V47" s="24" t="str">
        <f t="shared" si="49"/>
        <v/>
      </c>
      <c r="W47" s="23" t="str">
        <f t="array" ref="W47">IFERROR(SMALL(IF(S$1:S$1000="BEGIN",ROW(S$1:S$1000)),ROW()-3),"")</f>
        <v/>
      </c>
      <c r="X47" s="23" t="str">
        <f t="array" ref="X47">IFERROR(SMALL(IF(T$1:T$1000="END",ROW(T$1:T$1000)),ROW()-3),"")</f>
        <v/>
      </c>
      <c r="Y47" s="33" t="str">
        <f t="array" ref="Y47">IF(ISNUMBER(W47),MAX(IF((B$4:B$1000&lt;=X47)*(B$4:B$1000&gt;=W47),I$4:I$1000, "")),"")</f>
        <v/>
      </c>
      <c r="Z47" s="33" t="str">
        <f t="shared" si="22"/>
        <v/>
      </c>
      <c r="AA47" s="32" t="str">
        <f t="shared" si="23"/>
        <v/>
      </c>
      <c r="AB47" s="32" t="str">
        <f t="shared" si="24"/>
        <v/>
      </c>
      <c r="AC47" s="32" t="str">
        <f t="shared" si="25"/>
        <v/>
      </c>
      <c r="AD47" s="32" t="str">
        <f t="shared" si="26"/>
        <v/>
      </c>
      <c r="AE47" s="34" t="str">
        <f t="shared" si="27"/>
        <v/>
      </c>
      <c r="AF47" s="32" t="str">
        <f t="shared" si="28"/>
        <v/>
      </c>
      <c r="AG47" s="32" t="str">
        <f t="shared" si="29"/>
        <v/>
      </c>
      <c r="AH47" s="32" t="str">
        <f t="shared" si="30"/>
        <v/>
      </c>
      <c r="AI47" s="35" t="str">
        <f t="shared" si="31"/>
        <v/>
      </c>
      <c r="AJ47" s="23" t="str">
        <f t="array" ref="AJ47">IFERROR(SMALL(IF(U$1:U$1000="BEGIN",ROW(U$1:U$1000)),ROW()-3),"")</f>
        <v/>
      </c>
      <c r="AK47" s="23" t="str">
        <f t="array" ref="AK47">IFERROR(SMALL(IF(V$1:V$1000="END",ROW(V$1:V$1000)),ROW()-3),"")</f>
        <v/>
      </c>
      <c r="AL47" s="24" t="str">
        <f t="array" ref="AL47">IF(AK47="","",MATCH(AM47,L:L,0))</f>
        <v/>
      </c>
      <c r="AM47" s="35">
        <f t="array" ref="AM47">MAX(IF((B$4:B$1000&lt;=AK47)*(B$4:B$1000&gt;=AJ47),L$4:L$1000, ""))</f>
        <v>0</v>
      </c>
      <c r="AN47" s="32" t="str">
        <f t="shared" si="50"/>
        <v/>
      </c>
      <c r="AO47" s="32" t="str">
        <f t="shared" si="51"/>
        <v/>
      </c>
      <c r="AP47" s="32" t="str">
        <f t="shared" si="52"/>
        <v/>
      </c>
      <c r="AQ47" s="32" t="str">
        <f t="shared" si="53"/>
        <v/>
      </c>
      <c r="AR47" s="32" t="str">
        <f t="shared" si="54"/>
        <v/>
      </c>
      <c r="AS47" s="32" t="str">
        <f t="shared" si="55"/>
        <v/>
      </c>
      <c r="AT47" s="32" t="str">
        <f t="shared" si="56"/>
        <v/>
      </c>
      <c r="AU47" s="34" t="str">
        <f t="shared" si="57"/>
        <v/>
      </c>
      <c r="AV47" s="32" t="str">
        <f t="shared" si="58"/>
        <v/>
      </c>
      <c r="AW47" s="32" t="str">
        <f t="shared" si="59"/>
        <v/>
      </c>
      <c r="AX47" s="32" t="str">
        <f t="shared" si="60"/>
        <v/>
      </c>
      <c r="AY47" s="32" t="str">
        <f t="shared" si="61"/>
        <v/>
      </c>
    </row>
    <row r="48" spans="1:54" x14ac:dyDescent="0.25">
      <c r="A48" s="24" t="str">
        <f t="shared" si="0"/>
        <v/>
      </c>
      <c r="B48" s="24" t="str">
        <f t="shared" si="11"/>
        <v/>
      </c>
      <c r="C48" s="32" t="str">
        <f t="shared" si="1"/>
        <v/>
      </c>
      <c r="D48" s="24" t="str">
        <f t="shared" si="2"/>
        <v/>
      </c>
      <c r="E48" s="24" t="str">
        <f t="shared" si="3"/>
        <v/>
      </c>
      <c r="F48" s="32" t="str">
        <f t="shared" si="4"/>
        <v/>
      </c>
      <c r="G48" s="32" t="str">
        <f t="shared" si="5"/>
        <v/>
      </c>
      <c r="H48" s="32" t="str">
        <f t="shared" ca="1" si="6"/>
        <v/>
      </c>
      <c r="I48" s="32" t="str">
        <f t="shared" ca="1" si="12"/>
        <v/>
      </c>
      <c r="J48" s="32" t="str">
        <f t="shared" si="7"/>
        <v/>
      </c>
      <c r="K48" s="32" t="str">
        <f>IF(ISNUMBER(A48),Profile!$V$25+Profile!$V$24*'Ri-Po'!C48,"")</f>
        <v/>
      </c>
      <c r="L48" s="32" t="str">
        <f t="shared" si="13"/>
        <v/>
      </c>
      <c r="M48" s="32" t="str">
        <f t="shared" si="8"/>
        <v/>
      </c>
      <c r="N48" s="32" t="str">
        <f t="shared" si="9"/>
        <v/>
      </c>
      <c r="O48" s="32" t="str">
        <f t="shared" si="44"/>
        <v/>
      </c>
      <c r="P48" s="32" t="str">
        <f t="shared" si="15"/>
        <v/>
      </c>
      <c r="Q48" s="32" t="str">
        <f t="shared" si="16"/>
        <v/>
      </c>
      <c r="R48" s="32" t="str">
        <f t="shared" si="45"/>
        <v/>
      </c>
      <c r="S48" s="24" t="str">
        <f t="shared" si="46"/>
        <v/>
      </c>
      <c r="T48" s="24" t="str">
        <f t="shared" si="47"/>
        <v/>
      </c>
      <c r="U48" s="24" t="str">
        <f t="shared" si="48"/>
        <v/>
      </c>
      <c r="V48" s="24" t="str">
        <f t="shared" si="49"/>
        <v/>
      </c>
      <c r="W48" s="23" t="str">
        <f t="array" ref="W48">IFERROR(SMALL(IF(S$1:S$1000="BEGIN",ROW(S$1:S$1000)),ROW()-3),"")</f>
        <v/>
      </c>
      <c r="X48" s="23" t="str">
        <f t="array" ref="X48">IFERROR(SMALL(IF(T$1:T$1000="END",ROW(T$1:T$1000)),ROW()-3),"")</f>
        <v/>
      </c>
      <c r="Y48" s="33" t="str">
        <f t="array" ref="Y48">IF(ISNUMBER(W48),MAX(IF((B$4:B$1000&lt;=X48)*(B$4:B$1000&gt;=W48),I$4:I$1000, "")),"")</f>
        <v/>
      </c>
      <c r="Z48" s="33" t="str">
        <f t="shared" si="22"/>
        <v/>
      </c>
      <c r="AA48" s="32" t="str">
        <f t="shared" si="23"/>
        <v/>
      </c>
      <c r="AB48" s="32" t="str">
        <f t="shared" si="24"/>
        <v/>
      </c>
      <c r="AC48" s="32" t="str">
        <f t="shared" si="25"/>
        <v/>
      </c>
      <c r="AD48" s="32" t="str">
        <f t="shared" si="26"/>
        <v/>
      </c>
      <c r="AE48" s="34" t="str">
        <f t="shared" si="27"/>
        <v/>
      </c>
      <c r="AF48" s="32" t="str">
        <f t="shared" si="28"/>
        <v/>
      </c>
      <c r="AG48" s="32" t="str">
        <f t="shared" si="29"/>
        <v/>
      </c>
      <c r="AH48" s="32" t="str">
        <f t="shared" si="30"/>
        <v/>
      </c>
      <c r="AI48" s="35" t="str">
        <f t="shared" si="31"/>
        <v/>
      </c>
      <c r="AJ48" s="23" t="str">
        <f t="array" ref="AJ48">IFERROR(SMALL(IF(U$1:U$1000="BEGIN",ROW(U$1:U$1000)),ROW()-3),"")</f>
        <v/>
      </c>
      <c r="AK48" s="23" t="str">
        <f t="array" ref="AK48">IFERROR(SMALL(IF(V$1:V$1000="END",ROW(V$1:V$1000)),ROW()-3),"")</f>
        <v/>
      </c>
      <c r="AL48" s="24" t="str">
        <f t="array" ref="AL48">IF(AK48="","",MATCH(AM48,L:L,0))</f>
        <v/>
      </c>
      <c r="AM48" s="35">
        <f t="array" ref="AM48">MAX(IF((B$4:B$1000&lt;=AK48)*(B$4:B$1000&gt;=AJ48),L$4:L$1000, ""))</f>
        <v>0</v>
      </c>
      <c r="AN48" s="32" t="str">
        <f t="shared" si="50"/>
        <v/>
      </c>
      <c r="AO48" s="32" t="str">
        <f t="shared" si="51"/>
        <v/>
      </c>
      <c r="AP48" s="32" t="str">
        <f t="shared" si="52"/>
        <v/>
      </c>
      <c r="AQ48" s="32" t="str">
        <f t="shared" si="53"/>
        <v/>
      </c>
      <c r="AR48" s="32" t="str">
        <f t="shared" si="54"/>
        <v/>
      </c>
      <c r="AS48" s="32" t="str">
        <f t="shared" si="55"/>
        <v/>
      </c>
      <c r="AT48" s="32" t="str">
        <f t="shared" si="56"/>
        <v/>
      </c>
      <c r="AU48" s="34" t="str">
        <f t="shared" si="57"/>
        <v/>
      </c>
      <c r="AV48" s="32" t="str">
        <f t="shared" si="58"/>
        <v/>
      </c>
      <c r="AW48" s="32" t="str">
        <f t="shared" si="59"/>
        <v/>
      </c>
      <c r="AX48" s="32" t="str">
        <f t="shared" si="60"/>
        <v/>
      </c>
      <c r="AY48" s="32" t="str">
        <f t="shared" si="61"/>
        <v/>
      </c>
    </row>
    <row r="49" spans="1:51" x14ac:dyDescent="0.25">
      <c r="A49" s="24" t="str">
        <f t="shared" si="0"/>
        <v/>
      </c>
      <c r="B49" s="24" t="str">
        <f t="shared" si="11"/>
        <v/>
      </c>
      <c r="C49" s="32" t="str">
        <f t="shared" si="1"/>
        <v/>
      </c>
      <c r="D49" s="24" t="str">
        <f t="shared" si="2"/>
        <v/>
      </c>
      <c r="E49" s="24" t="str">
        <f t="shared" si="3"/>
        <v/>
      </c>
      <c r="F49" s="32" t="str">
        <f t="shared" si="4"/>
        <v/>
      </c>
      <c r="G49" s="32" t="str">
        <f t="shared" si="5"/>
        <v/>
      </c>
      <c r="H49" s="32" t="str">
        <f t="shared" ca="1" si="6"/>
        <v/>
      </c>
      <c r="I49" s="32" t="str">
        <f t="shared" ca="1" si="12"/>
        <v/>
      </c>
      <c r="J49" s="32" t="str">
        <f t="shared" si="7"/>
        <v/>
      </c>
      <c r="K49" s="32" t="str">
        <f>IF(ISNUMBER(A49),Profile!$V$25+Profile!$V$24*'Ri-Po'!C49,"")</f>
        <v/>
      </c>
      <c r="L49" s="32" t="str">
        <f t="shared" si="13"/>
        <v/>
      </c>
      <c r="M49" s="32" t="str">
        <f t="shared" si="8"/>
        <v/>
      </c>
      <c r="N49" s="32" t="str">
        <f t="shared" si="9"/>
        <v/>
      </c>
      <c r="O49" s="32" t="str">
        <f t="shared" si="44"/>
        <v/>
      </c>
      <c r="P49" s="32" t="str">
        <f t="shared" si="15"/>
        <v/>
      </c>
      <c r="Q49" s="32" t="str">
        <f t="shared" si="16"/>
        <v/>
      </c>
      <c r="R49" s="32" t="str">
        <f t="shared" si="45"/>
        <v/>
      </c>
      <c r="S49" s="24" t="str">
        <f t="shared" si="46"/>
        <v/>
      </c>
      <c r="T49" s="24" t="str">
        <f t="shared" si="47"/>
        <v/>
      </c>
      <c r="U49" s="24" t="str">
        <f t="shared" si="48"/>
        <v/>
      </c>
      <c r="V49" s="24" t="str">
        <f t="shared" si="49"/>
        <v/>
      </c>
      <c r="W49" s="23" t="str">
        <f t="array" ref="W49">IFERROR(SMALL(IF(S$1:S$1000="BEGIN",ROW(S$1:S$1000)),ROW()-3),"")</f>
        <v/>
      </c>
      <c r="X49" s="23" t="str">
        <f t="array" ref="X49">IFERROR(SMALL(IF(T$1:T$1000="END",ROW(T$1:T$1000)),ROW()-3),"")</f>
        <v/>
      </c>
      <c r="Y49" s="33" t="str">
        <f t="array" ref="Y49">IF(ISNUMBER(W49),MAX(IF((B$4:B$1000&lt;=X49)*(B$4:B$1000&gt;=W49),I$4:I$1000, "")),"")</f>
        <v/>
      </c>
      <c r="Z49" s="33" t="str">
        <f t="shared" si="22"/>
        <v/>
      </c>
      <c r="AA49" s="32" t="str">
        <f t="shared" si="23"/>
        <v/>
      </c>
      <c r="AB49" s="32" t="str">
        <f t="shared" si="24"/>
        <v/>
      </c>
      <c r="AC49" s="32" t="str">
        <f t="shared" si="25"/>
        <v/>
      </c>
      <c r="AD49" s="32" t="str">
        <f t="shared" si="26"/>
        <v/>
      </c>
      <c r="AE49" s="34" t="str">
        <f t="shared" si="27"/>
        <v/>
      </c>
      <c r="AF49" s="32" t="str">
        <f t="shared" si="28"/>
        <v/>
      </c>
      <c r="AG49" s="32" t="str">
        <f t="shared" si="29"/>
        <v/>
      </c>
      <c r="AH49" s="32" t="str">
        <f t="shared" si="30"/>
        <v/>
      </c>
      <c r="AI49" s="35" t="str">
        <f t="shared" si="31"/>
        <v/>
      </c>
      <c r="AJ49" s="23" t="str">
        <f t="array" ref="AJ49">IFERROR(SMALL(IF(U$1:U$1000="BEGIN",ROW(U$1:U$1000)),ROW()-3),"")</f>
        <v/>
      </c>
      <c r="AK49" s="23" t="str">
        <f t="array" ref="AK49">IFERROR(SMALL(IF(V$1:V$1000="END",ROW(V$1:V$1000)),ROW()-3),"")</f>
        <v/>
      </c>
      <c r="AL49" s="24" t="str">
        <f t="array" ref="AL49">IF(AK49="","",MATCH(AM49,L:L,0))</f>
        <v/>
      </c>
      <c r="AM49" s="35">
        <f t="array" ref="AM49">MAX(IF((B$4:B$1000&lt;=AK49)*(B$4:B$1000&gt;=AJ49),L$4:L$1000, ""))</f>
        <v>0</v>
      </c>
      <c r="AN49" s="32" t="str">
        <f t="shared" si="50"/>
        <v/>
      </c>
      <c r="AO49" s="32" t="str">
        <f t="shared" si="51"/>
        <v/>
      </c>
      <c r="AP49" s="32" t="str">
        <f t="shared" si="52"/>
        <v/>
      </c>
      <c r="AQ49" s="32" t="str">
        <f t="shared" si="53"/>
        <v/>
      </c>
      <c r="AR49" s="32" t="str">
        <f t="shared" si="54"/>
        <v/>
      </c>
      <c r="AS49" s="32" t="str">
        <f t="shared" si="55"/>
        <v/>
      </c>
      <c r="AT49" s="32" t="str">
        <f t="shared" si="56"/>
        <v/>
      </c>
      <c r="AU49" s="34" t="str">
        <f t="shared" si="57"/>
        <v/>
      </c>
      <c r="AV49" s="32" t="str">
        <f t="shared" si="58"/>
        <v/>
      </c>
      <c r="AW49" s="32" t="str">
        <f t="shared" si="59"/>
        <v/>
      </c>
      <c r="AX49" s="32" t="str">
        <f t="shared" si="60"/>
        <v/>
      </c>
      <c r="AY49" s="32" t="str">
        <f t="shared" si="61"/>
        <v/>
      </c>
    </row>
    <row r="50" spans="1:51" x14ac:dyDescent="0.25">
      <c r="A50" s="24" t="str">
        <f t="shared" si="0"/>
        <v/>
      </c>
      <c r="B50" s="24" t="str">
        <f t="shared" si="11"/>
        <v/>
      </c>
      <c r="C50" s="32" t="str">
        <f t="shared" si="1"/>
        <v/>
      </c>
      <c r="D50" s="24" t="str">
        <f t="shared" si="2"/>
        <v/>
      </c>
      <c r="E50" s="24" t="str">
        <f t="shared" si="3"/>
        <v/>
      </c>
      <c r="F50" s="32" t="str">
        <f t="shared" si="4"/>
        <v/>
      </c>
      <c r="G50" s="32" t="str">
        <f t="shared" si="5"/>
        <v/>
      </c>
      <c r="H50" s="32" t="str">
        <f t="shared" ca="1" si="6"/>
        <v/>
      </c>
      <c r="I50" s="32" t="str">
        <f t="shared" ca="1" si="12"/>
        <v/>
      </c>
      <c r="J50" s="32" t="str">
        <f t="shared" si="7"/>
        <v/>
      </c>
      <c r="K50" s="32" t="str">
        <f>IF(ISNUMBER(A50),Profile!$V$25+Profile!$V$24*'Ri-Po'!C50,"")</f>
        <v/>
      </c>
      <c r="L50" s="32" t="str">
        <f t="shared" si="13"/>
        <v/>
      </c>
      <c r="M50" s="32" t="str">
        <f t="shared" si="8"/>
        <v/>
      </c>
      <c r="N50" s="32" t="str">
        <f t="shared" si="9"/>
        <v/>
      </c>
      <c r="O50" s="32" t="str">
        <f t="shared" si="44"/>
        <v/>
      </c>
      <c r="P50" s="32" t="str">
        <f t="shared" si="15"/>
        <v/>
      </c>
      <c r="Q50" s="32" t="str">
        <f t="shared" si="16"/>
        <v/>
      </c>
      <c r="R50" s="32" t="str">
        <f t="shared" si="45"/>
        <v/>
      </c>
      <c r="S50" s="24" t="str">
        <f t="shared" si="46"/>
        <v/>
      </c>
      <c r="T50" s="24" t="str">
        <f t="shared" si="47"/>
        <v/>
      </c>
      <c r="U50" s="24" t="str">
        <f t="shared" si="48"/>
        <v/>
      </c>
      <c r="V50" s="24" t="str">
        <f t="shared" si="49"/>
        <v/>
      </c>
      <c r="W50" s="23" t="str">
        <f t="array" ref="W50">IFERROR(SMALL(IF(S$1:S$1000="BEGIN",ROW(S$1:S$1000)),ROW()-3),"")</f>
        <v/>
      </c>
      <c r="X50" s="23" t="str">
        <f t="array" ref="X50">IFERROR(SMALL(IF(T$1:T$1000="END",ROW(T$1:T$1000)),ROW()-3),"")</f>
        <v/>
      </c>
      <c r="Y50" s="33" t="str">
        <f t="array" ref="Y50">IF(ISNUMBER(W50),MAX(IF((B$4:B$1000&lt;=X50)*(B$4:B$1000&gt;=W50),I$4:I$1000, "")),"")</f>
        <v/>
      </c>
      <c r="Z50" s="33" t="str">
        <f t="shared" si="22"/>
        <v/>
      </c>
      <c r="AA50" s="32" t="str">
        <f t="shared" si="23"/>
        <v/>
      </c>
      <c r="AB50" s="32" t="str">
        <f t="shared" si="24"/>
        <v/>
      </c>
      <c r="AC50" s="32" t="str">
        <f t="shared" si="25"/>
        <v/>
      </c>
      <c r="AD50" s="32" t="str">
        <f t="shared" si="26"/>
        <v/>
      </c>
      <c r="AE50" s="34" t="str">
        <f t="shared" si="27"/>
        <v/>
      </c>
      <c r="AF50" s="32" t="str">
        <f t="shared" si="28"/>
        <v/>
      </c>
      <c r="AG50" s="32" t="str">
        <f t="shared" si="29"/>
        <v/>
      </c>
      <c r="AH50" s="32" t="str">
        <f t="shared" si="30"/>
        <v/>
      </c>
      <c r="AI50" s="35" t="str">
        <f t="shared" si="31"/>
        <v/>
      </c>
      <c r="AJ50" s="23" t="str">
        <f t="array" ref="AJ50">IFERROR(SMALL(IF(U$1:U$1000="BEGIN",ROW(U$1:U$1000)),ROW()-3),"")</f>
        <v/>
      </c>
      <c r="AK50" s="23" t="str">
        <f t="array" ref="AK50">IFERROR(SMALL(IF(V$1:V$1000="END",ROW(V$1:V$1000)),ROW()-3),"")</f>
        <v/>
      </c>
      <c r="AL50" s="24" t="str">
        <f t="array" ref="AL50">IF(AK50="","",MATCH(AM50,L:L,0))</f>
        <v/>
      </c>
      <c r="AM50" s="35">
        <f t="array" ref="AM50">MAX(IF((B$4:B$1000&lt;=AK50)*(B$4:B$1000&gt;=AJ50),L$4:L$1000, ""))</f>
        <v>0</v>
      </c>
      <c r="AN50" s="32" t="str">
        <f t="shared" si="50"/>
        <v/>
      </c>
      <c r="AO50" s="32" t="str">
        <f t="shared" si="51"/>
        <v/>
      </c>
      <c r="AP50" s="32" t="str">
        <f t="shared" si="52"/>
        <v/>
      </c>
      <c r="AQ50" s="32" t="str">
        <f t="shared" si="53"/>
        <v/>
      </c>
      <c r="AR50" s="32" t="str">
        <f t="shared" si="54"/>
        <v/>
      </c>
      <c r="AS50" s="32" t="str">
        <f t="shared" si="55"/>
        <v/>
      </c>
      <c r="AT50" s="32" t="str">
        <f t="shared" si="56"/>
        <v/>
      </c>
      <c r="AU50" s="34" t="str">
        <f t="shared" si="57"/>
        <v/>
      </c>
      <c r="AV50" s="32" t="str">
        <f t="shared" si="58"/>
        <v/>
      </c>
      <c r="AW50" s="32" t="str">
        <f t="shared" si="59"/>
        <v/>
      </c>
      <c r="AX50" s="32" t="str">
        <f t="shared" si="60"/>
        <v/>
      </c>
      <c r="AY50" s="32" t="str">
        <f t="shared" si="61"/>
        <v/>
      </c>
    </row>
    <row r="51" spans="1:51" x14ac:dyDescent="0.25">
      <c r="A51" s="24" t="str">
        <f t="shared" si="0"/>
        <v/>
      </c>
      <c r="B51" s="24" t="str">
        <f t="shared" si="11"/>
        <v/>
      </c>
      <c r="C51" s="32" t="str">
        <f t="shared" si="1"/>
        <v/>
      </c>
      <c r="D51" s="24" t="str">
        <f t="shared" si="2"/>
        <v/>
      </c>
      <c r="E51" s="24" t="str">
        <f t="shared" si="3"/>
        <v/>
      </c>
      <c r="F51" s="32" t="str">
        <f t="shared" si="4"/>
        <v/>
      </c>
      <c r="G51" s="32" t="str">
        <f t="shared" si="5"/>
        <v/>
      </c>
      <c r="H51" s="32" t="str">
        <f t="shared" ca="1" si="6"/>
        <v/>
      </c>
      <c r="I51" s="32" t="str">
        <f t="shared" ca="1" si="12"/>
        <v/>
      </c>
      <c r="J51" s="32" t="str">
        <f t="shared" si="7"/>
        <v/>
      </c>
      <c r="K51" s="32" t="str">
        <f>IF(ISNUMBER(A51),Profile!$V$25+Profile!$V$24*'Ri-Po'!C51,"")</f>
        <v/>
      </c>
      <c r="L51" s="32" t="str">
        <f t="shared" si="13"/>
        <v/>
      </c>
      <c r="M51" s="32" t="str">
        <f t="shared" si="8"/>
        <v/>
      </c>
      <c r="N51" s="32" t="str">
        <f t="shared" si="9"/>
        <v/>
      </c>
      <c r="O51" s="32" t="str">
        <f t="shared" si="44"/>
        <v/>
      </c>
      <c r="P51" s="32" t="str">
        <f t="shared" si="15"/>
        <v/>
      </c>
      <c r="Q51" s="32" t="str">
        <f t="shared" si="16"/>
        <v/>
      </c>
      <c r="R51" s="32" t="str">
        <f t="shared" si="45"/>
        <v/>
      </c>
      <c r="S51" s="24" t="str">
        <f t="shared" si="46"/>
        <v/>
      </c>
      <c r="T51" s="24" t="str">
        <f t="shared" si="47"/>
        <v/>
      </c>
      <c r="U51" s="24" t="str">
        <f t="shared" si="48"/>
        <v/>
      </c>
      <c r="V51" s="24" t="str">
        <f t="shared" si="49"/>
        <v/>
      </c>
      <c r="W51" s="23" t="str">
        <f t="array" ref="W51">IFERROR(SMALL(IF(S$1:S$1000="BEGIN",ROW(S$1:S$1000)),ROW()-3),"")</f>
        <v/>
      </c>
      <c r="X51" s="23" t="str">
        <f t="array" ref="X51">IFERROR(SMALL(IF(T$1:T$1000="END",ROW(T$1:T$1000)),ROW()-3),"")</f>
        <v/>
      </c>
      <c r="Y51" s="33" t="str">
        <f t="array" ref="Y51">IF(ISNUMBER(W51),MAX(IF((B$4:B$1000&lt;=X51)*(B$4:B$1000&gt;=W51),I$4:I$1000, "")),"")</f>
        <v/>
      </c>
      <c r="Z51" s="33" t="str">
        <f t="shared" si="22"/>
        <v/>
      </c>
      <c r="AA51" s="32" t="str">
        <f t="shared" si="23"/>
        <v/>
      </c>
      <c r="AB51" s="32" t="str">
        <f t="shared" si="24"/>
        <v/>
      </c>
      <c r="AC51" s="32" t="str">
        <f t="shared" si="25"/>
        <v/>
      </c>
      <c r="AD51" s="32" t="str">
        <f t="shared" si="26"/>
        <v/>
      </c>
      <c r="AE51" s="34" t="str">
        <f t="shared" si="27"/>
        <v/>
      </c>
      <c r="AF51" s="32" t="str">
        <f t="shared" si="28"/>
        <v/>
      </c>
      <c r="AG51" s="32" t="str">
        <f t="shared" si="29"/>
        <v/>
      </c>
      <c r="AH51" s="32" t="str">
        <f t="shared" si="30"/>
        <v/>
      </c>
      <c r="AI51" s="35" t="str">
        <f t="shared" si="31"/>
        <v/>
      </c>
      <c r="AJ51" s="23" t="str">
        <f t="array" ref="AJ51">IFERROR(SMALL(IF(U$1:U$1000="BEGIN",ROW(U$1:U$1000)),ROW()-3),"")</f>
        <v/>
      </c>
      <c r="AK51" s="23" t="str">
        <f t="array" ref="AK51">IFERROR(SMALL(IF(V$1:V$1000="END",ROW(V$1:V$1000)),ROW()-3),"")</f>
        <v/>
      </c>
      <c r="AL51" s="24" t="str">
        <f t="array" ref="AL51">IF(AK51="","",MATCH(AM51,L:L,0))</f>
        <v/>
      </c>
      <c r="AM51" s="35">
        <f t="array" ref="AM51">MAX(IF((B$4:B$1000&lt;=AK51)*(B$4:B$1000&gt;=AJ51),L$4:L$1000, ""))</f>
        <v>0</v>
      </c>
      <c r="AN51" s="32" t="str">
        <f t="shared" si="50"/>
        <v/>
      </c>
      <c r="AO51" s="32" t="str">
        <f t="shared" si="51"/>
        <v/>
      </c>
      <c r="AP51" s="32" t="str">
        <f t="shared" si="52"/>
        <v/>
      </c>
      <c r="AQ51" s="32" t="str">
        <f t="shared" si="53"/>
        <v/>
      </c>
      <c r="AR51" s="32" t="str">
        <f t="shared" si="54"/>
        <v/>
      </c>
      <c r="AS51" s="32" t="str">
        <f t="shared" si="55"/>
        <v/>
      </c>
      <c r="AT51" s="32" t="str">
        <f t="shared" si="56"/>
        <v/>
      </c>
      <c r="AU51" s="34" t="str">
        <f t="shared" si="57"/>
        <v/>
      </c>
      <c r="AV51" s="32" t="str">
        <f t="shared" si="58"/>
        <v/>
      </c>
      <c r="AW51" s="32" t="str">
        <f t="shared" si="59"/>
        <v/>
      </c>
      <c r="AX51" s="32" t="str">
        <f t="shared" si="60"/>
        <v/>
      </c>
      <c r="AY51" s="32" t="str">
        <f t="shared" si="61"/>
        <v/>
      </c>
    </row>
    <row r="52" spans="1:51" x14ac:dyDescent="0.25">
      <c r="A52" s="24" t="str">
        <f t="shared" si="0"/>
        <v/>
      </c>
      <c r="B52" s="24" t="str">
        <f t="shared" si="11"/>
        <v/>
      </c>
      <c r="C52" s="32" t="str">
        <f t="shared" si="1"/>
        <v/>
      </c>
      <c r="D52" s="24" t="str">
        <f t="shared" si="2"/>
        <v/>
      </c>
      <c r="E52" s="24" t="str">
        <f t="shared" si="3"/>
        <v/>
      </c>
      <c r="F52" s="32" t="str">
        <f t="shared" si="4"/>
        <v/>
      </c>
      <c r="G52" s="32" t="str">
        <f t="shared" si="5"/>
        <v/>
      </c>
      <c r="H52" s="32" t="str">
        <f t="shared" ca="1" si="6"/>
        <v/>
      </c>
      <c r="I52" s="32" t="str">
        <f t="shared" ca="1" si="12"/>
        <v/>
      </c>
      <c r="J52" s="32" t="str">
        <f t="shared" si="7"/>
        <v/>
      </c>
      <c r="K52" s="32" t="str">
        <f>IF(ISNUMBER(A52),Profile!$V$25+Profile!$V$24*'Ri-Po'!C52,"")</f>
        <v/>
      </c>
      <c r="L52" s="32" t="str">
        <f t="shared" si="13"/>
        <v/>
      </c>
      <c r="M52" s="32" t="str">
        <f t="shared" si="8"/>
        <v/>
      </c>
      <c r="N52" s="32" t="str">
        <f t="shared" si="9"/>
        <v/>
      </c>
      <c r="O52" s="32" t="str">
        <f t="shared" si="44"/>
        <v/>
      </c>
      <c r="P52" s="32" t="str">
        <f t="shared" si="15"/>
        <v/>
      </c>
      <c r="Q52" s="32" t="str">
        <f t="shared" si="16"/>
        <v/>
      </c>
      <c r="R52" s="32" t="str">
        <f t="shared" si="45"/>
        <v/>
      </c>
      <c r="S52" s="24" t="str">
        <f t="shared" si="46"/>
        <v/>
      </c>
      <c r="T52" s="24" t="str">
        <f t="shared" si="47"/>
        <v/>
      </c>
      <c r="U52" s="24" t="str">
        <f t="shared" si="48"/>
        <v/>
      </c>
      <c r="V52" s="24" t="str">
        <f t="shared" si="49"/>
        <v/>
      </c>
      <c r="W52" s="23" t="str">
        <f t="array" ref="W52">IFERROR(SMALL(IF(S$1:S$1000="BEGIN",ROW(S$1:S$1000)),ROW()-3),"")</f>
        <v/>
      </c>
      <c r="X52" s="23" t="str">
        <f t="array" ref="X52">IFERROR(SMALL(IF(T$1:T$1000="END",ROW(T$1:T$1000)),ROW()-3),"")</f>
        <v/>
      </c>
      <c r="Y52" s="33" t="str">
        <f t="array" ref="Y52">IF(ISNUMBER(W52),MAX(IF((B$4:B$1000&lt;=X52)*(B$4:B$1000&gt;=W52),I$4:I$1000, "")),"")</f>
        <v/>
      </c>
      <c r="Z52" s="33" t="str">
        <f t="shared" si="22"/>
        <v/>
      </c>
      <c r="AA52" s="32" t="str">
        <f t="shared" si="23"/>
        <v/>
      </c>
      <c r="AB52" s="32" t="str">
        <f t="shared" si="24"/>
        <v/>
      </c>
      <c r="AC52" s="32" t="str">
        <f t="shared" si="25"/>
        <v/>
      </c>
      <c r="AD52" s="32" t="str">
        <f t="shared" si="26"/>
        <v/>
      </c>
      <c r="AE52" s="34" t="str">
        <f t="shared" si="27"/>
        <v/>
      </c>
      <c r="AF52" s="32" t="str">
        <f t="shared" si="28"/>
        <v/>
      </c>
      <c r="AG52" s="32" t="str">
        <f t="shared" si="29"/>
        <v/>
      </c>
      <c r="AH52" s="32" t="str">
        <f t="shared" si="30"/>
        <v/>
      </c>
      <c r="AI52" s="35" t="str">
        <f t="shared" si="31"/>
        <v/>
      </c>
      <c r="AJ52" s="23" t="str">
        <f t="array" ref="AJ52">IFERROR(SMALL(IF(U$1:U$1000="BEGIN",ROW(U$1:U$1000)),ROW()-3),"")</f>
        <v/>
      </c>
      <c r="AK52" s="23" t="str">
        <f t="array" ref="AK52">IFERROR(SMALL(IF(V$1:V$1000="END",ROW(V$1:V$1000)),ROW()-3),"")</f>
        <v/>
      </c>
      <c r="AL52" s="24" t="str">
        <f t="array" ref="AL52">IF(AK52="","",MATCH(AM52,L:L,0))</f>
        <v/>
      </c>
      <c r="AM52" s="35">
        <f t="array" ref="AM52">MAX(IF((B$4:B$1000&lt;=AK52)*(B$4:B$1000&gt;=AJ52),L$4:L$1000, ""))</f>
        <v>0</v>
      </c>
      <c r="AN52" s="32" t="str">
        <f t="shared" si="50"/>
        <v/>
      </c>
      <c r="AO52" s="32" t="str">
        <f t="shared" si="51"/>
        <v/>
      </c>
      <c r="AP52" s="32" t="str">
        <f t="shared" si="52"/>
        <v/>
      </c>
      <c r="AQ52" s="32" t="str">
        <f t="shared" si="53"/>
        <v/>
      </c>
      <c r="AR52" s="32" t="str">
        <f t="shared" si="54"/>
        <v/>
      </c>
      <c r="AS52" s="32" t="str">
        <f t="shared" si="55"/>
        <v/>
      </c>
      <c r="AT52" s="32" t="str">
        <f t="shared" si="56"/>
        <v/>
      </c>
      <c r="AU52" s="34" t="str">
        <f t="shared" si="57"/>
        <v/>
      </c>
      <c r="AV52" s="32" t="str">
        <f t="shared" si="58"/>
        <v/>
      </c>
      <c r="AW52" s="32" t="str">
        <f t="shared" si="59"/>
        <v/>
      </c>
      <c r="AX52" s="32" t="str">
        <f t="shared" si="60"/>
        <v/>
      </c>
      <c r="AY52" s="32" t="str">
        <f t="shared" si="61"/>
        <v/>
      </c>
    </row>
    <row r="53" spans="1:51" x14ac:dyDescent="0.25">
      <c r="A53" s="24" t="str">
        <f t="shared" si="0"/>
        <v/>
      </c>
      <c r="B53" s="24" t="str">
        <f t="shared" si="11"/>
        <v/>
      </c>
      <c r="C53" s="32" t="str">
        <f t="shared" si="1"/>
        <v/>
      </c>
      <c r="D53" s="24" t="str">
        <f t="shared" si="2"/>
        <v/>
      </c>
      <c r="E53" s="24" t="str">
        <f t="shared" si="3"/>
        <v/>
      </c>
      <c r="F53" s="32" t="str">
        <f t="shared" si="4"/>
        <v/>
      </c>
      <c r="G53" s="32" t="str">
        <f t="shared" si="5"/>
        <v/>
      </c>
      <c r="H53" s="32" t="str">
        <f t="shared" ca="1" si="6"/>
        <v/>
      </c>
      <c r="I53" s="32" t="str">
        <f t="shared" ca="1" si="12"/>
        <v/>
      </c>
      <c r="J53" s="32" t="str">
        <f t="shared" si="7"/>
        <v/>
      </c>
      <c r="K53" s="32" t="str">
        <f>IF(ISNUMBER(A53),Profile!$V$25+Profile!$V$24*'Ri-Po'!C53,"")</f>
        <v/>
      </c>
      <c r="L53" s="32" t="str">
        <f t="shared" si="13"/>
        <v/>
      </c>
      <c r="M53" s="32" t="str">
        <f t="shared" si="8"/>
        <v/>
      </c>
      <c r="N53" s="32" t="str">
        <f t="shared" si="9"/>
        <v/>
      </c>
      <c r="O53" s="32" t="str">
        <f t="shared" si="44"/>
        <v/>
      </c>
      <c r="P53" s="32" t="str">
        <f t="shared" si="15"/>
        <v/>
      </c>
      <c r="Q53" s="32" t="str">
        <f t="shared" si="16"/>
        <v/>
      </c>
      <c r="R53" s="32" t="str">
        <f t="shared" si="45"/>
        <v/>
      </c>
      <c r="S53" s="24" t="str">
        <f t="shared" si="46"/>
        <v/>
      </c>
      <c r="T53" s="24" t="str">
        <f t="shared" si="47"/>
        <v/>
      </c>
      <c r="U53" s="24" t="str">
        <f t="shared" si="48"/>
        <v/>
      </c>
      <c r="V53" s="24" t="str">
        <f t="shared" si="49"/>
        <v/>
      </c>
      <c r="W53" s="23" t="str">
        <f t="array" ref="W53">IFERROR(SMALL(IF(S$1:S$1000="BEGIN",ROW(S$1:S$1000)),ROW()-3),"")</f>
        <v/>
      </c>
      <c r="X53" s="23" t="str">
        <f t="array" ref="X53">IFERROR(SMALL(IF(T$1:T$1000="END",ROW(T$1:T$1000)),ROW()-3),"")</f>
        <v/>
      </c>
      <c r="Y53" s="33" t="str">
        <f t="array" ref="Y53">IF(ISNUMBER(W53),MAX(IF((B$4:B$1000&lt;=X53)*(B$4:B$1000&gt;=W53),I$4:I$1000, "")),"")</f>
        <v/>
      </c>
      <c r="Z53" s="33" t="str">
        <f t="shared" si="22"/>
        <v/>
      </c>
      <c r="AA53" s="32" t="str">
        <f t="shared" si="23"/>
        <v/>
      </c>
      <c r="AB53" s="32" t="str">
        <f t="shared" si="24"/>
        <v/>
      </c>
      <c r="AC53" s="32" t="str">
        <f t="shared" si="25"/>
        <v/>
      </c>
      <c r="AD53" s="32" t="str">
        <f t="shared" si="26"/>
        <v/>
      </c>
      <c r="AE53" s="34" t="str">
        <f t="shared" si="27"/>
        <v/>
      </c>
      <c r="AF53" s="32" t="str">
        <f t="shared" si="28"/>
        <v/>
      </c>
      <c r="AG53" s="32" t="str">
        <f t="shared" si="29"/>
        <v/>
      </c>
      <c r="AH53" s="32" t="str">
        <f t="shared" si="30"/>
        <v/>
      </c>
      <c r="AI53" s="35" t="str">
        <f t="shared" si="31"/>
        <v/>
      </c>
      <c r="AJ53" s="23" t="str">
        <f t="array" ref="AJ53">IFERROR(SMALL(IF(U$1:U$1000="BEGIN",ROW(U$1:U$1000)),ROW()-3),"")</f>
        <v/>
      </c>
      <c r="AK53" s="23" t="str">
        <f t="array" ref="AK53">IFERROR(SMALL(IF(V$1:V$1000="END",ROW(V$1:V$1000)),ROW()-3),"")</f>
        <v/>
      </c>
      <c r="AL53" s="24" t="str">
        <f t="array" ref="AL53">IF(AK53="","",MATCH(AM53,L:L,0))</f>
        <v/>
      </c>
      <c r="AM53" s="35">
        <f t="array" ref="AM53">MAX(IF((B$4:B$1000&lt;=AK53)*(B$4:B$1000&gt;=AJ53),L$4:L$1000, ""))</f>
        <v>0</v>
      </c>
      <c r="AN53" s="32" t="str">
        <f t="shared" si="50"/>
        <v/>
      </c>
      <c r="AO53" s="32" t="str">
        <f t="shared" si="51"/>
        <v/>
      </c>
      <c r="AP53" s="32" t="str">
        <f t="shared" si="52"/>
        <v/>
      </c>
      <c r="AQ53" s="32" t="str">
        <f t="shared" si="53"/>
        <v/>
      </c>
      <c r="AR53" s="32" t="str">
        <f t="shared" si="54"/>
        <v/>
      </c>
      <c r="AS53" s="32" t="str">
        <f t="shared" si="55"/>
        <v/>
      </c>
      <c r="AT53" s="32" t="str">
        <f t="shared" si="56"/>
        <v/>
      </c>
      <c r="AU53" s="34" t="str">
        <f t="shared" si="57"/>
        <v/>
      </c>
      <c r="AV53" s="32" t="str">
        <f t="shared" si="58"/>
        <v/>
      </c>
      <c r="AW53" s="32" t="str">
        <f t="shared" si="59"/>
        <v/>
      </c>
      <c r="AX53" s="32" t="str">
        <f t="shared" si="60"/>
        <v/>
      </c>
      <c r="AY53" s="32" t="str">
        <f t="shared" si="61"/>
        <v/>
      </c>
    </row>
    <row r="54" spans="1:51" x14ac:dyDescent="0.25">
      <c r="A54" s="24" t="str">
        <f t="shared" si="0"/>
        <v/>
      </c>
      <c r="B54" s="24" t="str">
        <f t="shared" si="11"/>
        <v/>
      </c>
      <c r="C54" s="32" t="str">
        <f t="shared" si="1"/>
        <v/>
      </c>
      <c r="D54" s="24" t="str">
        <f t="shared" si="2"/>
        <v/>
      </c>
      <c r="E54" s="24" t="str">
        <f t="shared" si="3"/>
        <v/>
      </c>
      <c r="F54" s="32" t="str">
        <f t="shared" si="4"/>
        <v/>
      </c>
      <c r="G54" s="32" t="str">
        <f t="shared" si="5"/>
        <v/>
      </c>
      <c r="H54" s="32" t="str">
        <f t="shared" ca="1" si="6"/>
        <v/>
      </c>
      <c r="I54" s="32" t="str">
        <f t="shared" ca="1" si="12"/>
        <v/>
      </c>
      <c r="J54" s="32" t="str">
        <f t="shared" si="7"/>
        <v/>
      </c>
      <c r="K54" s="32" t="str">
        <f>IF(ISNUMBER(A54),Profile!$V$25+Profile!$V$24*'Ri-Po'!C54,"")</f>
        <v/>
      </c>
      <c r="L54" s="32" t="str">
        <f t="shared" si="13"/>
        <v/>
      </c>
      <c r="M54" s="32" t="str">
        <f t="shared" si="8"/>
        <v/>
      </c>
      <c r="N54" s="32" t="str">
        <f t="shared" si="9"/>
        <v/>
      </c>
      <c r="O54" s="32" t="str">
        <f t="shared" si="44"/>
        <v/>
      </c>
      <c r="P54" s="32" t="str">
        <f t="shared" si="15"/>
        <v/>
      </c>
      <c r="Q54" s="32" t="str">
        <f t="shared" si="16"/>
        <v/>
      </c>
      <c r="R54" s="32" t="str">
        <f t="shared" si="45"/>
        <v/>
      </c>
      <c r="S54" s="24" t="str">
        <f t="shared" si="46"/>
        <v/>
      </c>
      <c r="T54" s="24" t="str">
        <f t="shared" si="47"/>
        <v/>
      </c>
      <c r="U54" s="24" t="str">
        <f t="shared" si="48"/>
        <v/>
      </c>
      <c r="V54" s="24" t="str">
        <f t="shared" si="49"/>
        <v/>
      </c>
      <c r="W54" s="23" t="str">
        <f t="array" ref="W54">IFERROR(SMALL(IF(S$1:S$1000="BEGIN",ROW(S$1:S$1000)),ROW()-3),"")</f>
        <v/>
      </c>
      <c r="X54" s="23" t="str">
        <f t="array" ref="X54">IFERROR(SMALL(IF(T$1:T$1000="END",ROW(T$1:T$1000)),ROW()-3),"")</f>
        <v/>
      </c>
      <c r="Y54" s="33" t="str">
        <f t="array" ref="Y54">IF(ISNUMBER(W54),MAX(IF((B$4:B$1000&lt;=X54)*(B$4:B$1000&gt;=W54),I$4:I$1000, "")),"")</f>
        <v/>
      </c>
      <c r="Z54" s="33" t="str">
        <f t="shared" si="22"/>
        <v/>
      </c>
      <c r="AA54" s="32" t="str">
        <f t="shared" si="23"/>
        <v/>
      </c>
      <c r="AB54" s="32" t="str">
        <f t="shared" si="24"/>
        <v/>
      </c>
      <c r="AC54" s="32" t="str">
        <f t="shared" si="25"/>
        <v/>
      </c>
      <c r="AD54" s="32" t="str">
        <f t="shared" si="26"/>
        <v/>
      </c>
      <c r="AE54" s="34" t="str">
        <f t="shared" si="27"/>
        <v/>
      </c>
      <c r="AF54" s="32" t="str">
        <f t="shared" si="28"/>
        <v/>
      </c>
      <c r="AG54" s="32" t="str">
        <f t="shared" si="29"/>
        <v/>
      </c>
      <c r="AH54" s="32" t="str">
        <f t="shared" si="30"/>
        <v/>
      </c>
      <c r="AI54" s="35" t="str">
        <f t="shared" si="31"/>
        <v/>
      </c>
      <c r="AJ54" s="23" t="str">
        <f t="array" ref="AJ54">IFERROR(SMALL(IF(U$1:U$1000="BEGIN",ROW(U$1:U$1000)),ROW()-3),"")</f>
        <v/>
      </c>
      <c r="AK54" s="23" t="str">
        <f t="array" ref="AK54">IFERROR(SMALL(IF(V$1:V$1000="END",ROW(V$1:V$1000)),ROW()-3),"")</f>
        <v/>
      </c>
      <c r="AL54" s="24" t="str">
        <f t="array" ref="AL54">IF(AK54="","",MATCH(AM54,L:L,0))</f>
        <v/>
      </c>
      <c r="AM54" s="35">
        <f t="array" ref="AM54">MAX(IF((B$4:B$1000&lt;=AK54)*(B$4:B$1000&gt;=AJ54),L$4:L$1000, ""))</f>
        <v>0</v>
      </c>
      <c r="AN54" s="32" t="str">
        <f t="shared" si="50"/>
        <v/>
      </c>
      <c r="AO54" s="32" t="str">
        <f t="shared" si="51"/>
        <v/>
      </c>
      <c r="AP54" s="32" t="str">
        <f t="shared" si="52"/>
        <v/>
      </c>
      <c r="AQ54" s="32" t="str">
        <f t="shared" si="53"/>
        <v/>
      </c>
      <c r="AR54" s="32" t="str">
        <f t="shared" si="54"/>
        <v/>
      </c>
      <c r="AS54" s="32" t="str">
        <f t="shared" si="55"/>
        <v/>
      </c>
      <c r="AT54" s="32" t="str">
        <f t="shared" si="56"/>
        <v/>
      </c>
      <c r="AU54" s="34" t="str">
        <f t="shared" si="57"/>
        <v/>
      </c>
      <c r="AV54" s="32" t="str">
        <f t="shared" si="58"/>
        <v/>
      </c>
      <c r="AW54" s="32" t="str">
        <f t="shared" si="59"/>
        <v/>
      </c>
      <c r="AX54" s="32" t="str">
        <f t="shared" si="60"/>
        <v/>
      </c>
      <c r="AY54" s="32" t="str">
        <f t="shared" si="61"/>
        <v/>
      </c>
    </row>
    <row r="55" spans="1:51" x14ac:dyDescent="0.25">
      <c r="A55" s="24" t="str">
        <f t="shared" si="0"/>
        <v/>
      </c>
      <c r="B55" s="24" t="str">
        <f t="shared" si="11"/>
        <v/>
      </c>
      <c r="C55" s="32" t="str">
        <f t="shared" si="1"/>
        <v/>
      </c>
      <c r="D55" s="24" t="str">
        <f t="shared" si="2"/>
        <v/>
      </c>
      <c r="E55" s="24" t="str">
        <f t="shared" si="3"/>
        <v/>
      </c>
      <c r="F55" s="32" t="str">
        <f t="shared" si="4"/>
        <v/>
      </c>
      <c r="G55" s="32" t="str">
        <f t="shared" si="5"/>
        <v/>
      </c>
      <c r="H55" s="32" t="str">
        <f t="shared" ca="1" si="6"/>
        <v/>
      </c>
      <c r="I55" s="32" t="str">
        <f t="shared" ca="1" si="12"/>
        <v/>
      </c>
      <c r="J55" s="32" t="str">
        <f t="shared" si="7"/>
        <v/>
      </c>
      <c r="K55" s="32" t="str">
        <f>IF(ISNUMBER(A55),Profile!$V$25+Profile!$V$24*'Ri-Po'!C55,"")</f>
        <v/>
      </c>
      <c r="L55" s="32" t="str">
        <f t="shared" si="13"/>
        <v/>
      </c>
      <c r="M55" s="32" t="str">
        <f t="shared" si="8"/>
        <v/>
      </c>
      <c r="N55" s="32" t="str">
        <f t="shared" si="9"/>
        <v/>
      </c>
      <c r="O55" s="32" t="str">
        <f t="shared" si="44"/>
        <v/>
      </c>
      <c r="P55" s="32" t="str">
        <f t="shared" si="15"/>
        <v/>
      </c>
      <c r="Q55" s="32" t="str">
        <f t="shared" si="16"/>
        <v/>
      </c>
      <c r="R55" s="32" t="str">
        <f t="shared" si="45"/>
        <v/>
      </c>
      <c r="S55" s="24" t="str">
        <f t="shared" si="46"/>
        <v/>
      </c>
      <c r="T55" s="24" t="str">
        <f t="shared" si="47"/>
        <v/>
      </c>
      <c r="U55" s="24" t="str">
        <f t="shared" si="48"/>
        <v/>
      </c>
      <c r="V55" s="24" t="str">
        <f t="shared" si="49"/>
        <v/>
      </c>
      <c r="W55" s="23" t="str">
        <f t="array" ref="W55">IFERROR(SMALL(IF(S$1:S$1000="BEGIN",ROW(S$1:S$1000)),ROW()-3),"")</f>
        <v/>
      </c>
      <c r="X55" s="23" t="str">
        <f t="array" ref="X55">IFERROR(SMALL(IF(T$1:T$1000="END",ROW(T$1:T$1000)),ROW()-3),"")</f>
        <v/>
      </c>
      <c r="Y55" s="33" t="str">
        <f t="array" ref="Y55">IF(ISNUMBER(W55),MAX(IF((B$4:B$1000&lt;=X55)*(B$4:B$1000&gt;=W55),I$4:I$1000, "")),"")</f>
        <v/>
      </c>
      <c r="Z55" s="33" t="str">
        <f t="shared" si="22"/>
        <v/>
      </c>
      <c r="AA55" s="32" t="str">
        <f t="shared" si="23"/>
        <v/>
      </c>
      <c r="AB55" s="32" t="str">
        <f t="shared" si="24"/>
        <v/>
      </c>
      <c r="AC55" s="32" t="str">
        <f t="shared" si="25"/>
        <v/>
      </c>
      <c r="AD55" s="32" t="str">
        <f t="shared" si="26"/>
        <v/>
      </c>
      <c r="AE55" s="34" t="str">
        <f t="shared" si="27"/>
        <v/>
      </c>
      <c r="AF55" s="32" t="str">
        <f t="shared" si="28"/>
        <v/>
      </c>
      <c r="AG55" s="32" t="str">
        <f t="shared" si="29"/>
        <v/>
      </c>
      <c r="AH55" s="32" t="str">
        <f t="shared" si="30"/>
        <v/>
      </c>
      <c r="AI55" s="35" t="str">
        <f t="shared" si="31"/>
        <v/>
      </c>
      <c r="AJ55" s="23" t="str">
        <f t="array" ref="AJ55">IFERROR(SMALL(IF(U$1:U$1000="BEGIN",ROW(U$1:U$1000)),ROW()-3),"")</f>
        <v/>
      </c>
      <c r="AK55" s="23" t="str">
        <f t="array" ref="AK55">IFERROR(SMALL(IF(V$1:V$1000="END",ROW(V$1:V$1000)),ROW()-3),"")</f>
        <v/>
      </c>
      <c r="AL55" s="24" t="str">
        <f t="array" ref="AL55">IF(AK55="","",MATCH(AM55,L:L,0))</f>
        <v/>
      </c>
      <c r="AM55" s="35">
        <f t="array" ref="AM55">MAX(IF((B$4:B$1000&lt;=AK55)*(B$4:B$1000&gt;=AJ55),L$4:L$1000, ""))</f>
        <v>0</v>
      </c>
      <c r="AN55" s="32" t="str">
        <f t="shared" si="50"/>
        <v/>
      </c>
      <c r="AO55" s="32" t="str">
        <f t="shared" si="51"/>
        <v/>
      </c>
      <c r="AP55" s="32" t="str">
        <f t="shared" si="52"/>
        <v/>
      </c>
      <c r="AQ55" s="32" t="str">
        <f t="shared" si="53"/>
        <v/>
      </c>
      <c r="AR55" s="32" t="str">
        <f t="shared" si="54"/>
        <v/>
      </c>
      <c r="AS55" s="32" t="str">
        <f t="shared" si="55"/>
        <v/>
      </c>
      <c r="AT55" s="32" t="str">
        <f t="shared" si="56"/>
        <v/>
      </c>
      <c r="AU55" s="34" t="str">
        <f t="shared" si="57"/>
        <v/>
      </c>
      <c r="AV55" s="32" t="str">
        <f t="shared" si="58"/>
        <v/>
      </c>
      <c r="AW55" s="32" t="str">
        <f t="shared" si="59"/>
        <v/>
      </c>
      <c r="AX55" s="32" t="str">
        <f t="shared" si="60"/>
        <v/>
      </c>
      <c r="AY55" s="32" t="str">
        <f t="shared" si="61"/>
        <v/>
      </c>
    </row>
    <row r="56" spans="1:51" x14ac:dyDescent="0.25">
      <c r="A56" s="24" t="str">
        <f t="shared" si="0"/>
        <v/>
      </c>
      <c r="B56" s="24" t="str">
        <f t="shared" si="11"/>
        <v/>
      </c>
      <c r="C56" s="32" t="str">
        <f t="shared" si="1"/>
        <v/>
      </c>
      <c r="D56" s="24" t="str">
        <f t="shared" si="2"/>
        <v/>
      </c>
      <c r="E56" s="24" t="str">
        <f t="shared" si="3"/>
        <v/>
      </c>
      <c r="F56" s="32" t="str">
        <f t="shared" si="4"/>
        <v/>
      </c>
      <c r="G56" s="32" t="str">
        <f t="shared" si="5"/>
        <v/>
      </c>
      <c r="H56" s="32" t="str">
        <f t="shared" ca="1" si="6"/>
        <v/>
      </c>
      <c r="I56" s="32" t="str">
        <f t="shared" ca="1" si="12"/>
        <v/>
      </c>
      <c r="J56" s="32" t="str">
        <f t="shared" si="7"/>
        <v/>
      </c>
      <c r="K56" s="32" t="str">
        <f>IF(ISNUMBER(A56),Profile!$V$25+Profile!$V$24*'Ri-Po'!C56,"")</f>
        <v/>
      </c>
      <c r="L56" s="32" t="str">
        <f t="shared" si="13"/>
        <v/>
      </c>
      <c r="M56" s="32" t="str">
        <f t="shared" si="8"/>
        <v/>
      </c>
      <c r="N56" s="32" t="str">
        <f t="shared" si="9"/>
        <v/>
      </c>
      <c r="O56" s="32" t="str">
        <f t="shared" si="44"/>
        <v/>
      </c>
      <c r="P56" s="32" t="str">
        <f t="shared" si="15"/>
        <v/>
      </c>
      <c r="Q56" s="32" t="str">
        <f t="shared" si="16"/>
        <v/>
      </c>
      <c r="R56" s="32" t="str">
        <f t="shared" si="45"/>
        <v/>
      </c>
      <c r="S56" s="24" t="str">
        <f t="shared" si="46"/>
        <v/>
      </c>
      <c r="T56" s="24" t="str">
        <f t="shared" si="47"/>
        <v/>
      </c>
      <c r="U56" s="24" t="str">
        <f t="shared" si="48"/>
        <v/>
      </c>
      <c r="V56" s="24" t="str">
        <f t="shared" si="49"/>
        <v/>
      </c>
      <c r="W56" s="23" t="str">
        <f t="array" ref="W56">IFERROR(SMALL(IF(S$1:S$1000="BEGIN",ROW(S$1:S$1000)),ROW()-3),"")</f>
        <v/>
      </c>
      <c r="X56" s="23" t="str">
        <f t="array" ref="X56">IFERROR(SMALL(IF(T$1:T$1000="END",ROW(T$1:T$1000)),ROW()-3),"")</f>
        <v/>
      </c>
      <c r="Y56" s="33" t="str">
        <f t="array" ref="Y56">IF(ISNUMBER(W56),MAX(IF((B$4:B$1000&lt;=X56)*(B$4:B$1000&gt;=W56),I$4:I$1000, "")),"")</f>
        <v/>
      </c>
      <c r="Z56" s="33" t="str">
        <f t="shared" si="22"/>
        <v/>
      </c>
      <c r="AA56" s="32" t="str">
        <f t="shared" si="23"/>
        <v/>
      </c>
      <c r="AB56" s="32" t="str">
        <f t="shared" si="24"/>
        <v/>
      </c>
      <c r="AC56" s="32" t="str">
        <f t="shared" si="25"/>
        <v/>
      </c>
      <c r="AD56" s="32" t="str">
        <f t="shared" si="26"/>
        <v/>
      </c>
      <c r="AE56" s="34" t="str">
        <f t="shared" si="27"/>
        <v/>
      </c>
      <c r="AF56" s="32" t="str">
        <f t="shared" si="28"/>
        <v/>
      </c>
      <c r="AG56" s="32" t="str">
        <f t="shared" si="29"/>
        <v/>
      </c>
      <c r="AH56" s="32" t="str">
        <f t="shared" si="30"/>
        <v/>
      </c>
      <c r="AI56" s="35" t="str">
        <f t="shared" si="31"/>
        <v/>
      </c>
      <c r="AJ56" s="23" t="str">
        <f t="array" ref="AJ56">IFERROR(SMALL(IF(U$1:U$1000="BEGIN",ROW(U$1:U$1000)),ROW()-3),"")</f>
        <v/>
      </c>
      <c r="AK56" s="23" t="str">
        <f t="array" ref="AK56">IFERROR(SMALL(IF(V$1:V$1000="END",ROW(V$1:V$1000)),ROW()-3),"")</f>
        <v/>
      </c>
      <c r="AL56" s="24" t="str">
        <f t="array" ref="AL56">IF(AK56="","",MATCH(AM56,L:L,0))</f>
        <v/>
      </c>
      <c r="AM56" s="35">
        <f t="array" ref="AM56">MAX(IF((B$4:B$1000&lt;=AK56)*(B$4:B$1000&gt;=AJ56),L$4:L$1000, ""))</f>
        <v>0</v>
      </c>
      <c r="AN56" s="32" t="str">
        <f t="shared" si="50"/>
        <v/>
      </c>
      <c r="AO56" s="32" t="str">
        <f t="shared" si="51"/>
        <v/>
      </c>
      <c r="AP56" s="32" t="str">
        <f t="shared" si="52"/>
        <v/>
      </c>
      <c r="AQ56" s="32" t="str">
        <f t="shared" si="53"/>
        <v/>
      </c>
      <c r="AR56" s="32" t="str">
        <f t="shared" si="54"/>
        <v/>
      </c>
      <c r="AS56" s="32" t="str">
        <f t="shared" si="55"/>
        <v/>
      </c>
      <c r="AT56" s="32" t="str">
        <f t="shared" si="56"/>
        <v/>
      </c>
      <c r="AU56" s="34" t="str">
        <f t="shared" si="57"/>
        <v/>
      </c>
      <c r="AV56" s="32" t="str">
        <f t="shared" si="58"/>
        <v/>
      </c>
      <c r="AW56" s="32" t="str">
        <f t="shared" si="59"/>
        <v/>
      </c>
      <c r="AX56" s="32" t="str">
        <f t="shared" si="60"/>
        <v/>
      </c>
      <c r="AY56" s="32" t="str">
        <f t="shared" si="61"/>
        <v/>
      </c>
    </row>
    <row r="57" spans="1:51" x14ac:dyDescent="0.25">
      <c r="A57" s="24" t="str">
        <f t="shared" si="0"/>
        <v/>
      </c>
      <c r="B57" s="24" t="str">
        <f t="shared" si="11"/>
        <v/>
      </c>
      <c r="C57" s="32" t="str">
        <f t="shared" si="1"/>
        <v/>
      </c>
      <c r="D57" s="24" t="str">
        <f t="shared" si="2"/>
        <v/>
      </c>
      <c r="E57" s="24" t="str">
        <f t="shared" si="3"/>
        <v/>
      </c>
      <c r="F57" s="32" t="str">
        <f t="shared" si="4"/>
        <v/>
      </c>
      <c r="G57" s="32" t="str">
        <f t="shared" si="5"/>
        <v/>
      </c>
      <c r="H57" s="32" t="str">
        <f t="shared" ca="1" si="6"/>
        <v/>
      </c>
      <c r="I57" s="32" t="str">
        <f t="shared" ca="1" si="12"/>
        <v/>
      </c>
      <c r="J57" s="32" t="str">
        <f t="shared" si="7"/>
        <v/>
      </c>
      <c r="K57" s="32" t="str">
        <f>IF(ISNUMBER(A57),Profile!$V$25+Profile!$V$24*'Ri-Po'!C57,"")</f>
        <v/>
      </c>
      <c r="L57" s="32" t="str">
        <f t="shared" si="13"/>
        <v/>
      </c>
      <c r="M57" s="32" t="str">
        <f t="shared" si="8"/>
        <v/>
      </c>
      <c r="N57" s="32" t="str">
        <f t="shared" si="9"/>
        <v/>
      </c>
      <c r="O57" s="32" t="str">
        <f t="shared" si="44"/>
        <v/>
      </c>
      <c r="P57" s="32" t="str">
        <f t="shared" si="15"/>
        <v/>
      </c>
      <c r="Q57" s="32" t="str">
        <f t="shared" si="16"/>
        <v/>
      </c>
      <c r="R57" s="32" t="str">
        <f t="shared" si="45"/>
        <v/>
      </c>
      <c r="S57" s="24" t="str">
        <f t="shared" si="46"/>
        <v/>
      </c>
      <c r="T57" s="24" t="str">
        <f t="shared" si="47"/>
        <v/>
      </c>
      <c r="U57" s="24" t="str">
        <f t="shared" si="48"/>
        <v/>
      </c>
      <c r="V57" s="24" t="str">
        <f t="shared" si="49"/>
        <v/>
      </c>
      <c r="W57" s="23" t="str">
        <f t="array" ref="W57">IFERROR(SMALL(IF(S$1:S$1000="BEGIN",ROW(S$1:S$1000)),ROW()-3),"")</f>
        <v/>
      </c>
      <c r="X57" s="23" t="str">
        <f t="array" ref="X57">IFERROR(SMALL(IF(T$1:T$1000="END",ROW(T$1:T$1000)),ROW()-3),"")</f>
        <v/>
      </c>
      <c r="Y57" s="33" t="str">
        <f t="array" ref="Y57">IF(ISNUMBER(W57),MAX(IF((B$4:B$1000&lt;=X57)*(B$4:B$1000&gt;=W57),I$4:I$1000, "")),"")</f>
        <v/>
      </c>
      <c r="Z57" s="33" t="str">
        <f t="shared" si="22"/>
        <v/>
      </c>
      <c r="AA57" s="32" t="str">
        <f t="shared" si="23"/>
        <v/>
      </c>
      <c r="AB57" s="32" t="str">
        <f t="shared" si="24"/>
        <v/>
      </c>
      <c r="AC57" s="32" t="str">
        <f t="shared" si="25"/>
        <v/>
      </c>
      <c r="AD57" s="32" t="str">
        <f t="shared" si="26"/>
        <v/>
      </c>
      <c r="AE57" s="34" t="str">
        <f t="shared" si="27"/>
        <v/>
      </c>
      <c r="AF57" s="32" t="str">
        <f t="shared" si="28"/>
        <v/>
      </c>
      <c r="AG57" s="32" t="str">
        <f t="shared" si="29"/>
        <v/>
      </c>
      <c r="AH57" s="32" t="str">
        <f t="shared" si="30"/>
        <v/>
      </c>
      <c r="AI57" s="35" t="str">
        <f t="shared" si="31"/>
        <v/>
      </c>
      <c r="AJ57" s="23" t="str">
        <f t="array" ref="AJ57">IFERROR(SMALL(IF(U$1:U$1000="BEGIN",ROW(U$1:U$1000)),ROW()-3),"")</f>
        <v/>
      </c>
      <c r="AK57" s="23" t="str">
        <f t="array" ref="AK57">IFERROR(SMALL(IF(V$1:V$1000="END",ROW(V$1:V$1000)),ROW()-3),"")</f>
        <v/>
      </c>
      <c r="AL57" s="24" t="str">
        <f t="array" ref="AL57">IF(AK57="","",MATCH(AM57,L:L,0))</f>
        <v/>
      </c>
      <c r="AM57" s="35">
        <f t="array" ref="AM57">MAX(IF((B$4:B$1000&lt;=AK57)*(B$4:B$1000&gt;=AJ57),L$4:L$1000, ""))</f>
        <v>0</v>
      </c>
      <c r="AN57" s="32" t="str">
        <f t="shared" si="50"/>
        <v/>
      </c>
      <c r="AO57" s="32" t="str">
        <f t="shared" si="51"/>
        <v/>
      </c>
      <c r="AP57" s="32" t="str">
        <f t="shared" si="52"/>
        <v/>
      </c>
      <c r="AQ57" s="32" t="str">
        <f t="shared" si="53"/>
        <v/>
      </c>
      <c r="AR57" s="32" t="str">
        <f t="shared" si="54"/>
        <v/>
      </c>
      <c r="AS57" s="32" t="str">
        <f t="shared" si="55"/>
        <v/>
      </c>
      <c r="AT57" s="32" t="str">
        <f t="shared" si="56"/>
        <v/>
      </c>
      <c r="AU57" s="34" t="str">
        <f t="shared" si="57"/>
        <v/>
      </c>
      <c r="AV57" s="32" t="str">
        <f t="shared" si="58"/>
        <v/>
      </c>
      <c r="AW57" s="32" t="str">
        <f t="shared" si="59"/>
        <v/>
      </c>
      <c r="AX57" s="32" t="str">
        <f t="shared" si="60"/>
        <v/>
      </c>
      <c r="AY57" s="32" t="str">
        <f t="shared" si="61"/>
        <v/>
      </c>
    </row>
    <row r="58" spans="1:51" x14ac:dyDescent="0.25">
      <c r="A58" s="24" t="str">
        <f t="shared" si="0"/>
        <v/>
      </c>
      <c r="B58" s="24" t="str">
        <f t="shared" si="11"/>
        <v/>
      </c>
      <c r="C58" s="32" t="str">
        <f t="shared" si="1"/>
        <v/>
      </c>
      <c r="D58" s="24" t="str">
        <f t="shared" si="2"/>
        <v/>
      </c>
      <c r="E58" s="24" t="str">
        <f t="shared" si="3"/>
        <v/>
      </c>
      <c r="F58" s="32" t="str">
        <f t="shared" si="4"/>
        <v/>
      </c>
      <c r="G58" s="32" t="str">
        <f t="shared" si="5"/>
        <v/>
      </c>
      <c r="H58" s="32" t="str">
        <f t="shared" ca="1" si="6"/>
        <v/>
      </c>
      <c r="I58" s="32" t="str">
        <f t="shared" ca="1" si="12"/>
        <v/>
      </c>
      <c r="J58" s="32" t="str">
        <f t="shared" si="7"/>
        <v/>
      </c>
      <c r="K58" s="32" t="str">
        <f>IF(ISNUMBER(A58),Profile!$V$25+Profile!$V$24*'Ri-Po'!C58,"")</f>
        <v/>
      </c>
      <c r="L58" s="32" t="str">
        <f t="shared" si="13"/>
        <v/>
      </c>
      <c r="M58" s="32" t="str">
        <f t="shared" si="8"/>
        <v/>
      </c>
      <c r="N58" s="32" t="str">
        <f t="shared" si="9"/>
        <v/>
      </c>
      <c r="O58" s="32" t="str">
        <f t="shared" si="44"/>
        <v/>
      </c>
      <c r="P58" s="32" t="str">
        <f t="shared" si="15"/>
        <v/>
      </c>
      <c r="Q58" s="32" t="str">
        <f t="shared" si="16"/>
        <v/>
      </c>
      <c r="R58" s="32" t="str">
        <f t="shared" si="45"/>
        <v/>
      </c>
      <c r="S58" s="24" t="str">
        <f t="shared" si="46"/>
        <v/>
      </c>
      <c r="T58" s="24" t="str">
        <f t="shared" si="47"/>
        <v/>
      </c>
      <c r="U58" s="24" t="str">
        <f t="shared" si="48"/>
        <v/>
      </c>
      <c r="V58" s="24" t="str">
        <f t="shared" si="49"/>
        <v/>
      </c>
      <c r="W58" s="23" t="str">
        <f t="array" ref="W58">IFERROR(SMALL(IF(S$1:S$1000="BEGIN",ROW(S$1:S$1000)),ROW()-3),"")</f>
        <v/>
      </c>
      <c r="X58" s="23" t="str">
        <f t="array" ref="X58">IFERROR(SMALL(IF(T$1:T$1000="END",ROW(T$1:T$1000)),ROW()-3),"")</f>
        <v/>
      </c>
      <c r="Y58" s="33" t="str">
        <f t="array" ref="Y58">IF(ISNUMBER(W58),MAX(IF((B$4:B$1000&lt;=X58)*(B$4:B$1000&gt;=W58),I$4:I$1000, "")),"")</f>
        <v/>
      </c>
      <c r="Z58" s="33" t="str">
        <f t="shared" si="22"/>
        <v/>
      </c>
      <c r="AA58" s="32" t="str">
        <f t="shared" si="23"/>
        <v/>
      </c>
      <c r="AB58" s="32" t="str">
        <f t="shared" si="24"/>
        <v/>
      </c>
      <c r="AC58" s="32" t="str">
        <f t="shared" si="25"/>
        <v/>
      </c>
      <c r="AD58" s="32" t="str">
        <f t="shared" si="26"/>
        <v/>
      </c>
      <c r="AE58" s="34" t="str">
        <f t="shared" si="27"/>
        <v/>
      </c>
      <c r="AF58" s="32" t="str">
        <f t="shared" si="28"/>
        <v/>
      </c>
      <c r="AG58" s="32" t="str">
        <f t="shared" si="29"/>
        <v/>
      </c>
      <c r="AH58" s="32" t="str">
        <f t="shared" si="30"/>
        <v/>
      </c>
      <c r="AI58" s="35" t="str">
        <f t="shared" si="31"/>
        <v/>
      </c>
      <c r="AJ58" s="23" t="str">
        <f t="array" ref="AJ58">IFERROR(SMALL(IF(U$1:U$1000="BEGIN",ROW(U$1:U$1000)),ROW()-3),"")</f>
        <v/>
      </c>
      <c r="AK58" s="23" t="str">
        <f t="array" ref="AK58">IFERROR(SMALL(IF(V$1:V$1000="END",ROW(V$1:V$1000)),ROW()-3),"")</f>
        <v/>
      </c>
      <c r="AL58" s="24" t="str">
        <f t="array" ref="AL58">IF(AK58="","",MATCH(AM58,L:L,0))</f>
        <v/>
      </c>
      <c r="AM58" s="35">
        <f t="array" ref="AM58">MAX(IF((B$4:B$1000&lt;=AK58)*(B$4:B$1000&gt;=AJ58),L$4:L$1000, ""))</f>
        <v>0</v>
      </c>
      <c r="AN58" s="32" t="str">
        <f t="shared" si="50"/>
        <v/>
      </c>
      <c r="AO58" s="32" t="str">
        <f t="shared" si="51"/>
        <v/>
      </c>
      <c r="AP58" s="32" t="str">
        <f t="shared" si="52"/>
        <v/>
      </c>
      <c r="AQ58" s="32" t="str">
        <f t="shared" si="53"/>
        <v/>
      </c>
      <c r="AR58" s="32" t="str">
        <f t="shared" si="54"/>
        <v/>
      </c>
      <c r="AS58" s="32" t="str">
        <f t="shared" si="55"/>
        <v/>
      </c>
      <c r="AT58" s="32" t="str">
        <f t="shared" si="56"/>
        <v/>
      </c>
      <c r="AU58" s="34" t="str">
        <f t="shared" si="57"/>
        <v/>
      </c>
      <c r="AV58" s="32" t="str">
        <f t="shared" si="58"/>
        <v/>
      </c>
      <c r="AW58" s="32" t="str">
        <f t="shared" si="59"/>
        <v/>
      </c>
      <c r="AX58" s="32" t="str">
        <f t="shared" si="60"/>
        <v/>
      </c>
      <c r="AY58" s="32" t="str">
        <f t="shared" si="61"/>
        <v/>
      </c>
    </row>
    <row r="59" spans="1:51" x14ac:dyDescent="0.25">
      <c r="A59" s="24" t="str">
        <f t="shared" si="0"/>
        <v/>
      </c>
      <c r="B59" s="24" t="str">
        <f t="shared" si="11"/>
        <v/>
      </c>
      <c r="C59" s="32" t="str">
        <f t="shared" si="1"/>
        <v/>
      </c>
      <c r="D59" s="24" t="str">
        <f t="shared" si="2"/>
        <v/>
      </c>
      <c r="E59" s="24" t="str">
        <f t="shared" si="3"/>
        <v/>
      </c>
      <c r="F59" s="32" t="str">
        <f t="shared" si="4"/>
        <v/>
      </c>
      <c r="G59" s="32" t="str">
        <f t="shared" si="5"/>
        <v/>
      </c>
      <c r="H59" s="32" t="str">
        <f t="shared" ca="1" si="6"/>
        <v/>
      </c>
      <c r="I59" s="32" t="str">
        <f t="shared" ca="1" si="12"/>
        <v/>
      </c>
      <c r="J59" s="32" t="str">
        <f t="shared" si="7"/>
        <v/>
      </c>
      <c r="K59" s="32" t="str">
        <f>IF(ISNUMBER(A59),Profile!$V$25+Profile!$V$24*'Ri-Po'!C59,"")</f>
        <v/>
      </c>
      <c r="L59" s="32" t="str">
        <f t="shared" si="13"/>
        <v/>
      </c>
      <c r="M59" s="32" t="str">
        <f t="shared" si="8"/>
        <v/>
      </c>
      <c r="N59" s="32" t="str">
        <f t="shared" si="9"/>
        <v/>
      </c>
      <c r="O59" s="32" t="str">
        <f t="shared" si="44"/>
        <v/>
      </c>
      <c r="P59" s="32" t="str">
        <f t="shared" si="15"/>
        <v/>
      </c>
      <c r="Q59" s="32" t="str">
        <f t="shared" si="16"/>
        <v/>
      </c>
      <c r="R59" s="32" t="str">
        <f t="shared" si="45"/>
        <v/>
      </c>
      <c r="S59" s="24" t="str">
        <f t="shared" si="46"/>
        <v/>
      </c>
      <c r="T59" s="24" t="str">
        <f t="shared" si="47"/>
        <v/>
      </c>
      <c r="U59" s="24" t="str">
        <f t="shared" si="48"/>
        <v/>
      </c>
      <c r="V59" s="24" t="str">
        <f t="shared" si="49"/>
        <v/>
      </c>
      <c r="W59" s="23" t="str">
        <f t="array" ref="W59">IFERROR(SMALL(IF(S$1:S$1000="BEGIN",ROW(S$1:S$1000)),ROW()-3),"")</f>
        <v/>
      </c>
      <c r="X59" s="23" t="str">
        <f t="array" ref="X59">IFERROR(SMALL(IF(T$1:T$1000="END",ROW(T$1:T$1000)),ROW()-3),"")</f>
        <v/>
      </c>
      <c r="Y59" s="33" t="str">
        <f t="array" ref="Y59">IF(ISNUMBER(W59),MAX(IF((B$4:B$1000&lt;=X59)*(B$4:B$1000&gt;=W59),I$4:I$1000, "")),"")</f>
        <v/>
      </c>
      <c r="Z59" s="33" t="str">
        <f t="shared" si="22"/>
        <v/>
      </c>
      <c r="AA59" s="32" t="str">
        <f t="shared" si="23"/>
        <v/>
      </c>
      <c r="AB59" s="32" t="str">
        <f t="shared" si="24"/>
        <v/>
      </c>
      <c r="AC59" s="32" t="str">
        <f t="shared" si="25"/>
        <v/>
      </c>
      <c r="AD59" s="32" t="str">
        <f t="shared" si="26"/>
        <v/>
      </c>
      <c r="AE59" s="34" t="str">
        <f t="shared" si="27"/>
        <v/>
      </c>
      <c r="AF59" s="32" t="str">
        <f t="shared" si="28"/>
        <v/>
      </c>
      <c r="AG59" s="32" t="str">
        <f t="shared" si="29"/>
        <v/>
      </c>
      <c r="AH59" s="32" t="str">
        <f t="shared" si="30"/>
        <v/>
      </c>
      <c r="AI59" s="35" t="str">
        <f t="shared" si="31"/>
        <v/>
      </c>
      <c r="AJ59" s="23" t="str">
        <f t="array" ref="AJ59">IFERROR(SMALL(IF(U$1:U$1000="BEGIN",ROW(U$1:U$1000)),ROW()-3),"")</f>
        <v/>
      </c>
      <c r="AK59" s="23" t="str">
        <f t="array" ref="AK59">IFERROR(SMALL(IF(V$1:V$1000="END",ROW(V$1:V$1000)),ROW()-3),"")</f>
        <v/>
      </c>
      <c r="AL59" s="24" t="str">
        <f t="array" ref="AL59">IF(AK59="","",MATCH(AM59,L:L,0))</f>
        <v/>
      </c>
      <c r="AM59" s="35">
        <f t="array" ref="AM59">MAX(IF((B$4:B$1000&lt;=AK59)*(B$4:B$1000&gt;=AJ59),L$4:L$1000, ""))</f>
        <v>0</v>
      </c>
      <c r="AN59" s="32" t="str">
        <f t="shared" si="50"/>
        <v/>
      </c>
      <c r="AO59" s="32" t="str">
        <f t="shared" si="51"/>
        <v/>
      </c>
      <c r="AP59" s="32" t="str">
        <f t="shared" si="52"/>
        <v/>
      </c>
      <c r="AQ59" s="32" t="str">
        <f t="shared" si="53"/>
        <v/>
      </c>
      <c r="AR59" s="32" t="str">
        <f t="shared" si="54"/>
        <v/>
      </c>
      <c r="AS59" s="32" t="str">
        <f t="shared" si="55"/>
        <v/>
      </c>
      <c r="AT59" s="32" t="str">
        <f t="shared" si="56"/>
        <v/>
      </c>
      <c r="AU59" s="34" t="str">
        <f t="shared" si="57"/>
        <v/>
      </c>
      <c r="AV59" s="32" t="str">
        <f t="shared" si="58"/>
        <v/>
      </c>
      <c r="AW59" s="32" t="str">
        <f t="shared" si="59"/>
        <v/>
      </c>
      <c r="AX59" s="32" t="str">
        <f t="shared" si="60"/>
        <v/>
      </c>
      <c r="AY59" s="32" t="str">
        <f t="shared" si="61"/>
        <v/>
      </c>
    </row>
    <row r="60" spans="1:51" x14ac:dyDescent="0.25">
      <c r="A60" s="24" t="str">
        <f t="shared" si="0"/>
        <v/>
      </c>
      <c r="B60" s="24" t="str">
        <f t="shared" si="11"/>
        <v/>
      </c>
      <c r="C60" s="32" t="str">
        <f t="shared" si="1"/>
        <v/>
      </c>
      <c r="D60" s="24" t="str">
        <f t="shared" si="2"/>
        <v/>
      </c>
      <c r="E60" s="24" t="str">
        <f t="shared" si="3"/>
        <v/>
      </c>
      <c r="F60" s="32" t="str">
        <f t="shared" si="4"/>
        <v/>
      </c>
      <c r="G60" s="32" t="str">
        <f t="shared" si="5"/>
        <v/>
      </c>
      <c r="H60" s="32" t="str">
        <f t="shared" ca="1" si="6"/>
        <v/>
      </c>
      <c r="I60" s="32" t="str">
        <f t="shared" ca="1" si="12"/>
        <v/>
      </c>
      <c r="J60" s="32" t="str">
        <f t="shared" si="7"/>
        <v/>
      </c>
      <c r="K60" s="32" t="str">
        <f>IF(ISNUMBER(A60),Profile!$V$25+Profile!$V$24*'Ri-Po'!C60,"")</f>
        <v/>
      </c>
      <c r="L60" s="32" t="str">
        <f t="shared" si="13"/>
        <v/>
      </c>
      <c r="M60" s="32" t="str">
        <f t="shared" si="8"/>
        <v/>
      </c>
      <c r="N60" s="32" t="str">
        <f t="shared" si="9"/>
        <v/>
      </c>
      <c r="O60" s="32" t="str">
        <f t="shared" si="44"/>
        <v/>
      </c>
      <c r="P60" s="32" t="str">
        <f t="shared" si="15"/>
        <v/>
      </c>
      <c r="Q60" s="32" t="str">
        <f t="shared" si="16"/>
        <v/>
      </c>
      <c r="R60" s="32" t="str">
        <f t="shared" si="45"/>
        <v/>
      </c>
      <c r="S60" s="24" t="str">
        <f t="shared" si="46"/>
        <v/>
      </c>
      <c r="T60" s="24" t="str">
        <f t="shared" si="47"/>
        <v/>
      </c>
      <c r="U60" s="24" t="str">
        <f t="shared" si="48"/>
        <v/>
      </c>
      <c r="V60" s="24" t="str">
        <f t="shared" si="49"/>
        <v/>
      </c>
      <c r="W60" s="23" t="str">
        <f t="array" ref="W60">IFERROR(SMALL(IF(S$1:S$1000="BEGIN",ROW(S$1:S$1000)),ROW()-3),"")</f>
        <v/>
      </c>
      <c r="X60" s="23" t="str">
        <f t="array" ref="X60">IFERROR(SMALL(IF(T$1:T$1000="END",ROW(T$1:T$1000)),ROW()-3),"")</f>
        <v/>
      </c>
      <c r="Y60" s="33" t="str">
        <f t="array" ref="Y60">IF(ISNUMBER(W60),MAX(IF((B$4:B$1000&lt;=X60)*(B$4:B$1000&gt;=W60),I$4:I$1000, "")),"")</f>
        <v/>
      </c>
      <c r="Z60" s="33" t="str">
        <f t="shared" si="22"/>
        <v/>
      </c>
      <c r="AA60" s="32" t="str">
        <f t="shared" si="23"/>
        <v/>
      </c>
      <c r="AB60" s="32" t="str">
        <f t="shared" si="24"/>
        <v/>
      </c>
      <c r="AC60" s="32" t="str">
        <f t="shared" si="25"/>
        <v/>
      </c>
      <c r="AD60" s="32" t="str">
        <f t="shared" si="26"/>
        <v/>
      </c>
      <c r="AE60" s="34" t="str">
        <f t="shared" si="27"/>
        <v/>
      </c>
      <c r="AF60" s="32" t="str">
        <f t="shared" si="28"/>
        <v/>
      </c>
      <c r="AG60" s="32" t="str">
        <f t="shared" si="29"/>
        <v/>
      </c>
      <c r="AH60" s="32" t="str">
        <f t="shared" si="30"/>
        <v/>
      </c>
      <c r="AI60" s="35" t="str">
        <f t="shared" si="31"/>
        <v/>
      </c>
      <c r="AJ60" s="23" t="str">
        <f t="array" ref="AJ60">IFERROR(SMALL(IF(U$1:U$1000="BEGIN",ROW(U$1:U$1000)),ROW()-3),"")</f>
        <v/>
      </c>
      <c r="AK60" s="23" t="str">
        <f t="array" ref="AK60">IFERROR(SMALL(IF(V$1:V$1000="END",ROW(V$1:V$1000)),ROW()-3),"")</f>
        <v/>
      </c>
      <c r="AL60" s="24" t="str">
        <f t="array" ref="AL60">IF(AK60="","",MATCH(AM60,L:L,0))</f>
        <v/>
      </c>
      <c r="AM60" s="35">
        <f t="array" ref="AM60">MAX(IF((B$4:B$1000&lt;=AK60)*(B$4:B$1000&gt;=AJ60),L$4:L$1000, ""))</f>
        <v>0</v>
      </c>
      <c r="AN60" s="32" t="str">
        <f t="shared" si="50"/>
        <v/>
      </c>
      <c r="AO60" s="32" t="str">
        <f t="shared" si="51"/>
        <v/>
      </c>
      <c r="AP60" s="32" t="str">
        <f t="shared" si="52"/>
        <v/>
      </c>
      <c r="AQ60" s="32" t="str">
        <f t="shared" si="53"/>
        <v/>
      </c>
      <c r="AR60" s="32" t="str">
        <f t="shared" si="54"/>
        <v/>
      </c>
      <c r="AS60" s="32" t="str">
        <f t="shared" si="55"/>
        <v/>
      </c>
      <c r="AT60" s="32" t="str">
        <f t="shared" si="56"/>
        <v/>
      </c>
      <c r="AU60" s="34" t="str">
        <f t="shared" si="57"/>
        <v/>
      </c>
      <c r="AV60" s="32" t="str">
        <f t="shared" si="58"/>
        <v/>
      </c>
      <c r="AW60" s="32" t="str">
        <f t="shared" si="59"/>
        <v/>
      </c>
      <c r="AX60" s="32" t="str">
        <f t="shared" si="60"/>
        <v/>
      </c>
      <c r="AY60" s="32" t="str">
        <f t="shared" si="61"/>
        <v/>
      </c>
    </row>
    <row r="61" spans="1:51" x14ac:dyDescent="0.25">
      <c r="A61" s="24" t="str">
        <f t="shared" si="0"/>
        <v/>
      </c>
      <c r="B61" s="24" t="str">
        <f t="shared" si="11"/>
        <v/>
      </c>
      <c r="C61" s="32" t="str">
        <f t="shared" si="1"/>
        <v/>
      </c>
      <c r="D61" s="24" t="str">
        <f t="shared" si="2"/>
        <v/>
      </c>
      <c r="E61" s="24" t="str">
        <f t="shared" si="3"/>
        <v/>
      </c>
      <c r="F61" s="32" t="str">
        <f t="shared" si="4"/>
        <v/>
      </c>
      <c r="G61" s="32" t="str">
        <f t="shared" si="5"/>
        <v/>
      </c>
      <c r="H61" s="32" t="str">
        <f t="shared" ca="1" si="6"/>
        <v/>
      </c>
      <c r="I61" s="32" t="str">
        <f t="shared" ca="1" si="12"/>
        <v/>
      </c>
      <c r="J61" s="32" t="str">
        <f t="shared" si="7"/>
        <v/>
      </c>
      <c r="K61" s="32" t="str">
        <f>IF(ISNUMBER(A61),Profile!$V$25+Profile!$V$24*'Ri-Po'!C61,"")</f>
        <v/>
      </c>
      <c r="L61" s="32" t="str">
        <f t="shared" si="13"/>
        <v/>
      </c>
      <c r="M61" s="32" t="str">
        <f t="shared" si="8"/>
        <v/>
      </c>
      <c r="N61" s="32" t="str">
        <f t="shared" si="9"/>
        <v/>
      </c>
      <c r="O61" s="32" t="str">
        <f t="shared" si="44"/>
        <v/>
      </c>
      <c r="P61" s="32" t="str">
        <f t="shared" si="15"/>
        <v/>
      </c>
      <c r="Q61" s="32" t="str">
        <f t="shared" si="16"/>
        <v/>
      </c>
      <c r="R61" s="32" t="str">
        <f t="shared" si="45"/>
        <v/>
      </c>
      <c r="S61" s="24" t="str">
        <f t="shared" si="46"/>
        <v/>
      </c>
      <c r="T61" s="24" t="str">
        <f t="shared" si="47"/>
        <v/>
      </c>
      <c r="U61" s="24" t="str">
        <f t="shared" si="48"/>
        <v/>
      </c>
      <c r="V61" s="24" t="str">
        <f t="shared" si="49"/>
        <v/>
      </c>
      <c r="W61" s="23" t="str">
        <f t="array" ref="W61">IFERROR(SMALL(IF(S$1:S$1000="BEGIN",ROW(S$1:S$1000)),ROW()-3),"")</f>
        <v/>
      </c>
      <c r="X61" s="23" t="str">
        <f t="array" ref="X61">IFERROR(SMALL(IF(T$1:T$1000="END",ROW(T$1:T$1000)),ROW()-3),"")</f>
        <v/>
      </c>
      <c r="Y61" s="33" t="str">
        <f t="array" ref="Y61">IF(ISNUMBER(W61),MAX(IF((B$4:B$1000&lt;=X61)*(B$4:B$1000&gt;=W61),I$4:I$1000, "")),"")</f>
        <v/>
      </c>
      <c r="Z61" s="33" t="str">
        <f t="shared" si="22"/>
        <v/>
      </c>
      <c r="AA61" s="32" t="str">
        <f t="shared" si="23"/>
        <v/>
      </c>
      <c r="AB61" s="32" t="str">
        <f t="shared" si="24"/>
        <v/>
      </c>
      <c r="AC61" s="32" t="str">
        <f t="shared" si="25"/>
        <v/>
      </c>
      <c r="AD61" s="32" t="str">
        <f t="shared" si="26"/>
        <v/>
      </c>
      <c r="AE61" s="34" t="str">
        <f t="shared" si="27"/>
        <v/>
      </c>
      <c r="AF61" s="32" t="str">
        <f t="shared" si="28"/>
        <v/>
      </c>
      <c r="AG61" s="32" t="str">
        <f t="shared" si="29"/>
        <v/>
      </c>
      <c r="AH61" s="32" t="str">
        <f t="shared" si="30"/>
        <v/>
      </c>
      <c r="AI61" s="35" t="str">
        <f t="shared" si="31"/>
        <v/>
      </c>
      <c r="AJ61" s="23" t="str">
        <f t="array" ref="AJ61">IFERROR(SMALL(IF(U$1:U$1000="BEGIN",ROW(U$1:U$1000)),ROW()-3),"")</f>
        <v/>
      </c>
      <c r="AK61" s="23" t="str">
        <f t="array" ref="AK61">IFERROR(SMALL(IF(V$1:V$1000="END",ROW(V$1:V$1000)),ROW()-3),"")</f>
        <v/>
      </c>
      <c r="AL61" s="24" t="str">
        <f t="array" ref="AL61">IF(AK61="","",MATCH(AM61,L:L,0))</f>
        <v/>
      </c>
      <c r="AM61" s="35">
        <f t="array" ref="AM61">MAX(IF((B$4:B$1000&lt;=AK61)*(B$4:B$1000&gt;=AJ61),L$4:L$1000, ""))</f>
        <v>0</v>
      </c>
      <c r="AN61" s="32" t="str">
        <f t="shared" si="50"/>
        <v/>
      </c>
      <c r="AO61" s="32" t="str">
        <f t="shared" si="51"/>
        <v/>
      </c>
      <c r="AP61" s="32" t="str">
        <f t="shared" si="52"/>
        <v/>
      </c>
      <c r="AQ61" s="32" t="str">
        <f t="shared" si="53"/>
        <v/>
      </c>
      <c r="AR61" s="32" t="str">
        <f t="shared" si="54"/>
        <v/>
      </c>
      <c r="AS61" s="32" t="str">
        <f t="shared" si="55"/>
        <v/>
      </c>
      <c r="AT61" s="32" t="str">
        <f t="shared" si="56"/>
        <v/>
      </c>
      <c r="AU61" s="34" t="str">
        <f t="shared" si="57"/>
        <v/>
      </c>
      <c r="AV61" s="32" t="str">
        <f t="shared" si="58"/>
        <v/>
      </c>
      <c r="AW61" s="32" t="str">
        <f t="shared" si="59"/>
        <v/>
      </c>
      <c r="AX61" s="32" t="str">
        <f t="shared" si="60"/>
        <v/>
      </c>
      <c r="AY61" s="32" t="str">
        <f t="shared" si="61"/>
        <v/>
      </c>
    </row>
    <row r="62" spans="1:51" x14ac:dyDescent="0.25">
      <c r="A62" s="24" t="str">
        <f t="shared" si="0"/>
        <v/>
      </c>
      <c r="B62" s="24" t="str">
        <f t="shared" si="11"/>
        <v/>
      </c>
      <c r="C62" s="32" t="str">
        <f t="shared" si="1"/>
        <v/>
      </c>
      <c r="D62" s="24" t="str">
        <f t="shared" si="2"/>
        <v/>
      </c>
      <c r="E62" s="24" t="str">
        <f t="shared" si="3"/>
        <v/>
      </c>
      <c r="F62" s="32" t="str">
        <f t="shared" si="4"/>
        <v/>
      </c>
      <c r="G62" s="32" t="str">
        <f t="shared" si="5"/>
        <v/>
      </c>
      <c r="H62" s="32" t="str">
        <f t="shared" ca="1" si="6"/>
        <v/>
      </c>
      <c r="I62" s="32" t="str">
        <f t="shared" ca="1" si="12"/>
        <v/>
      </c>
      <c r="J62" s="32" t="str">
        <f t="shared" si="7"/>
        <v/>
      </c>
      <c r="K62" s="32" t="str">
        <f>IF(ISNUMBER(A62),Profile!$V$25+Profile!$V$24*'Ri-Po'!C62,"")</f>
        <v/>
      </c>
      <c r="L62" s="32" t="str">
        <f t="shared" si="13"/>
        <v/>
      </c>
      <c r="M62" s="32" t="str">
        <f t="shared" si="8"/>
        <v/>
      </c>
      <c r="N62" s="32" t="str">
        <f t="shared" si="9"/>
        <v/>
      </c>
      <c r="O62" s="32" t="str">
        <f t="shared" si="44"/>
        <v/>
      </c>
      <c r="P62" s="32" t="str">
        <f t="shared" si="15"/>
        <v/>
      </c>
      <c r="Q62" s="32" t="str">
        <f t="shared" si="16"/>
        <v/>
      </c>
      <c r="R62" s="32" t="str">
        <f t="shared" si="45"/>
        <v/>
      </c>
      <c r="S62" s="24" t="str">
        <f t="shared" si="46"/>
        <v/>
      </c>
      <c r="T62" s="24" t="str">
        <f t="shared" si="47"/>
        <v/>
      </c>
      <c r="U62" s="24" t="str">
        <f t="shared" si="48"/>
        <v/>
      </c>
      <c r="V62" s="24" t="str">
        <f t="shared" si="49"/>
        <v/>
      </c>
      <c r="W62" s="23" t="str">
        <f t="array" ref="W62">IFERROR(SMALL(IF(S$1:S$1000="BEGIN",ROW(S$1:S$1000)),ROW()-3),"")</f>
        <v/>
      </c>
      <c r="X62" s="23" t="str">
        <f t="array" ref="X62">IFERROR(SMALL(IF(T$1:T$1000="END",ROW(T$1:T$1000)),ROW()-3),"")</f>
        <v/>
      </c>
      <c r="Y62" s="33" t="str">
        <f t="array" ref="Y62">IF(ISNUMBER(W62),MAX(IF((B$4:B$1000&lt;=X62)*(B$4:B$1000&gt;=W62),I$4:I$1000, "")),"")</f>
        <v/>
      </c>
      <c r="Z62" s="33" t="str">
        <f t="shared" si="22"/>
        <v/>
      </c>
      <c r="AA62" s="32" t="str">
        <f t="shared" si="23"/>
        <v/>
      </c>
      <c r="AB62" s="32" t="str">
        <f t="shared" si="24"/>
        <v/>
      </c>
      <c r="AC62" s="32" t="str">
        <f t="shared" si="25"/>
        <v/>
      </c>
      <c r="AD62" s="32" t="str">
        <f t="shared" si="26"/>
        <v/>
      </c>
      <c r="AE62" s="34" t="str">
        <f t="shared" si="27"/>
        <v/>
      </c>
      <c r="AF62" s="32" t="str">
        <f t="shared" si="28"/>
        <v/>
      </c>
      <c r="AG62" s="32" t="str">
        <f t="shared" si="29"/>
        <v/>
      </c>
      <c r="AH62" s="32" t="str">
        <f t="shared" si="30"/>
        <v/>
      </c>
      <c r="AI62" s="35" t="str">
        <f t="shared" si="31"/>
        <v/>
      </c>
      <c r="AJ62" s="23" t="str">
        <f t="array" ref="AJ62">IFERROR(SMALL(IF(U$1:U$1000="BEGIN",ROW(U$1:U$1000)),ROW()-3),"")</f>
        <v/>
      </c>
      <c r="AK62" s="23" t="str">
        <f t="array" ref="AK62">IFERROR(SMALL(IF(V$1:V$1000="END",ROW(V$1:V$1000)),ROW()-3),"")</f>
        <v/>
      </c>
      <c r="AL62" s="24" t="str">
        <f t="array" ref="AL62">IF(AK62="","",MATCH(AM62,L:L,0))</f>
        <v/>
      </c>
      <c r="AM62" s="35">
        <f t="array" ref="AM62">MAX(IF((B$4:B$1000&lt;=AK62)*(B$4:B$1000&gt;=AJ62),L$4:L$1000, ""))</f>
        <v>0</v>
      </c>
      <c r="AN62" s="32" t="str">
        <f t="shared" si="50"/>
        <v/>
      </c>
      <c r="AO62" s="32" t="str">
        <f t="shared" si="51"/>
        <v/>
      </c>
      <c r="AP62" s="32" t="str">
        <f t="shared" si="52"/>
        <v/>
      </c>
      <c r="AQ62" s="32" t="str">
        <f t="shared" si="53"/>
        <v/>
      </c>
      <c r="AR62" s="32" t="str">
        <f t="shared" si="54"/>
        <v/>
      </c>
      <c r="AS62" s="32" t="str">
        <f t="shared" si="55"/>
        <v/>
      </c>
      <c r="AT62" s="32" t="str">
        <f t="shared" si="56"/>
        <v/>
      </c>
      <c r="AU62" s="34" t="str">
        <f t="shared" si="57"/>
        <v/>
      </c>
      <c r="AV62" s="32" t="str">
        <f t="shared" si="58"/>
        <v/>
      </c>
      <c r="AW62" s="32" t="str">
        <f t="shared" si="59"/>
        <v/>
      </c>
      <c r="AX62" s="32" t="str">
        <f t="shared" si="60"/>
        <v/>
      </c>
      <c r="AY62" s="32" t="str">
        <f t="shared" si="61"/>
        <v/>
      </c>
    </row>
    <row r="63" spans="1:51" x14ac:dyDescent="0.25">
      <c r="A63" s="24" t="str">
        <f t="shared" si="0"/>
        <v/>
      </c>
      <c r="B63" s="24" t="str">
        <f t="shared" si="11"/>
        <v/>
      </c>
      <c r="C63" s="32" t="str">
        <f t="shared" si="1"/>
        <v/>
      </c>
      <c r="D63" s="24" t="str">
        <f t="shared" si="2"/>
        <v/>
      </c>
      <c r="E63" s="24" t="str">
        <f t="shared" si="3"/>
        <v/>
      </c>
      <c r="F63" s="32" t="str">
        <f t="shared" si="4"/>
        <v/>
      </c>
      <c r="G63" s="32" t="str">
        <f t="shared" si="5"/>
        <v/>
      </c>
      <c r="H63" s="32" t="str">
        <f t="shared" ca="1" si="6"/>
        <v/>
      </c>
      <c r="I63" s="32" t="str">
        <f t="shared" ca="1" si="12"/>
        <v/>
      </c>
      <c r="J63" s="32" t="str">
        <f t="shared" si="7"/>
        <v/>
      </c>
      <c r="K63" s="32" t="str">
        <f>IF(ISNUMBER(A63),Profile!$V$25+Profile!$V$24*'Ri-Po'!C63,"")</f>
        <v/>
      </c>
      <c r="L63" s="32" t="str">
        <f t="shared" si="13"/>
        <v/>
      </c>
      <c r="M63" s="32" t="str">
        <f t="shared" si="8"/>
        <v/>
      </c>
      <c r="N63" s="32" t="str">
        <f t="shared" si="9"/>
        <v/>
      </c>
      <c r="O63" s="32" t="str">
        <f t="shared" si="44"/>
        <v/>
      </c>
      <c r="P63" s="32" t="str">
        <f t="shared" si="15"/>
        <v/>
      </c>
      <c r="Q63" s="32" t="str">
        <f t="shared" si="16"/>
        <v/>
      </c>
      <c r="R63" s="32" t="str">
        <f t="shared" si="45"/>
        <v/>
      </c>
      <c r="S63" s="24" t="str">
        <f t="shared" si="46"/>
        <v/>
      </c>
      <c r="T63" s="24" t="str">
        <f t="shared" si="47"/>
        <v/>
      </c>
      <c r="U63" s="24" t="str">
        <f t="shared" si="48"/>
        <v/>
      </c>
      <c r="V63" s="24" t="str">
        <f t="shared" si="49"/>
        <v/>
      </c>
      <c r="W63" s="23" t="str">
        <f t="array" ref="W63">IFERROR(SMALL(IF(S$1:S$1000="BEGIN",ROW(S$1:S$1000)),ROW()-3),"")</f>
        <v/>
      </c>
      <c r="X63" s="23" t="str">
        <f t="array" ref="X63">IFERROR(SMALL(IF(T$1:T$1000="END",ROW(T$1:T$1000)),ROW()-3),"")</f>
        <v/>
      </c>
      <c r="Y63" s="33" t="str">
        <f t="array" ref="Y63">IF(ISNUMBER(W63),MAX(IF((B$4:B$1000&lt;=X63)*(B$4:B$1000&gt;=W63),I$4:I$1000, "")),"")</f>
        <v/>
      </c>
      <c r="Z63" s="33" t="str">
        <f t="shared" si="22"/>
        <v/>
      </c>
      <c r="AA63" s="32" t="str">
        <f t="shared" si="23"/>
        <v/>
      </c>
      <c r="AB63" s="32" t="str">
        <f t="shared" si="24"/>
        <v/>
      </c>
      <c r="AC63" s="32" t="str">
        <f t="shared" si="25"/>
        <v/>
      </c>
      <c r="AD63" s="32" t="str">
        <f t="shared" si="26"/>
        <v/>
      </c>
      <c r="AE63" s="34" t="str">
        <f t="shared" si="27"/>
        <v/>
      </c>
      <c r="AF63" s="32" t="str">
        <f t="shared" si="28"/>
        <v/>
      </c>
      <c r="AG63" s="32" t="str">
        <f t="shared" si="29"/>
        <v/>
      </c>
      <c r="AH63" s="32" t="str">
        <f t="shared" si="30"/>
        <v/>
      </c>
      <c r="AI63" s="35" t="str">
        <f t="shared" si="31"/>
        <v/>
      </c>
      <c r="AJ63" s="23" t="str">
        <f t="array" ref="AJ63">IFERROR(SMALL(IF(U$1:U$1000="BEGIN",ROW(U$1:U$1000)),ROW()-3),"")</f>
        <v/>
      </c>
      <c r="AK63" s="23" t="str">
        <f t="array" ref="AK63">IFERROR(SMALL(IF(V$1:V$1000="END",ROW(V$1:V$1000)),ROW()-3),"")</f>
        <v/>
      </c>
      <c r="AL63" s="24" t="str">
        <f t="array" ref="AL63">IF(AK63="","",MATCH(AM63,L:L,0))</f>
        <v/>
      </c>
      <c r="AM63" s="35">
        <f t="array" ref="AM63">MAX(IF((B$4:B$1000&lt;=AK63)*(B$4:B$1000&gt;=AJ63),L$4:L$1000, ""))</f>
        <v>0</v>
      </c>
      <c r="AN63" s="32" t="str">
        <f t="shared" si="50"/>
        <v/>
      </c>
      <c r="AO63" s="32" t="str">
        <f t="shared" si="51"/>
        <v/>
      </c>
      <c r="AP63" s="32" t="str">
        <f t="shared" si="52"/>
        <v/>
      </c>
      <c r="AQ63" s="32" t="str">
        <f t="shared" si="53"/>
        <v/>
      </c>
      <c r="AR63" s="32" t="str">
        <f t="shared" si="54"/>
        <v/>
      </c>
      <c r="AS63" s="32" t="str">
        <f t="shared" si="55"/>
        <v/>
      </c>
      <c r="AT63" s="32" t="str">
        <f t="shared" si="56"/>
        <v/>
      </c>
      <c r="AU63" s="34" t="str">
        <f t="shared" si="57"/>
        <v/>
      </c>
      <c r="AV63" s="32" t="str">
        <f t="shared" si="58"/>
        <v/>
      </c>
      <c r="AW63" s="32" t="str">
        <f t="shared" si="59"/>
        <v/>
      </c>
      <c r="AX63" s="32" t="str">
        <f t="shared" si="60"/>
        <v/>
      </c>
      <c r="AY63" s="32" t="str">
        <f t="shared" si="61"/>
        <v/>
      </c>
    </row>
    <row r="64" spans="1:51" x14ac:dyDescent="0.25">
      <c r="A64" s="24" t="str">
        <f t="shared" si="0"/>
        <v/>
      </c>
      <c r="B64" s="24" t="str">
        <f t="shared" si="11"/>
        <v/>
      </c>
      <c r="C64" s="32" t="str">
        <f t="shared" si="1"/>
        <v/>
      </c>
      <c r="D64" s="24" t="str">
        <f t="shared" si="2"/>
        <v/>
      </c>
      <c r="E64" s="24" t="str">
        <f t="shared" si="3"/>
        <v/>
      </c>
      <c r="F64" s="32" t="str">
        <f t="shared" si="4"/>
        <v/>
      </c>
      <c r="G64" s="32" t="str">
        <f t="shared" si="5"/>
        <v/>
      </c>
      <c r="H64" s="32" t="str">
        <f t="shared" ca="1" si="6"/>
        <v/>
      </c>
      <c r="I64" s="32" t="str">
        <f t="shared" ca="1" si="12"/>
        <v/>
      </c>
      <c r="J64" s="32" t="str">
        <f t="shared" si="7"/>
        <v/>
      </c>
      <c r="K64" s="32" t="str">
        <f>IF(ISNUMBER(A64),Profile!$V$25+Profile!$V$24*'Ri-Po'!C64,"")</f>
        <v/>
      </c>
      <c r="L64" s="32" t="str">
        <f t="shared" si="13"/>
        <v/>
      </c>
      <c r="M64" s="32" t="str">
        <f t="shared" si="8"/>
        <v/>
      </c>
      <c r="N64" s="32" t="str">
        <f t="shared" si="9"/>
        <v/>
      </c>
      <c r="O64" s="32" t="str">
        <f t="shared" si="44"/>
        <v/>
      </c>
      <c r="P64" s="32" t="str">
        <f t="shared" si="15"/>
        <v/>
      </c>
      <c r="Q64" s="32" t="str">
        <f t="shared" si="16"/>
        <v/>
      </c>
      <c r="R64" s="32" t="str">
        <f t="shared" si="45"/>
        <v/>
      </c>
      <c r="S64" s="24" t="str">
        <f t="shared" si="46"/>
        <v/>
      </c>
      <c r="T64" s="24" t="str">
        <f t="shared" si="47"/>
        <v/>
      </c>
      <c r="U64" s="24" t="str">
        <f t="shared" si="48"/>
        <v/>
      </c>
      <c r="V64" s="24" t="str">
        <f t="shared" si="49"/>
        <v/>
      </c>
      <c r="W64" s="23" t="str">
        <f t="array" ref="W64">IFERROR(SMALL(IF(S$1:S$1000="BEGIN",ROW(S$1:S$1000)),ROW()-3),"")</f>
        <v/>
      </c>
      <c r="X64" s="23" t="str">
        <f t="array" ref="X64">IFERROR(SMALL(IF(T$1:T$1000="END",ROW(T$1:T$1000)),ROW()-3),"")</f>
        <v/>
      </c>
      <c r="Y64" s="33" t="str">
        <f t="array" ref="Y64">IF(ISNUMBER(W64),MAX(IF((B$4:B$1000&lt;=X64)*(B$4:B$1000&gt;=W64),I$4:I$1000, "")),"")</f>
        <v/>
      </c>
      <c r="Z64" s="33" t="str">
        <f t="shared" si="22"/>
        <v/>
      </c>
      <c r="AA64" s="32" t="str">
        <f t="shared" si="23"/>
        <v/>
      </c>
      <c r="AB64" s="32" t="str">
        <f t="shared" si="24"/>
        <v/>
      </c>
      <c r="AC64" s="32" t="str">
        <f t="shared" si="25"/>
        <v/>
      </c>
      <c r="AD64" s="32" t="str">
        <f t="shared" si="26"/>
        <v/>
      </c>
      <c r="AE64" s="34" t="str">
        <f t="shared" si="27"/>
        <v/>
      </c>
      <c r="AF64" s="32" t="str">
        <f t="shared" si="28"/>
        <v/>
      </c>
      <c r="AG64" s="32" t="str">
        <f t="shared" si="29"/>
        <v/>
      </c>
      <c r="AH64" s="32" t="str">
        <f t="shared" si="30"/>
        <v/>
      </c>
      <c r="AI64" s="35" t="str">
        <f t="shared" si="31"/>
        <v/>
      </c>
      <c r="AJ64" s="23" t="str">
        <f t="array" ref="AJ64">IFERROR(SMALL(IF(U$1:U$1000="BEGIN",ROW(U$1:U$1000)),ROW()-3),"")</f>
        <v/>
      </c>
      <c r="AK64" s="23" t="str">
        <f t="array" ref="AK64">IFERROR(SMALL(IF(V$1:V$1000="END",ROW(V$1:V$1000)),ROW()-3),"")</f>
        <v/>
      </c>
      <c r="AL64" s="24" t="str">
        <f t="array" ref="AL64">IF(AK64="","",MATCH(AM64,L:L,0))</f>
        <v/>
      </c>
      <c r="AM64" s="35">
        <f t="array" ref="AM64">MAX(IF((B$4:B$1000&lt;=AK64)*(B$4:B$1000&gt;=AJ64),L$4:L$1000, ""))</f>
        <v>0</v>
      </c>
      <c r="AN64" s="32" t="str">
        <f t="shared" si="50"/>
        <v/>
      </c>
      <c r="AO64" s="32" t="str">
        <f t="shared" si="51"/>
        <v/>
      </c>
      <c r="AP64" s="32" t="str">
        <f t="shared" si="52"/>
        <v/>
      </c>
      <c r="AQ64" s="32" t="str">
        <f t="shared" si="53"/>
        <v/>
      </c>
      <c r="AR64" s="32" t="str">
        <f t="shared" si="54"/>
        <v/>
      </c>
      <c r="AS64" s="32" t="str">
        <f t="shared" si="55"/>
        <v/>
      </c>
      <c r="AT64" s="32" t="str">
        <f t="shared" si="56"/>
        <v/>
      </c>
      <c r="AU64" s="34" t="str">
        <f t="shared" si="57"/>
        <v/>
      </c>
      <c r="AV64" s="32" t="str">
        <f t="shared" si="58"/>
        <v/>
      </c>
      <c r="AW64" s="32" t="str">
        <f t="shared" si="59"/>
        <v/>
      </c>
      <c r="AX64" s="32" t="str">
        <f t="shared" si="60"/>
        <v/>
      </c>
      <c r="AY64" s="32" t="str">
        <f t="shared" si="61"/>
        <v/>
      </c>
    </row>
    <row r="65" spans="1:51" x14ac:dyDescent="0.25">
      <c r="A65" s="24" t="str">
        <f t="shared" si="0"/>
        <v/>
      </c>
      <c r="B65" s="24" t="str">
        <f t="shared" si="11"/>
        <v/>
      </c>
      <c r="C65" s="32" t="str">
        <f t="shared" si="1"/>
        <v/>
      </c>
      <c r="D65" s="24" t="str">
        <f t="shared" si="2"/>
        <v/>
      </c>
      <c r="E65" s="24" t="str">
        <f t="shared" si="3"/>
        <v/>
      </c>
      <c r="F65" s="32" t="str">
        <f t="shared" si="4"/>
        <v/>
      </c>
      <c r="G65" s="32" t="str">
        <f t="shared" si="5"/>
        <v/>
      </c>
      <c r="H65" s="32" t="str">
        <f t="shared" ca="1" si="6"/>
        <v/>
      </c>
      <c r="I65" s="32" t="str">
        <f t="shared" ca="1" si="12"/>
        <v/>
      </c>
      <c r="J65" s="32" t="str">
        <f t="shared" si="7"/>
        <v/>
      </c>
      <c r="K65" s="32" t="str">
        <f>IF(ISNUMBER(A65),Profile!$V$25+Profile!$V$24*'Ri-Po'!C65,"")</f>
        <v/>
      </c>
      <c r="L65" s="32" t="str">
        <f t="shared" si="13"/>
        <v/>
      </c>
      <c r="M65" s="32" t="str">
        <f t="shared" si="8"/>
        <v/>
      </c>
      <c r="N65" s="32" t="str">
        <f t="shared" si="9"/>
        <v/>
      </c>
      <c r="O65" s="32" t="str">
        <f t="shared" si="44"/>
        <v/>
      </c>
      <c r="P65" s="32" t="str">
        <f t="shared" si="15"/>
        <v/>
      </c>
      <c r="Q65" s="32" t="str">
        <f t="shared" si="16"/>
        <v/>
      </c>
      <c r="R65" s="32" t="str">
        <f t="shared" si="45"/>
        <v/>
      </c>
      <c r="S65" s="24" t="str">
        <f t="shared" si="46"/>
        <v/>
      </c>
      <c r="T65" s="24" t="str">
        <f t="shared" si="47"/>
        <v/>
      </c>
      <c r="U65" s="24" t="str">
        <f t="shared" si="48"/>
        <v/>
      </c>
      <c r="V65" s="24" t="str">
        <f t="shared" si="49"/>
        <v/>
      </c>
      <c r="W65" s="23" t="str">
        <f t="array" ref="W65">IFERROR(SMALL(IF(S$1:S$1000="BEGIN",ROW(S$1:S$1000)),ROW()-3),"")</f>
        <v/>
      </c>
      <c r="X65" s="23" t="str">
        <f t="array" ref="X65">IFERROR(SMALL(IF(T$1:T$1000="END",ROW(T$1:T$1000)),ROW()-3),"")</f>
        <v/>
      </c>
      <c r="Y65" s="33" t="str">
        <f t="array" ref="Y65">IF(ISNUMBER(W65),MAX(IF((B$4:B$1000&lt;=X65)*(B$4:B$1000&gt;=W65),I$4:I$1000, "")),"")</f>
        <v/>
      </c>
      <c r="Z65" s="33" t="str">
        <f t="shared" si="22"/>
        <v/>
      </c>
      <c r="AA65" s="32" t="str">
        <f t="shared" si="23"/>
        <v/>
      </c>
      <c r="AB65" s="32" t="str">
        <f t="shared" si="24"/>
        <v/>
      </c>
      <c r="AC65" s="32" t="str">
        <f t="shared" si="25"/>
        <v/>
      </c>
      <c r="AD65" s="32" t="str">
        <f t="shared" si="26"/>
        <v/>
      </c>
      <c r="AE65" s="34" t="str">
        <f t="shared" si="27"/>
        <v/>
      </c>
      <c r="AF65" s="32" t="str">
        <f t="shared" si="28"/>
        <v/>
      </c>
      <c r="AG65" s="32" t="str">
        <f t="shared" si="29"/>
        <v/>
      </c>
      <c r="AH65" s="32" t="str">
        <f t="shared" si="30"/>
        <v/>
      </c>
      <c r="AI65" s="35" t="str">
        <f t="shared" si="31"/>
        <v/>
      </c>
      <c r="AJ65" s="23" t="str">
        <f t="array" ref="AJ65">IFERROR(SMALL(IF(U$1:U$1000="BEGIN",ROW(U$1:U$1000)),ROW()-3),"")</f>
        <v/>
      </c>
      <c r="AK65" s="23" t="str">
        <f t="array" ref="AK65">IFERROR(SMALL(IF(V$1:V$1000="END",ROW(V$1:V$1000)),ROW()-3),"")</f>
        <v/>
      </c>
      <c r="AL65" s="24" t="str">
        <f t="array" ref="AL65">IF(AK65="","",MATCH(AM65,L:L,0))</f>
        <v/>
      </c>
      <c r="AM65" s="35">
        <f t="array" ref="AM65">MAX(IF((B$4:B$1000&lt;=AK65)*(B$4:B$1000&gt;=AJ65),L$4:L$1000, ""))</f>
        <v>0</v>
      </c>
      <c r="AN65" s="32" t="str">
        <f t="shared" si="50"/>
        <v/>
      </c>
      <c r="AO65" s="32" t="str">
        <f t="shared" si="51"/>
        <v/>
      </c>
      <c r="AP65" s="32" t="str">
        <f t="shared" si="52"/>
        <v/>
      </c>
      <c r="AQ65" s="32" t="str">
        <f t="shared" si="53"/>
        <v/>
      </c>
      <c r="AR65" s="32" t="str">
        <f t="shared" si="54"/>
        <v/>
      </c>
      <c r="AS65" s="32" t="str">
        <f t="shared" si="55"/>
        <v/>
      </c>
      <c r="AT65" s="32" t="str">
        <f t="shared" si="56"/>
        <v/>
      </c>
      <c r="AU65" s="34" t="str">
        <f t="shared" si="57"/>
        <v/>
      </c>
      <c r="AV65" s="32" t="str">
        <f t="shared" si="58"/>
        <v/>
      </c>
      <c r="AW65" s="32" t="str">
        <f t="shared" si="59"/>
        <v/>
      </c>
      <c r="AX65" s="32" t="str">
        <f t="shared" si="60"/>
        <v/>
      </c>
      <c r="AY65" s="32" t="str">
        <f t="shared" si="61"/>
        <v/>
      </c>
    </row>
    <row r="66" spans="1:51" x14ac:dyDescent="0.25">
      <c r="A66" s="24" t="str">
        <f t="shared" si="0"/>
        <v/>
      </c>
      <c r="B66" s="24" t="str">
        <f t="shared" si="11"/>
        <v/>
      </c>
      <c r="C66" s="32" t="str">
        <f t="shared" si="1"/>
        <v/>
      </c>
      <c r="D66" s="24" t="str">
        <f t="shared" si="2"/>
        <v/>
      </c>
      <c r="E66" s="24" t="str">
        <f t="shared" si="3"/>
        <v/>
      </c>
      <c r="F66" s="32" t="str">
        <f t="shared" si="4"/>
        <v/>
      </c>
      <c r="G66" s="32" t="str">
        <f t="shared" si="5"/>
        <v/>
      </c>
      <c r="H66" s="32" t="str">
        <f t="shared" ca="1" si="6"/>
        <v/>
      </c>
      <c r="I66" s="32" t="str">
        <f t="shared" ca="1" si="12"/>
        <v/>
      </c>
      <c r="J66" s="32" t="str">
        <f t="shared" si="7"/>
        <v/>
      </c>
      <c r="K66" s="32" t="str">
        <f>IF(ISNUMBER(A66),Profile!$V$25+Profile!$V$24*'Ri-Po'!C66,"")</f>
        <v/>
      </c>
      <c r="L66" s="32" t="str">
        <f t="shared" si="13"/>
        <v/>
      </c>
      <c r="M66" s="32" t="str">
        <f t="shared" si="8"/>
        <v/>
      </c>
      <c r="N66" s="32" t="str">
        <f t="shared" si="9"/>
        <v/>
      </c>
      <c r="O66" s="32" t="str">
        <f t="shared" si="44"/>
        <v/>
      </c>
      <c r="P66" s="32" t="str">
        <f t="shared" si="15"/>
        <v/>
      </c>
      <c r="Q66" s="32" t="str">
        <f t="shared" si="16"/>
        <v/>
      </c>
      <c r="R66" s="32" t="str">
        <f t="shared" si="45"/>
        <v/>
      </c>
      <c r="S66" s="24" t="str">
        <f t="shared" si="46"/>
        <v/>
      </c>
      <c r="T66" s="24" t="str">
        <f t="shared" si="47"/>
        <v/>
      </c>
      <c r="U66" s="24" t="str">
        <f t="shared" si="48"/>
        <v/>
      </c>
      <c r="V66" s="24" t="str">
        <f t="shared" si="49"/>
        <v/>
      </c>
      <c r="W66" s="23" t="str">
        <f t="array" ref="W66">IFERROR(SMALL(IF(S$1:S$1000="BEGIN",ROW(S$1:S$1000)),ROW()-3),"")</f>
        <v/>
      </c>
      <c r="X66" s="23" t="str">
        <f t="array" ref="X66">IFERROR(SMALL(IF(T$1:T$1000="END",ROW(T$1:T$1000)),ROW()-3),"")</f>
        <v/>
      </c>
      <c r="Y66" s="33" t="str">
        <f t="array" ref="Y66">IF(ISNUMBER(W66),MAX(IF((B$4:B$1000&lt;=X66)*(B$4:B$1000&gt;=W66),I$4:I$1000, "")),"")</f>
        <v/>
      </c>
      <c r="Z66" s="33" t="str">
        <f t="shared" si="22"/>
        <v/>
      </c>
      <c r="AA66" s="32" t="str">
        <f t="shared" si="23"/>
        <v/>
      </c>
      <c r="AB66" s="32" t="str">
        <f t="shared" si="24"/>
        <v/>
      </c>
      <c r="AC66" s="32" t="str">
        <f t="shared" si="25"/>
        <v/>
      </c>
      <c r="AD66" s="32" t="str">
        <f t="shared" si="26"/>
        <v/>
      </c>
      <c r="AE66" s="34" t="str">
        <f t="shared" si="27"/>
        <v/>
      </c>
      <c r="AF66" s="32" t="str">
        <f t="shared" si="28"/>
        <v/>
      </c>
      <c r="AG66" s="32" t="str">
        <f t="shared" si="29"/>
        <v/>
      </c>
      <c r="AH66" s="32" t="str">
        <f t="shared" si="30"/>
        <v/>
      </c>
      <c r="AI66" s="35" t="str">
        <f t="shared" si="31"/>
        <v/>
      </c>
      <c r="AJ66" s="23" t="str">
        <f t="array" ref="AJ66">IFERROR(SMALL(IF(U$1:U$1000="BEGIN",ROW(U$1:U$1000)),ROW()-3),"")</f>
        <v/>
      </c>
      <c r="AK66" s="23" t="str">
        <f t="array" ref="AK66">IFERROR(SMALL(IF(V$1:V$1000="END",ROW(V$1:V$1000)),ROW()-3),"")</f>
        <v/>
      </c>
      <c r="AL66" s="24" t="str">
        <f t="array" ref="AL66">IF(AK66="","",MATCH(AM66,L:L,0))</f>
        <v/>
      </c>
      <c r="AM66" s="35">
        <f t="array" ref="AM66">MAX(IF((B$4:B$1000&lt;=AK66)*(B$4:B$1000&gt;=AJ66),L$4:L$1000, ""))</f>
        <v>0</v>
      </c>
      <c r="AN66" s="32" t="str">
        <f t="shared" si="50"/>
        <v/>
      </c>
      <c r="AO66" s="32" t="str">
        <f t="shared" si="51"/>
        <v/>
      </c>
      <c r="AP66" s="32" t="str">
        <f t="shared" si="52"/>
        <v/>
      </c>
      <c r="AQ66" s="32" t="str">
        <f t="shared" si="53"/>
        <v/>
      </c>
      <c r="AR66" s="32" t="str">
        <f t="shared" si="54"/>
        <v/>
      </c>
      <c r="AS66" s="32" t="str">
        <f t="shared" si="55"/>
        <v/>
      </c>
      <c r="AT66" s="32" t="str">
        <f t="shared" si="56"/>
        <v/>
      </c>
      <c r="AU66" s="34" t="str">
        <f t="shared" si="57"/>
        <v/>
      </c>
      <c r="AV66" s="32" t="str">
        <f t="shared" si="58"/>
        <v/>
      </c>
      <c r="AW66" s="32" t="str">
        <f t="shared" si="59"/>
        <v/>
      </c>
      <c r="AX66" s="32" t="str">
        <f t="shared" si="60"/>
        <v/>
      </c>
      <c r="AY66" s="32" t="str">
        <f t="shared" si="61"/>
        <v/>
      </c>
    </row>
    <row r="67" spans="1:51" x14ac:dyDescent="0.25">
      <c r="A67" s="24" t="str">
        <f t="shared" si="0"/>
        <v/>
      </c>
      <c r="B67" s="24" t="str">
        <f t="shared" si="11"/>
        <v/>
      </c>
      <c r="C67" s="32" t="str">
        <f t="shared" si="1"/>
        <v/>
      </c>
      <c r="D67" s="24" t="str">
        <f t="shared" si="2"/>
        <v/>
      </c>
      <c r="E67" s="24" t="str">
        <f t="shared" si="3"/>
        <v/>
      </c>
      <c r="F67" s="32" t="str">
        <f t="shared" si="4"/>
        <v/>
      </c>
      <c r="G67" s="32" t="str">
        <f t="shared" si="5"/>
        <v/>
      </c>
      <c r="H67" s="32" t="str">
        <f t="shared" ca="1" si="6"/>
        <v/>
      </c>
      <c r="I67" s="32" t="str">
        <f t="shared" ca="1" si="12"/>
        <v/>
      </c>
      <c r="J67" s="32" t="str">
        <f t="shared" si="7"/>
        <v/>
      </c>
      <c r="K67" s="32" t="str">
        <f>IF(ISNUMBER(A67),Profile!$V$25+Profile!$V$24*'Ri-Po'!C67,"")</f>
        <v/>
      </c>
      <c r="L67" s="32" t="str">
        <f t="shared" si="13"/>
        <v/>
      </c>
      <c r="M67" s="32" t="str">
        <f t="shared" si="8"/>
        <v/>
      </c>
      <c r="N67" s="32" t="str">
        <f t="shared" si="9"/>
        <v/>
      </c>
      <c r="O67" s="32" t="str">
        <f t="shared" si="44"/>
        <v/>
      </c>
      <c r="P67" s="32" t="str">
        <f t="shared" si="15"/>
        <v/>
      </c>
      <c r="Q67" s="32" t="str">
        <f t="shared" si="16"/>
        <v/>
      </c>
      <c r="R67" s="32" t="str">
        <f t="shared" si="45"/>
        <v/>
      </c>
      <c r="S67" s="24" t="str">
        <f t="shared" si="46"/>
        <v/>
      </c>
      <c r="T67" s="24" t="str">
        <f t="shared" si="47"/>
        <v/>
      </c>
      <c r="U67" s="24" t="str">
        <f t="shared" si="48"/>
        <v/>
      </c>
      <c r="V67" s="24" t="str">
        <f t="shared" si="49"/>
        <v/>
      </c>
      <c r="W67" s="23" t="str">
        <f t="array" ref="W67">IFERROR(SMALL(IF(S$1:S$1000="BEGIN",ROW(S$1:S$1000)),ROW()-3),"")</f>
        <v/>
      </c>
      <c r="X67" s="23" t="str">
        <f t="array" ref="X67">IFERROR(SMALL(IF(T$1:T$1000="END",ROW(T$1:T$1000)),ROW()-3),"")</f>
        <v/>
      </c>
      <c r="Y67" s="33" t="str">
        <f t="array" ref="Y67">IF(ISNUMBER(W67),MAX(IF((B$4:B$1000&lt;=X67)*(B$4:B$1000&gt;=W67),I$4:I$1000, "")),"")</f>
        <v/>
      </c>
      <c r="Z67" s="33" t="str">
        <f t="shared" si="22"/>
        <v/>
      </c>
      <c r="AA67" s="32" t="str">
        <f t="shared" si="23"/>
        <v/>
      </c>
      <c r="AB67" s="32" t="str">
        <f t="shared" si="24"/>
        <v/>
      </c>
      <c r="AC67" s="32" t="str">
        <f t="shared" si="25"/>
        <v/>
      </c>
      <c r="AD67" s="32" t="str">
        <f t="shared" si="26"/>
        <v/>
      </c>
      <c r="AE67" s="34" t="str">
        <f t="shared" si="27"/>
        <v/>
      </c>
      <c r="AF67" s="32" t="str">
        <f t="shared" si="28"/>
        <v/>
      </c>
      <c r="AG67" s="32" t="str">
        <f t="shared" si="29"/>
        <v/>
      </c>
      <c r="AH67" s="32" t="str">
        <f t="shared" si="30"/>
        <v/>
      </c>
      <c r="AI67" s="35" t="str">
        <f t="shared" si="31"/>
        <v/>
      </c>
      <c r="AJ67" s="23" t="str">
        <f t="array" ref="AJ67">IFERROR(SMALL(IF(U$1:U$1000="BEGIN",ROW(U$1:U$1000)),ROW()-3),"")</f>
        <v/>
      </c>
      <c r="AK67" s="23" t="str">
        <f t="array" ref="AK67">IFERROR(SMALL(IF(V$1:V$1000="END",ROW(V$1:V$1000)),ROW()-3),"")</f>
        <v/>
      </c>
      <c r="AL67" s="24" t="str">
        <f t="array" ref="AL67">IF(AK67="","",MATCH(AM67,L:L,0))</f>
        <v/>
      </c>
      <c r="AM67" s="35">
        <f t="array" ref="AM67">MAX(IF((B$4:B$1000&lt;=AK67)*(B$4:B$1000&gt;=AJ67),L$4:L$1000, ""))</f>
        <v>0</v>
      </c>
      <c r="AN67" s="32" t="str">
        <f t="shared" si="50"/>
        <v/>
      </c>
      <c r="AO67" s="32" t="str">
        <f t="shared" si="51"/>
        <v/>
      </c>
      <c r="AP67" s="32" t="str">
        <f t="shared" si="52"/>
        <v/>
      </c>
      <c r="AQ67" s="32" t="str">
        <f t="shared" si="53"/>
        <v/>
      </c>
      <c r="AR67" s="32" t="str">
        <f t="shared" si="54"/>
        <v/>
      </c>
      <c r="AS67" s="32" t="str">
        <f t="shared" si="55"/>
        <v/>
      </c>
      <c r="AT67" s="32" t="str">
        <f t="shared" si="56"/>
        <v/>
      </c>
      <c r="AU67" s="34" t="str">
        <f t="shared" si="57"/>
        <v/>
      </c>
      <c r="AV67" s="32" t="str">
        <f t="shared" si="58"/>
        <v/>
      </c>
      <c r="AW67" s="32" t="str">
        <f t="shared" si="59"/>
        <v/>
      </c>
      <c r="AX67" s="32" t="str">
        <f t="shared" si="60"/>
        <v/>
      </c>
      <c r="AY67" s="32" t="str">
        <f t="shared" si="61"/>
        <v/>
      </c>
    </row>
    <row r="68" spans="1:51" x14ac:dyDescent="0.25">
      <c r="A68" s="24" t="str">
        <f t="shared" ref="A68:A131" si="62">IF(NOT(ISBLANK(INDEX(currentNUM,ROW(A65)))),INDEX(currentNUM,ROW(A65)),"")</f>
        <v/>
      </c>
      <c r="B68" s="24" t="str">
        <f t="shared" si="11"/>
        <v/>
      </c>
      <c r="C68" s="32" t="str">
        <f t="shared" ref="C68:C131" si="63">IF(NOT(A68=""),INDEX(currentSTATION,ROW(C65)),"")</f>
        <v/>
      </c>
      <c r="D68" s="24" t="str">
        <f t="shared" ref="D68:D131" si="64">IF(NOT(ISBLANK(INDEX(currentDESC,ROW(D65)))),INDEX(currentDESC,ROW(D65)),"")</f>
        <v/>
      </c>
      <c r="E68" s="24" t="str">
        <f t="shared" ref="E68:E131" si="65">IF(NOT(ISBLANK(INDEX(currentCMORPH,ROW(E65)))),INDEX(currentCMORPH,ROW(E65)),"")</f>
        <v/>
      </c>
      <c r="F68" s="32" t="str">
        <f t="shared" ref="F68:F131" si="66">IF(NOT(ISBLANK(INDEX(currentTHW,ROW(F65)))),INDEX(currentTHW,ROW(F65)),"")</f>
        <v/>
      </c>
      <c r="G68" s="32" t="str">
        <f t="shared" ref="G68:G131" si="67">IF(NOT(ISBLANK(INDEX(currentWS,ROW(G65)))),INDEX(currentWS,ROW(G65)),"")</f>
        <v/>
      </c>
      <c r="H68" s="32" t="str">
        <f t="shared" ref="H68:H131" ca="1" si="68">IF(NOT(OR(ISBLANK(INDEX(currentINTERPWS,ROW(H65))),INDEX(currentINTERPWS,ROW(H65))=0)),INDEX(currentINTERPWS,ROW(H65)),"")</f>
        <v/>
      </c>
      <c r="I68" s="32" t="str">
        <f t="shared" ca="1" si="12"/>
        <v/>
      </c>
      <c r="J68" s="32" t="str">
        <f t="shared" ref="J68:J131" si="69">IF(NOT(ISBLANK(INDEX(currentBKF,ROW(G65)))),INDEX(currentBKF,ROW(G65)),"")</f>
        <v/>
      </c>
      <c r="K68" s="32" t="str">
        <f>IF(ISNUMBER(A68),Profile!$V$25+Profile!$V$24*'Ri-Po'!C68,"")</f>
        <v/>
      </c>
      <c r="L68" s="32" t="str">
        <f t="shared" si="13"/>
        <v/>
      </c>
      <c r="M68" s="32" t="str">
        <f t="shared" ref="M68:M131" si="70">IF(NOT(ISBLANK(INDEX(currentTOB,ROW(H65)))),INDEX(currentTOB,ROW(H65)),"")</f>
        <v/>
      </c>
      <c r="N68" s="32" t="str">
        <f t="shared" ref="N68:N131" si="71">IF(ISNUMBER(A68),INDEX(currentINTTOB,ROW(I65)),"")</f>
        <v/>
      </c>
      <c r="O68" s="32" t="str">
        <f t="shared" si="44"/>
        <v/>
      </c>
      <c r="P68" s="32" t="str">
        <f t="shared" si="15"/>
        <v/>
      </c>
      <c r="Q68" s="32" t="str">
        <f t="shared" si="16"/>
        <v/>
      </c>
      <c r="R68" s="32" t="str">
        <f t="shared" si="45"/>
        <v/>
      </c>
      <c r="S68" s="24" t="str">
        <f t="shared" si="46"/>
        <v/>
      </c>
      <c r="T68" s="24" t="str">
        <f t="shared" si="47"/>
        <v/>
      </c>
      <c r="U68" s="24" t="str">
        <f t="shared" si="48"/>
        <v/>
      </c>
      <c r="V68" s="24" t="str">
        <f t="shared" si="49"/>
        <v/>
      </c>
      <c r="W68" s="23" t="str">
        <f t="array" ref="W68">IFERROR(SMALL(IF(S$1:S$1000="BEGIN",ROW(S$1:S$1000)),ROW()-3),"")</f>
        <v/>
      </c>
      <c r="X68" s="23" t="str">
        <f t="array" ref="X68">IFERROR(SMALL(IF(T$1:T$1000="END",ROW(T$1:T$1000)),ROW()-3),"")</f>
        <v/>
      </c>
      <c r="Y68" s="33" t="str">
        <f t="array" ref="Y68">IF(ISNUMBER(W68),MAX(IF((B$4:B$1000&lt;=X68)*(B$4:B$1000&gt;=W68),I$4:I$1000, "")),"")</f>
        <v/>
      </c>
      <c r="Z68" s="33" t="str">
        <f t="shared" si="22"/>
        <v/>
      </c>
      <c r="AA68" s="32" t="str">
        <f t="shared" si="23"/>
        <v/>
      </c>
      <c r="AB68" s="32" t="str">
        <f t="shared" si="24"/>
        <v/>
      </c>
      <c r="AC68" s="32" t="str">
        <f t="shared" si="25"/>
        <v/>
      </c>
      <c r="AD68" s="32" t="str">
        <f t="shared" si="26"/>
        <v/>
      </c>
      <c r="AE68" s="34" t="str">
        <f t="shared" si="27"/>
        <v/>
      </c>
      <c r="AF68" s="32" t="str">
        <f t="shared" si="28"/>
        <v/>
      </c>
      <c r="AG68" s="32" t="str">
        <f t="shared" si="29"/>
        <v/>
      </c>
      <c r="AH68" s="32" t="str">
        <f t="shared" si="30"/>
        <v/>
      </c>
      <c r="AI68" s="35" t="str">
        <f t="shared" si="31"/>
        <v/>
      </c>
      <c r="AJ68" s="23" t="str">
        <f t="array" ref="AJ68">IFERROR(SMALL(IF(U$1:U$1000="BEGIN",ROW(U$1:U$1000)),ROW()-3),"")</f>
        <v/>
      </c>
      <c r="AK68" s="23" t="str">
        <f t="array" ref="AK68">IFERROR(SMALL(IF(V$1:V$1000="END",ROW(V$1:V$1000)),ROW()-3),"")</f>
        <v/>
      </c>
      <c r="AL68" s="24" t="str">
        <f t="array" ref="AL68">IF(AK68="","",MATCH(AM68,L:L,0))</f>
        <v/>
      </c>
      <c r="AM68" s="35">
        <f t="array" ref="AM68">MAX(IF((B$4:B$1000&lt;=AK68)*(B$4:B$1000&gt;=AJ68),L$4:L$1000, ""))</f>
        <v>0</v>
      </c>
      <c r="AN68" s="32" t="str">
        <f t="shared" si="50"/>
        <v/>
      </c>
      <c r="AO68" s="32" t="str">
        <f t="shared" si="51"/>
        <v/>
      </c>
      <c r="AP68" s="32" t="str">
        <f t="shared" si="52"/>
        <v/>
      </c>
      <c r="AQ68" s="32" t="str">
        <f t="shared" si="53"/>
        <v/>
      </c>
      <c r="AR68" s="32" t="str">
        <f t="shared" si="54"/>
        <v/>
      </c>
      <c r="AS68" s="32" t="str">
        <f t="shared" si="55"/>
        <v/>
      </c>
      <c r="AT68" s="32" t="str">
        <f t="shared" si="56"/>
        <v/>
      </c>
      <c r="AU68" s="34" t="str">
        <f t="shared" si="57"/>
        <v/>
      </c>
      <c r="AV68" s="32" t="str">
        <f t="shared" si="58"/>
        <v/>
      </c>
      <c r="AW68" s="32" t="str">
        <f t="shared" si="59"/>
        <v/>
      </c>
      <c r="AX68" s="32" t="str">
        <f t="shared" si="60"/>
        <v/>
      </c>
      <c r="AY68" s="32" t="str">
        <f t="shared" si="61"/>
        <v/>
      </c>
    </row>
    <row r="69" spans="1:51" x14ac:dyDescent="0.25">
      <c r="A69" s="24" t="str">
        <f t="shared" si="62"/>
        <v/>
      </c>
      <c r="B69" s="24" t="str">
        <f t="shared" ref="B69:B132" si="72">IF(NOT(A69=""),ROW(B69),"")</f>
        <v/>
      </c>
      <c r="C69" s="32" t="str">
        <f t="shared" si="63"/>
        <v/>
      </c>
      <c r="D69" s="24" t="str">
        <f t="shared" si="64"/>
        <v/>
      </c>
      <c r="E69" s="24" t="str">
        <f t="shared" si="65"/>
        <v/>
      </c>
      <c r="F69" s="32" t="str">
        <f t="shared" si="66"/>
        <v/>
      </c>
      <c r="G69" s="32" t="str">
        <f t="shared" si="67"/>
        <v/>
      </c>
      <c r="H69" s="32" t="str">
        <f t="shared" ca="1" si="68"/>
        <v/>
      </c>
      <c r="I69" s="32" t="str">
        <f t="shared" ref="I69:I132" ca="1" si="73">IFERROR(IF(H69-F69&gt;=0,H69-F69,"NEG"),"")</f>
        <v/>
      </c>
      <c r="J69" s="32" t="str">
        <f t="shared" si="69"/>
        <v/>
      </c>
      <c r="K69" s="32" t="str">
        <f>IF(ISNUMBER(A69),Profile!$V$25+Profile!$V$24*'Ri-Po'!C69,"")</f>
        <v/>
      </c>
      <c r="L69" s="32" t="str">
        <f t="shared" ref="L69:L132" si="74">IFERROR(K69-F69,"")</f>
        <v/>
      </c>
      <c r="M69" s="32" t="str">
        <f t="shared" si="70"/>
        <v/>
      </c>
      <c r="N69" s="32" t="str">
        <f t="shared" si="71"/>
        <v/>
      </c>
      <c r="O69" s="32" t="str">
        <f t="shared" si="44"/>
        <v/>
      </c>
      <c r="P69" s="32" t="str">
        <f t="shared" ref="P69:P132" si="75">IF(ISNUMBER(A69),K69-F69,"")</f>
        <v/>
      </c>
      <c r="Q69" s="32" t="str">
        <f t="shared" ref="Q69:Q132" si="76">IF(ISNUMBER(A69),N69-F69,"")</f>
        <v/>
      </c>
      <c r="R69" s="32" t="str">
        <f t="shared" si="45"/>
        <v/>
      </c>
      <c r="S69" s="24" t="str">
        <f t="shared" si="46"/>
        <v/>
      </c>
      <c r="T69" s="24" t="str">
        <f t="shared" si="47"/>
        <v/>
      </c>
      <c r="U69" s="24" t="str">
        <f t="shared" si="48"/>
        <v/>
      </c>
      <c r="V69" s="24" t="str">
        <f t="shared" si="49"/>
        <v/>
      </c>
      <c r="W69" s="23" t="str">
        <f t="array" ref="W69">IFERROR(SMALL(IF(S$1:S$1000="BEGIN",ROW(S$1:S$1000)),ROW()-3),"")</f>
        <v/>
      </c>
      <c r="X69" s="23" t="str">
        <f t="array" ref="X69">IFERROR(SMALL(IF(T$1:T$1000="END",ROW(T$1:T$1000)),ROW()-3),"")</f>
        <v/>
      </c>
      <c r="Y69" s="33" t="str">
        <f t="array" ref="Y69">IF(ISNUMBER(W69),MAX(IF((B$4:B$1000&lt;=X69)*(B$4:B$1000&gt;=W69),I$4:I$1000, "")),"")</f>
        <v/>
      </c>
      <c r="Z69" s="33" t="str">
        <f t="shared" ref="Z69:Z132" si="77">IFERROR(INDEX(C:C,W69),"")</f>
        <v/>
      </c>
      <c r="AA69" s="32" t="str">
        <f t="shared" ref="AA69:AA132" si="78">IFERROR(INDEX(C:C,X69),"")</f>
        <v/>
      </c>
      <c r="AB69" s="32" t="str">
        <f t="shared" ref="AB69:AB132" si="79">IFERROR(AA69-Z69,"")</f>
        <v/>
      </c>
      <c r="AC69" s="32" t="str">
        <f t="shared" ref="AC69:AC132" si="80">IFERROR(INDEX(H:H,W69),"")</f>
        <v/>
      </c>
      <c r="AD69" s="32" t="str">
        <f t="shared" ref="AD69:AD132" si="81">IFERROR(INDEX(H:H,X69),"")</f>
        <v/>
      </c>
      <c r="AE69" s="34" t="str">
        <f t="shared" ref="AE69:AE132" si="82">IFERROR((AC69-AD69)/(AB69),"")</f>
        <v/>
      </c>
      <c r="AF69" s="32" t="str">
        <f t="shared" ref="AF69:AF132" si="83">IF(ISNUMBER(Z69),INDEX($Q$1:$Q$1000,W69),"")</f>
        <v/>
      </c>
      <c r="AG69" s="32" t="str">
        <f t="shared" ref="AG69:AG132" si="84">IF(ISNUMBER(Z69),INDEX($P$1:$P$1000,W69),"")</f>
        <v/>
      </c>
      <c r="AH69" s="32" t="str">
        <f t="shared" ref="AH69:AH132" si="85">IF(ISNUMBER(Z69),AF69/AG69,"")</f>
        <v/>
      </c>
      <c r="AI69" s="35" t="str">
        <f t="shared" ref="AI69:AI132" si="86">IFERROR(AE69/BB$19,"")</f>
        <v/>
      </c>
      <c r="AJ69" s="23" t="str">
        <f t="array" ref="AJ69">IFERROR(SMALL(IF(U$1:U$1000="BEGIN",ROW(U$1:U$1000)),ROW()-3),"")</f>
        <v/>
      </c>
      <c r="AK69" s="23" t="str">
        <f t="array" ref="AK69">IFERROR(SMALL(IF(V$1:V$1000="END",ROW(V$1:V$1000)),ROW()-3),"")</f>
        <v/>
      </c>
      <c r="AL69" s="24" t="str">
        <f t="array" ref="AL69">IF(AK69="","",MATCH(AM69,L:L,0))</f>
        <v/>
      </c>
      <c r="AM69" s="35">
        <f t="array" ref="AM69">MAX(IF((B$4:B$1000&lt;=AK69)*(B$4:B$1000&gt;=AJ69),L$4:L$1000, ""))</f>
        <v>0</v>
      </c>
      <c r="AN69" s="32" t="str">
        <f t="shared" si="50"/>
        <v/>
      </c>
      <c r="AO69" s="32" t="str">
        <f t="shared" si="51"/>
        <v/>
      </c>
      <c r="AP69" s="32" t="str">
        <f t="shared" si="52"/>
        <v/>
      </c>
      <c r="AQ69" s="32" t="str">
        <f t="shared" si="53"/>
        <v/>
      </c>
      <c r="AR69" s="32" t="str">
        <f t="shared" si="54"/>
        <v/>
      </c>
      <c r="AS69" s="32" t="str">
        <f t="shared" si="55"/>
        <v/>
      </c>
      <c r="AT69" s="32" t="str">
        <f t="shared" si="56"/>
        <v/>
      </c>
      <c r="AU69" s="34" t="str">
        <f t="shared" si="57"/>
        <v/>
      </c>
      <c r="AV69" s="32" t="str">
        <f t="shared" si="58"/>
        <v/>
      </c>
      <c r="AW69" s="32" t="str">
        <f t="shared" si="59"/>
        <v/>
      </c>
      <c r="AX69" s="32" t="str">
        <f t="shared" si="60"/>
        <v/>
      </c>
      <c r="AY69" s="32" t="str">
        <f t="shared" si="61"/>
        <v/>
      </c>
    </row>
    <row r="70" spans="1:51" x14ac:dyDescent="0.25">
      <c r="A70" s="24" t="str">
        <f t="shared" si="62"/>
        <v/>
      </c>
      <c r="B70" s="24" t="str">
        <f t="shared" si="72"/>
        <v/>
      </c>
      <c r="C70" s="32" t="str">
        <f t="shared" si="63"/>
        <v/>
      </c>
      <c r="D70" s="24" t="str">
        <f t="shared" si="64"/>
        <v/>
      </c>
      <c r="E70" s="24" t="str">
        <f t="shared" si="65"/>
        <v/>
      </c>
      <c r="F70" s="32" t="str">
        <f t="shared" si="66"/>
        <v/>
      </c>
      <c r="G70" s="32" t="str">
        <f t="shared" si="67"/>
        <v/>
      </c>
      <c r="H70" s="32" t="str">
        <f t="shared" ca="1" si="68"/>
        <v/>
      </c>
      <c r="I70" s="32" t="str">
        <f t="shared" ca="1" si="73"/>
        <v/>
      </c>
      <c r="J70" s="32" t="str">
        <f t="shared" si="69"/>
        <v/>
      </c>
      <c r="K70" s="32" t="str">
        <f>IF(ISNUMBER(A70),Profile!$V$25+Profile!$V$24*'Ri-Po'!C70,"")</f>
        <v/>
      </c>
      <c r="L70" s="32" t="str">
        <f t="shared" si="74"/>
        <v/>
      </c>
      <c r="M70" s="32" t="str">
        <f t="shared" si="70"/>
        <v/>
      </c>
      <c r="N70" s="32" t="str">
        <f t="shared" si="71"/>
        <v/>
      </c>
      <c r="O70" s="32" t="str">
        <f t="shared" ref="O70:O133" si="87">IF(AND(ISNUMBER(G70),ISNUMBER(J70)),J70-G70,"")</f>
        <v/>
      </c>
      <c r="P70" s="32" t="str">
        <f t="shared" si="75"/>
        <v/>
      </c>
      <c r="Q70" s="32" t="str">
        <f t="shared" si="76"/>
        <v/>
      </c>
      <c r="R70" s="32" t="str">
        <f t="shared" ref="R70:R133" si="88">IF(ISNUMBER(Q70),Q70/P70,"")</f>
        <v/>
      </c>
      <c r="S70" s="24" t="str">
        <f t="shared" ref="S70:S133" si="89">IF(ISNUMBER(SEARCH("bri",E70)),"BEGIN","")</f>
        <v/>
      </c>
      <c r="T70" s="24" t="str">
        <f t="shared" ref="T70:T133" si="90">IF(ISNUMBER(SEARCH("eri",E70)),"END","")</f>
        <v/>
      </c>
      <c r="U70" s="24" t="str">
        <f t="shared" ref="U70:U133" si="91">IF(ISNUMBER(SEARCH("bpo",E70)),"BEGIN","")</f>
        <v/>
      </c>
      <c r="V70" s="24" t="str">
        <f t="shared" ref="V70:V133" si="92">IF(ISNUMBER(SEARCH("epo",E70)),"END","")</f>
        <v/>
      </c>
      <c r="W70" s="23" t="str">
        <f t="array" ref="W70">IFERROR(SMALL(IF(S$1:S$1000="BEGIN",ROW(S$1:S$1000)),ROW()-3),"")</f>
        <v/>
      </c>
      <c r="X70" s="23" t="str">
        <f t="array" ref="X70">IFERROR(SMALL(IF(T$1:T$1000="END",ROW(T$1:T$1000)),ROW()-3),"")</f>
        <v/>
      </c>
      <c r="Y70" s="33" t="str">
        <f t="array" ref="Y70">IF(ISNUMBER(W70),MAX(IF((B$4:B$1000&lt;=X70)*(B$4:B$1000&gt;=W70),I$4:I$1000, "")),"")</f>
        <v/>
      </c>
      <c r="Z70" s="33" t="str">
        <f t="shared" si="77"/>
        <v/>
      </c>
      <c r="AA70" s="32" t="str">
        <f t="shared" si="78"/>
        <v/>
      </c>
      <c r="AB70" s="32" t="str">
        <f t="shared" si="79"/>
        <v/>
      </c>
      <c r="AC70" s="32" t="str">
        <f t="shared" si="80"/>
        <v/>
      </c>
      <c r="AD70" s="32" t="str">
        <f t="shared" si="81"/>
        <v/>
      </c>
      <c r="AE70" s="34" t="str">
        <f t="shared" si="82"/>
        <v/>
      </c>
      <c r="AF70" s="32" t="str">
        <f t="shared" si="83"/>
        <v/>
      </c>
      <c r="AG70" s="32" t="str">
        <f t="shared" si="84"/>
        <v/>
      </c>
      <c r="AH70" s="32" t="str">
        <f t="shared" si="85"/>
        <v/>
      </c>
      <c r="AI70" s="35" t="str">
        <f t="shared" si="86"/>
        <v/>
      </c>
      <c r="AJ70" s="23" t="str">
        <f t="array" ref="AJ70">IFERROR(SMALL(IF(U$1:U$1000="BEGIN",ROW(U$1:U$1000)),ROW()-3),"")</f>
        <v/>
      </c>
      <c r="AK70" s="23" t="str">
        <f t="array" ref="AK70">IFERROR(SMALL(IF(V$1:V$1000="END",ROW(V$1:V$1000)),ROW()-3),"")</f>
        <v/>
      </c>
      <c r="AL70" s="24" t="str">
        <f t="array" ref="AL70">IF(AK70="","",MATCH(AM70,L:L,0))</f>
        <v/>
      </c>
      <c r="AM70" s="35">
        <f t="array" ref="AM70">MAX(IF((B$4:B$1000&lt;=AK70)*(B$4:B$1000&gt;=AJ70),L$4:L$1000, ""))</f>
        <v>0</v>
      </c>
      <c r="AN70" s="32" t="str">
        <f t="shared" si="50"/>
        <v/>
      </c>
      <c r="AO70" s="32" t="str">
        <f t="shared" si="51"/>
        <v/>
      </c>
      <c r="AP70" s="32" t="str">
        <f t="shared" si="52"/>
        <v/>
      </c>
      <c r="AQ70" s="32" t="str">
        <f t="shared" si="53"/>
        <v/>
      </c>
      <c r="AR70" s="32" t="str">
        <f t="shared" si="54"/>
        <v/>
      </c>
      <c r="AS70" s="32" t="str">
        <f t="shared" si="55"/>
        <v/>
      </c>
      <c r="AT70" s="32" t="str">
        <f t="shared" si="56"/>
        <v/>
      </c>
      <c r="AU70" s="34" t="str">
        <f t="shared" si="57"/>
        <v/>
      </c>
      <c r="AV70" s="32" t="str">
        <f t="shared" si="58"/>
        <v/>
      </c>
      <c r="AW70" s="32" t="str">
        <f t="shared" si="59"/>
        <v/>
      </c>
      <c r="AX70" s="32" t="str">
        <f t="shared" si="60"/>
        <v/>
      </c>
      <c r="AY70" s="32" t="str">
        <f t="shared" si="61"/>
        <v/>
      </c>
    </row>
    <row r="71" spans="1:51" x14ac:dyDescent="0.25">
      <c r="A71" s="24" t="str">
        <f t="shared" si="62"/>
        <v/>
      </c>
      <c r="B71" s="24" t="str">
        <f t="shared" si="72"/>
        <v/>
      </c>
      <c r="C71" s="32" t="str">
        <f t="shared" si="63"/>
        <v/>
      </c>
      <c r="D71" s="24" t="str">
        <f t="shared" si="64"/>
        <v/>
      </c>
      <c r="E71" s="24" t="str">
        <f t="shared" si="65"/>
        <v/>
      </c>
      <c r="F71" s="32" t="str">
        <f t="shared" si="66"/>
        <v/>
      </c>
      <c r="G71" s="32" t="str">
        <f t="shared" si="67"/>
        <v/>
      </c>
      <c r="H71" s="32" t="str">
        <f t="shared" ca="1" si="68"/>
        <v/>
      </c>
      <c r="I71" s="32" t="str">
        <f t="shared" ca="1" si="73"/>
        <v/>
      </c>
      <c r="J71" s="32" t="str">
        <f t="shared" si="69"/>
        <v/>
      </c>
      <c r="K71" s="32" t="str">
        <f>IF(ISNUMBER(A71),Profile!$V$25+Profile!$V$24*'Ri-Po'!C71,"")</f>
        <v/>
      </c>
      <c r="L71" s="32" t="str">
        <f t="shared" si="74"/>
        <v/>
      </c>
      <c r="M71" s="32" t="str">
        <f t="shared" si="70"/>
        <v/>
      </c>
      <c r="N71" s="32" t="str">
        <f t="shared" si="71"/>
        <v/>
      </c>
      <c r="O71" s="32" t="str">
        <f t="shared" si="87"/>
        <v/>
      </c>
      <c r="P71" s="32" t="str">
        <f t="shared" si="75"/>
        <v/>
      </c>
      <c r="Q71" s="32" t="str">
        <f t="shared" si="76"/>
        <v/>
      </c>
      <c r="R71" s="32" t="str">
        <f t="shared" si="88"/>
        <v/>
      </c>
      <c r="S71" s="24" t="str">
        <f t="shared" si="89"/>
        <v/>
      </c>
      <c r="T71" s="24" t="str">
        <f t="shared" si="90"/>
        <v/>
      </c>
      <c r="U71" s="24" t="str">
        <f t="shared" si="91"/>
        <v/>
      </c>
      <c r="V71" s="24" t="str">
        <f t="shared" si="92"/>
        <v/>
      </c>
      <c r="W71" s="23" t="str">
        <f t="array" ref="W71">IFERROR(SMALL(IF(S$1:S$1000="BEGIN",ROW(S$1:S$1000)),ROW()-3),"")</f>
        <v/>
      </c>
      <c r="X71" s="23" t="str">
        <f t="array" ref="X71">IFERROR(SMALL(IF(T$1:T$1000="END",ROW(T$1:T$1000)),ROW()-3),"")</f>
        <v/>
      </c>
      <c r="Y71" s="33" t="str">
        <f t="array" ref="Y71">IF(ISNUMBER(W71),MAX(IF((B$4:B$1000&lt;=X71)*(B$4:B$1000&gt;=W71),I$4:I$1000, "")),"")</f>
        <v/>
      </c>
      <c r="Z71" s="33" t="str">
        <f t="shared" si="77"/>
        <v/>
      </c>
      <c r="AA71" s="32" t="str">
        <f t="shared" si="78"/>
        <v/>
      </c>
      <c r="AB71" s="32" t="str">
        <f t="shared" si="79"/>
        <v/>
      </c>
      <c r="AC71" s="32" t="str">
        <f t="shared" si="80"/>
        <v/>
      </c>
      <c r="AD71" s="32" t="str">
        <f t="shared" si="81"/>
        <v/>
      </c>
      <c r="AE71" s="34" t="str">
        <f t="shared" si="82"/>
        <v/>
      </c>
      <c r="AF71" s="32" t="str">
        <f t="shared" si="83"/>
        <v/>
      </c>
      <c r="AG71" s="32" t="str">
        <f t="shared" si="84"/>
        <v/>
      </c>
      <c r="AH71" s="32" t="str">
        <f t="shared" si="85"/>
        <v/>
      </c>
      <c r="AI71" s="35" t="str">
        <f t="shared" si="86"/>
        <v/>
      </c>
      <c r="AJ71" s="23" t="str">
        <f t="array" ref="AJ71">IFERROR(SMALL(IF(U$1:U$1000="BEGIN",ROW(U$1:U$1000)),ROW()-3),"")</f>
        <v/>
      </c>
      <c r="AK71" s="23" t="str">
        <f t="array" ref="AK71">IFERROR(SMALL(IF(V$1:V$1000="END",ROW(V$1:V$1000)),ROW()-3),"")</f>
        <v/>
      </c>
      <c r="AL71" s="24" t="str">
        <f t="array" ref="AL71">IF(AK71="","",MATCH(AM71,L:L,0))</f>
        <v/>
      </c>
      <c r="AM71" s="35">
        <f t="array" ref="AM71">MAX(IF((B$4:B$1000&lt;=AK71)*(B$4:B$1000&gt;=AJ71),L$4:L$1000, ""))</f>
        <v>0</v>
      </c>
      <c r="AN71" s="32" t="str">
        <f t="shared" si="50"/>
        <v/>
      </c>
      <c r="AO71" s="32" t="str">
        <f t="shared" si="51"/>
        <v/>
      </c>
      <c r="AP71" s="32" t="str">
        <f t="shared" si="52"/>
        <v/>
      </c>
      <c r="AQ71" s="32" t="str">
        <f t="shared" si="53"/>
        <v/>
      </c>
      <c r="AR71" s="32" t="str">
        <f t="shared" si="54"/>
        <v/>
      </c>
      <c r="AS71" s="32" t="str">
        <f t="shared" si="55"/>
        <v/>
      </c>
      <c r="AT71" s="32" t="str">
        <f t="shared" si="56"/>
        <v/>
      </c>
      <c r="AU71" s="34" t="str">
        <f t="shared" si="57"/>
        <v/>
      </c>
      <c r="AV71" s="32" t="str">
        <f t="shared" si="58"/>
        <v/>
      </c>
      <c r="AW71" s="32" t="str">
        <f t="shared" si="59"/>
        <v/>
      </c>
      <c r="AX71" s="32" t="str">
        <f t="shared" si="60"/>
        <v/>
      </c>
      <c r="AY71" s="32" t="str">
        <f t="shared" si="61"/>
        <v/>
      </c>
    </row>
    <row r="72" spans="1:51" x14ac:dyDescent="0.25">
      <c r="A72" s="24" t="str">
        <f t="shared" si="62"/>
        <v/>
      </c>
      <c r="B72" s="24" t="str">
        <f t="shared" si="72"/>
        <v/>
      </c>
      <c r="C72" s="32" t="str">
        <f t="shared" si="63"/>
        <v/>
      </c>
      <c r="D72" s="24" t="str">
        <f t="shared" si="64"/>
        <v/>
      </c>
      <c r="E72" s="24" t="str">
        <f t="shared" si="65"/>
        <v/>
      </c>
      <c r="F72" s="32" t="str">
        <f t="shared" si="66"/>
        <v/>
      </c>
      <c r="G72" s="32" t="str">
        <f t="shared" si="67"/>
        <v/>
      </c>
      <c r="H72" s="32" t="str">
        <f t="shared" ca="1" si="68"/>
        <v/>
      </c>
      <c r="I72" s="32" t="str">
        <f t="shared" ca="1" si="73"/>
        <v/>
      </c>
      <c r="J72" s="32" t="str">
        <f t="shared" si="69"/>
        <v/>
      </c>
      <c r="K72" s="32" t="str">
        <f>IF(ISNUMBER(A72),Profile!$V$25+Profile!$V$24*'Ri-Po'!C72,"")</f>
        <v/>
      </c>
      <c r="L72" s="32" t="str">
        <f t="shared" si="74"/>
        <v/>
      </c>
      <c r="M72" s="32" t="str">
        <f t="shared" si="70"/>
        <v/>
      </c>
      <c r="N72" s="32" t="str">
        <f t="shared" si="71"/>
        <v/>
      </c>
      <c r="O72" s="32" t="str">
        <f t="shared" si="87"/>
        <v/>
      </c>
      <c r="P72" s="32" t="str">
        <f t="shared" si="75"/>
        <v/>
      </c>
      <c r="Q72" s="32" t="str">
        <f t="shared" si="76"/>
        <v/>
      </c>
      <c r="R72" s="32" t="str">
        <f t="shared" si="88"/>
        <v/>
      </c>
      <c r="S72" s="24" t="str">
        <f t="shared" si="89"/>
        <v/>
      </c>
      <c r="T72" s="24" t="str">
        <f t="shared" si="90"/>
        <v/>
      </c>
      <c r="U72" s="24" t="str">
        <f t="shared" si="91"/>
        <v/>
      </c>
      <c r="V72" s="24" t="str">
        <f t="shared" si="92"/>
        <v/>
      </c>
      <c r="W72" s="23" t="str">
        <f t="array" ref="W72">IFERROR(SMALL(IF(S$1:S$1000="BEGIN",ROW(S$1:S$1000)),ROW()-3),"")</f>
        <v/>
      </c>
      <c r="X72" s="23" t="str">
        <f t="array" ref="X72">IFERROR(SMALL(IF(T$1:T$1000="END",ROW(T$1:T$1000)),ROW()-3),"")</f>
        <v/>
      </c>
      <c r="Y72" s="33" t="str">
        <f t="array" ref="Y72">IF(ISNUMBER(W72),MAX(IF((B$4:B$1000&lt;=X72)*(B$4:B$1000&gt;=W72),I$4:I$1000, "")),"")</f>
        <v/>
      </c>
      <c r="Z72" s="33" t="str">
        <f t="shared" si="77"/>
        <v/>
      </c>
      <c r="AA72" s="32" t="str">
        <f t="shared" si="78"/>
        <v/>
      </c>
      <c r="AB72" s="32" t="str">
        <f t="shared" si="79"/>
        <v/>
      </c>
      <c r="AC72" s="32" t="str">
        <f t="shared" si="80"/>
        <v/>
      </c>
      <c r="AD72" s="32" t="str">
        <f t="shared" si="81"/>
        <v/>
      </c>
      <c r="AE72" s="34" t="str">
        <f t="shared" si="82"/>
        <v/>
      </c>
      <c r="AF72" s="32" t="str">
        <f t="shared" si="83"/>
        <v/>
      </c>
      <c r="AG72" s="32" t="str">
        <f t="shared" si="84"/>
        <v/>
      </c>
      <c r="AH72" s="32" t="str">
        <f t="shared" si="85"/>
        <v/>
      </c>
      <c r="AI72" s="35" t="str">
        <f t="shared" si="86"/>
        <v/>
      </c>
      <c r="AJ72" s="23" t="str">
        <f t="array" ref="AJ72">IFERROR(SMALL(IF(U$1:U$1000="BEGIN",ROW(U$1:U$1000)),ROW()-3),"")</f>
        <v/>
      </c>
      <c r="AK72" s="23" t="str">
        <f t="array" ref="AK72">IFERROR(SMALL(IF(V$1:V$1000="END",ROW(V$1:V$1000)),ROW()-3),"")</f>
        <v/>
      </c>
      <c r="AL72" s="24" t="str">
        <f t="array" ref="AL72">IF(AK72="","",MATCH(AM72,L:L,0))</f>
        <v/>
      </c>
      <c r="AM72" s="35">
        <f t="array" ref="AM72">MAX(IF((B$4:B$1000&lt;=AK72)*(B$4:B$1000&gt;=AJ72),L$4:L$1000, ""))</f>
        <v>0</v>
      </c>
      <c r="AN72" s="32" t="str">
        <f t="shared" si="50"/>
        <v/>
      </c>
      <c r="AO72" s="32" t="str">
        <f t="shared" si="51"/>
        <v/>
      </c>
      <c r="AP72" s="32" t="str">
        <f t="shared" si="52"/>
        <v/>
      </c>
      <c r="AQ72" s="32" t="str">
        <f t="shared" si="53"/>
        <v/>
      </c>
      <c r="AR72" s="32" t="str">
        <f t="shared" si="54"/>
        <v/>
      </c>
      <c r="AS72" s="32" t="str">
        <f t="shared" si="55"/>
        <v/>
      </c>
      <c r="AT72" s="32" t="str">
        <f t="shared" si="56"/>
        <v/>
      </c>
      <c r="AU72" s="34" t="str">
        <f t="shared" si="57"/>
        <v/>
      </c>
      <c r="AV72" s="32" t="str">
        <f t="shared" si="58"/>
        <v/>
      </c>
      <c r="AW72" s="32" t="str">
        <f t="shared" si="59"/>
        <v/>
      </c>
      <c r="AX72" s="32" t="str">
        <f t="shared" si="60"/>
        <v/>
      </c>
      <c r="AY72" s="32" t="str">
        <f t="shared" si="61"/>
        <v/>
      </c>
    </row>
    <row r="73" spans="1:51" x14ac:dyDescent="0.25">
      <c r="A73" s="24" t="str">
        <f t="shared" si="62"/>
        <v/>
      </c>
      <c r="B73" s="24" t="str">
        <f t="shared" si="72"/>
        <v/>
      </c>
      <c r="C73" s="32" t="str">
        <f t="shared" si="63"/>
        <v/>
      </c>
      <c r="D73" s="24" t="str">
        <f t="shared" si="64"/>
        <v/>
      </c>
      <c r="E73" s="24" t="str">
        <f t="shared" si="65"/>
        <v/>
      </c>
      <c r="F73" s="32" t="str">
        <f t="shared" si="66"/>
        <v/>
      </c>
      <c r="G73" s="32" t="str">
        <f t="shared" si="67"/>
        <v/>
      </c>
      <c r="H73" s="32" t="str">
        <f t="shared" ca="1" si="68"/>
        <v/>
      </c>
      <c r="I73" s="32" t="str">
        <f t="shared" ca="1" si="73"/>
        <v/>
      </c>
      <c r="J73" s="32" t="str">
        <f t="shared" si="69"/>
        <v/>
      </c>
      <c r="K73" s="32" t="str">
        <f>IF(ISNUMBER(A73),Profile!$V$25+Profile!$V$24*'Ri-Po'!C73,"")</f>
        <v/>
      </c>
      <c r="L73" s="32" t="str">
        <f t="shared" si="74"/>
        <v/>
      </c>
      <c r="M73" s="32" t="str">
        <f t="shared" si="70"/>
        <v/>
      </c>
      <c r="N73" s="32" t="str">
        <f t="shared" si="71"/>
        <v/>
      </c>
      <c r="O73" s="32" t="str">
        <f t="shared" si="87"/>
        <v/>
      </c>
      <c r="P73" s="32" t="str">
        <f t="shared" si="75"/>
        <v/>
      </c>
      <c r="Q73" s="32" t="str">
        <f t="shared" si="76"/>
        <v/>
      </c>
      <c r="R73" s="32" t="str">
        <f t="shared" si="88"/>
        <v/>
      </c>
      <c r="S73" s="24" t="str">
        <f t="shared" si="89"/>
        <v/>
      </c>
      <c r="T73" s="24" t="str">
        <f t="shared" si="90"/>
        <v/>
      </c>
      <c r="U73" s="24" t="str">
        <f t="shared" si="91"/>
        <v/>
      </c>
      <c r="V73" s="24" t="str">
        <f t="shared" si="92"/>
        <v/>
      </c>
      <c r="W73" s="23" t="str">
        <f t="array" ref="W73">IFERROR(SMALL(IF(S$1:S$1000="BEGIN",ROW(S$1:S$1000)),ROW()-3),"")</f>
        <v/>
      </c>
      <c r="X73" s="23" t="str">
        <f t="array" ref="X73">IFERROR(SMALL(IF(T$1:T$1000="END",ROW(T$1:T$1000)),ROW()-3),"")</f>
        <v/>
      </c>
      <c r="Y73" s="33" t="str">
        <f t="array" ref="Y73">IF(ISNUMBER(W73),MAX(IF((B$4:B$1000&lt;=X73)*(B$4:B$1000&gt;=W73),I$4:I$1000, "")),"")</f>
        <v/>
      </c>
      <c r="Z73" s="33" t="str">
        <f t="shared" si="77"/>
        <v/>
      </c>
      <c r="AA73" s="32" t="str">
        <f t="shared" si="78"/>
        <v/>
      </c>
      <c r="AB73" s="32" t="str">
        <f t="shared" si="79"/>
        <v/>
      </c>
      <c r="AC73" s="32" t="str">
        <f t="shared" si="80"/>
        <v/>
      </c>
      <c r="AD73" s="32" t="str">
        <f t="shared" si="81"/>
        <v/>
      </c>
      <c r="AE73" s="34" t="str">
        <f t="shared" si="82"/>
        <v/>
      </c>
      <c r="AF73" s="32" t="str">
        <f t="shared" si="83"/>
        <v/>
      </c>
      <c r="AG73" s="32" t="str">
        <f t="shared" si="84"/>
        <v/>
      </c>
      <c r="AH73" s="32" t="str">
        <f t="shared" si="85"/>
        <v/>
      </c>
      <c r="AI73" s="35" t="str">
        <f t="shared" si="86"/>
        <v/>
      </c>
      <c r="AJ73" s="23" t="str">
        <f t="array" ref="AJ73">IFERROR(SMALL(IF(U$1:U$1000="BEGIN",ROW(U$1:U$1000)),ROW()-3),"")</f>
        <v/>
      </c>
      <c r="AK73" s="23" t="str">
        <f t="array" ref="AK73">IFERROR(SMALL(IF(V$1:V$1000="END",ROW(V$1:V$1000)),ROW()-3),"")</f>
        <v/>
      </c>
      <c r="AL73" s="24" t="str">
        <f t="array" ref="AL73">IF(AK73="","",MATCH(AM73,L:L,0))</f>
        <v/>
      </c>
      <c r="AM73" s="35">
        <f t="array" ref="AM73">MAX(IF((B$4:B$1000&lt;=AK73)*(B$4:B$1000&gt;=AJ73),L$4:L$1000, ""))</f>
        <v>0</v>
      </c>
      <c r="AN73" s="32" t="str">
        <f t="shared" si="50"/>
        <v/>
      </c>
      <c r="AO73" s="32" t="str">
        <f t="shared" si="51"/>
        <v/>
      </c>
      <c r="AP73" s="32" t="str">
        <f t="shared" si="52"/>
        <v/>
      </c>
      <c r="AQ73" s="32" t="str">
        <f t="shared" si="53"/>
        <v/>
      </c>
      <c r="AR73" s="32" t="str">
        <f t="shared" si="54"/>
        <v/>
      </c>
      <c r="AS73" s="32" t="str">
        <f t="shared" si="55"/>
        <v/>
      </c>
      <c r="AT73" s="32" t="str">
        <f t="shared" si="56"/>
        <v/>
      </c>
      <c r="AU73" s="34" t="str">
        <f t="shared" si="57"/>
        <v/>
      </c>
      <c r="AV73" s="32" t="str">
        <f t="shared" si="58"/>
        <v/>
      </c>
      <c r="AW73" s="32" t="str">
        <f t="shared" si="59"/>
        <v/>
      </c>
      <c r="AX73" s="32" t="str">
        <f t="shared" si="60"/>
        <v/>
      </c>
      <c r="AY73" s="32" t="str">
        <f t="shared" si="61"/>
        <v/>
      </c>
    </row>
    <row r="74" spans="1:51" x14ac:dyDescent="0.25">
      <c r="A74" s="24" t="str">
        <f t="shared" si="62"/>
        <v/>
      </c>
      <c r="B74" s="24" t="str">
        <f t="shared" si="72"/>
        <v/>
      </c>
      <c r="C74" s="32" t="str">
        <f t="shared" si="63"/>
        <v/>
      </c>
      <c r="D74" s="24" t="str">
        <f t="shared" si="64"/>
        <v/>
      </c>
      <c r="E74" s="24" t="str">
        <f t="shared" si="65"/>
        <v/>
      </c>
      <c r="F74" s="32" t="str">
        <f t="shared" si="66"/>
        <v/>
      </c>
      <c r="G74" s="32" t="str">
        <f t="shared" si="67"/>
        <v/>
      </c>
      <c r="H74" s="32" t="str">
        <f t="shared" ca="1" si="68"/>
        <v/>
      </c>
      <c r="I74" s="32" t="str">
        <f t="shared" ca="1" si="73"/>
        <v/>
      </c>
      <c r="J74" s="32" t="str">
        <f t="shared" si="69"/>
        <v/>
      </c>
      <c r="K74" s="32" t="str">
        <f>IF(ISNUMBER(A74),Profile!$V$25+Profile!$V$24*'Ri-Po'!C74,"")</f>
        <v/>
      </c>
      <c r="L74" s="32" t="str">
        <f t="shared" si="74"/>
        <v/>
      </c>
      <c r="M74" s="32" t="str">
        <f t="shared" si="70"/>
        <v/>
      </c>
      <c r="N74" s="32" t="str">
        <f t="shared" si="71"/>
        <v/>
      </c>
      <c r="O74" s="32" t="str">
        <f t="shared" si="87"/>
        <v/>
      </c>
      <c r="P74" s="32" t="str">
        <f t="shared" si="75"/>
        <v/>
      </c>
      <c r="Q74" s="32" t="str">
        <f t="shared" si="76"/>
        <v/>
      </c>
      <c r="R74" s="32" t="str">
        <f t="shared" si="88"/>
        <v/>
      </c>
      <c r="S74" s="24" t="str">
        <f t="shared" si="89"/>
        <v/>
      </c>
      <c r="T74" s="24" t="str">
        <f t="shared" si="90"/>
        <v/>
      </c>
      <c r="U74" s="24" t="str">
        <f t="shared" si="91"/>
        <v/>
      </c>
      <c r="V74" s="24" t="str">
        <f t="shared" si="92"/>
        <v/>
      </c>
      <c r="W74" s="23" t="str">
        <f t="array" ref="W74">IFERROR(SMALL(IF(S$1:S$1000="BEGIN",ROW(S$1:S$1000)),ROW()-3),"")</f>
        <v/>
      </c>
      <c r="X74" s="23" t="str">
        <f t="array" ref="X74">IFERROR(SMALL(IF(T$1:T$1000="END",ROW(T$1:T$1000)),ROW()-3),"")</f>
        <v/>
      </c>
      <c r="Y74" s="33" t="str">
        <f t="array" ref="Y74">IF(ISNUMBER(W74),MAX(IF((B$4:B$1000&lt;=X74)*(B$4:B$1000&gt;=W74),I$4:I$1000, "")),"")</f>
        <v/>
      </c>
      <c r="Z74" s="33" t="str">
        <f t="shared" si="77"/>
        <v/>
      </c>
      <c r="AA74" s="32" t="str">
        <f t="shared" si="78"/>
        <v/>
      </c>
      <c r="AB74" s="32" t="str">
        <f t="shared" si="79"/>
        <v/>
      </c>
      <c r="AC74" s="32" t="str">
        <f t="shared" si="80"/>
        <v/>
      </c>
      <c r="AD74" s="32" t="str">
        <f t="shared" si="81"/>
        <v/>
      </c>
      <c r="AE74" s="34" t="str">
        <f t="shared" si="82"/>
        <v/>
      </c>
      <c r="AF74" s="32" t="str">
        <f t="shared" si="83"/>
        <v/>
      </c>
      <c r="AG74" s="32" t="str">
        <f t="shared" si="84"/>
        <v/>
      </c>
      <c r="AH74" s="32" t="str">
        <f t="shared" si="85"/>
        <v/>
      </c>
      <c r="AI74" s="35" t="str">
        <f t="shared" si="86"/>
        <v/>
      </c>
      <c r="AJ74" s="23" t="str">
        <f t="array" ref="AJ74">IFERROR(SMALL(IF(U$1:U$1000="BEGIN",ROW(U$1:U$1000)),ROW()-3),"")</f>
        <v/>
      </c>
      <c r="AK74" s="23" t="str">
        <f t="array" ref="AK74">IFERROR(SMALL(IF(V$1:V$1000="END",ROW(V$1:V$1000)),ROW()-3),"")</f>
        <v/>
      </c>
      <c r="AL74" s="24" t="str">
        <f t="array" ref="AL74">IF(AK74="","",MATCH(AM74,L:L,0))</f>
        <v/>
      </c>
      <c r="AM74" s="35">
        <f t="array" ref="AM74">MAX(IF((B$4:B$1000&lt;=AK74)*(B$4:B$1000&gt;=AJ74),L$4:L$1000, ""))</f>
        <v>0</v>
      </c>
      <c r="AN74" s="32" t="str">
        <f t="shared" si="50"/>
        <v/>
      </c>
      <c r="AO74" s="32" t="str">
        <f t="shared" si="51"/>
        <v/>
      </c>
      <c r="AP74" s="32" t="str">
        <f t="shared" si="52"/>
        <v/>
      </c>
      <c r="AQ74" s="32" t="str">
        <f t="shared" si="53"/>
        <v/>
      </c>
      <c r="AR74" s="32" t="str">
        <f t="shared" si="54"/>
        <v/>
      </c>
      <c r="AS74" s="32" t="str">
        <f t="shared" si="55"/>
        <v/>
      </c>
      <c r="AT74" s="32" t="str">
        <f t="shared" si="56"/>
        <v/>
      </c>
      <c r="AU74" s="34" t="str">
        <f t="shared" si="57"/>
        <v/>
      </c>
      <c r="AV74" s="32" t="str">
        <f t="shared" si="58"/>
        <v/>
      </c>
      <c r="AW74" s="32" t="str">
        <f t="shared" si="59"/>
        <v/>
      </c>
      <c r="AX74" s="32" t="str">
        <f t="shared" si="60"/>
        <v/>
      </c>
      <c r="AY74" s="32" t="str">
        <f t="shared" si="61"/>
        <v/>
      </c>
    </row>
    <row r="75" spans="1:51" x14ac:dyDescent="0.25">
      <c r="A75" s="24" t="str">
        <f t="shared" si="62"/>
        <v/>
      </c>
      <c r="B75" s="24" t="str">
        <f t="shared" si="72"/>
        <v/>
      </c>
      <c r="C75" s="32" t="str">
        <f t="shared" si="63"/>
        <v/>
      </c>
      <c r="D75" s="24" t="str">
        <f t="shared" si="64"/>
        <v/>
      </c>
      <c r="E75" s="24" t="str">
        <f t="shared" si="65"/>
        <v/>
      </c>
      <c r="F75" s="32" t="str">
        <f t="shared" si="66"/>
        <v/>
      </c>
      <c r="G75" s="32" t="str">
        <f t="shared" si="67"/>
        <v/>
      </c>
      <c r="H75" s="32" t="str">
        <f t="shared" ca="1" si="68"/>
        <v/>
      </c>
      <c r="I75" s="32" t="str">
        <f t="shared" ca="1" si="73"/>
        <v/>
      </c>
      <c r="J75" s="32" t="str">
        <f t="shared" si="69"/>
        <v/>
      </c>
      <c r="K75" s="32" t="str">
        <f>IF(ISNUMBER(A75),Profile!$V$25+Profile!$V$24*'Ri-Po'!C75,"")</f>
        <v/>
      </c>
      <c r="L75" s="32" t="str">
        <f t="shared" si="74"/>
        <v/>
      </c>
      <c r="M75" s="32" t="str">
        <f t="shared" si="70"/>
        <v/>
      </c>
      <c r="N75" s="32" t="str">
        <f t="shared" si="71"/>
        <v/>
      </c>
      <c r="O75" s="32" t="str">
        <f t="shared" si="87"/>
        <v/>
      </c>
      <c r="P75" s="32" t="str">
        <f t="shared" si="75"/>
        <v/>
      </c>
      <c r="Q75" s="32" t="str">
        <f t="shared" si="76"/>
        <v/>
      </c>
      <c r="R75" s="32" t="str">
        <f t="shared" si="88"/>
        <v/>
      </c>
      <c r="S75" s="24" t="str">
        <f t="shared" si="89"/>
        <v/>
      </c>
      <c r="T75" s="24" t="str">
        <f t="shared" si="90"/>
        <v/>
      </c>
      <c r="U75" s="24" t="str">
        <f t="shared" si="91"/>
        <v/>
      </c>
      <c r="V75" s="24" t="str">
        <f t="shared" si="92"/>
        <v/>
      </c>
      <c r="W75" s="23" t="str">
        <f t="array" ref="W75">IFERROR(SMALL(IF(S$1:S$1000="BEGIN",ROW(S$1:S$1000)),ROW()-3),"")</f>
        <v/>
      </c>
      <c r="X75" s="23" t="str">
        <f t="array" ref="X75">IFERROR(SMALL(IF(T$1:T$1000="END",ROW(T$1:T$1000)),ROW()-3),"")</f>
        <v/>
      </c>
      <c r="Y75" s="33" t="str">
        <f t="array" ref="Y75">IF(ISNUMBER(W75),MAX(IF((B$4:B$1000&lt;=X75)*(B$4:B$1000&gt;=W75),I$4:I$1000, "")),"")</f>
        <v/>
      </c>
      <c r="Z75" s="33" t="str">
        <f t="shared" si="77"/>
        <v/>
      </c>
      <c r="AA75" s="32" t="str">
        <f t="shared" si="78"/>
        <v/>
      </c>
      <c r="AB75" s="32" t="str">
        <f t="shared" si="79"/>
        <v/>
      </c>
      <c r="AC75" s="32" t="str">
        <f t="shared" si="80"/>
        <v/>
      </c>
      <c r="AD75" s="32" t="str">
        <f t="shared" si="81"/>
        <v/>
      </c>
      <c r="AE75" s="34" t="str">
        <f t="shared" si="82"/>
        <v/>
      </c>
      <c r="AF75" s="32" t="str">
        <f t="shared" si="83"/>
        <v/>
      </c>
      <c r="AG75" s="32" t="str">
        <f t="shared" si="84"/>
        <v/>
      </c>
      <c r="AH75" s="32" t="str">
        <f t="shared" si="85"/>
        <v/>
      </c>
      <c r="AI75" s="35" t="str">
        <f t="shared" si="86"/>
        <v/>
      </c>
      <c r="AJ75" s="23" t="str">
        <f t="array" ref="AJ75">IFERROR(SMALL(IF(U$1:U$1000="BEGIN",ROW(U$1:U$1000)),ROW()-3),"")</f>
        <v/>
      </c>
      <c r="AK75" s="23" t="str">
        <f t="array" ref="AK75">IFERROR(SMALL(IF(V$1:V$1000="END",ROW(V$1:V$1000)),ROW()-3),"")</f>
        <v/>
      </c>
      <c r="AL75" s="24" t="str">
        <f t="array" ref="AL75">IF(AK75="","",MATCH(AM75,L:L,0))</f>
        <v/>
      </c>
      <c r="AM75" s="35">
        <f t="array" ref="AM75">MAX(IF((B$4:B$1000&lt;=AK75)*(B$4:B$1000&gt;=AJ75),L$4:L$1000, ""))</f>
        <v>0</v>
      </c>
      <c r="AN75" s="32" t="str">
        <f t="shared" si="50"/>
        <v/>
      </c>
      <c r="AO75" s="32" t="str">
        <f t="shared" si="51"/>
        <v/>
      </c>
      <c r="AP75" s="32" t="str">
        <f t="shared" si="52"/>
        <v/>
      </c>
      <c r="AQ75" s="32" t="str">
        <f t="shared" si="53"/>
        <v/>
      </c>
      <c r="AR75" s="32" t="str">
        <f t="shared" si="54"/>
        <v/>
      </c>
      <c r="AS75" s="32" t="str">
        <f t="shared" si="55"/>
        <v/>
      </c>
      <c r="AT75" s="32" t="str">
        <f t="shared" si="56"/>
        <v/>
      </c>
      <c r="AU75" s="34" t="str">
        <f t="shared" si="57"/>
        <v/>
      </c>
      <c r="AV75" s="32" t="str">
        <f t="shared" si="58"/>
        <v/>
      </c>
      <c r="AW75" s="32" t="str">
        <f t="shared" si="59"/>
        <v/>
      </c>
      <c r="AX75" s="32" t="str">
        <f t="shared" si="60"/>
        <v/>
      </c>
      <c r="AY75" s="32" t="str">
        <f t="shared" si="61"/>
        <v/>
      </c>
    </row>
    <row r="76" spans="1:51" x14ac:dyDescent="0.25">
      <c r="A76" s="24" t="str">
        <f t="shared" si="62"/>
        <v/>
      </c>
      <c r="B76" s="24" t="str">
        <f t="shared" si="72"/>
        <v/>
      </c>
      <c r="C76" s="32" t="str">
        <f t="shared" si="63"/>
        <v/>
      </c>
      <c r="D76" s="24" t="str">
        <f t="shared" si="64"/>
        <v/>
      </c>
      <c r="E76" s="24" t="str">
        <f t="shared" si="65"/>
        <v/>
      </c>
      <c r="F76" s="32" t="str">
        <f t="shared" si="66"/>
        <v/>
      </c>
      <c r="G76" s="32" t="str">
        <f t="shared" si="67"/>
        <v/>
      </c>
      <c r="H76" s="32" t="str">
        <f t="shared" ca="1" si="68"/>
        <v/>
      </c>
      <c r="I76" s="32" t="str">
        <f t="shared" ca="1" si="73"/>
        <v/>
      </c>
      <c r="J76" s="32" t="str">
        <f t="shared" si="69"/>
        <v/>
      </c>
      <c r="K76" s="32" t="str">
        <f>IF(ISNUMBER(A76),Profile!$V$25+Profile!$V$24*'Ri-Po'!C76,"")</f>
        <v/>
      </c>
      <c r="L76" s="32" t="str">
        <f t="shared" si="74"/>
        <v/>
      </c>
      <c r="M76" s="32" t="str">
        <f t="shared" si="70"/>
        <v/>
      </c>
      <c r="N76" s="32" t="str">
        <f t="shared" si="71"/>
        <v/>
      </c>
      <c r="O76" s="32" t="str">
        <f t="shared" si="87"/>
        <v/>
      </c>
      <c r="P76" s="32" t="str">
        <f t="shared" si="75"/>
        <v/>
      </c>
      <c r="Q76" s="32" t="str">
        <f t="shared" si="76"/>
        <v/>
      </c>
      <c r="R76" s="32" t="str">
        <f t="shared" si="88"/>
        <v/>
      </c>
      <c r="S76" s="24" t="str">
        <f t="shared" si="89"/>
        <v/>
      </c>
      <c r="T76" s="24" t="str">
        <f t="shared" si="90"/>
        <v/>
      </c>
      <c r="U76" s="24" t="str">
        <f t="shared" si="91"/>
        <v/>
      </c>
      <c r="V76" s="24" t="str">
        <f t="shared" si="92"/>
        <v/>
      </c>
      <c r="W76" s="23" t="str">
        <f t="array" ref="W76">IFERROR(SMALL(IF(S$1:S$1000="BEGIN",ROW(S$1:S$1000)),ROW()-3),"")</f>
        <v/>
      </c>
      <c r="X76" s="23" t="str">
        <f t="array" ref="X76">IFERROR(SMALL(IF(T$1:T$1000="END",ROW(T$1:T$1000)),ROW()-3),"")</f>
        <v/>
      </c>
      <c r="Y76" s="33" t="str">
        <f t="array" ref="Y76">IF(ISNUMBER(W76),MAX(IF((B$4:B$1000&lt;=X76)*(B$4:B$1000&gt;=W76),I$4:I$1000, "")),"")</f>
        <v/>
      </c>
      <c r="Z76" s="33" t="str">
        <f t="shared" si="77"/>
        <v/>
      </c>
      <c r="AA76" s="32" t="str">
        <f t="shared" si="78"/>
        <v/>
      </c>
      <c r="AB76" s="32" t="str">
        <f t="shared" si="79"/>
        <v/>
      </c>
      <c r="AC76" s="32" t="str">
        <f t="shared" si="80"/>
        <v/>
      </c>
      <c r="AD76" s="32" t="str">
        <f t="shared" si="81"/>
        <v/>
      </c>
      <c r="AE76" s="34" t="str">
        <f t="shared" si="82"/>
        <v/>
      </c>
      <c r="AF76" s="32" t="str">
        <f t="shared" si="83"/>
        <v/>
      </c>
      <c r="AG76" s="32" t="str">
        <f t="shared" si="84"/>
        <v/>
      </c>
      <c r="AH76" s="32" t="str">
        <f t="shared" si="85"/>
        <v/>
      </c>
      <c r="AI76" s="35" t="str">
        <f t="shared" si="86"/>
        <v/>
      </c>
      <c r="AJ76" s="23" t="str">
        <f t="array" ref="AJ76">IFERROR(SMALL(IF(U$1:U$1000="BEGIN",ROW(U$1:U$1000)),ROW()-3),"")</f>
        <v/>
      </c>
      <c r="AK76" s="23" t="str">
        <f t="array" ref="AK76">IFERROR(SMALL(IF(V$1:V$1000="END",ROW(V$1:V$1000)),ROW()-3),"")</f>
        <v/>
      </c>
      <c r="AL76" s="24" t="str">
        <f t="array" ref="AL76">IF(AK76="","",MATCH(AM76,L:L,0))</f>
        <v/>
      </c>
      <c r="AM76" s="35">
        <f t="array" ref="AM76">MAX(IF((B$4:B$1000&lt;=AK76)*(B$4:B$1000&gt;=AJ76),L$4:L$1000, ""))</f>
        <v>0</v>
      </c>
      <c r="AN76" s="32" t="str">
        <f t="shared" si="50"/>
        <v/>
      </c>
      <c r="AO76" s="32" t="str">
        <f t="shared" si="51"/>
        <v/>
      </c>
      <c r="AP76" s="32" t="str">
        <f t="shared" si="52"/>
        <v/>
      </c>
      <c r="AQ76" s="32" t="str">
        <f t="shared" si="53"/>
        <v/>
      </c>
      <c r="AR76" s="32" t="str">
        <f t="shared" si="54"/>
        <v/>
      </c>
      <c r="AS76" s="32" t="str">
        <f t="shared" si="55"/>
        <v/>
      </c>
      <c r="AT76" s="32" t="str">
        <f t="shared" si="56"/>
        <v/>
      </c>
      <c r="AU76" s="34" t="str">
        <f t="shared" si="57"/>
        <v/>
      </c>
      <c r="AV76" s="32" t="str">
        <f t="shared" si="58"/>
        <v/>
      </c>
      <c r="AW76" s="32" t="str">
        <f t="shared" si="59"/>
        <v/>
      </c>
      <c r="AX76" s="32" t="str">
        <f t="shared" si="60"/>
        <v/>
      </c>
      <c r="AY76" s="32" t="str">
        <f t="shared" si="61"/>
        <v/>
      </c>
    </row>
    <row r="77" spans="1:51" x14ac:dyDescent="0.25">
      <c r="A77" s="24" t="str">
        <f t="shared" si="62"/>
        <v/>
      </c>
      <c r="B77" s="24" t="str">
        <f t="shared" si="72"/>
        <v/>
      </c>
      <c r="C77" s="32" t="str">
        <f t="shared" si="63"/>
        <v/>
      </c>
      <c r="D77" s="24" t="str">
        <f t="shared" si="64"/>
        <v/>
      </c>
      <c r="E77" s="24" t="str">
        <f t="shared" si="65"/>
        <v/>
      </c>
      <c r="F77" s="32" t="str">
        <f t="shared" si="66"/>
        <v/>
      </c>
      <c r="G77" s="32" t="str">
        <f t="shared" si="67"/>
        <v/>
      </c>
      <c r="H77" s="32" t="str">
        <f t="shared" ca="1" si="68"/>
        <v/>
      </c>
      <c r="I77" s="32" t="str">
        <f t="shared" ca="1" si="73"/>
        <v/>
      </c>
      <c r="J77" s="32" t="str">
        <f t="shared" si="69"/>
        <v/>
      </c>
      <c r="K77" s="32" t="str">
        <f>IF(ISNUMBER(A77),Profile!$V$25+Profile!$V$24*'Ri-Po'!C77,"")</f>
        <v/>
      </c>
      <c r="L77" s="32" t="str">
        <f t="shared" si="74"/>
        <v/>
      </c>
      <c r="M77" s="32" t="str">
        <f t="shared" si="70"/>
        <v/>
      </c>
      <c r="N77" s="32" t="str">
        <f t="shared" si="71"/>
        <v/>
      </c>
      <c r="O77" s="32" t="str">
        <f t="shared" si="87"/>
        <v/>
      </c>
      <c r="P77" s="32" t="str">
        <f t="shared" si="75"/>
        <v/>
      </c>
      <c r="Q77" s="32" t="str">
        <f t="shared" si="76"/>
        <v/>
      </c>
      <c r="R77" s="32" t="str">
        <f t="shared" si="88"/>
        <v/>
      </c>
      <c r="S77" s="24" t="str">
        <f t="shared" si="89"/>
        <v/>
      </c>
      <c r="T77" s="24" t="str">
        <f t="shared" si="90"/>
        <v/>
      </c>
      <c r="U77" s="24" t="str">
        <f t="shared" si="91"/>
        <v/>
      </c>
      <c r="V77" s="24" t="str">
        <f t="shared" si="92"/>
        <v/>
      </c>
      <c r="W77" s="23" t="str">
        <f t="array" ref="W77">IFERROR(SMALL(IF(S$1:S$1000="BEGIN",ROW(S$1:S$1000)),ROW()-3),"")</f>
        <v/>
      </c>
      <c r="X77" s="23" t="str">
        <f t="array" ref="X77">IFERROR(SMALL(IF(T$1:T$1000="END",ROW(T$1:T$1000)),ROW()-3),"")</f>
        <v/>
      </c>
      <c r="Y77" s="33" t="str">
        <f t="array" ref="Y77">IF(ISNUMBER(W77),MAX(IF((B$4:B$1000&lt;=X77)*(B$4:B$1000&gt;=W77),I$4:I$1000, "")),"")</f>
        <v/>
      </c>
      <c r="Z77" s="33" t="str">
        <f t="shared" si="77"/>
        <v/>
      </c>
      <c r="AA77" s="32" t="str">
        <f t="shared" si="78"/>
        <v/>
      </c>
      <c r="AB77" s="32" t="str">
        <f t="shared" si="79"/>
        <v/>
      </c>
      <c r="AC77" s="32" t="str">
        <f t="shared" si="80"/>
        <v/>
      </c>
      <c r="AD77" s="32" t="str">
        <f t="shared" si="81"/>
        <v/>
      </c>
      <c r="AE77" s="34" t="str">
        <f t="shared" si="82"/>
        <v/>
      </c>
      <c r="AF77" s="32" t="str">
        <f t="shared" si="83"/>
        <v/>
      </c>
      <c r="AG77" s="32" t="str">
        <f t="shared" si="84"/>
        <v/>
      </c>
      <c r="AH77" s="32" t="str">
        <f t="shared" si="85"/>
        <v/>
      </c>
      <c r="AI77" s="35" t="str">
        <f t="shared" si="86"/>
        <v/>
      </c>
      <c r="AJ77" s="23" t="str">
        <f t="array" ref="AJ77">IFERROR(SMALL(IF(U$1:U$1000="BEGIN",ROW(U$1:U$1000)),ROW()-3),"")</f>
        <v/>
      </c>
      <c r="AK77" s="23" t="str">
        <f t="array" ref="AK77">IFERROR(SMALL(IF(V$1:V$1000="END",ROW(V$1:V$1000)),ROW()-3),"")</f>
        <v/>
      </c>
      <c r="AL77" s="24" t="str">
        <f t="array" ref="AL77">IF(AK77="","",MATCH(AM77,L:L,0))</f>
        <v/>
      </c>
      <c r="AM77" s="35">
        <f t="array" ref="AM77">MAX(IF((B$4:B$1000&lt;=AK77)*(B$4:B$1000&gt;=AJ77),L$4:L$1000, ""))</f>
        <v>0</v>
      </c>
      <c r="AN77" s="32" t="str">
        <f t="shared" si="50"/>
        <v/>
      </c>
      <c r="AO77" s="32" t="str">
        <f t="shared" si="51"/>
        <v/>
      </c>
      <c r="AP77" s="32" t="str">
        <f t="shared" si="52"/>
        <v/>
      </c>
      <c r="AQ77" s="32" t="str">
        <f t="shared" si="53"/>
        <v/>
      </c>
      <c r="AR77" s="32" t="str">
        <f t="shared" si="54"/>
        <v/>
      </c>
      <c r="AS77" s="32" t="str">
        <f t="shared" si="55"/>
        <v/>
      </c>
      <c r="AT77" s="32" t="str">
        <f t="shared" si="56"/>
        <v/>
      </c>
      <c r="AU77" s="34" t="str">
        <f t="shared" si="57"/>
        <v/>
      </c>
      <c r="AV77" s="32" t="str">
        <f t="shared" si="58"/>
        <v/>
      </c>
      <c r="AW77" s="32" t="str">
        <f t="shared" si="59"/>
        <v/>
      </c>
      <c r="AX77" s="32" t="str">
        <f t="shared" si="60"/>
        <v/>
      </c>
      <c r="AY77" s="32" t="str">
        <f t="shared" si="61"/>
        <v/>
      </c>
    </row>
    <row r="78" spans="1:51" x14ac:dyDescent="0.25">
      <c r="A78" s="24" t="str">
        <f t="shared" si="62"/>
        <v/>
      </c>
      <c r="B78" s="24" t="str">
        <f t="shared" si="72"/>
        <v/>
      </c>
      <c r="C78" s="32" t="str">
        <f t="shared" si="63"/>
        <v/>
      </c>
      <c r="D78" s="24" t="str">
        <f t="shared" si="64"/>
        <v/>
      </c>
      <c r="E78" s="24" t="str">
        <f t="shared" si="65"/>
        <v/>
      </c>
      <c r="F78" s="32" t="str">
        <f t="shared" si="66"/>
        <v/>
      </c>
      <c r="G78" s="32" t="str">
        <f t="shared" si="67"/>
        <v/>
      </c>
      <c r="H78" s="32" t="str">
        <f t="shared" ca="1" si="68"/>
        <v/>
      </c>
      <c r="I78" s="32" t="str">
        <f t="shared" ca="1" si="73"/>
        <v/>
      </c>
      <c r="J78" s="32" t="str">
        <f t="shared" si="69"/>
        <v/>
      </c>
      <c r="K78" s="32" t="str">
        <f>IF(ISNUMBER(A78),Profile!$V$25+Profile!$V$24*'Ri-Po'!C78,"")</f>
        <v/>
      </c>
      <c r="L78" s="32" t="str">
        <f t="shared" si="74"/>
        <v/>
      </c>
      <c r="M78" s="32" t="str">
        <f t="shared" si="70"/>
        <v/>
      </c>
      <c r="N78" s="32" t="str">
        <f t="shared" si="71"/>
        <v/>
      </c>
      <c r="O78" s="32" t="str">
        <f t="shared" si="87"/>
        <v/>
      </c>
      <c r="P78" s="32" t="str">
        <f t="shared" si="75"/>
        <v/>
      </c>
      <c r="Q78" s="32" t="str">
        <f t="shared" si="76"/>
        <v/>
      </c>
      <c r="R78" s="32" t="str">
        <f t="shared" si="88"/>
        <v/>
      </c>
      <c r="S78" s="24" t="str">
        <f t="shared" si="89"/>
        <v/>
      </c>
      <c r="T78" s="24" t="str">
        <f t="shared" si="90"/>
        <v/>
      </c>
      <c r="U78" s="24" t="str">
        <f t="shared" si="91"/>
        <v/>
      </c>
      <c r="V78" s="24" t="str">
        <f t="shared" si="92"/>
        <v/>
      </c>
      <c r="W78" s="23" t="str">
        <f t="array" ref="W78">IFERROR(SMALL(IF(S$1:S$1000="BEGIN",ROW(S$1:S$1000)),ROW()-3),"")</f>
        <v/>
      </c>
      <c r="X78" s="23" t="str">
        <f t="array" ref="X78">IFERROR(SMALL(IF(T$1:T$1000="END",ROW(T$1:T$1000)),ROW()-3),"")</f>
        <v/>
      </c>
      <c r="Y78" s="33" t="str">
        <f t="array" ref="Y78">IF(ISNUMBER(W78),MAX(IF((B$4:B$1000&lt;=X78)*(B$4:B$1000&gt;=W78),I$4:I$1000, "")),"")</f>
        <v/>
      </c>
      <c r="Z78" s="33" t="str">
        <f t="shared" si="77"/>
        <v/>
      </c>
      <c r="AA78" s="32" t="str">
        <f t="shared" si="78"/>
        <v/>
      </c>
      <c r="AB78" s="32" t="str">
        <f t="shared" si="79"/>
        <v/>
      </c>
      <c r="AC78" s="32" t="str">
        <f t="shared" si="80"/>
        <v/>
      </c>
      <c r="AD78" s="32" t="str">
        <f t="shared" si="81"/>
        <v/>
      </c>
      <c r="AE78" s="34" t="str">
        <f t="shared" si="82"/>
        <v/>
      </c>
      <c r="AF78" s="32" t="str">
        <f t="shared" si="83"/>
        <v/>
      </c>
      <c r="AG78" s="32" t="str">
        <f t="shared" si="84"/>
        <v/>
      </c>
      <c r="AH78" s="32" t="str">
        <f t="shared" si="85"/>
        <v/>
      </c>
      <c r="AI78" s="35" t="str">
        <f t="shared" si="86"/>
        <v/>
      </c>
      <c r="AJ78" s="23" t="str">
        <f t="array" ref="AJ78">IFERROR(SMALL(IF(U$1:U$1000="BEGIN",ROW(U$1:U$1000)),ROW()-3),"")</f>
        <v/>
      </c>
      <c r="AK78" s="23" t="str">
        <f t="array" ref="AK78">IFERROR(SMALL(IF(V$1:V$1000="END",ROW(V$1:V$1000)),ROW()-3),"")</f>
        <v/>
      </c>
      <c r="AL78" s="24" t="str">
        <f t="array" ref="AL78">IF(AK78="","",MATCH(AM78,L:L,0))</f>
        <v/>
      </c>
      <c r="AM78" s="35">
        <f t="array" ref="AM78">MAX(IF((B$4:B$1000&lt;=AK78)*(B$4:B$1000&gt;=AJ78),L$4:L$1000, ""))</f>
        <v>0</v>
      </c>
      <c r="AN78" s="32" t="str">
        <f t="shared" si="50"/>
        <v/>
      </c>
      <c r="AO78" s="32" t="str">
        <f t="shared" si="51"/>
        <v/>
      </c>
      <c r="AP78" s="32" t="str">
        <f t="shared" si="52"/>
        <v/>
      </c>
      <c r="AQ78" s="32" t="str">
        <f t="shared" si="53"/>
        <v/>
      </c>
      <c r="AR78" s="32" t="str">
        <f t="shared" si="54"/>
        <v/>
      </c>
      <c r="AS78" s="32" t="str">
        <f t="shared" si="55"/>
        <v/>
      </c>
      <c r="AT78" s="32" t="str">
        <f t="shared" si="56"/>
        <v/>
      </c>
      <c r="AU78" s="34" t="str">
        <f t="shared" si="57"/>
        <v/>
      </c>
      <c r="AV78" s="32" t="str">
        <f t="shared" si="58"/>
        <v/>
      </c>
      <c r="AW78" s="32" t="str">
        <f t="shared" si="59"/>
        <v/>
      </c>
      <c r="AX78" s="32" t="str">
        <f t="shared" si="60"/>
        <v/>
      </c>
      <c r="AY78" s="32" t="str">
        <f t="shared" si="61"/>
        <v/>
      </c>
    </row>
    <row r="79" spans="1:51" x14ac:dyDescent="0.25">
      <c r="A79" s="24" t="str">
        <f t="shared" si="62"/>
        <v/>
      </c>
      <c r="B79" s="24" t="str">
        <f t="shared" si="72"/>
        <v/>
      </c>
      <c r="C79" s="32" t="str">
        <f t="shared" si="63"/>
        <v/>
      </c>
      <c r="D79" s="24" t="str">
        <f t="shared" si="64"/>
        <v/>
      </c>
      <c r="E79" s="24" t="str">
        <f t="shared" si="65"/>
        <v/>
      </c>
      <c r="F79" s="32" t="str">
        <f t="shared" si="66"/>
        <v/>
      </c>
      <c r="G79" s="32" t="str">
        <f t="shared" si="67"/>
        <v/>
      </c>
      <c r="H79" s="32" t="str">
        <f t="shared" ca="1" si="68"/>
        <v/>
      </c>
      <c r="I79" s="32" t="str">
        <f t="shared" ca="1" si="73"/>
        <v/>
      </c>
      <c r="J79" s="32" t="str">
        <f t="shared" si="69"/>
        <v/>
      </c>
      <c r="K79" s="32" t="str">
        <f>IF(ISNUMBER(A79),Profile!$V$25+Profile!$V$24*'Ri-Po'!C79,"")</f>
        <v/>
      </c>
      <c r="L79" s="32" t="str">
        <f t="shared" si="74"/>
        <v/>
      </c>
      <c r="M79" s="32" t="str">
        <f t="shared" si="70"/>
        <v/>
      </c>
      <c r="N79" s="32" t="str">
        <f t="shared" si="71"/>
        <v/>
      </c>
      <c r="O79" s="32" t="str">
        <f t="shared" si="87"/>
        <v/>
      </c>
      <c r="P79" s="32" t="str">
        <f t="shared" si="75"/>
        <v/>
      </c>
      <c r="Q79" s="32" t="str">
        <f t="shared" si="76"/>
        <v/>
      </c>
      <c r="R79" s="32" t="str">
        <f t="shared" si="88"/>
        <v/>
      </c>
      <c r="S79" s="24" t="str">
        <f t="shared" si="89"/>
        <v/>
      </c>
      <c r="T79" s="24" t="str">
        <f t="shared" si="90"/>
        <v/>
      </c>
      <c r="U79" s="24" t="str">
        <f t="shared" si="91"/>
        <v/>
      </c>
      <c r="V79" s="24" t="str">
        <f t="shared" si="92"/>
        <v/>
      </c>
      <c r="W79" s="23" t="str">
        <f t="array" ref="W79">IFERROR(SMALL(IF(S$1:S$1000="BEGIN",ROW(S$1:S$1000)),ROW()-3),"")</f>
        <v/>
      </c>
      <c r="X79" s="23" t="str">
        <f t="array" ref="X79">IFERROR(SMALL(IF(T$1:T$1000="END",ROW(T$1:T$1000)),ROW()-3),"")</f>
        <v/>
      </c>
      <c r="Y79" s="33" t="str">
        <f t="array" ref="Y79">IF(ISNUMBER(W79),MAX(IF((B$4:B$1000&lt;=X79)*(B$4:B$1000&gt;=W79),I$4:I$1000, "")),"")</f>
        <v/>
      </c>
      <c r="Z79" s="33" t="str">
        <f t="shared" si="77"/>
        <v/>
      </c>
      <c r="AA79" s="32" t="str">
        <f t="shared" si="78"/>
        <v/>
      </c>
      <c r="AB79" s="32" t="str">
        <f t="shared" si="79"/>
        <v/>
      </c>
      <c r="AC79" s="32" t="str">
        <f t="shared" si="80"/>
        <v/>
      </c>
      <c r="AD79" s="32" t="str">
        <f t="shared" si="81"/>
        <v/>
      </c>
      <c r="AE79" s="34" t="str">
        <f t="shared" si="82"/>
        <v/>
      </c>
      <c r="AF79" s="32" t="str">
        <f t="shared" si="83"/>
        <v/>
      </c>
      <c r="AG79" s="32" t="str">
        <f t="shared" si="84"/>
        <v/>
      </c>
      <c r="AH79" s="32" t="str">
        <f t="shared" si="85"/>
        <v/>
      </c>
      <c r="AI79" s="35" t="str">
        <f t="shared" si="86"/>
        <v/>
      </c>
      <c r="AJ79" s="23" t="str">
        <f t="array" ref="AJ79">IFERROR(SMALL(IF(U$1:U$1000="BEGIN",ROW(U$1:U$1000)),ROW()-3),"")</f>
        <v/>
      </c>
      <c r="AK79" s="23" t="str">
        <f t="array" ref="AK79">IFERROR(SMALL(IF(V$1:V$1000="END",ROW(V$1:V$1000)),ROW()-3),"")</f>
        <v/>
      </c>
      <c r="AL79" s="24" t="str">
        <f t="array" ref="AL79">IF(AK79="","",MATCH(AM79,L:L,0))</f>
        <v/>
      </c>
      <c r="AM79" s="35">
        <f t="array" ref="AM79">MAX(IF((B$4:B$1000&lt;=AK79)*(B$4:B$1000&gt;=AJ79),L$4:L$1000, ""))</f>
        <v>0</v>
      </c>
      <c r="AN79" s="32" t="str">
        <f t="shared" si="50"/>
        <v/>
      </c>
      <c r="AO79" s="32" t="str">
        <f t="shared" si="51"/>
        <v/>
      </c>
      <c r="AP79" s="32" t="str">
        <f t="shared" si="52"/>
        <v/>
      </c>
      <c r="AQ79" s="32" t="str">
        <f t="shared" si="53"/>
        <v/>
      </c>
      <c r="AR79" s="32" t="str">
        <f t="shared" si="54"/>
        <v/>
      </c>
      <c r="AS79" s="32" t="str">
        <f t="shared" si="55"/>
        <v/>
      </c>
      <c r="AT79" s="32" t="str">
        <f t="shared" si="56"/>
        <v/>
      </c>
      <c r="AU79" s="34" t="str">
        <f t="shared" si="57"/>
        <v/>
      </c>
      <c r="AV79" s="32" t="str">
        <f t="shared" si="58"/>
        <v/>
      </c>
      <c r="AW79" s="32" t="str">
        <f t="shared" si="59"/>
        <v/>
      </c>
      <c r="AX79" s="32" t="str">
        <f t="shared" si="60"/>
        <v/>
      </c>
      <c r="AY79" s="32" t="str">
        <f t="shared" si="61"/>
        <v/>
      </c>
    </row>
    <row r="80" spans="1:51" x14ac:dyDescent="0.25">
      <c r="A80" s="24" t="str">
        <f t="shared" si="62"/>
        <v/>
      </c>
      <c r="B80" s="24" t="str">
        <f t="shared" si="72"/>
        <v/>
      </c>
      <c r="C80" s="32" t="str">
        <f t="shared" si="63"/>
        <v/>
      </c>
      <c r="D80" s="24" t="str">
        <f t="shared" si="64"/>
        <v/>
      </c>
      <c r="E80" s="24" t="str">
        <f t="shared" si="65"/>
        <v/>
      </c>
      <c r="F80" s="32" t="str">
        <f t="shared" si="66"/>
        <v/>
      </c>
      <c r="G80" s="32" t="str">
        <f t="shared" si="67"/>
        <v/>
      </c>
      <c r="H80" s="32" t="str">
        <f t="shared" ca="1" si="68"/>
        <v/>
      </c>
      <c r="I80" s="32" t="str">
        <f t="shared" ca="1" si="73"/>
        <v/>
      </c>
      <c r="J80" s="32" t="str">
        <f t="shared" si="69"/>
        <v/>
      </c>
      <c r="K80" s="32" t="str">
        <f>IF(ISNUMBER(A80),Profile!$V$25+Profile!$V$24*'Ri-Po'!C80,"")</f>
        <v/>
      </c>
      <c r="L80" s="32" t="str">
        <f t="shared" si="74"/>
        <v/>
      </c>
      <c r="M80" s="32" t="str">
        <f t="shared" si="70"/>
        <v/>
      </c>
      <c r="N80" s="32" t="str">
        <f t="shared" si="71"/>
        <v/>
      </c>
      <c r="O80" s="32" t="str">
        <f t="shared" si="87"/>
        <v/>
      </c>
      <c r="P80" s="32" t="str">
        <f t="shared" si="75"/>
        <v/>
      </c>
      <c r="Q80" s="32" t="str">
        <f t="shared" si="76"/>
        <v/>
      </c>
      <c r="R80" s="32" t="str">
        <f t="shared" si="88"/>
        <v/>
      </c>
      <c r="S80" s="24" t="str">
        <f t="shared" si="89"/>
        <v/>
      </c>
      <c r="T80" s="24" t="str">
        <f t="shared" si="90"/>
        <v/>
      </c>
      <c r="U80" s="24" t="str">
        <f t="shared" si="91"/>
        <v/>
      </c>
      <c r="V80" s="24" t="str">
        <f t="shared" si="92"/>
        <v/>
      </c>
      <c r="W80" s="23" t="str">
        <f t="array" ref="W80">IFERROR(SMALL(IF(S$1:S$1000="BEGIN",ROW(S$1:S$1000)),ROW()-3),"")</f>
        <v/>
      </c>
      <c r="X80" s="23" t="str">
        <f t="array" ref="X80">IFERROR(SMALL(IF(T$1:T$1000="END",ROW(T$1:T$1000)),ROW()-3),"")</f>
        <v/>
      </c>
      <c r="Y80" s="33" t="str">
        <f t="array" ref="Y80">IF(ISNUMBER(W80),MAX(IF((B$4:B$1000&lt;=X80)*(B$4:B$1000&gt;=W80),I$4:I$1000, "")),"")</f>
        <v/>
      </c>
      <c r="Z80" s="33" t="str">
        <f t="shared" si="77"/>
        <v/>
      </c>
      <c r="AA80" s="32" t="str">
        <f t="shared" si="78"/>
        <v/>
      </c>
      <c r="AB80" s="32" t="str">
        <f t="shared" si="79"/>
        <v/>
      </c>
      <c r="AC80" s="32" t="str">
        <f t="shared" si="80"/>
        <v/>
      </c>
      <c r="AD80" s="32" t="str">
        <f t="shared" si="81"/>
        <v/>
      </c>
      <c r="AE80" s="34" t="str">
        <f t="shared" si="82"/>
        <v/>
      </c>
      <c r="AF80" s="32" t="str">
        <f t="shared" si="83"/>
        <v/>
      </c>
      <c r="AG80" s="32" t="str">
        <f t="shared" si="84"/>
        <v/>
      </c>
      <c r="AH80" s="32" t="str">
        <f t="shared" si="85"/>
        <v/>
      </c>
      <c r="AI80" s="35" t="str">
        <f t="shared" si="86"/>
        <v/>
      </c>
      <c r="AJ80" s="23" t="str">
        <f t="array" ref="AJ80">IFERROR(SMALL(IF(U$1:U$1000="BEGIN",ROW(U$1:U$1000)),ROW()-3),"")</f>
        <v/>
      </c>
      <c r="AK80" s="23" t="str">
        <f t="array" ref="AK80">IFERROR(SMALL(IF(V$1:V$1000="END",ROW(V$1:V$1000)),ROW()-3),"")</f>
        <v/>
      </c>
      <c r="AL80" s="24" t="str">
        <f t="array" ref="AL80">IF(AK80="","",MATCH(AM80,L:L,0))</f>
        <v/>
      </c>
      <c r="AM80" s="35">
        <f t="array" ref="AM80">MAX(IF((B$4:B$1000&lt;=AK80)*(B$4:B$1000&gt;=AJ80),L$4:L$1000, ""))</f>
        <v>0</v>
      </c>
      <c r="AN80" s="32" t="str">
        <f t="shared" si="50"/>
        <v/>
      </c>
      <c r="AO80" s="32" t="str">
        <f t="shared" si="51"/>
        <v/>
      </c>
      <c r="AP80" s="32" t="str">
        <f t="shared" si="52"/>
        <v/>
      </c>
      <c r="AQ80" s="32" t="str">
        <f t="shared" si="53"/>
        <v/>
      </c>
      <c r="AR80" s="32" t="str">
        <f t="shared" si="54"/>
        <v/>
      </c>
      <c r="AS80" s="32" t="str">
        <f t="shared" si="55"/>
        <v/>
      </c>
      <c r="AT80" s="32" t="str">
        <f t="shared" si="56"/>
        <v/>
      </c>
      <c r="AU80" s="34" t="str">
        <f t="shared" si="57"/>
        <v/>
      </c>
      <c r="AV80" s="32" t="str">
        <f t="shared" si="58"/>
        <v/>
      </c>
      <c r="AW80" s="32" t="str">
        <f t="shared" si="59"/>
        <v/>
      </c>
      <c r="AX80" s="32" t="str">
        <f t="shared" si="60"/>
        <v/>
      </c>
      <c r="AY80" s="32" t="str">
        <f t="shared" si="61"/>
        <v/>
      </c>
    </row>
    <row r="81" spans="1:51" x14ac:dyDescent="0.25">
      <c r="A81" s="24" t="str">
        <f t="shared" si="62"/>
        <v/>
      </c>
      <c r="B81" s="24" t="str">
        <f t="shared" si="72"/>
        <v/>
      </c>
      <c r="C81" s="32" t="str">
        <f t="shared" si="63"/>
        <v/>
      </c>
      <c r="D81" s="24" t="str">
        <f t="shared" si="64"/>
        <v/>
      </c>
      <c r="E81" s="24" t="str">
        <f t="shared" si="65"/>
        <v/>
      </c>
      <c r="F81" s="32" t="str">
        <f t="shared" si="66"/>
        <v/>
      </c>
      <c r="G81" s="32" t="str">
        <f t="shared" si="67"/>
        <v/>
      </c>
      <c r="H81" s="32" t="str">
        <f t="shared" ca="1" si="68"/>
        <v/>
      </c>
      <c r="I81" s="32" t="str">
        <f t="shared" ca="1" si="73"/>
        <v/>
      </c>
      <c r="J81" s="32" t="str">
        <f t="shared" si="69"/>
        <v/>
      </c>
      <c r="K81" s="32" t="str">
        <f>IF(ISNUMBER(A81),Profile!$V$25+Profile!$V$24*'Ri-Po'!C81,"")</f>
        <v/>
      </c>
      <c r="L81" s="32" t="str">
        <f t="shared" si="74"/>
        <v/>
      </c>
      <c r="M81" s="32" t="str">
        <f t="shared" si="70"/>
        <v/>
      </c>
      <c r="N81" s="32" t="str">
        <f t="shared" si="71"/>
        <v/>
      </c>
      <c r="O81" s="32" t="str">
        <f t="shared" si="87"/>
        <v/>
      </c>
      <c r="P81" s="32" t="str">
        <f t="shared" si="75"/>
        <v/>
      </c>
      <c r="Q81" s="32" t="str">
        <f t="shared" si="76"/>
        <v/>
      </c>
      <c r="R81" s="32" t="str">
        <f t="shared" si="88"/>
        <v/>
      </c>
      <c r="S81" s="24" t="str">
        <f t="shared" si="89"/>
        <v/>
      </c>
      <c r="T81" s="24" t="str">
        <f t="shared" si="90"/>
        <v/>
      </c>
      <c r="U81" s="24" t="str">
        <f t="shared" si="91"/>
        <v/>
      </c>
      <c r="V81" s="24" t="str">
        <f t="shared" si="92"/>
        <v/>
      </c>
      <c r="W81" s="23" t="str">
        <f t="array" ref="W81">IFERROR(SMALL(IF(S$1:S$1000="BEGIN",ROW(S$1:S$1000)),ROW()-3),"")</f>
        <v/>
      </c>
      <c r="X81" s="23" t="str">
        <f t="array" ref="X81">IFERROR(SMALL(IF(T$1:T$1000="END",ROW(T$1:T$1000)),ROW()-3),"")</f>
        <v/>
      </c>
      <c r="Y81" s="33" t="str">
        <f t="array" ref="Y81">IF(ISNUMBER(W81),MAX(IF((B$4:B$1000&lt;=X81)*(B$4:B$1000&gt;=W81),I$4:I$1000, "")),"")</f>
        <v/>
      </c>
      <c r="Z81" s="33" t="str">
        <f t="shared" si="77"/>
        <v/>
      </c>
      <c r="AA81" s="32" t="str">
        <f t="shared" si="78"/>
        <v/>
      </c>
      <c r="AB81" s="32" t="str">
        <f t="shared" si="79"/>
        <v/>
      </c>
      <c r="AC81" s="32" t="str">
        <f t="shared" si="80"/>
        <v/>
      </c>
      <c r="AD81" s="32" t="str">
        <f t="shared" si="81"/>
        <v/>
      </c>
      <c r="AE81" s="34" t="str">
        <f t="shared" si="82"/>
        <v/>
      </c>
      <c r="AF81" s="32" t="str">
        <f t="shared" si="83"/>
        <v/>
      </c>
      <c r="AG81" s="32" t="str">
        <f t="shared" si="84"/>
        <v/>
      </c>
      <c r="AH81" s="32" t="str">
        <f t="shared" si="85"/>
        <v/>
      </c>
      <c r="AI81" s="35" t="str">
        <f t="shared" si="86"/>
        <v/>
      </c>
      <c r="AJ81" s="23" t="str">
        <f t="array" ref="AJ81">IFERROR(SMALL(IF(U$1:U$1000="BEGIN",ROW(U$1:U$1000)),ROW()-3),"")</f>
        <v/>
      </c>
      <c r="AK81" s="23" t="str">
        <f t="array" ref="AK81">IFERROR(SMALL(IF(V$1:V$1000="END",ROW(V$1:V$1000)),ROW()-3),"")</f>
        <v/>
      </c>
      <c r="AL81" s="24" t="str">
        <f t="array" ref="AL81">IF(AK81="","",MATCH(AM81,L:L,0))</f>
        <v/>
      </c>
      <c r="AM81" s="35">
        <f t="array" ref="AM81">MAX(IF((B$4:B$1000&lt;=AK81)*(B$4:B$1000&gt;=AJ81),L$4:L$1000, ""))</f>
        <v>0</v>
      </c>
      <c r="AN81" s="32" t="str">
        <f t="shared" si="50"/>
        <v/>
      </c>
      <c r="AO81" s="32" t="str">
        <f t="shared" si="51"/>
        <v/>
      </c>
      <c r="AP81" s="32" t="str">
        <f t="shared" si="52"/>
        <v/>
      </c>
      <c r="AQ81" s="32" t="str">
        <f t="shared" si="53"/>
        <v/>
      </c>
      <c r="AR81" s="32" t="str">
        <f t="shared" si="54"/>
        <v/>
      </c>
      <c r="AS81" s="32" t="str">
        <f t="shared" si="55"/>
        <v/>
      </c>
      <c r="AT81" s="32" t="str">
        <f t="shared" si="56"/>
        <v/>
      </c>
      <c r="AU81" s="34" t="str">
        <f t="shared" si="57"/>
        <v/>
      </c>
      <c r="AV81" s="32" t="str">
        <f t="shared" si="58"/>
        <v/>
      </c>
      <c r="AW81" s="32" t="str">
        <f t="shared" si="59"/>
        <v/>
      </c>
      <c r="AX81" s="32" t="str">
        <f t="shared" si="60"/>
        <v/>
      </c>
      <c r="AY81" s="32" t="str">
        <f t="shared" si="61"/>
        <v/>
      </c>
    </row>
    <row r="82" spans="1:51" x14ac:dyDescent="0.25">
      <c r="A82" s="24" t="str">
        <f t="shared" si="62"/>
        <v/>
      </c>
      <c r="B82" s="24" t="str">
        <f t="shared" si="72"/>
        <v/>
      </c>
      <c r="C82" s="32" t="str">
        <f t="shared" si="63"/>
        <v/>
      </c>
      <c r="D82" s="24" t="str">
        <f t="shared" si="64"/>
        <v/>
      </c>
      <c r="E82" s="24" t="str">
        <f t="shared" si="65"/>
        <v/>
      </c>
      <c r="F82" s="32" t="str">
        <f t="shared" si="66"/>
        <v/>
      </c>
      <c r="G82" s="32" t="str">
        <f t="shared" si="67"/>
        <v/>
      </c>
      <c r="H82" s="32" t="str">
        <f t="shared" ca="1" si="68"/>
        <v/>
      </c>
      <c r="I82" s="32" t="str">
        <f t="shared" ca="1" si="73"/>
        <v/>
      </c>
      <c r="J82" s="32" t="str">
        <f t="shared" si="69"/>
        <v/>
      </c>
      <c r="K82" s="32" t="str">
        <f>IF(ISNUMBER(A82),Profile!$V$25+Profile!$V$24*'Ri-Po'!C82,"")</f>
        <v/>
      </c>
      <c r="L82" s="32" t="str">
        <f t="shared" si="74"/>
        <v/>
      </c>
      <c r="M82" s="32" t="str">
        <f t="shared" si="70"/>
        <v/>
      </c>
      <c r="N82" s="32" t="str">
        <f t="shared" si="71"/>
        <v/>
      </c>
      <c r="O82" s="32" t="str">
        <f t="shared" si="87"/>
        <v/>
      </c>
      <c r="P82" s="32" t="str">
        <f t="shared" si="75"/>
        <v/>
      </c>
      <c r="Q82" s="32" t="str">
        <f t="shared" si="76"/>
        <v/>
      </c>
      <c r="R82" s="32" t="str">
        <f t="shared" si="88"/>
        <v/>
      </c>
      <c r="S82" s="24" t="str">
        <f t="shared" si="89"/>
        <v/>
      </c>
      <c r="T82" s="24" t="str">
        <f t="shared" si="90"/>
        <v/>
      </c>
      <c r="U82" s="24" t="str">
        <f t="shared" si="91"/>
        <v/>
      </c>
      <c r="V82" s="24" t="str">
        <f t="shared" si="92"/>
        <v/>
      </c>
      <c r="W82" s="23" t="str">
        <f t="array" ref="W82">IFERROR(SMALL(IF(S$1:S$1000="BEGIN",ROW(S$1:S$1000)),ROW()-3),"")</f>
        <v/>
      </c>
      <c r="X82" s="23" t="str">
        <f t="array" ref="X82">IFERROR(SMALL(IF(T$1:T$1000="END",ROW(T$1:T$1000)),ROW()-3),"")</f>
        <v/>
      </c>
      <c r="Y82" s="33" t="str">
        <f t="array" ref="Y82">IF(ISNUMBER(W82),MAX(IF((B$4:B$1000&lt;=X82)*(B$4:B$1000&gt;=W82),I$4:I$1000, "")),"")</f>
        <v/>
      </c>
      <c r="Z82" s="33" t="str">
        <f t="shared" si="77"/>
        <v/>
      </c>
      <c r="AA82" s="32" t="str">
        <f t="shared" si="78"/>
        <v/>
      </c>
      <c r="AB82" s="32" t="str">
        <f t="shared" si="79"/>
        <v/>
      </c>
      <c r="AC82" s="32" t="str">
        <f t="shared" si="80"/>
        <v/>
      </c>
      <c r="AD82" s="32" t="str">
        <f t="shared" si="81"/>
        <v/>
      </c>
      <c r="AE82" s="34" t="str">
        <f t="shared" si="82"/>
        <v/>
      </c>
      <c r="AF82" s="32" t="str">
        <f t="shared" si="83"/>
        <v/>
      </c>
      <c r="AG82" s="32" t="str">
        <f t="shared" si="84"/>
        <v/>
      </c>
      <c r="AH82" s="32" t="str">
        <f t="shared" si="85"/>
        <v/>
      </c>
      <c r="AI82" s="35" t="str">
        <f t="shared" si="86"/>
        <v/>
      </c>
      <c r="AJ82" s="23" t="str">
        <f t="array" ref="AJ82">IFERROR(SMALL(IF(U$1:U$1000="BEGIN",ROW(U$1:U$1000)),ROW()-3),"")</f>
        <v/>
      </c>
      <c r="AK82" s="23" t="str">
        <f t="array" ref="AK82">IFERROR(SMALL(IF(V$1:V$1000="END",ROW(V$1:V$1000)),ROW()-3),"")</f>
        <v/>
      </c>
      <c r="AL82" s="24" t="str">
        <f t="array" ref="AL82">IF(AK82="","",MATCH(AM82,L:L,0))</f>
        <v/>
      </c>
      <c r="AM82" s="35">
        <f t="array" ref="AM82">MAX(IF((B$4:B$1000&lt;=AK82)*(B$4:B$1000&gt;=AJ82),L$4:L$1000, ""))</f>
        <v>0</v>
      </c>
      <c r="AN82" s="32" t="str">
        <f t="shared" ref="AN82:AN145" si="93">IFERROR(INDEX(C:C,AJ82),"")</f>
        <v/>
      </c>
      <c r="AO82" s="32" t="str">
        <f t="shared" ref="AO82:AO145" si="94">IFERROR(INDEX(C:C,AK82),"")</f>
        <v/>
      </c>
      <c r="AP82" s="32" t="str">
        <f t="shared" ref="AP82:AP145" si="95">IFERROR(INDEX(C:C,AL82),"")</f>
        <v/>
      </c>
      <c r="AQ82" s="32" t="str">
        <f t="shared" ref="AQ82:AQ145" si="96">IF(ISNUMBER(AN82),AM82,"")</f>
        <v/>
      </c>
      <c r="AR82" s="32" t="str">
        <f t="shared" ref="AR82:AR145" si="97">IFERROR(AO82-AN82,"")</f>
        <v/>
      </c>
      <c r="AS82" s="32" t="str">
        <f t="shared" ref="AS82:AS145" si="98">IFERROR(INDEX(H:H,AJ82),"")</f>
        <v/>
      </c>
      <c r="AT82" s="32" t="str">
        <f t="shared" ref="AT82:AT145" si="99">IFERROR(INDEX(H:H,AK82),"")</f>
        <v/>
      </c>
      <c r="AU82" s="34" t="str">
        <f t="shared" ref="AU82:AU145" si="100">IFERROR((AS82-AT82)/(AR82),"")</f>
        <v/>
      </c>
      <c r="AV82" s="32" t="str">
        <f t="shared" ref="AV82:AV145" si="101">IFERROR(AQ82/$BB$17,"")</f>
        <v/>
      </c>
      <c r="AW82" s="32" t="str">
        <f t="shared" ref="AW82:AW145" si="102">IFERROR(AU82/BB$19,"")</f>
        <v/>
      </c>
      <c r="AX82" s="32" t="str">
        <f t="shared" ref="AX82:AX145" si="103">IFERROR(AP83-AP82,"")</f>
        <v/>
      </c>
      <c r="AY82" s="32" t="str">
        <f t="shared" ref="AY82:AY145" si="104">IFERROR(AX82/BB$16,"")</f>
        <v/>
      </c>
    </row>
    <row r="83" spans="1:51" x14ac:dyDescent="0.25">
      <c r="A83" s="24" t="str">
        <f t="shared" si="62"/>
        <v/>
      </c>
      <c r="B83" s="24" t="str">
        <f t="shared" si="72"/>
        <v/>
      </c>
      <c r="C83" s="32" t="str">
        <f t="shared" si="63"/>
        <v/>
      </c>
      <c r="D83" s="24" t="str">
        <f t="shared" si="64"/>
        <v/>
      </c>
      <c r="E83" s="24" t="str">
        <f t="shared" si="65"/>
        <v/>
      </c>
      <c r="F83" s="32" t="str">
        <f t="shared" si="66"/>
        <v/>
      </c>
      <c r="G83" s="32" t="str">
        <f t="shared" si="67"/>
        <v/>
      </c>
      <c r="H83" s="32" t="str">
        <f t="shared" ca="1" si="68"/>
        <v/>
      </c>
      <c r="I83" s="32" t="str">
        <f t="shared" ca="1" si="73"/>
        <v/>
      </c>
      <c r="J83" s="32" t="str">
        <f t="shared" si="69"/>
        <v/>
      </c>
      <c r="K83" s="32" t="str">
        <f>IF(ISNUMBER(A83),Profile!$V$25+Profile!$V$24*'Ri-Po'!C83,"")</f>
        <v/>
      </c>
      <c r="L83" s="32" t="str">
        <f t="shared" si="74"/>
        <v/>
      </c>
      <c r="M83" s="32" t="str">
        <f t="shared" si="70"/>
        <v/>
      </c>
      <c r="N83" s="32" t="str">
        <f t="shared" si="71"/>
        <v/>
      </c>
      <c r="O83" s="32" t="str">
        <f t="shared" si="87"/>
        <v/>
      </c>
      <c r="P83" s="32" t="str">
        <f t="shared" si="75"/>
        <v/>
      </c>
      <c r="Q83" s="32" t="str">
        <f t="shared" si="76"/>
        <v/>
      </c>
      <c r="R83" s="32" t="str">
        <f t="shared" si="88"/>
        <v/>
      </c>
      <c r="S83" s="24" t="str">
        <f t="shared" si="89"/>
        <v/>
      </c>
      <c r="T83" s="24" t="str">
        <f t="shared" si="90"/>
        <v/>
      </c>
      <c r="U83" s="24" t="str">
        <f t="shared" si="91"/>
        <v/>
      </c>
      <c r="V83" s="24" t="str">
        <f t="shared" si="92"/>
        <v/>
      </c>
      <c r="W83" s="23" t="str">
        <f t="array" ref="W83">IFERROR(SMALL(IF(S$1:S$1000="BEGIN",ROW(S$1:S$1000)),ROW()-3),"")</f>
        <v/>
      </c>
      <c r="X83" s="23" t="str">
        <f t="array" ref="X83">IFERROR(SMALL(IF(T$1:T$1000="END",ROW(T$1:T$1000)),ROW()-3),"")</f>
        <v/>
      </c>
      <c r="Y83" s="33" t="str">
        <f t="array" ref="Y83">IF(ISNUMBER(W83),MAX(IF((B$4:B$1000&lt;=X83)*(B$4:B$1000&gt;=W83),I$4:I$1000, "")),"")</f>
        <v/>
      </c>
      <c r="Z83" s="33" t="str">
        <f t="shared" si="77"/>
        <v/>
      </c>
      <c r="AA83" s="32" t="str">
        <f t="shared" si="78"/>
        <v/>
      </c>
      <c r="AB83" s="32" t="str">
        <f t="shared" si="79"/>
        <v/>
      </c>
      <c r="AC83" s="32" t="str">
        <f t="shared" si="80"/>
        <v/>
      </c>
      <c r="AD83" s="32" t="str">
        <f t="shared" si="81"/>
        <v/>
      </c>
      <c r="AE83" s="34" t="str">
        <f t="shared" si="82"/>
        <v/>
      </c>
      <c r="AF83" s="32" t="str">
        <f t="shared" si="83"/>
        <v/>
      </c>
      <c r="AG83" s="32" t="str">
        <f t="shared" si="84"/>
        <v/>
      </c>
      <c r="AH83" s="32" t="str">
        <f t="shared" si="85"/>
        <v/>
      </c>
      <c r="AI83" s="35" t="str">
        <f t="shared" si="86"/>
        <v/>
      </c>
      <c r="AJ83" s="23" t="str">
        <f t="array" ref="AJ83">IFERROR(SMALL(IF(U$1:U$1000="BEGIN",ROW(U$1:U$1000)),ROW()-3),"")</f>
        <v/>
      </c>
      <c r="AK83" s="23" t="str">
        <f t="array" ref="AK83">IFERROR(SMALL(IF(V$1:V$1000="END",ROW(V$1:V$1000)),ROW()-3),"")</f>
        <v/>
      </c>
      <c r="AL83" s="24" t="str">
        <f t="array" ref="AL83">IF(AK83="","",MATCH(AM83,L:L,0))</f>
        <v/>
      </c>
      <c r="AM83" s="35">
        <f t="array" ref="AM83">MAX(IF((B$4:B$1000&lt;=AK83)*(B$4:B$1000&gt;=AJ83),L$4:L$1000, ""))</f>
        <v>0</v>
      </c>
      <c r="AN83" s="32" t="str">
        <f t="shared" si="93"/>
        <v/>
      </c>
      <c r="AO83" s="32" t="str">
        <f t="shared" si="94"/>
        <v/>
      </c>
      <c r="AP83" s="32" t="str">
        <f t="shared" si="95"/>
        <v/>
      </c>
      <c r="AQ83" s="32" t="str">
        <f t="shared" si="96"/>
        <v/>
      </c>
      <c r="AR83" s="32" t="str">
        <f t="shared" si="97"/>
        <v/>
      </c>
      <c r="AS83" s="32" t="str">
        <f t="shared" si="98"/>
        <v/>
      </c>
      <c r="AT83" s="32" t="str">
        <f t="shared" si="99"/>
        <v/>
      </c>
      <c r="AU83" s="34" t="str">
        <f t="shared" si="100"/>
        <v/>
      </c>
      <c r="AV83" s="32" t="str">
        <f t="shared" si="101"/>
        <v/>
      </c>
      <c r="AW83" s="32" t="str">
        <f t="shared" si="102"/>
        <v/>
      </c>
      <c r="AX83" s="32" t="str">
        <f t="shared" si="103"/>
        <v/>
      </c>
      <c r="AY83" s="32" t="str">
        <f t="shared" si="104"/>
        <v/>
      </c>
    </row>
    <row r="84" spans="1:51" x14ac:dyDescent="0.25">
      <c r="A84" s="24" t="str">
        <f t="shared" si="62"/>
        <v/>
      </c>
      <c r="B84" s="24" t="str">
        <f t="shared" si="72"/>
        <v/>
      </c>
      <c r="C84" s="32" t="str">
        <f t="shared" si="63"/>
        <v/>
      </c>
      <c r="D84" s="24" t="str">
        <f t="shared" si="64"/>
        <v/>
      </c>
      <c r="E84" s="24" t="str">
        <f t="shared" si="65"/>
        <v/>
      </c>
      <c r="F84" s="32" t="str">
        <f t="shared" si="66"/>
        <v/>
      </c>
      <c r="G84" s="32" t="str">
        <f t="shared" si="67"/>
        <v/>
      </c>
      <c r="H84" s="32" t="str">
        <f t="shared" ca="1" si="68"/>
        <v/>
      </c>
      <c r="I84" s="32" t="str">
        <f t="shared" ca="1" si="73"/>
        <v/>
      </c>
      <c r="J84" s="32" t="str">
        <f t="shared" si="69"/>
        <v/>
      </c>
      <c r="K84" s="32" t="str">
        <f>IF(ISNUMBER(A84),Profile!$V$25+Profile!$V$24*'Ri-Po'!C84,"")</f>
        <v/>
      </c>
      <c r="L84" s="32" t="str">
        <f t="shared" si="74"/>
        <v/>
      </c>
      <c r="M84" s="32" t="str">
        <f t="shared" si="70"/>
        <v/>
      </c>
      <c r="N84" s="32" t="str">
        <f t="shared" si="71"/>
        <v/>
      </c>
      <c r="O84" s="32" t="str">
        <f t="shared" si="87"/>
        <v/>
      </c>
      <c r="P84" s="32" t="str">
        <f t="shared" si="75"/>
        <v/>
      </c>
      <c r="Q84" s="32" t="str">
        <f t="shared" si="76"/>
        <v/>
      </c>
      <c r="R84" s="32" t="str">
        <f t="shared" si="88"/>
        <v/>
      </c>
      <c r="S84" s="24" t="str">
        <f t="shared" si="89"/>
        <v/>
      </c>
      <c r="T84" s="24" t="str">
        <f t="shared" si="90"/>
        <v/>
      </c>
      <c r="U84" s="24" t="str">
        <f t="shared" si="91"/>
        <v/>
      </c>
      <c r="V84" s="24" t="str">
        <f t="shared" si="92"/>
        <v/>
      </c>
      <c r="W84" s="23" t="str">
        <f t="array" ref="W84">IFERROR(SMALL(IF(S$1:S$1000="BEGIN",ROW(S$1:S$1000)),ROW()-3),"")</f>
        <v/>
      </c>
      <c r="X84" s="23" t="str">
        <f t="array" ref="X84">IFERROR(SMALL(IF(T$1:T$1000="END",ROW(T$1:T$1000)),ROW()-3),"")</f>
        <v/>
      </c>
      <c r="Y84" s="33" t="str">
        <f t="array" ref="Y84">IF(ISNUMBER(W84),MAX(IF((B$4:B$1000&lt;=X84)*(B$4:B$1000&gt;=W84),I$4:I$1000, "")),"")</f>
        <v/>
      </c>
      <c r="Z84" s="33" t="str">
        <f t="shared" si="77"/>
        <v/>
      </c>
      <c r="AA84" s="32" t="str">
        <f t="shared" si="78"/>
        <v/>
      </c>
      <c r="AB84" s="32" t="str">
        <f t="shared" si="79"/>
        <v/>
      </c>
      <c r="AC84" s="32" t="str">
        <f t="shared" si="80"/>
        <v/>
      </c>
      <c r="AD84" s="32" t="str">
        <f t="shared" si="81"/>
        <v/>
      </c>
      <c r="AE84" s="34" t="str">
        <f t="shared" si="82"/>
        <v/>
      </c>
      <c r="AF84" s="32" t="str">
        <f t="shared" si="83"/>
        <v/>
      </c>
      <c r="AG84" s="32" t="str">
        <f t="shared" si="84"/>
        <v/>
      </c>
      <c r="AH84" s="32" t="str">
        <f t="shared" si="85"/>
        <v/>
      </c>
      <c r="AI84" s="35" t="str">
        <f t="shared" si="86"/>
        <v/>
      </c>
      <c r="AJ84" s="23" t="str">
        <f t="array" ref="AJ84">IFERROR(SMALL(IF(U$1:U$1000="BEGIN",ROW(U$1:U$1000)),ROW()-3),"")</f>
        <v/>
      </c>
      <c r="AK84" s="23" t="str">
        <f t="array" ref="AK84">IFERROR(SMALL(IF(V$1:V$1000="END",ROW(V$1:V$1000)),ROW()-3),"")</f>
        <v/>
      </c>
      <c r="AL84" s="24" t="str">
        <f t="array" ref="AL84">IF(AK84="","",MATCH(AM84,L:L,0))</f>
        <v/>
      </c>
      <c r="AM84" s="35">
        <f t="array" ref="AM84">MAX(IF((B$4:B$1000&lt;=AK84)*(B$4:B$1000&gt;=AJ84),L$4:L$1000, ""))</f>
        <v>0</v>
      </c>
      <c r="AN84" s="32" t="str">
        <f t="shared" si="93"/>
        <v/>
      </c>
      <c r="AO84" s="32" t="str">
        <f t="shared" si="94"/>
        <v/>
      </c>
      <c r="AP84" s="32" t="str">
        <f t="shared" si="95"/>
        <v/>
      </c>
      <c r="AQ84" s="32" t="str">
        <f t="shared" si="96"/>
        <v/>
      </c>
      <c r="AR84" s="32" t="str">
        <f t="shared" si="97"/>
        <v/>
      </c>
      <c r="AS84" s="32" t="str">
        <f t="shared" si="98"/>
        <v/>
      </c>
      <c r="AT84" s="32" t="str">
        <f t="shared" si="99"/>
        <v/>
      </c>
      <c r="AU84" s="34" t="str">
        <f t="shared" si="100"/>
        <v/>
      </c>
      <c r="AV84" s="32" t="str">
        <f t="shared" si="101"/>
        <v/>
      </c>
      <c r="AW84" s="32" t="str">
        <f t="shared" si="102"/>
        <v/>
      </c>
      <c r="AX84" s="32" t="str">
        <f t="shared" si="103"/>
        <v/>
      </c>
      <c r="AY84" s="32" t="str">
        <f t="shared" si="104"/>
        <v/>
      </c>
    </row>
    <row r="85" spans="1:51" x14ac:dyDescent="0.25">
      <c r="A85" s="24" t="str">
        <f t="shared" si="62"/>
        <v/>
      </c>
      <c r="B85" s="24" t="str">
        <f t="shared" si="72"/>
        <v/>
      </c>
      <c r="C85" s="32" t="str">
        <f t="shared" si="63"/>
        <v/>
      </c>
      <c r="D85" s="24" t="str">
        <f t="shared" si="64"/>
        <v/>
      </c>
      <c r="E85" s="24" t="str">
        <f t="shared" si="65"/>
        <v/>
      </c>
      <c r="F85" s="32" t="str">
        <f t="shared" si="66"/>
        <v/>
      </c>
      <c r="G85" s="32" t="str">
        <f t="shared" si="67"/>
        <v/>
      </c>
      <c r="H85" s="32" t="str">
        <f t="shared" ca="1" si="68"/>
        <v/>
      </c>
      <c r="I85" s="32" t="str">
        <f t="shared" ca="1" si="73"/>
        <v/>
      </c>
      <c r="J85" s="32" t="str">
        <f t="shared" si="69"/>
        <v/>
      </c>
      <c r="K85" s="32" t="str">
        <f>IF(ISNUMBER(A85),Profile!$V$25+Profile!$V$24*'Ri-Po'!C85,"")</f>
        <v/>
      </c>
      <c r="L85" s="32" t="str">
        <f t="shared" si="74"/>
        <v/>
      </c>
      <c r="M85" s="32" t="str">
        <f t="shared" si="70"/>
        <v/>
      </c>
      <c r="N85" s="32" t="str">
        <f t="shared" si="71"/>
        <v/>
      </c>
      <c r="O85" s="32" t="str">
        <f t="shared" si="87"/>
        <v/>
      </c>
      <c r="P85" s="32" t="str">
        <f t="shared" si="75"/>
        <v/>
      </c>
      <c r="Q85" s="32" t="str">
        <f t="shared" si="76"/>
        <v/>
      </c>
      <c r="R85" s="32" t="str">
        <f t="shared" si="88"/>
        <v/>
      </c>
      <c r="S85" s="24" t="str">
        <f t="shared" si="89"/>
        <v/>
      </c>
      <c r="T85" s="24" t="str">
        <f t="shared" si="90"/>
        <v/>
      </c>
      <c r="U85" s="24" t="str">
        <f t="shared" si="91"/>
        <v/>
      </c>
      <c r="V85" s="24" t="str">
        <f t="shared" si="92"/>
        <v/>
      </c>
      <c r="W85" s="23" t="str">
        <f t="array" ref="W85">IFERROR(SMALL(IF(S$1:S$1000="BEGIN",ROW(S$1:S$1000)),ROW()-3),"")</f>
        <v/>
      </c>
      <c r="X85" s="23" t="str">
        <f t="array" ref="X85">IFERROR(SMALL(IF(T$1:T$1000="END",ROW(T$1:T$1000)),ROW()-3),"")</f>
        <v/>
      </c>
      <c r="Y85" s="33" t="str">
        <f t="array" ref="Y85">IF(ISNUMBER(W85),MAX(IF((B$4:B$1000&lt;=X85)*(B$4:B$1000&gt;=W85),I$4:I$1000, "")),"")</f>
        <v/>
      </c>
      <c r="Z85" s="33" t="str">
        <f t="shared" si="77"/>
        <v/>
      </c>
      <c r="AA85" s="32" t="str">
        <f t="shared" si="78"/>
        <v/>
      </c>
      <c r="AB85" s="32" t="str">
        <f t="shared" si="79"/>
        <v/>
      </c>
      <c r="AC85" s="32" t="str">
        <f t="shared" si="80"/>
        <v/>
      </c>
      <c r="AD85" s="32" t="str">
        <f t="shared" si="81"/>
        <v/>
      </c>
      <c r="AE85" s="34" t="str">
        <f t="shared" si="82"/>
        <v/>
      </c>
      <c r="AF85" s="32" t="str">
        <f t="shared" si="83"/>
        <v/>
      </c>
      <c r="AG85" s="32" t="str">
        <f t="shared" si="84"/>
        <v/>
      </c>
      <c r="AH85" s="32" t="str">
        <f t="shared" si="85"/>
        <v/>
      </c>
      <c r="AI85" s="35" t="str">
        <f t="shared" si="86"/>
        <v/>
      </c>
      <c r="AJ85" s="23" t="str">
        <f t="array" ref="AJ85">IFERROR(SMALL(IF(U$1:U$1000="BEGIN",ROW(U$1:U$1000)),ROW()-3),"")</f>
        <v/>
      </c>
      <c r="AK85" s="23" t="str">
        <f t="array" ref="AK85">IFERROR(SMALL(IF(V$1:V$1000="END",ROW(V$1:V$1000)),ROW()-3),"")</f>
        <v/>
      </c>
      <c r="AL85" s="24" t="str">
        <f t="array" ref="AL85">IF(AK85="","",MATCH(AM85,L:L,0))</f>
        <v/>
      </c>
      <c r="AM85" s="35">
        <f t="array" ref="AM85">MAX(IF((B$4:B$1000&lt;=AK85)*(B$4:B$1000&gt;=AJ85),L$4:L$1000, ""))</f>
        <v>0</v>
      </c>
      <c r="AN85" s="32" t="str">
        <f t="shared" si="93"/>
        <v/>
      </c>
      <c r="AO85" s="32" t="str">
        <f t="shared" si="94"/>
        <v/>
      </c>
      <c r="AP85" s="32" t="str">
        <f t="shared" si="95"/>
        <v/>
      </c>
      <c r="AQ85" s="32" t="str">
        <f t="shared" si="96"/>
        <v/>
      </c>
      <c r="AR85" s="32" t="str">
        <f t="shared" si="97"/>
        <v/>
      </c>
      <c r="AS85" s="32" t="str">
        <f t="shared" si="98"/>
        <v/>
      </c>
      <c r="AT85" s="32" t="str">
        <f t="shared" si="99"/>
        <v/>
      </c>
      <c r="AU85" s="34" t="str">
        <f t="shared" si="100"/>
        <v/>
      </c>
      <c r="AV85" s="32" t="str">
        <f t="shared" si="101"/>
        <v/>
      </c>
      <c r="AW85" s="32" t="str">
        <f t="shared" si="102"/>
        <v/>
      </c>
      <c r="AX85" s="32" t="str">
        <f t="shared" si="103"/>
        <v/>
      </c>
      <c r="AY85" s="32" t="str">
        <f t="shared" si="104"/>
        <v/>
      </c>
    </row>
    <row r="86" spans="1:51" x14ac:dyDescent="0.25">
      <c r="A86" s="24" t="str">
        <f t="shared" si="62"/>
        <v/>
      </c>
      <c r="B86" s="24" t="str">
        <f t="shared" si="72"/>
        <v/>
      </c>
      <c r="C86" s="32" t="str">
        <f t="shared" si="63"/>
        <v/>
      </c>
      <c r="D86" s="24" t="str">
        <f t="shared" si="64"/>
        <v/>
      </c>
      <c r="E86" s="24" t="str">
        <f t="shared" si="65"/>
        <v/>
      </c>
      <c r="F86" s="32" t="str">
        <f t="shared" si="66"/>
        <v/>
      </c>
      <c r="G86" s="32" t="str">
        <f t="shared" si="67"/>
        <v/>
      </c>
      <c r="H86" s="32" t="str">
        <f t="shared" ca="1" si="68"/>
        <v/>
      </c>
      <c r="I86" s="32" t="str">
        <f t="shared" ca="1" si="73"/>
        <v/>
      </c>
      <c r="J86" s="32" t="str">
        <f t="shared" si="69"/>
        <v/>
      </c>
      <c r="K86" s="32" t="str">
        <f>IF(ISNUMBER(A86),Profile!$V$25+Profile!$V$24*'Ri-Po'!C86,"")</f>
        <v/>
      </c>
      <c r="L86" s="32" t="str">
        <f t="shared" si="74"/>
        <v/>
      </c>
      <c r="M86" s="32" t="str">
        <f t="shared" si="70"/>
        <v/>
      </c>
      <c r="N86" s="32" t="str">
        <f t="shared" si="71"/>
        <v/>
      </c>
      <c r="O86" s="32" t="str">
        <f t="shared" si="87"/>
        <v/>
      </c>
      <c r="P86" s="32" t="str">
        <f t="shared" si="75"/>
        <v/>
      </c>
      <c r="Q86" s="32" t="str">
        <f t="shared" si="76"/>
        <v/>
      </c>
      <c r="R86" s="32" t="str">
        <f t="shared" si="88"/>
        <v/>
      </c>
      <c r="S86" s="24" t="str">
        <f t="shared" si="89"/>
        <v/>
      </c>
      <c r="T86" s="24" t="str">
        <f t="shared" si="90"/>
        <v/>
      </c>
      <c r="U86" s="24" t="str">
        <f t="shared" si="91"/>
        <v/>
      </c>
      <c r="V86" s="24" t="str">
        <f t="shared" si="92"/>
        <v/>
      </c>
      <c r="W86" s="23" t="str">
        <f t="array" ref="W86">IFERROR(SMALL(IF(S$1:S$1000="BEGIN",ROW(S$1:S$1000)),ROW()-3),"")</f>
        <v/>
      </c>
      <c r="X86" s="23" t="str">
        <f t="array" ref="X86">IFERROR(SMALL(IF(T$1:T$1000="END",ROW(T$1:T$1000)),ROW()-3),"")</f>
        <v/>
      </c>
      <c r="Y86" s="33" t="str">
        <f t="array" ref="Y86">IF(ISNUMBER(W86),MAX(IF((B$4:B$1000&lt;=X86)*(B$4:B$1000&gt;=W86),I$4:I$1000, "")),"")</f>
        <v/>
      </c>
      <c r="Z86" s="33" t="str">
        <f t="shared" si="77"/>
        <v/>
      </c>
      <c r="AA86" s="32" t="str">
        <f t="shared" si="78"/>
        <v/>
      </c>
      <c r="AB86" s="32" t="str">
        <f t="shared" si="79"/>
        <v/>
      </c>
      <c r="AC86" s="32" t="str">
        <f t="shared" si="80"/>
        <v/>
      </c>
      <c r="AD86" s="32" t="str">
        <f t="shared" si="81"/>
        <v/>
      </c>
      <c r="AE86" s="34" t="str">
        <f t="shared" si="82"/>
        <v/>
      </c>
      <c r="AF86" s="32" t="str">
        <f t="shared" si="83"/>
        <v/>
      </c>
      <c r="AG86" s="32" t="str">
        <f t="shared" si="84"/>
        <v/>
      </c>
      <c r="AH86" s="32" t="str">
        <f t="shared" si="85"/>
        <v/>
      </c>
      <c r="AI86" s="35" t="str">
        <f t="shared" si="86"/>
        <v/>
      </c>
      <c r="AJ86" s="23" t="str">
        <f t="array" ref="AJ86">IFERROR(SMALL(IF(U$1:U$1000="BEGIN",ROW(U$1:U$1000)),ROW()-3),"")</f>
        <v/>
      </c>
      <c r="AK86" s="23" t="str">
        <f t="array" ref="AK86">IFERROR(SMALL(IF(V$1:V$1000="END",ROW(V$1:V$1000)),ROW()-3),"")</f>
        <v/>
      </c>
      <c r="AL86" s="24" t="str">
        <f t="array" ref="AL86">IF(AK86="","",MATCH(AM86,L:L,0))</f>
        <v/>
      </c>
      <c r="AM86" s="35">
        <f t="array" ref="AM86">MAX(IF((B$4:B$1000&lt;=AK86)*(B$4:B$1000&gt;=AJ86),L$4:L$1000, ""))</f>
        <v>0</v>
      </c>
      <c r="AN86" s="32" t="str">
        <f t="shared" si="93"/>
        <v/>
      </c>
      <c r="AO86" s="32" t="str">
        <f t="shared" si="94"/>
        <v/>
      </c>
      <c r="AP86" s="32" t="str">
        <f t="shared" si="95"/>
        <v/>
      </c>
      <c r="AQ86" s="32" t="str">
        <f t="shared" si="96"/>
        <v/>
      </c>
      <c r="AR86" s="32" t="str">
        <f t="shared" si="97"/>
        <v/>
      </c>
      <c r="AS86" s="32" t="str">
        <f t="shared" si="98"/>
        <v/>
      </c>
      <c r="AT86" s="32" t="str">
        <f t="shared" si="99"/>
        <v/>
      </c>
      <c r="AU86" s="34" t="str">
        <f t="shared" si="100"/>
        <v/>
      </c>
      <c r="AV86" s="32" t="str">
        <f t="shared" si="101"/>
        <v/>
      </c>
      <c r="AW86" s="32" t="str">
        <f t="shared" si="102"/>
        <v/>
      </c>
      <c r="AX86" s="32" t="str">
        <f t="shared" si="103"/>
        <v/>
      </c>
      <c r="AY86" s="32" t="str">
        <f t="shared" si="104"/>
        <v/>
      </c>
    </row>
    <row r="87" spans="1:51" x14ac:dyDescent="0.25">
      <c r="A87" s="24" t="str">
        <f t="shared" si="62"/>
        <v/>
      </c>
      <c r="B87" s="24" t="str">
        <f t="shared" si="72"/>
        <v/>
      </c>
      <c r="C87" s="32" t="str">
        <f t="shared" si="63"/>
        <v/>
      </c>
      <c r="D87" s="24" t="str">
        <f t="shared" si="64"/>
        <v/>
      </c>
      <c r="E87" s="24" t="str">
        <f t="shared" si="65"/>
        <v/>
      </c>
      <c r="F87" s="32" t="str">
        <f t="shared" si="66"/>
        <v/>
      </c>
      <c r="G87" s="32" t="str">
        <f t="shared" si="67"/>
        <v/>
      </c>
      <c r="H87" s="32" t="str">
        <f t="shared" ca="1" si="68"/>
        <v/>
      </c>
      <c r="I87" s="32" t="str">
        <f t="shared" ca="1" si="73"/>
        <v/>
      </c>
      <c r="J87" s="32" t="str">
        <f t="shared" si="69"/>
        <v/>
      </c>
      <c r="K87" s="32" t="str">
        <f>IF(ISNUMBER(A87),Profile!$V$25+Profile!$V$24*'Ri-Po'!C87,"")</f>
        <v/>
      </c>
      <c r="L87" s="32" t="str">
        <f t="shared" si="74"/>
        <v/>
      </c>
      <c r="M87" s="32" t="str">
        <f t="shared" si="70"/>
        <v/>
      </c>
      <c r="N87" s="32" t="str">
        <f t="shared" si="71"/>
        <v/>
      </c>
      <c r="O87" s="32" t="str">
        <f t="shared" si="87"/>
        <v/>
      </c>
      <c r="P87" s="32" t="str">
        <f t="shared" si="75"/>
        <v/>
      </c>
      <c r="Q87" s="32" t="str">
        <f t="shared" si="76"/>
        <v/>
      </c>
      <c r="R87" s="32" t="str">
        <f t="shared" si="88"/>
        <v/>
      </c>
      <c r="S87" s="24" t="str">
        <f t="shared" si="89"/>
        <v/>
      </c>
      <c r="T87" s="24" t="str">
        <f t="shared" si="90"/>
        <v/>
      </c>
      <c r="U87" s="24" t="str">
        <f t="shared" si="91"/>
        <v/>
      </c>
      <c r="V87" s="24" t="str">
        <f t="shared" si="92"/>
        <v/>
      </c>
      <c r="W87" s="23" t="str">
        <f t="array" ref="W87">IFERROR(SMALL(IF(S$1:S$1000="BEGIN",ROW(S$1:S$1000)),ROW()-3),"")</f>
        <v/>
      </c>
      <c r="X87" s="23" t="str">
        <f t="array" ref="X87">IFERROR(SMALL(IF(T$1:T$1000="END",ROW(T$1:T$1000)),ROW()-3),"")</f>
        <v/>
      </c>
      <c r="Y87" s="33" t="str">
        <f t="array" ref="Y87">IF(ISNUMBER(W87),MAX(IF((B$4:B$1000&lt;=X87)*(B$4:B$1000&gt;=W87),I$4:I$1000, "")),"")</f>
        <v/>
      </c>
      <c r="Z87" s="33" t="str">
        <f t="shared" si="77"/>
        <v/>
      </c>
      <c r="AA87" s="32" t="str">
        <f t="shared" si="78"/>
        <v/>
      </c>
      <c r="AB87" s="32" t="str">
        <f t="shared" si="79"/>
        <v/>
      </c>
      <c r="AC87" s="32" t="str">
        <f t="shared" si="80"/>
        <v/>
      </c>
      <c r="AD87" s="32" t="str">
        <f t="shared" si="81"/>
        <v/>
      </c>
      <c r="AE87" s="34" t="str">
        <f t="shared" si="82"/>
        <v/>
      </c>
      <c r="AF87" s="32" t="str">
        <f t="shared" si="83"/>
        <v/>
      </c>
      <c r="AG87" s="32" t="str">
        <f t="shared" si="84"/>
        <v/>
      </c>
      <c r="AH87" s="32" t="str">
        <f t="shared" si="85"/>
        <v/>
      </c>
      <c r="AI87" s="35" t="str">
        <f t="shared" si="86"/>
        <v/>
      </c>
      <c r="AJ87" s="23" t="str">
        <f t="array" ref="AJ87">IFERROR(SMALL(IF(U$1:U$1000="BEGIN",ROW(U$1:U$1000)),ROW()-3),"")</f>
        <v/>
      </c>
      <c r="AK87" s="23" t="str">
        <f t="array" ref="AK87">IFERROR(SMALL(IF(V$1:V$1000="END",ROW(V$1:V$1000)),ROW()-3),"")</f>
        <v/>
      </c>
      <c r="AL87" s="24" t="str">
        <f t="array" ref="AL87">IF(AK87="","",MATCH(AM87,L:L,0))</f>
        <v/>
      </c>
      <c r="AM87" s="35">
        <f t="array" ref="AM87">MAX(IF((B$4:B$1000&lt;=AK87)*(B$4:B$1000&gt;=AJ87),L$4:L$1000, ""))</f>
        <v>0</v>
      </c>
      <c r="AN87" s="32" t="str">
        <f t="shared" si="93"/>
        <v/>
      </c>
      <c r="AO87" s="32" t="str">
        <f t="shared" si="94"/>
        <v/>
      </c>
      <c r="AP87" s="32" t="str">
        <f t="shared" si="95"/>
        <v/>
      </c>
      <c r="AQ87" s="32" t="str">
        <f t="shared" si="96"/>
        <v/>
      </c>
      <c r="AR87" s="32" t="str">
        <f t="shared" si="97"/>
        <v/>
      </c>
      <c r="AS87" s="32" t="str">
        <f t="shared" si="98"/>
        <v/>
      </c>
      <c r="AT87" s="32" t="str">
        <f t="shared" si="99"/>
        <v/>
      </c>
      <c r="AU87" s="34" t="str">
        <f t="shared" si="100"/>
        <v/>
      </c>
      <c r="AV87" s="32" t="str">
        <f t="shared" si="101"/>
        <v/>
      </c>
      <c r="AW87" s="32" t="str">
        <f t="shared" si="102"/>
        <v/>
      </c>
      <c r="AX87" s="32" t="str">
        <f t="shared" si="103"/>
        <v/>
      </c>
      <c r="AY87" s="32" t="str">
        <f t="shared" si="104"/>
        <v/>
      </c>
    </row>
    <row r="88" spans="1:51" x14ac:dyDescent="0.25">
      <c r="A88" s="24" t="str">
        <f t="shared" si="62"/>
        <v/>
      </c>
      <c r="B88" s="24" t="str">
        <f t="shared" si="72"/>
        <v/>
      </c>
      <c r="C88" s="32" t="str">
        <f t="shared" si="63"/>
        <v/>
      </c>
      <c r="D88" s="24" t="str">
        <f t="shared" si="64"/>
        <v/>
      </c>
      <c r="E88" s="24" t="str">
        <f t="shared" si="65"/>
        <v/>
      </c>
      <c r="F88" s="32" t="str">
        <f t="shared" si="66"/>
        <v/>
      </c>
      <c r="G88" s="32" t="str">
        <f t="shared" si="67"/>
        <v/>
      </c>
      <c r="H88" s="32" t="str">
        <f t="shared" ca="1" si="68"/>
        <v/>
      </c>
      <c r="I88" s="32" t="str">
        <f t="shared" ca="1" si="73"/>
        <v/>
      </c>
      <c r="J88" s="32" t="str">
        <f t="shared" si="69"/>
        <v/>
      </c>
      <c r="K88" s="32" t="str">
        <f>IF(ISNUMBER(A88),Profile!$V$25+Profile!$V$24*'Ri-Po'!C88,"")</f>
        <v/>
      </c>
      <c r="L88" s="32" t="str">
        <f t="shared" si="74"/>
        <v/>
      </c>
      <c r="M88" s="32" t="str">
        <f t="shared" si="70"/>
        <v/>
      </c>
      <c r="N88" s="32" t="str">
        <f t="shared" si="71"/>
        <v/>
      </c>
      <c r="O88" s="32" t="str">
        <f t="shared" si="87"/>
        <v/>
      </c>
      <c r="P88" s="32" t="str">
        <f t="shared" si="75"/>
        <v/>
      </c>
      <c r="Q88" s="32" t="str">
        <f t="shared" si="76"/>
        <v/>
      </c>
      <c r="R88" s="32" t="str">
        <f t="shared" si="88"/>
        <v/>
      </c>
      <c r="S88" s="24" t="str">
        <f t="shared" si="89"/>
        <v/>
      </c>
      <c r="T88" s="24" t="str">
        <f t="shared" si="90"/>
        <v/>
      </c>
      <c r="U88" s="24" t="str">
        <f t="shared" si="91"/>
        <v/>
      </c>
      <c r="V88" s="24" t="str">
        <f t="shared" si="92"/>
        <v/>
      </c>
      <c r="W88" s="23" t="str">
        <f t="array" ref="W88">IFERROR(SMALL(IF(S$1:S$1000="BEGIN",ROW(S$1:S$1000)),ROW()-3),"")</f>
        <v/>
      </c>
      <c r="X88" s="23" t="str">
        <f t="array" ref="X88">IFERROR(SMALL(IF(T$1:T$1000="END",ROW(T$1:T$1000)),ROW()-3),"")</f>
        <v/>
      </c>
      <c r="Y88" s="33" t="str">
        <f t="array" ref="Y88">IF(ISNUMBER(W88),MAX(IF((B$4:B$1000&lt;=X88)*(B$4:B$1000&gt;=W88),I$4:I$1000, "")),"")</f>
        <v/>
      </c>
      <c r="Z88" s="33" t="str">
        <f t="shared" si="77"/>
        <v/>
      </c>
      <c r="AA88" s="32" t="str">
        <f t="shared" si="78"/>
        <v/>
      </c>
      <c r="AB88" s="32" t="str">
        <f t="shared" si="79"/>
        <v/>
      </c>
      <c r="AC88" s="32" t="str">
        <f t="shared" si="80"/>
        <v/>
      </c>
      <c r="AD88" s="32" t="str">
        <f t="shared" si="81"/>
        <v/>
      </c>
      <c r="AE88" s="34" t="str">
        <f t="shared" si="82"/>
        <v/>
      </c>
      <c r="AF88" s="32" t="str">
        <f t="shared" si="83"/>
        <v/>
      </c>
      <c r="AG88" s="32" t="str">
        <f t="shared" si="84"/>
        <v/>
      </c>
      <c r="AH88" s="32" t="str">
        <f t="shared" si="85"/>
        <v/>
      </c>
      <c r="AI88" s="35" t="str">
        <f t="shared" si="86"/>
        <v/>
      </c>
      <c r="AJ88" s="23" t="str">
        <f t="array" ref="AJ88">IFERROR(SMALL(IF(U$1:U$1000="BEGIN",ROW(U$1:U$1000)),ROW()-3),"")</f>
        <v/>
      </c>
      <c r="AK88" s="23" t="str">
        <f t="array" ref="AK88">IFERROR(SMALL(IF(V$1:V$1000="END",ROW(V$1:V$1000)),ROW()-3),"")</f>
        <v/>
      </c>
      <c r="AL88" s="24" t="str">
        <f t="array" ref="AL88">IF(AK88="","",MATCH(AM88,L:L,0))</f>
        <v/>
      </c>
      <c r="AM88" s="35">
        <f t="array" ref="AM88">MAX(IF((B$4:B$1000&lt;=AK88)*(B$4:B$1000&gt;=AJ88),L$4:L$1000, ""))</f>
        <v>0</v>
      </c>
      <c r="AN88" s="32" t="str">
        <f t="shared" si="93"/>
        <v/>
      </c>
      <c r="AO88" s="32" t="str">
        <f t="shared" si="94"/>
        <v/>
      </c>
      <c r="AP88" s="32" t="str">
        <f t="shared" si="95"/>
        <v/>
      </c>
      <c r="AQ88" s="32" t="str">
        <f t="shared" si="96"/>
        <v/>
      </c>
      <c r="AR88" s="32" t="str">
        <f t="shared" si="97"/>
        <v/>
      </c>
      <c r="AS88" s="32" t="str">
        <f t="shared" si="98"/>
        <v/>
      </c>
      <c r="AT88" s="32" t="str">
        <f t="shared" si="99"/>
        <v/>
      </c>
      <c r="AU88" s="34" t="str">
        <f t="shared" si="100"/>
        <v/>
      </c>
      <c r="AV88" s="32" t="str">
        <f t="shared" si="101"/>
        <v/>
      </c>
      <c r="AW88" s="32" t="str">
        <f t="shared" si="102"/>
        <v/>
      </c>
      <c r="AX88" s="32" t="str">
        <f t="shared" si="103"/>
        <v/>
      </c>
      <c r="AY88" s="32" t="str">
        <f t="shared" si="104"/>
        <v/>
      </c>
    </row>
    <row r="89" spans="1:51" x14ac:dyDescent="0.25">
      <c r="A89" s="24" t="str">
        <f t="shared" si="62"/>
        <v/>
      </c>
      <c r="B89" s="24" t="str">
        <f t="shared" si="72"/>
        <v/>
      </c>
      <c r="C89" s="32" t="str">
        <f t="shared" si="63"/>
        <v/>
      </c>
      <c r="D89" s="24" t="str">
        <f t="shared" si="64"/>
        <v/>
      </c>
      <c r="E89" s="24" t="str">
        <f t="shared" si="65"/>
        <v/>
      </c>
      <c r="F89" s="32" t="str">
        <f t="shared" si="66"/>
        <v/>
      </c>
      <c r="G89" s="32" t="str">
        <f t="shared" si="67"/>
        <v/>
      </c>
      <c r="H89" s="32" t="str">
        <f t="shared" ca="1" si="68"/>
        <v/>
      </c>
      <c r="I89" s="32" t="str">
        <f t="shared" ca="1" si="73"/>
        <v/>
      </c>
      <c r="J89" s="32" t="str">
        <f t="shared" si="69"/>
        <v/>
      </c>
      <c r="K89" s="32" t="str">
        <f>IF(ISNUMBER(A89),Profile!$V$25+Profile!$V$24*'Ri-Po'!C89,"")</f>
        <v/>
      </c>
      <c r="L89" s="32" t="str">
        <f t="shared" si="74"/>
        <v/>
      </c>
      <c r="M89" s="32" t="str">
        <f t="shared" si="70"/>
        <v/>
      </c>
      <c r="N89" s="32" t="str">
        <f t="shared" si="71"/>
        <v/>
      </c>
      <c r="O89" s="32" t="str">
        <f t="shared" si="87"/>
        <v/>
      </c>
      <c r="P89" s="32" t="str">
        <f t="shared" si="75"/>
        <v/>
      </c>
      <c r="Q89" s="32" t="str">
        <f t="shared" si="76"/>
        <v/>
      </c>
      <c r="R89" s="32" t="str">
        <f t="shared" si="88"/>
        <v/>
      </c>
      <c r="S89" s="24" t="str">
        <f t="shared" si="89"/>
        <v/>
      </c>
      <c r="T89" s="24" t="str">
        <f t="shared" si="90"/>
        <v/>
      </c>
      <c r="U89" s="24" t="str">
        <f t="shared" si="91"/>
        <v/>
      </c>
      <c r="V89" s="24" t="str">
        <f t="shared" si="92"/>
        <v/>
      </c>
      <c r="W89" s="23" t="str">
        <f t="array" ref="W89">IFERROR(SMALL(IF(S$1:S$1000="BEGIN",ROW(S$1:S$1000)),ROW()-3),"")</f>
        <v/>
      </c>
      <c r="X89" s="23" t="str">
        <f t="array" ref="X89">IFERROR(SMALL(IF(T$1:T$1000="END",ROW(T$1:T$1000)),ROW()-3),"")</f>
        <v/>
      </c>
      <c r="Y89" s="33" t="str">
        <f t="array" ref="Y89">IF(ISNUMBER(W89),MAX(IF((B$4:B$1000&lt;=X89)*(B$4:B$1000&gt;=W89),I$4:I$1000, "")),"")</f>
        <v/>
      </c>
      <c r="Z89" s="33" t="str">
        <f t="shared" si="77"/>
        <v/>
      </c>
      <c r="AA89" s="32" t="str">
        <f t="shared" si="78"/>
        <v/>
      </c>
      <c r="AB89" s="32" t="str">
        <f t="shared" si="79"/>
        <v/>
      </c>
      <c r="AC89" s="32" t="str">
        <f t="shared" si="80"/>
        <v/>
      </c>
      <c r="AD89" s="32" t="str">
        <f t="shared" si="81"/>
        <v/>
      </c>
      <c r="AE89" s="34" t="str">
        <f t="shared" si="82"/>
        <v/>
      </c>
      <c r="AF89" s="32" t="str">
        <f t="shared" si="83"/>
        <v/>
      </c>
      <c r="AG89" s="32" t="str">
        <f t="shared" si="84"/>
        <v/>
      </c>
      <c r="AH89" s="32" t="str">
        <f t="shared" si="85"/>
        <v/>
      </c>
      <c r="AI89" s="35" t="str">
        <f t="shared" si="86"/>
        <v/>
      </c>
      <c r="AJ89" s="23" t="str">
        <f t="array" ref="AJ89">IFERROR(SMALL(IF(U$1:U$1000="BEGIN",ROW(U$1:U$1000)),ROW()-3),"")</f>
        <v/>
      </c>
      <c r="AK89" s="23" t="str">
        <f t="array" ref="AK89">IFERROR(SMALL(IF(V$1:V$1000="END",ROW(V$1:V$1000)),ROW()-3),"")</f>
        <v/>
      </c>
      <c r="AL89" s="24" t="str">
        <f t="array" ref="AL89">IF(AK89="","",MATCH(AM89,L:L,0))</f>
        <v/>
      </c>
      <c r="AM89" s="35">
        <f t="array" ref="AM89">MAX(IF((B$4:B$1000&lt;=AK89)*(B$4:B$1000&gt;=AJ89),L$4:L$1000, ""))</f>
        <v>0</v>
      </c>
      <c r="AN89" s="32" t="str">
        <f t="shared" si="93"/>
        <v/>
      </c>
      <c r="AO89" s="32" t="str">
        <f t="shared" si="94"/>
        <v/>
      </c>
      <c r="AP89" s="32" t="str">
        <f t="shared" si="95"/>
        <v/>
      </c>
      <c r="AQ89" s="32" t="str">
        <f t="shared" si="96"/>
        <v/>
      </c>
      <c r="AR89" s="32" t="str">
        <f t="shared" si="97"/>
        <v/>
      </c>
      <c r="AS89" s="32" t="str">
        <f t="shared" si="98"/>
        <v/>
      </c>
      <c r="AT89" s="32" t="str">
        <f t="shared" si="99"/>
        <v/>
      </c>
      <c r="AU89" s="34" t="str">
        <f t="shared" si="100"/>
        <v/>
      </c>
      <c r="AV89" s="32" t="str">
        <f t="shared" si="101"/>
        <v/>
      </c>
      <c r="AW89" s="32" t="str">
        <f t="shared" si="102"/>
        <v/>
      </c>
      <c r="AX89" s="32" t="str">
        <f t="shared" si="103"/>
        <v/>
      </c>
      <c r="AY89" s="32" t="str">
        <f t="shared" si="104"/>
        <v/>
      </c>
    </row>
    <row r="90" spans="1:51" x14ac:dyDescent="0.25">
      <c r="A90" s="24" t="str">
        <f t="shared" si="62"/>
        <v/>
      </c>
      <c r="B90" s="24" t="str">
        <f t="shared" si="72"/>
        <v/>
      </c>
      <c r="C90" s="32" t="str">
        <f t="shared" si="63"/>
        <v/>
      </c>
      <c r="D90" s="24" t="str">
        <f t="shared" si="64"/>
        <v/>
      </c>
      <c r="E90" s="24" t="str">
        <f t="shared" si="65"/>
        <v/>
      </c>
      <c r="F90" s="32" t="str">
        <f t="shared" si="66"/>
        <v/>
      </c>
      <c r="G90" s="32" t="str">
        <f t="shared" si="67"/>
        <v/>
      </c>
      <c r="H90" s="32" t="str">
        <f t="shared" ca="1" si="68"/>
        <v/>
      </c>
      <c r="I90" s="32" t="str">
        <f t="shared" ca="1" si="73"/>
        <v/>
      </c>
      <c r="J90" s="32" t="str">
        <f t="shared" si="69"/>
        <v/>
      </c>
      <c r="K90" s="32" t="str">
        <f>IF(ISNUMBER(A90),Profile!$V$25+Profile!$V$24*'Ri-Po'!C90,"")</f>
        <v/>
      </c>
      <c r="L90" s="32" t="str">
        <f t="shared" si="74"/>
        <v/>
      </c>
      <c r="M90" s="32" t="str">
        <f t="shared" si="70"/>
        <v/>
      </c>
      <c r="N90" s="32" t="str">
        <f t="shared" si="71"/>
        <v/>
      </c>
      <c r="O90" s="32" t="str">
        <f t="shared" si="87"/>
        <v/>
      </c>
      <c r="P90" s="32" t="str">
        <f t="shared" si="75"/>
        <v/>
      </c>
      <c r="Q90" s="32" t="str">
        <f t="shared" si="76"/>
        <v/>
      </c>
      <c r="R90" s="32" t="str">
        <f t="shared" si="88"/>
        <v/>
      </c>
      <c r="S90" s="24" t="str">
        <f t="shared" si="89"/>
        <v/>
      </c>
      <c r="T90" s="24" t="str">
        <f t="shared" si="90"/>
        <v/>
      </c>
      <c r="U90" s="24" t="str">
        <f t="shared" si="91"/>
        <v/>
      </c>
      <c r="V90" s="24" t="str">
        <f t="shared" si="92"/>
        <v/>
      </c>
      <c r="W90" s="23" t="str">
        <f t="array" ref="W90">IFERROR(SMALL(IF(S$1:S$1000="BEGIN",ROW(S$1:S$1000)),ROW()-3),"")</f>
        <v/>
      </c>
      <c r="X90" s="23" t="str">
        <f t="array" ref="X90">IFERROR(SMALL(IF(T$1:T$1000="END",ROW(T$1:T$1000)),ROW()-3),"")</f>
        <v/>
      </c>
      <c r="Y90" s="33" t="str">
        <f t="array" ref="Y90">IF(ISNUMBER(W90),MAX(IF((B$4:B$1000&lt;=X90)*(B$4:B$1000&gt;=W90),I$4:I$1000, "")),"")</f>
        <v/>
      </c>
      <c r="Z90" s="33" t="str">
        <f t="shared" si="77"/>
        <v/>
      </c>
      <c r="AA90" s="32" t="str">
        <f t="shared" si="78"/>
        <v/>
      </c>
      <c r="AB90" s="32" t="str">
        <f t="shared" si="79"/>
        <v/>
      </c>
      <c r="AC90" s="32" t="str">
        <f t="shared" si="80"/>
        <v/>
      </c>
      <c r="AD90" s="32" t="str">
        <f t="shared" si="81"/>
        <v/>
      </c>
      <c r="AE90" s="34" t="str">
        <f t="shared" si="82"/>
        <v/>
      </c>
      <c r="AF90" s="32" t="str">
        <f t="shared" si="83"/>
        <v/>
      </c>
      <c r="AG90" s="32" t="str">
        <f t="shared" si="84"/>
        <v/>
      </c>
      <c r="AH90" s="32" t="str">
        <f t="shared" si="85"/>
        <v/>
      </c>
      <c r="AI90" s="35" t="str">
        <f t="shared" si="86"/>
        <v/>
      </c>
      <c r="AJ90" s="23" t="str">
        <f t="array" ref="AJ90">IFERROR(SMALL(IF(U$1:U$1000="BEGIN",ROW(U$1:U$1000)),ROW()-3),"")</f>
        <v/>
      </c>
      <c r="AK90" s="23" t="str">
        <f t="array" ref="AK90">IFERROR(SMALL(IF(V$1:V$1000="END",ROW(V$1:V$1000)),ROW()-3),"")</f>
        <v/>
      </c>
      <c r="AL90" s="24" t="str">
        <f t="array" ref="AL90">IF(AK90="","",MATCH(AM90,L:L,0))</f>
        <v/>
      </c>
      <c r="AM90" s="35">
        <f t="array" ref="AM90">MAX(IF((B$4:B$1000&lt;=AK90)*(B$4:B$1000&gt;=AJ90),L$4:L$1000, ""))</f>
        <v>0</v>
      </c>
      <c r="AN90" s="32" t="str">
        <f t="shared" si="93"/>
        <v/>
      </c>
      <c r="AO90" s="32" t="str">
        <f t="shared" si="94"/>
        <v/>
      </c>
      <c r="AP90" s="32" t="str">
        <f t="shared" si="95"/>
        <v/>
      </c>
      <c r="AQ90" s="32" t="str">
        <f t="shared" si="96"/>
        <v/>
      </c>
      <c r="AR90" s="32" t="str">
        <f t="shared" si="97"/>
        <v/>
      </c>
      <c r="AS90" s="32" t="str">
        <f t="shared" si="98"/>
        <v/>
      </c>
      <c r="AT90" s="32" t="str">
        <f t="shared" si="99"/>
        <v/>
      </c>
      <c r="AU90" s="34" t="str">
        <f t="shared" si="100"/>
        <v/>
      </c>
      <c r="AV90" s="32" t="str">
        <f t="shared" si="101"/>
        <v/>
      </c>
      <c r="AW90" s="32" t="str">
        <f t="shared" si="102"/>
        <v/>
      </c>
      <c r="AX90" s="32" t="str">
        <f t="shared" si="103"/>
        <v/>
      </c>
      <c r="AY90" s="32" t="str">
        <f t="shared" si="104"/>
        <v/>
      </c>
    </row>
    <row r="91" spans="1:51" x14ac:dyDescent="0.25">
      <c r="A91" s="24" t="str">
        <f t="shared" si="62"/>
        <v/>
      </c>
      <c r="B91" s="24" t="str">
        <f t="shared" si="72"/>
        <v/>
      </c>
      <c r="C91" s="32" t="str">
        <f t="shared" si="63"/>
        <v/>
      </c>
      <c r="D91" s="24" t="str">
        <f t="shared" si="64"/>
        <v/>
      </c>
      <c r="E91" s="24" t="str">
        <f t="shared" si="65"/>
        <v/>
      </c>
      <c r="F91" s="32" t="str">
        <f t="shared" si="66"/>
        <v/>
      </c>
      <c r="G91" s="32" t="str">
        <f t="shared" si="67"/>
        <v/>
      </c>
      <c r="H91" s="32" t="str">
        <f t="shared" ca="1" si="68"/>
        <v/>
      </c>
      <c r="I91" s="32" t="str">
        <f t="shared" ca="1" si="73"/>
        <v/>
      </c>
      <c r="J91" s="32" t="str">
        <f t="shared" si="69"/>
        <v/>
      </c>
      <c r="K91" s="32" t="str">
        <f>IF(ISNUMBER(A91),Profile!$V$25+Profile!$V$24*'Ri-Po'!C91,"")</f>
        <v/>
      </c>
      <c r="L91" s="32" t="str">
        <f t="shared" si="74"/>
        <v/>
      </c>
      <c r="M91" s="32" t="str">
        <f t="shared" si="70"/>
        <v/>
      </c>
      <c r="N91" s="32" t="str">
        <f t="shared" si="71"/>
        <v/>
      </c>
      <c r="O91" s="32" t="str">
        <f t="shared" si="87"/>
        <v/>
      </c>
      <c r="P91" s="32" t="str">
        <f t="shared" si="75"/>
        <v/>
      </c>
      <c r="Q91" s="32" t="str">
        <f t="shared" si="76"/>
        <v/>
      </c>
      <c r="R91" s="32" t="str">
        <f t="shared" si="88"/>
        <v/>
      </c>
      <c r="S91" s="24" t="str">
        <f t="shared" si="89"/>
        <v/>
      </c>
      <c r="T91" s="24" t="str">
        <f t="shared" si="90"/>
        <v/>
      </c>
      <c r="U91" s="24" t="str">
        <f t="shared" si="91"/>
        <v/>
      </c>
      <c r="V91" s="24" t="str">
        <f t="shared" si="92"/>
        <v/>
      </c>
      <c r="W91" s="23" t="str">
        <f t="array" ref="W91">IFERROR(SMALL(IF(S$1:S$1000="BEGIN",ROW(S$1:S$1000)),ROW()-3),"")</f>
        <v/>
      </c>
      <c r="X91" s="23" t="str">
        <f t="array" ref="X91">IFERROR(SMALL(IF(T$1:T$1000="END",ROW(T$1:T$1000)),ROW()-3),"")</f>
        <v/>
      </c>
      <c r="Y91" s="33" t="str">
        <f t="array" ref="Y91">IF(ISNUMBER(W91),MAX(IF((B$4:B$1000&lt;=X91)*(B$4:B$1000&gt;=W91),I$4:I$1000, "")),"")</f>
        <v/>
      </c>
      <c r="Z91" s="33" t="str">
        <f t="shared" si="77"/>
        <v/>
      </c>
      <c r="AA91" s="32" t="str">
        <f t="shared" si="78"/>
        <v/>
      </c>
      <c r="AB91" s="32" t="str">
        <f t="shared" si="79"/>
        <v/>
      </c>
      <c r="AC91" s="32" t="str">
        <f t="shared" si="80"/>
        <v/>
      </c>
      <c r="AD91" s="32" t="str">
        <f t="shared" si="81"/>
        <v/>
      </c>
      <c r="AE91" s="34" t="str">
        <f t="shared" si="82"/>
        <v/>
      </c>
      <c r="AF91" s="32" t="str">
        <f t="shared" si="83"/>
        <v/>
      </c>
      <c r="AG91" s="32" t="str">
        <f t="shared" si="84"/>
        <v/>
      </c>
      <c r="AH91" s="32" t="str">
        <f t="shared" si="85"/>
        <v/>
      </c>
      <c r="AI91" s="35" t="str">
        <f t="shared" si="86"/>
        <v/>
      </c>
      <c r="AJ91" s="23" t="str">
        <f t="array" ref="AJ91">IFERROR(SMALL(IF(U$1:U$1000="BEGIN",ROW(U$1:U$1000)),ROW()-3),"")</f>
        <v/>
      </c>
      <c r="AK91" s="23" t="str">
        <f t="array" ref="AK91">IFERROR(SMALL(IF(V$1:V$1000="END",ROW(V$1:V$1000)),ROW()-3),"")</f>
        <v/>
      </c>
      <c r="AL91" s="24" t="str">
        <f t="array" ref="AL91">IF(AK91="","",MATCH(AM91,L:L,0))</f>
        <v/>
      </c>
      <c r="AM91" s="35">
        <f t="array" ref="AM91">MAX(IF((B$4:B$1000&lt;=AK91)*(B$4:B$1000&gt;=AJ91),L$4:L$1000, ""))</f>
        <v>0</v>
      </c>
      <c r="AN91" s="32" t="str">
        <f t="shared" si="93"/>
        <v/>
      </c>
      <c r="AO91" s="32" t="str">
        <f t="shared" si="94"/>
        <v/>
      </c>
      <c r="AP91" s="32" t="str">
        <f t="shared" si="95"/>
        <v/>
      </c>
      <c r="AQ91" s="32" t="str">
        <f t="shared" si="96"/>
        <v/>
      </c>
      <c r="AR91" s="32" t="str">
        <f t="shared" si="97"/>
        <v/>
      </c>
      <c r="AS91" s="32" t="str">
        <f t="shared" si="98"/>
        <v/>
      </c>
      <c r="AT91" s="32" t="str">
        <f t="shared" si="99"/>
        <v/>
      </c>
      <c r="AU91" s="34" t="str">
        <f t="shared" si="100"/>
        <v/>
      </c>
      <c r="AV91" s="32" t="str">
        <f t="shared" si="101"/>
        <v/>
      </c>
      <c r="AW91" s="32" t="str">
        <f t="shared" si="102"/>
        <v/>
      </c>
      <c r="AX91" s="32" t="str">
        <f t="shared" si="103"/>
        <v/>
      </c>
      <c r="AY91" s="32" t="str">
        <f t="shared" si="104"/>
        <v/>
      </c>
    </row>
    <row r="92" spans="1:51" x14ac:dyDescent="0.25">
      <c r="A92" s="24" t="str">
        <f t="shared" si="62"/>
        <v/>
      </c>
      <c r="B92" s="24" t="str">
        <f t="shared" si="72"/>
        <v/>
      </c>
      <c r="C92" s="32" t="str">
        <f t="shared" si="63"/>
        <v/>
      </c>
      <c r="D92" s="24" t="str">
        <f t="shared" si="64"/>
        <v/>
      </c>
      <c r="E92" s="24" t="str">
        <f t="shared" si="65"/>
        <v/>
      </c>
      <c r="F92" s="32" t="str">
        <f t="shared" si="66"/>
        <v/>
      </c>
      <c r="G92" s="32" t="str">
        <f t="shared" si="67"/>
        <v/>
      </c>
      <c r="H92" s="32" t="str">
        <f t="shared" ca="1" si="68"/>
        <v/>
      </c>
      <c r="I92" s="32" t="str">
        <f t="shared" ca="1" si="73"/>
        <v/>
      </c>
      <c r="J92" s="32" t="str">
        <f t="shared" si="69"/>
        <v/>
      </c>
      <c r="K92" s="32" t="str">
        <f>IF(ISNUMBER(A92),Profile!$V$25+Profile!$V$24*'Ri-Po'!C92,"")</f>
        <v/>
      </c>
      <c r="L92" s="32" t="str">
        <f t="shared" si="74"/>
        <v/>
      </c>
      <c r="M92" s="32" t="str">
        <f t="shared" si="70"/>
        <v/>
      </c>
      <c r="N92" s="32" t="str">
        <f t="shared" si="71"/>
        <v/>
      </c>
      <c r="O92" s="32" t="str">
        <f t="shared" si="87"/>
        <v/>
      </c>
      <c r="P92" s="32" t="str">
        <f t="shared" si="75"/>
        <v/>
      </c>
      <c r="Q92" s="32" t="str">
        <f t="shared" si="76"/>
        <v/>
      </c>
      <c r="R92" s="32" t="str">
        <f t="shared" si="88"/>
        <v/>
      </c>
      <c r="S92" s="24" t="str">
        <f t="shared" si="89"/>
        <v/>
      </c>
      <c r="T92" s="24" t="str">
        <f t="shared" si="90"/>
        <v/>
      </c>
      <c r="U92" s="24" t="str">
        <f t="shared" si="91"/>
        <v/>
      </c>
      <c r="V92" s="24" t="str">
        <f t="shared" si="92"/>
        <v/>
      </c>
      <c r="W92" s="23" t="str">
        <f t="array" ref="W92">IFERROR(SMALL(IF(S$1:S$1000="BEGIN",ROW(S$1:S$1000)),ROW()-3),"")</f>
        <v/>
      </c>
      <c r="X92" s="23" t="str">
        <f t="array" ref="X92">IFERROR(SMALL(IF(T$1:T$1000="END",ROW(T$1:T$1000)),ROW()-3),"")</f>
        <v/>
      </c>
      <c r="Y92" s="33" t="str">
        <f t="array" ref="Y92">IF(ISNUMBER(W92),MAX(IF((B$4:B$1000&lt;=X92)*(B$4:B$1000&gt;=W92),I$4:I$1000, "")),"")</f>
        <v/>
      </c>
      <c r="Z92" s="33" t="str">
        <f t="shared" si="77"/>
        <v/>
      </c>
      <c r="AA92" s="32" t="str">
        <f t="shared" si="78"/>
        <v/>
      </c>
      <c r="AB92" s="32" t="str">
        <f t="shared" si="79"/>
        <v/>
      </c>
      <c r="AC92" s="32" t="str">
        <f t="shared" si="80"/>
        <v/>
      </c>
      <c r="AD92" s="32" t="str">
        <f t="shared" si="81"/>
        <v/>
      </c>
      <c r="AE92" s="34" t="str">
        <f t="shared" si="82"/>
        <v/>
      </c>
      <c r="AF92" s="32" t="str">
        <f t="shared" si="83"/>
        <v/>
      </c>
      <c r="AG92" s="32" t="str">
        <f t="shared" si="84"/>
        <v/>
      </c>
      <c r="AH92" s="32" t="str">
        <f t="shared" si="85"/>
        <v/>
      </c>
      <c r="AI92" s="35" t="str">
        <f t="shared" si="86"/>
        <v/>
      </c>
      <c r="AJ92" s="23" t="str">
        <f t="array" ref="AJ92">IFERROR(SMALL(IF(U$1:U$1000="BEGIN",ROW(U$1:U$1000)),ROW()-3),"")</f>
        <v/>
      </c>
      <c r="AK92" s="23" t="str">
        <f t="array" ref="AK92">IFERROR(SMALL(IF(V$1:V$1000="END",ROW(V$1:V$1000)),ROW()-3),"")</f>
        <v/>
      </c>
      <c r="AL92" s="24" t="str">
        <f t="array" ref="AL92">IF(AK92="","",MATCH(AM92,L:L,0))</f>
        <v/>
      </c>
      <c r="AM92" s="35">
        <f t="array" ref="AM92">MAX(IF((B$4:B$1000&lt;=AK92)*(B$4:B$1000&gt;=AJ92),L$4:L$1000, ""))</f>
        <v>0</v>
      </c>
      <c r="AN92" s="32" t="str">
        <f t="shared" si="93"/>
        <v/>
      </c>
      <c r="AO92" s="32" t="str">
        <f t="shared" si="94"/>
        <v/>
      </c>
      <c r="AP92" s="32" t="str">
        <f t="shared" si="95"/>
        <v/>
      </c>
      <c r="AQ92" s="32" t="str">
        <f t="shared" si="96"/>
        <v/>
      </c>
      <c r="AR92" s="32" t="str">
        <f t="shared" si="97"/>
        <v/>
      </c>
      <c r="AS92" s="32" t="str">
        <f t="shared" si="98"/>
        <v/>
      </c>
      <c r="AT92" s="32" t="str">
        <f t="shared" si="99"/>
        <v/>
      </c>
      <c r="AU92" s="34" t="str">
        <f t="shared" si="100"/>
        <v/>
      </c>
      <c r="AV92" s="32" t="str">
        <f t="shared" si="101"/>
        <v/>
      </c>
      <c r="AW92" s="32" t="str">
        <f t="shared" si="102"/>
        <v/>
      </c>
      <c r="AX92" s="32" t="str">
        <f t="shared" si="103"/>
        <v/>
      </c>
      <c r="AY92" s="32" t="str">
        <f t="shared" si="104"/>
        <v/>
      </c>
    </row>
    <row r="93" spans="1:51" x14ac:dyDescent="0.25">
      <c r="A93" s="24" t="str">
        <f t="shared" si="62"/>
        <v/>
      </c>
      <c r="B93" s="24" t="str">
        <f t="shared" si="72"/>
        <v/>
      </c>
      <c r="C93" s="32" t="str">
        <f t="shared" si="63"/>
        <v/>
      </c>
      <c r="D93" s="24" t="str">
        <f t="shared" si="64"/>
        <v/>
      </c>
      <c r="E93" s="24" t="str">
        <f t="shared" si="65"/>
        <v/>
      </c>
      <c r="F93" s="32" t="str">
        <f t="shared" si="66"/>
        <v/>
      </c>
      <c r="G93" s="32" t="str">
        <f t="shared" si="67"/>
        <v/>
      </c>
      <c r="H93" s="32" t="str">
        <f t="shared" ca="1" si="68"/>
        <v/>
      </c>
      <c r="I93" s="32" t="str">
        <f t="shared" ca="1" si="73"/>
        <v/>
      </c>
      <c r="J93" s="32" t="str">
        <f t="shared" si="69"/>
        <v/>
      </c>
      <c r="K93" s="32" t="str">
        <f>IF(ISNUMBER(A93),Profile!$V$25+Profile!$V$24*'Ri-Po'!C93,"")</f>
        <v/>
      </c>
      <c r="L93" s="32" t="str">
        <f t="shared" si="74"/>
        <v/>
      </c>
      <c r="M93" s="32" t="str">
        <f t="shared" si="70"/>
        <v/>
      </c>
      <c r="N93" s="32" t="str">
        <f t="shared" si="71"/>
        <v/>
      </c>
      <c r="O93" s="32" t="str">
        <f t="shared" si="87"/>
        <v/>
      </c>
      <c r="P93" s="32" t="str">
        <f t="shared" si="75"/>
        <v/>
      </c>
      <c r="Q93" s="32" t="str">
        <f t="shared" si="76"/>
        <v/>
      </c>
      <c r="R93" s="32" t="str">
        <f t="shared" si="88"/>
        <v/>
      </c>
      <c r="S93" s="24" t="str">
        <f t="shared" si="89"/>
        <v/>
      </c>
      <c r="T93" s="24" t="str">
        <f t="shared" si="90"/>
        <v/>
      </c>
      <c r="U93" s="24" t="str">
        <f t="shared" si="91"/>
        <v/>
      </c>
      <c r="V93" s="24" t="str">
        <f t="shared" si="92"/>
        <v/>
      </c>
      <c r="W93" s="23" t="str">
        <f t="array" ref="W93">IFERROR(SMALL(IF(S$1:S$1000="BEGIN",ROW(S$1:S$1000)),ROW()-3),"")</f>
        <v/>
      </c>
      <c r="X93" s="23" t="str">
        <f t="array" ref="X93">IFERROR(SMALL(IF(T$1:T$1000="END",ROW(T$1:T$1000)),ROW()-3),"")</f>
        <v/>
      </c>
      <c r="Y93" s="33" t="str">
        <f t="array" ref="Y93">IF(ISNUMBER(W93),MAX(IF((B$4:B$1000&lt;=X93)*(B$4:B$1000&gt;=W93),I$4:I$1000, "")),"")</f>
        <v/>
      </c>
      <c r="Z93" s="33" t="str">
        <f t="shared" si="77"/>
        <v/>
      </c>
      <c r="AA93" s="32" t="str">
        <f t="shared" si="78"/>
        <v/>
      </c>
      <c r="AB93" s="32" t="str">
        <f t="shared" si="79"/>
        <v/>
      </c>
      <c r="AC93" s="32" t="str">
        <f t="shared" si="80"/>
        <v/>
      </c>
      <c r="AD93" s="32" t="str">
        <f t="shared" si="81"/>
        <v/>
      </c>
      <c r="AE93" s="34" t="str">
        <f t="shared" si="82"/>
        <v/>
      </c>
      <c r="AF93" s="32" t="str">
        <f t="shared" si="83"/>
        <v/>
      </c>
      <c r="AG93" s="32" t="str">
        <f t="shared" si="84"/>
        <v/>
      </c>
      <c r="AH93" s="32" t="str">
        <f t="shared" si="85"/>
        <v/>
      </c>
      <c r="AI93" s="35" t="str">
        <f t="shared" si="86"/>
        <v/>
      </c>
      <c r="AJ93" s="23" t="str">
        <f t="array" ref="AJ93">IFERROR(SMALL(IF(U$1:U$1000="BEGIN",ROW(U$1:U$1000)),ROW()-3),"")</f>
        <v/>
      </c>
      <c r="AK93" s="23" t="str">
        <f t="array" ref="AK93">IFERROR(SMALL(IF(V$1:V$1000="END",ROW(V$1:V$1000)),ROW()-3),"")</f>
        <v/>
      </c>
      <c r="AL93" s="24" t="str">
        <f t="array" ref="AL93">IF(AK93="","",MATCH(AM93,L:L,0))</f>
        <v/>
      </c>
      <c r="AM93" s="35">
        <f t="array" ref="AM93">MAX(IF((B$4:B$1000&lt;=AK93)*(B$4:B$1000&gt;=AJ93),L$4:L$1000, ""))</f>
        <v>0</v>
      </c>
      <c r="AN93" s="32" t="str">
        <f t="shared" si="93"/>
        <v/>
      </c>
      <c r="AO93" s="32" t="str">
        <f t="shared" si="94"/>
        <v/>
      </c>
      <c r="AP93" s="32" t="str">
        <f t="shared" si="95"/>
        <v/>
      </c>
      <c r="AQ93" s="32" t="str">
        <f t="shared" si="96"/>
        <v/>
      </c>
      <c r="AR93" s="32" t="str">
        <f t="shared" si="97"/>
        <v/>
      </c>
      <c r="AS93" s="32" t="str">
        <f t="shared" si="98"/>
        <v/>
      </c>
      <c r="AT93" s="32" t="str">
        <f t="shared" si="99"/>
        <v/>
      </c>
      <c r="AU93" s="34" t="str">
        <f t="shared" si="100"/>
        <v/>
      </c>
      <c r="AV93" s="32" t="str">
        <f t="shared" si="101"/>
        <v/>
      </c>
      <c r="AW93" s="32" t="str">
        <f t="shared" si="102"/>
        <v/>
      </c>
      <c r="AX93" s="32" t="str">
        <f t="shared" si="103"/>
        <v/>
      </c>
      <c r="AY93" s="32" t="str">
        <f t="shared" si="104"/>
        <v/>
      </c>
    </row>
    <row r="94" spans="1:51" x14ac:dyDescent="0.25">
      <c r="A94" s="24" t="str">
        <f t="shared" si="62"/>
        <v/>
      </c>
      <c r="B94" s="24" t="str">
        <f t="shared" si="72"/>
        <v/>
      </c>
      <c r="C94" s="32" t="str">
        <f t="shared" si="63"/>
        <v/>
      </c>
      <c r="D94" s="24" t="str">
        <f t="shared" si="64"/>
        <v/>
      </c>
      <c r="E94" s="24" t="str">
        <f t="shared" si="65"/>
        <v/>
      </c>
      <c r="F94" s="32" t="str">
        <f t="shared" si="66"/>
        <v/>
      </c>
      <c r="G94" s="32" t="str">
        <f t="shared" si="67"/>
        <v/>
      </c>
      <c r="H94" s="32" t="str">
        <f t="shared" ca="1" si="68"/>
        <v/>
      </c>
      <c r="I94" s="32" t="str">
        <f t="shared" ca="1" si="73"/>
        <v/>
      </c>
      <c r="J94" s="32" t="str">
        <f t="shared" si="69"/>
        <v/>
      </c>
      <c r="K94" s="32" t="str">
        <f>IF(ISNUMBER(A94),Profile!$V$25+Profile!$V$24*'Ri-Po'!C94,"")</f>
        <v/>
      </c>
      <c r="L94" s="32" t="str">
        <f t="shared" si="74"/>
        <v/>
      </c>
      <c r="M94" s="32" t="str">
        <f t="shared" si="70"/>
        <v/>
      </c>
      <c r="N94" s="32" t="str">
        <f t="shared" si="71"/>
        <v/>
      </c>
      <c r="O94" s="32" t="str">
        <f t="shared" si="87"/>
        <v/>
      </c>
      <c r="P94" s="32" t="str">
        <f t="shared" si="75"/>
        <v/>
      </c>
      <c r="Q94" s="32" t="str">
        <f t="shared" si="76"/>
        <v/>
      </c>
      <c r="R94" s="32" t="str">
        <f t="shared" si="88"/>
        <v/>
      </c>
      <c r="S94" s="24" t="str">
        <f t="shared" si="89"/>
        <v/>
      </c>
      <c r="T94" s="24" t="str">
        <f t="shared" si="90"/>
        <v/>
      </c>
      <c r="U94" s="24" t="str">
        <f t="shared" si="91"/>
        <v/>
      </c>
      <c r="V94" s="24" t="str">
        <f t="shared" si="92"/>
        <v/>
      </c>
      <c r="W94" s="23" t="str">
        <f t="array" ref="W94">IFERROR(SMALL(IF(S$1:S$1000="BEGIN",ROW(S$1:S$1000)),ROW()-3),"")</f>
        <v/>
      </c>
      <c r="X94" s="23" t="str">
        <f t="array" ref="X94">IFERROR(SMALL(IF(T$1:T$1000="END",ROW(T$1:T$1000)),ROW()-3),"")</f>
        <v/>
      </c>
      <c r="Y94" s="33" t="str">
        <f t="array" ref="Y94">IF(ISNUMBER(W94),MAX(IF((B$4:B$1000&lt;=X94)*(B$4:B$1000&gt;=W94),I$4:I$1000, "")),"")</f>
        <v/>
      </c>
      <c r="Z94" s="33" t="str">
        <f t="shared" si="77"/>
        <v/>
      </c>
      <c r="AA94" s="32" t="str">
        <f t="shared" si="78"/>
        <v/>
      </c>
      <c r="AB94" s="32" t="str">
        <f t="shared" si="79"/>
        <v/>
      </c>
      <c r="AC94" s="32" t="str">
        <f t="shared" si="80"/>
        <v/>
      </c>
      <c r="AD94" s="32" t="str">
        <f t="shared" si="81"/>
        <v/>
      </c>
      <c r="AE94" s="34" t="str">
        <f t="shared" si="82"/>
        <v/>
      </c>
      <c r="AF94" s="32" t="str">
        <f t="shared" si="83"/>
        <v/>
      </c>
      <c r="AG94" s="32" t="str">
        <f t="shared" si="84"/>
        <v/>
      </c>
      <c r="AH94" s="32" t="str">
        <f t="shared" si="85"/>
        <v/>
      </c>
      <c r="AI94" s="35" t="str">
        <f t="shared" si="86"/>
        <v/>
      </c>
      <c r="AJ94" s="23" t="str">
        <f t="array" ref="AJ94">IFERROR(SMALL(IF(U$1:U$1000="BEGIN",ROW(U$1:U$1000)),ROW()-3),"")</f>
        <v/>
      </c>
      <c r="AK94" s="23" t="str">
        <f t="array" ref="AK94">IFERROR(SMALL(IF(V$1:V$1000="END",ROW(V$1:V$1000)),ROW()-3),"")</f>
        <v/>
      </c>
      <c r="AL94" s="24" t="str">
        <f t="array" ref="AL94">IF(AK94="","",MATCH(AM94,L:L,0))</f>
        <v/>
      </c>
      <c r="AM94" s="35">
        <f t="array" ref="AM94">MAX(IF((B$4:B$1000&lt;=AK94)*(B$4:B$1000&gt;=AJ94),L$4:L$1000, ""))</f>
        <v>0</v>
      </c>
      <c r="AN94" s="32" t="str">
        <f t="shared" si="93"/>
        <v/>
      </c>
      <c r="AO94" s="32" t="str">
        <f t="shared" si="94"/>
        <v/>
      </c>
      <c r="AP94" s="32" t="str">
        <f t="shared" si="95"/>
        <v/>
      </c>
      <c r="AQ94" s="32" t="str">
        <f t="shared" si="96"/>
        <v/>
      </c>
      <c r="AR94" s="32" t="str">
        <f t="shared" si="97"/>
        <v/>
      </c>
      <c r="AS94" s="32" t="str">
        <f t="shared" si="98"/>
        <v/>
      </c>
      <c r="AT94" s="32" t="str">
        <f t="shared" si="99"/>
        <v/>
      </c>
      <c r="AU94" s="34" t="str">
        <f t="shared" si="100"/>
        <v/>
      </c>
      <c r="AV94" s="32" t="str">
        <f t="shared" si="101"/>
        <v/>
      </c>
      <c r="AW94" s="32" t="str">
        <f t="shared" si="102"/>
        <v/>
      </c>
      <c r="AX94" s="32" t="str">
        <f t="shared" si="103"/>
        <v/>
      </c>
      <c r="AY94" s="32" t="str">
        <f t="shared" si="104"/>
        <v/>
      </c>
    </row>
    <row r="95" spans="1:51" x14ac:dyDescent="0.25">
      <c r="A95" s="24" t="str">
        <f t="shared" si="62"/>
        <v/>
      </c>
      <c r="B95" s="24" t="str">
        <f t="shared" si="72"/>
        <v/>
      </c>
      <c r="C95" s="32" t="str">
        <f t="shared" si="63"/>
        <v/>
      </c>
      <c r="D95" s="24" t="str">
        <f t="shared" si="64"/>
        <v/>
      </c>
      <c r="E95" s="24" t="str">
        <f t="shared" si="65"/>
        <v/>
      </c>
      <c r="F95" s="32" t="str">
        <f t="shared" si="66"/>
        <v/>
      </c>
      <c r="G95" s="32" t="str">
        <f t="shared" si="67"/>
        <v/>
      </c>
      <c r="H95" s="32" t="str">
        <f t="shared" ca="1" si="68"/>
        <v/>
      </c>
      <c r="I95" s="32" t="str">
        <f t="shared" ca="1" si="73"/>
        <v/>
      </c>
      <c r="J95" s="32" t="str">
        <f t="shared" si="69"/>
        <v/>
      </c>
      <c r="K95" s="32" t="str">
        <f>IF(ISNUMBER(A95),Profile!$V$25+Profile!$V$24*'Ri-Po'!C95,"")</f>
        <v/>
      </c>
      <c r="L95" s="32" t="str">
        <f t="shared" si="74"/>
        <v/>
      </c>
      <c r="M95" s="32" t="str">
        <f t="shared" si="70"/>
        <v/>
      </c>
      <c r="N95" s="32" t="str">
        <f t="shared" si="71"/>
        <v/>
      </c>
      <c r="O95" s="32" t="str">
        <f t="shared" si="87"/>
        <v/>
      </c>
      <c r="P95" s="32" t="str">
        <f t="shared" si="75"/>
        <v/>
      </c>
      <c r="Q95" s="32" t="str">
        <f t="shared" si="76"/>
        <v/>
      </c>
      <c r="R95" s="32" t="str">
        <f t="shared" si="88"/>
        <v/>
      </c>
      <c r="S95" s="24" t="str">
        <f t="shared" si="89"/>
        <v/>
      </c>
      <c r="T95" s="24" t="str">
        <f t="shared" si="90"/>
        <v/>
      </c>
      <c r="U95" s="24" t="str">
        <f t="shared" si="91"/>
        <v/>
      </c>
      <c r="V95" s="24" t="str">
        <f t="shared" si="92"/>
        <v/>
      </c>
      <c r="W95" s="23" t="str">
        <f t="array" ref="W95">IFERROR(SMALL(IF(S$1:S$1000="BEGIN",ROW(S$1:S$1000)),ROW()-3),"")</f>
        <v/>
      </c>
      <c r="X95" s="23" t="str">
        <f t="array" ref="X95">IFERROR(SMALL(IF(T$1:T$1000="END",ROW(T$1:T$1000)),ROW()-3),"")</f>
        <v/>
      </c>
      <c r="Y95" s="33" t="str">
        <f t="array" ref="Y95">IF(ISNUMBER(W95),MAX(IF((B$4:B$1000&lt;=X95)*(B$4:B$1000&gt;=W95),I$4:I$1000, "")),"")</f>
        <v/>
      </c>
      <c r="Z95" s="33" t="str">
        <f t="shared" si="77"/>
        <v/>
      </c>
      <c r="AA95" s="32" t="str">
        <f t="shared" si="78"/>
        <v/>
      </c>
      <c r="AB95" s="32" t="str">
        <f t="shared" si="79"/>
        <v/>
      </c>
      <c r="AC95" s="32" t="str">
        <f t="shared" si="80"/>
        <v/>
      </c>
      <c r="AD95" s="32" t="str">
        <f t="shared" si="81"/>
        <v/>
      </c>
      <c r="AE95" s="34" t="str">
        <f t="shared" si="82"/>
        <v/>
      </c>
      <c r="AF95" s="32" t="str">
        <f t="shared" si="83"/>
        <v/>
      </c>
      <c r="AG95" s="32" t="str">
        <f t="shared" si="84"/>
        <v/>
      </c>
      <c r="AH95" s="32" t="str">
        <f t="shared" si="85"/>
        <v/>
      </c>
      <c r="AI95" s="35" t="str">
        <f t="shared" si="86"/>
        <v/>
      </c>
      <c r="AJ95" s="23" t="str">
        <f t="array" ref="AJ95">IFERROR(SMALL(IF(U$1:U$1000="BEGIN",ROW(U$1:U$1000)),ROW()-3),"")</f>
        <v/>
      </c>
      <c r="AK95" s="23" t="str">
        <f t="array" ref="AK95">IFERROR(SMALL(IF(V$1:V$1000="END",ROW(V$1:V$1000)),ROW()-3),"")</f>
        <v/>
      </c>
      <c r="AL95" s="24" t="str">
        <f t="array" ref="AL95">IF(AK95="","",MATCH(AM95,L:L,0))</f>
        <v/>
      </c>
      <c r="AM95" s="35">
        <f t="array" ref="AM95">MAX(IF((B$4:B$1000&lt;=AK95)*(B$4:B$1000&gt;=AJ95),L$4:L$1000, ""))</f>
        <v>0</v>
      </c>
      <c r="AN95" s="32" t="str">
        <f t="shared" si="93"/>
        <v/>
      </c>
      <c r="AO95" s="32" t="str">
        <f t="shared" si="94"/>
        <v/>
      </c>
      <c r="AP95" s="32" t="str">
        <f t="shared" si="95"/>
        <v/>
      </c>
      <c r="AQ95" s="32" t="str">
        <f t="shared" si="96"/>
        <v/>
      </c>
      <c r="AR95" s="32" t="str">
        <f t="shared" si="97"/>
        <v/>
      </c>
      <c r="AS95" s="32" t="str">
        <f t="shared" si="98"/>
        <v/>
      </c>
      <c r="AT95" s="32" t="str">
        <f t="shared" si="99"/>
        <v/>
      </c>
      <c r="AU95" s="34" t="str">
        <f t="shared" si="100"/>
        <v/>
      </c>
      <c r="AV95" s="32" t="str">
        <f t="shared" si="101"/>
        <v/>
      </c>
      <c r="AW95" s="32" t="str">
        <f t="shared" si="102"/>
        <v/>
      </c>
      <c r="AX95" s="32" t="str">
        <f t="shared" si="103"/>
        <v/>
      </c>
      <c r="AY95" s="32" t="str">
        <f t="shared" si="104"/>
        <v/>
      </c>
    </row>
    <row r="96" spans="1:51" x14ac:dyDescent="0.25">
      <c r="A96" s="24" t="str">
        <f t="shared" si="62"/>
        <v/>
      </c>
      <c r="B96" s="24" t="str">
        <f t="shared" si="72"/>
        <v/>
      </c>
      <c r="C96" s="32" t="str">
        <f t="shared" si="63"/>
        <v/>
      </c>
      <c r="D96" s="24" t="str">
        <f t="shared" si="64"/>
        <v/>
      </c>
      <c r="E96" s="24" t="str">
        <f t="shared" si="65"/>
        <v/>
      </c>
      <c r="F96" s="32" t="str">
        <f t="shared" si="66"/>
        <v/>
      </c>
      <c r="G96" s="32" t="str">
        <f t="shared" si="67"/>
        <v/>
      </c>
      <c r="H96" s="32" t="str">
        <f t="shared" ca="1" si="68"/>
        <v/>
      </c>
      <c r="I96" s="32" t="str">
        <f t="shared" ca="1" si="73"/>
        <v/>
      </c>
      <c r="J96" s="32" t="str">
        <f t="shared" si="69"/>
        <v/>
      </c>
      <c r="K96" s="32" t="str">
        <f>IF(ISNUMBER(A96),Profile!$V$25+Profile!$V$24*'Ri-Po'!C96,"")</f>
        <v/>
      </c>
      <c r="L96" s="32" t="str">
        <f t="shared" si="74"/>
        <v/>
      </c>
      <c r="M96" s="32" t="str">
        <f t="shared" si="70"/>
        <v/>
      </c>
      <c r="N96" s="32" t="str">
        <f t="shared" si="71"/>
        <v/>
      </c>
      <c r="O96" s="32" t="str">
        <f t="shared" si="87"/>
        <v/>
      </c>
      <c r="P96" s="32" t="str">
        <f t="shared" si="75"/>
        <v/>
      </c>
      <c r="Q96" s="32" t="str">
        <f t="shared" si="76"/>
        <v/>
      </c>
      <c r="R96" s="32" t="str">
        <f t="shared" si="88"/>
        <v/>
      </c>
      <c r="S96" s="24" t="str">
        <f t="shared" si="89"/>
        <v/>
      </c>
      <c r="T96" s="24" t="str">
        <f t="shared" si="90"/>
        <v/>
      </c>
      <c r="U96" s="24" t="str">
        <f t="shared" si="91"/>
        <v/>
      </c>
      <c r="V96" s="24" t="str">
        <f t="shared" si="92"/>
        <v/>
      </c>
      <c r="W96" s="23" t="str">
        <f t="array" ref="W96">IFERROR(SMALL(IF(S$1:S$1000="BEGIN",ROW(S$1:S$1000)),ROW()-3),"")</f>
        <v/>
      </c>
      <c r="X96" s="23" t="str">
        <f t="array" ref="X96">IFERROR(SMALL(IF(T$1:T$1000="END",ROW(T$1:T$1000)),ROW()-3),"")</f>
        <v/>
      </c>
      <c r="Y96" s="33" t="str">
        <f t="array" ref="Y96">IF(ISNUMBER(W96),MAX(IF((B$4:B$1000&lt;=X96)*(B$4:B$1000&gt;=W96),I$4:I$1000, "")),"")</f>
        <v/>
      </c>
      <c r="Z96" s="33" t="str">
        <f t="shared" si="77"/>
        <v/>
      </c>
      <c r="AA96" s="32" t="str">
        <f t="shared" si="78"/>
        <v/>
      </c>
      <c r="AB96" s="32" t="str">
        <f t="shared" si="79"/>
        <v/>
      </c>
      <c r="AC96" s="32" t="str">
        <f t="shared" si="80"/>
        <v/>
      </c>
      <c r="AD96" s="32" t="str">
        <f t="shared" si="81"/>
        <v/>
      </c>
      <c r="AE96" s="34" t="str">
        <f t="shared" si="82"/>
        <v/>
      </c>
      <c r="AF96" s="32" t="str">
        <f t="shared" si="83"/>
        <v/>
      </c>
      <c r="AG96" s="32" t="str">
        <f t="shared" si="84"/>
        <v/>
      </c>
      <c r="AH96" s="32" t="str">
        <f t="shared" si="85"/>
        <v/>
      </c>
      <c r="AI96" s="35" t="str">
        <f t="shared" si="86"/>
        <v/>
      </c>
      <c r="AJ96" s="23" t="str">
        <f t="array" ref="AJ96">IFERROR(SMALL(IF(U$1:U$1000="BEGIN",ROW(U$1:U$1000)),ROW()-3),"")</f>
        <v/>
      </c>
      <c r="AK96" s="23" t="str">
        <f t="array" ref="AK96">IFERROR(SMALL(IF(V$1:V$1000="END",ROW(V$1:V$1000)),ROW()-3),"")</f>
        <v/>
      </c>
      <c r="AL96" s="24" t="str">
        <f t="array" ref="AL96">IF(AK96="","",MATCH(AM96,L:L,0))</f>
        <v/>
      </c>
      <c r="AM96" s="35">
        <f t="array" ref="AM96">MAX(IF((B$4:B$1000&lt;=AK96)*(B$4:B$1000&gt;=AJ96),L$4:L$1000, ""))</f>
        <v>0</v>
      </c>
      <c r="AN96" s="32" t="str">
        <f t="shared" si="93"/>
        <v/>
      </c>
      <c r="AO96" s="32" t="str">
        <f t="shared" si="94"/>
        <v/>
      </c>
      <c r="AP96" s="32" t="str">
        <f t="shared" si="95"/>
        <v/>
      </c>
      <c r="AQ96" s="32" t="str">
        <f t="shared" si="96"/>
        <v/>
      </c>
      <c r="AR96" s="32" t="str">
        <f t="shared" si="97"/>
        <v/>
      </c>
      <c r="AS96" s="32" t="str">
        <f t="shared" si="98"/>
        <v/>
      </c>
      <c r="AT96" s="32" t="str">
        <f t="shared" si="99"/>
        <v/>
      </c>
      <c r="AU96" s="34" t="str">
        <f t="shared" si="100"/>
        <v/>
      </c>
      <c r="AV96" s="32" t="str">
        <f t="shared" si="101"/>
        <v/>
      </c>
      <c r="AW96" s="32" t="str">
        <f t="shared" si="102"/>
        <v/>
      </c>
      <c r="AX96" s="32" t="str">
        <f t="shared" si="103"/>
        <v/>
      </c>
      <c r="AY96" s="32" t="str">
        <f t="shared" si="104"/>
        <v/>
      </c>
    </row>
    <row r="97" spans="1:51" x14ac:dyDescent="0.25">
      <c r="A97" s="24" t="str">
        <f t="shared" si="62"/>
        <v/>
      </c>
      <c r="B97" s="24" t="str">
        <f t="shared" si="72"/>
        <v/>
      </c>
      <c r="C97" s="32" t="str">
        <f t="shared" si="63"/>
        <v/>
      </c>
      <c r="D97" s="24" t="str">
        <f t="shared" si="64"/>
        <v/>
      </c>
      <c r="E97" s="24" t="str">
        <f t="shared" si="65"/>
        <v/>
      </c>
      <c r="F97" s="32" t="str">
        <f t="shared" si="66"/>
        <v/>
      </c>
      <c r="G97" s="32" t="str">
        <f t="shared" si="67"/>
        <v/>
      </c>
      <c r="H97" s="32" t="str">
        <f t="shared" ca="1" si="68"/>
        <v/>
      </c>
      <c r="I97" s="32" t="str">
        <f t="shared" ca="1" si="73"/>
        <v/>
      </c>
      <c r="J97" s="32" t="str">
        <f t="shared" si="69"/>
        <v/>
      </c>
      <c r="K97" s="32" t="str">
        <f>IF(ISNUMBER(A97),Profile!$V$25+Profile!$V$24*'Ri-Po'!C97,"")</f>
        <v/>
      </c>
      <c r="L97" s="32" t="str">
        <f t="shared" si="74"/>
        <v/>
      </c>
      <c r="M97" s="32" t="str">
        <f t="shared" si="70"/>
        <v/>
      </c>
      <c r="N97" s="32" t="str">
        <f t="shared" si="71"/>
        <v/>
      </c>
      <c r="O97" s="32" t="str">
        <f t="shared" si="87"/>
        <v/>
      </c>
      <c r="P97" s="32" t="str">
        <f t="shared" si="75"/>
        <v/>
      </c>
      <c r="Q97" s="32" t="str">
        <f t="shared" si="76"/>
        <v/>
      </c>
      <c r="R97" s="32" t="str">
        <f t="shared" si="88"/>
        <v/>
      </c>
      <c r="S97" s="24" t="str">
        <f t="shared" si="89"/>
        <v/>
      </c>
      <c r="T97" s="24" t="str">
        <f t="shared" si="90"/>
        <v/>
      </c>
      <c r="U97" s="24" t="str">
        <f t="shared" si="91"/>
        <v/>
      </c>
      <c r="V97" s="24" t="str">
        <f t="shared" si="92"/>
        <v/>
      </c>
      <c r="W97" s="23" t="str">
        <f t="array" ref="W97">IFERROR(SMALL(IF(S$1:S$1000="BEGIN",ROW(S$1:S$1000)),ROW()-3),"")</f>
        <v/>
      </c>
      <c r="X97" s="23" t="str">
        <f t="array" ref="X97">IFERROR(SMALL(IF(T$1:T$1000="END",ROW(T$1:T$1000)),ROW()-3),"")</f>
        <v/>
      </c>
      <c r="Y97" s="33" t="str">
        <f t="array" ref="Y97">IF(ISNUMBER(W97),MAX(IF((B$4:B$1000&lt;=X97)*(B$4:B$1000&gt;=W97),I$4:I$1000, "")),"")</f>
        <v/>
      </c>
      <c r="Z97" s="33" t="str">
        <f t="shared" si="77"/>
        <v/>
      </c>
      <c r="AA97" s="32" t="str">
        <f t="shared" si="78"/>
        <v/>
      </c>
      <c r="AB97" s="32" t="str">
        <f t="shared" si="79"/>
        <v/>
      </c>
      <c r="AC97" s="32" t="str">
        <f t="shared" si="80"/>
        <v/>
      </c>
      <c r="AD97" s="32" t="str">
        <f t="shared" si="81"/>
        <v/>
      </c>
      <c r="AE97" s="34" t="str">
        <f t="shared" si="82"/>
        <v/>
      </c>
      <c r="AF97" s="32" t="str">
        <f t="shared" si="83"/>
        <v/>
      </c>
      <c r="AG97" s="32" t="str">
        <f t="shared" si="84"/>
        <v/>
      </c>
      <c r="AH97" s="32" t="str">
        <f t="shared" si="85"/>
        <v/>
      </c>
      <c r="AI97" s="35" t="str">
        <f t="shared" si="86"/>
        <v/>
      </c>
      <c r="AJ97" s="23" t="str">
        <f t="array" ref="AJ97">IFERROR(SMALL(IF(U$1:U$1000="BEGIN",ROW(U$1:U$1000)),ROW()-3),"")</f>
        <v/>
      </c>
      <c r="AK97" s="23" t="str">
        <f t="array" ref="AK97">IFERROR(SMALL(IF(V$1:V$1000="END",ROW(V$1:V$1000)),ROW()-3),"")</f>
        <v/>
      </c>
      <c r="AL97" s="24" t="str">
        <f t="array" ref="AL97">IF(AK97="","",MATCH(AM97,L:L,0))</f>
        <v/>
      </c>
      <c r="AM97" s="35">
        <f t="array" ref="AM97">MAX(IF((B$4:B$1000&lt;=AK97)*(B$4:B$1000&gt;=AJ97),L$4:L$1000, ""))</f>
        <v>0</v>
      </c>
      <c r="AN97" s="32" t="str">
        <f t="shared" si="93"/>
        <v/>
      </c>
      <c r="AO97" s="32" t="str">
        <f t="shared" si="94"/>
        <v/>
      </c>
      <c r="AP97" s="32" t="str">
        <f t="shared" si="95"/>
        <v/>
      </c>
      <c r="AQ97" s="32" t="str">
        <f t="shared" si="96"/>
        <v/>
      </c>
      <c r="AR97" s="32" t="str">
        <f t="shared" si="97"/>
        <v/>
      </c>
      <c r="AS97" s="32" t="str">
        <f t="shared" si="98"/>
        <v/>
      </c>
      <c r="AT97" s="32" t="str">
        <f t="shared" si="99"/>
        <v/>
      </c>
      <c r="AU97" s="34" t="str">
        <f t="shared" si="100"/>
        <v/>
      </c>
      <c r="AV97" s="32" t="str">
        <f t="shared" si="101"/>
        <v/>
      </c>
      <c r="AW97" s="32" t="str">
        <f t="shared" si="102"/>
        <v/>
      </c>
      <c r="AX97" s="32" t="str">
        <f t="shared" si="103"/>
        <v/>
      </c>
      <c r="AY97" s="32" t="str">
        <f t="shared" si="104"/>
        <v/>
      </c>
    </row>
    <row r="98" spans="1:51" x14ac:dyDescent="0.25">
      <c r="A98" s="24" t="str">
        <f t="shared" si="62"/>
        <v/>
      </c>
      <c r="B98" s="24" t="str">
        <f t="shared" si="72"/>
        <v/>
      </c>
      <c r="C98" s="32" t="str">
        <f t="shared" si="63"/>
        <v/>
      </c>
      <c r="D98" s="24" t="str">
        <f t="shared" si="64"/>
        <v/>
      </c>
      <c r="E98" s="24" t="str">
        <f t="shared" si="65"/>
        <v/>
      </c>
      <c r="F98" s="32" t="str">
        <f t="shared" si="66"/>
        <v/>
      </c>
      <c r="G98" s="32" t="str">
        <f t="shared" si="67"/>
        <v/>
      </c>
      <c r="H98" s="32" t="str">
        <f t="shared" ca="1" si="68"/>
        <v/>
      </c>
      <c r="I98" s="32" t="str">
        <f t="shared" ca="1" si="73"/>
        <v/>
      </c>
      <c r="J98" s="32" t="str">
        <f t="shared" si="69"/>
        <v/>
      </c>
      <c r="K98" s="32" t="str">
        <f>IF(ISNUMBER(A98),Profile!$V$25+Profile!$V$24*'Ri-Po'!C98,"")</f>
        <v/>
      </c>
      <c r="L98" s="32" t="str">
        <f t="shared" si="74"/>
        <v/>
      </c>
      <c r="M98" s="32" t="str">
        <f t="shared" si="70"/>
        <v/>
      </c>
      <c r="N98" s="32" t="str">
        <f t="shared" si="71"/>
        <v/>
      </c>
      <c r="O98" s="32" t="str">
        <f t="shared" si="87"/>
        <v/>
      </c>
      <c r="P98" s="32" t="str">
        <f t="shared" si="75"/>
        <v/>
      </c>
      <c r="Q98" s="32" t="str">
        <f t="shared" si="76"/>
        <v/>
      </c>
      <c r="R98" s="32" t="str">
        <f t="shared" si="88"/>
        <v/>
      </c>
      <c r="S98" s="24" t="str">
        <f t="shared" si="89"/>
        <v/>
      </c>
      <c r="T98" s="24" t="str">
        <f t="shared" si="90"/>
        <v/>
      </c>
      <c r="U98" s="24" t="str">
        <f t="shared" si="91"/>
        <v/>
      </c>
      <c r="V98" s="24" t="str">
        <f t="shared" si="92"/>
        <v/>
      </c>
      <c r="W98" s="23" t="str">
        <f t="array" ref="W98">IFERROR(SMALL(IF(S$1:S$1000="BEGIN",ROW(S$1:S$1000)),ROW()-3),"")</f>
        <v/>
      </c>
      <c r="X98" s="23" t="str">
        <f t="array" ref="X98">IFERROR(SMALL(IF(T$1:T$1000="END",ROW(T$1:T$1000)),ROW()-3),"")</f>
        <v/>
      </c>
      <c r="Y98" s="33" t="str">
        <f t="array" ref="Y98">IF(ISNUMBER(W98),MAX(IF((B$4:B$1000&lt;=X98)*(B$4:B$1000&gt;=W98),I$4:I$1000, "")),"")</f>
        <v/>
      </c>
      <c r="Z98" s="33" t="str">
        <f t="shared" si="77"/>
        <v/>
      </c>
      <c r="AA98" s="32" t="str">
        <f t="shared" si="78"/>
        <v/>
      </c>
      <c r="AB98" s="32" t="str">
        <f t="shared" si="79"/>
        <v/>
      </c>
      <c r="AC98" s="32" t="str">
        <f t="shared" si="80"/>
        <v/>
      </c>
      <c r="AD98" s="32" t="str">
        <f t="shared" si="81"/>
        <v/>
      </c>
      <c r="AE98" s="34" t="str">
        <f t="shared" si="82"/>
        <v/>
      </c>
      <c r="AF98" s="32" t="str">
        <f t="shared" si="83"/>
        <v/>
      </c>
      <c r="AG98" s="32" t="str">
        <f t="shared" si="84"/>
        <v/>
      </c>
      <c r="AH98" s="32" t="str">
        <f t="shared" si="85"/>
        <v/>
      </c>
      <c r="AI98" s="35" t="str">
        <f t="shared" si="86"/>
        <v/>
      </c>
      <c r="AJ98" s="23" t="str">
        <f t="array" ref="AJ98">IFERROR(SMALL(IF(U$1:U$1000="BEGIN",ROW(U$1:U$1000)),ROW()-3),"")</f>
        <v/>
      </c>
      <c r="AK98" s="23" t="str">
        <f t="array" ref="AK98">IFERROR(SMALL(IF(V$1:V$1000="END",ROW(V$1:V$1000)),ROW()-3),"")</f>
        <v/>
      </c>
      <c r="AL98" s="24" t="str">
        <f t="array" ref="AL98">IF(AK98="","",MATCH(AM98,L:L,0))</f>
        <v/>
      </c>
      <c r="AM98" s="35">
        <f t="array" ref="AM98">MAX(IF((B$4:B$1000&lt;=AK98)*(B$4:B$1000&gt;=AJ98),L$4:L$1000, ""))</f>
        <v>0</v>
      </c>
      <c r="AN98" s="32" t="str">
        <f t="shared" si="93"/>
        <v/>
      </c>
      <c r="AO98" s="32" t="str">
        <f t="shared" si="94"/>
        <v/>
      </c>
      <c r="AP98" s="32" t="str">
        <f t="shared" si="95"/>
        <v/>
      </c>
      <c r="AQ98" s="32" t="str">
        <f t="shared" si="96"/>
        <v/>
      </c>
      <c r="AR98" s="32" t="str">
        <f t="shared" si="97"/>
        <v/>
      </c>
      <c r="AS98" s="32" t="str">
        <f t="shared" si="98"/>
        <v/>
      </c>
      <c r="AT98" s="32" t="str">
        <f t="shared" si="99"/>
        <v/>
      </c>
      <c r="AU98" s="34" t="str">
        <f t="shared" si="100"/>
        <v/>
      </c>
      <c r="AV98" s="32" t="str">
        <f t="shared" si="101"/>
        <v/>
      </c>
      <c r="AW98" s="32" t="str">
        <f t="shared" si="102"/>
        <v/>
      </c>
      <c r="AX98" s="32" t="str">
        <f t="shared" si="103"/>
        <v/>
      </c>
      <c r="AY98" s="32" t="str">
        <f t="shared" si="104"/>
        <v/>
      </c>
    </row>
    <row r="99" spans="1:51" x14ac:dyDescent="0.25">
      <c r="A99" s="24" t="str">
        <f t="shared" si="62"/>
        <v/>
      </c>
      <c r="B99" s="24" t="str">
        <f t="shared" si="72"/>
        <v/>
      </c>
      <c r="C99" s="32" t="str">
        <f t="shared" si="63"/>
        <v/>
      </c>
      <c r="D99" s="24" t="str">
        <f t="shared" si="64"/>
        <v/>
      </c>
      <c r="E99" s="24" t="str">
        <f t="shared" si="65"/>
        <v/>
      </c>
      <c r="F99" s="32" t="str">
        <f t="shared" si="66"/>
        <v/>
      </c>
      <c r="G99" s="32" t="str">
        <f t="shared" si="67"/>
        <v/>
      </c>
      <c r="H99" s="32" t="str">
        <f t="shared" ca="1" si="68"/>
        <v/>
      </c>
      <c r="I99" s="32" t="str">
        <f t="shared" ca="1" si="73"/>
        <v/>
      </c>
      <c r="J99" s="32" t="str">
        <f t="shared" si="69"/>
        <v/>
      </c>
      <c r="K99" s="32" t="str">
        <f>IF(ISNUMBER(A99),Profile!$V$25+Profile!$V$24*'Ri-Po'!C99,"")</f>
        <v/>
      </c>
      <c r="L99" s="32" t="str">
        <f t="shared" si="74"/>
        <v/>
      </c>
      <c r="M99" s="32" t="str">
        <f t="shared" si="70"/>
        <v/>
      </c>
      <c r="N99" s="32" t="str">
        <f t="shared" si="71"/>
        <v/>
      </c>
      <c r="O99" s="32" t="str">
        <f t="shared" si="87"/>
        <v/>
      </c>
      <c r="P99" s="32" t="str">
        <f t="shared" si="75"/>
        <v/>
      </c>
      <c r="Q99" s="32" t="str">
        <f t="shared" si="76"/>
        <v/>
      </c>
      <c r="R99" s="32" t="str">
        <f t="shared" si="88"/>
        <v/>
      </c>
      <c r="S99" s="24" t="str">
        <f t="shared" si="89"/>
        <v/>
      </c>
      <c r="T99" s="24" t="str">
        <f t="shared" si="90"/>
        <v/>
      </c>
      <c r="U99" s="24" t="str">
        <f t="shared" si="91"/>
        <v/>
      </c>
      <c r="V99" s="24" t="str">
        <f t="shared" si="92"/>
        <v/>
      </c>
      <c r="W99" s="23" t="str">
        <f t="array" ref="W99">IFERROR(SMALL(IF(S$1:S$1000="BEGIN",ROW(S$1:S$1000)),ROW()-3),"")</f>
        <v/>
      </c>
      <c r="X99" s="23" t="str">
        <f t="array" ref="X99">IFERROR(SMALL(IF(T$1:T$1000="END",ROW(T$1:T$1000)),ROW()-3),"")</f>
        <v/>
      </c>
      <c r="Y99" s="33" t="str">
        <f t="array" ref="Y99">IF(ISNUMBER(W99),MAX(IF((B$4:B$1000&lt;=X99)*(B$4:B$1000&gt;=W99),I$4:I$1000, "")),"")</f>
        <v/>
      </c>
      <c r="Z99" s="33" t="str">
        <f t="shared" si="77"/>
        <v/>
      </c>
      <c r="AA99" s="32" t="str">
        <f t="shared" si="78"/>
        <v/>
      </c>
      <c r="AB99" s="32" t="str">
        <f t="shared" si="79"/>
        <v/>
      </c>
      <c r="AC99" s="32" t="str">
        <f t="shared" si="80"/>
        <v/>
      </c>
      <c r="AD99" s="32" t="str">
        <f t="shared" si="81"/>
        <v/>
      </c>
      <c r="AE99" s="34" t="str">
        <f t="shared" si="82"/>
        <v/>
      </c>
      <c r="AF99" s="32" t="str">
        <f t="shared" si="83"/>
        <v/>
      </c>
      <c r="AG99" s="32" t="str">
        <f t="shared" si="84"/>
        <v/>
      </c>
      <c r="AH99" s="32" t="str">
        <f t="shared" si="85"/>
        <v/>
      </c>
      <c r="AI99" s="35" t="str">
        <f t="shared" si="86"/>
        <v/>
      </c>
      <c r="AJ99" s="23" t="str">
        <f t="array" ref="AJ99">IFERROR(SMALL(IF(U$1:U$1000="BEGIN",ROW(U$1:U$1000)),ROW()-3),"")</f>
        <v/>
      </c>
      <c r="AK99" s="23" t="str">
        <f t="array" ref="AK99">IFERROR(SMALL(IF(V$1:V$1000="END",ROW(V$1:V$1000)),ROW()-3),"")</f>
        <v/>
      </c>
      <c r="AL99" s="24" t="str">
        <f t="array" ref="AL99">IF(AK99="","",MATCH(AM99,L:L,0))</f>
        <v/>
      </c>
      <c r="AM99" s="35">
        <f t="array" ref="AM99">MAX(IF((B$4:B$1000&lt;=AK99)*(B$4:B$1000&gt;=AJ99),L$4:L$1000, ""))</f>
        <v>0</v>
      </c>
      <c r="AN99" s="32" t="str">
        <f t="shared" si="93"/>
        <v/>
      </c>
      <c r="AO99" s="32" t="str">
        <f t="shared" si="94"/>
        <v/>
      </c>
      <c r="AP99" s="32" t="str">
        <f t="shared" si="95"/>
        <v/>
      </c>
      <c r="AQ99" s="32" t="str">
        <f t="shared" si="96"/>
        <v/>
      </c>
      <c r="AR99" s="32" t="str">
        <f t="shared" si="97"/>
        <v/>
      </c>
      <c r="AS99" s="32" t="str">
        <f t="shared" si="98"/>
        <v/>
      </c>
      <c r="AT99" s="32" t="str">
        <f t="shared" si="99"/>
        <v/>
      </c>
      <c r="AU99" s="34" t="str">
        <f t="shared" si="100"/>
        <v/>
      </c>
      <c r="AV99" s="32" t="str">
        <f t="shared" si="101"/>
        <v/>
      </c>
      <c r="AW99" s="32" t="str">
        <f t="shared" si="102"/>
        <v/>
      </c>
      <c r="AX99" s="32" t="str">
        <f t="shared" si="103"/>
        <v/>
      </c>
      <c r="AY99" s="32" t="str">
        <f t="shared" si="104"/>
        <v/>
      </c>
    </row>
    <row r="100" spans="1:51" x14ac:dyDescent="0.25">
      <c r="A100" s="24" t="str">
        <f t="shared" si="62"/>
        <v/>
      </c>
      <c r="B100" s="24" t="str">
        <f t="shared" si="72"/>
        <v/>
      </c>
      <c r="C100" s="32" t="str">
        <f t="shared" si="63"/>
        <v/>
      </c>
      <c r="D100" s="24" t="str">
        <f t="shared" si="64"/>
        <v/>
      </c>
      <c r="E100" s="24" t="str">
        <f t="shared" si="65"/>
        <v/>
      </c>
      <c r="F100" s="32" t="str">
        <f t="shared" si="66"/>
        <v/>
      </c>
      <c r="G100" s="32" t="str">
        <f t="shared" si="67"/>
        <v/>
      </c>
      <c r="H100" s="32" t="str">
        <f t="shared" ca="1" si="68"/>
        <v/>
      </c>
      <c r="I100" s="32" t="str">
        <f t="shared" ca="1" si="73"/>
        <v/>
      </c>
      <c r="J100" s="32" t="str">
        <f t="shared" si="69"/>
        <v/>
      </c>
      <c r="K100" s="32" t="str">
        <f>IF(ISNUMBER(A100),Profile!$V$25+Profile!$V$24*'Ri-Po'!C100,"")</f>
        <v/>
      </c>
      <c r="L100" s="32" t="str">
        <f t="shared" si="74"/>
        <v/>
      </c>
      <c r="M100" s="32" t="str">
        <f t="shared" si="70"/>
        <v/>
      </c>
      <c r="N100" s="32" t="str">
        <f t="shared" si="71"/>
        <v/>
      </c>
      <c r="O100" s="32" t="str">
        <f t="shared" si="87"/>
        <v/>
      </c>
      <c r="P100" s="32" t="str">
        <f t="shared" si="75"/>
        <v/>
      </c>
      <c r="Q100" s="32" t="str">
        <f t="shared" si="76"/>
        <v/>
      </c>
      <c r="R100" s="32" t="str">
        <f t="shared" si="88"/>
        <v/>
      </c>
      <c r="S100" s="24" t="str">
        <f t="shared" si="89"/>
        <v/>
      </c>
      <c r="T100" s="24" t="str">
        <f t="shared" si="90"/>
        <v/>
      </c>
      <c r="U100" s="24" t="str">
        <f t="shared" si="91"/>
        <v/>
      </c>
      <c r="V100" s="24" t="str">
        <f t="shared" si="92"/>
        <v/>
      </c>
      <c r="W100" s="23" t="str">
        <f t="array" ref="W100">IFERROR(SMALL(IF(S$1:S$1000="BEGIN",ROW(S$1:S$1000)),ROW()-3),"")</f>
        <v/>
      </c>
      <c r="X100" s="23" t="str">
        <f t="array" ref="X100">IFERROR(SMALL(IF(T$1:T$1000="END",ROW(T$1:T$1000)),ROW()-3),"")</f>
        <v/>
      </c>
      <c r="Y100" s="33" t="str">
        <f t="array" ref="Y100">IF(ISNUMBER(W100),MAX(IF((B$4:B$1000&lt;=X100)*(B$4:B$1000&gt;=W100),I$4:I$1000, "")),"")</f>
        <v/>
      </c>
      <c r="Z100" s="33" t="str">
        <f t="shared" si="77"/>
        <v/>
      </c>
      <c r="AA100" s="32" t="str">
        <f t="shared" si="78"/>
        <v/>
      </c>
      <c r="AB100" s="32" t="str">
        <f t="shared" si="79"/>
        <v/>
      </c>
      <c r="AC100" s="32" t="str">
        <f t="shared" si="80"/>
        <v/>
      </c>
      <c r="AD100" s="32" t="str">
        <f t="shared" si="81"/>
        <v/>
      </c>
      <c r="AE100" s="34" t="str">
        <f t="shared" si="82"/>
        <v/>
      </c>
      <c r="AF100" s="32" t="str">
        <f t="shared" si="83"/>
        <v/>
      </c>
      <c r="AG100" s="32" t="str">
        <f t="shared" si="84"/>
        <v/>
      </c>
      <c r="AH100" s="32" t="str">
        <f t="shared" si="85"/>
        <v/>
      </c>
      <c r="AI100" s="35" t="str">
        <f t="shared" si="86"/>
        <v/>
      </c>
      <c r="AJ100" s="23" t="str">
        <f t="array" ref="AJ100">IFERROR(SMALL(IF(U$1:U$1000="BEGIN",ROW(U$1:U$1000)),ROW()-3),"")</f>
        <v/>
      </c>
      <c r="AK100" s="23" t="str">
        <f t="array" ref="AK100">IFERROR(SMALL(IF(V$1:V$1000="END",ROW(V$1:V$1000)),ROW()-3),"")</f>
        <v/>
      </c>
      <c r="AL100" s="24" t="str">
        <f t="array" ref="AL100">IF(AK100="","",MATCH(AM100,L:L,0))</f>
        <v/>
      </c>
      <c r="AM100" s="35">
        <f t="array" ref="AM100">MAX(IF((B$4:B$1000&lt;=AK100)*(B$4:B$1000&gt;=AJ100),L$4:L$1000, ""))</f>
        <v>0</v>
      </c>
      <c r="AN100" s="32" t="str">
        <f t="shared" si="93"/>
        <v/>
      </c>
      <c r="AO100" s="32" t="str">
        <f t="shared" si="94"/>
        <v/>
      </c>
      <c r="AP100" s="32" t="str">
        <f t="shared" si="95"/>
        <v/>
      </c>
      <c r="AQ100" s="32" t="str">
        <f t="shared" si="96"/>
        <v/>
      </c>
      <c r="AR100" s="32" t="str">
        <f t="shared" si="97"/>
        <v/>
      </c>
      <c r="AS100" s="32" t="str">
        <f t="shared" si="98"/>
        <v/>
      </c>
      <c r="AT100" s="32" t="str">
        <f t="shared" si="99"/>
        <v/>
      </c>
      <c r="AU100" s="34" t="str">
        <f t="shared" si="100"/>
        <v/>
      </c>
      <c r="AV100" s="32" t="str">
        <f t="shared" si="101"/>
        <v/>
      </c>
      <c r="AW100" s="32" t="str">
        <f t="shared" si="102"/>
        <v/>
      </c>
      <c r="AX100" s="32" t="str">
        <f t="shared" si="103"/>
        <v/>
      </c>
      <c r="AY100" s="32" t="str">
        <f t="shared" si="104"/>
        <v/>
      </c>
    </row>
    <row r="101" spans="1:51" x14ac:dyDescent="0.25">
      <c r="A101" s="24" t="str">
        <f t="shared" si="62"/>
        <v/>
      </c>
      <c r="B101" s="24" t="str">
        <f t="shared" si="72"/>
        <v/>
      </c>
      <c r="C101" s="32" t="str">
        <f t="shared" si="63"/>
        <v/>
      </c>
      <c r="D101" s="24" t="str">
        <f t="shared" si="64"/>
        <v/>
      </c>
      <c r="E101" s="24" t="str">
        <f t="shared" si="65"/>
        <v/>
      </c>
      <c r="F101" s="32" t="str">
        <f t="shared" si="66"/>
        <v/>
      </c>
      <c r="G101" s="32" t="str">
        <f t="shared" si="67"/>
        <v/>
      </c>
      <c r="H101" s="32" t="str">
        <f t="shared" ca="1" si="68"/>
        <v/>
      </c>
      <c r="I101" s="32" t="str">
        <f t="shared" ca="1" si="73"/>
        <v/>
      </c>
      <c r="J101" s="32" t="str">
        <f t="shared" si="69"/>
        <v/>
      </c>
      <c r="K101" s="32" t="str">
        <f>IF(ISNUMBER(A101),Profile!$V$25+Profile!$V$24*'Ri-Po'!C101,"")</f>
        <v/>
      </c>
      <c r="L101" s="32" t="str">
        <f t="shared" si="74"/>
        <v/>
      </c>
      <c r="M101" s="32" t="str">
        <f t="shared" si="70"/>
        <v/>
      </c>
      <c r="N101" s="32" t="str">
        <f t="shared" si="71"/>
        <v/>
      </c>
      <c r="O101" s="32" t="str">
        <f t="shared" si="87"/>
        <v/>
      </c>
      <c r="P101" s="32" t="str">
        <f t="shared" si="75"/>
        <v/>
      </c>
      <c r="Q101" s="32" t="str">
        <f t="shared" si="76"/>
        <v/>
      </c>
      <c r="R101" s="32" t="str">
        <f t="shared" si="88"/>
        <v/>
      </c>
      <c r="S101" s="24" t="str">
        <f t="shared" si="89"/>
        <v/>
      </c>
      <c r="T101" s="24" t="str">
        <f t="shared" si="90"/>
        <v/>
      </c>
      <c r="U101" s="24" t="str">
        <f t="shared" si="91"/>
        <v/>
      </c>
      <c r="V101" s="24" t="str">
        <f t="shared" si="92"/>
        <v/>
      </c>
      <c r="W101" s="23" t="str">
        <f t="array" ref="W101">IFERROR(SMALL(IF(S$1:S$1000="BEGIN",ROW(S$1:S$1000)),ROW()-3),"")</f>
        <v/>
      </c>
      <c r="X101" s="23" t="str">
        <f t="array" ref="X101">IFERROR(SMALL(IF(T$1:T$1000="END",ROW(T$1:T$1000)),ROW()-3),"")</f>
        <v/>
      </c>
      <c r="Y101" s="33" t="str">
        <f t="array" ref="Y101">IF(ISNUMBER(W101),MAX(IF((B$4:B$1000&lt;=X101)*(B$4:B$1000&gt;=W101),I$4:I$1000, "")),"")</f>
        <v/>
      </c>
      <c r="Z101" s="33" t="str">
        <f t="shared" si="77"/>
        <v/>
      </c>
      <c r="AA101" s="32" t="str">
        <f t="shared" si="78"/>
        <v/>
      </c>
      <c r="AB101" s="32" t="str">
        <f t="shared" si="79"/>
        <v/>
      </c>
      <c r="AC101" s="32" t="str">
        <f t="shared" si="80"/>
        <v/>
      </c>
      <c r="AD101" s="32" t="str">
        <f t="shared" si="81"/>
        <v/>
      </c>
      <c r="AE101" s="34" t="str">
        <f t="shared" si="82"/>
        <v/>
      </c>
      <c r="AF101" s="32" t="str">
        <f t="shared" si="83"/>
        <v/>
      </c>
      <c r="AG101" s="32" t="str">
        <f t="shared" si="84"/>
        <v/>
      </c>
      <c r="AH101" s="32" t="str">
        <f t="shared" si="85"/>
        <v/>
      </c>
      <c r="AI101" s="35" t="str">
        <f t="shared" si="86"/>
        <v/>
      </c>
      <c r="AJ101" s="23" t="str">
        <f t="array" ref="AJ101">IFERROR(SMALL(IF(U$1:U$1000="BEGIN",ROW(U$1:U$1000)),ROW()-3),"")</f>
        <v/>
      </c>
      <c r="AK101" s="23" t="str">
        <f t="array" ref="AK101">IFERROR(SMALL(IF(V$1:V$1000="END",ROW(V$1:V$1000)),ROW()-3),"")</f>
        <v/>
      </c>
      <c r="AL101" s="24" t="str">
        <f t="array" ref="AL101">IF(AK101="","",MATCH(AM101,L:L,0))</f>
        <v/>
      </c>
      <c r="AM101" s="35">
        <f t="array" ref="AM101">MAX(IF((B$4:B$1000&lt;=AK101)*(B$4:B$1000&gt;=AJ101),L$4:L$1000, ""))</f>
        <v>0</v>
      </c>
      <c r="AN101" s="32" t="str">
        <f t="shared" si="93"/>
        <v/>
      </c>
      <c r="AO101" s="32" t="str">
        <f t="shared" si="94"/>
        <v/>
      </c>
      <c r="AP101" s="32" t="str">
        <f t="shared" si="95"/>
        <v/>
      </c>
      <c r="AQ101" s="32" t="str">
        <f t="shared" si="96"/>
        <v/>
      </c>
      <c r="AR101" s="32" t="str">
        <f t="shared" si="97"/>
        <v/>
      </c>
      <c r="AS101" s="32" t="str">
        <f t="shared" si="98"/>
        <v/>
      </c>
      <c r="AT101" s="32" t="str">
        <f t="shared" si="99"/>
        <v/>
      </c>
      <c r="AU101" s="34" t="str">
        <f t="shared" si="100"/>
        <v/>
      </c>
      <c r="AV101" s="32" t="str">
        <f t="shared" si="101"/>
        <v/>
      </c>
      <c r="AW101" s="32" t="str">
        <f t="shared" si="102"/>
        <v/>
      </c>
      <c r="AX101" s="32" t="str">
        <f t="shared" si="103"/>
        <v/>
      </c>
      <c r="AY101" s="32" t="str">
        <f t="shared" si="104"/>
        <v/>
      </c>
    </row>
    <row r="102" spans="1:51" x14ac:dyDescent="0.25">
      <c r="A102" s="24" t="str">
        <f t="shared" si="62"/>
        <v/>
      </c>
      <c r="B102" s="24" t="str">
        <f t="shared" si="72"/>
        <v/>
      </c>
      <c r="C102" s="32" t="str">
        <f t="shared" si="63"/>
        <v/>
      </c>
      <c r="D102" s="24" t="str">
        <f t="shared" si="64"/>
        <v/>
      </c>
      <c r="E102" s="24" t="str">
        <f t="shared" si="65"/>
        <v/>
      </c>
      <c r="F102" s="32" t="str">
        <f t="shared" si="66"/>
        <v/>
      </c>
      <c r="G102" s="32" t="str">
        <f t="shared" si="67"/>
        <v/>
      </c>
      <c r="H102" s="32" t="str">
        <f t="shared" ca="1" si="68"/>
        <v/>
      </c>
      <c r="I102" s="32" t="str">
        <f t="shared" ca="1" si="73"/>
        <v/>
      </c>
      <c r="J102" s="32" t="str">
        <f t="shared" si="69"/>
        <v/>
      </c>
      <c r="K102" s="32" t="str">
        <f>IF(ISNUMBER(A102),Profile!$V$25+Profile!$V$24*'Ri-Po'!C102,"")</f>
        <v/>
      </c>
      <c r="L102" s="32" t="str">
        <f t="shared" si="74"/>
        <v/>
      </c>
      <c r="M102" s="32" t="str">
        <f t="shared" si="70"/>
        <v/>
      </c>
      <c r="N102" s="32" t="str">
        <f t="shared" si="71"/>
        <v/>
      </c>
      <c r="O102" s="32" t="str">
        <f t="shared" si="87"/>
        <v/>
      </c>
      <c r="P102" s="32" t="str">
        <f t="shared" si="75"/>
        <v/>
      </c>
      <c r="Q102" s="32" t="str">
        <f t="shared" si="76"/>
        <v/>
      </c>
      <c r="R102" s="32" t="str">
        <f t="shared" si="88"/>
        <v/>
      </c>
      <c r="S102" s="24" t="str">
        <f t="shared" si="89"/>
        <v/>
      </c>
      <c r="T102" s="24" t="str">
        <f t="shared" si="90"/>
        <v/>
      </c>
      <c r="U102" s="24" t="str">
        <f t="shared" si="91"/>
        <v/>
      </c>
      <c r="V102" s="24" t="str">
        <f t="shared" si="92"/>
        <v/>
      </c>
      <c r="W102" s="23" t="str">
        <f t="array" ref="W102">IFERROR(SMALL(IF(S$1:S$1000="BEGIN",ROW(S$1:S$1000)),ROW()-3),"")</f>
        <v/>
      </c>
      <c r="X102" s="23" t="str">
        <f t="array" ref="X102">IFERROR(SMALL(IF(T$1:T$1000="END",ROW(T$1:T$1000)),ROW()-3),"")</f>
        <v/>
      </c>
      <c r="Y102" s="33" t="str">
        <f t="array" ref="Y102">IF(ISNUMBER(W102),MAX(IF((B$4:B$1000&lt;=X102)*(B$4:B$1000&gt;=W102),I$4:I$1000, "")),"")</f>
        <v/>
      </c>
      <c r="Z102" s="33" t="str">
        <f t="shared" si="77"/>
        <v/>
      </c>
      <c r="AA102" s="32" t="str">
        <f t="shared" si="78"/>
        <v/>
      </c>
      <c r="AB102" s="32" t="str">
        <f t="shared" si="79"/>
        <v/>
      </c>
      <c r="AC102" s="32" t="str">
        <f t="shared" si="80"/>
        <v/>
      </c>
      <c r="AD102" s="32" t="str">
        <f t="shared" si="81"/>
        <v/>
      </c>
      <c r="AE102" s="34" t="str">
        <f t="shared" si="82"/>
        <v/>
      </c>
      <c r="AF102" s="32" t="str">
        <f t="shared" si="83"/>
        <v/>
      </c>
      <c r="AG102" s="32" t="str">
        <f t="shared" si="84"/>
        <v/>
      </c>
      <c r="AH102" s="32" t="str">
        <f t="shared" si="85"/>
        <v/>
      </c>
      <c r="AI102" s="35" t="str">
        <f t="shared" si="86"/>
        <v/>
      </c>
      <c r="AJ102" s="23" t="str">
        <f t="array" ref="AJ102">IFERROR(SMALL(IF(U$1:U$1000="BEGIN",ROW(U$1:U$1000)),ROW()-3),"")</f>
        <v/>
      </c>
      <c r="AK102" s="23" t="str">
        <f t="array" ref="AK102">IFERROR(SMALL(IF(V$1:V$1000="END",ROW(V$1:V$1000)),ROW()-3),"")</f>
        <v/>
      </c>
      <c r="AL102" s="24" t="str">
        <f t="array" ref="AL102">IF(AK102="","",MATCH(AM102,L:L,0))</f>
        <v/>
      </c>
      <c r="AM102" s="35">
        <f t="array" ref="AM102">MAX(IF((B$4:B$1000&lt;=AK102)*(B$4:B$1000&gt;=AJ102),L$4:L$1000, ""))</f>
        <v>0</v>
      </c>
      <c r="AN102" s="32" t="str">
        <f t="shared" si="93"/>
        <v/>
      </c>
      <c r="AO102" s="32" t="str">
        <f t="shared" si="94"/>
        <v/>
      </c>
      <c r="AP102" s="32" t="str">
        <f t="shared" si="95"/>
        <v/>
      </c>
      <c r="AQ102" s="32" t="str">
        <f t="shared" si="96"/>
        <v/>
      </c>
      <c r="AR102" s="32" t="str">
        <f t="shared" si="97"/>
        <v/>
      </c>
      <c r="AS102" s="32" t="str">
        <f t="shared" si="98"/>
        <v/>
      </c>
      <c r="AT102" s="32" t="str">
        <f t="shared" si="99"/>
        <v/>
      </c>
      <c r="AU102" s="34" t="str">
        <f t="shared" si="100"/>
        <v/>
      </c>
      <c r="AV102" s="32" t="str">
        <f t="shared" si="101"/>
        <v/>
      </c>
      <c r="AW102" s="32" t="str">
        <f t="shared" si="102"/>
        <v/>
      </c>
      <c r="AX102" s="32" t="str">
        <f t="shared" si="103"/>
        <v/>
      </c>
      <c r="AY102" s="32" t="str">
        <f t="shared" si="104"/>
        <v/>
      </c>
    </row>
    <row r="103" spans="1:51" x14ac:dyDescent="0.25">
      <c r="A103" s="24" t="str">
        <f t="shared" si="62"/>
        <v/>
      </c>
      <c r="B103" s="24" t="str">
        <f t="shared" si="72"/>
        <v/>
      </c>
      <c r="C103" s="32" t="str">
        <f t="shared" si="63"/>
        <v/>
      </c>
      <c r="D103" s="24" t="str">
        <f t="shared" si="64"/>
        <v/>
      </c>
      <c r="E103" s="24" t="str">
        <f t="shared" si="65"/>
        <v/>
      </c>
      <c r="F103" s="32" t="str">
        <f t="shared" si="66"/>
        <v/>
      </c>
      <c r="G103" s="32" t="str">
        <f t="shared" si="67"/>
        <v/>
      </c>
      <c r="H103" s="32" t="str">
        <f t="shared" ca="1" si="68"/>
        <v/>
      </c>
      <c r="I103" s="32" t="str">
        <f t="shared" ca="1" si="73"/>
        <v/>
      </c>
      <c r="J103" s="32" t="str">
        <f t="shared" si="69"/>
        <v/>
      </c>
      <c r="K103" s="32" t="str">
        <f>IF(ISNUMBER(A103),Profile!$V$25+Profile!$V$24*'Ri-Po'!C103,"")</f>
        <v/>
      </c>
      <c r="L103" s="32" t="str">
        <f t="shared" si="74"/>
        <v/>
      </c>
      <c r="M103" s="32" t="str">
        <f t="shared" si="70"/>
        <v/>
      </c>
      <c r="N103" s="32" t="str">
        <f t="shared" si="71"/>
        <v/>
      </c>
      <c r="O103" s="32" t="str">
        <f t="shared" si="87"/>
        <v/>
      </c>
      <c r="P103" s="32" t="str">
        <f t="shared" si="75"/>
        <v/>
      </c>
      <c r="Q103" s="32" t="str">
        <f t="shared" si="76"/>
        <v/>
      </c>
      <c r="R103" s="32" t="str">
        <f t="shared" si="88"/>
        <v/>
      </c>
      <c r="S103" s="24" t="str">
        <f t="shared" si="89"/>
        <v/>
      </c>
      <c r="T103" s="24" t="str">
        <f t="shared" si="90"/>
        <v/>
      </c>
      <c r="U103" s="24" t="str">
        <f t="shared" si="91"/>
        <v/>
      </c>
      <c r="V103" s="24" t="str">
        <f t="shared" si="92"/>
        <v/>
      </c>
      <c r="W103" s="23" t="str">
        <f t="array" ref="W103">IFERROR(SMALL(IF(S$1:S$1000="BEGIN",ROW(S$1:S$1000)),ROW()-3),"")</f>
        <v/>
      </c>
      <c r="X103" s="23" t="str">
        <f t="array" ref="X103">IFERROR(SMALL(IF(T$1:T$1000="END",ROW(T$1:T$1000)),ROW()-3),"")</f>
        <v/>
      </c>
      <c r="Y103" s="33" t="str">
        <f t="array" ref="Y103">IF(ISNUMBER(W103),MAX(IF((B$4:B$1000&lt;=X103)*(B$4:B$1000&gt;=W103),I$4:I$1000, "")),"")</f>
        <v/>
      </c>
      <c r="Z103" s="33" t="str">
        <f t="shared" si="77"/>
        <v/>
      </c>
      <c r="AA103" s="32" t="str">
        <f t="shared" si="78"/>
        <v/>
      </c>
      <c r="AB103" s="32" t="str">
        <f t="shared" si="79"/>
        <v/>
      </c>
      <c r="AC103" s="32" t="str">
        <f t="shared" si="80"/>
        <v/>
      </c>
      <c r="AD103" s="32" t="str">
        <f t="shared" si="81"/>
        <v/>
      </c>
      <c r="AE103" s="34" t="str">
        <f t="shared" si="82"/>
        <v/>
      </c>
      <c r="AF103" s="32" t="str">
        <f t="shared" si="83"/>
        <v/>
      </c>
      <c r="AG103" s="32" t="str">
        <f t="shared" si="84"/>
        <v/>
      </c>
      <c r="AH103" s="32" t="str">
        <f t="shared" si="85"/>
        <v/>
      </c>
      <c r="AI103" s="35" t="str">
        <f t="shared" si="86"/>
        <v/>
      </c>
      <c r="AJ103" s="23" t="str">
        <f t="array" ref="AJ103">IFERROR(SMALL(IF(U$1:U$1000="BEGIN",ROW(U$1:U$1000)),ROW()-3),"")</f>
        <v/>
      </c>
      <c r="AK103" s="23" t="str">
        <f t="array" ref="AK103">IFERROR(SMALL(IF(V$1:V$1000="END",ROW(V$1:V$1000)),ROW()-3),"")</f>
        <v/>
      </c>
      <c r="AL103" s="24" t="str">
        <f t="array" ref="AL103">IF(AK103="","",MATCH(AM103,L:L,0))</f>
        <v/>
      </c>
      <c r="AM103" s="35">
        <f t="array" ref="AM103">MAX(IF((B$4:B$1000&lt;=AK103)*(B$4:B$1000&gt;=AJ103),L$4:L$1000, ""))</f>
        <v>0</v>
      </c>
      <c r="AN103" s="32" t="str">
        <f t="shared" si="93"/>
        <v/>
      </c>
      <c r="AO103" s="32" t="str">
        <f t="shared" si="94"/>
        <v/>
      </c>
      <c r="AP103" s="32" t="str">
        <f t="shared" si="95"/>
        <v/>
      </c>
      <c r="AQ103" s="32" t="str">
        <f t="shared" si="96"/>
        <v/>
      </c>
      <c r="AR103" s="32" t="str">
        <f t="shared" si="97"/>
        <v/>
      </c>
      <c r="AS103" s="32" t="str">
        <f t="shared" si="98"/>
        <v/>
      </c>
      <c r="AT103" s="32" t="str">
        <f t="shared" si="99"/>
        <v/>
      </c>
      <c r="AU103" s="34" t="str">
        <f t="shared" si="100"/>
        <v/>
      </c>
      <c r="AV103" s="32" t="str">
        <f t="shared" si="101"/>
        <v/>
      </c>
      <c r="AW103" s="32" t="str">
        <f t="shared" si="102"/>
        <v/>
      </c>
      <c r="AX103" s="32" t="str">
        <f t="shared" si="103"/>
        <v/>
      </c>
      <c r="AY103" s="32" t="str">
        <f t="shared" si="104"/>
        <v/>
      </c>
    </row>
    <row r="104" spans="1:51" x14ac:dyDescent="0.25">
      <c r="A104" s="24" t="str">
        <f t="shared" si="62"/>
        <v/>
      </c>
      <c r="B104" s="24" t="str">
        <f t="shared" si="72"/>
        <v/>
      </c>
      <c r="C104" s="32" t="str">
        <f t="shared" si="63"/>
        <v/>
      </c>
      <c r="D104" s="24" t="str">
        <f t="shared" si="64"/>
        <v/>
      </c>
      <c r="E104" s="24" t="str">
        <f t="shared" si="65"/>
        <v/>
      </c>
      <c r="F104" s="32" t="str">
        <f t="shared" si="66"/>
        <v/>
      </c>
      <c r="G104" s="32" t="str">
        <f t="shared" si="67"/>
        <v/>
      </c>
      <c r="H104" s="32" t="str">
        <f t="shared" ca="1" si="68"/>
        <v/>
      </c>
      <c r="I104" s="32" t="str">
        <f t="shared" ca="1" si="73"/>
        <v/>
      </c>
      <c r="J104" s="32" t="str">
        <f t="shared" si="69"/>
        <v/>
      </c>
      <c r="K104" s="32" t="str">
        <f>IF(ISNUMBER(A104),Profile!$V$25+Profile!$V$24*'Ri-Po'!C104,"")</f>
        <v/>
      </c>
      <c r="L104" s="32" t="str">
        <f t="shared" si="74"/>
        <v/>
      </c>
      <c r="M104" s="32" t="str">
        <f t="shared" si="70"/>
        <v/>
      </c>
      <c r="N104" s="32" t="str">
        <f t="shared" si="71"/>
        <v/>
      </c>
      <c r="O104" s="32" t="str">
        <f t="shared" si="87"/>
        <v/>
      </c>
      <c r="P104" s="32" t="str">
        <f t="shared" si="75"/>
        <v/>
      </c>
      <c r="Q104" s="32" t="str">
        <f t="shared" si="76"/>
        <v/>
      </c>
      <c r="R104" s="32" t="str">
        <f t="shared" si="88"/>
        <v/>
      </c>
      <c r="S104" s="24" t="str">
        <f t="shared" si="89"/>
        <v/>
      </c>
      <c r="T104" s="24" t="str">
        <f t="shared" si="90"/>
        <v/>
      </c>
      <c r="U104" s="24" t="str">
        <f t="shared" si="91"/>
        <v/>
      </c>
      <c r="V104" s="24" t="str">
        <f t="shared" si="92"/>
        <v/>
      </c>
      <c r="W104" s="23" t="str">
        <f t="array" ref="W104">IFERROR(SMALL(IF(S$1:S$1000="BEGIN",ROW(S$1:S$1000)),ROW()-3),"")</f>
        <v/>
      </c>
      <c r="X104" s="23" t="str">
        <f t="array" ref="X104">IFERROR(SMALL(IF(T$1:T$1000="END",ROW(T$1:T$1000)),ROW()-3),"")</f>
        <v/>
      </c>
      <c r="Y104" s="33" t="str">
        <f t="array" ref="Y104">IF(ISNUMBER(W104),MAX(IF((B$4:B$1000&lt;=X104)*(B$4:B$1000&gt;=W104),I$4:I$1000, "")),"")</f>
        <v/>
      </c>
      <c r="Z104" s="33" t="str">
        <f t="shared" si="77"/>
        <v/>
      </c>
      <c r="AA104" s="32" t="str">
        <f t="shared" si="78"/>
        <v/>
      </c>
      <c r="AB104" s="32" t="str">
        <f t="shared" si="79"/>
        <v/>
      </c>
      <c r="AC104" s="32" t="str">
        <f t="shared" si="80"/>
        <v/>
      </c>
      <c r="AD104" s="32" t="str">
        <f t="shared" si="81"/>
        <v/>
      </c>
      <c r="AE104" s="34" t="str">
        <f t="shared" si="82"/>
        <v/>
      </c>
      <c r="AF104" s="32" t="str">
        <f t="shared" si="83"/>
        <v/>
      </c>
      <c r="AG104" s="32" t="str">
        <f t="shared" si="84"/>
        <v/>
      </c>
      <c r="AH104" s="32" t="str">
        <f t="shared" si="85"/>
        <v/>
      </c>
      <c r="AI104" s="35" t="str">
        <f t="shared" si="86"/>
        <v/>
      </c>
      <c r="AJ104" s="23" t="str">
        <f t="array" ref="AJ104">IFERROR(SMALL(IF(U$1:U$1000="BEGIN",ROW(U$1:U$1000)),ROW()-3),"")</f>
        <v/>
      </c>
      <c r="AK104" s="23" t="str">
        <f t="array" ref="AK104">IFERROR(SMALL(IF(V$1:V$1000="END",ROW(V$1:V$1000)),ROW()-3),"")</f>
        <v/>
      </c>
      <c r="AL104" s="24" t="str">
        <f t="array" ref="AL104">IF(AK104="","",MATCH(AM104,L:L,0))</f>
        <v/>
      </c>
      <c r="AM104" s="35">
        <f t="array" ref="AM104">MAX(IF((B$4:B$1000&lt;=AK104)*(B$4:B$1000&gt;=AJ104),L$4:L$1000, ""))</f>
        <v>0</v>
      </c>
      <c r="AN104" s="32" t="str">
        <f t="shared" si="93"/>
        <v/>
      </c>
      <c r="AO104" s="32" t="str">
        <f t="shared" si="94"/>
        <v/>
      </c>
      <c r="AP104" s="32" t="str">
        <f t="shared" si="95"/>
        <v/>
      </c>
      <c r="AQ104" s="32" t="str">
        <f t="shared" si="96"/>
        <v/>
      </c>
      <c r="AR104" s="32" t="str">
        <f t="shared" si="97"/>
        <v/>
      </c>
      <c r="AS104" s="32" t="str">
        <f t="shared" si="98"/>
        <v/>
      </c>
      <c r="AT104" s="32" t="str">
        <f t="shared" si="99"/>
        <v/>
      </c>
      <c r="AU104" s="34" t="str">
        <f t="shared" si="100"/>
        <v/>
      </c>
      <c r="AV104" s="32" t="str">
        <f t="shared" si="101"/>
        <v/>
      </c>
      <c r="AW104" s="32" t="str">
        <f t="shared" si="102"/>
        <v/>
      </c>
      <c r="AX104" s="32" t="str">
        <f t="shared" si="103"/>
        <v/>
      </c>
      <c r="AY104" s="32" t="str">
        <f t="shared" si="104"/>
        <v/>
      </c>
    </row>
    <row r="105" spans="1:51" x14ac:dyDescent="0.25">
      <c r="A105" s="24" t="str">
        <f t="shared" si="62"/>
        <v/>
      </c>
      <c r="B105" s="24" t="str">
        <f t="shared" si="72"/>
        <v/>
      </c>
      <c r="C105" s="32" t="str">
        <f t="shared" si="63"/>
        <v/>
      </c>
      <c r="D105" s="24" t="str">
        <f t="shared" si="64"/>
        <v/>
      </c>
      <c r="E105" s="24" t="str">
        <f t="shared" si="65"/>
        <v/>
      </c>
      <c r="F105" s="32" t="str">
        <f t="shared" si="66"/>
        <v/>
      </c>
      <c r="G105" s="32" t="str">
        <f t="shared" si="67"/>
        <v/>
      </c>
      <c r="H105" s="32" t="str">
        <f t="shared" ca="1" si="68"/>
        <v/>
      </c>
      <c r="I105" s="32" t="str">
        <f t="shared" ca="1" si="73"/>
        <v/>
      </c>
      <c r="J105" s="32" t="str">
        <f t="shared" si="69"/>
        <v/>
      </c>
      <c r="K105" s="32" t="str">
        <f>IF(ISNUMBER(A105),Profile!$V$25+Profile!$V$24*'Ri-Po'!C105,"")</f>
        <v/>
      </c>
      <c r="L105" s="32" t="str">
        <f t="shared" si="74"/>
        <v/>
      </c>
      <c r="M105" s="32" t="str">
        <f t="shared" si="70"/>
        <v/>
      </c>
      <c r="N105" s="32" t="str">
        <f t="shared" si="71"/>
        <v/>
      </c>
      <c r="O105" s="32" t="str">
        <f t="shared" si="87"/>
        <v/>
      </c>
      <c r="P105" s="32" t="str">
        <f t="shared" si="75"/>
        <v/>
      </c>
      <c r="Q105" s="32" t="str">
        <f t="shared" si="76"/>
        <v/>
      </c>
      <c r="R105" s="32" t="str">
        <f t="shared" si="88"/>
        <v/>
      </c>
      <c r="S105" s="24" t="str">
        <f t="shared" si="89"/>
        <v/>
      </c>
      <c r="T105" s="24" t="str">
        <f t="shared" si="90"/>
        <v/>
      </c>
      <c r="U105" s="24" t="str">
        <f t="shared" si="91"/>
        <v/>
      </c>
      <c r="V105" s="24" t="str">
        <f t="shared" si="92"/>
        <v/>
      </c>
      <c r="W105" s="23" t="str">
        <f t="array" ref="W105">IFERROR(SMALL(IF(S$1:S$1000="BEGIN",ROW(S$1:S$1000)),ROW()-3),"")</f>
        <v/>
      </c>
      <c r="X105" s="23" t="str">
        <f t="array" ref="X105">IFERROR(SMALL(IF(T$1:T$1000="END",ROW(T$1:T$1000)),ROW()-3),"")</f>
        <v/>
      </c>
      <c r="Y105" s="33" t="str">
        <f t="array" ref="Y105">IF(ISNUMBER(W105),MAX(IF((B$4:B$1000&lt;=X105)*(B$4:B$1000&gt;=W105),I$4:I$1000, "")),"")</f>
        <v/>
      </c>
      <c r="Z105" s="33" t="str">
        <f t="shared" si="77"/>
        <v/>
      </c>
      <c r="AA105" s="32" t="str">
        <f t="shared" si="78"/>
        <v/>
      </c>
      <c r="AB105" s="32" t="str">
        <f t="shared" si="79"/>
        <v/>
      </c>
      <c r="AC105" s="32" t="str">
        <f t="shared" si="80"/>
        <v/>
      </c>
      <c r="AD105" s="32" t="str">
        <f t="shared" si="81"/>
        <v/>
      </c>
      <c r="AE105" s="34" t="str">
        <f t="shared" si="82"/>
        <v/>
      </c>
      <c r="AF105" s="32" t="str">
        <f t="shared" si="83"/>
        <v/>
      </c>
      <c r="AG105" s="32" t="str">
        <f t="shared" si="84"/>
        <v/>
      </c>
      <c r="AH105" s="32" t="str">
        <f t="shared" si="85"/>
        <v/>
      </c>
      <c r="AI105" s="35" t="str">
        <f t="shared" si="86"/>
        <v/>
      </c>
      <c r="AJ105" s="23" t="str">
        <f t="array" ref="AJ105">IFERROR(SMALL(IF(U$1:U$1000="BEGIN",ROW(U$1:U$1000)),ROW()-3),"")</f>
        <v/>
      </c>
      <c r="AK105" s="23" t="str">
        <f t="array" ref="AK105">IFERROR(SMALL(IF(V$1:V$1000="END",ROW(V$1:V$1000)),ROW()-3),"")</f>
        <v/>
      </c>
      <c r="AL105" s="24" t="str">
        <f t="array" ref="AL105">IF(AK105="","",MATCH(AM105,L:L,0))</f>
        <v/>
      </c>
      <c r="AM105" s="35">
        <f t="array" ref="AM105">MAX(IF((B$4:B$1000&lt;=AK105)*(B$4:B$1000&gt;=AJ105),L$4:L$1000, ""))</f>
        <v>0</v>
      </c>
      <c r="AN105" s="32" t="str">
        <f t="shared" si="93"/>
        <v/>
      </c>
      <c r="AO105" s="32" t="str">
        <f t="shared" si="94"/>
        <v/>
      </c>
      <c r="AP105" s="32" t="str">
        <f t="shared" si="95"/>
        <v/>
      </c>
      <c r="AQ105" s="32" t="str">
        <f t="shared" si="96"/>
        <v/>
      </c>
      <c r="AR105" s="32" t="str">
        <f t="shared" si="97"/>
        <v/>
      </c>
      <c r="AS105" s="32" t="str">
        <f t="shared" si="98"/>
        <v/>
      </c>
      <c r="AT105" s="32" t="str">
        <f t="shared" si="99"/>
        <v/>
      </c>
      <c r="AU105" s="34" t="str">
        <f t="shared" si="100"/>
        <v/>
      </c>
      <c r="AV105" s="32" t="str">
        <f t="shared" si="101"/>
        <v/>
      </c>
      <c r="AW105" s="32" t="str">
        <f t="shared" si="102"/>
        <v/>
      </c>
      <c r="AX105" s="32" t="str">
        <f t="shared" si="103"/>
        <v/>
      </c>
      <c r="AY105" s="32" t="str">
        <f t="shared" si="104"/>
        <v/>
      </c>
    </row>
    <row r="106" spans="1:51" x14ac:dyDescent="0.25">
      <c r="A106" s="24" t="str">
        <f t="shared" si="62"/>
        <v/>
      </c>
      <c r="B106" s="24" t="str">
        <f t="shared" si="72"/>
        <v/>
      </c>
      <c r="C106" s="32" t="str">
        <f t="shared" si="63"/>
        <v/>
      </c>
      <c r="D106" s="24" t="str">
        <f t="shared" si="64"/>
        <v/>
      </c>
      <c r="E106" s="24" t="str">
        <f t="shared" si="65"/>
        <v/>
      </c>
      <c r="F106" s="32" t="str">
        <f t="shared" si="66"/>
        <v/>
      </c>
      <c r="G106" s="32" t="str">
        <f t="shared" si="67"/>
        <v/>
      </c>
      <c r="H106" s="32" t="str">
        <f t="shared" ca="1" si="68"/>
        <v/>
      </c>
      <c r="I106" s="32" t="str">
        <f t="shared" ca="1" si="73"/>
        <v/>
      </c>
      <c r="J106" s="32" t="str">
        <f t="shared" si="69"/>
        <v/>
      </c>
      <c r="K106" s="32" t="str">
        <f>IF(ISNUMBER(A106),Profile!$V$25+Profile!$V$24*'Ri-Po'!C106,"")</f>
        <v/>
      </c>
      <c r="L106" s="32" t="str">
        <f t="shared" si="74"/>
        <v/>
      </c>
      <c r="M106" s="32" t="str">
        <f t="shared" si="70"/>
        <v/>
      </c>
      <c r="N106" s="32" t="str">
        <f t="shared" si="71"/>
        <v/>
      </c>
      <c r="O106" s="32" t="str">
        <f t="shared" si="87"/>
        <v/>
      </c>
      <c r="P106" s="32" t="str">
        <f t="shared" si="75"/>
        <v/>
      </c>
      <c r="Q106" s="32" t="str">
        <f t="shared" si="76"/>
        <v/>
      </c>
      <c r="R106" s="32" t="str">
        <f t="shared" si="88"/>
        <v/>
      </c>
      <c r="S106" s="24" t="str">
        <f t="shared" si="89"/>
        <v/>
      </c>
      <c r="T106" s="24" t="str">
        <f t="shared" si="90"/>
        <v/>
      </c>
      <c r="U106" s="24" t="str">
        <f t="shared" si="91"/>
        <v/>
      </c>
      <c r="V106" s="24" t="str">
        <f t="shared" si="92"/>
        <v/>
      </c>
      <c r="W106" s="23" t="str">
        <f t="array" ref="W106">IFERROR(SMALL(IF(S$1:S$1000="BEGIN",ROW(S$1:S$1000)),ROW()-3),"")</f>
        <v/>
      </c>
      <c r="X106" s="23" t="str">
        <f t="array" ref="X106">IFERROR(SMALL(IF(T$1:T$1000="END",ROW(T$1:T$1000)),ROW()-3),"")</f>
        <v/>
      </c>
      <c r="Y106" s="33" t="str">
        <f t="array" ref="Y106">IF(ISNUMBER(W106),MAX(IF((B$4:B$1000&lt;=X106)*(B$4:B$1000&gt;=W106),I$4:I$1000, "")),"")</f>
        <v/>
      </c>
      <c r="Z106" s="33" t="str">
        <f t="shared" si="77"/>
        <v/>
      </c>
      <c r="AA106" s="32" t="str">
        <f t="shared" si="78"/>
        <v/>
      </c>
      <c r="AB106" s="32" t="str">
        <f t="shared" si="79"/>
        <v/>
      </c>
      <c r="AC106" s="32" t="str">
        <f t="shared" si="80"/>
        <v/>
      </c>
      <c r="AD106" s="32" t="str">
        <f t="shared" si="81"/>
        <v/>
      </c>
      <c r="AE106" s="34" t="str">
        <f t="shared" si="82"/>
        <v/>
      </c>
      <c r="AF106" s="32" t="str">
        <f t="shared" si="83"/>
        <v/>
      </c>
      <c r="AG106" s="32" t="str">
        <f t="shared" si="84"/>
        <v/>
      </c>
      <c r="AH106" s="32" t="str">
        <f t="shared" si="85"/>
        <v/>
      </c>
      <c r="AI106" s="35" t="str">
        <f t="shared" si="86"/>
        <v/>
      </c>
      <c r="AJ106" s="23" t="str">
        <f t="array" ref="AJ106">IFERROR(SMALL(IF(U$1:U$1000="BEGIN",ROW(U$1:U$1000)),ROW()-3),"")</f>
        <v/>
      </c>
      <c r="AK106" s="23" t="str">
        <f t="array" ref="AK106">IFERROR(SMALL(IF(V$1:V$1000="END",ROW(V$1:V$1000)),ROW()-3),"")</f>
        <v/>
      </c>
      <c r="AL106" s="24" t="str">
        <f t="array" ref="AL106">IF(AK106="","",MATCH(AM106,L:L,0))</f>
        <v/>
      </c>
      <c r="AM106" s="35">
        <f t="array" ref="AM106">MAX(IF((B$4:B$1000&lt;=AK106)*(B$4:B$1000&gt;=AJ106),L$4:L$1000, ""))</f>
        <v>0</v>
      </c>
      <c r="AN106" s="32" t="str">
        <f t="shared" si="93"/>
        <v/>
      </c>
      <c r="AO106" s="32" t="str">
        <f t="shared" si="94"/>
        <v/>
      </c>
      <c r="AP106" s="32" t="str">
        <f t="shared" si="95"/>
        <v/>
      </c>
      <c r="AQ106" s="32" t="str">
        <f t="shared" si="96"/>
        <v/>
      </c>
      <c r="AR106" s="32" t="str">
        <f t="shared" si="97"/>
        <v/>
      </c>
      <c r="AS106" s="32" t="str">
        <f t="shared" si="98"/>
        <v/>
      </c>
      <c r="AT106" s="32" t="str">
        <f t="shared" si="99"/>
        <v/>
      </c>
      <c r="AU106" s="34" t="str">
        <f t="shared" si="100"/>
        <v/>
      </c>
      <c r="AV106" s="32" t="str">
        <f t="shared" si="101"/>
        <v/>
      </c>
      <c r="AW106" s="32" t="str">
        <f t="shared" si="102"/>
        <v/>
      </c>
      <c r="AX106" s="32" t="str">
        <f t="shared" si="103"/>
        <v/>
      </c>
      <c r="AY106" s="32" t="str">
        <f t="shared" si="104"/>
        <v/>
      </c>
    </row>
    <row r="107" spans="1:51" x14ac:dyDescent="0.25">
      <c r="A107" s="24" t="str">
        <f t="shared" si="62"/>
        <v/>
      </c>
      <c r="B107" s="24" t="str">
        <f t="shared" si="72"/>
        <v/>
      </c>
      <c r="C107" s="32" t="str">
        <f t="shared" si="63"/>
        <v/>
      </c>
      <c r="D107" s="24" t="str">
        <f t="shared" si="64"/>
        <v/>
      </c>
      <c r="E107" s="24" t="str">
        <f t="shared" si="65"/>
        <v/>
      </c>
      <c r="F107" s="32" t="str">
        <f t="shared" si="66"/>
        <v/>
      </c>
      <c r="G107" s="32" t="str">
        <f t="shared" si="67"/>
        <v/>
      </c>
      <c r="H107" s="32" t="str">
        <f t="shared" ca="1" si="68"/>
        <v/>
      </c>
      <c r="I107" s="32" t="str">
        <f t="shared" ca="1" si="73"/>
        <v/>
      </c>
      <c r="J107" s="32" t="str">
        <f t="shared" si="69"/>
        <v/>
      </c>
      <c r="K107" s="32" t="str">
        <f>IF(ISNUMBER(A107),Profile!$V$25+Profile!$V$24*'Ri-Po'!C107,"")</f>
        <v/>
      </c>
      <c r="L107" s="32" t="str">
        <f t="shared" si="74"/>
        <v/>
      </c>
      <c r="M107" s="32" t="str">
        <f t="shared" si="70"/>
        <v/>
      </c>
      <c r="N107" s="32" t="str">
        <f t="shared" si="71"/>
        <v/>
      </c>
      <c r="O107" s="32" t="str">
        <f t="shared" si="87"/>
        <v/>
      </c>
      <c r="P107" s="32" t="str">
        <f t="shared" si="75"/>
        <v/>
      </c>
      <c r="Q107" s="32" t="str">
        <f t="shared" si="76"/>
        <v/>
      </c>
      <c r="R107" s="32" t="str">
        <f t="shared" si="88"/>
        <v/>
      </c>
      <c r="S107" s="24" t="str">
        <f t="shared" si="89"/>
        <v/>
      </c>
      <c r="T107" s="24" t="str">
        <f t="shared" si="90"/>
        <v/>
      </c>
      <c r="U107" s="24" t="str">
        <f t="shared" si="91"/>
        <v/>
      </c>
      <c r="V107" s="24" t="str">
        <f t="shared" si="92"/>
        <v/>
      </c>
      <c r="W107" s="23" t="str">
        <f t="array" ref="W107">IFERROR(SMALL(IF(S$1:S$1000="BEGIN",ROW(S$1:S$1000)),ROW()-3),"")</f>
        <v/>
      </c>
      <c r="X107" s="23" t="str">
        <f t="array" ref="X107">IFERROR(SMALL(IF(T$1:T$1000="END",ROW(T$1:T$1000)),ROW()-3),"")</f>
        <v/>
      </c>
      <c r="Y107" s="33" t="str">
        <f t="array" ref="Y107">IF(ISNUMBER(W107),MAX(IF((B$4:B$1000&lt;=X107)*(B$4:B$1000&gt;=W107),I$4:I$1000, "")),"")</f>
        <v/>
      </c>
      <c r="Z107" s="33" t="str">
        <f t="shared" si="77"/>
        <v/>
      </c>
      <c r="AA107" s="32" t="str">
        <f t="shared" si="78"/>
        <v/>
      </c>
      <c r="AB107" s="32" t="str">
        <f t="shared" si="79"/>
        <v/>
      </c>
      <c r="AC107" s="32" t="str">
        <f t="shared" si="80"/>
        <v/>
      </c>
      <c r="AD107" s="32" t="str">
        <f t="shared" si="81"/>
        <v/>
      </c>
      <c r="AE107" s="34" t="str">
        <f t="shared" si="82"/>
        <v/>
      </c>
      <c r="AF107" s="32" t="str">
        <f t="shared" si="83"/>
        <v/>
      </c>
      <c r="AG107" s="32" t="str">
        <f t="shared" si="84"/>
        <v/>
      </c>
      <c r="AH107" s="32" t="str">
        <f t="shared" si="85"/>
        <v/>
      </c>
      <c r="AI107" s="35" t="str">
        <f t="shared" si="86"/>
        <v/>
      </c>
      <c r="AJ107" s="23" t="str">
        <f t="array" ref="AJ107">IFERROR(SMALL(IF(U$1:U$1000="BEGIN",ROW(U$1:U$1000)),ROW()-3),"")</f>
        <v/>
      </c>
      <c r="AK107" s="23" t="str">
        <f t="array" ref="AK107">IFERROR(SMALL(IF(V$1:V$1000="END",ROW(V$1:V$1000)),ROW()-3),"")</f>
        <v/>
      </c>
      <c r="AL107" s="24" t="str">
        <f t="array" ref="AL107">IF(AK107="","",MATCH(AM107,L:L,0))</f>
        <v/>
      </c>
      <c r="AM107" s="35">
        <f t="array" ref="AM107">MAX(IF((B$4:B$1000&lt;=AK107)*(B$4:B$1000&gt;=AJ107),L$4:L$1000, ""))</f>
        <v>0</v>
      </c>
      <c r="AN107" s="32" t="str">
        <f t="shared" si="93"/>
        <v/>
      </c>
      <c r="AO107" s="32" t="str">
        <f t="shared" si="94"/>
        <v/>
      </c>
      <c r="AP107" s="32" t="str">
        <f t="shared" si="95"/>
        <v/>
      </c>
      <c r="AQ107" s="32" t="str">
        <f t="shared" si="96"/>
        <v/>
      </c>
      <c r="AR107" s="32" t="str">
        <f t="shared" si="97"/>
        <v/>
      </c>
      <c r="AS107" s="32" t="str">
        <f t="shared" si="98"/>
        <v/>
      </c>
      <c r="AT107" s="32" t="str">
        <f t="shared" si="99"/>
        <v/>
      </c>
      <c r="AU107" s="34" t="str">
        <f t="shared" si="100"/>
        <v/>
      </c>
      <c r="AV107" s="32" t="str">
        <f t="shared" si="101"/>
        <v/>
      </c>
      <c r="AW107" s="32" t="str">
        <f t="shared" si="102"/>
        <v/>
      </c>
      <c r="AX107" s="32" t="str">
        <f t="shared" si="103"/>
        <v/>
      </c>
      <c r="AY107" s="32" t="str">
        <f t="shared" si="104"/>
        <v/>
      </c>
    </row>
    <row r="108" spans="1:51" x14ac:dyDescent="0.25">
      <c r="A108" s="24" t="str">
        <f t="shared" si="62"/>
        <v/>
      </c>
      <c r="B108" s="24" t="str">
        <f t="shared" si="72"/>
        <v/>
      </c>
      <c r="C108" s="32" t="str">
        <f t="shared" si="63"/>
        <v/>
      </c>
      <c r="D108" s="24" t="str">
        <f t="shared" si="64"/>
        <v/>
      </c>
      <c r="E108" s="24" t="str">
        <f t="shared" si="65"/>
        <v/>
      </c>
      <c r="F108" s="32" t="str">
        <f t="shared" si="66"/>
        <v/>
      </c>
      <c r="G108" s="32" t="str">
        <f t="shared" si="67"/>
        <v/>
      </c>
      <c r="H108" s="32" t="str">
        <f t="shared" ca="1" si="68"/>
        <v/>
      </c>
      <c r="I108" s="32" t="str">
        <f t="shared" ca="1" si="73"/>
        <v/>
      </c>
      <c r="J108" s="32" t="str">
        <f t="shared" si="69"/>
        <v/>
      </c>
      <c r="K108" s="32" t="str">
        <f>IF(ISNUMBER(A108),Profile!$V$25+Profile!$V$24*'Ri-Po'!C108,"")</f>
        <v/>
      </c>
      <c r="L108" s="32" t="str">
        <f t="shared" si="74"/>
        <v/>
      </c>
      <c r="M108" s="32" t="str">
        <f t="shared" si="70"/>
        <v/>
      </c>
      <c r="N108" s="32" t="str">
        <f t="shared" si="71"/>
        <v/>
      </c>
      <c r="O108" s="32" t="str">
        <f t="shared" si="87"/>
        <v/>
      </c>
      <c r="P108" s="32" t="str">
        <f t="shared" si="75"/>
        <v/>
      </c>
      <c r="Q108" s="32" t="str">
        <f t="shared" si="76"/>
        <v/>
      </c>
      <c r="R108" s="32" t="str">
        <f t="shared" si="88"/>
        <v/>
      </c>
      <c r="S108" s="24" t="str">
        <f t="shared" si="89"/>
        <v/>
      </c>
      <c r="T108" s="24" t="str">
        <f t="shared" si="90"/>
        <v/>
      </c>
      <c r="U108" s="24" t="str">
        <f t="shared" si="91"/>
        <v/>
      </c>
      <c r="V108" s="24" t="str">
        <f t="shared" si="92"/>
        <v/>
      </c>
      <c r="W108" s="23" t="str">
        <f t="array" ref="W108">IFERROR(SMALL(IF(S$1:S$1000="BEGIN",ROW(S$1:S$1000)),ROW()-3),"")</f>
        <v/>
      </c>
      <c r="X108" s="23" t="str">
        <f t="array" ref="X108">IFERROR(SMALL(IF(T$1:T$1000="END",ROW(T$1:T$1000)),ROW()-3),"")</f>
        <v/>
      </c>
      <c r="Y108" s="33" t="str">
        <f t="array" ref="Y108">IF(ISNUMBER(W108),MAX(IF((B$4:B$1000&lt;=X108)*(B$4:B$1000&gt;=W108),I$4:I$1000, "")),"")</f>
        <v/>
      </c>
      <c r="Z108" s="33" t="str">
        <f t="shared" si="77"/>
        <v/>
      </c>
      <c r="AA108" s="32" t="str">
        <f t="shared" si="78"/>
        <v/>
      </c>
      <c r="AB108" s="32" t="str">
        <f t="shared" si="79"/>
        <v/>
      </c>
      <c r="AC108" s="32" t="str">
        <f t="shared" si="80"/>
        <v/>
      </c>
      <c r="AD108" s="32" t="str">
        <f t="shared" si="81"/>
        <v/>
      </c>
      <c r="AE108" s="34" t="str">
        <f t="shared" si="82"/>
        <v/>
      </c>
      <c r="AF108" s="32" t="str">
        <f t="shared" si="83"/>
        <v/>
      </c>
      <c r="AG108" s="32" t="str">
        <f t="shared" si="84"/>
        <v/>
      </c>
      <c r="AH108" s="32" t="str">
        <f t="shared" si="85"/>
        <v/>
      </c>
      <c r="AI108" s="35" t="str">
        <f t="shared" si="86"/>
        <v/>
      </c>
      <c r="AJ108" s="23" t="str">
        <f t="array" ref="AJ108">IFERROR(SMALL(IF(U$1:U$1000="BEGIN",ROW(U$1:U$1000)),ROW()-3),"")</f>
        <v/>
      </c>
      <c r="AK108" s="23" t="str">
        <f t="array" ref="AK108">IFERROR(SMALL(IF(V$1:V$1000="END",ROW(V$1:V$1000)),ROW()-3),"")</f>
        <v/>
      </c>
      <c r="AL108" s="24" t="str">
        <f t="array" ref="AL108">IF(AK108="","",MATCH(AM108,L:L,0))</f>
        <v/>
      </c>
      <c r="AM108" s="35">
        <f t="array" ref="AM108">MAX(IF((B$4:B$1000&lt;=AK108)*(B$4:B$1000&gt;=AJ108),L$4:L$1000, ""))</f>
        <v>0</v>
      </c>
      <c r="AN108" s="32" t="str">
        <f t="shared" si="93"/>
        <v/>
      </c>
      <c r="AO108" s="32" t="str">
        <f t="shared" si="94"/>
        <v/>
      </c>
      <c r="AP108" s="32" t="str">
        <f t="shared" si="95"/>
        <v/>
      </c>
      <c r="AQ108" s="32" t="str">
        <f t="shared" si="96"/>
        <v/>
      </c>
      <c r="AR108" s="32" t="str">
        <f t="shared" si="97"/>
        <v/>
      </c>
      <c r="AS108" s="32" t="str">
        <f t="shared" si="98"/>
        <v/>
      </c>
      <c r="AT108" s="32" t="str">
        <f t="shared" si="99"/>
        <v/>
      </c>
      <c r="AU108" s="34" t="str">
        <f t="shared" si="100"/>
        <v/>
      </c>
      <c r="AV108" s="32" t="str">
        <f t="shared" si="101"/>
        <v/>
      </c>
      <c r="AW108" s="32" t="str">
        <f t="shared" si="102"/>
        <v/>
      </c>
      <c r="AX108" s="32" t="str">
        <f t="shared" si="103"/>
        <v/>
      </c>
      <c r="AY108" s="32" t="str">
        <f t="shared" si="104"/>
        <v/>
      </c>
    </row>
    <row r="109" spans="1:51" x14ac:dyDescent="0.25">
      <c r="A109" s="24" t="str">
        <f t="shared" si="62"/>
        <v/>
      </c>
      <c r="B109" s="24" t="str">
        <f t="shared" si="72"/>
        <v/>
      </c>
      <c r="C109" s="32" t="str">
        <f t="shared" si="63"/>
        <v/>
      </c>
      <c r="D109" s="24" t="str">
        <f t="shared" si="64"/>
        <v/>
      </c>
      <c r="E109" s="24" t="str">
        <f t="shared" si="65"/>
        <v/>
      </c>
      <c r="F109" s="32" t="str">
        <f t="shared" si="66"/>
        <v/>
      </c>
      <c r="G109" s="32" t="str">
        <f t="shared" si="67"/>
        <v/>
      </c>
      <c r="H109" s="32" t="str">
        <f t="shared" ca="1" si="68"/>
        <v/>
      </c>
      <c r="I109" s="32" t="str">
        <f t="shared" ca="1" si="73"/>
        <v/>
      </c>
      <c r="J109" s="32" t="str">
        <f t="shared" si="69"/>
        <v/>
      </c>
      <c r="K109" s="32" t="str">
        <f>IF(ISNUMBER(A109),Profile!$V$25+Profile!$V$24*'Ri-Po'!C109,"")</f>
        <v/>
      </c>
      <c r="L109" s="32" t="str">
        <f t="shared" si="74"/>
        <v/>
      </c>
      <c r="M109" s="32" t="str">
        <f t="shared" si="70"/>
        <v/>
      </c>
      <c r="N109" s="32" t="str">
        <f t="shared" si="71"/>
        <v/>
      </c>
      <c r="O109" s="32" t="str">
        <f t="shared" si="87"/>
        <v/>
      </c>
      <c r="P109" s="32" t="str">
        <f t="shared" si="75"/>
        <v/>
      </c>
      <c r="Q109" s="32" t="str">
        <f t="shared" si="76"/>
        <v/>
      </c>
      <c r="R109" s="32" t="str">
        <f t="shared" si="88"/>
        <v/>
      </c>
      <c r="S109" s="24" t="str">
        <f t="shared" si="89"/>
        <v/>
      </c>
      <c r="T109" s="24" t="str">
        <f t="shared" si="90"/>
        <v/>
      </c>
      <c r="U109" s="24" t="str">
        <f t="shared" si="91"/>
        <v/>
      </c>
      <c r="V109" s="24" t="str">
        <f t="shared" si="92"/>
        <v/>
      </c>
      <c r="W109" s="23" t="str">
        <f t="array" ref="W109">IFERROR(SMALL(IF(S$1:S$1000="BEGIN",ROW(S$1:S$1000)),ROW()-3),"")</f>
        <v/>
      </c>
      <c r="X109" s="23" t="str">
        <f t="array" ref="X109">IFERROR(SMALL(IF(T$1:T$1000="END",ROW(T$1:T$1000)),ROW()-3),"")</f>
        <v/>
      </c>
      <c r="Y109" s="33" t="str">
        <f t="array" ref="Y109">IF(ISNUMBER(W109),MAX(IF((B$4:B$1000&lt;=X109)*(B$4:B$1000&gt;=W109),I$4:I$1000, "")),"")</f>
        <v/>
      </c>
      <c r="Z109" s="33" t="str">
        <f t="shared" si="77"/>
        <v/>
      </c>
      <c r="AA109" s="32" t="str">
        <f t="shared" si="78"/>
        <v/>
      </c>
      <c r="AB109" s="32" t="str">
        <f t="shared" si="79"/>
        <v/>
      </c>
      <c r="AC109" s="32" t="str">
        <f t="shared" si="80"/>
        <v/>
      </c>
      <c r="AD109" s="32" t="str">
        <f t="shared" si="81"/>
        <v/>
      </c>
      <c r="AE109" s="34" t="str">
        <f t="shared" si="82"/>
        <v/>
      </c>
      <c r="AF109" s="32" t="str">
        <f t="shared" si="83"/>
        <v/>
      </c>
      <c r="AG109" s="32" t="str">
        <f t="shared" si="84"/>
        <v/>
      </c>
      <c r="AH109" s="32" t="str">
        <f t="shared" si="85"/>
        <v/>
      </c>
      <c r="AI109" s="35" t="str">
        <f t="shared" si="86"/>
        <v/>
      </c>
      <c r="AJ109" s="23" t="str">
        <f t="array" ref="AJ109">IFERROR(SMALL(IF(U$1:U$1000="BEGIN",ROW(U$1:U$1000)),ROW()-3),"")</f>
        <v/>
      </c>
      <c r="AK109" s="23" t="str">
        <f t="array" ref="AK109">IFERROR(SMALL(IF(V$1:V$1000="END",ROW(V$1:V$1000)),ROW()-3),"")</f>
        <v/>
      </c>
      <c r="AL109" s="24" t="str">
        <f t="array" ref="AL109">IF(AK109="","",MATCH(AM109,L:L,0))</f>
        <v/>
      </c>
      <c r="AM109" s="35">
        <f t="array" ref="AM109">MAX(IF((B$4:B$1000&lt;=AK109)*(B$4:B$1000&gt;=AJ109),L$4:L$1000, ""))</f>
        <v>0</v>
      </c>
      <c r="AN109" s="32" t="str">
        <f t="shared" si="93"/>
        <v/>
      </c>
      <c r="AO109" s="32" t="str">
        <f t="shared" si="94"/>
        <v/>
      </c>
      <c r="AP109" s="32" t="str">
        <f t="shared" si="95"/>
        <v/>
      </c>
      <c r="AQ109" s="32" t="str">
        <f t="shared" si="96"/>
        <v/>
      </c>
      <c r="AR109" s="32" t="str">
        <f t="shared" si="97"/>
        <v/>
      </c>
      <c r="AS109" s="32" t="str">
        <f t="shared" si="98"/>
        <v/>
      </c>
      <c r="AT109" s="32" t="str">
        <f t="shared" si="99"/>
        <v/>
      </c>
      <c r="AU109" s="34" t="str">
        <f t="shared" si="100"/>
        <v/>
      </c>
      <c r="AV109" s="32" t="str">
        <f t="shared" si="101"/>
        <v/>
      </c>
      <c r="AW109" s="32" t="str">
        <f t="shared" si="102"/>
        <v/>
      </c>
      <c r="AX109" s="32" t="str">
        <f t="shared" si="103"/>
        <v/>
      </c>
      <c r="AY109" s="32" t="str">
        <f t="shared" si="104"/>
        <v/>
      </c>
    </row>
    <row r="110" spans="1:51" x14ac:dyDescent="0.25">
      <c r="A110" s="24" t="str">
        <f t="shared" si="62"/>
        <v/>
      </c>
      <c r="B110" s="24" t="str">
        <f t="shared" si="72"/>
        <v/>
      </c>
      <c r="C110" s="32" t="str">
        <f t="shared" si="63"/>
        <v/>
      </c>
      <c r="D110" s="24" t="str">
        <f t="shared" si="64"/>
        <v/>
      </c>
      <c r="E110" s="24" t="str">
        <f t="shared" si="65"/>
        <v/>
      </c>
      <c r="F110" s="32" t="str">
        <f t="shared" si="66"/>
        <v/>
      </c>
      <c r="G110" s="32" t="str">
        <f t="shared" si="67"/>
        <v/>
      </c>
      <c r="H110" s="32" t="str">
        <f t="shared" ca="1" si="68"/>
        <v/>
      </c>
      <c r="I110" s="32" t="str">
        <f t="shared" ca="1" si="73"/>
        <v/>
      </c>
      <c r="J110" s="32" t="str">
        <f t="shared" si="69"/>
        <v/>
      </c>
      <c r="K110" s="32" t="str">
        <f>IF(ISNUMBER(A110),Profile!$V$25+Profile!$V$24*'Ri-Po'!C110,"")</f>
        <v/>
      </c>
      <c r="L110" s="32" t="str">
        <f t="shared" si="74"/>
        <v/>
      </c>
      <c r="M110" s="32" t="str">
        <f t="shared" si="70"/>
        <v/>
      </c>
      <c r="N110" s="32" t="str">
        <f t="shared" si="71"/>
        <v/>
      </c>
      <c r="O110" s="32" t="str">
        <f t="shared" si="87"/>
        <v/>
      </c>
      <c r="P110" s="32" t="str">
        <f t="shared" si="75"/>
        <v/>
      </c>
      <c r="Q110" s="32" t="str">
        <f t="shared" si="76"/>
        <v/>
      </c>
      <c r="R110" s="32" t="str">
        <f t="shared" si="88"/>
        <v/>
      </c>
      <c r="S110" s="24" t="str">
        <f t="shared" si="89"/>
        <v/>
      </c>
      <c r="T110" s="24" t="str">
        <f t="shared" si="90"/>
        <v/>
      </c>
      <c r="U110" s="24" t="str">
        <f t="shared" si="91"/>
        <v/>
      </c>
      <c r="V110" s="24" t="str">
        <f t="shared" si="92"/>
        <v/>
      </c>
      <c r="W110" s="23" t="str">
        <f t="array" ref="W110">IFERROR(SMALL(IF(S$1:S$1000="BEGIN",ROW(S$1:S$1000)),ROW()-3),"")</f>
        <v/>
      </c>
      <c r="X110" s="23" t="str">
        <f t="array" ref="X110">IFERROR(SMALL(IF(T$1:T$1000="END",ROW(T$1:T$1000)),ROW()-3),"")</f>
        <v/>
      </c>
      <c r="Y110" s="33" t="str">
        <f t="array" ref="Y110">IF(ISNUMBER(W110),MAX(IF((B$4:B$1000&lt;=X110)*(B$4:B$1000&gt;=W110),I$4:I$1000, "")),"")</f>
        <v/>
      </c>
      <c r="Z110" s="33" t="str">
        <f t="shared" si="77"/>
        <v/>
      </c>
      <c r="AA110" s="32" t="str">
        <f t="shared" si="78"/>
        <v/>
      </c>
      <c r="AB110" s="32" t="str">
        <f t="shared" si="79"/>
        <v/>
      </c>
      <c r="AC110" s="32" t="str">
        <f t="shared" si="80"/>
        <v/>
      </c>
      <c r="AD110" s="32" t="str">
        <f t="shared" si="81"/>
        <v/>
      </c>
      <c r="AE110" s="34" t="str">
        <f t="shared" si="82"/>
        <v/>
      </c>
      <c r="AF110" s="32" t="str">
        <f t="shared" si="83"/>
        <v/>
      </c>
      <c r="AG110" s="32" t="str">
        <f t="shared" si="84"/>
        <v/>
      </c>
      <c r="AH110" s="32" t="str">
        <f t="shared" si="85"/>
        <v/>
      </c>
      <c r="AI110" s="35" t="str">
        <f t="shared" si="86"/>
        <v/>
      </c>
      <c r="AJ110" s="23" t="str">
        <f t="array" ref="AJ110">IFERROR(SMALL(IF(U$1:U$1000="BEGIN",ROW(U$1:U$1000)),ROW()-3),"")</f>
        <v/>
      </c>
      <c r="AK110" s="23" t="str">
        <f t="array" ref="AK110">IFERROR(SMALL(IF(V$1:V$1000="END",ROW(V$1:V$1000)),ROW()-3),"")</f>
        <v/>
      </c>
      <c r="AL110" s="24" t="str">
        <f t="array" ref="AL110">IF(AK110="","",MATCH(AM110,L:L,0))</f>
        <v/>
      </c>
      <c r="AM110" s="35">
        <f t="array" ref="AM110">MAX(IF((B$4:B$1000&lt;=AK110)*(B$4:B$1000&gt;=AJ110),L$4:L$1000, ""))</f>
        <v>0</v>
      </c>
      <c r="AN110" s="32" t="str">
        <f t="shared" si="93"/>
        <v/>
      </c>
      <c r="AO110" s="32" t="str">
        <f t="shared" si="94"/>
        <v/>
      </c>
      <c r="AP110" s="32" t="str">
        <f t="shared" si="95"/>
        <v/>
      </c>
      <c r="AQ110" s="32" t="str">
        <f t="shared" si="96"/>
        <v/>
      </c>
      <c r="AR110" s="32" t="str">
        <f t="shared" si="97"/>
        <v/>
      </c>
      <c r="AS110" s="32" t="str">
        <f t="shared" si="98"/>
        <v/>
      </c>
      <c r="AT110" s="32" t="str">
        <f t="shared" si="99"/>
        <v/>
      </c>
      <c r="AU110" s="34" t="str">
        <f t="shared" si="100"/>
        <v/>
      </c>
      <c r="AV110" s="32" t="str">
        <f t="shared" si="101"/>
        <v/>
      </c>
      <c r="AW110" s="32" t="str">
        <f t="shared" si="102"/>
        <v/>
      </c>
      <c r="AX110" s="32" t="str">
        <f t="shared" si="103"/>
        <v/>
      </c>
      <c r="AY110" s="32" t="str">
        <f t="shared" si="104"/>
        <v/>
      </c>
    </row>
    <row r="111" spans="1:51" x14ac:dyDescent="0.25">
      <c r="A111" s="24" t="str">
        <f t="shared" si="62"/>
        <v/>
      </c>
      <c r="B111" s="24" t="str">
        <f t="shared" si="72"/>
        <v/>
      </c>
      <c r="C111" s="32" t="str">
        <f t="shared" si="63"/>
        <v/>
      </c>
      <c r="D111" s="24" t="str">
        <f t="shared" si="64"/>
        <v/>
      </c>
      <c r="E111" s="24" t="str">
        <f t="shared" si="65"/>
        <v/>
      </c>
      <c r="F111" s="32" t="str">
        <f t="shared" si="66"/>
        <v/>
      </c>
      <c r="G111" s="32" t="str">
        <f t="shared" si="67"/>
        <v/>
      </c>
      <c r="H111" s="32" t="str">
        <f t="shared" ca="1" si="68"/>
        <v/>
      </c>
      <c r="I111" s="32" t="str">
        <f t="shared" ca="1" si="73"/>
        <v/>
      </c>
      <c r="J111" s="32" t="str">
        <f t="shared" si="69"/>
        <v/>
      </c>
      <c r="K111" s="32" t="str">
        <f>IF(ISNUMBER(A111),Profile!$V$25+Profile!$V$24*'Ri-Po'!C111,"")</f>
        <v/>
      </c>
      <c r="L111" s="32" t="str">
        <f t="shared" si="74"/>
        <v/>
      </c>
      <c r="M111" s="32" t="str">
        <f t="shared" si="70"/>
        <v/>
      </c>
      <c r="N111" s="32" t="str">
        <f t="shared" si="71"/>
        <v/>
      </c>
      <c r="O111" s="32" t="str">
        <f t="shared" si="87"/>
        <v/>
      </c>
      <c r="P111" s="32" t="str">
        <f t="shared" si="75"/>
        <v/>
      </c>
      <c r="Q111" s="32" t="str">
        <f t="shared" si="76"/>
        <v/>
      </c>
      <c r="R111" s="32" t="str">
        <f t="shared" si="88"/>
        <v/>
      </c>
      <c r="S111" s="24" t="str">
        <f t="shared" si="89"/>
        <v/>
      </c>
      <c r="T111" s="24" t="str">
        <f t="shared" si="90"/>
        <v/>
      </c>
      <c r="U111" s="24" t="str">
        <f t="shared" si="91"/>
        <v/>
      </c>
      <c r="V111" s="24" t="str">
        <f t="shared" si="92"/>
        <v/>
      </c>
      <c r="W111" s="23" t="str">
        <f t="array" ref="W111">IFERROR(SMALL(IF(S$1:S$1000="BEGIN",ROW(S$1:S$1000)),ROW()-3),"")</f>
        <v/>
      </c>
      <c r="X111" s="23" t="str">
        <f t="array" ref="X111">IFERROR(SMALL(IF(T$1:T$1000="END",ROW(T$1:T$1000)),ROW()-3),"")</f>
        <v/>
      </c>
      <c r="Y111" s="33" t="str">
        <f t="array" ref="Y111">IF(ISNUMBER(W111),MAX(IF((B$4:B$1000&lt;=X111)*(B$4:B$1000&gt;=W111),I$4:I$1000, "")),"")</f>
        <v/>
      </c>
      <c r="Z111" s="33" t="str">
        <f t="shared" si="77"/>
        <v/>
      </c>
      <c r="AA111" s="32" t="str">
        <f t="shared" si="78"/>
        <v/>
      </c>
      <c r="AB111" s="32" t="str">
        <f t="shared" si="79"/>
        <v/>
      </c>
      <c r="AC111" s="32" t="str">
        <f t="shared" si="80"/>
        <v/>
      </c>
      <c r="AD111" s="32" t="str">
        <f t="shared" si="81"/>
        <v/>
      </c>
      <c r="AE111" s="34" t="str">
        <f t="shared" si="82"/>
        <v/>
      </c>
      <c r="AF111" s="32" t="str">
        <f t="shared" si="83"/>
        <v/>
      </c>
      <c r="AG111" s="32" t="str">
        <f t="shared" si="84"/>
        <v/>
      </c>
      <c r="AH111" s="32" t="str">
        <f t="shared" si="85"/>
        <v/>
      </c>
      <c r="AI111" s="35" t="str">
        <f t="shared" si="86"/>
        <v/>
      </c>
      <c r="AJ111" s="23" t="str">
        <f t="array" ref="AJ111">IFERROR(SMALL(IF(U$1:U$1000="BEGIN",ROW(U$1:U$1000)),ROW()-3),"")</f>
        <v/>
      </c>
      <c r="AK111" s="23" t="str">
        <f t="array" ref="AK111">IFERROR(SMALL(IF(V$1:V$1000="END",ROW(V$1:V$1000)),ROW()-3),"")</f>
        <v/>
      </c>
      <c r="AL111" s="24" t="str">
        <f t="array" ref="AL111">IF(AK111="","",MATCH(AM111,L:L,0))</f>
        <v/>
      </c>
      <c r="AM111" s="35">
        <f t="array" ref="AM111">MAX(IF((B$4:B$1000&lt;=AK111)*(B$4:B$1000&gt;=AJ111),L$4:L$1000, ""))</f>
        <v>0</v>
      </c>
      <c r="AN111" s="32" t="str">
        <f t="shared" si="93"/>
        <v/>
      </c>
      <c r="AO111" s="32" t="str">
        <f t="shared" si="94"/>
        <v/>
      </c>
      <c r="AP111" s="32" t="str">
        <f t="shared" si="95"/>
        <v/>
      </c>
      <c r="AQ111" s="32" t="str">
        <f t="shared" si="96"/>
        <v/>
      </c>
      <c r="AR111" s="32" t="str">
        <f t="shared" si="97"/>
        <v/>
      </c>
      <c r="AS111" s="32" t="str">
        <f t="shared" si="98"/>
        <v/>
      </c>
      <c r="AT111" s="32" t="str">
        <f t="shared" si="99"/>
        <v/>
      </c>
      <c r="AU111" s="34" t="str">
        <f t="shared" si="100"/>
        <v/>
      </c>
      <c r="AV111" s="32" t="str">
        <f t="shared" si="101"/>
        <v/>
      </c>
      <c r="AW111" s="32" t="str">
        <f t="shared" si="102"/>
        <v/>
      </c>
      <c r="AX111" s="32" t="str">
        <f t="shared" si="103"/>
        <v/>
      </c>
      <c r="AY111" s="32" t="str">
        <f t="shared" si="104"/>
        <v/>
      </c>
    </row>
    <row r="112" spans="1:51" x14ac:dyDescent="0.25">
      <c r="A112" s="24" t="str">
        <f t="shared" si="62"/>
        <v/>
      </c>
      <c r="B112" s="24" t="str">
        <f t="shared" si="72"/>
        <v/>
      </c>
      <c r="C112" s="32" t="str">
        <f t="shared" si="63"/>
        <v/>
      </c>
      <c r="D112" s="24" t="str">
        <f t="shared" si="64"/>
        <v/>
      </c>
      <c r="E112" s="24" t="str">
        <f t="shared" si="65"/>
        <v/>
      </c>
      <c r="F112" s="32" t="str">
        <f t="shared" si="66"/>
        <v/>
      </c>
      <c r="G112" s="32" t="str">
        <f t="shared" si="67"/>
        <v/>
      </c>
      <c r="H112" s="32" t="str">
        <f t="shared" ca="1" si="68"/>
        <v/>
      </c>
      <c r="I112" s="32" t="str">
        <f t="shared" ca="1" si="73"/>
        <v/>
      </c>
      <c r="J112" s="32" t="str">
        <f t="shared" si="69"/>
        <v/>
      </c>
      <c r="K112" s="32" t="str">
        <f>IF(ISNUMBER(A112),Profile!$V$25+Profile!$V$24*'Ri-Po'!C112,"")</f>
        <v/>
      </c>
      <c r="L112" s="32" t="str">
        <f t="shared" si="74"/>
        <v/>
      </c>
      <c r="M112" s="32" t="str">
        <f t="shared" si="70"/>
        <v/>
      </c>
      <c r="N112" s="32" t="str">
        <f t="shared" si="71"/>
        <v/>
      </c>
      <c r="O112" s="32" t="str">
        <f t="shared" si="87"/>
        <v/>
      </c>
      <c r="P112" s="32" t="str">
        <f t="shared" si="75"/>
        <v/>
      </c>
      <c r="Q112" s="32" t="str">
        <f t="shared" si="76"/>
        <v/>
      </c>
      <c r="R112" s="32" t="str">
        <f t="shared" si="88"/>
        <v/>
      </c>
      <c r="S112" s="24" t="str">
        <f t="shared" si="89"/>
        <v/>
      </c>
      <c r="T112" s="24" t="str">
        <f t="shared" si="90"/>
        <v/>
      </c>
      <c r="U112" s="24" t="str">
        <f t="shared" si="91"/>
        <v/>
      </c>
      <c r="V112" s="24" t="str">
        <f t="shared" si="92"/>
        <v/>
      </c>
      <c r="W112" s="23" t="str">
        <f t="array" ref="W112">IFERROR(SMALL(IF(S$1:S$1000="BEGIN",ROW(S$1:S$1000)),ROW()-3),"")</f>
        <v/>
      </c>
      <c r="X112" s="23" t="str">
        <f t="array" ref="X112">IFERROR(SMALL(IF(T$1:T$1000="END",ROW(T$1:T$1000)),ROW()-3),"")</f>
        <v/>
      </c>
      <c r="Y112" s="33" t="str">
        <f t="array" ref="Y112">IF(ISNUMBER(W112),MAX(IF((B$4:B$1000&lt;=X112)*(B$4:B$1000&gt;=W112),I$4:I$1000, "")),"")</f>
        <v/>
      </c>
      <c r="Z112" s="33" t="str">
        <f t="shared" si="77"/>
        <v/>
      </c>
      <c r="AA112" s="32" t="str">
        <f t="shared" si="78"/>
        <v/>
      </c>
      <c r="AB112" s="32" t="str">
        <f t="shared" si="79"/>
        <v/>
      </c>
      <c r="AC112" s="32" t="str">
        <f t="shared" si="80"/>
        <v/>
      </c>
      <c r="AD112" s="32" t="str">
        <f t="shared" si="81"/>
        <v/>
      </c>
      <c r="AE112" s="34" t="str">
        <f t="shared" si="82"/>
        <v/>
      </c>
      <c r="AF112" s="32" t="str">
        <f t="shared" si="83"/>
        <v/>
      </c>
      <c r="AG112" s="32" t="str">
        <f t="shared" si="84"/>
        <v/>
      </c>
      <c r="AH112" s="32" t="str">
        <f t="shared" si="85"/>
        <v/>
      </c>
      <c r="AI112" s="35" t="str">
        <f t="shared" si="86"/>
        <v/>
      </c>
      <c r="AJ112" s="23" t="str">
        <f t="array" ref="AJ112">IFERROR(SMALL(IF(U$1:U$1000="BEGIN",ROW(U$1:U$1000)),ROW()-3),"")</f>
        <v/>
      </c>
      <c r="AK112" s="23" t="str">
        <f t="array" ref="AK112">IFERROR(SMALL(IF(V$1:V$1000="END",ROW(V$1:V$1000)),ROW()-3),"")</f>
        <v/>
      </c>
      <c r="AL112" s="24" t="str">
        <f t="array" ref="AL112">IF(AK112="","",MATCH(AM112,L:L,0))</f>
        <v/>
      </c>
      <c r="AM112" s="35">
        <f t="array" ref="AM112">MAX(IF((B$4:B$1000&lt;=AK112)*(B$4:B$1000&gt;=AJ112),L$4:L$1000, ""))</f>
        <v>0</v>
      </c>
      <c r="AN112" s="32" t="str">
        <f t="shared" si="93"/>
        <v/>
      </c>
      <c r="AO112" s="32" t="str">
        <f t="shared" si="94"/>
        <v/>
      </c>
      <c r="AP112" s="32" t="str">
        <f t="shared" si="95"/>
        <v/>
      </c>
      <c r="AQ112" s="32" t="str">
        <f t="shared" si="96"/>
        <v/>
      </c>
      <c r="AR112" s="32" t="str">
        <f t="shared" si="97"/>
        <v/>
      </c>
      <c r="AS112" s="32" t="str">
        <f t="shared" si="98"/>
        <v/>
      </c>
      <c r="AT112" s="32" t="str">
        <f t="shared" si="99"/>
        <v/>
      </c>
      <c r="AU112" s="34" t="str">
        <f t="shared" si="100"/>
        <v/>
      </c>
      <c r="AV112" s="32" t="str">
        <f t="shared" si="101"/>
        <v/>
      </c>
      <c r="AW112" s="32" t="str">
        <f t="shared" si="102"/>
        <v/>
      </c>
      <c r="AX112" s="32" t="str">
        <f t="shared" si="103"/>
        <v/>
      </c>
      <c r="AY112" s="32" t="str">
        <f t="shared" si="104"/>
        <v/>
      </c>
    </row>
    <row r="113" spans="1:51" x14ac:dyDescent="0.25">
      <c r="A113" s="24" t="str">
        <f t="shared" si="62"/>
        <v/>
      </c>
      <c r="B113" s="24" t="str">
        <f t="shared" si="72"/>
        <v/>
      </c>
      <c r="C113" s="32" t="str">
        <f t="shared" si="63"/>
        <v/>
      </c>
      <c r="D113" s="24" t="str">
        <f t="shared" si="64"/>
        <v/>
      </c>
      <c r="E113" s="24" t="str">
        <f t="shared" si="65"/>
        <v/>
      </c>
      <c r="F113" s="32" t="str">
        <f t="shared" si="66"/>
        <v/>
      </c>
      <c r="G113" s="32" t="str">
        <f t="shared" si="67"/>
        <v/>
      </c>
      <c r="H113" s="32" t="str">
        <f t="shared" ca="1" si="68"/>
        <v/>
      </c>
      <c r="I113" s="32" t="str">
        <f t="shared" ca="1" si="73"/>
        <v/>
      </c>
      <c r="J113" s="32" t="str">
        <f t="shared" si="69"/>
        <v/>
      </c>
      <c r="K113" s="32" t="str">
        <f>IF(ISNUMBER(A113),Profile!$V$25+Profile!$V$24*'Ri-Po'!C113,"")</f>
        <v/>
      </c>
      <c r="L113" s="32" t="str">
        <f t="shared" si="74"/>
        <v/>
      </c>
      <c r="M113" s="32" t="str">
        <f t="shared" si="70"/>
        <v/>
      </c>
      <c r="N113" s="32" t="str">
        <f t="shared" si="71"/>
        <v/>
      </c>
      <c r="O113" s="32" t="str">
        <f t="shared" si="87"/>
        <v/>
      </c>
      <c r="P113" s="32" t="str">
        <f t="shared" si="75"/>
        <v/>
      </c>
      <c r="Q113" s="32" t="str">
        <f t="shared" si="76"/>
        <v/>
      </c>
      <c r="R113" s="32" t="str">
        <f t="shared" si="88"/>
        <v/>
      </c>
      <c r="S113" s="24" t="str">
        <f t="shared" si="89"/>
        <v/>
      </c>
      <c r="T113" s="24" t="str">
        <f t="shared" si="90"/>
        <v/>
      </c>
      <c r="U113" s="24" t="str">
        <f t="shared" si="91"/>
        <v/>
      </c>
      <c r="V113" s="24" t="str">
        <f t="shared" si="92"/>
        <v/>
      </c>
      <c r="W113" s="23" t="str">
        <f t="array" ref="W113">IFERROR(SMALL(IF(S$1:S$1000="BEGIN",ROW(S$1:S$1000)),ROW()-3),"")</f>
        <v/>
      </c>
      <c r="X113" s="23" t="str">
        <f t="array" ref="X113">IFERROR(SMALL(IF(T$1:T$1000="END",ROW(T$1:T$1000)),ROW()-3),"")</f>
        <v/>
      </c>
      <c r="Y113" s="33" t="str">
        <f t="array" ref="Y113">IF(ISNUMBER(W113),MAX(IF((B$4:B$1000&lt;=X113)*(B$4:B$1000&gt;=W113),I$4:I$1000, "")),"")</f>
        <v/>
      </c>
      <c r="Z113" s="33" t="str">
        <f t="shared" si="77"/>
        <v/>
      </c>
      <c r="AA113" s="32" t="str">
        <f t="shared" si="78"/>
        <v/>
      </c>
      <c r="AB113" s="32" t="str">
        <f t="shared" si="79"/>
        <v/>
      </c>
      <c r="AC113" s="32" t="str">
        <f t="shared" si="80"/>
        <v/>
      </c>
      <c r="AD113" s="32" t="str">
        <f t="shared" si="81"/>
        <v/>
      </c>
      <c r="AE113" s="34" t="str">
        <f t="shared" si="82"/>
        <v/>
      </c>
      <c r="AF113" s="32" t="str">
        <f t="shared" si="83"/>
        <v/>
      </c>
      <c r="AG113" s="32" t="str">
        <f t="shared" si="84"/>
        <v/>
      </c>
      <c r="AH113" s="32" t="str">
        <f t="shared" si="85"/>
        <v/>
      </c>
      <c r="AI113" s="35" t="str">
        <f t="shared" si="86"/>
        <v/>
      </c>
      <c r="AJ113" s="23" t="str">
        <f t="array" ref="AJ113">IFERROR(SMALL(IF(U$1:U$1000="BEGIN",ROW(U$1:U$1000)),ROW()-3),"")</f>
        <v/>
      </c>
      <c r="AK113" s="23" t="str">
        <f t="array" ref="AK113">IFERROR(SMALL(IF(V$1:V$1000="END",ROW(V$1:V$1000)),ROW()-3),"")</f>
        <v/>
      </c>
      <c r="AL113" s="24" t="str">
        <f t="array" ref="AL113">IF(AK113="","",MATCH(AM113,L:L,0))</f>
        <v/>
      </c>
      <c r="AM113" s="35">
        <f t="array" ref="AM113">MAX(IF((B$4:B$1000&lt;=AK113)*(B$4:B$1000&gt;=AJ113),L$4:L$1000, ""))</f>
        <v>0</v>
      </c>
      <c r="AN113" s="32" t="str">
        <f t="shared" si="93"/>
        <v/>
      </c>
      <c r="AO113" s="32" t="str">
        <f t="shared" si="94"/>
        <v/>
      </c>
      <c r="AP113" s="32" t="str">
        <f t="shared" si="95"/>
        <v/>
      </c>
      <c r="AQ113" s="32" t="str">
        <f t="shared" si="96"/>
        <v/>
      </c>
      <c r="AR113" s="32" t="str">
        <f t="shared" si="97"/>
        <v/>
      </c>
      <c r="AS113" s="32" t="str">
        <f t="shared" si="98"/>
        <v/>
      </c>
      <c r="AT113" s="32" t="str">
        <f t="shared" si="99"/>
        <v/>
      </c>
      <c r="AU113" s="34" t="str">
        <f t="shared" si="100"/>
        <v/>
      </c>
      <c r="AV113" s="32" t="str">
        <f t="shared" si="101"/>
        <v/>
      </c>
      <c r="AW113" s="32" t="str">
        <f t="shared" si="102"/>
        <v/>
      </c>
      <c r="AX113" s="32" t="str">
        <f t="shared" si="103"/>
        <v/>
      </c>
      <c r="AY113" s="32" t="str">
        <f t="shared" si="104"/>
        <v/>
      </c>
    </row>
    <row r="114" spans="1:51" x14ac:dyDescent="0.25">
      <c r="A114" s="24" t="str">
        <f t="shared" si="62"/>
        <v/>
      </c>
      <c r="B114" s="24" t="str">
        <f t="shared" si="72"/>
        <v/>
      </c>
      <c r="C114" s="32" t="str">
        <f t="shared" si="63"/>
        <v/>
      </c>
      <c r="D114" s="24" t="str">
        <f t="shared" si="64"/>
        <v/>
      </c>
      <c r="E114" s="24" t="str">
        <f t="shared" si="65"/>
        <v/>
      </c>
      <c r="F114" s="32" t="str">
        <f t="shared" si="66"/>
        <v/>
      </c>
      <c r="G114" s="32" t="str">
        <f t="shared" si="67"/>
        <v/>
      </c>
      <c r="H114" s="32" t="str">
        <f t="shared" ca="1" si="68"/>
        <v/>
      </c>
      <c r="I114" s="32" t="str">
        <f t="shared" ca="1" si="73"/>
        <v/>
      </c>
      <c r="J114" s="32" t="str">
        <f t="shared" si="69"/>
        <v/>
      </c>
      <c r="K114" s="32" t="str">
        <f>IF(ISNUMBER(A114),Profile!$V$25+Profile!$V$24*'Ri-Po'!C114,"")</f>
        <v/>
      </c>
      <c r="L114" s="32" t="str">
        <f t="shared" si="74"/>
        <v/>
      </c>
      <c r="M114" s="32" t="str">
        <f t="shared" si="70"/>
        <v/>
      </c>
      <c r="N114" s="32" t="str">
        <f t="shared" si="71"/>
        <v/>
      </c>
      <c r="O114" s="32" t="str">
        <f t="shared" si="87"/>
        <v/>
      </c>
      <c r="P114" s="32" t="str">
        <f t="shared" si="75"/>
        <v/>
      </c>
      <c r="Q114" s="32" t="str">
        <f t="shared" si="76"/>
        <v/>
      </c>
      <c r="R114" s="32" t="str">
        <f t="shared" si="88"/>
        <v/>
      </c>
      <c r="S114" s="24" t="str">
        <f t="shared" si="89"/>
        <v/>
      </c>
      <c r="T114" s="24" t="str">
        <f t="shared" si="90"/>
        <v/>
      </c>
      <c r="U114" s="24" t="str">
        <f t="shared" si="91"/>
        <v/>
      </c>
      <c r="V114" s="24" t="str">
        <f t="shared" si="92"/>
        <v/>
      </c>
      <c r="W114" s="23" t="str">
        <f t="array" ref="W114">IFERROR(SMALL(IF(S$1:S$1000="BEGIN",ROW(S$1:S$1000)),ROW()-3),"")</f>
        <v/>
      </c>
      <c r="X114" s="23" t="str">
        <f t="array" ref="X114">IFERROR(SMALL(IF(T$1:T$1000="END",ROW(T$1:T$1000)),ROW()-3),"")</f>
        <v/>
      </c>
      <c r="Y114" s="33" t="str">
        <f t="array" ref="Y114">IF(ISNUMBER(W114),MAX(IF((B$4:B$1000&lt;=X114)*(B$4:B$1000&gt;=W114),I$4:I$1000, "")),"")</f>
        <v/>
      </c>
      <c r="Z114" s="33" t="str">
        <f t="shared" si="77"/>
        <v/>
      </c>
      <c r="AA114" s="32" t="str">
        <f t="shared" si="78"/>
        <v/>
      </c>
      <c r="AB114" s="32" t="str">
        <f t="shared" si="79"/>
        <v/>
      </c>
      <c r="AC114" s="32" t="str">
        <f t="shared" si="80"/>
        <v/>
      </c>
      <c r="AD114" s="32" t="str">
        <f t="shared" si="81"/>
        <v/>
      </c>
      <c r="AE114" s="34" t="str">
        <f t="shared" si="82"/>
        <v/>
      </c>
      <c r="AF114" s="32" t="str">
        <f t="shared" si="83"/>
        <v/>
      </c>
      <c r="AG114" s="32" t="str">
        <f t="shared" si="84"/>
        <v/>
      </c>
      <c r="AH114" s="32" t="str">
        <f t="shared" si="85"/>
        <v/>
      </c>
      <c r="AI114" s="35" t="str">
        <f t="shared" si="86"/>
        <v/>
      </c>
      <c r="AJ114" s="23" t="str">
        <f t="array" ref="AJ114">IFERROR(SMALL(IF(U$1:U$1000="BEGIN",ROW(U$1:U$1000)),ROW()-3),"")</f>
        <v/>
      </c>
      <c r="AK114" s="23" t="str">
        <f t="array" ref="AK114">IFERROR(SMALL(IF(V$1:V$1000="END",ROW(V$1:V$1000)),ROW()-3),"")</f>
        <v/>
      </c>
      <c r="AL114" s="24" t="str">
        <f t="array" ref="AL114">IF(AK114="","",MATCH(AM114,L:L,0))</f>
        <v/>
      </c>
      <c r="AM114" s="35">
        <f t="array" ref="AM114">MAX(IF((B$4:B$1000&lt;=AK114)*(B$4:B$1000&gt;=AJ114),L$4:L$1000, ""))</f>
        <v>0</v>
      </c>
      <c r="AN114" s="32" t="str">
        <f t="shared" si="93"/>
        <v/>
      </c>
      <c r="AO114" s="32" t="str">
        <f t="shared" si="94"/>
        <v/>
      </c>
      <c r="AP114" s="32" t="str">
        <f t="shared" si="95"/>
        <v/>
      </c>
      <c r="AQ114" s="32" t="str">
        <f t="shared" si="96"/>
        <v/>
      </c>
      <c r="AR114" s="32" t="str">
        <f t="shared" si="97"/>
        <v/>
      </c>
      <c r="AS114" s="32" t="str">
        <f t="shared" si="98"/>
        <v/>
      </c>
      <c r="AT114" s="32" t="str">
        <f t="shared" si="99"/>
        <v/>
      </c>
      <c r="AU114" s="34" t="str">
        <f t="shared" si="100"/>
        <v/>
      </c>
      <c r="AV114" s="32" t="str">
        <f t="shared" si="101"/>
        <v/>
      </c>
      <c r="AW114" s="32" t="str">
        <f t="shared" si="102"/>
        <v/>
      </c>
      <c r="AX114" s="32" t="str">
        <f t="shared" si="103"/>
        <v/>
      </c>
      <c r="AY114" s="32" t="str">
        <f t="shared" si="104"/>
        <v/>
      </c>
    </row>
    <row r="115" spans="1:51" x14ac:dyDescent="0.25">
      <c r="A115" s="24" t="str">
        <f t="shared" si="62"/>
        <v/>
      </c>
      <c r="B115" s="24" t="str">
        <f t="shared" si="72"/>
        <v/>
      </c>
      <c r="C115" s="32" t="str">
        <f t="shared" si="63"/>
        <v/>
      </c>
      <c r="D115" s="24" t="str">
        <f t="shared" si="64"/>
        <v/>
      </c>
      <c r="E115" s="24" t="str">
        <f t="shared" si="65"/>
        <v/>
      </c>
      <c r="F115" s="32" t="str">
        <f t="shared" si="66"/>
        <v/>
      </c>
      <c r="G115" s="32" t="str">
        <f t="shared" si="67"/>
        <v/>
      </c>
      <c r="H115" s="32" t="str">
        <f t="shared" ca="1" si="68"/>
        <v/>
      </c>
      <c r="I115" s="32" t="str">
        <f t="shared" ca="1" si="73"/>
        <v/>
      </c>
      <c r="J115" s="32" t="str">
        <f t="shared" si="69"/>
        <v/>
      </c>
      <c r="K115" s="32" t="str">
        <f>IF(ISNUMBER(A115),Profile!$V$25+Profile!$V$24*'Ri-Po'!C115,"")</f>
        <v/>
      </c>
      <c r="L115" s="32" t="str">
        <f t="shared" si="74"/>
        <v/>
      </c>
      <c r="M115" s="32" t="str">
        <f t="shared" si="70"/>
        <v/>
      </c>
      <c r="N115" s="32" t="str">
        <f t="shared" si="71"/>
        <v/>
      </c>
      <c r="O115" s="32" t="str">
        <f t="shared" si="87"/>
        <v/>
      </c>
      <c r="P115" s="32" t="str">
        <f t="shared" si="75"/>
        <v/>
      </c>
      <c r="Q115" s="32" t="str">
        <f t="shared" si="76"/>
        <v/>
      </c>
      <c r="R115" s="32" t="str">
        <f t="shared" si="88"/>
        <v/>
      </c>
      <c r="S115" s="24" t="str">
        <f t="shared" si="89"/>
        <v/>
      </c>
      <c r="T115" s="24" t="str">
        <f t="shared" si="90"/>
        <v/>
      </c>
      <c r="U115" s="24" t="str">
        <f t="shared" si="91"/>
        <v/>
      </c>
      <c r="V115" s="24" t="str">
        <f t="shared" si="92"/>
        <v/>
      </c>
      <c r="W115" s="23" t="str">
        <f t="array" ref="W115">IFERROR(SMALL(IF(S$1:S$1000="BEGIN",ROW(S$1:S$1000)),ROW()-3),"")</f>
        <v/>
      </c>
      <c r="X115" s="23" t="str">
        <f t="array" ref="X115">IFERROR(SMALL(IF(T$1:T$1000="END",ROW(T$1:T$1000)),ROW()-3),"")</f>
        <v/>
      </c>
      <c r="Y115" s="33" t="str">
        <f t="array" ref="Y115">IF(ISNUMBER(W115),MAX(IF((B$4:B$1000&lt;=X115)*(B$4:B$1000&gt;=W115),I$4:I$1000, "")),"")</f>
        <v/>
      </c>
      <c r="Z115" s="33" t="str">
        <f t="shared" si="77"/>
        <v/>
      </c>
      <c r="AA115" s="32" t="str">
        <f t="shared" si="78"/>
        <v/>
      </c>
      <c r="AB115" s="32" t="str">
        <f t="shared" si="79"/>
        <v/>
      </c>
      <c r="AC115" s="32" t="str">
        <f t="shared" si="80"/>
        <v/>
      </c>
      <c r="AD115" s="32" t="str">
        <f t="shared" si="81"/>
        <v/>
      </c>
      <c r="AE115" s="34" t="str">
        <f t="shared" si="82"/>
        <v/>
      </c>
      <c r="AF115" s="32" t="str">
        <f t="shared" si="83"/>
        <v/>
      </c>
      <c r="AG115" s="32" t="str">
        <f t="shared" si="84"/>
        <v/>
      </c>
      <c r="AH115" s="32" t="str">
        <f t="shared" si="85"/>
        <v/>
      </c>
      <c r="AI115" s="35" t="str">
        <f t="shared" si="86"/>
        <v/>
      </c>
      <c r="AJ115" s="23" t="str">
        <f t="array" ref="AJ115">IFERROR(SMALL(IF(U$1:U$1000="BEGIN",ROW(U$1:U$1000)),ROW()-3),"")</f>
        <v/>
      </c>
      <c r="AK115" s="23" t="str">
        <f t="array" ref="AK115">IFERROR(SMALL(IF(V$1:V$1000="END",ROW(V$1:V$1000)),ROW()-3),"")</f>
        <v/>
      </c>
      <c r="AL115" s="24" t="str">
        <f t="array" ref="AL115">IF(AK115="","",MATCH(AM115,L:L,0))</f>
        <v/>
      </c>
      <c r="AM115" s="35">
        <f t="array" ref="AM115">MAX(IF((B$4:B$1000&lt;=AK115)*(B$4:B$1000&gt;=AJ115),L$4:L$1000, ""))</f>
        <v>0</v>
      </c>
      <c r="AN115" s="32" t="str">
        <f t="shared" si="93"/>
        <v/>
      </c>
      <c r="AO115" s="32" t="str">
        <f t="shared" si="94"/>
        <v/>
      </c>
      <c r="AP115" s="32" t="str">
        <f t="shared" si="95"/>
        <v/>
      </c>
      <c r="AQ115" s="32" t="str">
        <f t="shared" si="96"/>
        <v/>
      </c>
      <c r="AR115" s="32" t="str">
        <f t="shared" si="97"/>
        <v/>
      </c>
      <c r="AS115" s="32" t="str">
        <f t="shared" si="98"/>
        <v/>
      </c>
      <c r="AT115" s="32" t="str">
        <f t="shared" si="99"/>
        <v/>
      </c>
      <c r="AU115" s="34" t="str">
        <f t="shared" si="100"/>
        <v/>
      </c>
      <c r="AV115" s="32" t="str">
        <f t="shared" si="101"/>
        <v/>
      </c>
      <c r="AW115" s="32" t="str">
        <f t="shared" si="102"/>
        <v/>
      </c>
      <c r="AX115" s="32" t="str">
        <f t="shared" si="103"/>
        <v/>
      </c>
      <c r="AY115" s="32" t="str">
        <f t="shared" si="104"/>
        <v/>
      </c>
    </row>
    <row r="116" spans="1:51" x14ac:dyDescent="0.25">
      <c r="A116" s="24" t="str">
        <f t="shared" si="62"/>
        <v/>
      </c>
      <c r="B116" s="24" t="str">
        <f t="shared" si="72"/>
        <v/>
      </c>
      <c r="C116" s="32" t="str">
        <f t="shared" si="63"/>
        <v/>
      </c>
      <c r="D116" s="24" t="str">
        <f t="shared" si="64"/>
        <v/>
      </c>
      <c r="E116" s="24" t="str">
        <f t="shared" si="65"/>
        <v/>
      </c>
      <c r="F116" s="32" t="str">
        <f t="shared" si="66"/>
        <v/>
      </c>
      <c r="G116" s="32" t="str">
        <f t="shared" si="67"/>
        <v/>
      </c>
      <c r="H116" s="32" t="str">
        <f t="shared" ca="1" si="68"/>
        <v/>
      </c>
      <c r="I116" s="32" t="str">
        <f t="shared" ca="1" si="73"/>
        <v/>
      </c>
      <c r="J116" s="32" t="str">
        <f t="shared" si="69"/>
        <v/>
      </c>
      <c r="K116" s="32" t="str">
        <f>IF(ISNUMBER(A116),Profile!$V$25+Profile!$V$24*'Ri-Po'!C116,"")</f>
        <v/>
      </c>
      <c r="L116" s="32" t="str">
        <f t="shared" si="74"/>
        <v/>
      </c>
      <c r="M116" s="32" t="str">
        <f t="shared" si="70"/>
        <v/>
      </c>
      <c r="N116" s="32" t="str">
        <f t="shared" si="71"/>
        <v/>
      </c>
      <c r="O116" s="32" t="str">
        <f t="shared" si="87"/>
        <v/>
      </c>
      <c r="P116" s="32" t="str">
        <f t="shared" si="75"/>
        <v/>
      </c>
      <c r="Q116" s="32" t="str">
        <f t="shared" si="76"/>
        <v/>
      </c>
      <c r="R116" s="32" t="str">
        <f t="shared" si="88"/>
        <v/>
      </c>
      <c r="S116" s="24" t="str">
        <f t="shared" si="89"/>
        <v/>
      </c>
      <c r="T116" s="24" t="str">
        <f t="shared" si="90"/>
        <v/>
      </c>
      <c r="U116" s="24" t="str">
        <f t="shared" si="91"/>
        <v/>
      </c>
      <c r="V116" s="24" t="str">
        <f t="shared" si="92"/>
        <v/>
      </c>
      <c r="W116" s="23" t="str">
        <f t="array" ref="W116">IFERROR(SMALL(IF(S$1:S$1000="BEGIN",ROW(S$1:S$1000)),ROW()-3),"")</f>
        <v/>
      </c>
      <c r="X116" s="23" t="str">
        <f t="array" ref="X116">IFERROR(SMALL(IF(T$1:T$1000="END",ROW(T$1:T$1000)),ROW()-3),"")</f>
        <v/>
      </c>
      <c r="Y116" s="33" t="str">
        <f t="array" ref="Y116">IF(ISNUMBER(W116),MAX(IF((B$4:B$1000&lt;=X116)*(B$4:B$1000&gt;=W116),I$4:I$1000, "")),"")</f>
        <v/>
      </c>
      <c r="Z116" s="33" t="str">
        <f t="shared" si="77"/>
        <v/>
      </c>
      <c r="AA116" s="32" t="str">
        <f t="shared" si="78"/>
        <v/>
      </c>
      <c r="AB116" s="32" t="str">
        <f t="shared" si="79"/>
        <v/>
      </c>
      <c r="AC116" s="32" t="str">
        <f t="shared" si="80"/>
        <v/>
      </c>
      <c r="AD116" s="32" t="str">
        <f t="shared" si="81"/>
        <v/>
      </c>
      <c r="AE116" s="34" t="str">
        <f t="shared" si="82"/>
        <v/>
      </c>
      <c r="AF116" s="32" t="str">
        <f t="shared" si="83"/>
        <v/>
      </c>
      <c r="AG116" s="32" t="str">
        <f t="shared" si="84"/>
        <v/>
      </c>
      <c r="AH116" s="32" t="str">
        <f t="shared" si="85"/>
        <v/>
      </c>
      <c r="AI116" s="35" t="str">
        <f t="shared" si="86"/>
        <v/>
      </c>
      <c r="AJ116" s="23" t="str">
        <f t="array" ref="AJ116">IFERROR(SMALL(IF(U$1:U$1000="BEGIN",ROW(U$1:U$1000)),ROW()-3),"")</f>
        <v/>
      </c>
      <c r="AK116" s="23" t="str">
        <f t="array" ref="AK116">IFERROR(SMALL(IF(V$1:V$1000="END",ROW(V$1:V$1000)),ROW()-3),"")</f>
        <v/>
      </c>
      <c r="AL116" s="24" t="str">
        <f t="array" ref="AL116">IF(AK116="","",MATCH(AM116,L:L,0))</f>
        <v/>
      </c>
      <c r="AM116" s="35">
        <f t="array" ref="AM116">MAX(IF((B$4:B$1000&lt;=AK116)*(B$4:B$1000&gt;=AJ116),L$4:L$1000, ""))</f>
        <v>0</v>
      </c>
      <c r="AN116" s="32" t="str">
        <f t="shared" si="93"/>
        <v/>
      </c>
      <c r="AO116" s="32" t="str">
        <f t="shared" si="94"/>
        <v/>
      </c>
      <c r="AP116" s="32" t="str">
        <f t="shared" si="95"/>
        <v/>
      </c>
      <c r="AQ116" s="32" t="str">
        <f t="shared" si="96"/>
        <v/>
      </c>
      <c r="AR116" s="32" t="str">
        <f t="shared" si="97"/>
        <v/>
      </c>
      <c r="AS116" s="32" t="str">
        <f t="shared" si="98"/>
        <v/>
      </c>
      <c r="AT116" s="32" t="str">
        <f t="shared" si="99"/>
        <v/>
      </c>
      <c r="AU116" s="34" t="str">
        <f t="shared" si="100"/>
        <v/>
      </c>
      <c r="AV116" s="32" t="str">
        <f t="shared" si="101"/>
        <v/>
      </c>
      <c r="AW116" s="32" t="str">
        <f t="shared" si="102"/>
        <v/>
      </c>
      <c r="AX116" s="32" t="str">
        <f t="shared" si="103"/>
        <v/>
      </c>
      <c r="AY116" s="32" t="str">
        <f t="shared" si="104"/>
        <v/>
      </c>
    </row>
    <row r="117" spans="1:51" x14ac:dyDescent="0.25">
      <c r="A117" s="24" t="str">
        <f t="shared" si="62"/>
        <v/>
      </c>
      <c r="B117" s="24" t="str">
        <f t="shared" si="72"/>
        <v/>
      </c>
      <c r="C117" s="32" t="str">
        <f t="shared" si="63"/>
        <v/>
      </c>
      <c r="D117" s="24" t="str">
        <f t="shared" si="64"/>
        <v/>
      </c>
      <c r="E117" s="24" t="str">
        <f t="shared" si="65"/>
        <v/>
      </c>
      <c r="F117" s="32" t="str">
        <f t="shared" si="66"/>
        <v/>
      </c>
      <c r="G117" s="32" t="str">
        <f t="shared" si="67"/>
        <v/>
      </c>
      <c r="H117" s="32" t="str">
        <f t="shared" ca="1" si="68"/>
        <v/>
      </c>
      <c r="I117" s="32" t="str">
        <f t="shared" ca="1" si="73"/>
        <v/>
      </c>
      <c r="J117" s="32" t="str">
        <f t="shared" si="69"/>
        <v/>
      </c>
      <c r="K117" s="32" t="str">
        <f>IF(ISNUMBER(A117),Profile!$V$25+Profile!$V$24*'Ri-Po'!C117,"")</f>
        <v/>
      </c>
      <c r="L117" s="32" t="str">
        <f t="shared" si="74"/>
        <v/>
      </c>
      <c r="M117" s="32" t="str">
        <f t="shared" si="70"/>
        <v/>
      </c>
      <c r="N117" s="32" t="str">
        <f t="shared" si="71"/>
        <v/>
      </c>
      <c r="O117" s="32" t="str">
        <f t="shared" si="87"/>
        <v/>
      </c>
      <c r="P117" s="32" t="str">
        <f t="shared" si="75"/>
        <v/>
      </c>
      <c r="Q117" s="32" t="str">
        <f t="shared" si="76"/>
        <v/>
      </c>
      <c r="R117" s="32" t="str">
        <f t="shared" si="88"/>
        <v/>
      </c>
      <c r="S117" s="24" t="str">
        <f t="shared" si="89"/>
        <v/>
      </c>
      <c r="T117" s="24" t="str">
        <f t="shared" si="90"/>
        <v/>
      </c>
      <c r="U117" s="24" t="str">
        <f t="shared" si="91"/>
        <v/>
      </c>
      <c r="V117" s="24" t="str">
        <f t="shared" si="92"/>
        <v/>
      </c>
      <c r="W117" s="23" t="str">
        <f t="array" ref="W117">IFERROR(SMALL(IF(S$1:S$1000="BEGIN",ROW(S$1:S$1000)),ROW()-3),"")</f>
        <v/>
      </c>
      <c r="X117" s="23" t="str">
        <f t="array" ref="X117">IFERROR(SMALL(IF(T$1:T$1000="END",ROW(T$1:T$1000)),ROW()-3),"")</f>
        <v/>
      </c>
      <c r="Y117" s="33" t="str">
        <f t="array" ref="Y117">IF(ISNUMBER(W117),MAX(IF((B$4:B$1000&lt;=X117)*(B$4:B$1000&gt;=W117),I$4:I$1000, "")),"")</f>
        <v/>
      </c>
      <c r="Z117" s="33" t="str">
        <f t="shared" si="77"/>
        <v/>
      </c>
      <c r="AA117" s="32" t="str">
        <f t="shared" si="78"/>
        <v/>
      </c>
      <c r="AB117" s="32" t="str">
        <f t="shared" si="79"/>
        <v/>
      </c>
      <c r="AC117" s="32" t="str">
        <f t="shared" si="80"/>
        <v/>
      </c>
      <c r="AD117" s="32" t="str">
        <f t="shared" si="81"/>
        <v/>
      </c>
      <c r="AE117" s="34" t="str">
        <f t="shared" si="82"/>
        <v/>
      </c>
      <c r="AF117" s="32" t="str">
        <f t="shared" si="83"/>
        <v/>
      </c>
      <c r="AG117" s="32" t="str">
        <f t="shared" si="84"/>
        <v/>
      </c>
      <c r="AH117" s="32" t="str">
        <f t="shared" si="85"/>
        <v/>
      </c>
      <c r="AI117" s="35" t="str">
        <f t="shared" si="86"/>
        <v/>
      </c>
      <c r="AJ117" s="23" t="str">
        <f t="array" ref="AJ117">IFERROR(SMALL(IF(U$1:U$1000="BEGIN",ROW(U$1:U$1000)),ROW()-3),"")</f>
        <v/>
      </c>
      <c r="AK117" s="23" t="str">
        <f t="array" ref="AK117">IFERROR(SMALL(IF(V$1:V$1000="END",ROW(V$1:V$1000)),ROW()-3),"")</f>
        <v/>
      </c>
      <c r="AL117" s="24" t="str">
        <f t="array" ref="AL117">IF(AK117="","",MATCH(AM117,L:L,0))</f>
        <v/>
      </c>
      <c r="AM117" s="35">
        <f t="array" ref="AM117">MAX(IF((B$4:B$1000&lt;=AK117)*(B$4:B$1000&gt;=AJ117),L$4:L$1000, ""))</f>
        <v>0</v>
      </c>
      <c r="AN117" s="32" t="str">
        <f t="shared" si="93"/>
        <v/>
      </c>
      <c r="AO117" s="32" t="str">
        <f t="shared" si="94"/>
        <v/>
      </c>
      <c r="AP117" s="32" t="str">
        <f t="shared" si="95"/>
        <v/>
      </c>
      <c r="AQ117" s="32" t="str">
        <f t="shared" si="96"/>
        <v/>
      </c>
      <c r="AR117" s="32" t="str">
        <f t="shared" si="97"/>
        <v/>
      </c>
      <c r="AS117" s="32" t="str">
        <f t="shared" si="98"/>
        <v/>
      </c>
      <c r="AT117" s="32" t="str">
        <f t="shared" si="99"/>
        <v/>
      </c>
      <c r="AU117" s="34" t="str">
        <f t="shared" si="100"/>
        <v/>
      </c>
      <c r="AV117" s="32" t="str">
        <f t="shared" si="101"/>
        <v/>
      </c>
      <c r="AW117" s="32" t="str">
        <f t="shared" si="102"/>
        <v/>
      </c>
      <c r="AX117" s="32" t="str">
        <f t="shared" si="103"/>
        <v/>
      </c>
      <c r="AY117" s="32" t="str">
        <f t="shared" si="104"/>
        <v/>
      </c>
    </row>
    <row r="118" spans="1:51" x14ac:dyDescent="0.25">
      <c r="A118" s="24" t="str">
        <f t="shared" si="62"/>
        <v/>
      </c>
      <c r="B118" s="24" t="str">
        <f t="shared" si="72"/>
        <v/>
      </c>
      <c r="C118" s="32" t="str">
        <f t="shared" si="63"/>
        <v/>
      </c>
      <c r="D118" s="24" t="str">
        <f t="shared" si="64"/>
        <v/>
      </c>
      <c r="E118" s="24" t="str">
        <f t="shared" si="65"/>
        <v/>
      </c>
      <c r="F118" s="32" t="str">
        <f t="shared" si="66"/>
        <v/>
      </c>
      <c r="G118" s="32" t="str">
        <f t="shared" si="67"/>
        <v/>
      </c>
      <c r="H118" s="32" t="str">
        <f t="shared" ca="1" si="68"/>
        <v/>
      </c>
      <c r="I118" s="32" t="str">
        <f t="shared" ca="1" si="73"/>
        <v/>
      </c>
      <c r="J118" s="32" t="str">
        <f t="shared" si="69"/>
        <v/>
      </c>
      <c r="K118" s="32" t="str">
        <f>IF(ISNUMBER(A118),Profile!$V$25+Profile!$V$24*'Ri-Po'!C118,"")</f>
        <v/>
      </c>
      <c r="L118" s="32" t="str">
        <f t="shared" si="74"/>
        <v/>
      </c>
      <c r="M118" s="32" t="str">
        <f t="shared" si="70"/>
        <v/>
      </c>
      <c r="N118" s="32" t="str">
        <f t="shared" si="71"/>
        <v/>
      </c>
      <c r="O118" s="32" t="str">
        <f t="shared" si="87"/>
        <v/>
      </c>
      <c r="P118" s="32" t="str">
        <f t="shared" si="75"/>
        <v/>
      </c>
      <c r="Q118" s="32" t="str">
        <f t="shared" si="76"/>
        <v/>
      </c>
      <c r="R118" s="32" t="str">
        <f t="shared" si="88"/>
        <v/>
      </c>
      <c r="S118" s="24" t="str">
        <f t="shared" si="89"/>
        <v/>
      </c>
      <c r="T118" s="24" t="str">
        <f t="shared" si="90"/>
        <v/>
      </c>
      <c r="U118" s="24" t="str">
        <f t="shared" si="91"/>
        <v/>
      </c>
      <c r="V118" s="24" t="str">
        <f t="shared" si="92"/>
        <v/>
      </c>
      <c r="W118" s="23" t="str">
        <f t="array" ref="W118">IFERROR(SMALL(IF(S$1:S$1000="BEGIN",ROW(S$1:S$1000)),ROW()-3),"")</f>
        <v/>
      </c>
      <c r="X118" s="23" t="str">
        <f t="array" ref="X118">IFERROR(SMALL(IF(T$1:T$1000="END",ROW(T$1:T$1000)),ROW()-3),"")</f>
        <v/>
      </c>
      <c r="Y118" s="33" t="str">
        <f t="array" ref="Y118">IF(ISNUMBER(W118),MAX(IF((B$4:B$1000&lt;=X118)*(B$4:B$1000&gt;=W118),I$4:I$1000, "")),"")</f>
        <v/>
      </c>
      <c r="Z118" s="33" t="str">
        <f t="shared" si="77"/>
        <v/>
      </c>
      <c r="AA118" s="32" t="str">
        <f t="shared" si="78"/>
        <v/>
      </c>
      <c r="AB118" s="32" t="str">
        <f t="shared" si="79"/>
        <v/>
      </c>
      <c r="AC118" s="32" t="str">
        <f t="shared" si="80"/>
        <v/>
      </c>
      <c r="AD118" s="32" t="str">
        <f t="shared" si="81"/>
        <v/>
      </c>
      <c r="AE118" s="34" t="str">
        <f t="shared" si="82"/>
        <v/>
      </c>
      <c r="AF118" s="32" t="str">
        <f t="shared" si="83"/>
        <v/>
      </c>
      <c r="AG118" s="32" t="str">
        <f t="shared" si="84"/>
        <v/>
      </c>
      <c r="AH118" s="32" t="str">
        <f t="shared" si="85"/>
        <v/>
      </c>
      <c r="AI118" s="35" t="str">
        <f t="shared" si="86"/>
        <v/>
      </c>
      <c r="AJ118" s="23" t="str">
        <f t="array" ref="AJ118">IFERROR(SMALL(IF(U$1:U$1000="BEGIN",ROW(U$1:U$1000)),ROW()-3),"")</f>
        <v/>
      </c>
      <c r="AK118" s="23" t="str">
        <f t="array" ref="AK118">IFERROR(SMALL(IF(V$1:V$1000="END",ROW(V$1:V$1000)),ROW()-3),"")</f>
        <v/>
      </c>
      <c r="AL118" s="24" t="str">
        <f t="array" ref="AL118">IF(AK118="","",MATCH(AM118,L:L,0))</f>
        <v/>
      </c>
      <c r="AM118" s="35">
        <f t="array" ref="AM118">MAX(IF((B$4:B$1000&lt;=AK118)*(B$4:B$1000&gt;=AJ118),L$4:L$1000, ""))</f>
        <v>0</v>
      </c>
      <c r="AN118" s="32" t="str">
        <f t="shared" si="93"/>
        <v/>
      </c>
      <c r="AO118" s="32" t="str">
        <f t="shared" si="94"/>
        <v/>
      </c>
      <c r="AP118" s="32" t="str">
        <f t="shared" si="95"/>
        <v/>
      </c>
      <c r="AQ118" s="32" t="str">
        <f t="shared" si="96"/>
        <v/>
      </c>
      <c r="AR118" s="32" t="str">
        <f t="shared" si="97"/>
        <v/>
      </c>
      <c r="AS118" s="32" t="str">
        <f t="shared" si="98"/>
        <v/>
      </c>
      <c r="AT118" s="32" t="str">
        <f t="shared" si="99"/>
        <v/>
      </c>
      <c r="AU118" s="34" t="str">
        <f t="shared" si="100"/>
        <v/>
      </c>
      <c r="AV118" s="32" t="str">
        <f t="shared" si="101"/>
        <v/>
      </c>
      <c r="AW118" s="32" t="str">
        <f t="shared" si="102"/>
        <v/>
      </c>
      <c r="AX118" s="32" t="str">
        <f t="shared" si="103"/>
        <v/>
      </c>
      <c r="AY118" s="32" t="str">
        <f t="shared" si="104"/>
        <v/>
      </c>
    </row>
    <row r="119" spans="1:51" x14ac:dyDescent="0.25">
      <c r="A119" s="24" t="str">
        <f t="shared" si="62"/>
        <v/>
      </c>
      <c r="B119" s="24" t="str">
        <f t="shared" si="72"/>
        <v/>
      </c>
      <c r="C119" s="32" t="str">
        <f t="shared" si="63"/>
        <v/>
      </c>
      <c r="D119" s="24" t="str">
        <f t="shared" si="64"/>
        <v/>
      </c>
      <c r="E119" s="24" t="str">
        <f t="shared" si="65"/>
        <v/>
      </c>
      <c r="F119" s="32" t="str">
        <f t="shared" si="66"/>
        <v/>
      </c>
      <c r="G119" s="32" t="str">
        <f t="shared" si="67"/>
        <v/>
      </c>
      <c r="H119" s="32" t="str">
        <f t="shared" ca="1" si="68"/>
        <v/>
      </c>
      <c r="I119" s="32" t="str">
        <f t="shared" ca="1" si="73"/>
        <v/>
      </c>
      <c r="J119" s="32" t="str">
        <f t="shared" si="69"/>
        <v/>
      </c>
      <c r="K119" s="32" t="str">
        <f>IF(ISNUMBER(A119),Profile!$V$25+Profile!$V$24*'Ri-Po'!C119,"")</f>
        <v/>
      </c>
      <c r="L119" s="32" t="str">
        <f t="shared" si="74"/>
        <v/>
      </c>
      <c r="M119" s="32" t="str">
        <f t="shared" si="70"/>
        <v/>
      </c>
      <c r="N119" s="32" t="str">
        <f t="shared" si="71"/>
        <v/>
      </c>
      <c r="O119" s="32" t="str">
        <f t="shared" si="87"/>
        <v/>
      </c>
      <c r="P119" s="32" t="str">
        <f t="shared" si="75"/>
        <v/>
      </c>
      <c r="Q119" s="32" t="str">
        <f t="shared" si="76"/>
        <v/>
      </c>
      <c r="R119" s="32" t="str">
        <f t="shared" si="88"/>
        <v/>
      </c>
      <c r="S119" s="24" t="str">
        <f t="shared" si="89"/>
        <v/>
      </c>
      <c r="T119" s="24" t="str">
        <f t="shared" si="90"/>
        <v/>
      </c>
      <c r="U119" s="24" t="str">
        <f t="shared" si="91"/>
        <v/>
      </c>
      <c r="V119" s="24" t="str">
        <f t="shared" si="92"/>
        <v/>
      </c>
      <c r="W119" s="23" t="str">
        <f t="array" ref="W119">IFERROR(SMALL(IF(S$1:S$1000="BEGIN",ROW(S$1:S$1000)),ROW()-3),"")</f>
        <v/>
      </c>
      <c r="X119" s="23" t="str">
        <f t="array" ref="X119">IFERROR(SMALL(IF(T$1:T$1000="END",ROW(T$1:T$1000)),ROW()-3),"")</f>
        <v/>
      </c>
      <c r="Y119" s="33" t="str">
        <f t="array" ref="Y119">IF(ISNUMBER(W119),MAX(IF((B$4:B$1000&lt;=X119)*(B$4:B$1000&gt;=W119),I$4:I$1000, "")),"")</f>
        <v/>
      </c>
      <c r="Z119" s="33" t="str">
        <f t="shared" si="77"/>
        <v/>
      </c>
      <c r="AA119" s="32" t="str">
        <f t="shared" si="78"/>
        <v/>
      </c>
      <c r="AB119" s="32" t="str">
        <f t="shared" si="79"/>
        <v/>
      </c>
      <c r="AC119" s="32" t="str">
        <f t="shared" si="80"/>
        <v/>
      </c>
      <c r="AD119" s="32" t="str">
        <f t="shared" si="81"/>
        <v/>
      </c>
      <c r="AE119" s="34" t="str">
        <f t="shared" si="82"/>
        <v/>
      </c>
      <c r="AF119" s="32" t="str">
        <f t="shared" si="83"/>
        <v/>
      </c>
      <c r="AG119" s="32" t="str">
        <f t="shared" si="84"/>
        <v/>
      </c>
      <c r="AH119" s="32" t="str">
        <f t="shared" si="85"/>
        <v/>
      </c>
      <c r="AI119" s="35" t="str">
        <f t="shared" si="86"/>
        <v/>
      </c>
      <c r="AJ119" s="23" t="str">
        <f t="array" ref="AJ119">IFERROR(SMALL(IF(U$1:U$1000="BEGIN",ROW(U$1:U$1000)),ROW()-3),"")</f>
        <v/>
      </c>
      <c r="AK119" s="23" t="str">
        <f t="array" ref="AK119">IFERROR(SMALL(IF(V$1:V$1000="END",ROW(V$1:V$1000)),ROW()-3),"")</f>
        <v/>
      </c>
      <c r="AL119" s="24" t="str">
        <f t="array" ref="AL119">IF(AK119="","",MATCH(AM119,L:L,0))</f>
        <v/>
      </c>
      <c r="AM119" s="35">
        <f t="array" ref="AM119">MAX(IF((B$4:B$1000&lt;=AK119)*(B$4:B$1000&gt;=AJ119),L$4:L$1000, ""))</f>
        <v>0</v>
      </c>
      <c r="AN119" s="32" t="str">
        <f t="shared" si="93"/>
        <v/>
      </c>
      <c r="AO119" s="32" t="str">
        <f t="shared" si="94"/>
        <v/>
      </c>
      <c r="AP119" s="32" t="str">
        <f t="shared" si="95"/>
        <v/>
      </c>
      <c r="AQ119" s="32" t="str">
        <f t="shared" si="96"/>
        <v/>
      </c>
      <c r="AR119" s="32" t="str">
        <f t="shared" si="97"/>
        <v/>
      </c>
      <c r="AS119" s="32" t="str">
        <f t="shared" si="98"/>
        <v/>
      </c>
      <c r="AT119" s="32" t="str">
        <f t="shared" si="99"/>
        <v/>
      </c>
      <c r="AU119" s="34" t="str">
        <f t="shared" si="100"/>
        <v/>
      </c>
      <c r="AV119" s="32" t="str">
        <f t="shared" si="101"/>
        <v/>
      </c>
      <c r="AW119" s="32" t="str">
        <f t="shared" si="102"/>
        <v/>
      </c>
      <c r="AX119" s="32" t="str">
        <f t="shared" si="103"/>
        <v/>
      </c>
      <c r="AY119" s="32" t="str">
        <f t="shared" si="104"/>
        <v/>
      </c>
    </row>
    <row r="120" spans="1:51" x14ac:dyDescent="0.25">
      <c r="A120" s="24" t="str">
        <f t="shared" si="62"/>
        <v/>
      </c>
      <c r="B120" s="24" t="str">
        <f t="shared" si="72"/>
        <v/>
      </c>
      <c r="C120" s="32" t="str">
        <f t="shared" si="63"/>
        <v/>
      </c>
      <c r="D120" s="24" t="str">
        <f t="shared" si="64"/>
        <v/>
      </c>
      <c r="E120" s="24" t="str">
        <f t="shared" si="65"/>
        <v/>
      </c>
      <c r="F120" s="32" t="str">
        <f t="shared" si="66"/>
        <v/>
      </c>
      <c r="G120" s="32" t="str">
        <f t="shared" si="67"/>
        <v/>
      </c>
      <c r="H120" s="32" t="str">
        <f t="shared" ca="1" si="68"/>
        <v/>
      </c>
      <c r="I120" s="32" t="str">
        <f t="shared" ca="1" si="73"/>
        <v/>
      </c>
      <c r="J120" s="32" t="str">
        <f t="shared" si="69"/>
        <v/>
      </c>
      <c r="K120" s="32" t="str">
        <f>IF(ISNUMBER(A120),Profile!$V$25+Profile!$V$24*'Ri-Po'!C120,"")</f>
        <v/>
      </c>
      <c r="L120" s="32" t="str">
        <f t="shared" si="74"/>
        <v/>
      </c>
      <c r="M120" s="32" t="str">
        <f t="shared" si="70"/>
        <v/>
      </c>
      <c r="N120" s="32" t="str">
        <f t="shared" si="71"/>
        <v/>
      </c>
      <c r="O120" s="32" t="str">
        <f t="shared" si="87"/>
        <v/>
      </c>
      <c r="P120" s="32" t="str">
        <f t="shared" si="75"/>
        <v/>
      </c>
      <c r="Q120" s="32" t="str">
        <f t="shared" si="76"/>
        <v/>
      </c>
      <c r="R120" s="32" t="str">
        <f t="shared" si="88"/>
        <v/>
      </c>
      <c r="S120" s="24" t="str">
        <f t="shared" si="89"/>
        <v/>
      </c>
      <c r="T120" s="24" t="str">
        <f t="shared" si="90"/>
        <v/>
      </c>
      <c r="U120" s="24" t="str">
        <f t="shared" si="91"/>
        <v/>
      </c>
      <c r="V120" s="24" t="str">
        <f t="shared" si="92"/>
        <v/>
      </c>
      <c r="W120" s="23" t="str">
        <f t="array" ref="W120">IFERROR(SMALL(IF(S$1:S$1000="BEGIN",ROW(S$1:S$1000)),ROW()-3),"")</f>
        <v/>
      </c>
      <c r="X120" s="23" t="str">
        <f t="array" ref="X120">IFERROR(SMALL(IF(T$1:T$1000="END",ROW(T$1:T$1000)),ROW()-3),"")</f>
        <v/>
      </c>
      <c r="Y120" s="33" t="str">
        <f t="array" ref="Y120">IF(ISNUMBER(W120),MAX(IF((B$4:B$1000&lt;=X120)*(B$4:B$1000&gt;=W120),I$4:I$1000, "")),"")</f>
        <v/>
      </c>
      <c r="Z120" s="33" t="str">
        <f t="shared" si="77"/>
        <v/>
      </c>
      <c r="AA120" s="32" t="str">
        <f t="shared" si="78"/>
        <v/>
      </c>
      <c r="AB120" s="32" t="str">
        <f t="shared" si="79"/>
        <v/>
      </c>
      <c r="AC120" s="32" t="str">
        <f t="shared" si="80"/>
        <v/>
      </c>
      <c r="AD120" s="32" t="str">
        <f t="shared" si="81"/>
        <v/>
      </c>
      <c r="AE120" s="34" t="str">
        <f t="shared" si="82"/>
        <v/>
      </c>
      <c r="AF120" s="32" t="str">
        <f t="shared" si="83"/>
        <v/>
      </c>
      <c r="AG120" s="32" t="str">
        <f t="shared" si="84"/>
        <v/>
      </c>
      <c r="AH120" s="32" t="str">
        <f t="shared" si="85"/>
        <v/>
      </c>
      <c r="AI120" s="35" t="str">
        <f t="shared" si="86"/>
        <v/>
      </c>
      <c r="AJ120" s="23" t="str">
        <f t="array" ref="AJ120">IFERROR(SMALL(IF(U$1:U$1000="BEGIN",ROW(U$1:U$1000)),ROW()-3),"")</f>
        <v/>
      </c>
      <c r="AK120" s="23" t="str">
        <f t="array" ref="AK120">IFERROR(SMALL(IF(V$1:V$1000="END",ROW(V$1:V$1000)),ROW()-3),"")</f>
        <v/>
      </c>
      <c r="AL120" s="24" t="str">
        <f t="array" ref="AL120">IF(AK120="","",MATCH(AM120,L:L,0))</f>
        <v/>
      </c>
      <c r="AM120" s="35">
        <f t="array" ref="AM120">MAX(IF((B$4:B$1000&lt;=AK120)*(B$4:B$1000&gt;=AJ120),L$4:L$1000, ""))</f>
        <v>0</v>
      </c>
      <c r="AN120" s="32" t="str">
        <f t="shared" si="93"/>
        <v/>
      </c>
      <c r="AO120" s="32" t="str">
        <f t="shared" si="94"/>
        <v/>
      </c>
      <c r="AP120" s="32" t="str">
        <f t="shared" si="95"/>
        <v/>
      </c>
      <c r="AQ120" s="32" t="str">
        <f t="shared" si="96"/>
        <v/>
      </c>
      <c r="AR120" s="32" t="str">
        <f t="shared" si="97"/>
        <v/>
      </c>
      <c r="AS120" s="32" t="str">
        <f t="shared" si="98"/>
        <v/>
      </c>
      <c r="AT120" s="32" t="str">
        <f t="shared" si="99"/>
        <v/>
      </c>
      <c r="AU120" s="34" t="str">
        <f t="shared" si="100"/>
        <v/>
      </c>
      <c r="AV120" s="32" t="str">
        <f t="shared" si="101"/>
        <v/>
      </c>
      <c r="AW120" s="32" t="str">
        <f t="shared" si="102"/>
        <v/>
      </c>
      <c r="AX120" s="32" t="str">
        <f t="shared" si="103"/>
        <v/>
      </c>
      <c r="AY120" s="32" t="str">
        <f t="shared" si="104"/>
        <v/>
      </c>
    </row>
    <row r="121" spans="1:51" x14ac:dyDescent="0.25">
      <c r="A121" s="24" t="str">
        <f t="shared" si="62"/>
        <v/>
      </c>
      <c r="B121" s="24" t="str">
        <f t="shared" si="72"/>
        <v/>
      </c>
      <c r="C121" s="32" t="str">
        <f t="shared" si="63"/>
        <v/>
      </c>
      <c r="D121" s="24" t="str">
        <f t="shared" si="64"/>
        <v/>
      </c>
      <c r="E121" s="24" t="str">
        <f t="shared" si="65"/>
        <v/>
      </c>
      <c r="F121" s="32" t="str">
        <f t="shared" si="66"/>
        <v/>
      </c>
      <c r="G121" s="32" t="str">
        <f t="shared" si="67"/>
        <v/>
      </c>
      <c r="H121" s="32" t="str">
        <f t="shared" ca="1" si="68"/>
        <v/>
      </c>
      <c r="I121" s="32" t="str">
        <f t="shared" ca="1" si="73"/>
        <v/>
      </c>
      <c r="J121" s="32" t="str">
        <f t="shared" si="69"/>
        <v/>
      </c>
      <c r="K121" s="32" t="str">
        <f>IF(ISNUMBER(A121),Profile!$V$25+Profile!$V$24*'Ri-Po'!C121,"")</f>
        <v/>
      </c>
      <c r="L121" s="32" t="str">
        <f t="shared" si="74"/>
        <v/>
      </c>
      <c r="M121" s="32" t="str">
        <f t="shared" si="70"/>
        <v/>
      </c>
      <c r="N121" s="32" t="str">
        <f t="shared" si="71"/>
        <v/>
      </c>
      <c r="O121" s="32" t="str">
        <f t="shared" si="87"/>
        <v/>
      </c>
      <c r="P121" s="32" t="str">
        <f t="shared" si="75"/>
        <v/>
      </c>
      <c r="Q121" s="32" t="str">
        <f t="shared" si="76"/>
        <v/>
      </c>
      <c r="R121" s="32" t="str">
        <f t="shared" si="88"/>
        <v/>
      </c>
      <c r="S121" s="24" t="str">
        <f t="shared" si="89"/>
        <v/>
      </c>
      <c r="T121" s="24" t="str">
        <f t="shared" si="90"/>
        <v/>
      </c>
      <c r="U121" s="24" t="str">
        <f t="shared" si="91"/>
        <v/>
      </c>
      <c r="V121" s="24" t="str">
        <f t="shared" si="92"/>
        <v/>
      </c>
      <c r="W121" s="23" t="str">
        <f t="array" ref="W121">IFERROR(SMALL(IF(S$1:S$1000="BEGIN",ROW(S$1:S$1000)),ROW()-3),"")</f>
        <v/>
      </c>
      <c r="X121" s="23" t="str">
        <f t="array" ref="X121">IFERROR(SMALL(IF(T$1:T$1000="END",ROW(T$1:T$1000)),ROW()-3),"")</f>
        <v/>
      </c>
      <c r="Y121" s="33" t="str">
        <f t="array" ref="Y121">IF(ISNUMBER(W121),MAX(IF((B$4:B$1000&lt;=X121)*(B$4:B$1000&gt;=W121),I$4:I$1000, "")),"")</f>
        <v/>
      </c>
      <c r="Z121" s="33" t="str">
        <f t="shared" si="77"/>
        <v/>
      </c>
      <c r="AA121" s="32" t="str">
        <f t="shared" si="78"/>
        <v/>
      </c>
      <c r="AB121" s="32" t="str">
        <f t="shared" si="79"/>
        <v/>
      </c>
      <c r="AC121" s="32" t="str">
        <f t="shared" si="80"/>
        <v/>
      </c>
      <c r="AD121" s="32" t="str">
        <f t="shared" si="81"/>
        <v/>
      </c>
      <c r="AE121" s="34" t="str">
        <f t="shared" si="82"/>
        <v/>
      </c>
      <c r="AF121" s="32" t="str">
        <f t="shared" si="83"/>
        <v/>
      </c>
      <c r="AG121" s="32" t="str">
        <f t="shared" si="84"/>
        <v/>
      </c>
      <c r="AH121" s="32" t="str">
        <f t="shared" si="85"/>
        <v/>
      </c>
      <c r="AI121" s="35" t="str">
        <f t="shared" si="86"/>
        <v/>
      </c>
      <c r="AJ121" s="23" t="str">
        <f t="array" ref="AJ121">IFERROR(SMALL(IF(U$1:U$1000="BEGIN",ROW(U$1:U$1000)),ROW()-3),"")</f>
        <v/>
      </c>
      <c r="AK121" s="23" t="str">
        <f t="array" ref="AK121">IFERROR(SMALL(IF(V$1:V$1000="END",ROW(V$1:V$1000)),ROW()-3),"")</f>
        <v/>
      </c>
      <c r="AL121" s="24" t="str">
        <f t="array" ref="AL121">IF(AK121="","",MATCH(AM121,L:L,0))</f>
        <v/>
      </c>
      <c r="AM121" s="35">
        <f t="array" ref="AM121">MAX(IF((B$4:B$1000&lt;=AK121)*(B$4:B$1000&gt;=AJ121),L$4:L$1000, ""))</f>
        <v>0</v>
      </c>
      <c r="AN121" s="32" t="str">
        <f t="shared" si="93"/>
        <v/>
      </c>
      <c r="AO121" s="32" t="str">
        <f t="shared" si="94"/>
        <v/>
      </c>
      <c r="AP121" s="32" t="str">
        <f t="shared" si="95"/>
        <v/>
      </c>
      <c r="AQ121" s="32" t="str">
        <f t="shared" si="96"/>
        <v/>
      </c>
      <c r="AR121" s="32" t="str">
        <f t="shared" si="97"/>
        <v/>
      </c>
      <c r="AS121" s="32" t="str">
        <f t="shared" si="98"/>
        <v/>
      </c>
      <c r="AT121" s="32" t="str">
        <f t="shared" si="99"/>
        <v/>
      </c>
      <c r="AU121" s="34" t="str">
        <f t="shared" si="100"/>
        <v/>
      </c>
      <c r="AV121" s="32" t="str">
        <f t="shared" si="101"/>
        <v/>
      </c>
      <c r="AW121" s="32" t="str">
        <f t="shared" si="102"/>
        <v/>
      </c>
      <c r="AX121" s="32" t="str">
        <f t="shared" si="103"/>
        <v/>
      </c>
      <c r="AY121" s="32" t="str">
        <f t="shared" si="104"/>
        <v/>
      </c>
    </row>
    <row r="122" spans="1:51" x14ac:dyDescent="0.25">
      <c r="A122" s="24" t="str">
        <f t="shared" si="62"/>
        <v/>
      </c>
      <c r="B122" s="24" t="str">
        <f t="shared" si="72"/>
        <v/>
      </c>
      <c r="C122" s="32" t="str">
        <f t="shared" si="63"/>
        <v/>
      </c>
      <c r="D122" s="24" t="str">
        <f t="shared" si="64"/>
        <v/>
      </c>
      <c r="E122" s="24" t="str">
        <f t="shared" si="65"/>
        <v/>
      </c>
      <c r="F122" s="32" t="str">
        <f t="shared" si="66"/>
        <v/>
      </c>
      <c r="G122" s="32" t="str">
        <f t="shared" si="67"/>
        <v/>
      </c>
      <c r="H122" s="32" t="str">
        <f t="shared" ca="1" si="68"/>
        <v/>
      </c>
      <c r="I122" s="32" t="str">
        <f t="shared" ca="1" si="73"/>
        <v/>
      </c>
      <c r="J122" s="32" t="str">
        <f t="shared" si="69"/>
        <v/>
      </c>
      <c r="K122" s="32" t="str">
        <f>IF(ISNUMBER(A122),Profile!$V$25+Profile!$V$24*'Ri-Po'!C122,"")</f>
        <v/>
      </c>
      <c r="L122" s="32" t="str">
        <f t="shared" si="74"/>
        <v/>
      </c>
      <c r="M122" s="32" t="str">
        <f t="shared" si="70"/>
        <v/>
      </c>
      <c r="N122" s="32" t="str">
        <f t="shared" si="71"/>
        <v/>
      </c>
      <c r="O122" s="32" t="str">
        <f t="shared" si="87"/>
        <v/>
      </c>
      <c r="P122" s="32" t="str">
        <f t="shared" si="75"/>
        <v/>
      </c>
      <c r="Q122" s="32" t="str">
        <f t="shared" si="76"/>
        <v/>
      </c>
      <c r="R122" s="32" t="str">
        <f t="shared" si="88"/>
        <v/>
      </c>
      <c r="S122" s="24" t="str">
        <f t="shared" si="89"/>
        <v/>
      </c>
      <c r="T122" s="24" t="str">
        <f t="shared" si="90"/>
        <v/>
      </c>
      <c r="U122" s="24" t="str">
        <f t="shared" si="91"/>
        <v/>
      </c>
      <c r="V122" s="24" t="str">
        <f t="shared" si="92"/>
        <v/>
      </c>
      <c r="W122" s="23" t="str">
        <f t="array" ref="W122">IFERROR(SMALL(IF(S$1:S$1000="BEGIN",ROW(S$1:S$1000)),ROW()-3),"")</f>
        <v/>
      </c>
      <c r="X122" s="23" t="str">
        <f t="array" ref="X122">IFERROR(SMALL(IF(T$1:T$1000="END",ROW(T$1:T$1000)),ROW()-3),"")</f>
        <v/>
      </c>
      <c r="Y122" s="33" t="str">
        <f t="array" ref="Y122">IF(ISNUMBER(W122),MAX(IF((B$4:B$1000&lt;=X122)*(B$4:B$1000&gt;=W122),I$4:I$1000, "")),"")</f>
        <v/>
      </c>
      <c r="Z122" s="33" t="str">
        <f t="shared" si="77"/>
        <v/>
      </c>
      <c r="AA122" s="32" t="str">
        <f t="shared" si="78"/>
        <v/>
      </c>
      <c r="AB122" s="32" t="str">
        <f t="shared" si="79"/>
        <v/>
      </c>
      <c r="AC122" s="32" t="str">
        <f t="shared" si="80"/>
        <v/>
      </c>
      <c r="AD122" s="32" t="str">
        <f t="shared" si="81"/>
        <v/>
      </c>
      <c r="AE122" s="34" t="str">
        <f t="shared" si="82"/>
        <v/>
      </c>
      <c r="AF122" s="32" t="str">
        <f t="shared" si="83"/>
        <v/>
      </c>
      <c r="AG122" s="32" t="str">
        <f t="shared" si="84"/>
        <v/>
      </c>
      <c r="AH122" s="32" t="str">
        <f t="shared" si="85"/>
        <v/>
      </c>
      <c r="AI122" s="35" t="str">
        <f t="shared" si="86"/>
        <v/>
      </c>
      <c r="AJ122" s="23" t="str">
        <f t="array" ref="AJ122">IFERROR(SMALL(IF(U$1:U$1000="BEGIN",ROW(U$1:U$1000)),ROW()-3),"")</f>
        <v/>
      </c>
      <c r="AK122" s="23" t="str">
        <f t="array" ref="AK122">IFERROR(SMALL(IF(V$1:V$1000="END",ROW(V$1:V$1000)),ROW()-3),"")</f>
        <v/>
      </c>
      <c r="AL122" s="24" t="str">
        <f t="array" ref="AL122">IF(AK122="","",MATCH(AM122,L:L,0))</f>
        <v/>
      </c>
      <c r="AM122" s="35">
        <f t="array" ref="AM122">MAX(IF((B$4:B$1000&lt;=AK122)*(B$4:B$1000&gt;=AJ122),L$4:L$1000, ""))</f>
        <v>0</v>
      </c>
      <c r="AN122" s="32" t="str">
        <f t="shared" si="93"/>
        <v/>
      </c>
      <c r="AO122" s="32" t="str">
        <f t="shared" si="94"/>
        <v/>
      </c>
      <c r="AP122" s="32" t="str">
        <f t="shared" si="95"/>
        <v/>
      </c>
      <c r="AQ122" s="32" t="str">
        <f t="shared" si="96"/>
        <v/>
      </c>
      <c r="AR122" s="32" t="str">
        <f t="shared" si="97"/>
        <v/>
      </c>
      <c r="AS122" s="32" t="str">
        <f t="shared" si="98"/>
        <v/>
      </c>
      <c r="AT122" s="32" t="str">
        <f t="shared" si="99"/>
        <v/>
      </c>
      <c r="AU122" s="34" t="str">
        <f t="shared" si="100"/>
        <v/>
      </c>
      <c r="AV122" s="32" t="str">
        <f t="shared" si="101"/>
        <v/>
      </c>
      <c r="AW122" s="32" t="str">
        <f t="shared" si="102"/>
        <v/>
      </c>
      <c r="AX122" s="32" t="str">
        <f t="shared" si="103"/>
        <v/>
      </c>
      <c r="AY122" s="32" t="str">
        <f t="shared" si="104"/>
        <v/>
      </c>
    </row>
    <row r="123" spans="1:51" x14ac:dyDescent="0.25">
      <c r="A123" s="24" t="str">
        <f t="shared" si="62"/>
        <v/>
      </c>
      <c r="B123" s="24" t="str">
        <f t="shared" si="72"/>
        <v/>
      </c>
      <c r="C123" s="32" t="str">
        <f t="shared" si="63"/>
        <v/>
      </c>
      <c r="D123" s="24" t="str">
        <f t="shared" si="64"/>
        <v/>
      </c>
      <c r="E123" s="24" t="str">
        <f t="shared" si="65"/>
        <v/>
      </c>
      <c r="F123" s="32" t="str">
        <f t="shared" si="66"/>
        <v/>
      </c>
      <c r="G123" s="32" t="str">
        <f t="shared" si="67"/>
        <v/>
      </c>
      <c r="H123" s="32" t="str">
        <f t="shared" ca="1" si="68"/>
        <v/>
      </c>
      <c r="I123" s="32" t="str">
        <f t="shared" ca="1" si="73"/>
        <v/>
      </c>
      <c r="J123" s="32" t="str">
        <f t="shared" si="69"/>
        <v/>
      </c>
      <c r="K123" s="32" t="str">
        <f>IF(ISNUMBER(A123),Profile!$V$25+Profile!$V$24*'Ri-Po'!C123,"")</f>
        <v/>
      </c>
      <c r="L123" s="32" t="str">
        <f t="shared" si="74"/>
        <v/>
      </c>
      <c r="M123" s="32" t="str">
        <f t="shared" si="70"/>
        <v/>
      </c>
      <c r="N123" s="32" t="str">
        <f t="shared" si="71"/>
        <v/>
      </c>
      <c r="O123" s="32" t="str">
        <f t="shared" si="87"/>
        <v/>
      </c>
      <c r="P123" s="32" t="str">
        <f t="shared" si="75"/>
        <v/>
      </c>
      <c r="Q123" s="32" t="str">
        <f t="shared" si="76"/>
        <v/>
      </c>
      <c r="R123" s="32" t="str">
        <f t="shared" si="88"/>
        <v/>
      </c>
      <c r="S123" s="24" t="str">
        <f t="shared" si="89"/>
        <v/>
      </c>
      <c r="T123" s="24" t="str">
        <f t="shared" si="90"/>
        <v/>
      </c>
      <c r="U123" s="24" t="str">
        <f t="shared" si="91"/>
        <v/>
      </c>
      <c r="V123" s="24" t="str">
        <f t="shared" si="92"/>
        <v/>
      </c>
      <c r="W123" s="23" t="str">
        <f t="array" ref="W123">IFERROR(SMALL(IF(S$1:S$1000="BEGIN",ROW(S$1:S$1000)),ROW()-3),"")</f>
        <v/>
      </c>
      <c r="X123" s="23" t="str">
        <f t="array" ref="X123">IFERROR(SMALL(IF(T$1:T$1000="END",ROW(T$1:T$1000)),ROW()-3),"")</f>
        <v/>
      </c>
      <c r="Y123" s="33" t="str">
        <f t="array" ref="Y123">IF(ISNUMBER(W123),MAX(IF((B$4:B$1000&lt;=X123)*(B$4:B$1000&gt;=W123),I$4:I$1000, "")),"")</f>
        <v/>
      </c>
      <c r="Z123" s="33" t="str">
        <f t="shared" si="77"/>
        <v/>
      </c>
      <c r="AA123" s="32" t="str">
        <f t="shared" si="78"/>
        <v/>
      </c>
      <c r="AB123" s="32" t="str">
        <f t="shared" si="79"/>
        <v/>
      </c>
      <c r="AC123" s="32" t="str">
        <f t="shared" si="80"/>
        <v/>
      </c>
      <c r="AD123" s="32" t="str">
        <f t="shared" si="81"/>
        <v/>
      </c>
      <c r="AE123" s="34" t="str">
        <f t="shared" si="82"/>
        <v/>
      </c>
      <c r="AF123" s="32" t="str">
        <f t="shared" si="83"/>
        <v/>
      </c>
      <c r="AG123" s="32" t="str">
        <f t="shared" si="84"/>
        <v/>
      </c>
      <c r="AH123" s="32" t="str">
        <f t="shared" si="85"/>
        <v/>
      </c>
      <c r="AI123" s="35" t="str">
        <f t="shared" si="86"/>
        <v/>
      </c>
      <c r="AJ123" s="23" t="str">
        <f t="array" ref="AJ123">IFERROR(SMALL(IF(U$1:U$1000="BEGIN",ROW(U$1:U$1000)),ROW()-3),"")</f>
        <v/>
      </c>
      <c r="AK123" s="23" t="str">
        <f t="array" ref="AK123">IFERROR(SMALL(IF(V$1:V$1000="END",ROW(V$1:V$1000)),ROW()-3),"")</f>
        <v/>
      </c>
      <c r="AL123" s="24" t="str">
        <f t="array" ref="AL123">IF(AK123="","",MATCH(AM123,L:L,0))</f>
        <v/>
      </c>
      <c r="AM123" s="35">
        <f t="array" ref="AM123">MAX(IF((B$4:B$1000&lt;=AK123)*(B$4:B$1000&gt;=AJ123),L$4:L$1000, ""))</f>
        <v>0</v>
      </c>
      <c r="AN123" s="32" t="str">
        <f t="shared" si="93"/>
        <v/>
      </c>
      <c r="AO123" s="32" t="str">
        <f t="shared" si="94"/>
        <v/>
      </c>
      <c r="AP123" s="32" t="str">
        <f t="shared" si="95"/>
        <v/>
      </c>
      <c r="AQ123" s="32" t="str">
        <f t="shared" si="96"/>
        <v/>
      </c>
      <c r="AR123" s="32" t="str">
        <f t="shared" si="97"/>
        <v/>
      </c>
      <c r="AS123" s="32" t="str">
        <f t="shared" si="98"/>
        <v/>
      </c>
      <c r="AT123" s="32" t="str">
        <f t="shared" si="99"/>
        <v/>
      </c>
      <c r="AU123" s="34" t="str">
        <f t="shared" si="100"/>
        <v/>
      </c>
      <c r="AV123" s="32" t="str">
        <f t="shared" si="101"/>
        <v/>
      </c>
      <c r="AW123" s="32" t="str">
        <f t="shared" si="102"/>
        <v/>
      </c>
      <c r="AX123" s="32" t="str">
        <f t="shared" si="103"/>
        <v/>
      </c>
      <c r="AY123" s="32" t="str">
        <f t="shared" si="104"/>
        <v/>
      </c>
    </row>
    <row r="124" spans="1:51" x14ac:dyDescent="0.25">
      <c r="A124" s="24" t="str">
        <f t="shared" si="62"/>
        <v/>
      </c>
      <c r="B124" s="24" t="str">
        <f t="shared" si="72"/>
        <v/>
      </c>
      <c r="C124" s="32" t="str">
        <f t="shared" si="63"/>
        <v/>
      </c>
      <c r="D124" s="24" t="str">
        <f t="shared" si="64"/>
        <v/>
      </c>
      <c r="E124" s="24" t="str">
        <f t="shared" si="65"/>
        <v/>
      </c>
      <c r="F124" s="32" t="str">
        <f t="shared" si="66"/>
        <v/>
      </c>
      <c r="G124" s="32" t="str">
        <f t="shared" si="67"/>
        <v/>
      </c>
      <c r="H124" s="32" t="str">
        <f t="shared" ca="1" si="68"/>
        <v/>
      </c>
      <c r="I124" s="32" t="str">
        <f t="shared" ca="1" si="73"/>
        <v/>
      </c>
      <c r="J124" s="32" t="str">
        <f t="shared" si="69"/>
        <v/>
      </c>
      <c r="K124" s="32" t="str">
        <f>IF(ISNUMBER(A124),Profile!$V$25+Profile!$V$24*'Ri-Po'!C124,"")</f>
        <v/>
      </c>
      <c r="L124" s="32" t="str">
        <f t="shared" si="74"/>
        <v/>
      </c>
      <c r="M124" s="32" t="str">
        <f t="shared" si="70"/>
        <v/>
      </c>
      <c r="N124" s="32" t="str">
        <f t="shared" si="71"/>
        <v/>
      </c>
      <c r="O124" s="32" t="str">
        <f t="shared" si="87"/>
        <v/>
      </c>
      <c r="P124" s="32" t="str">
        <f t="shared" si="75"/>
        <v/>
      </c>
      <c r="Q124" s="32" t="str">
        <f t="shared" si="76"/>
        <v/>
      </c>
      <c r="R124" s="32" t="str">
        <f t="shared" si="88"/>
        <v/>
      </c>
      <c r="S124" s="24" t="str">
        <f t="shared" si="89"/>
        <v/>
      </c>
      <c r="T124" s="24" t="str">
        <f t="shared" si="90"/>
        <v/>
      </c>
      <c r="U124" s="24" t="str">
        <f t="shared" si="91"/>
        <v/>
      </c>
      <c r="V124" s="24" t="str">
        <f t="shared" si="92"/>
        <v/>
      </c>
      <c r="W124" s="23" t="str">
        <f t="array" ref="W124">IFERROR(SMALL(IF(S$1:S$1000="BEGIN",ROW(S$1:S$1000)),ROW()-3),"")</f>
        <v/>
      </c>
      <c r="X124" s="23" t="str">
        <f t="array" ref="X124">IFERROR(SMALL(IF(T$1:T$1000="END",ROW(T$1:T$1000)),ROW()-3),"")</f>
        <v/>
      </c>
      <c r="Y124" s="33" t="str">
        <f t="array" ref="Y124">IF(ISNUMBER(W124),MAX(IF((B$4:B$1000&lt;=X124)*(B$4:B$1000&gt;=W124),I$4:I$1000, "")),"")</f>
        <v/>
      </c>
      <c r="Z124" s="33" t="str">
        <f t="shared" si="77"/>
        <v/>
      </c>
      <c r="AA124" s="32" t="str">
        <f t="shared" si="78"/>
        <v/>
      </c>
      <c r="AB124" s="32" t="str">
        <f t="shared" si="79"/>
        <v/>
      </c>
      <c r="AC124" s="32" t="str">
        <f t="shared" si="80"/>
        <v/>
      </c>
      <c r="AD124" s="32" t="str">
        <f t="shared" si="81"/>
        <v/>
      </c>
      <c r="AE124" s="34" t="str">
        <f t="shared" si="82"/>
        <v/>
      </c>
      <c r="AF124" s="32" t="str">
        <f t="shared" si="83"/>
        <v/>
      </c>
      <c r="AG124" s="32" t="str">
        <f t="shared" si="84"/>
        <v/>
      </c>
      <c r="AH124" s="32" t="str">
        <f t="shared" si="85"/>
        <v/>
      </c>
      <c r="AI124" s="35" t="str">
        <f t="shared" si="86"/>
        <v/>
      </c>
      <c r="AJ124" s="23" t="str">
        <f t="array" ref="AJ124">IFERROR(SMALL(IF(U$1:U$1000="BEGIN",ROW(U$1:U$1000)),ROW()-3),"")</f>
        <v/>
      </c>
      <c r="AK124" s="23" t="str">
        <f t="array" ref="AK124">IFERROR(SMALL(IF(V$1:V$1000="END",ROW(V$1:V$1000)),ROW()-3),"")</f>
        <v/>
      </c>
      <c r="AL124" s="24" t="str">
        <f t="array" ref="AL124">IF(AK124="","",MATCH(AM124,L:L,0))</f>
        <v/>
      </c>
      <c r="AM124" s="35">
        <f t="array" ref="AM124">MAX(IF((B$4:B$1000&lt;=AK124)*(B$4:B$1000&gt;=AJ124),L$4:L$1000, ""))</f>
        <v>0</v>
      </c>
      <c r="AN124" s="32" t="str">
        <f t="shared" si="93"/>
        <v/>
      </c>
      <c r="AO124" s="32" t="str">
        <f t="shared" si="94"/>
        <v/>
      </c>
      <c r="AP124" s="32" t="str">
        <f t="shared" si="95"/>
        <v/>
      </c>
      <c r="AQ124" s="32" t="str">
        <f t="shared" si="96"/>
        <v/>
      </c>
      <c r="AR124" s="32" t="str">
        <f t="shared" si="97"/>
        <v/>
      </c>
      <c r="AS124" s="32" t="str">
        <f t="shared" si="98"/>
        <v/>
      </c>
      <c r="AT124" s="32" t="str">
        <f t="shared" si="99"/>
        <v/>
      </c>
      <c r="AU124" s="34" t="str">
        <f t="shared" si="100"/>
        <v/>
      </c>
      <c r="AV124" s="32" t="str">
        <f t="shared" si="101"/>
        <v/>
      </c>
      <c r="AW124" s="32" t="str">
        <f t="shared" si="102"/>
        <v/>
      </c>
      <c r="AX124" s="32" t="str">
        <f t="shared" si="103"/>
        <v/>
      </c>
      <c r="AY124" s="32" t="str">
        <f t="shared" si="104"/>
        <v/>
      </c>
    </row>
    <row r="125" spans="1:51" x14ac:dyDescent="0.25">
      <c r="A125" s="24" t="str">
        <f t="shared" si="62"/>
        <v/>
      </c>
      <c r="B125" s="24" t="str">
        <f t="shared" si="72"/>
        <v/>
      </c>
      <c r="C125" s="32" t="str">
        <f t="shared" si="63"/>
        <v/>
      </c>
      <c r="D125" s="24" t="str">
        <f t="shared" si="64"/>
        <v/>
      </c>
      <c r="E125" s="24" t="str">
        <f t="shared" si="65"/>
        <v/>
      </c>
      <c r="F125" s="32" t="str">
        <f t="shared" si="66"/>
        <v/>
      </c>
      <c r="G125" s="32" t="str">
        <f t="shared" si="67"/>
        <v/>
      </c>
      <c r="H125" s="32" t="str">
        <f t="shared" ca="1" si="68"/>
        <v/>
      </c>
      <c r="I125" s="32" t="str">
        <f t="shared" ca="1" si="73"/>
        <v/>
      </c>
      <c r="J125" s="32" t="str">
        <f t="shared" si="69"/>
        <v/>
      </c>
      <c r="K125" s="32" t="str">
        <f>IF(ISNUMBER(A125),Profile!$V$25+Profile!$V$24*'Ri-Po'!C125,"")</f>
        <v/>
      </c>
      <c r="L125" s="32" t="str">
        <f t="shared" si="74"/>
        <v/>
      </c>
      <c r="M125" s="32" t="str">
        <f t="shared" si="70"/>
        <v/>
      </c>
      <c r="N125" s="32" t="str">
        <f t="shared" si="71"/>
        <v/>
      </c>
      <c r="O125" s="32" t="str">
        <f t="shared" si="87"/>
        <v/>
      </c>
      <c r="P125" s="32" t="str">
        <f t="shared" si="75"/>
        <v/>
      </c>
      <c r="Q125" s="32" t="str">
        <f t="shared" si="76"/>
        <v/>
      </c>
      <c r="R125" s="32" t="str">
        <f t="shared" si="88"/>
        <v/>
      </c>
      <c r="S125" s="24" t="str">
        <f t="shared" si="89"/>
        <v/>
      </c>
      <c r="T125" s="24" t="str">
        <f t="shared" si="90"/>
        <v/>
      </c>
      <c r="U125" s="24" t="str">
        <f t="shared" si="91"/>
        <v/>
      </c>
      <c r="V125" s="24" t="str">
        <f t="shared" si="92"/>
        <v/>
      </c>
      <c r="W125" s="23" t="str">
        <f t="array" ref="W125">IFERROR(SMALL(IF(S$1:S$1000="BEGIN",ROW(S$1:S$1000)),ROW()-3),"")</f>
        <v/>
      </c>
      <c r="X125" s="23" t="str">
        <f t="array" ref="X125">IFERROR(SMALL(IF(T$1:T$1000="END",ROW(T$1:T$1000)),ROW()-3),"")</f>
        <v/>
      </c>
      <c r="Y125" s="33" t="str">
        <f t="array" ref="Y125">IF(ISNUMBER(W125),MAX(IF((B$4:B$1000&lt;=X125)*(B$4:B$1000&gt;=W125),I$4:I$1000, "")),"")</f>
        <v/>
      </c>
      <c r="Z125" s="33" t="str">
        <f t="shared" si="77"/>
        <v/>
      </c>
      <c r="AA125" s="32" t="str">
        <f t="shared" si="78"/>
        <v/>
      </c>
      <c r="AB125" s="32" t="str">
        <f t="shared" si="79"/>
        <v/>
      </c>
      <c r="AC125" s="32" t="str">
        <f t="shared" si="80"/>
        <v/>
      </c>
      <c r="AD125" s="32" t="str">
        <f t="shared" si="81"/>
        <v/>
      </c>
      <c r="AE125" s="34" t="str">
        <f t="shared" si="82"/>
        <v/>
      </c>
      <c r="AF125" s="32" t="str">
        <f t="shared" si="83"/>
        <v/>
      </c>
      <c r="AG125" s="32" t="str">
        <f t="shared" si="84"/>
        <v/>
      </c>
      <c r="AH125" s="32" t="str">
        <f t="shared" si="85"/>
        <v/>
      </c>
      <c r="AI125" s="35" t="str">
        <f t="shared" si="86"/>
        <v/>
      </c>
      <c r="AJ125" s="23" t="str">
        <f t="array" ref="AJ125">IFERROR(SMALL(IF(U$1:U$1000="BEGIN",ROW(U$1:U$1000)),ROW()-3),"")</f>
        <v/>
      </c>
      <c r="AK125" s="23" t="str">
        <f t="array" ref="AK125">IFERROR(SMALL(IF(V$1:V$1000="END",ROW(V$1:V$1000)),ROW()-3),"")</f>
        <v/>
      </c>
      <c r="AL125" s="24" t="str">
        <f t="array" ref="AL125">IF(AK125="","",MATCH(AM125,L:L,0))</f>
        <v/>
      </c>
      <c r="AM125" s="35">
        <f t="array" ref="AM125">MAX(IF((B$4:B$1000&lt;=AK125)*(B$4:B$1000&gt;=AJ125),L$4:L$1000, ""))</f>
        <v>0</v>
      </c>
      <c r="AN125" s="32" t="str">
        <f t="shared" si="93"/>
        <v/>
      </c>
      <c r="AO125" s="32" t="str">
        <f t="shared" si="94"/>
        <v/>
      </c>
      <c r="AP125" s="32" t="str">
        <f t="shared" si="95"/>
        <v/>
      </c>
      <c r="AQ125" s="32" t="str">
        <f t="shared" si="96"/>
        <v/>
      </c>
      <c r="AR125" s="32" t="str">
        <f t="shared" si="97"/>
        <v/>
      </c>
      <c r="AS125" s="32" t="str">
        <f t="shared" si="98"/>
        <v/>
      </c>
      <c r="AT125" s="32" t="str">
        <f t="shared" si="99"/>
        <v/>
      </c>
      <c r="AU125" s="34" t="str">
        <f t="shared" si="100"/>
        <v/>
      </c>
      <c r="AV125" s="32" t="str">
        <f t="shared" si="101"/>
        <v/>
      </c>
      <c r="AW125" s="32" t="str">
        <f t="shared" si="102"/>
        <v/>
      </c>
      <c r="AX125" s="32" t="str">
        <f t="shared" si="103"/>
        <v/>
      </c>
      <c r="AY125" s="32" t="str">
        <f t="shared" si="104"/>
        <v/>
      </c>
    </row>
    <row r="126" spans="1:51" x14ac:dyDescent="0.25">
      <c r="A126" s="24" t="str">
        <f t="shared" si="62"/>
        <v/>
      </c>
      <c r="B126" s="24" t="str">
        <f t="shared" si="72"/>
        <v/>
      </c>
      <c r="C126" s="32" t="str">
        <f t="shared" si="63"/>
        <v/>
      </c>
      <c r="D126" s="24" t="str">
        <f t="shared" si="64"/>
        <v/>
      </c>
      <c r="E126" s="24" t="str">
        <f t="shared" si="65"/>
        <v/>
      </c>
      <c r="F126" s="32" t="str">
        <f t="shared" si="66"/>
        <v/>
      </c>
      <c r="G126" s="32" t="str">
        <f t="shared" si="67"/>
        <v/>
      </c>
      <c r="H126" s="32" t="str">
        <f t="shared" ca="1" si="68"/>
        <v/>
      </c>
      <c r="I126" s="32" t="str">
        <f t="shared" ca="1" si="73"/>
        <v/>
      </c>
      <c r="J126" s="32" t="str">
        <f t="shared" si="69"/>
        <v/>
      </c>
      <c r="K126" s="32" t="str">
        <f>IF(ISNUMBER(A126),Profile!$V$25+Profile!$V$24*'Ri-Po'!C126,"")</f>
        <v/>
      </c>
      <c r="L126" s="32" t="str">
        <f t="shared" si="74"/>
        <v/>
      </c>
      <c r="M126" s="32" t="str">
        <f t="shared" si="70"/>
        <v/>
      </c>
      <c r="N126" s="32" t="str">
        <f t="shared" si="71"/>
        <v/>
      </c>
      <c r="O126" s="32" t="str">
        <f t="shared" si="87"/>
        <v/>
      </c>
      <c r="P126" s="32" t="str">
        <f t="shared" si="75"/>
        <v/>
      </c>
      <c r="Q126" s="32" t="str">
        <f t="shared" si="76"/>
        <v/>
      </c>
      <c r="R126" s="32" t="str">
        <f t="shared" si="88"/>
        <v/>
      </c>
      <c r="S126" s="24" t="str">
        <f t="shared" si="89"/>
        <v/>
      </c>
      <c r="T126" s="24" t="str">
        <f t="shared" si="90"/>
        <v/>
      </c>
      <c r="U126" s="24" t="str">
        <f t="shared" si="91"/>
        <v/>
      </c>
      <c r="V126" s="24" t="str">
        <f t="shared" si="92"/>
        <v/>
      </c>
      <c r="W126" s="23" t="str">
        <f t="array" ref="W126">IFERROR(SMALL(IF(S$1:S$1000="BEGIN",ROW(S$1:S$1000)),ROW()-3),"")</f>
        <v/>
      </c>
      <c r="X126" s="23" t="str">
        <f t="array" ref="X126">IFERROR(SMALL(IF(T$1:T$1000="END",ROW(T$1:T$1000)),ROW()-3),"")</f>
        <v/>
      </c>
      <c r="Y126" s="33" t="str">
        <f t="array" ref="Y126">IF(ISNUMBER(W126),MAX(IF((B$4:B$1000&lt;=X126)*(B$4:B$1000&gt;=W126),I$4:I$1000, "")),"")</f>
        <v/>
      </c>
      <c r="Z126" s="33" t="str">
        <f t="shared" si="77"/>
        <v/>
      </c>
      <c r="AA126" s="32" t="str">
        <f t="shared" si="78"/>
        <v/>
      </c>
      <c r="AB126" s="32" t="str">
        <f t="shared" si="79"/>
        <v/>
      </c>
      <c r="AC126" s="32" t="str">
        <f t="shared" si="80"/>
        <v/>
      </c>
      <c r="AD126" s="32" t="str">
        <f t="shared" si="81"/>
        <v/>
      </c>
      <c r="AE126" s="34" t="str">
        <f t="shared" si="82"/>
        <v/>
      </c>
      <c r="AF126" s="32" t="str">
        <f t="shared" si="83"/>
        <v/>
      </c>
      <c r="AG126" s="32" t="str">
        <f t="shared" si="84"/>
        <v/>
      </c>
      <c r="AH126" s="32" t="str">
        <f t="shared" si="85"/>
        <v/>
      </c>
      <c r="AI126" s="35" t="str">
        <f t="shared" si="86"/>
        <v/>
      </c>
      <c r="AJ126" s="23" t="str">
        <f t="array" ref="AJ126">IFERROR(SMALL(IF(U$1:U$1000="BEGIN",ROW(U$1:U$1000)),ROW()-3),"")</f>
        <v/>
      </c>
      <c r="AK126" s="23" t="str">
        <f t="array" ref="AK126">IFERROR(SMALL(IF(V$1:V$1000="END",ROW(V$1:V$1000)),ROW()-3),"")</f>
        <v/>
      </c>
      <c r="AL126" s="24" t="str">
        <f t="array" ref="AL126">IF(AK126="","",MATCH(AM126,L:L,0))</f>
        <v/>
      </c>
      <c r="AM126" s="35">
        <f t="array" ref="AM126">MAX(IF((B$4:B$1000&lt;=AK126)*(B$4:B$1000&gt;=AJ126),L$4:L$1000, ""))</f>
        <v>0</v>
      </c>
      <c r="AN126" s="32" t="str">
        <f t="shared" si="93"/>
        <v/>
      </c>
      <c r="AO126" s="32" t="str">
        <f t="shared" si="94"/>
        <v/>
      </c>
      <c r="AP126" s="32" t="str">
        <f t="shared" si="95"/>
        <v/>
      </c>
      <c r="AQ126" s="32" t="str">
        <f t="shared" si="96"/>
        <v/>
      </c>
      <c r="AR126" s="32" t="str">
        <f t="shared" si="97"/>
        <v/>
      </c>
      <c r="AS126" s="32" t="str">
        <f t="shared" si="98"/>
        <v/>
      </c>
      <c r="AT126" s="32" t="str">
        <f t="shared" si="99"/>
        <v/>
      </c>
      <c r="AU126" s="34" t="str">
        <f t="shared" si="100"/>
        <v/>
      </c>
      <c r="AV126" s="32" t="str">
        <f t="shared" si="101"/>
        <v/>
      </c>
      <c r="AW126" s="32" t="str">
        <f t="shared" si="102"/>
        <v/>
      </c>
      <c r="AX126" s="32" t="str">
        <f t="shared" si="103"/>
        <v/>
      </c>
      <c r="AY126" s="32" t="str">
        <f t="shared" si="104"/>
        <v/>
      </c>
    </row>
    <row r="127" spans="1:51" x14ac:dyDescent="0.25">
      <c r="A127" s="24" t="str">
        <f t="shared" si="62"/>
        <v/>
      </c>
      <c r="B127" s="24" t="str">
        <f t="shared" si="72"/>
        <v/>
      </c>
      <c r="C127" s="32" t="str">
        <f t="shared" si="63"/>
        <v/>
      </c>
      <c r="D127" s="24" t="str">
        <f t="shared" si="64"/>
        <v/>
      </c>
      <c r="E127" s="24" t="str">
        <f t="shared" si="65"/>
        <v/>
      </c>
      <c r="F127" s="32" t="str">
        <f t="shared" si="66"/>
        <v/>
      </c>
      <c r="G127" s="32" t="str">
        <f t="shared" si="67"/>
        <v/>
      </c>
      <c r="H127" s="32" t="str">
        <f t="shared" ca="1" si="68"/>
        <v/>
      </c>
      <c r="I127" s="32" t="str">
        <f t="shared" ca="1" si="73"/>
        <v/>
      </c>
      <c r="J127" s="32" t="str">
        <f t="shared" si="69"/>
        <v/>
      </c>
      <c r="K127" s="32" t="str">
        <f>IF(ISNUMBER(A127),Profile!$V$25+Profile!$V$24*'Ri-Po'!C127,"")</f>
        <v/>
      </c>
      <c r="L127" s="32" t="str">
        <f t="shared" si="74"/>
        <v/>
      </c>
      <c r="M127" s="32" t="str">
        <f t="shared" si="70"/>
        <v/>
      </c>
      <c r="N127" s="32" t="str">
        <f t="shared" si="71"/>
        <v/>
      </c>
      <c r="O127" s="32" t="str">
        <f t="shared" si="87"/>
        <v/>
      </c>
      <c r="P127" s="32" t="str">
        <f t="shared" si="75"/>
        <v/>
      </c>
      <c r="Q127" s="32" t="str">
        <f t="shared" si="76"/>
        <v/>
      </c>
      <c r="R127" s="32" t="str">
        <f t="shared" si="88"/>
        <v/>
      </c>
      <c r="S127" s="24" t="str">
        <f t="shared" si="89"/>
        <v/>
      </c>
      <c r="T127" s="24" t="str">
        <f t="shared" si="90"/>
        <v/>
      </c>
      <c r="U127" s="24" t="str">
        <f t="shared" si="91"/>
        <v/>
      </c>
      <c r="V127" s="24" t="str">
        <f t="shared" si="92"/>
        <v/>
      </c>
      <c r="W127" s="23" t="str">
        <f t="array" ref="W127">IFERROR(SMALL(IF(S$1:S$1000="BEGIN",ROW(S$1:S$1000)),ROW()-3),"")</f>
        <v/>
      </c>
      <c r="X127" s="23" t="str">
        <f t="array" ref="X127">IFERROR(SMALL(IF(T$1:T$1000="END",ROW(T$1:T$1000)),ROW()-3),"")</f>
        <v/>
      </c>
      <c r="Y127" s="33" t="str">
        <f t="array" ref="Y127">IF(ISNUMBER(W127),MAX(IF((B$4:B$1000&lt;=X127)*(B$4:B$1000&gt;=W127),I$4:I$1000, "")),"")</f>
        <v/>
      </c>
      <c r="Z127" s="33" t="str">
        <f t="shared" si="77"/>
        <v/>
      </c>
      <c r="AA127" s="32" t="str">
        <f t="shared" si="78"/>
        <v/>
      </c>
      <c r="AB127" s="32" t="str">
        <f t="shared" si="79"/>
        <v/>
      </c>
      <c r="AC127" s="32" t="str">
        <f t="shared" si="80"/>
        <v/>
      </c>
      <c r="AD127" s="32" t="str">
        <f t="shared" si="81"/>
        <v/>
      </c>
      <c r="AE127" s="34" t="str">
        <f t="shared" si="82"/>
        <v/>
      </c>
      <c r="AF127" s="32" t="str">
        <f t="shared" si="83"/>
        <v/>
      </c>
      <c r="AG127" s="32" t="str">
        <f t="shared" si="84"/>
        <v/>
      </c>
      <c r="AH127" s="32" t="str">
        <f t="shared" si="85"/>
        <v/>
      </c>
      <c r="AI127" s="35" t="str">
        <f t="shared" si="86"/>
        <v/>
      </c>
      <c r="AJ127" s="23" t="str">
        <f t="array" ref="AJ127">IFERROR(SMALL(IF(U$1:U$1000="BEGIN",ROW(U$1:U$1000)),ROW()-3),"")</f>
        <v/>
      </c>
      <c r="AK127" s="23" t="str">
        <f t="array" ref="AK127">IFERROR(SMALL(IF(V$1:V$1000="END",ROW(V$1:V$1000)),ROW()-3),"")</f>
        <v/>
      </c>
      <c r="AL127" s="24" t="str">
        <f t="array" ref="AL127">IF(AK127="","",MATCH(AM127,L:L,0))</f>
        <v/>
      </c>
      <c r="AM127" s="35">
        <f t="array" ref="AM127">MAX(IF((B$4:B$1000&lt;=AK127)*(B$4:B$1000&gt;=AJ127),L$4:L$1000, ""))</f>
        <v>0</v>
      </c>
      <c r="AN127" s="32" t="str">
        <f t="shared" si="93"/>
        <v/>
      </c>
      <c r="AO127" s="32" t="str">
        <f t="shared" si="94"/>
        <v/>
      </c>
      <c r="AP127" s="32" t="str">
        <f t="shared" si="95"/>
        <v/>
      </c>
      <c r="AQ127" s="32" t="str">
        <f t="shared" si="96"/>
        <v/>
      </c>
      <c r="AR127" s="32" t="str">
        <f t="shared" si="97"/>
        <v/>
      </c>
      <c r="AS127" s="32" t="str">
        <f t="shared" si="98"/>
        <v/>
      </c>
      <c r="AT127" s="32" t="str">
        <f t="shared" si="99"/>
        <v/>
      </c>
      <c r="AU127" s="34" t="str">
        <f t="shared" si="100"/>
        <v/>
      </c>
      <c r="AV127" s="32" t="str">
        <f t="shared" si="101"/>
        <v/>
      </c>
      <c r="AW127" s="32" t="str">
        <f t="shared" si="102"/>
        <v/>
      </c>
      <c r="AX127" s="32" t="str">
        <f t="shared" si="103"/>
        <v/>
      </c>
      <c r="AY127" s="32" t="str">
        <f t="shared" si="104"/>
        <v/>
      </c>
    </row>
    <row r="128" spans="1:51" x14ac:dyDescent="0.25">
      <c r="A128" s="24" t="str">
        <f t="shared" si="62"/>
        <v/>
      </c>
      <c r="B128" s="24" t="str">
        <f t="shared" si="72"/>
        <v/>
      </c>
      <c r="C128" s="32" t="str">
        <f t="shared" si="63"/>
        <v/>
      </c>
      <c r="D128" s="24" t="str">
        <f t="shared" si="64"/>
        <v/>
      </c>
      <c r="E128" s="24" t="str">
        <f t="shared" si="65"/>
        <v/>
      </c>
      <c r="F128" s="32" t="str">
        <f t="shared" si="66"/>
        <v/>
      </c>
      <c r="G128" s="32" t="str">
        <f t="shared" si="67"/>
        <v/>
      </c>
      <c r="H128" s="32" t="str">
        <f t="shared" ca="1" si="68"/>
        <v/>
      </c>
      <c r="I128" s="32" t="str">
        <f t="shared" ca="1" si="73"/>
        <v/>
      </c>
      <c r="J128" s="32" t="str">
        <f t="shared" si="69"/>
        <v/>
      </c>
      <c r="K128" s="32" t="str">
        <f>IF(ISNUMBER(A128),Profile!$V$25+Profile!$V$24*'Ri-Po'!C128,"")</f>
        <v/>
      </c>
      <c r="L128" s="32" t="str">
        <f t="shared" si="74"/>
        <v/>
      </c>
      <c r="M128" s="32" t="str">
        <f t="shared" si="70"/>
        <v/>
      </c>
      <c r="N128" s="32" t="str">
        <f t="shared" si="71"/>
        <v/>
      </c>
      <c r="O128" s="32" t="str">
        <f t="shared" si="87"/>
        <v/>
      </c>
      <c r="P128" s="32" t="str">
        <f t="shared" si="75"/>
        <v/>
      </c>
      <c r="Q128" s="32" t="str">
        <f t="shared" si="76"/>
        <v/>
      </c>
      <c r="R128" s="32" t="str">
        <f t="shared" si="88"/>
        <v/>
      </c>
      <c r="S128" s="24" t="str">
        <f t="shared" si="89"/>
        <v/>
      </c>
      <c r="T128" s="24" t="str">
        <f t="shared" si="90"/>
        <v/>
      </c>
      <c r="U128" s="24" t="str">
        <f t="shared" si="91"/>
        <v/>
      </c>
      <c r="V128" s="24" t="str">
        <f t="shared" si="92"/>
        <v/>
      </c>
      <c r="W128" s="23" t="str">
        <f t="array" ref="W128">IFERROR(SMALL(IF(S$1:S$1000="BEGIN",ROW(S$1:S$1000)),ROW()-3),"")</f>
        <v/>
      </c>
      <c r="X128" s="23" t="str">
        <f t="array" ref="X128">IFERROR(SMALL(IF(T$1:T$1000="END",ROW(T$1:T$1000)),ROW()-3),"")</f>
        <v/>
      </c>
      <c r="Y128" s="33" t="str">
        <f t="array" ref="Y128">IF(ISNUMBER(W128),MAX(IF((B$4:B$1000&lt;=X128)*(B$4:B$1000&gt;=W128),I$4:I$1000, "")),"")</f>
        <v/>
      </c>
      <c r="Z128" s="33" t="str">
        <f t="shared" si="77"/>
        <v/>
      </c>
      <c r="AA128" s="32" t="str">
        <f t="shared" si="78"/>
        <v/>
      </c>
      <c r="AB128" s="32" t="str">
        <f t="shared" si="79"/>
        <v/>
      </c>
      <c r="AC128" s="32" t="str">
        <f t="shared" si="80"/>
        <v/>
      </c>
      <c r="AD128" s="32" t="str">
        <f t="shared" si="81"/>
        <v/>
      </c>
      <c r="AE128" s="34" t="str">
        <f t="shared" si="82"/>
        <v/>
      </c>
      <c r="AF128" s="32" t="str">
        <f t="shared" si="83"/>
        <v/>
      </c>
      <c r="AG128" s="32" t="str">
        <f t="shared" si="84"/>
        <v/>
      </c>
      <c r="AH128" s="32" t="str">
        <f t="shared" si="85"/>
        <v/>
      </c>
      <c r="AI128" s="35" t="str">
        <f t="shared" si="86"/>
        <v/>
      </c>
      <c r="AJ128" s="23" t="str">
        <f t="array" ref="AJ128">IFERROR(SMALL(IF(U$1:U$1000="BEGIN",ROW(U$1:U$1000)),ROW()-3),"")</f>
        <v/>
      </c>
      <c r="AK128" s="23" t="str">
        <f t="array" ref="AK128">IFERROR(SMALL(IF(V$1:V$1000="END",ROW(V$1:V$1000)),ROW()-3),"")</f>
        <v/>
      </c>
      <c r="AL128" s="24" t="str">
        <f t="array" ref="AL128">IF(AK128="","",MATCH(AM128,L:L,0))</f>
        <v/>
      </c>
      <c r="AM128" s="35">
        <f t="array" ref="AM128">MAX(IF((B$4:B$1000&lt;=AK128)*(B$4:B$1000&gt;=AJ128),L$4:L$1000, ""))</f>
        <v>0</v>
      </c>
      <c r="AN128" s="32" t="str">
        <f t="shared" si="93"/>
        <v/>
      </c>
      <c r="AO128" s="32" t="str">
        <f t="shared" si="94"/>
        <v/>
      </c>
      <c r="AP128" s="32" t="str">
        <f t="shared" si="95"/>
        <v/>
      </c>
      <c r="AQ128" s="32" t="str">
        <f t="shared" si="96"/>
        <v/>
      </c>
      <c r="AR128" s="32" t="str">
        <f t="shared" si="97"/>
        <v/>
      </c>
      <c r="AS128" s="32" t="str">
        <f t="shared" si="98"/>
        <v/>
      </c>
      <c r="AT128" s="32" t="str">
        <f t="shared" si="99"/>
        <v/>
      </c>
      <c r="AU128" s="34" t="str">
        <f t="shared" si="100"/>
        <v/>
      </c>
      <c r="AV128" s="32" t="str">
        <f t="shared" si="101"/>
        <v/>
      </c>
      <c r="AW128" s="32" t="str">
        <f t="shared" si="102"/>
        <v/>
      </c>
      <c r="AX128" s="32" t="str">
        <f t="shared" si="103"/>
        <v/>
      </c>
      <c r="AY128" s="32" t="str">
        <f t="shared" si="104"/>
        <v/>
      </c>
    </row>
    <row r="129" spans="1:51" x14ac:dyDescent="0.25">
      <c r="A129" s="24" t="str">
        <f t="shared" si="62"/>
        <v/>
      </c>
      <c r="B129" s="24" t="str">
        <f t="shared" si="72"/>
        <v/>
      </c>
      <c r="C129" s="32" t="str">
        <f t="shared" si="63"/>
        <v/>
      </c>
      <c r="D129" s="24" t="str">
        <f t="shared" si="64"/>
        <v/>
      </c>
      <c r="E129" s="24" t="str">
        <f t="shared" si="65"/>
        <v/>
      </c>
      <c r="F129" s="32" t="str">
        <f t="shared" si="66"/>
        <v/>
      </c>
      <c r="G129" s="32" t="str">
        <f t="shared" si="67"/>
        <v/>
      </c>
      <c r="H129" s="32" t="str">
        <f t="shared" ca="1" si="68"/>
        <v/>
      </c>
      <c r="I129" s="32" t="str">
        <f t="shared" ca="1" si="73"/>
        <v/>
      </c>
      <c r="J129" s="32" t="str">
        <f t="shared" si="69"/>
        <v/>
      </c>
      <c r="K129" s="32" t="str">
        <f>IF(ISNUMBER(A129),Profile!$V$25+Profile!$V$24*'Ri-Po'!C129,"")</f>
        <v/>
      </c>
      <c r="L129" s="32" t="str">
        <f t="shared" si="74"/>
        <v/>
      </c>
      <c r="M129" s="32" t="str">
        <f t="shared" si="70"/>
        <v/>
      </c>
      <c r="N129" s="32" t="str">
        <f t="shared" si="71"/>
        <v/>
      </c>
      <c r="O129" s="32" t="str">
        <f t="shared" si="87"/>
        <v/>
      </c>
      <c r="P129" s="32" t="str">
        <f t="shared" si="75"/>
        <v/>
      </c>
      <c r="Q129" s="32" t="str">
        <f t="shared" si="76"/>
        <v/>
      </c>
      <c r="R129" s="32" t="str">
        <f t="shared" si="88"/>
        <v/>
      </c>
      <c r="S129" s="24" t="str">
        <f t="shared" si="89"/>
        <v/>
      </c>
      <c r="T129" s="24" t="str">
        <f t="shared" si="90"/>
        <v/>
      </c>
      <c r="U129" s="24" t="str">
        <f t="shared" si="91"/>
        <v/>
      </c>
      <c r="V129" s="24" t="str">
        <f t="shared" si="92"/>
        <v/>
      </c>
      <c r="W129" s="23" t="str">
        <f t="array" ref="W129">IFERROR(SMALL(IF(S$1:S$1000="BEGIN",ROW(S$1:S$1000)),ROW()-3),"")</f>
        <v/>
      </c>
      <c r="X129" s="23" t="str">
        <f t="array" ref="X129">IFERROR(SMALL(IF(T$1:T$1000="END",ROW(T$1:T$1000)),ROW()-3),"")</f>
        <v/>
      </c>
      <c r="Y129" s="33" t="str">
        <f t="array" ref="Y129">IF(ISNUMBER(W129),MAX(IF((B$4:B$1000&lt;=X129)*(B$4:B$1000&gt;=W129),I$4:I$1000, "")),"")</f>
        <v/>
      </c>
      <c r="Z129" s="33" t="str">
        <f t="shared" si="77"/>
        <v/>
      </c>
      <c r="AA129" s="32" t="str">
        <f t="shared" si="78"/>
        <v/>
      </c>
      <c r="AB129" s="32" t="str">
        <f t="shared" si="79"/>
        <v/>
      </c>
      <c r="AC129" s="32" t="str">
        <f t="shared" si="80"/>
        <v/>
      </c>
      <c r="AD129" s="32" t="str">
        <f t="shared" si="81"/>
        <v/>
      </c>
      <c r="AE129" s="34" t="str">
        <f t="shared" si="82"/>
        <v/>
      </c>
      <c r="AF129" s="32" t="str">
        <f t="shared" si="83"/>
        <v/>
      </c>
      <c r="AG129" s="32" t="str">
        <f t="shared" si="84"/>
        <v/>
      </c>
      <c r="AH129" s="32" t="str">
        <f t="shared" si="85"/>
        <v/>
      </c>
      <c r="AI129" s="35" t="str">
        <f t="shared" si="86"/>
        <v/>
      </c>
      <c r="AJ129" s="23" t="str">
        <f t="array" ref="AJ129">IFERROR(SMALL(IF(U$1:U$1000="BEGIN",ROW(U$1:U$1000)),ROW()-3),"")</f>
        <v/>
      </c>
      <c r="AK129" s="23" t="str">
        <f t="array" ref="AK129">IFERROR(SMALL(IF(V$1:V$1000="END",ROW(V$1:V$1000)),ROW()-3),"")</f>
        <v/>
      </c>
      <c r="AL129" s="24" t="str">
        <f t="array" ref="AL129">IF(AK129="","",MATCH(AM129,L:L,0))</f>
        <v/>
      </c>
      <c r="AM129" s="35">
        <f t="array" ref="AM129">MAX(IF((B$4:B$1000&lt;=AK129)*(B$4:B$1000&gt;=AJ129),L$4:L$1000, ""))</f>
        <v>0</v>
      </c>
      <c r="AN129" s="32" t="str">
        <f t="shared" si="93"/>
        <v/>
      </c>
      <c r="AO129" s="32" t="str">
        <f t="shared" si="94"/>
        <v/>
      </c>
      <c r="AP129" s="32" t="str">
        <f t="shared" si="95"/>
        <v/>
      </c>
      <c r="AQ129" s="32" t="str">
        <f t="shared" si="96"/>
        <v/>
      </c>
      <c r="AR129" s="32" t="str">
        <f t="shared" si="97"/>
        <v/>
      </c>
      <c r="AS129" s="32" t="str">
        <f t="shared" si="98"/>
        <v/>
      </c>
      <c r="AT129" s="32" t="str">
        <f t="shared" si="99"/>
        <v/>
      </c>
      <c r="AU129" s="34" t="str">
        <f t="shared" si="100"/>
        <v/>
      </c>
      <c r="AV129" s="32" t="str">
        <f t="shared" si="101"/>
        <v/>
      </c>
      <c r="AW129" s="32" t="str">
        <f t="shared" si="102"/>
        <v/>
      </c>
      <c r="AX129" s="32" t="str">
        <f t="shared" si="103"/>
        <v/>
      </c>
      <c r="AY129" s="32" t="str">
        <f t="shared" si="104"/>
        <v/>
      </c>
    </row>
    <row r="130" spans="1:51" x14ac:dyDescent="0.25">
      <c r="A130" s="24" t="str">
        <f t="shared" si="62"/>
        <v/>
      </c>
      <c r="B130" s="24" t="str">
        <f t="shared" si="72"/>
        <v/>
      </c>
      <c r="C130" s="32" t="str">
        <f t="shared" si="63"/>
        <v/>
      </c>
      <c r="D130" s="24" t="str">
        <f t="shared" si="64"/>
        <v/>
      </c>
      <c r="E130" s="24" t="str">
        <f t="shared" si="65"/>
        <v/>
      </c>
      <c r="F130" s="32" t="str">
        <f t="shared" si="66"/>
        <v/>
      </c>
      <c r="G130" s="32" t="str">
        <f t="shared" si="67"/>
        <v/>
      </c>
      <c r="H130" s="32" t="str">
        <f t="shared" ca="1" si="68"/>
        <v/>
      </c>
      <c r="I130" s="32" t="str">
        <f t="shared" ca="1" si="73"/>
        <v/>
      </c>
      <c r="J130" s="32" t="str">
        <f t="shared" si="69"/>
        <v/>
      </c>
      <c r="K130" s="32" t="str">
        <f>IF(ISNUMBER(A130),Profile!$V$25+Profile!$V$24*'Ri-Po'!C130,"")</f>
        <v/>
      </c>
      <c r="L130" s="32" t="str">
        <f t="shared" si="74"/>
        <v/>
      </c>
      <c r="M130" s="32" t="str">
        <f t="shared" si="70"/>
        <v/>
      </c>
      <c r="N130" s="32" t="str">
        <f t="shared" si="71"/>
        <v/>
      </c>
      <c r="O130" s="32" t="str">
        <f t="shared" si="87"/>
        <v/>
      </c>
      <c r="P130" s="32" t="str">
        <f t="shared" si="75"/>
        <v/>
      </c>
      <c r="Q130" s="32" t="str">
        <f t="shared" si="76"/>
        <v/>
      </c>
      <c r="R130" s="32" t="str">
        <f t="shared" si="88"/>
        <v/>
      </c>
      <c r="S130" s="24" t="str">
        <f t="shared" si="89"/>
        <v/>
      </c>
      <c r="T130" s="24" t="str">
        <f t="shared" si="90"/>
        <v/>
      </c>
      <c r="U130" s="24" t="str">
        <f t="shared" si="91"/>
        <v/>
      </c>
      <c r="V130" s="24" t="str">
        <f t="shared" si="92"/>
        <v/>
      </c>
      <c r="W130" s="23" t="str">
        <f t="array" ref="W130">IFERROR(SMALL(IF(S$1:S$1000="BEGIN",ROW(S$1:S$1000)),ROW()-3),"")</f>
        <v/>
      </c>
      <c r="X130" s="23" t="str">
        <f t="array" ref="X130">IFERROR(SMALL(IF(T$1:T$1000="END",ROW(T$1:T$1000)),ROW()-3),"")</f>
        <v/>
      </c>
      <c r="Y130" s="33" t="str">
        <f t="array" ref="Y130">IF(ISNUMBER(W130),MAX(IF((B$4:B$1000&lt;=X130)*(B$4:B$1000&gt;=W130),I$4:I$1000, "")),"")</f>
        <v/>
      </c>
      <c r="Z130" s="33" t="str">
        <f t="shared" si="77"/>
        <v/>
      </c>
      <c r="AA130" s="32" t="str">
        <f t="shared" si="78"/>
        <v/>
      </c>
      <c r="AB130" s="32" t="str">
        <f t="shared" si="79"/>
        <v/>
      </c>
      <c r="AC130" s="32" t="str">
        <f t="shared" si="80"/>
        <v/>
      </c>
      <c r="AD130" s="32" t="str">
        <f t="shared" si="81"/>
        <v/>
      </c>
      <c r="AE130" s="34" t="str">
        <f t="shared" si="82"/>
        <v/>
      </c>
      <c r="AF130" s="32" t="str">
        <f t="shared" si="83"/>
        <v/>
      </c>
      <c r="AG130" s="32" t="str">
        <f t="shared" si="84"/>
        <v/>
      </c>
      <c r="AH130" s="32" t="str">
        <f t="shared" si="85"/>
        <v/>
      </c>
      <c r="AI130" s="35" t="str">
        <f t="shared" si="86"/>
        <v/>
      </c>
      <c r="AJ130" s="23" t="str">
        <f t="array" ref="AJ130">IFERROR(SMALL(IF(U$1:U$1000="BEGIN",ROW(U$1:U$1000)),ROW()-3),"")</f>
        <v/>
      </c>
      <c r="AK130" s="23" t="str">
        <f t="array" ref="AK130">IFERROR(SMALL(IF(V$1:V$1000="END",ROW(V$1:V$1000)),ROW()-3),"")</f>
        <v/>
      </c>
      <c r="AL130" s="24" t="str">
        <f t="array" ref="AL130">IF(AK130="","",MATCH(AM130,L:L,0))</f>
        <v/>
      </c>
      <c r="AM130" s="35">
        <f t="array" ref="AM130">MAX(IF((B$4:B$1000&lt;=AK130)*(B$4:B$1000&gt;=AJ130),L$4:L$1000, ""))</f>
        <v>0</v>
      </c>
      <c r="AN130" s="32" t="str">
        <f t="shared" si="93"/>
        <v/>
      </c>
      <c r="AO130" s="32" t="str">
        <f t="shared" si="94"/>
        <v/>
      </c>
      <c r="AP130" s="32" t="str">
        <f t="shared" si="95"/>
        <v/>
      </c>
      <c r="AQ130" s="32" t="str">
        <f t="shared" si="96"/>
        <v/>
      </c>
      <c r="AR130" s="32" t="str">
        <f t="shared" si="97"/>
        <v/>
      </c>
      <c r="AS130" s="32" t="str">
        <f t="shared" si="98"/>
        <v/>
      </c>
      <c r="AT130" s="32" t="str">
        <f t="shared" si="99"/>
        <v/>
      </c>
      <c r="AU130" s="34" t="str">
        <f t="shared" si="100"/>
        <v/>
      </c>
      <c r="AV130" s="32" t="str">
        <f t="shared" si="101"/>
        <v/>
      </c>
      <c r="AW130" s="32" t="str">
        <f t="shared" si="102"/>
        <v/>
      </c>
      <c r="AX130" s="32" t="str">
        <f t="shared" si="103"/>
        <v/>
      </c>
      <c r="AY130" s="32" t="str">
        <f t="shared" si="104"/>
        <v/>
      </c>
    </row>
    <row r="131" spans="1:51" x14ac:dyDescent="0.25">
      <c r="A131" s="24" t="str">
        <f t="shared" si="62"/>
        <v/>
      </c>
      <c r="B131" s="24" t="str">
        <f t="shared" si="72"/>
        <v/>
      </c>
      <c r="C131" s="32" t="str">
        <f t="shared" si="63"/>
        <v/>
      </c>
      <c r="D131" s="24" t="str">
        <f t="shared" si="64"/>
        <v/>
      </c>
      <c r="E131" s="24" t="str">
        <f t="shared" si="65"/>
        <v/>
      </c>
      <c r="F131" s="32" t="str">
        <f t="shared" si="66"/>
        <v/>
      </c>
      <c r="G131" s="32" t="str">
        <f t="shared" si="67"/>
        <v/>
      </c>
      <c r="H131" s="32" t="str">
        <f t="shared" ca="1" si="68"/>
        <v/>
      </c>
      <c r="I131" s="32" t="str">
        <f t="shared" ca="1" si="73"/>
        <v/>
      </c>
      <c r="J131" s="32" t="str">
        <f t="shared" si="69"/>
        <v/>
      </c>
      <c r="K131" s="32" t="str">
        <f>IF(ISNUMBER(A131),Profile!$V$25+Profile!$V$24*'Ri-Po'!C131,"")</f>
        <v/>
      </c>
      <c r="L131" s="32" t="str">
        <f t="shared" si="74"/>
        <v/>
      </c>
      <c r="M131" s="32" t="str">
        <f t="shared" si="70"/>
        <v/>
      </c>
      <c r="N131" s="32" t="str">
        <f t="shared" si="71"/>
        <v/>
      </c>
      <c r="O131" s="32" t="str">
        <f t="shared" si="87"/>
        <v/>
      </c>
      <c r="P131" s="32" t="str">
        <f t="shared" si="75"/>
        <v/>
      </c>
      <c r="Q131" s="32" t="str">
        <f t="shared" si="76"/>
        <v/>
      </c>
      <c r="R131" s="32" t="str">
        <f t="shared" si="88"/>
        <v/>
      </c>
      <c r="S131" s="24" t="str">
        <f t="shared" si="89"/>
        <v/>
      </c>
      <c r="T131" s="24" t="str">
        <f t="shared" si="90"/>
        <v/>
      </c>
      <c r="U131" s="24" t="str">
        <f t="shared" si="91"/>
        <v/>
      </c>
      <c r="V131" s="24" t="str">
        <f t="shared" si="92"/>
        <v/>
      </c>
      <c r="W131" s="23" t="str">
        <f t="array" ref="W131">IFERROR(SMALL(IF(S$1:S$1000="BEGIN",ROW(S$1:S$1000)),ROW()-3),"")</f>
        <v/>
      </c>
      <c r="X131" s="23" t="str">
        <f t="array" ref="X131">IFERROR(SMALL(IF(T$1:T$1000="END",ROW(T$1:T$1000)),ROW()-3),"")</f>
        <v/>
      </c>
      <c r="Y131" s="33" t="str">
        <f t="array" ref="Y131">IF(ISNUMBER(W131),MAX(IF((B$4:B$1000&lt;=X131)*(B$4:B$1000&gt;=W131),I$4:I$1000, "")),"")</f>
        <v/>
      </c>
      <c r="Z131" s="33" t="str">
        <f t="shared" si="77"/>
        <v/>
      </c>
      <c r="AA131" s="32" t="str">
        <f t="shared" si="78"/>
        <v/>
      </c>
      <c r="AB131" s="32" t="str">
        <f t="shared" si="79"/>
        <v/>
      </c>
      <c r="AC131" s="32" t="str">
        <f t="shared" si="80"/>
        <v/>
      </c>
      <c r="AD131" s="32" t="str">
        <f t="shared" si="81"/>
        <v/>
      </c>
      <c r="AE131" s="34" t="str">
        <f t="shared" si="82"/>
        <v/>
      </c>
      <c r="AF131" s="32" t="str">
        <f t="shared" si="83"/>
        <v/>
      </c>
      <c r="AG131" s="32" t="str">
        <f t="shared" si="84"/>
        <v/>
      </c>
      <c r="AH131" s="32" t="str">
        <f t="shared" si="85"/>
        <v/>
      </c>
      <c r="AI131" s="35" t="str">
        <f t="shared" si="86"/>
        <v/>
      </c>
      <c r="AJ131" s="23" t="str">
        <f t="array" ref="AJ131">IFERROR(SMALL(IF(U$1:U$1000="BEGIN",ROW(U$1:U$1000)),ROW()-3),"")</f>
        <v/>
      </c>
      <c r="AK131" s="23" t="str">
        <f t="array" ref="AK131">IFERROR(SMALL(IF(V$1:V$1000="END",ROW(V$1:V$1000)),ROW()-3),"")</f>
        <v/>
      </c>
      <c r="AL131" s="24" t="str">
        <f t="array" ref="AL131">IF(AK131="","",MATCH(AM131,L:L,0))</f>
        <v/>
      </c>
      <c r="AM131" s="35">
        <f t="array" ref="AM131">MAX(IF((B$4:B$1000&lt;=AK131)*(B$4:B$1000&gt;=AJ131),L$4:L$1000, ""))</f>
        <v>0</v>
      </c>
      <c r="AN131" s="32" t="str">
        <f t="shared" si="93"/>
        <v/>
      </c>
      <c r="AO131" s="32" t="str">
        <f t="shared" si="94"/>
        <v/>
      </c>
      <c r="AP131" s="32" t="str">
        <f t="shared" si="95"/>
        <v/>
      </c>
      <c r="AQ131" s="32" t="str">
        <f t="shared" si="96"/>
        <v/>
      </c>
      <c r="AR131" s="32" t="str">
        <f t="shared" si="97"/>
        <v/>
      </c>
      <c r="AS131" s="32" t="str">
        <f t="shared" si="98"/>
        <v/>
      </c>
      <c r="AT131" s="32" t="str">
        <f t="shared" si="99"/>
        <v/>
      </c>
      <c r="AU131" s="34" t="str">
        <f t="shared" si="100"/>
        <v/>
      </c>
      <c r="AV131" s="32" t="str">
        <f t="shared" si="101"/>
        <v/>
      </c>
      <c r="AW131" s="32" t="str">
        <f t="shared" si="102"/>
        <v/>
      </c>
      <c r="AX131" s="32" t="str">
        <f t="shared" si="103"/>
        <v/>
      </c>
      <c r="AY131" s="32" t="str">
        <f t="shared" si="104"/>
        <v/>
      </c>
    </row>
    <row r="132" spans="1:51" x14ac:dyDescent="0.25">
      <c r="A132" s="24" t="str">
        <f t="shared" ref="A132:A195" si="105">IF(NOT(ISBLANK(INDEX(currentNUM,ROW(A129)))),INDEX(currentNUM,ROW(A129)),"")</f>
        <v/>
      </c>
      <c r="B132" s="24" t="str">
        <f t="shared" si="72"/>
        <v/>
      </c>
      <c r="C132" s="32" t="str">
        <f t="shared" ref="C132:C195" si="106">IF(NOT(A132=""),INDEX(currentSTATION,ROW(C129)),"")</f>
        <v/>
      </c>
      <c r="D132" s="24" t="str">
        <f t="shared" ref="D132:D195" si="107">IF(NOT(ISBLANK(INDEX(currentDESC,ROW(D129)))),INDEX(currentDESC,ROW(D129)),"")</f>
        <v/>
      </c>
      <c r="E132" s="24" t="str">
        <f t="shared" ref="E132:E195" si="108">IF(NOT(ISBLANK(INDEX(currentCMORPH,ROW(E129)))),INDEX(currentCMORPH,ROW(E129)),"")</f>
        <v/>
      </c>
      <c r="F132" s="32" t="str">
        <f t="shared" ref="F132:F195" si="109">IF(NOT(ISBLANK(INDEX(currentTHW,ROW(F129)))),INDEX(currentTHW,ROW(F129)),"")</f>
        <v/>
      </c>
      <c r="G132" s="32" t="str">
        <f t="shared" ref="G132:G195" si="110">IF(NOT(ISBLANK(INDEX(currentWS,ROW(G129)))),INDEX(currentWS,ROW(G129)),"")</f>
        <v/>
      </c>
      <c r="H132" s="32" t="str">
        <f t="shared" ref="H132:H195" ca="1" si="111">IF(NOT(OR(ISBLANK(INDEX(currentINTERPWS,ROW(H129))),INDEX(currentINTERPWS,ROW(H129))=0)),INDEX(currentINTERPWS,ROW(H129)),"")</f>
        <v/>
      </c>
      <c r="I132" s="32" t="str">
        <f t="shared" ca="1" si="73"/>
        <v/>
      </c>
      <c r="J132" s="32" t="str">
        <f t="shared" ref="J132:J195" si="112">IF(NOT(ISBLANK(INDEX(currentBKF,ROW(G129)))),INDEX(currentBKF,ROW(G129)),"")</f>
        <v/>
      </c>
      <c r="K132" s="32" t="str">
        <f>IF(ISNUMBER(A132),Profile!$V$25+Profile!$V$24*'Ri-Po'!C132,"")</f>
        <v/>
      </c>
      <c r="L132" s="32" t="str">
        <f t="shared" si="74"/>
        <v/>
      </c>
      <c r="M132" s="32" t="str">
        <f t="shared" ref="M132:M195" si="113">IF(NOT(ISBLANK(INDEX(currentTOB,ROW(H129)))),INDEX(currentTOB,ROW(H129)),"")</f>
        <v/>
      </c>
      <c r="N132" s="32" t="str">
        <f t="shared" ref="N132:N195" si="114">IF(ISNUMBER(A132),INDEX(currentINTTOB,ROW(I129)),"")</f>
        <v/>
      </c>
      <c r="O132" s="32" t="str">
        <f t="shared" si="87"/>
        <v/>
      </c>
      <c r="P132" s="32" t="str">
        <f t="shared" si="75"/>
        <v/>
      </c>
      <c r="Q132" s="32" t="str">
        <f t="shared" si="76"/>
        <v/>
      </c>
      <c r="R132" s="32" t="str">
        <f t="shared" si="88"/>
        <v/>
      </c>
      <c r="S132" s="24" t="str">
        <f t="shared" si="89"/>
        <v/>
      </c>
      <c r="T132" s="24" t="str">
        <f t="shared" si="90"/>
        <v/>
      </c>
      <c r="U132" s="24" t="str">
        <f t="shared" si="91"/>
        <v/>
      </c>
      <c r="V132" s="24" t="str">
        <f t="shared" si="92"/>
        <v/>
      </c>
      <c r="W132" s="23" t="str">
        <f t="array" ref="W132">IFERROR(SMALL(IF(S$1:S$1000="BEGIN",ROW(S$1:S$1000)),ROW()-3),"")</f>
        <v/>
      </c>
      <c r="X132" s="23" t="str">
        <f t="array" ref="X132">IFERROR(SMALL(IF(T$1:T$1000="END",ROW(T$1:T$1000)),ROW()-3),"")</f>
        <v/>
      </c>
      <c r="Y132" s="33" t="str">
        <f t="array" ref="Y132">IF(ISNUMBER(W132),MAX(IF((B$4:B$1000&lt;=X132)*(B$4:B$1000&gt;=W132),I$4:I$1000, "")),"")</f>
        <v/>
      </c>
      <c r="Z132" s="33" t="str">
        <f t="shared" si="77"/>
        <v/>
      </c>
      <c r="AA132" s="32" t="str">
        <f t="shared" si="78"/>
        <v/>
      </c>
      <c r="AB132" s="32" t="str">
        <f t="shared" si="79"/>
        <v/>
      </c>
      <c r="AC132" s="32" t="str">
        <f t="shared" si="80"/>
        <v/>
      </c>
      <c r="AD132" s="32" t="str">
        <f t="shared" si="81"/>
        <v/>
      </c>
      <c r="AE132" s="34" t="str">
        <f t="shared" si="82"/>
        <v/>
      </c>
      <c r="AF132" s="32" t="str">
        <f t="shared" si="83"/>
        <v/>
      </c>
      <c r="AG132" s="32" t="str">
        <f t="shared" si="84"/>
        <v/>
      </c>
      <c r="AH132" s="32" t="str">
        <f t="shared" si="85"/>
        <v/>
      </c>
      <c r="AI132" s="35" t="str">
        <f t="shared" si="86"/>
        <v/>
      </c>
      <c r="AJ132" s="23" t="str">
        <f t="array" ref="AJ132">IFERROR(SMALL(IF(U$1:U$1000="BEGIN",ROW(U$1:U$1000)),ROW()-3),"")</f>
        <v/>
      </c>
      <c r="AK132" s="23" t="str">
        <f t="array" ref="AK132">IFERROR(SMALL(IF(V$1:V$1000="END",ROW(V$1:V$1000)),ROW()-3),"")</f>
        <v/>
      </c>
      <c r="AL132" s="24" t="str">
        <f t="array" ref="AL132">IF(AK132="","",MATCH(AM132,L:L,0))</f>
        <v/>
      </c>
      <c r="AM132" s="35">
        <f t="array" ref="AM132">MAX(IF((B$4:B$1000&lt;=AK132)*(B$4:B$1000&gt;=AJ132),L$4:L$1000, ""))</f>
        <v>0</v>
      </c>
      <c r="AN132" s="32" t="str">
        <f t="shared" si="93"/>
        <v/>
      </c>
      <c r="AO132" s="32" t="str">
        <f t="shared" si="94"/>
        <v/>
      </c>
      <c r="AP132" s="32" t="str">
        <f t="shared" si="95"/>
        <v/>
      </c>
      <c r="AQ132" s="32" t="str">
        <f t="shared" si="96"/>
        <v/>
      </c>
      <c r="AR132" s="32" t="str">
        <f t="shared" si="97"/>
        <v/>
      </c>
      <c r="AS132" s="32" t="str">
        <f t="shared" si="98"/>
        <v/>
      </c>
      <c r="AT132" s="32" t="str">
        <f t="shared" si="99"/>
        <v/>
      </c>
      <c r="AU132" s="34" t="str">
        <f t="shared" si="100"/>
        <v/>
      </c>
      <c r="AV132" s="32" t="str">
        <f t="shared" si="101"/>
        <v/>
      </c>
      <c r="AW132" s="32" t="str">
        <f t="shared" si="102"/>
        <v/>
      </c>
      <c r="AX132" s="32" t="str">
        <f t="shared" si="103"/>
        <v/>
      </c>
      <c r="AY132" s="32" t="str">
        <f t="shared" si="104"/>
        <v/>
      </c>
    </row>
    <row r="133" spans="1:51" x14ac:dyDescent="0.25">
      <c r="A133" s="24" t="str">
        <f t="shared" si="105"/>
        <v/>
      </c>
      <c r="B133" s="24" t="str">
        <f t="shared" ref="B133:B196" si="115">IF(NOT(A133=""),ROW(B133),"")</f>
        <v/>
      </c>
      <c r="C133" s="32" t="str">
        <f t="shared" si="106"/>
        <v/>
      </c>
      <c r="D133" s="24" t="str">
        <f t="shared" si="107"/>
        <v/>
      </c>
      <c r="E133" s="24" t="str">
        <f t="shared" si="108"/>
        <v/>
      </c>
      <c r="F133" s="32" t="str">
        <f t="shared" si="109"/>
        <v/>
      </c>
      <c r="G133" s="32" t="str">
        <f t="shared" si="110"/>
        <v/>
      </c>
      <c r="H133" s="32" t="str">
        <f t="shared" ca="1" si="111"/>
        <v/>
      </c>
      <c r="I133" s="32" t="str">
        <f t="shared" ref="I133:I196" ca="1" si="116">IFERROR(IF(H133-F133&gt;=0,H133-F133,"NEG"),"")</f>
        <v/>
      </c>
      <c r="J133" s="32" t="str">
        <f t="shared" si="112"/>
        <v/>
      </c>
      <c r="K133" s="32" t="str">
        <f>IF(ISNUMBER(A133),Profile!$V$25+Profile!$V$24*'Ri-Po'!C133,"")</f>
        <v/>
      </c>
      <c r="L133" s="32" t="str">
        <f t="shared" ref="L133:L196" si="117">IFERROR(K133-F133,"")</f>
        <v/>
      </c>
      <c r="M133" s="32" t="str">
        <f t="shared" si="113"/>
        <v/>
      </c>
      <c r="N133" s="32" t="str">
        <f t="shared" si="114"/>
        <v/>
      </c>
      <c r="O133" s="32" t="str">
        <f t="shared" si="87"/>
        <v/>
      </c>
      <c r="P133" s="32" t="str">
        <f t="shared" ref="P133:P196" si="118">IF(ISNUMBER(A133),K133-F133,"")</f>
        <v/>
      </c>
      <c r="Q133" s="32" t="str">
        <f t="shared" ref="Q133:Q196" si="119">IF(ISNUMBER(A133),N133-F133,"")</f>
        <v/>
      </c>
      <c r="R133" s="32" t="str">
        <f t="shared" si="88"/>
        <v/>
      </c>
      <c r="S133" s="24" t="str">
        <f t="shared" si="89"/>
        <v/>
      </c>
      <c r="T133" s="24" t="str">
        <f t="shared" si="90"/>
        <v/>
      </c>
      <c r="U133" s="24" t="str">
        <f t="shared" si="91"/>
        <v/>
      </c>
      <c r="V133" s="24" t="str">
        <f t="shared" si="92"/>
        <v/>
      </c>
      <c r="W133" s="23" t="str">
        <f t="array" ref="W133">IFERROR(SMALL(IF(S$1:S$1000="BEGIN",ROW(S$1:S$1000)),ROW()-3),"")</f>
        <v/>
      </c>
      <c r="X133" s="23" t="str">
        <f t="array" ref="X133">IFERROR(SMALL(IF(T$1:T$1000="END",ROW(T$1:T$1000)),ROW()-3),"")</f>
        <v/>
      </c>
      <c r="Y133" s="33" t="str">
        <f t="array" ref="Y133">IF(ISNUMBER(W133),MAX(IF((B$4:B$1000&lt;=X133)*(B$4:B$1000&gt;=W133),I$4:I$1000, "")),"")</f>
        <v/>
      </c>
      <c r="Z133" s="33" t="str">
        <f t="shared" ref="Z133:Z196" si="120">IFERROR(INDEX(C:C,W133),"")</f>
        <v/>
      </c>
      <c r="AA133" s="32" t="str">
        <f t="shared" ref="AA133:AA196" si="121">IFERROR(INDEX(C:C,X133),"")</f>
        <v/>
      </c>
      <c r="AB133" s="32" t="str">
        <f t="shared" ref="AB133:AB196" si="122">IFERROR(AA133-Z133,"")</f>
        <v/>
      </c>
      <c r="AC133" s="32" t="str">
        <f t="shared" ref="AC133:AC196" si="123">IFERROR(INDEX(H:H,W133),"")</f>
        <v/>
      </c>
      <c r="AD133" s="32" t="str">
        <f t="shared" ref="AD133:AD196" si="124">IFERROR(INDEX(H:H,X133),"")</f>
        <v/>
      </c>
      <c r="AE133" s="34" t="str">
        <f t="shared" ref="AE133:AE196" si="125">IFERROR((AC133-AD133)/(AB133),"")</f>
        <v/>
      </c>
      <c r="AF133" s="32" t="str">
        <f t="shared" ref="AF133:AF196" si="126">IF(ISNUMBER(Z133),INDEX($Q$1:$Q$1000,W133),"")</f>
        <v/>
      </c>
      <c r="AG133" s="32" t="str">
        <f t="shared" ref="AG133:AG196" si="127">IF(ISNUMBER(Z133),INDEX($P$1:$P$1000,W133),"")</f>
        <v/>
      </c>
      <c r="AH133" s="32" t="str">
        <f t="shared" ref="AH133:AH196" si="128">IF(ISNUMBER(Z133),AF133/AG133,"")</f>
        <v/>
      </c>
      <c r="AI133" s="35" t="str">
        <f t="shared" ref="AI133:AI196" si="129">IFERROR(AE133/BB$19,"")</f>
        <v/>
      </c>
      <c r="AJ133" s="23" t="str">
        <f t="array" ref="AJ133">IFERROR(SMALL(IF(U$1:U$1000="BEGIN",ROW(U$1:U$1000)),ROW()-3),"")</f>
        <v/>
      </c>
      <c r="AK133" s="23" t="str">
        <f t="array" ref="AK133">IFERROR(SMALL(IF(V$1:V$1000="END",ROW(V$1:V$1000)),ROW()-3),"")</f>
        <v/>
      </c>
      <c r="AL133" s="24" t="str">
        <f t="array" ref="AL133">IF(AK133="","",MATCH(AM133,L:L,0))</f>
        <v/>
      </c>
      <c r="AM133" s="35">
        <f t="array" ref="AM133">MAX(IF((B$4:B$1000&lt;=AK133)*(B$4:B$1000&gt;=AJ133),L$4:L$1000, ""))</f>
        <v>0</v>
      </c>
      <c r="AN133" s="32" t="str">
        <f t="shared" si="93"/>
        <v/>
      </c>
      <c r="AO133" s="32" t="str">
        <f t="shared" si="94"/>
        <v/>
      </c>
      <c r="AP133" s="32" t="str">
        <f t="shared" si="95"/>
        <v/>
      </c>
      <c r="AQ133" s="32" t="str">
        <f t="shared" si="96"/>
        <v/>
      </c>
      <c r="AR133" s="32" t="str">
        <f t="shared" si="97"/>
        <v/>
      </c>
      <c r="AS133" s="32" t="str">
        <f t="shared" si="98"/>
        <v/>
      </c>
      <c r="AT133" s="32" t="str">
        <f t="shared" si="99"/>
        <v/>
      </c>
      <c r="AU133" s="34" t="str">
        <f t="shared" si="100"/>
        <v/>
      </c>
      <c r="AV133" s="32" t="str">
        <f t="shared" si="101"/>
        <v/>
      </c>
      <c r="AW133" s="32" t="str">
        <f t="shared" si="102"/>
        <v/>
      </c>
      <c r="AX133" s="32" t="str">
        <f t="shared" si="103"/>
        <v/>
      </c>
      <c r="AY133" s="32" t="str">
        <f t="shared" si="104"/>
        <v/>
      </c>
    </row>
    <row r="134" spans="1:51" x14ac:dyDescent="0.25">
      <c r="A134" s="24" t="str">
        <f t="shared" si="105"/>
        <v/>
      </c>
      <c r="B134" s="24" t="str">
        <f t="shared" si="115"/>
        <v/>
      </c>
      <c r="C134" s="32" t="str">
        <f t="shared" si="106"/>
        <v/>
      </c>
      <c r="D134" s="24" t="str">
        <f t="shared" si="107"/>
        <v/>
      </c>
      <c r="E134" s="24" t="str">
        <f t="shared" si="108"/>
        <v/>
      </c>
      <c r="F134" s="32" t="str">
        <f t="shared" si="109"/>
        <v/>
      </c>
      <c r="G134" s="32" t="str">
        <f t="shared" si="110"/>
        <v/>
      </c>
      <c r="H134" s="32" t="str">
        <f t="shared" ca="1" si="111"/>
        <v/>
      </c>
      <c r="I134" s="32" t="str">
        <f t="shared" ca="1" si="116"/>
        <v/>
      </c>
      <c r="J134" s="32" t="str">
        <f t="shared" si="112"/>
        <v/>
      </c>
      <c r="K134" s="32" t="str">
        <f>IF(ISNUMBER(A134),Profile!$V$25+Profile!$V$24*'Ri-Po'!C134,"")</f>
        <v/>
      </c>
      <c r="L134" s="32" t="str">
        <f t="shared" si="117"/>
        <v/>
      </c>
      <c r="M134" s="32" t="str">
        <f t="shared" si="113"/>
        <v/>
      </c>
      <c r="N134" s="32" t="str">
        <f t="shared" si="114"/>
        <v/>
      </c>
      <c r="O134" s="32" t="str">
        <f t="shared" ref="O134:O197" si="130">IF(AND(ISNUMBER(G134),ISNUMBER(J134)),J134-G134,"")</f>
        <v/>
      </c>
      <c r="P134" s="32" t="str">
        <f t="shared" si="118"/>
        <v/>
      </c>
      <c r="Q134" s="32" t="str">
        <f t="shared" si="119"/>
        <v/>
      </c>
      <c r="R134" s="32" t="str">
        <f t="shared" ref="R134:R197" si="131">IF(ISNUMBER(Q134),Q134/P134,"")</f>
        <v/>
      </c>
      <c r="S134" s="24" t="str">
        <f t="shared" ref="S134:S197" si="132">IF(ISNUMBER(SEARCH("bri",E134)),"BEGIN","")</f>
        <v/>
      </c>
      <c r="T134" s="24" t="str">
        <f t="shared" ref="T134:T197" si="133">IF(ISNUMBER(SEARCH("eri",E134)),"END","")</f>
        <v/>
      </c>
      <c r="U134" s="24" t="str">
        <f t="shared" ref="U134:U197" si="134">IF(ISNUMBER(SEARCH("bpo",E134)),"BEGIN","")</f>
        <v/>
      </c>
      <c r="V134" s="24" t="str">
        <f t="shared" ref="V134:V197" si="135">IF(ISNUMBER(SEARCH("epo",E134)),"END","")</f>
        <v/>
      </c>
      <c r="W134" s="23" t="str">
        <f t="array" ref="W134">IFERROR(SMALL(IF(S$1:S$1000="BEGIN",ROW(S$1:S$1000)),ROW()-3),"")</f>
        <v/>
      </c>
      <c r="X134" s="23" t="str">
        <f t="array" ref="X134">IFERROR(SMALL(IF(T$1:T$1000="END",ROW(T$1:T$1000)),ROW()-3),"")</f>
        <v/>
      </c>
      <c r="Y134" s="33" t="str">
        <f t="array" ref="Y134">IF(ISNUMBER(W134),MAX(IF((B$4:B$1000&lt;=X134)*(B$4:B$1000&gt;=W134),I$4:I$1000, "")),"")</f>
        <v/>
      </c>
      <c r="Z134" s="33" t="str">
        <f t="shared" si="120"/>
        <v/>
      </c>
      <c r="AA134" s="32" t="str">
        <f t="shared" si="121"/>
        <v/>
      </c>
      <c r="AB134" s="32" t="str">
        <f t="shared" si="122"/>
        <v/>
      </c>
      <c r="AC134" s="32" t="str">
        <f t="shared" si="123"/>
        <v/>
      </c>
      <c r="AD134" s="32" t="str">
        <f t="shared" si="124"/>
        <v/>
      </c>
      <c r="AE134" s="34" t="str">
        <f t="shared" si="125"/>
        <v/>
      </c>
      <c r="AF134" s="32" t="str">
        <f t="shared" si="126"/>
        <v/>
      </c>
      <c r="AG134" s="32" t="str">
        <f t="shared" si="127"/>
        <v/>
      </c>
      <c r="AH134" s="32" t="str">
        <f t="shared" si="128"/>
        <v/>
      </c>
      <c r="AI134" s="35" t="str">
        <f t="shared" si="129"/>
        <v/>
      </c>
      <c r="AJ134" s="23" t="str">
        <f t="array" ref="AJ134">IFERROR(SMALL(IF(U$1:U$1000="BEGIN",ROW(U$1:U$1000)),ROW()-3),"")</f>
        <v/>
      </c>
      <c r="AK134" s="23" t="str">
        <f t="array" ref="AK134">IFERROR(SMALL(IF(V$1:V$1000="END",ROW(V$1:V$1000)),ROW()-3),"")</f>
        <v/>
      </c>
      <c r="AL134" s="24" t="str">
        <f t="array" ref="AL134">IF(AK134="","",MATCH(AM134,L:L,0))</f>
        <v/>
      </c>
      <c r="AM134" s="35">
        <f t="array" ref="AM134">MAX(IF((B$4:B$1000&lt;=AK134)*(B$4:B$1000&gt;=AJ134),L$4:L$1000, ""))</f>
        <v>0</v>
      </c>
      <c r="AN134" s="32" t="str">
        <f t="shared" si="93"/>
        <v/>
      </c>
      <c r="AO134" s="32" t="str">
        <f t="shared" si="94"/>
        <v/>
      </c>
      <c r="AP134" s="32" t="str">
        <f t="shared" si="95"/>
        <v/>
      </c>
      <c r="AQ134" s="32" t="str">
        <f t="shared" si="96"/>
        <v/>
      </c>
      <c r="AR134" s="32" t="str">
        <f t="shared" si="97"/>
        <v/>
      </c>
      <c r="AS134" s="32" t="str">
        <f t="shared" si="98"/>
        <v/>
      </c>
      <c r="AT134" s="32" t="str">
        <f t="shared" si="99"/>
        <v/>
      </c>
      <c r="AU134" s="34" t="str">
        <f t="shared" si="100"/>
        <v/>
      </c>
      <c r="AV134" s="32" t="str">
        <f t="shared" si="101"/>
        <v/>
      </c>
      <c r="AW134" s="32" t="str">
        <f t="shared" si="102"/>
        <v/>
      </c>
      <c r="AX134" s="32" t="str">
        <f t="shared" si="103"/>
        <v/>
      </c>
      <c r="AY134" s="32" t="str">
        <f t="shared" si="104"/>
        <v/>
      </c>
    </row>
    <row r="135" spans="1:51" x14ac:dyDescent="0.25">
      <c r="A135" s="24" t="str">
        <f t="shared" si="105"/>
        <v/>
      </c>
      <c r="B135" s="24" t="str">
        <f t="shared" si="115"/>
        <v/>
      </c>
      <c r="C135" s="32" t="str">
        <f t="shared" si="106"/>
        <v/>
      </c>
      <c r="D135" s="24" t="str">
        <f t="shared" si="107"/>
        <v/>
      </c>
      <c r="E135" s="24" t="str">
        <f t="shared" si="108"/>
        <v/>
      </c>
      <c r="F135" s="32" t="str">
        <f t="shared" si="109"/>
        <v/>
      </c>
      <c r="G135" s="32" t="str">
        <f t="shared" si="110"/>
        <v/>
      </c>
      <c r="H135" s="32" t="str">
        <f t="shared" ca="1" si="111"/>
        <v/>
      </c>
      <c r="I135" s="32" t="str">
        <f t="shared" ca="1" si="116"/>
        <v/>
      </c>
      <c r="J135" s="32" t="str">
        <f t="shared" si="112"/>
        <v/>
      </c>
      <c r="K135" s="32" t="str">
        <f>IF(ISNUMBER(A135),Profile!$V$25+Profile!$V$24*'Ri-Po'!C135,"")</f>
        <v/>
      </c>
      <c r="L135" s="32" t="str">
        <f t="shared" si="117"/>
        <v/>
      </c>
      <c r="M135" s="32" t="str">
        <f t="shared" si="113"/>
        <v/>
      </c>
      <c r="N135" s="32" t="str">
        <f t="shared" si="114"/>
        <v/>
      </c>
      <c r="O135" s="32" t="str">
        <f t="shared" si="130"/>
        <v/>
      </c>
      <c r="P135" s="32" t="str">
        <f t="shared" si="118"/>
        <v/>
      </c>
      <c r="Q135" s="32" t="str">
        <f t="shared" si="119"/>
        <v/>
      </c>
      <c r="R135" s="32" t="str">
        <f t="shared" si="131"/>
        <v/>
      </c>
      <c r="S135" s="24" t="str">
        <f t="shared" si="132"/>
        <v/>
      </c>
      <c r="T135" s="24" t="str">
        <f t="shared" si="133"/>
        <v/>
      </c>
      <c r="U135" s="24" t="str">
        <f t="shared" si="134"/>
        <v/>
      </c>
      <c r="V135" s="24" t="str">
        <f t="shared" si="135"/>
        <v/>
      </c>
      <c r="W135" s="23" t="str">
        <f t="array" ref="W135">IFERROR(SMALL(IF(S$1:S$1000="BEGIN",ROW(S$1:S$1000)),ROW()-3),"")</f>
        <v/>
      </c>
      <c r="X135" s="23" t="str">
        <f t="array" ref="X135">IFERROR(SMALL(IF(T$1:T$1000="END",ROW(T$1:T$1000)),ROW()-3),"")</f>
        <v/>
      </c>
      <c r="Y135" s="33" t="str">
        <f t="array" ref="Y135">IF(ISNUMBER(W135),MAX(IF((B$4:B$1000&lt;=X135)*(B$4:B$1000&gt;=W135),I$4:I$1000, "")),"")</f>
        <v/>
      </c>
      <c r="Z135" s="33" t="str">
        <f t="shared" si="120"/>
        <v/>
      </c>
      <c r="AA135" s="32" t="str">
        <f t="shared" si="121"/>
        <v/>
      </c>
      <c r="AB135" s="32" t="str">
        <f t="shared" si="122"/>
        <v/>
      </c>
      <c r="AC135" s="32" t="str">
        <f t="shared" si="123"/>
        <v/>
      </c>
      <c r="AD135" s="32" t="str">
        <f t="shared" si="124"/>
        <v/>
      </c>
      <c r="AE135" s="34" t="str">
        <f t="shared" si="125"/>
        <v/>
      </c>
      <c r="AF135" s="32" t="str">
        <f t="shared" si="126"/>
        <v/>
      </c>
      <c r="AG135" s="32" t="str">
        <f t="shared" si="127"/>
        <v/>
      </c>
      <c r="AH135" s="32" t="str">
        <f t="shared" si="128"/>
        <v/>
      </c>
      <c r="AI135" s="35" t="str">
        <f t="shared" si="129"/>
        <v/>
      </c>
      <c r="AJ135" s="23" t="str">
        <f t="array" ref="AJ135">IFERROR(SMALL(IF(U$1:U$1000="BEGIN",ROW(U$1:U$1000)),ROW()-3),"")</f>
        <v/>
      </c>
      <c r="AK135" s="23" t="str">
        <f t="array" ref="AK135">IFERROR(SMALL(IF(V$1:V$1000="END",ROW(V$1:V$1000)),ROW()-3),"")</f>
        <v/>
      </c>
      <c r="AL135" s="24" t="str">
        <f t="array" ref="AL135">IF(AK135="","",MATCH(AM135,L:L,0))</f>
        <v/>
      </c>
      <c r="AM135" s="35">
        <f t="array" ref="AM135">MAX(IF((B$4:B$1000&lt;=AK135)*(B$4:B$1000&gt;=AJ135),L$4:L$1000, ""))</f>
        <v>0</v>
      </c>
      <c r="AN135" s="32" t="str">
        <f t="shared" si="93"/>
        <v/>
      </c>
      <c r="AO135" s="32" t="str">
        <f t="shared" si="94"/>
        <v/>
      </c>
      <c r="AP135" s="32" t="str">
        <f t="shared" si="95"/>
        <v/>
      </c>
      <c r="AQ135" s="32" t="str">
        <f t="shared" si="96"/>
        <v/>
      </c>
      <c r="AR135" s="32" t="str">
        <f t="shared" si="97"/>
        <v/>
      </c>
      <c r="AS135" s="32" t="str">
        <f t="shared" si="98"/>
        <v/>
      </c>
      <c r="AT135" s="32" t="str">
        <f t="shared" si="99"/>
        <v/>
      </c>
      <c r="AU135" s="34" t="str">
        <f t="shared" si="100"/>
        <v/>
      </c>
      <c r="AV135" s="32" t="str">
        <f t="shared" si="101"/>
        <v/>
      </c>
      <c r="AW135" s="32" t="str">
        <f t="shared" si="102"/>
        <v/>
      </c>
      <c r="AX135" s="32" t="str">
        <f t="shared" si="103"/>
        <v/>
      </c>
      <c r="AY135" s="32" t="str">
        <f t="shared" si="104"/>
        <v/>
      </c>
    </row>
    <row r="136" spans="1:51" x14ac:dyDescent="0.25">
      <c r="A136" s="24" t="str">
        <f t="shared" si="105"/>
        <v/>
      </c>
      <c r="B136" s="24" t="str">
        <f t="shared" si="115"/>
        <v/>
      </c>
      <c r="C136" s="32" t="str">
        <f t="shared" si="106"/>
        <v/>
      </c>
      <c r="D136" s="24" t="str">
        <f t="shared" si="107"/>
        <v/>
      </c>
      <c r="E136" s="24" t="str">
        <f t="shared" si="108"/>
        <v/>
      </c>
      <c r="F136" s="32" t="str">
        <f t="shared" si="109"/>
        <v/>
      </c>
      <c r="G136" s="32" t="str">
        <f t="shared" si="110"/>
        <v/>
      </c>
      <c r="H136" s="32" t="str">
        <f t="shared" ca="1" si="111"/>
        <v/>
      </c>
      <c r="I136" s="32" t="str">
        <f t="shared" ca="1" si="116"/>
        <v/>
      </c>
      <c r="J136" s="32" t="str">
        <f t="shared" si="112"/>
        <v/>
      </c>
      <c r="K136" s="32" t="str">
        <f>IF(ISNUMBER(A136),Profile!$V$25+Profile!$V$24*'Ri-Po'!C136,"")</f>
        <v/>
      </c>
      <c r="L136" s="32" t="str">
        <f t="shared" si="117"/>
        <v/>
      </c>
      <c r="M136" s="32" t="str">
        <f t="shared" si="113"/>
        <v/>
      </c>
      <c r="N136" s="32" t="str">
        <f t="shared" si="114"/>
        <v/>
      </c>
      <c r="O136" s="32" t="str">
        <f t="shared" si="130"/>
        <v/>
      </c>
      <c r="P136" s="32" t="str">
        <f t="shared" si="118"/>
        <v/>
      </c>
      <c r="Q136" s="32" t="str">
        <f t="shared" si="119"/>
        <v/>
      </c>
      <c r="R136" s="32" t="str">
        <f t="shared" si="131"/>
        <v/>
      </c>
      <c r="S136" s="24" t="str">
        <f t="shared" si="132"/>
        <v/>
      </c>
      <c r="T136" s="24" t="str">
        <f t="shared" si="133"/>
        <v/>
      </c>
      <c r="U136" s="24" t="str">
        <f t="shared" si="134"/>
        <v/>
      </c>
      <c r="V136" s="24" t="str">
        <f t="shared" si="135"/>
        <v/>
      </c>
      <c r="W136" s="23" t="str">
        <f t="array" ref="W136">IFERROR(SMALL(IF(S$1:S$1000="BEGIN",ROW(S$1:S$1000)),ROW()-3),"")</f>
        <v/>
      </c>
      <c r="X136" s="23" t="str">
        <f t="array" ref="X136">IFERROR(SMALL(IF(T$1:T$1000="END",ROW(T$1:T$1000)),ROW()-3),"")</f>
        <v/>
      </c>
      <c r="Y136" s="33" t="str">
        <f t="array" ref="Y136">IF(ISNUMBER(W136),MAX(IF((B$4:B$1000&lt;=X136)*(B$4:B$1000&gt;=W136),I$4:I$1000, "")),"")</f>
        <v/>
      </c>
      <c r="Z136" s="33" t="str">
        <f t="shared" si="120"/>
        <v/>
      </c>
      <c r="AA136" s="32" t="str">
        <f t="shared" si="121"/>
        <v/>
      </c>
      <c r="AB136" s="32" t="str">
        <f t="shared" si="122"/>
        <v/>
      </c>
      <c r="AC136" s="32" t="str">
        <f t="shared" si="123"/>
        <v/>
      </c>
      <c r="AD136" s="32" t="str">
        <f t="shared" si="124"/>
        <v/>
      </c>
      <c r="AE136" s="34" t="str">
        <f t="shared" si="125"/>
        <v/>
      </c>
      <c r="AF136" s="32" t="str">
        <f t="shared" si="126"/>
        <v/>
      </c>
      <c r="AG136" s="32" t="str">
        <f t="shared" si="127"/>
        <v/>
      </c>
      <c r="AH136" s="32" t="str">
        <f t="shared" si="128"/>
        <v/>
      </c>
      <c r="AI136" s="35" t="str">
        <f t="shared" si="129"/>
        <v/>
      </c>
      <c r="AJ136" s="23" t="str">
        <f t="array" ref="AJ136">IFERROR(SMALL(IF(U$1:U$1000="BEGIN",ROW(U$1:U$1000)),ROW()-3),"")</f>
        <v/>
      </c>
      <c r="AK136" s="23" t="str">
        <f t="array" ref="AK136">IFERROR(SMALL(IF(V$1:V$1000="END",ROW(V$1:V$1000)),ROW()-3),"")</f>
        <v/>
      </c>
      <c r="AL136" s="24" t="str">
        <f t="array" ref="AL136">IF(AK136="","",MATCH(AM136,L:L,0))</f>
        <v/>
      </c>
      <c r="AM136" s="35">
        <f t="array" ref="AM136">MAX(IF((B$4:B$1000&lt;=AK136)*(B$4:B$1000&gt;=AJ136),L$4:L$1000, ""))</f>
        <v>0</v>
      </c>
      <c r="AN136" s="32" t="str">
        <f t="shared" si="93"/>
        <v/>
      </c>
      <c r="AO136" s="32" t="str">
        <f t="shared" si="94"/>
        <v/>
      </c>
      <c r="AP136" s="32" t="str">
        <f t="shared" si="95"/>
        <v/>
      </c>
      <c r="AQ136" s="32" t="str">
        <f t="shared" si="96"/>
        <v/>
      </c>
      <c r="AR136" s="32" t="str">
        <f t="shared" si="97"/>
        <v/>
      </c>
      <c r="AS136" s="32" t="str">
        <f t="shared" si="98"/>
        <v/>
      </c>
      <c r="AT136" s="32" t="str">
        <f t="shared" si="99"/>
        <v/>
      </c>
      <c r="AU136" s="34" t="str">
        <f t="shared" si="100"/>
        <v/>
      </c>
      <c r="AV136" s="32" t="str">
        <f t="shared" si="101"/>
        <v/>
      </c>
      <c r="AW136" s="32" t="str">
        <f t="shared" si="102"/>
        <v/>
      </c>
      <c r="AX136" s="32" t="str">
        <f t="shared" si="103"/>
        <v/>
      </c>
      <c r="AY136" s="32" t="str">
        <f t="shared" si="104"/>
        <v/>
      </c>
    </row>
    <row r="137" spans="1:51" x14ac:dyDescent="0.25">
      <c r="A137" s="24" t="str">
        <f t="shared" si="105"/>
        <v/>
      </c>
      <c r="B137" s="24" t="str">
        <f t="shared" si="115"/>
        <v/>
      </c>
      <c r="C137" s="32" t="str">
        <f t="shared" si="106"/>
        <v/>
      </c>
      <c r="D137" s="24" t="str">
        <f t="shared" si="107"/>
        <v/>
      </c>
      <c r="E137" s="24" t="str">
        <f t="shared" si="108"/>
        <v/>
      </c>
      <c r="F137" s="32" t="str">
        <f t="shared" si="109"/>
        <v/>
      </c>
      <c r="G137" s="32" t="str">
        <f t="shared" si="110"/>
        <v/>
      </c>
      <c r="H137" s="32" t="str">
        <f t="shared" ca="1" si="111"/>
        <v/>
      </c>
      <c r="I137" s="32" t="str">
        <f t="shared" ca="1" si="116"/>
        <v/>
      </c>
      <c r="J137" s="32" t="str">
        <f t="shared" si="112"/>
        <v/>
      </c>
      <c r="K137" s="32" t="str">
        <f>IF(ISNUMBER(A137),Profile!$V$25+Profile!$V$24*'Ri-Po'!C137,"")</f>
        <v/>
      </c>
      <c r="L137" s="32" t="str">
        <f t="shared" si="117"/>
        <v/>
      </c>
      <c r="M137" s="32" t="str">
        <f t="shared" si="113"/>
        <v/>
      </c>
      <c r="N137" s="32" t="str">
        <f t="shared" si="114"/>
        <v/>
      </c>
      <c r="O137" s="32" t="str">
        <f t="shared" si="130"/>
        <v/>
      </c>
      <c r="P137" s="32" t="str">
        <f t="shared" si="118"/>
        <v/>
      </c>
      <c r="Q137" s="32" t="str">
        <f t="shared" si="119"/>
        <v/>
      </c>
      <c r="R137" s="32" t="str">
        <f t="shared" si="131"/>
        <v/>
      </c>
      <c r="S137" s="24" t="str">
        <f t="shared" si="132"/>
        <v/>
      </c>
      <c r="T137" s="24" t="str">
        <f t="shared" si="133"/>
        <v/>
      </c>
      <c r="U137" s="24" t="str">
        <f t="shared" si="134"/>
        <v/>
      </c>
      <c r="V137" s="24" t="str">
        <f t="shared" si="135"/>
        <v/>
      </c>
      <c r="W137" s="23" t="str">
        <f t="array" ref="W137">IFERROR(SMALL(IF(S$1:S$1000="BEGIN",ROW(S$1:S$1000)),ROW()-3),"")</f>
        <v/>
      </c>
      <c r="X137" s="23" t="str">
        <f t="array" ref="X137">IFERROR(SMALL(IF(T$1:T$1000="END",ROW(T$1:T$1000)),ROW()-3),"")</f>
        <v/>
      </c>
      <c r="Y137" s="33" t="str">
        <f t="array" ref="Y137">IF(ISNUMBER(W137),MAX(IF((B$4:B$1000&lt;=X137)*(B$4:B$1000&gt;=W137),I$4:I$1000, "")),"")</f>
        <v/>
      </c>
      <c r="Z137" s="33" t="str">
        <f t="shared" si="120"/>
        <v/>
      </c>
      <c r="AA137" s="32" t="str">
        <f t="shared" si="121"/>
        <v/>
      </c>
      <c r="AB137" s="32" t="str">
        <f t="shared" si="122"/>
        <v/>
      </c>
      <c r="AC137" s="32" t="str">
        <f t="shared" si="123"/>
        <v/>
      </c>
      <c r="AD137" s="32" t="str">
        <f t="shared" si="124"/>
        <v/>
      </c>
      <c r="AE137" s="34" t="str">
        <f t="shared" si="125"/>
        <v/>
      </c>
      <c r="AF137" s="32" t="str">
        <f t="shared" si="126"/>
        <v/>
      </c>
      <c r="AG137" s="32" t="str">
        <f t="shared" si="127"/>
        <v/>
      </c>
      <c r="AH137" s="32" t="str">
        <f t="shared" si="128"/>
        <v/>
      </c>
      <c r="AI137" s="35" t="str">
        <f t="shared" si="129"/>
        <v/>
      </c>
      <c r="AJ137" s="23" t="str">
        <f t="array" ref="AJ137">IFERROR(SMALL(IF(U$1:U$1000="BEGIN",ROW(U$1:U$1000)),ROW()-3),"")</f>
        <v/>
      </c>
      <c r="AK137" s="23" t="str">
        <f t="array" ref="AK137">IFERROR(SMALL(IF(V$1:V$1000="END",ROW(V$1:V$1000)),ROW()-3),"")</f>
        <v/>
      </c>
      <c r="AL137" s="24" t="str">
        <f t="array" ref="AL137">IF(AK137="","",MATCH(AM137,L:L,0))</f>
        <v/>
      </c>
      <c r="AM137" s="35">
        <f t="array" ref="AM137">MAX(IF((B$4:B$1000&lt;=AK137)*(B$4:B$1000&gt;=AJ137),L$4:L$1000, ""))</f>
        <v>0</v>
      </c>
      <c r="AN137" s="32" t="str">
        <f t="shared" si="93"/>
        <v/>
      </c>
      <c r="AO137" s="32" t="str">
        <f t="shared" si="94"/>
        <v/>
      </c>
      <c r="AP137" s="32" t="str">
        <f t="shared" si="95"/>
        <v/>
      </c>
      <c r="AQ137" s="32" t="str">
        <f t="shared" si="96"/>
        <v/>
      </c>
      <c r="AR137" s="32" t="str">
        <f t="shared" si="97"/>
        <v/>
      </c>
      <c r="AS137" s="32" t="str">
        <f t="shared" si="98"/>
        <v/>
      </c>
      <c r="AT137" s="32" t="str">
        <f t="shared" si="99"/>
        <v/>
      </c>
      <c r="AU137" s="34" t="str">
        <f t="shared" si="100"/>
        <v/>
      </c>
      <c r="AV137" s="32" t="str">
        <f t="shared" si="101"/>
        <v/>
      </c>
      <c r="AW137" s="32" t="str">
        <f t="shared" si="102"/>
        <v/>
      </c>
      <c r="AX137" s="32" t="str">
        <f t="shared" si="103"/>
        <v/>
      </c>
      <c r="AY137" s="32" t="str">
        <f t="shared" si="104"/>
        <v/>
      </c>
    </row>
    <row r="138" spans="1:51" x14ac:dyDescent="0.25">
      <c r="A138" s="24" t="str">
        <f t="shared" si="105"/>
        <v/>
      </c>
      <c r="B138" s="24" t="str">
        <f t="shared" si="115"/>
        <v/>
      </c>
      <c r="C138" s="32" t="str">
        <f t="shared" si="106"/>
        <v/>
      </c>
      <c r="D138" s="24" t="str">
        <f t="shared" si="107"/>
        <v/>
      </c>
      <c r="E138" s="24" t="str">
        <f t="shared" si="108"/>
        <v/>
      </c>
      <c r="F138" s="32" t="str">
        <f t="shared" si="109"/>
        <v/>
      </c>
      <c r="G138" s="32" t="str">
        <f t="shared" si="110"/>
        <v/>
      </c>
      <c r="H138" s="32" t="str">
        <f t="shared" ca="1" si="111"/>
        <v/>
      </c>
      <c r="I138" s="32" t="str">
        <f t="shared" ca="1" si="116"/>
        <v/>
      </c>
      <c r="J138" s="32" t="str">
        <f t="shared" si="112"/>
        <v/>
      </c>
      <c r="K138" s="32" t="str">
        <f>IF(ISNUMBER(A138),Profile!$V$25+Profile!$V$24*'Ri-Po'!C138,"")</f>
        <v/>
      </c>
      <c r="L138" s="32" t="str">
        <f t="shared" si="117"/>
        <v/>
      </c>
      <c r="M138" s="32" t="str">
        <f t="shared" si="113"/>
        <v/>
      </c>
      <c r="N138" s="32" t="str">
        <f t="shared" si="114"/>
        <v/>
      </c>
      <c r="O138" s="32" t="str">
        <f t="shared" si="130"/>
        <v/>
      </c>
      <c r="P138" s="32" t="str">
        <f t="shared" si="118"/>
        <v/>
      </c>
      <c r="Q138" s="32" t="str">
        <f t="shared" si="119"/>
        <v/>
      </c>
      <c r="R138" s="32" t="str">
        <f t="shared" si="131"/>
        <v/>
      </c>
      <c r="S138" s="24" t="str">
        <f t="shared" si="132"/>
        <v/>
      </c>
      <c r="T138" s="24" t="str">
        <f t="shared" si="133"/>
        <v/>
      </c>
      <c r="U138" s="24" t="str">
        <f t="shared" si="134"/>
        <v/>
      </c>
      <c r="V138" s="24" t="str">
        <f t="shared" si="135"/>
        <v/>
      </c>
      <c r="W138" s="23" t="str">
        <f t="array" ref="W138">IFERROR(SMALL(IF(S$1:S$1000="BEGIN",ROW(S$1:S$1000)),ROW()-3),"")</f>
        <v/>
      </c>
      <c r="X138" s="23" t="str">
        <f t="array" ref="X138">IFERROR(SMALL(IF(T$1:T$1000="END",ROW(T$1:T$1000)),ROW()-3),"")</f>
        <v/>
      </c>
      <c r="Y138" s="33" t="str">
        <f t="array" ref="Y138">IF(ISNUMBER(W138),MAX(IF((B$4:B$1000&lt;=X138)*(B$4:B$1000&gt;=W138),I$4:I$1000, "")),"")</f>
        <v/>
      </c>
      <c r="Z138" s="33" t="str">
        <f t="shared" si="120"/>
        <v/>
      </c>
      <c r="AA138" s="32" t="str">
        <f t="shared" si="121"/>
        <v/>
      </c>
      <c r="AB138" s="32" t="str">
        <f t="shared" si="122"/>
        <v/>
      </c>
      <c r="AC138" s="32" t="str">
        <f t="shared" si="123"/>
        <v/>
      </c>
      <c r="AD138" s="32" t="str">
        <f t="shared" si="124"/>
        <v/>
      </c>
      <c r="AE138" s="34" t="str">
        <f t="shared" si="125"/>
        <v/>
      </c>
      <c r="AF138" s="32" t="str">
        <f t="shared" si="126"/>
        <v/>
      </c>
      <c r="AG138" s="32" t="str">
        <f t="shared" si="127"/>
        <v/>
      </c>
      <c r="AH138" s="32" t="str">
        <f t="shared" si="128"/>
        <v/>
      </c>
      <c r="AI138" s="35" t="str">
        <f t="shared" si="129"/>
        <v/>
      </c>
      <c r="AJ138" s="23" t="str">
        <f t="array" ref="AJ138">IFERROR(SMALL(IF(U$1:U$1000="BEGIN",ROW(U$1:U$1000)),ROW()-3),"")</f>
        <v/>
      </c>
      <c r="AK138" s="23" t="str">
        <f t="array" ref="AK138">IFERROR(SMALL(IF(V$1:V$1000="END",ROW(V$1:V$1000)),ROW()-3),"")</f>
        <v/>
      </c>
      <c r="AL138" s="24" t="str">
        <f t="array" ref="AL138">IF(AK138="","",MATCH(AM138,L:L,0))</f>
        <v/>
      </c>
      <c r="AM138" s="35">
        <f t="array" ref="AM138">MAX(IF((B$4:B$1000&lt;=AK138)*(B$4:B$1000&gt;=AJ138),L$4:L$1000, ""))</f>
        <v>0</v>
      </c>
      <c r="AN138" s="32" t="str">
        <f t="shared" si="93"/>
        <v/>
      </c>
      <c r="AO138" s="32" t="str">
        <f t="shared" si="94"/>
        <v/>
      </c>
      <c r="AP138" s="32" t="str">
        <f t="shared" si="95"/>
        <v/>
      </c>
      <c r="AQ138" s="32" t="str">
        <f t="shared" si="96"/>
        <v/>
      </c>
      <c r="AR138" s="32" t="str">
        <f t="shared" si="97"/>
        <v/>
      </c>
      <c r="AS138" s="32" t="str">
        <f t="shared" si="98"/>
        <v/>
      </c>
      <c r="AT138" s="32" t="str">
        <f t="shared" si="99"/>
        <v/>
      </c>
      <c r="AU138" s="34" t="str">
        <f t="shared" si="100"/>
        <v/>
      </c>
      <c r="AV138" s="32" t="str">
        <f t="shared" si="101"/>
        <v/>
      </c>
      <c r="AW138" s="32" t="str">
        <f t="shared" si="102"/>
        <v/>
      </c>
      <c r="AX138" s="32" t="str">
        <f t="shared" si="103"/>
        <v/>
      </c>
      <c r="AY138" s="32" t="str">
        <f t="shared" si="104"/>
        <v/>
      </c>
    </row>
    <row r="139" spans="1:51" x14ac:dyDescent="0.25">
      <c r="A139" s="24" t="str">
        <f t="shared" si="105"/>
        <v/>
      </c>
      <c r="B139" s="24" t="str">
        <f t="shared" si="115"/>
        <v/>
      </c>
      <c r="C139" s="32" t="str">
        <f t="shared" si="106"/>
        <v/>
      </c>
      <c r="D139" s="24" t="str">
        <f t="shared" si="107"/>
        <v/>
      </c>
      <c r="E139" s="24" t="str">
        <f t="shared" si="108"/>
        <v/>
      </c>
      <c r="F139" s="32" t="str">
        <f t="shared" si="109"/>
        <v/>
      </c>
      <c r="G139" s="32" t="str">
        <f t="shared" si="110"/>
        <v/>
      </c>
      <c r="H139" s="32" t="str">
        <f t="shared" ca="1" si="111"/>
        <v/>
      </c>
      <c r="I139" s="32" t="str">
        <f t="shared" ca="1" si="116"/>
        <v/>
      </c>
      <c r="J139" s="32" t="str">
        <f t="shared" si="112"/>
        <v/>
      </c>
      <c r="K139" s="32" t="str">
        <f>IF(ISNUMBER(A139),Profile!$V$25+Profile!$V$24*'Ri-Po'!C139,"")</f>
        <v/>
      </c>
      <c r="L139" s="32" t="str">
        <f t="shared" si="117"/>
        <v/>
      </c>
      <c r="M139" s="32" t="str">
        <f t="shared" si="113"/>
        <v/>
      </c>
      <c r="N139" s="32" t="str">
        <f t="shared" si="114"/>
        <v/>
      </c>
      <c r="O139" s="32" t="str">
        <f t="shared" si="130"/>
        <v/>
      </c>
      <c r="P139" s="32" t="str">
        <f t="shared" si="118"/>
        <v/>
      </c>
      <c r="Q139" s="32" t="str">
        <f t="shared" si="119"/>
        <v/>
      </c>
      <c r="R139" s="32" t="str">
        <f t="shared" si="131"/>
        <v/>
      </c>
      <c r="S139" s="24" t="str">
        <f t="shared" si="132"/>
        <v/>
      </c>
      <c r="T139" s="24" t="str">
        <f t="shared" si="133"/>
        <v/>
      </c>
      <c r="U139" s="24" t="str">
        <f t="shared" si="134"/>
        <v/>
      </c>
      <c r="V139" s="24" t="str">
        <f t="shared" si="135"/>
        <v/>
      </c>
      <c r="W139" s="23" t="str">
        <f t="array" ref="W139">IFERROR(SMALL(IF(S$1:S$1000="BEGIN",ROW(S$1:S$1000)),ROW()-3),"")</f>
        <v/>
      </c>
      <c r="X139" s="23" t="str">
        <f t="array" ref="X139">IFERROR(SMALL(IF(T$1:T$1000="END",ROW(T$1:T$1000)),ROW()-3),"")</f>
        <v/>
      </c>
      <c r="Y139" s="33" t="str">
        <f t="array" ref="Y139">IF(ISNUMBER(W139),MAX(IF((B$4:B$1000&lt;=X139)*(B$4:B$1000&gt;=W139),I$4:I$1000, "")),"")</f>
        <v/>
      </c>
      <c r="Z139" s="33" t="str">
        <f t="shared" si="120"/>
        <v/>
      </c>
      <c r="AA139" s="32" t="str">
        <f t="shared" si="121"/>
        <v/>
      </c>
      <c r="AB139" s="32" t="str">
        <f t="shared" si="122"/>
        <v/>
      </c>
      <c r="AC139" s="32" t="str">
        <f t="shared" si="123"/>
        <v/>
      </c>
      <c r="AD139" s="32" t="str">
        <f t="shared" si="124"/>
        <v/>
      </c>
      <c r="AE139" s="34" t="str">
        <f t="shared" si="125"/>
        <v/>
      </c>
      <c r="AF139" s="32" t="str">
        <f t="shared" si="126"/>
        <v/>
      </c>
      <c r="AG139" s="32" t="str">
        <f t="shared" si="127"/>
        <v/>
      </c>
      <c r="AH139" s="32" t="str">
        <f t="shared" si="128"/>
        <v/>
      </c>
      <c r="AI139" s="35" t="str">
        <f t="shared" si="129"/>
        <v/>
      </c>
      <c r="AJ139" s="23" t="str">
        <f t="array" ref="AJ139">IFERROR(SMALL(IF(U$1:U$1000="BEGIN",ROW(U$1:U$1000)),ROW()-3),"")</f>
        <v/>
      </c>
      <c r="AK139" s="23" t="str">
        <f t="array" ref="AK139">IFERROR(SMALL(IF(V$1:V$1000="END",ROW(V$1:V$1000)),ROW()-3),"")</f>
        <v/>
      </c>
      <c r="AL139" s="24" t="str">
        <f t="array" ref="AL139">IF(AK139="","",MATCH(AM139,L:L,0))</f>
        <v/>
      </c>
      <c r="AM139" s="35">
        <f t="array" ref="AM139">MAX(IF((B$4:B$1000&lt;=AK139)*(B$4:B$1000&gt;=AJ139),L$4:L$1000, ""))</f>
        <v>0</v>
      </c>
      <c r="AN139" s="32" t="str">
        <f t="shared" si="93"/>
        <v/>
      </c>
      <c r="AO139" s="32" t="str">
        <f t="shared" si="94"/>
        <v/>
      </c>
      <c r="AP139" s="32" t="str">
        <f t="shared" si="95"/>
        <v/>
      </c>
      <c r="AQ139" s="32" t="str">
        <f t="shared" si="96"/>
        <v/>
      </c>
      <c r="AR139" s="32" t="str">
        <f t="shared" si="97"/>
        <v/>
      </c>
      <c r="AS139" s="32" t="str">
        <f t="shared" si="98"/>
        <v/>
      </c>
      <c r="AT139" s="32" t="str">
        <f t="shared" si="99"/>
        <v/>
      </c>
      <c r="AU139" s="34" t="str">
        <f t="shared" si="100"/>
        <v/>
      </c>
      <c r="AV139" s="32" t="str">
        <f t="shared" si="101"/>
        <v/>
      </c>
      <c r="AW139" s="32" t="str">
        <f t="shared" si="102"/>
        <v/>
      </c>
      <c r="AX139" s="32" t="str">
        <f t="shared" si="103"/>
        <v/>
      </c>
      <c r="AY139" s="32" t="str">
        <f t="shared" si="104"/>
        <v/>
      </c>
    </row>
    <row r="140" spans="1:51" x14ac:dyDescent="0.25">
      <c r="A140" s="24" t="str">
        <f t="shared" si="105"/>
        <v/>
      </c>
      <c r="B140" s="24" t="str">
        <f t="shared" si="115"/>
        <v/>
      </c>
      <c r="C140" s="32" t="str">
        <f t="shared" si="106"/>
        <v/>
      </c>
      <c r="D140" s="24" t="str">
        <f t="shared" si="107"/>
        <v/>
      </c>
      <c r="E140" s="24" t="str">
        <f t="shared" si="108"/>
        <v/>
      </c>
      <c r="F140" s="32" t="str">
        <f t="shared" si="109"/>
        <v/>
      </c>
      <c r="G140" s="32" t="str">
        <f t="shared" si="110"/>
        <v/>
      </c>
      <c r="H140" s="32" t="str">
        <f t="shared" ca="1" si="111"/>
        <v/>
      </c>
      <c r="I140" s="32" t="str">
        <f t="shared" ca="1" si="116"/>
        <v/>
      </c>
      <c r="J140" s="32" t="str">
        <f t="shared" si="112"/>
        <v/>
      </c>
      <c r="K140" s="32" t="str">
        <f>IF(ISNUMBER(A140),Profile!$V$25+Profile!$V$24*'Ri-Po'!C140,"")</f>
        <v/>
      </c>
      <c r="L140" s="32" t="str">
        <f t="shared" si="117"/>
        <v/>
      </c>
      <c r="M140" s="32" t="str">
        <f t="shared" si="113"/>
        <v/>
      </c>
      <c r="N140" s="32" t="str">
        <f t="shared" si="114"/>
        <v/>
      </c>
      <c r="O140" s="32" t="str">
        <f t="shared" si="130"/>
        <v/>
      </c>
      <c r="P140" s="32" t="str">
        <f t="shared" si="118"/>
        <v/>
      </c>
      <c r="Q140" s="32" t="str">
        <f t="shared" si="119"/>
        <v/>
      </c>
      <c r="R140" s="32" t="str">
        <f t="shared" si="131"/>
        <v/>
      </c>
      <c r="S140" s="24" t="str">
        <f t="shared" si="132"/>
        <v/>
      </c>
      <c r="T140" s="24" t="str">
        <f t="shared" si="133"/>
        <v/>
      </c>
      <c r="U140" s="24" t="str">
        <f t="shared" si="134"/>
        <v/>
      </c>
      <c r="V140" s="24" t="str">
        <f t="shared" si="135"/>
        <v/>
      </c>
      <c r="W140" s="23" t="str">
        <f t="array" ref="W140">IFERROR(SMALL(IF(S$1:S$1000="BEGIN",ROW(S$1:S$1000)),ROW()-3),"")</f>
        <v/>
      </c>
      <c r="X140" s="23" t="str">
        <f t="array" ref="X140">IFERROR(SMALL(IF(T$1:T$1000="END",ROW(T$1:T$1000)),ROW()-3),"")</f>
        <v/>
      </c>
      <c r="Y140" s="33" t="str">
        <f t="array" ref="Y140">IF(ISNUMBER(W140),MAX(IF((B$4:B$1000&lt;=X140)*(B$4:B$1000&gt;=W140),I$4:I$1000, "")),"")</f>
        <v/>
      </c>
      <c r="Z140" s="33" t="str">
        <f t="shared" si="120"/>
        <v/>
      </c>
      <c r="AA140" s="32" t="str">
        <f t="shared" si="121"/>
        <v/>
      </c>
      <c r="AB140" s="32" t="str">
        <f t="shared" si="122"/>
        <v/>
      </c>
      <c r="AC140" s="32" t="str">
        <f t="shared" si="123"/>
        <v/>
      </c>
      <c r="AD140" s="32" t="str">
        <f t="shared" si="124"/>
        <v/>
      </c>
      <c r="AE140" s="34" t="str">
        <f t="shared" si="125"/>
        <v/>
      </c>
      <c r="AF140" s="32" t="str">
        <f t="shared" si="126"/>
        <v/>
      </c>
      <c r="AG140" s="32" t="str">
        <f t="shared" si="127"/>
        <v/>
      </c>
      <c r="AH140" s="32" t="str">
        <f t="shared" si="128"/>
        <v/>
      </c>
      <c r="AI140" s="35" t="str">
        <f t="shared" si="129"/>
        <v/>
      </c>
      <c r="AJ140" s="23" t="str">
        <f t="array" ref="AJ140">IFERROR(SMALL(IF(U$1:U$1000="BEGIN",ROW(U$1:U$1000)),ROW()-3),"")</f>
        <v/>
      </c>
      <c r="AK140" s="23" t="str">
        <f t="array" ref="AK140">IFERROR(SMALL(IF(V$1:V$1000="END",ROW(V$1:V$1000)),ROW()-3),"")</f>
        <v/>
      </c>
      <c r="AL140" s="24" t="str">
        <f t="array" ref="AL140">IF(AK140="","",MATCH(AM140,L:L,0))</f>
        <v/>
      </c>
      <c r="AM140" s="35">
        <f t="array" ref="AM140">MAX(IF((B$4:B$1000&lt;=AK140)*(B$4:B$1000&gt;=AJ140),L$4:L$1000, ""))</f>
        <v>0</v>
      </c>
      <c r="AN140" s="32" t="str">
        <f t="shared" si="93"/>
        <v/>
      </c>
      <c r="AO140" s="32" t="str">
        <f t="shared" si="94"/>
        <v/>
      </c>
      <c r="AP140" s="32" t="str">
        <f t="shared" si="95"/>
        <v/>
      </c>
      <c r="AQ140" s="32" t="str">
        <f t="shared" si="96"/>
        <v/>
      </c>
      <c r="AR140" s="32" t="str">
        <f t="shared" si="97"/>
        <v/>
      </c>
      <c r="AS140" s="32" t="str">
        <f t="shared" si="98"/>
        <v/>
      </c>
      <c r="AT140" s="32" t="str">
        <f t="shared" si="99"/>
        <v/>
      </c>
      <c r="AU140" s="34" t="str">
        <f t="shared" si="100"/>
        <v/>
      </c>
      <c r="AV140" s="32" t="str">
        <f t="shared" si="101"/>
        <v/>
      </c>
      <c r="AW140" s="32" t="str">
        <f t="shared" si="102"/>
        <v/>
      </c>
      <c r="AX140" s="32" t="str">
        <f t="shared" si="103"/>
        <v/>
      </c>
      <c r="AY140" s="32" t="str">
        <f t="shared" si="104"/>
        <v/>
      </c>
    </row>
    <row r="141" spans="1:51" x14ac:dyDescent="0.25">
      <c r="A141" s="24" t="str">
        <f t="shared" si="105"/>
        <v/>
      </c>
      <c r="B141" s="24" t="str">
        <f t="shared" si="115"/>
        <v/>
      </c>
      <c r="C141" s="32" t="str">
        <f t="shared" si="106"/>
        <v/>
      </c>
      <c r="D141" s="24" t="str">
        <f t="shared" si="107"/>
        <v/>
      </c>
      <c r="E141" s="24" t="str">
        <f t="shared" si="108"/>
        <v/>
      </c>
      <c r="F141" s="32" t="str">
        <f t="shared" si="109"/>
        <v/>
      </c>
      <c r="G141" s="32" t="str">
        <f t="shared" si="110"/>
        <v/>
      </c>
      <c r="H141" s="32" t="str">
        <f t="shared" ca="1" si="111"/>
        <v/>
      </c>
      <c r="I141" s="32" t="str">
        <f t="shared" ca="1" si="116"/>
        <v/>
      </c>
      <c r="J141" s="32" t="str">
        <f t="shared" si="112"/>
        <v/>
      </c>
      <c r="K141" s="32" t="str">
        <f>IF(ISNUMBER(A141),Profile!$V$25+Profile!$V$24*'Ri-Po'!C141,"")</f>
        <v/>
      </c>
      <c r="L141" s="32" t="str">
        <f t="shared" si="117"/>
        <v/>
      </c>
      <c r="M141" s="32" t="str">
        <f t="shared" si="113"/>
        <v/>
      </c>
      <c r="N141" s="32" t="str">
        <f t="shared" si="114"/>
        <v/>
      </c>
      <c r="O141" s="32" t="str">
        <f t="shared" si="130"/>
        <v/>
      </c>
      <c r="P141" s="32" t="str">
        <f t="shared" si="118"/>
        <v/>
      </c>
      <c r="Q141" s="32" t="str">
        <f t="shared" si="119"/>
        <v/>
      </c>
      <c r="R141" s="32" t="str">
        <f t="shared" si="131"/>
        <v/>
      </c>
      <c r="S141" s="24" t="str">
        <f t="shared" si="132"/>
        <v/>
      </c>
      <c r="T141" s="24" t="str">
        <f t="shared" si="133"/>
        <v/>
      </c>
      <c r="U141" s="24" t="str">
        <f t="shared" si="134"/>
        <v/>
      </c>
      <c r="V141" s="24" t="str">
        <f t="shared" si="135"/>
        <v/>
      </c>
      <c r="W141" s="23" t="str">
        <f t="array" ref="W141">IFERROR(SMALL(IF(S$1:S$1000="BEGIN",ROW(S$1:S$1000)),ROW()-3),"")</f>
        <v/>
      </c>
      <c r="X141" s="23" t="str">
        <f t="array" ref="X141">IFERROR(SMALL(IF(T$1:T$1000="END",ROW(T$1:T$1000)),ROW()-3),"")</f>
        <v/>
      </c>
      <c r="Y141" s="33" t="str">
        <f t="array" ref="Y141">IF(ISNUMBER(W141),MAX(IF((B$4:B$1000&lt;=X141)*(B$4:B$1000&gt;=W141),I$4:I$1000, "")),"")</f>
        <v/>
      </c>
      <c r="Z141" s="33" t="str">
        <f t="shared" si="120"/>
        <v/>
      </c>
      <c r="AA141" s="32" t="str">
        <f t="shared" si="121"/>
        <v/>
      </c>
      <c r="AB141" s="32" t="str">
        <f t="shared" si="122"/>
        <v/>
      </c>
      <c r="AC141" s="32" t="str">
        <f t="shared" si="123"/>
        <v/>
      </c>
      <c r="AD141" s="32" t="str">
        <f t="shared" si="124"/>
        <v/>
      </c>
      <c r="AE141" s="34" t="str">
        <f t="shared" si="125"/>
        <v/>
      </c>
      <c r="AF141" s="32" t="str">
        <f t="shared" si="126"/>
        <v/>
      </c>
      <c r="AG141" s="32" t="str">
        <f t="shared" si="127"/>
        <v/>
      </c>
      <c r="AH141" s="32" t="str">
        <f t="shared" si="128"/>
        <v/>
      </c>
      <c r="AI141" s="35" t="str">
        <f t="shared" si="129"/>
        <v/>
      </c>
      <c r="AJ141" s="23" t="str">
        <f t="array" ref="AJ141">IFERROR(SMALL(IF(U$1:U$1000="BEGIN",ROW(U$1:U$1000)),ROW()-3),"")</f>
        <v/>
      </c>
      <c r="AK141" s="23" t="str">
        <f t="array" ref="AK141">IFERROR(SMALL(IF(V$1:V$1000="END",ROW(V$1:V$1000)),ROW()-3),"")</f>
        <v/>
      </c>
      <c r="AL141" s="24" t="str">
        <f t="array" ref="AL141">IF(AK141="","",MATCH(AM141,L:L,0))</f>
        <v/>
      </c>
      <c r="AM141" s="35">
        <f t="array" ref="AM141">MAX(IF((B$4:B$1000&lt;=AK141)*(B$4:B$1000&gt;=AJ141),L$4:L$1000, ""))</f>
        <v>0</v>
      </c>
      <c r="AN141" s="32" t="str">
        <f t="shared" si="93"/>
        <v/>
      </c>
      <c r="AO141" s="32" t="str">
        <f t="shared" si="94"/>
        <v/>
      </c>
      <c r="AP141" s="32" t="str">
        <f t="shared" si="95"/>
        <v/>
      </c>
      <c r="AQ141" s="32" t="str">
        <f t="shared" si="96"/>
        <v/>
      </c>
      <c r="AR141" s="32" t="str">
        <f t="shared" si="97"/>
        <v/>
      </c>
      <c r="AS141" s="32" t="str">
        <f t="shared" si="98"/>
        <v/>
      </c>
      <c r="AT141" s="32" t="str">
        <f t="shared" si="99"/>
        <v/>
      </c>
      <c r="AU141" s="34" t="str">
        <f t="shared" si="100"/>
        <v/>
      </c>
      <c r="AV141" s="32" t="str">
        <f t="shared" si="101"/>
        <v/>
      </c>
      <c r="AW141" s="32" t="str">
        <f t="shared" si="102"/>
        <v/>
      </c>
      <c r="AX141" s="32" t="str">
        <f t="shared" si="103"/>
        <v/>
      </c>
      <c r="AY141" s="32" t="str">
        <f t="shared" si="104"/>
        <v/>
      </c>
    </row>
    <row r="142" spans="1:51" x14ac:dyDescent="0.25">
      <c r="A142" s="24" t="str">
        <f t="shared" si="105"/>
        <v/>
      </c>
      <c r="B142" s="24" t="str">
        <f t="shared" si="115"/>
        <v/>
      </c>
      <c r="C142" s="32" t="str">
        <f t="shared" si="106"/>
        <v/>
      </c>
      <c r="D142" s="24" t="str">
        <f t="shared" si="107"/>
        <v/>
      </c>
      <c r="E142" s="24" t="str">
        <f t="shared" si="108"/>
        <v/>
      </c>
      <c r="F142" s="32" t="str">
        <f t="shared" si="109"/>
        <v/>
      </c>
      <c r="G142" s="32" t="str">
        <f t="shared" si="110"/>
        <v/>
      </c>
      <c r="H142" s="32" t="str">
        <f t="shared" ca="1" si="111"/>
        <v/>
      </c>
      <c r="I142" s="32" t="str">
        <f t="shared" ca="1" si="116"/>
        <v/>
      </c>
      <c r="J142" s="32" t="str">
        <f t="shared" si="112"/>
        <v/>
      </c>
      <c r="K142" s="32" t="str">
        <f>IF(ISNUMBER(A142),Profile!$V$25+Profile!$V$24*'Ri-Po'!C142,"")</f>
        <v/>
      </c>
      <c r="L142" s="32" t="str">
        <f t="shared" si="117"/>
        <v/>
      </c>
      <c r="M142" s="32" t="str">
        <f t="shared" si="113"/>
        <v/>
      </c>
      <c r="N142" s="32" t="str">
        <f t="shared" si="114"/>
        <v/>
      </c>
      <c r="O142" s="32" t="str">
        <f t="shared" si="130"/>
        <v/>
      </c>
      <c r="P142" s="32" t="str">
        <f t="shared" si="118"/>
        <v/>
      </c>
      <c r="Q142" s="32" t="str">
        <f t="shared" si="119"/>
        <v/>
      </c>
      <c r="R142" s="32" t="str">
        <f t="shared" si="131"/>
        <v/>
      </c>
      <c r="S142" s="24" t="str">
        <f t="shared" si="132"/>
        <v/>
      </c>
      <c r="T142" s="24" t="str">
        <f t="shared" si="133"/>
        <v/>
      </c>
      <c r="U142" s="24" t="str">
        <f t="shared" si="134"/>
        <v/>
      </c>
      <c r="V142" s="24" t="str">
        <f t="shared" si="135"/>
        <v/>
      </c>
      <c r="W142" s="23" t="str">
        <f t="array" ref="W142">IFERROR(SMALL(IF(S$1:S$1000="BEGIN",ROW(S$1:S$1000)),ROW()-3),"")</f>
        <v/>
      </c>
      <c r="X142" s="23" t="str">
        <f t="array" ref="X142">IFERROR(SMALL(IF(T$1:T$1000="END",ROW(T$1:T$1000)),ROW()-3),"")</f>
        <v/>
      </c>
      <c r="Y142" s="33" t="str">
        <f t="array" ref="Y142">IF(ISNUMBER(W142),MAX(IF((B$4:B$1000&lt;=X142)*(B$4:B$1000&gt;=W142),I$4:I$1000, "")),"")</f>
        <v/>
      </c>
      <c r="Z142" s="33" t="str">
        <f t="shared" si="120"/>
        <v/>
      </c>
      <c r="AA142" s="32" t="str">
        <f t="shared" si="121"/>
        <v/>
      </c>
      <c r="AB142" s="32" t="str">
        <f t="shared" si="122"/>
        <v/>
      </c>
      <c r="AC142" s="32" t="str">
        <f t="shared" si="123"/>
        <v/>
      </c>
      <c r="AD142" s="32" t="str">
        <f t="shared" si="124"/>
        <v/>
      </c>
      <c r="AE142" s="34" t="str">
        <f t="shared" si="125"/>
        <v/>
      </c>
      <c r="AF142" s="32" t="str">
        <f t="shared" si="126"/>
        <v/>
      </c>
      <c r="AG142" s="32" t="str">
        <f t="shared" si="127"/>
        <v/>
      </c>
      <c r="AH142" s="32" t="str">
        <f t="shared" si="128"/>
        <v/>
      </c>
      <c r="AI142" s="35" t="str">
        <f t="shared" si="129"/>
        <v/>
      </c>
      <c r="AJ142" s="23" t="str">
        <f t="array" ref="AJ142">IFERROR(SMALL(IF(U$1:U$1000="BEGIN",ROW(U$1:U$1000)),ROW()-3),"")</f>
        <v/>
      </c>
      <c r="AK142" s="23" t="str">
        <f t="array" ref="AK142">IFERROR(SMALL(IF(V$1:V$1000="END",ROW(V$1:V$1000)),ROW()-3),"")</f>
        <v/>
      </c>
      <c r="AL142" s="24" t="str">
        <f t="array" ref="AL142">IF(AK142="","",MATCH(AM142,L:L,0))</f>
        <v/>
      </c>
      <c r="AM142" s="35">
        <f t="array" ref="AM142">MAX(IF((B$4:B$1000&lt;=AK142)*(B$4:B$1000&gt;=AJ142),L$4:L$1000, ""))</f>
        <v>0</v>
      </c>
      <c r="AN142" s="32" t="str">
        <f t="shared" si="93"/>
        <v/>
      </c>
      <c r="AO142" s="32" t="str">
        <f t="shared" si="94"/>
        <v/>
      </c>
      <c r="AP142" s="32" t="str">
        <f t="shared" si="95"/>
        <v/>
      </c>
      <c r="AQ142" s="32" t="str">
        <f t="shared" si="96"/>
        <v/>
      </c>
      <c r="AR142" s="32" t="str">
        <f t="shared" si="97"/>
        <v/>
      </c>
      <c r="AS142" s="32" t="str">
        <f t="shared" si="98"/>
        <v/>
      </c>
      <c r="AT142" s="32" t="str">
        <f t="shared" si="99"/>
        <v/>
      </c>
      <c r="AU142" s="34" t="str">
        <f t="shared" si="100"/>
        <v/>
      </c>
      <c r="AV142" s="32" t="str">
        <f t="shared" si="101"/>
        <v/>
      </c>
      <c r="AW142" s="32" t="str">
        <f t="shared" si="102"/>
        <v/>
      </c>
      <c r="AX142" s="32" t="str">
        <f t="shared" si="103"/>
        <v/>
      </c>
      <c r="AY142" s="32" t="str">
        <f t="shared" si="104"/>
        <v/>
      </c>
    </row>
    <row r="143" spans="1:51" x14ac:dyDescent="0.25">
      <c r="A143" s="24" t="str">
        <f t="shared" si="105"/>
        <v/>
      </c>
      <c r="B143" s="24" t="str">
        <f t="shared" si="115"/>
        <v/>
      </c>
      <c r="C143" s="32" t="str">
        <f t="shared" si="106"/>
        <v/>
      </c>
      <c r="D143" s="24" t="str">
        <f t="shared" si="107"/>
        <v/>
      </c>
      <c r="E143" s="24" t="str">
        <f t="shared" si="108"/>
        <v/>
      </c>
      <c r="F143" s="32" t="str">
        <f t="shared" si="109"/>
        <v/>
      </c>
      <c r="G143" s="32" t="str">
        <f t="shared" si="110"/>
        <v/>
      </c>
      <c r="H143" s="32" t="str">
        <f t="shared" ca="1" si="111"/>
        <v/>
      </c>
      <c r="I143" s="32" t="str">
        <f t="shared" ca="1" si="116"/>
        <v/>
      </c>
      <c r="J143" s="32" t="str">
        <f t="shared" si="112"/>
        <v/>
      </c>
      <c r="K143" s="32" t="str">
        <f>IF(ISNUMBER(A143),Profile!$V$25+Profile!$V$24*'Ri-Po'!C143,"")</f>
        <v/>
      </c>
      <c r="L143" s="32" t="str">
        <f t="shared" si="117"/>
        <v/>
      </c>
      <c r="M143" s="32" t="str">
        <f t="shared" si="113"/>
        <v/>
      </c>
      <c r="N143" s="32" t="str">
        <f t="shared" si="114"/>
        <v/>
      </c>
      <c r="O143" s="32" t="str">
        <f t="shared" si="130"/>
        <v/>
      </c>
      <c r="P143" s="32" t="str">
        <f t="shared" si="118"/>
        <v/>
      </c>
      <c r="Q143" s="32" t="str">
        <f t="shared" si="119"/>
        <v/>
      </c>
      <c r="R143" s="32" t="str">
        <f t="shared" si="131"/>
        <v/>
      </c>
      <c r="S143" s="24" t="str">
        <f t="shared" si="132"/>
        <v/>
      </c>
      <c r="T143" s="24" t="str">
        <f t="shared" si="133"/>
        <v/>
      </c>
      <c r="U143" s="24" t="str">
        <f t="shared" si="134"/>
        <v/>
      </c>
      <c r="V143" s="24" t="str">
        <f t="shared" si="135"/>
        <v/>
      </c>
      <c r="W143" s="23" t="str">
        <f t="array" ref="W143">IFERROR(SMALL(IF(S$1:S$1000="BEGIN",ROW(S$1:S$1000)),ROW()-3),"")</f>
        <v/>
      </c>
      <c r="X143" s="23" t="str">
        <f t="array" ref="X143">IFERROR(SMALL(IF(T$1:T$1000="END",ROW(T$1:T$1000)),ROW()-3),"")</f>
        <v/>
      </c>
      <c r="Y143" s="33" t="str">
        <f t="array" ref="Y143">IF(ISNUMBER(W143),MAX(IF((B$4:B$1000&lt;=X143)*(B$4:B$1000&gt;=W143),I$4:I$1000, "")),"")</f>
        <v/>
      </c>
      <c r="Z143" s="33" t="str">
        <f t="shared" si="120"/>
        <v/>
      </c>
      <c r="AA143" s="32" t="str">
        <f t="shared" si="121"/>
        <v/>
      </c>
      <c r="AB143" s="32" t="str">
        <f t="shared" si="122"/>
        <v/>
      </c>
      <c r="AC143" s="32" t="str">
        <f t="shared" si="123"/>
        <v/>
      </c>
      <c r="AD143" s="32" t="str">
        <f t="shared" si="124"/>
        <v/>
      </c>
      <c r="AE143" s="34" t="str">
        <f t="shared" si="125"/>
        <v/>
      </c>
      <c r="AF143" s="32" t="str">
        <f t="shared" si="126"/>
        <v/>
      </c>
      <c r="AG143" s="32" t="str">
        <f t="shared" si="127"/>
        <v/>
      </c>
      <c r="AH143" s="32" t="str">
        <f t="shared" si="128"/>
        <v/>
      </c>
      <c r="AI143" s="35" t="str">
        <f t="shared" si="129"/>
        <v/>
      </c>
      <c r="AJ143" s="23" t="str">
        <f t="array" ref="AJ143">IFERROR(SMALL(IF(U$1:U$1000="BEGIN",ROW(U$1:U$1000)),ROW()-3),"")</f>
        <v/>
      </c>
      <c r="AK143" s="23" t="str">
        <f t="array" ref="AK143">IFERROR(SMALL(IF(V$1:V$1000="END",ROW(V$1:V$1000)),ROW()-3),"")</f>
        <v/>
      </c>
      <c r="AL143" s="24" t="str">
        <f t="array" ref="AL143">IF(AK143="","",MATCH(AM143,L:L,0))</f>
        <v/>
      </c>
      <c r="AM143" s="35">
        <f t="array" ref="AM143">MAX(IF((B$4:B$1000&lt;=AK143)*(B$4:B$1000&gt;=AJ143),L$4:L$1000, ""))</f>
        <v>0</v>
      </c>
      <c r="AN143" s="32" t="str">
        <f t="shared" si="93"/>
        <v/>
      </c>
      <c r="AO143" s="32" t="str">
        <f t="shared" si="94"/>
        <v/>
      </c>
      <c r="AP143" s="32" t="str">
        <f t="shared" si="95"/>
        <v/>
      </c>
      <c r="AQ143" s="32" t="str">
        <f t="shared" si="96"/>
        <v/>
      </c>
      <c r="AR143" s="32" t="str">
        <f t="shared" si="97"/>
        <v/>
      </c>
      <c r="AS143" s="32" t="str">
        <f t="shared" si="98"/>
        <v/>
      </c>
      <c r="AT143" s="32" t="str">
        <f t="shared" si="99"/>
        <v/>
      </c>
      <c r="AU143" s="34" t="str">
        <f t="shared" si="100"/>
        <v/>
      </c>
      <c r="AV143" s="32" t="str">
        <f t="shared" si="101"/>
        <v/>
      </c>
      <c r="AW143" s="32" t="str">
        <f t="shared" si="102"/>
        <v/>
      </c>
      <c r="AX143" s="32" t="str">
        <f t="shared" si="103"/>
        <v/>
      </c>
      <c r="AY143" s="32" t="str">
        <f t="shared" si="104"/>
        <v/>
      </c>
    </row>
    <row r="144" spans="1:51" x14ac:dyDescent="0.25">
      <c r="A144" s="24" t="str">
        <f t="shared" si="105"/>
        <v/>
      </c>
      <c r="B144" s="24" t="str">
        <f t="shared" si="115"/>
        <v/>
      </c>
      <c r="C144" s="32" t="str">
        <f t="shared" si="106"/>
        <v/>
      </c>
      <c r="D144" s="24" t="str">
        <f t="shared" si="107"/>
        <v/>
      </c>
      <c r="E144" s="24" t="str">
        <f t="shared" si="108"/>
        <v/>
      </c>
      <c r="F144" s="32" t="str">
        <f t="shared" si="109"/>
        <v/>
      </c>
      <c r="G144" s="32" t="str">
        <f t="shared" si="110"/>
        <v/>
      </c>
      <c r="H144" s="32" t="str">
        <f t="shared" ca="1" si="111"/>
        <v/>
      </c>
      <c r="I144" s="32" t="str">
        <f t="shared" ca="1" si="116"/>
        <v/>
      </c>
      <c r="J144" s="32" t="str">
        <f t="shared" si="112"/>
        <v/>
      </c>
      <c r="K144" s="32" t="str">
        <f>IF(ISNUMBER(A144),Profile!$V$25+Profile!$V$24*'Ri-Po'!C144,"")</f>
        <v/>
      </c>
      <c r="L144" s="32" t="str">
        <f t="shared" si="117"/>
        <v/>
      </c>
      <c r="M144" s="32" t="str">
        <f t="shared" si="113"/>
        <v/>
      </c>
      <c r="N144" s="32" t="str">
        <f t="shared" si="114"/>
        <v/>
      </c>
      <c r="O144" s="32" t="str">
        <f t="shared" si="130"/>
        <v/>
      </c>
      <c r="P144" s="32" t="str">
        <f t="shared" si="118"/>
        <v/>
      </c>
      <c r="Q144" s="32" t="str">
        <f t="shared" si="119"/>
        <v/>
      </c>
      <c r="R144" s="32" t="str">
        <f t="shared" si="131"/>
        <v/>
      </c>
      <c r="S144" s="24" t="str">
        <f t="shared" si="132"/>
        <v/>
      </c>
      <c r="T144" s="24" t="str">
        <f t="shared" si="133"/>
        <v/>
      </c>
      <c r="U144" s="24" t="str">
        <f t="shared" si="134"/>
        <v/>
      </c>
      <c r="V144" s="24" t="str">
        <f t="shared" si="135"/>
        <v/>
      </c>
      <c r="W144" s="23" t="str">
        <f t="array" ref="W144">IFERROR(SMALL(IF(S$1:S$1000="BEGIN",ROW(S$1:S$1000)),ROW()-3),"")</f>
        <v/>
      </c>
      <c r="X144" s="23" t="str">
        <f t="array" ref="X144">IFERROR(SMALL(IF(T$1:T$1000="END",ROW(T$1:T$1000)),ROW()-3),"")</f>
        <v/>
      </c>
      <c r="Y144" s="33" t="str">
        <f t="array" ref="Y144">IF(ISNUMBER(W144),MAX(IF((B$4:B$1000&lt;=X144)*(B$4:B$1000&gt;=W144),I$4:I$1000, "")),"")</f>
        <v/>
      </c>
      <c r="Z144" s="33" t="str">
        <f t="shared" si="120"/>
        <v/>
      </c>
      <c r="AA144" s="32" t="str">
        <f t="shared" si="121"/>
        <v/>
      </c>
      <c r="AB144" s="32" t="str">
        <f t="shared" si="122"/>
        <v/>
      </c>
      <c r="AC144" s="32" t="str">
        <f t="shared" si="123"/>
        <v/>
      </c>
      <c r="AD144" s="32" t="str">
        <f t="shared" si="124"/>
        <v/>
      </c>
      <c r="AE144" s="34" t="str">
        <f t="shared" si="125"/>
        <v/>
      </c>
      <c r="AF144" s="32" t="str">
        <f t="shared" si="126"/>
        <v/>
      </c>
      <c r="AG144" s="32" t="str">
        <f t="shared" si="127"/>
        <v/>
      </c>
      <c r="AH144" s="32" t="str">
        <f t="shared" si="128"/>
        <v/>
      </c>
      <c r="AI144" s="35" t="str">
        <f t="shared" si="129"/>
        <v/>
      </c>
      <c r="AJ144" s="23" t="str">
        <f t="array" ref="AJ144">IFERROR(SMALL(IF(U$1:U$1000="BEGIN",ROW(U$1:U$1000)),ROW()-3),"")</f>
        <v/>
      </c>
      <c r="AK144" s="23" t="str">
        <f t="array" ref="AK144">IFERROR(SMALL(IF(V$1:V$1000="END",ROW(V$1:V$1000)),ROW()-3),"")</f>
        <v/>
      </c>
      <c r="AL144" s="24" t="str">
        <f t="array" ref="AL144">IF(AK144="","",MATCH(AM144,L:L,0))</f>
        <v/>
      </c>
      <c r="AM144" s="35">
        <f t="array" ref="AM144">MAX(IF((B$4:B$1000&lt;=AK144)*(B$4:B$1000&gt;=AJ144),L$4:L$1000, ""))</f>
        <v>0</v>
      </c>
      <c r="AN144" s="32" t="str">
        <f t="shared" si="93"/>
        <v/>
      </c>
      <c r="AO144" s="32" t="str">
        <f t="shared" si="94"/>
        <v/>
      </c>
      <c r="AP144" s="32" t="str">
        <f t="shared" si="95"/>
        <v/>
      </c>
      <c r="AQ144" s="32" t="str">
        <f t="shared" si="96"/>
        <v/>
      </c>
      <c r="AR144" s="32" t="str">
        <f t="shared" si="97"/>
        <v/>
      </c>
      <c r="AS144" s="32" t="str">
        <f t="shared" si="98"/>
        <v/>
      </c>
      <c r="AT144" s="32" t="str">
        <f t="shared" si="99"/>
        <v/>
      </c>
      <c r="AU144" s="34" t="str">
        <f t="shared" si="100"/>
        <v/>
      </c>
      <c r="AV144" s="32" t="str">
        <f t="shared" si="101"/>
        <v/>
      </c>
      <c r="AW144" s="32" t="str">
        <f t="shared" si="102"/>
        <v/>
      </c>
      <c r="AX144" s="32" t="str">
        <f t="shared" si="103"/>
        <v/>
      </c>
      <c r="AY144" s="32" t="str">
        <f t="shared" si="104"/>
        <v/>
      </c>
    </row>
    <row r="145" spans="1:51" x14ac:dyDescent="0.25">
      <c r="A145" s="24" t="str">
        <f t="shared" si="105"/>
        <v/>
      </c>
      <c r="B145" s="24" t="str">
        <f t="shared" si="115"/>
        <v/>
      </c>
      <c r="C145" s="32" t="str">
        <f t="shared" si="106"/>
        <v/>
      </c>
      <c r="D145" s="24" t="str">
        <f t="shared" si="107"/>
        <v/>
      </c>
      <c r="E145" s="24" t="str">
        <f t="shared" si="108"/>
        <v/>
      </c>
      <c r="F145" s="32" t="str">
        <f t="shared" si="109"/>
        <v/>
      </c>
      <c r="G145" s="32" t="str">
        <f t="shared" si="110"/>
        <v/>
      </c>
      <c r="H145" s="32" t="str">
        <f t="shared" ca="1" si="111"/>
        <v/>
      </c>
      <c r="I145" s="32" t="str">
        <f t="shared" ca="1" si="116"/>
        <v/>
      </c>
      <c r="J145" s="32" t="str">
        <f t="shared" si="112"/>
        <v/>
      </c>
      <c r="K145" s="32" t="str">
        <f>IF(ISNUMBER(A145),Profile!$V$25+Profile!$V$24*'Ri-Po'!C145,"")</f>
        <v/>
      </c>
      <c r="L145" s="32" t="str">
        <f t="shared" si="117"/>
        <v/>
      </c>
      <c r="M145" s="32" t="str">
        <f t="shared" si="113"/>
        <v/>
      </c>
      <c r="N145" s="32" t="str">
        <f t="shared" si="114"/>
        <v/>
      </c>
      <c r="O145" s="32" t="str">
        <f t="shared" si="130"/>
        <v/>
      </c>
      <c r="P145" s="32" t="str">
        <f t="shared" si="118"/>
        <v/>
      </c>
      <c r="Q145" s="32" t="str">
        <f t="shared" si="119"/>
        <v/>
      </c>
      <c r="R145" s="32" t="str">
        <f t="shared" si="131"/>
        <v/>
      </c>
      <c r="S145" s="24" t="str">
        <f t="shared" si="132"/>
        <v/>
      </c>
      <c r="T145" s="24" t="str">
        <f t="shared" si="133"/>
        <v/>
      </c>
      <c r="U145" s="24" t="str">
        <f t="shared" si="134"/>
        <v/>
      </c>
      <c r="V145" s="24" t="str">
        <f t="shared" si="135"/>
        <v/>
      </c>
      <c r="W145" s="23" t="str">
        <f t="array" ref="W145">IFERROR(SMALL(IF(S$1:S$1000="BEGIN",ROW(S$1:S$1000)),ROW()-3),"")</f>
        <v/>
      </c>
      <c r="X145" s="23" t="str">
        <f t="array" ref="X145">IFERROR(SMALL(IF(T$1:T$1000="END",ROW(T$1:T$1000)),ROW()-3),"")</f>
        <v/>
      </c>
      <c r="Y145" s="33" t="str">
        <f t="array" ref="Y145">IF(ISNUMBER(W145),MAX(IF((B$4:B$1000&lt;=X145)*(B$4:B$1000&gt;=W145),I$4:I$1000, "")),"")</f>
        <v/>
      </c>
      <c r="Z145" s="33" t="str">
        <f t="shared" si="120"/>
        <v/>
      </c>
      <c r="AA145" s="32" t="str">
        <f t="shared" si="121"/>
        <v/>
      </c>
      <c r="AB145" s="32" t="str">
        <f t="shared" si="122"/>
        <v/>
      </c>
      <c r="AC145" s="32" t="str">
        <f t="shared" si="123"/>
        <v/>
      </c>
      <c r="AD145" s="32" t="str">
        <f t="shared" si="124"/>
        <v/>
      </c>
      <c r="AE145" s="34" t="str">
        <f t="shared" si="125"/>
        <v/>
      </c>
      <c r="AF145" s="32" t="str">
        <f t="shared" si="126"/>
        <v/>
      </c>
      <c r="AG145" s="32" t="str">
        <f t="shared" si="127"/>
        <v/>
      </c>
      <c r="AH145" s="32" t="str">
        <f t="shared" si="128"/>
        <v/>
      </c>
      <c r="AI145" s="35" t="str">
        <f t="shared" si="129"/>
        <v/>
      </c>
      <c r="AJ145" s="23" t="str">
        <f t="array" ref="AJ145">IFERROR(SMALL(IF(U$1:U$1000="BEGIN",ROW(U$1:U$1000)),ROW()-3),"")</f>
        <v/>
      </c>
      <c r="AK145" s="23" t="str">
        <f t="array" ref="AK145">IFERROR(SMALL(IF(V$1:V$1000="END",ROW(V$1:V$1000)),ROW()-3),"")</f>
        <v/>
      </c>
      <c r="AL145" s="24" t="str">
        <f t="array" ref="AL145">IF(AK145="","",MATCH(AM145,L:L,0))</f>
        <v/>
      </c>
      <c r="AM145" s="35">
        <f t="array" ref="AM145">MAX(IF((B$4:B$1000&lt;=AK145)*(B$4:B$1000&gt;=AJ145),L$4:L$1000, ""))</f>
        <v>0</v>
      </c>
      <c r="AN145" s="32" t="str">
        <f t="shared" si="93"/>
        <v/>
      </c>
      <c r="AO145" s="32" t="str">
        <f t="shared" si="94"/>
        <v/>
      </c>
      <c r="AP145" s="32" t="str">
        <f t="shared" si="95"/>
        <v/>
      </c>
      <c r="AQ145" s="32" t="str">
        <f t="shared" si="96"/>
        <v/>
      </c>
      <c r="AR145" s="32" t="str">
        <f t="shared" si="97"/>
        <v/>
      </c>
      <c r="AS145" s="32" t="str">
        <f t="shared" si="98"/>
        <v/>
      </c>
      <c r="AT145" s="32" t="str">
        <f t="shared" si="99"/>
        <v/>
      </c>
      <c r="AU145" s="34" t="str">
        <f t="shared" si="100"/>
        <v/>
      </c>
      <c r="AV145" s="32" t="str">
        <f t="shared" si="101"/>
        <v/>
      </c>
      <c r="AW145" s="32" t="str">
        <f t="shared" si="102"/>
        <v/>
      </c>
      <c r="AX145" s="32" t="str">
        <f t="shared" si="103"/>
        <v/>
      </c>
      <c r="AY145" s="32" t="str">
        <f t="shared" si="104"/>
        <v/>
      </c>
    </row>
    <row r="146" spans="1:51" x14ac:dyDescent="0.25">
      <c r="A146" s="24" t="str">
        <f t="shared" si="105"/>
        <v/>
      </c>
      <c r="B146" s="24" t="str">
        <f t="shared" si="115"/>
        <v/>
      </c>
      <c r="C146" s="32" t="str">
        <f t="shared" si="106"/>
        <v/>
      </c>
      <c r="D146" s="24" t="str">
        <f t="shared" si="107"/>
        <v/>
      </c>
      <c r="E146" s="24" t="str">
        <f t="shared" si="108"/>
        <v/>
      </c>
      <c r="F146" s="32" t="str">
        <f t="shared" si="109"/>
        <v/>
      </c>
      <c r="G146" s="32" t="str">
        <f t="shared" si="110"/>
        <v/>
      </c>
      <c r="H146" s="32" t="str">
        <f t="shared" ca="1" si="111"/>
        <v/>
      </c>
      <c r="I146" s="32" t="str">
        <f t="shared" ca="1" si="116"/>
        <v/>
      </c>
      <c r="J146" s="32" t="str">
        <f t="shared" si="112"/>
        <v/>
      </c>
      <c r="K146" s="32" t="str">
        <f>IF(ISNUMBER(A146),Profile!$V$25+Profile!$V$24*'Ri-Po'!C146,"")</f>
        <v/>
      </c>
      <c r="L146" s="32" t="str">
        <f t="shared" si="117"/>
        <v/>
      </c>
      <c r="M146" s="32" t="str">
        <f t="shared" si="113"/>
        <v/>
      </c>
      <c r="N146" s="32" t="str">
        <f t="shared" si="114"/>
        <v/>
      </c>
      <c r="O146" s="32" t="str">
        <f t="shared" si="130"/>
        <v/>
      </c>
      <c r="P146" s="32" t="str">
        <f t="shared" si="118"/>
        <v/>
      </c>
      <c r="Q146" s="32" t="str">
        <f t="shared" si="119"/>
        <v/>
      </c>
      <c r="R146" s="32" t="str">
        <f t="shared" si="131"/>
        <v/>
      </c>
      <c r="S146" s="24" t="str">
        <f t="shared" si="132"/>
        <v/>
      </c>
      <c r="T146" s="24" t="str">
        <f t="shared" si="133"/>
        <v/>
      </c>
      <c r="U146" s="24" t="str">
        <f t="shared" si="134"/>
        <v/>
      </c>
      <c r="V146" s="24" t="str">
        <f t="shared" si="135"/>
        <v/>
      </c>
      <c r="W146" s="23" t="str">
        <f t="array" ref="W146">IFERROR(SMALL(IF(S$1:S$1000="BEGIN",ROW(S$1:S$1000)),ROW()-3),"")</f>
        <v/>
      </c>
      <c r="X146" s="23" t="str">
        <f t="array" ref="X146">IFERROR(SMALL(IF(T$1:T$1000="END",ROW(T$1:T$1000)),ROW()-3),"")</f>
        <v/>
      </c>
      <c r="Y146" s="33" t="str">
        <f t="array" ref="Y146">IF(ISNUMBER(W146),MAX(IF((B$4:B$1000&lt;=X146)*(B$4:B$1000&gt;=W146),I$4:I$1000, "")),"")</f>
        <v/>
      </c>
      <c r="Z146" s="33" t="str">
        <f t="shared" si="120"/>
        <v/>
      </c>
      <c r="AA146" s="32" t="str">
        <f t="shared" si="121"/>
        <v/>
      </c>
      <c r="AB146" s="32" t="str">
        <f t="shared" si="122"/>
        <v/>
      </c>
      <c r="AC146" s="32" t="str">
        <f t="shared" si="123"/>
        <v/>
      </c>
      <c r="AD146" s="32" t="str">
        <f t="shared" si="124"/>
        <v/>
      </c>
      <c r="AE146" s="34" t="str">
        <f t="shared" si="125"/>
        <v/>
      </c>
      <c r="AF146" s="32" t="str">
        <f t="shared" si="126"/>
        <v/>
      </c>
      <c r="AG146" s="32" t="str">
        <f t="shared" si="127"/>
        <v/>
      </c>
      <c r="AH146" s="32" t="str">
        <f t="shared" si="128"/>
        <v/>
      </c>
      <c r="AI146" s="35" t="str">
        <f t="shared" si="129"/>
        <v/>
      </c>
      <c r="AJ146" s="23" t="str">
        <f t="array" ref="AJ146">IFERROR(SMALL(IF(U$1:U$1000="BEGIN",ROW(U$1:U$1000)),ROW()-3),"")</f>
        <v/>
      </c>
      <c r="AK146" s="23" t="str">
        <f t="array" ref="AK146">IFERROR(SMALL(IF(V$1:V$1000="END",ROW(V$1:V$1000)),ROW()-3),"")</f>
        <v/>
      </c>
      <c r="AL146" s="24" t="str">
        <f t="array" ref="AL146">IF(AK146="","",MATCH(AM146,L:L,0))</f>
        <v/>
      </c>
      <c r="AM146" s="35">
        <f t="array" ref="AM146">MAX(IF((B$4:B$1000&lt;=AK146)*(B$4:B$1000&gt;=AJ146),L$4:L$1000, ""))</f>
        <v>0</v>
      </c>
      <c r="AN146" s="32" t="str">
        <f t="shared" ref="AN146:AN209" si="136">IFERROR(INDEX(C:C,AJ146),"")</f>
        <v/>
      </c>
      <c r="AO146" s="32" t="str">
        <f t="shared" ref="AO146:AO209" si="137">IFERROR(INDEX(C:C,AK146),"")</f>
        <v/>
      </c>
      <c r="AP146" s="32" t="str">
        <f t="shared" ref="AP146:AP209" si="138">IFERROR(INDEX(C:C,AL146),"")</f>
        <v/>
      </c>
      <c r="AQ146" s="32" t="str">
        <f t="shared" ref="AQ146:AQ209" si="139">IF(ISNUMBER(AN146),AM146,"")</f>
        <v/>
      </c>
      <c r="AR146" s="32" t="str">
        <f t="shared" ref="AR146:AR209" si="140">IFERROR(AO146-AN146,"")</f>
        <v/>
      </c>
      <c r="AS146" s="32" t="str">
        <f t="shared" ref="AS146:AS209" si="141">IFERROR(INDEX(H:H,AJ146),"")</f>
        <v/>
      </c>
      <c r="AT146" s="32" t="str">
        <f t="shared" ref="AT146:AT209" si="142">IFERROR(INDEX(H:H,AK146),"")</f>
        <v/>
      </c>
      <c r="AU146" s="34" t="str">
        <f t="shared" ref="AU146:AU209" si="143">IFERROR((AS146-AT146)/(AR146),"")</f>
        <v/>
      </c>
      <c r="AV146" s="32" t="str">
        <f t="shared" ref="AV146:AV209" si="144">IFERROR(AQ146/$BB$17,"")</f>
        <v/>
      </c>
      <c r="AW146" s="32" t="str">
        <f t="shared" ref="AW146:AW209" si="145">IFERROR(AU146/BB$19,"")</f>
        <v/>
      </c>
      <c r="AX146" s="32" t="str">
        <f t="shared" ref="AX146:AX209" si="146">IFERROR(AP147-AP146,"")</f>
        <v/>
      </c>
      <c r="AY146" s="32" t="str">
        <f t="shared" ref="AY146:AY209" si="147">IFERROR(AX146/BB$16,"")</f>
        <v/>
      </c>
    </row>
    <row r="147" spans="1:51" x14ac:dyDescent="0.25">
      <c r="A147" s="24" t="str">
        <f t="shared" si="105"/>
        <v/>
      </c>
      <c r="B147" s="24" t="str">
        <f t="shared" si="115"/>
        <v/>
      </c>
      <c r="C147" s="32" t="str">
        <f t="shared" si="106"/>
        <v/>
      </c>
      <c r="D147" s="24" t="str">
        <f t="shared" si="107"/>
        <v/>
      </c>
      <c r="E147" s="24" t="str">
        <f t="shared" si="108"/>
        <v/>
      </c>
      <c r="F147" s="32" t="str">
        <f t="shared" si="109"/>
        <v/>
      </c>
      <c r="G147" s="32" t="str">
        <f t="shared" si="110"/>
        <v/>
      </c>
      <c r="H147" s="32" t="str">
        <f t="shared" ca="1" si="111"/>
        <v/>
      </c>
      <c r="I147" s="32" t="str">
        <f t="shared" ca="1" si="116"/>
        <v/>
      </c>
      <c r="J147" s="32" t="str">
        <f t="shared" si="112"/>
        <v/>
      </c>
      <c r="K147" s="32" t="str">
        <f>IF(ISNUMBER(A147),Profile!$V$25+Profile!$V$24*'Ri-Po'!C147,"")</f>
        <v/>
      </c>
      <c r="L147" s="32" t="str">
        <f t="shared" si="117"/>
        <v/>
      </c>
      <c r="M147" s="32" t="str">
        <f t="shared" si="113"/>
        <v/>
      </c>
      <c r="N147" s="32" t="str">
        <f t="shared" si="114"/>
        <v/>
      </c>
      <c r="O147" s="32" t="str">
        <f t="shared" si="130"/>
        <v/>
      </c>
      <c r="P147" s="32" t="str">
        <f t="shared" si="118"/>
        <v/>
      </c>
      <c r="Q147" s="32" t="str">
        <f t="shared" si="119"/>
        <v/>
      </c>
      <c r="R147" s="32" t="str">
        <f t="shared" si="131"/>
        <v/>
      </c>
      <c r="S147" s="24" t="str">
        <f t="shared" si="132"/>
        <v/>
      </c>
      <c r="T147" s="24" t="str">
        <f t="shared" si="133"/>
        <v/>
      </c>
      <c r="U147" s="24" t="str">
        <f t="shared" si="134"/>
        <v/>
      </c>
      <c r="V147" s="24" t="str">
        <f t="shared" si="135"/>
        <v/>
      </c>
      <c r="W147" s="23" t="str">
        <f t="array" ref="W147">IFERROR(SMALL(IF(S$1:S$1000="BEGIN",ROW(S$1:S$1000)),ROW()-3),"")</f>
        <v/>
      </c>
      <c r="X147" s="23" t="str">
        <f t="array" ref="X147">IFERROR(SMALL(IF(T$1:T$1000="END",ROW(T$1:T$1000)),ROW()-3),"")</f>
        <v/>
      </c>
      <c r="Y147" s="33" t="str">
        <f t="array" ref="Y147">IF(ISNUMBER(W147),MAX(IF((B$4:B$1000&lt;=X147)*(B$4:B$1000&gt;=W147),I$4:I$1000, "")),"")</f>
        <v/>
      </c>
      <c r="Z147" s="33" t="str">
        <f t="shared" si="120"/>
        <v/>
      </c>
      <c r="AA147" s="32" t="str">
        <f t="shared" si="121"/>
        <v/>
      </c>
      <c r="AB147" s="32" t="str">
        <f t="shared" si="122"/>
        <v/>
      </c>
      <c r="AC147" s="32" t="str">
        <f t="shared" si="123"/>
        <v/>
      </c>
      <c r="AD147" s="32" t="str">
        <f t="shared" si="124"/>
        <v/>
      </c>
      <c r="AE147" s="34" t="str">
        <f t="shared" si="125"/>
        <v/>
      </c>
      <c r="AF147" s="32" t="str">
        <f t="shared" si="126"/>
        <v/>
      </c>
      <c r="AG147" s="32" t="str">
        <f t="shared" si="127"/>
        <v/>
      </c>
      <c r="AH147" s="32" t="str">
        <f t="shared" si="128"/>
        <v/>
      </c>
      <c r="AI147" s="35" t="str">
        <f t="shared" si="129"/>
        <v/>
      </c>
      <c r="AJ147" s="23" t="str">
        <f t="array" ref="AJ147">IFERROR(SMALL(IF(U$1:U$1000="BEGIN",ROW(U$1:U$1000)),ROW()-3),"")</f>
        <v/>
      </c>
      <c r="AK147" s="23" t="str">
        <f t="array" ref="AK147">IFERROR(SMALL(IF(V$1:V$1000="END",ROW(V$1:V$1000)),ROW()-3),"")</f>
        <v/>
      </c>
      <c r="AL147" s="24" t="str">
        <f t="array" ref="AL147">IF(AK147="","",MATCH(AM147,L:L,0))</f>
        <v/>
      </c>
      <c r="AM147" s="35">
        <f t="array" ref="AM147">MAX(IF((B$4:B$1000&lt;=AK147)*(B$4:B$1000&gt;=AJ147),L$4:L$1000, ""))</f>
        <v>0</v>
      </c>
      <c r="AN147" s="32" t="str">
        <f t="shared" si="136"/>
        <v/>
      </c>
      <c r="AO147" s="32" t="str">
        <f t="shared" si="137"/>
        <v/>
      </c>
      <c r="AP147" s="32" t="str">
        <f t="shared" si="138"/>
        <v/>
      </c>
      <c r="AQ147" s="32" t="str">
        <f t="shared" si="139"/>
        <v/>
      </c>
      <c r="AR147" s="32" t="str">
        <f t="shared" si="140"/>
        <v/>
      </c>
      <c r="AS147" s="32" t="str">
        <f t="shared" si="141"/>
        <v/>
      </c>
      <c r="AT147" s="32" t="str">
        <f t="shared" si="142"/>
        <v/>
      </c>
      <c r="AU147" s="34" t="str">
        <f t="shared" si="143"/>
        <v/>
      </c>
      <c r="AV147" s="32" t="str">
        <f t="shared" si="144"/>
        <v/>
      </c>
      <c r="AW147" s="32" t="str">
        <f t="shared" si="145"/>
        <v/>
      </c>
      <c r="AX147" s="32" t="str">
        <f t="shared" si="146"/>
        <v/>
      </c>
      <c r="AY147" s="32" t="str">
        <f t="shared" si="147"/>
        <v/>
      </c>
    </row>
    <row r="148" spans="1:51" x14ac:dyDescent="0.25">
      <c r="A148" s="24" t="str">
        <f t="shared" si="105"/>
        <v/>
      </c>
      <c r="B148" s="24" t="str">
        <f t="shared" si="115"/>
        <v/>
      </c>
      <c r="C148" s="32" t="str">
        <f t="shared" si="106"/>
        <v/>
      </c>
      <c r="D148" s="24" t="str">
        <f t="shared" si="107"/>
        <v/>
      </c>
      <c r="E148" s="24" t="str">
        <f t="shared" si="108"/>
        <v/>
      </c>
      <c r="F148" s="32" t="str">
        <f t="shared" si="109"/>
        <v/>
      </c>
      <c r="G148" s="32" t="str">
        <f t="shared" si="110"/>
        <v/>
      </c>
      <c r="H148" s="32" t="str">
        <f t="shared" ca="1" si="111"/>
        <v/>
      </c>
      <c r="I148" s="32" t="str">
        <f t="shared" ca="1" si="116"/>
        <v/>
      </c>
      <c r="J148" s="32" t="str">
        <f t="shared" si="112"/>
        <v/>
      </c>
      <c r="K148" s="32" t="str">
        <f>IF(ISNUMBER(A148),Profile!$V$25+Profile!$V$24*'Ri-Po'!C148,"")</f>
        <v/>
      </c>
      <c r="L148" s="32" t="str">
        <f t="shared" si="117"/>
        <v/>
      </c>
      <c r="M148" s="32" t="str">
        <f t="shared" si="113"/>
        <v/>
      </c>
      <c r="N148" s="32" t="str">
        <f t="shared" si="114"/>
        <v/>
      </c>
      <c r="O148" s="32" t="str">
        <f t="shared" si="130"/>
        <v/>
      </c>
      <c r="P148" s="32" t="str">
        <f t="shared" si="118"/>
        <v/>
      </c>
      <c r="Q148" s="32" t="str">
        <f t="shared" si="119"/>
        <v/>
      </c>
      <c r="R148" s="32" t="str">
        <f t="shared" si="131"/>
        <v/>
      </c>
      <c r="S148" s="24" t="str">
        <f t="shared" si="132"/>
        <v/>
      </c>
      <c r="T148" s="24" t="str">
        <f t="shared" si="133"/>
        <v/>
      </c>
      <c r="U148" s="24" t="str">
        <f t="shared" si="134"/>
        <v/>
      </c>
      <c r="V148" s="24" t="str">
        <f t="shared" si="135"/>
        <v/>
      </c>
      <c r="W148" s="23" t="str">
        <f t="array" ref="W148">IFERROR(SMALL(IF(S$1:S$1000="BEGIN",ROW(S$1:S$1000)),ROW()-3),"")</f>
        <v/>
      </c>
      <c r="X148" s="23" t="str">
        <f t="array" ref="X148">IFERROR(SMALL(IF(T$1:T$1000="END",ROW(T$1:T$1000)),ROW()-3),"")</f>
        <v/>
      </c>
      <c r="Y148" s="33" t="str">
        <f t="array" ref="Y148">IF(ISNUMBER(W148),MAX(IF((B$4:B$1000&lt;=X148)*(B$4:B$1000&gt;=W148),I$4:I$1000, "")),"")</f>
        <v/>
      </c>
      <c r="Z148" s="33" t="str">
        <f t="shared" si="120"/>
        <v/>
      </c>
      <c r="AA148" s="32" t="str">
        <f t="shared" si="121"/>
        <v/>
      </c>
      <c r="AB148" s="32" t="str">
        <f t="shared" si="122"/>
        <v/>
      </c>
      <c r="AC148" s="32" t="str">
        <f t="shared" si="123"/>
        <v/>
      </c>
      <c r="AD148" s="32" t="str">
        <f t="shared" si="124"/>
        <v/>
      </c>
      <c r="AE148" s="34" t="str">
        <f t="shared" si="125"/>
        <v/>
      </c>
      <c r="AF148" s="32" t="str">
        <f t="shared" si="126"/>
        <v/>
      </c>
      <c r="AG148" s="32" t="str">
        <f t="shared" si="127"/>
        <v/>
      </c>
      <c r="AH148" s="32" t="str">
        <f t="shared" si="128"/>
        <v/>
      </c>
      <c r="AI148" s="35" t="str">
        <f t="shared" si="129"/>
        <v/>
      </c>
      <c r="AJ148" s="23" t="str">
        <f t="array" ref="AJ148">IFERROR(SMALL(IF(U$1:U$1000="BEGIN",ROW(U$1:U$1000)),ROW()-3),"")</f>
        <v/>
      </c>
      <c r="AK148" s="23" t="str">
        <f t="array" ref="AK148">IFERROR(SMALL(IF(V$1:V$1000="END",ROW(V$1:V$1000)),ROW()-3),"")</f>
        <v/>
      </c>
      <c r="AL148" s="24" t="str">
        <f t="array" ref="AL148">IF(AK148="","",MATCH(AM148,L:L,0))</f>
        <v/>
      </c>
      <c r="AM148" s="35">
        <f t="array" ref="AM148">MAX(IF((B$4:B$1000&lt;=AK148)*(B$4:B$1000&gt;=AJ148),L$4:L$1000, ""))</f>
        <v>0</v>
      </c>
      <c r="AN148" s="32" t="str">
        <f t="shared" si="136"/>
        <v/>
      </c>
      <c r="AO148" s="32" t="str">
        <f t="shared" si="137"/>
        <v/>
      </c>
      <c r="AP148" s="32" t="str">
        <f t="shared" si="138"/>
        <v/>
      </c>
      <c r="AQ148" s="32" t="str">
        <f t="shared" si="139"/>
        <v/>
      </c>
      <c r="AR148" s="32" t="str">
        <f t="shared" si="140"/>
        <v/>
      </c>
      <c r="AS148" s="32" t="str">
        <f t="shared" si="141"/>
        <v/>
      </c>
      <c r="AT148" s="32" t="str">
        <f t="shared" si="142"/>
        <v/>
      </c>
      <c r="AU148" s="34" t="str">
        <f t="shared" si="143"/>
        <v/>
      </c>
      <c r="AV148" s="32" t="str">
        <f t="shared" si="144"/>
        <v/>
      </c>
      <c r="AW148" s="32" t="str">
        <f t="shared" si="145"/>
        <v/>
      </c>
      <c r="AX148" s="32" t="str">
        <f t="shared" si="146"/>
        <v/>
      </c>
      <c r="AY148" s="32" t="str">
        <f t="shared" si="147"/>
        <v/>
      </c>
    </row>
    <row r="149" spans="1:51" x14ac:dyDescent="0.25">
      <c r="A149" s="24" t="str">
        <f t="shared" si="105"/>
        <v/>
      </c>
      <c r="B149" s="24" t="str">
        <f t="shared" si="115"/>
        <v/>
      </c>
      <c r="C149" s="32" t="str">
        <f t="shared" si="106"/>
        <v/>
      </c>
      <c r="D149" s="24" t="str">
        <f t="shared" si="107"/>
        <v/>
      </c>
      <c r="E149" s="24" t="str">
        <f t="shared" si="108"/>
        <v/>
      </c>
      <c r="F149" s="32" t="str">
        <f t="shared" si="109"/>
        <v/>
      </c>
      <c r="G149" s="32" t="str">
        <f t="shared" si="110"/>
        <v/>
      </c>
      <c r="H149" s="32" t="str">
        <f t="shared" ca="1" si="111"/>
        <v/>
      </c>
      <c r="I149" s="32" t="str">
        <f t="shared" ca="1" si="116"/>
        <v/>
      </c>
      <c r="J149" s="32" t="str">
        <f t="shared" si="112"/>
        <v/>
      </c>
      <c r="K149" s="32" t="str">
        <f>IF(ISNUMBER(A149),Profile!$V$25+Profile!$V$24*'Ri-Po'!C149,"")</f>
        <v/>
      </c>
      <c r="L149" s="32" t="str">
        <f t="shared" si="117"/>
        <v/>
      </c>
      <c r="M149" s="32" t="str">
        <f t="shared" si="113"/>
        <v/>
      </c>
      <c r="N149" s="32" t="str">
        <f t="shared" si="114"/>
        <v/>
      </c>
      <c r="O149" s="32" t="str">
        <f t="shared" si="130"/>
        <v/>
      </c>
      <c r="P149" s="32" t="str">
        <f t="shared" si="118"/>
        <v/>
      </c>
      <c r="Q149" s="32" t="str">
        <f t="shared" si="119"/>
        <v/>
      </c>
      <c r="R149" s="32" t="str">
        <f t="shared" si="131"/>
        <v/>
      </c>
      <c r="S149" s="24" t="str">
        <f t="shared" si="132"/>
        <v/>
      </c>
      <c r="T149" s="24" t="str">
        <f t="shared" si="133"/>
        <v/>
      </c>
      <c r="U149" s="24" t="str">
        <f t="shared" si="134"/>
        <v/>
      </c>
      <c r="V149" s="24" t="str">
        <f t="shared" si="135"/>
        <v/>
      </c>
      <c r="W149" s="23" t="str">
        <f t="array" ref="W149">IFERROR(SMALL(IF(S$1:S$1000="BEGIN",ROW(S$1:S$1000)),ROW()-3),"")</f>
        <v/>
      </c>
      <c r="X149" s="23" t="str">
        <f t="array" ref="X149">IFERROR(SMALL(IF(T$1:T$1000="END",ROW(T$1:T$1000)),ROW()-3),"")</f>
        <v/>
      </c>
      <c r="Y149" s="33" t="str">
        <f t="array" ref="Y149">IF(ISNUMBER(W149),MAX(IF((B$4:B$1000&lt;=X149)*(B$4:B$1000&gt;=W149),I$4:I$1000, "")),"")</f>
        <v/>
      </c>
      <c r="Z149" s="33" t="str">
        <f t="shared" si="120"/>
        <v/>
      </c>
      <c r="AA149" s="32" t="str">
        <f t="shared" si="121"/>
        <v/>
      </c>
      <c r="AB149" s="32" t="str">
        <f t="shared" si="122"/>
        <v/>
      </c>
      <c r="AC149" s="32" t="str">
        <f t="shared" si="123"/>
        <v/>
      </c>
      <c r="AD149" s="32" t="str">
        <f t="shared" si="124"/>
        <v/>
      </c>
      <c r="AE149" s="34" t="str">
        <f t="shared" si="125"/>
        <v/>
      </c>
      <c r="AF149" s="32" t="str">
        <f t="shared" si="126"/>
        <v/>
      </c>
      <c r="AG149" s="32" t="str">
        <f t="shared" si="127"/>
        <v/>
      </c>
      <c r="AH149" s="32" t="str">
        <f t="shared" si="128"/>
        <v/>
      </c>
      <c r="AI149" s="35" t="str">
        <f t="shared" si="129"/>
        <v/>
      </c>
      <c r="AJ149" s="23" t="str">
        <f t="array" ref="AJ149">IFERROR(SMALL(IF(U$1:U$1000="BEGIN",ROW(U$1:U$1000)),ROW()-3),"")</f>
        <v/>
      </c>
      <c r="AK149" s="23" t="str">
        <f t="array" ref="AK149">IFERROR(SMALL(IF(V$1:V$1000="END",ROW(V$1:V$1000)),ROW()-3),"")</f>
        <v/>
      </c>
      <c r="AL149" s="24" t="str">
        <f t="array" ref="AL149">IF(AK149="","",MATCH(AM149,L:L,0))</f>
        <v/>
      </c>
      <c r="AM149" s="35">
        <f t="array" ref="AM149">MAX(IF((B$4:B$1000&lt;=AK149)*(B$4:B$1000&gt;=AJ149),L$4:L$1000, ""))</f>
        <v>0</v>
      </c>
      <c r="AN149" s="32" t="str">
        <f t="shared" si="136"/>
        <v/>
      </c>
      <c r="AO149" s="32" t="str">
        <f t="shared" si="137"/>
        <v/>
      </c>
      <c r="AP149" s="32" t="str">
        <f t="shared" si="138"/>
        <v/>
      </c>
      <c r="AQ149" s="32" t="str">
        <f t="shared" si="139"/>
        <v/>
      </c>
      <c r="AR149" s="32" t="str">
        <f t="shared" si="140"/>
        <v/>
      </c>
      <c r="AS149" s="32" t="str">
        <f t="shared" si="141"/>
        <v/>
      </c>
      <c r="AT149" s="32" t="str">
        <f t="shared" si="142"/>
        <v/>
      </c>
      <c r="AU149" s="34" t="str">
        <f t="shared" si="143"/>
        <v/>
      </c>
      <c r="AV149" s="32" t="str">
        <f t="shared" si="144"/>
        <v/>
      </c>
      <c r="AW149" s="32" t="str">
        <f t="shared" si="145"/>
        <v/>
      </c>
      <c r="AX149" s="32" t="str">
        <f t="shared" si="146"/>
        <v/>
      </c>
      <c r="AY149" s="32" t="str">
        <f t="shared" si="147"/>
        <v/>
      </c>
    </row>
    <row r="150" spans="1:51" x14ac:dyDescent="0.25">
      <c r="A150" s="24" t="str">
        <f t="shared" si="105"/>
        <v/>
      </c>
      <c r="B150" s="24" t="str">
        <f t="shared" si="115"/>
        <v/>
      </c>
      <c r="C150" s="32" t="str">
        <f t="shared" si="106"/>
        <v/>
      </c>
      <c r="D150" s="24" t="str">
        <f t="shared" si="107"/>
        <v/>
      </c>
      <c r="E150" s="24" t="str">
        <f t="shared" si="108"/>
        <v/>
      </c>
      <c r="F150" s="32" t="str">
        <f t="shared" si="109"/>
        <v/>
      </c>
      <c r="G150" s="32" t="str">
        <f t="shared" si="110"/>
        <v/>
      </c>
      <c r="H150" s="32" t="str">
        <f t="shared" ca="1" si="111"/>
        <v/>
      </c>
      <c r="I150" s="32" t="str">
        <f t="shared" ca="1" si="116"/>
        <v/>
      </c>
      <c r="J150" s="32" t="str">
        <f t="shared" si="112"/>
        <v/>
      </c>
      <c r="K150" s="32" t="str">
        <f>IF(ISNUMBER(A150),Profile!$V$25+Profile!$V$24*'Ri-Po'!C150,"")</f>
        <v/>
      </c>
      <c r="L150" s="32" t="str">
        <f t="shared" si="117"/>
        <v/>
      </c>
      <c r="M150" s="32" t="str">
        <f t="shared" si="113"/>
        <v/>
      </c>
      <c r="N150" s="32" t="str">
        <f t="shared" si="114"/>
        <v/>
      </c>
      <c r="O150" s="32" t="str">
        <f t="shared" si="130"/>
        <v/>
      </c>
      <c r="P150" s="32" t="str">
        <f t="shared" si="118"/>
        <v/>
      </c>
      <c r="Q150" s="32" t="str">
        <f t="shared" si="119"/>
        <v/>
      </c>
      <c r="R150" s="32" t="str">
        <f t="shared" si="131"/>
        <v/>
      </c>
      <c r="S150" s="24" t="str">
        <f t="shared" si="132"/>
        <v/>
      </c>
      <c r="T150" s="24" t="str">
        <f t="shared" si="133"/>
        <v/>
      </c>
      <c r="U150" s="24" t="str">
        <f t="shared" si="134"/>
        <v/>
      </c>
      <c r="V150" s="24" t="str">
        <f t="shared" si="135"/>
        <v/>
      </c>
      <c r="W150" s="23" t="str">
        <f t="array" ref="W150">IFERROR(SMALL(IF(S$1:S$1000="BEGIN",ROW(S$1:S$1000)),ROW()-3),"")</f>
        <v/>
      </c>
      <c r="X150" s="23" t="str">
        <f t="array" ref="X150">IFERROR(SMALL(IF(T$1:T$1000="END",ROW(T$1:T$1000)),ROW()-3),"")</f>
        <v/>
      </c>
      <c r="Y150" s="33" t="str">
        <f t="array" ref="Y150">IF(ISNUMBER(W150),MAX(IF((B$4:B$1000&lt;=X150)*(B$4:B$1000&gt;=W150),I$4:I$1000, "")),"")</f>
        <v/>
      </c>
      <c r="Z150" s="33" t="str">
        <f t="shared" si="120"/>
        <v/>
      </c>
      <c r="AA150" s="32" t="str">
        <f t="shared" si="121"/>
        <v/>
      </c>
      <c r="AB150" s="32" t="str">
        <f t="shared" si="122"/>
        <v/>
      </c>
      <c r="AC150" s="32" t="str">
        <f t="shared" si="123"/>
        <v/>
      </c>
      <c r="AD150" s="32" t="str">
        <f t="shared" si="124"/>
        <v/>
      </c>
      <c r="AE150" s="34" t="str">
        <f t="shared" si="125"/>
        <v/>
      </c>
      <c r="AF150" s="32" t="str">
        <f t="shared" si="126"/>
        <v/>
      </c>
      <c r="AG150" s="32" t="str">
        <f t="shared" si="127"/>
        <v/>
      </c>
      <c r="AH150" s="32" t="str">
        <f t="shared" si="128"/>
        <v/>
      </c>
      <c r="AI150" s="35" t="str">
        <f t="shared" si="129"/>
        <v/>
      </c>
      <c r="AJ150" s="23" t="str">
        <f t="array" ref="AJ150">IFERROR(SMALL(IF(U$1:U$1000="BEGIN",ROW(U$1:U$1000)),ROW()-3),"")</f>
        <v/>
      </c>
      <c r="AK150" s="23" t="str">
        <f t="array" ref="AK150">IFERROR(SMALL(IF(V$1:V$1000="END",ROW(V$1:V$1000)),ROW()-3),"")</f>
        <v/>
      </c>
      <c r="AL150" s="24" t="str">
        <f t="array" ref="AL150">IF(AK150="","",MATCH(AM150,L:L,0))</f>
        <v/>
      </c>
      <c r="AM150" s="35">
        <f t="array" ref="AM150">MAX(IF((B$4:B$1000&lt;=AK150)*(B$4:B$1000&gt;=AJ150),L$4:L$1000, ""))</f>
        <v>0</v>
      </c>
      <c r="AN150" s="32" t="str">
        <f t="shared" si="136"/>
        <v/>
      </c>
      <c r="AO150" s="32" t="str">
        <f t="shared" si="137"/>
        <v/>
      </c>
      <c r="AP150" s="32" t="str">
        <f t="shared" si="138"/>
        <v/>
      </c>
      <c r="AQ150" s="32" t="str">
        <f t="shared" si="139"/>
        <v/>
      </c>
      <c r="AR150" s="32" t="str">
        <f t="shared" si="140"/>
        <v/>
      </c>
      <c r="AS150" s="32" t="str">
        <f t="shared" si="141"/>
        <v/>
      </c>
      <c r="AT150" s="32" t="str">
        <f t="shared" si="142"/>
        <v/>
      </c>
      <c r="AU150" s="34" t="str">
        <f t="shared" si="143"/>
        <v/>
      </c>
      <c r="AV150" s="32" t="str">
        <f t="shared" si="144"/>
        <v/>
      </c>
      <c r="AW150" s="32" t="str">
        <f t="shared" si="145"/>
        <v/>
      </c>
      <c r="AX150" s="32" t="str">
        <f t="shared" si="146"/>
        <v/>
      </c>
      <c r="AY150" s="32" t="str">
        <f t="shared" si="147"/>
        <v/>
      </c>
    </row>
    <row r="151" spans="1:51" x14ac:dyDescent="0.25">
      <c r="A151" s="24" t="str">
        <f t="shared" si="105"/>
        <v/>
      </c>
      <c r="B151" s="24" t="str">
        <f t="shared" si="115"/>
        <v/>
      </c>
      <c r="C151" s="32" t="str">
        <f t="shared" si="106"/>
        <v/>
      </c>
      <c r="D151" s="24" t="str">
        <f t="shared" si="107"/>
        <v/>
      </c>
      <c r="E151" s="24" t="str">
        <f t="shared" si="108"/>
        <v/>
      </c>
      <c r="F151" s="32" t="str">
        <f t="shared" si="109"/>
        <v/>
      </c>
      <c r="G151" s="32" t="str">
        <f t="shared" si="110"/>
        <v/>
      </c>
      <c r="H151" s="32" t="str">
        <f t="shared" ca="1" si="111"/>
        <v/>
      </c>
      <c r="I151" s="32" t="str">
        <f t="shared" ca="1" si="116"/>
        <v/>
      </c>
      <c r="J151" s="32" t="str">
        <f t="shared" si="112"/>
        <v/>
      </c>
      <c r="K151" s="32" t="str">
        <f>IF(ISNUMBER(A151),Profile!$V$25+Profile!$V$24*'Ri-Po'!C151,"")</f>
        <v/>
      </c>
      <c r="L151" s="32" t="str">
        <f t="shared" si="117"/>
        <v/>
      </c>
      <c r="M151" s="32" t="str">
        <f t="shared" si="113"/>
        <v/>
      </c>
      <c r="N151" s="32" t="str">
        <f t="shared" si="114"/>
        <v/>
      </c>
      <c r="O151" s="32" t="str">
        <f t="shared" si="130"/>
        <v/>
      </c>
      <c r="P151" s="32" t="str">
        <f t="shared" si="118"/>
        <v/>
      </c>
      <c r="Q151" s="32" t="str">
        <f t="shared" si="119"/>
        <v/>
      </c>
      <c r="R151" s="32" t="str">
        <f t="shared" si="131"/>
        <v/>
      </c>
      <c r="S151" s="24" t="str">
        <f t="shared" si="132"/>
        <v/>
      </c>
      <c r="T151" s="24" t="str">
        <f t="shared" si="133"/>
        <v/>
      </c>
      <c r="U151" s="24" t="str">
        <f t="shared" si="134"/>
        <v/>
      </c>
      <c r="V151" s="24" t="str">
        <f t="shared" si="135"/>
        <v/>
      </c>
      <c r="W151" s="23" t="str">
        <f t="array" ref="W151">IFERROR(SMALL(IF(S$1:S$1000="BEGIN",ROW(S$1:S$1000)),ROW()-3),"")</f>
        <v/>
      </c>
      <c r="X151" s="23" t="str">
        <f t="array" ref="X151">IFERROR(SMALL(IF(T$1:T$1000="END",ROW(T$1:T$1000)),ROW()-3),"")</f>
        <v/>
      </c>
      <c r="Y151" s="33" t="str">
        <f t="array" ref="Y151">IF(ISNUMBER(W151),MAX(IF((B$4:B$1000&lt;=X151)*(B$4:B$1000&gt;=W151),I$4:I$1000, "")),"")</f>
        <v/>
      </c>
      <c r="Z151" s="33" t="str">
        <f t="shared" si="120"/>
        <v/>
      </c>
      <c r="AA151" s="32" t="str">
        <f t="shared" si="121"/>
        <v/>
      </c>
      <c r="AB151" s="32" t="str">
        <f t="shared" si="122"/>
        <v/>
      </c>
      <c r="AC151" s="32" t="str">
        <f t="shared" si="123"/>
        <v/>
      </c>
      <c r="AD151" s="32" t="str">
        <f t="shared" si="124"/>
        <v/>
      </c>
      <c r="AE151" s="34" t="str">
        <f t="shared" si="125"/>
        <v/>
      </c>
      <c r="AF151" s="32" t="str">
        <f t="shared" si="126"/>
        <v/>
      </c>
      <c r="AG151" s="32" t="str">
        <f t="shared" si="127"/>
        <v/>
      </c>
      <c r="AH151" s="32" t="str">
        <f t="shared" si="128"/>
        <v/>
      </c>
      <c r="AI151" s="35" t="str">
        <f t="shared" si="129"/>
        <v/>
      </c>
      <c r="AJ151" s="23" t="str">
        <f t="array" ref="AJ151">IFERROR(SMALL(IF(U$1:U$1000="BEGIN",ROW(U$1:U$1000)),ROW()-3),"")</f>
        <v/>
      </c>
      <c r="AK151" s="23" t="str">
        <f t="array" ref="AK151">IFERROR(SMALL(IF(V$1:V$1000="END",ROW(V$1:V$1000)),ROW()-3),"")</f>
        <v/>
      </c>
      <c r="AL151" s="24" t="str">
        <f t="array" ref="AL151">IF(AK151="","",MATCH(AM151,L:L,0))</f>
        <v/>
      </c>
      <c r="AM151" s="35">
        <f t="array" ref="AM151">MAX(IF((B$4:B$1000&lt;=AK151)*(B$4:B$1000&gt;=AJ151),L$4:L$1000, ""))</f>
        <v>0</v>
      </c>
      <c r="AN151" s="32" t="str">
        <f t="shared" si="136"/>
        <v/>
      </c>
      <c r="AO151" s="32" t="str">
        <f t="shared" si="137"/>
        <v/>
      </c>
      <c r="AP151" s="32" t="str">
        <f t="shared" si="138"/>
        <v/>
      </c>
      <c r="AQ151" s="32" t="str">
        <f t="shared" si="139"/>
        <v/>
      </c>
      <c r="AR151" s="32" t="str">
        <f t="shared" si="140"/>
        <v/>
      </c>
      <c r="AS151" s="32" t="str">
        <f t="shared" si="141"/>
        <v/>
      </c>
      <c r="AT151" s="32" t="str">
        <f t="shared" si="142"/>
        <v/>
      </c>
      <c r="AU151" s="34" t="str">
        <f t="shared" si="143"/>
        <v/>
      </c>
      <c r="AV151" s="32" t="str">
        <f t="shared" si="144"/>
        <v/>
      </c>
      <c r="AW151" s="32" t="str">
        <f t="shared" si="145"/>
        <v/>
      </c>
      <c r="AX151" s="32" t="str">
        <f t="shared" si="146"/>
        <v/>
      </c>
      <c r="AY151" s="32" t="str">
        <f t="shared" si="147"/>
        <v/>
      </c>
    </row>
    <row r="152" spans="1:51" x14ac:dyDescent="0.25">
      <c r="A152" s="24" t="str">
        <f t="shared" si="105"/>
        <v/>
      </c>
      <c r="B152" s="24" t="str">
        <f t="shared" si="115"/>
        <v/>
      </c>
      <c r="C152" s="32" t="str">
        <f t="shared" si="106"/>
        <v/>
      </c>
      <c r="D152" s="24" t="str">
        <f t="shared" si="107"/>
        <v/>
      </c>
      <c r="E152" s="24" t="str">
        <f t="shared" si="108"/>
        <v/>
      </c>
      <c r="F152" s="32" t="str">
        <f t="shared" si="109"/>
        <v/>
      </c>
      <c r="G152" s="32" t="str">
        <f t="shared" si="110"/>
        <v/>
      </c>
      <c r="H152" s="32" t="str">
        <f t="shared" ca="1" si="111"/>
        <v/>
      </c>
      <c r="I152" s="32" t="str">
        <f t="shared" ca="1" si="116"/>
        <v/>
      </c>
      <c r="J152" s="32" t="str">
        <f t="shared" si="112"/>
        <v/>
      </c>
      <c r="K152" s="32" t="str">
        <f>IF(ISNUMBER(A152),Profile!$V$25+Profile!$V$24*'Ri-Po'!C152,"")</f>
        <v/>
      </c>
      <c r="L152" s="32" t="str">
        <f t="shared" si="117"/>
        <v/>
      </c>
      <c r="M152" s="32" t="str">
        <f t="shared" si="113"/>
        <v/>
      </c>
      <c r="N152" s="32" t="str">
        <f t="shared" si="114"/>
        <v/>
      </c>
      <c r="O152" s="32" t="str">
        <f t="shared" si="130"/>
        <v/>
      </c>
      <c r="P152" s="32" t="str">
        <f t="shared" si="118"/>
        <v/>
      </c>
      <c r="Q152" s="32" t="str">
        <f t="shared" si="119"/>
        <v/>
      </c>
      <c r="R152" s="32" t="str">
        <f t="shared" si="131"/>
        <v/>
      </c>
      <c r="S152" s="24" t="str">
        <f t="shared" si="132"/>
        <v/>
      </c>
      <c r="T152" s="24" t="str">
        <f t="shared" si="133"/>
        <v/>
      </c>
      <c r="U152" s="24" t="str">
        <f t="shared" si="134"/>
        <v/>
      </c>
      <c r="V152" s="24" t="str">
        <f t="shared" si="135"/>
        <v/>
      </c>
      <c r="W152" s="23" t="str">
        <f t="array" ref="W152">IFERROR(SMALL(IF(S$1:S$1000="BEGIN",ROW(S$1:S$1000)),ROW()-3),"")</f>
        <v/>
      </c>
      <c r="X152" s="23" t="str">
        <f t="array" ref="X152">IFERROR(SMALL(IF(T$1:T$1000="END",ROW(T$1:T$1000)),ROW()-3),"")</f>
        <v/>
      </c>
      <c r="Y152" s="33" t="str">
        <f t="array" ref="Y152">IF(ISNUMBER(W152),MAX(IF((B$4:B$1000&lt;=X152)*(B$4:B$1000&gt;=W152),I$4:I$1000, "")),"")</f>
        <v/>
      </c>
      <c r="Z152" s="33" t="str">
        <f t="shared" si="120"/>
        <v/>
      </c>
      <c r="AA152" s="32" t="str">
        <f t="shared" si="121"/>
        <v/>
      </c>
      <c r="AB152" s="32" t="str">
        <f t="shared" si="122"/>
        <v/>
      </c>
      <c r="AC152" s="32" t="str">
        <f t="shared" si="123"/>
        <v/>
      </c>
      <c r="AD152" s="32" t="str">
        <f t="shared" si="124"/>
        <v/>
      </c>
      <c r="AE152" s="34" t="str">
        <f t="shared" si="125"/>
        <v/>
      </c>
      <c r="AF152" s="32" t="str">
        <f t="shared" si="126"/>
        <v/>
      </c>
      <c r="AG152" s="32" t="str">
        <f t="shared" si="127"/>
        <v/>
      </c>
      <c r="AH152" s="32" t="str">
        <f t="shared" si="128"/>
        <v/>
      </c>
      <c r="AI152" s="35" t="str">
        <f t="shared" si="129"/>
        <v/>
      </c>
      <c r="AJ152" s="23" t="str">
        <f t="array" ref="AJ152">IFERROR(SMALL(IF(U$1:U$1000="BEGIN",ROW(U$1:U$1000)),ROW()-3),"")</f>
        <v/>
      </c>
      <c r="AK152" s="23" t="str">
        <f t="array" ref="AK152">IFERROR(SMALL(IF(V$1:V$1000="END",ROW(V$1:V$1000)),ROW()-3),"")</f>
        <v/>
      </c>
      <c r="AL152" s="24" t="str">
        <f t="array" ref="AL152">IF(AK152="","",MATCH(AM152,L:L,0))</f>
        <v/>
      </c>
      <c r="AM152" s="35">
        <f t="array" ref="AM152">MAX(IF((B$4:B$1000&lt;=AK152)*(B$4:B$1000&gt;=AJ152),L$4:L$1000, ""))</f>
        <v>0</v>
      </c>
      <c r="AN152" s="32" t="str">
        <f t="shared" si="136"/>
        <v/>
      </c>
      <c r="AO152" s="32" t="str">
        <f t="shared" si="137"/>
        <v/>
      </c>
      <c r="AP152" s="32" t="str">
        <f t="shared" si="138"/>
        <v/>
      </c>
      <c r="AQ152" s="32" t="str">
        <f t="shared" si="139"/>
        <v/>
      </c>
      <c r="AR152" s="32" t="str">
        <f t="shared" si="140"/>
        <v/>
      </c>
      <c r="AS152" s="32" t="str">
        <f t="shared" si="141"/>
        <v/>
      </c>
      <c r="AT152" s="32" t="str">
        <f t="shared" si="142"/>
        <v/>
      </c>
      <c r="AU152" s="34" t="str">
        <f t="shared" si="143"/>
        <v/>
      </c>
      <c r="AV152" s="32" t="str">
        <f t="shared" si="144"/>
        <v/>
      </c>
      <c r="AW152" s="32" t="str">
        <f t="shared" si="145"/>
        <v/>
      </c>
      <c r="AX152" s="32" t="str">
        <f t="shared" si="146"/>
        <v/>
      </c>
      <c r="AY152" s="32" t="str">
        <f t="shared" si="147"/>
        <v/>
      </c>
    </row>
    <row r="153" spans="1:51" x14ac:dyDescent="0.25">
      <c r="A153" s="24" t="str">
        <f t="shared" si="105"/>
        <v/>
      </c>
      <c r="B153" s="24" t="str">
        <f t="shared" si="115"/>
        <v/>
      </c>
      <c r="C153" s="32" t="str">
        <f t="shared" si="106"/>
        <v/>
      </c>
      <c r="D153" s="24" t="str">
        <f t="shared" si="107"/>
        <v/>
      </c>
      <c r="E153" s="24" t="str">
        <f t="shared" si="108"/>
        <v/>
      </c>
      <c r="F153" s="32" t="str">
        <f t="shared" si="109"/>
        <v/>
      </c>
      <c r="G153" s="32" t="str">
        <f t="shared" si="110"/>
        <v/>
      </c>
      <c r="H153" s="32" t="str">
        <f t="shared" ca="1" si="111"/>
        <v/>
      </c>
      <c r="I153" s="32" t="str">
        <f t="shared" ca="1" si="116"/>
        <v/>
      </c>
      <c r="J153" s="32" t="str">
        <f t="shared" si="112"/>
        <v/>
      </c>
      <c r="K153" s="32" t="str">
        <f>IF(ISNUMBER(A153),Profile!$V$25+Profile!$V$24*'Ri-Po'!C153,"")</f>
        <v/>
      </c>
      <c r="L153" s="32" t="str">
        <f t="shared" si="117"/>
        <v/>
      </c>
      <c r="M153" s="32" t="str">
        <f t="shared" si="113"/>
        <v/>
      </c>
      <c r="N153" s="32" t="str">
        <f t="shared" si="114"/>
        <v/>
      </c>
      <c r="O153" s="32" t="str">
        <f t="shared" si="130"/>
        <v/>
      </c>
      <c r="P153" s="32" t="str">
        <f t="shared" si="118"/>
        <v/>
      </c>
      <c r="Q153" s="32" t="str">
        <f t="shared" si="119"/>
        <v/>
      </c>
      <c r="R153" s="32" t="str">
        <f t="shared" si="131"/>
        <v/>
      </c>
      <c r="S153" s="24" t="str">
        <f t="shared" si="132"/>
        <v/>
      </c>
      <c r="T153" s="24" t="str">
        <f t="shared" si="133"/>
        <v/>
      </c>
      <c r="U153" s="24" t="str">
        <f t="shared" si="134"/>
        <v/>
      </c>
      <c r="V153" s="24" t="str">
        <f t="shared" si="135"/>
        <v/>
      </c>
      <c r="W153" s="23" t="str">
        <f t="array" ref="W153">IFERROR(SMALL(IF(S$1:S$1000="BEGIN",ROW(S$1:S$1000)),ROW()-3),"")</f>
        <v/>
      </c>
      <c r="X153" s="23" t="str">
        <f t="array" ref="X153">IFERROR(SMALL(IF(T$1:T$1000="END",ROW(T$1:T$1000)),ROW()-3),"")</f>
        <v/>
      </c>
      <c r="Y153" s="33" t="str">
        <f t="array" ref="Y153">IF(ISNUMBER(W153),MAX(IF((B$4:B$1000&lt;=X153)*(B$4:B$1000&gt;=W153),I$4:I$1000, "")),"")</f>
        <v/>
      </c>
      <c r="Z153" s="33" t="str">
        <f t="shared" si="120"/>
        <v/>
      </c>
      <c r="AA153" s="32" t="str">
        <f t="shared" si="121"/>
        <v/>
      </c>
      <c r="AB153" s="32" t="str">
        <f t="shared" si="122"/>
        <v/>
      </c>
      <c r="AC153" s="32" t="str">
        <f t="shared" si="123"/>
        <v/>
      </c>
      <c r="AD153" s="32" t="str">
        <f t="shared" si="124"/>
        <v/>
      </c>
      <c r="AE153" s="34" t="str">
        <f t="shared" si="125"/>
        <v/>
      </c>
      <c r="AF153" s="32" t="str">
        <f t="shared" si="126"/>
        <v/>
      </c>
      <c r="AG153" s="32" t="str">
        <f t="shared" si="127"/>
        <v/>
      </c>
      <c r="AH153" s="32" t="str">
        <f t="shared" si="128"/>
        <v/>
      </c>
      <c r="AI153" s="35" t="str">
        <f t="shared" si="129"/>
        <v/>
      </c>
      <c r="AJ153" s="23" t="str">
        <f t="array" ref="AJ153">IFERROR(SMALL(IF(U$1:U$1000="BEGIN",ROW(U$1:U$1000)),ROW()-3),"")</f>
        <v/>
      </c>
      <c r="AK153" s="23" t="str">
        <f t="array" ref="AK153">IFERROR(SMALL(IF(V$1:V$1000="END",ROW(V$1:V$1000)),ROW()-3),"")</f>
        <v/>
      </c>
      <c r="AL153" s="24" t="str">
        <f t="array" ref="AL153">IF(AK153="","",MATCH(AM153,L:L,0))</f>
        <v/>
      </c>
      <c r="AM153" s="35">
        <f t="array" ref="AM153">MAX(IF((B$4:B$1000&lt;=AK153)*(B$4:B$1000&gt;=AJ153),L$4:L$1000, ""))</f>
        <v>0</v>
      </c>
      <c r="AN153" s="32" t="str">
        <f t="shared" si="136"/>
        <v/>
      </c>
      <c r="AO153" s="32" t="str">
        <f t="shared" si="137"/>
        <v/>
      </c>
      <c r="AP153" s="32" t="str">
        <f t="shared" si="138"/>
        <v/>
      </c>
      <c r="AQ153" s="32" t="str">
        <f t="shared" si="139"/>
        <v/>
      </c>
      <c r="AR153" s="32" t="str">
        <f t="shared" si="140"/>
        <v/>
      </c>
      <c r="AS153" s="32" t="str">
        <f t="shared" si="141"/>
        <v/>
      </c>
      <c r="AT153" s="32" t="str">
        <f t="shared" si="142"/>
        <v/>
      </c>
      <c r="AU153" s="34" t="str">
        <f t="shared" si="143"/>
        <v/>
      </c>
      <c r="AV153" s="32" t="str">
        <f t="shared" si="144"/>
        <v/>
      </c>
      <c r="AW153" s="32" t="str">
        <f t="shared" si="145"/>
        <v/>
      </c>
      <c r="AX153" s="32" t="str">
        <f t="shared" si="146"/>
        <v/>
      </c>
      <c r="AY153" s="32" t="str">
        <f t="shared" si="147"/>
        <v/>
      </c>
    </row>
    <row r="154" spans="1:51" x14ac:dyDescent="0.25">
      <c r="A154" s="24" t="str">
        <f t="shared" si="105"/>
        <v/>
      </c>
      <c r="B154" s="24" t="str">
        <f t="shared" si="115"/>
        <v/>
      </c>
      <c r="C154" s="32" t="str">
        <f t="shared" si="106"/>
        <v/>
      </c>
      <c r="D154" s="24" t="str">
        <f t="shared" si="107"/>
        <v/>
      </c>
      <c r="E154" s="24" t="str">
        <f t="shared" si="108"/>
        <v/>
      </c>
      <c r="F154" s="32" t="str">
        <f t="shared" si="109"/>
        <v/>
      </c>
      <c r="G154" s="32" t="str">
        <f t="shared" si="110"/>
        <v/>
      </c>
      <c r="H154" s="32" t="str">
        <f t="shared" ca="1" si="111"/>
        <v/>
      </c>
      <c r="I154" s="32" t="str">
        <f t="shared" ca="1" si="116"/>
        <v/>
      </c>
      <c r="J154" s="32" t="str">
        <f t="shared" si="112"/>
        <v/>
      </c>
      <c r="K154" s="32" t="str">
        <f>IF(ISNUMBER(A154),Profile!$V$25+Profile!$V$24*'Ri-Po'!C154,"")</f>
        <v/>
      </c>
      <c r="L154" s="32" t="str">
        <f t="shared" si="117"/>
        <v/>
      </c>
      <c r="M154" s="32" t="str">
        <f t="shared" si="113"/>
        <v/>
      </c>
      <c r="N154" s="32" t="str">
        <f t="shared" si="114"/>
        <v/>
      </c>
      <c r="O154" s="32" t="str">
        <f t="shared" si="130"/>
        <v/>
      </c>
      <c r="P154" s="32" t="str">
        <f t="shared" si="118"/>
        <v/>
      </c>
      <c r="Q154" s="32" t="str">
        <f t="shared" si="119"/>
        <v/>
      </c>
      <c r="R154" s="32" t="str">
        <f t="shared" si="131"/>
        <v/>
      </c>
      <c r="S154" s="24" t="str">
        <f t="shared" si="132"/>
        <v/>
      </c>
      <c r="T154" s="24" t="str">
        <f t="shared" si="133"/>
        <v/>
      </c>
      <c r="U154" s="24" t="str">
        <f t="shared" si="134"/>
        <v/>
      </c>
      <c r="V154" s="24" t="str">
        <f t="shared" si="135"/>
        <v/>
      </c>
      <c r="W154" s="23" t="str">
        <f t="array" ref="W154">IFERROR(SMALL(IF(S$1:S$1000="BEGIN",ROW(S$1:S$1000)),ROW()-3),"")</f>
        <v/>
      </c>
      <c r="X154" s="23" t="str">
        <f t="array" ref="X154">IFERROR(SMALL(IF(T$1:T$1000="END",ROW(T$1:T$1000)),ROW()-3),"")</f>
        <v/>
      </c>
      <c r="Y154" s="33" t="str">
        <f t="array" ref="Y154">IF(ISNUMBER(W154),MAX(IF((B$4:B$1000&lt;=X154)*(B$4:B$1000&gt;=W154),I$4:I$1000, "")),"")</f>
        <v/>
      </c>
      <c r="Z154" s="33" t="str">
        <f t="shared" si="120"/>
        <v/>
      </c>
      <c r="AA154" s="32" t="str">
        <f t="shared" si="121"/>
        <v/>
      </c>
      <c r="AB154" s="32" t="str">
        <f t="shared" si="122"/>
        <v/>
      </c>
      <c r="AC154" s="32" t="str">
        <f t="shared" si="123"/>
        <v/>
      </c>
      <c r="AD154" s="32" t="str">
        <f t="shared" si="124"/>
        <v/>
      </c>
      <c r="AE154" s="34" t="str">
        <f t="shared" si="125"/>
        <v/>
      </c>
      <c r="AF154" s="32" t="str">
        <f t="shared" si="126"/>
        <v/>
      </c>
      <c r="AG154" s="32" t="str">
        <f t="shared" si="127"/>
        <v/>
      </c>
      <c r="AH154" s="32" t="str">
        <f t="shared" si="128"/>
        <v/>
      </c>
      <c r="AI154" s="35" t="str">
        <f t="shared" si="129"/>
        <v/>
      </c>
      <c r="AJ154" s="23" t="str">
        <f t="array" ref="AJ154">IFERROR(SMALL(IF(U$1:U$1000="BEGIN",ROW(U$1:U$1000)),ROW()-3),"")</f>
        <v/>
      </c>
      <c r="AK154" s="23" t="str">
        <f t="array" ref="AK154">IFERROR(SMALL(IF(V$1:V$1000="END",ROW(V$1:V$1000)),ROW()-3),"")</f>
        <v/>
      </c>
      <c r="AL154" s="24" t="str">
        <f t="array" ref="AL154">IF(AK154="","",MATCH(AM154,L:L,0))</f>
        <v/>
      </c>
      <c r="AM154" s="35">
        <f t="array" ref="AM154">MAX(IF((B$4:B$1000&lt;=AK154)*(B$4:B$1000&gt;=AJ154),L$4:L$1000, ""))</f>
        <v>0</v>
      </c>
      <c r="AN154" s="32" t="str">
        <f t="shared" si="136"/>
        <v/>
      </c>
      <c r="AO154" s="32" t="str">
        <f t="shared" si="137"/>
        <v/>
      </c>
      <c r="AP154" s="32" t="str">
        <f t="shared" si="138"/>
        <v/>
      </c>
      <c r="AQ154" s="32" t="str">
        <f t="shared" si="139"/>
        <v/>
      </c>
      <c r="AR154" s="32" t="str">
        <f t="shared" si="140"/>
        <v/>
      </c>
      <c r="AS154" s="32" t="str">
        <f t="shared" si="141"/>
        <v/>
      </c>
      <c r="AT154" s="32" t="str">
        <f t="shared" si="142"/>
        <v/>
      </c>
      <c r="AU154" s="34" t="str">
        <f t="shared" si="143"/>
        <v/>
      </c>
      <c r="AV154" s="32" t="str">
        <f t="shared" si="144"/>
        <v/>
      </c>
      <c r="AW154" s="32" t="str">
        <f t="shared" si="145"/>
        <v/>
      </c>
      <c r="AX154" s="32" t="str">
        <f t="shared" si="146"/>
        <v/>
      </c>
      <c r="AY154" s="32" t="str">
        <f t="shared" si="147"/>
        <v/>
      </c>
    </row>
    <row r="155" spans="1:51" x14ac:dyDescent="0.25">
      <c r="A155" s="24" t="str">
        <f t="shared" si="105"/>
        <v/>
      </c>
      <c r="B155" s="24" t="str">
        <f t="shared" si="115"/>
        <v/>
      </c>
      <c r="C155" s="32" t="str">
        <f t="shared" si="106"/>
        <v/>
      </c>
      <c r="D155" s="24" t="str">
        <f t="shared" si="107"/>
        <v/>
      </c>
      <c r="E155" s="24" t="str">
        <f t="shared" si="108"/>
        <v/>
      </c>
      <c r="F155" s="32" t="str">
        <f t="shared" si="109"/>
        <v/>
      </c>
      <c r="G155" s="32" t="str">
        <f t="shared" si="110"/>
        <v/>
      </c>
      <c r="H155" s="32" t="str">
        <f t="shared" ca="1" si="111"/>
        <v/>
      </c>
      <c r="I155" s="32" t="str">
        <f t="shared" ca="1" si="116"/>
        <v/>
      </c>
      <c r="J155" s="32" t="str">
        <f t="shared" si="112"/>
        <v/>
      </c>
      <c r="K155" s="32" t="str">
        <f>IF(ISNUMBER(A155),Profile!$V$25+Profile!$V$24*'Ri-Po'!C155,"")</f>
        <v/>
      </c>
      <c r="L155" s="32" t="str">
        <f t="shared" si="117"/>
        <v/>
      </c>
      <c r="M155" s="32" t="str">
        <f t="shared" si="113"/>
        <v/>
      </c>
      <c r="N155" s="32" t="str">
        <f t="shared" si="114"/>
        <v/>
      </c>
      <c r="O155" s="32" t="str">
        <f t="shared" si="130"/>
        <v/>
      </c>
      <c r="P155" s="32" t="str">
        <f t="shared" si="118"/>
        <v/>
      </c>
      <c r="Q155" s="32" t="str">
        <f t="shared" si="119"/>
        <v/>
      </c>
      <c r="R155" s="32" t="str">
        <f t="shared" si="131"/>
        <v/>
      </c>
      <c r="S155" s="24" t="str">
        <f t="shared" si="132"/>
        <v/>
      </c>
      <c r="T155" s="24" t="str">
        <f t="shared" si="133"/>
        <v/>
      </c>
      <c r="U155" s="24" t="str">
        <f t="shared" si="134"/>
        <v/>
      </c>
      <c r="V155" s="24" t="str">
        <f t="shared" si="135"/>
        <v/>
      </c>
      <c r="W155" s="23" t="str">
        <f t="array" ref="W155">IFERROR(SMALL(IF(S$1:S$1000="BEGIN",ROW(S$1:S$1000)),ROW()-3),"")</f>
        <v/>
      </c>
      <c r="X155" s="23" t="str">
        <f t="array" ref="X155">IFERROR(SMALL(IF(T$1:T$1000="END",ROW(T$1:T$1000)),ROW()-3),"")</f>
        <v/>
      </c>
      <c r="Y155" s="33" t="str">
        <f t="array" ref="Y155">IF(ISNUMBER(W155),MAX(IF((B$4:B$1000&lt;=X155)*(B$4:B$1000&gt;=W155),I$4:I$1000, "")),"")</f>
        <v/>
      </c>
      <c r="Z155" s="33" t="str">
        <f t="shared" si="120"/>
        <v/>
      </c>
      <c r="AA155" s="32" t="str">
        <f t="shared" si="121"/>
        <v/>
      </c>
      <c r="AB155" s="32" t="str">
        <f t="shared" si="122"/>
        <v/>
      </c>
      <c r="AC155" s="32" t="str">
        <f t="shared" si="123"/>
        <v/>
      </c>
      <c r="AD155" s="32" t="str">
        <f t="shared" si="124"/>
        <v/>
      </c>
      <c r="AE155" s="34" t="str">
        <f t="shared" si="125"/>
        <v/>
      </c>
      <c r="AF155" s="32" t="str">
        <f t="shared" si="126"/>
        <v/>
      </c>
      <c r="AG155" s="32" t="str">
        <f t="shared" si="127"/>
        <v/>
      </c>
      <c r="AH155" s="32" t="str">
        <f t="shared" si="128"/>
        <v/>
      </c>
      <c r="AI155" s="35" t="str">
        <f t="shared" si="129"/>
        <v/>
      </c>
      <c r="AJ155" s="23" t="str">
        <f t="array" ref="AJ155">IFERROR(SMALL(IF(U$1:U$1000="BEGIN",ROW(U$1:U$1000)),ROW()-3),"")</f>
        <v/>
      </c>
      <c r="AK155" s="23" t="str">
        <f t="array" ref="AK155">IFERROR(SMALL(IF(V$1:V$1000="END",ROW(V$1:V$1000)),ROW()-3),"")</f>
        <v/>
      </c>
      <c r="AL155" s="24" t="str">
        <f t="array" ref="AL155">IF(AK155="","",MATCH(AM155,L:L,0))</f>
        <v/>
      </c>
      <c r="AM155" s="35">
        <f t="array" ref="AM155">MAX(IF((B$4:B$1000&lt;=AK155)*(B$4:B$1000&gt;=AJ155),L$4:L$1000, ""))</f>
        <v>0</v>
      </c>
      <c r="AN155" s="32" t="str">
        <f t="shared" si="136"/>
        <v/>
      </c>
      <c r="AO155" s="32" t="str">
        <f t="shared" si="137"/>
        <v/>
      </c>
      <c r="AP155" s="32" t="str">
        <f t="shared" si="138"/>
        <v/>
      </c>
      <c r="AQ155" s="32" t="str">
        <f t="shared" si="139"/>
        <v/>
      </c>
      <c r="AR155" s="32" t="str">
        <f t="shared" si="140"/>
        <v/>
      </c>
      <c r="AS155" s="32" t="str">
        <f t="shared" si="141"/>
        <v/>
      </c>
      <c r="AT155" s="32" t="str">
        <f t="shared" si="142"/>
        <v/>
      </c>
      <c r="AU155" s="34" t="str">
        <f t="shared" si="143"/>
        <v/>
      </c>
      <c r="AV155" s="32" t="str">
        <f t="shared" si="144"/>
        <v/>
      </c>
      <c r="AW155" s="32" t="str">
        <f t="shared" si="145"/>
        <v/>
      </c>
      <c r="AX155" s="32" t="str">
        <f t="shared" si="146"/>
        <v/>
      </c>
      <c r="AY155" s="32" t="str">
        <f t="shared" si="147"/>
        <v/>
      </c>
    </row>
    <row r="156" spans="1:51" x14ac:dyDescent="0.25">
      <c r="A156" s="24" t="str">
        <f t="shared" si="105"/>
        <v/>
      </c>
      <c r="B156" s="24" t="str">
        <f t="shared" si="115"/>
        <v/>
      </c>
      <c r="C156" s="32" t="str">
        <f t="shared" si="106"/>
        <v/>
      </c>
      <c r="D156" s="24" t="str">
        <f t="shared" si="107"/>
        <v/>
      </c>
      <c r="E156" s="24" t="str">
        <f t="shared" si="108"/>
        <v/>
      </c>
      <c r="F156" s="32" t="str">
        <f t="shared" si="109"/>
        <v/>
      </c>
      <c r="G156" s="32" t="str">
        <f t="shared" si="110"/>
        <v/>
      </c>
      <c r="H156" s="32" t="str">
        <f t="shared" ca="1" si="111"/>
        <v/>
      </c>
      <c r="I156" s="32" t="str">
        <f t="shared" ca="1" si="116"/>
        <v/>
      </c>
      <c r="J156" s="32" t="str">
        <f t="shared" si="112"/>
        <v/>
      </c>
      <c r="K156" s="32" t="str">
        <f>IF(ISNUMBER(A156),Profile!$V$25+Profile!$V$24*'Ri-Po'!C156,"")</f>
        <v/>
      </c>
      <c r="L156" s="32" t="str">
        <f t="shared" si="117"/>
        <v/>
      </c>
      <c r="M156" s="32" t="str">
        <f t="shared" si="113"/>
        <v/>
      </c>
      <c r="N156" s="32" t="str">
        <f t="shared" si="114"/>
        <v/>
      </c>
      <c r="O156" s="32" t="str">
        <f t="shared" si="130"/>
        <v/>
      </c>
      <c r="P156" s="32" t="str">
        <f t="shared" si="118"/>
        <v/>
      </c>
      <c r="Q156" s="32" t="str">
        <f t="shared" si="119"/>
        <v/>
      </c>
      <c r="R156" s="32" t="str">
        <f t="shared" si="131"/>
        <v/>
      </c>
      <c r="S156" s="24" t="str">
        <f t="shared" si="132"/>
        <v/>
      </c>
      <c r="T156" s="24" t="str">
        <f t="shared" si="133"/>
        <v/>
      </c>
      <c r="U156" s="24" t="str">
        <f t="shared" si="134"/>
        <v/>
      </c>
      <c r="V156" s="24" t="str">
        <f t="shared" si="135"/>
        <v/>
      </c>
      <c r="W156" s="23" t="str">
        <f t="array" ref="W156">IFERROR(SMALL(IF(S$1:S$1000="BEGIN",ROW(S$1:S$1000)),ROW()-3),"")</f>
        <v/>
      </c>
      <c r="X156" s="23" t="str">
        <f t="array" ref="X156">IFERROR(SMALL(IF(T$1:T$1000="END",ROW(T$1:T$1000)),ROW()-3),"")</f>
        <v/>
      </c>
      <c r="Y156" s="33" t="str">
        <f t="array" ref="Y156">IF(ISNUMBER(W156),MAX(IF((B$4:B$1000&lt;=X156)*(B$4:B$1000&gt;=W156),I$4:I$1000, "")),"")</f>
        <v/>
      </c>
      <c r="Z156" s="33" t="str">
        <f t="shared" si="120"/>
        <v/>
      </c>
      <c r="AA156" s="32" t="str">
        <f t="shared" si="121"/>
        <v/>
      </c>
      <c r="AB156" s="32" t="str">
        <f t="shared" si="122"/>
        <v/>
      </c>
      <c r="AC156" s="32" t="str">
        <f t="shared" si="123"/>
        <v/>
      </c>
      <c r="AD156" s="32" t="str">
        <f t="shared" si="124"/>
        <v/>
      </c>
      <c r="AE156" s="34" t="str">
        <f t="shared" si="125"/>
        <v/>
      </c>
      <c r="AF156" s="32" t="str">
        <f t="shared" si="126"/>
        <v/>
      </c>
      <c r="AG156" s="32" t="str">
        <f t="shared" si="127"/>
        <v/>
      </c>
      <c r="AH156" s="32" t="str">
        <f t="shared" si="128"/>
        <v/>
      </c>
      <c r="AI156" s="35" t="str">
        <f t="shared" si="129"/>
        <v/>
      </c>
      <c r="AJ156" s="23" t="str">
        <f t="array" ref="AJ156">IFERROR(SMALL(IF(U$1:U$1000="BEGIN",ROW(U$1:U$1000)),ROW()-3),"")</f>
        <v/>
      </c>
      <c r="AK156" s="23" t="str">
        <f t="array" ref="AK156">IFERROR(SMALL(IF(V$1:V$1000="END",ROW(V$1:V$1000)),ROW()-3),"")</f>
        <v/>
      </c>
      <c r="AL156" s="24" t="str">
        <f t="array" ref="AL156">IF(AK156="","",MATCH(AM156,L:L,0))</f>
        <v/>
      </c>
      <c r="AM156" s="35">
        <f t="array" ref="AM156">MAX(IF((B$4:B$1000&lt;=AK156)*(B$4:B$1000&gt;=AJ156),L$4:L$1000, ""))</f>
        <v>0</v>
      </c>
      <c r="AN156" s="32" t="str">
        <f t="shared" si="136"/>
        <v/>
      </c>
      <c r="AO156" s="32" t="str">
        <f t="shared" si="137"/>
        <v/>
      </c>
      <c r="AP156" s="32" t="str">
        <f t="shared" si="138"/>
        <v/>
      </c>
      <c r="AQ156" s="32" t="str">
        <f t="shared" si="139"/>
        <v/>
      </c>
      <c r="AR156" s="32" t="str">
        <f t="shared" si="140"/>
        <v/>
      </c>
      <c r="AS156" s="32" t="str">
        <f t="shared" si="141"/>
        <v/>
      </c>
      <c r="AT156" s="32" t="str">
        <f t="shared" si="142"/>
        <v/>
      </c>
      <c r="AU156" s="34" t="str">
        <f t="shared" si="143"/>
        <v/>
      </c>
      <c r="AV156" s="32" t="str">
        <f t="shared" si="144"/>
        <v/>
      </c>
      <c r="AW156" s="32" t="str">
        <f t="shared" si="145"/>
        <v/>
      </c>
      <c r="AX156" s="32" t="str">
        <f t="shared" si="146"/>
        <v/>
      </c>
      <c r="AY156" s="32" t="str">
        <f t="shared" si="147"/>
        <v/>
      </c>
    </row>
    <row r="157" spans="1:51" x14ac:dyDescent="0.25">
      <c r="A157" s="24" t="str">
        <f t="shared" si="105"/>
        <v/>
      </c>
      <c r="B157" s="24" t="str">
        <f t="shared" si="115"/>
        <v/>
      </c>
      <c r="C157" s="32" t="str">
        <f t="shared" si="106"/>
        <v/>
      </c>
      <c r="D157" s="24" t="str">
        <f t="shared" si="107"/>
        <v/>
      </c>
      <c r="E157" s="24" t="str">
        <f t="shared" si="108"/>
        <v/>
      </c>
      <c r="F157" s="32" t="str">
        <f t="shared" si="109"/>
        <v/>
      </c>
      <c r="G157" s="32" t="str">
        <f t="shared" si="110"/>
        <v/>
      </c>
      <c r="H157" s="32" t="str">
        <f t="shared" ca="1" si="111"/>
        <v/>
      </c>
      <c r="I157" s="32" t="str">
        <f t="shared" ca="1" si="116"/>
        <v/>
      </c>
      <c r="J157" s="32" t="str">
        <f t="shared" si="112"/>
        <v/>
      </c>
      <c r="K157" s="32" t="str">
        <f>IF(ISNUMBER(A157),Profile!$V$25+Profile!$V$24*'Ri-Po'!C157,"")</f>
        <v/>
      </c>
      <c r="L157" s="32" t="str">
        <f t="shared" si="117"/>
        <v/>
      </c>
      <c r="M157" s="32" t="str">
        <f t="shared" si="113"/>
        <v/>
      </c>
      <c r="N157" s="32" t="str">
        <f t="shared" si="114"/>
        <v/>
      </c>
      <c r="O157" s="32" t="str">
        <f t="shared" si="130"/>
        <v/>
      </c>
      <c r="P157" s="32" t="str">
        <f t="shared" si="118"/>
        <v/>
      </c>
      <c r="Q157" s="32" t="str">
        <f t="shared" si="119"/>
        <v/>
      </c>
      <c r="R157" s="32" t="str">
        <f t="shared" si="131"/>
        <v/>
      </c>
      <c r="S157" s="24" t="str">
        <f t="shared" si="132"/>
        <v/>
      </c>
      <c r="T157" s="24" t="str">
        <f t="shared" si="133"/>
        <v/>
      </c>
      <c r="U157" s="24" t="str">
        <f t="shared" si="134"/>
        <v/>
      </c>
      <c r="V157" s="24" t="str">
        <f t="shared" si="135"/>
        <v/>
      </c>
      <c r="W157" s="23" t="str">
        <f t="array" ref="W157">IFERROR(SMALL(IF(S$1:S$1000="BEGIN",ROW(S$1:S$1000)),ROW()-3),"")</f>
        <v/>
      </c>
      <c r="X157" s="23" t="str">
        <f t="array" ref="X157">IFERROR(SMALL(IF(T$1:T$1000="END",ROW(T$1:T$1000)),ROW()-3),"")</f>
        <v/>
      </c>
      <c r="Y157" s="33" t="str">
        <f t="array" ref="Y157">IF(ISNUMBER(W157),MAX(IF((B$4:B$1000&lt;=X157)*(B$4:B$1000&gt;=W157),I$4:I$1000, "")),"")</f>
        <v/>
      </c>
      <c r="Z157" s="33" t="str">
        <f t="shared" si="120"/>
        <v/>
      </c>
      <c r="AA157" s="32" t="str">
        <f t="shared" si="121"/>
        <v/>
      </c>
      <c r="AB157" s="32" t="str">
        <f t="shared" si="122"/>
        <v/>
      </c>
      <c r="AC157" s="32" t="str">
        <f t="shared" si="123"/>
        <v/>
      </c>
      <c r="AD157" s="32" t="str">
        <f t="shared" si="124"/>
        <v/>
      </c>
      <c r="AE157" s="34" t="str">
        <f t="shared" si="125"/>
        <v/>
      </c>
      <c r="AF157" s="32" t="str">
        <f t="shared" si="126"/>
        <v/>
      </c>
      <c r="AG157" s="32" t="str">
        <f t="shared" si="127"/>
        <v/>
      </c>
      <c r="AH157" s="32" t="str">
        <f t="shared" si="128"/>
        <v/>
      </c>
      <c r="AI157" s="35" t="str">
        <f t="shared" si="129"/>
        <v/>
      </c>
      <c r="AJ157" s="23" t="str">
        <f t="array" ref="AJ157">IFERROR(SMALL(IF(U$1:U$1000="BEGIN",ROW(U$1:U$1000)),ROW()-3),"")</f>
        <v/>
      </c>
      <c r="AK157" s="23" t="str">
        <f t="array" ref="AK157">IFERROR(SMALL(IF(V$1:V$1000="END",ROW(V$1:V$1000)),ROW()-3),"")</f>
        <v/>
      </c>
      <c r="AL157" s="24" t="str">
        <f t="array" ref="AL157">IF(AK157="","",MATCH(AM157,L:L,0))</f>
        <v/>
      </c>
      <c r="AM157" s="35">
        <f t="array" ref="AM157">MAX(IF((B$4:B$1000&lt;=AK157)*(B$4:B$1000&gt;=AJ157),L$4:L$1000, ""))</f>
        <v>0</v>
      </c>
      <c r="AN157" s="32" t="str">
        <f t="shared" si="136"/>
        <v/>
      </c>
      <c r="AO157" s="32" t="str">
        <f t="shared" si="137"/>
        <v/>
      </c>
      <c r="AP157" s="32" t="str">
        <f t="shared" si="138"/>
        <v/>
      </c>
      <c r="AQ157" s="32" t="str">
        <f t="shared" si="139"/>
        <v/>
      </c>
      <c r="AR157" s="32" t="str">
        <f t="shared" si="140"/>
        <v/>
      </c>
      <c r="AS157" s="32" t="str">
        <f t="shared" si="141"/>
        <v/>
      </c>
      <c r="AT157" s="32" t="str">
        <f t="shared" si="142"/>
        <v/>
      </c>
      <c r="AU157" s="34" t="str">
        <f t="shared" si="143"/>
        <v/>
      </c>
      <c r="AV157" s="32" t="str">
        <f t="shared" si="144"/>
        <v/>
      </c>
      <c r="AW157" s="32" t="str">
        <f t="shared" si="145"/>
        <v/>
      </c>
      <c r="AX157" s="32" t="str">
        <f t="shared" si="146"/>
        <v/>
      </c>
      <c r="AY157" s="32" t="str">
        <f t="shared" si="147"/>
        <v/>
      </c>
    </row>
    <row r="158" spans="1:51" x14ac:dyDescent="0.25">
      <c r="A158" s="24" t="str">
        <f t="shared" si="105"/>
        <v/>
      </c>
      <c r="B158" s="24" t="str">
        <f t="shared" si="115"/>
        <v/>
      </c>
      <c r="C158" s="32" t="str">
        <f t="shared" si="106"/>
        <v/>
      </c>
      <c r="D158" s="24" t="str">
        <f t="shared" si="107"/>
        <v/>
      </c>
      <c r="E158" s="24" t="str">
        <f t="shared" si="108"/>
        <v/>
      </c>
      <c r="F158" s="32" t="str">
        <f t="shared" si="109"/>
        <v/>
      </c>
      <c r="G158" s="32" t="str">
        <f t="shared" si="110"/>
        <v/>
      </c>
      <c r="H158" s="32" t="str">
        <f t="shared" ca="1" si="111"/>
        <v/>
      </c>
      <c r="I158" s="32" t="str">
        <f t="shared" ca="1" si="116"/>
        <v/>
      </c>
      <c r="J158" s="32" t="str">
        <f t="shared" si="112"/>
        <v/>
      </c>
      <c r="K158" s="32" t="str">
        <f>IF(ISNUMBER(A158),Profile!$V$25+Profile!$V$24*'Ri-Po'!C158,"")</f>
        <v/>
      </c>
      <c r="L158" s="32" t="str">
        <f t="shared" si="117"/>
        <v/>
      </c>
      <c r="M158" s="32" t="str">
        <f t="shared" si="113"/>
        <v/>
      </c>
      <c r="N158" s="32" t="str">
        <f t="shared" si="114"/>
        <v/>
      </c>
      <c r="O158" s="32" t="str">
        <f t="shared" si="130"/>
        <v/>
      </c>
      <c r="P158" s="32" t="str">
        <f t="shared" si="118"/>
        <v/>
      </c>
      <c r="Q158" s="32" t="str">
        <f t="shared" si="119"/>
        <v/>
      </c>
      <c r="R158" s="32" t="str">
        <f t="shared" si="131"/>
        <v/>
      </c>
      <c r="S158" s="24" t="str">
        <f t="shared" si="132"/>
        <v/>
      </c>
      <c r="T158" s="24" t="str">
        <f t="shared" si="133"/>
        <v/>
      </c>
      <c r="U158" s="24" t="str">
        <f t="shared" si="134"/>
        <v/>
      </c>
      <c r="V158" s="24" t="str">
        <f t="shared" si="135"/>
        <v/>
      </c>
      <c r="W158" s="23" t="str">
        <f t="array" ref="W158">IFERROR(SMALL(IF(S$1:S$1000="BEGIN",ROW(S$1:S$1000)),ROW()-3),"")</f>
        <v/>
      </c>
      <c r="X158" s="23" t="str">
        <f t="array" ref="X158">IFERROR(SMALL(IF(T$1:T$1000="END",ROW(T$1:T$1000)),ROW()-3),"")</f>
        <v/>
      </c>
      <c r="Y158" s="33" t="str">
        <f t="array" ref="Y158">IF(ISNUMBER(W158),MAX(IF((B$4:B$1000&lt;=X158)*(B$4:B$1000&gt;=W158),I$4:I$1000, "")),"")</f>
        <v/>
      </c>
      <c r="Z158" s="33" t="str">
        <f t="shared" si="120"/>
        <v/>
      </c>
      <c r="AA158" s="32" t="str">
        <f t="shared" si="121"/>
        <v/>
      </c>
      <c r="AB158" s="32" t="str">
        <f t="shared" si="122"/>
        <v/>
      </c>
      <c r="AC158" s="32" t="str">
        <f t="shared" si="123"/>
        <v/>
      </c>
      <c r="AD158" s="32" t="str">
        <f t="shared" si="124"/>
        <v/>
      </c>
      <c r="AE158" s="34" t="str">
        <f t="shared" si="125"/>
        <v/>
      </c>
      <c r="AF158" s="32" t="str">
        <f t="shared" si="126"/>
        <v/>
      </c>
      <c r="AG158" s="32" t="str">
        <f t="shared" si="127"/>
        <v/>
      </c>
      <c r="AH158" s="32" t="str">
        <f t="shared" si="128"/>
        <v/>
      </c>
      <c r="AI158" s="35" t="str">
        <f t="shared" si="129"/>
        <v/>
      </c>
      <c r="AJ158" s="23" t="str">
        <f t="array" ref="AJ158">IFERROR(SMALL(IF(U$1:U$1000="BEGIN",ROW(U$1:U$1000)),ROW()-3),"")</f>
        <v/>
      </c>
      <c r="AK158" s="23" t="str">
        <f t="array" ref="AK158">IFERROR(SMALL(IF(V$1:V$1000="END",ROW(V$1:V$1000)),ROW()-3),"")</f>
        <v/>
      </c>
      <c r="AL158" s="24" t="str">
        <f t="array" ref="AL158">IF(AK158="","",MATCH(AM158,L:L,0))</f>
        <v/>
      </c>
      <c r="AM158" s="35">
        <f t="array" ref="AM158">MAX(IF((B$4:B$1000&lt;=AK158)*(B$4:B$1000&gt;=AJ158),L$4:L$1000, ""))</f>
        <v>0</v>
      </c>
      <c r="AN158" s="32" t="str">
        <f t="shared" si="136"/>
        <v/>
      </c>
      <c r="AO158" s="32" t="str">
        <f t="shared" si="137"/>
        <v/>
      </c>
      <c r="AP158" s="32" t="str">
        <f t="shared" si="138"/>
        <v/>
      </c>
      <c r="AQ158" s="32" t="str">
        <f t="shared" si="139"/>
        <v/>
      </c>
      <c r="AR158" s="32" t="str">
        <f t="shared" si="140"/>
        <v/>
      </c>
      <c r="AS158" s="32" t="str">
        <f t="shared" si="141"/>
        <v/>
      </c>
      <c r="AT158" s="32" t="str">
        <f t="shared" si="142"/>
        <v/>
      </c>
      <c r="AU158" s="34" t="str">
        <f t="shared" si="143"/>
        <v/>
      </c>
      <c r="AV158" s="32" t="str">
        <f t="shared" si="144"/>
        <v/>
      </c>
      <c r="AW158" s="32" t="str">
        <f t="shared" si="145"/>
        <v/>
      </c>
      <c r="AX158" s="32" t="str">
        <f t="shared" si="146"/>
        <v/>
      </c>
      <c r="AY158" s="32" t="str">
        <f t="shared" si="147"/>
        <v/>
      </c>
    </row>
    <row r="159" spans="1:51" x14ac:dyDescent="0.25">
      <c r="A159" s="24" t="str">
        <f t="shared" si="105"/>
        <v/>
      </c>
      <c r="B159" s="24" t="str">
        <f t="shared" si="115"/>
        <v/>
      </c>
      <c r="C159" s="32" t="str">
        <f t="shared" si="106"/>
        <v/>
      </c>
      <c r="D159" s="24" t="str">
        <f t="shared" si="107"/>
        <v/>
      </c>
      <c r="E159" s="24" t="str">
        <f t="shared" si="108"/>
        <v/>
      </c>
      <c r="F159" s="32" t="str">
        <f t="shared" si="109"/>
        <v/>
      </c>
      <c r="G159" s="32" t="str">
        <f t="shared" si="110"/>
        <v/>
      </c>
      <c r="H159" s="32" t="str">
        <f t="shared" ca="1" si="111"/>
        <v/>
      </c>
      <c r="I159" s="32" t="str">
        <f t="shared" ca="1" si="116"/>
        <v/>
      </c>
      <c r="J159" s="32" t="str">
        <f t="shared" si="112"/>
        <v/>
      </c>
      <c r="K159" s="32" t="str">
        <f>IF(ISNUMBER(A159),Profile!$V$25+Profile!$V$24*'Ri-Po'!C159,"")</f>
        <v/>
      </c>
      <c r="L159" s="32" t="str">
        <f t="shared" si="117"/>
        <v/>
      </c>
      <c r="M159" s="32" t="str">
        <f t="shared" si="113"/>
        <v/>
      </c>
      <c r="N159" s="32" t="str">
        <f t="shared" si="114"/>
        <v/>
      </c>
      <c r="O159" s="32" t="str">
        <f t="shared" si="130"/>
        <v/>
      </c>
      <c r="P159" s="32" t="str">
        <f t="shared" si="118"/>
        <v/>
      </c>
      <c r="Q159" s="32" t="str">
        <f t="shared" si="119"/>
        <v/>
      </c>
      <c r="R159" s="32" t="str">
        <f t="shared" si="131"/>
        <v/>
      </c>
      <c r="S159" s="24" t="str">
        <f t="shared" si="132"/>
        <v/>
      </c>
      <c r="T159" s="24" t="str">
        <f t="shared" si="133"/>
        <v/>
      </c>
      <c r="U159" s="24" t="str">
        <f t="shared" si="134"/>
        <v/>
      </c>
      <c r="V159" s="24" t="str">
        <f t="shared" si="135"/>
        <v/>
      </c>
      <c r="W159" s="23" t="str">
        <f t="array" ref="W159">IFERROR(SMALL(IF(S$1:S$1000="BEGIN",ROW(S$1:S$1000)),ROW()-3),"")</f>
        <v/>
      </c>
      <c r="X159" s="23" t="str">
        <f t="array" ref="X159">IFERROR(SMALL(IF(T$1:T$1000="END",ROW(T$1:T$1000)),ROW()-3),"")</f>
        <v/>
      </c>
      <c r="Y159" s="33" t="str">
        <f t="array" ref="Y159">IF(ISNUMBER(W159),MAX(IF((B$4:B$1000&lt;=X159)*(B$4:B$1000&gt;=W159),I$4:I$1000, "")),"")</f>
        <v/>
      </c>
      <c r="Z159" s="33" t="str">
        <f t="shared" si="120"/>
        <v/>
      </c>
      <c r="AA159" s="32" t="str">
        <f t="shared" si="121"/>
        <v/>
      </c>
      <c r="AB159" s="32" t="str">
        <f t="shared" si="122"/>
        <v/>
      </c>
      <c r="AC159" s="32" t="str">
        <f t="shared" si="123"/>
        <v/>
      </c>
      <c r="AD159" s="32" t="str">
        <f t="shared" si="124"/>
        <v/>
      </c>
      <c r="AE159" s="34" t="str">
        <f t="shared" si="125"/>
        <v/>
      </c>
      <c r="AF159" s="32" t="str">
        <f t="shared" si="126"/>
        <v/>
      </c>
      <c r="AG159" s="32" t="str">
        <f t="shared" si="127"/>
        <v/>
      </c>
      <c r="AH159" s="32" t="str">
        <f t="shared" si="128"/>
        <v/>
      </c>
      <c r="AI159" s="35" t="str">
        <f t="shared" si="129"/>
        <v/>
      </c>
      <c r="AJ159" s="23" t="str">
        <f t="array" ref="AJ159">IFERROR(SMALL(IF(U$1:U$1000="BEGIN",ROW(U$1:U$1000)),ROW()-3),"")</f>
        <v/>
      </c>
      <c r="AK159" s="23" t="str">
        <f t="array" ref="AK159">IFERROR(SMALL(IF(V$1:V$1000="END",ROW(V$1:V$1000)),ROW()-3),"")</f>
        <v/>
      </c>
      <c r="AL159" s="24" t="str">
        <f t="array" ref="AL159">IF(AK159="","",MATCH(AM159,L:L,0))</f>
        <v/>
      </c>
      <c r="AM159" s="35">
        <f t="array" ref="AM159">MAX(IF((B$4:B$1000&lt;=AK159)*(B$4:B$1000&gt;=AJ159),L$4:L$1000, ""))</f>
        <v>0</v>
      </c>
      <c r="AN159" s="32" t="str">
        <f t="shared" si="136"/>
        <v/>
      </c>
      <c r="AO159" s="32" t="str">
        <f t="shared" si="137"/>
        <v/>
      </c>
      <c r="AP159" s="32" t="str">
        <f t="shared" si="138"/>
        <v/>
      </c>
      <c r="AQ159" s="32" t="str">
        <f t="shared" si="139"/>
        <v/>
      </c>
      <c r="AR159" s="32" t="str">
        <f t="shared" si="140"/>
        <v/>
      </c>
      <c r="AS159" s="32" t="str">
        <f t="shared" si="141"/>
        <v/>
      </c>
      <c r="AT159" s="32" t="str">
        <f t="shared" si="142"/>
        <v/>
      </c>
      <c r="AU159" s="34" t="str">
        <f t="shared" si="143"/>
        <v/>
      </c>
      <c r="AV159" s="32" t="str">
        <f t="shared" si="144"/>
        <v/>
      </c>
      <c r="AW159" s="32" t="str">
        <f t="shared" si="145"/>
        <v/>
      </c>
      <c r="AX159" s="32" t="str">
        <f t="shared" si="146"/>
        <v/>
      </c>
      <c r="AY159" s="32" t="str">
        <f t="shared" si="147"/>
        <v/>
      </c>
    </row>
    <row r="160" spans="1:51" x14ac:dyDescent="0.25">
      <c r="A160" s="24" t="str">
        <f t="shared" si="105"/>
        <v/>
      </c>
      <c r="B160" s="24" t="str">
        <f t="shared" si="115"/>
        <v/>
      </c>
      <c r="C160" s="32" t="str">
        <f t="shared" si="106"/>
        <v/>
      </c>
      <c r="D160" s="24" t="str">
        <f t="shared" si="107"/>
        <v/>
      </c>
      <c r="E160" s="24" t="str">
        <f t="shared" si="108"/>
        <v/>
      </c>
      <c r="F160" s="32" t="str">
        <f t="shared" si="109"/>
        <v/>
      </c>
      <c r="G160" s="32" t="str">
        <f t="shared" si="110"/>
        <v/>
      </c>
      <c r="H160" s="32" t="str">
        <f t="shared" ca="1" si="111"/>
        <v/>
      </c>
      <c r="I160" s="32" t="str">
        <f t="shared" ca="1" si="116"/>
        <v/>
      </c>
      <c r="J160" s="32" t="str">
        <f t="shared" si="112"/>
        <v/>
      </c>
      <c r="K160" s="32" t="str">
        <f>IF(ISNUMBER(A160),Profile!$V$25+Profile!$V$24*'Ri-Po'!C160,"")</f>
        <v/>
      </c>
      <c r="L160" s="32" t="str">
        <f t="shared" si="117"/>
        <v/>
      </c>
      <c r="M160" s="32" t="str">
        <f t="shared" si="113"/>
        <v/>
      </c>
      <c r="N160" s="32" t="str">
        <f t="shared" si="114"/>
        <v/>
      </c>
      <c r="O160" s="32" t="str">
        <f t="shared" si="130"/>
        <v/>
      </c>
      <c r="P160" s="32" t="str">
        <f t="shared" si="118"/>
        <v/>
      </c>
      <c r="Q160" s="32" t="str">
        <f t="shared" si="119"/>
        <v/>
      </c>
      <c r="R160" s="32" t="str">
        <f t="shared" si="131"/>
        <v/>
      </c>
      <c r="S160" s="24" t="str">
        <f t="shared" si="132"/>
        <v/>
      </c>
      <c r="T160" s="24" t="str">
        <f t="shared" si="133"/>
        <v/>
      </c>
      <c r="U160" s="24" t="str">
        <f t="shared" si="134"/>
        <v/>
      </c>
      <c r="V160" s="24" t="str">
        <f t="shared" si="135"/>
        <v/>
      </c>
      <c r="W160" s="23" t="str">
        <f t="array" ref="W160">IFERROR(SMALL(IF(S$1:S$1000="BEGIN",ROW(S$1:S$1000)),ROW()-3),"")</f>
        <v/>
      </c>
      <c r="X160" s="23" t="str">
        <f t="array" ref="X160">IFERROR(SMALL(IF(T$1:T$1000="END",ROW(T$1:T$1000)),ROW()-3),"")</f>
        <v/>
      </c>
      <c r="Y160" s="33" t="str">
        <f t="array" ref="Y160">IF(ISNUMBER(W160),MAX(IF((B$4:B$1000&lt;=X160)*(B$4:B$1000&gt;=W160),I$4:I$1000, "")),"")</f>
        <v/>
      </c>
      <c r="Z160" s="33" t="str">
        <f t="shared" si="120"/>
        <v/>
      </c>
      <c r="AA160" s="32" t="str">
        <f t="shared" si="121"/>
        <v/>
      </c>
      <c r="AB160" s="32" t="str">
        <f t="shared" si="122"/>
        <v/>
      </c>
      <c r="AC160" s="32" t="str">
        <f t="shared" si="123"/>
        <v/>
      </c>
      <c r="AD160" s="32" t="str">
        <f t="shared" si="124"/>
        <v/>
      </c>
      <c r="AE160" s="34" t="str">
        <f t="shared" si="125"/>
        <v/>
      </c>
      <c r="AF160" s="32" t="str">
        <f t="shared" si="126"/>
        <v/>
      </c>
      <c r="AG160" s="32" t="str">
        <f t="shared" si="127"/>
        <v/>
      </c>
      <c r="AH160" s="32" t="str">
        <f t="shared" si="128"/>
        <v/>
      </c>
      <c r="AI160" s="35" t="str">
        <f t="shared" si="129"/>
        <v/>
      </c>
      <c r="AJ160" s="23" t="str">
        <f t="array" ref="AJ160">IFERROR(SMALL(IF(U$1:U$1000="BEGIN",ROW(U$1:U$1000)),ROW()-3),"")</f>
        <v/>
      </c>
      <c r="AK160" s="23" t="str">
        <f t="array" ref="AK160">IFERROR(SMALL(IF(V$1:V$1000="END",ROW(V$1:V$1000)),ROW()-3),"")</f>
        <v/>
      </c>
      <c r="AL160" s="24" t="str">
        <f t="array" ref="AL160">IF(AK160="","",MATCH(AM160,L:L,0))</f>
        <v/>
      </c>
      <c r="AM160" s="35">
        <f t="array" ref="AM160">MAX(IF((B$4:B$1000&lt;=AK160)*(B$4:B$1000&gt;=AJ160),L$4:L$1000, ""))</f>
        <v>0</v>
      </c>
      <c r="AN160" s="32" t="str">
        <f t="shared" si="136"/>
        <v/>
      </c>
      <c r="AO160" s="32" t="str">
        <f t="shared" si="137"/>
        <v/>
      </c>
      <c r="AP160" s="32" t="str">
        <f t="shared" si="138"/>
        <v/>
      </c>
      <c r="AQ160" s="32" t="str">
        <f t="shared" si="139"/>
        <v/>
      </c>
      <c r="AR160" s="32" t="str">
        <f t="shared" si="140"/>
        <v/>
      </c>
      <c r="AS160" s="32" t="str">
        <f t="shared" si="141"/>
        <v/>
      </c>
      <c r="AT160" s="32" t="str">
        <f t="shared" si="142"/>
        <v/>
      </c>
      <c r="AU160" s="34" t="str">
        <f t="shared" si="143"/>
        <v/>
      </c>
      <c r="AV160" s="32" t="str">
        <f t="shared" si="144"/>
        <v/>
      </c>
      <c r="AW160" s="32" t="str">
        <f t="shared" si="145"/>
        <v/>
      </c>
      <c r="AX160" s="32" t="str">
        <f t="shared" si="146"/>
        <v/>
      </c>
      <c r="AY160" s="32" t="str">
        <f t="shared" si="147"/>
        <v/>
      </c>
    </row>
    <row r="161" spans="1:51" x14ac:dyDescent="0.25">
      <c r="A161" s="24" t="str">
        <f t="shared" si="105"/>
        <v/>
      </c>
      <c r="B161" s="24" t="str">
        <f t="shared" si="115"/>
        <v/>
      </c>
      <c r="C161" s="32" t="str">
        <f t="shared" si="106"/>
        <v/>
      </c>
      <c r="D161" s="24" t="str">
        <f t="shared" si="107"/>
        <v/>
      </c>
      <c r="E161" s="24" t="str">
        <f t="shared" si="108"/>
        <v/>
      </c>
      <c r="F161" s="32" t="str">
        <f t="shared" si="109"/>
        <v/>
      </c>
      <c r="G161" s="32" t="str">
        <f t="shared" si="110"/>
        <v/>
      </c>
      <c r="H161" s="32" t="str">
        <f t="shared" ca="1" si="111"/>
        <v/>
      </c>
      <c r="I161" s="32" t="str">
        <f t="shared" ca="1" si="116"/>
        <v/>
      </c>
      <c r="J161" s="32" t="str">
        <f t="shared" si="112"/>
        <v/>
      </c>
      <c r="K161" s="32" t="str">
        <f>IF(ISNUMBER(A161),Profile!$V$25+Profile!$V$24*'Ri-Po'!C161,"")</f>
        <v/>
      </c>
      <c r="L161" s="32" t="str">
        <f t="shared" si="117"/>
        <v/>
      </c>
      <c r="M161" s="32" t="str">
        <f t="shared" si="113"/>
        <v/>
      </c>
      <c r="N161" s="32" t="str">
        <f t="shared" si="114"/>
        <v/>
      </c>
      <c r="O161" s="32" t="str">
        <f t="shared" si="130"/>
        <v/>
      </c>
      <c r="P161" s="32" t="str">
        <f t="shared" si="118"/>
        <v/>
      </c>
      <c r="Q161" s="32" t="str">
        <f t="shared" si="119"/>
        <v/>
      </c>
      <c r="R161" s="32" t="str">
        <f t="shared" si="131"/>
        <v/>
      </c>
      <c r="S161" s="24" t="str">
        <f t="shared" si="132"/>
        <v/>
      </c>
      <c r="T161" s="24" t="str">
        <f t="shared" si="133"/>
        <v/>
      </c>
      <c r="U161" s="24" t="str">
        <f t="shared" si="134"/>
        <v/>
      </c>
      <c r="V161" s="24" t="str">
        <f t="shared" si="135"/>
        <v/>
      </c>
      <c r="W161" s="23" t="str">
        <f t="array" ref="W161">IFERROR(SMALL(IF(S$1:S$1000="BEGIN",ROW(S$1:S$1000)),ROW()-3),"")</f>
        <v/>
      </c>
      <c r="X161" s="23" t="str">
        <f t="array" ref="X161">IFERROR(SMALL(IF(T$1:T$1000="END",ROW(T$1:T$1000)),ROW()-3),"")</f>
        <v/>
      </c>
      <c r="Y161" s="33" t="str">
        <f t="array" ref="Y161">IF(ISNUMBER(W161),MAX(IF((B$4:B$1000&lt;=X161)*(B$4:B$1000&gt;=W161),I$4:I$1000, "")),"")</f>
        <v/>
      </c>
      <c r="Z161" s="33" t="str">
        <f t="shared" si="120"/>
        <v/>
      </c>
      <c r="AA161" s="32" t="str">
        <f t="shared" si="121"/>
        <v/>
      </c>
      <c r="AB161" s="32" t="str">
        <f t="shared" si="122"/>
        <v/>
      </c>
      <c r="AC161" s="32" t="str">
        <f t="shared" si="123"/>
        <v/>
      </c>
      <c r="AD161" s="32" t="str">
        <f t="shared" si="124"/>
        <v/>
      </c>
      <c r="AE161" s="34" t="str">
        <f t="shared" si="125"/>
        <v/>
      </c>
      <c r="AF161" s="32" t="str">
        <f t="shared" si="126"/>
        <v/>
      </c>
      <c r="AG161" s="32" t="str">
        <f t="shared" si="127"/>
        <v/>
      </c>
      <c r="AH161" s="32" t="str">
        <f t="shared" si="128"/>
        <v/>
      </c>
      <c r="AI161" s="35" t="str">
        <f t="shared" si="129"/>
        <v/>
      </c>
      <c r="AJ161" s="23" t="str">
        <f t="array" ref="AJ161">IFERROR(SMALL(IF(U$1:U$1000="BEGIN",ROW(U$1:U$1000)),ROW()-3),"")</f>
        <v/>
      </c>
      <c r="AK161" s="23" t="str">
        <f t="array" ref="AK161">IFERROR(SMALL(IF(V$1:V$1000="END",ROW(V$1:V$1000)),ROW()-3),"")</f>
        <v/>
      </c>
      <c r="AL161" s="24" t="str">
        <f t="array" ref="AL161">IF(AK161="","",MATCH(AM161,L:L,0))</f>
        <v/>
      </c>
      <c r="AM161" s="35">
        <f t="array" ref="AM161">MAX(IF((B$4:B$1000&lt;=AK161)*(B$4:B$1000&gt;=AJ161),L$4:L$1000, ""))</f>
        <v>0</v>
      </c>
      <c r="AN161" s="32" t="str">
        <f t="shared" si="136"/>
        <v/>
      </c>
      <c r="AO161" s="32" t="str">
        <f t="shared" si="137"/>
        <v/>
      </c>
      <c r="AP161" s="32" t="str">
        <f t="shared" si="138"/>
        <v/>
      </c>
      <c r="AQ161" s="32" t="str">
        <f t="shared" si="139"/>
        <v/>
      </c>
      <c r="AR161" s="32" t="str">
        <f t="shared" si="140"/>
        <v/>
      </c>
      <c r="AS161" s="32" t="str">
        <f t="shared" si="141"/>
        <v/>
      </c>
      <c r="AT161" s="32" t="str">
        <f t="shared" si="142"/>
        <v/>
      </c>
      <c r="AU161" s="34" t="str">
        <f t="shared" si="143"/>
        <v/>
      </c>
      <c r="AV161" s="32" t="str">
        <f t="shared" si="144"/>
        <v/>
      </c>
      <c r="AW161" s="32" t="str">
        <f t="shared" si="145"/>
        <v/>
      </c>
      <c r="AX161" s="32" t="str">
        <f t="shared" si="146"/>
        <v/>
      </c>
      <c r="AY161" s="32" t="str">
        <f t="shared" si="147"/>
        <v/>
      </c>
    </row>
    <row r="162" spans="1:51" x14ac:dyDescent="0.25">
      <c r="A162" s="24" t="str">
        <f t="shared" si="105"/>
        <v/>
      </c>
      <c r="B162" s="24" t="str">
        <f t="shared" si="115"/>
        <v/>
      </c>
      <c r="C162" s="32" t="str">
        <f t="shared" si="106"/>
        <v/>
      </c>
      <c r="D162" s="24" t="str">
        <f t="shared" si="107"/>
        <v/>
      </c>
      <c r="E162" s="24" t="str">
        <f t="shared" si="108"/>
        <v/>
      </c>
      <c r="F162" s="32" t="str">
        <f t="shared" si="109"/>
        <v/>
      </c>
      <c r="G162" s="32" t="str">
        <f t="shared" si="110"/>
        <v/>
      </c>
      <c r="H162" s="32" t="str">
        <f t="shared" ca="1" si="111"/>
        <v/>
      </c>
      <c r="I162" s="32" t="str">
        <f t="shared" ca="1" si="116"/>
        <v/>
      </c>
      <c r="J162" s="32" t="str">
        <f t="shared" si="112"/>
        <v/>
      </c>
      <c r="K162" s="32" t="str">
        <f>IF(ISNUMBER(A162),Profile!$V$25+Profile!$V$24*'Ri-Po'!C162,"")</f>
        <v/>
      </c>
      <c r="L162" s="32" t="str">
        <f t="shared" si="117"/>
        <v/>
      </c>
      <c r="M162" s="32" t="str">
        <f t="shared" si="113"/>
        <v/>
      </c>
      <c r="N162" s="32" t="str">
        <f t="shared" si="114"/>
        <v/>
      </c>
      <c r="O162" s="32" t="str">
        <f t="shared" si="130"/>
        <v/>
      </c>
      <c r="P162" s="32" t="str">
        <f t="shared" si="118"/>
        <v/>
      </c>
      <c r="Q162" s="32" t="str">
        <f t="shared" si="119"/>
        <v/>
      </c>
      <c r="R162" s="32" t="str">
        <f t="shared" si="131"/>
        <v/>
      </c>
      <c r="S162" s="24" t="str">
        <f t="shared" si="132"/>
        <v/>
      </c>
      <c r="T162" s="24" t="str">
        <f t="shared" si="133"/>
        <v/>
      </c>
      <c r="U162" s="24" t="str">
        <f t="shared" si="134"/>
        <v/>
      </c>
      <c r="V162" s="24" t="str">
        <f t="shared" si="135"/>
        <v/>
      </c>
      <c r="W162" s="23" t="str">
        <f t="array" ref="W162">IFERROR(SMALL(IF(S$1:S$1000="BEGIN",ROW(S$1:S$1000)),ROW()-3),"")</f>
        <v/>
      </c>
      <c r="X162" s="23" t="str">
        <f t="array" ref="X162">IFERROR(SMALL(IF(T$1:T$1000="END",ROW(T$1:T$1000)),ROW()-3),"")</f>
        <v/>
      </c>
      <c r="Y162" s="33" t="str">
        <f t="array" ref="Y162">IF(ISNUMBER(W162),MAX(IF((B$4:B$1000&lt;=X162)*(B$4:B$1000&gt;=W162),I$4:I$1000, "")),"")</f>
        <v/>
      </c>
      <c r="Z162" s="33" t="str">
        <f t="shared" si="120"/>
        <v/>
      </c>
      <c r="AA162" s="32" t="str">
        <f t="shared" si="121"/>
        <v/>
      </c>
      <c r="AB162" s="32" t="str">
        <f t="shared" si="122"/>
        <v/>
      </c>
      <c r="AC162" s="32" t="str">
        <f t="shared" si="123"/>
        <v/>
      </c>
      <c r="AD162" s="32" t="str">
        <f t="shared" si="124"/>
        <v/>
      </c>
      <c r="AE162" s="34" t="str">
        <f t="shared" si="125"/>
        <v/>
      </c>
      <c r="AF162" s="32" t="str">
        <f t="shared" si="126"/>
        <v/>
      </c>
      <c r="AG162" s="32" t="str">
        <f t="shared" si="127"/>
        <v/>
      </c>
      <c r="AH162" s="32" t="str">
        <f t="shared" si="128"/>
        <v/>
      </c>
      <c r="AI162" s="35" t="str">
        <f t="shared" si="129"/>
        <v/>
      </c>
      <c r="AJ162" s="23" t="str">
        <f t="array" ref="AJ162">IFERROR(SMALL(IF(U$1:U$1000="BEGIN",ROW(U$1:U$1000)),ROW()-3),"")</f>
        <v/>
      </c>
      <c r="AK162" s="23" t="str">
        <f t="array" ref="AK162">IFERROR(SMALL(IF(V$1:V$1000="END",ROW(V$1:V$1000)),ROW()-3),"")</f>
        <v/>
      </c>
      <c r="AL162" s="24" t="str">
        <f t="array" ref="AL162">IF(AK162="","",MATCH(AM162,L:L,0))</f>
        <v/>
      </c>
      <c r="AM162" s="35">
        <f t="array" ref="AM162">MAX(IF((B$4:B$1000&lt;=AK162)*(B$4:B$1000&gt;=AJ162),L$4:L$1000, ""))</f>
        <v>0</v>
      </c>
      <c r="AN162" s="32" t="str">
        <f t="shared" si="136"/>
        <v/>
      </c>
      <c r="AO162" s="32" t="str">
        <f t="shared" si="137"/>
        <v/>
      </c>
      <c r="AP162" s="32" t="str">
        <f t="shared" si="138"/>
        <v/>
      </c>
      <c r="AQ162" s="32" t="str">
        <f t="shared" si="139"/>
        <v/>
      </c>
      <c r="AR162" s="32" t="str">
        <f t="shared" si="140"/>
        <v/>
      </c>
      <c r="AS162" s="32" t="str">
        <f t="shared" si="141"/>
        <v/>
      </c>
      <c r="AT162" s="32" t="str">
        <f t="shared" si="142"/>
        <v/>
      </c>
      <c r="AU162" s="34" t="str">
        <f t="shared" si="143"/>
        <v/>
      </c>
      <c r="AV162" s="32" t="str">
        <f t="shared" si="144"/>
        <v/>
      </c>
      <c r="AW162" s="32" t="str">
        <f t="shared" si="145"/>
        <v/>
      </c>
      <c r="AX162" s="32" t="str">
        <f t="shared" si="146"/>
        <v/>
      </c>
      <c r="AY162" s="32" t="str">
        <f t="shared" si="147"/>
        <v/>
      </c>
    </row>
    <row r="163" spans="1:51" x14ac:dyDescent="0.25">
      <c r="A163" s="24" t="str">
        <f t="shared" si="105"/>
        <v/>
      </c>
      <c r="B163" s="24" t="str">
        <f t="shared" si="115"/>
        <v/>
      </c>
      <c r="C163" s="32" t="str">
        <f t="shared" si="106"/>
        <v/>
      </c>
      <c r="D163" s="24" t="str">
        <f t="shared" si="107"/>
        <v/>
      </c>
      <c r="E163" s="24" t="str">
        <f t="shared" si="108"/>
        <v/>
      </c>
      <c r="F163" s="32" t="str">
        <f t="shared" si="109"/>
        <v/>
      </c>
      <c r="G163" s="32" t="str">
        <f t="shared" si="110"/>
        <v/>
      </c>
      <c r="H163" s="32" t="str">
        <f t="shared" ca="1" si="111"/>
        <v/>
      </c>
      <c r="I163" s="32" t="str">
        <f t="shared" ca="1" si="116"/>
        <v/>
      </c>
      <c r="J163" s="32" t="str">
        <f t="shared" si="112"/>
        <v/>
      </c>
      <c r="K163" s="32" t="str">
        <f>IF(ISNUMBER(A163),Profile!$V$25+Profile!$V$24*'Ri-Po'!C163,"")</f>
        <v/>
      </c>
      <c r="L163" s="32" t="str">
        <f t="shared" si="117"/>
        <v/>
      </c>
      <c r="M163" s="32" t="str">
        <f t="shared" si="113"/>
        <v/>
      </c>
      <c r="N163" s="32" t="str">
        <f t="shared" si="114"/>
        <v/>
      </c>
      <c r="O163" s="32" t="str">
        <f t="shared" si="130"/>
        <v/>
      </c>
      <c r="P163" s="32" t="str">
        <f t="shared" si="118"/>
        <v/>
      </c>
      <c r="Q163" s="32" t="str">
        <f t="shared" si="119"/>
        <v/>
      </c>
      <c r="R163" s="32" t="str">
        <f t="shared" si="131"/>
        <v/>
      </c>
      <c r="S163" s="24" t="str">
        <f t="shared" si="132"/>
        <v/>
      </c>
      <c r="T163" s="24" t="str">
        <f t="shared" si="133"/>
        <v/>
      </c>
      <c r="U163" s="24" t="str">
        <f t="shared" si="134"/>
        <v/>
      </c>
      <c r="V163" s="24" t="str">
        <f t="shared" si="135"/>
        <v/>
      </c>
      <c r="W163" s="23" t="str">
        <f t="array" ref="W163">IFERROR(SMALL(IF(S$1:S$1000="BEGIN",ROW(S$1:S$1000)),ROW()-3),"")</f>
        <v/>
      </c>
      <c r="X163" s="23" t="str">
        <f t="array" ref="X163">IFERROR(SMALL(IF(T$1:T$1000="END",ROW(T$1:T$1000)),ROW()-3),"")</f>
        <v/>
      </c>
      <c r="Y163" s="33" t="str">
        <f t="array" ref="Y163">IF(ISNUMBER(W163),MAX(IF((B$4:B$1000&lt;=X163)*(B$4:B$1000&gt;=W163),I$4:I$1000, "")),"")</f>
        <v/>
      </c>
      <c r="Z163" s="33" t="str">
        <f t="shared" si="120"/>
        <v/>
      </c>
      <c r="AA163" s="32" t="str">
        <f t="shared" si="121"/>
        <v/>
      </c>
      <c r="AB163" s="32" t="str">
        <f t="shared" si="122"/>
        <v/>
      </c>
      <c r="AC163" s="32" t="str">
        <f t="shared" si="123"/>
        <v/>
      </c>
      <c r="AD163" s="32" t="str">
        <f t="shared" si="124"/>
        <v/>
      </c>
      <c r="AE163" s="34" t="str">
        <f t="shared" si="125"/>
        <v/>
      </c>
      <c r="AF163" s="32" t="str">
        <f t="shared" si="126"/>
        <v/>
      </c>
      <c r="AG163" s="32" t="str">
        <f t="shared" si="127"/>
        <v/>
      </c>
      <c r="AH163" s="32" t="str">
        <f t="shared" si="128"/>
        <v/>
      </c>
      <c r="AI163" s="35" t="str">
        <f t="shared" si="129"/>
        <v/>
      </c>
      <c r="AJ163" s="23" t="str">
        <f t="array" ref="AJ163">IFERROR(SMALL(IF(U$1:U$1000="BEGIN",ROW(U$1:U$1000)),ROW()-3),"")</f>
        <v/>
      </c>
      <c r="AK163" s="23" t="str">
        <f t="array" ref="AK163">IFERROR(SMALL(IF(V$1:V$1000="END",ROW(V$1:V$1000)),ROW()-3),"")</f>
        <v/>
      </c>
      <c r="AL163" s="24" t="str">
        <f t="array" ref="AL163">IF(AK163="","",MATCH(AM163,L:L,0))</f>
        <v/>
      </c>
      <c r="AM163" s="35">
        <f t="array" ref="AM163">MAX(IF((B$4:B$1000&lt;=AK163)*(B$4:B$1000&gt;=AJ163),L$4:L$1000, ""))</f>
        <v>0</v>
      </c>
      <c r="AN163" s="32" t="str">
        <f t="shared" si="136"/>
        <v/>
      </c>
      <c r="AO163" s="32" t="str">
        <f t="shared" si="137"/>
        <v/>
      </c>
      <c r="AP163" s="32" t="str">
        <f t="shared" si="138"/>
        <v/>
      </c>
      <c r="AQ163" s="32" t="str">
        <f t="shared" si="139"/>
        <v/>
      </c>
      <c r="AR163" s="32" t="str">
        <f t="shared" si="140"/>
        <v/>
      </c>
      <c r="AS163" s="32" t="str">
        <f t="shared" si="141"/>
        <v/>
      </c>
      <c r="AT163" s="32" t="str">
        <f t="shared" si="142"/>
        <v/>
      </c>
      <c r="AU163" s="34" t="str">
        <f t="shared" si="143"/>
        <v/>
      </c>
      <c r="AV163" s="32" t="str">
        <f t="shared" si="144"/>
        <v/>
      </c>
      <c r="AW163" s="32" t="str">
        <f t="shared" si="145"/>
        <v/>
      </c>
      <c r="AX163" s="32" t="str">
        <f t="shared" si="146"/>
        <v/>
      </c>
      <c r="AY163" s="32" t="str">
        <f t="shared" si="147"/>
        <v/>
      </c>
    </row>
    <row r="164" spans="1:51" x14ac:dyDescent="0.25">
      <c r="A164" s="24" t="str">
        <f t="shared" si="105"/>
        <v/>
      </c>
      <c r="B164" s="24" t="str">
        <f t="shared" si="115"/>
        <v/>
      </c>
      <c r="C164" s="32" t="str">
        <f t="shared" si="106"/>
        <v/>
      </c>
      <c r="D164" s="24" t="str">
        <f t="shared" si="107"/>
        <v/>
      </c>
      <c r="E164" s="24" t="str">
        <f t="shared" si="108"/>
        <v/>
      </c>
      <c r="F164" s="32" t="str">
        <f t="shared" si="109"/>
        <v/>
      </c>
      <c r="G164" s="32" t="str">
        <f t="shared" si="110"/>
        <v/>
      </c>
      <c r="H164" s="32" t="str">
        <f t="shared" ca="1" si="111"/>
        <v/>
      </c>
      <c r="I164" s="32" t="str">
        <f t="shared" ca="1" si="116"/>
        <v/>
      </c>
      <c r="J164" s="32" t="str">
        <f t="shared" si="112"/>
        <v/>
      </c>
      <c r="K164" s="32" t="str">
        <f>IF(ISNUMBER(A164),Profile!$V$25+Profile!$V$24*'Ri-Po'!C164,"")</f>
        <v/>
      </c>
      <c r="L164" s="32" t="str">
        <f t="shared" si="117"/>
        <v/>
      </c>
      <c r="M164" s="32" t="str">
        <f t="shared" si="113"/>
        <v/>
      </c>
      <c r="N164" s="32" t="str">
        <f t="shared" si="114"/>
        <v/>
      </c>
      <c r="O164" s="32" t="str">
        <f t="shared" si="130"/>
        <v/>
      </c>
      <c r="P164" s="32" t="str">
        <f t="shared" si="118"/>
        <v/>
      </c>
      <c r="Q164" s="32" t="str">
        <f t="shared" si="119"/>
        <v/>
      </c>
      <c r="R164" s="32" t="str">
        <f t="shared" si="131"/>
        <v/>
      </c>
      <c r="S164" s="24" t="str">
        <f t="shared" si="132"/>
        <v/>
      </c>
      <c r="T164" s="24" t="str">
        <f t="shared" si="133"/>
        <v/>
      </c>
      <c r="U164" s="24" t="str">
        <f t="shared" si="134"/>
        <v/>
      </c>
      <c r="V164" s="24" t="str">
        <f t="shared" si="135"/>
        <v/>
      </c>
      <c r="W164" s="23" t="str">
        <f t="array" ref="W164">IFERROR(SMALL(IF(S$1:S$1000="BEGIN",ROW(S$1:S$1000)),ROW()-3),"")</f>
        <v/>
      </c>
      <c r="X164" s="23" t="str">
        <f t="array" ref="X164">IFERROR(SMALL(IF(T$1:T$1000="END",ROW(T$1:T$1000)),ROW()-3),"")</f>
        <v/>
      </c>
      <c r="Y164" s="33" t="str">
        <f t="array" ref="Y164">IF(ISNUMBER(W164),MAX(IF((B$4:B$1000&lt;=X164)*(B$4:B$1000&gt;=W164),I$4:I$1000, "")),"")</f>
        <v/>
      </c>
      <c r="Z164" s="33" t="str">
        <f t="shared" si="120"/>
        <v/>
      </c>
      <c r="AA164" s="32" t="str">
        <f t="shared" si="121"/>
        <v/>
      </c>
      <c r="AB164" s="32" t="str">
        <f t="shared" si="122"/>
        <v/>
      </c>
      <c r="AC164" s="32" t="str">
        <f t="shared" si="123"/>
        <v/>
      </c>
      <c r="AD164" s="32" t="str">
        <f t="shared" si="124"/>
        <v/>
      </c>
      <c r="AE164" s="34" t="str">
        <f t="shared" si="125"/>
        <v/>
      </c>
      <c r="AF164" s="32" t="str">
        <f t="shared" si="126"/>
        <v/>
      </c>
      <c r="AG164" s="32" t="str">
        <f t="shared" si="127"/>
        <v/>
      </c>
      <c r="AH164" s="32" t="str">
        <f t="shared" si="128"/>
        <v/>
      </c>
      <c r="AI164" s="35" t="str">
        <f t="shared" si="129"/>
        <v/>
      </c>
      <c r="AJ164" s="23" t="str">
        <f t="array" ref="AJ164">IFERROR(SMALL(IF(U$1:U$1000="BEGIN",ROW(U$1:U$1000)),ROW()-3),"")</f>
        <v/>
      </c>
      <c r="AK164" s="23" t="str">
        <f t="array" ref="AK164">IFERROR(SMALL(IF(V$1:V$1000="END",ROW(V$1:V$1000)),ROW()-3),"")</f>
        <v/>
      </c>
      <c r="AL164" s="24" t="str">
        <f t="array" ref="AL164">IF(AK164="","",MATCH(AM164,L:L,0))</f>
        <v/>
      </c>
      <c r="AM164" s="35">
        <f t="array" ref="AM164">MAX(IF((B$4:B$1000&lt;=AK164)*(B$4:B$1000&gt;=AJ164),L$4:L$1000, ""))</f>
        <v>0</v>
      </c>
      <c r="AN164" s="32" t="str">
        <f t="shared" si="136"/>
        <v/>
      </c>
      <c r="AO164" s="32" t="str">
        <f t="shared" si="137"/>
        <v/>
      </c>
      <c r="AP164" s="32" t="str">
        <f t="shared" si="138"/>
        <v/>
      </c>
      <c r="AQ164" s="32" t="str">
        <f t="shared" si="139"/>
        <v/>
      </c>
      <c r="AR164" s="32" t="str">
        <f t="shared" si="140"/>
        <v/>
      </c>
      <c r="AS164" s="32" t="str">
        <f t="shared" si="141"/>
        <v/>
      </c>
      <c r="AT164" s="32" t="str">
        <f t="shared" si="142"/>
        <v/>
      </c>
      <c r="AU164" s="34" t="str">
        <f t="shared" si="143"/>
        <v/>
      </c>
      <c r="AV164" s="32" t="str">
        <f t="shared" si="144"/>
        <v/>
      </c>
      <c r="AW164" s="32" t="str">
        <f t="shared" si="145"/>
        <v/>
      </c>
      <c r="AX164" s="32" t="str">
        <f t="shared" si="146"/>
        <v/>
      </c>
      <c r="AY164" s="32" t="str">
        <f t="shared" si="147"/>
        <v/>
      </c>
    </row>
    <row r="165" spans="1:51" x14ac:dyDescent="0.25">
      <c r="A165" s="24" t="str">
        <f t="shared" si="105"/>
        <v/>
      </c>
      <c r="B165" s="24" t="str">
        <f t="shared" si="115"/>
        <v/>
      </c>
      <c r="C165" s="32" t="str">
        <f t="shared" si="106"/>
        <v/>
      </c>
      <c r="D165" s="24" t="str">
        <f t="shared" si="107"/>
        <v/>
      </c>
      <c r="E165" s="24" t="str">
        <f t="shared" si="108"/>
        <v/>
      </c>
      <c r="F165" s="32" t="str">
        <f t="shared" si="109"/>
        <v/>
      </c>
      <c r="G165" s="32" t="str">
        <f t="shared" si="110"/>
        <v/>
      </c>
      <c r="H165" s="32" t="str">
        <f t="shared" ca="1" si="111"/>
        <v/>
      </c>
      <c r="I165" s="32" t="str">
        <f t="shared" ca="1" si="116"/>
        <v/>
      </c>
      <c r="J165" s="32" t="str">
        <f t="shared" si="112"/>
        <v/>
      </c>
      <c r="K165" s="32" t="str">
        <f>IF(ISNUMBER(A165),Profile!$V$25+Profile!$V$24*'Ri-Po'!C165,"")</f>
        <v/>
      </c>
      <c r="L165" s="32" t="str">
        <f t="shared" si="117"/>
        <v/>
      </c>
      <c r="M165" s="32" t="str">
        <f t="shared" si="113"/>
        <v/>
      </c>
      <c r="N165" s="32" t="str">
        <f t="shared" si="114"/>
        <v/>
      </c>
      <c r="O165" s="32" t="str">
        <f t="shared" si="130"/>
        <v/>
      </c>
      <c r="P165" s="32" t="str">
        <f t="shared" si="118"/>
        <v/>
      </c>
      <c r="Q165" s="32" t="str">
        <f t="shared" si="119"/>
        <v/>
      </c>
      <c r="R165" s="32" t="str">
        <f t="shared" si="131"/>
        <v/>
      </c>
      <c r="S165" s="24" t="str">
        <f t="shared" si="132"/>
        <v/>
      </c>
      <c r="T165" s="24" t="str">
        <f t="shared" si="133"/>
        <v/>
      </c>
      <c r="U165" s="24" t="str">
        <f t="shared" si="134"/>
        <v/>
      </c>
      <c r="V165" s="24" t="str">
        <f t="shared" si="135"/>
        <v/>
      </c>
      <c r="W165" s="23" t="str">
        <f t="array" ref="W165">IFERROR(SMALL(IF(S$1:S$1000="BEGIN",ROW(S$1:S$1000)),ROW()-3),"")</f>
        <v/>
      </c>
      <c r="X165" s="23" t="str">
        <f t="array" ref="X165">IFERROR(SMALL(IF(T$1:T$1000="END",ROW(T$1:T$1000)),ROW()-3),"")</f>
        <v/>
      </c>
      <c r="Y165" s="33" t="str">
        <f t="array" ref="Y165">IF(ISNUMBER(W165),MAX(IF((B$4:B$1000&lt;=X165)*(B$4:B$1000&gt;=W165),I$4:I$1000, "")),"")</f>
        <v/>
      </c>
      <c r="Z165" s="33" t="str">
        <f t="shared" si="120"/>
        <v/>
      </c>
      <c r="AA165" s="32" t="str">
        <f t="shared" si="121"/>
        <v/>
      </c>
      <c r="AB165" s="32" t="str">
        <f t="shared" si="122"/>
        <v/>
      </c>
      <c r="AC165" s="32" t="str">
        <f t="shared" si="123"/>
        <v/>
      </c>
      <c r="AD165" s="32" t="str">
        <f t="shared" si="124"/>
        <v/>
      </c>
      <c r="AE165" s="34" t="str">
        <f t="shared" si="125"/>
        <v/>
      </c>
      <c r="AF165" s="32" t="str">
        <f t="shared" si="126"/>
        <v/>
      </c>
      <c r="AG165" s="32" t="str">
        <f t="shared" si="127"/>
        <v/>
      </c>
      <c r="AH165" s="32" t="str">
        <f t="shared" si="128"/>
        <v/>
      </c>
      <c r="AI165" s="35" t="str">
        <f t="shared" si="129"/>
        <v/>
      </c>
      <c r="AJ165" s="23" t="str">
        <f t="array" ref="AJ165">IFERROR(SMALL(IF(U$1:U$1000="BEGIN",ROW(U$1:U$1000)),ROW()-3),"")</f>
        <v/>
      </c>
      <c r="AK165" s="23" t="str">
        <f t="array" ref="AK165">IFERROR(SMALL(IF(V$1:V$1000="END",ROW(V$1:V$1000)),ROW()-3),"")</f>
        <v/>
      </c>
      <c r="AL165" s="24" t="str">
        <f t="array" ref="AL165">IF(AK165="","",MATCH(AM165,L:L,0))</f>
        <v/>
      </c>
      <c r="AM165" s="35">
        <f t="array" ref="AM165">MAX(IF((B$4:B$1000&lt;=AK165)*(B$4:B$1000&gt;=AJ165),L$4:L$1000, ""))</f>
        <v>0</v>
      </c>
      <c r="AN165" s="32" t="str">
        <f t="shared" si="136"/>
        <v/>
      </c>
      <c r="AO165" s="32" t="str">
        <f t="shared" si="137"/>
        <v/>
      </c>
      <c r="AP165" s="32" t="str">
        <f t="shared" si="138"/>
        <v/>
      </c>
      <c r="AQ165" s="32" t="str">
        <f t="shared" si="139"/>
        <v/>
      </c>
      <c r="AR165" s="32" t="str">
        <f t="shared" si="140"/>
        <v/>
      </c>
      <c r="AS165" s="32" t="str">
        <f t="shared" si="141"/>
        <v/>
      </c>
      <c r="AT165" s="32" t="str">
        <f t="shared" si="142"/>
        <v/>
      </c>
      <c r="AU165" s="34" t="str">
        <f t="shared" si="143"/>
        <v/>
      </c>
      <c r="AV165" s="32" t="str">
        <f t="shared" si="144"/>
        <v/>
      </c>
      <c r="AW165" s="32" t="str">
        <f t="shared" si="145"/>
        <v/>
      </c>
      <c r="AX165" s="32" t="str">
        <f t="shared" si="146"/>
        <v/>
      </c>
      <c r="AY165" s="32" t="str">
        <f t="shared" si="147"/>
        <v/>
      </c>
    </row>
    <row r="166" spans="1:51" x14ac:dyDescent="0.25">
      <c r="A166" s="24" t="str">
        <f t="shared" si="105"/>
        <v/>
      </c>
      <c r="B166" s="24" t="str">
        <f t="shared" si="115"/>
        <v/>
      </c>
      <c r="C166" s="32" t="str">
        <f t="shared" si="106"/>
        <v/>
      </c>
      <c r="D166" s="24" t="str">
        <f t="shared" si="107"/>
        <v/>
      </c>
      <c r="E166" s="24" t="str">
        <f t="shared" si="108"/>
        <v/>
      </c>
      <c r="F166" s="32" t="str">
        <f t="shared" si="109"/>
        <v/>
      </c>
      <c r="G166" s="32" t="str">
        <f t="shared" si="110"/>
        <v/>
      </c>
      <c r="H166" s="32" t="str">
        <f t="shared" ca="1" si="111"/>
        <v/>
      </c>
      <c r="I166" s="32" t="str">
        <f t="shared" ca="1" si="116"/>
        <v/>
      </c>
      <c r="J166" s="32" t="str">
        <f t="shared" si="112"/>
        <v/>
      </c>
      <c r="K166" s="32" t="str">
        <f>IF(ISNUMBER(A166),Profile!$V$25+Profile!$V$24*'Ri-Po'!C166,"")</f>
        <v/>
      </c>
      <c r="L166" s="32" t="str">
        <f t="shared" si="117"/>
        <v/>
      </c>
      <c r="M166" s="32" t="str">
        <f t="shared" si="113"/>
        <v/>
      </c>
      <c r="N166" s="32" t="str">
        <f t="shared" si="114"/>
        <v/>
      </c>
      <c r="O166" s="32" t="str">
        <f t="shared" si="130"/>
        <v/>
      </c>
      <c r="P166" s="32" t="str">
        <f t="shared" si="118"/>
        <v/>
      </c>
      <c r="Q166" s="32" t="str">
        <f t="shared" si="119"/>
        <v/>
      </c>
      <c r="R166" s="32" t="str">
        <f t="shared" si="131"/>
        <v/>
      </c>
      <c r="S166" s="24" t="str">
        <f t="shared" si="132"/>
        <v/>
      </c>
      <c r="T166" s="24" t="str">
        <f t="shared" si="133"/>
        <v/>
      </c>
      <c r="U166" s="24" t="str">
        <f t="shared" si="134"/>
        <v/>
      </c>
      <c r="V166" s="24" t="str">
        <f t="shared" si="135"/>
        <v/>
      </c>
      <c r="W166" s="23" t="str">
        <f t="array" ref="W166">IFERROR(SMALL(IF(S$1:S$1000="BEGIN",ROW(S$1:S$1000)),ROW()-3),"")</f>
        <v/>
      </c>
      <c r="X166" s="23" t="str">
        <f t="array" ref="X166">IFERROR(SMALL(IF(T$1:T$1000="END",ROW(T$1:T$1000)),ROW()-3),"")</f>
        <v/>
      </c>
      <c r="Y166" s="33" t="str">
        <f t="array" ref="Y166">IF(ISNUMBER(W166),MAX(IF((B$4:B$1000&lt;=X166)*(B$4:B$1000&gt;=W166),I$4:I$1000, "")),"")</f>
        <v/>
      </c>
      <c r="Z166" s="33" t="str">
        <f t="shared" si="120"/>
        <v/>
      </c>
      <c r="AA166" s="32" t="str">
        <f t="shared" si="121"/>
        <v/>
      </c>
      <c r="AB166" s="32" t="str">
        <f t="shared" si="122"/>
        <v/>
      </c>
      <c r="AC166" s="32" t="str">
        <f t="shared" si="123"/>
        <v/>
      </c>
      <c r="AD166" s="32" t="str">
        <f t="shared" si="124"/>
        <v/>
      </c>
      <c r="AE166" s="34" t="str">
        <f t="shared" si="125"/>
        <v/>
      </c>
      <c r="AF166" s="32" t="str">
        <f t="shared" si="126"/>
        <v/>
      </c>
      <c r="AG166" s="32" t="str">
        <f t="shared" si="127"/>
        <v/>
      </c>
      <c r="AH166" s="32" t="str">
        <f t="shared" si="128"/>
        <v/>
      </c>
      <c r="AI166" s="35" t="str">
        <f t="shared" si="129"/>
        <v/>
      </c>
      <c r="AJ166" s="23" t="str">
        <f t="array" ref="AJ166">IFERROR(SMALL(IF(U$1:U$1000="BEGIN",ROW(U$1:U$1000)),ROW()-3),"")</f>
        <v/>
      </c>
      <c r="AK166" s="23" t="str">
        <f t="array" ref="AK166">IFERROR(SMALL(IF(V$1:V$1000="END",ROW(V$1:V$1000)),ROW()-3),"")</f>
        <v/>
      </c>
      <c r="AL166" s="24" t="str">
        <f t="array" ref="AL166">IF(AK166="","",MATCH(AM166,L:L,0))</f>
        <v/>
      </c>
      <c r="AM166" s="35">
        <f t="array" ref="AM166">MAX(IF((B$4:B$1000&lt;=AK166)*(B$4:B$1000&gt;=AJ166),L$4:L$1000, ""))</f>
        <v>0</v>
      </c>
      <c r="AN166" s="32" t="str">
        <f t="shared" si="136"/>
        <v/>
      </c>
      <c r="AO166" s="32" t="str">
        <f t="shared" si="137"/>
        <v/>
      </c>
      <c r="AP166" s="32" t="str">
        <f t="shared" si="138"/>
        <v/>
      </c>
      <c r="AQ166" s="32" t="str">
        <f t="shared" si="139"/>
        <v/>
      </c>
      <c r="AR166" s="32" t="str">
        <f t="shared" si="140"/>
        <v/>
      </c>
      <c r="AS166" s="32" t="str">
        <f t="shared" si="141"/>
        <v/>
      </c>
      <c r="AT166" s="32" t="str">
        <f t="shared" si="142"/>
        <v/>
      </c>
      <c r="AU166" s="34" t="str">
        <f t="shared" si="143"/>
        <v/>
      </c>
      <c r="AV166" s="32" t="str">
        <f t="shared" si="144"/>
        <v/>
      </c>
      <c r="AW166" s="32" t="str">
        <f t="shared" si="145"/>
        <v/>
      </c>
      <c r="AX166" s="32" t="str">
        <f t="shared" si="146"/>
        <v/>
      </c>
      <c r="AY166" s="32" t="str">
        <f t="shared" si="147"/>
        <v/>
      </c>
    </row>
    <row r="167" spans="1:51" x14ac:dyDescent="0.25">
      <c r="A167" s="24" t="str">
        <f t="shared" si="105"/>
        <v/>
      </c>
      <c r="B167" s="24" t="str">
        <f t="shared" si="115"/>
        <v/>
      </c>
      <c r="C167" s="32" t="str">
        <f t="shared" si="106"/>
        <v/>
      </c>
      <c r="D167" s="24" t="str">
        <f t="shared" si="107"/>
        <v/>
      </c>
      <c r="E167" s="24" t="str">
        <f t="shared" si="108"/>
        <v/>
      </c>
      <c r="F167" s="32" t="str">
        <f t="shared" si="109"/>
        <v/>
      </c>
      <c r="G167" s="32" t="str">
        <f t="shared" si="110"/>
        <v/>
      </c>
      <c r="H167" s="32" t="str">
        <f t="shared" ca="1" si="111"/>
        <v/>
      </c>
      <c r="I167" s="32" t="str">
        <f t="shared" ca="1" si="116"/>
        <v/>
      </c>
      <c r="J167" s="32" t="str">
        <f t="shared" si="112"/>
        <v/>
      </c>
      <c r="K167" s="32" t="str">
        <f>IF(ISNUMBER(A167),Profile!$V$25+Profile!$V$24*'Ri-Po'!C167,"")</f>
        <v/>
      </c>
      <c r="L167" s="32" t="str">
        <f t="shared" si="117"/>
        <v/>
      </c>
      <c r="M167" s="32" t="str">
        <f t="shared" si="113"/>
        <v/>
      </c>
      <c r="N167" s="32" t="str">
        <f t="shared" si="114"/>
        <v/>
      </c>
      <c r="O167" s="32" t="str">
        <f t="shared" si="130"/>
        <v/>
      </c>
      <c r="P167" s="32" t="str">
        <f t="shared" si="118"/>
        <v/>
      </c>
      <c r="Q167" s="32" t="str">
        <f t="shared" si="119"/>
        <v/>
      </c>
      <c r="R167" s="32" t="str">
        <f t="shared" si="131"/>
        <v/>
      </c>
      <c r="S167" s="24" t="str">
        <f t="shared" si="132"/>
        <v/>
      </c>
      <c r="T167" s="24" t="str">
        <f t="shared" si="133"/>
        <v/>
      </c>
      <c r="U167" s="24" t="str">
        <f t="shared" si="134"/>
        <v/>
      </c>
      <c r="V167" s="24" t="str">
        <f t="shared" si="135"/>
        <v/>
      </c>
      <c r="W167" s="23" t="str">
        <f t="array" ref="W167">IFERROR(SMALL(IF(S$1:S$1000="BEGIN",ROW(S$1:S$1000)),ROW()-3),"")</f>
        <v/>
      </c>
      <c r="X167" s="23" t="str">
        <f t="array" ref="X167">IFERROR(SMALL(IF(T$1:T$1000="END",ROW(T$1:T$1000)),ROW()-3),"")</f>
        <v/>
      </c>
      <c r="Y167" s="33" t="str">
        <f t="array" ref="Y167">IF(ISNUMBER(W167),MAX(IF((B$4:B$1000&lt;=X167)*(B$4:B$1000&gt;=W167),I$4:I$1000, "")),"")</f>
        <v/>
      </c>
      <c r="Z167" s="33" t="str">
        <f t="shared" si="120"/>
        <v/>
      </c>
      <c r="AA167" s="32" t="str">
        <f t="shared" si="121"/>
        <v/>
      </c>
      <c r="AB167" s="32" t="str">
        <f t="shared" si="122"/>
        <v/>
      </c>
      <c r="AC167" s="32" t="str">
        <f t="shared" si="123"/>
        <v/>
      </c>
      <c r="AD167" s="32" t="str">
        <f t="shared" si="124"/>
        <v/>
      </c>
      <c r="AE167" s="34" t="str">
        <f t="shared" si="125"/>
        <v/>
      </c>
      <c r="AF167" s="32" t="str">
        <f t="shared" si="126"/>
        <v/>
      </c>
      <c r="AG167" s="32" t="str">
        <f t="shared" si="127"/>
        <v/>
      </c>
      <c r="AH167" s="32" t="str">
        <f t="shared" si="128"/>
        <v/>
      </c>
      <c r="AI167" s="35" t="str">
        <f t="shared" si="129"/>
        <v/>
      </c>
      <c r="AJ167" s="23" t="str">
        <f t="array" ref="AJ167">IFERROR(SMALL(IF(U$1:U$1000="BEGIN",ROW(U$1:U$1000)),ROW()-3),"")</f>
        <v/>
      </c>
      <c r="AK167" s="23" t="str">
        <f t="array" ref="AK167">IFERROR(SMALL(IF(V$1:V$1000="END",ROW(V$1:V$1000)),ROW()-3),"")</f>
        <v/>
      </c>
      <c r="AL167" s="24" t="str">
        <f t="array" ref="AL167">IF(AK167="","",MATCH(AM167,L:L,0))</f>
        <v/>
      </c>
      <c r="AM167" s="35">
        <f t="array" ref="AM167">MAX(IF((B$4:B$1000&lt;=AK167)*(B$4:B$1000&gt;=AJ167),L$4:L$1000, ""))</f>
        <v>0</v>
      </c>
      <c r="AN167" s="32" t="str">
        <f t="shared" si="136"/>
        <v/>
      </c>
      <c r="AO167" s="32" t="str">
        <f t="shared" si="137"/>
        <v/>
      </c>
      <c r="AP167" s="32" t="str">
        <f t="shared" si="138"/>
        <v/>
      </c>
      <c r="AQ167" s="32" t="str">
        <f t="shared" si="139"/>
        <v/>
      </c>
      <c r="AR167" s="32" t="str">
        <f t="shared" si="140"/>
        <v/>
      </c>
      <c r="AS167" s="32" t="str">
        <f t="shared" si="141"/>
        <v/>
      </c>
      <c r="AT167" s="32" t="str">
        <f t="shared" si="142"/>
        <v/>
      </c>
      <c r="AU167" s="34" t="str">
        <f t="shared" si="143"/>
        <v/>
      </c>
      <c r="AV167" s="32" t="str">
        <f t="shared" si="144"/>
        <v/>
      </c>
      <c r="AW167" s="32" t="str">
        <f t="shared" si="145"/>
        <v/>
      </c>
      <c r="AX167" s="32" t="str">
        <f t="shared" si="146"/>
        <v/>
      </c>
      <c r="AY167" s="32" t="str">
        <f t="shared" si="147"/>
        <v/>
      </c>
    </row>
    <row r="168" spans="1:51" x14ac:dyDescent="0.25">
      <c r="A168" s="24" t="str">
        <f t="shared" si="105"/>
        <v/>
      </c>
      <c r="B168" s="24" t="str">
        <f t="shared" si="115"/>
        <v/>
      </c>
      <c r="C168" s="32" t="str">
        <f t="shared" si="106"/>
        <v/>
      </c>
      <c r="D168" s="24" t="str">
        <f t="shared" si="107"/>
        <v/>
      </c>
      <c r="E168" s="24" t="str">
        <f t="shared" si="108"/>
        <v/>
      </c>
      <c r="F168" s="32" t="str">
        <f t="shared" si="109"/>
        <v/>
      </c>
      <c r="G168" s="32" t="str">
        <f t="shared" si="110"/>
        <v/>
      </c>
      <c r="H168" s="32" t="str">
        <f t="shared" ca="1" si="111"/>
        <v/>
      </c>
      <c r="I168" s="32" t="str">
        <f t="shared" ca="1" si="116"/>
        <v/>
      </c>
      <c r="J168" s="32" t="str">
        <f t="shared" si="112"/>
        <v/>
      </c>
      <c r="K168" s="32" t="str">
        <f>IF(ISNUMBER(A168),Profile!$V$25+Profile!$V$24*'Ri-Po'!C168,"")</f>
        <v/>
      </c>
      <c r="L168" s="32" t="str">
        <f t="shared" si="117"/>
        <v/>
      </c>
      <c r="M168" s="32" t="str">
        <f t="shared" si="113"/>
        <v/>
      </c>
      <c r="N168" s="32" t="str">
        <f t="shared" si="114"/>
        <v/>
      </c>
      <c r="O168" s="32" t="str">
        <f t="shared" si="130"/>
        <v/>
      </c>
      <c r="P168" s="32" t="str">
        <f t="shared" si="118"/>
        <v/>
      </c>
      <c r="Q168" s="32" t="str">
        <f t="shared" si="119"/>
        <v/>
      </c>
      <c r="R168" s="32" t="str">
        <f t="shared" si="131"/>
        <v/>
      </c>
      <c r="S168" s="24" t="str">
        <f t="shared" si="132"/>
        <v/>
      </c>
      <c r="T168" s="24" t="str">
        <f t="shared" si="133"/>
        <v/>
      </c>
      <c r="U168" s="24" t="str">
        <f t="shared" si="134"/>
        <v/>
      </c>
      <c r="V168" s="24" t="str">
        <f t="shared" si="135"/>
        <v/>
      </c>
      <c r="W168" s="23" t="str">
        <f t="array" ref="W168">IFERROR(SMALL(IF(S$1:S$1000="BEGIN",ROW(S$1:S$1000)),ROW()-3),"")</f>
        <v/>
      </c>
      <c r="X168" s="23" t="str">
        <f t="array" ref="X168">IFERROR(SMALL(IF(T$1:T$1000="END",ROW(T$1:T$1000)),ROW()-3),"")</f>
        <v/>
      </c>
      <c r="Y168" s="33" t="str">
        <f t="array" ref="Y168">IF(ISNUMBER(W168),MAX(IF((B$4:B$1000&lt;=X168)*(B$4:B$1000&gt;=W168),I$4:I$1000, "")),"")</f>
        <v/>
      </c>
      <c r="Z168" s="33" t="str">
        <f t="shared" si="120"/>
        <v/>
      </c>
      <c r="AA168" s="32" t="str">
        <f t="shared" si="121"/>
        <v/>
      </c>
      <c r="AB168" s="32" t="str">
        <f t="shared" si="122"/>
        <v/>
      </c>
      <c r="AC168" s="32" t="str">
        <f t="shared" si="123"/>
        <v/>
      </c>
      <c r="AD168" s="32" t="str">
        <f t="shared" si="124"/>
        <v/>
      </c>
      <c r="AE168" s="34" t="str">
        <f t="shared" si="125"/>
        <v/>
      </c>
      <c r="AF168" s="32" t="str">
        <f t="shared" si="126"/>
        <v/>
      </c>
      <c r="AG168" s="32" t="str">
        <f t="shared" si="127"/>
        <v/>
      </c>
      <c r="AH168" s="32" t="str">
        <f t="shared" si="128"/>
        <v/>
      </c>
      <c r="AI168" s="35" t="str">
        <f t="shared" si="129"/>
        <v/>
      </c>
      <c r="AJ168" s="23" t="str">
        <f t="array" ref="AJ168">IFERROR(SMALL(IF(U$1:U$1000="BEGIN",ROW(U$1:U$1000)),ROW()-3),"")</f>
        <v/>
      </c>
      <c r="AK168" s="23" t="str">
        <f t="array" ref="AK168">IFERROR(SMALL(IF(V$1:V$1000="END",ROW(V$1:V$1000)),ROW()-3),"")</f>
        <v/>
      </c>
      <c r="AL168" s="24" t="str">
        <f t="array" ref="AL168">IF(AK168="","",MATCH(AM168,L:L,0))</f>
        <v/>
      </c>
      <c r="AM168" s="35">
        <f t="array" ref="AM168">MAX(IF((B$4:B$1000&lt;=AK168)*(B$4:B$1000&gt;=AJ168),L$4:L$1000, ""))</f>
        <v>0</v>
      </c>
      <c r="AN168" s="32" t="str">
        <f t="shared" si="136"/>
        <v/>
      </c>
      <c r="AO168" s="32" t="str">
        <f t="shared" si="137"/>
        <v/>
      </c>
      <c r="AP168" s="32" t="str">
        <f t="shared" si="138"/>
        <v/>
      </c>
      <c r="AQ168" s="32" t="str">
        <f t="shared" si="139"/>
        <v/>
      </c>
      <c r="AR168" s="32" t="str">
        <f t="shared" si="140"/>
        <v/>
      </c>
      <c r="AS168" s="32" t="str">
        <f t="shared" si="141"/>
        <v/>
      </c>
      <c r="AT168" s="32" t="str">
        <f t="shared" si="142"/>
        <v/>
      </c>
      <c r="AU168" s="34" t="str">
        <f t="shared" si="143"/>
        <v/>
      </c>
      <c r="AV168" s="32" t="str">
        <f t="shared" si="144"/>
        <v/>
      </c>
      <c r="AW168" s="32" t="str">
        <f t="shared" si="145"/>
        <v/>
      </c>
      <c r="AX168" s="32" t="str">
        <f t="shared" si="146"/>
        <v/>
      </c>
      <c r="AY168" s="32" t="str">
        <f t="shared" si="147"/>
        <v/>
      </c>
    </row>
    <row r="169" spans="1:51" x14ac:dyDescent="0.25">
      <c r="A169" s="24" t="str">
        <f t="shared" si="105"/>
        <v/>
      </c>
      <c r="B169" s="24" t="str">
        <f t="shared" si="115"/>
        <v/>
      </c>
      <c r="C169" s="32" t="str">
        <f t="shared" si="106"/>
        <v/>
      </c>
      <c r="D169" s="24" t="str">
        <f t="shared" si="107"/>
        <v/>
      </c>
      <c r="E169" s="24" t="str">
        <f t="shared" si="108"/>
        <v/>
      </c>
      <c r="F169" s="32" t="str">
        <f t="shared" si="109"/>
        <v/>
      </c>
      <c r="G169" s="32" t="str">
        <f t="shared" si="110"/>
        <v/>
      </c>
      <c r="H169" s="32" t="str">
        <f t="shared" ca="1" si="111"/>
        <v/>
      </c>
      <c r="I169" s="32" t="str">
        <f t="shared" ca="1" si="116"/>
        <v/>
      </c>
      <c r="J169" s="32" t="str">
        <f t="shared" si="112"/>
        <v/>
      </c>
      <c r="K169" s="32" t="str">
        <f>IF(ISNUMBER(A169),Profile!$V$25+Profile!$V$24*'Ri-Po'!C169,"")</f>
        <v/>
      </c>
      <c r="L169" s="32" t="str">
        <f t="shared" si="117"/>
        <v/>
      </c>
      <c r="M169" s="32" t="str">
        <f t="shared" si="113"/>
        <v/>
      </c>
      <c r="N169" s="32" t="str">
        <f t="shared" si="114"/>
        <v/>
      </c>
      <c r="O169" s="32" t="str">
        <f t="shared" si="130"/>
        <v/>
      </c>
      <c r="P169" s="32" t="str">
        <f t="shared" si="118"/>
        <v/>
      </c>
      <c r="Q169" s="32" t="str">
        <f t="shared" si="119"/>
        <v/>
      </c>
      <c r="R169" s="32" t="str">
        <f t="shared" si="131"/>
        <v/>
      </c>
      <c r="S169" s="24" t="str">
        <f t="shared" si="132"/>
        <v/>
      </c>
      <c r="T169" s="24" t="str">
        <f t="shared" si="133"/>
        <v/>
      </c>
      <c r="U169" s="24" t="str">
        <f t="shared" si="134"/>
        <v/>
      </c>
      <c r="V169" s="24" t="str">
        <f t="shared" si="135"/>
        <v/>
      </c>
      <c r="W169" s="23" t="str">
        <f t="array" ref="W169">IFERROR(SMALL(IF(S$1:S$1000="BEGIN",ROW(S$1:S$1000)),ROW()-3),"")</f>
        <v/>
      </c>
      <c r="X169" s="23" t="str">
        <f t="array" ref="X169">IFERROR(SMALL(IF(T$1:T$1000="END",ROW(T$1:T$1000)),ROW()-3),"")</f>
        <v/>
      </c>
      <c r="Y169" s="33" t="str">
        <f t="array" ref="Y169">IF(ISNUMBER(W169),MAX(IF((B$4:B$1000&lt;=X169)*(B$4:B$1000&gt;=W169),I$4:I$1000, "")),"")</f>
        <v/>
      </c>
      <c r="Z169" s="33" t="str">
        <f t="shared" si="120"/>
        <v/>
      </c>
      <c r="AA169" s="32" t="str">
        <f t="shared" si="121"/>
        <v/>
      </c>
      <c r="AB169" s="32" t="str">
        <f t="shared" si="122"/>
        <v/>
      </c>
      <c r="AC169" s="32" t="str">
        <f t="shared" si="123"/>
        <v/>
      </c>
      <c r="AD169" s="32" t="str">
        <f t="shared" si="124"/>
        <v/>
      </c>
      <c r="AE169" s="34" t="str">
        <f t="shared" si="125"/>
        <v/>
      </c>
      <c r="AF169" s="32" t="str">
        <f t="shared" si="126"/>
        <v/>
      </c>
      <c r="AG169" s="32" t="str">
        <f t="shared" si="127"/>
        <v/>
      </c>
      <c r="AH169" s="32" t="str">
        <f t="shared" si="128"/>
        <v/>
      </c>
      <c r="AI169" s="35" t="str">
        <f t="shared" si="129"/>
        <v/>
      </c>
      <c r="AJ169" s="23" t="str">
        <f t="array" ref="AJ169">IFERROR(SMALL(IF(U$1:U$1000="BEGIN",ROW(U$1:U$1000)),ROW()-3),"")</f>
        <v/>
      </c>
      <c r="AK169" s="23" t="str">
        <f t="array" ref="AK169">IFERROR(SMALL(IF(V$1:V$1000="END",ROW(V$1:V$1000)),ROW()-3),"")</f>
        <v/>
      </c>
      <c r="AL169" s="24" t="str">
        <f t="array" ref="AL169">IF(AK169="","",MATCH(AM169,L:L,0))</f>
        <v/>
      </c>
      <c r="AM169" s="35">
        <f t="array" ref="AM169">MAX(IF((B$4:B$1000&lt;=AK169)*(B$4:B$1000&gt;=AJ169),L$4:L$1000, ""))</f>
        <v>0</v>
      </c>
      <c r="AN169" s="32" t="str">
        <f t="shared" si="136"/>
        <v/>
      </c>
      <c r="AO169" s="32" t="str">
        <f t="shared" si="137"/>
        <v/>
      </c>
      <c r="AP169" s="32" t="str">
        <f t="shared" si="138"/>
        <v/>
      </c>
      <c r="AQ169" s="32" t="str">
        <f t="shared" si="139"/>
        <v/>
      </c>
      <c r="AR169" s="32" t="str">
        <f t="shared" si="140"/>
        <v/>
      </c>
      <c r="AS169" s="32" t="str">
        <f t="shared" si="141"/>
        <v/>
      </c>
      <c r="AT169" s="32" t="str">
        <f t="shared" si="142"/>
        <v/>
      </c>
      <c r="AU169" s="34" t="str">
        <f t="shared" si="143"/>
        <v/>
      </c>
      <c r="AV169" s="32" t="str">
        <f t="shared" si="144"/>
        <v/>
      </c>
      <c r="AW169" s="32" t="str">
        <f t="shared" si="145"/>
        <v/>
      </c>
      <c r="AX169" s="32" t="str">
        <f t="shared" si="146"/>
        <v/>
      </c>
      <c r="AY169" s="32" t="str">
        <f t="shared" si="147"/>
        <v/>
      </c>
    </row>
    <row r="170" spans="1:51" x14ac:dyDescent="0.25">
      <c r="A170" s="24" t="str">
        <f t="shared" si="105"/>
        <v/>
      </c>
      <c r="B170" s="24" t="str">
        <f t="shared" si="115"/>
        <v/>
      </c>
      <c r="C170" s="32" t="str">
        <f t="shared" si="106"/>
        <v/>
      </c>
      <c r="D170" s="24" t="str">
        <f t="shared" si="107"/>
        <v/>
      </c>
      <c r="E170" s="24" t="str">
        <f t="shared" si="108"/>
        <v/>
      </c>
      <c r="F170" s="32" t="str">
        <f t="shared" si="109"/>
        <v/>
      </c>
      <c r="G170" s="32" t="str">
        <f t="shared" si="110"/>
        <v/>
      </c>
      <c r="H170" s="32" t="str">
        <f t="shared" ca="1" si="111"/>
        <v/>
      </c>
      <c r="I170" s="32" t="str">
        <f t="shared" ca="1" si="116"/>
        <v/>
      </c>
      <c r="J170" s="32" t="str">
        <f t="shared" si="112"/>
        <v/>
      </c>
      <c r="K170" s="32" t="str">
        <f>IF(ISNUMBER(A170),Profile!$V$25+Profile!$V$24*'Ri-Po'!C170,"")</f>
        <v/>
      </c>
      <c r="L170" s="32" t="str">
        <f t="shared" si="117"/>
        <v/>
      </c>
      <c r="M170" s="32" t="str">
        <f t="shared" si="113"/>
        <v/>
      </c>
      <c r="N170" s="32" t="str">
        <f t="shared" si="114"/>
        <v/>
      </c>
      <c r="O170" s="32" t="str">
        <f t="shared" si="130"/>
        <v/>
      </c>
      <c r="P170" s="32" t="str">
        <f t="shared" si="118"/>
        <v/>
      </c>
      <c r="Q170" s="32" t="str">
        <f t="shared" si="119"/>
        <v/>
      </c>
      <c r="R170" s="32" t="str">
        <f t="shared" si="131"/>
        <v/>
      </c>
      <c r="S170" s="24" t="str">
        <f t="shared" si="132"/>
        <v/>
      </c>
      <c r="T170" s="24" t="str">
        <f t="shared" si="133"/>
        <v/>
      </c>
      <c r="U170" s="24" t="str">
        <f t="shared" si="134"/>
        <v/>
      </c>
      <c r="V170" s="24" t="str">
        <f t="shared" si="135"/>
        <v/>
      </c>
      <c r="W170" s="23" t="str">
        <f t="array" ref="W170">IFERROR(SMALL(IF(S$1:S$1000="BEGIN",ROW(S$1:S$1000)),ROW()-3),"")</f>
        <v/>
      </c>
      <c r="X170" s="23" t="str">
        <f t="array" ref="X170">IFERROR(SMALL(IF(T$1:T$1000="END",ROW(T$1:T$1000)),ROW()-3),"")</f>
        <v/>
      </c>
      <c r="Y170" s="33" t="str">
        <f t="array" ref="Y170">IF(ISNUMBER(W170),MAX(IF((B$4:B$1000&lt;=X170)*(B$4:B$1000&gt;=W170),I$4:I$1000, "")),"")</f>
        <v/>
      </c>
      <c r="Z170" s="33" t="str">
        <f t="shared" si="120"/>
        <v/>
      </c>
      <c r="AA170" s="32" t="str">
        <f t="shared" si="121"/>
        <v/>
      </c>
      <c r="AB170" s="32" t="str">
        <f t="shared" si="122"/>
        <v/>
      </c>
      <c r="AC170" s="32" t="str">
        <f t="shared" si="123"/>
        <v/>
      </c>
      <c r="AD170" s="32" t="str">
        <f t="shared" si="124"/>
        <v/>
      </c>
      <c r="AE170" s="34" t="str">
        <f t="shared" si="125"/>
        <v/>
      </c>
      <c r="AF170" s="32" t="str">
        <f t="shared" si="126"/>
        <v/>
      </c>
      <c r="AG170" s="32" t="str">
        <f t="shared" si="127"/>
        <v/>
      </c>
      <c r="AH170" s="32" t="str">
        <f t="shared" si="128"/>
        <v/>
      </c>
      <c r="AI170" s="35" t="str">
        <f t="shared" si="129"/>
        <v/>
      </c>
      <c r="AJ170" s="23" t="str">
        <f t="array" ref="AJ170">IFERROR(SMALL(IF(U$1:U$1000="BEGIN",ROW(U$1:U$1000)),ROW()-3),"")</f>
        <v/>
      </c>
      <c r="AK170" s="23" t="str">
        <f t="array" ref="AK170">IFERROR(SMALL(IF(V$1:V$1000="END",ROW(V$1:V$1000)),ROW()-3),"")</f>
        <v/>
      </c>
      <c r="AL170" s="24" t="str">
        <f t="array" ref="AL170">IF(AK170="","",MATCH(AM170,L:L,0))</f>
        <v/>
      </c>
      <c r="AM170" s="35">
        <f t="array" ref="AM170">MAX(IF((B$4:B$1000&lt;=AK170)*(B$4:B$1000&gt;=AJ170),L$4:L$1000, ""))</f>
        <v>0</v>
      </c>
      <c r="AN170" s="32" t="str">
        <f t="shared" si="136"/>
        <v/>
      </c>
      <c r="AO170" s="32" t="str">
        <f t="shared" si="137"/>
        <v/>
      </c>
      <c r="AP170" s="32" t="str">
        <f t="shared" si="138"/>
        <v/>
      </c>
      <c r="AQ170" s="32" t="str">
        <f t="shared" si="139"/>
        <v/>
      </c>
      <c r="AR170" s="32" t="str">
        <f t="shared" si="140"/>
        <v/>
      </c>
      <c r="AS170" s="32" t="str">
        <f t="shared" si="141"/>
        <v/>
      </c>
      <c r="AT170" s="32" t="str">
        <f t="shared" si="142"/>
        <v/>
      </c>
      <c r="AU170" s="34" t="str">
        <f t="shared" si="143"/>
        <v/>
      </c>
      <c r="AV170" s="32" t="str">
        <f t="shared" si="144"/>
        <v/>
      </c>
      <c r="AW170" s="32" t="str">
        <f t="shared" si="145"/>
        <v/>
      </c>
      <c r="AX170" s="32" t="str">
        <f t="shared" si="146"/>
        <v/>
      </c>
      <c r="AY170" s="32" t="str">
        <f t="shared" si="147"/>
        <v/>
      </c>
    </row>
    <row r="171" spans="1:51" x14ac:dyDescent="0.25">
      <c r="A171" s="24" t="str">
        <f t="shared" si="105"/>
        <v/>
      </c>
      <c r="B171" s="24" t="str">
        <f t="shared" si="115"/>
        <v/>
      </c>
      <c r="C171" s="32" t="str">
        <f t="shared" si="106"/>
        <v/>
      </c>
      <c r="D171" s="24" t="str">
        <f t="shared" si="107"/>
        <v/>
      </c>
      <c r="E171" s="24" t="str">
        <f t="shared" si="108"/>
        <v/>
      </c>
      <c r="F171" s="32" t="str">
        <f t="shared" si="109"/>
        <v/>
      </c>
      <c r="G171" s="32" t="str">
        <f t="shared" si="110"/>
        <v/>
      </c>
      <c r="H171" s="32" t="str">
        <f t="shared" ca="1" si="111"/>
        <v/>
      </c>
      <c r="I171" s="32" t="str">
        <f t="shared" ca="1" si="116"/>
        <v/>
      </c>
      <c r="J171" s="32" t="str">
        <f t="shared" si="112"/>
        <v/>
      </c>
      <c r="K171" s="32" t="str">
        <f>IF(ISNUMBER(A171),Profile!$V$25+Profile!$V$24*'Ri-Po'!C171,"")</f>
        <v/>
      </c>
      <c r="L171" s="32" t="str">
        <f t="shared" si="117"/>
        <v/>
      </c>
      <c r="M171" s="32" t="str">
        <f t="shared" si="113"/>
        <v/>
      </c>
      <c r="N171" s="32" t="str">
        <f t="shared" si="114"/>
        <v/>
      </c>
      <c r="O171" s="32" t="str">
        <f t="shared" si="130"/>
        <v/>
      </c>
      <c r="P171" s="32" t="str">
        <f t="shared" si="118"/>
        <v/>
      </c>
      <c r="Q171" s="32" t="str">
        <f t="shared" si="119"/>
        <v/>
      </c>
      <c r="R171" s="32" t="str">
        <f t="shared" si="131"/>
        <v/>
      </c>
      <c r="S171" s="24" t="str">
        <f t="shared" si="132"/>
        <v/>
      </c>
      <c r="T171" s="24" t="str">
        <f t="shared" si="133"/>
        <v/>
      </c>
      <c r="U171" s="24" t="str">
        <f t="shared" si="134"/>
        <v/>
      </c>
      <c r="V171" s="24" t="str">
        <f t="shared" si="135"/>
        <v/>
      </c>
      <c r="W171" s="23" t="str">
        <f t="array" ref="W171">IFERROR(SMALL(IF(S$1:S$1000="BEGIN",ROW(S$1:S$1000)),ROW()-3),"")</f>
        <v/>
      </c>
      <c r="X171" s="23" t="str">
        <f t="array" ref="X171">IFERROR(SMALL(IF(T$1:T$1000="END",ROW(T$1:T$1000)),ROW()-3),"")</f>
        <v/>
      </c>
      <c r="Y171" s="33" t="str">
        <f t="array" ref="Y171">IF(ISNUMBER(W171),MAX(IF((B$4:B$1000&lt;=X171)*(B$4:B$1000&gt;=W171),I$4:I$1000, "")),"")</f>
        <v/>
      </c>
      <c r="Z171" s="33" t="str">
        <f t="shared" si="120"/>
        <v/>
      </c>
      <c r="AA171" s="32" t="str">
        <f t="shared" si="121"/>
        <v/>
      </c>
      <c r="AB171" s="32" t="str">
        <f t="shared" si="122"/>
        <v/>
      </c>
      <c r="AC171" s="32" t="str">
        <f t="shared" si="123"/>
        <v/>
      </c>
      <c r="AD171" s="32" t="str">
        <f t="shared" si="124"/>
        <v/>
      </c>
      <c r="AE171" s="34" t="str">
        <f t="shared" si="125"/>
        <v/>
      </c>
      <c r="AF171" s="32" t="str">
        <f t="shared" si="126"/>
        <v/>
      </c>
      <c r="AG171" s="32" t="str">
        <f t="shared" si="127"/>
        <v/>
      </c>
      <c r="AH171" s="32" t="str">
        <f t="shared" si="128"/>
        <v/>
      </c>
      <c r="AI171" s="35" t="str">
        <f t="shared" si="129"/>
        <v/>
      </c>
      <c r="AJ171" s="23" t="str">
        <f t="array" ref="AJ171">IFERROR(SMALL(IF(U$1:U$1000="BEGIN",ROW(U$1:U$1000)),ROW()-3),"")</f>
        <v/>
      </c>
      <c r="AK171" s="23" t="str">
        <f t="array" ref="AK171">IFERROR(SMALL(IF(V$1:V$1000="END",ROW(V$1:V$1000)),ROW()-3),"")</f>
        <v/>
      </c>
      <c r="AL171" s="24" t="str">
        <f t="array" ref="AL171">IF(AK171="","",MATCH(AM171,L:L,0))</f>
        <v/>
      </c>
      <c r="AM171" s="35">
        <f t="array" ref="AM171">MAX(IF((B$4:B$1000&lt;=AK171)*(B$4:B$1000&gt;=AJ171),L$4:L$1000, ""))</f>
        <v>0</v>
      </c>
      <c r="AN171" s="32" t="str">
        <f t="shared" si="136"/>
        <v/>
      </c>
      <c r="AO171" s="32" t="str">
        <f t="shared" si="137"/>
        <v/>
      </c>
      <c r="AP171" s="32" t="str">
        <f t="shared" si="138"/>
        <v/>
      </c>
      <c r="AQ171" s="32" t="str">
        <f t="shared" si="139"/>
        <v/>
      </c>
      <c r="AR171" s="32" t="str">
        <f t="shared" si="140"/>
        <v/>
      </c>
      <c r="AS171" s="32" t="str">
        <f t="shared" si="141"/>
        <v/>
      </c>
      <c r="AT171" s="32" t="str">
        <f t="shared" si="142"/>
        <v/>
      </c>
      <c r="AU171" s="34" t="str">
        <f t="shared" si="143"/>
        <v/>
      </c>
      <c r="AV171" s="32" t="str">
        <f t="shared" si="144"/>
        <v/>
      </c>
      <c r="AW171" s="32" t="str">
        <f t="shared" si="145"/>
        <v/>
      </c>
      <c r="AX171" s="32" t="str">
        <f t="shared" si="146"/>
        <v/>
      </c>
      <c r="AY171" s="32" t="str">
        <f t="shared" si="147"/>
        <v/>
      </c>
    </row>
    <row r="172" spans="1:51" x14ac:dyDescent="0.25">
      <c r="A172" s="24" t="str">
        <f t="shared" si="105"/>
        <v/>
      </c>
      <c r="B172" s="24" t="str">
        <f t="shared" si="115"/>
        <v/>
      </c>
      <c r="C172" s="32" t="str">
        <f t="shared" si="106"/>
        <v/>
      </c>
      <c r="D172" s="24" t="str">
        <f t="shared" si="107"/>
        <v/>
      </c>
      <c r="E172" s="24" t="str">
        <f t="shared" si="108"/>
        <v/>
      </c>
      <c r="F172" s="32" t="str">
        <f t="shared" si="109"/>
        <v/>
      </c>
      <c r="G172" s="32" t="str">
        <f t="shared" si="110"/>
        <v/>
      </c>
      <c r="H172" s="32" t="str">
        <f t="shared" ca="1" si="111"/>
        <v/>
      </c>
      <c r="I172" s="32" t="str">
        <f t="shared" ca="1" si="116"/>
        <v/>
      </c>
      <c r="J172" s="32" t="str">
        <f t="shared" si="112"/>
        <v/>
      </c>
      <c r="K172" s="32" t="str">
        <f>IF(ISNUMBER(A172),Profile!$V$25+Profile!$V$24*'Ri-Po'!C172,"")</f>
        <v/>
      </c>
      <c r="L172" s="32" t="str">
        <f t="shared" si="117"/>
        <v/>
      </c>
      <c r="M172" s="32" t="str">
        <f t="shared" si="113"/>
        <v/>
      </c>
      <c r="N172" s="32" t="str">
        <f t="shared" si="114"/>
        <v/>
      </c>
      <c r="O172" s="32" t="str">
        <f t="shared" si="130"/>
        <v/>
      </c>
      <c r="P172" s="32" t="str">
        <f t="shared" si="118"/>
        <v/>
      </c>
      <c r="Q172" s="32" t="str">
        <f t="shared" si="119"/>
        <v/>
      </c>
      <c r="R172" s="32" t="str">
        <f t="shared" si="131"/>
        <v/>
      </c>
      <c r="S172" s="24" t="str">
        <f t="shared" si="132"/>
        <v/>
      </c>
      <c r="T172" s="24" t="str">
        <f t="shared" si="133"/>
        <v/>
      </c>
      <c r="U172" s="24" t="str">
        <f t="shared" si="134"/>
        <v/>
      </c>
      <c r="V172" s="24" t="str">
        <f t="shared" si="135"/>
        <v/>
      </c>
      <c r="W172" s="23" t="str">
        <f t="array" ref="W172">IFERROR(SMALL(IF(S$1:S$1000="BEGIN",ROW(S$1:S$1000)),ROW()-3),"")</f>
        <v/>
      </c>
      <c r="X172" s="23" t="str">
        <f t="array" ref="X172">IFERROR(SMALL(IF(T$1:T$1000="END",ROW(T$1:T$1000)),ROW()-3),"")</f>
        <v/>
      </c>
      <c r="Y172" s="33" t="str">
        <f t="array" ref="Y172">IF(ISNUMBER(W172),MAX(IF((B$4:B$1000&lt;=X172)*(B$4:B$1000&gt;=W172),I$4:I$1000, "")),"")</f>
        <v/>
      </c>
      <c r="Z172" s="33" t="str">
        <f t="shared" si="120"/>
        <v/>
      </c>
      <c r="AA172" s="32" t="str">
        <f t="shared" si="121"/>
        <v/>
      </c>
      <c r="AB172" s="32" t="str">
        <f t="shared" si="122"/>
        <v/>
      </c>
      <c r="AC172" s="32" t="str">
        <f t="shared" si="123"/>
        <v/>
      </c>
      <c r="AD172" s="32" t="str">
        <f t="shared" si="124"/>
        <v/>
      </c>
      <c r="AE172" s="34" t="str">
        <f t="shared" si="125"/>
        <v/>
      </c>
      <c r="AF172" s="32" t="str">
        <f t="shared" si="126"/>
        <v/>
      </c>
      <c r="AG172" s="32" t="str">
        <f t="shared" si="127"/>
        <v/>
      </c>
      <c r="AH172" s="32" t="str">
        <f t="shared" si="128"/>
        <v/>
      </c>
      <c r="AI172" s="35" t="str">
        <f t="shared" si="129"/>
        <v/>
      </c>
      <c r="AJ172" s="23" t="str">
        <f t="array" ref="AJ172">IFERROR(SMALL(IF(U$1:U$1000="BEGIN",ROW(U$1:U$1000)),ROW()-3),"")</f>
        <v/>
      </c>
      <c r="AK172" s="23" t="str">
        <f t="array" ref="AK172">IFERROR(SMALL(IF(V$1:V$1000="END",ROW(V$1:V$1000)),ROW()-3),"")</f>
        <v/>
      </c>
      <c r="AL172" s="24" t="str">
        <f t="array" ref="AL172">IF(AK172="","",MATCH(AM172,L:L,0))</f>
        <v/>
      </c>
      <c r="AM172" s="35">
        <f t="array" ref="AM172">MAX(IF((B$4:B$1000&lt;=AK172)*(B$4:B$1000&gt;=AJ172),L$4:L$1000, ""))</f>
        <v>0</v>
      </c>
      <c r="AN172" s="32" t="str">
        <f t="shared" si="136"/>
        <v/>
      </c>
      <c r="AO172" s="32" t="str">
        <f t="shared" si="137"/>
        <v/>
      </c>
      <c r="AP172" s="32" t="str">
        <f t="shared" si="138"/>
        <v/>
      </c>
      <c r="AQ172" s="32" t="str">
        <f t="shared" si="139"/>
        <v/>
      </c>
      <c r="AR172" s="32" t="str">
        <f t="shared" si="140"/>
        <v/>
      </c>
      <c r="AS172" s="32" t="str">
        <f t="shared" si="141"/>
        <v/>
      </c>
      <c r="AT172" s="32" t="str">
        <f t="shared" si="142"/>
        <v/>
      </c>
      <c r="AU172" s="34" t="str">
        <f t="shared" si="143"/>
        <v/>
      </c>
      <c r="AV172" s="32" t="str">
        <f t="shared" si="144"/>
        <v/>
      </c>
      <c r="AW172" s="32" t="str">
        <f t="shared" si="145"/>
        <v/>
      </c>
      <c r="AX172" s="32" t="str">
        <f t="shared" si="146"/>
        <v/>
      </c>
      <c r="AY172" s="32" t="str">
        <f t="shared" si="147"/>
        <v/>
      </c>
    </row>
    <row r="173" spans="1:51" x14ac:dyDescent="0.25">
      <c r="A173" s="24" t="str">
        <f t="shared" si="105"/>
        <v/>
      </c>
      <c r="B173" s="24" t="str">
        <f t="shared" si="115"/>
        <v/>
      </c>
      <c r="C173" s="32" t="str">
        <f t="shared" si="106"/>
        <v/>
      </c>
      <c r="D173" s="24" t="str">
        <f t="shared" si="107"/>
        <v/>
      </c>
      <c r="E173" s="24" t="str">
        <f t="shared" si="108"/>
        <v/>
      </c>
      <c r="F173" s="32" t="str">
        <f t="shared" si="109"/>
        <v/>
      </c>
      <c r="G173" s="32" t="str">
        <f t="shared" si="110"/>
        <v/>
      </c>
      <c r="H173" s="32" t="str">
        <f t="shared" ca="1" si="111"/>
        <v/>
      </c>
      <c r="I173" s="32" t="str">
        <f t="shared" ca="1" si="116"/>
        <v/>
      </c>
      <c r="J173" s="32" t="str">
        <f t="shared" si="112"/>
        <v/>
      </c>
      <c r="K173" s="32" t="str">
        <f>IF(ISNUMBER(A173),Profile!$V$25+Profile!$V$24*'Ri-Po'!C173,"")</f>
        <v/>
      </c>
      <c r="L173" s="32" t="str">
        <f t="shared" si="117"/>
        <v/>
      </c>
      <c r="M173" s="32" t="str">
        <f t="shared" si="113"/>
        <v/>
      </c>
      <c r="N173" s="32" t="str">
        <f t="shared" si="114"/>
        <v/>
      </c>
      <c r="O173" s="32" t="str">
        <f t="shared" si="130"/>
        <v/>
      </c>
      <c r="P173" s="32" t="str">
        <f t="shared" si="118"/>
        <v/>
      </c>
      <c r="Q173" s="32" t="str">
        <f t="shared" si="119"/>
        <v/>
      </c>
      <c r="R173" s="32" t="str">
        <f t="shared" si="131"/>
        <v/>
      </c>
      <c r="S173" s="24" t="str">
        <f t="shared" si="132"/>
        <v/>
      </c>
      <c r="T173" s="24" t="str">
        <f t="shared" si="133"/>
        <v/>
      </c>
      <c r="U173" s="24" t="str">
        <f t="shared" si="134"/>
        <v/>
      </c>
      <c r="V173" s="24" t="str">
        <f t="shared" si="135"/>
        <v/>
      </c>
      <c r="W173" s="23" t="str">
        <f t="array" ref="W173">IFERROR(SMALL(IF(S$1:S$1000="BEGIN",ROW(S$1:S$1000)),ROW()-3),"")</f>
        <v/>
      </c>
      <c r="X173" s="23" t="str">
        <f t="array" ref="X173">IFERROR(SMALL(IF(T$1:T$1000="END",ROW(T$1:T$1000)),ROW()-3),"")</f>
        <v/>
      </c>
      <c r="Y173" s="33" t="str">
        <f t="array" ref="Y173">IF(ISNUMBER(W173),MAX(IF((B$4:B$1000&lt;=X173)*(B$4:B$1000&gt;=W173),I$4:I$1000, "")),"")</f>
        <v/>
      </c>
      <c r="Z173" s="33" t="str">
        <f t="shared" si="120"/>
        <v/>
      </c>
      <c r="AA173" s="32" t="str">
        <f t="shared" si="121"/>
        <v/>
      </c>
      <c r="AB173" s="32" t="str">
        <f t="shared" si="122"/>
        <v/>
      </c>
      <c r="AC173" s="32" t="str">
        <f t="shared" si="123"/>
        <v/>
      </c>
      <c r="AD173" s="32" t="str">
        <f t="shared" si="124"/>
        <v/>
      </c>
      <c r="AE173" s="34" t="str">
        <f t="shared" si="125"/>
        <v/>
      </c>
      <c r="AF173" s="32" t="str">
        <f t="shared" si="126"/>
        <v/>
      </c>
      <c r="AG173" s="32" t="str">
        <f t="shared" si="127"/>
        <v/>
      </c>
      <c r="AH173" s="32" t="str">
        <f t="shared" si="128"/>
        <v/>
      </c>
      <c r="AI173" s="35" t="str">
        <f t="shared" si="129"/>
        <v/>
      </c>
      <c r="AJ173" s="23" t="str">
        <f t="array" ref="AJ173">IFERROR(SMALL(IF(U$1:U$1000="BEGIN",ROW(U$1:U$1000)),ROW()-3),"")</f>
        <v/>
      </c>
      <c r="AK173" s="23" t="str">
        <f t="array" ref="AK173">IFERROR(SMALL(IF(V$1:V$1000="END",ROW(V$1:V$1000)),ROW()-3),"")</f>
        <v/>
      </c>
      <c r="AL173" s="24" t="str">
        <f t="array" ref="AL173">IF(AK173="","",MATCH(AM173,L:L,0))</f>
        <v/>
      </c>
      <c r="AM173" s="35">
        <f t="array" ref="AM173">MAX(IF((B$4:B$1000&lt;=AK173)*(B$4:B$1000&gt;=AJ173),L$4:L$1000, ""))</f>
        <v>0</v>
      </c>
      <c r="AN173" s="32" t="str">
        <f t="shared" si="136"/>
        <v/>
      </c>
      <c r="AO173" s="32" t="str">
        <f t="shared" si="137"/>
        <v/>
      </c>
      <c r="AP173" s="32" t="str">
        <f t="shared" si="138"/>
        <v/>
      </c>
      <c r="AQ173" s="32" t="str">
        <f t="shared" si="139"/>
        <v/>
      </c>
      <c r="AR173" s="32" t="str">
        <f t="shared" si="140"/>
        <v/>
      </c>
      <c r="AS173" s="32" t="str">
        <f t="shared" si="141"/>
        <v/>
      </c>
      <c r="AT173" s="32" t="str">
        <f t="shared" si="142"/>
        <v/>
      </c>
      <c r="AU173" s="34" t="str">
        <f t="shared" si="143"/>
        <v/>
      </c>
      <c r="AV173" s="32" t="str">
        <f t="shared" si="144"/>
        <v/>
      </c>
      <c r="AW173" s="32" t="str">
        <f t="shared" si="145"/>
        <v/>
      </c>
      <c r="AX173" s="32" t="str">
        <f t="shared" si="146"/>
        <v/>
      </c>
      <c r="AY173" s="32" t="str">
        <f t="shared" si="147"/>
        <v/>
      </c>
    </row>
    <row r="174" spans="1:51" x14ac:dyDescent="0.25">
      <c r="A174" s="24" t="str">
        <f t="shared" si="105"/>
        <v/>
      </c>
      <c r="B174" s="24" t="str">
        <f t="shared" si="115"/>
        <v/>
      </c>
      <c r="C174" s="32" t="str">
        <f t="shared" si="106"/>
        <v/>
      </c>
      <c r="D174" s="24" t="str">
        <f t="shared" si="107"/>
        <v/>
      </c>
      <c r="E174" s="24" t="str">
        <f t="shared" si="108"/>
        <v/>
      </c>
      <c r="F174" s="32" t="str">
        <f t="shared" si="109"/>
        <v/>
      </c>
      <c r="G174" s="32" t="str">
        <f t="shared" si="110"/>
        <v/>
      </c>
      <c r="H174" s="32" t="str">
        <f t="shared" ca="1" si="111"/>
        <v/>
      </c>
      <c r="I174" s="32" t="str">
        <f t="shared" ca="1" si="116"/>
        <v/>
      </c>
      <c r="J174" s="32" t="str">
        <f t="shared" si="112"/>
        <v/>
      </c>
      <c r="K174" s="32" t="str">
        <f>IF(ISNUMBER(A174),Profile!$V$25+Profile!$V$24*'Ri-Po'!C174,"")</f>
        <v/>
      </c>
      <c r="L174" s="32" t="str">
        <f t="shared" si="117"/>
        <v/>
      </c>
      <c r="M174" s="32" t="str">
        <f t="shared" si="113"/>
        <v/>
      </c>
      <c r="N174" s="32" t="str">
        <f t="shared" si="114"/>
        <v/>
      </c>
      <c r="O174" s="32" t="str">
        <f t="shared" si="130"/>
        <v/>
      </c>
      <c r="P174" s="32" t="str">
        <f t="shared" si="118"/>
        <v/>
      </c>
      <c r="Q174" s="32" t="str">
        <f t="shared" si="119"/>
        <v/>
      </c>
      <c r="R174" s="32" t="str">
        <f t="shared" si="131"/>
        <v/>
      </c>
      <c r="S174" s="24" t="str">
        <f t="shared" si="132"/>
        <v/>
      </c>
      <c r="T174" s="24" t="str">
        <f t="shared" si="133"/>
        <v/>
      </c>
      <c r="U174" s="24" t="str">
        <f t="shared" si="134"/>
        <v/>
      </c>
      <c r="V174" s="24" t="str">
        <f t="shared" si="135"/>
        <v/>
      </c>
      <c r="W174" s="23" t="str">
        <f t="array" ref="W174">IFERROR(SMALL(IF(S$1:S$1000="BEGIN",ROW(S$1:S$1000)),ROW()-3),"")</f>
        <v/>
      </c>
      <c r="X174" s="23" t="str">
        <f t="array" ref="X174">IFERROR(SMALL(IF(T$1:T$1000="END",ROW(T$1:T$1000)),ROW()-3),"")</f>
        <v/>
      </c>
      <c r="Y174" s="33" t="str">
        <f t="array" ref="Y174">IF(ISNUMBER(W174),MAX(IF((B$4:B$1000&lt;=X174)*(B$4:B$1000&gt;=W174),I$4:I$1000, "")),"")</f>
        <v/>
      </c>
      <c r="Z174" s="33" t="str">
        <f t="shared" si="120"/>
        <v/>
      </c>
      <c r="AA174" s="32" t="str">
        <f t="shared" si="121"/>
        <v/>
      </c>
      <c r="AB174" s="32" t="str">
        <f t="shared" si="122"/>
        <v/>
      </c>
      <c r="AC174" s="32" t="str">
        <f t="shared" si="123"/>
        <v/>
      </c>
      <c r="AD174" s="32" t="str">
        <f t="shared" si="124"/>
        <v/>
      </c>
      <c r="AE174" s="34" t="str">
        <f t="shared" si="125"/>
        <v/>
      </c>
      <c r="AF174" s="32" t="str">
        <f t="shared" si="126"/>
        <v/>
      </c>
      <c r="AG174" s="32" t="str">
        <f t="shared" si="127"/>
        <v/>
      </c>
      <c r="AH174" s="32" t="str">
        <f t="shared" si="128"/>
        <v/>
      </c>
      <c r="AI174" s="35" t="str">
        <f t="shared" si="129"/>
        <v/>
      </c>
      <c r="AJ174" s="23" t="str">
        <f t="array" ref="AJ174">IFERROR(SMALL(IF(U$1:U$1000="BEGIN",ROW(U$1:U$1000)),ROW()-3),"")</f>
        <v/>
      </c>
      <c r="AK174" s="23" t="str">
        <f t="array" ref="AK174">IFERROR(SMALL(IF(V$1:V$1000="END",ROW(V$1:V$1000)),ROW()-3),"")</f>
        <v/>
      </c>
      <c r="AL174" s="24" t="str">
        <f t="array" ref="AL174">IF(AK174="","",MATCH(AM174,L:L,0))</f>
        <v/>
      </c>
      <c r="AM174" s="35">
        <f t="array" ref="AM174">MAX(IF((B$4:B$1000&lt;=AK174)*(B$4:B$1000&gt;=AJ174),L$4:L$1000, ""))</f>
        <v>0</v>
      </c>
      <c r="AN174" s="32" t="str">
        <f t="shared" si="136"/>
        <v/>
      </c>
      <c r="AO174" s="32" t="str">
        <f t="shared" si="137"/>
        <v/>
      </c>
      <c r="AP174" s="32" t="str">
        <f t="shared" si="138"/>
        <v/>
      </c>
      <c r="AQ174" s="32" t="str">
        <f t="shared" si="139"/>
        <v/>
      </c>
      <c r="AR174" s="32" t="str">
        <f t="shared" si="140"/>
        <v/>
      </c>
      <c r="AS174" s="32" t="str">
        <f t="shared" si="141"/>
        <v/>
      </c>
      <c r="AT174" s="32" t="str">
        <f t="shared" si="142"/>
        <v/>
      </c>
      <c r="AU174" s="34" t="str">
        <f t="shared" si="143"/>
        <v/>
      </c>
      <c r="AV174" s="32" t="str">
        <f t="shared" si="144"/>
        <v/>
      </c>
      <c r="AW174" s="32" t="str">
        <f t="shared" si="145"/>
        <v/>
      </c>
      <c r="AX174" s="32" t="str">
        <f t="shared" si="146"/>
        <v/>
      </c>
      <c r="AY174" s="32" t="str">
        <f t="shared" si="147"/>
        <v/>
      </c>
    </row>
    <row r="175" spans="1:51" x14ac:dyDescent="0.25">
      <c r="A175" s="24" t="str">
        <f t="shared" si="105"/>
        <v/>
      </c>
      <c r="B175" s="24" t="str">
        <f t="shared" si="115"/>
        <v/>
      </c>
      <c r="C175" s="32" t="str">
        <f t="shared" si="106"/>
        <v/>
      </c>
      <c r="D175" s="24" t="str">
        <f t="shared" si="107"/>
        <v/>
      </c>
      <c r="E175" s="24" t="str">
        <f t="shared" si="108"/>
        <v/>
      </c>
      <c r="F175" s="32" t="str">
        <f t="shared" si="109"/>
        <v/>
      </c>
      <c r="G175" s="32" t="str">
        <f t="shared" si="110"/>
        <v/>
      </c>
      <c r="H175" s="32" t="str">
        <f t="shared" ca="1" si="111"/>
        <v/>
      </c>
      <c r="I175" s="32" t="str">
        <f t="shared" ca="1" si="116"/>
        <v/>
      </c>
      <c r="J175" s="32" t="str">
        <f t="shared" si="112"/>
        <v/>
      </c>
      <c r="K175" s="32" t="str">
        <f>IF(ISNUMBER(A175),Profile!$V$25+Profile!$V$24*'Ri-Po'!C175,"")</f>
        <v/>
      </c>
      <c r="L175" s="32" t="str">
        <f t="shared" si="117"/>
        <v/>
      </c>
      <c r="M175" s="32" t="str">
        <f t="shared" si="113"/>
        <v/>
      </c>
      <c r="N175" s="32" t="str">
        <f t="shared" si="114"/>
        <v/>
      </c>
      <c r="O175" s="32" t="str">
        <f t="shared" si="130"/>
        <v/>
      </c>
      <c r="P175" s="32" t="str">
        <f t="shared" si="118"/>
        <v/>
      </c>
      <c r="Q175" s="32" t="str">
        <f t="shared" si="119"/>
        <v/>
      </c>
      <c r="R175" s="32" t="str">
        <f t="shared" si="131"/>
        <v/>
      </c>
      <c r="S175" s="24" t="str">
        <f t="shared" si="132"/>
        <v/>
      </c>
      <c r="T175" s="24" t="str">
        <f t="shared" si="133"/>
        <v/>
      </c>
      <c r="U175" s="24" t="str">
        <f t="shared" si="134"/>
        <v/>
      </c>
      <c r="V175" s="24" t="str">
        <f t="shared" si="135"/>
        <v/>
      </c>
      <c r="W175" s="23" t="str">
        <f t="array" ref="W175">IFERROR(SMALL(IF(S$1:S$1000="BEGIN",ROW(S$1:S$1000)),ROW()-3),"")</f>
        <v/>
      </c>
      <c r="X175" s="23" t="str">
        <f t="array" ref="X175">IFERROR(SMALL(IF(T$1:T$1000="END",ROW(T$1:T$1000)),ROW()-3),"")</f>
        <v/>
      </c>
      <c r="Y175" s="33" t="str">
        <f t="array" ref="Y175">IF(ISNUMBER(W175),MAX(IF((B$4:B$1000&lt;=X175)*(B$4:B$1000&gt;=W175),I$4:I$1000, "")),"")</f>
        <v/>
      </c>
      <c r="Z175" s="33" t="str">
        <f t="shared" si="120"/>
        <v/>
      </c>
      <c r="AA175" s="32" t="str">
        <f t="shared" si="121"/>
        <v/>
      </c>
      <c r="AB175" s="32" t="str">
        <f t="shared" si="122"/>
        <v/>
      </c>
      <c r="AC175" s="32" t="str">
        <f t="shared" si="123"/>
        <v/>
      </c>
      <c r="AD175" s="32" t="str">
        <f t="shared" si="124"/>
        <v/>
      </c>
      <c r="AE175" s="34" t="str">
        <f t="shared" si="125"/>
        <v/>
      </c>
      <c r="AF175" s="32" t="str">
        <f t="shared" si="126"/>
        <v/>
      </c>
      <c r="AG175" s="32" t="str">
        <f t="shared" si="127"/>
        <v/>
      </c>
      <c r="AH175" s="32" t="str">
        <f t="shared" si="128"/>
        <v/>
      </c>
      <c r="AI175" s="35" t="str">
        <f t="shared" si="129"/>
        <v/>
      </c>
      <c r="AJ175" s="23" t="str">
        <f t="array" ref="AJ175">IFERROR(SMALL(IF(U$1:U$1000="BEGIN",ROW(U$1:U$1000)),ROW()-3),"")</f>
        <v/>
      </c>
      <c r="AK175" s="23" t="str">
        <f t="array" ref="AK175">IFERROR(SMALL(IF(V$1:V$1000="END",ROW(V$1:V$1000)),ROW()-3),"")</f>
        <v/>
      </c>
      <c r="AL175" s="24" t="str">
        <f t="array" ref="AL175">IF(AK175="","",MATCH(AM175,L:L,0))</f>
        <v/>
      </c>
      <c r="AM175" s="35">
        <f t="array" ref="AM175">MAX(IF((B$4:B$1000&lt;=AK175)*(B$4:B$1000&gt;=AJ175),L$4:L$1000, ""))</f>
        <v>0</v>
      </c>
      <c r="AN175" s="32" t="str">
        <f t="shared" si="136"/>
        <v/>
      </c>
      <c r="AO175" s="32" t="str">
        <f t="shared" si="137"/>
        <v/>
      </c>
      <c r="AP175" s="32" t="str">
        <f t="shared" si="138"/>
        <v/>
      </c>
      <c r="AQ175" s="32" t="str">
        <f t="shared" si="139"/>
        <v/>
      </c>
      <c r="AR175" s="32" t="str">
        <f t="shared" si="140"/>
        <v/>
      </c>
      <c r="AS175" s="32" t="str">
        <f t="shared" si="141"/>
        <v/>
      </c>
      <c r="AT175" s="32" t="str">
        <f t="shared" si="142"/>
        <v/>
      </c>
      <c r="AU175" s="34" t="str">
        <f t="shared" si="143"/>
        <v/>
      </c>
      <c r="AV175" s="32" t="str">
        <f t="shared" si="144"/>
        <v/>
      </c>
      <c r="AW175" s="32" t="str">
        <f t="shared" si="145"/>
        <v/>
      </c>
      <c r="AX175" s="32" t="str">
        <f t="shared" si="146"/>
        <v/>
      </c>
      <c r="AY175" s="32" t="str">
        <f t="shared" si="147"/>
        <v/>
      </c>
    </row>
    <row r="176" spans="1:51" x14ac:dyDescent="0.25">
      <c r="A176" s="24" t="str">
        <f t="shared" si="105"/>
        <v/>
      </c>
      <c r="B176" s="24" t="str">
        <f t="shared" si="115"/>
        <v/>
      </c>
      <c r="C176" s="32" t="str">
        <f t="shared" si="106"/>
        <v/>
      </c>
      <c r="D176" s="24" t="str">
        <f t="shared" si="107"/>
        <v/>
      </c>
      <c r="E176" s="24" t="str">
        <f t="shared" si="108"/>
        <v/>
      </c>
      <c r="F176" s="32" t="str">
        <f t="shared" si="109"/>
        <v/>
      </c>
      <c r="G176" s="32" t="str">
        <f t="shared" si="110"/>
        <v/>
      </c>
      <c r="H176" s="32" t="str">
        <f t="shared" ca="1" si="111"/>
        <v/>
      </c>
      <c r="I176" s="32" t="str">
        <f t="shared" ca="1" si="116"/>
        <v/>
      </c>
      <c r="J176" s="32" t="str">
        <f t="shared" si="112"/>
        <v/>
      </c>
      <c r="K176" s="32" t="str">
        <f>IF(ISNUMBER(A176),Profile!$V$25+Profile!$V$24*'Ri-Po'!C176,"")</f>
        <v/>
      </c>
      <c r="L176" s="32" t="str">
        <f t="shared" si="117"/>
        <v/>
      </c>
      <c r="M176" s="32" t="str">
        <f t="shared" si="113"/>
        <v/>
      </c>
      <c r="N176" s="32" t="str">
        <f t="shared" si="114"/>
        <v/>
      </c>
      <c r="O176" s="32" t="str">
        <f t="shared" si="130"/>
        <v/>
      </c>
      <c r="P176" s="32" t="str">
        <f t="shared" si="118"/>
        <v/>
      </c>
      <c r="Q176" s="32" t="str">
        <f t="shared" si="119"/>
        <v/>
      </c>
      <c r="R176" s="32" t="str">
        <f t="shared" si="131"/>
        <v/>
      </c>
      <c r="S176" s="24" t="str">
        <f t="shared" si="132"/>
        <v/>
      </c>
      <c r="T176" s="24" t="str">
        <f t="shared" si="133"/>
        <v/>
      </c>
      <c r="U176" s="24" t="str">
        <f t="shared" si="134"/>
        <v/>
      </c>
      <c r="V176" s="24" t="str">
        <f t="shared" si="135"/>
        <v/>
      </c>
      <c r="W176" s="23" t="str">
        <f t="array" ref="W176">IFERROR(SMALL(IF(S$1:S$1000="BEGIN",ROW(S$1:S$1000)),ROW()-3),"")</f>
        <v/>
      </c>
      <c r="X176" s="23" t="str">
        <f t="array" ref="X176">IFERROR(SMALL(IF(T$1:T$1000="END",ROW(T$1:T$1000)),ROW()-3),"")</f>
        <v/>
      </c>
      <c r="Y176" s="33" t="str">
        <f t="array" ref="Y176">IF(ISNUMBER(W176),MAX(IF((B$4:B$1000&lt;=X176)*(B$4:B$1000&gt;=W176),I$4:I$1000, "")),"")</f>
        <v/>
      </c>
      <c r="Z176" s="33" t="str">
        <f t="shared" si="120"/>
        <v/>
      </c>
      <c r="AA176" s="32" t="str">
        <f t="shared" si="121"/>
        <v/>
      </c>
      <c r="AB176" s="32" t="str">
        <f t="shared" si="122"/>
        <v/>
      </c>
      <c r="AC176" s="32" t="str">
        <f t="shared" si="123"/>
        <v/>
      </c>
      <c r="AD176" s="32" t="str">
        <f t="shared" si="124"/>
        <v/>
      </c>
      <c r="AE176" s="34" t="str">
        <f t="shared" si="125"/>
        <v/>
      </c>
      <c r="AF176" s="32" t="str">
        <f t="shared" si="126"/>
        <v/>
      </c>
      <c r="AG176" s="32" t="str">
        <f t="shared" si="127"/>
        <v/>
      </c>
      <c r="AH176" s="32" t="str">
        <f t="shared" si="128"/>
        <v/>
      </c>
      <c r="AI176" s="35" t="str">
        <f t="shared" si="129"/>
        <v/>
      </c>
      <c r="AJ176" s="23" t="str">
        <f t="array" ref="AJ176">IFERROR(SMALL(IF(U$1:U$1000="BEGIN",ROW(U$1:U$1000)),ROW()-3),"")</f>
        <v/>
      </c>
      <c r="AK176" s="23" t="str">
        <f t="array" ref="AK176">IFERROR(SMALL(IF(V$1:V$1000="END",ROW(V$1:V$1000)),ROW()-3),"")</f>
        <v/>
      </c>
      <c r="AL176" s="24" t="str">
        <f t="array" ref="AL176">IF(AK176="","",MATCH(AM176,L:L,0))</f>
        <v/>
      </c>
      <c r="AM176" s="35">
        <f t="array" ref="AM176">MAX(IF((B$4:B$1000&lt;=AK176)*(B$4:B$1000&gt;=AJ176),L$4:L$1000, ""))</f>
        <v>0</v>
      </c>
      <c r="AN176" s="32" t="str">
        <f t="shared" si="136"/>
        <v/>
      </c>
      <c r="AO176" s="32" t="str">
        <f t="shared" si="137"/>
        <v/>
      </c>
      <c r="AP176" s="32" t="str">
        <f t="shared" si="138"/>
        <v/>
      </c>
      <c r="AQ176" s="32" t="str">
        <f t="shared" si="139"/>
        <v/>
      </c>
      <c r="AR176" s="32" t="str">
        <f t="shared" si="140"/>
        <v/>
      </c>
      <c r="AS176" s="32" t="str">
        <f t="shared" si="141"/>
        <v/>
      </c>
      <c r="AT176" s="32" t="str">
        <f t="shared" si="142"/>
        <v/>
      </c>
      <c r="AU176" s="34" t="str">
        <f t="shared" si="143"/>
        <v/>
      </c>
      <c r="AV176" s="32" t="str">
        <f t="shared" si="144"/>
        <v/>
      </c>
      <c r="AW176" s="32" t="str">
        <f t="shared" si="145"/>
        <v/>
      </c>
      <c r="AX176" s="32" t="str">
        <f t="shared" si="146"/>
        <v/>
      </c>
      <c r="AY176" s="32" t="str">
        <f t="shared" si="147"/>
        <v/>
      </c>
    </row>
    <row r="177" spans="1:51" x14ac:dyDescent="0.25">
      <c r="A177" s="24" t="str">
        <f t="shared" si="105"/>
        <v/>
      </c>
      <c r="B177" s="24" t="str">
        <f t="shared" si="115"/>
        <v/>
      </c>
      <c r="C177" s="32" t="str">
        <f t="shared" si="106"/>
        <v/>
      </c>
      <c r="D177" s="24" t="str">
        <f t="shared" si="107"/>
        <v/>
      </c>
      <c r="E177" s="24" t="str">
        <f t="shared" si="108"/>
        <v/>
      </c>
      <c r="F177" s="32" t="str">
        <f t="shared" si="109"/>
        <v/>
      </c>
      <c r="G177" s="32" t="str">
        <f t="shared" si="110"/>
        <v/>
      </c>
      <c r="H177" s="32" t="str">
        <f t="shared" ca="1" si="111"/>
        <v/>
      </c>
      <c r="I177" s="32" t="str">
        <f t="shared" ca="1" si="116"/>
        <v/>
      </c>
      <c r="J177" s="32" t="str">
        <f t="shared" si="112"/>
        <v/>
      </c>
      <c r="K177" s="32" t="str">
        <f>IF(ISNUMBER(A177),Profile!$V$25+Profile!$V$24*'Ri-Po'!C177,"")</f>
        <v/>
      </c>
      <c r="L177" s="32" t="str">
        <f t="shared" si="117"/>
        <v/>
      </c>
      <c r="M177" s="32" t="str">
        <f t="shared" si="113"/>
        <v/>
      </c>
      <c r="N177" s="32" t="str">
        <f t="shared" si="114"/>
        <v/>
      </c>
      <c r="O177" s="32" t="str">
        <f t="shared" si="130"/>
        <v/>
      </c>
      <c r="P177" s="32" t="str">
        <f t="shared" si="118"/>
        <v/>
      </c>
      <c r="Q177" s="32" t="str">
        <f t="shared" si="119"/>
        <v/>
      </c>
      <c r="R177" s="32" t="str">
        <f t="shared" si="131"/>
        <v/>
      </c>
      <c r="S177" s="24" t="str">
        <f t="shared" si="132"/>
        <v/>
      </c>
      <c r="T177" s="24" t="str">
        <f t="shared" si="133"/>
        <v/>
      </c>
      <c r="U177" s="24" t="str">
        <f t="shared" si="134"/>
        <v/>
      </c>
      <c r="V177" s="24" t="str">
        <f t="shared" si="135"/>
        <v/>
      </c>
      <c r="W177" s="23" t="str">
        <f t="array" ref="W177">IFERROR(SMALL(IF(S$1:S$1000="BEGIN",ROW(S$1:S$1000)),ROW()-3),"")</f>
        <v/>
      </c>
      <c r="X177" s="23" t="str">
        <f t="array" ref="X177">IFERROR(SMALL(IF(T$1:T$1000="END",ROW(T$1:T$1000)),ROW()-3),"")</f>
        <v/>
      </c>
      <c r="Y177" s="33" t="str">
        <f t="array" ref="Y177">IF(ISNUMBER(W177),MAX(IF((B$4:B$1000&lt;=X177)*(B$4:B$1000&gt;=W177),I$4:I$1000, "")),"")</f>
        <v/>
      </c>
      <c r="Z177" s="33" t="str">
        <f t="shared" si="120"/>
        <v/>
      </c>
      <c r="AA177" s="32" t="str">
        <f t="shared" si="121"/>
        <v/>
      </c>
      <c r="AB177" s="32" t="str">
        <f t="shared" si="122"/>
        <v/>
      </c>
      <c r="AC177" s="32" t="str">
        <f t="shared" si="123"/>
        <v/>
      </c>
      <c r="AD177" s="32" t="str">
        <f t="shared" si="124"/>
        <v/>
      </c>
      <c r="AE177" s="34" t="str">
        <f t="shared" si="125"/>
        <v/>
      </c>
      <c r="AF177" s="32" t="str">
        <f t="shared" si="126"/>
        <v/>
      </c>
      <c r="AG177" s="32" t="str">
        <f t="shared" si="127"/>
        <v/>
      </c>
      <c r="AH177" s="32" t="str">
        <f t="shared" si="128"/>
        <v/>
      </c>
      <c r="AI177" s="35" t="str">
        <f t="shared" si="129"/>
        <v/>
      </c>
      <c r="AJ177" s="23" t="str">
        <f t="array" ref="AJ177">IFERROR(SMALL(IF(U$1:U$1000="BEGIN",ROW(U$1:U$1000)),ROW()-3),"")</f>
        <v/>
      </c>
      <c r="AK177" s="23" t="str">
        <f t="array" ref="AK177">IFERROR(SMALL(IF(V$1:V$1000="END",ROW(V$1:V$1000)),ROW()-3),"")</f>
        <v/>
      </c>
      <c r="AL177" s="24" t="str">
        <f t="array" ref="AL177">IF(AK177="","",MATCH(AM177,L:L,0))</f>
        <v/>
      </c>
      <c r="AM177" s="35">
        <f t="array" ref="AM177">MAX(IF((B$4:B$1000&lt;=AK177)*(B$4:B$1000&gt;=AJ177),L$4:L$1000, ""))</f>
        <v>0</v>
      </c>
      <c r="AN177" s="32" t="str">
        <f t="shared" si="136"/>
        <v/>
      </c>
      <c r="AO177" s="32" t="str">
        <f t="shared" si="137"/>
        <v/>
      </c>
      <c r="AP177" s="32" t="str">
        <f t="shared" si="138"/>
        <v/>
      </c>
      <c r="AQ177" s="32" t="str">
        <f t="shared" si="139"/>
        <v/>
      </c>
      <c r="AR177" s="32" t="str">
        <f t="shared" si="140"/>
        <v/>
      </c>
      <c r="AS177" s="32" t="str">
        <f t="shared" si="141"/>
        <v/>
      </c>
      <c r="AT177" s="32" t="str">
        <f t="shared" si="142"/>
        <v/>
      </c>
      <c r="AU177" s="34" t="str">
        <f t="shared" si="143"/>
        <v/>
      </c>
      <c r="AV177" s="32" t="str">
        <f t="shared" si="144"/>
        <v/>
      </c>
      <c r="AW177" s="32" t="str">
        <f t="shared" si="145"/>
        <v/>
      </c>
      <c r="AX177" s="32" t="str">
        <f t="shared" si="146"/>
        <v/>
      </c>
      <c r="AY177" s="32" t="str">
        <f t="shared" si="147"/>
        <v/>
      </c>
    </row>
    <row r="178" spans="1:51" x14ac:dyDescent="0.25">
      <c r="A178" s="24" t="str">
        <f t="shared" si="105"/>
        <v/>
      </c>
      <c r="B178" s="24" t="str">
        <f t="shared" si="115"/>
        <v/>
      </c>
      <c r="C178" s="32" t="str">
        <f t="shared" si="106"/>
        <v/>
      </c>
      <c r="D178" s="24" t="str">
        <f t="shared" si="107"/>
        <v/>
      </c>
      <c r="E178" s="24" t="str">
        <f t="shared" si="108"/>
        <v/>
      </c>
      <c r="F178" s="32" t="str">
        <f t="shared" si="109"/>
        <v/>
      </c>
      <c r="G178" s="32" t="str">
        <f t="shared" si="110"/>
        <v/>
      </c>
      <c r="H178" s="32" t="str">
        <f t="shared" ca="1" si="111"/>
        <v/>
      </c>
      <c r="I178" s="32" t="str">
        <f t="shared" ca="1" si="116"/>
        <v/>
      </c>
      <c r="J178" s="32" t="str">
        <f t="shared" si="112"/>
        <v/>
      </c>
      <c r="K178" s="32" t="str">
        <f>IF(ISNUMBER(A178),Profile!$V$25+Profile!$V$24*'Ri-Po'!C178,"")</f>
        <v/>
      </c>
      <c r="L178" s="32" t="str">
        <f t="shared" si="117"/>
        <v/>
      </c>
      <c r="M178" s="32" t="str">
        <f t="shared" si="113"/>
        <v/>
      </c>
      <c r="N178" s="32" t="str">
        <f t="shared" si="114"/>
        <v/>
      </c>
      <c r="O178" s="32" t="str">
        <f t="shared" si="130"/>
        <v/>
      </c>
      <c r="P178" s="32" t="str">
        <f t="shared" si="118"/>
        <v/>
      </c>
      <c r="Q178" s="32" t="str">
        <f t="shared" si="119"/>
        <v/>
      </c>
      <c r="R178" s="32" t="str">
        <f t="shared" si="131"/>
        <v/>
      </c>
      <c r="S178" s="24" t="str">
        <f t="shared" si="132"/>
        <v/>
      </c>
      <c r="T178" s="24" t="str">
        <f t="shared" si="133"/>
        <v/>
      </c>
      <c r="U178" s="24" t="str">
        <f t="shared" si="134"/>
        <v/>
      </c>
      <c r="V178" s="24" t="str">
        <f t="shared" si="135"/>
        <v/>
      </c>
      <c r="W178" s="23" t="str">
        <f t="array" ref="W178">IFERROR(SMALL(IF(S$1:S$1000="BEGIN",ROW(S$1:S$1000)),ROW()-3),"")</f>
        <v/>
      </c>
      <c r="X178" s="23" t="str">
        <f t="array" ref="X178">IFERROR(SMALL(IF(T$1:T$1000="END",ROW(T$1:T$1000)),ROW()-3),"")</f>
        <v/>
      </c>
      <c r="Y178" s="33" t="str">
        <f t="array" ref="Y178">IF(ISNUMBER(W178),MAX(IF((B$4:B$1000&lt;=X178)*(B$4:B$1000&gt;=W178),I$4:I$1000, "")),"")</f>
        <v/>
      </c>
      <c r="Z178" s="33" t="str">
        <f t="shared" si="120"/>
        <v/>
      </c>
      <c r="AA178" s="32" t="str">
        <f t="shared" si="121"/>
        <v/>
      </c>
      <c r="AB178" s="32" t="str">
        <f t="shared" si="122"/>
        <v/>
      </c>
      <c r="AC178" s="32" t="str">
        <f t="shared" si="123"/>
        <v/>
      </c>
      <c r="AD178" s="32" t="str">
        <f t="shared" si="124"/>
        <v/>
      </c>
      <c r="AE178" s="34" t="str">
        <f t="shared" si="125"/>
        <v/>
      </c>
      <c r="AF178" s="32" t="str">
        <f t="shared" si="126"/>
        <v/>
      </c>
      <c r="AG178" s="32" t="str">
        <f t="shared" si="127"/>
        <v/>
      </c>
      <c r="AH178" s="32" t="str">
        <f t="shared" si="128"/>
        <v/>
      </c>
      <c r="AI178" s="35" t="str">
        <f t="shared" si="129"/>
        <v/>
      </c>
      <c r="AJ178" s="23" t="str">
        <f t="array" ref="AJ178">IFERROR(SMALL(IF(U$1:U$1000="BEGIN",ROW(U$1:U$1000)),ROW()-3),"")</f>
        <v/>
      </c>
      <c r="AK178" s="23" t="str">
        <f t="array" ref="AK178">IFERROR(SMALL(IF(V$1:V$1000="END",ROW(V$1:V$1000)),ROW()-3),"")</f>
        <v/>
      </c>
      <c r="AL178" s="24" t="str">
        <f t="array" ref="AL178">IF(AK178="","",MATCH(AM178,L:L,0))</f>
        <v/>
      </c>
      <c r="AM178" s="35">
        <f t="array" ref="AM178">MAX(IF((B$4:B$1000&lt;=AK178)*(B$4:B$1000&gt;=AJ178),L$4:L$1000, ""))</f>
        <v>0</v>
      </c>
      <c r="AN178" s="32" t="str">
        <f t="shared" si="136"/>
        <v/>
      </c>
      <c r="AO178" s="32" t="str">
        <f t="shared" si="137"/>
        <v/>
      </c>
      <c r="AP178" s="32" t="str">
        <f t="shared" si="138"/>
        <v/>
      </c>
      <c r="AQ178" s="32" t="str">
        <f t="shared" si="139"/>
        <v/>
      </c>
      <c r="AR178" s="32" t="str">
        <f t="shared" si="140"/>
        <v/>
      </c>
      <c r="AS178" s="32" t="str">
        <f t="shared" si="141"/>
        <v/>
      </c>
      <c r="AT178" s="32" t="str">
        <f t="shared" si="142"/>
        <v/>
      </c>
      <c r="AU178" s="34" t="str">
        <f t="shared" si="143"/>
        <v/>
      </c>
      <c r="AV178" s="32" t="str">
        <f t="shared" si="144"/>
        <v/>
      </c>
      <c r="AW178" s="32" t="str">
        <f t="shared" si="145"/>
        <v/>
      </c>
      <c r="AX178" s="32" t="str">
        <f t="shared" si="146"/>
        <v/>
      </c>
      <c r="AY178" s="32" t="str">
        <f t="shared" si="147"/>
        <v/>
      </c>
    </row>
    <row r="179" spans="1:51" x14ac:dyDescent="0.25">
      <c r="A179" s="24" t="str">
        <f t="shared" si="105"/>
        <v/>
      </c>
      <c r="B179" s="24" t="str">
        <f t="shared" si="115"/>
        <v/>
      </c>
      <c r="C179" s="32" t="str">
        <f t="shared" si="106"/>
        <v/>
      </c>
      <c r="D179" s="24" t="str">
        <f t="shared" si="107"/>
        <v/>
      </c>
      <c r="E179" s="24" t="str">
        <f t="shared" si="108"/>
        <v/>
      </c>
      <c r="F179" s="32" t="str">
        <f t="shared" si="109"/>
        <v/>
      </c>
      <c r="G179" s="32" t="str">
        <f t="shared" si="110"/>
        <v/>
      </c>
      <c r="H179" s="32" t="str">
        <f t="shared" ca="1" si="111"/>
        <v/>
      </c>
      <c r="I179" s="32" t="str">
        <f t="shared" ca="1" si="116"/>
        <v/>
      </c>
      <c r="J179" s="32" t="str">
        <f t="shared" si="112"/>
        <v/>
      </c>
      <c r="K179" s="32" t="str">
        <f>IF(ISNUMBER(A179),Profile!$V$25+Profile!$V$24*'Ri-Po'!C179,"")</f>
        <v/>
      </c>
      <c r="L179" s="32" t="str">
        <f t="shared" si="117"/>
        <v/>
      </c>
      <c r="M179" s="32" t="str">
        <f t="shared" si="113"/>
        <v/>
      </c>
      <c r="N179" s="32" t="str">
        <f t="shared" si="114"/>
        <v/>
      </c>
      <c r="O179" s="32" t="str">
        <f t="shared" si="130"/>
        <v/>
      </c>
      <c r="P179" s="32" t="str">
        <f t="shared" si="118"/>
        <v/>
      </c>
      <c r="Q179" s="32" t="str">
        <f t="shared" si="119"/>
        <v/>
      </c>
      <c r="R179" s="32" t="str">
        <f t="shared" si="131"/>
        <v/>
      </c>
      <c r="S179" s="24" t="str">
        <f t="shared" si="132"/>
        <v/>
      </c>
      <c r="T179" s="24" t="str">
        <f t="shared" si="133"/>
        <v/>
      </c>
      <c r="U179" s="24" t="str">
        <f t="shared" si="134"/>
        <v/>
      </c>
      <c r="V179" s="24" t="str">
        <f t="shared" si="135"/>
        <v/>
      </c>
      <c r="W179" s="23" t="str">
        <f t="array" ref="W179">IFERROR(SMALL(IF(S$1:S$1000="BEGIN",ROW(S$1:S$1000)),ROW()-3),"")</f>
        <v/>
      </c>
      <c r="X179" s="23" t="str">
        <f t="array" ref="X179">IFERROR(SMALL(IF(T$1:T$1000="END",ROW(T$1:T$1000)),ROW()-3),"")</f>
        <v/>
      </c>
      <c r="Y179" s="33" t="str">
        <f t="array" ref="Y179">IF(ISNUMBER(W179),MAX(IF((B$4:B$1000&lt;=X179)*(B$4:B$1000&gt;=W179),I$4:I$1000, "")),"")</f>
        <v/>
      </c>
      <c r="Z179" s="33" t="str">
        <f t="shared" si="120"/>
        <v/>
      </c>
      <c r="AA179" s="32" t="str">
        <f t="shared" si="121"/>
        <v/>
      </c>
      <c r="AB179" s="32" t="str">
        <f t="shared" si="122"/>
        <v/>
      </c>
      <c r="AC179" s="32" t="str">
        <f t="shared" si="123"/>
        <v/>
      </c>
      <c r="AD179" s="32" t="str">
        <f t="shared" si="124"/>
        <v/>
      </c>
      <c r="AE179" s="34" t="str">
        <f t="shared" si="125"/>
        <v/>
      </c>
      <c r="AF179" s="32" t="str">
        <f t="shared" si="126"/>
        <v/>
      </c>
      <c r="AG179" s="32" t="str">
        <f t="shared" si="127"/>
        <v/>
      </c>
      <c r="AH179" s="32" t="str">
        <f t="shared" si="128"/>
        <v/>
      </c>
      <c r="AI179" s="35" t="str">
        <f t="shared" si="129"/>
        <v/>
      </c>
      <c r="AJ179" s="23" t="str">
        <f t="array" ref="AJ179">IFERROR(SMALL(IF(U$1:U$1000="BEGIN",ROW(U$1:U$1000)),ROW()-3),"")</f>
        <v/>
      </c>
      <c r="AK179" s="23" t="str">
        <f t="array" ref="AK179">IFERROR(SMALL(IF(V$1:V$1000="END",ROW(V$1:V$1000)),ROW()-3),"")</f>
        <v/>
      </c>
      <c r="AL179" s="24" t="str">
        <f t="array" ref="AL179">IF(AK179="","",MATCH(AM179,L:L,0))</f>
        <v/>
      </c>
      <c r="AM179" s="35">
        <f t="array" ref="AM179">MAX(IF((B$4:B$1000&lt;=AK179)*(B$4:B$1000&gt;=AJ179),L$4:L$1000, ""))</f>
        <v>0</v>
      </c>
      <c r="AN179" s="32" t="str">
        <f t="shared" si="136"/>
        <v/>
      </c>
      <c r="AO179" s="32" t="str">
        <f t="shared" si="137"/>
        <v/>
      </c>
      <c r="AP179" s="32" t="str">
        <f t="shared" si="138"/>
        <v/>
      </c>
      <c r="AQ179" s="32" t="str">
        <f t="shared" si="139"/>
        <v/>
      </c>
      <c r="AR179" s="32" t="str">
        <f t="shared" si="140"/>
        <v/>
      </c>
      <c r="AS179" s="32" t="str">
        <f t="shared" si="141"/>
        <v/>
      </c>
      <c r="AT179" s="32" t="str">
        <f t="shared" si="142"/>
        <v/>
      </c>
      <c r="AU179" s="34" t="str">
        <f t="shared" si="143"/>
        <v/>
      </c>
      <c r="AV179" s="32" t="str">
        <f t="shared" si="144"/>
        <v/>
      </c>
      <c r="AW179" s="32" t="str">
        <f t="shared" si="145"/>
        <v/>
      </c>
      <c r="AX179" s="32" t="str">
        <f t="shared" si="146"/>
        <v/>
      </c>
      <c r="AY179" s="32" t="str">
        <f t="shared" si="147"/>
        <v/>
      </c>
    </row>
    <row r="180" spans="1:51" x14ac:dyDescent="0.25">
      <c r="A180" s="24" t="str">
        <f t="shared" si="105"/>
        <v/>
      </c>
      <c r="B180" s="24" t="str">
        <f t="shared" si="115"/>
        <v/>
      </c>
      <c r="C180" s="32" t="str">
        <f t="shared" si="106"/>
        <v/>
      </c>
      <c r="D180" s="24" t="str">
        <f t="shared" si="107"/>
        <v/>
      </c>
      <c r="E180" s="24" t="str">
        <f t="shared" si="108"/>
        <v/>
      </c>
      <c r="F180" s="32" t="str">
        <f t="shared" si="109"/>
        <v/>
      </c>
      <c r="G180" s="32" t="str">
        <f t="shared" si="110"/>
        <v/>
      </c>
      <c r="H180" s="32" t="str">
        <f t="shared" ca="1" si="111"/>
        <v/>
      </c>
      <c r="I180" s="32" t="str">
        <f t="shared" ca="1" si="116"/>
        <v/>
      </c>
      <c r="J180" s="32" t="str">
        <f t="shared" si="112"/>
        <v/>
      </c>
      <c r="K180" s="32" t="str">
        <f>IF(ISNUMBER(A180),Profile!$V$25+Profile!$V$24*'Ri-Po'!C180,"")</f>
        <v/>
      </c>
      <c r="L180" s="32" t="str">
        <f t="shared" si="117"/>
        <v/>
      </c>
      <c r="M180" s="32" t="str">
        <f t="shared" si="113"/>
        <v/>
      </c>
      <c r="N180" s="32" t="str">
        <f t="shared" si="114"/>
        <v/>
      </c>
      <c r="O180" s="32" t="str">
        <f t="shared" si="130"/>
        <v/>
      </c>
      <c r="P180" s="32" t="str">
        <f t="shared" si="118"/>
        <v/>
      </c>
      <c r="Q180" s="32" t="str">
        <f t="shared" si="119"/>
        <v/>
      </c>
      <c r="R180" s="32" t="str">
        <f t="shared" si="131"/>
        <v/>
      </c>
      <c r="S180" s="24" t="str">
        <f t="shared" si="132"/>
        <v/>
      </c>
      <c r="T180" s="24" t="str">
        <f t="shared" si="133"/>
        <v/>
      </c>
      <c r="U180" s="24" t="str">
        <f t="shared" si="134"/>
        <v/>
      </c>
      <c r="V180" s="24" t="str">
        <f t="shared" si="135"/>
        <v/>
      </c>
      <c r="W180" s="23" t="str">
        <f t="array" ref="W180">IFERROR(SMALL(IF(S$1:S$1000="BEGIN",ROW(S$1:S$1000)),ROW()-3),"")</f>
        <v/>
      </c>
      <c r="X180" s="23" t="str">
        <f t="array" ref="X180">IFERROR(SMALL(IF(T$1:T$1000="END",ROW(T$1:T$1000)),ROW()-3),"")</f>
        <v/>
      </c>
      <c r="Y180" s="33" t="str">
        <f t="array" ref="Y180">IF(ISNUMBER(W180),MAX(IF((B$4:B$1000&lt;=X180)*(B$4:B$1000&gt;=W180),I$4:I$1000, "")),"")</f>
        <v/>
      </c>
      <c r="Z180" s="33" t="str">
        <f t="shared" si="120"/>
        <v/>
      </c>
      <c r="AA180" s="32" t="str">
        <f t="shared" si="121"/>
        <v/>
      </c>
      <c r="AB180" s="32" t="str">
        <f t="shared" si="122"/>
        <v/>
      </c>
      <c r="AC180" s="32" t="str">
        <f t="shared" si="123"/>
        <v/>
      </c>
      <c r="AD180" s="32" t="str">
        <f t="shared" si="124"/>
        <v/>
      </c>
      <c r="AE180" s="34" t="str">
        <f t="shared" si="125"/>
        <v/>
      </c>
      <c r="AF180" s="32" t="str">
        <f t="shared" si="126"/>
        <v/>
      </c>
      <c r="AG180" s="32" t="str">
        <f t="shared" si="127"/>
        <v/>
      </c>
      <c r="AH180" s="32" t="str">
        <f t="shared" si="128"/>
        <v/>
      </c>
      <c r="AI180" s="35" t="str">
        <f t="shared" si="129"/>
        <v/>
      </c>
      <c r="AJ180" s="23" t="str">
        <f t="array" ref="AJ180">IFERROR(SMALL(IF(U$1:U$1000="BEGIN",ROW(U$1:U$1000)),ROW()-3),"")</f>
        <v/>
      </c>
      <c r="AK180" s="23" t="str">
        <f t="array" ref="AK180">IFERROR(SMALL(IF(V$1:V$1000="END",ROW(V$1:V$1000)),ROW()-3),"")</f>
        <v/>
      </c>
      <c r="AL180" s="24" t="str">
        <f t="array" ref="AL180">IF(AK180="","",MATCH(AM180,L:L,0))</f>
        <v/>
      </c>
      <c r="AM180" s="35">
        <f t="array" ref="AM180">MAX(IF((B$4:B$1000&lt;=AK180)*(B$4:B$1000&gt;=AJ180),L$4:L$1000, ""))</f>
        <v>0</v>
      </c>
      <c r="AN180" s="32" t="str">
        <f t="shared" si="136"/>
        <v/>
      </c>
      <c r="AO180" s="32" t="str">
        <f t="shared" si="137"/>
        <v/>
      </c>
      <c r="AP180" s="32" t="str">
        <f t="shared" si="138"/>
        <v/>
      </c>
      <c r="AQ180" s="32" t="str">
        <f t="shared" si="139"/>
        <v/>
      </c>
      <c r="AR180" s="32" t="str">
        <f t="shared" si="140"/>
        <v/>
      </c>
      <c r="AS180" s="32" t="str">
        <f t="shared" si="141"/>
        <v/>
      </c>
      <c r="AT180" s="32" t="str">
        <f t="shared" si="142"/>
        <v/>
      </c>
      <c r="AU180" s="34" t="str">
        <f t="shared" si="143"/>
        <v/>
      </c>
      <c r="AV180" s="32" t="str">
        <f t="shared" si="144"/>
        <v/>
      </c>
      <c r="AW180" s="32" t="str">
        <f t="shared" si="145"/>
        <v/>
      </c>
      <c r="AX180" s="32" t="str">
        <f t="shared" si="146"/>
        <v/>
      </c>
      <c r="AY180" s="32" t="str">
        <f t="shared" si="147"/>
        <v/>
      </c>
    </row>
    <row r="181" spans="1:51" x14ac:dyDescent="0.25">
      <c r="A181" s="24" t="str">
        <f t="shared" si="105"/>
        <v/>
      </c>
      <c r="B181" s="24" t="str">
        <f t="shared" si="115"/>
        <v/>
      </c>
      <c r="C181" s="32" t="str">
        <f t="shared" si="106"/>
        <v/>
      </c>
      <c r="D181" s="24" t="str">
        <f t="shared" si="107"/>
        <v/>
      </c>
      <c r="E181" s="24" t="str">
        <f t="shared" si="108"/>
        <v/>
      </c>
      <c r="F181" s="32" t="str">
        <f t="shared" si="109"/>
        <v/>
      </c>
      <c r="G181" s="32" t="str">
        <f t="shared" si="110"/>
        <v/>
      </c>
      <c r="H181" s="32" t="str">
        <f t="shared" ca="1" si="111"/>
        <v/>
      </c>
      <c r="I181" s="32" t="str">
        <f t="shared" ca="1" si="116"/>
        <v/>
      </c>
      <c r="J181" s="32" t="str">
        <f t="shared" si="112"/>
        <v/>
      </c>
      <c r="K181" s="32" t="str">
        <f>IF(ISNUMBER(A181),Profile!$V$25+Profile!$V$24*'Ri-Po'!C181,"")</f>
        <v/>
      </c>
      <c r="L181" s="32" t="str">
        <f t="shared" si="117"/>
        <v/>
      </c>
      <c r="M181" s="32" t="str">
        <f t="shared" si="113"/>
        <v/>
      </c>
      <c r="N181" s="32" t="str">
        <f t="shared" si="114"/>
        <v/>
      </c>
      <c r="O181" s="32" t="str">
        <f t="shared" si="130"/>
        <v/>
      </c>
      <c r="P181" s="32" t="str">
        <f t="shared" si="118"/>
        <v/>
      </c>
      <c r="Q181" s="32" t="str">
        <f t="shared" si="119"/>
        <v/>
      </c>
      <c r="R181" s="32" t="str">
        <f t="shared" si="131"/>
        <v/>
      </c>
      <c r="S181" s="24" t="str">
        <f t="shared" si="132"/>
        <v/>
      </c>
      <c r="T181" s="24" t="str">
        <f t="shared" si="133"/>
        <v/>
      </c>
      <c r="U181" s="24" t="str">
        <f t="shared" si="134"/>
        <v/>
      </c>
      <c r="V181" s="24" t="str">
        <f t="shared" si="135"/>
        <v/>
      </c>
      <c r="W181" s="23" t="str">
        <f t="array" ref="W181">IFERROR(SMALL(IF(S$1:S$1000="BEGIN",ROW(S$1:S$1000)),ROW()-3),"")</f>
        <v/>
      </c>
      <c r="X181" s="23" t="str">
        <f t="array" ref="X181">IFERROR(SMALL(IF(T$1:T$1000="END",ROW(T$1:T$1000)),ROW()-3),"")</f>
        <v/>
      </c>
      <c r="Y181" s="33" t="str">
        <f t="array" ref="Y181">IF(ISNUMBER(W181),MAX(IF((B$4:B$1000&lt;=X181)*(B$4:B$1000&gt;=W181),I$4:I$1000, "")),"")</f>
        <v/>
      </c>
      <c r="Z181" s="33" t="str">
        <f t="shared" si="120"/>
        <v/>
      </c>
      <c r="AA181" s="32" t="str">
        <f t="shared" si="121"/>
        <v/>
      </c>
      <c r="AB181" s="32" t="str">
        <f t="shared" si="122"/>
        <v/>
      </c>
      <c r="AC181" s="32" t="str">
        <f t="shared" si="123"/>
        <v/>
      </c>
      <c r="AD181" s="32" t="str">
        <f t="shared" si="124"/>
        <v/>
      </c>
      <c r="AE181" s="34" t="str">
        <f t="shared" si="125"/>
        <v/>
      </c>
      <c r="AF181" s="32" t="str">
        <f t="shared" si="126"/>
        <v/>
      </c>
      <c r="AG181" s="32" t="str">
        <f t="shared" si="127"/>
        <v/>
      </c>
      <c r="AH181" s="32" t="str">
        <f t="shared" si="128"/>
        <v/>
      </c>
      <c r="AI181" s="35" t="str">
        <f t="shared" si="129"/>
        <v/>
      </c>
      <c r="AJ181" s="23" t="str">
        <f t="array" ref="AJ181">IFERROR(SMALL(IF(U$1:U$1000="BEGIN",ROW(U$1:U$1000)),ROW()-3),"")</f>
        <v/>
      </c>
      <c r="AK181" s="23" t="str">
        <f t="array" ref="AK181">IFERROR(SMALL(IF(V$1:V$1000="END",ROW(V$1:V$1000)),ROW()-3),"")</f>
        <v/>
      </c>
      <c r="AL181" s="24" t="str">
        <f t="array" ref="AL181">IF(AK181="","",MATCH(AM181,L:L,0))</f>
        <v/>
      </c>
      <c r="AM181" s="35">
        <f t="array" ref="AM181">MAX(IF((B$4:B$1000&lt;=AK181)*(B$4:B$1000&gt;=AJ181),L$4:L$1000, ""))</f>
        <v>0</v>
      </c>
      <c r="AN181" s="32" t="str">
        <f t="shared" si="136"/>
        <v/>
      </c>
      <c r="AO181" s="32" t="str">
        <f t="shared" si="137"/>
        <v/>
      </c>
      <c r="AP181" s="32" t="str">
        <f t="shared" si="138"/>
        <v/>
      </c>
      <c r="AQ181" s="32" t="str">
        <f t="shared" si="139"/>
        <v/>
      </c>
      <c r="AR181" s="32" t="str">
        <f t="shared" si="140"/>
        <v/>
      </c>
      <c r="AS181" s="32" t="str">
        <f t="shared" si="141"/>
        <v/>
      </c>
      <c r="AT181" s="32" t="str">
        <f t="shared" si="142"/>
        <v/>
      </c>
      <c r="AU181" s="34" t="str">
        <f t="shared" si="143"/>
        <v/>
      </c>
      <c r="AV181" s="32" t="str">
        <f t="shared" si="144"/>
        <v/>
      </c>
      <c r="AW181" s="32" t="str">
        <f t="shared" si="145"/>
        <v/>
      </c>
      <c r="AX181" s="32" t="str">
        <f t="shared" si="146"/>
        <v/>
      </c>
      <c r="AY181" s="32" t="str">
        <f t="shared" si="147"/>
        <v/>
      </c>
    </row>
    <row r="182" spans="1:51" x14ac:dyDescent="0.25">
      <c r="A182" s="24" t="str">
        <f t="shared" si="105"/>
        <v/>
      </c>
      <c r="B182" s="24" t="str">
        <f t="shared" si="115"/>
        <v/>
      </c>
      <c r="C182" s="32" t="str">
        <f t="shared" si="106"/>
        <v/>
      </c>
      <c r="D182" s="24" t="str">
        <f t="shared" si="107"/>
        <v/>
      </c>
      <c r="E182" s="24" t="str">
        <f t="shared" si="108"/>
        <v/>
      </c>
      <c r="F182" s="32" t="str">
        <f t="shared" si="109"/>
        <v/>
      </c>
      <c r="G182" s="32" t="str">
        <f t="shared" si="110"/>
        <v/>
      </c>
      <c r="H182" s="32" t="str">
        <f t="shared" ca="1" si="111"/>
        <v/>
      </c>
      <c r="I182" s="32" t="str">
        <f t="shared" ca="1" si="116"/>
        <v/>
      </c>
      <c r="J182" s="32" t="str">
        <f t="shared" si="112"/>
        <v/>
      </c>
      <c r="K182" s="32" t="str">
        <f>IF(ISNUMBER(A182),Profile!$V$25+Profile!$V$24*'Ri-Po'!C182,"")</f>
        <v/>
      </c>
      <c r="L182" s="32" t="str">
        <f t="shared" si="117"/>
        <v/>
      </c>
      <c r="M182" s="32" t="str">
        <f t="shared" si="113"/>
        <v/>
      </c>
      <c r="N182" s="32" t="str">
        <f t="shared" si="114"/>
        <v/>
      </c>
      <c r="O182" s="32" t="str">
        <f t="shared" si="130"/>
        <v/>
      </c>
      <c r="P182" s="32" t="str">
        <f t="shared" si="118"/>
        <v/>
      </c>
      <c r="Q182" s="32" t="str">
        <f t="shared" si="119"/>
        <v/>
      </c>
      <c r="R182" s="32" t="str">
        <f t="shared" si="131"/>
        <v/>
      </c>
      <c r="S182" s="24" t="str">
        <f t="shared" si="132"/>
        <v/>
      </c>
      <c r="T182" s="24" t="str">
        <f t="shared" si="133"/>
        <v/>
      </c>
      <c r="U182" s="24" t="str">
        <f t="shared" si="134"/>
        <v/>
      </c>
      <c r="V182" s="24" t="str">
        <f t="shared" si="135"/>
        <v/>
      </c>
      <c r="W182" s="23" t="str">
        <f t="array" ref="W182">IFERROR(SMALL(IF(S$1:S$1000="BEGIN",ROW(S$1:S$1000)),ROW()-3),"")</f>
        <v/>
      </c>
      <c r="X182" s="23" t="str">
        <f t="array" ref="X182">IFERROR(SMALL(IF(T$1:T$1000="END",ROW(T$1:T$1000)),ROW()-3),"")</f>
        <v/>
      </c>
      <c r="Y182" s="33" t="str">
        <f t="array" ref="Y182">IF(ISNUMBER(W182),MAX(IF((B$4:B$1000&lt;=X182)*(B$4:B$1000&gt;=W182),I$4:I$1000, "")),"")</f>
        <v/>
      </c>
      <c r="Z182" s="33" t="str">
        <f t="shared" si="120"/>
        <v/>
      </c>
      <c r="AA182" s="32" t="str">
        <f t="shared" si="121"/>
        <v/>
      </c>
      <c r="AB182" s="32" t="str">
        <f t="shared" si="122"/>
        <v/>
      </c>
      <c r="AC182" s="32" t="str">
        <f t="shared" si="123"/>
        <v/>
      </c>
      <c r="AD182" s="32" t="str">
        <f t="shared" si="124"/>
        <v/>
      </c>
      <c r="AE182" s="34" t="str">
        <f t="shared" si="125"/>
        <v/>
      </c>
      <c r="AF182" s="32" t="str">
        <f t="shared" si="126"/>
        <v/>
      </c>
      <c r="AG182" s="32" t="str">
        <f t="shared" si="127"/>
        <v/>
      </c>
      <c r="AH182" s="32" t="str">
        <f t="shared" si="128"/>
        <v/>
      </c>
      <c r="AI182" s="35" t="str">
        <f t="shared" si="129"/>
        <v/>
      </c>
      <c r="AJ182" s="23" t="str">
        <f t="array" ref="AJ182">IFERROR(SMALL(IF(U$1:U$1000="BEGIN",ROW(U$1:U$1000)),ROW()-3),"")</f>
        <v/>
      </c>
      <c r="AK182" s="23" t="str">
        <f t="array" ref="AK182">IFERROR(SMALL(IF(V$1:V$1000="END",ROW(V$1:V$1000)),ROW()-3),"")</f>
        <v/>
      </c>
      <c r="AL182" s="24" t="str">
        <f t="array" ref="AL182">IF(AK182="","",MATCH(AM182,L:L,0))</f>
        <v/>
      </c>
      <c r="AM182" s="35">
        <f t="array" ref="AM182">MAX(IF((B$4:B$1000&lt;=AK182)*(B$4:B$1000&gt;=AJ182),L$4:L$1000, ""))</f>
        <v>0</v>
      </c>
      <c r="AN182" s="32" t="str">
        <f t="shared" si="136"/>
        <v/>
      </c>
      <c r="AO182" s="32" t="str">
        <f t="shared" si="137"/>
        <v/>
      </c>
      <c r="AP182" s="32" t="str">
        <f t="shared" si="138"/>
        <v/>
      </c>
      <c r="AQ182" s="32" t="str">
        <f t="shared" si="139"/>
        <v/>
      </c>
      <c r="AR182" s="32" t="str">
        <f t="shared" si="140"/>
        <v/>
      </c>
      <c r="AS182" s="32" t="str">
        <f t="shared" si="141"/>
        <v/>
      </c>
      <c r="AT182" s="32" t="str">
        <f t="shared" si="142"/>
        <v/>
      </c>
      <c r="AU182" s="34" t="str">
        <f t="shared" si="143"/>
        <v/>
      </c>
      <c r="AV182" s="32" t="str">
        <f t="shared" si="144"/>
        <v/>
      </c>
      <c r="AW182" s="32" t="str">
        <f t="shared" si="145"/>
        <v/>
      </c>
      <c r="AX182" s="32" t="str">
        <f t="shared" si="146"/>
        <v/>
      </c>
      <c r="AY182" s="32" t="str">
        <f t="shared" si="147"/>
        <v/>
      </c>
    </row>
    <row r="183" spans="1:51" x14ac:dyDescent="0.25">
      <c r="A183" s="24" t="str">
        <f t="shared" si="105"/>
        <v/>
      </c>
      <c r="B183" s="24" t="str">
        <f t="shared" si="115"/>
        <v/>
      </c>
      <c r="C183" s="32" t="str">
        <f t="shared" si="106"/>
        <v/>
      </c>
      <c r="D183" s="24" t="str">
        <f t="shared" si="107"/>
        <v/>
      </c>
      <c r="E183" s="24" t="str">
        <f t="shared" si="108"/>
        <v/>
      </c>
      <c r="F183" s="32" t="str">
        <f t="shared" si="109"/>
        <v/>
      </c>
      <c r="G183" s="32" t="str">
        <f t="shared" si="110"/>
        <v/>
      </c>
      <c r="H183" s="32" t="str">
        <f t="shared" ca="1" si="111"/>
        <v/>
      </c>
      <c r="I183" s="32" t="str">
        <f t="shared" ca="1" si="116"/>
        <v/>
      </c>
      <c r="J183" s="32" t="str">
        <f t="shared" si="112"/>
        <v/>
      </c>
      <c r="K183" s="32" t="str">
        <f>IF(ISNUMBER(A183),Profile!$V$25+Profile!$V$24*'Ri-Po'!C183,"")</f>
        <v/>
      </c>
      <c r="L183" s="32" t="str">
        <f t="shared" si="117"/>
        <v/>
      </c>
      <c r="M183" s="32" t="str">
        <f t="shared" si="113"/>
        <v/>
      </c>
      <c r="N183" s="32" t="str">
        <f t="shared" si="114"/>
        <v/>
      </c>
      <c r="O183" s="32" t="str">
        <f t="shared" si="130"/>
        <v/>
      </c>
      <c r="P183" s="32" t="str">
        <f t="shared" si="118"/>
        <v/>
      </c>
      <c r="Q183" s="32" t="str">
        <f t="shared" si="119"/>
        <v/>
      </c>
      <c r="R183" s="32" t="str">
        <f t="shared" si="131"/>
        <v/>
      </c>
      <c r="S183" s="24" t="str">
        <f t="shared" si="132"/>
        <v/>
      </c>
      <c r="T183" s="24" t="str">
        <f t="shared" si="133"/>
        <v/>
      </c>
      <c r="U183" s="24" t="str">
        <f t="shared" si="134"/>
        <v/>
      </c>
      <c r="V183" s="24" t="str">
        <f t="shared" si="135"/>
        <v/>
      </c>
      <c r="W183" s="23" t="str">
        <f t="array" ref="W183">IFERROR(SMALL(IF(S$1:S$1000="BEGIN",ROW(S$1:S$1000)),ROW()-3),"")</f>
        <v/>
      </c>
      <c r="X183" s="23" t="str">
        <f t="array" ref="X183">IFERROR(SMALL(IF(T$1:T$1000="END",ROW(T$1:T$1000)),ROW()-3),"")</f>
        <v/>
      </c>
      <c r="Y183" s="33" t="str">
        <f t="array" ref="Y183">IF(ISNUMBER(W183),MAX(IF((B$4:B$1000&lt;=X183)*(B$4:B$1000&gt;=W183),I$4:I$1000, "")),"")</f>
        <v/>
      </c>
      <c r="Z183" s="33" t="str">
        <f t="shared" si="120"/>
        <v/>
      </c>
      <c r="AA183" s="32" t="str">
        <f t="shared" si="121"/>
        <v/>
      </c>
      <c r="AB183" s="32" t="str">
        <f t="shared" si="122"/>
        <v/>
      </c>
      <c r="AC183" s="32" t="str">
        <f t="shared" si="123"/>
        <v/>
      </c>
      <c r="AD183" s="32" t="str">
        <f t="shared" si="124"/>
        <v/>
      </c>
      <c r="AE183" s="34" t="str">
        <f t="shared" si="125"/>
        <v/>
      </c>
      <c r="AF183" s="32" t="str">
        <f t="shared" si="126"/>
        <v/>
      </c>
      <c r="AG183" s="32" t="str">
        <f t="shared" si="127"/>
        <v/>
      </c>
      <c r="AH183" s="32" t="str">
        <f t="shared" si="128"/>
        <v/>
      </c>
      <c r="AI183" s="35" t="str">
        <f t="shared" si="129"/>
        <v/>
      </c>
      <c r="AJ183" s="23" t="str">
        <f t="array" ref="AJ183">IFERROR(SMALL(IF(U$1:U$1000="BEGIN",ROW(U$1:U$1000)),ROW()-3),"")</f>
        <v/>
      </c>
      <c r="AK183" s="23" t="str">
        <f t="array" ref="AK183">IFERROR(SMALL(IF(V$1:V$1000="END",ROW(V$1:V$1000)),ROW()-3),"")</f>
        <v/>
      </c>
      <c r="AL183" s="24" t="str">
        <f t="array" ref="AL183">IF(AK183="","",MATCH(AM183,L:L,0))</f>
        <v/>
      </c>
      <c r="AM183" s="35">
        <f t="array" ref="AM183">MAX(IF((B$4:B$1000&lt;=AK183)*(B$4:B$1000&gt;=AJ183),L$4:L$1000, ""))</f>
        <v>0</v>
      </c>
      <c r="AN183" s="32" t="str">
        <f t="shared" si="136"/>
        <v/>
      </c>
      <c r="AO183" s="32" t="str">
        <f t="shared" si="137"/>
        <v/>
      </c>
      <c r="AP183" s="32" t="str">
        <f t="shared" si="138"/>
        <v/>
      </c>
      <c r="AQ183" s="32" t="str">
        <f t="shared" si="139"/>
        <v/>
      </c>
      <c r="AR183" s="32" t="str">
        <f t="shared" si="140"/>
        <v/>
      </c>
      <c r="AS183" s="32" t="str">
        <f t="shared" si="141"/>
        <v/>
      </c>
      <c r="AT183" s="32" t="str">
        <f t="shared" si="142"/>
        <v/>
      </c>
      <c r="AU183" s="34" t="str">
        <f t="shared" si="143"/>
        <v/>
      </c>
      <c r="AV183" s="32" t="str">
        <f t="shared" si="144"/>
        <v/>
      </c>
      <c r="AW183" s="32" t="str">
        <f t="shared" si="145"/>
        <v/>
      </c>
      <c r="AX183" s="32" t="str">
        <f t="shared" si="146"/>
        <v/>
      </c>
      <c r="AY183" s="32" t="str">
        <f t="shared" si="147"/>
        <v/>
      </c>
    </row>
    <row r="184" spans="1:51" x14ac:dyDescent="0.25">
      <c r="A184" s="24" t="str">
        <f t="shared" si="105"/>
        <v/>
      </c>
      <c r="B184" s="24" t="str">
        <f t="shared" si="115"/>
        <v/>
      </c>
      <c r="C184" s="32" t="str">
        <f t="shared" si="106"/>
        <v/>
      </c>
      <c r="D184" s="24" t="str">
        <f t="shared" si="107"/>
        <v/>
      </c>
      <c r="E184" s="24" t="str">
        <f t="shared" si="108"/>
        <v/>
      </c>
      <c r="F184" s="32" t="str">
        <f t="shared" si="109"/>
        <v/>
      </c>
      <c r="G184" s="32" t="str">
        <f t="shared" si="110"/>
        <v/>
      </c>
      <c r="H184" s="32" t="str">
        <f t="shared" ca="1" si="111"/>
        <v/>
      </c>
      <c r="I184" s="32" t="str">
        <f t="shared" ca="1" si="116"/>
        <v/>
      </c>
      <c r="J184" s="32" t="str">
        <f t="shared" si="112"/>
        <v/>
      </c>
      <c r="K184" s="32" t="str">
        <f>IF(ISNUMBER(A184),Profile!$V$25+Profile!$V$24*'Ri-Po'!C184,"")</f>
        <v/>
      </c>
      <c r="L184" s="32" t="str">
        <f t="shared" si="117"/>
        <v/>
      </c>
      <c r="M184" s="32" t="str">
        <f t="shared" si="113"/>
        <v/>
      </c>
      <c r="N184" s="32" t="str">
        <f t="shared" si="114"/>
        <v/>
      </c>
      <c r="O184" s="32" t="str">
        <f t="shared" si="130"/>
        <v/>
      </c>
      <c r="P184" s="32" t="str">
        <f t="shared" si="118"/>
        <v/>
      </c>
      <c r="Q184" s="32" t="str">
        <f t="shared" si="119"/>
        <v/>
      </c>
      <c r="R184" s="32" t="str">
        <f t="shared" si="131"/>
        <v/>
      </c>
      <c r="S184" s="24" t="str">
        <f t="shared" si="132"/>
        <v/>
      </c>
      <c r="T184" s="24" t="str">
        <f t="shared" si="133"/>
        <v/>
      </c>
      <c r="U184" s="24" t="str">
        <f t="shared" si="134"/>
        <v/>
      </c>
      <c r="V184" s="24" t="str">
        <f t="shared" si="135"/>
        <v/>
      </c>
      <c r="W184" s="23" t="str">
        <f t="array" ref="W184">IFERROR(SMALL(IF(S$1:S$1000="BEGIN",ROW(S$1:S$1000)),ROW()-3),"")</f>
        <v/>
      </c>
      <c r="X184" s="23" t="str">
        <f t="array" ref="X184">IFERROR(SMALL(IF(T$1:T$1000="END",ROW(T$1:T$1000)),ROW()-3),"")</f>
        <v/>
      </c>
      <c r="Y184" s="33" t="str">
        <f t="array" ref="Y184">IF(ISNUMBER(W184),MAX(IF((B$4:B$1000&lt;=X184)*(B$4:B$1000&gt;=W184),I$4:I$1000, "")),"")</f>
        <v/>
      </c>
      <c r="Z184" s="33" t="str">
        <f t="shared" si="120"/>
        <v/>
      </c>
      <c r="AA184" s="32" t="str">
        <f t="shared" si="121"/>
        <v/>
      </c>
      <c r="AB184" s="32" t="str">
        <f t="shared" si="122"/>
        <v/>
      </c>
      <c r="AC184" s="32" t="str">
        <f t="shared" si="123"/>
        <v/>
      </c>
      <c r="AD184" s="32" t="str">
        <f t="shared" si="124"/>
        <v/>
      </c>
      <c r="AE184" s="34" t="str">
        <f t="shared" si="125"/>
        <v/>
      </c>
      <c r="AF184" s="32" t="str">
        <f t="shared" si="126"/>
        <v/>
      </c>
      <c r="AG184" s="32" t="str">
        <f t="shared" si="127"/>
        <v/>
      </c>
      <c r="AH184" s="32" t="str">
        <f t="shared" si="128"/>
        <v/>
      </c>
      <c r="AI184" s="35" t="str">
        <f t="shared" si="129"/>
        <v/>
      </c>
      <c r="AJ184" s="23" t="str">
        <f t="array" ref="AJ184">IFERROR(SMALL(IF(U$1:U$1000="BEGIN",ROW(U$1:U$1000)),ROW()-3),"")</f>
        <v/>
      </c>
      <c r="AK184" s="23" t="str">
        <f t="array" ref="AK184">IFERROR(SMALL(IF(V$1:V$1000="END",ROW(V$1:V$1000)),ROW()-3),"")</f>
        <v/>
      </c>
      <c r="AL184" s="24" t="str">
        <f t="array" ref="AL184">IF(AK184="","",MATCH(AM184,L:L,0))</f>
        <v/>
      </c>
      <c r="AM184" s="35">
        <f t="array" ref="AM184">MAX(IF((B$4:B$1000&lt;=AK184)*(B$4:B$1000&gt;=AJ184),L$4:L$1000, ""))</f>
        <v>0</v>
      </c>
      <c r="AN184" s="32" t="str">
        <f t="shared" si="136"/>
        <v/>
      </c>
      <c r="AO184" s="32" t="str">
        <f t="shared" si="137"/>
        <v/>
      </c>
      <c r="AP184" s="32" t="str">
        <f t="shared" si="138"/>
        <v/>
      </c>
      <c r="AQ184" s="32" t="str">
        <f t="shared" si="139"/>
        <v/>
      </c>
      <c r="AR184" s="32" t="str">
        <f t="shared" si="140"/>
        <v/>
      </c>
      <c r="AS184" s="32" t="str">
        <f t="shared" si="141"/>
        <v/>
      </c>
      <c r="AT184" s="32" t="str">
        <f t="shared" si="142"/>
        <v/>
      </c>
      <c r="AU184" s="34" t="str">
        <f t="shared" si="143"/>
        <v/>
      </c>
      <c r="AV184" s="32" t="str">
        <f t="shared" si="144"/>
        <v/>
      </c>
      <c r="AW184" s="32" t="str">
        <f t="shared" si="145"/>
        <v/>
      </c>
      <c r="AX184" s="32" t="str">
        <f t="shared" si="146"/>
        <v/>
      </c>
      <c r="AY184" s="32" t="str">
        <f t="shared" si="147"/>
        <v/>
      </c>
    </row>
    <row r="185" spans="1:51" x14ac:dyDescent="0.25">
      <c r="A185" s="24" t="str">
        <f t="shared" si="105"/>
        <v/>
      </c>
      <c r="B185" s="24" t="str">
        <f t="shared" si="115"/>
        <v/>
      </c>
      <c r="C185" s="32" t="str">
        <f t="shared" si="106"/>
        <v/>
      </c>
      <c r="D185" s="24" t="str">
        <f t="shared" si="107"/>
        <v/>
      </c>
      <c r="E185" s="24" t="str">
        <f t="shared" si="108"/>
        <v/>
      </c>
      <c r="F185" s="32" t="str">
        <f t="shared" si="109"/>
        <v/>
      </c>
      <c r="G185" s="32" t="str">
        <f t="shared" si="110"/>
        <v/>
      </c>
      <c r="H185" s="32" t="str">
        <f t="shared" ca="1" si="111"/>
        <v/>
      </c>
      <c r="I185" s="32" t="str">
        <f t="shared" ca="1" si="116"/>
        <v/>
      </c>
      <c r="J185" s="32" t="str">
        <f t="shared" si="112"/>
        <v/>
      </c>
      <c r="K185" s="32" t="str">
        <f>IF(ISNUMBER(A185),Profile!$V$25+Profile!$V$24*'Ri-Po'!C185,"")</f>
        <v/>
      </c>
      <c r="L185" s="32" t="str">
        <f t="shared" si="117"/>
        <v/>
      </c>
      <c r="M185" s="32" t="str">
        <f t="shared" si="113"/>
        <v/>
      </c>
      <c r="N185" s="32" t="str">
        <f t="shared" si="114"/>
        <v/>
      </c>
      <c r="O185" s="32" t="str">
        <f t="shared" si="130"/>
        <v/>
      </c>
      <c r="P185" s="32" t="str">
        <f t="shared" si="118"/>
        <v/>
      </c>
      <c r="Q185" s="32" t="str">
        <f t="shared" si="119"/>
        <v/>
      </c>
      <c r="R185" s="32" t="str">
        <f t="shared" si="131"/>
        <v/>
      </c>
      <c r="S185" s="24" t="str">
        <f t="shared" si="132"/>
        <v/>
      </c>
      <c r="T185" s="24" t="str">
        <f t="shared" si="133"/>
        <v/>
      </c>
      <c r="U185" s="24" t="str">
        <f t="shared" si="134"/>
        <v/>
      </c>
      <c r="V185" s="24" t="str">
        <f t="shared" si="135"/>
        <v/>
      </c>
      <c r="W185" s="23" t="str">
        <f t="array" ref="W185">IFERROR(SMALL(IF(S$1:S$1000="BEGIN",ROW(S$1:S$1000)),ROW()-3),"")</f>
        <v/>
      </c>
      <c r="X185" s="23" t="str">
        <f t="array" ref="X185">IFERROR(SMALL(IF(T$1:T$1000="END",ROW(T$1:T$1000)),ROW()-3),"")</f>
        <v/>
      </c>
      <c r="Y185" s="33" t="str">
        <f t="array" ref="Y185">IF(ISNUMBER(W185),MAX(IF((B$4:B$1000&lt;=X185)*(B$4:B$1000&gt;=W185),I$4:I$1000, "")),"")</f>
        <v/>
      </c>
      <c r="Z185" s="33" t="str">
        <f t="shared" si="120"/>
        <v/>
      </c>
      <c r="AA185" s="32" t="str">
        <f t="shared" si="121"/>
        <v/>
      </c>
      <c r="AB185" s="32" t="str">
        <f t="shared" si="122"/>
        <v/>
      </c>
      <c r="AC185" s="32" t="str">
        <f t="shared" si="123"/>
        <v/>
      </c>
      <c r="AD185" s="32" t="str">
        <f t="shared" si="124"/>
        <v/>
      </c>
      <c r="AE185" s="34" t="str">
        <f t="shared" si="125"/>
        <v/>
      </c>
      <c r="AF185" s="32" t="str">
        <f t="shared" si="126"/>
        <v/>
      </c>
      <c r="AG185" s="32" t="str">
        <f t="shared" si="127"/>
        <v/>
      </c>
      <c r="AH185" s="32" t="str">
        <f t="shared" si="128"/>
        <v/>
      </c>
      <c r="AI185" s="35" t="str">
        <f t="shared" si="129"/>
        <v/>
      </c>
      <c r="AJ185" s="23" t="str">
        <f t="array" ref="AJ185">IFERROR(SMALL(IF(U$1:U$1000="BEGIN",ROW(U$1:U$1000)),ROW()-3),"")</f>
        <v/>
      </c>
      <c r="AK185" s="23" t="str">
        <f t="array" ref="AK185">IFERROR(SMALL(IF(V$1:V$1000="END",ROW(V$1:V$1000)),ROW()-3),"")</f>
        <v/>
      </c>
      <c r="AL185" s="24" t="str">
        <f t="array" ref="AL185">IF(AK185="","",MATCH(AM185,L:L,0))</f>
        <v/>
      </c>
      <c r="AM185" s="35">
        <f t="array" ref="AM185">MAX(IF((B$4:B$1000&lt;=AK185)*(B$4:B$1000&gt;=AJ185),L$4:L$1000, ""))</f>
        <v>0</v>
      </c>
      <c r="AN185" s="32" t="str">
        <f t="shared" si="136"/>
        <v/>
      </c>
      <c r="AO185" s="32" t="str">
        <f t="shared" si="137"/>
        <v/>
      </c>
      <c r="AP185" s="32" t="str">
        <f t="shared" si="138"/>
        <v/>
      </c>
      <c r="AQ185" s="32" t="str">
        <f t="shared" si="139"/>
        <v/>
      </c>
      <c r="AR185" s="32" t="str">
        <f t="shared" si="140"/>
        <v/>
      </c>
      <c r="AS185" s="32" t="str">
        <f t="shared" si="141"/>
        <v/>
      </c>
      <c r="AT185" s="32" t="str">
        <f t="shared" si="142"/>
        <v/>
      </c>
      <c r="AU185" s="34" t="str">
        <f t="shared" si="143"/>
        <v/>
      </c>
      <c r="AV185" s="32" t="str">
        <f t="shared" si="144"/>
        <v/>
      </c>
      <c r="AW185" s="32" t="str">
        <f t="shared" si="145"/>
        <v/>
      </c>
      <c r="AX185" s="32" t="str">
        <f t="shared" si="146"/>
        <v/>
      </c>
      <c r="AY185" s="32" t="str">
        <f t="shared" si="147"/>
        <v/>
      </c>
    </row>
    <row r="186" spans="1:51" x14ac:dyDescent="0.25">
      <c r="A186" s="24" t="str">
        <f t="shared" si="105"/>
        <v/>
      </c>
      <c r="B186" s="24" t="str">
        <f t="shared" si="115"/>
        <v/>
      </c>
      <c r="C186" s="32" t="str">
        <f t="shared" si="106"/>
        <v/>
      </c>
      <c r="D186" s="24" t="str">
        <f t="shared" si="107"/>
        <v/>
      </c>
      <c r="E186" s="24" t="str">
        <f t="shared" si="108"/>
        <v/>
      </c>
      <c r="F186" s="32" t="str">
        <f t="shared" si="109"/>
        <v/>
      </c>
      <c r="G186" s="32" t="str">
        <f t="shared" si="110"/>
        <v/>
      </c>
      <c r="H186" s="32" t="str">
        <f t="shared" ca="1" si="111"/>
        <v/>
      </c>
      <c r="I186" s="32" t="str">
        <f t="shared" ca="1" si="116"/>
        <v/>
      </c>
      <c r="J186" s="32" t="str">
        <f t="shared" si="112"/>
        <v/>
      </c>
      <c r="K186" s="32" t="str">
        <f>IF(ISNUMBER(A186),Profile!$V$25+Profile!$V$24*'Ri-Po'!C186,"")</f>
        <v/>
      </c>
      <c r="L186" s="32" t="str">
        <f t="shared" si="117"/>
        <v/>
      </c>
      <c r="M186" s="32" t="str">
        <f t="shared" si="113"/>
        <v/>
      </c>
      <c r="N186" s="32" t="str">
        <f t="shared" si="114"/>
        <v/>
      </c>
      <c r="O186" s="32" t="str">
        <f t="shared" si="130"/>
        <v/>
      </c>
      <c r="P186" s="32" t="str">
        <f t="shared" si="118"/>
        <v/>
      </c>
      <c r="Q186" s="32" t="str">
        <f t="shared" si="119"/>
        <v/>
      </c>
      <c r="R186" s="32" t="str">
        <f t="shared" si="131"/>
        <v/>
      </c>
      <c r="S186" s="24" t="str">
        <f t="shared" si="132"/>
        <v/>
      </c>
      <c r="T186" s="24" t="str">
        <f t="shared" si="133"/>
        <v/>
      </c>
      <c r="U186" s="24" t="str">
        <f t="shared" si="134"/>
        <v/>
      </c>
      <c r="V186" s="24" t="str">
        <f t="shared" si="135"/>
        <v/>
      </c>
      <c r="W186" s="23" t="str">
        <f t="array" ref="W186">IFERROR(SMALL(IF(S$1:S$1000="BEGIN",ROW(S$1:S$1000)),ROW()-3),"")</f>
        <v/>
      </c>
      <c r="X186" s="23" t="str">
        <f t="array" ref="X186">IFERROR(SMALL(IF(T$1:T$1000="END",ROW(T$1:T$1000)),ROW()-3),"")</f>
        <v/>
      </c>
      <c r="Y186" s="33" t="str">
        <f t="array" ref="Y186">IF(ISNUMBER(W186),MAX(IF((B$4:B$1000&lt;=X186)*(B$4:B$1000&gt;=W186),I$4:I$1000, "")),"")</f>
        <v/>
      </c>
      <c r="Z186" s="33" t="str">
        <f t="shared" si="120"/>
        <v/>
      </c>
      <c r="AA186" s="32" t="str">
        <f t="shared" si="121"/>
        <v/>
      </c>
      <c r="AB186" s="32" t="str">
        <f t="shared" si="122"/>
        <v/>
      </c>
      <c r="AC186" s="32" t="str">
        <f t="shared" si="123"/>
        <v/>
      </c>
      <c r="AD186" s="32" t="str">
        <f t="shared" si="124"/>
        <v/>
      </c>
      <c r="AE186" s="34" t="str">
        <f t="shared" si="125"/>
        <v/>
      </c>
      <c r="AF186" s="32" t="str">
        <f t="shared" si="126"/>
        <v/>
      </c>
      <c r="AG186" s="32" t="str">
        <f t="shared" si="127"/>
        <v/>
      </c>
      <c r="AH186" s="32" t="str">
        <f t="shared" si="128"/>
        <v/>
      </c>
      <c r="AI186" s="35" t="str">
        <f t="shared" si="129"/>
        <v/>
      </c>
      <c r="AJ186" s="23" t="str">
        <f t="array" ref="AJ186">IFERROR(SMALL(IF(U$1:U$1000="BEGIN",ROW(U$1:U$1000)),ROW()-3),"")</f>
        <v/>
      </c>
      <c r="AK186" s="23" t="str">
        <f t="array" ref="AK186">IFERROR(SMALL(IF(V$1:V$1000="END",ROW(V$1:V$1000)),ROW()-3),"")</f>
        <v/>
      </c>
      <c r="AL186" s="24" t="str">
        <f t="array" ref="AL186">IF(AK186="","",MATCH(AM186,L:L,0))</f>
        <v/>
      </c>
      <c r="AM186" s="35">
        <f t="array" ref="AM186">MAX(IF((B$4:B$1000&lt;=AK186)*(B$4:B$1000&gt;=AJ186),L$4:L$1000, ""))</f>
        <v>0</v>
      </c>
      <c r="AN186" s="32" t="str">
        <f t="shared" si="136"/>
        <v/>
      </c>
      <c r="AO186" s="32" t="str">
        <f t="shared" si="137"/>
        <v/>
      </c>
      <c r="AP186" s="32" t="str">
        <f t="shared" si="138"/>
        <v/>
      </c>
      <c r="AQ186" s="32" t="str">
        <f t="shared" si="139"/>
        <v/>
      </c>
      <c r="AR186" s="32" t="str">
        <f t="shared" si="140"/>
        <v/>
      </c>
      <c r="AS186" s="32" t="str">
        <f t="shared" si="141"/>
        <v/>
      </c>
      <c r="AT186" s="32" t="str">
        <f t="shared" si="142"/>
        <v/>
      </c>
      <c r="AU186" s="34" t="str">
        <f t="shared" si="143"/>
        <v/>
      </c>
      <c r="AV186" s="32" t="str">
        <f t="shared" si="144"/>
        <v/>
      </c>
      <c r="AW186" s="32" t="str">
        <f t="shared" si="145"/>
        <v/>
      </c>
      <c r="AX186" s="32" t="str">
        <f t="shared" si="146"/>
        <v/>
      </c>
      <c r="AY186" s="32" t="str">
        <f t="shared" si="147"/>
        <v/>
      </c>
    </row>
    <row r="187" spans="1:51" x14ac:dyDescent="0.25">
      <c r="A187" s="24" t="str">
        <f t="shared" si="105"/>
        <v/>
      </c>
      <c r="B187" s="24" t="str">
        <f t="shared" si="115"/>
        <v/>
      </c>
      <c r="C187" s="32" t="str">
        <f t="shared" si="106"/>
        <v/>
      </c>
      <c r="D187" s="24" t="str">
        <f t="shared" si="107"/>
        <v/>
      </c>
      <c r="E187" s="24" t="str">
        <f t="shared" si="108"/>
        <v/>
      </c>
      <c r="F187" s="32" t="str">
        <f t="shared" si="109"/>
        <v/>
      </c>
      <c r="G187" s="32" t="str">
        <f t="shared" si="110"/>
        <v/>
      </c>
      <c r="H187" s="32" t="str">
        <f t="shared" ca="1" si="111"/>
        <v/>
      </c>
      <c r="I187" s="32" t="str">
        <f t="shared" ca="1" si="116"/>
        <v/>
      </c>
      <c r="J187" s="32" t="str">
        <f t="shared" si="112"/>
        <v/>
      </c>
      <c r="K187" s="32" t="str">
        <f>IF(ISNUMBER(A187),Profile!$V$25+Profile!$V$24*'Ri-Po'!C187,"")</f>
        <v/>
      </c>
      <c r="L187" s="32" t="str">
        <f t="shared" si="117"/>
        <v/>
      </c>
      <c r="M187" s="32" t="str">
        <f t="shared" si="113"/>
        <v/>
      </c>
      <c r="N187" s="32" t="str">
        <f t="shared" si="114"/>
        <v/>
      </c>
      <c r="O187" s="32" t="str">
        <f t="shared" si="130"/>
        <v/>
      </c>
      <c r="P187" s="32" t="str">
        <f t="shared" si="118"/>
        <v/>
      </c>
      <c r="Q187" s="32" t="str">
        <f t="shared" si="119"/>
        <v/>
      </c>
      <c r="R187" s="32" t="str">
        <f t="shared" si="131"/>
        <v/>
      </c>
      <c r="S187" s="24" t="str">
        <f t="shared" si="132"/>
        <v/>
      </c>
      <c r="T187" s="24" t="str">
        <f t="shared" si="133"/>
        <v/>
      </c>
      <c r="U187" s="24" t="str">
        <f t="shared" si="134"/>
        <v/>
      </c>
      <c r="V187" s="24" t="str">
        <f t="shared" si="135"/>
        <v/>
      </c>
      <c r="W187" s="23" t="str">
        <f t="array" ref="W187">IFERROR(SMALL(IF(S$1:S$1000="BEGIN",ROW(S$1:S$1000)),ROW()-3),"")</f>
        <v/>
      </c>
      <c r="X187" s="23" t="str">
        <f t="array" ref="X187">IFERROR(SMALL(IF(T$1:T$1000="END",ROW(T$1:T$1000)),ROW()-3),"")</f>
        <v/>
      </c>
      <c r="Y187" s="33" t="str">
        <f t="array" ref="Y187">IF(ISNUMBER(W187),MAX(IF((B$4:B$1000&lt;=X187)*(B$4:B$1000&gt;=W187),I$4:I$1000, "")),"")</f>
        <v/>
      </c>
      <c r="Z187" s="33" t="str">
        <f t="shared" si="120"/>
        <v/>
      </c>
      <c r="AA187" s="32" t="str">
        <f t="shared" si="121"/>
        <v/>
      </c>
      <c r="AB187" s="32" t="str">
        <f t="shared" si="122"/>
        <v/>
      </c>
      <c r="AC187" s="32" t="str">
        <f t="shared" si="123"/>
        <v/>
      </c>
      <c r="AD187" s="32" t="str">
        <f t="shared" si="124"/>
        <v/>
      </c>
      <c r="AE187" s="34" t="str">
        <f t="shared" si="125"/>
        <v/>
      </c>
      <c r="AF187" s="32" t="str">
        <f t="shared" si="126"/>
        <v/>
      </c>
      <c r="AG187" s="32" t="str">
        <f t="shared" si="127"/>
        <v/>
      </c>
      <c r="AH187" s="32" t="str">
        <f t="shared" si="128"/>
        <v/>
      </c>
      <c r="AI187" s="35" t="str">
        <f t="shared" si="129"/>
        <v/>
      </c>
      <c r="AJ187" s="23" t="str">
        <f t="array" ref="AJ187">IFERROR(SMALL(IF(U$1:U$1000="BEGIN",ROW(U$1:U$1000)),ROW()-3),"")</f>
        <v/>
      </c>
      <c r="AK187" s="23" t="str">
        <f t="array" ref="AK187">IFERROR(SMALL(IF(V$1:V$1000="END",ROW(V$1:V$1000)),ROW()-3),"")</f>
        <v/>
      </c>
      <c r="AL187" s="24" t="str">
        <f t="array" ref="AL187">IF(AK187="","",MATCH(AM187,L:L,0))</f>
        <v/>
      </c>
      <c r="AM187" s="35">
        <f t="array" ref="AM187">MAX(IF((B$4:B$1000&lt;=AK187)*(B$4:B$1000&gt;=AJ187),L$4:L$1000, ""))</f>
        <v>0</v>
      </c>
      <c r="AN187" s="32" t="str">
        <f t="shared" si="136"/>
        <v/>
      </c>
      <c r="AO187" s="32" t="str">
        <f t="shared" si="137"/>
        <v/>
      </c>
      <c r="AP187" s="32" t="str">
        <f t="shared" si="138"/>
        <v/>
      </c>
      <c r="AQ187" s="32" t="str">
        <f t="shared" si="139"/>
        <v/>
      </c>
      <c r="AR187" s="32" t="str">
        <f t="shared" si="140"/>
        <v/>
      </c>
      <c r="AS187" s="32" t="str">
        <f t="shared" si="141"/>
        <v/>
      </c>
      <c r="AT187" s="32" t="str">
        <f t="shared" si="142"/>
        <v/>
      </c>
      <c r="AU187" s="34" t="str">
        <f t="shared" si="143"/>
        <v/>
      </c>
      <c r="AV187" s="32" t="str">
        <f t="shared" si="144"/>
        <v/>
      </c>
      <c r="AW187" s="32" t="str">
        <f t="shared" si="145"/>
        <v/>
      </c>
      <c r="AX187" s="32" t="str">
        <f t="shared" si="146"/>
        <v/>
      </c>
      <c r="AY187" s="32" t="str">
        <f t="shared" si="147"/>
        <v/>
      </c>
    </row>
    <row r="188" spans="1:51" x14ac:dyDescent="0.25">
      <c r="A188" s="24" t="str">
        <f t="shared" si="105"/>
        <v/>
      </c>
      <c r="B188" s="24" t="str">
        <f t="shared" si="115"/>
        <v/>
      </c>
      <c r="C188" s="32" t="str">
        <f t="shared" si="106"/>
        <v/>
      </c>
      <c r="D188" s="24" t="str">
        <f t="shared" si="107"/>
        <v/>
      </c>
      <c r="E188" s="24" t="str">
        <f t="shared" si="108"/>
        <v/>
      </c>
      <c r="F188" s="32" t="str">
        <f t="shared" si="109"/>
        <v/>
      </c>
      <c r="G188" s="32" t="str">
        <f t="shared" si="110"/>
        <v/>
      </c>
      <c r="H188" s="32" t="str">
        <f t="shared" ca="1" si="111"/>
        <v/>
      </c>
      <c r="I188" s="32" t="str">
        <f t="shared" ca="1" si="116"/>
        <v/>
      </c>
      <c r="J188" s="32" t="str">
        <f t="shared" si="112"/>
        <v/>
      </c>
      <c r="K188" s="32" t="str">
        <f>IF(ISNUMBER(A188),Profile!$V$25+Profile!$V$24*'Ri-Po'!C188,"")</f>
        <v/>
      </c>
      <c r="L188" s="32" t="str">
        <f t="shared" si="117"/>
        <v/>
      </c>
      <c r="M188" s="32" t="str">
        <f t="shared" si="113"/>
        <v/>
      </c>
      <c r="N188" s="32" t="str">
        <f t="shared" si="114"/>
        <v/>
      </c>
      <c r="O188" s="32" t="str">
        <f t="shared" si="130"/>
        <v/>
      </c>
      <c r="P188" s="32" t="str">
        <f t="shared" si="118"/>
        <v/>
      </c>
      <c r="Q188" s="32" t="str">
        <f t="shared" si="119"/>
        <v/>
      </c>
      <c r="R188" s="32" t="str">
        <f t="shared" si="131"/>
        <v/>
      </c>
      <c r="S188" s="24" t="str">
        <f t="shared" si="132"/>
        <v/>
      </c>
      <c r="T188" s="24" t="str">
        <f t="shared" si="133"/>
        <v/>
      </c>
      <c r="U188" s="24" t="str">
        <f t="shared" si="134"/>
        <v/>
      </c>
      <c r="V188" s="24" t="str">
        <f t="shared" si="135"/>
        <v/>
      </c>
      <c r="W188" s="23" t="str">
        <f t="array" ref="W188">IFERROR(SMALL(IF(S$1:S$1000="BEGIN",ROW(S$1:S$1000)),ROW()-3),"")</f>
        <v/>
      </c>
      <c r="X188" s="23" t="str">
        <f t="array" ref="X188">IFERROR(SMALL(IF(T$1:T$1000="END",ROW(T$1:T$1000)),ROW()-3),"")</f>
        <v/>
      </c>
      <c r="Y188" s="33" t="str">
        <f t="array" ref="Y188">IF(ISNUMBER(W188),MAX(IF((B$4:B$1000&lt;=X188)*(B$4:B$1000&gt;=W188),I$4:I$1000, "")),"")</f>
        <v/>
      </c>
      <c r="Z188" s="33" t="str">
        <f t="shared" si="120"/>
        <v/>
      </c>
      <c r="AA188" s="32" t="str">
        <f t="shared" si="121"/>
        <v/>
      </c>
      <c r="AB188" s="32" t="str">
        <f t="shared" si="122"/>
        <v/>
      </c>
      <c r="AC188" s="32" t="str">
        <f t="shared" si="123"/>
        <v/>
      </c>
      <c r="AD188" s="32" t="str">
        <f t="shared" si="124"/>
        <v/>
      </c>
      <c r="AE188" s="34" t="str">
        <f t="shared" si="125"/>
        <v/>
      </c>
      <c r="AF188" s="32" t="str">
        <f t="shared" si="126"/>
        <v/>
      </c>
      <c r="AG188" s="32" t="str">
        <f t="shared" si="127"/>
        <v/>
      </c>
      <c r="AH188" s="32" t="str">
        <f t="shared" si="128"/>
        <v/>
      </c>
      <c r="AI188" s="35" t="str">
        <f t="shared" si="129"/>
        <v/>
      </c>
      <c r="AJ188" s="23" t="str">
        <f t="array" ref="AJ188">IFERROR(SMALL(IF(U$1:U$1000="BEGIN",ROW(U$1:U$1000)),ROW()-3),"")</f>
        <v/>
      </c>
      <c r="AK188" s="23" t="str">
        <f t="array" ref="AK188">IFERROR(SMALL(IF(V$1:V$1000="END",ROW(V$1:V$1000)),ROW()-3),"")</f>
        <v/>
      </c>
      <c r="AL188" s="24" t="str">
        <f t="array" ref="AL188">IF(AK188="","",MATCH(AM188,L:L,0))</f>
        <v/>
      </c>
      <c r="AM188" s="35">
        <f t="array" ref="AM188">MAX(IF((B$4:B$1000&lt;=AK188)*(B$4:B$1000&gt;=AJ188),L$4:L$1000, ""))</f>
        <v>0</v>
      </c>
      <c r="AN188" s="32" t="str">
        <f t="shared" si="136"/>
        <v/>
      </c>
      <c r="AO188" s="32" t="str">
        <f t="shared" si="137"/>
        <v/>
      </c>
      <c r="AP188" s="32" t="str">
        <f t="shared" si="138"/>
        <v/>
      </c>
      <c r="AQ188" s="32" t="str">
        <f t="shared" si="139"/>
        <v/>
      </c>
      <c r="AR188" s="32" t="str">
        <f t="shared" si="140"/>
        <v/>
      </c>
      <c r="AS188" s="32" t="str">
        <f t="shared" si="141"/>
        <v/>
      </c>
      <c r="AT188" s="32" t="str">
        <f t="shared" si="142"/>
        <v/>
      </c>
      <c r="AU188" s="34" t="str">
        <f t="shared" si="143"/>
        <v/>
      </c>
      <c r="AV188" s="32" t="str">
        <f t="shared" si="144"/>
        <v/>
      </c>
      <c r="AW188" s="32" t="str">
        <f t="shared" si="145"/>
        <v/>
      </c>
      <c r="AX188" s="32" t="str">
        <f t="shared" si="146"/>
        <v/>
      </c>
      <c r="AY188" s="32" t="str">
        <f t="shared" si="147"/>
        <v/>
      </c>
    </row>
    <row r="189" spans="1:51" x14ac:dyDescent="0.25">
      <c r="A189" s="24" t="str">
        <f t="shared" si="105"/>
        <v/>
      </c>
      <c r="B189" s="24" t="str">
        <f t="shared" si="115"/>
        <v/>
      </c>
      <c r="C189" s="32" t="str">
        <f t="shared" si="106"/>
        <v/>
      </c>
      <c r="D189" s="24" t="str">
        <f t="shared" si="107"/>
        <v/>
      </c>
      <c r="E189" s="24" t="str">
        <f t="shared" si="108"/>
        <v/>
      </c>
      <c r="F189" s="32" t="str">
        <f t="shared" si="109"/>
        <v/>
      </c>
      <c r="G189" s="32" t="str">
        <f t="shared" si="110"/>
        <v/>
      </c>
      <c r="H189" s="32" t="str">
        <f t="shared" ca="1" si="111"/>
        <v/>
      </c>
      <c r="I189" s="32" t="str">
        <f t="shared" ca="1" si="116"/>
        <v/>
      </c>
      <c r="J189" s="32" t="str">
        <f t="shared" si="112"/>
        <v/>
      </c>
      <c r="K189" s="32" t="str">
        <f>IF(ISNUMBER(A189),Profile!$V$25+Profile!$V$24*'Ri-Po'!C189,"")</f>
        <v/>
      </c>
      <c r="L189" s="32" t="str">
        <f t="shared" si="117"/>
        <v/>
      </c>
      <c r="M189" s="32" t="str">
        <f t="shared" si="113"/>
        <v/>
      </c>
      <c r="N189" s="32" t="str">
        <f t="shared" si="114"/>
        <v/>
      </c>
      <c r="O189" s="32" t="str">
        <f t="shared" si="130"/>
        <v/>
      </c>
      <c r="P189" s="32" t="str">
        <f t="shared" si="118"/>
        <v/>
      </c>
      <c r="Q189" s="32" t="str">
        <f t="shared" si="119"/>
        <v/>
      </c>
      <c r="R189" s="32" t="str">
        <f t="shared" si="131"/>
        <v/>
      </c>
      <c r="S189" s="24" t="str">
        <f t="shared" si="132"/>
        <v/>
      </c>
      <c r="T189" s="24" t="str">
        <f t="shared" si="133"/>
        <v/>
      </c>
      <c r="U189" s="24" t="str">
        <f t="shared" si="134"/>
        <v/>
      </c>
      <c r="V189" s="24" t="str">
        <f t="shared" si="135"/>
        <v/>
      </c>
      <c r="W189" s="23" t="str">
        <f t="array" ref="W189">IFERROR(SMALL(IF(S$1:S$1000="BEGIN",ROW(S$1:S$1000)),ROW()-3),"")</f>
        <v/>
      </c>
      <c r="X189" s="23" t="str">
        <f t="array" ref="X189">IFERROR(SMALL(IF(T$1:T$1000="END",ROW(T$1:T$1000)),ROW()-3),"")</f>
        <v/>
      </c>
      <c r="Y189" s="33" t="str">
        <f t="array" ref="Y189">IF(ISNUMBER(W189),MAX(IF((B$4:B$1000&lt;=X189)*(B$4:B$1000&gt;=W189),I$4:I$1000, "")),"")</f>
        <v/>
      </c>
      <c r="Z189" s="33" t="str">
        <f t="shared" si="120"/>
        <v/>
      </c>
      <c r="AA189" s="32" t="str">
        <f t="shared" si="121"/>
        <v/>
      </c>
      <c r="AB189" s="32" t="str">
        <f t="shared" si="122"/>
        <v/>
      </c>
      <c r="AC189" s="32" t="str">
        <f t="shared" si="123"/>
        <v/>
      </c>
      <c r="AD189" s="32" t="str">
        <f t="shared" si="124"/>
        <v/>
      </c>
      <c r="AE189" s="34" t="str">
        <f t="shared" si="125"/>
        <v/>
      </c>
      <c r="AF189" s="32" t="str">
        <f t="shared" si="126"/>
        <v/>
      </c>
      <c r="AG189" s="32" t="str">
        <f t="shared" si="127"/>
        <v/>
      </c>
      <c r="AH189" s="32" t="str">
        <f t="shared" si="128"/>
        <v/>
      </c>
      <c r="AI189" s="35" t="str">
        <f t="shared" si="129"/>
        <v/>
      </c>
      <c r="AJ189" s="23" t="str">
        <f t="array" ref="AJ189">IFERROR(SMALL(IF(U$1:U$1000="BEGIN",ROW(U$1:U$1000)),ROW()-3),"")</f>
        <v/>
      </c>
      <c r="AK189" s="23" t="str">
        <f t="array" ref="AK189">IFERROR(SMALL(IF(V$1:V$1000="END",ROW(V$1:V$1000)),ROW()-3),"")</f>
        <v/>
      </c>
      <c r="AL189" s="24" t="str">
        <f t="array" ref="AL189">IF(AK189="","",MATCH(AM189,L:L,0))</f>
        <v/>
      </c>
      <c r="AM189" s="35">
        <f t="array" ref="AM189">MAX(IF((B$4:B$1000&lt;=AK189)*(B$4:B$1000&gt;=AJ189),L$4:L$1000, ""))</f>
        <v>0</v>
      </c>
      <c r="AN189" s="32" t="str">
        <f t="shared" si="136"/>
        <v/>
      </c>
      <c r="AO189" s="32" t="str">
        <f t="shared" si="137"/>
        <v/>
      </c>
      <c r="AP189" s="32" t="str">
        <f t="shared" si="138"/>
        <v/>
      </c>
      <c r="AQ189" s="32" t="str">
        <f t="shared" si="139"/>
        <v/>
      </c>
      <c r="AR189" s="32" t="str">
        <f t="shared" si="140"/>
        <v/>
      </c>
      <c r="AS189" s="32" t="str">
        <f t="shared" si="141"/>
        <v/>
      </c>
      <c r="AT189" s="32" t="str">
        <f t="shared" si="142"/>
        <v/>
      </c>
      <c r="AU189" s="34" t="str">
        <f t="shared" si="143"/>
        <v/>
      </c>
      <c r="AV189" s="32" t="str">
        <f t="shared" si="144"/>
        <v/>
      </c>
      <c r="AW189" s="32" t="str">
        <f t="shared" si="145"/>
        <v/>
      </c>
      <c r="AX189" s="32" t="str">
        <f t="shared" si="146"/>
        <v/>
      </c>
      <c r="AY189" s="32" t="str">
        <f t="shared" si="147"/>
        <v/>
      </c>
    </row>
    <row r="190" spans="1:51" x14ac:dyDescent="0.25">
      <c r="A190" s="24" t="str">
        <f t="shared" si="105"/>
        <v/>
      </c>
      <c r="B190" s="24" t="str">
        <f t="shared" si="115"/>
        <v/>
      </c>
      <c r="C190" s="32" t="str">
        <f t="shared" si="106"/>
        <v/>
      </c>
      <c r="D190" s="24" t="str">
        <f t="shared" si="107"/>
        <v/>
      </c>
      <c r="E190" s="24" t="str">
        <f t="shared" si="108"/>
        <v/>
      </c>
      <c r="F190" s="32" t="str">
        <f t="shared" si="109"/>
        <v/>
      </c>
      <c r="G190" s="32" t="str">
        <f t="shared" si="110"/>
        <v/>
      </c>
      <c r="H190" s="32" t="str">
        <f t="shared" ca="1" si="111"/>
        <v/>
      </c>
      <c r="I190" s="32" t="str">
        <f t="shared" ca="1" si="116"/>
        <v/>
      </c>
      <c r="J190" s="32" t="str">
        <f t="shared" si="112"/>
        <v/>
      </c>
      <c r="K190" s="32" t="str">
        <f>IF(ISNUMBER(A190),Profile!$V$25+Profile!$V$24*'Ri-Po'!C190,"")</f>
        <v/>
      </c>
      <c r="L190" s="32" t="str">
        <f t="shared" si="117"/>
        <v/>
      </c>
      <c r="M190" s="32" t="str">
        <f t="shared" si="113"/>
        <v/>
      </c>
      <c r="N190" s="32" t="str">
        <f t="shared" si="114"/>
        <v/>
      </c>
      <c r="O190" s="32" t="str">
        <f t="shared" si="130"/>
        <v/>
      </c>
      <c r="P190" s="32" t="str">
        <f t="shared" si="118"/>
        <v/>
      </c>
      <c r="Q190" s="32" t="str">
        <f t="shared" si="119"/>
        <v/>
      </c>
      <c r="R190" s="32" t="str">
        <f t="shared" si="131"/>
        <v/>
      </c>
      <c r="S190" s="24" t="str">
        <f t="shared" si="132"/>
        <v/>
      </c>
      <c r="T190" s="24" t="str">
        <f t="shared" si="133"/>
        <v/>
      </c>
      <c r="U190" s="24" t="str">
        <f t="shared" si="134"/>
        <v/>
      </c>
      <c r="V190" s="24" t="str">
        <f t="shared" si="135"/>
        <v/>
      </c>
      <c r="W190" s="23" t="str">
        <f t="array" ref="W190">IFERROR(SMALL(IF(S$1:S$1000="BEGIN",ROW(S$1:S$1000)),ROW()-3),"")</f>
        <v/>
      </c>
      <c r="X190" s="23" t="str">
        <f t="array" ref="X190">IFERROR(SMALL(IF(T$1:T$1000="END",ROW(T$1:T$1000)),ROW()-3),"")</f>
        <v/>
      </c>
      <c r="Y190" s="33" t="str">
        <f t="array" ref="Y190">IF(ISNUMBER(W190),MAX(IF((B$4:B$1000&lt;=X190)*(B$4:B$1000&gt;=W190),I$4:I$1000, "")),"")</f>
        <v/>
      </c>
      <c r="Z190" s="33" t="str">
        <f t="shared" si="120"/>
        <v/>
      </c>
      <c r="AA190" s="32" t="str">
        <f t="shared" si="121"/>
        <v/>
      </c>
      <c r="AB190" s="32" t="str">
        <f t="shared" si="122"/>
        <v/>
      </c>
      <c r="AC190" s="32" t="str">
        <f t="shared" si="123"/>
        <v/>
      </c>
      <c r="AD190" s="32" t="str">
        <f t="shared" si="124"/>
        <v/>
      </c>
      <c r="AE190" s="34" t="str">
        <f t="shared" si="125"/>
        <v/>
      </c>
      <c r="AF190" s="32" t="str">
        <f t="shared" si="126"/>
        <v/>
      </c>
      <c r="AG190" s="32" t="str">
        <f t="shared" si="127"/>
        <v/>
      </c>
      <c r="AH190" s="32" t="str">
        <f t="shared" si="128"/>
        <v/>
      </c>
      <c r="AI190" s="35" t="str">
        <f t="shared" si="129"/>
        <v/>
      </c>
      <c r="AJ190" s="23" t="str">
        <f t="array" ref="AJ190">IFERROR(SMALL(IF(U$1:U$1000="BEGIN",ROW(U$1:U$1000)),ROW()-3),"")</f>
        <v/>
      </c>
      <c r="AK190" s="23" t="str">
        <f t="array" ref="AK190">IFERROR(SMALL(IF(V$1:V$1000="END",ROW(V$1:V$1000)),ROW()-3),"")</f>
        <v/>
      </c>
      <c r="AL190" s="24" t="str">
        <f t="array" ref="AL190">IF(AK190="","",MATCH(AM190,L:L,0))</f>
        <v/>
      </c>
      <c r="AM190" s="35">
        <f t="array" ref="AM190">MAX(IF((B$4:B$1000&lt;=AK190)*(B$4:B$1000&gt;=AJ190),L$4:L$1000, ""))</f>
        <v>0</v>
      </c>
      <c r="AN190" s="32" t="str">
        <f t="shared" si="136"/>
        <v/>
      </c>
      <c r="AO190" s="32" t="str">
        <f t="shared" si="137"/>
        <v/>
      </c>
      <c r="AP190" s="32" t="str">
        <f t="shared" si="138"/>
        <v/>
      </c>
      <c r="AQ190" s="32" t="str">
        <f t="shared" si="139"/>
        <v/>
      </c>
      <c r="AR190" s="32" t="str">
        <f t="shared" si="140"/>
        <v/>
      </c>
      <c r="AS190" s="32" t="str">
        <f t="shared" si="141"/>
        <v/>
      </c>
      <c r="AT190" s="32" t="str">
        <f t="shared" si="142"/>
        <v/>
      </c>
      <c r="AU190" s="34" t="str">
        <f t="shared" si="143"/>
        <v/>
      </c>
      <c r="AV190" s="32" t="str">
        <f t="shared" si="144"/>
        <v/>
      </c>
      <c r="AW190" s="32" t="str">
        <f t="shared" si="145"/>
        <v/>
      </c>
      <c r="AX190" s="32" t="str">
        <f t="shared" si="146"/>
        <v/>
      </c>
      <c r="AY190" s="32" t="str">
        <f t="shared" si="147"/>
        <v/>
      </c>
    </row>
    <row r="191" spans="1:51" x14ac:dyDescent="0.25">
      <c r="A191" s="24" t="str">
        <f t="shared" si="105"/>
        <v/>
      </c>
      <c r="B191" s="24" t="str">
        <f t="shared" si="115"/>
        <v/>
      </c>
      <c r="C191" s="32" t="str">
        <f t="shared" si="106"/>
        <v/>
      </c>
      <c r="D191" s="24" t="str">
        <f t="shared" si="107"/>
        <v/>
      </c>
      <c r="E191" s="24" t="str">
        <f t="shared" si="108"/>
        <v/>
      </c>
      <c r="F191" s="32" t="str">
        <f t="shared" si="109"/>
        <v/>
      </c>
      <c r="G191" s="32" t="str">
        <f t="shared" si="110"/>
        <v/>
      </c>
      <c r="H191" s="32" t="str">
        <f t="shared" ca="1" si="111"/>
        <v/>
      </c>
      <c r="I191" s="32" t="str">
        <f t="shared" ca="1" si="116"/>
        <v/>
      </c>
      <c r="J191" s="32" t="str">
        <f t="shared" si="112"/>
        <v/>
      </c>
      <c r="K191" s="32" t="str">
        <f>IF(ISNUMBER(A191),Profile!$V$25+Profile!$V$24*'Ri-Po'!C191,"")</f>
        <v/>
      </c>
      <c r="L191" s="32" t="str">
        <f t="shared" si="117"/>
        <v/>
      </c>
      <c r="M191" s="32" t="str">
        <f t="shared" si="113"/>
        <v/>
      </c>
      <c r="N191" s="32" t="str">
        <f t="shared" si="114"/>
        <v/>
      </c>
      <c r="O191" s="32" t="str">
        <f t="shared" si="130"/>
        <v/>
      </c>
      <c r="P191" s="32" t="str">
        <f t="shared" si="118"/>
        <v/>
      </c>
      <c r="Q191" s="32" t="str">
        <f t="shared" si="119"/>
        <v/>
      </c>
      <c r="R191" s="32" t="str">
        <f t="shared" si="131"/>
        <v/>
      </c>
      <c r="S191" s="24" t="str">
        <f t="shared" si="132"/>
        <v/>
      </c>
      <c r="T191" s="24" t="str">
        <f t="shared" si="133"/>
        <v/>
      </c>
      <c r="U191" s="24" t="str">
        <f t="shared" si="134"/>
        <v/>
      </c>
      <c r="V191" s="24" t="str">
        <f t="shared" si="135"/>
        <v/>
      </c>
      <c r="W191" s="23" t="str">
        <f t="array" ref="W191">IFERROR(SMALL(IF(S$1:S$1000="BEGIN",ROW(S$1:S$1000)),ROW()-3),"")</f>
        <v/>
      </c>
      <c r="X191" s="23" t="str">
        <f t="array" ref="X191">IFERROR(SMALL(IF(T$1:T$1000="END",ROW(T$1:T$1000)),ROW()-3),"")</f>
        <v/>
      </c>
      <c r="Y191" s="33" t="str">
        <f t="array" ref="Y191">IF(ISNUMBER(W191),MAX(IF((B$4:B$1000&lt;=X191)*(B$4:B$1000&gt;=W191),I$4:I$1000, "")),"")</f>
        <v/>
      </c>
      <c r="Z191" s="33" t="str">
        <f t="shared" si="120"/>
        <v/>
      </c>
      <c r="AA191" s="32" t="str">
        <f t="shared" si="121"/>
        <v/>
      </c>
      <c r="AB191" s="32" t="str">
        <f t="shared" si="122"/>
        <v/>
      </c>
      <c r="AC191" s="32" t="str">
        <f t="shared" si="123"/>
        <v/>
      </c>
      <c r="AD191" s="32" t="str">
        <f t="shared" si="124"/>
        <v/>
      </c>
      <c r="AE191" s="34" t="str">
        <f t="shared" si="125"/>
        <v/>
      </c>
      <c r="AF191" s="32" t="str">
        <f t="shared" si="126"/>
        <v/>
      </c>
      <c r="AG191" s="32" t="str">
        <f t="shared" si="127"/>
        <v/>
      </c>
      <c r="AH191" s="32" t="str">
        <f t="shared" si="128"/>
        <v/>
      </c>
      <c r="AI191" s="35" t="str">
        <f t="shared" si="129"/>
        <v/>
      </c>
      <c r="AJ191" s="23" t="str">
        <f t="array" ref="AJ191">IFERROR(SMALL(IF(U$1:U$1000="BEGIN",ROW(U$1:U$1000)),ROW()-3),"")</f>
        <v/>
      </c>
      <c r="AK191" s="23" t="str">
        <f t="array" ref="AK191">IFERROR(SMALL(IF(V$1:V$1000="END",ROW(V$1:V$1000)),ROW()-3),"")</f>
        <v/>
      </c>
      <c r="AL191" s="24" t="str">
        <f t="array" ref="AL191">IF(AK191="","",MATCH(AM191,L:L,0))</f>
        <v/>
      </c>
      <c r="AM191" s="35">
        <f t="array" ref="AM191">MAX(IF((B$4:B$1000&lt;=AK191)*(B$4:B$1000&gt;=AJ191),L$4:L$1000, ""))</f>
        <v>0</v>
      </c>
      <c r="AN191" s="32" t="str">
        <f t="shared" si="136"/>
        <v/>
      </c>
      <c r="AO191" s="32" t="str">
        <f t="shared" si="137"/>
        <v/>
      </c>
      <c r="AP191" s="32" t="str">
        <f t="shared" si="138"/>
        <v/>
      </c>
      <c r="AQ191" s="32" t="str">
        <f t="shared" si="139"/>
        <v/>
      </c>
      <c r="AR191" s="32" t="str">
        <f t="shared" si="140"/>
        <v/>
      </c>
      <c r="AS191" s="32" t="str">
        <f t="shared" si="141"/>
        <v/>
      </c>
      <c r="AT191" s="32" t="str">
        <f t="shared" si="142"/>
        <v/>
      </c>
      <c r="AU191" s="34" t="str">
        <f t="shared" si="143"/>
        <v/>
      </c>
      <c r="AV191" s="32" t="str">
        <f t="shared" si="144"/>
        <v/>
      </c>
      <c r="AW191" s="32" t="str">
        <f t="shared" si="145"/>
        <v/>
      </c>
      <c r="AX191" s="32" t="str">
        <f t="shared" si="146"/>
        <v/>
      </c>
      <c r="AY191" s="32" t="str">
        <f t="shared" si="147"/>
        <v/>
      </c>
    </row>
    <row r="192" spans="1:51" x14ac:dyDescent="0.25">
      <c r="A192" s="24" t="str">
        <f t="shared" si="105"/>
        <v/>
      </c>
      <c r="B192" s="24" t="str">
        <f t="shared" si="115"/>
        <v/>
      </c>
      <c r="C192" s="32" t="str">
        <f t="shared" si="106"/>
        <v/>
      </c>
      <c r="D192" s="24" t="str">
        <f t="shared" si="107"/>
        <v/>
      </c>
      <c r="E192" s="24" t="str">
        <f t="shared" si="108"/>
        <v/>
      </c>
      <c r="F192" s="32" t="str">
        <f t="shared" si="109"/>
        <v/>
      </c>
      <c r="G192" s="32" t="str">
        <f t="shared" si="110"/>
        <v/>
      </c>
      <c r="H192" s="32" t="str">
        <f t="shared" ca="1" si="111"/>
        <v/>
      </c>
      <c r="I192" s="32" t="str">
        <f t="shared" ca="1" si="116"/>
        <v/>
      </c>
      <c r="J192" s="32" t="str">
        <f t="shared" si="112"/>
        <v/>
      </c>
      <c r="K192" s="32" t="str">
        <f>IF(ISNUMBER(A192),Profile!$V$25+Profile!$V$24*'Ri-Po'!C192,"")</f>
        <v/>
      </c>
      <c r="L192" s="32" t="str">
        <f t="shared" si="117"/>
        <v/>
      </c>
      <c r="M192" s="32" t="str">
        <f t="shared" si="113"/>
        <v/>
      </c>
      <c r="N192" s="32" t="str">
        <f t="shared" si="114"/>
        <v/>
      </c>
      <c r="O192" s="32" t="str">
        <f t="shared" si="130"/>
        <v/>
      </c>
      <c r="P192" s="32" t="str">
        <f t="shared" si="118"/>
        <v/>
      </c>
      <c r="Q192" s="32" t="str">
        <f t="shared" si="119"/>
        <v/>
      </c>
      <c r="R192" s="32" t="str">
        <f t="shared" si="131"/>
        <v/>
      </c>
      <c r="S192" s="24" t="str">
        <f t="shared" si="132"/>
        <v/>
      </c>
      <c r="T192" s="24" t="str">
        <f t="shared" si="133"/>
        <v/>
      </c>
      <c r="U192" s="24" t="str">
        <f t="shared" si="134"/>
        <v/>
      </c>
      <c r="V192" s="24" t="str">
        <f t="shared" si="135"/>
        <v/>
      </c>
      <c r="W192" s="23" t="str">
        <f t="array" ref="W192">IFERROR(SMALL(IF(S$1:S$1000="BEGIN",ROW(S$1:S$1000)),ROW()-3),"")</f>
        <v/>
      </c>
      <c r="X192" s="23" t="str">
        <f t="array" ref="X192">IFERROR(SMALL(IF(T$1:T$1000="END",ROW(T$1:T$1000)),ROW()-3),"")</f>
        <v/>
      </c>
      <c r="Y192" s="33" t="str">
        <f t="array" ref="Y192">IF(ISNUMBER(W192),MAX(IF((B$4:B$1000&lt;=X192)*(B$4:B$1000&gt;=W192),I$4:I$1000, "")),"")</f>
        <v/>
      </c>
      <c r="Z192" s="33" t="str">
        <f t="shared" si="120"/>
        <v/>
      </c>
      <c r="AA192" s="32" t="str">
        <f t="shared" si="121"/>
        <v/>
      </c>
      <c r="AB192" s="32" t="str">
        <f t="shared" si="122"/>
        <v/>
      </c>
      <c r="AC192" s="32" t="str">
        <f t="shared" si="123"/>
        <v/>
      </c>
      <c r="AD192" s="32" t="str">
        <f t="shared" si="124"/>
        <v/>
      </c>
      <c r="AE192" s="34" t="str">
        <f t="shared" si="125"/>
        <v/>
      </c>
      <c r="AF192" s="32" t="str">
        <f t="shared" si="126"/>
        <v/>
      </c>
      <c r="AG192" s="32" t="str">
        <f t="shared" si="127"/>
        <v/>
      </c>
      <c r="AH192" s="32" t="str">
        <f t="shared" si="128"/>
        <v/>
      </c>
      <c r="AI192" s="35" t="str">
        <f t="shared" si="129"/>
        <v/>
      </c>
      <c r="AJ192" s="23" t="str">
        <f t="array" ref="AJ192">IFERROR(SMALL(IF(U$1:U$1000="BEGIN",ROW(U$1:U$1000)),ROW()-3),"")</f>
        <v/>
      </c>
      <c r="AK192" s="23" t="str">
        <f t="array" ref="AK192">IFERROR(SMALL(IF(V$1:V$1000="END",ROW(V$1:V$1000)),ROW()-3),"")</f>
        <v/>
      </c>
      <c r="AL192" s="24" t="str">
        <f t="array" ref="AL192">IF(AK192="","",MATCH(AM192,L:L,0))</f>
        <v/>
      </c>
      <c r="AM192" s="35">
        <f t="array" ref="AM192">MAX(IF((B$4:B$1000&lt;=AK192)*(B$4:B$1000&gt;=AJ192),L$4:L$1000, ""))</f>
        <v>0</v>
      </c>
      <c r="AN192" s="32" t="str">
        <f t="shared" si="136"/>
        <v/>
      </c>
      <c r="AO192" s="32" t="str">
        <f t="shared" si="137"/>
        <v/>
      </c>
      <c r="AP192" s="32" t="str">
        <f t="shared" si="138"/>
        <v/>
      </c>
      <c r="AQ192" s="32" t="str">
        <f t="shared" si="139"/>
        <v/>
      </c>
      <c r="AR192" s="32" t="str">
        <f t="shared" si="140"/>
        <v/>
      </c>
      <c r="AS192" s="32" t="str">
        <f t="shared" si="141"/>
        <v/>
      </c>
      <c r="AT192" s="32" t="str">
        <f t="shared" si="142"/>
        <v/>
      </c>
      <c r="AU192" s="34" t="str">
        <f t="shared" si="143"/>
        <v/>
      </c>
      <c r="AV192" s="32" t="str">
        <f t="shared" si="144"/>
        <v/>
      </c>
      <c r="AW192" s="32" t="str">
        <f t="shared" si="145"/>
        <v/>
      </c>
      <c r="AX192" s="32" t="str">
        <f t="shared" si="146"/>
        <v/>
      </c>
      <c r="AY192" s="32" t="str">
        <f t="shared" si="147"/>
        <v/>
      </c>
    </row>
    <row r="193" spans="1:51" x14ac:dyDescent="0.25">
      <c r="A193" s="24" t="str">
        <f t="shared" si="105"/>
        <v/>
      </c>
      <c r="B193" s="24" t="str">
        <f t="shared" si="115"/>
        <v/>
      </c>
      <c r="C193" s="32" t="str">
        <f t="shared" si="106"/>
        <v/>
      </c>
      <c r="D193" s="24" t="str">
        <f t="shared" si="107"/>
        <v/>
      </c>
      <c r="E193" s="24" t="str">
        <f t="shared" si="108"/>
        <v/>
      </c>
      <c r="F193" s="32" t="str">
        <f t="shared" si="109"/>
        <v/>
      </c>
      <c r="G193" s="32" t="str">
        <f t="shared" si="110"/>
        <v/>
      </c>
      <c r="H193" s="32" t="str">
        <f t="shared" ca="1" si="111"/>
        <v/>
      </c>
      <c r="I193" s="32" t="str">
        <f t="shared" ca="1" si="116"/>
        <v/>
      </c>
      <c r="J193" s="32" t="str">
        <f t="shared" si="112"/>
        <v/>
      </c>
      <c r="K193" s="32" t="str">
        <f>IF(ISNUMBER(A193),Profile!$V$25+Profile!$V$24*'Ri-Po'!C193,"")</f>
        <v/>
      </c>
      <c r="L193" s="32" t="str">
        <f t="shared" si="117"/>
        <v/>
      </c>
      <c r="M193" s="32" t="str">
        <f t="shared" si="113"/>
        <v/>
      </c>
      <c r="N193" s="32" t="str">
        <f t="shared" si="114"/>
        <v/>
      </c>
      <c r="O193" s="32" t="str">
        <f t="shared" si="130"/>
        <v/>
      </c>
      <c r="P193" s="32" t="str">
        <f t="shared" si="118"/>
        <v/>
      </c>
      <c r="Q193" s="32" t="str">
        <f t="shared" si="119"/>
        <v/>
      </c>
      <c r="R193" s="32" t="str">
        <f t="shared" si="131"/>
        <v/>
      </c>
      <c r="S193" s="24" t="str">
        <f t="shared" si="132"/>
        <v/>
      </c>
      <c r="T193" s="24" t="str">
        <f t="shared" si="133"/>
        <v/>
      </c>
      <c r="U193" s="24" t="str">
        <f t="shared" si="134"/>
        <v/>
      </c>
      <c r="V193" s="24" t="str">
        <f t="shared" si="135"/>
        <v/>
      </c>
      <c r="W193" s="23" t="str">
        <f t="array" ref="W193">IFERROR(SMALL(IF(S$1:S$1000="BEGIN",ROW(S$1:S$1000)),ROW()-3),"")</f>
        <v/>
      </c>
      <c r="X193" s="23" t="str">
        <f t="array" ref="X193">IFERROR(SMALL(IF(T$1:T$1000="END",ROW(T$1:T$1000)),ROW()-3),"")</f>
        <v/>
      </c>
      <c r="Y193" s="33" t="str">
        <f t="array" ref="Y193">IF(ISNUMBER(W193),MAX(IF((B$4:B$1000&lt;=X193)*(B$4:B$1000&gt;=W193),I$4:I$1000, "")),"")</f>
        <v/>
      </c>
      <c r="Z193" s="33" t="str">
        <f t="shared" si="120"/>
        <v/>
      </c>
      <c r="AA193" s="32" t="str">
        <f t="shared" si="121"/>
        <v/>
      </c>
      <c r="AB193" s="32" t="str">
        <f t="shared" si="122"/>
        <v/>
      </c>
      <c r="AC193" s="32" t="str">
        <f t="shared" si="123"/>
        <v/>
      </c>
      <c r="AD193" s="32" t="str">
        <f t="shared" si="124"/>
        <v/>
      </c>
      <c r="AE193" s="34" t="str">
        <f t="shared" si="125"/>
        <v/>
      </c>
      <c r="AF193" s="32" t="str">
        <f t="shared" si="126"/>
        <v/>
      </c>
      <c r="AG193" s="32" t="str">
        <f t="shared" si="127"/>
        <v/>
      </c>
      <c r="AH193" s="32" t="str">
        <f t="shared" si="128"/>
        <v/>
      </c>
      <c r="AI193" s="35" t="str">
        <f t="shared" si="129"/>
        <v/>
      </c>
      <c r="AJ193" s="23" t="str">
        <f t="array" ref="AJ193">IFERROR(SMALL(IF(U$1:U$1000="BEGIN",ROW(U$1:U$1000)),ROW()-3),"")</f>
        <v/>
      </c>
      <c r="AK193" s="23" t="str">
        <f t="array" ref="AK193">IFERROR(SMALL(IF(V$1:V$1000="END",ROW(V$1:V$1000)),ROW()-3),"")</f>
        <v/>
      </c>
      <c r="AL193" s="24" t="str">
        <f t="array" ref="AL193">IF(AK193="","",MATCH(AM193,L:L,0))</f>
        <v/>
      </c>
      <c r="AM193" s="35">
        <f t="array" ref="AM193">MAX(IF((B$4:B$1000&lt;=AK193)*(B$4:B$1000&gt;=AJ193),L$4:L$1000, ""))</f>
        <v>0</v>
      </c>
      <c r="AN193" s="32" t="str">
        <f t="shared" si="136"/>
        <v/>
      </c>
      <c r="AO193" s="32" t="str">
        <f t="shared" si="137"/>
        <v/>
      </c>
      <c r="AP193" s="32" t="str">
        <f t="shared" si="138"/>
        <v/>
      </c>
      <c r="AQ193" s="32" t="str">
        <f t="shared" si="139"/>
        <v/>
      </c>
      <c r="AR193" s="32" t="str">
        <f t="shared" si="140"/>
        <v/>
      </c>
      <c r="AS193" s="32" t="str">
        <f t="shared" si="141"/>
        <v/>
      </c>
      <c r="AT193" s="32" t="str">
        <f t="shared" si="142"/>
        <v/>
      </c>
      <c r="AU193" s="34" t="str">
        <f t="shared" si="143"/>
        <v/>
      </c>
      <c r="AV193" s="32" t="str">
        <f t="shared" si="144"/>
        <v/>
      </c>
      <c r="AW193" s="32" t="str">
        <f t="shared" si="145"/>
        <v/>
      </c>
      <c r="AX193" s="32" t="str">
        <f t="shared" si="146"/>
        <v/>
      </c>
      <c r="AY193" s="32" t="str">
        <f t="shared" si="147"/>
        <v/>
      </c>
    </row>
    <row r="194" spans="1:51" x14ac:dyDescent="0.25">
      <c r="A194" s="24" t="str">
        <f t="shared" si="105"/>
        <v/>
      </c>
      <c r="B194" s="24" t="str">
        <f t="shared" si="115"/>
        <v/>
      </c>
      <c r="C194" s="32" t="str">
        <f t="shared" si="106"/>
        <v/>
      </c>
      <c r="D194" s="24" t="str">
        <f t="shared" si="107"/>
        <v/>
      </c>
      <c r="E194" s="24" t="str">
        <f t="shared" si="108"/>
        <v/>
      </c>
      <c r="F194" s="32" t="str">
        <f t="shared" si="109"/>
        <v/>
      </c>
      <c r="G194" s="32" t="str">
        <f t="shared" si="110"/>
        <v/>
      </c>
      <c r="H194" s="32" t="str">
        <f t="shared" ca="1" si="111"/>
        <v/>
      </c>
      <c r="I194" s="32" t="str">
        <f t="shared" ca="1" si="116"/>
        <v/>
      </c>
      <c r="J194" s="32" t="str">
        <f t="shared" si="112"/>
        <v/>
      </c>
      <c r="K194" s="32" t="str">
        <f>IF(ISNUMBER(A194),Profile!$V$25+Profile!$V$24*'Ri-Po'!C194,"")</f>
        <v/>
      </c>
      <c r="L194" s="32" t="str">
        <f t="shared" si="117"/>
        <v/>
      </c>
      <c r="M194" s="32" t="str">
        <f t="shared" si="113"/>
        <v/>
      </c>
      <c r="N194" s="32" t="str">
        <f t="shared" si="114"/>
        <v/>
      </c>
      <c r="O194" s="32" t="str">
        <f t="shared" si="130"/>
        <v/>
      </c>
      <c r="P194" s="32" t="str">
        <f t="shared" si="118"/>
        <v/>
      </c>
      <c r="Q194" s="32" t="str">
        <f t="shared" si="119"/>
        <v/>
      </c>
      <c r="R194" s="32" t="str">
        <f t="shared" si="131"/>
        <v/>
      </c>
      <c r="S194" s="24" t="str">
        <f t="shared" si="132"/>
        <v/>
      </c>
      <c r="T194" s="24" t="str">
        <f t="shared" si="133"/>
        <v/>
      </c>
      <c r="U194" s="24" t="str">
        <f t="shared" si="134"/>
        <v/>
      </c>
      <c r="V194" s="24" t="str">
        <f t="shared" si="135"/>
        <v/>
      </c>
      <c r="W194" s="23" t="str">
        <f t="array" ref="W194">IFERROR(SMALL(IF(S$1:S$1000="BEGIN",ROW(S$1:S$1000)),ROW()-3),"")</f>
        <v/>
      </c>
      <c r="X194" s="23" t="str">
        <f t="array" ref="X194">IFERROR(SMALL(IF(T$1:T$1000="END",ROW(T$1:T$1000)),ROW()-3),"")</f>
        <v/>
      </c>
      <c r="Y194" s="33" t="str">
        <f t="array" ref="Y194">IF(ISNUMBER(W194),MAX(IF((B$4:B$1000&lt;=X194)*(B$4:B$1000&gt;=W194),I$4:I$1000, "")),"")</f>
        <v/>
      </c>
      <c r="Z194" s="33" t="str">
        <f t="shared" si="120"/>
        <v/>
      </c>
      <c r="AA194" s="32" t="str">
        <f t="shared" si="121"/>
        <v/>
      </c>
      <c r="AB194" s="32" t="str">
        <f t="shared" si="122"/>
        <v/>
      </c>
      <c r="AC194" s="32" t="str">
        <f t="shared" si="123"/>
        <v/>
      </c>
      <c r="AD194" s="32" t="str">
        <f t="shared" si="124"/>
        <v/>
      </c>
      <c r="AE194" s="34" t="str">
        <f t="shared" si="125"/>
        <v/>
      </c>
      <c r="AF194" s="32" t="str">
        <f t="shared" si="126"/>
        <v/>
      </c>
      <c r="AG194" s="32" t="str">
        <f t="shared" si="127"/>
        <v/>
      </c>
      <c r="AH194" s="32" t="str">
        <f t="shared" si="128"/>
        <v/>
      </c>
      <c r="AI194" s="35" t="str">
        <f t="shared" si="129"/>
        <v/>
      </c>
      <c r="AJ194" s="23" t="str">
        <f t="array" ref="AJ194">IFERROR(SMALL(IF(U$1:U$1000="BEGIN",ROW(U$1:U$1000)),ROW()-3),"")</f>
        <v/>
      </c>
      <c r="AK194" s="23" t="str">
        <f t="array" ref="AK194">IFERROR(SMALL(IF(V$1:V$1000="END",ROW(V$1:V$1000)),ROW()-3),"")</f>
        <v/>
      </c>
      <c r="AL194" s="24" t="str">
        <f t="array" ref="AL194">IF(AK194="","",MATCH(AM194,L:L,0))</f>
        <v/>
      </c>
      <c r="AM194" s="35">
        <f t="array" ref="AM194">MAX(IF((B$4:B$1000&lt;=AK194)*(B$4:B$1000&gt;=AJ194),L$4:L$1000, ""))</f>
        <v>0</v>
      </c>
      <c r="AN194" s="32" t="str">
        <f t="shared" si="136"/>
        <v/>
      </c>
      <c r="AO194" s="32" t="str">
        <f t="shared" si="137"/>
        <v/>
      </c>
      <c r="AP194" s="32" t="str">
        <f t="shared" si="138"/>
        <v/>
      </c>
      <c r="AQ194" s="32" t="str">
        <f t="shared" si="139"/>
        <v/>
      </c>
      <c r="AR194" s="32" t="str">
        <f t="shared" si="140"/>
        <v/>
      </c>
      <c r="AS194" s="32" t="str">
        <f t="shared" si="141"/>
        <v/>
      </c>
      <c r="AT194" s="32" t="str">
        <f t="shared" si="142"/>
        <v/>
      </c>
      <c r="AU194" s="34" t="str">
        <f t="shared" si="143"/>
        <v/>
      </c>
      <c r="AV194" s="32" t="str">
        <f t="shared" si="144"/>
        <v/>
      </c>
      <c r="AW194" s="32" t="str">
        <f t="shared" si="145"/>
        <v/>
      </c>
      <c r="AX194" s="32" t="str">
        <f t="shared" si="146"/>
        <v/>
      </c>
      <c r="AY194" s="32" t="str">
        <f t="shared" si="147"/>
        <v/>
      </c>
    </row>
    <row r="195" spans="1:51" x14ac:dyDescent="0.25">
      <c r="A195" s="24" t="str">
        <f t="shared" si="105"/>
        <v/>
      </c>
      <c r="B195" s="24" t="str">
        <f t="shared" si="115"/>
        <v/>
      </c>
      <c r="C195" s="32" t="str">
        <f t="shared" si="106"/>
        <v/>
      </c>
      <c r="D195" s="24" t="str">
        <f t="shared" si="107"/>
        <v/>
      </c>
      <c r="E195" s="24" t="str">
        <f t="shared" si="108"/>
        <v/>
      </c>
      <c r="F195" s="32" t="str">
        <f t="shared" si="109"/>
        <v/>
      </c>
      <c r="G195" s="32" t="str">
        <f t="shared" si="110"/>
        <v/>
      </c>
      <c r="H195" s="32" t="str">
        <f t="shared" ca="1" si="111"/>
        <v/>
      </c>
      <c r="I195" s="32" t="str">
        <f t="shared" ca="1" si="116"/>
        <v/>
      </c>
      <c r="J195" s="32" t="str">
        <f t="shared" si="112"/>
        <v/>
      </c>
      <c r="K195" s="32" t="str">
        <f>IF(ISNUMBER(A195),Profile!$V$25+Profile!$V$24*'Ri-Po'!C195,"")</f>
        <v/>
      </c>
      <c r="L195" s="32" t="str">
        <f t="shared" si="117"/>
        <v/>
      </c>
      <c r="M195" s="32" t="str">
        <f t="shared" si="113"/>
        <v/>
      </c>
      <c r="N195" s="32" t="str">
        <f t="shared" si="114"/>
        <v/>
      </c>
      <c r="O195" s="32" t="str">
        <f t="shared" si="130"/>
        <v/>
      </c>
      <c r="P195" s="32" t="str">
        <f t="shared" si="118"/>
        <v/>
      </c>
      <c r="Q195" s="32" t="str">
        <f t="shared" si="119"/>
        <v/>
      </c>
      <c r="R195" s="32" t="str">
        <f t="shared" si="131"/>
        <v/>
      </c>
      <c r="S195" s="24" t="str">
        <f t="shared" si="132"/>
        <v/>
      </c>
      <c r="T195" s="24" t="str">
        <f t="shared" si="133"/>
        <v/>
      </c>
      <c r="U195" s="24" t="str">
        <f t="shared" si="134"/>
        <v/>
      </c>
      <c r="V195" s="24" t="str">
        <f t="shared" si="135"/>
        <v/>
      </c>
      <c r="W195" s="23" t="str">
        <f t="array" ref="W195">IFERROR(SMALL(IF(S$1:S$1000="BEGIN",ROW(S$1:S$1000)),ROW()-3),"")</f>
        <v/>
      </c>
      <c r="X195" s="23" t="str">
        <f t="array" ref="X195">IFERROR(SMALL(IF(T$1:T$1000="END",ROW(T$1:T$1000)),ROW()-3),"")</f>
        <v/>
      </c>
      <c r="Y195" s="33" t="str">
        <f t="array" ref="Y195">IF(ISNUMBER(W195),MAX(IF((B$4:B$1000&lt;=X195)*(B$4:B$1000&gt;=W195),I$4:I$1000, "")),"")</f>
        <v/>
      </c>
      <c r="Z195" s="33" t="str">
        <f t="shared" si="120"/>
        <v/>
      </c>
      <c r="AA195" s="32" t="str">
        <f t="shared" si="121"/>
        <v/>
      </c>
      <c r="AB195" s="32" t="str">
        <f t="shared" si="122"/>
        <v/>
      </c>
      <c r="AC195" s="32" t="str">
        <f t="shared" si="123"/>
        <v/>
      </c>
      <c r="AD195" s="32" t="str">
        <f t="shared" si="124"/>
        <v/>
      </c>
      <c r="AE195" s="34" t="str">
        <f t="shared" si="125"/>
        <v/>
      </c>
      <c r="AF195" s="32" t="str">
        <f t="shared" si="126"/>
        <v/>
      </c>
      <c r="AG195" s="32" t="str">
        <f t="shared" si="127"/>
        <v/>
      </c>
      <c r="AH195" s="32" t="str">
        <f t="shared" si="128"/>
        <v/>
      </c>
      <c r="AI195" s="35" t="str">
        <f t="shared" si="129"/>
        <v/>
      </c>
      <c r="AJ195" s="23" t="str">
        <f t="array" ref="AJ195">IFERROR(SMALL(IF(U$1:U$1000="BEGIN",ROW(U$1:U$1000)),ROW()-3),"")</f>
        <v/>
      </c>
      <c r="AK195" s="23" t="str">
        <f t="array" ref="AK195">IFERROR(SMALL(IF(V$1:V$1000="END",ROW(V$1:V$1000)),ROW()-3),"")</f>
        <v/>
      </c>
      <c r="AL195" s="24" t="str">
        <f t="array" ref="AL195">IF(AK195="","",MATCH(AM195,L:L,0))</f>
        <v/>
      </c>
      <c r="AM195" s="35">
        <f t="array" ref="AM195">MAX(IF((B$4:B$1000&lt;=AK195)*(B$4:B$1000&gt;=AJ195),L$4:L$1000, ""))</f>
        <v>0</v>
      </c>
      <c r="AN195" s="32" t="str">
        <f t="shared" si="136"/>
        <v/>
      </c>
      <c r="AO195" s="32" t="str">
        <f t="shared" si="137"/>
        <v/>
      </c>
      <c r="AP195" s="32" t="str">
        <f t="shared" si="138"/>
        <v/>
      </c>
      <c r="AQ195" s="32" t="str">
        <f t="shared" si="139"/>
        <v/>
      </c>
      <c r="AR195" s="32" t="str">
        <f t="shared" si="140"/>
        <v/>
      </c>
      <c r="AS195" s="32" t="str">
        <f t="shared" si="141"/>
        <v/>
      </c>
      <c r="AT195" s="32" t="str">
        <f t="shared" si="142"/>
        <v/>
      </c>
      <c r="AU195" s="34" t="str">
        <f t="shared" si="143"/>
        <v/>
      </c>
      <c r="AV195" s="32" t="str">
        <f t="shared" si="144"/>
        <v/>
      </c>
      <c r="AW195" s="32" t="str">
        <f t="shared" si="145"/>
        <v/>
      </c>
      <c r="AX195" s="32" t="str">
        <f t="shared" si="146"/>
        <v/>
      </c>
      <c r="AY195" s="32" t="str">
        <f t="shared" si="147"/>
        <v/>
      </c>
    </row>
    <row r="196" spans="1:51" x14ac:dyDescent="0.25">
      <c r="A196" s="24" t="str">
        <f t="shared" ref="A196:A259" si="148">IF(NOT(ISBLANK(INDEX(currentNUM,ROW(A193)))),INDEX(currentNUM,ROW(A193)),"")</f>
        <v/>
      </c>
      <c r="B196" s="24" t="str">
        <f t="shared" si="115"/>
        <v/>
      </c>
      <c r="C196" s="32" t="str">
        <f t="shared" ref="C196:C259" si="149">IF(NOT(A196=""),INDEX(currentSTATION,ROW(C193)),"")</f>
        <v/>
      </c>
      <c r="D196" s="24" t="str">
        <f t="shared" ref="D196:D259" si="150">IF(NOT(ISBLANK(INDEX(currentDESC,ROW(D193)))),INDEX(currentDESC,ROW(D193)),"")</f>
        <v/>
      </c>
      <c r="E196" s="24" t="str">
        <f t="shared" ref="E196:E259" si="151">IF(NOT(ISBLANK(INDEX(currentCMORPH,ROW(E193)))),INDEX(currentCMORPH,ROW(E193)),"")</f>
        <v/>
      </c>
      <c r="F196" s="32" t="str">
        <f t="shared" ref="F196:F259" si="152">IF(NOT(ISBLANK(INDEX(currentTHW,ROW(F193)))),INDEX(currentTHW,ROW(F193)),"")</f>
        <v/>
      </c>
      <c r="G196" s="32" t="str">
        <f t="shared" ref="G196:G259" si="153">IF(NOT(ISBLANK(INDEX(currentWS,ROW(G193)))),INDEX(currentWS,ROW(G193)),"")</f>
        <v/>
      </c>
      <c r="H196" s="32" t="str">
        <f t="shared" ref="H196:H259" ca="1" si="154">IF(NOT(OR(ISBLANK(INDEX(currentINTERPWS,ROW(H193))),INDEX(currentINTERPWS,ROW(H193))=0)),INDEX(currentINTERPWS,ROW(H193)),"")</f>
        <v/>
      </c>
      <c r="I196" s="32" t="str">
        <f t="shared" ca="1" si="116"/>
        <v/>
      </c>
      <c r="J196" s="32" t="str">
        <f t="shared" ref="J196:J259" si="155">IF(NOT(ISBLANK(INDEX(currentBKF,ROW(G193)))),INDEX(currentBKF,ROW(G193)),"")</f>
        <v/>
      </c>
      <c r="K196" s="32" t="str">
        <f>IF(ISNUMBER(A196),Profile!$V$25+Profile!$V$24*'Ri-Po'!C196,"")</f>
        <v/>
      </c>
      <c r="L196" s="32" t="str">
        <f t="shared" si="117"/>
        <v/>
      </c>
      <c r="M196" s="32" t="str">
        <f t="shared" ref="M196:M259" si="156">IF(NOT(ISBLANK(INDEX(currentTOB,ROW(H193)))),INDEX(currentTOB,ROW(H193)),"")</f>
        <v/>
      </c>
      <c r="N196" s="32" t="str">
        <f t="shared" ref="N196:N259" si="157">IF(ISNUMBER(A196),INDEX(currentINTTOB,ROW(I193)),"")</f>
        <v/>
      </c>
      <c r="O196" s="32" t="str">
        <f t="shared" si="130"/>
        <v/>
      </c>
      <c r="P196" s="32" t="str">
        <f t="shared" si="118"/>
        <v/>
      </c>
      <c r="Q196" s="32" t="str">
        <f t="shared" si="119"/>
        <v/>
      </c>
      <c r="R196" s="32" t="str">
        <f t="shared" si="131"/>
        <v/>
      </c>
      <c r="S196" s="24" t="str">
        <f t="shared" si="132"/>
        <v/>
      </c>
      <c r="T196" s="24" t="str">
        <f t="shared" si="133"/>
        <v/>
      </c>
      <c r="U196" s="24" t="str">
        <f t="shared" si="134"/>
        <v/>
      </c>
      <c r="V196" s="24" t="str">
        <f t="shared" si="135"/>
        <v/>
      </c>
      <c r="W196" s="23" t="str">
        <f t="array" ref="W196">IFERROR(SMALL(IF(S$1:S$1000="BEGIN",ROW(S$1:S$1000)),ROW()-3),"")</f>
        <v/>
      </c>
      <c r="X196" s="23" t="str">
        <f t="array" ref="X196">IFERROR(SMALL(IF(T$1:T$1000="END",ROW(T$1:T$1000)),ROW()-3),"")</f>
        <v/>
      </c>
      <c r="Y196" s="33" t="str">
        <f t="array" ref="Y196">IF(ISNUMBER(W196),MAX(IF((B$4:B$1000&lt;=X196)*(B$4:B$1000&gt;=W196),I$4:I$1000, "")),"")</f>
        <v/>
      </c>
      <c r="Z196" s="33" t="str">
        <f t="shared" si="120"/>
        <v/>
      </c>
      <c r="AA196" s="32" t="str">
        <f t="shared" si="121"/>
        <v/>
      </c>
      <c r="AB196" s="32" t="str">
        <f t="shared" si="122"/>
        <v/>
      </c>
      <c r="AC196" s="32" t="str">
        <f t="shared" si="123"/>
        <v/>
      </c>
      <c r="AD196" s="32" t="str">
        <f t="shared" si="124"/>
        <v/>
      </c>
      <c r="AE196" s="34" t="str">
        <f t="shared" si="125"/>
        <v/>
      </c>
      <c r="AF196" s="32" t="str">
        <f t="shared" si="126"/>
        <v/>
      </c>
      <c r="AG196" s="32" t="str">
        <f t="shared" si="127"/>
        <v/>
      </c>
      <c r="AH196" s="32" t="str">
        <f t="shared" si="128"/>
        <v/>
      </c>
      <c r="AI196" s="35" t="str">
        <f t="shared" si="129"/>
        <v/>
      </c>
      <c r="AJ196" s="23" t="str">
        <f t="array" ref="AJ196">IFERROR(SMALL(IF(U$1:U$1000="BEGIN",ROW(U$1:U$1000)),ROW()-3),"")</f>
        <v/>
      </c>
      <c r="AK196" s="23" t="str">
        <f t="array" ref="AK196">IFERROR(SMALL(IF(V$1:V$1000="END",ROW(V$1:V$1000)),ROW()-3),"")</f>
        <v/>
      </c>
      <c r="AL196" s="24" t="str">
        <f t="array" ref="AL196">IF(AK196="","",MATCH(AM196,L:L,0))</f>
        <v/>
      </c>
      <c r="AM196" s="35">
        <f t="array" ref="AM196">MAX(IF((B$4:B$1000&lt;=AK196)*(B$4:B$1000&gt;=AJ196),L$4:L$1000, ""))</f>
        <v>0</v>
      </c>
      <c r="AN196" s="32" t="str">
        <f t="shared" si="136"/>
        <v/>
      </c>
      <c r="AO196" s="32" t="str">
        <f t="shared" si="137"/>
        <v/>
      </c>
      <c r="AP196" s="32" t="str">
        <f t="shared" si="138"/>
        <v/>
      </c>
      <c r="AQ196" s="32" t="str">
        <f t="shared" si="139"/>
        <v/>
      </c>
      <c r="AR196" s="32" t="str">
        <f t="shared" si="140"/>
        <v/>
      </c>
      <c r="AS196" s="32" t="str">
        <f t="shared" si="141"/>
        <v/>
      </c>
      <c r="AT196" s="32" t="str">
        <f t="shared" si="142"/>
        <v/>
      </c>
      <c r="AU196" s="34" t="str">
        <f t="shared" si="143"/>
        <v/>
      </c>
      <c r="AV196" s="32" t="str">
        <f t="shared" si="144"/>
        <v/>
      </c>
      <c r="AW196" s="32" t="str">
        <f t="shared" si="145"/>
        <v/>
      </c>
      <c r="AX196" s="32" t="str">
        <f t="shared" si="146"/>
        <v/>
      </c>
      <c r="AY196" s="32" t="str">
        <f t="shared" si="147"/>
        <v/>
      </c>
    </row>
    <row r="197" spans="1:51" x14ac:dyDescent="0.25">
      <c r="A197" s="24" t="str">
        <f t="shared" si="148"/>
        <v/>
      </c>
      <c r="B197" s="24" t="str">
        <f t="shared" ref="B197:B260" si="158">IF(NOT(A197=""),ROW(B197),"")</f>
        <v/>
      </c>
      <c r="C197" s="32" t="str">
        <f t="shared" si="149"/>
        <v/>
      </c>
      <c r="D197" s="24" t="str">
        <f t="shared" si="150"/>
        <v/>
      </c>
      <c r="E197" s="24" t="str">
        <f t="shared" si="151"/>
        <v/>
      </c>
      <c r="F197" s="32" t="str">
        <f t="shared" si="152"/>
        <v/>
      </c>
      <c r="G197" s="32" t="str">
        <f t="shared" si="153"/>
        <v/>
      </c>
      <c r="H197" s="32" t="str">
        <f t="shared" ca="1" si="154"/>
        <v/>
      </c>
      <c r="I197" s="32" t="str">
        <f t="shared" ref="I197:I260" ca="1" si="159">IFERROR(IF(H197-F197&gt;=0,H197-F197,"NEG"),"")</f>
        <v/>
      </c>
      <c r="J197" s="32" t="str">
        <f t="shared" si="155"/>
        <v/>
      </c>
      <c r="K197" s="32" t="str">
        <f>IF(ISNUMBER(A197),Profile!$V$25+Profile!$V$24*'Ri-Po'!C197,"")</f>
        <v/>
      </c>
      <c r="L197" s="32" t="str">
        <f t="shared" ref="L197:L260" si="160">IFERROR(K197-F197,"")</f>
        <v/>
      </c>
      <c r="M197" s="32" t="str">
        <f t="shared" si="156"/>
        <v/>
      </c>
      <c r="N197" s="32" t="str">
        <f t="shared" si="157"/>
        <v/>
      </c>
      <c r="O197" s="32" t="str">
        <f t="shared" si="130"/>
        <v/>
      </c>
      <c r="P197" s="32" t="str">
        <f t="shared" ref="P197:P260" si="161">IF(ISNUMBER(A197),K197-F197,"")</f>
        <v/>
      </c>
      <c r="Q197" s="32" t="str">
        <f t="shared" ref="Q197:Q260" si="162">IF(ISNUMBER(A197),N197-F197,"")</f>
        <v/>
      </c>
      <c r="R197" s="32" t="str">
        <f t="shared" si="131"/>
        <v/>
      </c>
      <c r="S197" s="24" t="str">
        <f t="shared" si="132"/>
        <v/>
      </c>
      <c r="T197" s="24" t="str">
        <f t="shared" si="133"/>
        <v/>
      </c>
      <c r="U197" s="24" t="str">
        <f t="shared" si="134"/>
        <v/>
      </c>
      <c r="V197" s="24" t="str">
        <f t="shared" si="135"/>
        <v/>
      </c>
      <c r="W197" s="23" t="str">
        <f t="array" ref="W197">IFERROR(SMALL(IF(S$1:S$1000="BEGIN",ROW(S$1:S$1000)),ROW()-3),"")</f>
        <v/>
      </c>
      <c r="X197" s="23" t="str">
        <f t="array" ref="X197">IFERROR(SMALL(IF(T$1:T$1000="END",ROW(T$1:T$1000)),ROW()-3),"")</f>
        <v/>
      </c>
      <c r="Y197" s="33" t="str">
        <f t="array" ref="Y197">IF(ISNUMBER(W197),MAX(IF((B$4:B$1000&lt;=X197)*(B$4:B$1000&gt;=W197),I$4:I$1000, "")),"")</f>
        <v/>
      </c>
      <c r="Z197" s="33" t="str">
        <f t="shared" ref="Z197:Z260" si="163">IFERROR(INDEX(C:C,W197),"")</f>
        <v/>
      </c>
      <c r="AA197" s="32" t="str">
        <f t="shared" ref="AA197:AA260" si="164">IFERROR(INDEX(C:C,X197),"")</f>
        <v/>
      </c>
      <c r="AB197" s="32" t="str">
        <f t="shared" ref="AB197:AB260" si="165">IFERROR(AA197-Z197,"")</f>
        <v/>
      </c>
      <c r="AC197" s="32" t="str">
        <f t="shared" ref="AC197:AC260" si="166">IFERROR(INDEX(H:H,W197),"")</f>
        <v/>
      </c>
      <c r="AD197" s="32" t="str">
        <f t="shared" ref="AD197:AD260" si="167">IFERROR(INDEX(H:H,X197),"")</f>
        <v/>
      </c>
      <c r="AE197" s="34" t="str">
        <f t="shared" ref="AE197:AE260" si="168">IFERROR((AC197-AD197)/(AB197),"")</f>
        <v/>
      </c>
      <c r="AF197" s="32" t="str">
        <f t="shared" ref="AF197:AF260" si="169">IF(ISNUMBER(Z197),INDEX($Q$1:$Q$1000,W197),"")</f>
        <v/>
      </c>
      <c r="AG197" s="32" t="str">
        <f t="shared" ref="AG197:AG260" si="170">IF(ISNUMBER(Z197),INDEX($P$1:$P$1000,W197),"")</f>
        <v/>
      </c>
      <c r="AH197" s="32" t="str">
        <f t="shared" ref="AH197:AH260" si="171">IF(ISNUMBER(Z197),AF197/AG197,"")</f>
        <v/>
      </c>
      <c r="AI197" s="35" t="str">
        <f t="shared" ref="AI197:AI260" si="172">IFERROR(AE197/BB$19,"")</f>
        <v/>
      </c>
      <c r="AJ197" s="23" t="str">
        <f t="array" ref="AJ197">IFERROR(SMALL(IF(U$1:U$1000="BEGIN",ROW(U$1:U$1000)),ROW()-3),"")</f>
        <v/>
      </c>
      <c r="AK197" s="23" t="str">
        <f t="array" ref="AK197">IFERROR(SMALL(IF(V$1:V$1000="END",ROW(V$1:V$1000)),ROW()-3),"")</f>
        <v/>
      </c>
      <c r="AL197" s="24" t="str">
        <f t="array" ref="AL197">IF(AK197="","",MATCH(AM197,L:L,0))</f>
        <v/>
      </c>
      <c r="AM197" s="35">
        <f t="array" ref="AM197">MAX(IF((B$4:B$1000&lt;=AK197)*(B$4:B$1000&gt;=AJ197),L$4:L$1000, ""))</f>
        <v>0</v>
      </c>
      <c r="AN197" s="32" t="str">
        <f t="shared" si="136"/>
        <v/>
      </c>
      <c r="AO197" s="32" t="str">
        <f t="shared" si="137"/>
        <v/>
      </c>
      <c r="AP197" s="32" t="str">
        <f t="shared" si="138"/>
        <v/>
      </c>
      <c r="AQ197" s="32" t="str">
        <f t="shared" si="139"/>
        <v/>
      </c>
      <c r="AR197" s="32" t="str">
        <f t="shared" si="140"/>
        <v/>
      </c>
      <c r="AS197" s="32" t="str">
        <f t="shared" si="141"/>
        <v/>
      </c>
      <c r="AT197" s="32" t="str">
        <f t="shared" si="142"/>
        <v/>
      </c>
      <c r="AU197" s="34" t="str">
        <f t="shared" si="143"/>
        <v/>
      </c>
      <c r="AV197" s="32" t="str">
        <f t="shared" si="144"/>
        <v/>
      </c>
      <c r="AW197" s="32" t="str">
        <f t="shared" si="145"/>
        <v/>
      </c>
      <c r="AX197" s="32" t="str">
        <f t="shared" si="146"/>
        <v/>
      </c>
      <c r="AY197" s="32" t="str">
        <f t="shared" si="147"/>
        <v/>
      </c>
    </row>
    <row r="198" spans="1:51" x14ac:dyDescent="0.25">
      <c r="A198" s="24" t="str">
        <f t="shared" si="148"/>
        <v/>
      </c>
      <c r="B198" s="24" t="str">
        <f t="shared" si="158"/>
        <v/>
      </c>
      <c r="C198" s="32" t="str">
        <f t="shared" si="149"/>
        <v/>
      </c>
      <c r="D198" s="24" t="str">
        <f t="shared" si="150"/>
        <v/>
      </c>
      <c r="E198" s="24" t="str">
        <f t="shared" si="151"/>
        <v/>
      </c>
      <c r="F198" s="32" t="str">
        <f t="shared" si="152"/>
        <v/>
      </c>
      <c r="G198" s="32" t="str">
        <f t="shared" si="153"/>
        <v/>
      </c>
      <c r="H198" s="32" t="str">
        <f t="shared" ca="1" si="154"/>
        <v/>
      </c>
      <c r="I198" s="32" t="str">
        <f t="shared" ca="1" si="159"/>
        <v/>
      </c>
      <c r="J198" s="32" t="str">
        <f t="shared" si="155"/>
        <v/>
      </c>
      <c r="K198" s="32" t="str">
        <f>IF(ISNUMBER(A198),Profile!$V$25+Profile!$V$24*'Ri-Po'!C198,"")</f>
        <v/>
      </c>
      <c r="L198" s="32" t="str">
        <f t="shared" si="160"/>
        <v/>
      </c>
      <c r="M198" s="32" t="str">
        <f t="shared" si="156"/>
        <v/>
      </c>
      <c r="N198" s="32" t="str">
        <f t="shared" si="157"/>
        <v/>
      </c>
      <c r="O198" s="32" t="str">
        <f t="shared" ref="O198:O261" si="173">IF(AND(ISNUMBER(G198),ISNUMBER(J198)),J198-G198,"")</f>
        <v/>
      </c>
      <c r="P198" s="32" t="str">
        <f t="shared" si="161"/>
        <v/>
      </c>
      <c r="Q198" s="32" t="str">
        <f t="shared" si="162"/>
        <v/>
      </c>
      <c r="R198" s="32" t="str">
        <f t="shared" ref="R198:R261" si="174">IF(ISNUMBER(Q198),Q198/P198,"")</f>
        <v/>
      </c>
      <c r="S198" s="24" t="str">
        <f t="shared" ref="S198:S261" si="175">IF(ISNUMBER(SEARCH("bri",E198)),"BEGIN","")</f>
        <v/>
      </c>
      <c r="T198" s="24" t="str">
        <f t="shared" ref="T198:T261" si="176">IF(ISNUMBER(SEARCH("eri",E198)),"END","")</f>
        <v/>
      </c>
      <c r="U198" s="24" t="str">
        <f t="shared" ref="U198:U261" si="177">IF(ISNUMBER(SEARCH("bpo",E198)),"BEGIN","")</f>
        <v/>
      </c>
      <c r="V198" s="24" t="str">
        <f t="shared" ref="V198:V261" si="178">IF(ISNUMBER(SEARCH("epo",E198)),"END","")</f>
        <v/>
      </c>
      <c r="W198" s="23" t="str">
        <f t="array" ref="W198">IFERROR(SMALL(IF(S$1:S$1000="BEGIN",ROW(S$1:S$1000)),ROW()-3),"")</f>
        <v/>
      </c>
      <c r="X198" s="23" t="str">
        <f t="array" ref="X198">IFERROR(SMALL(IF(T$1:T$1000="END",ROW(T$1:T$1000)),ROW()-3),"")</f>
        <v/>
      </c>
      <c r="Y198" s="33" t="str">
        <f t="array" ref="Y198">IF(ISNUMBER(W198),MAX(IF((B$4:B$1000&lt;=X198)*(B$4:B$1000&gt;=W198),I$4:I$1000, "")),"")</f>
        <v/>
      </c>
      <c r="Z198" s="33" t="str">
        <f t="shared" si="163"/>
        <v/>
      </c>
      <c r="AA198" s="32" t="str">
        <f t="shared" si="164"/>
        <v/>
      </c>
      <c r="AB198" s="32" t="str">
        <f t="shared" si="165"/>
        <v/>
      </c>
      <c r="AC198" s="32" t="str">
        <f t="shared" si="166"/>
        <v/>
      </c>
      <c r="AD198" s="32" t="str">
        <f t="shared" si="167"/>
        <v/>
      </c>
      <c r="AE198" s="34" t="str">
        <f t="shared" si="168"/>
        <v/>
      </c>
      <c r="AF198" s="32" t="str">
        <f t="shared" si="169"/>
        <v/>
      </c>
      <c r="AG198" s="32" t="str">
        <f t="shared" si="170"/>
        <v/>
      </c>
      <c r="AH198" s="32" t="str">
        <f t="shared" si="171"/>
        <v/>
      </c>
      <c r="AI198" s="35" t="str">
        <f t="shared" si="172"/>
        <v/>
      </c>
      <c r="AJ198" s="23" t="str">
        <f t="array" ref="AJ198">IFERROR(SMALL(IF(U$1:U$1000="BEGIN",ROW(U$1:U$1000)),ROW()-3),"")</f>
        <v/>
      </c>
      <c r="AK198" s="23" t="str">
        <f t="array" ref="AK198">IFERROR(SMALL(IF(V$1:V$1000="END",ROW(V$1:V$1000)),ROW()-3),"")</f>
        <v/>
      </c>
      <c r="AL198" s="24" t="str">
        <f t="array" ref="AL198">IF(AK198="","",MATCH(AM198,L:L,0))</f>
        <v/>
      </c>
      <c r="AM198" s="35">
        <f t="array" ref="AM198">MAX(IF((B$4:B$1000&lt;=AK198)*(B$4:B$1000&gt;=AJ198),L$4:L$1000, ""))</f>
        <v>0</v>
      </c>
      <c r="AN198" s="32" t="str">
        <f t="shared" si="136"/>
        <v/>
      </c>
      <c r="AO198" s="32" t="str">
        <f t="shared" si="137"/>
        <v/>
      </c>
      <c r="AP198" s="32" t="str">
        <f t="shared" si="138"/>
        <v/>
      </c>
      <c r="AQ198" s="32" t="str">
        <f t="shared" si="139"/>
        <v/>
      </c>
      <c r="AR198" s="32" t="str">
        <f t="shared" si="140"/>
        <v/>
      </c>
      <c r="AS198" s="32" t="str">
        <f t="shared" si="141"/>
        <v/>
      </c>
      <c r="AT198" s="32" t="str">
        <f t="shared" si="142"/>
        <v/>
      </c>
      <c r="AU198" s="34" t="str">
        <f t="shared" si="143"/>
        <v/>
      </c>
      <c r="AV198" s="32" t="str">
        <f t="shared" si="144"/>
        <v/>
      </c>
      <c r="AW198" s="32" t="str">
        <f t="shared" si="145"/>
        <v/>
      </c>
      <c r="AX198" s="32" t="str">
        <f t="shared" si="146"/>
        <v/>
      </c>
      <c r="AY198" s="32" t="str">
        <f t="shared" si="147"/>
        <v/>
      </c>
    </row>
    <row r="199" spans="1:51" x14ac:dyDescent="0.25">
      <c r="A199" s="24" t="str">
        <f t="shared" si="148"/>
        <v/>
      </c>
      <c r="B199" s="24" t="str">
        <f t="shared" si="158"/>
        <v/>
      </c>
      <c r="C199" s="32" t="str">
        <f t="shared" si="149"/>
        <v/>
      </c>
      <c r="D199" s="24" t="str">
        <f t="shared" si="150"/>
        <v/>
      </c>
      <c r="E199" s="24" t="str">
        <f t="shared" si="151"/>
        <v/>
      </c>
      <c r="F199" s="32" t="str">
        <f t="shared" si="152"/>
        <v/>
      </c>
      <c r="G199" s="32" t="str">
        <f t="shared" si="153"/>
        <v/>
      </c>
      <c r="H199" s="32" t="str">
        <f t="shared" ca="1" si="154"/>
        <v/>
      </c>
      <c r="I199" s="32" t="str">
        <f t="shared" ca="1" si="159"/>
        <v/>
      </c>
      <c r="J199" s="32" t="str">
        <f t="shared" si="155"/>
        <v/>
      </c>
      <c r="K199" s="32" t="str">
        <f>IF(ISNUMBER(A199),Profile!$V$25+Profile!$V$24*'Ri-Po'!C199,"")</f>
        <v/>
      </c>
      <c r="L199" s="32" t="str">
        <f t="shared" si="160"/>
        <v/>
      </c>
      <c r="M199" s="32" t="str">
        <f t="shared" si="156"/>
        <v/>
      </c>
      <c r="N199" s="32" t="str">
        <f t="shared" si="157"/>
        <v/>
      </c>
      <c r="O199" s="32" t="str">
        <f t="shared" si="173"/>
        <v/>
      </c>
      <c r="P199" s="32" t="str">
        <f t="shared" si="161"/>
        <v/>
      </c>
      <c r="Q199" s="32" t="str">
        <f t="shared" si="162"/>
        <v/>
      </c>
      <c r="R199" s="32" t="str">
        <f t="shared" si="174"/>
        <v/>
      </c>
      <c r="S199" s="24" t="str">
        <f t="shared" si="175"/>
        <v/>
      </c>
      <c r="T199" s="24" t="str">
        <f t="shared" si="176"/>
        <v/>
      </c>
      <c r="U199" s="24" t="str">
        <f t="shared" si="177"/>
        <v/>
      </c>
      <c r="V199" s="24" t="str">
        <f t="shared" si="178"/>
        <v/>
      </c>
      <c r="W199" s="23" t="str">
        <f t="array" ref="W199">IFERROR(SMALL(IF(S$1:S$1000="BEGIN",ROW(S$1:S$1000)),ROW()-3),"")</f>
        <v/>
      </c>
      <c r="X199" s="23" t="str">
        <f t="array" ref="X199">IFERROR(SMALL(IF(T$1:T$1000="END",ROW(T$1:T$1000)),ROW()-3),"")</f>
        <v/>
      </c>
      <c r="Y199" s="33" t="str">
        <f t="array" ref="Y199">IF(ISNUMBER(W199),MAX(IF((B$4:B$1000&lt;=X199)*(B$4:B$1000&gt;=W199),I$4:I$1000, "")),"")</f>
        <v/>
      </c>
      <c r="Z199" s="33" t="str">
        <f t="shared" si="163"/>
        <v/>
      </c>
      <c r="AA199" s="32" t="str">
        <f t="shared" si="164"/>
        <v/>
      </c>
      <c r="AB199" s="32" t="str">
        <f t="shared" si="165"/>
        <v/>
      </c>
      <c r="AC199" s="32" t="str">
        <f t="shared" si="166"/>
        <v/>
      </c>
      <c r="AD199" s="32" t="str">
        <f t="shared" si="167"/>
        <v/>
      </c>
      <c r="AE199" s="34" t="str">
        <f t="shared" si="168"/>
        <v/>
      </c>
      <c r="AF199" s="32" t="str">
        <f t="shared" si="169"/>
        <v/>
      </c>
      <c r="AG199" s="32" t="str">
        <f t="shared" si="170"/>
        <v/>
      </c>
      <c r="AH199" s="32" t="str">
        <f t="shared" si="171"/>
        <v/>
      </c>
      <c r="AI199" s="35" t="str">
        <f t="shared" si="172"/>
        <v/>
      </c>
      <c r="AJ199" s="23" t="str">
        <f t="array" ref="AJ199">IFERROR(SMALL(IF(U$1:U$1000="BEGIN",ROW(U$1:U$1000)),ROW()-3),"")</f>
        <v/>
      </c>
      <c r="AK199" s="23" t="str">
        <f t="array" ref="AK199">IFERROR(SMALL(IF(V$1:V$1000="END",ROW(V$1:V$1000)),ROW()-3),"")</f>
        <v/>
      </c>
      <c r="AL199" s="24" t="str">
        <f t="array" ref="AL199">IF(AK199="","",MATCH(AM199,L:L,0))</f>
        <v/>
      </c>
      <c r="AM199" s="35">
        <f t="array" ref="AM199">MAX(IF((B$4:B$1000&lt;=AK199)*(B$4:B$1000&gt;=AJ199),L$4:L$1000, ""))</f>
        <v>0</v>
      </c>
      <c r="AN199" s="32" t="str">
        <f t="shared" si="136"/>
        <v/>
      </c>
      <c r="AO199" s="32" t="str">
        <f t="shared" si="137"/>
        <v/>
      </c>
      <c r="AP199" s="32" t="str">
        <f t="shared" si="138"/>
        <v/>
      </c>
      <c r="AQ199" s="32" t="str">
        <f t="shared" si="139"/>
        <v/>
      </c>
      <c r="AR199" s="32" t="str">
        <f t="shared" si="140"/>
        <v/>
      </c>
      <c r="AS199" s="32" t="str">
        <f t="shared" si="141"/>
        <v/>
      </c>
      <c r="AT199" s="32" t="str">
        <f t="shared" si="142"/>
        <v/>
      </c>
      <c r="AU199" s="34" t="str">
        <f t="shared" si="143"/>
        <v/>
      </c>
      <c r="AV199" s="32" t="str">
        <f t="shared" si="144"/>
        <v/>
      </c>
      <c r="AW199" s="32" t="str">
        <f t="shared" si="145"/>
        <v/>
      </c>
      <c r="AX199" s="32" t="str">
        <f t="shared" si="146"/>
        <v/>
      </c>
      <c r="AY199" s="32" t="str">
        <f t="shared" si="147"/>
        <v/>
      </c>
    </row>
    <row r="200" spans="1:51" x14ac:dyDescent="0.25">
      <c r="A200" s="24" t="str">
        <f t="shared" si="148"/>
        <v/>
      </c>
      <c r="B200" s="24" t="str">
        <f t="shared" si="158"/>
        <v/>
      </c>
      <c r="C200" s="32" t="str">
        <f t="shared" si="149"/>
        <v/>
      </c>
      <c r="D200" s="24" t="str">
        <f t="shared" si="150"/>
        <v/>
      </c>
      <c r="E200" s="24" t="str">
        <f t="shared" si="151"/>
        <v/>
      </c>
      <c r="F200" s="32" t="str">
        <f t="shared" si="152"/>
        <v/>
      </c>
      <c r="G200" s="32" t="str">
        <f t="shared" si="153"/>
        <v/>
      </c>
      <c r="H200" s="32" t="str">
        <f t="shared" ca="1" si="154"/>
        <v/>
      </c>
      <c r="I200" s="32" t="str">
        <f t="shared" ca="1" si="159"/>
        <v/>
      </c>
      <c r="J200" s="32" t="str">
        <f t="shared" si="155"/>
        <v/>
      </c>
      <c r="K200" s="32" t="str">
        <f>IF(ISNUMBER(A200),Profile!$V$25+Profile!$V$24*'Ri-Po'!C200,"")</f>
        <v/>
      </c>
      <c r="L200" s="32" t="str">
        <f t="shared" si="160"/>
        <v/>
      </c>
      <c r="M200" s="32" t="str">
        <f t="shared" si="156"/>
        <v/>
      </c>
      <c r="N200" s="32" t="str">
        <f t="shared" si="157"/>
        <v/>
      </c>
      <c r="O200" s="32" t="str">
        <f t="shared" si="173"/>
        <v/>
      </c>
      <c r="P200" s="32" t="str">
        <f t="shared" si="161"/>
        <v/>
      </c>
      <c r="Q200" s="32" t="str">
        <f t="shared" si="162"/>
        <v/>
      </c>
      <c r="R200" s="32" t="str">
        <f t="shared" si="174"/>
        <v/>
      </c>
      <c r="S200" s="24" t="str">
        <f t="shared" si="175"/>
        <v/>
      </c>
      <c r="T200" s="24" t="str">
        <f t="shared" si="176"/>
        <v/>
      </c>
      <c r="U200" s="24" t="str">
        <f t="shared" si="177"/>
        <v/>
      </c>
      <c r="V200" s="24" t="str">
        <f t="shared" si="178"/>
        <v/>
      </c>
      <c r="W200" s="23" t="str">
        <f t="array" ref="W200">IFERROR(SMALL(IF(S$1:S$1000="BEGIN",ROW(S$1:S$1000)),ROW()-3),"")</f>
        <v/>
      </c>
      <c r="X200" s="23" t="str">
        <f t="array" ref="X200">IFERROR(SMALL(IF(T$1:T$1000="END",ROW(T$1:T$1000)),ROW()-3),"")</f>
        <v/>
      </c>
      <c r="Y200" s="33" t="str">
        <f t="array" ref="Y200">IF(ISNUMBER(W200),MAX(IF((B$4:B$1000&lt;=X200)*(B$4:B$1000&gt;=W200),I$4:I$1000, "")),"")</f>
        <v/>
      </c>
      <c r="Z200" s="33" t="str">
        <f t="shared" si="163"/>
        <v/>
      </c>
      <c r="AA200" s="32" t="str">
        <f t="shared" si="164"/>
        <v/>
      </c>
      <c r="AB200" s="32" t="str">
        <f t="shared" si="165"/>
        <v/>
      </c>
      <c r="AC200" s="32" t="str">
        <f t="shared" si="166"/>
        <v/>
      </c>
      <c r="AD200" s="32" t="str">
        <f t="shared" si="167"/>
        <v/>
      </c>
      <c r="AE200" s="34" t="str">
        <f t="shared" si="168"/>
        <v/>
      </c>
      <c r="AF200" s="32" t="str">
        <f t="shared" si="169"/>
        <v/>
      </c>
      <c r="AG200" s="32" t="str">
        <f t="shared" si="170"/>
        <v/>
      </c>
      <c r="AH200" s="32" t="str">
        <f t="shared" si="171"/>
        <v/>
      </c>
      <c r="AI200" s="35" t="str">
        <f t="shared" si="172"/>
        <v/>
      </c>
      <c r="AJ200" s="23" t="str">
        <f t="array" ref="AJ200">IFERROR(SMALL(IF(U$1:U$1000="BEGIN",ROW(U$1:U$1000)),ROW()-3),"")</f>
        <v/>
      </c>
      <c r="AK200" s="23" t="str">
        <f t="array" ref="AK200">IFERROR(SMALL(IF(V$1:V$1000="END",ROW(V$1:V$1000)),ROW()-3),"")</f>
        <v/>
      </c>
      <c r="AL200" s="24" t="str">
        <f t="array" ref="AL200">IF(AK200="","",MATCH(AM200,L:L,0))</f>
        <v/>
      </c>
      <c r="AM200" s="35">
        <f t="array" ref="AM200">MAX(IF((B$4:B$1000&lt;=AK200)*(B$4:B$1000&gt;=AJ200),L$4:L$1000, ""))</f>
        <v>0</v>
      </c>
      <c r="AN200" s="32" t="str">
        <f t="shared" si="136"/>
        <v/>
      </c>
      <c r="AO200" s="32" t="str">
        <f t="shared" si="137"/>
        <v/>
      </c>
      <c r="AP200" s="32" t="str">
        <f t="shared" si="138"/>
        <v/>
      </c>
      <c r="AQ200" s="32" t="str">
        <f t="shared" si="139"/>
        <v/>
      </c>
      <c r="AR200" s="32" t="str">
        <f t="shared" si="140"/>
        <v/>
      </c>
      <c r="AS200" s="32" t="str">
        <f t="shared" si="141"/>
        <v/>
      </c>
      <c r="AT200" s="32" t="str">
        <f t="shared" si="142"/>
        <v/>
      </c>
      <c r="AU200" s="34" t="str">
        <f t="shared" si="143"/>
        <v/>
      </c>
      <c r="AV200" s="32" t="str">
        <f t="shared" si="144"/>
        <v/>
      </c>
      <c r="AW200" s="32" t="str">
        <f t="shared" si="145"/>
        <v/>
      </c>
      <c r="AX200" s="32" t="str">
        <f t="shared" si="146"/>
        <v/>
      </c>
      <c r="AY200" s="32" t="str">
        <f t="shared" si="147"/>
        <v/>
      </c>
    </row>
    <row r="201" spans="1:51" x14ac:dyDescent="0.25">
      <c r="A201" s="24" t="str">
        <f t="shared" si="148"/>
        <v/>
      </c>
      <c r="B201" s="24" t="str">
        <f t="shared" si="158"/>
        <v/>
      </c>
      <c r="C201" s="32" t="str">
        <f t="shared" si="149"/>
        <v/>
      </c>
      <c r="D201" s="24" t="str">
        <f t="shared" si="150"/>
        <v/>
      </c>
      <c r="E201" s="24" t="str">
        <f t="shared" si="151"/>
        <v/>
      </c>
      <c r="F201" s="32" t="str">
        <f t="shared" si="152"/>
        <v/>
      </c>
      <c r="G201" s="32" t="str">
        <f t="shared" si="153"/>
        <v/>
      </c>
      <c r="H201" s="32" t="str">
        <f t="shared" ca="1" si="154"/>
        <v/>
      </c>
      <c r="I201" s="32" t="str">
        <f t="shared" ca="1" si="159"/>
        <v/>
      </c>
      <c r="J201" s="32" t="str">
        <f t="shared" si="155"/>
        <v/>
      </c>
      <c r="K201" s="32" t="str">
        <f>IF(ISNUMBER(A201),Profile!$V$25+Profile!$V$24*'Ri-Po'!C201,"")</f>
        <v/>
      </c>
      <c r="L201" s="32" t="str">
        <f t="shared" si="160"/>
        <v/>
      </c>
      <c r="M201" s="32" t="str">
        <f t="shared" si="156"/>
        <v/>
      </c>
      <c r="N201" s="32" t="str">
        <f t="shared" si="157"/>
        <v/>
      </c>
      <c r="O201" s="32" t="str">
        <f t="shared" si="173"/>
        <v/>
      </c>
      <c r="P201" s="32" t="str">
        <f t="shared" si="161"/>
        <v/>
      </c>
      <c r="Q201" s="32" t="str">
        <f t="shared" si="162"/>
        <v/>
      </c>
      <c r="R201" s="32" t="str">
        <f t="shared" si="174"/>
        <v/>
      </c>
      <c r="S201" s="24" t="str">
        <f t="shared" si="175"/>
        <v/>
      </c>
      <c r="T201" s="24" t="str">
        <f t="shared" si="176"/>
        <v/>
      </c>
      <c r="U201" s="24" t="str">
        <f t="shared" si="177"/>
        <v/>
      </c>
      <c r="V201" s="24" t="str">
        <f t="shared" si="178"/>
        <v/>
      </c>
      <c r="W201" s="23" t="str">
        <f t="array" ref="W201">IFERROR(SMALL(IF(S$1:S$1000="BEGIN",ROW(S$1:S$1000)),ROW()-3),"")</f>
        <v/>
      </c>
      <c r="X201" s="23" t="str">
        <f t="array" ref="X201">IFERROR(SMALL(IF(T$1:T$1000="END",ROW(T$1:T$1000)),ROW()-3),"")</f>
        <v/>
      </c>
      <c r="Y201" s="33" t="str">
        <f t="array" ref="Y201">IF(ISNUMBER(W201),MAX(IF((B$4:B$1000&lt;=X201)*(B$4:B$1000&gt;=W201),I$4:I$1000, "")),"")</f>
        <v/>
      </c>
      <c r="Z201" s="33" t="str">
        <f t="shared" si="163"/>
        <v/>
      </c>
      <c r="AA201" s="32" t="str">
        <f t="shared" si="164"/>
        <v/>
      </c>
      <c r="AB201" s="32" t="str">
        <f t="shared" si="165"/>
        <v/>
      </c>
      <c r="AC201" s="32" t="str">
        <f t="shared" si="166"/>
        <v/>
      </c>
      <c r="AD201" s="32" t="str">
        <f t="shared" si="167"/>
        <v/>
      </c>
      <c r="AE201" s="34" t="str">
        <f t="shared" si="168"/>
        <v/>
      </c>
      <c r="AF201" s="32" t="str">
        <f t="shared" si="169"/>
        <v/>
      </c>
      <c r="AG201" s="32" t="str">
        <f t="shared" si="170"/>
        <v/>
      </c>
      <c r="AH201" s="32" t="str">
        <f t="shared" si="171"/>
        <v/>
      </c>
      <c r="AI201" s="35" t="str">
        <f t="shared" si="172"/>
        <v/>
      </c>
      <c r="AJ201" s="23" t="str">
        <f t="array" ref="AJ201">IFERROR(SMALL(IF(U$1:U$1000="BEGIN",ROW(U$1:U$1000)),ROW()-3),"")</f>
        <v/>
      </c>
      <c r="AK201" s="23" t="str">
        <f t="array" ref="AK201">IFERROR(SMALL(IF(V$1:V$1000="END",ROW(V$1:V$1000)),ROW()-3),"")</f>
        <v/>
      </c>
      <c r="AL201" s="24" t="str">
        <f t="array" ref="AL201">IF(AK201="","",MATCH(AM201,L:L,0))</f>
        <v/>
      </c>
      <c r="AM201" s="35">
        <f t="array" ref="AM201">MAX(IF((B$4:B$1000&lt;=AK201)*(B$4:B$1000&gt;=AJ201),L$4:L$1000, ""))</f>
        <v>0</v>
      </c>
      <c r="AN201" s="32" t="str">
        <f t="shared" si="136"/>
        <v/>
      </c>
      <c r="AO201" s="32" t="str">
        <f t="shared" si="137"/>
        <v/>
      </c>
      <c r="AP201" s="32" t="str">
        <f t="shared" si="138"/>
        <v/>
      </c>
      <c r="AQ201" s="32" t="str">
        <f t="shared" si="139"/>
        <v/>
      </c>
      <c r="AR201" s="32" t="str">
        <f t="shared" si="140"/>
        <v/>
      </c>
      <c r="AS201" s="32" t="str">
        <f t="shared" si="141"/>
        <v/>
      </c>
      <c r="AT201" s="32" t="str">
        <f t="shared" si="142"/>
        <v/>
      </c>
      <c r="AU201" s="34" t="str">
        <f t="shared" si="143"/>
        <v/>
      </c>
      <c r="AV201" s="32" t="str">
        <f t="shared" si="144"/>
        <v/>
      </c>
      <c r="AW201" s="32" t="str">
        <f t="shared" si="145"/>
        <v/>
      </c>
      <c r="AX201" s="32" t="str">
        <f t="shared" si="146"/>
        <v/>
      </c>
      <c r="AY201" s="32" t="str">
        <f t="shared" si="147"/>
        <v/>
      </c>
    </row>
    <row r="202" spans="1:51" x14ac:dyDescent="0.25">
      <c r="A202" s="24" t="str">
        <f t="shared" si="148"/>
        <v/>
      </c>
      <c r="B202" s="24" t="str">
        <f t="shared" si="158"/>
        <v/>
      </c>
      <c r="C202" s="32" t="str">
        <f t="shared" si="149"/>
        <v/>
      </c>
      <c r="D202" s="24" t="str">
        <f t="shared" si="150"/>
        <v/>
      </c>
      <c r="E202" s="24" t="str">
        <f t="shared" si="151"/>
        <v/>
      </c>
      <c r="F202" s="32" t="str">
        <f t="shared" si="152"/>
        <v/>
      </c>
      <c r="G202" s="32" t="str">
        <f t="shared" si="153"/>
        <v/>
      </c>
      <c r="H202" s="32" t="str">
        <f t="shared" ca="1" si="154"/>
        <v/>
      </c>
      <c r="I202" s="32" t="str">
        <f t="shared" ca="1" si="159"/>
        <v/>
      </c>
      <c r="J202" s="32" t="str">
        <f t="shared" si="155"/>
        <v/>
      </c>
      <c r="K202" s="32" t="str">
        <f>IF(ISNUMBER(A202),Profile!$V$25+Profile!$V$24*'Ri-Po'!C202,"")</f>
        <v/>
      </c>
      <c r="L202" s="32" t="str">
        <f t="shared" si="160"/>
        <v/>
      </c>
      <c r="M202" s="32" t="str">
        <f t="shared" si="156"/>
        <v/>
      </c>
      <c r="N202" s="32" t="str">
        <f t="shared" si="157"/>
        <v/>
      </c>
      <c r="O202" s="32" t="str">
        <f t="shared" si="173"/>
        <v/>
      </c>
      <c r="P202" s="32" t="str">
        <f t="shared" si="161"/>
        <v/>
      </c>
      <c r="Q202" s="32" t="str">
        <f t="shared" si="162"/>
        <v/>
      </c>
      <c r="R202" s="32" t="str">
        <f t="shared" si="174"/>
        <v/>
      </c>
      <c r="S202" s="24" t="str">
        <f t="shared" si="175"/>
        <v/>
      </c>
      <c r="T202" s="24" t="str">
        <f t="shared" si="176"/>
        <v/>
      </c>
      <c r="U202" s="24" t="str">
        <f t="shared" si="177"/>
        <v/>
      </c>
      <c r="V202" s="24" t="str">
        <f t="shared" si="178"/>
        <v/>
      </c>
      <c r="W202" s="23" t="str">
        <f t="array" ref="W202">IFERROR(SMALL(IF(S$1:S$1000="BEGIN",ROW(S$1:S$1000)),ROW()-3),"")</f>
        <v/>
      </c>
      <c r="X202" s="23" t="str">
        <f t="array" ref="X202">IFERROR(SMALL(IF(T$1:T$1000="END",ROW(T$1:T$1000)),ROW()-3),"")</f>
        <v/>
      </c>
      <c r="Y202" s="33" t="str">
        <f t="array" ref="Y202">IF(ISNUMBER(W202),MAX(IF((B$4:B$1000&lt;=X202)*(B$4:B$1000&gt;=W202),I$4:I$1000, "")),"")</f>
        <v/>
      </c>
      <c r="Z202" s="33" t="str">
        <f t="shared" si="163"/>
        <v/>
      </c>
      <c r="AA202" s="32" t="str">
        <f t="shared" si="164"/>
        <v/>
      </c>
      <c r="AB202" s="32" t="str">
        <f t="shared" si="165"/>
        <v/>
      </c>
      <c r="AC202" s="32" t="str">
        <f t="shared" si="166"/>
        <v/>
      </c>
      <c r="AD202" s="32" t="str">
        <f t="shared" si="167"/>
        <v/>
      </c>
      <c r="AE202" s="34" t="str">
        <f t="shared" si="168"/>
        <v/>
      </c>
      <c r="AF202" s="32" t="str">
        <f t="shared" si="169"/>
        <v/>
      </c>
      <c r="AG202" s="32" t="str">
        <f t="shared" si="170"/>
        <v/>
      </c>
      <c r="AH202" s="32" t="str">
        <f t="shared" si="171"/>
        <v/>
      </c>
      <c r="AI202" s="35" t="str">
        <f t="shared" si="172"/>
        <v/>
      </c>
      <c r="AJ202" s="23" t="str">
        <f t="array" ref="AJ202">IFERROR(SMALL(IF(U$1:U$1000="BEGIN",ROW(U$1:U$1000)),ROW()-3),"")</f>
        <v/>
      </c>
      <c r="AK202" s="23" t="str">
        <f t="array" ref="AK202">IFERROR(SMALL(IF(V$1:V$1000="END",ROW(V$1:V$1000)),ROW()-3),"")</f>
        <v/>
      </c>
      <c r="AL202" s="24" t="str">
        <f t="array" ref="AL202">IF(AK202="","",MATCH(AM202,L:L,0))</f>
        <v/>
      </c>
      <c r="AM202" s="35">
        <f t="array" ref="AM202">MAX(IF((B$4:B$1000&lt;=AK202)*(B$4:B$1000&gt;=AJ202),L$4:L$1000, ""))</f>
        <v>0</v>
      </c>
      <c r="AN202" s="32" t="str">
        <f t="shared" si="136"/>
        <v/>
      </c>
      <c r="AO202" s="32" t="str">
        <f t="shared" si="137"/>
        <v/>
      </c>
      <c r="AP202" s="32" t="str">
        <f t="shared" si="138"/>
        <v/>
      </c>
      <c r="AQ202" s="32" t="str">
        <f t="shared" si="139"/>
        <v/>
      </c>
      <c r="AR202" s="32" t="str">
        <f t="shared" si="140"/>
        <v/>
      </c>
      <c r="AS202" s="32" t="str">
        <f t="shared" si="141"/>
        <v/>
      </c>
      <c r="AT202" s="32" t="str">
        <f t="shared" si="142"/>
        <v/>
      </c>
      <c r="AU202" s="34" t="str">
        <f t="shared" si="143"/>
        <v/>
      </c>
      <c r="AV202" s="32" t="str">
        <f t="shared" si="144"/>
        <v/>
      </c>
      <c r="AW202" s="32" t="str">
        <f t="shared" si="145"/>
        <v/>
      </c>
      <c r="AX202" s="32" t="str">
        <f t="shared" si="146"/>
        <v/>
      </c>
      <c r="AY202" s="32" t="str">
        <f t="shared" si="147"/>
        <v/>
      </c>
    </row>
    <row r="203" spans="1:51" x14ac:dyDescent="0.25">
      <c r="A203" s="24" t="str">
        <f t="shared" si="148"/>
        <v/>
      </c>
      <c r="B203" s="24" t="str">
        <f t="shared" si="158"/>
        <v/>
      </c>
      <c r="C203" s="32" t="str">
        <f t="shared" si="149"/>
        <v/>
      </c>
      <c r="D203" s="24" t="str">
        <f t="shared" si="150"/>
        <v/>
      </c>
      <c r="E203" s="24" t="str">
        <f t="shared" si="151"/>
        <v/>
      </c>
      <c r="F203" s="32" t="str">
        <f t="shared" si="152"/>
        <v/>
      </c>
      <c r="G203" s="32" t="str">
        <f t="shared" si="153"/>
        <v/>
      </c>
      <c r="H203" s="32" t="str">
        <f t="shared" ca="1" si="154"/>
        <v/>
      </c>
      <c r="I203" s="32" t="str">
        <f t="shared" ca="1" si="159"/>
        <v/>
      </c>
      <c r="J203" s="32" t="str">
        <f t="shared" si="155"/>
        <v/>
      </c>
      <c r="K203" s="32" t="str">
        <f>IF(ISNUMBER(A203),Profile!$V$25+Profile!$V$24*'Ri-Po'!C203,"")</f>
        <v/>
      </c>
      <c r="L203" s="32" t="str">
        <f t="shared" si="160"/>
        <v/>
      </c>
      <c r="M203" s="32" t="str">
        <f t="shared" si="156"/>
        <v/>
      </c>
      <c r="N203" s="32" t="str">
        <f t="shared" si="157"/>
        <v/>
      </c>
      <c r="O203" s="32" t="str">
        <f t="shared" si="173"/>
        <v/>
      </c>
      <c r="P203" s="32" t="str">
        <f t="shared" si="161"/>
        <v/>
      </c>
      <c r="Q203" s="32" t="str">
        <f t="shared" si="162"/>
        <v/>
      </c>
      <c r="R203" s="32" t="str">
        <f t="shared" si="174"/>
        <v/>
      </c>
      <c r="S203" s="24" t="str">
        <f t="shared" si="175"/>
        <v/>
      </c>
      <c r="T203" s="24" t="str">
        <f t="shared" si="176"/>
        <v/>
      </c>
      <c r="U203" s="24" t="str">
        <f t="shared" si="177"/>
        <v/>
      </c>
      <c r="V203" s="24" t="str">
        <f t="shared" si="178"/>
        <v/>
      </c>
      <c r="W203" s="23" t="str">
        <f t="array" ref="W203">IFERROR(SMALL(IF(S$1:S$1000="BEGIN",ROW(S$1:S$1000)),ROW()-3),"")</f>
        <v/>
      </c>
      <c r="X203" s="23" t="str">
        <f t="array" ref="X203">IFERROR(SMALL(IF(T$1:T$1000="END",ROW(T$1:T$1000)),ROW()-3),"")</f>
        <v/>
      </c>
      <c r="Y203" s="33" t="str">
        <f t="array" ref="Y203">IF(ISNUMBER(W203),MAX(IF((B$4:B$1000&lt;=X203)*(B$4:B$1000&gt;=W203),I$4:I$1000, "")),"")</f>
        <v/>
      </c>
      <c r="Z203" s="33" t="str">
        <f t="shared" si="163"/>
        <v/>
      </c>
      <c r="AA203" s="32" t="str">
        <f t="shared" si="164"/>
        <v/>
      </c>
      <c r="AB203" s="32" t="str">
        <f t="shared" si="165"/>
        <v/>
      </c>
      <c r="AC203" s="32" t="str">
        <f t="shared" si="166"/>
        <v/>
      </c>
      <c r="AD203" s="32" t="str">
        <f t="shared" si="167"/>
        <v/>
      </c>
      <c r="AE203" s="34" t="str">
        <f t="shared" si="168"/>
        <v/>
      </c>
      <c r="AF203" s="32" t="str">
        <f t="shared" si="169"/>
        <v/>
      </c>
      <c r="AG203" s="32" t="str">
        <f t="shared" si="170"/>
        <v/>
      </c>
      <c r="AH203" s="32" t="str">
        <f t="shared" si="171"/>
        <v/>
      </c>
      <c r="AI203" s="35" t="str">
        <f t="shared" si="172"/>
        <v/>
      </c>
      <c r="AJ203" s="23" t="str">
        <f t="array" ref="AJ203">IFERROR(SMALL(IF(U$1:U$1000="BEGIN",ROW(U$1:U$1000)),ROW()-3),"")</f>
        <v/>
      </c>
      <c r="AK203" s="23" t="str">
        <f t="array" ref="AK203">IFERROR(SMALL(IF(V$1:V$1000="END",ROW(V$1:V$1000)),ROW()-3),"")</f>
        <v/>
      </c>
      <c r="AL203" s="24" t="str">
        <f t="array" ref="AL203">IF(AK203="","",MATCH(AM203,L:L,0))</f>
        <v/>
      </c>
      <c r="AM203" s="35">
        <f t="array" ref="AM203">MAX(IF((B$4:B$1000&lt;=AK203)*(B$4:B$1000&gt;=AJ203),L$4:L$1000, ""))</f>
        <v>0</v>
      </c>
      <c r="AN203" s="32" t="str">
        <f t="shared" si="136"/>
        <v/>
      </c>
      <c r="AO203" s="32" t="str">
        <f t="shared" si="137"/>
        <v/>
      </c>
      <c r="AP203" s="32" t="str">
        <f t="shared" si="138"/>
        <v/>
      </c>
      <c r="AQ203" s="32" t="str">
        <f t="shared" si="139"/>
        <v/>
      </c>
      <c r="AR203" s="32" t="str">
        <f t="shared" si="140"/>
        <v/>
      </c>
      <c r="AS203" s="32" t="str">
        <f t="shared" si="141"/>
        <v/>
      </c>
      <c r="AT203" s="32" t="str">
        <f t="shared" si="142"/>
        <v/>
      </c>
      <c r="AU203" s="34" t="str">
        <f t="shared" si="143"/>
        <v/>
      </c>
      <c r="AV203" s="32" t="str">
        <f t="shared" si="144"/>
        <v/>
      </c>
      <c r="AW203" s="32" t="str">
        <f t="shared" si="145"/>
        <v/>
      </c>
      <c r="AX203" s="32" t="str">
        <f t="shared" si="146"/>
        <v/>
      </c>
      <c r="AY203" s="32" t="str">
        <f t="shared" si="147"/>
        <v/>
      </c>
    </row>
    <row r="204" spans="1:51" x14ac:dyDescent="0.25">
      <c r="A204" s="24" t="str">
        <f t="shared" si="148"/>
        <v/>
      </c>
      <c r="B204" s="24" t="str">
        <f t="shared" si="158"/>
        <v/>
      </c>
      <c r="C204" s="32" t="str">
        <f t="shared" si="149"/>
        <v/>
      </c>
      <c r="D204" s="24" t="str">
        <f t="shared" si="150"/>
        <v/>
      </c>
      <c r="E204" s="24" t="str">
        <f t="shared" si="151"/>
        <v/>
      </c>
      <c r="F204" s="32" t="str">
        <f t="shared" si="152"/>
        <v/>
      </c>
      <c r="G204" s="32" t="str">
        <f t="shared" si="153"/>
        <v/>
      </c>
      <c r="H204" s="32" t="str">
        <f t="shared" ca="1" si="154"/>
        <v/>
      </c>
      <c r="I204" s="32" t="str">
        <f t="shared" ca="1" si="159"/>
        <v/>
      </c>
      <c r="J204" s="32" t="str">
        <f t="shared" si="155"/>
        <v/>
      </c>
      <c r="K204" s="32" t="str">
        <f>IF(ISNUMBER(A204),Profile!$V$25+Profile!$V$24*'Ri-Po'!C204,"")</f>
        <v/>
      </c>
      <c r="L204" s="32" t="str">
        <f t="shared" si="160"/>
        <v/>
      </c>
      <c r="M204" s="32" t="str">
        <f t="shared" si="156"/>
        <v/>
      </c>
      <c r="N204" s="32" t="str">
        <f t="shared" si="157"/>
        <v/>
      </c>
      <c r="O204" s="32" t="str">
        <f t="shared" si="173"/>
        <v/>
      </c>
      <c r="P204" s="32" t="str">
        <f t="shared" si="161"/>
        <v/>
      </c>
      <c r="Q204" s="32" t="str">
        <f t="shared" si="162"/>
        <v/>
      </c>
      <c r="R204" s="32" t="str">
        <f t="shared" si="174"/>
        <v/>
      </c>
      <c r="S204" s="24" t="str">
        <f t="shared" si="175"/>
        <v/>
      </c>
      <c r="T204" s="24" t="str">
        <f t="shared" si="176"/>
        <v/>
      </c>
      <c r="U204" s="24" t="str">
        <f t="shared" si="177"/>
        <v/>
      </c>
      <c r="V204" s="24" t="str">
        <f t="shared" si="178"/>
        <v/>
      </c>
      <c r="W204" s="23" t="str">
        <f t="array" ref="W204">IFERROR(SMALL(IF(S$1:S$1000="BEGIN",ROW(S$1:S$1000)),ROW()-3),"")</f>
        <v/>
      </c>
      <c r="X204" s="23" t="str">
        <f t="array" ref="X204">IFERROR(SMALL(IF(T$1:T$1000="END",ROW(T$1:T$1000)),ROW()-3),"")</f>
        <v/>
      </c>
      <c r="Y204" s="33" t="str">
        <f t="array" ref="Y204">IF(ISNUMBER(W204),MAX(IF((B$4:B$1000&lt;=X204)*(B$4:B$1000&gt;=W204),I$4:I$1000, "")),"")</f>
        <v/>
      </c>
      <c r="Z204" s="33" t="str">
        <f t="shared" si="163"/>
        <v/>
      </c>
      <c r="AA204" s="32" t="str">
        <f t="shared" si="164"/>
        <v/>
      </c>
      <c r="AB204" s="32" t="str">
        <f t="shared" si="165"/>
        <v/>
      </c>
      <c r="AC204" s="32" t="str">
        <f t="shared" si="166"/>
        <v/>
      </c>
      <c r="AD204" s="32" t="str">
        <f t="shared" si="167"/>
        <v/>
      </c>
      <c r="AE204" s="34" t="str">
        <f t="shared" si="168"/>
        <v/>
      </c>
      <c r="AF204" s="32" t="str">
        <f t="shared" si="169"/>
        <v/>
      </c>
      <c r="AG204" s="32" t="str">
        <f t="shared" si="170"/>
        <v/>
      </c>
      <c r="AH204" s="32" t="str">
        <f t="shared" si="171"/>
        <v/>
      </c>
      <c r="AI204" s="35" t="str">
        <f t="shared" si="172"/>
        <v/>
      </c>
      <c r="AJ204" s="23" t="str">
        <f t="array" ref="AJ204">IFERROR(SMALL(IF(U$1:U$1000="BEGIN",ROW(U$1:U$1000)),ROW()-3),"")</f>
        <v/>
      </c>
      <c r="AK204" s="23" t="str">
        <f t="array" ref="AK204">IFERROR(SMALL(IF(V$1:V$1000="END",ROW(V$1:V$1000)),ROW()-3),"")</f>
        <v/>
      </c>
      <c r="AL204" s="24" t="str">
        <f t="array" ref="AL204">IF(AK204="","",MATCH(AM204,L:L,0))</f>
        <v/>
      </c>
      <c r="AM204" s="35">
        <f t="array" ref="AM204">MAX(IF((B$4:B$1000&lt;=AK204)*(B$4:B$1000&gt;=AJ204),L$4:L$1000, ""))</f>
        <v>0</v>
      </c>
      <c r="AN204" s="32" t="str">
        <f t="shared" si="136"/>
        <v/>
      </c>
      <c r="AO204" s="32" t="str">
        <f t="shared" si="137"/>
        <v/>
      </c>
      <c r="AP204" s="32" t="str">
        <f t="shared" si="138"/>
        <v/>
      </c>
      <c r="AQ204" s="32" t="str">
        <f t="shared" si="139"/>
        <v/>
      </c>
      <c r="AR204" s="32" t="str">
        <f t="shared" si="140"/>
        <v/>
      </c>
      <c r="AS204" s="32" t="str">
        <f t="shared" si="141"/>
        <v/>
      </c>
      <c r="AT204" s="32" t="str">
        <f t="shared" si="142"/>
        <v/>
      </c>
      <c r="AU204" s="34" t="str">
        <f t="shared" si="143"/>
        <v/>
      </c>
      <c r="AV204" s="32" t="str">
        <f t="shared" si="144"/>
        <v/>
      </c>
      <c r="AW204" s="32" t="str">
        <f t="shared" si="145"/>
        <v/>
      </c>
      <c r="AX204" s="32" t="str">
        <f t="shared" si="146"/>
        <v/>
      </c>
      <c r="AY204" s="32" t="str">
        <f t="shared" si="147"/>
        <v/>
      </c>
    </row>
    <row r="205" spans="1:51" x14ac:dyDescent="0.25">
      <c r="A205" s="24" t="str">
        <f t="shared" si="148"/>
        <v/>
      </c>
      <c r="B205" s="24" t="str">
        <f t="shared" si="158"/>
        <v/>
      </c>
      <c r="C205" s="32" t="str">
        <f t="shared" si="149"/>
        <v/>
      </c>
      <c r="D205" s="24" t="str">
        <f t="shared" si="150"/>
        <v/>
      </c>
      <c r="E205" s="24" t="str">
        <f t="shared" si="151"/>
        <v/>
      </c>
      <c r="F205" s="32" t="str">
        <f t="shared" si="152"/>
        <v/>
      </c>
      <c r="G205" s="32" t="str">
        <f t="shared" si="153"/>
        <v/>
      </c>
      <c r="H205" s="32" t="str">
        <f t="shared" ca="1" si="154"/>
        <v/>
      </c>
      <c r="I205" s="32" t="str">
        <f t="shared" ca="1" si="159"/>
        <v/>
      </c>
      <c r="J205" s="32" t="str">
        <f t="shared" si="155"/>
        <v/>
      </c>
      <c r="K205" s="32" t="str">
        <f>IF(ISNUMBER(A205),Profile!$V$25+Profile!$V$24*'Ri-Po'!C205,"")</f>
        <v/>
      </c>
      <c r="L205" s="32" t="str">
        <f t="shared" si="160"/>
        <v/>
      </c>
      <c r="M205" s="32" t="str">
        <f t="shared" si="156"/>
        <v/>
      </c>
      <c r="N205" s="32" t="str">
        <f t="shared" si="157"/>
        <v/>
      </c>
      <c r="O205" s="32" t="str">
        <f t="shared" si="173"/>
        <v/>
      </c>
      <c r="P205" s="32" t="str">
        <f t="shared" si="161"/>
        <v/>
      </c>
      <c r="Q205" s="32" t="str">
        <f t="shared" si="162"/>
        <v/>
      </c>
      <c r="R205" s="32" t="str">
        <f t="shared" si="174"/>
        <v/>
      </c>
      <c r="S205" s="24" t="str">
        <f t="shared" si="175"/>
        <v/>
      </c>
      <c r="T205" s="24" t="str">
        <f t="shared" si="176"/>
        <v/>
      </c>
      <c r="U205" s="24" t="str">
        <f t="shared" si="177"/>
        <v/>
      </c>
      <c r="V205" s="24" t="str">
        <f t="shared" si="178"/>
        <v/>
      </c>
      <c r="W205" s="23" t="str">
        <f t="array" ref="W205">IFERROR(SMALL(IF(S$1:S$1000="BEGIN",ROW(S$1:S$1000)),ROW()-3),"")</f>
        <v/>
      </c>
      <c r="X205" s="23" t="str">
        <f t="array" ref="X205">IFERROR(SMALL(IF(T$1:T$1000="END",ROW(T$1:T$1000)),ROW()-3),"")</f>
        <v/>
      </c>
      <c r="Y205" s="33" t="str">
        <f t="array" ref="Y205">IF(ISNUMBER(W205),MAX(IF((B$4:B$1000&lt;=X205)*(B$4:B$1000&gt;=W205),I$4:I$1000, "")),"")</f>
        <v/>
      </c>
      <c r="Z205" s="33" t="str">
        <f t="shared" si="163"/>
        <v/>
      </c>
      <c r="AA205" s="32" t="str">
        <f t="shared" si="164"/>
        <v/>
      </c>
      <c r="AB205" s="32" t="str">
        <f t="shared" si="165"/>
        <v/>
      </c>
      <c r="AC205" s="32" t="str">
        <f t="shared" si="166"/>
        <v/>
      </c>
      <c r="AD205" s="32" t="str">
        <f t="shared" si="167"/>
        <v/>
      </c>
      <c r="AE205" s="34" t="str">
        <f t="shared" si="168"/>
        <v/>
      </c>
      <c r="AF205" s="32" t="str">
        <f t="shared" si="169"/>
        <v/>
      </c>
      <c r="AG205" s="32" t="str">
        <f t="shared" si="170"/>
        <v/>
      </c>
      <c r="AH205" s="32" t="str">
        <f t="shared" si="171"/>
        <v/>
      </c>
      <c r="AI205" s="35" t="str">
        <f t="shared" si="172"/>
        <v/>
      </c>
      <c r="AJ205" s="23" t="str">
        <f t="array" ref="AJ205">IFERROR(SMALL(IF(U$1:U$1000="BEGIN",ROW(U$1:U$1000)),ROW()-3),"")</f>
        <v/>
      </c>
      <c r="AK205" s="23" t="str">
        <f t="array" ref="AK205">IFERROR(SMALL(IF(V$1:V$1000="END",ROW(V$1:V$1000)),ROW()-3),"")</f>
        <v/>
      </c>
      <c r="AL205" s="24" t="str">
        <f t="array" ref="AL205">IF(AK205="","",MATCH(AM205,L:L,0))</f>
        <v/>
      </c>
      <c r="AM205" s="35">
        <f t="array" ref="AM205">MAX(IF((B$4:B$1000&lt;=AK205)*(B$4:B$1000&gt;=AJ205),L$4:L$1000, ""))</f>
        <v>0</v>
      </c>
      <c r="AN205" s="32" t="str">
        <f t="shared" si="136"/>
        <v/>
      </c>
      <c r="AO205" s="32" t="str">
        <f t="shared" si="137"/>
        <v/>
      </c>
      <c r="AP205" s="32" t="str">
        <f t="shared" si="138"/>
        <v/>
      </c>
      <c r="AQ205" s="32" t="str">
        <f t="shared" si="139"/>
        <v/>
      </c>
      <c r="AR205" s="32" t="str">
        <f t="shared" si="140"/>
        <v/>
      </c>
      <c r="AS205" s="32" t="str">
        <f t="shared" si="141"/>
        <v/>
      </c>
      <c r="AT205" s="32" t="str">
        <f t="shared" si="142"/>
        <v/>
      </c>
      <c r="AU205" s="34" t="str">
        <f t="shared" si="143"/>
        <v/>
      </c>
      <c r="AV205" s="32" t="str">
        <f t="shared" si="144"/>
        <v/>
      </c>
      <c r="AW205" s="32" t="str">
        <f t="shared" si="145"/>
        <v/>
      </c>
      <c r="AX205" s="32" t="str">
        <f t="shared" si="146"/>
        <v/>
      </c>
      <c r="AY205" s="32" t="str">
        <f t="shared" si="147"/>
        <v/>
      </c>
    </row>
    <row r="206" spans="1:51" x14ac:dyDescent="0.25">
      <c r="A206" s="24" t="str">
        <f t="shared" si="148"/>
        <v/>
      </c>
      <c r="B206" s="24" t="str">
        <f t="shared" si="158"/>
        <v/>
      </c>
      <c r="C206" s="32" t="str">
        <f t="shared" si="149"/>
        <v/>
      </c>
      <c r="D206" s="24" t="str">
        <f t="shared" si="150"/>
        <v/>
      </c>
      <c r="E206" s="24" t="str">
        <f t="shared" si="151"/>
        <v/>
      </c>
      <c r="F206" s="32" t="str">
        <f t="shared" si="152"/>
        <v/>
      </c>
      <c r="G206" s="32" t="str">
        <f t="shared" si="153"/>
        <v/>
      </c>
      <c r="H206" s="32" t="str">
        <f t="shared" ca="1" si="154"/>
        <v/>
      </c>
      <c r="I206" s="32" t="str">
        <f t="shared" ca="1" si="159"/>
        <v/>
      </c>
      <c r="J206" s="32" t="str">
        <f t="shared" si="155"/>
        <v/>
      </c>
      <c r="K206" s="32" t="str">
        <f>IF(ISNUMBER(A206),Profile!$V$25+Profile!$V$24*'Ri-Po'!C206,"")</f>
        <v/>
      </c>
      <c r="L206" s="32" t="str">
        <f t="shared" si="160"/>
        <v/>
      </c>
      <c r="M206" s="32" t="str">
        <f t="shared" si="156"/>
        <v/>
      </c>
      <c r="N206" s="32" t="str">
        <f t="shared" si="157"/>
        <v/>
      </c>
      <c r="O206" s="32" t="str">
        <f t="shared" si="173"/>
        <v/>
      </c>
      <c r="P206" s="32" t="str">
        <f t="shared" si="161"/>
        <v/>
      </c>
      <c r="Q206" s="32" t="str">
        <f t="shared" si="162"/>
        <v/>
      </c>
      <c r="R206" s="32" t="str">
        <f t="shared" si="174"/>
        <v/>
      </c>
      <c r="S206" s="24" t="str">
        <f t="shared" si="175"/>
        <v/>
      </c>
      <c r="T206" s="24" t="str">
        <f t="shared" si="176"/>
        <v/>
      </c>
      <c r="U206" s="24" t="str">
        <f t="shared" si="177"/>
        <v/>
      </c>
      <c r="V206" s="24" t="str">
        <f t="shared" si="178"/>
        <v/>
      </c>
      <c r="W206" s="23" t="str">
        <f t="array" ref="W206">IFERROR(SMALL(IF(S$1:S$1000="BEGIN",ROW(S$1:S$1000)),ROW()-3),"")</f>
        <v/>
      </c>
      <c r="X206" s="23" t="str">
        <f t="array" ref="X206">IFERROR(SMALL(IF(T$1:T$1000="END",ROW(T$1:T$1000)),ROW()-3),"")</f>
        <v/>
      </c>
      <c r="Y206" s="33" t="str">
        <f t="array" ref="Y206">IF(ISNUMBER(W206),MAX(IF((B$4:B$1000&lt;=X206)*(B$4:B$1000&gt;=W206),I$4:I$1000, "")),"")</f>
        <v/>
      </c>
      <c r="Z206" s="33" t="str">
        <f t="shared" si="163"/>
        <v/>
      </c>
      <c r="AA206" s="32" t="str">
        <f t="shared" si="164"/>
        <v/>
      </c>
      <c r="AB206" s="32" t="str">
        <f t="shared" si="165"/>
        <v/>
      </c>
      <c r="AC206" s="32" t="str">
        <f t="shared" si="166"/>
        <v/>
      </c>
      <c r="AD206" s="32" t="str">
        <f t="shared" si="167"/>
        <v/>
      </c>
      <c r="AE206" s="34" t="str">
        <f t="shared" si="168"/>
        <v/>
      </c>
      <c r="AF206" s="32" t="str">
        <f t="shared" si="169"/>
        <v/>
      </c>
      <c r="AG206" s="32" t="str">
        <f t="shared" si="170"/>
        <v/>
      </c>
      <c r="AH206" s="32" t="str">
        <f t="shared" si="171"/>
        <v/>
      </c>
      <c r="AI206" s="35" t="str">
        <f t="shared" si="172"/>
        <v/>
      </c>
      <c r="AJ206" s="23" t="str">
        <f t="array" ref="AJ206">IFERROR(SMALL(IF(U$1:U$1000="BEGIN",ROW(U$1:U$1000)),ROW()-3),"")</f>
        <v/>
      </c>
      <c r="AK206" s="23" t="str">
        <f t="array" ref="AK206">IFERROR(SMALL(IF(V$1:V$1000="END",ROW(V$1:V$1000)),ROW()-3),"")</f>
        <v/>
      </c>
      <c r="AL206" s="24" t="str">
        <f t="array" ref="AL206">IF(AK206="","",MATCH(AM206,L:L,0))</f>
        <v/>
      </c>
      <c r="AM206" s="35">
        <f t="array" ref="AM206">MAX(IF((B$4:B$1000&lt;=AK206)*(B$4:B$1000&gt;=AJ206),L$4:L$1000, ""))</f>
        <v>0</v>
      </c>
      <c r="AN206" s="32" t="str">
        <f t="shared" si="136"/>
        <v/>
      </c>
      <c r="AO206" s="32" t="str">
        <f t="shared" si="137"/>
        <v/>
      </c>
      <c r="AP206" s="32" t="str">
        <f t="shared" si="138"/>
        <v/>
      </c>
      <c r="AQ206" s="32" t="str">
        <f t="shared" si="139"/>
        <v/>
      </c>
      <c r="AR206" s="32" t="str">
        <f t="shared" si="140"/>
        <v/>
      </c>
      <c r="AS206" s="32" t="str">
        <f t="shared" si="141"/>
        <v/>
      </c>
      <c r="AT206" s="32" t="str">
        <f t="shared" si="142"/>
        <v/>
      </c>
      <c r="AU206" s="34" t="str">
        <f t="shared" si="143"/>
        <v/>
      </c>
      <c r="AV206" s="32" t="str">
        <f t="shared" si="144"/>
        <v/>
      </c>
      <c r="AW206" s="32" t="str">
        <f t="shared" si="145"/>
        <v/>
      </c>
      <c r="AX206" s="32" t="str">
        <f t="shared" si="146"/>
        <v/>
      </c>
      <c r="AY206" s="32" t="str">
        <f t="shared" si="147"/>
        <v/>
      </c>
    </row>
    <row r="207" spans="1:51" x14ac:dyDescent="0.25">
      <c r="A207" s="24" t="str">
        <f t="shared" si="148"/>
        <v/>
      </c>
      <c r="B207" s="24" t="str">
        <f t="shared" si="158"/>
        <v/>
      </c>
      <c r="C207" s="32" t="str">
        <f t="shared" si="149"/>
        <v/>
      </c>
      <c r="D207" s="24" t="str">
        <f t="shared" si="150"/>
        <v/>
      </c>
      <c r="E207" s="24" t="str">
        <f t="shared" si="151"/>
        <v/>
      </c>
      <c r="F207" s="32" t="str">
        <f t="shared" si="152"/>
        <v/>
      </c>
      <c r="G207" s="32" t="str">
        <f t="shared" si="153"/>
        <v/>
      </c>
      <c r="H207" s="32" t="str">
        <f t="shared" ca="1" si="154"/>
        <v/>
      </c>
      <c r="I207" s="32" t="str">
        <f t="shared" ca="1" si="159"/>
        <v/>
      </c>
      <c r="J207" s="32" t="str">
        <f t="shared" si="155"/>
        <v/>
      </c>
      <c r="K207" s="32" t="str">
        <f>IF(ISNUMBER(A207),Profile!$V$25+Profile!$V$24*'Ri-Po'!C207,"")</f>
        <v/>
      </c>
      <c r="L207" s="32" t="str">
        <f t="shared" si="160"/>
        <v/>
      </c>
      <c r="M207" s="32" t="str">
        <f t="shared" si="156"/>
        <v/>
      </c>
      <c r="N207" s="32" t="str">
        <f t="shared" si="157"/>
        <v/>
      </c>
      <c r="O207" s="32" t="str">
        <f t="shared" si="173"/>
        <v/>
      </c>
      <c r="P207" s="32" t="str">
        <f t="shared" si="161"/>
        <v/>
      </c>
      <c r="Q207" s="32" t="str">
        <f t="shared" si="162"/>
        <v/>
      </c>
      <c r="R207" s="32" t="str">
        <f t="shared" si="174"/>
        <v/>
      </c>
      <c r="S207" s="24" t="str">
        <f t="shared" si="175"/>
        <v/>
      </c>
      <c r="T207" s="24" t="str">
        <f t="shared" si="176"/>
        <v/>
      </c>
      <c r="U207" s="24" t="str">
        <f t="shared" si="177"/>
        <v/>
      </c>
      <c r="V207" s="24" t="str">
        <f t="shared" si="178"/>
        <v/>
      </c>
      <c r="W207" s="23" t="str">
        <f t="array" ref="W207">IFERROR(SMALL(IF(S$1:S$1000="BEGIN",ROW(S$1:S$1000)),ROW()-3),"")</f>
        <v/>
      </c>
      <c r="X207" s="23" t="str">
        <f t="array" ref="X207">IFERROR(SMALL(IF(T$1:T$1000="END",ROW(T$1:T$1000)),ROW()-3),"")</f>
        <v/>
      </c>
      <c r="Y207" s="33" t="str">
        <f t="array" ref="Y207">IF(ISNUMBER(W207),MAX(IF((B$4:B$1000&lt;=X207)*(B$4:B$1000&gt;=W207),I$4:I$1000, "")),"")</f>
        <v/>
      </c>
      <c r="Z207" s="33" t="str">
        <f t="shared" si="163"/>
        <v/>
      </c>
      <c r="AA207" s="32" t="str">
        <f t="shared" si="164"/>
        <v/>
      </c>
      <c r="AB207" s="32" t="str">
        <f t="shared" si="165"/>
        <v/>
      </c>
      <c r="AC207" s="32" t="str">
        <f t="shared" si="166"/>
        <v/>
      </c>
      <c r="AD207" s="32" t="str">
        <f t="shared" si="167"/>
        <v/>
      </c>
      <c r="AE207" s="34" t="str">
        <f t="shared" si="168"/>
        <v/>
      </c>
      <c r="AF207" s="32" t="str">
        <f t="shared" si="169"/>
        <v/>
      </c>
      <c r="AG207" s="32" t="str">
        <f t="shared" si="170"/>
        <v/>
      </c>
      <c r="AH207" s="32" t="str">
        <f t="shared" si="171"/>
        <v/>
      </c>
      <c r="AI207" s="35" t="str">
        <f t="shared" si="172"/>
        <v/>
      </c>
      <c r="AJ207" s="23" t="str">
        <f t="array" ref="AJ207">IFERROR(SMALL(IF(U$1:U$1000="BEGIN",ROW(U$1:U$1000)),ROW()-3),"")</f>
        <v/>
      </c>
      <c r="AK207" s="23" t="str">
        <f t="array" ref="AK207">IFERROR(SMALL(IF(V$1:V$1000="END",ROW(V$1:V$1000)),ROW()-3),"")</f>
        <v/>
      </c>
      <c r="AL207" s="24" t="str">
        <f t="array" ref="AL207">IF(AK207="","",MATCH(AM207,L:L,0))</f>
        <v/>
      </c>
      <c r="AM207" s="35">
        <f t="array" ref="AM207">MAX(IF((B$4:B$1000&lt;=AK207)*(B$4:B$1000&gt;=AJ207),L$4:L$1000, ""))</f>
        <v>0</v>
      </c>
      <c r="AN207" s="32" t="str">
        <f t="shared" si="136"/>
        <v/>
      </c>
      <c r="AO207" s="32" t="str">
        <f t="shared" si="137"/>
        <v/>
      </c>
      <c r="AP207" s="32" t="str">
        <f t="shared" si="138"/>
        <v/>
      </c>
      <c r="AQ207" s="32" t="str">
        <f t="shared" si="139"/>
        <v/>
      </c>
      <c r="AR207" s="32" t="str">
        <f t="shared" si="140"/>
        <v/>
      </c>
      <c r="AS207" s="32" t="str">
        <f t="shared" si="141"/>
        <v/>
      </c>
      <c r="AT207" s="32" t="str">
        <f t="shared" si="142"/>
        <v/>
      </c>
      <c r="AU207" s="34" t="str">
        <f t="shared" si="143"/>
        <v/>
      </c>
      <c r="AV207" s="32" t="str">
        <f t="shared" si="144"/>
        <v/>
      </c>
      <c r="AW207" s="32" t="str">
        <f t="shared" si="145"/>
        <v/>
      </c>
      <c r="AX207" s="32" t="str">
        <f t="shared" si="146"/>
        <v/>
      </c>
      <c r="AY207" s="32" t="str">
        <f t="shared" si="147"/>
        <v/>
      </c>
    </row>
    <row r="208" spans="1:51" x14ac:dyDescent="0.25">
      <c r="A208" s="24" t="str">
        <f t="shared" si="148"/>
        <v/>
      </c>
      <c r="B208" s="24" t="str">
        <f t="shared" si="158"/>
        <v/>
      </c>
      <c r="C208" s="32" t="str">
        <f t="shared" si="149"/>
        <v/>
      </c>
      <c r="D208" s="24" t="str">
        <f t="shared" si="150"/>
        <v/>
      </c>
      <c r="E208" s="24" t="str">
        <f t="shared" si="151"/>
        <v/>
      </c>
      <c r="F208" s="32" t="str">
        <f t="shared" si="152"/>
        <v/>
      </c>
      <c r="G208" s="32" t="str">
        <f t="shared" si="153"/>
        <v/>
      </c>
      <c r="H208" s="32" t="str">
        <f t="shared" ca="1" si="154"/>
        <v/>
      </c>
      <c r="I208" s="32" t="str">
        <f t="shared" ca="1" si="159"/>
        <v/>
      </c>
      <c r="J208" s="32" t="str">
        <f t="shared" si="155"/>
        <v/>
      </c>
      <c r="K208" s="32" t="str">
        <f>IF(ISNUMBER(A208),Profile!$V$25+Profile!$V$24*'Ri-Po'!C208,"")</f>
        <v/>
      </c>
      <c r="L208" s="32" t="str">
        <f t="shared" si="160"/>
        <v/>
      </c>
      <c r="M208" s="32" t="str">
        <f t="shared" si="156"/>
        <v/>
      </c>
      <c r="N208" s="32" t="str">
        <f t="shared" si="157"/>
        <v/>
      </c>
      <c r="O208" s="32" t="str">
        <f t="shared" si="173"/>
        <v/>
      </c>
      <c r="P208" s="32" t="str">
        <f t="shared" si="161"/>
        <v/>
      </c>
      <c r="Q208" s="32" t="str">
        <f t="shared" si="162"/>
        <v/>
      </c>
      <c r="R208" s="32" t="str">
        <f t="shared" si="174"/>
        <v/>
      </c>
      <c r="S208" s="24" t="str">
        <f t="shared" si="175"/>
        <v/>
      </c>
      <c r="T208" s="24" t="str">
        <f t="shared" si="176"/>
        <v/>
      </c>
      <c r="U208" s="24" t="str">
        <f t="shared" si="177"/>
        <v/>
      </c>
      <c r="V208" s="24" t="str">
        <f t="shared" si="178"/>
        <v/>
      </c>
      <c r="W208" s="23" t="str">
        <f t="array" ref="W208">IFERROR(SMALL(IF(S$1:S$1000="BEGIN",ROW(S$1:S$1000)),ROW()-3),"")</f>
        <v/>
      </c>
      <c r="X208" s="23" t="str">
        <f t="array" ref="X208">IFERROR(SMALL(IF(T$1:T$1000="END",ROW(T$1:T$1000)),ROW()-3),"")</f>
        <v/>
      </c>
      <c r="Y208" s="33" t="str">
        <f t="array" ref="Y208">IF(ISNUMBER(W208),MAX(IF((B$4:B$1000&lt;=X208)*(B$4:B$1000&gt;=W208),I$4:I$1000, "")),"")</f>
        <v/>
      </c>
      <c r="Z208" s="33" t="str">
        <f t="shared" si="163"/>
        <v/>
      </c>
      <c r="AA208" s="32" t="str">
        <f t="shared" si="164"/>
        <v/>
      </c>
      <c r="AB208" s="32" t="str">
        <f t="shared" si="165"/>
        <v/>
      </c>
      <c r="AC208" s="32" t="str">
        <f t="shared" si="166"/>
        <v/>
      </c>
      <c r="AD208" s="32" t="str">
        <f t="shared" si="167"/>
        <v/>
      </c>
      <c r="AE208" s="34" t="str">
        <f t="shared" si="168"/>
        <v/>
      </c>
      <c r="AF208" s="32" t="str">
        <f t="shared" si="169"/>
        <v/>
      </c>
      <c r="AG208" s="32" t="str">
        <f t="shared" si="170"/>
        <v/>
      </c>
      <c r="AH208" s="32" t="str">
        <f t="shared" si="171"/>
        <v/>
      </c>
      <c r="AI208" s="35" t="str">
        <f t="shared" si="172"/>
        <v/>
      </c>
      <c r="AJ208" s="23" t="str">
        <f t="array" ref="AJ208">IFERROR(SMALL(IF(U$1:U$1000="BEGIN",ROW(U$1:U$1000)),ROW()-3),"")</f>
        <v/>
      </c>
      <c r="AK208" s="23" t="str">
        <f t="array" ref="AK208">IFERROR(SMALL(IF(V$1:V$1000="END",ROW(V$1:V$1000)),ROW()-3),"")</f>
        <v/>
      </c>
      <c r="AL208" s="24" t="str">
        <f t="array" ref="AL208">IF(AK208="","",MATCH(AM208,L:L,0))</f>
        <v/>
      </c>
      <c r="AM208" s="35">
        <f t="array" ref="AM208">MAX(IF((B$4:B$1000&lt;=AK208)*(B$4:B$1000&gt;=AJ208),L$4:L$1000, ""))</f>
        <v>0</v>
      </c>
      <c r="AN208" s="32" t="str">
        <f t="shared" si="136"/>
        <v/>
      </c>
      <c r="AO208" s="32" t="str">
        <f t="shared" si="137"/>
        <v/>
      </c>
      <c r="AP208" s="32" t="str">
        <f t="shared" si="138"/>
        <v/>
      </c>
      <c r="AQ208" s="32" t="str">
        <f t="shared" si="139"/>
        <v/>
      </c>
      <c r="AR208" s="32" t="str">
        <f t="shared" si="140"/>
        <v/>
      </c>
      <c r="AS208" s="32" t="str">
        <f t="shared" si="141"/>
        <v/>
      </c>
      <c r="AT208" s="32" t="str">
        <f t="shared" si="142"/>
        <v/>
      </c>
      <c r="AU208" s="34" t="str">
        <f t="shared" si="143"/>
        <v/>
      </c>
      <c r="AV208" s="32" t="str">
        <f t="shared" si="144"/>
        <v/>
      </c>
      <c r="AW208" s="32" t="str">
        <f t="shared" si="145"/>
        <v/>
      </c>
      <c r="AX208" s="32" t="str">
        <f t="shared" si="146"/>
        <v/>
      </c>
      <c r="AY208" s="32" t="str">
        <f t="shared" si="147"/>
        <v/>
      </c>
    </row>
    <row r="209" spans="1:51" x14ac:dyDescent="0.25">
      <c r="A209" s="24" t="str">
        <f t="shared" si="148"/>
        <v/>
      </c>
      <c r="B209" s="24" t="str">
        <f t="shared" si="158"/>
        <v/>
      </c>
      <c r="C209" s="32" t="str">
        <f t="shared" si="149"/>
        <v/>
      </c>
      <c r="D209" s="24" t="str">
        <f t="shared" si="150"/>
        <v/>
      </c>
      <c r="E209" s="24" t="str">
        <f t="shared" si="151"/>
        <v/>
      </c>
      <c r="F209" s="32" t="str">
        <f t="shared" si="152"/>
        <v/>
      </c>
      <c r="G209" s="32" t="str">
        <f t="shared" si="153"/>
        <v/>
      </c>
      <c r="H209" s="32" t="str">
        <f t="shared" ca="1" si="154"/>
        <v/>
      </c>
      <c r="I209" s="32" t="str">
        <f t="shared" ca="1" si="159"/>
        <v/>
      </c>
      <c r="J209" s="32" t="str">
        <f t="shared" si="155"/>
        <v/>
      </c>
      <c r="K209" s="32" t="str">
        <f>IF(ISNUMBER(A209),Profile!$V$25+Profile!$V$24*'Ri-Po'!C209,"")</f>
        <v/>
      </c>
      <c r="L209" s="32" t="str">
        <f t="shared" si="160"/>
        <v/>
      </c>
      <c r="M209" s="32" t="str">
        <f t="shared" si="156"/>
        <v/>
      </c>
      <c r="N209" s="32" t="str">
        <f t="shared" si="157"/>
        <v/>
      </c>
      <c r="O209" s="32" t="str">
        <f t="shared" si="173"/>
        <v/>
      </c>
      <c r="P209" s="32" t="str">
        <f t="shared" si="161"/>
        <v/>
      </c>
      <c r="Q209" s="32" t="str">
        <f t="shared" si="162"/>
        <v/>
      </c>
      <c r="R209" s="32" t="str">
        <f t="shared" si="174"/>
        <v/>
      </c>
      <c r="S209" s="24" t="str">
        <f t="shared" si="175"/>
        <v/>
      </c>
      <c r="T209" s="24" t="str">
        <f t="shared" si="176"/>
        <v/>
      </c>
      <c r="U209" s="24" t="str">
        <f t="shared" si="177"/>
        <v/>
      </c>
      <c r="V209" s="24" t="str">
        <f t="shared" si="178"/>
        <v/>
      </c>
      <c r="W209" s="23" t="str">
        <f t="array" ref="W209">IFERROR(SMALL(IF(S$1:S$1000="BEGIN",ROW(S$1:S$1000)),ROW()-3),"")</f>
        <v/>
      </c>
      <c r="X209" s="23" t="str">
        <f t="array" ref="X209">IFERROR(SMALL(IF(T$1:T$1000="END",ROW(T$1:T$1000)),ROW()-3),"")</f>
        <v/>
      </c>
      <c r="Y209" s="33" t="str">
        <f t="array" ref="Y209">IF(ISNUMBER(W209),MAX(IF((B$4:B$1000&lt;=X209)*(B$4:B$1000&gt;=W209),I$4:I$1000, "")),"")</f>
        <v/>
      </c>
      <c r="Z209" s="33" t="str">
        <f t="shared" si="163"/>
        <v/>
      </c>
      <c r="AA209" s="32" t="str">
        <f t="shared" si="164"/>
        <v/>
      </c>
      <c r="AB209" s="32" t="str">
        <f t="shared" si="165"/>
        <v/>
      </c>
      <c r="AC209" s="32" t="str">
        <f t="shared" si="166"/>
        <v/>
      </c>
      <c r="AD209" s="32" t="str">
        <f t="shared" si="167"/>
        <v/>
      </c>
      <c r="AE209" s="34" t="str">
        <f t="shared" si="168"/>
        <v/>
      </c>
      <c r="AF209" s="32" t="str">
        <f t="shared" si="169"/>
        <v/>
      </c>
      <c r="AG209" s="32" t="str">
        <f t="shared" si="170"/>
        <v/>
      </c>
      <c r="AH209" s="32" t="str">
        <f t="shared" si="171"/>
        <v/>
      </c>
      <c r="AI209" s="35" t="str">
        <f t="shared" si="172"/>
        <v/>
      </c>
      <c r="AJ209" s="23" t="str">
        <f t="array" ref="AJ209">IFERROR(SMALL(IF(U$1:U$1000="BEGIN",ROW(U$1:U$1000)),ROW()-3),"")</f>
        <v/>
      </c>
      <c r="AK209" s="23" t="str">
        <f t="array" ref="AK209">IFERROR(SMALL(IF(V$1:V$1000="END",ROW(V$1:V$1000)),ROW()-3),"")</f>
        <v/>
      </c>
      <c r="AL209" s="24" t="str">
        <f t="array" ref="AL209">IF(AK209="","",MATCH(AM209,L:L,0))</f>
        <v/>
      </c>
      <c r="AM209" s="35">
        <f t="array" ref="AM209">MAX(IF((B$4:B$1000&lt;=AK209)*(B$4:B$1000&gt;=AJ209),L$4:L$1000, ""))</f>
        <v>0</v>
      </c>
      <c r="AN209" s="32" t="str">
        <f t="shared" si="136"/>
        <v/>
      </c>
      <c r="AO209" s="32" t="str">
        <f t="shared" si="137"/>
        <v/>
      </c>
      <c r="AP209" s="32" t="str">
        <f t="shared" si="138"/>
        <v/>
      </c>
      <c r="AQ209" s="32" t="str">
        <f t="shared" si="139"/>
        <v/>
      </c>
      <c r="AR209" s="32" t="str">
        <f t="shared" si="140"/>
        <v/>
      </c>
      <c r="AS209" s="32" t="str">
        <f t="shared" si="141"/>
        <v/>
      </c>
      <c r="AT209" s="32" t="str">
        <f t="shared" si="142"/>
        <v/>
      </c>
      <c r="AU209" s="34" t="str">
        <f t="shared" si="143"/>
        <v/>
      </c>
      <c r="AV209" s="32" t="str">
        <f t="shared" si="144"/>
        <v/>
      </c>
      <c r="AW209" s="32" t="str">
        <f t="shared" si="145"/>
        <v/>
      </c>
      <c r="AX209" s="32" t="str">
        <f t="shared" si="146"/>
        <v/>
      </c>
      <c r="AY209" s="32" t="str">
        <f t="shared" si="147"/>
        <v/>
      </c>
    </row>
    <row r="210" spans="1:51" x14ac:dyDescent="0.25">
      <c r="A210" s="24" t="str">
        <f t="shared" si="148"/>
        <v/>
      </c>
      <c r="B210" s="24" t="str">
        <f t="shared" si="158"/>
        <v/>
      </c>
      <c r="C210" s="32" t="str">
        <f t="shared" si="149"/>
        <v/>
      </c>
      <c r="D210" s="24" t="str">
        <f t="shared" si="150"/>
        <v/>
      </c>
      <c r="E210" s="24" t="str">
        <f t="shared" si="151"/>
        <v/>
      </c>
      <c r="F210" s="32" t="str">
        <f t="shared" si="152"/>
        <v/>
      </c>
      <c r="G210" s="32" t="str">
        <f t="shared" si="153"/>
        <v/>
      </c>
      <c r="H210" s="32" t="str">
        <f t="shared" ca="1" si="154"/>
        <v/>
      </c>
      <c r="I210" s="32" t="str">
        <f t="shared" ca="1" si="159"/>
        <v/>
      </c>
      <c r="J210" s="32" t="str">
        <f t="shared" si="155"/>
        <v/>
      </c>
      <c r="K210" s="32" t="str">
        <f>IF(ISNUMBER(A210),Profile!$V$25+Profile!$V$24*'Ri-Po'!C210,"")</f>
        <v/>
      </c>
      <c r="L210" s="32" t="str">
        <f t="shared" si="160"/>
        <v/>
      </c>
      <c r="M210" s="32" t="str">
        <f t="shared" si="156"/>
        <v/>
      </c>
      <c r="N210" s="32" t="str">
        <f t="shared" si="157"/>
        <v/>
      </c>
      <c r="O210" s="32" t="str">
        <f t="shared" si="173"/>
        <v/>
      </c>
      <c r="P210" s="32" t="str">
        <f t="shared" si="161"/>
        <v/>
      </c>
      <c r="Q210" s="32" t="str">
        <f t="shared" si="162"/>
        <v/>
      </c>
      <c r="R210" s="32" t="str">
        <f t="shared" si="174"/>
        <v/>
      </c>
      <c r="S210" s="24" t="str">
        <f t="shared" si="175"/>
        <v/>
      </c>
      <c r="T210" s="24" t="str">
        <f t="shared" si="176"/>
        <v/>
      </c>
      <c r="U210" s="24" t="str">
        <f t="shared" si="177"/>
        <v/>
      </c>
      <c r="V210" s="24" t="str">
        <f t="shared" si="178"/>
        <v/>
      </c>
      <c r="W210" s="23" t="str">
        <f t="array" ref="W210">IFERROR(SMALL(IF(S$1:S$1000="BEGIN",ROW(S$1:S$1000)),ROW()-3),"")</f>
        <v/>
      </c>
      <c r="X210" s="23" t="str">
        <f t="array" ref="X210">IFERROR(SMALL(IF(T$1:T$1000="END",ROW(T$1:T$1000)),ROW()-3),"")</f>
        <v/>
      </c>
      <c r="Y210" s="33" t="str">
        <f t="array" ref="Y210">IF(ISNUMBER(W210),MAX(IF((B$4:B$1000&lt;=X210)*(B$4:B$1000&gt;=W210),I$4:I$1000, "")),"")</f>
        <v/>
      </c>
      <c r="Z210" s="33" t="str">
        <f t="shared" si="163"/>
        <v/>
      </c>
      <c r="AA210" s="32" t="str">
        <f t="shared" si="164"/>
        <v/>
      </c>
      <c r="AB210" s="32" t="str">
        <f t="shared" si="165"/>
        <v/>
      </c>
      <c r="AC210" s="32" t="str">
        <f t="shared" si="166"/>
        <v/>
      </c>
      <c r="AD210" s="32" t="str">
        <f t="shared" si="167"/>
        <v/>
      </c>
      <c r="AE210" s="34" t="str">
        <f t="shared" si="168"/>
        <v/>
      </c>
      <c r="AF210" s="32" t="str">
        <f t="shared" si="169"/>
        <v/>
      </c>
      <c r="AG210" s="32" t="str">
        <f t="shared" si="170"/>
        <v/>
      </c>
      <c r="AH210" s="32" t="str">
        <f t="shared" si="171"/>
        <v/>
      </c>
      <c r="AI210" s="35" t="str">
        <f t="shared" si="172"/>
        <v/>
      </c>
      <c r="AJ210" s="23" t="str">
        <f t="array" ref="AJ210">IFERROR(SMALL(IF(U$1:U$1000="BEGIN",ROW(U$1:U$1000)),ROW()-3),"")</f>
        <v/>
      </c>
      <c r="AK210" s="23" t="str">
        <f t="array" ref="AK210">IFERROR(SMALL(IF(V$1:V$1000="END",ROW(V$1:V$1000)),ROW()-3),"")</f>
        <v/>
      </c>
      <c r="AL210" s="24" t="str">
        <f t="array" ref="AL210">IF(AK210="","",MATCH(AM210,L:L,0))</f>
        <v/>
      </c>
      <c r="AM210" s="35">
        <f t="array" ref="AM210">MAX(IF((B$4:B$1000&lt;=AK210)*(B$4:B$1000&gt;=AJ210),L$4:L$1000, ""))</f>
        <v>0</v>
      </c>
      <c r="AN210" s="32" t="str">
        <f t="shared" ref="AN210:AN273" si="179">IFERROR(INDEX(C:C,AJ210),"")</f>
        <v/>
      </c>
      <c r="AO210" s="32" t="str">
        <f t="shared" ref="AO210:AO273" si="180">IFERROR(INDEX(C:C,AK210),"")</f>
        <v/>
      </c>
      <c r="AP210" s="32" t="str">
        <f t="shared" ref="AP210:AP273" si="181">IFERROR(INDEX(C:C,AL210),"")</f>
        <v/>
      </c>
      <c r="AQ210" s="32" t="str">
        <f t="shared" ref="AQ210:AQ273" si="182">IF(ISNUMBER(AN210),AM210,"")</f>
        <v/>
      </c>
      <c r="AR210" s="32" t="str">
        <f t="shared" ref="AR210:AR273" si="183">IFERROR(AO210-AN210,"")</f>
        <v/>
      </c>
      <c r="AS210" s="32" t="str">
        <f t="shared" ref="AS210:AS273" si="184">IFERROR(INDEX(H:H,AJ210),"")</f>
        <v/>
      </c>
      <c r="AT210" s="32" t="str">
        <f t="shared" ref="AT210:AT273" si="185">IFERROR(INDEX(H:H,AK210),"")</f>
        <v/>
      </c>
      <c r="AU210" s="34" t="str">
        <f t="shared" ref="AU210:AU273" si="186">IFERROR((AS210-AT210)/(AR210),"")</f>
        <v/>
      </c>
      <c r="AV210" s="32" t="str">
        <f t="shared" ref="AV210:AV273" si="187">IFERROR(AQ210/$BB$17,"")</f>
        <v/>
      </c>
      <c r="AW210" s="32" t="str">
        <f t="shared" ref="AW210:AW273" si="188">IFERROR(AU210/BB$19,"")</f>
        <v/>
      </c>
      <c r="AX210" s="32" t="str">
        <f t="shared" ref="AX210:AX273" si="189">IFERROR(AP211-AP210,"")</f>
        <v/>
      </c>
      <c r="AY210" s="32" t="str">
        <f t="shared" ref="AY210:AY273" si="190">IFERROR(AX210/BB$16,"")</f>
        <v/>
      </c>
    </row>
    <row r="211" spans="1:51" x14ac:dyDescent="0.25">
      <c r="A211" s="24" t="str">
        <f t="shared" si="148"/>
        <v/>
      </c>
      <c r="B211" s="24" t="str">
        <f t="shared" si="158"/>
        <v/>
      </c>
      <c r="C211" s="32" t="str">
        <f t="shared" si="149"/>
        <v/>
      </c>
      <c r="D211" s="24" t="str">
        <f t="shared" si="150"/>
        <v/>
      </c>
      <c r="E211" s="24" t="str">
        <f t="shared" si="151"/>
        <v/>
      </c>
      <c r="F211" s="32" t="str">
        <f t="shared" si="152"/>
        <v/>
      </c>
      <c r="G211" s="32" t="str">
        <f t="shared" si="153"/>
        <v/>
      </c>
      <c r="H211" s="32" t="str">
        <f t="shared" ca="1" si="154"/>
        <v/>
      </c>
      <c r="I211" s="32" t="str">
        <f t="shared" ca="1" si="159"/>
        <v/>
      </c>
      <c r="J211" s="32" t="str">
        <f t="shared" si="155"/>
        <v/>
      </c>
      <c r="K211" s="32" t="str">
        <f>IF(ISNUMBER(A211),Profile!$V$25+Profile!$V$24*'Ri-Po'!C211,"")</f>
        <v/>
      </c>
      <c r="L211" s="32" t="str">
        <f t="shared" si="160"/>
        <v/>
      </c>
      <c r="M211" s="32" t="str">
        <f t="shared" si="156"/>
        <v/>
      </c>
      <c r="N211" s="32" t="str">
        <f t="shared" si="157"/>
        <v/>
      </c>
      <c r="O211" s="32" t="str">
        <f t="shared" si="173"/>
        <v/>
      </c>
      <c r="P211" s="32" t="str">
        <f t="shared" si="161"/>
        <v/>
      </c>
      <c r="Q211" s="32" t="str">
        <f t="shared" si="162"/>
        <v/>
      </c>
      <c r="R211" s="32" t="str">
        <f t="shared" si="174"/>
        <v/>
      </c>
      <c r="S211" s="24" t="str">
        <f t="shared" si="175"/>
        <v/>
      </c>
      <c r="T211" s="24" t="str">
        <f t="shared" si="176"/>
        <v/>
      </c>
      <c r="U211" s="24" t="str">
        <f t="shared" si="177"/>
        <v/>
      </c>
      <c r="V211" s="24" t="str">
        <f t="shared" si="178"/>
        <v/>
      </c>
      <c r="W211" s="23" t="str">
        <f t="array" ref="W211">IFERROR(SMALL(IF(S$1:S$1000="BEGIN",ROW(S$1:S$1000)),ROW()-3),"")</f>
        <v/>
      </c>
      <c r="X211" s="23" t="str">
        <f t="array" ref="X211">IFERROR(SMALL(IF(T$1:T$1000="END",ROW(T$1:T$1000)),ROW()-3),"")</f>
        <v/>
      </c>
      <c r="Y211" s="33" t="str">
        <f t="array" ref="Y211">IF(ISNUMBER(W211),MAX(IF((B$4:B$1000&lt;=X211)*(B$4:B$1000&gt;=W211),I$4:I$1000, "")),"")</f>
        <v/>
      </c>
      <c r="Z211" s="33" t="str">
        <f t="shared" si="163"/>
        <v/>
      </c>
      <c r="AA211" s="32" t="str">
        <f t="shared" si="164"/>
        <v/>
      </c>
      <c r="AB211" s="32" t="str">
        <f t="shared" si="165"/>
        <v/>
      </c>
      <c r="AC211" s="32" t="str">
        <f t="shared" si="166"/>
        <v/>
      </c>
      <c r="AD211" s="32" t="str">
        <f t="shared" si="167"/>
        <v/>
      </c>
      <c r="AE211" s="34" t="str">
        <f t="shared" si="168"/>
        <v/>
      </c>
      <c r="AF211" s="32" t="str">
        <f t="shared" si="169"/>
        <v/>
      </c>
      <c r="AG211" s="32" t="str">
        <f t="shared" si="170"/>
        <v/>
      </c>
      <c r="AH211" s="32" t="str">
        <f t="shared" si="171"/>
        <v/>
      </c>
      <c r="AI211" s="35" t="str">
        <f t="shared" si="172"/>
        <v/>
      </c>
      <c r="AJ211" s="23" t="str">
        <f t="array" ref="AJ211">IFERROR(SMALL(IF(U$1:U$1000="BEGIN",ROW(U$1:U$1000)),ROW()-3),"")</f>
        <v/>
      </c>
      <c r="AK211" s="23" t="str">
        <f t="array" ref="AK211">IFERROR(SMALL(IF(V$1:V$1000="END",ROW(V$1:V$1000)),ROW()-3),"")</f>
        <v/>
      </c>
      <c r="AL211" s="24" t="str">
        <f t="array" ref="AL211">IF(AK211="","",MATCH(AM211,L:L,0))</f>
        <v/>
      </c>
      <c r="AM211" s="35">
        <f t="array" ref="AM211">MAX(IF((B$4:B$1000&lt;=AK211)*(B$4:B$1000&gt;=AJ211),L$4:L$1000, ""))</f>
        <v>0</v>
      </c>
      <c r="AN211" s="32" t="str">
        <f t="shared" si="179"/>
        <v/>
      </c>
      <c r="AO211" s="32" t="str">
        <f t="shared" si="180"/>
        <v/>
      </c>
      <c r="AP211" s="32" t="str">
        <f t="shared" si="181"/>
        <v/>
      </c>
      <c r="AQ211" s="32" t="str">
        <f t="shared" si="182"/>
        <v/>
      </c>
      <c r="AR211" s="32" t="str">
        <f t="shared" si="183"/>
        <v/>
      </c>
      <c r="AS211" s="32" t="str">
        <f t="shared" si="184"/>
        <v/>
      </c>
      <c r="AT211" s="32" t="str">
        <f t="shared" si="185"/>
        <v/>
      </c>
      <c r="AU211" s="34" t="str">
        <f t="shared" si="186"/>
        <v/>
      </c>
      <c r="AV211" s="32" t="str">
        <f t="shared" si="187"/>
        <v/>
      </c>
      <c r="AW211" s="32" t="str">
        <f t="shared" si="188"/>
        <v/>
      </c>
      <c r="AX211" s="32" t="str">
        <f t="shared" si="189"/>
        <v/>
      </c>
      <c r="AY211" s="32" t="str">
        <f t="shared" si="190"/>
        <v/>
      </c>
    </row>
    <row r="212" spans="1:51" x14ac:dyDescent="0.25">
      <c r="A212" s="24" t="str">
        <f t="shared" si="148"/>
        <v/>
      </c>
      <c r="B212" s="24" t="str">
        <f t="shared" si="158"/>
        <v/>
      </c>
      <c r="C212" s="32" t="str">
        <f t="shared" si="149"/>
        <v/>
      </c>
      <c r="D212" s="24" t="str">
        <f t="shared" si="150"/>
        <v/>
      </c>
      <c r="E212" s="24" t="str">
        <f t="shared" si="151"/>
        <v/>
      </c>
      <c r="F212" s="32" t="str">
        <f t="shared" si="152"/>
        <v/>
      </c>
      <c r="G212" s="32" t="str">
        <f t="shared" si="153"/>
        <v/>
      </c>
      <c r="H212" s="32" t="str">
        <f t="shared" ca="1" si="154"/>
        <v/>
      </c>
      <c r="I212" s="32" t="str">
        <f t="shared" ca="1" si="159"/>
        <v/>
      </c>
      <c r="J212" s="32" t="str">
        <f t="shared" si="155"/>
        <v/>
      </c>
      <c r="K212" s="32" t="str">
        <f>IF(ISNUMBER(A212),Profile!$V$25+Profile!$V$24*'Ri-Po'!C212,"")</f>
        <v/>
      </c>
      <c r="L212" s="32" t="str">
        <f t="shared" si="160"/>
        <v/>
      </c>
      <c r="M212" s="32" t="str">
        <f t="shared" si="156"/>
        <v/>
      </c>
      <c r="N212" s="32" t="str">
        <f t="shared" si="157"/>
        <v/>
      </c>
      <c r="O212" s="32" t="str">
        <f t="shared" si="173"/>
        <v/>
      </c>
      <c r="P212" s="32" t="str">
        <f t="shared" si="161"/>
        <v/>
      </c>
      <c r="Q212" s="32" t="str">
        <f t="shared" si="162"/>
        <v/>
      </c>
      <c r="R212" s="32" t="str">
        <f t="shared" si="174"/>
        <v/>
      </c>
      <c r="S212" s="24" t="str">
        <f t="shared" si="175"/>
        <v/>
      </c>
      <c r="T212" s="24" t="str">
        <f t="shared" si="176"/>
        <v/>
      </c>
      <c r="U212" s="24" t="str">
        <f t="shared" si="177"/>
        <v/>
      </c>
      <c r="V212" s="24" t="str">
        <f t="shared" si="178"/>
        <v/>
      </c>
      <c r="W212" s="23" t="str">
        <f t="array" ref="W212">IFERROR(SMALL(IF(S$1:S$1000="BEGIN",ROW(S$1:S$1000)),ROW()-3),"")</f>
        <v/>
      </c>
      <c r="X212" s="23" t="str">
        <f t="array" ref="X212">IFERROR(SMALL(IF(T$1:T$1000="END",ROW(T$1:T$1000)),ROW()-3),"")</f>
        <v/>
      </c>
      <c r="Y212" s="33" t="str">
        <f t="array" ref="Y212">IF(ISNUMBER(W212),MAX(IF((B$4:B$1000&lt;=X212)*(B$4:B$1000&gt;=W212),I$4:I$1000, "")),"")</f>
        <v/>
      </c>
      <c r="Z212" s="33" t="str">
        <f t="shared" si="163"/>
        <v/>
      </c>
      <c r="AA212" s="32" t="str">
        <f t="shared" si="164"/>
        <v/>
      </c>
      <c r="AB212" s="32" t="str">
        <f t="shared" si="165"/>
        <v/>
      </c>
      <c r="AC212" s="32" t="str">
        <f t="shared" si="166"/>
        <v/>
      </c>
      <c r="AD212" s="32" t="str">
        <f t="shared" si="167"/>
        <v/>
      </c>
      <c r="AE212" s="34" t="str">
        <f t="shared" si="168"/>
        <v/>
      </c>
      <c r="AF212" s="32" t="str">
        <f t="shared" si="169"/>
        <v/>
      </c>
      <c r="AG212" s="32" t="str">
        <f t="shared" si="170"/>
        <v/>
      </c>
      <c r="AH212" s="32" t="str">
        <f t="shared" si="171"/>
        <v/>
      </c>
      <c r="AI212" s="35" t="str">
        <f t="shared" si="172"/>
        <v/>
      </c>
      <c r="AJ212" s="23" t="str">
        <f t="array" ref="AJ212">IFERROR(SMALL(IF(U$1:U$1000="BEGIN",ROW(U$1:U$1000)),ROW()-3),"")</f>
        <v/>
      </c>
      <c r="AK212" s="23" t="str">
        <f t="array" ref="AK212">IFERROR(SMALL(IF(V$1:V$1000="END",ROW(V$1:V$1000)),ROW()-3),"")</f>
        <v/>
      </c>
      <c r="AL212" s="24" t="str">
        <f t="array" ref="AL212">IF(AK212="","",MATCH(AM212,L:L,0))</f>
        <v/>
      </c>
      <c r="AM212" s="35">
        <f t="array" ref="AM212">MAX(IF((B$4:B$1000&lt;=AK212)*(B$4:B$1000&gt;=AJ212),L$4:L$1000, ""))</f>
        <v>0</v>
      </c>
      <c r="AN212" s="32" t="str">
        <f t="shared" si="179"/>
        <v/>
      </c>
      <c r="AO212" s="32" t="str">
        <f t="shared" si="180"/>
        <v/>
      </c>
      <c r="AP212" s="32" t="str">
        <f t="shared" si="181"/>
        <v/>
      </c>
      <c r="AQ212" s="32" t="str">
        <f t="shared" si="182"/>
        <v/>
      </c>
      <c r="AR212" s="32" t="str">
        <f t="shared" si="183"/>
        <v/>
      </c>
      <c r="AS212" s="32" t="str">
        <f t="shared" si="184"/>
        <v/>
      </c>
      <c r="AT212" s="32" t="str">
        <f t="shared" si="185"/>
        <v/>
      </c>
      <c r="AU212" s="34" t="str">
        <f t="shared" si="186"/>
        <v/>
      </c>
      <c r="AV212" s="32" t="str">
        <f t="shared" si="187"/>
        <v/>
      </c>
      <c r="AW212" s="32" t="str">
        <f t="shared" si="188"/>
        <v/>
      </c>
      <c r="AX212" s="32" t="str">
        <f t="shared" si="189"/>
        <v/>
      </c>
      <c r="AY212" s="32" t="str">
        <f t="shared" si="190"/>
        <v/>
      </c>
    </row>
    <row r="213" spans="1:51" x14ac:dyDescent="0.25">
      <c r="A213" s="24" t="str">
        <f t="shared" si="148"/>
        <v/>
      </c>
      <c r="B213" s="24" t="str">
        <f t="shared" si="158"/>
        <v/>
      </c>
      <c r="C213" s="32" t="str">
        <f t="shared" si="149"/>
        <v/>
      </c>
      <c r="D213" s="24" t="str">
        <f t="shared" si="150"/>
        <v/>
      </c>
      <c r="E213" s="24" t="str">
        <f t="shared" si="151"/>
        <v/>
      </c>
      <c r="F213" s="32" t="str">
        <f t="shared" si="152"/>
        <v/>
      </c>
      <c r="G213" s="32" t="str">
        <f t="shared" si="153"/>
        <v/>
      </c>
      <c r="H213" s="32" t="str">
        <f t="shared" ca="1" si="154"/>
        <v/>
      </c>
      <c r="I213" s="32" t="str">
        <f t="shared" ca="1" si="159"/>
        <v/>
      </c>
      <c r="J213" s="32" t="str">
        <f t="shared" si="155"/>
        <v/>
      </c>
      <c r="K213" s="32" t="str">
        <f>IF(ISNUMBER(A213),Profile!$V$25+Profile!$V$24*'Ri-Po'!C213,"")</f>
        <v/>
      </c>
      <c r="L213" s="32" t="str">
        <f t="shared" si="160"/>
        <v/>
      </c>
      <c r="M213" s="32" t="str">
        <f t="shared" si="156"/>
        <v/>
      </c>
      <c r="N213" s="32" t="str">
        <f t="shared" si="157"/>
        <v/>
      </c>
      <c r="O213" s="32" t="str">
        <f t="shared" si="173"/>
        <v/>
      </c>
      <c r="P213" s="32" t="str">
        <f t="shared" si="161"/>
        <v/>
      </c>
      <c r="Q213" s="32" t="str">
        <f t="shared" si="162"/>
        <v/>
      </c>
      <c r="R213" s="32" t="str">
        <f t="shared" si="174"/>
        <v/>
      </c>
      <c r="S213" s="24" t="str">
        <f t="shared" si="175"/>
        <v/>
      </c>
      <c r="T213" s="24" t="str">
        <f t="shared" si="176"/>
        <v/>
      </c>
      <c r="U213" s="24" t="str">
        <f t="shared" si="177"/>
        <v/>
      </c>
      <c r="V213" s="24" t="str">
        <f t="shared" si="178"/>
        <v/>
      </c>
      <c r="W213" s="23" t="str">
        <f t="array" ref="W213">IFERROR(SMALL(IF(S$1:S$1000="BEGIN",ROW(S$1:S$1000)),ROW()-3),"")</f>
        <v/>
      </c>
      <c r="X213" s="23" t="str">
        <f t="array" ref="X213">IFERROR(SMALL(IF(T$1:T$1000="END",ROW(T$1:T$1000)),ROW()-3),"")</f>
        <v/>
      </c>
      <c r="Y213" s="33" t="str">
        <f t="array" ref="Y213">IF(ISNUMBER(W213),MAX(IF((B$4:B$1000&lt;=X213)*(B$4:B$1000&gt;=W213),I$4:I$1000, "")),"")</f>
        <v/>
      </c>
      <c r="Z213" s="33" t="str">
        <f t="shared" si="163"/>
        <v/>
      </c>
      <c r="AA213" s="32" t="str">
        <f t="shared" si="164"/>
        <v/>
      </c>
      <c r="AB213" s="32" t="str">
        <f t="shared" si="165"/>
        <v/>
      </c>
      <c r="AC213" s="32" t="str">
        <f t="shared" si="166"/>
        <v/>
      </c>
      <c r="AD213" s="32" t="str">
        <f t="shared" si="167"/>
        <v/>
      </c>
      <c r="AE213" s="34" t="str">
        <f t="shared" si="168"/>
        <v/>
      </c>
      <c r="AF213" s="32" t="str">
        <f t="shared" si="169"/>
        <v/>
      </c>
      <c r="AG213" s="32" t="str">
        <f t="shared" si="170"/>
        <v/>
      </c>
      <c r="AH213" s="32" t="str">
        <f t="shared" si="171"/>
        <v/>
      </c>
      <c r="AI213" s="35" t="str">
        <f t="shared" si="172"/>
        <v/>
      </c>
      <c r="AJ213" s="23" t="str">
        <f t="array" ref="AJ213">IFERROR(SMALL(IF(U$1:U$1000="BEGIN",ROW(U$1:U$1000)),ROW()-3),"")</f>
        <v/>
      </c>
      <c r="AK213" s="23" t="str">
        <f t="array" ref="AK213">IFERROR(SMALL(IF(V$1:V$1000="END",ROW(V$1:V$1000)),ROW()-3),"")</f>
        <v/>
      </c>
      <c r="AL213" s="24" t="str">
        <f t="array" ref="AL213">IF(AK213="","",MATCH(AM213,L:L,0))</f>
        <v/>
      </c>
      <c r="AM213" s="35">
        <f t="array" ref="AM213">MAX(IF((B$4:B$1000&lt;=AK213)*(B$4:B$1000&gt;=AJ213),L$4:L$1000, ""))</f>
        <v>0</v>
      </c>
      <c r="AN213" s="32" t="str">
        <f t="shared" si="179"/>
        <v/>
      </c>
      <c r="AO213" s="32" t="str">
        <f t="shared" si="180"/>
        <v/>
      </c>
      <c r="AP213" s="32" t="str">
        <f t="shared" si="181"/>
        <v/>
      </c>
      <c r="AQ213" s="32" t="str">
        <f t="shared" si="182"/>
        <v/>
      </c>
      <c r="AR213" s="32" t="str">
        <f t="shared" si="183"/>
        <v/>
      </c>
      <c r="AS213" s="32" t="str">
        <f t="shared" si="184"/>
        <v/>
      </c>
      <c r="AT213" s="32" t="str">
        <f t="shared" si="185"/>
        <v/>
      </c>
      <c r="AU213" s="34" t="str">
        <f t="shared" si="186"/>
        <v/>
      </c>
      <c r="AV213" s="32" t="str">
        <f t="shared" si="187"/>
        <v/>
      </c>
      <c r="AW213" s="32" t="str">
        <f t="shared" si="188"/>
        <v/>
      </c>
      <c r="AX213" s="32" t="str">
        <f t="shared" si="189"/>
        <v/>
      </c>
      <c r="AY213" s="32" t="str">
        <f t="shared" si="190"/>
        <v/>
      </c>
    </row>
    <row r="214" spans="1:51" x14ac:dyDescent="0.25">
      <c r="A214" s="24" t="str">
        <f t="shared" si="148"/>
        <v/>
      </c>
      <c r="B214" s="24" t="str">
        <f t="shared" si="158"/>
        <v/>
      </c>
      <c r="C214" s="32" t="str">
        <f t="shared" si="149"/>
        <v/>
      </c>
      <c r="D214" s="24" t="str">
        <f t="shared" si="150"/>
        <v/>
      </c>
      <c r="E214" s="24" t="str">
        <f t="shared" si="151"/>
        <v/>
      </c>
      <c r="F214" s="32" t="str">
        <f t="shared" si="152"/>
        <v/>
      </c>
      <c r="G214" s="32" t="str">
        <f t="shared" si="153"/>
        <v/>
      </c>
      <c r="H214" s="32" t="str">
        <f t="shared" ca="1" si="154"/>
        <v/>
      </c>
      <c r="I214" s="32" t="str">
        <f t="shared" ca="1" si="159"/>
        <v/>
      </c>
      <c r="J214" s="32" t="str">
        <f t="shared" si="155"/>
        <v/>
      </c>
      <c r="K214" s="32" t="str">
        <f>IF(ISNUMBER(A214),Profile!$V$25+Profile!$V$24*'Ri-Po'!C214,"")</f>
        <v/>
      </c>
      <c r="L214" s="32" t="str">
        <f t="shared" si="160"/>
        <v/>
      </c>
      <c r="M214" s="32" t="str">
        <f t="shared" si="156"/>
        <v/>
      </c>
      <c r="N214" s="32" t="str">
        <f t="shared" si="157"/>
        <v/>
      </c>
      <c r="O214" s="32" t="str">
        <f t="shared" si="173"/>
        <v/>
      </c>
      <c r="P214" s="32" t="str">
        <f t="shared" si="161"/>
        <v/>
      </c>
      <c r="Q214" s="32" t="str">
        <f t="shared" si="162"/>
        <v/>
      </c>
      <c r="R214" s="32" t="str">
        <f t="shared" si="174"/>
        <v/>
      </c>
      <c r="S214" s="24" t="str">
        <f t="shared" si="175"/>
        <v/>
      </c>
      <c r="T214" s="24" t="str">
        <f t="shared" si="176"/>
        <v/>
      </c>
      <c r="U214" s="24" t="str">
        <f t="shared" si="177"/>
        <v/>
      </c>
      <c r="V214" s="24" t="str">
        <f t="shared" si="178"/>
        <v/>
      </c>
      <c r="W214" s="23" t="str">
        <f t="array" ref="W214">IFERROR(SMALL(IF(S$1:S$1000="BEGIN",ROW(S$1:S$1000)),ROW()-3),"")</f>
        <v/>
      </c>
      <c r="X214" s="23" t="str">
        <f t="array" ref="X214">IFERROR(SMALL(IF(T$1:T$1000="END",ROW(T$1:T$1000)),ROW()-3),"")</f>
        <v/>
      </c>
      <c r="Y214" s="33" t="str">
        <f t="array" ref="Y214">IF(ISNUMBER(W214),MAX(IF((B$4:B$1000&lt;=X214)*(B$4:B$1000&gt;=W214),I$4:I$1000, "")),"")</f>
        <v/>
      </c>
      <c r="Z214" s="33" t="str">
        <f t="shared" si="163"/>
        <v/>
      </c>
      <c r="AA214" s="32" t="str">
        <f t="shared" si="164"/>
        <v/>
      </c>
      <c r="AB214" s="32" t="str">
        <f t="shared" si="165"/>
        <v/>
      </c>
      <c r="AC214" s="32" t="str">
        <f t="shared" si="166"/>
        <v/>
      </c>
      <c r="AD214" s="32" t="str">
        <f t="shared" si="167"/>
        <v/>
      </c>
      <c r="AE214" s="34" t="str">
        <f t="shared" si="168"/>
        <v/>
      </c>
      <c r="AF214" s="32" t="str">
        <f t="shared" si="169"/>
        <v/>
      </c>
      <c r="AG214" s="32" t="str">
        <f t="shared" si="170"/>
        <v/>
      </c>
      <c r="AH214" s="32" t="str">
        <f t="shared" si="171"/>
        <v/>
      </c>
      <c r="AI214" s="35" t="str">
        <f t="shared" si="172"/>
        <v/>
      </c>
      <c r="AJ214" s="23" t="str">
        <f t="array" ref="AJ214">IFERROR(SMALL(IF(U$1:U$1000="BEGIN",ROW(U$1:U$1000)),ROW()-3),"")</f>
        <v/>
      </c>
      <c r="AK214" s="23" t="str">
        <f t="array" ref="AK214">IFERROR(SMALL(IF(V$1:V$1000="END",ROW(V$1:V$1000)),ROW()-3),"")</f>
        <v/>
      </c>
      <c r="AL214" s="24" t="str">
        <f t="array" ref="AL214">IF(AK214="","",MATCH(AM214,L:L,0))</f>
        <v/>
      </c>
      <c r="AM214" s="35">
        <f t="array" ref="AM214">MAX(IF((B$4:B$1000&lt;=AK214)*(B$4:B$1000&gt;=AJ214),L$4:L$1000, ""))</f>
        <v>0</v>
      </c>
      <c r="AN214" s="32" t="str">
        <f t="shared" si="179"/>
        <v/>
      </c>
      <c r="AO214" s="32" t="str">
        <f t="shared" si="180"/>
        <v/>
      </c>
      <c r="AP214" s="32" t="str">
        <f t="shared" si="181"/>
        <v/>
      </c>
      <c r="AQ214" s="32" t="str">
        <f t="shared" si="182"/>
        <v/>
      </c>
      <c r="AR214" s="32" t="str">
        <f t="shared" si="183"/>
        <v/>
      </c>
      <c r="AS214" s="32" t="str">
        <f t="shared" si="184"/>
        <v/>
      </c>
      <c r="AT214" s="32" t="str">
        <f t="shared" si="185"/>
        <v/>
      </c>
      <c r="AU214" s="34" t="str">
        <f t="shared" si="186"/>
        <v/>
      </c>
      <c r="AV214" s="32" t="str">
        <f t="shared" si="187"/>
        <v/>
      </c>
      <c r="AW214" s="32" t="str">
        <f t="shared" si="188"/>
        <v/>
      </c>
      <c r="AX214" s="32" t="str">
        <f t="shared" si="189"/>
        <v/>
      </c>
      <c r="AY214" s="32" t="str">
        <f t="shared" si="190"/>
        <v/>
      </c>
    </row>
    <row r="215" spans="1:51" x14ac:dyDescent="0.25">
      <c r="A215" s="24" t="str">
        <f t="shared" si="148"/>
        <v/>
      </c>
      <c r="B215" s="24" t="str">
        <f t="shared" si="158"/>
        <v/>
      </c>
      <c r="C215" s="32" t="str">
        <f t="shared" si="149"/>
        <v/>
      </c>
      <c r="D215" s="24" t="str">
        <f t="shared" si="150"/>
        <v/>
      </c>
      <c r="E215" s="24" t="str">
        <f t="shared" si="151"/>
        <v/>
      </c>
      <c r="F215" s="32" t="str">
        <f t="shared" si="152"/>
        <v/>
      </c>
      <c r="G215" s="32" t="str">
        <f t="shared" si="153"/>
        <v/>
      </c>
      <c r="H215" s="32" t="str">
        <f t="shared" ca="1" si="154"/>
        <v/>
      </c>
      <c r="I215" s="32" t="str">
        <f t="shared" ca="1" si="159"/>
        <v/>
      </c>
      <c r="J215" s="32" t="str">
        <f t="shared" si="155"/>
        <v/>
      </c>
      <c r="K215" s="32" t="str">
        <f>IF(ISNUMBER(A215),Profile!$V$25+Profile!$V$24*'Ri-Po'!C215,"")</f>
        <v/>
      </c>
      <c r="L215" s="32" t="str">
        <f t="shared" si="160"/>
        <v/>
      </c>
      <c r="M215" s="32" t="str">
        <f t="shared" si="156"/>
        <v/>
      </c>
      <c r="N215" s="32" t="str">
        <f t="shared" si="157"/>
        <v/>
      </c>
      <c r="O215" s="32" t="str">
        <f t="shared" si="173"/>
        <v/>
      </c>
      <c r="P215" s="32" t="str">
        <f t="shared" si="161"/>
        <v/>
      </c>
      <c r="Q215" s="32" t="str">
        <f t="shared" si="162"/>
        <v/>
      </c>
      <c r="R215" s="32" t="str">
        <f t="shared" si="174"/>
        <v/>
      </c>
      <c r="S215" s="24" t="str">
        <f t="shared" si="175"/>
        <v/>
      </c>
      <c r="T215" s="24" t="str">
        <f t="shared" si="176"/>
        <v/>
      </c>
      <c r="U215" s="24" t="str">
        <f t="shared" si="177"/>
        <v/>
      </c>
      <c r="V215" s="24" t="str">
        <f t="shared" si="178"/>
        <v/>
      </c>
      <c r="W215" s="23" t="str">
        <f t="array" ref="W215">IFERROR(SMALL(IF(S$1:S$1000="BEGIN",ROW(S$1:S$1000)),ROW()-3),"")</f>
        <v/>
      </c>
      <c r="X215" s="23" t="str">
        <f t="array" ref="X215">IFERROR(SMALL(IF(T$1:T$1000="END",ROW(T$1:T$1000)),ROW()-3),"")</f>
        <v/>
      </c>
      <c r="Y215" s="33" t="str">
        <f t="array" ref="Y215">IF(ISNUMBER(W215),MAX(IF((B$4:B$1000&lt;=X215)*(B$4:B$1000&gt;=W215),I$4:I$1000, "")),"")</f>
        <v/>
      </c>
      <c r="Z215" s="33" t="str">
        <f t="shared" si="163"/>
        <v/>
      </c>
      <c r="AA215" s="32" t="str">
        <f t="shared" si="164"/>
        <v/>
      </c>
      <c r="AB215" s="32" t="str">
        <f t="shared" si="165"/>
        <v/>
      </c>
      <c r="AC215" s="32" t="str">
        <f t="shared" si="166"/>
        <v/>
      </c>
      <c r="AD215" s="32" t="str">
        <f t="shared" si="167"/>
        <v/>
      </c>
      <c r="AE215" s="34" t="str">
        <f t="shared" si="168"/>
        <v/>
      </c>
      <c r="AF215" s="32" t="str">
        <f t="shared" si="169"/>
        <v/>
      </c>
      <c r="AG215" s="32" t="str">
        <f t="shared" si="170"/>
        <v/>
      </c>
      <c r="AH215" s="32" t="str">
        <f t="shared" si="171"/>
        <v/>
      </c>
      <c r="AI215" s="35" t="str">
        <f t="shared" si="172"/>
        <v/>
      </c>
      <c r="AJ215" s="23" t="str">
        <f t="array" ref="AJ215">IFERROR(SMALL(IF(U$1:U$1000="BEGIN",ROW(U$1:U$1000)),ROW()-3),"")</f>
        <v/>
      </c>
      <c r="AK215" s="23" t="str">
        <f t="array" ref="AK215">IFERROR(SMALL(IF(V$1:V$1000="END",ROW(V$1:V$1000)),ROW()-3),"")</f>
        <v/>
      </c>
      <c r="AL215" s="24" t="str">
        <f t="array" ref="AL215">IF(AK215="","",MATCH(AM215,L:L,0))</f>
        <v/>
      </c>
      <c r="AM215" s="35">
        <f t="array" ref="AM215">MAX(IF((B$4:B$1000&lt;=AK215)*(B$4:B$1000&gt;=AJ215),L$4:L$1000, ""))</f>
        <v>0</v>
      </c>
      <c r="AN215" s="32" t="str">
        <f t="shared" si="179"/>
        <v/>
      </c>
      <c r="AO215" s="32" t="str">
        <f t="shared" si="180"/>
        <v/>
      </c>
      <c r="AP215" s="32" t="str">
        <f t="shared" si="181"/>
        <v/>
      </c>
      <c r="AQ215" s="32" t="str">
        <f t="shared" si="182"/>
        <v/>
      </c>
      <c r="AR215" s="32" t="str">
        <f t="shared" si="183"/>
        <v/>
      </c>
      <c r="AS215" s="32" t="str">
        <f t="shared" si="184"/>
        <v/>
      </c>
      <c r="AT215" s="32" t="str">
        <f t="shared" si="185"/>
        <v/>
      </c>
      <c r="AU215" s="34" t="str">
        <f t="shared" si="186"/>
        <v/>
      </c>
      <c r="AV215" s="32" t="str">
        <f t="shared" si="187"/>
        <v/>
      </c>
      <c r="AW215" s="32" t="str">
        <f t="shared" si="188"/>
        <v/>
      </c>
      <c r="AX215" s="32" t="str">
        <f t="shared" si="189"/>
        <v/>
      </c>
      <c r="AY215" s="32" t="str">
        <f t="shared" si="190"/>
        <v/>
      </c>
    </row>
    <row r="216" spans="1:51" x14ac:dyDescent="0.25">
      <c r="A216" s="24" t="str">
        <f t="shared" si="148"/>
        <v/>
      </c>
      <c r="B216" s="24" t="str">
        <f t="shared" si="158"/>
        <v/>
      </c>
      <c r="C216" s="32" t="str">
        <f t="shared" si="149"/>
        <v/>
      </c>
      <c r="D216" s="24" t="str">
        <f t="shared" si="150"/>
        <v/>
      </c>
      <c r="E216" s="24" t="str">
        <f t="shared" si="151"/>
        <v/>
      </c>
      <c r="F216" s="32" t="str">
        <f t="shared" si="152"/>
        <v/>
      </c>
      <c r="G216" s="32" t="str">
        <f t="shared" si="153"/>
        <v/>
      </c>
      <c r="H216" s="32" t="str">
        <f t="shared" ca="1" si="154"/>
        <v/>
      </c>
      <c r="I216" s="32" t="str">
        <f t="shared" ca="1" si="159"/>
        <v/>
      </c>
      <c r="J216" s="32" t="str">
        <f t="shared" si="155"/>
        <v/>
      </c>
      <c r="K216" s="32" t="str">
        <f>IF(ISNUMBER(A216),Profile!$V$25+Profile!$V$24*'Ri-Po'!C216,"")</f>
        <v/>
      </c>
      <c r="L216" s="32" t="str">
        <f t="shared" si="160"/>
        <v/>
      </c>
      <c r="M216" s="32" t="str">
        <f t="shared" si="156"/>
        <v/>
      </c>
      <c r="N216" s="32" t="str">
        <f t="shared" si="157"/>
        <v/>
      </c>
      <c r="O216" s="32" t="str">
        <f t="shared" si="173"/>
        <v/>
      </c>
      <c r="P216" s="32" t="str">
        <f t="shared" si="161"/>
        <v/>
      </c>
      <c r="Q216" s="32" t="str">
        <f t="shared" si="162"/>
        <v/>
      </c>
      <c r="R216" s="32" t="str">
        <f t="shared" si="174"/>
        <v/>
      </c>
      <c r="S216" s="24" t="str">
        <f t="shared" si="175"/>
        <v/>
      </c>
      <c r="T216" s="24" t="str">
        <f t="shared" si="176"/>
        <v/>
      </c>
      <c r="U216" s="24" t="str">
        <f t="shared" si="177"/>
        <v/>
      </c>
      <c r="V216" s="24" t="str">
        <f t="shared" si="178"/>
        <v/>
      </c>
      <c r="W216" s="23" t="str">
        <f t="array" ref="W216">IFERROR(SMALL(IF(S$1:S$1000="BEGIN",ROW(S$1:S$1000)),ROW()-3),"")</f>
        <v/>
      </c>
      <c r="X216" s="23" t="str">
        <f t="array" ref="X216">IFERROR(SMALL(IF(T$1:T$1000="END",ROW(T$1:T$1000)),ROW()-3),"")</f>
        <v/>
      </c>
      <c r="Y216" s="33" t="str">
        <f t="array" ref="Y216">IF(ISNUMBER(W216),MAX(IF((B$4:B$1000&lt;=X216)*(B$4:B$1000&gt;=W216),I$4:I$1000, "")),"")</f>
        <v/>
      </c>
      <c r="Z216" s="33" t="str">
        <f t="shared" si="163"/>
        <v/>
      </c>
      <c r="AA216" s="32" t="str">
        <f t="shared" si="164"/>
        <v/>
      </c>
      <c r="AB216" s="32" t="str">
        <f t="shared" si="165"/>
        <v/>
      </c>
      <c r="AC216" s="32" t="str">
        <f t="shared" si="166"/>
        <v/>
      </c>
      <c r="AD216" s="32" t="str">
        <f t="shared" si="167"/>
        <v/>
      </c>
      <c r="AE216" s="34" t="str">
        <f t="shared" si="168"/>
        <v/>
      </c>
      <c r="AF216" s="32" t="str">
        <f t="shared" si="169"/>
        <v/>
      </c>
      <c r="AG216" s="32" t="str">
        <f t="shared" si="170"/>
        <v/>
      </c>
      <c r="AH216" s="32" t="str">
        <f t="shared" si="171"/>
        <v/>
      </c>
      <c r="AI216" s="35" t="str">
        <f t="shared" si="172"/>
        <v/>
      </c>
      <c r="AJ216" s="23" t="str">
        <f t="array" ref="AJ216">IFERROR(SMALL(IF(U$1:U$1000="BEGIN",ROW(U$1:U$1000)),ROW()-3),"")</f>
        <v/>
      </c>
      <c r="AK216" s="23" t="str">
        <f t="array" ref="AK216">IFERROR(SMALL(IF(V$1:V$1000="END",ROW(V$1:V$1000)),ROW()-3),"")</f>
        <v/>
      </c>
      <c r="AL216" s="24" t="str">
        <f t="array" ref="AL216">IF(AK216="","",MATCH(AM216,L:L,0))</f>
        <v/>
      </c>
      <c r="AM216" s="35">
        <f t="array" ref="AM216">MAX(IF((B$4:B$1000&lt;=AK216)*(B$4:B$1000&gt;=AJ216),L$4:L$1000, ""))</f>
        <v>0</v>
      </c>
      <c r="AN216" s="32" t="str">
        <f t="shared" si="179"/>
        <v/>
      </c>
      <c r="AO216" s="32" t="str">
        <f t="shared" si="180"/>
        <v/>
      </c>
      <c r="AP216" s="32" t="str">
        <f t="shared" si="181"/>
        <v/>
      </c>
      <c r="AQ216" s="32" t="str">
        <f t="shared" si="182"/>
        <v/>
      </c>
      <c r="AR216" s="32" t="str">
        <f t="shared" si="183"/>
        <v/>
      </c>
      <c r="AS216" s="32" t="str">
        <f t="shared" si="184"/>
        <v/>
      </c>
      <c r="AT216" s="32" t="str">
        <f t="shared" si="185"/>
        <v/>
      </c>
      <c r="AU216" s="34" t="str">
        <f t="shared" si="186"/>
        <v/>
      </c>
      <c r="AV216" s="32" t="str">
        <f t="shared" si="187"/>
        <v/>
      </c>
      <c r="AW216" s="32" t="str">
        <f t="shared" si="188"/>
        <v/>
      </c>
      <c r="AX216" s="32" t="str">
        <f t="shared" si="189"/>
        <v/>
      </c>
      <c r="AY216" s="32" t="str">
        <f t="shared" si="190"/>
        <v/>
      </c>
    </row>
    <row r="217" spans="1:51" x14ac:dyDescent="0.25">
      <c r="A217" s="24" t="str">
        <f t="shared" si="148"/>
        <v/>
      </c>
      <c r="B217" s="24" t="str">
        <f t="shared" si="158"/>
        <v/>
      </c>
      <c r="C217" s="32" t="str">
        <f t="shared" si="149"/>
        <v/>
      </c>
      <c r="D217" s="24" t="str">
        <f t="shared" si="150"/>
        <v/>
      </c>
      <c r="E217" s="24" t="str">
        <f t="shared" si="151"/>
        <v/>
      </c>
      <c r="F217" s="32" t="str">
        <f t="shared" si="152"/>
        <v/>
      </c>
      <c r="G217" s="32" t="str">
        <f t="shared" si="153"/>
        <v/>
      </c>
      <c r="H217" s="32" t="str">
        <f t="shared" ca="1" si="154"/>
        <v/>
      </c>
      <c r="I217" s="32" t="str">
        <f t="shared" ca="1" si="159"/>
        <v/>
      </c>
      <c r="J217" s="32" t="str">
        <f t="shared" si="155"/>
        <v/>
      </c>
      <c r="K217" s="32" t="str">
        <f>IF(ISNUMBER(A217),Profile!$V$25+Profile!$V$24*'Ri-Po'!C217,"")</f>
        <v/>
      </c>
      <c r="L217" s="32" t="str">
        <f t="shared" si="160"/>
        <v/>
      </c>
      <c r="M217" s="32" t="str">
        <f t="shared" si="156"/>
        <v/>
      </c>
      <c r="N217" s="32" t="str">
        <f t="shared" si="157"/>
        <v/>
      </c>
      <c r="O217" s="32" t="str">
        <f t="shared" si="173"/>
        <v/>
      </c>
      <c r="P217" s="32" t="str">
        <f t="shared" si="161"/>
        <v/>
      </c>
      <c r="Q217" s="32" t="str">
        <f t="shared" si="162"/>
        <v/>
      </c>
      <c r="R217" s="32" t="str">
        <f t="shared" si="174"/>
        <v/>
      </c>
      <c r="S217" s="24" t="str">
        <f t="shared" si="175"/>
        <v/>
      </c>
      <c r="T217" s="24" t="str">
        <f t="shared" si="176"/>
        <v/>
      </c>
      <c r="U217" s="24" t="str">
        <f t="shared" si="177"/>
        <v/>
      </c>
      <c r="V217" s="24" t="str">
        <f t="shared" si="178"/>
        <v/>
      </c>
      <c r="W217" s="23" t="str">
        <f t="array" ref="W217">IFERROR(SMALL(IF(S$1:S$1000="BEGIN",ROW(S$1:S$1000)),ROW()-3),"")</f>
        <v/>
      </c>
      <c r="X217" s="23" t="str">
        <f t="array" ref="X217">IFERROR(SMALL(IF(T$1:T$1000="END",ROW(T$1:T$1000)),ROW()-3),"")</f>
        <v/>
      </c>
      <c r="Y217" s="33" t="str">
        <f t="array" ref="Y217">IF(ISNUMBER(W217),MAX(IF((B$4:B$1000&lt;=X217)*(B$4:B$1000&gt;=W217),I$4:I$1000, "")),"")</f>
        <v/>
      </c>
      <c r="Z217" s="33" t="str">
        <f t="shared" si="163"/>
        <v/>
      </c>
      <c r="AA217" s="32" t="str">
        <f t="shared" si="164"/>
        <v/>
      </c>
      <c r="AB217" s="32" t="str">
        <f t="shared" si="165"/>
        <v/>
      </c>
      <c r="AC217" s="32" t="str">
        <f t="shared" si="166"/>
        <v/>
      </c>
      <c r="AD217" s="32" t="str">
        <f t="shared" si="167"/>
        <v/>
      </c>
      <c r="AE217" s="34" t="str">
        <f t="shared" si="168"/>
        <v/>
      </c>
      <c r="AF217" s="32" t="str">
        <f t="shared" si="169"/>
        <v/>
      </c>
      <c r="AG217" s="32" t="str">
        <f t="shared" si="170"/>
        <v/>
      </c>
      <c r="AH217" s="32" t="str">
        <f t="shared" si="171"/>
        <v/>
      </c>
      <c r="AI217" s="35" t="str">
        <f t="shared" si="172"/>
        <v/>
      </c>
      <c r="AJ217" s="23" t="str">
        <f t="array" ref="AJ217">IFERROR(SMALL(IF(U$1:U$1000="BEGIN",ROW(U$1:U$1000)),ROW()-3),"")</f>
        <v/>
      </c>
      <c r="AK217" s="23" t="str">
        <f t="array" ref="AK217">IFERROR(SMALL(IF(V$1:V$1000="END",ROW(V$1:V$1000)),ROW()-3),"")</f>
        <v/>
      </c>
      <c r="AL217" s="24" t="str">
        <f t="array" ref="AL217">IF(AK217="","",MATCH(AM217,L:L,0))</f>
        <v/>
      </c>
      <c r="AM217" s="35">
        <f t="array" ref="AM217">MAX(IF((B$4:B$1000&lt;=AK217)*(B$4:B$1000&gt;=AJ217),L$4:L$1000, ""))</f>
        <v>0</v>
      </c>
      <c r="AN217" s="32" t="str">
        <f t="shared" si="179"/>
        <v/>
      </c>
      <c r="AO217" s="32" t="str">
        <f t="shared" si="180"/>
        <v/>
      </c>
      <c r="AP217" s="32" t="str">
        <f t="shared" si="181"/>
        <v/>
      </c>
      <c r="AQ217" s="32" t="str">
        <f t="shared" si="182"/>
        <v/>
      </c>
      <c r="AR217" s="32" t="str">
        <f t="shared" si="183"/>
        <v/>
      </c>
      <c r="AS217" s="32" t="str">
        <f t="shared" si="184"/>
        <v/>
      </c>
      <c r="AT217" s="32" t="str">
        <f t="shared" si="185"/>
        <v/>
      </c>
      <c r="AU217" s="34" t="str">
        <f t="shared" si="186"/>
        <v/>
      </c>
      <c r="AV217" s="32" t="str">
        <f t="shared" si="187"/>
        <v/>
      </c>
      <c r="AW217" s="32" t="str">
        <f t="shared" si="188"/>
        <v/>
      </c>
      <c r="AX217" s="32" t="str">
        <f t="shared" si="189"/>
        <v/>
      </c>
      <c r="AY217" s="32" t="str">
        <f t="shared" si="190"/>
        <v/>
      </c>
    </row>
    <row r="218" spans="1:51" x14ac:dyDescent="0.25">
      <c r="A218" s="24" t="str">
        <f t="shared" si="148"/>
        <v/>
      </c>
      <c r="B218" s="24" t="str">
        <f t="shared" si="158"/>
        <v/>
      </c>
      <c r="C218" s="32" t="str">
        <f t="shared" si="149"/>
        <v/>
      </c>
      <c r="D218" s="24" t="str">
        <f t="shared" si="150"/>
        <v/>
      </c>
      <c r="E218" s="24" t="str">
        <f t="shared" si="151"/>
        <v/>
      </c>
      <c r="F218" s="32" t="str">
        <f t="shared" si="152"/>
        <v/>
      </c>
      <c r="G218" s="32" t="str">
        <f t="shared" si="153"/>
        <v/>
      </c>
      <c r="H218" s="32" t="str">
        <f t="shared" ca="1" si="154"/>
        <v/>
      </c>
      <c r="I218" s="32" t="str">
        <f t="shared" ca="1" si="159"/>
        <v/>
      </c>
      <c r="J218" s="32" t="str">
        <f t="shared" si="155"/>
        <v/>
      </c>
      <c r="K218" s="32" t="str">
        <f>IF(ISNUMBER(A218),Profile!$V$25+Profile!$V$24*'Ri-Po'!C218,"")</f>
        <v/>
      </c>
      <c r="L218" s="32" t="str">
        <f t="shared" si="160"/>
        <v/>
      </c>
      <c r="M218" s="32" t="str">
        <f t="shared" si="156"/>
        <v/>
      </c>
      <c r="N218" s="32" t="str">
        <f t="shared" si="157"/>
        <v/>
      </c>
      <c r="O218" s="32" t="str">
        <f t="shared" si="173"/>
        <v/>
      </c>
      <c r="P218" s="32" t="str">
        <f t="shared" si="161"/>
        <v/>
      </c>
      <c r="Q218" s="32" t="str">
        <f t="shared" si="162"/>
        <v/>
      </c>
      <c r="R218" s="32" t="str">
        <f t="shared" si="174"/>
        <v/>
      </c>
      <c r="S218" s="24" t="str">
        <f t="shared" si="175"/>
        <v/>
      </c>
      <c r="T218" s="24" t="str">
        <f t="shared" si="176"/>
        <v/>
      </c>
      <c r="U218" s="24" t="str">
        <f t="shared" si="177"/>
        <v/>
      </c>
      <c r="V218" s="24" t="str">
        <f t="shared" si="178"/>
        <v/>
      </c>
      <c r="W218" s="23" t="str">
        <f t="array" ref="W218">IFERROR(SMALL(IF(S$1:S$1000="BEGIN",ROW(S$1:S$1000)),ROW()-3),"")</f>
        <v/>
      </c>
      <c r="X218" s="23" t="str">
        <f t="array" ref="X218">IFERROR(SMALL(IF(T$1:T$1000="END",ROW(T$1:T$1000)),ROW()-3),"")</f>
        <v/>
      </c>
      <c r="Y218" s="33" t="str">
        <f t="array" ref="Y218">IF(ISNUMBER(W218),MAX(IF((B$4:B$1000&lt;=X218)*(B$4:B$1000&gt;=W218),I$4:I$1000, "")),"")</f>
        <v/>
      </c>
      <c r="Z218" s="33" t="str">
        <f t="shared" si="163"/>
        <v/>
      </c>
      <c r="AA218" s="32" t="str">
        <f t="shared" si="164"/>
        <v/>
      </c>
      <c r="AB218" s="32" t="str">
        <f t="shared" si="165"/>
        <v/>
      </c>
      <c r="AC218" s="32" t="str">
        <f t="shared" si="166"/>
        <v/>
      </c>
      <c r="AD218" s="32" t="str">
        <f t="shared" si="167"/>
        <v/>
      </c>
      <c r="AE218" s="34" t="str">
        <f t="shared" si="168"/>
        <v/>
      </c>
      <c r="AF218" s="32" t="str">
        <f t="shared" si="169"/>
        <v/>
      </c>
      <c r="AG218" s="32" t="str">
        <f t="shared" si="170"/>
        <v/>
      </c>
      <c r="AH218" s="32" t="str">
        <f t="shared" si="171"/>
        <v/>
      </c>
      <c r="AI218" s="35" t="str">
        <f t="shared" si="172"/>
        <v/>
      </c>
      <c r="AJ218" s="23" t="str">
        <f t="array" ref="AJ218">IFERROR(SMALL(IF(U$1:U$1000="BEGIN",ROW(U$1:U$1000)),ROW()-3),"")</f>
        <v/>
      </c>
      <c r="AK218" s="23" t="str">
        <f t="array" ref="AK218">IFERROR(SMALL(IF(V$1:V$1000="END",ROW(V$1:V$1000)),ROW()-3),"")</f>
        <v/>
      </c>
      <c r="AL218" s="24" t="str">
        <f t="array" ref="AL218">IF(AK218="","",MATCH(AM218,L:L,0))</f>
        <v/>
      </c>
      <c r="AM218" s="35">
        <f t="array" ref="AM218">MAX(IF((B$4:B$1000&lt;=AK218)*(B$4:B$1000&gt;=AJ218),L$4:L$1000, ""))</f>
        <v>0</v>
      </c>
      <c r="AN218" s="32" t="str">
        <f t="shared" si="179"/>
        <v/>
      </c>
      <c r="AO218" s="32" t="str">
        <f t="shared" si="180"/>
        <v/>
      </c>
      <c r="AP218" s="32" t="str">
        <f t="shared" si="181"/>
        <v/>
      </c>
      <c r="AQ218" s="32" t="str">
        <f t="shared" si="182"/>
        <v/>
      </c>
      <c r="AR218" s="32" t="str">
        <f t="shared" si="183"/>
        <v/>
      </c>
      <c r="AS218" s="32" t="str">
        <f t="shared" si="184"/>
        <v/>
      </c>
      <c r="AT218" s="32" t="str">
        <f t="shared" si="185"/>
        <v/>
      </c>
      <c r="AU218" s="34" t="str">
        <f t="shared" si="186"/>
        <v/>
      </c>
      <c r="AV218" s="32" t="str">
        <f t="shared" si="187"/>
        <v/>
      </c>
      <c r="AW218" s="32" t="str">
        <f t="shared" si="188"/>
        <v/>
      </c>
      <c r="AX218" s="32" t="str">
        <f t="shared" si="189"/>
        <v/>
      </c>
      <c r="AY218" s="32" t="str">
        <f t="shared" si="190"/>
        <v/>
      </c>
    </row>
    <row r="219" spans="1:51" x14ac:dyDescent="0.25">
      <c r="A219" s="24" t="str">
        <f t="shared" si="148"/>
        <v/>
      </c>
      <c r="B219" s="24" t="str">
        <f t="shared" si="158"/>
        <v/>
      </c>
      <c r="C219" s="32" t="str">
        <f t="shared" si="149"/>
        <v/>
      </c>
      <c r="D219" s="24" t="str">
        <f t="shared" si="150"/>
        <v/>
      </c>
      <c r="E219" s="24" t="str">
        <f t="shared" si="151"/>
        <v/>
      </c>
      <c r="F219" s="32" t="str">
        <f t="shared" si="152"/>
        <v/>
      </c>
      <c r="G219" s="32" t="str">
        <f t="shared" si="153"/>
        <v/>
      </c>
      <c r="H219" s="32" t="str">
        <f t="shared" ca="1" si="154"/>
        <v/>
      </c>
      <c r="I219" s="32" t="str">
        <f t="shared" ca="1" si="159"/>
        <v/>
      </c>
      <c r="J219" s="32" t="str">
        <f t="shared" si="155"/>
        <v/>
      </c>
      <c r="K219" s="32" t="str">
        <f>IF(ISNUMBER(A219),Profile!$V$25+Profile!$V$24*'Ri-Po'!C219,"")</f>
        <v/>
      </c>
      <c r="L219" s="32" t="str">
        <f t="shared" si="160"/>
        <v/>
      </c>
      <c r="M219" s="32" t="str">
        <f t="shared" si="156"/>
        <v/>
      </c>
      <c r="N219" s="32" t="str">
        <f t="shared" si="157"/>
        <v/>
      </c>
      <c r="O219" s="32" t="str">
        <f t="shared" si="173"/>
        <v/>
      </c>
      <c r="P219" s="32" t="str">
        <f t="shared" si="161"/>
        <v/>
      </c>
      <c r="Q219" s="32" t="str">
        <f t="shared" si="162"/>
        <v/>
      </c>
      <c r="R219" s="32" t="str">
        <f t="shared" si="174"/>
        <v/>
      </c>
      <c r="S219" s="24" t="str">
        <f t="shared" si="175"/>
        <v/>
      </c>
      <c r="T219" s="24" t="str">
        <f t="shared" si="176"/>
        <v/>
      </c>
      <c r="U219" s="24" t="str">
        <f t="shared" si="177"/>
        <v/>
      </c>
      <c r="V219" s="24" t="str">
        <f t="shared" si="178"/>
        <v/>
      </c>
      <c r="W219" s="23" t="str">
        <f t="array" ref="W219">IFERROR(SMALL(IF(S$1:S$1000="BEGIN",ROW(S$1:S$1000)),ROW()-3),"")</f>
        <v/>
      </c>
      <c r="X219" s="23" t="str">
        <f t="array" ref="X219">IFERROR(SMALL(IF(T$1:T$1000="END",ROW(T$1:T$1000)),ROW()-3),"")</f>
        <v/>
      </c>
      <c r="Y219" s="33" t="str">
        <f t="array" ref="Y219">IF(ISNUMBER(W219),MAX(IF((B$4:B$1000&lt;=X219)*(B$4:B$1000&gt;=W219),I$4:I$1000, "")),"")</f>
        <v/>
      </c>
      <c r="Z219" s="33" t="str">
        <f t="shared" si="163"/>
        <v/>
      </c>
      <c r="AA219" s="32" t="str">
        <f t="shared" si="164"/>
        <v/>
      </c>
      <c r="AB219" s="32" t="str">
        <f t="shared" si="165"/>
        <v/>
      </c>
      <c r="AC219" s="32" t="str">
        <f t="shared" si="166"/>
        <v/>
      </c>
      <c r="AD219" s="32" t="str">
        <f t="shared" si="167"/>
        <v/>
      </c>
      <c r="AE219" s="34" t="str">
        <f t="shared" si="168"/>
        <v/>
      </c>
      <c r="AF219" s="32" t="str">
        <f t="shared" si="169"/>
        <v/>
      </c>
      <c r="AG219" s="32" t="str">
        <f t="shared" si="170"/>
        <v/>
      </c>
      <c r="AH219" s="32" t="str">
        <f t="shared" si="171"/>
        <v/>
      </c>
      <c r="AI219" s="35" t="str">
        <f t="shared" si="172"/>
        <v/>
      </c>
      <c r="AJ219" s="23" t="str">
        <f t="array" ref="AJ219">IFERROR(SMALL(IF(U$1:U$1000="BEGIN",ROW(U$1:U$1000)),ROW()-3),"")</f>
        <v/>
      </c>
      <c r="AK219" s="23" t="str">
        <f t="array" ref="AK219">IFERROR(SMALL(IF(V$1:V$1000="END",ROW(V$1:V$1000)),ROW()-3),"")</f>
        <v/>
      </c>
      <c r="AL219" s="24" t="str">
        <f t="array" ref="AL219">IF(AK219="","",MATCH(AM219,L:L,0))</f>
        <v/>
      </c>
      <c r="AM219" s="35">
        <f t="array" ref="AM219">MAX(IF((B$4:B$1000&lt;=AK219)*(B$4:B$1000&gt;=AJ219),L$4:L$1000, ""))</f>
        <v>0</v>
      </c>
      <c r="AN219" s="32" t="str">
        <f t="shared" si="179"/>
        <v/>
      </c>
      <c r="AO219" s="32" t="str">
        <f t="shared" si="180"/>
        <v/>
      </c>
      <c r="AP219" s="32" t="str">
        <f t="shared" si="181"/>
        <v/>
      </c>
      <c r="AQ219" s="32" t="str">
        <f t="shared" si="182"/>
        <v/>
      </c>
      <c r="AR219" s="32" t="str">
        <f t="shared" si="183"/>
        <v/>
      </c>
      <c r="AS219" s="32" t="str">
        <f t="shared" si="184"/>
        <v/>
      </c>
      <c r="AT219" s="32" t="str">
        <f t="shared" si="185"/>
        <v/>
      </c>
      <c r="AU219" s="34" t="str">
        <f t="shared" si="186"/>
        <v/>
      </c>
      <c r="AV219" s="32" t="str">
        <f t="shared" si="187"/>
        <v/>
      </c>
      <c r="AW219" s="32" t="str">
        <f t="shared" si="188"/>
        <v/>
      </c>
      <c r="AX219" s="32" t="str">
        <f t="shared" si="189"/>
        <v/>
      </c>
      <c r="AY219" s="32" t="str">
        <f t="shared" si="190"/>
        <v/>
      </c>
    </row>
    <row r="220" spans="1:51" x14ac:dyDescent="0.25">
      <c r="A220" s="24" t="str">
        <f t="shared" si="148"/>
        <v/>
      </c>
      <c r="B220" s="24" t="str">
        <f t="shared" si="158"/>
        <v/>
      </c>
      <c r="C220" s="32" t="str">
        <f t="shared" si="149"/>
        <v/>
      </c>
      <c r="D220" s="24" t="str">
        <f t="shared" si="150"/>
        <v/>
      </c>
      <c r="E220" s="24" t="str">
        <f t="shared" si="151"/>
        <v/>
      </c>
      <c r="F220" s="32" t="str">
        <f t="shared" si="152"/>
        <v/>
      </c>
      <c r="G220" s="32" t="str">
        <f t="shared" si="153"/>
        <v/>
      </c>
      <c r="H220" s="32" t="str">
        <f t="shared" ca="1" si="154"/>
        <v/>
      </c>
      <c r="I220" s="32" t="str">
        <f t="shared" ca="1" si="159"/>
        <v/>
      </c>
      <c r="J220" s="32" t="str">
        <f t="shared" si="155"/>
        <v/>
      </c>
      <c r="K220" s="32" t="str">
        <f>IF(ISNUMBER(A220),Profile!$V$25+Profile!$V$24*'Ri-Po'!C220,"")</f>
        <v/>
      </c>
      <c r="L220" s="32" t="str">
        <f t="shared" si="160"/>
        <v/>
      </c>
      <c r="M220" s="32" t="str">
        <f t="shared" si="156"/>
        <v/>
      </c>
      <c r="N220" s="32" t="str">
        <f t="shared" si="157"/>
        <v/>
      </c>
      <c r="O220" s="32" t="str">
        <f t="shared" si="173"/>
        <v/>
      </c>
      <c r="P220" s="32" t="str">
        <f t="shared" si="161"/>
        <v/>
      </c>
      <c r="Q220" s="32" t="str">
        <f t="shared" si="162"/>
        <v/>
      </c>
      <c r="R220" s="32" t="str">
        <f t="shared" si="174"/>
        <v/>
      </c>
      <c r="S220" s="24" t="str">
        <f t="shared" si="175"/>
        <v/>
      </c>
      <c r="T220" s="24" t="str">
        <f t="shared" si="176"/>
        <v/>
      </c>
      <c r="U220" s="24" t="str">
        <f t="shared" si="177"/>
        <v/>
      </c>
      <c r="V220" s="24" t="str">
        <f t="shared" si="178"/>
        <v/>
      </c>
      <c r="W220" s="23" t="str">
        <f t="array" ref="W220">IFERROR(SMALL(IF(S$1:S$1000="BEGIN",ROW(S$1:S$1000)),ROW()-3),"")</f>
        <v/>
      </c>
      <c r="X220" s="23" t="str">
        <f t="array" ref="X220">IFERROR(SMALL(IF(T$1:T$1000="END",ROW(T$1:T$1000)),ROW()-3),"")</f>
        <v/>
      </c>
      <c r="Y220" s="33" t="str">
        <f t="array" ref="Y220">IF(ISNUMBER(W220),MAX(IF((B$4:B$1000&lt;=X220)*(B$4:B$1000&gt;=W220),I$4:I$1000, "")),"")</f>
        <v/>
      </c>
      <c r="Z220" s="33" t="str">
        <f t="shared" si="163"/>
        <v/>
      </c>
      <c r="AA220" s="32" t="str">
        <f t="shared" si="164"/>
        <v/>
      </c>
      <c r="AB220" s="32" t="str">
        <f t="shared" si="165"/>
        <v/>
      </c>
      <c r="AC220" s="32" t="str">
        <f t="shared" si="166"/>
        <v/>
      </c>
      <c r="AD220" s="32" t="str">
        <f t="shared" si="167"/>
        <v/>
      </c>
      <c r="AE220" s="34" t="str">
        <f t="shared" si="168"/>
        <v/>
      </c>
      <c r="AF220" s="32" t="str">
        <f t="shared" si="169"/>
        <v/>
      </c>
      <c r="AG220" s="32" t="str">
        <f t="shared" si="170"/>
        <v/>
      </c>
      <c r="AH220" s="32" t="str">
        <f t="shared" si="171"/>
        <v/>
      </c>
      <c r="AI220" s="35" t="str">
        <f t="shared" si="172"/>
        <v/>
      </c>
      <c r="AJ220" s="23" t="str">
        <f t="array" ref="AJ220">IFERROR(SMALL(IF(U$1:U$1000="BEGIN",ROW(U$1:U$1000)),ROW()-3),"")</f>
        <v/>
      </c>
      <c r="AK220" s="23" t="str">
        <f t="array" ref="AK220">IFERROR(SMALL(IF(V$1:V$1000="END",ROW(V$1:V$1000)),ROW()-3),"")</f>
        <v/>
      </c>
      <c r="AL220" s="24" t="str">
        <f t="array" ref="AL220">IF(AK220="","",MATCH(AM220,L:L,0))</f>
        <v/>
      </c>
      <c r="AM220" s="35">
        <f t="array" ref="AM220">MAX(IF((B$4:B$1000&lt;=AK220)*(B$4:B$1000&gt;=AJ220),L$4:L$1000, ""))</f>
        <v>0</v>
      </c>
      <c r="AN220" s="32" t="str">
        <f t="shared" si="179"/>
        <v/>
      </c>
      <c r="AO220" s="32" t="str">
        <f t="shared" si="180"/>
        <v/>
      </c>
      <c r="AP220" s="32" t="str">
        <f t="shared" si="181"/>
        <v/>
      </c>
      <c r="AQ220" s="32" t="str">
        <f t="shared" si="182"/>
        <v/>
      </c>
      <c r="AR220" s="32" t="str">
        <f t="shared" si="183"/>
        <v/>
      </c>
      <c r="AS220" s="32" t="str">
        <f t="shared" si="184"/>
        <v/>
      </c>
      <c r="AT220" s="32" t="str">
        <f t="shared" si="185"/>
        <v/>
      </c>
      <c r="AU220" s="34" t="str">
        <f t="shared" si="186"/>
        <v/>
      </c>
      <c r="AV220" s="32" t="str">
        <f t="shared" si="187"/>
        <v/>
      </c>
      <c r="AW220" s="32" t="str">
        <f t="shared" si="188"/>
        <v/>
      </c>
      <c r="AX220" s="32" t="str">
        <f t="shared" si="189"/>
        <v/>
      </c>
      <c r="AY220" s="32" t="str">
        <f t="shared" si="190"/>
        <v/>
      </c>
    </row>
    <row r="221" spans="1:51" x14ac:dyDescent="0.25">
      <c r="A221" s="24" t="str">
        <f t="shared" si="148"/>
        <v/>
      </c>
      <c r="B221" s="24" t="str">
        <f t="shared" si="158"/>
        <v/>
      </c>
      <c r="C221" s="32" t="str">
        <f t="shared" si="149"/>
        <v/>
      </c>
      <c r="D221" s="24" t="str">
        <f t="shared" si="150"/>
        <v/>
      </c>
      <c r="E221" s="24" t="str">
        <f t="shared" si="151"/>
        <v/>
      </c>
      <c r="F221" s="32" t="str">
        <f t="shared" si="152"/>
        <v/>
      </c>
      <c r="G221" s="32" t="str">
        <f t="shared" si="153"/>
        <v/>
      </c>
      <c r="H221" s="32" t="str">
        <f t="shared" ca="1" si="154"/>
        <v/>
      </c>
      <c r="I221" s="32" t="str">
        <f t="shared" ca="1" si="159"/>
        <v/>
      </c>
      <c r="J221" s="32" t="str">
        <f t="shared" si="155"/>
        <v/>
      </c>
      <c r="K221" s="32" t="str">
        <f>IF(ISNUMBER(A221),Profile!$V$25+Profile!$V$24*'Ri-Po'!C221,"")</f>
        <v/>
      </c>
      <c r="L221" s="32" t="str">
        <f t="shared" si="160"/>
        <v/>
      </c>
      <c r="M221" s="32" t="str">
        <f t="shared" si="156"/>
        <v/>
      </c>
      <c r="N221" s="32" t="str">
        <f t="shared" si="157"/>
        <v/>
      </c>
      <c r="O221" s="32" t="str">
        <f t="shared" si="173"/>
        <v/>
      </c>
      <c r="P221" s="32" t="str">
        <f t="shared" si="161"/>
        <v/>
      </c>
      <c r="Q221" s="32" t="str">
        <f t="shared" si="162"/>
        <v/>
      </c>
      <c r="R221" s="32" t="str">
        <f t="shared" si="174"/>
        <v/>
      </c>
      <c r="S221" s="24" t="str">
        <f t="shared" si="175"/>
        <v/>
      </c>
      <c r="T221" s="24" t="str">
        <f t="shared" si="176"/>
        <v/>
      </c>
      <c r="U221" s="24" t="str">
        <f t="shared" si="177"/>
        <v/>
      </c>
      <c r="V221" s="24" t="str">
        <f t="shared" si="178"/>
        <v/>
      </c>
      <c r="W221" s="23" t="str">
        <f t="array" ref="W221">IFERROR(SMALL(IF(S$1:S$1000="BEGIN",ROW(S$1:S$1000)),ROW()-3),"")</f>
        <v/>
      </c>
      <c r="X221" s="23" t="str">
        <f t="array" ref="X221">IFERROR(SMALL(IF(T$1:T$1000="END",ROW(T$1:T$1000)),ROW()-3),"")</f>
        <v/>
      </c>
      <c r="Y221" s="33" t="str">
        <f t="array" ref="Y221">IF(ISNUMBER(W221),MAX(IF((B$4:B$1000&lt;=X221)*(B$4:B$1000&gt;=W221),I$4:I$1000, "")),"")</f>
        <v/>
      </c>
      <c r="Z221" s="33" t="str">
        <f t="shared" si="163"/>
        <v/>
      </c>
      <c r="AA221" s="32" t="str">
        <f t="shared" si="164"/>
        <v/>
      </c>
      <c r="AB221" s="32" t="str">
        <f t="shared" si="165"/>
        <v/>
      </c>
      <c r="AC221" s="32" t="str">
        <f t="shared" si="166"/>
        <v/>
      </c>
      <c r="AD221" s="32" t="str">
        <f t="shared" si="167"/>
        <v/>
      </c>
      <c r="AE221" s="34" t="str">
        <f t="shared" si="168"/>
        <v/>
      </c>
      <c r="AF221" s="32" t="str">
        <f t="shared" si="169"/>
        <v/>
      </c>
      <c r="AG221" s="32" t="str">
        <f t="shared" si="170"/>
        <v/>
      </c>
      <c r="AH221" s="32" t="str">
        <f t="shared" si="171"/>
        <v/>
      </c>
      <c r="AI221" s="35" t="str">
        <f t="shared" si="172"/>
        <v/>
      </c>
      <c r="AJ221" s="23" t="str">
        <f t="array" ref="AJ221">IFERROR(SMALL(IF(U$1:U$1000="BEGIN",ROW(U$1:U$1000)),ROW()-3),"")</f>
        <v/>
      </c>
      <c r="AK221" s="23" t="str">
        <f t="array" ref="AK221">IFERROR(SMALL(IF(V$1:V$1000="END",ROW(V$1:V$1000)),ROW()-3),"")</f>
        <v/>
      </c>
      <c r="AL221" s="24" t="str">
        <f t="array" ref="AL221">IF(AK221="","",MATCH(AM221,L:L,0))</f>
        <v/>
      </c>
      <c r="AM221" s="35">
        <f t="array" ref="AM221">MAX(IF((B$4:B$1000&lt;=AK221)*(B$4:B$1000&gt;=AJ221),L$4:L$1000, ""))</f>
        <v>0</v>
      </c>
      <c r="AN221" s="32" t="str">
        <f t="shared" si="179"/>
        <v/>
      </c>
      <c r="AO221" s="32" t="str">
        <f t="shared" si="180"/>
        <v/>
      </c>
      <c r="AP221" s="32" t="str">
        <f t="shared" si="181"/>
        <v/>
      </c>
      <c r="AQ221" s="32" t="str">
        <f t="shared" si="182"/>
        <v/>
      </c>
      <c r="AR221" s="32" t="str">
        <f t="shared" si="183"/>
        <v/>
      </c>
      <c r="AS221" s="32" t="str">
        <f t="shared" si="184"/>
        <v/>
      </c>
      <c r="AT221" s="32" t="str">
        <f t="shared" si="185"/>
        <v/>
      </c>
      <c r="AU221" s="34" t="str">
        <f t="shared" si="186"/>
        <v/>
      </c>
      <c r="AV221" s="32" t="str">
        <f t="shared" si="187"/>
        <v/>
      </c>
      <c r="AW221" s="32" t="str">
        <f t="shared" si="188"/>
        <v/>
      </c>
      <c r="AX221" s="32" t="str">
        <f t="shared" si="189"/>
        <v/>
      </c>
      <c r="AY221" s="32" t="str">
        <f t="shared" si="190"/>
        <v/>
      </c>
    </row>
    <row r="222" spans="1:51" x14ac:dyDescent="0.25">
      <c r="A222" s="24" t="str">
        <f t="shared" si="148"/>
        <v/>
      </c>
      <c r="B222" s="24" t="str">
        <f t="shared" si="158"/>
        <v/>
      </c>
      <c r="C222" s="32" t="str">
        <f t="shared" si="149"/>
        <v/>
      </c>
      <c r="D222" s="24" t="str">
        <f t="shared" si="150"/>
        <v/>
      </c>
      <c r="E222" s="24" t="str">
        <f t="shared" si="151"/>
        <v/>
      </c>
      <c r="F222" s="32" t="str">
        <f t="shared" si="152"/>
        <v/>
      </c>
      <c r="G222" s="32" t="str">
        <f t="shared" si="153"/>
        <v/>
      </c>
      <c r="H222" s="32" t="str">
        <f t="shared" ca="1" si="154"/>
        <v/>
      </c>
      <c r="I222" s="32" t="str">
        <f t="shared" ca="1" si="159"/>
        <v/>
      </c>
      <c r="J222" s="32" t="str">
        <f t="shared" si="155"/>
        <v/>
      </c>
      <c r="K222" s="32" t="str">
        <f>IF(ISNUMBER(A222),Profile!$V$25+Profile!$V$24*'Ri-Po'!C222,"")</f>
        <v/>
      </c>
      <c r="L222" s="32" t="str">
        <f t="shared" si="160"/>
        <v/>
      </c>
      <c r="M222" s="32" t="str">
        <f t="shared" si="156"/>
        <v/>
      </c>
      <c r="N222" s="32" t="str">
        <f t="shared" si="157"/>
        <v/>
      </c>
      <c r="O222" s="32" t="str">
        <f t="shared" si="173"/>
        <v/>
      </c>
      <c r="P222" s="32" t="str">
        <f t="shared" si="161"/>
        <v/>
      </c>
      <c r="Q222" s="32" t="str">
        <f t="shared" si="162"/>
        <v/>
      </c>
      <c r="R222" s="32" t="str">
        <f t="shared" si="174"/>
        <v/>
      </c>
      <c r="S222" s="24" t="str">
        <f t="shared" si="175"/>
        <v/>
      </c>
      <c r="T222" s="24" t="str">
        <f t="shared" si="176"/>
        <v/>
      </c>
      <c r="U222" s="24" t="str">
        <f t="shared" si="177"/>
        <v/>
      </c>
      <c r="V222" s="24" t="str">
        <f t="shared" si="178"/>
        <v/>
      </c>
      <c r="W222" s="23" t="str">
        <f t="array" ref="W222">IFERROR(SMALL(IF(S$1:S$1000="BEGIN",ROW(S$1:S$1000)),ROW()-3),"")</f>
        <v/>
      </c>
      <c r="X222" s="23" t="str">
        <f t="array" ref="X222">IFERROR(SMALL(IF(T$1:T$1000="END",ROW(T$1:T$1000)),ROW()-3),"")</f>
        <v/>
      </c>
      <c r="Y222" s="33" t="str">
        <f t="array" ref="Y222">IF(ISNUMBER(W222),MAX(IF((B$4:B$1000&lt;=X222)*(B$4:B$1000&gt;=W222),I$4:I$1000, "")),"")</f>
        <v/>
      </c>
      <c r="Z222" s="33" t="str">
        <f t="shared" si="163"/>
        <v/>
      </c>
      <c r="AA222" s="32" t="str">
        <f t="shared" si="164"/>
        <v/>
      </c>
      <c r="AB222" s="32" t="str">
        <f t="shared" si="165"/>
        <v/>
      </c>
      <c r="AC222" s="32" t="str">
        <f t="shared" si="166"/>
        <v/>
      </c>
      <c r="AD222" s="32" t="str">
        <f t="shared" si="167"/>
        <v/>
      </c>
      <c r="AE222" s="34" t="str">
        <f t="shared" si="168"/>
        <v/>
      </c>
      <c r="AF222" s="32" t="str">
        <f t="shared" si="169"/>
        <v/>
      </c>
      <c r="AG222" s="32" t="str">
        <f t="shared" si="170"/>
        <v/>
      </c>
      <c r="AH222" s="32" t="str">
        <f t="shared" si="171"/>
        <v/>
      </c>
      <c r="AI222" s="35" t="str">
        <f t="shared" si="172"/>
        <v/>
      </c>
      <c r="AJ222" s="23" t="str">
        <f t="array" ref="AJ222">IFERROR(SMALL(IF(U$1:U$1000="BEGIN",ROW(U$1:U$1000)),ROW()-3),"")</f>
        <v/>
      </c>
      <c r="AK222" s="23" t="str">
        <f t="array" ref="AK222">IFERROR(SMALL(IF(V$1:V$1000="END",ROW(V$1:V$1000)),ROW()-3),"")</f>
        <v/>
      </c>
      <c r="AL222" s="24" t="str">
        <f t="array" ref="AL222">IF(AK222="","",MATCH(AM222,L:L,0))</f>
        <v/>
      </c>
      <c r="AM222" s="35">
        <f t="array" ref="AM222">MAX(IF((B$4:B$1000&lt;=AK222)*(B$4:B$1000&gt;=AJ222),L$4:L$1000, ""))</f>
        <v>0</v>
      </c>
      <c r="AN222" s="32" t="str">
        <f t="shared" si="179"/>
        <v/>
      </c>
      <c r="AO222" s="32" t="str">
        <f t="shared" si="180"/>
        <v/>
      </c>
      <c r="AP222" s="32" t="str">
        <f t="shared" si="181"/>
        <v/>
      </c>
      <c r="AQ222" s="32" t="str">
        <f t="shared" si="182"/>
        <v/>
      </c>
      <c r="AR222" s="32" t="str">
        <f t="shared" si="183"/>
        <v/>
      </c>
      <c r="AS222" s="32" t="str">
        <f t="shared" si="184"/>
        <v/>
      </c>
      <c r="AT222" s="32" t="str">
        <f t="shared" si="185"/>
        <v/>
      </c>
      <c r="AU222" s="34" t="str">
        <f t="shared" si="186"/>
        <v/>
      </c>
      <c r="AV222" s="32" t="str">
        <f t="shared" si="187"/>
        <v/>
      </c>
      <c r="AW222" s="32" t="str">
        <f t="shared" si="188"/>
        <v/>
      </c>
      <c r="AX222" s="32" t="str">
        <f t="shared" si="189"/>
        <v/>
      </c>
      <c r="AY222" s="32" t="str">
        <f t="shared" si="190"/>
        <v/>
      </c>
    </row>
    <row r="223" spans="1:51" x14ac:dyDescent="0.25">
      <c r="A223" s="24" t="str">
        <f t="shared" si="148"/>
        <v/>
      </c>
      <c r="B223" s="24" t="str">
        <f t="shared" si="158"/>
        <v/>
      </c>
      <c r="C223" s="32" t="str">
        <f t="shared" si="149"/>
        <v/>
      </c>
      <c r="D223" s="24" t="str">
        <f t="shared" si="150"/>
        <v/>
      </c>
      <c r="E223" s="24" t="str">
        <f t="shared" si="151"/>
        <v/>
      </c>
      <c r="F223" s="32" t="str">
        <f t="shared" si="152"/>
        <v/>
      </c>
      <c r="G223" s="32" t="str">
        <f t="shared" si="153"/>
        <v/>
      </c>
      <c r="H223" s="32" t="str">
        <f t="shared" ca="1" si="154"/>
        <v/>
      </c>
      <c r="I223" s="32" t="str">
        <f t="shared" ca="1" si="159"/>
        <v/>
      </c>
      <c r="J223" s="32" t="str">
        <f t="shared" si="155"/>
        <v/>
      </c>
      <c r="K223" s="32" t="str">
        <f>IF(ISNUMBER(A223),Profile!$V$25+Profile!$V$24*'Ri-Po'!C223,"")</f>
        <v/>
      </c>
      <c r="L223" s="32" t="str">
        <f t="shared" si="160"/>
        <v/>
      </c>
      <c r="M223" s="32" t="str">
        <f t="shared" si="156"/>
        <v/>
      </c>
      <c r="N223" s="32" t="str">
        <f t="shared" si="157"/>
        <v/>
      </c>
      <c r="O223" s="32" t="str">
        <f t="shared" si="173"/>
        <v/>
      </c>
      <c r="P223" s="32" t="str">
        <f t="shared" si="161"/>
        <v/>
      </c>
      <c r="Q223" s="32" t="str">
        <f t="shared" si="162"/>
        <v/>
      </c>
      <c r="R223" s="32" t="str">
        <f t="shared" si="174"/>
        <v/>
      </c>
      <c r="S223" s="24" t="str">
        <f t="shared" si="175"/>
        <v/>
      </c>
      <c r="T223" s="24" t="str">
        <f t="shared" si="176"/>
        <v/>
      </c>
      <c r="U223" s="24" t="str">
        <f t="shared" si="177"/>
        <v/>
      </c>
      <c r="V223" s="24" t="str">
        <f t="shared" si="178"/>
        <v/>
      </c>
      <c r="W223" s="23" t="str">
        <f t="array" ref="W223">IFERROR(SMALL(IF(S$1:S$1000="BEGIN",ROW(S$1:S$1000)),ROW()-3),"")</f>
        <v/>
      </c>
      <c r="X223" s="23" t="str">
        <f t="array" ref="X223">IFERROR(SMALL(IF(T$1:T$1000="END",ROW(T$1:T$1000)),ROW()-3),"")</f>
        <v/>
      </c>
      <c r="Y223" s="33" t="str">
        <f t="array" ref="Y223">IF(ISNUMBER(W223),MAX(IF((B$4:B$1000&lt;=X223)*(B$4:B$1000&gt;=W223),I$4:I$1000, "")),"")</f>
        <v/>
      </c>
      <c r="Z223" s="33" t="str">
        <f t="shared" si="163"/>
        <v/>
      </c>
      <c r="AA223" s="32" t="str">
        <f t="shared" si="164"/>
        <v/>
      </c>
      <c r="AB223" s="32" t="str">
        <f t="shared" si="165"/>
        <v/>
      </c>
      <c r="AC223" s="32" t="str">
        <f t="shared" si="166"/>
        <v/>
      </c>
      <c r="AD223" s="32" t="str">
        <f t="shared" si="167"/>
        <v/>
      </c>
      <c r="AE223" s="34" t="str">
        <f t="shared" si="168"/>
        <v/>
      </c>
      <c r="AF223" s="32" t="str">
        <f t="shared" si="169"/>
        <v/>
      </c>
      <c r="AG223" s="32" t="str">
        <f t="shared" si="170"/>
        <v/>
      </c>
      <c r="AH223" s="32" t="str">
        <f t="shared" si="171"/>
        <v/>
      </c>
      <c r="AI223" s="35" t="str">
        <f t="shared" si="172"/>
        <v/>
      </c>
      <c r="AJ223" s="23" t="str">
        <f t="array" ref="AJ223">IFERROR(SMALL(IF(U$1:U$1000="BEGIN",ROW(U$1:U$1000)),ROW()-3),"")</f>
        <v/>
      </c>
      <c r="AK223" s="23" t="str">
        <f t="array" ref="AK223">IFERROR(SMALL(IF(V$1:V$1000="END",ROW(V$1:V$1000)),ROW()-3),"")</f>
        <v/>
      </c>
      <c r="AL223" s="24" t="str">
        <f t="array" ref="AL223">IF(AK223="","",MATCH(AM223,L:L,0))</f>
        <v/>
      </c>
      <c r="AM223" s="35">
        <f t="array" ref="AM223">MAX(IF((B$4:B$1000&lt;=AK223)*(B$4:B$1000&gt;=AJ223),L$4:L$1000, ""))</f>
        <v>0</v>
      </c>
      <c r="AN223" s="32" t="str">
        <f t="shared" si="179"/>
        <v/>
      </c>
      <c r="AO223" s="32" t="str">
        <f t="shared" si="180"/>
        <v/>
      </c>
      <c r="AP223" s="32" t="str">
        <f t="shared" si="181"/>
        <v/>
      </c>
      <c r="AQ223" s="32" t="str">
        <f t="shared" si="182"/>
        <v/>
      </c>
      <c r="AR223" s="32" t="str">
        <f t="shared" si="183"/>
        <v/>
      </c>
      <c r="AS223" s="32" t="str">
        <f t="shared" si="184"/>
        <v/>
      </c>
      <c r="AT223" s="32" t="str">
        <f t="shared" si="185"/>
        <v/>
      </c>
      <c r="AU223" s="34" t="str">
        <f t="shared" si="186"/>
        <v/>
      </c>
      <c r="AV223" s="32" t="str">
        <f t="shared" si="187"/>
        <v/>
      </c>
      <c r="AW223" s="32" t="str">
        <f t="shared" si="188"/>
        <v/>
      </c>
      <c r="AX223" s="32" t="str">
        <f t="shared" si="189"/>
        <v/>
      </c>
      <c r="AY223" s="32" t="str">
        <f t="shared" si="190"/>
        <v/>
      </c>
    </row>
    <row r="224" spans="1:51" x14ac:dyDescent="0.25">
      <c r="A224" s="24" t="str">
        <f t="shared" si="148"/>
        <v/>
      </c>
      <c r="B224" s="24" t="str">
        <f t="shared" si="158"/>
        <v/>
      </c>
      <c r="C224" s="32" t="str">
        <f t="shared" si="149"/>
        <v/>
      </c>
      <c r="D224" s="24" t="str">
        <f t="shared" si="150"/>
        <v/>
      </c>
      <c r="E224" s="24" t="str">
        <f t="shared" si="151"/>
        <v/>
      </c>
      <c r="F224" s="32" t="str">
        <f t="shared" si="152"/>
        <v/>
      </c>
      <c r="G224" s="32" t="str">
        <f t="shared" si="153"/>
        <v/>
      </c>
      <c r="H224" s="32" t="str">
        <f t="shared" ca="1" si="154"/>
        <v/>
      </c>
      <c r="I224" s="32" t="str">
        <f t="shared" ca="1" si="159"/>
        <v/>
      </c>
      <c r="J224" s="32" t="str">
        <f t="shared" si="155"/>
        <v/>
      </c>
      <c r="K224" s="32" t="str">
        <f>IF(ISNUMBER(A224),Profile!$V$25+Profile!$V$24*'Ri-Po'!C224,"")</f>
        <v/>
      </c>
      <c r="L224" s="32" t="str">
        <f t="shared" si="160"/>
        <v/>
      </c>
      <c r="M224" s="32" t="str">
        <f t="shared" si="156"/>
        <v/>
      </c>
      <c r="N224" s="32" t="str">
        <f t="shared" si="157"/>
        <v/>
      </c>
      <c r="O224" s="32" t="str">
        <f t="shared" si="173"/>
        <v/>
      </c>
      <c r="P224" s="32" t="str">
        <f t="shared" si="161"/>
        <v/>
      </c>
      <c r="Q224" s="32" t="str">
        <f t="shared" si="162"/>
        <v/>
      </c>
      <c r="R224" s="32" t="str">
        <f t="shared" si="174"/>
        <v/>
      </c>
      <c r="S224" s="24" t="str">
        <f t="shared" si="175"/>
        <v/>
      </c>
      <c r="T224" s="24" t="str">
        <f t="shared" si="176"/>
        <v/>
      </c>
      <c r="U224" s="24" t="str">
        <f t="shared" si="177"/>
        <v/>
      </c>
      <c r="V224" s="24" t="str">
        <f t="shared" si="178"/>
        <v/>
      </c>
      <c r="W224" s="23" t="str">
        <f t="array" ref="W224">IFERROR(SMALL(IF(S$1:S$1000="BEGIN",ROW(S$1:S$1000)),ROW()-3),"")</f>
        <v/>
      </c>
      <c r="X224" s="23" t="str">
        <f t="array" ref="X224">IFERROR(SMALL(IF(T$1:T$1000="END",ROW(T$1:T$1000)),ROW()-3),"")</f>
        <v/>
      </c>
      <c r="Y224" s="33" t="str">
        <f t="array" ref="Y224">IF(ISNUMBER(W224),MAX(IF((B$4:B$1000&lt;=X224)*(B$4:B$1000&gt;=W224),I$4:I$1000, "")),"")</f>
        <v/>
      </c>
      <c r="Z224" s="33" t="str">
        <f t="shared" si="163"/>
        <v/>
      </c>
      <c r="AA224" s="32" t="str">
        <f t="shared" si="164"/>
        <v/>
      </c>
      <c r="AB224" s="32" t="str">
        <f t="shared" si="165"/>
        <v/>
      </c>
      <c r="AC224" s="32" t="str">
        <f t="shared" si="166"/>
        <v/>
      </c>
      <c r="AD224" s="32" t="str">
        <f t="shared" si="167"/>
        <v/>
      </c>
      <c r="AE224" s="34" t="str">
        <f t="shared" si="168"/>
        <v/>
      </c>
      <c r="AF224" s="32" t="str">
        <f t="shared" si="169"/>
        <v/>
      </c>
      <c r="AG224" s="32" t="str">
        <f t="shared" si="170"/>
        <v/>
      </c>
      <c r="AH224" s="32" t="str">
        <f t="shared" si="171"/>
        <v/>
      </c>
      <c r="AI224" s="35" t="str">
        <f t="shared" si="172"/>
        <v/>
      </c>
      <c r="AJ224" s="23" t="str">
        <f t="array" ref="AJ224">IFERROR(SMALL(IF(U$1:U$1000="BEGIN",ROW(U$1:U$1000)),ROW()-3),"")</f>
        <v/>
      </c>
      <c r="AK224" s="23" t="str">
        <f t="array" ref="AK224">IFERROR(SMALL(IF(V$1:V$1000="END",ROW(V$1:V$1000)),ROW()-3),"")</f>
        <v/>
      </c>
      <c r="AL224" s="24" t="str">
        <f t="array" ref="AL224">IF(AK224="","",MATCH(AM224,L:L,0))</f>
        <v/>
      </c>
      <c r="AM224" s="35">
        <f t="array" ref="AM224">MAX(IF((B$4:B$1000&lt;=AK224)*(B$4:B$1000&gt;=AJ224),L$4:L$1000, ""))</f>
        <v>0</v>
      </c>
      <c r="AN224" s="32" t="str">
        <f t="shared" si="179"/>
        <v/>
      </c>
      <c r="AO224" s="32" t="str">
        <f t="shared" si="180"/>
        <v/>
      </c>
      <c r="AP224" s="32" t="str">
        <f t="shared" si="181"/>
        <v/>
      </c>
      <c r="AQ224" s="32" t="str">
        <f t="shared" si="182"/>
        <v/>
      </c>
      <c r="AR224" s="32" t="str">
        <f t="shared" si="183"/>
        <v/>
      </c>
      <c r="AS224" s="32" t="str">
        <f t="shared" si="184"/>
        <v/>
      </c>
      <c r="AT224" s="32" t="str">
        <f t="shared" si="185"/>
        <v/>
      </c>
      <c r="AU224" s="34" t="str">
        <f t="shared" si="186"/>
        <v/>
      </c>
      <c r="AV224" s="32" t="str">
        <f t="shared" si="187"/>
        <v/>
      </c>
      <c r="AW224" s="32" t="str">
        <f t="shared" si="188"/>
        <v/>
      </c>
      <c r="AX224" s="32" t="str">
        <f t="shared" si="189"/>
        <v/>
      </c>
      <c r="AY224" s="32" t="str">
        <f t="shared" si="190"/>
        <v/>
      </c>
    </row>
    <row r="225" spans="1:51" x14ac:dyDescent="0.25">
      <c r="A225" s="24" t="str">
        <f t="shared" si="148"/>
        <v/>
      </c>
      <c r="B225" s="24" t="str">
        <f t="shared" si="158"/>
        <v/>
      </c>
      <c r="C225" s="32" t="str">
        <f t="shared" si="149"/>
        <v/>
      </c>
      <c r="D225" s="24" t="str">
        <f t="shared" si="150"/>
        <v/>
      </c>
      <c r="E225" s="24" t="str">
        <f t="shared" si="151"/>
        <v/>
      </c>
      <c r="F225" s="32" t="str">
        <f t="shared" si="152"/>
        <v/>
      </c>
      <c r="G225" s="32" t="str">
        <f t="shared" si="153"/>
        <v/>
      </c>
      <c r="H225" s="32" t="str">
        <f t="shared" ca="1" si="154"/>
        <v/>
      </c>
      <c r="I225" s="32" t="str">
        <f t="shared" ca="1" si="159"/>
        <v/>
      </c>
      <c r="J225" s="32" t="str">
        <f t="shared" si="155"/>
        <v/>
      </c>
      <c r="K225" s="32" t="str">
        <f>IF(ISNUMBER(A225),Profile!$V$25+Profile!$V$24*'Ri-Po'!C225,"")</f>
        <v/>
      </c>
      <c r="L225" s="32" t="str">
        <f t="shared" si="160"/>
        <v/>
      </c>
      <c r="M225" s="32" t="str">
        <f t="shared" si="156"/>
        <v/>
      </c>
      <c r="N225" s="32" t="str">
        <f t="shared" si="157"/>
        <v/>
      </c>
      <c r="O225" s="32" t="str">
        <f t="shared" si="173"/>
        <v/>
      </c>
      <c r="P225" s="32" t="str">
        <f t="shared" si="161"/>
        <v/>
      </c>
      <c r="Q225" s="32" t="str">
        <f t="shared" si="162"/>
        <v/>
      </c>
      <c r="R225" s="32" t="str">
        <f t="shared" si="174"/>
        <v/>
      </c>
      <c r="S225" s="24" t="str">
        <f t="shared" si="175"/>
        <v/>
      </c>
      <c r="T225" s="24" t="str">
        <f t="shared" si="176"/>
        <v/>
      </c>
      <c r="U225" s="24" t="str">
        <f t="shared" si="177"/>
        <v/>
      </c>
      <c r="V225" s="24" t="str">
        <f t="shared" si="178"/>
        <v/>
      </c>
      <c r="W225" s="23" t="str">
        <f t="array" ref="W225">IFERROR(SMALL(IF(S$1:S$1000="BEGIN",ROW(S$1:S$1000)),ROW()-3),"")</f>
        <v/>
      </c>
      <c r="X225" s="23" t="str">
        <f t="array" ref="X225">IFERROR(SMALL(IF(T$1:T$1000="END",ROW(T$1:T$1000)),ROW()-3),"")</f>
        <v/>
      </c>
      <c r="Y225" s="33" t="str">
        <f t="array" ref="Y225">IF(ISNUMBER(W225),MAX(IF((B$4:B$1000&lt;=X225)*(B$4:B$1000&gt;=W225),I$4:I$1000, "")),"")</f>
        <v/>
      </c>
      <c r="Z225" s="33" t="str">
        <f t="shared" si="163"/>
        <v/>
      </c>
      <c r="AA225" s="32" t="str">
        <f t="shared" si="164"/>
        <v/>
      </c>
      <c r="AB225" s="32" t="str">
        <f t="shared" si="165"/>
        <v/>
      </c>
      <c r="AC225" s="32" t="str">
        <f t="shared" si="166"/>
        <v/>
      </c>
      <c r="AD225" s="32" t="str">
        <f t="shared" si="167"/>
        <v/>
      </c>
      <c r="AE225" s="34" t="str">
        <f t="shared" si="168"/>
        <v/>
      </c>
      <c r="AF225" s="32" t="str">
        <f t="shared" si="169"/>
        <v/>
      </c>
      <c r="AG225" s="32" t="str">
        <f t="shared" si="170"/>
        <v/>
      </c>
      <c r="AH225" s="32" t="str">
        <f t="shared" si="171"/>
        <v/>
      </c>
      <c r="AI225" s="35" t="str">
        <f t="shared" si="172"/>
        <v/>
      </c>
      <c r="AJ225" s="23" t="str">
        <f t="array" ref="AJ225">IFERROR(SMALL(IF(U$1:U$1000="BEGIN",ROW(U$1:U$1000)),ROW()-3),"")</f>
        <v/>
      </c>
      <c r="AK225" s="23" t="str">
        <f t="array" ref="AK225">IFERROR(SMALL(IF(V$1:V$1000="END",ROW(V$1:V$1000)),ROW()-3),"")</f>
        <v/>
      </c>
      <c r="AL225" s="24" t="str">
        <f t="array" ref="AL225">IF(AK225="","",MATCH(AM225,L:L,0))</f>
        <v/>
      </c>
      <c r="AM225" s="35">
        <f t="array" ref="AM225">MAX(IF((B$4:B$1000&lt;=AK225)*(B$4:B$1000&gt;=AJ225),L$4:L$1000, ""))</f>
        <v>0</v>
      </c>
      <c r="AN225" s="32" t="str">
        <f t="shared" si="179"/>
        <v/>
      </c>
      <c r="AO225" s="32" t="str">
        <f t="shared" si="180"/>
        <v/>
      </c>
      <c r="AP225" s="32" t="str">
        <f t="shared" si="181"/>
        <v/>
      </c>
      <c r="AQ225" s="32" t="str">
        <f t="shared" si="182"/>
        <v/>
      </c>
      <c r="AR225" s="32" t="str">
        <f t="shared" si="183"/>
        <v/>
      </c>
      <c r="AS225" s="32" t="str">
        <f t="shared" si="184"/>
        <v/>
      </c>
      <c r="AT225" s="32" t="str">
        <f t="shared" si="185"/>
        <v/>
      </c>
      <c r="AU225" s="34" t="str">
        <f t="shared" si="186"/>
        <v/>
      </c>
      <c r="AV225" s="32" t="str">
        <f t="shared" si="187"/>
        <v/>
      </c>
      <c r="AW225" s="32" t="str">
        <f t="shared" si="188"/>
        <v/>
      </c>
      <c r="AX225" s="32" t="str">
        <f t="shared" si="189"/>
        <v/>
      </c>
      <c r="AY225" s="32" t="str">
        <f t="shared" si="190"/>
        <v/>
      </c>
    </row>
    <row r="226" spans="1:51" x14ac:dyDescent="0.25">
      <c r="A226" s="24" t="str">
        <f t="shared" si="148"/>
        <v/>
      </c>
      <c r="B226" s="24" t="str">
        <f t="shared" si="158"/>
        <v/>
      </c>
      <c r="C226" s="32" t="str">
        <f t="shared" si="149"/>
        <v/>
      </c>
      <c r="D226" s="24" t="str">
        <f t="shared" si="150"/>
        <v/>
      </c>
      <c r="E226" s="24" t="str">
        <f t="shared" si="151"/>
        <v/>
      </c>
      <c r="F226" s="32" t="str">
        <f t="shared" si="152"/>
        <v/>
      </c>
      <c r="G226" s="32" t="str">
        <f t="shared" si="153"/>
        <v/>
      </c>
      <c r="H226" s="32" t="str">
        <f t="shared" ca="1" si="154"/>
        <v/>
      </c>
      <c r="I226" s="32" t="str">
        <f t="shared" ca="1" si="159"/>
        <v/>
      </c>
      <c r="J226" s="32" t="str">
        <f t="shared" si="155"/>
        <v/>
      </c>
      <c r="K226" s="32" t="str">
        <f>IF(ISNUMBER(A226),Profile!$V$25+Profile!$V$24*'Ri-Po'!C226,"")</f>
        <v/>
      </c>
      <c r="L226" s="32" t="str">
        <f t="shared" si="160"/>
        <v/>
      </c>
      <c r="M226" s="32" t="str">
        <f t="shared" si="156"/>
        <v/>
      </c>
      <c r="N226" s="32" t="str">
        <f t="shared" si="157"/>
        <v/>
      </c>
      <c r="O226" s="32" t="str">
        <f t="shared" si="173"/>
        <v/>
      </c>
      <c r="P226" s="32" t="str">
        <f t="shared" si="161"/>
        <v/>
      </c>
      <c r="Q226" s="32" t="str">
        <f t="shared" si="162"/>
        <v/>
      </c>
      <c r="R226" s="32" t="str">
        <f t="shared" si="174"/>
        <v/>
      </c>
      <c r="S226" s="24" t="str">
        <f t="shared" si="175"/>
        <v/>
      </c>
      <c r="T226" s="24" t="str">
        <f t="shared" si="176"/>
        <v/>
      </c>
      <c r="U226" s="24" t="str">
        <f t="shared" si="177"/>
        <v/>
      </c>
      <c r="V226" s="24" t="str">
        <f t="shared" si="178"/>
        <v/>
      </c>
      <c r="W226" s="23" t="str">
        <f t="array" ref="W226">IFERROR(SMALL(IF(S$1:S$1000="BEGIN",ROW(S$1:S$1000)),ROW()-3),"")</f>
        <v/>
      </c>
      <c r="X226" s="23" t="str">
        <f t="array" ref="X226">IFERROR(SMALL(IF(T$1:T$1000="END",ROW(T$1:T$1000)),ROW()-3),"")</f>
        <v/>
      </c>
      <c r="Y226" s="33" t="str">
        <f t="array" ref="Y226">IF(ISNUMBER(W226),MAX(IF((B$4:B$1000&lt;=X226)*(B$4:B$1000&gt;=W226),I$4:I$1000, "")),"")</f>
        <v/>
      </c>
      <c r="Z226" s="33" t="str">
        <f t="shared" si="163"/>
        <v/>
      </c>
      <c r="AA226" s="32" t="str">
        <f t="shared" si="164"/>
        <v/>
      </c>
      <c r="AB226" s="32" t="str">
        <f t="shared" si="165"/>
        <v/>
      </c>
      <c r="AC226" s="32" t="str">
        <f t="shared" si="166"/>
        <v/>
      </c>
      <c r="AD226" s="32" t="str">
        <f t="shared" si="167"/>
        <v/>
      </c>
      <c r="AE226" s="34" t="str">
        <f t="shared" si="168"/>
        <v/>
      </c>
      <c r="AF226" s="32" t="str">
        <f t="shared" si="169"/>
        <v/>
      </c>
      <c r="AG226" s="32" t="str">
        <f t="shared" si="170"/>
        <v/>
      </c>
      <c r="AH226" s="32" t="str">
        <f t="shared" si="171"/>
        <v/>
      </c>
      <c r="AI226" s="35" t="str">
        <f t="shared" si="172"/>
        <v/>
      </c>
      <c r="AJ226" s="23" t="str">
        <f t="array" ref="AJ226">IFERROR(SMALL(IF(U$1:U$1000="BEGIN",ROW(U$1:U$1000)),ROW()-3),"")</f>
        <v/>
      </c>
      <c r="AK226" s="23" t="str">
        <f t="array" ref="AK226">IFERROR(SMALL(IF(V$1:V$1000="END",ROW(V$1:V$1000)),ROW()-3),"")</f>
        <v/>
      </c>
      <c r="AL226" s="24" t="str">
        <f t="array" ref="AL226">IF(AK226="","",MATCH(AM226,L:L,0))</f>
        <v/>
      </c>
      <c r="AM226" s="35">
        <f t="array" ref="AM226">MAX(IF((B$4:B$1000&lt;=AK226)*(B$4:B$1000&gt;=AJ226),L$4:L$1000, ""))</f>
        <v>0</v>
      </c>
      <c r="AN226" s="32" t="str">
        <f t="shared" si="179"/>
        <v/>
      </c>
      <c r="AO226" s="32" t="str">
        <f t="shared" si="180"/>
        <v/>
      </c>
      <c r="AP226" s="32" t="str">
        <f t="shared" si="181"/>
        <v/>
      </c>
      <c r="AQ226" s="32" t="str">
        <f t="shared" si="182"/>
        <v/>
      </c>
      <c r="AR226" s="32" t="str">
        <f t="shared" si="183"/>
        <v/>
      </c>
      <c r="AS226" s="32" t="str">
        <f t="shared" si="184"/>
        <v/>
      </c>
      <c r="AT226" s="32" t="str">
        <f t="shared" si="185"/>
        <v/>
      </c>
      <c r="AU226" s="34" t="str">
        <f t="shared" si="186"/>
        <v/>
      </c>
      <c r="AV226" s="32" t="str">
        <f t="shared" si="187"/>
        <v/>
      </c>
      <c r="AW226" s="32" t="str">
        <f t="shared" si="188"/>
        <v/>
      </c>
      <c r="AX226" s="32" t="str">
        <f t="shared" si="189"/>
        <v/>
      </c>
      <c r="AY226" s="32" t="str">
        <f t="shared" si="190"/>
        <v/>
      </c>
    </row>
    <row r="227" spans="1:51" x14ac:dyDescent="0.25">
      <c r="A227" s="24" t="str">
        <f t="shared" si="148"/>
        <v/>
      </c>
      <c r="B227" s="24" t="str">
        <f t="shared" si="158"/>
        <v/>
      </c>
      <c r="C227" s="32" t="str">
        <f t="shared" si="149"/>
        <v/>
      </c>
      <c r="D227" s="24" t="str">
        <f t="shared" si="150"/>
        <v/>
      </c>
      <c r="E227" s="24" t="str">
        <f t="shared" si="151"/>
        <v/>
      </c>
      <c r="F227" s="32" t="str">
        <f t="shared" si="152"/>
        <v/>
      </c>
      <c r="G227" s="32" t="str">
        <f t="shared" si="153"/>
        <v/>
      </c>
      <c r="H227" s="32" t="str">
        <f t="shared" ca="1" si="154"/>
        <v/>
      </c>
      <c r="I227" s="32" t="str">
        <f t="shared" ca="1" si="159"/>
        <v/>
      </c>
      <c r="J227" s="32" t="str">
        <f t="shared" si="155"/>
        <v/>
      </c>
      <c r="K227" s="32" t="str">
        <f>IF(ISNUMBER(A227),Profile!$V$25+Profile!$V$24*'Ri-Po'!C227,"")</f>
        <v/>
      </c>
      <c r="L227" s="32" t="str">
        <f t="shared" si="160"/>
        <v/>
      </c>
      <c r="M227" s="32" t="str">
        <f t="shared" si="156"/>
        <v/>
      </c>
      <c r="N227" s="32" t="str">
        <f t="shared" si="157"/>
        <v/>
      </c>
      <c r="O227" s="32" t="str">
        <f t="shared" si="173"/>
        <v/>
      </c>
      <c r="P227" s="32" t="str">
        <f t="shared" si="161"/>
        <v/>
      </c>
      <c r="Q227" s="32" t="str">
        <f t="shared" si="162"/>
        <v/>
      </c>
      <c r="R227" s="32" t="str">
        <f t="shared" si="174"/>
        <v/>
      </c>
      <c r="S227" s="24" t="str">
        <f t="shared" si="175"/>
        <v/>
      </c>
      <c r="T227" s="24" t="str">
        <f t="shared" si="176"/>
        <v/>
      </c>
      <c r="U227" s="24" t="str">
        <f t="shared" si="177"/>
        <v/>
      </c>
      <c r="V227" s="24" t="str">
        <f t="shared" si="178"/>
        <v/>
      </c>
      <c r="W227" s="23" t="str">
        <f t="array" ref="W227">IFERROR(SMALL(IF(S$1:S$1000="BEGIN",ROW(S$1:S$1000)),ROW()-3),"")</f>
        <v/>
      </c>
      <c r="X227" s="23" t="str">
        <f t="array" ref="X227">IFERROR(SMALL(IF(T$1:T$1000="END",ROW(T$1:T$1000)),ROW()-3),"")</f>
        <v/>
      </c>
      <c r="Y227" s="33" t="str">
        <f t="array" ref="Y227">IF(ISNUMBER(W227),MAX(IF((B$4:B$1000&lt;=X227)*(B$4:B$1000&gt;=W227),I$4:I$1000, "")),"")</f>
        <v/>
      </c>
      <c r="Z227" s="33" t="str">
        <f t="shared" si="163"/>
        <v/>
      </c>
      <c r="AA227" s="32" t="str">
        <f t="shared" si="164"/>
        <v/>
      </c>
      <c r="AB227" s="32" t="str">
        <f t="shared" si="165"/>
        <v/>
      </c>
      <c r="AC227" s="32" t="str">
        <f t="shared" si="166"/>
        <v/>
      </c>
      <c r="AD227" s="32" t="str">
        <f t="shared" si="167"/>
        <v/>
      </c>
      <c r="AE227" s="34" t="str">
        <f t="shared" si="168"/>
        <v/>
      </c>
      <c r="AF227" s="32" t="str">
        <f t="shared" si="169"/>
        <v/>
      </c>
      <c r="AG227" s="32" t="str">
        <f t="shared" si="170"/>
        <v/>
      </c>
      <c r="AH227" s="32" t="str">
        <f t="shared" si="171"/>
        <v/>
      </c>
      <c r="AI227" s="35" t="str">
        <f t="shared" si="172"/>
        <v/>
      </c>
      <c r="AJ227" s="23" t="str">
        <f t="array" ref="AJ227">IFERROR(SMALL(IF(U$1:U$1000="BEGIN",ROW(U$1:U$1000)),ROW()-3),"")</f>
        <v/>
      </c>
      <c r="AK227" s="23" t="str">
        <f t="array" ref="AK227">IFERROR(SMALL(IF(V$1:V$1000="END",ROW(V$1:V$1000)),ROW()-3),"")</f>
        <v/>
      </c>
      <c r="AL227" s="24" t="str">
        <f t="array" ref="AL227">IF(AK227="","",MATCH(AM227,L:L,0))</f>
        <v/>
      </c>
      <c r="AM227" s="35">
        <f t="array" ref="AM227">MAX(IF((B$4:B$1000&lt;=AK227)*(B$4:B$1000&gt;=AJ227),L$4:L$1000, ""))</f>
        <v>0</v>
      </c>
      <c r="AN227" s="32" t="str">
        <f t="shared" si="179"/>
        <v/>
      </c>
      <c r="AO227" s="32" t="str">
        <f t="shared" si="180"/>
        <v/>
      </c>
      <c r="AP227" s="32" t="str">
        <f t="shared" si="181"/>
        <v/>
      </c>
      <c r="AQ227" s="32" t="str">
        <f t="shared" si="182"/>
        <v/>
      </c>
      <c r="AR227" s="32" t="str">
        <f t="shared" si="183"/>
        <v/>
      </c>
      <c r="AS227" s="32" t="str">
        <f t="shared" si="184"/>
        <v/>
      </c>
      <c r="AT227" s="32" t="str">
        <f t="shared" si="185"/>
        <v/>
      </c>
      <c r="AU227" s="34" t="str">
        <f t="shared" si="186"/>
        <v/>
      </c>
      <c r="AV227" s="32" t="str">
        <f t="shared" si="187"/>
        <v/>
      </c>
      <c r="AW227" s="32" t="str">
        <f t="shared" si="188"/>
        <v/>
      </c>
      <c r="AX227" s="32" t="str">
        <f t="shared" si="189"/>
        <v/>
      </c>
      <c r="AY227" s="32" t="str">
        <f t="shared" si="190"/>
        <v/>
      </c>
    </row>
    <row r="228" spans="1:51" x14ac:dyDescent="0.25">
      <c r="A228" s="24" t="str">
        <f t="shared" si="148"/>
        <v/>
      </c>
      <c r="B228" s="24" t="str">
        <f t="shared" si="158"/>
        <v/>
      </c>
      <c r="C228" s="32" t="str">
        <f t="shared" si="149"/>
        <v/>
      </c>
      <c r="D228" s="24" t="str">
        <f t="shared" si="150"/>
        <v/>
      </c>
      <c r="E228" s="24" t="str">
        <f t="shared" si="151"/>
        <v/>
      </c>
      <c r="F228" s="32" t="str">
        <f t="shared" si="152"/>
        <v/>
      </c>
      <c r="G228" s="32" t="str">
        <f t="shared" si="153"/>
        <v/>
      </c>
      <c r="H228" s="32" t="str">
        <f t="shared" ca="1" si="154"/>
        <v/>
      </c>
      <c r="I228" s="32" t="str">
        <f t="shared" ca="1" si="159"/>
        <v/>
      </c>
      <c r="J228" s="32" t="str">
        <f t="shared" si="155"/>
        <v/>
      </c>
      <c r="K228" s="32" t="str">
        <f>IF(ISNUMBER(A228),Profile!$V$25+Profile!$V$24*'Ri-Po'!C228,"")</f>
        <v/>
      </c>
      <c r="L228" s="32" t="str">
        <f t="shared" si="160"/>
        <v/>
      </c>
      <c r="M228" s="32" t="str">
        <f t="shared" si="156"/>
        <v/>
      </c>
      <c r="N228" s="32" t="str">
        <f t="shared" si="157"/>
        <v/>
      </c>
      <c r="O228" s="32" t="str">
        <f t="shared" si="173"/>
        <v/>
      </c>
      <c r="P228" s="32" t="str">
        <f t="shared" si="161"/>
        <v/>
      </c>
      <c r="Q228" s="32" t="str">
        <f t="shared" si="162"/>
        <v/>
      </c>
      <c r="R228" s="32" t="str">
        <f t="shared" si="174"/>
        <v/>
      </c>
      <c r="S228" s="24" t="str">
        <f t="shared" si="175"/>
        <v/>
      </c>
      <c r="T228" s="24" t="str">
        <f t="shared" si="176"/>
        <v/>
      </c>
      <c r="U228" s="24" t="str">
        <f t="shared" si="177"/>
        <v/>
      </c>
      <c r="V228" s="24" t="str">
        <f t="shared" si="178"/>
        <v/>
      </c>
      <c r="W228" s="23" t="str">
        <f t="array" ref="W228">IFERROR(SMALL(IF(S$1:S$1000="BEGIN",ROW(S$1:S$1000)),ROW()-3),"")</f>
        <v/>
      </c>
      <c r="X228" s="23" t="str">
        <f t="array" ref="X228">IFERROR(SMALL(IF(T$1:T$1000="END",ROW(T$1:T$1000)),ROW()-3),"")</f>
        <v/>
      </c>
      <c r="Y228" s="33" t="str">
        <f t="array" ref="Y228">IF(ISNUMBER(W228),MAX(IF((B$4:B$1000&lt;=X228)*(B$4:B$1000&gt;=W228),I$4:I$1000, "")),"")</f>
        <v/>
      </c>
      <c r="Z228" s="33" t="str">
        <f t="shared" si="163"/>
        <v/>
      </c>
      <c r="AA228" s="32" t="str">
        <f t="shared" si="164"/>
        <v/>
      </c>
      <c r="AB228" s="32" t="str">
        <f t="shared" si="165"/>
        <v/>
      </c>
      <c r="AC228" s="32" t="str">
        <f t="shared" si="166"/>
        <v/>
      </c>
      <c r="AD228" s="32" t="str">
        <f t="shared" si="167"/>
        <v/>
      </c>
      <c r="AE228" s="34" t="str">
        <f t="shared" si="168"/>
        <v/>
      </c>
      <c r="AF228" s="32" t="str">
        <f t="shared" si="169"/>
        <v/>
      </c>
      <c r="AG228" s="32" t="str">
        <f t="shared" si="170"/>
        <v/>
      </c>
      <c r="AH228" s="32" t="str">
        <f t="shared" si="171"/>
        <v/>
      </c>
      <c r="AI228" s="35" t="str">
        <f t="shared" si="172"/>
        <v/>
      </c>
      <c r="AJ228" s="23" t="str">
        <f t="array" ref="AJ228">IFERROR(SMALL(IF(U$1:U$1000="BEGIN",ROW(U$1:U$1000)),ROW()-3),"")</f>
        <v/>
      </c>
      <c r="AK228" s="23" t="str">
        <f t="array" ref="AK228">IFERROR(SMALL(IF(V$1:V$1000="END",ROW(V$1:V$1000)),ROW()-3),"")</f>
        <v/>
      </c>
      <c r="AL228" s="24" t="str">
        <f t="array" ref="AL228">IF(AK228="","",MATCH(AM228,L:L,0))</f>
        <v/>
      </c>
      <c r="AM228" s="35">
        <f t="array" ref="AM228">MAX(IF((B$4:B$1000&lt;=AK228)*(B$4:B$1000&gt;=AJ228),L$4:L$1000, ""))</f>
        <v>0</v>
      </c>
      <c r="AN228" s="32" t="str">
        <f t="shared" si="179"/>
        <v/>
      </c>
      <c r="AO228" s="32" t="str">
        <f t="shared" si="180"/>
        <v/>
      </c>
      <c r="AP228" s="32" t="str">
        <f t="shared" si="181"/>
        <v/>
      </c>
      <c r="AQ228" s="32" t="str">
        <f t="shared" si="182"/>
        <v/>
      </c>
      <c r="AR228" s="32" t="str">
        <f t="shared" si="183"/>
        <v/>
      </c>
      <c r="AS228" s="32" t="str">
        <f t="shared" si="184"/>
        <v/>
      </c>
      <c r="AT228" s="32" t="str">
        <f t="shared" si="185"/>
        <v/>
      </c>
      <c r="AU228" s="34" t="str">
        <f t="shared" si="186"/>
        <v/>
      </c>
      <c r="AV228" s="32" t="str">
        <f t="shared" si="187"/>
        <v/>
      </c>
      <c r="AW228" s="32" t="str">
        <f t="shared" si="188"/>
        <v/>
      </c>
      <c r="AX228" s="32" t="str">
        <f t="shared" si="189"/>
        <v/>
      </c>
      <c r="AY228" s="32" t="str">
        <f t="shared" si="190"/>
        <v/>
      </c>
    </row>
    <row r="229" spans="1:51" x14ac:dyDescent="0.25">
      <c r="A229" s="24" t="str">
        <f t="shared" si="148"/>
        <v/>
      </c>
      <c r="B229" s="24" t="str">
        <f t="shared" si="158"/>
        <v/>
      </c>
      <c r="C229" s="32" t="str">
        <f t="shared" si="149"/>
        <v/>
      </c>
      <c r="D229" s="24" t="str">
        <f t="shared" si="150"/>
        <v/>
      </c>
      <c r="E229" s="24" t="str">
        <f t="shared" si="151"/>
        <v/>
      </c>
      <c r="F229" s="32" t="str">
        <f t="shared" si="152"/>
        <v/>
      </c>
      <c r="G229" s="32" t="str">
        <f t="shared" si="153"/>
        <v/>
      </c>
      <c r="H229" s="32" t="str">
        <f t="shared" ca="1" si="154"/>
        <v/>
      </c>
      <c r="I229" s="32" t="str">
        <f t="shared" ca="1" si="159"/>
        <v/>
      </c>
      <c r="J229" s="32" t="str">
        <f t="shared" si="155"/>
        <v/>
      </c>
      <c r="K229" s="32" t="str">
        <f>IF(ISNUMBER(A229),Profile!$V$25+Profile!$V$24*'Ri-Po'!C229,"")</f>
        <v/>
      </c>
      <c r="L229" s="32" t="str">
        <f t="shared" si="160"/>
        <v/>
      </c>
      <c r="M229" s="32" t="str">
        <f t="shared" si="156"/>
        <v/>
      </c>
      <c r="N229" s="32" t="str">
        <f t="shared" si="157"/>
        <v/>
      </c>
      <c r="O229" s="32" t="str">
        <f t="shared" si="173"/>
        <v/>
      </c>
      <c r="P229" s="32" t="str">
        <f t="shared" si="161"/>
        <v/>
      </c>
      <c r="Q229" s="32" t="str">
        <f t="shared" si="162"/>
        <v/>
      </c>
      <c r="R229" s="32" t="str">
        <f t="shared" si="174"/>
        <v/>
      </c>
      <c r="S229" s="24" t="str">
        <f t="shared" si="175"/>
        <v/>
      </c>
      <c r="T229" s="24" t="str">
        <f t="shared" si="176"/>
        <v/>
      </c>
      <c r="U229" s="24" t="str">
        <f t="shared" si="177"/>
        <v/>
      </c>
      <c r="V229" s="24" t="str">
        <f t="shared" si="178"/>
        <v/>
      </c>
      <c r="W229" s="23" t="str">
        <f t="array" ref="W229">IFERROR(SMALL(IF(S$1:S$1000="BEGIN",ROW(S$1:S$1000)),ROW()-3),"")</f>
        <v/>
      </c>
      <c r="X229" s="23" t="str">
        <f t="array" ref="X229">IFERROR(SMALL(IF(T$1:T$1000="END",ROW(T$1:T$1000)),ROW()-3),"")</f>
        <v/>
      </c>
      <c r="Y229" s="33" t="str">
        <f t="array" ref="Y229">IF(ISNUMBER(W229),MAX(IF((B$4:B$1000&lt;=X229)*(B$4:B$1000&gt;=W229),I$4:I$1000, "")),"")</f>
        <v/>
      </c>
      <c r="Z229" s="33" t="str">
        <f t="shared" si="163"/>
        <v/>
      </c>
      <c r="AA229" s="32" t="str">
        <f t="shared" si="164"/>
        <v/>
      </c>
      <c r="AB229" s="32" t="str">
        <f t="shared" si="165"/>
        <v/>
      </c>
      <c r="AC229" s="32" t="str">
        <f t="shared" si="166"/>
        <v/>
      </c>
      <c r="AD229" s="32" t="str">
        <f t="shared" si="167"/>
        <v/>
      </c>
      <c r="AE229" s="34" t="str">
        <f t="shared" si="168"/>
        <v/>
      </c>
      <c r="AF229" s="32" t="str">
        <f t="shared" si="169"/>
        <v/>
      </c>
      <c r="AG229" s="32" t="str">
        <f t="shared" si="170"/>
        <v/>
      </c>
      <c r="AH229" s="32" t="str">
        <f t="shared" si="171"/>
        <v/>
      </c>
      <c r="AI229" s="35" t="str">
        <f t="shared" si="172"/>
        <v/>
      </c>
      <c r="AJ229" s="23" t="str">
        <f t="array" ref="AJ229">IFERROR(SMALL(IF(U$1:U$1000="BEGIN",ROW(U$1:U$1000)),ROW()-3),"")</f>
        <v/>
      </c>
      <c r="AK229" s="23" t="str">
        <f t="array" ref="AK229">IFERROR(SMALL(IF(V$1:V$1000="END",ROW(V$1:V$1000)),ROW()-3),"")</f>
        <v/>
      </c>
      <c r="AL229" s="24" t="str">
        <f t="array" ref="AL229">IF(AK229="","",MATCH(AM229,L:L,0))</f>
        <v/>
      </c>
      <c r="AM229" s="35">
        <f t="array" ref="AM229">MAX(IF((B$4:B$1000&lt;=AK229)*(B$4:B$1000&gt;=AJ229),L$4:L$1000, ""))</f>
        <v>0</v>
      </c>
      <c r="AN229" s="32" t="str">
        <f t="shared" si="179"/>
        <v/>
      </c>
      <c r="AO229" s="32" t="str">
        <f t="shared" si="180"/>
        <v/>
      </c>
      <c r="AP229" s="32" t="str">
        <f t="shared" si="181"/>
        <v/>
      </c>
      <c r="AQ229" s="32" t="str">
        <f t="shared" si="182"/>
        <v/>
      </c>
      <c r="AR229" s="32" t="str">
        <f t="shared" si="183"/>
        <v/>
      </c>
      <c r="AS229" s="32" t="str">
        <f t="shared" si="184"/>
        <v/>
      </c>
      <c r="AT229" s="32" t="str">
        <f t="shared" si="185"/>
        <v/>
      </c>
      <c r="AU229" s="34" t="str">
        <f t="shared" si="186"/>
        <v/>
      </c>
      <c r="AV229" s="32" t="str">
        <f t="shared" si="187"/>
        <v/>
      </c>
      <c r="AW229" s="32" t="str">
        <f t="shared" si="188"/>
        <v/>
      </c>
      <c r="AX229" s="32" t="str">
        <f t="shared" si="189"/>
        <v/>
      </c>
      <c r="AY229" s="32" t="str">
        <f t="shared" si="190"/>
        <v/>
      </c>
    </row>
    <row r="230" spans="1:51" x14ac:dyDescent="0.25">
      <c r="A230" s="24" t="str">
        <f t="shared" si="148"/>
        <v/>
      </c>
      <c r="B230" s="24" t="str">
        <f t="shared" si="158"/>
        <v/>
      </c>
      <c r="C230" s="32" t="str">
        <f t="shared" si="149"/>
        <v/>
      </c>
      <c r="D230" s="24" t="str">
        <f t="shared" si="150"/>
        <v/>
      </c>
      <c r="E230" s="24" t="str">
        <f t="shared" si="151"/>
        <v/>
      </c>
      <c r="F230" s="32" t="str">
        <f t="shared" si="152"/>
        <v/>
      </c>
      <c r="G230" s="32" t="str">
        <f t="shared" si="153"/>
        <v/>
      </c>
      <c r="H230" s="32" t="str">
        <f t="shared" ca="1" si="154"/>
        <v/>
      </c>
      <c r="I230" s="32" t="str">
        <f t="shared" ca="1" si="159"/>
        <v/>
      </c>
      <c r="J230" s="32" t="str">
        <f t="shared" si="155"/>
        <v/>
      </c>
      <c r="K230" s="32" t="str">
        <f>IF(ISNUMBER(A230),Profile!$V$25+Profile!$V$24*'Ri-Po'!C230,"")</f>
        <v/>
      </c>
      <c r="L230" s="32" t="str">
        <f t="shared" si="160"/>
        <v/>
      </c>
      <c r="M230" s="32" t="str">
        <f t="shared" si="156"/>
        <v/>
      </c>
      <c r="N230" s="32" t="str">
        <f t="shared" si="157"/>
        <v/>
      </c>
      <c r="O230" s="32" t="str">
        <f t="shared" si="173"/>
        <v/>
      </c>
      <c r="P230" s="32" t="str">
        <f t="shared" si="161"/>
        <v/>
      </c>
      <c r="Q230" s="32" t="str">
        <f t="shared" si="162"/>
        <v/>
      </c>
      <c r="R230" s="32" t="str">
        <f t="shared" si="174"/>
        <v/>
      </c>
      <c r="S230" s="24" t="str">
        <f t="shared" si="175"/>
        <v/>
      </c>
      <c r="T230" s="24" t="str">
        <f t="shared" si="176"/>
        <v/>
      </c>
      <c r="U230" s="24" t="str">
        <f t="shared" si="177"/>
        <v/>
      </c>
      <c r="V230" s="24" t="str">
        <f t="shared" si="178"/>
        <v/>
      </c>
      <c r="W230" s="23" t="str">
        <f t="array" ref="W230">IFERROR(SMALL(IF(S$1:S$1000="BEGIN",ROW(S$1:S$1000)),ROW()-3),"")</f>
        <v/>
      </c>
      <c r="X230" s="23" t="str">
        <f t="array" ref="X230">IFERROR(SMALL(IF(T$1:T$1000="END",ROW(T$1:T$1000)),ROW()-3),"")</f>
        <v/>
      </c>
      <c r="Y230" s="33" t="str">
        <f t="array" ref="Y230">IF(ISNUMBER(W230),MAX(IF((B$4:B$1000&lt;=X230)*(B$4:B$1000&gt;=W230),I$4:I$1000, "")),"")</f>
        <v/>
      </c>
      <c r="Z230" s="33" t="str">
        <f t="shared" si="163"/>
        <v/>
      </c>
      <c r="AA230" s="32" t="str">
        <f t="shared" si="164"/>
        <v/>
      </c>
      <c r="AB230" s="32" t="str">
        <f t="shared" si="165"/>
        <v/>
      </c>
      <c r="AC230" s="32" t="str">
        <f t="shared" si="166"/>
        <v/>
      </c>
      <c r="AD230" s="32" t="str">
        <f t="shared" si="167"/>
        <v/>
      </c>
      <c r="AE230" s="34" t="str">
        <f t="shared" si="168"/>
        <v/>
      </c>
      <c r="AF230" s="32" t="str">
        <f t="shared" si="169"/>
        <v/>
      </c>
      <c r="AG230" s="32" t="str">
        <f t="shared" si="170"/>
        <v/>
      </c>
      <c r="AH230" s="32" t="str">
        <f t="shared" si="171"/>
        <v/>
      </c>
      <c r="AI230" s="35" t="str">
        <f t="shared" si="172"/>
        <v/>
      </c>
      <c r="AJ230" s="23" t="str">
        <f t="array" ref="AJ230">IFERROR(SMALL(IF(U$1:U$1000="BEGIN",ROW(U$1:U$1000)),ROW()-3),"")</f>
        <v/>
      </c>
      <c r="AK230" s="23" t="str">
        <f t="array" ref="AK230">IFERROR(SMALL(IF(V$1:V$1000="END",ROW(V$1:V$1000)),ROW()-3),"")</f>
        <v/>
      </c>
      <c r="AL230" s="24" t="str">
        <f t="array" ref="AL230">IF(AK230="","",MATCH(AM230,L:L,0))</f>
        <v/>
      </c>
      <c r="AM230" s="35">
        <f t="array" ref="AM230">MAX(IF((B$4:B$1000&lt;=AK230)*(B$4:B$1000&gt;=AJ230),L$4:L$1000, ""))</f>
        <v>0</v>
      </c>
      <c r="AN230" s="32" t="str">
        <f t="shared" si="179"/>
        <v/>
      </c>
      <c r="AO230" s="32" t="str">
        <f t="shared" si="180"/>
        <v/>
      </c>
      <c r="AP230" s="32" t="str">
        <f t="shared" si="181"/>
        <v/>
      </c>
      <c r="AQ230" s="32" t="str">
        <f t="shared" si="182"/>
        <v/>
      </c>
      <c r="AR230" s="32" t="str">
        <f t="shared" si="183"/>
        <v/>
      </c>
      <c r="AS230" s="32" t="str">
        <f t="shared" si="184"/>
        <v/>
      </c>
      <c r="AT230" s="32" t="str">
        <f t="shared" si="185"/>
        <v/>
      </c>
      <c r="AU230" s="34" t="str">
        <f t="shared" si="186"/>
        <v/>
      </c>
      <c r="AV230" s="32" t="str">
        <f t="shared" si="187"/>
        <v/>
      </c>
      <c r="AW230" s="32" t="str">
        <f t="shared" si="188"/>
        <v/>
      </c>
      <c r="AX230" s="32" t="str">
        <f t="shared" si="189"/>
        <v/>
      </c>
      <c r="AY230" s="32" t="str">
        <f t="shared" si="190"/>
        <v/>
      </c>
    </row>
    <row r="231" spans="1:51" x14ac:dyDescent="0.25">
      <c r="A231" s="24" t="str">
        <f t="shared" si="148"/>
        <v/>
      </c>
      <c r="B231" s="24" t="str">
        <f t="shared" si="158"/>
        <v/>
      </c>
      <c r="C231" s="32" t="str">
        <f t="shared" si="149"/>
        <v/>
      </c>
      <c r="D231" s="24" t="str">
        <f t="shared" si="150"/>
        <v/>
      </c>
      <c r="E231" s="24" t="str">
        <f t="shared" si="151"/>
        <v/>
      </c>
      <c r="F231" s="32" t="str">
        <f t="shared" si="152"/>
        <v/>
      </c>
      <c r="G231" s="32" t="str">
        <f t="shared" si="153"/>
        <v/>
      </c>
      <c r="H231" s="32" t="str">
        <f t="shared" ca="1" si="154"/>
        <v/>
      </c>
      <c r="I231" s="32" t="str">
        <f t="shared" ca="1" si="159"/>
        <v/>
      </c>
      <c r="J231" s="32" t="str">
        <f t="shared" si="155"/>
        <v/>
      </c>
      <c r="K231" s="32" t="str">
        <f>IF(ISNUMBER(A231),Profile!$V$25+Profile!$V$24*'Ri-Po'!C231,"")</f>
        <v/>
      </c>
      <c r="L231" s="32" t="str">
        <f t="shared" si="160"/>
        <v/>
      </c>
      <c r="M231" s="32" t="str">
        <f t="shared" si="156"/>
        <v/>
      </c>
      <c r="N231" s="32" t="str">
        <f t="shared" si="157"/>
        <v/>
      </c>
      <c r="O231" s="32" t="str">
        <f t="shared" si="173"/>
        <v/>
      </c>
      <c r="P231" s="32" t="str">
        <f t="shared" si="161"/>
        <v/>
      </c>
      <c r="Q231" s="32" t="str">
        <f t="shared" si="162"/>
        <v/>
      </c>
      <c r="R231" s="32" t="str">
        <f t="shared" si="174"/>
        <v/>
      </c>
      <c r="S231" s="24" t="str">
        <f t="shared" si="175"/>
        <v/>
      </c>
      <c r="T231" s="24" t="str">
        <f t="shared" si="176"/>
        <v/>
      </c>
      <c r="U231" s="24" t="str">
        <f t="shared" si="177"/>
        <v/>
      </c>
      <c r="V231" s="24" t="str">
        <f t="shared" si="178"/>
        <v/>
      </c>
      <c r="W231" s="23" t="str">
        <f t="array" ref="W231">IFERROR(SMALL(IF(S$1:S$1000="BEGIN",ROW(S$1:S$1000)),ROW()-3),"")</f>
        <v/>
      </c>
      <c r="X231" s="23" t="str">
        <f t="array" ref="X231">IFERROR(SMALL(IF(T$1:T$1000="END",ROW(T$1:T$1000)),ROW()-3),"")</f>
        <v/>
      </c>
      <c r="Y231" s="33" t="str">
        <f t="array" ref="Y231">IF(ISNUMBER(W231),MAX(IF((B$4:B$1000&lt;=X231)*(B$4:B$1000&gt;=W231),I$4:I$1000, "")),"")</f>
        <v/>
      </c>
      <c r="Z231" s="33" t="str">
        <f t="shared" si="163"/>
        <v/>
      </c>
      <c r="AA231" s="32" t="str">
        <f t="shared" si="164"/>
        <v/>
      </c>
      <c r="AB231" s="32" t="str">
        <f t="shared" si="165"/>
        <v/>
      </c>
      <c r="AC231" s="32" t="str">
        <f t="shared" si="166"/>
        <v/>
      </c>
      <c r="AD231" s="32" t="str">
        <f t="shared" si="167"/>
        <v/>
      </c>
      <c r="AE231" s="34" t="str">
        <f t="shared" si="168"/>
        <v/>
      </c>
      <c r="AF231" s="32" t="str">
        <f t="shared" si="169"/>
        <v/>
      </c>
      <c r="AG231" s="32" t="str">
        <f t="shared" si="170"/>
        <v/>
      </c>
      <c r="AH231" s="32" t="str">
        <f t="shared" si="171"/>
        <v/>
      </c>
      <c r="AI231" s="35" t="str">
        <f t="shared" si="172"/>
        <v/>
      </c>
      <c r="AJ231" s="23" t="str">
        <f t="array" ref="AJ231">IFERROR(SMALL(IF(U$1:U$1000="BEGIN",ROW(U$1:U$1000)),ROW()-3),"")</f>
        <v/>
      </c>
      <c r="AK231" s="23" t="str">
        <f t="array" ref="AK231">IFERROR(SMALL(IF(V$1:V$1000="END",ROW(V$1:V$1000)),ROW()-3),"")</f>
        <v/>
      </c>
      <c r="AL231" s="24" t="str">
        <f t="array" ref="AL231">IF(AK231="","",MATCH(AM231,L:L,0))</f>
        <v/>
      </c>
      <c r="AM231" s="35">
        <f t="array" ref="AM231">MAX(IF((B$4:B$1000&lt;=AK231)*(B$4:B$1000&gt;=AJ231),L$4:L$1000, ""))</f>
        <v>0</v>
      </c>
      <c r="AN231" s="32" t="str">
        <f t="shared" si="179"/>
        <v/>
      </c>
      <c r="AO231" s="32" t="str">
        <f t="shared" si="180"/>
        <v/>
      </c>
      <c r="AP231" s="32" t="str">
        <f t="shared" si="181"/>
        <v/>
      </c>
      <c r="AQ231" s="32" t="str">
        <f t="shared" si="182"/>
        <v/>
      </c>
      <c r="AR231" s="32" t="str">
        <f t="shared" si="183"/>
        <v/>
      </c>
      <c r="AS231" s="32" t="str">
        <f t="shared" si="184"/>
        <v/>
      </c>
      <c r="AT231" s="32" t="str">
        <f t="shared" si="185"/>
        <v/>
      </c>
      <c r="AU231" s="34" t="str">
        <f t="shared" si="186"/>
        <v/>
      </c>
      <c r="AV231" s="32" t="str">
        <f t="shared" si="187"/>
        <v/>
      </c>
      <c r="AW231" s="32" t="str">
        <f t="shared" si="188"/>
        <v/>
      </c>
      <c r="AX231" s="32" t="str">
        <f t="shared" si="189"/>
        <v/>
      </c>
      <c r="AY231" s="32" t="str">
        <f t="shared" si="190"/>
        <v/>
      </c>
    </row>
    <row r="232" spans="1:51" x14ac:dyDescent="0.25">
      <c r="A232" s="24" t="str">
        <f t="shared" si="148"/>
        <v/>
      </c>
      <c r="B232" s="24" t="str">
        <f t="shared" si="158"/>
        <v/>
      </c>
      <c r="C232" s="32" t="str">
        <f t="shared" si="149"/>
        <v/>
      </c>
      <c r="D232" s="24" t="str">
        <f t="shared" si="150"/>
        <v/>
      </c>
      <c r="E232" s="24" t="str">
        <f t="shared" si="151"/>
        <v/>
      </c>
      <c r="F232" s="32" t="str">
        <f t="shared" si="152"/>
        <v/>
      </c>
      <c r="G232" s="32" t="str">
        <f t="shared" si="153"/>
        <v/>
      </c>
      <c r="H232" s="32" t="str">
        <f t="shared" ca="1" si="154"/>
        <v/>
      </c>
      <c r="I232" s="32" t="str">
        <f t="shared" ca="1" si="159"/>
        <v/>
      </c>
      <c r="J232" s="32" t="str">
        <f t="shared" si="155"/>
        <v/>
      </c>
      <c r="K232" s="32" t="str">
        <f>IF(ISNUMBER(A232),Profile!$V$25+Profile!$V$24*'Ri-Po'!C232,"")</f>
        <v/>
      </c>
      <c r="L232" s="32" t="str">
        <f t="shared" si="160"/>
        <v/>
      </c>
      <c r="M232" s="32" t="str">
        <f t="shared" si="156"/>
        <v/>
      </c>
      <c r="N232" s="32" t="str">
        <f t="shared" si="157"/>
        <v/>
      </c>
      <c r="O232" s="32" t="str">
        <f t="shared" si="173"/>
        <v/>
      </c>
      <c r="P232" s="32" t="str">
        <f t="shared" si="161"/>
        <v/>
      </c>
      <c r="Q232" s="32" t="str">
        <f t="shared" si="162"/>
        <v/>
      </c>
      <c r="R232" s="32" t="str">
        <f t="shared" si="174"/>
        <v/>
      </c>
      <c r="S232" s="24" t="str">
        <f t="shared" si="175"/>
        <v/>
      </c>
      <c r="T232" s="24" t="str">
        <f t="shared" si="176"/>
        <v/>
      </c>
      <c r="U232" s="24" t="str">
        <f t="shared" si="177"/>
        <v/>
      </c>
      <c r="V232" s="24" t="str">
        <f t="shared" si="178"/>
        <v/>
      </c>
      <c r="W232" s="23" t="str">
        <f t="array" ref="W232">IFERROR(SMALL(IF(S$1:S$1000="BEGIN",ROW(S$1:S$1000)),ROW()-3),"")</f>
        <v/>
      </c>
      <c r="X232" s="23" t="str">
        <f t="array" ref="X232">IFERROR(SMALL(IF(T$1:T$1000="END",ROW(T$1:T$1000)),ROW()-3),"")</f>
        <v/>
      </c>
      <c r="Y232" s="33" t="str">
        <f t="array" ref="Y232">IF(ISNUMBER(W232),MAX(IF((B$4:B$1000&lt;=X232)*(B$4:B$1000&gt;=W232),I$4:I$1000, "")),"")</f>
        <v/>
      </c>
      <c r="Z232" s="33" t="str">
        <f t="shared" si="163"/>
        <v/>
      </c>
      <c r="AA232" s="32" t="str">
        <f t="shared" si="164"/>
        <v/>
      </c>
      <c r="AB232" s="32" t="str">
        <f t="shared" si="165"/>
        <v/>
      </c>
      <c r="AC232" s="32" t="str">
        <f t="shared" si="166"/>
        <v/>
      </c>
      <c r="AD232" s="32" t="str">
        <f t="shared" si="167"/>
        <v/>
      </c>
      <c r="AE232" s="34" t="str">
        <f t="shared" si="168"/>
        <v/>
      </c>
      <c r="AF232" s="32" t="str">
        <f t="shared" si="169"/>
        <v/>
      </c>
      <c r="AG232" s="32" t="str">
        <f t="shared" si="170"/>
        <v/>
      </c>
      <c r="AH232" s="32" t="str">
        <f t="shared" si="171"/>
        <v/>
      </c>
      <c r="AI232" s="35" t="str">
        <f t="shared" si="172"/>
        <v/>
      </c>
      <c r="AJ232" s="23" t="str">
        <f t="array" ref="AJ232">IFERROR(SMALL(IF(U$1:U$1000="BEGIN",ROW(U$1:U$1000)),ROW()-3),"")</f>
        <v/>
      </c>
      <c r="AK232" s="23" t="str">
        <f t="array" ref="AK232">IFERROR(SMALL(IF(V$1:V$1000="END",ROW(V$1:V$1000)),ROW()-3),"")</f>
        <v/>
      </c>
      <c r="AL232" s="24" t="str">
        <f t="array" ref="AL232">IF(AK232="","",MATCH(AM232,L:L,0))</f>
        <v/>
      </c>
      <c r="AM232" s="35">
        <f t="array" ref="AM232">MAX(IF((B$4:B$1000&lt;=AK232)*(B$4:B$1000&gt;=AJ232),L$4:L$1000, ""))</f>
        <v>0</v>
      </c>
      <c r="AN232" s="32" t="str">
        <f t="shared" si="179"/>
        <v/>
      </c>
      <c r="AO232" s="32" t="str">
        <f t="shared" si="180"/>
        <v/>
      </c>
      <c r="AP232" s="32" t="str">
        <f t="shared" si="181"/>
        <v/>
      </c>
      <c r="AQ232" s="32" t="str">
        <f t="shared" si="182"/>
        <v/>
      </c>
      <c r="AR232" s="32" t="str">
        <f t="shared" si="183"/>
        <v/>
      </c>
      <c r="AS232" s="32" t="str">
        <f t="shared" si="184"/>
        <v/>
      </c>
      <c r="AT232" s="32" t="str">
        <f t="shared" si="185"/>
        <v/>
      </c>
      <c r="AU232" s="34" t="str">
        <f t="shared" si="186"/>
        <v/>
      </c>
      <c r="AV232" s="32" t="str">
        <f t="shared" si="187"/>
        <v/>
      </c>
      <c r="AW232" s="32" t="str">
        <f t="shared" si="188"/>
        <v/>
      </c>
      <c r="AX232" s="32" t="str">
        <f t="shared" si="189"/>
        <v/>
      </c>
      <c r="AY232" s="32" t="str">
        <f t="shared" si="190"/>
        <v/>
      </c>
    </row>
    <row r="233" spans="1:51" x14ac:dyDescent="0.25">
      <c r="A233" s="24" t="str">
        <f t="shared" si="148"/>
        <v/>
      </c>
      <c r="B233" s="24" t="str">
        <f t="shared" si="158"/>
        <v/>
      </c>
      <c r="C233" s="32" t="str">
        <f t="shared" si="149"/>
        <v/>
      </c>
      <c r="D233" s="24" t="str">
        <f t="shared" si="150"/>
        <v/>
      </c>
      <c r="E233" s="24" t="str">
        <f t="shared" si="151"/>
        <v/>
      </c>
      <c r="F233" s="32" t="str">
        <f t="shared" si="152"/>
        <v/>
      </c>
      <c r="G233" s="32" t="str">
        <f t="shared" si="153"/>
        <v/>
      </c>
      <c r="H233" s="32" t="str">
        <f t="shared" ca="1" si="154"/>
        <v/>
      </c>
      <c r="I233" s="32" t="str">
        <f t="shared" ca="1" si="159"/>
        <v/>
      </c>
      <c r="J233" s="32" t="str">
        <f t="shared" si="155"/>
        <v/>
      </c>
      <c r="K233" s="32" t="str">
        <f>IF(ISNUMBER(A233),Profile!$V$25+Profile!$V$24*'Ri-Po'!C233,"")</f>
        <v/>
      </c>
      <c r="L233" s="32" t="str">
        <f t="shared" si="160"/>
        <v/>
      </c>
      <c r="M233" s="32" t="str">
        <f t="shared" si="156"/>
        <v/>
      </c>
      <c r="N233" s="32" t="str">
        <f t="shared" si="157"/>
        <v/>
      </c>
      <c r="O233" s="32" t="str">
        <f t="shared" si="173"/>
        <v/>
      </c>
      <c r="P233" s="32" t="str">
        <f t="shared" si="161"/>
        <v/>
      </c>
      <c r="Q233" s="32" t="str">
        <f t="shared" si="162"/>
        <v/>
      </c>
      <c r="R233" s="32" t="str">
        <f t="shared" si="174"/>
        <v/>
      </c>
      <c r="S233" s="24" t="str">
        <f t="shared" si="175"/>
        <v/>
      </c>
      <c r="T233" s="24" t="str">
        <f t="shared" si="176"/>
        <v/>
      </c>
      <c r="U233" s="24" t="str">
        <f t="shared" si="177"/>
        <v/>
      </c>
      <c r="V233" s="24" t="str">
        <f t="shared" si="178"/>
        <v/>
      </c>
      <c r="W233" s="23" t="str">
        <f t="array" ref="W233">IFERROR(SMALL(IF(S$1:S$1000="BEGIN",ROW(S$1:S$1000)),ROW()-3),"")</f>
        <v/>
      </c>
      <c r="X233" s="23" t="str">
        <f t="array" ref="X233">IFERROR(SMALL(IF(T$1:T$1000="END",ROW(T$1:T$1000)),ROW()-3),"")</f>
        <v/>
      </c>
      <c r="Y233" s="33" t="str">
        <f t="array" ref="Y233">IF(ISNUMBER(W233),MAX(IF((B$4:B$1000&lt;=X233)*(B$4:B$1000&gt;=W233),I$4:I$1000, "")),"")</f>
        <v/>
      </c>
      <c r="Z233" s="33" t="str">
        <f t="shared" si="163"/>
        <v/>
      </c>
      <c r="AA233" s="32" t="str">
        <f t="shared" si="164"/>
        <v/>
      </c>
      <c r="AB233" s="32" t="str">
        <f t="shared" si="165"/>
        <v/>
      </c>
      <c r="AC233" s="32" t="str">
        <f t="shared" si="166"/>
        <v/>
      </c>
      <c r="AD233" s="32" t="str">
        <f t="shared" si="167"/>
        <v/>
      </c>
      <c r="AE233" s="34" t="str">
        <f t="shared" si="168"/>
        <v/>
      </c>
      <c r="AF233" s="32" t="str">
        <f t="shared" si="169"/>
        <v/>
      </c>
      <c r="AG233" s="32" t="str">
        <f t="shared" si="170"/>
        <v/>
      </c>
      <c r="AH233" s="32" t="str">
        <f t="shared" si="171"/>
        <v/>
      </c>
      <c r="AI233" s="35" t="str">
        <f t="shared" si="172"/>
        <v/>
      </c>
      <c r="AJ233" s="23" t="str">
        <f t="array" ref="AJ233">IFERROR(SMALL(IF(U$1:U$1000="BEGIN",ROW(U$1:U$1000)),ROW()-3),"")</f>
        <v/>
      </c>
      <c r="AK233" s="23" t="str">
        <f t="array" ref="AK233">IFERROR(SMALL(IF(V$1:V$1000="END",ROW(V$1:V$1000)),ROW()-3),"")</f>
        <v/>
      </c>
      <c r="AL233" s="24" t="str">
        <f t="array" ref="AL233">IF(AK233="","",MATCH(AM233,L:L,0))</f>
        <v/>
      </c>
      <c r="AM233" s="35">
        <f t="array" ref="AM233">MAX(IF((B$4:B$1000&lt;=AK233)*(B$4:B$1000&gt;=AJ233),L$4:L$1000, ""))</f>
        <v>0</v>
      </c>
      <c r="AN233" s="32" t="str">
        <f t="shared" si="179"/>
        <v/>
      </c>
      <c r="AO233" s="32" t="str">
        <f t="shared" si="180"/>
        <v/>
      </c>
      <c r="AP233" s="32" t="str">
        <f t="shared" si="181"/>
        <v/>
      </c>
      <c r="AQ233" s="32" t="str">
        <f t="shared" si="182"/>
        <v/>
      </c>
      <c r="AR233" s="32" t="str">
        <f t="shared" si="183"/>
        <v/>
      </c>
      <c r="AS233" s="32" t="str">
        <f t="shared" si="184"/>
        <v/>
      </c>
      <c r="AT233" s="32" t="str">
        <f t="shared" si="185"/>
        <v/>
      </c>
      <c r="AU233" s="34" t="str">
        <f t="shared" si="186"/>
        <v/>
      </c>
      <c r="AV233" s="32" t="str">
        <f t="shared" si="187"/>
        <v/>
      </c>
      <c r="AW233" s="32" t="str">
        <f t="shared" si="188"/>
        <v/>
      </c>
      <c r="AX233" s="32" t="str">
        <f t="shared" si="189"/>
        <v/>
      </c>
      <c r="AY233" s="32" t="str">
        <f t="shared" si="190"/>
        <v/>
      </c>
    </row>
    <row r="234" spans="1:51" x14ac:dyDescent="0.25">
      <c r="A234" s="24" t="str">
        <f t="shared" si="148"/>
        <v/>
      </c>
      <c r="B234" s="24" t="str">
        <f t="shared" si="158"/>
        <v/>
      </c>
      <c r="C234" s="32" t="str">
        <f t="shared" si="149"/>
        <v/>
      </c>
      <c r="D234" s="24" t="str">
        <f t="shared" si="150"/>
        <v/>
      </c>
      <c r="E234" s="24" t="str">
        <f t="shared" si="151"/>
        <v/>
      </c>
      <c r="F234" s="32" t="str">
        <f t="shared" si="152"/>
        <v/>
      </c>
      <c r="G234" s="32" t="str">
        <f t="shared" si="153"/>
        <v/>
      </c>
      <c r="H234" s="32" t="str">
        <f t="shared" ca="1" si="154"/>
        <v/>
      </c>
      <c r="I234" s="32" t="str">
        <f t="shared" ca="1" si="159"/>
        <v/>
      </c>
      <c r="J234" s="32" t="str">
        <f t="shared" si="155"/>
        <v/>
      </c>
      <c r="K234" s="32" t="str">
        <f>IF(ISNUMBER(A234),Profile!$V$25+Profile!$V$24*'Ri-Po'!C234,"")</f>
        <v/>
      </c>
      <c r="L234" s="32" t="str">
        <f t="shared" si="160"/>
        <v/>
      </c>
      <c r="M234" s="32" t="str">
        <f t="shared" si="156"/>
        <v/>
      </c>
      <c r="N234" s="32" t="str">
        <f t="shared" si="157"/>
        <v/>
      </c>
      <c r="O234" s="32" t="str">
        <f t="shared" si="173"/>
        <v/>
      </c>
      <c r="P234" s="32" t="str">
        <f t="shared" si="161"/>
        <v/>
      </c>
      <c r="Q234" s="32" t="str">
        <f t="shared" si="162"/>
        <v/>
      </c>
      <c r="R234" s="32" t="str">
        <f t="shared" si="174"/>
        <v/>
      </c>
      <c r="S234" s="24" t="str">
        <f t="shared" si="175"/>
        <v/>
      </c>
      <c r="T234" s="24" t="str">
        <f t="shared" si="176"/>
        <v/>
      </c>
      <c r="U234" s="24" t="str">
        <f t="shared" si="177"/>
        <v/>
      </c>
      <c r="V234" s="24" t="str">
        <f t="shared" si="178"/>
        <v/>
      </c>
      <c r="W234" s="23" t="str">
        <f t="array" ref="W234">IFERROR(SMALL(IF(S$1:S$1000="BEGIN",ROW(S$1:S$1000)),ROW()-3),"")</f>
        <v/>
      </c>
      <c r="X234" s="23" t="str">
        <f t="array" ref="X234">IFERROR(SMALL(IF(T$1:T$1000="END",ROW(T$1:T$1000)),ROW()-3),"")</f>
        <v/>
      </c>
      <c r="Y234" s="33" t="str">
        <f t="array" ref="Y234">IF(ISNUMBER(W234),MAX(IF((B$4:B$1000&lt;=X234)*(B$4:B$1000&gt;=W234),I$4:I$1000, "")),"")</f>
        <v/>
      </c>
      <c r="Z234" s="33" t="str">
        <f t="shared" si="163"/>
        <v/>
      </c>
      <c r="AA234" s="32" t="str">
        <f t="shared" si="164"/>
        <v/>
      </c>
      <c r="AB234" s="32" t="str">
        <f t="shared" si="165"/>
        <v/>
      </c>
      <c r="AC234" s="32" t="str">
        <f t="shared" si="166"/>
        <v/>
      </c>
      <c r="AD234" s="32" t="str">
        <f t="shared" si="167"/>
        <v/>
      </c>
      <c r="AE234" s="34" t="str">
        <f t="shared" si="168"/>
        <v/>
      </c>
      <c r="AF234" s="32" t="str">
        <f t="shared" si="169"/>
        <v/>
      </c>
      <c r="AG234" s="32" t="str">
        <f t="shared" si="170"/>
        <v/>
      </c>
      <c r="AH234" s="32" t="str">
        <f t="shared" si="171"/>
        <v/>
      </c>
      <c r="AI234" s="35" t="str">
        <f t="shared" si="172"/>
        <v/>
      </c>
      <c r="AJ234" s="23" t="str">
        <f t="array" ref="AJ234">IFERROR(SMALL(IF(U$1:U$1000="BEGIN",ROW(U$1:U$1000)),ROW()-3),"")</f>
        <v/>
      </c>
      <c r="AK234" s="23" t="str">
        <f t="array" ref="AK234">IFERROR(SMALL(IF(V$1:V$1000="END",ROW(V$1:V$1000)),ROW()-3),"")</f>
        <v/>
      </c>
      <c r="AL234" s="24" t="str">
        <f t="array" ref="AL234">IF(AK234="","",MATCH(AM234,L:L,0))</f>
        <v/>
      </c>
      <c r="AM234" s="35">
        <f t="array" ref="AM234">MAX(IF((B$4:B$1000&lt;=AK234)*(B$4:B$1000&gt;=AJ234),L$4:L$1000, ""))</f>
        <v>0</v>
      </c>
      <c r="AN234" s="32" t="str">
        <f t="shared" si="179"/>
        <v/>
      </c>
      <c r="AO234" s="32" t="str">
        <f t="shared" si="180"/>
        <v/>
      </c>
      <c r="AP234" s="32" t="str">
        <f t="shared" si="181"/>
        <v/>
      </c>
      <c r="AQ234" s="32" t="str">
        <f t="shared" si="182"/>
        <v/>
      </c>
      <c r="AR234" s="32" t="str">
        <f t="shared" si="183"/>
        <v/>
      </c>
      <c r="AS234" s="32" t="str">
        <f t="shared" si="184"/>
        <v/>
      </c>
      <c r="AT234" s="32" t="str">
        <f t="shared" si="185"/>
        <v/>
      </c>
      <c r="AU234" s="34" t="str">
        <f t="shared" si="186"/>
        <v/>
      </c>
      <c r="AV234" s="32" t="str">
        <f t="shared" si="187"/>
        <v/>
      </c>
      <c r="AW234" s="32" t="str">
        <f t="shared" si="188"/>
        <v/>
      </c>
      <c r="AX234" s="32" t="str">
        <f t="shared" si="189"/>
        <v/>
      </c>
      <c r="AY234" s="32" t="str">
        <f t="shared" si="190"/>
        <v/>
      </c>
    </row>
    <row r="235" spans="1:51" x14ac:dyDescent="0.25">
      <c r="A235" s="24" t="str">
        <f t="shared" si="148"/>
        <v/>
      </c>
      <c r="B235" s="24" t="str">
        <f t="shared" si="158"/>
        <v/>
      </c>
      <c r="C235" s="32" t="str">
        <f t="shared" si="149"/>
        <v/>
      </c>
      <c r="D235" s="24" t="str">
        <f t="shared" si="150"/>
        <v/>
      </c>
      <c r="E235" s="24" t="str">
        <f t="shared" si="151"/>
        <v/>
      </c>
      <c r="F235" s="32" t="str">
        <f t="shared" si="152"/>
        <v/>
      </c>
      <c r="G235" s="32" t="str">
        <f t="shared" si="153"/>
        <v/>
      </c>
      <c r="H235" s="32" t="str">
        <f t="shared" ca="1" si="154"/>
        <v/>
      </c>
      <c r="I235" s="32" t="str">
        <f t="shared" ca="1" si="159"/>
        <v/>
      </c>
      <c r="J235" s="32" t="str">
        <f t="shared" si="155"/>
        <v/>
      </c>
      <c r="K235" s="32" t="str">
        <f>IF(ISNUMBER(A235),Profile!$V$25+Profile!$V$24*'Ri-Po'!C235,"")</f>
        <v/>
      </c>
      <c r="L235" s="32" t="str">
        <f t="shared" si="160"/>
        <v/>
      </c>
      <c r="M235" s="32" t="str">
        <f t="shared" si="156"/>
        <v/>
      </c>
      <c r="N235" s="32" t="str">
        <f t="shared" si="157"/>
        <v/>
      </c>
      <c r="O235" s="32" t="str">
        <f t="shared" si="173"/>
        <v/>
      </c>
      <c r="P235" s="32" t="str">
        <f t="shared" si="161"/>
        <v/>
      </c>
      <c r="Q235" s="32" t="str">
        <f t="shared" si="162"/>
        <v/>
      </c>
      <c r="R235" s="32" t="str">
        <f t="shared" si="174"/>
        <v/>
      </c>
      <c r="S235" s="24" t="str">
        <f t="shared" si="175"/>
        <v/>
      </c>
      <c r="T235" s="24" t="str">
        <f t="shared" si="176"/>
        <v/>
      </c>
      <c r="U235" s="24" t="str">
        <f t="shared" si="177"/>
        <v/>
      </c>
      <c r="V235" s="24" t="str">
        <f t="shared" si="178"/>
        <v/>
      </c>
      <c r="W235" s="23" t="str">
        <f t="array" ref="W235">IFERROR(SMALL(IF(S$1:S$1000="BEGIN",ROW(S$1:S$1000)),ROW()-3),"")</f>
        <v/>
      </c>
      <c r="X235" s="23" t="str">
        <f t="array" ref="X235">IFERROR(SMALL(IF(T$1:T$1000="END",ROW(T$1:T$1000)),ROW()-3),"")</f>
        <v/>
      </c>
      <c r="Y235" s="33" t="str">
        <f t="array" ref="Y235">IF(ISNUMBER(W235),MAX(IF((B$4:B$1000&lt;=X235)*(B$4:B$1000&gt;=W235),I$4:I$1000, "")),"")</f>
        <v/>
      </c>
      <c r="Z235" s="33" t="str">
        <f t="shared" si="163"/>
        <v/>
      </c>
      <c r="AA235" s="32" t="str">
        <f t="shared" si="164"/>
        <v/>
      </c>
      <c r="AB235" s="32" t="str">
        <f t="shared" si="165"/>
        <v/>
      </c>
      <c r="AC235" s="32" t="str">
        <f t="shared" si="166"/>
        <v/>
      </c>
      <c r="AD235" s="32" t="str">
        <f t="shared" si="167"/>
        <v/>
      </c>
      <c r="AE235" s="34" t="str">
        <f t="shared" si="168"/>
        <v/>
      </c>
      <c r="AF235" s="32" t="str">
        <f t="shared" si="169"/>
        <v/>
      </c>
      <c r="AG235" s="32" t="str">
        <f t="shared" si="170"/>
        <v/>
      </c>
      <c r="AH235" s="32" t="str">
        <f t="shared" si="171"/>
        <v/>
      </c>
      <c r="AI235" s="35" t="str">
        <f t="shared" si="172"/>
        <v/>
      </c>
      <c r="AJ235" s="23" t="str">
        <f t="array" ref="AJ235">IFERROR(SMALL(IF(U$1:U$1000="BEGIN",ROW(U$1:U$1000)),ROW()-3),"")</f>
        <v/>
      </c>
      <c r="AK235" s="23" t="str">
        <f t="array" ref="AK235">IFERROR(SMALL(IF(V$1:V$1000="END",ROW(V$1:V$1000)),ROW()-3),"")</f>
        <v/>
      </c>
      <c r="AL235" s="24" t="str">
        <f t="array" ref="AL235">IF(AK235="","",MATCH(AM235,L:L,0))</f>
        <v/>
      </c>
      <c r="AM235" s="35">
        <f t="array" ref="AM235">MAX(IF((B$4:B$1000&lt;=AK235)*(B$4:B$1000&gt;=AJ235),L$4:L$1000, ""))</f>
        <v>0</v>
      </c>
      <c r="AN235" s="32" t="str">
        <f t="shared" si="179"/>
        <v/>
      </c>
      <c r="AO235" s="32" t="str">
        <f t="shared" si="180"/>
        <v/>
      </c>
      <c r="AP235" s="32" t="str">
        <f t="shared" si="181"/>
        <v/>
      </c>
      <c r="AQ235" s="32" t="str">
        <f t="shared" si="182"/>
        <v/>
      </c>
      <c r="AR235" s="32" t="str">
        <f t="shared" si="183"/>
        <v/>
      </c>
      <c r="AS235" s="32" t="str">
        <f t="shared" si="184"/>
        <v/>
      </c>
      <c r="AT235" s="32" t="str">
        <f t="shared" si="185"/>
        <v/>
      </c>
      <c r="AU235" s="34" t="str">
        <f t="shared" si="186"/>
        <v/>
      </c>
      <c r="AV235" s="32" t="str">
        <f t="shared" si="187"/>
        <v/>
      </c>
      <c r="AW235" s="32" t="str">
        <f t="shared" si="188"/>
        <v/>
      </c>
      <c r="AX235" s="32" t="str">
        <f t="shared" si="189"/>
        <v/>
      </c>
      <c r="AY235" s="32" t="str">
        <f t="shared" si="190"/>
        <v/>
      </c>
    </row>
    <row r="236" spans="1:51" x14ac:dyDescent="0.25">
      <c r="A236" s="24" t="str">
        <f t="shared" si="148"/>
        <v/>
      </c>
      <c r="B236" s="24" t="str">
        <f t="shared" si="158"/>
        <v/>
      </c>
      <c r="C236" s="32" t="str">
        <f t="shared" si="149"/>
        <v/>
      </c>
      <c r="D236" s="24" t="str">
        <f t="shared" si="150"/>
        <v/>
      </c>
      <c r="E236" s="24" t="str">
        <f t="shared" si="151"/>
        <v/>
      </c>
      <c r="F236" s="32" t="str">
        <f t="shared" si="152"/>
        <v/>
      </c>
      <c r="G236" s="32" t="str">
        <f t="shared" si="153"/>
        <v/>
      </c>
      <c r="H236" s="32" t="str">
        <f t="shared" ca="1" si="154"/>
        <v/>
      </c>
      <c r="I236" s="32" t="str">
        <f t="shared" ca="1" si="159"/>
        <v/>
      </c>
      <c r="J236" s="32" t="str">
        <f t="shared" si="155"/>
        <v/>
      </c>
      <c r="K236" s="32" t="str">
        <f>IF(ISNUMBER(A236),Profile!$V$25+Profile!$V$24*'Ri-Po'!C236,"")</f>
        <v/>
      </c>
      <c r="L236" s="32" t="str">
        <f t="shared" si="160"/>
        <v/>
      </c>
      <c r="M236" s="32" t="str">
        <f t="shared" si="156"/>
        <v/>
      </c>
      <c r="N236" s="32" t="str">
        <f t="shared" si="157"/>
        <v/>
      </c>
      <c r="O236" s="32" t="str">
        <f t="shared" si="173"/>
        <v/>
      </c>
      <c r="P236" s="32" t="str">
        <f t="shared" si="161"/>
        <v/>
      </c>
      <c r="Q236" s="32" t="str">
        <f t="shared" si="162"/>
        <v/>
      </c>
      <c r="R236" s="32" t="str">
        <f t="shared" si="174"/>
        <v/>
      </c>
      <c r="S236" s="24" t="str">
        <f t="shared" si="175"/>
        <v/>
      </c>
      <c r="T236" s="24" t="str">
        <f t="shared" si="176"/>
        <v/>
      </c>
      <c r="U236" s="24" t="str">
        <f t="shared" si="177"/>
        <v/>
      </c>
      <c r="V236" s="24" t="str">
        <f t="shared" si="178"/>
        <v/>
      </c>
      <c r="W236" s="23" t="str">
        <f t="array" ref="W236">IFERROR(SMALL(IF(S$1:S$1000="BEGIN",ROW(S$1:S$1000)),ROW()-3),"")</f>
        <v/>
      </c>
      <c r="X236" s="23" t="str">
        <f t="array" ref="X236">IFERROR(SMALL(IF(T$1:T$1000="END",ROW(T$1:T$1000)),ROW()-3),"")</f>
        <v/>
      </c>
      <c r="Y236" s="33" t="str">
        <f t="array" ref="Y236">IF(ISNUMBER(W236),MAX(IF((B$4:B$1000&lt;=X236)*(B$4:B$1000&gt;=W236),I$4:I$1000, "")),"")</f>
        <v/>
      </c>
      <c r="Z236" s="33" t="str">
        <f t="shared" si="163"/>
        <v/>
      </c>
      <c r="AA236" s="32" t="str">
        <f t="shared" si="164"/>
        <v/>
      </c>
      <c r="AB236" s="32" t="str">
        <f t="shared" si="165"/>
        <v/>
      </c>
      <c r="AC236" s="32" t="str">
        <f t="shared" si="166"/>
        <v/>
      </c>
      <c r="AD236" s="32" t="str">
        <f t="shared" si="167"/>
        <v/>
      </c>
      <c r="AE236" s="34" t="str">
        <f t="shared" si="168"/>
        <v/>
      </c>
      <c r="AF236" s="32" t="str">
        <f t="shared" si="169"/>
        <v/>
      </c>
      <c r="AG236" s="32" t="str">
        <f t="shared" si="170"/>
        <v/>
      </c>
      <c r="AH236" s="32" t="str">
        <f t="shared" si="171"/>
        <v/>
      </c>
      <c r="AI236" s="35" t="str">
        <f t="shared" si="172"/>
        <v/>
      </c>
      <c r="AJ236" s="23" t="str">
        <f t="array" ref="AJ236">IFERROR(SMALL(IF(U$1:U$1000="BEGIN",ROW(U$1:U$1000)),ROW()-3),"")</f>
        <v/>
      </c>
      <c r="AK236" s="23" t="str">
        <f t="array" ref="AK236">IFERROR(SMALL(IF(V$1:V$1000="END",ROW(V$1:V$1000)),ROW()-3),"")</f>
        <v/>
      </c>
      <c r="AL236" s="24" t="str">
        <f t="array" ref="AL236">IF(AK236="","",MATCH(AM236,L:L,0))</f>
        <v/>
      </c>
      <c r="AM236" s="35">
        <f t="array" ref="AM236">MAX(IF((B$4:B$1000&lt;=AK236)*(B$4:B$1000&gt;=AJ236),L$4:L$1000, ""))</f>
        <v>0</v>
      </c>
      <c r="AN236" s="32" t="str">
        <f t="shared" si="179"/>
        <v/>
      </c>
      <c r="AO236" s="32" t="str">
        <f t="shared" si="180"/>
        <v/>
      </c>
      <c r="AP236" s="32" t="str">
        <f t="shared" si="181"/>
        <v/>
      </c>
      <c r="AQ236" s="32" t="str">
        <f t="shared" si="182"/>
        <v/>
      </c>
      <c r="AR236" s="32" t="str">
        <f t="shared" si="183"/>
        <v/>
      </c>
      <c r="AS236" s="32" t="str">
        <f t="shared" si="184"/>
        <v/>
      </c>
      <c r="AT236" s="32" t="str">
        <f t="shared" si="185"/>
        <v/>
      </c>
      <c r="AU236" s="34" t="str">
        <f t="shared" si="186"/>
        <v/>
      </c>
      <c r="AV236" s="32" t="str">
        <f t="shared" si="187"/>
        <v/>
      </c>
      <c r="AW236" s="32" t="str">
        <f t="shared" si="188"/>
        <v/>
      </c>
      <c r="AX236" s="32" t="str">
        <f t="shared" si="189"/>
        <v/>
      </c>
      <c r="AY236" s="32" t="str">
        <f t="shared" si="190"/>
        <v/>
      </c>
    </row>
    <row r="237" spans="1:51" x14ac:dyDescent="0.25">
      <c r="A237" s="24" t="str">
        <f t="shared" si="148"/>
        <v/>
      </c>
      <c r="B237" s="24" t="str">
        <f t="shared" si="158"/>
        <v/>
      </c>
      <c r="C237" s="32" t="str">
        <f t="shared" si="149"/>
        <v/>
      </c>
      <c r="D237" s="24" t="str">
        <f t="shared" si="150"/>
        <v/>
      </c>
      <c r="E237" s="24" t="str">
        <f t="shared" si="151"/>
        <v/>
      </c>
      <c r="F237" s="32" t="str">
        <f t="shared" si="152"/>
        <v/>
      </c>
      <c r="G237" s="32" t="str">
        <f t="shared" si="153"/>
        <v/>
      </c>
      <c r="H237" s="32" t="str">
        <f t="shared" ca="1" si="154"/>
        <v/>
      </c>
      <c r="I237" s="32" t="str">
        <f t="shared" ca="1" si="159"/>
        <v/>
      </c>
      <c r="J237" s="32" t="str">
        <f t="shared" si="155"/>
        <v/>
      </c>
      <c r="K237" s="32" t="str">
        <f>IF(ISNUMBER(A237),Profile!$V$25+Profile!$V$24*'Ri-Po'!C237,"")</f>
        <v/>
      </c>
      <c r="L237" s="32" t="str">
        <f t="shared" si="160"/>
        <v/>
      </c>
      <c r="M237" s="32" t="str">
        <f t="shared" si="156"/>
        <v/>
      </c>
      <c r="N237" s="32" t="str">
        <f t="shared" si="157"/>
        <v/>
      </c>
      <c r="O237" s="32" t="str">
        <f t="shared" si="173"/>
        <v/>
      </c>
      <c r="P237" s="32" t="str">
        <f t="shared" si="161"/>
        <v/>
      </c>
      <c r="Q237" s="32" t="str">
        <f t="shared" si="162"/>
        <v/>
      </c>
      <c r="R237" s="32" t="str">
        <f t="shared" si="174"/>
        <v/>
      </c>
      <c r="S237" s="24" t="str">
        <f t="shared" si="175"/>
        <v/>
      </c>
      <c r="T237" s="24" t="str">
        <f t="shared" si="176"/>
        <v/>
      </c>
      <c r="U237" s="24" t="str">
        <f t="shared" si="177"/>
        <v/>
      </c>
      <c r="V237" s="24" t="str">
        <f t="shared" si="178"/>
        <v/>
      </c>
      <c r="W237" s="23" t="str">
        <f t="array" ref="W237">IFERROR(SMALL(IF(S$1:S$1000="BEGIN",ROW(S$1:S$1000)),ROW()-3),"")</f>
        <v/>
      </c>
      <c r="X237" s="23" t="str">
        <f t="array" ref="X237">IFERROR(SMALL(IF(T$1:T$1000="END",ROW(T$1:T$1000)),ROW()-3),"")</f>
        <v/>
      </c>
      <c r="Y237" s="33" t="str">
        <f t="array" ref="Y237">IF(ISNUMBER(W237),MAX(IF((B$4:B$1000&lt;=X237)*(B$4:B$1000&gt;=W237),I$4:I$1000, "")),"")</f>
        <v/>
      </c>
      <c r="Z237" s="33" t="str">
        <f t="shared" si="163"/>
        <v/>
      </c>
      <c r="AA237" s="32" t="str">
        <f t="shared" si="164"/>
        <v/>
      </c>
      <c r="AB237" s="32" t="str">
        <f t="shared" si="165"/>
        <v/>
      </c>
      <c r="AC237" s="32" t="str">
        <f t="shared" si="166"/>
        <v/>
      </c>
      <c r="AD237" s="32" t="str">
        <f t="shared" si="167"/>
        <v/>
      </c>
      <c r="AE237" s="34" t="str">
        <f t="shared" si="168"/>
        <v/>
      </c>
      <c r="AF237" s="32" t="str">
        <f t="shared" si="169"/>
        <v/>
      </c>
      <c r="AG237" s="32" t="str">
        <f t="shared" si="170"/>
        <v/>
      </c>
      <c r="AH237" s="32" t="str">
        <f t="shared" si="171"/>
        <v/>
      </c>
      <c r="AI237" s="35" t="str">
        <f t="shared" si="172"/>
        <v/>
      </c>
      <c r="AJ237" s="23" t="str">
        <f t="array" ref="AJ237">IFERROR(SMALL(IF(U$1:U$1000="BEGIN",ROW(U$1:U$1000)),ROW()-3),"")</f>
        <v/>
      </c>
      <c r="AK237" s="23" t="str">
        <f t="array" ref="AK237">IFERROR(SMALL(IF(V$1:V$1000="END",ROW(V$1:V$1000)),ROW()-3),"")</f>
        <v/>
      </c>
      <c r="AL237" s="24" t="str">
        <f t="array" ref="AL237">IF(AK237="","",MATCH(AM237,L:L,0))</f>
        <v/>
      </c>
      <c r="AM237" s="35">
        <f t="array" ref="AM237">MAX(IF((B$4:B$1000&lt;=AK237)*(B$4:B$1000&gt;=AJ237),L$4:L$1000, ""))</f>
        <v>0</v>
      </c>
      <c r="AN237" s="32" t="str">
        <f t="shared" si="179"/>
        <v/>
      </c>
      <c r="AO237" s="32" t="str">
        <f t="shared" si="180"/>
        <v/>
      </c>
      <c r="AP237" s="32" t="str">
        <f t="shared" si="181"/>
        <v/>
      </c>
      <c r="AQ237" s="32" t="str">
        <f t="shared" si="182"/>
        <v/>
      </c>
      <c r="AR237" s="32" t="str">
        <f t="shared" si="183"/>
        <v/>
      </c>
      <c r="AS237" s="32" t="str">
        <f t="shared" si="184"/>
        <v/>
      </c>
      <c r="AT237" s="32" t="str">
        <f t="shared" si="185"/>
        <v/>
      </c>
      <c r="AU237" s="34" t="str">
        <f t="shared" si="186"/>
        <v/>
      </c>
      <c r="AV237" s="32" t="str">
        <f t="shared" si="187"/>
        <v/>
      </c>
      <c r="AW237" s="32" t="str">
        <f t="shared" si="188"/>
        <v/>
      </c>
      <c r="AX237" s="32" t="str">
        <f t="shared" si="189"/>
        <v/>
      </c>
      <c r="AY237" s="32" t="str">
        <f t="shared" si="190"/>
        <v/>
      </c>
    </row>
    <row r="238" spans="1:51" x14ac:dyDescent="0.25">
      <c r="A238" s="24" t="str">
        <f t="shared" si="148"/>
        <v/>
      </c>
      <c r="B238" s="24" t="str">
        <f t="shared" si="158"/>
        <v/>
      </c>
      <c r="C238" s="32" t="str">
        <f t="shared" si="149"/>
        <v/>
      </c>
      <c r="D238" s="24" t="str">
        <f t="shared" si="150"/>
        <v/>
      </c>
      <c r="E238" s="24" t="str">
        <f t="shared" si="151"/>
        <v/>
      </c>
      <c r="F238" s="32" t="str">
        <f t="shared" si="152"/>
        <v/>
      </c>
      <c r="G238" s="32" t="str">
        <f t="shared" si="153"/>
        <v/>
      </c>
      <c r="H238" s="32" t="str">
        <f t="shared" ca="1" si="154"/>
        <v/>
      </c>
      <c r="I238" s="32" t="str">
        <f t="shared" ca="1" si="159"/>
        <v/>
      </c>
      <c r="J238" s="32" t="str">
        <f t="shared" si="155"/>
        <v/>
      </c>
      <c r="K238" s="32" t="str">
        <f>IF(ISNUMBER(A238),Profile!$V$25+Profile!$V$24*'Ri-Po'!C238,"")</f>
        <v/>
      </c>
      <c r="L238" s="32" t="str">
        <f t="shared" si="160"/>
        <v/>
      </c>
      <c r="M238" s="32" t="str">
        <f t="shared" si="156"/>
        <v/>
      </c>
      <c r="N238" s="32" t="str">
        <f t="shared" si="157"/>
        <v/>
      </c>
      <c r="O238" s="32" t="str">
        <f t="shared" si="173"/>
        <v/>
      </c>
      <c r="P238" s="32" t="str">
        <f t="shared" si="161"/>
        <v/>
      </c>
      <c r="Q238" s="32" t="str">
        <f t="shared" si="162"/>
        <v/>
      </c>
      <c r="R238" s="32" t="str">
        <f t="shared" si="174"/>
        <v/>
      </c>
      <c r="S238" s="24" t="str">
        <f t="shared" si="175"/>
        <v/>
      </c>
      <c r="T238" s="24" t="str">
        <f t="shared" si="176"/>
        <v/>
      </c>
      <c r="U238" s="24" t="str">
        <f t="shared" si="177"/>
        <v/>
      </c>
      <c r="V238" s="24" t="str">
        <f t="shared" si="178"/>
        <v/>
      </c>
      <c r="W238" s="23" t="str">
        <f t="array" ref="W238">IFERROR(SMALL(IF(S$1:S$1000="BEGIN",ROW(S$1:S$1000)),ROW()-3),"")</f>
        <v/>
      </c>
      <c r="X238" s="23" t="str">
        <f t="array" ref="X238">IFERROR(SMALL(IF(T$1:T$1000="END",ROW(T$1:T$1000)),ROW()-3),"")</f>
        <v/>
      </c>
      <c r="Y238" s="33" t="str">
        <f t="array" ref="Y238">IF(ISNUMBER(W238),MAX(IF((B$4:B$1000&lt;=X238)*(B$4:B$1000&gt;=W238),I$4:I$1000, "")),"")</f>
        <v/>
      </c>
      <c r="Z238" s="33" t="str">
        <f t="shared" si="163"/>
        <v/>
      </c>
      <c r="AA238" s="32" t="str">
        <f t="shared" si="164"/>
        <v/>
      </c>
      <c r="AB238" s="32" t="str">
        <f t="shared" si="165"/>
        <v/>
      </c>
      <c r="AC238" s="32" t="str">
        <f t="shared" si="166"/>
        <v/>
      </c>
      <c r="AD238" s="32" t="str">
        <f t="shared" si="167"/>
        <v/>
      </c>
      <c r="AE238" s="34" t="str">
        <f t="shared" si="168"/>
        <v/>
      </c>
      <c r="AF238" s="32" t="str">
        <f t="shared" si="169"/>
        <v/>
      </c>
      <c r="AG238" s="32" t="str">
        <f t="shared" si="170"/>
        <v/>
      </c>
      <c r="AH238" s="32" t="str">
        <f t="shared" si="171"/>
        <v/>
      </c>
      <c r="AI238" s="35" t="str">
        <f t="shared" si="172"/>
        <v/>
      </c>
      <c r="AJ238" s="23" t="str">
        <f t="array" ref="AJ238">IFERROR(SMALL(IF(U$1:U$1000="BEGIN",ROW(U$1:U$1000)),ROW()-3),"")</f>
        <v/>
      </c>
      <c r="AK238" s="23" t="str">
        <f t="array" ref="AK238">IFERROR(SMALL(IF(V$1:V$1000="END",ROW(V$1:V$1000)),ROW()-3),"")</f>
        <v/>
      </c>
      <c r="AL238" s="24" t="str">
        <f t="array" ref="AL238">IF(AK238="","",MATCH(AM238,L:L,0))</f>
        <v/>
      </c>
      <c r="AM238" s="35">
        <f t="array" ref="AM238">MAX(IF((B$4:B$1000&lt;=AK238)*(B$4:B$1000&gt;=AJ238),L$4:L$1000, ""))</f>
        <v>0</v>
      </c>
      <c r="AN238" s="32" t="str">
        <f t="shared" si="179"/>
        <v/>
      </c>
      <c r="AO238" s="32" t="str">
        <f t="shared" si="180"/>
        <v/>
      </c>
      <c r="AP238" s="32" t="str">
        <f t="shared" si="181"/>
        <v/>
      </c>
      <c r="AQ238" s="32" t="str">
        <f t="shared" si="182"/>
        <v/>
      </c>
      <c r="AR238" s="32" t="str">
        <f t="shared" si="183"/>
        <v/>
      </c>
      <c r="AS238" s="32" t="str">
        <f t="shared" si="184"/>
        <v/>
      </c>
      <c r="AT238" s="32" t="str">
        <f t="shared" si="185"/>
        <v/>
      </c>
      <c r="AU238" s="34" t="str">
        <f t="shared" si="186"/>
        <v/>
      </c>
      <c r="AV238" s="32" t="str">
        <f t="shared" si="187"/>
        <v/>
      </c>
      <c r="AW238" s="32" t="str">
        <f t="shared" si="188"/>
        <v/>
      </c>
      <c r="AX238" s="32" t="str">
        <f t="shared" si="189"/>
        <v/>
      </c>
      <c r="AY238" s="32" t="str">
        <f t="shared" si="190"/>
        <v/>
      </c>
    </row>
    <row r="239" spans="1:51" x14ac:dyDescent="0.25">
      <c r="A239" s="24" t="str">
        <f t="shared" si="148"/>
        <v/>
      </c>
      <c r="B239" s="24" t="str">
        <f t="shared" si="158"/>
        <v/>
      </c>
      <c r="C239" s="32" t="str">
        <f t="shared" si="149"/>
        <v/>
      </c>
      <c r="D239" s="24" t="str">
        <f t="shared" si="150"/>
        <v/>
      </c>
      <c r="E239" s="24" t="str">
        <f t="shared" si="151"/>
        <v/>
      </c>
      <c r="F239" s="32" t="str">
        <f t="shared" si="152"/>
        <v/>
      </c>
      <c r="G239" s="32" t="str">
        <f t="shared" si="153"/>
        <v/>
      </c>
      <c r="H239" s="32" t="str">
        <f t="shared" ca="1" si="154"/>
        <v/>
      </c>
      <c r="I239" s="32" t="str">
        <f t="shared" ca="1" si="159"/>
        <v/>
      </c>
      <c r="J239" s="32" t="str">
        <f t="shared" si="155"/>
        <v/>
      </c>
      <c r="K239" s="32" t="str">
        <f>IF(ISNUMBER(A239),Profile!$V$25+Profile!$V$24*'Ri-Po'!C239,"")</f>
        <v/>
      </c>
      <c r="L239" s="32" t="str">
        <f t="shared" si="160"/>
        <v/>
      </c>
      <c r="M239" s="32" t="str">
        <f t="shared" si="156"/>
        <v/>
      </c>
      <c r="N239" s="32" t="str">
        <f t="shared" si="157"/>
        <v/>
      </c>
      <c r="O239" s="32" t="str">
        <f t="shared" si="173"/>
        <v/>
      </c>
      <c r="P239" s="32" t="str">
        <f t="shared" si="161"/>
        <v/>
      </c>
      <c r="Q239" s="32" t="str">
        <f t="shared" si="162"/>
        <v/>
      </c>
      <c r="R239" s="32" t="str">
        <f t="shared" si="174"/>
        <v/>
      </c>
      <c r="S239" s="24" t="str">
        <f t="shared" si="175"/>
        <v/>
      </c>
      <c r="T239" s="24" t="str">
        <f t="shared" si="176"/>
        <v/>
      </c>
      <c r="U239" s="24" t="str">
        <f t="shared" si="177"/>
        <v/>
      </c>
      <c r="V239" s="24" t="str">
        <f t="shared" si="178"/>
        <v/>
      </c>
      <c r="W239" s="23" t="str">
        <f t="array" ref="W239">IFERROR(SMALL(IF(S$1:S$1000="BEGIN",ROW(S$1:S$1000)),ROW()-3),"")</f>
        <v/>
      </c>
      <c r="X239" s="23" t="str">
        <f t="array" ref="X239">IFERROR(SMALL(IF(T$1:T$1000="END",ROW(T$1:T$1000)),ROW()-3),"")</f>
        <v/>
      </c>
      <c r="Y239" s="33" t="str">
        <f t="array" ref="Y239">IF(ISNUMBER(W239),MAX(IF((B$4:B$1000&lt;=X239)*(B$4:B$1000&gt;=W239),I$4:I$1000, "")),"")</f>
        <v/>
      </c>
      <c r="Z239" s="33" t="str">
        <f t="shared" si="163"/>
        <v/>
      </c>
      <c r="AA239" s="32" t="str">
        <f t="shared" si="164"/>
        <v/>
      </c>
      <c r="AB239" s="32" t="str">
        <f t="shared" si="165"/>
        <v/>
      </c>
      <c r="AC239" s="32" t="str">
        <f t="shared" si="166"/>
        <v/>
      </c>
      <c r="AD239" s="32" t="str">
        <f t="shared" si="167"/>
        <v/>
      </c>
      <c r="AE239" s="34" t="str">
        <f t="shared" si="168"/>
        <v/>
      </c>
      <c r="AF239" s="32" t="str">
        <f t="shared" si="169"/>
        <v/>
      </c>
      <c r="AG239" s="32" t="str">
        <f t="shared" si="170"/>
        <v/>
      </c>
      <c r="AH239" s="32" t="str">
        <f t="shared" si="171"/>
        <v/>
      </c>
      <c r="AI239" s="35" t="str">
        <f t="shared" si="172"/>
        <v/>
      </c>
      <c r="AJ239" s="23" t="str">
        <f t="array" ref="AJ239">IFERROR(SMALL(IF(U$1:U$1000="BEGIN",ROW(U$1:U$1000)),ROW()-3),"")</f>
        <v/>
      </c>
      <c r="AK239" s="23" t="str">
        <f t="array" ref="AK239">IFERROR(SMALL(IF(V$1:V$1000="END",ROW(V$1:V$1000)),ROW()-3),"")</f>
        <v/>
      </c>
      <c r="AL239" s="24" t="str">
        <f t="array" ref="AL239">IF(AK239="","",MATCH(AM239,L:L,0))</f>
        <v/>
      </c>
      <c r="AM239" s="35">
        <f t="array" ref="AM239">MAX(IF((B$4:B$1000&lt;=AK239)*(B$4:B$1000&gt;=AJ239),L$4:L$1000, ""))</f>
        <v>0</v>
      </c>
      <c r="AN239" s="32" t="str">
        <f t="shared" si="179"/>
        <v/>
      </c>
      <c r="AO239" s="32" t="str">
        <f t="shared" si="180"/>
        <v/>
      </c>
      <c r="AP239" s="32" t="str">
        <f t="shared" si="181"/>
        <v/>
      </c>
      <c r="AQ239" s="32" t="str">
        <f t="shared" si="182"/>
        <v/>
      </c>
      <c r="AR239" s="32" t="str">
        <f t="shared" si="183"/>
        <v/>
      </c>
      <c r="AS239" s="32" t="str">
        <f t="shared" si="184"/>
        <v/>
      </c>
      <c r="AT239" s="32" t="str">
        <f t="shared" si="185"/>
        <v/>
      </c>
      <c r="AU239" s="34" t="str">
        <f t="shared" si="186"/>
        <v/>
      </c>
      <c r="AV239" s="32" t="str">
        <f t="shared" si="187"/>
        <v/>
      </c>
      <c r="AW239" s="32" t="str">
        <f t="shared" si="188"/>
        <v/>
      </c>
      <c r="AX239" s="32" t="str">
        <f t="shared" si="189"/>
        <v/>
      </c>
      <c r="AY239" s="32" t="str">
        <f t="shared" si="190"/>
        <v/>
      </c>
    </row>
    <row r="240" spans="1:51" x14ac:dyDescent="0.25">
      <c r="A240" s="24" t="str">
        <f t="shared" si="148"/>
        <v/>
      </c>
      <c r="B240" s="24" t="str">
        <f t="shared" si="158"/>
        <v/>
      </c>
      <c r="C240" s="32" t="str">
        <f t="shared" si="149"/>
        <v/>
      </c>
      <c r="D240" s="24" t="str">
        <f t="shared" si="150"/>
        <v/>
      </c>
      <c r="E240" s="24" t="str">
        <f t="shared" si="151"/>
        <v/>
      </c>
      <c r="F240" s="32" t="str">
        <f t="shared" si="152"/>
        <v/>
      </c>
      <c r="G240" s="32" t="str">
        <f t="shared" si="153"/>
        <v/>
      </c>
      <c r="H240" s="32" t="str">
        <f t="shared" ca="1" si="154"/>
        <v/>
      </c>
      <c r="I240" s="32" t="str">
        <f t="shared" ca="1" si="159"/>
        <v/>
      </c>
      <c r="J240" s="32" t="str">
        <f t="shared" si="155"/>
        <v/>
      </c>
      <c r="K240" s="32" t="str">
        <f>IF(ISNUMBER(A240),Profile!$V$25+Profile!$V$24*'Ri-Po'!C240,"")</f>
        <v/>
      </c>
      <c r="L240" s="32" t="str">
        <f t="shared" si="160"/>
        <v/>
      </c>
      <c r="M240" s="32" t="str">
        <f t="shared" si="156"/>
        <v/>
      </c>
      <c r="N240" s="32" t="str">
        <f t="shared" si="157"/>
        <v/>
      </c>
      <c r="O240" s="32" t="str">
        <f t="shared" si="173"/>
        <v/>
      </c>
      <c r="P240" s="32" t="str">
        <f t="shared" si="161"/>
        <v/>
      </c>
      <c r="Q240" s="32" t="str">
        <f t="shared" si="162"/>
        <v/>
      </c>
      <c r="R240" s="32" t="str">
        <f t="shared" si="174"/>
        <v/>
      </c>
      <c r="S240" s="24" t="str">
        <f t="shared" si="175"/>
        <v/>
      </c>
      <c r="T240" s="24" t="str">
        <f t="shared" si="176"/>
        <v/>
      </c>
      <c r="U240" s="24" t="str">
        <f t="shared" si="177"/>
        <v/>
      </c>
      <c r="V240" s="24" t="str">
        <f t="shared" si="178"/>
        <v/>
      </c>
      <c r="W240" s="23" t="str">
        <f t="array" ref="W240">IFERROR(SMALL(IF(S$1:S$1000="BEGIN",ROW(S$1:S$1000)),ROW()-3),"")</f>
        <v/>
      </c>
      <c r="X240" s="23" t="str">
        <f t="array" ref="X240">IFERROR(SMALL(IF(T$1:T$1000="END",ROW(T$1:T$1000)),ROW()-3),"")</f>
        <v/>
      </c>
      <c r="Y240" s="33" t="str">
        <f t="array" ref="Y240">IF(ISNUMBER(W240),MAX(IF((B$4:B$1000&lt;=X240)*(B$4:B$1000&gt;=W240),I$4:I$1000, "")),"")</f>
        <v/>
      </c>
      <c r="Z240" s="33" t="str">
        <f t="shared" si="163"/>
        <v/>
      </c>
      <c r="AA240" s="32" t="str">
        <f t="shared" si="164"/>
        <v/>
      </c>
      <c r="AB240" s="32" t="str">
        <f t="shared" si="165"/>
        <v/>
      </c>
      <c r="AC240" s="32" t="str">
        <f t="shared" si="166"/>
        <v/>
      </c>
      <c r="AD240" s="32" t="str">
        <f t="shared" si="167"/>
        <v/>
      </c>
      <c r="AE240" s="34" t="str">
        <f t="shared" si="168"/>
        <v/>
      </c>
      <c r="AF240" s="32" t="str">
        <f t="shared" si="169"/>
        <v/>
      </c>
      <c r="AG240" s="32" t="str">
        <f t="shared" si="170"/>
        <v/>
      </c>
      <c r="AH240" s="32" t="str">
        <f t="shared" si="171"/>
        <v/>
      </c>
      <c r="AI240" s="35" t="str">
        <f t="shared" si="172"/>
        <v/>
      </c>
      <c r="AJ240" s="23" t="str">
        <f t="array" ref="AJ240">IFERROR(SMALL(IF(U$1:U$1000="BEGIN",ROW(U$1:U$1000)),ROW()-3),"")</f>
        <v/>
      </c>
      <c r="AK240" s="23" t="str">
        <f t="array" ref="AK240">IFERROR(SMALL(IF(V$1:V$1000="END",ROW(V$1:V$1000)),ROW()-3),"")</f>
        <v/>
      </c>
      <c r="AL240" s="24" t="str">
        <f t="array" ref="AL240">IF(AK240="","",MATCH(AM240,L:L,0))</f>
        <v/>
      </c>
      <c r="AM240" s="35">
        <f t="array" ref="AM240">MAX(IF((B$4:B$1000&lt;=AK240)*(B$4:B$1000&gt;=AJ240),L$4:L$1000, ""))</f>
        <v>0</v>
      </c>
      <c r="AN240" s="32" t="str">
        <f t="shared" si="179"/>
        <v/>
      </c>
      <c r="AO240" s="32" t="str">
        <f t="shared" si="180"/>
        <v/>
      </c>
      <c r="AP240" s="32" t="str">
        <f t="shared" si="181"/>
        <v/>
      </c>
      <c r="AQ240" s="32" t="str">
        <f t="shared" si="182"/>
        <v/>
      </c>
      <c r="AR240" s="32" t="str">
        <f t="shared" si="183"/>
        <v/>
      </c>
      <c r="AS240" s="32" t="str">
        <f t="shared" si="184"/>
        <v/>
      </c>
      <c r="AT240" s="32" t="str">
        <f t="shared" si="185"/>
        <v/>
      </c>
      <c r="AU240" s="34" t="str">
        <f t="shared" si="186"/>
        <v/>
      </c>
      <c r="AV240" s="32" t="str">
        <f t="shared" si="187"/>
        <v/>
      </c>
      <c r="AW240" s="32" t="str">
        <f t="shared" si="188"/>
        <v/>
      </c>
      <c r="AX240" s="32" t="str">
        <f t="shared" si="189"/>
        <v/>
      </c>
      <c r="AY240" s="32" t="str">
        <f t="shared" si="190"/>
        <v/>
      </c>
    </row>
    <row r="241" spans="1:51" x14ac:dyDescent="0.25">
      <c r="A241" s="24" t="str">
        <f t="shared" si="148"/>
        <v/>
      </c>
      <c r="B241" s="24" t="str">
        <f t="shared" si="158"/>
        <v/>
      </c>
      <c r="C241" s="32" t="str">
        <f t="shared" si="149"/>
        <v/>
      </c>
      <c r="D241" s="24" t="str">
        <f t="shared" si="150"/>
        <v/>
      </c>
      <c r="E241" s="24" t="str">
        <f t="shared" si="151"/>
        <v/>
      </c>
      <c r="F241" s="32" t="str">
        <f t="shared" si="152"/>
        <v/>
      </c>
      <c r="G241" s="32" t="str">
        <f t="shared" si="153"/>
        <v/>
      </c>
      <c r="H241" s="32" t="str">
        <f t="shared" ca="1" si="154"/>
        <v/>
      </c>
      <c r="I241" s="32" t="str">
        <f t="shared" ca="1" si="159"/>
        <v/>
      </c>
      <c r="J241" s="32" t="str">
        <f t="shared" si="155"/>
        <v/>
      </c>
      <c r="K241" s="32" t="str">
        <f>IF(ISNUMBER(A241),Profile!$V$25+Profile!$V$24*'Ri-Po'!C241,"")</f>
        <v/>
      </c>
      <c r="L241" s="32" t="str">
        <f t="shared" si="160"/>
        <v/>
      </c>
      <c r="M241" s="32" t="str">
        <f t="shared" si="156"/>
        <v/>
      </c>
      <c r="N241" s="32" t="str">
        <f t="shared" si="157"/>
        <v/>
      </c>
      <c r="O241" s="32" t="str">
        <f t="shared" si="173"/>
        <v/>
      </c>
      <c r="P241" s="32" t="str">
        <f t="shared" si="161"/>
        <v/>
      </c>
      <c r="Q241" s="32" t="str">
        <f t="shared" si="162"/>
        <v/>
      </c>
      <c r="R241" s="32" t="str">
        <f t="shared" si="174"/>
        <v/>
      </c>
      <c r="S241" s="24" t="str">
        <f t="shared" si="175"/>
        <v/>
      </c>
      <c r="T241" s="24" t="str">
        <f t="shared" si="176"/>
        <v/>
      </c>
      <c r="U241" s="24" t="str">
        <f t="shared" si="177"/>
        <v/>
      </c>
      <c r="V241" s="24" t="str">
        <f t="shared" si="178"/>
        <v/>
      </c>
      <c r="W241" s="23" t="str">
        <f t="array" ref="W241">IFERROR(SMALL(IF(S$1:S$1000="BEGIN",ROW(S$1:S$1000)),ROW()-3),"")</f>
        <v/>
      </c>
      <c r="X241" s="23" t="str">
        <f t="array" ref="X241">IFERROR(SMALL(IF(T$1:T$1000="END",ROW(T$1:T$1000)),ROW()-3),"")</f>
        <v/>
      </c>
      <c r="Y241" s="33" t="str">
        <f t="array" ref="Y241">IF(ISNUMBER(W241),MAX(IF((B$4:B$1000&lt;=X241)*(B$4:B$1000&gt;=W241),I$4:I$1000, "")),"")</f>
        <v/>
      </c>
      <c r="Z241" s="33" t="str">
        <f t="shared" si="163"/>
        <v/>
      </c>
      <c r="AA241" s="32" t="str">
        <f t="shared" si="164"/>
        <v/>
      </c>
      <c r="AB241" s="32" t="str">
        <f t="shared" si="165"/>
        <v/>
      </c>
      <c r="AC241" s="32" t="str">
        <f t="shared" si="166"/>
        <v/>
      </c>
      <c r="AD241" s="32" t="str">
        <f t="shared" si="167"/>
        <v/>
      </c>
      <c r="AE241" s="34" t="str">
        <f t="shared" si="168"/>
        <v/>
      </c>
      <c r="AF241" s="32" t="str">
        <f t="shared" si="169"/>
        <v/>
      </c>
      <c r="AG241" s="32" t="str">
        <f t="shared" si="170"/>
        <v/>
      </c>
      <c r="AH241" s="32" t="str">
        <f t="shared" si="171"/>
        <v/>
      </c>
      <c r="AI241" s="35" t="str">
        <f t="shared" si="172"/>
        <v/>
      </c>
      <c r="AJ241" s="23" t="str">
        <f t="array" ref="AJ241">IFERROR(SMALL(IF(U$1:U$1000="BEGIN",ROW(U$1:U$1000)),ROW()-3),"")</f>
        <v/>
      </c>
      <c r="AK241" s="23" t="str">
        <f t="array" ref="AK241">IFERROR(SMALL(IF(V$1:V$1000="END",ROW(V$1:V$1000)),ROW()-3),"")</f>
        <v/>
      </c>
      <c r="AL241" s="24" t="str">
        <f t="array" ref="AL241">IF(AK241="","",MATCH(AM241,L:L,0))</f>
        <v/>
      </c>
      <c r="AM241" s="35">
        <f t="array" ref="AM241">MAX(IF((B$4:B$1000&lt;=AK241)*(B$4:B$1000&gt;=AJ241),L$4:L$1000, ""))</f>
        <v>0</v>
      </c>
      <c r="AN241" s="32" t="str">
        <f t="shared" si="179"/>
        <v/>
      </c>
      <c r="AO241" s="32" t="str">
        <f t="shared" si="180"/>
        <v/>
      </c>
      <c r="AP241" s="32" t="str">
        <f t="shared" si="181"/>
        <v/>
      </c>
      <c r="AQ241" s="32" t="str">
        <f t="shared" si="182"/>
        <v/>
      </c>
      <c r="AR241" s="32" t="str">
        <f t="shared" si="183"/>
        <v/>
      </c>
      <c r="AS241" s="32" t="str">
        <f t="shared" si="184"/>
        <v/>
      </c>
      <c r="AT241" s="32" t="str">
        <f t="shared" si="185"/>
        <v/>
      </c>
      <c r="AU241" s="34" t="str">
        <f t="shared" si="186"/>
        <v/>
      </c>
      <c r="AV241" s="32" t="str">
        <f t="shared" si="187"/>
        <v/>
      </c>
      <c r="AW241" s="32" t="str">
        <f t="shared" si="188"/>
        <v/>
      </c>
      <c r="AX241" s="32" t="str">
        <f t="shared" si="189"/>
        <v/>
      </c>
      <c r="AY241" s="32" t="str">
        <f t="shared" si="190"/>
        <v/>
      </c>
    </row>
    <row r="242" spans="1:51" x14ac:dyDescent="0.25">
      <c r="A242" s="24" t="str">
        <f t="shared" si="148"/>
        <v/>
      </c>
      <c r="B242" s="24" t="str">
        <f t="shared" si="158"/>
        <v/>
      </c>
      <c r="C242" s="32" t="str">
        <f t="shared" si="149"/>
        <v/>
      </c>
      <c r="D242" s="24" t="str">
        <f t="shared" si="150"/>
        <v/>
      </c>
      <c r="E242" s="24" t="str">
        <f t="shared" si="151"/>
        <v/>
      </c>
      <c r="F242" s="32" t="str">
        <f t="shared" si="152"/>
        <v/>
      </c>
      <c r="G242" s="32" t="str">
        <f t="shared" si="153"/>
        <v/>
      </c>
      <c r="H242" s="32" t="str">
        <f t="shared" ca="1" si="154"/>
        <v/>
      </c>
      <c r="I242" s="32" t="str">
        <f t="shared" ca="1" si="159"/>
        <v/>
      </c>
      <c r="J242" s="32" t="str">
        <f t="shared" si="155"/>
        <v/>
      </c>
      <c r="K242" s="32" t="str">
        <f>IF(ISNUMBER(A242),Profile!$V$25+Profile!$V$24*'Ri-Po'!C242,"")</f>
        <v/>
      </c>
      <c r="L242" s="32" t="str">
        <f t="shared" si="160"/>
        <v/>
      </c>
      <c r="M242" s="32" t="str">
        <f t="shared" si="156"/>
        <v/>
      </c>
      <c r="N242" s="32" t="str">
        <f t="shared" si="157"/>
        <v/>
      </c>
      <c r="O242" s="32" t="str">
        <f t="shared" si="173"/>
        <v/>
      </c>
      <c r="P242" s="32" t="str">
        <f t="shared" si="161"/>
        <v/>
      </c>
      <c r="Q242" s="32" t="str">
        <f t="shared" si="162"/>
        <v/>
      </c>
      <c r="R242" s="32" t="str">
        <f t="shared" si="174"/>
        <v/>
      </c>
      <c r="S242" s="24" t="str">
        <f t="shared" si="175"/>
        <v/>
      </c>
      <c r="T242" s="24" t="str">
        <f t="shared" si="176"/>
        <v/>
      </c>
      <c r="U242" s="24" t="str">
        <f t="shared" si="177"/>
        <v/>
      </c>
      <c r="V242" s="24" t="str">
        <f t="shared" si="178"/>
        <v/>
      </c>
      <c r="W242" s="23" t="str">
        <f t="array" ref="W242">IFERROR(SMALL(IF(S$1:S$1000="BEGIN",ROW(S$1:S$1000)),ROW()-3),"")</f>
        <v/>
      </c>
      <c r="X242" s="23" t="str">
        <f t="array" ref="X242">IFERROR(SMALL(IF(T$1:T$1000="END",ROW(T$1:T$1000)),ROW()-3),"")</f>
        <v/>
      </c>
      <c r="Y242" s="33" t="str">
        <f t="array" ref="Y242">IF(ISNUMBER(W242),MAX(IF((B$4:B$1000&lt;=X242)*(B$4:B$1000&gt;=W242),I$4:I$1000, "")),"")</f>
        <v/>
      </c>
      <c r="Z242" s="33" t="str">
        <f t="shared" si="163"/>
        <v/>
      </c>
      <c r="AA242" s="32" t="str">
        <f t="shared" si="164"/>
        <v/>
      </c>
      <c r="AB242" s="32" t="str">
        <f t="shared" si="165"/>
        <v/>
      </c>
      <c r="AC242" s="32" t="str">
        <f t="shared" si="166"/>
        <v/>
      </c>
      <c r="AD242" s="32" t="str">
        <f t="shared" si="167"/>
        <v/>
      </c>
      <c r="AE242" s="34" t="str">
        <f t="shared" si="168"/>
        <v/>
      </c>
      <c r="AF242" s="32" t="str">
        <f t="shared" si="169"/>
        <v/>
      </c>
      <c r="AG242" s="32" t="str">
        <f t="shared" si="170"/>
        <v/>
      </c>
      <c r="AH242" s="32" t="str">
        <f t="shared" si="171"/>
        <v/>
      </c>
      <c r="AI242" s="35" t="str">
        <f t="shared" si="172"/>
        <v/>
      </c>
      <c r="AJ242" s="23" t="str">
        <f t="array" ref="AJ242">IFERROR(SMALL(IF(U$1:U$1000="BEGIN",ROW(U$1:U$1000)),ROW()-3),"")</f>
        <v/>
      </c>
      <c r="AK242" s="23" t="str">
        <f t="array" ref="AK242">IFERROR(SMALL(IF(V$1:V$1000="END",ROW(V$1:V$1000)),ROW()-3),"")</f>
        <v/>
      </c>
      <c r="AL242" s="24" t="str">
        <f t="array" ref="AL242">IF(AK242="","",MATCH(AM242,L:L,0))</f>
        <v/>
      </c>
      <c r="AM242" s="35">
        <f t="array" ref="AM242">MAX(IF((B$4:B$1000&lt;=AK242)*(B$4:B$1000&gt;=AJ242),L$4:L$1000, ""))</f>
        <v>0</v>
      </c>
      <c r="AN242" s="32" t="str">
        <f t="shared" si="179"/>
        <v/>
      </c>
      <c r="AO242" s="32" t="str">
        <f t="shared" si="180"/>
        <v/>
      </c>
      <c r="AP242" s="32" t="str">
        <f t="shared" si="181"/>
        <v/>
      </c>
      <c r="AQ242" s="32" t="str">
        <f t="shared" si="182"/>
        <v/>
      </c>
      <c r="AR242" s="32" t="str">
        <f t="shared" si="183"/>
        <v/>
      </c>
      <c r="AS242" s="32" t="str">
        <f t="shared" si="184"/>
        <v/>
      </c>
      <c r="AT242" s="32" t="str">
        <f t="shared" si="185"/>
        <v/>
      </c>
      <c r="AU242" s="34" t="str">
        <f t="shared" si="186"/>
        <v/>
      </c>
      <c r="AV242" s="32" t="str">
        <f t="shared" si="187"/>
        <v/>
      </c>
      <c r="AW242" s="32" t="str">
        <f t="shared" si="188"/>
        <v/>
      </c>
      <c r="AX242" s="32" t="str">
        <f t="shared" si="189"/>
        <v/>
      </c>
      <c r="AY242" s="32" t="str">
        <f t="shared" si="190"/>
        <v/>
      </c>
    </row>
    <row r="243" spans="1:51" x14ac:dyDescent="0.25">
      <c r="A243" s="24" t="str">
        <f t="shared" si="148"/>
        <v/>
      </c>
      <c r="B243" s="24" t="str">
        <f t="shared" si="158"/>
        <v/>
      </c>
      <c r="C243" s="32" t="str">
        <f t="shared" si="149"/>
        <v/>
      </c>
      <c r="D243" s="24" t="str">
        <f t="shared" si="150"/>
        <v/>
      </c>
      <c r="E243" s="24" t="str">
        <f t="shared" si="151"/>
        <v/>
      </c>
      <c r="F243" s="32" t="str">
        <f t="shared" si="152"/>
        <v/>
      </c>
      <c r="G243" s="32" t="str">
        <f t="shared" si="153"/>
        <v/>
      </c>
      <c r="H243" s="32" t="str">
        <f t="shared" ca="1" si="154"/>
        <v/>
      </c>
      <c r="I243" s="32" t="str">
        <f t="shared" ca="1" si="159"/>
        <v/>
      </c>
      <c r="J243" s="32" t="str">
        <f t="shared" si="155"/>
        <v/>
      </c>
      <c r="K243" s="32" t="str">
        <f>IF(ISNUMBER(A243),Profile!$V$25+Profile!$V$24*'Ri-Po'!C243,"")</f>
        <v/>
      </c>
      <c r="L243" s="32" t="str">
        <f t="shared" si="160"/>
        <v/>
      </c>
      <c r="M243" s="32" t="str">
        <f t="shared" si="156"/>
        <v/>
      </c>
      <c r="N243" s="32" t="str">
        <f t="shared" si="157"/>
        <v/>
      </c>
      <c r="O243" s="32" t="str">
        <f t="shared" si="173"/>
        <v/>
      </c>
      <c r="P243" s="32" t="str">
        <f t="shared" si="161"/>
        <v/>
      </c>
      <c r="Q243" s="32" t="str">
        <f t="shared" si="162"/>
        <v/>
      </c>
      <c r="R243" s="32" t="str">
        <f t="shared" si="174"/>
        <v/>
      </c>
      <c r="S243" s="24" t="str">
        <f t="shared" si="175"/>
        <v/>
      </c>
      <c r="T243" s="24" t="str">
        <f t="shared" si="176"/>
        <v/>
      </c>
      <c r="U243" s="24" t="str">
        <f t="shared" si="177"/>
        <v/>
      </c>
      <c r="V243" s="24" t="str">
        <f t="shared" si="178"/>
        <v/>
      </c>
      <c r="W243" s="23" t="str">
        <f t="array" ref="W243">IFERROR(SMALL(IF(S$1:S$1000="BEGIN",ROW(S$1:S$1000)),ROW()-3),"")</f>
        <v/>
      </c>
      <c r="X243" s="23" t="str">
        <f t="array" ref="X243">IFERROR(SMALL(IF(T$1:T$1000="END",ROW(T$1:T$1000)),ROW()-3),"")</f>
        <v/>
      </c>
      <c r="Y243" s="33" t="str">
        <f t="array" ref="Y243">IF(ISNUMBER(W243),MAX(IF((B$4:B$1000&lt;=X243)*(B$4:B$1000&gt;=W243),I$4:I$1000, "")),"")</f>
        <v/>
      </c>
      <c r="Z243" s="33" t="str">
        <f t="shared" si="163"/>
        <v/>
      </c>
      <c r="AA243" s="32" t="str">
        <f t="shared" si="164"/>
        <v/>
      </c>
      <c r="AB243" s="32" t="str">
        <f t="shared" si="165"/>
        <v/>
      </c>
      <c r="AC243" s="32" t="str">
        <f t="shared" si="166"/>
        <v/>
      </c>
      <c r="AD243" s="32" t="str">
        <f t="shared" si="167"/>
        <v/>
      </c>
      <c r="AE243" s="34" t="str">
        <f t="shared" si="168"/>
        <v/>
      </c>
      <c r="AF243" s="32" t="str">
        <f t="shared" si="169"/>
        <v/>
      </c>
      <c r="AG243" s="32" t="str">
        <f t="shared" si="170"/>
        <v/>
      </c>
      <c r="AH243" s="32" t="str">
        <f t="shared" si="171"/>
        <v/>
      </c>
      <c r="AI243" s="35" t="str">
        <f t="shared" si="172"/>
        <v/>
      </c>
      <c r="AJ243" s="23" t="str">
        <f t="array" ref="AJ243">IFERROR(SMALL(IF(U$1:U$1000="BEGIN",ROW(U$1:U$1000)),ROW()-3),"")</f>
        <v/>
      </c>
      <c r="AK243" s="23" t="str">
        <f t="array" ref="AK243">IFERROR(SMALL(IF(V$1:V$1000="END",ROW(V$1:V$1000)),ROW()-3),"")</f>
        <v/>
      </c>
      <c r="AL243" s="24" t="str">
        <f t="array" ref="AL243">IF(AK243="","",MATCH(AM243,L:L,0))</f>
        <v/>
      </c>
      <c r="AM243" s="35">
        <f t="array" ref="AM243">MAX(IF((B$4:B$1000&lt;=AK243)*(B$4:B$1000&gt;=AJ243),L$4:L$1000, ""))</f>
        <v>0</v>
      </c>
      <c r="AN243" s="32" t="str">
        <f t="shared" si="179"/>
        <v/>
      </c>
      <c r="AO243" s="32" t="str">
        <f t="shared" si="180"/>
        <v/>
      </c>
      <c r="AP243" s="32" t="str">
        <f t="shared" si="181"/>
        <v/>
      </c>
      <c r="AQ243" s="32" t="str">
        <f t="shared" si="182"/>
        <v/>
      </c>
      <c r="AR243" s="32" t="str">
        <f t="shared" si="183"/>
        <v/>
      </c>
      <c r="AS243" s="32" t="str">
        <f t="shared" si="184"/>
        <v/>
      </c>
      <c r="AT243" s="32" t="str">
        <f t="shared" si="185"/>
        <v/>
      </c>
      <c r="AU243" s="34" t="str">
        <f t="shared" si="186"/>
        <v/>
      </c>
      <c r="AV243" s="32" t="str">
        <f t="shared" si="187"/>
        <v/>
      </c>
      <c r="AW243" s="32" t="str">
        <f t="shared" si="188"/>
        <v/>
      </c>
      <c r="AX243" s="32" t="str">
        <f t="shared" si="189"/>
        <v/>
      </c>
      <c r="AY243" s="32" t="str">
        <f t="shared" si="190"/>
        <v/>
      </c>
    </row>
    <row r="244" spans="1:51" x14ac:dyDescent="0.25">
      <c r="A244" s="24" t="str">
        <f t="shared" si="148"/>
        <v/>
      </c>
      <c r="B244" s="24" t="str">
        <f t="shared" si="158"/>
        <v/>
      </c>
      <c r="C244" s="32" t="str">
        <f t="shared" si="149"/>
        <v/>
      </c>
      <c r="D244" s="24" t="str">
        <f t="shared" si="150"/>
        <v/>
      </c>
      <c r="E244" s="24" t="str">
        <f t="shared" si="151"/>
        <v/>
      </c>
      <c r="F244" s="32" t="str">
        <f t="shared" si="152"/>
        <v/>
      </c>
      <c r="G244" s="32" t="str">
        <f t="shared" si="153"/>
        <v/>
      </c>
      <c r="H244" s="32" t="str">
        <f t="shared" ca="1" si="154"/>
        <v/>
      </c>
      <c r="I244" s="32" t="str">
        <f t="shared" ca="1" si="159"/>
        <v/>
      </c>
      <c r="J244" s="32" t="str">
        <f t="shared" si="155"/>
        <v/>
      </c>
      <c r="K244" s="32" t="str">
        <f>IF(ISNUMBER(A244),Profile!$V$25+Profile!$V$24*'Ri-Po'!C244,"")</f>
        <v/>
      </c>
      <c r="L244" s="32" t="str">
        <f t="shared" si="160"/>
        <v/>
      </c>
      <c r="M244" s="32" t="str">
        <f t="shared" si="156"/>
        <v/>
      </c>
      <c r="N244" s="32" t="str">
        <f t="shared" si="157"/>
        <v/>
      </c>
      <c r="O244" s="32" t="str">
        <f t="shared" si="173"/>
        <v/>
      </c>
      <c r="P244" s="32" t="str">
        <f t="shared" si="161"/>
        <v/>
      </c>
      <c r="Q244" s="32" t="str">
        <f t="shared" si="162"/>
        <v/>
      </c>
      <c r="R244" s="32" t="str">
        <f t="shared" si="174"/>
        <v/>
      </c>
      <c r="S244" s="24" t="str">
        <f t="shared" si="175"/>
        <v/>
      </c>
      <c r="T244" s="24" t="str">
        <f t="shared" si="176"/>
        <v/>
      </c>
      <c r="U244" s="24" t="str">
        <f t="shared" si="177"/>
        <v/>
      </c>
      <c r="V244" s="24" t="str">
        <f t="shared" si="178"/>
        <v/>
      </c>
      <c r="W244" s="23" t="str">
        <f t="array" ref="W244">IFERROR(SMALL(IF(S$1:S$1000="BEGIN",ROW(S$1:S$1000)),ROW()-3),"")</f>
        <v/>
      </c>
      <c r="X244" s="23" t="str">
        <f t="array" ref="X244">IFERROR(SMALL(IF(T$1:T$1000="END",ROW(T$1:T$1000)),ROW()-3),"")</f>
        <v/>
      </c>
      <c r="Y244" s="33" t="str">
        <f t="array" ref="Y244">IF(ISNUMBER(W244),MAX(IF((B$4:B$1000&lt;=X244)*(B$4:B$1000&gt;=W244),I$4:I$1000, "")),"")</f>
        <v/>
      </c>
      <c r="Z244" s="33" t="str">
        <f t="shared" si="163"/>
        <v/>
      </c>
      <c r="AA244" s="32" t="str">
        <f t="shared" si="164"/>
        <v/>
      </c>
      <c r="AB244" s="32" t="str">
        <f t="shared" si="165"/>
        <v/>
      </c>
      <c r="AC244" s="32" t="str">
        <f t="shared" si="166"/>
        <v/>
      </c>
      <c r="AD244" s="32" t="str">
        <f t="shared" si="167"/>
        <v/>
      </c>
      <c r="AE244" s="34" t="str">
        <f t="shared" si="168"/>
        <v/>
      </c>
      <c r="AF244" s="32" t="str">
        <f t="shared" si="169"/>
        <v/>
      </c>
      <c r="AG244" s="32" t="str">
        <f t="shared" si="170"/>
        <v/>
      </c>
      <c r="AH244" s="32" t="str">
        <f t="shared" si="171"/>
        <v/>
      </c>
      <c r="AI244" s="35" t="str">
        <f t="shared" si="172"/>
        <v/>
      </c>
      <c r="AJ244" s="23" t="str">
        <f t="array" ref="AJ244">IFERROR(SMALL(IF(U$1:U$1000="BEGIN",ROW(U$1:U$1000)),ROW()-3),"")</f>
        <v/>
      </c>
      <c r="AK244" s="23" t="str">
        <f t="array" ref="AK244">IFERROR(SMALL(IF(V$1:V$1000="END",ROW(V$1:V$1000)),ROW()-3),"")</f>
        <v/>
      </c>
      <c r="AL244" s="24" t="str">
        <f t="array" ref="AL244">IF(AK244="","",MATCH(AM244,L:L,0))</f>
        <v/>
      </c>
      <c r="AM244" s="35">
        <f t="array" ref="AM244">MAX(IF((B$4:B$1000&lt;=AK244)*(B$4:B$1000&gt;=AJ244),L$4:L$1000, ""))</f>
        <v>0</v>
      </c>
      <c r="AN244" s="32" t="str">
        <f t="shared" si="179"/>
        <v/>
      </c>
      <c r="AO244" s="32" t="str">
        <f t="shared" si="180"/>
        <v/>
      </c>
      <c r="AP244" s="32" t="str">
        <f t="shared" si="181"/>
        <v/>
      </c>
      <c r="AQ244" s="32" t="str">
        <f t="shared" si="182"/>
        <v/>
      </c>
      <c r="AR244" s="32" t="str">
        <f t="shared" si="183"/>
        <v/>
      </c>
      <c r="AS244" s="32" t="str">
        <f t="shared" si="184"/>
        <v/>
      </c>
      <c r="AT244" s="32" t="str">
        <f t="shared" si="185"/>
        <v/>
      </c>
      <c r="AU244" s="34" t="str">
        <f t="shared" si="186"/>
        <v/>
      </c>
      <c r="AV244" s="32" t="str">
        <f t="shared" si="187"/>
        <v/>
      </c>
      <c r="AW244" s="32" t="str">
        <f t="shared" si="188"/>
        <v/>
      </c>
      <c r="AX244" s="32" t="str">
        <f t="shared" si="189"/>
        <v/>
      </c>
      <c r="AY244" s="32" t="str">
        <f t="shared" si="190"/>
        <v/>
      </c>
    </row>
    <row r="245" spans="1:51" x14ac:dyDescent="0.25">
      <c r="A245" s="24" t="str">
        <f t="shared" si="148"/>
        <v/>
      </c>
      <c r="B245" s="24" t="str">
        <f t="shared" si="158"/>
        <v/>
      </c>
      <c r="C245" s="32" t="str">
        <f t="shared" si="149"/>
        <v/>
      </c>
      <c r="D245" s="24" t="str">
        <f t="shared" si="150"/>
        <v/>
      </c>
      <c r="E245" s="24" t="str">
        <f t="shared" si="151"/>
        <v/>
      </c>
      <c r="F245" s="32" t="str">
        <f t="shared" si="152"/>
        <v/>
      </c>
      <c r="G245" s="32" t="str">
        <f t="shared" si="153"/>
        <v/>
      </c>
      <c r="H245" s="32" t="str">
        <f t="shared" ca="1" si="154"/>
        <v/>
      </c>
      <c r="I245" s="32" t="str">
        <f t="shared" ca="1" si="159"/>
        <v/>
      </c>
      <c r="J245" s="32" t="str">
        <f t="shared" si="155"/>
        <v/>
      </c>
      <c r="K245" s="32" t="str">
        <f>IF(ISNUMBER(A245),Profile!$V$25+Profile!$V$24*'Ri-Po'!C245,"")</f>
        <v/>
      </c>
      <c r="L245" s="32" t="str">
        <f t="shared" si="160"/>
        <v/>
      </c>
      <c r="M245" s="32" t="str">
        <f t="shared" si="156"/>
        <v/>
      </c>
      <c r="N245" s="32" t="str">
        <f t="shared" si="157"/>
        <v/>
      </c>
      <c r="O245" s="32" t="str">
        <f t="shared" si="173"/>
        <v/>
      </c>
      <c r="P245" s="32" t="str">
        <f t="shared" si="161"/>
        <v/>
      </c>
      <c r="Q245" s="32" t="str">
        <f t="shared" si="162"/>
        <v/>
      </c>
      <c r="R245" s="32" t="str">
        <f t="shared" si="174"/>
        <v/>
      </c>
      <c r="S245" s="24" t="str">
        <f t="shared" si="175"/>
        <v/>
      </c>
      <c r="T245" s="24" t="str">
        <f t="shared" si="176"/>
        <v/>
      </c>
      <c r="U245" s="24" t="str">
        <f t="shared" si="177"/>
        <v/>
      </c>
      <c r="V245" s="24" t="str">
        <f t="shared" si="178"/>
        <v/>
      </c>
      <c r="W245" s="23" t="str">
        <f t="array" ref="W245">IFERROR(SMALL(IF(S$1:S$1000="BEGIN",ROW(S$1:S$1000)),ROW()-3),"")</f>
        <v/>
      </c>
      <c r="X245" s="23" t="str">
        <f t="array" ref="X245">IFERROR(SMALL(IF(T$1:T$1000="END",ROW(T$1:T$1000)),ROW()-3),"")</f>
        <v/>
      </c>
      <c r="Y245" s="33" t="str">
        <f t="array" ref="Y245">IF(ISNUMBER(W245),MAX(IF((B$4:B$1000&lt;=X245)*(B$4:B$1000&gt;=W245),I$4:I$1000, "")),"")</f>
        <v/>
      </c>
      <c r="Z245" s="33" t="str">
        <f t="shared" si="163"/>
        <v/>
      </c>
      <c r="AA245" s="32" t="str">
        <f t="shared" si="164"/>
        <v/>
      </c>
      <c r="AB245" s="32" t="str">
        <f t="shared" si="165"/>
        <v/>
      </c>
      <c r="AC245" s="32" t="str">
        <f t="shared" si="166"/>
        <v/>
      </c>
      <c r="AD245" s="32" t="str">
        <f t="shared" si="167"/>
        <v/>
      </c>
      <c r="AE245" s="34" t="str">
        <f t="shared" si="168"/>
        <v/>
      </c>
      <c r="AF245" s="32" t="str">
        <f t="shared" si="169"/>
        <v/>
      </c>
      <c r="AG245" s="32" t="str">
        <f t="shared" si="170"/>
        <v/>
      </c>
      <c r="AH245" s="32" t="str">
        <f t="shared" si="171"/>
        <v/>
      </c>
      <c r="AI245" s="35" t="str">
        <f t="shared" si="172"/>
        <v/>
      </c>
      <c r="AJ245" s="23" t="str">
        <f t="array" ref="AJ245">IFERROR(SMALL(IF(U$1:U$1000="BEGIN",ROW(U$1:U$1000)),ROW()-3),"")</f>
        <v/>
      </c>
      <c r="AK245" s="23" t="str">
        <f t="array" ref="AK245">IFERROR(SMALL(IF(V$1:V$1000="END",ROW(V$1:V$1000)),ROW()-3),"")</f>
        <v/>
      </c>
      <c r="AL245" s="24" t="str">
        <f t="array" ref="AL245">IF(AK245="","",MATCH(AM245,L:L,0))</f>
        <v/>
      </c>
      <c r="AM245" s="35">
        <f t="array" ref="AM245">MAX(IF((B$4:B$1000&lt;=AK245)*(B$4:B$1000&gt;=AJ245),L$4:L$1000, ""))</f>
        <v>0</v>
      </c>
      <c r="AN245" s="32" t="str">
        <f t="shared" si="179"/>
        <v/>
      </c>
      <c r="AO245" s="32" t="str">
        <f t="shared" si="180"/>
        <v/>
      </c>
      <c r="AP245" s="32" t="str">
        <f t="shared" si="181"/>
        <v/>
      </c>
      <c r="AQ245" s="32" t="str">
        <f t="shared" si="182"/>
        <v/>
      </c>
      <c r="AR245" s="32" t="str">
        <f t="shared" si="183"/>
        <v/>
      </c>
      <c r="AS245" s="32" t="str">
        <f t="shared" si="184"/>
        <v/>
      </c>
      <c r="AT245" s="32" t="str">
        <f t="shared" si="185"/>
        <v/>
      </c>
      <c r="AU245" s="34" t="str">
        <f t="shared" si="186"/>
        <v/>
      </c>
      <c r="AV245" s="32" t="str">
        <f t="shared" si="187"/>
        <v/>
      </c>
      <c r="AW245" s="32" t="str">
        <f t="shared" si="188"/>
        <v/>
      </c>
      <c r="AX245" s="32" t="str">
        <f t="shared" si="189"/>
        <v/>
      </c>
      <c r="AY245" s="32" t="str">
        <f t="shared" si="190"/>
        <v/>
      </c>
    </row>
    <row r="246" spans="1:51" x14ac:dyDescent="0.25">
      <c r="A246" s="24" t="str">
        <f t="shared" si="148"/>
        <v/>
      </c>
      <c r="B246" s="24" t="str">
        <f t="shared" si="158"/>
        <v/>
      </c>
      <c r="C246" s="32" t="str">
        <f t="shared" si="149"/>
        <v/>
      </c>
      <c r="D246" s="24" t="str">
        <f t="shared" si="150"/>
        <v/>
      </c>
      <c r="E246" s="24" t="str">
        <f t="shared" si="151"/>
        <v/>
      </c>
      <c r="F246" s="32" t="str">
        <f t="shared" si="152"/>
        <v/>
      </c>
      <c r="G246" s="32" t="str">
        <f t="shared" si="153"/>
        <v/>
      </c>
      <c r="H246" s="32" t="str">
        <f t="shared" ca="1" si="154"/>
        <v/>
      </c>
      <c r="I246" s="32" t="str">
        <f t="shared" ca="1" si="159"/>
        <v/>
      </c>
      <c r="J246" s="32" t="str">
        <f t="shared" si="155"/>
        <v/>
      </c>
      <c r="K246" s="32" t="str">
        <f>IF(ISNUMBER(A246),Profile!$V$25+Profile!$V$24*'Ri-Po'!C246,"")</f>
        <v/>
      </c>
      <c r="L246" s="32" t="str">
        <f t="shared" si="160"/>
        <v/>
      </c>
      <c r="M246" s="32" t="str">
        <f t="shared" si="156"/>
        <v/>
      </c>
      <c r="N246" s="32" t="str">
        <f t="shared" si="157"/>
        <v/>
      </c>
      <c r="O246" s="32" t="str">
        <f t="shared" si="173"/>
        <v/>
      </c>
      <c r="P246" s="32" t="str">
        <f t="shared" si="161"/>
        <v/>
      </c>
      <c r="Q246" s="32" t="str">
        <f t="shared" si="162"/>
        <v/>
      </c>
      <c r="R246" s="32" t="str">
        <f t="shared" si="174"/>
        <v/>
      </c>
      <c r="S246" s="24" t="str">
        <f t="shared" si="175"/>
        <v/>
      </c>
      <c r="T246" s="24" t="str">
        <f t="shared" si="176"/>
        <v/>
      </c>
      <c r="U246" s="24" t="str">
        <f t="shared" si="177"/>
        <v/>
      </c>
      <c r="V246" s="24" t="str">
        <f t="shared" si="178"/>
        <v/>
      </c>
      <c r="W246" s="23" t="str">
        <f t="array" ref="W246">IFERROR(SMALL(IF(S$1:S$1000="BEGIN",ROW(S$1:S$1000)),ROW()-3),"")</f>
        <v/>
      </c>
      <c r="X246" s="23" t="str">
        <f t="array" ref="X246">IFERROR(SMALL(IF(T$1:T$1000="END",ROW(T$1:T$1000)),ROW()-3),"")</f>
        <v/>
      </c>
      <c r="Y246" s="33" t="str">
        <f t="array" ref="Y246">IF(ISNUMBER(W246),MAX(IF((B$4:B$1000&lt;=X246)*(B$4:B$1000&gt;=W246),I$4:I$1000, "")),"")</f>
        <v/>
      </c>
      <c r="Z246" s="33" t="str">
        <f t="shared" si="163"/>
        <v/>
      </c>
      <c r="AA246" s="32" t="str">
        <f t="shared" si="164"/>
        <v/>
      </c>
      <c r="AB246" s="32" t="str">
        <f t="shared" si="165"/>
        <v/>
      </c>
      <c r="AC246" s="32" t="str">
        <f t="shared" si="166"/>
        <v/>
      </c>
      <c r="AD246" s="32" t="str">
        <f t="shared" si="167"/>
        <v/>
      </c>
      <c r="AE246" s="34" t="str">
        <f t="shared" si="168"/>
        <v/>
      </c>
      <c r="AF246" s="32" t="str">
        <f t="shared" si="169"/>
        <v/>
      </c>
      <c r="AG246" s="32" t="str">
        <f t="shared" si="170"/>
        <v/>
      </c>
      <c r="AH246" s="32" t="str">
        <f t="shared" si="171"/>
        <v/>
      </c>
      <c r="AI246" s="35" t="str">
        <f t="shared" si="172"/>
        <v/>
      </c>
      <c r="AJ246" s="23" t="str">
        <f t="array" ref="AJ246">IFERROR(SMALL(IF(U$1:U$1000="BEGIN",ROW(U$1:U$1000)),ROW()-3),"")</f>
        <v/>
      </c>
      <c r="AK246" s="23" t="str">
        <f t="array" ref="AK246">IFERROR(SMALL(IF(V$1:V$1000="END",ROW(V$1:V$1000)),ROW()-3),"")</f>
        <v/>
      </c>
      <c r="AL246" s="24" t="str">
        <f t="array" ref="AL246">IF(AK246="","",MATCH(AM246,L:L,0))</f>
        <v/>
      </c>
      <c r="AM246" s="35">
        <f t="array" ref="AM246">MAX(IF((B$4:B$1000&lt;=AK246)*(B$4:B$1000&gt;=AJ246),L$4:L$1000, ""))</f>
        <v>0</v>
      </c>
      <c r="AN246" s="32" t="str">
        <f t="shared" si="179"/>
        <v/>
      </c>
      <c r="AO246" s="32" t="str">
        <f t="shared" si="180"/>
        <v/>
      </c>
      <c r="AP246" s="32" t="str">
        <f t="shared" si="181"/>
        <v/>
      </c>
      <c r="AQ246" s="32" t="str">
        <f t="shared" si="182"/>
        <v/>
      </c>
      <c r="AR246" s="32" t="str">
        <f t="shared" si="183"/>
        <v/>
      </c>
      <c r="AS246" s="32" t="str">
        <f t="shared" si="184"/>
        <v/>
      </c>
      <c r="AT246" s="32" t="str">
        <f t="shared" si="185"/>
        <v/>
      </c>
      <c r="AU246" s="34" t="str">
        <f t="shared" si="186"/>
        <v/>
      </c>
      <c r="AV246" s="32" t="str">
        <f t="shared" si="187"/>
        <v/>
      </c>
      <c r="AW246" s="32" t="str">
        <f t="shared" si="188"/>
        <v/>
      </c>
      <c r="AX246" s="32" t="str">
        <f t="shared" si="189"/>
        <v/>
      </c>
      <c r="AY246" s="32" t="str">
        <f t="shared" si="190"/>
        <v/>
      </c>
    </row>
    <row r="247" spans="1:51" x14ac:dyDescent="0.25">
      <c r="A247" s="24" t="str">
        <f t="shared" si="148"/>
        <v/>
      </c>
      <c r="B247" s="24" t="str">
        <f t="shared" si="158"/>
        <v/>
      </c>
      <c r="C247" s="32" t="str">
        <f t="shared" si="149"/>
        <v/>
      </c>
      <c r="D247" s="24" t="str">
        <f t="shared" si="150"/>
        <v/>
      </c>
      <c r="E247" s="24" t="str">
        <f t="shared" si="151"/>
        <v/>
      </c>
      <c r="F247" s="32" t="str">
        <f t="shared" si="152"/>
        <v/>
      </c>
      <c r="G247" s="32" t="str">
        <f t="shared" si="153"/>
        <v/>
      </c>
      <c r="H247" s="32" t="str">
        <f t="shared" ca="1" si="154"/>
        <v/>
      </c>
      <c r="I247" s="32" t="str">
        <f t="shared" ca="1" si="159"/>
        <v/>
      </c>
      <c r="J247" s="32" t="str">
        <f t="shared" si="155"/>
        <v/>
      </c>
      <c r="K247" s="32" t="str">
        <f>IF(ISNUMBER(A247),Profile!$V$25+Profile!$V$24*'Ri-Po'!C247,"")</f>
        <v/>
      </c>
      <c r="L247" s="32" t="str">
        <f t="shared" si="160"/>
        <v/>
      </c>
      <c r="M247" s="32" t="str">
        <f t="shared" si="156"/>
        <v/>
      </c>
      <c r="N247" s="32" t="str">
        <f t="shared" si="157"/>
        <v/>
      </c>
      <c r="O247" s="32" t="str">
        <f t="shared" si="173"/>
        <v/>
      </c>
      <c r="P247" s="32" t="str">
        <f t="shared" si="161"/>
        <v/>
      </c>
      <c r="Q247" s="32" t="str">
        <f t="shared" si="162"/>
        <v/>
      </c>
      <c r="R247" s="32" t="str">
        <f t="shared" si="174"/>
        <v/>
      </c>
      <c r="S247" s="24" t="str">
        <f t="shared" si="175"/>
        <v/>
      </c>
      <c r="T247" s="24" t="str">
        <f t="shared" si="176"/>
        <v/>
      </c>
      <c r="U247" s="24" t="str">
        <f t="shared" si="177"/>
        <v/>
      </c>
      <c r="V247" s="24" t="str">
        <f t="shared" si="178"/>
        <v/>
      </c>
      <c r="W247" s="23" t="str">
        <f t="array" ref="W247">IFERROR(SMALL(IF(S$1:S$1000="BEGIN",ROW(S$1:S$1000)),ROW()-3),"")</f>
        <v/>
      </c>
      <c r="X247" s="23" t="str">
        <f t="array" ref="X247">IFERROR(SMALL(IF(T$1:T$1000="END",ROW(T$1:T$1000)),ROW()-3),"")</f>
        <v/>
      </c>
      <c r="Y247" s="33" t="str">
        <f t="array" ref="Y247">IF(ISNUMBER(W247),MAX(IF((B$4:B$1000&lt;=X247)*(B$4:B$1000&gt;=W247),I$4:I$1000, "")),"")</f>
        <v/>
      </c>
      <c r="Z247" s="33" t="str">
        <f t="shared" si="163"/>
        <v/>
      </c>
      <c r="AA247" s="32" t="str">
        <f t="shared" si="164"/>
        <v/>
      </c>
      <c r="AB247" s="32" t="str">
        <f t="shared" si="165"/>
        <v/>
      </c>
      <c r="AC247" s="32" t="str">
        <f t="shared" si="166"/>
        <v/>
      </c>
      <c r="AD247" s="32" t="str">
        <f t="shared" si="167"/>
        <v/>
      </c>
      <c r="AE247" s="34" t="str">
        <f t="shared" si="168"/>
        <v/>
      </c>
      <c r="AF247" s="32" t="str">
        <f t="shared" si="169"/>
        <v/>
      </c>
      <c r="AG247" s="32" t="str">
        <f t="shared" si="170"/>
        <v/>
      </c>
      <c r="AH247" s="32" t="str">
        <f t="shared" si="171"/>
        <v/>
      </c>
      <c r="AI247" s="35" t="str">
        <f t="shared" si="172"/>
        <v/>
      </c>
      <c r="AJ247" s="23" t="str">
        <f t="array" ref="AJ247">IFERROR(SMALL(IF(U$1:U$1000="BEGIN",ROW(U$1:U$1000)),ROW()-3),"")</f>
        <v/>
      </c>
      <c r="AK247" s="23" t="str">
        <f t="array" ref="AK247">IFERROR(SMALL(IF(V$1:V$1000="END",ROW(V$1:V$1000)),ROW()-3),"")</f>
        <v/>
      </c>
      <c r="AL247" s="24" t="str">
        <f t="array" ref="AL247">IF(AK247="","",MATCH(AM247,L:L,0))</f>
        <v/>
      </c>
      <c r="AM247" s="35">
        <f t="array" ref="AM247">MAX(IF((B$4:B$1000&lt;=AK247)*(B$4:B$1000&gt;=AJ247),L$4:L$1000, ""))</f>
        <v>0</v>
      </c>
      <c r="AN247" s="32" t="str">
        <f t="shared" si="179"/>
        <v/>
      </c>
      <c r="AO247" s="32" t="str">
        <f t="shared" si="180"/>
        <v/>
      </c>
      <c r="AP247" s="32" t="str">
        <f t="shared" si="181"/>
        <v/>
      </c>
      <c r="AQ247" s="32" t="str">
        <f t="shared" si="182"/>
        <v/>
      </c>
      <c r="AR247" s="32" t="str">
        <f t="shared" si="183"/>
        <v/>
      </c>
      <c r="AS247" s="32" t="str">
        <f t="shared" si="184"/>
        <v/>
      </c>
      <c r="AT247" s="32" t="str">
        <f t="shared" si="185"/>
        <v/>
      </c>
      <c r="AU247" s="34" t="str">
        <f t="shared" si="186"/>
        <v/>
      </c>
      <c r="AV247" s="32" t="str">
        <f t="shared" si="187"/>
        <v/>
      </c>
      <c r="AW247" s="32" t="str">
        <f t="shared" si="188"/>
        <v/>
      </c>
      <c r="AX247" s="32" t="str">
        <f t="shared" si="189"/>
        <v/>
      </c>
      <c r="AY247" s="32" t="str">
        <f t="shared" si="190"/>
        <v/>
      </c>
    </row>
    <row r="248" spans="1:51" x14ac:dyDescent="0.25">
      <c r="A248" s="24" t="str">
        <f t="shared" si="148"/>
        <v/>
      </c>
      <c r="B248" s="24" t="str">
        <f t="shared" si="158"/>
        <v/>
      </c>
      <c r="C248" s="32" t="str">
        <f t="shared" si="149"/>
        <v/>
      </c>
      <c r="D248" s="24" t="str">
        <f t="shared" si="150"/>
        <v/>
      </c>
      <c r="E248" s="24" t="str">
        <f t="shared" si="151"/>
        <v/>
      </c>
      <c r="F248" s="32" t="str">
        <f t="shared" si="152"/>
        <v/>
      </c>
      <c r="G248" s="32" t="str">
        <f t="shared" si="153"/>
        <v/>
      </c>
      <c r="H248" s="32" t="str">
        <f t="shared" ca="1" si="154"/>
        <v/>
      </c>
      <c r="I248" s="32" t="str">
        <f t="shared" ca="1" si="159"/>
        <v/>
      </c>
      <c r="J248" s="32" t="str">
        <f t="shared" si="155"/>
        <v/>
      </c>
      <c r="K248" s="32" t="str">
        <f>IF(ISNUMBER(A248),Profile!$V$25+Profile!$V$24*'Ri-Po'!C248,"")</f>
        <v/>
      </c>
      <c r="L248" s="32" t="str">
        <f t="shared" si="160"/>
        <v/>
      </c>
      <c r="M248" s="32" t="str">
        <f t="shared" si="156"/>
        <v/>
      </c>
      <c r="N248" s="32" t="str">
        <f t="shared" si="157"/>
        <v/>
      </c>
      <c r="O248" s="32" t="str">
        <f t="shared" si="173"/>
        <v/>
      </c>
      <c r="P248" s="32" t="str">
        <f t="shared" si="161"/>
        <v/>
      </c>
      <c r="Q248" s="32" t="str">
        <f t="shared" si="162"/>
        <v/>
      </c>
      <c r="R248" s="32" t="str">
        <f t="shared" si="174"/>
        <v/>
      </c>
      <c r="S248" s="24" t="str">
        <f t="shared" si="175"/>
        <v/>
      </c>
      <c r="T248" s="24" t="str">
        <f t="shared" si="176"/>
        <v/>
      </c>
      <c r="U248" s="24" t="str">
        <f t="shared" si="177"/>
        <v/>
      </c>
      <c r="V248" s="24" t="str">
        <f t="shared" si="178"/>
        <v/>
      </c>
      <c r="W248" s="23" t="str">
        <f t="array" ref="W248">IFERROR(SMALL(IF(S$1:S$1000="BEGIN",ROW(S$1:S$1000)),ROW()-3),"")</f>
        <v/>
      </c>
      <c r="X248" s="23" t="str">
        <f t="array" ref="X248">IFERROR(SMALL(IF(T$1:T$1000="END",ROW(T$1:T$1000)),ROW()-3),"")</f>
        <v/>
      </c>
      <c r="Y248" s="33" t="str">
        <f t="array" ref="Y248">IF(ISNUMBER(W248),MAX(IF((B$4:B$1000&lt;=X248)*(B$4:B$1000&gt;=W248),I$4:I$1000, "")),"")</f>
        <v/>
      </c>
      <c r="Z248" s="33" t="str">
        <f t="shared" si="163"/>
        <v/>
      </c>
      <c r="AA248" s="32" t="str">
        <f t="shared" si="164"/>
        <v/>
      </c>
      <c r="AB248" s="32" t="str">
        <f t="shared" si="165"/>
        <v/>
      </c>
      <c r="AC248" s="32" t="str">
        <f t="shared" si="166"/>
        <v/>
      </c>
      <c r="AD248" s="32" t="str">
        <f t="shared" si="167"/>
        <v/>
      </c>
      <c r="AE248" s="34" t="str">
        <f t="shared" si="168"/>
        <v/>
      </c>
      <c r="AF248" s="32" t="str">
        <f t="shared" si="169"/>
        <v/>
      </c>
      <c r="AG248" s="32" t="str">
        <f t="shared" si="170"/>
        <v/>
      </c>
      <c r="AH248" s="32" t="str">
        <f t="shared" si="171"/>
        <v/>
      </c>
      <c r="AI248" s="35" t="str">
        <f t="shared" si="172"/>
        <v/>
      </c>
      <c r="AJ248" s="23" t="str">
        <f t="array" ref="AJ248">IFERROR(SMALL(IF(U$1:U$1000="BEGIN",ROW(U$1:U$1000)),ROW()-3),"")</f>
        <v/>
      </c>
      <c r="AK248" s="23" t="str">
        <f t="array" ref="AK248">IFERROR(SMALL(IF(V$1:V$1000="END",ROW(V$1:V$1000)),ROW()-3),"")</f>
        <v/>
      </c>
      <c r="AL248" s="24" t="str">
        <f t="array" ref="AL248">IF(AK248="","",MATCH(AM248,L:L,0))</f>
        <v/>
      </c>
      <c r="AM248" s="35">
        <f t="array" ref="AM248">MAX(IF((B$4:B$1000&lt;=AK248)*(B$4:B$1000&gt;=AJ248),L$4:L$1000, ""))</f>
        <v>0</v>
      </c>
      <c r="AN248" s="32" t="str">
        <f t="shared" si="179"/>
        <v/>
      </c>
      <c r="AO248" s="32" t="str">
        <f t="shared" si="180"/>
        <v/>
      </c>
      <c r="AP248" s="32" t="str">
        <f t="shared" si="181"/>
        <v/>
      </c>
      <c r="AQ248" s="32" t="str">
        <f t="shared" si="182"/>
        <v/>
      </c>
      <c r="AR248" s="32" t="str">
        <f t="shared" si="183"/>
        <v/>
      </c>
      <c r="AS248" s="32" t="str">
        <f t="shared" si="184"/>
        <v/>
      </c>
      <c r="AT248" s="32" t="str">
        <f t="shared" si="185"/>
        <v/>
      </c>
      <c r="AU248" s="34" t="str">
        <f t="shared" si="186"/>
        <v/>
      </c>
      <c r="AV248" s="32" t="str">
        <f t="shared" si="187"/>
        <v/>
      </c>
      <c r="AW248" s="32" t="str">
        <f t="shared" si="188"/>
        <v/>
      </c>
      <c r="AX248" s="32" t="str">
        <f t="shared" si="189"/>
        <v/>
      </c>
      <c r="AY248" s="32" t="str">
        <f t="shared" si="190"/>
        <v/>
      </c>
    </row>
    <row r="249" spans="1:51" x14ac:dyDescent="0.25">
      <c r="A249" s="24" t="str">
        <f t="shared" si="148"/>
        <v/>
      </c>
      <c r="B249" s="24" t="str">
        <f t="shared" si="158"/>
        <v/>
      </c>
      <c r="C249" s="32" t="str">
        <f t="shared" si="149"/>
        <v/>
      </c>
      <c r="D249" s="24" t="str">
        <f t="shared" si="150"/>
        <v/>
      </c>
      <c r="E249" s="24" t="str">
        <f t="shared" si="151"/>
        <v/>
      </c>
      <c r="F249" s="32" t="str">
        <f t="shared" si="152"/>
        <v/>
      </c>
      <c r="G249" s="32" t="str">
        <f t="shared" si="153"/>
        <v/>
      </c>
      <c r="H249" s="32" t="str">
        <f t="shared" ca="1" si="154"/>
        <v/>
      </c>
      <c r="I249" s="32" t="str">
        <f t="shared" ca="1" si="159"/>
        <v/>
      </c>
      <c r="J249" s="32" t="str">
        <f t="shared" si="155"/>
        <v/>
      </c>
      <c r="K249" s="32" t="str">
        <f>IF(ISNUMBER(A249),Profile!$V$25+Profile!$V$24*'Ri-Po'!C249,"")</f>
        <v/>
      </c>
      <c r="L249" s="32" t="str">
        <f t="shared" si="160"/>
        <v/>
      </c>
      <c r="M249" s="32" t="str">
        <f t="shared" si="156"/>
        <v/>
      </c>
      <c r="N249" s="32" t="str">
        <f t="shared" si="157"/>
        <v/>
      </c>
      <c r="O249" s="32" t="str">
        <f t="shared" si="173"/>
        <v/>
      </c>
      <c r="P249" s="32" t="str">
        <f t="shared" si="161"/>
        <v/>
      </c>
      <c r="Q249" s="32" t="str">
        <f t="shared" si="162"/>
        <v/>
      </c>
      <c r="R249" s="32" t="str">
        <f t="shared" si="174"/>
        <v/>
      </c>
      <c r="S249" s="24" t="str">
        <f t="shared" si="175"/>
        <v/>
      </c>
      <c r="T249" s="24" t="str">
        <f t="shared" si="176"/>
        <v/>
      </c>
      <c r="U249" s="24" t="str">
        <f t="shared" si="177"/>
        <v/>
      </c>
      <c r="V249" s="24" t="str">
        <f t="shared" si="178"/>
        <v/>
      </c>
      <c r="W249" s="23" t="str">
        <f t="array" ref="W249">IFERROR(SMALL(IF(S$1:S$1000="BEGIN",ROW(S$1:S$1000)),ROW()-3),"")</f>
        <v/>
      </c>
      <c r="X249" s="23" t="str">
        <f t="array" ref="X249">IFERROR(SMALL(IF(T$1:T$1000="END",ROW(T$1:T$1000)),ROW()-3),"")</f>
        <v/>
      </c>
      <c r="Y249" s="33" t="str">
        <f t="array" ref="Y249">IF(ISNUMBER(W249),MAX(IF((B$4:B$1000&lt;=X249)*(B$4:B$1000&gt;=W249),I$4:I$1000, "")),"")</f>
        <v/>
      </c>
      <c r="Z249" s="33" t="str">
        <f t="shared" si="163"/>
        <v/>
      </c>
      <c r="AA249" s="32" t="str">
        <f t="shared" si="164"/>
        <v/>
      </c>
      <c r="AB249" s="32" t="str">
        <f t="shared" si="165"/>
        <v/>
      </c>
      <c r="AC249" s="32" t="str">
        <f t="shared" si="166"/>
        <v/>
      </c>
      <c r="AD249" s="32" t="str">
        <f t="shared" si="167"/>
        <v/>
      </c>
      <c r="AE249" s="34" t="str">
        <f t="shared" si="168"/>
        <v/>
      </c>
      <c r="AF249" s="32" t="str">
        <f t="shared" si="169"/>
        <v/>
      </c>
      <c r="AG249" s="32" t="str">
        <f t="shared" si="170"/>
        <v/>
      </c>
      <c r="AH249" s="32" t="str">
        <f t="shared" si="171"/>
        <v/>
      </c>
      <c r="AI249" s="35" t="str">
        <f t="shared" si="172"/>
        <v/>
      </c>
      <c r="AJ249" s="23" t="str">
        <f t="array" ref="AJ249">IFERROR(SMALL(IF(U$1:U$1000="BEGIN",ROW(U$1:U$1000)),ROW()-3),"")</f>
        <v/>
      </c>
      <c r="AK249" s="23" t="str">
        <f t="array" ref="AK249">IFERROR(SMALL(IF(V$1:V$1000="END",ROW(V$1:V$1000)),ROW()-3),"")</f>
        <v/>
      </c>
      <c r="AL249" s="24" t="str">
        <f t="array" ref="AL249">IF(AK249="","",MATCH(AM249,L:L,0))</f>
        <v/>
      </c>
      <c r="AM249" s="35">
        <f t="array" ref="AM249">MAX(IF((B$4:B$1000&lt;=AK249)*(B$4:B$1000&gt;=AJ249),L$4:L$1000, ""))</f>
        <v>0</v>
      </c>
      <c r="AN249" s="32" t="str">
        <f t="shared" si="179"/>
        <v/>
      </c>
      <c r="AO249" s="32" t="str">
        <f t="shared" si="180"/>
        <v/>
      </c>
      <c r="AP249" s="32" t="str">
        <f t="shared" si="181"/>
        <v/>
      </c>
      <c r="AQ249" s="32" t="str">
        <f t="shared" si="182"/>
        <v/>
      </c>
      <c r="AR249" s="32" t="str">
        <f t="shared" si="183"/>
        <v/>
      </c>
      <c r="AS249" s="32" t="str">
        <f t="shared" si="184"/>
        <v/>
      </c>
      <c r="AT249" s="32" t="str">
        <f t="shared" si="185"/>
        <v/>
      </c>
      <c r="AU249" s="34" t="str">
        <f t="shared" si="186"/>
        <v/>
      </c>
      <c r="AV249" s="32" t="str">
        <f t="shared" si="187"/>
        <v/>
      </c>
      <c r="AW249" s="32" t="str">
        <f t="shared" si="188"/>
        <v/>
      </c>
      <c r="AX249" s="32" t="str">
        <f t="shared" si="189"/>
        <v/>
      </c>
      <c r="AY249" s="32" t="str">
        <f t="shared" si="190"/>
        <v/>
      </c>
    </row>
    <row r="250" spans="1:51" x14ac:dyDescent="0.25">
      <c r="A250" s="24" t="str">
        <f t="shared" si="148"/>
        <v/>
      </c>
      <c r="B250" s="24" t="str">
        <f t="shared" si="158"/>
        <v/>
      </c>
      <c r="C250" s="32" t="str">
        <f t="shared" si="149"/>
        <v/>
      </c>
      <c r="D250" s="24" t="str">
        <f t="shared" si="150"/>
        <v/>
      </c>
      <c r="E250" s="24" t="str">
        <f t="shared" si="151"/>
        <v/>
      </c>
      <c r="F250" s="32" t="str">
        <f t="shared" si="152"/>
        <v/>
      </c>
      <c r="G250" s="32" t="str">
        <f t="shared" si="153"/>
        <v/>
      </c>
      <c r="H250" s="32" t="str">
        <f t="shared" ca="1" si="154"/>
        <v/>
      </c>
      <c r="I250" s="32" t="str">
        <f t="shared" ca="1" si="159"/>
        <v/>
      </c>
      <c r="J250" s="32" t="str">
        <f t="shared" si="155"/>
        <v/>
      </c>
      <c r="K250" s="32" t="str">
        <f>IF(ISNUMBER(A250),Profile!$V$25+Profile!$V$24*'Ri-Po'!C250,"")</f>
        <v/>
      </c>
      <c r="L250" s="32" t="str">
        <f t="shared" si="160"/>
        <v/>
      </c>
      <c r="M250" s="32" t="str">
        <f t="shared" si="156"/>
        <v/>
      </c>
      <c r="N250" s="32" t="str">
        <f t="shared" si="157"/>
        <v/>
      </c>
      <c r="O250" s="32" t="str">
        <f t="shared" si="173"/>
        <v/>
      </c>
      <c r="P250" s="32" t="str">
        <f t="shared" si="161"/>
        <v/>
      </c>
      <c r="Q250" s="32" t="str">
        <f t="shared" si="162"/>
        <v/>
      </c>
      <c r="R250" s="32" t="str">
        <f t="shared" si="174"/>
        <v/>
      </c>
      <c r="S250" s="24" t="str">
        <f t="shared" si="175"/>
        <v/>
      </c>
      <c r="T250" s="24" t="str">
        <f t="shared" si="176"/>
        <v/>
      </c>
      <c r="U250" s="24" t="str">
        <f t="shared" si="177"/>
        <v/>
      </c>
      <c r="V250" s="24" t="str">
        <f t="shared" si="178"/>
        <v/>
      </c>
      <c r="W250" s="23" t="str">
        <f t="array" ref="W250">IFERROR(SMALL(IF(S$1:S$1000="BEGIN",ROW(S$1:S$1000)),ROW()-3),"")</f>
        <v/>
      </c>
      <c r="X250" s="23" t="str">
        <f t="array" ref="X250">IFERROR(SMALL(IF(T$1:T$1000="END",ROW(T$1:T$1000)),ROW()-3),"")</f>
        <v/>
      </c>
      <c r="Y250" s="33" t="str">
        <f t="array" ref="Y250">IF(ISNUMBER(W250),MAX(IF((B$4:B$1000&lt;=X250)*(B$4:B$1000&gt;=W250),I$4:I$1000, "")),"")</f>
        <v/>
      </c>
      <c r="Z250" s="33" t="str">
        <f t="shared" si="163"/>
        <v/>
      </c>
      <c r="AA250" s="32" t="str">
        <f t="shared" si="164"/>
        <v/>
      </c>
      <c r="AB250" s="32" t="str">
        <f t="shared" si="165"/>
        <v/>
      </c>
      <c r="AC250" s="32" t="str">
        <f t="shared" si="166"/>
        <v/>
      </c>
      <c r="AD250" s="32" t="str">
        <f t="shared" si="167"/>
        <v/>
      </c>
      <c r="AE250" s="34" t="str">
        <f t="shared" si="168"/>
        <v/>
      </c>
      <c r="AF250" s="32" t="str">
        <f t="shared" si="169"/>
        <v/>
      </c>
      <c r="AG250" s="32" t="str">
        <f t="shared" si="170"/>
        <v/>
      </c>
      <c r="AH250" s="32" t="str">
        <f t="shared" si="171"/>
        <v/>
      </c>
      <c r="AI250" s="35" t="str">
        <f t="shared" si="172"/>
        <v/>
      </c>
      <c r="AJ250" s="23" t="str">
        <f t="array" ref="AJ250">IFERROR(SMALL(IF(U$1:U$1000="BEGIN",ROW(U$1:U$1000)),ROW()-3),"")</f>
        <v/>
      </c>
      <c r="AK250" s="23" t="str">
        <f t="array" ref="AK250">IFERROR(SMALL(IF(V$1:V$1000="END",ROW(V$1:V$1000)),ROW()-3),"")</f>
        <v/>
      </c>
      <c r="AL250" s="24" t="str">
        <f t="array" ref="AL250">IF(AK250="","",MATCH(AM250,L:L,0))</f>
        <v/>
      </c>
      <c r="AM250" s="35">
        <f t="array" ref="AM250">MAX(IF((B$4:B$1000&lt;=AK250)*(B$4:B$1000&gt;=AJ250),L$4:L$1000, ""))</f>
        <v>0</v>
      </c>
      <c r="AN250" s="32" t="str">
        <f t="shared" si="179"/>
        <v/>
      </c>
      <c r="AO250" s="32" t="str">
        <f t="shared" si="180"/>
        <v/>
      </c>
      <c r="AP250" s="32" t="str">
        <f t="shared" si="181"/>
        <v/>
      </c>
      <c r="AQ250" s="32" t="str">
        <f t="shared" si="182"/>
        <v/>
      </c>
      <c r="AR250" s="32" t="str">
        <f t="shared" si="183"/>
        <v/>
      </c>
      <c r="AS250" s="32" t="str">
        <f t="shared" si="184"/>
        <v/>
      </c>
      <c r="AT250" s="32" t="str">
        <f t="shared" si="185"/>
        <v/>
      </c>
      <c r="AU250" s="34" t="str">
        <f t="shared" si="186"/>
        <v/>
      </c>
      <c r="AV250" s="32" t="str">
        <f t="shared" si="187"/>
        <v/>
      </c>
      <c r="AW250" s="32" t="str">
        <f t="shared" si="188"/>
        <v/>
      </c>
      <c r="AX250" s="32" t="str">
        <f t="shared" si="189"/>
        <v/>
      </c>
      <c r="AY250" s="32" t="str">
        <f t="shared" si="190"/>
        <v/>
      </c>
    </row>
    <row r="251" spans="1:51" x14ac:dyDescent="0.25">
      <c r="A251" s="24" t="str">
        <f t="shared" si="148"/>
        <v/>
      </c>
      <c r="B251" s="24" t="str">
        <f t="shared" si="158"/>
        <v/>
      </c>
      <c r="C251" s="32" t="str">
        <f t="shared" si="149"/>
        <v/>
      </c>
      <c r="D251" s="24" t="str">
        <f t="shared" si="150"/>
        <v/>
      </c>
      <c r="E251" s="24" t="str">
        <f t="shared" si="151"/>
        <v/>
      </c>
      <c r="F251" s="32" t="str">
        <f t="shared" si="152"/>
        <v/>
      </c>
      <c r="G251" s="32" t="str">
        <f t="shared" si="153"/>
        <v/>
      </c>
      <c r="H251" s="32" t="str">
        <f t="shared" ca="1" si="154"/>
        <v/>
      </c>
      <c r="I251" s="32" t="str">
        <f t="shared" ca="1" si="159"/>
        <v/>
      </c>
      <c r="J251" s="32" t="str">
        <f t="shared" si="155"/>
        <v/>
      </c>
      <c r="K251" s="32" t="str">
        <f>IF(ISNUMBER(A251),Profile!$V$25+Profile!$V$24*'Ri-Po'!C251,"")</f>
        <v/>
      </c>
      <c r="L251" s="32" t="str">
        <f t="shared" si="160"/>
        <v/>
      </c>
      <c r="M251" s="32" t="str">
        <f t="shared" si="156"/>
        <v/>
      </c>
      <c r="N251" s="32" t="str">
        <f t="shared" si="157"/>
        <v/>
      </c>
      <c r="O251" s="32" t="str">
        <f t="shared" si="173"/>
        <v/>
      </c>
      <c r="P251" s="32" t="str">
        <f t="shared" si="161"/>
        <v/>
      </c>
      <c r="Q251" s="32" t="str">
        <f t="shared" si="162"/>
        <v/>
      </c>
      <c r="R251" s="32" t="str">
        <f t="shared" si="174"/>
        <v/>
      </c>
      <c r="S251" s="24" t="str">
        <f t="shared" si="175"/>
        <v/>
      </c>
      <c r="T251" s="24" t="str">
        <f t="shared" si="176"/>
        <v/>
      </c>
      <c r="U251" s="24" t="str">
        <f t="shared" si="177"/>
        <v/>
      </c>
      <c r="V251" s="24" t="str">
        <f t="shared" si="178"/>
        <v/>
      </c>
      <c r="W251" s="23" t="str">
        <f t="array" ref="W251">IFERROR(SMALL(IF(S$1:S$1000="BEGIN",ROW(S$1:S$1000)),ROW()-3),"")</f>
        <v/>
      </c>
      <c r="X251" s="23" t="str">
        <f t="array" ref="X251">IFERROR(SMALL(IF(T$1:T$1000="END",ROW(T$1:T$1000)),ROW()-3),"")</f>
        <v/>
      </c>
      <c r="Y251" s="33" t="str">
        <f t="array" ref="Y251">IF(ISNUMBER(W251),MAX(IF((B$4:B$1000&lt;=X251)*(B$4:B$1000&gt;=W251),I$4:I$1000, "")),"")</f>
        <v/>
      </c>
      <c r="Z251" s="33" t="str">
        <f t="shared" si="163"/>
        <v/>
      </c>
      <c r="AA251" s="32" t="str">
        <f t="shared" si="164"/>
        <v/>
      </c>
      <c r="AB251" s="32" t="str">
        <f t="shared" si="165"/>
        <v/>
      </c>
      <c r="AC251" s="32" t="str">
        <f t="shared" si="166"/>
        <v/>
      </c>
      <c r="AD251" s="32" t="str">
        <f t="shared" si="167"/>
        <v/>
      </c>
      <c r="AE251" s="34" t="str">
        <f t="shared" si="168"/>
        <v/>
      </c>
      <c r="AF251" s="32" t="str">
        <f t="shared" si="169"/>
        <v/>
      </c>
      <c r="AG251" s="32" t="str">
        <f t="shared" si="170"/>
        <v/>
      </c>
      <c r="AH251" s="32" t="str">
        <f t="shared" si="171"/>
        <v/>
      </c>
      <c r="AI251" s="35" t="str">
        <f t="shared" si="172"/>
        <v/>
      </c>
      <c r="AJ251" s="23" t="str">
        <f t="array" ref="AJ251">IFERROR(SMALL(IF(U$1:U$1000="BEGIN",ROW(U$1:U$1000)),ROW()-3),"")</f>
        <v/>
      </c>
      <c r="AK251" s="23" t="str">
        <f t="array" ref="AK251">IFERROR(SMALL(IF(V$1:V$1000="END",ROW(V$1:V$1000)),ROW()-3),"")</f>
        <v/>
      </c>
      <c r="AL251" s="24" t="str">
        <f t="array" ref="AL251">IF(AK251="","",MATCH(AM251,L:L,0))</f>
        <v/>
      </c>
      <c r="AM251" s="35">
        <f t="array" ref="AM251">MAX(IF((B$4:B$1000&lt;=AK251)*(B$4:B$1000&gt;=AJ251),L$4:L$1000, ""))</f>
        <v>0</v>
      </c>
      <c r="AN251" s="32" t="str">
        <f t="shared" si="179"/>
        <v/>
      </c>
      <c r="AO251" s="32" t="str">
        <f t="shared" si="180"/>
        <v/>
      </c>
      <c r="AP251" s="32" t="str">
        <f t="shared" si="181"/>
        <v/>
      </c>
      <c r="AQ251" s="32" t="str">
        <f t="shared" si="182"/>
        <v/>
      </c>
      <c r="AR251" s="32" t="str">
        <f t="shared" si="183"/>
        <v/>
      </c>
      <c r="AS251" s="32" t="str">
        <f t="shared" si="184"/>
        <v/>
      </c>
      <c r="AT251" s="32" t="str">
        <f t="shared" si="185"/>
        <v/>
      </c>
      <c r="AU251" s="34" t="str">
        <f t="shared" si="186"/>
        <v/>
      </c>
      <c r="AV251" s="32" t="str">
        <f t="shared" si="187"/>
        <v/>
      </c>
      <c r="AW251" s="32" t="str">
        <f t="shared" si="188"/>
        <v/>
      </c>
      <c r="AX251" s="32" t="str">
        <f t="shared" si="189"/>
        <v/>
      </c>
      <c r="AY251" s="32" t="str">
        <f t="shared" si="190"/>
        <v/>
      </c>
    </row>
    <row r="252" spans="1:51" x14ac:dyDescent="0.25">
      <c r="A252" s="24" t="str">
        <f t="shared" si="148"/>
        <v/>
      </c>
      <c r="B252" s="24" t="str">
        <f t="shared" si="158"/>
        <v/>
      </c>
      <c r="C252" s="32" t="str">
        <f t="shared" si="149"/>
        <v/>
      </c>
      <c r="D252" s="24" t="str">
        <f t="shared" si="150"/>
        <v/>
      </c>
      <c r="E252" s="24" t="str">
        <f t="shared" si="151"/>
        <v/>
      </c>
      <c r="F252" s="32" t="str">
        <f t="shared" si="152"/>
        <v/>
      </c>
      <c r="G252" s="32" t="str">
        <f t="shared" si="153"/>
        <v/>
      </c>
      <c r="H252" s="32" t="str">
        <f t="shared" ca="1" si="154"/>
        <v/>
      </c>
      <c r="I252" s="32" t="str">
        <f t="shared" ca="1" si="159"/>
        <v/>
      </c>
      <c r="J252" s="32" t="str">
        <f t="shared" si="155"/>
        <v/>
      </c>
      <c r="K252" s="32" t="str">
        <f>IF(ISNUMBER(A252),Profile!$V$25+Profile!$V$24*'Ri-Po'!C252,"")</f>
        <v/>
      </c>
      <c r="L252" s="32" t="str">
        <f t="shared" si="160"/>
        <v/>
      </c>
      <c r="M252" s="32" t="str">
        <f t="shared" si="156"/>
        <v/>
      </c>
      <c r="N252" s="32" t="str">
        <f t="shared" si="157"/>
        <v/>
      </c>
      <c r="O252" s="32" t="str">
        <f t="shared" si="173"/>
        <v/>
      </c>
      <c r="P252" s="32" t="str">
        <f t="shared" si="161"/>
        <v/>
      </c>
      <c r="Q252" s="32" t="str">
        <f t="shared" si="162"/>
        <v/>
      </c>
      <c r="R252" s="32" t="str">
        <f t="shared" si="174"/>
        <v/>
      </c>
      <c r="S252" s="24" t="str">
        <f t="shared" si="175"/>
        <v/>
      </c>
      <c r="T252" s="24" t="str">
        <f t="shared" si="176"/>
        <v/>
      </c>
      <c r="U252" s="24" t="str">
        <f t="shared" si="177"/>
        <v/>
      </c>
      <c r="V252" s="24" t="str">
        <f t="shared" si="178"/>
        <v/>
      </c>
      <c r="W252" s="23" t="str">
        <f t="array" ref="W252">IFERROR(SMALL(IF(S$1:S$1000="BEGIN",ROW(S$1:S$1000)),ROW()-3),"")</f>
        <v/>
      </c>
      <c r="X252" s="23" t="str">
        <f t="array" ref="X252">IFERROR(SMALL(IF(T$1:T$1000="END",ROW(T$1:T$1000)),ROW()-3),"")</f>
        <v/>
      </c>
      <c r="Y252" s="33" t="str">
        <f t="array" ref="Y252">IF(ISNUMBER(W252),MAX(IF((B$4:B$1000&lt;=X252)*(B$4:B$1000&gt;=W252),I$4:I$1000, "")),"")</f>
        <v/>
      </c>
      <c r="Z252" s="33" t="str">
        <f t="shared" si="163"/>
        <v/>
      </c>
      <c r="AA252" s="32" t="str">
        <f t="shared" si="164"/>
        <v/>
      </c>
      <c r="AB252" s="32" t="str">
        <f t="shared" si="165"/>
        <v/>
      </c>
      <c r="AC252" s="32" t="str">
        <f t="shared" si="166"/>
        <v/>
      </c>
      <c r="AD252" s="32" t="str">
        <f t="shared" si="167"/>
        <v/>
      </c>
      <c r="AE252" s="34" t="str">
        <f t="shared" si="168"/>
        <v/>
      </c>
      <c r="AF252" s="32" t="str">
        <f t="shared" si="169"/>
        <v/>
      </c>
      <c r="AG252" s="32" t="str">
        <f t="shared" si="170"/>
        <v/>
      </c>
      <c r="AH252" s="32" t="str">
        <f t="shared" si="171"/>
        <v/>
      </c>
      <c r="AI252" s="35" t="str">
        <f t="shared" si="172"/>
        <v/>
      </c>
      <c r="AJ252" s="23" t="str">
        <f t="array" ref="AJ252">IFERROR(SMALL(IF(U$1:U$1000="BEGIN",ROW(U$1:U$1000)),ROW()-3),"")</f>
        <v/>
      </c>
      <c r="AK252" s="23" t="str">
        <f t="array" ref="AK252">IFERROR(SMALL(IF(V$1:V$1000="END",ROW(V$1:V$1000)),ROW()-3),"")</f>
        <v/>
      </c>
      <c r="AL252" s="24" t="str">
        <f t="array" ref="AL252">IF(AK252="","",MATCH(AM252,L:L,0))</f>
        <v/>
      </c>
      <c r="AM252" s="35">
        <f t="array" ref="AM252">MAX(IF((B$4:B$1000&lt;=AK252)*(B$4:B$1000&gt;=AJ252),L$4:L$1000, ""))</f>
        <v>0</v>
      </c>
      <c r="AN252" s="32" t="str">
        <f t="shared" si="179"/>
        <v/>
      </c>
      <c r="AO252" s="32" t="str">
        <f t="shared" si="180"/>
        <v/>
      </c>
      <c r="AP252" s="32" t="str">
        <f t="shared" si="181"/>
        <v/>
      </c>
      <c r="AQ252" s="32" t="str">
        <f t="shared" si="182"/>
        <v/>
      </c>
      <c r="AR252" s="32" t="str">
        <f t="shared" si="183"/>
        <v/>
      </c>
      <c r="AS252" s="32" t="str">
        <f t="shared" si="184"/>
        <v/>
      </c>
      <c r="AT252" s="32" t="str">
        <f t="shared" si="185"/>
        <v/>
      </c>
      <c r="AU252" s="34" t="str">
        <f t="shared" si="186"/>
        <v/>
      </c>
      <c r="AV252" s="32" t="str">
        <f t="shared" si="187"/>
        <v/>
      </c>
      <c r="AW252" s="32" t="str">
        <f t="shared" si="188"/>
        <v/>
      </c>
      <c r="AX252" s="32" t="str">
        <f t="shared" si="189"/>
        <v/>
      </c>
      <c r="AY252" s="32" t="str">
        <f t="shared" si="190"/>
        <v/>
      </c>
    </row>
    <row r="253" spans="1:51" x14ac:dyDescent="0.25">
      <c r="A253" s="24" t="str">
        <f t="shared" si="148"/>
        <v/>
      </c>
      <c r="B253" s="24" t="str">
        <f t="shared" si="158"/>
        <v/>
      </c>
      <c r="C253" s="32" t="str">
        <f t="shared" si="149"/>
        <v/>
      </c>
      <c r="D253" s="24" t="str">
        <f t="shared" si="150"/>
        <v/>
      </c>
      <c r="E253" s="24" t="str">
        <f t="shared" si="151"/>
        <v/>
      </c>
      <c r="F253" s="32" t="str">
        <f t="shared" si="152"/>
        <v/>
      </c>
      <c r="G253" s="32" t="str">
        <f t="shared" si="153"/>
        <v/>
      </c>
      <c r="H253" s="32" t="str">
        <f t="shared" ca="1" si="154"/>
        <v/>
      </c>
      <c r="I253" s="32" t="str">
        <f t="shared" ca="1" si="159"/>
        <v/>
      </c>
      <c r="J253" s="32" t="str">
        <f t="shared" si="155"/>
        <v/>
      </c>
      <c r="K253" s="32" t="str">
        <f>IF(ISNUMBER(A253),Profile!$V$25+Profile!$V$24*'Ri-Po'!C253,"")</f>
        <v/>
      </c>
      <c r="L253" s="32" t="str">
        <f t="shared" si="160"/>
        <v/>
      </c>
      <c r="M253" s="32" t="str">
        <f t="shared" si="156"/>
        <v/>
      </c>
      <c r="N253" s="32" t="str">
        <f t="shared" si="157"/>
        <v/>
      </c>
      <c r="O253" s="32" t="str">
        <f t="shared" si="173"/>
        <v/>
      </c>
      <c r="P253" s="32" t="str">
        <f t="shared" si="161"/>
        <v/>
      </c>
      <c r="Q253" s="32" t="str">
        <f t="shared" si="162"/>
        <v/>
      </c>
      <c r="R253" s="32" t="str">
        <f t="shared" si="174"/>
        <v/>
      </c>
      <c r="S253" s="24" t="str">
        <f t="shared" si="175"/>
        <v/>
      </c>
      <c r="T253" s="24" t="str">
        <f t="shared" si="176"/>
        <v/>
      </c>
      <c r="U253" s="24" t="str">
        <f t="shared" si="177"/>
        <v/>
      </c>
      <c r="V253" s="24" t="str">
        <f t="shared" si="178"/>
        <v/>
      </c>
      <c r="W253" s="23" t="str">
        <f t="array" ref="W253">IFERROR(SMALL(IF(S$1:S$1000="BEGIN",ROW(S$1:S$1000)),ROW()-3),"")</f>
        <v/>
      </c>
      <c r="X253" s="23" t="str">
        <f t="array" ref="X253">IFERROR(SMALL(IF(T$1:T$1000="END",ROW(T$1:T$1000)),ROW()-3),"")</f>
        <v/>
      </c>
      <c r="Y253" s="33" t="str">
        <f t="array" ref="Y253">IF(ISNUMBER(W253),MAX(IF((B$4:B$1000&lt;=X253)*(B$4:B$1000&gt;=W253),I$4:I$1000, "")),"")</f>
        <v/>
      </c>
      <c r="Z253" s="33" t="str">
        <f t="shared" si="163"/>
        <v/>
      </c>
      <c r="AA253" s="32" t="str">
        <f t="shared" si="164"/>
        <v/>
      </c>
      <c r="AB253" s="32" t="str">
        <f t="shared" si="165"/>
        <v/>
      </c>
      <c r="AC253" s="32" t="str">
        <f t="shared" si="166"/>
        <v/>
      </c>
      <c r="AD253" s="32" t="str">
        <f t="shared" si="167"/>
        <v/>
      </c>
      <c r="AE253" s="34" t="str">
        <f t="shared" si="168"/>
        <v/>
      </c>
      <c r="AF253" s="32" t="str">
        <f t="shared" si="169"/>
        <v/>
      </c>
      <c r="AG253" s="32" t="str">
        <f t="shared" si="170"/>
        <v/>
      </c>
      <c r="AH253" s="32" t="str">
        <f t="shared" si="171"/>
        <v/>
      </c>
      <c r="AI253" s="35" t="str">
        <f t="shared" si="172"/>
        <v/>
      </c>
      <c r="AJ253" s="23" t="str">
        <f t="array" ref="AJ253">IFERROR(SMALL(IF(U$1:U$1000="BEGIN",ROW(U$1:U$1000)),ROW()-3),"")</f>
        <v/>
      </c>
      <c r="AK253" s="23" t="str">
        <f t="array" ref="AK253">IFERROR(SMALL(IF(V$1:V$1000="END",ROW(V$1:V$1000)),ROW()-3),"")</f>
        <v/>
      </c>
      <c r="AL253" s="24" t="str">
        <f t="array" ref="AL253">IF(AK253="","",MATCH(AM253,L:L,0))</f>
        <v/>
      </c>
      <c r="AM253" s="35">
        <f t="array" ref="AM253">MAX(IF((B$4:B$1000&lt;=AK253)*(B$4:B$1000&gt;=AJ253),L$4:L$1000, ""))</f>
        <v>0</v>
      </c>
      <c r="AN253" s="32" t="str">
        <f t="shared" si="179"/>
        <v/>
      </c>
      <c r="AO253" s="32" t="str">
        <f t="shared" si="180"/>
        <v/>
      </c>
      <c r="AP253" s="32" t="str">
        <f t="shared" si="181"/>
        <v/>
      </c>
      <c r="AQ253" s="32" t="str">
        <f t="shared" si="182"/>
        <v/>
      </c>
      <c r="AR253" s="32" t="str">
        <f t="shared" si="183"/>
        <v/>
      </c>
      <c r="AS253" s="32" t="str">
        <f t="shared" si="184"/>
        <v/>
      </c>
      <c r="AT253" s="32" t="str">
        <f t="shared" si="185"/>
        <v/>
      </c>
      <c r="AU253" s="34" t="str">
        <f t="shared" si="186"/>
        <v/>
      </c>
      <c r="AV253" s="32" t="str">
        <f t="shared" si="187"/>
        <v/>
      </c>
      <c r="AW253" s="32" t="str">
        <f t="shared" si="188"/>
        <v/>
      </c>
      <c r="AX253" s="32" t="str">
        <f t="shared" si="189"/>
        <v/>
      </c>
      <c r="AY253" s="32" t="str">
        <f t="shared" si="190"/>
        <v/>
      </c>
    </row>
    <row r="254" spans="1:51" x14ac:dyDescent="0.25">
      <c r="A254" s="24" t="str">
        <f t="shared" si="148"/>
        <v/>
      </c>
      <c r="B254" s="24" t="str">
        <f t="shared" si="158"/>
        <v/>
      </c>
      <c r="C254" s="32" t="str">
        <f t="shared" si="149"/>
        <v/>
      </c>
      <c r="D254" s="24" t="str">
        <f t="shared" si="150"/>
        <v/>
      </c>
      <c r="E254" s="24" t="str">
        <f t="shared" si="151"/>
        <v/>
      </c>
      <c r="F254" s="32" t="str">
        <f t="shared" si="152"/>
        <v/>
      </c>
      <c r="G254" s="32" t="str">
        <f t="shared" si="153"/>
        <v/>
      </c>
      <c r="H254" s="32" t="str">
        <f t="shared" ca="1" si="154"/>
        <v/>
      </c>
      <c r="I254" s="32" t="str">
        <f t="shared" ca="1" si="159"/>
        <v/>
      </c>
      <c r="J254" s="32" t="str">
        <f t="shared" si="155"/>
        <v/>
      </c>
      <c r="K254" s="32" t="str">
        <f>IF(ISNUMBER(A254),Profile!$V$25+Profile!$V$24*'Ri-Po'!C254,"")</f>
        <v/>
      </c>
      <c r="L254" s="32" t="str">
        <f t="shared" si="160"/>
        <v/>
      </c>
      <c r="M254" s="32" t="str">
        <f t="shared" si="156"/>
        <v/>
      </c>
      <c r="N254" s="32" t="str">
        <f t="shared" si="157"/>
        <v/>
      </c>
      <c r="O254" s="32" t="str">
        <f t="shared" si="173"/>
        <v/>
      </c>
      <c r="P254" s="32" t="str">
        <f t="shared" si="161"/>
        <v/>
      </c>
      <c r="Q254" s="32" t="str">
        <f t="shared" si="162"/>
        <v/>
      </c>
      <c r="R254" s="32" t="str">
        <f t="shared" si="174"/>
        <v/>
      </c>
      <c r="S254" s="24" t="str">
        <f t="shared" si="175"/>
        <v/>
      </c>
      <c r="T254" s="24" t="str">
        <f t="shared" si="176"/>
        <v/>
      </c>
      <c r="U254" s="24" t="str">
        <f t="shared" si="177"/>
        <v/>
      </c>
      <c r="V254" s="24" t="str">
        <f t="shared" si="178"/>
        <v/>
      </c>
      <c r="W254" s="23" t="str">
        <f t="array" ref="W254">IFERROR(SMALL(IF(S$1:S$1000="BEGIN",ROW(S$1:S$1000)),ROW()-3),"")</f>
        <v/>
      </c>
      <c r="X254" s="23" t="str">
        <f t="array" ref="X254">IFERROR(SMALL(IF(T$1:T$1000="END",ROW(T$1:T$1000)),ROW()-3),"")</f>
        <v/>
      </c>
      <c r="Y254" s="33" t="str">
        <f t="array" ref="Y254">IF(ISNUMBER(W254),MAX(IF((B$4:B$1000&lt;=X254)*(B$4:B$1000&gt;=W254),I$4:I$1000, "")),"")</f>
        <v/>
      </c>
      <c r="Z254" s="33" t="str">
        <f t="shared" si="163"/>
        <v/>
      </c>
      <c r="AA254" s="32" t="str">
        <f t="shared" si="164"/>
        <v/>
      </c>
      <c r="AB254" s="32" t="str">
        <f t="shared" si="165"/>
        <v/>
      </c>
      <c r="AC254" s="32" t="str">
        <f t="shared" si="166"/>
        <v/>
      </c>
      <c r="AD254" s="32" t="str">
        <f t="shared" si="167"/>
        <v/>
      </c>
      <c r="AE254" s="34" t="str">
        <f t="shared" si="168"/>
        <v/>
      </c>
      <c r="AF254" s="32" t="str">
        <f t="shared" si="169"/>
        <v/>
      </c>
      <c r="AG254" s="32" t="str">
        <f t="shared" si="170"/>
        <v/>
      </c>
      <c r="AH254" s="32" t="str">
        <f t="shared" si="171"/>
        <v/>
      </c>
      <c r="AI254" s="35" t="str">
        <f t="shared" si="172"/>
        <v/>
      </c>
      <c r="AJ254" s="23" t="str">
        <f t="array" ref="AJ254">IFERROR(SMALL(IF(U$1:U$1000="BEGIN",ROW(U$1:U$1000)),ROW()-3),"")</f>
        <v/>
      </c>
      <c r="AK254" s="23" t="str">
        <f t="array" ref="AK254">IFERROR(SMALL(IF(V$1:V$1000="END",ROW(V$1:V$1000)),ROW()-3),"")</f>
        <v/>
      </c>
      <c r="AL254" s="24" t="str">
        <f t="array" ref="AL254">IF(AK254="","",MATCH(AM254,L:L,0))</f>
        <v/>
      </c>
      <c r="AM254" s="35">
        <f t="array" ref="AM254">MAX(IF((B$4:B$1000&lt;=AK254)*(B$4:B$1000&gt;=AJ254),L$4:L$1000, ""))</f>
        <v>0</v>
      </c>
      <c r="AN254" s="32" t="str">
        <f t="shared" si="179"/>
        <v/>
      </c>
      <c r="AO254" s="32" t="str">
        <f t="shared" si="180"/>
        <v/>
      </c>
      <c r="AP254" s="32" t="str">
        <f t="shared" si="181"/>
        <v/>
      </c>
      <c r="AQ254" s="32" t="str">
        <f t="shared" si="182"/>
        <v/>
      </c>
      <c r="AR254" s="32" t="str">
        <f t="shared" si="183"/>
        <v/>
      </c>
      <c r="AS254" s="32" t="str">
        <f t="shared" si="184"/>
        <v/>
      </c>
      <c r="AT254" s="32" t="str">
        <f t="shared" si="185"/>
        <v/>
      </c>
      <c r="AU254" s="34" t="str">
        <f t="shared" si="186"/>
        <v/>
      </c>
      <c r="AV254" s="32" t="str">
        <f t="shared" si="187"/>
        <v/>
      </c>
      <c r="AW254" s="32" t="str">
        <f t="shared" si="188"/>
        <v/>
      </c>
      <c r="AX254" s="32" t="str">
        <f t="shared" si="189"/>
        <v/>
      </c>
      <c r="AY254" s="32" t="str">
        <f t="shared" si="190"/>
        <v/>
      </c>
    </row>
    <row r="255" spans="1:51" x14ac:dyDescent="0.25">
      <c r="A255" s="24" t="str">
        <f t="shared" si="148"/>
        <v/>
      </c>
      <c r="B255" s="24" t="str">
        <f t="shared" si="158"/>
        <v/>
      </c>
      <c r="C255" s="32" t="str">
        <f t="shared" si="149"/>
        <v/>
      </c>
      <c r="D255" s="24" t="str">
        <f t="shared" si="150"/>
        <v/>
      </c>
      <c r="E255" s="24" t="str">
        <f t="shared" si="151"/>
        <v/>
      </c>
      <c r="F255" s="32" t="str">
        <f t="shared" si="152"/>
        <v/>
      </c>
      <c r="G255" s="32" t="str">
        <f t="shared" si="153"/>
        <v/>
      </c>
      <c r="H255" s="32" t="str">
        <f t="shared" ca="1" si="154"/>
        <v/>
      </c>
      <c r="I255" s="32" t="str">
        <f t="shared" ca="1" si="159"/>
        <v/>
      </c>
      <c r="J255" s="32" t="str">
        <f t="shared" si="155"/>
        <v/>
      </c>
      <c r="K255" s="32" t="str">
        <f>IF(ISNUMBER(A255),Profile!$V$25+Profile!$V$24*'Ri-Po'!C255,"")</f>
        <v/>
      </c>
      <c r="L255" s="32" t="str">
        <f t="shared" si="160"/>
        <v/>
      </c>
      <c r="M255" s="32" t="str">
        <f t="shared" si="156"/>
        <v/>
      </c>
      <c r="N255" s="32" t="str">
        <f t="shared" si="157"/>
        <v/>
      </c>
      <c r="O255" s="32" t="str">
        <f t="shared" si="173"/>
        <v/>
      </c>
      <c r="P255" s="32" t="str">
        <f t="shared" si="161"/>
        <v/>
      </c>
      <c r="Q255" s="32" t="str">
        <f t="shared" si="162"/>
        <v/>
      </c>
      <c r="R255" s="32" t="str">
        <f t="shared" si="174"/>
        <v/>
      </c>
      <c r="S255" s="24" t="str">
        <f t="shared" si="175"/>
        <v/>
      </c>
      <c r="T255" s="24" t="str">
        <f t="shared" si="176"/>
        <v/>
      </c>
      <c r="U255" s="24" t="str">
        <f t="shared" si="177"/>
        <v/>
      </c>
      <c r="V255" s="24" t="str">
        <f t="shared" si="178"/>
        <v/>
      </c>
      <c r="W255" s="23" t="str">
        <f t="array" ref="W255">IFERROR(SMALL(IF(S$1:S$1000="BEGIN",ROW(S$1:S$1000)),ROW()-3),"")</f>
        <v/>
      </c>
      <c r="X255" s="23" t="str">
        <f t="array" ref="X255">IFERROR(SMALL(IF(T$1:T$1000="END",ROW(T$1:T$1000)),ROW()-3),"")</f>
        <v/>
      </c>
      <c r="Y255" s="33" t="str">
        <f t="array" ref="Y255">IF(ISNUMBER(W255),MAX(IF((B$4:B$1000&lt;=X255)*(B$4:B$1000&gt;=W255),I$4:I$1000, "")),"")</f>
        <v/>
      </c>
      <c r="Z255" s="33" t="str">
        <f t="shared" si="163"/>
        <v/>
      </c>
      <c r="AA255" s="32" t="str">
        <f t="shared" si="164"/>
        <v/>
      </c>
      <c r="AB255" s="32" t="str">
        <f t="shared" si="165"/>
        <v/>
      </c>
      <c r="AC255" s="32" t="str">
        <f t="shared" si="166"/>
        <v/>
      </c>
      <c r="AD255" s="32" t="str">
        <f t="shared" si="167"/>
        <v/>
      </c>
      <c r="AE255" s="34" t="str">
        <f t="shared" si="168"/>
        <v/>
      </c>
      <c r="AF255" s="32" t="str">
        <f t="shared" si="169"/>
        <v/>
      </c>
      <c r="AG255" s="32" t="str">
        <f t="shared" si="170"/>
        <v/>
      </c>
      <c r="AH255" s="32" t="str">
        <f t="shared" si="171"/>
        <v/>
      </c>
      <c r="AI255" s="35" t="str">
        <f t="shared" si="172"/>
        <v/>
      </c>
      <c r="AJ255" s="23" t="str">
        <f t="array" ref="AJ255">IFERROR(SMALL(IF(U$1:U$1000="BEGIN",ROW(U$1:U$1000)),ROW()-3),"")</f>
        <v/>
      </c>
      <c r="AK255" s="23" t="str">
        <f t="array" ref="AK255">IFERROR(SMALL(IF(V$1:V$1000="END",ROW(V$1:V$1000)),ROW()-3),"")</f>
        <v/>
      </c>
      <c r="AL255" s="24" t="str">
        <f t="array" ref="AL255">IF(AK255="","",MATCH(AM255,L:L,0))</f>
        <v/>
      </c>
      <c r="AM255" s="35">
        <f t="array" ref="AM255">MAX(IF((B$4:B$1000&lt;=AK255)*(B$4:B$1000&gt;=AJ255),L$4:L$1000, ""))</f>
        <v>0</v>
      </c>
      <c r="AN255" s="32" t="str">
        <f t="shared" si="179"/>
        <v/>
      </c>
      <c r="AO255" s="32" t="str">
        <f t="shared" si="180"/>
        <v/>
      </c>
      <c r="AP255" s="32" t="str">
        <f t="shared" si="181"/>
        <v/>
      </c>
      <c r="AQ255" s="32" t="str">
        <f t="shared" si="182"/>
        <v/>
      </c>
      <c r="AR255" s="32" t="str">
        <f t="shared" si="183"/>
        <v/>
      </c>
      <c r="AS255" s="32" t="str">
        <f t="shared" si="184"/>
        <v/>
      </c>
      <c r="AT255" s="32" t="str">
        <f t="shared" si="185"/>
        <v/>
      </c>
      <c r="AU255" s="34" t="str">
        <f t="shared" si="186"/>
        <v/>
      </c>
      <c r="AV255" s="32" t="str">
        <f t="shared" si="187"/>
        <v/>
      </c>
      <c r="AW255" s="32" t="str">
        <f t="shared" si="188"/>
        <v/>
      </c>
      <c r="AX255" s="32" t="str">
        <f t="shared" si="189"/>
        <v/>
      </c>
      <c r="AY255" s="32" t="str">
        <f t="shared" si="190"/>
        <v/>
      </c>
    </row>
    <row r="256" spans="1:51" x14ac:dyDescent="0.25">
      <c r="A256" s="24" t="str">
        <f t="shared" si="148"/>
        <v/>
      </c>
      <c r="B256" s="24" t="str">
        <f t="shared" si="158"/>
        <v/>
      </c>
      <c r="C256" s="32" t="str">
        <f t="shared" si="149"/>
        <v/>
      </c>
      <c r="D256" s="24" t="str">
        <f t="shared" si="150"/>
        <v/>
      </c>
      <c r="E256" s="24" t="str">
        <f t="shared" si="151"/>
        <v/>
      </c>
      <c r="F256" s="32" t="str">
        <f t="shared" si="152"/>
        <v/>
      </c>
      <c r="G256" s="32" t="str">
        <f t="shared" si="153"/>
        <v/>
      </c>
      <c r="H256" s="32" t="str">
        <f t="shared" ca="1" si="154"/>
        <v/>
      </c>
      <c r="I256" s="32" t="str">
        <f t="shared" ca="1" si="159"/>
        <v/>
      </c>
      <c r="J256" s="32" t="str">
        <f t="shared" si="155"/>
        <v/>
      </c>
      <c r="K256" s="32" t="str">
        <f>IF(ISNUMBER(A256),Profile!$V$25+Profile!$V$24*'Ri-Po'!C256,"")</f>
        <v/>
      </c>
      <c r="L256" s="32" t="str">
        <f t="shared" si="160"/>
        <v/>
      </c>
      <c r="M256" s="32" t="str">
        <f t="shared" si="156"/>
        <v/>
      </c>
      <c r="N256" s="32" t="str">
        <f t="shared" si="157"/>
        <v/>
      </c>
      <c r="O256" s="32" t="str">
        <f t="shared" si="173"/>
        <v/>
      </c>
      <c r="P256" s="32" t="str">
        <f t="shared" si="161"/>
        <v/>
      </c>
      <c r="Q256" s="32" t="str">
        <f t="shared" si="162"/>
        <v/>
      </c>
      <c r="R256" s="32" t="str">
        <f t="shared" si="174"/>
        <v/>
      </c>
      <c r="S256" s="24" t="str">
        <f t="shared" si="175"/>
        <v/>
      </c>
      <c r="T256" s="24" t="str">
        <f t="shared" si="176"/>
        <v/>
      </c>
      <c r="U256" s="24" t="str">
        <f t="shared" si="177"/>
        <v/>
      </c>
      <c r="V256" s="24" t="str">
        <f t="shared" si="178"/>
        <v/>
      </c>
      <c r="W256" s="23" t="str">
        <f t="array" ref="W256">IFERROR(SMALL(IF(S$1:S$1000="BEGIN",ROW(S$1:S$1000)),ROW()-3),"")</f>
        <v/>
      </c>
      <c r="X256" s="23" t="str">
        <f t="array" ref="X256">IFERROR(SMALL(IF(T$1:T$1000="END",ROW(T$1:T$1000)),ROW()-3),"")</f>
        <v/>
      </c>
      <c r="Y256" s="33" t="str">
        <f t="array" ref="Y256">IF(ISNUMBER(W256),MAX(IF((B$4:B$1000&lt;=X256)*(B$4:B$1000&gt;=W256),I$4:I$1000, "")),"")</f>
        <v/>
      </c>
      <c r="Z256" s="33" t="str">
        <f t="shared" si="163"/>
        <v/>
      </c>
      <c r="AA256" s="32" t="str">
        <f t="shared" si="164"/>
        <v/>
      </c>
      <c r="AB256" s="32" t="str">
        <f t="shared" si="165"/>
        <v/>
      </c>
      <c r="AC256" s="32" t="str">
        <f t="shared" si="166"/>
        <v/>
      </c>
      <c r="AD256" s="32" t="str">
        <f t="shared" si="167"/>
        <v/>
      </c>
      <c r="AE256" s="34" t="str">
        <f t="shared" si="168"/>
        <v/>
      </c>
      <c r="AF256" s="32" t="str">
        <f t="shared" si="169"/>
        <v/>
      </c>
      <c r="AG256" s="32" t="str">
        <f t="shared" si="170"/>
        <v/>
      </c>
      <c r="AH256" s="32" t="str">
        <f t="shared" si="171"/>
        <v/>
      </c>
      <c r="AI256" s="35" t="str">
        <f t="shared" si="172"/>
        <v/>
      </c>
      <c r="AJ256" s="23" t="str">
        <f t="array" ref="AJ256">IFERROR(SMALL(IF(U$1:U$1000="BEGIN",ROW(U$1:U$1000)),ROW()-3),"")</f>
        <v/>
      </c>
      <c r="AK256" s="23" t="str">
        <f t="array" ref="AK256">IFERROR(SMALL(IF(V$1:V$1000="END",ROW(V$1:V$1000)),ROW()-3),"")</f>
        <v/>
      </c>
      <c r="AL256" s="24" t="str">
        <f t="array" ref="AL256">IF(AK256="","",MATCH(AM256,L:L,0))</f>
        <v/>
      </c>
      <c r="AM256" s="35">
        <f t="array" ref="AM256">MAX(IF((B$4:B$1000&lt;=AK256)*(B$4:B$1000&gt;=AJ256),L$4:L$1000, ""))</f>
        <v>0</v>
      </c>
      <c r="AN256" s="32" t="str">
        <f t="shared" si="179"/>
        <v/>
      </c>
      <c r="AO256" s="32" t="str">
        <f t="shared" si="180"/>
        <v/>
      </c>
      <c r="AP256" s="32" t="str">
        <f t="shared" si="181"/>
        <v/>
      </c>
      <c r="AQ256" s="32" t="str">
        <f t="shared" si="182"/>
        <v/>
      </c>
      <c r="AR256" s="32" t="str">
        <f t="shared" si="183"/>
        <v/>
      </c>
      <c r="AS256" s="32" t="str">
        <f t="shared" si="184"/>
        <v/>
      </c>
      <c r="AT256" s="32" t="str">
        <f t="shared" si="185"/>
        <v/>
      </c>
      <c r="AU256" s="34" t="str">
        <f t="shared" si="186"/>
        <v/>
      </c>
      <c r="AV256" s="32" t="str">
        <f t="shared" si="187"/>
        <v/>
      </c>
      <c r="AW256" s="32" t="str">
        <f t="shared" si="188"/>
        <v/>
      </c>
      <c r="AX256" s="32" t="str">
        <f t="shared" si="189"/>
        <v/>
      </c>
      <c r="AY256" s="32" t="str">
        <f t="shared" si="190"/>
        <v/>
      </c>
    </row>
    <row r="257" spans="1:51" x14ac:dyDescent="0.25">
      <c r="A257" s="24" t="str">
        <f t="shared" si="148"/>
        <v/>
      </c>
      <c r="B257" s="24" t="str">
        <f t="shared" si="158"/>
        <v/>
      </c>
      <c r="C257" s="32" t="str">
        <f t="shared" si="149"/>
        <v/>
      </c>
      <c r="D257" s="24" t="str">
        <f t="shared" si="150"/>
        <v/>
      </c>
      <c r="E257" s="24" t="str">
        <f t="shared" si="151"/>
        <v/>
      </c>
      <c r="F257" s="32" t="str">
        <f t="shared" si="152"/>
        <v/>
      </c>
      <c r="G257" s="32" t="str">
        <f t="shared" si="153"/>
        <v/>
      </c>
      <c r="H257" s="32" t="str">
        <f t="shared" ca="1" si="154"/>
        <v/>
      </c>
      <c r="I257" s="32" t="str">
        <f t="shared" ca="1" si="159"/>
        <v/>
      </c>
      <c r="J257" s="32" t="str">
        <f t="shared" si="155"/>
        <v/>
      </c>
      <c r="K257" s="32" t="str">
        <f>IF(ISNUMBER(A257),Profile!$V$25+Profile!$V$24*'Ri-Po'!C257,"")</f>
        <v/>
      </c>
      <c r="L257" s="32" t="str">
        <f t="shared" si="160"/>
        <v/>
      </c>
      <c r="M257" s="32" t="str">
        <f t="shared" si="156"/>
        <v/>
      </c>
      <c r="N257" s="32" t="str">
        <f t="shared" si="157"/>
        <v/>
      </c>
      <c r="O257" s="32" t="str">
        <f t="shared" si="173"/>
        <v/>
      </c>
      <c r="P257" s="32" t="str">
        <f t="shared" si="161"/>
        <v/>
      </c>
      <c r="Q257" s="32" t="str">
        <f t="shared" si="162"/>
        <v/>
      </c>
      <c r="R257" s="32" t="str">
        <f t="shared" si="174"/>
        <v/>
      </c>
      <c r="S257" s="24" t="str">
        <f t="shared" si="175"/>
        <v/>
      </c>
      <c r="T257" s="24" t="str">
        <f t="shared" si="176"/>
        <v/>
      </c>
      <c r="U257" s="24" t="str">
        <f t="shared" si="177"/>
        <v/>
      </c>
      <c r="V257" s="24" t="str">
        <f t="shared" si="178"/>
        <v/>
      </c>
      <c r="W257" s="23" t="str">
        <f t="array" ref="W257">IFERROR(SMALL(IF(S$1:S$1000="BEGIN",ROW(S$1:S$1000)),ROW()-3),"")</f>
        <v/>
      </c>
      <c r="X257" s="23" t="str">
        <f t="array" ref="X257">IFERROR(SMALL(IF(T$1:T$1000="END",ROW(T$1:T$1000)),ROW()-3),"")</f>
        <v/>
      </c>
      <c r="Y257" s="33" t="str">
        <f t="array" ref="Y257">IF(ISNUMBER(W257),MAX(IF((B$4:B$1000&lt;=X257)*(B$4:B$1000&gt;=W257),I$4:I$1000, "")),"")</f>
        <v/>
      </c>
      <c r="Z257" s="33" t="str">
        <f t="shared" si="163"/>
        <v/>
      </c>
      <c r="AA257" s="32" t="str">
        <f t="shared" si="164"/>
        <v/>
      </c>
      <c r="AB257" s="32" t="str">
        <f t="shared" si="165"/>
        <v/>
      </c>
      <c r="AC257" s="32" t="str">
        <f t="shared" si="166"/>
        <v/>
      </c>
      <c r="AD257" s="32" t="str">
        <f t="shared" si="167"/>
        <v/>
      </c>
      <c r="AE257" s="34" t="str">
        <f t="shared" si="168"/>
        <v/>
      </c>
      <c r="AF257" s="32" t="str">
        <f t="shared" si="169"/>
        <v/>
      </c>
      <c r="AG257" s="32" t="str">
        <f t="shared" si="170"/>
        <v/>
      </c>
      <c r="AH257" s="32" t="str">
        <f t="shared" si="171"/>
        <v/>
      </c>
      <c r="AI257" s="35" t="str">
        <f t="shared" si="172"/>
        <v/>
      </c>
      <c r="AJ257" s="23" t="str">
        <f t="array" ref="AJ257">IFERROR(SMALL(IF(U$1:U$1000="BEGIN",ROW(U$1:U$1000)),ROW()-3),"")</f>
        <v/>
      </c>
      <c r="AK257" s="23" t="str">
        <f t="array" ref="AK257">IFERROR(SMALL(IF(V$1:V$1000="END",ROW(V$1:V$1000)),ROW()-3),"")</f>
        <v/>
      </c>
      <c r="AL257" s="24" t="str">
        <f t="array" ref="AL257">IF(AK257="","",MATCH(AM257,L:L,0))</f>
        <v/>
      </c>
      <c r="AM257" s="35">
        <f t="array" ref="AM257">MAX(IF((B$4:B$1000&lt;=AK257)*(B$4:B$1000&gt;=AJ257),L$4:L$1000, ""))</f>
        <v>0</v>
      </c>
      <c r="AN257" s="32" t="str">
        <f t="shared" si="179"/>
        <v/>
      </c>
      <c r="AO257" s="32" t="str">
        <f t="shared" si="180"/>
        <v/>
      </c>
      <c r="AP257" s="32" t="str">
        <f t="shared" si="181"/>
        <v/>
      </c>
      <c r="AQ257" s="32" t="str">
        <f t="shared" si="182"/>
        <v/>
      </c>
      <c r="AR257" s="32" t="str">
        <f t="shared" si="183"/>
        <v/>
      </c>
      <c r="AS257" s="32" t="str">
        <f t="shared" si="184"/>
        <v/>
      </c>
      <c r="AT257" s="32" t="str">
        <f t="shared" si="185"/>
        <v/>
      </c>
      <c r="AU257" s="34" t="str">
        <f t="shared" si="186"/>
        <v/>
      </c>
      <c r="AV257" s="32" t="str">
        <f t="shared" si="187"/>
        <v/>
      </c>
      <c r="AW257" s="32" t="str">
        <f t="shared" si="188"/>
        <v/>
      </c>
      <c r="AX257" s="32" t="str">
        <f t="shared" si="189"/>
        <v/>
      </c>
      <c r="AY257" s="32" t="str">
        <f t="shared" si="190"/>
        <v/>
      </c>
    </row>
    <row r="258" spans="1:51" x14ac:dyDescent="0.25">
      <c r="A258" s="24" t="str">
        <f t="shared" si="148"/>
        <v/>
      </c>
      <c r="B258" s="24" t="str">
        <f t="shared" si="158"/>
        <v/>
      </c>
      <c r="C258" s="32" t="str">
        <f t="shared" si="149"/>
        <v/>
      </c>
      <c r="D258" s="24" t="str">
        <f t="shared" si="150"/>
        <v/>
      </c>
      <c r="E258" s="24" t="str">
        <f t="shared" si="151"/>
        <v/>
      </c>
      <c r="F258" s="32" t="str">
        <f t="shared" si="152"/>
        <v/>
      </c>
      <c r="G258" s="32" t="str">
        <f t="shared" si="153"/>
        <v/>
      </c>
      <c r="H258" s="32" t="str">
        <f t="shared" ca="1" si="154"/>
        <v/>
      </c>
      <c r="I258" s="32" t="str">
        <f t="shared" ca="1" si="159"/>
        <v/>
      </c>
      <c r="J258" s="32" t="str">
        <f t="shared" si="155"/>
        <v/>
      </c>
      <c r="K258" s="32" t="str">
        <f>IF(ISNUMBER(A258),Profile!$V$25+Profile!$V$24*'Ri-Po'!C258,"")</f>
        <v/>
      </c>
      <c r="L258" s="32" t="str">
        <f t="shared" si="160"/>
        <v/>
      </c>
      <c r="M258" s="32" t="str">
        <f t="shared" si="156"/>
        <v/>
      </c>
      <c r="N258" s="32" t="str">
        <f t="shared" si="157"/>
        <v/>
      </c>
      <c r="O258" s="32" t="str">
        <f t="shared" si="173"/>
        <v/>
      </c>
      <c r="P258" s="32" t="str">
        <f t="shared" si="161"/>
        <v/>
      </c>
      <c r="Q258" s="32" t="str">
        <f t="shared" si="162"/>
        <v/>
      </c>
      <c r="R258" s="32" t="str">
        <f t="shared" si="174"/>
        <v/>
      </c>
      <c r="S258" s="24" t="str">
        <f t="shared" si="175"/>
        <v/>
      </c>
      <c r="T258" s="24" t="str">
        <f t="shared" si="176"/>
        <v/>
      </c>
      <c r="U258" s="24" t="str">
        <f t="shared" si="177"/>
        <v/>
      </c>
      <c r="V258" s="24" t="str">
        <f t="shared" si="178"/>
        <v/>
      </c>
      <c r="W258" s="23" t="str">
        <f t="array" ref="W258">IFERROR(SMALL(IF(S$1:S$1000="BEGIN",ROW(S$1:S$1000)),ROW()-3),"")</f>
        <v/>
      </c>
      <c r="X258" s="23" t="str">
        <f t="array" ref="X258">IFERROR(SMALL(IF(T$1:T$1000="END",ROW(T$1:T$1000)),ROW()-3),"")</f>
        <v/>
      </c>
      <c r="Y258" s="33" t="str">
        <f t="array" ref="Y258">IF(ISNUMBER(W258),MAX(IF((B$4:B$1000&lt;=X258)*(B$4:B$1000&gt;=W258),I$4:I$1000, "")),"")</f>
        <v/>
      </c>
      <c r="Z258" s="33" t="str">
        <f t="shared" si="163"/>
        <v/>
      </c>
      <c r="AA258" s="32" t="str">
        <f t="shared" si="164"/>
        <v/>
      </c>
      <c r="AB258" s="32" t="str">
        <f t="shared" si="165"/>
        <v/>
      </c>
      <c r="AC258" s="32" t="str">
        <f t="shared" si="166"/>
        <v/>
      </c>
      <c r="AD258" s="32" t="str">
        <f t="shared" si="167"/>
        <v/>
      </c>
      <c r="AE258" s="34" t="str">
        <f t="shared" si="168"/>
        <v/>
      </c>
      <c r="AF258" s="32" t="str">
        <f t="shared" si="169"/>
        <v/>
      </c>
      <c r="AG258" s="32" t="str">
        <f t="shared" si="170"/>
        <v/>
      </c>
      <c r="AH258" s="32" t="str">
        <f t="shared" si="171"/>
        <v/>
      </c>
      <c r="AI258" s="35" t="str">
        <f t="shared" si="172"/>
        <v/>
      </c>
      <c r="AJ258" s="23" t="str">
        <f t="array" ref="AJ258">IFERROR(SMALL(IF(U$1:U$1000="BEGIN",ROW(U$1:U$1000)),ROW()-3),"")</f>
        <v/>
      </c>
      <c r="AK258" s="23" t="str">
        <f t="array" ref="AK258">IFERROR(SMALL(IF(V$1:V$1000="END",ROW(V$1:V$1000)),ROW()-3),"")</f>
        <v/>
      </c>
      <c r="AL258" s="24" t="str">
        <f t="array" ref="AL258">IF(AK258="","",MATCH(AM258,L:L,0))</f>
        <v/>
      </c>
      <c r="AM258" s="35">
        <f t="array" ref="AM258">MAX(IF((B$4:B$1000&lt;=AK258)*(B$4:B$1000&gt;=AJ258),L$4:L$1000, ""))</f>
        <v>0</v>
      </c>
      <c r="AN258" s="32" t="str">
        <f t="shared" si="179"/>
        <v/>
      </c>
      <c r="AO258" s="32" t="str">
        <f t="shared" si="180"/>
        <v/>
      </c>
      <c r="AP258" s="32" t="str">
        <f t="shared" si="181"/>
        <v/>
      </c>
      <c r="AQ258" s="32" t="str">
        <f t="shared" si="182"/>
        <v/>
      </c>
      <c r="AR258" s="32" t="str">
        <f t="shared" si="183"/>
        <v/>
      </c>
      <c r="AS258" s="32" t="str">
        <f t="shared" si="184"/>
        <v/>
      </c>
      <c r="AT258" s="32" t="str">
        <f t="shared" si="185"/>
        <v/>
      </c>
      <c r="AU258" s="34" t="str">
        <f t="shared" si="186"/>
        <v/>
      </c>
      <c r="AV258" s="32" t="str">
        <f t="shared" si="187"/>
        <v/>
      </c>
      <c r="AW258" s="32" t="str">
        <f t="shared" si="188"/>
        <v/>
      </c>
      <c r="AX258" s="32" t="str">
        <f t="shared" si="189"/>
        <v/>
      </c>
      <c r="AY258" s="32" t="str">
        <f t="shared" si="190"/>
        <v/>
      </c>
    </row>
    <row r="259" spans="1:51" x14ac:dyDescent="0.25">
      <c r="A259" s="24" t="str">
        <f t="shared" si="148"/>
        <v/>
      </c>
      <c r="B259" s="24" t="str">
        <f t="shared" si="158"/>
        <v/>
      </c>
      <c r="C259" s="32" t="str">
        <f t="shared" si="149"/>
        <v/>
      </c>
      <c r="D259" s="24" t="str">
        <f t="shared" si="150"/>
        <v/>
      </c>
      <c r="E259" s="24" t="str">
        <f t="shared" si="151"/>
        <v/>
      </c>
      <c r="F259" s="32" t="str">
        <f t="shared" si="152"/>
        <v/>
      </c>
      <c r="G259" s="32" t="str">
        <f t="shared" si="153"/>
        <v/>
      </c>
      <c r="H259" s="32" t="str">
        <f t="shared" ca="1" si="154"/>
        <v/>
      </c>
      <c r="I259" s="32" t="str">
        <f t="shared" ca="1" si="159"/>
        <v/>
      </c>
      <c r="J259" s="32" t="str">
        <f t="shared" si="155"/>
        <v/>
      </c>
      <c r="K259" s="32" t="str">
        <f>IF(ISNUMBER(A259),Profile!$V$25+Profile!$V$24*'Ri-Po'!C259,"")</f>
        <v/>
      </c>
      <c r="L259" s="32" t="str">
        <f t="shared" si="160"/>
        <v/>
      </c>
      <c r="M259" s="32" t="str">
        <f t="shared" si="156"/>
        <v/>
      </c>
      <c r="N259" s="32" t="str">
        <f t="shared" si="157"/>
        <v/>
      </c>
      <c r="O259" s="32" t="str">
        <f t="shared" si="173"/>
        <v/>
      </c>
      <c r="P259" s="32" t="str">
        <f t="shared" si="161"/>
        <v/>
      </c>
      <c r="Q259" s="32" t="str">
        <f t="shared" si="162"/>
        <v/>
      </c>
      <c r="R259" s="32" t="str">
        <f t="shared" si="174"/>
        <v/>
      </c>
      <c r="S259" s="24" t="str">
        <f t="shared" si="175"/>
        <v/>
      </c>
      <c r="T259" s="24" t="str">
        <f t="shared" si="176"/>
        <v/>
      </c>
      <c r="U259" s="24" t="str">
        <f t="shared" si="177"/>
        <v/>
      </c>
      <c r="V259" s="24" t="str">
        <f t="shared" si="178"/>
        <v/>
      </c>
      <c r="W259" s="23" t="str">
        <f t="array" ref="W259">IFERROR(SMALL(IF(S$1:S$1000="BEGIN",ROW(S$1:S$1000)),ROW()-3),"")</f>
        <v/>
      </c>
      <c r="X259" s="23" t="str">
        <f t="array" ref="X259">IFERROR(SMALL(IF(T$1:T$1000="END",ROW(T$1:T$1000)),ROW()-3),"")</f>
        <v/>
      </c>
      <c r="Y259" s="33" t="str">
        <f t="array" ref="Y259">IF(ISNUMBER(W259),MAX(IF((B$4:B$1000&lt;=X259)*(B$4:B$1000&gt;=W259),I$4:I$1000, "")),"")</f>
        <v/>
      </c>
      <c r="Z259" s="33" t="str">
        <f t="shared" si="163"/>
        <v/>
      </c>
      <c r="AA259" s="32" t="str">
        <f t="shared" si="164"/>
        <v/>
      </c>
      <c r="AB259" s="32" t="str">
        <f t="shared" si="165"/>
        <v/>
      </c>
      <c r="AC259" s="32" t="str">
        <f t="shared" si="166"/>
        <v/>
      </c>
      <c r="AD259" s="32" t="str">
        <f t="shared" si="167"/>
        <v/>
      </c>
      <c r="AE259" s="34" t="str">
        <f t="shared" si="168"/>
        <v/>
      </c>
      <c r="AF259" s="32" t="str">
        <f t="shared" si="169"/>
        <v/>
      </c>
      <c r="AG259" s="32" t="str">
        <f t="shared" si="170"/>
        <v/>
      </c>
      <c r="AH259" s="32" t="str">
        <f t="shared" si="171"/>
        <v/>
      </c>
      <c r="AI259" s="35" t="str">
        <f t="shared" si="172"/>
        <v/>
      </c>
      <c r="AJ259" s="23" t="str">
        <f t="array" ref="AJ259">IFERROR(SMALL(IF(U$1:U$1000="BEGIN",ROW(U$1:U$1000)),ROW()-3),"")</f>
        <v/>
      </c>
      <c r="AK259" s="23" t="str">
        <f t="array" ref="AK259">IFERROR(SMALL(IF(V$1:V$1000="END",ROW(V$1:V$1000)),ROW()-3),"")</f>
        <v/>
      </c>
      <c r="AL259" s="24" t="str">
        <f t="array" ref="AL259">IF(AK259="","",MATCH(AM259,L:L,0))</f>
        <v/>
      </c>
      <c r="AM259" s="35">
        <f t="array" ref="AM259">MAX(IF((B$4:B$1000&lt;=AK259)*(B$4:B$1000&gt;=AJ259),L$4:L$1000, ""))</f>
        <v>0</v>
      </c>
      <c r="AN259" s="32" t="str">
        <f t="shared" si="179"/>
        <v/>
      </c>
      <c r="AO259" s="32" t="str">
        <f t="shared" si="180"/>
        <v/>
      </c>
      <c r="AP259" s="32" t="str">
        <f t="shared" si="181"/>
        <v/>
      </c>
      <c r="AQ259" s="32" t="str">
        <f t="shared" si="182"/>
        <v/>
      </c>
      <c r="AR259" s="32" t="str">
        <f t="shared" si="183"/>
        <v/>
      </c>
      <c r="AS259" s="32" t="str">
        <f t="shared" si="184"/>
        <v/>
      </c>
      <c r="AT259" s="32" t="str">
        <f t="shared" si="185"/>
        <v/>
      </c>
      <c r="AU259" s="34" t="str">
        <f t="shared" si="186"/>
        <v/>
      </c>
      <c r="AV259" s="32" t="str">
        <f t="shared" si="187"/>
        <v/>
      </c>
      <c r="AW259" s="32" t="str">
        <f t="shared" si="188"/>
        <v/>
      </c>
      <c r="AX259" s="32" t="str">
        <f t="shared" si="189"/>
        <v/>
      </c>
      <c r="AY259" s="32" t="str">
        <f t="shared" si="190"/>
        <v/>
      </c>
    </row>
    <row r="260" spans="1:51" x14ac:dyDescent="0.25">
      <c r="A260" s="24" t="str">
        <f t="shared" ref="A260:A323" si="191">IF(NOT(ISBLANK(INDEX(currentNUM,ROW(A257)))),INDEX(currentNUM,ROW(A257)),"")</f>
        <v/>
      </c>
      <c r="B260" s="24" t="str">
        <f t="shared" si="158"/>
        <v/>
      </c>
      <c r="C260" s="32" t="str">
        <f t="shared" ref="C260:C323" si="192">IF(NOT(A260=""),INDEX(currentSTATION,ROW(C257)),"")</f>
        <v/>
      </c>
      <c r="D260" s="24" t="str">
        <f t="shared" ref="D260:D323" si="193">IF(NOT(ISBLANK(INDEX(currentDESC,ROW(D257)))),INDEX(currentDESC,ROW(D257)),"")</f>
        <v/>
      </c>
      <c r="E260" s="24" t="str">
        <f t="shared" ref="E260:E323" si="194">IF(NOT(ISBLANK(INDEX(currentCMORPH,ROW(E257)))),INDEX(currentCMORPH,ROW(E257)),"")</f>
        <v/>
      </c>
      <c r="F260" s="32" t="str">
        <f t="shared" ref="F260:F323" si="195">IF(NOT(ISBLANK(INDEX(currentTHW,ROW(F257)))),INDEX(currentTHW,ROW(F257)),"")</f>
        <v/>
      </c>
      <c r="G260" s="32" t="str">
        <f t="shared" ref="G260:G323" si="196">IF(NOT(ISBLANK(INDEX(currentWS,ROW(G257)))),INDEX(currentWS,ROW(G257)),"")</f>
        <v/>
      </c>
      <c r="H260" s="32" t="str">
        <f t="shared" ref="H260:H323" ca="1" si="197">IF(NOT(OR(ISBLANK(INDEX(currentINTERPWS,ROW(H257))),INDEX(currentINTERPWS,ROW(H257))=0)),INDEX(currentINTERPWS,ROW(H257)),"")</f>
        <v/>
      </c>
      <c r="I260" s="32" t="str">
        <f t="shared" ca="1" si="159"/>
        <v/>
      </c>
      <c r="J260" s="32" t="str">
        <f t="shared" ref="J260:J323" si="198">IF(NOT(ISBLANK(INDEX(currentBKF,ROW(G257)))),INDEX(currentBKF,ROW(G257)),"")</f>
        <v/>
      </c>
      <c r="K260" s="32" t="str">
        <f>IF(ISNUMBER(A260),Profile!$V$25+Profile!$V$24*'Ri-Po'!C260,"")</f>
        <v/>
      </c>
      <c r="L260" s="32" t="str">
        <f t="shared" si="160"/>
        <v/>
      </c>
      <c r="M260" s="32" t="str">
        <f t="shared" ref="M260:M323" si="199">IF(NOT(ISBLANK(INDEX(currentTOB,ROW(H257)))),INDEX(currentTOB,ROW(H257)),"")</f>
        <v/>
      </c>
      <c r="N260" s="32" t="str">
        <f t="shared" ref="N260:N323" si="200">IF(ISNUMBER(A260),INDEX(currentINTTOB,ROW(I257)),"")</f>
        <v/>
      </c>
      <c r="O260" s="32" t="str">
        <f t="shared" si="173"/>
        <v/>
      </c>
      <c r="P260" s="32" t="str">
        <f t="shared" si="161"/>
        <v/>
      </c>
      <c r="Q260" s="32" t="str">
        <f t="shared" si="162"/>
        <v/>
      </c>
      <c r="R260" s="32" t="str">
        <f t="shared" si="174"/>
        <v/>
      </c>
      <c r="S260" s="24" t="str">
        <f t="shared" si="175"/>
        <v/>
      </c>
      <c r="T260" s="24" t="str">
        <f t="shared" si="176"/>
        <v/>
      </c>
      <c r="U260" s="24" t="str">
        <f t="shared" si="177"/>
        <v/>
      </c>
      <c r="V260" s="24" t="str">
        <f t="shared" si="178"/>
        <v/>
      </c>
      <c r="W260" s="23" t="str">
        <f t="array" ref="W260">IFERROR(SMALL(IF(S$1:S$1000="BEGIN",ROW(S$1:S$1000)),ROW()-3),"")</f>
        <v/>
      </c>
      <c r="X260" s="23" t="str">
        <f t="array" ref="X260">IFERROR(SMALL(IF(T$1:T$1000="END",ROW(T$1:T$1000)),ROW()-3),"")</f>
        <v/>
      </c>
      <c r="Y260" s="33" t="str">
        <f t="array" ref="Y260">IF(ISNUMBER(W260),MAX(IF((B$4:B$1000&lt;=X260)*(B$4:B$1000&gt;=W260),I$4:I$1000, "")),"")</f>
        <v/>
      </c>
      <c r="Z260" s="33" t="str">
        <f t="shared" si="163"/>
        <v/>
      </c>
      <c r="AA260" s="32" t="str">
        <f t="shared" si="164"/>
        <v/>
      </c>
      <c r="AB260" s="32" t="str">
        <f t="shared" si="165"/>
        <v/>
      </c>
      <c r="AC260" s="32" t="str">
        <f t="shared" si="166"/>
        <v/>
      </c>
      <c r="AD260" s="32" t="str">
        <f t="shared" si="167"/>
        <v/>
      </c>
      <c r="AE260" s="34" t="str">
        <f t="shared" si="168"/>
        <v/>
      </c>
      <c r="AF260" s="32" t="str">
        <f t="shared" si="169"/>
        <v/>
      </c>
      <c r="AG260" s="32" t="str">
        <f t="shared" si="170"/>
        <v/>
      </c>
      <c r="AH260" s="32" t="str">
        <f t="shared" si="171"/>
        <v/>
      </c>
      <c r="AI260" s="35" t="str">
        <f t="shared" si="172"/>
        <v/>
      </c>
      <c r="AJ260" s="23" t="str">
        <f t="array" ref="AJ260">IFERROR(SMALL(IF(U$1:U$1000="BEGIN",ROW(U$1:U$1000)),ROW()-3),"")</f>
        <v/>
      </c>
      <c r="AK260" s="23" t="str">
        <f t="array" ref="AK260">IFERROR(SMALL(IF(V$1:V$1000="END",ROW(V$1:V$1000)),ROW()-3),"")</f>
        <v/>
      </c>
      <c r="AL260" s="24" t="str">
        <f t="array" ref="AL260">IF(AK260="","",MATCH(AM260,L:L,0))</f>
        <v/>
      </c>
      <c r="AM260" s="35">
        <f t="array" ref="AM260">MAX(IF((B$4:B$1000&lt;=AK260)*(B$4:B$1000&gt;=AJ260),L$4:L$1000, ""))</f>
        <v>0</v>
      </c>
      <c r="AN260" s="32" t="str">
        <f t="shared" si="179"/>
        <v/>
      </c>
      <c r="AO260" s="32" t="str">
        <f t="shared" si="180"/>
        <v/>
      </c>
      <c r="AP260" s="32" t="str">
        <f t="shared" si="181"/>
        <v/>
      </c>
      <c r="AQ260" s="32" t="str">
        <f t="shared" si="182"/>
        <v/>
      </c>
      <c r="AR260" s="32" t="str">
        <f t="shared" si="183"/>
        <v/>
      </c>
      <c r="AS260" s="32" t="str">
        <f t="shared" si="184"/>
        <v/>
      </c>
      <c r="AT260" s="32" t="str">
        <f t="shared" si="185"/>
        <v/>
      </c>
      <c r="AU260" s="34" t="str">
        <f t="shared" si="186"/>
        <v/>
      </c>
      <c r="AV260" s="32" t="str">
        <f t="shared" si="187"/>
        <v/>
      </c>
      <c r="AW260" s="32" t="str">
        <f t="shared" si="188"/>
        <v/>
      </c>
      <c r="AX260" s="32" t="str">
        <f t="shared" si="189"/>
        <v/>
      </c>
      <c r="AY260" s="32" t="str">
        <f t="shared" si="190"/>
        <v/>
      </c>
    </row>
    <row r="261" spans="1:51" x14ac:dyDescent="0.25">
      <c r="A261" s="24" t="str">
        <f t="shared" si="191"/>
        <v/>
      </c>
      <c r="B261" s="24" t="str">
        <f t="shared" ref="B261:B324" si="201">IF(NOT(A261=""),ROW(B261),"")</f>
        <v/>
      </c>
      <c r="C261" s="32" t="str">
        <f t="shared" si="192"/>
        <v/>
      </c>
      <c r="D261" s="24" t="str">
        <f t="shared" si="193"/>
        <v/>
      </c>
      <c r="E261" s="24" t="str">
        <f t="shared" si="194"/>
        <v/>
      </c>
      <c r="F261" s="32" t="str">
        <f t="shared" si="195"/>
        <v/>
      </c>
      <c r="G261" s="32" t="str">
        <f t="shared" si="196"/>
        <v/>
      </c>
      <c r="H261" s="32" t="str">
        <f t="shared" ca="1" si="197"/>
        <v/>
      </c>
      <c r="I261" s="32" t="str">
        <f t="shared" ref="I261:I324" ca="1" si="202">IFERROR(IF(H261-F261&gt;=0,H261-F261,"NEG"),"")</f>
        <v/>
      </c>
      <c r="J261" s="32" t="str">
        <f t="shared" si="198"/>
        <v/>
      </c>
      <c r="K261" s="32" t="str">
        <f>IF(ISNUMBER(A261),Profile!$V$25+Profile!$V$24*'Ri-Po'!C261,"")</f>
        <v/>
      </c>
      <c r="L261" s="32" t="str">
        <f t="shared" ref="L261:L324" si="203">IFERROR(K261-F261,"")</f>
        <v/>
      </c>
      <c r="M261" s="32" t="str">
        <f t="shared" si="199"/>
        <v/>
      </c>
      <c r="N261" s="32" t="str">
        <f t="shared" si="200"/>
        <v/>
      </c>
      <c r="O261" s="32" t="str">
        <f t="shared" si="173"/>
        <v/>
      </c>
      <c r="P261" s="32" t="str">
        <f t="shared" ref="P261:P324" si="204">IF(ISNUMBER(A261),K261-F261,"")</f>
        <v/>
      </c>
      <c r="Q261" s="32" t="str">
        <f t="shared" ref="Q261:Q324" si="205">IF(ISNUMBER(A261),N261-F261,"")</f>
        <v/>
      </c>
      <c r="R261" s="32" t="str">
        <f t="shared" si="174"/>
        <v/>
      </c>
      <c r="S261" s="24" t="str">
        <f t="shared" si="175"/>
        <v/>
      </c>
      <c r="T261" s="24" t="str">
        <f t="shared" si="176"/>
        <v/>
      </c>
      <c r="U261" s="24" t="str">
        <f t="shared" si="177"/>
        <v/>
      </c>
      <c r="V261" s="24" t="str">
        <f t="shared" si="178"/>
        <v/>
      </c>
      <c r="W261" s="23" t="str">
        <f t="array" ref="W261">IFERROR(SMALL(IF(S$1:S$1000="BEGIN",ROW(S$1:S$1000)),ROW()-3),"")</f>
        <v/>
      </c>
      <c r="X261" s="23" t="str">
        <f t="array" ref="X261">IFERROR(SMALL(IF(T$1:T$1000="END",ROW(T$1:T$1000)),ROW()-3),"")</f>
        <v/>
      </c>
      <c r="Y261" s="33" t="str">
        <f t="array" ref="Y261">IF(ISNUMBER(W261),MAX(IF((B$4:B$1000&lt;=X261)*(B$4:B$1000&gt;=W261),I$4:I$1000, "")),"")</f>
        <v/>
      </c>
      <c r="Z261" s="33" t="str">
        <f t="shared" ref="Z261:Z324" si="206">IFERROR(INDEX(C:C,W261),"")</f>
        <v/>
      </c>
      <c r="AA261" s="32" t="str">
        <f t="shared" ref="AA261:AA324" si="207">IFERROR(INDEX(C:C,X261),"")</f>
        <v/>
      </c>
      <c r="AB261" s="32" t="str">
        <f t="shared" ref="AB261:AB324" si="208">IFERROR(AA261-Z261,"")</f>
        <v/>
      </c>
      <c r="AC261" s="32" t="str">
        <f t="shared" ref="AC261:AC324" si="209">IFERROR(INDEX(H:H,W261),"")</f>
        <v/>
      </c>
      <c r="AD261" s="32" t="str">
        <f t="shared" ref="AD261:AD324" si="210">IFERROR(INDEX(H:H,X261),"")</f>
        <v/>
      </c>
      <c r="AE261" s="34" t="str">
        <f t="shared" ref="AE261:AE324" si="211">IFERROR((AC261-AD261)/(AB261),"")</f>
        <v/>
      </c>
      <c r="AF261" s="32" t="str">
        <f t="shared" ref="AF261:AF324" si="212">IF(ISNUMBER(Z261),INDEX($Q$1:$Q$1000,W261),"")</f>
        <v/>
      </c>
      <c r="AG261" s="32" t="str">
        <f t="shared" ref="AG261:AG324" si="213">IF(ISNUMBER(Z261),INDEX($P$1:$P$1000,W261),"")</f>
        <v/>
      </c>
      <c r="AH261" s="32" t="str">
        <f t="shared" ref="AH261:AH324" si="214">IF(ISNUMBER(Z261),AF261/AG261,"")</f>
        <v/>
      </c>
      <c r="AI261" s="35" t="str">
        <f t="shared" ref="AI261:AI324" si="215">IFERROR(AE261/BB$19,"")</f>
        <v/>
      </c>
      <c r="AJ261" s="23" t="str">
        <f t="array" ref="AJ261">IFERROR(SMALL(IF(U$1:U$1000="BEGIN",ROW(U$1:U$1000)),ROW()-3),"")</f>
        <v/>
      </c>
      <c r="AK261" s="23" t="str">
        <f t="array" ref="AK261">IFERROR(SMALL(IF(V$1:V$1000="END",ROW(V$1:V$1000)),ROW()-3),"")</f>
        <v/>
      </c>
      <c r="AL261" s="24" t="str">
        <f t="array" ref="AL261">IF(AK261="","",MATCH(AM261,L:L,0))</f>
        <v/>
      </c>
      <c r="AM261" s="35">
        <f t="array" ref="AM261">MAX(IF((B$4:B$1000&lt;=AK261)*(B$4:B$1000&gt;=AJ261),L$4:L$1000, ""))</f>
        <v>0</v>
      </c>
      <c r="AN261" s="32" t="str">
        <f t="shared" si="179"/>
        <v/>
      </c>
      <c r="AO261" s="32" t="str">
        <f t="shared" si="180"/>
        <v/>
      </c>
      <c r="AP261" s="32" t="str">
        <f t="shared" si="181"/>
        <v/>
      </c>
      <c r="AQ261" s="32" t="str">
        <f t="shared" si="182"/>
        <v/>
      </c>
      <c r="AR261" s="32" t="str">
        <f t="shared" si="183"/>
        <v/>
      </c>
      <c r="AS261" s="32" t="str">
        <f t="shared" si="184"/>
        <v/>
      </c>
      <c r="AT261" s="32" t="str">
        <f t="shared" si="185"/>
        <v/>
      </c>
      <c r="AU261" s="34" t="str">
        <f t="shared" si="186"/>
        <v/>
      </c>
      <c r="AV261" s="32" t="str">
        <f t="shared" si="187"/>
        <v/>
      </c>
      <c r="AW261" s="32" t="str">
        <f t="shared" si="188"/>
        <v/>
      </c>
      <c r="AX261" s="32" t="str">
        <f t="shared" si="189"/>
        <v/>
      </c>
      <c r="AY261" s="32" t="str">
        <f t="shared" si="190"/>
        <v/>
      </c>
    </row>
    <row r="262" spans="1:51" x14ac:dyDescent="0.25">
      <c r="A262" s="24" t="str">
        <f t="shared" si="191"/>
        <v/>
      </c>
      <c r="B262" s="24" t="str">
        <f t="shared" si="201"/>
        <v/>
      </c>
      <c r="C262" s="32" t="str">
        <f t="shared" si="192"/>
        <v/>
      </c>
      <c r="D262" s="24" t="str">
        <f t="shared" si="193"/>
        <v/>
      </c>
      <c r="E262" s="24" t="str">
        <f t="shared" si="194"/>
        <v/>
      </c>
      <c r="F262" s="32" t="str">
        <f t="shared" si="195"/>
        <v/>
      </c>
      <c r="G262" s="32" t="str">
        <f t="shared" si="196"/>
        <v/>
      </c>
      <c r="H262" s="32" t="str">
        <f t="shared" ca="1" si="197"/>
        <v/>
      </c>
      <c r="I262" s="32" t="str">
        <f t="shared" ca="1" si="202"/>
        <v/>
      </c>
      <c r="J262" s="32" t="str">
        <f t="shared" si="198"/>
        <v/>
      </c>
      <c r="K262" s="32" t="str">
        <f>IF(ISNUMBER(A262),Profile!$V$25+Profile!$V$24*'Ri-Po'!C262,"")</f>
        <v/>
      </c>
      <c r="L262" s="32" t="str">
        <f t="shared" si="203"/>
        <v/>
      </c>
      <c r="M262" s="32" t="str">
        <f t="shared" si="199"/>
        <v/>
      </c>
      <c r="N262" s="32" t="str">
        <f t="shared" si="200"/>
        <v/>
      </c>
      <c r="O262" s="32" t="str">
        <f t="shared" ref="O262:O325" si="216">IF(AND(ISNUMBER(G262),ISNUMBER(J262)),J262-G262,"")</f>
        <v/>
      </c>
      <c r="P262" s="32" t="str">
        <f t="shared" si="204"/>
        <v/>
      </c>
      <c r="Q262" s="32" t="str">
        <f t="shared" si="205"/>
        <v/>
      </c>
      <c r="R262" s="32" t="str">
        <f t="shared" ref="R262:R325" si="217">IF(ISNUMBER(Q262),Q262/P262,"")</f>
        <v/>
      </c>
      <c r="S262" s="24" t="str">
        <f t="shared" ref="S262:S325" si="218">IF(ISNUMBER(SEARCH("bri",E262)),"BEGIN","")</f>
        <v/>
      </c>
      <c r="T262" s="24" t="str">
        <f t="shared" ref="T262:T325" si="219">IF(ISNUMBER(SEARCH("eri",E262)),"END","")</f>
        <v/>
      </c>
      <c r="U262" s="24" t="str">
        <f t="shared" ref="U262:U325" si="220">IF(ISNUMBER(SEARCH("bpo",E262)),"BEGIN","")</f>
        <v/>
      </c>
      <c r="V262" s="24" t="str">
        <f t="shared" ref="V262:V325" si="221">IF(ISNUMBER(SEARCH("epo",E262)),"END","")</f>
        <v/>
      </c>
      <c r="W262" s="23" t="str">
        <f t="array" ref="W262">IFERROR(SMALL(IF(S$1:S$1000="BEGIN",ROW(S$1:S$1000)),ROW()-3),"")</f>
        <v/>
      </c>
      <c r="X262" s="23" t="str">
        <f t="array" ref="X262">IFERROR(SMALL(IF(T$1:T$1000="END",ROW(T$1:T$1000)),ROW()-3),"")</f>
        <v/>
      </c>
      <c r="Y262" s="33" t="str">
        <f t="array" ref="Y262">IF(ISNUMBER(W262),MAX(IF((B$4:B$1000&lt;=X262)*(B$4:B$1000&gt;=W262),I$4:I$1000, "")),"")</f>
        <v/>
      </c>
      <c r="Z262" s="33" t="str">
        <f t="shared" si="206"/>
        <v/>
      </c>
      <c r="AA262" s="32" t="str">
        <f t="shared" si="207"/>
        <v/>
      </c>
      <c r="AB262" s="32" t="str">
        <f t="shared" si="208"/>
        <v/>
      </c>
      <c r="AC262" s="32" t="str">
        <f t="shared" si="209"/>
        <v/>
      </c>
      <c r="AD262" s="32" t="str">
        <f t="shared" si="210"/>
        <v/>
      </c>
      <c r="AE262" s="34" t="str">
        <f t="shared" si="211"/>
        <v/>
      </c>
      <c r="AF262" s="32" t="str">
        <f t="shared" si="212"/>
        <v/>
      </c>
      <c r="AG262" s="32" t="str">
        <f t="shared" si="213"/>
        <v/>
      </c>
      <c r="AH262" s="32" t="str">
        <f t="shared" si="214"/>
        <v/>
      </c>
      <c r="AI262" s="35" t="str">
        <f t="shared" si="215"/>
        <v/>
      </c>
      <c r="AJ262" s="23" t="str">
        <f t="array" ref="AJ262">IFERROR(SMALL(IF(U$1:U$1000="BEGIN",ROW(U$1:U$1000)),ROW()-3),"")</f>
        <v/>
      </c>
      <c r="AK262" s="23" t="str">
        <f t="array" ref="AK262">IFERROR(SMALL(IF(V$1:V$1000="END",ROW(V$1:V$1000)),ROW()-3),"")</f>
        <v/>
      </c>
      <c r="AL262" s="24" t="str">
        <f t="array" ref="AL262">IF(AK262="","",MATCH(AM262,L:L,0))</f>
        <v/>
      </c>
      <c r="AM262" s="35">
        <f t="array" ref="AM262">MAX(IF((B$4:B$1000&lt;=AK262)*(B$4:B$1000&gt;=AJ262),L$4:L$1000, ""))</f>
        <v>0</v>
      </c>
      <c r="AN262" s="32" t="str">
        <f t="shared" si="179"/>
        <v/>
      </c>
      <c r="AO262" s="32" t="str">
        <f t="shared" si="180"/>
        <v/>
      </c>
      <c r="AP262" s="32" t="str">
        <f t="shared" si="181"/>
        <v/>
      </c>
      <c r="AQ262" s="32" t="str">
        <f t="shared" si="182"/>
        <v/>
      </c>
      <c r="AR262" s="32" t="str">
        <f t="shared" si="183"/>
        <v/>
      </c>
      <c r="AS262" s="32" t="str">
        <f t="shared" si="184"/>
        <v/>
      </c>
      <c r="AT262" s="32" t="str">
        <f t="shared" si="185"/>
        <v/>
      </c>
      <c r="AU262" s="34" t="str">
        <f t="shared" si="186"/>
        <v/>
      </c>
      <c r="AV262" s="32" t="str">
        <f t="shared" si="187"/>
        <v/>
      </c>
      <c r="AW262" s="32" t="str">
        <f t="shared" si="188"/>
        <v/>
      </c>
      <c r="AX262" s="32" t="str">
        <f t="shared" si="189"/>
        <v/>
      </c>
      <c r="AY262" s="32" t="str">
        <f t="shared" si="190"/>
        <v/>
      </c>
    </row>
    <row r="263" spans="1:51" x14ac:dyDescent="0.25">
      <c r="A263" s="24" t="str">
        <f t="shared" si="191"/>
        <v/>
      </c>
      <c r="B263" s="24" t="str">
        <f t="shared" si="201"/>
        <v/>
      </c>
      <c r="C263" s="32" t="str">
        <f t="shared" si="192"/>
        <v/>
      </c>
      <c r="D263" s="24" t="str">
        <f t="shared" si="193"/>
        <v/>
      </c>
      <c r="E263" s="24" t="str">
        <f t="shared" si="194"/>
        <v/>
      </c>
      <c r="F263" s="32" t="str">
        <f t="shared" si="195"/>
        <v/>
      </c>
      <c r="G263" s="32" t="str">
        <f t="shared" si="196"/>
        <v/>
      </c>
      <c r="H263" s="32" t="str">
        <f t="shared" ca="1" si="197"/>
        <v/>
      </c>
      <c r="I263" s="32" t="str">
        <f t="shared" ca="1" si="202"/>
        <v/>
      </c>
      <c r="J263" s="32" t="str">
        <f t="shared" si="198"/>
        <v/>
      </c>
      <c r="K263" s="32" t="str">
        <f>IF(ISNUMBER(A263),Profile!$V$25+Profile!$V$24*'Ri-Po'!C263,"")</f>
        <v/>
      </c>
      <c r="L263" s="32" t="str">
        <f t="shared" si="203"/>
        <v/>
      </c>
      <c r="M263" s="32" t="str">
        <f t="shared" si="199"/>
        <v/>
      </c>
      <c r="N263" s="32" t="str">
        <f t="shared" si="200"/>
        <v/>
      </c>
      <c r="O263" s="32" t="str">
        <f t="shared" si="216"/>
        <v/>
      </c>
      <c r="P263" s="32" t="str">
        <f t="shared" si="204"/>
        <v/>
      </c>
      <c r="Q263" s="32" t="str">
        <f t="shared" si="205"/>
        <v/>
      </c>
      <c r="R263" s="32" t="str">
        <f t="shared" si="217"/>
        <v/>
      </c>
      <c r="S263" s="24" t="str">
        <f t="shared" si="218"/>
        <v/>
      </c>
      <c r="T263" s="24" t="str">
        <f t="shared" si="219"/>
        <v/>
      </c>
      <c r="U263" s="24" t="str">
        <f t="shared" si="220"/>
        <v/>
      </c>
      <c r="V263" s="24" t="str">
        <f t="shared" si="221"/>
        <v/>
      </c>
      <c r="W263" s="23" t="str">
        <f t="array" ref="W263">IFERROR(SMALL(IF(S$1:S$1000="BEGIN",ROW(S$1:S$1000)),ROW()-3),"")</f>
        <v/>
      </c>
      <c r="X263" s="23" t="str">
        <f t="array" ref="X263">IFERROR(SMALL(IF(T$1:T$1000="END",ROW(T$1:T$1000)),ROW()-3),"")</f>
        <v/>
      </c>
      <c r="Y263" s="33" t="str">
        <f t="array" ref="Y263">IF(ISNUMBER(W263),MAX(IF((B$4:B$1000&lt;=X263)*(B$4:B$1000&gt;=W263),I$4:I$1000, "")),"")</f>
        <v/>
      </c>
      <c r="Z263" s="33" t="str">
        <f t="shared" si="206"/>
        <v/>
      </c>
      <c r="AA263" s="32" t="str">
        <f t="shared" si="207"/>
        <v/>
      </c>
      <c r="AB263" s="32" t="str">
        <f t="shared" si="208"/>
        <v/>
      </c>
      <c r="AC263" s="32" t="str">
        <f t="shared" si="209"/>
        <v/>
      </c>
      <c r="AD263" s="32" t="str">
        <f t="shared" si="210"/>
        <v/>
      </c>
      <c r="AE263" s="34" t="str">
        <f t="shared" si="211"/>
        <v/>
      </c>
      <c r="AF263" s="32" t="str">
        <f t="shared" si="212"/>
        <v/>
      </c>
      <c r="AG263" s="32" t="str">
        <f t="shared" si="213"/>
        <v/>
      </c>
      <c r="AH263" s="32" t="str">
        <f t="shared" si="214"/>
        <v/>
      </c>
      <c r="AI263" s="35" t="str">
        <f t="shared" si="215"/>
        <v/>
      </c>
      <c r="AJ263" s="23" t="str">
        <f t="array" ref="AJ263">IFERROR(SMALL(IF(U$1:U$1000="BEGIN",ROW(U$1:U$1000)),ROW()-3),"")</f>
        <v/>
      </c>
      <c r="AK263" s="23" t="str">
        <f t="array" ref="AK263">IFERROR(SMALL(IF(V$1:V$1000="END",ROW(V$1:V$1000)),ROW()-3),"")</f>
        <v/>
      </c>
      <c r="AL263" s="24" t="str">
        <f t="array" ref="AL263">IF(AK263="","",MATCH(AM263,L:L,0))</f>
        <v/>
      </c>
      <c r="AM263" s="35">
        <f t="array" ref="AM263">MAX(IF((B$4:B$1000&lt;=AK263)*(B$4:B$1000&gt;=AJ263),L$4:L$1000, ""))</f>
        <v>0</v>
      </c>
      <c r="AN263" s="32" t="str">
        <f t="shared" si="179"/>
        <v/>
      </c>
      <c r="AO263" s="32" t="str">
        <f t="shared" si="180"/>
        <v/>
      </c>
      <c r="AP263" s="32" t="str">
        <f t="shared" si="181"/>
        <v/>
      </c>
      <c r="AQ263" s="32" t="str">
        <f t="shared" si="182"/>
        <v/>
      </c>
      <c r="AR263" s="32" t="str">
        <f t="shared" si="183"/>
        <v/>
      </c>
      <c r="AS263" s="32" t="str">
        <f t="shared" si="184"/>
        <v/>
      </c>
      <c r="AT263" s="32" t="str">
        <f t="shared" si="185"/>
        <v/>
      </c>
      <c r="AU263" s="34" t="str">
        <f t="shared" si="186"/>
        <v/>
      </c>
      <c r="AV263" s="32" t="str">
        <f t="shared" si="187"/>
        <v/>
      </c>
      <c r="AW263" s="32" t="str">
        <f t="shared" si="188"/>
        <v/>
      </c>
      <c r="AX263" s="32" t="str">
        <f t="shared" si="189"/>
        <v/>
      </c>
      <c r="AY263" s="32" t="str">
        <f t="shared" si="190"/>
        <v/>
      </c>
    </row>
    <row r="264" spans="1:51" x14ac:dyDescent="0.25">
      <c r="A264" s="24" t="str">
        <f t="shared" si="191"/>
        <v/>
      </c>
      <c r="B264" s="24" t="str">
        <f t="shared" si="201"/>
        <v/>
      </c>
      <c r="C264" s="32" t="str">
        <f t="shared" si="192"/>
        <v/>
      </c>
      <c r="D264" s="24" t="str">
        <f t="shared" si="193"/>
        <v/>
      </c>
      <c r="E264" s="24" t="str">
        <f t="shared" si="194"/>
        <v/>
      </c>
      <c r="F264" s="32" t="str">
        <f t="shared" si="195"/>
        <v/>
      </c>
      <c r="G264" s="32" t="str">
        <f t="shared" si="196"/>
        <v/>
      </c>
      <c r="H264" s="32" t="str">
        <f t="shared" ca="1" si="197"/>
        <v/>
      </c>
      <c r="I264" s="32" t="str">
        <f t="shared" ca="1" si="202"/>
        <v/>
      </c>
      <c r="J264" s="32" t="str">
        <f t="shared" si="198"/>
        <v/>
      </c>
      <c r="K264" s="32" t="str">
        <f>IF(ISNUMBER(A264),Profile!$V$25+Profile!$V$24*'Ri-Po'!C264,"")</f>
        <v/>
      </c>
      <c r="L264" s="32" t="str">
        <f t="shared" si="203"/>
        <v/>
      </c>
      <c r="M264" s="32" t="str">
        <f t="shared" si="199"/>
        <v/>
      </c>
      <c r="N264" s="32" t="str">
        <f t="shared" si="200"/>
        <v/>
      </c>
      <c r="O264" s="32" t="str">
        <f t="shared" si="216"/>
        <v/>
      </c>
      <c r="P264" s="32" t="str">
        <f t="shared" si="204"/>
        <v/>
      </c>
      <c r="Q264" s="32" t="str">
        <f t="shared" si="205"/>
        <v/>
      </c>
      <c r="R264" s="32" t="str">
        <f t="shared" si="217"/>
        <v/>
      </c>
      <c r="S264" s="24" t="str">
        <f t="shared" si="218"/>
        <v/>
      </c>
      <c r="T264" s="24" t="str">
        <f t="shared" si="219"/>
        <v/>
      </c>
      <c r="U264" s="24" t="str">
        <f t="shared" si="220"/>
        <v/>
      </c>
      <c r="V264" s="24" t="str">
        <f t="shared" si="221"/>
        <v/>
      </c>
      <c r="W264" s="23" t="str">
        <f t="array" ref="W264">IFERROR(SMALL(IF(S$1:S$1000="BEGIN",ROW(S$1:S$1000)),ROW()-3),"")</f>
        <v/>
      </c>
      <c r="X264" s="23" t="str">
        <f t="array" ref="X264">IFERROR(SMALL(IF(T$1:T$1000="END",ROW(T$1:T$1000)),ROW()-3),"")</f>
        <v/>
      </c>
      <c r="Y264" s="33" t="str">
        <f t="array" ref="Y264">IF(ISNUMBER(W264),MAX(IF((B$4:B$1000&lt;=X264)*(B$4:B$1000&gt;=W264),I$4:I$1000, "")),"")</f>
        <v/>
      </c>
      <c r="Z264" s="33" t="str">
        <f t="shared" si="206"/>
        <v/>
      </c>
      <c r="AA264" s="32" t="str">
        <f t="shared" si="207"/>
        <v/>
      </c>
      <c r="AB264" s="32" t="str">
        <f t="shared" si="208"/>
        <v/>
      </c>
      <c r="AC264" s="32" t="str">
        <f t="shared" si="209"/>
        <v/>
      </c>
      <c r="AD264" s="32" t="str">
        <f t="shared" si="210"/>
        <v/>
      </c>
      <c r="AE264" s="34" t="str">
        <f t="shared" si="211"/>
        <v/>
      </c>
      <c r="AF264" s="32" t="str">
        <f t="shared" si="212"/>
        <v/>
      </c>
      <c r="AG264" s="32" t="str">
        <f t="shared" si="213"/>
        <v/>
      </c>
      <c r="AH264" s="32" t="str">
        <f t="shared" si="214"/>
        <v/>
      </c>
      <c r="AI264" s="35" t="str">
        <f t="shared" si="215"/>
        <v/>
      </c>
      <c r="AJ264" s="23" t="str">
        <f t="array" ref="AJ264">IFERROR(SMALL(IF(U$1:U$1000="BEGIN",ROW(U$1:U$1000)),ROW()-3),"")</f>
        <v/>
      </c>
      <c r="AK264" s="23" t="str">
        <f t="array" ref="AK264">IFERROR(SMALL(IF(V$1:V$1000="END",ROW(V$1:V$1000)),ROW()-3),"")</f>
        <v/>
      </c>
      <c r="AL264" s="24" t="str">
        <f t="array" ref="AL264">IF(AK264="","",MATCH(AM264,L:L,0))</f>
        <v/>
      </c>
      <c r="AM264" s="35">
        <f t="array" ref="AM264">MAX(IF((B$4:B$1000&lt;=AK264)*(B$4:B$1000&gt;=AJ264),L$4:L$1000, ""))</f>
        <v>0</v>
      </c>
      <c r="AN264" s="32" t="str">
        <f t="shared" si="179"/>
        <v/>
      </c>
      <c r="AO264" s="32" t="str">
        <f t="shared" si="180"/>
        <v/>
      </c>
      <c r="AP264" s="32" t="str">
        <f t="shared" si="181"/>
        <v/>
      </c>
      <c r="AQ264" s="32" t="str">
        <f t="shared" si="182"/>
        <v/>
      </c>
      <c r="AR264" s="32" t="str">
        <f t="shared" si="183"/>
        <v/>
      </c>
      <c r="AS264" s="32" t="str">
        <f t="shared" si="184"/>
        <v/>
      </c>
      <c r="AT264" s="32" t="str">
        <f t="shared" si="185"/>
        <v/>
      </c>
      <c r="AU264" s="34" t="str">
        <f t="shared" si="186"/>
        <v/>
      </c>
      <c r="AV264" s="32" t="str">
        <f t="shared" si="187"/>
        <v/>
      </c>
      <c r="AW264" s="32" t="str">
        <f t="shared" si="188"/>
        <v/>
      </c>
      <c r="AX264" s="32" t="str">
        <f t="shared" si="189"/>
        <v/>
      </c>
      <c r="AY264" s="32" t="str">
        <f t="shared" si="190"/>
        <v/>
      </c>
    </row>
    <row r="265" spans="1:51" x14ac:dyDescent="0.25">
      <c r="A265" s="24" t="str">
        <f t="shared" si="191"/>
        <v/>
      </c>
      <c r="B265" s="24" t="str">
        <f t="shared" si="201"/>
        <v/>
      </c>
      <c r="C265" s="32" t="str">
        <f t="shared" si="192"/>
        <v/>
      </c>
      <c r="D265" s="24" t="str">
        <f t="shared" si="193"/>
        <v/>
      </c>
      <c r="E265" s="24" t="str">
        <f t="shared" si="194"/>
        <v/>
      </c>
      <c r="F265" s="32" t="str">
        <f t="shared" si="195"/>
        <v/>
      </c>
      <c r="G265" s="32" t="str">
        <f t="shared" si="196"/>
        <v/>
      </c>
      <c r="H265" s="32" t="str">
        <f t="shared" ca="1" si="197"/>
        <v/>
      </c>
      <c r="I265" s="32" t="str">
        <f t="shared" ca="1" si="202"/>
        <v/>
      </c>
      <c r="J265" s="32" t="str">
        <f t="shared" si="198"/>
        <v/>
      </c>
      <c r="K265" s="32" t="str">
        <f>IF(ISNUMBER(A265),Profile!$V$25+Profile!$V$24*'Ri-Po'!C265,"")</f>
        <v/>
      </c>
      <c r="L265" s="32" t="str">
        <f t="shared" si="203"/>
        <v/>
      </c>
      <c r="M265" s="32" t="str">
        <f t="shared" si="199"/>
        <v/>
      </c>
      <c r="N265" s="32" t="str">
        <f t="shared" si="200"/>
        <v/>
      </c>
      <c r="O265" s="32" t="str">
        <f t="shared" si="216"/>
        <v/>
      </c>
      <c r="P265" s="32" t="str">
        <f t="shared" si="204"/>
        <v/>
      </c>
      <c r="Q265" s="32" t="str">
        <f t="shared" si="205"/>
        <v/>
      </c>
      <c r="R265" s="32" t="str">
        <f t="shared" si="217"/>
        <v/>
      </c>
      <c r="S265" s="24" t="str">
        <f t="shared" si="218"/>
        <v/>
      </c>
      <c r="T265" s="24" t="str">
        <f t="shared" si="219"/>
        <v/>
      </c>
      <c r="U265" s="24" t="str">
        <f t="shared" si="220"/>
        <v/>
      </c>
      <c r="V265" s="24" t="str">
        <f t="shared" si="221"/>
        <v/>
      </c>
      <c r="W265" s="23" t="str">
        <f t="array" ref="W265">IFERROR(SMALL(IF(S$1:S$1000="BEGIN",ROW(S$1:S$1000)),ROW()-3),"")</f>
        <v/>
      </c>
      <c r="X265" s="23" t="str">
        <f t="array" ref="X265">IFERROR(SMALL(IF(T$1:T$1000="END",ROW(T$1:T$1000)),ROW()-3),"")</f>
        <v/>
      </c>
      <c r="Y265" s="33" t="str">
        <f t="array" ref="Y265">IF(ISNUMBER(W265),MAX(IF((B$4:B$1000&lt;=X265)*(B$4:B$1000&gt;=W265),I$4:I$1000, "")),"")</f>
        <v/>
      </c>
      <c r="Z265" s="33" t="str">
        <f t="shared" si="206"/>
        <v/>
      </c>
      <c r="AA265" s="32" t="str">
        <f t="shared" si="207"/>
        <v/>
      </c>
      <c r="AB265" s="32" t="str">
        <f t="shared" si="208"/>
        <v/>
      </c>
      <c r="AC265" s="32" t="str">
        <f t="shared" si="209"/>
        <v/>
      </c>
      <c r="AD265" s="32" t="str">
        <f t="shared" si="210"/>
        <v/>
      </c>
      <c r="AE265" s="34" t="str">
        <f t="shared" si="211"/>
        <v/>
      </c>
      <c r="AF265" s="32" t="str">
        <f t="shared" si="212"/>
        <v/>
      </c>
      <c r="AG265" s="32" t="str">
        <f t="shared" si="213"/>
        <v/>
      </c>
      <c r="AH265" s="32" t="str">
        <f t="shared" si="214"/>
        <v/>
      </c>
      <c r="AI265" s="35" t="str">
        <f t="shared" si="215"/>
        <v/>
      </c>
      <c r="AJ265" s="23" t="str">
        <f t="array" ref="AJ265">IFERROR(SMALL(IF(U$1:U$1000="BEGIN",ROW(U$1:U$1000)),ROW()-3),"")</f>
        <v/>
      </c>
      <c r="AK265" s="23" t="str">
        <f t="array" ref="AK265">IFERROR(SMALL(IF(V$1:V$1000="END",ROW(V$1:V$1000)),ROW()-3),"")</f>
        <v/>
      </c>
      <c r="AL265" s="24" t="str">
        <f t="array" ref="AL265">IF(AK265="","",MATCH(AM265,L:L,0))</f>
        <v/>
      </c>
      <c r="AM265" s="35">
        <f t="array" ref="AM265">MAX(IF((B$4:B$1000&lt;=AK265)*(B$4:B$1000&gt;=AJ265),L$4:L$1000, ""))</f>
        <v>0</v>
      </c>
      <c r="AN265" s="32" t="str">
        <f t="shared" si="179"/>
        <v/>
      </c>
      <c r="AO265" s="32" t="str">
        <f t="shared" si="180"/>
        <v/>
      </c>
      <c r="AP265" s="32" t="str">
        <f t="shared" si="181"/>
        <v/>
      </c>
      <c r="AQ265" s="32" t="str">
        <f t="shared" si="182"/>
        <v/>
      </c>
      <c r="AR265" s="32" t="str">
        <f t="shared" si="183"/>
        <v/>
      </c>
      <c r="AS265" s="32" t="str">
        <f t="shared" si="184"/>
        <v/>
      </c>
      <c r="AT265" s="32" t="str">
        <f t="shared" si="185"/>
        <v/>
      </c>
      <c r="AU265" s="34" t="str">
        <f t="shared" si="186"/>
        <v/>
      </c>
      <c r="AV265" s="32" t="str">
        <f t="shared" si="187"/>
        <v/>
      </c>
      <c r="AW265" s="32" t="str">
        <f t="shared" si="188"/>
        <v/>
      </c>
      <c r="AX265" s="32" t="str">
        <f t="shared" si="189"/>
        <v/>
      </c>
      <c r="AY265" s="32" t="str">
        <f t="shared" si="190"/>
        <v/>
      </c>
    </row>
    <row r="266" spans="1:51" x14ac:dyDescent="0.25">
      <c r="A266" s="24" t="str">
        <f t="shared" si="191"/>
        <v/>
      </c>
      <c r="B266" s="24" t="str">
        <f t="shared" si="201"/>
        <v/>
      </c>
      <c r="C266" s="32" t="str">
        <f t="shared" si="192"/>
        <v/>
      </c>
      <c r="D266" s="24" t="str">
        <f t="shared" si="193"/>
        <v/>
      </c>
      <c r="E266" s="24" t="str">
        <f t="shared" si="194"/>
        <v/>
      </c>
      <c r="F266" s="32" t="str">
        <f t="shared" si="195"/>
        <v/>
      </c>
      <c r="G266" s="32" t="str">
        <f t="shared" si="196"/>
        <v/>
      </c>
      <c r="H266" s="32" t="str">
        <f t="shared" ca="1" si="197"/>
        <v/>
      </c>
      <c r="I266" s="32" t="str">
        <f t="shared" ca="1" si="202"/>
        <v/>
      </c>
      <c r="J266" s="32" t="str">
        <f t="shared" si="198"/>
        <v/>
      </c>
      <c r="K266" s="32" t="str">
        <f>IF(ISNUMBER(A266),Profile!$V$25+Profile!$V$24*'Ri-Po'!C266,"")</f>
        <v/>
      </c>
      <c r="L266" s="32" t="str">
        <f t="shared" si="203"/>
        <v/>
      </c>
      <c r="M266" s="32" t="str">
        <f t="shared" si="199"/>
        <v/>
      </c>
      <c r="N266" s="32" t="str">
        <f t="shared" si="200"/>
        <v/>
      </c>
      <c r="O266" s="32" t="str">
        <f t="shared" si="216"/>
        <v/>
      </c>
      <c r="P266" s="32" t="str">
        <f t="shared" si="204"/>
        <v/>
      </c>
      <c r="Q266" s="32" t="str">
        <f t="shared" si="205"/>
        <v/>
      </c>
      <c r="R266" s="32" t="str">
        <f t="shared" si="217"/>
        <v/>
      </c>
      <c r="S266" s="24" t="str">
        <f t="shared" si="218"/>
        <v/>
      </c>
      <c r="T266" s="24" t="str">
        <f t="shared" si="219"/>
        <v/>
      </c>
      <c r="U266" s="24" t="str">
        <f t="shared" si="220"/>
        <v/>
      </c>
      <c r="V266" s="24" t="str">
        <f t="shared" si="221"/>
        <v/>
      </c>
      <c r="W266" s="23" t="str">
        <f t="array" ref="W266">IFERROR(SMALL(IF(S$1:S$1000="BEGIN",ROW(S$1:S$1000)),ROW()-3),"")</f>
        <v/>
      </c>
      <c r="X266" s="23" t="str">
        <f t="array" ref="X266">IFERROR(SMALL(IF(T$1:T$1000="END",ROW(T$1:T$1000)),ROW()-3),"")</f>
        <v/>
      </c>
      <c r="Y266" s="33" t="str">
        <f t="array" ref="Y266">IF(ISNUMBER(W266),MAX(IF((B$4:B$1000&lt;=X266)*(B$4:B$1000&gt;=W266),I$4:I$1000, "")),"")</f>
        <v/>
      </c>
      <c r="Z266" s="33" t="str">
        <f t="shared" si="206"/>
        <v/>
      </c>
      <c r="AA266" s="32" t="str">
        <f t="shared" si="207"/>
        <v/>
      </c>
      <c r="AB266" s="32" t="str">
        <f t="shared" si="208"/>
        <v/>
      </c>
      <c r="AC266" s="32" t="str">
        <f t="shared" si="209"/>
        <v/>
      </c>
      <c r="AD266" s="32" t="str">
        <f t="shared" si="210"/>
        <v/>
      </c>
      <c r="AE266" s="34" t="str">
        <f t="shared" si="211"/>
        <v/>
      </c>
      <c r="AF266" s="32" t="str">
        <f t="shared" si="212"/>
        <v/>
      </c>
      <c r="AG266" s="32" t="str">
        <f t="shared" si="213"/>
        <v/>
      </c>
      <c r="AH266" s="32" t="str">
        <f t="shared" si="214"/>
        <v/>
      </c>
      <c r="AI266" s="35" t="str">
        <f t="shared" si="215"/>
        <v/>
      </c>
      <c r="AJ266" s="23" t="str">
        <f t="array" ref="AJ266">IFERROR(SMALL(IF(U$1:U$1000="BEGIN",ROW(U$1:U$1000)),ROW()-3),"")</f>
        <v/>
      </c>
      <c r="AK266" s="23" t="str">
        <f t="array" ref="AK266">IFERROR(SMALL(IF(V$1:V$1000="END",ROW(V$1:V$1000)),ROW()-3),"")</f>
        <v/>
      </c>
      <c r="AL266" s="24" t="str">
        <f t="array" ref="AL266">IF(AK266="","",MATCH(AM266,L:L,0))</f>
        <v/>
      </c>
      <c r="AM266" s="35">
        <f t="array" ref="AM266">MAX(IF((B$4:B$1000&lt;=AK266)*(B$4:B$1000&gt;=AJ266),L$4:L$1000, ""))</f>
        <v>0</v>
      </c>
      <c r="AN266" s="32" t="str">
        <f t="shared" si="179"/>
        <v/>
      </c>
      <c r="AO266" s="32" t="str">
        <f t="shared" si="180"/>
        <v/>
      </c>
      <c r="AP266" s="32" t="str">
        <f t="shared" si="181"/>
        <v/>
      </c>
      <c r="AQ266" s="32" t="str">
        <f t="shared" si="182"/>
        <v/>
      </c>
      <c r="AR266" s="32" t="str">
        <f t="shared" si="183"/>
        <v/>
      </c>
      <c r="AS266" s="32" t="str">
        <f t="shared" si="184"/>
        <v/>
      </c>
      <c r="AT266" s="32" t="str">
        <f t="shared" si="185"/>
        <v/>
      </c>
      <c r="AU266" s="34" t="str">
        <f t="shared" si="186"/>
        <v/>
      </c>
      <c r="AV266" s="32" t="str">
        <f t="shared" si="187"/>
        <v/>
      </c>
      <c r="AW266" s="32" t="str">
        <f t="shared" si="188"/>
        <v/>
      </c>
      <c r="AX266" s="32" t="str">
        <f t="shared" si="189"/>
        <v/>
      </c>
      <c r="AY266" s="32" t="str">
        <f t="shared" si="190"/>
        <v/>
      </c>
    </row>
    <row r="267" spans="1:51" x14ac:dyDescent="0.25">
      <c r="A267" s="24" t="str">
        <f t="shared" si="191"/>
        <v/>
      </c>
      <c r="B267" s="24" t="str">
        <f t="shared" si="201"/>
        <v/>
      </c>
      <c r="C267" s="32" t="str">
        <f t="shared" si="192"/>
        <v/>
      </c>
      <c r="D267" s="24" t="str">
        <f t="shared" si="193"/>
        <v/>
      </c>
      <c r="E267" s="24" t="str">
        <f t="shared" si="194"/>
        <v/>
      </c>
      <c r="F267" s="32" t="str">
        <f t="shared" si="195"/>
        <v/>
      </c>
      <c r="G267" s="32" t="str">
        <f t="shared" si="196"/>
        <v/>
      </c>
      <c r="H267" s="32" t="str">
        <f t="shared" ca="1" si="197"/>
        <v/>
      </c>
      <c r="I267" s="32" t="str">
        <f t="shared" ca="1" si="202"/>
        <v/>
      </c>
      <c r="J267" s="32" t="str">
        <f t="shared" si="198"/>
        <v/>
      </c>
      <c r="K267" s="32" t="str">
        <f>IF(ISNUMBER(A267),Profile!$V$25+Profile!$V$24*'Ri-Po'!C267,"")</f>
        <v/>
      </c>
      <c r="L267" s="32" t="str">
        <f t="shared" si="203"/>
        <v/>
      </c>
      <c r="M267" s="32" t="str">
        <f t="shared" si="199"/>
        <v/>
      </c>
      <c r="N267" s="32" t="str">
        <f t="shared" si="200"/>
        <v/>
      </c>
      <c r="O267" s="32" t="str">
        <f t="shared" si="216"/>
        <v/>
      </c>
      <c r="P267" s="32" t="str">
        <f t="shared" si="204"/>
        <v/>
      </c>
      <c r="Q267" s="32" t="str">
        <f t="shared" si="205"/>
        <v/>
      </c>
      <c r="R267" s="32" t="str">
        <f t="shared" si="217"/>
        <v/>
      </c>
      <c r="S267" s="24" t="str">
        <f t="shared" si="218"/>
        <v/>
      </c>
      <c r="T267" s="24" t="str">
        <f t="shared" si="219"/>
        <v/>
      </c>
      <c r="U267" s="24" t="str">
        <f t="shared" si="220"/>
        <v/>
      </c>
      <c r="V267" s="24" t="str">
        <f t="shared" si="221"/>
        <v/>
      </c>
      <c r="W267" s="23" t="str">
        <f t="array" ref="W267">IFERROR(SMALL(IF(S$1:S$1000="BEGIN",ROW(S$1:S$1000)),ROW()-3),"")</f>
        <v/>
      </c>
      <c r="X267" s="23" t="str">
        <f t="array" ref="X267">IFERROR(SMALL(IF(T$1:T$1000="END",ROW(T$1:T$1000)),ROW()-3),"")</f>
        <v/>
      </c>
      <c r="Y267" s="33" t="str">
        <f t="array" ref="Y267">IF(ISNUMBER(W267),MAX(IF((B$4:B$1000&lt;=X267)*(B$4:B$1000&gt;=W267),I$4:I$1000, "")),"")</f>
        <v/>
      </c>
      <c r="Z267" s="33" t="str">
        <f t="shared" si="206"/>
        <v/>
      </c>
      <c r="AA267" s="32" t="str">
        <f t="shared" si="207"/>
        <v/>
      </c>
      <c r="AB267" s="32" t="str">
        <f t="shared" si="208"/>
        <v/>
      </c>
      <c r="AC267" s="32" t="str">
        <f t="shared" si="209"/>
        <v/>
      </c>
      <c r="AD267" s="32" t="str">
        <f t="shared" si="210"/>
        <v/>
      </c>
      <c r="AE267" s="34" t="str">
        <f t="shared" si="211"/>
        <v/>
      </c>
      <c r="AF267" s="32" t="str">
        <f t="shared" si="212"/>
        <v/>
      </c>
      <c r="AG267" s="32" t="str">
        <f t="shared" si="213"/>
        <v/>
      </c>
      <c r="AH267" s="32" t="str">
        <f t="shared" si="214"/>
        <v/>
      </c>
      <c r="AI267" s="35" t="str">
        <f t="shared" si="215"/>
        <v/>
      </c>
      <c r="AJ267" s="23" t="str">
        <f t="array" ref="AJ267">IFERROR(SMALL(IF(U$1:U$1000="BEGIN",ROW(U$1:U$1000)),ROW()-3),"")</f>
        <v/>
      </c>
      <c r="AK267" s="23" t="str">
        <f t="array" ref="AK267">IFERROR(SMALL(IF(V$1:V$1000="END",ROW(V$1:V$1000)),ROW()-3),"")</f>
        <v/>
      </c>
      <c r="AL267" s="24" t="str">
        <f t="array" ref="AL267">IF(AK267="","",MATCH(AM267,L:L,0))</f>
        <v/>
      </c>
      <c r="AM267" s="35">
        <f t="array" ref="AM267">MAX(IF((B$4:B$1000&lt;=AK267)*(B$4:B$1000&gt;=AJ267),L$4:L$1000, ""))</f>
        <v>0</v>
      </c>
      <c r="AN267" s="32" t="str">
        <f t="shared" si="179"/>
        <v/>
      </c>
      <c r="AO267" s="32" t="str">
        <f t="shared" si="180"/>
        <v/>
      </c>
      <c r="AP267" s="32" t="str">
        <f t="shared" si="181"/>
        <v/>
      </c>
      <c r="AQ267" s="32" t="str">
        <f t="shared" si="182"/>
        <v/>
      </c>
      <c r="AR267" s="32" t="str">
        <f t="shared" si="183"/>
        <v/>
      </c>
      <c r="AS267" s="32" t="str">
        <f t="shared" si="184"/>
        <v/>
      </c>
      <c r="AT267" s="32" t="str">
        <f t="shared" si="185"/>
        <v/>
      </c>
      <c r="AU267" s="34" t="str">
        <f t="shared" si="186"/>
        <v/>
      </c>
      <c r="AV267" s="32" t="str">
        <f t="shared" si="187"/>
        <v/>
      </c>
      <c r="AW267" s="32" t="str">
        <f t="shared" si="188"/>
        <v/>
      </c>
      <c r="AX267" s="32" t="str">
        <f t="shared" si="189"/>
        <v/>
      </c>
      <c r="AY267" s="32" t="str">
        <f t="shared" si="190"/>
        <v/>
      </c>
    </row>
    <row r="268" spans="1:51" x14ac:dyDescent="0.25">
      <c r="A268" s="24" t="str">
        <f t="shared" si="191"/>
        <v/>
      </c>
      <c r="B268" s="24" t="str">
        <f t="shared" si="201"/>
        <v/>
      </c>
      <c r="C268" s="32" t="str">
        <f t="shared" si="192"/>
        <v/>
      </c>
      <c r="D268" s="24" t="str">
        <f t="shared" si="193"/>
        <v/>
      </c>
      <c r="E268" s="24" t="str">
        <f t="shared" si="194"/>
        <v/>
      </c>
      <c r="F268" s="32" t="str">
        <f t="shared" si="195"/>
        <v/>
      </c>
      <c r="G268" s="32" t="str">
        <f t="shared" si="196"/>
        <v/>
      </c>
      <c r="H268" s="32" t="str">
        <f t="shared" ca="1" si="197"/>
        <v/>
      </c>
      <c r="I268" s="32" t="str">
        <f t="shared" ca="1" si="202"/>
        <v/>
      </c>
      <c r="J268" s="32" t="str">
        <f t="shared" si="198"/>
        <v/>
      </c>
      <c r="K268" s="32" t="str">
        <f>IF(ISNUMBER(A268),Profile!$V$25+Profile!$V$24*'Ri-Po'!C268,"")</f>
        <v/>
      </c>
      <c r="L268" s="32" t="str">
        <f t="shared" si="203"/>
        <v/>
      </c>
      <c r="M268" s="32" t="str">
        <f t="shared" si="199"/>
        <v/>
      </c>
      <c r="N268" s="32" t="str">
        <f t="shared" si="200"/>
        <v/>
      </c>
      <c r="O268" s="32" t="str">
        <f t="shared" si="216"/>
        <v/>
      </c>
      <c r="P268" s="32" t="str">
        <f t="shared" si="204"/>
        <v/>
      </c>
      <c r="Q268" s="32" t="str">
        <f t="shared" si="205"/>
        <v/>
      </c>
      <c r="R268" s="32" t="str">
        <f t="shared" si="217"/>
        <v/>
      </c>
      <c r="S268" s="24" t="str">
        <f t="shared" si="218"/>
        <v/>
      </c>
      <c r="T268" s="24" t="str">
        <f t="shared" si="219"/>
        <v/>
      </c>
      <c r="U268" s="24" t="str">
        <f t="shared" si="220"/>
        <v/>
      </c>
      <c r="V268" s="24" t="str">
        <f t="shared" si="221"/>
        <v/>
      </c>
      <c r="W268" s="23" t="str">
        <f t="array" ref="W268">IFERROR(SMALL(IF(S$1:S$1000="BEGIN",ROW(S$1:S$1000)),ROW()-3),"")</f>
        <v/>
      </c>
      <c r="X268" s="23" t="str">
        <f t="array" ref="X268">IFERROR(SMALL(IF(T$1:T$1000="END",ROW(T$1:T$1000)),ROW()-3),"")</f>
        <v/>
      </c>
      <c r="Y268" s="33" t="str">
        <f t="array" ref="Y268">IF(ISNUMBER(W268),MAX(IF((B$4:B$1000&lt;=X268)*(B$4:B$1000&gt;=W268),I$4:I$1000, "")),"")</f>
        <v/>
      </c>
      <c r="Z268" s="33" t="str">
        <f t="shared" si="206"/>
        <v/>
      </c>
      <c r="AA268" s="32" t="str">
        <f t="shared" si="207"/>
        <v/>
      </c>
      <c r="AB268" s="32" t="str">
        <f t="shared" si="208"/>
        <v/>
      </c>
      <c r="AC268" s="32" t="str">
        <f t="shared" si="209"/>
        <v/>
      </c>
      <c r="AD268" s="32" t="str">
        <f t="shared" si="210"/>
        <v/>
      </c>
      <c r="AE268" s="34" t="str">
        <f t="shared" si="211"/>
        <v/>
      </c>
      <c r="AF268" s="32" t="str">
        <f t="shared" si="212"/>
        <v/>
      </c>
      <c r="AG268" s="32" t="str">
        <f t="shared" si="213"/>
        <v/>
      </c>
      <c r="AH268" s="32" t="str">
        <f t="shared" si="214"/>
        <v/>
      </c>
      <c r="AI268" s="35" t="str">
        <f t="shared" si="215"/>
        <v/>
      </c>
      <c r="AJ268" s="23" t="str">
        <f t="array" ref="AJ268">IFERROR(SMALL(IF(U$1:U$1000="BEGIN",ROW(U$1:U$1000)),ROW()-3),"")</f>
        <v/>
      </c>
      <c r="AK268" s="23" t="str">
        <f t="array" ref="AK268">IFERROR(SMALL(IF(V$1:V$1000="END",ROW(V$1:V$1000)),ROW()-3),"")</f>
        <v/>
      </c>
      <c r="AL268" s="24" t="str">
        <f t="array" ref="AL268">IF(AK268="","",MATCH(AM268,L:L,0))</f>
        <v/>
      </c>
      <c r="AM268" s="35">
        <f t="array" ref="AM268">MAX(IF((B$4:B$1000&lt;=AK268)*(B$4:B$1000&gt;=AJ268),L$4:L$1000, ""))</f>
        <v>0</v>
      </c>
      <c r="AN268" s="32" t="str">
        <f t="shared" si="179"/>
        <v/>
      </c>
      <c r="AO268" s="32" t="str">
        <f t="shared" si="180"/>
        <v/>
      </c>
      <c r="AP268" s="32" t="str">
        <f t="shared" si="181"/>
        <v/>
      </c>
      <c r="AQ268" s="32" t="str">
        <f t="shared" si="182"/>
        <v/>
      </c>
      <c r="AR268" s="32" t="str">
        <f t="shared" si="183"/>
        <v/>
      </c>
      <c r="AS268" s="32" t="str">
        <f t="shared" si="184"/>
        <v/>
      </c>
      <c r="AT268" s="32" t="str">
        <f t="shared" si="185"/>
        <v/>
      </c>
      <c r="AU268" s="34" t="str">
        <f t="shared" si="186"/>
        <v/>
      </c>
      <c r="AV268" s="32" t="str">
        <f t="shared" si="187"/>
        <v/>
      </c>
      <c r="AW268" s="32" t="str">
        <f t="shared" si="188"/>
        <v/>
      </c>
      <c r="AX268" s="32" t="str">
        <f t="shared" si="189"/>
        <v/>
      </c>
      <c r="AY268" s="32" t="str">
        <f t="shared" si="190"/>
        <v/>
      </c>
    </row>
    <row r="269" spans="1:51" x14ac:dyDescent="0.25">
      <c r="A269" s="24" t="str">
        <f t="shared" si="191"/>
        <v/>
      </c>
      <c r="B269" s="24" t="str">
        <f t="shared" si="201"/>
        <v/>
      </c>
      <c r="C269" s="32" t="str">
        <f t="shared" si="192"/>
        <v/>
      </c>
      <c r="D269" s="24" t="str">
        <f t="shared" si="193"/>
        <v/>
      </c>
      <c r="E269" s="24" t="str">
        <f t="shared" si="194"/>
        <v/>
      </c>
      <c r="F269" s="32" t="str">
        <f t="shared" si="195"/>
        <v/>
      </c>
      <c r="G269" s="32" t="str">
        <f t="shared" si="196"/>
        <v/>
      </c>
      <c r="H269" s="32" t="str">
        <f t="shared" ca="1" si="197"/>
        <v/>
      </c>
      <c r="I269" s="32" t="str">
        <f t="shared" ca="1" si="202"/>
        <v/>
      </c>
      <c r="J269" s="32" t="str">
        <f t="shared" si="198"/>
        <v/>
      </c>
      <c r="K269" s="32" t="str">
        <f>IF(ISNUMBER(A269),Profile!$V$25+Profile!$V$24*'Ri-Po'!C269,"")</f>
        <v/>
      </c>
      <c r="L269" s="32" t="str">
        <f t="shared" si="203"/>
        <v/>
      </c>
      <c r="M269" s="32" t="str">
        <f t="shared" si="199"/>
        <v/>
      </c>
      <c r="N269" s="32" t="str">
        <f t="shared" si="200"/>
        <v/>
      </c>
      <c r="O269" s="32" t="str">
        <f t="shared" si="216"/>
        <v/>
      </c>
      <c r="P269" s="32" t="str">
        <f t="shared" si="204"/>
        <v/>
      </c>
      <c r="Q269" s="32" t="str">
        <f t="shared" si="205"/>
        <v/>
      </c>
      <c r="R269" s="32" t="str">
        <f t="shared" si="217"/>
        <v/>
      </c>
      <c r="S269" s="24" t="str">
        <f t="shared" si="218"/>
        <v/>
      </c>
      <c r="T269" s="24" t="str">
        <f t="shared" si="219"/>
        <v/>
      </c>
      <c r="U269" s="24" t="str">
        <f t="shared" si="220"/>
        <v/>
      </c>
      <c r="V269" s="24" t="str">
        <f t="shared" si="221"/>
        <v/>
      </c>
      <c r="W269" s="23" t="str">
        <f t="array" ref="W269">IFERROR(SMALL(IF(S$1:S$1000="BEGIN",ROW(S$1:S$1000)),ROW()-3),"")</f>
        <v/>
      </c>
      <c r="X269" s="23" t="str">
        <f t="array" ref="X269">IFERROR(SMALL(IF(T$1:T$1000="END",ROW(T$1:T$1000)),ROW()-3),"")</f>
        <v/>
      </c>
      <c r="Y269" s="33" t="str">
        <f t="array" ref="Y269">IF(ISNUMBER(W269),MAX(IF((B$4:B$1000&lt;=X269)*(B$4:B$1000&gt;=W269),I$4:I$1000, "")),"")</f>
        <v/>
      </c>
      <c r="Z269" s="33" t="str">
        <f t="shared" si="206"/>
        <v/>
      </c>
      <c r="AA269" s="32" t="str">
        <f t="shared" si="207"/>
        <v/>
      </c>
      <c r="AB269" s="32" t="str">
        <f t="shared" si="208"/>
        <v/>
      </c>
      <c r="AC269" s="32" t="str">
        <f t="shared" si="209"/>
        <v/>
      </c>
      <c r="AD269" s="32" t="str">
        <f t="shared" si="210"/>
        <v/>
      </c>
      <c r="AE269" s="34" t="str">
        <f t="shared" si="211"/>
        <v/>
      </c>
      <c r="AF269" s="32" t="str">
        <f t="shared" si="212"/>
        <v/>
      </c>
      <c r="AG269" s="32" t="str">
        <f t="shared" si="213"/>
        <v/>
      </c>
      <c r="AH269" s="32" t="str">
        <f t="shared" si="214"/>
        <v/>
      </c>
      <c r="AI269" s="35" t="str">
        <f t="shared" si="215"/>
        <v/>
      </c>
      <c r="AJ269" s="23" t="str">
        <f t="array" ref="AJ269">IFERROR(SMALL(IF(U$1:U$1000="BEGIN",ROW(U$1:U$1000)),ROW()-3),"")</f>
        <v/>
      </c>
      <c r="AK269" s="23" t="str">
        <f t="array" ref="AK269">IFERROR(SMALL(IF(V$1:V$1000="END",ROW(V$1:V$1000)),ROW()-3),"")</f>
        <v/>
      </c>
      <c r="AL269" s="24" t="str">
        <f t="array" ref="AL269">IF(AK269="","",MATCH(AM269,L:L,0))</f>
        <v/>
      </c>
      <c r="AM269" s="35">
        <f t="array" ref="AM269">MAX(IF((B$4:B$1000&lt;=AK269)*(B$4:B$1000&gt;=AJ269),L$4:L$1000, ""))</f>
        <v>0</v>
      </c>
      <c r="AN269" s="32" t="str">
        <f t="shared" si="179"/>
        <v/>
      </c>
      <c r="AO269" s="32" t="str">
        <f t="shared" si="180"/>
        <v/>
      </c>
      <c r="AP269" s="32" t="str">
        <f t="shared" si="181"/>
        <v/>
      </c>
      <c r="AQ269" s="32" t="str">
        <f t="shared" si="182"/>
        <v/>
      </c>
      <c r="AR269" s="32" t="str">
        <f t="shared" si="183"/>
        <v/>
      </c>
      <c r="AS269" s="32" t="str">
        <f t="shared" si="184"/>
        <v/>
      </c>
      <c r="AT269" s="32" t="str">
        <f t="shared" si="185"/>
        <v/>
      </c>
      <c r="AU269" s="34" t="str">
        <f t="shared" si="186"/>
        <v/>
      </c>
      <c r="AV269" s="32" t="str">
        <f t="shared" si="187"/>
        <v/>
      </c>
      <c r="AW269" s="32" t="str">
        <f t="shared" si="188"/>
        <v/>
      </c>
      <c r="AX269" s="32" t="str">
        <f t="shared" si="189"/>
        <v/>
      </c>
      <c r="AY269" s="32" t="str">
        <f t="shared" si="190"/>
        <v/>
      </c>
    </row>
    <row r="270" spans="1:51" x14ac:dyDescent="0.25">
      <c r="A270" s="24" t="str">
        <f t="shared" si="191"/>
        <v/>
      </c>
      <c r="B270" s="24" t="str">
        <f t="shared" si="201"/>
        <v/>
      </c>
      <c r="C270" s="32" t="str">
        <f t="shared" si="192"/>
        <v/>
      </c>
      <c r="D270" s="24" t="str">
        <f t="shared" si="193"/>
        <v/>
      </c>
      <c r="E270" s="24" t="str">
        <f t="shared" si="194"/>
        <v/>
      </c>
      <c r="F270" s="32" t="str">
        <f t="shared" si="195"/>
        <v/>
      </c>
      <c r="G270" s="32" t="str">
        <f t="shared" si="196"/>
        <v/>
      </c>
      <c r="H270" s="32" t="str">
        <f t="shared" ca="1" si="197"/>
        <v/>
      </c>
      <c r="I270" s="32" t="str">
        <f t="shared" ca="1" si="202"/>
        <v/>
      </c>
      <c r="J270" s="32" t="str">
        <f t="shared" si="198"/>
        <v/>
      </c>
      <c r="K270" s="32" t="str">
        <f>IF(ISNUMBER(A270),Profile!$V$25+Profile!$V$24*'Ri-Po'!C270,"")</f>
        <v/>
      </c>
      <c r="L270" s="32" t="str">
        <f t="shared" si="203"/>
        <v/>
      </c>
      <c r="M270" s="32" t="str">
        <f t="shared" si="199"/>
        <v/>
      </c>
      <c r="N270" s="32" t="str">
        <f t="shared" si="200"/>
        <v/>
      </c>
      <c r="O270" s="32" t="str">
        <f t="shared" si="216"/>
        <v/>
      </c>
      <c r="P270" s="32" t="str">
        <f t="shared" si="204"/>
        <v/>
      </c>
      <c r="Q270" s="32" t="str">
        <f t="shared" si="205"/>
        <v/>
      </c>
      <c r="R270" s="32" t="str">
        <f t="shared" si="217"/>
        <v/>
      </c>
      <c r="S270" s="24" t="str">
        <f t="shared" si="218"/>
        <v/>
      </c>
      <c r="T270" s="24" t="str">
        <f t="shared" si="219"/>
        <v/>
      </c>
      <c r="U270" s="24" t="str">
        <f t="shared" si="220"/>
        <v/>
      </c>
      <c r="V270" s="24" t="str">
        <f t="shared" si="221"/>
        <v/>
      </c>
      <c r="W270" s="23" t="str">
        <f t="array" ref="W270">IFERROR(SMALL(IF(S$1:S$1000="BEGIN",ROW(S$1:S$1000)),ROW()-3),"")</f>
        <v/>
      </c>
      <c r="X270" s="23" t="str">
        <f t="array" ref="X270">IFERROR(SMALL(IF(T$1:T$1000="END",ROW(T$1:T$1000)),ROW()-3),"")</f>
        <v/>
      </c>
      <c r="Y270" s="33" t="str">
        <f t="array" ref="Y270">IF(ISNUMBER(W270),MAX(IF((B$4:B$1000&lt;=X270)*(B$4:B$1000&gt;=W270),I$4:I$1000, "")),"")</f>
        <v/>
      </c>
      <c r="Z270" s="33" t="str">
        <f t="shared" si="206"/>
        <v/>
      </c>
      <c r="AA270" s="32" t="str">
        <f t="shared" si="207"/>
        <v/>
      </c>
      <c r="AB270" s="32" t="str">
        <f t="shared" si="208"/>
        <v/>
      </c>
      <c r="AC270" s="32" t="str">
        <f t="shared" si="209"/>
        <v/>
      </c>
      <c r="AD270" s="32" t="str">
        <f t="shared" si="210"/>
        <v/>
      </c>
      <c r="AE270" s="34" t="str">
        <f t="shared" si="211"/>
        <v/>
      </c>
      <c r="AF270" s="32" t="str">
        <f t="shared" si="212"/>
        <v/>
      </c>
      <c r="AG270" s="32" t="str">
        <f t="shared" si="213"/>
        <v/>
      </c>
      <c r="AH270" s="32" t="str">
        <f t="shared" si="214"/>
        <v/>
      </c>
      <c r="AI270" s="35" t="str">
        <f t="shared" si="215"/>
        <v/>
      </c>
      <c r="AJ270" s="23" t="str">
        <f t="array" ref="AJ270">IFERROR(SMALL(IF(U$1:U$1000="BEGIN",ROW(U$1:U$1000)),ROW()-3),"")</f>
        <v/>
      </c>
      <c r="AK270" s="23" t="str">
        <f t="array" ref="AK270">IFERROR(SMALL(IF(V$1:V$1000="END",ROW(V$1:V$1000)),ROW()-3),"")</f>
        <v/>
      </c>
      <c r="AL270" s="24" t="str">
        <f t="array" ref="AL270">IF(AK270="","",MATCH(AM270,L:L,0))</f>
        <v/>
      </c>
      <c r="AM270" s="35">
        <f t="array" ref="AM270">MAX(IF((B$4:B$1000&lt;=AK270)*(B$4:B$1000&gt;=AJ270),L$4:L$1000, ""))</f>
        <v>0</v>
      </c>
      <c r="AN270" s="32" t="str">
        <f t="shared" si="179"/>
        <v/>
      </c>
      <c r="AO270" s="32" t="str">
        <f t="shared" si="180"/>
        <v/>
      </c>
      <c r="AP270" s="32" t="str">
        <f t="shared" si="181"/>
        <v/>
      </c>
      <c r="AQ270" s="32" t="str">
        <f t="shared" si="182"/>
        <v/>
      </c>
      <c r="AR270" s="32" t="str">
        <f t="shared" si="183"/>
        <v/>
      </c>
      <c r="AS270" s="32" t="str">
        <f t="shared" si="184"/>
        <v/>
      </c>
      <c r="AT270" s="32" t="str">
        <f t="shared" si="185"/>
        <v/>
      </c>
      <c r="AU270" s="34" t="str">
        <f t="shared" si="186"/>
        <v/>
      </c>
      <c r="AV270" s="32" t="str">
        <f t="shared" si="187"/>
        <v/>
      </c>
      <c r="AW270" s="32" t="str">
        <f t="shared" si="188"/>
        <v/>
      </c>
      <c r="AX270" s="32" t="str">
        <f t="shared" si="189"/>
        <v/>
      </c>
      <c r="AY270" s="32" t="str">
        <f t="shared" si="190"/>
        <v/>
      </c>
    </row>
    <row r="271" spans="1:51" x14ac:dyDescent="0.25">
      <c r="A271" s="24" t="str">
        <f t="shared" si="191"/>
        <v/>
      </c>
      <c r="B271" s="24" t="str">
        <f t="shared" si="201"/>
        <v/>
      </c>
      <c r="C271" s="32" t="str">
        <f t="shared" si="192"/>
        <v/>
      </c>
      <c r="D271" s="24" t="str">
        <f t="shared" si="193"/>
        <v/>
      </c>
      <c r="E271" s="24" t="str">
        <f t="shared" si="194"/>
        <v/>
      </c>
      <c r="F271" s="32" t="str">
        <f t="shared" si="195"/>
        <v/>
      </c>
      <c r="G271" s="32" t="str">
        <f t="shared" si="196"/>
        <v/>
      </c>
      <c r="H271" s="32" t="str">
        <f t="shared" ca="1" si="197"/>
        <v/>
      </c>
      <c r="I271" s="32" t="str">
        <f t="shared" ca="1" si="202"/>
        <v/>
      </c>
      <c r="J271" s="32" t="str">
        <f t="shared" si="198"/>
        <v/>
      </c>
      <c r="K271" s="32" t="str">
        <f>IF(ISNUMBER(A271),Profile!$V$25+Profile!$V$24*'Ri-Po'!C271,"")</f>
        <v/>
      </c>
      <c r="L271" s="32" t="str">
        <f t="shared" si="203"/>
        <v/>
      </c>
      <c r="M271" s="32" t="str">
        <f t="shared" si="199"/>
        <v/>
      </c>
      <c r="N271" s="32" t="str">
        <f t="shared" si="200"/>
        <v/>
      </c>
      <c r="O271" s="32" t="str">
        <f t="shared" si="216"/>
        <v/>
      </c>
      <c r="P271" s="32" t="str">
        <f t="shared" si="204"/>
        <v/>
      </c>
      <c r="Q271" s="32" t="str">
        <f t="shared" si="205"/>
        <v/>
      </c>
      <c r="R271" s="32" t="str">
        <f t="shared" si="217"/>
        <v/>
      </c>
      <c r="S271" s="24" t="str">
        <f t="shared" si="218"/>
        <v/>
      </c>
      <c r="T271" s="24" t="str">
        <f t="shared" si="219"/>
        <v/>
      </c>
      <c r="U271" s="24" t="str">
        <f t="shared" si="220"/>
        <v/>
      </c>
      <c r="V271" s="24" t="str">
        <f t="shared" si="221"/>
        <v/>
      </c>
      <c r="W271" s="23" t="str">
        <f t="array" ref="W271">IFERROR(SMALL(IF(S$1:S$1000="BEGIN",ROW(S$1:S$1000)),ROW()-3),"")</f>
        <v/>
      </c>
      <c r="X271" s="23" t="str">
        <f t="array" ref="X271">IFERROR(SMALL(IF(T$1:T$1000="END",ROW(T$1:T$1000)),ROW()-3),"")</f>
        <v/>
      </c>
      <c r="Y271" s="33" t="str">
        <f t="array" ref="Y271">IF(ISNUMBER(W271),MAX(IF((B$4:B$1000&lt;=X271)*(B$4:B$1000&gt;=W271),I$4:I$1000, "")),"")</f>
        <v/>
      </c>
      <c r="Z271" s="33" t="str">
        <f t="shared" si="206"/>
        <v/>
      </c>
      <c r="AA271" s="32" t="str">
        <f t="shared" si="207"/>
        <v/>
      </c>
      <c r="AB271" s="32" t="str">
        <f t="shared" si="208"/>
        <v/>
      </c>
      <c r="AC271" s="32" t="str">
        <f t="shared" si="209"/>
        <v/>
      </c>
      <c r="AD271" s="32" t="str">
        <f t="shared" si="210"/>
        <v/>
      </c>
      <c r="AE271" s="34" t="str">
        <f t="shared" si="211"/>
        <v/>
      </c>
      <c r="AF271" s="32" t="str">
        <f t="shared" si="212"/>
        <v/>
      </c>
      <c r="AG271" s="32" t="str">
        <f t="shared" si="213"/>
        <v/>
      </c>
      <c r="AH271" s="32" t="str">
        <f t="shared" si="214"/>
        <v/>
      </c>
      <c r="AI271" s="35" t="str">
        <f t="shared" si="215"/>
        <v/>
      </c>
      <c r="AJ271" s="23" t="str">
        <f t="array" ref="AJ271">IFERROR(SMALL(IF(U$1:U$1000="BEGIN",ROW(U$1:U$1000)),ROW()-3),"")</f>
        <v/>
      </c>
      <c r="AK271" s="23" t="str">
        <f t="array" ref="AK271">IFERROR(SMALL(IF(V$1:V$1000="END",ROW(V$1:V$1000)),ROW()-3),"")</f>
        <v/>
      </c>
      <c r="AL271" s="24" t="str">
        <f t="array" ref="AL271">IF(AK271="","",MATCH(AM271,L:L,0))</f>
        <v/>
      </c>
      <c r="AM271" s="35">
        <f t="array" ref="AM271">MAX(IF((B$4:B$1000&lt;=AK271)*(B$4:B$1000&gt;=AJ271),L$4:L$1000, ""))</f>
        <v>0</v>
      </c>
      <c r="AN271" s="32" t="str">
        <f t="shared" si="179"/>
        <v/>
      </c>
      <c r="AO271" s="32" t="str">
        <f t="shared" si="180"/>
        <v/>
      </c>
      <c r="AP271" s="32" t="str">
        <f t="shared" si="181"/>
        <v/>
      </c>
      <c r="AQ271" s="32" t="str">
        <f t="shared" si="182"/>
        <v/>
      </c>
      <c r="AR271" s="32" t="str">
        <f t="shared" si="183"/>
        <v/>
      </c>
      <c r="AS271" s="32" t="str">
        <f t="shared" si="184"/>
        <v/>
      </c>
      <c r="AT271" s="32" t="str">
        <f t="shared" si="185"/>
        <v/>
      </c>
      <c r="AU271" s="34" t="str">
        <f t="shared" si="186"/>
        <v/>
      </c>
      <c r="AV271" s="32" t="str">
        <f t="shared" si="187"/>
        <v/>
      </c>
      <c r="AW271" s="32" t="str">
        <f t="shared" si="188"/>
        <v/>
      </c>
      <c r="AX271" s="32" t="str">
        <f t="shared" si="189"/>
        <v/>
      </c>
      <c r="AY271" s="32" t="str">
        <f t="shared" si="190"/>
        <v/>
      </c>
    </row>
    <row r="272" spans="1:51" x14ac:dyDescent="0.25">
      <c r="A272" s="24" t="str">
        <f t="shared" si="191"/>
        <v/>
      </c>
      <c r="B272" s="24" t="str">
        <f t="shared" si="201"/>
        <v/>
      </c>
      <c r="C272" s="32" t="str">
        <f t="shared" si="192"/>
        <v/>
      </c>
      <c r="D272" s="24" t="str">
        <f t="shared" si="193"/>
        <v/>
      </c>
      <c r="E272" s="24" t="str">
        <f t="shared" si="194"/>
        <v/>
      </c>
      <c r="F272" s="32" t="str">
        <f t="shared" si="195"/>
        <v/>
      </c>
      <c r="G272" s="32" t="str">
        <f t="shared" si="196"/>
        <v/>
      </c>
      <c r="H272" s="32" t="str">
        <f t="shared" ca="1" si="197"/>
        <v/>
      </c>
      <c r="I272" s="32" t="str">
        <f t="shared" ca="1" si="202"/>
        <v/>
      </c>
      <c r="J272" s="32" t="str">
        <f t="shared" si="198"/>
        <v/>
      </c>
      <c r="K272" s="32" t="str">
        <f>IF(ISNUMBER(A272),Profile!$V$25+Profile!$V$24*'Ri-Po'!C272,"")</f>
        <v/>
      </c>
      <c r="L272" s="32" t="str">
        <f t="shared" si="203"/>
        <v/>
      </c>
      <c r="M272" s="32" t="str">
        <f t="shared" si="199"/>
        <v/>
      </c>
      <c r="N272" s="32" t="str">
        <f t="shared" si="200"/>
        <v/>
      </c>
      <c r="O272" s="32" t="str">
        <f t="shared" si="216"/>
        <v/>
      </c>
      <c r="P272" s="32" t="str">
        <f t="shared" si="204"/>
        <v/>
      </c>
      <c r="Q272" s="32" t="str">
        <f t="shared" si="205"/>
        <v/>
      </c>
      <c r="R272" s="32" t="str">
        <f t="shared" si="217"/>
        <v/>
      </c>
      <c r="S272" s="24" t="str">
        <f t="shared" si="218"/>
        <v/>
      </c>
      <c r="T272" s="24" t="str">
        <f t="shared" si="219"/>
        <v/>
      </c>
      <c r="U272" s="24" t="str">
        <f t="shared" si="220"/>
        <v/>
      </c>
      <c r="V272" s="24" t="str">
        <f t="shared" si="221"/>
        <v/>
      </c>
      <c r="W272" s="23" t="str">
        <f t="array" ref="W272">IFERROR(SMALL(IF(S$1:S$1000="BEGIN",ROW(S$1:S$1000)),ROW()-3),"")</f>
        <v/>
      </c>
      <c r="X272" s="23" t="str">
        <f t="array" ref="X272">IFERROR(SMALL(IF(T$1:T$1000="END",ROW(T$1:T$1000)),ROW()-3),"")</f>
        <v/>
      </c>
      <c r="Y272" s="33" t="str">
        <f t="array" ref="Y272">IF(ISNUMBER(W272),MAX(IF((B$4:B$1000&lt;=X272)*(B$4:B$1000&gt;=W272),I$4:I$1000, "")),"")</f>
        <v/>
      </c>
      <c r="Z272" s="33" t="str">
        <f t="shared" si="206"/>
        <v/>
      </c>
      <c r="AA272" s="32" t="str">
        <f t="shared" si="207"/>
        <v/>
      </c>
      <c r="AB272" s="32" t="str">
        <f t="shared" si="208"/>
        <v/>
      </c>
      <c r="AC272" s="32" t="str">
        <f t="shared" si="209"/>
        <v/>
      </c>
      <c r="AD272" s="32" t="str">
        <f t="shared" si="210"/>
        <v/>
      </c>
      <c r="AE272" s="34" t="str">
        <f t="shared" si="211"/>
        <v/>
      </c>
      <c r="AF272" s="32" t="str">
        <f t="shared" si="212"/>
        <v/>
      </c>
      <c r="AG272" s="32" t="str">
        <f t="shared" si="213"/>
        <v/>
      </c>
      <c r="AH272" s="32" t="str">
        <f t="shared" si="214"/>
        <v/>
      </c>
      <c r="AI272" s="35" t="str">
        <f t="shared" si="215"/>
        <v/>
      </c>
      <c r="AJ272" s="23" t="str">
        <f t="array" ref="AJ272">IFERROR(SMALL(IF(U$1:U$1000="BEGIN",ROW(U$1:U$1000)),ROW()-3),"")</f>
        <v/>
      </c>
      <c r="AK272" s="23" t="str">
        <f t="array" ref="AK272">IFERROR(SMALL(IF(V$1:V$1000="END",ROW(V$1:V$1000)),ROW()-3),"")</f>
        <v/>
      </c>
      <c r="AL272" s="24" t="str">
        <f t="array" ref="AL272">IF(AK272="","",MATCH(AM272,L:L,0))</f>
        <v/>
      </c>
      <c r="AM272" s="35">
        <f t="array" ref="AM272">MAX(IF((B$4:B$1000&lt;=AK272)*(B$4:B$1000&gt;=AJ272),L$4:L$1000, ""))</f>
        <v>0</v>
      </c>
      <c r="AN272" s="32" t="str">
        <f t="shared" si="179"/>
        <v/>
      </c>
      <c r="AO272" s="32" t="str">
        <f t="shared" si="180"/>
        <v/>
      </c>
      <c r="AP272" s="32" t="str">
        <f t="shared" si="181"/>
        <v/>
      </c>
      <c r="AQ272" s="32" t="str">
        <f t="shared" si="182"/>
        <v/>
      </c>
      <c r="AR272" s="32" t="str">
        <f t="shared" si="183"/>
        <v/>
      </c>
      <c r="AS272" s="32" t="str">
        <f t="shared" si="184"/>
        <v/>
      </c>
      <c r="AT272" s="32" t="str">
        <f t="shared" si="185"/>
        <v/>
      </c>
      <c r="AU272" s="34" t="str">
        <f t="shared" si="186"/>
        <v/>
      </c>
      <c r="AV272" s="32" t="str">
        <f t="shared" si="187"/>
        <v/>
      </c>
      <c r="AW272" s="32" t="str">
        <f t="shared" si="188"/>
        <v/>
      </c>
      <c r="AX272" s="32" t="str">
        <f t="shared" si="189"/>
        <v/>
      </c>
      <c r="AY272" s="32" t="str">
        <f t="shared" si="190"/>
        <v/>
      </c>
    </row>
    <row r="273" spans="1:51" x14ac:dyDescent="0.25">
      <c r="A273" s="24" t="str">
        <f t="shared" si="191"/>
        <v/>
      </c>
      <c r="B273" s="24" t="str">
        <f t="shared" si="201"/>
        <v/>
      </c>
      <c r="C273" s="32" t="str">
        <f t="shared" si="192"/>
        <v/>
      </c>
      <c r="D273" s="24" t="str">
        <f t="shared" si="193"/>
        <v/>
      </c>
      <c r="E273" s="24" t="str">
        <f t="shared" si="194"/>
        <v/>
      </c>
      <c r="F273" s="32" t="str">
        <f t="shared" si="195"/>
        <v/>
      </c>
      <c r="G273" s="32" t="str">
        <f t="shared" si="196"/>
        <v/>
      </c>
      <c r="H273" s="32" t="str">
        <f t="shared" ca="1" si="197"/>
        <v/>
      </c>
      <c r="I273" s="32" t="str">
        <f t="shared" ca="1" si="202"/>
        <v/>
      </c>
      <c r="J273" s="32" t="str">
        <f t="shared" si="198"/>
        <v/>
      </c>
      <c r="K273" s="32" t="str">
        <f>IF(ISNUMBER(A273),Profile!$V$25+Profile!$V$24*'Ri-Po'!C273,"")</f>
        <v/>
      </c>
      <c r="L273" s="32" t="str">
        <f t="shared" si="203"/>
        <v/>
      </c>
      <c r="M273" s="32" t="str">
        <f t="shared" si="199"/>
        <v/>
      </c>
      <c r="N273" s="32" t="str">
        <f t="shared" si="200"/>
        <v/>
      </c>
      <c r="O273" s="32" t="str">
        <f t="shared" si="216"/>
        <v/>
      </c>
      <c r="P273" s="32" t="str">
        <f t="shared" si="204"/>
        <v/>
      </c>
      <c r="Q273" s="32" t="str">
        <f t="shared" si="205"/>
        <v/>
      </c>
      <c r="R273" s="32" t="str">
        <f t="shared" si="217"/>
        <v/>
      </c>
      <c r="S273" s="24" t="str">
        <f t="shared" si="218"/>
        <v/>
      </c>
      <c r="T273" s="24" t="str">
        <f t="shared" si="219"/>
        <v/>
      </c>
      <c r="U273" s="24" t="str">
        <f t="shared" si="220"/>
        <v/>
      </c>
      <c r="V273" s="24" t="str">
        <f t="shared" si="221"/>
        <v/>
      </c>
      <c r="W273" s="23" t="str">
        <f t="array" ref="W273">IFERROR(SMALL(IF(S$1:S$1000="BEGIN",ROW(S$1:S$1000)),ROW()-3),"")</f>
        <v/>
      </c>
      <c r="X273" s="23" t="str">
        <f t="array" ref="X273">IFERROR(SMALL(IF(T$1:T$1000="END",ROW(T$1:T$1000)),ROW()-3),"")</f>
        <v/>
      </c>
      <c r="Y273" s="33" t="str">
        <f t="array" ref="Y273">IF(ISNUMBER(W273),MAX(IF((B$4:B$1000&lt;=X273)*(B$4:B$1000&gt;=W273),I$4:I$1000, "")),"")</f>
        <v/>
      </c>
      <c r="Z273" s="33" t="str">
        <f t="shared" si="206"/>
        <v/>
      </c>
      <c r="AA273" s="32" t="str">
        <f t="shared" si="207"/>
        <v/>
      </c>
      <c r="AB273" s="32" t="str">
        <f t="shared" si="208"/>
        <v/>
      </c>
      <c r="AC273" s="32" t="str">
        <f t="shared" si="209"/>
        <v/>
      </c>
      <c r="AD273" s="32" t="str">
        <f t="shared" si="210"/>
        <v/>
      </c>
      <c r="AE273" s="34" t="str">
        <f t="shared" si="211"/>
        <v/>
      </c>
      <c r="AF273" s="32" t="str">
        <f t="shared" si="212"/>
        <v/>
      </c>
      <c r="AG273" s="32" t="str">
        <f t="shared" si="213"/>
        <v/>
      </c>
      <c r="AH273" s="32" t="str">
        <f t="shared" si="214"/>
        <v/>
      </c>
      <c r="AI273" s="35" t="str">
        <f t="shared" si="215"/>
        <v/>
      </c>
      <c r="AJ273" s="23" t="str">
        <f t="array" ref="AJ273">IFERROR(SMALL(IF(U$1:U$1000="BEGIN",ROW(U$1:U$1000)),ROW()-3),"")</f>
        <v/>
      </c>
      <c r="AK273" s="23" t="str">
        <f t="array" ref="AK273">IFERROR(SMALL(IF(V$1:V$1000="END",ROW(V$1:V$1000)),ROW()-3),"")</f>
        <v/>
      </c>
      <c r="AL273" s="24" t="str">
        <f t="array" ref="AL273">IF(AK273="","",MATCH(AM273,L:L,0))</f>
        <v/>
      </c>
      <c r="AM273" s="35">
        <f t="array" ref="AM273">MAX(IF((B$4:B$1000&lt;=AK273)*(B$4:B$1000&gt;=AJ273),L$4:L$1000, ""))</f>
        <v>0</v>
      </c>
      <c r="AN273" s="32" t="str">
        <f t="shared" si="179"/>
        <v/>
      </c>
      <c r="AO273" s="32" t="str">
        <f t="shared" si="180"/>
        <v/>
      </c>
      <c r="AP273" s="32" t="str">
        <f t="shared" si="181"/>
        <v/>
      </c>
      <c r="AQ273" s="32" t="str">
        <f t="shared" si="182"/>
        <v/>
      </c>
      <c r="AR273" s="32" t="str">
        <f t="shared" si="183"/>
        <v/>
      </c>
      <c r="AS273" s="32" t="str">
        <f t="shared" si="184"/>
        <v/>
      </c>
      <c r="AT273" s="32" t="str">
        <f t="shared" si="185"/>
        <v/>
      </c>
      <c r="AU273" s="34" t="str">
        <f t="shared" si="186"/>
        <v/>
      </c>
      <c r="AV273" s="32" t="str">
        <f t="shared" si="187"/>
        <v/>
      </c>
      <c r="AW273" s="32" t="str">
        <f t="shared" si="188"/>
        <v/>
      </c>
      <c r="AX273" s="32" t="str">
        <f t="shared" si="189"/>
        <v/>
      </c>
      <c r="AY273" s="32" t="str">
        <f t="shared" si="190"/>
        <v/>
      </c>
    </row>
    <row r="274" spans="1:51" x14ac:dyDescent="0.25">
      <c r="A274" s="24" t="str">
        <f t="shared" si="191"/>
        <v/>
      </c>
      <c r="B274" s="24" t="str">
        <f t="shared" si="201"/>
        <v/>
      </c>
      <c r="C274" s="32" t="str">
        <f t="shared" si="192"/>
        <v/>
      </c>
      <c r="D274" s="24" t="str">
        <f t="shared" si="193"/>
        <v/>
      </c>
      <c r="E274" s="24" t="str">
        <f t="shared" si="194"/>
        <v/>
      </c>
      <c r="F274" s="32" t="str">
        <f t="shared" si="195"/>
        <v/>
      </c>
      <c r="G274" s="32" t="str">
        <f t="shared" si="196"/>
        <v/>
      </c>
      <c r="H274" s="32" t="str">
        <f t="shared" ca="1" si="197"/>
        <v/>
      </c>
      <c r="I274" s="32" t="str">
        <f t="shared" ca="1" si="202"/>
        <v/>
      </c>
      <c r="J274" s="32" t="str">
        <f t="shared" si="198"/>
        <v/>
      </c>
      <c r="K274" s="32" t="str">
        <f>IF(ISNUMBER(A274),Profile!$V$25+Profile!$V$24*'Ri-Po'!C274,"")</f>
        <v/>
      </c>
      <c r="L274" s="32" t="str">
        <f t="shared" si="203"/>
        <v/>
      </c>
      <c r="M274" s="32" t="str">
        <f t="shared" si="199"/>
        <v/>
      </c>
      <c r="N274" s="32" t="str">
        <f t="shared" si="200"/>
        <v/>
      </c>
      <c r="O274" s="32" t="str">
        <f t="shared" si="216"/>
        <v/>
      </c>
      <c r="P274" s="32" t="str">
        <f t="shared" si="204"/>
        <v/>
      </c>
      <c r="Q274" s="32" t="str">
        <f t="shared" si="205"/>
        <v/>
      </c>
      <c r="R274" s="32" t="str">
        <f t="shared" si="217"/>
        <v/>
      </c>
      <c r="S274" s="24" t="str">
        <f t="shared" si="218"/>
        <v/>
      </c>
      <c r="T274" s="24" t="str">
        <f t="shared" si="219"/>
        <v/>
      </c>
      <c r="U274" s="24" t="str">
        <f t="shared" si="220"/>
        <v/>
      </c>
      <c r="V274" s="24" t="str">
        <f t="shared" si="221"/>
        <v/>
      </c>
      <c r="W274" s="23" t="str">
        <f t="array" ref="W274">IFERROR(SMALL(IF(S$1:S$1000="BEGIN",ROW(S$1:S$1000)),ROW()-3),"")</f>
        <v/>
      </c>
      <c r="X274" s="23" t="str">
        <f t="array" ref="X274">IFERROR(SMALL(IF(T$1:T$1000="END",ROW(T$1:T$1000)),ROW()-3),"")</f>
        <v/>
      </c>
      <c r="Y274" s="33" t="str">
        <f t="array" ref="Y274">IF(ISNUMBER(W274),MAX(IF((B$4:B$1000&lt;=X274)*(B$4:B$1000&gt;=W274),I$4:I$1000, "")),"")</f>
        <v/>
      </c>
      <c r="Z274" s="33" t="str">
        <f t="shared" si="206"/>
        <v/>
      </c>
      <c r="AA274" s="32" t="str">
        <f t="shared" si="207"/>
        <v/>
      </c>
      <c r="AB274" s="32" t="str">
        <f t="shared" si="208"/>
        <v/>
      </c>
      <c r="AC274" s="32" t="str">
        <f t="shared" si="209"/>
        <v/>
      </c>
      <c r="AD274" s="32" t="str">
        <f t="shared" si="210"/>
        <v/>
      </c>
      <c r="AE274" s="34" t="str">
        <f t="shared" si="211"/>
        <v/>
      </c>
      <c r="AF274" s="32" t="str">
        <f t="shared" si="212"/>
        <v/>
      </c>
      <c r="AG274" s="32" t="str">
        <f t="shared" si="213"/>
        <v/>
      </c>
      <c r="AH274" s="32" t="str">
        <f t="shared" si="214"/>
        <v/>
      </c>
      <c r="AI274" s="35" t="str">
        <f t="shared" si="215"/>
        <v/>
      </c>
      <c r="AJ274" s="23" t="str">
        <f t="array" ref="AJ274">IFERROR(SMALL(IF(U$1:U$1000="BEGIN",ROW(U$1:U$1000)),ROW()-3),"")</f>
        <v/>
      </c>
      <c r="AK274" s="23" t="str">
        <f t="array" ref="AK274">IFERROR(SMALL(IF(V$1:V$1000="END",ROW(V$1:V$1000)),ROW()-3),"")</f>
        <v/>
      </c>
      <c r="AL274" s="24" t="str">
        <f t="array" ref="AL274">IF(AK274="","",MATCH(AM274,L:L,0))</f>
        <v/>
      </c>
      <c r="AM274" s="35">
        <f t="array" ref="AM274">MAX(IF((B$4:B$1000&lt;=AK274)*(B$4:B$1000&gt;=AJ274),L$4:L$1000, ""))</f>
        <v>0</v>
      </c>
      <c r="AN274" s="32" t="str">
        <f t="shared" ref="AN274:AN337" si="222">IFERROR(INDEX(C:C,AJ274),"")</f>
        <v/>
      </c>
      <c r="AO274" s="32" t="str">
        <f t="shared" ref="AO274:AO337" si="223">IFERROR(INDEX(C:C,AK274),"")</f>
        <v/>
      </c>
      <c r="AP274" s="32" t="str">
        <f t="shared" ref="AP274:AP337" si="224">IFERROR(INDEX(C:C,AL274),"")</f>
        <v/>
      </c>
      <c r="AQ274" s="32" t="str">
        <f t="shared" ref="AQ274:AQ337" si="225">IF(ISNUMBER(AN274),AM274,"")</f>
        <v/>
      </c>
      <c r="AR274" s="32" t="str">
        <f t="shared" ref="AR274:AR337" si="226">IFERROR(AO274-AN274,"")</f>
        <v/>
      </c>
      <c r="AS274" s="32" t="str">
        <f t="shared" ref="AS274:AS337" si="227">IFERROR(INDEX(H:H,AJ274),"")</f>
        <v/>
      </c>
      <c r="AT274" s="32" t="str">
        <f t="shared" ref="AT274:AT337" si="228">IFERROR(INDEX(H:H,AK274),"")</f>
        <v/>
      </c>
      <c r="AU274" s="34" t="str">
        <f t="shared" ref="AU274:AU337" si="229">IFERROR((AS274-AT274)/(AR274),"")</f>
        <v/>
      </c>
      <c r="AV274" s="32" t="str">
        <f t="shared" ref="AV274:AV337" si="230">IFERROR(AQ274/$BB$17,"")</f>
        <v/>
      </c>
      <c r="AW274" s="32" t="str">
        <f t="shared" ref="AW274:AW337" si="231">IFERROR(AU274/BB$19,"")</f>
        <v/>
      </c>
      <c r="AX274" s="32" t="str">
        <f t="shared" ref="AX274:AX337" si="232">IFERROR(AP275-AP274,"")</f>
        <v/>
      </c>
      <c r="AY274" s="32" t="str">
        <f t="shared" ref="AY274:AY337" si="233">IFERROR(AX274/BB$16,"")</f>
        <v/>
      </c>
    </row>
    <row r="275" spans="1:51" x14ac:dyDescent="0.25">
      <c r="A275" s="24" t="str">
        <f t="shared" si="191"/>
        <v/>
      </c>
      <c r="B275" s="24" t="str">
        <f t="shared" si="201"/>
        <v/>
      </c>
      <c r="C275" s="32" t="str">
        <f t="shared" si="192"/>
        <v/>
      </c>
      <c r="D275" s="24" t="str">
        <f t="shared" si="193"/>
        <v/>
      </c>
      <c r="E275" s="24" t="str">
        <f t="shared" si="194"/>
        <v/>
      </c>
      <c r="F275" s="32" t="str">
        <f t="shared" si="195"/>
        <v/>
      </c>
      <c r="G275" s="32" t="str">
        <f t="shared" si="196"/>
        <v/>
      </c>
      <c r="H275" s="32" t="str">
        <f t="shared" ca="1" si="197"/>
        <v/>
      </c>
      <c r="I275" s="32" t="str">
        <f t="shared" ca="1" si="202"/>
        <v/>
      </c>
      <c r="J275" s="32" t="str">
        <f t="shared" si="198"/>
        <v/>
      </c>
      <c r="K275" s="32" t="str">
        <f>IF(ISNUMBER(A275),Profile!$V$25+Profile!$V$24*'Ri-Po'!C275,"")</f>
        <v/>
      </c>
      <c r="L275" s="32" t="str">
        <f t="shared" si="203"/>
        <v/>
      </c>
      <c r="M275" s="32" t="str">
        <f t="shared" si="199"/>
        <v/>
      </c>
      <c r="N275" s="32" t="str">
        <f t="shared" si="200"/>
        <v/>
      </c>
      <c r="O275" s="32" t="str">
        <f t="shared" si="216"/>
        <v/>
      </c>
      <c r="P275" s="32" t="str">
        <f t="shared" si="204"/>
        <v/>
      </c>
      <c r="Q275" s="32" t="str">
        <f t="shared" si="205"/>
        <v/>
      </c>
      <c r="R275" s="32" t="str">
        <f t="shared" si="217"/>
        <v/>
      </c>
      <c r="S275" s="24" t="str">
        <f t="shared" si="218"/>
        <v/>
      </c>
      <c r="T275" s="24" t="str">
        <f t="shared" si="219"/>
        <v/>
      </c>
      <c r="U275" s="24" t="str">
        <f t="shared" si="220"/>
        <v/>
      </c>
      <c r="V275" s="24" t="str">
        <f t="shared" si="221"/>
        <v/>
      </c>
      <c r="W275" s="23" t="str">
        <f t="array" ref="W275">IFERROR(SMALL(IF(S$1:S$1000="BEGIN",ROW(S$1:S$1000)),ROW()-3),"")</f>
        <v/>
      </c>
      <c r="X275" s="23" t="str">
        <f t="array" ref="X275">IFERROR(SMALL(IF(T$1:T$1000="END",ROW(T$1:T$1000)),ROW()-3),"")</f>
        <v/>
      </c>
      <c r="Y275" s="33" t="str">
        <f t="array" ref="Y275">IF(ISNUMBER(W275),MAX(IF((B$4:B$1000&lt;=X275)*(B$4:B$1000&gt;=W275),I$4:I$1000, "")),"")</f>
        <v/>
      </c>
      <c r="Z275" s="33" t="str">
        <f t="shared" si="206"/>
        <v/>
      </c>
      <c r="AA275" s="32" t="str">
        <f t="shared" si="207"/>
        <v/>
      </c>
      <c r="AB275" s="32" t="str">
        <f t="shared" si="208"/>
        <v/>
      </c>
      <c r="AC275" s="32" t="str">
        <f t="shared" si="209"/>
        <v/>
      </c>
      <c r="AD275" s="32" t="str">
        <f t="shared" si="210"/>
        <v/>
      </c>
      <c r="AE275" s="34" t="str">
        <f t="shared" si="211"/>
        <v/>
      </c>
      <c r="AF275" s="32" t="str">
        <f t="shared" si="212"/>
        <v/>
      </c>
      <c r="AG275" s="32" t="str">
        <f t="shared" si="213"/>
        <v/>
      </c>
      <c r="AH275" s="32" t="str">
        <f t="shared" si="214"/>
        <v/>
      </c>
      <c r="AI275" s="35" t="str">
        <f t="shared" si="215"/>
        <v/>
      </c>
      <c r="AJ275" s="23" t="str">
        <f t="array" ref="AJ275">IFERROR(SMALL(IF(U$1:U$1000="BEGIN",ROW(U$1:U$1000)),ROW()-3),"")</f>
        <v/>
      </c>
      <c r="AK275" s="23" t="str">
        <f t="array" ref="AK275">IFERROR(SMALL(IF(V$1:V$1000="END",ROW(V$1:V$1000)),ROW()-3),"")</f>
        <v/>
      </c>
      <c r="AL275" s="24" t="str">
        <f t="array" ref="AL275">IF(AK275="","",MATCH(AM275,L:L,0))</f>
        <v/>
      </c>
      <c r="AM275" s="35">
        <f t="array" ref="AM275">MAX(IF((B$4:B$1000&lt;=AK275)*(B$4:B$1000&gt;=AJ275),L$4:L$1000, ""))</f>
        <v>0</v>
      </c>
      <c r="AN275" s="32" t="str">
        <f t="shared" si="222"/>
        <v/>
      </c>
      <c r="AO275" s="32" t="str">
        <f t="shared" si="223"/>
        <v/>
      </c>
      <c r="AP275" s="32" t="str">
        <f t="shared" si="224"/>
        <v/>
      </c>
      <c r="AQ275" s="32" t="str">
        <f t="shared" si="225"/>
        <v/>
      </c>
      <c r="AR275" s="32" t="str">
        <f t="shared" si="226"/>
        <v/>
      </c>
      <c r="AS275" s="32" t="str">
        <f t="shared" si="227"/>
        <v/>
      </c>
      <c r="AT275" s="32" t="str">
        <f t="shared" si="228"/>
        <v/>
      </c>
      <c r="AU275" s="34" t="str">
        <f t="shared" si="229"/>
        <v/>
      </c>
      <c r="AV275" s="32" t="str">
        <f t="shared" si="230"/>
        <v/>
      </c>
      <c r="AW275" s="32" t="str">
        <f t="shared" si="231"/>
        <v/>
      </c>
      <c r="AX275" s="32" t="str">
        <f t="shared" si="232"/>
        <v/>
      </c>
      <c r="AY275" s="32" t="str">
        <f t="shared" si="233"/>
        <v/>
      </c>
    </row>
    <row r="276" spans="1:51" x14ac:dyDescent="0.25">
      <c r="A276" s="24" t="str">
        <f t="shared" si="191"/>
        <v/>
      </c>
      <c r="B276" s="24" t="str">
        <f t="shared" si="201"/>
        <v/>
      </c>
      <c r="C276" s="32" t="str">
        <f t="shared" si="192"/>
        <v/>
      </c>
      <c r="D276" s="24" t="str">
        <f t="shared" si="193"/>
        <v/>
      </c>
      <c r="E276" s="24" t="str">
        <f t="shared" si="194"/>
        <v/>
      </c>
      <c r="F276" s="32" t="str">
        <f t="shared" si="195"/>
        <v/>
      </c>
      <c r="G276" s="32" t="str">
        <f t="shared" si="196"/>
        <v/>
      </c>
      <c r="H276" s="32" t="str">
        <f t="shared" ca="1" si="197"/>
        <v/>
      </c>
      <c r="I276" s="32" t="str">
        <f t="shared" ca="1" si="202"/>
        <v/>
      </c>
      <c r="J276" s="32" t="str">
        <f t="shared" si="198"/>
        <v/>
      </c>
      <c r="K276" s="32" t="str">
        <f>IF(ISNUMBER(A276),Profile!$V$25+Profile!$V$24*'Ri-Po'!C276,"")</f>
        <v/>
      </c>
      <c r="L276" s="32" t="str">
        <f t="shared" si="203"/>
        <v/>
      </c>
      <c r="M276" s="32" t="str">
        <f t="shared" si="199"/>
        <v/>
      </c>
      <c r="N276" s="32" t="str">
        <f t="shared" si="200"/>
        <v/>
      </c>
      <c r="O276" s="32" t="str">
        <f t="shared" si="216"/>
        <v/>
      </c>
      <c r="P276" s="32" t="str">
        <f t="shared" si="204"/>
        <v/>
      </c>
      <c r="Q276" s="32" t="str">
        <f t="shared" si="205"/>
        <v/>
      </c>
      <c r="R276" s="32" t="str">
        <f t="shared" si="217"/>
        <v/>
      </c>
      <c r="S276" s="24" t="str">
        <f t="shared" si="218"/>
        <v/>
      </c>
      <c r="T276" s="24" t="str">
        <f t="shared" si="219"/>
        <v/>
      </c>
      <c r="U276" s="24" t="str">
        <f t="shared" si="220"/>
        <v/>
      </c>
      <c r="V276" s="24" t="str">
        <f t="shared" si="221"/>
        <v/>
      </c>
      <c r="W276" s="23" t="str">
        <f t="array" ref="W276">IFERROR(SMALL(IF(S$1:S$1000="BEGIN",ROW(S$1:S$1000)),ROW()-3),"")</f>
        <v/>
      </c>
      <c r="X276" s="23" t="str">
        <f t="array" ref="X276">IFERROR(SMALL(IF(T$1:T$1000="END",ROW(T$1:T$1000)),ROW()-3),"")</f>
        <v/>
      </c>
      <c r="Y276" s="33" t="str">
        <f t="array" ref="Y276">IF(ISNUMBER(W276),MAX(IF((B$4:B$1000&lt;=X276)*(B$4:B$1000&gt;=W276),I$4:I$1000, "")),"")</f>
        <v/>
      </c>
      <c r="Z276" s="33" t="str">
        <f t="shared" si="206"/>
        <v/>
      </c>
      <c r="AA276" s="32" t="str">
        <f t="shared" si="207"/>
        <v/>
      </c>
      <c r="AB276" s="32" t="str">
        <f t="shared" si="208"/>
        <v/>
      </c>
      <c r="AC276" s="32" t="str">
        <f t="shared" si="209"/>
        <v/>
      </c>
      <c r="AD276" s="32" t="str">
        <f t="shared" si="210"/>
        <v/>
      </c>
      <c r="AE276" s="34" t="str">
        <f t="shared" si="211"/>
        <v/>
      </c>
      <c r="AF276" s="32" t="str">
        <f t="shared" si="212"/>
        <v/>
      </c>
      <c r="AG276" s="32" t="str">
        <f t="shared" si="213"/>
        <v/>
      </c>
      <c r="AH276" s="32" t="str">
        <f t="shared" si="214"/>
        <v/>
      </c>
      <c r="AI276" s="35" t="str">
        <f t="shared" si="215"/>
        <v/>
      </c>
      <c r="AJ276" s="23" t="str">
        <f t="array" ref="AJ276">IFERROR(SMALL(IF(U$1:U$1000="BEGIN",ROW(U$1:U$1000)),ROW()-3),"")</f>
        <v/>
      </c>
      <c r="AK276" s="23" t="str">
        <f t="array" ref="AK276">IFERROR(SMALL(IF(V$1:V$1000="END",ROW(V$1:V$1000)),ROW()-3),"")</f>
        <v/>
      </c>
      <c r="AL276" s="24" t="str">
        <f t="array" ref="AL276">IF(AK276="","",MATCH(AM276,L:L,0))</f>
        <v/>
      </c>
      <c r="AM276" s="35">
        <f t="array" ref="AM276">MAX(IF((B$4:B$1000&lt;=AK276)*(B$4:B$1000&gt;=AJ276),L$4:L$1000, ""))</f>
        <v>0</v>
      </c>
      <c r="AN276" s="32" t="str">
        <f t="shared" si="222"/>
        <v/>
      </c>
      <c r="AO276" s="32" t="str">
        <f t="shared" si="223"/>
        <v/>
      </c>
      <c r="AP276" s="32" t="str">
        <f t="shared" si="224"/>
        <v/>
      </c>
      <c r="AQ276" s="32" t="str">
        <f t="shared" si="225"/>
        <v/>
      </c>
      <c r="AR276" s="32" t="str">
        <f t="shared" si="226"/>
        <v/>
      </c>
      <c r="AS276" s="32" t="str">
        <f t="shared" si="227"/>
        <v/>
      </c>
      <c r="AT276" s="32" t="str">
        <f t="shared" si="228"/>
        <v/>
      </c>
      <c r="AU276" s="34" t="str">
        <f t="shared" si="229"/>
        <v/>
      </c>
      <c r="AV276" s="32" t="str">
        <f t="shared" si="230"/>
        <v/>
      </c>
      <c r="AW276" s="32" t="str">
        <f t="shared" si="231"/>
        <v/>
      </c>
      <c r="AX276" s="32" t="str">
        <f t="shared" si="232"/>
        <v/>
      </c>
      <c r="AY276" s="32" t="str">
        <f t="shared" si="233"/>
        <v/>
      </c>
    </row>
    <row r="277" spans="1:51" x14ac:dyDescent="0.25">
      <c r="A277" s="24" t="str">
        <f t="shared" si="191"/>
        <v/>
      </c>
      <c r="B277" s="24" t="str">
        <f t="shared" si="201"/>
        <v/>
      </c>
      <c r="C277" s="32" t="str">
        <f t="shared" si="192"/>
        <v/>
      </c>
      <c r="D277" s="24" t="str">
        <f t="shared" si="193"/>
        <v/>
      </c>
      <c r="E277" s="24" t="str">
        <f t="shared" si="194"/>
        <v/>
      </c>
      <c r="F277" s="32" t="str">
        <f t="shared" si="195"/>
        <v/>
      </c>
      <c r="G277" s="32" t="str">
        <f t="shared" si="196"/>
        <v/>
      </c>
      <c r="H277" s="32" t="str">
        <f t="shared" ca="1" si="197"/>
        <v/>
      </c>
      <c r="I277" s="32" t="str">
        <f t="shared" ca="1" si="202"/>
        <v/>
      </c>
      <c r="J277" s="32" t="str">
        <f t="shared" si="198"/>
        <v/>
      </c>
      <c r="K277" s="32" t="str">
        <f>IF(ISNUMBER(A277),Profile!$V$25+Profile!$V$24*'Ri-Po'!C277,"")</f>
        <v/>
      </c>
      <c r="L277" s="32" t="str">
        <f t="shared" si="203"/>
        <v/>
      </c>
      <c r="M277" s="32" t="str">
        <f t="shared" si="199"/>
        <v/>
      </c>
      <c r="N277" s="32" t="str">
        <f t="shared" si="200"/>
        <v/>
      </c>
      <c r="O277" s="32" t="str">
        <f t="shared" si="216"/>
        <v/>
      </c>
      <c r="P277" s="32" t="str">
        <f t="shared" si="204"/>
        <v/>
      </c>
      <c r="Q277" s="32" t="str">
        <f t="shared" si="205"/>
        <v/>
      </c>
      <c r="R277" s="32" t="str">
        <f t="shared" si="217"/>
        <v/>
      </c>
      <c r="S277" s="24" t="str">
        <f t="shared" si="218"/>
        <v/>
      </c>
      <c r="T277" s="24" t="str">
        <f t="shared" si="219"/>
        <v/>
      </c>
      <c r="U277" s="24" t="str">
        <f t="shared" si="220"/>
        <v/>
      </c>
      <c r="V277" s="24" t="str">
        <f t="shared" si="221"/>
        <v/>
      </c>
      <c r="W277" s="23" t="str">
        <f t="array" ref="W277">IFERROR(SMALL(IF(S$1:S$1000="BEGIN",ROW(S$1:S$1000)),ROW()-3),"")</f>
        <v/>
      </c>
      <c r="X277" s="23" t="str">
        <f t="array" ref="X277">IFERROR(SMALL(IF(T$1:T$1000="END",ROW(T$1:T$1000)),ROW()-3),"")</f>
        <v/>
      </c>
      <c r="Y277" s="33" t="str">
        <f t="array" ref="Y277">IF(ISNUMBER(W277),MAX(IF((B$4:B$1000&lt;=X277)*(B$4:B$1000&gt;=W277),I$4:I$1000, "")),"")</f>
        <v/>
      </c>
      <c r="Z277" s="33" t="str">
        <f t="shared" si="206"/>
        <v/>
      </c>
      <c r="AA277" s="32" t="str">
        <f t="shared" si="207"/>
        <v/>
      </c>
      <c r="AB277" s="32" t="str">
        <f t="shared" si="208"/>
        <v/>
      </c>
      <c r="AC277" s="32" t="str">
        <f t="shared" si="209"/>
        <v/>
      </c>
      <c r="AD277" s="32" t="str">
        <f t="shared" si="210"/>
        <v/>
      </c>
      <c r="AE277" s="34" t="str">
        <f t="shared" si="211"/>
        <v/>
      </c>
      <c r="AF277" s="32" t="str">
        <f t="shared" si="212"/>
        <v/>
      </c>
      <c r="AG277" s="32" t="str">
        <f t="shared" si="213"/>
        <v/>
      </c>
      <c r="AH277" s="32" t="str">
        <f t="shared" si="214"/>
        <v/>
      </c>
      <c r="AI277" s="35" t="str">
        <f t="shared" si="215"/>
        <v/>
      </c>
      <c r="AJ277" s="23" t="str">
        <f t="array" ref="AJ277">IFERROR(SMALL(IF(U$1:U$1000="BEGIN",ROW(U$1:U$1000)),ROW()-3),"")</f>
        <v/>
      </c>
      <c r="AK277" s="23" t="str">
        <f t="array" ref="AK277">IFERROR(SMALL(IF(V$1:V$1000="END",ROW(V$1:V$1000)),ROW()-3),"")</f>
        <v/>
      </c>
      <c r="AL277" s="24" t="str">
        <f t="array" ref="AL277">IF(AK277="","",MATCH(AM277,L:L,0))</f>
        <v/>
      </c>
      <c r="AM277" s="35">
        <f t="array" ref="AM277">MAX(IF((B$4:B$1000&lt;=AK277)*(B$4:B$1000&gt;=AJ277),L$4:L$1000, ""))</f>
        <v>0</v>
      </c>
      <c r="AN277" s="32" t="str">
        <f t="shared" si="222"/>
        <v/>
      </c>
      <c r="AO277" s="32" t="str">
        <f t="shared" si="223"/>
        <v/>
      </c>
      <c r="AP277" s="32" t="str">
        <f t="shared" si="224"/>
        <v/>
      </c>
      <c r="AQ277" s="32" t="str">
        <f t="shared" si="225"/>
        <v/>
      </c>
      <c r="AR277" s="32" t="str">
        <f t="shared" si="226"/>
        <v/>
      </c>
      <c r="AS277" s="32" t="str">
        <f t="shared" si="227"/>
        <v/>
      </c>
      <c r="AT277" s="32" t="str">
        <f t="shared" si="228"/>
        <v/>
      </c>
      <c r="AU277" s="34" t="str">
        <f t="shared" si="229"/>
        <v/>
      </c>
      <c r="AV277" s="32" t="str">
        <f t="shared" si="230"/>
        <v/>
      </c>
      <c r="AW277" s="32" t="str">
        <f t="shared" si="231"/>
        <v/>
      </c>
      <c r="AX277" s="32" t="str">
        <f t="shared" si="232"/>
        <v/>
      </c>
      <c r="AY277" s="32" t="str">
        <f t="shared" si="233"/>
        <v/>
      </c>
    </row>
    <row r="278" spans="1:51" x14ac:dyDescent="0.25">
      <c r="A278" s="24" t="str">
        <f t="shared" si="191"/>
        <v/>
      </c>
      <c r="B278" s="24" t="str">
        <f t="shared" si="201"/>
        <v/>
      </c>
      <c r="C278" s="32" t="str">
        <f t="shared" si="192"/>
        <v/>
      </c>
      <c r="D278" s="24" t="str">
        <f t="shared" si="193"/>
        <v/>
      </c>
      <c r="E278" s="24" t="str">
        <f t="shared" si="194"/>
        <v/>
      </c>
      <c r="F278" s="32" t="str">
        <f t="shared" si="195"/>
        <v/>
      </c>
      <c r="G278" s="32" t="str">
        <f t="shared" si="196"/>
        <v/>
      </c>
      <c r="H278" s="32" t="str">
        <f t="shared" ca="1" si="197"/>
        <v/>
      </c>
      <c r="I278" s="32" t="str">
        <f t="shared" ca="1" si="202"/>
        <v/>
      </c>
      <c r="J278" s="32" t="str">
        <f t="shared" si="198"/>
        <v/>
      </c>
      <c r="K278" s="32" t="str">
        <f>IF(ISNUMBER(A278),Profile!$V$25+Profile!$V$24*'Ri-Po'!C278,"")</f>
        <v/>
      </c>
      <c r="L278" s="32" t="str">
        <f t="shared" si="203"/>
        <v/>
      </c>
      <c r="M278" s="32" t="str">
        <f t="shared" si="199"/>
        <v/>
      </c>
      <c r="N278" s="32" t="str">
        <f t="shared" si="200"/>
        <v/>
      </c>
      <c r="O278" s="32" t="str">
        <f t="shared" si="216"/>
        <v/>
      </c>
      <c r="P278" s="32" t="str">
        <f t="shared" si="204"/>
        <v/>
      </c>
      <c r="Q278" s="32" t="str">
        <f t="shared" si="205"/>
        <v/>
      </c>
      <c r="R278" s="32" t="str">
        <f t="shared" si="217"/>
        <v/>
      </c>
      <c r="S278" s="24" t="str">
        <f t="shared" si="218"/>
        <v/>
      </c>
      <c r="T278" s="24" t="str">
        <f t="shared" si="219"/>
        <v/>
      </c>
      <c r="U278" s="24" t="str">
        <f t="shared" si="220"/>
        <v/>
      </c>
      <c r="V278" s="24" t="str">
        <f t="shared" si="221"/>
        <v/>
      </c>
      <c r="W278" s="23" t="str">
        <f t="array" ref="W278">IFERROR(SMALL(IF(S$1:S$1000="BEGIN",ROW(S$1:S$1000)),ROW()-3),"")</f>
        <v/>
      </c>
      <c r="X278" s="23" t="str">
        <f t="array" ref="X278">IFERROR(SMALL(IF(T$1:T$1000="END",ROW(T$1:T$1000)),ROW()-3),"")</f>
        <v/>
      </c>
      <c r="Y278" s="33" t="str">
        <f t="array" ref="Y278">IF(ISNUMBER(W278),MAX(IF((B$4:B$1000&lt;=X278)*(B$4:B$1000&gt;=W278),I$4:I$1000, "")),"")</f>
        <v/>
      </c>
      <c r="Z278" s="33" t="str">
        <f t="shared" si="206"/>
        <v/>
      </c>
      <c r="AA278" s="32" t="str">
        <f t="shared" si="207"/>
        <v/>
      </c>
      <c r="AB278" s="32" t="str">
        <f t="shared" si="208"/>
        <v/>
      </c>
      <c r="AC278" s="32" t="str">
        <f t="shared" si="209"/>
        <v/>
      </c>
      <c r="AD278" s="32" t="str">
        <f t="shared" si="210"/>
        <v/>
      </c>
      <c r="AE278" s="34" t="str">
        <f t="shared" si="211"/>
        <v/>
      </c>
      <c r="AF278" s="32" t="str">
        <f t="shared" si="212"/>
        <v/>
      </c>
      <c r="AG278" s="32" t="str">
        <f t="shared" si="213"/>
        <v/>
      </c>
      <c r="AH278" s="32" t="str">
        <f t="shared" si="214"/>
        <v/>
      </c>
      <c r="AI278" s="35" t="str">
        <f t="shared" si="215"/>
        <v/>
      </c>
      <c r="AJ278" s="23" t="str">
        <f t="array" ref="AJ278">IFERROR(SMALL(IF(U$1:U$1000="BEGIN",ROW(U$1:U$1000)),ROW()-3),"")</f>
        <v/>
      </c>
      <c r="AK278" s="23" t="str">
        <f t="array" ref="AK278">IFERROR(SMALL(IF(V$1:V$1000="END",ROW(V$1:V$1000)),ROW()-3),"")</f>
        <v/>
      </c>
      <c r="AL278" s="24" t="str">
        <f t="array" ref="AL278">IF(AK278="","",MATCH(AM278,L:L,0))</f>
        <v/>
      </c>
      <c r="AM278" s="35">
        <f t="array" ref="AM278">MAX(IF((B$4:B$1000&lt;=AK278)*(B$4:B$1000&gt;=AJ278),L$4:L$1000, ""))</f>
        <v>0</v>
      </c>
      <c r="AN278" s="32" t="str">
        <f t="shared" si="222"/>
        <v/>
      </c>
      <c r="AO278" s="32" t="str">
        <f t="shared" si="223"/>
        <v/>
      </c>
      <c r="AP278" s="32" t="str">
        <f t="shared" si="224"/>
        <v/>
      </c>
      <c r="AQ278" s="32" t="str">
        <f t="shared" si="225"/>
        <v/>
      </c>
      <c r="AR278" s="32" t="str">
        <f t="shared" si="226"/>
        <v/>
      </c>
      <c r="AS278" s="32" t="str">
        <f t="shared" si="227"/>
        <v/>
      </c>
      <c r="AT278" s="32" t="str">
        <f t="shared" si="228"/>
        <v/>
      </c>
      <c r="AU278" s="34" t="str">
        <f t="shared" si="229"/>
        <v/>
      </c>
      <c r="AV278" s="32" t="str">
        <f t="shared" si="230"/>
        <v/>
      </c>
      <c r="AW278" s="32" t="str">
        <f t="shared" si="231"/>
        <v/>
      </c>
      <c r="AX278" s="32" t="str">
        <f t="shared" si="232"/>
        <v/>
      </c>
      <c r="AY278" s="32" t="str">
        <f t="shared" si="233"/>
        <v/>
      </c>
    </row>
    <row r="279" spans="1:51" x14ac:dyDescent="0.25">
      <c r="A279" s="24" t="str">
        <f t="shared" si="191"/>
        <v/>
      </c>
      <c r="B279" s="24" t="str">
        <f t="shared" si="201"/>
        <v/>
      </c>
      <c r="C279" s="32" t="str">
        <f t="shared" si="192"/>
        <v/>
      </c>
      <c r="D279" s="24" t="str">
        <f t="shared" si="193"/>
        <v/>
      </c>
      <c r="E279" s="24" t="str">
        <f t="shared" si="194"/>
        <v/>
      </c>
      <c r="F279" s="32" t="str">
        <f t="shared" si="195"/>
        <v/>
      </c>
      <c r="G279" s="32" t="str">
        <f t="shared" si="196"/>
        <v/>
      </c>
      <c r="H279" s="32" t="str">
        <f t="shared" ca="1" si="197"/>
        <v/>
      </c>
      <c r="I279" s="32" t="str">
        <f t="shared" ca="1" si="202"/>
        <v/>
      </c>
      <c r="J279" s="32" t="str">
        <f t="shared" si="198"/>
        <v/>
      </c>
      <c r="K279" s="32" t="str">
        <f>IF(ISNUMBER(A279),Profile!$V$25+Profile!$V$24*'Ri-Po'!C279,"")</f>
        <v/>
      </c>
      <c r="L279" s="32" t="str">
        <f t="shared" si="203"/>
        <v/>
      </c>
      <c r="M279" s="32" t="str">
        <f t="shared" si="199"/>
        <v/>
      </c>
      <c r="N279" s="32" t="str">
        <f t="shared" si="200"/>
        <v/>
      </c>
      <c r="O279" s="32" t="str">
        <f t="shared" si="216"/>
        <v/>
      </c>
      <c r="P279" s="32" t="str">
        <f t="shared" si="204"/>
        <v/>
      </c>
      <c r="Q279" s="32" t="str">
        <f t="shared" si="205"/>
        <v/>
      </c>
      <c r="R279" s="32" t="str">
        <f t="shared" si="217"/>
        <v/>
      </c>
      <c r="S279" s="24" t="str">
        <f t="shared" si="218"/>
        <v/>
      </c>
      <c r="T279" s="24" t="str">
        <f t="shared" si="219"/>
        <v/>
      </c>
      <c r="U279" s="24" t="str">
        <f t="shared" si="220"/>
        <v/>
      </c>
      <c r="V279" s="24" t="str">
        <f t="shared" si="221"/>
        <v/>
      </c>
      <c r="W279" s="23" t="str">
        <f t="array" ref="W279">IFERROR(SMALL(IF(S$1:S$1000="BEGIN",ROW(S$1:S$1000)),ROW()-3),"")</f>
        <v/>
      </c>
      <c r="X279" s="23" t="str">
        <f t="array" ref="X279">IFERROR(SMALL(IF(T$1:T$1000="END",ROW(T$1:T$1000)),ROW()-3),"")</f>
        <v/>
      </c>
      <c r="Y279" s="33" t="str">
        <f t="array" ref="Y279">IF(ISNUMBER(W279),MAX(IF((B$4:B$1000&lt;=X279)*(B$4:B$1000&gt;=W279),I$4:I$1000, "")),"")</f>
        <v/>
      </c>
      <c r="Z279" s="33" t="str">
        <f t="shared" si="206"/>
        <v/>
      </c>
      <c r="AA279" s="32" t="str">
        <f t="shared" si="207"/>
        <v/>
      </c>
      <c r="AB279" s="32" t="str">
        <f t="shared" si="208"/>
        <v/>
      </c>
      <c r="AC279" s="32" t="str">
        <f t="shared" si="209"/>
        <v/>
      </c>
      <c r="AD279" s="32" t="str">
        <f t="shared" si="210"/>
        <v/>
      </c>
      <c r="AE279" s="34" t="str">
        <f t="shared" si="211"/>
        <v/>
      </c>
      <c r="AF279" s="32" t="str">
        <f t="shared" si="212"/>
        <v/>
      </c>
      <c r="AG279" s="32" t="str">
        <f t="shared" si="213"/>
        <v/>
      </c>
      <c r="AH279" s="32" t="str">
        <f t="shared" si="214"/>
        <v/>
      </c>
      <c r="AI279" s="35" t="str">
        <f t="shared" si="215"/>
        <v/>
      </c>
      <c r="AJ279" s="23" t="str">
        <f t="array" ref="AJ279">IFERROR(SMALL(IF(U$1:U$1000="BEGIN",ROW(U$1:U$1000)),ROW()-3),"")</f>
        <v/>
      </c>
      <c r="AK279" s="23" t="str">
        <f t="array" ref="AK279">IFERROR(SMALL(IF(V$1:V$1000="END",ROW(V$1:V$1000)),ROW()-3),"")</f>
        <v/>
      </c>
      <c r="AL279" s="24" t="str">
        <f t="array" ref="AL279">IF(AK279="","",MATCH(AM279,L:L,0))</f>
        <v/>
      </c>
      <c r="AM279" s="35">
        <f t="array" ref="AM279">MAX(IF((B$4:B$1000&lt;=AK279)*(B$4:B$1000&gt;=AJ279),L$4:L$1000, ""))</f>
        <v>0</v>
      </c>
      <c r="AN279" s="32" t="str">
        <f t="shared" si="222"/>
        <v/>
      </c>
      <c r="AO279" s="32" t="str">
        <f t="shared" si="223"/>
        <v/>
      </c>
      <c r="AP279" s="32" t="str">
        <f t="shared" si="224"/>
        <v/>
      </c>
      <c r="AQ279" s="32" t="str">
        <f t="shared" si="225"/>
        <v/>
      </c>
      <c r="AR279" s="32" t="str">
        <f t="shared" si="226"/>
        <v/>
      </c>
      <c r="AS279" s="32" t="str">
        <f t="shared" si="227"/>
        <v/>
      </c>
      <c r="AT279" s="32" t="str">
        <f t="shared" si="228"/>
        <v/>
      </c>
      <c r="AU279" s="34" t="str">
        <f t="shared" si="229"/>
        <v/>
      </c>
      <c r="AV279" s="32" t="str">
        <f t="shared" si="230"/>
        <v/>
      </c>
      <c r="AW279" s="32" t="str">
        <f t="shared" si="231"/>
        <v/>
      </c>
      <c r="AX279" s="32" t="str">
        <f t="shared" si="232"/>
        <v/>
      </c>
      <c r="AY279" s="32" t="str">
        <f t="shared" si="233"/>
        <v/>
      </c>
    </row>
    <row r="280" spans="1:51" x14ac:dyDescent="0.25">
      <c r="A280" s="24" t="str">
        <f t="shared" si="191"/>
        <v/>
      </c>
      <c r="B280" s="24" t="str">
        <f t="shared" si="201"/>
        <v/>
      </c>
      <c r="C280" s="32" t="str">
        <f t="shared" si="192"/>
        <v/>
      </c>
      <c r="D280" s="24" t="str">
        <f t="shared" si="193"/>
        <v/>
      </c>
      <c r="E280" s="24" t="str">
        <f t="shared" si="194"/>
        <v/>
      </c>
      <c r="F280" s="32" t="str">
        <f t="shared" si="195"/>
        <v/>
      </c>
      <c r="G280" s="32" t="str">
        <f t="shared" si="196"/>
        <v/>
      </c>
      <c r="H280" s="32" t="str">
        <f t="shared" ca="1" si="197"/>
        <v/>
      </c>
      <c r="I280" s="32" t="str">
        <f t="shared" ca="1" si="202"/>
        <v/>
      </c>
      <c r="J280" s="32" t="str">
        <f t="shared" si="198"/>
        <v/>
      </c>
      <c r="K280" s="32" t="str">
        <f>IF(ISNUMBER(A280),Profile!$V$25+Profile!$V$24*'Ri-Po'!C280,"")</f>
        <v/>
      </c>
      <c r="L280" s="32" t="str">
        <f t="shared" si="203"/>
        <v/>
      </c>
      <c r="M280" s="32" t="str">
        <f t="shared" si="199"/>
        <v/>
      </c>
      <c r="N280" s="32" t="str">
        <f t="shared" si="200"/>
        <v/>
      </c>
      <c r="O280" s="32" t="str">
        <f t="shared" si="216"/>
        <v/>
      </c>
      <c r="P280" s="32" t="str">
        <f t="shared" si="204"/>
        <v/>
      </c>
      <c r="Q280" s="32" t="str">
        <f t="shared" si="205"/>
        <v/>
      </c>
      <c r="R280" s="32" t="str">
        <f t="shared" si="217"/>
        <v/>
      </c>
      <c r="S280" s="24" t="str">
        <f t="shared" si="218"/>
        <v/>
      </c>
      <c r="T280" s="24" t="str">
        <f t="shared" si="219"/>
        <v/>
      </c>
      <c r="U280" s="24" t="str">
        <f t="shared" si="220"/>
        <v/>
      </c>
      <c r="V280" s="24" t="str">
        <f t="shared" si="221"/>
        <v/>
      </c>
      <c r="W280" s="23" t="str">
        <f t="array" ref="W280">IFERROR(SMALL(IF(S$1:S$1000="BEGIN",ROW(S$1:S$1000)),ROW()-3),"")</f>
        <v/>
      </c>
      <c r="X280" s="23" t="str">
        <f t="array" ref="X280">IFERROR(SMALL(IF(T$1:T$1000="END",ROW(T$1:T$1000)),ROW()-3),"")</f>
        <v/>
      </c>
      <c r="Y280" s="33" t="str">
        <f t="array" ref="Y280">IF(ISNUMBER(W280),MAX(IF((B$4:B$1000&lt;=X280)*(B$4:B$1000&gt;=W280),I$4:I$1000, "")),"")</f>
        <v/>
      </c>
      <c r="Z280" s="33" t="str">
        <f t="shared" si="206"/>
        <v/>
      </c>
      <c r="AA280" s="32" t="str">
        <f t="shared" si="207"/>
        <v/>
      </c>
      <c r="AB280" s="32" t="str">
        <f t="shared" si="208"/>
        <v/>
      </c>
      <c r="AC280" s="32" t="str">
        <f t="shared" si="209"/>
        <v/>
      </c>
      <c r="AD280" s="32" t="str">
        <f t="shared" si="210"/>
        <v/>
      </c>
      <c r="AE280" s="34" t="str">
        <f t="shared" si="211"/>
        <v/>
      </c>
      <c r="AF280" s="32" t="str">
        <f t="shared" si="212"/>
        <v/>
      </c>
      <c r="AG280" s="32" t="str">
        <f t="shared" si="213"/>
        <v/>
      </c>
      <c r="AH280" s="32" t="str">
        <f t="shared" si="214"/>
        <v/>
      </c>
      <c r="AI280" s="35" t="str">
        <f t="shared" si="215"/>
        <v/>
      </c>
      <c r="AJ280" s="23" t="str">
        <f t="array" ref="AJ280">IFERROR(SMALL(IF(U$1:U$1000="BEGIN",ROW(U$1:U$1000)),ROW()-3),"")</f>
        <v/>
      </c>
      <c r="AK280" s="23" t="str">
        <f t="array" ref="AK280">IFERROR(SMALL(IF(V$1:V$1000="END",ROW(V$1:V$1000)),ROW()-3),"")</f>
        <v/>
      </c>
      <c r="AL280" s="24" t="str">
        <f t="array" ref="AL280">IF(AK280="","",MATCH(AM280,L:L,0))</f>
        <v/>
      </c>
      <c r="AM280" s="35">
        <f t="array" ref="AM280">MAX(IF((B$4:B$1000&lt;=AK280)*(B$4:B$1000&gt;=AJ280),L$4:L$1000, ""))</f>
        <v>0</v>
      </c>
      <c r="AN280" s="32" t="str">
        <f t="shared" si="222"/>
        <v/>
      </c>
      <c r="AO280" s="32" t="str">
        <f t="shared" si="223"/>
        <v/>
      </c>
      <c r="AP280" s="32" t="str">
        <f t="shared" si="224"/>
        <v/>
      </c>
      <c r="AQ280" s="32" t="str">
        <f t="shared" si="225"/>
        <v/>
      </c>
      <c r="AR280" s="32" t="str">
        <f t="shared" si="226"/>
        <v/>
      </c>
      <c r="AS280" s="32" t="str">
        <f t="shared" si="227"/>
        <v/>
      </c>
      <c r="AT280" s="32" t="str">
        <f t="shared" si="228"/>
        <v/>
      </c>
      <c r="AU280" s="34" t="str">
        <f t="shared" si="229"/>
        <v/>
      </c>
      <c r="AV280" s="32" t="str">
        <f t="shared" si="230"/>
        <v/>
      </c>
      <c r="AW280" s="32" t="str">
        <f t="shared" si="231"/>
        <v/>
      </c>
      <c r="AX280" s="32" t="str">
        <f t="shared" si="232"/>
        <v/>
      </c>
      <c r="AY280" s="32" t="str">
        <f t="shared" si="233"/>
        <v/>
      </c>
    </row>
    <row r="281" spans="1:51" x14ac:dyDescent="0.25">
      <c r="A281" s="24" t="str">
        <f t="shared" si="191"/>
        <v/>
      </c>
      <c r="B281" s="24" t="str">
        <f t="shared" si="201"/>
        <v/>
      </c>
      <c r="C281" s="32" t="str">
        <f t="shared" si="192"/>
        <v/>
      </c>
      <c r="D281" s="24" t="str">
        <f t="shared" si="193"/>
        <v/>
      </c>
      <c r="E281" s="24" t="str">
        <f t="shared" si="194"/>
        <v/>
      </c>
      <c r="F281" s="32" t="str">
        <f t="shared" si="195"/>
        <v/>
      </c>
      <c r="G281" s="32" t="str">
        <f t="shared" si="196"/>
        <v/>
      </c>
      <c r="H281" s="32" t="str">
        <f t="shared" ca="1" si="197"/>
        <v/>
      </c>
      <c r="I281" s="32" t="str">
        <f t="shared" ca="1" si="202"/>
        <v/>
      </c>
      <c r="J281" s="32" t="str">
        <f t="shared" si="198"/>
        <v/>
      </c>
      <c r="K281" s="32" t="str">
        <f>IF(ISNUMBER(A281),Profile!$V$25+Profile!$V$24*'Ri-Po'!C281,"")</f>
        <v/>
      </c>
      <c r="L281" s="32" t="str">
        <f t="shared" si="203"/>
        <v/>
      </c>
      <c r="M281" s="32" t="str">
        <f t="shared" si="199"/>
        <v/>
      </c>
      <c r="N281" s="32" t="str">
        <f t="shared" si="200"/>
        <v/>
      </c>
      <c r="O281" s="32" t="str">
        <f t="shared" si="216"/>
        <v/>
      </c>
      <c r="P281" s="32" t="str">
        <f t="shared" si="204"/>
        <v/>
      </c>
      <c r="Q281" s="32" t="str">
        <f t="shared" si="205"/>
        <v/>
      </c>
      <c r="R281" s="32" t="str">
        <f t="shared" si="217"/>
        <v/>
      </c>
      <c r="S281" s="24" t="str">
        <f t="shared" si="218"/>
        <v/>
      </c>
      <c r="T281" s="24" t="str">
        <f t="shared" si="219"/>
        <v/>
      </c>
      <c r="U281" s="24" t="str">
        <f t="shared" si="220"/>
        <v/>
      </c>
      <c r="V281" s="24" t="str">
        <f t="shared" si="221"/>
        <v/>
      </c>
      <c r="W281" s="23" t="str">
        <f t="array" ref="W281">IFERROR(SMALL(IF(S$1:S$1000="BEGIN",ROW(S$1:S$1000)),ROW()-3),"")</f>
        <v/>
      </c>
      <c r="X281" s="23" t="str">
        <f t="array" ref="X281">IFERROR(SMALL(IF(T$1:T$1000="END",ROW(T$1:T$1000)),ROW()-3),"")</f>
        <v/>
      </c>
      <c r="Y281" s="33" t="str">
        <f t="array" ref="Y281">IF(ISNUMBER(W281),MAX(IF((B$4:B$1000&lt;=X281)*(B$4:B$1000&gt;=W281),I$4:I$1000, "")),"")</f>
        <v/>
      </c>
      <c r="Z281" s="33" t="str">
        <f t="shared" si="206"/>
        <v/>
      </c>
      <c r="AA281" s="32" t="str">
        <f t="shared" si="207"/>
        <v/>
      </c>
      <c r="AB281" s="32" t="str">
        <f t="shared" si="208"/>
        <v/>
      </c>
      <c r="AC281" s="32" t="str">
        <f t="shared" si="209"/>
        <v/>
      </c>
      <c r="AD281" s="32" t="str">
        <f t="shared" si="210"/>
        <v/>
      </c>
      <c r="AE281" s="34" t="str">
        <f t="shared" si="211"/>
        <v/>
      </c>
      <c r="AF281" s="32" t="str">
        <f t="shared" si="212"/>
        <v/>
      </c>
      <c r="AG281" s="32" t="str">
        <f t="shared" si="213"/>
        <v/>
      </c>
      <c r="AH281" s="32" t="str">
        <f t="shared" si="214"/>
        <v/>
      </c>
      <c r="AI281" s="35" t="str">
        <f t="shared" si="215"/>
        <v/>
      </c>
      <c r="AJ281" s="23" t="str">
        <f t="array" ref="AJ281">IFERROR(SMALL(IF(U$1:U$1000="BEGIN",ROW(U$1:U$1000)),ROW()-3),"")</f>
        <v/>
      </c>
      <c r="AK281" s="23" t="str">
        <f t="array" ref="AK281">IFERROR(SMALL(IF(V$1:V$1000="END",ROW(V$1:V$1000)),ROW()-3),"")</f>
        <v/>
      </c>
      <c r="AL281" s="24" t="str">
        <f t="array" ref="AL281">IF(AK281="","",MATCH(AM281,L:L,0))</f>
        <v/>
      </c>
      <c r="AM281" s="35">
        <f t="array" ref="AM281">MAX(IF((B$4:B$1000&lt;=AK281)*(B$4:B$1000&gt;=AJ281),L$4:L$1000, ""))</f>
        <v>0</v>
      </c>
      <c r="AN281" s="32" t="str">
        <f t="shared" si="222"/>
        <v/>
      </c>
      <c r="AO281" s="32" t="str">
        <f t="shared" si="223"/>
        <v/>
      </c>
      <c r="AP281" s="32" t="str">
        <f t="shared" si="224"/>
        <v/>
      </c>
      <c r="AQ281" s="32" t="str">
        <f t="shared" si="225"/>
        <v/>
      </c>
      <c r="AR281" s="32" t="str">
        <f t="shared" si="226"/>
        <v/>
      </c>
      <c r="AS281" s="32" t="str">
        <f t="shared" si="227"/>
        <v/>
      </c>
      <c r="AT281" s="32" t="str">
        <f t="shared" si="228"/>
        <v/>
      </c>
      <c r="AU281" s="34" t="str">
        <f t="shared" si="229"/>
        <v/>
      </c>
      <c r="AV281" s="32" t="str">
        <f t="shared" si="230"/>
        <v/>
      </c>
      <c r="AW281" s="32" t="str">
        <f t="shared" si="231"/>
        <v/>
      </c>
      <c r="AX281" s="32" t="str">
        <f t="shared" si="232"/>
        <v/>
      </c>
      <c r="AY281" s="32" t="str">
        <f t="shared" si="233"/>
        <v/>
      </c>
    </row>
    <row r="282" spans="1:51" x14ac:dyDescent="0.25">
      <c r="A282" s="24" t="str">
        <f t="shared" si="191"/>
        <v/>
      </c>
      <c r="B282" s="24" t="str">
        <f t="shared" si="201"/>
        <v/>
      </c>
      <c r="C282" s="32" t="str">
        <f t="shared" si="192"/>
        <v/>
      </c>
      <c r="D282" s="24" t="str">
        <f t="shared" si="193"/>
        <v/>
      </c>
      <c r="E282" s="24" t="str">
        <f t="shared" si="194"/>
        <v/>
      </c>
      <c r="F282" s="32" t="str">
        <f t="shared" si="195"/>
        <v/>
      </c>
      <c r="G282" s="32" t="str">
        <f t="shared" si="196"/>
        <v/>
      </c>
      <c r="H282" s="32" t="str">
        <f t="shared" ca="1" si="197"/>
        <v/>
      </c>
      <c r="I282" s="32" t="str">
        <f t="shared" ca="1" si="202"/>
        <v/>
      </c>
      <c r="J282" s="32" t="str">
        <f t="shared" si="198"/>
        <v/>
      </c>
      <c r="K282" s="32" t="str">
        <f>IF(ISNUMBER(A282),Profile!$V$25+Profile!$V$24*'Ri-Po'!C282,"")</f>
        <v/>
      </c>
      <c r="L282" s="32" t="str">
        <f t="shared" si="203"/>
        <v/>
      </c>
      <c r="M282" s="32" t="str">
        <f t="shared" si="199"/>
        <v/>
      </c>
      <c r="N282" s="32" t="str">
        <f t="shared" si="200"/>
        <v/>
      </c>
      <c r="O282" s="32" t="str">
        <f t="shared" si="216"/>
        <v/>
      </c>
      <c r="P282" s="32" t="str">
        <f t="shared" si="204"/>
        <v/>
      </c>
      <c r="Q282" s="32" t="str">
        <f t="shared" si="205"/>
        <v/>
      </c>
      <c r="R282" s="32" t="str">
        <f t="shared" si="217"/>
        <v/>
      </c>
      <c r="S282" s="24" t="str">
        <f t="shared" si="218"/>
        <v/>
      </c>
      <c r="T282" s="24" t="str">
        <f t="shared" si="219"/>
        <v/>
      </c>
      <c r="U282" s="24" t="str">
        <f t="shared" si="220"/>
        <v/>
      </c>
      <c r="V282" s="24" t="str">
        <f t="shared" si="221"/>
        <v/>
      </c>
      <c r="W282" s="23" t="str">
        <f t="array" ref="W282">IFERROR(SMALL(IF(S$1:S$1000="BEGIN",ROW(S$1:S$1000)),ROW()-3),"")</f>
        <v/>
      </c>
      <c r="X282" s="23" t="str">
        <f t="array" ref="X282">IFERROR(SMALL(IF(T$1:T$1000="END",ROW(T$1:T$1000)),ROW()-3),"")</f>
        <v/>
      </c>
      <c r="Y282" s="33" t="str">
        <f t="array" ref="Y282">IF(ISNUMBER(W282),MAX(IF((B$4:B$1000&lt;=X282)*(B$4:B$1000&gt;=W282),I$4:I$1000, "")),"")</f>
        <v/>
      </c>
      <c r="Z282" s="33" t="str">
        <f t="shared" si="206"/>
        <v/>
      </c>
      <c r="AA282" s="32" t="str">
        <f t="shared" si="207"/>
        <v/>
      </c>
      <c r="AB282" s="32" t="str">
        <f t="shared" si="208"/>
        <v/>
      </c>
      <c r="AC282" s="32" t="str">
        <f t="shared" si="209"/>
        <v/>
      </c>
      <c r="AD282" s="32" t="str">
        <f t="shared" si="210"/>
        <v/>
      </c>
      <c r="AE282" s="34" t="str">
        <f t="shared" si="211"/>
        <v/>
      </c>
      <c r="AF282" s="32" t="str">
        <f t="shared" si="212"/>
        <v/>
      </c>
      <c r="AG282" s="32" t="str">
        <f t="shared" si="213"/>
        <v/>
      </c>
      <c r="AH282" s="32" t="str">
        <f t="shared" si="214"/>
        <v/>
      </c>
      <c r="AI282" s="35" t="str">
        <f t="shared" si="215"/>
        <v/>
      </c>
      <c r="AJ282" s="23" t="str">
        <f t="array" ref="AJ282">IFERROR(SMALL(IF(U$1:U$1000="BEGIN",ROW(U$1:U$1000)),ROW()-3),"")</f>
        <v/>
      </c>
      <c r="AK282" s="23" t="str">
        <f t="array" ref="AK282">IFERROR(SMALL(IF(V$1:V$1000="END",ROW(V$1:V$1000)),ROW()-3),"")</f>
        <v/>
      </c>
      <c r="AL282" s="24" t="str">
        <f t="array" ref="AL282">IF(AK282="","",MATCH(AM282,L:L,0))</f>
        <v/>
      </c>
      <c r="AM282" s="35">
        <f t="array" ref="AM282">MAX(IF((B$4:B$1000&lt;=AK282)*(B$4:B$1000&gt;=AJ282),L$4:L$1000, ""))</f>
        <v>0</v>
      </c>
      <c r="AN282" s="32" t="str">
        <f t="shared" si="222"/>
        <v/>
      </c>
      <c r="AO282" s="32" t="str">
        <f t="shared" si="223"/>
        <v/>
      </c>
      <c r="AP282" s="32" t="str">
        <f t="shared" si="224"/>
        <v/>
      </c>
      <c r="AQ282" s="32" t="str">
        <f t="shared" si="225"/>
        <v/>
      </c>
      <c r="AR282" s="32" t="str">
        <f t="shared" si="226"/>
        <v/>
      </c>
      <c r="AS282" s="32" t="str">
        <f t="shared" si="227"/>
        <v/>
      </c>
      <c r="AT282" s="32" t="str">
        <f t="shared" si="228"/>
        <v/>
      </c>
      <c r="AU282" s="34" t="str">
        <f t="shared" si="229"/>
        <v/>
      </c>
      <c r="AV282" s="32" t="str">
        <f t="shared" si="230"/>
        <v/>
      </c>
      <c r="AW282" s="32" t="str">
        <f t="shared" si="231"/>
        <v/>
      </c>
      <c r="AX282" s="32" t="str">
        <f t="shared" si="232"/>
        <v/>
      </c>
      <c r="AY282" s="32" t="str">
        <f t="shared" si="233"/>
        <v/>
      </c>
    </row>
    <row r="283" spans="1:51" x14ac:dyDescent="0.25">
      <c r="A283" s="24" t="str">
        <f t="shared" si="191"/>
        <v/>
      </c>
      <c r="B283" s="24" t="str">
        <f t="shared" si="201"/>
        <v/>
      </c>
      <c r="C283" s="32" t="str">
        <f t="shared" si="192"/>
        <v/>
      </c>
      <c r="D283" s="24" t="str">
        <f t="shared" si="193"/>
        <v/>
      </c>
      <c r="E283" s="24" t="str">
        <f t="shared" si="194"/>
        <v/>
      </c>
      <c r="F283" s="32" t="str">
        <f t="shared" si="195"/>
        <v/>
      </c>
      <c r="G283" s="32" t="str">
        <f t="shared" si="196"/>
        <v/>
      </c>
      <c r="H283" s="32" t="str">
        <f t="shared" ca="1" si="197"/>
        <v/>
      </c>
      <c r="I283" s="32" t="str">
        <f t="shared" ca="1" si="202"/>
        <v/>
      </c>
      <c r="J283" s="32" t="str">
        <f t="shared" si="198"/>
        <v/>
      </c>
      <c r="K283" s="32" t="str">
        <f>IF(ISNUMBER(A283),Profile!$V$25+Profile!$V$24*'Ri-Po'!C283,"")</f>
        <v/>
      </c>
      <c r="L283" s="32" t="str">
        <f t="shared" si="203"/>
        <v/>
      </c>
      <c r="M283" s="32" t="str">
        <f t="shared" si="199"/>
        <v/>
      </c>
      <c r="N283" s="32" t="str">
        <f t="shared" si="200"/>
        <v/>
      </c>
      <c r="O283" s="32" t="str">
        <f t="shared" si="216"/>
        <v/>
      </c>
      <c r="P283" s="32" t="str">
        <f t="shared" si="204"/>
        <v/>
      </c>
      <c r="Q283" s="32" t="str">
        <f t="shared" si="205"/>
        <v/>
      </c>
      <c r="R283" s="32" t="str">
        <f t="shared" si="217"/>
        <v/>
      </c>
      <c r="S283" s="24" t="str">
        <f t="shared" si="218"/>
        <v/>
      </c>
      <c r="T283" s="24" t="str">
        <f t="shared" si="219"/>
        <v/>
      </c>
      <c r="U283" s="24" t="str">
        <f t="shared" si="220"/>
        <v/>
      </c>
      <c r="V283" s="24" t="str">
        <f t="shared" si="221"/>
        <v/>
      </c>
      <c r="W283" s="23" t="str">
        <f t="array" ref="W283">IFERROR(SMALL(IF(S$1:S$1000="BEGIN",ROW(S$1:S$1000)),ROW()-3),"")</f>
        <v/>
      </c>
      <c r="X283" s="23" t="str">
        <f t="array" ref="X283">IFERROR(SMALL(IF(T$1:T$1000="END",ROW(T$1:T$1000)),ROW()-3),"")</f>
        <v/>
      </c>
      <c r="Y283" s="33" t="str">
        <f t="array" ref="Y283">IF(ISNUMBER(W283),MAX(IF((B$4:B$1000&lt;=X283)*(B$4:B$1000&gt;=W283),I$4:I$1000, "")),"")</f>
        <v/>
      </c>
      <c r="Z283" s="33" t="str">
        <f t="shared" si="206"/>
        <v/>
      </c>
      <c r="AA283" s="32" t="str">
        <f t="shared" si="207"/>
        <v/>
      </c>
      <c r="AB283" s="32" t="str">
        <f t="shared" si="208"/>
        <v/>
      </c>
      <c r="AC283" s="32" t="str">
        <f t="shared" si="209"/>
        <v/>
      </c>
      <c r="AD283" s="32" t="str">
        <f t="shared" si="210"/>
        <v/>
      </c>
      <c r="AE283" s="34" t="str">
        <f t="shared" si="211"/>
        <v/>
      </c>
      <c r="AF283" s="32" t="str">
        <f t="shared" si="212"/>
        <v/>
      </c>
      <c r="AG283" s="32" t="str">
        <f t="shared" si="213"/>
        <v/>
      </c>
      <c r="AH283" s="32" t="str">
        <f t="shared" si="214"/>
        <v/>
      </c>
      <c r="AI283" s="35" t="str">
        <f t="shared" si="215"/>
        <v/>
      </c>
      <c r="AJ283" s="23" t="str">
        <f t="array" ref="AJ283">IFERROR(SMALL(IF(U$1:U$1000="BEGIN",ROW(U$1:U$1000)),ROW()-3),"")</f>
        <v/>
      </c>
      <c r="AK283" s="23" t="str">
        <f t="array" ref="AK283">IFERROR(SMALL(IF(V$1:V$1000="END",ROW(V$1:V$1000)),ROW()-3),"")</f>
        <v/>
      </c>
      <c r="AL283" s="24" t="str">
        <f t="array" ref="AL283">IF(AK283="","",MATCH(AM283,L:L,0))</f>
        <v/>
      </c>
      <c r="AM283" s="35">
        <f t="array" ref="AM283">MAX(IF((B$4:B$1000&lt;=AK283)*(B$4:B$1000&gt;=AJ283),L$4:L$1000, ""))</f>
        <v>0</v>
      </c>
      <c r="AN283" s="32" t="str">
        <f t="shared" si="222"/>
        <v/>
      </c>
      <c r="AO283" s="32" t="str">
        <f t="shared" si="223"/>
        <v/>
      </c>
      <c r="AP283" s="32" t="str">
        <f t="shared" si="224"/>
        <v/>
      </c>
      <c r="AQ283" s="32" t="str">
        <f t="shared" si="225"/>
        <v/>
      </c>
      <c r="AR283" s="32" t="str">
        <f t="shared" si="226"/>
        <v/>
      </c>
      <c r="AS283" s="32" t="str">
        <f t="shared" si="227"/>
        <v/>
      </c>
      <c r="AT283" s="32" t="str">
        <f t="shared" si="228"/>
        <v/>
      </c>
      <c r="AU283" s="34" t="str">
        <f t="shared" si="229"/>
        <v/>
      </c>
      <c r="AV283" s="32" t="str">
        <f t="shared" si="230"/>
        <v/>
      </c>
      <c r="AW283" s="32" t="str">
        <f t="shared" si="231"/>
        <v/>
      </c>
      <c r="AX283" s="32" t="str">
        <f t="shared" si="232"/>
        <v/>
      </c>
      <c r="AY283" s="32" t="str">
        <f t="shared" si="233"/>
        <v/>
      </c>
    </row>
    <row r="284" spans="1:51" x14ac:dyDescent="0.25">
      <c r="A284" s="24" t="str">
        <f t="shared" si="191"/>
        <v/>
      </c>
      <c r="B284" s="24" t="str">
        <f t="shared" si="201"/>
        <v/>
      </c>
      <c r="C284" s="32" t="str">
        <f t="shared" si="192"/>
        <v/>
      </c>
      <c r="D284" s="24" t="str">
        <f t="shared" si="193"/>
        <v/>
      </c>
      <c r="E284" s="24" t="str">
        <f t="shared" si="194"/>
        <v/>
      </c>
      <c r="F284" s="32" t="str">
        <f t="shared" si="195"/>
        <v/>
      </c>
      <c r="G284" s="32" t="str">
        <f t="shared" si="196"/>
        <v/>
      </c>
      <c r="H284" s="32" t="str">
        <f t="shared" ca="1" si="197"/>
        <v/>
      </c>
      <c r="I284" s="32" t="str">
        <f t="shared" ca="1" si="202"/>
        <v/>
      </c>
      <c r="J284" s="32" t="str">
        <f t="shared" si="198"/>
        <v/>
      </c>
      <c r="K284" s="32" t="str">
        <f>IF(ISNUMBER(A284),Profile!$V$25+Profile!$V$24*'Ri-Po'!C284,"")</f>
        <v/>
      </c>
      <c r="L284" s="32" t="str">
        <f t="shared" si="203"/>
        <v/>
      </c>
      <c r="M284" s="32" t="str">
        <f t="shared" si="199"/>
        <v/>
      </c>
      <c r="N284" s="32" t="str">
        <f t="shared" si="200"/>
        <v/>
      </c>
      <c r="O284" s="32" t="str">
        <f t="shared" si="216"/>
        <v/>
      </c>
      <c r="P284" s="32" t="str">
        <f t="shared" si="204"/>
        <v/>
      </c>
      <c r="Q284" s="32" t="str">
        <f t="shared" si="205"/>
        <v/>
      </c>
      <c r="R284" s="32" t="str">
        <f t="shared" si="217"/>
        <v/>
      </c>
      <c r="S284" s="24" t="str">
        <f t="shared" si="218"/>
        <v/>
      </c>
      <c r="T284" s="24" t="str">
        <f t="shared" si="219"/>
        <v/>
      </c>
      <c r="U284" s="24" t="str">
        <f t="shared" si="220"/>
        <v/>
      </c>
      <c r="V284" s="24" t="str">
        <f t="shared" si="221"/>
        <v/>
      </c>
      <c r="W284" s="23" t="str">
        <f t="array" ref="W284">IFERROR(SMALL(IF(S$1:S$1000="BEGIN",ROW(S$1:S$1000)),ROW()-3),"")</f>
        <v/>
      </c>
      <c r="X284" s="23" t="str">
        <f t="array" ref="X284">IFERROR(SMALL(IF(T$1:T$1000="END",ROW(T$1:T$1000)),ROW()-3),"")</f>
        <v/>
      </c>
      <c r="Y284" s="33" t="str">
        <f t="array" ref="Y284">IF(ISNUMBER(W284),MAX(IF((B$4:B$1000&lt;=X284)*(B$4:B$1000&gt;=W284),I$4:I$1000, "")),"")</f>
        <v/>
      </c>
      <c r="Z284" s="33" t="str">
        <f t="shared" si="206"/>
        <v/>
      </c>
      <c r="AA284" s="32" t="str">
        <f t="shared" si="207"/>
        <v/>
      </c>
      <c r="AB284" s="32" t="str">
        <f t="shared" si="208"/>
        <v/>
      </c>
      <c r="AC284" s="32" t="str">
        <f t="shared" si="209"/>
        <v/>
      </c>
      <c r="AD284" s="32" t="str">
        <f t="shared" si="210"/>
        <v/>
      </c>
      <c r="AE284" s="34" t="str">
        <f t="shared" si="211"/>
        <v/>
      </c>
      <c r="AF284" s="32" t="str">
        <f t="shared" si="212"/>
        <v/>
      </c>
      <c r="AG284" s="32" t="str">
        <f t="shared" si="213"/>
        <v/>
      </c>
      <c r="AH284" s="32" t="str">
        <f t="shared" si="214"/>
        <v/>
      </c>
      <c r="AI284" s="35" t="str">
        <f t="shared" si="215"/>
        <v/>
      </c>
      <c r="AJ284" s="23" t="str">
        <f t="array" ref="AJ284">IFERROR(SMALL(IF(U$1:U$1000="BEGIN",ROW(U$1:U$1000)),ROW()-3),"")</f>
        <v/>
      </c>
      <c r="AK284" s="23" t="str">
        <f t="array" ref="AK284">IFERROR(SMALL(IF(V$1:V$1000="END",ROW(V$1:V$1000)),ROW()-3),"")</f>
        <v/>
      </c>
      <c r="AL284" s="24" t="str">
        <f t="array" ref="AL284">IF(AK284="","",MATCH(AM284,L:L,0))</f>
        <v/>
      </c>
      <c r="AM284" s="35">
        <f t="array" ref="AM284">MAX(IF((B$4:B$1000&lt;=AK284)*(B$4:B$1000&gt;=AJ284),L$4:L$1000, ""))</f>
        <v>0</v>
      </c>
      <c r="AN284" s="32" t="str">
        <f t="shared" si="222"/>
        <v/>
      </c>
      <c r="AO284" s="32" t="str">
        <f t="shared" si="223"/>
        <v/>
      </c>
      <c r="AP284" s="32" t="str">
        <f t="shared" si="224"/>
        <v/>
      </c>
      <c r="AQ284" s="32" t="str">
        <f t="shared" si="225"/>
        <v/>
      </c>
      <c r="AR284" s="32" t="str">
        <f t="shared" si="226"/>
        <v/>
      </c>
      <c r="AS284" s="32" t="str">
        <f t="shared" si="227"/>
        <v/>
      </c>
      <c r="AT284" s="32" t="str">
        <f t="shared" si="228"/>
        <v/>
      </c>
      <c r="AU284" s="34" t="str">
        <f t="shared" si="229"/>
        <v/>
      </c>
      <c r="AV284" s="32" t="str">
        <f t="shared" si="230"/>
        <v/>
      </c>
      <c r="AW284" s="32" t="str">
        <f t="shared" si="231"/>
        <v/>
      </c>
      <c r="AX284" s="32" t="str">
        <f t="shared" si="232"/>
        <v/>
      </c>
      <c r="AY284" s="32" t="str">
        <f t="shared" si="233"/>
        <v/>
      </c>
    </row>
    <row r="285" spans="1:51" x14ac:dyDescent="0.25">
      <c r="A285" s="24" t="str">
        <f t="shared" si="191"/>
        <v/>
      </c>
      <c r="B285" s="24" t="str">
        <f t="shared" si="201"/>
        <v/>
      </c>
      <c r="C285" s="32" t="str">
        <f t="shared" si="192"/>
        <v/>
      </c>
      <c r="D285" s="24" t="str">
        <f t="shared" si="193"/>
        <v/>
      </c>
      <c r="E285" s="24" t="str">
        <f t="shared" si="194"/>
        <v/>
      </c>
      <c r="F285" s="32" t="str">
        <f t="shared" si="195"/>
        <v/>
      </c>
      <c r="G285" s="32" t="str">
        <f t="shared" si="196"/>
        <v/>
      </c>
      <c r="H285" s="32" t="str">
        <f t="shared" ca="1" si="197"/>
        <v/>
      </c>
      <c r="I285" s="32" t="str">
        <f t="shared" ca="1" si="202"/>
        <v/>
      </c>
      <c r="J285" s="32" t="str">
        <f t="shared" si="198"/>
        <v/>
      </c>
      <c r="K285" s="32" t="str">
        <f>IF(ISNUMBER(A285),Profile!$V$25+Profile!$V$24*'Ri-Po'!C285,"")</f>
        <v/>
      </c>
      <c r="L285" s="32" t="str">
        <f t="shared" si="203"/>
        <v/>
      </c>
      <c r="M285" s="32" t="str">
        <f t="shared" si="199"/>
        <v/>
      </c>
      <c r="N285" s="32" t="str">
        <f t="shared" si="200"/>
        <v/>
      </c>
      <c r="O285" s="32" t="str">
        <f t="shared" si="216"/>
        <v/>
      </c>
      <c r="P285" s="32" t="str">
        <f t="shared" si="204"/>
        <v/>
      </c>
      <c r="Q285" s="32" t="str">
        <f t="shared" si="205"/>
        <v/>
      </c>
      <c r="R285" s="32" t="str">
        <f t="shared" si="217"/>
        <v/>
      </c>
      <c r="S285" s="24" t="str">
        <f t="shared" si="218"/>
        <v/>
      </c>
      <c r="T285" s="24" t="str">
        <f t="shared" si="219"/>
        <v/>
      </c>
      <c r="U285" s="24" t="str">
        <f t="shared" si="220"/>
        <v/>
      </c>
      <c r="V285" s="24" t="str">
        <f t="shared" si="221"/>
        <v/>
      </c>
      <c r="W285" s="23" t="str">
        <f t="array" ref="W285">IFERROR(SMALL(IF(S$1:S$1000="BEGIN",ROW(S$1:S$1000)),ROW()-3),"")</f>
        <v/>
      </c>
      <c r="X285" s="23" t="str">
        <f t="array" ref="X285">IFERROR(SMALL(IF(T$1:T$1000="END",ROW(T$1:T$1000)),ROW()-3),"")</f>
        <v/>
      </c>
      <c r="Y285" s="33" t="str">
        <f t="array" ref="Y285">IF(ISNUMBER(W285),MAX(IF((B$4:B$1000&lt;=X285)*(B$4:B$1000&gt;=W285),I$4:I$1000, "")),"")</f>
        <v/>
      </c>
      <c r="Z285" s="33" t="str">
        <f t="shared" si="206"/>
        <v/>
      </c>
      <c r="AA285" s="32" t="str">
        <f t="shared" si="207"/>
        <v/>
      </c>
      <c r="AB285" s="32" t="str">
        <f t="shared" si="208"/>
        <v/>
      </c>
      <c r="AC285" s="32" t="str">
        <f t="shared" si="209"/>
        <v/>
      </c>
      <c r="AD285" s="32" t="str">
        <f t="shared" si="210"/>
        <v/>
      </c>
      <c r="AE285" s="34" t="str">
        <f t="shared" si="211"/>
        <v/>
      </c>
      <c r="AF285" s="32" t="str">
        <f t="shared" si="212"/>
        <v/>
      </c>
      <c r="AG285" s="32" t="str">
        <f t="shared" si="213"/>
        <v/>
      </c>
      <c r="AH285" s="32" t="str">
        <f t="shared" si="214"/>
        <v/>
      </c>
      <c r="AI285" s="35" t="str">
        <f t="shared" si="215"/>
        <v/>
      </c>
      <c r="AJ285" s="23" t="str">
        <f t="array" ref="AJ285">IFERROR(SMALL(IF(U$1:U$1000="BEGIN",ROW(U$1:U$1000)),ROW()-3),"")</f>
        <v/>
      </c>
      <c r="AK285" s="23" t="str">
        <f t="array" ref="AK285">IFERROR(SMALL(IF(V$1:V$1000="END",ROW(V$1:V$1000)),ROW()-3),"")</f>
        <v/>
      </c>
      <c r="AL285" s="24" t="str">
        <f t="array" ref="AL285">IF(AK285="","",MATCH(AM285,L:L,0))</f>
        <v/>
      </c>
      <c r="AM285" s="35">
        <f t="array" ref="AM285">MAX(IF((B$4:B$1000&lt;=AK285)*(B$4:B$1000&gt;=AJ285),L$4:L$1000, ""))</f>
        <v>0</v>
      </c>
      <c r="AN285" s="32" t="str">
        <f t="shared" si="222"/>
        <v/>
      </c>
      <c r="AO285" s="32" t="str">
        <f t="shared" si="223"/>
        <v/>
      </c>
      <c r="AP285" s="32" t="str">
        <f t="shared" si="224"/>
        <v/>
      </c>
      <c r="AQ285" s="32" t="str">
        <f t="shared" si="225"/>
        <v/>
      </c>
      <c r="AR285" s="32" t="str">
        <f t="shared" si="226"/>
        <v/>
      </c>
      <c r="AS285" s="32" t="str">
        <f t="shared" si="227"/>
        <v/>
      </c>
      <c r="AT285" s="32" t="str">
        <f t="shared" si="228"/>
        <v/>
      </c>
      <c r="AU285" s="34" t="str">
        <f t="shared" si="229"/>
        <v/>
      </c>
      <c r="AV285" s="32" t="str">
        <f t="shared" si="230"/>
        <v/>
      </c>
      <c r="AW285" s="32" t="str">
        <f t="shared" si="231"/>
        <v/>
      </c>
      <c r="AX285" s="32" t="str">
        <f t="shared" si="232"/>
        <v/>
      </c>
      <c r="AY285" s="32" t="str">
        <f t="shared" si="233"/>
        <v/>
      </c>
    </row>
    <row r="286" spans="1:51" x14ac:dyDescent="0.25">
      <c r="A286" s="24" t="str">
        <f t="shared" si="191"/>
        <v/>
      </c>
      <c r="B286" s="24" t="str">
        <f t="shared" si="201"/>
        <v/>
      </c>
      <c r="C286" s="32" t="str">
        <f t="shared" si="192"/>
        <v/>
      </c>
      <c r="D286" s="24" t="str">
        <f t="shared" si="193"/>
        <v/>
      </c>
      <c r="E286" s="24" t="str">
        <f t="shared" si="194"/>
        <v/>
      </c>
      <c r="F286" s="32" t="str">
        <f t="shared" si="195"/>
        <v/>
      </c>
      <c r="G286" s="32" t="str">
        <f t="shared" si="196"/>
        <v/>
      </c>
      <c r="H286" s="32" t="str">
        <f t="shared" ca="1" si="197"/>
        <v/>
      </c>
      <c r="I286" s="32" t="str">
        <f t="shared" ca="1" si="202"/>
        <v/>
      </c>
      <c r="J286" s="32" t="str">
        <f t="shared" si="198"/>
        <v/>
      </c>
      <c r="K286" s="32" t="str">
        <f>IF(ISNUMBER(A286),Profile!$V$25+Profile!$V$24*'Ri-Po'!C286,"")</f>
        <v/>
      </c>
      <c r="L286" s="32" t="str">
        <f t="shared" si="203"/>
        <v/>
      </c>
      <c r="M286" s="32" t="str">
        <f t="shared" si="199"/>
        <v/>
      </c>
      <c r="N286" s="32" t="str">
        <f t="shared" si="200"/>
        <v/>
      </c>
      <c r="O286" s="32" t="str">
        <f t="shared" si="216"/>
        <v/>
      </c>
      <c r="P286" s="32" t="str">
        <f t="shared" si="204"/>
        <v/>
      </c>
      <c r="Q286" s="32" t="str">
        <f t="shared" si="205"/>
        <v/>
      </c>
      <c r="R286" s="32" t="str">
        <f t="shared" si="217"/>
        <v/>
      </c>
      <c r="S286" s="24" t="str">
        <f t="shared" si="218"/>
        <v/>
      </c>
      <c r="T286" s="24" t="str">
        <f t="shared" si="219"/>
        <v/>
      </c>
      <c r="U286" s="24" t="str">
        <f t="shared" si="220"/>
        <v/>
      </c>
      <c r="V286" s="24" t="str">
        <f t="shared" si="221"/>
        <v/>
      </c>
      <c r="W286" s="23" t="str">
        <f t="array" ref="W286">IFERROR(SMALL(IF(S$1:S$1000="BEGIN",ROW(S$1:S$1000)),ROW()-3),"")</f>
        <v/>
      </c>
      <c r="X286" s="23" t="str">
        <f t="array" ref="X286">IFERROR(SMALL(IF(T$1:T$1000="END",ROW(T$1:T$1000)),ROW()-3),"")</f>
        <v/>
      </c>
      <c r="Y286" s="33" t="str">
        <f t="array" ref="Y286">IF(ISNUMBER(W286),MAX(IF((B$4:B$1000&lt;=X286)*(B$4:B$1000&gt;=W286),I$4:I$1000, "")),"")</f>
        <v/>
      </c>
      <c r="Z286" s="33" t="str">
        <f t="shared" si="206"/>
        <v/>
      </c>
      <c r="AA286" s="32" t="str">
        <f t="shared" si="207"/>
        <v/>
      </c>
      <c r="AB286" s="32" t="str">
        <f t="shared" si="208"/>
        <v/>
      </c>
      <c r="AC286" s="32" t="str">
        <f t="shared" si="209"/>
        <v/>
      </c>
      <c r="AD286" s="32" t="str">
        <f t="shared" si="210"/>
        <v/>
      </c>
      <c r="AE286" s="34" t="str">
        <f t="shared" si="211"/>
        <v/>
      </c>
      <c r="AF286" s="32" t="str">
        <f t="shared" si="212"/>
        <v/>
      </c>
      <c r="AG286" s="32" t="str">
        <f t="shared" si="213"/>
        <v/>
      </c>
      <c r="AH286" s="32" t="str">
        <f t="shared" si="214"/>
        <v/>
      </c>
      <c r="AI286" s="35" t="str">
        <f t="shared" si="215"/>
        <v/>
      </c>
      <c r="AJ286" s="23" t="str">
        <f t="array" ref="AJ286">IFERROR(SMALL(IF(U$1:U$1000="BEGIN",ROW(U$1:U$1000)),ROW()-3),"")</f>
        <v/>
      </c>
      <c r="AK286" s="23" t="str">
        <f t="array" ref="AK286">IFERROR(SMALL(IF(V$1:V$1000="END",ROW(V$1:V$1000)),ROW()-3),"")</f>
        <v/>
      </c>
      <c r="AL286" s="24" t="str">
        <f t="array" ref="AL286">IF(AK286="","",MATCH(AM286,L:L,0))</f>
        <v/>
      </c>
      <c r="AM286" s="35">
        <f t="array" ref="AM286">MAX(IF((B$4:B$1000&lt;=AK286)*(B$4:B$1000&gt;=AJ286),L$4:L$1000, ""))</f>
        <v>0</v>
      </c>
      <c r="AN286" s="32" t="str">
        <f t="shared" si="222"/>
        <v/>
      </c>
      <c r="AO286" s="32" t="str">
        <f t="shared" si="223"/>
        <v/>
      </c>
      <c r="AP286" s="32" t="str">
        <f t="shared" si="224"/>
        <v/>
      </c>
      <c r="AQ286" s="32" t="str">
        <f t="shared" si="225"/>
        <v/>
      </c>
      <c r="AR286" s="32" t="str">
        <f t="shared" si="226"/>
        <v/>
      </c>
      <c r="AS286" s="32" t="str">
        <f t="shared" si="227"/>
        <v/>
      </c>
      <c r="AT286" s="32" t="str">
        <f t="shared" si="228"/>
        <v/>
      </c>
      <c r="AU286" s="34" t="str">
        <f t="shared" si="229"/>
        <v/>
      </c>
      <c r="AV286" s="32" t="str">
        <f t="shared" si="230"/>
        <v/>
      </c>
      <c r="AW286" s="32" t="str">
        <f t="shared" si="231"/>
        <v/>
      </c>
      <c r="AX286" s="32" t="str">
        <f t="shared" si="232"/>
        <v/>
      </c>
      <c r="AY286" s="32" t="str">
        <f t="shared" si="233"/>
        <v/>
      </c>
    </row>
    <row r="287" spans="1:51" x14ac:dyDescent="0.25">
      <c r="A287" s="24" t="str">
        <f t="shared" si="191"/>
        <v/>
      </c>
      <c r="B287" s="24" t="str">
        <f t="shared" si="201"/>
        <v/>
      </c>
      <c r="C287" s="32" t="str">
        <f t="shared" si="192"/>
        <v/>
      </c>
      <c r="D287" s="24" t="str">
        <f t="shared" si="193"/>
        <v/>
      </c>
      <c r="E287" s="24" t="str">
        <f t="shared" si="194"/>
        <v/>
      </c>
      <c r="F287" s="32" t="str">
        <f t="shared" si="195"/>
        <v/>
      </c>
      <c r="G287" s="32" t="str">
        <f t="shared" si="196"/>
        <v/>
      </c>
      <c r="H287" s="32" t="str">
        <f t="shared" ca="1" si="197"/>
        <v/>
      </c>
      <c r="I287" s="32" t="str">
        <f t="shared" ca="1" si="202"/>
        <v/>
      </c>
      <c r="J287" s="32" t="str">
        <f t="shared" si="198"/>
        <v/>
      </c>
      <c r="K287" s="32" t="str">
        <f>IF(ISNUMBER(A287),Profile!$V$25+Profile!$V$24*'Ri-Po'!C287,"")</f>
        <v/>
      </c>
      <c r="L287" s="32" t="str">
        <f t="shared" si="203"/>
        <v/>
      </c>
      <c r="M287" s="32" t="str">
        <f t="shared" si="199"/>
        <v/>
      </c>
      <c r="N287" s="32" t="str">
        <f t="shared" si="200"/>
        <v/>
      </c>
      <c r="O287" s="32" t="str">
        <f t="shared" si="216"/>
        <v/>
      </c>
      <c r="P287" s="32" t="str">
        <f t="shared" si="204"/>
        <v/>
      </c>
      <c r="Q287" s="32" t="str">
        <f t="shared" si="205"/>
        <v/>
      </c>
      <c r="R287" s="32" t="str">
        <f t="shared" si="217"/>
        <v/>
      </c>
      <c r="S287" s="24" t="str">
        <f t="shared" si="218"/>
        <v/>
      </c>
      <c r="T287" s="24" t="str">
        <f t="shared" si="219"/>
        <v/>
      </c>
      <c r="U287" s="24" t="str">
        <f t="shared" si="220"/>
        <v/>
      </c>
      <c r="V287" s="24" t="str">
        <f t="shared" si="221"/>
        <v/>
      </c>
      <c r="W287" s="23" t="str">
        <f t="array" ref="W287">IFERROR(SMALL(IF(S$1:S$1000="BEGIN",ROW(S$1:S$1000)),ROW()-3),"")</f>
        <v/>
      </c>
      <c r="X287" s="23" t="str">
        <f t="array" ref="X287">IFERROR(SMALL(IF(T$1:T$1000="END",ROW(T$1:T$1000)),ROW()-3),"")</f>
        <v/>
      </c>
      <c r="Y287" s="33" t="str">
        <f t="array" ref="Y287">IF(ISNUMBER(W287),MAX(IF((B$4:B$1000&lt;=X287)*(B$4:B$1000&gt;=W287),I$4:I$1000, "")),"")</f>
        <v/>
      </c>
      <c r="Z287" s="33" t="str">
        <f t="shared" si="206"/>
        <v/>
      </c>
      <c r="AA287" s="32" t="str">
        <f t="shared" si="207"/>
        <v/>
      </c>
      <c r="AB287" s="32" t="str">
        <f t="shared" si="208"/>
        <v/>
      </c>
      <c r="AC287" s="32" t="str">
        <f t="shared" si="209"/>
        <v/>
      </c>
      <c r="AD287" s="32" t="str">
        <f t="shared" si="210"/>
        <v/>
      </c>
      <c r="AE287" s="34" t="str">
        <f t="shared" si="211"/>
        <v/>
      </c>
      <c r="AF287" s="32" t="str">
        <f t="shared" si="212"/>
        <v/>
      </c>
      <c r="AG287" s="32" t="str">
        <f t="shared" si="213"/>
        <v/>
      </c>
      <c r="AH287" s="32" t="str">
        <f t="shared" si="214"/>
        <v/>
      </c>
      <c r="AI287" s="35" t="str">
        <f t="shared" si="215"/>
        <v/>
      </c>
      <c r="AJ287" s="23" t="str">
        <f t="array" ref="AJ287">IFERROR(SMALL(IF(U$1:U$1000="BEGIN",ROW(U$1:U$1000)),ROW()-3),"")</f>
        <v/>
      </c>
      <c r="AK287" s="23" t="str">
        <f t="array" ref="AK287">IFERROR(SMALL(IF(V$1:V$1000="END",ROW(V$1:V$1000)),ROW()-3),"")</f>
        <v/>
      </c>
      <c r="AL287" s="24" t="str">
        <f t="array" ref="AL287">IF(AK287="","",MATCH(AM287,L:L,0))</f>
        <v/>
      </c>
      <c r="AM287" s="35">
        <f t="array" ref="AM287">MAX(IF((B$4:B$1000&lt;=AK287)*(B$4:B$1000&gt;=AJ287),L$4:L$1000, ""))</f>
        <v>0</v>
      </c>
      <c r="AN287" s="32" t="str">
        <f t="shared" si="222"/>
        <v/>
      </c>
      <c r="AO287" s="32" t="str">
        <f t="shared" si="223"/>
        <v/>
      </c>
      <c r="AP287" s="32" t="str">
        <f t="shared" si="224"/>
        <v/>
      </c>
      <c r="AQ287" s="32" t="str">
        <f t="shared" si="225"/>
        <v/>
      </c>
      <c r="AR287" s="32" t="str">
        <f t="shared" si="226"/>
        <v/>
      </c>
      <c r="AS287" s="32" t="str">
        <f t="shared" si="227"/>
        <v/>
      </c>
      <c r="AT287" s="32" t="str">
        <f t="shared" si="228"/>
        <v/>
      </c>
      <c r="AU287" s="34" t="str">
        <f t="shared" si="229"/>
        <v/>
      </c>
      <c r="AV287" s="32" t="str">
        <f t="shared" si="230"/>
        <v/>
      </c>
      <c r="AW287" s="32" t="str">
        <f t="shared" si="231"/>
        <v/>
      </c>
      <c r="AX287" s="32" t="str">
        <f t="shared" si="232"/>
        <v/>
      </c>
      <c r="AY287" s="32" t="str">
        <f t="shared" si="233"/>
        <v/>
      </c>
    </row>
    <row r="288" spans="1:51" x14ac:dyDescent="0.25">
      <c r="A288" s="24" t="str">
        <f t="shared" si="191"/>
        <v/>
      </c>
      <c r="B288" s="24" t="str">
        <f t="shared" si="201"/>
        <v/>
      </c>
      <c r="C288" s="32" t="str">
        <f t="shared" si="192"/>
        <v/>
      </c>
      <c r="D288" s="24" t="str">
        <f t="shared" si="193"/>
        <v/>
      </c>
      <c r="E288" s="24" t="str">
        <f t="shared" si="194"/>
        <v/>
      </c>
      <c r="F288" s="32" t="str">
        <f t="shared" si="195"/>
        <v/>
      </c>
      <c r="G288" s="32" t="str">
        <f t="shared" si="196"/>
        <v/>
      </c>
      <c r="H288" s="32" t="str">
        <f t="shared" ca="1" si="197"/>
        <v/>
      </c>
      <c r="I288" s="32" t="str">
        <f t="shared" ca="1" si="202"/>
        <v/>
      </c>
      <c r="J288" s="32" t="str">
        <f t="shared" si="198"/>
        <v/>
      </c>
      <c r="K288" s="32" t="str">
        <f>IF(ISNUMBER(A288),Profile!$V$25+Profile!$V$24*'Ri-Po'!C288,"")</f>
        <v/>
      </c>
      <c r="L288" s="32" t="str">
        <f t="shared" si="203"/>
        <v/>
      </c>
      <c r="M288" s="32" t="str">
        <f t="shared" si="199"/>
        <v/>
      </c>
      <c r="N288" s="32" t="str">
        <f t="shared" si="200"/>
        <v/>
      </c>
      <c r="O288" s="32" t="str">
        <f t="shared" si="216"/>
        <v/>
      </c>
      <c r="P288" s="32" t="str">
        <f t="shared" si="204"/>
        <v/>
      </c>
      <c r="Q288" s="32" t="str">
        <f t="shared" si="205"/>
        <v/>
      </c>
      <c r="R288" s="32" t="str">
        <f t="shared" si="217"/>
        <v/>
      </c>
      <c r="S288" s="24" t="str">
        <f t="shared" si="218"/>
        <v/>
      </c>
      <c r="T288" s="24" t="str">
        <f t="shared" si="219"/>
        <v/>
      </c>
      <c r="U288" s="24" t="str">
        <f t="shared" si="220"/>
        <v/>
      </c>
      <c r="V288" s="24" t="str">
        <f t="shared" si="221"/>
        <v/>
      </c>
      <c r="W288" s="23" t="str">
        <f t="array" ref="W288">IFERROR(SMALL(IF(S$1:S$1000="BEGIN",ROW(S$1:S$1000)),ROW()-3),"")</f>
        <v/>
      </c>
      <c r="X288" s="23" t="str">
        <f t="array" ref="X288">IFERROR(SMALL(IF(T$1:T$1000="END",ROW(T$1:T$1000)),ROW()-3),"")</f>
        <v/>
      </c>
      <c r="Y288" s="33" t="str">
        <f t="array" ref="Y288">IF(ISNUMBER(W288),MAX(IF((B$4:B$1000&lt;=X288)*(B$4:B$1000&gt;=W288),I$4:I$1000, "")),"")</f>
        <v/>
      </c>
      <c r="Z288" s="33" t="str">
        <f t="shared" si="206"/>
        <v/>
      </c>
      <c r="AA288" s="32" t="str">
        <f t="shared" si="207"/>
        <v/>
      </c>
      <c r="AB288" s="32" t="str">
        <f t="shared" si="208"/>
        <v/>
      </c>
      <c r="AC288" s="32" t="str">
        <f t="shared" si="209"/>
        <v/>
      </c>
      <c r="AD288" s="32" t="str">
        <f t="shared" si="210"/>
        <v/>
      </c>
      <c r="AE288" s="34" t="str">
        <f t="shared" si="211"/>
        <v/>
      </c>
      <c r="AF288" s="32" t="str">
        <f t="shared" si="212"/>
        <v/>
      </c>
      <c r="AG288" s="32" t="str">
        <f t="shared" si="213"/>
        <v/>
      </c>
      <c r="AH288" s="32" t="str">
        <f t="shared" si="214"/>
        <v/>
      </c>
      <c r="AI288" s="35" t="str">
        <f t="shared" si="215"/>
        <v/>
      </c>
      <c r="AJ288" s="23" t="str">
        <f t="array" ref="AJ288">IFERROR(SMALL(IF(U$1:U$1000="BEGIN",ROW(U$1:U$1000)),ROW()-3),"")</f>
        <v/>
      </c>
      <c r="AK288" s="23" t="str">
        <f t="array" ref="AK288">IFERROR(SMALL(IF(V$1:V$1000="END",ROW(V$1:V$1000)),ROW()-3),"")</f>
        <v/>
      </c>
      <c r="AL288" s="24" t="str">
        <f t="array" ref="AL288">IF(AK288="","",MATCH(AM288,L:L,0))</f>
        <v/>
      </c>
      <c r="AM288" s="35">
        <f t="array" ref="AM288">MAX(IF((B$4:B$1000&lt;=AK288)*(B$4:B$1000&gt;=AJ288),L$4:L$1000, ""))</f>
        <v>0</v>
      </c>
      <c r="AN288" s="32" t="str">
        <f t="shared" si="222"/>
        <v/>
      </c>
      <c r="AO288" s="32" t="str">
        <f t="shared" si="223"/>
        <v/>
      </c>
      <c r="AP288" s="32" t="str">
        <f t="shared" si="224"/>
        <v/>
      </c>
      <c r="AQ288" s="32" t="str">
        <f t="shared" si="225"/>
        <v/>
      </c>
      <c r="AR288" s="32" t="str">
        <f t="shared" si="226"/>
        <v/>
      </c>
      <c r="AS288" s="32" t="str">
        <f t="shared" si="227"/>
        <v/>
      </c>
      <c r="AT288" s="32" t="str">
        <f t="shared" si="228"/>
        <v/>
      </c>
      <c r="AU288" s="34" t="str">
        <f t="shared" si="229"/>
        <v/>
      </c>
      <c r="AV288" s="32" t="str">
        <f t="shared" si="230"/>
        <v/>
      </c>
      <c r="AW288" s="32" t="str">
        <f t="shared" si="231"/>
        <v/>
      </c>
      <c r="AX288" s="32" t="str">
        <f t="shared" si="232"/>
        <v/>
      </c>
      <c r="AY288" s="32" t="str">
        <f t="shared" si="233"/>
        <v/>
      </c>
    </row>
    <row r="289" spans="1:51" x14ac:dyDescent="0.25">
      <c r="A289" s="24" t="str">
        <f t="shared" si="191"/>
        <v/>
      </c>
      <c r="B289" s="24" t="str">
        <f t="shared" si="201"/>
        <v/>
      </c>
      <c r="C289" s="32" t="str">
        <f t="shared" si="192"/>
        <v/>
      </c>
      <c r="D289" s="24" t="str">
        <f t="shared" si="193"/>
        <v/>
      </c>
      <c r="E289" s="24" t="str">
        <f t="shared" si="194"/>
        <v/>
      </c>
      <c r="F289" s="32" t="str">
        <f t="shared" si="195"/>
        <v/>
      </c>
      <c r="G289" s="32" t="str">
        <f t="shared" si="196"/>
        <v/>
      </c>
      <c r="H289" s="32" t="str">
        <f t="shared" ca="1" si="197"/>
        <v/>
      </c>
      <c r="I289" s="32" t="str">
        <f t="shared" ca="1" si="202"/>
        <v/>
      </c>
      <c r="J289" s="32" t="str">
        <f t="shared" si="198"/>
        <v/>
      </c>
      <c r="K289" s="32" t="str">
        <f>IF(ISNUMBER(A289),Profile!$V$25+Profile!$V$24*'Ri-Po'!C289,"")</f>
        <v/>
      </c>
      <c r="L289" s="32" t="str">
        <f t="shared" si="203"/>
        <v/>
      </c>
      <c r="M289" s="32" t="str">
        <f t="shared" si="199"/>
        <v/>
      </c>
      <c r="N289" s="32" t="str">
        <f t="shared" si="200"/>
        <v/>
      </c>
      <c r="O289" s="32" t="str">
        <f t="shared" si="216"/>
        <v/>
      </c>
      <c r="P289" s="32" t="str">
        <f t="shared" si="204"/>
        <v/>
      </c>
      <c r="Q289" s="32" t="str">
        <f t="shared" si="205"/>
        <v/>
      </c>
      <c r="R289" s="32" t="str">
        <f t="shared" si="217"/>
        <v/>
      </c>
      <c r="S289" s="24" t="str">
        <f t="shared" si="218"/>
        <v/>
      </c>
      <c r="T289" s="24" t="str">
        <f t="shared" si="219"/>
        <v/>
      </c>
      <c r="U289" s="24" t="str">
        <f t="shared" si="220"/>
        <v/>
      </c>
      <c r="V289" s="24" t="str">
        <f t="shared" si="221"/>
        <v/>
      </c>
      <c r="W289" s="23" t="str">
        <f t="array" ref="W289">IFERROR(SMALL(IF(S$1:S$1000="BEGIN",ROW(S$1:S$1000)),ROW()-3),"")</f>
        <v/>
      </c>
      <c r="X289" s="23" t="str">
        <f t="array" ref="X289">IFERROR(SMALL(IF(T$1:T$1000="END",ROW(T$1:T$1000)),ROW()-3),"")</f>
        <v/>
      </c>
      <c r="Y289" s="33" t="str">
        <f t="array" ref="Y289">IF(ISNUMBER(W289),MAX(IF((B$4:B$1000&lt;=X289)*(B$4:B$1000&gt;=W289),I$4:I$1000, "")),"")</f>
        <v/>
      </c>
      <c r="Z289" s="33" t="str">
        <f t="shared" si="206"/>
        <v/>
      </c>
      <c r="AA289" s="32" t="str">
        <f t="shared" si="207"/>
        <v/>
      </c>
      <c r="AB289" s="32" t="str">
        <f t="shared" si="208"/>
        <v/>
      </c>
      <c r="AC289" s="32" t="str">
        <f t="shared" si="209"/>
        <v/>
      </c>
      <c r="AD289" s="32" t="str">
        <f t="shared" si="210"/>
        <v/>
      </c>
      <c r="AE289" s="34" t="str">
        <f t="shared" si="211"/>
        <v/>
      </c>
      <c r="AF289" s="32" t="str">
        <f t="shared" si="212"/>
        <v/>
      </c>
      <c r="AG289" s="32" t="str">
        <f t="shared" si="213"/>
        <v/>
      </c>
      <c r="AH289" s="32" t="str">
        <f t="shared" si="214"/>
        <v/>
      </c>
      <c r="AI289" s="35" t="str">
        <f t="shared" si="215"/>
        <v/>
      </c>
      <c r="AJ289" s="23" t="str">
        <f t="array" ref="AJ289">IFERROR(SMALL(IF(U$1:U$1000="BEGIN",ROW(U$1:U$1000)),ROW()-3),"")</f>
        <v/>
      </c>
      <c r="AK289" s="23" t="str">
        <f t="array" ref="AK289">IFERROR(SMALL(IF(V$1:V$1000="END",ROW(V$1:V$1000)),ROW()-3),"")</f>
        <v/>
      </c>
      <c r="AL289" s="24" t="str">
        <f t="array" ref="AL289">IF(AK289="","",MATCH(AM289,L:L,0))</f>
        <v/>
      </c>
      <c r="AM289" s="35">
        <f t="array" ref="AM289">MAX(IF((B$4:B$1000&lt;=AK289)*(B$4:B$1000&gt;=AJ289),L$4:L$1000, ""))</f>
        <v>0</v>
      </c>
      <c r="AN289" s="32" t="str">
        <f t="shared" si="222"/>
        <v/>
      </c>
      <c r="AO289" s="32" t="str">
        <f t="shared" si="223"/>
        <v/>
      </c>
      <c r="AP289" s="32" t="str">
        <f t="shared" si="224"/>
        <v/>
      </c>
      <c r="AQ289" s="32" t="str">
        <f t="shared" si="225"/>
        <v/>
      </c>
      <c r="AR289" s="32" t="str">
        <f t="shared" si="226"/>
        <v/>
      </c>
      <c r="AS289" s="32" t="str">
        <f t="shared" si="227"/>
        <v/>
      </c>
      <c r="AT289" s="32" t="str">
        <f t="shared" si="228"/>
        <v/>
      </c>
      <c r="AU289" s="34" t="str">
        <f t="shared" si="229"/>
        <v/>
      </c>
      <c r="AV289" s="32" t="str">
        <f t="shared" si="230"/>
        <v/>
      </c>
      <c r="AW289" s="32" t="str">
        <f t="shared" si="231"/>
        <v/>
      </c>
      <c r="AX289" s="32" t="str">
        <f t="shared" si="232"/>
        <v/>
      </c>
      <c r="AY289" s="32" t="str">
        <f t="shared" si="233"/>
        <v/>
      </c>
    </row>
    <row r="290" spans="1:51" x14ac:dyDescent="0.25">
      <c r="A290" s="24" t="str">
        <f t="shared" si="191"/>
        <v/>
      </c>
      <c r="B290" s="24" t="str">
        <f t="shared" si="201"/>
        <v/>
      </c>
      <c r="C290" s="32" t="str">
        <f t="shared" si="192"/>
        <v/>
      </c>
      <c r="D290" s="24" t="str">
        <f t="shared" si="193"/>
        <v/>
      </c>
      <c r="E290" s="24" t="str">
        <f t="shared" si="194"/>
        <v/>
      </c>
      <c r="F290" s="32" t="str">
        <f t="shared" si="195"/>
        <v/>
      </c>
      <c r="G290" s="32" t="str">
        <f t="shared" si="196"/>
        <v/>
      </c>
      <c r="H290" s="32" t="str">
        <f t="shared" ca="1" si="197"/>
        <v/>
      </c>
      <c r="I290" s="32" t="str">
        <f t="shared" ca="1" si="202"/>
        <v/>
      </c>
      <c r="J290" s="32" t="str">
        <f t="shared" si="198"/>
        <v/>
      </c>
      <c r="K290" s="32" t="str">
        <f>IF(ISNUMBER(A290),Profile!$V$25+Profile!$V$24*'Ri-Po'!C290,"")</f>
        <v/>
      </c>
      <c r="L290" s="32" t="str">
        <f t="shared" si="203"/>
        <v/>
      </c>
      <c r="M290" s="32" t="str">
        <f t="shared" si="199"/>
        <v/>
      </c>
      <c r="N290" s="32" t="str">
        <f t="shared" si="200"/>
        <v/>
      </c>
      <c r="O290" s="32" t="str">
        <f t="shared" si="216"/>
        <v/>
      </c>
      <c r="P290" s="32" t="str">
        <f t="shared" si="204"/>
        <v/>
      </c>
      <c r="Q290" s="32" t="str">
        <f t="shared" si="205"/>
        <v/>
      </c>
      <c r="R290" s="32" t="str">
        <f t="shared" si="217"/>
        <v/>
      </c>
      <c r="S290" s="24" t="str">
        <f t="shared" si="218"/>
        <v/>
      </c>
      <c r="T290" s="24" t="str">
        <f t="shared" si="219"/>
        <v/>
      </c>
      <c r="U290" s="24" t="str">
        <f t="shared" si="220"/>
        <v/>
      </c>
      <c r="V290" s="24" t="str">
        <f t="shared" si="221"/>
        <v/>
      </c>
      <c r="W290" s="23" t="str">
        <f t="array" ref="W290">IFERROR(SMALL(IF(S$1:S$1000="BEGIN",ROW(S$1:S$1000)),ROW()-3),"")</f>
        <v/>
      </c>
      <c r="X290" s="23" t="str">
        <f t="array" ref="X290">IFERROR(SMALL(IF(T$1:T$1000="END",ROW(T$1:T$1000)),ROW()-3),"")</f>
        <v/>
      </c>
      <c r="Y290" s="33" t="str">
        <f t="array" ref="Y290">IF(ISNUMBER(W290),MAX(IF((B$4:B$1000&lt;=X290)*(B$4:B$1000&gt;=W290),I$4:I$1000, "")),"")</f>
        <v/>
      </c>
      <c r="Z290" s="33" t="str">
        <f t="shared" si="206"/>
        <v/>
      </c>
      <c r="AA290" s="32" t="str">
        <f t="shared" si="207"/>
        <v/>
      </c>
      <c r="AB290" s="32" t="str">
        <f t="shared" si="208"/>
        <v/>
      </c>
      <c r="AC290" s="32" t="str">
        <f t="shared" si="209"/>
        <v/>
      </c>
      <c r="AD290" s="32" t="str">
        <f t="shared" si="210"/>
        <v/>
      </c>
      <c r="AE290" s="34" t="str">
        <f t="shared" si="211"/>
        <v/>
      </c>
      <c r="AF290" s="32" t="str">
        <f t="shared" si="212"/>
        <v/>
      </c>
      <c r="AG290" s="32" t="str">
        <f t="shared" si="213"/>
        <v/>
      </c>
      <c r="AH290" s="32" t="str">
        <f t="shared" si="214"/>
        <v/>
      </c>
      <c r="AI290" s="35" t="str">
        <f t="shared" si="215"/>
        <v/>
      </c>
      <c r="AJ290" s="23" t="str">
        <f t="array" ref="AJ290">IFERROR(SMALL(IF(U$1:U$1000="BEGIN",ROW(U$1:U$1000)),ROW()-3),"")</f>
        <v/>
      </c>
      <c r="AK290" s="23" t="str">
        <f t="array" ref="AK290">IFERROR(SMALL(IF(V$1:V$1000="END",ROW(V$1:V$1000)),ROW()-3),"")</f>
        <v/>
      </c>
      <c r="AL290" s="24" t="str">
        <f t="array" ref="AL290">IF(AK290="","",MATCH(AM290,L:L,0))</f>
        <v/>
      </c>
      <c r="AM290" s="35">
        <f t="array" ref="AM290">MAX(IF((B$4:B$1000&lt;=AK290)*(B$4:B$1000&gt;=AJ290),L$4:L$1000, ""))</f>
        <v>0</v>
      </c>
      <c r="AN290" s="32" t="str">
        <f t="shared" si="222"/>
        <v/>
      </c>
      <c r="AO290" s="32" t="str">
        <f t="shared" si="223"/>
        <v/>
      </c>
      <c r="AP290" s="32" t="str">
        <f t="shared" si="224"/>
        <v/>
      </c>
      <c r="AQ290" s="32" t="str">
        <f t="shared" si="225"/>
        <v/>
      </c>
      <c r="AR290" s="32" t="str">
        <f t="shared" si="226"/>
        <v/>
      </c>
      <c r="AS290" s="32" t="str">
        <f t="shared" si="227"/>
        <v/>
      </c>
      <c r="AT290" s="32" t="str">
        <f t="shared" si="228"/>
        <v/>
      </c>
      <c r="AU290" s="34" t="str">
        <f t="shared" si="229"/>
        <v/>
      </c>
      <c r="AV290" s="32" t="str">
        <f t="shared" si="230"/>
        <v/>
      </c>
      <c r="AW290" s="32" t="str">
        <f t="shared" si="231"/>
        <v/>
      </c>
      <c r="AX290" s="32" t="str">
        <f t="shared" si="232"/>
        <v/>
      </c>
      <c r="AY290" s="32" t="str">
        <f t="shared" si="233"/>
        <v/>
      </c>
    </row>
    <row r="291" spans="1:51" x14ac:dyDescent="0.25">
      <c r="A291" s="24" t="str">
        <f t="shared" si="191"/>
        <v/>
      </c>
      <c r="B291" s="24" t="str">
        <f t="shared" si="201"/>
        <v/>
      </c>
      <c r="C291" s="32" t="str">
        <f t="shared" si="192"/>
        <v/>
      </c>
      <c r="D291" s="24" t="str">
        <f t="shared" si="193"/>
        <v/>
      </c>
      <c r="E291" s="24" t="str">
        <f t="shared" si="194"/>
        <v/>
      </c>
      <c r="F291" s="32" t="str">
        <f t="shared" si="195"/>
        <v/>
      </c>
      <c r="G291" s="32" t="str">
        <f t="shared" si="196"/>
        <v/>
      </c>
      <c r="H291" s="32" t="str">
        <f t="shared" ca="1" si="197"/>
        <v/>
      </c>
      <c r="I291" s="32" t="str">
        <f t="shared" ca="1" si="202"/>
        <v/>
      </c>
      <c r="J291" s="32" t="str">
        <f t="shared" si="198"/>
        <v/>
      </c>
      <c r="K291" s="32" t="str">
        <f>IF(ISNUMBER(A291),Profile!$V$25+Profile!$V$24*'Ri-Po'!C291,"")</f>
        <v/>
      </c>
      <c r="L291" s="32" t="str">
        <f t="shared" si="203"/>
        <v/>
      </c>
      <c r="M291" s="32" t="str">
        <f t="shared" si="199"/>
        <v/>
      </c>
      <c r="N291" s="32" t="str">
        <f t="shared" si="200"/>
        <v/>
      </c>
      <c r="O291" s="32" t="str">
        <f t="shared" si="216"/>
        <v/>
      </c>
      <c r="P291" s="32" t="str">
        <f t="shared" si="204"/>
        <v/>
      </c>
      <c r="Q291" s="32" t="str">
        <f t="shared" si="205"/>
        <v/>
      </c>
      <c r="R291" s="32" t="str">
        <f t="shared" si="217"/>
        <v/>
      </c>
      <c r="S291" s="24" t="str">
        <f t="shared" si="218"/>
        <v/>
      </c>
      <c r="T291" s="24" t="str">
        <f t="shared" si="219"/>
        <v/>
      </c>
      <c r="U291" s="24" t="str">
        <f t="shared" si="220"/>
        <v/>
      </c>
      <c r="V291" s="24" t="str">
        <f t="shared" si="221"/>
        <v/>
      </c>
      <c r="W291" s="23" t="str">
        <f t="array" ref="W291">IFERROR(SMALL(IF(S$1:S$1000="BEGIN",ROW(S$1:S$1000)),ROW()-3),"")</f>
        <v/>
      </c>
      <c r="X291" s="23" t="str">
        <f t="array" ref="X291">IFERROR(SMALL(IF(T$1:T$1000="END",ROW(T$1:T$1000)),ROW()-3),"")</f>
        <v/>
      </c>
      <c r="Y291" s="33" t="str">
        <f t="array" ref="Y291">IF(ISNUMBER(W291),MAX(IF((B$4:B$1000&lt;=X291)*(B$4:B$1000&gt;=W291),I$4:I$1000, "")),"")</f>
        <v/>
      </c>
      <c r="Z291" s="33" t="str">
        <f t="shared" si="206"/>
        <v/>
      </c>
      <c r="AA291" s="32" t="str">
        <f t="shared" si="207"/>
        <v/>
      </c>
      <c r="AB291" s="32" t="str">
        <f t="shared" si="208"/>
        <v/>
      </c>
      <c r="AC291" s="32" t="str">
        <f t="shared" si="209"/>
        <v/>
      </c>
      <c r="AD291" s="32" t="str">
        <f t="shared" si="210"/>
        <v/>
      </c>
      <c r="AE291" s="34" t="str">
        <f t="shared" si="211"/>
        <v/>
      </c>
      <c r="AF291" s="32" t="str">
        <f t="shared" si="212"/>
        <v/>
      </c>
      <c r="AG291" s="32" t="str">
        <f t="shared" si="213"/>
        <v/>
      </c>
      <c r="AH291" s="32" t="str">
        <f t="shared" si="214"/>
        <v/>
      </c>
      <c r="AI291" s="35" t="str">
        <f t="shared" si="215"/>
        <v/>
      </c>
      <c r="AJ291" s="23" t="str">
        <f t="array" ref="AJ291">IFERROR(SMALL(IF(U$1:U$1000="BEGIN",ROW(U$1:U$1000)),ROW()-3),"")</f>
        <v/>
      </c>
      <c r="AK291" s="23" t="str">
        <f t="array" ref="AK291">IFERROR(SMALL(IF(V$1:V$1000="END",ROW(V$1:V$1000)),ROW()-3),"")</f>
        <v/>
      </c>
      <c r="AL291" s="24" t="str">
        <f t="array" ref="AL291">IF(AK291="","",MATCH(AM291,L:L,0))</f>
        <v/>
      </c>
      <c r="AM291" s="35">
        <f t="array" ref="AM291">MAX(IF((B$4:B$1000&lt;=AK291)*(B$4:B$1000&gt;=AJ291),L$4:L$1000, ""))</f>
        <v>0</v>
      </c>
      <c r="AN291" s="32" t="str">
        <f t="shared" si="222"/>
        <v/>
      </c>
      <c r="AO291" s="32" t="str">
        <f t="shared" si="223"/>
        <v/>
      </c>
      <c r="AP291" s="32" t="str">
        <f t="shared" si="224"/>
        <v/>
      </c>
      <c r="AQ291" s="32" t="str">
        <f t="shared" si="225"/>
        <v/>
      </c>
      <c r="AR291" s="32" t="str">
        <f t="shared" si="226"/>
        <v/>
      </c>
      <c r="AS291" s="32" t="str">
        <f t="shared" si="227"/>
        <v/>
      </c>
      <c r="AT291" s="32" t="str">
        <f t="shared" si="228"/>
        <v/>
      </c>
      <c r="AU291" s="34" t="str">
        <f t="shared" si="229"/>
        <v/>
      </c>
      <c r="AV291" s="32" t="str">
        <f t="shared" si="230"/>
        <v/>
      </c>
      <c r="AW291" s="32" t="str">
        <f t="shared" si="231"/>
        <v/>
      </c>
      <c r="AX291" s="32" t="str">
        <f t="shared" si="232"/>
        <v/>
      </c>
      <c r="AY291" s="32" t="str">
        <f t="shared" si="233"/>
        <v/>
      </c>
    </row>
    <row r="292" spans="1:51" x14ac:dyDescent="0.25">
      <c r="A292" s="24" t="str">
        <f t="shared" si="191"/>
        <v/>
      </c>
      <c r="B292" s="24" t="str">
        <f t="shared" si="201"/>
        <v/>
      </c>
      <c r="C292" s="32" t="str">
        <f t="shared" si="192"/>
        <v/>
      </c>
      <c r="D292" s="24" t="str">
        <f t="shared" si="193"/>
        <v/>
      </c>
      <c r="E292" s="24" t="str">
        <f t="shared" si="194"/>
        <v/>
      </c>
      <c r="F292" s="32" t="str">
        <f t="shared" si="195"/>
        <v/>
      </c>
      <c r="G292" s="32" t="str">
        <f t="shared" si="196"/>
        <v/>
      </c>
      <c r="H292" s="32" t="str">
        <f t="shared" ca="1" si="197"/>
        <v/>
      </c>
      <c r="I292" s="32" t="str">
        <f t="shared" ca="1" si="202"/>
        <v/>
      </c>
      <c r="J292" s="32" t="str">
        <f t="shared" si="198"/>
        <v/>
      </c>
      <c r="K292" s="32" t="str">
        <f>IF(ISNUMBER(A292),Profile!$V$25+Profile!$V$24*'Ri-Po'!C292,"")</f>
        <v/>
      </c>
      <c r="L292" s="32" t="str">
        <f t="shared" si="203"/>
        <v/>
      </c>
      <c r="M292" s="32" t="str">
        <f t="shared" si="199"/>
        <v/>
      </c>
      <c r="N292" s="32" t="str">
        <f t="shared" si="200"/>
        <v/>
      </c>
      <c r="O292" s="32" t="str">
        <f t="shared" si="216"/>
        <v/>
      </c>
      <c r="P292" s="32" t="str">
        <f t="shared" si="204"/>
        <v/>
      </c>
      <c r="Q292" s="32" t="str">
        <f t="shared" si="205"/>
        <v/>
      </c>
      <c r="R292" s="32" t="str">
        <f t="shared" si="217"/>
        <v/>
      </c>
      <c r="S292" s="24" t="str">
        <f t="shared" si="218"/>
        <v/>
      </c>
      <c r="T292" s="24" t="str">
        <f t="shared" si="219"/>
        <v/>
      </c>
      <c r="U292" s="24" t="str">
        <f t="shared" si="220"/>
        <v/>
      </c>
      <c r="V292" s="24" t="str">
        <f t="shared" si="221"/>
        <v/>
      </c>
      <c r="W292" s="23" t="str">
        <f t="array" ref="W292">IFERROR(SMALL(IF(S$1:S$1000="BEGIN",ROW(S$1:S$1000)),ROW()-3),"")</f>
        <v/>
      </c>
      <c r="X292" s="23" t="str">
        <f t="array" ref="X292">IFERROR(SMALL(IF(T$1:T$1000="END",ROW(T$1:T$1000)),ROW()-3),"")</f>
        <v/>
      </c>
      <c r="Y292" s="33" t="str">
        <f t="array" ref="Y292">IF(ISNUMBER(W292),MAX(IF((B$4:B$1000&lt;=X292)*(B$4:B$1000&gt;=W292),I$4:I$1000, "")),"")</f>
        <v/>
      </c>
      <c r="Z292" s="33" t="str">
        <f t="shared" si="206"/>
        <v/>
      </c>
      <c r="AA292" s="32" t="str">
        <f t="shared" si="207"/>
        <v/>
      </c>
      <c r="AB292" s="32" t="str">
        <f t="shared" si="208"/>
        <v/>
      </c>
      <c r="AC292" s="32" t="str">
        <f t="shared" si="209"/>
        <v/>
      </c>
      <c r="AD292" s="32" t="str">
        <f t="shared" si="210"/>
        <v/>
      </c>
      <c r="AE292" s="34" t="str">
        <f t="shared" si="211"/>
        <v/>
      </c>
      <c r="AF292" s="32" t="str">
        <f t="shared" si="212"/>
        <v/>
      </c>
      <c r="AG292" s="32" t="str">
        <f t="shared" si="213"/>
        <v/>
      </c>
      <c r="AH292" s="32" t="str">
        <f t="shared" si="214"/>
        <v/>
      </c>
      <c r="AI292" s="35" t="str">
        <f t="shared" si="215"/>
        <v/>
      </c>
      <c r="AJ292" s="23" t="str">
        <f t="array" ref="AJ292">IFERROR(SMALL(IF(U$1:U$1000="BEGIN",ROW(U$1:U$1000)),ROW()-3),"")</f>
        <v/>
      </c>
      <c r="AK292" s="23" t="str">
        <f t="array" ref="AK292">IFERROR(SMALL(IF(V$1:V$1000="END",ROW(V$1:V$1000)),ROW()-3),"")</f>
        <v/>
      </c>
      <c r="AL292" s="24" t="str">
        <f t="array" ref="AL292">IF(AK292="","",MATCH(AM292,L:L,0))</f>
        <v/>
      </c>
      <c r="AM292" s="35">
        <f t="array" ref="AM292">MAX(IF((B$4:B$1000&lt;=AK292)*(B$4:B$1000&gt;=AJ292),L$4:L$1000, ""))</f>
        <v>0</v>
      </c>
      <c r="AN292" s="32" t="str">
        <f t="shared" si="222"/>
        <v/>
      </c>
      <c r="AO292" s="32" t="str">
        <f t="shared" si="223"/>
        <v/>
      </c>
      <c r="AP292" s="32" t="str">
        <f t="shared" si="224"/>
        <v/>
      </c>
      <c r="AQ292" s="32" t="str">
        <f t="shared" si="225"/>
        <v/>
      </c>
      <c r="AR292" s="32" t="str">
        <f t="shared" si="226"/>
        <v/>
      </c>
      <c r="AS292" s="32" t="str">
        <f t="shared" si="227"/>
        <v/>
      </c>
      <c r="AT292" s="32" t="str">
        <f t="shared" si="228"/>
        <v/>
      </c>
      <c r="AU292" s="34" t="str">
        <f t="shared" si="229"/>
        <v/>
      </c>
      <c r="AV292" s="32" t="str">
        <f t="shared" si="230"/>
        <v/>
      </c>
      <c r="AW292" s="32" t="str">
        <f t="shared" si="231"/>
        <v/>
      </c>
      <c r="AX292" s="32" t="str">
        <f t="shared" si="232"/>
        <v/>
      </c>
      <c r="AY292" s="32" t="str">
        <f t="shared" si="233"/>
        <v/>
      </c>
    </row>
    <row r="293" spans="1:51" x14ac:dyDescent="0.25">
      <c r="A293" s="24" t="str">
        <f t="shared" si="191"/>
        <v/>
      </c>
      <c r="B293" s="24" t="str">
        <f t="shared" si="201"/>
        <v/>
      </c>
      <c r="C293" s="32" t="str">
        <f t="shared" si="192"/>
        <v/>
      </c>
      <c r="D293" s="24" t="str">
        <f t="shared" si="193"/>
        <v/>
      </c>
      <c r="E293" s="24" t="str">
        <f t="shared" si="194"/>
        <v/>
      </c>
      <c r="F293" s="32" t="str">
        <f t="shared" si="195"/>
        <v/>
      </c>
      <c r="G293" s="32" t="str">
        <f t="shared" si="196"/>
        <v/>
      </c>
      <c r="H293" s="32" t="str">
        <f t="shared" ca="1" si="197"/>
        <v/>
      </c>
      <c r="I293" s="32" t="str">
        <f t="shared" ca="1" si="202"/>
        <v/>
      </c>
      <c r="J293" s="32" t="str">
        <f t="shared" si="198"/>
        <v/>
      </c>
      <c r="K293" s="32" t="str">
        <f>IF(ISNUMBER(A293),Profile!$V$25+Profile!$V$24*'Ri-Po'!C293,"")</f>
        <v/>
      </c>
      <c r="L293" s="32" t="str">
        <f t="shared" si="203"/>
        <v/>
      </c>
      <c r="M293" s="32" t="str">
        <f t="shared" si="199"/>
        <v/>
      </c>
      <c r="N293" s="32" t="str">
        <f t="shared" si="200"/>
        <v/>
      </c>
      <c r="O293" s="32" t="str">
        <f t="shared" si="216"/>
        <v/>
      </c>
      <c r="P293" s="32" t="str">
        <f t="shared" si="204"/>
        <v/>
      </c>
      <c r="Q293" s="32" t="str">
        <f t="shared" si="205"/>
        <v/>
      </c>
      <c r="R293" s="32" t="str">
        <f t="shared" si="217"/>
        <v/>
      </c>
      <c r="S293" s="24" t="str">
        <f t="shared" si="218"/>
        <v/>
      </c>
      <c r="T293" s="24" t="str">
        <f t="shared" si="219"/>
        <v/>
      </c>
      <c r="U293" s="24" t="str">
        <f t="shared" si="220"/>
        <v/>
      </c>
      <c r="V293" s="24" t="str">
        <f t="shared" si="221"/>
        <v/>
      </c>
      <c r="W293" s="23" t="str">
        <f t="array" ref="W293">IFERROR(SMALL(IF(S$1:S$1000="BEGIN",ROW(S$1:S$1000)),ROW()-3),"")</f>
        <v/>
      </c>
      <c r="X293" s="23" t="str">
        <f t="array" ref="X293">IFERROR(SMALL(IF(T$1:T$1000="END",ROW(T$1:T$1000)),ROW()-3),"")</f>
        <v/>
      </c>
      <c r="Y293" s="33" t="str">
        <f t="array" ref="Y293">IF(ISNUMBER(W293),MAX(IF((B$4:B$1000&lt;=X293)*(B$4:B$1000&gt;=W293),I$4:I$1000, "")),"")</f>
        <v/>
      </c>
      <c r="Z293" s="33" t="str">
        <f t="shared" si="206"/>
        <v/>
      </c>
      <c r="AA293" s="32" t="str">
        <f t="shared" si="207"/>
        <v/>
      </c>
      <c r="AB293" s="32" t="str">
        <f t="shared" si="208"/>
        <v/>
      </c>
      <c r="AC293" s="32" t="str">
        <f t="shared" si="209"/>
        <v/>
      </c>
      <c r="AD293" s="32" t="str">
        <f t="shared" si="210"/>
        <v/>
      </c>
      <c r="AE293" s="34" t="str">
        <f t="shared" si="211"/>
        <v/>
      </c>
      <c r="AF293" s="32" t="str">
        <f t="shared" si="212"/>
        <v/>
      </c>
      <c r="AG293" s="32" t="str">
        <f t="shared" si="213"/>
        <v/>
      </c>
      <c r="AH293" s="32" t="str">
        <f t="shared" si="214"/>
        <v/>
      </c>
      <c r="AI293" s="35" t="str">
        <f t="shared" si="215"/>
        <v/>
      </c>
      <c r="AJ293" s="23" t="str">
        <f t="array" ref="AJ293">IFERROR(SMALL(IF(U$1:U$1000="BEGIN",ROW(U$1:U$1000)),ROW()-3),"")</f>
        <v/>
      </c>
      <c r="AK293" s="23" t="str">
        <f t="array" ref="AK293">IFERROR(SMALL(IF(V$1:V$1000="END",ROW(V$1:V$1000)),ROW()-3),"")</f>
        <v/>
      </c>
      <c r="AL293" s="24" t="str">
        <f t="array" ref="AL293">IF(AK293="","",MATCH(AM293,L:L,0))</f>
        <v/>
      </c>
      <c r="AM293" s="35">
        <f t="array" ref="AM293">MAX(IF((B$4:B$1000&lt;=AK293)*(B$4:B$1000&gt;=AJ293),L$4:L$1000, ""))</f>
        <v>0</v>
      </c>
      <c r="AN293" s="32" t="str">
        <f t="shared" si="222"/>
        <v/>
      </c>
      <c r="AO293" s="32" t="str">
        <f t="shared" si="223"/>
        <v/>
      </c>
      <c r="AP293" s="32" t="str">
        <f t="shared" si="224"/>
        <v/>
      </c>
      <c r="AQ293" s="32" t="str">
        <f t="shared" si="225"/>
        <v/>
      </c>
      <c r="AR293" s="32" t="str">
        <f t="shared" si="226"/>
        <v/>
      </c>
      <c r="AS293" s="32" t="str">
        <f t="shared" si="227"/>
        <v/>
      </c>
      <c r="AT293" s="32" t="str">
        <f t="shared" si="228"/>
        <v/>
      </c>
      <c r="AU293" s="34" t="str">
        <f t="shared" si="229"/>
        <v/>
      </c>
      <c r="AV293" s="32" t="str">
        <f t="shared" si="230"/>
        <v/>
      </c>
      <c r="AW293" s="32" t="str">
        <f t="shared" si="231"/>
        <v/>
      </c>
      <c r="AX293" s="32" t="str">
        <f t="shared" si="232"/>
        <v/>
      </c>
      <c r="AY293" s="32" t="str">
        <f t="shared" si="233"/>
        <v/>
      </c>
    </row>
    <row r="294" spans="1:51" x14ac:dyDescent="0.25">
      <c r="A294" s="24" t="str">
        <f t="shared" si="191"/>
        <v/>
      </c>
      <c r="B294" s="24" t="str">
        <f t="shared" si="201"/>
        <v/>
      </c>
      <c r="C294" s="32" t="str">
        <f t="shared" si="192"/>
        <v/>
      </c>
      <c r="D294" s="24" t="str">
        <f t="shared" si="193"/>
        <v/>
      </c>
      <c r="E294" s="24" t="str">
        <f t="shared" si="194"/>
        <v/>
      </c>
      <c r="F294" s="32" t="str">
        <f t="shared" si="195"/>
        <v/>
      </c>
      <c r="G294" s="32" t="str">
        <f t="shared" si="196"/>
        <v/>
      </c>
      <c r="H294" s="32" t="str">
        <f t="shared" ca="1" si="197"/>
        <v/>
      </c>
      <c r="I294" s="32" t="str">
        <f t="shared" ca="1" si="202"/>
        <v/>
      </c>
      <c r="J294" s="32" t="str">
        <f t="shared" si="198"/>
        <v/>
      </c>
      <c r="K294" s="32" t="str">
        <f>IF(ISNUMBER(A294),Profile!$V$25+Profile!$V$24*'Ri-Po'!C294,"")</f>
        <v/>
      </c>
      <c r="L294" s="32" t="str">
        <f t="shared" si="203"/>
        <v/>
      </c>
      <c r="M294" s="32" t="str">
        <f t="shared" si="199"/>
        <v/>
      </c>
      <c r="N294" s="32" t="str">
        <f t="shared" si="200"/>
        <v/>
      </c>
      <c r="O294" s="32" t="str">
        <f t="shared" si="216"/>
        <v/>
      </c>
      <c r="P294" s="32" t="str">
        <f t="shared" si="204"/>
        <v/>
      </c>
      <c r="Q294" s="32" t="str">
        <f t="shared" si="205"/>
        <v/>
      </c>
      <c r="R294" s="32" t="str">
        <f t="shared" si="217"/>
        <v/>
      </c>
      <c r="S294" s="24" t="str">
        <f t="shared" si="218"/>
        <v/>
      </c>
      <c r="T294" s="24" t="str">
        <f t="shared" si="219"/>
        <v/>
      </c>
      <c r="U294" s="24" t="str">
        <f t="shared" si="220"/>
        <v/>
      </c>
      <c r="V294" s="24" t="str">
        <f t="shared" si="221"/>
        <v/>
      </c>
      <c r="W294" s="23" t="str">
        <f t="array" ref="W294">IFERROR(SMALL(IF(S$1:S$1000="BEGIN",ROW(S$1:S$1000)),ROW()-3),"")</f>
        <v/>
      </c>
      <c r="X294" s="23" t="str">
        <f t="array" ref="X294">IFERROR(SMALL(IF(T$1:T$1000="END",ROW(T$1:T$1000)),ROW()-3),"")</f>
        <v/>
      </c>
      <c r="Y294" s="33" t="str">
        <f t="array" ref="Y294">IF(ISNUMBER(W294),MAX(IF((B$4:B$1000&lt;=X294)*(B$4:B$1000&gt;=W294),I$4:I$1000, "")),"")</f>
        <v/>
      </c>
      <c r="Z294" s="33" t="str">
        <f t="shared" si="206"/>
        <v/>
      </c>
      <c r="AA294" s="32" t="str">
        <f t="shared" si="207"/>
        <v/>
      </c>
      <c r="AB294" s="32" t="str">
        <f t="shared" si="208"/>
        <v/>
      </c>
      <c r="AC294" s="32" t="str">
        <f t="shared" si="209"/>
        <v/>
      </c>
      <c r="AD294" s="32" t="str">
        <f t="shared" si="210"/>
        <v/>
      </c>
      <c r="AE294" s="34" t="str">
        <f t="shared" si="211"/>
        <v/>
      </c>
      <c r="AF294" s="32" t="str">
        <f t="shared" si="212"/>
        <v/>
      </c>
      <c r="AG294" s="32" t="str">
        <f t="shared" si="213"/>
        <v/>
      </c>
      <c r="AH294" s="32" t="str">
        <f t="shared" si="214"/>
        <v/>
      </c>
      <c r="AI294" s="35" t="str">
        <f t="shared" si="215"/>
        <v/>
      </c>
      <c r="AJ294" s="23" t="str">
        <f t="array" ref="AJ294">IFERROR(SMALL(IF(U$1:U$1000="BEGIN",ROW(U$1:U$1000)),ROW()-3),"")</f>
        <v/>
      </c>
      <c r="AK294" s="23" t="str">
        <f t="array" ref="AK294">IFERROR(SMALL(IF(V$1:V$1000="END",ROW(V$1:V$1000)),ROW()-3),"")</f>
        <v/>
      </c>
      <c r="AL294" s="24" t="str">
        <f t="array" ref="AL294">IF(AK294="","",MATCH(AM294,L:L,0))</f>
        <v/>
      </c>
      <c r="AM294" s="35">
        <f t="array" ref="AM294">MAX(IF((B$4:B$1000&lt;=AK294)*(B$4:B$1000&gt;=AJ294),L$4:L$1000, ""))</f>
        <v>0</v>
      </c>
      <c r="AN294" s="32" t="str">
        <f t="shared" si="222"/>
        <v/>
      </c>
      <c r="AO294" s="32" t="str">
        <f t="shared" si="223"/>
        <v/>
      </c>
      <c r="AP294" s="32" t="str">
        <f t="shared" si="224"/>
        <v/>
      </c>
      <c r="AQ294" s="32" t="str">
        <f t="shared" si="225"/>
        <v/>
      </c>
      <c r="AR294" s="32" t="str">
        <f t="shared" si="226"/>
        <v/>
      </c>
      <c r="AS294" s="32" t="str">
        <f t="shared" si="227"/>
        <v/>
      </c>
      <c r="AT294" s="32" t="str">
        <f t="shared" si="228"/>
        <v/>
      </c>
      <c r="AU294" s="34" t="str">
        <f t="shared" si="229"/>
        <v/>
      </c>
      <c r="AV294" s="32" t="str">
        <f t="shared" si="230"/>
        <v/>
      </c>
      <c r="AW294" s="32" t="str">
        <f t="shared" si="231"/>
        <v/>
      </c>
      <c r="AX294" s="32" t="str">
        <f t="shared" si="232"/>
        <v/>
      </c>
      <c r="AY294" s="32" t="str">
        <f t="shared" si="233"/>
        <v/>
      </c>
    </row>
    <row r="295" spans="1:51" x14ac:dyDescent="0.25">
      <c r="A295" s="24" t="str">
        <f t="shared" si="191"/>
        <v/>
      </c>
      <c r="B295" s="24" t="str">
        <f t="shared" si="201"/>
        <v/>
      </c>
      <c r="C295" s="32" t="str">
        <f t="shared" si="192"/>
        <v/>
      </c>
      <c r="D295" s="24" t="str">
        <f t="shared" si="193"/>
        <v/>
      </c>
      <c r="E295" s="24" t="str">
        <f t="shared" si="194"/>
        <v/>
      </c>
      <c r="F295" s="32" t="str">
        <f t="shared" si="195"/>
        <v/>
      </c>
      <c r="G295" s="32" t="str">
        <f t="shared" si="196"/>
        <v/>
      </c>
      <c r="H295" s="32" t="str">
        <f t="shared" ca="1" si="197"/>
        <v/>
      </c>
      <c r="I295" s="32" t="str">
        <f t="shared" ca="1" si="202"/>
        <v/>
      </c>
      <c r="J295" s="32" t="str">
        <f t="shared" si="198"/>
        <v/>
      </c>
      <c r="K295" s="32" t="str">
        <f>IF(ISNUMBER(A295),Profile!$V$25+Profile!$V$24*'Ri-Po'!C295,"")</f>
        <v/>
      </c>
      <c r="L295" s="32" t="str">
        <f t="shared" si="203"/>
        <v/>
      </c>
      <c r="M295" s="32" t="str">
        <f t="shared" si="199"/>
        <v/>
      </c>
      <c r="N295" s="32" t="str">
        <f t="shared" si="200"/>
        <v/>
      </c>
      <c r="O295" s="32" t="str">
        <f t="shared" si="216"/>
        <v/>
      </c>
      <c r="P295" s="32" t="str">
        <f t="shared" si="204"/>
        <v/>
      </c>
      <c r="Q295" s="32" t="str">
        <f t="shared" si="205"/>
        <v/>
      </c>
      <c r="R295" s="32" t="str">
        <f t="shared" si="217"/>
        <v/>
      </c>
      <c r="S295" s="24" t="str">
        <f t="shared" si="218"/>
        <v/>
      </c>
      <c r="T295" s="24" t="str">
        <f t="shared" si="219"/>
        <v/>
      </c>
      <c r="U295" s="24" t="str">
        <f t="shared" si="220"/>
        <v/>
      </c>
      <c r="V295" s="24" t="str">
        <f t="shared" si="221"/>
        <v/>
      </c>
      <c r="W295" s="23" t="str">
        <f t="array" ref="W295">IFERROR(SMALL(IF(S$1:S$1000="BEGIN",ROW(S$1:S$1000)),ROW()-3),"")</f>
        <v/>
      </c>
      <c r="X295" s="23" t="str">
        <f t="array" ref="X295">IFERROR(SMALL(IF(T$1:T$1000="END",ROW(T$1:T$1000)),ROW()-3),"")</f>
        <v/>
      </c>
      <c r="Y295" s="33" t="str">
        <f t="array" ref="Y295">IF(ISNUMBER(W295),MAX(IF((B$4:B$1000&lt;=X295)*(B$4:B$1000&gt;=W295),I$4:I$1000, "")),"")</f>
        <v/>
      </c>
      <c r="Z295" s="33" t="str">
        <f t="shared" si="206"/>
        <v/>
      </c>
      <c r="AA295" s="32" t="str">
        <f t="shared" si="207"/>
        <v/>
      </c>
      <c r="AB295" s="32" t="str">
        <f t="shared" si="208"/>
        <v/>
      </c>
      <c r="AC295" s="32" t="str">
        <f t="shared" si="209"/>
        <v/>
      </c>
      <c r="AD295" s="32" t="str">
        <f t="shared" si="210"/>
        <v/>
      </c>
      <c r="AE295" s="34" t="str">
        <f t="shared" si="211"/>
        <v/>
      </c>
      <c r="AF295" s="32" t="str">
        <f t="shared" si="212"/>
        <v/>
      </c>
      <c r="AG295" s="32" t="str">
        <f t="shared" si="213"/>
        <v/>
      </c>
      <c r="AH295" s="32" t="str">
        <f t="shared" si="214"/>
        <v/>
      </c>
      <c r="AI295" s="35" t="str">
        <f t="shared" si="215"/>
        <v/>
      </c>
      <c r="AJ295" s="23" t="str">
        <f t="array" ref="AJ295">IFERROR(SMALL(IF(U$1:U$1000="BEGIN",ROW(U$1:U$1000)),ROW()-3),"")</f>
        <v/>
      </c>
      <c r="AK295" s="23" t="str">
        <f t="array" ref="AK295">IFERROR(SMALL(IF(V$1:V$1000="END",ROW(V$1:V$1000)),ROW()-3),"")</f>
        <v/>
      </c>
      <c r="AL295" s="24" t="str">
        <f t="array" ref="AL295">IF(AK295="","",MATCH(AM295,L:L,0))</f>
        <v/>
      </c>
      <c r="AM295" s="35">
        <f t="array" ref="AM295">MAX(IF((B$4:B$1000&lt;=AK295)*(B$4:B$1000&gt;=AJ295),L$4:L$1000, ""))</f>
        <v>0</v>
      </c>
      <c r="AN295" s="32" t="str">
        <f t="shared" si="222"/>
        <v/>
      </c>
      <c r="AO295" s="32" t="str">
        <f t="shared" si="223"/>
        <v/>
      </c>
      <c r="AP295" s="32" t="str">
        <f t="shared" si="224"/>
        <v/>
      </c>
      <c r="AQ295" s="32" t="str">
        <f t="shared" si="225"/>
        <v/>
      </c>
      <c r="AR295" s="32" t="str">
        <f t="shared" si="226"/>
        <v/>
      </c>
      <c r="AS295" s="32" t="str">
        <f t="shared" si="227"/>
        <v/>
      </c>
      <c r="AT295" s="32" t="str">
        <f t="shared" si="228"/>
        <v/>
      </c>
      <c r="AU295" s="34" t="str">
        <f t="shared" si="229"/>
        <v/>
      </c>
      <c r="AV295" s="32" t="str">
        <f t="shared" si="230"/>
        <v/>
      </c>
      <c r="AW295" s="32" t="str">
        <f t="shared" si="231"/>
        <v/>
      </c>
      <c r="AX295" s="32" t="str">
        <f t="shared" si="232"/>
        <v/>
      </c>
      <c r="AY295" s="32" t="str">
        <f t="shared" si="233"/>
        <v/>
      </c>
    </row>
    <row r="296" spans="1:51" x14ac:dyDescent="0.25">
      <c r="A296" s="24" t="str">
        <f t="shared" si="191"/>
        <v/>
      </c>
      <c r="B296" s="24" t="str">
        <f t="shared" si="201"/>
        <v/>
      </c>
      <c r="C296" s="32" t="str">
        <f t="shared" si="192"/>
        <v/>
      </c>
      <c r="D296" s="24" t="str">
        <f t="shared" si="193"/>
        <v/>
      </c>
      <c r="E296" s="24" t="str">
        <f t="shared" si="194"/>
        <v/>
      </c>
      <c r="F296" s="32" t="str">
        <f t="shared" si="195"/>
        <v/>
      </c>
      <c r="G296" s="32" t="str">
        <f t="shared" si="196"/>
        <v/>
      </c>
      <c r="H296" s="32" t="str">
        <f t="shared" ca="1" si="197"/>
        <v/>
      </c>
      <c r="I296" s="32" t="str">
        <f t="shared" ca="1" si="202"/>
        <v/>
      </c>
      <c r="J296" s="32" t="str">
        <f t="shared" si="198"/>
        <v/>
      </c>
      <c r="K296" s="32" t="str">
        <f>IF(ISNUMBER(A296),Profile!$V$25+Profile!$V$24*'Ri-Po'!C296,"")</f>
        <v/>
      </c>
      <c r="L296" s="32" t="str">
        <f t="shared" si="203"/>
        <v/>
      </c>
      <c r="M296" s="32" t="str">
        <f t="shared" si="199"/>
        <v/>
      </c>
      <c r="N296" s="32" t="str">
        <f t="shared" si="200"/>
        <v/>
      </c>
      <c r="O296" s="32" t="str">
        <f t="shared" si="216"/>
        <v/>
      </c>
      <c r="P296" s="32" t="str">
        <f t="shared" si="204"/>
        <v/>
      </c>
      <c r="Q296" s="32" t="str">
        <f t="shared" si="205"/>
        <v/>
      </c>
      <c r="R296" s="32" t="str">
        <f t="shared" si="217"/>
        <v/>
      </c>
      <c r="S296" s="24" t="str">
        <f t="shared" si="218"/>
        <v/>
      </c>
      <c r="T296" s="24" t="str">
        <f t="shared" si="219"/>
        <v/>
      </c>
      <c r="U296" s="24" t="str">
        <f t="shared" si="220"/>
        <v/>
      </c>
      <c r="V296" s="24" t="str">
        <f t="shared" si="221"/>
        <v/>
      </c>
      <c r="W296" s="23" t="str">
        <f t="array" ref="W296">IFERROR(SMALL(IF(S$1:S$1000="BEGIN",ROW(S$1:S$1000)),ROW()-3),"")</f>
        <v/>
      </c>
      <c r="X296" s="23" t="str">
        <f t="array" ref="X296">IFERROR(SMALL(IF(T$1:T$1000="END",ROW(T$1:T$1000)),ROW()-3),"")</f>
        <v/>
      </c>
      <c r="Y296" s="33" t="str">
        <f t="array" ref="Y296">IF(ISNUMBER(W296),MAX(IF((B$4:B$1000&lt;=X296)*(B$4:B$1000&gt;=W296),I$4:I$1000, "")),"")</f>
        <v/>
      </c>
      <c r="Z296" s="33" t="str">
        <f t="shared" si="206"/>
        <v/>
      </c>
      <c r="AA296" s="32" t="str">
        <f t="shared" si="207"/>
        <v/>
      </c>
      <c r="AB296" s="32" t="str">
        <f t="shared" si="208"/>
        <v/>
      </c>
      <c r="AC296" s="32" t="str">
        <f t="shared" si="209"/>
        <v/>
      </c>
      <c r="AD296" s="32" t="str">
        <f t="shared" si="210"/>
        <v/>
      </c>
      <c r="AE296" s="34" t="str">
        <f t="shared" si="211"/>
        <v/>
      </c>
      <c r="AF296" s="32" t="str">
        <f t="shared" si="212"/>
        <v/>
      </c>
      <c r="AG296" s="32" t="str">
        <f t="shared" si="213"/>
        <v/>
      </c>
      <c r="AH296" s="32" t="str">
        <f t="shared" si="214"/>
        <v/>
      </c>
      <c r="AI296" s="35" t="str">
        <f t="shared" si="215"/>
        <v/>
      </c>
      <c r="AJ296" s="23" t="str">
        <f t="array" ref="AJ296">IFERROR(SMALL(IF(U$1:U$1000="BEGIN",ROW(U$1:U$1000)),ROW()-3),"")</f>
        <v/>
      </c>
      <c r="AK296" s="23" t="str">
        <f t="array" ref="AK296">IFERROR(SMALL(IF(V$1:V$1000="END",ROW(V$1:V$1000)),ROW()-3),"")</f>
        <v/>
      </c>
      <c r="AL296" s="24" t="str">
        <f t="array" ref="AL296">IF(AK296="","",MATCH(AM296,L:L,0))</f>
        <v/>
      </c>
      <c r="AM296" s="35">
        <f t="array" ref="AM296">MAX(IF((B$4:B$1000&lt;=AK296)*(B$4:B$1000&gt;=AJ296),L$4:L$1000, ""))</f>
        <v>0</v>
      </c>
      <c r="AN296" s="32" t="str">
        <f t="shared" si="222"/>
        <v/>
      </c>
      <c r="AO296" s="32" t="str">
        <f t="shared" si="223"/>
        <v/>
      </c>
      <c r="AP296" s="32" t="str">
        <f t="shared" si="224"/>
        <v/>
      </c>
      <c r="AQ296" s="32" t="str">
        <f t="shared" si="225"/>
        <v/>
      </c>
      <c r="AR296" s="32" t="str">
        <f t="shared" si="226"/>
        <v/>
      </c>
      <c r="AS296" s="32" t="str">
        <f t="shared" si="227"/>
        <v/>
      </c>
      <c r="AT296" s="32" t="str">
        <f t="shared" si="228"/>
        <v/>
      </c>
      <c r="AU296" s="34" t="str">
        <f t="shared" si="229"/>
        <v/>
      </c>
      <c r="AV296" s="32" t="str">
        <f t="shared" si="230"/>
        <v/>
      </c>
      <c r="AW296" s="32" t="str">
        <f t="shared" si="231"/>
        <v/>
      </c>
      <c r="AX296" s="32" t="str">
        <f t="shared" si="232"/>
        <v/>
      </c>
      <c r="AY296" s="32" t="str">
        <f t="shared" si="233"/>
        <v/>
      </c>
    </row>
    <row r="297" spans="1:51" x14ac:dyDescent="0.25">
      <c r="A297" s="24" t="str">
        <f t="shared" si="191"/>
        <v/>
      </c>
      <c r="B297" s="24" t="str">
        <f t="shared" si="201"/>
        <v/>
      </c>
      <c r="C297" s="32" t="str">
        <f t="shared" si="192"/>
        <v/>
      </c>
      <c r="D297" s="24" t="str">
        <f t="shared" si="193"/>
        <v/>
      </c>
      <c r="E297" s="24" t="str">
        <f t="shared" si="194"/>
        <v/>
      </c>
      <c r="F297" s="32" t="str">
        <f t="shared" si="195"/>
        <v/>
      </c>
      <c r="G297" s="32" t="str">
        <f t="shared" si="196"/>
        <v/>
      </c>
      <c r="H297" s="32" t="str">
        <f t="shared" ca="1" si="197"/>
        <v/>
      </c>
      <c r="I297" s="32" t="str">
        <f t="shared" ca="1" si="202"/>
        <v/>
      </c>
      <c r="J297" s="32" t="str">
        <f t="shared" si="198"/>
        <v/>
      </c>
      <c r="K297" s="32" t="str">
        <f>IF(ISNUMBER(A297),Profile!$V$25+Profile!$V$24*'Ri-Po'!C297,"")</f>
        <v/>
      </c>
      <c r="L297" s="32" t="str">
        <f t="shared" si="203"/>
        <v/>
      </c>
      <c r="M297" s="32" t="str">
        <f t="shared" si="199"/>
        <v/>
      </c>
      <c r="N297" s="32" t="str">
        <f t="shared" si="200"/>
        <v/>
      </c>
      <c r="O297" s="32" t="str">
        <f t="shared" si="216"/>
        <v/>
      </c>
      <c r="P297" s="32" t="str">
        <f t="shared" si="204"/>
        <v/>
      </c>
      <c r="Q297" s="32" t="str">
        <f t="shared" si="205"/>
        <v/>
      </c>
      <c r="R297" s="32" t="str">
        <f t="shared" si="217"/>
        <v/>
      </c>
      <c r="S297" s="24" t="str">
        <f t="shared" si="218"/>
        <v/>
      </c>
      <c r="T297" s="24" t="str">
        <f t="shared" si="219"/>
        <v/>
      </c>
      <c r="U297" s="24" t="str">
        <f t="shared" si="220"/>
        <v/>
      </c>
      <c r="V297" s="24" t="str">
        <f t="shared" si="221"/>
        <v/>
      </c>
      <c r="W297" s="23" t="str">
        <f t="array" ref="W297">IFERROR(SMALL(IF(S$1:S$1000="BEGIN",ROW(S$1:S$1000)),ROW()-3),"")</f>
        <v/>
      </c>
      <c r="X297" s="23" t="str">
        <f t="array" ref="X297">IFERROR(SMALL(IF(T$1:T$1000="END",ROW(T$1:T$1000)),ROW()-3),"")</f>
        <v/>
      </c>
      <c r="Y297" s="33" t="str">
        <f t="array" ref="Y297">IF(ISNUMBER(W297),MAX(IF((B$4:B$1000&lt;=X297)*(B$4:B$1000&gt;=W297),I$4:I$1000, "")),"")</f>
        <v/>
      </c>
      <c r="Z297" s="33" t="str">
        <f t="shared" si="206"/>
        <v/>
      </c>
      <c r="AA297" s="32" t="str">
        <f t="shared" si="207"/>
        <v/>
      </c>
      <c r="AB297" s="32" t="str">
        <f t="shared" si="208"/>
        <v/>
      </c>
      <c r="AC297" s="32" t="str">
        <f t="shared" si="209"/>
        <v/>
      </c>
      <c r="AD297" s="32" t="str">
        <f t="shared" si="210"/>
        <v/>
      </c>
      <c r="AE297" s="34" t="str">
        <f t="shared" si="211"/>
        <v/>
      </c>
      <c r="AF297" s="32" t="str">
        <f t="shared" si="212"/>
        <v/>
      </c>
      <c r="AG297" s="32" t="str">
        <f t="shared" si="213"/>
        <v/>
      </c>
      <c r="AH297" s="32" t="str">
        <f t="shared" si="214"/>
        <v/>
      </c>
      <c r="AI297" s="35" t="str">
        <f t="shared" si="215"/>
        <v/>
      </c>
      <c r="AJ297" s="23" t="str">
        <f t="array" ref="AJ297">IFERROR(SMALL(IF(U$1:U$1000="BEGIN",ROW(U$1:U$1000)),ROW()-3),"")</f>
        <v/>
      </c>
      <c r="AK297" s="23" t="str">
        <f t="array" ref="AK297">IFERROR(SMALL(IF(V$1:V$1000="END",ROW(V$1:V$1000)),ROW()-3),"")</f>
        <v/>
      </c>
      <c r="AL297" s="24" t="str">
        <f t="array" ref="AL297">IF(AK297="","",MATCH(AM297,L:L,0))</f>
        <v/>
      </c>
      <c r="AM297" s="35">
        <f t="array" ref="AM297">MAX(IF((B$4:B$1000&lt;=AK297)*(B$4:B$1000&gt;=AJ297),L$4:L$1000, ""))</f>
        <v>0</v>
      </c>
      <c r="AN297" s="32" t="str">
        <f t="shared" si="222"/>
        <v/>
      </c>
      <c r="AO297" s="32" t="str">
        <f t="shared" si="223"/>
        <v/>
      </c>
      <c r="AP297" s="32" t="str">
        <f t="shared" si="224"/>
        <v/>
      </c>
      <c r="AQ297" s="32" t="str">
        <f t="shared" si="225"/>
        <v/>
      </c>
      <c r="AR297" s="32" t="str">
        <f t="shared" si="226"/>
        <v/>
      </c>
      <c r="AS297" s="32" t="str">
        <f t="shared" si="227"/>
        <v/>
      </c>
      <c r="AT297" s="32" t="str">
        <f t="shared" si="228"/>
        <v/>
      </c>
      <c r="AU297" s="34" t="str">
        <f t="shared" si="229"/>
        <v/>
      </c>
      <c r="AV297" s="32" t="str">
        <f t="shared" si="230"/>
        <v/>
      </c>
      <c r="AW297" s="32" t="str">
        <f t="shared" si="231"/>
        <v/>
      </c>
      <c r="AX297" s="32" t="str">
        <f t="shared" si="232"/>
        <v/>
      </c>
      <c r="AY297" s="32" t="str">
        <f t="shared" si="233"/>
        <v/>
      </c>
    </row>
    <row r="298" spans="1:51" x14ac:dyDescent="0.25">
      <c r="A298" s="24" t="str">
        <f t="shared" si="191"/>
        <v/>
      </c>
      <c r="B298" s="24" t="str">
        <f t="shared" si="201"/>
        <v/>
      </c>
      <c r="C298" s="32" t="str">
        <f t="shared" si="192"/>
        <v/>
      </c>
      <c r="D298" s="24" t="str">
        <f t="shared" si="193"/>
        <v/>
      </c>
      <c r="E298" s="24" t="str">
        <f t="shared" si="194"/>
        <v/>
      </c>
      <c r="F298" s="32" t="str">
        <f t="shared" si="195"/>
        <v/>
      </c>
      <c r="G298" s="32" t="str">
        <f t="shared" si="196"/>
        <v/>
      </c>
      <c r="H298" s="32" t="str">
        <f t="shared" ca="1" si="197"/>
        <v/>
      </c>
      <c r="I298" s="32" t="str">
        <f t="shared" ca="1" si="202"/>
        <v/>
      </c>
      <c r="J298" s="32" t="str">
        <f t="shared" si="198"/>
        <v/>
      </c>
      <c r="K298" s="32" t="str">
        <f>IF(ISNUMBER(A298),Profile!$V$25+Profile!$V$24*'Ri-Po'!C298,"")</f>
        <v/>
      </c>
      <c r="L298" s="32" t="str">
        <f t="shared" si="203"/>
        <v/>
      </c>
      <c r="M298" s="32" t="str">
        <f t="shared" si="199"/>
        <v/>
      </c>
      <c r="N298" s="32" t="str">
        <f t="shared" si="200"/>
        <v/>
      </c>
      <c r="O298" s="32" t="str">
        <f t="shared" si="216"/>
        <v/>
      </c>
      <c r="P298" s="32" t="str">
        <f t="shared" si="204"/>
        <v/>
      </c>
      <c r="Q298" s="32" t="str">
        <f t="shared" si="205"/>
        <v/>
      </c>
      <c r="R298" s="32" t="str">
        <f t="shared" si="217"/>
        <v/>
      </c>
      <c r="S298" s="24" t="str">
        <f t="shared" si="218"/>
        <v/>
      </c>
      <c r="T298" s="24" t="str">
        <f t="shared" si="219"/>
        <v/>
      </c>
      <c r="U298" s="24" t="str">
        <f t="shared" si="220"/>
        <v/>
      </c>
      <c r="V298" s="24" t="str">
        <f t="shared" si="221"/>
        <v/>
      </c>
      <c r="W298" s="23" t="str">
        <f t="array" ref="W298">IFERROR(SMALL(IF(S$1:S$1000="BEGIN",ROW(S$1:S$1000)),ROW()-3),"")</f>
        <v/>
      </c>
      <c r="X298" s="23" t="str">
        <f t="array" ref="X298">IFERROR(SMALL(IF(T$1:T$1000="END",ROW(T$1:T$1000)),ROW()-3),"")</f>
        <v/>
      </c>
      <c r="Y298" s="33" t="str">
        <f t="array" ref="Y298">IF(ISNUMBER(W298),MAX(IF((B$4:B$1000&lt;=X298)*(B$4:B$1000&gt;=W298),I$4:I$1000, "")),"")</f>
        <v/>
      </c>
      <c r="Z298" s="33" t="str">
        <f t="shared" si="206"/>
        <v/>
      </c>
      <c r="AA298" s="32" t="str">
        <f t="shared" si="207"/>
        <v/>
      </c>
      <c r="AB298" s="32" t="str">
        <f t="shared" si="208"/>
        <v/>
      </c>
      <c r="AC298" s="32" t="str">
        <f t="shared" si="209"/>
        <v/>
      </c>
      <c r="AD298" s="32" t="str">
        <f t="shared" si="210"/>
        <v/>
      </c>
      <c r="AE298" s="34" t="str">
        <f t="shared" si="211"/>
        <v/>
      </c>
      <c r="AF298" s="32" t="str">
        <f t="shared" si="212"/>
        <v/>
      </c>
      <c r="AG298" s="32" t="str">
        <f t="shared" si="213"/>
        <v/>
      </c>
      <c r="AH298" s="32" t="str">
        <f t="shared" si="214"/>
        <v/>
      </c>
      <c r="AI298" s="35" t="str">
        <f t="shared" si="215"/>
        <v/>
      </c>
      <c r="AJ298" s="23" t="str">
        <f t="array" ref="AJ298">IFERROR(SMALL(IF(U$1:U$1000="BEGIN",ROW(U$1:U$1000)),ROW()-3),"")</f>
        <v/>
      </c>
      <c r="AK298" s="23" t="str">
        <f t="array" ref="AK298">IFERROR(SMALL(IF(V$1:V$1000="END",ROW(V$1:V$1000)),ROW()-3),"")</f>
        <v/>
      </c>
      <c r="AL298" s="24" t="str">
        <f t="array" ref="AL298">IF(AK298="","",MATCH(AM298,L:L,0))</f>
        <v/>
      </c>
      <c r="AM298" s="35">
        <f t="array" ref="AM298">MAX(IF((B$4:B$1000&lt;=AK298)*(B$4:B$1000&gt;=AJ298),L$4:L$1000, ""))</f>
        <v>0</v>
      </c>
      <c r="AN298" s="32" t="str">
        <f t="shared" si="222"/>
        <v/>
      </c>
      <c r="AO298" s="32" t="str">
        <f t="shared" si="223"/>
        <v/>
      </c>
      <c r="AP298" s="32" t="str">
        <f t="shared" si="224"/>
        <v/>
      </c>
      <c r="AQ298" s="32" t="str">
        <f t="shared" si="225"/>
        <v/>
      </c>
      <c r="AR298" s="32" t="str">
        <f t="shared" si="226"/>
        <v/>
      </c>
      <c r="AS298" s="32" t="str">
        <f t="shared" si="227"/>
        <v/>
      </c>
      <c r="AT298" s="32" t="str">
        <f t="shared" si="228"/>
        <v/>
      </c>
      <c r="AU298" s="34" t="str">
        <f t="shared" si="229"/>
        <v/>
      </c>
      <c r="AV298" s="32" t="str">
        <f t="shared" si="230"/>
        <v/>
      </c>
      <c r="AW298" s="32" t="str">
        <f t="shared" si="231"/>
        <v/>
      </c>
      <c r="AX298" s="32" t="str">
        <f t="shared" si="232"/>
        <v/>
      </c>
      <c r="AY298" s="32" t="str">
        <f t="shared" si="233"/>
        <v/>
      </c>
    </row>
    <row r="299" spans="1:51" x14ac:dyDescent="0.25">
      <c r="A299" s="24" t="str">
        <f t="shared" si="191"/>
        <v/>
      </c>
      <c r="B299" s="24" t="str">
        <f t="shared" si="201"/>
        <v/>
      </c>
      <c r="C299" s="32" t="str">
        <f t="shared" si="192"/>
        <v/>
      </c>
      <c r="D299" s="24" t="str">
        <f t="shared" si="193"/>
        <v/>
      </c>
      <c r="E299" s="24" t="str">
        <f t="shared" si="194"/>
        <v/>
      </c>
      <c r="F299" s="32" t="str">
        <f t="shared" si="195"/>
        <v/>
      </c>
      <c r="G299" s="32" t="str">
        <f t="shared" si="196"/>
        <v/>
      </c>
      <c r="H299" s="32" t="str">
        <f t="shared" ca="1" si="197"/>
        <v/>
      </c>
      <c r="I299" s="32" t="str">
        <f t="shared" ca="1" si="202"/>
        <v/>
      </c>
      <c r="J299" s="32" t="str">
        <f t="shared" si="198"/>
        <v/>
      </c>
      <c r="K299" s="32" t="str">
        <f>IF(ISNUMBER(A299),Profile!$V$25+Profile!$V$24*'Ri-Po'!C299,"")</f>
        <v/>
      </c>
      <c r="L299" s="32" t="str">
        <f t="shared" si="203"/>
        <v/>
      </c>
      <c r="M299" s="32" t="str">
        <f t="shared" si="199"/>
        <v/>
      </c>
      <c r="N299" s="32" t="str">
        <f t="shared" si="200"/>
        <v/>
      </c>
      <c r="O299" s="32" t="str">
        <f t="shared" si="216"/>
        <v/>
      </c>
      <c r="P299" s="32" t="str">
        <f t="shared" si="204"/>
        <v/>
      </c>
      <c r="Q299" s="32" t="str">
        <f t="shared" si="205"/>
        <v/>
      </c>
      <c r="R299" s="32" t="str">
        <f t="shared" si="217"/>
        <v/>
      </c>
      <c r="S299" s="24" t="str">
        <f t="shared" si="218"/>
        <v/>
      </c>
      <c r="T299" s="24" t="str">
        <f t="shared" si="219"/>
        <v/>
      </c>
      <c r="U299" s="24" t="str">
        <f t="shared" si="220"/>
        <v/>
      </c>
      <c r="V299" s="24" t="str">
        <f t="shared" si="221"/>
        <v/>
      </c>
      <c r="W299" s="23" t="str">
        <f t="array" ref="W299">IFERROR(SMALL(IF(S$1:S$1000="BEGIN",ROW(S$1:S$1000)),ROW()-3),"")</f>
        <v/>
      </c>
      <c r="X299" s="23" t="str">
        <f t="array" ref="X299">IFERROR(SMALL(IF(T$1:T$1000="END",ROW(T$1:T$1000)),ROW()-3),"")</f>
        <v/>
      </c>
      <c r="Y299" s="33" t="str">
        <f t="array" ref="Y299">IF(ISNUMBER(W299),MAX(IF((B$4:B$1000&lt;=X299)*(B$4:B$1000&gt;=W299),I$4:I$1000, "")),"")</f>
        <v/>
      </c>
      <c r="Z299" s="33" t="str">
        <f t="shared" si="206"/>
        <v/>
      </c>
      <c r="AA299" s="32" t="str">
        <f t="shared" si="207"/>
        <v/>
      </c>
      <c r="AB299" s="32" t="str">
        <f t="shared" si="208"/>
        <v/>
      </c>
      <c r="AC299" s="32" t="str">
        <f t="shared" si="209"/>
        <v/>
      </c>
      <c r="AD299" s="32" t="str">
        <f t="shared" si="210"/>
        <v/>
      </c>
      <c r="AE299" s="34" t="str">
        <f t="shared" si="211"/>
        <v/>
      </c>
      <c r="AF299" s="32" t="str">
        <f t="shared" si="212"/>
        <v/>
      </c>
      <c r="AG299" s="32" t="str">
        <f t="shared" si="213"/>
        <v/>
      </c>
      <c r="AH299" s="32" t="str">
        <f t="shared" si="214"/>
        <v/>
      </c>
      <c r="AI299" s="35" t="str">
        <f t="shared" si="215"/>
        <v/>
      </c>
      <c r="AJ299" s="23" t="str">
        <f t="array" ref="AJ299">IFERROR(SMALL(IF(U$1:U$1000="BEGIN",ROW(U$1:U$1000)),ROW()-3),"")</f>
        <v/>
      </c>
      <c r="AK299" s="23" t="str">
        <f t="array" ref="AK299">IFERROR(SMALL(IF(V$1:V$1000="END",ROW(V$1:V$1000)),ROW()-3),"")</f>
        <v/>
      </c>
      <c r="AL299" s="24" t="str">
        <f t="array" ref="AL299">IF(AK299="","",MATCH(AM299,L:L,0))</f>
        <v/>
      </c>
      <c r="AM299" s="35">
        <f t="array" ref="AM299">MAX(IF((B$4:B$1000&lt;=AK299)*(B$4:B$1000&gt;=AJ299),L$4:L$1000, ""))</f>
        <v>0</v>
      </c>
      <c r="AN299" s="32" t="str">
        <f t="shared" si="222"/>
        <v/>
      </c>
      <c r="AO299" s="32" t="str">
        <f t="shared" si="223"/>
        <v/>
      </c>
      <c r="AP299" s="32" t="str">
        <f t="shared" si="224"/>
        <v/>
      </c>
      <c r="AQ299" s="32" t="str">
        <f t="shared" si="225"/>
        <v/>
      </c>
      <c r="AR299" s="32" t="str">
        <f t="shared" si="226"/>
        <v/>
      </c>
      <c r="AS299" s="32" t="str">
        <f t="shared" si="227"/>
        <v/>
      </c>
      <c r="AT299" s="32" t="str">
        <f t="shared" si="228"/>
        <v/>
      </c>
      <c r="AU299" s="34" t="str">
        <f t="shared" si="229"/>
        <v/>
      </c>
      <c r="AV299" s="32" t="str">
        <f t="shared" si="230"/>
        <v/>
      </c>
      <c r="AW299" s="32" t="str">
        <f t="shared" si="231"/>
        <v/>
      </c>
      <c r="AX299" s="32" t="str">
        <f t="shared" si="232"/>
        <v/>
      </c>
      <c r="AY299" s="32" t="str">
        <f t="shared" si="233"/>
        <v/>
      </c>
    </row>
    <row r="300" spans="1:51" x14ac:dyDescent="0.25">
      <c r="A300" s="24" t="str">
        <f t="shared" si="191"/>
        <v/>
      </c>
      <c r="B300" s="24" t="str">
        <f t="shared" si="201"/>
        <v/>
      </c>
      <c r="C300" s="32" t="str">
        <f t="shared" si="192"/>
        <v/>
      </c>
      <c r="D300" s="24" t="str">
        <f t="shared" si="193"/>
        <v/>
      </c>
      <c r="E300" s="24" t="str">
        <f t="shared" si="194"/>
        <v/>
      </c>
      <c r="F300" s="32" t="str">
        <f t="shared" si="195"/>
        <v/>
      </c>
      <c r="G300" s="32" t="str">
        <f t="shared" si="196"/>
        <v/>
      </c>
      <c r="H300" s="32" t="str">
        <f t="shared" ca="1" si="197"/>
        <v/>
      </c>
      <c r="I300" s="32" t="str">
        <f t="shared" ca="1" si="202"/>
        <v/>
      </c>
      <c r="J300" s="32" t="str">
        <f t="shared" si="198"/>
        <v/>
      </c>
      <c r="K300" s="32" t="str">
        <f>IF(ISNUMBER(A300),Profile!$V$25+Profile!$V$24*'Ri-Po'!C300,"")</f>
        <v/>
      </c>
      <c r="L300" s="32" t="str">
        <f t="shared" si="203"/>
        <v/>
      </c>
      <c r="M300" s="32" t="str">
        <f t="shared" si="199"/>
        <v/>
      </c>
      <c r="N300" s="32" t="str">
        <f t="shared" si="200"/>
        <v/>
      </c>
      <c r="O300" s="32" t="str">
        <f t="shared" si="216"/>
        <v/>
      </c>
      <c r="P300" s="32" t="str">
        <f t="shared" si="204"/>
        <v/>
      </c>
      <c r="Q300" s="32" t="str">
        <f t="shared" si="205"/>
        <v/>
      </c>
      <c r="R300" s="32" t="str">
        <f t="shared" si="217"/>
        <v/>
      </c>
      <c r="S300" s="24" t="str">
        <f t="shared" si="218"/>
        <v/>
      </c>
      <c r="T300" s="24" t="str">
        <f t="shared" si="219"/>
        <v/>
      </c>
      <c r="U300" s="24" t="str">
        <f t="shared" si="220"/>
        <v/>
      </c>
      <c r="V300" s="24" t="str">
        <f t="shared" si="221"/>
        <v/>
      </c>
      <c r="W300" s="23" t="str">
        <f t="array" ref="W300">IFERROR(SMALL(IF(S$1:S$1000="BEGIN",ROW(S$1:S$1000)),ROW()-3),"")</f>
        <v/>
      </c>
      <c r="X300" s="23" t="str">
        <f t="array" ref="X300">IFERROR(SMALL(IF(T$1:T$1000="END",ROW(T$1:T$1000)),ROW()-3),"")</f>
        <v/>
      </c>
      <c r="Y300" s="33" t="str">
        <f t="array" ref="Y300">IF(ISNUMBER(W300),MAX(IF((B$4:B$1000&lt;=X300)*(B$4:B$1000&gt;=W300),I$4:I$1000, "")),"")</f>
        <v/>
      </c>
      <c r="Z300" s="33" t="str">
        <f t="shared" si="206"/>
        <v/>
      </c>
      <c r="AA300" s="32" t="str">
        <f t="shared" si="207"/>
        <v/>
      </c>
      <c r="AB300" s="32" t="str">
        <f t="shared" si="208"/>
        <v/>
      </c>
      <c r="AC300" s="32" t="str">
        <f t="shared" si="209"/>
        <v/>
      </c>
      <c r="AD300" s="32" t="str">
        <f t="shared" si="210"/>
        <v/>
      </c>
      <c r="AE300" s="34" t="str">
        <f t="shared" si="211"/>
        <v/>
      </c>
      <c r="AF300" s="32" t="str">
        <f t="shared" si="212"/>
        <v/>
      </c>
      <c r="AG300" s="32" t="str">
        <f t="shared" si="213"/>
        <v/>
      </c>
      <c r="AH300" s="32" t="str">
        <f t="shared" si="214"/>
        <v/>
      </c>
      <c r="AI300" s="35" t="str">
        <f t="shared" si="215"/>
        <v/>
      </c>
      <c r="AJ300" s="23" t="str">
        <f t="array" ref="AJ300">IFERROR(SMALL(IF(U$1:U$1000="BEGIN",ROW(U$1:U$1000)),ROW()-3),"")</f>
        <v/>
      </c>
      <c r="AK300" s="23" t="str">
        <f t="array" ref="AK300">IFERROR(SMALL(IF(V$1:V$1000="END",ROW(V$1:V$1000)),ROW()-3),"")</f>
        <v/>
      </c>
      <c r="AL300" s="24" t="str">
        <f t="array" ref="AL300">IF(AK300="","",MATCH(AM300,L:L,0))</f>
        <v/>
      </c>
      <c r="AM300" s="35">
        <f t="array" ref="AM300">MAX(IF((B$4:B$1000&lt;=AK300)*(B$4:B$1000&gt;=AJ300),L$4:L$1000, ""))</f>
        <v>0</v>
      </c>
      <c r="AN300" s="32" t="str">
        <f t="shared" si="222"/>
        <v/>
      </c>
      <c r="AO300" s="32" t="str">
        <f t="shared" si="223"/>
        <v/>
      </c>
      <c r="AP300" s="32" t="str">
        <f t="shared" si="224"/>
        <v/>
      </c>
      <c r="AQ300" s="32" t="str">
        <f t="shared" si="225"/>
        <v/>
      </c>
      <c r="AR300" s="32" t="str">
        <f t="shared" si="226"/>
        <v/>
      </c>
      <c r="AS300" s="32" t="str">
        <f t="shared" si="227"/>
        <v/>
      </c>
      <c r="AT300" s="32" t="str">
        <f t="shared" si="228"/>
        <v/>
      </c>
      <c r="AU300" s="34" t="str">
        <f t="shared" si="229"/>
        <v/>
      </c>
      <c r="AV300" s="32" t="str">
        <f t="shared" si="230"/>
        <v/>
      </c>
      <c r="AW300" s="32" t="str">
        <f t="shared" si="231"/>
        <v/>
      </c>
      <c r="AX300" s="32" t="str">
        <f t="shared" si="232"/>
        <v/>
      </c>
      <c r="AY300" s="32" t="str">
        <f t="shared" si="233"/>
        <v/>
      </c>
    </row>
    <row r="301" spans="1:51" x14ac:dyDescent="0.25">
      <c r="A301" s="24" t="str">
        <f t="shared" si="191"/>
        <v/>
      </c>
      <c r="B301" s="24" t="str">
        <f t="shared" si="201"/>
        <v/>
      </c>
      <c r="C301" s="32" t="str">
        <f t="shared" si="192"/>
        <v/>
      </c>
      <c r="D301" s="24" t="str">
        <f t="shared" si="193"/>
        <v/>
      </c>
      <c r="E301" s="24" t="str">
        <f t="shared" si="194"/>
        <v/>
      </c>
      <c r="F301" s="32" t="str">
        <f t="shared" si="195"/>
        <v/>
      </c>
      <c r="G301" s="32" t="str">
        <f t="shared" si="196"/>
        <v/>
      </c>
      <c r="H301" s="32" t="str">
        <f t="shared" ca="1" si="197"/>
        <v/>
      </c>
      <c r="I301" s="32" t="str">
        <f t="shared" ca="1" si="202"/>
        <v/>
      </c>
      <c r="J301" s="32" t="str">
        <f t="shared" si="198"/>
        <v/>
      </c>
      <c r="K301" s="32" t="str">
        <f>IF(ISNUMBER(A301),Profile!$V$25+Profile!$V$24*'Ri-Po'!C301,"")</f>
        <v/>
      </c>
      <c r="L301" s="32" t="str">
        <f t="shared" si="203"/>
        <v/>
      </c>
      <c r="M301" s="32" t="str">
        <f t="shared" si="199"/>
        <v/>
      </c>
      <c r="N301" s="32" t="str">
        <f t="shared" si="200"/>
        <v/>
      </c>
      <c r="O301" s="32" t="str">
        <f t="shared" si="216"/>
        <v/>
      </c>
      <c r="P301" s="32" t="str">
        <f t="shared" si="204"/>
        <v/>
      </c>
      <c r="Q301" s="32" t="str">
        <f t="shared" si="205"/>
        <v/>
      </c>
      <c r="R301" s="32" t="str">
        <f t="shared" si="217"/>
        <v/>
      </c>
      <c r="S301" s="24" t="str">
        <f t="shared" si="218"/>
        <v/>
      </c>
      <c r="T301" s="24" t="str">
        <f t="shared" si="219"/>
        <v/>
      </c>
      <c r="U301" s="24" t="str">
        <f t="shared" si="220"/>
        <v/>
      </c>
      <c r="V301" s="24" t="str">
        <f t="shared" si="221"/>
        <v/>
      </c>
      <c r="W301" s="23" t="str">
        <f t="array" ref="W301">IFERROR(SMALL(IF(S$1:S$1000="BEGIN",ROW(S$1:S$1000)),ROW()-3),"")</f>
        <v/>
      </c>
      <c r="X301" s="23" t="str">
        <f t="array" ref="X301">IFERROR(SMALL(IF(T$1:T$1000="END",ROW(T$1:T$1000)),ROW()-3),"")</f>
        <v/>
      </c>
      <c r="Y301" s="33" t="str">
        <f t="array" ref="Y301">IF(ISNUMBER(W301),MAX(IF((B$4:B$1000&lt;=X301)*(B$4:B$1000&gt;=W301),I$4:I$1000, "")),"")</f>
        <v/>
      </c>
      <c r="Z301" s="33" t="str">
        <f t="shared" si="206"/>
        <v/>
      </c>
      <c r="AA301" s="32" t="str">
        <f t="shared" si="207"/>
        <v/>
      </c>
      <c r="AB301" s="32" t="str">
        <f t="shared" si="208"/>
        <v/>
      </c>
      <c r="AC301" s="32" t="str">
        <f t="shared" si="209"/>
        <v/>
      </c>
      <c r="AD301" s="32" t="str">
        <f t="shared" si="210"/>
        <v/>
      </c>
      <c r="AE301" s="34" t="str">
        <f t="shared" si="211"/>
        <v/>
      </c>
      <c r="AF301" s="32" t="str">
        <f t="shared" si="212"/>
        <v/>
      </c>
      <c r="AG301" s="32" t="str">
        <f t="shared" si="213"/>
        <v/>
      </c>
      <c r="AH301" s="32" t="str">
        <f t="shared" si="214"/>
        <v/>
      </c>
      <c r="AI301" s="35" t="str">
        <f t="shared" si="215"/>
        <v/>
      </c>
      <c r="AJ301" s="23" t="str">
        <f t="array" ref="AJ301">IFERROR(SMALL(IF(U$1:U$1000="BEGIN",ROW(U$1:U$1000)),ROW()-3),"")</f>
        <v/>
      </c>
      <c r="AK301" s="23" t="str">
        <f t="array" ref="AK301">IFERROR(SMALL(IF(V$1:V$1000="END",ROW(V$1:V$1000)),ROW()-3),"")</f>
        <v/>
      </c>
      <c r="AL301" s="24" t="str">
        <f t="array" ref="AL301">IF(AK301="","",MATCH(AM301,L:L,0))</f>
        <v/>
      </c>
      <c r="AM301" s="35">
        <f t="array" ref="AM301">MAX(IF((B$4:B$1000&lt;=AK301)*(B$4:B$1000&gt;=AJ301),L$4:L$1000, ""))</f>
        <v>0</v>
      </c>
      <c r="AN301" s="32" t="str">
        <f t="shared" si="222"/>
        <v/>
      </c>
      <c r="AO301" s="32" t="str">
        <f t="shared" si="223"/>
        <v/>
      </c>
      <c r="AP301" s="32" t="str">
        <f t="shared" si="224"/>
        <v/>
      </c>
      <c r="AQ301" s="32" t="str">
        <f t="shared" si="225"/>
        <v/>
      </c>
      <c r="AR301" s="32" t="str">
        <f t="shared" si="226"/>
        <v/>
      </c>
      <c r="AS301" s="32" t="str">
        <f t="shared" si="227"/>
        <v/>
      </c>
      <c r="AT301" s="32" t="str">
        <f t="shared" si="228"/>
        <v/>
      </c>
      <c r="AU301" s="34" t="str">
        <f t="shared" si="229"/>
        <v/>
      </c>
      <c r="AV301" s="32" t="str">
        <f t="shared" si="230"/>
        <v/>
      </c>
      <c r="AW301" s="32" t="str">
        <f t="shared" si="231"/>
        <v/>
      </c>
      <c r="AX301" s="32" t="str">
        <f t="shared" si="232"/>
        <v/>
      </c>
      <c r="AY301" s="32" t="str">
        <f t="shared" si="233"/>
        <v/>
      </c>
    </row>
    <row r="302" spans="1:51" x14ac:dyDescent="0.25">
      <c r="A302" s="24" t="str">
        <f t="shared" si="191"/>
        <v/>
      </c>
      <c r="B302" s="24" t="str">
        <f t="shared" si="201"/>
        <v/>
      </c>
      <c r="C302" s="32" t="str">
        <f t="shared" si="192"/>
        <v/>
      </c>
      <c r="D302" s="24" t="str">
        <f t="shared" si="193"/>
        <v/>
      </c>
      <c r="E302" s="24" t="str">
        <f t="shared" si="194"/>
        <v/>
      </c>
      <c r="F302" s="32" t="str">
        <f t="shared" si="195"/>
        <v/>
      </c>
      <c r="G302" s="32" t="str">
        <f t="shared" si="196"/>
        <v/>
      </c>
      <c r="H302" s="32" t="str">
        <f t="shared" ca="1" si="197"/>
        <v/>
      </c>
      <c r="I302" s="32" t="str">
        <f t="shared" ca="1" si="202"/>
        <v/>
      </c>
      <c r="J302" s="32" t="str">
        <f t="shared" si="198"/>
        <v/>
      </c>
      <c r="K302" s="32" t="str">
        <f>IF(ISNUMBER(A302),Profile!$V$25+Profile!$V$24*'Ri-Po'!C302,"")</f>
        <v/>
      </c>
      <c r="L302" s="32" t="str">
        <f t="shared" si="203"/>
        <v/>
      </c>
      <c r="M302" s="32" t="str">
        <f t="shared" si="199"/>
        <v/>
      </c>
      <c r="N302" s="32" t="str">
        <f t="shared" si="200"/>
        <v/>
      </c>
      <c r="O302" s="32" t="str">
        <f t="shared" si="216"/>
        <v/>
      </c>
      <c r="P302" s="32" t="str">
        <f t="shared" si="204"/>
        <v/>
      </c>
      <c r="Q302" s="32" t="str">
        <f t="shared" si="205"/>
        <v/>
      </c>
      <c r="R302" s="32" t="str">
        <f t="shared" si="217"/>
        <v/>
      </c>
      <c r="S302" s="24" t="str">
        <f t="shared" si="218"/>
        <v/>
      </c>
      <c r="T302" s="24" t="str">
        <f t="shared" si="219"/>
        <v/>
      </c>
      <c r="U302" s="24" t="str">
        <f t="shared" si="220"/>
        <v/>
      </c>
      <c r="V302" s="24" t="str">
        <f t="shared" si="221"/>
        <v/>
      </c>
      <c r="W302" s="23" t="str">
        <f t="array" ref="W302">IFERROR(SMALL(IF(S$1:S$1000="BEGIN",ROW(S$1:S$1000)),ROW()-3),"")</f>
        <v/>
      </c>
      <c r="X302" s="23" t="str">
        <f t="array" ref="X302">IFERROR(SMALL(IF(T$1:T$1000="END",ROW(T$1:T$1000)),ROW()-3),"")</f>
        <v/>
      </c>
      <c r="Y302" s="33" t="str">
        <f t="array" ref="Y302">IF(ISNUMBER(W302),MAX(IF((B$4:B$1000&lt;=X302)*(B$4:B$1000&gt;=W302),I$4:I$1000, "")),"")</f>
        <v/>
      </c>
      <c r="Z302" s="33" t="str">
        <f t="shared" si="206"/>
        <v/>
      </c>
      <c r="AA302" s="32" t="str">
        <f t="shared" si="207"/>
        <v/>
      </c>
      <c r="AB302" s="32" t="str">
        <f t="shared" si="208"/>
        <v/>
      </c>
      <c r="AC302" s="32" t="str">
        <f t="shared" si="209"/>
        <v/>
      </c>
      <c r="AD302" s="32" t="str">
        <f t="shared" si="210"/>
        <v/>
      </c>
      <c r="AE302" s="34" t="str">
        <f t="shared" si="211"/>
        <v/>
      </c>
      <c r="AF302" s="32" t="str">
        <f t="shared" si="212"/>
        <v/>
      </c>
      <c r="AG302" s="32" t="str">
        <f t="shared" si="213"/>
        <v/>
      </c>
      <c r="AH302" s="32" t="str">
        <f t="shared" si="214"/>
        <v/>
      </c>
      <c r="AI302" s="35" t="str">
        <f t="shared" si="215"/>
        <v/>
      </c>
      <c r="AJ302" s="23" t="str">
        <f t="array" ref="AJ302">IFERROR(SMALL(IF(U$1:U$1000="BEGIN",ROW(U$1:U$1000)),ROW()-3),"")</f>
        <v/>
      </c>
      <c r="AK302" s="23" t="str">
        <f t="array" ref="AK302">IFERROR(SMALL(IF(V$1:V$1000="END",ROW(V$1:V$1000)),ROW()-3),"")</f>
        <v/>
      </c>
      <c r="AL302" s="24" t="str">
        <f t="array" ref="AL302">IF(AK302="","",MATCH(AM302,L:L,0))</f>
        <v/>
      </c>
      <c r="AM302" s="35">
        <f t="array" ref="AM302">MAX(IF((B$4:B$1000&lt;=AK302)*(B$4:B$1000&gt;=AJ302),L$4:L$1000, ""))</f>
        <v>0</v>
      </c>
      <c r="AN302" s="32" t="str">
        <f t="shared" si="222"/>
        <v/>
      </c>
      <c r="AO302" s="32" t="str">
        <f t="shared" si="223"/>
        <v/>
      </c>
      <c r="AP302" s="32" t="str">
        <f t="shared" si="224"/>
        <v/>
      </c>
      <c r="AQ302" s="32" t="str">
        <f t="shared" si="225"/>
        <v/>
      </c>
      <c r="AR302" s="32" t="str">
        <f t="shared" si="226"/>
        <v/>
      </c>
      <c r="AS302" s="32" t="str">
        <f t="shared" si="227"/>
        <v/>
      </c>
      <c r="AT302" s="32" t="str">
        <f t="shared" si="228"/>
        <v/>
      </c>
      <c r="AU302" s="34" t="str">
        <f t="shared" si="229"/>
        <v/>
      </c>
      <c r="AV302" s="32" t="str">
        <f t="shared" si="230"/>
        <v/>
      </c>
      <c r="AW302" s="32" t="str">
        <f t="shared" si="231"/>
        <v/>
      </c>
      <c r="AX302" s="32" t="str">
        <f t="shared" si="232"/>
        <v/>
      </c>
      <c r="AY302" s="32" t="str">
        <f t="shared" si="233"/>
        <v/>
      </c>
    </row>
    <row r="303" spans="1:51" x14ac:dyDescent="0.25">
      <c r="A303" s="24" t="str">
        <f t="shared" si="191"/>
        <v/>
      </c>
      <c r="B303" s="24" t="str">
        <f t="shared" si="201"/>
        <v/>
      </c>
      <c r="C303" s="32" t="str">
        <f t="shared" si="192"/>
        <v/>
      </c>
      <c r="D303" s="24" t="str">
        <f t="shared" si="193"/>
        <v/>
      </c>
      <c r="E303" s="24" t="str">
        <f t="shared" si="194"/>
        <v/>
      </c>
      <c r="F303" s="32" t="str">
        <f t="shared" si="195"/>
        <v/>
      </c>
      <c r="G303" s="32" t="str">
        <f t="shared" si="196"/>
        <v/>
      </c>
      <c r="H303" s="32" t="str">
        <f t="shared" ca="1" si="197"/>
        <v/>
      </c>
      <c r="I303" s="32" t="str">
        <f t="shared" ca="1" si="202"/>
        <v/>
      </c>
      <c r="J303" s="32" t="str">
        <f t="shared" si="198"/>
        <v/>
      </c>
      <c r="K303" s="32" t="str">
        <f>IF(ISNUMBER(A303),Profile!$V$25+Profile!$V$24*'Ri-Po'!C303,"")</f>
        <v/>
      </c>
      <c r="L303" s="32" t="str">
        <f t="shared" si="203"/>
        <v/>
      </c>
      <c r="M303" s="32" t="str">
        <f t="shared" si="199"/>
        <v/>
      </c>
      <c r="N303" s="32" t="str">
        <f t="shared" si="200"/>
        <v/>
      </c>
      <c r="O303" s="32" t="str">
        <f t="shared" si="216"/>
        <v/>
      </c>
      <c r="P303" s="32" t="str">
        <f t="shared" si="204"/>
        <v/>
      </c>
      <c r="Q303" s="32" t="str">
        <f t="shared" si="205"/>
        <v/>
      </c>
      <c r="R303" s="32" t="str">
        <f t="shared" si="217"/>
        <v/>
      </c>
      <c r="S303" s="24" t="str">
        <f t="shared" si="218"/>
        <v/>
      </c>
      <c r="T303" s="24" t="str">
        <f t="shared" si="219"/>
        <v/>
      </c>
      <c r="U303" s="24" t="str">
        <f t="shared" si="220"/>
        <v/>
      </c>
      <c r="V303" s="24" t="str">
        <f t="shared" si="221"/>
        <v/>
      </c>
      <c r="W303" s="23" t="str">
        <f t="array" ref="W303">IFERROR(SMALL(IF(S$1:S$1000="BEGIN",ROW(S$1:S$1000)),ROW()-3),"")</f>
        <v/>
      </c>
      <c r="X303" s="23" t="str">
        <f t="array" ref="X303">IFERROR(SMALL(IF(T$1:T$1000="END",ROW(T$1:T$1000)),ROW()-3),"")</f>
        <v/>
      </c>
      <c r="Y303" s="33" t="str">
        <f t="array" ref="Y303">IF(ISNUMBER(W303),MAX(IF((B$4:B$1000&lt;=X303)*(B$4:B$1000&gt;=W303),I$4:I$1000, "")),"")</f>
        <v/>
      </c>
      <c r="Z303" s="33" t="str">
        <f t="shared" si="206"/>
        <v/>
      </c>
      <c r="AA303" s="32" t="str">
        <f t="shared" si="207"/>
        <v/>
      </c>
      <c r="AB303" s="32" t="str">
        <f t="shared" si="208"/>
        <v/>
      </c>
      <c r="AC303" s="32" t="str">
        <f t="shared" si="209"/>
        <v/>
      </c>
      <c r="AD303" s="32" t="str">
        <f t="shared" si="210"/>
        <v/>
      </c>
      <c r="AE303" s="34" t="str">
        <f t="shared" si="211"/>
        <v/>
      </c>
      <c r="AF303" s="32" t="str">
        <f t="shared" si="212"/>
        <v/>
      </c>
      <c r="AG303" s="32" t="str">
        <f t="shared" si="213"/>
        <v/>
      </c>
      <c r="AH303" s="32" t="str">
        <f t="shared" si="214"/>
        <v/>
      </c>
      <c r="AI303" s="35" t="str">
        <f t="shared" si="215"/>
        <v/>
      </c>
      <c r="AJ303" s="23" t="str">
        <f t="array" ref="AJ303">IFERROR(SMALL(IF(U$1:U$1000="BEGIN",ROW(U$1:U$1000)),ROW()-3),"")</f>
        <v/>
      </c>
      <c r="AK303" s="23" t="str">
        <f t="array" ref="AK303">IFERROR(SMALL(IF(V$1:V$1000="END",ROW(V$1:V$1000)),ROW()-3),"")</f>
        <v/>
      </c>
      <c r="AL303" s="24" t="str">
        <f t="array" ref="AL303">IF(AK303="","",MATCH(AM303,L:L,0))</f>
        <v/>
      </c>
      <c r="AM303" s="35">
        <f t="array" ref="AM303">MAX(IF((B$4:B$1000&lt;=AK303)*(B$4:B$1000&gt;=AJ303),L$4:L$1000, ""))</f>
        <v>0</v>
      </c>
      <c r="AN303" s="32" t="str">
        <f t="shared" si="222"/>
        <v/>
      </c>
      <c r="AO303" s="32" t="str">
        <f t="shared" si="223"/>
        <v/>
      </c>
      <c r="AP303" s="32" t="str">
        <f t="shared" si="224"/>
        <v/>
      </c>
      <c r="AQ303" s="32" t="str">
        <f t="shared" si="225"/>
        <v/>
      </c>
      <c r="AR303" s="32" t="str">
        <f t="shared" si="226"/>
        <v/>
      </c>
      <c r="AS303" s="32" t="str">
        <f t="shared" si="227"/>
        <v/>
      </c>
      <c r="AT303" s="32" t="str">
        <f t="shared" si="228"/>
        <v/>
      </c>
      <c r="AU303" s="34" t="str">
        <f t="shared" si="229"/>
        <v/>
      </c>
      <c r="AV303" s="32" t="str">
        <f t="shared" si="230"/>
        <v/>
      </c>
      <c r="AW303" s="32" t="str">
        <f t="shared" si="231"/>
        <v/>
      </c>
      <c r="AX303" s="32" t="str">
        <f t="shared" si="232"/>
        <v/>
      </c>
      <c r="AY303" s="32" t="str">
        <f t="shared" si="233"/>
        <v/>
      </c>
    </row>
    <row r="304" spans="1:51" x14ac:dyDescent="0.25">
      <c r="A304" s="24" t="str">
        <f t="shared" si="191"/>
        <v/>
      </c>
      <c r="B304" s="24" t="str">
        <f t="shared" si="201"/>
        <v/>
      </c>
      <c r="C304" s="32" t="str">
        <f t="shared" si="192"/>
        <v/>
      </c>
      <c r="D304" s="24" t="str">
        <f t="shared" si="193"/>
        <v/>
      </c>
      <c r="E304" s="24" t="str">
        <f t="shared" si="194"/>
        <v/>
      </c>
      <c r="F304" s="32" t="str">
        <f t="shared" si="195"/>
        <v/>
      </c>
      <c r="G304" s="32" t="str">
        <f t="shared" si="196"/>
        <v/>
      </c>
      <c r="H304" s="32" t="str">
        <f t="shared" ca="1" si="197"/>
        <v/>
      </c>
      <c r="I304" s="32" t="str">
        <f t="shared" ca="1" si="202"/>
        <v/>
      </c>
      <c r="J304" s="32" t="str">
        <f t="shared" si="198"/>
        <v/>
      </c>
      <c r="K304" s="32" t="str">
        <f>IF(ISNUMBER(A304),Profile!$V$25+Profile!$V$24*'Ri-Po'!C304,"")</f>
        <v/>
      </c>
      <c r="L304" s="32" t="str">
        <f t="shared" si="203"/>
        <v/>
      </c>
      <c r="M304" s="32" t="str">
        <f t="shared" si="199"/>
        <v/>
      </c>
      <c r="N304" s="32" t="str">
        <f t="shared" si="200"/>
        <v/>
      </c>
      <c r="O304" s="32" t="str">
        <f t="shared" si="216"/>
        <v/>
      </c>
      <c r="P304" s="32" t="str">
        <f t="shared" si="204"/>
        <v/>
      </c>
      <c r="Q304" s="32" t="str">
        <f t="shared" si="205"/>
        <v/>
      </c>
      <c r="R304" s="32" t="str">
        <f t="shared" si="217"/>
        <v/>
      </c>
      <c r="S304" s="24" t="str">
        <f t="shared" si="218"/>
        <v/>
      </c>
      <c r="T304" s="24" t="str">
        <f t="shared" si="219"/>
        <v/>
      </c>
      <c r="U304" s="24" t="str">
        <f t="shared" si="220"/>
        <v/>
      </c>
      <c r="V304" s="24" t="str">
        <f t="shared" si="221"/>
        <v/>
      </c>
      <c r="W304" s="23" t="str">
        <f t="array" ref="W304">IFERROR(SMALL(IF(S$1:S$1000="BEGIN",ROW(S$1:S$1000)),ROW()-3),"")</f>
        <v/>
      </c>
      <c r="X304" s="23" t="str">
        <f t="array" ref="X304">IFERROR(SMALL(IF(T$1:T$1000="END",ROW(T$1:T$1000)),ROW()-3),"")</f>
        <v/>
      </c>
      <c r="Y304" s="33" t="str">
        <f t="array" ref="Y304">IF(ISNUMBER(W304),MAX(IF((B$4:B$1000&lt;=X304)*(B$4:B$1000&gt;=W304),I$4:I$1000, "")),"")</f>
        <v/>
      </c>
      <c r="Z304" s="33" t="str">
        <f t="shared" si="206"/>
        <v/>
      </c>
      <c r="AA304" s="32" t="str">
        <f t="shared" si="207"/>
        <v/>
      </c>
      <c r="AB304" s="32" t="str">
        <f t="shared" si="208"/>
        <v/>
      </c>
      <c r="AC304" s="32" t="str">
        <f t="shared" si="209"/>
        <v/>
      </c>
      <c r="AD304" s="32" t="str">
        <f t="shared" si="210"/>
        <v/>
      </c>
      <c r="AE304" s="34" t="str">
        <f t="shared" si="211"/>
        <v/>
      </c>
      <c r="AF304" s="32" t="str">
        <f t="shared" si="212"/>
        <v/>
      </c>
      <c r="AG304" s="32" t="str">
        <f t="shared" si="213"/>
        <v/>
      </c>
      <c r="AH304" s="32" t="str">
        <f t="shared" si="214"/>
        <v/>
      </c>
      <c r="AI304" s="35" t="str">
        <f t="shared" si="215"/>
        <v/>
      </c>
      <c r="AJ304" s="23" t="str">
        <f t="array" ref="AJ304">IFERROR(SMALL(IF(U$1:U$1000="BEGIN",ROW(U$1:U$1000)),ROW()-3),"")</f>
        <v/>
      </c>
      <c r="AK304" s="23" t="str">
        <f t="array" ref="AK304">IFERROR(SMALL(IF(V$1:V$1000="END",ROW(V$1:V$1000)),ROW()-3),"")</f>
        <v/>
      </c>
      <c r="AL304" s="24" t="str">
        <f t="array" ref="AL304">IF(AK304="","",MATCH(AM304,L:L,0))</f>
        <v/>
      </c>
      <c r="AM304" s="35">
        <f t="array" ref="AM304">MAX(IF((B$4:B$1000&lt;=AK304)*(B$4:B$1000&gt;=AJ304),L$4:L$1000, ""))</f>
        <v>0</v>
      </c>
      <c r="AN304" s="32" t="str">
        <f t="shared" si="222"/>
        <v/>
      </c>
      <c r="AO304" s="32" t="str">
        <f t="shared" si="223"/>
        <v/>
      </c>
      <c r="AP304" s="32" t="str">
        <f t="shared" si="224"/>
        <v/>
      </c>
      <c r="AQ304" s="32" t="str">
        <f t="shared" si="225"/>
        <v/>
      </c>
      <c r="AR304" s="32" t="str">
        <f t="shared" si="226"/>
        <v/>
      </c>
      <c r="AS304" s="32" t="str">
        <f t="shared" si="227"/>
        <v/>
      </c>
      <c r="AT304" s="32" t="str">
        <f t="shared" si="228"/>
        <v/>
      </c>
      <c r="AU304" s="34" t="str">
        <f t="shared" si="229"/>
        <v/>
      </c>
      <c r="AV304" s="32" t="str">
        <f t="shared" si="230"/>
        <v/>
      </c>
      <c r="AW304" s="32" t="str">
        <f t="shared" si="231"/>
        <v/>
      </c>
      <c r="AX304" s="32" t="str">
        <f t="shared" si="232"/>
        <v/>
      </c>
      <c r="AY304" s="32" t="str">
        <f t="shared" si="233"/>
        <v/>
      </c>
    </row>
    <row r="305" spans="1:51" x14ac:dyDescent="0.25">
      <c r="A305" s="24" t="str">
        <f t="shared" si="191"/>
        <v/>
      </c>
      <c r="B305" s="24" t="str">
        <f t="shared" si="201"/>
        <v/>
      </c>
      <c r="C305" s="32" t="str">
        <f t="shared" si="192"/>
        <v/>
      </c>
      <c r="D305" s="24" t="str">
        <f t="shared" si="193"/>
        <v/>
      </c>
      <c r="E305" s="24" t="str">
        <f t="shared" si="194"/>
        <v/>
      </c>
      <c r="F305" s="32" t="str">
        <f t="shared" si="195"/>
        <v/>
      </c>
      <c r="G305" s="32" t="str">
        <f t="shared" si="196"/>
        <v/>
      </c>
      <c r="H305" s="32" t="str">
        <f t="shared" ca="1" si="197"/>
        <v/>
      </c>
      <c r="I305" s="32" t="str">
        <f t="shared" ca="1" si="202"/>
        <v/>
      </c>
      <c r="J305" s="32" t="str">
        <f t="shared" si="198"/>
        <v/>
      </c>
      <c r="K305" s="32" t="str">
        <f>IF(ISNUMBER(A305),Profile!$V$25+Profile!$V$24*'Ri-Po'!C305,"")</f>
        <v/>
      </c>
      <c r="L305" s="32" t="str">
        <f t="shared" si="203"/>
        <v/>
      </c>
      <c r="M305" s="32" t="str">
        <f t="shared" si="199"/>
        <v/>
      </c>
      <c r="N305" s="32" t="str">
        <f t="shared" si="200"/>
        <v/>
      </c>
      <c r="O305" s="32" t="str">
        <f t="shared" si="216"/>
        <v/>
      </c>
      <c r="P305" s="32" t="str">
        <f t="shared" si="204"/>
        <v/>
      </c>
      <c r="Q305" s="32" t="str">
        <f t="shared" si="205"/>
        <v/>
      </c>
      <c r="R305" s="32" t="str">
        <f t="shared" si="217"/>
        <v/>
      </c>
      <c r="S305" s="24" t="str">
        <f t="shared" si="218"/>
        <v/>
      </c>
      <c r="T305" s="24" t="str">
        <f t="shared" si="219"/>
        <v/>
      </c>
      <c r="U305" s="24" t="str">
        <f t="shared" si="220"/>
        <v/>
      </c>
      <c r="V305" s="24" t="str">
        <f t="shared" si="221"/>
        <v/>
      </c>
      <c r="W305" s="23" t="str">
        <f t="array" ref="W305">IFERROR(SMALL(IF(S$1:S$1000="BEGIN",ROW(S$1:S$1000)),ROW()-3),"")</f>
        <v/>
      </c>
      <c r="X305" s="23" t="str">
        <f t="array" ref="X305">IFERROR(SMALL(IF(T$1:T$1000="END",ROW(T$1:T$1000)),ROW()-3),"")</f>
        <v/>
      </c>
      <c r="Y305" s="33" t="str">
        <f t="array" ref="Y305">IF(ISNUMBER(W305),MAX(IF((B$4:B$1000&lt;=X305)*(B$4:B$1000&gt;=W305),I$4:I$1000, "")),"")</f>
        <v/>
      </c>
      <c r="Z305" s="33" t="str">
        <f t="shared" si="206"/>
        <v/>
      </c>
      <c r="AA305" s="32" t="str">
        <f t="shared" si="207"/>
        <v/>
      </c>
      <c r="AB305" s="32" t="str">
        <f t="shared" si="208"/>
        <v/>
      </c>
      <c r="AC305" s="32" t="str">
        <f t="shared" si="209"/>
        <v/>
      </c>
      <c r="AD305" s="32" t="str">
        <f t="shared" si="210"/>
        <v/>
      </c>
      <c r="AE305" s="34" t="str">
        <f t="shared" si="211"/>
        <v/>
      </c>
      <c r="AF305" s="32" t="str">
        <f t="shared" si="212"/>
        <v/>
      </c>
      <c r="AG305" s="32" t="str">
        <f t="shared" si="213"/>
        <v/>
      </c>
      <c r="AH305" s="32" t="str">
        <f t="shared" si="214"/>
        <v/>
      </c>
      <c r="AI305" s="35" t="str">
        <f t="shared" si="215"/>
        <v/>
      </c>
      <c r="AJ305" s="23" t="str">
        <f t="array" ref="AJ305">IFERROR(SMALL(IF(U$1:U$1000="BEGIN",ROW(U$1:U$1000)),ROW()-3),"")</f>
        <v/>
      </c>
      <c r="AK305" s="23" t="str">
        <f t="array" ref="AK305">IFERROR(SMALL(IF(V$1:V$1000="END",ROW(V$1:V$1000)),ROW()-3),"")</f>
        <v/>
      </c>
      <c r="AL305" s="24" t="str">
        <f t="array" ref="AL305">IF(AK305="","",MATCH(AM305,L:L,0))</f>
        <v/>
      </c>
      <c r="AM305" s="35">
        <f t="array" ref="AM305">MAX(IF((B$4:B$1000&lt;=AK305)*(B$4:B$1000&gt;=AJ305),L$4:L$1000, ""))</f>
        <v>0</v>
      </c>
      <c r="AN305" s="32" t="str">
        <f t="shared" si="222"/>
        <v/>
      </c>
      <c r="AO305" s="32" t="str">
        <f t="shared" si="223"/>
        <v/>
      </c>
      <c r="AP305" s="32" t="str">
        <f t="shared" si="224"/>
        <v/>
      </c>
      <c r="AQ305" s="32" t="str">
        <f t="shared" si="225"/>
        <v/>
      </c>
      <c r="AR305" s="32" t="str">
        <f t="shared" si="226"/>
        <v/>
      </c>
      <c r="AS305" s="32" t="str">
        <f t="shared" si="227"/>
        <v/>
      </c>
      <c r="AT305" s="32" t="str">
        <f t="shared" si="228"/>
        <v/>
      </c>
      <c r="AU305" s="34" t="str">
        <f t="shared" si="229"/>
        <v/>
      </c>
      <c r="AV305" s="32" t="str">
        <f t="shared" si="230"/>
        <v/>
      </c>
      <c r="AW305" s="32" t="str">
        <f t="shared" si="231"/>
        <v/>
      </c>
      <c r="AX305" s="32" t="str">
        <f t="shared" si="232"/>
        <v/>
      </c>
      <c r="AY305" s="32" t="str">
        <f t="shared" si="233"/>
        <v/>
      </c>
    </row>
    <row r="306" spans="1:51" x14ac:dyDescent="0.25">
      <c r="A306" s="24" t="str">
        <f t="shared" si="191"/>
        <v/>
      </c>
      <c r="B306" s="24" t="str">
        <f t="shared" si="201"/>
        <v/>
      </c>
      <c r="C306" s="32" t="str">
        <f t="shared" si="192"/>
        <v/>
      </c>
      <c r="D306" s="24" t="str">
        <f t="shared" si="193"/>
        <v/>
      </c>
      <c r="E306" s="24" t="str">
        <f t="shared" si="194"/>
        <v/>
      </c>
      <c r="F306" s="32" t="str">
        <f t="shared" si="195"/>
        <v/>
      </c>
      <c r="G306" s="32" t="str">
        <f t="shared" si="196"/>
        <v/>
      </c>
      <c r="H306" s="32" t="str">
        <f t="shared" ca="1" si="197"/>
        <v/>
      </c>
      <c r="I306" s="32" t="str">
        <f t="shared" ca="1" si="202"/>
        <v/>
      </c>
      <c r="J306" s="32" t="str">
        <f t="shared" si="198"/>
        <v/>
      </c>
      <c r="K306" s="32" t="str">
        <f>IF(ISNUMBER(A306),Profile!$V$25+Profile!$V$24*'Ri-Po'!C306,"")</f>
        <v/>
      </c>
      <c r="L306" s="32" t="str">
        <f t="shared" si="203"/>
        <v/>
      </c>
      <c r="M306" s="32" t="str">
        <f t="shared" si="199"/>
        <v/>
      </c>
      <c r="N306" s="32" t="str">
        <f t="shared" si="200"/>
        <v/>
      </c>
      <c r="O306" s="32" t="str">
        <f t="shared" si="216"/>
        <v/>
      </c>
      <c r="P306" s="32" t="str">
        <f t="shared" si="204"/>
        <v/>
      </c>
      <c r="Q306" s="32" t="str">
        <f t="shared" si="205"/>
        <v/>
      </c>
      <c r="R306" s="32" t="str">
        <f t="shared" si="217"/>
        <v/>
      </c>
      <c r="S306" s="24" t="str">
        <f t="shared" si="218"/>
        <v/>
      </c>
      <c r="T306" s="24" t="str">
        <f t="shared" si="219"/>
        <v/>
      </c>
      <c r="U306" s="24" t="str">
        <f t="shared" si="220"/>
        <v/>
      </c>
      <c r="V306" s="24" t="str">
        <f t="shared" si="221"/>
        <v/>
      </c>
      <c r="W306" s="23" t="str">
        <f t="array" ref="W306">IFERROR(SMALL(IF(S$1:S$1000="BEGIN",ROW(S$1:S$1000)),ROW()-3),"")</f>
        <v/>
      </c>
      <c r="X306" s="23" t="str">
        <f t="array" ref="X306">IFERROR(SMALL(IF(T$1:T$1000="END",ROW(T$1:T$1000)),ROW()-3),"")</f>
        <v/>
      </c>
      <c r="Y306" s="33" t="str">
        <f t="array" ref="Y306">IF(ISNUMBER(W306),MAX(IF((B$4:B$1000&lt;=X306)*(B$4:B$1000&gt;=W306),I$4:I$1000, "")),"")</f>
        <v/>
      </c>
      <c r="Z306" s="33" t="str">
        <f t="shared" si="206"/>
        <v/>
      </c>
      <c r="AA306" s="32" t="str">
        <f t="shared" si="207"/>
        <v/>
      </c>
      <c r="AB306" s="32" t="str">
        <f t="shared" si="208"/>
        <v/>
      </c>
      <c r="AC306" s="32" t="str">
        <f t="shared" si="209"/>
        <v/>
      </c>
      <c r="AD306" s="32" t="str">
        <f t="shared" si="210"/>
        <v/>
      </c>
      <c r="AE306" s="34" t="str">
        <f t="shared" si="211"/>
        <v/>
      </c>
      <c r="AF306" s="32" t="str">
        <f t="shared" si="212"/>
        <v/>
      </c>
      <c r="AG306" s="32" t="str">
        <f t="shared" si="213"/>
        <v/>
      </c>
      <c r="AH306" s="32" t="str">
        <f t="shared" si="214"/>
        <v/>
      </c>
      <c r="AI306" s="35" t="str">
        <f t="shared" si="215"/>
        <v/>
      </c>
      <c r="AJ306" s="23" t="str">
        <f t="array" ref="AJ306">IFERROR(SMALL(IF(U$1:U$1000="BEGIN",ROW(U$1:U$1000)),ROW()-3),"")</f>
        <v/>
      </c>
      <c r="AK306" s="23" t="str">
        <f t="array" ref="AK306">IFERROR(SMALL(IF(V$1:V$1000="END",ROW(V$1:V$1000)),ROW()-3),"")</f>
        <v/>
      </c>
      <c r="AL306" s="24" t="str">
        <f t="array" ref="AL306">IF(AK306="","",MATCH(AM306,L:L,0))</f>
        <v/>
      </c>
      <c r="AM306" s="35">
        <f t="array" ref="AM306">MAX(IF((B$4:B$1000&lt;=AK306)*(B$4:B$1000&gt;=AJ306),L$4:L$1000, ""))</f>
        <v>0</v>
      </c>
      <c r="AN306" s="32" t="str">
        <f t="shared" si="222"/>
        <v/>
      </c>
      <c r="AO306" s="32" t="str">
        <f t="shared" si="223"/>
        <v/>
      </c>
      <c r="AP306" s="32" t="str">
        <f t="shared" si="224"/>
        <v/>
      </c>
      <c r="AQ306" s="32" t="str">
        <f t="shared" si="225"/>
        <v/>
      </c>
      <c r="AR306" s="32" t="str">
        <f t="shared" si="226"/>
        <v/>
      </c>
      <c r="AS306" s="32" t="str">
        <f t="shared" si="227"/>
        <v/>
      </c>
      <c r="AT306" s="32" t="str">
        <f t="shared" si="228"/>
        <v/>
      </c>
      <c r="AU306" s="34" t="str">
        <f t="shared" si="229"/>
        <v/>
      </c>
      <c r="AV306" s="32" t="str">
        <f t="shared" si="230"/>
        <v/>
      </c>
      <c r="AW306" s="32" t="str">
        <f t="shared" si="231"/>
        <v/>
      </c>
      <c r="AX306" s="32" t="str">
        <f t="shared" si="232"/>
        <v/>
      </c>
      <c r="AY306" s="32" t="str">
        <f t="shared" si="233"/>
        <v/>
      </c>
    </row>
    <row r="307" spans="1:51" x14ac:dyDescent="0.25">
      <c r="A307" s="24" t="str">
        <f t="shared" si="191"/>
        <v/>
      </c>
      <c r="B307" s="24" t="str">
        <f t="shared" si="201"/>
        <v/>
      </c>
      <c r="C307" s="32" t="str">
        <f t="shared" si="192"/>
        <v/>
      </c>
      <c r="D307" s="24" t="str">
        <f t="shared" si="193"/>
        <v/>
      </c>
      <c r="E307" s="24" t="str">
        <f t="shared" si="194"/>
        <v/>
      </c>
      <c r="F307" s="32" t="str">
        <f t="shared" si="195"/>
        <v/>
      </c>
      <c r="G307" s="32" t="str">
        <f t="shared" si="196"/>
        <v/>
      </c>
      <c r="H307" s="32" t="str">
        <f t="shared" ca="1" si="197"/>
        <v/>
      </c>
      <c r="I307" s="32" t="str">
        <f t="shared" ca="1" si="202"/>
        <v/>
      </c>
      <c r="J307" s="32" t="str">
        <f t="shared" si="198"/>
        <v/>
      </c>
      <c r="K307" s="32" t="str">
        <f>IF(ISNUMBER(A307),Profile!$V$25+Profile!$V$24*'Ri-Po'!C307,"")</f>
        <v/>
      </c>
      <c r="L307" s="32" t="str">
        <f t="shared" si="203"/>
        <v/>
      </c>
      <c r="M307" s="32" t="str">
        <f t="shared" si="199"/>
        <v/>
      </c>
      <c r="N307" s="32" t="str">
        <f t="shared" si="200"/>
        <v/>
      </c>
      <c r="O307" s="32" t="str">
        <f t="shared" si="216"/>
        <v/>
      </c>
      <c r="P307" s="32" t="str">
        <f t="shared" si="204"/>
        <v/>
      </c>
      <c r="Q307" s="32" t="str">
        <f t="shared" si="205"/>
        <v/>
      </c>
      <c r="R307" s="32" t="str">
        <f t="shared" si="217"/>
        <v/>
      </c>
      <c r="S307" s="24" t="str">
        <f t="shared" si="218"/>
        <v/>
      </c>
      <c r="T307" s="24" t="str">
        <f t="shared" si="219"/>
        <v/>
      </c>
      <c r="U307" s="24" t="str">
        <f t="shared" si="220"/>
        <v/>
      </c>
      <c r="V307" s="24" t="str">
        <f t="shared" si="221"/>
        <v/>
      </c>
      <c r="W307" s="23" t="str">
        <f t="array" ref="W307">IFERROR(SMALL(IF(S$1:S$1000="BEGIN",ROW(S$1:S$1000)),ROW()-3),"")</f>
        <v/>
      </c>
      <c r="X307" s="23" t="str">
        <f t="array" ref="X307">IFERROR(SMALL(IF(T$1:T$1000="END",ROW(T$1:T$1000)),ROW()-3),"")</f>
        <v/>
      </c>
      <c r="Y307" s="33" t="str">
        <f t="array" ref="Y307">IF(ISNUMBER(W307),MAX(IF((B$4:B$1000&lt;=X307)*(B$4:B$1000&gt;=W307),I$4:I$1000, "")),"")</f>
        <v/>
      </c>
      <c r="Z307" s="33" t="str">
        <f t="shared" si="206"/>
        <v/>
      </c>
      <c r="AA307" s="32" t="str">
        <f t="shared" si="207"/>
        <v/>
      </c>
      <c r="AB307" s="32" t="str">
        <f t="shared" si="208"/>
        <v/>
      </c>
      <c r="AC307" s="32" t="str">
        <f t="shared" si="209"/>
        <v/>
      </c>
      <c r="AD307" s="32" t="str">
        <f t="shared" si="210"/>
        <v/>
      </c>
      <c r="AE307" s="34" t="str">
        <f t="shared" si="211"/>
        <v/>
      </c>
      <c r="AF307" s="32" t="str">
        <f t="shared" si="212"/>
        <v/>
      </c>
      <c r="AG307" s="32" t="str">
        <f t="shared" si="213"/>
        <v/>
      </c>
      <c r="AH307" s="32" t="str">
        <f t="shared" si="214"/>
        <v/>
      </c>
      <c r="AI307" s="35" t="str">
        <f t="shared" si="215"/>
        <v/>
      </c>
      <c r="AJ307" s="23" t="str">
        <f t="array" ref="AJ307">IFERROR(SMALL(IF(U$1:U$1000="BEGIN",ROW(U$1:U$1000)),ROW()-3),"")</f>
        <v/>
      </c>
      <c r="AK307" s="23" t="str">
        <f t="array" ref="AK307">IFERROR(SMALL(IF(V$1:V$1000="END",ROW(V$1:V$1000)),ROW()-3),"")</f>
        <v/>
      </c>
      <c r="AL307" s="24" t="str">
        <f t="array" ref="AL307">IF(AK307="","",MATCH(AM307,L:L,0))</f>
        <v/>
      </c>
      <c r="AM307" s="35">
        <f t="array" ref="AM307">MAX(IF((B$4:B$1000&lt;=AK307)*(B$4:B$1000&gt;=AJ307),L$4:L$1000, ""))</f>
        <v>0</v>
      </c>
      <c r="AN307" s="32" t="str">
        <f t="shared" si="222"/>
        <v/>
      </c>
      <c r="AO307" s="32" t="str">
        <f t="shared" si="223"/>
        <v/>
      </c>
      <c r="AP307" s="32" t="str">
        <f t="shared" si="224"/>
        <v/>
      </c>
      <c r="AQ307" s="32" t="str">
        <f t="shared" si="225"/>
        <v/>
      </c>
      <c r="AR307" s="32" t="str">
        <f t="shared" si="226"/>
        <v/>
      </c>
      <c r="AS307" s="32" t="str">
        <f t="shared" si="227"/>
        <v/>
      </c>
      <c r="AT307" s="32" t="str">
        <f t="shared" si="228"/>
        <v/>
      </c>
      <c r="AU307" s="34" t="str">
        <f t="shared" si="229"/>
        <v/>
      </c>
      <c r="AV307" s="32" t="str">
        <f t="shared" si="230"/>
        <v/>
      </c>
      <c r="AW307" s="32" t="str">
        <f t="shared" si="231"/>
        <v/>
      </c>
      <c r="AX307" s="32" t="str">
        <f t="shared" si="232"/>
        <v/>
      </c>
      <c r="AY307" s="32" t="str">
        <f t="shared" si="233"/>
        <v/>
      </c>
    </row>
    <row r="308" spans="1:51" x14ac:dyDescent="0.25">
      <c r="A308" s="24" t="str">
        <f t="shared" si="191"/>
        <v/>
      </c>
      <c r="B308" s="24" t="str">
        <f t="shared" si="201"/>
        <v/>
      </c>
      <c r="C308" s="32" t="str">
        <f t="shared" si="192"/>
        <v/>
      </c>
      <c r="D308" s="24" t="str">
        <f t="shared" si="193"/>
        <v/>
      </c>
      <c r="E308" s="24" t="str">
        <f t="shared" si="194"/>
        <v/>
      </c>
      <c r="F308" s="32" t="str">
        <f t="shared" si="195"/>
        <v/>
      </c>
      <c r="G308" s="32" t="str">
        <f t="shared" si="196"/>
        <v/>
      </c>
      <c r="H308" s="32" t="str">
        <f t="shared" ca="1" si="197"/>
        <v/>
      </c>
      <c r="I308" s="32" t="str">
        <f t="shared" ca="1" si="202"/>
        <v/>
      </c>
      <c r="J308" s="32" t="str">
        <f t="shared" si="198"/>
        <v/>
      </c>
      <c r="K308" s="32" t="str">
        <f>IF(ISNUMBER(A308),Profile!$V$25+Profile!$V$24*'Ri-Po'!C308,"")</f>
        <v/>
      </c>
      <c r="L308" s="32" t="str">
        <f t="shared" si="203"/>
        <v/>
      </c>
      <c r="M308" s="32" t="str">
        <f t="shared" si="199"/>
        <v/>
      </c>
      <c r="N308" s="32" t="str">
        <f t="shared" si="200"/>
        <v/>
      </c>
      <c r="O308" s="32" t="str">
        <f t="shared" si="216"/>
        <v/>
      </c>
      <c r="P308" s="32" t="str">
        <f t="shared" si="204"/>
        <v/>
      </c>
      <c r="Q308" s="32" t="str">
        <f t="shared" si="205"/>
        <v/>
      </c>
      <c r="R308" s="32" t="str">
        <f t="shared" si="217"/>
        <v/>
      </c>
      <c r="S308" s="24" t="str">
        <f t="shared" si="218"/>
        <v/>
      </c>
      <c r="T308" s="24" t="str">
        <f t="shared" si="219"/>
        <v/>
      </c>
      <c r="U308" s="24" t="str">
        <f t="shared" si="220"/>
        <v/>
      </c>
      <c r="V308" s="24" t="str">
        <f t="shared" si="221"/>
        <v/>
      </c>
      <c r="W308" s="23" t="str">
        <f t="array" ref="W308">IFERROR(SMALL(IF(S$1:S$1000="BEGIN",ROW(S$1:S$1000)),ROW()-3),"")</f>
        <v/>
      </c>
      <c r="X308" s="23" t="str">
        <f t="array" ref="X308">IFERROR(SMALL(IF(T$1:T$1000="END",ROW(T$1:T$1000)),ROW()-3),"")</f>
        <v/>
      </c>
      <c r="Y308" s="33" t="str">
        <f t="array" ref="Y308">IF(ISNUMBER(W308),MAX(IF((B$4:B$1000&lt;=X308)*(B$4:B$1000&gt;=W308),I$4:I$1000, "")),"")</f>
        <v/>
      </c>
      <c r="Z308" s="33" t="str">
        <f t="shared" si="206"/>
        <v/>
      </c>
      <c r="AA308" s="32" t="str">
        <f t="shared" si="207"/>
        <v/>
      </c>
      <c r="AB308" s="32" t="str">
        <f t="shared" si="208"/>
        <v/>
      </c>
      <c r="AC308" s="32" t="str">
        <f t="shared" si="209"/>
        <v/>
      </c>
      <c r="AD308" s="32" t="str">
        <f t="shared" si="210"/>
        <v/>
      </c>
      <c r="AE308" s="34" t="str">
        <f t="shared" si="211"/>
        <v/>
      </c>
      <c r="AF308" s="32" t="str">
        <f t="shared" si="212"/>
        <v/>
      </c>
      <c r="AG308" s="32" t="str">
        <f t="shared" si="213"/>
        <v/>
      </c>
      <c r="AH308" s="32" t="str">
        <f t="shared" si="214"/>
        <v/>
      </c>
      <c r="AI308" s="35" t="str">
        <f t="shared" si="215"/>
        <v/>
      </c>
      <c r="AJ308" s="23" t="str">
        <f t="array" ref="AJ308">IFERROR(SMALL(IF(U$1:U$1000="BEGIN",ROW(U$1:U$1000)),ROW()-3),"")</f>
        <v/>
      </c>
      <c r="AK308" s="23" t="str">
        <f t="array" ref="AK308">IFERROR(SMALL(IF(V$1:V$1000="END",ROW(V$1:V$1000)),ROW()-3),"")</f>
        <v/>
      </c>
      <c r="AL308" s="24" t="str">
        <f t="array" ref="AL308">IF(AK308="","",MATCH(AM308,L:L,0))</f>
        <v/>
      </c>
      <c r="AM308" s="35">
        <f t="array" ref="AM308">MAX(IF((B$4:B$1000&lt;=AK308)*(B$4:B$1000&gt;=AJ308),L$4:L$1000, ""))</f>
        <v>0</v>
      </c>
      <c r="AN308" s="32" t="str">
        <f t="shared" si="222"/>
        <v/>
      </c>
      <c r="AO308" s="32" t="str">
        <f t="shared" si="223"/>
        <v/>
      </c>
      <c r="AP308" s="32" t="str">
        <f t="shared" si="224"/>
        <v/>
      </c>
      <c r="AQ308" s="32" t="str">
        <f t="shared" si="225"/>
        <v/>
      </c>
      <c r="AR308" s="32" t="str">
        <f t="shared" si="226"/>
        <v/>
      </c>
      <c r="AS308" s="32" t="str">
        <f t="shared" si="227"/>
        <v/>
      </c>
      <c r="AT308" s="32" t="str">
        <f t="shared" si="228"/>
        <v/>
      </c>
      <c r="AU308" s="34" t="str">
        <f t="shared" si="229"/>
        <v/>
      </c>
      <c r="AV308" s="32" t="str">
        <f t="shared" si="230"/>
        <v/>
      </c>
      <c r="AW308" s="32" t="str">
        <f t="shared" si="231"/>
        <v/>
      </c>
      <c r="AX308" s="32" t="str">
        <f t="shared" si="232"/>
        <v/>
      </c>
      <c r="AY308" s="32" t="str">
        <f t="shared" si="233"/>
        <v/>
      </c>
    </row>
    <row r="309" spans="1:51" x14ac:dyDescent="0.25">
      <c r="A309" s="24" t="str">
        <f t="shared" si="191"/>
        <v/>
      </c>
      <c r="B309" s="24" t="str">
        <f t="shared" si="201"/>
        <v/>
      </c>
      <c r="C309" s="32" t="str">
        <f t="shared" si="192"/>
        <v/>
      </c>
      <c r="D309" s="24" t="str">
        <f t="shared" si="193"/>
        <v/>
      </c>
      <c r="E309" s="24" t="str">
        <f t="shared" si="194"/>
        <v/>
      </c>
      <c r="F309" s="32" t="str">
        <f t="shared" si="195"/>
        <v/>
      </c>
      <c r="G309" s="32" t="str">
        <f t="shared" si="196"/>
        <v/>
      </c>
      <c r="H309" s="32" t="str">
        <f t="shared" ca="1" si="197"/>
        <v/>
      </c>
      <c r="I309" s="32" t="str">
        <f t="shared" ca="1" si="202"/>
        <v/>
      </c>
      <c r="J309" s="32" t="str">
        <f t="shared" si="198"/>
        <v/>
      </c>
      <c r="K309" s="32" t="str">
        <f>IF(ISNUMBER(A309),Profile!$V$25+Profile!$V$24*'Ri-Po'!C309,"")</f>
        <v/>
      </c>
      <c r="L309" s="32" t="str">
        <f t="shared" si="203"/>
        <v/>
      </c>
      <c r="M309" s="32" t="str">
        <f t="shared" si="199"/>
        <v/>
      </c>
      <c r="N309" s="32" t="str">
        <f t="shared" si="200"/>
        <v/>
      </c>
      <c r="O309" s="32" t="str">
        <f t="shared" si="216"/>
        <v/>
      </c>
      <c r="P309" s="32" t="str">
        <f t="shared" si="204"/>
        <v/>
      </c>
      <c r="Q309" s="32" t="str">
        <f t="shared" si="205"/>
        <v/>
      </c>
      <c r="R309" s="32" t="str">
        <f t="shared" si="217"/>
        <v/>
      </c>
      <c r="S309" s="24" t="str">
        <f t="shared" si="218"/>
        <v/>
      </c>
      <c r="T309" s="24" t="str">
        <f t="shared" si="219"/>
        <v/>
      </c>
      <c r="U309" s="24" t="str">
        <f t="shared" si="220"/>
        <v/>
      </c>
      <c r="V309" s="24" t="str">
        <f t="shared" si="221"/>
        <v/>
      </c>
      <c r="W309" s="23" t="str">
        <f t="array" ref="W309">IFERROR(SMALL(IF(S$1:S$1000="BEGIN",ROW(S$1:S$1000)),ROW()-3),"")</f>
        <v/>
      </c>
      <c r="X309" s="23" t="str">
        <f t="array" ref="X309">IFERROR(SMALL(IF(T$1:T$1000="END",ROW(T$1:T$1000)),ROW()-3),"")</f>
        <v/>
      </c>
      <c r="Y309" s="33" t="str">
        <f t="array" ref="Y309">IF(ISNUMBER(W309),MAX(IF((B$4:B$1000&lt;=X309)*(B$4:B$1000&gt;=W309),I$4:I$1000, "")),"")</f>
        <v/>
      </c>
      <c r="Z309" s="33" t="str">
        <f t="shared" si="206"/>
        <v/>
      </c>
      <c r="AA309" s="32" t="str">
        <f t="shared" si="207"/>
        <v/>
      </c>
      <c r="AB309" s="32" t="str">
        <f t="shared" si="208"/>
        <v/>
      </c>
      <c r="AC309" s="32" t="str">
        <f t="shared" si="209"/>
        <v/>
      </c>
      <c r="AD309" s="32" t="str">
        <f t="shared" si="210"/>
        <v/>
      </c>
      <c r="AE309" s="34" t="str">
        <f t="shared" si="211"/>
        <v/>
      </c>
      <c r="AF309" s="32" t="str">
        <f t="shared" si="212"/>
        <v/>
      </c>
      <c r="AG309" s="32" t="str">
        <f t="shared" si="213"/>
        <v/>
      </c>
      <c r="AH309" s="32" t="str">
        <f t="shared" si="214"/>
        <v/>
      </c>
      <c r="AI309" s="35" t="str">
        <f t="shared" si="215"/>
        <v/>
      </c>
      <c r="AJ309" s="23" t="str">
        <f t="array" ref="AJ309">IFERROR(SMALL(IF(U$1:U$1000="BEGIN",ROW(U$1:U$1000)),ROW()-3),"")</f>
        <v/>
      </c>
      <c r="AK309" s="23" t="str">
        <f t="array" ref="AK309">IFERROR(SMALL(IF(V$1:V$1000="END",ROW(V$1:V$1000)),ROW()-3),"")</f>
        <v/>
      </c>
      <c r="AL309" s="24" t="str">
        <f t="array" ref="AL309">IF(AK309="","",MATCH(AM309,L:L,0))</f>
        <v/>
      </c>
      <c r="AM309" s="35">
        <f t="array" ref="AM309">MAX(IF((B$4:B$1000&lt;=AK309)*(B$4:B$1000&gt;=AJ309),L$4:L$1000, ""))</f>
        <v>0</v>
      </c>
      <c r="AN309" s="32" t="str">
        <f t="shared" si="222"/>
        <v/>
      </c>
      <c r="AO309" s="32" t="str">
        <f t="shared" si="223"/>
        <v/>
      </c>
      <c r="AP309" s="32" t="str">
        <f t="shared" si="224"/>
        <v/>
      </c>
      <c r="AQ309" s="32" t="str">
        <f t="shared" si="225"/>
        <v/>
      </c>
      <c r="AR309" s="32" t="str">
        <f t="shared" si="226"/>
        <v/>
      </c>
      <c r="AS309" s="32" t="str">
        <f t="shared" si="227"/>
        <v/>
      </c>
      <c r="AT309" s="32" t="str">
        <f t="shared" si="228"/>
        <v/>
      </c>
      <c r="AU309" s="34" t="str">
        <f t="shared" si="229"/>
        <v/>
      </c>
      <c r="AV309" s="32" t="str">
        <f t="shared" si="230"/>
        <v/>
      </c>
      <c r="AW309" s="32" t="str">
        <f t="shared" si="231"/>
        <v/>
      </c>
      <c r="AX309" s="32" t="str">
        <f t="shared" si="232"/>
        <v/>
      </c>
      <c r="AY309" s="32" t="str">
        <f t="shared" si="233"/>
        <v/>
      </c>
    </row>
    <row r="310" spans="1:51" x14ac:dyDescent="0.25">
      <c r="A310" s="24" t="str">
        <f t="shared" si="191"/>
        <v/>
      </c>
      <c r="B310" s="24" t="str">
        <f t="shared" si="201"/>
        <v/>
      </c>
      <c r="C310" s="32" t="str">
        <f t="shared" si="192"/>
        <v/>
      </c>
      <c r="D310" s="24" t="str">
        <f t="shared" si="193"/>
        <v/>
      </c>
      <c r="E310" s="24" t="str">
        <f t="shared" si="194"/>
        <v/>
      </c>
      <c r="F310" s="32" t="str">
        <f t="shared" si="195"/>
        <v/>
      </c>
      <c r="G310" s="32" t="str">
        <f t="shared" si="196"/>
        <v/>
      </c>
      <c r="H310" s="32" t="str">
        <f t="shared" ca="1" si="197"/>
        <v/>
      </c>
      <c r="I310" s="32" t="str">
        <f t="shared" ca="1" si="202"/>
        <v/>
      </c>
      <c r="J310" s="32" t="str">
        <f t="shared" si="198"/>
        <v/>
      </c>
      <c r="K310" s="32" t="str">
        <f>IF(ISNUMBER(A310),Profile!$V$25+Profile!$V$24*'Ri-Po'!C310,"")</f>
        <v/>
      </c>
      <c r="L310" s="32" t="str">
        <f t="shared" si="203"/>
        <v/>
      </c>
      <c r="M310" s="32" t="str">
        <f t="shared" si="199"/>
        <v/>
      </c>
      <c r="N310" s="32" t="str">
        <f t="shared" si="200"/>
        <v/>
      </c>
      <c r="O310" s="32" t="str">
        <f t="shared" si="216"/>
        <v/>
      </c>
      <c r="P310" s="32" t="str">
        <f t="shared" si="204"/>
        <v/>
      </c>
      <c r="Q310" s="32" t="str">
        <f t="shared" si="205"/>
        <v/>
      </c>
      <c r="R310" s="32" t="str">
        <f t="shared" si="217"/>
        <v/>
      </c>
      <c r="S310" s="24" t="str">
        <f t="shared" si="218"/>
        <v/>
      </c>
      <c r="T310" s="24" t="str">
        <f t="shared" si="219"/>
        <v/>
      </c>
      <c r="U310" s="24" t="str">
        <f t="shared" si="220"/>
        <v/>
      </c>
      <c r="V310" s="24" t="str">
        <f t="shared" si="221"/>
        <v/>
      </c>
      <c r="W310" s="23" t="str">
        <f t="array" ref="W310">IFERROR(SMALL(IF(S$1:S$1000="BEGIN",ROW(S$1:S$1000)),ROW()-3),"")</f>
        <v/>
      </c>
      <c r="X310" s="23" t="str">
        <f t="array" ref="X310">IFERROR(SMALL(IF(T$1:T$1000="END",ROW(T$1:T$1000)),ROW()-3),"")</f>
        <v/>
      </c>
      <c r="Y310" s="33" t="str">
        <f t="array" ref="Y310">IF(ISNUMBER(W310),MAX(IF((B$4:B$1000&lt;=X310)*(B$4:B$1000&gt;=W310),I$4:I$1000, "")),"")</f>
        <v/>
      </c>
      <c r="Z310" s="33" t="str">
        <f t="shared" si="206"/>
        <v/>
      </c>
      <c r="AA310" s="32" t="str">
        <f t="shared" si="207"/>
        <v/>
      </c>
      <c r="AB310" s="32" t="str">
        <f t="shared" si="208"/>
        <v/>
      </c>
      <c r="AC310" s="32" t="str">
        <f t="shared" si="209"/>
        <v/>
      </c>
      <c r="AD310" s="32" t="str">
        <f t="shared" si="210"/>
        <v/>
      </c>
      <c r="AE310" s="34" t="str">
        <f t="shared" si="211"/>
        <v/>
      </c>
      <c r="AF310" s="32" t="str">
        <f t="shared" si="212"/>
        <v/>
      </c>
      <c r="AG310" s="32" t="str">
        <f t="shared" si="213"/>
        <v/>
      </c>
      <c r="AH310" s="32" t="str">
        <f t="shared" si="214"/>
        <v/>
      </c>
      <c r="AI310" s="35" t="str">
        <f t="shared" si="215"/>
        <v/>
      </c>
      <c r="AJ310" s="23" t="str">
        <f t="array" ref="AJ310">IFERROR(SMALL(IF(U$1:U$1000="BEGIN",ROW(U$1:U$1000)),ROW()-3),"")</f>
        <v/>
      </c>
      <c r="AK310" s="23" t="str">
        <f t="array" ref="AK310">IFERROR(SMALL(IF(V$1:V$1000="END",ROW(V$1:V$1000)),ROW()-3),"")</f>
        <v/>
      </c>
      <c r="AL310" s="24" t="str">
        <f t="array" ref="AL310">IF(AK310="","",MATCH(AM310,L:L,0))</f>
        <v/>
      </c>
      <c r="AM310" s="35">
        <f t="array" ref="AM310">MAX(IF((B$4:B$1000&lt;=AK310)*(B$4:B$1000&gt;=AJ310),L$4:L$1000, ""))</f>
        <v>0</v>
      </c>
      <c r="AN310" s="32" t="str">
        <f t="shared" si="222"/>
        <v/>
      </c>
      <c r="AO310" s="32" t="str">
        <f t="shared" si="223"/>
        <v/>
      </c>
      <c r="AP310" s="32" t="str">
        <f t="shared" si="224"/>
        <v/>
      </c>
      <c r="AQ310" s="32" t="str">
        <f t="shared" si="225"/>
        <v/>
      </c>
      <c r="AR310" s="32" t="str">
        <f t="shared" si="226"/>
        <v/>
      </c>
      <c r="AS310" s="32" t="str">
        <f t="shared" si="227"/>
        <v/>
      </c>
      <c r="AT310" s="32" t="str">
        <f t="shared" si="228"/>
        <v/>
      </c>
      <c r="AU310" s="34" t="str">
        <f t="shared" si="229"/>
        <v/>
      </c>
      <c r="AV310" s="32" t="str">
        <f t="shared" si="230"/>
        <v/>
      </c>
      <c r="AW310" s="32" t="str">
        <f t="shared" si="231"/>
        <v/>
      </c>
      <c r="AX310" s="32" t="str">
        <f t="shared" si="232"/>
        <v/>
      </c>
      <c r="AY310" s="32" t="str">
        <f t="shared" si="233"/>
        <v/>
      </c>
    </row>
    <row r="311" spans="1:51" x14ac:dyDescent="0.25">
      <c r="A311" s="24" t="str">
        <f t="shared" si="191"/>
        <v/>
      </c>
      <c r="B311" s="24" t="str">
        <f t="shared" si="201"/>
        <v/>
      </c>
      <c r="C311" s="32" t="str">
        <f t="shared" si="192"/>
        <v/>
      </c>
      <c r="D311" s="24" t="str">
        <f t="shared" si="193"/>
        <v/>
      </c>
      <c r="E311" s="24" t="str">
        <f t="shared" si="194"/>
        <v/>
      </c>
      <c r="F311" s="32" t="str">
        <f t="shared" si="195"/>
        <v/>
      </c>
      <c r="G311" s="32" t="str">
        <f t="shared" si="196"/>
        <v/>
      </c>
      <c r="H311" s="32" t="str">
        <f t="shared" ca="1" si="197"/>
        <v/>
      </c>
      <c r="I311" s="32" t="str">
        <f t="shared" ca="1" si="202"/>
        <v/>
      </c>
      <c r="J311" s="32" t="str">
        <f t="shared" si="198"/>
        <v/>
      </c>
      <c r="K311" s="32" t="str">
        <f>IF(ISNUMBER(A311),Profile!$V$25+Profile!$V$24*'Ri-Po'!C311,"")</f>
        <v/>
      </c>
      <c r="L311" s="32" t="str">
        <f t="shared" si="203"/>
        <v/>
      </c>
      <c r="M311" s="32" t="str">
        <f t="shared" si="199"/>
        <v/>
      </c>
      <c r="N311" s="32" t="str">
        <f t="shared" si="200"/>
        <v/>
      </c>
      <c r="O311" s="32" t="str">
        <f t="shared" si="216"/>
        <v/>
      </c>
      <c r="P311" s="32" t="str">
        <f t="shared" si="204"/>
        <v/>
      </c>
      <c r="Q311" s="32" t="str">
        <f t="shared" si="205"/>
        <v/>
      </c>
      <c r="R311" s="32" t="str">
        <f t="shared" si="217"/>
        <v/>
      </c>
      <c r="S311" s="24" t="str">
        <f t="shared" si="218"/>
        <v/>
      </c>
      <c r="T311" s="24" t="str">
        <f t="shared" si="219"/>
        <v/>
      </c>
      <c r="U311" s="24" t="str">
        <f t="shared" si="220"/>
        <v/>
      </c>
      <c r="V311" s="24" t="str">
        <f t="shared" si="221"/>
        <v/>
      </c>
      <c r="W311" s="23" t="str">
        <f t="array" ref="W311">IFERROR(SMALL(IF(S$1:S$1000="BEGIN",ROW(S$1:S$1000)),ROW()-3),"")</f>
        <v/>
      </c>
      <c r="X311" s="23" t="str">
        <f t="array" ref="X311">IFERROR(SMALL(IF(T$1:T$1000="END",ROW(T$1:T$1000)),ROW()-3),"")</f>
        <v/>
      </c>
      <c r="Y311" s="33" t="str">
        <f t="array" ref="Y311">IF(ISNUMBER(W311),MAX(IF((B$4:B$1000&lt;=X311)*(B$4:B$1000&gt;=W311),I$4:I$1000, "")),"")</f>
        <v/>
      </c>
      <c r="Z311" s="33" t="str">
        <f t="shared" si="206"/>
        <v/>
      </c>
      <c r="AA311" s="32" t="str">
        <f t="shared" si="207"/>
        <v/>
      </c>
      <c r="AB311" s="32" t="str">
        <f t="shared" si="208"/>
        <v/>
      </c>
      <c r="AC311" s="32" t="str">
        <f t="shared" si="209"/>
        <v/>
      </c>
      <c r="AD311" s="32" t="str">
        <f t="shared" si="210"/>
        <v/>
      </c>
      <c r="AE311" s="34" t="str">
        <f t="shared" si="211"/>
        <v/>
      </c>
      <c r="AF311" s="32" t="str">
        <f t="shared" si="212"/>
        <v/>
      </c>
      <c r="AG311" s="32" t="str">
        <f t="shared" si="213"/>
        <v/>
      </c>
      <c r="AH311" s="32" t="str">
        <f t="shared" si="214"/>
        <v/>
      </c>
      <c r="AI311" s="35" t="str">
        <f t="shared" si="215"/>
        <v/>
      </c>
      <c r="AJ311" s="23" t="str">
        <f t="array" ref="AJ311">IFERROR(SMALL(IF(U$1:U$1000="BEGIN",ROW(U$1:U$1000)),ROW()-3),"")</f>
        <v/>
      </c>
      <c r="AK311" s="23" t="str">
        <f t="array" ref="AK311">IFERROR(SMALL(IF(V$1:V$1000="END",ROW(V$1:V$1000)),ROW()-3),"")</f>
        <v/>
      </c>
      <c r="AL311" s="24" t="str">
        <f t="array" ref="AL311">IF(AK311="","",MATCH(AM311,L:L,0))</f>
        <v/>
      </c>
      <c r="AM311" s="35">
        <f t="array" ref="AM311">MAX(IF((B$4:B$1000&lt;=AK311)*(B$4:B$1000&gt;=AJ311),L$4:L$1000, ""))</f>
        <v>0</v>
      </c>
      <c r="AN311" s="32" t="str">
        <f t="shared" si="222"/>
        <v/>
      </c>
      <c r="AO311" s="32" t="str">
        <f t="shared" si="223"/>
        <v/>
      </c>
      <c r="AP311" s="32" t="str">
        <f t="shared" si="224"/>
        <v/>
      </c>
      <c r="AQ311" s="32" t="str">
        <f t="shared" si="225"/>
        <v/>
      </c>
      <c r="AR311" s="32" t="str">
        <f t="shared" si="226"/>
        <v/>
      </c>
      <c r="AS311" s="32" t="str">
        <f t="shared" si="227"/>
        <v/>
      </c>
      <c r="AT311" s="32" t="str">
        <f t="shared" si="228"/>
        <v/>
      </c>
      <c r="AU311" s="34" t="str">
        <f t="shared" si="229"/>
        <v/>
      </c>
      <c r="AV311" s="32" t="str">
        <f t="shared" si="230"/>
        <v/>
      </c>
      <c r="AW311" s="32" t="str">
        <f t="shared" si="231"/>
        <v/>
      </c>
      <c r="AX311" s="32" t="str">
        <f t="shared" si="232"/>
        <v/>
      </c>
      <c r="AY311" s="32" t="str">
        <f t="shared" si="233"/>
        <v/>
      </c>
    </row>
    <row r="312" spans="1:51" x14ac:dyDescent="0.25">
      <c r="A312" s="24" t="str">
        <f t="shared" si="191"/>
        <v/>
      </c>
      <c r="B312" s="24" t="str">
        <f t="shared" si="201"/>
        <v/>
      </c>
      <c r="C312" s="32" t="str">
        <f t="shared" si="192"/>
        <v/>
      </c>
      <c r="D312" s="24" t="str">
        <f t="shared" si="193"/>
        <v/>
      </c>
      <c r="E312" s="24" t="str">
        <f t="shared" si="194"/>
        <v/>
      </c>
      <c r="F312" s="32" t="str">
        <f t="shared" si="195"/>
        <v/>
      </c>
      <c r="G312" s="32" t="str">
        <f t="shared" si="196"/>
        <v/>
      </c>
      <c r="H312" s="32" t="str">
        <f t="shared" ca="1" si="197"/>
        <v/>
      </c>
      <c r="I312" s="32" t="str">
        <f t="shared" ca="1" si="202"/>
        <v/>
      </c>
      <c r="J312" s="32" t="str">
        <f t="shared" si="198"/>
        <v/>
      </c>
      <c r="K312" s="32" t="str">
        <f>IF(ISNUMBER(A312),Profile!$V$25+Profile!$V$24*'Ri-Po'!C312,"")</f>
        <v/>
      </c>
      <c r="L312" s="32" t="str">
        <f t="shared" si="203"/>
        <v/>
      </c>
      <c r="M312" s="32" t="str">
        <f t="shared" si="199"/>
        <v/>
      </c>
      <c r="N312" s="32" t="str">
        <f t="shared" si="200"/>
        <v/>
      </c>
      <c r="O312" s="32" t="str">
        <f t="shared" si="216"/>
        <v/>
      </c>
      <c r="P312" s="32" t="str">
        <f t="shared" si="204"/>
        <v/>
      </c>
      <c r="Q312" s="32" t="str">
        <f t="shared" si="205"/>
        <v/>
      </c>
      <c r="R312" s="32" t="str">
        <f t="shared" si="217"/>
        <v/>
      </c>
      <c r="S312" s="24" t="str">
        <f t="shared" si="218"/>
        <v/>
      </c>
      <c r="T312" s="24" t="str">
        <f t="shared" si="219"/>
        <v/>
      </c>
      <c r="U312" s="24" t="str">
        <f t="shared" si="220"/>
        <v/>
      </c>
      <c r="V312" s="24" t="str">
        <f t="shared" si="221"/>
        <v/>
      </c>
      <c r="W312" s="23" t="str">
        <f t="array" ref="W312">IFERROR(SMALL(IF(S$1:S$1000="BEGIN",ROW(S$1:S$1000)),ROW()-3),"")</f>
        <v/>
      </c>
      <c r="X312" s="23" t="str">
        <f t="array" ref="X312">IFERROR(SMALL(IF(T$1:T$1000="END",ROW(T$1:T$1000)),ROW()-3),"")</f>
        <v/>
      </c>
      <c r="Y312" s="33" t="str">
        <f t="array" ref="Y312">IF(ISNUMBER(W312),MAX(IF((B$4:B$1000&lt;=X312)*(B$4:B$1000&gt;=W312),I$4:I$1000, "")),"")</f>
        <v/>
      </c>
      <c r="Z312" s="33" t="str">
        <f t="shared" si="206"/>
        <v/>
      </c>
      <c r="AA312" s="32" t="str">
        <f t="shared" si="207"/>
        <v/>
      </c>
      <c r="AB312" s="32" t="str">
        <f t="shared" si="208"/>
        <v/>
      </c>
      <c r="AC312" s="32" t="str">
        <f t="shared" si="209"/>
        <v/>
      </c>
      <c r="AD312" s="32" t="str">
        <f t="shared" si="210"/>
        <v/>
      </c>
      <c r="AE312" s="34" t="str">
        <f t="shared" si="211"/>
        <v/>
      </c>
      <c r="AF312" s="32" t="str">
        <f t="shared" si="212"/>
        <v/>
      </c>
      <c r="AG312" s="32" t="str">
        <f t="shared" si="213"/>
        <v/>
      </c>
      <c r="AH312" s="32" t="str">
        <f t="shared" si="214"/>
        <v/>
      </c>
      <c r="AI312" s="35" t="str">
        <f t="shared" si="215"/>
        <v/>
      </c>
      <c r="AJ312" s="23" t="str">
        <f t="array" ref="AJ312">IFERROR(SMALL(IF(U$1:U$1000="BEGIN",ROW(U$1:U$1000)),ROW()-3),"")</f>
        <v/>
      </c>
      <c r="AK312" s="23" t="str">
        <f t="array" ref="AK312">IFERROR(SMALL(IF(V$1:V$1000="END",ROW(V$1:V$1000)),ROW()-3),"")</f>
        <v/>
      </c>
      <c r="AL312" s="24" t="str">
        <f t="array" ref="AL312">IF(AK312="","",MATCH(AM312,L:L,0))</f>
        <v/>
      </c>
      <c r="AM312" s="35">
        <f t="array" ref="AM312">MAX(IF((B$4:B$1000&lt;=AK312)*(B$4:B$1000&gt;=AJ312),L$4:L$1000, ""))</f>
        <v>0</v>
      </c>
      <c r="AN312" s="32" t="str">
        <f t="shared" si="222"/>
        <v/>
      </c>
      <c r="AO312" s="32" t="str">
        <f t="shared" si="223"/>
        <v/>
      </c>
      <c r="AP312" s="32" t="str">
        <f t="shared" si="224"/>
        <v/>
      </c>
      <c r="AQ312" s="32" t="str">
        <f t="shared" si="225"/>
        <v/>
      </c>
      <c r="AR312" s="32" t="str">
        <f t="shared" si="226"/>
        <v/>
      </c>
      <c r="AS312" s="32" t="str">
        <f t="shared" si="227"/>
        <v/>
      </c>
      <c r="AT312" s="32" t="str">
        <f t="shared" si="228"/>
        <v/>
      </c>
      <c r="AU312" s="34" t="str">
        <f t="shared" si="229"/>
        <v/>
      </c>
      <c r="AV312" s="32" t="str">
        <f t="shared" si="230"/>
        <v/>
      </c>
      <c r="AW312" s="32" t="str">
        <f t="shared" si="231"/>
        <v/>
      </c>
      <c r="AX312" s="32" t="str">
        <f t="shared" si="232"/>
        <v/>
      </c>
      <c r="AY312" s="32" t="str">
        <f t="shared" si="233"/>
        <v/>
      </c>
    </row>
    <row r="313" spans="1:51" x14ac:dyDescent="0.25">
      <c r="A313" s="24" t="str">
        <f t="shared" si="191"/>
        <v/>
      </c>
      <c r="B313" s="24" t="str">
        <f t="shared" si="201"/>
        <v/>
      </c>
      <c r="C313" s="32" t="str">
        <f t="shared" si="192"/>
        <v/>
      </c>
      <c r="D313" s="24" t="str">
        <f t="shared" si="193"/>
        <v/>
      </c>
      <c r="E313" s="24" t="str">
        <f t="shared" si="194"/>
        <v/>
      </c>
      <c r="F313" s="32" t="str">
        <f t="shared" si="195"/>
        <v/>
      </c>
      <c r="G313" s="32" t="str">
        <f t="shared" si="196"/>
        <v/>
      </c>
      <c r="H313" s="32" t="str">
        <f t="shared" ca="1" si="197"/>
        <v/>
      </c>
      <c r="I313" s="32" t="str">
        <f t="shared" ca="1" si="202"/>
        <v/>
      </c>
      <c r="J313" s="32" t="str">
        <f t="shared" si="198"/>
        <v/>
      </c>
      <c r="K313" s="32" t="str">
        <f>IF(ISNUMBER(A313),Profile!$V$25+Profile!$V$24*'Ri-Po'!C313,"")</f>
        <v/>
      </c>
      <c r="L313" s="32" t="str">
        <f t="shared" si="203"/>
        <v/>
      </c>
      <c r="M313" s="32" t="str">
        <f t="shared" si="199"/>
        <v/>
      </c>
      <c r="N313" s="32" t="str">
        <f t="shared" si="200"/>
        <v/>
      </c>
      <c r="O313" s="32" t="str">
        <f t="shared" si="216"/>
        <v/>
      </c>
      <c r="P313" s="32" t="str">
        <f t="shared" si="204"/>
        <v/>
      </c>
      <c r="Q313" s="32" t="str">
        <f t="shared" si="205"/>
        <v/>
      </c>
      <c r="R313" s="32" t="str">
        <f t="shared" si="217"/>
        <v/>
      </c>
      <c r="S313" s="24" t="str">
        <f t="shared" si="218"/>
        <v/>
      </c>
      <c r="T313" s="24" t="str">
        <f t="shared" si="219"/>
        <v/>
      </c>
      <c r="U313" s="24" t="str">
        <f t="shared" si="220"/>
        <v/>
      </c>
      <c r="V313" s="24" t="str">
        <f t="shared" si="221"/>
        <v/>
      </c>
      <c r="W313" s="23" t="str">
        <f t="array" ref="W313">IFERROR(SMALL(IF(S$1:S$1000="BEGIN",ROW(S$1:S$1000)),ROW()-3),"")</f>
        <v/>
      </c>
      <c r="X313" s="23" t="str">
        <f t="array" ref="X313">IFERROR(SMALL(IF(T$1:T$1000="END",ROW(T$1:T$1000)),ROW()-3),"")</f>
        <v/>
      </c>
      <c r="Y313" s="33" t="str">
        <f t="array" ref="Y313">IF(ISNUMBER(W313),MAX(IF((B$4:B$1000&lt;=X313)*(B$4:B$1000&gt;=W313),I$4:I$1000, "")),"")</f>
        <v/>
      </c>
      <c r="Z313" s="33" t="str">
        <f t="shared" si="206"/>
        <v/>
      </c>
      <c r="AA313" s="32" t="str">
        <f t="shared" si="207"/>
        <v/>
      </c>
      <c r="AB313" s="32" t="str">
        <f t="shared" si="208"/>
        <v/>
      </c>
      <c r="AC313" s="32" t="str">
        <f t="shared" si="209"/>
        <v/>
      </c>
      <c r="AD313" s="32" t="str">
        <f t="shared" si="210"/>
        <v/>
      </c>
      <c r="AE313" s="34" t="str">
        <f t="shared" si="211"/>
        <v/>
      </c>
      <c r="AF313" s="32" t="str">
        <f t="shared" si="212"/>
        <v/>
      </c>
      <c r="AG313" s="32" t="str">
        <f t="shared" si="213"/>
        <v/>
      </c>
      <c r="AH313" s="32" t="str">
        <f t="shared" si="214"/>
        <v/>
      </c>
      <c r="AI313" s="35" t="str">
        <f t="shared" si="215"/>
        <v/>
      </c>
      <c r="AJ313" s="23" t="str">
        <f t="array" ref="AJ313">IFERROR(SMALL(IF(U$1:U$1000="BEGIN",ROW(U$1:U$1000)),ROW()-3),"")</f>
        <v/>
      </c>
      <c r="AK313" s="23" t="str">
        <f t="array" ref="AK313">IFERROR(SMALL(IF(V$1:V$1000="END",ROW(V$1:V$1000)),ROW()-3),"")</f>
        <v/>
      </c>
      <c r="AL313" s="24" t="str">
        <f t="array" ref="AL313">IF(AK313="","",MATCH(AM313,L:L,0))</f>
        <v/>
      </c>
      <c r="AM313" s="35">
        <f t="array" ref="AM313">MAX(IF((B$4:B$1000&lt;=AK313)*(B$4:B$1000&gt;=AJ313),L$4:L$1000, ""))</f>
        <v>0</v>
      </c>
      <c r="AN313" s="32" t="str">
        <f t="shared" si="222"/>
        <v/>
      </c>
      <c r="AO313" s="32" t="str">
        <f t="shared" si="223"/>
        <v/>
      </c>
      <c r="AP313" s="32" t="str">
        <f t="shared" si="224"/>
        <v/>
      </c>
      <c r="AQ313" s="32" t="str">
        <f t="shared" si="225"/>
        <v/>
      </c>
      <c r="AR313" s="32" t="str">
        <f t="shared" si="226"/>
        <v/>
      </c>
      <c r="AS313" s="32" t="str">
        <f t="shared" si="227"/>
        <v/>
      </c>
      <c r="AT313" s="32" t="str">
        <f t="shared" si="228"/>
        <v/>
      </c>
      <c r="AU313" s="34" t="str">
        <f t="shared" si="229"/>
        <v/>
      </c>
      <c r="AV313" s="32" t="str">
        <f t="shared" si="230"/>
        <v/>
      </c>
      <c r="AW313" s="32" t="str">
        <f t="shared" si="231"/>
        <v/>
      </c>
      <c r="AX313" s="32" t="str">
        <f t="shared" si="232"/>
        <v/>
      </c>
      <c r="AY313" s="32" t="str">
        <f t="shared" si="233"/>
        <v/>
      </c>
    </row>
    <row r="314" spans="1:51" x14ac:dyDescent="0.25">
      <c r="A314" s="24" t="str">
        <f t="shared" si="191"/>
        <v/>
      </c>
      <c r="B314" s="24" t="str">
        <f t="shared" si="201"/>
        <v/>
      </c>
      <c r="C314" s="32" t="str">
        <f t="shared" si="192"/>
        <v/>
      </c>
      <c r="D314" s="24" t="str">
        <f t="shared" si="193"/>
        <v/>
      </c>
      <c r="E314" s="24" t="str">
        <f t="shared" si="194"/>
        <v/>
      </c>
      <c r="F314" s="32" t="str">
        <f t="shared" si="195"/>
        <v/>
      </c>
      <c r="G314" s="32" t="str">
        <f t="shared" si="196"/>
        <v/>
      </c>
      <c r="H314" s="32" t="str">
        <f t="shared" ca="1" si="197"/>
        <v/>
      </c>
      <c r="I314" s="32" t="str">
        <f t="shared" ca="1" si="202"/>
        <v/>
      </c>
      <c r="J314" s="32" t="str">
        <f t="shared" si="198"/>
        <v/>
      </c>
      <c r="K314" s="32" t="str">
        <f>IF(ISNUMBER(A314),Profile!$V$25+Profile!$V$24*'Ri-Po'!C314,"")</f>
        <v/>
      </c>
      <c r="L314" s="32" t="str">
        <f t="shared" si="203"/>
        <v/>
      </c>
      <c r="M314" s="32" t="str">
        <f t="shared" si="199"/>
        <v/>
      </c>
      <c r="N314" s="32" t="str">
        <f t="shared" si="200"/>
        <v/>
      </c>
      <c r="O314" s="32" t="str">
        <f t="shared" si="216"/>
        <v/>
      </c>
      <c r="P314" s="32" t="str">
        <f t="shared" si="204"/>
        <v/>
      </c>
      <c r="Q314" s="32" t="str">
        <f t="shared" si="205"/>
        <v/>
      </c>
      <c r="R314" s="32" t="str">
        <f t="shared" si="217"/>
        <v/>
      </c>
      <c r="S314" s="24" t="str">
        <f t="shared" si="218"/>
        <v/>
      </c>
      <c r="T314" s="24" t="str">
        <f t="shared" si="219"/>
        <v/>
      </c>
      <c r="U314" s="24" t="str">
        <f t="shared" si="220"/>
        <v/>
      </c>
      <c r="V314" s="24" t="str">
        <f t="shared" si="221"/>
        <v/>
      </c>
      <c r="W314" s="23" t="str">
        <f t="array" ref="W314">IFERROR(SMALL(IF(S$1:S$1000="BEGIN",ROW(S$1:S$1000)),ROW()-3),"")</f>
        <v/>
      </c>
      <c r="X314" s="23" t="str">
        <f t="array" ref="X314">IFERROR(SMALL(IF(T$1:T$1000="END",ROW(T$1:T$1000)),ROW()-3),"")</f>
        <v/>
      </c>
      <c r="Y314" s="33" t="str">
        <f t="array" ref="Y314">IF(ISNUMBER(W314),MAX(IF((B$4:B$1000&lt;=X314)*(B$4:B$1000&gt;=W314),I$4:I$1000, "")),"")</f>
        <v/>
      </c>
      <c r="Z314" s="33" t="str">
        <f t="shared" si="206"/>
        <v/>
      </c>
      <c r="AA314" s="32" t="str">
        <f t="shared" si="207"/>
        <v/>
      </c>
      <c r="AB314" s="32" t="str">
        <f t="shared" si="208"/>
        <v/>
      </c>
      <c r="AC314" s="32" t="str">
        <f t="shared" si="209"/>
        <v/>
      </c>
      <c r="AD314" s="32" t="str">
        <f t="shared" si="210"/>
        <v/>
      </c>
      <c r="AE314" s="34" t="str">
        <f t="shared" si="211"/>
        <v/>
      </c>
      <c r="AF314" s="32" t="str">
        <f t="shared" si="212"/>
        <v/>
      </c>
      <c r="AG314" s="32" t="str">
        <f t="shared" si="213"/>
        <v/>
      </c>
      <c r="AH314" s="32" t="str">
        <f t="shared" si="214"/>
        <v/>
      </c>
      <c r="AI314" s="35" t="str">
        <f t="shared" si="215"/>
        <v/>
      </c>
      <c r="AJ314" s="23" t="str">
        <f t="array" ref="AJ314">IFERROR(SMALL(IF(U$1:U$1000="BEGIN",ROW(U$1:U$1000)),ROW()-3),"")</f>
        <v/>
      </c>
      <c r="AK314" s="23" t="str">
        <f t="array" ref="AK314">IFERROR(SMALL(IF(V$1:V$1000="END",ROW(V$1:V$1000)),ROW()-3),"")</f>
        <v/>
      </c>
      <c r="AL314" s="24" t="str">
        <f t="array" ref="AL314">IF(AK314="","",MATCH(AM314,L:L,0))</f>
        <v/>
      </c>
      <c r="AM314" s="35">
        <f t="array" ref="AM314">MAX(IF((B$4:B$1000&lt;=AK314)*(B$4:B$1000&gt;=AJ314),L$4:L$1000, ""))</f>
        <v>0</v>
      </c>
      <c r="AN314" s="32" t="str">
        <f t="shared" si="222"/>
        <v/>
      </c>
      <c r="AO314" s="32" t="str">
        <f t="shared" si="223"/>
        <v/>
      </c>
      <c r="AP314" s="32" t="str">
        <f t="shared" si="224"/>
        <v/>
      </c>
      <c r="AQ314" s="32" t="str">
        <f t="shared" si="225"/>
        <v/>
      </c>
      <c r="AR314" s="32" t="str">
        <f t="shared" si="226"/>
        <v/>
      </c>
      <c r="AS314" s="32" t="str">
        <f t="shared" si="227"/>
        <v/>
      </c>
      <c r="AT314" s="32" t="str">
        <f t="shared" si="228"/>
        <v/>
      </c>
      <c r="AU314" s="34" t="str">
        <f t="shared" si="229"/>
        <v/>
      </c>
      <c r="AV314" s="32" t="str">
        <f t="shared" si="230"/>
        <v/>
      </c>
      <c r="AW314" s="32" t="str">
        <f t="shared" si="231"/>
        <v/>
      </c>
      <c r="AX314" s="32" t="str">
        <f t="shared" si="232"/>
        <v/>
      </c>
      <c r="AY314" s="32" t="str">
        <f t="shared" si="233"/>
        <v/>
      </c>
    </row>
    <row r="315" spans="1:51" x14ac:dyDescent="0.25">
      <c r="A315" s="24" t="str">
        <f t="shared" si="191"/>
        <v/>
      </c>
      <c r="B315" s="24" t="str">
        <f t="shared" si="201"/>
        <v/>
      </c>
      <c r="C315" s="32" t="str">
        <f t="shared" si="192"/>
        <v/>
      </c>
      <c r="D315" s="24" t="str">
        <f t="shared" si="193"/>
        <v/>
      </c>
      <c r="E315" s="24" t="str">
        <f t="shared" si="194"/>
        <v/>
      </c>
      <c r="F315" s="32" t="str">
        <f t="shared" si="195"/>
        <v/>
      </c>
      <c r="G315" s="32" t="str">
        <f t="shared" si="196"/>
        <v/>
      </c>
      <c r="H315" s="32" t="str">
        <f t="shared" ca="1" si="197"/>
        <v/>
      </c>
      <c r="I315" s="32" t="str">
        <f t="shared" ca="1" si="202"/>
        <v/>
      </c>
      <c r="J315" s="32" t="str">
        <f t="shared" si="198"/>
        <v/>
      </c>
      <c r="K315" s="32" t="str">
        <f>IF(ISNUMBER(A315),Profile!$V$25+Profile!$V$24*'Ri-Po'!C315,"")</f>
        <v/>
      </c>
      <c r="L315" s="32" t="str">
        <f t="shared" si="203"/>
        <v/>
      </c>
      <c r="M315" s="32" t="str">
        <f t="shared" si="199"/>
        <v/>
      </c>
      <c r="N315" s="32" t="str">
        <f t="shared" si="200"/>
        <v/>
      </c>
      <c r="O315" s="32" t="str">
        <f t="shared" si="216"/>
        <v/>
      </c>
      <c r="P315" s="32" t="str">
        <f t="shared" si="204"/>
        <v/>
      </c>
      <c r="Q315" s="32" t="str">
        <f t="shared" si="205"/>
        <v/>
      </c>
      <c r="R315" s="32" t="str">
        <f t="shared" si="217"/>
        <v/>
      </c>
      <c r="S315" s="24" t="str">
        <f t="shared" si="218"/>
        <v/>
      </c>
      <c r="T315" s="24" t="str">
        <f t="shared" si="219"/>
        <v/>
      </c>
      <c r="U315" s="24" t="str">
        <f t="shared" si="220"/>
        <v/>
      </c>
      <c r="V315" s="24" t="str">
        <f t="shared" si="221"/>
        <v/>
      </c>
      <c r="W315" s="23" t="str">
        <f t="array" ref="W315">IFERROR(SMALL(IF(S$1:S$1000="BEGIN",ROW(S$1:S$1000)),ROW()-3),"")</f>
        <v/>
      </c>
      <c r="X315" s="23" t="str">
        <f t="array" ref="X315">IFERROR(SMALL(IF(T$1:T$1000="END",ROW(T$1:T$1000)),ROW()-3),"")</f>
        <v/>
      </c>
      <c r="Y315" s="33" t="str">
        <f t="array" ref="Y315">IF(ISNUMBER(W315),MAX(IF((B$4:B$1000&lt;=X315)*(B$4:B$1000&gt;=W315),I$4:I$1000, "")),"")</f>
        <v/>
      </c>
      <c r="Z315" s="33" t="str">
        <f t="shared" si="206"/>
        <v/>
      </c>
      <c r="AA315" s="32" t="str">
        <f t="shared" si="207"/>
        <v/>
      </c>
      <c r="AB315" s="32" t="str">
        <f t="shared" si="208"/>
        <v/>
      </c>
      <c r="AC315" s="32" t="str">
        <f t="shared" si="209"/>
        <v/>
      </c>
      <c r="AD315" s="32" t="str">
        <f t="shared" si="210"/>
        <v/>
      </c>
      <c r="AE315" s="34" t="str">
        <f t="shared" si="211"/>
        <v/>
      </c>
      <c r="AF315" s="32" t="str">
        <f t="shared" si="212"/>
        <v/>
      </c>
      <c r="AG315" s="32" t="str">
        <f t="shared" si="213"/>
        <v/>
      </c>
      <c r="AH315" s="32" t="str">
        <f t="shared" si="214"/>
        <v/>
      </c>
      <c r="AI315" s="35" t="str">
        <f t="shared" si="215"/>
        <v/>
      </c>
      <c r="AJ315" s="23" t="str">
        <f t="array" ref="AJ315">IFERROR(SMALL(IF(U$1:U$1000="BEGIN",ROW(U$1:U$1000)),ROW()-3),"")</f>
        <v/>
      </c>
      <c r="AK315" s="23" t="str">
        <f t="array" ref="AK315">IFERROR(SMALL(IF(V$1:V$1000="END",ROW(V$1:V$1000)),ROW()-3),"")</f>
        <v/>
      </c>
      <c r="AL315" s="24" t="str">
        <f t="array" ref="AL315">IF(AK315="","",MATCH(AM315,L:L,0))</f>
        <v/>
      </c>
      <c r="AM315" s="35">
        <f t="array" ref="AM315">MAX(IF((B$4:B$1000&lt;=AK315)*(B$4:B$1000&gt;=AJ315),L$4:L$1000, ""))</f>
        <v>0</v>
      </c>
      <c r="AN315" s="32" t="str">
        <f t="shared" si="222"/>
        <v/>
      </c>
      <c r="AO315" s="32" t="str">
        <f t="shared" si="223"/>
        <v/>
      </c>
      <c r="AP315" s="32" t="str">
        <f t="shared" si="224"/>
        <v/>
      </c>
      <c r="AQ315" s="32" t="str">
        <f t="shared" si="225"/>
        <v/>
      </c>
      <c r="AR315" s="32" t="str">
        <f t="shared" si="226"/>
        <v/>
      </c>
      <c r="AS315" s="32" t="str">
        <f t="shared" si="227"/>
        <v/>
      </c>
      <c r="AT315" s="32" t="str">
        <f t="shared" si="228"/>
        <v/>
      </c>
      <c r="AU315" s="34" t="str">
        <f t="shared" si="229"/>
        <v/>
      </c>
      <c r="AV315" s="32" t="str">
        <f t="shared" si="230"/>
        <v/>
      </c>
      <c r="AW315" s="32" t="str">
        <f t="shared" si="231"/>
        <v/>
      </c>
      <c r="AX315" s="32" t="str">
        <f t="shared" si="232"/>
        <v/>
      </c>
      <c r="AY315" s="32" t="str">
        <f t="shared" si="233"/>
        <v/>
      </c>
    </row>
    <row r="316" spans="1:51" x14ac:dyDescent="0.25">
      <c r="A316" s="24" t="str">
        <f t="shared" si="191"/>
        <v/>
      </c>
      <c r="B316" s="24" t="str">
        <f t="shared" si="201"/>
        <v/>
      </c>
      <c r="C316" s="32" t="str">
        <f t="shared" si="192"/>
        <v/>
      </c>
      <c r="D316" s="24" t="str">
        <f t="shared" si="193"/>
        <v/>
      </c>
      <c r="E316" s="24" t="str">
        <f t="shared" si="194"/>
        <v/>
      </c>
      <c r="F316" s="32" t="str">
        <f t="shared" si="195"/>
        <v/>
      </c>
      <c r="G316" s="32" t="str">
        <f t="shared" si="196"/>
        <v/>
      </c>
      <c r="H316" s="32" t="str">
        <f t="shared" ca="1" si="197"/>
        <v/>
      </c>
      <c r="I316" s="32" t="str">
        <f t="shared" ca="1" si="202"/>
        <v/>
      </c>
      <c r="J316" s="32" t="str">
        <f t="shared" si="198"/>
        <v/>
      </c>
      <c r="K316" s="32" t="str">
        <f>IF(ISNUMBER(A316),Profile!$V$25+Profile!$V$24*'Ri-Po'!C316,"")</f>
        <v/>
      </c>
      <c r="L316" s="32" t="str">
        <f t="shared" si="203"/>
        <v/>
      </c>
      <c r="M316" s="32" t="str">
        <f t="shared" si="199"/>
        <v/>
      </c>
      <c r="N316" s="32" t="str">
        <f t="shared" si="200"/>
        <v/>
      </c>
      <c r="O316" s="32" t="str">
        <f t="shared" si="216"/>
        <v/>
      </c>
      <c r="P316" s="32" t="str">
        <f t="shared" si="204"/>
        <v/>
      </c>
      <c r="Q316" s="32" t="str">
        <f t="shared" si="205"/>
        <v/>
      </c>
      <c r="R316" s="32" t="str">
        <f t="shared" si="217"/>
        <v/>
      </c>
      <c r="S316" s="24" t="str">
        <f t="shared" si="218"/>
        <v/>
      </c>
      <c r="T316" s="24" t="str">
        <f t="shared" si="219"/>
        <v/>
      </c>
      <c r="U316" s="24" t="str">
        <f t="shared" si="220"/>
        <v/>
      </c>
      <c r="V316" s="24" t="str">
        <f t="shared" si="221"/>
        <v/>
      </c>
      <c r="W316" s="23" t="str">
        <f t="array" ref="W316">IFERROR(SMALL(IF(S$1:S$1000="BEGIN",ROW(S$1:S$1000)),ROW()-3),"")</f>
        <v/>
      </c>
      <c r="X316" s="23" t="str">
        <f t="array" ref="X316">IFERROR(SMALL(IF(T$1:T$1000="END",ROW(T$1:T$1000)),ROW()-3),"")</f>
        <v/>
      </c>
      <c r="Y316" s="33" t="str">
        <f t="array" ref="Y316">IF(ISNUMBER(W316),MAX(IF((B$4:B$1000&lt;=X316)*(B$4:B$1000&gt;=W316),I$4:I$1000, "")),"")</f>
        <v/>
      </c>
      <c r="Z316" s="33" t="str">
        <f t="shared" si="206"/>
        <v/>
      </c>
      <c r="AA316" s="32" t="str">
        <f t="shared" si="207"/>
        <v/>
      </c>
      <c r="AB316" s="32" t="str">
        <f t="shared" si="208"/>
        <v/>
      </c>
      <c r="AC316" s="32" t="str">
        <f t="shared" si="209"/>
        <v/>
      </c>
      <c r="AD316" s="32" t="str">
        <f t="shared" si="210"/>
        <v/>
      </c>
      <c r="AE316" s="34" t="str">
        <f t="shared" si="211"/>
        <v/>
      </c>
      <c r="AF316" s="32" t="str">
        <f t="shared" si="212"/>
        <v/>
      </c>
      <c r="AG316" s="32" t="str">
        <f t="shared" si="213"/>
        <v/>
      </c>
      <c r="AH316" s="32" t="str">
        <f t="shared" si="214"/>
        <v/>
      </c>
      <c r="AI316" s="35" t="str">
        <f t="shared" si="215"/>
        <v/>
      </c>
      <c r="AJ316" s="23" t="str">
        <f t="array" ref="AJ316">IFERROR(SMALL(IF(U$1:U$1000="BEGIN",ROW(U$1:U$1000)),ROW()-3),"")</f>
        <v/>
      </c>
      <c r="AK316" s="23" t="str">
        <f t="array" ref="AK316">IFERROR(SMALL(IF(V$1:V$1000="END",ROW(V$1:V$1000)),ROW()-3),"")</f>
        <v/>
      </c>
      <c r="AL316" s="24" t="str">
        <f t="array" ref="AL316">IF(AK316="","",MATCH(AM316,L:L,0))</f>
        <v/>
      </c>
      <c r="AM316" s="35">
        <f t="array" ref="AM316">MAX(IF((B$4:B$1000&lt;=AK316)*(B$4:B$1000&gt;=AJ316),L$4:L$1000, ""))</f>
        <v>0</v>
      </c>
      <c r="AN316" s="32" t="str">
        <f t="shared" si="222"/>
        <v/>
      </c>
      <c r="AO316" s="32" t="str">
        <f t="shared" si="223"/>
        <v/>
      </c>
      <c r="AP316" s="32" t="str">
        <f t="shared" si="224"/>
        <v/>
      </c>
      <c r="AQ316" s="32" t="str">
        <f t="shared" si="225"/>
        <v/>
      </c>
      <c r="AR316" s="32" t="str">
        <f t="shared" si="226"/>
        <v/>
      </c>
      <c r="AS316" s="32" t="str">
        <f t="shared" si="227"/>
        <v/>
      </c>
      <c r="AT316" s="32" t="str">
        <f t="shared" si="228"/>
        <v/>
      </c>
      <c r="AU316" s="34" t="str">
        <f t="shared" si="229"/>
        <v/>
      </c>
      <c r="AV316" s="32" t="str">
        <f t="shared" si="230"/>
        <v/>
      </c>
      <c r="AW316" s="32" t="str">
        <f t="shared" si="231"/>
        <v/>
      </c>
      <c r="AX316" s="32" t="str">
        <f t="shared" si="232"/>
        <v/>
      </c>
      <c r="AY316" s="32" t="str">
        <f t="shared" si="233"/>
        <v/>
      </c>
    </row>
    <row r="317" spans="1:51" x14ac:dyDescent="0.25">
      <c r="A317" s="24" t="str">
        <f t="shared" si="191"/>
        <v/>
      </c>
      <c r="B317" s="24" t="str">
        <f t="shared" si="201"/>
        <v/>
      </c>
      <c r="C317" s="32" t="str">
        <f t="shared" si="192"/>
        <v/>
      </c>
      <c r="D317" s="24" t="str">
        <f t="shared" si="193"/>
        <v/>
      </c>
      <c r="E317" s="24" t="str">
        <f t="shared" si="194"/>
        <v/>
      </c>
      <c r="F317" s="32" t="str">
        <f t="shared" si="195"/>
        <v/>
      </c>
      <c r="G317" s="32" t="str">
        <f t="shared" si="196"/>
        <v/>
      </c>
      <c r="H317" s="32" t="str">
        <f t="shared" ca="1" si="197"/>
        <v/>
      </c>
      <c r="I317" s="32" t="str">
        <f t="shared" ca="1" si="202"/>
        <v/>
      </c>
      <c r="J317" s="32" t="str">
        <f t="shared" si="198"/>
        <v/>
      </c>
      <c r="K317" s="32" t="str">
        <f>IF(ISNUMBER(A317),Profile!$V$25+Profile!$V$24*'Ri-Po'!C317,"")</f>
        <v/>
      </c>
      <c r="L317" s="32" t="str">
        <f t="shared" si="203"/>
        <v/>
      </c>
      <c r="M317" s="32" t="str">
        <f t="shared" si="199"/>
        <v/>
      </c>
      <c r="N317" s="32" t="str">
        <f t="shared" si="200"/>
        <v/>
      </c>
      <c r="O317" s="32" t="str">
        <f t="shared" si="216"/>
        <v/>
      </c>
      <c r="P317" s="32" t="str">
        <f t="shared" si="204"/>
        <v/>
      </c>
      <c r="Q317" s="32" t="str">
        <f t="shared" si="205"/>
        <v/>
      </c>
      <c r="R317" s="32" t="str">
        <f t="shared" si="217"/>
        <v/>
      </c>
      <c r="S317" s="24" t="str">
        <f t="shared" si="218"/>
        <v/>
      </c>
      <c r="T317" s="24" t="str">
        <f t="shared" si="219"/>
        <v/>
      </c>
      <c r="U317" s="24" t="str">
        <f t="shared" si="220"/>
        <v/>
      </c>
      <c r="V317" s="24" t="str">
        <f t="shared" si="221"/>
        <v/>
      </c>
      <c r="W317" s="23" t="str">
        <f t="array" ref="W317">IFERROR(SMALL(IF(S$1:S$1000="BEGIN",ROW(S$1:S$1000)),ROW()-3),"")</f>
        <v/>
      </c>
      <c r="X317" s="23" t="str">
        <f t="array" ref="X317">IFERROR(SMALL(IF(T$1:T$1000="END",ROW(T$1:T$1000)),ROW()-3),"")</f>
        <v/>
      </c>
      <c r="Y317" s="33" t="str">
        <f t="array" ref="Y317">IF(ISNUMBER(W317),MAX(IF((B$4:B$1000&lt;=X317)*(B$4:B$1000&gt;=W317),I$4:I$1000, "")),"")</f>
        <v/>
      </c>
      <c r="Z317" s="33" t="str">
        <f t="shared" si="206"/>
        <v/>
      </c>
      <c r="AA317" s="32" t="str">
        <f t="shared" si="207"/>
        <v/>
      </c>
      <c r="AB317" s="32" t="str">
        <f t="shared" si="208"/>
        <v/>
      </c>
      <c r="AC317" s="32" t="str">
        <f t="shared" si="209"/>
        <v/>
      </c>
      <c r="AD317" s="32" t="str">
        <f t="shared" si="210"/>
        <v/>
      </c>
      <c r="AE317" s="34" t="str">
        <f t="shared" si="211"/>
        <v/>
      </c>
      <c r="AF317" s="32" t="str">
        <f t="shared" si="212"/>
        <v/>
      </c>
      <c r="AG317" s="32" t="str">
        <f t="shared" si="213"/>
        <v/>
      </c>
      <c r="AH317" s="32" t="str">
        <f t="shared" si="214"/>
        <v/>
      </c>
      <c r="AI317" s="35" t="str">
        <f t="shared" si="215"/>
        <v/>
      </c>
      <c r="AJ317" s="23" t="str">
        <f t="array" ref="AJ317">IFERROR(SMALL(IF(U$1:U$1000="BEGIN",ROW(U$1:U$1000)),ROW()-3),"")</f>
        <v/>
      </c>
      <c r="AK317" s="23" t="str">
        <f t="array" ref="AK317">IFERROR(SMALL(IF(V$1:V$1000="END",ROW(V$1:V$1000)),ROW()-3),"")</f>
        <v/>
      </c>
      <c r="AL317" s="24" t="str">
        <f t="array" ref="AL317">IF(AK317="","",MATCH(AM317,L:L,0))</f>
        <v/>
      </c>
      <c r="AM317" s="35">
        <f t="array" ref="AM317">MAX(IF((B$4:B$1000&lt;=AK317)*(B$4:B$1000&gt;=AJ317),L$4:L$1000, ""))</f>
        <v>0</v>
      </c>
      <c r="AN317" s="32" t="str">
        <f t="shared" si="222"/>
        <v/>
      </c>
      <c r="AO317" s="32" t="str">
        <f t="shared" si="223"/>
        <v/>
      </c>
      <c r="AP317" s="32" t="str">
        <f t="shared" si="224"/>
        <v/>
      </c>
      <c r="AQ317" s="32" t="str">
        <f t="shared" si="225"/>
        <v/>
      </c>
      <c r="AR317" s="32" t="str">
        <f t="shared" si="226"/>
        <v/>
      </c>
      <c r="AS317" s="32" t="str">
        <f t="shared" si="227"/>
        <v/>
      </c>
      <c r="AT317" s="32" t="str">
        <f t="shared" si="228"/>
        <v/>
      </c>
      <c r="AU317" s="34" t="str">
        <f t="shared" si="229"/>
        <v/>
      </c>
      <c r="AV317" s="32" t="str">
        <f t="shared" si="230"/>
        <v/>
      </c>
      <c r="AW317" s="32" t="str">
        <f t="shared" si="231"/>
        <v/>
      </c>
      <c r="AX317" s="32" t="str">
        <f t="shared" si="232"/>
        <v/>
      </c>
      <c r="AY317" s="32" t="str">
        <f t="shared" si="233"/>
        <v/>
      </c>
    </row>
    <row r="318" spans="1:51" x14ac:dyDescent="0.25">
      <c r="A318" s="24" t="str">
        <f t="shared" si="191"/>
        <v/>
      </c>
      <c r="B318" s="24" t="str">
        <f t="shared" si="201"/>
        <v/>
      </c>
      <c r="C318" s="32" t="str">
        <f t="shared" si="192"/>
        <v/>
      </c>
      <c r="D318" s="24" t="str">
        <f t="shared" si="193"/>
        <v/>
      </c>
      <c r="E318" s="24" t="str">
        <f t="shared" si="194"/>
        <v/>
      </c>
      <c r="F318" s="32" t="str">
        <f t="shared" si="195"/>
        <v/>
      </c>
      <c r="G318" s="32" t="str">
        <f t="shared" si="196"/>
        <v/>
      </c>
      <c r="H318" s="32" t="str">
        <f t="shared" ca="1" si="197"/>
        <v/>
      </c>
      <c r="I318" s="32" t="str">
        <f t="shared" ca="1" si="202"/>
        <v/>
      </c>
      <c r="J318" s="32" t="str">
        <f t="shared" si="198"/>
        <v/>
      </c>
      <c r="K318" s="32" t="str">
        <f>IF(ISNUMBER(A318),Profile!$V$25+Profile!$V$24*'Ri-Po'!C318,"")</f>
        <v/>
      </c>
      <c r="L318" s="32" t="str">
        <f t="shared" si="203"/>
        <v/>
      </c>
      <c r="M318" s="32" t="str">
        <f t="shared" si="199"/>
        <v/>
      </c>
      <c r="N318" s="32" t="str">
        <f t="shared" si="200"/>
        <v/>
      </c>
      <c r="O318" s="32" t="str">
        <f t="shared" si="216"/>
        <v/>
      </c>
      <c r="P318" s="32" t="str">
        <f t="shared" si="204"/>
        <v/>
      </c>
      <c r="Q318" s="32" t="str">
        <f t="shared" si="205"/>
        <v/>
      </c>
      <c r="R318" s="32" t="str">
        <f t="shared" si="217"/>
        <v/>
      </c>
      <c r="S318" s="24" t="str">
        <f t="shared" si="218"/>
        <v/>
      </c>
      <c r="T318" s="24" t="str">
        <f t="shared" si="219"/>
        <v/>
      </c>
      <c r="U318" s="24" t="str">
        <f t="shared" si="220"/>
        <v/>
      </c>
      <c r="V318" s="24" t="str">
        <f t="shared" si="221"/>
        <v/>
      </c>
      <c r="W318" s="23" t="str">
        <f t="array" ref="W318">IFERROR(SMALL(IF(S$1:S$1000="BEGIN",ROW(S$1:S$1000)),ROW()-3),"")</f>
        <v/>
      </c>
      <c r="X318" s="23" t="str">
        <f t="array" ref="X318">IFERROR(SMALL(IF(T$1:T$1000="END",ROW(T$1:T$1000)),ROW()-3),"")</f>
        <v/>
      </c>
      <c r="Y318" s="33" t="str">
        <f t="array" ref="Y318">IF(ISNUMBER(W318),MAX(IF((B$4:B$1000&lt;=X318)*(B$4:B$1000&gt;=W318),I$4:I$1000, "")),"")</f>
        <v/>
      </c>
      <c r="Z318" s="33" t="str">
        <f t="shared" si="206"/>
        <v/>
      </c>
      <c r="AA318" s="32" t="str">
        <f t="shared" si="207"/>
        <v/>
      </c>
      <c r="AB318" s="32" t="str">
        <f t="shared" si="208"/>
        <v/>
      </c>
      <c r="AC318" s="32" t="str">
        <f t="shared" si="209"/>
        <v/>
      </c>
      <c r="AD318" s="32" t="str">
        <f t="shared" si="210"/>
        <v/>
      </c>
      <c r="AE318" s="34" t="str">
        <f t="shared" si="211"/>
        <v/>
      </c>
      <c r="AF318" s="32" t="str">
        <f t="shared" si="212"/>
        <v/>
      </c>
      <c r="AG318" s="32" t="str">
        <f t="shared" si="213"/>
        <v/>
      </c>
      <c r="AH318" s="32" t="str">
        <f t="shared" si="214"/>
        <v/>
      </c>
      <c r="AI318" s="35" t="str">
        <f t="shared" si="215"/>
        <v/>
      </c>
      <c r="AJ318" s="23" t="str">
        <f t="array" ref="AJ318">IFERROR(SMALL(IF(U$1:U$1000="BEGIN",ROW(U$1:U$1000)),ROW()-3),"")</f>
        <v/>
      </c>
      <c r="AK318" s="23" t="str">
        <f t="array" ref="AK318">IFERROR(SMALL(IF(V$1:V$1000="END",ROW(V$1:V$1000)),ROW()-3),"")</f>
        <v/>
      </c>
      <c r="AL318" s="24" t="str">
        <f t="array" ref="AL318">IF(AK318="","",MATCH(AM318,L:L,0))</f>
        <v/>
      </c>
      <c r="AM318" s="35">
        <f t="array" ref="AM318">MAX(IF((B$4:B$1000&lt;=AK318)*(B$4:B$1000&gt;=AJ318),L$4:L$1000, ""))</f>
        <v>0</v>
      </c>
      <c r="AN318" s="32" t="str">
        <f t="shared" si="222"/>
        <v/>
      </c>
      <c r="AO318" s="32" t="str">
        <f t="shared" si="223"/>
        <v/>
      </c>
      <c r="AP318" s="32" t="str">
        <f t="shared" si="224"/>
        <v/>
      </c>
      <c r="AQ318" s="32" t="str">
        <f t="shared" si="225"/>
        <v/>
      </c>
      <c r="AR318" s="32" t="str">
        <f t="shared" si="226"/>
        <v/>
      </c>
      <c r="AS318" s="32" t="str">
        <f t="shared" si="227"/>
        <v/>
      </c>
      <c r="AT318" s="32" t="str">
        <f t="shared" si="228"/>
        <v/>
      </c>
      <c r="AU318" s="34" t="str">
        <f t="shared" si="229"/>
        <v/>
      </c>
      <c r="AV318" s="32" t="str">
        <f t="shared" si="230"/>
        <v/>
      </c>
      <c r="AW318" s="32" t="str">
        <f t="shared" si="231"/>
        <v/>
      </c>
      <c r="AX318" s="32" t="str">
        <f t="shared" si="232"/>
        <v/>
      </c>
      <c r="AY318" s="32" t="str">
        <f t="shared" si="233"/>
        <v/>
      </c>
    </row>
    <row r="319" spans="1:51" x14ac:dyDescent="0.25">
      <c r="A319" s="24" t="str">
        <f t="shared" si="191"/>
        <v/>
      </c>
      <c r="B319" s="24" t="str">
        <f t="shared" si="201"/>
        <v/>
      </c>
      <c r="C319" s="32" t="str">
        <f t="shared" si="192"/>
        <v/>
      </c>
      <c r="D319" s="24" t="str">
        <f t="shared" si="193"/>
        <v/>
      </c>
      <c r="E319" s="24" t="str">
        <f t="shared" si="194"/>
        <v/>
      </c>
      <c r="F319" s="32" t="str">
        <f t="shared" si="195"/>
        <v/>
      </c>
      <c r="G319" s="32" t="str">
        <f t="shared" si="196"/>
        <v/>
      </c>
      <c r="H319" s="32" t="str">
        <f t="shared" ca="1" si="197"/>
        <v/>
      </c>
      <c r="I319" s="32" t="str">
        <f t="shared" ca="1" si="202"/>
        <v/>
      </c>
      <c r="J319" s="32" t="str">
        <f t="shared" si="198"/>
        <v/>
      </c>
      <c r="K319" s="32" t="str">
        <f>IF(ISNUMBER(A319),Profile!$V$25+Profile!$V$24*'Ri-Po'!C319,"")</f>
        <v/>
      </c>
      <c r="L319" s="32" t="str">
        <f t="shared" si="203"/>
        <v/>
      </c>
      <c r="M319" s="32" t="str">
        <f t="shared" si="199"/>
        <v/>
      </c>
      <c r="N319" s="32" t="str">
        <f t="shared" si="200"/>
        <v/>
      </c>
      <c r="O319" s="32" t="str">
        <f t="shared" si="216"/>
        <v/>
      </c>
      <c r="P319" s="32" t="str">
        <f t="shared" si="204"/>
        <v/>
      </c>
      <c r="Q319" s="32" t="str">
        <f t="shared" si="205"/>
        <v/>
      </c>
      <c r="R319" s="32" t="str">
        <f t="shared" si="217"/>
        <v/>
      </c>
      <c r="S319" s="24" t="str">
        <f t="shared" si="218"/>
        <v/>
      </c>
      <c r="T319" s="24" t="str">
        <f t="shared" si="219"/>
        <v/>
      </c>
      <c r="U319" s="24" t="str">
        <f t="shared" si="220"/>
        <v/>
      </c>
      <c r="V319" s="24" t="str">
        <f t="shared" si="221"/>
        <v/>
      </c>
      <c r="W319" s="23" t="str">
        <f t="array" ref="W319">IFERROR(SMALL(IF(S$1:S$1000="BEGIN",ROW(S$1:S$1000)),ROW()-3),"")</f>
        <v/>
      </c>
      <c r="X319" s="23" t="str">
        <f t="array" ref="X319">IFERROR(SMALL(IF(T$1:T$1000="END",ROW(T$1:T$1000)),ROW()-3),"")</f>
        <v/>
      </c>
      <c r="Y319" s="33" t="str">
        <f t="array" ref="Y319">IF(ISNUMBER(W319),MAX(IF((B$4:B$1000&lt;=X319)*(B$4:B$1000&gt;=W319),I$4:I$1000, "")),"")</f>
        <v/>
      </c>
      <c r="Z319" s="33" t="str">
        <f t="shared" si="206"/>
        <v/>
      </c>
      <c r="AA319" s="32" t="str">
        <f t="shared" si="207"/>
        <v/>
      </c>
      <c r="AB319" s="32" t="str">
        <f t="shared" si="208"/>
        <v/>
      </c>
      <c r="AC319" s="32" t="str">
        <f t="shared" si="209"/>
        <v/>
      </c>
      <c r="AD319" s="32" t="str">
        <f t="shared" si="210"/>
        <v/>
      </c>
      <c r="AE319" s="34" t="str">
        <f t="shared" si="211"/>
        <v/>
      </c>
      <c r="AF319" s="32" t="str">
        <f t="shared" si="212"/>
        <v/>
      </c>
      <c r="AG319" s="32" t="str">
        <f t="shared" si="213"/>
        <v/>
      </c>
      <c r="AH319" s="32" t="str">
        <f t="shared" si="214"/>
        <v/>
      </c>
      <c r="AI319" s="35" t="str">
        <f t="shared" si="215"/>
        <v/>
      </c>
      <c r="AJ319" s="23" t="str">
        <f t="array" ref="AJ319">IFERROR(SMALL(IF(U$1:U$1000="BEGIN",ROW(U$1:U$1000)),ROW()-3),"")</f>
        <v/>
      </c>
      <c r="AK319" s="23" t="str">
        <f t="array" ref="AK319">IFERROR(SMALL(IF(V$1:V$1000="END",ROW(V$1:V$1000)),ROW()-3),"")</f>
        <v/>
      </c>
      <c r="AL319" s="24" t="str">
        <f t="array" ref="AL319">IF(AK319="","",MATCH(AM319,L:L,0))</f>
        <v/>
      </c>
      <c r="AM319" s="35">
        <f t="array" ref="AM319">MAX(IF((B$4:B$1000&lt;=AK319)*(B$4:B$1000&gt;=AJ319),L$4:L$1000, ""))</f>
        <v>0</v>
      </c>
      <c r="AN319" s="32" t="str">
        <f t="shared" si="222"/>
        <v/>
      </c>
      <c r="AO319" s="32" t="str">
        <f t="shared" si="223"/>
        <v/>
      </c>
      <c r="AP319" s="32" t="str">
        <f t="shared" si="224"/>
        <v/>
      </c>
      <c r="AQ319" s="32" t="str">
        <f t="shared" si="225"/>
        <v/>
      </c>
      <c r="AR319" s="32" t="str">
        <f t="shared" si="226"/>
        <v/>
      </c>
      <c r="AS319" s="32" t="str">
        <f t="shared" si="227"/>
        <v/>
      </c>
      <c r="AT319" s="32" t="str">
        <f t="shared" si="228"/>
        <v/>
      </c>
      <c r="AU319" s="34" t="str">
        <f t="shared" si="229"/>
        <v/>
      </c>
      <c r="AV319" s="32" t="str">
        <f t="shared" si="230"/>
        <v/>
      </c>
      <c r="AW319" s="32" t="str">
        <f t="shared" si="231"/>
        <v/>
      </c>
      <c r="AX319" s="32" t="str">
        <f t="shared" si="232"/>
        <v/>
      </c>
      <c r="AY319" s="32" t="str">
        <f t="shared" si="233"/>
        <v/>
      </c>
    </row>
    <row r="320" spans="1:51" x14ac:dyDescent="0.25">
      <c r="A320" s="24" t="str">
        <f t="shared" si="191"/>
        <v/>
      </c>
      <c r="B320" s="24" t="str">
        <f t="shared" si="201"/>
        <v/>
      </c>
      <c r="C320" s="32" t="str">
        <f t="shared" si="192"/>
        <v/>
      </c>
      <c r="D320" s="24" t="str">
        <f t="shared" si="193"/>
        <v/>
      </c>
      <c r="E320" s="24" t="str">
        <f t="shared" si="194"/>
        <v/>
      </c>
      <c r="F320" s="32" t="str">
        <f t="shared" si="195"/>
        <v/>
      </c>
      <c r="G320" s="32" t="str">
        <f t="shared" si="196"/>
        <v/>
      </c>
      <c r="H320" s="32" t="str">
        <f t="shared" ca="1" si="197"/>
        <v/>
      </c>
      <c r="I320" s="32" t="str">
        <f t="shared" ca="1" si="202"/>
        <v/>
      </c>
      <c r="J320" s="32" t="str">
        <f t="shared" si="198"/>
        <v/>
      </c>
      <c r="K320" s="32" t="str">
        <f>IF(ISNUMBER(A320),Profile!$V$25+Profile!$V$24*'Ri-Po'!C320,"")</f>
        <v/>
      </c>
      <c r="L320" s="32" t="str">
        <f t="shared" si="203"/>
        <v/>
      </c>
      <c r="M320" s="32" t="str">
        <f t="shared" si="199"/>
        <v/>
      </c>
      <c r="N320" s="32" t="str">
        <f t="shared" si="200"/>
        <v/>
      </c>
      <c r="O320" s="32" t="str">
        <f t="shared" si="216"/>
        <v/>
      </c>
      <c r="P320" s="32" t="str">
        <f t="shared" si="204"/>
        <v/>
      </c>
      <c r="Q320" s="32" t="str">
        <f t="shared" si="205"/>
        <v/>
      </c>
      <c r="R320" s="32" t="str">
        <f t="shared" si="217"/>
        <v/>
      </c>
      <c r="S320" s="24" t="str">
        <f t="shared" si="218"/>
        <v/>
      </c>
      <c r="T320" s="24" t="str">
        <f t="shared" si="219"/>
        <v/>
      </c>
      <c r="U320" s="24" t="str">
        <f t="shared" si="220"/>
        <v/>
      </c>
      <c r="V320" s="24" t="str">
        <f t="shared" si="221"/>
        <v/>
      </c>
      <c r="W320" s="23" t="str">
        <f t="array" ref="W320">IFERROR(SMALL(IF(S$1:S$1000="BEGIN",ROW(S$1:S$1000)),ROW()-3),"")</f>
        <v/>
      </c>
      <c r="X320" s="23" t="str">
        <f t="array" ref="X320">IFERROR(SMALL(IF(T$1:T$1000="END",ROW(T$1:T$1000)),ROW()-3),"")</f>
        <v/>
      </c>
      <c r="Y320" s="33" t="str">
        <f t="array" ref="Y320">IF(ISNUMBER(W320),MAX(IF((B$4:B$1000&lt;=X320)*(B$4:B$1000&gt;=W320),I$4:I$1000, "")),"")</f>
        <v/>
      </c>
      <c r="Z320" s="33" t="str">
        <f t="shared" si="206"/>
        <v/>
      </c>
      <c r="AA320" s="32" t="str">
        <f t="shared" si="207"/>
        <v/>
      </c>
      <c r="AB320" s="32" t="str">
        <f t="shared" si="208"/>
        <v/>
      </c>
      <c r="AC320" s="32" t="str">
        <f t="shared" si="209"/>
        <v/>
      </c>
      <c r="AD320" s="32" t="str">
        <f t="shared" si="210"/>
        <v/>
      </c>
      <c r="AE320" s="34" t="str">
        <f t="shared" si="211"/>
        <v/>
      </c>
      <c r="AF320" s="32" t="str">
        <f t="shared" si="212"/>
        <v/>
      </c>
      <c r="AG320" s="32" t="str">
        <f t="shared" si="213"/>
        <v/>
      </c>
      <c r="AH320" s="32" t="str">
        <f t="shared" si="214"/>
        <v/>
      </c>
      <c r="AI320" s="35" t="str">
        <f t="shared" si="215"/>
        <v/>
      </c>
      <c r="AJ320" s="23" t="str">
        <f t="array" ref="AJ320">IFERROR(SMALL(IF(U$1:U$1000="BEGIN",ROW(U$1:U$1000)),ROW()-3),"")</f>
        <v/>
      </c>
      <c r="AK320" s="23" t="str">
        <f t="array" ref="AK320">IFERROR(SMALL(IF(V$1:V$1000="END",ROW(V$1:V$1000)),ROW()-3),"")</f>
        <v/>
      </c>
      <c r="AL320" s="24" t="str">
        <f t="array" ref="AL320">IF(AK320="","",MATCH(AM320,L:L,0))</f>
        <v/>
      </c>
      <c r="AM320" s="35">
        <f t="array" ref="AM320">MAX(IF((B$4:B$1000&lt;=AK320)*(B$4:B$1000&gt;=AJ320),L$4:L$1000, ""))</f>
        <v>0</v>
      </c>
      <c r="AN320" s="32" t="str">
        <f t="shared" si="222"/>
        <v/>
      </c>
      <c r="AO320" s="32" t="str">
        <f t="shared" si="223"/>
        <v/>
      </c>
      <c r="AP320" s="32" t="str">
        <f t="shared" si="224"/>
        <v/>
      </c>
      <c r="AQ320" s="32" t="str">
        <f t="shared" si="225"/>
        <v/>
      </c>
      <c r="AR320" s="32" t="str">
        <f t="shared" si="226"/>
        <v/>
      </c>
      <c r="AS320" s="32" t="str">
        <f t="shared" si="227"/>
        <v/>
      </c>
      <c r="AT320" s="32" t="str">
        <f t="shared" si="228"/>
        <v/>
      </c>
      <c r="AU320" s="34" t="str">
        <f t="shared" si="229"/>
        <v/>
      </c>
      <c r="AV320" s="32" t="str">
        <f t="shared" si="230"/>
        <v/>
      </c>
      <c r="AW320" s="32" t="str">
        <f t="shared" si="231"/>
        <v/>
      </c>
      <c r="AX320" s="32" t="str">
        <f t="shared" si="232"/>
        <v/>
      </c>
      <c r="AY320" s="32" t="str">
        <f t="shared" si="233"/>
        <v/>
      </c>
    </row>
    <row r="321" spans="1:51" x14ac:dyDescent="0.25">
      <c r="A321" s="24" t="str">
        <f t="shared" si="191"/>
        <v/>
      </c>
      <c r="B321" s="24" t="str">
        <f t="shared" si="201"/>
        <v/>
      </c>
      <c r="C321" s="32" t="str">
        <f t="shared" si="192"/>
        <v/>
      </c>
      <c r="D321" s="24" t="str">
        <f t="shared" si="193"/>
        <v/>
      </c>
      <c r="E321" s="24" t="str">
        <f t="shared" si="194"/>
        <v/>
      </c>
      <c r="F321" s="32" t="str">
        <f t="shared" si="195"/>
        <v/>
      </c>
      <c r="G321" s="32" t="str">
        <f t="shared" si="196"/>
        <v/>
      </c>
      <c r="H321" s="32" t="str">
        <f t="shared" ca="1" si="197"/>
        <v/>
      </c>
      <c r="I321" s="32" t="str">
        <f t="shared" ca="1" si="202"/>
        <v/>
      </c>
      <c r="J321" s="32" t="str">
        <f t="shared" si="198"/>
        <v/>
      </c>
      <c r="K321" s="32" t="str">
        <f>IF(ISNUMBER(A321),Profile!$V$25+Profile!$V$24*'Ri-Po'!C321,"")</f>
        <v/>
      </c>
      <c r="L321" s="32" t="str">
        <f t="shared" si="203"/>
        <v/>
      </c>
      <c r="M321" s="32" t="str">
        <f t="shared" si="199"/>
        <v/>
      </c>
      <c r="N321" s="32" t="str">
        <f t="shared" si="200"/>
        <v/>
      </c>
      <c r="O321" s="32" t="str">
        <f t="shared" si="216"/>
        <v/>
      </c>
      <c r="P321" s="32" t="str">
        <f t="shared" si="204"/>
        <v/>
      </c>
      <c r="Q321" s="32" t="str">
        <f t="shared" si="205"/>
        <v/>
      </c>
      <c r="R321" s="32" t="str">
        <f t="shared" si="217"/>
        <v/>
      </c>
      <c r="S321" s="24" t="str">
        <f t="shared" si="218"/>
        <v/>
      </c>
      <c r="T321" s="24" t="str">
        <f t="shared" si="219"/>
        <v/>
      </c>
      <c r="U321" s="24" t="str">
        <f t="shared" si="220"/>
        <v/>
      </c>
      <c r="V321" s="24" t="str">
        <f t="shared" si="221"/>
        <v/>
      </c>
      <c r="W321" s="23" t="str">
        <f t="array" ref="W321">IFERROR(SMALL(IF(S$1:S$1000="BEGIN",ROW(S$1:S$1000)),ROW()-3),"")</f>
        <v/>
      </c>
      <c r="X321" s="23" t="str">
        <f t="array" ref="X321">IFERROR(SMALL(IF(T$1:T$1000="END",ROW(T$1:T$1000)),ROW()-3),"")</f>
        <v/>
      </c>
      <c r="Y321" s="33" t="str">
        <f t="array" ref="Y321">IF(ISNUMBER(W321),MAX(IF((B$4:B$1000&lt;=X321)*(B$4:B$1000&gt;=W321),I$4:I$1000, "")),"")</f>
        <v/>
      </c>
      <c r="Z321" s="33" t="str">
        <f t="shared" si="206"/>
        <v/>
      </c>
      <c r="AA321" s="32" t="str">
        <f t="shared" si="207"/>
        <v/>
      </c>
      <c r="AB321" s="32" t="str">
        <f t="shared" si="208"/>
        <v/>
      </c>
      <c r="AC321" s="32" t="str">
        <f t="shared" si="209"/>
        <v/>
      </c>
      <c r="AD321" s="32" t="str">
        <f t="shared" si="210"/>
        <v/>
      </c>
      <c r="AE321" s="34" t="str">
        <f t="shared" si="211"/>
        <v/>
      </c>
      <c r="AF321" s="32" t="str">
        <f t="shared" si="212"/>
        <v/>
      </c>
      <c r="AG321" s="32" t="str">
        <f t="shared" si="213"/>
        <v/>
      </c>
      <c r="AH321" s="32" t="str">
        <f t="shared" si="214"/>
        <v/>
      </c>
      <c r="AI321" s="35" t="str">
        <f t="shared" si="215"/>
        <v/>
      </c>
      <c r="AJ321" s="23" t="str">
        <f t="array" ref="AJ321">IFERROR(SMALL(IF(U$1:U$1000="BEGIN",ROW(U$1:U$1000)),ROW()-3),"")</f>
        <v/>
      </c>
      <c r="AK321" s="23" t="str">
        <f t="array" ref="AK321">IFERROR(SMALL(IF(V$1:V$1000="END",ROW(V$1:V$1000)),ROW()-3),"")</f>
        <v/>
      </c>
      <c r="AL321" s="24" t="str">
        <f t="array" ref="AL321">IF(AK321="","",MATCH(AM321,L:L,0))</f>
        <v/>
      </c>
      <c r="AM321" s="35">
        <f t="array" ref="AM321">MAX(IF((B$4:B$1000&lt;=AK321)*(B$4:B$1000&gt;=AJ321),L$4:L$1000, ""))</f>
        <v>0</v>
      </c>
      <c r="AN321" s="32" t="str">
        <f t="shared" si="222"/>
        <v/>
      </c>
      <c r="AO321" s="32" t="str">
        <f t="shared" si="223"/>
        <v/>
      </c>
      <c r="AP321" s="32" t="str">
        <f t="shared" si="224"/>
        <v/>
      </c>
      <c r="AQ321" s="32" t="str">
        <f t="shared" si="225"/>
        <v/>
      </c>
      <c r="AR321" s="32" t="str">
        <f t="shared" si="226"/>
        <v/>
      </c>
      <c r="AS321" s="32" t="str">
        <f t="shared" si="227"/>
        <v/>
      </c>
      <c r="AT321" s="32" t="str">
        <f t="shared" si="228"/>
        <v/>
      </c>
      <c r="AU321" s="34" t="str">
        <f t="shared" si="229"/>
        <v/>
      </c>
      <c r="AV321" s="32" t="str">
        <f t="shared" si="230"/>
        <v/>
      </c>
      <c r="AW321" s="32" t="str">
        <f t="shared" si="231"/>
        <v/>
      </c>
      <c r="AX321" s="32" t="str">
        <f t="shared" si="232"/>
        <v/>
      </c>
      <c r="AY321" s="32" t="str">
        <f t="shared" si="233"/>
        <v/>
      </c>
    </row>
    <row r="322" spans="1:51" x14ac:dyDescent="0.25">
      <c r="A322" s="24" t="str">
        <f t="shared" si="191"/>
        <v/>
      </c>
      <c r="B322" s="24" t="str">
        <f t="shared" si="201"/>
        <v/>
      </c>
      <c r="C322" s="32" t="str">
        <f t="shared" si="192"/>
        <v/>
      </c>
      <c r="D322" s="24" t="str">
        <f t="shared" si="193"/>
        <v/>
      </c>
      <c r="E322" s="24" t="str">
        <f t="shared" si="194"/>
        <v/>
      </c>
      <c r="F322" s="32" t="str">
        <f t="shared" si="195"/>
        <v/>
      </c>
      <c r="G322" s="32" t="str">
        <f t="shared" si="196"/>
        <v/>
      </c>
      <c r="H322" s="32" t="str">
        <f t="shared" ca="1" si="197"/>
        <v/>
      </c>
      <c r="I322" s="32" t="str">
        <f t="shared" ca="1" si="202"/>
        <v/>
      </c>
      <c r="J322" s="32" t="str">
        <f t="shared" si="198"/>
        <v/>
      </c>
      <c r="K322" s="32" t="str">
        <f>IF(ISNUMBER(A322),Profile!$V$25+Profile!$V$24*'Ri-Po'!C322,"")</f>
        <v/>
      </c>
      <c r="L322" s="32" t="str">
        <f t="shared" si="203"/>
        <v/>
      </c>
      <c r="M322" s="32" t="str">
        <f t="shared" si="199"/>
        <v/>
      </c>
      <c r="N322" s="32" t="str">
        <f t="shared" si="200"/>
        <v/>
      </c>
      <c r="O322" s="32" t="str">
        <f t="shared" si="216"/>
        <v/>
      </c>
      <c r="P322" s="32" t="str">
        <f t="shared" si="204"/>
        <v/>
      </c>
      <c r="Q322" s="32" t="str">
        <f t="shared" si="205"/>
        <v/>
      </c>
      <c r="R322" s="32" t="str">
        <f t="shared" si="217"/>
        <v/>
      </c>
      <c r="S322" s="24" t="str">
        <f t="shared" si="218"/>
        <v/>
      </c>
      <c r="T322" s="24" t="str">
        <f t="shared" si="219"/>
        <v/>
      </c>
      <c r="U322" s="24" t="str">
        <f t="shared" si="220"/>
        <v/>
      </c>
      <c r="V322" s="24" t="str">
        <f t="shared" si="221"/>
        <v/>
      </c>
      <c r="W322" s="23" t="str">
        <f t="array" ref="W322">IFERROR(SMALL(IF(S$1:S$1000="BEGIN",ROW(S$1:S$1000)),ROW()-3),"")</f>
        <v/>
      </c>
      <c r="X322" s="23" t="str">
        <f t="array" ref="X322">IFERROR(SMALL(IF(T$1:T$1000="END",ROW(T$1:T$1000)),ROW()-3),"")</f>
        <v/>
      </c>
      <c r="Y322" s="33" t="str">
        <f t="array" ref="Y322">IF(ISNUMBER(W322),MAX(IF((B$4:B$1000&lt;=X322)*(B$4:B$1000&gt;=W322),I$4:I$1000, "")),"")</f>
        <v/>
      </c>
      <c r="Z322" s="33" t="str">
        <f t="shared" si="206"/>
        <v/>
      </c>
      <c r="AA322" s="32" t="str">
        <f t="shared" si="207"/>
        <v/>
      </c>
      <c r="AB322" s="32" t="str">
        <f t="shared" si="208"/>
        <v/>
      </c>
      <c r="AC322" s="32" t="str">
        <f t="shared" si="209"/>
        <v/>
      </c>
      <c r="AD322" s="32" t="str">
        <f t="shared" si="210"/>
        <v/>
      </c>
      <c r="AE322" s="34" t="str">
        <f t="shared" si="211"/>
        <v/>
      </c>
      <c r="AF322" s="32" t="str">
        <f t="shared" si="212"/>
        <v/>
      </c>
      <c r="AG322" s="32" t="str">
        <f t="shared" si="213"/>
        <v/>
      </c>
      <c r="AH322" s="32" t="str">
        <f t="shared" si="214"/>
        <v/>
      </c>
      <c r="AI322" s="35" t="str">
        <f t="shared" si="215"/>
        <v/>
      </c>
      <c r="AJ322" s="23" t="str">
        <f t="array" ref="AJ322">IFERROR(SMALL(IF(U$1:U$1000="BEGIN",ROW(U$1:U$1000)),ROW()-3),"")</f>
        <v/>
      </c>
      <c r="AK322" s="23" t="str">
        <f t="array" ref="AK322">IFERROR(SMALL(IF(V$1:V$1000="END",ROW(V$1:V$1000)),ROW()-3),"")</f>
        <v/>
      </c>
      <c r="AL322" s="24" t="str">
        <f t="array" ref="AL322">IF(AK322="","",MATCH(AM322,L:L,0))</f>
        <v/>
      </c>
      <c r="AM322" s="35">
        <f t="array" ref="AM322">MAX(IF((B$4:B$1000&lt;=AK322)*(B$4:B$1000&gt;=AJ322),L$4:L$1000, ""))</f>
        <v>0</v>
      </c>
      <c r="AN322" s="32" t="str">
        <f t="shared" si="222"/>
        <v/>
      </c>
      <c r="AO322" s="32" t="str">
        <f t="shared" si="223"/>
        <v/>
      </c>
      <c r="AP322" s="32" t="str">
        <f t="shared" si="224"/>
        <v/>
      </c>
      <c r="AQ322" s="32" t="str">
        <f t="shared" si="225"/>
        <v/>
      </c>
      <c r="AR322" s="32" t="str">
        <f t="shared" si="226"/>
        <v/>
      </c>
      <c r="AS322" s="32" t="str">
        <f t="shared" si="227"/>
        <v/>
      </c>
      <c r="AT322" s="32" t="str">
        <f t="shared" si="228"/>
        <v/>
      </c>
      <c r="AU322" s="34" t="str">
        <f t="shared" si="229"/>
        <v/>
      </c>
      <c r="AV322" s="32" t="str">
        <f t="shared" si="230"/>
        <v/>
      </c>
      <c r="AW322" s="32" t="str">
        <f t="shared" si="231"/>
        <v/>
      </c>
      <c r="AX322" s="32" t="str">
        <f t="shared" si="232"/>
        <v/>
      </c>
      <c r="AY322" s="32" t="str">
        <f t="shared" si="233"/>
        <v/>
      </c>
    </row>
    <row r="323" spans="1:51" x14ac:dyDescent="0.25">
      <c r="A323" s="24" t="str">
        <f t="shared" si="191"/>
        <v/>
      </c>
      <c r="B323" s="24" t="str">
        <f t="shared" si="201"/>
        <v/>
      </c>
      <c r="C323" s="32" t="str">
        <f t="shared" si="192"/>
        <v/>
      </c>
      <c r="D323" s="24" t="str">
        <f t="shared" si="193"/>
        <v/>
      </c>
      <c r="E323" s="24" t="str">
        <f t="shared" si="194"/>
        <v/>
      </c>
      <c r="F323" s="32" t="str">
        <f t="shared" si="195"/>
        <v/>
      </c>
      <c r="G323" s="32" t="str">
        <f t="shared" si="196"/>
        <v/>
      </c>
      <c r="H323" s="32" t="str">
        <f t="shared" ca="1" si="197"/>
        <v/>
      </c>
      <c r="I323" s="32" t="str">
        <f t="shared" ca="1" si="202"/>
        <v/>
      </c>
      <c r="J323" s="32" t="str">
        <f t="shared" si="198"/>
        <v/>
      </c>
      <c r="K323" s="32" t="str">
        <f>IF(ISNUMBER(A323),Profile!$V$25+Profile!$V$24*'Ri-Po'!C323,"")</f>
        <v/>
      </c>
      <c r="L323" s="32" t="str">
        <f t="shared" si="203"/>
        <v/>
      </c>
      <c r="M323" s="32" t="str">
        <f t="shared" si="199"/>
        <v/>
      </c>
      <c r="N323" s="32" t="str">
        <f t="shared" si="200"/>
        <v/>
      </c>
      <c r="O323" s="32" t="str">
        <f t="shared" si="216"/>
        <v/>
      </c>
      <c r="P323" s="32" t="str">
        <f t="shared" si="204"/>
        <v/>
      </c>
      <c r="Q323" s="32" t="str">
        <f t="shared" si="205"/>
        <v/>
      </c>
      <c r="R323" s="32" t="str">
        <f t="shared" si="217"/>
        <v/>
      </c>
      <c r="S323" s="24" t="str">
        <f t="shared" si="218"/>
        <v/>
      </c>
      <c r="T323" s="24" t="str">
        <f t="shared" si="219"/>
        <v/>
      </c>
      <c r="U323" s="24" t="str">
        <f t="shared" si="220"/>
        <v/>
      </c>
      <c r="V323" s="24" t="str">
        <f t="shared" si="221"/>
        <v/>
      </c>
      <c r="W323" s="23" t="str">
        <f t="array" ref="W323">IFERROR(SMALL(IF(S$1:S$1000="BEGIN",ROW(S$1:S$1000)),ROW()-3),"")</f>
        <v/>
      </c>
      <c r="X323" s="23" t="str">
        <f t="array" ref="X323">IFERROR(SMALL(IF(T$1:T$1000="END",ROW(T$1:T$1000)),ROW()-3),"")</f>
        <v/>
      </c>
      <c r="Y323" s="33" t="str">
        <f t="array" ref="Y323">IF(ISNUMBER(W323),MAX(IF((B$4:B$1000&lt;=X323)*(B$4:B$1000&gt;=W323),I$4:I$1000, "")),"")</f>
        <v/>
      </c>
      <c r="Z323" s="33" t="str">
        <f t="shared" si="206"/>
        <v/>
      </c>
      <c r="AA323" s="32" t="str">
        <f t="shared" si="207"/>
        <v/>
      </c>
      <c r="AB323" s="32" t="str">
        <f t="shared" si="208"/>
        <v/>
      </c>
      <c r="AC323" s="32" t="str">
        <f t="shared" si="209"/>
        <v/>
      </c>
      <c r="AD323" s="32" t="str">
        <f t="shared" si="210"/>
        <v/>
      </c>
      <c r="AE323" s="34" t="str">
        <f t="shared" si="211"/>
        <v/>
      </c>
      <c r="AF323" s="32" t="str">
        <f t="shared" si="212"/>
        <v/>
      </c>
      <c r="AG323" s="32" t="str">
        <f t="shared" si="213"/>
        <v/>
      </c>
      <c r="AH323" s="32" t="str">
        <f t="shared" si="214"/>
        <v/>
      </c>
      <c r="AI323" s="35" t="str">
        <f t="shared" si="215"/>
        <v/>
      </c>
      <c r="AJ323" s="23" t="str">
        <f t="array" ref="AJ323">IFERROR(SMALL(IF(U$1:U$1000="BEGIN",ROW(U$1:U$1000)),ROW()-3),"")</f>
        <v/>
      </c>
      <c r="AK323" s="23" t="str">
        <f t="array" ref="AK323">IFERROR(SMALL(IF(V$1:V$1000="END",ROW(V$1:V$1000)),ROW()-3),"")</f>
        <v/>
      </c>
      <c r="AL323" s="24" t="str">
        <f t="array" ref="AL323">IF(AK323="","",MATCH(AM323,L:L,0))</f>
        <v/>
      </c>
      <c r="AM323" s="35">
        <f t="array" ref="AM323">MAX(IF((B$4:B$1000&lt;=AK323)*(B$4:B$1000&gt;=AJ323),L$4:L$1000, ""))</f>
        <v>0</v>
      </c>
      <c r="AN323" s="32" t="str">
        <f t="shared" si="222"/>
        <v/>
      </c>
      <c r="AO323" s="32" t="str">
        <f t="shared" si="223"/>
        <v/>
      </c>
      <c r="AP323" s="32" t="str">
        <f t="shared" si="224"/>
        <v/>
      </c>
      <c r="AQ323" s="32" t="str">
        <f t="shared" si="225"/>
        <v/>
      </c>
      <c r="AR323" s="32" t="str">
        <f t="shared" si="226"/>
        <v/>
      </c>
      <c r="AS323" s="32" t="str">
        <f t="shared" si="227"/>
        <v/>
      </c>
      <c r="AT323" s="32" t="str">
        <f t="shared" si="228"/>
        <v/>
      </c>
      <c r="AU323" s="34" t="str">
        <f t="shared" si="229"/>
        <v/>
      </c>
      <c r="AV323" s="32" t="str">
        <f t="shared" si="230"/>
        <v/>
      </c>
      <c r="AW323" s="32" t="str">
        <f t="shared" si="231"/>
        <v/>
      </c>
      <c r="AX323" s="32" t="str">
        <f t="shared" si="232"/>
        <v/>
      </c>
      <c r="AY323" s="32" t="str">
        <f t="shared" si="233"/>
        <v/>
      </c>
    </row>
    <row r="324" spans="1:51" x14ac:dyDescent="0.25">
      <c r="A324" s="24" t="str">
        <f t="shared" ref="A324:A387" si="234">IF(NOT(ISBLANK(INDEX(currentNUM,ROW(A321)))),INDEX(currentNUM,ROW(A321)),"")</f>
        <v/>
      </c>
      <c r="B324" s="24" t="str">
        <f t="shared" si="201"/>
        <v/>
      </c>
      <c r="C324" s="32" t="str">
        <f t="shared" ref="C324:C387" si="235">IF(NOT(A324=""),INDEX(currentSTATION,ROW(C321)),"")</f>
        <v/>
      </c>
      <c r="D324" s="24" t="str">
        <f t="shared" ref="D324:D387" si="236">IF(NOT(ISBLANK(INDEX(currentDESC,ROW(D321)))),INDEX(currentDESC,ROW(D321)),"")</f>
        <v/>
      </c>
      <c r="E324" s="24" t="str">
        <f t="shared" ref="E324:E387" si="237">IF(NOT(ISBLANK(INDEX(currentCMORPH,ROW(E321)))),INDEX(currentCMORPH,ROW(E321)),"")</f>
        <v/>
      </c>
      <c r="F324" s="32" t="str">
        <f t="shared" ref="F324:F387" si="238">IF(NOT(ISBLANK(INDEX(currentTHW,ROW(F321)))),INDEX(currentTHW,ROW(F321)),"")</f>
        <v/>
      </c>
      <c r="G324" s="32" t="str">
        <f t="shared" ref="G324:G387" si="239">IF(NOT(ISBLANK(INDEX(currentWS,ROW(G321)))),INDEX(currentWS,ROW(G321)),"")</f>
        <v/>
      </c>
      <c r="H324" s="32" t="str">
        <f t="shared" ref="H324:H387" ca="1" si="240">IF(NOT(OR(ISBLANK(INDEX(currentINTERPWS,ROW(H321))),INDEX(currentINTERPWS,ROW(H321))=0)),INDEX(currentINTERPWS,ROW(H321)),"")</f>
        <v/>
      </c>
      <c r="I324" s="32" t="str">
        <f t="shared" ca="1" si="202"/>
        <v/>
      </c>
      <c r="J324" s="32" t="str">
        <f t="shared" ref="J324:J387" si="241">IF(NOT(ISBLANK(INDEX(currentBKF,ROW(G321)))),INDEX(currentBKF,ROW(G321)),"")</f>
        <v/>
      </c>
      <c r="K324" s="32" t="str">
        <f>IF(ISNUMBER(A324),Profile!$V$25+Profile!$V$24*'Ri-Po'!C324,"")</f>
        <v/>
      </c>
      <c r="L324" s="32" t="str">
        <f t="shared" si="203"/>
        <v/>
      </c>
      <c r="M324" s="32" t="str">
        <f t="shared" ref="M324:M387" si="242">IF(NOT(ISBLANK(INDEX(currentTOB,ROW(H321)))),INDEX(currentTOB,ROW(H321)),"")</f>
        <v/>
      </c>
      <c r="N324" s="32" t="str">
        <f t="shared" ref="N324:N387" si="243">IF(ISNUMBER(A324),INDEX(currentINTTOB,ROW(I321)),"")</f>
        <v/>
      </c>
      <c r="O324" s="32" t="str">
        <f t="shared" si="216"/>
        <v/>
      </c>
      <c r="P324" s="32" t="str">
        <f t="shared" si="204"/>
        <v/>
      </c>
      <c r="Q324" s="32" t="str">
        <f t="shared" si="205"/>
        <v/>
      </c>
      <c r="R324" s="32" t="str">
        <f t="shared" si="217"/>
        <v/>
      </c>
      <c r="S324" s="24" t="str">
        <f t="shared" si="218"/>
        <v/>
      </c>
      <c r="T324" s="24" t="str">
        <f t="shared" si="219"/>
        <v/>
      </c>
      <c r="U324" s="24" t="str">
        <f t="shared" si="220"/>
        <v/>
      </c>
      <c r="V324" s="24" t="str">
        <f t="shared" si="221"/>
        <v/>
      </c>
      <c r="W324" s="23" t="str">
        <f t="array" ref="W324">IFERROR(SMALL(IF(S$1:S$1000="BEGIN",ROW(S$1:S$1000)),ROW()-3),"")</f>
        <v/>
      </c>
      <c r="X324" s="23" t="str">
        <f t="array" ref="X324">IFERROR(SMALL(IF(T$1:T$1000="END",ROW(T$1:T$1000)),ROW()-3),"")</f>
        <v/>
      </c>
      <c r="Y324" s="33" t="str">
        <f t="array" ref="Y324">IF(ISNUMBER(W324),MAX(IF((B$4:B$1000&lt;=X324)*(B$4:B$1000&gt;=W324),I$4:I$1000, "")),"")</f>
        <v/>
      </c>
      <c r="Z324" s="33" t="str">
        <f t="shared" si="206"/>
        <v/>
      </c>
      <c r="AA324" s="32" t="str">
        <f t="shared" si="207"/>
        <v/>
      </c>
      <c r="AB324" s="32" t="str">
        <f t="shared" si="208"/>
        <v/>
      </c>
      <c r="AC324" s="32" t="str">
        <f t="shared" si="209"/>
        <v/>
      </c>
      <c r="AD324" s="32" t="str">
        <f t="shared" si="210"/>
        <v/>
      </c>
      <c r="AE324" s="34" t="str">
        <f t="shared" si="211"/>
        <v/>
      </c>
      <c r="AF324" s="32" t="str">
        <f t="shared" si="212"/>
        <v/>
      </c>
      <c r="AG324" s="32" t="str">
        <f t="shared" si="213"/>
        <v/>
      </c>
      <c r="AH324" s="32" t="str">
        <f t="shared" si="214"/>
        <v/>
      </c>
      <c r="AI324" s="35" t="str">
        <f t="shared" si="215"/>
        <v/>
      </c>
      <c r="AJ324" s="23" t="str">
        <f t="array" ref="AJ324">IFERROR(SMALL(IF(U$1:U$1000="BEGIN",ROW(U$1:U$1000)),ROW()-3),"")</f>
        <v/>
      </c>
      <c r="AK324" s="23" t="str">
        <f t="array" ref="AK324">IFERROR(SMALL(IF(V$1:V$1000="END",ROW(V$1:V$1000)),ROW()-3),"")</f>
        <v/>
      </c>
      <c r="AL324" s="24" t="str">
        <f t="array" ref="AL324">IF(AK324="","",MATCH(AM324,L:L,0))</f>
        <v/>
      </c>
      <c r="AM324" s="35">
        <f t="array" ref="AM324">MAX(IF((B$4:B$1000&lt;=AK324)*(B$4:B$1000&gt;=AJ324),L$4:L$1000, ""))</f>
        <v>0</v>
      </c>
      <c r="AN324" s="32" t="str">
        <f t="shared" si="222"/>
        <v/>
      </c>
      <c r="AO324" s="32" t="str">
        <f t="shared" si="223"/>
        <v/>
      </c>
      <c r="AP324" s="32" t="str">
        <f t="shared" si="224"/>
        <v/>
      </c>
      <c r="AQ324" s="32" t="str">
        <f t="shared" si="225"/>
        <v/>
      </c>
      <c r="AR324" s="32" t="str">
        <f t="shared" si="226"/>
        <v/>
      </c>
      <c r="AS324" s="32" t="str">
        <f t="shared" si="227"/>
        <v/>
      </c>
      <c r="AT324" s="32" t="str">
        <f t="shared" si="228"/>
        <v/>
      </c>
      <c r="AU324" s="34" t="str">
        <f t="shared" si="229"/>
        <v/>
      </c>
      <c r="AV324" s="32" t="str">
        <f t="shared" si="230"/>
        <v/>
      </c>
      <c r="AW324" s="32" t="str">
        <f t="shared" si="231"/>
        <v/>
      </c>
      <c r="AX324" s="32" t="str">
        <f t="shared" si="232"/>
        <v/>
      </c>
      <c r="AY324" s="32" t="str">
        <f t="shared" si="233"/>
        <v/>
      </c>
    </row>
    <row r="325" spans="1:51" x14ac:dyDescent="0.25">
      <c r="A325" s="24" t="str">
        <f t="shared" si="234"/>
        <v/>
      </c>
      <c r="B325" s="24" t="str">
        <f t="shared" ref="B325:B388" si="244">IF(NOT(A325=""),ROW(B325),"")</f>
        <v/>
      </c>
      <c r="C325" s="32" t="str">
        <f t="shared" si="235"/>
        <v/>
      </c>
      <c r="D325" s="24" t="str">
        <f t="shared" si="236"/>
        <v/>
      </c>
      <c r="E325" s="24" t="str">
        <f t="shared" si="237"/>
        <v/>
      </c>
      <c r="F325" s="32" t="str">
        <f t="shared" si="238"/>
        <v/>
      </c>
      <c r="G325" s="32" t="str">
        <f t="shared" si="239"/>
        <v/>
      </c>
      <c r="H325" s="32" t="str">
        <f t="shared" ca="1" si="240"/>
        <v/>
      </c>
      <c r="I325" s="32" t="str">
        <f t="shared" ref="I325:I388" ca="1" si="245">IFERROR(IF(H325-F325&gt;=0,H325-F325,"NEG"),"")</f>
        <v/>
      </c>
      <c r="J325" s="32" t="str">
        <f t="shared" si="241"/>
        <v/>
      </c>
      <c r="K325" s="32" t="str">
        <f>IF(ISNUMBER(A325),Profile!$V$25+Profile!$V$24*'Ri-Po'!C325,"")</f>
        <v/>
      </c>
      <c r="L325" s="32" t="str">
        <f t="shared" ref="L325:L388" si="246">IFERROR(K325-F325,"")</f>
        <v/>
      </c>
      <c r="M325" s="32" t="str">
        <f t="shared" si="242"/>
        <v/>
      </c>
      <c r="N325" s="32" t="str">
        <f t="shared" si="243"/>
        <v/>
      </c>
      <c r="O325" s="32" t="str">
        <f t="shared" si="216"/>
        <v/>
      </c>
      <c r="P325" s="32" t="str">
        <f t="shared" ref="P325:P388" si="247">IF(ISNUMBER(A325),K325-F325,"")</f>
        <v/>
      </c>
      <c r="Q325" s="32" t="str">
        <f t="shared" ref="Q325:Q388" si="248">IF(ISNUMBER(A325),N325-F325,"")</f>
        <v/>
      </c>
      <c r="R325" s="32" t="str">
        <f t="shared" si="217"/>
        <v/>
      </c>
      <c r="S325" s="24" t="str">
        <f t="shared" si="218"/>
        <v/>
      </c>
      <c r="T325" s="24" t="str">
        <f t="shared" si="219"/>
        <v/>
      </c>
      <c r="U325" s="24" t="str">
        <f t="shared" si="220"/>
        <v/>
      </c>
      <c r="V325" s="24" t="str">
        <f t="shared" si="221"/>
        <v/>
      </c>
      <c r="W325" s="23" t="str">
        <f t="array" ref="W325">IFERROR(SMALL(IF(S$1:S$1000="BEGIN",ROW(S$1:S$1000)),ROW()-3),"")</f>
        <v/>
      </c>
      <c r="X325" s="23" t="str">
        <f t="array" ref="X325">IFERROR(SMALL(IF(T$1:T$1000="END",ROW(T$1:T$1000)),ROW()-3),"")</f>
        <v/>
      </c>
      <c r="Y325" s="33" t="str">
        <f t="array" ref="Y325">IF(ISNUMBER(W325),MAX(IF((B$4:B$1000&lt;=X325)*(B$4:B$1000&gt;=W325),I$4:I$1000, "")),"")</f>
        <v/>
      </c>
      <c r="Z325" s="33" t="str">
        <f t="shared" ref="Z325:Z388" si="249">IFERROR(INDEX(C:C,W325),"")</f>
        <v/>
      </c>
      <c r="AA325" s="32" t="str">
        <f t="shared" ref="AA325:AA388" si="250">IFERROR(INDEX(C:C,X325),"")</f>
        <v/>
      </c>
      <c r="AB325" s="32" t="str">
        <f t="shared" ref="AB325:AB388" si="251">IFERROR(AA325-Z325,"")</f>
        <v/>
      </c>
      <c r="AC325" s="32" t="str">
        <f t="shared" ref="AC325:AC388" si="252">IFERROR(INDEX(H:H,W325),"")</f>
        <v/>
      </c>
      <c r="AD325" s="32" t="str">
        <f t="shared" ref="AD325:AD388" si="253">IFERROR(INDEX(H:H,X325),"")</f>
        <v/>
      </c>
      <c r="AE325" s="34" t="str">
        <f t="shared" ref="AE325:AE388" si="254">IFERROR((AC325-AD325)/(AB325),"")</f>
        <v/>
      </c>
      <c r="AF325" s="32" t="str">
        <f t="shared" ref="AF325:AF388" si="255">IF(ISNUMBER(Z325),INDEX($Q$1:$Q$1000,W325),"")</f>
        <v/>
      </c>
      <c r="AG325" s="32" t="str">
        <f t="shared" ref="AG325:AG388" si="256">IF(ISNUMBER(Z325),INDEX($P$1:$P$1000,W325),"")</f>
        <v/>
      </c>
      <c r="AH325" s="32" t="str">
        <f t="shared" ref="AH325:AH388" si="257">IF(ISNUMBER(Z325),AF325/AG325,"")</f>
        <v/>
      </c>
      <c r="AI325" s="35" t="str">
        <f t="shared" ref="AI325:AI388" si="258">IFERROR(AE325/BB$19,"")</f>
        <v/>
      </c>
      <c r="AJ325" s="23" t="str">
        <f t="array" ref="AJ325">IFERROR(SMALL(IF(U$1:U$1000="BEGIN",ROW(U$1:U$1000)),ROW()-3),"")</f>
        <v/>
      </c>
      <c r="AK325" s="23" t="str">
        <f t="array" ref="AK325">IFERROR(SMALL(IF(V$1:V$1000="END",ROW(V$1:V$1000)),ROW()-3),"")</f>
        <v/>
      </c>
      <c r="AL325" s="24" t="str">
        <f t="array" ref="AL325">IF(AK325="","",MATCH(AM325,L:L,0))</f>
        <v/>
      </c>
      <c r="AM325" s="35">
        <f t="array" ref="AM325">MAX(IF((B$4:B$1000&lt;=AK325)*(B$4:B$1000&gt;=AJ325),L$4:L$1000, ""))</f>
        <v>0</v>
      </c>
      <c r="AN325" s="32" t="str">
        <f t="shared" si="222"/>
        <v/>
      </c>
      <c r="AO325" s="32" t="str">
        <f t="shared" si="223"/>
        <v/>
      </c>
      <c r="AP325" s="32" t="str">
        <f t="shared" si="224"/>
        <v/>
      </c>
      <c r="AQ325" s="32" t="str">
        <f t="shared" si="225"/>
        <v/>
      </c>
      <c r="AR325" s="32" t="str">
        <f t="shared" si="226"/>
        <v/>
      </c>
      <c r="AS325" s="32" t="str">
        <f t="shared" si="227"/>
        <v/>
      </c>
      <c r="AT325" s="32" t="str">
        <f t="shared" si="228"/>
        <v/>
      </c>
      <c r="AU325" s="34" t="str">
        <f t="shared" si="229"/>
        <v/>
      </c>
      <c r="AV325" s="32" t="str">
        <f t="shared" si="230"/>
        <v/>
      </c>
      <c r="AW325" s="32" t="str">
        <f t="shared" si="231"/>
        <v/>
      </c>
      <c r="AX325" s="32" t="str">
        <f t="shared" si="232"/>
        <v/>
      </c>
      <c r="AY325" s="32" t="str">
        <f t="shared" si="233"/>
        <v/>
      </c>
    </row>
    <row r="326" spans="1:51" x14ac:dyDescent="0.25">
      <c r="A326" s="24" t="str">
        <f t="shared" si="234"/>
        <v/>
      </c>
      <c r="B326" s="24" t="str">
        <f t="shared" si="244"/>
        <v/>
      </c>
      <c r="C326" s="32" t="str">
        <f t="shared" si="235"/>
        <v/>
      </c>
      <c r="D326" s="24" t="str">
        <f t="shared" si="236"/>
        <v/>
      </c>
      <c r="E326" s="24" t="str">
        <f t="shared" si="237"/>
        <v/>
      </c>
      <c r="F326" s="32" t="str">
        <f t="shared" si="238"/>
        <v/>
      </c>
      <c r="G326" s="32" t="str">
        <f t="shared" si="239"/>
        <v/>
      </c>
      <c r="H326" s="32" t="str">
        <f t="shared" ca="1" si="240"/>
        <v/>
      </c>
      <c r="I326" s="32" t="str">
        <f t="shared" ca="1" si="245"/>
        <v/>
      </c>
      <c r="J326" s="32" t="str">
        <f t="shared" si="241"/>
        <v/>
      </c>
      <c r="K326" s="32" t="str">
        <f>IF(ISNUMBER(A326),Profile!$V$25+Profile!$V$24*'Ri-Po'!C326,"")</f>
        <v/>
      </c>
      <c r="L326" s="32" t="str">
        <f t="shared" si="246"/>
        <v/>
      </c>
      <c r="M326" s="32" t="str">
        <f t="shared" si="242"/>
        <v/>
      </c>
      <c r="N326" s="32" t="str">
        <f t="shared" si="243"/>
        <v/>
      </c>
      <c r="O326" s="32" t="str">
        <f t="shared" ref="O326:O389" si="259">IF(AND(ISNUMBER(G326),ISNUMBER(J326)),J326-G326,"")</f>
        <v/>
      </c>
      <c r="P326" s="32" t="str">
        <f t="shared" si="247"/>
        <v/>
      </c>
      <c r="Q326" s="32" t="str">
        <f t="shared" si="248"/>
        <v/>
      </c>
      <c r="R326" s="32" t="str">
        <f t="shared" ref="R326:R389" si="260">IF(ISNUMBER(Q326),Q326/P326,"")</f>
        <v/>
      </c>
      <c r="S326" s="24" t="str">
        <f t="shared" ref="S326:S389" si="261">IF(ISNUMBER(SEARCH("bri",E326)),"BEGIN","")</f>
        <v/>
      </c>
      <c r="T326" s="24" t="str">
        <f t="shared" ref="T326:T389" si="262">IF(ISNUMBER(SEARCH("eri",E326)),"END","")</f>
        <v/>
      </c>
      <c r="U326" s="24" t="str">
        <f t="shared" ref="U326:U389" si="263">IF(ISNUMBER(SEARCH("bpo",E326)),"BEGIN","")</f>
        <v/>
      </c>
      <c r="V326" s="24" t="str">
        <f t="shared" ref="V326:V389" si="264">IF(ISNUMBER(SEARCH("epo",E326)),"END","")</f>
        <v/>
      </c>
      <c r="W326" s="23" t="str">
        <f t="array" ref="W326">IFERROR(SMALL(IF(S$1:S$1000="BEGIN",ROW(S$1:S$1000)),ROW()-3),"")</f>
        <v/>
      </c>
      <c r="X326" s="23" t="str">
        <f t="array" ref="X326">IFERROR(SMALL(IF(T$1:T$1000="END",ROW(T$1:T$1000)),ROW()-3),"")</f>
        <v/>
      </c>
      <c r="Y326" s="33" t="str">
        <f t="array" ref="Y326">IF(ISNUMBER(W326),MAX(IF((B$4:B$1000&lt;=X326)*(B$4:B$1000&gt;=W326),I$4:I$1000, "")),"")</f>
        <v/>
      </c>
      <c r="Z326" s="33" t="str">
        <f t="shared" si="249"/>
        <v/>
      </c>
      <c r="AA326" s="32" t="str">
        <f t="shared" si="250"/>
        <v/>
      </c>
      <c r="AB326" s="32" t="str">
        <f t="shared" si="251"/>
        <v/>
      </c>
      <c r="AC326" s="32" t="str">
        <f t="shared" si="252"/>
        <v/>
      </c>
      <c r="AD326" s="32" t="str">
        <f t="shared" si="253"/>
        <v/>
      </c>
      <c r="AE326" s="34" t="str">
        <f t="shared" si="254"/>
        <v/>
      </c>
      <c r="AF326" s="32" t="str">
        <f t="shared" si="255"/>
        <v/>
      </c>
      <c r="AG326" s="32" t="str">
        <f t="shared" si="256"/>
        <v/>
      </c>
      <c r="AH326" s="32" t="str">
        <f t="shared" si="257"/>
        <v/>
      </c>
      <c r="AI326" s="35" t="str">
        <f t="shared" si="258"/>
        <v/>
      </c>
      <c r="AJ326" s="23" t="str">
        <f t="array" ref="AJ326">IFERROR(SMALL(IF(U$1:U$1000="BEGIN",ROW(U$1:U$1000)),ROW()-3),"")</f>
        <v/>
      </c>
      <c r="AK326" s="23" t="str">
        <f t="array" ref="AK326">IFERROR(SMALL(IF(V$1:V$1000="END",ROW(V$1:V$1000)),ROW()-3),"")</f>
        <v/>
      </c>
      <c r="AL326" s="24" t="str">
        <f t="array" ref="AL326">IF(AK326="","",MATCH(AM326,L:L,0))</f>
        <v/>
      </c>
      <c r="AM326" s="35">
        <f t="array" ref="AM326">MAX(IF((B$4:B$1000&lt;=AK326)*(B$4:B$1000&gt;=AJ326),L$4:L$1000, ""))</f>
        <v>0</v>
      </c>
      <c r="AN326" s="32" t="str">
        <f t="shared" si="222"/>
        <v/>
      </c>
      <c r="AO326" s="32" t="str">
        <f t="shared" si="223"/>
        <v/>
      </c>
      <c r="AP326" s="32" t="str">
        <f t="shared" si="224"/>
        <v/>
      </c>
      <c r="AQ326" s="32" t="str">
        <f t="shared" si="225"/>
        <v/>
      </c>
      <c r="AR326" s="32" t="str">
        <f t="shared" si="226"/>
        <v/>
      </c>
      <c r="AS326" s="32" t="str">
        <f t="shared" si="227"/>
        <v/>
      </c>
      <c r="AT326" s="32" t="str">
        <f t="shared" si="228"/>
        <v/>
      </c>
      <c r="AU326" s="34" t="str">
        <f t="shared" si="229"/>
        <v/>
      </c>
      <c r="AV326" s="32" t="str">
        <f t="shared" si="230"/>
        <v/>
      </c>
      <c r="AW326" s="32" t="str">
        <f t="shared" si="231"/>
        <v/>
      </c>
      <c r="AX326" s="32" t="str">
        <f t="shared" si="232"/>
        <v/>
      </c>
      <c r="AY326" s="32" t="str">
        <f t="shared" si="233"/>
        <v/>
      </c>
    </row>
    <row r="327" spans="1:51" x14ac:dyDescent="0.25">
      <c r="A327" s="24" t="str">
        <f t="shared" si="234"/>
        <v/>
      </c>
      <c r="B327" s="24" t="str">
        <f t="shared" si="244"/>
        <v/>
      </c>
      <c r="C327" s="32" t="str">
        <f t="shared" si="235"/>
        <v/>
      </c>
      <c r="D327" s="24" t="str">
        <f t="shared" si="236"/>
        <v/>
      </c>
      <c r="E327" s="24" t="str">
        <f t="shared" si="237"/>
        <v/>
      </c>
      <c r="F327" s="32" t="str">
        <f t="shared" si="238"/>
        <v/>
      </c>
      <c r="G327" s="32" t="str">
        <f t="shared" si="239"/>
        <v/>
      </c>
      <c r="H327" s="32" t="str">
        <f t="shared" ca="1" si="240"/>
        <v/>
      </c>
      <c r="I327" s="32" t="str">
        <f t="shared" ca="1" si="245"/>
        <v/>
      </c>
      <c r="J327" s="32" t="str">
        <f t="shared" si="241"/>
        <v/>
      </c>
      <c r="K327" s="32" t="str">
        <f>IF(ISNUMBER(A327),Profile!$V$25+Profile!$V$24*'Ri-Po'!C327,"")</f>
        <v/>
      </c>
      <c r="L327" s="32" t="str">
        <f t="shared" si="246"/>
        <v/>
      </c>
      <c r="M327" s="32" t="str">
        <f t="shared" si="242"/>
        <v/>
      </c>
      <c r="N327" s="32" t="str">
        <f t="shared" si="243"/>
        <v/>
      </c>
      <c r="O327" s="32" t="str">
        <f t="shared" si="259"/>
        <v/>
      </c>
      <c r="P327" s="32" t="str">
        <f t="shared" si="247"/>
        <v/>
      </c>
      <c r="Q327" s="32" t="str">
        <f t="shared" si="248"/>
        <v/>
      </c>
      <c r="R327" s="32" t="str">
        <f t="shared" si="260"/>
        <v/>
      </c>
      <c r="S327" s="24" t="str">
        <f t="shared" si="261"/>
        <v/>
      </c>
      <c r="T327" s="24" t="str">
        <f t="shared" si="262"/>
        <v/>
      </c>
      <c r="U327" s="24" t="str">
        <f t="shared" si="263"/>
        <v/>
      </c>
      <c r="V327" s="24" t="str">
        <f t="shared" si="264"/>
        <v/>
      </c>
      <c r="W327" s="23" t="str">
        <f t="array" ref="W327">IFERROR(SMALL(IF(S$1:S$1000="BEGIN",ROW(S$1:S$1000)),ROW()-3),"")</f>
        <v/>
      </c>
      <c r="X327" s="23" t="str">
        <f t="array" ref="X327">IFERROR(SMALL(IF(T$1:T$1000="END",ROW(T$1:T$1000)),ROW()-3),"")</f>
        <v/>
      </c>
      <c r="Y327" s="33" t="str">
        <f t="array" ref="Y327">IF(ISNUMBER(W327),MAX(IF((B$4:B$1000&lt;=X327)*(B$4:B$1000&gt;=W327),I$4:I$1000, "")),"")</f>
        <v/>
      </c>
      <c r="Z327" s="33" t="str">
        <f t="shared" si="249"/>
        <v/>
      </c>
      <c r="AA327" s="32" t="str">
        <f t="shared" si="250"/>
        <v/>
      </c>
      <c r="AB327" s="32" t="str">
        <f t="shared" si="251"/>
        <v/>
      </c>
      <c r="AC327" s="32" t="str">
        <f t="shared" si="252"/>
        <v/>
      </c>
      <c r="AD327" s="32" t="str">
        <f t="shared" si="253"/>
        <v/>
      </c>
      <c r="AE327" s="34" t="str">
        <f t="shared" si="254"/>
        <v/>
      </c>
      <c r="AF327" s="32" t="str">
        <f t="shared" si="255"/>
        <v/>
      </c>
      <c r="AG327" s="32" t="str">
        <f t="shared" si="256"/>
        <v/>
      </c>
      <c r="AH327" s="32" t="str">
        <f t="shared" si="257"/>
        <v/>
      </c>
      <c r="AI327" s="35" t="str">
        <f t="shared" si="258"/>
        <v/>
      </c>
      <c r="AJ327" s="23" t="str">
        <f t="array" ref="AJ327">IFERROR(SMALL(IF(U$1:U$1000="BEGIN",ROW(U$1:U$1000)),ROW()-3),"")</f>
        <v/>
      </c>
      <c r="AK327" s="23" t="str">
        <f t="array" ref="AK327">IFERROR(SMALL(IF(V$1:V$1000="END",ROW(V$1:V$1000)),ROW()-3),"")</f>
        <v/>
      </c>
      <c r="AL327" s="24" t="str">
        <f t="array" ref="AL327">IF(AK327="","",MATCH(AM327,L:L,0))</f>
        <v/>
      </c>
      <c r="AM327" s="35">
        <f t="array" ref="AM327">MAX(IF((B$4:B$1000&lt;=AK327)*(B$4:B$1000&gt;=AJ327),L$4:L$1000, ""))</f>
        <v>0</v>
      </c>
      <c r="AN327" s="32" t="str">
        <f t="shared" si="222"/>
        <v/>
      </c>
      <c r="AO327" s="32" t="str">
        <f t="shared" si="223"/>
        <v/>
      </c>
      <c r="AP327" s="32" t="str">
        <f t="shared" si="224"/>
        <v/>
      </c>
      <c r="AQ327" s="32" t="str">
        <f t="shared" si="225"/>
        <v/>
      </c>
      <c r="AR327" s="32" t="str">
        <f t="shared" si="226"/>
        <v/>
      </c>
      <c r="AS327" s="32" t="str">
        <f t="shared" si="227"/>
        <v/>
      </c>
      <c r="AT327" s="32" t="str">
        <f t="shared" si="228"/>
        <v/>
      </c>
      <c r="AU327" s="34" t="str">
        <f t="shared" si="229"/>
        <v/>
      </c>
      <c r="AV327" s="32" t="str">
        <f t="shared" si="230"/>
        <v/>
      </c>
      <c r="AW327" s="32" t="str">
        <f t="shared" si="231"/>
        <v/>
      </c>
      <c r="AX327" s="32" t="str">
        <f t="shared" si="232"/>
        <v/>
      </c>
      <c r="AY327" s="32" t="str">
        <f t="shared" si="233"/>
        <v/>
      </c>
    </row>
    <row r="328" spans="1:51" x14ac:dyDescent="0.25">
      <c r="A328" s="24" t="str">
        <f t="shared" si="234"/>
        <v/>
      </c>
      <c r="B328" s="24" t="str">
        <f t="shared" si="244"/>
        <v/>
      </c>
      <c r="C328" s="32" t="str">
        <f t="shared" si="235"/>
        <v/>
      </c>
      <c r="D328" s="24" t="str">
        <f t="shared" si="236"/>
        <v/>
      </c>
      <c r="E328" s="24" t="str">
        <f t="shared" si="237"/>
        <v/>
      </c>
      <c r="F328" s="32" t="str">
        <f t="shared" si="238"/>
        <v/>
      </c>
      <c r="G328" s="32" t="str">
        <f t="shared" si="239"/>
        <v/>
      </c>
      <c r="H328" s="32" t="str">
        <f t="shared" ca="1" si="240"/>
        <v/>
      </c>
      <c r="I328" s="32" t="str">
        <f t="shared" ca="1" si="245"/>
        <v/>
      </c>
      <c r="J328" s="32" t="str">
        <f t="shared" si="241"/>
        <v/>
      </c>
      <c r="K328" s="32" t="str">
        <f>IF(ISNUMBER(A328),Profile!$V$25+Profile!$V$24*'Ri-Po'!C328,"")</f>
        <v/>
      </c>
      <c r="L328" s="32" t="str">
        <f t="shared" si="246"/>
        <v/>
      </c>
      <c r="M328" s="32" t="str">
        <f t="shared" si="242"/>
        <v/>
      </c>
      <c r="N328" s="32" t="str">
        <f t="shared" si="243"/>
        <v/>
      </c>
      <c r="O328" s="32" t="str">
        <f t="shared" si="259"/>
        <v/>
      </c>
      <c r="P328" s="32" t="str">
        <f t="shared" si="247"/>
        <v/>
      </c>
      <c r="Q328" s="32" t="str">
        <f t="shared" si="248"/>
        <v/>
      </c>
      <c r="R328" s="32" t="str">
        <f t="shared" si="260"/>
        <v/>
      </c>
      <c r="S328" s="24" t="str">
        <f t="shared" si="261"/>
        <v/>
      </c>
      <c r="T328" s="24" t="str">
        <f t="shared" si="262"/>
        <v/>
      </c>
      <c r="U328" s="24" t="str">
        <f t="shared" si="263"/>
        <v/>
      </c>
      <c r="V328" s="24" t="str">
        <f t="shared" si="264"/>
        <v/>
      </c>
      <c r="W328" s="23" t="str">
        <f t="array" ref="W328">IFERROR(SMALL(IF(S$1:S$1000="BEGIN",ROW(S$1:S$1000)),ROW()-3),"")</f>
        <v/>
      </c>
      <c r="X328" s="23" t="str">
        <f t="array" ref="X328">IFERROR(SMALL(IF(T$1:T$1000="END",ROW(T$1:T$1000)),ROW()-3),"")</f>
        <v/>
      </c>
      <c r="Y328" s="33" t="str">
        <f t="array" ref="Y328">IF(ISNUMBER(W328),MAX(IF((B$4:B$1000&lt;=X328)*(B$4:B$1000&gt;=W328),I$4:I$1000, "")),"")</f>
        <v/>
      </c>
      <c r="Z328" s="33" t="str">
        <f t="shared" si="249"/>
        <v/>
      </c>
      <c r="AA328" s="32" t="str">
        <f t="shared" si="250"/>
        <v/>
      </c>
      <c r="AB328" s="32" t="str">
        <f t="shared" si="251"/>
        <v/>
      </c>
      <c r="AC328" s="32" t="str">
        <f t="shared" si="252"/>
        <v/>
      </c>
      <c r="AD328" s="32" t="str">
        <f t="shared" si="253"/>
        <v/>
      </c>
      <c r="AE328" s="34" t="str">
        <f t="shared" si="254"/>
        <v/>
      </c>
      <c r="AF328" s="32" t="str">
        <f t="shared" si="255"/>
        <v/>
      </c>
      <c r="AG328" s="32" t="str">
        <f t="shared" si="256"/>
        <v/>
      </c>
      <c r="AH328" s="32" t="str">
        <f t="shared" si="257"/>
        <v/>
      </c>
      <c r="AI328" s="35" t="str">
        <f t="shared" si="258"/>
        <v/>
      </c>
      <c r="AJ328" s="23" t="str">
        <f t="array" ref="AJ328">IFERROR(SMALL(IF(U$1:U$1000="BEGIN",ROW(U$1:U$1000)),ROW()-3),"")</f>
        <v/>
      </c>
      <c r="AK328" s="23" t="str">
        <f t="array" ref="AK328">IFERROR(SMALL(IF(V$1:V$1000="END",ROW(V$1:V$1000)),ROW()-3),"")</f>
        <v/>
      </c>
      <c r="AL328" s="24" t="str">
        <f t="array" ref="AL328">IF(AK328="","",MATCH(AM328,L:L,0))</f>
        <v/>
      </c>
      <c r="AM328" s="35">
        <f t="array" ref="AM328">MAX(IF((B$4:B$1000&lt;=AK328)*(B$4:B$1000&gt;=AJ328),L$4:L$1000, ""))</f>
        <v>0</v>
      </c>
      <c r="AN328" s="32" t="str">
        <f t="shared" si="222"/>
        <v/>
      </c>
      <c r="AO328" s="32" t="str">
        <f t="shared" si="223"/>
        <v/>
      </c>
      <c r="AP328" s="32" t="str">
        <f t="shared" si="224"/>
        <v/>
      </c>
      <c r="AQ328" s="32" t="str">
        <f t="shared" si="225"/>
        <v/>
      </c>
      <c r="AR328" s="32" t="str">
        <f t="shared" si="226"/>
        <v/>
      </c>
      <c r="AS328" s="32" t="str">
        <f t="shared" si="227"/>
        <v/>
      </c>
      <c r="AT328" s="32" t="str">
        <f t="shared" si="228"/>
        <v/>
      </c>
      <c r="AU328" s="34" t="str">
        <f t="shared" si="229"/>
        <v/>
      </c>
      <c r="AV328" s="32" t="str">
        <f t="shared" si="230"/>
        <v/>
      </c>
      <c r="AW328" s="32" t="str">
        <f t="shared" si="231"/>
        <v/>
      </c>
      <c r="AX328" s="32" t="str">
        <f t="shared" si="232"/>
        <v/>
      </c>
      <c r="AY328" s="32" t="str">
        <f t="shared" si="233"/>
        <v/>
      </c>
    </row>
    <row r="329" spans="1:51" x14ac:dyDescent="0.25">
      <c r="A329" s="24" t="str">
        <f t="shared" si="234"/>
        <v/>
      </c>
      <c r="B329" s="24" t="str">
        <f t="shared" si="244"/>
        <v/>
      </c>
      <c r="C329" s="32" t="str">
        <f t="shared" si="235"/>
        <v/>
      </c>
      <c r="D329" s="24" t="str">
        <f t="shared" si="236"/>
        <v/>
      </c>
      <c r="E329" s="24" t="str">
        <f t="shared" si="237"/>
        <v/>
      </c>
      <c r="F329" s="32" t="str">
        <f t="shared" si="238"/>
        <v/>
      </c>
      <c r="G329" s="32" t="str">
        <f t="shared" si="239"/>
        <v/>
      </c>
      <c r="H329" s="32" t="str">
        <f t="shared" ca="1" si="240"/>
        <v/>
      </c>
      <c r="I329" s="32" t="str">
        <f t="shared" ca="1" si="245"/>
        <v/>
      </c>
      <c r="J329" s="32" t="str">
        <f t="shared" si="241"/>
        <v/>
      </c>
      <c r="K329" s="32" t="str">
        <f>IF(ISNUMBER(A329),Profile!$V$25+Profile!$V$24*'Ri-Po'!C329,"")</f>
        <v/>
      </c>
      <c r="L329" s="32" t="str">
        <f t="shared" si="246"/>
        <v/>
      </c>
      <c r="M329" s="32" t="str">
        <f t="shared" si="242"/>
        <v/>
      </c>
      <c r="N329" s="32" t="str">
        <f t="shared" si="243"/>
        <v/>
      </c>
      <c r="O329" s="32" t="str">
        <f t="shared" si="259"/>
        <v/>
      </c>
      <c r="P329" s="32" t="str">
        <f t="shared" si="247"/>
        <v/>
      </c>
      <c r="Q329" s="32" t="str">
        <f t="shared" si="248"/>
        <v/>
      </c>
      <c r="R329" s="32" t="str">
        <f t="shared" si="260"/>
        <v/>
      </c>
      <c r="S329" s="24" t="str">
        <f t="shared" si="261"/>
        <v/>
      </c>
      <c r="T329" s="24" t="str">
        <f t="shared" si="262"/>
        <v/>
      </c>
      <c r="U329" s="24" t="str">
        <f t="shared" si="263"/>
        <v/>
      </c>
      <c r="V329" s="24" t="str">
        <f t="shared" si="264"/>
        <v/>
      </c>
      <c r="W329" s="23" t="str">
        <f t="array" ref="W329">IFERROR(SMALL(IF(S$1:S$1000="BEGIN",ROW(S$1:S$1000)),ROW()-3),"")</f>
        <v/>
      </c>
      <c r="X329" s="23" t="str">
        <f t="array" ref="X329">IFERROR(SMALL(IF(T$1:T$1000="END",ROW(T$1:T$1000)),ROW()-3),"")</f>
        <v/>
      </c>
      <c r="Y329" s="33" t="str">
        <f t="array" ref="Y329">IF(ISNUMBER(W329),MAX(IF((B$4:B$1000&lt;=X329)*(B$4:B$1000&gt;=W329),I$4:I$1000, "")),"")</f>
        <v/>
      </c>
      <c r="Z329" s="33" t="str">
        <f t="shared" si="249"/>
        <v/>
      </c>
      <c r="AA329" s="32" t="str">
        <f t="shared" si="250"/>
        <v/>
      </c>
      <c r="AB329" s="32" t="str">
        <f t="shared" si="251"/>
        <v/>
      </c>
      <c r="AC329" s="32" t="str">
        <f t="shared" si="252"/>
        <v/>
      </c>
      <c r="AD329" s="32" t="str">
        <f t="shared" si="253"/>
        <v/>
      </c>
      <c r="AE329" s="34" t="str">
        <f t="shared" si="254"/>
        <v/>
      </c>
      <c r="AF329" s="32" t="str">
        <f t="shared" si="255"/>
        <v/>
      </c>
      <c r="AG329" s="32" t="str">
        <f t="shared" si="256"/>
        <v/>
      </c>
      <c r="AH329" s="32" t="str">
        <f t="shared" si="257"/>
        <v/>
      </c>
      <c r="AI329" s="35" t="str">
        <f t="shared" si="258"/>
        <v/>
      </c>
      <c r="AJ329" s="23" t="str">
        <f t="array" ref="AJ329">IFERROR(SMALL(IF(U$1:U$1000="BEGIN",ROW(U$1:U$1000)),ROW()-3),"")</f>
        <v/>
      </c>
      <c r="AK329" s="23" t="str">
        <f t="array" ref="AK329">IFERROR(SMALL(IF(V$1:V$1000="END",ROW(V$1:V$1000)),ROW()-3),"")</f>
        <v/>
      </c>
      <c r="AL329" s="24" t="str">
        <f t="array" ref="AL329">IF(AK329="","",MATCH(AM329,L:L,0))</f>
        <v/>
      </c>
      <c r="AM329" s="35">
        <f t="array" ref="AM329">MAX(IF((B$4:B$1000&lt;=AK329)*(B$4:B$1000&gt;=AJ329),L$4:L$1000, ""))</f>
        <v>0</v>
      </c>
      <c r="AN329" s="32" t="str">
        <f t="shared" si="222"/>
        <v/>
      </c>
      <c r="AO329" s="32" t="str">
        <f t="shared" si="223"/>
        <v/>
      </c>
      <c r="AP329" s="32" t="str">
        <f t="shared" si="224"/>
        <v/>
      </c>
      <c r="AQ329" s="32" t="str">
        <f t="shared" si="225"/>
        <v/>
      </c>
      <c r="AR329" s="32" t="str">
        <f t="shared" si="226"/>
        <v/>
      </c>
      <c r="AS329" s="32" t="str">
        <f t="shared" si="227"/>
        <v/>
      </c>
      <c r="AT329" s="32" t="str">
        <f t="shared" si="228"/>
        <v/>
      </c>
      <c r="AU329" s="34" t="str">
        <f t="shared" si="229"/>
        <v/>
      </c>
      <c r="AV329" s="32" t="str">
        <f t="shared" si="230"/>
        <v/>
      </c>
      <c r="AW329" s="32" t="str">
        <f t="shared" si="231"/>
        <v/>
      </c>
      <c r="AX329" s="32" t="str">
        <f t="shared" si="232"/>
        <v/>
      </c>
      <c r="AY329" s="32" t="str">
        <f t="shared" si="233"/>
        <v/>
      </c>
    </row>
    <row r="330" spans="1:51" x14ac:dyDescent="0.25">
      <c r="A330" s="24" t="str">
        <f t="shared" si="234"/>
        <v/>
      </c>
      <c r="B330" s="24" t="str">
        <f t="shared" si="244"/>
        <v/>
      </c>
      <c r="C330" s="32" t="str">
        <f t="shared" si="235"/>
        <v/>
      </c>
      <c r="D330" s="24" t="str">
        <f t="shared" si="236"/>
        <v/>
      </c>
      <c r="E330" s="24" t="str">
        <f t="shared" si="237"/>
        <v/>
      </c>
      <c r="F330" s="32" t="str">
        <f t="shared" si="238"/>
        <v/>
      </c>
      <c r="G330" s="32" t="str">
        <f t="shared" si="239"/>
        <v/>
      </c>
      <c r="H330" s="32" t="str">
        <f t="shared" ca="1" si="240"/>
        <v/>
      </c>
      <c r="I330" s="32" t="str">
        <f t="shared" ca="1" si="245"/>
        <v/>
      </c>
      <c r="J330" s="32" t="str">
        <f t="shared" si="241"/>
        <v/>
      </c>
      <c r="K330" s="32" t="str">
        <f>IF(ISNUMBER(A330),Profile!$V$25+Profile!$V$24*'Ri-Po'!C330,"")</f>
        <v/>
      </c>
      <c r="L330" s="32" t="str">
        <f t="shared" si="246"/>
        <v/>
      </c>
      <c r="M330" s="32" t="str">
        <f t="shared" si="242"/>
        <v/>
      </c>
      <c r="N330" s="32" t="str">
        <f t="shared" si="243"/>
        <v/>
      </c>
      <c r="O330" s="32" t="str">
        <f t="shared" si="259"/>
        <v/>
      </c>
      <c r="P330" s="32" t="str">
        <f t="shared" si="247"/>
        <v/>
      </c>
      <c r="Q330" s="32" t="str">
        <f t="shared" si="248"/>
        <v/>
      </c>
      <c r="R330" s="32" t="str">
        <f t="shared" si="260"/>
        <v/>
      </c>
      <c r="S330" s="24" t="str">
        <f t="shared" si="261"/>
        <v/>
      </c>
      <c r="T330" s="24" t="str">
        <f t="shared" si="262"/>
        <v/>
      </c>
      <c r="U330" s="24" t="str">
        <f t="shared" si="263"/>
        <v/>
      </c>
      <c r="V330" s="24" t="str">
        <f t="shared" si="264"/>
        <v/>
      </c>
      <c r="W330" s="23" t="str">
        <f t="array" ref="W330">IFERROR(SMALL(IF(S$1:S$1000="BEGIN",ROW(S$1:S$1000)),ROW()-3),"")</f>
        <v/>
      </c>
      <c r="X330" s="23" t="str">
        <f t="array" ref="X330">IFERROR(SMALL(IF(T$1:T$1000="END",ROW(T$1:T$1000)),ROW()-3),"")</f>
        <v/>
      </c>
      <c r="Y330" s="33" t="str">
        <f t="array" ref="Y330">IF(ISNUMBER(W330),MAX(IF((B$4:B$1000&lt;=X330)*(B$4:B$1000&gt;=W330),I$4:I$1000, "")),"")</f>
        <v/>
      </c>
      <c r="Z330" s="33" t="str">
        <f t="shared" si="249"/>
        <v/>
      </c>
      <c r="AA330" s="32" t="str">
        <f t="shared" si="250"/>
        <v/>
      </c>
      <c r="AB330" s="32" t="str">
        <f t="shared" si="251"/>
        <v/>
      </c>
      <c r="AC330" s="32" t="str">
        <f t="shared" si="252"/>
        <v/>
      </c>
      <c r="AD330" s="32" t="str">
        <f t="shared" si="253"/>
        <v/>
      </c>
      <c r="AE330" s="34" t="str">
        <f t="shared" si="254"/>
        <v/>
      </c>
      <c r="AF330" s="32" t="str">
        <f t="shared" si="255"/>
        <v/>
      </c>
      <c r="AG330" s="32" t="str">
        <f t="shared" si="256"/>
        <v/>
      </c>
      <c r="AH330" s="32" t="str">
        <f t="shared" si="257"/>
        <v/>
      </c>
      <c r="AI330" s="35" t="str">
        <f t="shared" si="258"/>
        <v/>
      </c>
      <c r="AJ330" s="23" t="str">
        <f t="array" ref="AJ330">IFERROR(SMALL(IF(U$1:U$1000="BEGIN",ROW(U$1:U$1000)),ROW()-3),"")</f>
        <v/>
      </c>
      <c r="AK330" s="23" t="str">
        <f t="array" ref="AK330">IFERROR(SMALL(IF(V$1:V$1000="END",ROW(V$1:V$1000)),ROW()-3),"")</f>
        <v/>
      </c>
      <c r="AL330" s="24" t="str">
        <f t="array" ref="AL330">IF(AK330="","",MATCH(AM330,L:L,0))</f>
        <v/>
      </c>
      <c r="AM330" s="35">
        <f t="array" ref="AM330">MAX(IF((B$4:B$1000&lt;=AK330)*(B$4:B$1000&gt;=AJ330),L$4:L$1000, ""))</f>
        <v>0</v>
      </c>
      <c r="AN330" s="32" t="str">
        <f t="shared" si="222"/>
        <v/>
      </c>
      <c r="AO330" s="32" t="str">
        <f t="shared" si="223"/>
        <v/>
      </c>
      <c r="AP330" s="32" t="str">
        <f t="shared" si="224"/>
        <v/>
      </c>
      <c r="AQ330" s="32" t="str">
        <f t="shared" si="225"/>
        <v/>
      </c>
      <c r="AR330" s="32" t="str">
        <f t="shared" si="226"/>
        <v/>
      </c>
      <c r="AS330" s="32" t="str">
        <f t="shared" si="227"/>
        <v/>
      </c>
      <c r="AT330" s="32" t="str">
        <f t="shared" si="228"/>
        <v/>
      </c>
      <c r="AU330" s="34" t="str">
        <f t="shared" si="229"/>
        <v/>
      </c>
      <c r="AV330" s="32" t="str">
        <f t="shared" si="230"/>
        <v/>
      </c>
      <c r="AW330" s="32" t="str">
        <f t="shared" si="231"/>
        <v/>
      </c>
      <c r="AX330" s="32" t="str">
        <f t="shared" si="232"/>
        <v/>
      </c>
      <c r="AY330" s="32" t="str">
        <f t="shared" si="233"/>
        <v/>
      </c>
    </row>
    <row r="331" spans="1:51" x14ac:dyDescent="0.25">
      <c r="A331" s="24" t="str">
        <f t="shared" si="234"/>
        <v/>
      </c>
      <c r="B331" s="24" t="str">
        <f t="shared" si="244"/>
        <v/>
      </c>
      <c r="C331" s="32" t="str">
        <f t="shared" si="235"/>
        <v/>
      </c>
      <c r="D331" s="24" t="str">
        <f t="shared" si="236"/>
        <v/>
      </c>
      <c r="E331" s="24" t="str">
        <f t="shared" si="237"/>
        <v/>
      </c>
      <c r="F331" s="32" t="str">
        <f t="shared" si="238"/>
        <v/>
      </c>
      <c r="G331" s="32" t="str">
        <f t="shared" si="239"/>
        <v/>
      </c>
      <c r="H331" s="32" t="str">
        <f t="shared" ca="1" si="240"/>
        <v/>
      </c>
      <c r="I331" s="32" t="str">
        <f t="shared" ca="1" si="245"/>
        <v/>
      </c>
      <c r="J331" s="32" t="str">
        <f t="shared" si="241"/>
        <v/>
      </c>
      <c r="K331" s="32" t="str">
        <f>IF(ISNUMBER(A331),Profile!$V$25+Profile!$V$24*'Ri-Po'!C331,"")</f>
        <v/>
      </c>
      <c r="L331" s="32" t="str">
        <f t="shared" si="246"/>
        <v/>
      </c>
      <c r="M331" s="32" t="str">
        <f t="shared" si="242"/>
        <v/>
      </c>
      <c r="N331" s="32" t="str">
        <f t="shared" si="243"/>
        <v/>
      </c>
      <c r="O331" s="32" t="str">
        <f t="shared" si="259"/>
        <v/>
      </c>
      <c r="P331" s="32" t="str">
        <f t="shared" si="247"/>
        <v/>
      </c>
      <c r="Q331" s="32" t="str">
        <f t="shared" si="248"/>
        <v/>
      </c>
      <c r="R331" s="32" t="str">
        <f t="shared" si="260"/>
        <v/>
      </c>
      <c r="S331" s="24" t="str">
        <f t="shared" si="261"/>
        <v/>
      </c>
      <c r="T331" s="24" t="str">
        <f t="shared" si="262"/>
        <v/>
      </c>
      <c r="U331" s="24" t="str">
        <f t="shared" si="263"/>
        <v/>
      </c>
      <c r="V331" s="24" t="str">
        <f t="shared" si="264"/>
        <v/>
      </c>
      <c r="W331" s="23" t="str">
        <f t="array" ref="W331">IFERROR(SMALL(IF(S$1:S$1000="BEGIN",ROW(S$1:S$1000)),ROW()-3),"")</f>
        <v/>
      </c>
      <c r="X331" s="23" t="str">
        <f t="array" ref="X331">IFERROR(SMALL(IF(T$1:T$1000="END",ROW(T$1:T$1000)),ROW()-3),"")</f>
        <v/>
      </c>
      <c r="Y331" s="33" t="str">
        <f t="array" ref="Y331">IF(ISNUMBER(W331),MAX(IF((B$4:B$1000&lt;=X331)*(B$4:B$1000&gt;=W331),I$4:I$1000, "")),"")</f>
        <v/>
      </c>
      <c r="Z331" s="33" t="str">
        <f t="shared" si="249"/>
        <v/>
      </c>
      <c r="AA331" s="32" t="str">
        <f t="shared" si="250"/>
        <v/>
      </c>
      <c r="AB331" s="32" t="str">
        <f t="shared" si="251"/>
        <v/>
      </c>
      <c r="AC331" s="32" t="str">
        <f t="shared" si="252"/>
        <v/>
      </c>
      <c r="AD331" s="32" t="str">
        <f t="shared" si="253"/>
        <v/>
      </c>
      <c r="AE331" s="34" t="str">
        <f t="shared" si="254"/>
        <v/>
      </c>
      <c r="AF331" s="32" t="str">
        <f t="shared" si="255"/>
        <v/>
      </c>
      <c r="AG331" s="32" t="str">
        <f t="shared" si="256"/>
        <v/>
      </c>
      <c r="AH331" s="32" t="str">
        <f t="shared" si="257"/>
        <v/>
      </c>
      <c r="AI331" s="35" t="str">
        <f t="shared" si="258"/>
        <v/>
      </c>
      <c r="AJ331" s="23" t="str">
        <f t="array" ref="AJ331">IFERROR(SMALL(IF(U$1:U$1000="BEGIN",ROW(U$1:U$1000)),ROW()-3),"")</f>
        <v/>
      </c>
      <c r="AK331" s="23" t="str">
        <f t="array" ref="AK331">IFERROR(SMALL(IF(V$1:V$1000="END",ROW(V$1:V$1000)),ROW()-3),"")</f>
        <v/>
      </c>
      <c r="AL331" s="24" t="str">
        <f t="array" ref="AL331">IF(AK331="","",MATCH(AM331,L:L,0))</f>
        <v/>
      </c>
      <c r="AM331" s="35">
        <f t="array" ref="AM331">MAX(IF((B$4:B$1000&lt;=AK331)*(B$4:B$1000&gt;=AJ331),L$4:L$1000, ""))</f>
        <v>0</v>
      </c>
      <c r="AN331" s="32" t="str">
        <f t="shared" si="222"/>
        <v/>
      </c>
      <c r="AO331" s="32" t="str">
        <f t="shared" si="223"/>
        <v/>
      </c>
      <c r="AP331" s="32" t="str">
        <f t="shared" si="224"/>
        <v/>
      </c>
      <c r="AQ331" s="32" t="str">
        <f t="shared" si="225"/>
        <v/>
      </c>
      <c r="AR331" s="32" t="str">
        <f t="shared" si="226"/>
        <v/>
      </c>
      <c r="AS331" s="32" t="str">
        <f t="shared" si="227"/>
        <v/>
      </c>
      <c r="AT331" s="32" t="str">
        <f t="shared" si="228"/>
        <v/>
      </c>
      <c r="AU331" s="34" t="str">
        <f t="shared" si="229"/>
        <v/>
      </c>
      <c r="AV331" s="32" t="str">
        <f t="shared" si="230"/>
        <v/>
      </c>
      <c r="AW331" s="32" t="str">
        <f t="shared" si="231"/>
        <v/>
      </c>
      <c r="AX331" s="32" t="str">
        <f t="shared" si="232"/>
        <v/>
      </c>
      <c r="AY331" s="32" t="str">
        <f t="shared" si="233"/>
        <v/>
      </c>
    </row>
    <row r="332" spans="1:51" x14ac:dyDescent="0.25">
      <c r="A332" s="24" t="str">
        <f t="shared" si="234"/>
        <v/>
      </c>
      <c r="B332" s="24" t="str">
        <f t="shared" si="244"/>
        <v/>
      </c>
      <c r="C332" s="32" t="str">
        <f t="shared" si="235"/>
        <v/>
      </c>
      <c r="D332" s="24" t="str">
        <f t="shared" si="236"/>
        <v/>
      </c>
      <c r="E332" s="24" t="str">
        <f t="shared" si="237"/>
        <v/>
      </c>
      <c r="F332" s="32" t="str">
        <f t="shared" si="238"/>
        <v/>
      </c>
      <c r="G332" s="32" t="str">
        <f t="shared" si="239"/>
        <v/>
      </c>
      <c r="H332" s="32" t="str">
        <f t="shared" ca="1" si="240"/>
        <v/>
      </c>
      <c r="I332" s="32" t="str">
        <f t="shared" ca="1" si="245"/>
        <v/>
      </c>
      <c r="J332" s="32" t="str">
        <f t="shared" si="241"/>
        <v/>
      </c>
      <c r="K332" s="32" t="str">
        <f>IF(ISNUMBER(A332),Profile!$V$25+Profile!$V$24*'Ri-Po'!C332,"")</f>
        <v/>
      </c>
      <c r="L332" s="32" t="str">
        <f t="shared" si="246"/>
        <v/>
      </c>
      <c r="M332" s="32" t="str">
        <f t="shared" si="242"/>
        <v/>
      </c>
      <c r="N332" s="32" t="str">
        <f t="shared" si="243"/>
        <v/>
      </c>
      <c r="O332" s="32" t="str">
        <f t="shared" si="259"/>
        <v/>
      </c>
      <c r="P332" s="32" t="str">
        <f t="shared" si="247"/>
        <v/>
      </c>
      <c r="Q332" s="32" t="str">
        <f t="shared" si="248"/>
        <v/>
      </c>
      <c r="R332" s="32" t="str">
        <f t="shared" si="260"/>
        <v/>
      </c>
      <c r="S332" s="24" t="str">
        <f t="shared" si="261"/>
        <v/>
      </c>
      <c r="T332" s="24" t="str">
        <f t="shared" si="262"/>
        <v/>
      </c>
      <c r="U332" s="24" t="str">
        <f t="shared" si="263"/>
        <v/>
      </c>
      <c r="V332" s="24" t="str">
        <f t="shared" si="264"/>
        <v/>
      </c>
      <c r="W332" s="23" t="str">
        <f t="array" ref="W332">IFERROR(SMALL(IF(S$1:S$1000="BEGIN",ROW(S$1:S$1000)),ROW()-3),"")</f>
        <v/>
      </c>
      <c r="X332" s="23" t="str">
        <f t="array" ref="X332">IFERROR(SMALL(IF(T$1:T$1000="END",ROW(T$1:T$1000)),ROW()-3),"")</f>
        <v/>
      </c>
      <c r="Y332" s="33" t="str">
        <f t="array" ref="Y332">IF(ISNUMBER(W332),MAX(IF((B$4:B$1000&lt;=X332)*(B$4:B$1000&gt;=W332),I$4:I$1000, "")),"")</f>
        <v/>
      </c>
      <c r="Z332" s="33" t="str">
        <f t="shared" si="249"/>
        <v/>
      </c>
      <c r="AA332" s="32" t="str">
        <f t="shared" si="250"/>
        <v/>
      </c>
      <c r="AB332" s="32" t="str">
        <f t="shared" si="251"/>
        <v/>
      </c>
      <c r="AC332" s="32" t="str">
        <f t="shared" si="252"/>
        <v/>
      </c>
      <c r="AD332" s="32" t="str">
        <f t="shared" si="253"/>
        <v/>
      </c>
      <c r="AE332" s="34" t="str">
        <f t="shared" si="254"/>
        <v/>
      </c>
      <c r="AF332" s="32" t="str">
        <f t="shared" si="255"/>
        <v/>
      </c>
      <c r="AG332" s="32" t="str">
        <f t="shared" si="256"/>
        <v/>
      </c>
      <c r="AH332" s="32" t="str">
        <f t="shared" si="257"/>
        <v/>
      </c>
      <c r="AI332" s="35" t="str">
        <f t="shared" si="258"/>
        <v/>
      </c>
      <c r="AJ332" s="23" t="str">
        <f t="array" ref="AJ332">IFERROR(SMALL(IF(U$1:U$1000="BEGIN",ROW(U$1:U$1000)),ROW()-3),"")</f>
        <v/>
      </c>
      <c r="AK332" s="23" t="str">
        <f t="array" ref="AK332">IFERROR(SMALL(IF(V$1:V$1000="END",ROW(V$1:V$1000)),ROW()-3),"")</f>
        <v/>
      </c>
      <c r="AL332" s="24" t="str">
        <f t="array" ref="AL332">IF(AK332="","",MATCH(AM332,L:L,0))</f>
        <v/>
      </c>
      <c r="AM332" s="35">
        <f t="array" ref="AM332">MAX(IF((B$4:B$1000&lt;=AK332)*(B$4:B$1000&gt;=AJ332),L$4:L$1000, ""))</f>
        <v>0</v>
      </c>
      <c r="AN332" s="32" t="str">
        <f t="shared" si="222"/>
        <v/>
      </c>
      <c r="AO332" s="32" t="str">
        <f t="shared" si="223"/>
        <v/>
      </c>
      <c r="AP332" s="32" t="str">
        <f t="shared" si="224"/>
        <v/>
      </c>
      <c r="AQ332" s="32" t="str">
        <f t="shared" si="225"/>
        <v/>
      </c>
      <c r="AR332" s="32" t="str">
        <f t="shared" si="226"/>
        <v/>
      </c>
      <c r="AS332" s="32" t="str">
        <f t="shared" si="227"/>
        <v/>
      </c>
      <c r="AT332" s="32" t="str">
        <f t="shared" si="228"/>
        <v/>
      </c>
      <c r="AU332" s="34" t="str">
        <f t="shared" si="229"/>
        <v/>
      </c>
      <c r="AV332" s="32" t="str">
        <f t="shared" si="230"/>
        <v/>
      </c>
      <c r="AW332" s="32" t="str">
        <f t="shared" si="231"/>
        <v/>
      </c>
      <c r="AX332" s="32" t="str">
        <f t="shared" si="232"/>
        <v/>
      </c>
      <c r="AY332" s="32" t="str">
        <f t="shared" si="233"/>
        <v/>
      </c>
    </row>
    <row r="333" spans="1:51" x14ac:dyDescent="0.25">
      <c r="A333" s="24" t="str">
        <f t="shared" si="234"/>
        <v/>
      </c>
      <c r="B333" s="24" t="str">
        <f t="shared" si="244"/>
        <v/>
      </c>
      <c r="C333" s="32" t="str">
        <f t="shared" si="235"/>
        <v/>
      </c>
      <c r="D333" s="24" t="str">
        <f t="shared" si="236"/>
        <v/>
      </c>
      <c r="E333" s="24" t="str">
        <f t="shared" si="237"/>
        <v/>
      </c>
      <c r="F333" s="32" t="str">
        <f t="shared" si="238"/>
        <v/>
      </c>
      <c r="G333" s="32" t="str">
        <f t="shared" si="239"/>
        <v/>
      </c>
      <c r="H333" s="32" t="str">
        <f t="shared" ca="1" si="240"/>
        <v/>
      </c>
      <c r="I333" s="32" t="str">
        <f t="shared" ca="1" si="245"/>
        <v/>
      </c>
      <c r="J333" s="32" t="str">
        <f t="shared" si="241"/>
        <v/>
      </c>
      <c r="K333" s="32" t="str">
        <f>IF(ISNUMBER(A333),Profile!$V$25+Profile!$V$24*'Ri-Po'!C333,"")</f>
        <v/>
      </c>
      <c r="L333" s="32" t="str">
        <f t="shared" si="246"/>
        <v/>
      </c>
      <c r="M333" s="32" t="str">
        <f t="shared" si="242"/>
        <v/>
      </c>
      <c r="N333" s="32" t="str">
        <f t="shared" si="243"/>
        <v/>
      </c>
      <c r="O333" s="32" t="str">
        <f t="shared" si="259"/>
        <v/>
      </c>
      <c r="P333" s="32" t="str">
        <f t="shared" si="247"/>
        <v/>
      </c>
      <c r="Q333" s="32" t="str">
        <f t="shared" si="248"/>
        <v/>
      </c>
      <c r="R333" s="32" t="str">
        <f t="shared" si="260"/>
        <v/>
      </c>
      <c r="S333" s="24" t="str">
        <f t="shared" si="261"/>
        <v/>
      </c>
      <c r="T333" s="24" t="str">
        <f t="shared" si="262"/>
        <v/>
      </c>
      <c r="U333" s="24" t="str">
        <f t="shared" si="263"/>
        <v/>
      </c>
      <c r="V333" s="24" t="str">
        <f t="shared" si="264"/>
        <v/>
      </c>
      <c r="W333" s="23" t="str">
        <f t="array" ref="W333">IFERROR(SMALL(IF(S$1:S$1000="BEGIN",ROW(S$1:S$1000)),ROW()-3),"")</f>
        <v/>
      </c>
      <c r="X333" s="23" t="str">
        <f t="array" ref="X333">IFERROR(SMALL(IF(T$1:T$1000="END",ROW(T$1:T$1000)),ROW()-3),"")</f>
        <v/>
      </c>
      <c r="Y333" s="33" t="str">
        <f t="array" ref="Y333">IF(ISNUMBER(W333),MAX(IF((B$4:B$1000&lt;=X333)*(B$4:B$1000&gt;=W333),I$4:I$1000, "")),"")</f>
        <v/>
      </c>
      <c r="Z333" s="33" t="str">
        <f t="shared" si="249"/>
        <v/>
      </c>
      <c r="AA333" s="32" t="str">
        <f t="shared" si="250"/>
        <v/>
      </c>
      <c r="AB333" s="32" t="str">
        <f t="shared" si="251"/>
        <v/>
      </c>
      <c r="AC333" s="32" t="str">
        <f t="shared" si="252"/>
        <v/>
      </c>
      <c r="AD333" s="32" t="str">
        <f t="shared" si="253"/>
        <v/>
      </c>
      <c r="AE333" s="34" t="str">
        <f t="shared" si="254"/>
        <v/>
      </c>
      <c r="AF333" s="32" t="str">
        <f t="shared" si="255"/>
        <v/>
      </c>
      <c r="AG333" s="32" t="str">
        <f t="shared" si="256"/>
        <v/>
      </c>
      <c r="AH333" s="32" t="str">
        <f t="shared" si="257"/>
        <v/>
      </c>
      <c r="AI333" s="35" t="str">
        <f t="shared" si="258"/>
        <v/>
      </c>
      <c r="AJ333" s="23" t="str">
        <f t="array" ref="AJ333">IFERROR(SMALL(IF(U$1:U$1000="BEGIN",ROW(U$1:U$1000)),ROW()-3),"")</f>
        <v/>
      </c>
      <c r="AK333" s="23" t="str">
        <f t="array" ref="AK333">IFERROR(SMALL(IF(V$1:V$1000="END",ROW(V$1:V$1000)),ROW()-3),"")</f>
        <v/>
      </c>
      <c r="AL333" s="24" t="str">
        <f t="array" ref="AL333">IF(AK333="","",MATCH(AM333,L:L,0))</f>
        <v/>
      </c>
      <c r="AM333" s="35">
        <f t="array" ref="AM333">MAX(IF((B$4:B$1000&lt;=AK333)*(B$4:B$1000&gt;=AJ333),L$4:L$1000, ""))</f>
        <v>0</v>
      </c>
      <c r="AN333" s="32" t="str">
        <f t="shared" si="222"/>
        <v/>
      </c>
      <c r="AO333" s="32" t="str">
        <f t="shared" si="223"/>
        <v/>
      </c>
      <c r="AP333" s="32" t="str">
        <f t="shared" si="224"/>
        <v/>
      </c>
      <c r="AQ333" s="32" t="str">
        <f t="shared" si="225"/>
        <v/>
      </c>
      <c r="AR333" s="32" t="str">
        <f t="shared" si="226"/>
        <v/>
      </c>
      <c r="AS333" s="32" t="str">
        <f t="shared" si="227"/>
        <v/>
      </c>
      <c r="AT333" s="32" t="str">
        <f t="shared" si="228"/>
        <v/>
      </c>
      <c r="AU333" s="34" t="str">
        <f t="shared" si="229"/>
        <v/>
      </c>
      <c r="AV333" s="32" t="str">
        <f t="shared" si="230"/>
        <v/>
      </c>
      <c r="AW333" s="32" t="str">
        <f t="shared" si="231"/>
        <v/>
      </c>
      <c r="AX333" s="32" t="str">
        <f t="shared" si="232"/>
        <v/>
      </c>
      <c r="AY333" s="32" t="str">
        <f t="shared" si="233"/>
        <v/>
      </c>
    </row>
    <row r="334" spans="1:51" x14ac:dyDescent="0.25">
      <c r="A334" s="24" t="str">
        <f t="shared" si="234"/>
        <v/>
      </c>
      <c r="B334" s="24" t="str">
        <f t="shared" si="244"/>
        <v/>
      </c>
      <c r="C334" s="32" t="str">
        <f t="shared" si="235"/>
        <v/>
      </c>
      <c r="D334" s="24" t="str">
        <f t="shared" si="236"/>
        <v/>
      </c>
      <c r="E334" s="24" t="str">
        <f t="shared" si="237"/>
        <v/>
      </c>
      <c r="F334" s="32" t="str">
        <f t="shared" si="238"/>
        <v/>
      </c>
      <c r="G334" s="32" t="str">
        <f t="shared" si="239"/>
        <v/>
      </c>
      <c r="H334" s="32" t="str">
        <f t="shared" ca="1" si="240"/>
        <v/>
      </c>
      <c r="I334" s="32" t="str">
        <f t="shared" ca="1" si="245"/>
        <v/>
      </c>
      <c r="J334" s="32" t="str">
        <f t="shared" si="241"/>
        <v/>
      </c>
      <c r="K334" s="32" t="str">
        <f>IF(ISNUMBER(A334),Profile!$V$25+Profile!$V$24*'Ri-Po'!C334,"")</f>
        <v/>
      </c>
      <c r="L334" s="32" t="str">
        <f t="shared" si="246"/>
        <v/>
      </c>
      <c r="M334" s="32" t="str">
        <f t="shared" si="242"/>
        <v/>
      </c>
      <c r="N334" s="32" t="str">
        <f t="shared" si="243"/>
        <v/>
      </c>
      <c r="O334" s="32" t="str">
        <f t="shared" si="259"/>
        <v/>
      </c>
      <c r="P334" s="32" t="str">
        <f t="shared" si="247"/>
        <v/>
      </c>
      <c r="Q334" s="32" t="str">
        <f t="shared" si="248"/>
        <v/>
      </c>
      <c r="R334" s="32" t="str">
        <f t="shared" si="260"/>
        <v/>
      </c>
      <c r="S334" s="24" t="str">
        <f t="shared" si="261"/>
        <v/>
      </c>
      <c r="T334" s="24" t="str">
        <f t="shared" si="262"/>
        <v/>
      </c>
      <c r="U334" s="24" t="str">
        <f t="shared" si="263"/>
        <v/>
      </c>
      <c r="V334" s="24" t="str">
        <f t="shared" si="264"/>
        <v/>
      </c>
      <c r="W334" s="23" t="str">
        <f t="array" ref="W334">IFERROR(SMALL(IF(S$1:S$1000="BEGIN",ROW(S$1:S$1000)),ROW()-3),"")</f>
        <v/>
      </c>
      <c r="X334" s="23" t="str">
        <f t="array" ref="X334">IFERROR(SMALL(IF(T$1:T$1000="END",ROW(T$1:T$1000)),ROW()-3),"")</f>
        <v/>
      </c>
      <c r="Y334" s="33" t="str">
        <f t="array" ref="Y334">IF(ISNUMBER(W334),MAX(IF((B$4:B$1000&lt;=X334)*(B$4:B$1000&gt;=W334),I$4:I$1000, "")),"")</f>
        <v/>
      </c>
      <c r="Z334" s="33" t="str">
        <f t="shared" si="249"/>
        <v/>
      </c>
      <c r="AA334" s="32" t="str">
        <f t="shared" si="250"/>
        <v/>
      </c>
      <c r="AB334" s="32" t="str">
        <f t="shared" si="251"/>
        <v/>
      </c>
      <c r="AC334" s="32" t="str">
        <f t="shared" si="252"/>
        <v/>
      </c>
      <c r="AD334" s="32" t="str">
        <f t="shared" si="253"/>
        <v/>
      </c>
      <c r="AE334" s="34" t="str">
        <f t="shared" si="254"/>
        <v/>
      </c>
      <c r="AF334" s="32" t="str">
        <f t="shared" si="255"/>
        <v/>
      </c>
      <c r="AG334" s="32" t="str">
        <f t="shared" si="256"/>
        <v/>
      </c>
      <c r="AH334" s="32" t="str">
        <f t="shared" si="257"/>
        <v/>
      </c>
      <c r="AI334" s="35" t="str">
        <f t="shared" si="258"/>
        <v/>
      </c>
      <c r="AJ334" s="23" t="str">
        <f t="array" ref="AJ334">IFERROR(SMALL(IF(U$1:U$1000="BEGIN",ROW(U$1:U$1000)),ROW()-3),"")</f>
        <v/>
      </c>
      <c r="AK334" s="23" t="str">
        <f t="array" ref="AK334">IFERROR(SMALL(IF(V$1:V$1000="END",ROW(V$1:V$1000)),ROW()-3),"")</f>
        <v/>
      </c>
      <c r="AL334" s="24" t="str">
        <f t="array" ref="AL334">IF(AK334="","",MATCH(AM334,L:L,0))</f>
        <v/>
      </c>
      <c r="AM334" s="35">
        <f t="array" ref="AM334">MAX(IF((B$4:B$1000&lt;=AK334)*(B$4:B$1000&gt;=AJ334),L$4:L$1000, ""))</f>
        <v>0</v>
      </c>
      <c r="AN334" s="32" t="str">
        <f t="shared" si="222"/>
        <v/>
      </c>
      <c r="AO334" s="32" t="str">
        <f t="shared" si="223"/>
        <v/>
      </c>
      <c r="AP334" s="32" t="str">
        <f t="shared" si="224"/>
        <v/>
      </c>
      <c r="AQ334" s="32" t="str">
        <f t="shared" si="225"/>
        <v/>
      </c>
      <c r="AR334" s="32" t="str">
        <f t="shared" si="226"/>
        <v/>
      </c>
      <c r="AS334" s="32" t="str">
        <f t="shared" si="227"/>
        <v/>
      </c>
      <c r="AT334" s="32" t="str">
        <f t="shared" si="228"/>
        <v/>
      </c>
      <c r="AU334" s="34" t="str">
        <f t="shared" si="229"/>
        <v/>
      </c>
      <c r="AV334" s="32" t="str">
        <f t="shared" si="230"/>
        <v/>
      </c>
      <c r="AW334" s="32" t="str">
        <f t="shared" si="231"/>
        <v/>
      </c>
      <c r="AX334" s="32" t="str">
        <f t="shared" si="232"/>
        <v/>
      </c>
      <c r="AY334" s="32" t="str">
        <f t="shared" si="233"/>
        <v/>
      </c>
    </row>
    <row r="335" spans="1:51" x14ac:dyDescent="0.25">
      <c r="A335" s="24" t="str">
        <f t="shared" si="234"/>
        <v/>
      </c>
      <c r="B335" s="24" t="str">
        <f t="shared" si="244"/>
        <v/>
      </c>
      <c r="C335" s="32" t="str">
        <f t="shared" si="235"/>
        <v/>
      </c>
      <c r="D335" s="24" t="str">
        <f t="shared" si="236"/>
        <v/>
      </c>
      <c r="E335" s="24" t="str">
        <f t="shared" si="237"/>
        <v/>
      </c>
      <c r="F335" s="32" t="str">
        <f t="shared" si="238"/>
        <v/>
      </c>
      <c r="G335" s="32" t="str">
        <f t="shared" si="239"/>
        <v/>
      </c>
      <c r="H335" s="32" t="str">
        <f t="shared" ca="1" si="240"/>
        <v/>
      </c>
      <c r="I335" s="32" t="str">
        <f t="shared" ca="1" si="245"/>
        <v/>
      </c>
      <c r="J335" s="32" t="str">
        <f t="shared" si="241"/>
        <v/>
      </c>
      <c r="K335" s="32" t="str">
        <f>IF(ISNUMBER(A335),Profile!$V$25+Profile!$V$24*'Ri-Po'!C335,"")</f>
        <v/>
      </c>
      <c r="L335" s="32" t="str">
        <f t="shared" si="246"/>
        <v/>
      </c>
      <c r="M335" s="32" t="str">
        <f t="shared" si="242"/>
        <v/>
      </c>
      <c r="N335" s="32" t="str">
        <f t="shared" si="243"/>
        <v/>
      </c>
      <c r="O335" s="32" t="str">
        <f t="shared" si="259"/>
        <v/>
      </c>
      <c r="P335" s="32" t="str">
        <f t="shared" si="247"/>
        <v/>
      </c>
      <c r="Q335" s="32" t="str">
        <f t="shared" si="248"/>
        <v/>
      </c>
      <c r="R335" s="32" t="str">
        <f t="shared" si="260"/>
        <v/>
      </c>
      <c r="S335" s="24" t="str">
        <f t="shared" si="261"/>
        <v/>
      </c>
      <c r="T335" s="24" t="str">
        <f t="shared" si="262"/>
        <v/>
      </c>
      <c r="U335" s="24" t="str">
        <f t="shared" si="263"/>
        <v/>
      </c>
      <c r="V335" s="24" t="str">
        <f t="shared" si="264"/>
        <v/>
      </c>
      <c r="W335" s="23" t="str">
        <f t="array" ref="W335">IFERROR(SMALL(IF(S$1:S$1000="BEGIN",ROW(S$1:S$1000)),ROW()-3),"")</f>
        <v/>
      </c>
      <c r="X335" s="23" t="str">
        <f t="array" ref="X335">IFERROR(SMALL(IF(T$1:T$1000="END",ROW(T$1:T$1000)),ROW()-3),"")</f>
        <v/>
      </c>
      <c r="Y335" s="33" t="str">
        <f t="array" ref="Y335">IF(ISNUMBER(W335),MAX(IF((B$4:B$1000&lt;=X335)*(B$4:B$1000&gt;=W335),I$4:I$1000, "")),"")</f>
        <v/>
      </c>
      <c r="Z335" s="33" t="str">
        <f t="shared" si="249"/>
        <v/>
      </c>
      <c r="AA335" s="32" t="str">
        <f t="shared" si="250"/>
        <v/>
      </c>
      <c r="AB335" s="32" t="str">
        <f t="shared" si="251"/>
        <v/>
      </c>
      <c r="AC335" s="32" t="str">
        <f t="shared" si="252"/>
        <v/>
      </c>
      <c r="AD335" s="32" t="str">
        <f t="shared" si="253"/>
        <v/>
      </c>
      <c r="AE335" s="34" t="str">
        <f t="shared" si="254"/>
        <v/>
      </c>
      <c r="AF335" s="32" t="str">
        <f t="shared" si="255"/>
        <v/>
      </c>
      <c r="AG335" s="32" t="str">
        <f t="shared" si="256"/>
        <v/>
      </c>
      <c r="AH335" s="32" t="str">
        <f t="shared" si="257"/>
        <v/>
      </c>
      <c r="AI335" s="35" t="str">
        <f t="shared" si="258"/>
        <v/>
      </c>
      <c r="AJ335" s="23" t="str">
        <f t="array" ref="AJ335">IFERROR(SMALL(IF(U$1:U$1000="BEGIN",ROW(U$1:U$1000)),ROW()-3),"")</f>
        <v/>
      </c>
      <c r="AK335" s="23" t="str">
        <f t="array" ref="AK335">IFERROR(SMALL(IF(V$1:V$1000="END",ROW(V$1:V$1000)),ROW()-3),"")</f>
        <v/>
      </c>
      <c r="AL335" s="24" t="str">
        <f t="array" ref="AL335">IF(AK335="","",MATCH(AM335,L:L,0))</f>
        <v/>
      </c>
      <c r="AM335" s="35">
        <f t="array" ref="AM335">MAX(IF((B$4:B$1000&lt;=AK335)*(B$4:B$1000&gt;=AJ335),L$4:L$1000, ""))</f>
        <v>0</v>
      </c>
      <c r="AN335" s="32" t="str">
        <f t="shared" si="222"/>
        <v/>
      </c>
      <c r="AO335" s="32" t="str">
        <f t="shared" si="223"/>
        <v/>
      </c>
      <c r="AP335" s="32" t="str">
        <f t="shared" si="224"/>
        <v/>
      </c>
      <c r="AQ335" s="32" t="str">
        <f t="shared" si="225"/>
        <v/>
      </c>
      <c r="AR335" s="32" t="str">
        <f t="shared" si="226"/>
        <v/>
      </c>
      <c r="AS335" s="32" t="str">
        <f t="shared" si="227"/>
        <v/>
      </c>
      <c r="AT335" s="32" t="str">
        <f t="shared" si="228"/>
        <v/>
      </c>
      <c r="AU335" s="34" t="str">
        <f t="shared" si="229"/>
        <v/>
      </c>
      <c r="AV335" s="32" t="str">
        <f t="shared" si="230"/>
        <v/>
      </c>
      <c r="AW335" s="32" t="str">
        <f t="shared" si="231"/>
        <v/>
      </c>
      <c r="AX335" s="32" t="str">
        <f t="shared" si="232"/>
        <v/>
      </c>
      <c r="AY335" s="32" t="str">
        <f t="shared" si="233"/>
        <v/>
      </c>
    </row>
    <row r="336" spans="1:51" x14ac:dyDescent="0.25">
      <c r="A336" s="24" t="str">
        <f t="shared" si="234"/>
        <v/>
      </c>
      <c r="B336" s="24" t="str">
        <f t="shared" si="244"/>
        <v/>
      </c>
      <c r="C336" s="32" t="str">
        <f t="shared" si="235"/>
        <v/>
      </c>
      <c r="D336" s="24" t="str">
        <f t="shared" si="236"/>
        <v/>
      </c>
      <c r="E336" s="24" t="str">
        <f t="shared" si="237"/>
        <v/>
      </c>
      <c r="F336" s="32" t="str">
        <f t="shared" si="238"/>
        <v/>
      </c>
      <c r="G336" s="32" t="str">
        <f t="shared" si="239"/>
        <v/>
      </c>
      <c r="H336" s="32" t="str">
        <f t="shared" ca="1" si="240"/>
        <v/>
      </c>
      <c r="I336" s="32" t="str">
        <f t="shared" ca="1" si="245"/>
        <v/>
      </c>
      <c r="J336" s="32" t="str">
        <f t="shared" si="241"/>
        <v/>
      </c>
      <c r="K336" s="32" t="str">
        <f>IF(ISNUMBER(A336),Profile!$V$25+Profile!$V$24*'Ri-Po'!C336,"")</f>
        <v/>
      </c>
      <c r="L336" s="32" t="str">
        <f t="shared" si="246"/>
        <v/>
      </c>
      <c r="M336" s="32" t="str">
        <f t="shared" si="242"/>
        <v/>
      </c>
      <c r="N336" s="32" t="str">
        <f t="shared" si="243"/>
        <v/>
      </c>
      <c r="O336" s="32" t="str">
        <f t="shared" si="259"/>
        <v/>
      </c>
      <c r="P336" s="32" t="str">
        <f t="shared" si="247"/>
        <v/>
      </c>
      <c r="Q336" s="32" t="str">
        <f t="shared" si="248"/>
        <v/>
      </c>
      <c r="R336" s="32" t="str">
        <f t="shared" si="260"/>
        <v/>
      </c>
      <c r="S336" s="24" t="str">
        <f t="shared" si="261"/>
        <v/>
      </c>
      <c r="T336" s="24" t="str">
        <f t="shared" si="262"/>
        <v/>
      </c>
      <c r="U336" s="24" t="str">
        <f t="shared" si="263"/>
        <v/>
      </c>
      <c r="V336" s="24" t="str">
        <f t="shared" si="264"/>
        <v/>
      </c>
      <c r="W336" s="23" t="str">
        <f t="array" ref="W336">IFERROR(SMALL(IF(S$1:S$1000="BEGIN",ROW(S$1:S$1000)),ROW()-3),"")</f>
        <v/>
      </c>
      <c r="X336" s="23" t="str">
        <f t="array" ref="X336">IFERROR(SMALL(IF(T$1:T$1000="END",ROW(T$1:T$1000)),ROW()-3),"")</f>
        <v/>
      </c>
      <c r="Y336" s="33" t="str">
        <f t="array" ref="Y336">IF(ISNUMBER(W336),MAX(IF((B$4:B$1000&lt;=X336)*(B$4:B$1000&gt;=W336),I$4:I$1000, "")),"")</f>
        <v/>
      </c>
      <c r="Z336" s="33" t="str">
        <f t="shared" si="249"/>
        <v/>
      </c>
      <c r="AA336" s="32" t="str">
        <f t="shared" si="250"/>
        <v/>
      </c>
      <c r="AB336" s="32" t="str">
        <f t="shared" si="251"/>
        <v/>
      </c>
      <c r="AC336" s="32" t="str">
        <f t="shared" si="252"/>
        <v/>
      </c>
      <c r="AD336" s="32" t="str">
        <f t="shared" si="253"/>
        <v/>
      </c>
      <c r="AE336" s="34" t="str">
        <f t="shared" si="254"/>
        <v/>
      </c>
      <c r="AF336" s="32" t="str">
        <f t="shared" si="255"/>
        <v/>
      </c>
      <c r="AG336" s="32" t="str">
        <f t="shared" si="256"/>
        <v/>
      </c>
      <c r="AH336" s="32" t="str">
        <f t="shared" si="257"/>
        <v/>
      </c>
      <c r="AI336" s="35" t="str">
        <f t="shared" si="258"/>
        <v/>
      </c>
      <c r="AJ336" s="23" t="str">
        <f t="array" ref="AJ336">IFERROR(SMALL(IF(U$1:U$1000="BEGIN",ROW(U$1:U$1000)),ROW()-3),"")</f>
        <v/>
      </c>
      <c r="AK336" s="23" t="str">
        <f t="array" ref="AK336">IFERROR(SMALL(IF(V$1:V$1000="END",ROW(V$1:V$1000)),ROW()-3),"")</f>
        <v/>
      </c>
      <c r="AL336" s="24" t="str">
        <f t="array" ref="AL336">IF(AK336="","",MATCH(AM336,L:L,0))</f>
        <v/>
      </c>
      <c r="AM336" s="35">
        <f t="array" ref="AM336">MAX(IF((B$4:B$1000&lt;=AK336)*(B$4:B$1000&gt;=AJ336),L$4:L$1000, ""))</f>
        <v>0</v>
      </c>
      <c r="AN336" s="32" t="str">
        <f t="shared" si="222"/>
        <v/>
      </c>
      <c r="AO336" s="32" t="str">
        <f t="shared" si="223"/>
        <v/>
      </c>
      <c r="AP336" s="32" t="str">
        <f t="shared" si="224"/>
        <v/>
      </c>
      <c r="AQ336" s="32" t="str">
        <f t="shared" si="225"/>
        <v/>
      </c>
      <c r="AR336" s="32" t="str">
        <f t="shared" si="226"/>
        <v/>
      </c>
      <c r="AS336" s="32" t="str">
        <f t="shared" si="227"/>
        <v/>
      </c>
      <c r="AT336" s="32" t="str">
        <f t="shared" si="228"/>
        <v/>
      </c>
      <c r="AU336" s="34" t="str">
        <f t="shared" si="229"/>
        <v/>
      </c>
      <c r="AV336" s="32" t="str">
        <f t="shared" si="230"/>
        <v/>
      </c>
      <c r="AW336" s="32" t="str">
        <f t="shared" si="231"/>
        <v/>
      </c>
      <c r="AX336" s="32" t="str">
        <f t="shared" si="232"/>
        <v/>
      </c>
      <c r="AY336" s="32" t="str">
        <f t="shared" si="233"/>
        <v/>
      </c>
    </row>
    <row r="337" spans="1:51" x14ac:dyDescent="0.25">
      <c r="A337" s="24" t="str">
        <f t="shared" si="234"/>
        <v/>
      </c>
      <c r="B337" s="24" t="str">
        <f t="shared" si="244"/>
        <v/>
      </c>
      <c r="C337" s="32" t="str">
        <f t="shared" si="235"/>
        <v/>
      </c>
      <c r="D337" s="24" t="str">
        <f t="shared" si="236"/>
        <v/>
      </c>
      <c r="E337" s="24" t="str">
        <f t="shared" si="237"/>
        <v/>
      </c>
      <c r="F337" s="32" t="str">
        <f t="shared" si="238"/>
        <v/>
      </c>
      <c r="G337" s="32" t="str">
        <f t="shared" si="239"/>
        <v/>
      </c>
      <c r="H337" s="32" t="str">
        <f t="shared" ca="1" si="240"/>
        <v/>
      </c>
      <c r="I337" s="32" t="str">
        <f t="shared" ca="1" si="245"/>
        <v/>
      </c>
      <c r="J337" s="32" t="str">
        <f t="shared" si="241"/>
        <v/>
      </c>
      <c r="K337" s="32" t="str">
        <f>IF(ISNUMBER(A337),Profile!$V$25+Profile!$V$24*'Ri-Po'!C337,"")</f>
        <v/>
      </c>
      <c r="L337" s="32" t="str">
        <f t="shared" si="246"/>
        <v/>
      </c>
      <c r="M337" s="32" t="str">
        <f t="shared" si="242"/>
        <v/>
      </c>
      <c r="N337" s="32" t="str">
        <f t="shared" si="243"/>
        <v/>
      </c>
      <c r="O337" s="32" t="str">
        <f t="shared" si="259"/>
        <v/>
      </c>
      <c r="P337" s="32" t="str">
        <f t="shared" si="247"/>
        <v/>
      </c>
      <c r="Q337" s="32" t="str">
        <f t="shared" si="248"/>
        <v/>
      </c>
      <c r="R337" s="32" t="str">
        <f t="shared" si="260"/>
        <v/>
      </c>
      <c r="S337" s="24" t="str">
        <f t="shared" si="261"/>
        <v/>
      </c>
      <c r="T337" s="24" t="str">
        <f t="shared" si="262"/>
        <v/>
      </c>
      <c r="U337" s="24" t="str">
        <f t="shared" si="263"/>
        <v/>
      </c>
      <c r="V337" s="24" t="str">
        <f t="shared" si="264"/>
        <v/>
      </c>
      <c r="W337" s="23" t="str">
        <f t="array" ref="W337">IFERROR(SMALL(IF(S$1:S$1000="BEGIN",ROW(S$1:S$1000)),ROW()-3),"")</f>
        <v/>
      </c>
      <c r="X337" s="23" t="str">
        <f t="array" ref="X337">IFERROR(SMALL(IF(T$1:T$1000="END",ROW(T$1:T$1000)),ROW()-3),"")</f>
        <v/>
      </c>
      <c r="Y337" s="33" t="str">
        <f t="array" ref="Y337">IF(ISNUMBER(W337),MAX(IF((B$4:B$1000&lt;=X337)*(B$4:B$1000&gt;=W337),I$4:I$1000, "")),"")</f>
        <v/>
      </c>
      <c r="Z337" s="33" t="str">
        <f t="shared" si="249"/>
        <v/>
      </c>
      <c r="AA337" s="32" t="str">
        <f t="shared" si="250"/>
        <v/>
      </c>
      <c r="AB337" s="32" t="str">
        <f t="shared" si="251"/>
        <v/>
      </c>
      <c r="AC337" s="32" t="str">
        <f t="shared" si="252"/>
        <v/>
      </c>
      <c r="AD337" s="32" t="str">
        <f t="shared" si="253"/>
        <v/>
      </c>
      <c r="AE337" s="34" t="str">
        <f t="shared" si="254"/>
        <v/>
      </c>
      <c r="AF337" s="32" t="str">
        <f t="shared" si="255"/>
        <v/>
      </c>
      <c r="AG337" s="32" t="str">
        <f t="shared" si="256"/>
        <v/>
      </c>
      <c r="AH337" s="32" t="str">
        <f t="shared" si="257"/>
        <v/>
      </c>
      <c r="AI337" s="35" t="str">
        <f t="shared" si="258"/>
        <v/>
      </c>
      <c r="AJ337" s="23" t="str">
        <f t="array" ref="AJ337">IFERROR(SMALL(IF(U$1:U$1000="BEGIN",ROW(U$1:U$1000)),ROW()-3),"")</f>
        <v/>
      </c>
      <c r="AK337" s="23" t="str">
        <f t="array" ref="AK337">IFERROR(SMALL(IF(V$1:V$1000="END",ROW(V$1:V$1000)),ROW()-3),"")</f>
        <v/>
      </c>
      <c r="AL337" s="24" t="str">
        <f t="array" ref="AL337">IF(AK337="","",MATCH(AM337,L:L,0))</f>
        <v/>
      </c>
      <c r="AM337" s="35">
        <f t="array" ref="AM337">MAX(IF((B$4:B$1000&lt;=AK337)*(B$4:B$1000&gt;=AJ337),L$4:L$1000, ""))</f>
        <v>0</v>
      </c>
      <c r="AN337" s="32" t="str">
        <f t="shared" si="222"/>
        <v/>
      </c>
      <c r="AO337" s="32" t="str">
        <f t="shared" si="223"/>
        <v/>
      </c>
      <c r="AP337" s="32" t="str">
        <f t="shared" si="224"/>
        <v/>
      </c>
      <c r="AQ337" s="32" t="str">
        <f t="shared" si="225"/>
        <v/>
      </c>
      <c r="AR337" s="32" t="str">
        <f t="shared" si="226"/>
        <v/>
      </c>
      <c r="AS337" s="32" t="str">
        <f t="shared" si="227"/>
        <v/>
      </c>
      <c r="AT337" s="32" t="str">
        <f t="shared" si="228"/>
        <v/>
      </c>
      <c r="AU337" s="34" t="str">
        <f t="shared" si="229"/>
        <v/>
      </c>
      <c r="AV337" s="32" t="str">
        <f t="shared" si="230"/>
        <v/>
      </c>
      <c r="AW337" s="32" t="str">
        <f t="shared" si="231"/>
        <v/>
      </c>
      <c r="AX337" s="32" t="str">
        <f t="shared" si="232"/>
        <v/>
      </c>
      <c r="AY337" s="32" t="str">
        <f t="shared" si="233"/>
        <v/>
      </c>
    </row>
    <row r="338" spans="1:51" x14ac:dyDescent="0.25">
      <c r="A338" s="24" t="str">
        <f t="shared" si="234"/>
        <v/>
      </c>
      <c r="B338" s="24" t="str">
        <f t="shared" si="244"/>
        <v/>
      </c>
      <c r="C338" s="32" t="str">
        <f t="shared" si="235"/>
        <v/>
      </c>
      <c r="D338" s="24" t="str">
        <f t="shared" si="236"/>
        <v/>
      </c>
      <c r="E338" s="24" t="str">
        <f t="shared" si="237"/>
        <v/>
      </c>
      <c r="F338" s="32" t="str">
        <f t="shared" si="238"/>
        <v/>
      </c>
      <c r="G338" s="32" t="str">
        <f t="shared" si="239"/>
        <v/>
      </c>
      <c r="H338" s="32" t="str">
        <f t="shared" ca="1" si="240"/>
        <v/>
      </c>
      <c r="I338" s="32" t="str">
        <f t="shared" ca="1" si="245"/>
        <v/>
      </c>
      <c r="J338" s="32" t="str">
        <f t="shared" si="241"/>
        <v/>
      </c>
      <c r="K338" s="32" t="str">
        <f>IF(ISNUMBER(A338),Profile!$V$25+Profile!$V$24*'Ri-Po'!C338,"")</f>
        <v/>
      </c>
      <c r="L338" s="32" t="str">
        <f t="shared" si="246"/>
        <v/>
      </c>
      <c r="M338" s="32" t="str">
        <f t="shared" si="242"/>
        <v/>
      </c>
      <c r="N338" s="32" t="str">
        <f t="shared" si="243"/>
        <v/>
      </c>
      <c r="O338" s="32" t="str">
        <f t="shared" si="259"/>
        <v/>
      </c>
      <c r="P338" s="32" t="str">
        <f t="shared" si="247"/>
        <v/>
      </c>
      <c r="Q338" s="32" t="str">
        <f t="shared" si="248"/>
        <v/>
      </c>
      <c r="R338" s="32" t="str">
        <f t="shared" si="260"/>
        <v/>
      </c>
      <c r="S338" s="24" t="str">
        <f t="shared" si="261"/>
        <v/>
      </c>
      <c r="T338" s="24" t="str">
        <f t="shared" si="262"/>
        <v/>
      </c>
      <c r="U338" s="24" t="str">
        <f t="shared" si="263"/>
        <v/>
      </c>
      <c r="V338" s="24" t="str">
        <f t="shared" si="264"/>
        <v/>
      </c>
      <c r="W338" s="23" t="str">
        <f t="array" ref="W338">IFERROR(SMALL(IF(S$1:S$1000="BEGIN",ROW(S$1:S$1000)),ROW()-3),"")</f>
        <v/>
      </c>
      <c r="X338" s="23" t="str">
        <f t="array" ref="X338">IFERROR(SMALL(IF(T$1:T$1000="END",ROW(T$1:T$1000)),ROW()-3),"")</f>
        <v/>
      </c>
      <c r="Y338" s="33" t="str">
        <f t="array" ref="Y338">IF(ISNUMBER(W338),MAX(IF((B$4:B$1000&lt;=X338)*(B$4:B$1000&gt;=W338),I$4:I$1000, "")),"")</f>
        <v/>
      </c>
      <c r="Z338" s="33" t="str">
        <f t="shared" si="249"/>
        <v/>
      </c>
      <c r="AA338" s="32" t="str">
        <f t="shared" si="250"/>
        <v/>
      </c>
      <c r="AB338" s="32" t="str">
        <f t="shared" si="251"/>
        <v/>
      </c>
      <c r="AC338" s="32" t="str">
        <f t="shared" si="252"/>
        <v/>
      </c>
      <c r="AD338" s="32" t="str">
        <f t="shared" si="253"/>
        <v/>
      </c>
      <c r="AE338" s="34" t="str">
        <f t="shared" si="254"/>
        <v/>
      </c>
      <c r="AF338" s="32" t="str">
        <f t="shared" si="255"/>
        <v/>
      </c>
      <c r="AG338" s="32" t="str">
        <f t="shared" si="256"/>
        <v/>
      </c>
      <c r="AH338" s="32" t="str">
        <f t="shared" si="257"/>
        <v/>
      </c>
      <c r="AI338" s="35" t="str">
        <f t="shared" si="258"/>
        <v/>
      </c>
      <c r="AJ338" s="23" t="str">
        <f t="array" ref="AJ338">IFERROR(SMALL(IF(U$1:U$1000="BEGIN",ROW(U$1:U$1000)),ROW()-3),"")</f>
        <v/>
      </c>
      <c r="AK338" s="23" t="str">
        <f t="array" ref="AK338">IFERROR(SMALL(IF(V$1:V$1000="END",ROW(V$1:V$1000)),ROW()-3),"")</f>
        <v/>
      </c>
      <c r="AL338" s="24" t="str">
        <f t="array" ref="AL338">IF(AK338="","",MATCH(AM338,L:L,0))</f>
        <v/>
      </c>
      <c r="AM338" s="35">
        <f t="array" ref="AM338">MAX(IF((B$4:B$1000&lt;=AK338)*(B$4:B$1000&gt;=AJ338),L$4:L$1000, ""))</f>
        <v>0</v>
      </c>
      <c r="AN338" s="32" t="str">
        <f t="shared" ref="AN338:AN401" si="265">IFERROR(INDEX(C:C,AJ338),"")</f>
        <v/>
      </c>
      <c r="AO338" s="32" t="str">
        <f t="shared" ref="AO338:AO401" si="266">IFERROR(INDEX(C:C,AK338),"")</f>
        <v/>
      </c>
      <c r="AP338" s="32" t="str">
        <f t="shared" ref="AP338:AP401" si="267">IFERROR(INDEX(C:C,AL338),"")</f>
        <v/>
      </c>
      <c r="AQ338" s="32" t="str">
        <f t="shared" ref="AQ338:AQ401" si="268">IF(ISNUMBER(AN338),AM338,"")</f>
        <v/>
      </c>
      <c r="AR338" s="32" t="str">
        <f t="shared" ref="AR338:AR401" si="269">IFERROR(AO338-AN338,"")</f>
        <v/>
      </c>
      <c r="AS338" s="32" t="str">
        <f t="shared" ref="AS338:AS401" si="270">IFERROR(INDEX(H:H,AJ338),"")</f>
        <v/>
      </c>
      <c r="AT338" s="32" t="str">
        <f t="shared" ref="AT338:AT401" si="271">IFERROR(INDEX(H:H,AK338),"")</f>
        <v/>
      </c>
      <c r="AU338" s="34" t="str">
        <f t="shared" ref="AU338:AU401" si="272">IFERROR((AS338-AT338)/(AR338),"")</f>
        <v/>
      </c>
      <c r="AV338" s="32" t="str">
        <f t="shared" ref="AV338:AV401" si="273">IFERROR(AQ338/$BB$17,"")</f>
        <v/>
      </c>
      <c r="AW338" s="32" t="str">
        <f t="shared" ref="AW338:AW401" si="274">IFERROR(AU338/BB$19,"")</f>
        <v/>
      </c>
      <c r="AX338" s="32" t="str">
        <f t="shared" ref="AX338:AX401" si="275">IFERROR(AP339-AP338,"")</f>
        <v/>
      </c>
      <c r="AY338" s="32" t="str">
        <f t="shared" ref="AY338:AY401" si="276">IFERROR(AX338/BB$16,"")</f>
        <v/>
      </c>
    </row>
    <row r="339" spans="1:51" x14ac:dyDescent="0.25">
      <c r="A339" s="24" t="str">
        <f t="shared" si="234"/>
        <v/>
      </c>
      <c r="B339" s="24" t="str">
        <f t="shared" si="244"/>
        <v/>
      </c>
      <c r="C339" s="32" t="str">
        <f t="shared" si="235"/>
        <v/>
      </c>
      <c r="D339" s="24" t="str">
        <f t="shared" si="236"/>
        <v/>
      </c>
      <c r="E339" s="24" t="str">
        <f t="shared" si="237"/>
        <v/>
      </c>
      <c r="F339" s="32" t="str">
        <f t="shared" si="238"/>
        <v/>
      </c>
      <c r="G339" s="32" t="str">
        <f t="shared" si="239"/>
        <v/>
      </c>
      <c r="H339" s="32" t="str">
        <f t="shared" ca="1" si="240"/>
        <v/>
      </c>
      <c r="I339" s="32" t="str">
        <f t="shared" ca="1" si="245"/>
        <v/>
      </c>
      <c r="J339" s="32" t="str">
        <f t="shared" si="241"/>
        <v/>
      </c>
      <c r="K339" s="32" t="str">
        <f>IF(ISNUMBER(A339),Profile!$V$25+Profile!$V$24*'Ri-Po'!C339,"")</f>
        <v/>
      </c>
      <c r="L339" s="32" t="str">
        <f t="shared" si="246"/>
        <v/>
      </c>
      <c r="M339" s="32" t="str">
        <f t="shared" si="242"/>
        <v/>
      </c>
      <c r="N339" s="32" t="str">
        <f t="shared" si="243"/>
        <v/>
      </c>
      <c r="O339" s="32" t="str">
        <f t="shared" si="259"/>
        <v/>
      </c>
      <c r="P339" s="32" t="str">
        <f t="shared" si="247"/>
        <v/>
      </c>
      <c r="Q339" s="32" t="str">
        <f t="shared" si="248"/>
        <v/>
      </c>
      <c r="R339" s="32" t="str">
        <f t="shared" si="260"/>
        <v/>
      </c>
      <c r="S339" s="24" t="str">
        <f t="shared" si="261"/>
        <v/>
      </c>
      <c r="T339" s="24" t="str">
        <f t="shared" si="262"/>
        <v/>
      </c>
      <c r="U339" s="24" t="str">
        <f t="shared" si="263"/>
        <v/>
      </c>
      <c r="V339" s="24" t="str">
        <f t="shared" si="264"/>
        <v/>
      </c>
      <c r="W339" s="23" t="str">
        <f t="array" ref="W339">IFERROR(SMALL(IF(S$1:S$1000="BEGIN",ROW(S$1:S$1000)),ROW()-3),"")</f>
        <v/>
      </c>
      <c r="X339" s="23" t="str">
        <f t="array" ref="X339">IFERROR(SMALL(IF(T$1:T$1000="END",ROW(T$1:T$1000)),ROW()-3),"")</f>
        <v/>
      </c>
      <c r="Y339" s="33" t="str">
        <f t="array" ref="Y339">IF(ISNUMBER(W339),MAX(IF((B$4:B$1000&lt;=X339)*(B$4:B$1000&gt;=W339),I$4:I$1000, "")),"")</f>
        <v/>
      </c>
      <c r="Z339" s="33" t="str">
        <f t="shared" si="249"/>
        <v/>
      </c>
      <c r="AA339" s="32" t="str">
        <f t="shared" si="250"/>
        <v/>
      </c>
      <c r="AB339" s="32" t="str">
        <f t="shared" si="251"/>
        <v/>
      </c>
      <c r="AC339" s="32" t="str">
        <f t="shared" si="252"/>
        <v/>
      </c>
      <c r="AD339" s="32" t="str">
        <f t="shared" si="253"/>
        <v/>
      </c>
      <c r="AE339" s="34" t="str">
        <f t="shared" si="254"/>
        <v/>
      </c>
      <c r="AF339" s="32" t="str">
        <f t="shared" si="255"/>
        <v/>
      </c>
      <c r="AG339" s="32" t="str">
        <f t="shared" si="256"/>
        <v/>
      </c>
      <c r="AH339" s="32" t="str">
        <f t="shared" si="257"/>
        <v/>
      </c>
      <c r="AI339" s="35" t="str">
        <f t="shared" si="258"/>
        <v/>
      </c>
      <c r="AJ339" s="23" t="str">
        <f t="array" ref="AJ339">IFERROR(SMALL(IF(U$1:U$1000="BEGIN",ROW(U$1:U$1000)),ROW()-3),"")</f>
        <v/>
      </c>
      <c r="AK339" s="23" t="str">
        <f t="array" ref="AK339">IFERROR(SMALL(IF(V$1:V$1000="END",ROW(V$1:V$1000)),ROW()-3),"")</f>
        <v/>
      </c>
      <c r="AL339" s="24" t="str">
        <f t="array" ref="AL339">IF(AK339="","",MATCH(AM339,L:L,0))</f>
        <v/>
      </c>
      <c r="AM339" s="35">
        <f t="array" ref="AM339">MAX(IF((B$4:B$1000&lt;=AK339)*(B$4:B$1000&gt;=AJ339),L$4:L$1000, ""))</f>
        <v>0</v>
      </c>
      <c r="AN339" s="32" t="str">
        <f t="shared" si="265"/>
        <v/>
      </c>
      <c r="AO339" s="32" t="str">
        <f t="shared" si="266"/>
        <v/>
      </c>
      <c r="AP339" s="32" t="str">
        <f t="shared" si="267"/>
        <v/>
      </c>
      <c r="AQ339" s="32" t="str">
        <f t="shared" si="268"/>
        <v/>
      </c>
      <c r="AR339" s="32" t="str">
        <f t="shared" si="269"/>
        <v/>
      </c>
      <c r="AS339" s="32" t="str">
        <f t="shared" si="270"/>
        <v/>
      </c>
      <c r="AT339" s="32" t="str">
        <f t="shared" si="271"/>
        <v/>
      </c>
      <c r="AU339" s="34" t="str">
        <f t="shared" si="272"/>
        <v/>
      </c>
      <c r="AV339" s="32" t="str">
        <f t="shared" si="273"/>
        <v/>
      </c>
      <c r="AW339" s="32" t="str">
        <f t="shared" si="274"/>
        <v/>
      </c>
      <c r="AX339" s="32" t="str">
        <f t="shared" si="275"/>
        <v/>
      </c>
      <c r="AY339" s="32" t="str">
        <f t="shared" si="276"/>
        <v/>
      </c>
    </row>
    <row r="340" spans="1:51" x14ac:dyDescent="0.25">
      <c r="A340" s="24" t="str">
        <f t="shared" si="234"/>
        <v/>
      </c>
      <c r="B340" s="24" t="str">
        <f t="shared" si="244"/>
        <v/>
      </c>
      <c r="C340" s="32" t="str">
        <f t="shared" si="235"/>
        <v/>
      </c>
      <c r="D340" s="24" t="str">
        <f t="shared" si="236"/>
        <v/>
      </c>
      <c r="E340" s="24" t="str">
        <f t="shared" si="237"/>
        <v/>
      </c>
      <c r="F340" s="32" t="str">
        <f t="shared" si="238"/>
        <v/>
      </c>
      <c r="G340" s="32" t="str">
        <f t="shared" si="239"/>
        <v/>
      </c>
      <c r="H340" s="32" t="str">
        <f t="shared" ca="1" si="240"/>
        <v/>
      </c>
      <c r="I340" s="32" t="str">
        <f t="shared" ca="1" si="245"/>
        <v/>
      </c>
      <c r="J340" s="32" t="str">
        <f t="shared" si="241"/>
        <v/>
      </c>
      <c r="K340" s="32" t="str">
        <f>IF(ISNUMBER(A340),Profile!$V$25+Profile!$V$24*'Ri-Po'!C340,"")</f>
        <v/>
      </c>
      <c r="L340" s="32" t="str">
        <f t="shared" si="246"/>
        <v/>
      </c>
      <c r="M340" s="32" t="str">
        <f t="shared" si="242"/>
        <v/>
      </c>
      <c r="N340" s="32" t="str">
        <f t="shared" si="243"/>
        <v/>
      </c>
      <c r="O340" s="32" t="str">
        <f t="shared" si="259"/>
        <v/>
      </c>
      <c r="P340" s="32" t="str">
        <f t="shared" si="247"/>
        <v/>
      </c>
      <c r="Q340" s="32" t="str">
        <f t="shared" si="248"/>
        <v/>
      </c>
      <c r="R340" s="32" t="str">
        <f t="shared" si="260"/>
        <v/>
      </c>
      <c r="S340" s="24" t="str">
        <f t="shared" si="261"/>
        <v/>
      </c>
      <c r="T340" s="24" t="str">
        <f t="shared" si="262"/>
        <v/>
      </c>
      <c r="U340" s="24" t="str">
        <f t="shared" si="263"/>
        <v/>
      </c>
      <c r="V340" s="24" t="str">
        <f t="shared" si="264"/>
        <v/>
      </c>
      <c r="W340" s="23" t="str">
        <f t="array" ref="W340">IFERROR(SMALL(IF(S$1:S$1000="BEGIN",ROW(S$1:S$1000)),ROW()-3),"")</f>
        <v/>
      </c>
      <c r="X340" s="23" t="str">
        <f t="array" ref="X340">IFERROR(SMALL(IF(T$1:T$1000="END",ROW(T$1:T$1000)),ROW()-3),"")</f>
        <v/>
      </c>
      <c r="Y340" s="33" t="str">
        <f t="array" ref="Y340">IF(ISNUMBER(W340),MAX(IF((B$4:B$1000&lt;=X340)*(B$4:B$1000&gt;=W340),I$4:I$1000, "")),"")</f>
        <v/>
      </c>
      <c r="Z340" s="33" t="str">
        <f t="shared" si="249"/>
        <v/>
      </c>
      <c r="AA340" s="32" t="str">
        <f t="shared" si="250"/>
        <v/>
      </c>
      <c r="AB340" s="32" t="str">
        <f t="shared" si="251"/>
        <v/>
      </c>
      <c r="AC340" s="32" t="str">
        <f t="shared" si="252"/>
        <v/>
      </c>
      <c r="AD340" s="32" t="str">
        <f t="shared" si="253"/>
        <v/>
      </c>
      <c r="AE340" s="34" t="str">
        <f t="shared" si="254"/>
        <v/>
      </c>
      <c r="AF340" s="32" t="str">
        <f t="shared" si="255"/>
        <v/>
      </c>
      <c r="AG340" s="32" t="str">
        <f t="shared" si="256"/>
        <v/>
      </c>
      <c r="AH340" s="32" t="str">
        <f t="shared" si="257"/>
        <v/>
      </c>
      <c r="AI340" s="35" t="str">
        <f t="shared" si="258"/>
        <v/>
      </c>
      <c r="AJ340" s="23" t="str">
        <f t="array" ref="AJ340">IFERROR(SMALL(IF(U$1:U$1000="BEGIN",ROW(U$1:U$1000)),ROW()-3),"")</f>
        <v/>
      </c>
      <c r="AK340" s="23" t="str">
        <f t="array" ref="AK340">IFERROR(SMALL(IF(V$1:V$1000="END",ROW(V$1:V$1000)),ROW()-3),"")</f>
        <v/>
      </c>
      <c r="AL340" s="24" t="str">
        <f t="array" ref="AL340">IF(AK340="","",MATCH(AM340,L:L,0))</f>
        <v/>
      </c>
      <c r="AM340" s="35">
        <f t="array" ref="AM340">MAX(IF((B$4:B$1000&lt;=AK340)*(B$4:B$1000&gt;=AJ340),L$4:L$1000, ""))</f>
        <v>0</v>
      </c>
      <c r="AN340" s="32" t="str">
        <f t="shared" si="265"/>
        <v/>
      </c>
      <c r="AO340" s="32" t="str">
        <f t="shared" si="266"/>
        <v/>
      </c>
      <c r="AP340" s="32" t="str">
        <f t="shared" si="267"/>
        <v/>
      </c>
      <c r="AQ340" s="32" t="str">
        <f t="shared" si="268"/>
        <v/>
      </c>
      <c r="AR340" s="32" t="str">
        <f t="shared" si="269"/>
        <v/>
      </c>
      <c r="AS340" s="32" t="str">
        <f t="shared" si="270"/>
        <v/>
      </c>
      <c r="AT340" s="32" t="str">
        <f t="shared" si="271"/>
        <v/>
      </c>
      <c r="AU340" s="34" t="str">
        <f t="shared" si="272"/>
        <v/>
      </c>
      <c r="AV340" s="32" t="str">
        <f t="shared" si="273"/>
        <v/>
      </c>
      <c r="AW340" s="32" t="str">
        <f t="shared" si="274"/>
        <v/>
      </c>
      <c r="AX340" s="32" t="str">
        <f t="shared" si="275"/>
        <v/>
      </c>
      <c r="AY340" s="32" t="str">
        <f t="shared" si="276"/>
        <v/>
      </c>
    </row>
    <row r="341" spans="1:51" x14ac:dyDescent="0.25">
      <c r="A341" s="24" t="str">
        <f t="shared" si="234"/>
        <v/>
      </c>
      <c r="B341" s="24" t="str">
        <f t="shared" si="244"/>
        <v/>
      </c>
      <c r="C341" s="32" t="str">
        <f t="shared" si="235"/>
        <v/>
      </c>
      <c r="D341" s="24" t="str">
        <f t="shared" si="236"/>
        <v/>
      </c>
      <c r="E341" s="24" t="str">
        <f t="shared" si="237"/>
        <v/>
      </c>
      <c r="F341" s="32" t="str">
        <f t="shared" si="238"/>
        <v/>
      </c>
      <c r="G341" s="32" t="str">
        <f t="shared" si="239"/>
        <v/>
      </c>
      <c r="H341" s="32" t="str">
        <f t="shared" ca="1" si="240"/>
        <v/>
      </c>
      <c r="I341" s="32" t="str">
        <f t="shared" ca="1" si="245"/>
        <v/>
      </c>
      <c r="J341" s="32" t="str">
        <f t="shared" si="241"/>
        <v/>
      </c>
      <c r="K341" s="32" t="str">
        <f>IF(ISNUMBER(A341),Profile!$V$25+Profile!$V$24*'Ri-Po'!C341,"")</f>
        <v/>
      </c>
      <c r="L341" s="32" t="str">
        <f t="shared" si="246"/>
        <v/>
      </c>
      <c r="M341" s="32" t="str">
        <f t="shared" si="242"/>
        <v/>
      </c>
      <c r="N341" s="32" t="str">
        <f t="shared" si="243"/>
        <v/>
      </c>
      <c r="O341" s="32" t="str">
        <f t="shared" si="259"/>
        <v/>
      </c>
      <c r="P341" s="32" t="str">
        <f t="shared" si="247"/>
        <v/>
      </c>
      <c r="Q341" s="32" t="str">
        <f t="shared" si="248"/>
        <v/>
      </c>
      <c r="R341" s="32" t="str">
        <f t="shared" si="260"/>
        <v/>
      </c>
      <c r="S341" s="24" t="str">
        <f t="shared" si="261"/>
        <v/>
      </c>
      <c r="T341" s="24" t="str">
        <f t="shared" si="262"/>
        <v/>
      </c>
      <c r="U341" s="24" t="str">
        <f t="shared" si="263"/>
        <v/>
      </c>
      <c r="V341" s="24" t="str">
        <f t="shared" si="264"/>
        <v/>
      </c>
      <c r="W341" s="23" t="str">
        <f t="array" ref="W341">IFERROR(SMALL(IF(S$1:S$1000="BEGIN",ROW(S$1:S$1000)),ROW()-3),"")</f>
        <v/>
      </c>
      <c r="X341" s="23" t="str">
        <f t="array" ref="X341">IFERROR(SMALL(IF(T$1:T$1000="END",ROW(T$1:T$1000)),ROW()-3),"")</f>
        <v/>
      </c>
      <c r="Y341" s="33" t="str">
        <f t="array" ref="Y341">IF(ISNUMBER(W341),MAX(IF((B$4:B$1000&lt;=X341)*(B$4:B$1000&gt;=W341),I$4:I$1000, "")),"")</f>
        <v/>
      </c>
      <c r="Z341" s="33" t="str">
        <f t="shared" si="249"/>
        <v/>
      </c>
      <c r="AA341" s="32" t="str">
        <f t="shared" si="250"/>
        <v/>
      </c>
      <c r="AB341" s="32" t="str">
        <f t="shared" si="251"/>
        <v/>
      </c>
      <c r="AC341" s="32" t="str">
        <f t="shared" si="252"/>
        <v/>
      </c>
      <c r="AD341" s="32" t="str">
        <f t="shared" si="253"/>
        <v/>
      </c>
      <c r="AE341" s="34" t="str">
        <f t="shared" si="254"/>
        <v/>
      </c>
      <c r="AF341" s="32" t="str">
        <f t="shared" si="255"/>
        <v/>
      </c>
      <c r="AG341" s="32" t="str">
        <f t="shared" si="256"/>
        <v/>
      </c>
      <c r="AH341" s="32" t="str">
        <f t="shared" si="257"/>
        <v/>
      </c>
      <c r="AI341" s="35" t="str">
        <f t="shared" si="258"/>
        <v/>
      </c>
      <c r="AJ341" s="23" t="str">
        <f t="array" ref="AJ341">IFERROR(SMALL(IF(U$1:U$1000="BEGIN",ROW(U$1:U$1000)),ROW()-3),"")</f>
        <v/>
      </c>
      <c r="AK341" s="23" t="str">
        <f t="array" ref="AK341">IFERROR(SMALL(IF(V$1:V$1000="END",ROW(V$1:V$1000)),ROW()-3),"")</f>
        <v/>
      </c>
      <c r="AL341" s="24" t="str">
        <f t="array" ref="AL341">IF(AK341="","",MATCH(AM341,L:L,0))</f>
        <v/>
      </c>
      <c r="AM341" s="35">
        <f t="array" ref="AM341">MAX(IF((B$4:B$1000&lt;=AK341)*(B$4:B$1000&gt;=AJ341),L$4:L$1000, ""))</f>
        <v>0</v>
      </c>
      <c r="AN341" s="32" t="str">
        <f t="shared" si="265"/>
        <v/>
      </c>
      <c r="AO341" s="32" t="str">
        <f t="shared" si="266"/>
        <v/>
      </c>
      <c r="AP341" s="32" t="str">
        <f t="shared" si="267"/>
        <v/>
      </c>
      <c r="AQ341" s="32" t="str">
        <f t="shared" si="268"/>
        <v/>
      </c>
      <c r="AR341" s="32" t="str">
        <f t="shared" si="269"/>
        <v/>
      </c>
      <c r="AS341" s="32" t="str">
        <f t="shared" si="270"/>
        <v/>
      </c>
      <c r="AT341" s="32" t="str">
        <f t="shared" si="271"/>
        <v/>
      </c>
      <c r="AU341" s="34" t="str">
        <f t="shared" si="272"/>
        <v/>
      </c>
      <c r="AV341" s="32" t="str">
        <f t="shared" si="273"/>
        <v/>
      </c>
      <c r="AW341" s="32" t="str">
        <f t="shared" si="274"/>
        <v/>
      </c>
      <c r="AX341" s="32" t="str">
        <f t="shared" si="275"/>
        <v/>
      </c>
      <c r="AY341" s="32" t="str">
        <f t="shared" si="276"/>
        <v/>
      </c>
    </row>
    <row r="342" spans="1:51" x14ac:dyDescent="0.25">
      <c r="A342" s="24" t="str">
        <f t="shared" si="234"/>
        <v/>
      </c>
      <c r="B342" s="24" t="str">
        <f t="shared" si="244"/>
        <v/>
      </c>
      <c r="C342" s="32" t="str">
        <f t="shared" si="235"/>
        <v/>
      </c>
      <c r="D342" s="24" t="str">
        <f t="shared" si="236"/>
        <v/>
      </c>
      <c r="E342" s="24" t="str">
        <f t="shared" si="237"/>
        <v/>
      </c>
      <c r="F342" s="32" t="str">
        <f t="shared" si="238"/>
        <v/>
      </c>
      <c r="G342" s="32" t="str">
        <f t="shared" si="239"/>
        <v/>
      </c>
      <c r="H342" s="32" t="str">
        <f t="shared" ca="1" si="240"/>
        <v/>
      </c>
      <c r="I342" s="32" t="str">
        <f t="shared" ca="1" si="245"/>
        <v/>
      </c>
      <c r="J342" s="32" t="str">
        <f t="shared" si="241"/>
        <v/>
      </c>
      <c r="K342" s="32" t="str">
        <f>IF(ISNUMBER(A342),Profile!$V$25+Profile!$V$24*'Ri-Po'!C342,"")</f>
        <v/>
      </c>
      <c r="L342" s="32" t="str">
        <f t="shared" si="246"/>
        <v/>
      </c>
      <c r="M342" s="32" t="str">
        <f t="shared" si="242"/>
        <v/>
      </c>
      <c r="N342" s="32" t="str">
        <f t="shared" si="243"/>
        <v/>
      </c>
      <c r="O342" s="32" t="str">
        <f t="shared" si="259"/>
        <v/>
      </c>
      <c r="P342" s="32" t="str">
        <f t="shared" si="247"/>
        <v/>
      </c>
      <c r="Q342" s="32" t="str">
        <f t="shared" si="248"/>
        <v/>
      </c>
      <c r="R342" s="32" t="str">
        <f t="shared" si="260"/>
        <v/>
      </c>
      <c r="S342" s="24" t="str">
        <f t="shared" si="261"/>
        <v/>
      </c>
      <c r="T342" s="24" t="str">
        <f t="shared" si="262"/>
        <v/>
      </c>
      <c r="U342" s="24" t="str">
        <f t="shared" si="263"/>
        <v/>
      </c>
      <c r="V342" s="24" t="str">
        <f t="shared" si="264"/>
        <v/>
      </c>
      <c r="W342" s="23" t="str">
        <f t="array" ref="W342">IFERROR(SMALL(IF(S$1:S$1000="BEGIN",ROW(S$1:S$1000)),ROW()-3),"")</f>
        <v/>
      </c>
      <c r="X342" s="23" t="str">
        <f t="array" ref="X342">IFERROR(SMALL(IF(T$1:T$1000="END",ROW(T$1:T$1000)),ROW()-3),"")</f>
        <v/>
      </c>
      <c r="Y342" s="33" t="str">
        <f t="array" ref="Y342">IF(ISNUMBER(W342),MAX(IF((B$4:B$1000&lt;=X342)*(B$4:B$1000&gt;=W342),I$4:I$1000, "")),"")</f>
        <v/>
      </c>
      <c r="Z342" s="33" t="str">
        <f t="shared" si="249"/>
        <v/>
      </c>
      <c r="AA342" s="32" t="str">
        <f t="shared" si="250"/>
        <v/>
      </c>
      <c r="AB342" s="32" t="str">
        <f t="shared" si="251"/>
        <v/>
      </c>
      <c r="AC342" s="32" t="str">
        <f t="shared" si="252"/>
        <v/>
      </c>
      <c r="AD342" s="32" t="str">
        <f t="shared" si="253"/>
        <v/>
      </c>
      <c r="AE342" s="34" t="str">
        <f t="shared" si="254"/>
        <v/>
      </c>
      <c r="AF342" s="32" t="str">
        <f t="shared" si="255"/>
        <v/>
      </c>
      <c r="AG342" s="32" t="str">
        <f t="shared" si="256"/>
        <v/>
      </c>
      <c r="AH342" s="32" t="str">
        <f t="shared" si="257"/>
        <v/>
      </c>
      <c r="AI342" s="35" t="str">
        <f t="shared" si="258"/>
        <v/>
      </c>
      <c r="AJ342" s="23" t="str">
        <f t="array" ref="AJ342">IFERROR(SMALL(IF(U$1:U$1000="BEGIN",ROW(U$1:U$1000)),ROW()-3),"")</f>
        <v/>
      </c>
      <c r="AK342" s="23" t="str">
        <f t="array" ref="AK342">IFERROR(SMALL(IF(V$1:V$1000="END",ROW(V$1:V$1000)),ROW()-3),"")</f>
        <v/>
      </c>
      <c r="AL342" s="24" t="str">
        <f t="array" ref="AL342">IF(AK342="","",MATCH(AM342,L:L,0))</f>
        <v/>
      </c>
      <c r="AM342" s="35">
        <f t="array" ref="AM342">MAX(IF((B$4:B$1000&lt;=AK342)*(B$4:B$1000&gt;=AJ342),L$4:L$1000, ""))</f>
        <v>0</v>
      </c>
      <c r="AN342" s="32" t="str">
        <f t="shared" si="265"/>
        <v/>
      </c>
      <c r="AO342" s="32" t="str">
        <f t="shared" si="266"/>
        <v/>
      </c>
      <c r="AP342" s="32" t="str">
        <f t="shared" si="267"/>
        <v/>
      </c>
      <c r="AQ342" s="32" t="str">
        <f t="shared" si="268"/>
        <v/>
      </c>
      <c r="AR342" s="32" t="str">
        <f t="shared" si="269"/>
        <v/>
      </c>
      <c r="AS342" s="32" t="str">
        <f t="shared" si="270"/>
        <v/>
      </c>
      <c r="AT342" s="32" t="str">
        <f t="shared" si="271"/>
        <v/>
      </c>
      <c r="AU342" s="34" t="str">
        <f t="shared" si="272"/>
        <v/>
      </c>
      <c r="AV342" s="32" t="str">
        <f t="shared" si="273"/>
        <v/>
      </c>
      <c r="AW342" s="32" t="str">
        <f t="shared" si="274"/>
        <v/>
      </c>
      <c r="AX342" s="32" t="str">
        <f t="shared" si="275"/>
        <v/>
      </c>
      <c r="AY342" s="32" t="str">
        <f t="shared" si="276"/>
        <v/>
      </c>
    </row>
    <row r="343" spans="1:51" x14ac:dyDescent="0.25">
      <c r="A343" s="24" t="str">
        <f t="shared" si="234"/>
        <v/>
      </c>
      <c r="B343" s="24" t="str">
        <f t="shared" si="244"/>
        <v/>
      </c>
      <c r="C343" s="32" t="str">
        <f t="shared" si="235"/>
        <v/>
      </c>
      <c r="D343" s="24" t="str">
        <f t="shared" si="236"/>
        <v/>
      </c>
      <c r="E343" s="24" t="str">
        <f t="shared" si="237"/>
        <v/>
      </c>
      <c r="F343" s="32" t="str">
        <f t="shared" si="238"/>
        <v/>
      </c>
      <c r="G343" s="32" t="str">
        <f t="shared" si="239"/>
        <v/>
      </c>
      <c r="H343" s="32" t="str">
        <f t="shared" ca="1" si="240"/>
        <v/>
      </c>
      <c r="I343" s="32" t="str">
        <f t="shared" ca="1" si="245"/>
        <v/>
      </c>
      <c r="J343" s="32" t="str">
        <f t="shared" si="241"/>
        <v/>
      </c>
      <c r="K343" s="32" t="str">
        <f>IF(ISNUMBER(A343),Profile!$V$25+Profile!$V$24*'Ri-Po'!C343,"")</f>
        <v/>
      </c>
      <c r="L343" s="32" t="str">
        <f t="shared" si="246"/>
        <v/>
      </c>
      <c r="M343" s="32" t="str">
        <f t="shared" si="242"/>
        <v/>
      </c>
      <c r="N343" s="32" t="str">
        <f t="shared" si="243"/>
        <v/>
      </c>
      <c r="O343" s="32" t="str">
        <f t="shared" si="259"/>
        <v/>
      </c>
      <c r="P343" s="32" t="str">
        <f t="shared" si="247"/>
        <v/>
      </c>
      <c r="Q343" s="32" t="str">
        <f t="shared" si="248"/>
        <v/>
      </c>
      <c r="R343" s="32" t="str">
        <f t="shared" si="260"/>
        <v/>
      </c>
      <c r="S343" s="24" t="str">
        <f t="shared" si="261"/>
        <v/>
      </c>
      <c r="T343" s="24" t="str">
        <f t="shared" si="262"/>
        <v/>
      </c>
      <c r="U343" s="24" t="str">
        <f t="shared" si="263"/>
        <v/>
      </c>
      <c r="V343" s="24" t="str">
        <f t="shared" si="264"/>
        <v/>
      </c>
      <c r="W343" s="23" t="str">
        <f t="array" ref="W343">IFERROR(SMALL(IF(S$1:S$1000="BEGIN",ROW(S$1:S$1000)),ROW()-3),"")</f>
        <v/>
      </c>
      <c r="X343" s="23" t="str">
        <f t="array" ref="X343">IFERROR(SMALL(IF(T$1:T$1000="END",ROW(T$1:T$1000)),ROW()-3),"")</f>
        <v/>
      </c>
      <c r="Y343" s="33" t="str">
        <f t="array" ref="Y343">IF(ISNUMBER(W343),MAX(IF((B$4:B$1000&lt;=X343)*(B$4:B$1000&gt;=W343),I$4:I$1000, "")),"")</f>
        <v/>
      </c>
      <c r="Z343" s="33" t="str">
        <f t="shared" si="249"/>
        <v/>
      </c>
      <c r="AA343" s="32" t="str">
        <f t="shared" si="250"/>
        <v/>
      </c>
      <c r="AB343" s="32" t="str">
        <f t="shared" si="251"/>
        <v/>
      </c>
      <c r="AC343" s="32" t="str">
        <f t="shared" si="252"/>
        <v/>
      </c>
      <c r="AD343" s="32" t="str">
        <f t="shared" si="253"/>
        <v/>
      </c>
      <c r="AE343" s="34" t="str">
        <f t="shared" si="254"/>
        <v/>
      </c>
      <c r="AF343" s="32" t="str">
        <f t="shared" si="255"/>
        <v/>
      </c>
      <c r="AG343" s="32" t="str">
        <f t="shared" si="256"/>
        <v/>
      </c>
      <c r="AH343" s="32" t="str">
        <f t="shared" si="257"/>
        <v/>
      </c>
      <c r="AI343" s="35" t="str">
        <f t="shared" si="258"/>
        <v/>
      </c>
      <c r="AJ343" s="23" t="str">
        <f t="array" ref="AJ343">IFERROR(SMALL(IF(U$1:U$1000="BEGIN",ROW(U$1:U$1000)),ROW()-3),"")</f>
        <v/>
      </c>
      <c r="AK343" s="23" t="str">
        <f t="array" ref="AK343">IFERROR(SMALL(IF(V$1:V$1000="END",ROW(V$1:V$1000)),ROW()-3),"")</f>
        <v/>
      </c>
      <c r="AL343" s="24" t="str">
        <f t="array" ref="AL343">IF(AK343="","",MATCH(AM343,L:L,0))</f>
        <v/>
      </c>
      <c r="AM343" s="35">
        <f t="array" ref="AM343">MAX(IF((B$4:B$1000&lt;=AK343)*(B$4:B$1000&gt;=AJ343),L$4:L$1000, ""))</f>
        <v>0</v>
      </c>
      <c r="AN343" s="32" t="str">
        <f t="shared" si="265"/>
        <v/>
      </c>
      <c r="AO343" s="32" t="str">
        <f t="shared" si="266"/>
        <v/>
      </c>
      <c r="AP343" s="32" t="str">
        <f t="shared" si="267"/>
        <v/>
      </c>
      <c r="AQ343" s="32" t="str">
        <f t="shared" si="268"/>
        <v/>
      </c>
      <c r="AR343" s="32" t="str">
        <f t="shared" si="269"/>
        <v/>
      </c>
      <c r="AS343" s="32" t="str">
        <f t="shared" si="270"/>
        <v/>
      </c>
      <c r="AT343" s="32" t="str">
        <f t="shared" si="271"/>
        <v/>
      </c>
      <c r="AU343" s="34" t="str">
        <f t="shared" si="272"/>
        <v/>
      </c>
      <c r="AV343" s="32" t="str">
        <f t="shared" si="273"/>
        <v/>
      </c>
      <c r="AW343" s="32" t="str">
        <f t="shared" si="274"/>
        <v/>
      </c>
      <c r="AX343" s="32" t="str">
        <f t="shared" si="275"/>
        <v/>
      </c>
      <c r="AY343" s="32" t="str">
        <f t="shared" si="276"/>
        <v/>
      </c>
    </row>
    <row r="344" spans="1:51" x14ac:dyDescent="0.25">
      <c r="A344" s="24" t="str">
        <f t="shared" si="234"/>
        <v/>
      </c>
      <c r="B344" s="24" t="str">
        <f t="shared" si="244"/>
        <v/>
      </c>
      <c r="C344" s="32" t="str">
        <f t="shared" si="235"/>
        <v/>
      </c>
      <c r="D344" s="24" t="str">
        <f t="shared" si="236"/>
        <v/>
      </c>
      <c r="E344" s="24" t="str">
        <f t="shared" si="237"/>
        <v/>
      </c>
      <c r="F344" s="32" t="str">
        <f t="shared" si="238"/>
        <v/>
      </c>
      <c r="G344" s="32" t="str">
        <f t="shared" si="239"/>
        <v/>
      </c>
      <c r="H344" s="32" t="str">
        <f t="shared" ca="1" si="240"/>
        <v/>
      </c>
      <c r="I344" s="32" t="str">
        <f t="shared" ca="1" si="245"/>
        <v/>
      </c>
      <c r="J344" s="32" t="str">
        <f t="shared" si="241"/>
        <v/>
      </c>
      <c r="K344" s="32" t="str">
        <f>IF(ISNUMBER(A344),Profile!$V$25+Profile!$V$24*'Ri-Po'!C344,"")</f>
        <v/>
      </c>
      <c r="L344" s="32" t="str">
        <f t="shared" si="246"/>
        <v/>
      </c>
      <c r="M344" s="32" t="str">
        <f t="shared" si="242"/>
        <v/>
      </c>
      <c r="N344" s="32" t="str">
        <f t="shared" si="243"/>
        <v/>
      </c>
      <c r="O344" s="32" t="str">
        <f t="shared" si="259"/>
        <v/>
      </c>
      <c r="P344" s="32" t="str">
        <f t="shared" si="247"/>
        <v/>
      </c>
      <c r="Q344" s="32" t="str">
        <f t="shared" si="248"/>
        <v/>
      </c>
      <c r="R344" s="32" t="str">
        <f t="shared" si="260"/>
        <v/>
      </c>
      <c r="S344" s="24" t="str">
        <f t="shared" si="261"/>
        <v/>
      </c>
      <c r="T344" s="24" t="str">
        <f t="shared" si="262"/>
        <v/>
      </c>
      <c r="U344" s="24" t="str">
        <f t="shared" si="263"/>
        <v/>
      </c>
      <c r="V344" s="24" t="str">
        <f t="shared" si="264"/>
        <v/>
      </c>
      <c r="W344" s="23" t="str">
        <f t="array" ref="W344">IFERROR(SMALL(IF(S$1:S$1000="BEGIN",ROW(S$1:S$1000)),ROW()-3),"")</f>
        <v/>
      </c>
      <c r="X344" s="23" t="str">
        <f t="array" ref="X344">IFERROR(SMALL(IF(T$1:T$1000="END",ROW(T$1:T$1000)),ROW()-3),"")</f>
        <v/>
      </c>
      <c r="Y344" s="33" t="str">
        <f t="array" ref="Y344">IF(ISNUMBER(W344),MAX(IF((B$4:B$1000&lt;=X344)*(B$4:B$1000&gt;=W344),I$4:I$1000, "")),"")</f>
        <v/>
      </c>
      <c r="Z344" s="33" t="str">
        <f t="shared" si="249"/>
        <v/>
      </c>
      <c r="AA344" s="32" t="str">
        <f t="shared" si="250"/>
        <v/>
      </c>
      <c r="AB344" s="32" t="str">
        <f t="shared" si="251"/>
        <v/>
      </c>
      <c r="AC344" s="32" t="str">
        <f t="shared" si="252"/>
        <v/>
      </c>
      <c r="AD344" s="32" t="str">
        <f t="shared" si="253"/>
        <v/>
      </c>
      <c r="AE344" s="34" t="str">
        <f t="shared" si="254"/>
        <v/>
      </c>
      <c r="AF344" s="32" t="str">
        <f t="shared" si="255"/>
        <v/>
      </c>
      <c r="AG344" s="32" t="str">
        <f t="shared" si="256"/>
        <v/>
      </c>
      <c r="AH344" s="32" t="str">
        <f t="shared" si="257"/>
        <v/>
      </c>
      <c r="AI344" s="35" t="str">
        <f t="shared" si="258"/>
        <v/>
      </c>
      <c r="AJ344" s="23" t="str">
        <f t="array" ref="AJ344">IFERROR(SMALL(IF(U$1:U$1000="BEGIN",ROW(U$1:U$1000)),ROW()-3),"")</f>
        <v/>
      </c>
      <c r="AK344" s="23" t="str">
        <f t="array" ref="AK344">IFERROR(SMALL(IF(V$1:V$1000="END",ROW(V$1:V$1000)),ROW()-3),"")</f>
        <v/>
      </c>
      <c r="AL344" s="24" t="str">
        <f t="array" ref="AL344">IF(AK344="","",MATCH(AM344,L:L,0))</f>
        <v/>
      </c>
      <c r="AM344" s="35">
        <f t="array" ref="AM344">MAX(IF((B$4:B$1000&lt;=AK344)*(B$4:B$1000&gt;=AJ344),L$4:L$1000, ""))</f>
        <v>0</v>
      </c>
      <c r="AN344" s="32" t="str">
        <f t="shared" si="265"/>
        <v/>
      </c>
      <c r="AO344" s="32" t="str">
        <f t="shared" si="266"/>
        <v/>
      </c>
      <c r="AP344" s="32" t="str">
        <f t="shared" si="267"/>
        <v/>
      </c>
      <c r="AQ344" s="32" t="str">
        <f t="shared" si="268"/>
        <v/>
      </c>
      <c r="AR344" s="32" t="str">
        <f t="shared" si="269"/>
        <v/>
      </c>
      <c r="AS344" s="32" t="str">
        <f t="shared" si="270"/>
        <v/>
      </c>
      <c r="AT344" s="32" t="str">
        <f t="shared" si="271"/>
        <v/>
      </c>
      <c r="AU344" s="34" t="str">
        <f t="shared" si="272"/>
        <v/>
      </c>
      <c r="AV344" s="32" t="str">
        <f t="shared" si="273"/>
        <v/>
      </c>
      <c r="AW344" s="32" t="str">
        <f t="shared" si="274"/>
        <v/>
      </c>
      <c r="AX344" s="32" t="str">
        <f t="shared" si="275"/>
        <v/>
      </c>
      <c r="AY344" s="32" t="str">
        <f t="shared" si="276"/>
        <v/>
      </c>
    </row>
    <row r="345" spans="1:51" x14ac:dyDescent="0.25">
      <c r="A345" s="24" t="str">
        <f t="shared" si="234"/>
        <v/>
      </c>
      <c r="B345" s="24" t="str">
        <f t="shared" si="244"/>
        <v/>
      </c>
      <c r="C345" s="32" t="str">
        <f t="shared" si="235"/>
        <v/>
      </c>
      <c r="D345" s="24" t="str">
        <f t="shared" si="236"/>
        <v/>
      </c>
      <c r="E345" s="24" t="str">
        <f t="shared" si="237"/>
        <v/>
      </c>
      <c r="F345" s="32" t="str">
        <f t="shared" si="238"/>
        <v/>
      </c>
      <c r="G345" s="32" t="str">
        <f t="shared" si="239"/>
        <v/>
      </c>
      <c r="H345" s="32" t="str">
        <f t="shared" ca="1" si="240"/>
        <v/>
      </c>
      <c r="I345" s="32" t="str">
        <f t="shared" ca="1" si="245"/>
        <v/>
      </c>
      <c r="J345" s="32" t="str">
        <f t="shared" si="241"/>
        <v/>
      </c>
      <c r="K345" s="32" t="str">
        <f>IF(ISNUMBER(A345),Profile!$V$25+Profile!$V$24*'Ri-Po'!C345,"")</f>
        <v/>
      </c>
      <c r="L345" s="32" t="str">
        <f t="shared" si="246"/>
        <v/>
      </c>
      <c r="M345" s="32" t="str">
        <f t="shared" si="242"/>
        <v/>
      </c>
      <c r="N345" s="32" t="str">
        <f t="shared" si="243"/>
        <v/>
      </c>
      <c r="O345" s="32" t="str">
        <f t="shared" si="259"/>
        <v/>
      </c>
      <c r="P345" s="32" t="str">
        <f t="shared" si="247"/>
        <v/>
      </c>
      <c r="Q345" s="32" t="str">
        <f t="shared" si="248"/>
        <v/>
      </c>
      <c r="R345" s="32" t="str">
        <f t="shared" si="260"/>
        <v/>
      </c>
      <c r="S345" s="24" t="str">
        <f t="shared" si="261"/>
        <v/>
      </c>
      <c r="T345" s="24" t="str">
        <f t="shared" si="262"/>
        <v/>
      </c>
      <c r="U345" s="24" t="str">
        <f t="shared" si="263"/>
        <v/>
      </c>
      <c r="V345" s="24" t="str">
        <f t="shared" si="264"/>
        <v/>
      </c>
      <c r="W345" s="23" t="str">
        <f t="array" ref="W345">IFERROR(SMALL(IF(S$1:S$1000="BEGIN",ROW(S$1:S$1000)),ROW()-3),"")</f>
        <v/>
      </c>
      <c r="X345" s="23" t="str">
        <f t="array" ref="X345">IFERROR(SMALL(IF(T$1:T$1000="END",ROW(T$1:T$1000)),ROW()-3),"")</f>
        <v/>
      </c>
      <c r="Y345" s="33" t="str">
        <f t="array" ref="Y345">IF(ISNUMBER(W345),MAX(IF((B$4:B$1000&lt;=X345)*(B$4:B$1000&gt;=W345),I$4:I$1000, "")),"")</f>
        <v/>
      </c>
      <c r="Z345" s="33" t="str">
        <f t="shared" si="249"/>
        <v/>
      </c>
      <c r="AA345" s="32" t="str">
        <f t="shared" si="250"/>
        <v/>
      </c>
      <c r="AB345" s="32" t="str">
        <f t="shared" si="251"/>
        <v/>
      </c>
      <c r="AC345" s="32" t="str">
        <f t="shared" si="252"/>
        <v/>
      </c>
      <c r="AD345" s="32" t="str">
        <f t="shared" si="253"/>
        <v/>
      </c>
      <c r="AE345" s="34" t="str">
        <f t="shared" si="254"/>
        <v/>
      </c>
      <c r="AF345" s="32" t="str">
        <f t="shared" si="255"/>
        <v/>
      </c>
      <c r="AG345" s="32" t="str">
        <f t="shared" si="256"/>
        <v/>
      </c>
      <c r="AH345" s="32" t="str">
        <f t="shared" si="257"/>
        <v/>
      </c>
      <c r="AI345" s="35" t="str">
        <f t="shared" si="258"/>
        <v/>
      </c>
      <c r="AJ345" s="23" t="str">
        <f t="array" ref="AJ345">IFERROR(SMALL(IF(U$1:U$1000="BEGIN",ROW(U$1:U$1000)),ROW()-3),"")</f>
        <v/>
      </c>
      <c r="AK345" s="23" t="str">
        <f t="array" ref="AK345">IFERROR(SMALL(IF(V$1:V$1000="END",ROW(V$1:V$1000)),ROW()-3),"")</f>
        <v/>
      </c>
      <c r="AL345" s="24" t="str">
        <f t="array" ref="AL345">IF(AK345="","",MATCH(AM345,L:L,0))</f>
        <v/>
      </c>
      <c r="AM345" s="35">
        <f t="array" ref="AM345">MAX(IF((B$4:B$1000&lt;=AK345)*(B$4:B$1000&gt;=AJ345),L$4:L$1000, ""))</f>
        <v>0</v>
      </c>
      <c r="AN345" s="32" t="str">
        <f t="shared" si="265"/>
        <v/>
      </c>
      <c r="AO345" s="32" t="str">
        <f t="shared" si="266"/>
        <v/>
      </c>
      <c r="AP345" s="32" t="str">
        <f t="shared" si="267"/>
        <v/>
      </c>
      <c r="AQ345" s="32" t="str">
        <f t="shared" si="268"/>
        <v/>
      </c>
      <c r="AR345" s="32" t="str">
        <f t="shared" si="269"/>
        <v/>
      </c>
      <c r="AS345" s="32" t="str">
        <f t="shared" si="270"/>
        <v/>
      </c>
      <c r="AT345" s="32" t="str">
        <f t="shared" si="271"/>
        <v/>
      </c>
      <c r="AU345" s="34" t="str">
        <f t="shared" si="272"/>
        <v/>
      </c>
      <c r="AV345" s="32" t="str">
        <f t="shared" si="273"/>
        <v/>
      </c>
      <c r="AW345" s="32" t="str">
        <f t="shared" si="274"/>
        <v/>
      </c>
      <c r="AX345" s="32" t="str">
        <f t="shared" si="275"/>
        <v/>
      </c>
      <c r="AY345" s="32" t="str">
        <f t="shared" si="276"/>
        <v/>
      </c>
    </row>
    <row r="346" spans="1:51" x14ac:dyDescent="0.25">
      <c r="A346" s="24" t="str">
        <f t="shared" si="234"/>
        <v/>
      </c>
      <c r="B346" s="24" t="str">
        <f t="shared" si="244"/>
        <v/>
      </c>
      <c r="C346" s="32" t="str">
        <f t="shared" si="235"/>
        <v/>
      </c>
      <c r="D346" s="24" t="str">
        <f t="shared" si="236"/>
        <v/>
      </c>
      <c r="E346" s="24" t="str">
        <f t="shared" si="237"/>
        <v/>
      </c>
      <c r="F346" s="32" t="str">
        <f t="shared" si="238"/>
        <v/>
      </c>
      <c r="G346" s="32" t="str">
        <f t="shared" si="239"/>
        <v/>
      </c>
      <c r="H346" s="32" t="str">
        <f t="shared" ca="1" si="240"/>
        <v/>
      </c>
      <c r="I346" s="32" t="str">
        <f t="shared" ca="1" si="245"/>
        <v/>
      </c>
      <c r="J346" s="32" t="str">
        <f t="shared" si="241"/>
        <v/>
      </c>
      <c r="K346" s="32" t="str">
        <f>IF(ISNUMBER(A346),Profile!$V$25+Profile!$V$24*'Ri-Po'!C346,"")</f>
        <v/>
      </c>
      <c r="L346" s="32" t="str">
        <f t="shared" si="246"/>
        <v/>
      </c>
      <c r="M346" s="32" t="str">
        <f t="shared" si="242"/>
        <v/>
      </c>
      <c r="N346" s="32" t="str">
        <f t="shared" si="243"/>
        <v/>
      </c>
      <c r="O346" s="32" t="str">
        <f t="shared" si="259"/>
        <v/>
      </c>
      <c r="P346" s="32" t="str">
        <f t="shared" si="247"/>
        <v/>
      </c>
      <c r="Q346" s="32" t="str">
        <f t="shared" si="248"/>
        <v/>
      </c>
      <c r="R346" s="32" t="str">
        <f t="shared" si="260"/>
        <v/>
      </c>
      <c r="S346" s="24" t="str">
        <f t="shared" si="261"/>
        <v/>
      </c>
      <c r="T346" s="24" t="str">
        <f t="shared" si="262"/>
        <v/>
      </c>
      <c r="U346" s="24" t="str">
        <f t="shared" si="263"/>
        <v/>
      </c>
      <c r="V346" s="24" t="str">
        <f t="shared" si="264"/>
        <v/>
      </c>
      <c r="W346" s="23" t="str">
        <f t="array" ref="W346">IFERROR(SMALL(IF(S$1:S$1000="BEGIN",ROW(S$1:S$1000)),ROW()-3),"")</f>
        <v/>
      </c>
      <c r="X346" s="23" t="str">
        <f t="array" ref="X346">IFERROR(SMALL(IF(T$1:T$1000="END",ROW(T$1:T$1000)),ROW()-3),"")</f>
        <v/>
      </c>
      <c r="Y346" s="33" t="str">
        <f t="array" ref="Y346">IF(ISNUMBER(W346),MAX(IF((B$4:B$1000&lt;=X346)*(B$4:B$1000&gt;=W346),I$4:I$1000, "")),"")</f>
        <v/>
      </c>
      <c r="Z346" s="33" t="str">
        <f t="shared" si="249"/>
        <v/>
      </c>
      <c r="AA346" s="32" t="str">
        <f t="shared" si="250"/>
        <v/>
      </c>
      <c r="AB346" s="32" t="str">
        <f t="shared" si="251"/>
        <v/>
      </c>
      <c r="AC346" s="32" t="str">
        <f t="shared" si="252"/>
        <v/>
      </c>
      <c r="AD346" s="32" t="str">
        <f t="shared" si="253"/>
        <v/>
      </c>
      <c r="AE346" s="34" t="str">
        <f t="shared" si="254"/>
        <v/>
      </c>
      <c r="AF346" s="32" t="str">
        <f t="shared" si="255"/>
        <v/>
      </c>
      <c r="AG346" s="32" t="str">
        <f t="shared" si="256"/>
        <v/>
      </c>
      <c r="AH346" s="32" t="str">
        <f t="shared" si="257"/>
        <v/>
      </c>
      <c r="AI346" s="35" t="str">
        <f t="shared" si="258"/>
        <v/>
      </c>
      <c r="AJ346" s="23" t="str">
        <f t="array" ref="AJ346">IFERROR(SMALL(IF(U$1:U$1000="BEGIN",ROW(U$1:U$1000)),ROW()-3),"")</f>
        <v/>
      </c>
      <c r="AK346" s="23" t="str">
        <f t="array" ref="AK346">IFERROR(SMALL(IF(V$1:V$1000="END",ROW(V$1:V$1000)),ROW()-3),"")</f>
        <v/>
      </c>
      <c r="AL346" s="24" t="str">
        <f t="array" ref="AL346">IF(AK346="","",MATCH(AM346,L:L,0))</f>
        <v/>
      </c>
      <c r="AM346" s="35">
        <f t="array" ref="AM346">MAX(IF((B$4:B$1000&lt;=AK346)*(B$4:B$1000&gt;=AJ346),L$4:L$1000, ""))</f>
        <v>0</v>
      </c>
      <c r="AN346" s="32" t="str">
        <f t="shared" si="265"/>
        <v/>
      </c>
      <c r="AO346" s="32" t="str">
        <f t="shared" si="266"/>
        <v/>
      </c>
      <c r="AP346" s="32" t="str">
        <f t="shared" si="267"/>
        <v/>
      </c>
      <c r="AQ346" s="32" t="str">
        <f t="shared" si="268"/>
        <v/>
      </c>
      <c r="AR346" s="32" t="str">
        <f t="shared" si="269"/>
        <v/>
      </c>
      <c r="AS346" s="32" t="str">
        <f t="shared" si="270"/>
        <v/>
      </c>
      <c r="AT346" s="32" t="str">
        <f t="shared" si="271"/>
        <v/>
      </c>
      <c r="AU346" s="34" t="str">
        <f t="shared" si="272"/>
        <v/>
      </c>
      <c r="AV346" s="32" t="str">
        <f t="shared" si="273"/>
        <v/>
      </c>
      <c r="AW346" s="32" t="str">
        <f t="shared" si="274"/>
        <v/>
      </c>
      <c r="AX346" s="32" t="str">
        <f t="shared" si="275"/>
        <v/>
      </c>
      <c r="AY346" s="32" t="str">
        <f t="shared" si="276"/>
        <v/>
      </c>
    </row>
    <row r="347" spans="1:51" x14ac:dyDescent="0.25">
      <c r="A347" s="24" t="str">
        <f t="shared" si="234"/>
        <v/>
      </c>
      <c r="B347" s="24" t="str">
        <f t="shared" si="244"/>
        <v/>
      </c>
      <c r="C347" s="32" t="str">
        <f t="shared" si="235"/>
        <v/>
      </c>
      <c r="D347" s="24" t="str">
        <f t="shared" si="236"/>
        <v/>
      </c>
      <c r="E347" s="24" t="str">
        <f t="shared" si="237"/>
        <v/>
      </c>
      <c r="F347" s="32" t="str">
        <f t="shared" si="238"/>
        <v/>
      </c>
      <c r="G347" s="32" t="str">
        <f t="shared" si="239"/>
        <v/>
      </c>
      <c r="H347" s="32" t="str">
        <f t="shared" ca="1" si="240"/>
        <v/>
      </c>
      <c r="I347" s="32" t="str">
        <f t="shared" ca="1" si="245"/>
        <v/>
      </c>
      <c r="J347" s="32" t="str">
        <f t="shared" si="241"/>
        <v/>
      </c>
      <c r="K347" s="32" t="str">
        <f>IF(ISNUMBER(A347),Profile!$V$25+Profile!$V$24*'Ri-Po'!C347,"")</f>
        <v/>
      </c>
      <c r="L347" s="32" t="str">
        <f t="shared" si="246"/>
        <v/>
      </c>
      <c r="M347" s="32" t="str">
        <f t="shared" si="242"/>
        <v/>
      </c>
      <c r="N347" s="32" t="str">
        <f t="shared" si="243"/>
        <v/>
      </c>
      <c r="O347" s="32" t="str">
        <f t="shared" si="259"/>
        <v/>
      </c>
      <c r="P347" s="32" t="str">
        <f t="shared" si="247"/>
        <v/>
      </c>
      <c r="Q347" s="32" t="str">
        <f t="shared" si="248"/>
        <v/>
      </c>
      <c r="R347" s="32" t="str">
        <f t="shared" si="260"/>
        <v/>
      </c>
      <c r="S347" s="24" t="str">
        <f t="shared" si="261"/>
        <v/>
      </c>
      <c r="T347" s="24" t="str">
        <f t="shared" si="262"/>
        <v/>
      </c>
      <c r="U347" s="24" t="str">
        <f t="shared" si="263"/>
        <v/>
      </c>
      <c r="V347" s="24" t="str">
        <f t="shared" si="264"/>
        <v/>
      </c>
      <c r="W347" s="23" t="str">
        <f t="array" ref="W347">IFERROR(SMALL(IF(S$1:S$1000="BEGIN",ROW(S$1:S$1000)),ROW()-3),"")</f>
        <v/>
      </c>
      <c r="X347" s="23" t="str">
        <f t="array" ref="X347">IFERROR(SMALL(IF(T$1:T$1000="END",ROW(T$1:T$1000)),ROW()-3),"")</f>
        <v/>
      </c>
      <c r="Y347" s="33" t="str">
        <f t="array" ref="Y347">IF(ISNUMBER(W347),MAX(IF((B$4:B$1000&lt;=X347)*(B$4:B$1000&gt;=W347),I$4:I$1000, "")),"")</f>
        <v/>
      </c>
      <c r="Z347" s="33" t="str">
        <f t="shared" si="249"/>
        <v/>
      </c>
      <c r="AA347" s="32" t="str">
        <f t="shared" si="250"/>
        <v/>
      </c>
      <c r="AB347" s="32" t="str">
        <f t="shared" si="251"/>
        <v/>
      </c>
      <c r="AC347" s="32" t="str">
        <f t="shared" si="252"/>
        <v/>
      </c>
      <c r="AD347" s="32" t="str">
        <f t="shared" si="253"/>
        <v/>
      </c>
      <c r="AE347" s="34" t="str">
        <f t="shared" si="254"/>
        <v/>
      </c>
      <c r="AF347" s="32" t="str">
        <f t="shared" si="255"/>
        <v/>
      </c>
      <c r="AG347" s="32" t="str">
        <f t="shared" si="256"/>
        <v/>
      </c>
      <c r="AH347" s="32" t="str">
        <f t="shared" si="257"/>
        <v/>
      </c>
      <c r="AI347" s="35" t="str">
        <f t="shared" si="258"/>
        <v/>
      </c>
      <c r="AJ347" s="23" t="str">
        <f t="array" ref="AJ347">IFERROR(SMALL(IF(U$1:U$1000="BEGIN",ROW(U$1:U$1000)),ROW()-3),"")</f>
        <v/>
      </c>
      <c r="AK347" s="23" t="str">
        <f t="array" ref="AK347">IFERROR(SMALL(IF(V$1:V$1000="END",ROW(V$1:V$1000)),ROW()-3),"")</f>
        <v/>
      </c>
      <c r="AL347" s="24" t="str">
        <f t="array" ref="AL347">IF(AK347="","",MATCH(AM347,L:L,0))</f>
        <v/>
      </c>
      <c r="AM347" s="35">
        <f t="array" ref="AM347">MAX(IF((B$4:B$1000&lt;=AK347)*(B$4:B$1000&gt;=AJ347),L$4:L$1000, ""))</f>
        <v>0</v>
      </c>
      <c r="AN347" s="32" t="str">
        <f t="shared" si="265"/>
        <v/>
      </c>
      <c r="AO347" s="32" t="str">
        <f t="shared" si="266"/>
        <v/>
      </c>
      <c r="AP347" s="32" t="str">
        <f t="shared" si="267"/>
        <v/>
      </c>
      <c r="AQ347" s="32" t="str">
        <f t="shared" si="268"/>
        <v/>
      </c>
      <c r="AR347" s="32" t="str">
        <f t="shared" si="269"/>
        <v/>
      </c>
      <c r="AS347" s="32" t="str">
        <f t="shared" si="270"/>
        <v/>
      </c>
      <c r="AT347" s="32" t="str">
        <f t="shared" si="271"/>
        <v/>
      </c>
      <c r="AU347" s="34" t="str">
        <f t="shared" si="272"/>
        <v/>
      </c>
      <c r="AV347" s="32" t="str">
        <f t="shared" si="273"/>
        <v/>
      </c>
      <c r="AW347" s="32" t="str">
        <f t="shared" si="274"/>
        <v/>
      </c>
      <c r="AX347" s="32" t="str">
        <f t="shared" si="275"/>
        <v/>
      </c>
      <c r="AY347" s="32" t="str">
        <f t="shared" si="276"/>
        <v/>
      </c>
    </row>
    <row r="348" spans="1:51" x14ac:dyDescent="0.25">
      <c r="A348" s="24" t="str">
        <f t="shared" si="234"/>
        <v/>
      </c>
      <c r="B348" s="24" t="str">
        <f t="shared" si="244"/>
        <v/>
      </c>
      <c r="C348" s="32" t="str">
        <f t="shared" si="235"/>
        <v/>
      </c>
      <c r="D348" s="24" t="str">
        <f t="shared" si="236"/>
        <v/>
      </c>
      <c r="E348" s="24" t="str">
        <f t="shared" si="237"/>
        <v/>
      </c>
      <c r="F348" s="32" t="str">
        <f t="shared" si="238"/>
        <v/>
      </c>
      <c r="G348" s="32" t="str">
        <f t="shared" si="239"/>
        <v/>
      </c>
      <c r="H348" s="32" t="str">
        <f t="shared" ca="1" si="240"/>
        <v/>
      </c>
      <c r="I348" s="32" t="str">
        <f t="shared" ca="1" si="245"/>
        <v/>
      </c>
      <c r="J348" s="32" t="str">
        <f t="shared" si="241"/>
        <v/>
      </c>
      <c r="K348" s="32" t="str">
        <f>IF(ISNUMBER(A348),Profile!$V$25+Profile!$V$24*'Ri-Po'!C348,"")</f>
        <v/>
      </c>
      <c r="L348" s="32" t="str">
        <f t="shared" si="246"/>
        <v/>
      </c>
      <c r="M348" s="32" t="str">
        <f t="shared" si="242"/>
        <v/>
      </c>
      <c r="N348" s="32" t="str">
        <f t="shared" si="243"/>
        <v/>
      </c>
      <c r="O348" s="32" t="str">
        <f t="shared" si="259"/>
        <v/>
      </c>
      <c r="P348" s="32" t="str">
        <f t="shared" si="247"/>
        <v/>
      </c>
      <c r="Q348" s="32" t="str">
        <f t="shared" si="248"/>
        <v/>
      </c>
      <c r="R348" s="32" t="str">
        <f t="shared" si="260"/>
        <v/>
      </c>
      <c r="S348" s="24" t="str">
        <f t="shared" si="261"/>
        <v/>
      </c>
      <c r="T348" s="24" t="str">
        <f t="shared" si="262"/>
        <v/>
      </c>
      <c r="U348" s="24" t="str">
        <f t="shared" si="263"/>
        <v/>
      </c>
      <c r="V348" s="24" t="str">
        <f t="shared" si="264"/>
        <v/>
      </c>
      <c r="W348" s="23" t="str">
        <f t="array" ref="W348">IFERROR(SMALL(IF(S$1:S$1000="BEGIN",ROW(S$1:S$1000)),ROW()-3),"")</f>
        <v/>
      </c>
      <c r="X348" s="23" t="str">
        <f t="array" ref="X348">IFERROR(SMALL(IF(T$1:T$1000="END",ROW(T$1:T$1000)),ROW()-3),"")</f>
        <v/>
      </c>
      <c r="Y348" s="33" t="str">
        <f t="array" ref="Y348">IF(ISNUMBER(W348),MAX(IF((B$4:B$1000&lt;=X348)*(B$4:B$1000&gt;=W348),I$4:I$1000, "")),"")</f>
        <v/>
      </c>
      <c r="Z348" s="33" t="str">
        <f t="shared" si="249"/>
        <v/>
      </c>
      <c r="AA348" s="32" t="str">
        <f t="shared" si="250"/>
        <v/>
      </c>
      <c r="AB348" s="32" t="str">
        <f t="shared" si="251"/>
        <v/>
      </c>
      <c r="AC348" s="32" t="str">
        <f t="shared" si="252"/>
        <v/>
      </c>
      <c r="AD348" s="32" t="str">
        <f t="shared" si="253"/>
        <v/>
      </c>
      <c r="AE348" s="34" t="str">
        <f t="shared" si="254"/>
        <v/>
      </c>
      <c r="AF348" s="32" t="str">
        <f t="shared" si="255"/>
        <v/>
      </c>
      <c r="AG348" s="32" t="str">
        <f t="shared" si="256"/>
        <v/>
      </c>
      <c r="AH348" s="32" t="str">
        <f t="shared" si="257"/>
        <v/>
      </c>
      <c r="AI348" s="35" t="str">
        <f t="shared" si="258"/>
        <v/>
      </c>
      <c r="AJ348" s="23" t="str">
        <f t="array" ref="AJ348">IFERROR(SMALL(IF(U$1:U$1000="BEGIN",ROW(U$1:U$1000)),ROW()-3),"")</f>
        <v/>
      </c>
      <c r="AK348" s="23" t="str">
        <f t="array" ref="AK348">IFERROR(SMALL(IF(V$1:V$1000="END",ROW(V$1:V$1000)),ROW()-3),"")</f>
        <v/>
      </c>
      <c r="AL348" s="24" t="str">
        <f t="array" ref="AL348">IF(AK348="","",MATCH(AM348,L:L,0))</f>
        <v/>
      </c>
      <c r="AM348" s="35">
        <f t="array" ref="AM348">MAX(IF((B$4:B$1000&lt;=AK348)*(B$4:B$1000&gt;=AJ348),L$4:L$1000, ""))</f>
        <v>0</v>
      </c>
      <c r="AN348" s="32" t="str">
        <f t="shared" si="265"/>
        <v/>
      </c>
      <c r="AO348" s="32" t="str">
        <f t="shared" si="266"/>
        <v/>
      </c>
      <c r="AP348" s="32" t="str">
        <f t="shared" si="267"/>
        <v/>
      </c>
      <c r="AQ348" s="32" t="str">
        <f t="shared" si="268"/>
        <v/>
      </c>
      <c r="AR348" s="32" t="str">
        <f t="shared" si="269"/>
        <v/>
      </c>
      <c r="AS348" s="32" t="str">
        <f t="shared" si="270"/>
        <v/>
      </c>
      <c r="AT348" s="32" t="str">
        <f t="shared" si="271"/>
        <v/>
      </c>
      <c r="AU348" s="34" t="str">
        <f t="shared" si="272"/>
        <v/>
      </c>
      <c r="AV348" s="32" t="str">
        <f t="shared" si="273"/>
        <v/>
      </c>
      <c r="AW348" s="32" t="str">
        <f t="shared" si="274"/>
        <v/>
      </c>
      <c r="AX348" s="32" t="str">
        <f t="shared" si="275"/>
        <v/>
      </c>
      <c r="AY348" s="32" t="str">
        <f t="shared" si="276"/>
        <v/>
      </c>
    </row>
    <row r="349" spans="1:51" x14ac:dyDescent="0.25">
      <c r="A349" s="24" t="str">
        <f t="shared" si="234"/>
        <v/>
      </c>
      <c r="B349" s="24" t="str">
        <f t="shared" si="244"/>
        <v/>
      </c>
      <c r="C349" s="32" t="str">
        <f t="shared" si="235"/>
        <v/>
      </c>
      <c r="D349" s="24" t="str">
        <f t="shared" si="236"/>
        <v/>
      </c>
      <c r="E349" s="24" t="str">
        <f t="shared" si="237"/>
        <v/>
      </c>
      <c r="F349" s="32" t="str">
        <f t="shared" si="238"/>
        <v/>
      </c>
      <c r="G349" s="32" t="str">
        <f t="shared" si="239"/>
        <v/>
      </c>
      <c r="H349" s="32" t="str">
        <f t="shared" ca="1" si="240"/>
        <v/>
      </c>
      <c r="I349" s="32" t="str">
        <f t="shared" ca="1" si="245"/>
        <v/>
      </c>
      <c r="J349" s="32" t="str">
        <f t="shared" si="241"/>
        <v/>
      </c>
      <c r="K349" s="32" t="str">
        <f>IF(ISNUMBER(A349),Profile!$V$25+Profile!$V$24*'Ri-Po'!C349,"")</f>
        <v/>
      </c>
      <c r="L349" s="32" t="str">
        <f t="shared" si="246"/>
        <v/>
      </c>
      <c r="M349" s="32" t="str">
        <f t="shared" si="242"/>
        <v/>
      </c>
      <c r="N349" s="32" t="str">
        <f t="shared" si="243"/>
        <v/>
      </c>
      <c r="O349" s="32" t="str">
        <f t="shared" si="259"/>
        <v/>
      </c>
      <c r="P349" s="32" t="str">
        <f t="shared" si="247"/>
        <v/>
      </c>
      <c r="Q349" s="32" t="str">
        <f t="shared" si="248"/>
        <v/>
      </c>
      <c r="R349" s="32" t="str">
        <f t="shared" si="260"/>
        <v/>
      </c>
      <c r="S349" s="24" t="str">
        <f t="shared" si="261"/>
        <v/>
      </c>
      <c r="T349" s="24" t="str">
        <f t="shared" si="262"/>
        <v/>
      </c>
      <c r="U349" s="24" t="str">
        <f t="shared" si="263"/>
        <v/>
      </c>
      <c r="V349" s="24" t="str">
        <f t="shared" si="264"/>
        <v/>
      </c>
      <c r="W349" s="23" t="str">
        <f t="array" ref="W349">IFERROR(SMALL(IF(S$1:S$1000="BEGIN",ROW(S$1:S$1000)),ROW()-3),"")</f>
        <v/>
      </c>
      <c r="X349" s="23" t="str">
        <f t="array" ref="X349">IFERROR(SMALL(IF(T$1:T$1000="END",ROW(T$1:T$1000)),ROW()-3),"")</f>
        <v/>
      </c>
      <c r="Y349" s="33" t="str">
        <f t="array" ref="Y349">IF(ISNUMBER(W349),MAX(IF((B$4:B$1000&lt;=X349)*(B$4:B$1000&gt;=W349),I$4:I$1000, "")),"")</f>
        <v/>
      </c>
      <c r="Z349" s="33" t="str">
        <f t="shared" si="249"/>
        <v/>
      </c>
      <c r="AA349" s="32" t="str">
        <f t="shared" si="250"/>
        <v/>
      </c>
      <c r="AB349" s="32" t="str">
        <f t="shared" si="251"/>
        <v/>
      </c>
      <c r="AC349" s="32" t="str">
        <f t="shared" si="252"/>
        <v/>
      </c>
      <c r="AD349" s="32" t="str">
        <f t="shared" si="253"/>
        <v/>
      </c>
      <c r="AE349" s="34" t="str">
        <f t="shared" si="254"/>
        <v/>
      </c>
      <c r="AF349" s="32" t="str">
        <f t="shared" si="255"/>
        <v/>
      </c>
      <c r="AG349" s="32" t="str">
        <f t="shared" si="256"/>
        <v/>
      </c>
      <c r="AH349" s="32" t="str">
        <f t="shared" si="257"/>
        <v/>
      </c>
      <c r="AI349" s="35" t="str">
        <f t="shared" si="258"/>
        <v/>
      </c>
      <c r="AJ349" s="23" t="str">
        <f t="array" ref="AJ349">IFERROR(SMALL(IF(U$1:U$1000="BEGIN",ROW(U$1:U$1000)),ROW()-3),"")</f>
        <v/>
      </c>
      <c r="AK349" s="23" t="str">
        <f t="array" ref="AK349">IFERROR(SMALL(IF(V$1:V$1000="END",ROW(V$1:V$1000)),ROW()-3),"")</f>
        <v/>
      </c>
      <c r="AL349" s="24" t="str">
        <f t="array" ref="AL349">IF(AK349="","",MATCH(AM349,L:L,0))</f>
        <v/>
      </c>
      <c r="AM349" s="35">
        <f t="array" ref="AM349">MAX(IF((B$4:B$1000&lt;=AK349)*(B$4:B$1000&gt;=AJ349),L$4:L$1000, ""))</f>
        <v>0</v>
      </c>
      <c r="AN349" s="32" t="str">
        <f t="shared" si="265"/>
        <v/>
      </c>
      <c r="AO349" s="32" t="str">
        <f t="shared" si="266"/>
        <v/>
      </c>
      <c r="AP349" s="32" t="str">
        <f t="shared" si="267"/>
        <v/>
      </c>
      <c r="AQ349" s="32" t="str">
        <f t="shared" si="268"/>
        <v/>
      </c>
      <c r="AR349" s="32" t="str">
        <f t="shared" si="269"/>
        <v/>
      </c>
      <c r="AS349" s="32" t="str">
        <f t="shared" si="270"/>
        <v/>
      </c>
      <c r="AT349" s="32" t="str">
        <f t="shared" si="271"/>
        <v/>
      </c>
      <c r="AU349" s="34" t="str">
        <f t="shared" si="272"/>
        <v/>
      </c>
      <c r="AV349" s="32" t="str">
        <f t="shared" si="273"/>
        <v/>
      </c>
      <c r="AW349" s="32" t="str">
        <f t="shared" si="274"/>
        <v/>
      </c>
      <c r="AX349" s="32" t="str">
        <f t="shared" si="275"/>
        <v/>
      </c>
      <c r="AY349" s="32" t="str">
        <f t="shared" si="276"/>
        <v/>
      </c>
    </row>
    <row r="350" spans="1:51" x14ac:dyDescent="0.25">
      <c r="A350" s="24" t="str">
        <f t="shared" si="234"/>
        <v/>
      </c>
      <c r="B350" s="24" t="str">
        <f t="shared" si="244"/>
        <v/>
      </c>
      <c r="C350" s="32" t="str">
        <f t="shared" si="235"/>
        <v/>
      </c>
      <c r="D350" s="24" t="str">
        <f t="shared" si="236"/>
        <v/>
      </c>
      <c r="E350" s="24" t="str">
        <f t="shared" si="237"/>
        <v/>
      </c>
      <c r="F350" s="32" t="str">
        <f t="shared" si="238"/>
        <v/>
      </c>
      <c r="G350" s="32" t="str">
        <f t="shared" si="239"/>
        <v/>
      </c>
      <c r="H350" s="32" t="str">
        <f t="shared" ca="1" si="240"/>
        <v/>
      </c>
      <c r="I350" s="32" t="str">
        <f t="shared" ca="1" si="245"/>
        <v/>
      </c>
      <c r="J350" s="32" t="str">
        <f t="shared" si="241"/>
        <v/>
      </c>
      <c r="K350" s="32" t="str">
        <f>IF(ISNUMBER(A350),Profile!$V$25+Profile!$V$24*'Ri-Po'!C350,"")</f>
        <v/>
      </c>
      <c r="L350" s="32" t="str">
        <f t="shared" si="246"/>
        <v/>
      </c>
      <c r="M350" s="32" t="str">
        <f t="shared" si="242"/>
        <v/>
      </c>
      <c r="N350" s="32" t="str">
        <f t="shared" si="243"/>
        <v/>
      </c>
      <c r="O350" s="32" t="str">
        <f t="shared" si="259"/>
        <v/>
      </c>
      <c r="P350" s="32" t="str">
        <f t="shared" si="247"/>
        <v/>
      </c>
      <c r="Q350" s="32" t="str">
        <f t="shared" si="248"/>
        <v/>
      </c>
      <c r="R350" s="32" t="str">
        <f t="shared" si="260"/>
        <v/>
      </c>
      <c r="S350" s="24" t="str">
        <f t="shared" si="261"/>
        <v/>
      </c>
      <c r="T350" s="24" t="str">
        <f t="shared" si="262"/>
        <v/>
      </c>
      <c r="U350" s="24" t="str">
        <f t="shared" si="263"/>
        <v/>
      </c>
      <c r="V350" s="24" t="str">
        <f t="shared" si="264"/>
        <v/>
      </c>
      <c r="W350" s="23" t="str">
        <f t="array" ref="W350">IFERROR(SMALL(IF(S$1:S$1000="BEGIN",ROW(S$1:S$1000)),ROW()-3),"")</f>
        <v/>
      </c>
      <c r="X350" s="23" t="str">
        <f t="array" ref="X350">IFERROR(SMALL(IF(T$1:T$1000="END",ROW(T$1:T$1000)),ROW()-3),"")</f>
        <v/>
      </c>
      <c r="Y350" s="33" t="str">
        <f t="array" ref="Y350">IF(ISNUMBER(W350),MAX(IF((B$4:B$1000&lt;=X350)*(B$4:B$1000&gt;=W350),I$4:I$1000, "")),"")</f>
        <v/>
      </c>
      <c r="Z350" s="33" t="str">
        <f t="shared" si="249"/>
        <v/>
      </c>
      <c r="AA350" s="32" t="str">
        <f t="shared" si="250"/>
        <v/>
      </c>
      <c r="AB350" s="32" t="str">
        <f t="shared" si="251"/>
        <v/>
      </c>
      <c r="AC350" s="32" t="str">
        <f t="shared" si="252"/>
        <v/>
      </c>
      <c r="AD350" s="32" t="str">
        <f t="shared" si="253"/>
        <v/>
      </c>
      <c r="AE350" s="34" t="str">
        <f t="shared" si="254"/>
        <v/>
      </c>
      <c r="AF350" s="32" t="str">
        <f t="shared" si="255"/>
        <v/>
      </c>
      <c r="AG350" s="32" t="str">
        <f t="shared" si="256"/>
        <v/>
      </c>
      <c r="AH350" s="32" t="str">
        <f t="shared" si="257"/>
        <v/>
      </c>
      <c r="AI350" s="35" t="str">
        <f t="shared" si="258"/>
        <v/>
      </c>
      <c r="AJ350" s="23" t="str">
        <f t="array" ref="AJ350">IFERROR(SMALL(IF(U$1:U$1000="BEGIN",ROW(U$1:U$1000)),ROW()-3),"")</f>
        <v/>
      </c>
      <c r="AK350" s="23" t="str">
        <f t="array" ref="AK350">IFERROR(SMALL(IF(V$1:V$1000="END",ROW(V$1:V$1000)),ROW()-3),"")</f>
        <v/>
      </c>
      <c r="AL350" s="24" t="str">
        <f t="array" ref="AL350">IF(AK350="","",MATCH(AM350,L:L,0))</f>
        <v/>
      </c>
      <c r="AM350" s="35">
        <f t="array" ref="AM350">MAX(IF((B$4:B$1000&lt;=AK350)*(B$4:B$1000&gt;=AJ350),L$4:L$1000, ""))</f>
        <v>0</v>
      </c>
      <c r="AN350" s="32" t="str">
        <f t="shared" si="265"/>
        <v/>
      </c>
      <c r="AO350" s="32" t="str">
        <f t="shared" si="266"/>
        <v/>
      </c>
      <c r="AP350" s="32" t="str">
        <f t="shared" si="267"/>
        <v/>
      </c>
      <c r="AQ350" s="32" t="str">
        <f t="shared" si="268"/>
        <v/>
      </c>
      <c r="AR350" s="32" t="str">
        <f t="shared" si="269"/>
        <v/>
      </c>
      <c r="AS350" s="32" t="str">
        <f t="shared" si="270"/>
        <v/>
      </c>
      <c r="AT350" s="32" t="str">
        <f t="shared" si="271"/>
        <v/>
      </c>
      <c r="AU350" s="34" t="str">
        <f t="shared" si="272"/>
        <v/>
      </c>
      <c r="AV350" s="32" t="str">
        <f t="shared" si="273"/>
        <v/>
      </c>
      <c r="AW350" s="32" t="str">
        <f t="shared" si="274"/>
        <v/>
      </c>
      <c r="AX350" s="32" t="str">
        <f t="shared" si="275"/>
        <v/>
      </c>
      <c r="AY350" s="32" t="str">
        <f t="shared" si="276"/>
        <v/>
      </c>
    </row>
    <row r="351" spans="1:51" x14ac:dyDescent="0.25">
      <c r="A351" s="24" t="str">
        <f t="shared" si="234"/>
        <v/>
      </c>
      <c r="B351" s="24" t="str">
        <f t="shared" si="244"/>
        <v/>
      </c>
      <c r="C351" s="32" t="str">
        <f t="shared" si="235"/>
        <v/>
      </c>
      <c r="D351" s="24" t="str">
        <f t="shared" si="236"/>
        <v/>
      </c>
      <c r="E351" s="24" t="str">
        <f t="shared" si="237"/>
        <v/>
      </c>
      <c r="F351" s="32" t="str">
        <f t="shared" si="238"/>
        <v/>
      </c>
      <c r="G351" s="32" t="str">
        <f t="shared" si="239"/>
        <v/>
      </c>
      <c r="H351" s="32" t="str">
        <f t="shared" ca="1" si="240"/>
        <v/>
      </c>
      <c r="I351" s="32" t="str">
        <f t="shared" ca="1" si="245"/>
        <v/>
      </c>
      <c r="J351" s="32" t="str">
        <f t="shared" si="241"/>
        <v/>
      </c>
      <c r="K351" s="32" t="str">
        <f>IF(ISNUMBER(A351),Profile!$V$25+Profile!$V$24*'Ri-Po'!C351,"")</f>
        <v/>
      </c>
      <c r="L351" s="32" t="str">
        <f t="shared" si="246"/>
        <v/>
      </c>
      <c r="M351" s="32" t="str">
        <f t="shared" si="242"/>
        <v/>
      </c>
      <c r="N351" s="32" t="str">
        <f t="shared" si="243"/>
        <v/>
      </c>
      <c r="O351" s="32" t="str">
        <f t="shared" si="259"/>
        <v/>
      </c>
      <c r="P351" s="32" t="str">
        <f t="shared" si="247"/>
        <v/>
      </c>
      <c r="Q351" s="32" t="str">
        <f t="shared" si="248"/>
        <v/>
      </c>
      <c r="R351" s="32" t="str">
        <f t="shared" si="260"/>
        <v/>
      </c>
      <c r="S351" s="24" t="str">
        <f t="shared" si="261"/>
        <v/>
      </c>
      <c r="T351" s="24" t="str">
        <f t="shared" si="262"/>
        <v/>
      </c>
      <c r="U351" s="24" t="str">
        <f t="shared" si="263"/>
        <v/>
      </c>
      <c r="V351" s="24" t="str">
        <f t="shared" si="264"/>
        <v/>
      </c>
      <c r="W351" s="23" t="str">
        <f t="array" ref="W351">IFERROR(SMALL(IF(S$1:S$1000="BEGIN",ROW(S$1:S$1000)),ROW()-3),"")</f>
        <v/>
      </c>
      <c r="X351" s="23" t="str">
        <f t="array" ref="X351">IFERROR(SMALL(IF(T$1:T$1000="END",ROW(T$1:T$1000)),ROW()-3),"")</f>
        <v/>
      </c>
      <c r="Y351" s="33" t="str">
        <f t="array" ref="Y351">IF(ISNUMBER(W351),MAX(IF((B$4:B$1000&lt;=X351)*(B$4:B$1000&gt;=W351),I$4:I$1000, "")),"")</f>
        <v/>
      </c>
      <c r="Z351" s="33" t="str">
        <f t="shared" si="249"/>
        <v/>
      </c>
      <c r="AA351" s="32" t="str">
        <f t="shared" si="250"/>
        <v/>
      </c>
      <c r="AB351" s="32" t="str">
        <f t="shared" si="251"/>
        <v/>
      </c>
      <c r="AC351" s="32" t="str">
        <f t="shared" si="252"/>
        <v/>
      </c>
      <c r="AD351" s="32" t="str">
        <f t="shared" si="253"/>
        <v/>
      </c>
      <c r="AE351" s="34" t="str">
        <f t="shared" si="254"/>
        <v/>
      </c>
      <c r="AF351" s="32" t="str">
        <f t="shared" si="255"/>
        <v/>
      </c>
      <c r="AG351" s="32" t="str">
        <f t="shared" si="256"/>
        <v/>
      </c>
      <c r="AH351" s="32" t="str">
        <f t="shared" si="257"/>
        <v/>
      </c>
      <c r="AI351" s="35" t="str">
        <f t="shared" si="258"/>
        <v/>
      </c>
      <c r="AJ351" s="23" t="str">
        <f t="array" ref="AJ351">IFERROR(SMALL(IF(U$1:U$1000="BEGIN",ROW(U$1:U$1000)),ROW()-3),"")</f>
        <v/>
      </c>
      <c r="AK351" s="23" t="str">
        <f t="array" ref="AK351">IFERROR(SMALL(IF(V$1:V$1000="END",ROW(V$1:V$1000)),ROW()-3),"")</f>
        <v/>
      </c>
      <c r="AL351" s="24" t="str">
        <f t="array" ref="AL351">IF(AK351="","",MATCH(AM351,L:L,0))</f>
        <v/>
      </c>
      <c r="AM351" s="35">
        <f t="array" ref="AM351">MAX(IF((B$4:B$1000&lt;=AK351)*(B$4:B$1000&gt;=AJ351),L$4:L$1000, ""))</f>
        <v>0</v>
      </c>
      <c r="AN351" s="32" t="str">
        <f t="shared" si="265"/>
        <v/>
      </c>
      <c r="AO351" s="32" t="str">
        <f t="shared" si="266"/>
        <v/>
      </c>
      <c r="AP351" s="32" t="str">
        <f t="shared" si="267"/>
        <v/>
      </c>
      <c r="AQ351" s="32" t="str">
        <f t="shared" si="268"/>
        <v/>
      </c>
      <c r="AR351" s="32" t="str">
        <f t="shared" si="269"/>
        <v/>
      </c>
      <c r="AS351" s="32" t="str">
        <f t="shared" si="270"/>
        <v/>
      </c>
      <c r="AT351" s="32" t="str">
        <f t="shared" si="271"/>
        <v/>
      </c>
      <c r="AU351" s="34" t="str">
        <f t="shared" si="272"/>
        <v/>
      </c>
      <c r="AV351" s="32" t="str">
        <f t="shared" si="273"/>
        <v/>
      </c>
      <c r="AW351" s="32" t="str">
        <f t="shared" si="274"/>
        <v/>
      </c>
      <c r="AX351" s="32" t="str">
        <f t="shared" si="275"/>
        <v/>
      </c>
      <c r="AY351" s="32" t="str">
        <f t="shared" si="276"/>
        <v/>
      </c>
    </row>
    <row r="352" spans="1:51" x14ac:dyDescent="0.25">
      <c r="A352" s="24" t="str">
        <f t="shared" si="234"/>
        <v/>
      </c>
      <c r="B352" s="24" t="str">
        <f t="shared" si="244"/>
        <v/>
      </c>
      <c r="C352" s="32" t="str">
        <f t="shared" si="235"/>
        <v/>
      </c>
      <c r="D352" s="24" t="str">
        <f t="shared" si="236"/>
        <v/>
      </c>
      <c r="E352" s="24" t="str">
        <f t="shared" si="237"/>
        <v/>
      </c>
      <c r="F352" s="32" t="str">
        <f t="shared" si="238"/>
        <v/>
      </c>
      <c r="G352" s="32" t="str">
        <f t="shared" si="239"/>
        <v/>
      </c>
      <c r="H352" s="32" t="str">
        <f t="shared" ca="1" si="240"/>
        <v/>
      </c>
      <c r="I352" s="32" t="str">
        <f t="shared" ca="1" si="245"/>
        <v/>
      </c>
      <c r="J352" s="32" t="str">
        <f t="shared" si="241"/>
        <v/>
      </c>
      <c r="K352" s="32" t="str">
        <f>IF(ISNUMBER(A352),Profile!$V$25+Profile!$V$24*'Ri-Po'!C352,"")</f>
        <v/>
      </c>
      <c r="L352" s="32" t="str">
        <f t="shared" si="246"/>
        <v/>
      </c>
      <c r="M352" s="32" t="str">
        <f t="shared" si="242"/>
        <v/>
      </c>
      <c r="N352" s="32" t="str">
        <f t="shared" si="243"/>
        <v/>
      </c>
      <c r="O352" s="32" t="str">
        <f t="shared" si="259"/>
        <v/>
      </c>
      <c r="P352" s="32" t="str">
        <f t="shared" si="247"/>
        <v/>
      </c>
      <c r="Q352" s="32" t="str">
        <f t="shared" si="248"/>
        <v/>
      </c>
      <c r="R352" s="32" t="str">
        <f t="shared" si="260"/>
        <v/>
      </c>
      <c r="S352" s="24" t="str">
        <f t="shared" si="261"/>
        <v/>
      </c>
      <c r="T352" s="24" t="str">
        <f t="shared" si="262"/>
        <v/>
      </c>
      <c r="U352" s="24" t="str">
        <f t="shared" si="263"/>
        <v/>
      </c>
      <c r="V352" s="24" t="str">
        <f t="shared" si="264"/>
        <v/>
      </c>
      <c r="W352" s="23" t="str">
        <f t="array" ref="W352">IFERROR(SMALL(IF(S$1:S$1000="BEGIN",ROW(S$1:S$1000)),ROW()-3),"")</f>
        <v/>
      </c>
      <c r="X352" s="23" t="str">
        <f t="array" ref="X352">IFERROR(SMALL(IF(T$1:T$1000="END",ROW(T$1:T$1000)),ROW()-3),"")</f>
        <v/>
      </c>
      <c r="Y352" s="33" t="str">
        <f t="array" ref="Y352">IF(ISNUMBER(W352),MAX(IF((B$4:B$1000&lt;=X352)*(B$4:B$1000&gt;=W352),I$4:I$1000, "")),"")</f>
        <v/>
      </c>
      <c r="Z352" s="33" t="str">
        <f t="shared" si="249"/>
        <v/>
      </c>
      <c r="AA352" s="32" t="str">
        <f t="shared" si="250"/>
        <v/>
      </c>
      <c r="AB352" s="32" t="str">
        <f t="shared" si="251"/>
        <v/>
      </c>
      <c r="AC352" s="32" t="str">
        <f t="shared" si="252"/>
        <v/>
      </c>
      <c r="AD352" s="32" t="str">
        <f t="shared" si="253"/>
        <v/>
      </c>
      <c r="AE352" s="34" t="str">
        <f t="shared" si="254"/>
        <v/>
      </c>
      <c r="AF352" s="32" t="str">
        <f t="shared" si="255"/>
        <v/>
      </c>
      <c r="AG352" s="32" t="str">
        <f t="shared" si="256"/>
        <v/>
      </c>
      <c r="AH352" s="32" t="str">
        <f t="shared" si="257"/>
        <v/>
      </c>
      <c r="AI352" s="35" t="str">
        <f t="shared" si="258"/>
        <v/>
      </c>
      <c r="AJ352" s="23" t="str">
        <f t="array" ref="AJ352">IFERROR(SMALL(IF(U$1:U$1000="BEGIN",ROW(U$1:U$1000)),ROW()-3),"")</f>
        <v/>
      </c>
      <c r="AK352" s="23" t="str">
        <f t="array" ref="AK352">IFERROR(SMALL(IF(V$1:V$1000="END",ROW(V$1:V$1000)),ROW()-3),"")</f>
        <v/>
      </c>
      <c r="AL352" s="24" t="str">
        <f t="array" ref="AL352">IF(AK352="","",MATCH(AM352,L:L,0))</f>
        <v/>
      </c>
      <c r="AM352" s="35">
        <f t="array" ref="AM352">MAX(IF((B$4:B$1000&lt;=AK352)*(B$4:B$1000&gt;=AJ352),L$4:L$1000, ""))</f>
        <v>0</v>
      </c>
      <c r="AN352" s="32" t="str">
        <f t="shared" si="265"/>
        <v/>
      </c>
      <c r="AO352" s="32" t="str">
        <f t="shared" si="266"/>
        <v/>
      </c>
      <c r="AP352" s="32" t="str">
        <f t="shared" si="267"/>
        <v/>
      </c>
      <c r="AQ352" s="32" t="str">
        <f t="shared" si="268"/>
        <v/>
      </c>
      <c r="AR352" s="32" t="str">
        <f t="shared" si="269"/>
        <v/>
      </c>
      <c r="AS352" s="32" t="str">
        <f t="shared" si="270"/>
        <v/>
      </c>
      <c r="AT352" s="32" t="str">
        <f t="shared" si="271"/>
        <v/>
      </c>
      <c r="AU352" s="34" t="str">
        <f t="shared" si="272"/>
        <v/>
      </c>
      <c r="AV352" s="32" t="str">
        <f t="shared" si="273"/>
        <v/>
      </c>
      <c r="AW352" s="32" t="str">
        <f t="shared" si="274"/>
        <v/>
      </c>
      <c r="AX352" s="32" t="str">
        <f t="shared" si="275"/>
        <v/>
      </c>
      <c r="AY352" s="32" t="str">
        <f t="shared" si="276"/>
        <v/>
      </c>
    </row>
    <row r="353" spans="1:51" x14ac:dyDescent="0.25">
      <c r="A353" s="24" t="str">
        <f t="shared" si="234"/>
        <v/>
      </c>
      <c r="B353" s="24" t="str">
        <f t="shared" si="244"/>
        <v/>
      </c>
      <c r="C353" s="32" t="str">
        <f t="shared" si="235"/>
        <v/>
      </c>
      <c r="D353" s="24" t="str">
        <f t="shared" si="236"/>
        <v/>
      </c>
      <c r="E353" s="24" t="str">
        <f t="shared" si="237"/>
        <v/>
      </c>
      <c r="F353" s="32" t="str">
        <f t="shared" si="238"/>
        <v/>
      </c>
      <c r="G353" s="32" t="str">
        <f t="shared" si="239"/>
        <v/>
      </c>
      <c r="H353" s="32" t="str">
        <f t="shared" ca="1" si="240"/>
        <v/>
      </c>
      <c r="I353" s="32" t="str">
        <f t="shared" ca="1" si="245"/>
        <v/>
      </c>
      <c r="J353" s="32" t="str">
        <f t="shared" si="241"/>
        <v/>
      </c>
      <c r="K353" s="32" t="str">
        <f>IF(ISNUMBER(A353),Profile!$V$25+Profile!$V$24*'Ri-Po'!C353,"")</f>
        <v/>
      </c>
      <c r="L353" s="32" t="str">
        <f t="shared" si="246"/>
        <v/>
      </c>
      <c r="M353" s="32" t="str">
        <f t="shared" si="242"/>
        <v/>
      </c>
      <c r="N353" s="32" t="str">
        <f t="shared" si="243"/>
        <v/>
      </c>
      <c r="O353" s="32" t="str">
        <f t="shared" si="259"/>
        <v/>
      </c>
      <c r="P353" s="32" t="str">
        <f t="shared" si="247"/>
        <v/>
      </c>
      <c r="Q353" s="32" t="str">
        <f t="shared" si="248"/>
        <v/>
      </c>
      <c r="R353" s="32" t="str">
        <f t="shared" si="260"/>
        <v/>
      </c>
      <c r="S353" s="24" t="str">
        <f t="shared" si="261"/>
        <v/>
      </c>
      <c r="T353" s="24" t="str">
        <f t="shared" si="262"/>
        <v/>
      </c>
      <c r="U353" s="24" t="str">
        <f t="shared" si="263"/>
        <v/>
      </c>
      <c r="V353" s="24" t="str">
        <f t="shared" si="264"/>
        <v/>
      </c>
      <c r="W353" s="23" t="str">
        <f t="array" ref="W353">IFERROR(SMALL(IF(S$1:S$1000="BEGIN",ROW(S$1:S$1000)),ROW()-3),"")</f>
        <v/>
      </c>
      <c r="X353" s="23" t="str">
        <f t="array" ref="X353">IFERROR(SMALL(IF(T$1:T$1000="END",ROW(T$1:T$1000)),ROW()-3),"")</f>
        <v/>
      </c>
      <c r="Y353" s="33" t="str">
        <f t="array" ref="Y353">IF(ISNUMBER(W353),MAX(IF((B$4:B$1000&lt;=X353)*(B$4:B$1000&gt;=W353),I$4:I$1000, "")),"")</f>
        <v/>
      </c>
      <c r="Z353" s="33" t="str">
        <f t="shared" si="249"/>
        <v/>
      </c>
      <c r="AA353" s="32" t="str">
        <f t="shared" si="250"/>
        <v/>
      </c>
      <c r="AB353" s="32" t="str">
        <f t="shared" si="251"/>
        <v/>
      </c>
      <c r="AC353" s="32" t="str">
        <f t="shared" si="252"/>
        <v/>
      </c>
      <c r="AD353" s="32" t="str">
        <f t="shared" si="253"/>
        <v/>
      </c>
      <c r="AE353" s="34" t="str">
        <f t="shared" si="254"/>
        <v/>
      </c>
      <c r="AF353" s="32" t="str">
        <f t="shared" si="255"/>
        <v/>
      </c>
      <c r="AG353" s="32" t="str">
        <f t="shared" si="256"/>
        <v/>
      </c>
      <c r="AH353" s="32" t="str">
        <f t="shared" si="257"/>
        <v/>
      </c>
      <c r="AI353" s="35" t="str">
        <f t="shared" si="258"/>
        <v/>
      </c>
      <c r="AJ353" s="23" t="str">
        <f t="array" ref="AJ353">IFERROR(SMALL(IF(U$1:U$1000="BEGIN",ROW(U$1:U$1000)),ROW()-3),"")</f>
        <v/>
      </c>
      <c r="AK353" s="23" t="str">
        <f t="array" ref="AK353">IFERROR(SMALL(IF(V$1:V$1000="END",ROW(V$1:V$1000)),ROW()-3),"")</f>
        <v/>
      </c>
      <c r="AL353" s="24" t="str">
        <f t="array" ref="AL353">IF(AK353="","",MATCH(AM353,L:L,0))</f>
        <v/>
      </c>
      <c r="AM353" s="35">
        <f t="array" ref="AM353">MAX(IF((B$4:B$1000&lt;=AK353)*(B$4:B$1000&gt;=AJ353),L$4:L$1000, ""))</f>
        <v>0</v>
      </c>
      <c r="AN353" s="32" t="str">
        <f t="shared" si="265"/>
        <v/>
      </c>
      <c r="AO353" s="32" t="str">
        <f t="shared" si="266"/>
        <v/>
      </c>
      <c r="AP353" s="32" t="str">
        <f t="shared" si="267"/>
        <v/>
      </c>
      <c r="AQ353" s="32" t="str">
        <f t="shared" si="268"/>
        <v/>
      </c>
      <c r="AR353" s="32" t="str">
        <f t="shared" si="269"/>
        <v/>
      </c>
      <c r="AS353" s="32" t="str">
        <f t="shared" si="270"/>
        <v/>
      </c>
      <c r="AT353" s="32" t="str">
        <f t="shared" si="271"/>
        <v/>
      </c>
      <c r="AU353" s="34" t="str">
        <f t="shared" si="272"/>
        <v/>
      </c>
      <c r="AV353" s="32" t="str">
        <f t="shared" si="273"/>
        <v/>
      </c>
      <c r="AW353" s="32" t="str">
        <f t="shared" si="274"/>
        <v/>
      </c>
      <c r="AX353" s="32" t="str">
        <f t="shared" si="275"/>
        <v/>
      </c>
      <c r="AY353" s="32" t="str">
        <f t="shared" si="276"/>
        <v/>
      </c>
    </row>
    <row r="354" spans="1:51" x14ac:dyDescent="0.25">
      <c r="A354" s="24" t="str">
        <f t="shared" si="234"/>
        <v/>
      </c>
      <c r="B354" s="24" t="str">
        <f t="shared" si="244"/>
        <v/>
      </c>
      <c r="C354" s="32" t="str">
        <f t="shared" si="235"/>
        <v/>
      </c>
      <c r="D354" s="24" t="str">
        <f t="shared" si="236"/>
        <v/>
      </c>
      <c r="E354" s="24" t="str">
        <f t="shared" si="237"/>
        <v/>
      </c>
      <c r="F354" s="32" t="str">
        <f t="shared" si="238"/>
        <v/>
      </c>
      <c r="G354" s="32" t="str">
        <f t="shared" si="239"/>
        <v/>
      </c>
      <c r="H354" s="32" t="str">
        <f t="shared" ca="1" si="240"/>
        <v/>
      </c>
      <c r="I354" s="32" t="str">
        <f t="shared" ca="1" si="245"/>
        <v/>
      </c>
      <c r="J354" s="32" t="str">
        <f t="shared" si="241"/>
        <v/>
      </c>
      <c r="K354" s="32" t="str">
        <f>IF(ISNUMBER(A354),Profile!$V$25+Profile!$V$24*'Ri-Po'!C354,"")</f>
        <v/>
      </c>
      <c r="L354" s="32" t="str">
        <f t="shared" si="246"/>
        <v/>
      </c>
      <c r="M354" s="32" t="str">
        <f t="shared" si="242"/>
        <v/>
      </c>
      <c r="N354" s="32" t="str">
        <f t="shared" si="243"/>
        <v/>
      </c>
      <c r="O354" s="32" t="str">
        <f t="shared" si="259"/>
        <v/>
      </c>
      <c r="P354" s="32" t="str">
        <f t="shared" si="247"/>
        <v/>
      </c>
      <c r="Q354" s="32" t="str">
        <f t="shared" si="248"/>
        <v/>
      </c>
      <c r="R354" s="32" t="str">
        <f t="shared" si="260"/>
        <v/>
      </c>
      <c r="S354" s="24" t="str">
        <f t="shared" si="261"/>
        <v/>
      </c>
      <c r="T354" s="24" t="str">
        <f t="shared" si="262"/>
        <v/>
      </c>
      <c r="U354" s="24" t="str">
        <f t="shared" si="263"/>
        <v/>
      </c>
      <c r="V354" s="24" t="str">
        <f t="shared" si="264"/>
        <v/>
      </c>
      <c r="W354" s="23" t="str">
        <f t="array" ref="W354">IFERROR(SMALL(IF(S$1:S$1000="BEGIN",ROW(S$1:S$1000)),ROW()-3),"")</f>
        <v/>
      </c>
      <c r="X354" s="23" t="str">
        <f t="array" ref="X354">IFERROR(SMALL(IF(T$1:T$1000="END",ROW(T$1:T$1000)),ROW()-3),"")</f>
        <v/>
      </c>
      <c r="Y354" s="33" t="str">
        <f t="array" ref="Y354">IF(ISNUMBER(W354),MAX(IF((B$4:B$1000&lt;=X354)*(B$4:B$1000&gt;=W354),I$4:I$1000, "")),"")</f>
        <v/>
      </c>
      <c r="Z354" s="33" t="str">
        <f t="shared" si="249"/>
        <v/>
      </c>
      <c r="AA354" s="32" t="str">
        <f t="shared" si="250"/>
        <v/>
      </c>
      <c r="AB354" s="32" t="str">
        <f t="shared" si="251"/>
        <v/>
      </c>
      <c r="AC354" s="32" t="str">
        <f t="shared" si="252"/>
        <v/>
      </c>
      <c r="AD354" s="32" t="str">
        <f t="shared" si="253"/>
        <v/>
      </c>
      <c r="AE354" s="34" t="str">
        <f t="shared" si="254"/>
        <v/>
      </c>
      <c r="AF354" s="32" t="str">
        <f t="shared" si="255"/>
        <v/>
      </c>
      <c r="AG354" s="32" t="str">
        <f t="shared" si="256"/>
        <v/>
      </c>
      <c r="AH354" s="32" t="str">
        <f t="shared" si="257"/>
        <v/>
      </c>
      <c r="AI354" s="35" t="str">
        <f t="shared" si="258"/>
        <v/>
      </c>
      <c r="AJ354" s="23" t="str">
        <f t="array" ref="AJ354">IFERROR(SMALL(IF(U$1:U$1000="BEGIN",ROW(U$1:U$1000)),ROW()-3),"")</f>
        <v/>
      </c>
      <c r="AK354" s="23" t="str">
        <f t="array" ref="AK354">IFERROR(SMALL(IF(V$1:V$1000="END",ROW(V$1:V$1000)),ROW()-3),"")</f>
        <v/>
      </c>
      <c r="AL354" s="24" t="str">
        <f t="array" ref="AL354">IF(AK354="","",MATCH(AM354,L:L,0))</f>
        <v/>
      </c>
      <c r="AM354" s="35">
        <f t="array" ref="AM354">MAX(IF((B$4:B$1000&lt;=AK354)*(B$4:B$1000&gt;=AJ354),L$4:L$1000, ""))</f>
        <v>0</v>
      </c>
      <c r="AN354" s="32" t="str">
        <f t="shared" si="265"/>
        <v/>
      </c>
      <c r="AO354" s="32" t="str">
        <f t="shared" si="266"/>
        <v/>
      </c>
      <c r="AP354" s="32" t="str">
        <f t="shared" si="267"/>
        <v/>
      </c>
      <c r="AQ354" s="32" t="str">
        <f t="shared" si="268"/>
        <v/>
      </c>
      <c r="AR354" s="32" t="str">
        <f t="shared" si="269"/>
        <v/>
      </c>
      <c r="AS354" s="32" t="str">
        <f t="shared" si="270"/>
        <v/>
      </c>
      <c r="AT354" s="32" t="str">
        <f t="shared" si="271"/>
        <v/>
      </c>
      <c r="AU354" s="34" t="str">
        <f t="shared" si="272"/>
        <v/>
      </c>
      <c r="AV354" s="32" t="str">
        <f t="shared" si="273"/>
        <v/>
      </c>
      <c r="AW354" s="32" t="str">
        <f t="shared" si="274"/>
        <v/>
      </c>
      <c r="AX354" s="32" t="str">
        <f t="shared" si="275"/>
        <v/>
      </c>
      <c r="AY354" s="32" t="str">
        <f t="shared" si="276"/>
        <v/>
      </c>
    </row>
    <row r="355" spans="1:51" x14ac:dyDescent="0.25">
      <c r="A355" s="24" t="str">
        <f t="shared" si="234"/>
        <v/>
      </c>
      <c r="B355" s="24" t="str">
        <f t="shared" si="244"/>
        <v/>
      </c>
      <c r="C355" s="32" t="str">
        <f t="shared" si="235"/>
        <v/>
      </c>
      <c r="D355" s="24" t="str">
        <f t="shared" si="236"/>
        <v/>
      </c>
      <c r="E355" s="24" t="str">
        <f t="shared" si="237"/>
        <v/>
      </c>
      <c r="F355" s="32" t="str">
        <f t="shared" si="238"/>
        <v/>
      </c>
      <c r="G355" s="32" t="str">
        <f t="shared" si="239"/>
        <v/>
      </c>
      <c r="H355" s="32" t="str">
        <f t="shared" ca="1" si="240"/>
        <v/>
      </c>
      <c r="I355" s="32" t="str">
        <f t="shared" ca="1" si="245"/>
        <v/>
      </c>
      <c r="J355" s="32" t="str">
        <f t="shared" si="241"/>
        <v/>
      </c>
      <c r="K355" s="32" t="str">
        <f>IF(ISNUMBER(A355),Profile!$V$25+Profile!$V$24*'Ri-Po'!C355,"")</f>
        <v/>
      </c>
      <c r="L355" s="32" t="str">
        <f t="shared" si="246"/>
        <v/>
      </c>
      <c r="M355" s="32" t="str">
        <f t="shared" si="242"/>
        <v/>
      </c>
      <c r="N355" s="32" t="str">
        <f t="shared" si="243"/>
        <v/>
      </c>
      <c r="O355" s="32" t="str">
        <f t="shared" si="259"/>
        <v/>
      </c>
      <c r="P355" s="32" t="str">
        <f t="shared" si="247"/>
        <v/>
      </c>
      <c r="Q355" s="32" t="str">
        <f t="shared" si="248"/>
        <v/>
      </c>
      <c r="R355" s="32" t="str">
        <f t="shared" si="260"/>
        <v/>
      </c>
      <c r="S355" s="24" t="str">
        <f t="shared" si="261"/>
        <v/>
      </c>
      <c r="T355" s="24" t="str">
        <f t="shared" si="262"/>
        <v/>
      </c>
      <c r="U355" s="24" t="str">
        <f t="shared" si="263"/>
        <v/>
      </c>
      <c r="V355" s="24" t="str">
        <f t="shared" si="264"/>
        <v/>
      </c>
      <c r="W355" s="23" t="str">
        <f t="array" ref="W355">IFERROR(SMALL(IF(S$1:S$1000="BEGIN",ROW(S$1:S$1000)),ROW()-3),"")</f>
        <v/>
      </c>
      <c r="X355" s="23" t="str">
        <f t="array" ref="X355">IFERROR(SMALL(IF(T$1:T$1000="END",ROW(T$1:T$1000)),ROW()-3),"")</f>
        <v/>
      </c>
      <c r="Y355" s="33" t="str">
        <f t="array" ref="Y355">IF(ISNUMBER(W355),MAX(IF((B$4:B$1000&lt;=X355)*(B$4:B$1000&gt;=W355),I$4:I$1000, "")),"")</f>
        <v/>
      </c>
      <c r="Z355" s="33" t="str">
        <f t="shared" si="249"/>
        <v/>
      </c>
      <c r="AA355" s="32" t="str">
        <f t="shared" si="250"/>
        <v/>
      </c>
      <c r="AB355" s="32" t="str">
        <f t="shared" si="251"/>
        <v/>
      </c>
      <c r="AC355" s="32" t="str">
        <f t="shared" si="252"/>
        <v/>
      </c>
      <c r="AD355" s="32" t="str">
        <f t="shared" si="253"/>
        <v/>
      </c>
      <c r="AE355" s="34" t="str">
        <f t="shared" si="254"/>
        <v/>
      </c>
      <c r="AF355" s="32" t="str">
        <f t="shared" si="255"/>
        <v/>
      </c>
      <c r="AG355" s="32" t="str">
        <f t="shared" si="256"/>
        <v/>
      </c>
      <c r="AH355" s="32" t="str">
        <f t="shared" si="257"/>
        <v/>
      </c>
      <c r="AI355" s="35" t="str">
        <f t="shared" si="258"/>
        <v/>
      </c>
      <c r="AJ355" s="23" t="str">
        <f t="array" ref="AJ355">IFERROR(SMALL(IF(U$1:U$1000="BEGIN",ROW(U$1:U$1000)),ROW()-3),"")</f>
        <v/>
      </c>
      <c r="AK355" s="23" t="str">
        <f t="array" ref="AK355">IFERROR(SMALL(IF(V$1:V$1000="END",ROW(V$1:V$1000)),ROW()-3),"")</f>
        <v/>
      </c>
      <c r="AL355" s="24" t="str">
        <f t="array" ref="AL355">IF(AK355="","",MATCH(AM355,L:L,0))</f>
        <v/>
      </c>
      <c r="AM355" s="35">
        <f t="array" ref="AM355">MAX(IF((B$4:B$1000&lt;=AK355)*(B$4:B$1000&gt;=AJ355),L$4:L$1000, ""))</f>
        <v>0</v>
      </c>
      <c r="AN355" s="32" t="str">
        <f t="shared" si="265"/>
        <v/>
      </c>
      <c r="AO355" s="32" t="str">
        <f t="shared" si="266"/>
        <v/>
      </c>
      <c r="AP355" s="32" t="str">
        <f t="shared" si="267"/>
        <v/>
      </c>
      <c r="AQ355" s="32" t="str">
        <f t="shared" si="268"/>
        <v/>
      </c>
      <c r="AR355" s="32" t="str">
        <f t="shared" si="269"/>
        <v/>
      </c>
      <c r="AS355" s="32" t="str">
        <f t="shared" si="270"/>
        <v/>
      </c>
      <c r="AT355" s="32" t="str">
        <f t="shared" si="271"/>
        <v/>
      </c>
      <c r="AU355" s="34" t="str">
        <f t="shared" si="272"/>
        <v/>
      </c>
      <c r="AV355" s="32" t="str">
        <f t="shared" si="273"/>
        <v/>
      </c>
      <c r="AW355" s="32" t="str">
        <f t="shared" si="274"/>
        <v/>
      </c>
      <c r="AX355" s="32" t="str">
        <f t="shared" si="275"/>
        <v/>
      </c>
      <c r="AY355" s="32" t="str">
        <f t="shared" si="276"/>
        <v/>
      </c>
    </row>
    <row r="356" spans="1:51" x14ac:dyDescent="0.25">
      <c r="A356" s="24" t="str">
        <f t="shared" si="234"/>
        <v/>
      </c>
      <c r="B356" s="24" t="str">
        <f t="shared" si="244"/>
        <v/>
      </c>
      <c r="C356" s="32" t="str">
        <f t="shared" si="235"/>
        <v/>
      </c>
      <c r="D356" s="24" t="str">
        <f t="shared" si="236"/>
        <v/>
      </c>
      <c r="E356" s="24" t="str">
        <f t="shared" si="237"/>
        <v/>
      </c>
      <c r="F356" s="32" t="str">
        <f t="shared" si="238"/>
        <v/>
      </c>
      <c r="G356" s="32" t="str">
        <f t="shared" si="239"/>
        <v/>
      </c>
      <c r="H356" s="32" t="str">
        <f t="shared" ca="1" si="240"/>
        <v/>
      </c>
      <c r="I356" s="32" t="str">
        <f t="shared" ca="1" si="245"/>
        <v/>
      </c>
      <c r="J356" s="32" t="str">
        <f t="shared" si="241"/>
        <v/>
      </c>
      <c r="K356" s="32" t="str">
        <f>IF(ISNUMBER(A356),Profile!$V$25+Profile!$V$24*'Ri-Po'!C356,"")</f>
        <v/>
      </c>
      <c r="L356" s="32" t="str">
        <f t="shared" si="246"/>
        <v/>
      </c>
      <c r="M356" s="32" t="str">
        <f t="shared" si="242"/>
        <v/>
      </c>
      <c r="N356" s="32" t="str">
        <f t="shared" si="243"/>
        <v/>
      </c>
      <c r="O356" s="32" t="str">
        <f t="shared" si="259"/>
        <v/>
      </c>
      <c r="P356" s="32" t="str">
        <f t="shared" si="247"/>
        <v/>
      </c>
      <c r="Q356" s="32" t="str">
        <f t="shared" si="248"/>
        <v/>
      </c>
      <c r="R356" s="32" t="str">
        <f t="shared" si="260"/>
        <v/>
      </c>
      <c r="S356" s="24" t="str">
        <f t="shared" si="261"/>
        <v/>
      </c>
      <c r="T356" s="24" t="str">
        <f t="shared" si="262"/>
        <v/>
      </c>
      <c r="U356" s="24" t="str">
        <f t="shared" si="263"/>
        <v/>
      </c>
      <c r="V356" s="24" t="str">
        <f t="shared" si="264"/>
        <v/>
      </c>
      <c r="W356" s="23" t="str">
        <f t="array" ref="W356">IFERROR(SMALL(IF(S$1:S$1000="BEGIN",ROW(S$1:S$1000)),ROW()-3),"")</f>
        <v/>
      </c>
      <c r="X356" s="23" t="str">
        <f t="array" ref="X356">IFERROR(SMALL(IF(T$1:T$1000="END",ROW(T$1:T$1000)),ROW()-3),"")</f>
        <v/>
      </c>
      <c r="Y356" s="33" t="str">
        <f t="array" ref="Y356">IF(ISNUMBER(W356),MAX(IF((B$4:B$1000&lt;=X356)*(B$4:B$1000&gt;=W356),I$4:I$1000, "")),"")</f>
        <v/>
      </c>
      <c r="Z356" s="33" t="str">
        <f t="shared" si="249"/>
        <v/>
      </c>
      <c r="AA356" s="32" t="str">
        <f t="shared" si="250"/>
        <v/>
      </c>
      <c r="AB356" s="32" t="str">
        <f t="shared" si="251"/>
        <v/>
      </c>
      <c r="AC356" s="32" t="str">
        <f t="shared" si="252"/>
        <v/>
      </c>
      <c r="AD356" s="32" t="str">
        <f t="shared" si="253"/>
        <v/>
      </c>
      <c r="AE356" s="34" t="str">
        <f t="shared" si="254"/>
        <v/>
      </c>
      <c r="AF356" s="32" t="str">
        <f t="shared" si="255"/>
        <v/>
      </c>
      <c r="AG356" s="32" t="str">
        <f t="shared" si="256"/>
        <v/>
      </c>
      <c r="AH356" s="32" t="str">
        <f t="shared" si="257"/>
        <v/>
      </c>
      <c r="AI356" s="35" t="str">
        <f t="shared" si="258"/>
        <v/>
      </c>
      <c r="AJ356" s="23" t="str">
        <f t="array" ref="AJ356">IFERROR(SMALL(IF(U$1:U$1000="BEGIN",ROW(U$1:U$1000)),ROW()-3),"")</f>
        <v/>
      </c>
      <c r="AK356" s="23" t="str">
        <f t="array" ref="AK356">IFERROR(SMALL(IF(V$1:V$1000="END",ROW(V$1:V$1000)),ROW()-3),"")</f>
        <v/>
      </c>
      <c r="AL356" s="24" t="str">
        <f t="array" ref="AL356">IF(AK356="","",MATCH(AM356,L:L,0))</f>
        <v/>
      </c>
      <c r="AM356" s="35">
        <f t="array" ref="AM356">MAX(IF((B$4:B$1000&lt;=AK356)*(B$4:B$1000&gt;=AJ356),L$4:L$1000, ""))</f>
        <v>0</v>
      </c>
      <c r="AN356" s="32" t="str">
        <f t="shared" si="265"/>
        <v/>
      </c>
      <c r="AO356" s="32" t="str">
        <f t="shared" si="266"/>
        <v/>
      </c>
      <c r="AP356" s="32" t="str">
        <f t="shared" si="267"/>
        <v/>
      </c>
      <c r="AQ356" s="32" t="str">
        <f t="shared" si="268"/>
        <v/>
      </c>
      <c r="AR356" s="32" t="str">
        <f t="shared" si="269"/>
        <v/>
      </c>
      <c r="AS356" s="32" t="str">
        <f t="shared" si="270"/>
        <v/>
      </c>
      <c r="AT356" s="32" t="str">
        <f t="shared" si="271"/>
        <v/>
      </c>
      <c r="AU356" s="34" t="str">
        <f t="shared" si="272"/>
        <v/>
      </c>
      <c r="AV356" s="32" t="str">
        <f t="shared" si="273"/>
        <v/>
      </c>
      <c r="AW356" s="32" t="str">
        <f t="shared" si="274"/>
        <v/>
      </c>
      <c r="AX356" s="32" t="str">
        <f t="shared" si="275"/>
        <v/>
      </c>
      <c r="AY356" s="32" t="str">
        <f t="shared" si="276"/>
        <v/>
      </c>
    </row>
    <row r="357" spans="1:51" x14ac:dyDescent="0.25">
      <c r="A357" s="24" t="str">
        <f t="shared" si="234"/>
        <v/>
      </c>
      <c r="B357" s="24" t="str">
        <f t="shared" si="244"/>
        <v/>
      </c>
      <c r="C357" s="32" t="str">
        <f t="shared" si="235"/>
        <v/>
      </c>
      <c r="D357" s="24" t="str">
        <f t="shared" si="236"/>
        <v/>
      </c>
      <c r="E357" s="24" t="str">
        <f t="shared" si="237"/>
        <v/>
      </c>
      <c r="F357" s="32" t="str">
        <f t="shared" si="238"/>
        <v/>
      </c>
      <c r="G357" s="32" t="str">
        <f t="shared" si="239"/>
        <v/>
      </c>
      <c r="H357" s="32" t="str">
        <f t="shared" ca="1" si="240"/>
        <v/>
      </c>
      <c r="I357" s="32" t="str">
        <f t="shared" ca="1" si="245"/>
        <v/>
      </c>
      <c r="J357" s="32" t="str">
        <f t="shared" si="241"/>
        <v/>
      </c>
      <c r="K357" s="32" t="str">
        <f>IF(ISNUMBER(A357),Profile!$V$25+Profile!$V$24*'Ri-Po'!C357,"")</f>
        <v/>
      </c>
      <c r="L357" s="32" t="str">
        <f t="shared" si="246"/>
        <v/>
      </c>
      <c r="M357" s="32" t="str">
        <f t="shared" si="242"/>
        <v/>
      </c>
      <c r="N357" s="32" t="str">
        <f t="shared" si="243"/>
        <v/>
      </c>
      <c r="O357" s="32" t="str">
        <f t="shared" si="259"/>
        <v/>
      </c>
      <c r="P357" s="32" t="str">
        <f t="shared" si="247"/>
        <v/>
      </c>
      <c r="Q357" s="32" t="str">
        <f t="shared" si="248"/>
        <v/>
      </c>
      <c r="R357" s="32" t="str">
        <f t="shared" si="260"/>
        <v/>
      </c>
      <c r="S357" s="24" t="str">
        <f t="shared" si="261"/>
        <v/>
      </c>
      <c r="T357" s="24" t="str">
        <f t="shared" si="262"/>
        <v/>
      </c>
      <c r="U357" s="24" t="str">
        <f t="shared" si="263"/>
        <v/>
      </c>
      <c r="V357" s="24" t="str">
        <f t="shared" si="264"/>
        <v/>
      </c>
      <c r="W357" s="23" t="str">
        <f t="array" ref="W357">IFERROR(SMALL(IF(S$1:S$1000="BEGIN",ROW(S$1:S$1000)),ROW()-3),"")</f>
        <v/>
      </c>
      <c r="X357" s="23" t="str">
        <f t="array" ref="X357">IFERROR(SMALL(IF(T$1:T$1000="END",ROW(T$1:T$1000)),ROW()-3),"")</f>
        <v/>
      </c>
      <c r="Y357" s="33" t="str">
        <f t="array" ref="Y357">IF(ISNUMBER(W357),MAX(IF((B$4:B$1000&lt;=X357)*(B$4:B$1000&gt;=W357),I$4:I$1000, "")),"")</f>
        <v/>
      </c>
      <c r="Z357" s="33" t="str">
        <f t="shared" si="249"/>
        <v/>
      </c>
      <c r="AA357" s="32" t="str">
        <f t="shared" si="250"/>
        <v/>
      </c>
      <c r="AB357" s="32" t="str">
        <f t="shared" si="251"/>
        <v/>
      </c>
      <c r="AC357" s="32" t="str">
        <f t="shared" si="252"/>
        <v/>
      </c>
      <c r="AD357" s="32" t="str">
        <f t="shared" si="253"/>
        <v/>
      </c>
      <c r="AE357" s="34" t="str">
        <f t="shared" si="254"/>
        <v/>
      </c>
      <c r="AF357" s="32" t="str">
        <f t="shared" si="255"/>
        <v/>
      </c>
      <c r="AG357" s="32" t="str">
        <f t="shared" si="256"/>
        <v/>
      </c>
      <c r="AH357" s="32" t="str">
        <f t="shared" si="257"/>
        <v/>
      </c>
      <c r="AI357" s="35" t="str">
        <f t="shared" si="258"/>
        <v/>
      </c>
      <c r="AJ357" s="23" t="str">
        <f t="array" ref="AJ357">IFERROR(SMALL(IF(U$1:U$1000="BEGIN",ROW(U$1:U$1000)),ROW()-3),"")</f>
        <v/>
      </c>
      <c r="AK357" s="23" t="str">
        <f t="array" ref="AK357">IFERROR(SMALL(IF(V$1:V$1000="END",ROW(V$1:V$1000)),ROW()-3),"")</f>
        <v/>
      </c>
      <c r="AL357" s="24" t="str">
        <f t="array" ref="AL357">IF(AK357="","",MATCH(AM357,L:L,0))</f>
        <v/>
      </c>
      <c r="AM357" s="35">
        <f t="array" ref="AM357">MAX(IF((B$4:B$1000&lt;=AK357)*(B$4:B$1000&gt;=AJ357),L$4:L$1000, ""))</f>
        <v>0</v>
      </c>
      <c r="AN357" s="32" t="str">
        <f t="shared" si="265"/>
        <v/>
      </c>
      <c r="AO357" s="32" t="str">
        <f t="shared" si="266"/>
        <v/>
      </c>
      <c r="AP357" s="32" t="str">
        <f t="shared" si="267"/>
        <v/>
      </c>
      <c r="AQ357" s="32" t="str">
        <f t="shared" si="268"/>
        <v/>
      </c>
      <c r="AR357" s="32" t="str">
        <f t="shared" si="269"/>
        <v/>
      </c>
      <c r="AS357" s="32" t="str">
        <f t="shared" si="270"/>
        <v/>
      </c>
      <c r="AT357" s="32" t="str">
        <f t="shared" si="271"/>
        <v/>
      </c>
      <c r="AU357" s="34" t="str">
        <f t="shared" si="272"/>
        <v/>
      </c>
      <c r="AV357" s="32" t="str">
        <f t="shared" si="273"/>
        <v/>
      </c>
      <c r="AW357" s="32" t="str">
        <f t="shared" si="274"/>
        <v/>
      </c>
      <c r="AX357" s="32" t="str">
        <f t="shared" si="275"/>
        <v/>
      </c>
      <c r="AY357" s="32" t="str">
        <f t="shared" si="276"/>
        <v/>
      </c>
    </row>
    <row r="358" spans="1:51" x14ac:dyDescent="0.25">
      <c r="A358" s="24" t="str">
        <f t="shared" si="234"/>
        <v/>
      </c>
      <c r="B358" s="24" t="str">
        <f t="shared" si="244"/>
        <v/>
      </c>
      <c r="C358" s="32" t="str">
        <f t="shared" si="235"/>
        <v/>
      </c>
      <c r="D358" s="24" t="str">
        <f t="shared" si="236"/>
        <v/>
      </c>
      <c r="E358" s="24" t="str">
        <f t="shared" si="237"/>
        <v/>
      </c>
      <c r="F358" s="32" t="str">
        <f t="shared" si="238"/>
        <v/>
      </c>
      <c r="G358" s="32" t="str">
        <f t="shared" si="239"/>
        <v/>
      </c>
      <c r="H358" s="32" t="str">
        <f t="shared" ca="1" si="240"/>
        <v/>
      </c>
      <c r="I358" s="32" t="str">
        <f t="shared" ca="1" si="245"/>
        <v/>
      </c>
      <c r="J358" s="32" t="str">
        <f t="shared" si="241"/>
        <v/>
      </c>
      <c r="K358" s="32" t="str">
        <f>IF(ISNUMBER(A358),Profile!$V$25+Profile!$V$24*'Ri-Po'!C358,"")</f>
        <v/>
      </c>
      <c r="L358" s="32" t="str">
        <f t="shared" si="246"/>
        <v/>
      </c>
      <c r="M358" s="32" t="str">
        <f t="shared" si="242"/>
        <v/>
      </c>
      <c r="N358" s="32" t="str">
        <f t="shared" si="243"/>
        <v/>
      </c>
      <c r="O358" s="32" t="str">
        <f t="shared" si="259"/>
        <v/>
      </c>
      <c r="P358" s="32" t="str">
        <f t="shared" si="247"/>
        <v/>
      </c>
      <c r="Q358" s="32" t="str">
        <f t="shared" si="248"/>
        <v/>
      </c>
      <c r="R358" s="32" t="str">
        <f t="shared" si="260"/>
        <v/>
      </c>
      <c r="S358" s="24" t="str">
        <f t="shared" si="261"/>
        <v/>
      </c>
      <c r="T358" s="24" t="str">
        <f t="shared" si="262"/>
        <v/>
      </c>
      <c r="U358" s="24" t="str">
        <f t="shared" si="263"/>
        <v/>
      </c>
      <c r="V358" s="24" t="str">
        <f t="shared" si="264"/>
        <v/>
      </c>
      <c r="W358" s="23" t="str">
        <f t="array" ref="W358">IFERROR(SMALL(IF(S$1:S$1000="BEGIN",ROW(S$1:S$1000)),ROW()-3),"")</f>
        <v/>
      </c>
      <c r="X358" s="23" t="str">
        <f t="array" ref="X358">IFERROR(SMALL(IF(T$1:T$1000="END",ROW(T$1:T$1000)),ROW()-3),"")</f>
        <v/>
      </c>
      <c r="Y358" s="33" t="str">
        <f t="array" ref="Y358">IF(ISNUMBER(W358),MAX(IF((B$4:B$1000&lt;=X358)*(B$4:B$1000&gt;=W358),I$4:I$1000, "")),"")</f>
        <v/>
      </c>
      <c r="Z358" s="33" t="str">
        <f t="shared" si="249"/>
        <v/>
      </c>
      <c r="AA358" s="32" t="str">
        <f t="shared" si="250"/>
        <v/>
      </c>
      <c r="AB358" s="32" t="str">
        <f t="shared" si="251"/>
        <v/>
      </c>
      <c r="AC358" s="32" t="str">
        <f t="shared" si="252"/>
        <v/>
      </c>
      <c r="AD358" s="32" t="str">
        <f t="shared" si="253"/>
        <v/>
      </c>
      <c r="AE358" s="34" t="str">
        <f t="shared" si="254"/>
        <v/>
      </c>
      <c r="AF358" s="32" t="str">
        <f t="shared" si="255"/>
        <v/>
      </c>
      <c r="AG358" s="32" t="str">
        <f t="shared" si="256"/>
        <v/>
      </c>
      <c r="AH358" s="32" t="str">
        <f t="shared" si="257"/>
        <v/>
      </c>
      <c r="AI358" s="35" t="str">
        <f t="shared" si="258"/>
        <v/>
      </c>
      <c r="AJ358" s="23" t="str">
        <f t="array" ref="AJ358">IFERROR(SMALL(IF(U$1:U$1000="BEGIN",ROW(U$1:U$1000)),ROW()-3),"")</f>
        <v/>
      </c>
      <c r="AK358" s="23" t="str">
        <f t="array" ref="AK358">IFERROR(SMALL(IF(V$1:V$1000="END",ROW(V$1:V$1000)),ROW()-3),"")</f>
        <v/>
      </c>
      <c r="AL358" s="24" t="str">
        <f t="array" ref="AL358">IF(AK358="","",MATCH(AM358,L:L,0))</f>
        <v/>
      </c>
      <c r="AM358" s="35">
        <f t="array" ref="AM358">MAX(IF((B$4:B$1000&lt;=AK358)*(B$4:B$1000&gt;=AJ358),L$4:L$1000, ""))</f>
        <v>0</v>
      </c>
      <c r="AN358" s="32" t="str">
        <f t="shared" si="265"/>
        <v/>
      </c>
      <c r="AO358" s="32" t="str">
        <f t="shared" si="266"/>
        <v/>
      </c>
      <c r="AP358" s="32" t="str">
        <f t="shared" si="267"/>
        <v/>
      </c>
      <c r="AQ358" s="32" t="str">
        <f t="shared" si="268"/>
        <v/>
      </c>
      <c r="AR358" s="32" t="str">
        <f t="shared" si="269"/>
        <v/>
      </c>
      <c r="AS358" s="32" t="str">
        <f t="shared" si="270"/>
        <v/>
      </c>
      <c r="AT358" s="32" t="str">
        <f t="shared" si="271"/>
        <v/>
      </c>
      <c r="AU358" s="34" t="str">
        <f t="shared" si="272"/>
        <v/>
      </c>
      <c r="AV358" s="32" t="str">
        <f t="shared" si="273"/>
        <v/>
      </c>
      <c r="AW358" s="32" t="str">
        <f t="shared" si="274"/>
        <v/>
      </c>
      <c r="AX358" s="32" t="str">
        <f t="shared" si="275"/>
        <v/>
      </c>
      <c r="AY358" s="32" t="str">
        <f t="shared" si="276"/>
        <v/>
      </c>
    </row>
    <row r="359" spans="1:51" x14ac:dyDescent="0.25">
      <c r="A359" s="24" t="str">
        <f t="shared" si="234"/>
        <v/>
      </c>
      <c r="B359" s="24" t="str">
        <f t="shared" si="244"/>
        <v/>
      </c>
      <c r="C359" s="32" t="str">
        <f t="shared" si="235"/>
        <v/>
      </c>
      <c r="D359" s="24" t="str">
        <f t="shared" si="236"/>
        <v/>
      </c>
      <c r="E359" s="24" t="str">
        <f t="shared" si="237"/>
        <v/>
      </c>
      <c r="F359" s="32" t="str">
        <f t="shared" si="238"/>
        <v/>
      </c>
      <c r="G359" s="32" t="str">
        <f t="shared" si="239"/>
        <v/>
      </c>
      <c r="H359" s="32" t="str">
        <f t="shared" ca="1" si="240"/>
        <v/>
      </c>
      <c r="I359" s="32" t="str">
        <f t="shared" ca="1" si="245"/>
        <v/>
      </c>
      <c r="J359" s="32" t="str">
        <f t="shared" si="241"/>
        <v/>
      </c>
      <c r="K359" s="32" t="str">
        <f>IF(ISNUMBER(A359),Profile!$V$25+Profile!$V$24*'Ri-Po'!C359,"")</f>
        <v/>
      </c>
      <c r="L359" s="32" t="str">
        <f t="shared" si="246"/>
        <v/>
      </c>
      <c r="M359" s="32" t="str">
        <f t="shared" si="242"/>
        <v/>
      </c>
      <c r="N359" s="32" t="str">
        <f t="shared" si="243"/>
        <v/>
      </c>
      <c r="O359" s="32" t="str">
        <f t="shared" si="259"/>
        <v/>
      </c>
      <c r="P359" s="32" t="str">
        <f t="shared" si="247"/>
        <v/>
      </c>
      <c r="Q359" s="32" t="str">
        <f t="shared" si="248"/>
        <v/>
      </c>
      <c r="R359" s="32" t="str">
        <f t="shared" si="260"/>
        <v/>
      </c>
      <c r="S359" s="24" t="str">
        <f t="shared" si="261"/>
        <v/>
      </c>
      <c r="T359" s="24" t="str">
        <f t="shared" si="262"/>
        <v/>
      </c>
      <c r="U359" s="24" t="str">
        <f t="shared" si="263"/>
        <v/>
      </c>
      <c r="V359" s="24" t="str">
        <f t="shared" si="264"/>
        <v/>
      </c>
      <c r="W359" s="23" t="str">
        <f t="array" ref="W359">IFERROR(SMALL(IF(S$1:S$1000="BEGIN",ROW(S$1:S$1000)),ROW()-3),"")</f>
        <v/>
      </c>
      <c r="X359" s="23" t="str">
        <f t="array" ref="X359">IFERROR(SMALL(IF(T$1:T$1000="END",ROW(T$1:T$1000)),ROW()-3),"")</f>
        <v/>
      </c>
      <c r="Y359" s="33" t="str">
        <f t="array" ref="Y359">IF(ISNUMBER(W359),MAX(IF((B$4:B$1000&lt;=X359)*(B$4:B$1000&gt;=W359),I$4:I$1000, "")),"")</f>
        <v/>
      </c>
      <c r="Z359" s="33" t="str">
        <f t="shared" si="249"/>
        <v/>
      </c>
      <c r="AA359" s="32" t="str">
        <f t="shared" si="250"/>
        <v/>
      </c>
      <c r="AB359" s="32" t="str">
        <f t="shared" si="251"/>
        <v/>
      </c>
      <c r="AC359" s="32" t="str">
        <f t="shared" si="252"/>
        <v/>
      </c>
      <c r="AD359" s="32" t="str">
        <f t="shared" si="253"/>
        <v/>
      </c>
      <c r="AE359" s="34" t="str">
        <f t="shared" si="254"/>
        <v/>
      </c>
      <c r="AF359" s="32" t="str">
        <f t="shared" si="255"/>
        <v/>
      </c>
      <c r="AG359" s="32" t="str">
        <f t="shared" si="256"/>
        <v/>
      </c>
      <c r="AH359" s="32" t="str">
        <f t="shared" si="257"/>
        <v/>
      </c>
      <c r="AI359" s="35" t="str">
        <f t="shared" si="258"/>
        <v/>
      </c>
      <c r="AJ359" s="23" t="str">
        <f t="array" ref="AJ359">IFERROR(SMALL(IF(U$1:U$1000="BEGIN",ROW(U$1:U$1000)),ROW()-3),"")</f>
        <v/>
      </c>
      <c r="AK359" s="23" t="str">
        <f t="array" ref="AK359">IFERROR(SMALL(IF(V$1:V$1000="END",ROW(V$1:V$1000)),ROW()-3),"")</f>
        <v/>
      </c>
      <c r="AL359" s="24" t="str">
        <f t="array" ref="AL359">IF(AK359="","",MATCH(AM359,L:L,0))</f>
        <v/>
      </c>
      <c r="AM359" s="35">
        <f t="array" ref="AM359">MAX(IF((B$4:B$1000&lt;=AK359)*(B$4:B$1000&gt;=AJ359),L$4:L$1000, ""))</f>
        <v>0</v>
      </c>
      <c r="AN359" s="32" t="str">
        <f t="shared" si="265"/>
        <v/>
      </c>
      <c r="AO359" s="32" t="str">
        <f t="shared" si="266"/>
        <v/>
      </c>
      <c r="AP359" s="32" t="str">
        <f t="shared" si="267"/>
        <v/>
      </c>
      <c r="AQ359" s="32" t="str">
        <f t="shared" si="268"/>
        <v/>
      </c>
      <c r="AR359" s="32" t="str">
        <f t="shared" si="269"/>
        <v/>
      </c>
      <c r="AS359" s="32" t="str">
        <f t="shared" si="270"/>
        <v/>
      </c>
      <c r="AT359" s="32" t="str">
        <f t="shared" si="271"/>
        <v/>
      </c>
      <c r="AU359" s="34" t="str">
        <f t="shared" si="272"/>
        <v/>
      </c>
      <c r="AV359" s="32" t="str">
        <f t="shared" si="273"/>
        <v/>
      </c>
      <c r="AW359" s="32" t="str">
        <f t="shared" si="274"/>
        <v/>
      </c>
      <c r="AX359" s="32" t="str">
        <f t="shared" si="275"/>
        <v/>
      </c>
      <c r="AY359" s="32" t="str">
        <f t="shared" si="276"/>
        <v/>
      </c>
    </row>
    <row r="360" spans="1:51" x14ac:dyDescent="0.25">
      <c r="A360" s="24" t="str">
        <f t="shared" si="234"/>
        <v/>
      </c>
      <c r="B360" s="24" t="str">
        <f t="shared" si="244"/>
        <v/>
      </c>
      <c r="C360" s="32" t="str">
        <f t="shared" si="235"/>
        <v/>
      </c>
      <c r="D360" s="24" t="str">
        <f t="shared" si="236"/>
        <v/>
      </c>
      <c r="E360" s="24" t="str">
        <f t="shared" si="237"/>
        <v/>
      </c>
      <c r="F360" s="32" t="str">
        <f t="shared" si="238"/>
        <v/>
      </c>
      <c r="G360" s="32" t="str">
        <f t="shared" si="239"/>
        <v/>
      </c>
      <c r="H360" s="32" t="str">
        <f t="shared" ca="1" si="240"/>
        <v/>
      </c>
      <c r="I360" s="32" t="str">
        <f t="shared" ca="1" si="245"/>
        <v/>
      </c>
      <c r="J360" s="32" t="str">
        <f t="shared" si="241"/>
        <v/>
      </c>
      <c r="K360" s="32" t="str">
        <f>IF(ISNUMBER(A360),Profile!$V$25+Profile!$V$24*'Ri-Po'!C360,"")</f>
        <v/>
      </c>
      <c r="L360" s="32" t="str">
        <f t="shared" si="246"/>
        <v/>
      </c>
      <c r="M360" s="32" t="str">
        <f t="shared" si="242"/>
        <v/>
      </c>
      <c r="N360" s="32" t="str">
        <f t="shared" si="243"/>
        <v/>
      </c>
      <c r="O360" s="32" t="str">
        <f t="shared" si="259"/>
        <v/>
      </c>
      <c r="P360" s="32" t="str">
        <f t="shared" si="247"/>
        <v/>
      </c>
      <c r="Q360" s="32" t="str">
        <f t="shared" si="248"/>
        <v/>
      </c>
      <c r="R360" s="32" t="str">
        <f t="shared" si="260"/>
        <v/>
      </c>
      <c r="S360" s="24" t="str">
        <f t="shared" si="261"/>
        <v/>
      </c>
      <c r="T360" s="24" t="str">
        <f t="shared" si="262"/>
        <v/>
      </c>
      <c r="U360" s="24" t="str">
        <f t="shared" si="263"/>
        <v/>
      </c>
      <c r="V360" s="24" t="str">
        <f t="shared" si="264"/>
        <v/>
      </c>
      <c r="W360" s="23" t="str">
        <f t="array" ref="W360">IFERROR(SMALL(IF(S$1:S$1000="BEGIN",ROW(S$1:S$1000)),ROW()-3),"")</f>
        <v/>
      </c>
      <c r="X360" s="23" t="str">
        <f t="array" ref="X360">IFERROR(SMALL(IF(T$1:T$1000="END",ROW(T$1:T$1000)),ROW()-3),"")</f>
        <v/>
      </c>
      <c r="Y360" s="33" t="str">
        <f t="array" ref="Y360">IF(ISNUMBER(W360),MAX(IF((B$4:B$1000&lt;=X360)*(B$4:B$1000&gt;=W360),I$4:I$1000, "")),"")</f>
        <v/>
      </c>
      <c r="Z360" s="33" t="str">
        <f t="shared" si="249"/>
        <v/>
      </c>
      <c r="AA360" s="32" t="str">
        <f t="shared" si="250"/>
        <v/>
      </c>
      <c r="AB360" s="32" t="str">
        <f t="shared" si="251"/>
        <v/>
      </c>
      <c r="AC360" s="32" t="str">
        <f t="shared" si="252"/>
        <v/>
      </c>
      <c r="AD360" s="32" t="str">
        <f t="shared" si="253"/>
        <v/>
      </c>
      <c r="AE360" s="34" t="str">
        <f t="shared" si="254"/>
        <v/>
      </c>
      <c r="AF360" s="32" t="str">
        <f t="shared" si="255"/>
        <v/>
      </c>
      <c r="AG360" s="32" t="str">
        <f t="shared" si="256"/>
        <v/>
      </c>
      <c r="AH360" s="32" t="str">
        <f t="shared" si="257"/>
        <v/>
      </c>
      <c r="AI360" s="35" t="str">
        <f t="shared" si="258"/>
        <v/>
      </c>
      <c r="AJ360" s="23" t="str">
        <f t="array" ref="AJ360">IFERROR(SMALL(IF(U$1:U$1000="BEGIN",ROW(U$1:U$1000)),ROW()-3),"")</f>
        <v/>
      </c>
      <c r="AK360" s="23" t="str">
        <f t="array" ref="AK360">IFERROR(SMALL(IF(V$1:V$1000="END",ROW(V$1:V$1000)),ROW()-3),"")</f>
        <v/>
      </c>
      <c r="AL360" s="24" t="str">
        <f t="array" ref="AL360">IF(AK360="","",MATCH(AM360,L:L,0))</f>
        <v/>
      </c>
      <c r="AM360" s="35">
        <f t="array" ref="AM360">MAX(IF((B$4:B$1000&lt;=AK360)*(B$4:B$1000&gt;=AJ360),L$4:L$1000, ""))</f>
        <v>0</v>
      </c>
      <c r="AN360" s="32" t="str">
        <f t="shared" si="265"/>
        <v/>
      </c>
      <c r="AO360" s="32" t="str">
        <f t="shared" si="266"/>
        <v/>
      </c>
      <c r="AP360" s="32" t="str">
        <f t="shared" si="267"/>
        <v/>
      </c>
      <c r="AQ360" s="32" t="str">
        <f t="shared" si="268"/>
        <v/>
      </c>
      <c r="AR360" s="32" t="str">
        <f t="shared" si="269"/>
        <v/>
      </c>
      <c r="AS360" s="32" t="str">
        <f t="shared" si="270"/>
        <v/>
      </c>
      <c r="AT360" s="32" t="str">
        <f t="shared" si="271"/>
        <v/>
      </c>
      <c r="AU360" s="34" t="str">
        <f t="shared" si="272"/>
        <v/>
      </c>
      <c r="AV360" s="32" t="str">
        <f t="shared" si="273"/>
        <v/>
      </c>
      <c r="AW360" s="32" t="str">
        <f t="shared" si="274"/>
        <v/>
      </c>
      <c r="AX360" s="32" t="str">
        <f t="shared" si="275"/>
        <v/>
      </c>
      <c r="AY360" s="32" t="str">
        <f t="shared" si="276"/>
        <v/>
      </c>
    </row>
    <row r="361" spans="1:51" x14ac:dyDescent="0.25">
      <c r="A361" s="24" t="str">
        <f t="shared" si="234"/>
        <v/>
      </c>
      <c r="B361" s="24" t="str">
        <f t="shared" si="244"/>
        <v/>
      </c>
      <c r="C361" s="32" t="str">
        <f t="shared" si="235"/>
        <v/>
      </c>
      <c r="D361" s="24" t="str">
        <f t="shared" si="236"/>
        <v/>
      </c>
      <c r="E361" s="24" t="str">
        <f t="shared" si="237"/>
        <v/>
      </c>
      <c r="F361" s="32" t="str">
        <f t="shared" si="238"/>
        <v/>
      </c>
      <c r="G361" s="32" t="str">
        <f t="shared" si="239"/>
        <v/>
      </c>
      <c r="H361" s="32" t="str">
        <f t="shared" ca="1" si="240"/>
        <v/>
      </c>
      <c r="I361" s="32" t="str">
        <f t="shared" ca="1" si="245"/>
        <v/>
      </c>
      <c r="J361" s="32" t="str">
        <f t="shared" si="241"/>
        <v/>
      </c>
      <c r="K361" s="32" t="str">
        <f>IF(ISNUMBER(A361),Profile!$V$25+Profile!$V$24*'Ri-Po'!C361,"")</f>
        <v/>
      </c>
      <c r="L361" s="32" t="str">
        <f t="shared" si="246"/>
        <v/>
      </c>
      <c r="M361" s="32" t="str">
        <f t="shared" si="242"/>
        <v/>
      </c>
      <c r="N361" s="32" t="str">
        <f t="shared" si="243"/>
        <v/>
      </c>
      <c r="O361" s="32" t="str">
        <f t="shared" si="259"/>
        <v/>
      </c>
      <c r="P361" s="32" t="str">
        <f t="shared" si="247"/>
        <v/>
      </c>
      <c r="Q361" s="32" t="str">
        <f t="shared" si="248"/>
        <v/>
      </c>
      <c r="R361" s="32" t="str">
        <f t="shared" si="260"/>
        <v/>
      </c>
      <c r="S361" s="24" t="str">
        <f t="shared" si="261"/>
        <v/>
      </c>
      <c r="T361" s="24" t="str">
        <f t="shared" si="262"/>
        <v/>
      </c>
      <c r="U361" s="24" t="str">
        <f t="shared" si="263"/>
        <v/>
      </c>
      <c r="V361" s="24" t="str">
        <f t="shared" si="264"/>
        <v/>
      </c>
      <c r="W361" s="23" t="str">
        <f t="array" ref="W361">IFERROR(SMALL(IF(S$1:S$1000="BEGIN",ROW(S$1:S$1000)),ROW()-3),"")</f>
        <v/>
      </c>
      <c r="X361" s="23" t="str">
        <f t="array" ref="X361">IFERROR(SMALL(IF(T$1:T$1000="END",ROW(T$1:T$1000)),ROW()-3),"")</f>
        <v/>
      </c>
      <c r="Y361" s="33" t="str">
        <f t="array" ref="Y361">IF(ISNUMBER(W361),MAX(IF((B$4:B$1000&lt;=X361)*(B$4:B$1000&gt;=W361),I$4:I$1000, "")),"")</f>
        <v/>
      </c>
      <c r="Z361" s="33" t="str">
        <f t="shared" si="249"/>
        <v/>
      </c>
      <c r="AA361" s="32" t="str">
        <f t="shared" si="250"/>
        <v/>
      </c>
      <c r="AB361" s="32" t="str">
        <f t="shared" si="251"/>
        <v/>
      </c>
      <c r="AC361" s="32" t="str">
        <f t="shared" si="252"/>
        <v/>
      </c>
      <c r="AD361" s="32" t="str">
        <f t="shared" si="253"/>
        <v/>
      </c>
      <c r="AE361" s="34" t="str">
        <f t="shared" si="254"/>
        <v/>
      </c>
      <c r="AF361" s="32" t="str">
        <f t="shared" si="255"/>
        <v/>
      </c>
      <c r="AG361" s="32" t="str">
        <f t="shared" si="256"/>
        <v/>
      </c>
      <c r="AH361" s="32" t="str">
        <f t="shared" si="257"/>
        <v/>
      </c>
      <c r="AI361" s="35" t="str">
        <f t="shared" si="258"/>
        <v/>
      </c>
      <c r="AJ361" s="23" t="str">
        <f t="array" ref="AJ361">IFERROR(SMALL(IF(U$1:U$1000="BEGIN",ROW(U$1:U$1000)),ROW()-3),"")</f>
        <v/>
      </c>
      <c r="AK361" s="23" t="str">
        <f t="array" ref="AK361">IFERROR(SMALL(IF(V$1:V$1000="END",ROW(V$1:V$1000)),ROW()-3),"")</f>
        <v/>
      </c>
      <c r="AL361" s="24" t="str">
        <f t="array" ref="AL361">IF(AK361="","",MATCH(AM361,L:L,0))</f>
        <v/>
      </c>
      <c r="AM361" s="35">
        <f t="array" ref="AM361">MAX(IF((B$4:B$1000&lt;=AK361)*(B$4:B$1000&gt;=AJ361),L$4:L$1000, ""))</f>
        <v>0</v>
      </c>
      <c r="AN361" s="32" t="str">
        <f t="shared" si="265"/>
        <v/>
      </c>
      <c r="AO361" s="32" t="str">
        <f t="shared" si="266"/>
        <v/>
      </c>
      <c r="AP361" s="32" t="str">
        <f t="shared" si="267"/>
        <v/>
      </c>
      <c r="AQ361" s="32" t="str">
        <f t="shared" si="268"/>
        <v/>
      </c>
      <c r="AR361" s="32" t="str">
        <f t="shared" si="269"/>
        <v/>
      </c>
      <c r="AS361" s="32" t="str">
        <f t="shared" si="270"/>
        <v/>
      </c>
      <c r="AT361" s="32" t="str">
        <f t="shared" si="271"/>
        <v/>
      </c>
      <c r="AU361" s="34" t="str">
        <f t="shared" si="272"/>
        <v/>
      </c>
      <c r="AV361" s="32" t="str">
        <f t="shared" si="273"/>
        <v/>
      </c>
      <c r="AW361" s="32" t="str">
        <f t="shared" si="274"/>
        <v/>
      </c>
      <c r="AX361" s="32" t="str">
        <f t="shared" si="275"/>
        <v/>
      </c>
      <c r="AY361" s="32" t="str">
        <f t="shared" si="276"/>
        <v/>
      </c>
    </row>
    <row r="362" spans="1:51" x14ac:dyDescent="0.25">
      <c r="A362" s="24" t="str">
        <f t="shared" si="234"/>
        <v/>
      </c>
      <c r="B362" s="24" t="str">
        <f t="shared" si="244"/>
        <v/>
      </c>
      <c r="C362" s="32" t="str">
        <f t="shared" si="235"/>
        <v/>
      </c>
      <c r="D362" s="24" t="str">
        <f t="shared" si="236"/>
        <v/>
      </c>
      <c r="E362" s="24" t="str">
        <f t="shared" si="237"/>
        <v/>
      </c>
      <c r="F362" s="32" t="str">
        <f t="shared" si="238"/>
        <v/>
      </c>
      <c r="G362" s="32" t="str">
        <f t="shared" si="239"/>
        <v/>
      </c>
      <c r="H362" s="32" t="str">
        <f t="shared" ca="1" si="240"/>
        <v/>
      </c>
      <c r="I362" s="32" t="str">
        <f t="shared" ca="1" si="245"/>
        <v/>
      </c>
      <c r="J362" s="32" t="str">
        <f t="shared" si="241"/>
        <v/>
      </c>
      <c r="K362" s="32" t="str">
        <f>IF(ISNUMBER(A362),Profile!$V$25+Profile!$V$24*'Ri-Po'!C362,"")</f>
        <v/>
      </c>
      <c r="L362" s="32" t="str">
        <f t="shared" si="246"/>
        <v/>
      </c>
      <c r="M362" s="32" t="str">
        <f t="shared" si="242"/>
        <v/>
      </c>
      <c r="N362" s="32" t="str">
        <f t="shared" si="243"/>
        <v/>
      </c>
      <c r="O362" s="32" t="str">
        <f t="shared" si="259"/>
        <v/>
      </c>
      <c r="P362" s="32" t="str">
        <f t="shared" si="247"/>
        <v/>
      </c>
      <c r="Q362" s="32" t="str">
        <f t="shared" si="248"/>
        <v/>
      </c>
      <c r="R362" s="32" t="str">
        <f t="shared" si="260"/>
        <v/>
      </c>
      <c r="S362" s="24" t="str">
        <f t="shared" si="261"/>
        <v/>
      </c>
      <c r="T362" s="24" t="str">
        <f t="shared" si="262"/>
        <v/>
      </c>
      <c r="U362" s="24" t="str">
        <f t="shared" si="263"/>
        <v/>
      </c>
      <c r="V362" s="24" t="str">
        <f t="shared" si="264"/>
        <v/>
      </c>
      <c r="W362" s="23" t="str">
        <f t="array" ref="W362">IFERROR(SMALL(IF(S$1:S$1000="BEGIN",ROW(S$1:S$1000)),ROW()-3),"")</f>
        <v/>
      </c>
      <c r="X362" s="23" t="str">
        <f t="array" ref="X362">IFERROR(SMALL(IF(T$1:T$1000="END",ROW(T$1:T$1000)),ROW()-3),"")</f>
        <v/>
      </c>
      <c r="Y362" s="33" t="str">
        <f t="array" ref="Y362">IF(ISNUMBER(W362),MAX(IF((B$4:B$1000&lt;=X362)*(B$4:B$1000&gt;=W362),I$4:I$1000, "")),"")</f>
        <v/>
      </c>
      <c r="Z362" s="33" t="str">
        <f t="shared" si="249"/>
        <v/>
      </c>
      <c r="AA362" s="32" t="str">
        <f t="shared" si="250"/>
        <v/>
      </c>
      <c r="AB362" s="32" t="str">
        <f t="shared" si="251"/>
        <v/>
      </c>
      <c r="AC362" s="32" t="str">
        <f t="shared" si="252"/>
        <v/>
      </c>
      <c r="AD362" s="32" t="str">
        <f t="shared" si="253"/>
        <v/>
      </c>
      <c r="AE362" s="34" t="str">
        <f t="shared" si="254"/>
        <v/>
      </c>
      <c r="AF362" s="32" t="str">
        <f t="shared" si="255"/>
        <v/>
      </c>
      <c r="AG362" s="32" t="str">
        <f t="shared" si="256"/>
        <v/>
      </c>
      <c r="AH362" s="32" t="str">
        <f t="shared" si="257"/>
        <v/>
      </c>
      <c r="AI362" s="35" t="str">
        <f t="shared" si="258"/>
        <v/>
      </c>
      <c r="AJ362" s="23" t="str">
        <f t="array" ref="AJ362">IFERROR(SMALL(IF(U$1:U$1000="BEGIN",ROW(U$1:U$1000)),ROW()-3),"")</f>
        <v/>
      </c>
      <c r="AK362" s="23" t="str">
        <f t="array" ref="AK362">IFERROR(SMALL(IF(V$1:V$1000="END",ROW(V$1:V$1000)),ROW()-3),"")</f>
        <v/>
      </c>
      <c r="AL362" s="24" t="str">
        <f t="array" ref="AL362">IF(AK362="","",MATCH(AM362,L:L,0))</f>
        <v/>
      </c>
      <c r="AM362" s="35">
        <f t="array" ref="AM362">MAX(IF((B$4:B$1000&lt;=AK362)*(B$4:B$1000&gt;=AJ362),L$4:L$1000, ""))</f>
        <v>0</v>
      </c>
      <c r="AN362" s="32" t="str">
        <f t="shared" si="265"/>
        <v/>
      </c>
      <c r="AO362" s="32" t="str">
        <f t="shared" si="266"/>
        <v/>
      </c>
      <c r="AP362" s="32" t="str">
        <f t="shared" si="267"/>
        <v/>
      </c>
      <c r="AQ362" s="32" t="str">
        <f t="shared" si="268"/>
        <v/>
      </c>
      <c r="AR362" s="32" t="str">
        <f t="shared" si="269"/>
        <v/>
      </c>
      <c r="AS362" s="32" t="str">
        <f t="shared" si="270"/>
        <v/>
      </c>
      <c r="AT362" s="32" t="str">
        <f t="shared" si="271"/>
        <v/>
      </c>
      <c r="AU362" s="34" t="str">
        <f t="shared" si="272"/>
        <v/>
      </c>
      <c r="AV362" s="32" t="str">
        <f t="shared" si="273"/>
        <v/>
      </c>
      <c r="AW362" s="32" t="str">
        <f t="shared" si="274"/>
        <v/>
      </c>
      <c r="AX362" s="32" t="str">
        <f t="shared" si="275"/>
        <v/>
      </c>
      <c r="AY362" s="32" t="str">
        <f t="shared" si="276"/>
        <v/>
      </c>
    </row>
    <row r="363" spans="1:51" x14ac:dyDescent="0.25">
      <c r="A363" s="24" t="str">
        <f t="shared" si="234"/>
        <v/>
      </c>
      <c r="B363" s="24" t="str">
        <f t="shared" si="244"/>
        <v/>
      </c>
      <c r="C363" s="32" t="str">
        <f t="shared" si="235"/>
        <v/>
      </c>
      <c r="D363" s="24" t="str">
        <f t="shared" si="236"/>
        <v/>
      </c>
      <c r="E363" s="24" t="str">
        <f t="shared" si="237"/>
        <v/>
      </c>
      <c r="F363" s="32" t="str">
        <f t="shared" si="238"/>
        <v/>
      </c>
      <c r="G363" s="32" t="str">
        <f t="shared" si="239"/>
        <v/>
      </c>
      <c r="H363" s="32" t="str">
        <f t="shared" ca="1" si="240"/>
        <v/>
      </c>
      <c r="I363" s="32" t="str">
        <f t="shared" ca="1" si="245"/>
        <v/>
      </c>
      <c r="J363" s="32" t="str">
        <f t="shared" si="241"/>
        <v/>
      </c>
      <c r="K363" s="32" t="str">
        <f>IF(ISNUMBER(A363),Profile!$V$25+Profile!$V$24*'Ri-Po'!C363,"")</f>
        <v/>
      </c>
      <c r="L363" s="32" t="str">
        <f t="shared" si="246"/>
        <v/>
      </c>
      <c r="M363" s="32" t="str">
        <f t="shared" si="242"/>
        <v/>
      </c>
      <c r="N363" s="32" t="str">
        <f t="shared" si="243"/>
        <v/>
      </c>
      <c r="O363" s="32" t="str">
        <f t="shared" si="259"/>
        <v/>
      </c>
      <c r="P363" s="32" t="str">
        <f t="shared" si="247"/>
        <v/>
      </c>
      <c r="Q363" s="32" t="str">
        <f t="shared" si="248"/>
        <v/>
      </c>
      <c r="R363" s="32" t="str">
        <f t="shared" si="260"/>
        <v/>
      </c>
      <c r="S363" s="24" t="str">
        <f t="shared" si="261"/>
        <v/>
      </c>
      <c r="T363" s="24" t="str">
        <f t="shared" si="262"/>
        <v/>
      </c>
      <c r="U363" s="24" t="str">
        <f t="shared" si="263"/>
        <v/>
      </c>
      <c r="V363" s="24" t="str">
        <f t="shared" si="264"/>
        <v/>
      </c>
      <c r="W363" s="23" t="str">
        <f t="array" ref="W363">IFERROR(SMALL(IF(S$1:S$1000="BEGIN",ROW(S$1:S$1000)),ROW()-3),"")</f>
        <v/>
      </c>
      <c r="X363" s="23" t="str">
        <f t="array" ref="X363">IFERROR(SMALL(IF(T$1:T$1000="END",ROW(T$1:T$1000)),ROW()-3),"")</f>
        <v/>
      </c>
      <c r="Y363" s="33" t="str">
        <f t="array" ref="Y363">IF(ISNUMBER(W363),MAX(IF((B$4:B$1000&lt;=X363)*(B$4:B$1000&gt;=W363),I$4:I$1000, "")),"")</f>
        <v/>
      </c>
      <c r="Z363" s="33" t="str">
        <f t="shared" si="249"/>
        <v/>
      </c>
      <c r="AA363" s="32" t="str">
        <f t="shared" si="250"/>
        <v/>
      </c>
      <c r="AB363" s="32" t="str">
        <f t="shared" si="251"/>
        <v/>
      </c>
      <c r="AC363" s="32" t="str">
        <f t="shared" si="252"/>
        <v/>
      </c>
      <c r="AD363" s="32" t="str">
        <f t="shared" si="253"/>
        <v/>
      </c>
      <c r="AE363" s="34" t="str">
        <f t="shared" si="254"/>
        <v/>
      </c>
      <c r="AF363" s="32" t="str">
        <f t="shared" si="255"/>
        <v/>
      </c>
      <c r="AG363" s="32" t="str">
        <f t="shared" si="256"/>
        <v/>
      </c>
      <c r="AH363" s="32" t="str">
        <f t="shared" si="257"/>
        <v/>
      </c>
      <c r="AI363" s="35" t="str">
        <f t="shared" si="258"/>
        <v/>
      </c>
      <c r="AJ363" s="23" t="str">
        <f t="array" ref="AJ363">IFERROR(SMALL(IF(U$1:U$1000="BEGIN",ROW(U$1:U$1000)),ROW()-3),"")</f>
        <v/>
      </c>
      <c r="AK363" s="23" t="str">
        <f t="array" ref="AK363">IFERROR(SMALL(IF(V$1:V$1000="END",ROW(V$1:V$1000)),ROW()-3),"")</f>
        <v/>
      </c>
      <c r="AL363" s="24" t="str">
        <f t="array" ref="AL363">IF(AK363="","",MATCH(AM363,L:L,0))</f>
        <v/>
      </c>
      <c r="AM363" s="35">
        <f t="array" ref="AM363">MAX(IF((B$4:B$1000&lt;=AK363)*(B$4:B$1000&gt;=AJ363),L$4:L$1000, ""))</f>
        <v>0</v>
      </c>
      <c r="AN363" s="32" t="str">
        <f t="shared" si="265"/>
        <v/>
      </c>
      <c r="AO363" s="32" t="str">
        <f t="shared" si="266"/>
        <v/>
      </c>
      <c r="AP363" s="32" t="str">
        <f t="shared" si="267"/>
        <v/>
      </c>
      <c r="AQ363" s="32" t="str">
        <f t="shared" si="268"/>
        <v/>
      </c>
      <c r="AR363" s="32" t="str">
        <f t="shared" si="269"/>
        <v/>
      </c>
      <c r="AS363" s="32" t="str">
        <f t="shared" si="270"/>
        <v/>
      </c>
      <c r="AT363" s="32" t="str">
        <f t="shared" si="271"/>
        <v/>
      </c>
      <c r="AU363" s="34" t="str">
        <f t="shared" si="272"/>
        <v/>
      </c>
      <c r="AV363" s="32" t="str">
        <f t="shared" si="273"/>
        <v/>
      </c>
      <c r="AW363" s="32" t="str">
        <f t="shared" si="274"/>
        <v/>
      </c>
      <c r="AX363" s="32" t="str">
        <f t="shared" si="275"/>
        <v/>
      </c>
      <c r="AY363" s="32" t="str">
        <f t="shared" si="276"/>
        <v/>
      </c>
    </row>
    <row r="364" spans="1:51" x14ac:dyDescent="0.25">
      <c r="A364" s="24" t="str">
        <f t="shared" si="234"/>
        <v/>
      </c>
      <c r="B364" s="24" t="str">
        <f t="shared" si="244"/>
        <v/>
      </c>
      <c r="C364" s="32" t="str">
        <f t="shared" si="235"/>
        <v/>
      </c>
      <c r="D364" s="24" t="str">
        <f t="shared" si="236"/>
        <v/>
      </c>
      <c r="E364" s="24" t="str">
        <f t="shared" si="237"/>
        <v/>
      </c>
      <c r="F364" s="32" t="str">
        <f t="shared" si="238"/>
        <v/>
      </c>
      <c r="G364" s="32" t="str">
        <f t="shared" si="239"/>
        <v/>
      </c>
      <c r="H364" s="32" t="str">
        <f t="shared" ca="1" si="240"/>
        <v/>
      </c>
      <c r="I364" s="32" t="str">
        <f t="shared" ca="1" si="245"/>
        <v/>
      </c>
      <c r="J364" s="32" t="str">
        <f t="shared" si="241"/>
        <v/>
      </c>
      <c r="K364" s="32" t="str">
        <f>IF(ISNUMBER(A364),Profile!$V$25+Profile!$V$24*'Ri-Po'!C364,"")</f>
        <v/>
      </c>
      <c r="L364" s="32" t="str">
        <f t="shared" si="246"/>
        <v/>
      </c>
      <c r="M364" s="32" t="str">
        <f t="shared" si="242"/>
        <v/>
      </c>
      <c r="N364" s="32" t="str">
        <f t="shared" si="243"/>
        <v/>
      </c>
      <c r="O364" s="32" t="str">
        <f t="shared" si="259"/>
        <v/>
      </c>
      <c r="P364" s="32" t="str">
        <f t="shared" si="247"/>
        <v/>
      </c>
      <c r="Q364" s="32" t="str">
        <f t="shared" si="248"/>
        <v/>
      </c>
      <c r="R364" s="32" t="str">
        <f t="shared" si="260"/>
        <v/>
      </c>
      <c r="S364" s="24" t="str">
        <f t="shared" si="261"/>
        <v/>
      </c>
      <c r="T364" s="24" t="str">
        <f t="shared" si="262"/>
        <v/>
      </c>
      <c r="U364" s="24" t="str">
        <f t="shared" si="263"/>
        <v/>
      </c>
      <c r="V364" s="24" t="str">
        <f t="shared" si="264"/>
        <v/>
      </c>
      <c r="W364" s="23" t="str">
        <f t="array" ref="W364">IFERROR(SMALL(IF(S$1:S$1000="BEGIN",ROW(S$1:S$1000)),ROW()-3),"")</f>
        <v/>
      </c>
      <c r="X364" s="23" t="str">
        <f t="array" ref="X364">IFERROR(SMALL(IF(T$1:T$1000="END",ROW(T$1:T$1000)),ROW()-3),"")</f>
        <v/>
      </c>
      <c r="Y364" s="33" t="str">
        <f t="array" ref="Y364">IF(ISNUMBER(W364),MAX(IF((B$4:B$1000&lt;=X364)*(B$4:B$1000&gt;=W364),I$4:I$1000, "")),"")</f>
        <v/>
      </c>
      <c r="Z364" s="33" t="str">
        <f t="shared" si="249"/>
        <v/>
      </c>
      <c r="AA364" s="32" t="str">
        <f t="shared" si="250"/>
        <v/>
      </c>
      <c r="AB364" s="32" t="str">
        <f t="shared" si="251"/>
        <v/>
      </c>
      <c r="AC364" s="32" t="str">
        <f t="shared" si="252"/>
        <v/>
      </c>
      <c r="AD364" s="32" t="str">
        <f t="shared" si="253"/>
        <v/>
      </c>
      <c r="AE364" s="34" t="str">
        <f t="shared" si="254"/>
        <v/>
      </c>
      <c r="AF364" s="32" t="str">
        <f t="shared" si="255"/>
        <v/>
      </c>
      <c r="AG364" s="32" t="str">
        <f t="shared" si="256"/>
        <v/>
      </c>
      <c r="AH364" s="32" t="str">
        <f t="shared" si="257"/>
        <v/>
      </c>
      <c r="AI364" s="35" t="str">
        <f t="shared" si="258"/>
        <v/>
      </c>
      <c r="AJ364" s="23" t="str">
        <f t="array" ref="AJ364">IFERROR(SMALL(IF(U$1:U$1000="BEGIN",ROW(U$1:U$1000)),ROW()-3),"")</f>
        <v/>
      </c>
      <c r="AK364" s="23" t="str">
        <f t="array" ref="AK364">IFERROR(SMALL(IF(V$1:V$1000="END",ROW(V$1:V$1000)),ROW()-3),"")</f>
        <v/>
      </c>
      <c r="AL364" s="24" t="str">
        <f t="array" ref="AL364">IF(AK364="","",MATCH(AM364,L:L,0))</f>
        <v/>
      </c>
      <c r="AM364" s="35">
        <f t="array" ref="AM364">MAX(IF((B$4:B$1000&lt;=AK364)*(B$4:B$1000&gt;=AJ364),L$4:L$1000, ""))</f>
        <v>0</v>
      </c>
      <c r="AN364" s="32" t="str">
        <f t="shared" si="265"/>
        <v/>
      </c>
      <c r="AO364" s="32" t="str">
        <f t="shared" si="266"/>
        <v/>
      </c>
      <c r="AP364" s="32" t="str">
        <f t="shared" si="267"/>
        <v/>
      </c>
      <c r="AQ364" s="32" t="str">
        <f t="shared" si="268"/>
        <v/>
      </c>
      <c r="AR364" s="32" t="str">
        <f t="shared" si="269"/>
        <v/>
      </c>
      <c r="AS364" s="32" t="str">
        <f t="shared" si="270"/>
        <v/>
      </c>
      <c r="AT364" s="32" t="str">
        <f t="shared" si="271"/>
        <v/>
      </c>
      <c r="AU364" s="34" t="str">
        <f t="shared" si="272"/>
        <v/>
      </c>
      <c r="AV364" s="32" t="str">
        <f t="shared" si="273"/>
        <v/>
      </c>
      <c r="AW364" s="32" t="str">
        <f t="shared" si="274"/>
        <v/>
      </c>
      <c r="AX364" s="32" t="str">
        <f t="shared" si="275"/>
        <v/>
      </c>
      <c r="AY364" s="32" t="str">
        <f t="shared" si="276"/>
        <v/>
      </c>
    </row>
    <row r="365" spans="1:51" x14ac:dyDescent="0.25">
      <c r="A365" s="24" t="str">
        <f t="shared" si="234"/>
        <v/>
      </c>
      <c r="B365" s="24" t="str">
        <f t="shared" si="244"/>
        <v/>
      </c>
      <c r="C365" s="32" t="str">
        <f t="shared" si="235"/>
        <v/>
      </c>
      <c r="D365" s="24" t="str">
        <f t="shared" si="236"/>
        <v/>
      </c>
      <c r="E365" s="24" t="str">
        <f t="shared" si="237"/>
        <v/>
      </c>
      <c r="F365" s="32" t="str">
        <f t="shared" si="238"/>
        <v/>
      </c>
      <c r="G365" s="32" t="str">
        <f t="shared" si="239"/>
        <v/>
      </c>
      <c r="H365" s="32" t="str">
        <f t="shared" ca="1" si="240"/>
        <v/>
      </c>
      <c r="I365" s="32" t="str">
        <f t="shared" ca="1" si="245"/>
        <v/>
      </c>
      <c r="J365" s="32" t="str">
        <f t="shared" si="241"/>
        <v/>
      </c>
      <c r="K365" s="32" t="str">
        <f>IF(ISNUMBER(A365),Profile!$V$25+Profile!$V$24*'Ri-Po'!C365,"")</f>
        <v/>
      </c>
      <c r="L365" s="32" t="str">
        <f t="shared" si="246"/>
        <v/>
      </c>
      <c r="M365" s="32" t="str">
        <f t="shared" si="242"/>
        <v/>
      </c>
      <c r="N365" s="32" t="str">
        <f t="shared" si="243"/>
        <v/>
      </c>
      <c r="O365" s="32" t="str">
        <f t="shared" si="259"/>
        <v/>
      </c>
      <c r="P365" s="32" t="str">
        <f t="shared" si="247"/>
        <v/>
      </c>
      <c r="Q365" s="32" t="str">
        <f t="shared" si="248"/>
        <v/>
      </c>
      <c r="R365" s="32" t="str">
        <f t="shared" si="260"/>
        <v/>
      </c>
      <c r="S365" s="24" t="str">
        <f t="shared" si="261"/>
        <v/>
      </c>
      <c r="T365" s="24" t="str">
        <f t="shared" si="262"/>
        <v/>
      </c>
      <c r="U365" s="24" t="str">
        <f t="shared" si="263"/>
        <v/>
      </c>
      <c r="V365" s="24" t="str">
        <f t="shared" si="264"/>
        <v/>
      </c>
      <c r="W365" s="23" t="str">
        <f t="array" ref="W365">IFERROR(SMALL(IF(S$1:S$1000="BEGIN",ROW(S$1:S$1000)),ROW()-3),"")</f>
        <v/>
      </c>
      <c r="X365" s="23" t="str">
        <f t="array" ref="X365">IFERROR(SMALL(IF(T$1:T$1000="END",ROW(T$1:T$1000)),ROW()-3),"")</f>
        <v/>
      </c>
      <c r="Y365" s="33" t="str">
        <f t="array" ref="Y365">IF(ISNUMBER(W365),MAX(IF((B$4:B$1000&lt;=X365)*(B$4:B$1000&gt;=W365),I$4:I$1000, "")),"")</f>
        <v/>
      </c>
      <c r="Z365" s="33" t="str">
        <f t="shared" si="249"/>
        <v/>
      </c>
      <c r="AA365" s="32" t="str">
        <f t="shared" si="250"/>
        <v/>
      </c>
      <c r="AB365" s="32" t="str">
        <f t="shared" si="251"/>
        <v/>
      </c>
      <c r="AC365" s="32" t="str">
        <f t="shared" si="252"/>
        <v/>
      </c>
      <c r="AD365" s="32" t="str">
        <f t="shared" si="253"/>
        <v/>
      </c>
      <c r="AE365" s="34" t="str">
        <f t="shared" si="254"/>
        <v/>
      </c>
      <c r="AF365" s="32" t="str">
        <f t="shared" si="255"/>
        <v/>
      </c>
      <c r="AG365" s="32" t="str">
        <f t="shared" si="256"/>
        <v/>
      </c>
      <c r="AH365" s="32" t="str">
        <f t="shared" si="257"/>
        <v/>
      </c>
      <c r="AI365" s="35" t="str">
        <f t="shared" si="258"/>
        <v/>
      </c>
      <c r="AJ365" s="23" t="str">
        <f t="array" ref="AJ365">IFERROR(SMALL(IF(U$1:U$1000="BEGIN",ROW(U$1:U$1000)),ROW()-3),"")</f>
        <v/>
      </c>
      <c r="AK365" s="23" t="str">
        <f t="array" ref="AK365">IFERROR(SMALL(IF(V$1:V$1000="END",ROW(V$1:V$1000)),ROW()-3),"")</f>
        <v/>
      </c>
      <c r="AL365" s="24" t="str">
        <f t="array" ref="AL365">IF(AK365="","",MATCH(AM365,L:L,0))</f>
        <v/>
      </c>
      <c r="AM365" s="35">
        <f t="array" ref="AM365">MAX(IF((B$4:B$1000&lt;=AK365)*(B$4:B$1000&gt;=AJ365),L$4:L$1000, ""))</f>
        <v>0</v>
      </c>
      <c r="AN365" s="32" t="str">
        <f t="shared" si="265"/>
        <v/>
      </c>
      <c r="AO365" s="32" t="str">
        <f t="shared" si="266"/>
        <v/>
      </c>
      <c r="AP365" s="32" t="str">
        <f t="shared" si="267"/>
        <v/>
      </c>
      <c r="AQ365" s="32" t="str">
        <f t="shared" si="268"/>
        <v/>
      </c>
      <c r="AR365" s="32" t="str">
        <f t="shared" si="269"/>
        <v/>
      </c>
      <c r="AS365" s="32" t="str">
        <f t="shared" si="270"/>
        <v/>
      </c>
      <c r="AT365" s="32" t="str">
        <f t="shared" si="271"/>
        <v/>
      </c>
      <c r="AU365" s="34" t="str">
        <f t="shared" si="272"/>
        <v/>
      </c>
      <c r="AV365" s="32" t="str">
        <f t="shared" si="273"/>
        <v/>
      </c>
      <c r="AW365" s="32" t="str">
        <f t="shared" si="274"/>
        <v/>
      </c>
      <c r="AX365" s="32" t="str">
        <f t="shared" si="275"/>
        <v/>
      </c>
      <c r="AY365" s="32" t="str">
        <f t="shared" si="276"/>
        <v/>
      </c>
    </row>
    <row r="366" spans="1:51" x14ac:dyDescent="0.25">
      <c r="A366" s="24" t="str">
        <f t="shared" si="234"/>
        <v/>
      </c>
      <c r="B366" s="24" t="str">
        <f t="shared" si="244"/>
        <v/>
      </c>
      <c r="C366" s="32" t="str">
        <f t="shared" si="235"/>
        <v/>
      </c>
      <c r="D366" s="24" t="str">
        <f t="shared" si="236"/>
        <v/>
      </c>
      <c r="E366" s="24" t="str">
        <f t="shared" si="237"/>
        <v/>
      </c>
      <c r="F366" s="32" t="str">
        <f t="shared" si="238"/>
        <v/>
      </c>
      <c r="G366" s="32" t="str">
        <f t="shared" si="239"/>
        <v/>
      </c>
      <c r="H366" s="32" t="str">
        <f t="shared" ca="1" si="240"/>
        <v/>
      </c>
      <c r="I366" s="32" t="str">
        <f t="shared" ca="1" si="245"/>
        <v/>
      </c>
      <c r="J366" s="32" t="str">
        <f t="shared" si="241"/>
        <v/>
      </c>
      <c r="K366" s="32" t="str">
        <f>IF(ISNUMBER(A366),Profile!$V$25+Profile!$V$24*'Ri-Po'!C366,"")</f>
        <v/>
      </c>
      <c r="L366" s="32" t="str">
        <f t="shared" si="246"/>
        <v/>
      </c>
      <c r="M366" s="32" t="str">
        <f t="shared" si="242"/>
        <v/>
      </c>
      <c r="N366" s="32" t="str">
        <f t="shared" si="243"/>
        <v/>
      </c>
      <c r="O366" s="32" t="str">
        <f t="shared" si="259"/>
        <v/>
      </c>
      <c r="P366" s="32" t="str">
        <f t="shared" si="247"/>
        <v/>
      </c>
      <c r="Q366" s="32" t="str">
        <f t="shared" si="248"/>
        <v/>
      </c>
      <c r="R366" s="32" t="str">
        <f t="shared" si="260"/>
        <v/>
      </c>
      <c r="S366" s="24" t="str">
        <f t="shared" si="261"/>
        <v/>
      </c>
      <c r="T366" s="24" t="str">
        <f t="shared" si="262"/>
        <v/>
      </c>
      <c r="U366" s="24" t="str">
        <f t="shared" si="263"/>
        <v/>
      </c>
      <c r="V366" s="24" t="str">
        <f t="shared" si="264"/>
        <v/>
      </c>
      <c r="W366" s="23" t="str">
        <f t="array" ref="W366">IFERROR(SMALL(IF(S$1:S$1000="BEGIN",ROW(S$1:S$1000)),ROW()-3),"")</f>
        <v/>
      </c>
      <c r="X366" s="23" t="str">
        <f t="array" ref="X366">IFERROR(SMALL(IF(T$1:T$1000="END",ROW(T$1:T$1000)),ROW()-3),"")</f>
        <v/>
      </c>
      <c r="Y366" s="33" t="str">
        <f t="array" ref="Y366">IF(ISNUMBER(W366),MAX(IF((B$4:B$1000&lt;=X366)*(B$4:B$1000&gt;=W366),I$4:I$1000, "")),"")</f>
        <v/>
      </c>
      <c r="Z366" s="33" t="str">
        <f t="shared" si="249"/>
        <v/>
      </c>
      <c r="AA366" s="32" t="str">
        <f t="shared" si="250"/>
        <v/>
      </c>
      <c r="AB366" s="32" t="str">
        <f t="shared" si="251"/>
        <v/>
      </c>
      <c r="AC366" s="32" t="str">
        <f t="shared" si="252"/>
        <v/>
      </c>
      <c r="AD366" s="32" t="str">
        <f t="shared" si="253"/>
        <v/>
      </c>
      <c r="AE366" s="34" t="str">
        <f t="shared" si="254"/>
        <v/>
      </c>
      <c r="AF366" s="32" t="str">
        <f t="shared" si="255"/>
        <v/>
      </c>
      <c r="AG366" s="32" t="str">
        <f t="shared" si="256"/>
        <v/>
      </c>
      <c r="AH366" s="32" t="str">
        <f t="shared" si="257"/>
        <v/>
      </c>
      <c r="AI366" s="35" t="str">
        <f t="shared" si="258"/>
        <v/>
      </c>
      <c r="AJ366" s="23" t="str">
        <f t="array" ref="AJ366">IFERROR(SMALL(IF(U$1:U$1000="BEGIN",ROW(U$1:U$1000)),ROW()-3),"")</f>
        <v/>
      </c>
      <c r="AK366" s="23" t="str">
        <f t="array" ref="AK366">IFERROR(SMALL(IF(V$1:V$1000="END",ROW(V$1:V$1000)),ROW()-3),"")</f>
        <v/>
      </c>
      <c r="AL366" s="24" t="str">
        <f t="array" ref="AL366">IF(AK366="","",MATCH(AM366,L:L,0))</f>
        <v/>
      </c>
      <c r="AM366" s="35">
        <f t="array" ref="AM366">MAX(IF((B$4:B$1000&lt;=AK366)*(B$4:B$1000&gt;=AJ366),L$4:L$1000, ""))</f>
        <v>0</v>
      </c>
      <c r="AN366" s="32" t="str">
        <f t="shared" si="265"/>
        <v/>
      </c>
      <c r="AO366" s="32" t="str">
        <f t="shared" si="266"/>
        <v/>
      </c>
      <c r="AP366" s="32" t="str">
        <f t="shared" si="267"/>
        <v/>
      </c>
      <c r="AQ366" s="32" t="str">
        <f t="shared" si="268"/>
        <v/>
      </c>
      <c r="AR366" s="32" t="str">
        <f t="shared" si="269"/>
        <v/>
      </c>
      <c r="AS366" s="32" t="str">
        <f t="shared" si="270"/>
        <v/>
      </c>
      <c r="AT366" s="32" t="str">
        <f t="shared" si="271"/>
        <v/>
      </c>
      <c r="AU366" s="34" t="str">
        <f t="shared" si="272"/>
        <v/>
      </c>
      <c r="AV366" s="32" t="str">
        <f t="shared" si="273"/>
        <v/>
      </c>
      <c r="AW366" s="32" t="str">
        <f t="shared" si="274"/>
        <v/>
      </c>
      <c r="AX366" s="32" t="str">
        <f t="shared" si="275"/>
        <v/>
      </c>
      <c r="AY366" s="32" t="str">
        <f t="shared" si="276"/>
        <v/>
      </c>
    </row>
    <row r="367" spans="1:51" x14ac:dyDescent="0.25">
      <c r="A367" s="24" t="str">
        <f t="shared" si="234"/>
        <v/>
      </c>
      <c r="B367" s="24" t="str">
        <f t="shared" si="244"/>
        <v/>
      </c>
      <c r="C367" s="32" t="str">
        <f t="shared" si="235"/>
        <v/>
      </c>
      <c r="D367" s="24" t="str">
        <f t="shared" si="236"/>
        <v/>
      </c>
      <c r="E367" s="24" t="str">
        <f t="shared" si="237"/>
        <v/>
      </c>
      <c r="F367" s="32" t="str">
        <f t="shared" si="238"/>
        <v/>
      </c>
      <c r="G367" s="32" t="str">
        <f t="shared" si="239"/>
        <v/>
      </c>
      <c r="H367" s="32" t="str">
        <f t="shared" ca="1" si="240"/>
        <v/>
      </c>
      <c r="I367" s="32" t="str">
        <f t="shared" ca="1" si="245"/>
        <v/>
      </c>
      <c r="J367" s="32" t="str">
        <f t="shared" si="241"/>
        <v/>
      </c>
      <c r="K367" s="32" t="str">
        <f>IF(ISNUMBER(A367),Profile!$V$25+Profile!$V$24*'Ri-Po'!C367,"")</f>
        <v/>
      </c>
      <c r="L367" s="32" t="str">
        <f t="shared" si="246"/>
        <v/>
      </c>
      <c r="M367" s="32" t="str">
        <f t="shared" si="242"/>
        <v/>
      </c>
      <c r="N367" s="32" t="str">
        <f t="shared" si="243"/>
        <v/>
      </c>
      <c r="O367" s="32" t="str">
        <f t="shared" si="259"/>
        <v/>
      </c>
      <c r="P367" s="32" t="str">
        <f t="shared" si="247"/>
        <v/>
      </c>
      <c r="Q367" s="32" t="str">
        <f t="shared" si="248"/>
        <v/>
      </c>
      <c r="R367" s="32" t="str">
        <f t="shared" si="260"/>
        <v/>
      </c>
      <c r="S367" s="24" t="str">
        <f t="shared" si="261"/>
        <v/>
      </c>
      <c r="T367" s="24" t="str">
        <f t="shared" si="262"/>
        <v/>
      </c>
      <c r="U367" s="24" t="str">
        <f t="shared" si="263"/>
        <v/>
      </c>
      <c r="V367" s="24" t="str">
        <f t="shared" si="264"/>
        <v/>
      </c>
      <c r="W367" s="23" t="str">
        <f t="array" ref="W367">IFERROR(SMALL(IF(S$1:S$1000="BEGIN",ROW(S$1:S$1000)),ROW()-3),"")</f>
        <v/>
      </c>
      <c r="X367" s="23" t="str">
        <f t="array" ref="X367">IFERROR(SMALL(IF(T$1:T$1000="END",ROW(T$1:T$1000)),ROW()-3),"")</f>
        <v/>
      </c>
      <c r="Y367" s="33" t="str">
        <f t="array" ref="Y367">IF(ISNUMBER(W367),MAX(IF((B$4:B$1000&lt;=X367)*(B$4:B$1000&gt;=W367),I$4:I$1000, "")),"")</f>
        <v/>
      </c>
      <c r="Z367" s="33" t="str">
        <f t="shared" si="249"/>
        <v/>
      </c>
      <c r="AA367" s="32" t="str">
        <f t="shared" si="250"/>
        <v/>
      </c>
      <c r="AB367" s="32" t="str">
        <f t="shared" si="251"/>
        <v/>
      </c>
      <c r="AC367" s="32" t="str">
        <f t="shared" si="252"/>
        <v/>
      </c>
      <c r="AD367" s="32" t="str">
        <f t="shared" si="253"/>
        <v/>
      </c>
      <c r="AE367" s="34" t="str">
        <f t="shared" si="254"/>
        <v/>
      </c>
      <c r="AF367" s="32" t="str">
        <f t="shared" si="255"/>
        <v/>
      </c>
      <c r="AG367" s="32" t="str">
        <f t="shared" si="256"/>
        <v/>
      </c>
      <c r="AH367" s="32" t="str">
        <f t="shared" si="257"/>
        <v/>
      </c>
      <c r="AI367" s="35" t="str">
        <f t="shared" si="258"/>
        <v/>
      </c>
      <c r="AJ367" s="23" t="str">
        <f t="array" ref="AJ367">IFERROR(SMALL(IF(U$1:U$1000="BEGIN",ROW(U$1:U$1000)),ROW()-3),"")</f>
        <v/>
      </c>
      <c r="AK367" s="23" t="str">
        <f t="array" ref="AK367">IFERROR(SMALL(IF(V$1:V$1000="END",ROW(V$1:V$1000)),ROW()-3),"")</f>
        <v/>
      </c>
      <c r="AL367" s="24" t="str">
        <f t="array" ref="AL367">IF(AK367="","",MATCH(AM367,L:L,0))</f>
        <v/>
      </c>
      <c r="AM367" s="35">
        <f t="array" ref="AM367">MAX(IF((B$4:B$1000&lt;=AK367)*(B$4:B$1000&gt;=AJ367),L$4:L$1000, ""))</f>
        <v>0</v>
      </c>
      <c r="AN367" s="32" t="str">
        <f t="shared" si="265"/>
        <v/>
      </c>
      <c r="AO367" s="32" t="str">
        <f t="shared" si="266"/>
        <v/>
      </c>
      <c r="AP367" s="32" t="str">
        <f t="shared" si="267"/>
        <v/>
      </c>
      <c r="AQ367" s="32" t="str">
        <f t="shared" si="268"/>
        <v/>
      </c>
      <c r="AR367" s="32" t="str">
        <f t="shared" si="269"/>
        <v/>
      </c>
      <c r="AS367" s="32" t="str">
        <f t="shared" si="270"/>
        <v/>
      </c>
      <c r="AT367" s="32" t="str">
        <f t="shared" si="271"/>
        <v/>
      </c>
      <c r="AU367" s="34" t="str">
        <f t="shared" si="272"/>
        <v/>
      </c>
      <c r="AV367" s="32" t="str">
        <f t="shared" si="273"/>
        <v/>
      </c>
      <c r="AW367" s="32" t="str">
        <f t="shared" si="274"/>
        <v/>
      </c>
      <c r="AX367" s="32" t="str">
        <f t="shared" si="275"/>
        <v/>
      </c>
      <c r="AY367" s="32" t="str">
        <f t="shared" si="276"/>
        <v/>
      </c>
    </row>
    <row r="368" spans="1:51" x14ac:dyDescent="0.25">
      <c r="A368" s="24" t="str">
        <f t="shared" si="234"/>
        <v/>
      </c>
      <c r="B368" s="24" t="str">
        <f t="shared" si="244"/>
        <v/>
      </c>
      <c r="C368" s="32" t="str">
        <f t="shared" si="235"/>
        <v/>
      </c>
      <c r="D368" s="24" t="str">
        <f t="shared" si="236"/>
        <v/>
      </c>
      <c r="E368" s="24" t="str">
        <f t="shared" si="237"/>
        <v/>
      </c>
      <c r="F368" s="32" t="str">
        <f t="shared" si="238"/>
        <v/>
      </c>
      <c r="G368" s="32" t="str">
        <f t="shared" si="239"/>
        <v/>
      </c>
      <c r="H368" s="32" t="str">
        <f t="shared" ca="1" si="240"/>
        <v/>
      </c>
      <c r="I368" s="32" t="str">
        <f t="shared" ca="1" si="245"/>
        <v/>
      </c>
      <c r="J368" s="32" t="str">
        <f t="shared" si="241"/>
        <v/>
      </c>
      <c r="K368" s="32" t="str">
        <f>IF(ISNUMBER(A368),Profile!$V$25+Profile!$V$24*'Ri-Po'!C368,"")</f>
        <v/>
      </c>
      <c r="L368" s="32" t="str">
        <f t="shared" si="246"/>
        <v/>
      </c>
      <c r="M368" s="32" t="str">
        <f t="shared" si="242"/>
        <v/>
      </c>
      <c r="N368" s="32" t="str">
        <f t="shared" si="243"/>
        <v/>
      </c>
      <c r="O368" s="32" t="str">
        <f t="shared" si="259"/>
        <v/>
      </c>
      <c r="P368" s="32" t="str">
        <f t="shared" si="247"/>
        <v/>
      </c>
      <c r="Q368" s="32" t="str">
        <f t="shared" si="248"/>
        <v/>
      </c>
      <c r="R368" s="32" t="str">
        <f t="shared" si="260"/>
        <v/>
      </c>
      <c r="S368" s="24" t="str">
        <f t="shared" si="261"/>
        <v/>
      </c>
      <c r="T368" s="24" t="str">
        <f t="shared" si="262"/>
        <v/>
      </c>
      <c r="U368" s="24" t="str">
        <f t="shared" si="263"/>
        <v/>
      </c>
      <c r="V368" s="24" t="str">
        <f t="shared" si="264"/>
        <v/>
      </c>
      <c r="W368" s="23" t="str">
        <f t="array" ref="W368">IFERROR(SMALL(IF(S$1:S$1000="BEGIN",ROW(S$1:S$1000)),ROW()-3),"")</f>
        <v/>
      </c>
      <c r="X368" s="23" t="str">
        <f t="array" ref="X368">IFERROR(SMALL(IF(T$1:T$1000="END",ROW(T$1:T$1000)),ROW()-3),"")</f>
        <v/>
      </c>
      <c r="Y368" s="33" t="str">
        <f t="array" ref="Y368">IF(ISNUMBER(W368),MAX(IF((B$4:B$1000&lt;=X368)*(B$4:B$1000&gt;=W368),I$4:I$1000, "")),"")</f>
        <v/>
      </c>
      <c r="Z368" s="33" t="str">
        <f t="shared" si="249"/>
        <v/>
      </c>
      <c r="AA368" s="32" t="str">
        <f t="shared" si="250"/>
        <v/>
      </c>
      <c r="AB368" s="32" t="str">
        <f t="shared" si="251"/>
        <v/>
      </c>
      <c r="AC368" s="32" t="str">
        <f t="shared" si="252"/>
        <v/>
      </c>
      <c r="AD368" s="32" t="str">
        <f t="shared" si="253"/>
        <v/>
      </c>
      <c r="AE368" s="34" t="str">
        <f t="shared" si="254"/>
        <v/>
      </c>
      <c r="AF368" s="32" t="str">
        <f t="shared" si="255"/>
        <v/>
      </c>
      <c r="AG368" s="32" t="str">
        <f t="shared" si="256"/>
        <v/>
      </c>
      <c r="AH368" s="32" t="str">
        <f t="shared" si="257"/>
        <v/>
      </c>
      <c r="AI368" s="35" t="str">
        <f t="shared" si="258"/>
        <v/>
      </c>
      <c r="AJ368" s="23" t="str">
        <f t="array" ref="AJ368">IFERROR(SMALL(IF(U$1:U$1000="BEGIN",ROW(U$1:U$1000)),ROW()-3),"")</f>
        <v/>
      </c>
      <c r="AK368" s="23" t="str">
        <f t="array" ref="AK368">IFERROR(SMALL(IF(V$1:V$1000="END",ROW(V$1:V$1000)),ROW()-3),"")</f>
        <v/>
      </c>
      <c r="AL368" s="24" t="str">
        <f t="array" ref="AL368">IF(AK368="","",MATCH(AM368,L:L,0))</f>
        <v/>
      </c>
      <c r="AM368" s="35">
        <f t="array" ref="AM368">MAX(IF((B$4:B$1000&lt;=AK368)*(B$4:B$1000&gt;=AJ368),L$4:L$1000, ""))</f>
        <v>0</v>
      </c>
      <c r="AN368" s="32" t="str">
        <f t="shared" si="265"/>
        <v/>
      </c>
      <c r="AO368" s="32" t="str">
        <f t="shared" si="266"/>
        <v/>
      </c>
      <c r="AP368" s="32" t="str">
        <f t="shared" si="267"/>
        <v/>
      </c>
      <c r="AQ368" s="32" t="str">
        <f t="shared" si="268"/>
        <v/>
      </c>
      <c r="AR368" s="32" t="str">
        <f t="shared" si="269"/>
        <v/>
      </c>
      <c r="AS368" s="32" t="str">
        <f t="shared" si="270"/>
        <v/>
      </c>
      <c r="AT368" s="32" t="str">
        <f t="shared" si="271"/>
        <v/>
      </c>
      <c r="AU368" s="34" t="str">
        <f t="shared" si="272"/>
        <v/>
      </c>
      <c r="AV368" s="32" t="str">
        <f t="shared" si="273"/>
        <v/>
      </c>
      <c r="AW368" s="32" t="str">
        <f t="shared" si="274"/>
        <v/>
      </c>
      <c r="AX368" s="32" t="str">
        <f t="shared" si="275"/>
        <v/>
      </c>
      <c r="AY368" s="32" t="str">
        <f t="shared" si="276"/>
        <v/>
      </c>
    </row>
    <row r="369" spans="1:51" x14ac:dyDescent="0.25">
      <c r="A369" s="24" t="str">
        <f t="shared" si="234"/>
        <v/>
      </c>
      <c r="B369" s="24" t="str">
        <f t="shared" si="244"/>
        <v/>
      </c>
      <c r="C369" s="32" t="str">
        <f t="shared" si="235"/>
        <v/>
      </c>
      <c r="D369" s="24" t="str">
        <f t="shared" si="236"/>
        <v/>
      </c>
      <c r="E369" s="24" t="str">
        <f t="shared" si="237"/>
        <v/>
      </c>
      <c r="F369" s="32" t="str">
        <f t="shared" si="238"/>
        <v/>
      </c>
      <c r="G369" s="32" t="str">
        <f t="shared" si="239"/>
        <v/>
      </c>
      <c r="H369" s="32" t="str">
        <f t="shared" ca="1" si="240"/>
        <v/>
      </c>
      <c r="I369" s="32" t="str">
        <f t="shared" ca="1" si="245"/>
        <v/>
      </c>
      <c r="J369" s="32" t="str">
        <f t="shared" si="241"/>
        <v/>
      </c>
      <c r="K369" s="32" t="str">
        <f>IF(ISNUMBER(A369),Profile!$V$25+Profile!$V$24*'Ri-Po'!C369,"")</f>
        <v/>
      </c>
      <c r="L369" s="32" t="str">
        <f t="shared" si="246"/>
        <v/>
      </c>
      <c r="M369" s="32" t="str">
        <f t="shared" si="242"/>
        <v/>
      </c>
      <c r="N369" s="32" t="str">
        <f t="shared" si="243"/>
        <v/>
      </c>
      <c r="O369" s="32" t="str">
        <f t="shared" si="259"/>
        <v/>
      </c>
      <c r="P369" s="32" t="str">
        <f t="shared" si="247"/>
        <v/>
      </c>
      <c r="Q369" s="32" t="str">
        <f t="shared" si="248"/>
        <v/>
      </c>
      <c r="R369" s="32" t="str">
        <f t="shared" si="260"/>
        <v/>
      </c>
      <c r="S369" s="24" t="str">
        <f t="shared" si="261"/>
        <v/>
      </c>
      <c r="T369" s="24" t="str">
        <f t="shared" si="262"/>
        <v/>
      </c>
      <c r="U369" s="24" t="str">
        <f t="shared" si="263"/>
        <v/>
      </c>
      <c r="V369" s="24" t="str">
        <f t="shared" si="264"/>
        <v/>
      </c>
      <c r="W369" s="23" t="str">
        <f t="array" ref="W369">IFERROR(SMALL(IF(S$1:S$1000="BEGIN",ROW(S$1:S$1000)),ROW()-3),"")</f>
        <v/>
      </c>
      <c r="X369" s="23" t="str">
        <f t="array" ref="X369">IFERROR(SMALL(IF(T$1:T$1000="END",ROW(T$1:T$1000)),ROW()-3),"")</f>
        <v/>
      </c>
      <c r="Y369" s="33" t="str">
        <f t="array" ref="Y369">IF(ISNUMBER(W369),MAX(IF((B$4:B$1000&lt;=X369)*(B$4:B$1000&gt;=W369),I$4:I$1000, "")),"")</f>
        <v/>
      </c>
      <c r="Z369" s="33" t="str">
        <f t="shared" si="249"/>
        <v/>
      </c>
      <c r="AA369" s="32" t="str">
        <f t="shared" si="250"/>
        <v/>
      </c>
      <c r="AB369" s="32" t="str">
        <f t="shared" si="251"/>
        <v/>
      </c>
      <c r="AC369" s="32" t="str">
        <f t="shared" si="252"/>
        <v/>
      </c>
      <c r="AD369" s="32" t="str">
        <f t="shared" si="253"/>
        <v/>
      </c>
      <c r="AE369" s="34" t="str">
        <f t="shared" si="254"/>
        <v/>
      </c>
      <c r="AF369" s="32" t="str">
        <f t="shared" si="255"/>
        <v/>
      </c>
      <c r="AG369" s="32" t="str">
        <f t="shared" si="256"/>
        <v/>
      </c>
      <c r="AH369" s="32" t="str">
        <f t="shared" si="257"/>
        <v/>
      </c>
      <c r="AI369" s="35" t="str">
        <f t="shared" si="258"/>
        <v/>
      </c>
      <c r="AJ369" s="23" t="str">
        <f t="array" ref="AJ369">IFERROR(SMALL(IF(U$1:U$1000="BEGIN",ROW(U$1:U$1000)),ROW()-3),"")</f>
        <v/>
      </c>
      <c r="AK369" s="23" t="str">
        <f t="array" ref="AK369">IFERROR(SMALL(IF(V$1:V$1000="END",ROW(V$1:V$1000)),ROW()-3),"")</f>
        <v/>
      </c>
      <c r="AL369" s="24" t="str">
        <f t="array" ref="AL369">IF(AK369="","",MATCH(AM369,L:L,0))</f>
        <v/>
      </c>
      <c r="AM369" s="35">
        <f t="array" ref="AM369">MAX(IF((B$4:B$1000&lt;=AK369)*(B$4:B$1000&gt;=AJ369),L$4:L$1000, ""))</f>
        <v>0</v>
      </c>
      <c r="AN369" s="32" t="str">
        <f t="shared" si="265"/>
        <v/>
      </c>
      <c r="AO369" s="32" t="str">
        <f t="shared" si="266"/>
        <v/>
      </c>
      <c r="AP369" s="32" t="str">
        <f t="shared" si="267"/>
        <v/>
      </c>
      <c r="AQ369" s="32" t="str">
        <f t="shared" si="268"/>
        <v/>
      </c>
      <c r="AR369" s="32" t="str">
        <f t="shared" si="269"/>
        <v/>
      </c>
      <c r="AS369" s="32" t="str">
        <f t="shared" si="270"/>
        <v/>
      </c>
      <c r="AT369" s="32" t="str">
        <f t="shared" si="271"/>
        <v/>
      </c>
      <c r="AU369" s="34" t="str">
        <f t="shared" si="272"/>
        <v/>
      </c>
      <c r="AV369" s="32" t="str">
        <f t="shared" si="273"/>
        <v/>
      </c>
      <c r="AW369" s="32" t="str">
        <f t="shared" si="274"/>
        <v/>
      </c>
      <c r="AX369" s="32" t="str">
        <f t="shared" si="275"/>
        <v/>
      </c>
      <c r="AY369" s="32" t="str">
        <f t="shared" si="276"/>
        <v/>
      </c>
    </row>
    <row r="370" spans="1:51" x14ac:dyDescent="0.25">
      <c r="A370" s="24" t="str">
        <f t="shared" si="234"/>
        <v/>
      </c>
      <c r="B370" s="24" t="str">
        <f t="shared" si="244"/>
        <v/>
      </c>
      <c r="C370" s="32" t="str">
        <f t="shared" si="235"/>
        <v/>
      </c>
      <c r="D370" s="24" t="str">
        <f t="shared" si="236"/>
        <v/>
      </c>
      <c r="E370" s="24" t="str">
        <f t="shared" si="237"/>
        <v/>
      </c>
      <c r="F370" s="32" t="str">
        <f t="shared" si="238"/>
        <v/>
      </c>
      <c r="G370" s="32" t="str">
        <f t="shared" si="239"/>
        <v/>
      </c>
      <c r="H370" s="32" t="str">
        <f t="shared" ca="1" si="240"/>
        <v/>
      </c>
      <c r="I370" s="32" t="str">
        <f t="shared" ca="1" si="245"/>
        <v/>
      </c>
      <c r="J370" s="32" t="str">
        <f t="shared" si="241"/>
        <v/>
      </c>
      <c r="K370" s="32" t="str">
        <f>IF(ISNUMBER(A370),Profile!$V$25+Profile!$V$24*'Ri-Po'!C370,"")</f>
        <v/>
      </c>
      <c r="L370" s="32" t="str">
        <f t="shared" si="246"/>
        <v/>
      </c>
      <c r="M370" s="32" t="str">
        <f t="shared" si="242"/>
        <v/>
      </c>
      <c r="N370" s="32" t="str">
        <f t="shared" si="243"/>
        <v/>
      </c>
      <c r="O370" s="32" t="str">
        <f t="shared" si="259"/>
        <v/>
      </c>
      <c r="P370" s="32" t="str">
        <f t="shared" si="247"/>
        <v/>
      </c>
      <c r="Q370" s="32" t="str">
        <f t="shared" si="248"/>
        <v/>
      </c>
      <c r="R370" s="32" t="str">
        <f t="shared" si="260"/>
        <v/>
      </c>
      <c r="S370" s="24" t="str">
        <f t="shared" si="261"/>
        <v/>
      </c>
      <c r="T370" s="24" t="str">
        <f t="shared" si="262"/>
        <v/>
      </c>
      <c r="U370" s="24" t="str">
        <f t="shared" si="263"/>
        <v/>
      </c>
      <c r="V370" s="24" t="str">
        <f t="shared" si="264"/>
        <v/>
      </c>
      <c r="W370" s="23" t="str">
        <f t="array" ref="W370">IFERROR(SMALL(IF(S$1:S$1000="BEGIN",ROW(S$1:S$1000)),ROW()-3),"")</f>
        <v/>
      </c>
      <c r="X370" s="23" t="str">
        <f t="array" ref="X370">IFERROR(SMALL(IF(T$1:T$1000="END",ROW(T$1:T$1000)),ROW()-3),"")</f>
        <v/>
      </c>
      <c r="Y370" s="33" t="str">
        <f t="array" ref="Y370">IF(ISNUMBER(W370),MAX(IF((B$4:B$1000&lt;=X370)*(B$4:B$1000&gt;=W370),I$4:I$1000, "")),"")</f>
        <v/>
      </c>
      <c r="Z370" s="33" t="str">
        <f t="shared" si="249"/>
        <v/>
      </c>
      <c r="AA370" s="32" t="str">
        <f t="shared" si="250"/>
        <v/>
      </c>
      <c r="AB370" s="32" t="str">
        <f t="shared" si="251"/>
        <v/>
      </c>
      <c r="AC370" s="32" t="str">
        <f t="shared" si="252"/>
        <v/>
      </c>
      <c r="AD370" s="32" t="str">
        <f t="shared" si="253"/>
        <v/>
      </c>
      <c r="AE370" s="34" t="str">
        <f t="shared" si="254"/>
        <v/>
      </c>
      <c r="AF370" s="32" t="str">
        <f t="shared" si="255"/>
        <v/>
      </c>
      <c r="AG370" s="32" t="str">
        <f t="shared" si="256"/>
        <v/>
      </c>
      <c r="AH370" s="32" t="str">
        <f t="shared" si="257"/>
        <v/>
      </c>
      <c r="AI370" s="35" t="str">
        <f t="shared" si="258"/>
        <v/>
      </c>
      <c r="AJ370" s="23" t="str">
        <f t="array" ref="AJ370">IFERROR(SMALL(IF(U$1:U$1000="BEGIN",ROW(U$1:U$1000)),ROW()-3),"")</f>
        <v/>
      </c>
      <c r="AK370" s="23" t="str">
        <f t="array" ref="AK370">IFERROR(SMALL(IF(V$1:V$1000="END",ROW(V$1:V$1000)),ROW()-3),"")</f>
        <v/>
      </c>
      <c r="AL370" s="24" t="str">
        <f t="array" ref="AL370">IF(AK370="","",MATCH(AM370,L:L,0))</f>
        <v/>
      </c>
      <c r="AM370" s="35">
        <f t="array" ref="AM370">MAX(IF((B$4:B$1000&lt;=AK370)*(B$4:B$1000&gt;=AJ370),L$4:L$1000, ""))</f>
        <v>0</v>
      </c>
      <c r="AN370" s="32" t="str">
        <f t="shared" si="265"/>
        <v/>
      </c>
      <c r="AO370" s="32" t="str">
        <f t="shared" si="266"/>
        <v/>
      </c>
      <c r="AP370" s="32" t="str">
        <f t="shared" si="267"/>
        <v/>
      </c>
      <c r="AQ370" s="32" t="str">
        <f t="shared" si="268"/>
        <v/>
      </c>
      <c r="AR370" s="32" t="str">
        <f t="shared" si="269"/>
        <v/>
      </c>
      <c r="AS370" s="32" t="str">
        <f t="shared" si="270"/>
        <v/>
      </c>
      <c r="AT370" s="32" t="str">
        <f t="shared" si="271"/>
        <v/>
      </c>
      <c r="AU370" s="34" t="str">
        <f t="shared" si="272"/>
        <v/>
      </c>
      <c r="AV370" s="32" t="str">
        <f t="shared" si="273"/>
        <v/>
      </c>
      <c r="AW370" s="32" t="str">
        <f t="shared" si="274"/>
        <v/>
      </c>
      <c r="AX370" s="32" t="str">
        <f t="shared" si="275"/>
        <v/>
      </c>
      <c r="AY370" s="32" t="str">
        <f t="shared" si="276"/>
        <v/>
      </c>
    </row>
    <row r="371" spans="1:51" x14ac:dyDescent="0.25">
      <c r="A371" s="24" t="str">
        <f t="shared" si="234"/>
        <v/>
      </c>
      <c r="B371" s="24" t="str">
        <f t="shared" si="244"/>
        <v/>
      </c>
      <c r="C371" s="32" t="str">
        <f t="shared" si="235"/>
        <v/>
      </c>
      <c r="D371" s="24" t="str">
        <f t="shared" si="236"/>
        <v/>
      </c>
      <c r="E371" s="24" t="str">
        <f t="shared" si="237"/>
        <v/>
      </c>
      <c r="F371" s="32" t="str">
        <f t="shared" si="238"/>
        <v/>
      </c>
      <c r="G371" s="32" t="str">
        <f t="shared" si="239"/>
        <v/>
      </c>
      <c r="H371" s="32" t="str">
        <f t="shared" ca="1" si="240"/>
        <v/>
      </c>
      <c r="I371" s="32" t="str">
        <f t="shared" ca="1" si="245"/>
        <v/>
      </c>
      <c r="J371" s="32" t="str">
        <f t="shared" si="241"/>
        <v/>
      </c>
      <c r="K371" s="32" t="str">
        <f>IF(ISNUMBER(A371),Profile!$V$25+Profile!$V$24*'Ri-Po'!C371,"")</f>
        <v/>
      </c>
      <c r="L371" s="32" t="str">
        <f t="shared" si="246"/>
        <v/>
      </c>
      <c r="M371" s="32" t="str">
        <f t="shared" si="242"/>
        <v/>
      </c>
      <c r="N371" s="32" t="str">
        <f t="shared" si="243"/>
        <v/>
      </c>
      <c r="O371" s="32" t="str">
        <f t="shared" si="259"/>
        <v/>
      </c>
      <c r="P371" s="32" t="str">
        <f t="shared" si="247"/>
        <v/>
      </c>
      <c r="Q371" s="32" t="str">
        <f t="shared" si="248"/>
        <v/>
      </c>
      <c r="R371" s="32" t="str">
        <f t="shared" si="260"/>
        <v/>
      </c>
      <c r="S371" s="24" t="str">
        <f t="shared" si="261"/>
        <v/>
      </c>
      <c r="T371" s="24" t="str">
        <f t="shared" si="262"/>
        <v/>
      </c>
      <c r="U371" s="24" t="str">
        <f t="shared" si="263"/>
        <v/>
      </c>
      <c r="V371" s="24" t="str">
        <f t="shared" si="264"/>
        <v/>
      </c>
      <c r="W371" s="23" t="str">
        <f t="array" ref="W371">IFERROR(SMALL(IF(S$1:S$1000="BEGIN",ROW(S$1:S$1000)),ROW()-3),"")</f>
        <v/>
      </c>
      <c r="X371" s="23" t="str">
        <f t="array" ref="X371">IFERROR(SMALL(IF(T$1:T$1000="END",ROW(T$1:T$1000)),ROW()-3),"")</f>
        <v/>
      </c>
      <c r="Y371" s="33" t="str">
        <f t="array" ref="Y371">IF(ISNUMBER(W371),MAX(IF((B$4:B$1000&lt;=X371)*(B$4:B$1000&gt;=W371),I$4:I$1000, "")),"")</f>
        <v/>
      </c>
      <c r="Z371" s="33" t="str">
        <f t="shared" si="249"/>
        <v/>
      </c>
      <c r="AA371" s="32" t="str">
        <f t="shared" si="250"/>
        <v/>
      </c>
      <c r="AB371" s="32" t="str">
        <f t="shared" si="251"/>
        <v/>
      </c>
      <c r="AC371" s="32" t="str">
        <f t="shared" si="252"/>
        <v/>
      </c>
      <c r="AD371" s="32" t="str">
        <f t="shared" si="253"/>
        <v/>
      </c>
      <c r="AE371" s="34" t="str">
        <f t="shared" si="254"/>
        <v/>
      </c>
      <c r="AF371" s="32" t="str">
        <f t="shared" si="255"/>
        <v/>
      </c>
      <c r="AG371" s="32" t="str">
        <f t="shared" si="256"/>
        <v/>
      </c>
      <c r="AH371" s="32" t="str">
        <f t="shared" si="257"/>
        <v/>
      </c>
      <c r="AI371" s="35" t="str">
        <f t="shared" si="258"/>
        <v/>
      </c>
      <c r="AJ371" s="23" t="str">
        <f t="array" ref="AJ371">IFERROR(SMALL(IF(U$1:U$1000="BEGIN",ROW(U$1:U$1000)),ROW()-3),"")</f>
        <v/>
      </c>
      <c r="AK371" s="23" t="str">
        <f t="array" ref="AK371">IFERROR(SMALL(IF(V$1:V$1000="END",ROW(V$1:V$1000)),ROW()-3),"")</f>
        <v/>
      </c>
      <c r="AL371" s="24" t="str">
        <f t="array" ref="AL371">IF(AK371="","",MATCH(AM371,L:L,0))</f>
        <v/>
      </c>
      <c r="AM371" s="35">
        <f t="array" ref="AM371">MAX(IF((B$4:B$1000&lt;=AK371)*(B$4:B$1000&gt;=AJ371),L$4:L$1000, ""))</f>
        <v>0</v>
      </c>
      <c r="AN371" s="32" t="str">
        <f t="shared" si="265"/>
        <v/>
      </c>
      <c r="AO371" s="32" t="str">
        <f t="shared" si="266"/>
        <v/>
      </c>
      <c r="AP371" s="32" t="str">
        <f t="shared" si="267"/>
        <v/>
      </c>
      <c r="AQ371" s="32" t="str">
        <f t="shared" si="268"/>
        <v/>
      </c>
      <c r="AR371" s="32" t="str">
        <f t="shared" si="269"/>
        <v/>
      </c>
      <c r="AS371" s="32" t="str">
        <f t="shared" si="270"/>
        <v/>
      </c>
      <c r="AT371" s="32" t="str">
        <f t="shared" si="271"/>
        <v/>
      </c>
      <c r="AU371" s="34" t="str">
        <f t="shared" si="272"/>
        <v/>
      </c>
      <c r="AV371" s="32" t="str">
        <f t="shared" si="273"/>
        <v/>
      </c>
      <c r="AW371" s="32" t="str">
        <f t="shared" si="274"/>
        <v/>
      </c>
      <c r="AX371" s="32" t="str">
        <f t="shared" si="275"/>
        <v/>
      </c>
      <c r="AY371" s="32" t="str">
        <f t="shared" si="276"/>
        <v/>
      </c>
    </row>
    <row r="372" spans="1:51" x14ac:dyDescent="0.25">
      <c r="A372" s="24" t="str">
        <f t="shared" si="234"/>
        <v/>
      </c>
      <c r="B372" s="24" t="str">
        <f t="shared" si="244"/>
        <v/>
      </c>
      <c r="C372" s="32" t="str">
        <f t="shared" si="235"/>
        <v/>
      </c>
      <c r="D372" s="24" t="str">
        <f t="shared" si="236"/>
        <v/>
      </c>
      <c r="E372" s="24" t="str">
        <f t="shared" si="237"/>
        <v/>
      </c>
      <c r="F372" s="32" t="str">
        <f t="shared" si="238"/>
        <v/>
      </c>
      <c r="G372" s="32" t="str">
        <f t="shared" si="239"/>
        <v/>
      </c>
      <c r="H372" s="32" t="str">
        <f t="shared" ca="1" si="240"/>
        <v/>
      </c>
      <c r="I372" s="32" t="str">
        <f t="shared" ca="1" si="245"/>
        <v/>
      </c>
      <c r="J372" s="32" t="str">
        <f t="shared" si="241"/>
        <v/>
      </c>
      <c r="K372" s="32" t="str">
        <f>IF(ISNUMBER(A372),Profile!$V$25+Profile!$V$24*'Ri-Po'!C372,"")</f>
        <v/>
      </c>
      <c r="L372" s="32" t="str">
        <f t="shared" si="246"/>
        <v/>
      </c>
      <c r="M372" s="32" t="str">
        <f t="shared" si="242"/>
        <v/>
      </c>
      <c r="N372" s="32" t="str">
        <f t="shared" si="243"/>
        <v/>
      </c>
      <c r="O372" s="32" t="str">
        <f t="shared" si="259"/>
        <v/>
      </c>
      <c r="P372" s="32" t="str">
        <f t="shared" si="247"/>
        <v/>
      </c>
      <c r="Q372" s="32" t="str">
        <f t="shared" si="248"/>
        <v/>
      </c>
      <c r="R372" s="32" t="str">
        <f t="shared" si="260"/>
        <v/>
      </c>
      <c r="S372" s="24" t="str">
        <f t="shared" si="261"/>
        <v/>
      </c>
      <c r="T372" s="24" t="str">
        <f t="shared" si="262"/>
        <v/>
      </c>
      <c r="U372" s="24" t="str">
        <f t="shared" si="263"/>
        <v/>
      </c>
      <c r="V372" s="24" t="str">
        <f t="shared" si="264"/>
        <v/>
      </c>
      <c r="W372" s="23" t="str">
        <f t="array" ref="W372">IFERROR(SMALL(IF(S$1:S$1000="BEGIN",ROW(S$1:S$1000)),ROW()-3),"")</f>
        <v/>
      </c>
      <c r="X372" s="23" t="str">
        <f t="array" ref="X372">IFERROR(SMALL(IF(T$1:T$1000="END",ROW(T$1:T$1000)),ROW()-3),"")</f>
        <v/>
      </c>
      <c r="Y372" s="33" t="str">
        <f t="array" ref="Y372">IF(ISNUMBER(W372),MAX(IF((B$4:B$1000&lt;=X372)*(B$4:B$1000&gt;=W372),I$4:I$1000, "")),"")</f>
        <v/>
      </c>
      <c r="Z372" s="33" t="str">
        <f t="shared" si="249"/>
        <v/>
      </c>
      <c r="AA372" s="32" t="str">
        <f t="shared" si="250"/>
        <v/>
      </c>
      <c r="AB372" s="32" t="str">
        <f t="shared" si="251"/>
        <v/>
      </c>
      <c r="AC372" s="32" t="str">
        <f t="shared" si="252"/>
        <v/>
      </c>
      <c r="AD372" s="32" t="str">
        <f t="shared" si="253"/>
        <v/>
      </c>
      <c r="AE372" s="34" t="str">
        <f t="shared" si="254"/>
        <v/>
      </c>
      <c r="AF372" s="32" t="str">
        <f t="shared" si="255"/>
        <v/>
      </c>
      <c r="AG372" s="32" t="str">
        <f t="shared" si="256"/>
        <v/>
      </c>
      <c r="AH372" s="32" t="str">
        <f t="shared" si="257"/>
        <v/>
      </c>
      <c r="AI372" s="35" t="str">
        <f t="shared" si="258"/>
        <v/>
      </c>
      <c r="AJ372" s="23" t="str">
        <f t="array" ref="AJ372">IFERROR(SMALL(IF(U$1:U$1000="BEGIN",ROW(U$1:U$1000)),ROW()-3),"")</f>
        <v/>
      </c>
      <c r="AK372" s="23" t="str">
        <f t="array" ref="AK372">IFERROR(SMALL(IF(V$1:V$1000="END",ROW(V$1:V$1000)),ROW()-3),"")</f>
        <v/>
      </c>
      <c r="AL372" s="24" t="str">
        <f t="array" ref="AL372">IF(AK372="","",MATCH(AM372,L:L,0))</f>
        <v/>
      </c>
      <c r="AM372" s="35">
        <f t="array" ref="AM372">MAX(IF((B$4:B$1000&lt;=AK372)*(B$4:B$1000&gt;=AJ372),L$4:L$1000, ""))</f>
        <v>0</v>
      </c>
      <c r="AN372" s="32" t="str">
        <f t="shared" si="265"/>
        <v/>
      </c>
      <c r="AO372" s="32" t="str">
        <f t="shared" si="266"/>
        <v/>
      </c>
      <c r="AP372" s="32" t="str">
        <f t="shared" si="267"/>
        <v/>
      </c>
      <c r="AQ372" s="32" t="str">
        <f t="shared" si="268"/>
        <v/>
      </c>
      <c r="AR372" s="32" t="str">
        <f t="shared" si="269"/>
        <v/>
      </c>
      <c r="AS372" s="32" t="str">
        <f t="shared" si="270"/>
        <v/>
      </c>
      <c r="AT372" s="32" t="str">
        <f t="shared" si="271"/>
        <v/>
      </c>
      <c r="AU372" s="34" t="str">
        <f t="shared" si="272"/>
        <v/>
      </c>
      <c r="AV372" s="32" t="str">
        <f t="shared" si="273"/>
        <v/>
      </c>
      <c r="AW372" s="32" t="str">
        <f t="shared" si="274"/>
        <v/>
      </c>
      <c r="AX372" s="32" t="str">
        <f t="shared" si="275"/>
        <v/>
      </c>
      <c r="AY372" s="32" t="str">
        <f t="shared" si="276"/>
        <v/>
      </c>
    </row>
    <row r="373" spans="1:51" x14ac:dyDescent="0.25">
      <c r="A373" s="24" t="str">
        <f t="shared" si="234"/>
        <v/>
      </c>
      <c r="B373" s="24" t="str">
        <f t="shared" si="244"/>
        <v/>
      </c>
      <c r="C373" s="32" t="str">
        <f t="shared" si="235"/>
        <v/>
      </c>
      <c r="D373" s="24" t="str">
        <f t="shared" si="236"/>
        <v/>
      </c>
      <c r="E373" s="24" t="str">
        <f t="shared" si="237"/>
        <v/>
      </c>
      <c r="F373" s="32" t="str">
        <f t="shared" si="238"/>
        <v/>
      </c>
      <c r="G373" s="32" t="str">
        <f t="shared" si="239"/>
        <v/>
      </c>
      <c r="H373" s="32" t="str">
        <f t="shared" ca="1" si="240"/>
        <v/>
      </c>
      <c r="I373" s="32" t="str">
        <f t="shared" ca="1" si="245"/>
        <v/>
      </c>
      <c r="J373" s="32" t="str">
        <f t="shared" si="241"/>
        <v/>
      </c>
      <c r="K373" s="32" t="str">
        <f>IF(ISNUMBER(A373),Profile!$V$25+Profile!$V$24*'Ri-Po'!C373,"")</f>
        <v/>
      </c>
      <c r="L373" s="32" t="str">
        <f t="shared" si="246"/>
        <v/>
      </c>
      <c r="M373" s="32" t="str">
        <f t="shared" si="242"/>
        <v/>
      </c>
      <c r="N373" s="32" t="str">
        <f t="shared" si="243"/>
        <v/>
      </c>
      <c r="O373" s="32" t="str">
        <f t="shared" si="259"/>
        <v/>
      </c>
      <c r="P373" s="32" t="str">
        <f t="shared" si="247"/>
        <v/>
      </c>
      <c r="Q373" s="32" t="str">
        <f t="shared" si="248"/>
        <v/>
      </c>
      <c r="R373" s="32" t="str">
        <f t="shared" si="260"/>
        <v/>
      </c>
      <c r="S373" s="24" t="str">
        <f t="shared" si="261"/>
        <v/>
      </c>
      <c r="T373" s="24" t="str">
        <f t="shared" si="262"/>
        <v/>
      </c>
      <c r="U373" s="24" t="str">
        <f t="shared" si="263"/>
        <v/>
      </c>
      <c r="V373" s="24" t="str">
        <f t="shared" si="264"/>
        <v/>
      </c>
      <c r="W373" s="23" t="str">
        <f t="array" ref="W373">IFERROR(SMALL(IF(S$1:S$1000="BEGIN",ROW(S$1:S$1000)),ROW()-3),"")</f>
        <v/>
      </c>
      <c r="X373" s="23" t="str">
        <f t="array" ref="X373">IFERROR(SMALL(IF(T$1:T$1000="END",ROW(T$1:T$1000)),ROW()-3),"")</f>
        <v/>
      </c>
      <c r="Y373" s="33" t="str">
        <f t="array" ref="Y373">IF(ISNUMBER(W373),MAX(IF((B$4:B$1000&lt;=X373)*(B$4:B$1000&gt;=W373),I$4:I$1000, "")),"")</f>
        <v/>
      </c>
      <c r="Z373" s="33" t="str">
        <f t="shared" si="249"/>
        <v/>
      </c>
      <c r="AA373" s="32" t="str">
        <f t="shared" si="250"/>
        <v/>
      </c>
      <c r="AB373" s="32" t="str">
        <f t="shared" si="251"/>
        <v/>
      </c>
      <c r="AC373" s="32" t="str">
        <f t="shared" si="252"/>
        <v/>
      </c>
      <c r="AD373" s="32" t="str">
        <f t="shared" si="253"/>
        <v/>
      </c>
      <c r="AE373" s="34" t="str">
        <f t="shared" si="254"/>
        <v/>
      </c>
      <c r="AF373" s="32" t="str">
        <f t="shared" si="255"/>
        <v/>
      </c>
      <c r="AG373" s="32" t="str">
        <f t="shared" si="256"/>
        <v/>
      </c>
      <c r="AH373" s="32" t="str">
        <f t="shared" si="257"/>
        <v/>
      </c>
      <c r="AI373" s="35" t="str">
        <f t="shared" si="258"/>
        <v/>
      </c>
      <c r="AJ373" s="23" t="str">
        <f t="array" ref="AJ373">IFERROR(SMALL(IF(U$1:U$1000="BEGIN",ROW(U$1:U$1000)),ROW()-3),"")</f>
        <v/>
      </c>
      <c r="AK373" s="23" t="str">
        <f t="array" ref="AK373">IFERROR(SMALL(IF(V$1:V$1000="END",ROW(V$1:V$1000)),ROW()-3),"")</f>
        <v/>
      </c>
      <c r="AL373" s="24" t="str">
        <f t="array" ref="AL373">IF(AK373="","",MATCH(AM373,L:L,0))</f>
        <v/>
      </c>
      <c r="AM373" s="35">
        <f t="array" ref="AM373">MAX(IF((B$4:B$1000&lt;=AK373)*(B$4:B$1000&gt;=AJ373),L$4:L$1000, ""))</f>
        <v>0</v>
      </c>
      <c r="AN373" s="32" t="str">
        <f t="shared" si="265"/>
        <v/>
      </c>
      <c r="AO373" s="32" t="str">
        <f t="shared" si="266"/>
        <v/>
      </c>
      <c r="AP373" s="32" t="str">
        <f t="shared" si="267"/>
        <v/>
      </c>
      <c r="AQ373" s="32" t="str">
        <f t="shared" si="268"/>
        <v/>
      </c>
      <c r="AR373" s="32" t="str">
        <f t="shared" si="269"/>
        <v/>
      </c>
      <c r="AS373" s="32" t="str">
        <f t="shared" si="270"/>
        <v/>
      </c>
      <c r="AT373" s="32" t="str">
        <f t="shared" si="271"/>
        <v/>
      </c>
      <c r="AU373" s="34" t="str">
        <f t="shared" si="272"/>
        <v/>
      </c>
      <c r="AV373" s="32" t="str">
        <f t="shared" si="273"/>
        <v/>
      </c>
      <c r="AW373" s="32" t="str">
        <f t="shared" si="274"/>
        <v/>
      </c>
      <c r="AX373" s="32" t="str">
        <f t="shared" si="275"/>
        <v/>
      </c>
      <c r="AY373" s="32" t="str">
        <f t="shared" si="276"/>
        <v/>
      </c>
    </row>
    <row r="374" spans="1:51" x14ac:dyDescent="0.25">
      <c r="A374" s="24" t="str">
        <f t="shared" si="234"/>
        <v/>
      </c>
      <c r="B374" s="24" t="str">
        <f t="shared" si="244"/>
        <v/>
      </c>
      <c r="C374" s="32" t="str">
        <f t="shared" si="235"/>
        <v/>
      </c>
      <c r="D374" s="24" t="str">
        <f t="shared" si="236"/>
        <v/>
      </c>
      <c r="E374" s="24" t="str">
        <f t="shared" si="237"/>
        <v/>
      </c>
      <c r="F374" s="32" t="str">
        <f t="shared" si="238"/>
        <v/>
      </c>
      <c r="G374" s="32" t="str">
        <f t="shared" si="239"/>
        <v/>
      </c>
      <c r="H374" s="32" t="str">
        <f t="shared" ca="1" si="240"/>
        <v/>
      </c>
      <c r="I374" s="32" t="str">
        <f t="shared" ca="1" si="245"/>
        <v/>
      </c>
      <c r="J374" s="32" t="str">
        <f t="shared" si="241"/>
        <v/>
      </c>
      <c r="K374" s="32" t="str">
        <f>IF(ISNUMBER(A374),Profile!$V$25+Profile!$V$24*'Ri-Po'!C374,"")</f>
        <v/>
      </c>
      <c r="L374" s="32" t="str">
        <f t="shared" si="246"/>
        <v/>
      </c>
      <c r="M374" s="32" t="str">
        <f t="shared" si="242"/>
        <v/>
      </c>
      <c r="N374" s="32" t="str">
        <f t="shared" si="243"/>
        <v/>
      </c>
      <c r="O374" s="32" t="str">
        <f t="shared" si="259"/>
        <v/>
      </c>
      <c r="P374" s="32" t="str">
        <f t="shared" si="247"/>
        <v/>
      </c>
      <c r="Q374" s="32" t="str">
        <f t="shared" si="248"/>
        <v/>
      </c>
      <c r="R374" s="32" t="str">
        <f t="shared" si="260"/>
        <v/>
      </c>
      <c r="S374" s="24" t="str">
        <f t="shared" si="261"/>
        <v/>
      </c>
      <c r="T374" s="24" t="str">
        <f t="shared" si="262"/>
        <v/>
      </c>
      <c r="U374" s="24" t="str">
        <f t="shared" si="263"/>
        <v/>
      </c>
      <c r="V374" s="24" t="str">
        <f t="shared" si="264"/>
        <v/>
      </c>
      <c r="W374" s="23" t="str">
        <f t="array" ref="W374">IFERROR(SMALL(IF(S$1:S$1000="BEGIN",ROW(S$1:S$1000)),ROW()-3),"")</f>
        <v/>
      </c>
      <c r="X374" s="23" t="str">
        <f t="array" ref="X374">IFERROR(SMALL(IF(T$1:T$1000="END",ROW(T$1:T$1000)),ROW()-3),"")</f>
        <v/>
      </c>
      <c r="Y374" s="33" t="str">
        <f t="array" ref="Y374">IF(ISNUMBER(W374),MAX(IF((B$4:B$1000&lt;=X374)*(B$4:B$1000&gt;=W374),I$4:I$1000, "")),"")</f>
        <v/>
      </c>
      <c r="Z374" s="33" t="str">
        <f t="shared" si="249"/>
        <v/>
      </c>
      <c r="AA374" s="32" t="str">
        <f t="shared" si="250"/>
        <v/>
      </c>
      <c r="AB374" s="32" t="str">
        <f t="shared" si="251"/>
        <v/>
      </c>
      <c r="AC374" s="32" t="str">
        <f t="shared" si="252"/>
        <v/>
      </c>
      <c r="AD374" s="32" t="str">
        <f t="shared" si="253"/>
        <v/>
      </c>
      <c r="AE374" s="34" t="str">
        <f t="shared" si="254"/>
        <v/>
      </c>
      <c r="AF374" s="32" t="str">
        <f t="shared" si="255"/>
        <v/>
      </c>
      <c r="AG374" s="32" t="str">
        <f t="shared" si="256"/>
        <v/>
      </c>
      <c r="AH374" s="32" t="str">
        <f t="shared" si="257"/>
        <v/>
      </c>
      <c r="AI374" s="35" t="str">
        <f t="shared" si="258"/>
        <v/>
      </c>
      <c r="AJ374" s="23" t="str">
        <f t="array" ref="AJ374">IFERROR(SMALL(IF(U$1:U$1000="BEGIN",ROW(U$1:U$1000)),ROW()-3),"")</f>
        <v/>
      </c>
      <c r="AK374" s="23" t="str">
        <f t="array" ref="AK374">IFERROR(SMALL(IF(V$1:V$1000="END",ROW(V$1:V$1000)),ROW()-3),"")</f>
        <v/>
      </c>
      <c r="AL374" s="24" t="str">
        <f t="array" ref="AL374">IF(AK374="","",MATCH(AM374,L:L,0))</f>
        <v/>
      </c>
      <c r="AM374" s="35">
        <f t="array" ref="AM374">MAX(IF((B$4:B$1000&lt;=AK374)*(B$4:B$1000&gt;=AJ374),L$4:L$1000, ""))</f>
        <v>0</v>
      </c>
      <c r="AN374" s="32" t="str">
        <f t="shared" si="265"/>
        <v/>
      </c>
      <c r="AO374" s="32" t="str">
        <f t="shared" si="266"/>
        <v/>
      </c>
      <c r="AP374" s="32" t="str">
        <f t="shared" si="267"/>
        <v/>
      </c>
      <c r="AQ374" s="32" t="str">
        <f t="shared" si="268"/>
        <v/>
      </c>
      <c r="AR374" s="32" t="str">
        <f t="shared" si="269"/>
        <v/>
      </c>
      <c r="AS374" s="32" t="str">
        <f t="shared" si="270"/>
        <v/>
      </c>
      <c r="AT374" s="32" t="str">
        <f t="shared" si="271"/>
        <v/>
      </c>
      <c r="AU374" s="34" t="str">
        <f t="shared" si="272"/>
        <v/>
      </c>
      <c r="AV374" s="32" t="str">
        <f t="shared" si="273"/>
        <v/>
      </c>
      <c r="AW374" s="32" t="str">
        <f t="shared" si="274"/>
        <v/>
      </c>
      <c r="AX374" s="32" t="str">
        <f t="shared" si="275"/>
        <v/>
      </c>
      <c r="AY374" s="32" t="str">
        <f t="shared" si="276"/>
        <v/>
      </c>
    </row>
    <row r="375" spans="1:51" x14ac:dyDescent="0.25">
      <c r="A375" s="24" t="str">
        <f t="shared" si="234"/>
        <v/>
      </c>
      <c r="B375" s="24" t="str">
        <f t="shared" si="244"/>
        <v/>
      </c>
      <c r="C375" s="32" t="str">
        <f t="shared" si="235"/>
        <v/>
      </c>
      <c r="D375" s="24" t="str">
        <f t="shared" si="236"/>
        <v/>
      </c>
      <c r="E375" s="24" t="str">
        <f t="shared" si="237"/>
        <v/>
      </c>
      <c r="F375" s="32" t="str">
        <f t="shared" si="238"/>
        <v/>
      </c>
      <c r="G375" s="32" t="str">
        <f t="shared" si="239"/>
        <v/>
      </c>
      <c r="H375" s="32" t="str">
        <f t="shared" ca="1" si="240"/>
        <v/>
      </c>
      <c r="I375" s="32" t="str">
        <f t="shared" ca="1" si="245"/>
        <v/>
      </c>
      <c r="J375" s="32" t="str">
        <f t="shared" si="241"/>
        <v/>
      </c>
      <c r="K375" s="32" t="str">
        <f>IF(ISNUMBER(A375),Profile!$V$25+Profile!$V$24*'Ri-Po'!C375,"")</f>
        <v/>
      </c>
      <c r="L375" s="32" t="str">
        <f t="shared" si="246"/>
        <v/>
      </c>
      <c r="M375" s="32" t="str">
        <f t="shared" si="242"/>
        <v/>
      </c>
      <c r="N375" s="32" t="str">
        <f t="shared" si="243"/>
        <v/>
      </c>
      <c r="O375" s="32" t="str">
        <f t="shared" si="259"/>
        <v/>
      </c>
      <c r="P375" s="32" t="str">
        <f t="shared" si="247"/>
        <v/>
      </c>
      <c r="Q375" s="32" t="str">
        <f t="shared" si="248"/>
        <v/>
      </c>
      <c r="R375" s="32" t="str">
        <f t="shared" si="260"/>
        <v/>
      </c>
      <c r="S375" s="24" t="str">
        <f t="shared" si="261"/>
        <v/>
      </c>
      <c r="T375" s="24" t="str">
        <f t="shared" si="262"/>
        <v/>
      </c>
      <c r="U375" s="24" t="str">
        <f t="shared" si="263"/>
        <v/>
      </c>
      <c r="V375" s="24" t="str">
        <f t="shared" si="264"/>
        <v/>
      </c>
      <c r="W375" s="23" t="str">
        <f t="array" ref="W375">IFERROR(SMALL(IF(S$1:S$1000="BEGIN",ROW(S$1:S$1000)),ROW()-3),"")</f>
        <v/>
      </c>
      <c r="X375" s="23" t="str">
        <f t="array" ref="X375">IFERROR(SMALL(IF(T$1:T$1000="END",ROW(T$1:T$1000)),ROW()-3),"")</f>
        <v/>
      </c>
      <c r="Y375" s="33" t="str">
        <f t="array" ref="Y375">IF(ISNUMBER(W375),MAX(IF((B$4:B$1000&lt;=X375)*(B$4:B$1000&gt;=W375),I$4:I$1000, "")),"")</f>
        <v/>
      </c>
      <c r="Z375" s="33" t="str">
        <f t="shared" si="249"/>
        <v/>
      </c>
      <c r="AA375" s="32" t="str">
        <f t="shared" si="250"/>
        <v/>
      </c>
      <c r="AB375" s="32" t="str">
        <f t="shared" si="251"/>
        <v/>
      </c>
      <c r="AC375" s="32" t="str">
        <f t="shared" si="252"/>
        <v/>
      </c>
      <c r="AD375" s="32" t="str">
        <f t="shared" si="253"/>
        <v/>
      </c>
      <c r="AE375" s="34" t="str">
        <f t="shared" si="254"/>
        <v/>
      </c>
      <c r="AF375" s="32" t="str">
        <f t="shared" si="255"/>
        <v/>
      </c>
      <c r="AG375" s="32" t="str">
        <f t="shared" si="256"/>
        <v/>
      </c>
      <c r="AH375" s="32" t="str">
        <f t="shared" si="257"/>
        <v/>
      </c>
      <c r="AI375" s="35" t="str">
        <f t="shared" si="258"/>
        <v/>
      </c>
      <c r="AJ375" s="23" t="str">
        <f t="array" ref="AJ375">IFERROR(SMALL(IF(U$1:U$1000="BEGIN",ROW(U$1:U$1000)),ROW()-3),"")</f>
        <v/>
      </c>
      <c r="AK375" s="23" t="str">
        <f t="array" ref="AK375">IFERROR(SMALL(IF(V$1:V$1000="END",ROW(V$1:V$1000)),ROW()-3),"")</f>
        <v/>
      </c>
      <c r="AL375" s="24" t="str">
        <f t="array" ref="AL375">IF(AK375="","",MATCH(AM375,L:L,0))</f>
        <v/>
      </c>
      <c r="AM375" s="35">
        <f t="array" ref="AM375">MAX(IF((B$4:B$1000&lt;=AK375)*(B$4:B$1000&gt;=AJ375),L$4:L$1000, ""))</f>
        <v>0</v>
      </c>
      <c r="AN375" s="32" t="str">
        <f t="shared" si="265"/>
        <v/>
      </c>
      <c r="AO375" s="32" t="str">
        <f t="shared" si="266"/>
        <v/>
      </c>
      <c r="AP375" s="32" t="str">
        <f t="shared" si="267"/>
        <v/>
      </c>
      <c r="AQ375" s="32" t="str">
        <f t="shared" si="268"/>
        <v/>
      </c>
      <c r="AR375" s="32" t="str">
        <f t="shared" si="269"/>
        <v/>
      </c>
      <c r="AS375" s="32" t="str">
        <f t="shared" si="270"/>
        <v/>
      </c>
      <c r="AT375" s="32" t="str">
        <f t="shared" si="271"/>
        <v/>
      </c>
      <c r="AU375" s="34" t="str">
        <f t="shared" si="272"/>
        <v/>
      </c>
      <c r="AV375" s="32" t="str">
        <f t="shared" si="273"/>
        <v/>
      </c>
      <c r="AW375" s="32" t="str">
        <f t="shared" si="274"/>
        <v/>
      </c>
      <c r="AX375" s="32" t="str">
        <f t="shared" si="275"/>
        <v/>
      </c>
      <c r="AY375" s="32" t="str">
        <f t="shared" si="276"/>
        <v/>
      </c>
    </row>
    <row r="376" spans="1:51" x14ac:dyDescent="0.25">
      <c r="A376" s="24" t="str">
        <f t="shared" si="234"/>
        <v/>
      </c>
      <c r="B376" s="24" t="str">
        <f t="shared" si="244"/>
        <v/>
      </c>
      <c r="C376" s="32" t="str">
        <f t="shared" si="235"/>
        <v/>
      </c>
      <c r="D376" s="24" t="str">
        <f t="shared" si="236"/>
        <v/>
      </c>
      <c r="E376" s="24" t="str">
        <f t="shared" si="237"/>
        <v/>
      </c>
      <c r="F376" s="32" t="str">
        <f t="shared" si="238"/>
        <v/>
      </c>
      <c r="G376" s="32" t="str">
        <f t="shared" si="239"/>
        <v/>
      </c>
      <c r="H376" s="32" t="str">
        <f t="shared" ca="1" si="240"/>
        <v/>
      </c>
      <c r="I376" s="32" t="str">
        <f t="shared" ca="1" si="245"/>
        <v/>
      </c>
      <c r="J376" s="32" t="str">
        <f t="shared" si="241"/>
        <v/>
      </c>
      <c r="K376" s="32" t="str">
        <f>IF(ISNUMBER(A376),Profile!$V$25+Profile!$V$24*'Ri-Po'!C376,"")</f>
        <v/>
      </c>
      <c r="L376" s="32" t="str">
        <f t="shared" si="246"/>
        <v/>
      </c>
      <c r="M376" s="32" t="str">
        <f t="shared" si="242"/>
        <v/>
      </c>
      <c r="N376" s="32" t="str">
        <f t="shared" si="243"/>
        <v/>
      </c>
      <c r="O376" s="32" t="str">
        <f t="shared" si="259"/>
        <v/>
      </c>
      <c r="P376" s="32" t="str">
        <f t="shared" si="247"/>
        <v/>
      </c>
      <c r="Q376" s="32" t="str">
        <f t="shared" si="248"/>
        <v/>
      </c>
      <c r="R376" s="32" t="str">
        <f t="shared" si="260"/>
        <v/>
      </c>
      <c r="S376" s="24" t="str">
        <f t="shared" si="261"/>
        <v/>
      </c>
      <c r="T376" s="24" t="str">
        <f t="shared" si="262"/>
        <v/>
      </c>
      <c r="U376" s="24" t="str">
        <f t="shared" si="263"/>
        <v/>
      </c>
      <c r="V376" s="24" t="str">
        <f t="shared" si="264"/>
        <v/>
      </c>
      <c r="W376" s="23" t="str">
        <f t="array" ref="W376">IFERROR(SMALL(IF(S$1:S$1000="BEGIN",ROW(S$1:S$1000)),ROW()-3),"")</f>
        <v/>
      </c>
      <c r="X376" s="23" t="str">
        <f t="array" ref="X376">IFERROR(SMALL(IF(T$1:T$1000="END",ROW(T$1:T$1000)),ROW()-3),"")</f>
        <v/>
      </c>
      <c r="Y376" s="33" t="str">
        <f t="array" ref="Y376">IF(ISNUMBER(W376),MAX(IF((B$4:B$1000&lt;=X376)*(B$4:B$1000&gt;=W376),I$4:I$1000, "")),"")</f>
        <v/>
      </c>
      <c r="Z376" s="33" t="str">
        <f t="shared" si="249"/>
        <v/>
      </c>
      <c r="AA376" s="32" t="str">
        <f t="shared" si="250"/>
        <v/>
      </c>
      <c r="AB376" s="32" t="str">
        <f t="shared" si="251"/>
        <v/>
      </c>
      <c r="AC376" s="32" t="str">
        <f t="shared" si="252"/>
        <v/>
      </c>
      <c r="AD376" s="32" t="str">
        <f t="shared" si="253"/>
        <v/>
      </c>
      <c r="AE376" s="34" t="str">
        <f t="shared" si="254"/>
        <v/>
      </c>
      <c r="AF376" s="32" t="str">
        <f t="shared" si="255"/>
        <v/>
      </c>
      <c r="AG376" s="32" t="str">
        <f t="shared" si="256"/>
        <v/>
      </c>
      <c r="AH376" s="32" t="str">
        <f t="shared" si="257"/>
        <v/>
      </c>
      <c r="AI376" s="35" t="str">
        <f t="shared" si="258"/>
        <v/>
      </c>
      <c r="AJ376" s="23" t="str">
        <f t="array" ref="AJ376">IFERROR(SMALL(IF(U$1:U$1000="BEGIN",ROW(U$1:U$1000)),ROW()-3),"")</f>
        <v/>
      </c>
      <c r="AK376" s="23" t="str">
        <f t="array" ref="AK376">IFERROR(SMALL(IF(V$1:V$1000="END",ROW(V$1:V$1000)),ROW()-3),"")</f>
        <v/>
      </c>
      <c r="AL376" s="24" t="str">
        <f t="array" ref="AL376">IF(AK376="","",MATCH(AM376,L:L,0))</f>
        <v/>
      </c>
      <c r="AM376" s="35">
        <f t="array" ref="AM376">MAX(IF((B$4:B$1000&lt;=AK376)*(B$4:B$1000&gt;=AJ376),L$4:L$1000, ""))</f>
        <v>0</v>
      </c>
      <c r="AN376" s="32" t="str">
        <f t="shared" si="265"/>
        <v/>
      </c>
      <c r="AO376" s="32" t="str">
        <f t="shared" si="266"/>
        <v/>
      </c>
      <c r="AP376" s="32" t="str">
        <f t="shared" si="267"/>
        <v/>
      </c>
      <c r="AQ376" s="32" t="str">
        <f t="shared" si="268"/>
        <v/>
      </c>
      <c r="AR376" s="32" t="str">
        <f t="shared" si="269"/>
        <v/>
      </c>
      <c r="AS376" s="32" t="str">
        <f t="shared" si="270"/>
        <v/>
      </c>
      <c r="AT376" s="32" t="str">
        <f t="shared" si="271"/>
        <v/>
      </c>
      <c r="AU376" s="34" t="str">
        <f t="shared" si="272"/>
        <v/>
      </c>
      <c r="AV376" s="32" t="str">
        <f t="shared" si="273"/>
        <v/>
      </c>
      <c r="AW376" s="32" t="str">
        <f t="shared" si="274"/>
        <v/>
      </c>
      <c r="AX376" s="32" t="str">
        <f t="shared" si="275"/>
        <v/>
      </c>
      <c r="AY376" s="32" t="str">
        <f t="shared" si="276"/>
        <v/>
      </c>
    </row>
    <row r="377" spans="1:51" x14ac:dyDescent="0.25">
      <c r="A377" s="24" t="str">
        <f t="shared" si="234"/>
        <v/>
      </c>
      <c r="B377" s="24" t="str">
        <f t="shared" si="244"/>
        <v/>
      </c>
      <c r="C377" s="32" t="str">
        <f t="shared" si="235"/>
        <v/>
      </c>
      <c r="D377" s="24" t="str">
        <f t="shared" si="236"/>
        <v/>
      </c>
      <c r="E377" s="24" t="str">
        <f t="shared" si="237"/>
        <v/>
      </c>
      <c r="F377" s="32" t="str">
        <f t="shared" si="238"/>
        <v/>
      </c>
      <c r="G377" s="32" t="str">
        <f t="shared" si="239"/>
        <v/>
      </c>
      <c r="H377" s="32" t="str">
        <f t="shared" ca="1" si="240"/>
        <v/>
      </c>
      <c r="I377" s="32" t="str">
        <f t="shared" ca="1" si="245"/>
        <v/>
      </c>
      <c r="J377" s="32" t="str">
        <f t="shared" si="241"/>
        <v/>
      </c>
      <c r="K377" s="32" t="str">
        <f>IF(ISNUMBER(A377),Profile!$V$25+Profile!$V$24*'Ri-Po'!C377,"")</f>
        <v/>
      </c>
      <c r="L377" s="32" t="str">
        <f t="shared" si="246"/>
        <v/>
      </c>
      <c r="M377" s="32" t="str">
        <f t="shared" si="242"/>
        <v/>
      </c>
      <c r="N377" s="32" t="str">
        <f t="shared" si="243"/>
        <v/>
      </c>
      <c r="O377" s="32" t="str">
        <f t="shared" si="259"/>
        <v/>
      </c>
      <c r="P377" s="32" t="str">
        <f t="shared" si="247"/>
        <v/>
      </c>
      <c r="Q377" s="32" t="str">
        <f t="shared" si="248"/>
        <v/>
      </c>
      <c r="R377" s="32" t="str">
        <f t="shared" si="260"/>
        <v/>
      </c>
      <c r="S377" s="24" t="str">
        <f t="shared" si="261"/>
        <v/>
      </c>
      <c r="T377" s="24" t="str">
        <f t="shared" si="262"/>
        <v/>
      </c>
      <c r="U377" s="24" t="str">
        <f t="shared" si="263"/>
        <v/>
      </c>
      <c r="V377" s="24" t="str">
        <f t="shared" si="264"/>
        <v/>
      </c>
      <c r="W377" s="23" t="str">
        <f t="array" ref="W377">IFERROR(SMALL(IF(S$1:S$1000="BEGIN",ROW(S$1:S$1000)),ROW()-3),"")</f>
        <v/>
      </c>
      <c r="X377" s="23" t="str">
        <f t="array" ref="X377">IFERROR(SMALL(IF(T$1:T$1000="END",ROW(T$1:T$1000)),ROW()-3),"")</f>
        <v/>
      </c>
      <c r="Y377" s="33" t="str">
        <f t="array" ref="Y377">IF(ISNUMBER(W377),MAX(IF((B$4:B$1000&lt;=X377)*(B$4:B$1000&gt;=W377),I$4:I$1000, "")),"")</f>
        <v/>
      </c>
      <c r="Z377" s="33" t="str">
        <f t="shared" si="249"/>
        <v/>
      </c>
      <c r="AA377" s="32" t="str">
        <f t="shared" si="250"/>
        <v/>
      </c>
      <c r="AB377" s="32" t="str">
        <f t="shared" si="251"/>
        <v/>
      </c>
      <c r="AC377" s="32" t="str">
        <f t="shared" si="252"/>
        <v/>
      </c>
      <c r="AD377" s="32" t="str">
        <f t="shared" si="253"/>
        <v/>
      </c>
      <c r="AE377" s="34" t="str">
        <f t="shared" si="254"/>
        <v/>
      </c>
      <c r="AF377" s="32" t="str">
        <f t="shared" si="255"/>
        <v/>
      </c>
      <c r="AG377" s="32" t="str">
        <f t="shared" si="256"/>
        <v/>
      </c>
      <c r="AH377" s="32" t="str">
        <f t="shared" si="257"/>
        <v/>
      </c>
      <c r="AI377" s="35" t="str">
        <f t="shared" si="258"/>
        <v/>
      </c>
      <c r="AJ377" s="23" t="str">
        <f t="array" ref="AJ377">IFERROR(SMALL(IF(U$1:U$1000="BEGIN",ROW(U$1:U$1000)),ROW()-3),"")</f>
        <v/>
      </c>
      <c r="AK377" s="23" t="str">
        <f t="array" ref="AK377">IFERROR(SMALL(IF(V$1:V$1000="END",ROW(V$1:V$1000)),ROW()-3),"")</f>
        <v/>
      </c>
      <c r="AL377" s="24" t="str">
        <f t="array" ref="AL377">IF(AK377="","",MATCH(AM377,L:L,0))</f>
        <v/>
      </c>
      <c r="AM377" s="35">
        <f t="array" ref="AM377">MAX(IF((B$4:B$1000&lt;=AK377)*(B$4:B$1000&gt;=AJ377),L$4:L$1000, ""))</f>
        <v>0</v>
      </c>
      <c r="AN377" s="32" t="str">
        <f t="shared" si="265"/>
        <v/>
      </c>
      <c r="AO377" s="32" t="str">
        <f t="shared" si="266"/>
        <v/>
      </c>
      <c r="AP377" s="32" t="str">
        <f t="shared" si="267"/>
        <v/>
      </c>
      <c r="AQ377" s="32" t="str">
        <f t="shared" si="268"/>
        <v/>
      </c>
      <c r="AR377" s="32" t="str">
        <f t="shared" si="269"/>
        <v/>
      </c>
      <c r="AS377" s="32" t="str">
        <f t="shared" si="270"/>
        <v/>
      </c>
      <c r="AT377" s="32" t="str">
        <f t="shared" si="271"/>
        <v/>
      </c>
      <c r="AU377" s="34" t="str">
        <f t="shared" si="272"/>
        <v/>
      </c>
      <c r="AV377" s="32" t="str">
        <f t="shared" si="273"/>
        <v/>
      </c>
      <c r="AW377" s="32" t="str">
        <f t="shared" si="274"/>
        <v/>
      </c>
      <c r="AX377" s="32" t="str">
        <f t="shared" si="275"/>
        <v/>
      </c>
      <c r="AY377" s="32" t="str">
        <f t="shared" si="276"/>
        <v/>
      </c>
    </row>
    <row r="378" spans="1:51" x14ac:dyDescent="0.25">
      <c r="A378" s="24" t="str">
        <f t="shared" si="234"/>
        <v/>
      </c>
      <c r="B378" s="24" t="str">
        <f t="shared" si="244"/>
        <v/>
      </c>
      <c r="C378" s="32" t="str">
        <f t="shared" si="235"/>
        <v/>
      </c>
      <c r="D378" s="24" t="str">
        <f t="shared" si="236"/>
        <v/>
      </c>
      <c r="E378" s="24" t="str">
        <f t="shared" si="237"/>
        <v/>
      </c>
      <c r="F378" s="32" t="str">
        <f t="shared" si="238"/>
        <v/>
      </c>
      <c r="G378" s="32" t="str">
        <f t="shared" si="239"/>
        <v/>
      </c>
      <c r="H378" s="32" t="str">
        <f t="shared" ca="1" si="240"/>
        <v/>
      </c>
      <c r="I378" s="32" t="str">
        <f t="shared" ca="1" si="245"/>
        <v/>
      </c>
      <c r="J378" s="32" t="str">
        <f t="shared" si="241"/>
        <v/>
      </c>
      <c r="K378" s="32" t="str">
        <f>IF(ISNUMBER(A378),Profile!$V$25+Profile!$V$24*'Ri-Po'!C378,"")</f>
        <v/>
      </c>
      <c r="L378" s="32" t="str">
        <f t="shared" si="246"/>
        <v/>
      </c>
      <c r="M378" s="32" t="str">
        <f t="shared" si="242"/>
        <v/>
      </c>
      <c r="N378" s="32" t="str">
        <f t="shared" si="243"/>
        <v/>
      </c>
      <c r="O378" s="32" t="str">
        <f t="shared" si="259"/>
        <v/>
      </c>
      <c r="P378" s="32" t="str">
        <f t="shared" si="247"/>
        <v/>
      </c>
      <c r="Q378" s="32" t="str">
        <f t="shared" si="248"/>
        <v/>
      </c>
      <c r="R378" s="32" t="str">
        <f t="shared" si="260"/>
        <v/>
      </c>
      <c r="S378" s="24" t="str">
        <f t="shared" si="261"/>
        <v/>
      </c>
      <c r="T378" s="24" t="str">
        <f t="shared" si="262"/>
        <v/>
      </c>
      <c r="U378" s="24" t="str">
        <f t="shared" si="263"/>
        <v/>
      </c>
      <c r="V378" s="24" t="str">
        <f t="shared" si="264"/>
        <v/>
      </c>
      <c r="W378" s="23" t="str">
        <f t="array" ref="W378">IFERROR(SMALL(IF(S$1:S$1000="BEGIN",ROW(S$1:S$1000)),ROW()-3),"")</f>
        <v/>
      </c>
      <c r="X378" s="23" t="str">
        <f t="array" ref="X378">IFERROR(SMALL(IF(T$1:T$1000="END",ROW(T$1:T$1000)),ROW()-3),"")</f>
        <v/>
      </c>
      <c r="Y378" s="33" t="str">
        <f t="array" ref="Y378">IF(ISNUMBER(W378),MAX(IF((B$4:B$1000&lt;=X378)*(B$4:B$1000&gt;=W378),I$4:I$1000, "")),"")</f>
        <v/>
      </c>
      <c r="Z378" s="33" t="str">
        <f t="shared" si="249"/>
        <v/>
      </c>
      <c r="AA378" s="32" t="str">
        <f t="shared" si="250"/>
        <v/>
      </c>
      <c r="AB378" s="32" t="str">
        <f t="shared" si="251"/>
        <v/>
      </c>
      <c r="AC378" s="32" t="str">
        <f t="shared" si="252"/>
        <v/>
      </c>
      <c r="AD378" s="32" t="str">
        <f t="shared" si="253"/>
        <v/>
      </c>
      <c r="AE378" s="34" t="str">
        <f t="shared" si="254"/>
        <v/>
      </c>
      <c r="AF378" s="32" t="str">
        <f t="shared" si="255"/>
        <v/>
      </c>
      <c r="AG378" s="32" t="str">
        <f t="shared" si="256"/>
        <v/>
      </c>
      <c r="AH378" s="32" t="str">
        <f t="shared" si="257"/>
        <v/>
      </c>
      <c r="AI378" s="35" t="str">
        <f t="shared" si="258"/>
        <v/>
      </c>
      <c r="AJ378" s="23" t="str">
        <f t="array" ref="AJ378">IFERROR(SMALL(IF(U$1:U$1000="BEGIN",ROW(U$1:U$1000)),ROW()-3),"")</f>
        <v/>
      </c>
      <c r="AK378" s="23" t="str">
        <f t="array" ref="AK378">IFERROR(SMALL(IF(V$1:V$1000="END",ROW(V$1:V$1000)),ROW()-3),"")</f>
        <v/>
      </c>
      <c r="AL378" s="24" t="str">
        <f t="array" ref="AL378">IF(AK378="","",MATCH(AM378,L:L,0))</f>
        <v/>
      </c>
      <c r="AM378" s="35">
        <f t="array" ref="AM378">MAX(IF((B$4:B$1000&lt;=AK378)*(B$4:B$1000&gt;=AJ378),L$4:L$1000, ""))</f>
        <v>0</v>
      </c>
      <c r="AN378" s="32" t="str">
        <f t="shared" si="265"/>
        <v/>
      </c>
      <c r="AO378" s="32" t="str">
        <f t="shared" si="266"/>
        <v/>
      </c>
      <c r="AP378" s="32" t="str">
        <f t="shared" si="267"/>
        <v/>
      </c>
      <c r="AQ378" s="32" t="str">
        <f t="shared" si="268"/>
        <v/>
      </c>
      <c r="AR378" s="32" t="str">
        <f t="shared" si="269"/>
        <v/>
      </c>
      <c r="AS378" s="32" t="str">
        <f t="shared" si="270"/>
        <v/>
      </c>
      <c r="AT378" s="32" t="str">
        <f t="shared" si="271"/>
        <v/>
      </c>
      <c r="AU378" s="34" t="str">
        <f t="shared" si="272"/>
        <v/>
      </c>
      <c r="AV378" s="32" t="str">
        <f t="shared" si="273"/>
        <v/>
      </c>
      <c r="AW378" s="32" t="str">
        <f t="shared" si="274"/>
        <v/>
      </c>
      <c r="AX378" s="32" t="str">
        <f t="shared" si="275"/>
        <v/>
      </c>
      <c r="AY378" s="32" t="str">
        <f t="shared" si="276"/>
        <v/>
      </c>
    </row>
    <row r="379" spans="1:51" x14ac:dyDescent="0.25">
      <c r="A379" s="24" t="str">
        <f t="shared" si="234"/>
        <v/>
      </c>
      <c r="B379" s="24" t="str">
        <f t="shared" si="244"/>
        <v/>
      </c>
      <c r="C379" s="32" t="str">
        <f t="shared" si="235"/>
        <v/>
      </c>
      <c r="D379" s="24" t="str">
        <f t="shared" si="236"/>
        <v/>
      </c>
      <c r="E379" s="24" t="str">
        <f t="shared" si="237"/>
        <v/>
      </c>
      <c r="F379" s="32" t="str">
        <f t="shared" si="238"/>
        <v/>
      </c>
      <c r="G379" s="32" t="str">
        <f t="shared" si="239"/>
        <v/>
      </c>
      <c r="H379" s="32" t="str">
        <f t="shared" ca="1" si="240"/>
        <v/>
      </c>
      <c r="I379" s="32" t="str">
        <f t="shared" ca="1" si="245"/>
        <v/>
      </c>
      <c r="J379" s="32" t="str">
        <f t="shared" si="241"/>
        <v/>
      </c>
      <c r="K379" s="32" t="str">
        <f>IF(ISNUMBER(A379),Profile!$V$25+Profile!$V$24*'Ri-Po'!C379,"")</f>
        <v/>
      </c>
      <c r="L379" s="32" t="str">
        <f t="shared" si="246"/>
        <v/>
      </c>
      <c r="M379" s="32" t="str">
        <f t="shared" si="242"/>
        <v/>
      </c>
      <c r="N379" s="32" t="str">
        <f t="shared" si="243"/>
        <v/>
      </c>
      <c r="O379" s="32" t="str">
        <f t="shared" si="259"/>
        <v/>
      </c>
      <c r="P379" s="32" t="str">
        <f t="shared" si="247"/>
        <v/>
      </c>
      <c r="Q379" s="32" t="str">
        <f t="shared" si="248"/>
        <v/>
      </c>
      <c r="R379" s="32" t="str">
        <f t="shared" si="260"/>
        <v/>
      </c>
      <c r="S379" s="24" t="str">
        <f t="shared" si="261"/>
        <v/>
      </c>
      <c r="T379" s="24" t="str">
        <f t="shared" si="262"/>
        <v/>
      </c>
      <c r="U379" s="24" t="str">
        <f t="shared" si="263"/>
        <v/>
      </c>
      <c r="V379" s="24" t="str">
        <f t="shared" si="264"/>
        <v/>
      </c>
      <c r="W379" s="23" t="str">
        <f t="array" ref="W379">IFERROR(SMALL(IF(S$1:S$1000="BEGIN",ROW(S$1:S$1000)),ROW()-3),"")</f>
        <v/>
      </c>
      <c r="X379" s="23" t="str">
        <f t="array" ref="X379">IFERROR(SMALL(IF(T$1:T$1000="END",ROW(T$1:T$1000)),ROW()-3),"")</f>
        <v/>
      </c>
      <c r="Y379" s="33" t="str">
        <f t="array" ref="Y379">IF(ISNUMBER(W379),MAX(IF((B$4:B$1000&lt;=X379)*(B$4:B$1000&gt;=W379),I$4:I$1000, "")),"")</f>
        <v/>
      </c>
      <c r="Z379" s="33" t="str">
        <f t="shared" si="249"/>
        <v/>
      </c>
      <c r="AA379" s="32" t="str">
        <f t="shared" si="250"/>
        <v/>
      </c>
      <c r="AB379" s="32" t="str">
        <f t="shared" si="251"/>
        <v/>
      </c>
      <c r="AC379" s="32" t="str">
        <f t="shared" si="252"/>
        <v/>
      </c>
      <c r="AD379" s="32" t="str">
        <f t="shared" si="253"/>
        <v/>
      </c>
      <c r="AE379" s="34" t="str">
        <f t="shared" si="254"/>
        <v/>
      </c>
      <c r="AF379" s="32" t="str">
        <f t="shared" si="255"/>
        <v/>
      </c>
      <c r="AG379" s="32" t="str">
        <f t="shared" si="256"/>
        <v/>
      </c>
      <c r="AH379" s="32" t="str">
        <f t="shared" si="257"/>
        <v/>
      </c>
      <c r="AI379" s="35" t="str">
        <f t="shared" si="258"/>
        <v/>
      </c>
      <c r="AJ379" s="23" t="str">
        <f t="array" ref="AJ379">IFERROR(SMALL(IF(U$1:U$1000="BEGIN",ROW(U$1:U$1000)),ROW()-3),"")</f>
        <v/>
      </c>
      <c r="AK379" s="23" t="str">
        <f t="array" ref="AK379">IFERROR(SMALL(IF(V$1:V$1000="END",ROW(V$1:V$1000)),ROW()-3),"")</f>
        <v/>
      </c>
      <c r="AL379" s="24" t="str">
        <f t="array" ref="AL379">IF(AK379="","",MATCH(AM379,L:L,0))</f>
        <v/>
      </c>
      <c r="AM379" s="35">
        <f t="array" ref="AM379">MAX(IF((B$4:B$1000&lt;=AK379)*(B$4:B$1000&gt;=AJ379),L$4:L$1000, ""))</f>
        <v>0</v>
      </c>
      <c r="AN379" s="32" t="str">
        <f t="shared" si="265"/>
        <v/>
      </c>
      <c r="AO379" s="32" t="str">
        <f t="shared" si="266"/>
        <v/>
      </c>
      <c r="AP379" s="32" t="str">
        <f t="shared" si="267"/>
        <v/>
      </c>
      <c r="AQ379" s="32" t="str">
        <f t="shared" si="268"/>
        <v/>
      </c>
      <c r="AR379" s="32" t="str">
        <f t="shared" si="269"/>
        <v/>
      </c>
      <c r="AS379" s="32" t="str">
        <f t="shared" si="270"/>
        <v/>
      </c>
      <c r="AT379" s="32" t="str">
        <f t="shared" si="271"/>
        <v/>
      </c>
      <c r="AU379" s="34" t="str">
        <f t="shared" si="272"/>
        <v/>
      </c>
      <c r="AV379" s="32" t="str">
        <f t="shared" si="273"/>
        <v/>
      </c>
      <c r="AW379" s="32" t="str">
        <f t="shared" si="274"/>
        <v/>
      </c>
      <c r="AX379" s="32" t="str">
        <f t="shared" si="275"/>
        <v/>
      </c>
      <c r="AY379" s="32" t="str">
        <f t="shared" si="276"/>
        <v/>
      </c>
    </row>
    <row r="380" spans="1:51" x14ac:dyDescent="0.25">
      <c r="A380" s="24" t="str">
        <f t="shared" si="234"/>
        <v/>
      </c>
      <c r="B380" s="24" t="str">
        <f t="shared" si="244"/>
        <v/>
      </c>
      <c r="C380" s="32" t="str">
        <f t="shared" si="235"/>
        <v/>
      </c>
      <c r="D380" s="24" t="str">
        <f t="shared" si="236"/>
        <v/>
      </c>
      <c r="E380" s="24" t="str">
        <f t="shared" si="237"/>
        <v/>
      </c>
      <c r="F380" s="32" t="str">
        <f t="shared" si="238"/>
        <v/>
      </c>
      <c r="G380" s="32" t="str">
        <f t="shared" si="239"/>
        <v/>
      </c>
      <c r="H380" s="32" t="str">
        <f t="shared" ca="1" si="240"/>
        <v/>
      </c>
      <c r="I380" s="32" t="str">
        <f t="shared" ca="1" si="245"/>
        <v/>
      </c>
      <c r="J380" s="32" t="str">
        <f t="shared" si="241"/>
        <v/>
      </c>
      <c r="K380" s="32" t="str">
        <f>IF(ISNUMBER(A380),Profile!$V$25+Profile!$V$24*'Ri-Po'!C380,"")</f>
        <v/>
      </c>
      <c r="L380" s="32" t="str">
        <f t="shared" si="246"/>
        <v/>
      </c>
      <c r="M380" s="32" t="str">
        <f t="shared" si="242"/>
        <v/>
      </c>
      <c r="N380" s="32" t="str">
        <f t="shared" si="243"/>
        <v/>
      </c>
      <c r="O380" s="32" t="str">
        <f t="shared" si="259"/>
        <v/>
      </c>
      <c r="P380" s="32" t="str">
        <f t="shared" si="247"/>
        <v/>
      </c>
      <c r="Q380" s="32" t="str">
        <f t="shared" si="248"/>
        <v/>
      </c>
      <c r="R380" s="32" t="str">
        <f t="shared" si="260"/>
        <v/>
      </c>
      <c r="S380" s="24" t="str">
        <f t="shared" si="261"/>
        <v/>
      </c>
      <c r="T380" s="24" t="str">
        <f t="shared" si="262"/>
        <v/>
      </c>
      <c r="U380" s="24" t="str">
        <f t="shared" si="263"/>
        <v/>
      </c>
      <c r="V380" s="24" t="str">
        <f t="shared" si="264"/>
        <v/>
      </c>
      <c r="W380" s="23" t="str">
        <f t="array" ref="W380">IFERROR(SMALL(IF(S$1:S$1000="BEGIN",ROW(S$1:S$1000)),ROW()-3),"")</f>
        <v/>
      </c>
      <c r="X380" s="23" t="str">
        <f t="array" ref="X380">IFERROR(SMALL(IF(T$1:T$1000="END",ROW(T$1:T$1000)),ROW()-3),"")</f>
        <v/>
      </c>
      <c r="Y380" s="33" t="str">
        <f t="array" ref="Y380">IF(ISNUMBER(W380),MAX(IF((B$4:B$1000&lt;=X380)*(B$4:B$1000&gt;=W380),I$4:I$1000, "")),"")</f>
        <v/>
      </c>
      <c r="Z380" s="33" t="str">
        <f t="shared" si="249"/>
        <v/>
      </c>
      <c r="AA380" s="32" t="str">
        <f t="shared" si="250"/>
        <v/>
      </c>
      <c r="AB380" s="32" t="str">
        <f t="shared" si="251"/>
        <v/>
      </c>
      <c r="AC380" s="32" t="str">
        <f t="shared" si="252"/>
        <v/>
      </c>
      <c r="AD380" s="32" t="str">
        <f t="shared" si="253"/>
        <v/>
      </c>
      <c r="AE380" s="34" t="str">
        <f t="shared" si="254"/>
        <v/>
      </c>
      <c r="AF380" s="32" t="str">
        <f t="shared" si="255"/>
        <v/>
      </c>
      <c r="AG380" s="32" t="str">
        <f t="shared" si="256"/>
        <v/>
      </c>
      <c r="AH380" s="32" t="str">
        <f t="shared" si="257"/>
        <v/>
      </c>
      <c r="AI380" s="35" t="str">
        <f t="shared" si="258"/>
        <v/>
      </c>
      <c r="AJ380" s="23" t="str">
        <f t="array" ref="AJ380">IFERROR(SMALL(IF(U$1:U$1000="BEGIN",ROW(U$1:U$1000)),ROW()-3),"")</f>
        <v/>
      </c>
      <c r="AK380" s="23" t="str">
        <f t="array" ref="AK380">IFERROR(SMALL(IF(V$1:V$1000="END",ROW(V$1:V$1000)),ROW()-3),"")</f>
        <v/>
      </c>
      <c r="AL380" s="24" t="str">
        <f t="array" ref="AL380">IF(AK380="","",MATCH(AM380,L:L,0))</f>
        <v/>
      </c>
      <c r="AM380" s="35">
        <f t="array" ref="AM380">MAX(IF((B$4:B$1000&lt;=AK380)*(B$4:B$1000&gt;=AJ380),L$4:L$1000, ""))</f>
        <v>0</v>
      </c>
      <c r="AN380" s="32" t="str">
        <f t="shared" si="265"/>
        <v/>
      </c>
      <c r="AO380" s="32" t="str">
        <f t="shared" si="266"/>
        <v/>
      </c>
      <c r="AP380" s="32" t="str">
        <f t="shared" si="267"/>
        <v/>
      </c>
      <c r="AQ380" s="32" t="str">
        <f t="shared" si="268"/>
        <v/>
      </c>
      <c r="AR380" s="32" t="str">
        <f t="shared" si="269"/>
        <v/>
      </c>
      <c r="AS380" s="32" t="str">
        <f t="shared" si="270"/>
        <v/>
      </c>
      <c r="AT380" s="32" t="str">
        <f t="shared" si="271"/>
        <v/>
      </c>
      <c r="AU380" s="34" t="str">
        <f t="shared" si="272"/>
        <v/>
      </c>
      <c r="AV380" s="32" t="str">
        <f t="shared" si="273"/>
        <v/>
      </c>
      <c r="AW380" s="32" t="str">
        <f t="shared" si="274"/>
        <v/>
      </c>
      <c r="AX380" s="32" t="str">
        <f t="shared" si="275"/>
        <v/>
      </c>
      <c r="AY380" s="32" t="str">
        <f t="shared" si="276"/>
        <v/>
      </c>
    </row>
    <row r="381" spans="1:51" x14ac:dyDescent="0.25">
      <c r="A381" s="24" t="str">
        <f t="shared" si="234"/>
        <v/>
      </c>
      <c r="B381" s="24" t="str">
        <f t="shared" si="244"/>
        <v/>
      </c>
      <c r="C381" s="32" t="str">
        <f t="shared" si="235"/>
        <v/>
      </c>
      <c r="D381" s="24" t="str">
        <f t="shared" si="236"/>
        <v/>
      </c>
      <c r="E381" s="24" t="str">
        <f t="shared" si="237"/>
        <v/>
      </c>
      <c r="F381" s="32" t="str">
        <f t="shared" si="238"/>
        <v/>
      </c>
      <c r="G381" s="32" t="str">
        <f t="shared" si="239"/>
        <v/>
      </c>
      <c r="H381" s="32" t="str">
        <f t="shared" ca="1" si="240"/>
        <v/>
      </c>
      <c r="I381" s="32" t="str">
        <f t="shared" ca="1" si="245"/>
        <v/>
      </c>
      <c r="J381" s="32" t="str">
        <f t="shared" si="241"/>
        <v/>
      </c>
      <c r="K381" s="32" t="str">
        <f>IF(ISNUMBER(A381),Profile!$V$25+Profile!$V$24*'Ri-Po'!C381,"")</f>
        <v/>
      </c>
      <c r="L381" s="32" t="str">
        <f t="shared" si="246"/>
        <v/>
      </c>
      <c r="M381" s="32" t="str">
        <f t="shared" si="242"/>
        <v/>
      </c>
      <c r="N381" s="32" t="str">
        <f t="shared" si="243"/>
        <v/>
      </c>
      <c r="O381" s="32" t="str">
        <f t="shared" si="259"/>
        <v/>
      </c>
      <c r="P381" s="32" t="str">
        <f t="shared" si="247"/>
        <v/>
      </c>
      <c r="Q381" s="32" t="str">
        <f t="shared" si="248"/>
        <v/>
      </c>
      <c r="R381" s="32" t="str">
        <f t="shared" si="260"/>
        <v/>
      </c>
      <c r="S381" s="24" t="str">
        <f t="shared" si="261"/>
        <v/>
      </c>
      <c r="T381" s="24" t="str">
        <f t="shared" si="262"/>
        <v/>
      </c>
      <c r="U381" s="24" t="str">
        <f t="shared" si="263"/>
        <v/>
      </c>
      <c r="V381" s="24" t="str">
        <f t="shared" si="264"/>
        <v/>
      </c>
      <c r="W381" s="23" t="str">
        <f t="array" ref="W381">IFERROR(SMALL(IF(S$1:S$1000="BEGIN",ROW(S$1:S$1000)),ROW()-3),"")</f>
        <v/>
      </c>
      <c r="X381" s="23" t="str">
        <f t="array" ref="X381">IFERROR(SMALL(IF(T$1:T$1000="END",ROW(T$1:T$1000)),ROW()-3),"")</f>
        <v/>
      </c>
      <c r="Y381" s="33" t="str">
        <f t="array" ref="Y381">IF(ISNUMBER(W381),MAX(IF((B$4:B$1000&lt;=X381)*(B$4:B$1000&gt;=W381),I$4:I$1000, "")),"")</f>
        <v/>
      </c>
      <c r="Z381" s="33" t="str">
        <f t="shared" si="249"/>
        <v/>
      </c>
      <c r="AA381" s="32" t="str">
        <f t="shared" si="250"/>
        <v/>
      </c>
      <c r="AB381" s="32" t="str">
        <f t="shared" si="251"/>
        <v/>
      </c>
      <c r="AC381" s="32" t="str">
        <f t="shared" si="252"/>
        <v/>
      </c>
      <c r="AD381" s="32" t="str">
        <f t="shared" si="253"/>
        <v/>
      </c>
      <c r="AE381" s="34" t="str">
        <f t="shared" si="254"/>
        <v/>
      </c>
      <c r="AF381" s="32" t="str">
        <f t="shared" si="255"/>
        <v/>
      </c>
      <c r="AG381" s="32" t="str">
        <f t="shared" si="256"/>
        <v/>
      </c>
      <c r="AH381" s="32" t="str">
        <f t="shared" si="257"/>
        <v/>
      </c>
      <c r="AI381" s="35" t="str">
        <f t="shared" si="258"/>
        <v/>
      </c>
      <c r="AJ381" s="23" t="str">
        <f t="array" ref="AJ381">IFERROR(SMALL(IF(U$1:U$1000="BEGIN",ROW(U$1:U$1000)),ROW()-3),"")</f>
        <v/>
      </c>
      <c r="AK381" s="23" t="str">
        <f t="array" ref="AK381">IFERROR(SMALL(IF(V$1:V$1000="END",ROW(V$1:V$1000)),ROW()-3),"")</f>
        <v/>
      </c>
      <c r="AL381" s="24" t="str">
        <f t="array" ref="AL381">IF(AK381="","",MATCH(AM381,L:L,0))</f>
        <v/>
      </c>
      <c r="AM381" s="35">
        <f t="array" ref="AM381">MAX(IF((B$4:B$1000&lt;=AK381)*(B$4:B$1000&gt;=AJ381),L$4:L$1000, ""))</f>
        <v>0</v>
      </c>
      <c r="AN381" s="32" t="str">
        <f t="shared" si="265"/>
        <v/>
      </c>
      <c r="AO381" s="32" t="str">
        <f t="shared" si="266"/>
        <v/>
      </c>
      <c r="AP381" s="32" t="str">
        <f t="shared" si="267"/>
        <v/>
      </c>
      <c r="AQ381" s="32" t="str">
        <f t="shared" si="268"/>
        <v/>
      </c>
      <c r="AR381" s="32" t="str">
        <f t="shared" si="269"/>
        <v/>
      </c>
      <c r="AS381" s="32" t="str">
        <f t="shared" si="270"/>
        <v/>
      </c>
      <c r="AT381" s="32" t="str">
        <f t="shared" si="271"/>
        <v/>
      </c>
      <c r="AU381" s="34" t="str">
        <f t="shared" si="272"/>
        <v/>
      </c>
      <c r="AV381" s="32" t="str">
        <f t="shared" si="273"/>
        <v/>
      </c>
      <c r="AW381" s="32" t="str">
        <f t="shared" si="274"/>
        <v/>
      </c>
      <c r="AX381" s="32" t="str">
        <f t="shared" si="275"/>
        <v/>
      </c>
      <c r="AY381" s="32" t="str">
        <f t="shared" si="276"/>
        <v/>
      </c>
    </row>
    <row r="382" spans="1:51" x14ac:dyDescent="0.25">
      <c r="A382" s="24" t="str">
        <f t="shared" si="234"/>
        <v/>
      </c>
      <c r="B382" s="24" t="str">
        <f t="shared" si="244"/>
        <v/>
      </c>
      <c r="C382" s="32" t="str">
        <f t="shared" si="235"/>
        <v/>
      </c>
      <c r="D382" s="24" t="str">
        <f t="shared" si="236"/>
        <v/>
      </c>
      <c r="E382" s="24" t="str">
        <f t="shared" si="237"/>
        <v/>
      </c>
      <c r="F382" s="32" t="str">
        <f t="shared" si="238"/>
        <v/>
      </c>
      <c r="G382" s="32" t="str">
        <f t="shared" si="239"/>
        <v/>
      </c>
      <c r="H382" s="32" t="str">
        <f t="shared" ca="1" si="240"/>
        <v/>
      </c>
      <c r="I382" s="32" t="str">
        <f t="shared" ca="1" si="245"/>
        <v/>
      </c>
      <c r="J382" s="32" t="str">
        <f t="shared" si="241"/>
        <v/>
      </c>
      <c r="K382" s="32" t="str">
        <f>IF(ISNUMBER(A382),Profile!$V$25+Profile!$V$24*'Ri-Po'!C382,"")</f>
        <v/>
      </c>
      <c r="L382" s="32" t="str">
        <f t="shared" si="246"/>
        <v/>
      </c>
      <c r="M382" s="32" t="str">
        <f t="shared" si="242"/>
        <v/>
      </c>
      <c r="N382" s="32" t="str">
        <f t="shared" si="243"/>
        <v/>
      </c>
      <c r="O382" s="32" t="str">
        <f t="shared" si="259"/>
        <v/>
      </c>
      <c r="P382" s="32" t="str">
        <f t="shared" si="247"/>
        <v/>
      </c>
      <c r="Q382" s="32" t="str">
        <f t="shared" si="248"/>
        <v/>
      </c>
      <c r="R382" s="32" t="str">
        <f t="shared" si="260"/>
        <v/>
      </c>
      <c r="S382" s="24" t="str">
        <f t="shared" si="261"/>
        <v/>
      </c>
      <c r="T382" s="24" t="str">
        <f t="shared" si="262"/>
        <v/>
      </c>
      <c r="U382" s="24" t="str">
        <f t="shared" si="263"/>
        <v/>
      </c>
      <c r="V382" s="24" t="str">
        <f t="shared" si="264"/>
        <v/>
      </c>
      <c r="W382" s="23" t="str">
        <f t="array" ref="W382">IFERROR(SMALL(IF(S$1:S$1000="BEGIN",ROW(S$1:S$1000)),ROW()-3),"")</f>
        <v/>
      </c>
      <c r="X382" s="23" t="str">
        <f t="array" ref="X382">IFERROR(SMALL(IF(T$1:T$1000="END",ROW(T$1:T$1000)),ROW()-3),"")</f>
        <v/>
      </c>
      <c r="Y382" s="33" t="str">
        <f t="array" ref="Y382">IF(ISNUMBER(W382),MAX(IF((B$4:B$1000&lt;=X382)*(B$4:B$1000&gt;=W382),I$4:I$1000, "")),"")</f>
        <v/>
      </c>
      <c r="Z382" s="33" t="str">
        <f t="shared" si="249"/>
        <v/>
      </c>
      <c r="AA382" s="32" t="str">
        <f t="shared" si="250"/>
        <v/>
      </c>
      <c r="AB382" s="32" t="str">
        <f t="shared" si="251"/>
        <v/>
      </c>
      <c r="AC382" s="32" t="str">
        <f t="shared" si="252"/>
        <v/>
      </c>
      <c r="AD382" s="32" t="str">
        <f t="shared" si="253"/>
        <v/>
      </c>
      <c r="AE382" s="34" t="str">
        <f t="shared" si="254"/>
        <v/>
      </c>
      <c r="AF382" s="32" t="str">
        <f t="shared" si="255"/>
        <v/>
      </c>
      <c r="AG382" s="32" t="str">
        <f t="shared" si="256"/>
        <v/>
      </c>
      <c r="AH382" s="32" t="str">
        <f t="shared" si="257"/>
        <v/>
      </c>
      <c r="AI382" s="35" t="str">
        <f t="shared" si="258"/>
        <v/>
      </c>
      <c r="AJ382" s="23" t="str">
        <f t="array" ref="AJ382">IFERROR(SMALL(IF(U$1:U$1000="BEGIN",ROW(U$1:U$1000)),ROW()-3),"")</f>
        <v/>
      </c>
      <c r="AK382" s="23" t="str">
        <f t="array" ref="AK382">IFERROR(SMALL(IF(V$1:V$1000="END",ROW(V$1:V$1000)),ROW()-3),"")</f>
        <v/>
      </c>
      <c r="AL382" s="24" t="str">
        <f t="array" ref="AL382">IF(AK382="","",MATCH(AM382,L:L,0))</f>
        <v/>
      </c>
      <c r="AM382" s="35">
        <f t="array" ref="AM382">MAX(IF((B$4:B$1000&lt;=AK382)*(B$4:B$1000&gt;=AJ382),L$4:L$1000, ""))</f>
        <v>0</v>
      </c>
      <c r="AN382" s="32" t="str">
        <f t="shared" si="265"/>
        <v/>
      </c>
      <c r="AO382" s="32" t="str">
        <f t="shared" si="266"/>
        <v/>
      </c>
      <c r="AP382" s="32" t="str">
        <f t="shared" si="267"/>
        <v/>
      </c>
      <c r="AQ382" s="32" t="str">
        <f t="shared" si="268"/>
        <v/>
      </c>
      <c r="AR382" s="32" t="str">
        <f t="shared" si="269"/>
        <v/>
      </c>
      <c r="AS382" s="32" t="str">
        <f t="shared" si="270"/>
        <v/>
      </c>
      <c r="AT382" s="32" t="str">
        <f t="shared" si="271"/>
        <v/>
      </c>
      <c r="AU382" s="34" t="str">
        <f t="shared" si="272"/>
        <v/>
      </c>
      <c r="AV382" s="32" t="str">
        <f t="shared" si="273"/>
        <v/>
      </c>
      <c r="AW382" s="32" t="str">
        <f t="shared" si="274"/>
        <v/>
      </c>
      <c r="AX382" s="32" t="str">
        <f t="shared" si="275"/>
        <v/>
      </c>
      <c r="AY382" s="32" t="str">
        <f t="shared" si="276"/>
        <v/>
      </c>
    </row>
    <row r="383" spans="1:51" x14ac:dyDescent="0.25">
      <c r="A383" s="24" t="str">
        <f t="shared" si="234"/>
        <v/>
      </c>
      <c r="B383" s="24" t="str">
        <f t="shared" si="244"/>
        <v/>
      </c>
      <c r="C383" s="32" t="str">
        <f t="shared" si="235"/>
        <v/>
      </c>
      <c r="D383" s="24" t="str">
        <f t="shared" si="236"/>
        <v/>
      </c>
      <c r="E383" s="24" t="str">
        <f t="shared" si="237"/>
        <v/>
      </c>
      <c r="F383" s="32" t="str">
        <f t="shared" si="238"/>
        <v/>
      </c>
      <c r="G383" s="32" t="str">
        <f t="shared" si="239"/>
        <v/>
      </c>
      <c r="H383" s="32" t="str">
        <f t="shared" ca="1" si="240"/>
        <v/>
      </c>
      <c r="I383" s="32" t="str">
        <f t="shared" ca="1" si="245"/>
        <v/>
      </c>
      <c r="J383" s="32" t="str">
        <f t="shared" si="241"/>
        <v/>
      </c>
      <c r="K383" s="32" t="str">
        <f>IF(ISNUMBER(A383),Profile!$V$25+Profile!$V$24*'Ri-Po'!C383,"")</f>
        <v/>
      </c>
      <c r="L383" s="32" t="str">
        <f t="shared" si="246"/>
        <v/>
      </c>
      <c r="M383" s="32" t="str">
        <f t="shared" si="242"/>
        <v/>
      </c>
      <c r="N383" s="32" t="str">
        <f t="shared" si="243"/>
        <v/>
      </c>
      <c r="O383" s="32" t="str">
        <f t="shared" si="259"/>
        <v/>
      </c>
      <c r="P383" s="32" t="str">
        <f t="shared" si="247"/>
        <v/>
      </c>
      <c r="Q383" s="32" t="str">
        <f t="shared" si="248"/>
        <v/>
      </c>
      <c r="R383" s="32" t="str">
        <f t="shared" si="260"/>
        <v/>
      </c>
      <c r="S383" s="24" t="str">
        <f t="shared" si="261"/>
        <v/>
      </c>
      <c r="T383" s="24" t="str">
        <f t="shared" si="262"/>
        <v/>
      </c>
      <c r="U383" s="24" t="str">
        <f t="shared" si="263"/>
        <v/>
      </c>
      <c r="V383" s="24" t="str">
        <f t="shared" si="264"/>
        <v/>
      </c>
      <c r="W383" s="23" t="str">
        <f t="array" ref="W383">IFERROR(SMALL(IF(S$1:S$1000="BEGIN",ROW(S$1:S$1000)),ROW()-3),"")</f>
        <v/>
      </c>
      <c r="X383" s="23" t="str">
        <f t="array" ref="X383">IFERROR(SMALL(IF(T$1:T$1000="END",ROW(T$1:T$1000)),ROW()-3),"")</f>
        <v/>
      </c>
      <c r="Y383" s="33" t="str">
        <f t="array" ref="Y383">IF(ISNUMBER(W383),MAX(IF((B$4:B$1000&lt;=X383)*(B$4:B$1000&gt;=W383),I$4:I$1000, "")),"")</f>
        <v/>
      </c>
      <c r="Z383" s="33" t="str">
        <f t="shared" si="249"/>
        <v/>
      </c>
      <c r="AA383" s="32" t="str">
        <f t="shared" si="250"/>
        <v/>
      </c>
      <c r="AB383" s="32" t="str">
        <f t="shared" si="251"/>
        <v/>
      </c>
      <c r="AC383" s="32" t="str">
        <f t="shared" si="252"/>
        <v/>
      </c>
      <c r="AD383" s="32" t="str">
        <f t="shared" si="253"/>
        <v/>
      </c>
      <c r="AE383" s="34" t="str">
        <f t="shared" si="254"/>
        <v/>
      </c>
      <c r="AF383" s="32" t="str">
        <f t="shared" si="255"/>
        <v/>
      </c>
      <c r="AG383" s="32" t="str">
        <f t="shared" si="256"/>
        <v/>
      </c>
      <c r="AH383" s="32" t="str">
        <f t="shared" si="257"/>
        <v/>
      </c>
      <c r="AI383" s="35" t="str">
        <f t="shared" si="258"/>
        <v/>
      </c>
      <c r="AJ383" s="23" t="str">
        <f t="array" ref="AJ383">IFERROR(SMALL(IF(U$1:U$1000="BEGIN",ROW(U$1:U$1000)),ROW()-3),"")</f>
        <v/>
      </c>
      <c r="AK383" s="23" t="str">
        <f t="array" ref="AK383">IFERROR(SMALL(IF(V$1:V$1000="END",ROW(V$1:V$1000)),ROW()-3),"")</f>
        <v/>
      </c>
      <c r="AL383" s="24" t="str">
        <f t="array" ref="AL383">IF(AK383="","",MATCH(AM383,L:L,0))</f>
        <v/>
      </c>
      <c r="AM383" s="35">
        <f t="array" ref="AM383">MAX(IF((B$4:B$1000&lt;=AK383)*(B$4:B$1000&gt;=AJ383),L$4:L$1000, ""))</f>
        <v>0</v>
      </c>
      <c r="AN383" s="32" t="str">
        <f t="shared" si="265"/>
        <v/>
      </c>
      <c r="AO383" s="32" t="str">
        <f t="shared" si="266"/>
        <v/>
      </c>
      <c r="AP383" s="32" t="str">
        <f t="shared" si="267"/>
        <v/>
      </c>
      <c r="AQ383" s="32" t="str">
        <f t="shared" si="268"/>
        <v/>
      </c>
      <c r="AR383" s="32" t="str">
        <f t="shared" si="269"/>
        <v/>
      </c>
      <c r="AS383" s="32" t="str">
        <f t="shared" si="270"/>
        <v/>
      </c>
      <c r="AT383" s="32" t="str">
        <f t="shared" si="271"/>
        <v/>
      </c>
      <c r="AU383" s="34" t="str">
        <f t="shared" si="272"/>
        <v/>
      </c>
      <c r="AV383" s="32" t="str">
        <f t="shared" si="273"/>
        <v/>
      </c>
      <c r="AW383" s="32" t="str">
        <f t="shared" si="274"/>
        <v/>
      </c>
      <c r="AX383" s="32" t="str">
        <f t="shared" si="275"/>
        <v/>
      </c>
      <c r="AY383" s="32" t="str">
        <f t="shared" si="276"/>
        <v/>
      </c>
    </row>
    <row r="384" spans="1:51" x14ac:dyDescent="0.25">
      <c r="A384" s="24" t="str">
        <f t="shared" si="234"/>
        <v/>
      </c>
      <c r="B384" s="24" t="str">
        <f t="shared" si="244"/>
        <v/>
      </c>
      <c r="C384" s="32" t="str">
        <f t="shared" si="235"/>
        <v/>
      </c>
      <c r="D384" s="24" t="str">
        <f t="shared" si="236"/>
        <v/>
      </c>
      <c r="E384" s="24" t="str">
        <f t="shared" si="237"/>
        <v/>
      </c>
      <c r="F384" s="32" t="str">
        <f t="shared" si="238"/>
        <v/>
      </c>
      <c r="G384" s="32" t="str">
        <f t="shared" si="239"/>
        <v/>
      </c>
      <c r="H384" s="32" t="str">
        <f t="shared" ca="1" si="240"/>
        <v/>
      </c>
      <c r="I384" s="32" t="str">
        <f t="shared" ca="1" si="245"/>
        <v/>
      </c>
      <c r="J384" s="32" t="str">
        <f t="shared" si="241"/>
        <v/>
      </c>
      <c r="K384" s="32" t="str">
        <f>IF(ISNUMBER(A384),Profile!$V$25+Profile!$V$24*'Ri-Po'!C384,"")</f>
        <v/>
      </c>
      <c r="L384" s="32" t="str">
        <f t="shared" si="246"/>
        <v/>
      </c>
      <c r="M384" s="32" t="str">
        <f t="shared" si="242"/>
        <v/>
      </c>
      <c r="N384" s="32" t="str">
        <f t="shared" si="243"/>
        <v/>
      </c>
      <c r="O384" s="32" t="str">
        <f t="shared" si="259"/>
        <v/>
      </c>
      <c r="P384" s="32" t="str">
        <f t="shared" si="247"/>
        <v/>
      </c>
      <c r="Q384" s="32" t="str">
        <f t="shared" si="248"/>
        <v/>
      </c>
      <c r="R384" s="32" t="str">
        <f t="shared" si="260"/>
        <v/>
      </c>
      <c r="S384" s="24" t="str">
        <f t="shared" si="261"/>
        <v/>
      </c>
      <c r="T384" s="24" t="str">
        <f t="shared" si="262"/>
        <v/>
      </c>
      <c r="U384" s="24" t="str">
        <f t="shared" si="263"/>
        <v/>
      </c>
      <c r="V384" s="24" t="str">
        <f t="shared" si="264"/>
        <v/>
      </c>
      <c r="W384" s="23" t="str">
        <f t="array" ref="W384">IFERROR(SMALL(IF(S$1:S$1000="BEGIN",ROW(S$1:S$1000)),ROW()-3),"")</f>
        <v/>
      </c>
      <c r="X384" s="23" t="str">
        <f t="array" ref="X384">IFERROR(SMALL(IF(T$1:T$1000="END",ROW(T$1:T$1000)),ROW()-3),"")</f>
        <v/>
      </c>
      <c r="Y384" s="33" t="str">
        <f t="array" ref="Y384">IF(ISNUMBER(W384),MAX(IF((B$4:B$1000&lt;=X384)*(B$4:B$1000&gt;=W384),I$4:I$1000, "")),"")</f>
        <v/>
      </c>
      <c r="Z384" s="33" t="str">
        <f t="shared" si="249"/>
        <v/>
      </c>
      <c r="AA384" s="32" t="str">
        <f t="shared" si="250"/>
        <v/>
      </c>
      <c r="AB384" s="32" t="str">
        <f t="shared" si="251"/>
        <v/>
      </c>
      <c r="AC384" s="32" t="str">
        <f t="shared" si="252"/>
        <v/>
      </c>
      <c r="AD384" s="32" t="str">
        <f t="shared" si="253"/>
        <v/>
      </c>
      <c r="AE384" s="34" t="str">
        <f t="shared" si="254"/>
        <v/>
      </c>
      <c r="AF384" s="32" t="str">
        <f t="shared" si="255"/>
        <v/>
      </c>
      <c r="AG384" s="32" t="str">
        <f t="shared" si="256"/>
        <v/>
      </c>
      <c r="AH384" s="32" t="str">
        <f t="shared" si="257"/>
        <v/>
      </c>
      <c r="AI384" s="35" t="str">
        <f t="shared" si="258"/>
        <v/>
      </c>
      <c r="AJ384" s="23" t="str">
        <f t="array" ref="AJ384">IFERROR(SMALL(IF(U$1:U$1000="BEGIN",ROW(U$1:U$1000)),ROW()-3),"")</f>
        <v/>
      </c>
      <c r="AK384" s="23" t="str">
        <f t="array" ref="AK384">IFERROR(SMALL(IF(V$1:V$1000="END",ROW(V$1:V$1000)),ROW()-3),"")</f>
        <v/>
      </c>
      <c r="AL384" s="24" t="str">
        <f t="array" ref="AL384">IF(AK384="","",MATCH(AM384,L:L,0))</f>
        <v/>
      </c>
      <c r="AM384" s="35">
        <f t="array" ref="AM384">MAX(IF((B$4:B$1000&lt;=AK384)*(B$4:B$1000&gt;=AJ384),L$4:L$1000, ""))</f>
        <v>0</v>
      </c>
      <c r="AN384" s="32" t="str">
        <f t="shared" si="265"/>
        <v/>
      </c>
      <c r="AO384" s="32" t="str">
        <f t="shared" si="266"/>
        <v/>
      </c>
      <c r="AP384" s="32" t="str">
        <f t="shared" si="267"/>
        <v/>
      </c>
      <c r="AQ384" s="32" t="str">
        <f t="shared" si="268"/>
        <v/>
      </c>
      <c r="AR384" s="32" t="str">
        <f t="shared" si="269"/>
        <v/>
      </c>
      <c r="AS384" s="32" t="str">
        <f t="shared" si="270"/>
        <v/>
      </c>
      <c r="AT384" s="32" t="str">
        <f t="shared" si="271"/>
        <v/>
      </c>
      <c r="AU384" s="34" t="str">
        <f t="shared" si="272"/>
        <v/>
      </c>
      <c r="AV384" s="32" t="str">
        <f t="shared" si="273"/>
        <v/>
      </c>
      <c r="AW384" s="32" t="str">
        <f t="shared" si="274"/>
        <v/>
      </c>
      <c r="AX384" s="32" t="str">
        <f t="shared" si="275"/>
        <v/>
      </c>
      <c r="AY384" s="32" t="str">
        <f t="shared" si="276"/>
        <v/>
      </c>
    </row>
    <row r="385" spans="1:51" x14ac:dyDescent="0.25">
      <c r="A385" s="24" t="str">
        <f t="shared" si="234"/>
        <v/>
      </c>
      <c r="B385" s="24" t="str">
        <f t="shared" si="244"/>
        <v/>
      </c>
      <c r="C385" s="32" t="str">
        <f t="shared" si="235"/>
        <v/>
      </c>
      <c r="D385" s="24" t="str">
        <f t="shared" si="236"/>
        <v/>
      </c>
      <c r="E385" s="24" t="str">
        <f t="shared" si="237"/>
        <v/>
      </c>
      <c r="F385" s="32" t="str">
        <f t="shared" si="238"/>
        <v/>
      </c>
      <c r="G385" s="32" t="str">
        <f t="shared" si="239"/>
        <v/>
      </c>
      <c r="H385" s="32" t="str">
        <f t="shared" ca="1" si="240"/>
        <v/>
      </c>
      <c r="I385" s="32" t="str">
        <f t="shared" ca="1" si="245"/>
        <v/>
      </c>
      <c r="J385" s="32" t="str">
        <f t="shared" si="241"/>
        <v/>
      </c>
      <c r="K385" s="32" t="str">
        <f>IF(ISNUMBER(A385),Profile!$V$25+Profile!$V$24*'Ri-Po'!C385,"")</f>
        <v/>
      </c>
      <c r="L385" s="32" t="str">
        <f t="shared" si="246"/>
        <v/>
      </c>
      <c r="M385" s="32" t="str">
        <f t="shared" si="242"/>
        <v/>
      </c>
      <c r="N385" s="32" t="str">
        <f t="shared" si="243"/>
        <v/>
      </c>
      <c r="O385" s="32" t="str">
        <f t="shared" si="259"/>
        <v/>
      </c>
      <c r="P385" s="32" t="str">
        <f t="shared" si="247"/>
        <v/>
      </c>
      <c r="Q385" s="32" t="str">
        <f t="shared" si="248"/>
        <v/>
      </c>
      <c r="R385" s="32" t="str">
        <f t="shared" si="260"/>
        <v/>
      </c>
      <c r="S385" s="24" t="str">
        <f t="shared" si="261"/>
        <v/>
      </c>
      <c r="T385" s="24" t="str">
        <f t="shared" si="262"/>
        <v/>
      </c>
      <c r="U385" s="24" t="str">
        <f t="shared" si="263"/>
        <v/>
      </c>
      <c r="V385" s="24" t="str">
        <f t="shared" si="264"/>
        <v/>
      </c>
      <c r="W385" s="23" t="str">
        <f t="array" ref="W385">IFERROR(SMALL(IF(S$1:S$1000="BEGIN",ROW(S$1:S$1000)),ROW()-3),"")</f>
        <v/>
      </c>
      <c r="X385" s="23" t="str">
        <f t="array" ref="X385">IFERROR(SMALL(IF(T$1:T$1000="END",ROW(T$1:T$1000)),ROW()-3),"")</f>
        <v/>
      </c>
      <c r="Y385" s="33" t="str">
        <f t="array" ref="Y385">IF(ISNUMBER(W385),MAX(IF((B$4:B$1000&lt;=X385)*(B$4:B$1000&gt;=W385),I$4:I$1000, "")),"")</f>
        <v/>
      </c>
      <c r="Z385" s="33" t="str">
        <f t="shared" si="249"/>
        <v/>
      </c>
      <c r="AA385" s="32" t="str">
        <f t="shared" si="250"/>
        <v/>
      </c>
      <c r="AB385" s="32" t="str">
        <f t="shared" si="251"/>
        <v/>
      </c>
      <c r="AC385" s="32" t="str">
        <f t="shared" si="252"/>
        <v/>
      </c>
      <c r="AD385" s="32" t="str">
        <f t="shared" si="253"/>
        <v/>
      </c>
      <c r="AE385" s="34" t="str">
        <f t="shared" si="254"/>
        <v/>
      </c>
      <c r="AF385" s="32" t="str">
        <f t="shared" si="255"/>
        <v/>
      </c>
      <c r="AG385" s="32" t="str">
        <f t="shared" si="256"/>
        <v/>
      </c>
      <c r="AH385" s="32" t="str">
        <f t="shared" si="257"/>
        <v/>
      </c>
      <c r="AI385" s="35" t="str">
        <f t="shared" si="258"/>
        <v/>
      </c>
      <c r="AJ385" s="23" t="str">
        <f t="array" ref="AJ385">IFERROR(SMALL(IF(U$1:U$1000="BEGIN",ROW(U$1:U$1000)),ROW()-3),"")</f>
        <v/>
      </c>
      <c r="AK385" s="23" t="str">
        <f t="array" ref="AK385">IFERROR(SMALL(IF(V$1:V$1000="END",ROW(V$1:V$1000)),ROW()-3),"")</f>
        <v/>
      </c>
      <c r="AL385" s="24" t="str">
        <f t="array" ref="AL385">IF(AK385="","",MATCH(AM385,L:L,0))</f>
        <v/>
      </c>
      <c r="AM385" s="35">
        <f t="array" ref="AM385">MAX(IF((B$4:B$1000&lt;=AK385)*(B$4:B$1000&gt;=AJ385),L$4:L$1000, ""))</f>
        <v>0</v>
      </c>
      <c r="AN385" s="32" t="str">
        <f t="shared" si="265"/>
        <v/>
      </c>
      <c r="AO385" s="32" t="str">
        <f t="shared" si="266"/>
        <v/>
      </c>
      <c r="AP385" s="32" t="str">
        <f t="shared" si="267"/>
        <v/>
      </c>
      <c r="AQ385" s="32" t="str">
        <f t="shared" si="268"/>
        <v/>
      </c>
      <c r="AR385" s="32" t="str">
        <f t="shared" si="269"/>
        <v/>
      </c>
      <c r="AS385" s="32" t="str">
        <f t="shared" si="270"/>
        <v/>
      </c>
      <c r="AT385" s="32" t="str">
        <f t="shared" si="271"/>
        <v/>
      </c>
      <c r="AU385" s="34" t="str">
        <f t="shared" si="272"/>
        <v/>
      </c>
      <c r="AV385" s="32" t="str">
        <f t="shared" si="273"/>
        <v/>
      </c>
      <c r="AW385" s="32" t="str">
        <f t="shared" si="274"/>
        <v/>
      </c>
      <c r="AX385" s="32" t="str">
        <f t="shared" si="275"/>
        <v/>
      </c>
      <c r="AY385" s="32" t="str">
        <f t="shared" si="276"/>
        <v/>
      </c>
    </row>
    <row r="386" spans="1:51" x14ac:dyDescent="0.25">
      <c r="A386" s="24" t="str">
        <f t="shared" si="234"/>
        <v/>
      </c>
      <c r="B386" s="24" t="str">
        <f t="shared" si="244"/>
        <v/>
      </c>
      <c r="C386" s="32" t="str">
        <f t="shared" si="235"/>
        <v/>
      </c>
      <c r="D386" s="24" t="str">
        <f t="shared" si="236"/>
        <v/>
      </c>
      <c r="E386" s="24" t="str">
        <f t="shared" si="237"/>
        <v/>
      </c>
      <c r="F386" s="32" t="str">
        <f t="shared" si="238"/>
        <v/>
      </c>
      <c r="G386" s="32" t="str">
        <f t="shared" si="239"/>
        <v/>
      </c>
      <c r="H386" s="32" t="str">
        <f t="shared" ca="1" si="240"/>
        <v/>
      </c>
      <c r="I386" s="32" t="str">
        <f t="shared" ca="1" si="245"/>
        <v/>
      </c>
      <c r="J386" s="32" t="str">
        <f t="shared" si="241"/>
        <v/>
      </c>
      <c r="K386" s="32" t="str">
        <f>IF(ISNUMBER(A386),Profile!$V$25+Profile!$V$24*'Ri-Po'!C386,"")</f>
        <v/>
      </c>
      <c r="L386" s="32" t="str">
        <f t="shared" si="246"/>
        <v/>
      </c>
      <c r="M386" s="32" t="str">
        <f t="shared" si="242"/>
        <v/>
      </c>
      <c r="N386" s="32" t="str">
        <f t="shared" si="243"/>
        <v/>
      </c>
      <c r="O386" s="32" t="str">
        <f t="shared" si="259"/>
        <v/>
      </c>
      <c r="P386" s="32" t="str">
        <f t="shared" si="247"/>
        <v/>
      </c>
      <c r="Q386" s="32" t="str">
        <f t="shared" si="248"/>
        <v/>
      </c>
      <c r="R386" s="32" t="str">
        <f t="shared" si="260"/>
        <v/>
      </c>
      <c r="S386" s="24" t="str">
        <f t="shared" si="261"/>
        <v/>
      </c>
      <c r="T386" s="24" t="str">
        <f t="shared" si="262"/>
        <v/>
      </c>
      <c r="U386" s="24" t="str">
        <f t="shared" si="263"/>
        <v/>
      </c>
      <c r="V386" s="24" t="str">
        <f t="shared" si="264"/>
        <v/>
      </c>
      <c r="W386" s="23" t="str">
        <f t="array" ref="W386">IFERROR(SMALL(IF(S$1:S$1000="BEGIN",ROW(S$1:S$1000)),ROW()-3),"")</f>
        <v/>
      </c>
      <c r="X386" s="23" t="str">
        <f t="array" ref="X386">IFERROR(SMALL(IF(T$1:T$1000="END",ROW(T$1:T$1000)),ROW()-3),"")</f>
        <v/>
      </c>
      <c r="Y386" s="33" t="str">
        <f t="array" ref="Y386">IF(ISNUMBER(W386),MAX(IF((B$4:B$1000&lt;=X386)*(B$4:B$1000&gt;=W386),I$4:I$1000, "")),"")</f>
        <v/>
      </c>
      <c r="Z386" s="33" t="str">
        <f t="shared" si="249"/>
        <v/>
      </c>
      <c r="AA386" s="32" t="str">
        <f t="shared" si="250"/>
        <v/>
      </c>
      <c r="AB386" s="32" t="str">
        <f t="shared" si="251"/>
        <v/>
      </c>
      <c r="AC386" s="32" t="str">
        <f t="shared" si="252"/>
        <v/>
      </c>
      <c r="AD386" s="32" t="str">
        <f t="shared" si="253"/>
        <v/>
      </c>
      <c r="AE386" s="34" t="str">
        <f t="shared" si="254"/>
        <v/>
      </c>
      <c r="AF386" s="32" t="str">
        <f t="shared" si="255"/>
        <v/>
      </c>
      <c r="AG386" s="32" t="str">
        <f t="shared" si="256"/>
        <v/>
      </c>
      <c r="AH386" s="32" t="str">
        <f t="shared" si="257"/>
        <v/>
      </c>
      <c r="AI386" s="35" t="str">
        <f t="shared" si="258"/>
        <v/>
      </c>
      <c r="AJ386" s="23" t="str">
        <f t="array" ref="AJ386">IFERROR(SMALL(IF(U$1:U$1000="BEGIN",ROW(U$1:U$1000)),ROW()-3),"")</f>
        <v/>
      </c>
      <c r="AK386" s="23" t="str">
        <f t="array" ref="AK386">IFERROR(SMALL(IF(V$1:V$1000="END",ROW(V$1:V$1000)),ROW()-3),"")</f>
        <v/>
      </c>
      <c r="AL386" s="24" t="str">
        <f t="array" ref="AL386">IF(AK386="","",MATCH(AM386,L:L,0))</f>
        <v/>
      </c>
      <c r="AM386" s="35">
        <f t="array" ref="AM386">MAX(IF((B$4:B$1000&lt;=AK386)*(B$4:B$1000&gt;=AJ386),L$4:L$1000, ""))</f>
        <v>0</v>
      </c>
      <c r="AN386" s="32" t="str">
        <f t="shared" si="265"/>
        <v/>
      </c>
      <c r="AO386" s="32" t="str">
        <f t="shared" si="266"/>
        <v/>
      </c>
      <c r="AP386" s="32" t="str">
        <f t="shared" si="267"/>
        <v/>
      </c>
      <c r="AQ386" s="32" t="str">
        <f t="shared" si="268"/>
        <v/>
      </c>
      <c r="AR386" s="32" t="str">
        <f t="shared" si="269"/>
        <v/>
      </c>
      <c r="AS386" s="32" t="str">
        <f t="shared" si="270"/>
        <v/>
      </c>
      <c r="AT386" s="32" t="str">
        <f t="shared" si="271"/>
        <v/>
      </c>
      <c r="AU386" s="34" t="str">
        <f t="shared" si="272"/>
        <v/>
      </c>
      <c r="AV386" s="32" t="str">
        <f t="shared" si="273"/>
        <v/>
      </c>
      <c r="AW386" s="32" t="str">
        <f t="shared" si="274"/>
        <v/>
      </c>
      <c r="AX386" s="32" t="str">
        <f t="shared" si="275"/>
        <v/>
      </c>
      <c r="AY386" s="32" t="str">
        <f t="shared" si="276"/>
        <v/>
      </c>
    </row>
    <row r="387" spans="1:51" x14ac:dyDescent="0.25">
      <c r="A387" s="24" t="str">
        <f t="shared" si="234"/>
        <v/>
      </c>
      <c r="B387" s="24" t="str">
        <f t="shared" si="244"/>
        <v/>
      </c>
      <c r="C387" s="32" t="str">
        <f t="shared" si="235"/>
        <v/>
      </c>
      <c r="D387" s="24" t="str">
        <f t="shared" si="236"/>
        <v/>
      </c>
      <c r="E387" s="24" t="str">
        <f t="shared" si="237"/>
        <v/>
      </c>
      <c r="F387" s="32" t="str">
        <f t="shared" si="238"/>
        <v/>
      </c>
      <c r="G387" s="32" t="str">
        <f t="shared" si="239"/>
        <v/>
      </c>
      <c r="H387" s="32" t="str">
        <f t="shared" ca="1" si="240"/>
        <v/>
      </c>
      <c r="I387" s="32" t="str">
        <f t="shared" ca="1" si="245"/>
        <v/>
      </c>
      <c r="J387" s="32" t="str">
        <f t="shared" si="241"/>
        <v/>
      </c>
      <c r="K387" s="32" t="str">
        <f>IF(ISNUMBER(A387),Profile!$V$25+Profile!$V$24*'Ri-Po'!C387,"")</f>
        <v/>
      </c>
      <c r="L387" s="32" t="str">
        <f t="shared" si="246"/>
        <v/>
      </c>
      <c r="M387" s="32" t="str">
        <f t="shared" si="242"/>
        <v/>
      </c>
      <c r="N387" s="32" t="str">
        <f t="shared" si="243"/>
        <v/>
      </c>
      <c r="O387" s="32" t="str">
        <f t="shared" si="259"/>
        <v/>
      </c>
      <c r="P387" s="32" t="str">
        <f t="shared" si="247"/>
        <v/>
      </c>
      <c r="Q387" s="32" t="str">
        <f t="shared" si="248"/>
        <v/>
      </c>
      <c r="R387" s="32" t="str">
        <f t="shared" si="260"/>
        <v/>
      </c>
      <c r="S387" s="24" t="str">
        <f t="shared" si="261"/>
        <v/>
      </c>
      <c r="T387" s="24" t="str">
        <f t="shared" si="262"/>
        <v/>
      </c>
      <c r="U387" s="24" t="str">
        <f t="shared" si="263"/>
        <v/>
      </c>
      <c r="V387" s="24" t="str">
        <f t="shared" si="264"/>
        <v/>
      </c>
      <c r="W387" s="23" t="str">
        <f t="array" ref="W387">IFERROR(SMALL(IF(S$1:S$1000="BEGIN",ROW(S$1:S$1000)),ROW()-3),"")</f>
        <v/>
      </c>
      <c r="X387" s="23" t="str">
        <f t="array" ref="X387">IFERROR(SMALL(IF(T$1:T$1000="END",ROW(T$1:T$1000)),ROW()-3),"")</f>
        <v/>
      </c>
      <c r="Y387" s="33" t="str">
        <f t="array" ref="Y387">IF(ISNUMBER(W387),MAX(IF((B$4:B$1000&lt;=X387)*(B$4:B$1000&gt;=W387),I$4:I$1000, "")),"")</f>
        <v/>
      </c>
      <c r="Z387" s="33" t="str">
        <f t="shared" si="249"/>
        <v/>
      </c>
      <c r="AA387" s="32" t="str">
        <f t="shared" si="250"/>
        <v/>
      </c>
      <c r="AB387" s="32" t="str">
        <f t="shared" si="251"/>
        <v/>
      </c>
      <c r="AC387" s="32" t="str">
        <f t="shared" si="252"/>
        <v/>
      </c>
      <c r="AD387" s="32" t="str">
        <f t="shared" si="253"/>
        <v/>
      </c>
      <c r="AE387" s="34" t="str">
        <f t="shared" si="254"/>
        <v/>
      </c>
      <c r="AF387" s="32" t="str">
        <f t="shared" si="255"/>
        <v/>
      </c>
      <c r="AG387" s="32" t="str">
        <f t="shared" si="256"/>
        <v/>
      </c>
      <c r="AH387" s="32" t="str">
        <f t="shared" si="257"/>
        <v/>
      </c>
      <c r="AI387" s="35" t="str">
        <f t="shared" si="258"/>
        <v/>
      </c>
      <c r="AJ387" s="23" t="str">
        <f t="array" ref="AJ387">IFERROR(SMALL(IF(U$1:U$1000="BEGIN",ROW(U$1:U$1000)),ROW()-3),"")</f>
        <v/>
      </c>
      <c r="AK387" s="23" t="str">
        <f t="array" ref="AK387">IFERROR(SMALL(IF(V$1:V$1000="END",ROW(V$1:V$1000)),ROW()-3),"")</f>
        <v/>
      </c>
      <c r="AL387" s="24" t="str">
        <f t="array" ref="AL387">IF(AK387="","",MATCH(AM387,L:L,0))</f>
        <v/>
      </c>
      <c r="AM387" s="35">
        <f t="array" ref="AM387">MAX(IF((B$4:B$1000&lt;=AK387)*(B$4:B$1000&gt;=AJ387),L$4:L$1000, ""))</f>
        <v>0</v>
      </c>
      <c r="AN387" s="32" t="str">
        <f t="shared" si="265"/>
        <v/>
      </c>
      <c r="AO387" s="32" t="str">
        <f t="shared" si="266"/>
        <v/>
      </c>
      <c r="AP387" s="32" t="str">
        <f t="shared" si="267"/>
        <v/>
      </c>
      <c r="AQ387" s="32" t="str">
        <f t="shared" si="268"/>
        <v/>
      </c>
      <c r="AR387" s="32" t="str">
        <f t="shared" si="269"/>
        <v/>
      </c>
      <c r="AS387" s="32" t="str">
        <f t="shared" si="270"/>
        <v/>
      </c>
      <c r="AT387" s="32" t="str">
        <f t="shared" si="271"/>
        <v/>
      </c>
      <c r="AU387" s="34" t="str">
        <f t="shared" si="272"/>
        <v/>
      </c>
      <c r="AV387" s="32" t="str">
        <f t="shared" si="273"/>
        <v/>
      </c>
      <c r="AW387" s="32" t="str">
        <f t="shared" si="274"/>
        <v/>
      </c>
      <c r="AX387" s="32" t="str">
        <f t="shared" si="275"/>
        <v/>
      </c>
      <c r="AY387" s="32" t="str">
        <f t="shared" si="276"/>
        <v/>
      </c>
    </row>
    <row r="388" spans="1:51" x14ac:dyDescent="0.25">
      <c r="A388" s="24" t="str">
        <f t="shared" ref="A388:A451" si="277">IF(NOT(ISBLANK(INDEX(currentNUM,ROW(A385)))),INDEX(currentNUM,ROW(A385)),"")</f>
        <v/>
      </c>
      <c r="B388" s="24" t="str">
        <f t="shared" si="244"/>
        <v/>
      </c>
      <c r="C388" s="32" t="str">
        <f t="shared" ref="C388:C451" si="278">IF(NOT(A388=""),INDEX(currentSTATION,ROW(C385)),"")</f>
        <v/>
      </c>
      <c r="D388" s="24" t="str">
        <f t="shared" ref="D388:D451" si="279">IF(NOT(ISBLANK(INDEX(currentDESC,ROW(D385)))),INDEX(currentDESC,ROW(D385)),"")</f>
        <v/>
      </c>
      <c r="E388" s="24" t="str">
        <f t="shared" ref="E388:E451" si="280">IF(NOT(ISBLANK(INDEX(currentCMORPH,ROW(E385)))),INDEX(currentCMORPH,ROW(E385)),"")</f>
        <v/>
      </c>
      <c r="F388" s="32" t="str">
        <f t="shared" ref="F388:F451" si="281">IF(NOT(ISBLANK(INDEX(currentTHW,ROW(F385)))),INDEX(currentTHW,ROW(F385)),"")</f>
        <v/>
      </c>
      <c r="G388" s="32" t="str">
        <f t="shared" ref="G388:G451" si="282">IF(NOT(ISBLANK(INDEX(currentWS,ROW(G385)))),INDEX(currentWS,ROW(G385)),"")</f>
        <v/>
      </c>
      <c r="H388" s="32" t="str">
        <f t="shared" ref="H388:H451" ca="1" si="283">IF(NOT(OR(ISBLANK(INDEX(currentINTERPWS,ROW(H385))),INDEX(currentINTERPWS,ROW(H385))=0)),INDEX(currentINTERPWS,ROW(H385)),"")</f>
        <v/>
      </c>
      <c r="I388" s="32" t="str">
        <f t="shared" ca="1" si="245"/>
        <v/>
      </c>
      <c r="J388" s="32" t="str">
        <f t="shared" ref="J388:J451" si="284">IF(NOT(ISBLANK(INDEX(currentBKF,ROW(G385)))),INDEX(currentBKF,ROW(G385)),"")</f>
        <v/>
      </c>
      <c r="K388" s="32" t="str">
        <f>IF(ISNUMBER(A388),Profile!$V$25+Profile!$V$24*'Ri-Po'!C388,"")</f>
        <v/>
      </c>
      <c r="L388" s="32" t="str">
        <f t="shared" si="246"/>
        <v/>
      </c>
      <c r="M388" s="32" t="str">
        <f t="shared" ref="M388:M451" si="285">IF(NOT(ISBLANK(INDEX(currentTOB,ROW(H385)))),INDEX(currentTOB,ROW(H385)),"")</f>
        <v/>
      </c>
      <c r="N388" s="32" t="str">
        <f t="shared" ref="N388:N451" si="286">IF(ISNUMBER(A388),INDEX(currentINTTOB,ROW(I385)),"")</f>
        <v/>
      </c>
      <c r="O388" s="32" t="str">
        <f t="shared" si="259"/>
        <v/>
      </c>
      <c r="P388" s="32" t="str">
        <f t="shared" si="247"/>
        <v/>
      </c>
      <c r="Q388" s="32" t="str">
        <f t="shared" si="248"/>
        <v/>
      </c>
      <c r="R388" s="32" t="str">
        <f t="shared" si="260"/>
        <v/>
      </c>
      <c r="S388" s="24" t="str">
        <f t="shared" si="261"/>
        <v/>
      </c>
      <c r="T388" s="24" t="str">
        <f t="shared" si="262"/>
        <v/>
      </c>
      <c r="U388" s="24" t="str">
        <f t="shared" si="263"/>
        <v/>
      </c>
      <c r="V388" s="24" t="str">
        <f t="shared" si="264"/>
        <v/>
      </c>
      <c r="W388" s="23" t="str">
        <f t="array" ref="W388">IFERROR(SMALL(IF(S$1:S$1000="BEGIN",ROW(S$1:S$1000)),ROW()-3),"")</f>
        <v/>
      </c>
      <c r="X388" s="23" t="str">
        <f t="array" ref="X388">IFERROR(SMALL(IF(T$1:T$1000="END",ROW(T$1:T$1000)),ROW()-3),"")</f>
        <v/>
      </c>
      <c r="Y388" s="33" t="str">
        <f t="array" ref="Y388">IF(ISNUMBER(W388),MAX(IF((B$4:B$1000&lt;=X388)*(B$4:B$1000&gt;=W388),I$4:I$1000, "")),"")</f>
        <v/>
      </c>
      <c r="Z388" s="33" t="str">
        <f t="shared" si="249"/>
        <v/>
      </c>
      <c r="AA388" s="32" t="str">
        <f t="shared" si="250"/>
        <v/>
      </c>
      <c r="AB388" s="32" t="str">
        <f t="shared" si="251"/>
        <v/>
      </c>
      <c r="AC388" s="32" t="str">
        <f t="shared" si="252"/>
        <v/>
      </c>
      <c r="AD388" s="32" t="str">
        <f t="shared" si="253"/>
        <v/>
      </c>
      <c r="AE388" s="34" t="str">
        <f t="shared" si="254"/>
        <v/>
      </c>
      <c r="AF388" s="32" t="str">
        <f t="shared" si="255"/>
        <v/>
      </c>
      <c r="AG388" s="32" t="str">
        <f t="shared" si="256"/>
        <v/>
      </c>
      <c r="AH388" s="32" t="str">
        <f t="shared" si="257"/>
        <v/>
      </c>
      <c r="AI388" s="35" t="str">
        <f t="shared" si="258"/>
        <v/>
      </c>
      <c r="AJ388" s="23" t="str">
        <f t="array" ref="AJ388">IFERROR(SMALL(IF(U$1:U$1000="BEGIN",ROW(U$1:U$1000)),ROW()-3),"")</f>
        <v/>
      </c>
      <c r="AK388" s="23" t="str">
        <f t="array" ref="AK388">IFERROR(SMALL(IF(V$1:V$1000="END",ROW(V$1:V$1000)),ROW()-3),"")</f>
        <v/>
      </c>
      <c r="AL388" s="24" t="str">
        <f t="array" ref="AL388">IF(AK388="","",MATCH(AM388,L:L,0))</f>
        <v/>
      </c>
      <c r="AM388" s="35">
        <f t="array" ref="AM388">MAX(IF((B$4:B$1000&lt;=AK388)*(B$4:B$1000&gt;=AJ388),L$4:L$1000, ""))</f>
        <v>0</v>
      </c>
      <c r="AN388" s="32" t="str">
        <f t="shared" si="265"/>
        <v/>
      </c>
      <c r="AO388" s="32" t="str">
        <f t="shared" si="266"/>
        <v/>
      </c>
      <c r="AP388" s="32" t="str">
        <f t="shared" si="267"/>
        <v/>
      </c>
      <c r="AQ388" s="32" t="str">
        <f t="shared" si="268"/>
        <v/>
      </c>
      <c r="AR388" s="32" t="str">
        <f t="shared" si="269"/>
        <v/>
      </c>
      <c r="AS388" s="32" t="str">
        <f t="shared" si="270"/>
        <v/>
      </c>
      <c r="AT388" s="32" t="str">
        <f t="shared" si="271"/>
        <v/>
      </c>
      <c r="AU388" s="34" t="str">
        <f t="shared" si="272"/>
        <v/>
      </c>
      <c r="AV388" s="32" t="str">
        <f t="shared" si="273"/>
        <v/>
      </c>
      <c r="AW388" s="32" t="str">
        <f t="shared" si="274"/>
        <v/>
      </c>
      <c r="AX388" s="32" t="str">
        <f t="shared" si="275"/>
        <v/>
      </c>
      <c r="AY388" s="32" t="str">
        <f t="shared" si="276"/>
        <v/>
      </c>
    </row>
    <row r="389" spans="1:51" x14ac:dyDescent="0.25">
      <c r="A389" s="24" t="str">
        <f t="shared" si="277"/>
        <v/>
      </c>
      <c r="B389" s="24" t="str">
        <f t="shared" ref="B389:B452" si="287">IF(NOT(A389=""),ROW(B389),"")</f>
        <v/>
      </c>
      <c r="C389" s="32" t="str">
        <f t="shared" si="278"/>
        <v/>
      </c>
      <c r="D389" s="24" t="str">
        <f t="shared" si="279"/>
        <v/>
      </c>
      <c r="E389" s="24" t="str">
        <f t="shared" si="280"/>
        <v/>
      </c>
      <c r="F389" s="32" t="str">
        <f t="shared" si="281"/>
        <v/>
      </c>
      <c r="G389" s="32" t="str">
        <f t="shared" si="282"/>
        <v/>
      </c>
      <c r="H389" s="32" t="str">
        <f t="shared" ca="1" si="283"/>
        <v/>
      </c>
      <c r="I389" s="32" t="str">
        <f t="shared" ref="I389:I452" ca="1" si="288">IFERROR(IF(H389-F389&gt;=0,H389-F389,"NEG"),"")</f>
        <v/>
      </c>
      <c r="J389" s="32" t="str">
        <f t="shared" si="284"/>
        <v/>
      </c>
      <c r="K389" s="32" t="str">
        <f>IF(ISNUMBER(A389),Profile!$V$25+Profile!$V$24*'Ri-Po'!C389,"")</f>
        <v/>
      </c>
      <c r="L389" s="32" t="str">
        <f t="shared" ref="L389:L452" si="289">IFERROR(K389-F389,"")</f>
        <v/>
      </c>
      <c r="M389" s="32" t="str">
        <f t="shared" si="285"/>
        <v/>
      </c>
      <c r="N389" s="32" t="str">
        <f t="shared" si="286"/>
        <v/>
      </c>
      <c r="O389" s="32" t="str">
        <f t="shared" si="259"/>
        <v/>
      </c>
      <c r="P389" s="32" t="str">
        <f t="shared" ref="P389:P452" si="290">IF(ISNUMBER(A389),K389-F389,"")</f>
        <v/>
      </c>
      <c r="Q389" s="32" t="str">
        <f t="shared" ref="Q389:Q452" si="291">IF(ISNUMBER(A389),N389-F389,"")</f>
        <v/>
      </c>
      <c r="R389" s="32" t="str">
        <f t="shared" si="260"/>
        <v/>
      </c>
      <c r="S389" s="24" t="str">
        <f t="shared" si="261"/>
        <v/>
      </c>
      <c r="T389" s="24" t="str">
        <f t="shared" si="262"/>
        <v/>
      </c>
      <c r="U389" s="24" t="str">
        <f t="shared" si="263"/>
        <v/>
      </c>
      <c r="V389" s="24" t="str">
        <f t="shared" si="264"/>
        <v/>
      </c>
      <c r="W389" s="23" t="str">
        <f t="array" ref="W389">IFERROR(SMALL(IF(S$1:S$1000="BEGIN",ROW(S$1:S$1000)),ROW()-3),"")</f>
        <v/>
      </c>
      <c r="X389" s="23" t="str">
        <f t="array" ref="X389">IFERROR(SMALL(IF(T$1:T$1000="END",ROW(T$1:T$1000)),ROW()-3),"")</f>
        <v/>
      </c>
      <c r="Y389" s="33" t="str">
        <f t="array" ref="Y389">IF(ISNUMBER(W389),MAX(IF((B$4:B$1000&lt;=X389)*(B$4:B$1000&gt;=W389),I$4:I$1000, "")),"")</f>
        <v/>
      </c>
      <c r="Z389" s="33" t="str">
        <f t="shared" ref="Z389:Z452" si="292">IFERROR(INDEX(C:C,W389),"")</f>
        <v/>
      </c>
      <c r="AA389" s="32" t="str">
        <f t="shared" ref="AA389:AA452" si="293">IFERROR(INDEX(C:C,X389),"")</f>
        <v/>
      </c>
      <c r="AB389" s="32" t="str">
        <f t="shared" ref="AB389:AB452" si="294">IFERROR(AA389-Z389,"")</f>
        <v/>
      </c>
      <c r="AC389" s="32" t="str">
        <f t="shared" ref="AC389:AC452" si="295">IFERROR(INDEX(H:H,W389),"")</f>
        <v/>
      </c>
      <c r="AD389" s="32" t="str">
        <f t="shared" ref="AD389:AD452" si="296">IFERROR(INDEX(H:H,X389),"")</f>
        <v/>
      </c>
      <c r="AE389" s="34" t="str">
        <f t="shared" ref="AE389:AE452" si="297">IFERROR((AC389-AD389)/(AB389),"")</f>
        <v/>
      </c>
      <c r="AF389" s="32" t="str">
        <f t="shared" ref="AF389:AF452" si="298">IF(ISNUMBER(Z389),INDEX($Q$1:$Q$1000,W389),"")</f>
        <v/>
      </c>
      <c r="AG389" s="32" t="str">
        <f t="shared" ref="AG389:AG452" si="299">IF(ISNUMBER(Z389),INDEX($P$1:$P$1000,W389),"")</f>
        <v/>
      </c>
      <c r="AH389" s="32" t="str">
        <f t="shared" ref="AH389:AH452" si="300">IF(ISNUMBER(Z389),AF389/AG389,"")</f>
        <v/>
      </c>
      <c r="AI389" s="35" t="str">
        <f t="shared" ref="AI389:AI452" si="301">IFERROR(AE389/BB$19,"")</f>
        <v/>
      </c>
      <c r="AJ389" s="23" t="str">
        <f t="array" ref="AJ389">IFERROR(SMALL(IF(U$1:U$1000="BEGIN",ROW(U$1:U$1000)),ROW()-3),"")</f>
        <v/>
      </c>
      <c r="AK389" s="23" t="str">
        <f t="array" ref="AK389">IFERROR(SMALL(IF(V$1:V$1000="END",ROW(V$1:V$1000)),ROW()-3),"")</f>
        <v/>
      </c>
      <c r="AL389" s="24" t="str">
        <f t="array" ref="AL389">IF(AK389="","",MATCH(AM389,L:L,0))</f>
        <v/>
      </c>
      <c r="AM389" s="35">
        <f t="array" ref="AM389">MAX(IF((B$4:B$1000&lt;=AK389)*(B$4:B$1000&gt;=AJ389),L$4:L$1000, ""))</f>
        <v>0</v>
      </c>
      <c r="AN389" s="32" t="str">
        <f t="shared" si="265"/>
        <v/>
      </c>
      <c r="AO389" s="32" t="str">
        <f t="shared" si="266"/>
        <v/>
      </c>
      <c r="AP389" s="32" t="str">
        <f t="shared" si="267"/>
        <v/>
      </c>
      <c r="AQ389" s="32" t="str">
        <f t="shared" si="268"/>
        <v/>
      </c>
      <c r="AR389" s="32" t="str">
        <f t="shared" si="269"/>
        <v/>
      </c>
      <c r="AS389" s="32" t="str">
        <f t="shared" si="270"/>
        <v/>
      </c>
      <c r="AT389" s="32" t="str">
        <f t="shared" si="271"/>
        <v/>
      </c>
      <c r="AU389" s="34" t="str">
        <f t="shared" si="272"/>
        <v/>
      </c>
      <c r="AV389" s="32" t="str">
        <f t="shared" si="273"/>
        <v/>
      </c>
      <c r="AW389" s="32" t="str">
        <f t="shared" si="274"/>
        <v/>
      </c>
      <c r="AX389" s="32" t="str">
        <f t="shared" si="275"/>
        <v/>
      </c>
      <c r="AY389" s="32" t="str">
        <f t="shared" si="276"/>
        <v/>
      </c>
    </row>
    <row r="390" spans="1:51" x14ac:dyDescent="0.25">
      <c r="A390" s="24" t="str">
        <f t="shared" si="277"/>
        <v/>
      </c>
      <c r="B390" s="24" t="str">
        <f t="shared" si="287"/>
        <v/>
      </c>
      <c r="C390" s="32" t="str">
        <f t="shared" si="278"/>
        <v/>
      </c>
      <c r="D390" s="24" t="str">
        <f t="shared" si="279"/>
        <v/>
      </c>
      <c r="E390" s="24" t="str">
        <f t="shared" si="280"/>
        <v/>
      </c>
      <c r="F390" s="32" t="str">
        <f t="shared" si="281"/>
        <v/>
      </c>
      <c r="G390" s="32" t="str">
        <f t="shared" si="282"/>
        <v/>
      </c>
      <c r="H390" s="32" t="str">
        <f t="shared" ca="1" si="283"/>
        <v/>
      </c>
      <c r="I390" s="32" t="str">
        <f t="shared" ca="1" si="288"/>
        <v/>
      </c>
      <c r="J390" s="32" t="str">
        <f t="shared" si="284"/>
        <v/>
      </c>
      <c r="K390" s="32" t="str">
        <f>IF(ISNUMBER(A390),Profile!$V$25+Profile!$V$24*'Ri-Po'!C390,"")</f>
        <v/>
      </c>
      <c r="L390" s="32" t="str">
        <f t="shared" si="289"/>
        <v/>
      </c>
      <c r="M390" s="32" t="str">
        <f t="shared" si="285"/>
        <v/>
      </c>
      <c r="N390" s="32" t="str">
        <f t="shared" si="286"/>
        <v/>
      </c>
      <c r="O390" s="32" t="str">
        <f t="shared" ref="O390:O453" si="302">IF(AND(ISNUMBER(G390),ISNUMBER(J390)),J390-G390,"")</f>
        <v/>
      </c>
      <c r="P390" s="32" t="str">
        <f t="shared" si="290"/>
        <v/>
      </c>
      <c r="Q390" s="32" t="str">
        <f t="shared" si="291"/>
        <v/>
      </c>
      <c r="R390" s="32" t="str">
        <f t="shared" ref="R390:R453" si="303">IF(ISNUMBER(Q390),Q390/P390,"")</f>
        <v/>
      </c>
      <c r="S390" s="24" t="str">
        <f t="shared" ref="S390:S453" si="304">IF(ISNUMBER(SEARCH("bri",E390)),"BEGIN","")</f>
        <v/>
      </c>
      <c r="T390" s="24" t="str">
        <f t="shared" ref="T390:T453" si="305">IF(ISNUMBER(SEARCH("eri",E390)),"END","")</f>
        <v/>
      </c>
      <c r="U390" s="24" t="str">
        <f t="shared" ref="U390:U453" si="306">IF(ISNUMBER(SEARCH("bpo",E390)),"BEGIN","")</f>
        <v/>
      </c>
      <c r="V390" s="24" t="str">
        <f t="shared" ref="V390:V453" si="307">IF(ISNUMBER(SEARCH("epo",E390)),"END","")</f>
        <v/>
      </c>
      <c r="W390" s="23" t="str">
        <f t="array" ref="W390">IFERROR(SMALL(IF(S$1:S$1000="BEGIN",ROW(S$1:S$1000)),ROW()-3),"")</f>
        <v/>
      </c>
      <c r="X390" s="23" t="str">
        <f t="array" ref="X390">IFERROR(SMALL(IF(T$1:T$1000="END",ROW(T$1:T$1000)),ROW()-3),"")</f>
        <v/>
      </c>
      <c r="Y390" s="33" t="str">
        <f t="array" ref="Y390">IF(ISNUMBER(W390),MAX(IF((B$4:B$1000&lt;=X390)*(B$4:B$1000&gt;=W390),I$4:I$1000, "")),"")</f>
        <v/>
      </c>
      <c r="Z390" s="33" t="str">
        <f t="shared" si="292"/>
        <v/>
      </c>
      <c r="AA390" s="32" t="str">
        <f t="shared" si="293"/>
        <v/>
      </c>
      <c r="AB390" s="32" t="str">
        <f t="shared" si="294"/>
        <v/>
      </c>
      <c r="AC390" s="32" t="str">
        <f t="shared" si="295"/>
        <v/>
      </c>
      <c r="AD390" s="32" t="str">
        <f t="shared" si="296"/>
        <v/>
      </c>
      <c r="AE390" s="34" t="str">
        <f t="shared" si="297"/>
        <v/>
      </c>
      <c r="AF390" s="32" t="str">
        <f t="shared" si="298"/>
        <v/>
      </c>
      <c r="AG390" s="32" t="str">
        <f t="shared" si="299"/>
        <v/>
      </c>
      <c r="AH390" s="32" t="str">
        <f t="shared" si="300"/>
        <v/>
      </c>
      <c r="AI390" s="35" t="str">
        <f t="shared" si="301"/>
        <v/>
      </c>
      <c r="AJ390" s="23" t="str">
        <f t="array" ref="AJ390">IFERROR(SMALL(IF(U$1:U$1000="BEGIN",ROW(U$1:U$1000)),ROW()-3),"")</f>
        <v/>
      </c>
      <c r="AK390" s="23" t="str">
        <f t="array" ref="AK390">IFERROR(SMALL(IF(V$1:V$1000="END",ROW(V$1:V$1000)),ROW()-3),"")</f>
        <v/>
      </c>
      <c r="AL390" s="24" t="str">
        <f t="array" ref="AL390">IF(AK390="","",MATCH(AM390,L:L,0))</f>
        <v/>
      </c>
      <c r="AM390" s="35">
        <f t="array" ref="AM390">MAX(IF((B$4:B$1000&lt;=AK390)*(B$4:B$1000&gt;=AJ390),L$4:L$1000, ""))</f>
        <v>0</v>
      </c>
      <c r="AN390" s="32" t="str">
        <f t="shared" si="265"/>
        <v/>
      </c>
      <c r="AO390" s="32" t="str">
        <f t="shared" si="266"/>
        <v/>
      </c>
      <c r="AP390" s="32" t="str">
        <f t="shared" si="267"/>
        <v/>
      </c>
      <c r="AQ390" s="32" t="str">
        <f t="shared" si="268"/>
        <v/>
      </c>
      <c r="AR390" s="32" t="str">
        <f t="shared" si="269"/>
        <v/>
      </c>
      <c r="AS390" s="32" t="str">
        <f t="shared" si="270"/>
        <v/>
      </c>
      <c r="AT390" s="32" t="str">
        <f t="shared" si="271"/>
        <v/>
      </c>
      <c r="AU390" s="34" t="str">
        <f t="shared" si="272"/>
        <v/>
      </c>
      <c r="AV390" s="32" t="str">
        <f t="shared" si="273"/>
        <v/>
      </c>
      <c r="AW390" s="32" t="str">
        <f t="shared" si="274"/>
        <v/>
      </c>
      <c r="AX390" s="32" t="str">
        <f t="shared" si="275"/>
        <v/>
      </c>
      <c r="AY390" s="32" t="str">
        <f t="shared" si="276"/>
        <v/>
      </c>
    </row>
    <row r="391" spans="1:51" x14ac:dyDescent="0.25">
      <c r="A391" s="24" t="str">
        <f t="shared" si="277"/>
        <v/>
      </c>
      <c r="B391" s="24" t="str">
        <f t="shared" si="287"/>
        <v/>
      </c>
      <c r="C391" s="32" t="str">
        <f t="shared" si="278"/>
        <v/>
      </c>
      <c r="D391" s="24" t="str">
        <f t="shared" si="279"/>
        <v/>
      </c>
      <c r="E391" s="24" t="str">
        <f t="shared" si="280"/>
        <v/>
      </c>
      <c r="F391" s="32" t="str">
        <f t="shared" si="281"/>
        <v/>
      </c>
      <c r="G391" s="32" t="str">
        <f t="shared" si="282"/>
        <v/>
      </c>
      <c r="H391" s="32" t="str">
        <f t="shared" ca="1" si="283"/>
        <v/>
      </c>
      <c r="I391" s="32" t="str">
        <f t="shared" ca="1" si="288"/>
        <v/>
      </c>
      <c r="J391" s="32" t="str">
        <f t="shared" si="284"/>
        <v/>
      </c>
      <c r="K391" s="32" t="str">
        <f>IF(ISNUMBER(A391),Profile!$V$25+Profile!$V$24*'Ri-Po'!C391,"")</f>
        <v/>
      </c>
      <c r="L391" s="32" t="str">
        <f t="shared" si="289"/>
        <v/>
      </c>
      <c r="M391" s="32" t="str">
        <f t="shared" si="285"/>
        <v/>
      </c>
      <c r="N391" s="32" t="str">
        <f t="shared" si="286"/>
        <v/>
      </c>
      <c r="O391" s="32" t="str">
        <f t="shared" si="302"/>
        <v/>
      </c>
      <c r="P391" s="32" t="str">
        <f t="shared" si="290"/>
        <v/>
      </c>
      <c r="Q391" s="32" t="str">
        <f t="shared" si="291"/>
        <v/>
      </c>
      <c r="R391" s="32" t="str">
        <f t="shared" si="303"/>
        <v/>
      </c>
      <c r="S391" s="24" t="str">
        <f t="shared" si="304"/>
        <v/>
      </c>
      <c r="T391" s="24" t="str">
        <f t="shared" si="305"/>
        <v/>
      </c>
      <c r="U391" s="24" t="str">
        <f t="shared" si="306"/>
        <v/>
      </c>
      <c r="V391" s="24" t="str">
        <f t="shared" si="307"/>
        <v/>
      </c>
      <c r="W391" s="23" t="str">
        <f t="array" ref="W391">IFERROR(SMALL(IF(S$1:S$1000="BEGIN",ROW(S$1:S$1000)),ROW()-3),"")</f>
        <v/>
      </c>
      <c r="X391" s="23" t="str">
        <f t="array" ref="X391">IFERROR(SMALL(IF(T$1:T$1000="END",ROW(T$1:T$1000)),ROW()-3),"")</f>
        <v/>
      </c>
      <c r="Y391" s="33" t="str">
        <f t="array" ref="Y391">IF(ISNUMBER(W391),MAX(IF((B$4:B$1000&lt;=X391)*(B$4:B$1000&gt;=W391),I$4:I$1000, "")),"")</f>
        <v/>
      </c>
      <c r="Z391" s="33" t="str">
        <f t="shared" si="292"/>
        <v/>
      </c>
      <c r="AA391" s="32" t="str">
        <f t="shared" si="293"/>
        <v/>
      </c>
      <c r="AB391" s="32" t="str">
        <f t="shared" si="294"/>
        <v/>
      </c>
      <c r="AC391" s="32" t="str">
        <f t="shared" si="295"/>
        <v/>
      </c>
      <c r="AD391" s="32" t="str">
        <f t="shared" si="296"/>
        <v/>
      </c>
      <c r="AE391" s="34" t="str">
        <f t="shared" si="297"/>
        <v/>
      </c>
      <c r="AF391" s="32" t="str">
        <f t="shared" si="298"/>
        <v/>
      </c>
      <c r="AG391" s="32" t="str">
        <f t="shared" si="299"/>
        <v/>
      </c>
      <c r="AH391" s="32" t="str">
        <f t="shared" si="300"/>
        <v/>
      </c>
      <c r="AI391" s="35" t="str">
        <f t="shared" si="301"/>
        <v/>
      </c>
      <c r="AJ391" s="23" t="str">
        <f t="array" ref="AJ391">IFERROR(SMALL(IF(U$1:U$1000="BEGIN",ROW(U$1:U$1000)),ROW()-3),"")</f>
        <v/>
      </c>
      <c r="AK391" s="23" t="str">
        <f t="array" ref="AK391">IFERROR(SMALL(IF(V$1:V$1000="END",ROW(V$1:V$1000)),ROW()-3),"")</f>
        <v/>
      </c>
      <c r="AL391" s="24" t="str">
        <f t="array" ref="AL391">IF(AK391="","",MATCH(AM391,L:L,0))</f>
        <v/>
      </c>
      <c r="AM391" s="35">
        <f t="array" ref="AM391">MAX(IF((B$4:B$1000&lt;=AK391)*(B$4:B$1000&gt;=AJ391),L$4:L$1000, ""))</f>
        <v>0</v>
      </c>
      <c r="AN391" s="32" t="str">
        <f t="shared" si="265"/>
        <v/>
      </c>
      <c r="AO391" s="32" t="str">
        <f t="shared" si="266"/>
        <v/>
      </c>
      <c r="AP391" s="32" t="str">
        <f t="shared" si="267"/>
        <v/>
      </c>
      <c r="AQ391" s="32" t="str">
        <f t="shared" si="268"/>
        <v/>
      </c>
      <c r="AR391" s="32" t="str">
        <f t="shared" si="269"/>
        <v/>
      </c>
      <c r="AS391" s="32" t="str">
        <f t="shared" si="270"/>
        <v/>
      </c>
      <c r="AT391" s="32" t="str">
        <f t="shared" si="271"/>
        <v/>
      </c>
      <c r="AU391" s="34" t="str">
        <f t="shared" si="272"/>
        <v/>
      </c>
      <c r="AV391" s="32" t="str">
        <f t="shared" si="273"/>
        <v/>
      </c>
      <c r="AW391" s="32" t="str">
        <f t="shared" si="274"/>
        <v/>
      </c>
      <c r="AX391" s="32" t="str">
        <f t="shared" si="275"/>
        <v/>
      </c>
      <c r="AY391" s="32" t="str">
        <f t="shared" si="276"/>
        <v/>
      </c>
    </row>
    <row r="392" spans="1:51" x14ac:dyDescent="0.25">
      <c r="A392" s="24" t="str">
        <f t="shared" si="277"/>
        <v/>
      </c>
      <c r="B392" s="24" t="str">
        <f t="shared" si="287"/>
        <v/>
      </c>
      <c r="C392" s="32" t="str">
        <f t="shared" si="278"/>
        <v/>
      </c>
      <c r="D392" s="24" t="str">
        <f t="shared" si="279"/>
        <v/>
      </c>
      <c r="E392" s="24" t="str">
        <f t="shared" si="280"/>
        <v/>
      </c>
      <c r="F392" s="32" t="str">
        <f t="shared" si="281"/>
        <v/>
      </c>
      <c r="G392" s="32" t="str">
        <f t="shared" si="282"/>
        <v/>
      </c>
      <c r="H392" s="32" t="str">
        <f t="shared" ca="1" si="283"/>
        <v/>
      </c>
      <c r="I392" s="32" t="str">
        <f t="shared" ca="1" si="288"/>
        <v/>
      </c>
      <c r="J392" s="32" t="str">
        <f t="shared" si="284"/>
        <v/>
      </c>
      <c r="K392" s="32" t="str">
        <f>IF(ISNUMBER(A392),Profile!$V$25+Profile!$V$24*'Ri-Po'!C392,"")</f>
        <v/>
      </c>
      <c r="L392" s="32" t="str">
        <f t="shared" si="289"/>
        <v/>
      </c>
      <c r="M392" s="32" t="str">
        <f t="shared" si="285"/>
        <v/>
      </c>
      <c r="N392" s="32" t="str">
        <f t="shared" si="286"/>
        <v/>
      </c>
      <c r="O392" s="32" t="str">
        <f t="shared" si="302"/>
        <v/>
      </c>
      <c r="P392" s="32" t="str">
        <f t="shared" si="290"/>
        <v/>
      </c>
      <c r="Q392" s="32" t="str">
        <f t="shared" si="291"/>
        <v/>
      </c>
      <c r="R392" s="32" t="str">
        <f t="shared" si="303"/>
        <v/>
      </c>
      <c r="S392" s="24" t="str">
        <f t="shared" si="304"/>
        <v/>
      </c>
      <c r="T392" s="24" t="str">
        <f t="shared" si="305"/>
        <v/>
      </c>
      <c r="U392" s="24" t="str">
        <f t="shared" si="306"/>
        <v/>
      </c>
      <c r="V392" s="24" t="str">
        <f t="shared" si="307"/>
        <v/>
      </c>
      <c r="W392" s="23" t="str">
        <f t="array" ref="W392">IFERROR(SMALL(IF(S$1:S$1000="BEGIN",ROW(S$1:S$1000)),ROW()-3),"")</f>
        <v/>
      </c>
      <c r="X392" s="23" t="str">
        <f t="array" ref="X392">IFERROR(SMALL(IF(T$1:T$1000="END",ROW(T$1:T$1000)),ROW()-3),"")</f>
        <v/>
      </c>
      <c r="Y392" s="33" t="str">
        <f t="array" ref="Y392">IF(ISNUMBER(W392),MAX(IF((B$4:B$1000&lt;=X392)*(B$4:B$1000&gt;=W392),I$4:I$1000, "")),"")</f>
        <v/>
      </c>
      <c r="Z392" s="33" t="str">
        <f t="shared" si="292"/>
        <v/>
      </c>
      <c r="AA392" s="32" t="str">
        <f t="shared" si="293"/>
        <v/>
      </c>
      <c r="AB392" s="32" t="str">
        <f t="shared" si="294"/>
        <v/>
      </c>
      <c r="AC392" s="32" t="str">
        <f t="shared" si="295"/>
        <v/>
      </c>
      <c r="AD392" s="32" t="str">
        <f t="shared" si="296"/>
        <v/>
      </c>
      <c r="AE392" s="34" t="str">
        <f t="shared" si="297"/>
        <v/>
      </c>
      <c r="AF392" s="32" t="str">
        <f t="shared" si="298"/>
        <v/>
      </c>
      <c r="AG392" s="32" t="str">
        <f t="shared" si="299"/>
        <v/>
      </c>
      <c r="AH392" s="32" t="str">
        <f t="shared" si="300"/>
        <v/>
      </c>
      <c r="AI392" s="35" t="str">
        <f t="shared" si="301"/>
        <v/>
      </c>
      <c r="AJ392" s="23" t="str">
        <f t="array" ref="AJ392">IFERROR(SMALL(IF(U$1:U$1000="BEGIN",ROW(U$1:U$1000)),ROW()-3),"")</f>
        <v/>
      </c>
      <c r="AK392" s="23" t="str">
        <f t="array" ref="AK392">IFERROR(SMALL(IF(V$1:V$1000="END",ROW(V$1:V$1000)),ROW()-3),"")</f>
        <v/>
      </c>
      <c r="AL392" s="24" t="str">
        <f t="array" ref="AL392">IF(AK392="","",MATCH(AM392,L:L,0))</f>
        <v/>
      </c>
      <c r="AM392" s="35">
        <f t="array" ref="AM392">MAX(IF((B$4:B$1000&lt;=AK392)*(B$4:B$1000&gt;=AJ392),L$4:L$1000, ""))</f>
        <v>0</v>
      </c>
      <c r="AN392" s="32" t="str">
        <f t="shared" si="265"/>
        <v/>
      </c>
      <c r="AO392" s="32" t="str">
        <f t="shared" si="266"/>
        <v/>
      </c>
      <c r="AP392" s="32" t="str">
        <f t="shared" si="267"/>
        <v/>
      </c>
      <c r="AQ392" s="32" t="str">
        <f t="shared" si="268"/>
        <v/>
      </c>
      <c r="AR392" s="32" t="str">
        <f t="shared" si="269"/>
        <v/>
      </c>
      <c r="AS392" s="32" t="str">
        <f t="shared" si="270"/>
        <v/>
      </c>
      <c r="AT392" s="32" t="str">
        <f t="shared" si="271"/>
        <v/>
      </c>
      <c r="AU392" s="34" t="str">
        <f t="shared" si="272"/>
        <v/>
      </c>
      <c r="AV392" s="32" t="str">
        <f t="shared" si="273"/>
        <v/>
      </c>
      <c r="AW392" s="32" t="str">
        <f t="shared" si="274"/>
        <v/>
      </c>
      <c r="AX392" s="32" t="str">
        <f t="shared" si="275"/>
        <v/>
      </c>
      <c r="AY392" s="32" t="str">
        <f t="shared" si="276"/>
        <v/>
      </c>
    </row>
    <row r="393" spans="1:51" x14ac:dyDescent="0.25">
      <c r="A393" s="24" t="str">
        <f t="shared" si="277"/>
        <v/>
      </c>
      <c r="B393" s="24" t="str">
        <f t="shared" si="287"/>
        <v/>
      </c>
      <c r="C393" s="32" t="str">
        <f t="shared" si="278"/>
        <v/>
      </c>
      <c r="D393" s="24" t="str">
        <f t="shared" si="279"/>
        <v/>
      </c>
      <c r="E393" s="24" t="str">
        <f t="shared" si="280"/>
        <v/>
      </c>
      <c r="F393" s="32" t="str">
        <f t="shared" si="281"/>
        <v/>
      </c>
      <c r="G393" s="32" t="str">
        <f t="shared" si="282"/>
        <v/>
      </c>
      <c r="H393" s="32" t="str">
        <f t="shared" ca="1" si="283"/>
        <v/>
      </c>
      <c r="I393" s="32" t="str">
        <f t="shared" ca="1" si="288"/>
        <v/>
      </c>
      <c r="J393" s="32" t="str">
        <f t="shared" si="284"/>
        <v/>
      </c>
      <c r="K393" s="32" t="str">
        <f>IF(ISNUMBER(A393),Profile!$V$25+Profile!$V$24*'Ri-Po'!C393,"")</f>
        <v/>
      </c>
      <c r="L393" s="32" t="str">
        <f t="shared" si="289"/>
        <v/>
      </c>
      <c r="M393" s="32" t="str">
        <f t="shared" si="285"/>
        <v/>
      </c>
      <c r="N393" s="32" t="str">
        <f t="shared" si="286"/>
        <v/>
      </c>
      <c r="O393" s="32" t="str">
        <f t="shared" si="302"/>
        <v/>
      </c>
      <c r="P393" s="32" t="str">
        <f t="shared" si="290"/>
        <v/>
      </c>
      <c r="Q393" s="32" t="str">
        <f t="shared" si="291"/>
        <v/>
      </c>
      <c r="R393" s="32" t="str">
        <f t="shared" si="303"/>
        <v/>
      </c>
      <c r="S393" s="24" t="str">
        <f t="shared" si="304"/>
        <v/>
      </c>
      <c r="T393" s="24" t="str">
        <f t="shared" si="305"/>
        <v/>
      </c>
      <c r="U393" s="24" t="str">
        <f t="shared" si="306"/>
        <v/>
      </c>
      <c r="V393" s="24" t="str">
        <f t="shared" si="307"/>
        <v/>
      </c>
      <c r="W393" s="23" t="str">
        <f t="array" ref="W393">IFERROR(SMALL(IF(S$1:S$1000="BEGIN",ROW(S$1:S$1000)),ROW()-3),"")</f>
        <v/>
      </c>
      <c r="X393" s="23" t="str">
        <f t="array" ref="X393">IFERROR(SMALL(IF(T$1:T$1000="END",ROW(T$1:T$1000)),ROW()-3),"")</f>
        <v/>
      </c>
      <c r="Y393" s="33" t="str">
        <f t="array" ref="Y393">IF(ISNUMBER(W393),MAX(IF((B$4:B$1000&lt;=X393)*(B$4:B$1000&gt;=W393),I$4:I$1000, "")),"")</f>
        <v/>
      </c>
      <c r="Z393" s="33" t="str">
        <f t="shared" si="292"/>
        <v/>
      </c>
      <c r="AA393" s="32" t="str">
        <f t="shared" si="293"/>
        <v/>
      </c>
      <c r="AB393" s="32" t="str">
        <f t="shared" si="294"/>
        <v/>
      </c>
      <c r="AC393" s="32" t="str">
        <f t="shared" si="295"/>
        <v/>
      </c>
      <c r="AD393" s="32" t="str">
        <f t="shared" si="296"/>
        <v/>
      </c>
      <c r="AE393" s="34" t="str">
        <f t="shared" si="297"/>
        <v/>
      </c>
      <c r="AF393" s="32" t="str">
        <f t="shared" si="298"/>
        <v/>
      </c>
      <c r="AG393" s="32" t="str">
        <f t="shared" si="299"/>
        <v/>
      </c>
      <c r="AH393" s="32" t="str">
        <f t="shared" si="300"/>
        <v/>
      </c>
      <c r="AI393" s="35" t="str">
        <f t="shared" si="301"/>
        <v/>
      </c>
      <c r="AJ393" s="23" t="str">
        <f t="array" ref="AJ393">IFERROR(SMALL(IF(U$1:U$1000="BEGIN",ROW(U$1:U$1000)),ROW()-3),"")</f>
        <v/>
      </c>
      <c r="AK393" s="23" t="str">
        <f t="array" ref="AK393">IFERROR(SMALL(IF(V$1:V$1000="END",ROW(V$1:V$1000)),ROW()-3),"")</f>
        <v/>
      </c>
      <c r="AL393" s="24" t="str">
        <f t="array" ref="AL393">IF(AK393="","",MATCH(AM393,L:L,0))</f>
        <v/>
      </c>
      <c r="AM393" s="35">
        <f t="array" ref="AM393">MAX(IF((B$4:B$1000&lt;=AK393)*(B$4:B$1000&gt;=AJ393),L$4:L$1000, ""))</f>
        <v>0</v>
      </c>
      <c r="AN393" s="32" t="str">
        <f t="shared" si="265"/>
        <v/>
      </c>
      <c r="AO393" s="32" t="str">
        <f t="shared" si="266"/>
        <v/>
      </c>
      <c r="AP393" s="32" t="str">
        <f t="shared" si="267"/>
        <v/>
      </c>
      <c r="AQ393" s="32" t="str">
        <f t="shared" si="268"/>
        <v/>
      </c>
      <c r="AR393" s="32" t="str">
        <f t="shared" si="269"/>
        <v/>
      </c>
      <c r="AS393" s="32" t="str">
        <f t="shared" si="270"/>
        <v/>
      </c>
      <c r="AT393" s="32" t="str">
        <f t="shared" si="271"/>
        <v/>
      </c>
      <c r="AU393" s="34" t="str">
        <f t="shared" si="272"/>
        <v/>
      </c>
      <c r="AV393" s="32" t="str">
        <f t="shared" si="273"/>
        <v/>
      </c>
      <c r="AW393" s="32" t="str">
        <f t="shared" si="274"/>
        <v/>
      </c>
      <c r="AX393" s="32" t="str">
        <f t="shared" si="275"/>
        <v/>
      </c>
      <c r="AY393" s="32" t="str">
        <f t="shared" si="276"/>
        <v/>
      </c>
    </row>
    <row r="394" spans="1:51" x14ac:dyDescent="0.25">
      <c r="A394" s="24" t="str">
        <f t="shared" si="277"/>
        <v/>
      </c>
      <c r="B394" s="24" t="str">
        <f t="shared" si="287"/>
        <v/>
      </c>
      <c r="C394" s="32" t="str">
        <f t="shared" si="278"/>
        <v/>
      </c>
      <c r="D394" s="24" t="str">
        <f t="shared" si="279"/>
        <v/>
      </c>
      <c r="E394" s="24" t="str">
        <f t="shared" si="280"/>
        <v/>
      </c>
      <c r="F394" s="32" t="str">
        <f t="shared" si="281"/>
        <v/>
      </c>
      <c r="G394" s="32" t="str">
        <f t="shared" si="282"/>
        <v/>
      </c>
      <c r="H394" s="32" t="str">
        <f t="shared" ca="1" si="283"/>
        <v/>
      </c>
      <c r="I394" s="32" t="str">
        <f t="shared" ca="1" si="288"/>
        <v/>
      </c>
      <c r="J394" s="32" t="str">
        <f t="shared" si="284"/>
        <v/>
      </c>
      <c r="K394" s="32" t="str">
        <f>IF(ISNUMBER(A394),Profile!$V$25+Profile!$V$24*'Ri-Po'!C394,"")</f>
        <v/>
      </c>
      <c r="L394" s="32" t="str">
        <f t="shared" si="289"/>
        <v/>
      </c>
      <c r="M394" s="32" t="str">
        <f t="shared" si="285"/>
        <v/>
      </c>
      <c r="N394" s="32" t="str">
        <f t="shared" si="286"/>
        <v/>
      </c>
      <c r="O394" s="32" t="str">
        <f t="shared" si="302"/>
        <v/>
      </c>
      <c r="P394" s="32" t="str">
        <f t="shared" si="290"/>
        <v/>
      </c>
      <c r="Q394" s="32" t="str">
        <f t="shared" si="291"/>
        <v/>
      </c>
      <c r="R394" s="32" t="str">
        <f t="shared" si="303"/>
        <v/>
      </c>
      <c r="S394" s="24" t="str">
        <f t="shared" si="304"/>
        <v/>
      </c>
      <c r="T394" s="24" t="str">
        <f t="shared" si="305"/>
        <v/>
      </c>
      <c r="U394" s="24" t="str">
        <f t="shared" si="306"/>
        <v/>
      </c>
      <c r="V394" s="24" t="str">
        <f t="shared" si="307"/>
        <v/>
      </c>
      <c r="W394" s="23" t="str">
        <f t="array" ref="W394">IFERROR(SMALL(IF(S$1:S$1000="BEGIN",ROW(S$1:S$1000)),ROW()-3),"")</f>
        <v/>
      </c>
      <c r="X394" s="23" t="str">
        <f t="array" ref="X394">IFERROR(SMALL(IF(T$1:T$1000="END",ROW(T$1:T$1000)),ROW()-3),"")</f>
        <v/>
      </c>
      <c r="Y394" s="33" t="str">
        <f t="array" ref="Y394">IF(ISNUMBER(W394),MAX(IF((B$4:B$1000&lt;=X394)*(B$4:B$1000&gt;=W394),I$4:I$1000, "")),"")</f>
        <v/>
      </c>
      <c r="Z394" s="33" t="str">
        <f t="shared" si="292"/>
        <v/>
      </c>
      <c r="AA394" s="32" t="str">
        <f t="shared" si="293"/>
        <v/>
      </c>
      <c r="AB394" s="32" t="str">
        <f t="shared" si="294"/>
        <v/>
      </c>
      <c r="AC394" s="32" t="str">
        <f t="shared" si="295"/>
        <v/>
      </c>
      <c r="AD394" s="32" t="str">
        <f t="shared" si="296"/>
        <v/>
      </c>
      <c r="AE394" s="34" t="str">
        <f t="shared" si="297"/>
        <v/>
      </c>
      <c r="AF394" s="32" t="str">
        <f t="shared" si="298"/>
        <v/>
      </c>
      <c r="AG394" s="32" t="str">
        <f t="shared" si="299"/>
        <v/>
      </c>
      <c r="AH394" s="32" t="str">
        <f t="shared" si="300"/>
        <v/>
      </c>
      <c r="AI394" s="35" t="str">
        <f t="shared" si="301"/>
        <v/>
      </c>
      <c r="AJ394" s="23" t="str">
        <f t="array" ref="AJ394">IFERROR(SMALL(IF(U$1:U$1000="BEGIN",ROW(U$1:U$1000)),ROW()-3),"")</f>
        <v/>
      </c>
      <c r="AK394" s="23" t="str">
        <f t="array" ref="AK394">IFERROR(SMALL(IF(V$1:V$1000="END",ROW(V$1:V$1000)),ROW()-3),"")</f>
        <v/>
      </c>
      <c r="AL394" s="24" t="str">
        <f t="array" ref="AL394">IF(AK394="","",MATCH(AM394,L:L,0))</f>
        <v/>
      </c>
      <c r="AM394" s="35">
        <f t="array" ref="AM394">MAX(IF((B$4:B$1000&lt;=AK394)*(B$4:B$1000&gt;=AJ394),L$4:L$1000, ""))</f>
        <v>0</v>
      </c>
      <c r="AN394" s="32" t="str">
        <f t="shared" si="265"/>
        <v/>
      </c>
      <c r="AO394" s="32" t="str">
        <f t="shared" si="266"/>
        <v/>
      </c>
      <c r="AP394" s="32" t="str">
        <f t="shared" si="267"/>
        <v/>
      </c>
      <c r="AQ394" s="32" t="str">
        <f t="shared" si="268"/>
        <v/>
      </c>
      <c r="AR394" s="32" t="str">
        <f t="shared" si="269"/>
        <v/>
      </c>
      <c r="AS394" s="32" t="str">
        <f t="shared" si="270"/>
        <v/>
      </c>
      <c r="AT394" s="32" t="str">
        <f t="shared" si="271"/>
        <v/>
      </c>
      <c r="AU394" s="34" t="str">
        <f t="shared" si="272"/>
        <v/>
      </c>
      <c r="AV394" s="32" t="str">
        <f t="shared" si="273"/>
        <v/>
      </c>
      <c r="AW394" s="32" t="str">
        <f t="shared" si="274"/>
        <v/>
      </c>
      <c r="AX394" s="32" t="str">
        <f t="shared" si="275"/>
        <v/>
      </c>
      <c r="AY394" s="32" t="str">
        <f t="shared" si="276"/>
        <v/>
      </c>
    </row>
    <row r="395" spans="1:51" x14ac:dyDescent="0.25">
      <c r="A395" s="24" t="str">
        <f t="shared" si="277"/>
        <v/>
      </c>
      <c r="B395" s="24" t="str">
        <f t="shared" si="287"/>
        <v/>
      </c>
      <c r="C395" s="32" t="str">
        <f t="shared" si="278"/>
        <v/>
      </c>
      <c r="D395" s="24" t="str">
        <f t="shared" si="279"/>
        <v/>
      </c>
      <c r="E395" s="24" t="str">
        <f t="shared" si="280"/>
        <v/>
      </c>
      <c r="F395" s="32" t="str">
        <f t="shared" si="281"/>
        <v/>
      </c>
      <c r="G395" s="32" t="str">
        <f t="shared" si="282"/>
        <v/>
      </c>
      <c r="H395" s="32" t="str">
        <f t="shared" ca="1" si="283"/>
        <v/>
      </c>
      <c r="I395" s="32" t="str">
        <f t="shared" ca="1" si="288"/>
        <v/>
      </c>
      <c r="J395" s="32" t="str">
        <f t="shared" si="284"/>
        <v/>
      </c>
      <c r="K395" s="32" t="str">
        <f>IF(ISNUMBER(A395),Profile!$V$25+Profile!$V$24*'Ri-Po'!C395,"")</f>
        <v/>
      </c>
      <c r="L395" s="32" t="str">
        <f t="shared" si="289"/>
        <v/>
      </c>
      <c r="M395" s="32" t="str">
        <f t="shared" si="285"/>
        <v/>
      </c>
      <c r="N395" s="32" t="str">
        <f t="shared" si="286"/>
        <v/>
      </c>
      <c r="O395" s="32" t="str">
        <f t="shared" si="302"/>
        <v/>
      </c>
      <c r="P395" s="32" t="str">
        <f t="shared" si="290"/>
        <v/>
      </c>
      <c r="Q395" s="32" t="str">
        <f t="shared" si="291"/>
        <v/>
      </c>
      <c r="R395" s="32" t="str">
        <f t="shared" si="303"/>
        <v/>
      </c>
      <c r="S395" s="24" t="str">
        <f t="shared" si="304"/>
        <v/>
      </c>
      <c r="T395" s="24" t="str">
        <f t="shared" si="305"/>
        <v/>
      </c>
      <c r="U395" s="24" t="str">
        <f t="shared" si="306"/>
        <v/>
      </c>
      <c r="V395" s="24" t="str">
        <f t="shared" si="307"/>
        <v/>
      </c>
      <c r="W395" s="23" t="str">
        <f t="array" ref="W395">IFERROR(SMALL(IF(S$1:S$1000="BEGIN",ROW(S$1:S$1000)),ROW()-3),"")</f>
        <v/>
      </c>
      <c r="X395" s="23" t="str">
        <f t="array" ref="X395">IFERROR(SMALL(IF(T$1:T$1000="END",ROW(T$1:T$1000)),ROW()-3),"")</f>
        <v/>
      </c>
      <c r="Y395" s="33" t="str">
        <f t="array" ref="Y395">IF(ISNUMBER(W395),MAX(IF((B$4:B$1000&lt;=X395)*(B$4:B$1000&gt;=W395),I$4:I$1000, "")),"")</f>
        <v/>
      </c>
      <c r="Z395" s="33" t="str">
        <f t="shared" si="292"/>
        <v/>
      </c>
      <c r="AA395" s="32" t="str">
        <f t="shared" si="293"/>
        <v/>
      </c>
      <c r="AB395" s="32" t="str">
        <f t="shared" si="294"/>
        <v/>
      </c>
      <c r="AC395" s="32" t="str">
        <f t="shared" si="295"/>
        <v/>
      </c>
      <c r="AD395" s="32" t="str">
        <f t="shared" si="296"/>
        <v/>
      </c>
      <c r="AE395" s="34" t="str">
        <f t="shared" si="297"/>
        <v/>
      </c>
      <c r="AF395" s="32" t="str">
        <f t="shared" si="298"/>
        <v/>
      </c>
      <c r="AG395" s="32" t="str">
        <f t="shared" si="299"/>
        <v/>
      </c>
      <c r="AH395" s="32" t="str">
        <f t="shared" si="300"/>
        <v/>
      </c>
      <c r="AI395" s="35" t="str">
        <f t="shared" si="301"/>
        <v/>
      </c>
      <c r="AJ395" s="23" t="str">
        <f t="array" ref="AJ395">IFERROR(SMALL(IF(U$1:U$1000="BEGIN",ROW(U$1:U$1000)),ROW()-3),"")</f>
        <v/>
      </c>
      <c r="AK395" s="23" t="str">
        <f t="array" ref="AK395">IFERROR(SMALL(IF(V$1:V$1000="END",ROW(V$1:V$1000)),ROW()-3),"")</f>
        <v/>
      </c>
      <c r="AL395" s="24" t="str">
        <f t="array" ref="AL395">IF(AK395="","",MATCH(AM395,L:L,0))</f>
        <v/>
      </c>
      <c r="AM395" s="35">
        <f t="array" ref="AM395">MAX(IF((B$4:B$1000&lt;=AK395)*(B$4:B$1000&gt;=AJ395),L$4:L$1000, ""))</f>
        <v>0</v>
      </c>
      <c r="AN395" s="32" t="str">
        <f t="shared" si="265"/>
        <v/>
      </c>
      <c r="AO395" s="32" t="str">
        <f t="shared" si="266"/>
        <v/>
      </c>
      <c r="AP395" s="32" t="str">
        <f t="shared" si="267"/>
        <v/>
      </c>
      <c r="AQ395" s="32" t="str">
        <f t="shared" si="268"/>
        <v/>
      </c>
      <c r="AR395" s="32" t="str">
        <f t="shared" si="269"/>
        <v/>
      </c>
      <c r="AS395" s="32" t="str">
        <f t="shared" si="270"/>
        <v/>
      </c>
      <c r="AT395" s="32" t="str">
        <f t="shared" si="271"/>
        <v/>
      </c>
      <c r="AU395" s="34" t="str">
        <f t="shared" si="272"/>
        <v/>
      </c>
      <c r="AV395" s="32" t="str">
        <f t="shared" si="273"/>
        <v/>
      </c>
      <c r="AW395" s="32" t="str">
        <f t="shared" si="274"/>
        <v/>
      </c>
      <c r="AX395" s="32" t="str">
        <f t="shared" si="275"/>
        <v/>
      </c>
      <c r="AY395" s="32" t="str">
        <f t="shared" si="276"/>
        <v/>
      </c>
    </row>
    <row r="396" spans="1:51" x14ac:dyDescent="0.25">
      <c r="A396" s="24" t="str">
        <f t="shared" si="277"/>
        <v/>
      </c>
      <c r="B396" s="24" t="str">
        <f t="shared" si="287"/>
        <v/>
      </c>
      <c r="C396" s="32" t="str">
        <f t="shared" si="278"/>
        <v/>
      </c>
      <c r="D396" s="24" t="str">
        <f t="shared" si="279"/>
        <v/>
      </c>
      <c r="E396" s="24" t="str">
        <f t="shared" si="280"/>
        <v/>
      </c>
      <c r="F396" s="32" t="str">
        <f t="shared" si="281"/>
        <v/>
      </c>
      <c r="G396" s="32" t="str">
        <f t="shared" si="282"/>
        <v/>
      </c>
      <c r="H396" s="32" t="str">
        <f t="shared" ca="1" si="283"/>
        <v/>
      </c>
      <c r="I396" s="32" t="str">
        <f t="shared" ca="1" si="288"/>
        <v/>
      </c>
      <c r="J396" s="32" t="str">
        <f t="shared" si="284"/>
        <v/>
      </c>
      <c r="K396" s="32" t="str">
        <f>IF(ISNUMBER(A396),Profile!$V$25+Profile!$V$24*'Ri-Po'!C396,"")</f>
        <v/>
      </c>
      <c r="L396" s="32" t="str">
        <f t="shared" si="289"/>
        <v/>
      </c>
      <c r="M396" s="32" t="str">
        <f t="shared" si="285"/>
        <v/>
      </c>
      <c r="N396" s="32" t="str">
        <f t="shared" si="286"/>
        <v/>
      </c>
      <c r="O396" s="32" t="str">
        <f t="shared" si="302"/>
        <v/>
      </c>
      <c r="P396" s="32" t="str">
        <f t="shared" si="290"/>
        <v/>
      </c>
      <c r="Q396" s="32" t="str">
        <f t="shared" si="291"/>
        <v/>
      </c>
      <c r="R396" s="32" t="str">
        <f t="shared" si="303"/>
        <v/>
      </c>
      <c r="S396" s="24" t="str">
        <f t="shared" si="304"/>
        <v/>
      </c>
      <c r="T396" s="24" t="str">
        <f t="shared" si="305"/>
        <v/>
      </c>
      <c r="U396" s="24" t="str">
        <f t="shared" si="306"/>
        <v/>
      </c>
      <c r="V396" s="24" t="str">
        <f t="shared" si="307"/>
        <v/>
      </c>
      <c r="W396" s="23" t="str">
        <f t="array" ref="W396">IFERROR(SMALL(IF(S$1:S$1000="BEGIN",ROW(S$1:S$1000)),ROW()-3),"")</f>
        <v/>
      </c>
      <c r="X396" s="23" t="str">
        <f t="array" ref="X396">IFERROR(SMALL(IF(T$1:T$1000="END",ROW(T$1:T$1000)),ROW()-3),"")</f>
        <v/>
      </c>
      <c r="Y396" s="33" t="str">
        <f t="array" ref="Y396">IF(ISNUMBER(W396),MAX(IF((B$4:B$1000&lt;=X396)*(B$4:B$1000&gt;=W396),I$4:I$1000, "")),"")</f>
        <v/>
      </c>
      <c r="Z396" s="33" t="str">
        <f t="shared" si="292"/>
        <v/>
      </c>
      <c r="AA396" s="32" t="str">
        <f t="shared" si="293"/>
        <v/>
      </c>
      <c r="AB396" s="32" t="str">
        <f t="shared" si="294"/>
        <v/>
      </c>
      <c r="AC396" s="32" t="str">
        <f t="shared" si="295"/>
        <v/>
      </c>
      <c r="AD396" s="32" t="str">
        <f t="shared" si="296"/>
        <v/>
      </c>
      <c r="AE396" s="34" t="str">
        <f t="shared" si="297"/>
        <v/>
      </c>
      <c r="AF396" s="32" t="str">
        <f t="shared" si="298"/>
        <v/>
      </c>
      <c r="AG396" s="32" t="str">
        <f t="shared" si="299"/>
        <v/>
      </c>
      <c r="AH396" s="32" t="str">
        <f t="shared" si="300"/>
        <v/>
      </c>
      <c r="AI396" s="35" t="str">
        <f t="shared" si="301"/>
        <v/>
      </c>
      <c r="AJ396" s="23" t="str">
        <f t="array" ref="AJ396">IFERROR(SMALL(IF(U$1:U$1000="BEGIN",ROW(U$1:U$1000)),ROW()-3),"")</f>
        <v/>
      </c>
      <c r="AK396" s="23" t="str">
        <f t="array" ref="AK396">IFERROR(SMALL(IF(V$1:V$1000="END",ROW(V$1:V$1000)),ROW()-3),"")</f>
        <v/>
      </c>
      <c r="AL396" s="24" t="str">
        <f t="array" ref="AL396">IF(AK396="","",MATCH(AM396,L:L,0))</f>
        <v/>
      </c>
      <c r="AM396" s="35">
        <f t="array" ref="AM396">MAX(IF((B$4:B$1000&lt;=AK396)*(B$4:B$1000&gt;=AJ396),L$4:L$1000, ""))</f>
        <v>0</v>
      </c>
      <c r="AN396" s="32" t="str">
        <f t="shared" si="265"/>
        <v/>
      </c>
      <c r="AO396" s="32" t="str">
        <f t="shared" si="266"/>
        <v/>
      </c>
      <c r="AP396" s="32" t="str">
        <f t="shared" si="267"/>
        <v/>
      </c>
      <c r="AQ396" s="32" t="str">
        <f t="shared" si="268"/>
        <v/>
      </c>
      <c r="AR396" s="32" t="str">
        <f t="shared" si="269"/>
        <v/>
      </c>
      <c r="AS396" s="32" t="str">
        <f t="shared" si="270"/>
        <v/>
      </c>
      <c r="AT396" s="32" t="str">
        <f t="shared" si="271"/>
        <v/>
      </c>
      <c r="AU396" s="34" t="str">
        <f t="shared" si="272"/>
        <v/>
      </c>
      <c r="AV396" s="32" t="str">
        <f t="shared" si="273"/>
        <v/>
      </c>
      <c r="AW396" s="32" t="str">
        <f t="shared" si="274"/>
        <v/>
      </c>
      <c r="AX396" s="32" t="str">
        <f t="shared" si="275"/>
        <v/>
      </c>
      <c r="AY396" s="32" t="str">
        <f t="shared" si="276"/>
        <v/>
      </c>
    </row>
    <row r="397" spans="1:51" x14ac:dyDescent="0.25">
      <c r="A397" s="24" t="str">
        <f t="shared" si="277"/>
        <v/>
      </c>
      <c r="B397" s="24" t="str">
        <f t="shared" si="287"/>
        <v/>
      </c>
      <c r="C397" s="32" t="str">
        <f t="shared" si="278"/>
        <v/>
      </c>
      <c r="D397" s="24" t="str">
        <f t="shared" si="279"/>
        <v/>
      </c>
      <c r="E397" s="24" t="str">
        <f t="shared" si="280"/>
        <v/>
      </c>
      <c r="F397" s="32" t="str">
        <f t="shared" si="281"/>
        <v/>
      </c>
      <c r="G397" s="32" t="str">
        <f t="shared" si="282"/>
        <v/>
      </c>
      <c r="H397" s="32" t="str">
        <f t="shared" ca="1" si="283"/>
        <v/>
      </c>
      <c r="I397" s="32" t="str">
        <f t="shared" ca="1" si="288"/>
        <v/>
      </c>
      <c r="J397" s="32" t="str">
        <f t="shared" si="284"/>
        <v/>
      </c>
      <c r="K397" s="32" t="str">
        <f>IF(ISNUMBER(A397),Profile!$V$25+Profile!$V$24*'Ri-Po'!C397,"")</f>
        <v/>
      </c>
      <c r="L397" s="32" t="str">
        <f t="shared" si="289"/>
        <v/>
      </c>
      <c r="M397" s="32" t="str">
        <f t="shared" si="285"/>
        <v/>
      </c>
      <c r="N397" s="32" t="str">
        <f t="shared" si="286"/>
        <v/>
      </c>
      <c r="O397" s="32" t="str">
        <f t="shared" si="302"/>
        <v/>
      </c>
      <c r="P397" s="32" t="str">
        <f t="shared" si="290"/>
        <v/>
      </c>
      <c r="Q397" s="32" t="str">
        <f t="shared" si="291"/>
        <v/>
      </c>
      <c r="R397" s="32" t="str">
        <f t="shared" si="303"/>
        <v/>
      </c>
      <c r="S397" s="24" t="str">
        <f t="shared" si="304"/>
        <v/>
      </c>
      <c r="T397" s="24" t="str">
        <f t="shared" si="305"/>
        <v/>
      </c>
      <c r="U397" s="24" t="str">
        <f t="shared" si="306"/>
        <v/>
      </c>
      <c r="V397" s="24" t="str">
        <f t="shared" si="307"/>
        <v/>
      </c>
      <c r="W397" s="23" t="str">
        <f t="array" ref="W397">IFERROR(SMALL(IF(S$1:S$1000="BEGIN",ROW(S$1:S$1000)),ROW()-3),"")</f>
        <v/>
      </c>
      <c r="X397" s="23" t="str">
        <f t="array" ref="X397">IFERROR(SMALL(IF(T$1:T$1000="END",ROW(T$1:T$1000)),ROW()-3),"")</f>
        <v/>
      </c>
      <c r="Y397" s="33" t="str">
        <f t="array" ref="Y397">IF(ISNUMBER(W397),MAX(IF((B$4:B$1000&lt;=X397)*(B$4:B$1000&gt;=W397),I$4:I$1000, "")),"")</f>
        <v/>
      </c>
      <c r="Z397" s="33" t="str">
        <f t="shared" si="292"/>
        <v/>
      </c>
      <c r="AA397" s="32" t="str">
        <f t="shared" si="293"/>
        <v/>
      </c>
      <c r="AB397" s="32" t="str">
        <f t="shared" si="294"/>
        <v/>
      </c>
      <c r="AC397" s="32" t="str">
        <f t="shared" si="295"/>
        <v/>
      </c>
      <c r="AD397" s="32" t="str">
        <f t="shared" si="296"/>
        <v/>
      </c>
      <c r="AE397" s="34" t="str">
        <f t="shared" si="297"/>
        <v/>
      </c>
      <c r="AF397" s="32" t="str">
        <f t="shared" si="298"/>
        <v/>
      </c>
      <c r="AG397" s="32" t="str">
        <f t="shared" si="299"/>
        <v/>
      </c>
      <c r="AH397" s="32" t="str">
        <f t="shared" si="300"/>
        <v/>
      </c>
      <c r="AI397" s="35" t="str">
        <f t="shared" si="301"/>
        <v/>
      </c>
      <c r="AJ397" s="23" t="str">
        <f t="array" ref="AJ397">IFERROR(SMALL(IF(U$1:U$1000="BEGIN",ROW(U$1:U$1000)),ROW()-3),"")</f>
        <v/>
      </c>
      <c r="AK397" s="23" t="str">
        <f t="array" ref="AK397">IFERROR(SMALL(IF(V$1:V$1000="END",ROW(V$1:V$1000)),ROW()-3),"")</f>
        <v/>
      </c>
      <c r="AL397" s="24" t="str">
        <f t="array" ref="AL397">IF(AK397="","",MATCH(AM397,L:L,0))</f>
        <v/>
      </c>
      <c r="AM397" s="35">
        <f t="array" ref="AM397">MAX(IF((B$4:B$1000&lt;=AK397)*(B$4:B$1000&gt;=AJ397),L$4:L$1000, ""))</f>
        <v>0</v>
      </c>
      <c r="AN397" s="32" t="str">
        <f t="shared" si="265"/>
        <v/>
      </c>
      <c r="AO397" s="32" t="str">
        <f t="shared" si="266"/>
        <v/>
      </c>
      <c r="AP397" s="32" t="str">
        <f t="shared" si="267"/>
        <v/>
      </c>
      <c r="AQ397" s="32" t="str">
        <f t="shared" si="268"/>
        <v/>
      </c>
      <c r="AR397" s="32" t="str">
        <f t="shared" si="269"/>
        <v/>
      </c>
      <c r="AS397" s="32" t="str">
        <f t="shared" si="270"/>
        <v/>
      </c>
      <c r="AT397" s="32" t="str">
        <f t="shared" si="271"/>
        <v/>
      </c>
      <c r="AU397" s="34" t="str">
        <f t="shared" si="272"/>
        <v/>
      </c>
      <c r="AV397" s="32" t="str">
        <f t="shared" si="273"/>
        <v/>
      </c>
      <c r="AW397" s="32" t="str">
        <f t="shared" si="274"/>
        <v/>
      </c>
      <c r="AX397" s="32" t="str">
        <f t="shared" si="275"/>
        <v/>
      </c>
      <c r="AY397" s="32" t="str">
        <f t="shared" si="276"/>
        <v/>
      </c>
    </row>
    <row r="398" spans="1:51" x14ac:dyDescent="0.25">
      <c r="A398" s="24" t="str">
        <f t="shared" si="277"/>
        <v/>
      </c>
      <c r="B398" s="24" t="str">
        <f t="shared" si="287"/>
        <v/>
      </c>
      <c r="C398" s="32" t="str">
        <f t="shared" si="278"/>
        <v/>
      </c>
      <c r="D398" s="24" t="str">
        <f t="shared" si="279"/>
        <v/>
      </c>
      <c r="E398" s="24" t="str">
        <f t="shared" si="280"/>
        <v/>
      </c>
      <c r="F398" s="32" t="str">
        <f t="shared" si="281"/>
        <v/>
      </c>
      <c r="G398" s="32" t="str">
        <f t="shared" si="282"/>
        <v/>
      </c>
      <c r="H398" s="32" t="str">
        <f t="shared" ca="1" si="283"/>
        <v/>
      </c>
      <c r="I398" s="32" t="str">
        <f t="shared" ca="1" si="288"/>
        <v/>
      </c>
      <c r="J398" s="32" t="str">
        <f t="shared" si="284"/>
        <v/>
      </c>
      <c r="K398" s="32" t="str">
        <f>IF(ISNUMBER(A398),Profile!$V$25+Profile!$V$24*'Ri-Po'!C398,"")</f>
        <v/>
      </c>
      <c r="L398" s="32" t="str">
        <f t="shared" si="289"/>
        <v/>
      </c>
      <c r="M398" s="32" t="str">
        <f t="shared" si="285"/>
        <v/>
      </c>
      <c r="N398" s="32" t="str">
        <f t="shared" si="286"/>
        <v/>
      </c>
      <c r="O398" s="32" t="str">
        <f t="shared" si="302"/>
        <v/>
      </c>
      <c r="P398" s="32" t="str">
        <f t="shared" si="290"/>
        <v/>
      </c>
      <c r="Q398" s="32" t="str">
        <f t="shared" si="291"/>
        <v/>
      </c>
      <c r="R398" s="32" t="str">
        <f t="shared" si="303"/>
        <v/>
      </c>
      <c r="S398" s="24" t="str">
        <f t="shared" si="304"/>
        <v/>
      </c>
      <c r="T398" s="24" t="str">
        <f t="shared" si="305"/>
        <v/>
      </c>
      <c r="U398" s="24" t="str">
        <f t="shared" si="306"/>
        <v/>
      </c>
      <c r="V398" s="24" t="str">
        <f t="shared" si="307"/>
        <v/>
      </c>
      <c r="W398" s="23" t="str">
        <f t="array" ref="W398">IFERROR(SMALL(IF(S$1:S$1000="BEGIN",ROW(S$1:S$1000)),ROW()-3),"")</f>
        <v/>
      </c>
      <c r="X398" s="23" t="str">
        <f t="array" ref="X398">IFERROR(SMALL(IF(T$1:T$1000="END",ROW(T$1:T$1000)),ROW()-3),"")</f>
        <v/>
      </c>
      <c r="Y398" s="33" t="str">
        <f t="array" ref="Y398">IF(ISNUMBER(W398),MAX(IF((B$4:B$1000&lt;=X398)*(B$4:B$1000&gt;=W398),I$4:I$1000, "")),"")</f>
        <v/>
      </c>
      <c r="Z398" s="33" t="str">
        <f t="shared" si="292"/>
        <v/>
      </c>
      <c r="AA398" s="32" t="str">
        <f t="shared" si="293"/>
        <v/>
      </c>
      <c r="AB398" s="32" t="str">
        <f t="shared" si="294"/>
        <v/>
      </c>
      <c r="AC398" s="32" t="str">
        <f t="shared" si="295"/>
        <v/>
      </c>
      <c r="AD398" s="32" t="str">
        <f t="shared" si="296"/>
        <v/>
      </c>
      <c r="AE398" s="34" t="str">
        <f t="shared" si="297"/>
        <v/>
      </c>
      <c r="AF398" s="32" t="str">
        <f t="shared" si="298"/>
        <v/>
      </c>
      <c r="AG398" s="32" t="str">
        <f t="shared" si="299"/>
        <v/>
      </c>
      <c r="AH398" s="32" t="str">
        <f t="shared" si="300"/>
        <v/>
      </c>
      <c r="AI398" s="35" t="str">
        <f t="shared" si="301"/>
        <v/>
      </c>
      <c r="AJ398" s="23" t="str">
        <f t="array" ref="AJ398">IFERROR(SMALL(IF(U$1:U$1000="BEGIN",ROW(U$1:U$1000)),ROW()-3),"")</f>
        <v/>
      </c>
      <c r="AK398" s="23" t="str">
        <f t="array" ref="AK398">IFERROR(SMALL(IF(V$1:V$1000="END",ROW(V$1:V$1000)),ROW()-3),"")</f>
        <v/>
      </c>
      <c r="AL398" s="24" t="str">
        <f t="array" ref="AL398">IF(AK398="","",MATCH(AM398,L:L,0))</f>
        <v/>
      </c>
      <c r="AM398" s="35">
        <f t="array" ref="AM398">MAX(IF((B$4:B$1000&lt;=AK398)*(B$4:B$1000&gt;=AJ398),L$4:L$1000, ""))</f>
        <v>0</v>
      </c>
      <c r="AN398" s="32" t="str">
        <f t="shared" si="265"/>
        <v/>
      </c>
      <c r="AO398" s="32" t="str">
        <f t="shared" si="266"/>
        <v/>
      </c>
      <c r="AP398" s="32" t="str">
        <f t="shared" si="267"/>
        <v/>
      </c>
      <c r="AQ398" s="32" t="str">
        <f t="shared" si="268"/>
        <v/>
      </c>
      <c r="AR398" s="32" t="str">
        <f t="shared" si="269"/>
        <v/>
      </c>
      <c r="AS398" s="32" t="str">
        <f t="shared" si="270"/>
        <v/>
      </c>
      <c r="AT398" s="32" t="str">
        <f t="shared" si="271"/>
        <v/>
      </c>
      <c r="AU398" s="34" t="str">
        <f t="shared" si="272"/>
        <v/>
      </c>
      <c r="AV398" s="32" t="str">
        <f t="shared" si="273"/>
        <v/>
      </c>
      <c r="AW398" s="32" t="str">
        <f t="shared" si="274"/>
        <v/>
      </c>
      <c r="AX398" s="32" t="str">
        <f t="shared" si="275"/>
        <v/>
      </c>
      <c r="AY398" s="32" t="str">
        <f t="shared" si="276"/>
        <v/>
      </c>
    </row>
    <row r="399" spans="1:51" x14ac:dyDescent="0.25">
      <c r="A399" s="24" t="str">
        <f t="shared" si="277"/>
        <v/>
      </c>
      <c r="B399" s="24" t="str">
        <f t="shared" si="287"/>
        <v/>
      </c>
      <c r="C399" s="32" t="str">
        <f t="shared" si="278"/>
        <v/>
      </c>
      <c r="D399" s="24" t="str">
        <f t="shared" si="279"/>
        <v/>
      </c>
      <c r="E399" s="24" t="str">
        <f t="shared" si="280"/>
        <v/>
      </c>
      <c r="F399" s="32" t="str">
        <f t="shared" si="281"/>
        <v/>
      </c>
      <c r="G399" s="32" t="str">
        <f t="shared" si="282"/>
        <v/>
      </c>
      <c r="H399" s="32" t="str">
        <f t="shared" ca="1" si="283"/>
        <v/>
      </c>
      <c r="I399" s="32" t="str">
        <f t="shared" ca="1" si="288"/>
        <v/>
      </c>
      <c r="J399" s="32" t="str">
        <f t="shared" si="284"/>
        <v/>
      </c>
      <c r="K399" s="32" t="str">
        <f>IF(ISNUMBER(A399),Profile!$V$25+Profile!$V$24*'Ri-Po'!C399,"")</f>
        <v/>
      </c>
      <c r="L399" s="32" t="str">
        <f t="shared" si="289"/>
        <v/>
      </c>
      <c r="M399" s="32" t="str">
        <f t="shared" si="285"/>
        <v/>
      </c>
      <c r="N399" s="32" t="str">
        <f t="shared" si="286"/>
        <v/>
      </c>
      <c r="O399" s="32" t="str">
        <f t="shared" si="302"/>
        <v/>
      </c>
      <c r="P399" s="32" t="str">
        <f t="shared" si="290"/>
        <v/>
      </c>
      <c r="Q399" s="32" t="str">
        <f t="shared" si="291"/>
        <v/>
      </c>
      <c r="R399" s="32" t="str">
        <f t="shared" si="303"/>
        <v/>
      </c>
      <c r="S399" s="24" t="str">
        <f t="shared" si="304"/>
        <v/>
      </c>
      <c r="T399" s="24" t="str">
        <f t="shared" si="305"/>
        <v/>
      </c>
      <c r="U399" s="24" t="str">
        <f t="shared" si="306"/>
        <v/>
      </c>
      <c r="V399" s="24" t="str">
        <f t="shared" si="307"/>
        <v/>
      </c>
      <c r="W399" s="23" t="str">
        <f t="array" ref="W399">IFERROR(SMALL(IF(S$1:S$1000="BEGIN",ROW(S$1:S$1000)),ROW()-3),"")</f>
        <v/>
      </c>
      <c r="X399" s="23" t="str">
        <f t="array" ref="X399">IFERROR(SMALL(IF(T$1:T$1000="END",ROW(T$1:T$1000)),ROW()-3),"")</f>
        <v/>
      </c>
      <c r="Y399" s="33" t="str">
        <f t="array" ref="Y399">IF(ISNUMBER(W399),MAX(IF((B$4:B$1000&lt;=X399)*(B$4:B$1000&gt;=W399),I$4:I$1000, "")),"")</f>
        <v/>
      </c>
      <c r="Z399" s="33" t="str">
        <f t="shared" si="292"/>
        <v/>
      </c>
      <c r="AA399" s="32" t="str">
        <f t="shared" si="293"/>
        <v/>
      </c>
      <c r="AB399" s="32" t="str">
        <f t="shared" si="294"/>
        <v/>
      </c>
      <c r="AC399" s="32" t="str">
        <f t="shared" si="295"/>
        <v/>
      </c>
      <c r="AD399" s="32" t="str">
        <f t="shared" si="296"/>
        <v/>
      </c>
      <c r="AE399" s="34" t="str">
        <f t="shared" si="297"/>
        <v/>
      </c>
      <c r="AF399" s="32" t="str">
        <f t="shared" si="298"/>
        <v/>
      </c>
      <c r="AG399" s="32" t="str">
        <f t="shared" si="299"/>
        <v/>
      </c>
      <c r="AH399" s="32" t="str">
        <f t="shared" si="300"/>
        <v/>
      </c>
      <c r="AI399" s="35" t="str">
        <f t="shared" si="301"/>
        <v/>
      </c>
      <c r="AJ399" s="23" t="str">
        <f t="array" ref="AJ399">IFERROR(SMALL(IF(U$1:U$1000="BEGIN",ROW(U$1:U$1000)),ROW()-3),"")</f>
        <v/>
      </c>
      <c r="AK399" s="23" t="str">
        <f t="array" ref="AK399">IFERROR(SMALL(IF(V$1:V$1000="END",ROW(V$1:V$1000)),ROW()-3),"")</f>
        <v/>
      </c>
      <c r="AL399" s="24" t="str">
        <f t="array" ref="AL399">IF(AK399="","",MATCH(AM399,L:L,0))</f>
        <v/>
      </c>
      <c r="AM399" s="35">
        <f t="array" ref="AM399">MAX(IF((B$4:B$1000&lt;=AK399)*(B$4:B$1000&gt;=AJ399),L$4:L$1000, ""))</f>
        <v>0</v>
      </c>
      <c r="AN399" s="32" t="str">
        <f t="shared" si="265"/>
        <v/>
      </c>
      <c r="AO399" s="32" t="str">
        <f t="shared" si="266"/>
        <v/>
      </c>
      <c r="AP399" s="32" t="str">
        <f t="shared" si="267"/>
        <v/>
      </c>
      <c r="AQ399" s="32" t="str">
        <f t="shared" si="268"/>
        <v/>
      </c>
      <c r="AR399" s="32" t="str">
        <f t="shared" si="269"/>
        <v/>
      </c>
      <c r="AS399" s="32" t="str">
        <f t="shared" si="270"/>
        <v/>
      </c>
      <c r="AT399" s="32" t="str">
        <f t="shared" si="271"/>
        <v/>
      </c>
      <c r="AU399" s="34" t="str">
        <f t="shared" si="272"/>
        <v/>
      </c>
      <c r="AV399" s="32" t="str">
        <f t="shared" si="273"/>
        <v/>
      </c>
      <c r="AW399" s="32" t="str">
        <f t="shared" si="274"/>
        <v/>
      </c>
      <c r="AX399" s="32" t="str">
        <f t="shared" si="275"/>
        <v/>
      </c>
      <c r="AY399" s="32" t="str">
        <f t="shared" si="276"/>
        <v/>
      </c>
    </row>
    <row r="400" spans="1:51" x14ac:dyDescent="0.25">
      <c r="A400" s="24" t="str">
        <f t="shared" si="277"/>
        <v/>
      </c>
      <c r="B400" s="24" t="str">
        <f t="shared" si="287"/>
        <v/>
      </c>
      <c r="C400" s="32" t="str">
        <f t="shared" si="278"/>
        <v/>
      </c>
      <c r="D400" s="24" t="str">
        <f t="shared" si="279"/>
        <v/>
      </c>
      <c r="E400" s="24" t="str">
        <f t="shared" si="280"/>
        <v/>
      </c>
      <c r="F400" s="32" t="str">
        <f t="shared" si="281"/>
        <v/>
      </c>
      <c r="G400" s="32" t="str">
        <f t="shared" si="282"/>
        <v/>
      </c>
      <c r="H400" s="32" t="str">
        <f t="shared" ca="1" si="283"/>
        <v/>
      </c>
      <c r="I400" s="32" t="str">
        <f t="shared" ca="1" si="288"/>
        <v/>
      </c>
      <c r="J400" s="32" t="str">
        <f t="shared" si="284"/>
        <v/>
      </c>
      <c r="K400" s="32" t="str">
        <f>IF(ISNUMBER(A400),Profile!$V$25+Profile!$V$24*'Ri-Po'!C400,"")</f>
        <v/>
      </c>
      <c r="L400" s="32" t="str">
        <f t="shared" si="289"/>
        <v/>
      </c>
      <c r="M400" s="32" t="str">
        <f t="shared" si="285"/>
        <v/>
      </c>
      <c r="N400" s="32" t="str">
        <f t="shared" si="286"/>
        <v/>
      </c>
      <c r="O400" s="32" t="str">
        <f t="shared" si="302"/>
        <v/>
      </c>
      <c r="P400" s="32" t="str">
        <f t="shared" si="290"/>
        <v/>
      </c>
      <c r="Q400" s="32" t="str">
        <f t="shared" si="291"/>
        <v/>
      </c>
      <c r="R400" s="32" t="str">
        <f t="shared" si="303"/>
        <v/>
      </c>
      <c r="S400" s="24" t="str">
        <f t="shared" si="304"/>
        <v/>
      </c>
      <c r="T400" s="24" t="str">
        <f t="shared" si="305"/>
        <v/>
      </c>
      <c r="U400" s="24" t="str">
        <f t="shared" si="306"/>
        <v/>
      </c>
      <c r="V400" s="24" t="str">
        <f t="shared" si="307"/>
        <v/>
      </c>
      <c r="W400" s="23" t="str">
        <f t="array" ref="W400">IFERROR(SMALL(IF(S$1:S$1000="BEGIN",ROW(S$1:S$1000)),ROW()-3),"")</f>
        <v/>
      </c>
      <c r="X400" s="23" t="str">
        <f t="array" ref="X400">IFERROR(SMALL(IF(T$1:T$1000="END",ROW(T$1:T$1000)),ROW()-3),"")</f>
        <v/>
      </c>
      <c r="Y400" s="33" t="str">
        <f t="array" ref="Y400">IF(ISNUMBER(W400),MAX(IF((B$4:B$1000&lt;=X400)*(B$4:B$1000&gt;=W400),I$4:I$1000, "")),"")</f>
        <v/>
      </c>
      <c r="Z400" s="33" t="str">
        <f t="shared" si="292"/>
        <v/>
      </c>
      <c r="AA400" s="32" t="str">
        <f t="shared" si="293"/>
        <v/>
      </c>
      <c r="AB400" s="32" t="str">
        <f t="shared" si="294"/>
        <v/>
      </c>
      <c r="AC400" s="32" t="str">
        <f t="shared" si="295"/>
        <v/>
      </c>
      <c r="AD400" s="32" t="str">
        <f t="shared" si="296"/>
        <v/>
      </c>
      <c r="AE400" s="34" t="str">
        <f t="shared" si="297"/>
        <v/>
      </c>
      <c r="AF400" s="32" t="str">
        <f t="shared" si="298"/>
        <v/>
      </c>
      <c r="AG400" s="32" t="str">
        <f t="shared" si="299"/>
        <v/>
      </c>
      <c r="AH400" s="32" t="str">
        <f t="shared" si="300"/>
        <v/>
      </c>
      <c r="AI400" s="35" t="str">
        <f t="shared" si="301"/>
        <v/>
      </c>
      <c r="AJ400" s="23" t="str">
        <f t="array" ref="AJ400">IFERROR(SMALL(IF(U$1:U$1000="BEGIN",ROW(U$1:U$1000)),ROW()-3),"")</f>
        <v/>
      </c>
      <c r="AK400" s="23" t="str">
        <f t="array" ref="AK400">IFERROR(SMALL(IF(V$1:V$1000="END",ROW(V$1:V$1000)),ROW()-3),"")</f>
        <v/>
      </c>
      <c r="AL400" s="24" t="str">
        <f t="array" ref="AL400">IF(AK400="","",MATCH(AM400,L:L,0))</f>
        <v/>
      </c>
      <c r="AM400" s="35">
        <f t="array" ref="AM400">MAX(IF((B$4:B$1000&lt;=AK400)*(B$4:B$1000&gt;=AJ400),L$4:L$1000, ""))</f>
        <v>0</v>
      </c>
      <c r="AN400" s="32" t="str">
        <f t="shared" si="265"/>
        <v/>
      </c>
      <c r="AO400" s="32" t="str">
        <f t="shared" si="266"/>
        <v/>
      </c>
      <c r="AP400" s="32" t="str">
        <f t="shared" si="267"/>
        <v/>
      </c>
      <c r="AQ400" s="32" t="str">
        <f t="shared" si="268"/>
        <v/>
      </c>
      <c r="AR400" s="32" t="str">
        <f t="shared" si="269"/>
        <v/>
      </c>
      <c r="AS400" s="32" t="str">
        <f t="shared" si="270"/>
        <v/>
      </c>
      <c r="AT400" s="32" t="str">
        <f t="shared" si="271"/>
        <v/>
      </c>
      <c r="AU400" s="34" t="str">
        <f t="shared" si="272"/>
        <v/>
      </c>
      <c r="AV400" s="32" t="str">
        <f t="shared" si="273"/>
        <v/>
      </c>
      <c r="AW400" s="32" t="str">
        <f t="shared" si="274"/>
        <v/>
      </c>
      <c r="AX400" s="32" t="str">
        <f t="shared" si="275"/>
        <v/>
      </c>
      <c r="AY400" s="32" t="str">
        <f t="shared" si="276"/>
        <v/>
      </c>
    </row>
    <row r="401" spans="1:51" x14ac:dyDescent="0.25">
      <c r="A401" s="24" t="str">
        <f t="shared" si="277"/>
        <v/>
      </c>
      <c r="B401" s="24" t="str">
        <f t="shared" si="287"/>
        <v/>
      </c>
      <c r="C401" s="32" t="str">
        <f t="shared" si="278"/>
        <v/>
      </c>
      <c r="D401" s="24" t="str">
        <f t="shared" si="279"/>
        <v/>
      </c>
      <c r="E401" s="24" t="str">
        <f t="shared" si="280"/>
        <v/>
      </c>
      <c r="F401" s="32" t="str">
        <f t="shared" si="281"/>
        <v/>
      </c>
      <c r="G401" s="32" t="str">
        <f t="shared" si="282"/>
        <v/>
      </c>
      <c r="H401" s="32" t="str">
        <f t="shared" ca="1" si="283"/>
        <v/>
      </c>
      <c r="I401" s="32" t="str">
        <f t="shared" ca="1" si="288"/>
        <v/>
      </c>
      <c r="J401" s="32" t="str">
        <f t="shared" si="284"/>
        <v/>
      </c>
      <c r="K401" s="32" t="str">
        <f>IF(ISNUMBER(A401),Profile!$V$25+Profile!$V$24*'Ri-Po'!C401,"")</f>
        <v/>
      </c>
      <c r="L401" s="32" t="str">
        <f t="shared" si="289"/>
        <v/>
      </c>
      <c r="M401" s="32" t="str">
        <f t="shared" si="285"/>
        <v/>
      </c>
      <c r="N401" s="32" t="str">
        <f t="shared" si="286"/>
        <v/>
      </c>
      <c r="O401" s="32" t="str">
        <f t="shared" si="302"/>
        <v/>
      </c>
      <c r="P401" s="32" t="str">
        <f t="shared" si="290"/>
        <v/>
      </c>
      <c r="Q401" s="32" t="str">
        <f t="shared" si="291"/>
        <v/>
      </c>
      <c r="R401" s="32" t="str">
        <f t="shared" si="303"/>
        <v/>
      </c>
      <c r="S401" s="24" t="str">
        <f t="shared" si="304"/>
        <v/>
      </c>
      <c r="T401" s="24" t="str">
        <f t="shared" si="305"/>
        <v/>
      </c>
      <c r="U401" s="24" t="str">
        <f t="shared" si="306"/>
        <v/>
      </c>
      <c r="V401" s="24" t="str">
        <f t="shared" si="307"/>
        <v/>
      </c>
      <c r="W401" s="23" t="str">
        <f t="array" ref="W401">IFERROR(SMALL(IF(S$1:S$1000="BEGIN",ROW(S$1:S$1000)),ROW()-3),"")</f>
        <v/>
      </c>
      <c r="X401" s="23" t="str">
        <f t="array" ref="X401">IFERROR(SMALL(IF(T$1:T$1000="END",ROW(T$1:T$1000)),ROW()-3),"")</f>
        <v/>
      </c>
      <c r="Y401" s="33" t="str">
        <f t="array" ref="Y401">IF(ISNUMBER(W401),MAX(IF((B$4:B$1000&lt;=X401)*(B$4:B$1000&gt;=W401),I$4:I$1000, "")),"")</f>
        <v/>
      </c>
      <c r="Z401" s="33" t="str">
        <f t="shared" si="292"/>
        <v/>
      </c>
      <c r="AA401" s="32" t="str">
        <f t="shared" si="293"/>
        <v/>
      </c>
      <c r="AB401" s="32" t="str">
        <f t="shared" si="294"/>
        <v/>
      </c>
      <c r="AC401" s="32" t="str">
        <f t="shared" si="295"/>
        <v/>
      </c>
      <c r="AD401" s="32" t="str">
        <f t="shared" si="296"/>
        <v/>
      </c>
      <c r="AE401" s="34" t="str">
        <f t="shared" si="297"/>
        <v/>
      </c>
      <c r="AF401" s="32" t="str">
        <f t="shared" si="298"/>
        <v/>
      </c>
      <c r="AG401" s="32" t="str">
        <f t="shared" si="299"/>
        <v/>
      </c>
      <c r="AH401" s="32" t="str">
        <f t="shared" si="300"/>
        <v/>
      </c>
      <c r="AI401" s="35" t="str">
        <f t="shared" si="301"/>
        <v/>
      </c>
      <c r="AJ401" s="23" t="str">
        <f t="array" ref="AJ401">IFERROR(SMALL(IF(U$1:U$1000="BEGIN",ROW(U$1:U$1000)),ROW()-3),"")</f>
        <v/>
      </c>
      <c r="AK401" s="23" t="str">
        <f t="array" ref="AK401">IFERROR(SMALL(IF(V$1:V$1000="END",ROW(V$1:V$1000)),ROW()-3),"")</f>
        <v/>
      </c>
      <c r="AL401" s="24" t="str">
        <f t="array" ref="AL401">IF(AK401="","",MATCH(AM401,L:L,0))</f>
        <v/>
      </c>
      <c r="AM401" s="35">
        <f t="array" ref="AM401">MAX(IF((B$4:B$1000&lt;=AK401)*(B$4:B$1000&gt;=AJ401),L$4:L$1000, ""))</f>
        <v>0</v>
      </c>
      <c r="AN401" s="32" t="str">
        <f t="shared" si="265"/>
        <v/>
      </c>
      <c r="AO401" s="32" t="str">
        <f t="shared" si="266"/>
        <v/>
      </c>
      <c r="AP401" s="32" t="str">
        <f t="shared" si="267"/>
        <v/>
      </c>
      <c r="AQ401" s="32" t="str">
        <f t="shared" si="268"/>
        <v/>
      </c>
      <c r="AR401" s="32" t="str">
        <f t="shared" si="269"/>
        <v/>
      </c>
      <c r="AS401" s="32" t="str">
        <f t="shared" si="270"/>
        <v/>
      </c>
      <c r="AT401" s="32" t="str">
        <f t="shared" si="271"/>
        <v/>
      </c>
      <c r="AU401" s="34" t="str">
        <f t="shared" si="272"/>
        <v/>
      </c>
      <c r="AV401" s="32" t="str">
        <f t="shared" si="273"/>
        <v/>
      </c>
      <c r="AW401" s="32" t="str">
        <f t="shared" si="274"/>
        <v/>
      </c>
      <c r="AX401" s="32" t="str">
        <f t="shared" si="275"/>
        <v/>
      </c>
      <c r="AY401" s="32" t="str">
        <f t="shared" si="276"/>
        <v/>
      </c>
    </row>
    <row r="402" spans="1:51" x14ac:dyDescent="0.25">
      <c r="A402" s="24" t="str">
        <f t="shared" si="277"/>
        <v/>
      </c>
      <c r="B402" s="24" t="str">
        <f t="shared" si="287"/>
        <v/>
      </c>
      <c r="C402" s="32" t="str">
        <f t="shared" si="278"/>
        <v/>
      </c>
      <c r="D402" s="24" t="str">
        <f t="shared" si="279"/>
        <v/>
      </c>
      <c r="E402" s="24" t="str">
        <f t="shared" si="280"/>
        <v/>
      </c>
      <c r="F402" s="32" t="str">
        <f t="shared" si="281"/>
        <v/>
      </c>
      <c r="G402" s="32" t="str">
        <f t="shared" si="282"/>
        <v/>
      </c>
      <c r="H402" s="32" t="str">
        <f t="shared" ca="1" si="283"/>
        <v/>
      </c>
      <c r="I402" s="32" t="str">
        <f t="shared" ca="1" si="288"/>
        <v/>
      </c>
      <c r="J402" s="32" t="str">
        <f t="shared" si="284"/>
        <v/>
      </c>
      <c r="K402" s="32" t="str">
        <f>IF(ISNUMBER(A402),Profile!$V$25+Profile!$V$24*'Ri-Po'!C402,"")</f>
        <v/>
      </c>
      <c r="L402" s="32" t="str">
        <f t="shared" si="289"/>
        <v/>
      </c>
      <c r="M402" s="32" t="str">
        <f t="shared" si="285"/>
        <v/>
      </c>
      <c r="N402" s="32" t="str">
        <f t="shared" si="286"/>
        <v/>
      </c>
      <c r="O402" s="32" t="str">
        <f t="shared" si="302"/>
        <v/>
      </c>
      <c r="P402" s="32" t="str">
        <f t="shared" si="290"/>
        <v/>
      </c>
      <c r="Q402" s="32" t="str">
        <f t="shared" si="291"/>
        <v/>
      </c>
      <c r="R402" s="32" t="str">
        <f t="shared" si="303"/>
        <v/>
      </c>
      <c r="S402" s="24" t="str">
        <f t="shared" si="304"/>
        <v/>
      </c>
      <c r="T402" s="24" t="str">
        <f t="shared" si="305"/>
        <v/>
      </c>
      <c r="U402" s="24" t="str">
        <f t="shared" si="306"/>
        <v/>
      </c>
      <c r="V402" s="24" t="str">
        <f t="shared" si="307"/>
        <v/>
      </c>
      <c r="W402" s="23" t="str">
        <f t="array" ref="W402">IFERROR(SMALL(IF(S$1:S$1000="BEGIN",ROW(S$1:S$1000)),ROW()-3),"")</f>
        <v/>
      </c>
      <c r="X402" s="23" t="str">
        <f t="array" ref="X402">IFERROR(SMALL(IF(T$1:T$1000="END",ROW(T$1:T$1000)),ROW()-3),"")</f>
        <v/>
      </c>
      <c r="Y402" s="33" t="str">
        <f t="array" ref="Y402">IF(ISNUMBER(W402),MAX(IF((B$4:B$1000&lt;=X402)*(B$4:B$1000&gt;=W402),I$4:I$1000, "")),"")</f>
        <v/>
      </c>
      <c r="Z402" s="33" t="str">
        <f t="shared" si="292"/>
        <v/>
      </c>
      <c r="AA402" s="32" t="str">
        <f t="shared" si="293"/>
        <v/>
      </c>
      <c r="AB402" s="32" t="str">
        <f t="shared" si="294"/>
        <v/>
      </c>
      <c r="AC402" s="32" t="str">
        <f t="shared" si="295"/>
        <v/>
      </c>
      <c r="AD402" s="32" t="str">
        <f t="shared" si="296"/>
        <v/>
      </c>
      <c r="AE402" s="34" t="str">
        <f t="shared" si="297"/>
        <v/>
      </c>
      <c r="AF402" s="32" t="str">
        <f t="shared" si="298"/>
        <v/>
      </c>
      <c r="AG402" s="32" t="str">
        <f t="shared" si="299"/>
        <v/>
      </c>
      <c r="AH402" s="32" t="str">
        <f t="shared" si="300"/>
        <v/>
      </c>
      <c r="AI402" s="35" t="str">
        <f t="shared" si="301"/>
        <v/>
      </c>
      <c r="AJ402" s="23" t="str">
        <f t="array" ref="AJ402">IFERROR(SMALL(IF(U$1:U$1000="BEGIN",ROW(U$1:U$1000)),ROW()-3),"")</f>
        <v/>
      </c>
      <c r="AK402" s="23" t="str">
        <f t="array" ref="AK402">IFERROR(SMALL(IF(V$1:V$1000="END",ROW(V$1:V$1000)),ROW()-3),"")</f>
        <v/>
      </c>
      <c r="AL402" s="24" t="str">
        <f t="array" ref="AL402">IF(AK402="","",MATCH(AM402,L:L,0))</f>
        <v/>
      </c>
      <c r="AM402" s="35">
        <f t="array" ref="AM402">MAX(IF((B$4:B$1000&lt;=AK402)*(B$4:B$1000&gt;=AJ402),L$4:L$1000, ""))</f>
        <v>0</v>
      </c>
      <c r="AN402" s="32" t="str">
        <f t="shared" ref="AN402:AN465" si="308">IFERROR(INDEX(C:C,AJ402),"")</f>
        <v/>
      </c>
      <c r="AO402" s="32" t="str">
        <f t="shared" ref="AO402:AO465" si="309">IFERROR(INDEX(C:C,AK402),"")</f>
        <v/>
      </c>
      <c r="AP402" s="32" t="str">
        <f t="shared" ref="AP402:AP465" si="310">IFERROR(INDEX(C:C,AL402),"")</f>
        <v/>
      </c>
      <c r="AQ402" s="32" t="str">
        <f t="shared" ref="AQ402:AQ465" si="311">IF(ISNUMBER(AN402),AM402,"")</f>
        <v/>
      </c>
      <c r="AR402" s="32" t="str">
        <f t="shared" ref="AR402:AR465" si="312">IFERROR(AO402-AN402,"")</f>
        <v/>
      </c>
      <c r="AS402" s="32" t="str">
        <f t="shared" ref="AS402:AS465" si="313">IFERROR(INDEX(H:H,AJ402),"")</f>
        <v/>
      </c>
      <c r="AT402" s="32" t="str">
        <f t="shared" ref="AT402:AT465" si="314">IFERROR(INDEX(H:H,AK402),"")</f>
        <v/>
      </c>
      <c r="AU402" s="34" t="str">
        <f t="shared" ref="AU402:AU465" si="315">IFERROR((AS402-AT402)/(AR402),"")</f>
        <v/>
      </c>
      <c r="AV402" s="32" t="str">
        <f t="shared" ref="AV402:AV465" si="316">IFERROR(AQ402/$BB$17,"")</f>
        <v/>
      </c>
      <c r="AW402" s="32" t="str">
        <f t="shared" ref="AW402:AW465" si="317">IFERROR(AU402/BB$19,"")</f>
        <v/>
      </c>
      <c r="AX402" s="32" t="str">
        <f t="shared" ref="AX402:AX465" si="318">IFERROR(AP403-AP402,"")</f>
        <v/>
      </c>
      <c r="AY402" s="32" t="str">
        <f t="shared" ref="AY402:AY465" si="319">IFERROR(AX402/BB$16,"")</f>
        <v/>
      </c>
    </row>
    <row r="403" spans="1:51" x14ac:dyDescent="0.25">
      <c r="A403" s="24" t="str">
        <f t="shared" si="277"/>
        <v/>
      </c>
      <c r="B403" s="24" t="str">
        <f t="shared" si="287"/>
        <v/>
      </c>
      <c r="C403" s="32" t="str">
        <f t="shared" si="278"/>
        <v/>
      </c>
      <c r="D403" s="24" t="str">
        <f t="shared" si="279"/>
        <v/>
      </c>
      <c r="E403" s="24" t="str">
        <f t="shared" si="280"/>
        <v/>
      </c>
      <c r="F403" s="32" t="str">
        <f t="shared" si="281"/>
        <v/>
      </c>
      <c r="G403" s="32" t="str">
        <f t="shared" si="282"/>
        <v/>
      </c>
      <c r="H403" s="32" t="str">
        <f t="shared" ca="1" si="283"/>
        <v/>
      </c>
      <c r="I403" s="32" t="str">
        <f t="shared" ca="1" si="288"/>
        <v/>
      </c>
      <c r="J403" s="32" t="str">
        <f t="shared" si="284"/>
        <v/>
      </c>
      <c r="K403" s="32" t="str">
        <f>IF(ISNUMBER(A403),Profile!$V$25+Profile!$V$24*'Ri-Po'!C403,"")</f>
        <v/>
      </c>
      <c r="L403" s="32" t="str">
        <f t="shared" si="289"/>
        <v/>
      </c>
      <c r="M403" s="32" t="str">
        <f t="shared" si="285"/>
        <v/>
      </c>
      <c r="N403" s="32" t="str">
        <f t="shared" si="286"/>
        <v/>
      </c>
      <c r="O403" s="32" t="str">
        <f t="shared" si="302"/>
        <v/>
      </c>
      <c r="P403" s="32" t="str">
        <f t="shared" si="290"/>
        <v/>
      </c>
      <c r="Q403" s="32" t="str">
        <f t="shared" si="291"/>
        <v/>
      </c>
      <c r="R403" s="32" t="str">
        <f t="shared" si="303"/>
        <v/>
      </c>
      <c r="S403" s="24" t="str">
        <f t="shared" si="304"/>
        <v/>
      </c>
      <c r="T403" s="24" t="str">
        <f t="shared" si="305"/>
        <v/>
      </c>
      <c r="U403" s="24" t="str">
        <f t="shared" si="306"/>
        <v/>
      </c>
      <c r="V403" s="24" t="str">
        <f t="shared" si="307"/>
        <v/>
      </c>
      <c r="W403" s="23" t="str">
        <f t="array" ref="W403">IFERROR(SMALL(IF(S$1:S$1000="BEGIN",ROW(S$1:S$1000)),ROW()-3),"")</f>
        <v/>
      </c>
      <c r="X403" s="23" t="str">
        <f t="array" ref="X403">IFERROR(SMALL(IF(T$1:T$1000="END",ROW(T$1:T$1000)),ROW()-3),"")</f>
        <v/>
      </c>
      <c r="Y403" s="33" t="str">
        <f t="array" ref="Y403">IF(ISNUMBER(W403),MAX(IF((B$4:B$1000&lt;=X403)*(B$4:B$1000&gt;=W403),I$4:I$1000, "")),"")</f>
        <v/>
      </c>
      <c r="Z403" s="33" t="str">
        <f t="shared" si="292"/>
        <v/>
      </c>
      <c r="AA403" s="32" t="str">
        <f t="shared" si="293"/>
        <v/>
      </c>
      <c r="AB403" s="32" t="str">
        <f t="shared" si="294"/>
        <v/>
      </c>
      <c r="AC403" s="32" t="str">
        <f t="shared" si="295"/>
        <v/>
      </c>
      <c r="AD403" s="32" t="str">
        <f t="shared" si="296"/>
        <v/>
      </c>
      <c r="AE403" s="34" t="str">
        <f t="shared" si="297"/>
        <v/>
      </c>
      <c r="AF403" s="32" t="str">
        <f t="shared" si="298"/>
        <v/>
      </c>
      <c r="AG403" s="32" t="str">
        <f t="shared" si="299"/>
        <v/>
      </c>
      <c r="AH403" s="32" t="str">
        <f t="shared" si="300"/>
        <v/>
      </c>
      <c r="AI403" s="35" t="str">
        <f t="shared" si="301"/>
        <v/>
      </c>
      <c r="AJ403" s="23" t="str">
        <f t="array" ref="AJ403">IFERROR(SMALL(IF(U$1:U$1000="BEGIN",ROW(U$1:U$1000)),ROW()-3),"")</f>
        <v/>
      </c>
      <c r="AK403" s="23" t="str">
        <f t="array" ref="AK403">IFERROR(SMALL(IF(V$1:V$1000="END",ROW(V$1:V$1000)),ROW()-3),"")</f>
        <v/>
      </c>
      <c r="AL403" s="24" t="str">
        <f t="array" ref="AL403">IF(AK403="","",MATCH(AM403,L:L,0))</f>
        <v/>
      </c>
      <c r="AM403" s="35">
        <f t="array" ref="AM403">MAX(IF((B$4:B$1000&lt;=AK403)*(B$4:B$1000&gt;=AJ403),L$4:L$1000, ""))</f>
        <v>0</v>
      </c>
      <c r="AN403" s="32" t="str">
        <f t="shared" si="308"/>
        <v/>
      </c>
      <c r="AO403" s="32" t="str">
        <f t="shared" si="309"/>
        <v/>
      </c>
      <c r="AP403" s="32" t="str">
        <f t="shared" si="310"/>
        <v/>
      </c>
      <c r="AQ403" s="32" t="str">
        <f t="shared" si="311"/>
        <v/>
      </c>
      <c r="AR403" s="32" t="str">
        <f t="shared" si="312"/>
        <v/>
      </c>
      <c r="AS403" s="32" t="str">
        <f t="shared" si="313"/>
        <v/>
      </c>
      <c r="AT403" s="32" t="str">
        <f t="shared" si="314"/>
        <v/>
      </c>
      <c r="AU403" s="34" t="str">
        <f t="shared" si="315"/>
        <v/>
      </c>
      <c r="AV403" s="32" t="str">
        <f t="shared" si="316"/>
        <v/>
      </c>
      <c r="AW403" s="32" t="str">
        <f t="shared" si="317"/>
        <v/>
      </c>
      <c r="AX403" s="32" t="str">
        <f t="shared" si="318"/>
        <v/>
      </c>
      <c r="AY403" s="32" t="str">
        <f t="shared" si="319"/>
        <v/>
      </c>
    </row>
    <row r="404" spans="1:51" x14ac:dyDescent="0.25">
      <c r="A404" s="24" t="str">
        <f t="shared" si="277"/>
        <v/>
      </c>
      <c r="B404" s="24" t="str">
        <f t="shared" si="287"/>
        <v/>
      </c>
      <c r="C404" s="32" t="str">
        <f t="shared" si="278"/>
        <v/>
      </c>
      <c r="D404" s="24" t="str">
        <f t="shared" si="279"/>
        <v/>
      </c>
      <c r="E404" s="24" t="str">
        <f t="shared" si="280"/>
        <v/>
      </c>
      <c r="F404" s="32" t="str">
        <f t="shared" si="281"/>
        <v/>
      </c>
      <c r="G404" s="32" t="str">
        <f t="shared" si="282"/>
        <v/>
      </c>
      <c r="H404" s="32" t="str">
        <f t="shared" ca="1" si="283"/>
        <v/>
      </c>
      <c r="I404" s="32" t="str">
        <f t="shared" ca="1" si="288"/>
        <v/>
      </c>
      <c r="J404" s="32" t="str">
        <f t="shared" si="284"/>
        <v/>
      </c>
      <c r="K404" s="32" t="str">
        <f>IF(ISNUMBER(A404),Profile!$V$25+Profile!$V$24*'Ri-Po'!C404,"")</f>
        <v/>
      </c>
      <c r="L404" s="32" t="str">
        <f t="shared" si="289"/>
        <v/>
      </c>
      <c r="M404" s="32" t="str">
        <f t="shared" si="285"/>
        <v/>
      </c>
      <c r="N404" s="32" t="str">
        <f t="shared" si="286"/>
        <v/>
      </c>
      <c r="O404" s="32" t="str">
        <f t="shared" si="302"/>
        <v/>
      </c>
      <c r="P404" s="32" t="str">
        <f t="shared" si="290"/>
        <v/>
      </c>
      <c r="Q404" s="32" t="str">
        <f t="shared" si="291"/>
        <v/>
      </c>
      <c r="R404" s="32" t="str">
        <f t="shared" si="303"/>
        <v/>
      </c>
      <c r="S404" s="24" t="str">
        <f t="shared" si="304"/>
        <v/>
      </c>
      <c r="T404" s="24" t="str">
        <f t="shared" si="305"/>
        <v/>
      </c>
      <c r="U404" s="24" t="str">
        <f t="shared" si="306"/>
        <v/>
      </c>
      <c r="V404" s="24" t="str">
        <f t="shared" si="307"/>
        <v/>
      </c>
      <c r="W404" s="23" t="str">
        <f t="array" ref="W404">IFERROR(SMALL(IF(S$1:S$1000="BEGIN",ROW(S$1:S$1000)),ROW()-3),"")</f>
        <v/>
      </c>
      <c r="X404" s="23" t="str">
        <f t="array" ref="X404">IFERROR(SMALL(IF(T$1:T$1000="END",ROW(T$1:T$1000)),ROW()-3),"")</f>
        <v/>
      </c>
      <c r="Y404" s="33" t="str">
        <f t="array" ref="Y404">IF(ISNUMBER(W404),MAX(IF((B$4:B$1000&lt;=X404)*(B$4:B$1000&gt;=W404),I$4:I$1000, "")),"")</f>
        <v/>
      </c>
      <c r="Z404" s="33" t="str">
        <f t="shared" si="292"/>
        <v/>
      </c>
      <c r="AA404" s="32" t="str">
        <f t="shared" si="293"/>
        <v/>
      </c>
      <c r="AB404" s="32" t="str">
        <f t="shared" si="294"/>
        <v/>
      </c>
      <c r="AC404" s="32" t="str">
        <f t="shared" si="295"/>
        <v/>
      </c>
      <c r="AD404" s="32" t="str">
        <f t="shared" si="296"/>
        <v/>
      </c>
      <c r="AE404" s="34" t="str">
        <f t="shared" si="297"/>
        <v/>
      </c>
      <c r="AF404" s="32" t="str">
        <f t="shared" si="298"/>
        <v/>
      </c>
      <c r="AG404" s="32" t="str">
        <f t="shared" si="299"/>
        <v/>
      </c>
      <c r="AH404" s="32" t="str">
        <f t="shared" si="300"/>
        <v/>
      </c>
      <c r="AI404" s="35" t="str">
        <f t="shared" si="301"/>
        <v/>
      </c>
      <c r="AJ404" s="23" t="str">
        <f t="array" ref="AJ404">IFERROR(SMALL(IF(U$1:U$1000="BEGIN",ROW(U$1:U$1000)),ROW()-3),"")</f>
        <v/>
      </c>
      <c r="AK404" s="23" t="str">
        <f t="array" ref="AK404">IFERROR(SMALL(IF(V$1:V$1000="END",ROW(V$1:V$1000)),ROW()-3),"")</f>
        <v/>
      </c>
      <c r="AL404" s="24" t="str">
        <f t="array" ref="AL404">IF(AK404="","",MATCH(AM404,L:L,0))</f>
        <v/>
      </c>
      <c r="AM404" s="35">
        <f t="array" ref="AM404">MAX(IF((B$4:B$1000&lt;=AK404)*(B$4:B$1000&gt;=AJ404),L$4:L$1000, ""))</f>
        <v>0</v>
      </c>
      <c r="AN404" s="32" t="str">
        <f t="shared" si="308"/>
        <v/>
      </c>
      <c r="AO404" s="32" t="str">
        <f t="shared" si="309"/>
        <v/>
      </c>
      <c r="AP404" s="32" t="str">
        <f t="shared" si="310"/>
        <v/>
      </c>
      <c r="AQ404" s="32" t="str">
        <f t="shared" si="311"/>
        <v/>
      </c>
      <c r="AR404" s="32" t="str">
        <f t="shared" si="312"/>
        <v/>
      </c>
      <c r="AS404" s="32" t="str">
        <f t="shared" si="313"/>
        <v/>
      </c>
      <c r="AT404" s="32" t="str">
        <f t="shared" si="314"/>
        <v/>
      </c>
      <c r="AU404" s="34" t="str">
        <f t="shared" si="315"/>
        <v/>
      </c>
      <c r="AV404" s="32" t="str">
        <f t="shared" si="316"/>
        <v/>
      </c>
      <c r="AW404" s="32" t="str">
        <f t="shared" si="317"/>
        <v/>
      </c>
      <c r="AX404" s="32" t="str">
        <f t="shared" si="318"/>
        <v/>
      </c>
      <c r="AY404" s="32" t="str">
        <f t="shared" si="319"/>
        <v/>
      </c>
    </row>
    <row r="405" spans="1:51" x14ac:dyDescent="0.25">
      <c r="A405" s="24" t="str">
        <f t="shared" si="277"/>
        <v/>
      </c>
      <c r="B405" s="24" t="str">
        <f t="shared" si="287"/>
        <v/>
      </c>
      <c r="C405" s="32" t="str">
        <f t="shared" si="278"/>
        <v/>
      </c>
      <c r="D405" s="24" t="str">
        <f t="shared" si="279"/>
        <v/>
      </c>
      <c r="E405" s="24" t="str">
        <f t="shared" si="280"/>
        <v/>
      </c>
      <c r="F405" s="32" t="str">
        <f t="shared" si="281"/>
        <v/>
      </c>
      <c r="G405" s="32" t="str">
        <f t="shared" si="282"/>
        <v/>
      </c>
      <c r="H405" s="32" t="str">
        <f t="shared" ca="1" si="283"/>
        <v/>
      </c>
      <c r="I405" s="32" t="str">
        <f t="shared" ca="1" si="288"/>
        <v/>
      </c>
      <c r="J405" s="32" t="str">
        <f t="shared" si="284"/>
        <v/>
      </c>
      <c r="K405" s="32" t="str">
        <f>IF(ISNUMBER(A405),Profile!$V$25+Profile!$V$24*'Ri-Po'!C405,"")</f>
        <v/>
      </c>
      <c r="L405" s="32" t="str">
        <f t="shared" si="289"/>
        <v/>
      </c>
      <c r="M405" s="32" t="str">
        <f t="shared" si="285"/>
        <v/>
      </c>
      <c r="N405" s="32" t="str">
        <f t="shared" si="286"/>
        <v/>
      </c>
      <c r="O405" s="32" t="str">
        <f t="shared" si="302"/>
        <v/>
      </c>
      <c r="P405" s="32" t="str">
        <f t="shared" si="290"/>
        <v/>
      </c>
      <c r="Q405" s="32" t="str">
        <f t="shared" si="291"/>
        <v/>
      </c>
      <c r="R405" s="32" t="str">
        <f t="shared" si="303"/>
        <v/>
      </c>
      <c r="S405" s="24" t="str">
        <f t="shared" si="304"/>
        <v/>
      </c>
      <c r="T405" s="24" t="str">
        <f t="shared" si="305"/>
        <v/>
      </c>
      <c r="U405" s="24" t="str">
        <f t="shared" si="306"/>
        <v/>
      </c>
      <c r="V405" s="24" t="str">
        <f t="shared" si="307"/>
        <v/>
      </c>
      <c r="W405" s="23" t="str">
        <f t="array" ref="W405">IFERROR(SMALL(IF(S$1:S$1000="BEGIN",ROW(S$1:S$1000)),ROW()-3),"")</f>
        <v/>
      </c>
      <c r="X405" s="23" t="str">
        <f t="array" ref="X405">IFERROR(SMALL(IF(T$1:T$1000="END",ROW(T$1:T$1000)),ROW()-3),"")</f>
        <v/>
      </c>
      <c r="Y405" s="33" t="str">
        <f t="array" ref="Y405">IF(ISNUMBER(W405),MAX(IF((B$4:B$1000&lt;=X405)*(B$4:B$1000&gt;=W405),I$4:I$1000, "")),"")</f>
        <v/>
      </c>
      <c r="Z405" s="33" t="str">
        <f t="shared" si="292"/>
        <v/>
      </c>
      <c r="AA405" s="32" t="str">
        <f t="shared" si="293"/>
        <v/>
      </c>
      <c r="AB405" s="32" t="str">
        <f t="shared" si="294"/>
        <v/>
      </c>
      <c r="AC405" s="32" t="str">
        <f t="shared" si="295"/>
        <v/>
      </c>
      <c r="AD405" s="32" t="str">
        <f t="shared" si="296"/>
        <v/>
      </c>
      <c r="AE405" s="34" t="str">
        <f t="shared" si="297"/>
        <v/>
      </c>
      <c r="AF405" s="32" t="str">
        <f t="shared" si="298"/>
        <v/>
      </c>
      <c r="AG405" s="32" t="str">
        <f t="shared" si="299"/>
        <v/>
      </c>
      <c r="AH405" s="32" t="str">
        <f t="shared" si="300"/>
        <v/>
      </c>
      <c r="AI405" s="35" t="str">
        <f t="shared" si="301"/>
        <v/>
      </c>
      <c r="AJ405" s="23" t="str">
        <f t="array" ref="AJ405">IFERROR(SMALL(IF(U$1:U$1000="BEGIN",ROW(U$1:U$1000)),ROW()-3),"")</f>
        <v/>
      </c>
      <c r="AK405" s="23" t="str">
        <f t="array" ref="AK405">IFERROR(SMALL(IF(V$1:V$1000="END",ROW(V$1:V$1000)),ROW()-3),"")</f>
        <v/>
      </c>
      <c r="AL405" s="24" t="str">
        <f t="array" ref="AL405">IF(AK405="","",MATCH(AM405,L:L,0))</f>
        <v/>
      </c>
      <c r="AM405" s="35">
        <f t="array" ref="AM405">MAX(IF((B$4:B$1000&lt;=AK405)*(B$4:B$1000&gt;=AJ405),L$4:L$1000, ""))</f>
        <v>0</v>
      </c>
      <c r="AN405" s="32" t="str">
        <f t="shared" si="308"/>
        <v/>
      </c>
      <c r="AO405" s="32" t="str">
        <f t="shared" si="309"/>
        <v/>
      </c>
      <c r="AP405" s="32" t="str">
        <f t="shared" si="310"/>
        <v/>
      </c>
      <c r="AQ405" s="32" t="str">
        <f t="shared" si="311"/>
        <v/>
      </c>
      <c r="AR405" s="32" t="str">
        <f t="shared" si="312"/>
        <v/>
      </c>
      <c r="AS405" s="32" t="str">
        <f t="shared" si="313"/>
        <v/>
      </c>
      <c r="AT405" s="32" t="str">
        <f t="shared" si="314"/>
        <v/>
      </c>
      <c r="AU405" s="34" t="str">
        <f t="shared" si="315"/>
        <v/>
      </c>
      <c r="AV405" s="32" t="str">
        <f t="shared" si="316"/>
        <v/>
      </c>
      <c r="AW405" s="32" t="str">
        <f t="shared" si="317"/>
        <v/>
      </c>
      <c r="AX405" s="32" t="str">
        <f t="shared" si="318"/>
        <v/>
      </c>
      <c r="AY405" s="32" t="str">
        <f t="shared" si="319"/>
        <v/>
      </c>
    </row>
    <row r="406" spans="1:51" x14ac:dyDescent="0.25">
      <c r="A406" s="24" t="str">
        <f t="shared" si="277"/>
        <v/>
      </c>
      <c r="B406" s="24" t="str">
        <f t="shared" si="287"/>
        <v/>
      </c>
      <c r="C406" s="32" t="str">
        <f t="shared" si="278"/>
        <v/>
      </c>
      <c r="D406" s="24" t="str">
        <f t="shared" si="279"/>
        <v/>
      </c>
      <c r="E406" s="24" t="str">
        <f t="shared" si="280"/>
        <v/>
      </c>
      <c r="F406" s="32" t="str">
        <f t="shared" si="281"/>
        <v/>
      </c>
      <c r="G406" s="32" t="str">
        <f t="shared" si="282"/>
        <v/>
      </c>
      <c r="H406" s="32" t="str">
        <f t="shared" ca="1" si="283"/>
        <v/>
      </c>
      <c r="I406" s="32" t="str">
        <f t="shared" ca="1" si="288"/>
        <v/>
      </c>
      <c r="J406" s="32" t="str">
        <f t="shared" si="284"/>
        <v/>
      </c>
      <c r="K406" s="32" t="str">
        <f>IF(ISNUMBER(A406),Profile!$V$25+Profile!$V$24*'Ri-Po'!C406,"")</f>
        <v/>
      </c>
      <c r="L406" s="32" t="str">
        <f t="shared" si="289"/>
        <v/>
      </c>
      <c r="M406" s="32" t="str">
        <f t="shared" si="285"/>
        <v/>
      </c>
      <c r="N406" s="32" t="str">
        <f t="shared" si="286"/>
        <v/>
      </c>
      <c r="O406" s="32" t="str">
        <f t="shared" si="302"/>
        <v/>
      </c>
      <c r="P406" s="32" t="str">
        <f t="shared" si="290"/>
        <v/>
      </c>
      <c r="Q406" s="32" t="str">
        <f t="shared" si="291"/>
        <v/>
      </c>
      <c r="R406" s="32" t="str">
        <f t="shared" si="303"/>
        <v/>
      </c>
      <c r="S406" s="24" t="str">
        <f t="shared" si="304"/>
        <v/>
      </c>
      <c r="T406" s="24" t="str">
        <f t="shared" si="305"/>
        <v/>
      </c>
      <c r="U406" s="24" t="str">
        <f t="shared" si="306"/>
        <v/>
      </c>
      <c r="V406" s="24" t="str">
        <f t="shared" si="307"/>
        <v/>
      </c>
      <c r="W406" s="23" t="str">
        <f t="array" ref="W406">IFERROR(SMALL(IF(S$1:S$1000="BEGIN",ROW(S$1:S$1000)),ROW()-3),"")</f>
        <v/>
      </c>
      <c r="X406" s="23" t="str">
        <f t="array" ref="X406">IFERROR(SMALL(IF(T$1:T$1000="END",ROW(T$1:T$1000)),ROW()-3),"")</f>
        <v/>
      </c>
      <c r="Y406" s="33" t="str">
        <f t="array" ref="Y406">IF(ISNUMBER(W406),MAX(IF((B$4:B$1000&lt;=X406)*(B$4:B$1000&gt;=W406),I$4:I$1000, "")),"")</f>
        <v/>
      </c>
      <c r="Z406" s="33" t="str">
        <f t="shared" si="292"/>
        <v/>
      </c>
      <c r="AA406" s="32" t="str">
        <f t="shared" si="293"/>
        <v/>
      </c>
      <c r="AB406" s="32" t="str">
        <f t="shared" si="294"/>
        <v/>
      </c>
      <c r="AC406" s="32" t="str">
        <f t="shared" si="295"/>
        <v/>
      </c>
      <c r="AD406" s="32" t="str">
        <f t="shared" si="296"/>
        <v/>
      </c>
      <c r="AE406" s="34" t="str">
        <f t="shared" si="297"/>
        <v/>
      </c>
      <c r="AF406" s="32" t="str">
        <f t="shared" si="298"/>
        <v/>
      </c>
      <c r="AG406" s="32" t="str">
        <f t="shared" si="299"/>
        <v/>
      </c>
      <c r="AH406" s="32" t="str">
        <f t="shared" si="300"/>
        <v/>
      </c>
      <c r="AI406" s="35" t="str">
        <f t="shared" si="301"/>
        <v/>
      </c>
      <c r="AJ406" s="23" t="str">
        <f t="array" ref="AJ406">IFERROR(SMALL(IF(U$1:U$1000="BEGIN",ROW(U$1:U$1000)),ROW()-3),"")</f>
        <v/>
      </c>
      <c r="AK406" s="23" t="str">
        <f t="array" ref="AK406">IFERROR(SMALL(IF(V$1:V$1000="END",ROW(V$1:V$1000)),ROW()-3),"")</f>
        <v/>
      </c>
      <c r="AL406" s="24" t="str">
        <f t="array" ref="AL406">IF(AK406="","",MATCH(AM406,L:L,0))</f>
        <v/>
      </c>
      <c r="AM406" s="35">
        <f t="array" ref="AM406">MAX(IF((B$4:B$1000&lt;=AK406)*(B$4:B$1000&gt;=AJ406),L$4:L$1000, ""))</f>
        <v>0</v>
      </c>
      <c r="AN406" s="32" t="str">
        <f t="shared" si="308"/>
        <v/>
      </c>
      <c r="AO406" s="32" t="str">
        <f t="shared" si="309"/>
        <v/>
      </c>
      <c r="AP406" s="32" t="str">
        <f t="shared" si="310"/>
        <v/>
      </c>
      <c r="AQ406" s="32" t="str">
        <f t="shared" si="311"/>
        <v/>
      </c>
      <c r="AR406" s="32" t="str">
        <f t="shared" si="312"/>
        <v/>
      </c>
      <c r="AS406" s="32" t="str">
        <f t="shared" si="313"/>
        <v/>
      </c>
      <c r="AT406" s="32" t="str">
        <f t="shared" si="314"/>
        <v/>
      </c>
      <c r="AU406" s="34" t="str">
        <f t="shared" si="315"/>
        <v/>
      </c>
      <c r="AV406" s="32" t="str">
        <f t="shared" si="316"/>
        <v/>
      </c>
      <c r="AW406" s="32" t="str">
        <f t="shared" si="317"/>
        <v/>
      </c>
      <c r="AX406" s="32" t="str">
        <f t="shared" si="318"/>
        <v/>
      </c>
      <c r="AY406" s="32" t="str">
        <f t="shared" si="319"/>
        <v/>
      </c>
    </row>
    <row r="407" spans="1:51" x14ac:dyDescent="0.25">
      <c r="A407" s="24" t="str">
        <f t="shared" si="277"/>
        <v/>
      </c>
      <c r="B407" s="24" t="str">
        <f t="shared" si="287"/>
        <v/>
      </c>
      <c r="C407" s="32" t="str">
        <f t="shared" si="278"/>
        <v/>
      </c>
      <c r="D407" s="24" t="str">
        <f t="shared" si="279"/>
        <v/>
      </c>
      <c r="E407" s="24" t="str">
        <f t="shared" si="280"/>
        <v/>
      </c>
      <c r="F407" s="32" t="str">
        <f t="shared" si="281"/>
        <v/>
      </c>
      <c r="G407" s="32" t="str">
        <f t="shared" si="282"/>
        <v/>
      </c>
      <c r="H407" s="32" t="str">
        <f t="shared" ca="1" si="283"/>
        <v/>
      </c>
      <c r="I407" s="32" t="str">
        <f t="shared" ca="1" si="288"/>
        <v/>
      </c>
      <c r="J407" s="32" t="str">
        <f t="shared" si="284"/>
        <v/>
      </c>
      <c r="K407" s="32" t="str">
        <f>IF(ISNUMBER(A407),Profile!$V$25+Profile!$V$24*'Ri-Po'!C407,"")</f>
        <v/>
      </c>
      <c r="L407" s="32" t="str">
        <f t="shared" si="289"/>
        <v/>
      </c>
      <c r="M407" s="32" t="str">
        <f t="shared" si="285"/>
        <v/>
      </c>
      <c r="N407" s="32" t="str">
        <f t="shared" si="286"/>
        <v/>
      </c>
      <c r="O407" s="32" t="str">
        <f t="shared" si="302"/>
        <v/>
      </c>
      <c r="P407" s="32" t="str">
        <f t="shared" si="290"/>
        <v/>
      </c>
      <c r="Q407" s="32" t="str">
        <f t="shared" si="291"/>
        <v/>
      </c>
      <c r="R407" s="32" t="str">
        <f t="shared" si="303"/>
        <v/>
      </c>
      <c r="S407" s="24" t="str">
        <f t="shared" si="304"/>
        <v/>
      </c>
      <c r="T407" s="24" t="str">
        <f t="shared" si="305"/>
        <v/>
      </c>
      <c r="U407" s="24" t="str">
        <f t="shared" si="306"/>
        <v/>
      </c>
      <c r="V407" s="24" t="str">
        <f t="shared" si="307"/>
        <v/>
      </c>
      <c r="W407" s="23" t="str">
        <f t="array" ref="W407">IFERROR(SMALL(IF(S$1:S$1000="BEGIN",ROW(S$1:S$1000)),ROW()-3),"")</f>
        <v/>
      </c>
      <c r="X407" s="23" t="str">
        <f t="array" ref="X407">IFERROR(SMALL(IF(T$1:T$1000="END",ROW(T$1:T$1000)),ROW()-3),"")</f>
        <v/>
      </c>
      <c r="Y407" s="33" t="str">
        <f t="array" ref="Y407">IF(ISNUMBER(W407),MAX(IF((B$4:B$1000&lt;=X407)*(B$4:B$1000&gt;=W407),I$4:I$1000, "")),"")</f>
        <v/>
      </c>
      <c r="Z407" s="33" t="str">
        <f t="shared" si="292"/>
        <v/>
      </c>
      <c r="AA407" s="32" t="str">
        <f t="shared" si="293"/>
        <v/>
      </c>
      <c r="AB407" s="32" t="str">
        <f t="shared" si="294"/>
        <v/>
      </c>
      <c r="AC407" s="32" t="str">
        <f t="shared" si="295"/>
        <v/>
      </c>
      <c r="AD407" s="32" t="str">
        <f t="shared" si="296"/>
        <v/>
      </c>
      <c r="AE407" s="34" t="str">
        <f t="shared" si="297"/>
        <v/>
      </c>
      <c r="AF407" s="32" t="str">
        <f t="shared" si="298"/>
        <v/>
      </c>
      <c r="AG407" s="32" t="str">
        <f t="shared" si="299"/>
        <v/>
      </c>
      <c r="AH407" s="32" t="str">
        <f t="shared" si="300"/>
        <v/>
      </c>
      <c r="AI407" s="35" t="str">
        <f t="shared" si="301"/>
        <v/>
      </c>
      <c r="AJ407" s="23" t="str">
        <f t="array" ref="AJ407">IFERROR(SMALL(IF(U$1:U$1000="BEGIN",ROW(U$1:U$1000)),ROW()-3),"")</f>
        <v/>
      </c>
      <c r="AK407" s="23" t="str">
        <f t="array" ref="AK407">IFERROR(SMALL(IF(V$1:V$1000="END",ROW(V$1:V$1000)),ROW()-3),"")</f>
        <v/>
      </c>
      <c r="AL407" s="24" t="str">
        <f t="array" ref="AL407">IF(AK407="","",MATCH(AM407,L:L,0))</f>
        <v/>
      </c>
      <c r="AM407" s="35">
        <f t="array" ref="AM407">MAX(IF((B$4:B$1000&lt;=AK407)*(B$4:B$1000&gt;=AJ407),L$4:L$1000, ""))</f>
        <v>0</v>
      </c>
      <c r="AN407" s="32" t="str">
        <f t="shared" si="308"/>
        <v/>
      </c>
      <c r="AO407" s="32" t="str">
        <f t="shared" si="309"/>
        <v/>
      </c>
      <c r="AP407" s="32" t="str">
        <f t="shared" si="310"/>
        <v/>
      </c>
      <c r="AQ407" s="32" t="str">
        <f t="shared" si="311"/>
        <v/>
      </c>
      <c r="AR407" s="32" t="str">
        <f t="shared" si="312"/>
        <v/>
      </c>
      <c r="AS407" s="32" t="str">
        <f t="shared" si="313"/>
        <v/>
      </c>
      <c r="AT407" s="32" t="str">
        <f t="shared" si="314"/>
        <v/>
      </c>
      <c r="AU407" s="34" t="str">
        <f t="shared" si="315"/>
        <v/>
      </c>
      <c r="AV407" s="32" t="str">
        <f t="shared" si="316"/>
        <v/>
      </c>
      <c r="AW407" s="32" t="str">
        <f t="shared" si="317"/>
        <v/>
      </c>
      <c r="AX407" s="32" t="str">
        <f t="shared" si="318"/>
        <v/>
      </c>
      <c r="AY407" s="32" t="str">
        <f t="shared" si="319"/>
        <v/>
      </c>
    </row>
    <row r="408" spans="1:51" x14ac:dyDescent="0.25">
      <c r="A408" s="24" t="str">
        <f t="shared" si="277"/>
        <v/>
      </c>
      <c r="B408" s="24" t="str">
        <f t="shared" si="287"/>
        <v/>
      </c>
      <c r="C408" s="32" t="str">
        <f t="shared" si="278"/>
        <v/>
      </c>
      <c r="D408" s="24" t="str">
        <f t="shared" si="279"/>
        <v/>
      </c>
      <c r="E408" s="24" t="str">
        <f t="shared" si="280"/>
        <v/>
      </c>
      <c r="F408" s="32" t="str">
        <f t="shared" si="281"/>
        <v/>
      </c>
      <c r="G408" s="32" t="str">
        <f t="shared" si="282"/>
        <v/>
      </c>
      <c r="H408" s="32" t="str">
        <f t="shared" ca="1" si="283"/>
        <v/>
      </c>
      <c r="I408" s="32" t="str">
        <f t="shared" ca="1" si="288"/>
        <v/>
      </c>
      <c r="J408" s="32" t="str">
        <f t="shared" si="284"/>
        <v/>
      </c>
      <c r="K408" s="32" t="str">
        <f>IF(ISNUMBER(A408),Profile!$V$25+Profile!$V$24*'Ri-Po'!C408,"")</f>
        <v/>
      </c>
      <c r="L408" s="32" t="str">
        <f t="shared" si="289"/>
        <v/>
      </c>
      <c r="M408" s="32" t="str">
        <f t="shared" si="285"/>
        <v/>
      </c>
      <c r="N408" s="32" t="str">
        <f t="shared" si="286"/>
        <v/>
      </c>
      <c r="O408" s="32" t="str">
        <f t="shared" si="302"/>
        <v/>
      </c>
      <c r="P408" s="32" t="str">
        <f t="shared" si="290"/>
        <v/>
      </c>
      <c r="Q408" s="32" t="str">
        <f t="shared" si="291"/>
        <v/>
      </c>
      <c r="R408" s="32" t="str">
        <f t="shared" si="303"/>
        <v/>
      </c>
      <c r="S408" s="24" t="str">
        <f t="shared" si="304"/>
        <v/>
      </c>
      <c r="T408" s="24" t="str">
        <f t="shared" si="305"/>
        <v/>
      </c>
      <c r="U408" s="24" t="str">
        <f t="shared" si="306"/>
        <v/>
      </c>
      <c r="V408" s="24" t="str">
        <f t="shared" si="307"/>
        <v/>
      </c>
      <c r="W408" s="23" t="str">
        <f t="array" ref="W408">IFERROR(SMALL(IF(S$1:S$1000="BEGIN",ROW(S$1:S$1000)),ROW()-3),"")</f>
        <v/>
      </c>
      <c r="X408" s="23" t="str">
        <f t="array" ref="X408">IFERROR(SMALL(IF(T$1:T$1000="END",ROW(T$1:T$1000)),ROW()-3),"")</f>
        <v/>
      </c>
      <c r="Y408" s="33" t="str">
        <f t="array" ref="Y408">IF(ISNUMBER(W408),MAX(IF((B$4:B$1000&lt;=X408)*(B$4:B$1000&gt;=W408),I$4:I$1000, "")),"")</f>
        <v/>
      </c>
      <c r="Z408" s="33" t="str">
        <f t="shared" si="292"/>
        <v/>
      </c>
      <c r="AA408" s="32" t="str">
        <f t="shared" si="293"/>
        <v/>
      </c>
      <c r="AB408" s="32" t="str">
        <f t="shared" si="294"/>
        <v/>
      </c>
      <c r="AC408" s="32" t="str">
        <f t="shared" si="295"/>
        <v/>
      </c>
      <c r="AD408" s="32" t="str">
        <f t="shared" si="296"/>
        <v/>
      </c>
      <c r="AE408" s="34" t="str">
        <f t="shared" si="297"/>
        <v/>
      </c>
      <c r="AF408" s="32" t="str">
        <f t="shared" si="298"/>
        <v/>
      </c>
      <c r="AG408" s="32" t="str">
        <f t="shared" si="299"/>
        <v/>
      </c>
      <c r="AH408" s="32" t="str">
        <f t="shared" si="300"/>
        <v/>
      </c>
      <c r="AI408" s="35" t="str">
        <f t="shared" si="301"/>
        <v/>
      </c>
      <c r="AJ408" s="23" t="str">
        <f t="array" ref="AJ408">IFERROR(SMALL(IF(U$1:U$1000="BEGIN",ROW(U$1:U$1000)),ROW()-3),"")</f>
        <v/>
      </c>
      <c r="AK408" s="23" t="str">
        <f t="array" ref="AK408">IFERROR(SMALL(IF(V$1:V$1000="END",ROW(V$1:V$1000)),ROW()-3),"")</f>
        <v/>
      </c>
      <c r="AL408" s="24" t="str">
        <f t="array" ref="AL408">IF(AK408="","",MATCH(AM408,L:L,0))</f>
        <v/>
      </c>
      <c r="AM408" s="35">
        <f t="array" ref="AM408">MAX(IF((B$4:B$1000&lt;=AK408)*(B$4:B$1000&gt;=AJ408),L$4:L$1000, ""))</f>
        <v>0</v>
      </c>
      <c r="AN408" s="32" t="str">
        <f t="shared" si="308"/>
        <v/>
      </c>
      <c r="AO408" s="32" t="str">
        <f t="shared" si="309"/>
        <v/>
      </c>
      <c r="AP408" s="32" t="str">
        <f t="shared" si="310"/>
        <v/>
      </c>
      <c r="AQ408" s="32" t="str">
        <f t="shared" si="311"/>
        <v/>
      </c>
      <c r="AR408" s="32" t="str">
        <f t="shared" si="312"/>
        <v/>
      </c>
      <c r="AS408" s="32" t="str">
        <f t="shared" si="313"/>
        <v/>
      </c>
      <c r="AT408" s="32" t="str">
        <f t="shared" si="314"/>
        <v/>
      </c>
      <c r="AU408" s="34" t="str">
        <f t="shared" si="315"/>
        <v/>
      </c>
      <c r="AV408" s="32" t="str">
        <f t="shared" si="316"/>
        <v/>
      </c>
      <c r="AW408" s="32" t="str">
        <f t="shared" si="317"/>
        <v/>
      </c>
      <c r="AX408" s="32" t="str">
        <f t="shared" si="318"/>
        <v/>
      </c>
      <c r="AY408" s="32" t="str">
        <f t="shared" si="319"/>
        <v/>
      </c>
    </row>
    <row r="409" spans="1:51" x14ac:dyDescent="0.25">
      <c r="A409" s="24" t="str">
        <f t="shared" si="277"/>
        <v/>
      </c>
      <c r="B409" s="24" t="str">
        <f t="shared" si="287"/>
        <v/>
      </c>
      <c r="C409" s="32" t="str">
        <f t="shared" si="278"/>
        <v/>
      </c>
      <c r="D409" s="24" t="str">
        <f t="shared" si="279"/>
        <v/>
      </c>
      <c r="E409" s="24" t="str">
        <f t="shared" si="280"/>
        <v/>
      </c>
      <c r="F409" s="32" t="str">
        <f t="shared" si="281"/>
        <v/>
      </c>
      <c r="G409" s="32" t="str">
        <f t="shared" si="282"/>
        <v/>
      </c>
      <c r="H409" s="32" t="str">
        <f t="shared" ca="1" si="283"/>
        <v/>
      </c>
      <c r="I409" s="32" t="str">
        <f t="shared" ca="1" si="288"/>
        <v/>
      </c>
      <c r="J409" s="32" t="str">
        <f t="shared" si="284"/>
        <v/>
      </c>
      <c r="K409" s="32" t="str">
        <f>IF(ISNUMBER(A409),Profile!$V$25+Profile!$V$24*'Ri-Po'!C409,"")</f>
        <v/>
      </c>
      <c r="L409" s="32" t="str">
        <f t="shared" si="289"/>
        <v/>
      </c>
      <c r="M409" s="32" t="str">
        <f t="shared" si="285"/>
        <v/>
      </c>
      <c r="N409" s="32" t="str">
        <f t="shared" si="286"/>
        <v/>
      </c>
      <c r="O409" s="32" t="str">
        <f t="shared" si="302"/>
        <v/>
      </c>
      <c r="P409" s="32" t="str">
        <f t="shared" si="290"/>
        <v/>
      </c>
      <c r="Q409" s="32" t="str">
        <f t="shared" si="291"/>
        <v/>
      </c>
      <c r="R409" s="32" t="str">
        <f t="shared" si="303"/>
        <v/>
      </c>
      <c r="S409" s="24" t="str">
        <f t="shared" si="304"/>
        <v/>
      </c>
      <c r="T409" s="24" t="str">
        <f t="shared" si="305"/>
        <v/>
      </c>
      <c r="U409" s="24" t="str">
        <f t="shared" si="306"/>
        <v/>
      </c>
      <c r="V409" s="24" t="str">
        <f t="shared" si="307"/>
        <v/>
      </c>
      <c r="W409" s="23" t="str">
        <f t="array" ref="W409">IFERROR(SMALL(IF(S$1:S$1000="BEGIN",ROW(S$1:S$1000)),ROW()-3),"")</f>
        <v/>
      </c>
      <c r="X409" s="23" t="str">
        <f t="array" ref="X409">IFERROR(SMALL(IF(T$1:T$1000="END",ROW(T$1:T$1000)),ROW()-3),"")</f>
        <v/>
      </c>
      <c r="Y409" s="33" t="str">
        <f t="array" ref="Y409">IF(ISNUMBER(W409),MAX(IF((B$4:B$1000&lt;=X409)*(B$4:B$1000&gt;=W409),I$4:I$1000, "")),"")</f>
        <v/>
      </c>
      <c r="Z409" s="33" t="str">
        <f t="shared" si="292"/>
        <v/>
      </c>
      <c r="AA409" s="32" t="str">
        <f t="shared" si="293"/>
        <v/>
      </c>
      <c r="AB409" s="32" t="str">
        <f t="shared" si="294"/>
        <v/>
      </c>
      <c r="AC409" s="32" t="str">
        <f t="shared" si="295"/>
        <v/>
      </c>
      <c r="AD409" s="32" t="str">
        <f t="shared" si="296"/>
        <v/>
      </c>
      <c r="AE409" s="34" t="str">
        <f t="shared" si="297"/>
        <v/>
      </c>
      <c r="AF409" s="32" t="str">
        <f t="shared" si="298"/>
        <v/>
      </c>
      <c r="AG409" s="32" t="str">
        <f t="shared" si="299"/>
        <v/>
      </c>
      <c r="AH409" s="32" t="str">
        <f t="shared" si="300"/>
        <v/>
      </c>
      <c r="AI409" s="35" t="str">
        <f t="shared" si="301"/>
        <v/>
      </c>
      <c r="AJ409" s="23" t="str">
        <f t="array" ref="AJ409">IFERROR(SMALL(IF(U$1:U$1000="BEGIN",ROW(U$1:U$1000)),ROW()-3),"")</f>
        <v/>
      </c>
      <c r="AK409" s="23" t="str">
        <f t="array" ref="AK409">IFERROR(SMALL(IF(V$1:V$1000="END",ROW(V$1:V$1000)),ROW()-3),"")</f>
        <v/>
      </c>
      <c r="AL409" s="24" t="str">
        <f t="array" ref="AL409">IF(AK409="","",MATCH(AM409,L:L,0))</f>
        <v/>
      </c>
      <c r="AM409" s="35">
        <f t="array" ref="AM409">MAX(IF((B$4:B$1000&lt;=AK409)*(B$4:B$1000&gt;=AJ409),L$4:L$1000, ""))</f>
        <v>0</v>
      </c>
      <c r="AN409" s="32" t="str">
        <f t="shared" si="308"/>
        <v/>
      </c>
      <c r="AO409" s="32" t="str">
        <f t="shared" si="309"/>
        <v/>
      </c>
      <c r="AP409" s="32" t="str">
        <f t="shared" si="310"/>
        <v/>
      </c>
      <c r="AQ409" s="32" t="str">
        <f t="shared" si="311"/>
        <v/>
      </c>
      <c r="AR409" s="32" t="str">
        <f t="shared" si="312"/>
        <v/>
      </c>
      <c r="AS409" s="32" t="str">
        <f t="shared" si="313"/>
        <v/>
      </c>
      <c r="AT409" s="32" t="str">
        <f t="shared" si="314"/>
        <v/>
      </c>
      <c r="AU409" s="34" t="str">
        <f t="shared" si="315"/>
        <v/>
      </c>
      <c r="AV409" s="32" t="str">
        <f t="shared" si="316"/>
        <v/>
      </c>
      <c r="AW409" s="32" t="str">
        <f t="shared" si="317"/>
        <v/>
      </c>
      <c r="AX409" s="32" t="str">
        <f t="shared" si="318"/>
        <v/>
      </c>
      <c r="AY409" s="32" t="str">
        <f t="shared" si="319"/>
        <v/>
      </c>
    </row>
    <row r="410" spans="1:51" x14ac:dyDescent="0.25">
      <c r="A410" s="24" t="str">
        <f t="shared" si="277"/>
        <v/>
      </c>
      <c r="B410" s="24" t="str">
        <f t="shared" si="287"/>
        <v/>
      </c>
      <c r="C410" s="32" t="str">
        <f t="shared" si="278"/>
        <v/>
      </c>
      <c r="D410" s="24" t="str">
        <f t="shared" si="279"/>
        <v/>
      </c>
      <c r="E410" s="24" t="str">
        <f t="shared" si="280"/>
        <v/>
      </c>
      <c r="F410" s="32" t="str">
        <f t="shared" si="281"/>
        <v/>
      </c>
      <c r="G410" s="32" t="str">
        <f t="shared" si="282"/>
        <v/>
      </c>
      <c r="H410" s="32" t="str">
        <f t="shared" ca="1" si="283"/>
        <v/>
      </c>
      <c r="I410" s="32" t="str">
        <f t="shared" ca="1" si="288"/>
        <v/>
      </c>
      <c r="J410" s="32" t="str">
        <f t="shared" si="284"/>
        <v/>
      </c>
      <c r="K410" s="32" t="str">
        <f>IF(ISNUMBER(A410),Profile!$V$25+Profile!$V$24*'Ri-Po'!C410,"")</f>
        <v/>
      </c>
      <c r="L410" s="32" t="str">
        <f t="shared" si="289"/>
        <v/>
      </c>
      <c r="M410" s="32" t="str">
        <f t="shared" si="285"/>
        <v/>
      </c>
      <c r="N410" s="32" t="str">
        <f t="shared" si="286"/>
        <v/>
      </c>
      <c r="O410" s="32" t="str">
        <f t="shared" si="302"/>
        <v/>
      </c>
      <c r="P410" s="32" t="str">
        <f t="shared" si="290"/>
        <v/>
      </c>
      <c r="Q410" s="32" t="str">
        <f t="shared" si="291"/>
        <v/>
      </c>
      <c r="R410" s="32" t="str">
        <f t="shared" si="303"/>
        <v/>
      </c>
      <c r="S410" s="24" t="str">
        <f t="shared" si="304"/>
        <v/>
      </c>
      <c r="T410" s="24" t="str">
        <f t="shared" si="305"/>
        <v/>
      </c>
      <c r="U410" s="24" t="str">
        <f t="shared" si="306"/>
        <v/>
      </c>
      <c r="V410" s="24" t="str">
        <f t="shared" si="307"/>
        <v/>
      </c>
      <c r="W410" s="23" t="str">
        <f t="array" ref="W410">IFERROR(SMALL(IF(S$1:S$1000="BEGIN",ROW(S$1:S$1000)),ROW()-3),"")</f>
        <v/>
      </c>
      <c r="X410" s="23" t="str">
        <f t="array" ref="X410">IFERROR(SMALL(IF(T$1:T$1000="END",ROW(T$1:T$1000)),ROW()-3),"")</f>
        <v/>
      </c>
      <c r="Y410" s="33" t="str">
        <f t="array" ref="Y410">IF(ISNUMBER(W410),MAX(IF((B$4:B$1000&lt;=X410)*(B$4:B$1000&gt;=W410),I$4:I$1000, "")),"")</f>
        <v/>
      </c>
      <c r="Z410" s="33" t="str">
        <f t="shared" si="292"/>
        <v/>
      </c>
      <c r="AA410" s="32" t="str">
        <f t="shared" si="293"/>
        <v/>
      </c>
      <c r="AB410" s="32" t="str">
        <f t="shared" si="294"/>
        <v/>
      </c>
      <c r="AC410" s="32" t="str">
        <f t="shared" si="295"/>
        <v/>
      </c>
      <c r="AD410" s="32" t="str">
        <f t="shared" si="296"/>
        <v/>
      </c>
      <c r="AE410" s="34" t="str">
        <f t="shared" si="297"/>
        <v/>
      </c>
      <c r="AF410" s="32" t="str">
        <f t="shared" si="298"/>
        <v/>
      </c>
      <c r="AG410" s="32" t="str">
        <f t="shared" si="299"/>
        <v/>
      </c>
      <c r="AH410" s="32" t="str">
        <f t="shared" si="300"/>
        <v/>
      </c>
      <c r="AI410" s="35" t="str">
        <f t="shared" si="301"/>
        <v/>
      </c>
      <c r="AJ410" s="23" t="str">
        <f t="array" ref="AJ410">IFERROR(SMALL(IF(U$1:U$1000="BEGIN",ROW(U$1:U$1000)),ROW()-3),"")</f>
        <v/>
      </c>
      <c r="AK410" s="23" t="str">
        <f t="array" ref="AK410">IFERROR(SMALL(IF(V$1:V$1000="END",ROW(V$1:V$1000)),ROW()-3),"")</f>
        <v/>
      </c>
      <c r="AL410" s="24" t="str">
        <f t="array" ref="AL410">IF(AK410="","",MATCH(AM410,L:L,0))</f>
        <v/>
      </c>
      <c r="AM410" s="35">
        <f t="array" ref="AM410">MAX(IF((B$4:B$1000&lt;=AK410)*(B$4:B$1000&gt;=AJ410),L$4:L$1000, ""))</f>
        <v>0</v>
      </c>
      <c r="AN410" s="32" t="str">
        <f t="shared" si="308"/>
        <v/>
      </c>
      <c r="AO410" s="32" t="str">
        <f t="shared" si="309"/>
        <v/>
      </c>
      <c r="AP410" s="32" t="str">
        <f t="shared" si="310"/>
        <v/>
      </c>
      <c r="AQ410" s="32" t="str">
        <f t="shared" si="311"/>
        <v/>
      </c>
      <c r="AR410" s="32" t="str">
        <f t="shared" si="312"/>
        <v/>
      </c>
      <c r="AS410" s="32" t="str">
        <f t="shared" si="313"/>
        <v/>
      </c>
      <c r="AT410" s="32" t="str">
        <f t="shared" si="314"/>
        <v/>
      </c>
      <c r="AU410" s="34" t="str">
        <f t="shared" si="315"/>
        <v/>
      </c>
      <c r="AV410" s="32" t="str">
        <f t="shared" si="316"/>
        <v/>
      </c>
      <c r="AW410" s="32" t="str">
        <f t="shared" si="317"/>
        <v/>
      </c>
      <c r="AX410" s="32" t="str">
        <f t="shared" si="318"/>
        <v/>
      </c>
      <c r="AY410" s="32" t="str">
        <f t="shared" si="319"/>
        <v/>
      </c>
    </row>
    <row r="411" spans="1:51" x14ac:dyDescent="0.25">
      <c r="A411" s="24" t="str">
        <f t="shared" si="277"/>
        <v/>
      </c>
      <c r="B411" s="24" t="str">
        <f t="shared" si="287"/>
        <v/>
      </c>
      <c r="C411" s="32" t="str">
        <f t="shared" si="278"/>
        <v/>
      </c>
      <c r="D411" s="24" t="str">
        <f t="shared" si="279"/>
        <v/>
      </c>
      <c r="E411" s="24" t="str">
        <f t="shared" si="280"/>
        <v/>
      </c>
      <c r="F411" s="32" t="str">
        <f t="shared" si="281"/>
        <v/>
      </c>
      <c r="G411" s="32" t="str">
        <f t="shared" si="282"/>
        <v/>
      </c>
      <c r="H411" s="32" t="str">
        <f t="shared" ca="1" si="283"/>
        <v/>
      </c>
      <c r="I411" s="32" t="str">
        <f t="shared" ca="1" si="288"/>
        <v/>
      </c>
      <c r="J411" s="32" t="str">
        <f t="shared" si="284"/>
        <v/>
      </c>
      <c r="K411" s="32" t="str">
        <f>IF(ISNUMBER(A411),Profile!$V$25+Profile!$V$24*'Ri-Po'!C411,"")</f>
        <v/>
      </c>
      <c r="L411" s="32" t="str">
        <f t="shared" si="289"/>
        <v/>
      </c>
      <c r="M411" s="32" t="str">
        <f t="shared" si="285"/>
        <v/>
      </c>
      <c r="N411" s="32" t="str">
        <f t="shared" si="286"/>
        <v/>
      </c>
      <c r="O411" s="32" t="str">
        <f t="shared" si="302"/>
        <v/>
      </c>
      <c r="P411" s="32" t="str">
        <f t="shared" si="290"/>
        <v/>
      </c>
      <c r="Q411" s="32" t="str">
        <f t="shared" si="291"/>
        <v/>
      </c>
      <c r="R411" s="32" t="str">
        <f t="shared" si="303"/>
        <v/>
      </c>
      <c r="S411" s="24" t="str">
        <f t="shared" si="304"/>
        <v/>
      </c>
      <c r="T411" s="24" t="str">
        <f t="shared" si="305"/>
        <v/>
      </c>
      <c r="U411" s="24" t="str">
        <f t="shared" si="306"/>
        <v/>
      </c>
      <c r="V411" s="24" t="str">
        <f t="shared" si="307"/>
        <v/>
      </c>
      <c r="W411" s="23" t="str">
        <f t="array" ref="W411">IFERROR(SMALL(IF(S$1:S$1000="BEGIN",ROW(S$1:S$1000)),ROW()-3),"")</f>
        <v/>
      </c>
      <c r="X411" s="23" t="str">
        <f t="array" ref="X411">IFERROR(SMALL(IF(T$1:T$1000="END",ROW(T$1:T$1000)),ROW()-3),"")</f>
        <v/>
      </c>
      <c r="Y411" s="33" t="str">
        <f t="array" ref="Y411">IF(ISNUMBER(W411),MAX(IF((B$4:B$1000&lt;=X411)*(B$4:B$1000&gt;=W411),I$4:I$1000, "")),"")</f>
        <v/>
      </c>
      <c r="Z411" s="33" t="str">
        <f t="shared" si="292"/>
        <v/>
      </c>
      <c r="AA411" s="32" t="str">
        <f t="shared" si="293"/>
        <v/>
      </c>
      <c r="AB411" s="32" t="str">
        <f t="shared" si="294"/>
        <v/>
      </c>
      <c r="AC411" s="32" t="str">
        <f t="shared" si="295"/>
        <v/>
      </c>
      <c r="AD411" s="32" t="str">
        <f t="shared" si="296"/>
        <v/>
      </c>
      <c r="AE411" s="34" t="str">
        <f t="shared" si="297"/>
        <v/>
      </c>
      <c r="AF411" s="32" t="str">
        <f t="shared" si="298"/>
        <v/>
      </c>
      <c r="AG411" s="32" t="str">
        <f t="shared" si="299"/>
        <v/>
      </c>
      <c r="AH411" s="32" t="str">
        <f t="shared" si="300"/>
        <v/>
      </c>
      <c r="AI411" s="35" t="str">
        <f t="shared" si="301"/>
        <v/>
      </c>
      <c r="AJ411" s="23" t="str">
        <f t="array" ref="AJ411">IFERROR(SMALL(IF(U$1:U$1000="BEGIN",ROW(U$1:U$1000)),ROW()-3),"")</f>
        <v/>
      </c>
      <c r="AK411" s="23" t="str">
        <f t="array" ref="AK411">IFERROR(SMALL(IF(V$1:V$1000="END",ROW(V$1:V$1000)),ROW()-3),"")</f>
        <v/>
      </c>
      <c r="AL411" s="24" t="str">
        <f t="array" ref="AL411">IF(AK411="","",MATCH(AM411,L:L,0))</f>
        <v/>
      </c>
      <c r="AM411" s="35">
        <f t="array" ref="AM411">MAX(IF((B$4:B$1000&lt;=AK411)*(B$4:B$1000&gt;=AJ411),L$4:L$1000, ""))</f>
        <v>0</v>
      </c>
      <c r="AN411" s="32" t="str">
        <f t="shared" si="308"/>
        <v/>
      </c>
      <c r="AO411" s="32" t="str">
        <f t="shared" si="309"/>
        <v/>
      </c>
      <c r="AP411" s="32" t="str">
        <f t="shared" si="310"/>
        <v/>
      </c>
      <c r="AQ411" s="32" t="str">
        <f t="shared" si="311"/>
        <v/>
      </c>
      <c r="AR411" s="32" t="str">
        <f t="shared" si="312"/>
        <v/>
      </c>
      <c r="AS411" s="32" t="str">
        <f t="shared" si="313"/>
        <v/>
      </c>
      <c r="AT411" s="32" t="str">
        <f t="shared" si="314"/>
        <v/>
      </c>
      <c r="AU411" s="34" t="str">
        <f t="shared" si="315"/>
        <v/>
      </c>
      <c r="AV411" s="32" t="str">
        <f t="shared" si="316"/>
        <v/>
      </c>
      <c r="AW411" s="32" t="str">
        <f t="shared" si="317"/>
        <v/>
      </c>
      <c r="AX411" s="32" t="str">
        <f t="shared" si="318"/>
        <v/>
      </c>
      <c r="AY411" s="32" t="str">
        <f t="shared" si="319"/>
        <v/>
      </c>
    </row>
    <row r="412" spans="1:51" x14ac:dyDescent="0.25">
      <c r="A412" s="24" t="str">
        <f t="shared" si="277"/>
        <v/>
      </c>
      <c r="B412" s="24" t="str">
        <f t="shared" si="287"/>
        <v/>
      </c>
      <c r="C412" s="32" t="str">
        <f t="shared" si="278"/>
        <v/>
      </c>
      <c r="D412" s="24" t="str">
        <f t="shared" si="279"/>
        <v/>
      </c>
      <c r="E412" s="24" t="str">
        <f t="shared" si="280"/>
        <v/>
      </c>
      <c r="F412" s="32" t="str">
        <f t="shared" si="281"/>
        <v/>
      </c>
      <c r="G412" s="32" t="str">
        <f t="shared" si="282"/>
        <v/>
      </c>
      <c r="H412" s="32" t="str">
        <f t="shared" ca="1" si="283"/>
        <v/>
      </c>
      <c r="I412" s="32" t="str">
        <f t="shared" ca="1" si="288"/>
        <v/>
      </c>
      <c r="J412" s="32" t="str">
        <f t="shared" si="284"/>
        <v/>
      </c>
      <c r="K412" s="32" t="str">
        <f>IF(ISNUMBER(A412),Profile!$V$25+Profile!$V$24*'Ri-Po'!C412,"")</f>
        <v/>
      </c>
      <c r="L412" s="32" t="str">
        <f t="shared" si="289"/>
        <v/>
      </c>
      <c r="M412" s="32" t="str">
        <f t="shared" si="285"/>
        <v/>
      </c>
      <c r="N412" s="32" t="str">
        <f t="shared" si="286"/>
        <v/>
      </c>
      <c r="O412" s="32" t="str">
        <f t="shared" si="302"/>
        <v/>
      </c>
      <c r="P412" s="32" t="str">
        <f t="shared" si="290"/>
        <v/>
      </c>
      <c r="Q412" s="32" t="str">
        <f t="shared" si="291"/>
        <v/>
      </c>
      <c r="R412" s="32" t="str">
        <f t="shared" si="303"/>
        <v/>
      </c>
      <c r="S412" s="24" t="str">
        <f t="shared" si="304"/>
        <v/>
      </c>
      <c r="T412" s="24" t="str">
        <f t="shared" si="305"/>
        <v/>
      </c>
      <c r="U412" s="24" t="str">
        <f t="shared" si="306"/>
        <v/>
      </c>
      <c r="V412" s="24" t="str">
        <f t="shared" si="307"/>
        <v/>
      </c>
      <c r="W412" s="23" t="str">
        <f t="array" ref="W412">IFERROR(SMALL(IF(S$1:S$1000="BEGIN",ROW(S$1:S$1000)),ROW()-3),"")</f>
        <v/>
      </c>
      <c r="X412" s="23" t="str">
        <f t="array" ref="X412">IFERROR(SMALL(IF(T$1:T$1000="END",ROW(T$1:T$1000)),ROW()-3),"")</f>
        <v/>
      </c>
      <c r="Y412" s="33" t="str">
        <f t="array" ref="Y412">IF(ISNUMBER(W412),MAX(IF((B$4:B$1000&lt;=X412)*(B$4:B$1000&gt;=W412),I$4:I$1000, "")),"")</f>
        <v/>
      </c>
      <c r="Z412" s="33" t="str">
        <f t="shared" si="292"/>
        <v/>
      </c>
      <c r="AA412" s="32" t="str">
        <f t="shared" si="293"/>
        <v/>
      </c>
      <c r="AB412" s="32" t="str">
        <f t="shared" si="294"/>
        <v/>
      </c>
      <c r="AC412" s="32" t="str">
        <f t="shared" si="295"/>
        <v/>
      </c>
      <c r="AD412" s="32" t="str">
        <f t="shared" si="296"/>
        <v/>
      </c>
      <c r="AE412" s="34" t="str">
        <f t="shared" si="297"/>
        <v/>
      </c>
      <c r="AF412" s="32" t="str">
        <f t="shared" si="298"/>
        <v/>
      </c>
      <c r="AG412" s="32" t="str">
        <f t="shared" si="299"/>
        <v/>
      </c>
      <c r="AH412" s="32" t="str">
        <f t="shared" si="300"/>
        <v/>
      </c>
      <c r="AI412" s="35" t="str">
        <f t="shared" si="301"/>
        <v/>
      </c>
      <c r="AJ412" s="23" t="str">
        <f t="array" ref="AJ412">IFERROR(SMALL(IF(U$1:U$1000="BEGIN",ROW(U$1:U$1000)),ROW()-3),"")</f>
        <v/>
      </c>
      <c r="AK412" s="23" t="str">
        <f t="array" ref="AK412">IFERROR(SMALL(IF(V$1:V$1000="END",ROW(V$1:V$1000)),ROW()-3),"")</f>
        <v/>
      </c>
      <c r="AL412" s="24" t="str">
        <f t="array" ref="AL412">IF(AK412="","",MATCH(AM412,L:L,0))</f>
        <v/>
      </c>
      <c r="AM412" s="35">
        <f t="array" ref="AM412">MAX(IF((B$4:B$1000&lt;=AK412)*(B$4:B$1000&gt;=AJ412),L$4:L$1000, ""))</f>
        <v>0</v>
      </c>
      <c r="AN412" s="32" t="str">
        <f t="shared" si="308"/>
        <v/>
      </c>
      <c r="AO412" s="32" t="str">
        <f t="shared" si="309"/>
        <v/>
      </c>
      <c r="AP412" s="32" t="str">
        <f t="shared" si="310"/>
        <v/>
      </c>
      <c r="AQ412" s="32" t="str">
        <f t="shared" si="311"/>
        <v/>
      </c>
      <c r="AR412" s="32" t="str">
        <f t="shared" si="312"/>
        <v/>
      </c>
      <c r="AS412" s="32" t="str">
        <f t="shared" si="313"/>
        <v/>
      </c>
      <c r="AT412" s="32" t="str">
        <f t="shared" si="314"/>
        <v/>
      </c>
      <c r="AU412" s="34" t="str">
        <f t="shared" si="315"/>
        <v/>
      </c>
      <c r="AV412" s="32" t="str">
        <f t="shared" si="316"/>
        <v/>
      </c>
      <c r="AW412" s="32" t="str">
        <f t="shared" si="317"/>
        <v/>
      </c>
      <c r="AX412" s="32" t="str">
        <f t="shared" si="318"/>
        <v/>
      </c>
      <c r="AY412" s="32" t="str">
        <f t="shared" si="319"/>
        <v/>
      </c>
    </row>
    <row r="413" spans="1:51" x14ac:dyDescent="0.25">
      <c r="A413" s="24" t="str">
        <f t="shared" si="277"/>
        <v/>
      </c>
      <c r="B413" s="24" t="str">
        <f t="shared" si="287"/>
        <v/>
      </c>
      <c r="C413" s="32" t="str">
        <f t="shared" si="278"/>
        <v/>
      </c>
      <c r="D413" s="24" t="str">
        <f t="shared" si="279"/>
        <v/>
      </c>
      <c r="E413" s="24" t="str">
        <f t="shared" si="280"/>
        <v/>
      </c>
      <c r="F413" s="32" t="str">
        <f t="shared" si="281"/>
        <v/>
      </c>
      <c r="G413" s="32" t="str">
        <f t="shared" si="282"/>
        <v/>
      </c>
      <c r="H413" s="32" t="str">
        <f t="shared" ca="1" si="283"/>
        <v/>
      </c>
      <c r="I413" s="32" t="str">
        <f t="shared" ca="1" si="288"/>
        <v/>
      </c>
      <c r="J413" s="32" t="str">
        <f t="shared" si="284"/>
        <v/>
      </c>
      <c r="K413" s="32" t="str">
        <f>IF(ISNUMBER(A413),Profile!$V$25+Profile!$V$24*'Ri-Po'!C413,"")</f>
        <v/>
      </c>
      <c r="L413" s="32" t="str">
        <f t="shared" si="289"/>
        <v/>
      </c>
      <c r="M413" s="32" t="str">
        <f t="shared" si="285"/>
        <v/>
      </c>
      <c r="N413" s="32" t="str">
        <f t="shared" si="286"/>
        <v/>
      </c>
      <c r="O413" s="32" t="str">
        <f t="shared" si="302"/>
        <v/>
      </c>
      <c r="P413" s="32" t="str">
        <f t="shared" si="290"/>
        <v/>
      </c>
      <c r="Q413" s="32" t="str">
        <f t="shared" si="291"/>
        <v/>
      </c>
      <c r="R413" s="32" t="str">
        <f t="shared" si="303"/>
        <v/>
      </c>
      <c r="S413" s="24" t="str">
        <f t="shared" si="304"/>
        <v/>
      </c>
      <c r="T413" s="24" t="str">
        <f t="shared" si="305"/>
        <v/>
      </c>
      <c r="U413" s="24" t="str">
        <f t="shared" si="306"/>
        <v/>
      </c>
      <c r="V413" s="24" t="str">
        <f t="shared" si="307"/>
        <v/>
      </c>
      <c r="W413" s="23" t="str">
        <f t="array" ref="W413">IFERROR(SMALL(IF(S$1:S$1000="BEGIN",ROW(S$1:S$1000)),ROW()-3),"")</f>
        <v/>
      </c>
      <c r="X413" s="23" t="str">
        <f t="array" ref="X413">IFERROR(SMALL(IF(T$1:T$1000="END",ROW(T$1:T$1000)),ROW()-3),"")</f>
        <v/>
      </c>
      <c r="Y413" s="33" t="str">
        <f t="array" ref="Y413">IF(ISNUMBER(W413),MAX(IF((B$4:B$1000&lt;=X413)*(B$4:B$1000&gt;=W413),I$4:I$1000, "")),"")</f>
        <v/>
      </c>
      <c r="Z413" s="33" t="str">
        <f t="shared" si="292"/>
        <v/>
      </c>
      <c r="AA413" s="32" t="str">
        <f t="shared" si="293"/>
        <v/>
      </c>
      <c r="AB413" s="32" t="str">
        <f t="shared" si="294"/>
        <v/>
      </c>
      <c r="AC413" s="32" t="str">
        <f t="shared" si="295"/>
        <v/>
      </c>
      <c r="AD413" s="32" t="str">
        <f t="shared" si="296"/>
        <v/>
      </c>
      <c r="AE413" s="34" t="str">
        <f t="shared" si="297"/>
        <v/>
      </c>
      <c r="AF413" s="32" t="str">
        <f t="shared" si="298"/>
        <v/>
      </c>
      <c r="AG413" s="32" t="str">
        <f t="shared" si="299"/>
        <v/>
      </c>
      <c r="AH413" s="32" t="str">
        <f t="shared" si="300"/>
        <v/>
      </c>
      <c r="AI413" s="35" t="str">
        <f t="shared" si="301"/>
        <v/>
      </c>
      <c r="AJ413" s="23" t="str">
        <f t="array" ref="AJ413">IFERROR(SMALL(IF(U$1:U$1000="BEGIN",ROW(U$1:U$1000)),ROW()-3),"")</f>
        <v/>
      </c>
      <c r="AK413" s="23" t="str">
        <f t="array" ref="AK413">IFERROR(SMALL(IF(V$1:V$1000="END",ROW(V$1:V$1000)),ROW()-3),"")</f>
        <v/>
      </c>
      <c r="AL413" s="24" t="str">
        <f t="array" ref="AL413">IF(AK413="","",MATCH(AM413,L:L,0))</f>
        <v/>
      </c>
      <c r="AM413" s="35">
        <f t="array" ref="AM413">MAX(IF((B$4:B$1000&lt;=AK413)*(B$4:B$1000&gt;=AJ413),L$4:L$1000, ""))</f>
        <v>0</v>
      </c>
      <c r="AN413" s="32" t="str">
        <f t="shared" si="308"/>
        <v/>
      </c>
      <c r="AO413" s="32" t="str">
        <f t="shared" si="309"/>
        <v/>
      </c>
      <c r="AP413" s="32" t="str">
        <f t="shared" si="310"/>
        <v/>
      </c>
      <c r="AQ413" s="32" t="str">
        <f t="shared" si="311"/>
        <v/>
      </c>
      <c r="AR413" s="32" t="str">
        <f t="shared" si="312"/>
        <v/>
      </c>
      <c r="AS413" s="32" t="str">
        <f t="shared" si="313"/>
        <v/>
      </c>
      <c r="AT413" s="32" t="str">
        <f t="shared" si="314"/>
        <v/>
      </c>
      <c r="AU413" s="34" t="str">
        <f t="shared" si="315"/>
        <v/>
      </c>
      <c r="AV413" s="32" t="str">
        <f t="shared" si="316"/>
        <v/>
      </c>
      <c r="AW413" s="32" t="str">
        <f t="shared" si="317"/>
        <v/>
      </c>
      <c r="AX413" s="32" t="str">
        <f t="shared" si="318"/>
        <v/>
      </c>
      <c r="AY413" s="32" t="str">
        <f t="shared" si="319"/>
        <v/>
      </c>
    </row>
    <row r="414" spans="1:51" x14ac:dyDescent="0.25">
      <c r="A414" s="24" t="str">
        <f t="shared" si="277"/>
        <v/>
      </c>
      <c r="B414" s="24" t="str">
        <f t="shared" si="287"/>
        <v/>
      </c>
      <c r="C414" s="32" t="str">
        <f t="shared" si="278"/>
        <v/>
      </c>
      <c r="D414" s="24" t="str">
        <f t="shared" si="279"/>
        <v/>
      </c>
      <c r="E414" s="24" t="str">
        <f t="shared" si="280"/>
        <v/>
      </c>
      <c r="F414" s="32" t="str">
        <f t="shared" si="281"/>
        <v/>
      </c>
      <c r="G414" s="32" t="str">
        <f t="shared" si="282"/>
        <v/>
      </c>
      <c r="H414" s="32" t="str">
        <f t="shared" ca="1" si="283"/>
        <v/>
      </c>
      <c r="I414" s="32" t="str">
        <f t="shared" ca="1" si="288"/>
        <v/>
      </c>
      <c r="J414" s="32" t="str">
        <f t="shared" si="284"/>
        <v/>
      </c>
      <c r="K414" s="32" t="str">
        <f>IF(ISNUMBER(A414),Profile!$V$25+Profile!$V$24*'Ri-Po'!C414,"")</f>
        <v/>
      </c>
      <c r="L414" s="32" t="str">
        <f t="shared" si="289"/>
        <v/>
      </c>
      <c r="M414" s="32" t="str">
        <f t="shared" si="285"/>
        <v/>
      </c>
      <c r="N414" s="32" t="str">
        <f t="shared" si="286"/>
        <v/>
      </c>
      <c r="O414" s="32" t="str">
        <f t="shared" si="302"/>
        <v/>
      </c>
      <c r="P414" s="32" t="str">
        <f t="shared" si="290"/>
        <v/>
      </c>
      <c r="Q414" s="32" t="str">
        <f t="shared" si="291"/>
        <v/>
      </c>
      <c r="R414" s="32" t="str">
        <f t="shared" si="303"/>
        <v/>
      </c>
      <c r="S414" s="24" t="str">
        <f t="shared" si="304"/>
        <v/>
      </c>
      <c r="T414" s="24" t="str">
        <f t="shared" si="305"/>
        <v/>
      </c>
      <c r="U414" s="24" t="str">
        <f t="shared" si="306"/>
        <v/>
      </c>
      <c r="V414" s="24" t="str">
        <f t="shared" si="307"/>
        <v/>
      </c>
      <c r="W414" s="23" t="str">
        <f t="array" ref="W414">IFERROR(SMALL(IF(S$1:S$1000="BEGIN",ROW(S$1:S$1000)),ROW()-3),"")</f>
        <v/>
      </c>
      <c r="X414" s="23" t="str">
        <f t="array" ref="X414">IFERROR(SMALL(IF(T$1:T$1000="END",ROW(T$1:T$1000)),ROW()-3),"")</f>
        <v/>
      </c>
      <c r="Y414" s="33" t="str">
        <f t="array" ref="Y414">IF(ISNUMBER(W414),MAX(IF((B$4:B$1000&lt;=X414)*(B$4:B$1000&gt;=W414),I$4:I$1000, "")),"")</f>
        <v/>
      </c>
      <c r="Z414" s="33" t="str">
        <f t="shared" si="292"/>
        <v/>
      </c>
      <c r="AA414" s="32" t="str">
        <f t="shared" si="293"/>
        <v/>
      </c>
      <c r="AB414" s="32" t="str">
        <f t="shared" si="294"/>
        <v/>
      </c>
      <c r="AC414" s="32" t="str">
        <f t="shared" si="295"/>
        <v/>
      </c>
      <c r="AD414" s="32" t="str">
        <f t="shared" si="296"/>
        <v/>
      </c>
      <c r="AE414" s="34" t="str">
        <f t="shared" si="297"/>
        <v/>
      </c>
      <c r="AF414" s="32" t="str">
        <f t="shared" si="298"/>
        <v/>
      </c>
      <c r="AG414" s="32" t="str">
        <f t="shared" si="299"/>
        <v/>
      </c>
      <c r="AH414" s="32" t="str">
        <f t="shared" si="300"/>
        <v/>
      </c>
      <c r="AI414" s="35" t="str">
        <f t="shared" si="301"/>
        <v/>
      </c>
      <c r="AJ414" s="23" t="str">
        <f t="array" ref="AJ414">IFERROR(SMALL(IF(U$1:U$1000="BEGIN",ROW(U$1:U$1000)),ROW()-3),"")</f>
        <v/>
      </c>
      <c r="AK414" s="23" t="str">
        <f t="array" ref="AK414">IFERROR(SMALL(IF(V$1:V$1000="END",ROW(V$1:V$1000)),ROW()-3),"")</f>
        <v/>
      </c>
      <c r="AL414" s="24" t="str">
        <f t="array" ref="AL414">IF(AK414="","",MATCH(AM414,L:L,0))</f>
        <v/>
      </c>
      <c r="AM414" s="35">
        <f t="array" ref="AM414">MAX(IF((B$4:B$1000&lt;=AK414)*(B$4:B$1000&gt;=AJ414),L$4:L$1000, ""))</f>
        <v>0</v>
      </c>
      <c r="AN414" s="32" t="str">
        <f t="shared" si="308"/>
        <v/>
      </c>
      <c r="AO414" s="32" t="str">
        <f t="shared" si="309"/>
        <v/>
      </c>
      <c r="AP414" s="32" t="str">
        <f t="shared" si="310"/>
        <v/>
      </c>
      <c r="AQ414" s="32" t="str">
        <f t="shared" si="311"/>
        <v/>
      </c>
      <c r="AR414" s="32" t="str">
        <f t="shared" si="312"/>
        <v/>
      </c>
      <c r="AS414" s="32" t="str">
        <f t="shared" si="313"/>
        <v/>
      </c>
      <c r="AT414" s="32" t="str">
        <f t="shared" si="314"/>
        <v/>
      </c>
      <c r="AU414" s="34" t="str">
        <f t="shared" si="315"/>
        <v/>
      </c>
      <c r="AV414" s="32" t="str">
        <f t="shared" si="316"/>
        <v/>
      </c>
      <c r="AW414" s="32" t="str">
        <f t="shared" si="317"/>
        <v/>
      </c>
      <c r="AX414" s="32" t="str">
        <f t="shared" si="318"/>
        <v/>
      </c>
      <c r="AY414" s="32" t="str">
        <f t="shared" si="319"/>
        <v/>
      </c>
    </row>
    <row r="415" spans="1:51" x14ac:dyDescent="0.25">
      <c r="A415" s="24" t="str">
        <f t="shared" si="277"/>
        <v/>
      </c>
      <c r="B415" s="24" t="str">
        <f t="shared" si="287"/>
        <v/>
      </c>
      <c r="C415" s="32" t="str">
        <f t="shared" si="278"/>
        <v/>
      </c>
      <c r="D415" s="24" t="str">
        <f t="shared" si="279"/>
        <v/>
      </c>
      <c r="E415" s="24" t="str">
        <f t="shared" si="280"/>
        <v/>
      </c>
      <c r="F415" s="32" t="str">
        <f t="shared" si="281"/>
        <v/>
      </c>
      <c r="G415" s="32" t="str">
        <f t="shared" si="282"/>
        <v/>
      </c>
      <c r="H415" s="32" t="str">
        <f t="shared" ca="1" si="283"/>
        <v/>
      </c>
      <c r="I415" s="32" t="str">
        <f t="shared" ca="1" si="288"/>
        <v/>
      </c>
      <c r="J415" s="32" t="str">
        <f t="shared" si="284"/>
        <v/>
      </c>
      <c r="K415" s="32" t="str">
        <f>IF(ISNUMBER(A415),Profile!$V$25+Profile!$V$24*'Ri-Po'!C415,"")</f>
        <v/>
      </c>
      <c r="L415" s="32" t="str">
        <f t="shared" si="289"/>
        <v/>
      </c>
      <c r="M415" s="32" t="str">
        <f t="shared" si="285"/>
        <v/>
      </c>
      <c r="N415" s="32" t="str">
        <f t="shared" si="286"/>
        <v/>
      </c>
      <c r="O415" s="32" t="str">
        <f t="shared" si="302"/>
        <v/>
      </c>
      <c r="P415" s="32" t="str">
        <f t="shared" si="290"/>
        <v/>
      </c>
      <c r="Q415" s="32" t="str">
        <f t="shared" si="291"/>
        <v/>
      </c>
      <c r="R415" s="32" t="str">
        <f t="shared" si="303"/>
        <v/>
      </c>
      <c r="S415" s="24" t="str">
        <f t="shared" si="304"/>
        <v/>
      </c>
      <c r="T415" s="24" t="str">
        <f t="shared" si="305"/>
        <v/>
      </c>
      <c r="U415" s="24" t="str">
        <f t="shared" si="306"/>
        <v/>
      </c>
      <c r="V415" s="24" t="str">
        <f t="shared" si="307"/>
        <v/>
      </c>
      <c r="W415" s="23" t="str">
        <f t="array" ref="W415">IFERROR(SMALL(IF(S$1:S$1000="BEGIN",ROW(S$1:S$1000)),ROW()-3),"")</f>
        <v/>
      </c>
      <c r="X415" s="23" t="str">
        <f t="array" ref="X415">IFERROR(SMALL(IF(T$1:T$1000="END",ROW(T$1:T$1000)),ROW()-3),"")</f>
        <v/>
      </c>
      <c r="Y415" s="33" t="str">
        <f t="array" ref="Y415">IF(ISNUMBER(W415),MAX(IF((B$4:B$1000&lt;=X415)*(B$4:B$1000&gt;=W415),I$4:I$1000, "")),"")</f>
        <v/>
      </c>
      <c r="Z415" s="33" t="str">
        <f t="shared" si="292"/>
        <v/>
      </c>
      <c r="AA415" s="32" t="str">
        <f t="shared" si="293"/>
        <v/>
      </c>
      <c r="AB415" s="32" t="str">
        <f t="shared" si="294"/>
        <v/>
      </c>
      <c r="AC415" s="32" t="str">
        <f t="shared" si="295"/>
        <v/>
      </c>
      <c r="AD415" s="32" t="str">
        <f t="shared" si="296"/>
        <v/>
      </c>
      <c r="AE415" s="34" t="str">
        <f t="shared" si="297"/>
        <v/>
      </c>
      <c r="AF415" s="32" t="str">
        <f t="shared" si="298"/>
        <v/>
      </c>
      <c r="AG415" s="32" t="str">
        <f t="shared" si="299"/>
        <v/>
      </c>
      <c r="AH415" s="32" t="str">
        <f t="shared" si="300"/>
        <v/>
      </c>
      <c r="AI415" s="35" t="str">
        <f t="shared" si="301"/>
        <v/>
      </c>
      <c r="AJ415" s="23" t="str">
        <f t="array" ref="AJ415">IFERROR(SMALL(IF(U$1:U$1000="BEGIN",ROW(U$1:U$1000)),ROW()-3),"")</f>
        <v/>
      </c>
      <c r="AK415" s="23" t="str">
        <f t="array" ref="AK415">IFERROR(SMALL(IF(V$1:V$1000="END",ROW(V$1:V$1000)),ROW()-3),"")</f>
        <v/>
      </c>
      <c r="AL415" s="24" t="str">
        <f t="array" ref="AL415">IF(AK415="","",MATCH(AM415,L:L,0))</f>
        <v/>
      </c>
      <c r="AM415" s="35">
        <f t="array" ref="AM415">MAX(IF((B$4:B$1000&lt;=AK415)*(B$4:B$1000&gt;=AJ415),L$4:L$1000, ""))</f>
        <v>0</v>
      </c>
      <c r="AN415" s="32" t="str">
        <f t="shared" si="308"/>
        <v/>
      </c>
      <c r="AO415" s="32" t="str">
        <f t="shared" si="309"/>
        <v/>
      </c>
      <c r="AP415" s="32" t="str">
        <f t="shared" si="310"/>
        <v/>
      </c>
      <c r="AQ415" s="32" t="str">
        <f t="shared" si="311"/>
        <v/>
      </c>
      <c r="AR415" s="32" t="str">
        <f t="shared" si="312"/>
        <v/>
      </c>
      <c r="AS415" s="32" t="str">
        <f t="shared" si="313"/>
        <v/>
      </c>
      <c r="AT415" s="32" t="str">
        <f t="shared" si="314"/>
        <v/>
      </c>
      <c r="AU415" s="34" t="str">
        <f t="shared" si="315"/>
        <v/>
      </c>
      <c r="AV415" s="32" t="str">
        <f t="shared" si="316"/>
        <v/>
      </c>
      <c r="AW415" s="32" t="str">
        <f t="shared" si="317"/>
        <v/>
      </c>
      <c r="AX415" s="32" t="str">
        <f t="shared" si="318"/>
        <v/>
      </c>
      <c r="AY415" s="32" t="str">
        <f t="shared" si="319"/>
        <v/>
      </c>
    </row>
    <row r="416" spans="1:51" x14ac:dyDescent="0.25">
      <c r="A416" s="24" t="str">
        <f t="shared" si="277"/>
        <v/>
      </c>
      <c r="B416" s="24" t="str">
        <f t="shared" si="287"/>
        <v/>
      </c>
      <c r="C416" s="32" t="str">
        <f t="shared" si="278"/>
        <v/>
      </c>
      <c r="D416" s="24" t="str">
        <f t="shared" si="279"/>
        <v/>
      </c>
      <c r="E416" s="24" t="str">
        <f t="shared" si="280"/>
        <v/>
      </c>
      <c r="F416" s="32" t="str">
        <f t="shared" si="281"/>
        <v/>
      </c>
      <c r="G416" s="32" t="str">
        <f t="shared" si="282"/>
        <v/>
      </c>
      <c r="H416" s="32" t="str">
        <f t="shared" ca="1" si="283"/>
        <v/>
      </c>
      <c r="I416" s="32" t="str">
        <f t="shared" ca="1" si="288"/>
        <v/>
      </c>
      <c r="J416" s="32" t="str">
        <f t="shared" si="284"/>
        <v/>
      </c>
      <c r="K416" s="32" t="str">
        <f>IF(ISNUMBER(A416),Profile!$V$25+Profile!$V$24*'Ri-Po'!C416,"")</f>
        <v/>
      </c>
      <c r="L416" s="32" t="str">
        <f t="shared" si="289"/>
        <v/>
      </c>
      <c r="M416" s="32" t="str">
        <f t="shared" si="285"/>
        <v/>
      </c>
      <c r="N416" s="32" t="str">
        <f t="shared" si="286"/>
        <v/>
      </c>
      <c r="O416" s="32" t="str">
        <f t="shared" si="302"/>
        <v/>
      </c>
      <c r="P416" s="32" t="str">
        <f t="shared" si="290"/>
        <v/>
      </c>
      <c r="Q416" s="32" t="str">
        <f t="shared" si="291"/>
        <v/>
      </c>
      <c r="R416" s="32" t="str">
        <f t="shared" si="303"/>
        <v/>
      </c>
      <c r="S416" s="24" t="str">
        <f t="shared" si="304"/>
        <v/>
      </c>
      <c r="T416" s="24" t="str">
        <f t="shared" si="305"/>
        <v/>
      </c>
      <c r="U416" s="24" t="str">
        <f t="shared" si="306"/>
        <v/>
      </c>
      <c r="V416" s="24" t="str">
        <f t="shared" si="307"/>
        <v/>
      </c>
      <c r="W416" s="23" t="str">
        <f t="array" ref="W416">IFERROR(SMALL(IF(S$1:S$1000="BEGIN",ROW(S$1:S$1000)),ROW()-3),"")</f>
        <v/>
      </c>
      <c r="X416" s="23" t="str">
        <f t="array" ref="X416">IFERROR(SMALL(IF(T$1:T$1000="END",ROW(T$1:T$1000)),ROW()-3),"")</f>
        <v/>
      </c>
      <c r="Y416" s="33" t="str">
        <f t="array" ref="Y416">IF(ISNUMBER(W416),MAX(IF((B$4:B$1000&lt;=X416)*(B$4:B$1000&gt;=W416),I$4:I$1000, "")),"")</f>
        <v/>
      </c>
      <c r="Z416" s="33" t="str">
        <f t="shared" si="292"/>
        <v/>
      </c>
      <c r="AA416" s="32" t="str">
        <f t="shared" si="293"/>
        <v/>
      </c>
      <c r="AB416" s="32" t="str">
        <f t="shared" si="294"/>
        <v/>
      </c>
      <c r="AC416" s="32" t="str">
        <f t="shared" si="295"/>
        <v/>
      </c>
      <c r="AD416" s="32" t="str">
        <f t="shared" si="296"/>
        <v/>
      </c>
      <c r="AE416" s="34" t="str">
        <f t="shared" si="297"/>
        <v/>
      </c>
      <c r="AF416" s="32" t="str">
        <f t="shared" si="298"/>
        <v/>
      </c>
      <c r="AG416" s="32" t="str">
        <f t="shared" si="299"/>
        <v/>
      </c>
      <c r="AH416" s="32" t="str">
        <f t="shared" si="300"/>
        <v/>
      </c>
      <c r="AI416" s="35" t="str">
        <f t="shared" si="301"/>
        <v/>
      </c>
      <c r="AJ416" s="23" t="str">
        <f t="array" ref="AJ416">IFERROR(SMALL(IF(U$1:U$1000="BEGIN",ROW(U$1:U$1000)),ROW()-3),"")</f>
        <v/>
      </c>
      <c r="AK416" s="23" t="str">
        <f t="array" ref="AK416">IFERROR(SMALL(IF(V$1:V$1000="END",ROW(V$1:V$1000)),ROW()-3),"")</f>
        <v/>
      </c>
      <c r="AL416" s="24" t="str">
        <f t="array" ref="AL416">IF(AK416="","",MATCH(AM416,L:L,0))</f>
        <v/>
      </c>
      <c r="AM416" s="35">
        <f t="array" ref="AM416">MAX(IF((B$4:B$1000&lt;=AK416)*(B$4:B$1000&gt;=AJ416),L$4:L$1000, ""))</f>
        <v>0</v>
      </c>
      <c r="AN416" s="32" t="str">
        <f t="shared" si="308"/>
        <v/>
      </c>
      <c r="AO416" s="32" t="str">
        <f t="shared" si="309"/>
        <v/>
      </c>
      <c r="AP416" s="32" t="str">
        <f t="shared" si="310"/>
        <v/>
      </c>
      <c r="AQ416" s="32" t="str">
        <f t="shared" si="311"/>
        <v/>
      </c>
      <c r="AR416" s="32" t="str">
        <f t="shared" si="312"/>
        <v/>
      </c>
      <c r="AS416" s="32" t="str">
        <f t="shared" si="313"/>
        <v/>
      </c>
      <c r="AT416" s="32" t="str">
        <f t="shared" si="314"/>
        <v/>
      </c>
      <c r="AU416" s="34" t="str">
        <f t="shared" si="315"/>
        <v/>
      </c>
      <c r="AV416" s="32" t="str">
        <f t="shared" si="316"/>
        <v/>
      </c>
      <c r="AW416" s="32" t="str">
        <f t="shared" si="317"/>
        <v/>
      </c>
      <c r="AX416" s="32" t="str">
        <f t="shared" si="318"/>
        <v/>
      </c>
      <c r="AY416" s="32" t="str">
        <f t="shared" si="319"/>
        <v/>
      </c>
    </row>
    <row r="417" spans="1:51" x14ac:dyDescent="0.25">
      <c r="A417" s="24" t="str">
        <f t="shared" si="277"/>
        <v/>
      </c>
      <c r="B417" s="24" t="str">
        <f t="shared" si="287"/>
        <v/>
      </c>
      <c r="C417" s="32" t="str">
        <f t="shared" si="278"/>
        <v/>
      </c>
      <c r="D417" s="24" t="str">
        <f t="shared" si="279"/>
        <v/>
      </c>
      <c r="E417" s="24" t="str">
        <f t="shared" si="280"/>
        <v/>
      </c>
      <c r="F417" s="32" t="str">
        <f t="shared" si="281"/>
        <v/>
      </c>
      <c r="G417" s="32" t="str">
        <f t="shared" si="282"/>
        <v/>
      </c>
      <c r="H417" s="32" t="str">
        <f t="shared" ca="1" si="283"/>
        <v/>
      </c>
      <c r="I417" s="32" t="str">
        <f t="shared" ca="1" si="288"/>
        <v/>
      </c>
      <c r="J417" s="32" t="str">
        <f t="shared" si="284"/>
        <v/>
      </c>
      <c r="K417" s="32" t="str">
        <f>IF(ISNUMBER(A417),Profile!$V$25+Profile!$V$24*'Ri-Po'!C417,"")</f>
        <v/>
      </c>
      <c r="L417" s="32" t="str">
        <f t="shared" si="289"/>
        <v/>
      </c>
      <c r="M417" s="32" t="str">
        <f t="shared" si="285"/>
        <v/>
      </c>
      <c r="N417" s="32" t="str">
        <f t="shared" si="286"/>
        <v/>
      </c>
      <c r="O417" s="32" t="str">
        <f t="shared" si="302"/>
        <v/>
      </c>
      <c r="P417" s="32" t="str">
        <f t="shared" si="290"/>
        <v/>
      </c>
      <c r="Q417" s="32" t="str">
        <f t="shared" si="291"/>
        <v/>
      </c>
      <c r="R417" s="32" t="str">
        <f t="shared" si="303"/>
        <v/>
      </c>
      <c r="S417" s="24" t="str">
        <f t="shared" si="304"/>
        <v/>
      </c>
      <c r="T417" s="24" t="str">
        <f t="shared" si="305"/>
        <v/>
      </c>
      <c r="U417" s="24" t="str">
        <f t="shared" si="306"/>
        <v/>
      </c>
      <c r="V417" s="24" t="str">
        <f t="shared" si="307"/>
        <v/>
      </c>
      <c r="W417" s="23" t="str">
        <f t="array" ref="W417">IFERROR(SMALL(IF(S$1:S$1000="BEGIN",ROW(S$1:S$1000)),ROW()-3),"")</f>
        <v/>
      </c>
      <c r="X417" s="23" t="str">
        <f t="array" ref="X417">IFERROR(SMALL(IF(T$1:T$1000="END",ROW(T$1:T$1000)),ROW()-3),"")</f>
        <v/>
      </c>
      <c r="Y417" s="33" t="str">
        <f t="array" ref="Y417">IF(ISNUMBER(W417),MAX(IF((B$4:B$1000&lt;=X417)*(B$4:B$1000&gt;=W417),I$4:I$1000, "")),"")</f>
        <v/>
      </c>
      <c r="Z417" s="33" t="str">
        <f t="shared" si="292"/>
        <v/>
      </c>
      <c r="AA417" s="32" t="str">
        <f t="shared" si="293"/>
        <v/>
      </c>
      <c r="AB417" s="32" t="str">
        <f t="shared" si="294"/>
        <v/>
      </c>
      <c r="AC417" s="32" t="str">
        <f t="shared" si="295"/>
        <v/>
      </c>
      <c r="AD417" s="32" t="str">
        <f t="shared" si="296"/>
        <v/>
      </c>
      <c r="AE417" s="34" t="str">
        <f t="shared" si="297"/>
        <v/>
      </c>
      <c r="AF417" s="32" t="str">
        <f t="shared" si="298"/>
        <v/>
      </c>
      <c r="AG417" s="32" t="str">
        <f t="shared" si="299"/>
        <v/>
      </c>
      <c r="AH417" s="32" t="str">
        <f t="shared" si="300"/>
        <v/>
      </c>
      <c r="AI417" s="35" t="str">
        <f t="shared" si="301"/>
        <v/>
      </c>
      <c r="AJ417" s="23" t="str">
        <f t="array" ref="AJ417">IFERROR(SMALL(IF(U$1:U$1000="BEGIN",ROW(U$1:U$1000)),ROW()-3),"")</f>
        <v/>
      </c>
      <c r="AK417" s="23" t="str">
        <f t="array" ref="AK417">IFERROR(SMALL(IF(V$1:V$1000="END",ROW(V$1:V$1000)),ROW()-3),"")</f>
        <v/>
      </c>
      <c r="AL417" s="24" t="str">
        <f t="array" ref="AL417">IF(AK417="","",MATCH(AM417,L:L,0))</f>
        <v/>
      </c>
      <c r="AM417" s="35">
        <f t="array" ref="AM417">MAX(IF((B$4:B$1000&lt;=AK417)*(B$4:B$1000&gt;=AJ417),L$4:L$1000, ""))</f>
        <v>0</v>
      </c>
      <c r="AN417" s="32" t="str">
        <f t="shared" si="308"/>
        <v/>
      </c>
      <c r="AO417" s="32" t="str">
        <f t="shared" si="309"/>
        <v/>
      </c>
      <c r="AP417" s="32" t="str">
        <f t="shared" si="310"/>
        <v/>
      </c>
      <c r="AQ417" s="32" t="str">
        <f t="shared" si="311"/>
        <v/>
      </c>
      <c r="AR417" s="32" t="str">
        <f t="shared" si="312"/>
        <v/>
      </c>
      <c r="AS417" s="32" t="str">
        <f t="shared" si="313"/>
        <v/>
      </c>
      <c r="AT417" s="32" t="str">
        <f t="shared" si="314"/>
        <v/>
      </c>
      <c r="AU417" s="34" t="str">
        <f t="shared" si="315"/>
        <v/>
      </c>
      <c r="AV417" s="32" t="str">
        <f t="shared" si="316"/>
        <v/>
      </c>
      <c r="AW417" s="32" t="str">
        <f t="shared" si="317"/>
        <v/>
      </c>
      <c r="AX417" s="32" t="str">
        <f t="shared" si="318"/>
        <v/>
      </c>
      <c r="AY417" s="32" t="str">
        <f t="shared" si="319"/>
        <v/>
      </c>
    </row>
    <row r="418" spans="1:51" x14ac:dyDescent="0.25">
      <c r="A418" s="24" t="str">
        <f t="shared" si="277"/>
        <v/>
      </c>
      <c r="B418" s="24" t="str">
        <f t="shared" si="287"/>
        <v/>
      </c>
      <c r="C418" s="32" t="str">
        <f t="shared" si="278"/>
        <v/>
      </c>
      <c r="D418" s="24" t="str">
        <f t="shared" si="279"/>
        <v/>
      </c>
      <c r="E418" s="24" t="str">
        <f t="shared" si="280"/>
        <v/>
      </c>
      <c r="F418" s="32" t="str">
        <f t="shared" si="281"/>
        <v/>
      </c>
      <c r="G418" s="32" t="str">
        <f t="shared" si="282"/>
        <v/>
      </c>
      <c r="H418" s="32" t="str">
        <f t="shared" ca="1" si="283"/>
        <v/>
      </c>
      <c r="I418" s="32" t="str">
        <f t="shared" ca="1" si="288"/>
        <v/>
      </c>
      <c r="J418" s="32" t="str">
        <f t="shared" si="284"/>
        <v/>
      </c>
      <c r="K418" s="32" t="str">
        <f>IF(ISNUMBER(A418),Profile!$V$25+Profile!$V$24*'Ri-Po'!C418,"")</f>
        <v/>
      </c>
      <c r="L418" s="32" t="str">
        <f t="shared" si="289"/>
        <v/>
      </c>
      <c r="M418" s="32" t="str">
        <f t="shared" si="285"/>
        <v/>
      </c>
      <c r="N418" s="32" t="str">
        <f t="shared" si="286"/>
        <v/>
      </c>
      <c r="O418" s="32" t="str">
        <f t="shared" si="302"/>
        <v/>
      </c>
      <c r="P418" s="32" t="str">
        <f t="shared" si="290"/>
        <v/>
      </c>
      <c r="Q418" s="32" t="str">
        <f t="shared" si="291"/>
        <v/>
      </c>
      <c r="R418" s="32" t="str">
        <f t="shared" si="303"/>
        <v/>
      </c>
      <c r="S418" s="24" t="str">
        <f t="shared" si="304"/>
        <v/>
      </c>
      <c r="T418" s="24" t="str">
        <f t="shared" si="305"/>
        <v/>
      </c>
      <c r="U418" s="24" t="str">
        <f t="shared" si="306"/>
        <v/>
      </c>
      <c r="V418" s="24" t="str">
        <f t="shared" si="307"/>
        <v/>
      </c>
      <c r="W418" s="23" t="str">
        <f t="array" ref="W418">IFERROR(SMALL(IF(S$1:S$1000="BEGIN",ROW(S$1:S$1000)),ROW()-3),"")</f>
        <v/>
      </c>
      <c r="X418" s="23" t="str">
        <f t="array" ref="X418">IFERROR(SMALL(IF(T$1:T$1000="END",ROW(T$1:T$1000)),ROW()-3),"")</f>
        <v/>
      </c>
      <c r="Y418" s="33" t="str">
        <f t="array" ref="Y418">IF(ISNUMBER(W418),MAX(IF((B$4:B$1000&lt;=X418)*(B$4:B$1000&gt;=W418),I$4:I$1000, "")),"")</f>
        <v/>
      </c>
      <c r="Z418" s="33" t="str">
        <f t="shared" si="292"/>
        <v/>
      </c>
      <c r="AA418" s="32" t="str">
        <f t="shared" si="293"/>
        <v/>
      </c>
      <c r="AB418" s="32" t="str">
        <f t="shared" si="294"/>
        <v/>
      </c>
      <c r="AC418" s="32" t="str">
        <f t="shared" si="295"/>
        <v/>
      </c>
      <c r="AD418" s="32" t="str">
        <f t="shared" si="296"/>
        <v/>
      </c>
      <c r="AE418" s="34" t="str">
        <f t="shared" si="297"/>
        <v/>
      </c>
      <c r="AF418" s="32" t="str">
        <f t="shared" si="298"/>
        <v/>
      </c>
      <c r="AG418" s="32" t="str">
        <f t="shared" si="299"/>
        <v/>
      </c>
      <c r="AH418" s="32" t="str">
        <f t="shared" si="300"/>
        <v/>
      </c>
      <c r="AI418" s="35" t="str">
        <f t="shared" si="301"/>
        <v/>
      </c>
      <c r="AJ418" s="23" t="str">
        <f t="array" ref="AJ418">IFERROR(SMALL(IF(U$1:U$1000="BEGIN",ROW(U$1:U$1000)),ROW()-3),"")</f>
        <v/>
      </c>
      <c r="AK418" s="23" t="str">
        <f t="array" ref="AK418">IFERROR(SMALL(IF(V$1:V$1000="END",ROW(V$1:V$1000)),ROW()-3),"")</f>
        <v/>
      </c>
      <c r="AL418" s="24" t="str">
        <f t="array" ref="AL418">IF(AK418="","",MATCH(AM418,L:L,0))</f>
        <v/>
      </c>
      <c r="AM418" s="35">
        <f t="array" ref="AM418">MAX(IF((B$4:B$1000&lt;=AK418)*(B$4:B$1000&gt;=AJ418),L$4:L$1000, ""))</f>
        <v>0</v>
      </c>
      <c r="AN418" s="32" t="str">
        <f t="shared" si="308"/>
        <v/>
      </c>
      <c r="AO418" s="32" t="str">
        <f t="shared" si="309"/>
        <v/>
      </c>
      <c r="AP418" s="32" t="str">
        <f t="shared" si="310"/>
        <v/>
      </c>
      <c r="AQ418" s="32" t="str">
        <f t="shared" si="311"/>
        <v/>
      </c>
      <c r="AR418" s="32" t="str">
        <f t="shared" si="312"/>
        <v/>
      </c>
      <c r="AS418" s="32" t="str">
        <f t="shared" si="313"/>
        <v/>
      </c>
      <c r="AT418" s="32" t="str">
        <f t="shared" si="314"/>
        <v/>
      </c>
      <c r="AU418" s="34" t="str">
        <f t="shared" si="315"/>
        <v/>
      </c>
      <c r="AV418" s="32" t="str">
        <f t="shared" si="316"/>
        <v/>
      </c>
      <c r="AW418" s="32" t="str">
        <f t="shared" si="317"/>
        <v/>
      </c>
      <c r="AX418" s="32" t="str">
        <f t="shared" si="318"/>
        <v/>
      </c>
      <c r="AY418" s="32" t="str">
        <f t="shared" si="319"/>
        <v/>
      </c>
    </row>
    <row r="419" spans="1:51" x14ac:dyDescent="0.25">
      <c r="A419" s="24" t="str">
        <f t="shared" si="277"/>
        <v/>
      </c>
      <c r="B419" s="24" t="str">
        <f t="shared" si="287"/>
        <v/>
      </c>
      <c r="C419" s="32" t="str">
        <f t="shared" si="278"/>
        <v/>
      </c>
      <c r="D419" s="24" t="str">
        <f t="shared" si="279"/>
        <v/>
      </c>
      <c r="E419" s="24" t="str">
        <f t="shared" si="280"/>
        <v/>
      </c>
      <c r="F419" s="32" t="str">
        <f t="shared" si="281"/>
        <v/>
      </c>
      <c r="G419" s="32" t="str">
        <f t="shared" si="282"/>
        <v/>
      </c>
      <c r="H419" s="32" t="str">
        <f t="shared" ca="1" si="283"/>
        <v/>
      </c>
      <c r="I419" s="32" t="str">
        <f t="shared" ca="1" si="288"/>
        <v/>
      </c>
      <c r="J419" s="32" t="str">
        <f t="shared" si="284"/>
        <v/>
      </c>
      <c r="K419" s="32" t="str">
        <f>IF(ISNUMBER(A419),Profile!$V$25+Profile!$V$24*'Ri-Po'!C419,"")</f>
        <v/>
      </c>
      <c r="L419" s="32" t="str">
        <f t="shared" si="289"/>
        <v/>
      </c>
      <c r="M419" s="32" t="str">
        <f t="shared" si="285"/>
        <v/>
      </c>
      <c r="N419" s="32" t="str">
        <f t="shared" si="286"/>
        <v/>
      </c>
      <c r="O419" s="32" t="str">
        <f t="shared" si="302"/>
        <v/>
      </c>
      <c r="P419" s="32" t="str">
        <f t="shared" si="290"/>
        <v/>
      </c>
      <c r="Q419" s="32" t="str">
        <f t="shared" si="291"/>
        <v/>
      </c>
      <c r="R419" s="32" t="str">
        <f t="shared" si="303"/>
        <v/>
      </c>
      <c r="S419" s="24" t="str">
        <f t="shared" si="304"/>
        <v/>
      </c>
      <c r="T419" s="24" t="str">
        <f t="shared" si="305"/>
        <v/>
      </c>
      <c r="U419" s="24" t="str">
        <f t="shared" si="306"/>
        <v/>
      </c>
      <c r="V419" s="24" t="str">
        <f t="shared" si="307"/>
        <v/>
      </c>
      <c r="W419" s="23" t="str">
        <f t="array" ref="W419">IFERROR(SMALL(IF(S$1:S$1000="BEGIN",ROW(S$1:S$1000)),ROW()-3),"")</f>
        <v/>
      </c>
      <c r="X419" s="23" t="str">
        <f t="array" ref="X419">IFERROR(SMALL(IF(T$1:T$1000="END",ROW(T$1:T$1000)),ROW()-3),"")</f>
        <v/>
      </c>
      <c r="Y419" s="33" t="str">
        <f t="array" ref="Y419">IF(ISNUMBER(W419),MAX(IF((B$4:B$1000&lt;=X419)*(B$4:B$1000&gt;=W419),I$4:I$1000, "")),"")</f>
        <v/>
      </c>
      <c r="Z419" s="33" t="str">
        <f t="shared" si="292"/>
        <v/>
      </c>
      <c r="AA419" s="32" t="str">
        <f t="shared" si="293"/>
        <v/>
      </c>
      <c r="AB419" s="32" t="str">
        <f t="shared" si="294"/>
        <v/>
      </c>
      <c r="AC419" s="32" t="str">
        <f t="shared" si="295"/>
        <v/>
      </c>
      <c r="AD419" s="32" t="str">
        <f t="shared" si="296"/>
        <v/>
      </c>
      <c r="AE419" s="34" t="str">
        <f t="shared" si="297"/>
        <v/>
      </c>
      <c r="AF419" s="32" t="str">
        <f t="shared" si="298"/>
        <v/>
      </c>
      <c r="AG419" s="32" t="str">
        <f t="shared" si="299"/>
        <v/>
      </c>
      <c r="AH419" s="32" t="str">
        <f t="shared" si="300"/>
        <v/>
      </c>
      <c r="AI419" s="35" t="str">
        <f t="shared" si="301"/>
        <v/>
      </c>
      <c r="AJ419" s="23" t="str">
        <f t="array" ref="AJ419">IFERROR(SMALL(IF(U$1:U$1000="BEGIN",ROW(U$1:U$1000)),ROW()-3),"")</f>
        <v/>
      </c>
      <c r="AK419" s="23" t="str">
        <f t="array" ref="AK419">IFERROR(SMALL(IF(V$1:V$1000="END",ROW(V$1:V$1000)),ROW()-3),"")</f>
        <v/>
      </c>
      <c r="AL419" s="24" t="str">
        <f t="array" ref="AL419">IF(AK419="","",MATCH(AM419,L:L,0))</f>
        <v/>
      </c>
      <c r="AM419" s="35">
        <f t="array" ref="AM419">MAX(IF((B$4:B$1000&lt;=AK419)*(B$4:B$1000&gt;=AJ419),L$4:L$1000, ""))</f>
        <v>0</v>
      </c>
      <c r="AN419" s="32" t="str">
        <f t="shared" si="308"/>
        <v/>
      </c>
      <c r="AO419" s="32" t="str">
        <f t="shared" si="309"/>
        <v/>
      </c>
      <c r="AP419" s="32" t="str">
        <f t="shared" si="310"/>
        <v/>
      </c>
      <c r="AQ419" s="32" t="str">
        <f t="shared" si="311"/>
        <v/>
      </c>
      <c r="AR419" s="32" t="str">
        <f t="shared" si="312"/>
        <v/>
      </c>
      <c r="AS419" s="32" t="str">
        <f t="shared" si="313"/>
        <v/>
      </c>
      <c r="AT419" s="32" t="str">
        <f t="shared" si="314"/>
        <v/>
      </c>
      <c r="AU419" s="34" t="str">
        <f t="shared" si="315"/>
        <v/>
      </c>
      <c r="AV419" s="32" t="str">
        <f t="shared" si="316"/>
        <v/>
      </c>
      <c r="AW419" s="32" t="str">
        <f t="shared" si="317"/>
        <v/>
      </c>
      <c r="AX419" s="32" t="str">
        <f t="shared" si="318"/>
        <v/>
      </c>
      <c r="AY419" s="32" t="str">
        <f t="shared" si="319"/>
        <v/>
      </c>
    </row>
    <row r="420" spans="1:51" x14ac:dyDescent="0.25">
      <c r="A420" s="24" t="str">
        <f t="shared" si="277"/>
        <v/>
      </c>
      <c r="B420" s="24" t="str">
        <f t="shared" si="287"/>
        <v/>
      </c>
      <c r="C420" s="32" t="str">
        <f t="shared" si="278"/>
        <v/>
      </c>
      <c r="D420" s="24" t="str">
        <f t="shared" si="279"/>
        <v/>
      </c>
      <c r="E420" s="24" t="str">
        <f t="shared" si="280"/>
        <v/>
      </c>
      <c r="F420" s="32" t="str">
        <f t="shared" si="281"/>
        <v/>
      </c>
      <c r="G420" s="32" t="str">
        <f t="shared" si="282"/>
        <v/>
      </c>
      <c r="H420" s="32" t="str">
        <f t="shared" ca="1" si="283"/>
        <v/>
      </c>
      <c r="I420" s="32" t="str">
        <f t="shared" ca="1" si="288"/>
        <v/>
      </c>
      <c r="J420" s="32" t="str">
        <f t="shared" si="284"/>
        <v/>
      </c>
      <c r="K420" s="32" t="str">
        <f>IF(ISNUMBER(A420),Profile!$V$25+Profile!$V$24*'Ri-Po'!C420,"")</f>
        <v/>
      </c>
      <c r="L420" s="32" t="str">
        <f t="shared" si="289"/>
        <v/>
      </c>
      <c r="M420" s="32" t="str">
        <f t="shared" si="285"/>
        <v/>
      </c>
      <c r="N420" s="32" t="str">
        <f t="shared" si="286"/>
        <v/>
      </c>
      <c r="O420" s="32" t="str">
        <f t="shared" si="302"/>
        <v/>
      </c>
      <c r="P420" s="32" t="str">
        <f t="shared" si="290"/>
        <v/>
      </c>
      <c r="Q420" s="32" t="str">
        <f t="shared" si="291"/>
        <v/>
      </c>
      <c r="R420" s="32" t="str">
        <f t="shared" si="303"/>
        <v/>
      </c>
      <c r="S420" s="24" t="str">
        <f t="shared" si="304"/>
        <v/>
      </c>
      <c r="T420" s="24" t="str">
        <f t="shared" si="305"/>
        <v/>
      </c>
      <c r="U420" s="24" t="str">
        <f t="shared" si="306"/>
        <v/>
      </c>
      <c r="V420" s="24" t="str">
        <f t="shared" si="307"/>
        <v/>
      </c>
      <c r="W420" s="23" t="str">
        <f t="array" ref="W420">IFERROR(SMALL(IF(S$1:S$1000="BEGIN",ROW(S$1:S$1000)),ROW()-3),"")</f>
        <v/>
      </c>
      <c r="X420" s="23" t="str">
        <f t="array" ref="X420">IFERROR(SMALL(IF(T$1:T$1000="END",ROW(T$1:T$1000)),ROW()-3),"")</f>
        <v/>
      </c>
      <c r="Y420" s="33" t="str">
        <f t="array" ref="Y420">IF(ISNUMBER(W420),MAX(IF((B$4:B$1000&lt;=X420)*(B$4:B$1000&gt;=W420),I$4:I$1000, "")),"")</f>
        <v/>
      </c>
      <c r="Z420" s="33" t="str">
        <f t="shared" si="292"/>
        <v/>
      </c>
      <c r="AA420" s="32" t="str">
        <f t="shared" si="293"/>
        <v/>
      </c>
      <c r="AB420" s="32" t="str">
        <f t="shared" si="294"/>
        <v/>
      </c>
      <c r="AC420" s="32" t="str">
        <f t="shared" si="295"/>
        <v/>
      </c>
      <c r="AD420" s="32" t="str">
        <f t="shared" si="296"/>
        <v/>
      </c>
      <c r="AE420" s="34" t="str">
        <f t="shared" si="297"/>
        <v/>
      </c>
      <c r="AF420" s="32" t="str">
        <f t="shared" si="298"/>
        <v/>
      </c>
      <c r="AG420" s="32" t="str">
        <f t="shared" si="299"/>
        <v/>
      </c>
      <c r="AH420" s="32" t="str">
        <f t="shared" si="300"/>
        <v/>
      </c>
      <c r="AI420" s="35" t="str">
        <f t="shared" si="301"/>
        <v/>
      </c>
      <c r="AJ420" s="23" t="str">
        <f t="array" ref="AJ420">IFERROR(SMALL(IF(U$1:U$1000="BEGIN",ROW(U$1:U$1000)),ROW()-3),"")</f>
        <v/>
      </c>
      <c r="AK420" s="23" t="str">
        <f t="array" ref="AK420">IFERROR(SMALL(IF(V$1:V$1000="END",ROW(V$1:V$1000)),ROW()-3),"")</f>
        <v/>
      </c>
      <c r="AL420" s="24" t="str">
        <f t="array" ref="AL420">IF(AK420="","",MATCH(AM420,L:L,0))</f>
        <v/>
      </c>
      <c r="AM420" s="35">
        <f t="array" ref="AM420">MAX(IF((B$4:B$1000&lt;=AK420)*(B$4:B$1000&gt;=AJ420),L$4:L$1000, ""))</f>
        <v>0</v>
      </c>
      <c r="AN420" s="32" t="str">
        <f t="shared" si="308"/>
        <v/>
      </c>
      <c r="AO420" s="32" t="str">
        <f t="shared" si="309"/>
        <v/>
      </c>
      <c r="AP420" s="32" t="str">
        <f t="shared" si="310"/>
        <v/>
      </c>
      <c r="AQ420" s="32" t="str">
        <f t="shared" si="311"/>
        <v/>
      </c>
      <c r="AR420" s="32" t="str">
        <f t="shared" si="312"/>
        <v/>
      </c>
      <c r="AS420" s="32" t="str">
        <f t="shared" si="313"/>
        <v/>
      </c>
      <c r="AT420" s="32" t="str">
        <f t="shared" si="314"/>
        <v/>
      </c>
      <c r="AU420" s="34" t="str">
        <f t="shared" si="315"/>
        <v/>
      </c>
      <c r="AV420" s="32" t="str">
        <f t="shared" si="316"/>
        <v/>
      </c>
      <c r="AW420" s="32" t="str">
        <f t="shared" si="317"/>
        <v/>
      </c>
      <c r="AX420" s="32" t="str">
        <f t="shared" si="318"/>
        <v/>
      </c>
      <c r="AY420" s="32" t="str">
        <f t="shared" si="319"/>
        <v/>
      </c>
    </row>
    <row r="421" spans="1:51" x14ac:dyDescent="0.25">
      <c r="A421" s="24" t="str">
        <f t="shared" si="277"/>
        <v/>
      </c>
      <c r="B421" s="24" t="str">
        <f t="shared" si="287"/>
        <v/>
      </c>
      <c r="C421" s="32" t="str">
        <f t="shared" si="278"/>
        <v/>
      </c>
      <c r="D421" s="24" t="str">
        <f t="shared" si="279"/>
        <v/>
      </c>
      <c r="E421" s="24" t="str">
        <f t="shared" si="280"/>
        <v/>
      </c>
      <c r="F421" s="32" t="str">
        <f t="shared" si="281"/>
        <v/>
      </c>
      <c r="G421" s="32" t="str">
        <f t="shared" si="282"/>
        <v/>
      </c>
      <c r="H421" s="32" t="str">
        <f t="shared" ca="1" si="283"/>
        <v/>
      </c>
      <c r="I421" s="32" t="str">
        <f t="shared" ca="1" si="288"/>
        <v/>
      </c>
      <c r="J421" s="32" t="str">
        <f t="shared" si="284"/>
        <v/>
      </c>
      <c r="K421" s="32" t="str">
        <f>IF(ISNUMBER(A421),Profile!$V$25+Profile!$V$24*'Ri-Po'!C421,"")</f>
        <v/>
      </c>
      <c r="L421" s="32" t="str">
        <f t="shared" si="289"/>
        <v/>
      </c>
      <c r="M421" s="32" t="str">
        <f t="shared" si="285"/>
        <v/>
      </c>
      <c r="N421" s="32" t="str">
        <f t="shared" si="286"/>
        <v/>
      </c>
      <c r="O421" s="32" t="str">
        <f t="shared" si="302"/>
        <v/>
      </c>
      <c r="P421" s="32" t="str">
        <f t="shared" si="290"/>
        <v/>
      </c>
      <c r="Q421" s="32" t="str">
        <f t="shared" si="291"/>
        <v/>
      </c>
      <c r="R421" s="32" t="str">
        <f t="shared" si="303"/>
        <v/>
      </c>
      <c r="S421" s="24" t="str">
        <f t="shared" si="304"/>
        <v/>
      </c>
      <c r="T421" s="24" t="str">
        <f t="shared" si="305"/>
        <v/>
      </c>
      <c r="U421" s="24" t="str">
        <f t="shared" si="306"/>
        <v/>
      </c>
      <c r="V421" s="24" t="str">
        <f t="shared" si="307"/>
        <v/>
      </c>
      <c r="W421" s="23" t="str">
        <f t="array" ref="W421">IFERROR(SMALL(IF(S$1:S$1000="BEGIN",ROW(S$1:S$1000)),ROW()-3),"")</f>
        <v/>
      </c>
      <c r="X421" s="23" t="str">
        <f t="array" ref="X421">IFERROR(SMALL(IF(T$1:T$1000="END",ROW(T$1:T$1000)),ROW()-3),"")</f>
        <v/>
      </c>
      <c r="Y421" s="33" t="str">
        <f t="array" ref="Y421">IF(ISNUMBER(W421),MAX(IF((B$4:B$1000&lt;=X421)*(B$4:B$1000&gt;=W421),I$4:I$1000, "")),"")</f>
        <v/>
      </c>
      <c r="Z421" s="33" t="str">
        <f t="shared" si="292"/>
        <v/>
      </c>
      <c r="AA421" s="32" t="str">
        <f t="shared" si="293"/>
        <v/>
      </c>
      <c r="AB421" s="32" t="str">
        <f t="shared" si="294"/>
        <v/>
      </c>
      <c r="AC421" s="32" t="str">
        <f t="shared" si="295"/>
        <v/>
      </c>
      <c r="AD421" s="32" t="str">
        <f t="shared" si="296"/>
        <v/>
      </c>
      <c r="AE421" s="34" t="str">
        <f t="shared" si="297"/>
        <v/>
      </c>
      <c r="AF421" s="32" t="str">
        <f t="shared" si="298"/>
        <v/>
      </c>
      <c r="AG421" s="32" t="str">
        <f t="shared" si="299"/>
        <v/>
      </c>
      <c r="AH421" s="32" t="str">
        <f t="shared" si="300"/>
        <v/>
      </c>
      <c r="AI421" s="35" t="str">
        <f t="shared" si="301"/>
        <v/>
      </c>
      <c r="AJ421" s="23" t="str">
        <f t="array" ref="AJ421">IFERROR(SMALL(IF(U$1:U$1000="BEGIN",ROW(U$1:U$1000)),ROW()-3),"")</f>
        <v/>
      </c>
      <c r="AK421" s="23" t="str">
        <f t="array" ref="AK421">IFERROR(SMALL(IF(V$1:V$1000="END",ROW(V$1:V$1000)),ROW()-3),"")</f>
        <v/>
      </c>
      <c r="AL421" s="24" t="str">
        <f t="array" ref="AL421">IF(AK421="","",MATCH(AM421,L:L,0))</f>
        <v/>
      </c>
      <c r="AM421" s="35">
        <f t="array" ref="AM421">MAX(IF((B$4:B$1000&lt;=AK421)*(B$4:B$1000&gt;=AJ421),L$4:L$1000, ""))</f>
        <v>0</v>
      </c>
      <c r="AN421" s="32" t="str">
        <f t="shared" si="308"/>
        <v/>
      </c>
      <c r="AO421" s="32" t="str">
        <f t="shared" si="309"/>
        <v/>
      </c>
      <c r="AP421" s="32" t="str">
        <f t="shared" si="310"/>
        <v/>
      </c>
      <c r="AQ421" s="32" t="str">
        <f t="shared" si="311"/>
        <v/>
      </c>
      <c r="AR421" s="32" t="str">
        <f t="shared" si="312"/>
        <v/>
      </c>
      <c r="AS421" s="32" t="str">
        <f t="shared" si="313"/>
        <v/>
      </c>
      <c r="AT421" s="32" t="str">
        <f t="shared" si="314"/>
        <v/>
      </c>
      <c r="AU421" s="34" t="str">
        <f t="shared" si="315"/>
        <v/>
      </c>
      <c r="AV421" s="32" t="str">
        <f t="shared" si="316"/>
        <v/>
      </c>
      <c r="AW421" s="32" t="str">
        <f t="shared" si="317"/>
        <v/>
      </c>
      <c r="AX421" s="32" t="str">
        <f t="shared" si="318"/>
        <v/>
      </c>
      <c r="AY421" s="32" t="str">
        <f t="shared" si="319"/>
        <v/>
      </c>
    </row>
    <row r="422" spans="1:51" x14ac:dyDescent="0.25">
      <c r="A422" s="24" t="str">
        <f t="shared" si="277"/>
        <v/>
      </c>
      <c r="B422" s="24" t="str">
        <f t="shared" si="287"/>
        <v/>
      </c>
      <c r="C422" s="32" t="str">
        <f t="shared" si="278"/>
        <v/>
      </c>
      <c r="D422" s="24" t="str">
        <f t="shared" si="279"/>
        <v/>
      </c>
      <c r="E422" s="24" t="str">
        <f t="shared" si="280"/>
        <v/>
      </c>
      <c r="F422" s="32" t="str">
        <f t="shared" si="281"/>
        <v/>
      </c>
      <c r="G422" s="32" t="str">
        <f t="shared" si="282"/>
        <v/>
      </c>
      <c r="H422" s="32" t="str">
        <f t="shared" ca="1" si="283"/>
        <v/>
      </c>
      <c r="I422" s="32" t="str">
        <f t="shared" ca="1" si="288"/>
        <v/>
      </c>
      <c r="J422" s="32" t="str">
        <f t="shared" si="284"/>
        <v/>
      </c>
      <c r="K422" s="32" t="str">
        <f>IF(ISNUMBER(A422),Profile!$V$25+Profile!$V$24*'Ri-Po'!C422,"")</f>
        <v/>
      </c>
      <c r="L422" s="32" t="str">
        <f t="shared" si="289"/>
        <v/>
      </c>
      <c r="M422" s="32" t="str">
        <f t="shared" si="285"/>
        <v/>
      </c>
      <c r="N422" s="32" t="str">
        <f t="shared" si="286"/>
        <v/>
      </c>
      <c r="O422" s="32" t="str">
        <f t="shared" si="302"/>
        <v/>
      </c>
      <c r="P422" s="32" t="str">
        <f t="shared" si="290"/>
        <v/>
      </c>
      <c r="Q422" s="32" t="str">
        <f t="shared" si="291"/>
        <v/>
      </c>
      <c r="R422" s="32" t="str">
        <f t="shared" si="303"/>
        <v/>
      </c>
      <c r="S422" s="24" t="str">
        <f t="shared" si="304"/>
        <v/>
      </c>
      <c r="T422" s="24" t="str">
        <f t="shared" si="305"/>
        <v/>
      </c>
      <c r="U422" s="24" t="str">
        <f t="shared" si="306"/>
        <v/>
      </c>
      <c r="V422" s="24" t="str">
        <f t="shared" si="307"/>
        <v/>
      </c>
      <c r="W422" s="23" t="str">
        <f t="array" ref="W422">IFERROR(SMALL(IF(S$1:S$1000="BEGIN",ROW(S$1:S$1000)),ROW()-3),"")</f>
        <v/>
      </c>
      <c r="X422" s="23" t="str">
        <f t="array" ref="X422">IFERROR(SMALL(IF(T$1:T$1000="END",ROW(T$1:T$1000)),ROW()-3),"")</f>
        <v/>
      </c>
      <c r="Y422" s="33" t="str">
        <f t="array" ref="Y422">IF(ISNUMBER(W422),MAX(IF((B$4:B$1000&lt;=X422)*(B$4:B$1000&gt;=W422),I$4:I$1000, "")),"")</f>
        <v/>
      </c>
      <c r="Z422" s="33" t="str">
        <f t="shared" si="292"/>
        <v/>
      </c>
      <c r="AA422" s="32" t="str">
        <f t="shared" si="293"/>
        <v/>
      </c>
      <c r="AB422" s="32" t="str">
        <f t="shared" si="294"/>
        <v/>
      </c>
      <c r="AC422" s="32" t="str">
        <f t="shared" si="295"/>
        <v/>
      </c>
      <c r="AD422" s="32" t="str">
        <f t="shared" si="296"/>
        <v/>
      </c>
      <c r="AE422" s="34" t="str">
        <f t="shared" si="297"/>
        <v/>
      </c>
      <c r="AF422" s="32" t="str">
        <f t="shared" si="298"/>
        <v/>
      </c>
      <c r="AG422" s="32" t="str">
        <f t="shared" si="299"/>
        <v/>
      </c>
      <c r="AH422" s="32" t="str">
        <f t="shared" si="300"/>
        <v/>
      </c>
      <c r="AI422" s="35" t="str">
        <f t="shared" si="301"/>
        <v/>
      </c>
      <c r="AJ422" s="23" t="str">
        <f t="array" ref="AJ422">IFERROR(SMALL(IF(U$1:U$1000="BEGIN",ROW(U$1:U$1000)),ROW()-3),"")</f>
        <v/>
      </c>
      <c r="AK422" s="23" t="str">
        <f t="array" ref="AK422">IFERROR(SMALL(IF(V$1:V$1000="END",ROW(V$1:V$1000)),ROW()-3),"")</f>
        <v/>
      </c>
      <c r="AL422" s="24" t="str">
        <f t="array" ref="AL422">IF(AK422="","",MATCH(AM422,L:L,0))</f>
        <v/>
      </c>
      <c r="AM422" s="35">
        <f t="array" ref="AM422">MAX(IF((B$4:B$1000&lt;=AK422)*(B$4:B$1000&gt;=AJ422),L$4:L$1000, ""))</f>
        <v>0</v>
      </c>
      <c r="AN422" s="32" t="str">
        <f t="shared" si="308"/>
        <v/>
      </c>
      <c r="AO422" s="32" t="str">
        <f t="shared" si="309"/>
        <v/>
      </c>
      <c r="AP422" s="32" t="str">
        <f t="shared" si="310"/>
        <v/>
      </c>
      <c r="AQ422" s="32" t="str">
        <f t="shared" si="311"/>
        <v/>
      </c>
      <c r="AR422" s="32" t="str">
        <f t="shared" si="312"/>
        <v/>
      </c>
      <c r="AS422" s="32" t="str">
        <f t="shared" si="313"/>
        <v/>
      </c>
      <c r="AT422" s="32" t="str">
        <f t="shared" si="314"/>
        <v/>
      </c>
      <c r="AU422" s="34" t="str">
        <f t="shared" si="315"/>
        <v/>
      </c>
      <c r="AV422" s="32" t="str">
        <f t="shared" si="316"/>
        <v/>
      </c>
      <c r="AW422" s="32" t="str">
        <f t="shared" si="317"/>
        <v/>
      </c>
      <c r="AX422" s="32" t="str">
        <f t="shared" si="318"/>
        <v/>
      </c>
      <c r="AY422" s="32" t="str">
        <f t="shared" si="319"/>
        <v/>
      </c>
    </row>
    <row r="423" spans="1:51" x14ac:dyDescent="0.25">
      <c r="A423" s="24" t="str">
        <f t="shared" si="277"/>
        <v/>
      </c>
      <c r="B423" s="24" t="str">
        <f t="shared" si="287"/>
        <v/>
      </c>
      <c r="C423" s="32" t="str">
        <f t="shared" si="278"/>
        <v/>
      </c>
      <c r="D423" s="24" t="str">
        <f t="shared" si="279"/>
        <v/>
      </c>
      <c r="E423" s="24" t="str">
        <f t="shared" si="280"/>
        <v/>
      </c>
      <c r="F423" s="32" t="str">
        <f t="shared" si="281"/>
        <v/>
      </c>
      <c r="G423" s="32" t="str">
        <f t="shared" si="282"/>
        <v/>
      </c>
      <c r="H423" s="32" t="str">
        <f t="shared" ca="1" si="283"/>
        <v/>
      </c>
      <c r="I423" s="32" t="str">
        <f t="shared" ca="1" si="288"/>
        <v/>
      </c>
      <c r="J423" s="32" t="str">
        <f t="shared" si="284"/>
        <v/>
      </c>
      <c r="K423" s="32" t="str">
        <f>IF(ISNUMBER(A423),Profile!$V$25+Profile!$V$24*'Ri-Po'!C423,"")</f>
        <v/>
      </c>
      <c r="L423" s="32" t="str">
        <f t="shared" si="289"/>
        <v/>
      </c>
      <c r="M423" s="32" t="str">
        <f t="shared" si="285"/>
        <v/>
      </c>
      <c r="N423" s="32" t="str">
        <f t="shared" si="286"/>
        <v/>
      </c>
      <c r="O423" s="32" t="str">
        <f t="shared" si="302"/>
        <v/>
      </c>
      <c r="P423" s="32" t="str">
        <f t="shared" si="290"/>
        <v/>
      </c>
      <c r="Q423" s="32" t="str">
        <f t="shared" si="291"/>
        <v/>
      </c>
      <c r="R423" s="32" t="str">
        <f t="shared" si="303"/>
        <v/>
      </c>
      <c r="S423" s="24" t="str">
        <f t="shared" si="304"/>
        <v/>
      </c>
      <c r="T423" s="24" t="str">
        <f t="shared" si="305"/>
        <v/>
      </c>
      <c r="U423" s="24" t="str">
        <f t="shared" si="306"/>
        <v/>
      </c>
      <c r="V423" s="24" t="str">
        <f t="shared" si="307"/>
        <v/>
      </c>
      <c r="W423" s="23" t="str">
        <f t="array" ref="W423">IFERROR(SMALL(IF(S$1:S$1000="BEGIN",ROW(S$1:S$1000)),ROW()-3),"")</f>
        <v/>
      </c>
      <c r="X423" s="23" t="str">
        <f t="array" ref="X423">IFERROR(SMALL(IF(T$1:T$1000="END",ROW(T$1:T$1000)),ROW()-3),"")</f>
        <v/>
      </c>
      <c r="Y423" s="33" t="str">
        <f t="array" ref="Y423">IF(ISNUMBER(W423),MAX(IF((B$4:B$1000&lt;=X423)*(B$4:B$1000&gt;=W423),I$4:I$1000, "")),"")</f>
        <v/>
      </c>
      <c r="Z423" s="33" t="str">
        <f t="shared" si="292"/>
        <v/>
      </c>
      <c r="AA423" s="32" t="str">
        <f t="shared" si="293"/>
        <v/>
      </c>
      <c r="AB423" s="32" t="str">
        <f t="shared" si="294"/>
        <v/>
      </c>
      <c r="AC423" s="32" t="str">
        <f t="shared" si="295"/>
        <v/>
      </c>
      <c r="AD423" s="32" t="str">
        <f t="shared" si="296"/>
        <v/>
      </c>
      <c r="AE423" s="34" t="str">
        <f t="shared" si="297"/>
        <v/>
      </c>
      <c r="AF423" s="32" t="str">
        <f t="shared" si="298"/>
        <v/>
      </c>
      <c r="AG423" s="32" t="str">
        <f t="shared" si="299"/>
        <v/>
      </c>
      <c r="AH423" s="32" t="str">
        <f t="shared" si="300"/>
        <v/>
      </c>
      <c r="AI423" s="35" t="str">
        <f t="shared" si="301"/>
        <v/>
      </c>
      <c r="AJ423" s="23" t="str">
        <f t="array" ref="AJ423">IFERROR(SMALL(IF(U$1:U$1000="BEGIN",ROW(U$1:U$1000)),ROW()-3),"")</f>
        <v/>
      </c>
      <c r="AK423" s="23" t="str">
        <f t="array" ref="AK423">IFERROR(SMALL(IF(V$1:V$1000="END",ROW(V$1:V$1000)),ROW()-3),"")</f>
        <v/>
      </c>
      <c r="AL423" s="24" t="str">
        <f t="array" ref="AL423">IF(AK423="","",MATCH(AM423,L:L,0))</f>
        <v/>
      </c>
      <c r="AM423" s="35">
        <f t="array" ref="AM423">MAX(IF((B$4:B$1000&lt;=AK423)*(B$4:B$1000&gt;=AJ423),L$4:L$1000, ""))</f>
        <v>0</v>
      </c>
      <c r="AN423" s="32" t="str">
        <f t="shared" si="308"/>
        <v/>
      </c>
      <c r="AO423" s="32" t="str">
        <f t="shared" si="309"/>
        <v/>
      </c>
      <c r="AP423" s="32" t="str">
        <f t="shared" si="310"/>
        <v/>
      </c>
      <c r="AQ423" s="32" t="str">
        <f t="shared" si="311"/>
        <v/>
      </c>
      <c r="AR423" s="32" t="str">
        <f t="shared" si="312"/>
        <v/>
      </c>
      <c r="AS423" s="32" t="str">
        <f t="shared" si="313"/>
        <v/>
      </c>
      <c r="AT423" s="32" t="str">
        <f t="shared" si="314"/>
        <v/>
      </c>
      <c r="AU423" s="34" t="str">
        <f t="shared" si="315"/>
        <v/>
      </c>
      <c r="AV423" s="32" t="str">
        <f t="shared" si="316"/>
        <v/>
      </c>
      <c r="AW423" s="32" t="str">
        <f t="shared" si="317"/>
        <v/>
      </c>
      <c r="AX423" s="32" t="str">
        <f t="shared" si="318"/>
        <v/>
      </c>
      <c r="AY423" s="32" t="str">
        <f t="shared" si="319"/>
        <v/>
      </c>
    </row>
    <row r="424" spans="1:51" x14ac:dyDescent="0.25">
      <c r="A424" s="24" t="str">
        <f t="shared" si="277"/>
        <v/>
      </c>
      <c r="B424" s="24" t="str">
        <f t="shared" si="287"/>
        <v/>
      </c>
      <c r="C424" s="32" t="str">
        <f t="shared" si="278"/>
        <v/>
      </c>
      <c r="D424" s="24" t="str">
        <f t="shared" si="279"/>
        <v/>
      </c>
      <c r="E424" s="24" t="str">
        <f t="shared" si="280"/>
        <v/>
      </c>
      <c r="F424" s="32" t="str">
        <f t="shared" si="281"/>
        <v/>
      </c>
      <c r="G424" s="32" t="str">
        <f t="shared" si="282"/>
        <v/>
      </c>
      <c r="H424" s="32" t="str">
        <f t="shared" ca="1" si="283"/>
        <v/>
      </c>
      <c r="I424" s="32" t="str">
        <f t="shared" ca="1" si="288"/>
        <v/>
      </c>
      <c r="J424" s="32" t="str">
        <f t="shared" si="284"/>
        <v/>
      </c>
      <c r="K424" s="32" t="str">
        <f>IF(ISNUMBER(A424),Profile!$V$25+Profile!$V$24*'Ri-Po'!C424,"")</f>
        <v/>
      </c>
      <c r="L424" s="32" t="str">
        <f t="shared" si="289"/>
        <v/>
      </c>
      <c r="M424" s="32" t="str">
        <f t="shared" si="285"/>
        <v/>
      </c>
      <c r="N424" s="32" t="str">
        <f t="shared" si="286"/>
        <v/>
      </c>
      <c r="O424" s="32" t="str">
        <f t="shared" si="302"/>
        <v/>
      </c>
      <c r="P424" s="32" t="str">
        <f t="shared" si="290"/>
        <v/>
      </c>
      <c r="Q424" s="32" t="str">
        <f t="shared" si="291"/>
        <v/>
      </c>
      <c r="R424" s="32" t="str">
        <f t="shared" si="303"/>
        <v/>
      </c>
      <c r="S424" s="24" t="str">
        <f t="shared" si="304"/>
        <v/>
      </c>
      <c r="T424" s="24" t="str">
        <f t="shared" si="305"/>
        <v/>
      </c>
      <c r="U424" s="24" t="str">
        <f t="shared" si="306"/>
        <v/>
      </c>
      <c r="V424" s="24" t="str">
        <f t="shared" si="307"/>
        <v/>
      </c>
      <c r="W424" s="23" t="str">
        <f t="array" ref="W424">IFERROR(SMALL(IF(S$1:S$1000="BEGIN",ROW(S$1:S$1000)),ROW()-3),"")</f>
        <v/>
      </c>
      <c r="X424" s="23" t="str">
        <f t="array" ref="X424">IFERROR(SMALL(IF(T$1:T$1000="END",ROW(T$1:T$1000)),ROW()-3),"")</f>
        <v/>
      </c>
      <c r="Y424" s="33" t="str">
        <f t="array" ref="Y424">IF(ISNUMBER(W424),MAX(IF((B$4:B$1000&lt;=X424)*(B$4:B$1000&gt;=W424),I$4:I$1000, "")),"")</f>
        <v/>
      </c>
      <c r="Z424" s="33" t="str">
        <f t="shared" si="292"/>
        <v/>
      </c>
      <c r="AA424" s="32" t="str">
        <f t="shared" si="293"/>
        <v/>
      </c>
      <c r="AB424" s="32" t="str">
        <f t="shared" si="294"/>
        <v/>
      </c>
      <c r="AC424" s="32" t="str">
        <f t="shared" si="295"/>
        <v/>
      </c>
      <c r="AD424" s="32" t="str">
        <f t="shared" si="296"/>
        <v/>
      </c>
      <c r="AE424" s="34" t="str">
        <f t="shared" si="297"/>
        <v/>
      </c>
      <c r="AF424" s="32" t="str">
        <f t="shared" si="298"/>
        <v/>
      </c>
      <c r="AG424" s="32" t="str">
        <f t="shared" si="299"/>
        <v/>
      </c>
      <c r="AH424" s="32" t="str">
        <f t="shared" si="300"/>
        <v/>
      </c>
      <c r="AI424" s="35" t="str">
        <f t="shared" si="301"/>
        <v/>
      </c>
      <c r="AJ424" s="23" t="str">
        <f t="array" ref="AJ424">IFERROR(SMALL(IF(U$1:U$1000="BEGIN",ROW(U$1:U$1000)),ROW()-3),"")</f>
        <v/>
      </c>
      <c r="AK424" s="23" t="str">
        <f t="array" ref="AK424">IFERROR(SMALL(IF(V$1:V$1000="END",ROW(V$1:V$1000)),ROW()-3),"")</f>
        <v/>
      </c>
      <c r="AL424" s="24" t="str">
        <f t="array" ref="AL424">IF(AK424="","",MATCH(AM424,L:L,0))</f>
        <v/>
      </c>
      <c r="AM424" s="35">
        <f t="array" ref="AM424">MAX(IF((B$4:B$1000&lt;=AK424)*(B$4:B$1000&gt;=AJ424),L$4:L$1000, ""))</f>
        <v>0</v>
      </c>
      <c r="AN424" s="32" t="str">
        <f t="shared" si="308"/>
        <v/>
      </c>
      <c r="AO424" s="32" t="str">
        <f t="shared" si="309"/>
        <v/>
      </c>
      <c r="AP424" s="32" t="str">
        <f t="shared" si="310"/>
        <v/>
      </c>
      <c r="AQ424" s="32" t="str">
        <f t="shared" si="311"/>
        <v/>
      </c>
      <c r="AR424" s="32" t="str">
        <f t="shared" si="312"/>
        <v/>
      </c>
      <c r="AS424" s="32" t="str">
        <f t="shared" si="313"/>
        <v/>
      </c>
      <c r="AT424" s="32" t="str">
        <f t="shared" si="314"/>
        <v/>
      </c>
      <c r="AU424" s="34" t="str">
        <f t="shared" si="315"/>
        <v/>
      </c>
      <c r="AV424" s="32" t="str">
        <f t="shared" si="316"/>
        <v/>
      </c>
      <c r="AW424" s="32" t="str">
        <f t="shared" si="317"/>
        <v/>
      </c>
      <c r="AX424" s="32" t="str">
        <f t="shared" si="318"/>
        <v/>
      </c>
      <c r="AY424" s="32" t="str">
        <f t="shared" si="319"/>
        <v/>
      </c>
    </row>
    <row r="425" spans="1:51" x14ac:dyDescent="0.25">
      <c r="A425" s="24" t="str">
        <f t="shared" si="277"/>
        <v/>
      </c>
      <c r="B425" s="24" t="str">
        <f t="shared" si="287"/>
        <v/>
      </c>
      <c r="C425" s="32" t="str">
        <f t="shared" si="278"/>
        <v/>
      </c>
      <c r="D425" s="24" t="str">
        <f t="shared" si="279"/>
        <v/>
      </c>
      <c r="E425" s="24" t="str">
        <f t="shared" si="280"/>
        <v/>
      </c>
      <c r="F425" s="32" t="str">
        <f t="shared" si="281"/>
        <v/>
      </c>
      <c r="G425" s="32" t="str">
        <f t="shared" si="282"/>
        <v/>
      </c>
      <c r="H425" s="32" t="str">
        <f t="shared" ca="1" si="283"/>
        <v/>
      </c>
      <c r="I425" s="32" t="str">
        <f t="shared" ca="1" si="288"/>
        <v/>
      </c>
      <c r="J425" s="32" t="str">
        <f t="shared" si="284"/>
        <v/>
      </c>
      <c r="K425" s="32" t="str">
        <f>IF(ISNUMBER(A425),Profile!$V$25+Profile!$V$24*'Ri-Po'!C425,"")</f>
        <v/>
      </c>
      <c r="L425" s="32" t="str">
        <f t="shared" si="289"/>
        <v/>
      </c>
      <c r="M425" s="32" t="str">
        <f t="shared" si="285"/>
        <v/>
      </c>
      <c r="N425" s="32" t="str">
        <f t="shared" si="286"/>
        <v/>
      </c>
      <c r="O425" s="32" t="str">
        <f t="shared" si="302"/>
        <v/>
      </c>
      <c r="P425" s="32" t="str">
        <f t="shared" si="290"/>
        <v/>
      </c>
      <c r="Q425" s="32" t="str">
        <f t="shared" si="291"/>
        <v/>
      </c>
      <c r="R425" s="32" t="str">
        <f t="shared" si="303"/>
        <v/>
      </c>
      <c r="S425" s="24" t="str">
        <f t="shared" si="304"/>
        <v/>
      </c>
      <c r="T425" s="24" t="str">
        <f t="shared" si="305"/>
        <v/>
      </c>
      <c r="U425" s="24" t="str">
        <f t="shared" si="306"/>
        <v/>
      </c>
      <c r="V425" s="24" t="str">
        <f t="shared" si="307"/>
        <v/>
      </c>
      <c r="W425" s="23" t="str">
        <f t="array" ref="W425">IFERROR(SMALL(IF(S$1:S$1000="BEGIN",ROW(S$1:S$1000)),ROW()-3),"")</f>
        <v/>
      </c>
      <c r="X425" s="23" t="str">
        <f t="array" ref="X425">IFERROR(SMALL(IF(T$1:T$1000="END",ROW(T$1:T$1000)),ROW()-3),"")</f>
        <v/>
      </c>
      <c r="Y425" s="33" t="str">
        <f t="array" ref="Y425">IF(ISNUMBER(W425),MAX(IF((B$4:B$1000&lt;=X425)*(B$4:B$1000&gt;=W425),I$4:I$1000, "")),"")</f>
        <v/>
      </c>
      <c r="Z425" s="33" t="str">
        <f t="shared" si="292"/>
        <v/>
      </c>
      <c r="AA425" s="32" t="str">
        <f t="shared" si="293"/>
        <v/>
      </c>
      <c r="AB425" s="32" t="str">
        <f t="shared" si="294"/>
        <v/>
      </c>
      <c r="AC425" s="32" t="str">
        <f t="shared" si="295"/>
        <v/>
      </c>
      <c r="AD425" s="32" t="str">
        <f t="shared" si="296"/>
        <v/>
      </c>
      <c r="AE425" s="34" t="str">
        <f t="shared" si="297"/>
        <v/>
      </c>
      <c r="AF425" s="32" t="str">
        <f t="shared" si="298"/>
        <v/>
      </c>
      <c r="AG425" s="32" t="str">
        <f t="shared" si="299"/>
        <v/>
      </c>
      <c r="AH425" s="32" t="str">
        <f t="shared" si="300"/>
        <v/>
      </c>
      <c r="AI425" s="35" t="str">
        <f t="shared" si="301"/>
        <v/>
      </c>
      <c r="AJ425" s="23" t="str">
        <f t="array" ref="AJ425">IFERROR(SMALL(IF(U$1:U$1000="BEGIN",ROW(U$1:U$1000)),ROW()-3),"")</f>
        <v/>
      </c>
      <c r="AK425" s="23" t="str">
        <f t="array" ref="AK425">IFERROR(SMALL(IF(V$1:V$1000="END",ROW(V$1:V$1000)),ROW()-3),"")</f>
        <v/>
      </c>
      <c r="AL425" s="24" t="str">
        <f t="array" ref="AL425">IF(AK425="","",MATCH(AM425,L:L,0))</f>
        <v/>
      </c>
      <c r="AM425" s="35">
        <f t="array" ref="AM425">MAX(IF((B$4:B$1000&lt;=AK425)*(B$4:B$1000&gt;=AJ425),L$4:L$1000, ""))</f>
        <v>0</v>
      </c>
      <c r="AN425" s="32" t="str">
        <f t="shared" si="308"/>
        <v/>
      </c>
      <c r="AO425" s="32" t="str">
        <f t="shared" si="309"/>
        <v/>
      </c>
      <c r="AP425" s="32" t="str">
        <f t="shared" si="310"/>
        <v/>
      </c>
      <c r="AQ425" s="32" t="str">
        <f t="shared" si="311"/>
        <v/>
      </c>
      <c r="AR425" s="32" t="str">
        <f t="shared" si="312"/>
        <v/>
      </c>
      <c r="AS425" s="32" t="str">
        <f t="shared" si="313"/>
        <v/>
      </c>
      <c r="AT425" s="32" t="str">
        <f t="shared" si="314"/>
        <v/>
      </c>
      <c r="AU425" s="34" t="str">
        <f t="shared" si="315"/>
        <v/>
      </c>
      <c r="AV425" s="32" t="str">
        <f t="shared" si="316"/>
        <v/>
      </c>
      <c r="AW425" s="32" t="str">
        <f t="shared" si="317"/>
        <v/>
      </c>
      <c r="AX425" s="32" t="str">
        <f t="shared" si="318"/>
        <v/>
      </c>
      <c r="AY425" s="32" t="str">
        <f t="shared" si="319"/>
        <v/>
      </c>
    </row>
    <row r="426" spans="1:51" x14ac:dyDescent="0.25">
      <c r="A426" s="24" t="str">
        <f t="shared" si="277"/>
        <v/>
      </c>
      <c r="B426" s="24" t="str">
        <f t="shared" si="287"/>
        <v/>
      </c>
      <c r="C426" s="32" t="str">
        <f t="shared" si="278"/>
        <v/>
      </c>
      <c r="D426" s="24" t="str">
        <f t="shared" si="279"/>
        <v/>
      </c>
      <c r="E426" s="24" t="str">
        <f t="shared" si="280"/>
        <v/>
      </c>
      <c r="F426" s="32" t="str">
        <f t="shared" si="281"/>
        <v/>
      </c>
      <c r="G426" s="32" t="str">
        <f t="shared" si="282"/>
        <v/>
      </c>
      <c r="H426" s="32" t="str">
        <f t="shared" ca="1" si="283"/>
        <v/>
      </c>
      <c r="I426" s="32" t="str">
        <f t="shared" ca="1" si="288"/>
        <v/>
      </c>
      <c r="J426" s="32" t="str">
        <f t="shared" si="284"/>
        <v/>
      </c>
      <c r="K426" s="32" t="str">
        <f>IF(ISNUMBER(A426),Profile!$V$25+Profile!$V$24*'Ri-Po'!C426,"")</f>
        <v/>
      </c>
      <c r="L426" s="32" t="str">
        <f t="shared" si="289"/>
        <v/>
      </c>
      <c r="M426" s="32" t="str">
        <f t="shared" si="285"/>
        <v/>
      </c>
      <c r="N426" s="32" t="str">
        <f t="shared" si="286"/>
        <v/>
      </c>
      <c r="O426" s="32" t="str">
        <f t="shared" si="302"/>
        <v/>
      </c>
      <c r="P426" s="32" t="str">
        <f t="shared" si="290"/>
        <v/>
      </c>
      <c r="Q426" s="32" t="str">
        <f t="shared" si="291"/>
        <v/>
      </c>
      <c r="R426" s="32" t="str">
        <f t="shared" si="303"/>
        <v/>
      </c>
      <c r="S426" s="24" t="str">
        <f t="shared" si="304"/>
        <v/>
      </c>
      <c r="T426" s="24" t="str">
        <f t="shared" si="305"/>
        <v/>
      </c>
      <c r="U426" s="24" t="str">
        <f t="shared" si="306"/>
        <v/>
      </c>
      <c r="V426" s="24" t="str">
        <f t="shared" si="307"/>
        <v/>
      </c>
      <c r="W426" s="23" t="str">
        <f t="array" ref="W426">IFERROR(SMALL(IF(S$1:S$1000="BEGIN",ROW(S$1:S$1000)),ROW()-3),"")</f>
        <v/>
      </c>
      <c r="X426" s="23" t="str">
        <f t="array" ref="X426">IFERROR(SMALL(IF(T$1:T$1000="END",ROW(T$1:T$1000)),ROW()-3),"")</f>
        <v/>
      </c>
      <c r="Y426" s="33" t="str">
        <f t="array" ref="Y426">IF(ISNUMBER(W426),MAX(IF((B$4:B$1000&lt;=X426)*(B$4:B$1000&gt;=W426),I$4:I$1000, "")),"")</f>
        <v/>
      </c>
      <c r="Z426" s="33" t="str">
        <f t="shared" si="292"/>
        <v/>
      </c>
      <c r="AA426" s="32" t="str">
        <f t="shared" si="293"/>
        <v/>
      </c>
      <c r="AB426" s="32" t="str">
        <f t="shared" si="294"/>
        <v/>
      </c>
      <c r="AC426" s="32" t="str">
        <f t="shared" si="295"/>
        <v/>
      </c>
      <c r="AD426" s="32" t="str">
        <f t="shared" si="296"/>
        <v/>
      </c>
      <c r="AE426" s="34" t="str">
        <f t="shared" si="297"/>
        <v/>
      </c>
      <c r="AF426" s="32" t="str">
        <f t="shared" si="298"/>
        <v/>
      </c>
      <c r="AG426" s="32" t="str">
        <f t="shared" si="299"/>
        <v/>
      </c>
      <c r="AH426" s="32" t="str">
        <f t="shared" si="300"/>
        <v/>
      </c>
      <c r="AI426" s="35" t="str">
        <f t="shared" si="301"/>
        <v/>
      </c>
      <c r="AJ426" s="23" t="str">
        <f t="array" ref="AJ426">IFERROR(SMALL(IF(U$1:U$1000="BEGIN",ROW(U$1:U$1000)),ROW()-3),"")</f>
        <v/>
      </c>
      <c r="AK426" s="23" t="str">
        <f t="array" ref="AK426">IFERROR(SMALL(IF(V$1:V$1000="END",ROW(V$1:V$1000)),ROW()-3),"")</f>
        <v/>
      </c>
      <c r="AL426" s="24" t="str">
        <f t="array" ref="AL426">IF(AK426="","",MATCH(AM426,L:L,0))</f>
        <v/>
      </c>
      <c r="AM426" s="35">
        <f t="array" ref="AM426">MAX(IF((B$4:B$1000&lt;=AK426)*(B$4:B$1000&gt;=AJ426),L$4:L$1000, ""))</f>
        <v>0</v>
      </c>
      <c r="AN426" s="32" t="str">
        <f t="shared" si="308"/>
        <v/>
      </c>
      <c r="AO426" s="32" t="str">
        <f t="shared" si="309"/>
        <v/>
      </c>
      <c r="AP426" s="32" t="str">
        <f t="shared" si="310"/>
        <v/>
      </c>
      <c r="AQ426" s="32" t="str">
        <f t="shared" si="311"/>
        <v/>
      </c>
      <c r="AR426" s="32" t="str">
        <f t="shared" si="312"/>
        <v/>
      </c>
      <c r="AS426" s="32" t="str">
        <f t="shared" si="313"/>
        <v/>
      </c>
      <c r="AT426" s="32" t="str">
        <f t="shared" si="314"/>
        <v/>
      </c>
      <c r="AU426" s="34" t="str">
        <f t="shared" si="315"/>
        <v/>
      </c>
      <c r="AV426" s="32" t="str">
        <f t="shared" si="316"/>
        <v/>
      </c>
      <c r="AW426" s="32" t="str">
        <f t="shared" si="317"/>
        <v/>
      </c>
      <c r="AX426" s="32" t="str">
        <f t="shared" si="318"/>
        <v/>
      </c>
      <c r="AY426" s="32" t="str">
        <f t="shared" si="319"/>
        <v/>
      </c>
    </row>
    <row r="427" spans="1:51" x14ac:dyDescent="0.25">
      <c r="A427" s="24" t="str">
        <f t="shared" si="277"/>
        <v/>
      </c>
      <c r="B427" s="24" t="str">
        <f t="shared" si="287"/>
        <v/>
      </c>
      <c r="C427" s="32" t="str">
        <f t="shared" si="278"/>
        <v/>
      </c>
      <c r="D427" s="24" t="str">
        <f t="shared" si="279"/>
        <v/>
      </c>
      <c r="E427" s="24" t="str">
        <f t="shared" si="280"/>
        <v/>
      </c>
      <c r="F427" s="32" t="str">
        <f t="shared" si="281"/>
        <v/>
      </c>
      <c r="G427" s="32" t="str">
        <f t="shared" si="282"/>
        <v/>
      </c>
      <c r="H427" s="32" t="str">
        <f t="shared" ca="1" si="283"/>
        <v/>
      </c>
      <c r="I427" s="32" t="str">
        <f t="shared" ca="1" si="288"/>
        <v/>
      </c>
      <c r="J427" s="32" t="str">
        <f t="shared" si="284"/>
        <v/>
      </c>
      <c r="K427" s="32" t="str">
        <f>IF(ISNUMBER(A427),Profile!$V$25+Profile!$V$24*'Ri-Po'!C427,"")</f>
        <v/>
      </c>
      <c r="L427" s="32" t="str">
        <f t="shared" si="289"/>
        <v/>
      </c>
      <c r="M427" s="32" t="str">
        <f t="shared" si="285"/>
        <v/>
      </c>
      <c r="N427" s="32" t="str">
        <f t="shared" si="286"/>
        <v/>
      </c>
      <c r="O427" s="32" t="str">
        <f t="shared" si="302"/>
        <v/>
      </c>
      <c r="P427" s="32" t="str">
        <f t="shared" si="290"/>
        <v/>
      </c>
      <c r="Q427" s="32" t="str">
        <f t="shared" si="291"/>
        <v/>
      </c>
      <c r="R427" s="32" t="str">
        <f t="shared" si="303"/>
        <v/>
      </c>
      <c r="S427" s="24" t="str">
        <f t="shared" si="304"/>
        <v/>
      </c>
      <c r="T427" s="24" t="str">
        <f t="shared" si="305"/>
        <v/>
      </c>
      <c r="U427" s="24" t="str">
        <f t="shared" si="306"/>
        <v/>
      </c>
      <c r="V427" s="24" t="str">
        <f t="shared" si="307"/>
        <v/>
      </c>
      <c r="W427" s="23" t="str">
        <f t="array" ref="W427">IFERROR(SMALL(IF(S$1:S$1000="BEGIN",ROW(S$1:S$1000)),ROW()-3),"")</f>
        <v/>
      </c>
      <c r="X427" s="23" t="str">
        <f t="array" ref="X427">IFERROR(SMALL(IF(T$1:T$1000="END",ROW(T$1:T$1000)),ROW()-3),"")</f>
        <v/>
      </c>
      <c r="Y427" s="33" t="str">
        <f t="array" ref="Y427">IF(ISNUMBER(W427),MAX(IF((B$4:B$1000&lt;=X427)*(B$4:B$1000&gt;=W427),I$4:I$1000, "")),"")</f>
        <v/>
      </c>
      <c r="Z427" s="33" t="str">
        <f t="shared" si="292"/>
        <v/>
      </c>
      <c r="AA427" s="32" t="str">
        <f t="shared" si="293"/>
        <v/>
      </c>
      <c r="AB427" s="32" t="str">
        <f t="shared" si="294"/>
        <v/>
      </c>
      <c r="AC427" s="32" t="str">
        <f t="shared" si="295"/>
        <v/>
      </c>
      <c r="AD427" s="32" t="str">
        <f t="shared" si="296"/>
        <v/>
      </c>
      <c r="AE427" s="34" t="str">
        <f t="shared" si="297"/>
        <v/>
      </c>
      <c r="AF427" s="32" t="str">
        <f t="shared" si="298"/>
        <v/>
      </c>
      <c r="AG427" s="32" t="str">
        <f t="shared" si="299"/>
        <v/>
      </c>
      <c r="AH427" s="32" t="str">
        <f t="shared" si="300"/>
        <v/>
      </c>
      <c r="AI427" s="35" t="str">
        <f t="shared" si="301"/>
        <v/>
      </c>
      <c r="AJ427" s="23" t="str">
        <f t="array" ref="AJ427">IFERROR(SMALL(IF(U$1:U$1000="BEGIN",ROW(U$1:U$1000)),ROW()-3),"")</f>
        <v/>
      </c>
      <c r="AK427" s="23" t="str">
        <f t="array" ref="AK427">IFERROR(SMALL(IF(V$1:V$1000="END",ROW(V$1:V$1000)),ROW()-3),"")</f>
        <v/>
      </c>
      <c r="AL427" s="24" t="str">
        <f t="array" ref="AL427">IF(AK427="","",MATCH(AM427,L:L,0))</f>
        <v/>
      </c>
      <c r="AM427" s="35">
        <f t="array" ref="AM427">MAX(IF((B$4:B$1000&lt;=AK427)*(B$4:B$1000&gt;=AJ427),L$4:L$1000, ""))</f>
        <v>0</v>
      </c>
      <c r="AN427" s="32" t="str">
        <f t="shared" si="308"/>
        <v/>
      </c>
      <c r="AO427" s="32" t="str">
        <f t="shared" si="309"/>
        <v/>
      </c>
      <c r="AP427" s="32" t="str">
        <f t="shared" si="310"/>
        <v/>
      </c>
      <c r="AQ427" s="32" t="str">
        <f t="shared" si="311"/>
        <v/>
      </c>
      <c r="AR427" s="32" t="str">
        <f t="shared" si="312"/>
        <v/>
      </c>
      <c r="AS427" s="32" t="str">
        <f t="shared" si="313"/>
        <v/>
      </c>
      <c r="AT427" s="32" t="str">
        <f t="shared" si="314"/>
        <v/>
      </c>
      <c r="AU427" s="34" t="str">
        <f t="shared" si="315"/>
        <v/>
      </c>
      <c r="AV427" s="32" t="str">
        <f t="shared" si="316"/>
        <v/>
      </c>
      <c r="AW427" s="32" t="str">
        <f t="shared" si="317"/>
        <v/>
      </c>
      <c r="AX427" s="32" t="str">
        <f t="shared" si="318"/>
        <v/>
      </c>
      <c r="AY427" s="32" t="str">
        <f t="shared" si="319"/>
        <v/>
      </c>
    </row>
    <row r="428" spans="1:51" x14ac:dyDescent="0.25">
      <c r="A428" s="24" t="str">
        <f t="shared" si="277"/>
        <v/>
      </c>
      <c r="B428" s="24" t="str">
        <f t="shared" si="287"/>
        <v/>
      </c>
      <c r="C428" s="32" t="str">
        <f t="shared" si="278"/>
        <v/>
      </c>
      <c r="D428" s="24" t="str">
        <f t="shared" si="279"/>
        <v/>
      </c>
      <c r="E428" s="24" t="str">
        <f t="shared" si="280"/>
        <v/>
      </c>
      <c r="F428" s="32" t="str">
        <f t="shared" si="281"/>
        <v/>
      </c>
      <c r="G428" s="32" t="str">
        <f t="shared" si="282"/>
        <v/>
      </c>
      <c r="H428" s="32" t="str">
        <f t="shared" ca="1" si="283"/>
        <v/>
      </c>
      <c r="I428" s="32" t="str">
        <f t="shared" ca="1" si="288"/>
        <v/>
      </c>
      <c r="J428" s="32" t="str">
        <f t="shared" si="284"/>
        <v/>
      </c>
      <c r="K428" s="32" t="str">
        <f>IF(ISNUMBER(A428),Profile!$V$25+Profile!$V$24*'Ri-Po'!C428,"")</f>
        <v/>
      </c>
      <c r="L428" s="32" t="str">
        <f t="shared" si="289"/>
        <v/>
      </c>
      <c r="M428" s="32" t="str">
        <f t="shared" si="285"/>
        <v/>
      </c>
      <c r="N428" s="32" t="str">
        <f t="shared" si="286"/>
        <v/>
      </c>
      <c r="O428" s="32" t="str">
        <f t="shared" si="302"/>
        <v/>
      </c>
      <c r="P428" s="32" t="str">
        <f t="shared" si="290"/>
        <v/>
      </c>
      <c r="Q428" s="32" t="str">
        <f t="shared" si="291"/>
        <v/>
      </c>
      <c r="R428" s="32" t="str">
        <f t="shared" si="303"/>
        <v/>
      </c>
      <c r="S428" s="24" t="str">
        <f t="shared" si="304"/>
        <v/>
      </c>
      <c r="T428" s="24" t="str">
        <f t="shared" si="305"/>
        <v/>
      </c>
      <c r="U428" s="24" t="str">
        <f t="shared" si="306"/>
        <v/>
      </c>
      <c r="V428" s="24" t="str">
        <f t="shared" si="307"/>
        <v/>
      </c>
      <c r="W428" s="23" t="str">
        <f t="array" ref="W428">IFERROR(SMALL(IF(S$1:S$1000="BEGIN",ROW(S$1:S$1000)),ROW()-3),"")</f>
        <v/>
      </c>
      <c r="X428" s="23" t="str">
        <f t="array" ref="X428">IFERROR(SMALL(IF(T$1:T$1000="END",ROW(T$1:T$1000)),ROW()-3),"")</f>
        <v/>
      </c>
      <c r="Y428" s="33" t="str">
        <f t="array" ref="Y428">IF(ISNUMBER(W428),MAX(IF((B$4:B$1000&lt;=X428)*(B$4:B$1000&gt;=W428),I$4:I$1000, "")),"")</f>
        <v/>
      </c>
      <c r="Z428" s="33" t="str">
        <f t="shared" si="292"/>
        <v/>
      </c>
      <c r="AA428" s="32" t="str">
        <f t="shared" si="293"/>
        <v/>
      </c>
      <c r="AB428" s="32" t="str">
        <f t="shared" si="294"/>
        <v/>
      </c>
      <c r="AC428" s="32" t="str">
        <f t="shared" si="295"/>
        <v/>
      </c>
      <c r="AD428" s="32" t="str">
        <f t="shared" si="296"/>
        <v/>
      </c>
      <c r="AE428" s="34" t="str">
        <f t="shared" si="297"/>
        <v/>
      </c>
      <c r="AF428" s="32" t="str">
        <f t="shared" si="298"/>
        <v/>
      </c>
      <c r="AG428" s="32" t="str">
        <f t="shared" si="299"/>
        <v/>
      </c>
      <c r="AH428" s="32" t="str">
        <f t="shared" si="300"/>
        <v/>
      </c>
      <c r="AI428" s="35" t="str">
        <f t="shared" si="301"/>
        <v/>
      </c>
      <c r="AJ428" s="23" t="str">
        <f t="array" ref="AJ428">IFERROR(SMALL(IF(U$1:U$1000="BEGIN",ROW(U$1:U$1000)),ROW()-3),"")</f>
        <v/>
      </c>
      <c r="AK428" s="23" t="str">
        <f t="array" ref="AK428">IFERROR(SMALL(IF(V$1:V$1000="END",ROW(V$1:V$1000)),ROW()-3),"")</f>
        <v/>
      </c>
      <c r="AL428" s="24" t="str">
        <f t="array" ref="AL428">IF(AK428="","",MATCH(AM428,L:L,0))</f>
        <v/>
      </c>
      <c r="AM428" s="35">
        <f t="array" ref="AM428">MAX(IF((B$4:B$1000&lt;=AK428)*(B$4:B$1000&gt;=AJ428),L$4:L$1000, ""))</f>
        <v>0</v>
      </c>
      <c r="AN428" s="32" t="str">
        <f t="shared" si="308"/>
        <v/>
      </c>
      <c r="AO428" s="32" t="str">
        <f t="shared" si="309"/>
        <v/>
      </c>
      <c r="AP428" s="32" t="str">
        <f t="shared" si="310"/>
        <v/>
      </c>
      <c r="AQ428" s="32" t="str">
        <f t="shared" si="311"/>
        <v/>
      </c>
      <c r="AR428" s="32" t="str">
        <f t="shared" si="312"/>
        <v/>
      </c>
      <c r="AS428" s="32" t="str">
        <f t="shared" si="313"/>
        <v/>
      </c>
      <c r="AT428" s="32" t="str">
        <f t="shared" si="314"/>
        <v/>
      </c>
      <c r="AU428" s="34" t="str">
        <f t="shared" si="315"/>
        <v/>
      </c>
      <c r="AV428" s="32" t="str">
        <f t="shared" si="316"/>
        <v/>
      </c>
      <c r="AW428" s="32" t="str">
        <f t="shared" si="317"/>
        <v/>
      </c>
      <c r="AX428" s="32" t="str">
        <f t="shared" si="318"/>
        <v/>
      </c>
      <c r="AY428" s="32" t="str">
        <f t="shared" si="319"/>
        <v/>
      </c>
    </row>
    <row r="429" spans="1:51" x14ac:dyDescent="0.25">
      <c r="A429" s="24" t="str">
        <f t="shared" si="277"/>
        <v/>
      </c>
      <c r="B429" s="24" t="str">
        <f t="shared" si="287"/>
        <v/>
      </c>
      <c r="C429" s="32" t="str">
        <f t="shared" si="278"/>
        <v/>
      </c>
      <c r="D429" s="24" t="str">
        <f t="shared" si="279"/>
        <v/>
      </c>
      <c r="E429" s="24" t="str">
        <f t="shared" si="280"/>
        <v/>
      </c>
      <c r="F429" s="32" t="str">
        <f t="shared" si="281"/>
        <v/>
      </c>
      <c r="G429" s="32" t="str">
        <f t="shared" si="282"/>
        <v/>
      </c>
      <c r="H429" s="32" t="str">
        <f t="shared" ca="1" si="283"/>
        <v/>
      </c>
      <c r="I429" s="32" t="str">
        <f t="shared" ca="1" si="288"/>
        <v/>
      </c>
      <c r="J429" s="32" t="str">
        <f t="shared" si="284"/>
        <v/>
      </c>
      <c r="K429" s="32" t="str">
        <f>IF(ISNUMBER(A429),Profile!$V$25+Profile!$V$24*'Ri-Po'!C429,"")</f>
        <v/>
      </c>
      <c r="L429" s="32" t="str">
        <f t="shared" si="289"/>
        <v/>
      </c>
      <c r="M429" s="32" t="str">
        <f t="shared" si="285"/>
        <v/>
      </c>
      <c r="N429" s="32" t="str">
        <f t="shared" si="286"/>
        <v/>
      </c>
      <c r="O429" s="32" t="str">
        <f t="shared" si="302"/>
        <v/>
      </c>
      <c r="P429" s="32" t="str">
        <f t="shared" si="290"/>
        <v/>
      </c>
      <c r="Q429" s="32" t="str">
        <f t="shared" si="291"/>
        <v/>
      </c>
      <c r="R429" s="32" t="str">
        <f t="shared" si="303"/>
        <v/>
      </c>
      <c r="S429" s="24" t="str">
        <f t="shared" si="304"/>
        <v/>
      </c>
      <c r="T429" s="24" t="str">
        <f t="shared" si="305"/>
        <v/>
      </c>
      <c r="U429" s="24" t="str">
        <f t="shared" si="306"/>
        <v/>
      </c>
      <c r="V429" s="24" t="str">
        <f t="shared" si="307"/>
        <v/>
      </c>
      <c r="W429" s="23" t="str">
        <f t="array" ref="W429">IFERROR(SMALL(IF(S$1:S$1000="BEGIN",ROW(S$1:S$1000)),ROW()-3),"")</f>
        <v/>
      </c>
      <c r="X429" s="23" t="str">
        <f t="array" ref="X429">IFERROR(SMALL(IF(T$1:T$1000="END",ROW(T$1:T$1000)),ROW()-3),"")</f>
        <v/>
      </c>
      <c r="Y429" s="33" t="str">
        <f t="array" ref="Y429">IF(ISNUMBER(W429),MAX(IF((B$4:B$1000&lt;=X429)*(B$4:B$1000&gt;=W429),I$4:I$1000, "")),"")</f>
        <v/>
      </c>
      <c r="Z429" s="33" t="str">
        <f t="shared" si="292"/>
        <v/>
      </c>
      <c r="AA429" s="32" t="str">
        <f t="shared" si="293"/>
        <v/>
      </c>
      <c r="AB429" s="32" t="str">
        <f t="shared" si="294"/>
        <v/>
      </c>
      <c r="AC429" s="32" t="str">
        <f t="shared" si="295"/>
        <v/>
      </c>
      <c r="AD429" s="32" t="str">
        <f t="shared" si="296"/>
        <v/>
      </c>
      <c r="AE429" s="34" t="str">
        <f t="shared" si="297"/>
        <v/>
      </c>
      <c r="AF429" s="32" t="str">
        <f t="shared" si="298"/>
        <v/>
      </c>
      <c r="AG429" s="32" t="str">
        <f t="shared" si="299"/>
        <v/>
      </c>
      <c r="AH429" s="32" t="str">
        <f t="shared" si="300"/>
        <v/>
      </c>
      <c r="AI429" s="35" t="str">
        <f t="shared" si="301"/>
        <v/>
      </c>
      <c r="AJ429" s="23" t="str">
        <f t="array" ref="AJ429">IFERROR(SMALL(IF(U$1:U$1000="BEGIN",ROW(U$1:U$1000)),ROW()-3),"")</f>
        <v/>
      </c>
      <c r="AK429" s="23" t="str">
        <f t="array" ref="AK429">IFERROR(SMALL(IF(V$1:V$1000="END",ROW(V$1:V$1000)),ROW()-3),"")</f>
        <v/>
      </c>
      <c r="AL429" s="24" t="str">
        <f t="array" ref="AL429">IF(AK429="","",MATCH(AM429,L:L,0))</f>
        <v/>
      </c>
      <c r="AM429" s="35">
        <f t="array" ref="AM429">MAX(IF((B$4:B$1000&lt;=AK429)*(B$4:B$1000&gt;=AJ429),L$4:L$1000, ""))</f>
        <v>0</v>
      </c>
      <c r="AN429" s="32" t="str">
        <f t="shared" si="308"/>
        <v/>
      </c>
      <c r="AO429" s="32" t="str">
        <f t="shared" si="309"/>
        <v/>
      </c>
      <c r="AP429" s="32" t="str">
        <f t="shared" si="310"/>
        <v/>
      </c>
      <c r="AQ429" s="32" t="str">
        <f t="shared" si="311"/>
        <v/>
      </c>
      <c r="AR429" s="32" t="str">
        <f t="shared" si="312"/>
        <v/>
      </c>
      <c r="AS429" s="32" t="str">
        <f t="shared" si="313"/>
        <v/>
      </c>
      <c r="AT429" s="32" t="str">
        <f t="shared" si="314"/>
        <v/>
      </c>
      <c r="AU429" s="34" t="str">
        <f t="shared" si="315"/>
        <v/>
      </c>
      <c r="AV429" s="32" t="str">
        <f t="shared" si="316"/>
        <v/>
      </c>
      <c r="AW429" s="32" t="str">
        <f t="shared" si="317"/>
        <v/>
      </c>
      <c r="AX429" s="32" t="str">
        <f t="shared" si="318"/>
        <v/>
      </c>
      <c r="AY429" s="32" t="str">
        <f t="shared" si="319"/>
        <v/>
      </c>
    </row>
    <row r="430" spans="1:51" x14ac:dyDescent="0.25">
      <c r="A430" s="24" t="str">
        <f t="shared" si="277"/>
        <v/>
      </c>
      <c r="B430" s="24" t="str">
        <f t="shared" si="287"/>
        <v/>
      </c>
      <c r="C430" s="32" t="str">
        <f t="shared" si="278"/>
        <v/>
      </c>
      <c r="D430" s="24" t="str">
        <f t="shared" si="279"/>
        <v/>
      </c>
      <c r="E430" s="24" t="str">
        <f t="shared" si="280"/>
        <v/>
      </c>
      <c r="F430" s="32" t="str">
        <f t="shared" si="281"/>
        <v/>
      </c>
      <c r="G430" s="32" t="str">
        <f t="shared" si="282"/>
        <v/>
      </c>
      <c r="H430" s="32" t="str">
        <f t="shared" ca="1" si="283"/>
        <v/>
      </c>
      <c r="I430" s="32" t="str">
        <f t="shared" ca="1" si="288"/>
        <v/>
      </c>
      <c r="J430" s="32" t="str">
        <f t="shared" si="284"/>
        <v/>
      </c>
      <c r="K430" s="32" t="str">
        <f>IF(ISNUMBER(A430),Profile!$V$25+Profile!$V$24*'Ri-Po'!C430,"")</f>
        <v/>
      </c>
      <c r="L430" s="32" t="str">
        <f t="shared" si="289"/>
        <v/>
      </c>
      <c r="M430" s="32" t="str">
        <f t="shared" si="285"/>
        <v/>
      </c>
      <c r="N430" s="32" t="str">
        <f t="shared" si="286"/>
        <v/>
      </c>
      <c r="O430" s="32" t="str">
        <f t="shared" si="302"/>
        <v/>
      </c>
      <c r="P430" s="32" t="str">
        <f t="shared" si="290"/>
        <v/>
      </c>
      <c r="Q430" s="32" t="str">
        <f t="shared" si="291"/>
        <v/>
      </c>
      <c r="R430" s="32" t="str">
        <f t="shared" si="303"/>
        <v/>
      </c>
      <c r="S430" s="24" t="str">
        <f t="shared" si="304"/>
        <v/>
      </c>
      <c r="T430" s="24" t="str">
        <f t="shared" si="305"/>
        <v/>
      </c>
      <c r="U430" s="24" t="str">
        <f t="shared" si="306"/>
        <v/>
      </c>
      <c r="V430" s="24" t="str">
        <f t="shared" si="307"/>
        <v/>
      </c>
      <c r="W430" s="23" t="str">
        <f t="array" ref="W430">IFERROR(SMALL(IF(S$1:S$1000="BEGIN",ROW(S$1:S$1000)),ROW()-3),"")</f>
        <v/>
      </c>
      <c r="X430" s="23" t="str">
        <f t="array" ref="X430">IFERROR(SMALL(IF(T$1:T$1000="END",ROW(T$1:T$1000)),ROW()-3),"")</f>
        <v/>
      </c>
      <c r="Y430" s="33" t="str">
        <f t="array" ref="Y430">IF(ISNUMBER(W430),MAX(IF((B$4:B$1000&lt;=X430)*(B$4:B$1000&gt;=W430),I$4:I$1000, "")),"")</f>
        <v/>
      </c>
      <c r="Z430" s="33" t="str">
        <f t="shared" si="292"/>
        <v/>
      </c>
      <c r="AA430" s="32" t="str">
        <f t="shared" si="293"/>
        <v/>
      </c>
      <c r="AB430" s="32" t="str">
        <f t="shared" si="294"/>
        <v/>
      </c>
      <c r="AC430" s="32" t="str">
        <f t="shared" si="295"/>
        <v/>
      </c>
      <c r="AD430" s="32" t="str">
        <f t="shared" si="296"/>
        <v/>
      </c>
      <c r="AE430" s="34" t="str">
        <f t="shared" si="297"/>
        <v/>
      </c>
      <c r="AF430" s="32" t="str">
        <f t="shared" si="298"/>
        <v/>
      </c>
      <c r="AG430" s="32" t="str">
        <f t="shared" si="299"/>
        <v/>
      </c>
      <c r="AH430" s="32" t="str">
        <f t="shared" si="300"/>
        <v/>
      </c>
      <c r="AI430" s="35" t="str">
        <f t="shared" si="301"/>
        <v/>
      </c>
      <c r="AJ430" s="23" t="str">
        <f t="array" ref="AJ430">IFERROR(SMALL(IF(U$1:U$1000="BEGIN",ROW(U$1:U$1000)),ROW()-3),"")</f>
        <v/>
      </c>
      <c r="AK430" s="23" t="str">
        <f t="array" ref="AK430">IFERROR(SMALL(IF(V$1:V$1000="END",ROW(V$1:V$1000)),ROW()-3),"")</f>
        <v/>
      </c>
      <c r="AL430" s="24" t="str">
        <f t="array" ref="AL430">IF(AK430="","",MATCH(AM430,L:L,0))</f>
        <v/>
      </c>
      <c r="AM430" s="35">
        <f t="array" ref="AM430">MAX(IF((B$4:B$1000&lt;=AK430)*(B$4:B$1000&gt;=AJ430),L$4:L$1000, ""))</f>
        <v>0</v>
      </c>
      <c r="AN430" s="32" t="str">
        <f t="shared" si="308"/>
        <v/>
      </c>
      <c r="AO430" s="32" t="str">
        <f t="shared" si="309"/>
        <v/>
      </c>
      <c r="AP430" s="32" t="str">
        <f t="shared" si="310"/>
        <v/>
      </c>
      <c r="AQ430" s="32" t="str">
        <f t="shared" si="311"/>
        <v/>
      </c>
      <c r="AR430" s="32" t="str">
        <f t="shared" si="312"/>
        <v/>
      </c>
      <c r="AS430" s="32" t="str">
        <f t="shared" si="313"/>
        <v/>
      </c>
      <c r="AT430" s="32" t="str">
        <f t="shared" si="314"/>
        <v/>
      </c>
      <c r="AU430" s="34" t="str">
        <f t="shared" si="315"/>
        <v/>
      </c>
      <c r="AV430" s="32" t="str">
        <f t="shared" si="316"/>
        <v/>
      </c>
      <c r="AW430" s="32" t="str">
        <f t="shared" si="317"/>
        <v/>
      </c>
      <c r="AX430" s="32" t="str">
        <f t="shared" si="318"/>
        <v/>
      </c>
      <c r="AY430" s="32" t="str">
        <f t="shared" si="319"/>
        <v/>
      </c>
    </row>
    <row r="431" spans="1:51" x14ac:dyDescent="0.25">
      <c r="A431" s="24" t="str">
        <f t="shared" si="277"/>
        <v/>
      </c>
      <c r="B431" s="24" t="str">
        <f t="shared" si="287"/>
        <v/>
      </c>
      <c r="C431" s="32" t="str">
        <f t="shared" si="278"/>
        <v/>
      </c>
      <c r="D431" s="24" t="str">
        <f t="shared" si="279"/>
        <v/>
      </c>
      <c r="E431" s="24" t="str">
        <f t="shared" si="280"/>
        <v/>
      </c>
      <c r="F431" s="32" t="str">
        <f t="shared" si="281"/>
        <v/>
      </c>
      <c r="G431" s="32" t="str">
        <f t="shared" si="282"/>
        <v/>
      </c>
      <c r="H431" s="32" t="str">
        <f t="shared" ca="1" si="283"/>
        <v/>
      </c>
      <c r="I431" s="32" t="str">
        <f t="shared" ca="1" si="288"/>
        <v/>
      </c>
      <c r="J431" s="32" t="str">
        <f t="shared" si="284"/>
        <v/>
      </c>
      <c r="K431" s="32" t="str">
        <f>IF(ISNUMBER(A431),Profile!$V$25+Profile!$V$24*'Ri-Po'!C431,"")</f>
        <v/>
      </c>
      <c r="L431" s="32" t="str">
        <f t="shared" si="289"/>
        <v/>
      </c>
      <c r="M431" s="32" t="str">
        <f t="shared" si="285"/>
        <v/>
      </c>
      <c r="N431" s="32" t="str">
        <f t="shared" si="286"/>
        <v/>
      </c>
      <c r="O431" s="32" t="str">
        <f t="shared" si="302"/>
        <v/>
      </c>
      <c r="P431" s="32" t="str">
        <f t="shared" si="290"/>
        <v/>
      </c>
      <c r="Q431" s="32" t="str">
        <f t="shared" si="291"/>
        <v/>
      </c>
      <c r="R431" s="32" t="str">
        <f t="shared" si="303"/>
        <v/>
      </c>
      <c r="S431" s="24" t="str">
        <f t="shared" si="304"/>
        <v/>
      </c>
      <c r="T431" s="24" t="str">
        <f t="shared" si="305"/>
        <v/>
      </c>
      <c r="U431" s="24" t="str">
        <f t="shared" si="306"/>
        <v/>
      </c>
      <c r="V431" s="24" t="str">
        <f t="shared" si="307"/>
        <v/>
      </c>
      <c r="W431" s="23" t="str">
        <f t="array" ref="W431">IFERROR(SMALL(IF(S$1:S$1000="BEGIN",ROW(S$1:S$1000)),ROW()-3),"")</f>
        <v/>
      </c>
      <c r="X431" s="23" t="str">
        <f t="array" ref="X431">IFERROR(SMALL(IF(T$1:T$1000="END",ROW(T$1:T$1000)),ROW()-3),"")</f>
        <v/>
      </c>
      <c r="Y431" s="33" t="str">
        <f t="array" ref="Y431">IF(ISNUMBER(W431),MAX(IF((B$4:B$1000&lt;=X431)*(B$4:B$1000&gt;=W431),I$4:I$1000, "")),"")</f>
        <v/>
      </c>
      <c r="Z431" s="33" t="str">
        <f t="shared" si="292"/>
        <v/>
      </c>
      <c r="AA431" s="32" t="str">
        <f t="shared" si="293"/>
        <v/>
      </c>
      <c r="AB431" s="32" t="str">
        <f t="shared" si="294"/>
        <v/>
      </c>
      <c r="AC431" s="32" t="str">
        <f t="shared" si="295"/>
        <v/>
      </c>
      <c r="AD431" s="32" t="str">
        <f t="shared" si="296"/>
        <v/>
      </c>
      <c r="AE431" s="34" t="str">
        <f t="shared" si="297"/>
        <v/>
      </c>
      <c r="AF431" s="32" t="str">
        <f t="shared" si="298"/>
        <v/>
      </c>
      <c r="AG431" s="32" t="str">
        <f t="shared" si="299"/>
        <v/>
      </c>
      <c r="AH431" s="32" t="str">
        <f t="shared" si="300"/>
        <v/>
      </c>
      <c r="AI431" s="35" t="str">
        <f t="shared" si="301"/>
        <v/>
      </c>
      <c r="AJ431" s="23" t="str">
        <f t="array" ref="AJ431">IFERROR(SMALL(IF(U$1:U$1000="BEGIN",ROW(U$1:U$1000)),ROW()-3),"")</f>
        <v/>
      </c>
      <c r="AK431" s="23" t="str">
        <f t="array" ref="AK431">IFERROR(SMALL(IF(V$1:V$1000="END",ROW(V$1:V$1000)),ROW()-3),"")</f>
        <v/>
      </c>
      <c r="AL431" s="24" t="str">
        <f t="array" ref="AL431">IF(AK431="","",MATCH(AM431,L:L,0))</f>
        <v/>
      </c>
      <c r="AM431" s="35">
        <f t="array" ref="AM431">MAX(IF((B$4:B$1000&lt;=AK431)*(B$4:B$1000&gt;=AJ431),L$4:L$1000, ""))</f>
        <v>0</v>
      </c>
      <c r="AN431" s="32" t="str">
        <f t="shared" si="308"/>
        <v/>
      </c>
      <c r="AO431" s="32" t="str">
        <f t="shared" si="309"/>
        <v/>
      </c>
      <c r="AP431" s="32" t="str">
        <f t="shared" si="310"/>
        <v/>
      </c>
      <c r="AQ431" s="32" t="str">
        <f t="shared" si="311"/>
        <v/>
      </c>
      <c r="AR431" s="32" t="str">
        <f t="shared" si="312"/>
        <v/>
      </c>
      <c r="AS431" s="32" t="str">
        <f t="shared" si="313"/>
        <v/>
      </c>
      <c r="AT431" s="32" t="str">
        <f t="shared" si="314"/>
        <v/>
      </c>
      <c r="AU431" s="34" t="str">
        <f t="shared" si="315"/>
        <v/>
      </c>
      <c r="AV431" s="32" t="str">
        <f t="shared" si="316"/>
        <v/>
      </c>
      <c r="AW431" s="32" t="str">
        <f t="shared" si="317"/>
        <v/>
      </c>
      <c r="AX431" s="32" t="str">
        <f t="shared" si="318"/>
        <v/>
      </c>
      <c r="AY431" s="32" t="str">
        <f t="shared" si="319"/>
        <v/>
      </c>
    </row>
    <row r="432" spans="1:51" x14ac:dyDescent="0.25">
      <c r="A432" s="24" t="str">
        <f t="shared" si="277"/>
        <v/>
      </c>
      <c r="B432" s="24" t="str">
        <f t="shared" si="287"/>
        <v/>
      </c>
      <c r="C432" s="32" t="str">
        <f t="shared" si="278"/>
        <v/>
      </c>
      <c r="D432" s="24" t="str">
        <f t="shared" si="279"/>
        <v/>
      </c>
      <c r="E432" s="24" t="str">
        <f t="shared" si="280"/>
        <v/>
      </c>
      <c r="F432" s="32" t="str">
        <f t="shared" si="281"/>
        <v/>
      </c>
      <c r="G432" s="32" t="str">
        <f t="shared" si="282"/>
        <v/>
      </c>
      <c r="H432" s="32" t="str">
        <f t="shared" ca="1" si="283"/>
        <v/>
      </c>
      <c r="I432" s="32" t="str">
        <f t="shared" ca="1" si="288"/>
        <v/>
      </c>
      <c r="J432" s="32" t="str">
        <f t="shared" si="284"/>
        <v/>
      </c>
      <c r="K432" s="32" t="str">
        <f>IF(ISNUMBER(A432),Profile!$V$25+Profile!$V$24*'Ri-Po'!C432,"")</f>
        <v/>
      </c>
      <c r="L432" s="32" t="str">
        <f t="shared" si="289"/>
        <v/>
      </c>
      <c r="M432" s="32" t="str">
        <f t="shared" si="285"/>
        <v/>
      </c>
      <c r="N432" s="32" t="str">
        <f t="shared" si="286"/>
        <v/>
      </c>
      <c r="O432" s="32" t="str">
        <f t="shared" si="302"/>
        <v/>
      </c>
      <c r="P432" s="32" t="str">
        <f t="shared" si="290"/>
        <v/>
      </c>
      <c r="Q432" s="32" t="str">
        <f t="shared" si="291"/>
        <v/>
      </c>
      <c r="R432" s="32" t="str">
        <f t="shared" si="303"/>
        <v/>
      </c>
      <c r="S432" s="24" t="str">
        <f t="shared" si="304"/>
        <v/>
      </c>
      <c r="T432" s="24" t="str">
        <f t="shared" si="305"/>
        <v/>
      </c>
      <c r="U432" s="24" t="str">
        <f t="shared" si="306"/>
        <v/>
      </c>
      <c r="V432" s="24" t="str">
        <f t="shared" si="307"/>
        <v/>
      </c>
      <c r="W432" s="23" t="str">
        <f t="array" ref="W432">IFERROR(SMALL(IF(S$1:S$1000="BEGIN",ROW(S$1:S$1000)),ROW()-3),"")</f>
        <v/>
      </c>
      <c r="X432" s="23" t="str">
        <f t="array" ref="X432">IFERROR(SMALL(IF(T$1:T$1000="END",ROW(T$1:T$1000)),ROW()-3),"")</f>
        <v/>
      </c>
      <c r="Y432" s="33" t="str">
        <f t="array" ref="Y432">IF(ISNUMBER(W432),MAX(IF((B$4:B$1000&lt;=X432)*(B$4:B$1000&gt;=W432),I$4:I$1000, "")),"")</f>
        <v/>
      </c>
      <c r="Z432" s="33" t="str">
        <f t="shared" si="292"/>
        <v/>
      </c>
      <c r="AA432" s="32" t="str">
        <f t="shared" si="293"/>
        <v/>
      </c>
      <c r="AB432" s="32" t="str">
        <f t="shared" si="294"/>
        <v/>
      </c>
      <c r="AC432" s="32" t="str">
        <f t="shared" si="295"/>
        <v/>
      </c>
      <c r="AD432" s="32" t="str">
        <f t="shared" si="296"/>
        <v/>
      </c>
      <c r="AE432" s="34" t="str">
        <f t="shared" si="297"/>
        <v/>
      </c>
      <c r="AF432" s="32" t="str">
        <f t="shared" si="298"/>
        <v/>
      </c>
      <c r="AG432" s="32" t="str">
        <f t="shared" si="299"/>
        <v/>
      </c>
      <c r="AH432" s="32" t="str">
        <f t="shared" si="300"/>
        <v/>
      </c>
      <c r="AI432" s="35" t="str">
        <f t="shared" si="301"/>
        <v/>
      </c>
      <c r="AJ432" s="23" t="str">
        <f t="array" ref="AJ432">IFERROR(SMALL(IF(U$1:U$1000="BEGIN",ROW(U$1:U$1000)),ROW()-3),"")</f>
        <v/>
      </c>
      <c r="AK432" s="23" t="str">
        <f t="array" ref="AK432">IFERROR(SMALL(IF(V$1:V$1000="END",ROW(V$1:V$1000)),ROW()-3),"")</f>
        <v/>
      </c>
      <c r="AL432" s="24" t="str">
        <f t="array" ref="AL432">IF(AK432="","",MATCH(AM432,L:L,0))</f>
        <v/>
      </c>
      <c r="AM432" s="35">
        <f t="array" ref="AM432">MAX(IF((B$4:B$1000&lt;=AK432)*(B$4:B$1000&gt;=AJ432),L$4:L$1000, ""))</f>
        <v>0</v>
      </c>
      <c r="AN432" s="32" t="str">
        <f t="shared" si="308"/>
        <v/>
      </c>
      <c r="AO432" s="32" t="str">
        <f t="shared" si="309"/>
        <v/>
      </c>
      <c r="AP432" s="32" t="str">
        <f t="shared" si="310"/>
        <v/>
      </c>
      <c r="AQ432" s="32" t="str">
        <f t="shared" si="311"/>
        <v/>
      </c>
      <c r="AR432" s="32" t="str">
        <f t="shared" si="312"/>
        <v/>
      </c>
      <c r="AS432" s="32" t="str">
        <f t="shared" si="313"/>
        <v/>
      </c>
      <c r="AT432" s="32" t="str">
        <f t="shared" si="314"/>
        <v/>
      </c>
      <c r="AU432" s="34" t="str">
        <f t="shared" si="315"/>
        <v/>
      </c>
      <c r="AV432" s="32" t="str">
        <f t="shared" si="316"/>
        <v/>
      </c>
      <c r="AW432" s="32" t="str">
        <f t="shared" si="317"/>
        <v/>
      </c>
      <c r="AX432" s="32" t="str">
        <f t="shared" si="318"/>
        <v/>
      </c>
      <c r="AY432" s="32" t="str">
        <f t="shared" si="319"/>
        <v/>
      </c>
    </row>
    <row r="433" spans="1:51" x14ac:dyDescent="0.25">
      <c r="A433" s="24" t="str">
        <f t="shared" si="277"/>
        <v/>
      </c>
      <c r="B433" s="24" t="str">
        <f t="shared" si="287"/>
        <v/>
      </c>
      <c r="C433" s="32" t="str">
        <f t="shared" si="278"/>
        <v/>
      </c>
      <c r="D433" s="24" t="str">
        <f t="shared" si="279"/>
        <v/>
      </c>
      <c r="E433" s="24" t="str">
        <f t="shared" si="280"/>
        <v/>
      </c>
      <c r="F433" s="32" t="str">
        <f t="shared" si="281"/>
        <v/>
      </c>
      <c r="G433" s="32" t="str">
        <f t="shared" si="282"/>
        <v/>
      </c>
      <c r="H433" s="32" t="str">
        <f t="shared" ca="1" si="283"/>
        <v/>
      </c>
      <c r="I433" s="32" t="str">
        <f t="shared" ca="1" si="288"/>
        <v/>
      </c>
      <c r="J433" s="32" t="str">
        <f t="shared" si="284"/>
        <v/>
      </c>
      <c r="K433" s="32" t="str">
        <f>IF(ISNUMBER(A433),Profile!$V$25+Profile!$V$24*'Ri-Po'!C433,"")</f>
        <v/>
      </c>
      <c r="L433" s="32" t="str">
        <f t="shared" si="289"/>
        <v/>
      </c>
      <c r="M433" s="32" t="str">
        <f t="shared" si="285"/>
        <v/>
      </c>
      <c r="N433" s="32" t="str">
        <f t="shared" si="286"/>
        <v/>
      </c>
      <c r="O433" s="32" t="str">
        <f t="shared" si="302"/>
        <v/>
      </c>
      <c r="P433" s="32" t="str">
        <f t="shared" si="290"/>
        <v/>
      </c>
      <c r="Q433" s="32" t="str">
        <f t="shared" si="291"/>
        <v/>
      </c>
      <c r="R433" s="32" t="str">
        <f t="shared" si="303"/>
        <v/>
      </c>
      <c r="S433" s="24" t="str">
        <f t="shared" si="304"/>
        <v/>
      </c>
      <c r="T433" s="24" t="str">
        <f t="shared" si="305"/>
        <v/>
      </c>
      <c r="U433" s="24" t="str">
        <f t="shared" si="306"/>
        <v/>
      </c>
      <c r="V433" s="24" t="str">
        <f t="shared" si="307"/>
        <v/>
      </c>
      <c r="W433" s="23" t="str">
        <f t="array" ref="W433">IFERROR(SMALL(IF(S$1:S$1000="BEGIN",ROW(S$1:S$1000)),ROW()-3),"")</f>
        <v/>
      </c>
      <c r="X433" s="23" t="str">
        <f t="array" ref="X433">IFERROR(SMALL(IF(T$1:T$1000="END",ROW(T$1:T$1000)),ROW()-3),"")</f>
        <v/>
      </c>
      <c r="Y433" s="33" t="str">
        <f t="array" ref="Y433">IF(ISNUMBER(W433),MAX(IF((B$4:B$1000&lt;=X433)*(B$4:B$1000&gt;=W433),I$4:I$1000, "")),"")</f>
        <v/>
      </c>
      <c r="Z433" s="33" t="str">
        <f t="shared" si="292"/>
        <v/>
      </c>
      <c r="AA433" s="32" t="str">
        <f t="shared" si="293"/>
        <v/>
      </c>
      <c r="AB433" s="32" t="str">
        <f t="shared" si="294"/>
        <v/>
      </c>
      <c r="AC433" s="32" t="str">
        <f t="shared" si="295"/>
        <v/>
      </c>
      <c r="AD433" s="32" t="str">
        <f t="shared" si="296"/>
        <v/>
      </c>
      <c r="AE433" s="34" t="str">
        <f t="shared" si="297"/>
        <v/>
      </c>
      <c r="AF433" s="32" t="str">
        <f t="shared" si="298"/>
        <v/>
      </c>
      <c r="AG433" s="32" t="str">
        <f t="shared" si="299"/>
        <v/>
      </c>
      <c r="AH433" s="32" t="str">
        <f t="shared" si="300"/>
        <v/>
      </c>
      <c r="AI433" s="35" t="str">
        <f t="shared" si="301"/>
        <v/>
      </c>
      <c r="AJ433" s="23" t="str">
        <f t="array" ref="AJ433">IFERROR(SMALL(IF(U$1:U$1000="BEGIN",ROW(U$1:U$1000)),ROW()-3),"")</f>
        <v/>
      </c>
      <c r="AK433" s="23" t="str">
        <f t="array" ref="AK433">IFERROR(SMALL(IF(V$1:V$1000="END",ROW(V$1:V$1000)),ROW()-3),"")</f>
        <v/>
      </c>
      <c r="AL433" s="24" t="str">
        <f t="array" ref="AL433">IF(AK433="","",MATCH(AM433,L:L,0))</f>
        <v/>
      </c>
      <c r="AM433" s="35">
        <f t="array" ref="AM433">MAX(IF((B$4:B$1000&lt;=AK433)*(B$4:B$1000&gt;=AJ433),L$4:L$1000, ""))</f>
        <v>0</v>
      </c>
      <c r="AN433" s="32" t="str">
        <f t="shared" si="308"/>
        <v/>
      </c>
      <c r="AO433" s="32" t="str">
        <f t="shared" si="309"/>
        <v/>
      </c>
      <c r="AP433" s="32" t="str">
        <f t="shared" si="310"/>
        <v/>
      </c>
      <c r="AQ433" s="32" t="str">
        <f t="shared" si="311"/>
        <v/>
      </c>
      <c r="AR433" s="32" t="str">
        <f t="shared" si="312"/>
        <v/>
      </c>
      <c r="AS433" s="32" t="str">
        <f t="shared" si="313"/>
        <v/>
      </c>
      <c r="AT433" s="32" t="str">
        <f t="shared" si="314"/>
        <v/>
      </c>
      <c r="AU433" s="34" t="str">
        <f t="shared" si="315"/>
        <v/>
      </c>
      <c r="AV433" s="32" t="str">
        <f t="shared" si="316"/>
        <v/>
      </c>
      <c r="AW433" s="32" t="str">
        <f t="shared" si="317"/>
        <v/>
      </c>
      <c r="AX433" s="32" t="str">
        <f t="shared" si="318"/>
        <v/>
      </c>
      <c r="AY433" s="32" t="str">
        <f t="shared" si="319"/>
        <v/>
      </c>
    </row>
    <row r="434" spans="1:51" x14ac:dyDescent="0.25">
      <c r="A434" s="24" t="str">
        <f t="shared" si="277"/>
        <v/>
      </c>
      <c r="B434" s="24" t="str">
        <f t="shared" si="287"/>
        <v/>
      </c>
      <c r="C434" s="32" t="str">
        <f t="shared" si="278"/>
        <v/>
      </c>
      <c r="D434" s="24" t="str">
        <f t="shared" si="279"/>
        <v/>
      </c>
      <c r="E434" s="24" t="str">
        <f t="shared" si="280"/>
        <v/>
      </c>
      <c r="F434" s="32" t="str">
        <f t="shared" si="281"/>
        <v/>
      </c>
      <c r="G434" s="32" t="str">
        <f t="shared" si="282"/>
        <v/>
      </c>
      <c r="H434" s="32" t="str">
        <f t="shared" ca="1" si="283"/>
        <v/>
      </c>
      <c r="I434" s="32" t="str">
        <f t="shared" ca="1" si="288"/>
        <v/>
      </c>
      <c r="J434" s="32" t="str">
        <f t="shared" si="284"/>
        <v/>
      </c>
      <c r="K434" s="32" t="str">
        <f>IF(ISNUMBER(A434),Profile!$V$25+Profile!$V$24*'Ri-Po'!C434,"")</f>
        <v/>
      </c>
      <c r="L434" s="32" t="str">
        <f t="shared" si="289"/>
        <v/>
      </c>
      <c r="M434" s="32" t="str">
        <f t="shared" si="285"/>
        <v/>
      </c>
      <c r="N434" s="32" t="str">
        <f t="shared" si="286"/>
        <v/>
      </c>
      <c r="O434" s="32" t="str">
        <f t="shared" si="302"/>
        <v/>
      </c>
      <c r="P434" s="32" t="str">
        <f t="shared" si="290"/>
        <v/>
      </c>
      <c r="Q434" s="32" t="str">
        <f t="shared" si="291"/>
        <v/>
      </c>
      <c r="R434" s="32" t="str">
        <f t="shared" si="303"/>
        <v/>
      </c>
      <c r="S434" s="24" t="str">
        <f t="shared" si="304"/>
        <v/>
      </c>
      <c r="T434" s="24" t="str">
        <f t="shared" si="305"/>
        <v/>
      </c>
      <c r="U434" s="24" t="str">
        <f t="shared" si="306"/>
        <v/>
      </c>
      <c r="V434" s="24" t="str">
        <f t="shared" si="307"/>
        <v/>
      </c>
      <c r="W434" s="23" t="str">
        <f t="array" ref="W434">IFERROR(SMALL(IF(S$1:S$1000="BEGIN",ROW(S$1:S$1000)),ROW()-3),"")</f>
        <v/>
      </c>
      <c r="X434" s="23" t="str">
        <f t="array" ref="X434">IFERROR(SMALL(IF(T$1:T$1000="END",ROW(T$1:T$1000)),ROW()-3),"")</f>
        <v/>
      </c>
      <c r="Y434" s="33" t="str">
        <f t="array" ref="Y434">IF(ISNUMBER(W434),MAX(IF((B$4:B$1000&lt;=X434)*(B$4:B$1000&gt;=W434),I$4:I$1000, "")),"")</f>
        <v/>
      </c>
      <c r="Z434" s="33" t="str">
        <f t="shared" si="292"/>
        <v/>
      </c>
      <c r="AA434" s="32" t="str">
        <f t="shared" si="293"/>
        <v/>
      </c>
      <c r="AB434" s="32" t="str">
        <f t="shared" si="294"/>
        <v/>
      </c>
      <c r="AC434" s="32" t="str">
        <f t="shared" si="295"/>
        <v/>
      </c>
      <c r="AD434" s="32" t="str">
        <f t="shared" si="296"/>
        <v/>
      </c>
      <c r="AE434" s="34" t="str">
        <f t="shared" si="297"/>
        <v/>
      </c>
      <c r="AF434" s="32" t="str">
        <f t="shared" si="298"/>
        <v/>
      </c>
      <c r="AG434" s="32" t="str">
        <f t="shared" si="299"/>
        <v/>
      </c>
      <c r="AH434" s="32" t="str">
        <f t="shared" si="300"/>
        <v/>
      </c>
      <c r="AI434" s="35" t="str">
        <f t="shared" si="301"/>
        <v/>
      </c>
      <c r="AJ434" s="23" t="str">
        <f t="array" ref="AJ434">IFERROR(SMALL(IF(U$1:U$1000="BEGIN",ROW(U$1:U$1000)),ROW()-3),"")</f>
        <v/>
      </c>
      <c r="AK434" s="23" t="str">
        <f t="array" ref="AK434">IFERROR(SMALL(IF(V$1:V$1000="END",ROW(V$1:V$1000)),ROW()-3),"")</f>
        <v/>
      </c>
      <c r="AL434" s="24" t="str">
        <f t="array" ref="AL434">IF(AK434="","",MATCH(AM434,L:L,0))</f>
        <v/>
      </c>
      <c r="AM434" s="35">
        <f t="array" ref="AM434">MAX(IF((B$4:B$1000&lt;=AK434)*(B$4:B$1000&gt;=AJ434),L$4:L$1000, ""))</f>
        <v>0</v>
      </c>
      <c r="AN434" s="32" t="str">
        <f t="shared" si="308"/>
        <v/>
      </c>
      <c r="AO434" s="32" t="str">
        <f t="shared" si="309"/>
        <v/>
      </c>
      <c r="AP434" s="32" t="str">
        <f t="shared" si="310"/>
        <v/>
      </c>
      <c r="AQ434" s="32" t="str">
        <f t="shared" si="311"/>
        <v/>
      </c>
      <c r="AR434" s="32" t="str">
        <f t="shared" si="312"/>
        <v/>
      </c>
      <c r="AS434" s="32" t="str">
        <f t="shared" si="313"/>
        <v/>
      </c>
      <c r="AT434" s="32" t="str">
        <f t="shared" si="314"/>
        <v/>
      </c>
      <c r="AU434" s="34" t="str">
        <f t="shared" si="315"/>
        <v/>
      </c>
      <c r="AV434" s="32" t="str">
        <f t="shared" si="316"/>
        <v/>
      </c>
      <c r="AW434" s="32" t="str">
        <f t="shared" si="317"/>
        <v/>
      </c>
      <c r="AX434" s="32" t="str">
        <f t="shared" si="318"/>
        <v/>
      </c>
      <c r="AY434" s="32" t="str">
        <f t="shared" si="319"/>
        <v/>
      </c>
    </row>
    <row r="435" spans="1:51" x14ac:dyDescent="0.25">
      <c r="A435" s="24" t="str">
        <f t="shared" si="277"/>
        <v/>
      </c>
      <c r="B435" s="24" t="str">
        <f t="shared" si="287"/>
        <v/>
      </c>
      <c r="C435" s="32" t="str">
        <f t="shared" si="278"/>
        <v/>
      </c>
      <c r="D435" s="24" t="str">
        <f t="shared" si="279"/>
        <v/>
      </c>
      <c r="E435" s="24" t="str">
        <f t="shared" si="280"/>
        <v/>
      </c>
      <c r="F435" s="32" t="str">
        <f t="shared" si="281"/>
        <v/>
      </c>
      <c r="G435" s="32" t="str">
        <f t="shared" si="282"/>
        <v/>
      </c>
      <c r="H435" s="32" t="str">
        <f t="shared" ca="1" si="283"/>
        <v/>
      </c>
      <c r="I435" s="32" t="str">
        <f t="shared" ca="1" si="288"/>
        <v/>
      </c>
      <c r="J435" s="32" t="str">
        <f t="shared" si="284"/>
        <v/>
      </c>
      <c r="K435" s="32" t="str">
        <f>IF(ISNUMBER(A435),Profile!$V$25+Profile!$V$24*'Ri-Po'!C435,"")</f>
        <v/>
      </c>
      <c r="L435" s="32" t="str">
        <f t="shared" si="289"/>
        <v/>
      </c>
      <c r="M435" s="32" t="str">
        <f t="shared" si="285"/>
        <v/>
      </c>
      <c r="N435" s="32" t="str">
        <f t="shared" si="286"/>
        <v/>
      </c>
      <c r="O435" s="32" t="str">
        <f t="shared" si="302"/>
        <v/>
      </c>
      <c r="P435" s="32" t="str">
        <f t="shared" si="290"/>
        <v/>
      </c>
      <c r="Q435" s="32" t="str">
        <f t="shared" si="291"/>
        <v/>
      </c>
      <c r="R435" s="32" t="str">
        <f t="shared" si="303"/>
        <v/>
      </c>
      <c r="S435" s="24" t="str">
        <f t="shared" si="304"/>
        <v/>
      </c>
      <c r="T435" s="24" t="str">
        <f t="shared" si="305"/>
        <v/>
      </c>
      <c r="U435" s="24" t="str">
        <f t="shared" si="306"/>
        <v/>
      </c>
      <c r="V435" s="24" t="str">
        <f t="shared" si="307"/>
        <v/>
      </c>
      <c r="W435" s="23" t="str">
        <f t="array" ref="W435">IFERROR(SMALL(IF(S$1:S$1000="BEGIN",ROW(S$1:S$1000)),ROW()-3),"")</f>
        <v/>
      </c>
      <c r="X435" s="23" t="str">
        <f t="array" ref="X435">IFERROR(SMALL(IF(T$1:T$1000="END",ROW(T$1:T$1000)),ROW()-3),"")</f>
        <v/>
      </c>
      <c r="Y435" s="33" t="str">
        <f t="array" ref="Y435">IF(ISNUMBER(W435),MAX(IF((B$4:B$1000&lt;=X435)*(B$4:B$1000&gt;=W435),I$4:I$1000, "")),"")</f>
        <v/>
      </c>
      <c r="Z435" s="33" t="str">
        <f t="shared" si="292"/>
        <v/>
      </c>
      <c r="AA435" s="32" t="str">
        <f t="shared" si="293"/>
        <v/>
      </c>
      <c r="AB435" s="32" t="str">
        <f t="shared" si="294"/>
        <v/>
      </c>
      <c r="AC435" s="32" t="str">
        <f t="shared" si="295"/>
        <v/>
      </c>
      <c r="AD435" s="32" t="str">
        <f t="shared" si="296"/>
        <v/>
      </c>
      <c r="AE435" s="34" t="str">
        <f t="shared" si="297"/>
        <v/>
      </c>
      <c r="AF435" s="32" t="str">
        <f t="shared" si="298"/>
        <v/>
      </c>
      <c r="AG435" s="32" t="str">
        <f t="shared" si="299"/>
        <v/>
      </c>
      <c r="AH435" s="32" t="str">
        <f t="shared" si="300"/>
        <v/>
      </c>
      <c r="AI435" s="35" t="str">
        <f t="shared" si="301"/>
        <v/>
      </c>
      <c r="AJ435" s="23" t="str">
        <f t="array" ref="AJ435">IFERROR(SMALL(IF(U$1:U$1000="BEGIN",ROW(U$1:U$1000)),ROW()-3),"")</f>
        <v/>
      </c>
      <c r="AK435" s="23" t="str">
        <f t="array" ref="AK435">IFERROR(SMALL(IF(V$1:V$1000="END",ROW(V$1:V$1000)),ROW()-3),"")</f>
        <v/>
      </c>
      <c r="AL435" s="24" t="str">
        <f t="array" ref="AL435">IF(AK435="","",MATCH(AM435,L:L,0))</f>
        <v/>
      </c>
      <c r="AM435" s="35">
        <f t="array" ref="AM435">MAX(IF((B$4:B$1000&lt;=AK435)*(B$4:B$1000&gt;=AJ435),L$4:L$1000, ""))</f>
        <v>0</v>
      </c>
      <c r="AN435" s="32" t="str">
        <f t="shared" si="308"/>
        <v/>
      </c>
      <c r="AO435" s="32" t="str">
        <f t="shared" si="309"/>
        <v/>
      </c>
      <c r="AP435" s="32" t="str">
        <f t="shared" si="310"/>
        <v/>
      </c>
      <c r="AQ435" s="32" t="str">
        <f t="shared" si="311"/>
        <v/>
      </c>
      <c r="AR435" s="32" t="str">
        <f t="shared" si="312"/>
        <v/>
      </c>
      <c r="AS435" s="32" t="str">
        <f t="shared" si="313"/>
        <v/>
      </c>
      <c r="AT435" s="32" t="str">
        <f t="shared" si="314"/>
        <v/>
      </c>
      <c r="AU435" s="34" t="str">
        <f t="shared" si="315"/>
        <v/>
      </c>
      <c r="AV435" s="32" t="str">
        <f t="shared" si="316"/>
        <v/>
      </c>
      <c r="AW435" s="32" t="str">
        <f t="shared" si="317"/>
        <v/>
      </c>
      <c r="AX435" s="32" t="str">
        <f t="shared" si="318"/>
        <v/>
      </c>
      <c r="AY435" s="32" t="str">
        <f t="shared" si="319"/>
        <v/>
      </c>
    </row>
    <row r="436" spans="1:51" x14ac:dyDescent="0.25">
      <c r="A436" s="24" t="str">
        <f t="shared" si="277"/>
        <v/>
      </c>
      <c r="B436" s="24" t="str">
        <f t="shared" si="287"/>
        <v/>
      </c>
      <c r="C436" s="32" t="str">
        <f t="shared" si="278"/>
        <v/>
      </c>
      <c r="D436" s="24" t="str">
        <f t="shared" si="279"/>
        <v/>
      </c>
      <c r="E436" s="24" t="str">
        <f t="shared" si="280"/>
        <v/>
      </c>
      <c r="F436" s="32" t="str">
        <f t="shared" si="281"/>
        <v/>
      </c>
      <c r="G436" s="32" t="str">
        <f t="shared" si="282"/>
        <v/>
      </c>
      <c r="H436" s="32" t="str">
        <f t="shared" ca="1" si="283"/>
        <v/>
      </c>
      <c r="I436" s="32" t="str">
        <f t="shared" ca="1" si="288"/>
        <v/>
      </c>
      <c r="J436" s="32" t="str">
        <f t="shared" si="284"/>
        <v/>
      </c>
      <c r="K436" s="32" t="str">
        <f>IF(ISNUMBER(A436),Profile!$V$25+Profile!$V$24*'Ri-Po'!C436,"")</f>
        <v/>
      </c>
      <c r="L436" s="32" t="str">
        <f t="shared" si="289"/>
        <v/>
      </c>
      <c r="M436" s="32" t="str">
        <f t="shared" si="285"/>
        <v/>
      </c>
      <c r="N436" s="32" t="str">
        <f t="shared" si="286"/>
        <v/>
      </c>
      <c r="O436" s="32" t="str">
        <f t="shared" si="302"/>
        <v/>
      </c>
      <c r="P436" s="32" t="str">
        <f t="shared" si="290"/>
        <v/>
      </c>
      <c r="Q436" s="32" t="str">
        <f t="shared" si="291"/>
        <v/>
      </c>
      <c r="R436" s="32" t="str">
        <f t="shared" si="303"/>
        <v/>
      </c>
      <c r="S436" s="24" t="str">
        <f t="shared" si="304"/>
        <v/>
      </c>
      <c r="T436" s="24" t="str">
        <f t="shared" si="305"/>
        <v/>
      </c>
      <c r="U436" s="24" t="str">
        <f t="shared" si="306"/>
        <v/>
      </c>
      <c r="V436" s="24" t="str">
        <f t="shared" si="307"/>
        <v/>
      </c>
      <c r="W436" s="23" t="str">
        <f t="array" ref="W436">IFERROR(SMALL(IF(S$1:S$1000="BEGIN",ROW(S$1:S$1000)),ROW()-3),"")</f>
        <v/>
      </c>
      <c r="X436" s="23" t="str">
        <f t="array" ref="X436">IFERROR(SMALL(IF(T$1:T$1000="END",ROW(T$1:T$1000)),ROW()-3),"")</f>
        <v/>
      </c>
      <c r="Y436" s="33" t="str">
        <f t="array" ref="Y436">IF(ISNUMBER(W436),MAX(IF((B$4:B$1000&lt;=X436)*(B$4:B$1000&gt;=W436),I$4:I$1000, "")),"")</f>
        <v/>
      </c>
      <c r="Z436" s="33" t="str">
        <f t="shared" si="292"/>
        <v/>
      </c>
      <c r="AA436" s="32" t="str">
        <f t="shared" si="293"/>
        <v/>
      </c>
      <c r="AB436" s="32" t="str">
        <f t="shared" si="294"/>
        <v/>
      </c>
      <c r="AC436" s="32" t="str">
        <f t="shared" si="295"/>
        <v/>
      </c>
      <c r="AD436" s="32" t="str">
        <f t="shared" si="296"/>
        <v/>
      </c>
      <c r="AE436" s="34" t="str">
        <f t="shared" si="297"/>
        <v/>
      </c>
      <c r="AF436" s="32" t="str">
        <f t="shared" si="298"/>
        <v/>
      </c>
      <c r="AG436" s="32" t="str">
        <f t="shared" si="299"/>
        <v/>
      </c>
      <c r="AH436" s="32" t="str">
        <f t="shared" si="300"/>
        <v/>
      </c>
      <c r="AI436" s="35" t="str">
        <f t="shared" si="301"/>
        <v/>
      </c>
      <c r="AJ436" s="23" t="str">
        <f t="array" ref="AJ436">IFERROR(SMALL(IF(U$1:U$1000="BEGIN",ROW(U$1:U$1000)),ROW()-3),"")</f>
        <v/>
      </c>
      <c r="AK436" s="23" t="str">
        <f t="array" ref="AK436">IFERROR(SMALL(IF(V$1:V$1000="END",ROW(V$1:V$1000)),ROW()-3),"")</f>
        <v/>
      </c>
      <c r="AL436" s="24" t="str">
        <f t="array" ref="AL436">IF(AK436="","",MATCH(AM436,L:L,0))</f>
        <v/>
      </c>
      <c r="AM436" s="35">
        <f t="array" ref="AM436">MAX(IF((B$4:B$1000&lt;=AK436)*(B$4:B$1000&gt;=AJ436),L$4:L$1000, ""))</f>
        <v>0</v>
      </c>
      <c r="AN436" s="32" t="str">
        <f t="shared" si="308"/>
        <v/>
      </c>
      <c r="AO436" s="32" t="str">
        <f t="shared" si="309"/>
        <v/>
      </c>
      <c r="AP436" s="32" t="str">
        <f t="shared" si="310"/>
        <v/>
      </c>
      <c r="AQ436" s="32" t="str">
        <f t="shared" si="311"/>
        <v/>
      </c>
      <c r="AR436" s="32" t="str">
        <f t="shared" si="312"/>
        <v/>
      </c>
      <c r="AS436" s="32" t="str">
        <f t="shared" si="313"/>
        <v/>
      </c>
      <c r="AT436" s="32" t="str">
        <f t="shared" si="314"/>
        <v/>
      </c>
      <c r="AU436" s="34" t="str">
        <f t="shared" si="315"/>
        <v/>
      </c>
      <c r="AV436" s="32" t="str">
        <f t="shared" si="316"/>
        <v/>
      </c>
      <c r="AW436" s="32" t="str">
        <f t="shared" si="317"/>
        <v/>
      </c>
      <c r="AX436" s="32" t="str">
        <f t="shared" si="318"/>
        <v/>
      </c>
      <c r="AY436" s="32" t="str">
        <f t="shared" si="319"/>
        <v/>
      </c>
    </row>
    <row r="437" spans="1:51" x14ac:dyDescent="0.25">
      <c r="A437" s="24" t="str">
        <f t="shared" si="277"/>
        <v/>
      </c>
      <c r="B437" s="24" t="str">
        <f t="shared" si="287"/>
        <v/>
      </c>
      <c r="C437" s="32" t="str">
        <f t="shared" si="278"/>
        <v/>
      </c>
      <c r="D437" s="24" t="str">
        <f t="shared" si="279"/>
        <v/>
      </c>
      <c r="E437" s="24" t="str">
        <f t="shared" si="280"/>
        <v/>
      </c>
      <c r="F437" s="32" t="str">
        <f t="shared" si="281"/>
        <v/>
      </c>
      <c r="G437" s="32" t="str">
        <f t="shared" si="282"/>
        <v/>
      </c>
      <c r="H437" s="32" t="str">
        <f t="shared" ca="1" si="283"/>
        <v/>
      </c>
      <c r="I437" s="32" t="str">
        <f t="shared" ca="1" si="288"/>
        <v/>
      </c>
      <c r="J437" s="32" t="str">
        <f t="shared" si="284"/>
        <v/>
      </c>
      <c r="K437" s="32" t="str">
        <f>IF(ISNUMBER(A437),Profile!$V$25+Profile!$V$24*'Ri-Po'!C437,"")</f>
        <v/>
      </c>
      <c r="L437" s="32" t="str">
        <f t="shared" si="289"/>
        <v/>
      </c>
      <c r="M437" s="32" t="str">
        <f t="shared" si="285"/>
        <v/>
      </c>
      <c r="N437" s="32" t="str">
        <f t="shared" si="286"/>
        <v/>
      </c>
      <c r="O437" s="32" t="str">
        <f t="shared" si="302"/>
        <v/>
      </c>
      <c r="P437" s="32" t="str">
        <f t="shared" si="290"/>
        <v/>
      </c>
      <c r="Q437" s="32" t="str">
        <f t="shared" si="291"/>
        <v/>
      </c>
      <c r="R437" s="32" t="str">
        <f t="shared" si="303"/>
        <v/>
      </c>
      <c r="S437" s="24" t="str">
        <f t="shared" si="304"/>
        <v/>
      </c>
      <c r="T437" s="24" t="str">
        <f t="shared" si="305"/>
        <v/>
      </c>
      <c r="U437" s="24" t="str">
        <f t="shared" si="306"/>
        <v/>
      </c>
      <c r="V437" s="24" t="str">
        <f t="shared" si="307"/>
        <v/>
      </c>
      <c r="W437" s="23" t="str">
        <f t="array" ref="W437">IFERROR(SMALL(IF(S$1:S$1000="BEGIN",ROW(S$1:S$1000)),ROW()-3),"")</f>
        <v/>
      </c>
      <c r="X437" s="23" t="str">
        <f t="array" ref="X437">IFERROR(SMALL(IF(T$1:T$1000="END",ROW(T$1:T$1000)),ROW()-3),"")</f>
        <v/>
      </c>
      <c r="Y437" s="33" t="str">
        <f t="array" ref="Y437">IF(ISNUMBER(W437),MAX(IF((B$4:B$1000&lt;=X437)*(B$4:B$1000&gt;=W437),I$4:I$1000, "")),"")</f>
        <v/>
      </c>
      <c r="Z437" s="33" t="str">
        <f t="shared" si="292"/>
        <v/>
      </c>
      <c r="AA437" s="32" t="str">
        <f t="shared" si="293"/>
        <v/>
      </c>
      <c r="AB437" s="32" t="str">
        <f t="shared" si="294"/>
        <v/>
      </c>
      <c r="AC437" s="32" t="str">
        <f t="shared" si="295"/>
        <v/>
      </c>
      <c r="AD437" s="32" t="str">
        <f t="shared" si="296"/>
        <v/>
      </c>
      <c r="AE437" s="34" t="str">
        <f t="shared" si="297"/>
        <v/>
      </c>
      <c r="AF437" s="32" t="str">
        <f t="shared" si="298"/>
        <v/>
      </c>
      <c r="AG437" s="32" t="str">
        <f t="shared" si="299"/>
        <v/>
      </c>
      <c r="AH437" s="32" t="str">
        <f t="shared" si="300"/>
        <v/>
      </c>
      <c r="AI437" s="35" t="str">
        <f t="shared" si="301"/>
        <v/>
      </c>
      <c r="AJ437" s="23" t="str">
        <f t="array" ref="AJ437">IFERROR(SMALL(IF(U$1:U$1000="BEGIN",ROW(U$1:U$1000)),ROW()-3),"")</f>
        <v/>
      </c>
      <c r="AK437" s="23" t="str">
        <f t="array" ref="AK437">IFERROR(SMALL(IF(V$1:V$1000="END",ROW(V$1:V$1000)),ROW()-3),"")</f>
        <v/>
      </c>
      <c r="AL437" s="24" t="str">
        <f t="array" ref="AL437">IF(AK437="","",MATCH(AM437,L:L,0))</f>
        <v/>
      </c>
      <c r="AM437" s="35">
        <f t="array" ref="AM437">MAX(IF((B$4:B$1000&lt;=AK437)*(B$4:B$1000&gt;=AJ437),L$4:L$1000, ""))</f>
        <v>0</v>
      </c>
      <c r="AN437" s="32" t="str">
        <f t="shared" si="308"/>
        <v/>
      </c>
      <c r="AO437" s="32" t="str">
        <f t="shared" si="309"/>
        <v/>
      </c>
      <c r="AP437" s="32" t="str">
        <f t="shared" si="310"/>
        <v/>
      </c>
      <c r="AQ437" s="32" t="str">
        <f t="shared" si="311"/>
        <v/>
      </c>
      <c r="AR437" s="32" t="str">
        <f t="shared" si="312"/>
        <v/>
      </c>
      <c r="AS437" s="32" t="str">
        <f t="shared" si="313"/>
        <v/>
      </c>
      <c r="AT437" s="32" t="str">
        <f t="shared" si="314"/>
        <v/>
      </c>
      <c r="AU437" s="34" t="str">
        <f t="shared" si="315"/>
        <v/>
      </c>
      <c r="AV437" s="32" t="str">
        <f t="shared" si="316"/>
        <v/>
      </c>
      <c r="AW437" s="32" t="str">
        <f t="shared" si="317"/>
        <v/>
      </c>
      <c r="AX437" s="32" t="str">
        <f t="shared" si="318"/>
        <v/>
      </c>
      <c r="AY437" s="32" t="str">
        <f t="shared" si="319"/>
        <v/>
      </c>
    </row>
    <row r="438" spans="1:51" x14ac:dyDescent="0.25">
      <c r="A438" s="24" t="str">
        <f t="shared" si="277"/>
        <v/>
      </c>
      <c r="B438" s="24" t="str">
        <f t="shared" si="287"/>
        <v/>
      </c>
      <c r="C438" s="32" t="str">
        <f t="shared" si="278"/>
        <v/>
      </c>
      <c r="D438" s="24" t="str">
        <f t="shared" si="279"/>
        <v/>
      </c>
      <c r="E438" s="24" t="str">
        <f t="shared" si="280"/>
        <v/>
      </c>
      <c r="F438" s="32" t="str">
        <f t="shared" si="281"/>
        <v/>
      </c>
      <c r="G438" s="32" t="str">
        <f t="shared" si="282"/>
        <v/>
      </c>
      <c r="H438" s="32" t="str">
        <f t="shared" ca="1" si="283"/>
        <v/>
      </c>
      <c r="I438" s="32" t="str">
        <f t="shared" ca="1" si="288"/>
        <v/>
      </c>
      <c r="J438" s="32" t="str">
        <f t="shared" si="284"/>
        <v/>
      </c>
      <c r="K438" s="32" t="str">
        <f>IF(ISNUMBER(A438),Profile!$V$25+Profile!$V$24*'Ri-Po'!C438,"")</f>
        <v/>
      </c>
      <c r="L438" s="32" t="str">
        <f t="shared" si="289"/>
        <v/>
      </c>
      <c r="M438" s="32" t="str">
        <f t="shared" si="285"/>
        <v/>
      </c>
      <c r="N438" s="32" t="str">
        <f t="shared" si="286"/>
        <v/>
      </c>
      <c r="O438" s="32" t="str">
        <f t="shared" si="302"/>
        <v/>
      </c>
      <c r="P438" s="32" t="str">
        <f t="shared" si="290"/>
        <v/>
      </c>
      <c r="Q438" s="32" t="str">
        <f t="shared" si="291"/>
        <v/>
      </c>
      <c r="R438" s="32" t="str">
        <f t="shared" si="303"/>
        <v/>
      </c>
      <c r="S438" s="24" t="str">
        <f t="shared" si="304"/>
        <v/>
      </c>
      <c r="T438" s="24" t="str">
        <f t="shared" si="305"/>
        <v/>
      </c>
      <c r="U438" s="24" t="str">
        <f t="shared" si="306"/>
        <v/>
      </c>
      <c r="V438" s="24" t="str">
        <f t="shared" si="307"/>
        <v/>
      </c>
      <c r="W438" s="23" t="str">
        <f t="array" ref="W438">IFERROR(SMALL(IF(S$1:S$1000="BEGIN",ROW(S$1:S$1000)),ROW()-3),"")</f>
        <v/>
      </c>
      <c r="X438" s="23" t="str">
        <f t="array" ref="X438">IFERROR(SMALL(IF(T$1:T$1000="END",ROW(T$1:T$1000)),ROW()-3),"")</f>
        <v/>
      </c>
      <c r="Y438" s="33" t="str">
        <f t="array" ref="Y438">IF(ISNUMBER(W438),MAX(IF((B$4:B$1000&lt;=X438)*(B$4:B$1000&gt;=W438),I$4:I$1000, "")),"")</f>
        <v/>
      </c>
      <c r="Z438" s="33" t="str">
        <f t="shared" si="292"/>
        <v/>
      </c>
      <c r="AA438" s="32" t="str">
        <f t="shared" si="293"/>
        <v/>
      </c>
      <c r="AB438" s="32" t="str">
        <f t="shared" si="294"/>
        <v/>
      </c>
      <c r="AC438" s="32" t="str">
        <f t="shared" si="295"/>
        <v/>
      </c>
      <c r="AD438" s="32" t="str">
        <f t="shared" si="296"/>
        <v/>
      </c>
      <c r="AE438" s="34" t="str">
        <f t="shared" si="297"/>
        <v/>
      </c>
      <c r="AF438" s="32" t="str">
        <f t="shared" si="298"/>
        <v/>
      </c>
      <c r="AG438" s="32" t="str">
        <f t="shared" si="299"/>
        <v/>
      </c>
      <c r="AH438" s="32" t="str">
        <f t="shared" si="300"/>
        <v/>
      </c>
      <c r="AI438" s="35" t="str">
        <f t="shared" si="301"/>
        <v/>
      </c>
      <c r="AJ438" s="23" t="str">
        <f t="array" ref="AJ438">IFERROR(SMALL(IF(U$1:U$1000="BEGIN",ROW(U$1:U$1000)),ROW()-3),"")</f>
        <v/>
      </c>
      <c r="AK438" s="23" t="str">
        <f t="array" ref="AK438">IFERROR(SMALL(IF(V$1:V$1000="END",ROW(V$1:V$1000)),ROW()-3),"")</f>
        <v/>
      </c>
      <c r="AL438" s="24" t="str">
        <f t="array" ref="AL438">IF(AK438="","",MATCH(AM438,L:L,0))</f>
        <v/>
      </c>
      <c r="AM438" s="35">
        <f t="array" ref="AM438">MAX(IF((B$4:B$1000&lt;=AK438)*(B$4:B$1000&gt;=AJ438),L$4:L$1000, ""))</f>
        <v>0</v>
      </c>
      <c r="AN438" s="32" t="str">
        <f t="shared" si="308"/>
        <v/>
      </c>
      <c r="AO438" s="32" t="str">
        <f t="shared" si="309"/>
        <v/>
      </c>
      <c r="AP438" s="32" t="str">
        <f t="shared" si="310"/>
        <v/>
      </c>
      <c r="AQ438" s="32" t="str">
        <f t="shared" si="311"/>
        <v/>
      </c>
      <c r="AR438" s="32" t="str">
        <f t="shared" si="312"/>
        <v/>
      </c>
      <c r="AS438" s="32" t="str">
        <f t="shared" si="313"/>
        <v/>
      </c>
      <c r="AT438" s="32" t="str">
        <f t="shared" si="314"/>
        <v/>
      </c>
      <c r="AU438" s="34" t="str">
        <f t="shared" si="315"/>
        <v/>
      </c>
      <c r="AV438" s="32" t="str">
        <f t="shared" si="316"/>
        <v/>
      </c>
      <c r="AW438" s="32" t="str">
        <f t="shared" si="317"/>
        <v/>
      </c>
      <c r="AX438" s="32" t="str">
        <f t="shared" si="318"/>
        <v/>
      </c>
      <c r="AY438" s="32" t="str">
        <f t="shared" si="319"/>
        <v/>
      </c>
    </row>
    <row r="439" spans="1:51" x14ac:dyDescent="0.25">
      <c r="A439" s="24" t="str">
        <f t="shared" si="277"/>
        <v/>
      </c>
      <c r="B439" s="24" t="str">
        <f t="shared" si="287"/>
        <v/>
      </c>
      <c r="C439" s="32" t="str">
        <f t="shared" si="278"/>
        <v/>
      </c>
      <c r="D439" s="24" t="str">
        <f t="shared" si="279"/>
        <v/>
      </c>
      <c r="E439" s="24" t="str">
        <f t="shared" si="280"/>
        <v/>
      </c>
      <c r="F439" s="32" t="str">
        <f t="shared" si="281"/>
        <v/>
      </c>
      <c r="G439" s="32" t="str">
        <f t="shared" si="282"/>
        <v/>
      </c>
      <c r="H439" s="32" t="str">
        <f t="shared" ca="1" si="283"/>
        <v/>
      </c>
      <c r="I439" s="32" t="str">
        <f t="shared" ca="1" si="288"/>
        <v/>
      </c>
      <c r="J439" s="32" t="str">
        <f t="shared" si="284"/>
        <v/>
      </c>
      <c r="K439" s="32" t="str">
        <f>IF(ISNUMBER(A439),Profile!$V$25+Profile!$V$24*'Ri-Po'!C439,"")</f>
        <v/>
      </c>
      <c r="L439" s="32" t="str">
        <f t="shared" si="289"/>
        <v/>
      </c>
      <c r="M439" s="32" t="str">
        <f t="shared" si="285"/>
        <v/>
      </c>
      <c r="N439" s="32" t="str">
        <f t="shared" si="286"/>
        <v/>
      </c>
      <c r="O439" s="32" t="str">
        <f t="shared" si="302"/>
        <v/>
      </c>
      <c r="P439" s="32" t="str">
        <f t="shared" si="290"/>
        <v/>
      </c>
      <c r="Q439" s="32" t="str">
        <f t="shared" si="291"/>
        <v/>
      </c>
      <c r="R439" s="32" t="str">
        <f t="shared" si="303"/>
        <v/>
      </c>
      <c r="S439" s="24" t="str">
        <f t="shared" si="304"/>
        <v/>
      </c>
      <c r="T439" s="24" t="str">
        <f t="shared" si="305"/>
        <v/>
      </c>
      <c r="U439" s="24" t="str">
        <f t="shared" si="306"/>
        <v/>
      </c>
      <c r="V439" s="24" t="str">
        <f t="shared" si="307"/>
        <v/>
      </c>
      <c r="W439" s="23" t="str">
        <f t="array" ref="W439">IFERROR(SMALL(IF(S$1:S$1000="BEGIN",ROW(S$1:S$1000)),ROW()-3),"")</f>
        <v/>
      </c>
      <c r="X439" s="23" t="str">
        <f t="array" ref="X439">IFERROR(SMALL(IF(T$1:T$1000="END",ROW(T$1:T$1000)),ROW()-3),"")</f>
        <v/>
      </c>
      <c r="Y439" s="33" t="str">
        <f t="array" ref="Y439">IF(ISNUMBER(W439),MAX(IF((B$4:B$1000&lt;=X439)*(B$4:B$1000&gt;=W439),I$4:I$1000, "")),"")</f>
        <v/>
      </c>
      <c r="Z439" s="33" t="str">
        <f t="shared" si="292"/>
        <v/>
      </c>
      <c r="AA439" s="32" t="str">
        <f t="shared" si="293"/>
        <v/>
      </c>
      <c r="AB439" s="32" t="str">
        <f t="shared" si="294"/>
        <v/>
      </c>
      <c r="AC439" s="32" t="str">
        <f t="shared" si="295"/>
        <v/>
      </c>
      <c r="AD439" s="32" t="str">
        <f t="shared" si="296"/>
        <v/>
      </c>
      <c r="AE439" s="34" t="str">
        <f t="shared" si="297"/>
        <v/>
      </c>
      <c r="AF439" s="32" t="str">
        <f t="shared" si="298"/>
        <v/>
      </c>
      <c r="AG439" s="32" t="str">
        <f t="shared" si="299"/>
        <v/>
      </c>
      <c r="AH439" s="32" t="str">
        <f t="shared" si="300"/>
        <v/>
      </c>
      <c r="AI439" s="35" t="str">
        <f t="shared" si="301"/>
        <v/>
      </c>
      <c r="AJ439" s="23" t="str">
        <f t="array" ref="AJ439">IFERROR(SMALL(IF(U$1:U$1000="BEGIN",ROW(U$1:U$1000)),ROW()-3),"")</f>
        <v/>
      </c>
      <c r="AK439" s="23" t="str">
        <f t="array" ref="AK439">IFERROR(SMALL(IF(V$1:V$1000="END",ROW(V$1:V$1000)),ROW()-3),"")</f>
        <v/>
      </c>
      <c r="AL439" s="24" t="str">
        <f t="array" ref="AL439">IF(AK439="","",MATCH(AM439,L:L,0))</f>
        <v/>
      </c>
      <c r="AM439" s="35">
        <f t="array" ref="AM439">MAX(IF((B$4:B$1000&lt;=AK439)*(B$4:B$1000&gt;=AJ439),L$4:L$1000, ""))</f>
        <v>0</v>
      </c>
      <c r="AN439" s="32" t="str">
        <f t="shared" si="308"/>
        <v/>
      </c>
      <c r="AO439" s="32" t="str">
        <f t="shared" si="309"/>
        <v/>
      </c>
      <c r="AP439" s="32" t="str">
        <f t="shared" si="310"/>
        <v/>
      </c>
      <c r="AQ439" s="32" t="str">
        <f t="shared" si="311"/>
        <v/>
      </c>
      <c r="AR439" s="32" t="str">
        <f t="shared" si="312"/>
        <v/>
      </c>
      <c r="AS439" s="32" t="str">
        <f t="shared" si="313"/>
        <v/>
      </c>
      <c r="AT439" s="32" t="str">
        <f t="shared" si="314"/>
        <v/>
      </c>
      <c r="AU439" s="34" t="str">
        <f t="shared" si="315"/>
        <v/>
      </c>
      <c r="AV439" s="32" t="str">
        <f t="shared" si="316"/>
        <v/>
      </c>
      <c r="AW439" s="32" t="str">
        <f t="shared" si="317"/>
        <v/>
      </c>
      <c r="AX439" s="32" t="str">
        <f t="shared" si="318"/>
        <v/>
      </c>
      <c r="AY439" s="32" t="str">
        <f t="shared" si="319"/>
        <v/>
      </c>
    </row>
    <row r="440" spans="1:51" x14ac:dyDescent="0.25">
      <c r="A440" s="24" t="str">
        <f t="shared" si="277"/>
        <v/>
      </c>
      <c r="B440" s="24" t="str">
        <f t="shared" si="287"/>
        <v/>
      </c>
      <c r="C440" s="32" t="str">
        <f t="shared" si="278"/>
        <v/>
      </c>
      <c r="D440" s="24" t="str">
        <f t="shared" si="279"/>
        <v/>
      </c>
      <c r="E440" s="24" t="str">
        <f t="shared" si="280"/>
        <v/>
      </c>
      <c r="F440" s="32" t="str">
        <f t="shared" si="281"/>
        <v/>
      </c>
      <c r="G440" s="32" t="str">
        <f t="shared" si="282"/>
        <v/>
      </c>
      <c r="H440" s="32" t="str">
        <f t="shared" ca="1" si="283"/>
        <v/>
      </c>
      <c r="I440" s="32" t="str">
        <f t="shared" ca="1" si="288"/>
        <v/>
      </c>
      <c r="J440" s="32" t="str">
        <f t="shared" si="284"/>
        <v/>
      </c>
      <c r="K440" s="32" t="str">
        <f>IF(ISNUMBER(A440),Profile!$V$25+Profile!$V$24*'Ri-Po'!C440,"")</f>
        <v/>
      </c>
      <c r="L440" s="32" t="str">
        <f t="shared" si="289"/>
        <v/>
      </c>
      <c r="M440" s="32" t="str">
        <f t="shared" si="285"/>
        <v/>
      </c>
      <c r="N440" s="32" t="str">
        <f t="shared" si="286"/>
        <v/>
      </c>
      <c r="O440" s="32" t="str">
        <f t="shared" si="302"/>
        <v/>
      </c>
      <c r="P440" s="32" t="str">
        <f t="shared" si="290"/>
        <v/>
      </c>
      <c r="Q440" s="32" t="str">
        <f t="shared" si="291"/>
        <v/>
      </c>
      <c r="R440" s="32" t="str">
        <f t="shared" si="303"/>
        <v/>
      </c>
      <c r="S440" s="24" t="str">
        <f t="shared" si="304"/>
        <v/>
      </c>
      <c r="T440" s="24" t="str">
        <f t="shared" si="305"/>
        <v/>
      </c>
      <c r="U440" s="24" t="str">
        <f t="shared" si="306"/>
        <v/>
      </c>
      <c r="V440" s="24" t="str">
        <f t="shared" si="307"/>
        <v/>
      </c>
      <c r="W440" s="23" t="str">
        <f t="array" ref="W440">IFERROR(SMALL(IF(S$1:S$1000="BEGIN",ROW(S$1:S$1000)),ROW()-3),"")</f>
        <v/>
      </c>
      <c r="X440" s="23" t="str">
        <f t="array" ref="X440">IFERROR(SMALL(IF(T$1:T$1000="END",ROW(T$1:T$1000)),ROW()-3),"")</f>
        <v/>
      </c>
      <c r="Y440" s="33" t="str">
        <f t="array" ref="Y440">IF(ISNUMBER(W440),MAX(IF((B$4:B$1000&lt;=X440)*(B$4:B$1000&gt;=W440),I$4:I$1000, "")),"")</f>
        <v/>
      </c>
      <c r="Z440" s="33" t="str">
        <f t="shared" si="292"/>
        <v/>
      </c>
      <c r="AA440" s="32" t="str">
        <f t="shared" si="293"/>
        <v/>
      </c>
      <c r="AB440" s="32" t="str">
        <f t="shared" si="294"/>
        <v/>
      </c>
      <c r="AC440" s="32" t="str">
        <f t="shared" si="295"/>
        <v/>
      </c>
      <c r="AD440" s="32" t="str">
        <f t="shared" si="296"/>
        <v/>
      </c>
      <c r="AE440" s="34" t="str">
        <f t="shared" si="297"/>
        <v/>
      </c>
      <c r="AF440" s="32" t="str">
        <f t="shared" si="298"/>
        <v/>
      </c>
      <c r="AG440" s="32" t="str">
        <f t="shared" si="299"/>
        <v/>
      </c>
      <c r="AH440" s="32" t="str">
        <f t="shared" si="300"/>
        <v/>
      </c>
      <c r="AI440" s="35" t="str">
        <f t="shared" si="301"/>
        <v/>
      </c>
      <c r="AJ440" s="23" t="str">
        <f t="array" ref="AJ440">IFERROR(SMALL(IF(U$1:U$1000="BEGIN",ROW(U$1:U$1000)),ROW()-3),"")</f>
        <v/>
      </c>
      <c r="AK440" s="23" t="str">
        <f t="array" ref="AK440">IFERROR(SMALL(IF(V$1:V$1000="END",ROW(V$1:V$1000)),ROW()-3),"")</f>
        <v/>
      </c>
      <c r="AL440" s="24" t="str">
        <f t="array" ref="AL440">IF(AK440="","",MATCH(AM440,L:L,0))</f>
        <v/>
      </c>
      <c r="AM440" s="35">
        <f t="array" ref="AM440">MAX(IF((B$4:B$1000&lt;=AK440)*(B$4:B$1000&gt;=AJ440),L$4:L$1000, ""))</f>
        <v>0</v>
      </c>
      <c r="AN440" s="32" t="str">
        <f t="shared" si="308"/>
        <v/>
      </c>
      <c r="AO440" s="32" t="str">
        <f t="shared" si="309"/>
        <v/>
      </c>
      <c r="AP440" s="32" t="str">
        <f t="shared" si="310"/>
        <v/>
      </c>
      <c r="AQ440" s="32" t="str">
        <f t="shared" si="311"/>
        <v/>
      </c>
      <c r="AR440" s="32" t="str">
        <f t="shared" si="312"/>
        <v/>
      </c>
      <c r="AS440" s="32" t="str">
        <f t="shared" si="313"/>
        <v/>
      </c>
      <c r="AT440" s="32" t="str">
        <f t="shared" si="314"/>
        <v/>
      </c>
      <c r="AU440" s="34" t="str">
        <f t="shared" si="315"/>
        <v/>
      </c>
      <c r="AV440" s="32" t="str">
        <f t="shared" si="316"/>
        <v/>
      </c>
      <c r="AW440" s="32" t="str">
        <f t="shared" si="317"/>
        <v/>
      </c>
      <c r="AX440" s="32" t="str">
        <f t="shared" si="318"/>
        <v/>
      </c>
      <c r="AY440" s="32" t="str">
        <f t="shared" si="319"/>
        <v/>
      </c>
    </row>
    <row r="441" spans="1:51" x14ac:dyDescent="0.25">
      <c r="A441" s="24" t="str">
        <f t="shared" si="277"/>
        <v/>
      </c>
      <c r="B441" s="24" t="str">
        <f t="shared" si="287"/>
        <v/>
      </c>
      <c r="C441" s="32" t="str">
        <f t="shared" si="278"/>
        <v/>
      </c>
      <c r="D441" s="24" t="str">
        <f t="shared" si="279"/>
        <v/>
      </c>
      <c r="E441" s="24" t="str">
        <f t="shared" si="280"/>
        <v/>
      </c>
      <c r="F441" s="32" t="str">
        <f t="shared" si="281"/>
        <v/>
      </c>
      <c r="G441" s="32" t="str">
        <f t="shared" si="282"/>
        <v/>
      </c>
      <c r="H441" s="32" t="str">
        <f t="shared" ca="1" si="283"/>
        <v/>
      </c>
      <c r="I441" s="32" t="str">
        <f t="shared" ca="1" si="288"/>
        <v/>
      </c>
      <c r="J441" s="32" t="str">
        <f t="shared" si="284"/>
        <v/>
      </c>
      <c r="K441" s="32" t="str">
        <f>IF(ISNUMBER(A441),Profile!$V$25+Profile!$V$24*'Ri-Po'!C441,"")</f>
        <v/>
      </c>
      <c r="L441" s="32" t="str">
        <f t="shared" si="289"/>
        <v/>
      </c>
      <c r="M441" s="32" t="str">
        <f t="shared" si="285"/>
        <v/>
      </c>
      <c r="N441" s="32" t="str">
        <f t="shared" si="286"/>
        <v/>
      </c>
      <c r="O441" s="32" t="str">
        <f t="shared" si="302"/>
        <v/>
      </c>
      <c r="P441" s="32" t="str">
        <f t="shared" si="290"/>
        <v/>
      </c>
      <c r="Q441" s="32" t="str">
        <f t="shared" si="291"/>
        <v/>
      </c>
      <c r="R441" s="32" t="str">
        <f t="shared" si="303"/>
        <v/>
      </c>
      <c r="S441" s="24" t="str">
        <f t="shared" si="304"/>
        <v/>
      </c>
      <c r="T441" s="24" t="str">
        <f t="shared" si="305"/>
        <v/>
      </c>
      <c r="U441" s="24" t="str">
        <f t="shared" si="306"/>
        <v/>
      </c>
      <c r="V441" s="24" t="str">
        <f t="shared" si="307"/>
        <v/>
      </c>
      <c r="W441" s="23" t="str">
        <f t="array" ref="W441">IFERROR(SMALL(IF(S$1:S$1000="BEGIN",ROW(S$1:S$1000)),ROW()-3),"")</f>
        <v/>
      </c>
      <c r="X441" s="23" t="str">
        <f t="array" ref="X441">IFERROR(SMALL(IF(T$1:T$1000="END",ROW(T$1:T$1000)),ROW()-3),"")</f>
        <v/>
      </c>
      <c r="Y441" s="33" t="str">
        <f t="array" ref="Y441">IF(ISNUMBER(W441),MAX(IF((B$4:B$1000&lt;=X441)*(B$4:B$1000&gt;=W441),I$4:I$1000, "")),"")</f>
        <v/>
      </c>
      <c r="Z441" s="33" t="str">
        <f t="shared" si="292"/>
        <v/>
      </c>
      <c r="AA441" s="32" t="str">
        <f t="shared" si="293"/>
        <v/>
      </c>
      <c r="AB441" s="32" t="str">
        <f t="shared" si="294"/>
        <v/>
      </c>
      <c r="AC441" s="32" t="str">
        <f t="shared" si="295"/>
        <v/>
      </c>
      <c r="AD441" s="32" t="str">
        <f t="shared" si="296"/>
        <v/>
      </c>
      <c r="AE441" s="34" t="str">
        <f t="shared" si="297"/>
        <v/>
      </c>
      <c r="AF441" s="32" t="str">
        <f t="shared" si="298"/>
        <v/>
      </c>
      <c r="AG441" s="32" t="str">
        <f t="shared" si="299"/>
        <v/>
      </c>
      <c r="AH441" s="32" t="str">
        <f t="shared" si="300"/>
        <v/>
      </c>
      <c r="AI441" s="35" t="str">
        <f t="shared" si="301"/>
        <v/>
      </c>
      <c r="AJ441" s="23" t="str">
        <f t="array" ref="AJ441">IFERROR(SMALL(IF(U$1:U$1000="BEGIN",ROW(U$1:U$1000)),ROW()-3),"")</f>
        <v/>
      </c>
      <c r="AK441" s="23" t="str">
        <f t="array" ref="AK441">IFERROR(SMALL(IF(V$1:V$1000="END",ROW(V$1:V$1000)),ROW()-3),"")</f>
        <v/>
      </c>
      <c r="AL441" s="24" t="str">
        <f t="array" ref="AL441">IF(AK441="","",MATCH(AM441,L:L,0))</f>
        <v/>
      </c>
      <c r="AM441" s="35">
        <f t="array" ref="AM441">MAX(IF((B$4:B$1000&lt;=AK441)*(B$4:B$1000&gt;=AJ441),L$4:L$1000, ""))</f>
        <v>0</v>
      </c>
      <c r="AN441" s="32" t="str">
        <f t="shared" si="308"/>
        <v/>
      </c>
      <c r="AO441" s="32" t="str">
        <f t="shared" si="309"/>
        <v/>
      </c>
      <c r="AP441" s="32" t="str">
        <f t="shared" si="310"/>
        <v/>
      </c>
      <c r="AQ441" s="32" t="str">
        <f t="shared" si="311"/>
        <v/>
      </c>
      <c r="AR441" s="32" t="str">
        <f t="shared" si="312"/>
        <v/>
      </c>
      <c r="AS441" s="32" t="str">
        <f t="shared" si="313"/>
        <v/>
      </c>
      <c r="AT441" s="32" t="str">
        <f t="shared" si="314"/>
        <v/>
      </c>
      <c r="AU441" s="34" t="str">
        <f t="shared" si="315"/>
        <v/>
      </c>
      <c r="AV441" s="32" t="str">
        <f t="shared" si="316"/>
        <v/>
      </c>
      <c r="AW441" s="32" t="str">
        <f t="shared" si="317"/>
        <v/>
      </c>
      <c r="AX441" s="32" t="str">
        <f t="shared" si="318"/>
        <v/>
      </c>
      <c r="AY441" s="32" t="str">
        <f t="shared" si="319"/>
        <v/>
      </c>
    </row>
    <row r="442" spans="1:51" x14ac:dyDescent="0.25">
      <c r="A442" s="24" t="str">
        <f t="shared" si="277"/>
        <v/>
      </c>
      <c r="B442" s="24" t="str">
        <f t="shared" si="287"/>
        <v/>
      </c>
      <c r="C442" s="32" t="str">
        <f t="shared" si="278"/>
        <v/>
      </c>
      <c r="D442" s="24" t="str">
        <f t="shared" si="279"/>
        <v/>
      </c>
      <c r="E442" s="24" t="str">
        <f t="shared" si="280"/>
        <v/>
      </c>
      <c r="F442" s="32" t="str">
        <f t="shared" si="281"/>
        <v/>
      </c>
      <c r="G442" s="32" t="str">
        <f t="shared" si="282"/>
        <v/>
      </c>
      <c r="H442" s="32" t="str">
        <f t="shared" ca="1" si="283"/>
        <v/>
      </c>
      <c r="I442" s="32" t="str">
        <f t="shared" ca="1" si="288"/>
        <v/>
      </c>
      <c r="J442" s="32" t="str">
        <f t="shared" si="284"/>
        <v/>
      </c>
      <c r="K442" s="32" t="str">
        <f>IF(ISNUMBER(A442),Profile!$V$25+Profile!$V$24*'Ri-Po'!C442,"")</f>
        <v/>
      </c>
      <c r="L442" s="32" t="str">
        <f t="shared" si="289"/>
        <v/>
      </c>
      <c r="M442" s="32" t="str">
        <f t="shared" si="285"/>
        <v/>
      </c>
      <c r="N442" s="32" t="str">
        <f t="shared" si="286"/>
        <v/>
      </c>
      <c r="O442" s="32" t="str">
        <f t="shared" si="302"/>
        <v/>
      </c>
      <c r="P442" s="32" t="str">
        <f t="shared" si="290"/>
        <v/>
      </c>
      <c r="Q442" s="32" t="str">
        <f t="shared" si="291"/>
        <v/>
      </c>
      <c r="R442" s="32" t="str">
        <f t="shared" si="303"/>
        <v/>
      </c>
      <c r="S442" s="24" t="str">
        <f t="shared" si="304"/>
        <v/>
      </c>
      <c r="T442" s="24" t="str">
        <f t="shared" si="305"/>
        <v/>
      </c>
      <c r="U442" s="24" t="str">
        <f t="shared" si="306"/>
        <v/>
      </c>
      <c r="V442" s="24" t="str">
        <f t="shared" si="307"/>
        <v/>
      </c>
      <c r="W442" s="23" t="str">
        <f t="array" ref="W442">IFERROR(SMALL(IF(S$1:S$1000="BEGIN",ROW(S$1:S$1000)),ROW()-3),"")</f>
        <v/>
      </c>
      <c r="X442" s="23" t="str">
        <f t="array" ref="X442">IFERROR(SMALL(IF(T$1:T$1000="END",ROW(T$1:T$1000)),ROW()-3),"")</f>
        <v/>
      </c>
      <c r="Y442" s="33" t="str">
        <f t="array" ref="Y442">IF(ISNUMBER(W442),MAX(IF((B$4:B$1000&lt;=X442)*(B$4:B$1000&gt;=W442),I$4:I$1000, "")),"")</f>
        <v/>
      </c>
      <c r="Z442" s="33" t="str">
        <f t="shared" si="292"/>
        <v/>
      </c>
      <c r="AA442" s="32" t="str">
        <f t="shared" si="293"/>
        <v/>
      </c>
      <c r="AB442" s="32" t="str">
        <f t="shared" si="294"/>
        <v/>
      </c>
      <c r="AC442" s="32" t="str">
        <f t="shared" si="295"/>
        <v/>
      </c>
      <c r="AD442" s="32" t="str">
        <f t="shared" si="296"/>
        <v/>
      </c>
      <c r="AE442" s="34" t="str">
        <f t="shared" si="297"/>
        <v/>
      </c>
      <c r="AF442" s="32" t="str">
        <f t="shared" si="298"/>
        <v/>
      </c>
      <c r="AG442" s="32" t="str">
        <f t="shared" si="299"/>
        <v/>
      </c>
      <c r="AH442" s="32" t="str">
        <f t="shared" si="300"/>
        <v/>
      </c>
      <c r="AI442" s="35" t="str">
        <f t="shared" si="301"/>
        <v/>
      </c>
      <c r="AJ442" s="23" t="str">
        <f t="array" ref="AJ442">IFERROR(SMALL(IF(U$1:U$1000="BEGIN",ROW(U$1:U$1000)),ROW()-3),"")</f>
        <v/>
      </c>
      <c r="AK442" s="23" t="str">
        <f t="array" ref="AK442">IFERROR(SMALL(IF(V$1:V$1000="END",ROW(V$1:V$1000)),ROW()-3),"")</f>
        <v/>
      </c>
      <c r="AL442" s="24" t="str">
        <f t="array" ref="AL442">IF(AK442="","",MATCH(AM442,L:L,0))</f>
        <v/>
      </c>
      <c r="AM442" s="35">
        <f t="array" ref="AM442">MAX(IF((B$4:B$1000&lt;=AK442)*(B$4:B$1000&gt;=AJ442),L$4:L$1000, ""))</f>
        <v>0</v>
      </c>
      <c r="AN442" s="32" t="str">
        <f t="shared" si="308"/>
        <v/>
      </c>
      <c r="AO442" s="32" t="str">
        <f t="shared" si="309"/>
        <v/>
      </c>
      <c r="AP442" s="32" t="str">
        <f t="shared" si="310"/>
        <v/>
      </c>
      <c r="AQ442" s="32" t="str">
        <f t="shared" si="311"/>
        <v/>
      </c>
      <c r="AR442" s="32" t="str">
        <f t="shared" si="312"/>
        <v/>
      </c>
      <c r="AS442" s="32" t="str">
        <f t="shared" si="313"/>
        <v/>
      </c>
      <c r="AT442" s="32" t="str">
        <f t="shared" si="314"/>
        <v/>
      </c>
      <c r="AU442" s="34" t="str">
        <f t="shared" si="315"/>
        <v/>
      </c>
      <c r="AV442" s="32" t="str">
        <f t="shared" si="316"/>
        <v/>
      </c>
      <c r="AW442" s="32" t="str">
        <f t="shared" si="317"/>
        <v/>
      </c>
      <c r="AX442" s="32" t="str">
        <f t="shared" si="318"/>
        <v/>
      </c>
      <c r="AY442" s="32" t="str">
        <f t="shared" si="319"/>
        <v/>
      </c>
    </row>
    <row r="443" spans="1:51" x14ac:dyDescent="0.25">
      <c r="A443" s="24" t="str">
        <f t="shared" si="277"/>
        <v/>
      </c>
      <c r="B443" s="24" t="str">
        <f t="shared" si="287"/>
        <v/>
      </c>
      <c r="C443" s="32" t="str">
        <f t="shared" si="278"/>
        <v/>
      </c>
      <c r="D443" s="24" t="str">
        <f t="shared" si="279"/>
        <v/>
      </c>
      <c r="E443" s="24" t="str">
        <f t="shared" si="280"/>
        <v/>
      </c>
      <c r="F443" s="32" t="str">
        <f t="shared" si="281"/>
        <v/>
      </c>
      <c r="G443" s="32" t="str">
        <f t="shared" si="282"/>
        <v/>
      </c>
      <c r="H443" s="32" t="str">
        <f t="shared" ca="1" si="283"/>
        <v/>
      </c>
      <c r="I443" s="32" t="str">
        <f t="shared" ca="1" si="288"/>
        <v/>
      </c>
      <c r="J443" s="32" t="str">
        <f t="shared" si="284"/>
        <v/>
      </c>
      <c r="K443" s="32" t="str">
        <f>IF(ISNUMBER(A443),Profile!$V$25+Profile!$V$24*'Ri-Po'!C443,"")</f>
        <v/>
      </c>
      <c r="L443" s="32" t="str">
        <f t="shared" si="289"/>
        <v/>
      </c>
      <c r="M443" s="32" t="str">
        <f t="shared" si="285"/>
        <v/>
      </c>
      <c r="N443" s="32" t="str">
        <f t="shared" si="286"/>
        <v/>
      </c>
      <c r="O443" s="32" t="str">
        <f t="shared" si="302"/>
        <v/>
      </c>
      <c r="P443" s="32" t="str">
        <f t="shared" si="290"/>
        <v/>
      </c>
      <c r="Q443" s="32" t="str">
        <f t="shared" si="291"/>
        <v/>
      </c>
      <c r="R443" s="32" t="str">
        <f t="shared" si="303"/>
        <v/>
      </c>
      <c r="S443" s="24" t="str">
        <f t="shared" si="304"/>
        <v/>
      </c>
      <c r="T443" s="24" t="str">
        <f t="shared" si="305"/>
        <v/>
      </c>
      <c r="U443" s="24" t="str">
        <f t="shared" si="306"/>
        <v/>
      </c>
      <c r="V443" s="24" t="str">
        <f t="shared" si="307"/>
        <v/>
      </c>
      <c r="W443" s="23" t="str">
        <f t="array" ref="W443">IFERROR(SMALL(IF(S$1:S$1000="BEGIN",ROW(S$1:S$1000)),ROW()-3),"")</f>
        <v/>
      </c>
      <c r="X443" s="23" t="str">
        <f t="array" ref="X443">IFERROR(SMALL(IF(T$1:T$1000="END",ROW(T$1:T$1000)),ROW()-3),"")</f>
        <v/>
      </c>
      <c r="Y443" s="33" t="str">
        <f t="array" ref="Y443">IF(ISNUMBER(W443),MAX(IF((B$4:B$1000&lt;=X443)*(B$4:B$1000&gt;=W443),I$4:I$1000, "")),"")</f>
        <v/>
      </c>
      <c r="Z443" s="33" t="str">
        <f t="shared" si="292"/>
        <v/>
      </c>
      <c r="AA443" s="32" t="str">
        <f t="shared" si="293"/>
        <v/>
      </c>
      <c r="AB443" s="32" t="str">
        <f t="shared" si="294"/>
        <v/>
      </c>
      <c r="AC443" s="32" t="str">
        <f t="shared" si="295"/>
        <v/>
      </c>
      <c r="AD443" s="32" t="str">
        <f t="shared" si="296"/>
        <v/>
      </c>
      <c r="AE443" s="34" t="str">
        <f t="shared" si="297"/>
        <v/>
      </c>
      <c r="AF443" s="32" t="str">
        <f t="shared" si="298"/>
        <v/>
      </c>
      <c r="AG443" s="32" t="str">
        <f t="shared" si="299"/>
        <v/>
      </c>
      <c r="AH443" s="32" t="str">
        <f t="shared" si="300"/>
        <v/>
      </c>
      <c r="AI443" s="35" t="str">
        <f t="shared" si="301"/>
        <v/>
      </c>
      <c r="AJ443" s="23" t="str">
        <f t="array" ref="AJ443">IFERROR(SMALL(IF(U$1:U$1000="BEGIN",ROW(U$1:U$1000)),ROW()-3),"")</f>
        <v/>
      </c>
      <c r="AK443" s="23" t="str">
        <f t="array" ref="AK443">IFERROR(SMALL(IF(V$1:V$1000="END",ROW(V$1:V$1000)),ROW()-3),"")</f>
        <v/>
      </c>
      <c r="AL443" s="24" t="str">
        <f t="array" ref="AL443">IF(AK443="","",MATCH(AM443,L:L,0))</f>
        <v/>
      </c>
      <c r="AM443" s="35">
        <f t="array" ref="AM443">MAX(IF((B$4:B$1000&lt;=AK443)*(B$4:B$1000&gt;=AJ443),L$4:L$1000, ""))</f>
        <v>0</v>
      </c>
      <c r="AN443" s="32" t="str">
        <f t="shared" si="308"/>
        <v/>
      </c>
      <c r="AO443" s="32" t="str">
        <f t="shared" si="309"/>
        <v/>
      </c>
      <c r="AP443" s="32" t="str">
        <f t="shared" si="310"/>
        <v/>
      </c>
      <c r="AQ443" s="32" t="str">
        <f t="shared" si="311"/>
        <v/>
      </c>
      <c r="AR443" s="32" t="str">
        <f t="shared" si="312"/>
        <v/>
      </c>
      <c r="AS443" s="32" t="str">
        <f t="shared" si="313"/>
        <v/>
      </c>
      <c r="AT443" s="32" t="str">
        <f t="shared" si="314"/>
        <v/>
      </c>
      <c r="AU443" s="34" t="str">
        <f t="shared" si="315"/>
        <v/>
      </c>
      <c r="AV443" s="32" t="str">
        <f t="shared" si="316"/>
        <v/>
      </c>
      <c r="AW443" s="32" t="str">
        <f t="shared" si="317"/>
        <v/>
      </c>
      <c r="AX443" s="32" t="str">
        <f t="shared" si="318"/>
        <v/>
      </c>
      <c r="AY443" s="32" t="str">
        <f t="shared" si="319"/>
        <v/>
      </c>
    </row>
    <row r="444" spans="1:51" x14ac:dyDescent="0.25">
      <c r="A444" s="24" t="str">
        <f t="shared" si="277"/>
        <v/>
      </c>
      <c r="B444" s="24" t="str">
        <f t="shared" si="287"/>
        <v/>
      </c>
      <c r="C444" s="32" t="str">
        <f t="shared" si="278"/>
        <v/>
      </c>
      <c r="D444" s="24" t="str">
        <f t="shared" si="279"/>
        <v/>
      </c>
      <c r="E444" s="24" t="str">
        <f t="shared" si="280"/>
        <v/>
      </c>
      <c r="F444" s="32" t="str">
        <f t="shared" si="281"/>
        <v/>
      </c>
      <c r="G444" s="32" t="str">
        <f t="shared" si="282"/>
        <v/>
      </c>
      <c r="H444" s="32" t="str">
        <f t="shared" ca="1" si="283"/>
        <v/>
      </c>
      <c r="I444" s="32" t="str">
        <f t="shared" ca="1" si="288"/>
        <v/>
      </c>
      <c r="J444" s="32" t="str">
        <f t="shared" si="284"/>
        <v/>
      </c>
      <c r="K444" s="32" t="str">
        <f>IF(ISNUMBER(A444),Profile!$V$25+Profile!$V$24*'Ri-Po'!C444,"")</f>
        <v/>
      </c>
      <c r="L444" s="32" t="str">
        <f t="shared" si="289"/>
        <v/>
      </c>
      <c r="M444" s="32" t="str">
        <f t="shared" si="285"/>
        <v/>
      </c>
      <c r="N444" s="32" t="str">
        <f t="shared" si="286"/>
        <v/>
      </c>
      <c r="O444" s="32" t="str">
        <f t="shared" si="302"/>
        <v/>
      </c>
      <c r="P444" s="32" t="str">
        <f t="shared" si="290"/>
        <v/>
      </c>
      <c r="Q444" s="32" t="str">
        <f t="shared" si="291"/>
        <v/>
      </c>
      <c r="R444" s="32" t="str">
        <f t="shared" si="303"/>
        <v/>
      </c>
      <c r="S444" s="24" t="str">
        <f t="shared" si="304"/>
        <v/>
      </c>
      <c r="T444" s="24" t="str">
        <f t="shared" si="305"/>
        <v/>
      </c>
      <c r="U444" s="24" t="str">
        <f t="shared" si="306"/>
        <v/>
      </c>
      <c r="V444" s="24" t="str">
        <f t="shared" si="307"/>
        <v/>
      </c>
      <c r="W444" s="23" t="str">
        <f t="array" ref="W444">IFERROR(SMALL(IF(S$1:S$1000="BEGIN",ROW(S$1:S$1000)),ROW()-3),"")</f>
        <v/>
      </c>
      <c r="X444" s="23" t="str">
        <f t="array" ref="X444">IFERROR(SMALL(IF(T$1:T$1000="END",ROW(T$1:T$1000)),ROW()-3),"")</f>
        <v/>
      </c>
      <c r="Y444" s="33" t="str">
        <f t="array" ref="Y444">IF(ISNUMBER(W444),MAX(IF((B$4:B$1000&lt;=X444)*(B$4:B$1000&gt;=W444),I$4:I$1000, "")),"")</f>
        <v/>
      </c>
      <c r="Z444" s="33" t="str">
        <f t="shared" si="292"/>
        <v/>
      </c>
      <c r="AA444" s="32" t="str">
        <f t="shared" si="293"/>
        <v/>
      </c>
      <c r="AB444" s="32" t="str">
        <f t="shared" si="294"/>
        <v/>
      </c>
      <c r="AC444" s="32" t="str">
        <f t="shared" si="295"/>
        <v/>
      </c>
      <c r="AD444" s="32" t="str">
        <f t="shared" si="296"/>
        <v/>
      </c>
      <c r="AE444" s="34" t="str">
        <f t="shared" si="297"/>
        <v/>
      </c>
      <c r="AF444" s="32" t="str">
        <f t="shared" si="298"/>
        <v/>
      </c>
      <c r="AG444" s="32" t="str">
        <f t="shared" si="299"/>
        <v/>
      </c>
      <c r="AH444" s="32" t="str">
        <f t="shared" si="300"/>
        <v/>
      </c>
      <c r="AI444" s="35" t="str">
        <f t="shared" si="301"/>
        <v/>
      </c>
      <c r="AJ444" s="23" t="str">
        <f t="array" ref="AJ444">IFERROR(SMALL(IF(U$1:U$1000="BEGIN",ROW(U$1:U$1000)),ROW()-3),"")</f>
        <v/>
      </c>
      <c r="AK444" s="23" t="str">
        <f t="array" ref="AK444">IFERROR(SMALL(IF(V$1:V$1000="END",ROW(V$1:V$1000)),ROW()-3),"")</f>
        <v/>
      </c>
      <c r="AL444" s="24" t="str">
        <f t="array" ref="AL444">IF(AK444="","",MATCH(AM444,L:L,0))</f>
        <v/>
      </c>
      <c r="AM444" s="35">
        <f t="array" ref="AM444">MAX(IF((B$4:B$1000&lt;=AK444)*(B$4:B$1000&gt;=AJ444),L$4:L$1000, ""))</f>
        <v>0</v>
      </c>
      <c r="AN444" s="32" t="str">
        <f t="shared" si="308"/>
        <v/>
      </c>
      <c r="AO444" s="32" t="str">
        <f t="shared" si="309"/>
        <v/>
      </c>
      <c r="AP444" s="32" t="str">
        <f t="shared" si="310"/>
        <v/>
      </c>
      <c r="AQ444" s="32" t="str">
        <f t="shared" si="311"/>
        <v/>
      </c>
      <c r="AR444" s="32" t="str">
        <f t="shared" si="312"/>
        <v/>
      </c>
      <c r="AS444" s="32" t="str">
        <f t="shared" si="313"/>
        <v/>
      </c>
      <c r="AT444" s="32" t="str">
        <f t="shared" si="314"/>
        <v/>
      </c>
      <c r="AU444" s="34" t="str">
        <f t="shared" si="315"/>
        <v/>
      </c>
      <c r="AV444" s="32" t="str">
        <f t="shared" si="316"/>
        <v/>
      </c>
      <c r="AW444" s="32" t="str">
        <f t="shared" si="317"/>
        <v/>
      </c>
      <c r="AX444" s="32" t="str">
        <f t="shared" si="318"/>
        <v/>
      </c>
      <c r="AY444" s="32" t="str">
        <f t="shared" si="319"/>
        <v/>
      </c>
    </row>
    <row r="445" spans="1:51" x14ac:dyDescent="0.25">
      <c r="A445" s="24" t="str">
        <f t="shared" si="277"/>
        <v/>
      </c>
      <c r="B445" s="24" t="str">
        <f t="shared" si="287"/>
        <v/>
      </c>
      <c r="C445" s="32" t="str">
        <f t="shared" si="278"/>
        <v/>
      </c>
      <c r="D445" s="24" t="str">
        <f t="shared" si="279"/>
        <v/>
      </c>
      <c r="E445" s="24" t="str">
        <f t="shared" si="280"/>
        <v/>
      </c>
      <c r="F445" s="32" t="str">
        <f t="shared" si="281"/>
        <v/>
      </c>
      <c r="G445" s="32" t="str">
        <f t="shared" si="282"/>
        <v/>
      </c>
      <c r="H445" s="32" t="str">
        <f t="shared" ca="1" si="283"/>
        <v/>
      </c>
      <c r="I445" s="32" t="str">
        <f t="shared" ca="1" si="288"/>
        <v/>
      </c>
      <c r="J445" s="32" t="str">
        <f t="shared" si="284"/>
        <v/>
      </c>
      <c r="K445" s="32" t="str">
        <f>IF(ISNUMBER(A445),Profile!$V$25+Profile!$V$24*'Ri-Po'!C445,"")</f>
        <v/>
      </c>
      <c r="L445" s="32" t="str">
        <f t="shared" si="289"/>
        <v/>
      </c>
      <c r="M445" s="32" t="str">
        <f t="shared" si="285"/>
        <v/>
      </c>
      <c r="N445" s="32" t="str">
        <f t="shared" si="286"/>
        <v/>
      </c>
      <c r="O445" s="32" t="str">
        <f t="shared" si="302"/>
        <v/>
      </c>
      <c r="P445" s="32" t="str">
        <f t="shared" si="290"/>
        <v/>
      </c>
      <c r="Q445" s="32" t="str">
        <f t="shared" si="291"/>
        <v/>
      </c>
      <c r="R445" s="32" t="str">
        <f t="shared" si="303"/>
        <v/>
      </c>
      <c r="S445" s="24" t="str">
        <f t="shared" si="304"/>
        <v/>
      </c>
      <c r="T445" s="24" t="str">
        <f t="shared" si="305"/>
        <v/>
      </c>
      <c r="U445" s="24" t="str">
        <f t="shared" si="306"/>
        <v/>
      </c>
      <c r="V445" s="24" t="str">
        <f t="shared" si="307"/>
        <v/>
      </c>
      <c r="W445" s="23" t="str">
        <f t="array" ref="W445">IFERROR(SMALL(IF(S$1:S$1000="BEGIN",ROW(S$1:S$1000)),ROW()-3),"")</f>
        <v/>
      </c>
      <c r="X445" s="23" t="str">
        <f t="array" ref="X445">IFERROR(SMALL(IF(T$1:T$1000="END",ROW(T$1:T$1000)),ROW()-3),"")</f>
        <v/>
      </c>
      <c r="Y445" s="33" t="str">
        <f t="array" ref="Y445">IF(ISNUMBER(W445),MAX(IF((B$4:B$1000&lt;=X445)*(B$4:B$1000&gt;=W445),I$4:I$1000, "")),"")</f>
        <v/>
      </c>
      <c r="Z445" s="33" t="str">
        <f t="shared" si="292"/>
        <v/>
      </c>
      <c r="AA445" s="32" t="str">
        <f t="shared" si="293"/>
        <v/>
      </c>
      <c r="AB445" s="32" t="str">
        <f t="shared" si="294"/>
        <v/>
      </c>
      <c r="AC445" s="32" t="str">
        <f t="shared" si="295"/>
        <v/>
      </c>
      <c r="AD445" s="32" t="str">
        <f t="shared" si="296"/>
        <v/>
      </c>
      <c r="AE445" s="34" t="str">
        <f t="shared" si="297"/>
        <v/>
      </c>
      <c r="AF445" s="32" t="str">
        <f t="shared" si="298"/>
        <v/>
      </c>
      <c r="AG445" s="32" t="str">
        <f t="shared" si="299"/>
        <v/>
      </c>
      <c r="AH445" s="32" t="str">
        <f t="shared" si="300"/>
        <v/>
      </c>
      <c r="AI445" s="35" t="str">
        <f t="shared" si="301"/>
        <v/>
      </c>
      <c r="AJ445" s="23" t="str">
        <f t="array" ref="AJ445">IFERROR(SMALL(IF(U$1:U$1000="BEGIN",ROW(U$1:U$1000)),ROW()-3),"")</f>
        <v/>
      </c>
      <c r="AK445" s="23" t="str">
        <f t="array" ref="AK445">IFERROR(SMALL(IF(V$1:V$1000="END",ROW(V$1:V$1000)),ROW()-3),"")</f>
        <v/>
      </c>
      <c r="AL445" s="24" t="str">
        <f t="array" ref="AL445">IF(AK445="","",MATCH(AM445,L:L,0))</f>
        <v/>
      </c>
      <c r="AM445" s="35">
        <f t="array" ref="AM445">MAX(IF((B$4:B$1000&lt;=AK445)*(B$4:B$1000&gt;=AJ445),L$4:L$1000, ""))</f>
        <v>0</v>
      </c>
      <c r="AN445" s="32" t="str">
        <f t="shared" si="308"/>
        <v/>
      </c>
      <c r="AO445" s="32" t="str">
        <f t="shared" si="309"/>
        <v/>
      </c>
      <c r="AP445" s="32" t="str">
        <f t="shared" si="310"/>
        <v/>
      </c>
      <c r="AQ445" s="32" t="str">
        <f t="shared" si="311"/>
        <v/>
      </c>
      <c r="AR445" s="32" t="str">
        <f t="shared" si="312"/>
        <v/>
      </c>
      <c r="AS445" s="32" t="str">
        <f t="shared" si="313"/>
        <v/>
      </c>
      <c r="AT445" s="32" t="str">
        <f t="shared" si="314"/>
        <v/>
      </c>
      <c r="AU445" s="34" t="str">
        <f t="shared" si="315"/>
        <v/>
      </c>
      <c r="AV445" s="32" t="str">
        <f t="shared" si="316"/>
        <v/>
      </c>
      <c r="AW445" s="32" t="str">
        <f t="shared" si="317"/>
        <v/>
      </c>
      <c r="AX445" s="32" t="str">
        <f t="shared" si="318"/>
        <v/>
      </c>
      <c r="AY445" s="32" t="str">
        <f t="shared" si="319"/>
        <v/>
      </c>
    </row>
    <row r="446" spans="1:51" x14ac:dyDescent="0.25">
      <c r="A446" s="24" t="str">
        <f t="shared" si="277"/>
        <v/>
      </c>
      <c r="B446" s="24" t="str">
        <f t="shared" si="287"/>
        <v/>
      </c>
      <c r="C446" s="32" t="str">
        <f t="shared" si="278"/>
        <v/>
      </c>
      <c r="D446" s="24" t="str">
        <f t="shared" si="279"/>
        <v/>
      </c>
      <c r="E446" s="24" t="str">
        <f t="shared" si="280"/>
        <v/>
      </c>
      <c r="F446" s="32" t="str">
        <f t="shared" si="281"/>
        <v/>
      </c>
      <c r="G446" s="32" t="str">
        <f t="shared" si="282"/>
        <v/>
      </c>
      <c r="H446" s="32" t="str">
        <f t="shared" ca="1" si="283"/>
        <v/>
      </c>
      <c r="I446" s="32" t="str">
        <f t="shared" ca="1" si="288"/>
        <v/>
      </c>
      <c r="J446" s="32" t="str">
        <f t="shared" si="284"/>
        <v/>
      </c>
      <c r="K446" s="32" t="str">
        <f>IF(ISNUMBER(A446),Profile!$V$25+Profile!$V$24*'Ri-Po'!C446,"")</f>
        <v/>
      </c>
      <c r="L446" s="32" t="str">
        <f t="shared" si="289"/>
        <v/>
      </c>
      <c r="M446" s="32" t="str">
        <f t="shared" si="285"/>
        <v/>
      </c>
      <c r="N446" s="32" t="str">
        <f t="shared" si="286"/>
        <v/>
      </c>
      <c r="O446" s="32" t="str">
        <f t="shared" si="302"/>
        <v/>
      </c>
      <c r="P446" s="32" t="str">
        <f t="shared" si="290"/>
        <v/>
      </c>
      <c r="Q446" s="32" t="str">
        <f t="shared" si="291"/>
        <v/>
      </c>
      <c r="R446" s="32" t="str">
        <f t="shared" si="303"/>
        <v/>
      </c>
      <c r="S446" s="24" t="str">
        <f t="shared" si="304"/>
        <v/>
      </c>
      <c r="T446" s="24" t="str">
        <f t="shared" si="305"/>
        <v/>
      </c>
      <c r="U446" s="24" t="str">
        <f t="shared" si="306"/>
        <v/>
      </c>
      <c r="V446" s="24" t="str">
        <f t="shared" si="307"/>
        <v/>
      </c>
      <c r="W446" s="23" t="str">
        <f t="array" ref="W446">IFERROR(SMALL(IF(S$1:S$1000="BEGIN",ROW(S$1:S$1000)),ROW()-3),"")</f>
        <v/>
      </c>
      <c r="X446" s="23" t="str">
        <f t="array" ref="X446">IFERROR(SMALL(IF(T$1:T$1000="END",ROW(T$1:T$1000)),ROW()-3),"")</f>
        <v/>
      </c>
      <c r="Y446" s="33" t="str">
        <f t="array" ref="Y446">IF(ISNUMBER(W446),MAX(IF((B$4:B$1000&lt;=X446)*(B$4:B$1000&gt;=W446),I$4:I$1000, "")),"")</f>
        <v/>
      </c>
      <c r="Z446" s="33" t="str">
        <f t="shared" si="292"/>
        <v/>
      </c>
      <c r="AA446" s="32" t="str">
        <f t="shared" si="293"/>
        <v/>
      </c>
      <c r="AB446" s="32" t="str">
        <f t="shared" si="294"/>
        <v/>
      </c>
      <c r="AC446" s="32" t="str">
        <f t="shared" si="295"/>
        <v/>
      </c>
      <c r="AD446" s="32" t="str">
        <f t="shared" si="296"/>
        <v/>
      </c>
      <c r="AE446" s="34" t="str">
        <f t="shared" si="297"/>
        <v/>
      </c>
      <c r="AF446" s="32" t="str">
        <f t="shared" si="298"/>
        <v/>
      </c>
      <c r="AG446" s="32" t="str">
        <f t="shared" si="299"/>
        <v/>
      </c>
      <c r="AH446" s="32" t="str">
        <f t="shared" si="300"/>
        <v/>
      </c>
      <c r="AI446" s="35" t="str">
        <f t="shared" si="301"/>
        <v/>
      </c>
      <c r="AJ446" s="23" t="str">
        <f t="array" ref="AJ446">IFERROR(SMALL(IF(U$1:U$1000="BEGIN",ROW(U$1:U$1000)),ROW()-3),"")</f>
        <v/>
      </c>
      <c r="AK446" s="23" t="str">
        <f t="array" ref="AK446">IFERROR(SMALL(IF(V$1:V$1000="END",ROW(V$1:V$1000)),ROW()-3),"")</f>
        <v/>
      </c>
      <c r="AL446" s="24" t="str">
        <f t="array" ref="AL446">IF(AK446="","",MATCH(AM446,L:L,0))</f>
        <v/>
      </c>
      <c r="AM446" s="35">
        <f t="array" ref="AM446">MAX(IF((B$4:B$1000&lt;=AK446)*(B$4:B$1000&gt;=AJ446),L$4:L$1000, ""))</f>
        <v>0</v>
      </c>
      <c r="AN446" s="32" t="str">
        <f t="shared" si="308"/>
        <v/>
      </c>
      <c r="AO446" s="32" t="str">
        <f t="shared" si="309"/>
        <v/>
      </c>
      <c r="AP446" s="32" t="str">
        <f t="shared" si="310"/>
        <v/>
      </c>
      <c r="AQ446" s="32" t="str">
        <f t="shared" si="311"/>
        <v/>
      </c>
      <c r="AR446" s="32" t="str">
        <f t="shared" si="312"/>
        <v/>
      </c>
      <c r="AS446" s="32" t="str">
        <f t="shared" si="313"/>
        <v/>
      </c>
      <c r="AT446" s="32" t="str">
        <f t="shared" si="314"/>
        <v/>
      </c>
      <c r="AU446" s="34" t="str">
        <f t="shared" si="315"/>
        <v/>
      </c>
      <c r="AV446" s="32" t="str">
        <f t="shared" si="316"/>
        <v/>
      </c>
      <c r="AW446" s="32" t="str">
        <f t="shared" si="317"/>
        <v/>
      </c>
      <c r="AX446" s="32" t="str">
        <f t="shared" si="318"/>
        <v/>
      </c>
      <c r="AY446" s="32" t="str">
        <f t="shared" si="319"/>
        <v/>
      </c>
    </row>
    <row r="447" spans="1:51" x14ac:dyDescent="0.25">
      <c r="A447" s="24" t="str">
        <f t="shared" si="277"/>
        <v/>
      </c>
      <c r="B447" s="24" t="str">
        <f t="shared" si="287"/>
        <v/>
      </c>
      <c r="C447" s="32" t="str">
        <f t="shared" si="278"/>
        <v/>
      </c>
      <c r="D447" s="24" t="str">
        <f t="shared" si="279"/>
        <v/>
      </c>
      <c r="E447" s="24" t="str">
        <f t="shared" si="280"/>
        <v/>
      </c>
      <c r="F447" s="32" t="str">
        <f t="shared" si="281"/>
        <v/>
      </c>
      <c r="G447" s="32" t="str">
        <f t="shared" si="282"/>
        <v/>
      </c>
      <c r="H447" s="32" t="str">
        <f t="shared" ca="1" si="283"/>
        <v/>
      </c>
      <c r="I447" s="32" t="str">
        <f t="shared" ca="1" si="288"/>
        <v/>
      </c>
      <c r="J447" s="32" t="str">
        <f t="shared" si="284"/>
        <v/>
      </c>
      <c r="K447" s="32" t="str">
        <f>IF(ISNUMBER(A447),Profile!$V$25+Profile!$V$24*'Ri-Po'!C447,"")</f>
        <v/>
      </c>
      <c r="L447" s="32" t="str">
        <f t="shared" si="289"/>
        <v/>
      </c>
      <c r="M447" s="32" t="str">
        <f t="shared" si="285"/>
        <v/>
      </c>
      <c r="N447" s="32" t="str">
        <f t="shared" si="286"/>
        <v/>
      </c>
      <c r="O447" s="32" t="str">
        <f t="shared" si="302"/>
        <v/>
      </c>
      <c r="P447" s="32" t="str">
        <f t="shared" si="290"/>
        <v/>
      </c>
      <c r="Q447" s="32" t="str">
        <f t="shared" si="291"/>
        <v/>
      </c>
      <c r="R447" s="32" t="str">
        <f t="shared" si="303"/>
        <v/>
      </c>
      <c r="S447" s="24" t="str">
        <f t="shared" si="304"/>
        <v/>
      </c>
      <c r="T447" s="24" t="str">
        <f t="shared" si="305"/>
        <v/>
      </c>
      <c r="U447" s="24" t="str">
        <f t="shared" si="306"/>
        <v/>
      </c>
      <c r="V447" s="24" t="str">
        <f t="shared" si="307"/>
        <v/>
      </c>
      <c r="W447" s="23" t="str">
        <f t="array" ref="W447">IFERROR(SMALL(IF(S$1:S$1000="BEGIN",ROW(S$1:S$1000)),ROW()-3),"")</f>
        <v/>
      </c>
      <c r="X447" s="23" t="str">
        <f t="array" ref="X447">IFERROR(SMALL(IF(T$1:T$1000="END",ROW(T$1:T$1000)),ROW()-3),"")</f>
        <v/>
      </c>
      <c r="Y447" s="33" t="str">
        <f t="array" ref="Y447">IF(ISNUMBER(W447),MAX(IF((B$4:B$1000&lt;=X447)*(B$4:B$1000&gt;=W447),I$4:I$1000, "")),"")</f>
        <v/>
      </c>
      <c r="Z447" s="33" t="str">
        <f t="shared" si="292"/>
        <v/>
      </c>
      <c r="AA447" s="32" t="str">
        <f t="shared" si="293"/>
        <v/>
      </c>
      <c r="AB447" s="32" t="str">
        <f t="shared" si="294"/>
        <v/>
      </c>
      <c r="AC447" s="32" t="str">
        <f t="shared" si="295"/>
        <v/>
      </c>
      <c r="AD447" s="32" t="str">
        <f t="shared" si="296"/>
        <v/>
      </c>
      <c r="AE447" s="34" t="str">
        <f t="shared" si="297"/>
        <v/>
      </c>
      <c r="AF447" s="32" t="str">
        <f t="shared" si="298"/>
        <v/>
      </c>
      <c r="AG447" s="32" t="str">
        <f t="shared" si="299"/>
        <v/>
      </c>
      <c r="AH447" s="32" t="str">
        <f t="shared" si="300"/>
        <v/>
      </c>
      <c r="AI447" s="35" t="str">
        <f t="shared" si="301"/>
        <v/>
      </c>
      <c r="AJ447" s="23" t="str">
        <f t="array" ref="AJ447">IFERROR(SMALL(IF(U$1:U$1000="BEGIN",ROW(U$1:U$1000)),ROW()-3),"")</f>
        <v/>
      </c>
      <c r="AK447" s="23" t="str">
        <f t="array" ref="AK447">IFERROR(SMALL(IF(V$1:V$1000="END",ROW(V$1:V$1000)),ROW()-3),"")</f>
        <v/>
      </c>
      <c r="AL447" s="24" t="str">
        <f t="array" ref="AL447">IF(AK447="","",MATCH(AM447,L:L,0))</f>
        <v/>
      </c>
      <c r="AM447" s="35">
        <f t="array" ref="AM447">MAX(IF((B$4:B$1000&lt;=AK447)*(B$4:B$1000&gt;=AJ447),L$4:L$1000, ""))</f>
        <v>0</v>
      </c>
      <c r="AN447" s="32" t="str">
        <f t="shared" si="308"/>
        <v/>
      </c>
      <c r="AO447" s="32" t="str">
        <f t="shared" si="309"/>
        <v/>
      </c>
      <c r="AP447" s="32" t="str">
        <f t="shared" si="310"/>
        <v/>
      </c>
      <c r="AQ447" s="32" t="str">
        <f t="shared" si="311"/>
        <v/>
      </c>
      <c r="AR447" s="32" t="str">
        <f t="shared" si="312"/>
        <v/>
      </c>
      <c r="AS447" s="32" t="str">
        <f t="shared" si="313"/>
        <v/>
      </c>
      <c r="AT447" s="32" t="str">
        <f t="shared" si="314"/>
        <v/>
      </c>
      <c r="AU447" s="34" t="str">
        <f t="shared" si="315"/>
        <v/>
      </c>
      <c r="AV447" s="32" t="str">
        <f t="shared" si="316"/>
        <v/>
      </c>
      <c r="AW447" s="32" t="str">
        <f t="shared" si="317"/>
        <v/>
      </c>
      <c r="AX447" s="32" t="str">
        <f t="shared" si="318"/>
        <v/>
      </c>
      <c r="AY447" s="32" t="str">
        <f t="shared" si="319"/>
        <v/>
      </c>
    </row>
    <row r="448" spans="1:51" x14ac:dyDescent="0.25">
      <c r="A448" s="24" t="str">
        <f t="shared" si="277"/>
        <v/>
      </c>
      <c r="B448" s="24" t="str">
        <f t="shared" si="287"/>
        <v/>
      </c>
      <c r="C448" s="32" t="str">
        <f t="shared" si="278"/>
        <v/>
      </c>
      <c r="D448" s="24" t="str">
        <f t="shared" si="279"/>
        <v/>
      </c>
      <c r="E448" s="24" t="str">
        <f t="shared" si="280"/>
        <v/>
      </c>
      <c r="F448" s="32" t="str">
        <f t="shared" si="281"/>
        <v/>
      </c>
      <c r="G448" s="32" t="str">
        <f t="shared" si="282"/>
        <v/>
      </c>
      <c r="H448" s="32" t="str">
        <f t="shared" ca="1" si="283"/>
        <v/>
      </c>
      <c r="I448" s="32" t="str">
        <f t="shared" ca="1" si="288"/>
        <v/>
      </c>
      <c r="J448" s="32" t="str">
        <f t="shared" si="284"/>
        <v/>
      </c>
      <c r="K448" s="32" t="str">
        <f>IF(ISNUMBER(A448),Profile!$V$25+Profile!$V$24*'Ri-Po'!C448,"")</f>
        <v/>
      </c>
      <c r="L448" s="32" t="str">
        <f t="shared" si="289"/>
        <v/>
      </c>
      <c r="M448" s="32" t="str">
        <f t="shared" si="285"/>
        <v/>
      </c>
      <c r="N448" s="32" t="str">
        <f t="shared" si="286"/>
        <v/>
      </c>
      <c r="O448" s="32" t="str">
        <f t="shared" si="302"/>
        <v/>
      </c>
      <c r="P448" s="32" t="str">
        <f t="shared" si="290"/>
        <v/>
      </c>
      <c r="Q448" s="32" t="str">
        <f t="shared" si="291"/>
        <v/>
      </c>
      <c r="R448" s="32" t="str">
        <f t="shared" si="303"/>
        <v/>
      </c>
      <c r="S448" s="24" t="str">
        <f t="shared" si="304"/>
        <v/>
      </c>
      <c r="T448" s="24" t="str">
        <f t="shared" si="305"/>
        <v/>
      </c>
      <c r="U448" s="24" t="str">
        <f t="shared" si="306"/>
        <v/>
      </c>
      <c r="V448" s="24" t="str">
        <f t="shared" si="307"/>
        <v/>
      </c>
      <c r="W448" s="23" t="str">
        <f t="array" ref="W448">IFERROR(SMALL(IF(S$1:S$1000="BEGIN",ROW(S$1:S$1000)),ROW()-3),"")</f>
        <v/>
      </c>
      <c r="X448" s="23" t="str">
        <f t="array" ref="X448">IFERROR(SMALL(IF(T$1:T$1000="END",ROW(T$1:T$1000)),ROW()-3),"")</f>
        <v/>
      </c>
      <c r="Y448" s="33" t="str">
        <f t="array" ref="Y448">IF(ISNUMBER(W448),MAX(IF((B$4:B$1000&lt;=X448)*(B$4:B$1000&gt;=W448),I$4:I$1000, "")),"")</f>
        <v/>
      </c>
      <c r="Z448" s="33" t="str">
        <f t="shared" si="292"/>
        <v/>
      </c>
      <c r="AA448" s="32" t="str">
        <f t="shared" si="293"/>
        <v/>
      </c>
      <c r="AB448" s="32" t="str">
        <f t="shared" si="294"/>
        <v/>
      </c>
      <c r="AC448" s="32" t="str">
        <f t="shared" si="295"/>
        <v/>
      </c>
      <c r="AD448" s="32" t="str">
        <f t="shared" si="296"/>
        <v/>
      </c>
      <c r="AE448" s="34" t="str">
        <f t="shared" si="297"/>
        <v/>
      </c>
      <c r="AF448" s="32" t="str">
        <f t="shared" si="298"/>
        <v/>
      </c>
      <c r="AG448" s="32" t="str">
        <f t="shared" si="299"/>
        <v/>
      </c>
      <c r="AH448" s="32" t="str">
        <f t="shared" si="300"/>
        <v/>
      </c>
      <c r="AI448" s="35" t="str">
        <f t="shared" si="301"/>
        <v/>
      </c>
      <c r="AJ448" s="23" t="str">
        <f t="array" ref="AJ448">IFERROR(SMALL(IF(U$1:U$1000="BEGIN",ROW(U$1:U$1000)),ROW()-3),"")</f>
        <v/>
      </c>
      <c r="AK448" s="23" t="str">
        <f t="array" ref="AK448">IFERROR(SMALL(IF(V$1:V$1000="END",ROW(V$1:V$1000)),ROW()-3),"")</f>
        <v/>
      </c>
      <c r="AL448" s="24" t="str">
        <f t="array" ref="AL448">IF(AK448="","",MATCH(AM448,L:L,0))</f>
        <v/>
      </c>
      <c r="AM448" s="35">
        <f t="array" ref="AM448">MAX(IF((B$4:B$1000&lt;=AK448)*(B$4:B$1000&gt;=AJ448),L$4:L$1000, ""))</f>
        <v>0</v>
      </c>
      <c r="AN448" s="32" t="str">
        <f t="shared" si="308"/>
        <v/>
      </c>
      <c r="AO448" s="32" t="str">
        <f t="shared" si="309"/>
        <v/>
      </c>
      <c r="AP448" s="32" t="str">
        <f t="shared" si="310"/>
        <v/>
      </c>
      <c r="AQ448" s="32" t="str">
        <f t="shared" si="311"/>
        <v/>
      </c>
      <c r="AR448" s="32" t="str">
        <f t="shared" si="312"/>
        <v/>
      </c>
      <c r="AS448" s="32" t="str">
        <f t="shared" si="313"/>
        <v/>
      </c>
      <c r="AT448" s="32" t="str">
        <f t="shared" si="314"/>
        <v/>
      </c>
      <c r="AU448" s="34" t="str">
        <f t="shared" si="315"/>
        <v/>
      </c>
      <c r="AV448" s="32" t="str">
        <f t="shared" si="316"/>
        <v/>
      </c>
      <c r="AW448" s="32" t="str">
        <f t="shared" si="317"/>
        <v/>
      </c>
      <c r="AX448" s="32" t="str">
        <f t="shared" si="318"/>
        <v/>
      </c>
      <c r="AY448" s="32" t="str">
        <f t="shared" si="319"/>
        <v/>
      </c>
    </row>
    <row r="449" spans="1:51" x14ac:dyDescent="0.25">
      <c r="A449" s="24" t="str">
        <f t="shared" si="277"/>
        <v/>
      </c>
      <c r="B449" s="24" t="str">
        <f t="shared" si="287"/>
        <v/>
      </c>
      <c r="C449" s="32" t="str">
        <f t="shared" si="278"/>
        <v/>
      </c>
      <c r="D449" s="24" t="str">
        <f t="shared" si="279"/>
        <v/>
      </c>
      <c r="E449" s="24" t="str">
        <f t="shared" si="280"/>
        <v/>
      </c>
      <c r="F449" s="32" t="str">
        <f t="shared" si="281"/>
        <v/>
      </c>
      <c r="G449" s="32" t="str">
        <f t="shared" si="282"/>
        <v/>
      </c>
      <c r="H449" s="32" t="str">
        <f t="shared" ca="1" si="283"/>
        <v/>
      </c>
      <c r="I449" s="32" t="str">
        <f t="shared" ca="1" si="288"/>
        <v/>
      </c>
      <c r="J449" s="32" t="str">
        <f t="shared" si="284"/>
        <v/>
      </c>
      <c r="K449" s="32" t="str">
        <f>IF(ISNUMBER(A449),Profile!$V$25+Profile!$V$24*'Ri-Po'!C449,"")</f>
        <v/>
      </c>
      <c r="L449" s="32" t="str">
        <f t="shared" si="289"/>
        <v/>
      </c>
      <c r="M449" s="32" t="str">
        <f t="shared" si="285"/>
        <v/>
      </c>
      <c r="N449" s="32" t="str">
        <f t="shared" si="286"/>
        <v/>
      </c>
      <c r="O449" s="32" t="str">
        <f t="shared" si="302"/>
        <v/>
      </c>
      <c r="P449" s="32" t="str">
        <f t="shared" si="290"/>
        <v/>
      </c>
      <c r="Q449" s="32" t="str">
        <f t="shared" si="291"/>
        <v/>
      </c>
      <c r="R449" s="32" t="str">
        <f t="shared" si="303"/>
        <v/>
      </c>
      <c r="S449" s="24" t="str">
        <f t="shared" si="304"/>
        <v/>
      </c>
      <c r="T449" s="24" t="str">
        <f t="shared" si="305"/>
        <v/>
      </c>
      <c r="U449" s="24" t="str">
        <f t="shared" si="306"/>
        <v/>
      </c>
      <c r="V449" s="24" t="str">
        <f t="shared" si="307"/>
        <v/>
      </c>
      <c r="W449" s="23" t="str">
        <f t="array" ref="W449">IFERROR(SMALL(IF(S$1:S$1000="BEGIN",ROW(S$1:S$1000)),ROW()-3),"")</f>
        <v/>
      </c>
      <c r="X449" s="23" t="str">
        <f t="array" ref="X449">IFERROR(SMALL(IF(T$1:T$1000="END",ROW(T$1:T$1000)),ROW()-3),"")</f>
        <v/>
      </c>
      <c r="Y449" s="33" t="str">
        <f t="array" ref="Y449">IF(ISNUMBER(W449),MAX(IF((B$4:B$1000&lt;=X449)*(B$4:B$1000&gt;=W449),I$4:I$1000, "")),"")</f>
        <v/>
      </c>
      <c r="Z449" s="33" t="str">
        <f t="shared" si="292"/>
        <v/>
      </c>
      <c r="AA449" s="32" t="str">
        <f t="shared" si="293"/>
        <v/>
      </c>
      <c r="AB449" s="32" t="str">
        <f t="shared" si="294"/>
        <v/>
      </c>
      <c r="AC449" s="32" t="str">
        <f t="shared" si="295"/>
        <v/>
      </c>
      <c r="AD449" s="32" t="str">
        <f t="shared" si="296"/>
        <v/>
      </c>
      <c r="AE449" s="34" t="str">
        <f t="shared" si="297"/>
        <v/>
      </c>
      <c r="AF449" s="32" t="str">
        <f t="shared" si="298"/>
        <v/>
      </c>
      <c r="AG449" s="32" t="str">
        <f t="shared" si="299"/>
        <v/>
      </c>
      <c r="AH449" s="32" t="str">
        <f t="shared" si="300"/>
        <v/>
      </c>
      <c r="AI449" s="35" t="str">
        <f t="shared" si="301"/>
        <v/>
      </c>
      <c r="AJ449" s="23" t="str">
        <f t="array" ref="AJ449">IFERROR(SMALL(IF(U$1:U$1000="BEGIN",ROW(U$1:U$1000)),ROW()-3),"")</f>
        <v/>
      </c>
      <c r="AK449" s="23" t="str">
        <f t="array" ref="AK449">IFERROR(SMALL(IF(V$1:V$1000="END",ROW(V$1:V$1000)),ROW()-3),"")</f>
        <v/>
      </c>
      <c r="AL449" s="24" t="str">
        <f t="array" ref="AL449">IF(AK449="","",MATCH(AM449,L:L,0))</f>
        <v/>
      </c>
      <c r="AM449" s="35">
        <f t="array" ref="AM449">MAX(IF((B$4:B$1000&lt;=AK449)*(B$4:B$1000&gt;=AJ449),L$4:L$1000, ""))</f>
        <v>0</v>
      </c>
      <c r="AN449" s="32" t="str">
        <f t="shared" si="308"/>
        <v/>
      </c>
      <c r="AO449" s="32" t="str">
        <f t="shared" si="309"/>
        <v/>
      </c>
      <c r="AP449" s="32" t="str">
        <f t="shared" si="310"/>
        <v/>
      </c>
      <c r="AQ449" s="32" t="str">
        <f t="shared" si="311"/>
        <v/>
      </c>
      <c r="AR449" s="32" t="str">
        <f t="shared" si="312"/>
        <v/>
      </c>
      <c r="AS449" s="32" t="str">
        <f t="shared" si="313"/>
        <v/>
      </c>
      <c r="AT449" s="32" t="str">
        <f t="shared" si="314"/>
        <v/>
      </c>
      <c r="AU449" s="34" t="str">
        <f t="shared" si="315"/>
        <v/>
      </c>
      <c r="AV449" s="32" t="str">
        <f t="shared" si="316"/>
        <v/>
      </c>
      <c r="AW449" s="32" t="str">
        <f t="shared" si="317"/>
        <v/>
      </c>
      <c r="AX449" s="32" t="str">
        <f t="shared" si="318"/>
        <v/>
      </c>
      <c r="AY449" s="32" t="str">
        <f t="shared" si="319"/>
        <v/>
      </c>
    </row>
    <row r="450" spans="1:51" x14ac:dyDescent="0.25">
      <c r="A450" s="24" t="str">
        <f t="shared" si="277"/>
        <v/>
      </c>
      <c r="B450" s="24" t="str">
        <f t="shared" si="287"/>
        <v/>
      </c>
      <c r="C450" s="32" t="str">
        <f t="shared" si="278"/>
        <v/>
      </c>
      <c r="D450" s="24" t="str">
        <f t="shared" si="279"/>
        <v/>
      </c>
      <c r="E450" s="24" t="str">
        <f t="shared" si="280"/>
        <v/>
      </c>
      <c r="F450" s="32" t="str">
        <f t="shared" si="281"/>
        <v/>
      </c>
      <c r="G450" s="32" t="str">
        <f t="shared" si="282"/>
        <v/>
      </c>
      <c r="H450" s="32" t="str">
        <f t="shared" ca="1" si="283"/>
        <v/>
      </c>
      <c r="I450" s="32" t="str">
        <f t="shared" ca="1" si="288"/>
        <v/>
      </c>
      <c r="J450" s="32" t="str">
        <f t="shared" si="284"/>
        <v/>
      </c>
      <c r="K450" s="32" t="str">
        <f>IF(ISNUMBER(A450),Profile!$V$25+Profile!$V$24*'Ri-Po'!C450,"")</f>
        <v/>
      </c>
      <c r="L450" s="32" t="str">
        <f t="shared" si="289"/>
        <v/>
      </c>
      <c r="M450" s="32" t="str">
        <f t="shared" si="285"/>
        <v/>
      </c>
      <c r="N450" s="32" t="str">
        <f t="shared" si="286"/>
        <v/>
      </c>
      <c r="O450" s="32" t="str">
        <f t="shared" si="302"/>
        <v/>
      </c>
      <c r="P450" s="32" t="str">
        <f t="shared" si="290"/>
        <v/>
      </c>
      <c r="Q450" s="32" t="str">
        <f t="shared" si="291"/>
        <v/>
      </c>
      <c r="R450" s="32" t="str">
        <f t="shared" si="303"/>
        <v/>
      </c>
      <c r="S450" s="24" t="str">
        <f t="shared" si="304"/>
        <v/>
      </c>
      <c r="T450" s="24" t="str">
        <f t="shared" si="305"/>
        <v/>
      </c>
      <c r="U450" s="24" t="str">
        <f t="shared" si="306"/>
        <v/>
      </c>
      <c r="V450" s="24" t="str">
        <f t="shared" si="307"/>
        <v/>
      </c>
      <c r="W450" s="23" t="str">
        <f t="array" ref="W450">IFERROR(SMALL(IF(S$1:S$1000="BEGIN",ROW(S$1:S$1000)),ROW()-3),"")</f>
        <v/>
      </c>
      <c r="X450" s="23" t="str">
        <f t="array" ref="X450">IFERROR(SMALL(IF(T$1:T$1000="END",ROW(T$1:T$1000)),ROW()-3),"")</f>
        <v/>
      </c>
      <c r="Y450" s="33" t="str">
        <f t="array" ref="Y450">IF(ISNUMBER(W450),MAX(IF((B$4:B$1000&lt;=X450)*(B$4:B$1000&gt;=W450),I$4:I$1000, "")),"")</f>
        <v/>
      </c>
      <c r="Z450" s="33" t="str">
        <f t="shared" si="292"/>
        <v/>
      </c>
      <c r="AA450" s="32" t="str">
        <f t="shared" si="293"/>
        <v/>
      </c>
      <c r="AB450" s="32" t="str">
        <f t="shared" si="294"/>
        <v/>
      </c>
      <c r="AC450" s="32" t="str">
        <f t="shared" si="295"/>
        <v/>
      </c>
      <c r="AD450" s="32" t="str">
        <f t="shared" si="296"/>
        <v/>
      </c>
      <c r="AE450" s="34" t="str">
        <f t="shared" si="297"/>
        <v/>
      </c>
      <c r="AF450" s="32" t="str">
        <f t="shared" si="298"/>
        <v/>
      </c>
      <c r="AG450" s="32" t="str">
        <f t="shared" si="299"/>
        <v/>
      </c>
      <c r="AH450" s="32" t="str">
        <f t="shared" si="300"/>
        <v/>
      </c>
      <c r="AI450" s="35" t="str">
        <f t="shared" si="301"/>
        <v/>
      </c>
      <c r="AJ450" s="23" t="str">
        <f t="array" ref="AJ450">IFERROR(SMALL(IF(U$1:U$1000="BEGIN",ROW(U$1:U$1000)),ROW()-3),"")</f>
        <v/>
      </c>
      <c r="AK450" s="23" t="str">
        <f t="array" ref="AK450">IFERROR(SMALL(IF(V$1:V$1000="END",ROW(V$1:V$1000)),ROW()-3),"")</f>
        <v/>
      </c>
      <c r="AL450" s="24" t="str">
        <f t="array" ref="AL450">IF(AK450="","",MATCH(AM450,L:L,0))</f>
        <v/>
      </c>
      <c r="AM450" s="35">
        <f t="array" ref="AM450">MAX(IF((B$4:B$1000&lt;=AK450)*(B$4:B$1000&gt;=AJ450),L$4:L$1000, ""))</f>
        <v>0</v>
      </c>
      <c r="AN450" s="32" t="str">
        <f t="shared" si="308"/>
        <v/>
      </c>
      <c r="AO450" s="32" t="str">
        <f t="shared" si="309"/>
        <v/>
      </c>
      <c r="AP450" s="32" t="str">
        <f t="shared" si="310"/>
        <v/>
      </c>
      <c r="AQ450" s="32" t="str">
        <f t="shared" si="311"/>
        <v/>
      </c>
      <c r="AR450" s="32" t="str">
        <f t="shared" si="312"/>
        <v/>
      </c>
      <c r="AS450" s="32" t="str">
        <f t="shared" si="313"/>
        <v/>
      </c>
      <c r="AT450" s="32" t="str">
        <f t="shared" si="314"/>
        <v/>
      </c>
      <c r="AU450" s="34" t="str">
        <f t="shared" si="315"/>
        <v/>
      </c>
      <c r="AV450" s="32" t="str">
        <f t="shared" si="316"/>
        <v/>
      </c>
      <c r="AW450" s="32" t="str">
        <f t="shared" si="317"/>
        <v/>
      </c>
      <c r="AX450" s="32" t="str">
        <f t="shared" si="318"/>
        <v/>
      </c>
      <c r="AY450" s="32" t="str">
        <f t="shared" si="319"/>
        <v/>
      </c>
    </row>
    <row r="451" spans="1:51" x14ac:dyDescent="0.25">
      <c r="A451" s="24" t="str">
        <f t="shared" si="277"/>
        <v/>
      </c>
      <c r="B451" s="24" t="str">
        <f t="shared" si="287"/>
        <v/>
      </c>
      <c r="C451" s="32" t="str">
        <f t="shared" si="278"/>
        <v/>
      </c>
      <c r="D451" s="24" t="str">
        <f t="shared" si="279"/>
        <v/>
      </c>
      <c r="E451" s="24" t="str">
        <f t="shared" si="280"/>
        <v/>
      </c>
      <c r="F451" s="32" t="str">
        <f t="shared" si="281"/>
        <v/>
      </c>
      <c r="G451" s="32" t="str">
        <f t="shared" si="282"/>
        <v/>
      </c>
      <c r="H451" s="32" t="str">
        <f t="shared" ca="1" si="283"/>
        <v/>
      </c>
      <c r="I451" s="32" t="str">
        <f t="shared" ca="1" si="288"/>
        <v/>
      </c>
      <c r="J451" s="32" t="str">
        <f t="shared" si="284"/>
        <v/>
      </c>
      <c r="K451" s="32" t="str">
        <f>IF(ISNUMBER(A451),Profile!$V$25+Profile!$V$24*'Ri-Po'!C451,"")</f>
        <v/>
      </c>
      <c r="L451" s="32" t="str">
        <f t="shared" si="289"/>
        <v/>
      </c>
      <c r="M451" s="32" t="str">
        <f t="shared" si="285"/>
        <v/>
      </c>
      <c r="N451" s="32" t="str">
        <f t="shared" si="286"/>
        <v/>
      </c>
      <c r="O451" s="32" t="str">
        <f t="shared" si="302"/>
        <v/>
      </c>
      <c r="P451" s="32" t="str">
        <f t="shared" si="290"/>
        <v/>
      </c>
      <c r="Q451" s="32" t="str">
        <f t="shared" si="291"/>
        <v/>
      </c>
      <c r="R451" s="32" t="str">
        <f t="shared" si="303"/>
        <v/>
      </c>
      <c r="S451" s="24" t="str">
        <f t="shared" si="304"/>
        <v/>
      </c>
      <c r="T451" s="24" t="str">
        <f t="shared" si="305"/>
        <v/>
      </c>
      <c r="U451" s="24" t="str">
        <f t="shared" si="306"/>
        <v/>
      </c>
      <c r="V451" s="24" t="str">
        <f t="shared" si="307"/>
        <v/>
      </c>
      <c r="W451" s="23" t="str">
        <f t="array" ref="W451">IFERROR(SMALL(IF(S$1:S$1000="BEGIN",ROW(S$1:S$1000)),ROW()-3),"")</f>
        <v/>
      </c>
      <c r="X451" s="23" t="str">
        <f t="array" ref="X451">IFERROR(SMALL(IF(T$1:T$1000="END",ROW(T$1:T$1000)),ROW()-3),"")</f>
        <v/>
      </c>
      <c r="Y451" s="33" t="str">
        <f t="array" ref="Y451">IF(ISNUMBER(W451),MAX(IF((B$4:B$1000&lt;=X451)*(B$4:B$1000&gt;=W451),I$4:I$1000, "")),"")</f>
        <v/>
      </c>
      <c r="Z451" s="33" t="str">
        <f t="shared" si="292"/>
        <v/>
      </c>
      <c r="AA451" s="32" t="str">
        <f t="shared" si="293"/>
        <v/>
      </c>
      <c r="AB451" s="32" t="str">
        <f t="shared" si="294"/>
        <v/>
      </c>
      <c r="AC451" s="32" t="str">
        <f t="shared" si="295"/>
        <v/>
      </c>
      <c r="AD451" s="32" t="str">
        <f t="shared" si="296"/>
        <v/>
      </c>
      <c r="AE451" s="34" t="str">
        <f t="shared" si="297"/>
        <v/>
      </c>
      <c r="AF451" s="32" t="str">
        <f t="shared" si="298"/>
        <v/>
      </c>
      <c r="AG451" s="32" t="str">
        <f t="shared" si="299"/>
        <v/>
      </c>
      <c r="AH451" s="32" t="str">
        <f t="shared" si="300"/>
        <v/>
      </c>
      <c r="AI451" s="35" t="str">
        <f t="shared" si="301"/>
        <v/>
      </c>
      <c r="AJ451" s="23" t="str">
        <f t="array" ref="AJ451">IFERROR(SMALL(IF(U$1:U$1000="BEGIN",ROW(U$1:U$1000)),ROW()-3),"")</f>
        <v/>
      </c>
      <c r="AK451" s="23" t="str">
        <f t="array" ref="AK451">IFERROR(SMALL(IF(V$1:V$1000="END",ROW(V$1:V$1000)),ROW()-3),"")</f>
        <v/>
      </c>
      <c r="AL451" s="24" t="str">
        <f t="array" ref="AL451">IF(AK451="","",MATCH(AM451,L:L,0))</f>
        <v/>
      </c>
      <c r="AM451" s="35">
        <f t="array" ref="AM451">MAX(IF((B$4:B$1000&lt;=AK451)*(B$4:B$1000&gt;=AJ451),L$4:L$1000, ""))</f>
        <v>0</v>
      </c>
      <c r="AN451" s="32" t="str">
        <f t="shared" si="308"/>
        <v/>
      </c>
      <c r="AO451" s="32" t="str">
        <f t="shared" si="309"/>
        <v/>
      </c>
      <c r="AP451" s="32" t="str">
        <f t="shared" si="310"/>
        <v/>
      </c>
      <c r="AQ451" s="32" t="str">
        <f t="shared" si="311"/>
        <v/>
      </c>
      <c r="AR451" s="32" t="str">
        <f t="shared" si="312"/>
        <v/>
      </c>
      <c r="AS451" s="32" t="str">
        <f t="shared" si="313"/>
        <v/>
      </c>
      <c r="AT451" s="32" t="str">
        <f t="shared" si="314"/>
        <v/>
      </c>
      <c r="AU451" s="34" t="str">
        <f t="shared" si="315"/>
        <v/>
      </c>
      <c r="AV451" s="32" t="str">
        <f t="shared" si="316"/>
        <v/>
      </c>
      <c r="AW451" s="32" t="str">
        <f t="shared" si="317"/>
        <v/>
      </c>
      <c r="AX451" s="32" t="str">
        <f t="shared" si="318"/>
        <v/>
      </c>
      <c r="AY451" s="32" t="str">
        <f t="shared" si="319"/>
        <v/>
      </c>
    </row>
    <row r="452" spans="1:51" x14ac:dyDescent="0.25">
      <c r="A452" s="24" t="str">
        <f t="shared" ref="A452:A515" si="320">IF(NOT(ISBLANK(INDEX(currentNUM,ROW(A449)))),INDEX(currentNUM,ROW(A449)),"")</f>
        <v/>
      </c>
      <c r="B452" s="24" t="str">
        <f t="shared" si="287"/>
        <v/>
      </c>
      <c r="C452" s="32" t="str">
        <f t="shared" ref="C452:C515" si="321">IF(NOT(A452=""),INDEX(currentSTATION,ROW(C449)),"")</f>
        <v/>
      </c>
      <c r="D452" s="24" t="str">
        <f t="shared" ref="D452:D515" si="322">IF(NOT(ISBLANK(INDEX(currentDESC,ROW(D449)))),INDEX(currentDESC,ROW(D449)),"")</f>
        <v/>
      </c>
      <c r="E452" s="24" t="str">
        <f t="shared" ref="E452:E515" si="323">IF(NOT(ISBLANK(INDEX(currentCMORPH,ROW(E449)))),INDEX(currentCMORPH,ROW(E449)),"")</f>
        <v/>
      </c>
      <c r="F452" s="32" t="str">
        <f t="shared" ref="F452:F515" si="324">IF(NOT(ISBLANK(INDEX(currentTHW,ROW(F449)))),INDEX(currentTHW,ROW(F449)),"")</f>
        <v/>
      </c>
      <c r="G452" s="32" t="str">
        <f t="shared" ref="G452:G515" si="325">IF(NOT(ISBLANK(INDEX(currentWS,ROW(G449)))),INDEX(currentWS,ROW(G449)),"")</f>
        <v/>
      </c>
      <c r="H452" s="32" t="str">
        <f t="shared" ref="H452:H515" ca="1" si="326">IF(NOT(OR(ISBLANK(INDEX(currentINTERPWS,ROW(H449))),INDEX(currentINTERPWS,ROW(H449))=0)),INDEX(currentINTERPWS,ROW(H449)),"")</f>
        <v/>
      </c>
      <c r="I452" s="32" t="str">
        <f t="shared" ca="1" si="288"/>
        <v/>
      </c>
      <c r="J452" s="32" t="str">
        <f t="shared" ref="J452:J515" si="327">IF(NOT(ISBLANK(INDEX(currentBKF,ROW(G449)))),INDEX(currentBKF,ROW(G449)),"")</f>
        <v/>
      </c>
      <c r="K452" s="32" t="str">
        <f>IF(ISNUMBER(A452),Profile!$V$25+Profile!$V$24*'Ri-Po'!C452,"")</f>
        <v/>
      </c>
      <c r="L452" s="32" t="str">
        <f t="shared" si="289"/>
        <v/>
      </c>
      <c r="M452" s="32" t="str">
        <f t="shared" ref="M452:M515" si="328">IF(NOT(ISBLANK(INDEX(currentTOB,ROW(H449)))),INDEX(currentTOB,ROW(H449)),"")</f>
        <v/>
      </c>
      <c r="N452" s="32" t="str">
        <f t="shared" ref="N452:N515" si="329">IF(ISNUMBER(A452),INDEX(currentINTTOB,ROW(I449)),"")</f>
        <v/>
      </c>
      <c r="O452" s="32" t="str">
        <f t="shared" si="302"/>
        <v/>
      </c>
      <c r="P452" s="32" t="str">
        <f t="shared" si="290"/>
        <v/>
      </c>
      <c r="Q452" s="32" t="str">
        <f t="shared" si="291"/>
        <v/>
      </c>
      <c r="R452" s="32" t="str">
        <f t="shared" si="303"/>
        <v/>
      </c>
      <c r="S452" s="24" t="str">
        <f t="shared" si="304"/>
        <v/>
      </c>
      <c r="T452" s="24" t="str">
        <f t="shared" si="305"/>
        <v/>
      </c>
      <c r="U452" s="24" t="str">
        <f t="shared" si="306"/>
        <v/>
      </c>
      <c r="V452" s="24" t="str">
        <f t="shared" si="307"/>
        <v/>
      </c>
      <c r="W452" s="23" t="str">
        <f t="array" ref="W452">IFERROR(SMALL(IF(S$1:S$1000="BEGIN",ROW(S$1:S$1000)),ROW()-3),"")</f>
        <v/>
      </c>
      <c r="X452" s="23" t="str">
        <f t="array" ref="X452">IFERROR(SMALL(IF(T$1:T$1000="END",ROW(T$1:T$1000)),ROW()-3),"")</f>
        <v/>
      </c>
      <c r="Y452" s="33" t="str">
        <f t="array" ref="Y452">IF(ISNUMBER(W452),MAX(IF((B$4:B$1000&lt;=X452)*(B$4:B$1000&gt;=W452),I$4:I$1000, "")),"")</f>
        <v/>
      </c>
      <c r="Z452" s="33" t="str">
        <f t="shared" si="292"/>
        <v/>
      </c>
      <c r="AA452" s="32" t="str">
        <f t="shared" si="293"/>
        <v/>
      </c>
      <c r="AB452" s="32" t="str">
        <f t="shared" si="294"/>
        <v/>
      </c>
      <c r="AC452" s="32" t="str">
        <f t="shared" si="295"/>
        <v/>
      </c>
      <c r="AD452" s="32" t="str">
        <f t="shared" si="296"/>
        <v/>
      </c>
      <c r="AE452" s="34" t="str">
        <f t="shared" si="297"/>
        <v/>
      </c>
      <c r="AF452" s="32" t="str">
        <f t="shared" si="298"/>
        <v/>
      </c>
      <c r="AG452" s="32" t="str">
        <f t="shared" si="299"/>
        <v/>
      </c>
      <c r="AH452" s="32" t="str">
        <f t="shared" si="300"/>
        <v/>
      </c>
      <c r="AI452" s="35" t="str">
        <f t="shared" si="301"/>
        <v/>
      </c>
      <c r="AJ452" s="23" t="str">
        <f t="array" ref="AJ452">IFERROR(SMALL(IF(U$1:U$1000="BEGIN",ROW(U$1:U$1000)),ROW()-3),"")</f>
        <v/>
      </c>
      <c r="AK452" s="23" t="str">
        <f t="array" ref="AK452">IFERROR(SMALL(IF(V$1:V$1000="END",ROW(V$1:V$1000)),ROW()-3),"")</f>
        <v/>
      </c>
      <c r="AL452" s="24" t="str">
        <f t="array" ref="AL452">IF(AK452="","",MATCH(AM452,L:L,0))</f>
        <v/>
      </c>
      <c r="AM452" s="35">
        <f t="array" ref="AM452">MAX(IF((B$4:B$1000&lt;=AK452)*(B$4:B$1000&gt;=AJ452),L$4:L$1000, ""))</f>
        <v>0</v>
      </c>
      <c r="AN452" s="32" t="str">
        <f t="shared" si="308"/>
        <v/>
      </c>
      <c r="AO452" s="32" t="str">
        <f t="shared" si="309"/>
        <v/>
      </c>
      <c r="AP452" s="32" t="str">
        <f t="shared" si="310"/>
        <v/>
      </c>
      <c r="AQ452" s="32" t="str">
        <f t="shared" si="311"/>
        <v/>
      </c>
      <c r="AR452" s="32" t="str">
        <f t="shared" si="312"/>
        <v/>
      </c>
      <c r="AS452" s="32" t="str">
        <f t="shared" si="313"/>
        <v/>
      </c>
      <c r="AT452" s="32" t="str">
        <f t="shared" si="314"/>
        <v/>
      </c>
      <c r="AU452" s="34" t="str">
        <f t="shared" si="315"/>
        <v/>
      </c>
      <c r="AV452" s="32" t="str">
        <f t="shared" si="316"/>
        <v/>
      </c>
      <c r="AW452" s="32" t="str">
        <f t="shared" si="317"/>
        <v/>
      </c>
      <c r="AX452" s="32" t="str">
        <f t="shared" si="318"/>
        <v/>
      </c>
      <c r="AY452" s="32" t="str">
        <f t="shared" si="319"/>
        <v/>
      </c>
    </row>
    <row r="453" spans="1:51" x14ac:dyDescent="0.25">
      <c r="A453" s="24" t="str">
        <f t="shared" si="320"/>
        <v/>
      </c>
      <c r="B453" s="24" t="str">
        <f t="shared" ref="B453:B516" si="330">IF(NOT(A453=""),ROW(B453),"")</f>
        <v/>
      </c>
      <c r="C453" s="32" t="str">
        <f t="shared" si="321"/>
        <v/>
      </c>
      <c r="D453" s="24" t="str">
        <f t="shared" si="322"/>
        <v/>
      </c>
      <c r="E453" s="24" t="str">
        <f t="shared" si="323"/>
        <v/>
      </c>
      <c r="F453" s="32" t="str">
        <f t="shared" si="324"/>
        <v/>
      </c>
      <c r="G453" s="32" t="str">
        <f t="shared" si="325"/>
        <v/>
      </c>
      <c r="H453" s="32" t="str">
        <f t="shared" ca="1" si="326"/>
        <v/>
      </c>
      <c r="I453" s="32" t="str">
        <f t="shared" ref="I453:I516" ca="1" si="331">IFERROR(IF(H453-F453&gt;=0,H453-F453,"NEG"),"")</f>
        <v/>
      </c>
      <c r="J453" s="32" t="str">
        <f t="shared" si="327"/>
        <v/>
      </c>
      <c r="K453" s="32" t="str">
        <f>IF(ISNUMBER(A453),Profile!$V$25+Profile!$V$24*'Ri-Po'!C453,"")</f>
        <v/>
      </c>
      <c r="L453" s="32" t="str">
        <f t="shared" ref="L453:L516" si="332">IFERROR(K453-F453,"")</f>
        <v/>
      </c>
      <c r="M453" s="32" t="str">
        <f t="shared" si="328"/>
        <v/>
      </c>
      <c r="N453" s="32" t="str">
        <f t="shared" si="329"/>
        <v/>
      </c>
      <c r="O453" s="32" t="str">
        <f t="shared" si="302"/>
        <v/>
      </c>
      <c r="P453" s="32" t="str">
        <f t="shared" ref="P453:P516" si="333">IF(ISNUMBER(A453),K453-F453,"")</f>
        <v/>
      </c>
      <c r="Q453" s="32" t="str">
        <f t="shared" ref="Q453:Q516" si="334">IF(ISNUMBER(A453),N453-F453,"")</f>
        <v/>
      </c>
      <c r="R453" s="32" t="str">
        <f t="shared" si="303"/>
        <v/>
      </c>
      <c r="S453" s="24" t="str">
        <f t="shared" si="304"/>
        <v/>
      </c>
      <c r="T453" s="24" t="str">
        <f t="shared" si="305"/>
        <v/>
      </c>
      <c r="U453" s="24" t="str">
        <f t="shared" si="306"/>
        <v/>
      </c>
      <c r="V453" s="24" t="str">
        <f t="shared" si="307"/>
        <v/>
      </c>
      <c r="W453" s="23" t="str">
        <f t="array" ref="W453">IFERROR(SMALL(IF(S$1:S$1000="BEGIN",ROW(S$1:S$1000)),ROW()-3),"")</f>
        <v/>
      </c>
      <c r="X453" s="23" t="str">
        <f t="array" ref="X453">IFERROR(SMALL(IF(T$1:T$1000="END",ROW(T$1:T$1000)),ROW()-3),"")</f>
        <v/>
      </c>
      <c r="Y453" s="33" t="str">
        <f t="array" ref="Y453">IF(ISNUMBER(W453),MAX(IF((B$4:B$1000&lt;=X453)*(B$4:B$1000&gt;=W453),I$4:I$1000, "")),"")</f>
        <v/>
      </c>
      <c r="Z453" s="33" t="str">
        <f t="shared" ref="Z453:Z516" si="335">IFERROR(INDEX(C:C,W453),"")</f>
        <v/>
      </c>
      <c r="AA453" s="32" t="str">
        <f t="shared" ref="AA453:AA516" si="336">IFERROR(INDEX(C:C,X453),"")</f>
        <v/>
      </c>
      <c r="AB453" s="32" t="str">
        <f t="shared" ref="AB453:AB516" si="337">IFERROR(AA453-Z453,"")</f>
        <v/>
      </c>
      <c r="AC453" s="32" t="str">
        <f t="shared" ref="AC453:AC516" si="338">IFERROR(INDEX(H:H,W453),"")</f>
        <v/>
      </c>
      <c r="AD453" s="32" t="str">
        <f t="shared" ref="AD453:AD516" si="339">IFERROR(INDEX(H:H,X453),"")</f>
        <v/>
      </c>
      <c r="AE453" s="34" t="str">
        <f t="shared" ref="AE453:AE516" si="340">IFERROR((AC453-AD453)/(AB453),"")</f>
        <v/>
      </c>
      <c r="AF453" s="32" t="str">
        <f t="shared" ref="AF453:AF516" si="341">IF(ISNUMBER(Z453),INDEX($Q$1:$Q$1000,W453),"")</f>
        <v/>
      </c>
      <c r="AG453" s="32" t="str">
        <f t="shared" ref="AG453:AG516" si="342">IF(ISNUMBER(Z453),INDEX($P$1:$P$1000,W453),"")</f>
        <v/>
      </c>
      <c r="AH453" s="32" t="str">
        <f t="shared" ref="AH453:AH516" si="343">IF(ISNUMBER(Z453),AF453/AG453,"")</f>
        <v/>
      </c>
      <c r="AI453" s="35" t="str">
        <f t="shared" ref="AI453:AI516" si="344">IFERROR(AE453/BB$19,"")</f>
        <v/>
      </c>
      <c r="AJ453" s="23" t="str">
        <f t="array" ref="AJ453">IFERROR(SMALL(IF(U$1:U$1000="BEGIN",ROW(U$1:U$1000)),ROW()-3),"")</f>
        <v/>
      </c>
      <c r="AK453" s="23" t="str">
        <f t="array" ref="AK453">IFERROR(SMALL(IF(V$1:V$1000="END",ROW(V$1:V$1000)),ROW()-3),"")</f>
        <v/>
      </c>
      <c r="AL453" s="24" t="str">
        <f t="array" ref="AL453">IF(AK453="","",MATCH(AM453,L:L,0))</f>
        <v/>
      </c>
      <c r="AM453" s="35">
        <f t="array" ref="AM453">MAX(IF((B$4:B$1000&lt;=AK453)*(B$4:B$1000&gt;=AJ453),L$4:L$1000, ""))</f>
        <v>0</v>
      </c>
      <c r="AN453" s="32" t="str">
        <f t="shared" si="308"/>
        <v/>
      </c>
      <c r="AO453" s="32" t="str">
        <f t="shared" si="309"/>
        <v/>
      </c>
      <c r="AP453" s="32" t="str">
        <f t="shared" si="310"/>
        <v/>
      </c>
      <c r="AQ453" s="32" t="str">
        <f t="shared" si="311"/>
        <v/>
      </c>
      <c r="AR453" s="32" t="str">
        <f t="shared" si="312"/>
        <v/>
      </c>
      <c r="AS453" s="32" t="str">
        <f t="shared" si="313"/>
        <v/>
      </c>
      <c r="AT453" s="32" t="str">
        <f t="shared" si="314"/>
        <v/>
      </c>
      <c r="AU453" s="34" t="str">
        <f t="shared" si="315"/>
        <v/>
      </c>
      <c r="AV453" s="32" t="str">
        <f t="shared" si="316"/>
        <v/>
      </c>
      <c r="AW453" s="32" t="str">
        <f t="shared" si="317"/>
        <v/>
      </c>
      <c r="AX453" s="32" t="str">
        <f t="shared" si="318"/>
        <v/>
      </c>
      <c r="AY453" s="32" t="str">
        <f t="shared" si="319"/>
        <v/>
      </c>
    </row>
    <row r="454" spans="1:51" x14ac:dyDescent="0.25">
      <c r="A454" s="24" t="str">
        <f t="shared" si="320"/>
        <v/>
      </c>
      <c r="B454" s="24" t="str">
        <f t="shared" si="330"/>
        <v/>
      </c>
      <c r="C454" s="32" t="str">
        <f t="shared" si="321"/>
        <v/>
      </c>
      <c r="D454" s="24" t="str">
        <f t="shared" si="322"/>
        <v/>
      </c>
      <c r="E454" s="24" t="str">
        <f t="shared" si="323"/>
        <v/>
      </c>
      <c r="F454" s="32" t="str">
        <f t="shared" si="324"/>
        <v/>
      </c>
      <c r="G454" s="32" t="str">
        <f t="shared" si="325"/>
        <v/>
      </c>
      <c r="H454" s="32" t="str">
        <f t="shared" ca="1" si="326"/>
        <v/>
      </c>
      <c r="I454" s="32" t="str">
        <f t="shared" ca="1" si="331"/>
        <v/>
      </c>
      <c r="J454" s="32" t="str">
        <f t="shared" si="327"/>
        <v/>
      </c>
      <c r="K454" s="32" t="str">
        <f>IF(ISNUMBER(A454),Profile!$V$25+Profile!$V$24*'Ri-Po'!C454,"")</f>
        <v/>
      </c>
      <c r="L454" s="32" t="str">
        <f t="shared" si="332"/>
        <v/>
      </c>
      <c r="M454" s="32" t="str">
        <f t="shared" si="328"/>
        <v/>
      </c>
      <c r="N454" s="32" t="str">
        <f t="shared" si="329"/>
        <v/>
      </c>
      <c r="O454" s="32" t="str">
        <f t="shared" ref="O454:O517" si="345">IF(AND(ISNUMBER(G454),ISNUMBER(J454)),J454-G454,"")</f>
        <v/>
      </c>
      <c r="P454" s="32" t="str">
        <f t="shared" si="333"/>
        <v/>
      </c>
      <c r="Q454" s="32" t="str">
        <f t="shared" si="334"/>
        <v/>
      </c>
      <c r="R454" s="32" t="str">
        <f t="shared" ref="R454:R517" si="346">IF(ISNUMBER(Q454),Q454/P454,"")</f>
        <v/>
      </c>
      <c r="S454" s="24" t="str">
        <f t="shared" ref="S454:S517" si="347">IF(ISNUMBER(SEARCH("bri",E454)),"BEGIN","")</f>
        <v/>
      </c>
      <c r="T454" s="24" t="str">
        <f t="shared" ref="T454:T517" si="348">IF(ISNUMBER(SEARCH("eri",E454)),"END","")</f>
        <v/>
      </c>
      <c r="U454" s="24" t="str">
        <f t="shared" ref="U454:U517" si="349">IF(ISNUMBER(SEARCH("bpo",E454)),"BEGIN","")</f>
        <v/>
      </c>
      <c r="V454" s="24" t="str">
        <f t="shared" ref="V454:V517" si="350">IF(ISNUMBER(SEARCH("epo",E454)),"END","")</f>
        <v/>
      </c>
      <c r="W454" s="23" t="str">
        <f t="array" ref="W454">IFERROR(SMALL(IF(S$1:S$1000="BEGIN",ROW(S$1:S$1000)),ROW()-3),"")</f>
        <v/>
      </c>
      <c r="X454" s="23" t="str">
        <f t="array" ref="X454">IFERROR(SMALL(IF(T$1:T$1000="END",ROW(T$1:T$1000)),ROW()-3),"")</f>
        <v/>
      </c>
      <c r="Y454" s="33" t="str">
        <f t="array" ref="Y454">IF(ISNUMBER(W454),MAX(IF((B$4:B$1000&lt;=X454)*(B$4:B$1000&gt;=W454),I$4:I$1000, "")),"")</f>
        <v/>
      </c>
      <c r="Z454" s="33" t="str">
        <f t="shared" si="335"/>
        <v/>
      </c>
      <c r="AA454" s="32" t="str">
        <f t="shared" si="336"/>
        <v/>
      </c>
      <c r="AB454" s="32" t="str">
        <f t="shared" si="337"/>
        <v/>
      </c>
      <c r="AC454" s="32" t="str">
        <f t="shared" si="338"/>
        <v/>
      </c>
      <c r="AD454" s="32" t="str">
        <f t="shared" si="339"/>
        <v/>
      </c>
      <c r="AE454" s="34" t="str">
        <f t="shared" si="340"/>
        <v/>
      </c>
      <c r="AF454" s="32" t="str">
        <f t="shared" si="341"/>
        <v/>
      </c>
      <c r="AG454" s="32" t="str">
        <f t="shared" si="342"/>
        <v/>
      </c>
      <c r="AH454" s="32" t="str">
        <f t="shared" si="343"/>
        <v/>
      </c>
      <c r="AI454" s="35" t="str">
        <f t="shared" si="344"/>
        <v/>
      </c>
      <c r="AJ454" s="23" t="str">
        <f t="array" ref="AJ454">IFERROR(SMALL(IF(U$1:U$1000="BEGIN",ROW(U$1:U$1000)),ROW()-3),"")</f>
        <v/>
      </c>
      <c r="AK454" s="23" t="str">
        <f t="array" ref="AK454">IFERROR(SMALL(IF(V$1:V$1000="END",ROW(V$1:V$1000)),ROW()-3),"")</f>
        <v/>
      </c>
      <c r="AL454" s="24" t="str">
        <f t="array" ref="AL454">IF(AK454="","",MATCH(AM454,L:L,0))</f>
        <v/>
      </c>
      <c r="AM454" s="35">
        <f t="array" ref="AM454">MAX(IF((B$4:B$1000&lt;=AK454)*(B$4:B$1000&gt;=AJ454),L$4:L$1000, ""))</f>
        <v>0</v>
      </c>
      <c r="AN454" s="32" t="str">
        <f t="shared" si="308"/>
        <v/>
      </c>
      <c r="AO454" s="32" t="str">
        <f t="shared" si="309"/>
        <v/>
      </c>
      <c r="AP454" s="32" t="str">
        <f t="shared" si="310"/>
        <v/>
      </c>
      <c r="AQ454" s="32" t="str">
        <f t="shared" si="311"/>
        <v/>
      </c>
      <c r="AR454" s="32" t="str">
        <f t="shared" si="312"/>
        <v/>
      </c>
      <c r="AS454" s="32" t="str">
        <f t="shared" si="313"/>
        <v/>
      </c>
      <c r="AT454" s="32" t="str">
        <f t="shared" si="314"/>
        <v/>
      </c>
      <c r="AU454" s="34" t="str">
        <f t="shared" si="315"/>
        <v/>
      </c>
      <c r="AV454" s="32" t="str">
        <f t="shared" si="316"/>
        <v/>
      </c>
      <c r="AW454" s="32" t="str">
        <f t="shared" si="317"/>
        <v/>
      </c>
      <c r="AX454" s="32" t="str">
        <f t="shared" si="318"/>
        <v/>
      </c>
      <c r="AY454" s="32" t="str">
        <f t="shared" si="319"/>
        <v/>
      </c>
    </row>
    <row r="455" spans="1:51" x14ac:dyDescent="0.25">
      <c r="A455" s="24" t="str">
        <f t="shared" si="320"/>
        <v/>
      </c>
      <c r="B455" s="24" t="str">
        <f t="shared" si="330"/>
        <v/>
      </c>
      <c r="C455" s="32" t="str">
        <f t="shared" si="321"/>
        <v/>
      </c>
      <c r="D455" s="24" t="str">
        <f t="shared" si="322"/>
        <v/>
      </c>
      <c r="E455" s="24" t="str">
        <f t="shared" si="323"/>
        <v/>
      </c>
      <c r="F455" s="32" t="str">
        <f t="shared" si="324"/>
        <v/>
      </c>
      <c r="G455" s="32" t="str">
        <f t="shared" si="325"/>
        <v/>
      </c>
      <c r="H455" s="32" t="str">
        <f t="shared" ca="1" si="326"/>
        <v/>
      </c>
      <c r="I455" s="32" t="str">
        <f t="shared" ca="1" si="331"/>
        <v/>
      </c>
      <c r="J455" s="32" t="str">
        <f t="shared" si="327"/>
        <v/>
      </c>
      <c r="K455" s="32" t="str">
        <f>IF(ISNUMBER(A455),Profile!$V$25+Profile!$V$24*'Ri-Po'!C455,"")</f>
        <v/>
      </c>
      <c r="L455" s="32" t="str">
        <f t="shared" si="332"/>
        <v/>
      </c>
      <c r="M455" s="32" t="str">
        <f t="shared" si="328"/>
        <v/>
      </c>
      <c r="N455" s="32" t="str">
        <f t="shared" si="329"/>
        <v/>
      </c>
      <c r="O455" s="32" t="str">
        <f t="shared" si="345"/>
        <v/>
      </c>
      <c r="P455" s="32" t="str">
        <f t="shared" si="333"/>
        <v/>
      </c>
      <c r="Q455" s="32" t="str">
        <f t="shared" si="334"/>
        <v/>
      </c>
      <c r="R455" s="32" t="str">
        <f t="shared" si="346"/>
        <v/>
      </c>
      <c r="S455" s="24" t="str">
        <f t="shared" si="347"/>
        <v/>
      </c>
      <c r="T455" s="24" t="str">
        <f t="shared" si="348"/>
        <v/>
      </c>
      <c r="U455" s="24" t="str">
        <f t="shared" si="349"/>
        <v/>
      </c>
      <c r="V455" s="24" t="str">
        <f t="shared" si="350"/>
        <v/>
      </c>
      <c r="W455" s="23" t="str">
        <f t="array" ref="W455">IFERROR(SMALL(IF(S$1:S$1000="BEGIN",ROW(S$1:S$1000)),ROW()-3),"")</f>
        <v/>
      </c>
      <c r="X455" s="23" t="str">
        <f t="array" ref="X455">IFERROR(SMALL(IF(T$1:T$1000="END",ROW(T$1:T$1000)),ROW()-3),"")</f>
        <v/>
      </c>
      <c r="Y455" s="33" t="str">
        <f t="array" ref="Y455">IF(ISNUMBER(W455),MAX(IF((B$4:B$1000&lt;=X455)*(B$4:B$1000&gt;=W455),I$4:I$1000, "")),"")</f>
        <v/>
      </c>
      <c r="Z455" s="33" t="str">
        <f t="shared" si="335"/>
        <v/>
      </c>
      <c r="AA455" s="32" t="str">
        <f t="shared" si="336"/>
        <v/>
      </c>
      <c r="AB455" s="32" t="str">
        <f t="shared" si="337"/>
        <v/>
      </c>
      <c r="AC455" s="32" t="str">
        <f t="shared" si="338"/>
        <v/>
      </c>
      <c r="AD455" s="32" t="str">
        <f t="shared" si="339"/>
        <v/>
      </c>
      <c r="AE455" s="34" t="str">
        <f t="shared" si="340"/>
        <v/>
      </c>
      <c r="AF455" s="32" t="str">
        <f t="shared" si="341"/>
        <v/>
      </c>
      <c r="AG455" s="32" t="str">
        <f t="shared" si="342"/>
        <v/>
      </c>
      <c r="AH455" s="32" t="str">
        <f t="shared" si="343"/>
        <v/>
      </c>
      <c r="AI455" s="35" t="str">
        <f t="shared" si="344"/>
        <v/>
      </c>
      <c r="AJ455" s="23" t="str">
        <f t="array" ref="AJ455">IFERROR(SMALL(IF(U$1:U$1000="BEGIN",ROW(U$1:U$1000)),ROW()-3),"")</f>
        <v/>
      </c>
      <c r="AK455" s="23" t="str">
        <f t="array" ref="AK455">IFERROR(SMALL(IF(V$1:V$1000="END",ROW(V$1:V$1000)),ROW()-3),"")</f>
        <v/>
      </c>
      <c r="AL455" s="24" t="str">
        <f t="array" ref="AL455">IF(AK455="","",MATCH(AM455,L:L,0))</f>
        <v/>
      </c>
      <c r="AM455" s="35">
        <f t="array" ref="AM455">MAX(IF((B$4:B$1000&lt;=AK455)*(B$4:B$1000&gt;=AJ455),L$4:L$1000, ""))</f>
        <v>0</v>
      </c>
      <c r="AN455" s="32" t="str">
        <f t="shared" si="308"/>
        <v/>
      </c>
      <c r="AO455" s="32" t="str">
        <f t="shared" si="309"/>
        <v/>
      </c>
      <c r="AP455" s="32" t="str">
        <f t="shared" si="310"/>
        <v/>
      </c>
      <c r="AQ455" s="32" t="str">
        <f t="shared" si="311"/>
        <v/>
      </c>
      <c r="AR455" s="32" t="str">
        <f t="shared" si="312"/>
        <v/>
      </c>
      <c r="AS455" s="32" t="str">
        <f t="shared" si="313"/>
        <v/>
      </c>
      <c r="AT455" s="32" t="str">
        <f t="shared" si="314"/>
        <v/>
      </c>
      <c r="AU455" s="34" t="str">
        <f t="shared" si="315"/>
        <v/>
      </c>
      <c r="AV455" s="32" t="str">
        <f t="shared" si="316"/>
        <v/>
      </c>
      <c r="AW455" s="32" t="str">
        <f t="shared" si="317"/>
        <v/>
      </c>
      <c r="AX455" s="32" t="str">
        <f t="shared" si="318"/>
        <v/>
      </c>
      <c r="AY455" s="32" t="str">
        <f t="shared" si="319"/>
        <v/>
      </c>
    </row>
    <row r="456" spans="1:51" x14ac:dyDescent="0.25">
      <c r="A456" s="24" t="str">
        <f t="shared" si="320"/>
        <v/>
      </c>
      <c r="B456" s="24" t="str">
        <f t="shared" si="330"/>
        <v/>
      </c>
      <c r="C456" s="32" t="str">
        <f t="shared" si="321"/>
        <v/>
      </c>
      <c r="D456" s="24" t="str">
        <f t="shared" si="322"/>
        <v/>
      </c>
      <c r="E456" s="24" t="str">
        <f t="shared" si="323"/>
        <v/>
      </c>
      <c r="F456" s="32" t="str">
        <f t="shared" si="324"/>
        <v/>
      </c>
      <c r="G456" s="32" t="str">
        <f t="shared" si="325"/>
        <v/>
      </c>
      <c r="H456" s="32" t="str">
        <f t="shared" ca="1" si="326"/>
        <v/>
      </c>
      <c r="I456" s="32" t="str">
        <f t="shared" ca="1" si="331"/>
        <v/>
      </c>
      <c r="J456" s="32" t="str">
        <f t="shared" si="327"/>
        <v/>
      </c>
      <c r="K456" s="32" t="str">
        <f>IF(ISNUMBER(A456),Profile!$V$25+Profile!$V$24*'Ri-Po'!C456,"")</f>
        <v/>
      </c>
      <c r="L456" s="32" t="str">
        <f t="shared" si="332"/>
        <v/>
      </c>
      <c r="M456" s="32" t="str">
        <f t="shared" si="328"/>
        <v/>
      </c>
      <c r="N456" s="32" t="str">
        <f t="shared" si="329"/>
        <v/>
      </c>
      <c r="O456" s="32" t="str">
        <f t="shared" si="345"/>
        <v/>
      </c>
      <c r="P456" s="32" t="str">
        <f t="shared" si="333"/>
        <v/>
      </c>
      <c r="Q456" s="32" t="str">
        <f t="shared" si="334"/>
        <v/>
      </c>
      <c r="R456" s="32" t="str">
        <f t="shared" si="346"/>
        <v/>
      </c>
      <c r="S456" s="24" t="str">
        <f t="shared" si="347"/>
        <v/>
      </c>
      <c r="T456" s="24" t="str">
        <f t="shared" si="348"/>
        <v/>
      </c>
      <c r="U456" s="24" t="str">
        <f t="shared" si="349"/>
        <v/>
      </c>
      <c r="V456" s="24" t="str">
        <f t="shared" si="350"/>
        <v/>
      </c>
      <c r="W456" s="23" t="str">
        <f t="array" ref="W456">IFERROR(SMALL(IF(S$1:S$1000="BEGIN",ROW(S$1:S$1000)),ROW()-3),"")</f>
        <v/>
      </c>
      <c r="X456" s="23" t="str">
        <f t="array" ref="X456">IFERROR(SMALL(IF(T$1:T$1000="END",ROW(T$1:T$1000)),ROW()-3),"")</f>
        <v/>
      </c>
      <c r="Y456" s="33" t="str">
        <f t="array" ref="Y456">IF(ISNUMBER(W456),MAX(IF((B$4:B$1000&lt;=X456)*(B$4:B$1000&gt;=W456),I$4:I$1000, "")),"")</f>
        <v/>
      </c>
      <c r="Z456" s="33" t="str">
        <f t="shared" si="335"/>
        <v/>
      </c>
      <c r="AA456" s="32" t="str">
        <f t="shared" si="336"/>
        <v/>
      </c>
      <c r="AB456" s="32" t="str">
        <f t="shared" si="337"/>
        <v/>
      </c>
      <c r="AC456" s="32" t="str">
        <f t="shared" si="338"/>
        <v/>
      </c>
      <c r="AD456" s="32" t="str">
        <f t="shared" si="339"/>
        <v/>
      </c>
      <c r="AE456" s="34" t="str">
        <f t="shared" si="340"/>
        <v/>
      </c>
      <c r="AF456" s="32" t="str">
        <f t="shared" si="341"/>
        <v/>
      </c>
      <c r="AG456" s="32" t="str">
        <f t="shared" si="342"/>
        <v/>
      </c>
      <c r="AH456" s="32" t="str">
        <f t="shared" si="343"/>
        <v/>
      </c>
      <c r="AI456" s="35" t="str">
        <f t="shared" si="344"/>
        <v/>
      </c>
      <c r="AJ456" s="23" t="str">
        <f t="array" ref="AJ456">IFERROR(SMALL(IF(U$1:U$1000="BEGIN",ROW(U$1:U$1000)),ROW()-3),"")</f>
        <v/>
      </c>
      <c r="AK456" s="23" t="str">
        <f t="array" ref="AK456">IFERROR(SMALL(IF(V$1:V$1000="END",ROW(V$1:V$1000)),ROW()-3),"")</f>
        <v/>
      </c>
      <c r="AL456" s="24" t="str">
        <f t="array" ref="AL456">IF(AK456="","",MATCH(AM456,L:L,0))</f>
        <v/>
      </c>
      <c r="AM456" s="35">
        <f t="array" ref="AM456">MAX(IF((B$4:B$1000&lt;=AK456)*(B$4:B$1000&gt;=AJ456),L$4:L$1000, ""))</f>
        <v>0</v>
      </c>
      <c r="AN456" s="32" t="str">
        <f t="shared" si="308"/>
        <v/>
      </c>
      <c r="AO456" s="32" t="str">
        <f t="shared" si="309"/>
        <v/>
      </c>
      <c r="AP456" s="32" t="str">
        <f t="shared" si="310"/>
        <v/>
      </c>
      <c r="AQ456" s="32" t="str">
        <f t="shared" si="311"/>
        <v/>
      </c>
      <c r="AR456" s="32" t="str">
        <f t="shared" si="312"/>
        <v/>
      </c>
      <c r="AS456" s="32" t="str">
        <f t="shared" si="313"/>
        <v/>
      </c>
      <c r="AT456" s="32" t="str">
        <f t="shared" si="314"/>
        <v/>
      </c>
      <c r="AU456" s="34" t="str">
        <f t="shared" si="315"/>
        <v/>
      </c>
      <c r="AV456" s="32" t="str">
        <f t="shared" si="316"/>
        <v/>
      </c>
      <c r="AW456" s="32" t="str">
        <f t="shared" si="317"/>
        <v/>
      </c>
      <c r="AX456" s="32" t="str">
        <f t="shared" si="318"/>
        <v/>
      </c>
      <c r="AY456" s="32" t="str">
        <f t="shared" si="319"/>
        <v/>
      </c>
    </row>
    <row r="457" spans="1:51" x14ac:dyDescent="0.25">
      <c r="A457" s="24" t="str">
        <f t="shared" si="320"/>
        <v/>
      </c>
      <c r="B457" s="24" t="str">
        <f t="shared" si="330"/>
        <v/>
      </c>
      <c r="C457" s="32" t="str">
        <f t="shared" si="321"/>
        <v/>
      </c>
      <c r="D457" s="24" t="str">
        <f t="shared" si="322"/>
        <v/>
      </c>
      <c r="E457" s="24" t="str">
        <f t="shared" si="323"/>
        <v/>
      </c>
      <c r="F457" s="32" t="str">
        <f t="shared" si="324"/>
        <v/>
      </c>
      <c r="G457" s="32" t="str">
        <f t="shared" si="325"/>
        <v/>
      </c>
      <c r="H457" s="32" t="str">
        <f t="shared" ca="1" si="326"/>
        <v/>
      </c>
      <c r="I457" s="32" t="str">
        <f t="shared" ca="1" si="331"/>
        <v/>
      </c>
      <c r="J457" s="32" t="str">
        <f t="shared" si="327"/>
        <v/>
      </c>
      <c r="K457" s="32" t="str">
        <f>IF(ISNUMBER(A457),Profile!$V$25+Profile!$V$24*'Ri-Po'!C457,"")</f>
        <v/>
      </c>
      <c r="L457" s="32" t="str">
        <f t="shared" si="332"/>
        <v/>
      </c>
      <c r="M457" s="32" t="str">
        <f t="shared" si="328"/>
        <v/>
      </c>
      <c r="N457" s="32" t="str">
        <f t="shared" si="329"/>
        <v/>
      </c>
      <c r="O457" s="32" t="str">
        <f t="shared" si="345"/>
        <v/>
      </c>
      <c r="P457" s="32" t="str">
        <f t="shared" si="333"/>
        <v/>
      </c>
      <c r="Q457" s="32" t="str">
        <f t="shared" si="334"/>
        <v/>
      </c>
      <c r="R457" s="32" t="str">
        <f t="shared" si="346"/>
        <v/>
      </c>
      <c r="S457" s="24" t="str">
        <f t="shared" si="347"/>
        <v/>
      </c>
      <c r="T457" s="24" t="str">
        <f t="shared" si="348"/>
        <v/>
      </c>
      <c r="U457" s="24" t="str">
        <f t="shared" si="349"/>
        <v/>
      </c>
      <c r="V457" s="24" t="str">
        <f t="shared" si="350"/>
        <v/>
      </c>
      <c r="W457" s="23" t="str">
        <f t="array" ref="W457">IFERROR(SMALL(IF(S$1:S$1000="BEGIN",ROW(S$1:S$1000)),ROW()-3),"")</f>
        <v/>
      </c>
      <c r="X457" s="23" t="str">
        <f t="array" ref="X457">IFERROR(SMALL(IF(T$1:T$1000="END",ROW(T$1:T$1000)),ROW()-3),"")</f>
        <v/>
      </c>
      <c r="Y457" s="33" t="str">
        <f t="array" ref="Y457">IF(ISNUMBER(W457),MAX(IF((B$4:B$1000&lt;=X457)*(B$4:B$1000&gt;=W457),I$4:I$1000, "")),"")</f>
        <v/>
      </c>
      <c r="Z457" s="33" t="str">
        <f t="shared" si="335"/>
        <v/>
      </c>
      <c r="AA457" s="32" t="str">
        <f t="shared" si="336"/>
        <v/>
      </c>
      <c r="AB457" s="32" t="str">
        <f t="shared" si="337"/>
        <v/>
      </c>
      <c r="AC457" s="32" t="str">
        <f t="shared" si="338"/>
        <v/>
      </c>
      <c r="AD457" s="32" t="str">
        <f t="shared" si="339"/>
        <v/>
      </c>
      <c r="AE457" s="34" t="str">
        <f t="shared" si="340"/>
        <v/>
      </c>
      <c r="AF457" s="32" t="str">
        <f t="shared" si="341"/>
        <v/>
      </c>
      <c r="AG457" s="32" t="str">
        <f t="shared" si="342"/>
        <v/>
      </c>
      <c r="AH457" s="32" t="str">
        <f t="shared" si="343"/>
        <v/>
      </c>
      <c r="AI457" s="35" t="str">
        <f t="shared" si="344"/>
        <v/>
      </c>
      <c r="AJ457" s="23" t="str">
        <f t="array" ref="AJ457">IFERROR(SMALL(IF(U$1:U$1000="BEGIN",ROW(U$1:U$1000)),ROW()-3),"")</f>
        <v/>
      </c>
      <c r="AK457" s="23" t="str">
        <f t="array" ref="AK457">IFERROR(SMALL(IF(V$1:V$1000="END",ROW(V$1:V$1000)),ROW()-3),"")</f>
        <v/>
      </c>
      <c r="AL457" s="24" t="str">
        <f t="array" ref="AL457">IF(AK457="","",MATCH(AM457,L:L,0))</f>
        <v/>
      </c>
      <c r="AM457" s="35">
        <f t="array" ref="AM457">MAX(IF((B$4:B$1000&lt;=AK457)*(B$4:B$1000&gt;=AJ457),L$4:L$1000, ""))</f>
        <v>0</v>
      </c>
      <c r="AN457" s="32" t="str">
        <f t="shared" si="308"/>
        <v/>
      </c>
      <c r="AO457" s="32" t="str">
        <f t="shared" si="309"/>
        <v/>
      </c>
      <c r="AP457" s="32" t="str">
        <f t="shared" si="310"/>
        <v/>
      </c>
      <c r="AQ457" s="32" t="str">
        <f t="shared" si="311"/>
        <v/>
      </c>
      <c r="AR457" s="32" t="str">
        <f t="shared" si="312"/>
        <v/>
      </c>
      <c r="AS457" s="32" t="str">
        <f t="shared" si="313"/>
        <v/>
      </c>
      <c r="AT457" s="32" t="str">
        <f t="shared" si="314"/>
        <v/>
      </c>
      <c r="AU457" s="34" t="str">
        <f t="shared" si="315"/>
        <v/>
      </c>
      <c r="AV457" s="32" t="str">
        <f t="shared" si="316"/>
        <v/>
      </c>
      <c r="AW457" s="32" t="str">
        <f t="shared" si="317"/>
        <v/>
      </c>
      <c r="AX457" s="32" t="str">
        <f t="shared" si="318"/>
        <v/>
      </c>
      <c r="AY457" s="32" t="str">
        <f t="shared" si="319"/>
        <v/>
      </c>
    </row>
    <row r="458" spans="1:51" x14ac:dyDescent="0.25">
      <c r="A458" s="24" t="str">
        <f t="shared" si="320"/>
        <v/>
      </c>
      <c r="B458" s="24" t="str">
        <f t="shared" si="330"/>
        <v/>
      </c>
      <c r="C458" s="32" t="str">
        <f t="shared" si="321"/>
        <v/>
      </c>
      <c r="D458" s="24" t="str">
        <f t="shared" si="322"/>
        <v/>
      </c>
      <c r="E458" s="24" t="str">
        <f t="shared" si="323"/>
        <v/>
      </c>
      <c r="F458" s="32" t="str">
        <f t="shared" si="324"/>
        <v/>
      </c>
      <c r="G458" s="32" t="str">
        <f t="shared" si="325"/>
        <v/>
      </c>
      <c r="H458" s="32" t="str">
        <f t="shared" ca="1" si="326"/>
        <v/>
      </c>
      <c r="I458" s="32" t="str">
        <f t="shared" ca="1" si="331"/>
        <v/>
      </c>
      <c r="J458" s="32" t="str">
        <f t="shared" si="327"/>
        <v/>
      </c>
      <c r="K458" s="32" t="str">
        <f>IF(ISNUMBER(A458),Profile!$V$25+Profile!$V$24*'Ri-Po'!C458,"")</f>
        <v/>
      </c>
      <c r="L458" s="32" t="str">
        <f t="shared" si="332"/>
        <v/>
      </c>
      <c r="M458" s="32" t="str">
        <f t="shared" si="328"/>
        <v/>
      </c>
      <c r="N458" s="32" t="str">
        <f t="shared" si="329"/>
        <v/>
      </c>
      <c r="O458" s="32" t="str">
        <f t="shared" si="345"/>
        <v/>
      </c>
      <c r="P458" s="32" t="str">
        <f t="shared" si="333"/>
        <v/>
      </c>
      <c r="Q458" s="32" t="str">
        <f t="shared" si="334"/>
        <v/>
      </c>
      <c r="R458" s="32" t="str">
        <f t="shared" si="346"/>
        <v/>
      </c>
      <c r="S458" s="24" t="str">
        <f t="shared" si="347"/>
        <v/>
      </c>
      <c r="T458" s="24" t="str">
        <f t="shared" si="348"/>
        <v/>
      </c>
      <c r="U458" s="24" t="str">
        <f t="shared" si="349"/>
        <v/>
      </c>
      <c r="V458" s="24" t="str">
        <f t="shared" si="350"/>
        <v/>
      </c>
      <c r="W458" s="23" t="str">
        <f t="array" ref="W458">IFERROR(SMALL(IF(S$1:S$1000="BEGIN",ROW(S$1:S$1000)),ROW()-3),"")</f>
        <v/>
      </c>
      <c r="X458" s="23" t="str">
        <f t="array" ref="X458">IFERROR(SMALL(IF(T$1:T$1000="END",ROW(T$1:T$1000)),ROW()-3),"")</f>
        <v/>
      </c>
      <c r="Y458" s="33" t="str">
        <f t="array" ref="Y458">IF(ISNUMBER(W458),MAX(IF((B$4:B$1000&lt;=X458)*(B$4:B$1000&gt;=W458),I$4:I$1000, "")),"")</f>
        <v/>
      </c>
      <c r="Z458" s="33" t="str">
        <f t="shared" si="335"/>
        <v/>
      </c>
      <c r="AA458" s="32" t="str">
        <f t="shared" si="336"/>
        <v/>
      </c>
      <c r="AB458" s="32" t="str">
        <f t="shared" si="337"/>
        <v/>
      </c>
      <c r="AC458" s="32" t="str">
        <f t="shared" si="338"/>
        <v/>
      </c>
      <c r="AD458" s="32" t="str">
        <f t="shared" si="339"/>
        <v/>
      </c>
      <c r="AE458" s="34" t="str">
        <f t="shared" si="340"/>
        <v/>
      </c>
      <c r="AF458" s="32" t="str">
        <f t="shared" si="341"/>
        <v/>
      </c>
      <c r="AG458" s="32" t="str">
        <f t="shared" si="342"/>
        <v/>
      </c>
      <c r="AH458" s="32" t="str">
        <f t="shared" si="343"/>
        <v/>
      </c>
      <c r="AI458" s="35" t="str">
        <f t="shared" si="344"/>
        <v/>
      </c>
      <c r="AJ458" s="23" t="str">
        <f t="array" ref="AJ458">IFERROR(SMALL(IF(U$1:U$1000="BEGIN",ROW(U$1:U$1000)),ROW()-3),"")</f>
        <v/>
      </c>
      <c r="AK458" s="23" t="str">
        <f t="array" ref="AK458">IFERROR(SMALL(IF(V$1:V$1000="END",ROW(V$1:V$1000)),ROW()-3),"")</f>
        <v/>
      </c>
      <c r="AL458" s="24" t="str">
        <f t="array" ref="AL458">IF(AK458="","",MATCH(AM458,L:L,0))</f>
        <v/>
      </c>
      <c r="AM458" s="35">
        <f t="array" ref="AM458">MAX(IF((B$4:B$1000&lt;=AK458)*(B$4:B$1000&gt;=AJ458),L$4:L$1000, ""))</f>
        <v>0</v>
      </c>
      <c r="AN458" s="32" t="str">
        <f t="shared" si="308"/>
        <v/>
      </c>
      <c r="AO458" s="32" t="str">
        <f t="shared" si="309"/>
        <v/>
      </c>
      <c r="AP458" s="32" t="str">
        <f t="shared" si="310"/>
        <v/>
      </c>
      <c r="AQ458" s="32" t="str">
        <f t="shared" si="311"/>
        <v/>
      </c>
      <c r="AR458" s="32" t="str">
        <f t="shared" si="312"/>
        <v/>
      </c>
      <c r="AS458" s="32" t="str">
        <f t="shared" si="313"/>
        <v/>
      </c>
      <c r="AT458" s="32" t="str">
        <f t="shared" si="314"/>
        <v/>
      </c>
      <c r="AU458" s="34" t="str">
        <f t="shared" si="315"/>
        <v/>
      </c>
      <c r="AV458" s="32" t="str">
        <f t="shared" si="316"/>
        <v/>
      </c>
      <c r="AW458" s="32" t="str">
        <f t="shared" si="317"/>
        <v/>
      </c>
      <c r="AX458" s="32" t="str">
        <f t="shared" si="318"/>
        <v/>
      </c>
      <c r="AY458" s="32" t="str">
        <f t="shared" si="319"/>
        <v/>
      </c>
    </row>
    <row r="459" spans="1:51" x14ac:dyDescent="0.25">
      <c r="A459" s="24" t="str">
        <f t="shared" si="320"/>
        <v/>
      </c>
      <c r="B459" s="24" t="str">
        <f t="shared" si="330"/>
        <v/>
      </c>
      <c r="C459" s="32" t="str">
        <f t="shared" si="321"/>
        <v/>
      </c>
      <c r="D459" s="24" t="str">
        <f t="shared" si="322"/>
        <v/>
      </c>
      <c r="E459" s="24" t="str">
        <f t="shared" si="323"/>
        <v/>
      </c>
      <c r="F459" s="32" t="str">
        <f t="shared" si="324"/>
        <v/>
      </c>
      <c r="G459" s="32" t="str">
        <f t="shared" si="325"/>
        <v/>
      </c>
      <c r="H459" s="32" t="str">
        <f t="shared" ca="1" si="326"/>
        <v/>
      </c>
      <c r="I459" s="32" t="str">
        <f t="shared" ca="1" si="331"/>
        <v/>
      </c>
      <c r="J459" s="32" t="str">
        <f t="shared" si="327"/>
        <v/>
      </c>
      <c r="K459" s="32" t="str">
        <f>IF(ISNUMBER(A459),Profile!$V$25+Profile!$V$24*'Ri-Po'!C459,"")</f>
        <v/>
      </c>
      <c r="L459" s="32" t="str">
        <f t="shared" si="332"/>
        <v/>
      </c>
      <c r="M459" s="32" t="str">
        <f t="shared" si="328"/>
        <v/>
      </c>
      <c r="N459" s="32" t="str">
        <f t="shared" si="329"/>
        <v/>
      </c>
      <c r="O459" s="32" t="str">
        <f t="shared" si="345"/>
        <v/>
      </c>
      <c r="P459" s="32" t="str">
        <f t="shared" si="333"/>
        <v/>
      </c>
      <c r="Q459" s="32" t="str">
        <f t="shared" si="334"/>
        <v/>
      </c>
      <c r="R459" s="32" t="str">
        <f t="shared" si="346"/>
        <v/>
      </c>
      <c r="S459" s="24" t="str">
        <f t="shared" si="347"/>
        <v/>
      </c>
      <c r="T459" s="24" t="str">
        <f t="shared" si="348"/>
        <v/>
      </c>
      <c r="U459" s="24" t="str">
        <f t="shared" si="349"/>
        <v/>
      </c>
      <c r="V459" s="24" t="str">
        <f t="shared" si="350"/>
        <v/>
      </c>
      <c r="W459" s="23" t="str">
        <f t="array" ref="W459">IFERROR(SMALL(IF(S$1:S$1000="BEGIN",ROW(S$1:S$1000)),ROW()-3),"")</f>
        <v/>
      </c>
      <c r="X459" s="23" t="str">
        <f t="array" ref="X459">IFERROR(SMALL(IF(T$1:T$1000="END",ROW(T$1:T$1000)),ROW()-3),"")</f>
        <v/>
      </c>
      <c r="Y459" s="33" t="str">
        <f t="array" ref="Y459">IF(ISNUMBER(W459),MAX(IF((B$4:B$1000&lt;=X459)*(B$4:B$1000&gt;=W459),I$4:I$1000, "")),"")</f>
        <v/>
      </c>
      <c r="Z459" s="33" t="str">
        <f t="shared" si="335"/>
        <v/>
      </c>
      <c r="AA459" s="32" t="str">
        <f t="shared" si="336"/>
        <v/>
      </c>
      <c r="AB459" s="32" t="str">
        <f t="shared" si="337"/>
        <v/>
      </c>
      <c r="AC459" s="32" t="str">
        <f t="shared" si="338"/>
        <v/>
      </c>
      <c r="AD459" s="32" t="str">
        <f t="shared" si="339"/>
        <v/>
      </c>
      <c r="AE459" s="34" t="str">
        <f t="shared" si="340"/>
        <v/>
      </c>
      <c r="AF459" s="32" t="str">
        <f t="shared" si="341"/>
        <v/>
      </c>
      <c r="AG459" s="32" t="str">
        <f t="shared" si="342"/>
        <v/>
      </c>
      <c r="AH459" s="32" t="str">
        <f t="shared" si="343"/>
        <v/>
      </c>
      <c r="AI459" s="35" t="str">
        <f t="shared" si="344"/>
        <v/>
      </c>
      <c r="AJ459" s="23" t="str">
        <f t="array" ref="AJ459">IFERROR(SMALL(IF(U$1:U$1000="BEGIN",ROW(U$1:U$1000)),ROW()-3),"")</f>
        <v/>
      </c>
      <c r="AK459" s="23" t="str">
        <f t="array" ref="AK459">IFERROR(SMALL(IF(V$1:V$1000="END",ROW(V$1:V$1000)),ROW()-3),"")</f>
        <v/>
      </c>
      <c r="AL459" s="24" t="str">
        <f t="array" ref="AL459">IF(AK459="","",MATCH(AM459,L:L,0))</f>
        <v/>
      </c>
      <c r="AM459" s="35">
        <f t="array" ref="AM459">MAX(IF((B$4:B$1000&lt;=AK459)*(B$4:B$1000&gt;=AJ459),L$4:L$1000, ""))</f>
        <v>0</v>
      </c>
      <c r="AN459" s="32" t="str">
        <f t="shared" si="308"/>
        <v/>
      </c>
      <c r="AO459" s="32" t="str">
        <f t="shared" si="309"/>
        <v/>
      </c>
      <c r="AP459" s="32" t="str">
        <f t="shared" si="310"/>
        <v/>
      </c>
      <c r="AQ459" s="32" t="str">
        <f t="shared" si="311"/>
        <v/>
      </c>
      <c r="AR459" s="32" t="str">
        <f t="shared" si="312"/>
        <v/>
      </c>
      <c r="AS459" s="32" t="str">
        <f t="shared" si="313"/>
        <v/>
      </c>
      <c r="AT459" s="32" t="str">
        <f t="shared" si="314"/>
        <v/>
      </c>
      <c r="AU459" s="34" t="str">
        <f t="shared" si="315"/>
        <v/>
      </c>
      <c r="AV459" s="32" t="str">
        <f t="shared" si="316"/>
        <v/>
      </c>
      <c r="AW459" s="32" t="str">
        <f t="shared" si="317"/>
        <v/>
      </c>
      <c r="AX459" s="32" t="str">
        <f t="shared" si="318"/>
        <v/>
      </c>
      <c r="AY459" s="32" t="str">
        <f t="shared" si="319"/>
        <v/>
      </c>
    </row>
    <row r="460" spans="1:51" x14ac:dyDescent="0.25">
      <c r="A460" s="24" t="str">
        <f t="shared" si="320"/>
        <v/>
      </c>
      <c r="B460" s="24" t="str">
        <f t="shared" si="330"/>
        <v/>
      </c>
      <c r="C460" s="32" t="str">
        <f t="shared" si="321"/>
        <v/>
      </c>
      <c r="D460" s="24" t="str">
        <f t="shared" si="322"/>
        <v/>
      </c>
      <c r="E460" s="24" t="str">
        <f t="shared" si="323"/>
        <v/>
      </c>
      <c r="F460" s="32" t="str">
        <f t="shared" si="324"/>
        <v/>
      </c>
      <c r="G460" s="32" t="str">
        <f t="shared" si="325"/>
        <v/>
      </c>
      <c r="H460" s="32" t="str">
        <f t="shared" ca="1" si="326"/>
        <v/>
      </c>
      <c r="I460" s="32" t="str">
        <f t="shared" ca="1" si="331"/>
        <v/>
      </c>
      <c r="J460" s="32" t="str">
        <f t="shared" si="327"/>
        <v/>
      </c>
      <c r="K460" s="32" t="str">
        <f>IF(ISNUMBER(A460),Profile!$V$25+Profile!$V$24*'Ri-Po'!C460,"")</f>
        <v/>
      </c>
      <c r="L460" s="32" t="str">
        <f t="shared" si="332"/>
        <v/>
      </c>
      <c r="M460" s="32" t="str">
        <f t="shared" si="328"/>
        <v/>
      </c>
      <c r="N460" s="32" t="str">
        <f t="shared" si="329"/>
        <v/>
      </c>
      <c r="O460" s="32" t="str">
        <f t="shared" si="345"/>
        <v/>
      </c>
      <c r="P460" s="32" t="str">
        <f t="shared" si="333"/>
        <v/>
      </c>
      <c r="Q460" s="32" t="str">
        <f t="shared" si="334"/>
        <v/>
      </c>
      <c r="R460" s="32" t="str">
        <f t="shared" si="346"/>
        <v/>
      </c>
      <c r="S460" s="24" t="str">
        <f t="shared" si="347"/>
        <v/>
      </c>
      <c r="T460" s="24" t="str">
        <f t="shared" si="348"/>
        <v/>
      </c>
      <c r="U460" s="24" t="str">
        <f t="shared" si="349"/>
        <v/>
      </c>
      <c r="V460" s="24" t="str">
        <f t="shared" si="350"/>
        <v/>
      </c>
      <c r="W460" s="23" t="str">
        <f t="array" ref="W460">IFERROR(SMALL(IF(S$1:S$1000="BEGIN",ROW(S$1:S$1000)),ROW()-3),"")</f>
        <v/>
      </c>
      <c r="X460" s="23" t="str">
        <f t="array" ref="X460">IFERROR(SMALL(IF(T$1:T$1000="END",ROW(T$1:T$1000)),ROW()-3),"")</f>
        <v/>
      </c>
      <c r="Y460" s="33" t="str">
        <f t="array" ref="Y460">IF(ISNUMBER(W460),MAX(IF((B$4:B$1000&lt;=X460)*(B$4:B$1000&gt;=W460),I$4:I$1000, "")),"")</f>
        <v/>
      </c>
      <c r="Z460" s="33" t="str">
        <f t="shared" si="335"/>
        <v/>
      </c>
      <c r="AA460" s="32" t="str">
        <f t="shared" si="336"/>
        <v/>
      </c>
      <c r="AB460" s="32" t="str">
        <f t="shared" si="337"/>
        <v/>
      </c>
      <c r="AC460" s="32" t="str">
        <f t="shared" si="338"/>
        <v/>
      </c>
      <c r="AD460" s="32" t="str">
        <f t="shared" si="339"/>
        <v/>
      </c>
      <c r="AE460" s="34" t="str">
        <f t="shared" si="340"/>
        <v/>
      </c>
      <c r="AF460" s="32" t="str">
        <f t="shared" si="341"/>
        <v/>
      </c>
      <c r="AG460" s="32" t="str">
        <f t="shared" si="342"/>
        <v/>
      </c>
      <c r="AH460" s="32" t="str">
        <f t="shared" si="343"/>
        <v/>
      </c>
      <c r="AI460" s="35" t="str">
        <f t="shared" si="344"/>
        <v/>
      </c>
      <c r="AJ460" s="23" t="str">
        <f t="array" ref="AJ460">IFERROR(SMALL(IF(U$1:U$1000="BEGIN",ROW(U$1:U$1000)),ROW()-3),"")</f>
        <v/>
      </c>
      <c r="AK460" s="23" t="str">
        <f t="array" ref="AK460">IFERROR(SMALL(IF(V$1:V$1000="END",ROW(V$1:V$1000)),ROW()-3),"")</f>
        <v/>
      </c>
      <c r="AL460" s="24" t="str">
        <f t="array" ref="AL460">IF(AK460="","",MATCH(AM460,L:L,0))</f>
        <v/>
      </c>
      <c r="AM460" s="35">
        <f t="array" ref="AM460">MAX(IF((B$4:B$1000&lt;=AK460)*(B$4:B$1000&gt;=AJ460),L$4:L$1000, ""))</f>
        <v>0</v>
      </c>
      <c r="AN460" s="32" t="str">
        <f t="shared" si="308"/>
        <v/>
      </c>
      <c r="AO460" s="32" t="str">
        <f t="shared" si="309"/>
        <v/>
      </c>
      <c r="AP460" s="32" t="str">
        <f t="shared" si="310"/>
        <v/>
      </c>
      <c r="AQ460" s="32" t="str">
        <f t="shared" si="311"/>
        <v/>
      </c>
      <c r="AR460" s="32" t="str">
        <f t="shared" si="312"/>
        <v/>
      </c>
      <c r="AS460" s="32" t="str">
        <f t="shared" si="313"/>
        <v/>
      </c>
      <c r="AT460" s="32" t="str">
        <f t="shared" si="314"/>
        <v/>
      </c>
      <c r="AU460" s="34" t="str">
        <f t="shared" si="315"/>
        <v/>
      </c>
      <c r="AV460" s="32" t="str">
        <f t="shared" si="316"/>
        <v/>
      </c>
      <c r="AW460" s="32" t="str">
        <f t="shared" si="317"/>
        <v/>
      </c>
      <c r="AX460" s="32" t="str">
        <f t="shared" si="318"/>
        <v/>
      </c>
      <c r="AY460" s="32" t="str">
        <f t="shared" si="319"/>
        <v/>
      </c>
    </row>
    <row r="461" spans="1:51" x14ac:dyDescent="0.25">
      <c r="A461" s="24" t="str">
        <f t="shared" si="320"/>
        <v/>
      </c>
      <c r="B461" s="24" t="str">
        <f t="shared" si="330"/>
        <v/>
      </c>
      <c r="C461" s="32" t="str">
        <f t="shared" si="321"/>
        <v/>
      </c>
      <c r="D461" s="24" t="str">
        <f t="shared" si="322"/>
        <v/>
      </c>
      <c r="E461" s="24" t="str">
        <f t="shared" si="323"/>
        <v/>
      </c>
      <c r="F461" s="32" t="str">
        <f t="shared" si="324"/>
        <v/>
      </c>
      <c r="G461" s="32" t="str">
        <f t="shared" si="325"/>
        <v/>
      </c>
      <c r="H461" s="32" t="str">
        <f t="shared" ca="1" si="326"/>
        <v/>
      </c>
      <c r="I461" s="32" t="str">
        <f t="shared" ca="1" si="331"/>
        <v/>
      </c>
      <c r="J461" s="32" t="str">
        <f t="shared" si="327"/>
        <v/>
      </c>
      <c r="K461" s="32" t="str">
        <f>IF(ISNUMBER(A461),Profile!$V$25+Profile!$V$24*'Ri-Po'!C461,"")</f>
        <v/>
      </c>
      <c r="L461" s="32" t="str">
        <f t="shared" si="332"/>
        <v/>
      </c>
      <c r="M461" s="32" t="str">
        <f t="shared" si="328"/>
        <v/>
      </c>
      <c r="N461" s="32" t="str">
        <f t="shared" si="329"/>
        <v/>
      </c>
      <c r="O461" s="32" t="str">
        <f t="shared" si="345"/>
        <v/>
      </c>
      <c r="P461" s="32" t="str">
        <f t="shared" si="333"/>
        <v/>
      </c>
      <c r="Q461" s="32" t="str">
        <f t="shared" si="334"/>
        <v/>
      </c>
      <c r="R461" s="32" t="str">
        <f t="shared" si="346"/>
        <v/>
      </c>
      <c r="S461" s="24" t="str">
        <f t="shared" si="347"/>
        <v/>
      </c>
      <c r="T461" s="24" t="str">
        <f t="shared" si="348"/>
        <v/>
      </c>
      <c r="U461" s="24" t="str">
        <f t="shared" si="349"/>
        <v/>
      </c>
      <c r="V461" s="24" t="str">
        <f t="shared" si="350"/>
        <v/>
      </c>
      <c r="W461" s="23" t="str">
        <f t="array" ref="W461">IFERROR(SMALL(IF(S$1:S$1000="BEGIN",ROW(S$1:S$1000)),ROW()-3),"")</f>
        <v/>
      </c>
      <c r="X461" s="23" t="str">
        <f t="array" ref="X461">IFERROR(SMALL(IF(T$1:T$1000="END",ROW(T$1:T$1000)),ROW()-3),"")</f>
        <v/>
      </c>
      <c r="Y461" s="33" t="str">
        <f t="array" ref="Y461">IF(ISNUMBER(W461),MAX(IF((B$4:B$1000&lt;=X461)*(B$4:B$1000&gt;=W461),I$4:I$1000, "")),"")</f>
        <v/>
      </c>
      <c r="Z461" s="33" t="str">
        <f t="shared" si="335"/>
        <v/>
      </c>
      <c r="AA461" s="32" t="str">
        <f t="shared" si="336"/>
        <v/>
      </c>
      <c r="AB461" s="32" t="str">
        <f t="shared" si="337"/>
        <v/>
      </c>
      <c r="AC461" s="32" t="str">
        <f t="shared" si="338"/>
        <v/>
      </c>
      <c r="AD461" s="32" t="str">
        <f t="shared" si="339"/>
        <v/>
      </c>
      <c r="AE461" s="34" t="str">
        <f t="shared" si="340"/>
        <v/>
      </c>
      <c r="AF461" s="32" t="str">
        <f t="shared" si="341"/>
        <v/>
      </c>
      <c r="AG461" s="32" t="str">
        <f t="shared" si="342"/>
        <v/>
      </c>
      <c r="AH461" s="32" t="str">
        <f t="shared" si="343"/>
        <v/>
      </c>
      <c r="AI461" s="35" t="str">
        <f t="shared" si="344"/>
        <v/>
      </c>
      <c r="AJ461" s="23" t="str">
        <f t="array" ref="AJ461">IFERROR(SMALL(IF(U$1:U$1000="BEGIN",ROW(U$1:U$1000)),ROW()-3),"")</f>
        <v/>
      </c>
      <c r="AK461" s="23" t="str">
        <f t="array" ref="AK461">IFERROR(SMALL(IF(V$1:V$1000="END",ROW(V$1:V$1000)),ROW()-3),"")</f>
        <v/>
      </c>
      <c r="AL461" s="24" t="str">
        <f t="array" ref="AL461">IF(AK461="","",MATCH(AM461,L:L,0))</f>
        <v/>
      </c>
      <c r="AM461" s="35">
        <f t="array" ref="AM461">MAX(IF((B$4:B$1000&lt;=AK461)*(B$4:B$1000&gt;=AJ461),L$4:L$1000, ""))</f>
        <v>0</v>
      </c>
      <c r="AN461" s="32" t="str">
        <f t="shared" si="308"/>
        <v/>
      </c>
      <c r="AO461" s="32" t="str">
        <f t="shared" si="309"/>
        <v/>
      </c>
      <c r="AP461" s="32" t="str">
        <f t="shared" si="310"/>
        <v/>
      </c>
      <c r="AQ461" s="32" t="str">
        <f t="shared" si="311"/>
        <v/>
      </c>
      <c r="AR461" s="32" t="str">
        <f t="shared" si="312"/>
        <v/>
      </c>
      <c r="AS461" s="32" t="str">
        <f t="shared" si="313"/>
        <v/>
      </c>
      <c r="AT461" s="32" t="str">
        <f t="shared" si="314"/>
        <v/>
      </c>
      <c r="AU461" s="34" t="str">
        <f t="shared" si="315"/>
        <v/>
      </c>
      <c r="AV461" s="32" t="str">
        <f t="shared" si="316"/>
        <v/>
      </c>
      <c r="AW461" s="32" t="str">
        <f t="shared" si="317"/>
        <v/>
      </c>
      <c r="AX461" s="32" t="str">
        <f t="shared" si="318"/>
        <v/>
      </c>
      <c r="AY461" s="32" t="str">
        <f t="shared" si="319"/>
        <v/>
      </c>
    </row>
    <row r="462" spans="1:51" x14ac:dyDescent="0.25">
      <c r="A462" s="24" t="str">
        <f t="shared" si="320"/>
        <v/>
      </c>
      <c r="B462" s="24" t="str">
        <f t="shared" si="330"/>
        <v/>
      </c>
      <c r="C462" s="32" t="str">
        <f t="shared" si="321"/>
        <v/>
      </c>
      <c r="D462" s="24" t="str">
        <f t="shared" si="322"/>
        <v/>
      </c>
      <c r="E462" s="24" t="str">
        <f t="shared" si="323"/>
        <v/>
      </c>
      <c r="F462" s="32" t="str">
        <f t="shared" si="324"/>
        <v/>
      </c>
      <c r="G462" s="32" t="str">
        <f t="shared" si="325"/>
        <v/>
      </c>
      <c r="H462" s="32" t="str">
        <f t="shared" ca="1" si="326"/>
        <v/>
      </c>
      <c r="I462" s="32" t="str">
        <f t="shared" ca="1" si="331"/>
        <v/>
      </c>
      <c r="J462" s="32" t="str">
        <f t="shared" si="327"/>
        <v/>
      </c>
      <c r="K462" s="32" t="str">
        <f>IF(ISNUMBER(A462),Profile!$V$25+Profile!$V$24*'Ri-Po'!C462,"")</f>
        <v/>
      </c>
      <c r="L462" s="32" t="str">
        <f t="shared" si="332"/>
        <v/>
      </c>
      <c r="M462" s="32" t="str">
        <f t="shared" si="328"/>
        <v/>
      </c>
      <c r="N462" s="32" t="str">
        <f t="shared" si="329"/>
        <v/>
      </c>
      <c r="O462" s="32" t="str">
        <f t="shared" si="345"/>
        <v/>
      </c>
      <c r="P462" s="32" t="str">
        <f t="shared" si="333"/>
        <v/>
      </c>
      <c r="Q462" s="32" t="str">
        <f t="shared" si="334"/>
        <v/>
      </c>
      <c r="R462" s="32" t="str">
        <f t="shared" si="346"/>
        <v/>
      </c>
      <c r="S462" s="24" t="str">
        <f t="shared" si="347"/>
        <v/>
      </c>
      <c r="T462" s="24" t="str">
        <f t="shared" si="348"/>
        <v/>
      </c>
      <c r="U462" s="24" t="str">
        <f t="shared" si="349"/>
        <v/>
      </c>
      <c r="V462" s="24" t="str">
        <f t="shared" si="350"/>
        <v/>
      </c>
      <c r="W462" s="23" t="str">
        <f t="array" ref="W462">IFERROR(SMALL(IF(S$1:S$1000="BEGIN",ROW(S$1:S$1000)),ROW()-3),"")</f>
        <v/>
      </c>
      <c r="X462" s="23" t="str">
        <f t="array" ref="X462">IFERROR(SMALL(IF(T$1:T$1000="END",ROW(T$1:T$1000)),ROW()-3),"")</f>
        <v/>
      </c>
      <c r="Y462" s="33" t="str">
        <f t="array" ref="Y462">IF(ISNUMBER(W462),MAX(IF((B$4:B$1000&lt;=X462)*(B$4:B$1000&gt;=W462),I$4:I$1000, "")),"")</f>
        <v/>
      </c>
      <c r="Z462" s="33" t="str">
        <f t="shared" si="335"/>
        <v/>
      </c>
      <c r="AA462" s="32" t="str">
        <f t="shared" si="336"/>
        <v/>
      </c>
      <c r="AB462" s="32" t="str">
        <f t="shared" si="337"/>
        <v/>
      </c>
      <c r="AC462" s="32" t="str">
        <f t="shared" si="338"/>
        <v/>
      </c>
      <c r="AD462" s="32" t="str">
        <f t="shared" si="339"/>
        <v/>
      </c>
      <c r="AE462" s="34" t="str">
        <f t="shared" si="340"/>
        <v/>
      </c>
      <c r="AF462" s="32" t="str">
        <f t="shared" si="341"/>
        <v/>
      </c>
      <c r="AG462" s="32" t="str">
        <f t="shared" si="342"/>
        <v/>
      </c>
      <c r="AH462" s="32" t="str">
        <f t="shared" si="343"/>
        <v/>
      </c>
      <c r="AI462" s="35" t="str">
        <f t="shared" si="344"/>
        <v/>
      </c>
      <c r="AJ462" s="23" t="str">
        <f t="array" ref="AJ462">IFERROR(SMALL(IF(U$1:U$1000="BEGIN",ROW(U$1:U$1000)),ROW()-3),"")</f>
        <v/>
      </c>
      <c r="AK462" s="23" t="str">
        <f t="array" ref="AK462">IFERROR(SMALL(IF(V$1:V$1000="END",ROW(V$1:V$1000)),ROW()-3),"")</f>
        <v/>
      </c>
      <c r="AL462" s="24" t="str">
        <f t="array" ref="AL462">IF(AK462="","",MATCH(AM462,L:L,0))</f>
        <v/>
      </c>
      <c r="AM462" s="35">
        <f t="array" ref="AM462">MAX(IF((B$4:B$1000&lt;=AK462)*(B$4:B$1000&gt;=AJ462),L$4:L$1000, ""))</f>
        <v>0</v>
      </c>
      <c r="AN462" s="32" t="str">
        <f t="shared" si="308"/>
        <v/>
      </c>
      <c r="AO462" s="32" t="str">
        <f t="shared" si="309"/>
        <v/>
      </c>
      <c r="AP462" s="32" t="str">
        <f t="shared" si="310"/>
        <v/>
      </c>
      <c r="AQ462" s="32" t="str">
        <f t="shared" si="311"/>
        <v/>
      </c>
      <c r="AR462" s="32" t="str">
        <f t="shared" si="312"/>
        <v/>
      </c>
      <c r="AS462" s="32" t="str">
        <f t="shared" si="313"/>
        <v/>
      </c>
      <c r="AT462" s="32" t="str">
        <f t="shared" si="314"/>
        <v/>
      </c>
      <c r="AU462" s="34" t="str">
        <f t="shared" si="315"/>
        <v/>
      </c>
      <c r="AV462" s="32" t="str">
        <f t="shared" si="316"/>
        <v/>
      </c>
      <c r="AW462" s="32" t="str">
        <f t="shared" si="317"/>
        <v/>
      </c>
      <c r="AX462" s="32" t="str">
        <f t="shared" si="318"/>
        <v/>
      </c>
      <c r="AY462" s="32" t="str">
        <f t="shared" si="319"/>
        <v/>
      </c>
    </row>
    <row r="463" spans="1:51" x14ac:dyDescent="0.25">
      <c r="A463" s="24" t="str">
        <f t="shared" si="320"/>
        <v/>
      </c>
      <c r="B463" s="24" t="str">
        <f t="shared" si="330"/>
        <v/>
      </c>
      <c r="C463" s="32" t="str">
        <f t="shared" si="321"/>
        <v/>
      </c>
      <c r="D463" s="24" t="str">
        <f t="shared" si="322"/>
        <v/>
      </c>
      <c r="E463" s="24" t="str">
        <f t="shared" si="323"/>
        <v/>
      </c>
      <c r="F463" s="32" t="str">
        <f t="shared" si="324"/>
        <v/>
      </c>
      <c r="G463" s="32" t="str">
        <f t="shared" si="325"/>
        <v/>
      </c>
      <c r="H463" s="32" t="str">
        <f t="shared" ca="1" si="326"/>
        <v/>
      </c>
      <c r="I463" s="32" t="str">
        <f t="shared" ca="1" si="331"/>
        <v/>
      </c>
      <c r="J463" s="32" t="str">
        <f t="shared" si="327"/>
        <v/>
      </c>
      <c r="K463" s="32" t="str">
        <f>IF(ISNUMBER(A463),Profile!$V$25+Profile!$V$24*'Ri-Po'!C463,"")</f>
        <v/>
      </c>
      <c r="L463" s="32" t="str">
        <f t="shared" si="332"/>
        <v/>
      </c>
      <c r="M463" s="32" t="str">
        <f t="shared" si="328"/>
        <v/>
      </c>
      <c r="N463" s="32" t="str">
        <f t="shared" si="329"/>
        <v/>
      </c>
      <c r="O463" s="32" t="str">
        <f t="shared" si="345"/>
        <v/>
      </c>
      <c r="P463" s="32" t="str">
        <f t="shared" si="333"/>
        <v/>
      </c>
      <c r="Q463" s="32" t="str">
        <f t="shared" si="334"/>
        <v/>
      </c>
      <c r="R463" s="32" t="str">
        <f t="shared" si="346"/>
        <v/>
      </c>
      <c r="S463" s="24" t="str">
        <f t="shared" si="347"/>
        <v/>
      </c>
      <c r="T463" s="24" t="str">
        <f t="shared" si="348"/>
        <v/>
      </c>
      <c r="U463" s="24" t="str">
        <f t="shared" si="349"/>
        <v/>
      </c>
      <c r="V463" s="24" t="str">
        <f t="shared" si="350"/>
        <v/>
      </c>
      <c r="W463" s="23" t="str">
        <f t="array" ref="W463">IFERROR(SMALL(IF(S$1:S$1000="BEGIN",ROW(S$1:S$1000)),ROW()-3),"")</f>
        <v/>
      </c>
      <c r="X463" s="23" t="str">
        <f t="array" ref="X463">IFERROR(SMALL(IF(T$1:T$1000="END",ROW(T$1:T$1000)),ROW()-3),"")</f>
        <v/>
      </c>
      <c r="Y463" s="33" t="str">
        <f t="array" ref="Y463">IF(ISNUMBER(W463),MAX(IF((B$4:B$1000&lt;=X463)*(B$4:B$1000&gt;=W463),I$4:I$1000, "")),"")</f>
        <v/>
      </c>
      <c r="Z463" s="33" t="str">
        <f t="shared" si="335"/>
        <v/>
      </c>
      <c r="AA463" s="32" t="str">
        <f t="shared" si="336"/>
        <v/>
      </c>
      <c r="AB463" s="32" t="str">
        <f t="shared" si="337"/>
        <v/>
      </c>
      <c r="AC463" s="32" t="str">
        <f t="shared" si="338"/>
        <v/>
      </c>
      <c r="AD463" s="32" t="str">
        <f t="shared" si="339"/>
        <v/>
      </c>
      <c r="AE463" s="34" t="str">
        <f t="shared" si="340"/>
        <v/>
      </c>
      <c r="AF463" s="32" t="str">
        <f t="shared" si="341"/>
        <v/>
      </c>
      <c r="AG463" s="32" t="str">
        <f t="shared" si="342"/>
        <v/>
      </c>
      <c r="AH463" s="32" t="str">
        <f t="shared" si="343"/>
        <v/>
      </c>
      <c r="AI463" s="35" t="str">
        <f t="shared" si="344"/>
        <v/>
      </c>
      <c r="AJ463" s="23" t="str">
        <f t="array" ref="AJ463">IFERROR(SMALL(IF(U$1:U$1000="BEGIN",ROW(U$1:U$1000)),ROW()-3),"")</f>
        <v/>
      </c>
      <c r="AK463" s="23" t="str">
        <f t="array" ref="AK463">IFERROR(SMALL(IF(V$1:V$1000="END",ROW(V$1:V$1000)),ROW()-3),"")</f>
        <v/>
      </c>
      <c r="AL463" s="24" t="str">
        <f t="array" ref="AL463">IF(AK463="","",MATCH(AM463,L:L,0))</f>
        <v/>
      </c>
      <c r="AM463" s="35">
        <f t="array" ref="AM463">MAX(IF((B$4:B$1000&lt;=AK463)*(B$4:B$1000&gt;=AJ463),L$4:L$1000, ""))</f>
        <v>0</v>
      </c>
      <c r="AN463" s="32" t="str">
        <f t="shared" si="308"/>
        <v/>
      </c>
      <c r="AO463" s="32" t="str">
        <f t="shared" si="309"/>
        <v/>
      </c>
      <c r="AP463" s="32" t="str">
        <f t="shared" si="310"/>
        <v/>
      </c>
      <c r="AQ463" s="32" t="str">
        <f t="shared" si="311"/>
        <v/>
      </c>
      <c r="AR463" s="32" t="str">
        <f t="shared" si="312"/>
        <v/>
      </c>
      <c r="AS463" s="32" t="str">
        <f t="shared" si="313"/>
        <v/>
      </c>
      <c r="AT463" s="32" t="str">
        <f t="shared" si="314"/>
        <v/>
      </c>
      <c r="AU463" s="34" t="str">
        <f t="shared" si="315"/>
        <v/>
      </c>
      <c r="AV463" s="32" t="str">
        <f t="shared" si="316"/>
        <v/>
      </c>
      <c r="AW463" s="32" t="str">
        <f t="shared" si="317"/>
        <v/>
      </c>
      <c r="AX463" s="32" t="str">
        <f t="shared" si="318"/>
        <v/>
      </c>
      <c r="AY463" s="32" t="str">
        <f t="shared" si="319"/>
        <v/>
      </c>
    </row>
    <row r="464" spans="1:51" x14ac:dyDescent="0.25">
      <c r="A464" s="24" t="str">
        <f t="shared" si="320"/>
        <v/>
      </c>
      <c r="B464" s="24" t="str">
        <f t="shared" si="330"/>
        <v/>
      </c>
      <c r="C464" s="32" t="str">
        <f t="shared" si="321"/>
        <v/>
      </c>
      <c r="D464" s="24" t="str">
        <f t="shared" si="322"/>
        <v/>
      </c>
      <c r="E464" s="24" t="str">
        <f t="shared" si="323"/>
        <v/>
      </c>
      <c r="F464" s="32" t="str">
        <f t="shared" si="324"/>
        <v/>
      </c>
      <c r="G464" s="32" t="str">
        <f t="shared" si="325"/>
        <v/>
      </c>
      <c r="H464" s="32" t="str">
        <f t="shared" ca="1" si="326"/>
        <v/>
      </c>
      <c r="I464" s="32" t="str">
        <f t="shared" ca="1" si="331"/>
        <v/>
      </c>
      <c r="J464" s="32" t="str">
        <f t="shared" si="327"/>
        <v/>
      </c>
      <c r="K464" s="32" t="str">
        <f>IF(ISNUMBER(A464),Profile!$V$25+Profile!$V$24*'Ri-Po'!C464,"")</f>
        <v/>
      </c>
      <c r="L464" s="32" t="str">
        <f t="shared" si="332"/>
        <v/>
      </c>
      <c r="M464" s="32" t="str">
        <f t="shared" si="328"/>
        <v/>
      </c>
      <c r="N464" s="32" t="str">
        <f t="shared" si="329"/>
        <v/>
      </c>
      <c r="O464" s="32" t="str">
        <f t="shared" si="345"/>
        <v/>
      </c>
      <c r="P464" s="32" t="str">
        <f t="shared" si="333"/>
        <v/>
      </c>
      <c r="Q464" s="32" t="str">
        <f t="shared" si="334"/>
        <v/>
      </c>
      <c r="R464" s="32" t="str">
        <f t="shared" si="346"/>
        <v/>
      </c>
      <c r="S464" s="24" t="str">
        <f t="shared" si="347"/>
        <v/>
      </c>
      <c r="T464" s="24" t="str">
        <f t="shared" si="348"/>
        <v/>
      </c>
      <c r="U464" s="24" t="str">
        <f t="shared" si="349"/>
        <v/>
      </c>
      <c r="V464" s="24" t="str">
        <f t="shared" si="350"/>
        <v/>
      </c>
      <c r="W464" s="23" t="str">
        <f t="array" ref="W464">IFERROR(SMALL(IF(S$1:S$1000="BEGIN",ROW(S$1:S$1000)),ROW()-3),"")</f>
        <v/>
      </c>
      <c r="X464" s="23" t="str">
        <f t="array" ref="X464">IFERROR(SMALL(IF(T$1:T$1000="END",ROW(T$1:T$1000)),ROW()-3),"")</f>
        <v/>
      </c>
      <c r="Y464" s="33" t="str">
        <f t="array" ref="Y464">IF(ISNUMBER(W464),MAX(IF((B$4:B$1000&lt;=X464)*(B$4:B$1000&gt;=W464),I$4:I$1000, "")),"")</f>
        <v/>
      </c>
      <c r="Z464" s="33" t="str">
        <f t="shared" si="335"/>
        <v/>
      </c>
      <c r="AA464" s="32" t="str">
        <f t="shared" si="336"/>
        <v/>
      </c>
      <c r="AB464" s="32" t="str">
        <f t="shared" si="337"/>
        <v/>
      </c>
      <c r="AC464" s="32" t="str">
        <f t="shared" si="338"/>
        <v/>
      </c>
      <c r="AD464" s="32" t="str">
        <f t="shared" si="339"/>
        <v/>
      </c>
      <c r="AE464" s="34" t="str">
        <f t="shared" si="340"/>
        <v/>
      </c>
      <c r="AF464" s="32" t="str">
        <f t="shared" si="341"/>
        <v/>
      </c>
      <c r="AG464" s="32" t="str">
        <f t="shared" si="342"/>
        <v/>
      </c>
      <c r="AH464" s="32" t="str">
        <f t="shared" si="343"/>
        <v/>
      </c>
      <c r="AI464" s="35" t="str">
        <f t="shared" si="344"/>
        <v/>
      </c>
      <c r="AJ464" s="23" t="str">
        <f t="array" ref="AJ464">IFERROR(SMALL(IF(U$1:U$1000="BEGIN",ROW(U$1:U$1000)),ROW()-3),"")</f>
        <v/>
      </c>
      <c r="AK464" s="23" t="str">
        <f t="array" ref="AK464">IFERROR(SMALL(IF(V$1:V$1000="END",ROW(V$1:V$1000)),ROW()-3),"")</f>
        <v/>
      </c>
      <c r="AL464" s="24" t="str">
        <f t="array" ref="AL464">IF(AK464="","",MATCH(AM464,L:L,0))</f>
        <v/>
      </c>
      <c r="AM464" s="35">
        <f t="array" ref="AM464">MAX(IF((B$4:B$1000&lt;=AK464)*(B$4:B$1000&gt;=AJ464),L$4:L$1000, ""))</f>
        <v>0</v>
      </c>
      <c r="AN464" s="32" t="str">
        <f t="shared" si="308"/>
        <v/>
      </c>
      <c r="AO464" s="32" t="str">
        <f t="shared" si="309"/>
        <v/>
      </c>
      <c r="AP464" s="32" t="str">
        <f t="shared" si="310"/>
        <v/>
      </c>
      <c r="AQ464" s="32" t="str">
        <f t="shared" si="311"/>
        <v/>
      </c>
      <c r="AR464" s="32" t="str">
        <f t="shared" si="312"/>
        <v/>
      </c>
      <c r="AS464" s="32" t="str">
        <f t="shared" si="313"/>
        <v/>
      </c>
      <c r="AT464" s="32" t="str">
        <f t="shared" si="314"/>
        <v/>
      </c>
      <c r="AU464" s="34" t="str">
        <f t="shared" si="315"/>
        <v/>
      </c>
      <c r="AV464" s="32" t="str">
        <f t="shared" si="316"/>
        <v/>
      </c>
      <c r="AW464" s="32" t="str">
        <f t="shared" si="317"/>
        <v/>
      </c>
      <c r="AX464" s="32" t="str">
        <f t="shared" si="318"/>
        <v/>
      </c>
      <c r="AY464" s="32" t="str">
        <f t="shared" si="319"/>
        <v/>
      </c>
    </row>
    <row r="465" spans="1:51" x14ac:dyDescent="0.25">
      <c r="A465" s="24" t="str">
        <f t="shared" si="320"/>
        <v/>
      </c>
      <c r="B465" s="24" t="str">
        <f t="shared" si="330"/>
        <v/>
      </c>
      <c r="C465" s="32" t="str">
        <f t="shared" si="321"/>
        <v/>
      </c>
      <c r="D465" s="24" t="str">
        <f t="shared" si="322"/>
        <v/>
      </c>
      <c r="E465" s="24" t="str">
        <f t="shared" si="323"/>
        <v/>
      </c>
      <c r="F465" s="32" t="str">
        <f t="shared" si="324"/>
        <v/>
      </c>
      <c r="G465" s="32" t="str">
        <f t="shared" si="325"/>
        <v/>
      </c>
      <c r="H465" s="32" t="str">
        <f t="shared" ca="1" si="326"/>
        <v/>
      </c>
      <c r="I465" s="32" t="str">
        <f t="shared" ca="1" si="331"/>
        <v/>
      </c>
      <c r="J465" s="32" t="str">
        <f t="shared" si="327"/>
        <v/>
      </c>
      <c r="K465" s="32" t="str">
        <f>IF(ISNUMBER(A465),Profile!$V$25+Profile!$V$24*'Ri-Po'!C465,"")</f>
        <v/>
      </c>
      <c r="L465" s="32" t="str">
        <f t="shared" si="332"/>
        <v/>
      </c>
      <c r="M465" s="32" t="str">
        <f t="shared" si="328"/>
        <v/>
      </c>
      <c r="N465" s="32" t="str">
        <f t="shared" si="329"/>
        <v/>
      </c>
      <c r="O465" s="32" t="str">
        <f t="shared" si="345"/>
        <v/>
      </c>
      <c r="P465" s="32" t="str">
        <f t="shared" si="333"/>
        <v/>
      </c>
      <c r="Q465" s="32" t="str">
        <f t="shared" si="334"/>
        <v/>
      </c>
      <c r="R465" s="32" t="str">
        <f t="shared" si="346"/>
        <v/>
      </c>
      <c r="S465" s="24" t="str">
        <f t="shared" si="347"/>
        <v/>
      </c>
      <c r="T465" s="24" t="str">
        <f t="shared" si="348"/>
        <v/>
      </c>
      <c r="U465" s="24" t="str">
        <f t="shared" si="349"/>
        <v/>
      </c>
      <c r="V465" s="24" t="str">
        <f t="shared" si="350"/>
        <v/>
      </c>
      <c r="W465" s="23" t="str">
        <f t="array" ref="W465">IFERROR(SMALL(IF(S$1:S$1000="BEGIN",ROW(S$1:S$1000)),ROW()-3),"")</f>
        <v/>
      </c>
      <c r="X465" s="23" t="str">
        <f t="array" ref="X465">IFERROR(SMALL(IF(T$1:T$1000="END",ROW(T$1:T$1000)),ROW()-3),"")</f>
        <v/>
      </c>
      <c r="Y465" s="33" t="str">
        <f t="array" ref="Y465">IF(ISNUMBER(W465),MAX(IF((B$4:B$1000&lt;=X465)*(B$4:B$1000&gt;=W465),I$4:I$1000, "")),"")</f>
        <v/>
      </c>
      <c r="Z465" s="33" t="str">
        <f t="shared" si="335"/>
        <v/>
      </c>
      <c r="AA465" s="32" t="str">
        <f t="shared" si="336"/>
        <v/>
      </c>
      <c r="AB465" s="32" t="str">
        <f t="shared" si="337"/>
        <v/>
      </c>
      <c r="AC465" s="32" t="str">
        <f t="shared" si="338"/>
        <v/>
      </c>
      <c r="AD465" s="32" t="str">
        <f t="shared" si="339"/>
        <v/>
      </c>
      <c r="AE465" s="34" t="str">
        <f t="shared" si="340"/>
        <v/>
      </c>
      <c r="AF465" s="32" t="str">
        <f t="shared" si="341"/>
        <v/>
      </c>
      <c r="AG465" s="32" t="str">
        <f t="shared" si="342"/>
        <v/>
      </c>
      <c r="AH465" s="32" t="str">
        <f t="shared" si="343"/>
        <v/>
      </c>
      <c r="AI465" s="35" t="str">
        <f t="shared" si="344"/>
        <v/>
      </c>
      <c r="AJ465" s="23" t="str">
        <f t="array" ref="AJ465">IFERROR(SMALL(IF(U$1:U$1000="BEGIN",ROW(U$1:U$1000)),ROW()-3),"")</f>
        <v/>
      </c>
      <c r="AK465" s="23" t="str">
        <f t="array" ref="AK465">IFERROR(SMALL(IF(V$1:V$1000="END",ROW(V$1:V$1000)),ROW()-3),"")</f>
        <v/>
      </c>
      <c r="AL465" s="24" t="str">
        <f t="array" ref="AL465">IF(AK465="","",MATCH(AM465,L:L,0))</f>
        <v/>
      </c>
      <c r="AM465" s="35">
        <f t="array" ref="AM465">MAX(IF((B$4:B$1000&lt;=AK465)*(B$4:B$1000&gt;=AJ465),L$4:L$1000, ""))</f>
        <v>0</v>
      </c>
      <c r="AN465" s="32" t="str">
        <f t="shared" si="308"/>
        <v/>
      </c>
      <c r="AO465" s="32" t="str">
        <f t="shared" si="309"/>
        <v/>
      </c>
      <c r="AP465" s="32" t="str">
        <f t="shared" si="310"/>
        <v/>
      </c>
      <c r="AQ465" s="32" t="str">
        <f t="shared" si="311"/>
        <v/>
      </c>
      <c r="AR465" s="32" t="str">
        <f t="shared" si="312"/>
        <v/>
      </c>
      <c r="AS465" s="32" t="str">
        <f t="shared" si="313"/>
        <v/>
      </c>
      <c r="AT465" s="32" t="str">
        <f t="shared" si="314"/>
        <v/>
      </c>
      <c r="AU465" s="34" t="str">
        <f t="shared" si="315"/>
        <v/>
      </c>
      <c r="AV465" s="32" t="str">
        <f t="shared" si="316"/>
        <v/>
      </c>
      <c r="AW465" s="32" t="str">
        <f t="shared" si="317"/>
        <v/>
      </c>
      <c r="AX465" s="32" t="str">
        <f t="shared" si="318"/>
        <v/>
      </c>
      <c r="AY465" s="32" t="str">
        <f t="shared" si="319"/>
        <v/>
      </c>
    </row>
    <row r="466" spans="1:51" x14ac:dyDescent="0.25">
      <c r="A466" s="24" t="str">
        <f t="shared" si="320"/>
        <v/>
      </c>
      <c r="B466" s="24" t="str">
        <f t="shared" si="330"/>
        <v/>
      </c>
      <c r="C466" s="32" t="str">
        <f t="shared" si="321"/>
        <v/>
      </c>
      <c r="D466" s="24" t="str">
        <f t="shared" si="322"/>
        <v/>
      </c>
      <c r="E466" s="24" t="str">
        <f t="shared" si="323"/>
        <v/>
      </c>
      <c r="F466" s="32" t="str">
        <f t="shared" si="324"/>
        <v/>
      </c>
      <c r="G466" s="32" t="str">
        <f t="shared" si="325"/>
        <v/>
      </c>
      <c r="H466" s="32" t="str">
        <f t="shared" ca="1" si="326"/>
        <v/>
      </c>
      <c r="I466" s="32" t="str">
        <f t="shared" ca="1" si="331"/>
        <v/>
      </c>
      <c r="J466" s="32" t="str">
        <f t="shared" si="327"/>
        <v/>
      </c>
      <c r="K466" s="32" t="str">
        <f>IF(ISNUMBER(A466),Profile!$V$25+Profile!$V$24*'Ri-Po'!C466,"")</f>
        <v/>
      </c>
      <c r="L466" s="32" t="str">
        <f t="shared" si="332"/>
        <v/>
      </c>
      <c r="M466" s="32" t="str">
        <f t="shared" si="328"/>
        <v/>
      </c>
      <c r="N466" s="32" t="str">
        <f t="shared" si="329"/>
        <v/>
      </c>
      <c r="O466" s="32" t="str">
        <f t="shared" si="345"/>
        <v/>
      </c>
      <c r="P466" s="32" t="str">
        <f t="shared" si="333"/>
        <v/>
      </c>
      <c r="Q466" s="32" t="str">
        <f t="shared" si="334"/>
        <v/>
      </c>
      <c r="R466" s="32" t="str">
        <f t="shared" si="346"/>
        <v/>
      </c>
      <c r="S466" s="24" t="str">
        <f t="shared" si="347"/>
        <v/>
      </c>
      <c r="T466" s="24" t="str">
        <f t="shared" si="348"/>
        <v/>
      </c>
      <c r="U466" s="24" t="str">
        <f t="shared" si="349"/>
        <v/>
      </c>
      <c r="V466" s="24" t="str">
        <f t="shared" si="350"/>
        <v/>
      </c>
      <c r="W466" s="23" t="str">
        <f t="array" ref="W466">IFERROR(SMALL(IF(S$1:S$1000="BEGIN",ROW(S$1:S$1000)),ROW()-3),"")</f>
        <v/>
      </c>
      <c r="X466" s="23" t="str">
        <f t="array" ref="X466">IFERROR(SMALL(IF(T$1:T$1000="END",ROW(T$1:T$1000)),ROW()-3),"")</f>
        <v/>
      </c>
      <c r="Y466" s="33" t="str">
        <f t="array" ref="Y466">IF(ISNUMBER(W466),MAX(IF((B$4:B$1000&lt;=X466)*(B$4:B$1000&gt;=W466),I$4:I$1000, "")),"")</f>
        <v/>
      </c>
      <c r="Z466" s="33" t="str">
        <f t="shared" si="335"/>
        <v/>
      </c>
      <c r="AA466" s="32" t="str">
        <f t="shared" si="336"/>
        <v/>
      </c>
      <c r="AB466" s="32" t="str">
        <f t="shared" si="337"/>
        <v/>
      </c>
      <c r="AC466" s="32" t="str">
        <f t="shared" si="338"/>
        <v/>
      </c>
      <c r="AD466" s="32" t="str">
        <f t="shared" si="339"/>
        <v/>
      </c>
      <c r="AE466" s="34" t="str">
        <f t="shared" si="340"/>
        <v/>
      </c>
      <c r="AF466" s="32" t="str">
        <f t="shared" si="341"/>
        <v/>
      </c>
      <c r="AG466" s="32" t="str">
        <f t="shared" si="342"/>
        <v/>
      </c>
      <c r="AH466" s="32" t="str">
        <f t="shared" si="343"/>
        <v/>
      </c>
      <c r="AI466" s="35" t="str">
        <f t="shared" si="344"/>
        <v/>
      </c>
      <c r="AJ466" s="23" t="str">
        <f t="array" ref="AJ466">IFERROR(SMALL(IF(U$1:U$1000="BEGIN",ROW(U$1:U$1000)),ROW()-3),"")</f>
        <v/>
      </c>
      <c r="AK466" s="23" t="str">
        <f t="array" ref="AK466">IFERROR(SMALL(IF(V$1:V$1000="END",ROW(V$1:V$1000)),ROW()-3),"")</f>
        <v/>
      </c>
      <c r="AL466" s="24" t="str">
        <f t="array" ref="AL466">IF(AK466="","",MATCH(AM466,L:L,0))</f>
        <v/>
      </c>
      <c r="AM466" s="35">
        <f t="array" ref="AM466">MAX(IF((B$4:B$1000&lt;=AK466)*(B$4:B$1000&gt;=AJ466),L$4:L$1000, ""))</f>
        <v>0</v>
      </c>
      <c r="AN466" s="32" t="str">
        <f t="shared" ref="AN466:AN529" si="351">IFERROR(INDEX(C:C,AJ466),"")</f>
        <v/>
      </c>
      <c r="AO466" s="32" t="str">
        <f t="shared" ref="AO466:AO529" si="352">IFERROR(INDEX(C:C,AK466),"")</f>
        <v/>
      </c>
      <c r="AP466" s="32" t="str">
        <f t="shared" ref="AP466:AP529" si="353">IFERROR(INDEX(C:C,AL466),"")</f>
        <v/>
      </c>
      <c r="AQ466" s="32" t="str">
        <f t="shared" ref="AQ466:AQ529" si="354">IF(ISNUMBER(AN466),AM466,"")</f>
        <v/>
      </c>
      <c r="AR466" s="32" t="str">
        <f t="shared" ref="AR466:AR529" si="355">IFERROR(AO466-AN466,"")</f>
        <v/>
      </c>
      <c r="AS466" s="32" t="str">
        <f t="shared" ref="AS466:AS529" si="356">IFERROR(INDEX(H:H,AJ466),"")</f>
        <v/>
      </c>
      <c r="AT466" s="32" t="str">
        <f t="shared" ref="AT466:AT529" si="357">IFERROR(INDEX(H:H,AK466),"")</f>
        <v/>
      </c>
      <c r="AU466" s="34" t="str">
        <f t="shared" ref="AU466:AU529" si="358">IFERROR((AS466-AT466)/(AR466),"")</f>
        <v/>
      </c>
      <c r="AV466" s="32" t="str">
        <f t="shared" ref="AV466:AV529" si="359">IFERROR(AQ466/$BB$17,"")</f>
        <v/>
      </c>
      <c r="AW466" s="32" t="str">
        <f t="shared" ref="AW466:AW529" si="360">IFERROR(AU466/BB$19,"")</f>
        <v/>
      </c>
      <c r="AX466" s="32" t="str">
        <f t="shared" ref="AX466:AX529" si="361">IFERROR(AP467-AP466,"")</f>
        <v/>
      </c>
      <c r="AY466" s="32" t="str">
        <f t="shared" ref="AY466:AY529" si="362">IFERROR(AX466/BB$16,"")</f>
        <v/>
      </c>
    </row>
    <row r="467" spans="1:51" x14ac:dyDescent="0.25">
      <c r="A467" s="24" t="str">
        <f t="shared" si="320"/>
        <v/>
      </c>
      <c r="B467" s="24" t="str">
        <f t="shared" si="330"/>
        <v/>
      </c>
      <c r="C467" s="32" t="str">
        <f t="shared" si="321"/>
        <v/>
      </c>
      <c r="D467" s="24" t="str">
        <f t="shared" si="322"/>
        <v/>
      </c>
      <c r="E467" s="24" t="str">
        <f t="shared" si="323"/>
        <v/>
      </c>
      <c r="F467" s="32" t="str">
        <f t="shared" si="324"/>
        <v/>
      </c>
      <c r="G467" s="32" t="str">
        <f t="shared" si="325"/>
        <v/>
      </c>
      <c r="H467" s="32" t="str">
        <f t="shared" ca="1" si="326"/>
        <v/>
      </c>
      <c r="I467" s="32" t="str">
        <f t="shared" ca="1" si="331"/>
        <v/>
      </c>
      <c r="J467" s="32" t="str">
        <f t="shared" si="327"/>
        <v/>
      </c>
      <c r="K467" s="32" t="str">
        <f>IF(ISNUMBER(A467),Profile!$V$25+Profile!$V$24*'Ri-Po'!C467,"")</f>
        <v/>
      </c>
      <c r="L467" s="32" t="str">
        <f t="shared" si="332"/>
        <v/>
      </c>
      <c r="M467" s="32" t="str">
        <f t="shared" si="328"/>
        <v/>
      </c>
      <c r="N467" s="32" t="str">
        <f t="shared" si="329"/>
        <v/>
      </c>
      <c r="O467" s="32" t="str">
        <f t="shared" si="345"/>
        <v/>
      </c>
      <c r="P467" s="32" t="str">
        <f t="shared" si="333"/>
        <v/>
      </c>
      <c r="Q467" s="32" t="str">
        <f t="shared" si="334"/>
        <v/>
      </c>
      <c r="R467" s="32" t="str">
        <f t="shared" si="346"/>
        <v/>
      </c>
      <c r="S467" s="24" t="str">
        <f t="shared" si="347"/>
        <v/>
      </c>
      <c r="T467" s="24" t="str">
        <f t="shared" si="348"/>
        <v/>
      </c>
      <c r="U467" s="24" t="str">
        <f t="shared" si="349"/>
        <v/>
      </c>
      <c r="V467" s="24" t="str">
        <f t="shared" si="350"/>
        <v/>
      </c>
      <c r="W467" s="23" t="str">
        <f t="array" ref="W467">IFERROR(SMALL(IF(S$1:S$1000="BEGIN",ROW(S$1:S$1000)),ROW()-3),"")</f>
        <v/>
      </c>
      <c r="X467" s="23" t="str">
        <f t="array" ref="X467">IFERROR(SMALL(IF(T$1:T$1000="END",ROW(T$1:T$1000)),ROW()-3),"")</f>
        <v/>
      </c>
      <c r="Y467" s="33" t="str">
        <f t="array" ref="Y467">IF(ISNUMBER(W467),MAX(IF((B$4:B$1000&lt;=X467)*(B$4:B$1000&gt;=W467),I$4:I$1000, "")),"")</f>
        <v/>
      </c>
      <c r="Z467" s="33" t="str">
        <f t="shared" si="335"/>
        <v/>
      </c>
      <c r="AA467" s="32" t="str">
        <f t="shared" si="336"/>
        <v/>
      </c>
      <c r="AB467" s="32" t="str">
        <f t="shared" si="337"/>
        <v/>
      </c>
      <c r="AC467" s="32" t="str">
        <f t="shared" si="338"/>
        <v/>
      </c>
      <c r="AD467" s="32" t="str">
        <f t="shared" si="339"/>
        <v/>
      </c>
      <c r="AE467" s="34" t="str">
        <f t="shared" si="340"/>
        <v/>
      </c>
      <c r="AF467" s="32" t="str">
        <f t="shared" si="341"/>
        <v/>
      </c>
      <c r="AG467" s="32" t="str">
        <f t="shared" si="342"/>
        <v/>
      </c>
      <c r="AH467" s="32" t="str">
        <f t="shared" si="343"/>
        <v/>
      </c>
      <c r="AI467" s="35" t="str">
        <f t="shared" si="344"/>
        <v/>
      </c>
      <c r="AJ467" s="23" t="str">
        <f t="array" ref="AJ467">IFERROR(SMALL(IF(U$1:U$1000="BEGIN",ROW(U$1:U$1000)),ROW()-3),"")</f>
        <v/>
      </c>
      <c r="AK467" s="23" t="str">
        <f t="array" ref="AK467">IFERROR(SMALL(IF(V$1:V$1000="END",ROW(V$1:V$1000)),ROW()-3),"")</f>
        <v/>
      </c>
      <c r="AL467" s="24" t="str">
        <f t="array" ref="AL467">IF(AK467="","",MATCH(AM467,L:L,0))</f>
        <v/>
      </c>
      <c r="AM467" s="35">
        <f t="array" ref="AM467">MAX(IF((B$4:B$1000&lt;=AK467)*(B$4:B$1000&gt;=AJ467),L$4:L$1000, ""))</f>
        <v>0</v>
      </c>
      <c r="AN467" s="32" t="str">
        <f t="shared" si="351"/>
        <v/>
      </c>
      <c r="AO467" s="32" t="str">
        <f t="shared" si="352"/>
        <v/>
      </c>
      <c r="AP467" s="32" t="str">
        <f t="shared" si="353"/>
        <v/>
      </c>
      <c r="AQ467" s="32" t="str">
        <f t="shared" si="354"/>
        <v/>
      </c>
      <c r="AR467" s="32" t="str">
        <f t="shared" si="355"/>
        <v/>
      </c>
      <c r="AS467" s="32" t="str">
        <f t="shared" si="356"/>
        <v/>
      </c>
      <c r="AT467" s="32" t="str">
        <f t="shared" si="357"/>
        <v/>
      </c>
      <c r="AU467" s="34" t="str">
        <f t="shared" si="358"/>
        <v/>
      </c>
      <c r="AV467" s="32" t="str">
        <f t="shared" si="359"/>
        <v/>
      </c>
      <c r="AW467" s="32" t="str">
        <f t="shared" si="360"/>
        <v/>
      </c>
      <c r="AX467" s="32" t="str">
        <f t="shared" si="361"/>
        <v/>
      </c>
      <c r="AY467" s="32" t="str">
        <f t="shared" si="362"/>
        <v/>
      </c>
    </row>
    <row r="468" spans="1:51" x14ac:dyDescent="0.25">
      <c r="A468" s="24" t="str">
        <f t="shared" si="320"/>
        <v/>
      </c>
      <c r="B468" s="24" t="str">
        <f t="shared" si="330"/>
        <v/>
      </c>
      <c r="C468" s="32" t="str">
        <f t="shared" si="321"/>
        <v/>
      </c>
      <c r="D468" s="24" t="str">
        <f t="shared" si="322"/>
        <v/>
      </c>
      <c r="E468" s="24" t="str">
        <f t="shared" si="323"/>
        <v/>
      </c>
      <c r="F468" s="32" t="str">
        <f t="shared" si="324"/>
        <v/>
      </c>
      <c r="G468" s="32" t="str">
        <f t="shared" si="325"/>
        <v/>
      </c>
      <c r="H468" s="32" t="str">
        <f t="shared" ca="1" si="326"/>
        <v/>
      </c>
      <c r="I468" s="32" t="str">
        <f t="shared" ca="1" si="331"/>
        <v/>
      </c>
      <c r="J468" s="32" t="str">
        <f t="shared" si="327"/>
        <v/>
      </c>
      <c r="K468" s="32" t="str">
        <f>IF(ISNUMBER(A468),Profile!$V$25+Profile!$V$24*'Ri-Po'!C468,"")</f>
        <v/>
      </c>
      <c r="L468" s="32" t="str">
        <f t="shared" si="332"/>
        <v/>
      </c>
      <c r="M468" s="32" t="str">
        <f t="shared" si="328"/>
        <v/>
      </c>
      <c r="N468" s="32" t="str">
        <f t="shared" si="329"/>
        <v/>
      </c>
      <c r="O468" s="32" t="str">
        <f t="shared" si="345"/>
        <v/>
      </c>
      <c r="P468" s="32" t="str">
        <f t="shared" si="333"/>
        <v/>
      </c>
      <c r="Q468" s="32" t="str">
        <f t="shared" si="334"/>
        <v/>
      </c>
      <c r="R468" s="32" t="str">
        <f t="shared" si="346"/>
        <v/>
      </c>
      <c r="S468" s="24" t="str">
        <f t="shared" si="347"/>
        <v/>
      </c>
      <c r="T468" s="24" t="str">
        <f t="shared" si="348"/>
        <v/>
      </c>
      <c r="U468" s="24" t="str">
        <f t="shared" si="349"/>
        <v/>
      </c>
      <c r="V468" s="24" t="str">
        <f t="shared" si="350"/>
        <v/>
      </c>
      <c r="W468" s="23" t="str">
        <f t="array" ref="W468">IFERROR(SMALL(IF(S$1:S$1000="BEGIN",ROW(S$1:S$1000)),ROW()-3),"")</f>
        <v/>
      </c>
      <c r="X468" s="23" t="str">
        <f t="array" ref="X468">IFERROR(SMALL(IF(T$1:T$1000="END",ROW(T$1:T$1000)),ROW()-3),"")</f>
        <v/>
      </c>
      <c r="Y468" s="33" t="str">
        <f t="array" ref="Y468">IF(ISNUMBER(W468),MAX(IF((B$4:B$1000&lt;=X468)*(B$4:B$1000&gt;=W468),I$4:I$1000, "")),"")</f>
        <v/>
      </c>
      <c r="Z468" s="33" t="str">
        <f t="shared" si="335"/>
        <v/>
      </c>
      <c r="AA468" s="32" t="str">
        <f t="shared" si="336"/>
        <v/>
      </c>
      <c r="AB468" s="32" t="str">
        <f t="shared" si="337"/>
        <v/>
      </c>
      <c r="AC468" s="32" t="str">
        <f t="shared" si="338"/>
        <v/>
      </c>
      <c r="AD468" s="32" t="str">
        <f t="shared" si="339"/>
        <v/>
      </c>
      <c r="AE468" s="34" t="str">
        <f t="shared" si="340"/>
        <v/>
      </c>
      <c r="AF468" s="32" t="str">
        <f t="shared" si="341"/>
        <v/>
      </c>
      <c r="AG468" s="32" t="str">
        <f t="shared" si="342"/>
        <v/>
      </c>
      <c r="AH468" s="32" t="str">
        <f t="shared" si="343"/>
        <v/>
      </c>
      <c r="AI468" s="35" t="str">
        <f t="shared" si="344"/>
        <v/>
      </c>
      <c r="AJ468" s="23" t="str">
        <f t="array" ref="AJ468">IFERROR(SMALL(IF(U$1:U$1000="BEGIN",ROW(U$1:U$1000)),ROW()-3),"")</f>
        <v/>
      </c>
      <c r="AK468" s="23" t="str">
        <f t="array" ref="AK468">IFERROR(SMALL(IF(V$1:V$1000="END",ROW(V$1:V$1000)),ROW()-3),"")</f>
        <v/>
      </c>
      <c r="AL468" s="24" t="str">
        <f t="array" ref="AL468">IF(AK468="","",MATCH(AM468,L:L,0))</f>
        <v/>
      </c>
      <c r="AM468" s="35">
        <f t="array" ref="AM468">MAX(IF((B$4:B$1000&lt;=AK468)*(B$4:B$1000&gt;=AJ468),L$4:L$1000, ""))</f>
        <v>0</v>
      </c>
      <c r="AN468" s="32" t="str">
        <f t="shared" si="351"/>
        <v/>
      </c>
      <c r="AO468" s="32" t="str">
        <f t="shared" si="352"/>
        <v/>
      </c>
      <c r="AP468" s="32" t="str">
        <f t="shared" si="353"/>
        <v/>
      </c>
      <c r="AQ468" s="32" t="str">
        <f t="shared" si="354"/>
        <v/>
      </c>
      <c r="AR468" s="32" t="str">
        <f t="shared" si="355"/>
        <v/>
      </c>
      <c r="AS468" s="32" t="str">
        <f t="shared" si="356"/>
        <v/>
      </c>
      <c r="AT468" s="32" t="str">
        <f t="shared" si="357"/>
        <v/>
      </c>
      <c r="AU468" s="34" t="str">
        <f t="shared" si="358"/>
        <v/>
      </c>
      <c r="AV468" s="32" t="str">
        <f t="shared" si="359"/>
        <v/>
      </c>
      <c r="AW468" s="32" t="str">
        <f t="shared" si="360"/>
        <v/>
      </c>
      <c r="AX468" s="32" t="str">
        <f t="shared" si="361"/>
        <v/>
      </c>
      <c r="AY468" s="32" t="str">
        <f t="shared" si="362"/>
        <v/>
      </c>
    </row>
    <row r="469" spans="1:51" x14ac:dyDescent="0.25">
      <c r="A469" s="24" t="str">
        <f t="shared" si="320"/>
        <v/>
      </c>
      <c r="B469" s="24" t="str">
        <f t="shared" si="330"/>
        <v/>
      </c>
      <c r="C469" s="32" t="str">
        <f t="shared" si="321"/>
        <v/>
      </c>
      <c r="D469" s="24" t="str">
        <f t="shared" si="322"/>
        <v/>
      </c>
      <c r="E469" s="24" t="str">
        <f t="shared" si="323"/>
        <v/>
      </c>
      <c r="F469" s="32" t="str">
        <f t="shared" si="324"/>
        <v/>
      </c>
      <c r="G469" s="32" t="str">
        <f t="shared" si="325"/>
        <v/>
      </c>
      <c r="H469" s="32" t="str">
        <f t="shared" ca="1" si="326"/>
        <v/>
      </c>
      <c r="I469" s="32" t="str">
        <f t="shared" ca="1" si="331"/>
        <v/>
      </c>
      <c r="J469" s="32" t="str">
        <f t="shared" si="327"/>
        <v/>
      </c>
      <c r="K469" s="32" t="str">
        <f>IF(ISNUMBER(A469),Profile!$V$25+Profile!$V$24*'Ri-Po'!C469,"")</f>
        <v/>
      </c>
      <c r="L469" s="32" t="str">
        <f t="shared" si="332"/>
        <v/>
      </c>
      <c r="M469" s="32" t="str">
        <f t="shared" si="328"/>
        <v/>
      </c>
      <c r="N469" s="32" t="str">
        <f t="shared" si="329"/>
        <v/>
      </c>
      <c r="O469" s="32" t="str">
        <f t="shared" si="345"/>
        <v/>
      </c>
      <c r="P469" s="32" t="str">
        <f t="shared" si="333"/>
        <v/>
      </c>
      <c r="Q469" s="32" t="str">
        <f t="shared" si="334"/>
        <v/>
      </c>
      <c r="R469" s="32" t="str">
        <f t="shared" si="346"/>
        <v/>
      </c>
      <c r="S469" s="24" t="str">
        <f t="shared" si="347"/>
        <v/>
      </c>
      <c r="T469" s="24" t="str">
        <f t="shared" si="348"/>
        <v/>
      </c>
      <c r="U469" s="24" t="str">
        <f t="shared" si="349"/>
        <v/>
      </c>
      <c r="V469" s="24" t="str">
        <f t="shared" si="350"/>
        <v/>
      </c>
      <c r="W469" s="23" t="str">
        <f t="array" ref="W469">IFERROR(SMALL(IF(S$1:S$1000="BEGIN",ROW(S$1:S$1000)),ROW()-3),"")</f>
        <v/>
      </c>
      <c r="X469" s="23" t="str">
        <f t="array" ref="X469">IFERROR(SMALL(IF(T$1:T$1000="END",ROW(T$1:T$1000)),ROW()-3),"")</f>
        <v/>
      </c>
      <c r="Y469" s="33" t="str">
        <f t="array" ref="Y469">IF(ISNUMBER(W469),MAX(IF((B$4:B$1000&lt;=X469)*(B$4:B$1000&gt;=W469),I$4:I$1000, "")),"")</f>
        <v/>
      </c>
      <c r="Z469" s="33" t="str">
        <f t="shared" si="335"/>
        <v/>
      </c>
      <c r="AA469" s="32" t="str">
        <f t="shared" si="336"/>
        <v/>
      </c>
      <c r="AB469" s="32" t="str">
        <f t="shared" si="337"/>
        <v/>
      </c>
      <c r="AC469" s="32" t="str">
        <f t="shared" si="338"/>
        <v/>
      </c>
      <c r="AD469" s="32" t="str">
        <f t="shared" si="339"/>
        <v/>
      </c>
      <c r="AE469" s="34" t="str">
        <f t="shared" si="340"/>
        <v/>
      </c>
      <c r="AF469" s="32" t="str">
        <f t="shared" si="341"/>
        <v/>
      </c>
      <c r="AG469" s="32" t="str">
        <f t="shared" si="342"/>
        <v/>
      </c>
      <c r="AH469" s="32" t="str">
        <f t="shared" si="343"/>
        <v/>
      </c>
      <c r="AI469" s="35" t="str">
        <f t="shared" si="344"/>
        <v/>
      </c>
      <c r="AJ469" s="23" t="str">
        <f t="array" ref="AJ469">IFERROR(SMALL(IF(U$1:U$1000="BEGIN",ROW(U$1:U$1000)),ROW()-3),"")</f>
        <v/>
      </c>
      <c r="AK469" s="23" t="str">
        <f t="array" ref="AK469">IFERROR(SMALL(IF(V$1:V$1000="END",ROW(V$1:V$1000)),ROW()-3),"")</f>
        <v/>
      </c>
      <c r="AL469" s="24" t="str">
        <f t="array" ref="AL469">IF(AK469="","",MATCH(AM469,L:L,0))</f>
        <v/>
      </c>
      <c r="AM469" s="35">
        <f t="array" ref="AM469">MAX(IF((B$4:B$1000&lt;=AK469)*(B$4:B$1000&gt;=AJ469),L$4:L$1000, ""))</f>
        <v>0</v>
      </c>
      <c r="AN469" s="32" t="str">
        <f t="shared" si="351"/>
        <v/>
      </c>
      <c r="AO469" s="32" t="str">
        <f t="shared" si="352"/>
        <v/>
      </c>
      <c r="AP469" s="32" t="str">
        <f t="shared" si="353"/>
        <v/>
      </c>
      <c r="AQ469" s="32" t="str">
        <f t="shared" si="354"/>
        <v/>
      </c>
      <c r="AR469" s="32" t="str">
        <f t="shared" si="355"/>
        <v/>
      </c>
      <c r="AS469" s="32" t="str">
        <f t="shared" si="356"/>
        <v/>
      </c>
      <c r="AT469" s="32" t="str">
        <f t="shared" si="357"/>
        <v/>
      </c>
      <c r="AU469" s="34" t="str">
        <f t="shared" si="358"/>
        <v/>
      </c>
      <c r="AV469" s="32" t="str">
        <f t="shared" si="359"/>
        <v/>
      </c>
      <c r="AW469" s="32" t="str">
        <f t="shared" si="360"/>
        <v/>
      </c>
      <c r="AX469" s="32" t="str">
        <f t="shared" si="361"/>
        <v/>
      </c>
      <c r="AY469" s="32" t="str">
        <f t="shared" si="362"/>
        <v/>
      </c>
    </row>
    <row r="470" spans="1:51" x14ac:dyDescent="0.25">
      <c r="A470" s="24" t="str">
        <f t="shared" si="320"/>
        <v/>
      </c>
      <c r="B470" s="24" t="str">
        <f t="shared" si="330"/>
        <v/>
      </c>
      <c r="C470" s="32" t="str">
        <f t="shared" si="321"/>
        <v/>
      </c>
      <c r="D470" s="24" t="str">
        <f t="shared" si="322"/>
        <v/>
      </c>
      <c r="E470" s="24" t="str">
        <f t="shared" si="323"/>
        <v/>
      </c>
      <c r="F470" s="32" t="str">
        <f t="shared" si="324"/>
        <v/>
      </c>
      <c r="G470" s="32" t="str">
        <f t="shared" si="325"/>
        <v/>
      </c>
      <c r="H470" s="32" t="str">
        <f t="shared" ca="1" si="326"/>
        <v/>
      </c>
      <c r="I470" s="32" t="str">
        <f t="shared" ca="1" si="331"/>
        <v/>
      </c>
      <c r="J470" s="32" t="str">
        <f t="shared" si="327"/>
        <v/>
      </c>
      <c r="K470" s="32" t="str">
        <f>IF(ISNUMBER(A470),Profile!$V$25+Profile!$V$24*'Ri-Po'!C470,"")</f>
        <v/>
      </c>
      <c r="L470" s="32" t="str">
        <f t="shared" si="332"/>
        <v/>
      </c>
      <c r="M470" s="32" t="str">
        <f t="shared" si="328"/>
        <v/>
      </c>
      <c r="N470" s="32" t="str">
        <f t="shared" si="329"/>
        <v/>
      </c>
      <c r="O470" s="32" t="str">
        <f t="shared" si="345"/>
        <v/>
      </c>
      <c r="P470" s="32" t="str">
        <f t="shared" si="333"/>
        <v/>
      </c>
      <c r="Q470" s="32" t="str">
        <f t="shared" si="334"/>
        <v/>
      </c>
      <c r="R470" s="32" t="str">
        <f t="shared" si="346"/>
        <v/>
      </c>
      <c r="S470" s="24" t="str">
        <f t="shared" si="347"/>
        <v/>
      </c>
      <c r="T470" s="24" t="str">
        <f t="shared" si="348"/>
        <v/>
      </c>
      <c r="U470" s="24" t="str">
        <f t="shared" si="349"/>
        <v/>
      </c>
      <c r="V470" s="24" t="str">
        <f t="shared" si="350"/>
        <v/>
      </c>
      <c r="W470" s="23" t="str">
        <f t="array" ref="W470">IFERROR(SMALL(IF(S$1:S$1000="BEGIN",ROW(S$1:S$1000)),ROW()-3),"")</f>
        <v/>
      </c>
      <c r="X470" s="23" t="str">
        <f t="array" ref="X470">IFERROR(SMALL(IF(T$1:T$1000="END",ROW(T$1:T$1000)),ROW()-3),"")</f>
        <v/>
      </c>
      <c r="Y470" s="33" t="str">
        <f t="array" ref="Y470">IF(ISNUMBER(W470),MAX(IF((B$4:B$1000&lt;=X470)*(B$4:B$1000&gt;=W470),I$4:I$1000, "")),"")</f>
        <v/>
      </c>
      <c r="Z470" s="33" t="str">
        <f t="shared" si="335"/>
        <v/>
      </c>
      <c r="AA470" s="32" t="str">
        <f t="shared" si="336"/>
        <v/>
      </c>
      <c r="AB470" s="32" t="str">
        <f t="shared" si="337"/>
        <v/>
      </c>
      <c r="AC470" s="32" t="str">
        <f t="shared" si="338"/>
        <v/>
      </c>
      <c r="AD470" s="32" t="str">
        <f t="shared" si="339"/>
        <v/>
      </c>
      <c r="AE470" s="34" t="str">
        <f t="shared" si="340"/>
        <v/>
      </c>
      <c r="AF470" s="32" t="str">
        <f t="shared" si="341"/>
        <v/>
      </c>
      <c r="AG470" s="32" t="str">
        <f t="shared" si="342"/>
        <v/>
      </c>
      <c r="AH470" s="32" t="str">
        <f t="shared" si="343"/>
        <v/>
      </c>
      <c r="AI470" s="35" t="str">
        <f t="shared" si="344"/>
        <v/>
      </c>
      <c r="AJ470" s="23" t="str">
        <f t="array" ref="AJ470">IFERROR(SMALL(IF(U$1:U$1000="BEGIN",ROW(U$1:U$1000)),ROW()-3),"")</f>
        <v/>
      </c>
      <c r="AK470" s="23" t="str">
        <f t="array" ref="AK470">IFERROR(SMALL(IF(V$1:V$1000="END",ROW(V$1:V$1000)),ROW()-3),"")</f>
        <v/>
      </c>
      <c r="AL470" s="24" t="str">
        <f t="array" ref="AL470">IF(AK470="","",MATCH(AM470,L:L,0))</f>
        <v/>
      </c>
      <c r="AM470" s="35">
        <f t="array" ref="AM470">MAX(IF((B$4:B$1000&lt;=AK470)*(B$4:B$1000&gt;=AJ470),L$4:L$1000, ""))</f>
        <v>0</v>
      </c>
      <c r="AN470" s="32" t="str">
        <f t="shared" si="351"/>
        <v/>
      </c>
      <c r="AO470" s="32" t="str">
        <f t="shared" si="352"/>
        <v/>
      </c>
      <c r="AP470" s="32" t="str">
        <f t="shared" si="353"/>
        <v/>
      </c>
      <c r="AQ470" s="32" t="str">
        <f t="shared" si="354"/>
        <v/>
      </c>
      <c r="AR470" s="32" t="str">
        <f t="shared" si="355"/>
        <v/>
      </c>
      <c r="AS470" s="32" t="str">
        <f t="shared" si="356"/>
        <v/>
      </c>
      <c r="AT470" s="32" t="str">
        <f t="shared" si="357"/>
        <v/>
      </c>
      <c r="AU470" s="34" t="str">
        <f t="shared" si="358"/>
        <v/>
      </c>
      <c r="AV470" s="32" t="str">
        <f t="shared" si="359"/>
        <v/>
      </c>
      <c r="AW470" s="32" t="str">
        <f t="shared" si="360"/>
        <v/>
      </c>
      <c r="AX470" s="32" t="str">
        <f t="shared" si="361"/>
        <v/>
      </c>
      <c r="AY470" s="32" t="str">
        <f t="shared" si="362"/>
        <v/>
      </c>
    </row>
    <row r="471" spans="1:51" x14ac:dyDescent="0.25">
      <c r="A471" s="24" t="str">
        <f t="shared" si="320"/>
        <v/>
      </c>
      <c r="B471" s="24" t="str">
        <f t="shared" si="330"/>
        <v/>
      </c>
      <c r="C471" s="32" t="str">
        <f t="shared" si="321"/>
        <v/>
      </c>
      <c r="D471" s="24" t="str">
        <f t="shared" si="322"/>
        <v/>
      </c>
      <c r="E471" s="24" t="str">
        <f t="shared" si="323"/>
        <v/>
      </c>
      <c r="F471" s="32" t="str">
        <f t="shared" si="324"/>
        <v/>
      </c>
      <c r="G471" s="32" t="str">
        <f t="shared" si="325"/>
        <v/>
      </c>
      <c r="H471" s="32" t="str">
        <f t="shared" ca="1" si="326"/>
        <v/>
      </c>
      <c r="I471" s="32" t="str">
        <f t="shared" ca="1" si="331"/>
        <v/>
      </c>
      <c r="J471" s="32" t="str">
        <f t="shared" si="327"/>
        <v/>
      </c>
      <c r="K471" s="32" t="str">
        <f>IF(ISNUMBER(A471),Profile!$V$25+Profile!$V$24*'Ri-Po'!C471,"")</f>
        <v/>
      </c>
      <c r="L471" s="32" t="str">
        <f t="shared" si="332"/>
        <v/>
      </c>
      <c r="M471" s="32" t="str">
        <f t="shared" si="328"/>
        <v/>
      </c>
      <c r="N471" s="32" t="str">
        <f t="shared" si="329"/>
        <v/>
      </c>
      <c r="O471" s="32" t="str">
        <f t="shared" si="345"/>
        <v/>
      </c>
      <c r="P471" s="32" t="str">
        <f t="shared" si="333"/>
        <v/>
      </c>
      <c r="Q471" s="32" t="str">
        <f t="shared" si="334"/>
        <v/>
      </c>
      <c r="R471" s="32" t="str">
        <f t="shared" si="346"/>
        <v/>
      </c>
      <c r="S471" s="24" t="str">
        <f t="shared" si="347"/>
        <v/>
      </c>
      <c r="T471" s="24" t="str">
        <f t="shared" si="348"/>
        <v/>
      </c>
      <c r="U471" s="24" t="str">
        <f t="shared" si="349"/>
        <v/>
      </c>
      <c r="V471" s="24" t="str">
        <f t="shared" si="350"/>
        <v/>
      </c>
      <c r="W471" s="23" t="str">
        <f t="array" ref="W471">IFERROR(SMALL(IF(S$1:S$1000="BEGIN",ROW(S$1:S$1000)),ROW()-3),"")</f>
        <v/>
      </c>
      <c r="X471" s="23" t="str">
        <f t="array" ref="X471">IFERROR(SMALL(IF(T$1:T$1000="END",ROW(T$1:T$1000)),ROW()-3),"")</f>
        <v/>
      </c>
      <c r="Y471" s="33" t="str">
        <f t="array" ref="Y471">IF(ISNUMBER(W471),MAX(IF((B$4:B$1000&lt;=X471)*(B$4:B$1000&gt;=W471),I$4:I$1000, "")),"")</f>
        <v/>
      </c>
      <c r="Z471" s="33" t="str">
        <f t="shared" si="335"/>
        <v/>
      </c>
      <c r="AA471" s="32" t="str">
        <f t="shared" si="336"/>
        <v/>
      </c>
      <c r="AB471" s="32" t="str">
        <f t="shared" si="337"/>
        <v/>
      </c>
      <c r="AC471" s="32" t="str">
        <f t="shared" si="338"/>
        <v/>
      </c>
      <c r="AD471" s="32" t="str">
        <f t="shared" si="339"/>
        <v/>
      </c>
      <c r="AE471" s="34" t="str">
        <f t="shared" si="340"/>
        <v/>
      </c>
      <c r="AF471" s="32" t="str">
        <f t="shared" si="341"/>
        <v/>
      </c>
      <c r="AG471" s="32" t="str">
        <f t="shared" si="342"/>
        <v/>
      </c>
      <c r="AH471" s="32" t="str">
        <f t="shared" si="343"/>
        <v/>
      </c>
      <c r="AI471" s="35" t="str">
        <f t="shared" si="344"/>
        <v/>
      </c>
      <c r="AJ471" s="23" t="str">
        <f t="array" ref="AJ471">IFERROR(SMALL(IF(U$1:U$1000="BEGIN",ROW(U$1:U$1000)),ROW()-3),"")</f>
        <v/>
      </c>
      <c r="AK471" s="23" t="str">
        <f t="array" ref="AK471">IFERROR(SMALL(IF(V$1:V$1000="END",ROW(V$1:V$1000)),ROW()-3),"")</f>
        <v/>
      </c>
      <c r="AL471" s="24" t="str">
        <f t="array" ref="AL471">IF(AK471="","",MATCH(AM471,L:L,0))</f>
        <v/>
      </c>
      <c r="AM471" s="35">
        <f t="array" ref="AM471">MAX(IF((B$4:B$1000&lt;=AK471)*(B$4:B$1000&gt;=AJ471),L$4:L$1000, ""))</f>
        <v>0</v>
      </c>
      <c r="AN471" s="32" t="str">
        <f t="shared" si="351"/>
        <v/>
      </c>
      <c r="AO471" s="32" t="str">
        <f t="shared" si="352"/>
        <v/>
      </c>
      <c r="AP471" s="32" t="str">
        <f t="shared" si="353"/>
        <v/>
      </c>
      <c r="AQ471" s="32" t="str">
        <f t="shared" si="354"/>
        <v/>
      </c>
      <c r="AR471" s="32" t="str">
        <f t="shared" si="355"/>
        <v/>
      </c>
      <c r="AS471" s="32" t="str">
        <f t="shared" si="356"/>
        <v/>
      </c>
      <c r="AT471" s="32" t="str">
        <f t="shared" si="357"/>
        <v/>
      </c>
      <c r="AU471" s="34" t="str">
        <f t="shared" si="358"/>
        <v/>
      </c>
      <c r="AV471" s="32" t="str">
        <f t="shared" si="359"/>
        <v/>
      </c>
      <c r="AW471" s="32" t="str">
        <f t="shared" si="360"/>
        <v/>
      </c>
      <c r="AX471" s="32" t="str">
        <f t="shared" si="361"/>
        <v/>
      </c>
      <c r="AY471" s="32" t="str">
        <f t="shared" si="362"/>
        <v/>
      </c>
    </row>
    <row r="472" spans="1:51" x14ac:dyDescent="0.25">
      <c r="A472" s="24" t="str">
        <f t="shared" si="320"/>
        <v/>
      </c>
      <c r="B472" s="24" t="str">
        <f t="shared" si="330"/>
        <v/>
      </c>
      <c r="C472" s="32" t="str">
        <f t="shared" si="321"/>
        <v/>
      </c>
      <c r="D472" s="24" t="str">
        <f t="shared" si="322"/>
        <v/>
      </c>
      <c r="E472" s="24" t="str">
        <f t="shared" si="323"/>
        <v/>
      </c>
      <c r="F472" s="32" t="str">
        <f t="shared" si="324"/>
        <v/>
      </c>
      <c r="G472" s="32" t="str">
        <f t="shared" si="325"/>
        <v/>
      </c>
      <c r="H472" s="32" t="str">
        <f t="shared" ca="1" si="326"/>
        <v/>
      </c>
      <c r="I472" s="32" t="str">
        <f t="shared" ca="1" si="331"/>
        <v/>
      </c>
      <c r="J472" s="32" t="str">
        <f t="shared" si="327"/>
        <v/>
      </c>
      <c r="K472" s="32" t="str">
        <f>IF(ISNUMBER(A472),Profile!$V$25+Profile!$V$24*'Ri-Po'!C472,"")</f>
        <v/>
      </c>
      <c r="L472" s="32" t="str">
        <f t="shared" si="332"/>
        <v/>
      </c>
      <c r="M472" s="32" t="str">
        <f t="shared" si="328"/>
        <v/>
      </c>
      <c r="N472" s="32" t="str">
        <f t="shared" si="329"/>
        <v/>
      </c>
      <c r="O472" s="32" t="str">
        <f t="shared" si="345"/>
        <v/>
      </c>
      <c r="P472" s="32" t="str">
        <f t="shared" si="333"/>
        <v/>
      </c>
      <c r="Q472" s="32" t="str">
        <f t="shared" si="334"/>
        <v/>
      </c>
      <c r="R472" s="32" t="str">
        <f t="shared" si="346"/>
        <v/>
      </c>
      <c r="S472" s="24" t="str">
        <f t="shared" si="347"/>
        <v/>
      </c>
      <c r="T472" s="24" t="str">
        <f t="shared" si="348"/>
        <v/>
      </c>
      <c r="U472" s="24" t="str">
        <f t="shared" si="349"/>
        <v/>
      </c>
      <c r="V472" s="24" t="str">
        <f t="shared" si="350"/>
        <v/>
      </c>
      <c r="W472" s="23" t="str">
        <f t="array" ref="W472">IFERROR(SMALL(IF(S$1:S$1000="BEGIN",ROW(S$1:S$1000)),ROW()-3),"")</f>
        <v/>
      </c>
      <c r="X472" s="23" t="str">
        <f t="array" ref="X472">IFERROR(SMALL(IF(T$1:T$1000="END",ROW(T$1:T$1000)),ROW()-3),"")</f>
        <v/>
      </c>
      <c r="Y472" s="33" t="str">
        <f t="array" ref="Y472">IF(ISNUMBER(W472),MAX(IF((B$4:B$1000&lt;=X472)*(B$4:B$1000&gt;=W472),I$4:I$1000, "")),"")</f>
        <v/>
      </c>
      <c r="Z472" s="33" t="str">
        <f t="shared" si="335"/>
        <v/>
      </c>
      <c r="AA472" s="32" t="str">
        <f t="shared" si="336"/>
        <v/>
      </c>
      <c r="AB472" s="32" t="str">
        <f t="shared" si="337"/>
        <v/>
      </c>
      <c r="AC472" s="32" t="str">
        <f t="shared" si="338"/>
        <v/>
      </c>
      <c r="AD472" s="32" t="str">
        <f t="shared" si="339"/>
        <v/>
      </c>
      <c r="AE472" s="34" t="str">
        <f t="shared" si="340"/>
        <v/>
      </c>
      <c r="AF472" s="32" t="str">
        <f t="shared" si="341"/>
        <v/>
      </c>
      <c r="AG472" s="32" t="str">
        <f t="shared" si="342"/>
        <v/>
      </c>
      <c r="AH472" s="32" t="str">
        <f t="shared" si="343"/>
        <v/>
      </c>
      <c r="AI472" s="35" t="str">
        <f t="shared" si="344"/>
        <v/>
      </c>
      <c r="AJ472" s="23" t="str">
        <f t="array" ref="AJ472">IFERROR(SMALL(IF(U$1:U$1000="BEGIN",ROW(U$1:U$1000)),ROW()-3),"")</f>
        <v/>
      </c>
      <c r="AK472" s="23" t="str">
        <f t="array" ref="AK472">IFERROR(SMALL(IF(V$1:V$1000="END",ROW(V$1:V$1000)),ROW()-3),"")</f>
        <v/>
      </c>
      <c r="AL472" s="24" t="str">
        <f t="array" ref="AL472">IF(AK472="","",MATCH(AM472,L:L,0))</f>
        <v/>
      </c>
      <c r="AM472" s="35">
        <f t="array" ref="AM472">MAX(IF((B$4:B$1000&lt;=AK472)*(B$4:B$1000&gt;=AJ472),L$4:L$1000, ""))</f>
        <v>0</v>
      </c>
      <c r="AN472" s="32" t="str">
        <f t="shared" si="351"/>
        <v/>
      </c>
      <c r="AO472" s="32" t="str">
        <f t="shared" si="352"/>
        <v/>
      </c>
      <c r="AP472" s="32" t="str">
        <f t="shared" si="353"/>
        <v/>
      </c>
      <c r="AQ472" s="32" t="str">
        <f t="shared" si="354"/>
        <v/>
      </c>
      <c r="AR472" s="32" t="str">
        <f t="shared" si="355"/>
        <v/>
      </c>
      <c r="AS472" s="32" t="str">
        <f t="shared" si="356"/>
        <v/>
      </c>
      <c r="AT472" s="32" t="str">
        <f t="shared" si="357"/>
        <v/>
      </c>
      <c r="AU472" s="34" t="str">
        <f t="shared" si="358"/>
        <v/>
      </c>
      <c r="AV472" s="32" t="str">
        <f t="shared" si="359"/>
        <v/>
      </c>
      <c r="AW472" s="32" t="str">
        <f t="shared" si="360"/>
        <v/>
      </c>
      <c r="AX472" s="32" t="str">
        <f t="shared" si="361"/>
        <v/>
      </c>
      <c r="AY472" s="32" t="str">
        <f t="shared" si="362"/>
        <v/>
      </c>
    </row>
    <row r="473" spans="1:51" x14ac:dyDescent="0.25">
      <c r="A473" s="24" t="str">
        <f t="shared" si="320"/>
        <v/>
      </c>
      <c r="B473" s="24" t="str">
        <f t="shared" si="330"/>
        <v/>
      </c>
      <c r="C473" s="32" t="str">
        <f t="shared" si="321"/>
        <v/>
      </c>
      <c r="D473" s="24" t="str">
        <f t="shared" si="322"/>
        <v/>
      </c>
      <c r="E473" s="24" t="str">
        <f t="shared" si="323"/>
        <v/>
      </c>
      <c r="F473" s="32" t="str">
        <f t="shared" si="324"/>
        <v/>
      </c>
      <c r="G473" s="32" t="str">
        <f t="shared" si="325"/>
        <v/>
      </c>
      <c r="H473" s="32" t="str">
        <f t="shared" ca="1" si="326"/>
        <v/>
      </c>
      <c r="I473" s="32" t="str">
        <f t="shared" ca="1" si="331"/>
        <v/>
      </c>
      <c r="J473" s="32" t="str">
        <f t="shared" si="327"/>
        <v/>
      </c>
      <c r="K473" s="32" t="str">
        <f>IF(ISNUMBER(A473),Profile!$V$25+Profile!$V$24*'Ri-Po'!C473,"")</f>
        <v/>
      </c>
      <c r="L473" s="32" t="str">
        <f t="shared" si="332"/>
        <v/>
      </c>
      <c r="M473" s="32" t="str">
        <f t="shared" si="328"/>
        <v/>
      </c>
      <c r="N473" s="32" t="str">
        <f t="shared" si="329"/>
        <v/>
      </c>
      <c r="O473" s="32" t="str">
        <f t="shared" si="345"/>
        <v/>
      </c>
      <c r="P473" s="32" t="str">
        <f t="shared" si="333"/>
        <v/>
      </c>
      <c r="Q473" s="32" t="str">
        <f t="shared" si="334"/>
        <v/>
      </c>
      <c r="R473" s="32" t="str">
        <f t="shared" si="346"/>
        <v/>
      </c>
      <c r="S473" s="24" t="str">
        <f t="shared" si="347"/>
        <v/>
      </c>
      <c r="T473" s="24" t="str">
        <f t="shared" si="348"/>
        <v/>
      </c>
      <c r="U473" s="24" t="str">
        <f t="shared" si="349"/>
        <v/>
      </c>
      <c r="V473" s="24" t="str">
        <f t="shared" si="350"/>
        <v/>
      </c>
      <c r="W473" s="23" t="str">
        <f t="array" ref="W473">IFERROR(SMALL(IF(S$1:S$1000="BEGIN",ROW(S$1:S$1000)),ROW()-3),"")</f>
        <v/>
      </c>
      <c r="X473" s="23" t="str">
        <f t="array" ref="X473">IFERROR(SMALL(IF(T$1:T$1000="END",ROW(T$1:T$1000)),ROW()-3),"")</f>
        <v/>
      </c>
      <c r="Y473" s="33" t="str">
        <f t="array" ref="Y473">IF(ISNUMBER(W473),MAX(IF((B$4:B$1000&lt;=X473)*(B$4:B$1000&gt;=W473),I$4:I$1000, "")),"")</f>
        <v/>
      </c>
      <c r="Z473" s="33" t="str">
        <f t="shared" si="335"/>
        <v/>
      </c>
      <c r="AA473" s="32" t="str">
        <f t="shared" si="336"/>
        <v/>
      </c>
      <c r="AB473" s="32" t="str">
        <f t="shared" si="337"/>
        <v/>
      </c>
      <c r="AC473" s="32" t="str">
        <f t="shared" si="338"/>
        <v/>
      </c>
      <c r="AD473" s="32" t="str">
        <f t="shared" si="339"/>
        <v/>
      </c>
      <c r="AE473" s="34" t="str">
        <f t="shared" si="340"/>
        <v/>
      </c>
      <c r="AF473" s="32" t="str">
        <f t="shared" si="341"/>
        <v/>
      </c>
      <c r="AG473" s="32" t="str">
        <f t="shared" si="342"/>
        <v/>
      </c>
      <c r="AH473" s="32" t="str">
        <f t="shared" si="343"/>
        <v/>
      </c>
      <c r="AI473" s="35" t="str">
        <f t="shared" si="344"/>
        <v/>
      </c>
      <c r="AJ473" s="23" t="str">
        <f t="array" ref="AJ473">IFERROR(SMALL(IF(U$1:U$1000="BEGIN",ROW(U$1:U$1000)),ROW()-3),"")</f>
        <v/>
      </c>
      <c r="AK473" s="23" t="str">
        <f t="array" ref="AK473">IFERROR(SMALL(IF(V$1:V$1000="END",ROW(V$1:V$1000)),ROW()-3),"")</f>
        <v/>
      </c>
      <c r="AL473" s="24" t="str">
        <f t="array" ref="AL473">IF(AK473="","",MATCH(AM473,L:L,0))</f>
        <v/>
      </c>
      <c r="AM473" s="35">
        <f t="array" ref="AM473">MAX(IF((B$4:B$1000&lt;=AK473)*(B$4:B$1000&gt;=AJ473),L$4:L$1000, ""))</f>
        <v>0</v>
      </c>
      <c r="AN473" s="32" t="str">
        <f t="shared" si="351"/>
        <v/>
      </c>
      <c r="AO473" s="32" t="str">
        <f t="shared" si="352"/>
        <v/>
      </c>
      <c r="AP473" s="32" t="str">
        <f t="shared" si="353"/>
        <v/>
      </c>
      <c r="AQ473" s="32" t="str">
        <f t="shared" si="354"/>
        <v/>
      </c>
      <c r="AR473" s="32" t="str">
        <f t="shared" si="355"/>
        <v/>
      </c>
      <c r="AS473" s="32" t="str">
        <f t="shared" si="356"/>
        <v/>
      </c>
      <c r="AT473" s="32" t="str">
        <f t="shared" si="357"/>
        <v/>
      </c>
      <c r="AU473" s="34" t="str">
        <f t="shared" si="358"/>
        <v/>
      </c>
      <c r="AV473" s="32" t="str">
        <f t="shared" si="359"/>
        <v/>
      </c>
      <c r="AW473" s="32" t="str">
        <f t="shared" si="360"/>
        <v/>
      </c>
      <c r="AX473" s="32" t="str">
        <f t="shared" si="361"/>
        <v/>
      </c>
      <c r="AY473" s="32" t="str">
        <f t="shared" si="362"/>
        <v/>
      </c>
    </row>
    <row r="474" spans="1:51" x14ac:dyDescent="0.25">
      <c r="A474" s="24" t="str">
        <f t="shared" si="320"/>
        <v/>
      </c>
      <c r="B474" s="24" t="str">
        <f t="shared" si="330"/>
        <v/>
      </c>
      <c r="C474" s="32" t="str">
        <f t="shared" si="321"/>
        <v/>
      </c>
      <c r="D474" s="24" t="str">
        <f t="shared" si="322"/>
        <v/>
      </c>
      <c r="E474" s="24" t="str">
        <f t="shared" si="323"/>
        <v/>
      </c>
      <c r="F474" s="32" t="str">
        <f t="shared" si="324"/>
        <v/>
      </c>
      <c r="G474" s="32" t="str">
        <f t="shared" si="325"/>
        <v/>
      </c>
      <c r="H474" s="32" t="str">
        <f t="shared" ca="1" si="326"/>
        <v/>
      </c>
      <c r="I474" s="32" t="str">
        <f t="shared" ca="1" si="331"/>
        <v/>
      </c>
      <c r="J474" s="32" t="str">
        <f t="shared" si="327"/>
        <v/>
      </c>
      <c r="K474" s="32" t="str">
        <f>IF(ISNUMBER(A474),Profile!$V$25+Profile!$V$24*'Ri-Po'!C474,"")</f>
        <v/>
      </c>
      <c r="L474" s="32" t="str">
        <f t="shared" si="332"/>
        <v/>
      </c>
      <c r="M474" s="32" t="str">
        <f t="shared" si="328"/>
        <v/>
      </c>
      <c r="N474" s="32" t="str">
        <f t="shared" si="329"/>
        <v/>
      </c>
      <c r="O474" s="32" t="str">
        <f t="shared" si="345"/>
        <v/>
      </c>
      <c r="P474" s="32" t="str">
        <f t="shared" si="333"/>
        <v/>
      </c>
      <c r="Q474" s="32" t="str">
        <f t="shared" si="334"/>
        <v/>
      </c>
      <c r="R474" s="32" t="str">
        <f t="shared" si="346"/>
        <v/>
      </c>
      <c r="S474" s="24" t="str">
        <f t="shared" si="347"/>
        <v/>
      </c>
      <c r="T474" s="24" t="str">
        <f t="shared" si="348"/>
        <v/>
      </c>
      <c r="U474" s="24" t="str">
        <f t="shared" si="349"/>
        <v/>
      </c>
      <c r="V474" s="24" t="str">
        <f t="shared" si="350"/>
        <v/>
      </c>
      <c r="W474" s="23" t="str">
        <f t="array" ref="W474">IFERROR(SMALL(IF(S$1:S$1000="BEGIN",ROW(S$1:S$1000)),ROW()-3),"")</f>
        <v/>
      </c>
      <c r="X474" s="23" t="str">
        <f t="array" ref="X474">IFERROR(SMALL(IF(T$1:T$1000="END",ROW(T$1:T$1000)),ROW()-3),"")</f>
        <v/>
      </c>
      <c r="Y474" s="33" t="str">
        <f t="array" ref="Y474">IF(ISNUMBER(W474),MAX(IF((B$4:B$1000&lt;=X474)*(B$4:B$1000&gt;=W474),I$4:I$1000, "")),"")</f>
        <v/>
      </c>
      <c r="Z474" s="33" t="str">
        <f t="shared" si="335"/>
        <v/>
      </c>
      <c r="AA474" s="32" t="str">
        <f t="shared" si="336"/>
        <v/>
      </c>
      <c r="AB474" s="32" t="str">
        <f t="shared" si="337"/>
        <v/>
      </c>
      <c r="AC474" s="32" t="str">
        <f t="shared" si="338"/>
        <v/>
      </c>
      <c r="AD474" s="32" t="str">
        <f t="shared" si="339"/>
        <v/>
      </c>
      <c r="AE474" s="34" t="str">
        <f t="shared" si="340"/>
        <v/>
      </c>
      <c r="AF474" s="32" t="str">
        <f t="shared" si="341"/>
        <v/>
      </c>
      <c r="AG474" s="32" t="str">
        <f t="shared" si="342"/>
        <v/>
      </c>
      <c r="AH474" s="32" t="str">
        <f t="shared" si="343"/>
        <v/>
      </c>
      <c r="AI474" s="35" t="str">
        <f t="shared" si="344"/>
        <v/>
      </c>
      <c r="AJ474" s="23" t="str">
        <f t="array" ref="AJ474">IFERROR(SMALL(IF(U$1:U$1000="BEGIN",ROW(U$1:U$1000)),ROW()-3),"")</f>
        <v/>
      </c>
      <c r="AK474" s="23" t="str">
        <f t="array" ref="AK474">IFERROR(SMALL(IF(V$1:V$1000="END",ROW(V$1:V$1000)),ROW()-3),"")</f>
        <v/>
      </c>
      <c r="AL474" s="24" t="str">
        <f t="array" ref="AL474">IF(AK474="","",MATCH(AM474,L:L,0))</f>
        <v/>
      </c>
      <c r="AM474" s="35">
        <f t="array" ref="AM474">MAX(IF((B$4:B$1000&lt;=AK474)*(B$4:B$1000&gt;=AJ474),L$4:L$1000, ""))</f>
        <v>0</v>
      </c>
      <c r="AN474" s="32" t="str">
        <f t="shared" si="351"/>
        <v/>
      </c>
      <c r="AO474" s="32" t="str">
        <f t="shared" si="352"/>
        <v/>
      </c>
      <c r="AP474" s="32" t="str">
        <f t="shared" si="353"/>
        <v/>
      </c>
      <c r="AQ474" s="32" t="str">
        <f t="shared" si="354"/>
        <v/>
      </c>
      <c r="AR474" s="32" t="str">
        <f t="shared" si="355"/>
        <v/>
      </c>
      <c r="AS474" s="32" t="str">
        <f t="shared" si="356"/>
        <v/>
      </c>
      <c r="AT474" s="32" t="str">
        <f t="shared" si="357"/>
        <v/>
      </c>
      <c r="AU474" s="34" t="str">
        <f t="shared" si="358"/>
        <v/>
      </c>
      <c r="AV474" s="32" t="str">
        <f t="shared" si="359"/>
        <v/>
      </c>
      <c r="AW474" s="32" t="str">
        <f t="shared" si="360"/>
        <v/>
      </c>
      <c r="AX474" s="32" t="str">
        <f t="shared" si="361"/>
        <v/>
      </c>
      <c r="AY474" s="32" t="str">
        <f t="shared" si="362"/>
        <v/>
      </c>
    </row>
    <row r="475" spans="1:51" x14ac:dyDescent="0.25">
      <c r="A475" s="24" t="str">
        <f t="shared" si="320"/>
        <v/>
      </c>
      <c r="B475" s="24" t="str">
        <f t="shared" si="330"/>
        <v/>
      </c>
      <c r="C475" s="32" t="str">
        <f t="shared" si="321"/>
        <v/>
      </c>
      <c r="D475" s="24" t="str">
        <f t="shared" si="322"/>
        <v/>
      </c>
      <c r="E475" s="24" t="str">
        <f t="shared" si="323"/>
        <v/>
      </c>
      <c r="F475" s="32" t="str">
        <f t="shared" si="324"/>
        <v/>
      </c>
      <c r="G475" s="32" t="str">
        <f t="shared" si="325"/>
        <v/>
      </c>
      <c r="H475" s="32" t="str">
        <f t="shared" ca="1" si="326"/>
        <v/>
      </c>
      <c r="I475" s="32" t="str">
        <f t="shared" ca="1" si="331"/>
        <v/>
      </c>
      <c r="J475" s="32" t="str">
        <f t="shared" si="327"/>
        <v/>
      </c>
      <c r="K475" s="32" t="str">
        <f>IF(ISNUMBER(A475),Profile!$V$25+Profile!$V$24*'Ri-Po'!C475,"")</f>
        <v/>
      </c>
      <c r="L475" s="32" t="str">
        <f t="shared" si="332"/>
        <v/>
      </c>
      <c r="M475" s="32" t="str">
        <f t="shared" si="328"/>
        <v/>
      </c>
      <c r="N475" s="32" t="str">
        <f t="shared" si="329"/>
        <v/>
      </c>
      <c r="O475" s="32" t="str">
        <f t="shared" si="345"/>
        <v/>
      </c>
      <c r="P475" s="32" t="str">
        <f t="shared" si="333"/>
        <v/>
      </c>
      <c r="Q475" s="32" t="str">
        <f t="shared" si="334"/>
        <v/>
      </c>
      <c r="R475" s="32" t="str">
        <f t="shared" si="346"/>
        <v/>
      </c>
      <c r="S475" s="24" t="str">
        <f t="shared" si="347"/>
        <v/>
      </c>
      <c r="T475" s="24" t="str">
        <f t="shared" si="348"/>
        <v/>
      </c>
      <c r="U475" s="24" t="str">
        <f t="shared" si="349"/>
        <v/>
      </c>
      <c r="V475" s="24" t="str">
        <f t="shared" si="350"/>
        <v/>
      </c>
      <c r="W475" s="23" t="str">
        <f t="array" ref="W475">IFERROR(SMALL(IF(S$1:S$1000="BEGIN",ROW(S$1:S$1000)),ROW()-3),"")</f>
        <v/>
      </c>
      <c r="X475" s="23" t="str">
        <f t="array" ref="X475">IFERROR(SMALL(IF(T$1:T$1000="END",ROW(T$1:T$1000)),ROW()-3),"")</f>
        <v/>
      </c>
      <c r="Y475" s="33" t="str">
        <f t="array" ref="Y475">IF(ISNUMBER(W475),MAX(IF((B$4:B$1000&lt;=X475)*(B$4:B$1000&gt;=W475),I$4:I$1000, "")),"")</f>
        <v/>
      </c>
      <c r="Z475" s="33" t="str">
        <f t="shared" si="335"/>
        <v/>
      </c>
      <c r="AA475" s="32" t="str">
        <f t="shared" si="336"/>
        <v/>
      </c>
      <c r="AB475" s="32" t="str">
        <f t="shared" si="337"/>
        <v/>
      </c>
      <c r="AC475" s="32" t="str">
        <f t="shared" si="338"/>
        <v/>
      </c>
      <c r="AD475" s="32" t="str">
        <f t="shared" si="339"/>
        <v/>
      </c>
      <c r="AE475" s="34" t="str">
        <f t="shared" si="340"/>
        <v/>
      </c>
      <c r="AF475" s="32" t="str">
        <f t="shared" si="341"/>
        <v/>
      </c>
      <c r="AG475" s="32" t="str">
        <f t="shared" si="342"/>
        <v/>
      </c>
      <c r="AH475" s="32" t="str">
        <f t="shared" si="343"/>
        <v/>
      </c>
      <c r="AI475" s="35" t="str">
        <f t="shared" si="344"/>
        <v/>
      </c>
      <c r="AJ475" s="23" t="str">
        <f t="array" ref="AJ475">IFERROR(SMALL(IF(U$1:U$1000="BEGIN",ROW(U$1:U$1000)),ROW()-3),"")</f>
        <v/>
      </c>
      <c r="AK475" s="23" t="str">
        <f t="array" ref="AK475">IFERROR(SMALL(IF(V$1:V$1000="END",ROW(V$1:V$1000)),ROW()-3),"")</f>
        <v/>
      </c>
      <c r="AL475" s="24" t="str">
        <f t="array" ref="AL475">IF(AK475="","",MATCH(AM475,L:L,0))</f>
        <v/>
      </c>
      <c r="AM475" s="35">
        <f t="array" ref="AM475">MAX(IF((B$4:B$1000&lt;=AK475)*(B$4:B$1000&gt;=AJ475),L$4:L$1000, ""))</f>
        <v>0</v>
      </c>
      <c r="AN475" s="32" t="str">
        <f t="shared" si="351"/>
        <v/>
      </c>
      <c r="AO475" s="32" t="str">
        <f t="shared" si="352"/>
        <v/>
      </c>
      <c r="AP475" s="32" t="str">
        <f t="shared" si="353"/>
        <v/>
      </c>
      <c r="AQ475" s="32" t="str">
        <f t="shared" si="354"/>
        <v/>
      </c>
      <c r="AR475" s="32" t="str">
        <f t="shared" si="355"/>
        <v/>
      </c>
      <c r="AS475" s="32" t="str">
        <f t="shared" si="356"/>
        <v/>
      </c>
      <c r="AT475" s="32" t="str">
        <f t="shared" si="357"/>
        <v/>
      </c>
      <c r="AU475" s="34" t="str">
        <f t="shared" si="358"/>
        <v/>
      </c>
      <c r="AV475" s="32" t="str">
        <f t="shared" si="359"/>
        <v/>
      </c>
      <c r="AW475" s="32" t="str">
        <f t="shared" si="360"/>
        <v/>
      </c>
      <c r="AX475" s="32" t="str">
        <f t="shared" si="361"/>
        <v/>
      </c>
      <c r="AY475" s="32" t="str">
        <f t="shared" si="362"/>
        <v/>
      </c>
    </row>
    <row r="476" spans="1:51" x14ac:dyDescent="0.25">
      <c r="A476" s="24" t="str">
        <f t="shared" si="320"/>
        <v/>
      </c>
      <c r="B476" s="24" t="str">
        <f t="shared" si="330"/>
        <v/>
      </c>
      <c r="C476" s="32" t="str">
        <f t="shared" si="321"/>
        <v/>
      </c>
      <c r="D476" s="24" t="str">
        <f t="shared" si="322"/>
        <v/>
      </c>
      <c r="E476" s="24" t="str">
        <f t="shared" si="323"/>
        <v/>
      </c>
      <c r="F476" s="32" t="str">
        <f t="shared" si="324"/>
        <v/>
      </c>
      <c r="G476" s="32" t="str">
        <f t="shared" si="325"/>
        <v/>
      </c>
      <c r="H476" s="32" t="str">
        <f t="shared" ca="1" si="326"/>
        <v/>
      </c>
      <c r="I476" s="32" t="str">
        <f t="shared" ca="1" si="331"/>
        <v/>
      </c>
      <c r="J476" s="32" t="str">
        <f t="shared" si="327"/>
        <v/>
      </c>
      <c r="K476" s="32" t="str">
        <f>IF(ISNUMBER(A476),Profile!$V$25+Profile!$V$24*'Ri-Po'!C476,"")</f>
        <v/>
      </c>
      <c r="L476" s="32" t="str">
        <f t="shared" si="332"/>
        <v/>
      </c>
      <c r="M476" s="32" t="str">
        <f t="shared" si="328"/>
        <v/>
      </c>
      <c r="N476" s="32" t="str">
        <f t="shared" si="329"/>
        <v/>
      </c>
      <c r="O476" s="32" t="str">
        <f t="shared" si="345"/>
        <v/>
      </c>
      <c r="P476" s="32" t="str">
        <f t="shared" si="333"/>
        <v/>
      </c>
      <c r="Q476" s="32" t="str">
        <f t="shared" si="334"/>
        <v/>
      </c>
      <c r="R476" s="32" t="str">
        <f t="shared" si="346"/>
        <v/>
      </c>
      <c r="S476" s="24" t="str">
        <f t="shared" si="347"/>
        <v/>
      </c>
      <c r="T476" s="24" t="str">
        <f t="shared" si="348"/>
        <v/>
      </c>
      <c r="U476" s="24" t="str">
        <f t="shared" si="349"/>
        <v/>
      </c>
      <c r="V476" s="24" t="str">
        <f t="shared" si="350"/>
        <v/>
      </c>
      <c r="W476" s="23" t="str">
        <f t="array" ref="W476">IFERROR(SMALL(IF(S$1:S$1000="BEGIN",ROW(S$1:S$1000)),ROW()-3),"")</f>
        <v/>
      </c>
      <c r="X476" s="23" t="str">
        <f t="array" ref="X476">IFERROR(SMALL(IF(T$1:T$1000="END",ROW(T$1:T$1000)),ROW()-3),"")</f>
        <v/>
      </c>
      <c r="Y476" s="33" t="str">
        <f t="array" ref="Y476">IF(ISNUMBER(W476),MAX(IF((B$4:B$1000&lt;=X476)*(B$4:B$1000&gt;=W476),I$4:I$1000, "")),"")</f>
        <v/>
      </c>
      <c r="Z476" s="33" t="str">
        <f t="shared" si="335"/>
        <v/>
      </c>
      <c r="AA476" s="32" t="str">
        <f t="shared" si="336"/>
        <v/>
      </c>
      <c r="AB476" s="32" t="str">
        <f t="shared" si="337"/>
        <v/>
      </c>
      <c r="AC476" s="32" t="str">
        <f t="shared" si="338"/>
        <v/>
      </c>
      <c r="AD476" s="32" t="str">
        <f t="shared" si="339"/>
        <v/>
      </c>
      <c r="AE476" s="34" t="str">
        <f t="shared" si="340"/>
        <v/>
      </c>
      <c r="AF476" s="32" t="str">
        <f t="shared" si="341"/>
        <v/>
      </c>
      <c r="AG476" s="32" t="str">
        <f t="shared" si="342"/>
        <v/>
      </c>
      <c r="AH476" s="32" t="str">
        <f t="shared" si="343"/>
        <v/>
      </c>
      <c r="AI476" s="35" t="str">
        <f t="shared" si="344"/>
        <v/>
      </c>
      <c r="AJ476" s="23" t="str">
        <f t="array" ref="AJ476">IFERROR(SMALL(IF(U$1:U$1000="BEGIN",ROW(U$1:U$1000)),ROW()-3),"")</f>
        <v/>
      </c>
      <c r="AK476" s="23" t="str">
        <f t="array" ref="AK476">IFERROR(SMALL(IF(V$1:V$1000="END",ROW(V$1:V$1000)),ROW()-3),"")</f>
        <v/>
      </c>
      <c r="AL476" s="24" t="str">
        <f t="array" ref="AL476">IF(AK476="","",MATCH(AM476,L:L,0))</f>
        <v/>
      </c>
      <c r="AM476" s="35">
        <f t="array" ref="AM476">MAX(IF((B$4:B$1000&lt;=AK476)*(B$4:B$1000&gt;=AJ476),L$4:L$1000, ""))</f>
        <v>0</v>
      </c>
      <c r="AN476" s="32" t="str">
        <f t="shared" si="351"/>
        <v/>
      </c>
      <c r="AO476" s="32" t="str">
        <f t="shared" si="352"/>
        <v/>
      </c>
      <c r="AP476" s="32" t="str">
        <f t="shared" si="353"/>
        <v/>
      </c>
      <c r="AQ476" s="32" t="str">
        <f t="shared" si="354"/>
        <v/>
      </c>
      <c r="AR476" s="32" t="str">
        <f t="shared" si="355"/>
        <v/>
      </c>
      <c r="AS476" s="32" t="str">
        <f t="shared" si="356"/>
        <v/>
      </c>
      <c r="AT476" s="32" t="str">
        <f t="shared" si="357"/>
        <v/>
      </c>
      <c r="AU476" s="34" t="str">
        <f t="shared" si="358"/>
        <v/>
      </c>
      <c r="AV476" s="32" t="str">
        <f t="shared" si="359"/>
        <v/>
      </c>
      <c r="AW476" s="32" t="str">
        <f t="shared" si="360"/>
        <v/>
      </c>
      <c r="AX476" s="32" t="str">
        <f t="shared" si="361"/>
        <v/>
      </c>
      <c r="AY476" s="32" t="str">
        <f t="shared" si="362"/>
        <v/>
      </c>
    </row>
    <row r="477" spans="1:51" x14ac:dyDescent="0.25">
      <c r="A477" s="24" t="str">
        <f t="shared" si="320"/>
        <v/>
      </c>
      <c r="B477" s="24" t="str">
        <f t="shared" si="330"/>
        <v/>
      </c>
      <c r="C477" s="32" t="str">
        <f t="shared" si="321"/>
        <v/>
      </c>
      <c r="D477" s="24" t="str">
        <f t="shared" si="322"/>
        <v/>
      </c>
      <c r="E477" s="24" t="str">
        <f t="shared" si="323"/>
        <v/>
      </c>
      <c r="F477" s="32" t="str">
        <f t="shared" si="324"/>
        <v/>
      </c>
      <c r="G477" s="32" t="str">
        <f t="shared" si="325"/>
        <v/>
      </c>
      <c r="H477" s="32" t="str">
        <f t="shared" ca="1" si="326"/>
        <v/>
      </c>
      <c r="I477" s="32" t="str">
        <f t="shared" ca="1" si="331"/>
        <v/>
      </c>
      <c r="J477" s="32" t="str">
        <f t="shared" si="327"/>
        <v/>
      </c>
      <c r="K477" s="32" t="str">
        <f>IF(ISNUMBER(A477),Profile!$V$25+Profile!$V$24*'Ri-Po'!C477,"")</f>
        <v/>
      </c>
      <c r="L477" s="32" t="str">
        <f t="shared" si="332"/>
        <v/>
      </c>
      <c r="M477" s="32" t="str">
        <f t="shared" si="328"/>
        <v/>
      </c>
      <c r="N477" s="32" t="str">
        <f t="shared" si="329"/>
        <v/>
      </c>
      <c r="O477" s="32" t="str">
        <f t="shared" si="345"/>
        <v/>
      </c>
      <c r="P477" s="32" t="str">
        <f t="shared" si="333"/>
        <v/>
      </c>
      <c r="Q477" s="32" t="str">
        <f t="shared" si="334"/>
        <v/>
      </c>
      <c r="R477" s="32" t="str">
        <f t="shared" si="346"/>
        <v/>
      </c>
      <c r="S477" s="24" t="str">
        <f t="shared" si="347"/>
        <v/>
      </c>
      <c r="T477" s="24" t="str">
        <f t="shared" si="348"/>
        <v/>
      </c>
      <c r="U477" s="24" t="str">
        <f t="shared" si="349"/>
        <v/>
      </c>
      <c r="V477" s="24" t="str">
        <f t="shared" si="350"/>
        <v/>
      </c>
      <c r="W477" s="23" t="str">
        <f t="array" ref="W477">IFERROR(SMALL(IF(S$1:S$1000="BEGIN",ROW(S$1:S$1000)),ROW()-3),"")</f>
        <v/>
      </c>
      <c r="X477" s="23" t="str">
        <f t="array" ref="X477">IFERROR(SMALL(IF(T$1:T$1000="END",ROW(T$1:T$1000)),ROW()-3),"")</f>
        <v/>
      </c>
      <c r="Y477" s="33" t="str">
        <f t="array" ref="Y477">IF(ISNUMBER(W477),MAX(IF((B$4:B$1000&lt;=X477)*(B$4:B$1000&gt;=W477),I$4:I$1000, "")),"")</f>
        <v/>
      </c>
      <c r="Z477" s="33" t="str">
        <f t="shared" si="335"/>
        <v/>
      </c>
      <c r="AA477" s="32" t="str">
        <f t="shared" si="336"/>
        <v/>
      </c>
      <c r="AB477" s="32" t="str">
        <f t="shared" si="337"/>
        <v/>
      </c>
      <c r="AC477" s="32" t="str">
        <f t="shared" si="338"/>
        <v/>
      </c>
      <c r="AD477" s="32" t="str">
        <f t="shared" si="339"/>
        <v/>
      </c>
      <c r="AE477" s="34" t="str">
        <f t="shared" si="340"/>
        <v/>
      </c>
      <c r="AF477" s="32" t="str">
        <f t="shared" si="341"/>
        <v/>
      </c>
      <c r="AG477" s="32" t="str">
        <f t="shared" si="342"/>
        <v/>
      </c>
      <c r="AH477" s="32" t="str">
        <f t="shared" si="343"/>
        <v/>
      </c>
      <c r="AI477" s="35" t="str">
        <f t="shared" si="344"/>
        <v/>
      </c>
      <c r="AJ477" s="23" t="str">
        <f t="array" ref="AJ477">IFERROR(SMALL(IF(U$1:U$1000="BEGIN",ROW(U$1:U$1000)),ROW()-3),"")</f>
        <v/>
      </c>
      <c r="AK477" s="23" t="str">
        <f t="array" ref="AK477">IFERROR(SMALL(IF(V$1:V$1000="END",ROW(V$1:V$1000)),ROW()-3),"")</f>
        <v/>
      </c>
      <c r="AL477" s="24" t="str">
        <f t="array" ref="AL477">IF(AK477="","",MATCH(AM477,L:L,0))</f>
        <v/>
      </c>
      <c r="AM477" s="35">
        <f t="array" ref="AM477">MAX(IF((B$4:B$1000&lt;=AK477)*(B$4:B$1000&gt;=AJ477),L$4:L$1000, ""))</f>
        <v>0</v>
      </c>
      <c r="AN477" s="32" t="str">
        <f t="shared" si="351"/>
        <v/>
      </c>
      <c r="AO477" s="32" t="str">
        <f t="shared" si="352"/>
        <v/>
      </c>
      <c r="AP477" s="32" t="str">
        <f t="shared" si="353"/>
        <v/>
      </c>
      <c r="AQ477" s="32" t="str">
        <f t="shared" si="354"/>
        <v/>
      </c>
      <c r="AR477" s="32" t="str">
        <f t="shared" si="355"/>
        <v/>
      </c>
      <c r="AS477" s="32" t="str">
        <f t="shared" si="356"/>
        <v/>
      </c>
      <c r="AT477" s="32" t="str">
        <f t="shared" si="357"/>
        <v/>
      </c>
      <c r="AU477" s="34" t="str">
        <f t="shared" si="358"/>
        <v/>
      </c>
      <c r="AV477" s="32" t="str">
        <f t="shared" si="359"/>
        <v/>
      </c>
      <c r="AW477" s="32" t="str">
        <f t="shared" si="360"/>
        <v/>
      </c>
      <c r="AX477" s="32" t="str">
        <f t="shared" si="361"/>
        <v/>
      </c>
      <c r="AY477" s="32" t="str">
        <f t="shared" si="362"/>
        <v/>
      </c>
    </row>
    <row r="478" spans="1:51" x14ac:dyDescent="0.25">
      <c r="A478" s="24" t="str">
        <f t="shared" si="320"/>
        <v/>
      </c>
      <c r="B478" s="24" t="str">
        <f t="shared" si="330"/>
        <v/>
      </c>
      <c r="C478" s="32" t="str">
        <f t="shared" si="321"/>
        <v/>
      </c>
      <c r="D478" s="24" t="str">
        <f t="shared" si="322"/>
        <v/>
      </c>
      <c r="E478" s="24" t="str">
        <f t="shared" si="323"/>
        <v/>
      </c>
      <c r="F478" s="32" t="str">
        <f t="shared" si="324"/>
        <v/>
      </c>
      <c r="G478" s="32" t="str">
        <f t="shared" si="325"/>
        <v/>
      </c>
      <c r="H478" s="32" t="str">
        <f t="shared" ca="1" si="326"/>
        <v/>
      </c>
      <c r="I478" s="32" t="str">
        <f t="shared" ca="1" si="331"/>
        <v/>
      </c>
      <c r="J478" s="32" t="str">
        <f t="shared" si="327"/>
        <v/>
      </c>
      <c r="K478" s="32" t="str">
        <f>IF(ISNUMBER(A478),Profile!$V$25+Profile!$V$24*'Ri-Po'!C478,"")</f>
        <v/>
      </c>
      <c r="L478" s="32" t="str">
        <f t="shared" si="332"/>
        <v/>
      </c>
      <c r="M478" s="32" t="str">
        <f t="shared" si="328"/>
        <v/>
      </c>
      <c r="N478" s="32" t="str">
        <f t="shared" si="329"/>
        <v/>
      </c>
      <c r="O478" s="32" t="str">
        <f t="shared" si="345"/>
        <v/>
      </c>
      <c r="P478" s="32" t="str">
        <f t="shared" si="333"/>
        <v/>
      </c>
      <c r="Q478" s="32" t="str">
        <f t="shared" si="334"/>
        <v/>
      </c>
      <c r="R478" s="32" t="str">
        <f t="shared" si="346"/>
        <v/>
      </c>
      <c r="S478" s="24" t="str">
        <f t="shared" si="347"/>
        <v/>
      </c>
      <c r="T478" s="24" t="str">
        <f t="shared" si="348"/>
        <v/>
      </c>
      <c r="U478" s="24" t="str">
        <f t="shared" si="349"/>
        <v/>
      </c>
      <c r="V478" s="24" t="str">
        <f t="shared" si="350"/>
        <v/>
      </c>
      <c r="W478" s="23" t="str">
        <f t="array" ref="W478">IFERROR(SMALL(IF(S$1:S$1000="BEGIN",ROW(S$1:S$1000)),ROW()-3),"")</f>
        <v/>
      </c>
      <c r="X478" s="23" t="str">
        <f t="array" ref="X478">IFERROR(SMALL(IF(T$1:T$1000="END",ROW(T$1:T$1000)),ROW()-3),"")</f>
        <v/>
      </c>
      <c r="Y478" s="33" t="str">
        <f t="array" ref="Y478">IF(ISNUMBER(W478),MAX(IF((B$4:B$1000&lt;=X478)*(B$4:B$1000&gt;=W478),I$4:I$1000, "")),"")</f>
        <v/>
      </c>
      <c r="Z478" s="33" t="str">
        <f t="shared" si="335"/>
        <v/>
      </c>
      <c r="AA478" s="32" t="str">
        <f t="shared" si="336"/>
        <v/>
      </c>
      <c r="AB478" s="32" t="str">
        <f t="shared" si="337"/>
        <v/>
      </c>
      <c r="AC478" s="32" t="str">
        <f t="shared" si="338"/>
        <v/>
      </c>
      <c r="AD478" s="32" t="str">
        <f t="shared" si="339"/>
        <v/>
      </c>
      <c r="AE478" s="34" t="str">
        <f t="shared" si="340"/>
        <v/>
      </c>
      <c r="AF478" s="32" t="str">
        <f t="shared" si="341"/>
        <v/>
      </c>
      <c r="AG478" s="32" t="str">
        <f t="shared" si="342"/>
        <v/>
      </c>
      <c r="AH478" s="32" t="str">
        <f t="shared" si="343"/>
        <v/>
      </c>
      <c r="AI478" s="35" t="str">
        <f t="shared" si="344"/>
        <v/>
      </c>
      <c r="AJ478" s="23" t="str">
        <f t="array" ref="AJ478">IFERROR(SMALL(IF(U$1:U$1000="BEGIN",ROW(U$1:U$1000)),ROW()-3),"")</f>
        <v/>
      </c>
      <c r="AK478" s="23" t="str">
        <f t="array" ref="AK478">IFERROR(SMALL(IF(V$1:V$1000="END",ROW(V$1:V$1000)),ROW()-3),"")</f>
        <v/>
      </c>
      <c r="AL478" s="24" t="str">
        <f t="array" ref="AL478">IF(AK478="","",MATCH(AM478,L:L,0))</f>
        <v/>
      </c>
      <c r="AM478" s="35">
        <f t="array" ref="AM478">MAX(IF((B$4:B$1000&lt;=AK478)*(B$4:B$1000&gt;=AJ478),L$4:L$1000, ""))</f>
        <v>0</v>
      </c>
      <c r="AN478" s="32" t="str">
        <f t="shared" si="351"/>
        <v/>
      </c>
      <c r="AO478" s="32" t="str">
        <f t="shared" si="352"/>
        <v/>
      </c>
      <c r="AP478" s="32" t="str">
        <f t="shared" si="353"/>
        <v/>
      </c>
      <c r="AQ478" s="32" t="str">
        <f t="shared" si="354"/>
        <v/>
      </c>
      <c r="AR478" s="32" t="str">
        <f t="shared" si="355"/>
        <v/>
      </c>
      <c r="AS478" s="32" t="str">
        <f t="shared" si="356"/>
        <v/>
      </c>
      <c r="AT478" s="32" t="str">
        <f t="shared" si="357"/>
        <v/>
      </c>
      <c r="AU478" s="34" t="str">
        <f t="shared" si="358"/>
        <v/>
      </c>
      <c r="AV478" s="32" t="str">
        <f t="shared" si="359"/>
        <v/>
      </c>
      <c r="AW478" s="32" t="str">
        <f t="shared" si="360"/>
        <v/>
      </c>
      <c r="AX478" s="32" t="str">
        <f t="shared" si="361"/>
        <v/>
      </c>
      <c r="AY478" s="32" t="str">
        <f t="shared" si="362"/>
        <v/>
      </c>
    </row>
    <row r="479" spans="1:51" x14ac:dyDescent="0.25">
      <c r="A479" s="24" t="str">
        <f t="shared" si="320"/>
        <v/>
      </c>
      <c r="B479" s="24" t="str">
        <f t="shared" si="330"/>
        <v/>
      </c>
      <c r="C479" s="32" t="str">
        <f t="shared" si="321"/>
        <v/>
      </c>
      <c r="D479" s="24" t="str">
        <f t="shared" si="322"/>
        <v/>
      </c>
      <c r="E479" s="24" t="str">
        <f t="shared" si="323"/>
        <v/>
      </c>
      <c r="F479" s="32" t="str">
        <f t="shared" si="324"/>
        <v/>
      </c>
      <c r="G479" s="32" t="str">
        <f t="shared" si="325"/>
        <v/>
      </c>
      <c r="H479" s="32" t="str">
        <f t="shared" ca="1" si="326"/>
        <v/>
      </c>
      <c r="I479" s="32" t="str">
        <f t="shared" ca="1" si="331"/>
        <v/>
      </c>
      <c r="J479" s="32" t="str">
        <f t="shared" si="327"/>
        <v/>
      </c>
      <c r="K479" s="32" t="str">
        <f>IF(ISNUMBER(A479),Profile!$V$25+Profile!$V$24*'Ri-Po'!C479,"")</f>
        <v/>
      </c>
      <c r="L479" s="32" t="str">
        <f t="shared" si="332"/>
        <v/>
      </c>
      <c r="M479" s="32" t="str">
        <f t="shared" si="328"/>
        <v/>
      </c>
      <c r="N479" s="32" t="str">
        <f t="shared" si="329"/>
        <v/>
      </c>
      <c r="O479" s="32" t="str">
        <f t="shared" si="345"/>
        <v/>
      </c>
      <c r="P479" s="32" t="str">
        <f t="shared" si="333"/>
        <v/>
      </c>
      <c r="Q479" s="32" t="str">
        <f t="shared" si="334"/>
        <v/>
      </c>
      <c r="R479" s="32" t="str">
        <f t="shared" si="346"/>
        <v/>
      </c>
      <c r="S479" s="24" t="str">
        <f t="shared" si="347"/>
        <v/>
      </c>
      <c r="T479" s="24" t="str">
        <f t="shared" si="348"/>
        <v/>
      </c>
      <c r="U479" s="24" t="str">
        <f t="shared" si="349"/>
        <v/>
      </c>
      <c r="V479" s="24" t="str">
        <f t="shared" si="350"/>
        <v/>
      </c>
      <c r="W479" s="23" t="str">
        <f t="array" ref="W479">IFERROR(SMALL(IF(S$1:S$1000="BEGIN",ROW(S$1:S$1000)),ROW()-3),"")</f>
        <v/>
      </c>
      <c r="X479" s="23" t="str">
        <f t="array" ref="X479">IFERROR(SMALL(IF(T$1:T$1000="END",ROW(T$1:T$1000)),ROW()-3),"")</f>
        <v/>
      </c>
      <c r="Y479" s="33" t="str">
        <f t="array" ref="Y479">IF(ISNUMBER(W479),MAX(IF((B$4:B$1000&lt;=X479)*(B$4:B$1000&gt;=W479),I$4:I$1000, "")),"")</f>
        <v/>
      </c>
      <c r="Z479" s="33" t="str">
        <f t="shared" si="335"/>
        <v/>
      </c>
      <c r="AA479" s="32" t="str">
        <f t="shared" si="336"/>
        <v/>
      </c>
      <c r="AB479" s="32" t="str">
        <f t="shared" si="337"/>
        <v/>
      </c>
      <c r="AC479" s="32" t="str">
        <f t="shared" si="338"/>
        <v/>
      </c>
      <c r="AD479" s="32" t="str">
        <f t="shared" si="339"/>
        <v/>
      </c>
      <c r="AE479" s="34" t="str">
        <f t="shared" si="340"/>
        <v/>
      </c>
      <c r="AF479" s="32" t="str">
        <f t="shared" si="341"/>
        <v/>
      </c>
      <c r="AG479" s="32" t="str">
        <f t="shared" si="342"/>
        <v/>
      </c>
      <c r="AH479" s="32" t="str">
        <f t="shared" si="343"/>
        <v/>
      </c>
      <c r="AI479" s="35" t="str">
        <f t="shared" si="344"/>
        <v/>
      </c>
      <c r="AJ479" s="23" t="str">
        <f t="array" ref="AJ479">IFERROR(SMALL(IF(U$1:U$1000="BEGIN",ROW(U$1:U$1000)),ROW()-3),"")</f>
        <v/>
      </c>
      <c r="AK479" s="23" t="str">
        <f t="array" ref="AK479">IFERROR(SMALL(IF(V$1:V$1000="END",ROW(V$1:V$1000)),ROW()-3),"")</f>
        <v/>
      </c>
      <c r="AL479" s="24" t="str">
        <f t="array" ref="AL479">IF(AK479="","",MATCH(AM479,L:L,0))</f>
        <v/>
      </c>
      <c r="AM479" s="35">
        <f t="array" ref="AM479">MAX(IF((B$4:B$1000&lt;=AK479)*(B$4:B$1000&gt;=AJ479),L$4:L$1000, ""))</f>
        <v>0</v>
      </c>
      <c r="AN479" s="32" t="str">
        <f t="shared" si="351"/>
        <v/>
      </c>
      <c r="AO479" s="32" t="str">
        <f t="shared" si="352"/>
        <v/>
      </c>
      <c r="AP479" s="32" t="str">
        <f t="shared" si="353"/>
        <v/>
      </c>
      <c r="AQ479" s="32" t="str">
        <f t="shared" si="354"/>
        <v/>
      </c>
      <c r="AR479" s="32" t="str">
        <f t="shared" si="355"/>
        <v/>
      </c>
      <c r="AS479" s="32" t="str">
        <f t="shared" si="356"/>
        <v/>
      </c>
      <c r="AT479" s="32" t="str">
        <f t="shared" si="357"/>
        <v/>
      </c>
      <c r="AU479" s="34" t="str">
        <f t="shared" si="358"/>
        <v/>
      </c>
      <c r="AV479" s="32" t="str">
        <f t="shared" si="359"/>
        <v/>
      </c>
      <c r="AW479" s="32" t="str">
        <f t="shared" si="360"/>
        <v/>
      </c>
      <c r="AX479" s="32" t="str">
        <f t="shared" si="361"/>
        <v/>
      </c>
      <c r="AY479" s="32" t="str">
        <f t="shared" si="362"/>
        <v/>
      </c>
    </row>
    <row r="480" spans="1:51" x14ac:dyDescent="0.25">
      <c r="A480" s="24" t="str">
        <f t="shared" si="320"/>
        <v/>
      </c>
      <c r="B480" s="24" t="str">
        <f t="shared" si="330"/>
        <v/>
      </c>
      <c r="C480" s="32" t="str">
        <f t="shared" si="321"/>
        <v/>
      </c>
      <c r="D480" s="24" t="str">
        <f t="shared" si="322"/>
        <v/>
      </c>
      <c r="E480" s="24" t="str">
        <f t="shared" si="323"/>
        <v/>
      </c>
      <c r="F480" s="32" t="str">
        <f t="shared" si="324"/>
        <v/>
      </c>
      <c r="G480" s="32" t="str">
        <f t="shared" si="325"/>
        <v/>
      </c>
      <c r="H480" s="32" t="str">
        <f t="shared" ca="1" si="326"/>
        <v/>
      </c>
      <c r="I480" s="32" t="str">
        <f t="shared" ca="1" si="331"/>
        <v/>
      </c>
      <c r="J480" s="32" t="str">
        <f t="shared" si="327"/>
        <v/>
      </c>
      <c r="K480" s="32" t="str">
        <f>IF(ISNUMBER(A480),Profile!$V$25+Profile!$V$24*'Ri-Po'!C480,"")</f>
        <v/>
      </c>
      <c r="L480" s="32" t="str">
        <f t="shared" si="332"/>
        <v/>
      </c>
      <c r="M480" s="32" t="str">
        <f t="shared" si="328"/>
        <v/>
      </c>
      <c r="N480" s="32" t="str">
        <f t="shared" si="329"/>
        <v/>
      </c>
      <c r="O480" s="32" t="str">
        <f t="shared" si="345"/>
        <v/>
      </c>
      <c r="P480" s="32" t="str">
        <f t="shared" si="333"/>
        <v/>
      </c>
      <c r="Q480" s="32" t="str">
        <f t="shared" si="334"/>
        <v/>
      </c>
      <c r="R480" s="32" t="str">
        <f t="shared" si="346"/>
        <v/>
      </c>
      <c r="S480" s="24" t="str">
        <f t="shared" si="347"/>
        <v/>
      </c>
      <c r="T480" s="24" t="str">
        <f t="shared" si="348"/>
        <v/>
      </c>
      <c r="U480" s="24" t="str">
        <f t="shared" si="349"/>
        <v/>
      </c>
      <c r="V480" s="24" t="str">
        <f t="shared" si="350"/>
        <v/>
      </c>
      <c r="W480" s="23" t="str">
        <f t="array" ref="W480">IFERROR(SMALL(IF(S$1:S$1000="BEGIN",ROW(S$1:S$1000)),ROW()-3),"")</f>
        <v/>
      </c>
      <c r="X480" s="23" t="str">
        <f t="array" ref="X480">IFERROR(SMALL(IF(T$1:T$1000="END",ROW(T$1:T$1000)),ROW()-3),"")</f>
        <v/>
      </c>
      <c r="Y480" s="33" t="str">
        <f t="array" ref="Y480">IF(ISNUMBER(W480),MAX(IF((B$4:B$1000&lt;=X480)*(B$4:B$1000&gt;=W480),I$4:I$1000, "")),"")</f>
        <v/>
      </c>
      <c r="Z480" s="33" t="str">
        <f t="shared" si="335"/>
        <v/>
      </c>
      <c r="AA480" s="32" t="str">
        <f t="shared" si="336"/>
        <v/>
      </c>
      <c r="AB480" s="32" t="str">
        <f t="shared" si="337"/>
        <v/>
      </c>
      <c r="AC480" s="32" t="str">
        <f t="shared" si="338"/>
        <v/>
      </c>
      <c r="AD480" s="32" t="str">
        <f t="shared" si="339"/>
        <v/>
      </c>
      <c r="AE480" s="34" t="str">
        <f t="shared" si="340"/>
        <v/>
      </c>
      <c r="AF480" s="32" t="str">
        <f t="shared" si="341"/>
        <v/>
      </c>
      <c r="AG480" s="32" t="str">
        <f t="shared" si="342"/>
        <v/>
      </c>
      <c r="AH480" s="32" t="str">
        <f t="shared" si="343"/>
        <v/>
      </c>
      <c r="AI480" s="35" t="str">
        <f t="shared" si="344"/>
        <v/>
      </c>
      <c r="AJ480" s="23" t="str">
        <f t="array" ref="AJ480">IFERROR(SMALL(IF(U$1:U$1000="BEGIN",ROW(U$1:U$1000)),ROW()-3),"")</f>
        <v/>
      </c>
      <c r="AK480" s="23" t="str">
        <f t="array" ref="AK480">IFERROR(SMALL(IF(V$1:V$1000="END",ROW(V$1:V$1000)),ROW()-3),"")</f>
        <v/>
      </c>
      <c r="AL480" s="24" t="str">
        <f t="array" ref="AL480">IF(AK480="","",MATCH(AM480,L:L,0))</f>
        <v/>
      </c>
      <c r="AM480" s="35">
        <f t="array" ref="AM480">MAX(IF((B$4:B$1000&lt;=AK480)*(B$4:B$1000&gt;=AJ480),L$4:L$1000, ""))</f>
        <v>0</v>
      </c>
      <c r="AN480" s="32" t="str">
        <f t="shared" si="351"/>
        <v/>
      </c>
      <c r="AO480" s="32" t="str">
        <f t="shared" si="352"/>
        <v/>
      </c>
      <c r="AP480" s="32" t="str">
        <f t="shared" si="353"/>
        <v/>
      </c>
      <c r="AQ480" s="32" t="str">
        <f t="shared" si="354"/>
        <v/>
      </c>
      <c r="AR480" s="32" t="str">
        <f t="shared" si="355"/>
        <v/>
      </c>
      <c r="AS480" s="32" t="str">
        <f t="shared" si="356"/>
        <v/>
      </c>
      <c r="AT480" s="32" t="str">
        <f t="shared" si="357"/>
        <v/>
      </c>
      <c r="AU480" s="34" t="str">
        <f t="shared" si="358"/>
        <v/>
      </c>
      <c r="AV480" s="32" t="str">
        <f t="shared" si="359"/>
        <v/>
      </c>
      <c r="AW480" s="32" t="str">
        <f t="shared" si="360"/>
        <v/>
      </c>
      <c r="AX480" s="32" t="str">
        <f t="shared" si="361"/>
        <v/>
      </c>
      <c r="AY480" s="32" t="str">
        <f t="shared" si="362"/>
        <v/>
      </c>
    </row>
    <row r="481" spans="1:51" x14ac:dyDescent="0.25">
      <c r="A481" s="24" t="str">
        <f t="shared" si="320"/>
        <v/>
      </c>
      <c r="B481" s="24" t="str">
        <f t="shared" si="330"/>
        <v/>
      </c>
      <c r="C481" s="32" t="str">
        <f t="shared" si="321"/>
        <v/>
      </c>
      <c r="D481" s="24" t="str">
        <f t="shared" si="322"/>
        <v/>
      </c>
      <c r="E481" s="24" t="str">
        <f t="shared" si="323"/>
        <v/>
      </c>
      <c r="F481" s="32" t="str">
        <f t="shared" si="324"/>
        <v/>
      </c>
      <c r="G481" s="32" t="str">
        <f t="shared" si="325"/>
        <v/>
      </c>
      <c r="H481" s="32" t="str">
        <f t="shared" ca="1" si="326"/>
        <v/>
      </c>
      <c r="I481" s="32" t="str">
        <f t="shared" ca="1" si="331"/>
        <v/>
      </c>
      <c r="J481" s="32" t="str">
        <f t="shared" si="327"/>
        <v/>
      </c>
      <c r="K481" s="32" t="str">
        <f>IF(ISNUMBER(A481),Profile!$V$25+Profile!$V$24*'Ri-Po'!C481,"")</f>
        <v/>
      </c>
      <c r="L481" s="32" t="str">
        <f t="shared" si="332"/>
        <v/>
      </c>
      <c r="M481" s="32" t="str">
        <f t="shared" si="328"/>
        <v/>
      </c>
      <c r="N481" s="32" t="str">
        <f t="shared" si="329"/>
        <v/>
      </c>
      <c r="O481" s="32" t="str">
        <f t="shared" si="345"/>
        <v/>
      </c>
      <c r="P481" s="32" t="str">
        <f t="shared" si="333"/>
        <v/>
      </c>
      <c r="Q481" s="32" t="str">
        <f t="shared" si="334"/>
        <v/>
      </c>
      <c r="R481" s="32" t="str">
        <f t="shared" si="346"/>
        <v/>
      </c>
      <c r="S481" s="24" t="str">
        <f t="shared" si="347"/>
        <v/>
      </c>
      <c r="T481" s="24" t="str">
        <f t="shared" si="348"/>
        <v/>
      </c>
      <c r="U481" s="24" t="str">
        <f t="shared" si="349"/>
        <v/>
      </c>
      <c r="V481" s="24" t="str">
        <f t="shared" si="350"/>
        <v/>
      </c>
      <c r="W481" s="23" t="str">
        <f t="array" ref="W481">IFERROR(SMALL(IF(S$1:S$1000="BEGIN",ROW(S$1:S$1000)),ROW()-3),"")</f>
        <v/>
      </c>
      <c r="X481" s="23" t="str">
        <f t="array" ref="X481">IFERROR(SMALL(IF(T$1:T$1000="END",ROW(T$1:T$1000)),ROW()-3),"")</f>
        <v/>
      </c>
      <c r="Y481" s="33" t="str">
        <f t="array" ref="Y481">IF(ISNUMBER(W481),MAX(IF((B$4:B$1000&lt;=X481)*(B$4:B$1000&gt;=W481),I$4:I$1000, "")),"")</f>
        <v/>
      </c>
      <c r="Z481" s="33" t="str">
        <f t="shared" si="335"/>
        <v/>
      </c>
      <c r="AA481" s="32" t="str">
        <f t="shared" si="336"/>
        <v/>
      </c>
      <c r="AB481" s="32" t="str">
        <f t="shared" si="337"/>
        <v/>
      </c>
      <c r="AC481" s="32" t="str">
        <f t="shared" si="338"/>
        <v/>
      </c>
      <c r="AD481" s="32" t="str">
        <f t="shared" si="339"/>
        <v/>
      </c>
      <c r="AE481" s="34" t="str">
        <f t="shared" si="340"/>
        <v/>
      </c>
      <c r="AF481" s="32" t="str">
        <f t="shared" si="341"/>
        <v/>
      </c>
      <c r="AG481" s="32" t="str">
        <f t="shared" si="342"/>
        <v/>
      </c>
      <c r="AH481" s="32" t="str">
        <f t="shared" si="343"/>
        <v/>
      </c>
      <c r="AI481" s="35" t="str">
        <f t="shared" si="344"/>
        <v/>
      </c>
      <c r="AJ481" s="23" t="str">
        <f t="array" ref="AJ481">IFERROR(SMALL(IF(U$1:U$1000="BEGIN",ROW(U$1:U$1000)),ROW()-3),"")</f>
        <v/>
      </c>
      <c r="AK481" s="23" t="str">
        <f t="array" ref="AK481">IFERROR(SMALL(IF(V$1:V$1000="END",ROW(V$1:V$1000)),ROW()-3),"")</f>
        <v/>
      </c>
      <c r="AL481" s="24" t="str">
        <f t="array" ref="AL481">IF(AK481="","",MATCH(AM481,L:L,0))</f>
        <v/>
      </c>
      <c r="AM481" s="35">
        <f t="array" ref="AM481">MAX(IF((B$4:B$1000&lt;=AK481)*(B$4:B$1000&gt;=AJ481),L$4:L$1000, ""))</f>
        <v>0</v>
      </c>
      <c r="AN481" s="32" t="str">
        <f t="shared" si="351"/>
        <v/>
      </c>
      <c r="AO481" s="32" t="str">
        <f t="shared" si="352"/>
        <v/>
      </c>
      <c r="AP481" s="32" t="str">
        <f t="shared" si="353"/>
        <v/>
      </c>
      <c r="AQ481" s="32" t="str">
        <f t="shared" si="354"/>
        <v/>
      </c>
      <c r="AR481" s="32" t="str">
        <f t="shared" si="355"/>
        <v/>
      </c>
      <c r="AS481" s="32" t="str">
        <f t="shared" si="356"/>
        <v/>
      </c>
      <c r="AT481" s="32" t="str">
        <f t="shared" si="357"/>
        <v/>
      </c>
      <c r="AU481" s="34" t="str">
        <f t="shared" si="358"/>
        <v/>
      </c>
      <c r="AV481" s="32" t="str">
        <f t="shared" si="359"/>
        <v/>
      </c>
      <c r="AW481" s="32" t="str">
        <f t="shared" si="360"/>
        <v/>
      </c>
      <c r="AX481" s="32" t="str">
        <f t="shared" si="361"/>
        <v/>
      </c>
      <c r="AY481" s="32" t="str">
        <f t="shared" si="362"/>
        <v/>
      </c>
    </row>
    <row r="482" spans="1:51" x14ac:dyDescent="0.25">
      <c r="A482" s="24" t="str">
        <f t="shared" si="320"/>
        <v/>
      </c>
      <c r="B482" s="24" t="str">
        <f t="shared" si="330"/>
        <v/>
      </c>
      <c r="C482" s="32" t="str">
        <f t="shared" si="321"/>
        <v/>
      </c>
      <c r="D482" s="24" t="str">
        <f t="shared" si="322"/>
        <v/>
      </c>
      <c r="E482" s="24" t="str">
        <f t="shared" si="323"/>
        <v/>
      </c>
      <c r="F482" s="32" t="str">
        <f t="shared" si="324"/>
        <v/>
      </c>
      <c r="G482" s="32" t="str">
        <f t="shared" si="325"/>
        <v/>
      </c>
      <c r="H482" s="32" t="str">
        <f t="shared" ca="1" si="326"/>
        <v/>
      </c>
      <c r="I482" s="32" t="str">
        <f t="shared" ca="1" si="331"/>
        <v/>
      </c>
      <c r="J482" s="32" t="str">
        <f t="shared" si="327"/>
        <v/>
      </c>
      <c r="K482" s="32" t="str">
        <f>IF(ISNUMBER(A482),Profile!$V$25+Profile!$V$24*'Ri-Po'!C482,"")</f>
        <v/>
      </c>
      <c r="L482" s="32" t="str">
        <f t="shared" si="332"/>
        <v/>
      </c>
      <c r="M482" s="32" t="str">
        <f t="shared" si="328"/>
        <v/>
      </c>
      <c r="N482" s="32" t="str">
        <f t="shared" si="329"/>
        <v/>
      </c>
      <c r="O482" s="32" t="str">
        <f t="shared" si="345"/>
        <v/>
      </c>
      <c r="P482" s="32" t="str">
        <f t="shared" si="333"/>
        <v/>
      </c>
      <c r="Q482" s="32" t="str">
        <f t="shared" si="334"/>
        <v/>
      </c>
      <c r="R482" s="32" t="str">
        <f t="shared" si="346"/>
        <v/>
      </c>
      <c r="S482" s="24" t="str">
        <f t="shared" si="347"/>
        <v/>
      </c>
      <c r="T482" s="24" t="str">
        <f t="shared" si="348"/>
        <v/>
      </c>
      <c r="U482" s="24" t="str">
        <f t="shared" si="349"/>
        <v/>
      </c>
      <c r="V482" s="24" t="str">
        <f t="shared" si="350"/>
        <v/>
      </c>
      <c r="W482" s="23" t="str">
        <f t="array" ref="W482">IFERROR(SMALL(IF(S$1:S$1000="BEGIN",ROW(S$1:S$1000)),ROW()-3),"")</f>
        <v/>
      </c>
      <c r="X482" s="23" t="str">
        <f t="array" ref="X482">IFERROR(SMALL(IF(T$1:T$1000="END",ROW(T$1:T$1000)),ROW()-3),"")</f>
        <v/>
      </c>
      <c r="Y482" s="33" t="str">
        <f t="array" ref="Y482">IF(ISNUMBER(W482),MAX(IF((B$4:B$1000&lt;=X482)*(B$4:B$1000&gt;=W482),I$4:I$1000, "")),"")</f>
        <v/>
      </c>
      <c r="Z482" s="33" t="str">
        <f t="shared" si="335"/>
        <v/>
      </c>
      <c r="AA482" s="32" t="str">
        <f t="shared" si="336"/>
        <v/>
      </c>
      <c r="AB482" s="32" t="str">
        <f t="shared" si="337"/>
        <v/>
      </c>
      <c r="AC482" s="32" t="str">
        <f t="shared" si="338"/>
        <v/>
      </c>
      <c r="AD482" s="32" t="str">
        <f t="shared" si="339"/>
        <v/>
      </c>
      <c r="AE482" s="34" t="str">
        <f t="shared" si="340"/>
        <v/>
      </c>
      <c r="AF482" s="32" t="str">
        <f t="shared" si="341"/>
        <v/>
      </c>
      <c r="AG482" s="32" t="str">
        <f t="shared" si="342"/>
        <v/>
      </c>
      <c r="AH482" s="32" t="str">
        <f t="shared" si="343"/>
        <v/>
      </c>
      <c r="AI482" s="35" t="str">
        <f t="shared" si="344"/>
        <v/>
      </c>
      <c r="AJ482" s="23" t="str">
        <f t="array" ref="AJ482">IFERROR(SMALL(IF(U$1:U$1000="BEGIN",ROW(U$1:U$1000)),ROW()-3),"")</f>
        <v/>
      </c>
      <c r="AK482" s="23" t="str">
        <f t="array" ref="AK482">IFERROR(SMALL(IF(V$1:V$1000="END",ROW(V$1:V$1000)),ROW()-3),"")</f>
        <v/>
      </c>
      <c r="AL482" s="24" t="str">
        <f t="array" ref="AL482">IF(AK482="","",MATCH(AM482,L:L,0))</f>
        <v/>
      </c>
      <c r="AM482" s="35">
        <f t="array" ref="AM482">MAX(IF((B$4:B$1000&lt;=AK482)*(B$4:B$1000&gt;=AJ482),L$4:L$1000, ""))</f>
        <v>0</v>
      </c>
      <c r="AN482" s="32" t="str">
        <f t="shared" si="351"/>
        <v/>
      </c>
      <c r="AO482" s="32" t="str">
        <f t="shared" si="352"/>
        <v/>
      </c>
      <c r="AP482" s="32" t="str">
        <f t="shared" si="353"/>
        <v/>
      </c>
      <c r="AQ482" s="32" t="str">
        <f t="shared" si="354"/>
        <v/>
      </c>
      <c r="AR482" s="32" t="str">
        <f t="shared" si="355"/>
        <v/>
      </c>
      <c r="AS482" s="32" t="str">
        <f t="shared" si="356"/>
        <v/>
      </c>
      <c r="AT482" s="32" t="str">
        <f t="shared" si="357"/>
        <v/>
      </c>
      <c r="AU482" s="34" t="str">
        <f t="shared" si="358"/>
        <v/>
      </c>
      <c r="AV482" s="32" t="str">
        <f t="shared" si="359"/>
        <v/>
      </c>
      <c r="AW482" s="32" t="str">
        <f t="shared" si="360"/>
        <v/>
      </c>
      <c r="AX482" s="32" t="str">
        <f t="shared" si="361"/>
        <v/>
      </c>
      <c r="AY482" s="32" t="str">
        <f t="shared" si="362"/>
        <v/>
      </c>
    </row>
    <row r="483" spans="1:51" x14ac:dyDescent="0.25">
      <c r="A483" s="24" t="str">
        <f t="shared" si="320"/>
        <v/>
      </c>
      <c r="B483" s="24" t="str">
        <f t="shared" si="330"/>
        <v/>
      </c>
      <c r="C483" s="32" t="str">
        <f t="shared" si="321"/>
        <v/>
      </c>
      <c r="D483" s="24" t="str">
        <f t="shared" si="322"/>
        <v/>
      </c>
      <c r="E483" s="24" t="str">
        <f t="shared" si="323"/>
        <v/>
      </c>
      <c r="F483" s="32" t="str">
        <f t="shared" si="324"/>
        <v/>
      </c>
      <c r="G483" s="32" t="str">
        <f t="shared" si="325"/>
        <v/>
      </c>
      <c r="H483" s="32" t="str">
        <f t="shared" ca="1" si="326"/>
        <v/>
      </c>
      <c r="I483" s="32" t="str">
        <f t="shared" ca="1" si="331"/>
        <v/>
      </c>
      <c r="J483" s="32" t="str">
        <f t="shared" si="327"/>
        <v/>
      </c>
      <c r="K483" s="32" t="str">
        <f>IF(ISNUMBER(A483),Profile!$V$25+Profile!$V$24*'Ri-Po'!C483,"")</f>
        <v/>
      </c>
      <c r="L483" s="32" t="str">
        <f t="shared" si="332"/>
        <v/>
      </c>
      <c r="M483" s="32" t="str">
        <f t="shared" si="328"/>
        <v/>
      </c>
      <c r="N483" s="32" t="str">
        <f t="shared" si="329"/>
        <v/>
      </c>
      <c r="O483" s="32" t="str">
        <f t="shared" si="345"/>
        <v/>
      </c>
      <c r="P483" s="32" t="str">
        <f t="shared" si="333"/>
        <v/>
      </c>
      <c r="Q483" s="32" t="str">
        <f t="shared" si="334"/>
        <v/>
      </c>
      <c r="R483" s="32" t="str">
        <f t="shared" si="346"/>
        <v/>
      </c>
      <c r="S483" s="24" t="str">
        <f t="shared" si="347"/>
        <v/>
      </c>
      <c r="T483" s="24" t="str">
        <f t="shared" si="348"/>
        <v/>
      </c>
      <c r="U483" s="24" t="str">
        <f t="shared" si="349"/>
        <v/>
      </c>
      <c r="V483" s="24" t="str">
        <f t="shared" si="350"/>
        <v/>
      </c>
      <c r="W483" s="23" t="str">
        <f t="array" ref="W483">IFERROR(SMALL(IF(S$1:S$1000="BEGIN",ROW(S$1:S$1000)),ROW()-3),"")</f>
        <v/>
      </c>
      <c r="X483" s="23" t="str">
        <f t="array" ref="X483">IFERROR(SMALL(IF(T$1:T$1000="END",ROW(T$1:T$1000)),ROW()-3),"")</f>
        <v/>
      </c>
      <c r="Y483" s="33" t="str">
        <f t="array" ref="Y483">IF(ISNUMBER(W483),MAX(IF((B$4:B$1000&lt;=X483)*(B$4:B$1000&gt;=W483),I$4:I$1000, "")),"")</f>
        <v/>
      </c>
      <c r="Z483" s="33" t="str">
        <f t="shared" si="335"/>
        <v/>
      </c>
      <c r="AA483" s="32" t="str">
        <f t="shared" si="336"/>
        <v/>
      </c>
      <c r="AB483" s="32" t="str">
        <f t="shared" si="337"/>
        <v/>
      </c>
      <c r="AC483" s="32" t="str">
        <f t="shared" si="338"/>
        <v/>
      </c>
      <c r="AD483" s="32" t="str">
        <f t="shared" si="339"/>
        <v/>
      </c>
      <c r="AE483" s="34" t="str">
        <f t="shared" si="340"/>
        <v/>
      </c>
      <c r="AF483" s="32" t="str">
        <f t="shared" si="341"/>
        <v/>
      </c>
      <c r="AG483" s="32" t="str">
        <f t="shared" si="342"/>
        <v/>
      </c>
      <c r="AH483" s="32" t="str">
        <f t="shared" si="343"/>
        <v/>
      </c>
      <c r="AI483" s="35" t="str">
        <f t="shared" si="344"/>
        <v/>
      </c>
      <c r="AJ483" s="23" t="str">
        <f t="array" ref="AJ483">IFERROR(SMALL(IF(U$1:U$1000="BEGIN",ROW(U$1:U$1000)),ROW()-3),"")</f>
        <v/>
      </c>
      <c r="AK483" s="23" t="str">
        <f t="array" ref="AK483">IFERROR(SMALL(IF(V$1:V$1000="END",ROW(V$1:V$1000)),ROW()-3),"")</f>
        <v/>
      </c>
      <c r="AL483" s="24" t="str">
        <f t="array" ref="AL483">IF(AK483="","",MATCH(AM483,L:L,0))</f>
        <v/>
      </c>
      <c r="AM483" s="35">
        <f t="array" ref="AM483">MAX(IF((B$4:B$1000&lt;=AK483)*(B$4:B$1000&gt;=AJ483),L$4:L$1000, ""))</f>
        <v>0</v>
      </c>
      <c r="AN483" s="32" t="str">
        <f t="shared" si="351"/>
        <v/>
      </c>
      <c r="AO483" s="32" t="str">
        <f t="shared" si="352"/>
        <v/>
      </c>
      <c r="AP483" s="32" t="str">
        <f t="shared" si="353"/>
        <v/>
      </c>
      <c r="AQ483" s="32" t="str">
        <f t="shared" si="354"/>
        <v/>
      </c>
      <c r="AR483" s="32" t="str">
        <f t="shared" si="355"/>
        <v/>
      </c>
      <c r="AS483" s="32" t="str">
        <f t="shared" si="356"/>
        <v/>
      </c>
      <c r="AT483" s="32" t="str">
        <f t="shared" si="357"/>
        <v/>
      </c>
      <c r="AU483" s="34" t="str">
        <f t="shared" si="358"/>
        <v/>
      </c>
      <c r="AV483" s="32" t="str">
        <f t="shared" si="359"/>
        <v/>
      </c>
      <c r="AW483" s="32" t="str">
        <f t="shared" si="360"/>
        <v/>
      </c>
      <c r="AX483" s="32" t="str">
        <f t="shared" si="361"/>
        <v/>
      </c>
      <c r="AY483" s="32" t="str">
        <f t="shared" si="362"/>
        <v/>
      </c>
    </row>
    <row r="484" spans="1:51" x14ac:dyDescent="0.25">
      <c r="A484" s="24" t="str">
        <f t="shared" si="320"/>
        <v/>
      </c>
      <c r="B484" s="24" t="str">
        <f t="shared" si="330"/>
        <v/>
      </c>
      <c r="C484" s="32" t="str">
        <f t="shared" si="321"/>
        <v/>
      </c>
      <c r="D484" s="24" t="str">
        <f t="shared" si="322"/>
        <v/>
      </c>
      <c r="E484" s="24" t="str">
        <f t="shared" si="323"/>
        <v/>
      </c>
      <c r="F484" s="32" t="str">
        <f t="shared" si="324"/>
        <v/>
      </c>
      <c r="G484" s="32" t="str">
        <f t="shared" si="325"/>
        <v/>
      </c>
      <c r="H484" s="32" t="str">
        <f t="shared" ca="1" si="326"/>
        <v/>
      </c>
      <c r="I484" s="32" t="str">
        <f t="shared" ca="1" si="331"/>
        <v/>
      </c>
      <c r="J484" s="32" t="str">
        <f t="shared" si="327"/>
        <v/>
      </c>
      <c r="K484" s="32" t="str">
        <f>IF(ISNUMBER(A484),Profile!$V$25+Profile!$V$24*'Ri-Po'!C484,"")</f>
        <v/>
      </c>
      <c r="L484" s="32" t="str">
        <f t="shared" si="332"/>
        <v/>
      </c>
      <c r="M484" s="32" t="str">
        <f t="shared" si="328"/>
        <v/>
      </c>
      <c r="N484" s="32" t="str">
        <f t="shared" si="329"/>
        <v/>
      </c>
      <c r="O484" s="32" t="str">
        <f t="shared" si="345"/>
        <v/>
      </c>
      <c r="P484" s="32" t="str">
        <f t="shared" si="333"/>
        <v/>
      </c>
      <c r="Q484" s="32" t="str">
        <f t="shared" si="334"/>
        <v/>
      </c>
      <c r="R484" s="32" t="str">
        <f t="shared" si="346"/>
        <v/>
      </c>
      <c r="S484" s="24" t="str">
        <f t="shared" si="347"/>
        <v/>
      </c>
      <c r="T484" s="24" t="str">
        <f t="shared" si="348"/>
        <v/>
      </c>
      <c r="U484" s="24" t="str">
        <f t="shared" si="349"/>
        <v/>
      </c>
      <c r="V484" s="24" t="str">
        <f t="shared" si="350"/>
        <v/>
      </c>
      <c r="W484" s="23" t="str">
        <f t="array" ref="W484">IFERROR(SMALL(IF(S$1:S$1000="BEGIN",ROW(S$1:S$1000)),ROW()-3),"")</f>
        <v/>
      </c>
      <c r="X484" s="23" t="str">
        <f t="array" ref="X484">IFERROR(SMALL(IF(T$1:T$1000="END",ROW(T$1:T$1000)),ROW()-3),"")</f>
        <v/>
      </c>
      <c r="Y484" s="33" t="str">
        <f t="array" ref="Y484">IF(ISNUMBER(W484),MAX(IF((B$4:B$1000&lt;=X484)*(B$4:B$1000&gt;=W484),I$4:I$1000, "")),"")</f>
        <v/>
      </c>
      <c r="Z484" s="33" t="str">
        <f t="shared" si="335"/>
        <v/>
      </c>
      <c r="AA484" s="32" t="str">
        <f t="shared" si="336"/>
        <v/>
      </c>
      <c r="AB484" s="32" t="str">
        <f t="shared" si="337"/>
        <v/>
      </c>
      <c r="AC484" s="32" t="str">
        <f t="shared" si="338"/>
        <v/>
      </c>
      <c r="AD484" s="32" t="str">
        <f t="shared" si="339"/>
        <v/>
      </c>
      <c r="AE484" s="34" t="str">
        <f t="shared" si="340"/>
        <v/>
      </c>
      <c r="AF484" s="32" t="str">
        <f t="shared" si="341"/>
        <v/>
      </c>
      <c r="AG484" s="32" t="str">
        <f t="shared" si="342"/>
        <v/>
      </c>
      <c r="AH484" s="32" t="str">
        <f t="shared" si="343"/>
        <v/>
      </c>
      <c r="AI484" s="35" t="str">
        <f t="shared" si="344"/>
        <v/>
      </c>
      <c r="AJ484" s="23" t="str">
        <f t="array" ref="AJ484">IFERROR(SMALL(IF(U$1:U$1000="BEGIN",ROW(U$1:U$1000)),ROW()-3),"")</f>
        <v/>
      </c>
      <c r="AK484" s="23" t="str">
        <f t="array" ref="AK484">IFERROR(SMALL(IF(V$1:V$1000="END",ROW(V$1:V$1000)),ROW()-3),"")</f>
        <v/>
      </c>
      <c r="AL484" s="24" t="str">
        <f t="array" ref="AL484">IF(AK484="","",MATCH(AM484,L:L,0))</f>
        <v/>
      </c>
      <c r="AM484" s="35">
        <f t="array" ref="AM484">MAX(IF((B$4:B$1000&lt;=AK484)*(B$4:B$1000&gt;=AJ484),L$4:L$1000, ""))</f>
        <v>0</v>
      </c>
      <c r="AN484" s="32" t="str">
        <f t="shared" si="351"/>
        <v/>
      </c>
      <c r="AO484" s="32" t="str">
        <f t="shared" si="352"/>
        <v/>
      </c>
      <c r="AP484" s="32" t="str">
        <f t="shared" si="353"/>
        <v/>
      </c>
      <c r="AQ484" s="32" t="str">
        <f t="shared" si="354"/>
        <v/>
      </c>
      <c r="AR484" s="32" t="str">
        <f t="shared" si="355"/>
        <v/>
      </c>
      <c r="AS484" s="32" t="str">
        <f t="shared" si="356"/>
        <v/>
      </c>
      <c r="AT484" s="32" t="str">
        <f t="shared" si="357"/>
        <v/>
      </c>
      <c r="AU484" s="34" t="str">
        <f t="shared" si="358"/>
        <v/>
      </c>
      <c r="AV484" s="32" t="str">
        <f t="shared" si="359"/>
        <v/>
      </c>
      <c r="AW484" s="32" t="str">
        <f t="shared" si="360"/>
        <v/>
      </c>
      <c r="AX484" s="32" t="str">
        <f t="shared" si="361"/>
        <v/>
      </c>
      <c r="AY484" s="32" t="str">
        <f t="shared" si="362"/>
        <v/>
      </c>
    </row>
    <row r="485" spans="1:51" x14ac:dyDescent="0.25">
      <c r="A485" s="24" t="str">
        <f t="shared" si="320"/>
        <v/>
      </c>
      <c r="B485" s="24" t="str">
        <f t="shared" si="330"/>
        <v/>
      </c>
      <c r="C485" s="32" t="str">
        <f t="shared" si="321"/>
        <v/>
      </c>
      <c r="D485" s="24" t="str">
        <f t="shared" si="322"/>
        <v/>
      </c>
      <c r="E485" s="24" t="str">
        <f t="shared" si="323"/>
        <v/>
      </c>
      <c r="F485" s="32" t="str">
        <f t="shared" si="324"/>
        <v/>
      </c>
      <c r="G485" s="32" t="str">
        <f t="shared" si="325"/>
        <v/>
      </c>
      <c r="H485" s="32" t="str">
        <f t="shared" ca="1" si="326"/>
        <v/>
      </c>
      <c r="I485" s="32" t="str">
        <f t="shared" ca="1" si="331"/>
        <v/>
      </c>
      <c r="J485" s="32" t="str">
        <f t="shared" si="327"/>
        <v/>
      </c>
      <c r="K485" s="32" t="str">
        <f>IF(ISNUMBER(A485),Profile!$V$25+Profile!$V$24*'Ri-Po'!C485,"")</f>
        <v/>
      </c>
      <c r="L485" s="32" t="str">
        <f t="shared" si="332"/>
        <v/>
      </c>
      <c r="M485" s="32" t="str">
        <f t="shared" si="328"/>
        <v/>
      </c>
      <c r="N485" s="32" t="str">
        <f t="shared" si="329"/>
        <v/>
      </c>
      <c r="O485" s="32" t="str">
        <f t="shared" si="345"/>
        <v/>
      </c>
      <c r="P485" s="32" t="str">
        <f t="shared" si="333"/>
        <v/>
      </c>
      <c r="Q485" s="32" t="str">
        <f t="shared" si="334"/>
        <v/>
      </c>
      <c r="R485" s="32" t="str">
        <f t="shared" si="346"/>
        <v/>
      </c>
      <c r="S485" s="24" t="str">
        <f t="shared" si="347"/>
        <v/>
      </c>
      <c r="T485" s="24" t="str">
        <f t="shared" si="348"/>
        <v/>
      </c>
      <c r="U485" s="24" t="str">
        <f t="shared" si="349"/>
        <v/>
      </c>
      <c r="V485" s="24" t="str">
        <f t="shared" si="350"/>
        <v/>
      </c>
      <c r="W485" s="23" t="str">
        <f t="array" ref="W485">IFERROR(SMALL(IF(S$1:S$1000="BEGIN",ROW(S$1:S$1000)),ROW()-3),"")</f>
        <v/>
      </c>
      <c r="X485" s="23" t="str">
        <f t="array" ref="X485">IFERROR(SMALL(IF(T$1:T$1000="END",ROW(T$1:T$1000)),ROW()-3),"")</f>
        <v/>
      </c>
      <c r="Y485" s="33" t="str">
        <f t="array" ref="Y485">IF(ISNUMBER(W485),MAX(IF((B$4:B$1000&lt;=X485)*(B$4:B$1000&gt;=W485),I$4:I$1000, "")),"")</f>
        <v/>
      </c>
      <c r="Z485" s="33" t="str">
        <f t="shared" si="335"/>
        <v/>
      </c>
      <c r="AA485" s="32" t="str">
        <f t="shared" si="336"/>
        <v/>
      </c>
      <c r="AB485" s="32" t="str">
        <f t="shared" si="337"/>
        <v/>
      </c>
      <c r="AC485" s="32" t="str">
        <f t="shared" si="338"/>
        <v/>
      </c>
      <c r="AD485" s="32" t="str">
        <f t="shared" si="339"/>
        <v/>
      </c>
      <c r="AE485" s="34" t="str">
        <f t="shared" si="340"/>
        <v/>
      </c>
      <c r="AF485" s="32" t="str">
        <f t="shared" si="341"/>
        <v/>
      </c>
      <c r="AG485" s="32" t="str">
        <f t="shared" si="342"/>
        <v/>
      </c>
      <c r="AH485" s="32" t="str">
        <f t="shared" si="343"/>
        <v/>
      </c>
      <c r="AI485" s="35" t="str">
        <f t="shared" si="344"/>
        <v/>
      </c>
      <c r="AJ485" s="23" t="str">
        <f t="array" ref="AJ485">IFERROR(SMALL(IF(U$1:U$1000="BEGIN",ROW(U$1:U$1000)),ROW()-3),"")</f>
        <v/>
      </c>
      <c r="AK485" s="23" t="str">
        <f t="array" ref="AK485">IFERROR(SMALL(IF(V$1:V$1000="END",ROW(V$1:V$1000)),ROW()-3),"")</f>
        <v/>
      </c>
      <c r="AL485" s="24" t="str">
        <f t="array" ref="AL485">IF(AK485="","",MATCH(AM485,L:L,0))</f>
        <v/>
      </c>
      <c r="AM485" s="35">
        <f t="array" ref="AM485">MAX(IF((B$4:B$1000&lt;=AK485)*(B$4:B$1000&gt;=AJ485),L$4:L$1000, ""))</f>
        <v>0</v>
      </c>
      <c r="AN485" s="32" t="str">
        <f t="shared" si="351"/>
        <v/>
      </c>
      <c r="AO485" s="32" t="str">
        <f t="shared" si="352"/>
        <v/>
      </c>
      <c r="AP485" s="32" t="str">
        <f t="shared" si="353"/>
        <v/>
      </c>
      <c r="AQ485" s="32" t="str">
        <f t="shared" si="354"/>
        <v/>
      </c>
      <c r="AR485" s="32" t="str">
        <f t="shared" si="355"/>
        <v/>
      </c>
      <c r="AS485" s="32" t="str">
        <f t="shared" si="356"/>
        <v/>
      </c>
      <c r="AT485" s="32" t="str">
        <f t="shared" si="357"/>
        <v/>
      </c>
      <c r="AU485" s="34" t="str">
        <f t="shared" si="358"/>
        <v/>
      </c>
      <c r="AV485" s="32" t="str">
        <f t="shared" si="359"/>
        <v/>
      </c>
      <c r="AW485" s="32" t="str">
        <f t="shared" si="360"/>
        <v/>
      </c>
      <c r="AX485" s="32" t="str">
        <f t="shared" si="361"/>
        <v/>
      </c>
      <c r="AY485" s="32" t="str">
        <f t="shared" si="362"/>
        <v/>
      </c>
    </row>
    <row r="486" spans="1:51" x14ac:dyDescent="0.25">
      <c r="A486" s="24" t="str">
        <f t="shared" si="320"/>
        <v/>
      </c>
      <c r="B486" s="24" t="str">
        <f t="shared" si="330"/>
        <v/>
      </c>
      <c r="C486" s="32" t="str">
        <f t="shared" si="321"/>
        <v/>
      </c>
      <c r="D486" s="24" t="str">
        <f t="shared" si="322"/>
        <v/>
      </c>
      <c r="E486" s="24" t="str">
        <f t="shared" si="323"/>
        <v/>
      </c>
      <c r="F486" s="32" t="str">
        <f t="shared" si="324"/>
        <v/>
      </c>
      <c r="G486" s="32" t="str">
        <f t="shared" si="325"/>
        <v/>
      </c>
      <c r="H486" s="32" t="str">
        <f t="shared" ca="1" si="326"/>
        <v/>
      </c>
      <c r="I486" s="32" t="str">
        <f t="shared" ca="1" si="331"/>
        <v/>
      </c>
      <c r="J486" s="32" t="str">
        <f t="shared" si="327"/>
        <v/>
      </c>
      <c r="K486" s="32" t="str">
        <f>IF(ISNUMBER(A486),Profile!$V$25+Profile!$V$24*'Ri-Po'!C486,"")</f>
        <v/>
      </c>
      <c r="L486" s="32" t="str">
        <f t="shared" si="332"/>
        <v/>
      </c>
      <c r="M486" s="32" t="str">
        <f t="shared" si="328"/>
        <v/>
      </c>
      <c r="N486" s="32" t="str">
        <f t="shared" si="329"/>
        <v/>
      </c>
      <c r="O486" s="32" t="str">
        <f t="shared" si="345"/>
        <v/>
      </c>
      <c r="P486" s="32" t="str">
        <f t="shared" si="333"/>
        <v/>
      </c>
      <c r="Q486" s="32" t="str">
        <f t="shared" si="334"/>
        <v/>
      </c>
      <c r="R486" s="32" t="str">
        <f t="shared" si="346"/>
        <v/>
      </c>
      <c r="S486" s="24" t="str">
        <f t="shared" si="347"/>
        <v/>
      </c>
      <c r="T486" s="24" t="str">
        <f t="shared" si="348"/>
        <v/>
      </c>
      <c r="U486" s="24" t="str">
        <f t="shared" si="349"/>
        <v/>
      </c>
      <c r="V486" s="24" t="str">
        <f t="shared" si="350"/>
        <v/>
      </c>
      <c r="W486" s="23" t="str">
        <f t="array" ref="W486">IFERROR(SMALL(IF(S$1:S$1000="BEGIN",ROW(S$1:S$1000)),ROW()-3),"")</f>
        <v/>
      </c>
      <c r="X486" s="23" t="str">
        <f t="array" ref="X486">IFERROR(SMALL(IF(T$1:T$1000="END",ROW(T$1:T$1000)),ROW()-3),"")</f>
        <v/>
      </c>
      <c r="Y486" s="33" t="str">
        <f t="array" ref="Y486">IF(ISNUMBER(W486),MAX(IF((B$4:B$1000&lt;=X486)*(B$4:B$1000&gt;=W486),I$4:I$1000, "")),"")</f>
        <v/>
      </c>
      <c r="Z486" s="33" t="str">
        <f t="shared" si="335"/>
        <v/>
      </c>
      <c r="AA486" s="32" t="str">
        <f t="shared" si="336"/>
        <v/>
      </c>
      <c r="AB486" s="32" t="str">
        <f t="shared" si="337"/>
        <v/>
      </c>
      <c r="AC486" s="32" t="str">
        <f t="shared" si="338"/>
        <v/>
      </c>
      <c r="AD486" s="32" t="str">
        <f t="shared" si="339"/>
        <v/>
      </c>
      <c r="AE486" s="34" t="str">
        <f t="shared" si="340"/>
        <v/>
      </c>
      <c r="AF486" s="32" t="str">
        <f t="shared" si="341"/>
        <v/>
      </c>
      <c r="AG486" s="32" t="str">
        <f t="shared" si="342"/>
        <v/>
      </c>
      <c r="AH486" s="32" t="str">
        <f t="shared" si="343"/>
        <v/>
      </c>
      <c r="AI486" s="35" t="str">
        <f t="shared" si="344"/>
        <v/>
      </c>
      <c r="AJ486" s="23" t="str">
        <f t="array" ref="AJ486">IFERROR(SMALL(IF(U$1:U$1000="BEGIN",ROW(U$1:U$1000)),ROW()-3),"")</f>
        <v/>
      </c>
      <c r="AK486" s="23" t="str">
        <f t="array" ref="AK486">IFERROR(SMALL(IF(V$1:V$1000="END",ROW(V$1:V$1000)),ROW()-3),"")</f>
        <v/>
      </c>
      <c r="AL486" s="24" t="str">
        <f t="array" ref="AL486">IF(AK486="","",MATCH(AM486,L:L,0))</f>
        <v/>
      </c>
      <c r="AM486" s="35">
        <f t="array" ref="AM486">MAX(IF((B$4:B$1000&lt;=AK486)*(B$4:B$1000&gt;=AJ486),L$4:L$1000, ""))</f>
        <v>0</v>
      </c>
      <c r="AN486" s="32" t="str">
        <f t="shared" si="351"/>
        <v/>
      </c>
      <c r="AO486" s="32" t="str">
        <f t="shared" si="352"/>
        <v/>
      </c>
      <c r="AP486" s="32" t="str">
        <f t="shared" si="353"/>
        <v/>
      </c>
      <c r="AQ486" s="32" t="str">
        <f t="shared" si="354"/>
        <v/>
      </c>
      <c r="AR486" s="32" t="str">
        <f t="shared" si="355"/>
        <v/>
      </c>
      <c r="AS486" s="32" t="str">
        <f t="shared" si="356"/>
        <v/>
      </c>
      <c r="AT486" s="32" t="str">
        <f t="shared" si="357"/>
        <v/>
      </c>
      <c r="AU486" s="34" t="str">
        <f t="shared" si="358"/>
        <v/>
      </c>
      <c r="AV486" s="32" t="str">
        <f t="shared" si="359"/>
        <v/>
      </c>
      <c r="AW486" s="32" t="str">
        <f t="shared" si="360"/>
        <v/>
      </c>
      <c r="AX486" s="32" t="str">
        <f t="shared" si="361"/>
        <v/>
      </c>
      <c r="AY486" s="32" t="str">
        <f t="shared" si="362"/>
        <v/>
      </c>
    </row>
    <row r="487" spans="1:51" x14ac:dyDescent="0.25">
      <c r="A487" s="24" t="str">
        <f t="shared" si="320"/>
        <v/>
      </c>
      <c r="B487" s="24" t="str">
        <f t="shared" si="330"/>
        <v/>
      </c>
      <c r="C487" s="32" t="str">
        <f t="shared" si="321"/>
        <v/>
      </c>
      <c r="D487" s="24" t="str">
        <f t="shared" si="322"/>
        <v/>
      </c>
      <c r="E487" s="24" t="str">
        <f t="shared" si="323"/>
        <v/>
      </c>
      <c r="F487" s="32" t="str">
        <f t="shared" si="324"/>
        <v/>
      </c>
      <c r="G487" s="32" t="str">
        <f t="shared" si="325"/>
        <v/>
      </c>
      <c r="H487" s="32" t="str">
        <f t="shared" ca="1" si="326"/>
        <v/>
      </c>
      <c r="I487" s="32" t="str">
        <f t="shared" ca="1" si="331"/>
        <v/>
      </c>
      <c r="J487" s="32" t="str">
        <f t="shared" si="327"/>
        <v/>
      </c>
      <c r="K487" s="32" t="str">
        <f>IF(ISNUMBER(A487),Profile!$V$25+Profile!$V$24*'Ri-Po'!C487,"")</f>
        <v/>
      </c>
      <c r="L487" s="32" t="str">
        <f t="shared" si="332"/>
        <v/>
      </c>
      <c r="M487" s="32" t="str">
        <f t="shared" si="328"/>
        <v/>
      </c>
      <c r="N487" s="32" t="str">
        <f t="shared" si="329"/>
        <v/>
      </c>
      <c r="O487" s="32" t="str">
        <f t="shared" si="345"/>
        <v/>
      </c>
      <c r="P487" s="32" t="str">
        <f t="shared" si="333"/>
        <v/>
      </c>
      <c r="Q487" s="32" t="str">
        <f t="shared" si="334"/>
        <v/>
      </c>
      <c r="R487" s="32" t="str">
        <f t="shared" si="346"/>
        <v/>
      </c>
      <c r="S487" s="24" t="str">
        <f t="shared" si="347"/>
        <v/>
      </c>
      <c r="T487" s="24" t="str">
        <f t="shared" si="348"/>
        <v/>
      </c>
      <c r="U487" s="24" t="str">
        <f t="shared" si="349"/>
        <v/>
      </c>
      <c r="V487" s="24" t="str">
        <f t="shared" si="350"/>
        <v/>
      </c>
      <c r="W487" s="23" t="str">
        <f t="array" ref="W487">IFERROR(SMALL(IF(S$1:S$1000="BEGIN",ROW(S$1:S$1000)),ROW()-3),"")</f>
        <v/>
      </c>
      <c r="X487" s="23" t="str">
        <f t="array" ref="X487">IFERROR(SMALL(IF(T$1:T$1000="END",ROW(T$1:T$1000)),ROW()-3),"")</f>
        <v/>
      </c>
      <c r="Y487" s="33" t="str">
        <f t="array" ref="Y487">IF(ISNUMBER(W487),MAX(IF((B$4:B$1000&lt;=X487)*(B$4:B$1000&gt;=W487),I$4:I$1000, "")),"")</f>
        <v/>
      </c>
      <c r="Z487" s="33" t="str">
        <f t="shared" si="335"/>
        <v/>
      </c>
      <c r="AA487" s="32" t="str">
        <f t="shared" si="336"/>
        <v/>
      </c>
      <c r="AB487" s="32" t="str">
        <f t="shared" si="337"/>
        <v/>
      </c>
      <c r="AC487" s="32" t="str">
        <f t="shared" si="338"/>
        <v/>
      </c>
      <c r="AD487" s="32" t="str">
        <f t="shared" si="339"/>
        <v/>
      </c>
      <c r="AE487" s="34" t="str">
        <f t="shared" si="340"/>
        <v/>
      </c>
      <c r="AF487" s="32" t="str">
        <f t="shared" si="341"/>
        <v/>
      </c>
      <c r="AG487" s="32" t="str">
        <f t="shared" si="342"/>
        <v/>
      </c>
      <c r="AH487" s="32" t="str">
        <f t="shared" si="343"/>
        <v/>
      </c>
      <c r="AI487" s="35" t="str">
        <f t="shared" si="344"/>
        <v/>
      </c>
      <c r="AJ487" s="23" t="str">
        <f t="array" ref="AJ487">IFERROR(SMALL(IF(U$1:U$1000="BEGIN",ROW(U$1:U$1000)),ROW()-3),"")</f>
        <v/>
      </c>
      <c r="AK487" s="23" t="str">
        <f t="array" ref="AK487">IFERROR(SMALL(IF(V$1:V$1000="END",ROW(V$1:V$1000)),ROW()-3),"")</f>
        <v/>
      </c>
      <c r="AL487" s="24" t="str">
        <f t="array" ref="AL487">IF(AK487="","",MATCH(AM487,L:L,0))</f>
        <v/>
      </c>
      <c r="AM487" s="35">
        <f t="array" ref="AM487">MAX(IF((B$4:B$1000&lt;=AK487)*(B$4:B$1000&gt;=AJ487),L$4:L$1000, ""))</f>
        <v>0</v>
      </c>
      <c r="AN487" s="32" t="str">
        <f t="shared" si="351"/>
        <v/>
      </c>
      <c r="AO487" s="32" t="str">
        <f t="shared" si="352"/>
        <v/>
      </c>
      <c r="AP487" s="32" t="str">
        <f t="shared" si="353"/>
        <v/>
      </c>
      <c r="AQ487" s="32" t="str">
        <f t="shared" si="354"/>
        <v/>
      </c>
      <c r="AR487" s="32" t="str">
        <f t="shared" si="355"/>
        <v/>
      </c>
      <c r="AS487" s="32" t="str">
        <f t="shared" si="356"/>
        <v/>
      </c>
      <c r="AT487" s="32" t="str">
        <f t="shared" si="357"/>
        <v/>
      </c>
      <c r="AU487" s="34" t="str">
        <f t="shared" si="358"/>
        <v/>
      </c>
      <c r="AV487" s="32" t="str">
        <f t="shared" si="359"/>
        <v/>
      </c>
      <c r="AW487" s="32" t="str">
        <f t="shared" si="360"/>
        <v/>
      </c>
      <c r="AX487" s="32" t="str">
        <f t="shared" si="361"/>
        <v/>
      </c>
      <c r="AY487" s="32" t="str">
        <f t="shared" si="362"/>
        <v/>
      </c>
    </row>
    <row r="488" spans="1:51" x14ac:dyDescent="0.25">
      <c r="A488" s="24" t="str">
        <f t="shared" si="320"/>
        <v/>
      </c>
      <c r="B488" s="24" t="str">
        <f t="shared" si="330"/>
        <v/>
      </c>
      <c r="C488" s="32" t="str">
        <f t="shared" si="321"/>
        <v/>
      </c>
      <c r="D488" s="24" t="str">
        <f t="shared" si="322"/>
        <v/>
      </c>
      <c r="E488" s="24" t="str">
        <f t="shared" si="323"/>
        <v/>
      </c>
      <c r="F488" s="32" t="str">
        <f t="shared" si="324"/>
        <v/>
      </c>
      <c r="G488" s="32" t="str">
        <f t="shared" si="325"/>
        <v/>
      </c>
      <c r="H488" s="32" t="str">
        <f t="shared" ca="1" si="326"/>
        <v/>
      </c>
      <c r="I488" s="32" t="str">
        <f t="shared" ca="1" si="331"/>
        <v/>
      </c>
      <c r="J488" s="32" t="str">
        <f t="shared" si="327"/>
        <v/>
      </c>
      <c r="K488" s="32" t="str">
        <f>IF(ISNUMBER(A488),Profile!$V$25+Profile!$V$24*'Ri-Po'!C488,"")</f>
        <v/>
      </c>
      <c r="L488" s="32" t="str">
        <f t="shared" si="332"/>
        <v/>
      </c>
      <c r="M488" s="32" t="str">
        <f t="shared" si="328"/>
        <v/>
      </c>
      <c r="N488" s="32" t="str">
        <f t="shared" si="329"/>
        <v/>
      </c>
      <c r="O488" s="32" t="str">
        <f t="shared" si="345"/>
        <v/>
      </c>
      <c r="P488" s="32" t="str">
        <f t="shared" si="333"/>
        <v/>
      </c>
      <c r="Q488" s="32" t="str">
        <f t="shared" si="334"/>
        <v/>
      </c>
      <c r="R488" s="32" t="str">
        <f t="shared" si="346"/>
        <v/>
      </c>
      <c r="S488" s="24" t="str">
        <f t="shared" si="347"/>
        <v/>
      </c>
      <c r="T488" s="24" t="str">
        <f t="shared" si="348"/>
        <v/>
      </c>
      <c r="U488" s="24" t="str">
        <f t="shared" si="349"/>
        <v/>
      </c>
      <c r="V488" s="24" t="str">
        <f t="shared" si="350"/>
        <v/>
      </c>
      <c r="W488" s="23" t="str">
        <f t="array" ref="W488">IFERROR(SMALL(IF(S$1:S$1000="BEGIN",ROW(S$1:S$1000)),ROW()-3),"")</f>
        <v/>
      </c>
      <c r="X488" s="23" t="str">
        <f t="array" ref="X488">IFERROR(SMALL(IF(T$1:T$1000="END",ROW(T$1:T$1000)),ROW()-3),"")</f>
        <v/>
      </c>
      <c r="Y488" s="33" t="str">
        <f t="array" ref="Y488">IF(ISNUMBER(W488),MAX(IF((B$4:B$1000&lt;=X488)*(B$4:B$1000&gt;=W488),I$4:I$1000, "")),"")</f>
        <v/>
      </c>
      <c r="Z488" s="33" t="str">
        <f t="shared" si="335"/>
        <v/>
      </c>
      <c r="AA488" s="32" t="str">
        <f t="shared" si="336"/>
        <v/>
      </c>
      <c r="AB488" s="32" t="str">
        <f t="shared" si="337"/>
        <v/>
      </c>
      <c r="AC488" s="32" t="str">
        <f t="shared" si="338"/>
        <v/>
      </c>
      <c r="AD488" s="32" t="str">
        <f t="shared" si="339"/>
        <v/>
      </c>
      <c r="AE488" s="34" t="str">
        <f t="shared" si="340"/>
        <v/>
      </c>
      <c r="AF488" s="32" t="str">
        <f t="shared" si="341"/>
        <v/>
      </c>
      <c r="AG488" s="32" t="str">
        <f t="shared" si="342"/>
        <v/>
      </c>
      <c r="AH488" s="32" t="str">
        <f t="shared" si="343"/>
        <v/>
      </c>
      <c r="AI488" s="35" t="str">
        <f t="shared" si="344"/>
        <v/>
      </c>
      <c r="AJ488" s="23" t="str">
        <f t="array" ref="AJ488">IFERROR(SMALL(IF(U$1:U$1000="BEGIN",ROW(U$1:U$1000)),ROW()-3),"")</f>
        <v/>
      </c>
      <c r="AK488" s="23" t="str">
        <f t="array" ref="AK488">IFERROR(SMALL(IF(V$1:V$1000="END",ROW(V$1:V$1000)),ROW()-3),"")</f>
        <v/>
      </c>
      <c r="AL488" s="24" t="str">
        <f t="array" ref="AL488">IF(AK488="","",MATCH(AM488,L:L,0))</f>
        <v/>
      </c>
      <c r="AM488" s="35">
        <f t="array" ref="AM488">MAX(IF((B$4:B$1000&lt;=AK488)*(B$4:B$1000&gt;=AJ488),L$4:L$1000, ""))</f>
        <v>0</v>
      </c>
      <c r="AN488" s="32" t="str">
        <f t="shared" si="351"/>
        <v/>
      </c>
      <c r="AO488" s="32" t="str">
        <f t="shared" si="352"/>
        <v/>
      </c>
      <c r="AP488" s="32" t="str">
        <f t="shared" si="353"/>
        <v/>
      </c>
      <c r="AQ488" s="32" t="str">
        <f t="shared" si="354"/>
        <v/>
      </c>
      <c r="AR488" s="32" t="str">
        <f t="shared" si="355"/>
        <v/>
      </c>
      <c r="AS488" s="32" t="str">
        <f t="shared" si="356"/>
        <v/>
      </c>
      <c r="AT488" s="32" t="str">
        <f t="shared" si="357"/>
        <v/>
      </c>
      <c r="AU488" s="34" t="str">
        <f t="shared" si="358"/>
        <v/>
      </c>
      <c r="AV488" s="32" t="str">
        <f t="shared" si="359"/>
        <v/>
      </c>
      <c r="AW488" s="32" t="str">
        <f t="shared" si="360"/>
        <v/>
      </c>
      <c r="AX488" s="32" t="str">
        <f t="shared" si="361"/>
        <v/>
      </c>
      <c r="AY488" s="32" t="str">
        <f t="shared" si="362"/>
        <v/>
      </c>
    </row>
    <row r="489" spans="1:51" x14ac:dyDescent="0.25">
      <c r="A489" s="24" t="str">
        <f t="shared" si="320"/>
        <v/>
      </c>
      <c r="B489" s="24" t="str">
        <f t="shared" si="330"/>
        <v/>
      </c>
      <c r="C489" s="32" t="str">
        <f t="shared" si="321"/>
        <v/>
      </c>
      <c r="D489" s="24" t="str">
        <f t="shared" si="322"/>
        <v/>
      </c>
      <c r="E489" s="24" t="str">
        <f t="shared" si="323"/>
        <v/>
      </c>
      <c r="F489" s="32" t="str">
        <f t="shared" si="324"/>
        <v/>
      </c>
      <c r="G489" s="32" t="str">
        <f t="shared" si="325"/>
        <v/>
      </c>
      <c r="H489" s="32" t="str">
        <f t="shared" ca="1" si="326"/>
        <v/>
      </c>
      <c r="I489" s="32" t="str">
        <f t="shared" ca="1" si="331"/>
        <v/>
      </c>
      <c r="J489" s="32" t="str">
        <f t="shared" si="327"/>
        <v/>
      </c>
      <c r="K489" s="32" t="str">
        <f>IF(ISNUMBER(A489),Profile!$V$25+Profile!$V$24*'Ri-Po'!C489,"")</f>
        <v/>
      </c>
      <c r="L489" s="32" t="str">
        <f t="shared" si="332"/>
        <v/>
      </c>
      <c r="M489" s="32" t="str">
        <f t="shared" si="328"/>
        <v/>
      </c>
      <c r="N489" s="32" t="str">
        <f t="shared" si="329"/>
        <v/>
      </c>
      <c r="O489" s="32" t="str">
        <f t="shared" si="345"/>
        <v/>
      </c>
      <c r="P489" s="32" t="str">
        <f t="shared" si="333"/>
        <v/>
      </c>
      <c r="Q489" s="32" t="str">
        <f t="shared" si="334"/>
        <v/>
      </c>
      <c r="R489" s="32" t="str">
        <f t="shared" si="346"/>
        <v/>
      </c>
      <c r="S489" s="24" t="str">
        <f t="shared" si="347"/>
        <v/>
      </c>
      <c r="T489" s="24" t="str">
        <f t="shared" si="348"/>
        <v/>
      </c>
      <c r="U489" s="24" t="str">
        <f t="shared" si="349"/>
        <v/>
      </c>
      <c r="V489" s="24" t="str">
        <f t="shared" si="350"/>
        <v/>
      </c>
      <c r="W489" s="23" t="str">
        <f t="array" ref="W489">IFERROR(SMALL(IF(S$1:S$1000="BEGIN",ROW(S$1:S$1000)),ROW()-3),"")</f>
        <v/>
      </c>
      <c r="X489" s="23" t="str">
        <f t="array" ref="X489">IFERROR(SMALL(IF(T$1:T$1000="END",ROW(T$1:T$1000)),ROW()-3),"")</f>
        <v/>
      </c>
      <c r="Y489" s="33" t="str">
        <f t="array" ref="Y489">IF(ISNUMBER(W489),MAX(IF((B$4:B$1000&lt;=X489)*(B$4:B$1000&gt;=W489),I$4:I$1000, "")),"")</f>
        <v/>
      </c>
      <c r="Z489" s="33" t="str">
        <f t="shared" si="335"/>
        <v/>
      </c>
      <c r="AA489" s="32" t="str">
        <f t="shared" si="336"/>
        <v/>
      </c>
      <c r="AB489" s="32" t="str">
        <f t="shared" si="337"/>
        <v/>
      </c>
      <c r="AC489" s="32" t="str">
        <f t="shared" si="338"/>
        <v/>
      </c>
      <c r="AD489" s="32" t="str">
        <f t="shared" si="339"/>
        <v/>
      </c>
      <c r="AE489" s="34" t="str">
        <f t="shared" si="340"/>
        <v/>
      </c>
      <c r="AF489" s="32" t="str">
        <f t="shared" si="341"/>
        <v/>
      </c>
      <c r="AG489" s="32" t="str">
        <f t="shared" si="342"/>
        <v/>
      </c>
      <c r="AH489" s="32" t="str">
        <f t="shared" si="343"/>
        <v/>
      </c>
      <c r="AI489" s="35" t="str">
        <f t="shared" si="344"/>
        <v/>
      </c>
      <c r="AJ489" s="23" t="str">
        <f t="array" ref="AJ489">IFERROR(SMALL(IF(U$1:U$1000="BEGIN",ROW(U$1:U$1000)),ROW()-3),"")</f>
        <v/>
      </c>
      <c r="AK489" s="23" t="str">
        <f t="array" ref="AK489">IFERROR(SMALL(IF(V$1:V$1000="END",ROW(V$1:V$1000)),ROW()-3),"")</f>
        <v/>
      </c>
      <c r="AL489" s="24" t="str">
        <f t="array" ref="AL489">IF(AK489="","",MATCH(AM489,L:L,0))</f>
        <v/>
      </c>
      <c r="AM489" s="35">
        <f t="array" ref="AM489">MAX(IF((B$4:B$1000&lt;=AK489)*(B$4:B$1000&gt;=AJ489),L$4:L$1000, ""))</f>
        <v>0</v>
      </c>
      <c r="AN489" s="32" t="str">
        <f t="shared" si="351"/>
        <v/>
      </c>
      <c r="AO489" s="32" t="str">
        <f t="shared" si="352"/>
        <v/>
      </c>
      <c r="AP489" s="32" t="str">
        <f t="shared" si="353"/>
        <v/>
      </c>
      <c r="AQ489" s="32" t="str">
        <f t="shared" si="354"/>
        <v/>
      </c>
      <c r="AR489" s="32" t="str">
        <f t="shared" si="355"/>
        <v/>
      </c>
      <c r="AS489" s="32" t="str">
        <f t="shared" si="356"/>
        <v/>
      </c>
      <c r="AT489" s="32" t="str">
        <f t="shared" si="357"/>
        <v/>
      </c>
      <c r="AU489" s="34" t="str">
        <f t="shared" si="358"/>
        <v/>
      </c>
      <c r="AV489" s="32" t="str">
        <f t="shared" si="359"/>
        <v/>
      </c>
      <c r="AW489" s="32" t="str">
        <f t="shared" si="360"/>
        <v/>
      </c>
      <c r="AX489" s="32" t="str">
        <f t="shared" si="361"/>
        <v/>
      </c>
      <c r="AY489" s="32" t="str">
        <f t="shared" si="362"/>
        <v/>
      </c>
    </row>
    <row r="490" spans="1:51" x14ac:dyDescent="0.25">
      <c r="A490" s="24" t="str">
        <f t="shared" si="320"/>
        <v/>
      </c>
      <c r="B490" s="24" t="str">
        <f t="shared" si="330"/>
        <v/>
      </c>
      <c r="C490" s="32" t="str">
        <f t="shared" si="321"/>
        <v/>
      </c>
      <c r="D490" s="24" t="str">
        <f t="shared" si="322"/>
        <v/>
      </c>
      <c r="E490" s="24" t="str">
        <f t="shared" si="323"/>
        <v/>
      </c>
      <c r="F490" s="32" t="str">
        <f t="shared" si="324"/>
        <v/>
      </c>
      <c r="G490" s="32" t="str">
        <f t="shared" si="325"/>
        <v/>
      </c>
      <c r="H490" s="32" t="str">
        <f t="shared" ca="1" si="326"/>
        <v/>
      </c>
      <c r="I490" s="32" t="str">
        <f t="shared" ca="1" si="331"/>
        <v/>
      </c>
      <c r="J490" s="32" t="str">
        <f t="shared" si="327"/>
        <v/>
      </c>
      <c r="K490" s="32" t="str">
        <f>IF(ISNUMBER(A490),Profile!$V$25+Profile!$V$24*'Ri-Po'!C490,"")</f>
        <v/>
      </c>
      <c r="L490" s="32" t="str">
        <f t="shared" si="332"/>
        <v/>
      </c>
      <c r="M490" s="32" t="str">
        <f t="shared" si="328"/>
        <v/>
      </c>
      <c r="N490" s="32" t="str">
        <f t="shared" si="329"/>
        <v/>
      </c>
      <c r="O490" s="32" t="str">
        <f t="shared" si="345"/>
        <v/>
      </c>
      <c r="P490" s="32" t="str">
        <f t="shared" si="333"/>
        <v/>
      </c>
      <c r="Q490" s="32" t="str">
        <f t="shared" si="334"/>
        <v/>
      </c>
      <c r="R490" s="32" t="str">
        <f t="shared" si="346"/>
        <v/>
      </c>
      <c r="S490" s="24" t="str">
        <f t="shared" si="347"/>
        <v/>
      </c>
      <c r="T490" s="24" t="str">
        <f t="shared" si="348"/>
        <v/>
      </c>
      <c r="U490" s="24" t="str">
        <f t="shared" si="349"/>
        <v/>
      </c>
      <c r="V490" s="24" t="str">
        <f t="shared" si="350"/>
        <v/>
      </c>
      <c r="W490" s="23" t="str">
        <f t="array" ref="W490">IFERROR(SMALL(IF(S$1:S$1000="BEGIN",ROW(S$1:S$1000)),ROW()-3),"")</f>
        <v/>
      </c>
      <c r="X490" s="23" t="str">
        <f t="array" ref="X490">IFERROR(SMALL(IF(T$1:T$1000="END",ROW(T$1:T$1000)),ROW()-3),"")</f>
        <v/>
      </c>
      <c r="Y490" s="33" t="str">
        <f t="array" ref="Y490">IF(ISNUMBER(W490),MAX(IF((B$4:B$1000&lt;=X490)*(B$4:B$1000&gt;=W490),I$4:I$1000, "")),"")</f>
        <v/>
      </c>
      <c r="Z490" s="33" t="str">
        <f t="shared" si="335"/>
        <v/>
      </c>
      <c r="AA490" s="32" t="str">
        <f t="shared" si="336"/>
        <v/>
      </c>
      <c r="AB490" s="32" t="str">
        <f t="shared" si="337"/>
        <v/>
      </c>
      <c r="AC490" s="32" t="str">
        <f t="shared" si="338"/>
        <v/>
      </c>
      <c r="AD490" s="32" t="str">
        <f t="shared" si="339"/>
        <v/>
      </c>
      <c r="AE490" s="34" t="str">
        <f t="shared" si="340"/>
        <v/>
      </c>
      <c r="AF490" s="32" t="str">
        <f t="shared" si="341"/>
        <v/>
      </c>
      <c r="AG490" s="32" t="str">
        <f t="shared" si="342"/>
        <v/>
      </c>
      <c r="AH490" s="32" t="str">
        <f t="shared" si="343"/>
        <v/>
      </c>
      <c r="AI490" s="35" t="str">
        <f t="shared" si="344"/>
        <v/>
      </c>
      <c r="AJ490" s="23" t="str">
        <f t="array" ref="AJ490">IFERROR(SMALL(IF(U$1:U$1000="BEGIN",ROW(U$1:U$1000)),ROW()-3),"")</f>
        <v/>
      </c>
      <c r="AK490" s="23" t="str">
        <f t="array" ref="AK490">IFERROR(SMALL(IF(V$1:V$1000="END",ROW(V$1:V$1000)),ROW()-3),"")</f>
        <v/>
      </c>
      <c r="AL490" s="24" t="str">
        <f t="array" ref="AL490">IF(AK490="","",MATCH(AM490,L:L,0))</f>
        <v/>
      </c>
      <c r="AM490" s="35">
        <f t="array" ref="AM490">MAX(IF((B$4:B$1000&lt;=AK490)*(B$4:B$1000&gt;=AJ490),L$4:L$1000, ""))</f>
        <v>0</v>
      </c>
      <c r="AN490" s="32" t="str">
        <f t="shared" si="351"/>
        <v/>
      </c>
      <c r="AO490" s="32" t="str">
        <f t="shared" si="352"/>
        <v/>
      </c>
      <c r="AP490" s="32" t="str">
        <f t="shared" si="353"/>
        <v/>
      </c>
      <c r="AQ490" s="32" t="str">
        <f t="shared" si="354"/>
        <v/>
      </c>
      <c r="AR490" s="32" t="str">
        <f t="shared" si="355"/>
        <v/>
      </c>
      <c r="AS490" s="32" t="str">
        <f t="shared" si="356"/>
        <v/>
      </c>
      <c r="AT490" s="32" t="str">
        <f t="shared" si="357"/>
        <v/>
      </c>
      <c r="AU490" s="34" t="str">
        <f t="shared" si="358"/>
        <v/>
      </c>
      <c r="AV490" s="32" t="str">
        <f t="shared" si="359"/>
        <v/>
      </c>
      <c r="AW490" s="32" t="str">
        <f t="shared" si="360"/>
        <v/>
      </c>
      <c r="AX490" s="32" t="str">
        <f t="shared" si="361"/>
        <v/>
      </c>
      <c r="AY490" s="32" t="str">
        <f t="shared" si="362"/>
        <v/>
      </c>
    </row>
    <row r="491" spans="1:51" x14ac:dyDescent="0.25">
      <c r="A491" s="24" t="str">
        <f t="shared" si="320"/>
        <v/>
      </c>
      <c r="B491" s="24" t="str">
        <f t="shared" si="330"/>
        <v/>
      </c>
      <c r="C491" s="32" t="str">
        <f t="shared" si="321"/>
        <v/>
      </c>
      <c r="D491" s="24" t="str">
        <f t="shared" si="322"/>
        <v/>
      </c>
      <c r="E491" s="24" t="str">
        <f t="shared" si="323"/>
        <v/>
      </c>
      <c r="F491" s="32" t="str">
        <f t="shared" si="324"/>
        <v/>
      </c>
      <c r="G491" s="32" t="str">
        <f t="shared" si="325"/>
        <v/>
      </c>
      <c r="H491" s="32" t="str">
        <f t="shared" ca="1" si="326"/>
        <v/>
      </c>
      <c r="I491" s="32" t="str">
        <f t="shared" ca="1" si="331"/>
        <v/>
      </c>
      <c r="J491" s="32" t="str">
        <f t="shared" si="327"/>
        <v/>
      </c>
      <c r="K491" s="32" t="str">
        <f>IF(ISNUMBER(A491),Profile!$V$25+Profile!$V$24*'Ri-Po'!C491,"")</f>
        <v/>
      </c>
      <c r="L491" s="32" t="str">
        <f t="shared" si="332"/>
        <v/>
      </c>
      <c r="M491" s="32" t="str">
        <f t="shared" si="328"/>
        <v/>
      </c>
      <c r="N491" s="32" t="str">
        <f t="shared" si="329"/>
        <v/>
      </c>
      <c r="O491" s="32" t="str">
        <f t="shared" si="345"/>
        <v/>
      </c>
      <c r="P491" s="32" t="str">
        <f t="shared" si="333"/>
        <v/>
      </c>
      <c r="Q491" s="32" t="str">
        <f t="shared" si="334"/>
        <v/>
      </c>
      <c r="R491" s="32" t="str">
        <f t="shared" si="346"/>
        <v/>
      </c>
      <c r="S491" s="24" t="str">
        <f t="shared" si="347"/>
        <v/>
      </c>
      <c r="T491" s="24" t="str">
        <f t="shared" si="348"/>
        <v/>
      </c>
      <c r="U491" s="24" t="str">
        <f t="shared" si="349"/>
        <v/>
      </c>
      <c r="V491" s="24" t="str">
        <f t="shared" si="350"/>
        <v/>
      </c>
      <c r="W491" s="23" t="str">
        <f t="array" ref="W491">IFERROR(SMALL(IF(S$1:S$1000="BEGIN",ROW(S$1:S$1000)),ROW()-3),"")</f>
        <v/>
      </c>
      <c r="X491" s="23" t="str">
        <f t="array" ref="X491">IFERROR(SMALL(IF(T$1:T$1000="END",ROW(T$1:T$1000)),ROW()-3),"")</f>
        <v/>
      </c>
      <c r="Y491" s="33" t="str">
        <f t="array" ref="Y491">IF(ISNUMBER(W491),MAX(IF((B$4:B$1000&lt;=X491)*(B$4:B$1000&gt;=W491),I$4:I$1000, "")),"")</f>
        <v/>
      </c>
      <c r="Z491" s="33" t="str">
        <f t="shared" si="335"/>
        <v/>
      </c>
      <c r="AA491" s="32" t="str">
        <f t="shared" si="336"/>
        <v/>
      </c>
      <c r="AB491" s="32" t="str">
        <f t="shared" si="337"/>
        <v/>
      </c>
      <c r="AC491" s="32" t="str">
        <f t="shared" si="338"/>
        <v/>
      </c>
      <c r="AD491" s="32" t="str">
        <f t="shared" si="339"/>
        <v/>
      </c>
      <c r="AE491" s="34" t="str">
        <f t="shared" si="340"/>
        <v/>
      </c>
      <c r="AF491" s="32" t="str">
        <f t="shared" si="341"/>
        <v/>
      </c>
      <c r="AG491" s="32" t="str">
        <f t="shared" si="342"/>
        <v/>
      </c>
      <c r="AH491" s="32" t="str">
        <f t="shared" si="343"/>
        <v/>
      </c>
      <c r="AI491" s="35" t="str">
        <f t="shared" si="344"/>
        <v/>
      </c>
      <c r="AJ491" s="23" t="str">
        <f t="array" ref="AJ491">IFERROR(SMALL(IF(U$1:U$1000="BEGIN",ROW(U$1:U$1000)),ROW()-3),"")</f>
        <v/>
      </c>
      <c r="AK491" s="23" t="str">
        <f t="array" ref="AK491">IFERROR(SMALL(IF(V$1:V$1000="END",ROW(V$1:V$1000)),ROW()-3),"")</f>
        <v/>
      </c>
      <c r="AL491" s="24" t="str">
        <f t="array" ref="AL491">IF(AK491="","",MATCH(AM491,L:L,0))</f>
        <v/>
      </c>
      <c r="AM491" s="35">
        <f t="array" ref="AM491">MAX(IF((B$4:B$1000&lt;=AK491)*(B$4:B$1000&gt;=AJ491),L$4:L$1000, ""))</f>
        <v>0</v>
      </c>
      <c r="AN491" s="32" t="str">
        <f t="shared" si="351"/>
        <v/>
      </c>
      <c r="AO491" s="32" t="str">
        <f t="shared" si="352"/>
        <v/>
      </c>
      <c r="AP491" s="32" t="str">
        <f t="shared" si="353"/>
        <v/>
      </c>
      <c r="AQ491" s="32" t="str">
        <f t="shared" si="354"/>
        <v/>
      </c>
      <c r="AR491" s="32" t="str">
        <f t="shared" si="355"/>
        <v/>
      </c>
      <c r="AS491" s="32" t="str">
        <f t="shared" si="356"/>
        <v/>
      </c>
      <c r="AT491" s="32" t="str">
        <f t="shared" si="357"/>
        <v/>
      </c>
      <c r="AU491" s="34" t="str">
        <f t="shared" si="358"/>
        <v/>
      </c>
      <c r="AV491" s="32" t="str">
        <f t="shared" si="359"/>
        <v/>
      </c>
      <c r="AW491" s="32" t="str">
        <f t="shared" si="360"/>
        <v/>
      </c>
      <c r="AX491" s="32" t="str">
        <f t="shared" si="361"/>
        <v/>
      </c>
      <c r="AY491" s="32" t="str">
        <f t="shared" si="362"/>
        <v/>
      </c>
    </row>
    <row r="492" spans="1:51" x14ac:dyDescent="0.25">
      <c r="A492" s="24" t="str">
        <f t="shared" si="320"/>
        <v/>
      </c>
      <c r="B492" s="24" t="str">
        <f t="shared" si="330"/>
        <v/>
      </c>
      <c r="C492" s="32" t="str">
        <f t="shared" si="321"/>
        <v/>
      </c>
      <c r="D492" s="24" t="str">
        <f t="shared" si="322"/>
        <v/>
      </c>
      <c r="E492" s="24" t="str">
        <f t="shared" si="323"/>
        <v/>
      </c>
      <c r="F492" s="32" t="str">
        <f t="shared" si="324"/>
        <v/>
      </c>
      <c r="G492" s="32" t="str">
        <f t="shared" si="325"/>
        <v/>
      </c>
      <c r="H492" s="32" t="str">
        <f t="shared" ca="1" si="326"/>
        <v/>
      </c>
      <c r="I492" s="32" t="str">
        <f t="shared" ca="1" si="331"/>
        <v/>
      </c>
      <c r="J492" s="32" t="str">
        <f t="shared" si="327"/>
        <v/>
      </c>
      <c r="K492" s="32" t="str">
        <f>IF(ISNUMBER(A492),Profile!$V$25+Profile!$V$24*'Ri-Po'!C492,"")</f>
        <v/>
      </c>
      <c r="L492" s="32" t="str">
        <f t="shared" si="332"/>
        <v/>
      </c>
      <c r="M492" s="32" t="str">
        <f t="shared" si="328"/>
        <v/>
      </c>
      <c r="N492" s="32" t="str">
        <f t="shared" si="329"/>
        <v/>
      </c>
      <c r="O492" s="32" t="str">
        <f t="shared" si="345"/>
        <v/>
      </c>
      <c r="P492" s="32" t="str">
        <f t="shared" si="333"/>
        <v/>
      </c>
      <c r="Q492" s="32" t="str">
        <f t="shared" si="334"/>
        <v/>
      </c>
      <c r="R492" s="32" t="str">
        <f t="shared" si="346"/>
        <v/>
      </c>
      <c r="S492" s="24" t="str">
        <f t="shared" si="347"/>
        <v/>
      </c>
      <c r="T492" s="24" t="str">
        <f t="shared" si="348"/>
        <v/>
      </c>
      <c r="U492" s="24" t="str">
        <f t="shared" si="349"/>
        <v/>
      </c>
      <c r="V492" s="24" t="str">
        <f t="shared" si="350"/>
        <v/>
      </c>
      <c r="W492" s="23" t="str">
        <f t="array" ref="W492">IFERROR(SMALL(IF(S$1:S$1000="BEGIN",ROW(S$1:S$1000)),ROW()-3),"")</f>
        <v/>
      </c>
      <c r="X492" s="23" t="str">
        <f t="array" ref="X492">IFERROR(SMALL(IF(T$1:T$1000="END",ROW(T$1:T$1000)),ROW()-3),"")</f>
        <v/>
      </c>
      <c r="Y492" s="33" t="str">
        <f t="array" ref="Y492">IF(ISNUMBER(W492),MAX(IF((B$4:B$1000&lt;=X492)*(B$4:B$1000&gt;=W492),I$4:I$1000, "")),"")</f>
        <v/>
      </c>
      <c r="Z492" s="33" t="str">
        <f t="shared" si="335"/>
        <v/>
      </c>
      <c r="AA492" s="32" t="str">
        <f t="shared" si="336"/>
        <v/>
      </c>
      <c r="AB492" s="32" t="str">
        <f t="shared" si="337"/>
        <v/>
      </c>
      <c r="AC492" s="32" t="str">
        <f t="shared" si="338"/>
        <v/>
      </c>
      <c r="AD492" s="32" t="str">
        <f t="shared" si="339"/>
        <v/>
      </c>
      <c r="AE492" s="34" t="str">
        <f t="shared" si="340"/>
        <v/>
      </c>
      <c r="AF492" s="32" t="str">
        <f t="shared" si="341"/>
        <v/>
      </c>
      <c r="AG492" s="32" t="str">
        <f t="shared" si="342"/>
        <v/>
      </c>
      <c r="AH492" s="32" t="str">
        <f t="shared" si="343"/>
        <v/>
      </c>
      <c r="AI492" s="35" t="str">
        <f t="shared" si="344"/>
        <v/>
      </c>
      <c r="AJ492" s="23" t="str">
        <f t="array" ref="AJ492">IFERROR(SMALL(IF(U$1:U$1000="BEGIN",ROW(U$1:U$1000)),ROW()-3),"")</f>
        <v/>
      </c>
      <c r="AK492" s="23" t="str">
        <f t="array" ref="AK492">IFERROR(SMALL(IF(V$1:V$1000="END",ROW(V$1:V$1000)),ROW()-3),"")</f>
        <v/>
      </c>
      <c r="AL492" s="24" t="str">
        <f t="array" ref="AL492">IF(AK492="","",MATCH(AM492,L:L,0))</f>
        <v/>
      </c>
      <c r="AM492" s="35">
        <f t="array" ref="AM492">MAX(IF((B$4:B$1000&lt;=AK492)*(B$4:B$1000&gt;=AJ492),L$4:L$1000, ""))</f>
        <v>0</v>
      </c>
      <c r="AN492" s="32" t="str">
        <f t="shared" si="351"/>
        <v/>
      </c>
      <c r="AO492" s="32" t="str">
        <f t="shared" si="352"/>
        <v/>
      </c>
      <c r="AP492" s="32" t="str">
        <f t="shared" si="353"/>
        <v/>
      </c>
      <c r="AQ492" s="32" t="str">
        <f t="shared" si="354"/>
        <v/>
      </c>
      <c r="AR492" s="32" t="str">
        <f t="shared" si="355"/>
        <v/>
      </c>
      <c r="AS492" s="32" t="str">
        <f t="shared" si="356"/>
        <v/>
      </c>
      <c r="AT492" s="32" t="str">
        <f t="shared" si="357"/>
        <v/>
      </c>
      <c r="AU492" s="34" t="str">
        <f t="shared" si="358"/>
        <v/>
      </c>
      <c r="AV492" s="32" t="str">
        <f t="shared" si="359"/>
        <v/>
      </c>
      <c r="AW492" s="32" t="str">
        <f t="shared" si="360"/>
        <v/>
      </c>
      <c r="AX492" s="32" t="str">
        <f t="shared" si="361"/>
        <v/>
      </c>
      <c r="AY492" s="32" t="str">
        <f t="shared" si="362"/>
        <v/>
      </c>
    </row>
    <row r="493" spans="1:51" x14ac:dyDescent="0.25">
      <c r="A493" s="24" t="str">
        <f t="shared" si="320"/>
        <v/>
      </c>
      <c r="B493" s="24" t="str">
        <f t="shared" si="330"/>
        <v/>
      </c>
      <c r="C493" s="32" t="str">
        <f t="shared" si="321"/>
        <v/>
      </c>
      <c r="D493" s="24" t="str">
        <f t="shared" si="322"/>
        <v/>
      </c>
      <c r="E493" s="24" t="str">
        <f t="shared" si="323"/>
        <v/>
      </c>
      <c r="F493" s="32" t="str">
        <f t="shared" si="324"/>
        <v/>
      </c>
      <c r="G493" s="32" t="str">
        <f t="shared" si="325"/>
        <v/>
      </c>
      <c r="H493" s="32" t="str">
        <f t="shared" ca="1" si="326"/>
        <v/>
      </c>
      <c r="I493" s="32" t="str">
        <f t="shared" ca="1" si="331"/>
        <v/>
      </c>
      <c r="J493" s="32" t="str">
        <f t="shared" si="327"/>
        <v/>
      </c>
      <c r="K493" s="32" t="str">
        <f>IF(ISNUMBER(A493),Profile!$V$25+Profile!$V$24*'Ri-Po'!C493,"")</f>
        <v/>
      </c>
      <c r="L493" s="32" t="str">
        <f t="shared" si="332"/>
        <v/>
      </c>
      <c r="M493" s="32" t="str">
        <f t="shared" si="328"/>
        <v/>
      </c>
      <c r="N493" s="32" t="str">
        <f t="shared" si="329"/>
        <v/>
      </c>
      <c r="O493" s="32" t="str">
        <f t="shared" si="345"/>
        <v/>
      </c>
      <c r="P493" s="32" t="str">
        <f t="shared" si="333"/>
        <v/>
      </c>
      <c r="Q493" s="32" t="str">
        <f t="shared" si="334"/>
        <v/>
      </c>
      <c r="R493" s="32" t="str">
        <f t="shared" si="346"/>
        <v/>
      </c>
      <c r="S493" s="24" t="str">
        <f t="shared" si="347"/>
        <v/>
      </c>
      <c r="T493" s="24" t="str">
        <f t="shared" si="348"/>
        <v/>
      </c>
      <c r="U493" s="24" t="str">
        <f t="shared" si="349"/>
        <v/>
      </c>
      <c r="V493" s="24" t="str">
        <f t="shared" si="350"/>
        <v/>
      </c>
      <c r="W493" s="23" t="str">
        <f t="array" ref="W493">IFERROR(SMALL(IF(S$1:S$1000="BEGIN",ROW(S$1:S$1000)),ROW()-3),"")</f>
        <v/>
      </c>
      <c r="X493" s="23" t="str">
        <f t="array" ref="X493">IFERROR(SMALL(IF(T$1:T$1000="END",ROW(T$1:T$1000)),ROW()-3),"")</f>
        <v/>
      </c>
      <c r="Y493" s="33" t="str">
        <f t="array" ref="Y493">IF(ISNUMBER(W493),MAX(IF((B$4:B$1000&lt;=X493)*(B$4:B$1000&gt;=W493),I$4:I$1000, "")),"")</f>
        <v/>
      </c>
      <c r="Z493" s="33" t="str">
        <f t="shared" si="335"/>
        <v/>
      </c>
      <c r="AA493" s="32" t="str">
        <f t="shared" si="336"/>
        <v/>
      </c>
      <c r="AB493" s="32" t="str">
        <f t="shared" si="337"/>
        <v/>
      </c>
      <c r="AC493" s="32" t="str">
        <f t="shared" si="338"/>
        <v/>
      </c>
      <c r="AD493" s="32" t="str">
        <f t="shared" si="339"/>
        <v/>
      </c>
      <c r="AE493" s="34" t="str">
        <f t="shared" si="340"/>
        <v/>
      </c>
      <c r="AF493" s="32" t="str">
        <f t="shared" si="341"/>
        <v/>
      </c>
      <c r="AG493" s="32" t="str">
        <f t="shared" si="342"/>
        <v/>
      </c>
      <c r="AH493" s="32" t="str">
        <f t="shared" si="343"/>
        <v/>
      </c>
      <c r="AI493" s="35" t="str">
        <f t="shared" si="344"/>
        <v/>
      </c>
      <c r="AJ493" s="23" t="str">
        <f t="array" ref="AJ493">IFERROR(SMALL(IF(U$1:U$1000="BEGIN",ROW(U$1:U$1000)),ROW()-3),"")</f>
        <v/>
      </c>
      <c r="AK493" s="23" t="str">
        <f t="array" ref="AK493">IFERROR(SMALL(IF(V$1:V$1000="END",ROW(V$1:V$1000)),ROW()-3),"")</f>
        <v/>
      </c>
      <c r="AL493" s="24" t="str">
        <f t="array" ref="AL493">IF(AK493="","",MATCH(AM493,L:L,0))</f>
        <v/>
      </c>
      <c r="AM493" s="35">
        <f t="array" ref="AM493">MAX(IF((B$4:B$1000&lt;=AK493)*(B$4:B$1000&gt;=AJ493),L$4:L$1000, ""))</f>
        <v>0</v>
      </c>
      <c r="AN493" s="32" t="str">
        <f t="shared" si="351"/>
        <v/>
      </c>
      <c r="AO493" s="32" t="str">
        <f t="shared" si="352"/>
        <v/>
      </c>
      <c r="AP493" s="32" t="str">
        <f t="shared" si="353"/>
        <v/>
      </c>
      <c r="AQ493" s="32" t="str">
        <f t="shared" si="354"/>
        <v/>
      </c>
      <c r="AR493" s="32" t="str">
        <f t="shared" si="355"/>
        <v/>
      </c>
      <c r="AS493" s="32" t="str">
        <f t="shared" si="356"/>
        <v/>
      </c>
      <c r="AT493" s="32" t="str">
        <f t="shared" si="357"/>
        <v/>
      </c>
      <c r="AU493" s="34" t="str">
        <f t="shared" si="358"/>
        <v/>
      </c>
      <c r="AV493" s="32" t="str">
        <f t="shared" si="359"/>
        <v/>
      </c>
      <c r="AW493" s="32" t="str">
        <f t="shared" si="360"/>
        <v/>
      </c>
      <c r="AX493" s="32" t="str">
        <f t="shared" si="361"/>
        <v/>
      </c>
      <c r="AY493" s="32" t="str">
        <f t="shared" si="362"/>
        <v/>
      </c>
    </row>
    <row r="494" spans="1:51" x14ac:dyDescent="0.25">
      <c r="A494" s="24" t="str">
        <f t="shared" si="320"/>
        <v/>
      </c>
      <c r="B494" s="24" t="str">
        <f t="shared" si="330"/>
        <v/>
      </c>
      <c r="C494" s="32" t="str">
        <f t="shared" si="321"/>
        <v/>
      </c>
      <c r="D494" s="24" t="str">
        <f t="shared" si="322"/>
        <v/>
      </c>
      <c r="E494" s="24" t="str">
        <f t="shared" si="323"/>
        <v/>
      </c>
      <c r="F494" s="32" t="str">
        <f t="shared" si="324"/>
        <v/>
      </c>
      <c r="G494" s="32" t="str">
        <f t="shared" si="325"/>
        <v/>
      </c>
      <c r="H494" s="32" t="str">
        <f t="shared" ca="1" si="326"/>
        <v/>
      </c>
      <c r="I494" s="32" t="str">
        <f t="shared" ca="1" si="331"/>
        <v/>
      </c>
      <c r="J494" s="32" t="str">
        <f t="shared" si="327"/>
        <v/>
      </c>
      <c r="K494" s="32" t="str">
        <f>IF(ISNUMBER(A494),Profile!$V$25+Profile!$V$24*'Ri-Po'!C494,"")</f>
        <v/>
      </c>
      <c r="L494" s="32" t="str">
        <f t="shared" si="332"/>
        <v/>
      </c>
      <c r="M494" s="32" t="str">
        <f t="shared" si="328"/>
        <v/>
      </c>
      <c r="N494" s="32" t="str">
        <f t="shared" si="329"/>
        <v/>
      </c>
      <c r="O494" s="32" t="str">
        <f t="shared" si="345"/>
        <v/>
      </c>
      <c r="P494" s="32" t="str">
        <f t="shared" si="333"/>
        <v/>
      </c>
      <c r="Q494" s="32" t="str">
        <f t="shared" si="334"/>
        <v/>
      </c>
      <c r="R494" s="32" t="str">
        <f t="shared" si="346"/>
        <v/>
      </c>
      <c r="S494" s="24" t="str">
        <f t="shared" si="347"/>
        <v/>
      </c>
      <c r="T494" s="24" t="str">
        <f t="shared" si="348"/>
        <v/>
      </c>
      <c r="U494" s="24" t="str">
        <f t="shared" si="349"/>
        <v/>
      </c>
      <c r="V494" s="24" t="str">
        <f t="shared" si="350"/>
        <v/>
      </c>
      <c r="W494" s="23" t="str">
        <f t="array" ref="W494">IFERROR(SMALL(IF(S$1:S$1000="BEGIN",ROW(S$1:S$1000)),ROW()-3),"")</f>
        <v/>
      </c>
      <c r="X494" s="23" t="str">
        <f t="array" ref="X494">IFERROR(SMALL(IF(T$1:T$1000="END",ROW(T$1:T$1000)),ROW()-3),"")</f>
        <v/>
      </c>
      <c r="Y494" s="33" t="str">
        <f t="array" ref="Y494">IF(ISNUMBER(W494),MAX(IF((B$4:B$1000&lt;=X494)*(B$4:B$1000&gt;=W494),I$4:I$1000, "")),"")</f>
        <v/>
      </c>
      <c r="Z494" s="33" t="str">
        <f t="shared" si="335"/>
        <v/>
      </c>
      <c r="AA494" s="32" t="str">
        <f t="shared" si="336"/>
        <v/>
      </c>
      <c r="AB494" s="32" t="str">
        <f t="shared" si="337"/>
        <v/>
      </c>
      <c r="AC494" s="32" t="str">
        <f t="shared" si="338"/>
        <v/>
      </c>
      <c r="AD494" s="32" t="str">
        <f t="shared" si="339"/>
        <v/>
      </c>
      <c r="AE494" s="34" t="str">
        <f t="shared" si="340"/>
        <v/>
      </c>
      <c r="AF494" s="32" t="str">
        <f t="shared" si="341"/>
        <v/>
      </c>
      <c r="AG494" s="32" t="str">
        <f t="shared" si="342"/>
        <v/>
      </c>
      <c r="AH494" s="32" t="str">
        <f t="shared" si="343"/>
        <v/>
      </c>
      <c r="AI494" s="35" t="str">
        <f t="shared" si="344"/>
        <v/>
      </c>
      <c r="AJ494" s="23" t="str">
        <f t="array" ref="AJ494">IFERROR(SMALL(IF(U$1:U$1000="BEGIN",ROW(U$1:U$1000)),ROW()-3),"")</f>
        <v/>
      </c>
      <c r="AK494" s="23" t="str">
        <f t="array" ref="AK494">IFERROR(SMALL(IF(V$1:V$1000="END",ROW(V$1:V$1000)),ROW()-3),"")</f>
        <v/>
      </c>
      <c r="AL494" s="24" t="str">
        <f t="array" ref="AL494">IF(AK494="","",MATCH(AM494,L:L,0))</f>
        <v/>
      </c>
      <c r="AM494" s="35">
        <f t="array" ref="AM494">MAX(IF((B$4:B$1000&lt;=AK494)*(B$4:B$1000&gt;=AJ494),L$4:L$1000, ""))</f>
        <v>0</v>
      </c>
      <c r="AN494" s="32" t="str">
        <f t="shared" si="351"/>
        <v/>
      </c>
      <c r="AO494" s="32" t="str">
        <f t="shared" si="352"/>
        <v/>
      </c>
      <c r="AP494" s="32" t="str">
        <f t="shared" si="353"/>
        <v/>
      </c>
      <c r="AQ494" s="32" t="str">
        <f t="shared" si="354"/>
        <v/>
      </c>
      <c r="AR494" s="32" t="str">
        <f t="shared" si="355"/>
        <v/>
      </c>
      <c r="AS494" s="32" t="str">
        <f t="shared" si="356"/>
        <v/>
      </c>
      <c r="AT494" s="32" t="str">
        <f t="shared" si="357"/>
        <v/>
      </c>
      <c r="AU494" s="34" t="str">
        <f t="shared" si="358"/>
        <v/>
      </c>
      <c r="AV494" s="32" t="str">
        <f t="shared" si="359"/>
        <v/>
      </c>
      <c r="AW494" s="32" t="str">
        <f t="shared" si="360"/>
        <v/>
      </c>
      <c r="AX494" s="32" t="str">
        <f t="shared" si="361"/>
        <v/>
      </c>
      <c r="AY494" s="32" t="str">
        <f t="shared" si="362"/>
        <v/>
      </c>
    </row>
    <row r="495" spans="1:51" x14ac:dyDescent="0.25">
      <c r="A495" s="24" t="str">
        <f t="shared" si="320"/>
        <v/>
      </c>
      <c r="B495" s="24" t="str">
        <f t="shared" si="330"/>
        <v/>
      </c>
      <c r="C495" s="32" t="str">
        <f t="shared" si="321"/>
        <v/>
      </c>
      <c r="D495" s="24" t="str">
        <f t="shared" si="322"/>
        <v/>
      </c>
      <c r="E495" s="24" t="str">
        <f t="shared" si="323"/>
        <v/>
      </c>
      <c r="F495" s="32" t="str">
        <f t="shared" si="324"/>
        <v/>
      </c>
      <c r="G495" s="32" t="str">
        <f t="shared" si="325"/>
        <v/>
      </c>
      <c r="H495" s="32" t="str">
        <f t="shared" ca="1" si="326"/>
        <v/>
      </c>
      <c r="I495" s="32" t="str">
        <f t="shared" ca="1" si="331"/>
        <v/>
      </c>
      <c r="J495" s="32" t="str">
        <f t="shared" si="327"/>
        <v/>
      </c>
      <c r="K495" s="32" t="str">
        <f>IF(ISNUMBER(A495),Profile!$V$25+Profile!$V$24*'Ri-Po'!C495,"")</f>
        <v/>
      </c>
      <c r="L495" s="32" t="str">
        <f t="shared" si="332"/>
        <v/>
      </c>
      <c r="M495" s="32" t="str">
        <f t="shared" si="328"/>
        <v/>
      </c>
      <c r="N495" s="32" t="str">
        <f t="shared" si="329"/>
        <v/>
      </c>
      <c r="O495" s="32" t="str">
        <f t="shared" si="345"/>
        <v/>
      </c>
      <c r="P495" s="32" t="str">
        <f t="shared" si="333"/>
        <v/>
      </c>
      <c r="Q495" s="32" t="str">
        <f t="shared" si="334"/>
        <v/>
      </c>
      <c r="R495" s="32" t="str">
        <f t="shared" si="346"/>
        <v/>
      </c>
      <c r="S495" s="24" t="str">
        <f t="shared" si="347"/>
        <v/>
      </c>
      <c r="T495" s="24" t="str">
        <f t="shared" si="348"/>
        <v/>
      </c>
      <c r="U495" s="24" t="str">
        <f t="shared" si="349"/>
        <v/>
      </c>
      <c r="V495" s="24" t="str">
        <f t="shared" si="350"/>
        <v/>
      </c>
      <c r="W495" s="23" t="str">
        <f t="array" ref="W495">IFERROR(SMALL(IF(S$1:S$1000="BEGIN",ROW(S$1:S$1000)),ROW()-3),"")</f>
        <v/>
      </c>
      <c r="X495" s="23" t="str">
        <f t="array" ref="X495">IFERROR(SMALL(IF(T$1:T$1000="END",ROW(T$1:T$1000)),ROW()-3),"")</f>
        <v/>
      </c>
      <c r="Y495" s="33" t="str">
        <f t="array" ref="Y495">IF(ISNUMBER(W495),MAX(IF((B$4:B$1000&lt;=X495)*(B$4:B$1000&gt;=W495),I$4:I$1000, "")),"")</f>
        <v/>
      </c>
      <c r="Z495" s="33" t="str">
        <f t="shared" si="335"/>
        <v/>
      </c>
      <c r="AA495" s="32" t="str">
        <f t="shared" si="336"/>
        <v/>
      </c>
      <c r="AB495" s="32" t="str">
        <f t="shared" si="337"/>
        <v/>
      </c>
      <c r="AC495" s="32" t="str">
        <f t="shared" si="338"/>
        <v/>
      </c>
      <c r="AD495" s="32" t="str">
        <f t="shared" si="339"/>
        <v/>
      </c>
      <c r="AE495" s="34" t="str">
        <f t="shared" si="340"/>
        <v/>
      </c>
      <c r="AF495" s="32" t="str">
        <f t="shared" si="341"/>
        <v/>
      </c>
      <c r="AG495" s="32" t="str">
        <f t="shared" si="342"/>
        <v/>
      </c>
      <c r="AH495" s="32" t="str">
        <f t="shared" si="343"/>
        <v/>
      </c>
      <c r="AI495" s="35" t="str">
        <f t="shared" si="344"/>
        <v/>
      </c>
      <c r="AJ495" s="23" t="str">
        <f t="array" ref="AJ495">IFERROR(SMALL(IF(U$1:U$1000="BEGIN",ROW(U$1:U$1000)),ROW()-3),"")</f>
        <v/>
      </c>
      <c r="AK495" s="23" t="str">
        <f t="array" ref="AK495">IFERROR(SMALL(IF(V$1:V$1000="END",ROW(V$1:V$1000)),ROW()-3),"")</f>
        <v/>
      </c>
      <c r="AL495" s="24" t="str">
        <f t="array" ref="AL495">IF(AK495="","",MATCH(AM495,L:L,0))</f>
        <v/>
      </c>
      <c r="AM495" s="35">
        <f t="array" ref="AM495">MAX(IF((B$4:B$1000&lt;=AK495)*(B$4:B$1000&gt;=AJ495),L$4:L$1000, ""))</f>
        <v>0</v>
      </c>
      <c r="AN495" s="32" t="str">
        <f t="shared" si="351"/>
        <v/>
      </c>
      <c r="AO495" s="32" t="str">
        <f t="shared" si="352"/>
        <v/>
      </c>
      <c r="AP495" s="32" t="str">
        <f t="shared" si="353"/>
        <v/>
      </c>
      <c r="AQ495" s="32" t="str">
        <f t="shared" si="354"/>
        <v/>
      </c>
      <c r="AR495" s="32" t="str">
        <f t="shared" si="355"/>
        <v/>
      </c>
      <c r="AS495" s="32" t="str">
        <f t="shared" si="356"/>
        <v/>
      </c>
      <c r="AT495" s="32" t="str">
        <f t="shared" si="357"/>
        <v/>
      </c>
      <c r="AU495" s="34" t="str">
        <f t="shared" si="358"/>
        <v/>
      </c>
      <c r="AV495" s="32" t="str">
        <f t="shared" si="359"/>
        <v/>
      </c>
      <c r="AW495" s="32" t="str">
        <f t="shared" si="360"/>
        <v/>
      </c>
      <c r="AX495" s="32" t="str">
        <f t="shared" si="361"/>
        <v/>
      </c>
      <c r="AY495" s="32" t="str">
        <f t="shared" si="362"/>
        <v/>
      </c>
    </row>
    <row r="496" spans="1:51" x14ac:dyDescent="0.25">
      <c r="A496" s="24" t="str">
        <f t="shared" si="320"/>
        <v/>
      </c>
      <c r="B496" s="24" t="str">
        <f t="shared" si="330"/>
        <v/>
      </c>
      <c r="C496" s="32" t="str">
        <f t="shared" si="321"/>
        <v/>
      </c>
      <c r="D496" s="24" t="str">
        <f t="shared" si="322"/>
        <v/>
      </c>
      <c r="E496" s="24" t="str">
        <f t="shared" si="323"/>
        <v/>
      </c>
      <c r="F496" s="32" t="str">
        <f t="shared" si="324"/>
        <v/>
      </c>
      <c r="G496" s="32" t="str">
        <f t="shared" si="325"/>
        <v/>
      </c>
      <c r="H496" s="32" t="str">
        <f t="shared" ca="1" si="326"/>
        <v/>
      </c>
      <c r="I496" s="32" t="str">
        <f t="shared" ca="1" si="331"/>
        <v/>
      </c>
      <c r="J496" s="32" t="str">
        <f t="shared" si="327"/>
        <v/>
      </c>
      <c r="K496" s="32" t="str">
        <f>IF(ISNUMBER(A496),Profile!$V$25+Profile!$V$24*'Ri-Po'!C496,"")</f>
        <v/>
      </c>
      <c r="L496" s="32" t="str">
        <f t="shared" si="332"/>
        <v/>
      </c>
      <c r="M496" s="32" t="str">
        <f t="shared" si="328"/>
        <v/>
      </c>
      <c r="N496" s="32" t="str">
        <f t="shared" si="329"/>
        <v/>
      </c>
      <c r="O496" s="32" t="str">
        <f t="shared" si="345"/>
        <v/>
      </c>
      <c r="P496" s="32" t="str">
        <f t="shared" si="333"/>
        <v/>
      </c>
      <c r="Q496" s="32" t="str">
        <f t="shared" si="334"/>
        <v/>
      </c>
      <c r="R496" s="32" t="str">
        <f t="shared" si="346"/>
        <v/>
      </c>
      <c r="S496" s="24" t="str">
        <f t="shared" si="347"/>
        <v/>
      </c>
      <c r="T496" s="24" t="str">
        <f t="shared" si="348"/>
        <v/>
      </c>
      <c r="U496" s="24" t="str">
        <f t="shared" si="349"/>
        <v/>
      </c>
      <c r="V496" s="24" t="str">
        <f t="shared" si="350"/>
        <v/>
      </c>
      <c r="W496" s="23" t="str">
        <f t="array" ref="W496">IFERROR(SMALL(IF(S$1:S$1000="BEGIN",ROW(S$1:S$1000)),ROW()-3),"")</f>
        <v/>
      </c>
      <c r="X496" s="23" t="str">
        <f t="array" ref="X496">IFERROR(SMALL(IF(T$1:T$1000="END",ROW(T$1:T$1000)),ROW()-3),"")</f>
        <v/>
      </c>
      <c r="Y496" s="33" t="str">
        <f t="array" ref="Y496">IF(ISNUMBER(W496),MAX(IF((B$4:B$1000&lt;=X496)*(B$4:B$1000&gt;=W496),I$4:I$1000, "")),"")</f>
        <v/>
      </c>
      <c r="Z496" s="33" t="str">
        <f t="shared" si="335"/>
        <v/>
      </c>
      <c r="AA496" s="32" t="str">
        <f t="shared" si="336"/>
        <v/>
      </c>
      <c r="AB496" s="32" t="str">
        <f t="shared" si="337"/>
        <v/>
      </c>
      <c r="AC496" s="32" t="str">
        <f t="shared" si="338"/>
        <v/>
      </c>
      <c r="AD496" s="32" t="str">
        <f t="shared" si="339"/>
        <v/>
      </c>
      <c r="AE496" s="34" t="str">
        <f t="shared" si="340"/>
        <v/>
      </c>
      <c r="AF496" s="32" t="str">
        <f t="shared" si="341"/>
        <v/>
      </c>
      <c r="AG496" s="32" t="str">
        <f t="shared" si="342"/>
        <v/>
      </c>
      <c r="AH496" s="32" t="str">
        <f t="shared" si="343"/>
        <v/>
      </c>
      <c r="AI496" s="35" t="str">
        <f t="shared" si="344"/>
        <v/>
      </c>
      <c r="AJ496" s="23" t="str">
        <f t="array" ref="AJ496">IFERROR(SMALL(IF(U$1:U$1000="BEGIN",ROW(U$1:U$1000)),ROW()-3),"")</f>
        <v/>
      </c>
      <c r="AK496" s="23" t="str">
        <f t="array" ref="AK496">IFERROR(SMALL(IF(V$1:V$1000="END",ROW(V$1:V$1000)),ROW()-3),"")</f>
        <v/>
      </c>
      <c r="AL496" s="24" t="str">
        <f t="array" ref="AL496">IF(AK496="","",MATCH(AM496,L:L,0))</f>
        <v/>
      </c>
      <c r="AM496" s="35">
        <f t="array" ref="AM496">MAX(IF((B$4:B$1000&lt;=AK496)*(B$4:B$1000&gt;=AJ496),L$4:L$1000, ""))</f>
        <v>0</v>
      </c>
      <c r="AN496" s="32" t="str">
        <f t="shared" si="351"/>
        <v/>
      </c>
      <c r="AO496" s="32" t="str">
        <f t="shared" si="352"/>
        <v/>
      </c>
      <c r="AP496" s="32" t="str">
        <f t="shared" si="353"/>
        <v/>
      </c>
      <c r="AQ496" s="32" t="str">
        <f t="shared" si="354"/>
        <v/>
      </c>
      <c r="AR496" s="32" t="str">
        <f t="shared" si="355"/>
        <v/>
      </c>
      <c r="AS496" s="32" t="str">
        <f t="shared" si="356"/>
        <v/>
      </c>
      <c r="AT496" s="32" t="str">
        <f t="shared" si="357"/>
        <v/>
      </c>
      <c r="AU496" s="34" t="str">
        <f t="shared" si="358"/>
        <v/>
      </c>
      <c r="AV496" s="32" t="str">
        <f t="shared" si="359"/>
        <v/>
      </c>
      <c r="AW496" s="32" t="str">
        <f t="shared" si="360"/>
        <v/>
      </c>
      <c r="AX496" s="32" t="str">
        <f t="shared" si="361"/>
        <v/>
      </c>
      <c r="AY496" s="32" t="str">
        <f t="shared" si="362"/>
        <v/>
      </c>
    </row>
    <row r="497" spans="1:51" x14ac:dyDescent="0.25">
      <c r="A497" s="24" t="str">
        <f t="shared" si="320"/>
        <v/>
      </c>
      <c r="B497" s="24" t="str">
        <f t="shared" si="330"/>
        <v/>
      </c>
      <c r="C497" s="32" t="str">
        <f t="shared" si="321"/>
        <v/>
      </c>
      <c r="D497" s="24" t="str">
        <f t="shared" si="322"/>
        <v/>
      </c>
      <c r="E497" s="24" t="str">
        <f t="shared" si="323"/>
        <v/>
      </c>
      <c r="F497" s="32" t="str">
        <f t="shared" si="324"/>
        <v/>
      </c>
      <c r="G497" s="32" t="str">
        <f t="shared" si="325"/>
        <v/>
      </c>
      <c r="H497" s="32" t="str">
        <f t="shared" ca="1" si="326"/>
        <v/>
      </c>
      <c r="I497" s="32" t="str">
        <f t="shared" ca="1" si="331"/>
        <v/>
      </c>
      <c r="J497" s="32" t="str">
        <f t="shared" si="327"/>
        <v/>
      </c>
      <c r="K497" s="32" t="str">
        <f>IF(ISNUMBER(A497),Profile!$V$25+Profile!$V$24*'Ri-Po'!C497,"")</f>
        <v/>
      </c>
      <c r="L497" s="32" t="str">
        <f t="shared" si="332"/>
        <v/>
      </c>
      <c r="M497" s="32" t="str">
        <f t="shared" si="328"/>
        <v/>
      </c>
      <c r="N497" s="32" t="str">
        <f t="shared" si="329"/>
        <v/>
      </c>
      <c r="O497" s="32" t="str">
        <f t="shared" si="345"/>
        <v/>
      </c>
      <c r="P497" s="32" t="str">
        <f t="shared" si="333"/>
        <v/>
      </c>
      <c r="Q497" s="32" t="str">
        <f t="shared" si="334"/>
        <v/>
      </c>
      <c r="R497" s="32" t="str">
        <f t="shared" si="346"/>
        <v/>
      </c>
      <c r="S497" s="24" t="str">
        <f t="shared" si="347"/>
        <v/>
      </c>
      <c r="T497" s="24" t="str">
        <f t="shared" si="348"/>
        <v/>
      </c>
      <c r="U497" s="24" t="str">
        <f t="shared" si="349"/>
        <v/>
      </c>
      <c r="V497" s="24" t="str">
        <f t="shared" si="350"/>
        <v/>
      </c>
      <c r="W497" s="23" t="str">
        <f t="array" ref="W497">IFERROR(SMALL(IF(S$1:S$1000="BEGIN",ROW(S$1:S$1000)),ROW()-3),"")</f>
        <v/>
      </c>
      <c r="X497" s="23" t="str">
        <f t="array" ref="X497">IFERROR(SMALL(IF(T$1:T$1000="END",ROW(T$1:T$1000)),ROW()-3),"")</f>
        <v/>
      </c>
      <c r="Y497" s="33" t="str">
        <f t="array" ref="Y497">IF(ISNUMBER(W497),MAX(IF((B$4:B$1000&lt;=X497)*(B$4:B$1000&gt;=W497),I$4:I$1000, "")),"")</f>
        <v/>
      </c>
      <c r="Z497" s="33" t="str">
        <f t="shared" si="335"/>
        <v/>
      </c>
      <c r="AA497" s="32" t="str">
        <f t="shared" si="336"/>
        <v/>
      </c>
      <c r="AB497" s="32" t="str">
        <f t="shared" si="337"/>
        <v/>
      </c>
      <c r="AC497" s="32" t="str">
        <f t="shared" si="338"/>
        <v/>
      </c>
      <c r="AD497" s="32" t="str">
        <f t="shared" si="339"/>
        <v/>
      </c>
      <c r="AE497" s="34" t="str">
        <f t="shared" si="340"/>
        <v/>
      </c>
      <c r="AF497" s="32" t="str">
        <f t="shared" si="341"/>
        <v/>
      </c>
      <c r="AG497" s="32" t="str">
        <f t="shared" si="342"/>
        <v/>
      </c>
      <c r="AH497" s="32" t="str">
        <f t="shared" si="343"/>
        <v/>
      </c>
      <c r="AI497" s="35" t="str">
        <f t="shared" si="344"/>
        <v/>
      </c>
      <c r="AJ497" s="23" t="str">
        <f t="array" ref="AJ497">IFERROR(SMALL(IF(U$1:U$1000="BEGIN",ROW(U$1:U$1000)),ROW()-3),"")</f>
        <v/>
      </c>
      <c r="AK497" s="23" t="str">
        <f t="array" ref="AK497">IFERROR(SMALL(IF(V$1:V$1000="END",ROW(V$1:V$1000)),ROW()-3),"")</f>
        <v/>
      </c>
      <c r="AL497" s="24" t="str">
        <f t="array" ref="AL497">IF(AK497="","",MATCH(AM497,L:L,0))</f>
        <v/>
      </c>
      <c r="AM497" s="35">
        <f t="array" ref="AM497">MAX(IF((B$4:B$1000&lt;=AK497)*(B$4:B$1000&gt;=AJ497),L$4:L$1000, ""))</f>
        <v>0</v>
      </c>
      <c r="AN497" s="32" t="str">
        <f t="shared" si="351"/>
        <v/>
      </c>
      <c r="AO497" s="32" t="str">
        <f t="shared" si="352"/>
        <v/>
      </c>
      <c r="AP497" s="32" t="str">
        <f t="shared" si="353"/>
        <v/>
      </c>
      <c r="AQ497" s="32" t="str">
        <f t="shared" si="354"/>
        <v/>
      </c>
      <c r="AR497" s="32" t="str">
        <f t="shared" si="355"/>
        <v/>
      </c>
      <c r="AS497" s="32" t="str">
        <f t="shared" si="356"/>
        <v/>
      </c>
      <c r="AT497" s="32" t="str">
        <f t="shared" si="357"/>
        <v/>
      </c>
      <c r="AU497" s="34" t="str">
        <f t="shared" si="358"/>
        <v/>
      </c>
      <c r="AV497" s="32" t="str">
        <f t="shared" si="359"/>
        <v/>
      </c>
      <c r="AW497" s="32" t="str">
        <f t="shared" si="360"/>
        <v/>
      </c>
      <c r="AX497" s="32" t="str">
        <f t="shared" si="361"/>
        <v/>
      </c>
      <c r="AY497" s="32" t="str">
        <f t="shared" si="362"/>
        <v/>
      </c>
    </row>
    <row r="498" spans="1:51" x14ac:dyDescent="0.25">
      <c r="A498" s="24" t="str">
        <f t="shared" si="320"/>
        <v/>
      </c>
      <c r="B498" s="24" t="str">
        <f t="shared" si="330"/>
        <v/>
      </c>
      <c r="C498" s="32" t="str">
        <f t="shared" si="321"/>
        <v/>
      </c>
      <c r="D498" s="24" t="str">
        <f t="shared" si="322"/>
        <v/>
      </c>
      <c r="E498" s="24" t="str">
        <f t="shared" si="323"/>
        <v/>
      </c>
      <c r="F498" s="32" t="str">
        <f t="shared" si="324"/>
        <v/>
      </c>
      <c r="G498" s="32" t="str">
        <f t="shared" si="325"/>
        <v/>
      </c>
      <c r="H498" s="32" t="str">
        <f t="shared" ca="1" si="326"/>
        <v/>
      </c>
      <c r="I498" s="32" t="str">
        <f t="shared" ca="1" si="331"/>
        <v/>
      </c>
      <c r="J498" s="32" t="str">
        <f t="shared" si="327"/>
        <v/>
      </c>
      <c r="K498" s="32" t="str">
        <f>IF(ISNUMBER(A498),Profile!$V$25+Profile!$V$24*'Ri-Po'!C498,"")</f>
        <v/>
      </c>
      <c r="L498" s="32" t="str">
        <f t="shared" si="332"/>
        <v/>
      </c>
      <c r="M498" s="32" t="str">
        <f t="shared" si="328"/>
        <v/>
      </c>
      <c r="N498" s="32" t="str">
        <f t="shared" si="329"/>
        <v/>
      </c>
      <c r="O498" s="32" t="str">
        <f t="shared" si="345"/>
        <v/>
      </c>
      <c r="P498" s="32" t="str">
        <f t="shared" si="333"/>
        <v/>
      </c>
      <c r="Q498" s="32" t="str">
        <f t="shared" si="334"/>
        <v/>
      </c>
      <c r="R498" s="32" t="str">
        <f t="shared" si="346"/>
        <v/>
      </c>
      <c r="S498" s="24" t="str">
        <f t="shared" si="347"/>
        <v/>
      </c>
      <c r="T498" s="24" t="str">
        <f t="shared" si="348"/>
        <v/>
      </c>
      <c r="U498" s="24" t="str">
        <f t="shared" si="349"/>
        <v/>
      </c>
      <c r="V498" s="24" t="str">
        <f t="shared" si="350"/>
        <v/>
      </c>
      <c r="W498" s="23" t="str">
        <f t="array" ref="W498">IFERROR(SMALL(IF(S$1:S$1000="BEGIN",ROW(S$1:S$1000)),ROW()-3),"")</f>
        <v/>
      </c>
      <c r="X498" s="23" t="str">
        <f t="array" ref="X498">IFERROR(SMALL(IF(T$1:T$1000="END",ROW(T$1:T$1000)),ROW()-3),"")</f>
        <v/>
      </c>
      <c r="Y498" s="33" t="str">
        <f t="array" ref="Y498">IF(ISNUMBER(W498),MAX(IF((B$4:B$1000&lt;=X498)*(B$4:B$1000&gt;=W498),I$4:I$1000, "")),"")</f>
        <v/>
      </c>
      <c r="Z498" s="33" t="str">
        <f t="shared" si="335"/>
        <v/>
      </c>
      <c r="AA498" s="32" t="str">
        <f t="shared" si="336"/>
        <v/>
      </c>
      <c r="AB498" s="32" t="str">
        <f t="shared" si="337"/>
        <v/>
      </c>
      <c r="AC498" s="32" t="str">
        <f t="shared" si="338"/>
        <v/>
      </c>
      <c r="AD498" s="32" t="str">
        <f t="shared" si="339"/>
        <v/>
      </c>
      <c r="AE498" s="34" t="str">
        <f t="shared" si="340"/>
        <v/>
      </c>
      <c r="AF498" s="32" t="str">
        <f t="shared" si="341"/>
        <v/>
      </c>
      <c r="AG498" s="32" t="str">
        <f t="shared" si="342"/>
        <v/>
      </c>
      <c r="AH498" s="32" t="str">
        <f t="shared" si="343"/>
        <v/>
      </c>
      <c r="AI498" s="35" t="str">
        <f t="shared" si="344"/>
        <v/>
      </c>
      <c r="AJ498" s="23" t="str">
        <f t="array" ref="AJ498">IFERROR(SMALL(IF(U$1:U$1000="BEGIN",ROW(U$1:U$1000)),ROW()-3),"")</f>
        <v/>
      </c>
      <c r="AK498" s="23" t="str">
        <f t="array" ref="AK498">IFERROR(SMALL(IF(V$1:V$1000="END",ROW(V$1:V$1000)),ROW()-3),"")</f>
        <v/>
      </c>
      <c r="AL498" s="24" t="str">
        <f t="array" ref="AL498">IF(AK498="","",MATCH(AM498,L:L,0))</f>
        <v/>
      </c>
      <c r="AM498" s="35">
        <f t="array" ref="AM498">MAX(IF((B$4:B$1000&lt;=AK498)*(B$4:B$1000&gt;=AJ498),L$4:L$1000, ""))</f>
        <v>0</v>
      </c>
      <c r="AN498" s="32" t="str">
        <f t="shared" si="351"/>
        <v/>
      </c>
      <c r="AO498" s="32" t="str">
        <f t="shared" si="352"/>
        <v/>
      </c>
      <c r="AP498" s="32" t="str">
        <f t="shared" si="353"/>
        <v/>
      </c>
      <c r="AQ498" s="32" t="str">
        <f t="shared" si="354"/>
        <v/>
      </c>
      <c r="AR498" s="32" t="str">
        <f t="shared" si="355"/>
        <v/>
      </c>
      <c r="AS498" s="32" t="str">
        <f t="shared" si="356"/>
        <v/>
      </c>
      <c r="AT498" s="32" t="str">
        <f t="shared" si="357"/>
        <v/>
      </c>
      <c r="AU498" s="34" t="str">
        <f t="shared" si="358"/>
        <v/>
      </c>
      <c r="AV498" s="32" t="str">
        <f t="shared" si="359"/>
        <v/>
      </c>
      <c r="AW498" s="32" t="str">
        <f t="shared" si="360"/>
        <v/>
      </c>
      <c r="AX498" s="32" t="str">
        <f t="shared" si="361"/>
        <v/>
      </c>
      <c r="AY498" s="32" t="str">
        <f t="shared" si="362"/>
        <v/>
      </c>
    </row>
    <row r="499" spans="1:51" x14ac:dyDescent="0.25">
      <c r="A499" s="24" t="str">
        <f t="shared" si="320"/>
        <v/>
      </c>
      <c r="B499" s="24" t="str">
        <f t="shared" si="330"/>
        <v/>
      </c>
      <c r="C499" s="32" t="str">
        <f t="shared" si="321"/>
        <v/>
      </c>
      <c r="D499" s="24" t="str">
        <f t="shared" si="322"/>
        <v/>
      </c>
      <c r="E499" s="24" t="str">
        <f t="shared" si="323"/>
        <v/>
      </c>
      <c r="F499" s="32" t="str">
        <f t="shared" si="324"/>
        <v/>
      </c>
      <c r="G499" s="32" t="str">
        <f t="shared" si="325"/>
        <v/>
      </c>
      <c r="H499" s="32" t="str">
        <f t="shared" ca="1" si="326"/>
        <v/>
      </c>
      <c r="I499" s="32" t="str">
        <f t="shared" ca="1" si="331"/>
        <v/>
      </c>
      <c r="J499" s="32" t="str">
        <f t="shared" si="327"/>
        <v/>
      </c>
      <c r="K499" s="32" t="str">
        <f>IF(ISNUMBER(A499),Profile!$V$25+Profile!$V$24*'Ri-Po'!C499,"")</f>
        <v/>
      </c>
      <c r="L499" s="32" t="str">
        <f t="shared" si="332"/>
        <v/>
      </c>
      <c r="M499" s="32" t="str">
        <f t="shared" si="328"/>
        <v/>
      </c>
      <c r="N499" s="32" t="str">
        <f t="shared" si="329"/>
        <v/>
      </c>
      <c r="O499" s="32" t="str">
        <f t="shared" si="345"/>
        <v/>
      </c>
      <c r="P499" s="32" t="str">
        <f t="shared" si="333"/>
        <v/>
      </c>
      <c r="Q499" s="32" t="str">
        <f t="shared" si="334"/>
        <v/>
      </c>
      <c r="R499" s="32" t="str">
        <f t="shared" si="346"/>
        <v/>
      </c>
      <c r="S499" s="24" t="str">
        <f t="shared" si="347"/>
        <v/>
      </c>
      <c r="T499" s="24" t="str">
        <f t="shared" si="348"/>
        <v/>
      </c>
      <c r="U499" s="24" t="str">
        <f t="shared" si="349"/>
        <v/>
      </c>
      <c r="V499" s="24" t="str">
        <f t="shared" si="350"/>
        <v/>
      </c>
      <c r="W499" s="23" t="str">
        <f t="array" ref="W499">IFERROR(SMALL(IF(S$1:S$1000="BEGIN",ROW(S$1:S$1000)),ROW()-3),"")</f>
        <v/>
      </c>
      <c r="X499" s="23" t="str">
        <f t="array" ref="X499">IFERROR(SMALL(IF(T$1:T$1000="END",ROW(T$1:T$1000)),ROW()-3),"")</f>
        <v/>
      </c>
      <c r="Y499" s="33" t="str">
        <f t="array" ref="Y499">IF(ISNUMBER(W499),MAX(IF((B$4:B$1000&lt;=X499)*(B$4:B$1000&gt;=W499),I$4:I$1000, "")),"")</f>
        <v/>
      </c>
      <c r="Z499" s="33" t="str">
        <f t="shared" si="335"/>
        <v/>
      </c>
      <c r="AA499" s="32" t="str">
        <f t="shared" si="336"/>
        <v/>
      </c>
      <c r="AB499" s="32" t="str">
        <f t="shared" si="337"/>
        <v/>
      </c>
      <c r="AC499" s="32" t="str">
        <f t="shared" si="338"/>
        <v/>
      </c>
      <c r="AD499" s="32" t="str">
        <f t="shared" si="339"/>
        <v/>
      </c>
      <c r="AE499" s="34" t="str">
        <f t="shared" si="340"/>
        <v/>
      </c>
      <c r="AF499" s="32" t="str">
        <f t="shared" si="341"/>
        <v/>
      </c>
      <c r="AG499" s="32" t="str">
        <f t="shared" si="342"/>
        <v/>
      </c>
      <c r="AH499" s="32" t="str">
        <f t="shared" si="343"/>
        <v/>
      </c>
      <c r="AI499" s="35" t="str">
        <f t="shared" si="344"/>
        <v/>
      </c>
      <c r="AJ499" s="23" t="str">
        <f t="array" ref="AJ499">IFERROR(SMALL(IF(U$1:U$1000="BEGIN",ROW(U$1:U$1000)),ROW()-3),"")</f>
        <v/>
      </c>
      <c r="AK499" s="23" t="str">
        <f t="array" ref="AK499">IFERROR(SMALL(IF(V$1:V$1000="END",ROW(V$1:V$1000)),ROW()-3),"")</f>
        <v/>
      </c>
      <c r="AL499" s="24" t="str">
        <f t="array" ref="AL499">IF(AK499="","",MATCH(AM499,L:L,0))</f>
        <v/>
      </c>
      <c r="AM499" s="35">
        <f t="array" ref="AM499">MAX(IF((B$4:B$1000&lt;=AK499)*(B$4:B$1000&gt;=AJ499),L$4:L$1000, ""))</f>
        <v>0</v>
      </c>
      <c r="AN499" s="32" t="str">
        <f t="shared" si="351"/>
        <v/>
      </c>
      <c r="AO499" s="32" t="str">
        <f t="shared" si="352"/>
        <v/>
      </c>
      <c r="AP499" s="32" t="str">
        <f t="shared" si="353"/>
        <v/>
      </c>
      <c r="AQ499" s="32" t="str">
        <f t="shared" si="354"/>
        <v/>
      </c>
      <c r="AR499" s="32" t="str">
        <f t="shared" si="355"/>
        <v/>
      </c>
      <c r="AS499" s="32" t="str">
        <f t="shared" si="356"/>
        <v/>
      </c>
      <c r="AT499" s="32" t="str">
        <f t="shared" si="357"/>
        <v/>
      </c>
      <c r="AU499" s="34" t="str">
        <f t="shared" si="358"/>
        <v/>
      </c>
      <c r="AV499" s="32" t="str">
        <f t="shared" si="359"/>
        <v/>
      </c>
      <c r="AW499" s="32" t="str">
        <f t="shared" si="360"/>
        <v/>
      </c>
      <c r="AX499" s="32" t="str">
        <f t="shared" si="361"/>
        <v/>
      </c>
      <c r="AY499" s="32" t="str">
        <f t="shared" si="362"/>
        <v/>
      </c>
    </row>
    <row r="500" spans="1:51" x14ac:dyDescent="0.25">
      <c r="A500" s="24" t="str">
        <f t="shared" si="320"/>
        <v/>
      </c>
      <c r="B500" s="24" t="str">
        <f t="shared" si="330"/>
        <v/>
      </c>
      <c r="C500" s="32" t="str">
        <f t="shared" si="321"/>
        <v/>
      </c>
      <c r="D500" s="24" t="str">
        <f t="shared" si="322"/>
        <v/>
      </c>
      <c r="E500" s="24" t="str">
        <f t="shared" si="323"/>
        <v/>
      </c>
      <c r="F500" s="32" t="str">
        <f t="shared" si="324"/>
        <v/>
      </c>
      <c r="G500" s="32" t="str">
        <f t="shared" si="325"/>
        <v/>
      </c>
      <c r="H500" s="32" t="str">
        <f t="shared" ca="1" si="326"/>
        <v/>
      </c>
      <c r="I500" s="32" t="str">
        <f t="shared" ca="1" si="331"/>
        <v/>
      </c>
      <c r="J500" s="32" t="str">
        <f t="shared" si="327"/>
        <v/>
      </c>
      <c r="K500" s="32" t="str">
        <f>IF(ISNUMBER(A500),Profile!$V$25+Profile!$V$24*'Ri-Po'!C500,"")</f>
        <v/>
      </c>
      <c r="L500" s="32" t="str">
        <f t="shared" si="332"/>
        <v/>
      </c>
      <c r="M500" s="32" t="str">
        <f t="shared" si="328"/>
        <v/>
      </c>
      <c r="N500" s="32" t="str">
        <f t="shared" si="329"/>
        <v/>
      </c>
      <c r="O500" s="32" t="str">
        <f t="shared" si="345"/>
        <v/>
      </c>
      <c r="P500" s="32" t="str">
        <f t="shared" si="333"/>
        <v/>
      </c>
      <c r="Q500" s="32" t="str">
        <f t="shared" si="334"/>
        <v/>
      </c>
      <c r="R500" s="32" t="str">
        <f t="shared" si="346"/>
        <v/>
      </c>
      <c r="S500" s="24" t="str">
        <f t="shared" si="347"/>
        <v/>
      </c>
      <c r="T500" s="24" t="str">
        <f t="shared" si="348"/>
        <v/>
      </c>
      <c r="U500" s="24" t="str">
        <f t="shared" si="349"/>
        <v/>
      </c>
      <c r="V500" s="24" t="str">
        <f t="shared" si="350"/>
        <v/>
      </c>
      <c r="W500" s="23" t="str">
        <f t="array" ref="W500">IFERROR(SMALL(IF(S$1:S$1000="BEGIN",ROW(S$1:S$1000)),ROW()-3),"")</f>
        <v/>
      </c>
      <c r="X500" s="23" t="str">
        <f t="array" ref="X500">IFERROR(SMALL(IF(T$1:T$1000="END",ROW(T$1:T$1000)),ROW()-3),"")</f>
        <v/>
      </c>
      <c r="Y500" s="33" t="str">
        <f t="array" ref="Y500">IF(ISNUMBER(W500),MAX(IF((B$4:B$1000&lt;=X500)*(B$4:B$1000&gt;=W500),I$4:I$1000, "")),"")</f>
        <v/>
      </c>
      <c r="Z500" s="33" t="str">
        <f t="shared" si="335"/>
        <v/>
      </c>
      <c r="AA500" s="32" t="str">
        <f t="shared" si="336"/>
        <v/>
      </c>
      <c r="AB500" s="32" t="str">
        <f t="shared" si="337"/>
        <v/>
      </c>
      <c r="AC500" s="32" t="str">
        <f t="shared" si="338"/>
        <v/>
      </c>
      <c r="AD500" s="32" t="str">
        <f t="shared" si="339"/>
        <v/>
      </c>
      <c r="AE500" s="34" t="str">
        <f t="shared" si="340"/>
        <v/>
      </c>
      <c r="AF500" s="32" t="str">
        <f t="shared" si="341"/>
        <v/>
      </c>
      <c r="AG500" s="32" t="str">
        <f t="shared" si="342"/>
        <v/>
      </c>
      <c r="AH500" s="32" t="str">
        <f t="shared" si="343"/>
        <v/>
      </c>
      <c r="AI500" s="35" t="str">
        <f t="shared" si="344"/>
        <v/>
      </c>
      <c r="AJ500" s="23" t="str">
        <f t="array" ref="AJ500">IFERROR(SMALL(IF(U$1:U$1000="BEGIN",ROW(U$1:U$1000)),ROW()-3),"")</f>
        <v/>
      </c>
      <c r="AK500" s="23" t="str">
        <f t="array" ref="AK500">IFERROR(SMALL(IF(V$1:V$1000="END",ROW(V$1:V$1000)),ROW()-3),"")</f>
        <v/>
      </c>
      <c r="AL500" s="24" t="str">
        <f t="array" ref="AL500">IF(AK500="","",MATCH(AM500,L:L,0))</f>
        <v/>
      </c>
      <c r="AM500" s="35">
        <f t="array" ref="AM500">MAX(IF((B$4:B$1000&lt;=AK500)*(B$4:B$1000&gt;=AJ500),L$4:L$1000, ""))</f>
        <v>0</v>
      </c>
      <c r="AN500" s="32" t="str">
        <f t="shared" si="351"/>
        <v/>
      </c>
      <c r="AO500" s="32" t="str">
        <f t="shared" si="352"/>
        <v/>
      </c>
      <c r="AP500" s="32" t="str">
        <f t="shared" si="353"/>
        <v/>
      </c>
      <c r="AQ500" s="32" t="str">
        <f t="shared" si="354"/>
        <v/>
      </c>
      <c r="AR500" s="32" t="str">
        <f t="shared" si="355"/>
        <v/>
      </c>
      <c r="AS500" s="32" t="str">
        <f t="shared" si="356"/>
        <v/>
      </c>
      <c r="AT500" s="32" t="str">
        <f t="shared" si="357"/>
        <v/>
      </c>
      <c r="AU500" s="34" t="str">
        <f t="shared" si="358"/>
        <v/>
      </c>
      <c r="AV500" s="32" t="str">
        <f t="shared" si="359"/>
        <v/>
      </c>
      <c r="AW500" s="32" t="str">
        <f t="shared" si="360"/>
        <v/>
      </c>
      <c r="AX500" s="32" t="str">
        <f t="shared" si="361"/>
        <v/>
      </c>
      <c r="AY500" s="32" t="str">
        <f t="shared" si="362"/>
        <v/>
      </c>
    </row>
    <row r="501" spans="1:51" x14ac:dyDescent="0.25">
      <c r="A501" s="24" t="str">
        <f t="shared" si="320"/>
        <v/>
      </c>
      <c r="B501" s="24" t="str">
        <f t="shared" si="330"/>
        <v/>
      </c>
      <c r="C501" s="32" t="str">
        <f t="shared" si="321"/>
        <v/>
      </c>
      <c r="D501" s="24" t="str">
        <f t="shared" si="322"/>
        <v/>
      </c>
      <c r="E501" s="24" t="str">
        <f t="shared" si="323"/>
        <v/>
      </c>
      <c r="F501" s="32" t="str">
        <f t="shared" si="324"/>
        <v/>
      </c>
      <c r="G501" s="32" t="str">
        <f t="shared" si="325"/>
        <v/>
      </c>
      <c r="H501" s="32" t="str">
        <f t="shared" ca="1" si="326"/>
        <v/>
      </c>
      <c r="I501" s="32" t="str">
        <f t="shared" ca="1" si="331"/>
        <v/>
      </c>
      <c r="J501" s="32" t="str">
        <f t="shared" si="327"/>
        <v/>
      </c>
      <c r="K501" s="32" t="str">
        <f>IF(ISNUMBER(A501),Profile!$V$25+Profile!$V$24*'Ri-Po'!C501,"")</f>
        <v/>
      </c>
      <c r="L501" s="32" t="str">
        <f t="shared" si="332"/>
        <v/>
      </c>
      <c r="M501" s="32" t="str">
        <f t="shared" si="328"/>
        <v/>
      </c>
      <c r="N501" s="32" t="str">
        <f t="shared" si="329"/>
        <v/>
      </c>
      <c r="O501" s="32" t="str">
        <f t="shared" si="345"/>
        <v/>
      </c>
      <c r="P501" s="32" t="str">
        <f t="shared" si="333"/>
        <v/>
      </c>
      <c r="Q501" s="32" t="str">
        <f t="shared" si="334"/>
        <v/>
      </c>
      <c r="R501" s="32" t="str">
        <f t="shared" si="346"/>
        <v/>
      </c>
      <c r="S501" s="24" t="str">
        <f t="shared" si="347"/>
        <v/>
      </c>
      <c r="T501" s="24" t="str">
        <f t="shared" si="348"/>
        <v/>
      </c>
      <c r="U501" s="24" t="str">
        <f t="shared" si="349"/>
        <v/>
      </c>
      <c r="V501" s="24" t="str">
        <f t="shared" si="350"/>
        <v/>
      </c>
      <c r="W501" s="23" t="str">
        <f t="array" ref="W501">IFERROR(SMALL(IF(S$1:S$1000="BEGIN",ROW(S$1:S$1000)),ROW()-3),"")</f>
        <v/>
      </c>
      <c r="X501" s="23" t="str">
        <f t="array" ref="X501">IFERROR(SMALL(IF(T$1:T$1000="END",ROW(T$1:T$1000)),ROW()-3),"")</f>
        <v/>
      </c>
      <c r="Y501" s="33" t="str">
        <f t="array" ref="Y501">IF(ISNUMBER(W501),MAX(IF((B$4:B$1000&lt;=X501)*(B$4:B$1000&gt;=W501),I$4:I$1000, "")),"")</f>
        <v/>
      </c>
      <c r="Z501" s="33" t="str">
        <f t="shared" si="335"/>
        <v/>
      </c>
      <c r="AA501" s="32" t="str">
        <f t="shared" si="336"/>
        <v/>
      </c>
      <c r="AB501" s="32" t="str">
        <f t="shared" si="337"/>
        <v/>
      </c>
      <c r="AC501" s="32" t="str">
        <f t="shared" si="338"/>
        <v/>
      </c>
      <c r="AD501" s="32" t="str">
        <f t="shared" si="339"/>
        <v/>
      </c>
      <c r="AE501" s="34" t="str">
        <f t="shared" si="340"/>
        <v/>
      </c>
      <c r="AF501" s="32" t="str">
        <f t="shared" si="341"/>
        <v/>
      </c>
      <c r="AG501" s="32" t="str">
        <f t="shared" si="342"/>
        <v/>
      </c>
      <c r="AH501" s="32" t="str">
        <f t="shared" si="343"/>
        <v/>
      </c>
      <c r="AI501" s="35" t="str">
        <f t="shared" si="344"/>
        <v/>
      </c>
      <c r="AJ501" s="23" t="str">
        <f t="array" ref="AJ501">IFERROR(SMALL(IF(U$1:U$1000="BEGIN",ROW(U$1:U$1000)),ROW()-3),"")</f>
        <v/>
      </c>
      <c r="AK501" s="23" t="str">
        <f t="array" ref="AK501">IFERROR(SMALL(IF(V$1:V$1000="END",ROW(V$1:V$1000)),ROW()-3),"")</f>
        <v/>
      </c>
      <c r="AL501" s="24" t="str">
        <f t="array" ref="AL501">IF(AK501="","",MATCH(AM501,L:L,0))</f>
        <v/>
      </c>
      <c r="AM501" s="35">
        <f t="array" ref="AM501">MAX(IF((B$4:B$1000&lt;=AK501)*(B$4:B$1000&gt;=AJ501),L$4:L$1000, ""))</f>
        <v>0</v>
      </c>
      <c r="AN501" s="32" t="str">
        <f t="shared" si="351"/>
        <v/>
      </c>
      <c r="AO501" s="32" t="str">
        <f t="shared" si="352"/>
        <v/>
      </c>
      <c r="AP501" s="32" t="str">
        <f t="shared" si="353"/>
        <v/>
      </c>
      <c r="AQ501" s="32" t="str">
        <f t="shared" si="354"/>
        <v/>
      </c>
      <c r="AR501" s="32" t="str">
        <f t="shared" si="355"/>
        <v/>
      </c>
      <c r="AS501" s="32" t="str">
        <f t="shared" si="356"/>
        <v/>
      </c>
      <c r="AT501" s="32" t="str">
        <f t="shared" si="357"/>
        <v/>
      </c>
      <c r="AU501" s="34" t="str">
        <f t="shared" si="358"/>
        <v/>
      </c>
      <c r="AV501" s="32" t="str">
        <f t="shared" si="359"/>
        <v/>
      </c>
      <c r="AW501" s="32" t="str">
        <f t="shared" si="360"/>
        <v/>
      </c>
      <c r="AX501" s="32" t="str">
        <f t="shared" si="361"/>
        <v/>
      </c>
      <c r="AY501" s="32" t="str">
        <f t="shared" si="362"/>
        <v/>
      </c>
    </row>
    <row r="502" spans="1:51" x14ac:dyDescent="0.25">
      <c r="A502" s="24" t="str">
        <f t="shared" si="320"/>
        <v/>
      </c>
      <c r="B502" s="24" t="str">
        <f t="shared" si="330"/>
        <v/>
      </c>
      <c r="C502" s="32" t="str">
        <f t="shared" si="321"/>
        <v/>
      </c>
      <c r="D502" s="24" t="str">
        <f t="shared" si="322"/>
        <v/>
      </c>
      <c r="E502" s="24" t="str">
        <f t="shared" si="323"/>
        <v/>
      </c>
      <c r="F502" s="32" t="str">
        <f t="shared" si="324"/>
        <v/>
      </c>
      <c r="G502" s="32" t="str">
        <f t="shared" si="325"/>
        <v/>
      </c>
      <c r="H502" s="32" t="str">
        <f t="shared" ca="1" si="326"/>
        <v/>
      </c>
      <c r="I502" s="32" t="str">
        <f t="shared" ca="1" si="331"/>
        <v/>
      </c>
      <c r="J502" s="32" t="str">
        <f t="shared" si="327"/>
        <v/>
      </c>
      <c r="K502" s="32" t="str">
        <f>IF(ISNUMBER(A502),Profile!$V$25+Profile!$V$24*'Ri-Po'!C502,"")</f>
        <v/>
      </c>
      <c r="L502" s="32" t="str">
        <f t="shared" si="332"/>
        <v/>
      </c>
      <c r="M502" s="32" t="str">
        <f t="shared" si="328"/>
        <v/>
      </c>
      <c r="N502" s="32" t="str">
        <f t="shared" si="329"/>
        <v/>
      </c>
      <c r="O502" s="32" t="str">
        <f t="shared" si="345"/>
        <v/>
      </c>
      <c r="P502" s="32" t="str">
        <f t="shared" si="333"/>
        <v/>
      </c>
      <c r="Q502" s="32" t="str">
        <f t="shared" si="334"/>
        <v/>
      </c>
      <c r="R502" s="32" t="str">
        <f t="shared" si="346"/>
        <v/>
      </c>
      <c r="S502" s="24" t="str">
        <f t="shared" si="347"/>
        <v/>
      </c>
      <c r="T502" s="24" t="str">
        <f t="shared" si="348"/>
        <v/>
      </c>
      <c r="U502" s="24" t="str">
        <f t="shared" si="349"/>
        <v/>
      </c>
      <c r="V502" s="24" t="str">
        <f t="shared" si="350"/>
        <v/>
      </c>
      <c r="W502" s="23" t="str">
        <f t="array" ref="W502">IFERROR(SMALL(IF(S$1:S$1000="BEGIN",ROW(S$1:S$1000)),ROW()-3),"")</f>
        <v/>
      </c>
      <c r="X502" s="23" t="str">
        <f t="array" ref="X502">IFERROR(SMALL(IF(T$1:T$1000="END",ROW(T$1:T$1000)),ROW()-3),"")</f>
        <v/>
      </c>
      <c r="Y502" s="33" t="str">
        <f t="array" ref="Y502">IF(ISNUMBER(W502),MAX(IF((B$4:B$1000&lt;=X502)*(B$4:B$1000&gt;=W502),I$4:I$1000, "")),"")</f>
        <v/>
      </c>
      <c r="Z502" s="33" t="str">
        <f t="shared" si="335"/>
        <v/>
      </c>
      <c r="AA502" s="32" t="str">
        <f t="shared" si="336"/>
        <v/>
      </c>
      <c r="AB502" s="32" t="str">
        <f t="shared" si="337"/>
        <v/>
      </c>
      <c r="AC502" s="32" t="str">
        <f t="shared" si="338"/>
        <v/>
      </c>
      <c r="AD502" s="32" t="str">
        <f t="shared" si="339"/>
        <v/>
      </c>
      <c r="AE502" s="34" t="str">
        <f t="shared" si="340"/>
        <v/>
      </c>
      <c r="AF502" s="32" t="str">
        <f t="shared" si="341"/>
        <v/>
      </c>
      <c r="AG502" s="32" t="str">
        <f t="shared" si="342"/>
        <v/>
      </c>
      <c r="AH502" s="32" t="str">
        <f t="shared" si="343"/>
        <v/>
      </c>
      <c r="AI502" s="35" t="str">
        <f t="shared" si="344"/>
        <v/>
      </c>
      <c r="AJ502" s="23" t="str">
        <f t="array" ref="AJ502">IFERROR(SMALL(IF(U$1:U$1000="BEGIN",ROW(U$1:U$1000)),ROW()-3),"")</f>
        <v/>
      </c>
      <c r="AK502" s="23" t="str">
        <f t="array" ref="AK502">IFERROR(SMALL(IF(V$1:V$1000="END",ROW(V$1:V$1000)),ROW()-3),"")</f>
        <v/>
      </c>
      <c r="AL502" s="24" t="str">
        <f t="array" ref="AL502">IF(AK502="","",MATCH(AM502,L:L,0))</f>
        <v/>
      </c>
      <c r="AM502" s="35">
        <f t="array" ref="AM502">MAX(IF((B$4:B$1000&lt;=AK502)*(B$4:B$1000&gt;=AJ502),L$4:L$1000, ""))</f>
        <v>0</v>
      </c>
      <c r="AN502" s="32" t="str">
        <f t="shared" si="351"/>
        <v/>
      </c>
      <c r="AO502" s="32" t="str">
        <f t="shared" si="352"/>
        <v/>
      </c>
      <c r="AP502" s="32" t="str">
        <f t="shared" si="353"/>
        <v/>
      </c>
      <c r="AQ502" s="32" t="str">
        <f t="shared" si="354"/>
        <v/>
      </c>
      <c r="AR502" s="32" t="str">
        <f t="shared" si="355"/>
        <v/>
      </c>
      <c r="AS502" s="32" t="str">
        <f t="shared" si="356"/>
        <v/>
      </c>
      <c r="AT502" s="32" t="str">
        <f t="shared" si="357"/>
        <v/>
      </c>
      <c r="AU502" s="34" t="str">
        <f t="shared" si="358"/>
        <v/>
      </c>
      <c r="AV502" s="32" t="str">
        <f t="shared" si="359"/>
        <v/>
      </c>
      <c r="AW502" s="32" t="str">
        <f t="shared" si="360"/>
        <v/>
      </c>
      <c r="AX502" s="32" t="str">
        <f t="shared" si="361"/>
        <v/>
      </c>
      <c r="AY502" s="32" t="str">
        <f t="shared" si="362"/>
        <v/>
      </c>
    </row>
    <row r="503" spans="1:51" x14ac:dyDescent="0.25">
      <c r="A503" s="24" t="str">
        <f t="shared" si="320"/>
        <v/>
      </c>
      <c r="B503" s="24" t="str">
        <f t="shared" si="330"/>
        <v/>
      </c>
      <c r="C503" s="32" t="str">
        <f t="shared" si="321"/>
        <v/>
      </c>
      <c r="D503" s="24" t="str">
        <f t="shared" si="322"/>
        <v/>
      </c>
      <c r="E503" s="24" t="str">
        <f t="shared" si="323"/>
        <v/>
      </c>
      <c r="F503" s="32" t="str">
        <f t="shared" si="324"/>
        <v/>
      </c>
      <c r="G503" s="32" t="str">
        <f t="shared" si="325"/>
        <v/>
      </c>
      <c r="H503" s="32" t="str">
        <f t="shared" ca="1" si="326"/>
        <v/>
      </c>
      <c r="I503" s="32" t="str">
        <f t="shared" ca="1" si="331"/>
        <v/>
      </c>
      <c r="J503" s="32" t="str">
        <f t="shared" si="327"/>
        <v/>
      </c>
      <c r="K503" s="32" t="str">
        <f>IF(ISNUMBER(A503),Profile!$V$25+Profile!$V$24*'Ri-Po'!C503,"")</f>
        <v/>
      </c>
      <c r="L503" s="32" t="str">
        <f t="shared" si="332"/>
        <v/>
      </c>
      <c r="M503" s="32" t="str">
        <f t="shared" si="328"/>
        <v/>
      </c>
      <c r="N503" s="32" t="str">
        <f t="shared" si="329"/>
        <v/>
      </c>
      <c r="O503" s="32" t="str">
        <f t="shared" si="345"/>
        <v/>
      </c>
      <c r="P503" s="32" t="str">
        <f t="shared" si="333"/>
        <v/>
      </c>
      <c r="Q503" s="32" t="str">
        <f t="shared" si="334"/>
        <v/>
      </c>
      <c r="R503" s="32" t="str">
        <f t="shared" si="346"/>
        <v/>
      </c>
      <c r="S503" s="24" t="str">
        <f t="shared" si="347"/>
        <v/>
      </c>
      <c r="T503" s="24" t="str">
        <f t="shared" si="348"/>
        <v/>
      </c>
      <c r="U503" s="24" t="str">
        <f t="shared" si="349"/>
        <v/>
      </c>
      <c r="V503" s="24" t="str">
        <f t="shared" si="350"/>
        <v/>
      </c>
      <c r="W503" s="23" t="str">
        <f t="array" ref="W503">IFERROR(SMALL(IF(S$1:S$1000="BEGIN",ROW(S$1:S$1000)),ROW()-3),"")</f>
        <v/>
      </c>
      <c r="X503" s="23" t="str">
        <f t="array" ref="X503">IFERROR(SMALL(IF(T$1:T$1000="END",ROW(T$1:T$1000)),ROW()-3),"")</f>
        <v/>
      </c>
      <c r="Y503" s="33" t="str">
        <f t="array" ref="Y503">IF(ISNUMBER(W503),MAX(IF((B$4:B$1000&lt;=X503)*(B$4:B$1000&gt;=W503),I$4:I$1000, "")),"")</f>
        <v/>
      </c>
      <c r="Z503" s="33" t="str">
        <f t="shared" si="335"/>
        <v/>
      </c>
      <c r="AA503" s="32" t="str">
        <f t="shared" si="336"/>
        <v/>
      </c>
      <c r="AB503" s="32" t="str">
        <f t="shared" si="337"/>
        <v/>
      </c>
      <c r="AC503" s="32" t="str">
        <f t="shared" si="338"/>
        <v/>
      </c>
      <c r="AD503" s="32" t="str">
        <f t="shared" si="339"/>
        <v/>
      </c>
      <c r="AE503" s="34" t="str">
        <f t="shared" si="340"/>
        <v/>
      </c>
      <c r="AF503" s="32" t="str">
        <f t="shared" si="341"/>
        <v/>
      </c>
      <c r="AG503" s="32" t="str">
        <f t="shared" si="342"/>
        <v/>
      </c>
      <c r="AH503" s="32" t="str">
        <f t="shared" si="343"/>
        <v/>
      </c>
      <c r="AI503" s="35" t="str">
        <f t="shared" si="344"/>
        <v/>
      </c>
      <c r="AJ503" s="23" t="str">
        <f t="array" ref="AJ503">IFERROR(SMALL(IF(U$1:U$1000="BEGIN",ROW(U$1:U$1000)),ROW()-3),"")</f>
        <v/>
      </c>
      <c r="AK503" s="23" t="str">
        <f t="array" ref="AK503">IFERROR(SMALL(IF(V$1:V$1000="END",ROW(V$1:V$1000)),ROW()-3),"")</f>
        <v/>
      </c>
      <c r="AL503" s="24" t="str">
        <f t="array" ref="AL503">IF(AK503="","",MATCH(AM503,L:L,0))</f>
        <v/>
      </c>
      <c r="AM503" s="35">
        <f t="array" ref="AM503">MAX(IF((B$4:B$1000&lt;=AK503)*(B$4:B$1000&gt;=AJ503),L$4:L$1000, ""))</f>
        <v>0</v>
      </c>
      <c r="AN503" s="32" t="str">
        <f t="shared" si="351"/>
        <v/>
      </c>
      <c r="AO503" s="32" t="str">
        <f t="shared" si="352"/>
        <v/>
      </c>
      <c r="AP503" s="32" t="str">
        <f t="shared" si="353"/>
        <v/>
      </c>
      <c r="AQ503" s="32" t="str">
        <f t="shared" si="354"/>
        <v/>
      </c>
      <c r="AR503" s="32" t="str">
        <f t="shared" si="355"/>
        <v/>
      </c>
      <c r="AS503" s="32" t="str">
        <f t="shared" si="356"/>
        <v/>
      </c>
      <c r="AT503" s="32" t="str">
        <f t="shared" si="357"/>
        <v/>
      </c>
      <c r="AU503" s="34" t="str">
        <f t="shared" si="358"/>
        <v/>
      </c>
      <c r="AV503" s="32" t="str">
        <f t="shared" si="359"/>
        <v/>
      </c>
      <c r="AW503" s="32" t="str">
        <f t="shared" si="360"/>
        <v/>
      </c>
      <c r="AX503" s="32" t="str">
        <f t="shared" si="361"/>
        <v/>
      </c>
      <c r="AY503" s="32" t="str">
        <f t="shared" si="362"/>
        <v/>
      </c>
    </row>
    <row r="504" spans="1:51" x14ac:dyDescent="0.25">
      <c r="A504" s="24" t="str">
        <f t="shared" si="320"/>
        <v/>
      </c>
      <c r="B504" s="24" t="str">
        <f t="shared" si="330"/>
        <v/>
      </c>
      <c r="C504" s="32" t="str">
        <f t="shared" si="321"/>
        <v/>
      </c>
      <c r="D504" s="24" t="str">
        <f t="shared" si="322"/>
        <v/>
      </c>
      <c r="E504" s="24" t="str">
        <f t="shared" si="323"/>
        <v/>
      </c>
      <c r="F504" s="32" t="str">
        <f t="shared" si="324"/>
        <v/>
      </c>
      <c r="G504" s="32" t="str">
        <f t="shared" si="325"/>
        <v/>
      </c>
      <c r="H504" s="32" t="str">
        <f t="shared" ca="1" si="326"/>
        <v/>
      </c>
      <c r="I504" s="32" t="str">
        <f t="shared" ca="1" si="331"/>
        <v/>
      </c>
      <c r="J504" s="32" t="str">
        <f t="shared" si="327"/>
        <v/>
      </c>
      <c r="K504" s="32" t="str">
        <f>IF(ISNUMBER(A504),Profile!$V$25+Profile!$V$24*'Ri-Po'!C504,"")</f>
        <v/>
      </c>
      <c r="L504" s="32" t="str">
        <f t="shared" si="332"/>
        <v/>
      </c>
      <c r="M504" s="32" t="str">
        <f t="shared" si="328"/>
        <v/>
      </c>
      <c r="N504" s="32" t="str">
        <f t="shared" si="329"/>
        <v/>
      </c>
      <c r="O504" s="32" t="str">
        <f t="shared" si="345"/>
        <v/>
      </c>
      <c r="P504" s="32" t="str">
        <f t="shared" si="333"/>
        <v/>
      </c>
      <c r="Q504" s="32" t="str">
        <f t="shared" si="334"/>
        <v/>
      </c>
      <c r="R504" s="32" t="str">
        <f t="shared" si="346"/>
        <v/>
      </c>
      <c r="S504" s="24" t="str">
        <f t="shared" si="347"/>
        <v/>
      </c>
      <c r="T504" s="24" t="str">
        <f t="shared" si="348"/>
        <v/>
      </c>
      <c r="U504" s="24" t="str">
        <f t="shared" si="349"/>
        <v/>
      </c>
      <c r="V504" s="24" t="str">
        <f t="shared" si="350"/>
        <v/>
      </c>
      <c r="W504" s="23" t="str">
        <f t="array" ref="W504">IFERROR(SMALL(IF(S$1:S$1000="BEGIN",ROW(S$1:S$1000)),ROW()-3),"")</f>
        <v/>
      </c>
      <c r="X504" s="23" t="str">
        <f t="array" ref="X504">IFERROR(SMALL(IF(T$1:T$1000="END",ROW(T$1:T$1000)),ROW()-3),"")</f>
        <v/>
      </c>
      <c r="Y504" s="33" t="str">
        <f t="array" ref="Y504">IF(ISNUMBER(W504),MAX(IF((B$4:B$1000&lt;=X504)*(B$4:B$1000&gt;=W504),I$4:I$1000, "")),"")</f>
        <v/>
      </c>
      <c r="Z504" s="33" t="str">
        <f t="shared" si="335"/>
        <v/>
      </c>
      <c r="AA504" s="32" t="str">
        <f t="shared" si="336"/>
        <v/>
      </c>
      <c r="AB504" s="32" t="str">
        <f t="shared" si="337"/>
        <v/>
      </c>
      <c r="AC504" s="32" t="str">
        <f t="shared" si="338"/>
        <v/>
      </c>
      <c r="AD504" s="32" t="str">
        <f t="shared" si="339"/>
        <v/>
      </c>
      <c r="AE504" s="34" t="str">
        <f t="shared" si="340"/>
        <v/>
      </c>
      <c r="AF504" s="32" t="str">
        <f t="shared" si="341"/>
        <v/>
      </c>
      <c r="AG504" s="32" t="str">
        <f t="shared" si="342"/>
        <v/>
      </c>
      <c r="AH504" s="32" t="str">
        <f t="shared" si="343"/>
        <v/>
      </c>
      <c r="AI504" s="35" t="str">
        <f t="shared" si="344"/>
        <v/>
      </c>
      <c r="AJ504" s="23" t="str">
        <f t="array" ref="AJ504">IFERROR(SMALL(IF(U$1:U$1000="BEGIN",ROW(U$1:U$1000)),ROW()-3),"")</f>
        <v/>
      </c>
      <c r="AK504" s="23" t="str">
        <f t="array" ref="AK504">IFERROR(SMALL(IF(V$1:V$1000="END",ROW(V$1:V$1000)),ROW()-3),"")</f>
        <v/>
      </c>
      <c r="AL504" s="24" t="str">
        <f t="array" ref="AL504">IF(AK504="","",MATCH(AM504,L:L,0))</f>
        <v/>
      </c>
      <c r="AM504" s="35">
        <f t="array" ref="AM504">MAX(IF((B$4:B$1000&lt;=AK504)*(B$4:B$1000&gt;=AJ504),L$4:L$1000, ""))</f>
        <v>0</v>
      </c>
      <c r="AN504" s="32" t="str">
        <f t="shared" si="351"/>
        <v/>
      </c>
      <c r="AO504" s="32" t="str">
        <f t="shared" si="352"/>
        <v/>
      </c>
      <c r="AP504" s="32" t="str">
        <f t="shared" si="353"/>
        <v/>
      </c>
      <c r="AQ504" s="32" t="str">
        <f t="shared" si="354"/>
        <v/>
      </c>
      <c r="AR504" s="32" t="str">
        <f t="shared" si="355"/>
        <v/>
      </c>
      <c r="AS504" s="32" t="str">
        <f t="shared" si="356"/>
        <v/>
      </c>
      <c r="AT504" s="32" t="str">
        <f t="shared" si="357"/>
        <v/>
      </c>
      <c r="AU504" s="34" t="str">
        <f t="shared" si="358"/>
        <v/>
      </c>
      <c r="AV504" s="32" t="str">
        <f t="shared" si="359"/>
        <v/>
      </c>
      <c r="AW504" s="32" t="str">
        <f t="shared" si="360"/>
        <v/>
      </c>
      <c r="AX504" s="32" t="str">
        <f t="shared" si="361"/>
        <v/>
      </c>
      <c r="AY504" s="32" t="str">
        <f t="shared" si="362"/>
        <v/>
      </c>
    </row>
    <row r="505" spans="1:51" x14ac:dyDescent="0.25">
      <c r="A505" s="24" t="str">
        <f t="shared" si="320"/>
        <v/>
      </c>
      <c r="B505" s="24" t="str">
        <f t="shared" si="330"/>
        <v/>
      </c>
      <c r="C505" s="32" t="str">
        <f t="shared" si="321"/>
        <v/>
      </c>
      <c r="D505" s="24" t="str">
        <f t="shared" si="322"/>
        <v/>
      </c>
      <c r="E505" s="24" t="str">
        <f t="shared" si="323"/>
        <v/>
      </c>
      <c r="F505" s="32" t="str">
        <f t="shared" si="324"/>
        <v/>
      </c>
      <c r="G505" s="32" t="str">
        <f t="shared" si="325"/>
        <v/>
      </c>
      <c r="H505" s="32" t="str">
        <f t="shared" ca="1" si="326"/>
        <v/>
      </c>
      <c r="I505" s="32" t="str">
        <f t="shared" ca="1" si="331"/>
        <v/>
      </c>
      <c r="J505" s="32" t="str">
        <f t="shared" si="327"/>
        <v/>
      </c>
      <c r="K505" s="32" t="str">
        <f>IF(ISNUMBER(A505),Profile!$V$25+Profile!$V$24*'Ri-Po'!C505,"")</f>
        <v/>
      </c>
      <c r="L505" s="32" t="str">
        <f t="shared" si="332"/>
        <v/>
      </c>
      <c r="M505" s="32" t="str">
        <f t="shared" si="328"/>
        <v/>
      </c>
      <c r="N505" s="32" t="str">
        <f t="shared" si="329"/>
        <v/>
      </c>
      <c r="O505" s="32" t="str">
        <f t="shared" si="345"/>
        <v/>
      </c>
      <c r="P505" s="32" t="str">
        <f t="shared" si="333"/>
        <v/>
      </c>
      <c r="Q505" s="32" t="str">
        <f t="shared" si="334"/>
        <v/>
      </c>
      <c r="R505" s="32" t="str">
        <f t="shared" si="346"/>
        <v/>
      </c>
      <c r="S505" s="24" t="str">
        <f t="shared" si="347"/>
        <v/>
      </c>
      <c r="T505" s="24" t="str">
        <f t="shared" si="348"/>
        <v/>
      </c>
      <c r="U505" s="24" t="str">
        <f t="shared" si="349"/>
        <v/>
      </c>
      <c r="V505" s="24" t="str">
        <f t="shared" si="350"/>
        <v/>
      </c>
      <c r="W505" s="23" t="str">
        <f t="array" ref="W505">IFERROR(SMALL(IF(S$1:S$1000="BEGIN",ROW(S$1:S$1000)),ROW()-3),"")</f>
        <v/>
      </c>
      <c r="X505" s="23" t="str">
        <f t="array" ref="X505">IFERROR(SMALL(IF(T$1:T$1000="END",ROW(T$1:T$1000)),ROW()-3),"")</f>
        <v/>
      </c>
      <c r="Y505" s="33" t="str">
        <f t="array" ref="Y505">IF(ISNUMBER(W505),MAX(IF((B$4:B$1000&lt;=X505)*(B$4:B$1000&gt;=W505),I$4:I$1000, "")),"")</f>
        <v/>
      </c>
      <c r="Z505" s="33" t="str">
        <f t="shared" si="335"/>
        <v/>
      </c>
      <c r="AA505" s="32" t="str">
        <f t="shared" si="336"/>
        <v/>
      </c>
      <c r="AB505" s="32" t="str">
        <f t="shared" si="337"/>
        <v/>
      </c>
      <c r="AC505" s="32" t="str">
        <f t="shared" si="338"/>
        <v/>
      </c>
      <c r="AD505" s="32" t="str">
        <f t="shared" si="339"/>
        <v/>
      </c>
      <c r="AE505" s="34" t="str">
        <f t="shared" si="340"/>
        <v/>
      </c>
      <c r="AF505" s="32" t="str">
        <f t="shared" si="341"/>
        <v/>
      </c>
      <c r="AG505" s="32" t="str">
        <f t="shared" si="342"/>
        <v/>
      </c>
      <c r="AH505" s="32" t="str">
        <f t="shared" si="343"/>
        <v/>
      </c>
      <c r="AI505" s="35" t="str">
        <f t="shared" si="344"/>
        <v/>
      </c>
      <c r="AJ505" s="23" t="str">
        <f t="array" ref="AJ505">IFERROR(SMALL(IF(U$1:U$1000="BEGIN",ROW(U$1:U$1000)),ROW()-3),"")</f>
        <v/>
      </c>
      <c r="AK505" s="23" t="str">
        <f t="array" ref="AK505">IFERROR(SMALL(IF(V$1:V$1000="END",ROW(V$1:V$1000)),ROW()-3),"")</f>
        <v/>
      </c>
      <c r="AL505" s="24" t="str">
        <f t="array" ref="AL505">IF(AK505="","",MATCH(AM505,L:L,0))</f>
        <v/>
      </c>
      <c r="AM505" s="35">
        <f t="array" ref="AM505">MAX(IF((B$4:B$1000&lt;=AK505)*(B$4:B$1000&gt;=AJ505),L$4:L$1000, ""))</f>
        <v>0</v>
      </c>
      <c r="AN505" s="32" t="str">
        <f t="shared" si="351"/>
        <v/>
      </c>
      <c r="AO505" s="32" t="str">
        <f t="shared" si="352"/>
        <v/>
      </c>
      <c r="AP505" s="32" t="str">
        <f t="shared" si="353"/>
        <v/>
      </c>
      <c r="AQ505" s="32" t="str">
        <f t="shared" si="354"/>
        <v/>
      </c>
      <c r="AR505" s="32" t="str">
        <f t="shared" si="355"/>
        <v/>
      </c>
      <c r="AS505" s="32" t="str">
        <f t="shared" si="356"/>
        <v/>
      </c>
      <c r="AT505" s="32" t="str">
        <f t="shared" si="357"/>
        <v/>
      </c>
      <c r="AU505" s="34" t="str">
        <f t="shared" si="358"/>
        <v/>
      </c>
      <c r="AV505" s="32" t="str">
        <f t="shared" si="359"/>
        <v/>
      </c>
      <c r="AW505" s="32" t="str">
        <f t="shared" si="360"/>
        <v/>
      </c>
      <c r="AX505" s="32" t="str">
        <f t="shared" si="361"/>
        <v/>
      </c>
      <c r="AY505" s="32" t="str">
        <f t="shared" si="362"/>
        <v/>
      </c>
    </row>
    <row r="506" spans="1:51" x14ac:dyDescent="0.25">
      <c r="A506" s="24" t="str">
        <f t="shared" si="320"/>
        <v/>
      </c>
      <c r="B506" s="24" t="str">
        <f t="shared" si="330"/>
        <v/>
      </c>
      <c r="C506" s="32" t="str">
        <f t="shared" si="321"/>
        <v/>
      </c>
      <c r="D506" s="24" t="str">
        <f t="shared" si="322"/>
        <v/>
      </c>
      <c r="E506" s="24" t="str">
        <f t="shared" si="323"/>
        <v/>
      </c>
      <c r="F506" s="32" t="str">
        <f t="shared" si="324"/>
        <v/>
      </c>
      <c r="G506" s="32" t="str">
        <f t="shared" si="325"/>
        <v/>
      </c>
      <c r="H506" s="32" t="str">
        <f t="shared" ca="1" si="326"/>
        <v/>
      </c>
      <c r="I506" s="32" t="str">
        <f t="shared" ca="1" si="331"/>
        <v/>
      </c>
      <c r="J506" s="32" t="str">
        <f t="shared" si="327"/>
        <v/>
      </c>
      <c r="K506" s="32" t="str">
        <f>IF(ISNUMBER(A506),Profile!$V$25+Profile!$V$24*'Ri-Po'!C506,"")</f>
        <v/>
      </c>
      <c r="L506" s="32" t="str">
        <f t="shared" si="332"/>
        <v/>
      </c>
      <c r="M506" s="32" t="str">
        <f t="shared" si="328"/>
        <v/>
      </c>
      <c r="N506" s="32" t="str">
        <f t="shared" si="329"/>
        <v/>
      </c>
      <c r="O506" s="32" t="str">
        <f t="shared" si="345"/>
        <v/>
      </c>
      <c r="P506" s="32" t="str">
        <f t="shared" si="333"/>
        <v/>
      </c>
      <c r="Q506" s="32" t="str">
        <f t="shared" si="334"/>
        <v/>
      </c>
      <c r="R506" s="32" t="str">
        <f t="shared" si="346"/>
        <v/>
      </c>
      <c r="S506" s="24" t="str">
        <f t="shared" si="347"/>
        <v/>
      </c>
      <c r="T506" s="24" t="str">
        <f t="shared" si="348"/>
        <v/>
      </c>
      <c r="U506" s="24" t="str">
        <f t="shared" si="349"/>
        <v/>
      </c>
      <c r="V506" s="24" t="str">
        <f t="shared" si="350"/>
        <v/>
      </c>
      <c r="W506" s="23" t="str">
        <f t="array" ref="W506">IFERROR(SMALL(IF(S$1:S$1000="BEGIN",ROW(S$1:S$1000)),ROW()-3),"")</f>
        <v/>
      </c>
      <c r="X506" s="23" t="str">
        <f t="array" ref="X506">IFERROR(SMALL(IF(T$1:T$1000="END",ROW(T$1:T$1000)),ROW()-3),"")</f>
        <v/>
      </c>
      <c r="Y506" s="33" t="str">
        <f t="array" ref="Y506">IF(ISNUMBER(W506),MAX(IF((B$4:B$1000&lt;=X506)*(B$4:B$1000&gt;=W506),I$4:I$1000, "")),"")</f>
        <v/>
      </c>
      <c r="Z506" s="33" t="str">
        <f t="shared" si="335"/>
        <v/>
      </c>
      <c r="AA506" s="32" t="str">
        <f t="shared" si="336"/>
        <v/>
      </c>
      <c r="AB506" s="32" t="str">
        <f t="shared" si="337"/>
        <v/>
      </c>
      <c r="AC506" s="32" t="str">
        <f t="shared" si="338"/>
        <v/>
      </c>
      <c r="AD506" s="32" t="str">
        <f t="shared" si="339"/>
        <v/>
      </c>
      <c r="AE506" s="34" t="str">
        <f t="shared" si="340"/>
        <v/>
      </c>
      <c r="AF506" s="32" t="str">
        <f t="shared" si="341"/>
        <v/>
      </c>
      <c r="AG506" s="32" t="str">
        <f t="shared" si="342"/>
        <v/>
      </c>
      <c r="AH506" s="32" t="str">
        <f t="shared" si="343"/>
        <v/>
      </c>
      <c r="AI506" s="35" t="str">
        <f t="shared" si="344"/>
        <v/>
      </c>
      <c r="AJ506" s="23" t="str">
        <f t="array" ref="AJ506">IFERROR(SMALL(IF(U$1:U$1000="BEGIN",ROW(U$1:U$1000)),ROW()-3),"")</f>
        <v/>
      </c>
      <c r="AK506" s="23" t="str">
        <f t="array" ref="AK506">IFERROR(SMALL(IF(V$1:V$1000="END",ROW(V$1:V$1000)),ROW()-3),"")</f>
        <v/>
      </c>
      <c r="AL506" s="24" t="str">
        <f t="array" ref="AL506">IF(AK506="","",MATCH(AM506,L:L,0))</f>
        <v/>
      </c>
      <c r="AM506" s="35">
        <f t="array" ref="AM506">MAX(IF((B$4:B$1000&lt;=AK506)*(B$4:B$1000&gt;=AJ506),L$4:L$1000, ""))</f>
        <v>0</v>
      </c>
      <c r="AN506" s="32" t="str">
        <f t="shared" si="351"/>
        <v/>
      </c>
      <c r="AO506" s="32" t="str">
        <f t="shared" si="352"/>
        <v/>
      </c>
      <c r="AP506" s="32" t="str">
        <f t="shared" si="353"/>
        <v/>
      </c>
      <c r="AQ506" s="32" t="str">
        <f t="shared" si="354"/>
        <v/>
      </c>
      <c r="AR506" s="32" t="str">
        <f t="shared" si="355"/>
        <v/>
      </c>
      <c r="AS506" s="32" t="str">
        <f t="shared" si="356"/>
        <v/>
      </c>
      <c r="AT506" s="32" t="str">
        <f t="shared" si="357"/>
        <v/>
      </c>
      <c r="AU506" s="34" t="str">
        <f t="shared" si="358"/>
        <v/>
      </c>
      <c r="AV506" s="32" t="str">
        <f t="shared" si="359"/>
        <v/>
      </c>
      <c r="AW506" s="32" t="str">
        <f t="shared" si="360"/>
        <v/>
      </c>
      <c r="AX506" s="32" t="str">
        <f t="shared" si="361"/>
        <v/>
      </c>
      <c r="AY506" s="32" t="str">
        <f t="shared" si="362"/>
        <v/>
      </c>
    </row>
    <row r="507" spans="1:51" x14ac:dyDescent="0.25">
      <c r="A507" s="24" t="str">
        <f t="shared" si="320"/>
        <v/>
      </c>
      <c r="B507" s="24" t="str">
        <f t="shared" si="330"/>
        <v/>
      </c>
      <c r="C507" s="32" t="str">
        <f t="shared" si="321"/>
        <v/>
      </c>
      <c r="D507" s="24" t="str">
        <f t="shared" si="322"/>
        <v/>
      </c>
      <c r="E507" s="24" t="str">
        <f t="shared" si="323"/>
        <v/>
      </c>
      <c r="F507" s="32" t="str">
        <f t="shared" si="324"/>
        <v/>
      </c>
      <c r="G507" s="32" t="str">
        <f t="shared" si="325"/>
        <v/>
      </c>
      <c r="H507" s="32" t="str">
        <f t="shared" ca="1" si="326"/>
        <v/>
      </c>
      <c r="I507" s="32" t="str">
        <f t="shared" ca="1" si="331"/>
        <v/>
      </c>
      <c r="J507" s="32" t="str">
        <f t="shared" si="327"/>
        <v/>
      </c>
      <c r="K507" s="32" t="str">
        <f>IF(ISNUMBER(A507),Profile!$V$25+Profile!$V$24*'Ri-Po'!C507,"")</f>
        <v/>
      </c>
      <c r="L507" s="32" t="str">
        <f t="shared" si="332"/>
        <v/>
      </c>
      <c r="M507" s="32" t="str">
        <f t="shared" si="328"/>
        <v/>
      </c>
      <c r="N507" s="32" t="str">
        <f t="shared" si="329"/>
        <v/>
      </c>
      <c r="O507" s="32" t="str">
        <f t="shared" si="345"/>
        <v/>
      </c>
      <c r="P507" s="32" t="str">
        <f t="shared" si="333"/>
        <v/>
      </c>
      <c r="Q507" s="32" t="str">
        <f t="shared" si="334"/>
        <v/>
      </c>
      <c r="R507" s="32" t="str">
        <f t="shared" si="346"/>
        <v/>
      </c>
      <c r="S507" s="24" t="str">
        <f t="shared" si="347"/>
        <v/>
      </c>
      <c r="T507" s="24" t="str">
        <f t="shared" si="348"/>
        <v/>
      </c>
      <c r="U507" s="24" t="str">
        <f t="shared" si="349"/>
        <v/>
      </c>
      <c r="V507" s="24" t="str">
        <f t="shared" si="350"/>
        <v/>
      </c>
      <c r="W507" s="23" t="str">
        <f t="array" ref="W507">IFERROR(SMALL(IF(S$1:S$1000="BEGIN",ROW(S$1:S$1000)),ROW()-3),"")</f>
        <v/>
      </c>
      <c r="X507" s="23" t="str">
        <f t="array" ref="X507">IFERROR(SMALL(IF(T$1:T$1000="END",ROW(T$1:T$1000)),ROW()-3),"")</f>
        <v/>
      </c>
      <c r="Y507" s="33" t="str">
        <f t="array" ref="Y507">IF(ISNUMBER(W507),MAX(IF((B$4:B$1000&lt;=X507)*(B$4:B$1000&gt;=W507),I$4:I$1000, "")),"")</f>
        <v/>
      </c>
      <c r="Z507" s="33" t="str">
        <f t="shared" si="335"/>
        <v/>
      </c>
      <c r="AA507" s="32" t="str">
        <f t="shared" si="336"/>
        <v/>
      </c>
      <c r="AB507" s="32" t="str">
        <f t="shared" si="337"/>
        <v/>
      </c>
      <c r="AC507" s="32" t="str">
        <f t="shared" si="338"/>
        <v/>
      </c>
      <c r="AD507" s="32" t="str">
        <f t="shared" si="339"/>
        <v/>
      </c>
      <c r="AE507" s="34" t="str">
        <f t="shared" si="340"/>
        <v/>
      </c>
      <c r="AF507" s="32" t="str">
        <f t="shared" si="341"/>
        <v/>
      </c>
      <c r="AG507" s="32" t="str">
        <f t="shared" si="342"/>
        <v/>
      </c>
      <c r="AH507" s="32" t="str">
        <f t="shared" si="343"/>
        <v/>
      </c>
      <c r="AI507" s="35" t="str">
        <f t="shared" si="344"/>
        <v/>
      </c>
      <c r="AJ507" s="23" t="str">
        <f t="array" ref="AJ507">IFERROR(SMALL(IF(U$1:U$1000="BEGIN",ROW(U$1:U$1000)),ROW()-3),"")</f>
        <v/>
      </c>
      <c r="AK507" s="23" t="str">
        <f t="array" ref="AK507">IFERROR(SMALL(IF(V$1:V$1000="END",ROW(V$1:V$1000)),ROW()-3),"")</f>
        <v/>
      </c>
      <c r="AL507" s="24" t="str">
        <f t="array" ref="AL507">IF(AK507="","",MATCH(AM507,L:L,0))</f>
        <v/>
      </c>
      <c r="AM507" s="35">
        <f t="array" ref="AM507">MAX(IF((B$4:B$1000&lt;=AK507)*(B$4:B$1000&gt;=AJ507),L$4:L$1000, ""))</f>
        <v>0</v>
      </c>
      <c r="AN507" s="32" t="str">
        <f t="shared" si="351"/>
        <v/>
      </c>
      <c r="AO507" s="32" t="str">
        <f t="shared" si="352"/>
        <v/>
      </c>
      <c r="AP507" s="32" t="str">
        <f t="shared" si="353"/>
        <v/>
      </c>
      <c r="AQ507" s="32" t="str">
        <f t="shared" si="354"/>
        <v/>
      </c>
      <c r="AR507" s="32" t="str">
        <f t="shared" si="355"/>
        <v/>
      </c>
      <c r="AS507" s="32" t="str">
        <f t="shared" si="356"/>
        <v/>
      </c>
      <c r="AT507" s="32" t="str">
        <f t="shared" si="357"/>
        <v/>
      </c>
      <c r="AU507" s="34" t="str">
        <f t="shared" si="358"/>
        <v/>
      </c>
      <c r="AV507" s="32" t="str">
        <f t="shared" si="359"/>
        <v/>
      </c>
      <c r="AW507" s="32" t="str">
        <f t="shared" si="360"/>
        <v/>
      </c>
      <c r="AX507" s="32" t="str">
        <f t="shared" si="361"/>
        <v/>
      </c>
      <c r="AY507" s="32" t="str">
        <f t="shared" si="362"/>
        <v/>
      </c>
    </row>
    <row r="508" spans="1:51" x14ac:dyDescent="0.25">
      <c r="A508" s="24" t="str">
        <f t="shared" si="320"/>
        <v/>
      </c>
      <c r="B508" s="24" t="str">
        <f t="shared" si="330"/>
        <v/>
      </c>
      <c r="C508" s="32" t="str">
        <f t="shared" si="321"/>
        <v/>
      </c>
      <c r="D508" s="24" t="str">
        <f t="shared" si="322"/>
        <v/>
      </c>
      <c r="E508" s="24" t="str">
        <f t="shared" si="323"/>
        <v/>
      </c>
      <c r="F508" s="32" t="str">
        <f t="shared" si="324"/>
        <v/>
      </c>
      <c r="G508" s="32" t="str">
        <f t="shared" si="325"/>
        <v/>
      </c>
      <c r="H508" s="32" t="str">
        <f t="shared" ca="1" si="326"/>
        <v/>
      </c>
      <c r="I508" s="32" t="str">
        <f t="shared" ca="1" si="331"/>
        <v/>
      </c>
      <c r="J508" s="32" t="str">
        <f t="shared" si="327"/>
        <v/>
      </c>
      <c r="K508" s="32" t="str">
        <f>IF(ISNUMBER(A508),Profile!$V$25+Profile!$V$24*'Ri-Po'!C508,"")</f>
        <v/>
      </c>
      <c r="L508" s="32" t="str">
        <f t="shared" si="332"/>
        <v/>
      </c>
      <c r="M508" s="32" t="str">
        <f t="shared" si="328"/>
        <v/>
      </c>
      <c r="N508" s="32" t="str">
        <f t="shared" si="329"/>
        <v/>
      </c>
      <c r="O508" s="32" t="str">
        <f t="shared" si="345"/>
        <v/>
      </c>
      <c r="P508" s="32" t="str">
        <f t="shared" si="333"/>
        <v/>
      </c>
      <c r="Q508" s="32" t="str">
        <f t="shared" si="334"/>
        <v/>
      </c>
      <c r="R508" s="32" t="str">
        <f t="shared" si="346"/>
        <v/>
      </c>
      <c r="S508" s="24" t="str">
        <f t="shared" si="347"/>
        <v/>
      </c>
      <c r="T508" s="24" t="str">
        <f t="shared" si="348"/>
        <v/>
      </c>
      <c r="U508" s="24" t="str">
        <f t="shared" si="349"/>
        <v/>
      </c>
      <c r="V508" s="24" t="str">
        <f t="shared" si="350"/>
        <v/>
      </c>
      <c r="W508" s="23" t="str">
        <f t="array" ref="W508">IFERROR(SMALL(IF(S$1:S$1000="BEGIN",ROW(S$1:S$1000)),ROW()-3),"")</f>
        <v/>
      </c>
      <c r="X508" s="23" t="str">
        <f t="array" ref="X508">IFERROR(SMALL(IF(T$1:T$1000="END",ROW(T$1:T$1000)),ROW()-3),"")</f>
        <v/>
      </c>
      <c r="Y508" s="33" t="str">
        <f t="array" ref="Y508">IF(ISNUMBER(W508),MAX(IF((B$4:B$1000&lt;=X508)*(B$4:B$1000&gt;=W508),I$4:I$1000, "")),"")</f>
        <v/>
      </c>
      <c r="Z508" s="33" t="str">
        <f t="shared" si="335"/>
        <v/>
      </c>
      <c r="AA508" s="32" t="str">
        <f t="shared" si="336"/>
        <v/>
      </c>
      <c r="AB508" s="32" t="str">
        <f t="shared" si="337"/>
        <v/>
      </c>
      <c r="AC508" s="32" t="str">
        <f t="shared" si="338"/>
        <v/>
      </c>
      <c r="AD508" s="32" t="str">
        <f t="shared" si="339"/>
        <v/>
      </c>
      <c r="AE508" s="34" t="str">
        <f t="shared" si="340"/>
        <v/>
      </c>
      <c r="AF508" s="32" t="str">
        <f t="shared" si="341"/>
        <v/>
      </c>
      <c r="AG508" s="32" t="str">
        <f t="shared" si="342"/>
        <v/>
      </c>
      <c r="AH508" s="32" t="str">
        <f t="shared" si="343"/>
        <v/>
      </c>
      <c r="AI508" s="35" t="str">
        <f t="shared" si="344"/>
        <v/>
      </c>
      <c r="AJ508" s="23" t="str">
        <f t="array" ref="AJ508">IFERROR(SMALL(IF(U$1:U$1000="BEGIN",ROW(U$1:U$1000)),ROW()-3),"")</f>
        <v/>
      </c>
      <c r="AK508" s="23" t="str">
        <f t="array" ref="AK508">IFERROR(SMALL(IF(V$1:V$1000="END",ROW(V$1:V$1000)),ROW()-3),"")</f>
        <v/>
      </c>
      <c r="AL508" s="24" t="str">
        <f t="array" ref="AL508">IF(AK508="","",MATCH(AM508,L:L,0))</f>
        <v/>
      </c>
      <c r="AM508" s="35">
        <f t="array" ref="AM508">MAX(IF((B$4:B$1000&lt;=AK508)*(B$4:B$1000&gt;=AJ508),L$4:L$1000, ""))</f>
        <v>0</v>
      </c>
      <c r="AN508" s="32" t="str">
        <f t="shared" si="351"/>
        <v/>
      </c>
      <c r="AO508" s="32" t="str">
        <f t="shared" si="352"/>
        <v/>
      </c>
      <c r="AP508" s="32" t="str">
        <f t="shared" si="353"/>
        <v/>
      </c>
      <c r="AQ508" s="32" t="str">
        <f t="shared" si="354"/>
        <v/>
      </c>
      <c r="AR508" s="32" t="str">
        <f t="shared" si="355"/>
        <v/>
      </c>
      <c r="AS508" s="32" t="str">
        <f t="shared" si="356"/>
        <v/>
      </c>
      <c r="AT508" s="32" t="str">
        <f t="shared" si="357"/>
        <v/>
      </c>
      <c r="AU508" s="34" t="str">
        <f t="shared" si="358"/>
        <v/>
      </c>
      <c r="AV508" s="32" t="str">
        <f t="shared" si="359"/>
        <v/>
      </c>
      <c r="AW508" s="32" t="str">
        <f t="shared" si="360"/>
        <v/>
      </c>
      <c r="AX508" s="32" t="str">
        <f t="shared" si="361"/>
        <v/>
      </c>
      <c r="AY508" s="32" t="str">
        <f t="shared" si="362"/>
        <v/>
      </c>
    </row>
    <row r="509" spans="1:51" x14ac:dyDescent="0.25">
      <c r="A509" s="24" t="str">
        <f t="shared" si="320"/>
        <v/>
      </c>
      <c r="B509" s="24" t="str">
        <f t="shared" si="330"/>
        <v/>
      </c>
      <c r="C509" s="32" t="str">
        <f t="shared" si="321"/>
        <v/>
      </c>
      <c r="D509" s="24" t="str">
        <f t="shared" si="322"/>
        <v/>
      </c>
      <c r="E509" s="24" t="str">
        <f t="shared" si="323"/>
        <v/>
      </c>
      <c r="F509" s="32" t="str">
        <f t="shared" si="324"/>
        <v/>
      </c>
      <c r="G509" s="32" t="str">
        <f t="shared" si="325"/>
        <v/>
      </c>
      <c r="H509" s="32" t="str">
        <f t="shared" ca="1" si="326"/>
        <v/>
      </c>
      <c r="I509" s="32" t="str">
        <f t="shared" ca="1" si="331"/>
        <v/>
      </c>
      <c r="J509" s="32" t="str">
        <f t="shared" si="327"/>
        <v/>
      </c>
      <c r="K509" s="32" t="str">
        <f>IF(ISNUMBER(A509),Profile!$V$25+Profile!$V$24*'Ri-Po'!C509,"")</f>
        <v/>
      </c>
      <c r="L509" s="32" t="str">
        <f t="shared" si="332"/>
        <v/>
      </c>
      <c r="M509" s="32" t="str">
        <f t="shared" si="328"/>
        <v/>
      </c>
      <c r="N509" s="32" t="str">
        <f t="shared" si="329"/>
        <v/>
      </c>
      <c r="O509" s="32" t="str">
        <f t="shared" si="345"/>
        <v/>
      </c>
      <c r="P509" s="32" t="str">
        <f t="shared" si="333"/>
        <v/>
      </c>
      <c r="Q509" s="32" t="str">
        <f t="shared" si="334"/>
        <v/>
      </c>
      <c r="R509" s="32" t="str">
        <f t="shared" si="346"/>
        <v/>
      </c>
      <c r="S509" s="24" t="str">
        <f t="shared" si="347"/>
        <v/>
      </c>
      <c r="T509" s="24" t="str">
        <f t="shared" si="348"/>
        <v/>
      </c>
      <c r="U509" s="24" t="str">
        <f t="shared" si="349"/>
        <v/>
      </c>
      <c r="V509" s="24" t="str">
        <f t="shared" si="350"/>
        <v/>
      </c>
      <c r="W509" s="23" t="str">
        <f t="array" ref="W509">IFERROR(SMALL(IF(S$1:S$1000="BEGIN",ROW(S$1:S$1000)),ROW()-3),"")</f>
        <v/>
      </c>
      <c r="X509" s="23" t="str">
        <f t="array" ref="X509">IFERROR(SMALL(IF(T$1:T$1000="END",ROW(T$1:T$1000)),ROW()-3),"")</f>
        <v/>
      </c>
      <c r="Y509" s="33" t="str">
        <f t="array" ref="Y509">IF(ISNUMBER(W509),MAX(IF((B$4:B$1000&lt;=X509)*(B$4:B$1000&gt;=W509),I$4:I$1000, "")),"")</f>
        <v/>
      </c>
      <c r="Z509" s="33" t="str">
        <f t="shared" si="335"/>
        <v/>
      </c>
      <c r="AA509" s="32" t="str">
        <f t="shared" si="336"/>
        <v/>
      </c>
      <c r="AB509" s="32" t="str">
        <f t="shared" si="337"/>
        <v/>
      </c>
      <c r="AC509" s="32" t="str">
        <f t="shared" si="338"/>
        <v/>
      </c>
      <c r="AD509" s="32" t="str">
        <f t="shared" si="339"/>
        <v/>
      </c>
      <c r="AE509" s="34" t="str">
        <f t="shared" si="340"/>
        <v/>
      </c>
      <c r="AF509" s="32" t="str">
        <f t="shared" si="341"/>
        <v/>
      </c>
      <c r="AG509" s="32" t="str">
        <f t="shared" si="342"/>
        <v/>
      </c>
      <c r="AH509" s="32" t="str">
        <f t="shared" si="343"/>
        <v/>
      </c>
      <c r="AI509" s="35" t="str">
        <f t="shared" si="344"/>
        <v/>
      </c>
      <c r="AJ509" s="23" t="str">
        <f t="array" ref="AJ509">IFERROR(SMALL(IF(U$1:U$1000="BEGIN",ROW(U$1:U$1000)),ROW()-3),"")</f>
        <v/>
      </c>
      <c r="AK509" s="23" t="str">
        <f t="array" ref="AK509">IFERROR(SMALL(IF(V$1:V$1000="END",ROW(V$1:V$1000)),ROW()-3),"")</f>
        <v/>
      </c>
      <c r="AL509" s="24" t="str">
        <f t="array" ref="AL509">IF(AK509="","",MATCH(AM509,L:L,0))</f>
        <v/>
      </c>
      <c r="AM509" s="35">
        <f t="array" ref="AM509">MAX(IF((B$4:B$1000&lt;=AK509)*(B$4:B$1000&gt;=AJ509),L$4:L$1000, ""))</f>
        <v>0</v>
      </c>
      <c r="AN509" s="32" t="str">
        <f t="shared" si="351"/>
        <v/>
      </c>
      <c r="AO509" s="32" t="str">
        <f t="shared" si="352"/>
        <v/>
      </c>
      <c r="AP509" s="32" t="str">
        <f t="shared" si="353"/>
        <v/>
      </c>
      <c r="AQ509" s="32" t="str">
        <f t="shared" si="354"/>
        <v/>
      </c>
      <c r="AR509" s="32" t="str">
        <f t="shared" si="355"/>
        <v/>
      </c>
      <c r="AS509" s="32" t="str">
        <f t="shared" si="356"/>
        <v/>
      </c>
      <c r="AT509" s="32" t="str">
        <f t="shared" si="357"/>
        <v/>
      </c>
      <c r="AU509" s="34" t="str">
        <f t="shared" si="358"/>
        <v/>
      </c>
      <c r="AV509" s="32" t="str">
        <f t="shared" si="359"/>
        <v/>
      </c>
      <c r="AW509" s="32" t="str">
        <f t="shared" si="360"/>
        <v/>
      </c>
      <c r="AX509" s="32" t="str">
        <f t="shared" si="361"/>
        <v/>
      </c>
      <c r="AY509" s="32" t="str">
        <f t="shared" si="362"/>
        <v/>
      </c>
    </row>
    <row r="510" spans="1:51" x14ac:dyDescent="0.25">
      <c r="A510" s="24" t="str">
        <f t="shared" si="320"/>
        <v/>
      </c>
      <c r="B510" s="24" t="str">
        <f t="shared" si="330"/>
        <v/>
      </c>
      <c r="C510" s="32" t="str">
        <f t="shared" si="321"/>
        <v/>
      </c>
      <c r="D510" s="24" t="str">
        <f t="shared" si="322"/>
        <v/>
      </c>
      <c r="E510" s="24" t="str">
        <f t="shared" si="323"/>
        <v/>
      </c>
      <c r="F510" s="32" t="str">
        <f t="shared" si="324"/>
        <v/>
      </c>
      <c r="G510" s="32" t="str">
        <f t="shared" si="325"/>
        <v/>
      </c>
      <c r="H510" s="32" t="str">
        <f t="shared" ca="1" si="326"/>
        <v/>
      </c>
      <c r="I510" s="32" t="str">
        <f t="shared" ca="1" si="331"/>
        <v/>
      </c>
      <c r="J510" s="32" t="str">
        <f t="shared" si="327"/>
        <v/>
      </c>
      <c r="K510" s="32" t="str">
        <f>IF(ISNUMBER(A510),Profile!$V$25+Profile!$V$24*'Ri-Po'!C510,"")</f>
        <v/>
      </c>
      <c r="L510" s="32" t="str">
        <f t="shared" si="332"/>
        <v/>
      </c>
      <c r="M510" s="32" t="str">
        <f t="shared" si="328"/>
        <v/>
      </c>
      <c r="N510" s="32" t="str">
        <f t="shared" si="329"/>
        <v/>
      </c>
      <c r="O510" s="32" t="str">
        <f t="shared" si="345"/>
        <v/>
      </c>
      <c r="P510" s="32" t="str">
        <f t="shared" si="333"/>
        <v/>
      </c>
      <c r="Q510" s="32" t="str">
        <f t="shared" si="334"/>
        <v/>
      </c>
      <c r="R510" s="32" t="str">
        <f t="shared" si="346"/>
        <v/>
      </c>
      <c r="S510" s="24" t="str">
        <f t="shared" si="347"/>
        <v/>
      </c>
      <c r="T510" s="24" t="str">
        <f t="shared" si="348"/>
        <v/>
      </c>
      <c r="U510" s="24" t="str">
        <f t="shared" si="349"/>
        <v/>
      </c>
      <c r="V510" s="24" t="str">
        <f t="shared" si="350"/>
        <v/>
      </c>
      <c r="W510" s="23" t="str">
        <f t="array" ref="W510">IFERROR(SMALL(IF(S$1:S$1000="BEGIN",ROW(S$1:S$1000)),ROW()-3),"")</f>
        <v/>
      </c>
      <c r="X510" s="23" t="str">
        <f t="array" ref="X510">IFERROR(SMALL(IF(T$1:T$1000="END",ROW(T$1:T$1000)),ROW()-3),"")</f>
        <v/>
      </c>
      <c r="Y510" s="33" t="str">
        <f t="array" ref="Y510">IF(ISNUMBER(W510),MAX(IF((B$4:B$1000&lt;=X510)*(B$4:B$1000&gt;=W510),I$4:I$1000, "")),"")</f>
        <v/>
      </c>
      <c r="Z510" s="33" t="str">
        <f t="shared" si="335"/>
        <v/>
      </c>
      <c r="AA510" s="32" t="str">
        <f t="shared" si="336"/>
        <v/>
      </c>
      <c r="AB510" s="32" t="str">
        <f t="shared" si="337"/>
        <v/>
      </c>
      <c r="AC510" s="32" t="str">
        <f t="shared" si="338"/>
        <v/>
      </c>
      <c r="AD510" s="32" t="str">
        <f t="shared" si="339"/>
        <v/>
      </c>
      <c r="AE510" s="34" t="str">
        <f t="shared" si="340"/>
        <v/>
      </c>
      <c r="AF510" s="32" t="str">
        <f t="shared" si="341"/>
        <v/>
      </c>
      <c r="AG510" s="32" t="str">
        <f t="shared" si="342"/>
        <v/>
      </c>
      <c r="AH510" s="32" t="str">
        <f t="shared" si="343"/>
        <v/>
      </c>
      <c r="AI510" s="35" t="str">
        <f t="shared" si="344"/>
        <v/>
      </c>
      <c r="AJ510" s="23" t="str">
        <f t="array" ref="AJ510">IFERROR(SMALL(IF(U$1:U$1000="BEGIN",ROW(U$1:U$1000)),ROW()-3),"")</f>
        <v/>
      </c>
      <c r="AK510" s="23" t="str">
        <f t="array" ref="AK510">IFERROR(SMALL(IF(V$1:V$1000="END",ROW(V$1:V$1000)),ROW()-3),"")</f>
        <v/>
      </c>
      <c r="AL510" s="24" t="str">
        <f t="array" ref="AL510">IF(AK510="","",MATCH(AM510,L:L,0))</f>
        <v/>
      </c>
      <c r="AM510" s="35">
        <f t="array" ref="AM510">MAX(IF((B$4:B$1000&lt;=AK510)*(B$4:B$1000&gt;=AJ510),L$4:L$1000, ""))</f>
        <v>0</v>
      </c>
      <c r="AN510" s="32" t="str">
        <f t="shared" si="351"/>
        <v/>
      </c>
      <c r="AO510" s="32" t="str">
        <f t="shared" si="352"/>
        <v/>
      </c>
      <c r="AP510" s="32" t="str">
        <f t="shared" si="353"/>
        <v/>
      </c>
      <c r="AQ510" s="32" t="str">
        <f t="shared" si="354"/>
        <v/>
      </c>
      <c r="AR510" s="32" t="str">
        <f t="shared" si="355"/>
        <v/>
      </c>
      <c r="AS510" s="32" t="str">
        <f t="shared" si="356"/>
        <v/>
      </c>
      <c r="AT510" s="32" t="str">
        <f t="shared" si="357"/>
        <v/>
      </c>
      <c r="AU510" s="34" t="str">
        <f t="shared" si="358"/>
        <v/>
      </c>
      <c r="AV510" s="32" t="str">
        <f t="shared" si="359"/>
        <v/>
      </c>
      <c r="AW510" s="32" t="str">
        <f t="shared" si="360"/>
        <v/>
      </c>
      <c r="AX510" s="32" t="str">
        <f t="shared" si="361"/>
        <v/>
      </c>
      <c r="AY510" s="32" t="str">
        <f t="shared" si="362"/>
        <v/>
      </c>
    </row>
    <row r="511" spans="1:51" x14ac:dyDescent="0.25">
      <c r="A511" s="24" t="str">
        <f t="shared" si="320"/>
        <v/>
      </c>
      <c r="B511" s="24" t="str">
        <f t="shared" si="330"/>
        <v/>
      </c>
      <c r="C511" s="32" t="str">
        <f t="shared" si="321"/>
        <v/>
      </c>
      <c r="D511" s="24" t="str">
        <f t="shared" si="322"/>
        <v/>
      </c>
      <c r="E511" s="24" t="str">
        <f t="shared" si="323"/>
        <v/>
      </c>
      <c r="F511" s="32" t="str">
        <f t="shared" si="324"/>
        <v/>
      </c>
      <c r="G511" s="32" t="str">
        <f t="shared" si="325"/>
        <v/>
      </c>
      <c r="H511" s="32" t="str">
        <f t="shared" ca="1" si="326"/>
        <v/>
      </c>
      <c r="I511" s="32" t="str">
        <f t="shared" ca="1" si="331"/>
        <v/>
      </c>
      <c r="J511" s="32" t="str">
        <f t="shared" si="327"/>
        <v/>
      </c>
      <c r="K511" s="32" t="str">
        <f>IF(ISNUMBER(A511),Profile!$V$25+Profile!$V$24*'Ri-Po'!C511,"")</f>
        <v/>
      </c>
      <c r="L511" s="32" t="str">
        <f t="shared" si="332"/>
        <v/>
      </c>
      <c r="M511" s="32" t="str">
        <f t="shared" si="328"/>
        <v/>
      </c>
      <c r="N511" s="32" t="str">
        <f t="shared" si="329"/>
        <v/>
      </c>
      <c r="O511" s="32" t="str">
        <f t="shared" si="345"/>
        <v/>
      </c>
      <c r="P511" s="32" t="str">
        <f t="shared" si="333"/>
        <v/>
      </c>
      <c r="Q511" s="32" t="str">
        <f t="shared" si="334"/>
        <v/>
      </c>
      <c r="R511" s="32" t="str">
        <f t="shared" si="346"/>
        <v/>
      </c>
      <c r="S511" s="24" t="str">
        <f t="shared" si="347"/>
        <v/>
      </c>
      <c r="T511" s="24" t="str">
        <f t="shared" si="348"/>
        <v/>
      </c>
      <c r="U511" s="24" t="str">
        <f t="shared" si="349"/>
        <v/>
      </c>
      <c r="V511" s="24" t="str">
        <f t="shared" si="350"/>
        <v/>
      </c>
      <c r="W511" s="23" t="str">
        <f t="array" ref="W511">IFERROR(SMALL(IF(S$1:S$1000="BEGIN",ROW(S$1:S$1000)),ROW()-3),"")</f>
        <v/>
      </c>
      <c r="X511" s="23" t="str">
        <f t="array" ref="X511">IFERROR(SMALL(IF(T$1:T$1000="END",ROW(T$1:T$1000)),ROW()-3),"")</f>
        <v/>
      </c>
      <c r="Y511" s="33" t="str">
        <f t="array" ref="Y511">IF(ISNUMBER(W511),MAX(IF((B$4:B$1000&lt;=X511)*(B$4:B$1000&gt;=W511),I$4:I$1000, "")),"")</f>
        <v/>
      </c>
      <c r="Z511" s="33" t="str">
        <f t="shared" si="335"/>
        <v/>
      </c>
      <c r="AA511" s="32" t="str">
        <f t="shared" si="336"/>
        <v/>
      </c>
      <c r="AB511" s="32" t="str">
        <f t="shared" si="337"/>
        <v/>
      </c>
      <c r="AC511" s="32" t="str">
        <f t="shared" si="338"/>
        <v/>
      </c>
      <c r="AD511" s="32" t="str">
        <f t="shared" si="339"/>
        <v/>
      </c>
      <c r="AE511" s="34" t="str">
        <f t="shared" si="340"/>
        <v/>
      </c>
      <c r="AF511" s="32" t="str">
        <f t="shared" si="341"/>
        <v/>
      </c>
      <c r="AG511" s="32" t="str">
        <f t="shared" si="342"/>
        <v/>
      </c>
      <c r="AH511" s="32" t="str">
        <f t="shared" si="343"/>
        <v/>
      </c>
      <c r="AI511" s="35" t="str">
        <f t="shared" si="344"/>
        <v/>
      </c>
      <c r="AJ511" s="23" t="str">
        <f t="array" ref="AJ511">IFERROR(SMALL(IF(U$1:U$1000="BEGIN",ROW(U$1:U$1000)),ROW()-3),"")</f>
        <v/>
      </c>
      <c r="AK511" s="23" t="str">
        <f t="array" ref="AK511">IFERROR(SMALL(IF(V$1:V$1000="END",ROW(V$1:V$1000)),ROW()-3),"")</f>
        <v/>
      </c>
      <c r="AL511" s="24" t="str">
        <f t="array" ref="AL511">IF(AK511="","",MATCH(AM511,L:L,0))</f>
        <v/>
      </c>
      <c r="AM511" s="35">
        <f t="array" ref="AM511">MAX(IF((B$4:B$1000&lt;=AK511)*(B$4:B$1000&gt;=AJ511),L$4:L$1000, ""))</f>
        <v>0</v>
      </c>
      <c r="AN511" s="32" t="str">
        <f t="shared" si="351"/>
        <v/>
      </c>
      <c r="AO511" s="32" t="str">
        <f t="shared" si="352"/>
        <v/>
      </c>
      <c r="AP511" s="32" t="str">
        <f t="shared" si="353"/>
        <v/>
      </c>
      <c r="AQ511" s="32" t="str">
        <f t="shared" si="354"/>
        <v/>
      </c>
      <c r="AR511" s="32" t="str">
        <f t="shared" si="355"/>
        <v/>
      </c>
      <c r="AS511" s="32" t="str">
        <f t="shared" si="356"/>
        <v/>
      </c>
      <c r="AT511" s="32" t="str">
        <f t="shared" si="357"/>
        <v/>
      </c>
      <c r="AU511" s="34" t="str">
        <f t="shared" si="358"/>
        <v/>
      </c>
      <c r="AV511" s="32" t="str">
        <f t="shared" si="359"/>
        <v/>
      </c>
      <c r="AW511" s="32" t="str">
        <f t="shared" si="360"/>
        <v/>
      </c>
      <c r="AX511" s="32" t="str">
        <f t="shared" si="361"/>
        <v/>
      </c>
      <c r="AY511" s="32" t="str">
        <f t="shared" si="362"/>
        <v/>
      </c>
    </row>
    <row r="512" spans="1:51" x14ac:dyDescent="0.25">
      <c r="A512" s="24" t="str">
        <f t="shared" si="320"/>
        <v/>
      </c>
      <c r="B512" s="24" t="str">
        <f t="shared" si="330"/>
        <v/>
      </c>
      <c r="C512" s="32" t="str">
        <f t="shared" si="321"/>
        <v/>
      </c>
      <c r="D512" s="24" t="str">
        <f t="shared" si="322"/>
        <v/>
      </c>
      <c r="E512" s="24" t="str">
        <f t="shared" si="323"/>
        <v/>
      </c>
      <c r="F512" s="32" t="str">
        <f t="shared" si="324"/>
        <v/>
      </c>
      <c r="G512" s="32" t="str">
        <f t="shared" si="325"/>
        <v/>
      </c>
      <c r="H512" s="32" t="str">
        <f t="shared" ca="1" si="326"/>
        <v/>
      </c>
      <c r="I512" s="32" t="str">
        <f t="shared" ca="1" si="331"/>
        <v/>
      </c>
      <c r="J512" s="32" t="str">
        <f t="shared" si="327"/>
        <v/>
      </c>
      <c r="K512" s="32" t="str">
        <f>IF(ISNUMBER(A512),Profile!$V$25+Profile!$V$24*'Ri-Po'!C512,"")</f>
        <v/>
      </c>
      <c r="L512" s="32" t="str">
        <f t="shared" si="332"/>
        <v/>
      </c>
      <c r="M512" s="32" t="str">
        <f t="shared" si="328"/>
        <v/>
      </c>
      <c r="N512" s="32" t="str">
        <f t="shared" si="329"/>
        <v/>
      </c>
      <c r="O512" s="32" t="str">
        <f t="shared" si="345"/>
        <v/>
      </c>
      <c r="P512" s="32" t="str">
        <f t="shared" si="333"/>
        <v/>
      </c>
      <c r="Q512" s="32" t="str">
        <f t="shared" si="334"/>
        <v/>
      </c>
      <c r="R512" s="32" t="str">
        <f t="shared" si="346"/>
        <v/>
      </c>
      <c r="S512" s="24" t="str">
        <f t="shared" si="347"/>
        <v/>
      </c>
      <c r="T512" s="24" t="str">
        <f t="shared" si="348"/>
        <v/>
      </c>
      <c r="U512" s="24" t="str">
        <f t="shared" si="349"/>
        <v/>
      </c>
      <c r="V512" s="24" t="str">
        <f t="shared" si="350"/>
        <v/>
      </c>
      <c r="W512" s="23" t="str">
        <f t="array" ref="W512">IFERROR(SMALL(IF(S$1:S$1000="BEGIN",ROW(S$1:S$1000)),ROW()-3),"")</f>
        <v/>
      </c>
      <c r="X512" s="23" t="str">
        <f t="array" ref="X512">IFERROR(SMALL(IF(T$1:T$1000="END",ROW(T$1:T$1000)),ROW()-3),"")</f>
        <v/>
      </c>
      <c r="Y512" s="33" t="str">
        <f t="array" ref="Y512">IF(ISNUMBER(W512),MAX(IF((B$4:B$1000&lt;=X512)*(B$4:B$1000&gt;=W512),I$4:I$1000, "")),"")</f>
        <v/>
      </c>
      <c r="Z512" s="33" t="str">
        <f t="shared" si="335"/>
        <v/>
      </c>
      <c r="AA512" s="32" t="str">
        <f t="shared" si="336"/>
        <v/>
      </c>
      <c r="AB512" s="32" t="str">
        <f t="shared" si="337"/>
        <v/>
      </c>
      <c r="AC512" s="32" t="str">
        <f t="shared" si="338"/>
        <v/>
      </c>
      <c r="AD512" s="32" t="str">
        <f t="shared" si="339"/>
        <v/>
      </c>
      <c r="AE512" s="34" t="str">
        <f t="shared" si="340"/>
        <v/>
      </c>
      <c r="AF512" s="32" t="str">
        <f t="shared" si="341"/>
        <v/>
      </c>
      <c r="AG512" s="32" t="str">
        <f t="shared" si="342"/>
        <v/>
      </c>
      <c r="AH512" s="32" t="str">
        <f t="shared" si="343"/>
        <v/>
      </c>
      <c r="AI512" s="35" t="str">
        <f t="shared" si="344"/>
        <v/>
      </c>
      <c r="AJ512" s="23" t="str">
        <f t="array" ref="AJ512">IFERROR(SMALL(IF(U$1:U$1000="BEGIN",ROW(U$1:U$1000)),ROW()-3),"")</f>
        <v/>
      </c>
      <c r="AK512" s="23" t="str">
        <f t="array" ref="AK512">IFERROR(SMALL(IF(V$1:V$1000="END",ROW(V$1:V$1000)),ROW()-3),"")</f>
        <v/>
      </c>
      <c r="AL512" s="24" t="str">
        <f t="array" ref="AL512">IF(AK512="","",MATCH(AM512,L:L,0))</f>
        <v/>
      </c>
      <c r="AM512" s="35">
        <f t="array" ref="AM512">MAX(IF((B$4:B$1000&lt;=AK512)*(B$4:B$1000&gt;=AJ512),L$4:L$1000, ""))</f>
        <v>0</v>
      </c>
      <c r="AN512" s="32" t="str">
        <f t="shared" si="351"/>
        <v/>
      </c>
      <c r="AO512" s="32" t="str">
        <f t="shared" si="352"/>
        <v/>
      </c>
      <c r="AP512" s="32" t="str">
        <f t="shared" si="353"/>
        <v/>
      </c>
      <c r="AQ512" s="32" t="str">
        <f t="shared" si="354"/>
        <v/>
      </c>
      <c r="AR512" s="32" t="str">
        <f t="shared" si="355"/>
        <v/>
      </c>
      <c r="AS512" s="32" t="str">
        <f t="shared" si="356"/>
        <v/>
      </c>
      <c r="AT512" s="32" t="str">
        <f t="shared" si="357"/>
        <v/>
      </c>
      <c r="AU512" s="34" t="str">
        <f t="shared" si="358"/>
        <v/>
      </c>
      <c r="AV512" s="32" t="str">
        <f t="shared" si="359"/>
        <v/>
      </c>
      <c r="AW512" s="32" t="str">
        <f t="shared" si="360"/>
        <v/>
      </c>
      <c r="AX512" s="32" t="str">
        <f t="shared" si="361"/>
        <v/>
      </c>
      <c r="AY512" s="32" t="str">
        <f t="shared" si="362"/>
        <v/>
      </c>
    </row>
    <row r="513" spans="1:51" x14ac:dyDescent="0.25">
      <c r="A513" s="24" t="str">
        <f t="shared" si="320"/>
        <v/>
      </c>
      <c r="B513" s="24" t="str">
        <f t="shared" si="330"/>
        <v/>
      </c>
      <c r="C513" s="32" t="str">
        <f t="shared" si="321"/>
        <v/>
      </c>
      <c r="D513" s="24" t="str">
        <f t="shared" si="322"/>
        <v/>
      </c>
      <c r="E513" s="24" t="str">
        <f t="shared" si="323"/>
        <v/>
      </c>
      <c r="F513" s="32" t="str">
        <f t="shared" si="324"/>
        <v/>
      </c>
      <c r="G513" s="32" t="str">
        <f t="shared" si="325"/>
        <v/>
      </c>
      <c r="H513" s="32" t="str">
        <f t="shared" ca="1" si="326"/>
        <v/>
      </c>
      <c r="I513" s="32" t="str">
        <f t="shared" ca="1" si="331"/>
        <v/>
      </c>
      <c r="J513" s="32" t="str">
        <f t="shared" si="327"/>
        <v/>
      </c>
      <c r="K513" s="32" t="str">
        <f>IF(ISNUMBER(A513),Profile!$V$25+Profile!$V$24*'Ri-Po'!C513,"")</f>
        <v/>
      </c>
      <c r="L513" s="32" t="str">
        <f t="shared" si="332"/>
        <v/>
      </c>
      <c r="M513" s="32" t="str">
        <f t="shared" si="328"/>
        <v/>
      </c>
      <c r="N513" s="32" t="str">
        <f t="shared" si="329"/>
        <v/>
      </c>
      <c r="O513" s="32" t="str">
        <f t="shared" si="345"/>
        <v/>
      </c>
      <c r="P513" s="32" t="str">
        <f t="shared" si="333"/>
        <v/>
      </c>
      <c r="Q513" s="32" t="str">
        <f t="shared" si="334"/>
        <v/>
      </c>
      <c r="R513" s="32" t="str">
        <f t="shared" si="346"/>
        <v/>
      </c>
      <c r="S513" s="24" t="str">
        <f t="shared" si="347"/>
        <v/>
      </c>
      <c r="T513" s="24" t="str">
        <f t="shared" si="348"/>
        <v/>
      </c>
      <c r="U513" s="24" t="str">
        <f t="shared" si="349"/>
        <v/>
      </c>
      <c r="V513" s="24" t="str">
        <f t="shared" si="350"/>
        <v/>
      </c>
      <c r="W513" s="23" t="str">
        <f t="array" ref="W513">IFERROR(SMALL(IF(S$1:S$1000="BEGIN",ROW(S$1:S$1000)),ROW()-3),"")</f>
        <v/>
      </c>
      <c r="X513" s="23" t="str">
        <f t="array" ref="X513">IFERROR(SMALL(IF(T$1:T$1000="END",ROW(T$1:T$1000)),ROW()-3),"")</f>
        <v/>
      </c>
      <c r="Y513" s="33" t="str">
        <f t="array" ref="Y513">IF(ISNUMBER(W513),MAX(IF((B$4:B$1000&lt;=X513)*(B$4:B$1000&gt;=W513),I$4:I$1000, "")),"")</f>
        <v/>
      </c>
      <c r="Z513" s="33" t="str">
        <f t="shared" si="335"/>
        <v/>
      </c>
      <c r="AA513" s="32" t="str">
        <f t="shared" si="336"/>
        <v/>
      </c>
      <c r="AB513" s="32" t="str">
        <f t="shared" si="337"/>
        <v/>
      </c>
      <c r="AC513" s="32" t="str">
        <f t="shared" si="338"/>
        <v/>
      </c>
      <c r="AD513" s="32" t="str">
        <f t="shared" si="339"/>
        <v/>
      </c>
      <c r="AE513" s="34" t="str">
        <f t="shared" si="340"/>
        <v/>
      </c>
      <c r="AF513" s="32" t="str">
        <f t="shared" si="341"/>
        <v/>
      </c>
      <c r="AG513" s="32" t="str">
        <f t="shared" si="342"/>
        <v/>
      </c>
      <c r="AH513" s="32" t="str">
        <f t="shared" si="343"/>
        <v/>
      </c>
      <c r="AI513" s="35" t="str">
        <f t="shared" si="344"/>
        <v/>
      </c>
      <c r="AJ513" s="23" t="str">
        <f t="array" ref="AJ513">IFERROR(SMALL(IF(U$1:U$1000="BEGIN",ROW(U$1:U$1000)),ROW()-3),"")</f>
        <v/>
      </c>
      <c r="AK513" s="23" t="str">
        <f t="array" ref="AK513">IFERROR(SMALL(IF(V$1:V$1000="END",ROW(V$1:V$1000)),ROW()-3),"")</f>
        <v/>
      </c>
      <c r="AL513" s="24" t="str">
        <f t="array" ref="AL513">IF(AK513="","",MATCH(AM513,L:L,0))</f>
        <v/>
      </c>
      <c r="AM513" s="35">
        <f t="array" ref="AM513">MAX(IF((B$4:B$1000&lt;=AK513)*(B$4:B$1000&gt;=AJ513),L$4:L$1000, ""))</f>
        <v>0</v>
      </c>
      <c r="AN513" s="32" t="str">
        <f t="shared" si="351"/>
        <v/>
      </c>
      <c r="AO513" s="32" t="str">
        <f t="shared" si="352"/>
        <v/>
      </c>
      <c r="AP513" s="32" t="str">
        <f t="shared" si="353"/>
        <v/>
      </c>
      <c r="AQ513" s="32" t="str">
        <f t="shared" si="354"/>
        <v/>
      </c>
      <c r="AR513" s="32" t="str">
        <f t="shared" si="355"/>
        <v/>
      </c>
      <c r="AS513" s="32" t="str">
        <f t="shared" si="356"/>
        <v/>
      </c>
      <c r="AT513" s="32" t="str">
        <f t="shared" si="357"/>
        <v/>
      </c>
      <c r="AU513" s="34" t="str">
        <f t="shared" si="358"/>
        <v/>
      </c>
      <c r="AV513" s="32" t="str">
        <f t="shared" si="359"/>
        <v/>
      </c>
      <c r="AW513" s="32" t="str">
        <f t="shared" si="360"/>
        <v/>
      </c>
      <c r="AX513" s="32" t="str">
        <f t="shared" si="361"/>
        <v/>
      </c>
      <c r="AY513" s="32" t="str">
        <f t="shared" si="362"/>
        <v/>
      </c>
    </row>
    <row r="514" spans="1:51" x14ac:dyDescent="0.25">
      <c r="A514" s="24" t="str">
        <f t="shared" si="320"/>
        <v/>
      </c>
      <c r="B514" s="24" t="str">
        <f t="shared" si="330"/>
        <v/>
      </c>
      <c r="C514" s="32" t="str">
        <f t="shared" si="321"/>
        <v/>
      </c>
      <c r="D514" s="24" t="str">
        <f t="shared" si="322"/>
        <v/>
      </c>
      <c r="E514" s="24" t="str">
        <f t="shared" si="323"/>
        <v/>
      </c>
      <c r="F514" s="32" t="str">
        <f t="shared" si="324"/>
        <v/>
      </c>
      <c r="G514" s="32" t="str">
        <f t="shared" si="325"/>
        <v/>
      </c>
      <c r="H514" s="32" t="str">
        <f t="shared" ca="1" si="326"/>
        <v/>
      </c>
      <c r="I514" s="32" t="str">
        <f t="shared" ca="1" si="331"/>
        <v/>
      </c>
      <c r="J514" s="32" t="str">
        <f t="shared" si="327"/>
        <v/>
      </c>
      <c r="K514" s="32" t="str">
        <f>IF(ISNUMBER(A514),Profile!$V$25+Profile!$V$24*'Ri-Po'!C514,"")</f>
        <v/>
      </c>
      <c r="L514" s="32" t="str">
        <f t="shared" si="332"/>
        <v/>
      </c>
      <c r="M514" s="32" t="str">
        <f t="shared" si="328"/>
        <v/>
      </c>
      <c r="N514" s="32" t="str">
        <f t="shared" si="329"/>
        <v/>
      </c>
      <c r="O514" s="32" t="str">
        <f t="shared" si="345"/>
        <v/>
      </c>
      <c r="P514" s="32" t="str">
        <f t="shared" si="333"/>
        <v/>
      </c>
      <c r="Q514" s="32" t="str">
        <f t="shared" si="334"/>
        <v/>
      </c>
      <c r="R514" s="32" t="str">
        <f t="shared" si="346"/>
        <v/>
      </c>
      <c r="S514" s="24" t="str">
        <f t="shared" si="347"/>
        <v/>
      </c>
      <c r="T514" s="24" t="str">
        <f t="shared" si="348"/>
        <v/>
      </c>
      <c r="U514" s="24" t="str">
        <f t="shared" si="349"/>
        <v/>
      </c>
      <c r="V514" s="24" t="str">
        <f t="shared" si="350"/>
        <v/>
      </c>
      <c r="W514" s="23" t="str">
        <f t="array" ref="W514">IFERROR(SMALL(IF(S$1:S$1000="BEGIN",ROW(S$1:S$1000)),ROW()-3),"")</f>
        <v/>
      </c>
      <c r="X514" s="23" t="str">
        <f t="array" ref="X514">IFERROR(SMALL(IF(T$1:T$1000="END",ROW(T$1:T$1000)),ROW()-3),"")</f>
        <v/>
      </c>
      <c r="Y514" s="33" t="str">
        <f t="array" ref="Y514">IF(ISNUMBER(W514),MAX(IF((B$4:B$1000&lt;=X514)*(B$4:B$1000&gt;=W514),I$4:I$1000, "")),"")</f>
        <v/>
      </c>
      <c r="Z514" s="33" t="str">
        <f t="shared" si="335"/>
        <v/>
      </c>
      <c r="AA514" s="32" t="str">
        <f t="shared" si="336"/>
        <v/>
      </c>
      <c r="AB514" s="32" t="str">
        <f t="shared" si="337"/>
        <v/>
      </c>
      <c r="AC514" s="32" t="str">
        <f t="shared" si="338"/>
        <v/>
      </c>
      <c r="AD514" s="32" t="str">
        <f t="shared" si="339"/>
        <v/>
      </c>
      <c r="AE514" s="34" t="str">
        <f t="shared" si="340"/>
        <v/>
      </c>
      <c r="AF514" s="32" t="str">
        <f t="shared" si="341"/>
        <v/>
      </c>
      <c r="AG514" s="32" t="str">
        <f t="shared" si="342"/>
        <v/>
      </c>
      <c r="AH514" s="32" t="str">
        <f t="shared" si="343"/>
        <v/>
      </c>
      <c r="AI514" s="35" t="str">
        <f t="shared" si="344"/>
        <v/>
      </c>
      <c r="AJ514" s="23" t="str">
        <f t="array" ref="AJ514">IFERROR(SMALL(IF(U$1:U$1000="BEGIN",ROW(U$1:U$1000)),ROW()-3),"")</f>
        <v/>
      </c>
      <c r="AK514" s="23" t="str">
        <f t="array" ref="AK514">IFERROR(SMALL(IF(V$1:V$1000="END",ROW(V$1:V$1000)),ROW()-3),"")</f>
        <v/>
      </c>
      <c r="AL514" s="24" t="str">
        <f t="array" ref="AL514">IF(AK514="","",MATCH(AM514,L:L,0))</f>
        <v/>
      </c>
      <c r="AM514" s="35">
        <f t="array" ref="AM514">MAX(IF((B$4:B$1000&lt;=AK514)*(B$4:B$1000&gt;=AJ514),L$4:L$1000, ""))</f>
        <v>0</v>
      </c>
      <c r="AN514" s="32" t="str">
        <f t="shared" si="351"/>
        <v/>
      </c>
      <c r="AO514" s="32" t="str">
        <f t="shared" si="352"/>
        <v/>
      </c>
      <c r="AP514" s="32" t="str">
        <f t="shared" si="353"/>
        <v/>
      </c>
      <c r="AQ514" s="32" t="str">
        <f t="shared" si="354"/>
        <v/>
      </c>
      <c r="AR514" s="32" t="str">
        <f t="shared" si="355"/>
        <v/>
      </c>
      <c r="AS514" s="32" t="str">
        <f t="shared" si="356"/>
        <v/>
      </c>
      <c r="AT514" s="32" t="str">
        <f t="shared" si="357"/>
        <v/>
      </c>
      <c r="AU514" s="34" t="str">
        <f t="shared" si="358"/>
        <v/>
      </c>
      <c r="AV514" s="32" t="str">
        <f t="shared" si="359"/>
        <v/>
      </c>
      <c r="AW514" s="32" t="str">
        <f t="shared" si="360"/>
        <v/>
      </c>
      <c r="AX514" s="32" t="str">
        <f t="shared" si="361"/>
        <v/>
      </c>
      <c r="AY514" s="32" t="str">
        <f t="shared" si="362"/>
        <v/>
      </c>
    </row>
    <row r="515" spans="1:51" x14ac:dyDescent="0.25">
      <c r="A515" s="24" t="str">
        <f t="shared" si="320"/>
        <v/>
      </c>
      <c r="B515" s="24" t="str">
        <f t="shared" si="330"/>
        <v/>
      </c>
      <c r="C515" s="32" t="str">
        <f t="shared" si="321"/>
        <v/>
      </c>
      <c r="D515" s="24" t="str">
        <f t="shared" si="322"/>
        <v/>
      </c>
      <c r="E515" s="24" t="str">
        <f t="shared" si="323"/>
        <v/>
      </c>
      <c r="F515" s="32" t="str">
        <f t="shared" si="324"/>
        <v/>
      </c>
      <c r="G515" s="32" t="str">
        <f t="shared" si="325"/>
        <v/>
      </c>
      <c r="H515" s="32" t="str">
        <f t="shared" ca="1" si="326"/>
        <v/>
      </c>
      <c r="I515" s="32" t="str">
        <f t="shared" ca="1" si="331"/>
        <v/>
      </c>
      <c r="J515" s="32" t="str">
        <f t="shared" si="327"/>
        <v/>
      </c>
      <c r="K515" s="32" t="str">
        <f>IF(ISNUMBER(A515),Profile!$V$25+Profile!$V$24*'Ri-Po'!C515,"")</f>
        <v/>
      </c>
      <c r="L515" s="32" t="str">
        <f t="shared" si="332"/>
        <v/>
      </c>
      <c r="M515" s="32" t="str">
        <f t="shared" si="328"/>
        <v/>
      </c>
      <c r="N515" s="32" t="str">
        <f t="shared" si="329"/>
        <v/>
      </c>
      <c r="O515" s="32" t="str">
        <f t="shared" si="345"/>
        <v/>
      </c>
      <c r="P515" s="32" t="str">
        <f t="shared" si="333"/>
        <v/>
      </c>
      <c r="Q515" s="32" t="str">
        <f t="shared" si="334"/>
        <v/>
      </c>
      <c r="R515" s="32" t="str">
        <f t="shared" si="346"/>
        <v/>
      </c>
      <c r="S515" s="24" t="str">
        <f t="shared" si="347"/>
        <v/>
      </c>
      <c r="T515" s="24" t="str">
        <f t="shared" si="348"/>
        <v/>
      </c>
      <c r="U515" s="24" t="str">
        <f t="shared" si="349"/>
        <v/>
      </c>
      <c r="V515" s="24" t="str">
        <f t="shared" si="350"/>
        <v/>
      </c>
      <c r="W515" s="23" t="str">
        <f t="array" ref="W515">IFERROR(SMALL(IF(S$1:S$1000="BEGIN",ROW(S$1:S$1000)),ROW()-3),"")</f>
        <v/>
      </c>
      <c r="X515" s="23" t="str">
        <f t="array" ref="X515">IFERROR(SMALL(IF(T$1:T$1000="END",ROW(T$1:T$1000)),ROW()-3),"")</f>
        <v/>
      </c>
      <c r="Y515" s="33" t="str">
        <f t="array" ref="Y515">IF(ISNUMBER(W515),MAX(IF((B$4:B$1000&lt;=X515)*(B$4:B$1000&gt;=W515),I$4:I$1000, "")),"")</f>
        <v/>
      </c>
      <c r="Z515" s="33" t="str">
        <f t="shared" si="335"/>
        <v/>
      </c>
      <c r="AA515" s="32" t="str">
        <f t="shared" si="336"/>
        <v/>
      </c>
      <c r="AB515" s="32" t="str">
        <f t="shared" si="337"/>
        <v/>
      </c>
      <c r="AC515" s="32" t="str">
        <f t="shared" si="338"/>
        <v/>
      </c>
      <c r="AD515" s="32" t="str">
        <f t="shared" si="339"/>
        <v/>
      </c>
      <c r="AE515" s="34" t="str">
        <f t="shared" si="340"/>
        <v/>
      </c>
      <c r="AF515" s="32" t="str">
        <f t="shared" si="341"/>
        <v/>
      </c>
      <c r="AG515" s="32" t="str">
        <f t="shared" si="342"/>
        <v/>
      </c>
      <c r="AH515" s="32" t="str">
        <f t="shared" si="343"/>
        <v/>
      </c>
      <c r="AI515" s="35" t="str">
        <f t="shared" si="344"/>
        <v/>
      </c>
      <c r="AJ515" s="23" t="str">
        <f t="array" ref="AJ515">IFERROR(SMALL(IF(U$1:U$1000="BEGIN",ROW(U$1:U$1000)),ROW()-3),"")</f>
        <v/>
      </c>
      <c r="AK515" s="23" t="str">
        <f t="array" ref="AK515">IFERROR(SMALL(IF(V$1:V$1000="END",ROW(V$1:V$1000)),ROW()-3),"")</f>
        <v/>
      </c>
      <c r="AL515" s="24" t="str">
        <f t="array" ref="AL515">IF(AK515="","",MATCH(AM515,L:L,0))</f>
        <v/>
      </c>
      <c r="AM515" s="35">
        <f t="array" ref="AM515">MAX(IF((B$4:B$1000&lt;=AK515)*(B$4:B$1000&gt;=AJ515),L$4:L$1000, ""))</f>
        <v>0</v>
      </c>
      <c r="AN515" s="32" t="str">
        <f t="shared" si="351"/>
        <v/>
      </c>
      <c r="AO515" s="32" t="str">
        <f t="shared" si="352"/>
        <v/>
      </c>
      <c r="AP515" s="32" t="str">
        <f t="shared" si="353"/>
        <v/>
      </c>
      <c r="AQ515" s="32" t="str">
        <f t="shared" si="354"/>
        <v/>
      </c>
      <c r="AR515" s="32" t="str">
        <f t="shared" si="355"/>
        <v/>
      </c>
      <c r="AS515" s="32" t="str">
        <f t="shared" si="356"/>
        <v/>
      </c>
      <c r="AT515" s="32" t="str">
        <f t="shared" si="357"/>
        <v/>
      </c>
      <c r="AU515" s="34" t="str">
        <f t="shared" si="358"/>
        <v/>
      </c>
      <c r="AV515" s="32" t="str">
        <f t="shared" si="359"/>
        <v/>
      </c>
      <c r="AW515" s="32" t="str">
        <f t="shared" si="360"/>
        <v/>
      </c>
      <c r="AX515" s="32" t="str">
        <f t="shared" si="361"/>
        <v/>
      </c>
      <c r="AY515" s="32" t="str">
        <f t="shared" si="362"/>
        <v/>
      </c>
    </row>
    <row r="516" spans="1:51" x14ac:dyDescent="0.25">
      <c r="A516" s="24" t="str">
        <f t="shared" ref="A516:A579" si="363">IF(NOT(ISBLANK(INDEX(currentNUM,ROW(A513)))),INDEX(currentNUM,ROW(A513)),"")</f>
        <v/>
      </c>
      <c r="B516" s="24" t="str">
        <f t="shared" si="330"/>
        <v/>
      </c>
      <c r="C516" s="32" t="str">
        <f t="shared" ref="C516:C579" si="364">IF(NOT(A516=""),INDEX(currentSTATION,ROW(C513)),"")</f>
        <v/>
      </c>
      <c r="D516" s="24" t="str">
        <f t="shared" ref="D516:D579" si="365">IF(NOT(ISBLANK(INDEX(currentDESC,ROW(D513)))),INDEX(currentDESC,ROW(D513)),"")</f>
        <v/>
      </c>
      <c r="E516" s="24" t="str">
        <f t="shared" ref="E516:E579" si="366">IF(NOT(ISBLANK(INDEX(currentCMORPH,ROW(E513)))),INDEX(currentCMORPH,ROW(E513)),"")</f>
        <v/>
      </c>
      <c r="F516" s="32" t="str">
        <f t="shared" ref="F516:F579" si="367">IF(NOT(ISBLANK(INDEX(currentTHW,ROW(F513)))),INDEX(currentTHW,ROW(F513)),"")</f>
        <v/>
      </c>
      <c r="G516" s="32" t="str">
        <f t="shared" ref="G516:G579" si="368">IF(NOT(ISBLANK(INDEX(currentWS,ROW(G513)))),INDEX(currentWS,ROW(G513)),"")</f>
        <v/>
      </c>
      <c r="H516" s="32" t="str">
        <f t="shared" ref="H516:H579" ca="1" si="369">IF(NOT(OR(ISBLANK(INDEX(currentINTERPWS,ROW(H513))),INDEX(currentINTERPWS,ROW(H513))=0)),INDEX(currentINTERPWS,ROW(H513)),"")</f>
        <v/>
      </c>
      <c r="I516" s="32" t="str">
        <f t="shared" ca="1" si="331"/>
        <v/>
      </c>
      <c r="J516" s="32" t="str">
        <f t="shared" ref="J516:J579" si="370">IF(NOT(ISBLANK(INDEX(currentBKF,ROW(G513)))),INDEX(currentBKF,ROW(G513)),"")</f>
        <v/>
      </c>
      <c r="K516" s="32" t="str">
        <f>IF(ISNUMBER(A516),Profile!$V$25+Profile!$V$24*'Ri-Po'!C516,"")</f>
        <v/>
      </c>
      <c r="L516" s="32" t="str">
        <f t="shared" si="332"/>
        <v/>
      </c>
      <c r="M516" s="32" t="str">
        <f t="shared" ref="M516:M579" si="371">IF(NOT(ISBLANK(INDEX(currentTOB,ROW(H513)))),INDEX(currentTOB,ROW(H513)),"")</f>
        <v/>
      </c>
      <c r="N516" s="32" t="str">
        <f t="shared" ref="N516:N579" si="372">IF(ISNUMBER(A516),INDEX(currentINTTOB,ROW(I513)),"")</f>
        <v/>
      </c>
      <c r="O516" s="32" t="str">
        <f t="shared" si="345"/>
        <v/>
      </c>
      <c r="P516" s="32" t="str">
        <f t="shared" si="333"/>
        <v/>
      </c>
      <c r="Q516" s="32" t="str">
        <f t="shared" si="334"/>
        <v/>
      </c>
      <c r="R516" s="32" t="str">
        <f t="shared" si="346"/>
        <v/>
      </c>
      <c r="S516" s="24" t="str">
        <f t="shared" si="347"/>
        <v/>
      </c>
      <c r="T516" s="24" t="str">
        <f t="shared" si="348"/>
        <v/>
      </c>
      <c r="U516" s="24" t="str">
        <f t="shared" si="349"/>
        <v/>
      </c>
      <c r="V516" s="24" t="str">
        <f t="shared" si="350"/>
        <v/>
      </c>
      <c r="W516" s="23" t="str">
        <f t="array" ref="W516">IFERROR(SMALL(IF(S$1:S$1000="BEGIN",ROW(S$1:S$1000)),ROW()-3),"")</f>
        <v/>
      </c>
      <c r="X516" s="23" t="str">
        <f t="array" ref="X516">IFERROR(SMALL(IF(T$1:T$1000="END",ROW(T$1:T$1000)),ROW()-3),"")</f>
        <v/>
      </c>
      <c r="Y516" s="33" t="str">
        <f t="array" ref="Y516">IF(ISNUMBER(W516),MAX(IF((B$4:B$1000&lt;=X516)*(B$4:B$1000&gt;=W516),I$4:I$1000, "")),"")</f>
        <v/>
      </c>
      <c r="Z516" s="33" t="str">
        <f t="shared" si="335"/>
        <v/>
      </c>
      <c r="AA516" s="32" t="str">
        <f t="shared" si="336"/>
        <v/>
      </c>
      <c r="AB516" s="32" t="str">
        <f t="shared" si="337"/>
        <v/>
      </c>
      <c r="AC516" s="32" t="str">
        <f t="shared" si="338"/>
        <v/>
      </c>
      <c r="AD516" s="32" t="str">
        <f t="shared" si="339"/>
        <v/>
      </c>
      <c r="AE516" s="34" t="str">
        <f t="shared" si="340"/>
        <v/>
      </c>
      <c r="AF516" s="32" t="str">
        <f t="shared" si="341"/>
        <v/>
      </c>
      <c r="AG516" s="32" t="str">
        <f t="shared" si="342"/>
        <v/>
      </c>
      <c r="AH516" s="32" t="str">
        <f t="shared" si="343"/>
        <v/>
      </c>
      <c r="AI516" s="35" t="str">
        <f t="shared" si="344"/>
        <v/>
      </c>
      <c r="AJ516" s="23" t="str">
        <f t="array" ref="AJ516">IFERROR(SMALL(IF(U$1:U$1000="BEGIN",ROW(U$1:U$1000)),ROW()-3),"")</f>
        <v/>
      </c>
      <c r="AK516" s="23" t="str">
        <f t="array" ref="AK516">IFERROR(SMALL(IF(V$1:V$1000="END",ROW(V$1:V$1000)),ROW()-3),"")</f>
        <v/>
      </c>
      <c r="AL516" s="24" t="str">
        <f t="array" ref="AL516">IF(AK516="","",MATCH(AM516,L:L,0))</f>
        <v/>
      </c>
      <c r="AM516" s="35">
        <f t="array" ref="AM516">MAX(IF((B$4:B$1000&lt;=AK516)*(B$4:B$1000&gt;=AJ516),L$4:L$1000, ""))</f>
        <v>0</v>
      </c>
      <c r="AN516" s="32" t="str">
        <f t="shared" si="351"/>
        <v/>
      </c>
      <c r="AO516" s="32" t="str">
        <f t="shared" si="352"/>
        <v/>
      </c>
      <c r="AP516" s="32" t="str">
        <f t="shared" si="353"/>
        <v/>
      </c>
      <c r="AQ516" s="32" t="str">
        <f t="shared" si="354"/>
        <v/>
      </c>
      <c r="AR516" s="32" t="str">
        <f t="shared" si="355"/>
        <v/>
      </c>
      <c r="AS516" s="32" t="str">
        <f t="shared" si="356"/>
        <v/>
      </c>
      <c r="AT516" s="32" t="str">
        <f t="shared" si="357"/>
        <v/>
      </c>
      <c r="AU516" s="34" t="str">
        <f t="shared" si="358"/>
        <v/>
      </c>
      <c r="AV516" s="32" t="str">
        <f t="shared" si="359"/>
        <v/>
      </c>
      <c r="AW516" s="32" t="str">
        <f t="shared" si="360"/>
        <v/>
      </c>
      <c r="AX516" s="32" t="str">
        <f t="shared" si="361"/>
        <v/>
      </c>
      <c r="AY516" s="32" t="str">
        <f t="shared" si="362"/>
        <v/>
      </c>
    </row>
    <row r="517" spans="1:51" x14ac:dyDescent="0.25">
      <c r="A517" s="24" t="str">
        <f t="shared" si="363"/>
        <v/>
      </c>
      <c r="B517" s="24" t="str">
        <f t="shared" ref="B517:B580" si="373">IF(NOT(A517=""),ROW(B517),"")</f>
        <v/>
      </c>
      <c r="C517" s="32" t="str">
        <f t="shared" si="364"/>
        <v/>
      </c>
      <c r="D517" s="24" t="str">
        <f t="shared" si="365"/>
        <v/>
      </c>
      <c r="E517" s="24" t="str">
        <f t="shared" si="366"/>
        <v/>
      </c>
      <c r="F517" s="32" t="str">
        <f t="shared" si="367"/>
        <v/>
      </c>
      <c r="G517" s="32" t="str">
        <f t="shared" si="368"/>
        <v/>
      </c>
      <c r="H517" s="32" t="str">
        <f t="shared" ca="1" si="369"/>
        <v/>
      </c>
      <c r="I517" s="32" t="str">
        <f t="shared" ref="I517:I580" ca="1" si="374">IFERROR(IF(H517-F517&gt;=0,H517-F517,"NEG"),"")</f>
        <v/>
      </c>
      <c r="J517" s="32" t="str">
        <f t="shared" si="370"/>
        <v/>
      </c>
      <c r="K517" s="32" t="str">
        <f>IF(ISNUMBER(A517),Profile!$V$25+Profile!$V$24*'Ri-Po'!C517,"")</f>
        <v/>
      </c>
      <c r="L517" s="32" t="str">
        <f t="shared" ref="L517:L580" si="375">IFERROR(K517-F517,"")</f>
        <v/>
      </c>
      <c r="M517" s="32" t="str">
        <f t="shared" si="371"/>
        <v/>
      </c>
      <c r="N517" s="32" t="str">
        <f t="shared" si="372"/>
        <v/>
      </c>
      <c r="O517" s="32" t="str">
        <f t="shared" si="345"/>
        <v/>
      </c>
      <c r="P517" s="32" t="str">
        <f t="shared" ref="P517:P580" si="376">IF(ISNUMBER(A517),K517-F517,"")</f>
        <v/>
      </c>
      <c r="Q517" s="32" t="str">
        <f t="shared" ref="Q517:Q580" si="377">IF(ISNUMBER(A517),N517-F517,"")</f>
        <v/>
      </c>
      <c r="R517" s="32" t="str">
        <f t="shared" si="346"/>
        <v/>
      </c>
      <c r="S517" s="24" t="str">
        <f t="shared" si="347"/>
        <v/>
      </c>
      <c r="T517" s="24" t="str">
        <f t="shared" si="348"/>
        <v/>
      </c>
      <c r="U517" s="24" t="str">
        <f t="shared" si="349"/>
        <v/>
      </c>
      <c r="V517" s="24" t="str">
        <f t="shared" si="350"/>
        <v/>
      </c>
      <c r="W517" s="23" t="str">
        <f t="array" ref="W517">IFERROR(SMALL(IF(S$1:S$1000="BEGIN",ROW(S$1:S$1000)),ROW()-3),"")</f>
        <v/>
      </c>
      <c r="X517" s="23" t="str">
        <f t="array" ref="X517">IFERROR(SMALL(IF(T$1:T$1000="END",ROW(T$1:T$1000)),ROW()-3),"")</f>
        <v/>
      </c>
      <c r="Y517" s="33" t="str">
        <f t="array" ref="Y517">IF(ISNUMBER(W517),MAX(IF((B$4:B$1000&lt;=X517)*(B$4:B$1000&gt;=W517),I$4:I$1000, "")),"")</f>
        <v/>
      </c>
      <c r="Z517" s="33" t="str">
        <f t="shared" ref="Z517:Z580" si="378">IFERROR(INDEX(C:C,W517),"")</f>
        <v/>
      </c>
      <c r="AA517" s="32" t="str">
        <f t="shared" ref="AA517:AA580" si="379">IFERROR(INDEX(C:C,X517),"")</f>
        <v/>
      </c>
      <c r="AB517" s="32" t="str">
        <f t="shared" ref="AB517:AB580" si="380">IFERROR(AA517-Z517,"")</f>
        <v/>
      </c>
      <c r="AC517" s="32" t="str">
        <f t="shared" ref="AC517:AC580" si="381">IFERROR(INDEX(H:H,W517),"")</f>
        <v/>
      </c>
      <c r="AD517" s="32" t="str">
        <f t="shared" ref="AD517:AD580" si="382">IFERROR(INDEX(H:H,X517),"")</f>
        <v/>
      </c>
      <c r="AE517" s="34" t="str">
        <f t="shared" ref="AE517:AE580" si="383">IFERROR((AC517-AD517)/(AB517),"")</f>
        <v/>
      </c>
      <c r="AF517" s="32" t="str">
        <f t="shared" ref="AF517:AF580" si="384">IF(ISNUMBER(Z517),INDEX($Q$1:$Q$1000,W517),"")</f>
        <v/>
      </c>
      <c r="AG517" s="32" t="str">
        <f t="shared" ref="AG517:AG580" si="385">IF(ISNUMBER(Z517),INDEX($P$1:$P$1000,W517),"")</f>
        <v/>
      </c>
      <c r="AH517" s="32" t="str">
        <f t="shared" ref="AH517:AH580" si="386">IF(ISNUMBER(Z517),AF517/AG517,"")</f>
        <v/>
      </c>
      <c r="AI517" s="35" t="str">
        <f t="shared" ref="AI517:AI580" si="387">IFERROR(AE517/BB$19,"")</f>
        <v/>
      </c>
      <c r="AJ517" s="23" t="str">
        <f t="array" ref="AJ517">IFERROR(SMALL(IF(U$1:U$1000="BEGIN",ROW(U$1:U$1000)),ROW()-3),"")</f>
        <v/>
      </c>
      <c r="AK517" s="23" t="str">
        <f t="array" ref="AK517">IFERROR(SMALL(IF(V$1:V$1000="END",ROW(V$1:V$1000)),ROW()-3),"")</f>
        <v/>
      </c>
      <c r="AL517" s="24" t="str">
        <f t="array" ref="AL517">IF(AK517="","",MATCH(AM517,L:L,0))</f>
        <v/>
      </c>
      <c r="AM517" s="35">
        <f t="array" ref="AM517">MAX(IF((B$4:B$1000&lt;=AK517)*(B$4:B$1000&gt;=AJ517),L$4:L$1000, ""))</f>
        <v>0</v>
      </c>
      <c r="AN517" s="32" t="str">
        <f t="shared" si="351"/>
        <v/>
      </c>
      <c r="AO517" s="32" t="str">
        <f t="shared" si="352"/>
        <v/>
      </c>
      <c r="AP517" s="32" t="str">
        <f t="shared" si="353"/>
        <v/>
      </c>
      <c r="AQ517" s="32" t="str">
        <f t="shared" si="354"/>
        <v/>
      </c>
      <c r="AR517" s="32" t="str">
        <f t="shared" si="355"/>
        <v/>
      </c>
      <c r="AS517" s="32" t="str">
        <f t="shared" si="356"/>
        <v/>
      </c>
      <c r="AT517" s="32" t="str">
        <f t="shared" si="357"/>
        <v/>
      </c>
      <c r="AU517" s="34" t="str">
        <f t="shared" si="358"/>
        <v/>
      </c>
      <c r="AV517" s="32" t="str">
        <f t="shared" si="359"/>
        <v/>
      </c>
      <c r="AW517" s="32" t="str">
        <f t="shared" si="360"/>
        <v/>
      </c>
      <c r="AX517" s="32" t="str">
        <f t="shared" si="361"/>
        <v/>
      </c>
      <c r="AY517" s="32" t="str">
        <f t="shared" si="362"/>
        <v/>
      </c>
    </row>
    <row r="518" spans="1:51" x14ac:dyDescent="0.25">
      <c r="A518" s="24" t="str">
        <f t="shared" si="363"/>
        <v/>
      </c>
      <c r="B518" s="24" t="str">
        <f t="shared" si="373"/>
        <v/>
      </c>
      <c r="C518" s="32" t="str">
        <f t="shared" si="364"/>
        <v/>
      </c>
      <c r="D518" s="24" t="str">
        <f t="shared" si="365"/>
        <v/>
      </c>
      <c r="E518" s="24" t="str">
        <f t="shared" si="366"/>
        <v/>
      </c>
      <c r="F518" s="32" t="str">
        <f t="shared" si="367"/>
        <v/>
      </c>
      <c r="G518" s="32" t="str">
        <f t="shared" si="368"/>
        <v/>
      </c>
      <c r="H518" s="32" t="str">
        <f t="shared" ca="1" si="369"/>
        <v/>
      </c>
      <c r="I518" s="32" t="str">
        <f t="shared" ca="1" si="374"/>
        <v/>
      </c>
      <c r="J518" s="32" t="str">
        <f t="shared" si="370"/>
        <v/>
      </c>
      <c r="K518" s="32" t="str">
        <f>IF(ISNUMBER(A518),Profile!$V$25+Profile!$V$24*'Ri-Po'!C518,"")</f>
        <v/>
      </c>
      <c r="L518" s="32" t="str">
        <f t="shared" si="375"/>
        <v/>
      </c>
      <c r="M518" s="32" t="str">
        <f t="shared" si="371"/>
        <v/>
      </c>
      <c r="N518" s="32" t="str">
        <f t="shared" si="372"/>
        <v/>
      </c>
      <c r="O518" s="32" t="str">
        <f t="shared" ref="O518:O581" si="388">IF(AND(ISNUMBER(G518),ISNUMBER(J518)),J518-G518,"")</f>
        <v/>
      </c>
      <c r="P518" s="32" t="str">
        <f t="shared" si="376"/>
        <v/>
      </c>
      <c r="Q518" s="32" t="str">
        <f t="shared" si="377"/>
        <v/>
      </c>
      <c r="R518" s="32" t="str">
        <f t="shared" ref="R518:R581" si="389">IF(ISNUMBER(Q518),Q518/P518,"")</f>
        <v/>
      </c>
      <c r="S518" s="24" t="str">
        <f t="shared" ref="S518:S581" si="390">IF(ISNUMBER(SEARCH("bri",E518)),"BEGIN","")</f>
        <v/>
      </c>
      <c r="T518" s="24" t="str">
        <f t="shared" ref="T518:T581" si="391">IF(ISNUMBER(SEARCH("eri",E518)),"END","")</f>
        <v/>
      </c>
      <c r="U518" s="24" t="str">
        <f t="shared" ref="U518:U581" si="392">IF(ISNUMBER(SEARCH("bpo",E518)),"BEGIN","")</f>
        <v/>
      </c>
      <c r="V518" s="24" t="str">
        <f t="shared" ref="V518:V581" si="393">IF(ISNUMBER(SEARCH("epo",E518)),"END","")</f>
        <v/>
      </c>
      <c r="W518" s="23" t="str">
        <f t="array" ref="W518">IFERROR(SMALL(IF(S$1:S$1000="BEGIN",ROW(S$1:S$1000)),ROW()-3),"")</f>
        <v/>
      </c>
      <c r="X518" s="23" t="str">
        <f t="array" ref="X518">IFERROR(SMALL(IF(T$1:T$1000="END",ROW(T$1:T$1000)),ROW()-3),"")</f>
        <v/>
      </c>
      <c r="Y518" s="33" t="str">
        <f t="array" ref="Y518">IF(ISNUMBER(W518),MAX(IF((B$4:B$1000&lt;=X518)*(B$4:B$1000&gt;=W518),I$4:I$1000, "")),"")</f>
        <v/>
      </c>
      <c r="Z518" s="33" t="str">
        <f t="shared" si="378"/>
        <v/>
      </c>
      <c r="AA518" s="32" t="str">
        <f t="shared" si="379"/>
        <v/>
      </c>
      <c r="AB518" s="32" t="str">
        <f t="shared" si="380"/>
        <v/>
      </c>
      <c r="AC518" s="32" t="str">
        <f t="shared" si="381"/>
        <v/>
      </c>
      <c r="AD518" s="32" t="str">
        <f t="shared" si="382"/>
        <v/>
      </c>
      <c r="AE518" s="34" t="str">
        <f t="shared" si="383"/>
        <v/>
      </c>
      <c r="AF518" s="32" t="str">
        <f t="shared" si="384"/>
        <v/>
      </c>
      <c r="AG518" s="32" t="str">
        <f t="shared" si="385"/>
        <v/>
      </c>
      <c r="AH518" s="32" t="str">
        <f t="shared" si="386"/>
        <v/>
      </c>
      <c r="AI518" s="35" t="str">
        <f t="shared" si="387"/>
        <v/>
      </c>
      <c r="AJ518" s="23" t="str">
        <f t="array" ref="AJ518">IFERROR(SMALL(IF(U$1:U$1000="BEGIN",ROW(U$1:U$1000)),ROW()-3),"")</f>
        <v/>
      </c>
      <c r="AK518" s="23" t="str">
        <f t="array" ref="AK518">IFERROR(SMALL(IF(V$1:V$1000="END",ROW(V$1:V$1000)),ROW()-3),"")</f>
        <v/>
      </c>
      <c r="AL518" s="24" t="str">
        <f t="array" ref="AL518">IF(AK518="","",MATCH(AM518,L:L,0))</f>
        <v/>
      </c>
      <c r="AM518" s="35">
        <f t="array" ref="AM518">MAX(IF((B$4:B$1000&lt;=AK518)*(B$4:B$1000&gt;=AJ518),L$4:L$1000, ""))</f>
        <v>0</v>
      </c>
      <c r="AN518" s="32" t="str">
        <f t="shared" si="351"/>
        <v/>
      </c>
      <c r="AO518" s="32" t="str">
        <f t="shared" si="352"/>
        <v/>
      </c>
      <c r="AP518" s="32" t="str">
        <f t="shared" si="353"/>
        <v/>
      </c>
      <c r="AQ518" s="32" t="str">
        <f t="shared" si="354"/>
        <v/>
      </c>
      <c r="AR518" s="32" t="str">
        <f t="shared" si="355"/>
        <v/>
      </c>
      <c r="AS518" s="32" t="str">
        <f t="shared" si="356"/>
        <v/>
      </c>
      <c r="AT518" s="32" t="str">
        <f t="shared" si="357"/>
        <v/>
      </c>
      <c r="AU518" s="34" t="str">
        <f t="shared" si="358"/>
        <v/>
      </c>
      <c r="AV518" s="32" t="str">
        <f t="shared" si="359"/>
        <v/>
      </c>
      <c r="AW518" s="32" t="str">
        <f t="shared" si="360"/>
        <v/>
      </c>
      <c r="AX518" s="32" t="str">
        <f t="shared" si="361"/>
        <v/>
      </c>
      <c r="AY518" s="32" t="str">
        <f t="shared" si="362"/>
        <v/>
      </c>
    </row>
    <row r="519" spans="1:51" x14ac:dyDescent="0.25">
      <c r="A519" s="24" t="str">
        <f t="shared" si="363"/>
        <v/>
      </c>
      <c r="B519" s="24" t="str">
        <f t="shared" si="373"/>
        <v/>
      </c>
      <c r="C519" s="32" t="str">
        <f t="shared" si="364"/>
        <v/>
      </c>
      <c r="D519" s="24" t="str">
        <f t="shared" si="365"/>
        <v/>
      </c>
      <c r="E519" s="24" t="str">
        <f t="shared" si="366"/>
        <v/>
      </c>
      <c r="F519" s="32" t="str">
        <f t="shared" si="367"/>
        <v/>
      </c>
      <c r="G519" s="32" t="str">
        <f t="shared" si="368"/>
        <v/>
      </c>
      <c r="H519" s="32" t="str">
        <f t="shared" ca="1" si="369"/>
        <v/>
      </c>
      <c r="I519" s="32" t="str">
        <f t="shared" ca="1" si="374"/>
        <v/>
      </c>
      <c r="J519" s="32" t="str">
        <f t="shared" si="370"/>
        <v/>
      </c>
      <c r="K519" s="32" t="str">
        <f>IF(ISNUMBER(A519),Profile!$V$25+Profile!$V$24*'Ri-Po'!C519,"")</f>
        <v/>
      </c>
      <c r="L519" s="32" t="str">
        <f t="shared" si="375"/>
        <v/>
      </c>
      <c r="M519" s="32" t="str">
        <f t="shared" si="371"/>
        <v/>
      </c>
      <c r="N519" s="32" t="str">
        <f t="shared" si="372"/>
        <v/>
      </c>
      <c r="O519" s="32" t="str">
        <f t="shared" si="388"/>
        <v/>
      </c>
      <c r="P519" s="32" t="str">
        <f t="shared" si="376"/>
        <v/>
      </c>
      <c r="Q519" s="32" t="str">
        <f t="shared" si="377"/>
        <v/>
      </c>
      <c r="R519" s="32" t="str">
        <f t="shared" si="389"/>
        <v/>
      </c>
      <c r="S519" s="24" t="str">
        <f t="shared" si="390"/>
        <v/>
      </c>
      <c r="T519" s="24" t="str">
        <f t="shared" si="391"/>
        <v/>
      </c>
      <c r="U519" s="24" t="str">
        <f t="shared" si="392"/>
        <v/>
      </c>
      <c r="V519" s="24" t="str">
        <f t="shared" si="393"/>
        <v/>
      </c>
      <c r="W519" s="23" t="str">
        <f t="array" ref="W519">IFERROR(SMALL(IF(S$1:S$1000="BEGIN",ROW(S$1:S$1000)),ROW()-3),"")</f>
        <v/>
      </c>
      <c r="X519" s="23" t="str">
        <f t="array" ref="X519">IFERROR(SMALL(IF(T$1:T$1000="END",ROW(T$1:T$1000)),ROW()-3),"")</f>
        <v/>
      </c>
      <c r="Y519" s="33" t="str">
        <f t="array" ref="Y519">IF(ISNUMBER(W519),MAX(IF((B$4:B$1000&lt;=X519)*(B$4:B$1000&gt;=W519),I$4:I$1000, "")),"")</f>
        <v/>
      </c>
      <c r="Z519" s="33" t="str">
        <f t="shared" si="378"/>
        <v/>
      </c>
      <c r="AA519" s="32" t="str">
        <f t="shared" si="379"/>
        <v/>
      </c>
      <c r="AB519" s="32" t="str">
        <f t="shared" si="380"/>
        <v/>
      </c>
      <c r="AC519" s="32" t="str">
        <f t="shared" si="381"/>
        <v/>
      </c>
      <c r="AD519" s="32" t="str">
        <f t="shared" si="382"/>
        <v/>
      </c>
      <c r="AE519" s="34" t="str">
        <f t="shared" si="383"/>
        <v/>
      </c>
      <c r="AF519" s="32" t="str">
        <f t="shared" si="384"/>
        <v/>
      </c>
      <c r="AG519" s="32" t="str">
        <f t="shared" si="385"/>
        <v/>
      </c>
      <c r="AH519" s="32" t="str">
        <f t="shared" si="386"/>
        <v/>
      </c>
      <c r="AI519" s="35" t="str">
        <f t="shared" si="387"/>
        <v/>
      </c>
      <c r="AJ519" s="23" t="str">
        <f t="array" ref="AJ519">IFERROR(SMALL(IF(U$1:U$1000="BEGIN",ROW(U$1:U$1000)),ROW()-3),"")</f>
        <v/>
      </c>
      <c r="AK519" s="23" t="str">
        <f t="array" ref="AK519">IFERROR(SMALL(IF(V$1:V$1000="END",ROW(V$1:V$1000)),ROW()-3),"")</f>
        <v/>
      </c>
      <c r="AL519" s="24" t="str">
        <f t="array" ref="AL519">IF(AK519="","",MATCH(AM519,L:L,0))</f>
        <v/>
      </c>
      <c r="AM519" s="35">
        <f t="array" ref="AM519">MAX(IF((B$4:B$1000&lt;=AK519)*(B$4:B$1000&gt;=AJ519),L$4:L$1000, ""))</f>
        <v>0</v>
      </c>
      <c r="AN519" s="32" t="str">
        <f t="shared" si="351"/>
        <v/>
      </c>
      <c r="AO519" s="32" t="str">
        <f t="shared" si="352"/>
        <v/>
      </c>
      <c r="AP519" s="32" t="str">
        <f t="shared" si="353"/>
        <v/>
      </c>
      <c r="AQ519" s="32" t="str">
        <f t="shared" si="354"/>
        <v/>
      </c>
      <c r="AR519" s="32" t="str">
        <f t="shared" si="355"/>
        <v/>
      </c>
      <c r="AS519" s="32" t="str">
        <f t="shared" si="356"/>
        <v/>
      </c>
      <c r="AT519" s="32" t="str">
        <f t="shared" si="357"/>
        <v/>
      </c>
      <c r="AU519" s="34" t="str">
        <f t="shared" si="358"/>
        <v/>
      </c>
      <c r="AV519" s="32" t="str">
        <f t="shared" si="359"/>
        <v/>
      </c>
      <c r="AW519" s="32" t="str">
        <f t="shared" si="360"/>
        <v/>
      </c>
      <c r="AX519" s="32" t="str">
        <f t="shared" si="361"/>
        <v/>
      </c>
      <c r="AY519" s="32" t="str">
        <f t="shared" si="362"/>
        <v/>
      </c>
    </row>
    <row r="520" spans="1:51" x14ac:dyDescent="0.25">
      <c r="A520" s="24" t="str">
        <f t="shared" si="363"/>
        <v/>
      </c>
      <c r="B520" s="24" t="str">
        <f t="shared" si="373"/>
        <v/>
      </c>
      <c r="C520" s="32" t="str">
        <f t="shared" si="364"/>
        <v/>
      </c>
      <c r="D520" s="24" t="str">
        <f t="shared" si="365"/>
        <v/>
      </c>
      <c r="E520" s="24" t="str">
        <f t="shared" si="366"/>
        <v/>
      </c>
      <c r="F520" s="32" t="str">
        <f t="shared" si="367"/>
        <v/>
      </c>
      <c r="G520" s="32" t="str">
        <f t="shared" si="368"/>
        <v/>
      </c>
      <c r="H520" s="32" t="str">
        <f t="shared" ca="1" si="369"/>
        <v/>
      </c>
      <c r="I520" s="32" t="str">
        <f t="shared" ca="1" si="374"/>
        <v/>
      </c>
      <c r="J520" s="32" t="str">
        <f t="shared" si="370"/>
        <v/>
      </c>
      <c r="K520" s="32" t="str">
        <f>IF(ISNUMBER(A520),Profile!$V$25+Profile!$V$24*'Ri-Po'!C520,"")</f>
        <v/>
      </c>
      <c r="L520" s="32" t="str">
        <f t="shared" si="375"/>
        <v/>
      </c>
      <c r="M520" s="32" t="str">
        <f t="shared" si="371"/>
        <v/>
      </c>
      <c r="N520" s="32" t="str">
        <f t="shared" si="372"/>
        <v/>
      </c>
      <c r="O520" s="32" t="str">
        <f t="shared" si="388"/>
        <v/>
      </c>
      <c r="P520" s="32" t="str">
        <f t="shared" si="376"/>
        <v/>
      </c>
      <c r="Q520" s="32" t="str">
        <f t="shared" si="377"/>
        <v/>
      </c>
      <c r="R520" s="32" t="str">
        <f t="shared" si="389"/>
        <v/>
      </c>
      <c r="S520" s="24" t="str">
        <f t="shared" si="390"/>
        <v/>
      </c>
      <c r="T520" s="24" t="str">
        <f t="shared" si="391"/>
        <v/>
      </c>
      <c r="U520" s="24" t="str">
        <f t="shared" si="392"/>
        <v/>
      </c>
      <c r="V520" s="24" t="str">
        <f t="shared" si="393"/>
        <v/>
      </c>
      <c r="W520" s="23" t="str">
        <f t="array" ref="W520">IFERROR(SMALL(IF(S$1:S$1000="BEGIN",ROW(S$1:S$1000)),ROW()-3),"")</f>
        <v/>
      </c>
      <c r="X520" s="23" t="str">
        <f t="array" ref="X520">IFERROR(SMALL(IF(T$1:T$1000="END",ROW(T$1:T$1000)),ROW()-3),"")</f>
        <v/>
      </c>
      <c r="Y520" s="33" t="str">
        <f t="array" ref="Y520">IF(ISNUMBER(W520),MAX(IF((B$4:B$1000&lt;=X520)*(B$4:B$1000&gt;=W520),I$4:I$1000, "")),"")</f>
        <v/>
      </c>
      <c r="Z520" s="33" t="str">
        <f t="shared" si="378"/>
        <v/>
      </c>
      <c r="AA520" s="32" t="str">
        <f t="shared" si="379"/>
        <v/>
      </c>
      <c r="AB520" s="32" t="str">
        <f t="shared" si="380"/>
        <v/>
      </c>
      <c r="AC520" s="32" t="str">
        <f t="shared" si="381"/>
        <v/>
      </c>
      <c r="AD520" s="32" t="str">
        <f t="shared" si="382"/>
        <v/>
      </c>
      <c r="AE520" s="34" t="str">
        <f t="shared" si="383"/>
        <v/>
      </c>
      <c r="AF520" s="32" t="str">
        <f t="shared" si="384"/>
        <v/>
      </c>
      <c r="AG520" s="32" t="str">
        <f t="shared" si="385"/>
        <v/>
      </c>
      <c r="AH520" s="32" t="str">
        <f t="shared" si="386"/>
        <v/>
      </c>
      <c r="AI520" s="35" t="str">
        <f t="shared" si="387"/>
        <v/>
      </c>
      <c r="AJ520" s="23" t="str">
        <f t="array" ref="AJ520">IFERROR(SMALL(IF(U$1:U$1000="BEGIN",ROW(U$1:U$1000)),ROW()-3),"")</f>
        <v/>
      </c>
      <c r="AK520" s="23" t="str">
        <f t="array" ref="AK520">IFERROR(SMALL(IF(V$1:V$1000="END",ROW(V$1:V$1000)),ROW()-3),"")</f>
        <v/>
      </c>
      <c r="AL520" s="24" t="str">
        <f t="array" ref="AL520">IF(AK520="","",MATCH(AM520,L:L,0))</f>
        <v/>
      </c>
      <c r="AM520" s="35">
        <f t="array" ref="AM520">MAX(IF((B$4:B$1000&lt;=AK520)*(B$4:B$1000&gt;=AJ520),L$4:L$1000, ""))</f>
        <v>0</v>
      </c>
      <c r="AN520" s="32" t="str">
        <f t="shared" si="351"/>
        <v/>
      </c>
      <c r="AO520" s="32" t="str">
        <f t="shared" si="352"/>
        <v/>
      </c>
      <c r="AP520" s="32" t="str">
        <f t="shared" si="353"/>
        <v/>
      </c>
      <c r="AQ520" s="32" t="str">
        <f t="shared" si="354"/>
        <v/>
      </c>
      <c r="AR520" s="32" t="str">
        <f t="shared" si="355"/>
        <v/>
      </c>
      <c r="AS520" s="32" t="str">
        <f t="shared" si="356"/>
        <v/>
      </c>
      <c r="AT520" s="32" t="str">
        <f t="shared" si="357"/>
        <v/>
      </c>
      <c r="AU520" s="34" t="str">
        <f t="shared" si="358"/>
        <v/>
      </c>
      <c r="AV520" s="32" t="str">
        <f t="shared" si="359"/>
        <v/>
      </c>
      <c r="AW520" s="32" t="str">
        <f t="shared" si="360"/>
        <v/>
      </c>
      <c r="AX520" s="32" t="str">
        <f t="shared" si="361"/>
        <v/>
      </c>
      <c r="AY520" s="32" t="str">
        <f t="shared" si="362"/>
        <v/>
      </c>
    </row>
    <row r="521" spans="1:51" x14ac:dyDescent="0.25">
      <c r="A521" s="24" t="str">
        <f t="shared" si="363"/>
        <v/>
      </c>
      <c r="B521" s="24" t="str">
        <f t="shared" si="373"/>
        <v/>
      </c>
      <c r="C521" s="32" t="str">
        <f t="shared" si="364"/>
        <v/>
      </c>
      <c r="D521" s="24" t="str">
        <f t="shared" si="365"/>
        <v/>
      </c>
      <c r="E521" s="24" t="str">
        <f t="shared" si="366"/>
        <v/>
      </c>
      <c r="F521" s="32" t="str">
        <f t="shared" si="367"/>
        <v/>
      </c>
      <c r="G521" s="32" t="str">
        <f t="shared" si="368"/>
        <v/>
      </c>
      <c r="H521" s="32" t="str">
        <f t="shared" ca="1" si="369"/>
        <v/>
      </c>
      <c r="I521" s="32" t="str">
        <f t="shared" ca="1" si="374"/>
        <v/>
      </c>
      <c r="J521" s="32" t="str">
        <f t="shared" si="370"/>
        <v/>
      </c>
      <c r="K521" s="32" t="str">
        <f>IF(ISNUMBER(A521),Profile!$V$25+Profile!$V$24*'Ri-Po'!C521,"")</f>
        <v/>
      </c>
      <c r="L521" s="32" t="str">
        <f t="shared" si="375"/>
        <v/>
      </c>
      <c r="M521" s="32" t="str">
        <f t="shared" si="371"/>
        <v/>
      </c>
      <c r="N521" s="32" t="str">
        <f t="shared" si="372"/>
        <v/>
      </c>
      <c r="O521" s="32" t="str">
        <f t="shared" si="388"/>
        <v/>
      </c>
      <c r="P521" s="32" t="str">
        <f t="shared" si="376"/>
        <v/>
      </c>
      <c r="Q521" s="32" t="str">
        <f t="shared" si="377"/>
        <v/>
      </c>
      <c r="R521" s="32" t="str">
        <f t="shared" si="389"/>
        <v/>
      </c>
      <c r="S521" s="24" t="str">
        <f t="shared" si="390"/>
        <v/>
      </c>
      <c r="T521" s="24" t="str">
        <f t="shared" si="391"/>
        <v/>
      </c>
      <c r="U521" s="24" t="str">
        <f t="shared" si="392"/>
        <v/>
      </c>
      <c r="V521" s="24" t="str">
        <f t="shared" si="393"/>
        <v/>
      </c>
      <c r="W521" s="23" t="str">
        <f t="array" ref="W521">IFERROR(SMALL(IF(S$1:S$1000="BEGIN",ROW(S$1:S$1000)),ROW()-3),"")</f>
        <v/>
      </c>
      <c r="X521" s="23" t="str">
        <f t="array" ref="X521">IFERROR(SMALL(IF(T$1:T$1000="END",ROW(T$1:T$1000)),ROW()-3),"")</f>
        <v/>
      </c>
      <c r="Y521" s="33" t="str">
        <f t="array" ref="Y521">IF(ISNUMBER(W521),MAX(IF((B$4:B$1000&lt;=X521)*(B$4:B$1000&gt;=W521),I$4:I$1000, "")),"")</f>
        <v/>
      </c>
      <c r="Z521" s="33" t="str">
        <f t="shared" si="378"/>
        <v/>
      </c>
      <c r="AA521" s="32" t="str">
        <f t="shared" si="379"/>
        <v/>
      </c>
      <c r="AB521" s="32" t="str">
        <f t="shared" si="380"/>
        <v/>
      </c>
      <c r="AC521" s="32" t="str">
        <f t="shared" si="381"/>
        <v/>
      </c>
      <c r="AD521" s="32" t="str">
        <f t="shared" si="382"/>
        <v/>
      </c>
      <c r="AE521" s="34" t="str">
        <f t="shared" si="383"/>
        <v/>
      </c>
      <c r="AF521" s="32" t="str">
        <f t="shared" si="384"/>
        <v/>
      </c>
      <c r="AG521" s="32" t="str">
        <f t="shared" si="385"/>
        <v/>
      </c>
      <c r="AH521" s="32" t="str">
        <f t="shared" si="386"/>
        <v/>
      </c>
      <c r="AI521" s="35" t="str">
        <f t="shared" si="387"/>
        <v/>
      </c>
      <c r="AJ521" s="23" t="str">
        <f t="array" ref="AJ521">IFERROR(SMALL(IF(U$1:U$1000="BEGIN",ROW(U$1:U$1000)),ROW()-3),"")</f>
        <v/>
      </c>
      <c r="AK521" s="23" t="str">
        <f t="array" ref="AK521">IFERROR(SMALL(IF(V$1:V$1000="END",ROW(V$1:V$1000)),ROW()-3),"")</f>
        <v/>
      </c>
      <c r="AL521" s="24" t="str">
        <f t="array" ref="AL521">IF(AK521="","",MATCH(AM521,L:L,0))</f>
        <v/>
      </c>
      <c r="AM521" s="35">
        <f t="array" ref="AM521">MAX(IF((B$4:B$1000&lt;=AK521)*(B$4:B$1000&gt;=AJ521),L$4:L$1000, ""))</f>
        <v>0</v>
      </c>
      <c r="AN521" s="32" t="str">
        <f t="shared" si="351"/>
        <v/>
      </c>
      <c r="AO521" s="32" t="str">
        <f t="shared" si="352"/>
        <v/>
      </c>
      <c r="AP521" s="32" t="str">
        <f t="shared" si="353"/>
        <v/>
      </c>
      <c r="AQ521" s="32" t="str">
        <f t="shared" si="354"/>
        <v/>
      </c>
      <c r="AR521" s="32" t="str">
        <f t="shared" si="355"/>
        <v/>
      </c>
      <c r="AS521" s="32" t="str">
        <f t="shared" si="356"/>
        <v/>
      </c>
      <c r="AT521" s="32" t="str">
        <f t="shared" si="357"/>
        <v/>
      </c>
      <c r="AU521" s="34" t="str">
        <f t="shared" si="358"/>
        <v/>
      </c>
      <c r="AV521" s="32" t="str">
        <f t="shared" si="359"/>
        <v/>
      </c>
      <c r="AW521" s="32" t="str">
        <f t="shared" si="360"/>
        <v/>
      </c>
      <c r="AX521" s="32" t="str">
        <f t="shared" si="361"/>
        <v/>
      </c>
      <c r="AY521" s="32" t="str">
        <f t="shared" si="362"/>
        <v/>
      </c>
    </row>
    <row r="522" spans="1:51" x14ac:dyDescent="0.25">
      <c r="A522" s="24" t="str">
        <f t="shared" si="363"/>
        <v/>
      </c>
      <c r="B522" s="24" t="str">
        <f t="shared" si="373"/>
        <v/>
      </c>
      <c r="C522" s="32" t="str">
        <f t="shared" si="364"/>
        <v/>
      </c>
      <c r="D522" s="24" t="str">
        <f t="shared" si="365"/>
        <v/>
      </c>
      <c r="E522" s="24" t="str">
        <f t="shared" si="366"/>
        <v/>
      </c>
      <c r="F522" s="32" t="str">
        <f t="shared" si="367"/>
        <v/>
      </c>
      <c r="G522" s="32" t="str">
        <f t="shared" si="368"/>
        <v/>
      </c>
      <c r="H522" s="32" t="str">
        <f t="shared" ca="1" si="369"/>
        <v/>
      </c>
      <c r="I522" s="32" t="str">
        <f t="shared" ca="1" si="374"/>
        <v/>
      </c>
      <c r="J522" s="32" t="str">
        <f t="shared" si="370"/>
        <v/>
      </c>
      <c r="K522" s="32" t="str">
        <f>IF(ISNUMBER(A522),Profile!$V$25+Profile!$V$24*'Ri-Po'!C522,"")</f>
        <v/>
      </c>
      <c r="L522" s="32" t="str">
        <f t="shared" si="375"/>
        <v/>
      </c>
      <c r="M522" s="32" t="str">
        <f t="shared" si="371"/>
        <v/>
      </c>
      <c r="N522" s="32" t="str">
        <f t="shared" si="372"/>
        <v/>
      </c>
      <c r="O522" s="32" t="str">
        <f t="shared" si="388"/>
        <v/>
      </c>
      <c r="P522" s="32" t="str">
        <f t="shared" si="376"/>
        <v/>
      </c>
      <c r="Q522" s="32" t="str">
        <f t="shared" si="377"/>
        <v/>
      </c>
      <c r="R522" s="32" t="str">
        <f t="shared" si="389"/>
        <v/>
      </c>
      <c r="S522" s="24" t="str">
        <f t="shared" si="390"/>
        <v/>
      </c>
      <c r="T522" s="24" t="str">
        <f t="shared" si="391"/>
        <v/>
      </c>
      <c r="U522" s="24" t="str">
        <f t="shared" si="392"/>
        <v/>
      </c>
      <c r="V522" s="24" t="str">
        <f t="shared" si="393"/>
        <v/>
      </c>
      <c r="W522" s="23" t="str">
        <f t="array" ref="W522">IFERROR(SMALL(IF(S$1:S$1000="BEGIN",ROW(S$1:S$1000)),ROW()-3),"")</f>
        <v/>
      </c>
      <c r="X522" s="23" t="str">
        <f t="array" ref="X522">IFERROR(SMALL(IF(T$1:T$1000="END",ROW(T$1:T$1000)),ROW()-3),"")</f>
        <v/>
      </c>
      <c r="Y522" s="33" t="str">
        <f t="array" ref="Y522">IF(ISNUMBER(W522),MAX(IF((B$4:B$1000&lt;=X522)*(B$4:B$1000&gt;=W522),I$4:I$1000, "")),"")</f>
        <v/>
      </c>
      <c r="Z522" s="33" t="str">
        <f t="shared" si="378"/>
        <v/>
      </c>
      <c r="AA522" s="32" t="str">
        <f t="shared" si="379"/>
        <v/>
      </c>
      <c r="AB522" s="32" t="str">
        <f t="shared" si="380"/>
        <v/>
      </c>
      <c r="AC522" s="32" t="str">
        <f t="shared" si="381"/>
        <v/>
      </c>
      <c r="AD522" s="32" t="str">
        <f t="shared" si="382"/>
        <v/>
      </c>
      <c r="AE522" s="34" t="str">
        <f t="shared" si="383"/>
        <v/>
      </c>
      <c r="AF522" s="32" t="str">
        <f t="shared" si="384"/>
        <v/>
      </c>
      <c r="AG522" s="32" t="str">
        <f t="shared" si="385"/>
        <v/>
      </c>
      <c r="AH522" s="32" t="str">
        <f t="shared" si="386"/>
        <v/>
      </c>
      <c r="AI522" s="35" t="str">
        <f t="shared" si="387"/>
        <v/>
      </c>
      <c r="AJ522" s="23" t="str">
        <f t="array" ref="AJ522">IFERROR(SMALL(IF(U$1:U$1000="BEGIN",ROW(U$1:U$1000)),ROW()-3),"")</f>
        <v/>
      </c>
      <c r="AK522" s="23" t="str">
        <f t="array" ref="AK522">IFERROR(SMALL(IF(V$1:V$1000="END",ROW(V$1:V$1000)),ROW()-3),"")</f>
        <v/>
      </c>
      <c r="AL522" s="24" t="str">
        <f t="array" ref="AL522">IF(AK522="","",MATCH(AM522,L:L,0))</f>
        <v/>
      </c>
      <c r="AM522" s="35">
        <f t="array" ref="AM522">MAX(IF((B$4:B$1000&lt;=AK522)*(B$4:B$1000&gt;=AJ522),L$4:L$1000, ""))</f>
        <v>0</v>
      </c>
      <c r="AN522" s="32" t="str">
        <f t="shared" si="351"/>
        <v/>
      </c>
      <c r="AO522" s="32" t="str">
        <f t="shared" si="352"/>
        <v/>
      </c>
      <c r="AP522" s="32" t="str">
        <f t="shared" si="353"/>
        <v/>
      </c>
      <c r="AQ522" s="32" t="str">
        <f t="shared" si="354"/>
        <v/>
      </c>
      <c r="AR522" s="32" t="str">
        <f t="shared" si="355"/>
        <v/>
      </c>
      <c r="AS522" s="32" t="str">
        <f t="shared" si="356"/>
        <v/>
      </c>
      <c r="AT522" s="32" t="str">
        <f t="shared" si="357"/>
        <v/>
      </c>
      <c r="AU522" s="34" t="str">
        <f t="shared" si="358"/>
        <v/>
      </c>
      <c r="AV522" s="32" t="str">
        <f t="shared" si="359"/>
        <v/>
      </c>
      <c r="AW522" s="32" t="str">
        <f t="shared" si="360"/>
        <v/>
      </c>
      <c r="AX522" s="32" t="str">
        <f t="shared" si="361"/>
        <v/>
      </c>
      <c r="AY522" s="32" t="str">
        <f t="shared" si="362"/>
        <v/>
      </c>
    </row>
    <row r="523" spans="1:51" x14ac:dyDescent="0.25">
      <c r="A523" s="24" t="str">
        <f t="shared" si="363"/>
        <v/>
      </c>
      <c r="B523" s="24" t="str">
        <f t="shared" si="373"/>
        <v/>
      </c>
      <c r="C523" s="32" t="str">
        <f t="shared" si="364"/>
        <v/>
      </c>
      <c r="D523" s="24" t="str">
        <f t="shared" si="365"/>
        <v/>
      </c>
      <c r="E523" s="24" t="str">
        <f t="shared" si="366"/>
        <v/>
      </c>
      <c r="F523" s="32" t="str">
        <f t="shared" si="367"/>
        <v/>
      </c>
      <c r="G523" s="32" t="str">
        <f t="shared" si="368"/>
        <v/>
      </c>
      <c r="H523" s="32" t="str">
        <f t="shared" ca="1" si="369"/>
        <v/>
      </c>
      <c r="I523" s="32" t="str">
        <f t="shared" ca="1" si="374"/>
        <v/>
      </c>
      <c r="J523" s="32" t="str">
        <f t="shared" si="370"/>
        <v/>
      </c>
      <c r="K523" s="32" t="str">
        <f>IF(ISNUMBER(A523),Profile!$V$25+Profile!$V$24*'Ri-Po'!C523,"")</f>
        <v/>
      </c>
      <c r="L523" s="32" t="str">
        <f t="shared" si="375"/>
        <v/>
      </c>
      <c r="M523" s="32" t="str">
        <f t="shared" si="371"/>
        <v/>
      </c>
      <c r="N523" s="32" t="str">
        <f t="shared" si="372"/>
        <v/>
      </c>
      <c r="O523" s="32" t="str">
        <f t="shared" si="388"/>
        <v/>
      </c>
      <c r="P523" s="32" t="str">
        <f t="shared" si="376"/>
        <v/>
      </c>
      <c r="Q523" s="32" t="str">
        <f t="shared" si="377"/>
        <v/>
      </c>
      <c r="R523" s="32" t="str">
        <f t="shared" si="389"/>
        <v/>
      </c>
      <c r="S523" s="24" t="str">
        <f t="shared" si="390"/>
        <v/>
      </c>
      <c r="T523" s="24" t="str">
        <f t="shared" si="391"/>
        <v/>
      </c>
      <c r="U523" s="24" t="str">
        <f t="shared" si="392"/>
        <v/>
      </c>
      <c r="V523" s="24" t="str">
        <f t="shared" si="393"/>
        <v/>
      </c>
      <c r="W523" s="23" t="str">
        <f t="array" ref="W523">IFERROR(SMALL(IF(S$1:S$1000="BEGIN",ROW(S$1:S$1000)),ROW()-3),"")</f>
        <v/>
      </c>
      <c r="X523" s="23" t="str">
        <f t="array" ref="X523">IFERROR(SMALL(IF(T$1:T$1000="END",ROW(T$1:T$1000)),ROW()-3),"")</f>
        <v/>
      </c>
      <c r="Y523" s="33" t="str">
        <f t="array" ref="Y523">IF(ISNUMBER(W523),MAX(IF((B$4:B$1000&lt;=X523)*(B$4:B$1000&gt;=W523),I$4:I$1000, "")),"")</f>
        <v/>
      </c>
      <c r="Z523" s="33" t="str">
        <f t="shared" si="378"/>
        <v/>
      </c>
      <c r="AA523" s="32" t="str">
        <f t="shared" si="379"/>
        <v/>
      </c>
      <c r="AB523" s="32" t="str">
        <f t="shared" si="380"/>
        <v/>
      </c>
      <c r="AC523" s="32" t="str">
        <f t="shared" si="381"/>
        <v/>
      </c>
      <c r="AD523" s="32" t="str">
        <f t="shared" si="382"/>
        <v/>
      </c>
      <c r="AE523" s="34" t="str">
        <f t="shared" si="383"/>
        <v/>
      </c>
      <c r="AF523" s="32" t="str">
        <f t="shared" si="384"/>
        <v/>
      </c>
      <c r="AG523" s="32" t="str">
        <f t="shared" si="385"/>
        <v/>
      </c>
      <c r="AH523" s="32" t="str">
        <f t="shared" si="386"/>
        <v/>
      </c>
      <c r="AI523" s="35" t="str">
        <f t="shared" si="387"/>
        <v/>
      </c>
      <c r="AJ523" s="23" t="str">
        <f t="array" ref="AJ523">IFERROR(SMALL(IF(U$1:U$1000="BEGIN",ROW(U$1:U$1000)),ROW()-3),"")</f>
        <v/>
      </c>
      <c r="AK523" s="23" t="str">
        <f t="array" ref="AK523">IFERROR(SMALL(IF(V$1:V$1000="END",ROW(V$1:V$1000)),ROW()-3),"")</f>
        <v/>
      </c>
      <c r="AL523" s="24" t="str">
        <f t="array" ref="AL523">IF(AK523="","",MATCH(AM523,L:L,0))</f>
        <v/>
      </c>
      <c r="AM523" s="35">
        <f t="array" ref="AM523">MAX(IF((B$4:B$1000&lt;=AK523)*(B$4:B$1000&gt;=AJ523),L$4:L$1000, ""))</f>
        <v>0</v>
      </c>
      <c r="AN523" s="32" t="str">
        <f t="shared" si="351"/>
        <v/>
      </c>
      <c r="AO523" s="32" t="str">
        <f t="shared" si="352"/>
        <v/>
      </c>
      <c r="AP523" s="32" t="str">
        <f t="shared" si="353"/>
        <v/>
      </c>
      <c r="AQ523" s="32" t="str">
        <f t="shared" si="354"/>
        <v/>
      </c>
      <c r="AR523" s="32" t="str">
        <f t="shared" si="355"/>
        <v/>
      </c>
      <c r="AS523" s="32" t="str">
        <f t="shared" si="356"/>
        <v/>
      </c>
      <c r="AT523" s="32" t="str">
        <f t="shared" si="357"/>
        <v/>
      </c>
      <c r="AU523" s="34" t="str">
        <f t="shared" si="358"/>
        <v/>
      </c>
      <c r="AV523" s="32" t="str">
        <f t="shared" si="359"/>
        <v/>
      </c>
      <c r="AW523" s="32" t="str">
        <f t="shared" si="360"/>
        <v/>
      </c>
      <c r="AX523" s="32" t="str">
        <f t="shared" si="361"/>
        <v/>
      </c>
      <c r="AY523" s="32" t="str">
        <f t="shared" si="362"/>
        <v/>
      </c>
    </row>
    <row r="524" spans="1:51" x14ac:dyDescent="0.25">
      <c r="A524" s="24" t="str">
        <f t="shared" si="363"/>
        <v/>
      </c>
      <c r="B524" s="24" t="str">
        <f t="shared" si="373"/>
        <v/>
      </c>
      <c r="C524" s="32" t="str">
        <f t="shared" si="364"/>
        <v/>
      </c>
      <c r="D524" s="24" t="str">
        <f t="shared" si="365"/>
        <v/>
      </c>
      <c r="E524" s="24" t="str">
        <f t="shared" si="366"/>
        <v/>
      </c>
      <c r="F524" s="32" t="str">
        <f t="shared" si="367"/>
        <v/>
      </c>
      <c r="G524" s="32" t="str">
        <f t="shared" si="368"/>
        <v/>
      </c>
      <c r="H524" s="32" t="str">
        <f t="shared" ca="1" si="369"/>
        <v/>
      </c>
      <c r="I524" s="32" t="str">
        <f t="shared" ca="1" si="374"/>
        <v/>
      </c>
      <c r="J524" s="32" t="str">
        <f t="shared" si="370"/>
        <v/>
      </c>
      <c r="K524" s="32" t="str">
        <f>IF(ISNUMBER(A524),Profile!$V$25+Profile!$V$24*'Ri-Po'!C524,"")</f>
        <v/>
      </c>
      <c r="L524" s="32" t="str">
        <f t="shared" si="375"/>
        <v/>
      </c>
      <c r="M524" s="32" t="str">
        <f t="shared" si="371"/>
        <v/>
      </c>
      <c r="N524" s="32" t="str">
        <f t="shared" si="372"/>
        <v/>
      </c>
      <c r="O524" s="32" t="str">
        <f t="shared" si="388"/>
        <v/>
      </c>
      <c r="P524" s="32" t="str">
        <f t="shared" si="376"/>
        <v/>
      </c>
      <c r="Q524" s="32" t="str">
        <f t="shared" si="377"/>
        <v/>
      </c>
      <c r="R524" s="32" t="str">
        <f t="shared" si="389"/>
        <v/>
      </c>
      <c r="S524" s="24" t="str">
        <f t="shared" si="390"/>
        <v/>
      </c>
      <c r="T524" s="24" t="str">
        <f t="shared" si="391"/>
        <v/>
      </c>
      <c r="U524" s="24" t="str">
        <f t="shared" si="392"/>
        <v/>
      </c>
      <c r="V524" s="24" t="str">
        <f t="shared" si="393"/>
        <v/>
      </c>
      <c r="W524" s="23" t="str">
        <f t="array" ref="W524">IFERROR(SMALL(IF(S$1:S$1000="BEGIN",ROW(S$1:S$1000)),ROW()-3),"")</f>
        <v/>
      </c>
      <c r="X524" s="23" t="str">
        <f t="array" ref="X524">IFERROR(SMALL(IF(T$1:T$1000="END",ROW(T$1:T$1000)),ROW()-3),"")</f>
        <v/>
      </c>
      <c r="Y524" s="33" t="str">
        <f t="array" ref="Y524">IF(ISNUMBER(W524),MAX(IF((B$4:B$1000&lt;=X524)*(B$4:B$1000&gt;=W524),I$4:I$1000, "")),"")</f>
        <v/>
      </c>
      <c r="Z524" s="33" t="str">
        <f t="shared" si="378"/>
        <v/>
      </c>
      <c r="AA524" s="32" t="str">
        <f t="shared" si="379"/>
        <v/>
      </c>
      <c r="AB524" s="32" t="str">
        <f t="shared" si="380"/>
        <v/>
      </c>
      <c r="AC524" s="32" t="str">
        <f t="shared" si="381"/>
        <v/>
      </c>
      <c r="AD524" s="32" t="str">
        <f t="shared" si="382"/>
        <v/>
      </c>
      <c r="AE524" s="34" t="str">
        <f t="shared" si="383"/>
        <v/>
      </c>
      <c r="AF524" s="32" t="str">
        <f t="shared" si="384"/>
        <v/>
      </c>
      <c r="AG524" s="32" t="str">
        <f t="shared" si="385"/>
        <v/>
      </c>
      <c r="AH524" s="32" t="str">
        <f t="shared" si="386"/>
        <v/>
      </c>
      <c r="AI524" s="35" t="str">
        <f t="shared" si="387"/>
        <v/>
      </c>
      <c r="AJ524" s="23" t="str">
        <f t="array" ref="AJ524">IFERROR(SMALL(IF(U$1:U$1000="BEGIN",ROW(U$1:U$1000)),ROW()-3),"")</f>
        <v/>
      </c>
      <c r="AK524" s="23" t="str">
        <f t="array" ref="AK524">IFERROR(SMALL(IF(V$1:V$1000="END",ROW(V$1:V$1000)),ROW()-3),"")</f>
        <v/>
      </c>
      <c r="AL524" s="24" t="str">
        <f t="array" ref="AL524">IF(AK524="","",MATCH(AM524,L:L,0))</f>
        <v/>
      </c>
      <c r="AM524" s="35">
        <f t="array" ref="AM524">MAX(IF((B$4:B$1000&lt;=AK524)*(B$4:B$1000&gt;=AJ524),L$4:L$1000, ""))</f>
        <v>0</v>
      </c>
      <c r="AN524" s="32" t="str">
        <f t="shared" si="351"/>
        <v/>
      </c>
      <c r="AO524" s="32" t="str">
        <f t="shared" si="352"/>
        <v/>
      </c>
      <c r="AP524" s="32" t="str">
        <f t="shared" si="353"/>
        <v/>
      </c>
      <c r="AQ524" s="32" t="str">
        <f t="shared" si="354"/>
        <v/>
      </c>
      <c r="AR524" s="32" t="str">
        <f t="shared" si="355"/>
        <v/>
      </c>
      <c r="AS524" s="32" t="str">
        <f t="shared" si="356"/>
        <v/>
      </c>
      <c r="AT524" s="32" t="str">
        <f t="shared" si="357"/>
        <v/>
      </c>
      <c r="AU524" s="34" t="str">
        <f t="shared" si="358"/>
        <v/>
      </c>
      <c r="AV524" s="32" t="str">
        <f t="shared" si="359"/>
        <v/>
      </c>
      <c r="AW524" s="32" t="str">
        <f t="shared" si="360"/>
        <v/>
      </c>
      <c r="AX524" s="32" t="str">
        <f t="shared" si="361"/>
        <v/>
      </c>
      <c r="AY524" s="32" t="str">
        <f t="shared" si="362"/>
        <v/>
      </c>
    </row>
    <row r="525" spans="1:51" x14ac:dyDescent="0.25">
      <c r="A525" s="24" t="str">
        <f t="shared" si="363"/>
        <v/>
      </c>
      <c r="B525" s="24" t="str">
        <f t="shared" si="373"/>
        <v/>
      </c>
      <c r="C525" s="32" t="str">
        <f t="shared" si="364"/>
        <v/>
      </c>
      <c r="D525" s="24" t="str">
        <f t="shared" si="365"/>
        <v/>
      </c>
      <c r="E525" s="24" t="str">
        <f t="shared" si="366"/>
        <v/>
      </c>
      <c r="F525" s="32" t="str">
        <f t="shared" si="367"/>
        <v/>
      </c>
      <c r="G525" s="32" t="str">
        <f t="shared" si="368"/>
        <v/>
      </c>
      <c r="H525" s="32" t="str">
        <f t="shared" ca="1" si="369"/>
        <v/>
      </c>
      <c r="I525" s="32" t="str">
        <f t="shared" ca="1" si="374"/>
        <v/>
      </c>
      <c r="J525" s="32" t="str">
        <f t="shared" si="370"/>
        <v/>
      </c>
      <c r="K525" s="32" t="str">
        <f>IF(ISNUMBER(A525),Profile!$V$25+Profile!$V$24*'Ri-Po'!C525,"")</f>
        <v/>
      </c>
      <c r="L525" s="32" t="str">
        <f t="shared" si="375"/>
        <v/>
      </c>
      <c r="M525" s="32" t="str">
        <f t="shared" si="371"/>
        <v/>
      </c>
      <c r="N525" s="32" t="str">
        <f t="shared" si="372"/>
        <v/>
      </c>
      <c r="O525" s="32" t="str">
        <f t="shared" si="388"/>
        <v/>
      </c>
      <c r="P525" s="32" t="str">
        <f t="shared" si="376"/>
        <v/>
      </c>
      <c r="Q525" s="32" t="str">
        <f t="shared" si="377"/>
        <v/>
      </c>
      <c r="R525" s="32" t="str">
        <f t="shared" si="389"/>
        <v/>
      </c>
      <c r="S525" s="24" t="str">
        <f t="shared" si="390"/>
        <v/>
      </c>
      <c r="T525" s="24" t="str">
        <f t="shared" si="391"/>
        <v/>
      </c>
      <c r="U525" s="24" t="str">
        <f t="shared" si="392"/>
        <v/>
      </c>
      <c r="V525" s="24" t="str">
        <f t="shared" si="393"/>
        <v/>
      </c>
      <c r="W525" s="23" t="str">
        <f t="array" ref="W525">IFERROR(SMALL(IF(S$1:S$1000="BEGIN",ROW(S$1:S$1000)),ROW()-3),"")</f>
        <v/>
      </c>
      <c r="X525" s="23" t="str">
        <f t="array" ref="X525">IFERROR(SMALL(IF(T$1:T$1000="END",ROW(T$1:T$1000)),ROW()-3),"")</f>
        <v/>
      </c>
      <c r="Y525" s="33" t="str">
        <f t="array" ref="Y525">IF(ISNUMBER(W525),MAX(IF((B$4:B$1000&lt;=X525)*(B$4:B$1000&gt;=W525),I$4:I$1000, "")),"")</f>
        <v/>
      </c>
      <c r="Z525" s="33" t="str">
        <f t="shared" si="378"/>
        <v/>
      </c>
      <c r="AA525" s="32" t="str">
        <f t="shared" si="379"/>
        <v/>
      </c>
      <c r="AB525" s="32" t="str">
        <f t="shared" si="380"/>
        <v/>
      </c>
      <c r="AC525" s="32" t="str">
        <f t="shared" si="381"/>
        <v/>
      </c>
      <c r="AD525" s="32" t="str">
        <f t="shared" si="382"/>
        <v/>
      </c>
      <c r="AE525" s="34" t="str">
        <f t="shared" si="383"/>
        <v/>
      </c>
      <c r="AF525" s="32" t="str">
        <f t="shared" si="384"/>
        <v/>
      </c>
      <c r="AG525" s="32" t="str">
        <f t="shared" si="385"/>
        <v/>
      </c>
      <c r="AH525" s="32" t="str">
        <f t="shared" si="386"/>
        <v/>
      </c>
      <c r="AI525" s="35" t="str">
        <f t="shared" si="387"/>
        <v/>
      </c>
      <c r="AJ525" s="23" t="str">
        <f t="array" ref="AJ525">IFERROR(SMALL(IF(U$1:U$1000="BEGIN",ROW(U$1:U$1000)),ROW()-3),"")</f>
        <v/>
      </c>
      <c r="AK525" s="23" t="str">
        <f t="array" ref="AK525">IFERROR(SMALL(IF(V$1:V$1000="END",ROW(V$1:V$1000)),ROW()-3),"")</f>
        <v/>
      </c>
      <c r="AL525" s="24" t="str">
        <f t="array" ref="AL525">IF(AK525="","",MATCH(AM525,L:L,0))</f>
        <v/>
      </c>
      <c r="AM525" s="35">
        <f t="array" ref="AM525">MAX(IF((B$4:B$1000&lt;=AK525)*(B$4:B$1000&gt;=AJ525),L$4:L$1000, ""))</f>
        <v>0</v>
      </c>
      <c r="AN525" s="32" t="str">
        <f t="shared" si="351"/>
        <v/>
      </c>
      <c r="AO525" s="32" t="str">
        <f t="shared" si="352"/>
        <v/>
      </c>
      <c r="AP525" s="32" t="str">
        <f t="shared" si="353"/>
        <v/>
      </c>
      <c r="AQ525" s="32" t="str">
        <f t="shared" si="354"/>
        <v/>
      </c>
      <c r="AR525" s="32" t="str">
        <f t="shared" si="355"/>
        <v/>
      </c>
      <c r="AS525" s="32" t="str">
        <f t="shared" si="356"/>
        <v/>
      </c>
      <c r="AT525" s="32" t="str">
        <f t="shared" si="357"/>
        <v/>
      </c>
      <c r="AU525" s="34" t="str">
        <f t="shared" si="358"/>
        <v/>
      </c>
      <c r="AV525" s="32" t="str">
        <f t="shared" si="359"/>
        <v/>
      </c>
      <c r="AW525" s="32" t="str">
        <f t="shared" si="360"/>
        <v/>
      </c>
      <c r="AX525" s="32" t="str">
        <f t="shared" si="361"/>
        <v/>
      </c>
      <c r="AY525" s="32" t="str">
        <f t="shared" si="362"/>
        <v/>
      </c>
    </row>
    <row r="526" spans="1:51" x14ac:dyDescent="0.25">
      <c r="A526" s="24" t="str">
        <f t="shared" si="363"/>
        <v/>
      </c>
      <c r="B526" s="24" t="str">
        <f t="shared" si="373"/>
        <v/>
      </c>
      <c r="C526" s="32" t="str">
        <f t="shared" si="364"/>
        <v/>
      </c>
      <c r="D526" s="24" t="str">
        <f t="shared" si="365"/>
        <v/>
      </c>
      <c r="E526" s="24" t="str">
        <f t="shared" si="366"/>
        <v/>
      </c>
      <c r="F526" s="32" t="str">
        <f t="shared" si="367"/>
        <v/>
      </c>
      <c r="G526" s="32" t="str">
        <f t="shared" si="368"/>
        <v/>
      </c>
      <c r="H526" s="32" t="str">
        <f t="shared" ca="1" si="369"/>
        <v/>
      </c>
      <c r="I526" s="32" t="str">
        <f t="shared" ca="1" si="374"/>
        <v/>
      </c>
      <c r="J526" s="32" t="str">
        <f t="shared" si="370"/>
        <v/>
      </c>
      <c r="K526" s="32" t="str">
        <f>IF(ISNUMBER(A526),Profile!$V$25+Profile!$V$24*'Ri-Po'!C526,"")</f>
        <v/>
      </c>
      <c r="L526" s="32" t="str">
        <f t="shared" si="375"/>
        <v/>
      </c>
      <c r="M526" s="32" t="str">
        <f t="shared" si="371"/>
        <v/>
      </c>
      <c r="N526" s="32" t="str">
        <f t="shared" si="372"/>
        <v/>
      </c>
      <c r="O526" s="32" t="str">
        <f t="shared" si="388"/>
        <v/>
      </c>
      <c r="P526" s="32" t="str">
        <f t="shared" si="376"/>
        <v/>
      </c>
      <c r="Q526" s="32" t="str">
        <f t="shared" si="377"/>
        <v/>
      </c>
      <c r="R526" s="32" t="str">
        <f t="shared" si="389"/>
        <v/>
      </c>
      <c r="S526" s="24" t="str">
        <f t="shared" si="390"/>
        <v/>
      </c>
      <c r="T526" s="24" t="str">
        <f t="shared" si="391"/>
        <v/>
      </c>
      <c r="U526" s="24" t="str">
        <f t="shared" si="392"/>
        <v/>
      </c>
      <c r="V526" s="24" t="str">
        <f t="shared" si="393"/>
        <v/>
      </c>
      <c r="W526" s="23" t="str">
        <f t="array" ref="W526">IFERROR(SMALL(IF(S$1:S$1000="BEGIN",ROW(S$1:S$1000)),ROW()-3),"")</f>
        <v/>
      </c>
      <c r="X526" s="23" t="str">
        <f t="array" ref="X526">IFERROR(SMALL(IF(T$1:T$1000="END",ROW(T$1:T$1000)),ROW()-3),"")</f>
        <v/>
      </c>
      <c r="Y526" s="33" t="str">
        <f t="array" ref="Y526">IF(ISNUMBER(W526),MAX(IF((B$4:B$1000&lt;=X526)*(B$4:B$1000&gt;=W526),I$4:I$1000, "")),"")</f>
        <v/>
      </c>
      <c r="Z526" s="33" t="str">
        <f t="shared" si="378"/>
        <v/>
      </c>
      <c r="AA526" s="32" t="str">
        <f t="shared" si="379"/>
        <v/>
      </c>
      <c r="AB526" s="32" t="str">
        <f t="shared" si="380"/>
        <v/>
      </c>
      <c r="AC526" s="32" t="str">
        <f t="shared" si="381"/>
        <v/>
      </c>
      <c r="AD526" s="32" t="str">
        <f t="shared" si="382"/>
        <v/>
      </c>
      <c r="AE526" s="34" t="str">
        <f t="shared" si="383"/>
        <v/>
      </c>
      <c r="AF526" s="32" t="str">
        <f t="shared" si="384"/>
        <v/>
      </c>
      <c r="AG526" s="32" t="str">
        <f t="shared" si="385"/>
        <v/>
      </c>
      <c r="AH526" s="32" t="str">
        <f t="shared" si="386"/>
        <v/>
      </c>
      <c r="AI526" s="35" t="str">
        <f t="shared" si="387"/>
        <v/>
      </c>
      <c r="AJ526" s="23" t="str">
        <f t="array" ref="AJ526">IFERROR(SMALL(IF(U$1:U$1000="BEGIN",ROW(U$1:U$1000)),ROW()-3),"")</f>
        <v/>
      </c>
      <c r="AK526" s="23" t="str">
        <f t="array" ref="AK526">IFERROR(SMALL(IF(V$1:V$1000="END",ROW(V$1:V$1000)),ROW()-3),"")</f>
        <v/>
      </c>
      <c r="AL526" s="24" t="str">
        <f t="array" ref="AL526">IF(AK526="","",MATCH(AM526,L:L,0))</f>
        <v/>
      </c>
      <c r="AM526" s="35">
        <f t="array" ref="AM526">MAX(IF((B$4:B$1000&lt;=AK526)*(B$4:B$1000&gt;=AJ526),L$4:L$1000, ""))</f>
        <v>0</v>
      </c>
      <c r="AN526" s="32" t="str">
        <f t="shared" si="351"/>
        <v/>
      </c>
      <c r="AO526" s="32" t="str">
        <f t="shared" si="352"/>
        <v/>
      </c>
      <c r="AP526" s="32" t="str">
        <f t="shared" si="353"/>
        <v/>
      </c>
      <c r="AQ526" s="32" t="str">
        <f t="shared" si="354"/>
        <v/>
      </c>
      <c r="AR526" s="32" t="str">
        <f t="shared" si="355"/>
        <v/>
      </c>
      <c r="AS526" s="32" t="str">
        <f t="shared" si="356"/>
        <v/>
      </c>
      <c r="AT526" s="32" t="str">
        <f t="shared" si="357"/>
        <v/>
      </c>
      <c r="AU526" s="34" t="str">
        <f t="shared" si="358"/>
        <v/>
      </c>
      <c r="AV526" s="32" t="str">
        <f t="shared" si="359"/>
        <v/>
      </c>
      <c r="AW526" s="32" t="str">
        <f t="shared" si="360"/>
        <v/>
      </c>
      <c r="AX526" s="32" t="str">
        <f t="shared" si="361"/>
        <v/>
      </c>
      <c r="AY526" s="32" t="str">
        <f t="shared" si="362"/>
        <v/>
      </c>
    </row>
    <row r="527" spans="1:51" x14ac:dyDescent="0.25">
      <c r="A527" s="24" t="str">
        <f t="shared" si="363"/>
        <v/>
      </c>
      <c r="B527" s="24" t="str">
        <f t="shared" si="373"/>
        <v/>
      </c>
      <c r="C527" s="32" t="str">
        <f t="shared" si="364"/>
        <v/>
      </c>
      <c r="D527" s="24" t="str">
        <f t="shared" si="365"/>
        <v/>
      </c>
      <c r="E527" s="24" t="str">
        <f t="shared" si="366"/>
        <v/>
      </c>
      <c r="F527" s="32" t="str">
        <f t="shared" si="367"/>
        <v/>
      </c>
      <c r="G527" s="32" t="str">
        <f t="shared" si="368"/>
        <v/>
      </c>
      <c r="H527" s="32" t="str">
        <f t="shared" ca="1" si="369"/>
        <v/>
      </c>
      <c r="I527" s="32" t="str">
        <f t="shared" ca="1" si="374"/>
        <v/>
      </c>
      <c r="J527" s="32" t="str">
        <f t="shared" si="370"/>
        <v/>
      </c>
      <c r="K527" s="32" t="str">
        <f>IF(ISNUMBER(A527),Profile!$V$25+Profile!$V$24*'Ri-Po'!C527,"")</f>
        <v/>
      </c>
      <c r="L527" s="32" t="str">
        <f t="shared" si="375"/>
        <v/>
      </c>
      <c r="M527" s="32" t="str">
        <f t="shared" si="371"/>
        <v/>
      </c>
      <c r="N527" s="32" t="str">
        <f t="shared" si="372"/>
        <v/>
      </c>
      <c r="O527" s="32" t="str">
        <f t="shared" si="388"/>
        <v/>
      </c>
      <c r="P527" s="32" t="str">
        <f t="shared" si="376"/>
        <v/>
      </c>
      <c r="Q527" s="32" t="str">
        <f t="shared" si="377"/>
        <v/>
      </c>
      <c r="R527" s="32" t="str">
        <f t="shared" si="389"/>
        <v/>
      </c>
      <c r="S527" s="24" t="str">
        <f t="shared" si="390"/>
        <v/>
      </c>
      <c r="T527" s="24" t="str">
        <f t="shared" si="391"/>
        <v/>
      </c>
      <c r="U527" s="24" t="str">
        <f t="shared" si="392"/>
        <v/>
      </c>
      <c r="V527" s="24" t="str">
        <f t="shared" si="393"/>
        <v/>
      </c>
      <c r="W527" s="23" t="str">
        <f t="array" ref="W527">IFERROR(SMALL(IF(S$1:S$1000="BEGIN",ROW(S$1:S$1000)),ROW()-3),"")</f>
        <v/>
      </c>
      <c r="X527" s="23" t="str">
        <f t="array" ref="X527">IFERROR(SMALL(IF(T$1:T$1000="END",ROW(T$1:T$1000)),ROW()-3),"")</f>
        <v/>
      </c>
      <c r="Y527" s="33" t="str">
        <f t="array" ref="Y527">IF(ISNUMBER(W527),MAX(IF((B$4:B$1000&lt;=X527)*(B$4:B$1000&gt;=W527),I$4:I$1000, "")),"")</f>
        <v/>
      </c>
      <c r="Z527" s="33" t="str">
        <f t="shared" si="378"/>
        <v/>
      </c>
      <c r="AA527" s="32" t="str">
        <f t="shared" si="379"/>
        <v/>
      </c>
      <c r="AB527" s="32" t="str">
        <f t="shared" si="380"/>
        <v/>
      </c>
      <c r="AC527" s="32" t="str">
        <f t="shared" si="381"/>
        <v/>
      </c>
      <c r="AD527" s="32" t="str">
        <f t="shared" si="382"/>
        <v/>
      </c>
      <c r="AE527" s="34" t="str">
        <f t="shared" si="383"/>
        <v/>
      </c>
      <c r="AF527" s="32" t="str">
        <f t="shared" si="384"/>
        <v/>
      </c>
      <c r="AG527" s="32" t="str">
        <f t="shared" si="385"/>
        <v/>
      </c>
      <c r="AH527" s="32" t="str">
        <f t="shared" si="386"/>
        <v/>
      </c>
      <c r="AI527" s="35" t="str">
        <f t="shared" si="387"/>
        <v/>
      </c>
      <c r="AJ527" s="23" t="str">
        <f t="array" ref="AJ527">IFERROR(SMALL(IF(U$1:U$1000="BEGIN",ROW(U$1:U$1000)),ROW()-3),"")</f>
        <v/>
      </c>
      <c r="AK527" s="23" t="str">
        <f t="array" ref="AK527">IFERROR(SMALL(IF(V$1:V$1000="END",ROW(V$1:V$1000)),ROW()-3),"")</f>
        <v/>
      </c>
      <c r="AL527" s="24" t="str">
        <f t="array" ref="AL527">IF(AK527="","",MATCH(AM527,L:L,0))</f>
        <v/>
      </c>
      <c r="AM527" s="35">
        <f t="array" ref="AM527">MAX(IF((B$4:B$1000&lt;=AK527)*(B$4:B$1000&gt;=AJ527),L$4:L$1000, ""))</f>
        <v>0</v>
      </c>
      <c r="AN527" s="32" t="str">
        <f t="shared" si="351"/>
        <v/>
      </c>
      <c r="AO527" s="32" t="str">
        <f t="shared" si="352"/>
        <v/>
      </c>
      <c r="AP527" s="32" t="str">
        <f t="shared" si="353"/>
        <v/>
      </c>
      <c r="AQ527" s="32" t="str">
        <f t="shared" si="354"/>
        <v/>
      </c>
      <c r="AR527" s="32" t="str">
        <f t="shared" si="355"/>
        <v/>
      </c>
      <c r="AS527" s="32" t="str">
        <f t="shared" si="356"/>
        <v/>
      </c>
      <c r="AT527" s="32" t="str">
        <f t="shared" si="357"/>
        <v/>
      </c>
      <c r="AU527" s="34" t="str">
        <f t="shared" si="358"/>
        <v/>
      </c>
      <c r="AV527" s="32" t="str">
        <f t="shared" si="359"/>
        <v/>
      </c>
      <c r="AW527" s="32" t="str">
        <f t="shared" si="360"/>
        <v/>
      </c>
      <c r="AX527" s="32" t="str">
        <f t="shared" si="361"/>
        <v/>
      </c>
      <c r="AY527" s="32" t="str">
        <f t="shared" si="362"/>
        <v/>
      </c>
    </row>
    <row r="528" spans="1:51" x14ac:dyDescent="0.25">
      <c r="A528" s="24" t="str">
        <f t="shared" si="363"/>
        <v/>
      </c>
      <c r="B528" s="24" t="str">
        <f t="shared" si="373"/>
        <v/>
      </c>
      <c r="C528" s="32" t="str">
        <f t="shared" si="364"/>
        <v/>
      </c>
      <c r="D528" s="24" t="str">
        <f t="shared" si="365"/>
        <v/>
      </c>
      <c r="E528" s="24" t="str">
        <f t="shared" si="366"/>
        <v/>
      </c>
      <c r="F528" s="32" t="str">
        <f t="shared" si="367"/>
        <v/>
      </c>
      <c r="G528" s="32" t="str">
        <f t="shared" si="368"/>
        <v/>
      </c>
      <c r="H528" s="32" t="str">
        <f t="shared" ca="1" si="369"/>
        <v/>
      </c>
      <c r="I528" s="32" t="str">
        <f t="shared" ca="1" si="374"/>
        <v/>
      </c>
      <c r="J528" s="32" t="str">
        <f t="shared" si="370"/>
        <v/>
      </c>
      <c r="K528" s="32" t="str">
        <f>IF(ISNUMBER(A528),Profile!$V$25+Profile!$V$24*'Ri-Po'!C528,"")</f>
        <v/>
      </c>
      <c r="L528" s="32" t="str">
        <f t="shared" si="375"/>
        <v/>
      </c>
      <c r="M528" s="32" t="str">
        <f t="shared" si="371"/>
        <v/>
      </c>
      <c r="N528" s="32" t="str">
        <f t="shared" si="372"/>
        <v/>
      </c>
      <c r="O528" s="32" t="str">
        <f t="shared" si="388"/>
        <v/>
      </c>
      <c r="P528" s="32" t="str">
        <f t="shared" si="376"/>
        <v/>
      </c>
      <c r="Q528" s="32" t="str">
        <f t="shared" si="377"/>
        <v/>
      </c>
      <c r="R528" s="32" t="str">
        <f t="shared" si="389"/>
        <v/>
      </c>
      <c r="S528" s="24" t="str">
        <f t="shared" si="390"/>
        <v/>
      </c>
      <c r="T528" s="24" t="str">
        <f t="shared" si="391"/>
        <v/>
      </c>
      <c r="U528" s="24" t="str">
        <f t="shared" si="392"/>
        <v/>
      </c>
      <c r="V528" s="24" t="str">
        <f t="shared" si="393"/>
        <v/>
      </c>
      <c r="W528" s="23" t="str">
        <f t="array" ref="W528">IFERROR(SMALL(IF(S$1:S$1000="BEGIN",ROW(S$1:S$1000)),ROW()-3),"")</f>
        <v/>
      </c>
      <c r="X528" s="23" t="str">
        <f t="array" ref="X528">IFERROR(SMALL(IF(T$1:T$1000="END",ROW(T$1:T$1000)),ROW()-3),"")</f>
        <v/>
      </c>
      <c r="Y528" s="33" t="str">
        <f t="array" ref="Y528">IF(ISNUMBER(W528),MAX(IF((B$4:B$1000&lt;=X528)*(B$4:B$1000&gt;=W528),I$4:I$1000, "")),"")</f>
        <v/>
      </c>
      <c r="Z528" s="33" t="str">
        <f t="shared" si="378"/>
        <v/>
      </c>
      <c r="AA528" s="32" t="str">
        <f t="shared" si="379"/>
        <v/>
      </c>
      <c r="AB528" s="32" t="str">
        <f t="shared" si="380"/>
        <v/>
      </c>
      <c r="AC528" s="32" t="str">
        <f t="shared" si="381"/>
        <v/>
      </c>
      <c r="AD528" s="32" t="str">
        <f t="shared" si="382"/>
        <v/>
      </c>
      <c r="AE528" s="34" t="str">
        <f t="shared" si="383"/>
        <v/>
      </c>
      <c r="AF528" s="32" t="str">
        <f t="shared" si="384"/>
        <v/>
      </c>
      <c r="AG528" s="32" t="str">
        <f t="shared" si="385"/>
        <v/>
      </c>
      <c r="AH528" s="32" t="str">
        <f t="shared" si="386"/>
        <v/>
      </c>
      <c r="AI528" s="35" t="str">
        <f t="shared" si="387"/>
        <v/>
      </c>
      <c r="AJ528" s="23" t="str">
        <f t="array" ref="AJ528">IFERROR(SMALL(IF(U$1:U$1000="BEGIN",ROW(U$1:U$1000)),ROW()-3),"")</f>
        <v/>
      </c>
      <c r="AK528" s="23" t="str">
        <f t="array" ref="AK528">IFERROR(SMALL(IF(V$1:V$1000="END",ROW(V$1:V$1000)),ROW()-3),"")</f>
        <v/>
      </c>
      <c r="AL528" s="24" t="str">
        <f t="array" ref="AL528">IF(AK528="","",MATCH(AM528,L:L,0))</f>
        <v/>
      </c>
      <c r="AM528" s="35">
        <f t="array" ref="AM528">MAX(IF((B$4:B$1000&lt;=AK528)*(B$4:B$1000&gt;=AJ528),L$4:L$1000, ""))</f>
        <v>0</v>
      </c>
      <c r="AN528" s="32" t="str">
        <f t="shared" si="351"/>
        <v/>
      </c>
      <c r="AO528" s="32" t="str">
        <f t="shared" si="352"/>
        <v/>
      </c>
      <c r="AP528" s="32" t="str">
        <f t="shared" si="353"/>
        <v/>
      </c>
      <c r="AQ528" s="32" t="str">
        <f t="shared" si="354"/>
        <v/>
      </c>
      <c r="AR528" s="32" t="str">
        <f t="shared" si="355"/>
        <v/>
      </c>
      <c r="AS528" s="32" t="str">
        <f t="shared" si="356"/>
        <v/>
      </c>
      <c r="AT528" s="32" t="str">
        <f t="shared" si="357"/>
        <v/>
      </c>
      <c r="AU528" s="34" t="str">
        <f t="shared" si="358"/>
        <v/>
      </c>
      <c r="AV528" s="32" t="str">
        <f t="shared" si="359"/>
        <v/>
      </c>
      <c r="AW528" s="32" t="str">
        <f t="shared" si="360"/>
        <v/>
      </c>
      <c r="AX528" s="32" t="str">
        <f t="shared" si="361"/>
        <v/>
      </c>
      <c r="AY528" s="32" t="str">
        <f t="shared" si="362"/>
        <v/>
      </c>
    </row>
    <row r="529" spans="1:51" x14ac:dyDescent="0.25">
      <c r="A529" s="24" t="str">
        <f t="shared" si="363"/>
        <v/>
      </c>
      <c r="B529" s="24" t="str">
        <f t="shared" si="373"/>
        <v/>
      </c>
      <c r="C529" s="32" t="str">
        <f t="shared" si="364"/>
        <v/>
      </c>
      <c r="D529" s="24" t="str">
        <f t="shared" si="365"/>
        <v/>
      </c>
      <c r="E529" s="24" t="str">
        <f t="shared" si="366"/>
        <v/>
      </c>
      <c r="F529" s="32" t="str">
        <f t="shared" si="367"/>
        <v/>
      </c>
      <c r="G529" s="32" t="str">
        <f t="shared" si="368"/>
        <v/>
      </c>
      <c r="H529" s="32" t="str">
        <f t="shared" ca="1" si="369"/>
        <v/>
      </c>
      <c r="I529" s="32" t="str">
        <f t="shared" ca="1" si="374"/>
        <v/>
      </c>
      <c r="J529" s="32" t="str">
        <f t="shared" si="370"/>
        <v/>
      </c>
      <c r="K529" s="32" t="str">
        <f>IF(ISNUMBER(A529),Profile!$V$25+Profile!$V$24*'Ri-Po'!C529,"")</f>
        <v/>
      </c>
      <c r="L529" s="32" t="str">
        <f t="shared" si="375"/>
        <v/>
      </c>
      <c r="M529" s="32" t="str">
        <f t="shared" si="371"/>
        <v/>
      </c>
      <c r="N529" s="32" t="str">
        <f t="shared" si="372"/>
        <v/>
      </c>
      <c r="O529" s="32" t="str">
        <f t="shared" si="388"/>
        <v/>
      </c>
      <c r="P529" s="32" t="str">
        <f t="shared" si="376"/>
        <v/>
      </c>
      <c r="Q529" s="32" t="str">
        <f t="shared" si="377"/>
        <v/>
      </c>
      <c r="R529" s="32" t="str">
        <f t="shared" si="389"/>
        <v/>
      </c>
      <c r="S529" s="24" t="str">
        <f t="shared" si="390"/>
        <v/>
      </c>
      <c r="T529" s="24" t="str">
        <f t="shared" si="391"/>
        <v/>
      </c>
      <c r="U529" s="24" t="str">
        <f t="shared" si="392"/>
        <v/>
      </c>
      <c r="V529" s="24" t="str">
        <f t="shared" si="393"/>
        <v/>
      </c>
      <c r="W529" s="23" t="str">
        <f t="array" ref="W529">IFERROR(SMALL(IF(S$1:S$1000="BEGIN",ROW(S$1:S$1000)),ROW()-3),"")</f>
        <v/>
      </c>
      <c r="X529" s="23" t="str">
        <f t="array" ref="X529">IFERROR(SMALL(IF(T$1:T$1000="END",ROW(T$1:T$1000)),ROW()-3),"")</f>
        <v/>
      </c>
      <c r="Y529" s="33" t="str">
        <f t="array" ref="Y529">IF(ISNUMBER(W529),MAX(IF((B$4:B$1000&lt;=X529)*(B$4:B$1000&gt;=W529),I$4:I$1000, "")),"")</f>
        <v/>
      </c>
      <c r="Z529" s="33" t="str">
        <f t="shared" si="378"/>
        <v/>
      </c>
      <c r="AA529" s="32" t="str">
        <f t="shared" si="379"/>
        <v/>
      </c>
      <c r="AB529" s="32" t="str">
        <f t="shared" si="380"/>
        <v/>
      </c>
      <c r="AC529" s="32" t="str">
        <f t="shared" si="381"/>
        <v/>
      </c>
      <c r="AD529" s="32" t="str">
        <f t="shared" si="382"/>
        <v/>
      </c>
      <c r="AE529" s="34" t="str">
        <f t="shared" si="383"/>
        <v/>
      </c>
      <c r="AF529" s="32" t="str">
        <f t="shared" si="384"/>
        <v/>
      </c>
      <c r="AG529" s="32" t="str">
        <f t="shared" si="385"/>
        <v/>
      </c>
      <c r="AH529" s="32" t="str">
        <f t="shared" si="386"/>
        <v/>
      </c>
      <c r="AI529" s="35" t="str">
        <f t="shared" si="387"/>
        <v/>
      </c>
      <c r="AJ529" s="23" t="str">
        <f t="array" ref="AJ529">IFERROR(SMALL(IF(U$1:U$1000="BEGIN",ROW(U$1:U$1000)),ROW()-3),"")</f>
        <v/>
      </c>
      <c r="AK529" s="23" t="str">
        <f t="array" ref="AK529">IFERROR(SMALL(IF(V$1:V$1000="END",ROW(V$1:V$1000)),ROW()-3),"")</f>
        <v/>
      </c>
      <c r="AL529" s="24" t="str">
        <f t="array" ref="AL529">IF(AK529="","",MATCH(AM529,L:L,0))</f>
        <v/>
      </c>
      <c r="AM529" s="35">
        <f t="array" ref="AM529">MAX(IF((B$4:B$1000&lt;=AK529)*(B$4:B$1000&gt;=AJ529),L$4:L$1000, ""))</f>
        <v>0</v>
      </c>
      <c r="AN529" s="32" t="str">
        <f t="shared" si="351"/>
        <v/>
      </c>
      <c r="AO529" s="32" t="str">
        <f t="shared" si="352"/>
        <v/>
      </c>
      <c r="AP529" s="32" t="str">
        <f t="shared" si="353"/>
        <v/>
      </c>
      <c r="AQ529" s="32" t="str">
        <f t="shared" si="354"/>
        <v/>
      </c>
      <c r="AR529" s="32" t="str">
        <f t="shared" si="355"/>
        <v/>
      </c>
      <c r="AS529" s="32" t="str">
        <f t="shared" si="356"/>
        <v/>
      </c>
      <c r="AT529" s="32" t="str">
        <f t="shared" si="357"/>
        <v/>
      </c>
      <c r="AU529" s="34" t="str">
        <f t="shared" si="358"/>
        <v/>
      </c>
      <c r="AV529" s="32" t="str">
        <f t="shared" si="359"/>
        <v/>
      </c>
      <c r="AW529" s="32" t="str">
        <f t="shared" si="360"/>
        <v/>
      </c>
      <c r="AX529" s="32" t="str">
        <f t="shared" si="361"/>
        <v/>
      </c>
      <c r="AY529" s="32" t="str">
        <f t="shared" si="362"/>
        <v/>
      </c>
    </row>
    <row r="530" spans="1:51" x14ac:dyDescent="0.25">
      <c r="A530" s="24" t="str">
        <f t="shared" si="363"/>
        <v/>
      </c>
      <c r="B530" s="24" t="str">
        <f t="shared" si="373"/>
        <v/>
      </c>
      <c r="C530" s="32" t="str">
        <f t="shared" si="364"/>
        <v/>
      </c>
      <c r="D530" s="24" t="str">
        <f t="shared" si="365"/>
        <v/>
      </c>
      <c r="E530" s="24" t="str">
        <f t="shared" si="366"/>
        <v/>
      </c>
      <c r="F530" s="32" t="str">
        <f t="shared" si="367"/>
        <v/>
      </c>
      <c r="G530" s="32" t="str">
        <f t="shared" si="368"/>
        <v/>
      </c>
      <c r="H530" s="32" t="str">
        <f t="shared" ca="1" si="369"/>
        <v/>
      </c>
      <c r="I530" s="32" t="str">
        <f t="shared" ca="1" si="374"/>
        <v/>
      </c>
      <c r="J530" s="32" t="str">
        <f t="shared" si="370"/>
        <v/>
      </c>
      <c r="K530" s="32" t="str">
        <f>IF(ISNUMBER(A530),Profile!$V$25+Profile!$V$24*'Ri-Po'!C530,"")</f>
        <v/>
      </c>
      <c r="L530" s="32" t="str">
        <f t="shared" si="375"/>
        <v/>
      </c>
      <c r="M530" s="32" t="str">
        <f t="shared" si="371"/>
        <v/>
      </c>
      <c r="N530" s="32" t="str">
        <f t="shared" si="372"/>
        <v/>
      </c>
      <c r="O530" s="32" t="str">
        <f t="shared" si="388"/>
        <v/>
      </c>
      <c r="P530" s="32" t="str">
        <f t="shared" si="376"/>
        <v/>
      </c>
      <c r="Q530" s="32" t="str">
        <f t="shared" si="377"/>
        <v/>
      </c>
      <c r="R530" s="32" t="str">
        <f t="shared" si="389"/>
        <v/>
      </c>
      <c r="S530" s="24" t="str">
        <f t="shared" si="390"/>
        <v/>
      </c>
      <c r="T530" s="24" t="str">
        <f t="shared" si="391"/>
        <v/>
      </c>
      <c r="U530" s="24" t="str">
        <f t="shared" si="392"/>
        <v/>
      </c>
      <c r="V530" s="24" t="str">
        <f t="shared" si="393"/>
        <v/>
      </c>
      <c r="W530" s="23" t="str">
        <f t="array" ref="W530">IFERROR(SMALL(IF(S$1:S$1000="BEGIN",ROW(S$1:S$1000)),ROW()-3),"")</f>
        <v/>
      </c>
      <c r="X530" s="23" t="str">
        <f t="array" ref="X530">IFERROR(SMALL(IF(T$1:T$1000="END",ROW(T$1:T$1000)),ROW()-3),"")</f>
        <v/>
      </c>
      <c r="Y530" s="33" t="str">
        <f t="array" ref="Y530">IF(ISNUMBER(W530),MAX(IF((B$4:B$1000&lt;=X530)*(B$4:B$1000&gt;=W530),I$4:I$1000, "")),"")</f>
        <v/>
      </c>
      <c r="Z530" s="33" t="str">
        <f t="shared" si="378"/>
        <v/>
      </c>
      <c r="AA530" s="32" t="str">
        <f t="shared" si="379"/>
        <v/>
      </c>
      <c r="AB530" s="32" t="str">
        <f t="shared" si="380"/>
        <v/>
      </c>
      <c r="AC530" s="32" t="str">
        <f t="shared" si="381"/>
        <v/>
      </c>
      <c r="AD530" s="32" t="str">
        <f t="shared" si="382"/>
        <v/>
      </c>
      <c r="AE530" s="34" t="str">
        <f t="shared" si="383"/>
        <v/>
      </c>
      <c r="AF530" s="32" t="str">
        <f t="shared" si="384"/>
        <v/>
      </c>
      <c r="AG530" s="32" t="str">
        <f t="shared" si="385"/>
        <v/>
      </c>
      <c r="AH530" s="32" t="str">
        <f t="shared" si="386"/>
        <v/>
      </c>
      <c r="AI530" s="35" t="str">
        <f t="shared" si="387"/>
        <v/>
      </c>
      <c r="AJ530" s="23" t="str">
        <f t="array" ref="AJ530">IFERROR(SMALL(IF(U$1:U$1000="BEGIN",ROW(U$1:U$1000)),ROW()-3),"")</f>
        <v/>
      </c>
      <c r="AK530" s="23" t="str">
        <f t="array" ref="AK530">IFERROR(SMALL(IF(V$1:V$1000="END",ROW(V$1:V$1000)),ROW()-3),"")</f>
        <v/>
      </c>
      <c r="AL530" s="24" t="str">
        <f t="array" ref="AL530">IF(AK530="","",MATCH(AM530,L:L,0))</f>
        <v/>
      </c>
      <c r="AM530" s="35">
        <f t="array" ref="AM530">MAX(IF((B$4:B$1000&lt;=AK530)*(B$4:B$1000&gt;=AJ530),L$4:L$1000, ""))</f>
        <v>0</v>
      </c>
      <c r="AN530" s="32" t="str">
        <f t="shared" ref="AN530:AN593" si="394">IFERROR(INDEX(C:C,AJ530),"")</f>
        <v/>
      </c>
      <c r="AO530" s="32" t="str">
        <f t="shared" ref="AO530:AO593" si="395">IFERROR(INDEX(C:C,AK530),"")</f>
        <v/>
      </c>
      <c r="AP530" s="32" t="str">
        <f t="shared" ref="AP530:AP593" si="396">IFERROR(INDEX(C:C,AL530),"")</f>
        <v/>
      </c>
      <c r="AQ530" s="32" t="str">
        <f t="shared" ref="AQ530:AQ593" si="397">IF(ISNUMBER(AN530),AM530,"")</f>
        <v/>
      </c>
      <c r="AR530" s="32" t="str">
        <f t="shared" ref="AR530:AR593" si="398">IFERROR(AO530-AN530,"")</f>
        <v/>
      </c>
      <c r="AS530" s="32" t="str">
        <f t="shared" ref="AS530:AS593" si="399">IFERROR(INDEX(H:H,AJ530),"")</f>
        <v/>
      </c>
      <c r="AT530" s="32" t="str">
        <f t="shared" ref="AT530:AT593" si="400">IFERROR(INDEX(H:H,AK530),"")</f>
        <v/>
      </c>
      <c r="AU530" s="34" t="str">
        <f t="shared" ref="AU530:AU593" si="401">IFERROR((AS530-AT530)/(AR530),"")</f>
        <v/>
      </c>
      <c r="AV530" s="32" t="str">
        <f t="shared" ref="AV530:AV593" si="402">IFERROR(AQ530/$BB$17,"")</f>
        <v/>
      </c>
      <c r="AW530" s="32" t="str">
        <f t="shared" ref="AW530:AW593" si="403">IFERROR(AU530/BB$19,"")</f>
        <v/>
      </c>
      <c r="AX530" s="32" t="str">
        <f t="shared" ref="AX530:AX593" si="404">IFERROR(AP531-AP530,"")</f>
        <v/>
      </c>
      <c r="AY530" s="32" t="str">
        <f t="shared" ref="AY530:AY593" si="405">IFERROR(AX530/BB$16,"")</f>
        <v/>
      </c>
    </row>
    <row r="531" spans="1:51" x14ac:dyDescent="0.25">
      <c r="A531" s="24" t="str">
        <f t="shared" si="363"/>
        <v/>
      </c>
      <c r="B531" s="24" t="str">
        <f t="shared" si="373"/>
        <v/>
      </c>
      <c r="C531" s="32" t="str">
        <f t="shared" si="364"/>
        <v/>
      </c>
      <c r="D531" s="24" t="str">
        <f t="shared" si="365"/>
        <v/>
      </c>
      <c r="E531" s="24" t="str">
        <f t="shared" si="366"/>
        <v/>
      </c>
      <c r="F531" s="32" t="str">
        <f t="shared" si="367"/>
        <v/>
      </c>
      <c r="G531" s="32" t="str">
        <f t="shared" si="368"/>
        <v/>
      </c>
      <c r="H531" s="32" t="str">
        <f t="shared" ca="1" si="369"/>
        <v/>
      </c>
      <c r="I531" s="32" t="str">
        <f t="shared" ca="1" si="374"/>
        <v/>
      </c>
      <c r="J531" s="32" t="str">
        <f t="shared" si="370"/>
        <v/>
      </c>
      <c r="K531" s="32" t="str">
        <f>IF(ISNUMBER(A531),Profile!$V$25+Profile!$V$24*'Ri-Po'!C531,"")</f>
        <v/>
      </c>
      <c r="L531" s="32" t="str">
        <f t="shared" si="375"/>
        <v/>
      </c>
      <c r="M531" s="32" t="str">
        <f t="shared" si="371"/>
        <v/>
      </c>
      <c r="N531" s="32" t="str">
        <f t="shared" si="372"/>
        <v/>
      </c>
      <c r="O531" s="32" t="str">
        <f t="shared" si="388"/>
        <v/>
      </c>
      <c r="P531" s="32" t="str">
        <f t="shared" si="376"/>
        <v/>
      </c>
      <c r="Q531" s="32" t="str">
        <f t="shared" si="377"/>
        <v/>
      </c>
      <c r="R531" s="32" t="str">
        <f t="shared" si="389"/>
        <v/>
      </c>
      <c r="S531" s="24" t="str">
        <f t="shared" si="390"/>
        <v/>
      </c>
      <c r="T531" s="24" t="str">
        <f t="shared" si="391"/>
        <v/>
      </c>
      <c r="U531" s="24" t="str">
        <f t="shared" si="392"/>
        <v/>
      </c>
      <c r="V531" s="24" t="str">
        <f t="shared" si="393"/>
        <v/>
      </c>
      <c r="W531" s="23" t="str">
        <f t="array" ref="W531">IFERROR(SMALL(IF(S$1:S$1000="BEGIN",ROW(S$1:S$1000)),ROW()-3),"")</f>
        <v/>
      </c>
      <c r="X531" s="23" t="str">
        <f t="array" ref="X531">IFERROR(SMALL(IF(T$1:T$1000="END",ROW(T$1:T$1000)),ROW()-3),"")</f>
        <v/>
      </c>
      <c r="Y531" s="33" t="str">
        <f t="array" ref="Y531">IF(ISNUMBER(W531),MAX(IF((B$4:B$1000&lt;=X531)*(B$4:B$1000&gt;=W531),I$4:I$1000, "")),"")</f>
        <v/>
      </c>
      <c r="Z531" s="33" t="str">
        <f t="shared" si="378"/>
        <v/>
      </c>
      <c r="AA531" s="32" t="str">
        <f t="shared" si="379"/>
        <v/>
      </c>
      <c r="AB531" s="32" t="str">
        <f t="shared" si="380"/>
        <v/>
      </c>
      <c r="AC531" s="32" t="str">
        <f t="shared" si="381"/>
        <v/>
      </c>
      <c r="AD531" s="32" t="str">
        <f t="shared" si="382"/>
        <v/>
      </c>
      <c r="AE531" s="34" t="str">
        <f t="shared" si="383"/>
        <v/>
      </c>
      <c r="AF531" s="32" t="str">
        <f t="shared" si="384"/>
        <v/>
      </c>
      <c r="AG531" s="32" t="str">
        <f t="shared" si="385"/>
        <v/>
      </c>
      <c r="AH531" s="32" t="str">
        <f t="shared" si="386"/>
        <v/>
      </c>
      <c r="AI531" s="35" t="str">
        <f t="shared" si="387"/>
        <v/>
      </c>
      <c r="AJ531" s="23" t="str">
        <f t="array" ref="AJ531">IFERROR(SMALL(IF(U$1:U$1000="BEGIN",ROW(U$1:U$1000)),ROW()-3),"")</f>
        <v/>
      </c>
      <c r="AK531" s="23" t="str">
        <f t="array" ref="AK531">IFERROR(SMALL(IF(V$1:V$1000="END",ROW(V$1:V$1000)),ROW()-3),"")</f>
        <v/>
      </c>
      <c r="AL531" s="24" t="str">
        <f t="array" ref="AL531">IF(AK531="","",MATCH(AM531,L:L,0))</f>
        <v/>
      </c>
      <c r="AM531" s="35">
        <f t="array" ref="AM531">MAX(IF((B$4:B$1000&lt;=AK531)*(B$4:B$1000&gt;=AJ531),L$4:L$1000, ""))</f>
        <v>0</v>
      </c>
      <c r="AN531" s="32" t="str">
        <f t="shared" si="394"/>
        <v/>
      </c>
      <c r="AO531" s="32" t="str">
        <f t="shared" si="395"/>
        <v/>
      </c>
      <c r="AP531" s="32" t="str">
        <f t="shared" si="396"/>
        <v/>
      </c>
      <c r="AQ531" s="32" t="str">
        <f t="shared" si="397"/>
        <v/>
      </c>
      <c r="AR531" s="32" t="str">
        <f t="shared" si="398"/>
        <v/>
      </c>
      <c r="AS531" s="32" t="str">
        <f t="shared" si="399"/>
        <v/>
      </c>
      <c r="AT531" s="32" t="str">
        <f t="shared" si="400"/>
        <v/>
      </c>
      <c r="AU531" s="34" t="str">
        <f t="shared" si="401"/>
        <v/>
      </c>
      <c r="AV531" s="32" t="str">
        <f t="shared" si="402"/>
        <v/>
      </c>
      <c r="AW531" s="32" t="str">
        <f t="shared" si="403"/>
        <v/>
      </c>
      <c r="AX531" s="32" t="str">
        <f t="shared" si="404"/>
        <v/>
      </c>
      <c r="AY531" s="32" t="str">
        <f t="shared" si="405"/>
        <v/>
      </c>
    </row>
    <row r="532" spans="1:51" x14ac:dyDescent="0.25">
      <c r="A532" s="24" t="str">
        <f t="shared" si="363"/>
        <v/>
      </c>
      <c r="B532" s="24" t="str">
        <f t="shared" si="373"/>
        <v/>
      </c>
      <c r="C532" s="32" t="str">
        <f t="shared" si="364"/>
        <v/>
      </c>
      <c r="D532" s="24" t="str">
        <f t="shared" si="365"/>
        <v/>
      </c>
      <c r="E532" s="24" t="str">
        <f t="shared" si="366"/>
        <v/>
      </c>
      <c r="F532" s="32" t="str">
        <f t="shared" si="367"/>
        <v/>
      </c>
      <c r="G532" s="32" t="str">
        <f t="shared" si="368"/>
        <v/>
      </c>
      <c r="H532" s="32" t="str">
        <f t="shared" ca="1" si="369"/>
        <v/>
      </c>
      <c r="I532" s="32" t="str">
        <f t="shared" ca="1" si="374"/>
        <v/>
      </c>
      <c r="J532" s="32" t="str">
        <f t="shared" si="370"/>
        <v/>
      </c>
      <c r="K532" s="32" t="str">
        <f>IF(ISNUMBER(A532),Profile!$V$25+Profile!$V$24*'Ri-Po'!C532,"")</f>
        <v/>
      </c>
      <c r="L532" s="32" t="str">
        <f t="shared" si="375"/>
        <v/>
      </c>
      <c r="M532" s="32" t="str">
        <f t="shared" si="371"/>
        <v/>
      </c>
      <c r="N532" s="32" t="str">
        <f t="shared" si="372"/>
        <v/>
      </c>
      <c r="O532" s="32" t="str">
        <f t="shared" si="388"/>
        <v/>
      </c>
      <c r="P532" s="32" t="str">
        <f t="shared" si="376"/>
        <v/>
      </c>
      <c r="Q532" s="32" t="str">
        <f t="shared" si="377"/>
        <v/>
      </c>
      <c r="R532" s="32" t="str">
        <f t="shared" si="389"/>
        <v/>
      </c>
      <c r="S532" s="24" t="str">
        <f t="shared" si="390"/>
        <v/>
      </c>
      <c r="T532" s="24" t="str">
        <f t="shared" si="391"/>
        <v/>
      </c>
      <c r="U532" s="24" t="str">
        <f t="shared" si="392"/>
        <v/>
      </c>
      <c r="V532" s="24" t="str">
        <f t="shared" si="393"/>
        <v/>
      </c>
      <c r="W532" s="23" t="str">
        <f t="array" ref="W532">IFERROR(SMALL(IF(S$1:S$1000="BEGIN",ROW(S$1:S$1000)),ROW()-3),"")</f>
        <v/>
      </c>
      <c r="X532" s="23" t="str">
        <f t="array" ref="X532">IFERROR(SMALL(IF(T$1:T$1000="END",ROW(T$1:T$1000)),ROW()-3),"")</f>
        <v/>
      </c>
      <c r="Y532" s="33" t="str">
        <f t="array" ref="Y532">IF(ISNUMBER(W532),MAX(IF((B$4:B$1000&lt;=X532)*(B$4:B$1000&gt;=W532),I$4:I$1000, "")),"")</f>
        <v/>
      </c>
      <c r="Z532" s="33" t="str">
        <f t="shared" si="378"/>
        <v/>
      </c>
      <c r="AA532" s="32" t="str">
        <f t="shared" si="379"/>
        <v/>
      </c>
      <c r="AB532" s="32" t="str">
        <f t="shared" si="380"/>
        <v/>
      </c>
      <c r="AC532" s="32" t="str">
        <f t="shared" si="381"/>
        <v/>
      </c>
      <c r="AD532" s="32" t="str">
        <f t="shared" si="382"/>
        <v/>
      </c>
      <c r="AE532" s="34" t="str">
        <f t="shared" si="383"/>
        <v/>
      </c>
      <c r="AF532" s="32" t="str">
        <f t="shared" si="384"/>
        <v/>
      </c>
      <c r="AG532" s="32" t="str">
        <f t="shared" si="385"/>
        <v/>
      </c>
      <c r="AH532" s="32" t="str">
        <f t="shared" si="386"/>
        <v/>
      </c>
      <c r="AI532" s="35" t="str">
        <f t="shared" si="387"/>
        <v/>
      </c>
      <c r="AJ532" s="23" t="str">
        <f t="array" ref="AJ532">IFERROR(SMALL(IF(U$1:U$1000="BEGIN",ROW(U$1:U$1000)),ROW()-3),"")</f>
        <v/>
      </c>
      <c r="AK532" s="23" t="str">
        <f t="array" ref="AK532">IFERROR(SMALL(IF(V$1:V$1000="END",ROW(V$1:V$1000)),ROW()-3),"")</f>
        <v/>
      </c>
      <c r="AL532" s="24" t="str">
        <f t="array" ref="AL532">IF(AK532="","",MATCH(AM532,L:L,0))</f>
        <v/>
      </c>
      <c r="AM532" s="35">
        <f t="array" ref="AM532">MAX(IF((B$4:B$1000&lt;=AK532)*(B$4:B$1000&gt;=AJ532),L$4:L$1000, ""))</f>
        <v>0</v>
      </c>
      <c r="AN532" s="32" t="str">
        <f t="shared" si="394"/>
        <v/>
      </c>
      <c r="AO532" s="32" t="str">
        <f t="shared" si="395"/>
        <v/>
      </c>
      <c r="AP532" s="32" t="str">
        <f t="shared" si="396"/>
        <v/>
      </c>
      <c r="AQ532" s="32" t="str">
        <f t="shared" si="397"/>
        <v/>
      </c>
      <c r="AR532" s="32" t="str">
        <f t="shared" si="398"/>
        <v/>
      </c>
      <c r="AS532" s="32" t="str">
        <f t="shared" si="399"/>
        <v/>
      </c>
      <c r="AT532" s="32" t="str">
        <f t="shared" si="400"/>
        <v/>
      </c>
      <c r="AU532" s="34" t="str">
        <f t="shared" si="401"/>
        <v/>
      </c>
      <c r="AV532" s="32" t="str">
        <f t="shared" si="402"/>
        <v/>
      </c>
      <c r="AW532" s="32" t="str">
        <f t="shared" si="403"/>
        <v/>
      </c>
      <c r="AX532" s="32" t="str">
        <f t="shared" si="404"/>
        <v/>
      </c>
      <c r="AY532" s="32" t="str">
        <f t="shared" si="405"/>
        <v/>
      </c>
    </row>
    <row r="533" spans="1:51" x14ac:dyDescent="0.25">
      <c r="A533" s="24" t="str">
        <f t="shared" si="363"/>
        <v/>
      </c>
      <c r="B533" s="24" t="str">
        <f t="shared" si="373"/>
        <v/>
      </c>
      <c r="C533" s="32" t="str">
        <f t="shared" si="364"/>
        <v/>
      </c>
      <c r="D533" s="24" t="str">
        <f t="shared" si="365"/>
        <v/>
      </c>
      <c r="E533" s="24" t="str">
        <f t="shared" si="366"/>
        <v/>
      </c>
      <c r="F533" s="32" t="str">
        <f t="shared" si="367"/>
        <v/>
      </c>
      <c r="G533" s="32" t="str">
        <f t="shared" si="368"/>
        <v/>
      </c>
      <c r="H533" s="32" t="str">
        <f t="shared" ca="1" si="369"/>
        <v/>
      </c>
      <c r="I533" s="32" t="str">
        <f t="shared" ca="1" si="374"/>
        <v/>
      </c>
      <c r="J533" s="32" t="str">
        <f t="shared" si="370"/>
        <v/>
      </c>
      <c r="K533" s="32" t="str">
        <f>IF(ISNUMBER(A533),Profile!$V$25+Profile!$V$24*'Ri-Po'!C533,"")</f>
        <v/>
      </c>
      <c r="L533" s="32" t="str">
        <f t="shared" si="375"/>
        <v/>
      </c>
      <c r="M533" s="32" t="str">
        <f t="shared" si="371"/>
        <v/>
      </c>
      <c r="N533" s="32" t="str">
        <f t="shared" si="372"/>
        <v/>
      </c>
      <c r="O533" s="32" t="str">
        <f t="shared" si="388"/>
        <v/>
      </c>
      <c r="P533" s="32" t="str">
        <f t="shared" si="376"/>
        <v/>
      </c>
      <c r="Q533" s="32" t="str">
        <f t="shared" si="377"/>
        <v/>
      </c>
      <c r="R533" s="32" t="str">
        <f t="shared" si="389"/>
        <v/>
      </c>
      <c r="S533" s="24" t="str">
        <f t="shared" si="390"/>
        <v/>
      </c>
      <c r="T533" s="24" t="str">
        <f t="shared" si="391"/>
        <v/>
      </c>
      <c r="U533" s="24" t="str">
        <f t="shared" si="392"/>
        <v/>
      </c>
      <c r="V533" s="24" t="str">
        <f t="shared" si="393"/>
        <v/>
      </c>
      <c r="W533" s="23" t="str">
        <f t="array" ref="W533">IFERROR(SMALL(IF(S$1:S$1000="BEGIN",ROW(S$1:S$1000)),ROW()-3),"")</f>
        <v/>
      </c>
      <c r="X533" s="23" t="str">
        <f t="array" ref="X533">IFERROR(SMALL(IF(T$1:T$1000="END",ROW(T$1:T$1000)),ROW()-3),"")</f>
        <v/>
      </c>
      <c r="Y533" s="33" t="str">
        <f t="array" ref="Y533">IF(ISNUMBER(W533),MAX(IF((B$4:B$1000&lt;=X533)*(B$4:B$1000&gt;=W533),I$4:I$1000, "")),"")</f>
        <v/>
      </c>
      <c r="Z533" s="33" t="str">
        <f t="shared" si="378"/>
        <v/>
      </c>
      <c r="AA533" s="32" t="str">
        <f t="shared" si="379"/>
        <v/>
      </c>
      <c r="AB533" s="32" t="str">
        <f t="shared" si="380"/>
        <v/>
      </c>
      <c r="AC533" s="32" t="str">
        <f t="shared" si="381"/>
        <v/>
      </c>
      <c r="AD533" s="32" t="str">
        <f t="shared" si="382"/>
        <v/>
      </c>
      <c r="AE533" s="34" t="str">
        <f t="shared" si="383"/>
        <v/>
      </c>
      <c r="AF533" s="32" t="str">
        <f t="shared" si="384"/>
        <v/>
      </c>
      <c r="AG533" s="32" t="str">
        <f t="shared" si="385"/>
        <v/>
      </c>
      <c r="AH533" s="32" t="str">
        <f t="shared" si="386"/>
        <v/>
      </c>
      <c r="AI533" s="35" t="str">
        <f t="shared" si="387"/>
        <v/>
      </c>
      <c r="AJ533" s="23" t="str">
        <f t="array" ref="AJ533">IFERROR(SMALL(IF(U$1:U$1000="BEGIN",ROW(U$1:U$1000)),ROW()-3),"")</f>
        <v/>
      </c>
      <c r="AK533" s="23" t="str">
        <f t="array" ref="AK533">IFERROR(SMALL(IF(V$1:V$1000="END",ROW(V$1:V$1000)),ROW()-3),"")</f>
        <v/>
      </c>
      <c r="AL533" s="24" t="str">
        <f t="array" ref="AL533">IF(AK533="","",MATCH(AM533,L:L,0))</f>
        <v/>
      </c>
      <c r="AM533" s="35">
        <f t="array" ref="AM533">MAX(IF((B$4:B$1000&lt;=AK533)*(B$4:B$1000&gt;=AJ533),L$4:L$1000, ""))</f>
        <v>0</v>
      </c>
      <c r="AN533" s="32" t="str">
        <f t="shared" si="394"/>
        <v/>
      </c>
      <c r="AO533" s="32" t="str">
        <f t="shared" si="395"/>
        <v/>
      </c>
      <c r="AP533" s="32" t="str">
        <f t="shared" si="396"/>
        <v/>
      </c>
      <c r="AQ533" s="32" t="str">
        <f t="shared" si="397"/>
        <v/>
      </c>
      <c r="AR533" s="32" t="str">
        <f t="shared" si="398"/>
        <v/>
      </c>
      <c r="AS533" s="32" t="str">
        <f t="shared" si="399"/>
        <v/>
      </c>
      <c r="AT533" s="32" t="str">
        <f t="shared" si="400"/>
        <v/>
      </c>
      <c r="AU533" s="34" t="str">
        <f t="shared" si="401"/>
        <v/>
      </c>
      <c r="AV533" s="32" t="str">
        <f t="shared" si="402"/>
        <v/>
      </c>
      <c r="AW533" s="32" t="str">
        <f t="shared" si="403"/>
        <v/>
      </c>
      <c r="AX533" s="32" t="str">
        <f t="shared" si="404"/>
        <v/>
      </c>
      <c r="AY533" s="32" t="str">
        <f t="shared" si="405"/>
        <v/>
      </c>
    </row>
    <row r="534" spans="1:51" x14ac:dyDescent="0.25">
      <c r="A534" s="24" t="str">
        <f t="shared" si="363"/>
        <v/>
      </c>
      <c r="B534" s="24" t="str">
        <f t="shared" si="373"/>
        <v/>
      </c>
      <c r="C534" s="32" t="str">
        <f t="shared" si="364"/>
        <v/>
      </c>
      <c r="D534" s="24" t="str">
        <f t="shared" si="365"/>
        <v/>
      </c>
      <c r="E534" s="24" t="str">
        <f t="shared" si="366"/>
        <v/>
      </c>
      <c r="F534" s="32" t="str">
        <f t="shared" si="367"/>
        <v/>
      </c>
      <c r="G534" s="32" t="str">
        <f t="shared" si="368"/>
        <v/>
      </c>
      <c r="H534" s="32" t="str">
        <f t="shared" ca="1" si="369"/>
        <v/>
      </c>
      <c r="I534" s="32" t="str">
        <f t="shared" ca="1" si="374"/>
        <v/>
      </c>
      <c r="J534" s="32" t="str">
        <f t="shared" si="370"/>
        <v/>
      </c>
      <c r="K534" s="32" t="str">
        <f>IF(ISNUMBER(A534),Profile!$V$25+Profile!$V$24*'Ri-Po'!C534,"")</f>
        <v/>
      </c>
      <c r="L534" s="32" t="str">
        <f t="shared" si="375"/>
        <v/>
      </c>
      <c r="M534" s="32" t="str">
        <f t="shared" si="371"/>
        <v/>
      </c>
      <c r="N534" s="32" t="str">
        <f t="shared" si="372"/>
        <v/>
      </c>
      <c r="O534" s="32" t="str">
        <f t="shared" si="388"/>
        <v/>
      </c>
      <c r="P534" s="32" t="str">
        <f t="shared" si="376"/>
        <v/>
      </c>
      <c r="Q534" s="32" t="str">
        <f t="shared" si="377"/>
        <v/>
      </c>
      <c r="R534" s="32" t="str">
        <f t="shared" si="389"/>
        <v/>
      </c>
      <c r="S534" s="24" t="str">
        <f t="shared" si="390"/>
        <v/>
      </c>
      <c r="T534" s="24" t="str">
        <f t="shared" si="391"/>
        <v/>
      </c>
      <c r="U534" s="24" t="str">
        <f t="shared" si="392"/>
        <v/>
      </c>
      <c r="V534" s="24" t="str">
        <f t="shared" si="393"/>
        <v/>
      </c>
      <c r="W534" s="23" t="str">
        <f t="array" ref="W534">IFERROR(SMALL(IF(S$1:S$1000="BEGIN",ROW(S$1:S$1000)),ROW()-3),"")</f>
        <v/>
      </c>
      <c r="X534" s="23" t="str">
        <f t="array" ref="X534">IFERROR(SMALL(IF(T$1:T$1000="END",ROW(T$1:T$1000)),ROW()-3),"")</f>
        <v/>
      </c>
      <c r="Y534" s="33" t="str">
        <f t="array" ref="Y534">IF(ISNUMBER(W534),MAX(IF((B$4:B$1000&lt;=X534)*(B$4:B$1000&gt;=W534),I$4:I$1000, "")),"")</f>
        <v/>
      </c>
      <c r="Z534" s="33" t="str">
        <f t="shared" si="378"/>
        <v/>
      </c>
      <c r="AA534" s="32" t="str">
        <f t="shared" si="379"/>
        <v/>
      </c>
      <c r="AB534" s="32" t="str">
        <f t="shared" si="380"/>
        <v/>
      </c>
      <c r="AC534" s="32" t="str">
        <f t="shared" si="381"/>
        <v/>
      </c>
      <c r="AD534" s="32" t="str">
        <f t="shared" si="382"/>
        <v/>
      </c>
      <c r="AE534" s="34" t="str">
        <f t="shared" si="383"/>
        <v/>
      </c>
      <c r="AF534" s="32" t="str">
        <f t="shared" si="384"/>
        <v/>
      </c>
      <c r="AG534" s="32" t="str">
        <f t="shared" si="385"/>
        <v/>
      </c>
      <c r="AH534" s="32" t="str">
        <f t="shared" si="386"/>
        <v/>
      </c>
      <c r="AI534" s="35" t="str">
        <f t="shared" si="387"/>
        <v/>
      </c>
      <c r="AJ534" s="23" t="str">
        <f t="array" ref="AJ534">IFERROR(SMALL(IF(U$1:U$1000="BEGIN",ROW(U$1:U$1000)),ROW()-3),"")</f>
        <v/>
      </c>
      <c r="AK534" s="23" t="str">
        <f t="array" ref="AK534">IFERROR(SMALL(IF(V$1:V$1000="END",ROW(V$1:V$1000)),ROW()-3),"")</f>
        <v/>
      </c>
      <c r="AL534" s="24" t="str">
        <f t="array" ref="AL534">IF(AK534="","",MATCH(AM534,L:L,0))</f>
        <v/>
      </c>
      <c r="AM534" s="35">
        <f t="array" ref="AM534">MAX(IF((B$4:B$1000&lt;=AK534)*(B$4:B$1000&gt;=AJ534),L$4:L$1000, ""))</f>
        <v>0</v>
      </c>
      <c r="AN534" s="32" t="str">
        <f t="shared" si="394"/>
        <v/>
      </c>
      <c r="AO534" s="32" t="str">
        <f t="shared" si="395"/>
        <v/>
      </c>
      <c r="AP534" s="32" t="str">
        <f t="shared" si="396"/>
        <v/>
      </c>
      <c r="AQ534" s="32" t="str">
        <f t="shared" si="397"/>
        <v/>
      </c>
      <c r="AR534" s="32" t="str">
        <f t="shared" si="398"/>
        <v/>
      </c>
      <c r="AS534" s="32" t="str">
        <f t="shared" si="399"/>
        <v/>
      </c>
      <c r="AT534" s="32" t="str">
        <f t="shared" si="400"/>
        <v/>
      </c>
      <c r="AU534" s="34" t="str">
        <f t="shared" si="401"/>
        <v/>
      </c>
      <c r="AV534" s="32" t="str">
        <f t="shared" si="402"/>
        <v/>
      </c>
      <c r="AW534" s="32" t="str">
        <f t="shared" si="403"/>
        <v/>
      </c>
      <c r="AX534" s="32" t="str">
        <f t="shared" si="404"/>
        <v/>
      </c>
      <c r="AY534" s="32" t="str">
        <f t="shared" si="405"/>
        <v/>
      </c>
    </row>
    <row r="535" spans="1:51" x14ac:dyDescent="0.25">
      <c r="A535" s="24" t="str">
        <f t="shared" si="363"/>
        <v/>
      </c>
      <c r="B535" s="24" t="str">
        <f t="shared" si="373"/>
        <v/>
      </c>
      <c r="C535" s="32" t="str">
        <f t="shared" si="364"/>
        <v/>
      </c>
      <c r="D535" s="24" t="str">
        <f t="shared" si="365"/>
        <v/>
      </c>
      <c r="E535" s="24" t="str">
        <f t="shared" si="366"/>
        <v/>
      </c>
      <c r="F535" s="32" t="str">
        <f t="shared" si="367"/>
        <v/>
      </c>
      <c r="G535" s="32" t="str">
        <f t="shared" si="368"/>
        <v/>
      </c>
      <c r="H535" s="32" t="str">
        <f t="shared" ca="1" si="369"/>
        <v/>
      </c>
      <c r="I535" s="32" t="str">
        <f t="shared" ca="1" si="374"/>
        <v/>
      </c>
      <c r="J535" s="32" t="str">
        <f t="shared" si="370"/>
        <v/>
      </c>
      <c r="K535" s="32" t="str">
        <f>IF(ISNUMBER(A535),Profile!$V$25+Profile!$V$24*'Ri-Po'!C535,"")</f>
        <v/>
      </c>
      <c r="L535" s="32" t="str">
        <f t="shared" si="375"/>
        <v/>
      </c>
      <c r="M535" s="32" t="str">
        <f t="shared" si="371"/>
        <v/>
      </c>
      <c r="N535" s="32" t="str">
        <f t="shared" si="372"/>
        <v/>
      </c>
      <c r="O535" s="32" t="str">
        <f t="shared" si="388"/>
        <v/>
      </c>
      <c r="P535" s="32" t="str">
        <f t="shared" si="376"/>
        <v/>
      </c>
      <c r="Q535" s="32" t="str">
        <f t="shared" si="377"/>
        <v/>
      </c>
      <c r="R535" s="32" t="str">
        <f t="shared" si="389"/>
        <v/>
      </c>
      <c r="S535" s="24" t="str">
        <f t="shared" si="390"/>
        <v/>
      </c>
      <c r="T535" s="24" t="str">
        <f t="shared" si="391"/>
        <v/>
      </c>
      <c r="U535" s="24" t="str">
        <f t="shared" si="392"/>
        <v/>
      </c>
      <c r="V535" s="24" t="str">
        <f t="shared" si="393"/>
        <v/>
      </c>
      <c r="W535" s="23" t="str">
        <f t="array" ref="W535">IFERROR(SMALL(IF(S$1:S$1000="BEGIN",ROW(S$1:S$1000)),ROW()-3),"")</f>
        <v/>
      </c>
      <c r="X535" s="23" t="str">
        <f t="array" ref="X535">IFERROR(SMALL(IF(T$1:T$1000="END",ROW(T$1:T$1000)),ROW()-3),"")</f>
        <v/>
      </c>
      <c r="Y535" s="33" t="str">
        <f t="array" ref="Y535">IF(ISNUMBER(W535),MAX(IF((B$4:B$1000&lt;=X535)*(B$4:B$1000&gt;=W535),I$4:I$1000, "")),"")</f>
        <v/>
      </c>
      <c r="Z535" s="33" t="str">
        <f t="shared" si="378"/>
        <v/>
      </c>
      <c r="AA535" s="32" t="str">
        <f t="shared" si="379"/>
        <v/>
      </c>
      <c r="AB535" s="32" t="str">
        <f t="shared" si="380"/>
        <v/>
      </c>
      <c r="AC535" s="32" t="str">
        <f t="shared" si="381"/>
        <v/>
      </c>
      <c r="AD535" s="32" t="str">
        <f t="shared" si="382"/>
        <v/>
      </c>
      <c r="AE535" s="34" t="str">
        <f t="shared" si="383"/>
        <v/>
      </c>
      <c r="AF535" s="32" t="str">
        <f t="shared" si="384"/>
        <v/>
      </c>
      <c r="AG535" s="32" t="str">
        <f t="shared" si="385"/>
        <v/>
      </c>
      <c r="AH535" s="32" t="str">
        <f t="shared" si="386"/>
        <v/>
      </c>
      <c r="AI535" s="35" t="str">
        <f t="shared" si="387"/>
        <v/>
      </c>
      <c r="AJ535" s="23" t="str">
        <f t="array" ref="AJ535">IFERROR(SMALL(IF(U$1:U$1000="BEGIN",ROW(U$1:U$1000)),ROW()-3),"")</f>
        <v/>
      </c>
      <c r="AK535" s="23" t="str">
        <f t="array" ref="AK535">IFERROR(SMALL(IF(V$1:V$1000="END",ROW(V$1:V$1000)),ROW()-3),"")</f>
        <v/>
      </c>
      <c r="AL535" s="24" t="str">
        <f t="array" ref="AL535">IF(AK535="","",MATCH(AM535,L:L,0))</f>
        <v/>
      </c>
      <c r="AM535" s="35">
        <f t="array" ref="AM535">MAX(IF((B$4:B$1000&lt;=AK535)*(B$4:B$1000&gt;=AJ535),L$4:L$1000, ""))</f>
        <v>0</v>
      </c>
      <c r="AN535" s="32" t="str">
        <f t="shared" si="394"/>
        <v/>
      </c>
      <c r="AO535" s="32" t="str">
        <f t="shared" si="395"/>
        <v/>
      </c>
      <c r="AP535" s="32" t="str">
        <f t="shared" si="396"/>
        <v/>
      </c>
      <c r="AQ535" s="32" t="str">
        <f t="shared" si="397"/>
        <v/>
      </c>
      <c r="AR535" s="32" t="str">
        <f t="shared" si="398"/>
        <v/>
      </c>
      <c r="AS535" s="32" t="str">
        <f t="shared" si="399"/>
        <v/>
      </c>
      <c r="AT535" s="32" t="str">
        <f t="shared" si="400"/>
        <v/>
      </c>
      <c r="AU535" s="34" t="str">
        <f t="shared" si="401"/>
        <v/>
      </c>
      <c r="AV535" s="32" t="str">
        <f t="shared" si="402"/>
        <v/>
      </c>
      <c r="AW535" s="32" t="str">
        <f t="shared" si="403"/>
        <v/>
      </c>
      <c r="AX535" s="32" t="str">
        <f t="shared" si="404"/>
        <v/>
      </c>
      <c r="AY535" s="32" t="str">
        <f t="shared" si="405"/>
        <v/>
      </c>
    </row>
    <row r="536" spans="1:51" x14ac:dyDescent="0.25">
      <c r="A536" s="24" t="str">
        <f t="shared" si="363"/>
        <v/>
      </c>
      <c r="B536" s="24" t="str">
        <f t="shared" si="373"/>
        <v/>
      </c>
      <c r="C536" s="32" t="str">
        <f t="shared" si="364"/>
        <v/>
      </c>
      <c r="D536" s="24" t="str">
        <f t="shared" si="365"/>
        <v/>
      </c>
      <c r="E536" s="24" t="str">
        <f t="shared" si="366"/>
        <v/>
      </c>
      <c r="F536" s="32" t="str">
        <f t="shared" si="367"/>
        <v/>
      </c>
      <c r="G536" s="32" t="str">
        <f t="shared" si="368"/>
        <v/>
      </c>
      <c r="H536" s="32" t="str">
        <f t="shared" ca="1" si="369"/>
        <v/>
      </c>
      <c r="I536" s="32" t="str">
        <f t="shared" ca="1" si="374"/>
        <v/>
      </c>
      <c r="J536" s="32" t="str">
        <f t="shared" si="370"/>
        <v/>
      </c>
      <c r="K536" s="32" t="str">
        <f>IF(ISNUMBER(A536),Profile!$V$25+Profile!$V$24*'Ri-Po'!C536,"")</f>
        <v/>
      </c>
      <c r="L536" s="32" t="str">
        <f t="shared" si="375"/>
        <v/>
      </c>
      <c r="M536" s="32" t="str">
        <f t="shared" si="371"/>
        <v/>
      </c>
      <c r="N536" s="32" t="str">
        <f t="shared" si="372"/>
        <v/>
      </c>
      <c r="O536" s="32" t="str">
        <f t="shared" si="388"/>
        <v/>
      </c>
      <c r="P536" s="32" t="str">
        <f t="shared" si="376"/>
        <v/>
      </c>
      <c r="Q536" s="32" t="str">
        <f t="shared" si="377"/>
        <v/>
      </c>
      <c r="R536" s="32" t="str">
        <f t="shared" si="389"/>
        <v/>
      </c>
      <c r="S536" s="24" t="str">
        <f t="shared" si="390"/>
        <v/>
      </c>
      <c r="T536" s="24" t="str">
        <f t="shared" si="391"/>
        <v/>
      </c>
      <c r="U536" s="24" t="str">
        <f t="shared" si="392"/>
        <v/>
      </c>
      <c r="V536" s="24" t="str">
        <f t="shared" si="393"/>
        <v/>
      </c>
      <c r="W536" s="23" t="str">
        <f t="array" ref="W536">IFERROR(SMALL(IF(S$1:S$1000="BEGIN",ROW(S$1:S$1000)),ROW()-3),"")</f>
        <v/>
      </c>
      <c r="X536" s="23" t="str">
        <f t="array" ref="X536">IFERROR(SMALL(IF(T$1:T$1000="END",ROW(T$1:T$1000)),ROW()-3),"")</f>
        <v/>
      </c>
      <c r="Y536" s="33" t="str">
        <f t="array" ref="Y536">IF(ISNUMBER(W536),MAX(IF((B$4:B$1000&lt;=X536)*(B$4:B$1000&gt;=W536),I$4:I$1000, "")),"")</f>
        <v/>
      </c>
      <c r="Z536" s="33" t="str">
        <f t="shared" si="378"/>
        <v/>
      </c>
      <c r="AA536" s="32" t="str">
        <f t="shared" si="379"/>
        <v/>
      </c>
      <c r="AB536" s="32" t="str">
        <f t="shared" si="380"/>
        <v/>
      </c>
      <c r="AC536" s="32" t="str">
        <f t="shared" si="381"/>
        <v/>
      </c>
      <c r="AD536" s="32" t="str">
        <f t="shared" si="382"/>
        <v/>
      </c>
      <c r="AE536" s="34" t="str">
        <f t="shared" si="383"/>
        <v/>
      </c>
      <c r="AF536" s="32" t="str">
        <f t="shared" si="384"/>
        <v/>
      </c>
      <c r="AG536" s="32" t="str">
        <f t="shared" si="385"/>
        <v/>
      </c>
      <c r="AH536" s="32" t="str">
        <f t="shared" si="386"/>
        <v/>
      </c>
      <c r="AI536" s="35" t="str">
        <f t="shared" si="387"/>
        <v/>
      </c>
      <c r="AJ536" s="23" t="str">
        <f t="array" ref="AJ536">IFERROR(SMALL(IF(U$1:U$1000="BEGIN",ROW(U$1:U$1000)),ROW()-3),"")</f>
        <v/>
      </c>
      <c r="AK536" s="23" t="str">
        <f t="array" ref="AK536">IFERROR(SMALL(IF(V$1:V$1000="END",ROW(V$1:V$1000)),ROW()-3),"")</f>
        <v/>
      </c>
      <c r="AL536" s="24" t="str">
        <f t="array" ref="AL536">IF(AK536="","",MATCH(AM536,L:L,0))</f>
        <v/>
      </c>
      <c r="AM536" s="35">
        <f t="array" ref="AM536">MAX(IF((B$4:B$1000&lt;=AK536)*(B$4:B$1000&gt;=AJ536),L$4:L$1000, ""))</f>
        <v>0</v>
      </c>
      <c r="AN536" s="32" t="str">
        <f t="shared" si="394"/>
        <v/>
      </c>
      <c r="AO536" s="32" t="str">
        <f t="shared" si="395"/>
        <v/>
      </c>
      <c r="AP536" s="32" t="str">
        <f t="shared" si="396"/>
        <v/>
      </c>
      <c r="AQ536" s="32" t="str">
        <f t="shared" si="397"/>
        <v/>
      </c>
      <c r="AR536" s="32" t="str">
        <f t="shared" si="398"/>
        <v/>
      </c>
      <c r="AS536" s="32" t="str">
        <f t="shared" si="399"/>
        <v/>
      </c>
      <c r="AT536" s="32" t="str">
        <f t="shared" si="400"/>
        <v/>
      </c>
      <c r="AU536" s="34" t="str">
        <f t="shared" si="401"/>
        <v/>
      </c>
      <c r="AV536" s="32" t="str">
        <f t="shared" si="402"/>
        <v/>
      </c>
      <c r="AW536" s="32" t="str">
        <f t="shared" si="403"/>
        <v/>
      </c>
      <c r="AX536" s="32" t="str">
        <f t="shared" si="404"/>
        <v/>
      </c>
      <c r="AY536" s="32" t="str">
        <f t="shared" si="405"/>
        <v/>
      </c>
    </row>
    <row r="537" spans="1:51" x14ac:dyDescent="0.25">
      <c r="A537" s="24" t="str">
        <f t="shared" si="363"/>
        <v/>
      </c>
      <c r="B537" s="24" t="str">
        <f t="shared" si="373"/>
        <v/>
      </c>
      <c r="C537" s="32" t="str">
        <f t="shared" si="364"/>
        <v/>
      </c>
      <c r="D537" s="24" t="str">
        <f t="shared" si="365"/>
        <v/>
      </c>
      <c r="E537" s="24" t="str">
        <f t="shared" si="366"/>
        <v/>
      </c>
      <c r="F537" s="32" t="str">
        <f t="shared" si="367"/>
        <v/>
      </c>
      <c r="G537" s="32" t="str">
        <f t="shared" si="368"/>
        <v/>
      </c>
      <c r="H537" s="32" t="str">
        <f t="shared" ca="1" si="369"/>
        <v/>
      </c>
      <c r="I537" s="32" t="str">
        <f t="shared" ca="1" si="374"/>
        <v/>
      </c>
      <c r="J537" s="32" t="str">
        <f t="shared" si="370"/>
        <v/>
      </c>
      <c r="K537" s="32" t="str">
        <f>IF(ISNUMBER(A537),Profile!$V$25+Profile!$V$24*'Ri-Po'!C537,"")</f>
        <v/>
      </c>
      <c r="L537" s="32" t="str">
        <f t="shared" si="375"/>
        <v/>
      </c>
      <c r="M537" s="32" t="str">
        <f t="shared" si="371"/>
        <v/>
      </c>
      <c r="N537" s="32" t="str">
        <f t="shared" si="372"/>
        <v/>
      </c>
      <c r="O537" s="32" t="str">
        <f t="shared" si="388"/>
        <v/>
      </c>
      <c r="P537" s="32" t="str">
        <f t="shared" si="376"/>
        <v/>
      </c>
      <c r="Q537" s="32" t="str">
        <f t="shared" si="377"/>
        <v/>
      </c>
      <c r="R537" s="32" t="str">
        <f t="shared" si="389"/>
        <v/>
      </c>
      <c r="S537" s="24" t="str">
        <f t="shared" si="390"/>
        <v/>
      </c>
      <c r="T537" s="24" t="str">
        <f t="shared" si="391"/>
        <v/>
      </c>
      <c r="U537" s="24" t="str">
        <f t="shared" si="392"/>
        <v/>
      </c>
      <c r="V537" s="24" t="str">
        <f t="shared" si="393"/>
        <v/>
      </c>
      <c r="W537" s="23" t="str">
        <f t="array" ref="W537">IFERROR(SMALL(IF(S$1:S$1000="BEGIN",ROW(S$1:S$1000)),ROW()-3),"")</f>
        <v/>
      </c>
      <c r="X537" s="23" t="str">
        <f t="array" ref="X537">IFERROR(SMALL(IF(T$1:T$1000="END",ROW(T$1:T$1000)),ROW()-3),"")</f>
        <v/>
      </c>
      <c r="Y537" s="33" t="str">
        <f t="array" ref="Y537">IF(ISNUMBER(W537),MAX(IF((B$4:B$1000&lt;=X537)*(B$4:B$1000&gt;=W537),I$4:I$1000, "")),"")</f>
        <v/>
      </c>
      <c r="Z537" s="33" t="str">
        <f t="shared" si="378"/>
        <v/>
      </c>
      <c r="AA537" s="32" t="str">
        <f t="shared" si="379"/>
        <v/>
      </c>
      <c r="AB537" s="32" t="str">
        <f t="shared" si="380"/>
        <v/>
      </c>
      <c r="AC537" s="32" t="str">
        <f t="shared" si="381"/>
        <v/>
      </c>
      <c r="AD537" s="32" t="str">
        <f t="shared" si="382"/>
        <v/>
      </c>
      <c r="AE537" s="34" t="str">
        <f t="shared" si="383"/>
        <v/>
      </c>
      <c r="AF537" s="32" t="str">
        <f t="shared" si="384"/>
        <v/>
      </c>
      <c r="AG537" s="32" t="str">
        <f t="shared" si="385"/>
        <v/>
      </c>
      <c r="AH537" s="32" t="str">
        <f t="shared" si="386"/>
        <v/>
      </c>
      <c r="AI537" s="35" t="str">
        <f t="shared" si="387"/>
        <v/>
      </c>
      <c r="AJ537" s="23" t="str">
        <f t="array" ref="AJ537">IFERROR(SMALL(IF(U$1:U$1000="BEGIN",ROW(U$1:U$1000)),ROW()-3),"")</f>
        <v/>
      </c>
      <c r="AK537" s="23" t="str">
        <f t="array" ref="AK537">IFERROR(SMALL(IF(V$1:V$1000="END",ROW(V$1:V$1000)),ROW()-3),"")</f>
        <v/>
      </c>
      <c r="AL537" s="24" t="str">
        <f t="array" ref="AL537">IF(AK537="","",MATCH(AM537,L:L,0))</f>
        <v/>
      </c>
      <c r="AM537" s="35">
        <f t="array" ref="AM537">MAX(IF((B$4:B$1000&lt;=AK537)*(B$4:B$1000&gt;=AJ537),L$4:L$1000, ""))</f>
        <v>0</v>
      </c>
      <c r="AN537" s="32" t="str">
        <f t="shared" si="394"/>
        <v/>
      </c>
      <c r="AO537" s="32" t="str">
        <f t="shared" si="395"/>
        <v/>
      </c>
      <c r="AP537" s="32" t="str">
        <f t="shared" si="396"/>
        <v/>
      </c>
      <c r="AQ537" s="32" t="str">
        <f t="shared" si="397"/>
        <v/>
      </c>
      <c r="AR537" s="32" t="str">
        <f t="shared" si="398"/>
        <v/>
      </c>
      <c r="AS537" s="32" t="str">
        <f t="shared" si="399"/>
        <v/>
      </c>
      <c r="AT537" s="32" t="str">
        <f t="shared" si="400"/>
        <v/>
      </c>
      <c r="AU537" s="34" t="str">
        <f t="shared" si="401"/>
        <v/>
      </c>
      <c r="AV537" s="32" t="str">
        <f t="shared" si="402"/>
        <v/>
      </c>
      <c r="AW537" s="32" t="str">
        <f t="shared" si="403"/>
        <v/>
      </c>
      <c r="AX537" s="32" t="str">
        <f t="shared" si="404"/>
        <v/>
      </c>
      <c r="AY537" s="32" t="str">
        <f t="shared" si="405"/>
        <v/>
      </c>
    </row>
    <row r="538" spans="1:51" x14ac:dyDescent="0.25">
      <c r="A538" s="24" t="str">
        <f t="shared" si="363"/>
        <v/>
      </c>
      <c r="B538" s="24" t="str">
        <f t="shared" si="373"/>
        <v/>
      </c>
      <c r="C538" s="32" t="str">
        <f t="shared" si="364"/>
        <v/>
      </c>
      <c r="D538" s="24" t="str">
        <f t="shared" si="365"/>
        <v/>
      </c>
      <c r="E538" s="24" t="str">
        <f t="shared" si="366"/>
        <v/>
      </c>
      <c r="F538" s="32" t="str">
        <f t="shared" si="367"/>
        <v/>
      </c>
      <c r="G538" s="32" t="str">
        <f t="shared" si="368"/>
        <v/>
      </c>
      <c r="H538" s="32" t="str">
        <f t="shared" ca="1" si="369"/>
        <v/>
      </c>
      <c r="I538" s="32" t="str">
        <f t="shared" ca="1" si="374"/>
        <v/>
      </c>
      <c r="J538" s="32" t="str">
        <f t="shared" si="370"/>
        <v/>
      </c>
      <c r="K538" s="32" t="str">
        <f>IF(ISNUMBER(A538),Profile!$V$25+Profile!$V$24*'Ri-Po'!C538,"")</f>
        <v/>
      </c>
      <c r="L538" s="32" t="str">
        <f t="shared" si="375"/>
        <v/>
      </c>
      <c r="M538" s="32" t="str">
        <f t="shared" si="371"/>
        <v/>
      </c>
      <c r="N538" s="32" t="str">
        <f t="shared" si="372"/>
        <v/>
      </c>
      <c r="O538" s="32" t="str">
        <f t="shared" si="388"/>
        <v/>
      </c>
      <c r="P538" s="32" t="str">
        <f t="shared" si="376"/>
        <v/>
      </c>
      <c r="Q538" s="32" t="str">
        <f t="shared" si="377"/>
        <v/>
      </c>
      <c r="R538" s="32" t="str">
        <f t="shared" si="389"/>
        <v/>
      </c>
      <c r="S538" s="24" t="str">
        <f t="shared" si="390"/>
        <v/>
      </c>
      <c r="T538" s="24" t="str">
        <f t="shared" si="391"/>
        <v/>
      </c>
      <c r="U538" s="24" t="str">
        <f t="shared" si="392"/>
        <v/>
      </c>
      <c r="V538" s="24" t="str">
        <f t="shared" si="393"/>
        <v/>
      </c>
      <c r="W538" s="23" t="str">
        <f t="array" ref="W538">IFERROR(SMALL(IF(S$1:S$1000="BEGIN",ROW(S$1:S$1000)),ROW()-3),"")</f>
        <v/>
      </c>
      <c r="X538" s="23" t="str">
        <f t="array" ref="X538">IFERROR(SMALL(IF(T$1:T$1000="END",ROW(T$1:T$1000)),ROW()-3),"")</f>
        <v/>
      </c>
      <c r="Y538" s="33" t="str">
        <f t="array" ref="Y538">IF(ISNUMBER(W538),MAX(IF((B$4:B$1000&lt;=X538)*(B$4:B$1000&gt;=W538),I$4:I$1000, "")),"")</f>
        <v/>
      </c>
      <c r="Z538" s="33" t="str">
        <f t="shared" si="378"/>
        <v/>
      </c>
      <c r="AA538" s="32" t="str">
        <f t="shared" si="379"/>
        <v/>
      </c>
      <c r="AB538" s="32" t="str">
        <f t="shared" si="380"/>
        <v/>
      </c>
      <c r="AC538" s="32" t="str">
        <f t="shared" si="381"/>
        <v/>
      </c>
      <c r="AD538" s="32" t="str">
        <f t="shared" si="382"/>
        <v/>
      </c>
      <c r="AE538" s="34" t="str">
        <f t="shared" si="383"/>
        <v/>
      </c>
      <c r="AF538" s="32" t="str">
        <f t="shared" si="384"/>
        <v/>
      </c>
      <c r="AG538" s="32" t="str">
        <f t="shared" si="385"/>
        <v/>
      </c>
      <c r="AH538" s="32" t="str">
        <f t="shared" si="386"/>
        <v/>
      </c>
      <c r="AI538" s="35" t="str">
        <f t="shared" si="387"/>
        <v/>
      </c>
      <c r="AJ538" s="23" t="str">
        <f t="array" ref="AJ538">IFERROR(SMALL(IF(U$1:U$1000="BEGIN",ROW(U$1:U$1000)),ROW()-3),"")</f>
        <v/>
      </c>
      <c r="AK538" s="23" t="str">
        <f t="array" ref="AK538">IFERROR(SMALL(IF(V$1:V$1000="END",ROW(V$1:V$1000)),ROW()-3),"")</f>
        <v/>
      </c>
      <c r="AL538" s="24" t="str">
        <f t="array" ref="AL538">IF(AK538="","",MATCH(AM538,L:L,0))</f>
        <v/>
      </c>
      <c r="AM538" s="35">
        <f t="array" ref="AM538">MAX(IF((B$4:B$1000&lt;=AK538)*(B$4:B$1000&gt;=AJ538),L$4:L$1000, ""))</f>
        <v>0</v>
      </c>
      <c r="AN538" s="32" t="str">
        <f t="shared" si="394"/>
        <v/>
      </c>
      <c r="AO538" s="32" t="str">
        <f t="shared" si="395"/>
        <v/>
      </c>
      <c r="AP538" s="32" t="str">
        <f t="shared" si="396"/>
        <v/>
      </c>
      <c r="AQ538" s="32" t="str">
        <f t="shared" si="397"/>
        <v/>
      </c>
      <c r="AR538" s="32" t="str">
        <f t="shared" si="398"/>
        <v/>
      </c>
      <c r="AS538" s="32" t="str">
        <f t="shared" si="399"/>
        <v/>
      </c>
      <c r="AT538" s="32" t="str">
        <f t="shared" si="400"/>
        <v/>
      </c>
      <c r="AU538" s="34" t="str">
        <f t="shared" si="401"/>
        <v/>
      </c>
      <c r="AV538" s="32" t="str">
        <f t="shared" si="402"/>
        <v/>
      </c>
      <c r="AW538" s="32" t="str">
        <f t="shared" si="403"/>
        <v/>
      </c>
      <c r="AX538" s="32" t="str">
        <f t="shared" si="404"/>
        <v/>
      </c>
      <c r="AY538" s="32" t="str">
        <f t="shared" si="405"/>
        <v/>
      </c>
    </row>
    <row r="539" spans="1:51" x14ac:dyDescent="0.25">
      <c r="A539" s="24" t="str">
        <f t="shared" si="363"/>
        <v/>
      </c>
      <c r="B539" s="24" t="str">
        <f t="shared" si="373"/>
        <v/>
      </c>
      <c r="C539" s="32" t="str">
        <f t="shared" si="364"/>
        <v/>
      </c>
      <c r="D539" s="24" t="str">
        <f t="shared" si="365"/>
        <v/>
      </c>
      <c r="E539" s="24" t="str">
        <f t="shared" si="366"/>
        <v/>
      </c>
      <c r="F539" s="32" t="str">
        <f t="shared" si="367"/>
        <v/>
      </c>
      <c r="G539" s="32" t="str">
        <f t="shared" si="368"/>
        <v/>
      </c>
      <c r="H539" s="32" t="str">
        <f t="shared" ca="1" si="369"/>
        <v/>
      </c>
      <c r="I539" s="32" t="str">
        <f t="shared" ca="1" si="374"/>
        <v/>
      </c>
      <c r="J539" s="32" t="str">
        <f t="shared" si="370"/>
        <v/>
      </c>
      <c r="K539" s="32" t="str">
        <f>IF(ISNUMBER(A539),Profile!$V$25+Profile!$V$24*'Ri-Po'!C539,"")</f>
        <v/>
      </c>
      <c r="L539" s="32" t="str">
        <f t="shared" si="375"/>
        <v/>
      </c>
      <c r="M539" s="32" t="str">
        <f t="shared" si="371"/>
        <v/>
      </c>
      <c r="N539" s="32" t="str">
        <f t="shared" si="372"/>
        <v/>
      </c>
      <c r="O539" s="32" t="str">
        <f t="shared" si="388"/>
        <v/>
      </c>
      <c r="P539" s="32" t="str">
        <f t="shared" si="376"/>
        <v/>
      </c>
      <c r="Q539" s="32" t="str">
        <f t="shared" si="377"/>
        <v/>
      </c>
      <c r="R539" s="32" t="str">
        <f t="shared" si="389"/>
        <v/>
      </c>
      <c r="S539" s="24" t="str">
        <f t="shared" si="390"/>
        <v/>
      </c>
      <c r="T539" s="24" t="str">
        <f t="shared" si="391"/>
        <v/>
      </c>
      <c r="U539" s="24" t="str">
        <f t="shared" si="392"/>
        <v/>
      </c>
      <c r="V539" s="24" t="str">
        <f t="shared" si="393"/>
        <v/>
      </c>
      <c r="W539" s="23" t="str">
        <f t="array" ref="W539">IFERROR(SMALL(IF(S$1:S$1000="BEGIN",ROW(S$1:S$1000)),ROW()-3),"")</f>
        <v/>
      </c>
      <c r="X539" s="23" t="str">
        <f t="array" ref="X539">IFERROR(SMALL(IF(T$1:T$1000="END",ROW(T$1:T$1000)),ROW()-3),"")</f>
        <v/>
      </c>
      <c r="Y539" s="33" t="str">
        <f t="array" ref="Y539">IF(ISNUMBER(W539),MAX(IF((B$4:B$1000&lt;=X539)*(B$4:B$1000&gt;=W539),I$4:I$1000, "")),"")</f>
        <v/>
      </c>
      <c r="Z539" s="33" t="str">
        <f t="shared" si="378"/>
        <v/>
      </c>
      <c r="AA539" s="32" t="str">
        <f t="shared" si="379"/>
        <v/>
      </c>
      <c r="AB539" s="32" t="str">
        <f t="shared" si="380"/>
        <v/>
      </c>
      <c r="AC539" s="32" t="str">
        <f t="shared" si="381"/>
        <v/>
      </c>
      <c r="AD539" s="32" t="str">
        <f t="shared" si="382"/>
        <v/>
      </c>
      <c r="AE539" s="34" t="str">
        <f t="shared" si="383"/>
        <v/>
      </c>
      <c r="AF539" s="32" t="str">
        <f t="shared" si="384"/>
        <v/>
      </c>
      <c r="AG539" s="32" t="str">
        <f t="shared" si="385"/>
        <v/>
      </c>
      <c r="AH539" s="32" t="str">
        <f t="shared" si="386"/>
        <v/>
      </c>
      <c r="AI539" s="35" t="str">
        <f t="shared" si="387"/>
        <v/>
      </c>
      <c r="AJ539" s="23" t="str">
        <f t="array" ref="AJ539">IFERROR(SMALL(IF(U$1:U$1000="BEGIN",ROW(U$1:U$1000)),ROW()-3),"")</f>
        <v/>
      </c>
      <c r="AK539" s="23" t="str">
        <f t="array" ref="AK539">IFERROR(SMALL(IF(V$1:V$1000="END",ROW(V$1:V$1000)),ROW()-3),"")</f>
        <v/>
      </c>
      <c r="AL539" s="24" t="str">
        <f t="array" ref="AL539">IF(AK539="","",MATCH(AM539,L:L,0))</f>
        <v/>
      </c>
      <c r="AM539" s="35">
        <f t="array" ref="AM539">MAX(IF((B$4:B$1000&lt;=AK539)*(B$4:B$1000&gt;=AJ539),L$4:L$1000, ""))</f>
        <v>0</v>
      </c>
      <c r="AN539" s="32" t="str">
        <f t="shared" si="394"/>
        <v/>
      </c>
      <c r="AO539" s="32" t="str">
        <f t="shared" si="395"/>
        <v/>
      </c>
      <c r="AP539" s="32" t="str">
        <f t="shared" si="396"/>
        <v/>
      </c>
      <c r="AQ539" s="32" t="str">
        <f t="shared" si="397"/>
        <v/>
      </c>
      <c r="AR539" s="32" t="str">
        <f t="shared" si="398"/>
        <v/>
      </c>
      <c r="AS539" s="32" t="str">
        <f t="shared" si="399"/>
        <v/>
      </c>
      <c r="AT539" s="32" t="str">
        <f t="shared" si="400"/>
        <v/>
      </c>
      <c r="AU539" s="34" t="str">
        <f t="shared" si="401"/>
        <v/>
      </c>
      <c r="AV539" s="32" t="str">
        <f t="shared" si="402"/>
        <v/>
      </c>
      <c r="AW539" s="32" t="str">
        <f t="shared" si="403"/>
        <v/>
      </c>
      <c r="AX539" s="32" t="str">
        <f t="shared" si="404"/>
        <v/>
      </c>
      <c r="AY539" s="32" t="str">
        <f t="shared" si="405"/>
        <v/>
      </c>
    </row>
    <row r="540" spans="1:51" x14ac:dyDescent="0.25">
      <c r="A540" s="24" t="str">
        <f t="shared" si="363"/>
        <v/>
      </c>
      <c r="B540" s="24" t="str">
        <f t="shared" si="373"/>
        <v/>
      </c>
      <c r="C540" s="32" t="str">
        <f t="shared" si="364"/>
        <v/>
      </c>
      <c r="D540" s="24" t="str">
        <f t="shared" si="365"/>
        <v/>
      </c>
      <c r="E540" s="24" t="str">
        <f t="shared" si="366"/>
        <v/>
      </c>
      <c r="F540" s="32" t="str">
        <f t="shared" si="367"/>
        <v/>
      </c>
      <c r="G540" s="32" t="str">
        <f t="shared" si="368"/>
        <v/>
      </c>
      <c r="H540" s="32" t="str">
        <f t="shared" ca="1" si="369"/>
        <v/>
      </c>
      <c r="I540" s="32" t="str">
        <f t="shared" ca="1" si="374"/>
        <v/>
      </c>
      <c r="J540" s="32" t="str">
        <f t="shared" si="370"/>
        <v/>
      </c>
      <c r="K540" s="32" t="str">
        <f>IF(ISNUMBER(A540),Profile!$V$25+Profile!$V$24*'Ri-Po'!C540,"")</f>
        <v/>
      </c>
      <c r="L540" s="32" t="str">
        <f t="shared" si="375"/>
        <v/>
      </c>
      <c r="M540" s="32" t="str">
        <f t="shared" si="371"/>
        <v/>
      </c>
      <c r="N540" s="32" t="str">
        <f t="shared" si="372"/>
        <v/>
      </c>
      <c r="O540" s="32" t="str">
        <f t="shared" si="388"/>
        <v/>
      </c>
      <c r="P540" s="32" t="str">
        <f t="shared" si="376"/>
        <v/>
      </c>
      <c r="Q540" s="32" t="str">
        <f t="shared" si="377"/>
        <v/>
      </c>
      <c r="R540" s="32" t="str">
        <f t="shared" si="389"/>
        <v/>
      </c>
      <c r="S540" s="24" t="str">
        <f t="shared" si="390"/>
        <v/>
      </c>
      <c r="T540" s="24" t="str">
        <f t="shared" si="391"/>
        <v/>
      </c>
      <c r="U540" s="24" t="str">
        <f t="shared" si="392"/>
        <v/>
      </c>
      <c r="V540" s="24" t="str">
        <f t="shared" si="393"/>
        <v/>
      </c>
      <c r="W540" s="23" t="str">
        <f t="array" ref="W540">IFERROR(SMALL(IF(S$1:S$1000="BEGIN",ROW(S$1:S$1000)),ROW()-3),"")</f>
        <v/>
      </c>
      <c r="X540" s="23" t="str">
        <f t="array" ref="X540">IFERROR(SMALL(IF(T$1:T$1000="END",ROW(T$1:T$1000)),ROW()-3),"")</f>
        <v/>
      </c>
      <c r="Y540" s="33" t="str">
        <f t="array" ref="Y540">IF(ISNUMBER(W540),MAX(IF((B$4:B$1000&lt;=X540)*(B$4:B$1000&gt;=W540),I$4:I$1000, "")),"")</f>
        <v/>
      </c>
      <c r="Z540" s="33" t="str">
        <f t="shared" si="378"/>
        <v/>
      </c>
      <c r="AA540" s="32" t="str">
        <f t="shared" si="379"/>
        <v/>
      </c>
      <c r="AB540" s="32" t="str">
        <f t="shared" si="380"/>
        <v/>
      </c>
      <c r="AC540" s="32" t="str">
        <f t="shared" si="381"/>
        <v/>
      </c>
      <c r="AD540" s="32" t="str">
        <f t="shared" si="382"/>
        <v/>
      </c>
      <c r="AE540" s="34" t="str">
        <f t="shared" si="383"/>
        <v/>
      </c>
      <c r="AF540" s="32" t="str">
        <f t="shared" si="384"/>
        <v/>
      </c>
      <c r="AG540" s="32" t="str">
        <f t="shared" si="385"/>
        <v/>
      </c>
      <c r="AH540" s="32" t="str">
        <f t="shared" si="386"/>
        <v/>
      </c>
      <c r="AI540" s="35" t="str">
        <f t="shared" si="387"/>
        <v/>
      </c>
      <c r="AJ540" s="23" t="str">
        <f t="array" ref="AJ540">IFERROR(SMALL(IF(U$1:U$1000="BEGIN",ROW(U$1:U$1000)),ROW()-3),"")</f>
        <v/>
      </c>
      <c r="AK540" s="23" t="str">
        <f t="array" ref="AK540">IFERROR(SMALL(IF(V$1:V$1000="END",ROW(V$1:V$1000)),ROW()-3),"")</f>
        <v/>
      </c>
      <c r="AL540" s="24" t="str">
        <f t="array" ref="AL540">IF(AK540="","",MATCH(AM540,L:L,0))</f>
        <v/>
      </c>
      <c r="AM540" s="35">
        <f t="array" ref="AM540">MAX(IF((B$4:B$1000&lt;=AK540)*(B$4:B$1000&gt;=AJ540),L$4:L$1000, ""))</f>
        <v>0</v>
      </c>
      <c r="AN540" s="32" t="str">
        <f t="shared" si="394"/>
        <v/>
      </c>
      <c r="AO540" s="32" t="str">
        <f t="shared" si="395"/>
        <v/>
      </c>
      <c r="AP540" s="32" t="str">
        <f t="shared" si="396"/>
        <v/>
      </c>
      <c r="AQ540" s="32" t="str">
        <f t="shared" si="397"/>
        <v/>
      </c>
      <c r="AR540" s="32" t="str">
        <f t="shared" si="398"/>
        <v/>
      </c>
      <c r="AS540" s="32" t="str">
        <f t="shared" si="399"/>
        <v/>
      </c>
      <c r="AT540" s="32" t="str">
        <f t="shared" si="400"/>
        <v/>
      </c>
      <c r="AU540" s="34" t="str">
        <f t="shared" si="401"/>
        <v/>
      </c>
      <c r="AV540" s="32" t="str">
        <f t="shared" si="402"/>
        <v/>
      </c>
      <c r="AW540" s="32" t="str">
        <f t="shared" si="403"/>
        <v/>
      </c>
      <c r="AX540" s="32" t="str">
        <f t="shared" si="404"/>
        <v/>
      </c>
      <c r="AY540" s="32" t="str">
        <f t="shared" si="405"/>
        <v/>
      </c>
    </row>
    <row r="541" spans="1:51" x14ac:dyDescent="0.25">
      <c r="A541" s="24" t="str">
        <f t="shared" si="363"/>
        <v/>
      </c>
      <c r="B541" s="24" t="str">
        <f t="shared" si="373"/>
        <v/>
      </c>
      <c r="C541" s="32" t="str">
        <f t="shared" si="364"/>
        <v/>
      </c>
      <c r="D541" s="24" t="str">
        <f t="shared" si="365"/>
        <v/>
      </c>
      <c r="E541" s="24" t="str">
        <f t="shared" si="366"/>
        <v/>
      </c>
      <c r="F541" s="32" t="str">
        <f t="shared" si="367"/>
        <v/>
      </c>
      <c r="G541" s="32" t="str">
        <f t="shared" si="368"/>
        <v/>
      </c>
      <c r="H541" s="32" t="str">
        <f t="shared" ca="1" si="369"/>
        <v/>
      </c>
      <c r="I541" s="32" t="str">
        <f t="shared" ca="1" si="374"/>
        <v/>
      </c>
      <c r="J541" s="32" t="str">
        <f t="shared" si="370"/>
        <v/>
      </c>
      <c r="K541" s="32" t="str">
        <f>IF(ISNUMBER(A541),Profile!$V$25+Profile!$V$24*'Ri-Po'!C541,"")</f>
        <v/>
      </c>
      <c r="L541" s="32" t="str">
        <f t="shared" si="375"/>
        <v/>
      </c>
      <c r="M541" s="32" t="str">
        <f t="shared" si="371"/>
        <v/>
      </c>
      <c r="N541" s="32" t="str">
        <f t="shared" si="372"/>
        <v/>
      </c>
      <c r="O541" s="32" t="str">
        <f t="shared" si="388"/>
        <v/>
      </c>
      <c r="P541" s="32" t="str">
        <f t="shared" si="376"/>
        <v/>
      </c>
      <c r="Q541" s="32" t="str">
        <f t="shared" si="377"/>
        <v/>
      </c>
      <c r="R541" s="32" t="str">
        <f t="shared" si="389"/>
        <v/>
      </c>
      <c r="S541" s="24" t="str">
        <f t="shared" si="390"/>
        <v/>
      </c>
      <c r="T541" s="24" t="str">
        <f t="shared" si="391"/>
        <v/>
      </c>
      <c r="U541" s="24" t="str">
        <f t="shared" si="392"/>
        <v/>
      </c>
      <c r="V541" s="24" t="str">
        <f t="shared" si="393"/>
        <v/>
      </c>
      <c r="W541" s="23" t="str">
        <f t="array" ref="W541">IFERROR(SMALL(IF(S$1:S$1000="BEGIN",ROW(S$1:S$1000)),ROW()-3),"")</f>
        <v/>
      </c>
      <c r="X541" s="23" t="str">
        <f t="array" ref="X541">IFERROR(SMALL(IF(T$1:T$1000="END",ROW(T$1:T$1000)),ROW()-3),"")</f>
        <v/>
      </c>
      <c r="Y541" s="33" t="str">
        <f t="array" ref="Y541">IF(ISNUMBER(W541),MAX(IF((B$4:B$1000&lt;=X541)*(B$4:B$1000&gt;=W541),I$4:I$1000, "")),"")</f>
        <v/>
      </c>
      <c r="Z541" s="33" t="str">
        <f t="shared" si="378"/>
        <v/>
      </c>
      <c r="AA541" s="32" t="str">
        <f t="shared" si="379"/>
        <v/>
      </c>
      <c r="AB541" s="32" t="str">
        <f t="shared" si="380"/>
        <v/>
      </c>
      <c r="AC541" s="32" t="str">
        <f t="shared" si="381"/>
        <v/>
      </c>
      <c r="AD541" s="32" t="str">
        <f t="shared" si="382"/>
        <v/>
      </c>
      <c r="AE541" s="34" t="str">
        <f t="shared" si="383"/>
        <v/>
      </c>
      <c r="AF541" s="32" t="str">
        <f t="shared" si="384"/>
        <v/>
      </c>
      <c r="AG541" s="32" t="str">
        <f t="shared" si="385"/>
        <v/>
      </c>
      <c r="AH541" s="32" t="str">
        <f t="shared" si="386"/>
        <v/>
      </c>
      <c r="AI541" s="35" t="str">
        <f t="shared" si="387"/>
        <v/>
      </c>
      <c r="AJ541" s="23" t="str">
        <f t="array" ref="AJ541">IFERROR(SMALL(IF(U$1:U$1000="BEGIN",ROW(U$1:U$1000)),ROW()-3),"")</f>
        <v/>
      </c>
      <c r="AK541" s="23" t="str">
        <f t="array" ref="AK541">IFERROR(SMALL(IF(V$1:V$1000="END",ROW(V$1:V$1000)),ROW()-3),"")</f>
        <v/>
      </c>
      <c r="AL541" s="24" t="str">
        <f t="array" ref="AL541">IF(AK541="","",MATCH(AM541,L:L,0))</f>
        <v/>
      </c>
      <c r="AM541" s="35">
        <f t="array" ref="AM541">MAX(IF((B$4:B$1000&lt;=AK541)*(B$4:B$1000&gt;=AJ541),L$4:L$1000, ""))</f>
        <v>0</v>
      </c>
      <c r="AN541" s="32" t="str">
        <f t="shared" si="394"/>
        <v/>
      </c>
      <c r="AO541" s="32" t="str">
        <f t="shared" si="395"/>
        <v/>
      </c>
      <c r="AP541" s="32" t="str">
        <f t="shared" si="396"/>
        <v/>
      </c>
      <c r="AQ541" s="32" t="str">
        <f t="shared" si="397"/>
        <v/>
      </c>
      <c r="AR541" s="32" t="str">
        <f t="shared" si="398"/>
        <v/>
      </c>
      <c r="AS541" s="32" t="str">
        <f t="shared" si="399"/>
        <v/>
      </c>
      <c r="AT541" s="32" t="str">
        <f t="shared" si="400"/>
        <v/>
      </c>
      <c r="AU541" s="34" t="str">
        <f t="shared" si="401"/>
        <v/>
      </c>
      <c r="AV541" s="32" t="str">
        <f t="shared" si="402"/>
        <v/>
      </c>
      <c r="AW541" s="32" t="str">
        <f t="shared" si="403"/>
        <v/>
      </c>
      <c r="AX541" s="32" t="str">
        <f t="shared" si="404"/>
        <v/>
      </c>
      <c r="AY541" s="32" t="str">
        <f t="shared" si="405"/>
        <v/>
      </c>
    </row>
    <row r="542" spans="1:51" x14ac:dyDescent="0.25">
      <c r="A542" s="24" t="str">
        <f t="shared" si="363"/>
        <v/>
      </c>
      <c r="B542" s="24" t="str">
        <f t="shared" si="373"/>
        <v/>
      </c>
      <c r="C542" s="32" t="str">
        <f t="shared" si="364"/>
        <v/>
      </c>
      <c r="D542" s="24" t="str">
        <f t="shared" si="365"/>
        <v/>
      </c>
      <c r="E542" s="24" t="str">
        <f t="shared" si="366"/>
        <v/>
      </c>
      <c r="F542" s="32" t="str">
        <f t="shared" si="367"/>
        <v/>
      </c>
      <c r="G542" s="32" t="str">
        <f t="shared" si="368"/>
        <v/>
      </c>
      <c r="H542" s="32" t="str">
        <f t="shared" ca="1" si="369"/>
        <v/>
      </c>
      <c r="I542" s="32" t="str">
        <f t="shared" ca="1" si="374"/>
        <v/>
      </c>
      <c r="J542" s="32" t="str">
        <f t="shared" si="370"/>
        <v/>
      </c>
      <c r="K542" s="32" t="str">
        <f>IF(ISNUMBER(A542),Profile!$V$25+Profile!$V$24*'Ri-Po'!C542,"")</f>
        <v/>
      </c>
      <c r="L542" s="32" t="str">
        <f t="shared" si="375"/>
        <v/>
      </c>
      <c r="M542" s="32" t="str">
        <f t="shared" si="371"/>
        <v/>
      </c>
      <c r="N542" s="32" t="str">
        <f t="shared" si="372"/>
        <v/>
      </c>
      <c r="O542" s="32" t="str">
        <f t="shared" si="388"/>
        <v/>
      </c>
      <c r="P542" s="32" t="str">
        <f t="shared" si="376"/>
        <v/>
      </c>
      <c r="Q542" s="32" t="str">
        <f t="shared" si="377"/>
        <v/>
      </c>
      <c r="R542" s="32" t="str">
        <f t="shared" si="389"/>
        <v/>
      </c>
      <c r="S542" s="24" t="str">
        <f t="shared" si="390"/>
        <v/>
      </c>
      <c r="T542" s="24" t="str">
        <f t="shared" si="391"/>
        <v/>
      </c>
      <c r="U542" s="24" t="str">
        <f t="shared" si="392"/>
        <v/>
      </c>
      <c r="V542" s="24" t="str">
        <f t="shared" si="393"/>
        <v/>
      </c>
      <c r="W542" s="23" t="str">
        <f t="array" ref="W542">IFERROR(SMALL(IF(S$1:S$1000="BEGIN",ROW(S$1:S$1000)),ROW()-3),"")</f>
        <v/>
      </c>
      <c r="X542" s="23" t="str">
        <f t="array" ref="X542">IFERROR(SMALL(IF(T$1:T$1000="END",ROW(T$1:T$1000)),ROW()-3),"")</f>
        <v/>
      </c>
      <c r="Y542" s="33" t="str">
        <f t="array" ref="Y542">IF(ISNUMBER(W542),MAX(IF((B$4:B$1000&lt;=X542)*(B$4:B$1000&gt;=W542),I$4:I$1000, "")),"")</f>
        <v/>
      </c>
      <c r="Z542" s="33" t="str">
        <f t="shared" si="378"/>
        <v/>
      </c>
      <c r="AA542" s="32" t="str">
        <f t="shared" si="379"/>
        <v/>
      </c>
      <c r="AB542" s="32" t="str">
        <f t="shared" si="380"/>
        <v/>
      </c>
      <c r="AC542" s="32" t="str">
        <f t="shared" si="381"/>
        <v/>
      </c>
      <c r="AD542" s="32" t="str">
        <f t="shared" si="382"/>
        <v/>
      </c>
      <c r="AE542" s="34" t="str">
        <f t="shared" si="383"/>
        <v/>
      </c>
      <c r="AF542" s="32" t="str">
        <f t="shared" si="384"/>
        <v/>
      </c>
      <c r="AG542" s="32" t="str">
        <f t="shared" si="385"/>
        <v/>
      </c>
      <c r="AH542" s="32" t="str">
        <f t="shared" si="386"/>
        <v/>
      </c>
      <c r="AI542" s="35" t="str">
        <f t="shared" si="387"/>
        <v/>
      </c>
      <c r="AJ542" s="23" t="str">
        <f t="array" ref="AJ542">IFERROR(SMALL(IF(U$1:U$1000="BEGIN",ROW(U$1:U$1000)),ROW()-3),"")</f>
        <v/>
      </c>
      <c r="AK542" s="23" t="str">
        <f t="array" ref="AK542">IFERROR(SMALL(IF(V$1:V$1000="END",ROW(V$1:V$1000)),ROW()-3),"")</f>
        <v/>
      </c>
      <c r="AL542" s="24" t="str">
        <f t="array" ref="AL542">IF(AK542="","",MATCH(AM542,L:L,0))</f>
        <v/>
      </c>
      <c r="AM542" s="35">
        <f t="array" ref="AM542">MAX(IF((B$4:B$1000&lt;=AK542)*(B$4:B$1000&gt;=AJ542),L$4:L$1000, ""))</f>
        <v>0</v>
      </c>
      <c r="AN542" s="32" t="str">
        <f t="shared" si="394"/>
        <v/>
      </c>
      <c r="AO542" s="32" t="str">
        <f t="shared" si="395"/>
        <v/>
      </c>
      <c r="AP542" s="32" t="str">
        <f t="shared" si="396"/>
        <v/>
      </c>
      <c r="AQ542" s="32" t="str">
        <f t="shared" si="397"/>
        <v/>
      </c>
      <c r="AR542" s="32" t="str">
        <f t="shared" si="398"/>
        <v/>
      </c>
      <c r="AS542" s="32" t="str">
        <f t="shared" si="399"/>
        <v/>
      </c>
      <c r="AT542" s="32" t="str">
        <f t="shared" si="400"/>
        <v/>
      </c>
      <c r="AU542" s="34" t="str">
        <f t="shared" si="401"/>
        <v/>
      </c>
      <c r="AV542" s="32" t="str">
        <f t="shared" si="402"/>
        <v/>
      </c>
      <c r="AW542" s="32" t="str">
        <f t="shared" si="403"/>
        <v/>
      </c>
      <c r="AX542" s="32" t="str">
        <f t="shared" si="404"/>
        <v/>
      </c>
      <c r="AY542" s="32" t="str">
        <f t="shared" si="405"/>
        <v/>
      </c>
    </row>
    <row r="543" spans="1:51" x14ac:dyDescent="0.25">
      <c r="A543" s="24" t="str">
        <f t="shared" si="363"/>
        <v/>
      </c>
      <c r="B543" s="24" t="str">
        <f t="shared" si="373"/>
        <v/>
      </c>
      <c r="C543" s="32" t="str">
        <f t="shared" si="364"/>
        <v/>
      </c>
      <c r="D543" s="24" t="str">
        <f t="shared" si="365"/>
        <v/>
      </c>
      <c r="E543" s="24" t="str">
        <f t="shared" si="366"/>
        <v/>
      </c>
      <c r="F543" s="32" t="str">
        <f t="shared" si="367"/>
        <v/>
      </c>
      <c r="G543" s="32" t="str">
        <f t="shared" si="368"/>
        <v/>
      </c>
      <c r="H543" s="32" t="str">
        <f t="shared" ca="1" si="369"/>
        <v/>
      </c>
      <c r="I543" s="32" t="str">
        <f t="shared" ca="1" si="374"/>
        <v/>
      </c>
      <c r="J543" s="32" t="str">
        <f t="shared" si="370"/>
        <v/>
      </c>
      <c r="K543" s="32" t="str">
        <f>IF(ISNUMBER(A543),Profile!$V$25+Profile!$V$24*'Ri-Po'!C543,"")</f>
        <v/>
      </c>
      <c r="L543" s="32" t="str">
        <f t="shared" si="375"/>
        <v/>
      </c>
      <c r="M543" s="32" t="str">
        <f t="shared" si="371"/>
        <v/>
      </c>
      <c r="N543" s="32" t="str">
        <f t="shared" si="372"/>
        <v/>
      </c>
      <c r="O543" s="32" t="str">
        <f t="shared" si="388"/>
        <v/>
      </c>
      <c r="P543" s="32" t="str">
        <f t="shared" si="376"/>
        <v/>
      </c>
      <c r="Q543" s="32" t="str">
        <f t="shared" si="377"/>
        <v/>
      </c>
      <c r="R543" s="32" t="str">
        <f t="shared" si="389"/>
        <v/>
      </c>
      <c r="S543" s="24" t="str">
        <f t="shared" si="390"/>
        <v/>
      </c>
      <c r="T543" s="24" t="str">
        <f t="shared" si="391"/>
        <v/>
      </c>
      <c r="U543" s="24" t="str">
        <f t="shared" si="392"/>
        <v/>
      </c>
      <c r="V543" s="24" t="str">
        <f t="shared" si="393"/>
        <v/>
      </c>
      <c r="W543" s="23" t="str">
        <f t="array" ref="W543">IFERROR(SMALL(IF(S$1:S$1000="BEGIN",ROW(S$1:S$1000)),ROW()-3),"")</f>
        <v/>
      </c>
      <c r="X543" s="23" t="str">
        <f t="array" ref="X543">IFERROR(SMALL(IF(T$1:T$1000="END",ROW(T$1:T$1000)),ROW()-3),"")</f>
        <v/>
      </c>
      <c r="Y543" s="33" t="str">
        <f t="array" ref="Y543">IF(ISNUMBER(W543),MAX(IF((B$4:B$1000&lt;=X543)*(B$4:B$1000&gt;=W543),I$4:I$1000, "")),"")</f>
        <v/>
      </c>
      <c r="Z543" s="33" t="str">
        <f t="shared" si="378"/>
        <v/>
      </c>
      <c r="AA543" s="32" t="str">
        <f t="shared" si="379"/>
        <v/>
      </c>
      <c r="AB543" s="32" t="str">
        <f t="shared" si="380"/>
        <v/>
      </c>
      <c r="AC543" s="32" t="str">
        <f t="shared" si="381"/>
        <v/>
      </c>
      <c r="AD543" s="32" t="str">
        <f t="shared" si="382"/>
        <v/>
      </c>
      <c r="AE543" s="34" t="str">
        <f t="shared" si="383"/>
        <v/>
      </c>
      <c r="AF543" s="32" t="str">
        <f t="shared" si="384"/>
        <v/>
      </c>
      <c r="AG543" s="32" t="str">
        <f t="shared" si="385"/>
        <v/>
      </c>
      <c r="AH543" s="32" t="str">
        <f t="shared" si="386"/>
        <v/>
      </c>
      <c r="AI543" s="35" t="str">
        <f t="shared" si="387"/>
        <v/>
      </c>
      <c r="AJ543" s="23" t="str">
        <f t="array" ref="AJ543">IFERROR(SMALL(IF(U$1:U$1000="BEGIN",ROW(U$1:U$1000)),ROW()-3),"")</f>
        <v/>
      </c>
      <c r="AK543" s="23" t="str">
        <f t="array" ref="AK543">IFERROR(SMALL(IF(V$1:V$1000="END",ROW(V$1:V$1000)),ROW()-3),"")</f>
        <v/>
      </c>
      <c r="AL543" s="24" t="str">
        <f t="array" ref="AL543">IF(AK543="","",MATCH(AM543,L:L,0))</f>
        <v/>
      </c>
      <c r="AM543" s="35">
        <f t="array" ref="AM543">MAX(IF((B$4:B$1000&lt;=AK543)*(B$4:B$1000&gt;=AJ543),L$4:L$1000, ""))</f>
        <v>0</v>
      </c>
      <c r="AN543" s="32" t="str">
        <f t="shared" si="394"/>
        <v/>
      </c>
      <c r="AO543" s="32" t="str">
        <f t="shared" si="395"/>
        <v/>
      </c>
      <c r="AP543" s="32" t="str">
        <f t="shared" si="396"/>
        <v/>
      </c>
      <c r="AQ543" s="32" t="str">
        <f t="shared" si="397"/>
        <v/>
      </c>
      <c r="AR543" s="32" t="str">
        <f t="shared" si="398"/>
        <v/>
      </c>
      <c r="AS543" s="32" t="str">
        <f t="shared" si="399"/>
        <v/>
      </c>
      <c r="AT543" s="32" t="str">
        <f t="shared" si="400"/>
        <v/>
      </c>
      <c r="AU543" s="34" t="str">
        <f t="shared" si="401"/>
        <v/>
      </c>
      <c r="AV543" s="32" t="str">
        <f t="shared" si="402"/>
        <v/>
      </c>
      <c r="AW543" s="32" t="str">
        <f t="shared" si="403"/>
        <v/>
      </c>
      <c r="AX543" s="32" t="str">
        <f t="shared" si="404"/>
        <v/>
      </c>
      <c r="AY543" s="32" t="str">
        <f t="shared" si="405"/>
        <v/>
      </c>
    </row>
    <row r="544" spans="1:51" x14ac:dyDescent="0.25">
      <c r="A544" s="24" t="str">
        <f t="shared" si="363"/>
        <v/>
      </c>
      <c r="B544" s="24" t="str">
        <f t="shared" si="373"/>
        <v/>
      </c>
      <c r="C544" s="32" t="str">
        <f t="shared" si="364"/>
        <v/>
      </c>
      <c r="D544" s="24" t="str">
        <f t="shared" si="365"/>
        <v/>
      </c>
      <c r="E544" s="24" t="str">
        <f t="shared" si="366"/>
        <v/>
      </c>
      <c r="F544" s="32" t="str">
        <f t="shared" si="367"/>
        <v/>
      </c>
      <c r="G544" s="32" t="str">
        <f t="shared" si="368"/>
        <v/>
      </c>
      <c r="H544" s="32" t="str">
        <f t="shared" ca="1" si="369"/>
        <v/>
      </c>
      <c r="I544" s="32" t="str">
        <f t="shared" ca="1" si="374"/>
        <v/>
      </c>
      <c r="J544" s="32" t="str">
        <f t="shared" si="370"/>
        <v/>
      </c>
      <c r="K544" s="32" t="str">
        <f>IF(ISNUMBER(A544),Profile!$V$25+Profile!$V$24*'Ri-Po'!C544,"")</f>
        <v/>
      </c>
      <c r="L544" s="32" t="str">
        <f t="shared" si="375"/>
        <v/>
      </c>
      <c r="M544" s="32" t="str">
        <f t="shared" si="371"/>
        <v/>
      </c>
      <c r="N544" s="32" t="str">
        <f t="shared" si="372"/>
        <v/>
      </c>
      <c r="O544" s="32" t="str">
        <f t="shared" si="388"/>
        <v/>
      </c>
      <c r="P544" s="32" t="str">
        <f t="shared" si="376"/>
        <v/>
      </c>
      <c r="Q544" s="32" t="str">
        <f t="shared" si="377"/>
        <v/>
      </c>
      <c r="R544" s="32" t="str">
        <f t="shared" si="389"/>
        <v/>
      </c>
      <c r="S544" s="24" t="str">
        <f t="shared" si="390"/>
        <v/>
      </c>
      <c r="T544" s="24" t="str">
        <f t="shared" si="391"/>
        <v/>
      </c>
      <c r="U544" s="24" t="str">
        <f t="shared" si="392"/>
        <v/>
      </c>
      <c r="V544" s="24" t="str">
        <f t="shared" si="393"/>
        <v/>
      </c>
      <c r="W544" s="23" t="str">
        <f t="array" ref="W544">IFERROR(SMALL(IF(S$1:S$1000="BEGIN",ROW(S$1:S$1000)),ROW()-3),"")</f>
        <v/>
      </c>
      <c r="X544" s="23" t="str">
        <f t="array" ref="X544">IFERROR(SMALL(IF(T$1:T$1000="END",ROW(T$1:T$1000)),ROW()-3),"")</f>
        <v/>
      </c>
      <c r="Y544" s="33" t="str">
        <f t="array" ref="Y544">IF(ISNUMBER(W544),MAX(IF((B$4:B$1000&lt;=X544)*(B$4:B$1000&gt;=W544),I$4:I$1000, "")),"")</f>
        <v/>
      </c>
      <c r="Z544" s="33" t="str">
        <f t="shared" si="378"/>
        <v/>
      </c>
      <c r="AA544" s="32" t="str">
        <f t="shared" si="379"/>
        <v/>
      </c>
      <c r="AB544" s="32" t="str">
        <f t="shared" si="380"/>
        <v/>
      </c>
      <c r="AC544" s="32" t="str">
        <f t="shared" si="381"/>
        <v/>
      </c>
      <c r="AD544" s="32" t="str">
        <f t="shared" si="382"/>
        <v/>
      </c>
      <c r="AE544" s="34" t="str">
        <f t="shared" si="383"/>
        <v/>
      </c>
      <c r="AF544" s="32" t="str">
        <f t="shared" si="384"/>
        <v/>
      </c>
      <c r="AG544" s="32" t="str">
        <f t="shared" si="385"/>
        <v/>
      </c>
      <c r="AH544" s="32" t="str">
        <f t="shared" si="386"/>
        <v/>
      </c>
      <c r="AI544" s="35" t="str">
        <f t="shared" si="387"/>
        <v/>
      </c>
      <c r="AJ544" s="23" t="str">
        <f t="array" ref="AJ544">IFERROR(SMALL(IF(U$1:U$1000="BEGIN",ROW(U$1:U$1000)),ROW()-3),"")</f>
        <v/>
      </c>
      <c r="AK544" s="23" t="str">
        <f t="array" ref="AK544">IFERROR(SMALL(IF(V$1:V$1000="END",ROW(V$1:V$1000)),ROW()-3),"")</f>
        <v/>
      </c>
      <c r="AL544" s="24" t="str">
        <f t="array" ref="AL544">IF(AK544="","",MATCH(AM544,L:L,0))</f>
        <v/>
      </c>
      <c r="AM544" s="35">
        <f t="array" ref="AM544">MAX(IF((B$4:B$1000&lt;=AK544)*(B$4:B$1000&gt;=AJ544),L$4:L$1000, ""))</f>
        <v>0</v>
      </c>
      <c r="AN544" s="32" t="str">
        <f t="shared" si="394"/>
        <v/>
      </c>
      <c r="AO544" s="32" t="str">
        <f t="shared" si="395"/>
        <v/>
      </c>
      <c r="AP544" s="32" t="str">
        <f t="shared" si="396"/>
        <v/>
      </c>
      <c r="AQ544" s="32" t="str">
        <f t="shared" si="397"/>
        <v/>
      </c>
      <c r="AR544" s="32" t="str">
        <f t="shared" si="398"/>
        <v/>
      </c>
      <c r="AS544" s="32" t="str">
        <f t="shared" si="399"/>
        <v/>
      </c>
      <c r="AT544" s="32" t="str">
        <f t="shared" si="400"/>
        <v/>
      </c>
      <c r="AU544" s="34" t="str">
        <f t="shared" si="401"/>
        <v/>
      </c>
      <c r="AV544" s="32" t="str">
        <f t="shared" si="402"/>
        <v/>
      </c>
      <c r="AW544" s="32" t="str">
        <f t="shared" si="403"/>
        <v/>
      </c>
      <c r="AX544" s="32" t="str">
        <f t="shared" si="404"/>
        <v/>
      </c>
      <c r="AY544" s="32" t="str">
        <f t="shared" si="405"/>
        <v/>
      </c>
    </row>
    <row r="545" spans="1:51" x14ac:dyDescent="0.25">
      <c r="A545" s="24" t="str">
        <f t="shared" si="363"/>
        <v/>
      </c>
      <c r="B545" s="24" t="str">
        <f t="shared" si="373"/>
        <v/>
      </c>
      <c r="C545" s="32" t="str">
        <f t="shared" si="364"/>
        <v/>
      </c>
      <c r="D545" s="24" t="str">
        <f t="shared" si="365"/>
        <v/>
      </c>
      <c r="E545" s="24" t="str">
        <f t="shared" si="366"/>
        <v/>
      </c>
      <c r="F545" s="32" t="str">
        <f t="shared" si="367"/>
        <v/>
      </c>
      <c r="G545" s="32" t="str">
        <f t="shared" si="368"/>
        <v/>
      </c>
      <c r="H545" s="32" t="str">
        <f t="shared" ca="1" si="369"/>
        <v/>
      </c>
      <c r="I545" s="32" t="str">
        <f t="shared" ca="1" si="374"/>
        <v/>
      </c>
      <c r="J545" s="32" t="str">
        <f t="shared" si="370"/>
        <v/>
      </c>
      <c r="K545" s="32" t="str">
        <f>IF(ISNUMBER(A545),Profile!$V$25+Profile!$V$24*'Ri-Po'!C545,"")</f>
        <v/>
      </c>
      <c r="L545" s="32" t="str">
        <f t="shared" si="375"/>
        <v/>
      </c>
      <c r="M545" s="32" t="str">
        <f t="shared" si="371"/>
        <v/>
      </c>
      <c r="N545" s="32" t="str">
        <f t="shared" si="372"/>
        <v/>
      </c>
      <c r="O545" s="32" t="str">
        <f t="shared" si="388"/>
        <v/>
      </c>
      <c r="P545" s="32" t="str">
        <f t="shared" si="376"/>
        <v/>
      </c>
      <c r="Q545" s="32" t="str">
        <f t="shared" si="377"/>
        <v/>
      </c>
      <c r="R545" s="32" t="str">
        <f t="shared" si="389"/>
        <v/>
      </c>
      <c r="S545" s="24" t="str">
        <f t="shared" si="390"/>
        <v/>
      </c>
      <c r="T545" s="24" t="str">
        <f t="shared" si="391"/>
        <v/>
      </c>
      <c r="U545" s="24" t="str">
        <f t="shared" si="392"/>
        <v/>
      </c>
      <c r="V545" s="24" t="str">
        <f t="shared" si="393"/>
        <v/>
      </c>
      <c r="W545" s="23" t="str">
        <f t="array" ref="W545">IFERROR(SMALL(IF(S$1:S$1000="BEGIN",ROW(S$1:S$1000)),ROW()-3),"")</f>
        <v/>
      </c>
      <c r="X545" s="23" t="str">
        <f t="array" ref="X545">IFERROR(SMALL(IF(T$1:T$1000="END",ROW(T$1:T$1000)),ROW()-3),"")</f>
        <v/>
      </c>
      <c r="Y545" s="33" t="str">
        <f t="array" ref="Y545">IF(ISNUMBER(W545),MAX(IF((B$4:B$1000&lt;=X545)*(B$4:B$1000&gt;=W545),I$4:I$1000, "")),"")</f>
        <v/>
      </c>
      <c r="Z545" s="33" t="str">
        <f t="shared" si="378"/>
        <v/>
      </c>
      <c r="AA545" s="32" t="str">
        <f t="shared" si="379"/>
        <v/>
      </c>
      <c r="AB545" s="32" t="str">
        <f t="shared" si="380"/>
        <v/>
      </c>
      <c r="AC545" s="32" t="str">
        <f t="shared" si="381"/>
        <v/>
      </c>
      <c r="AD545" s="32" t="str">
        <f t="shared" si="382"/>
        <v/>
      </c>
      <c r="AE545" s="34" t="str">
        <f t="shared" si="383"/>
        <v/>
      </c>
      <c r="AF545" s="32" t="str">
        <f t="shared" si="384"/>
        <v/>
      </c>
      <c r="AG545" s="32" t="str">
        <f t="shared" si="385"/>
        <v/>
      </c>
      <c r="AH545" s="32" t="str">
        <f t="shared" si="386"/>
        <v/>
      </c>
      <c r="AI545" s="35" t="str">
        <f t="shared" si="387"/>
        <v/>
      </c>
      <c r="AJ545" s="23" t="str">
        <f t="array" ref="AJ545">IFERROR(SMALL(IF(U$1:U$1000="BEGIN",ROW(U$1:U$1000)),ROW()-3),"")</f>
        <v/>
      </c>
      <c r="AK545" s="23" t="str">
        <f t="array" ref="AK545">IFERROR(SMALL(IF(V$1:V$1000="END",ROW(V$1:V$1000)),ROW()-3),"")</f>
        <v/>
      </c>
      <c r="AL545" s="24" t="str">
        <f t="array" ref="AL545">IF(AK545="","",MATCH(AM545,L:L,0))</f>
        <v/>
      </c>
      <c r="AM545" s="35">
        <f t="array" ref="AM545">MAX(IF((B$4:B$1000&lt;=AK545)*(B$4:B$1000&gt;=AJ545),L$4:L$1000, ""))</f>
        <v>0</v>
      </c>
      <c r="AN545" s="32" t="str">
        <f t="shared" si="394"/>
        <v/>
      </c>
      <c r="AO545" s="32" t="str">
        <f t="shared" si="395"/>
        <v/>
      </c>
      <c r="AP545" s="32" t="str">
        <f t="shared" si="396"/>
        <v/>
      </c>
      <c r="AQ545" s="32" t="str">
        <f t="shared" si="397"/>
        <v/>
      </c>
      <c r="AR545" s="32" t="str">
        <f t="shared" si="398"/>
        <v/>
      </c>
      <c r="AS545" s="32" t="str">
        <f t="shared" si="399"/>
        <v/>
      </c>
      <c r="AT545" s="32" t="str">
        <f t="shared" si="400"/>
        <v/>
      </c>
      <c r="AU545" s="34" t="str">
        <f t="shared" si="401"/>
        <v/>
      </c>
      <c r="AV545" s="32" t="str">
        <f t="shared" si="402"/>
        <v/>
      </c>
      <c r="AW545" s="32" t="str">
        <f t="shared" si="403"/>
        <v/>
      </c>
      <c r="AX545" s="32" t="str">
        <f t="shared" si="404"/>
        <v/>
      </c>
      <c r="AY545" s="32" t="str">
        <f t="shared" si="405"/>
        <v/>
      </c>
    </row>
    <row r="546" spans="1:51" x14ac:dyDescent="0.25">
      <c r="A546" s="24" t="str">
        <f t="shared" si="363"/>
        <v/>
      </c>
      <c r="B546" s="24" t="str">
        <f t="shared" si="373"/>
        <v/>
      </c>
      <c r="C546" s="32" t="str">
        <f t="shared" si="364"/>
        <v/>
      </c>
      <c r="D546" s="24" t="str">
        <f t="shared" si="365"/>
        <v/>
      </c>
      <c r="E546" s="24" t="str">
        <f t="shared" si="366"/>
        <v/>
      </c>
      <c r="F546" s="32" t="str">
        <f t="shared" si="367"/>
        <v/>
      </c>
      <c r="G546" s="32" t="str">
        <f t="shared" si="368"/>
        <v/>
      </c>
      <c r="H546" s="32" t="str">
        <f t="shared" ca="1" si="369"/>
        <v/>
      </c>
      <c r="I546" s="32" t="str">
        <f t="shared" ca="1" si="374"/>
        <v/>
      </c>
      <c r="J546" s="32" t="str">
        <f t="shared" si="370"/>
        <v/>
      </c>
      <c r="K546" s="32" t="str">
        <f>IF(ISNUMBER(A546),Profile!$V$25+Profile!$V$24*'Ri-Po'!C546,"")</f>
        <v/>
      </c>
      <c r="L546" s="32" t="str">
        <f t="shared" si="375"/>
        <v/>
      </c>
      <c r="M546" s="32" t="str">
        <f t="shared" si="371"/>
        <v/>
      </c>
      <c r="N546" s="32" t="str">
        <f t="shared" si="372"/>
        <v/>
      </c>
      <c r="O546" s="32" t="str">
        <f t="shared" si="388"/>
        <v/>
      </c>
      <c r="P546" s="32" t="str">
        <f t="shared" si="376"/>
        <v/>
      </c>
      <c r="Q546" s="32" t="str">
        <f t="shared" si="377"/>
        <v/>
      </c>
      <c r="R546" s="32" t="str">
        <f t="shared" si="389"/>
        <v/>
      </c>
      <c r="S546" s="24" t="str">
        <f t="shared" si="390"/>
        <v/>
      </c>
      <c r="T546" s="24" t="str">
        <f t="shared" si="391"/>
        <v/>
      </c>
      <c r="U546" s="24" t="str">
        <f t="shared" si="392"/>
        <v/>
      </c>
      <c r="V546" s="24" t="str">
        <f t="shared" si="393"/>
        <v/>
      </c>
      <c r="W546" s="23" t="str">
        <f t="array" ref="W546">IFERROR(SMALL(IF(S$1:S$1000="BEGIN",ROW(S$1:S$1000)),ROW()-3),"")</f>
        <v/>
      </c>
      <c r="X546" s="23" t="str">
        <f t="array" ref="X546">IFERROR(SMALL(IF(T$1:T$1000="END",ROW(T$1:T$1000)),ROW()-3),"")</f>
        <v/>
      </c>
      <c r="Y546" s="33" t="str">
        <f t="array" ref="Y546">IF(ISNUMBER(W546),MAX(IF((B$4:B$1000&lt;=X546)*(B$4:B$1000&gt;=W546),I$4:I$1000, "")),"")</f>
        <v/>
      </c>
      <c r="Z546" s="33" t="str">
        <f t="shared" si="378"/>
        <v/>
      </c>
      <c r="AA546" s="32" t="str">
        <f t="shared" si="379"/>
        <v/>
      </c>
      <c r="AB546" s="32" t="str">
        <f t="shared" si="380"/>
        <v/>
      </c>
      <c r="AC546" s="32" t="str">
        <f t="shared" si="381"/>
        <v/>
      </c>
      <c r="AD546" s="32" t="str">
        <f t="shared" si="382"/>
        <v/>
      </c>
      <c r="AE546" s="34" t="str">
        <f t="shared" si="383"/>
        <v/>
      </c>
      <c r="AF546" s="32" t="str">
        <f t="shared" si="384"/>
        <v/>
      </c>
      <c r="AG546" s="32" t="str">
        <f t="shared" si="385"/>
        <v/>
      </c>
      <c r="AH546" s="32" t="str">
        <f t="shared" si="386"/>
        <v/>
      </c>
      <c r="AI546" s="35" t="str">
        <f t="shared" si="387"/>
        <v/>
      </c>
      <c r="AJ546" s="23" t="str">
        <f t="array" ref="AJ546">IFERROR(SMALL(IF(U$1:U$1000="BEGIN",ROW(U$1:U$1000)),ROW()-3),"")</f>
        <v/>
      </c>
      <c r="AK546" s="23" t="str">
        <f t="array" ref="AK546">IFERROR(SMALL(IF(V$1:V$1000="END",ROW(V$1:V$1000)),ROW()-3),"")</f>
        <v/>
      </c>
      <c r="AL546" s="24" t="str">
        <f t="array" ref="AL546">IF(AK546="","",MATCH(AM546,L:L,0))</f>
        <v/>
      </c>
      <c r="AM546" s="35">
        <f t="array" ref="AM546">MAX(IF((B$4:B$1000&lt;=AK546)*(B$4:B$1000&gt;=AJ546),L$4:L$1000, ""))</f>
        <v>0</v>
      </c>
      <c r="AN546" s="32" t="str">
        <f t="shared" si="394"/>
        <v/>
      </c>
      <c r="AO546" s="32" t="str">
        <f t="shared" si="395"/>
        <v/>
      </c>
      <c r="AP546" s="32" t="str">
        <f t="shared" si="396"/>
        <v/>
      </c>
      <c r="AQ546" s="32" t="str">
        <f t="shared" si="397"/>
        <v/>
      </c>
      <c r="AR546" s="32" t="str">
        <f t="shared" si="398"/>
        <v/>
      </c>
      <c r="AS546" s="32" t="str">
        <f t="shared" si="399"/>
        <v/>
      </c>
      <c r="AT546" s="32" t="str">
        <f t="shared" si="400"/>
        <v/>
      </c>
      <c r="AU546" s="34" t="str">
        <f t="shared" si="401"/>
        <v/>
      </c>
      <c r="AV546" s="32" t="str">
        <f t="shared" si="402"/>
        <v/>
      </c>
      <c r="AW546" s="32" t="str">
        <f t="shared" si="403"/>
        <v/>
      </c>
      <c r="AX546" s="32" t="str">
        <f t="shared" si="404"/>
        <v/>
      </c>
      <c r="AY546" s="32" t="str">
        <f t="shared" si="405"/>
        <v/>
      </c>
    </row>
    <row r="547" spans="1:51" x14ac:dyDescent="0.25">
      <c r="A547" s="24" t="str">
        <f t="shared" si="363"/>
        <v/>
      </c>
      <c r="B547" s="24" t="str">
        <f t="shared" si="373"/>
        <v/>
      </c>
      <c r="C547" s="32" t="str">
        <f t="shared" si="364"/>
        <v/>
      </c>
      <c r="D547" s="24" t="str">
        <f t="shared" si="365"/>
        <v/>
      </c>
      <c r="E547" s="24" t="str">
        <f t="shared" si="366"/>
        <v/>
      </c>
      <c r="F547" s="32" t="str">
        <f t="shared" si="367"/>
        <v/>
      </c>
      <c r="G547" s="32" t="str">
        <f t="shared" si="368"/>
        <v/>
      </c>
      <c r="H547" s="32" t="str">
        <f t="shared" ca="1" si="369"/>
        <v/>
      </c>
      <c r="I547" s="32" t="str">
        <f t="shared" ca="1" si="374"/>
        <v/>
      </c>
      <c r="J547" s="32" t="str">
        <f t="shared" si="370"/>
        <v/>
      </c>
      <c r="K547" s="32" t="str">
        <f>IF(ISNUMBER(A547),Profile!$V$25+Profile!$V$24*'Ri-Po'!C547,"")</f>
        <v/>
      </c>
      <c r="L547" s="32" t="str">
        <f t="shared" si="375"/>
        <v/>
      </c>
      <c r="M547" s="32" t="str">
        <f t="shared" si="371"/>
        <v/>
      </c>
      <c r="N547" s="32" t="str">
        <f t="shared" si="372"/>
        <v/>
      </c>
      <c r="O547" s="32" t="str">
        <f t="shared" si="388"/>
        <v/>
      </c>
      <c r="P547" s="32" t="str">
        <f t="shared" si="376"/>
        <v/>
      </c>
      <c r="Q547" s="32" t="str">
        <f t="shared" si="377"/>
        <v/>
      </c>
      <c r="R547" s="32" t="str">
        <f t="shared" si="389"/>
        <v/>
      </c>
      <c r="S547" s="24" t="str">
        <f t="shared" si="390"/>
        <v/>
      </c>
      <c r="T547" s="24" t="str">
        <f t="shared" si="391"/>
        <v/>
      </c>
      <c r="U547" s="24" t="str">
        <f t="shared" si="392"/>
        <v/>
      </c>
      <c r="V547" s="24" t="str">
        <f t="shared" si="393"/>
        <v/>
      </c>
      <c r="W547" s="23" t="str">
        <f t="array" ref="W547">IFERROR(SMALL(IF(S$1:S$1000="BEGIN",ROW(S$1:S$1000)),ROW()-3),"")</f>
        <v/>
      </c>
      <c r="X547" s="23" t="str">
        <f t="array" ref="X547">IFERROR(SMALL(IF(T$1:T$1000="END",ROW(T$1:T$1000)),ROW()-3),"")</f>
        <v/>
      </c>
      <c r="Y547" s="33" t="str">
        <f t="array" ref="Y547">IF(ISNUMBER(W547),MAX(IF((B$4:B$1000&lt;=X547)*(B$4:B$1000&gt;=W547),I$4:I$1000, "")),"")</f>
        <v/>
      </c>
      <c r="Z547" s="33" t="str">
        <f t="shared" si="378"/>
        <v/>
      </c>
      <c r="AA547" s="32" t="str">
        <f t="shared" si="379"/>
        <v/>
      </c>
      <c r="AB547" s="32" t="str">
        <f t="shared" si="380"/>
        <v/>
      </c>
      <c r="AC547" s="32" t="str">
        <f t="shared" si="381"/>
        <v/>
      </c>
      <c r="AD547" s="32" t="str">
        <f t="shared" si="382"/>
        <v/>
      </c>
      <c r="AE547" s="34" t="str">
        <f t="shared" si="383"/>
        <v/>
      </c>
      <c r="AF547" s="32" t="str">
        <f t="shared" si="384"/>
        <v/>
      </c>
      <c r="AG547" s="32" t="str">
        <f t="shared" si="385"/>
        <v/>
      </c>
      <c r="AH547" s="32" t="str">
        <f t="shared" si="386"/>
        <v/>
      </c>
      <c r="AI547" s="35" t="str">
        <f t="shared" si="387"/>
        <v/>
      </c>
      <c r="AJ547" s="23" t="str">
        <f t="array" ref="AJ547">IFERROR(SMALL(IF(U$1:U$1000="BEGIN",ROW(U$1:U$1000)),ROW()-3),"")</f>
        <v/>
      </c>
      <c r="AK547" s="23" t="str">
        <f t="array" ref="AK547">IFERROR(SMALL(IF(V$1:V$1000="END",ROW(V$1:V$1000)),ROW()-3),"")</f>
        <v/>
      </c>
      <c r="AL547" s="24" t="str">
        <f t="array" ref="AL547">IF(AK547="","",MATCH(AM547,L:L,0))</f>
        <v/>
      </c>
      <c r="AM547" s="35">
        <f t="array" ref="AM547">MAX(IF((B$4:B$1000&lt;=AK547)*(B$4:B$1000&gt;=AJ547),L$4:L$1000, ""))</f>
        <v>0</v>
      </c>
      <c r="AN547" s="32" t="str">
        <f t="shared" si="394"/>
        <v/>
      </c>
      <c r="AO547" s="32" t="str">
        <f t="shared" si="395"/>
        <v/>
      </c>
      <c r="AP547" s="32" t="str">
        <f t="shared" si="396"/>
        <v/>
      </c>
      <c r="AQ547" s="32" t="str">
        <f t="shared" si="397"/>
        <v/>
      </c>
      <c r="AR547" s="32" t="str">
        <f t="shared" si="398"/>
        <v/>
      </c>
      <c r="AS547" s="32" t="str">
        <f t="shared" si="399"/>
        <v/>
      </c>
      <c r="AT547" s="32" t="str">
        <f t="shared" si="400"/>
        <v/>
      </c>
      <c r="AU547" s="34" t="str">
        <f t="shared" si="401"/>
        <v/>
      </c>
      <c r="AV547" s="32" t="str">
        <f t="shared" si="402"/>
        <v/>
      </c>
      <c r="AW547" s="32" t="str">
        <f t="shared" si="403"/>
        <v/>
      </c>
      <c r="AX547" s="32" t="str">
        <f t="shared" si="404"/>
        <v/>
      </c>
      <c r="AY547" s="32" t="str">
        <f t="shared" si="405"/>
        <v/>
      </c>
    </row>
    <row r="548" spans="1:51" x14ac:dyDescent="0.25">
      <c r="A548" s="24" t="str">
        <f t="shared" si="363"/>
        <v/>
      </c>
      <c r="B548" s="24" t="str">
        <f t="shared" si="373"/>
        <v/>
      </c>
      <c r="C548" s="32" t="str">
        <f t="shared" si="364"/>
        <v/>
      </c>
      <c r="D548" s="24" t="str">
        <f t="shared" si="365"/>
        <v/>
      </c>
      <c r="E548" s="24" t="str">
        <f t="shared" si="366"/>
        <v/>
      </c>
      <c r="F548" s="32" t="str">
        <f t="shared" si="367"/>
        <v/>
      </c>
      <c r="G548" s="32" t="str">
        <f t="shared" si="368"/>
        <v/>
      </c>
      <c r="H548" s="32" t="str">
        <f t="shared" ca="1" si="369"/>
        <v/>
      </c>
      <c r="I548" s="32" t="str">
        <f t="shared" ca="1" si="374"/>
        <v/>
      </c>
      <c r="J548" s="32" t="str">
        <f t="shared" si="370"/>
        <v/>
      </c>
      <c r="K548" s="32" t="str">
        <f>IF(ISNUMBER(A548),Profile!$V$25+Profile!$V$24*'Ri-Po'!C548,"")</f>
        <v/>
      </c>
      <c r="L548" s="32" t="str">
        <f t="shared" si="375"/>
        <v/>
      </c>
      <c r="M548" s="32" t="str">
        <f t="shared" si="371"/>
        <v/>
      </c>
      <c r="N548" s="32" t="str">
        <f t="shared" si="372"/>
        <v/>
      </c>
      <c r="O548" s="32" t="str">
        <f t="shared" si="388"/>
        <v/>
      </c>
      <c r="P548" s="32" t="str">
        <f t="shared" si="376"/>
        <v/>
      </c>
      <c r="Q548" s="32" t="str">
        <f t="shared" si="377"/>
        <v/>
      </c>
      <c r="R548" s="32" t="str">
        <f t="shared" si="389"/>
        <v/>
      </c>
      <c r="S548" s="24" t="str">
        <f t="shared" si="390"/>
        <v/>
      </c>
      <c r="T548" s="24" t="str">
        <f t="shared" si="391"/>
        <v/>
      </c>
      <c r="U548" s="24" t="str">
        <f t="shared" si="392"/>
        <v/>
      </c>
      <c r="V548" s="24" t="str">
        <f t="shared" si="393"/>
        <v/>
      </c>
      <c r="W548" s="23" t="str">
        <f t="array" ref="W548">IFERROR(SMALL(IF(S$1:S$1000="BEGIN",ROW(S$1:S$1000)),ROW()-3),"")</f>
        <v/>
      </c>
      <c r="X548" s="23" t="str">
        <f t="array" ref="X548">IFERROR(SMALL(IF(T$1:T$1000="END",ROW(T$1:T$1000)),ROW()-3),"")</f>
        <v/>
      </c>
      <c r="Y548" s="33" t="str">
        <f t="array" ref="Y548">IF(ISNUMBER(W548),MAX(IF((B$4:B$1000&lt;=X548)*(B$4:B$1000&gt;=W548),I$4:I$1000, "")),"")</f>
        <v/>
      </c>
      <c r="Z548" s="33" t="str">
        <f t="shared" si="378"/>
        <v/>
      </c>
      <c r="AA548" s="32" t="str">
        <f t="shared" si="379"/>
        <v/>
      </c>
      <c r="AB548" s="32" t="str">
        <f t="shared" si="380"/>
        <v/>
      </c>
      <c r="AC548" s="32" t="str">
        <f t="shared" si="381"/>
        <v/>
      </c>
      <c r="AD548" s="32" t="str">
        <f t="shared" si="382"/>
        <v/>
      </c>
      <c r="AE548" s="34" t="str">
        <f t="shared" si="383"/>
        <v/>
      </c>
      <c r="AF548" s="32" t="str">
        <f t="shared" si="384"/>
        <v/>
      </c>
      <c r="AG548" s="32" t="str">
        <f t="shared" si="385"/>
        <v/>
      </c>
      <c r="AH548" s="32" t="str">
        <f t="shared" si="386"/>
        <v/>
      </c>
      <c r="AI548" s="35" t="str">
        <f t="shared" si="387"/>
        <v/>
      </c>
      <c r="AJ548" s="23" t="str">
        <f t="array" ref="AJ548">IFERROR(SMALL(IF(U$1:U$1000="BEGIN",ROW(U$1:U$1000)),ROW()-3),"")</f>
        <v/>
      </c>
      <c r="AK548" s="23" t="str">
        <f t="array" ref="AK548">IFERROR(SMALL(IF(V$1:V$1000="END",ROW(V$1:V$1000)),ROW()-3),"")</f>
        <v/>
      </c>
      <c r="AL548" s="24" t="str">
        <f t="array" ref="AL548">IF(AK548="","",MATCH(AM548,L:L,0))</f>
        <v/>
      </c>
      <c r="AM548" s="35">
        <f t="array" ref="AM548">MAX(IF((B$4:B$1000&lt;=AK548)*(B$4:B$1000&gt;=AJ548),L$4:L$1000, ""))</f>
        <v>0</v>
      </c>
      <c r="AN548" s="32" t="str">
        <f t="shared" si="394"/>
        <v/>
      </c>
      <c r="AO548" s="32" t="str">
        <f t="shared" si="395"/>
        <v/>
      </c>
      <c r="AP548" s="32" t="str">
        <f t="shared" si="396"/>
        <v/>
      </c>
      <c r="AQ548" s="32" t="str">
        <f t="shared" si="397"/>
        <v/>
      </c>
      <c r="AR548" s="32" t="str">
        <f t="shared" si="398"/>
        <v/>
      </c>
      <c r="AS548" s="32" t="str">
        <f t="shared" si="399"/>
        <v/>
      </c>
      <c r="AT548" s="32" t="str">
        <f t="shared" si="400"/>
        <v/>
      </c>
      <c r="AU548" s="34" t="str">
        <f t="shared" si="401"/>
        <v/>
      </c>
      <c r="AV548" s="32" t="str">
        <f t="shared" si="402"/>
        <v/>
      </c>
      <c r="AW548" s="32" t="str">
        <f t="shared" si="403"/>
        <v/>
      </c>
      <c r="AX548" s="32" t="str">
        <f t="shared" si="404"/>
        <v/>
      </c>
      <c r="AY548" s="32" t="str">
        <f t="shared" si="405"/>
        <v/>
      </c>
    </row>
    <row r="549" spans="1:51" x14ac:dyDescent="0.25">
      <c r="A549" s="24" t="str">
        <f t="shared" si="363"/>
        <v/>
      </c>
      <c r="B549" s="24" t="str">
        <f t="shared" si="373"/>
        <v/>
      </c>
      <c r="C549" s="32" t="str">
        <f t="shared" si="364"/>
        <v/>
      </c>
      <c r="D549" s="24" t="str">
        <f t="shared" si="365"/>
        <v/>
      </c>
      <c r="E549" s="24" t="str">
        <f t="shared" si="366"/>
        <v/>
      </c>
      <c r="F549" s="32" t="str">
        <f t="shared" si="367"/>
        <v/>
      </c>
      <c r="G549" s="32" t="str">
        <f t="shared" si="368"/>
        <v/>
      </c>
      <c r="H549" s="32" t="str">
        <f t="shared" ca="1" si="369"/>
        <v/>
      </c>
      <c r="I549" s="32" t="str">
        <f t="shared" ca="1" si="374"/>
        <v/>
      </c>
      <c r="J549" s="32" t="str">
        <f t="shared" si="370"/>
        <v/>
      </c>
      <c r="K549" s="32" t="str">
        <f>IF(ISNUMBER(A549),Profile!$V$25+Profile!$V$24*'Ri-Po'!C549,"")</f>
        <v/>
      </c>
      <c r="L549" s="32" t="str">
        <f t="shared" si="375"/>
        <v/>
      </c>
      <c r="M549" s="32" t="str">
        <f t="shared" si="371"/>
        <v/>
      </c>
      <c r="N549" s="32" t="str">
        <f t="shared" si="372"/>
        <v/>
      </c>
      <c r="O549" s="32" t="str">
        <f t="shared" si="388"/>
        <v/>
      </c>
      <c r="P549" s="32" t="str">
        <f t="shared" si="376"/>
        <v/>
      </c>
      <c r="Q549" s="32" t="str">
        <f t="shared" si="377"/>
        <v/>
      </c>
      <c r="R549" s="32" t="str">
        <f t="shared" si="389"/>
        <v/>
      </c>
      <c r="S549" s="24" t="str">
        <f t="shared" si="390"/>
        <v/>
      </c>
      <c r="T549" s="24" t="str">
        <f t="shared" si="391"/>
        <v/>
      </c>
      <c r="U549" s="24" t="str">
        <f t="shared" si="392"/>
        <v/>
      </c>
      <c r="V549" s="24" t="str">
        <f t="shared" si="393"/>
        <v/>
      </c>
      <c r="W549" s="23" t="str">
        <f t="array" ref="W549">IFERROR(SMALL(IF(S$1:S$1000="BEGIN",ROW(S$1:S$1000)),ROW()-3),"")</f>
        <v/>
      </c>
      <c r="X549" s="23" t="str">
        <f t="array" ref="X549">IFERROR(SMALL(IF(T$1:T$1000="END",ROW(T$1:T$1000)),ROW()-3),"")</f>
        <v/>
      </c>
      <c r="Y549" s="33" t="str">
        <f t="array" ref="Y549">IF(ISNUMBER(W549),MAX(IF((B$4:B$1000&lt;=X549)*(B$4:B$1000&gt;=W549),I$4:I$1000, "")),"")</f>
        <v/>
      </c>
      <c r="Z549" s="33" t="str">
        <f t="shared" si="378"/>
        <v/>
      </c>
      <c r="AA549" s="32" t="str">
        <f t="shared" si="379"/>
        <v/>
      </c>
      <c r="AB549" s="32" t="str">
        <f t="shared" si="380"/>
        <v/>
      </c>
      <c r="AC549" s="32" t="str">
        <f t="shared" si="381"/>
        <v/>
      </c>
      <c r="AD549" s="32" t="str">
        <f t="shared" si="382"/>
        <v/>
      </c>
      <c r="AE549" s="34" t="str">
        <f t="shared" si="383"/>
        <v/>
      </c>
      <c r="AF549" s="32" t="str">
        <f t="shared" si="384"/>
        <v/>
      </c>
      <c r="AG549" s="32" t="str">
        <f t="shared" si="385"/>
        <v/>
      </c>
      <c r="AH549" s="32" t="str">
        <f t="shared" si="386"/>
        <v/>
      </c>
      <c r="AI549" s="35" t="str">
        <f t="shared" si="387"/>
        <v/>
      </c>
      <c r="AJ549" s="23" t="str">
        <f t="array" ref="AJ549">IFERROR(SMALL(IF(U$1:U$1000="BEGIN",ROW(U$1:U$1000)),ROW()-3),"")</f>
        <v/>
      </c>
      <c r="AK549" s="23" t="str">
        <f t="array" ref="AK549">IFERROR(SMALL(IF(V$1:V$1000="END",ROW(V$1:V$1000)),ROW()-3),"")</f>
        <v/>
      </c>
      <c r="AL549" s="24" t="str">
        <f t="array" ref="AL549">IF(AK549="","",MATCH(AM549,L:L,0))</f>
        <v/>
      </c>
      <c r="AM549" s="35">
        <f t="array" ref="AM549">MAX(IF((B$4:B$1000&lt;=AK549)*(B$4:B$1000&gt;=AJ549),L$4:L$1000, ""))</f>
        <v>0</v>
      </c>
      <c r="AN549" s="32" t="str">
        <f t="shared" si="394"/>
        <v/>
      </c>
      <c r="AO549" s="32" t="str">
        <f t="shared" si="395"/>
        <v/>
      </c>
      <c r="AP549" s="32" t="str">
        <f t="shared" si="396"/>
        <v/>
      </c>
      <c r="AQ549" s="32" t="str">
        <f t="shared" si="397"/>
        <v/>
      </c>
      <c r="AR549" s="32" t="str">
        <f t="shared" si="398"/>
        <v/>
      </c>
      <c r="AS549" s="32" t="str">
        <f t="shared" si="399"/>
        <v/>
      </c>
      <c r="AT549" s="32" t="str">
        <f t="shared" si="400"/>
        <v/>
      </c>
      <c r="AU549" s="34" t="str">
        <f t="shared" si="401"/>
        <v/>
      </c>
      <c r="AV549" s="32" t="str">
        <f t="shared" si="402"/>
        <v/>
      </c>
      <c r="AW549" s="32" t="str">
        <f t="shared" si="403"/>
        <v/>
      </c>
      <c r="AX549" s="32" t="str">
        <f t="shared" si="404"/>
        <v/>
      </c>
      <c r="AY549" s="32" t="str">
        <f t="shared" si="405"/>
        <v/>
      </c>
    </row>
    <row r="550" spans="1:51" x14ac:dyDescent="0.25">
      <c r="A550" s="24" t="str">
        <f t="shared" si="363"/>
        <v/>
      </c>
      <c r="B550" s="24" t="str">
        <f t="shared" si="373"/>
        <v/>
      </c>
      <c r="C550" s="32" t="str">
        <f t="shared" si="364"/>
        <v/>
      </c>
      <c r="D550" s="24" t="str">
        <f t="shared" si="365"/>
        <v/>
      </c>
      <c r="E550" s="24" t="str">
        <f t="shared" si="366"/>
        <v/>
      </c>
      <c r="F550" s="32" t="str">
        <f t="shared" si="367"/>
        <v/>
      </c>
      <c r="G550" s="32" t="str">
        <f t="shared" si="368"/>
        <v/>
      </c>
      <c r="H550" s="32" t="str">
        <f t="shared" ca="1" si="369"/>
        <v/>
      </c>
      <c r="I550" s="32" t="str">
        <f t="shared" ca="1" si="374"/>
        <v/>
      </c>
      <c r="J550" s="32" t="str">
        <f t="shared" si="370"/>
        <v/>
      </c>
      <c r="K550" s="32" t="str">
        <f>IF(ISNUMBER(A550),Profile!$V$25+Profile!$V$24*'Ri-Po'!C550,"")</f>
        <v/>
      </c>
      <c r="L550" s="32" t="str">
        <f t="shared" si="375"/>
        <v/>
      </c>
      <c r="M550" s="32" t="str">
        <f t="shared" si="371"/>
        <v/>
      </c>
      <c r="N550" s="32" t="str">
        <f t="shared" si="372"/>
        <v/>
      </c>
      <c r="O550" s="32" t="str">
        <f t="shared" si="388"/>
        <v/>
      </c>
      <c r="P550" s="32" t="str">
        <f t="shared" si="376"/>
        <v/>
      </c>
      <c r="Q550" s="32" t="str">
        <f t="shared" si="377"/>
        <v/>
      </c>
      <c r="R550" s="32" t="str">
        <f t="shared" si="389"/>
        <v/>
      </c>
      <c r="S550" s="24" t="str">
        <f t="shared" si="390"/>
        <v/>
      </c>
      <c r="T550" s="24" t="str">
        <f t="shared" si="391"/>
        <v/>
      </c>
      <c r="U550" s="24" t="str">
        <f t="shared" si="392"/>
        <v/>
      </c>
      <c r="V550" s="24" t="str">
        <f t="shared" si="393"/>
        <v/>
      </c>
      <c r="W550" s="23" t="str">
        <f t="array" ref="W550">IFERROR(SMALL(IF(S$1:S$1000="BEGIN",ROW(S$1:S$1000)),ROW()-3),"")</f>
        <v/>
      </c>
      <c r="X550" s="23" t="str">
        <f t="array" ref="X550">IFERROR(SMALL(IF(T$1:T$1000="END",ROW(T$1:T$1000)),ROW()-3),"")</f>
        <v/>
      </c>
      <c r="Y550" s="33" t="str">
        <f t="array" ref="Y550">IF(ISNUMBER(W550),MAX(IF((B$4:B$1000&lt;=X550)*(B$4:B$1000&gt;=W550),I$4:I$1000, "")),"")</f>
        <v/>
      </c>
      <c r="Z550" s="33" t="str">
        <f t="shared" si="378"/>
        <v/>
      </c>
      <c r="AA550" s="32" t="str">
        <f t="shared" si="379"/>
        <v/>
      </c>
      <c r="AB550" s="32" t="str">
        <f t="shared" si="380"/>
        <v/>
      </c>
      <c r="AC550" s="32" t="str">
        <f t="shared" si="381"/>
        <v/>
      </c>
      <c r="AD550" s="32" t="str">
        <f t="shared" si="382"/>
        <v/>
      </c>
      <c r="AE550" s="34" t="str">
        <f t="shared" si="383"/>
        <v/>
      </c>
      <c r="AF550" s="32" t="str">
        <f t="shared" si="384"/>
        <v/>
      </c>
      <c r="AG550" s="32" t="str">
        <f t="shared" si="385"/>
        <v/>
      </c>
      <c r="AH550" s="32" t="str">
        <f t="shared" si="386"/>
        <v/>
      </c>
      <c r="AI550" s="35" t="str">
        <f t="shared" si="387"/>
        <v/>
      </c>
      <c r="AJ550" s="23" t="str">
        <f t="array" ref="AJ550">IFERROR(SMALL(IF(U$1:U$1000="BEGIN",ROW(U$1:U$1000)),ROW()-3),"")</f>
        <v/>
      </c>
      <c r="AK550" s="23" t="str">
        <f t="array" ref="AK550">IFERROR(SMALL(IF(V$1:V$1000="END",ROW(V$1:V$1000)),ROW()-3),"")</f>
        <v/>
      </c>
      <c r="AL550" s="24" t="str">
        <f t="array" ref="AL550">IF(AK550="","",MATCH(AM550,L:L,0))</f>
        <v/>
      </c>
      <c r="AM550" s="35">
        <f t="array" ref="AM550">MAX(IF((B$4:B$1000&lt;=AK550)*(B$4:B$1000&gt;=AJ550),L$4:L$1000, ""))</f>
        <v>0</v>
      </c>
      <c r="AN550" s="32" t="str">
        <f t="shared" si="394"/>
        <v/>
      </c>
      <c r="AO550" s="32" t="str">
        <f t="shared" si="395"/>
        <v/>
      </c>
      <c r="AP550" s="32" t="str">
        <f t="shared" si="396"/>
        <v/>
      </c>
      <c r="AQ550" s="32" t="str">
        <f t="shared" si="397"/>
        <v/>
      </c>
      <c r="AR550" s="32" t="str">
        <f t="shared" si="398"/>
        <v/>
      </c>
      <c r="AS550" s="32" t="str">
        <f t="shared" si="399"/>
        <v/>
      </c>
      <c r="AT550" s="32" t="str">
        <f t="shared" si="400"/>
        <v/>
      </c>
      <c r="AU550" s="34" t="str">
        <f t="shared" si="401"/>
        <v/>
      </c>
      <c r="AV550" s="32" t="str">
        <f t="shared" si="402"/>
        <v/>
      </c>
      <c r="AW550" s="32" t="str">
        <f t="shared" si="403"/>
        <v/>
      </c>
      <c r="AX550" s="32" t="str">
        <f t="shared" si="404"/>
        <v/>
      </c>
      <c r="AY550" s="32" t="str">
        <f t="shared" si="405"/>
        <v/>
      </c>
    </row>
    <row r="551" spans="1:51" x14ac:dyDescent="0.25">
      <c r="A551" s="24" t="str">
        <f t="shared" si="363"/>
        <v/>
      </c>
      <c r="B551" s="24" t="str">
        <f t="shared" si="373"/>
        <v/>
      </c>
      <c r="C551" s="32" t="str">
        <f t="shared" si="364"/>
        <v/>
      </c>
      <c r="D551" s="24" t="str">
        <f t="shared" si="365"/>
        <v/>
      </c>
      <c r="E551" s="24" t="str">
        <f t="shared" si="366"/>
        <v/>
      </c>
      <c r="F551" s="32" t="str">
        <f t="shared" si="367"/>
        <v/>
      </c>
      <c r="G551" s="32" t="str">
        <f t="shared" si="368"/>
        <v/>
      </c>
      <c r="H551" s="32" t="str">
        <f t="shared" ca="1" si="369"/>
        <v/>
      </c>
      <c r="I551" s="32" t="str">
        <f t="shared" ca="1" si="374"/>
        <v/>
      </c>
      <c r="J551" s="32" t="str">
        <f t="shared" si="370"/>
        <v/>
      </c>
      <c r="K551" s="32" t="str">
        <f>IF(ISNUMBER(A551),Profile!$V$25+Profile!$V$24*'Ri-Po'!C551,"")</f>
        <v/>
      </c>
      <c r="L551" s="32" t="str">
        <f t="shared" si="375"/>
        <v/>
      </c>
      <c r="M551" s="32" t="str">
        <f t="shared" si="371"/>
        <v/>
      </c>
      <c r="N551" s="32" t="str">
        <f t="shared" si="372"/>
        <v/>
      </c>
      <c r="O551" s="32" t="str">
        <f t="shared" si="388"/>
        <v/>
      </c>
      <c r="P551" s="32" t="str">
        <f t="shared" si="376"/>
        <v/>
      </c>
      <c r="Q551" s="32" t="str">
        <f t="shared" si="377"/>
        <v/>
      </c>
      <c r="R551" s="32" t="str">
        <f t="shared" si="389"/>
        <v/>
      </c>
      <c r="S551" s="24" t="str">
        <f t="shared" si="390"/>
        <v/>
      </c>
      <c r="T551" s="24" t="str">
        <f t="shared" si="391"/>
        <v/>
      </c>
      <c r="U551" s="24" t="str">
        <f t="shared" si="392"/>
        <v/>
      </c>
      <c r="V551" s="24" t="str">
        <f t="shared" si="393"/>
        <v/>
      </c>
      <c r="W551" s="23" t="str">
        <f t="array" ref="W551">IFERROR(SMALL(IF(S$1:S$1000="BEGIN",ROW(S$1:S$1000)),ROW()-3),"")</f>
        <v/>
      </c>
      <c r="X551" s="23" t="str">
        <f t="array" ref="X551">IFERROR(SMALL(IF(T$1:T$1000="END",ROW(T$1:T$1000)),ROW()-3),"")</f>
        <v/>
      </c>
      <c r="Y551" s="33" t="str">
        <f t="array" ref="Y551">IF(ISNUMBER(W551),MAX(IF((B$4:B$1000&lt;=X551)*(B$4:B$1000&gt;=W551),I$4:I$1000, "")),"")</f>
        <v/>
      </c>
      <c r="Z551" s="33" t="str">
        <f t="shared" si="378"/>
        <v/>
      </c>
      <c r="AA551" s="32" t="str">
        <f t="shared" si="379"/>
        <v/>
      </c>
      <c r="AB551" s="32" t="str">
        <f t="shared" si="380"/>
        <v/>
      </c>
      <c r="AC551" s="32" t="str">
        <f t="shared" si="381"/>
        <v/>
      </c>
      <c r="AD551" s="32" t="str">
        <f t="shared" si="382"/>
        <v/>
      </c>
      <c r="AE551" s="34" t="str">
        <f t="shared" si="383"/>
        <v/>
      </c>
      <c r="AF551" s="32" t="str">
        <f t="shared" si="384"/>
        <v/>
      </c>
      <c r="AG551" s="32" t="str">
        <f t="shared" si="385"/>
        <v/>
      </c>
      <c r="AH551" s="32" t="str">
        <f t="shared" si="386"/>
        <v/>
      </c>
      <c r="AI551" s="35" t="str">
        <f t="shared" si="387"/>
        <v/>
      </c>
      <c r="AJ551" s="23" t="str">
        <f t="array" ref="AJ551">IFERROR(SMALL(IF(U$1:U$1000="BEGIN",ROW(U$1:U$1000)),ROW()-3),"")</f>
        <v/>
      </c>
      <c r="AK551" s="23" t="str">
        <f t="array" ref="AK551">IFERROR(SMALL(IF(V$1:V$1000="END",ROW(V$1:V$1000)),ROW()-3),"")</f>
        <v/>
      </c>
      <c r="AL551" s="24" t="str">
        <f t="array" ref="AL551">IF(AK551="","",MATCH(AM551,L:L,0))</f>
        <v/>
      </c>
      <c r="AM551" s="35">
        <f t="array" ref="AM551">MAX(IF((B$4:B$1000&lt;=AK551)*(B$4:B$1000&gt;=AJ551),L$4:L$1000, ""))</f>
        <v>0</v>
      </c>
      <c r="AN551" s="32" t="str">
        <f t="shared" si="394"/>
        <v/>
      </c>
      <c r="AO551" s="32" t="str">
        <f t="shared" si="395"/>
        <v/>
      </c>
      <c r="AP551" s="32" t="str">
        <f t="shared" si="396"/>
        <v/>
      </c>
      <c r="AQ551" s="32" t="str">
        <f t="shared" si="397"/>
        <v/>
      </c>
      <c r="AR551" s="32" t="str">
        <f t="shared" si="398"/>
        <v/>
      </c>
      <c r="AS551" s="32" t="str">
        <f t="shared" si="399"/>
        <v/>
      </c>
      <c r="AT551" s="32" t="str">
        <f t="shared" si="400"/>
        <v/>
      </c>
      <c r="AU551" s="34" t="str">
        <f t="shared" si="401"/>
        <v/>
      </c>
      <c r="AV551" s="32" t="str">
        <f t="shared" si="402"/>
        <v/>
      </c>
      <c r="AW551" s="32" t="str">
        <f t="shared" si="403"/>
        <v/>
      </c>
      <c r="AX551" s="32" t="str">
        <f t="shared" si="404"/>
        <v/>
      </c>
      <c r="AY551" s="32" t="str">
        <f t="shared" si="405"/>
        <v/>
      </c>
    </row>
    <row r="552" spans="1:51" x14ac:dyDescent="0.25">
      <c r="A552" s="24" t="str">
        <f t="shared" si="363"/>
        <v/>
      </c>
      <c r="B552" s="24" t="str">
        <f t="shared" si="373"/>
        <v/>
      </c>
      <c r="C552" s="32" t="str">
        <f t="shared" si="364"/>
        <v/>
      </c>
      <c r="D552" s="24" t="str">
        <f t="shared" si="365"/>
        <v/>
      </c>
      <c r="E552" s="24" t="str">
        <f t="shared" si="366"/>
        <v/>
      </c>
      <c r="F552" s="32" t="str">
        <f t="shared" si="367"/>
        <v/>
      </c>
      <c r="G552" s="32" t="str">
        <f t="shared" si="368"/>
        <v/>
      </c>
      <c r="H552" s="32" t="str">
        <f t="shared" ca="1" si="369"/>
        <v/>
      </c>
      <c r="I552" s="32" t="str">
        <f t="shared" ca="1" si="374"/>
        <v/>
      </c>
      <c r="J552" s="32" t="str">
        <f t="shared" si="370"/>
        <v/>
      </c>
      <c r="K552" s="32" t="str">
        <f>IF(ISNUMBER(A552),Profile!$V$25+Profile!$V$24*'Ri-Po'!C552,"")</f>
        <v/>
      </c>
      <c r="L552" s="32" t="str">
        <f t="shared" si="375"/>
        <v/>
      </c>
      <c r="M552" s="32" t="str">
        <f t="shared" si="371"/>
        <v/>
      </c>
      <c r="N552" s="32" t="str">
        <f t="shared" si="372"/>
        <v/>
      </c>
      <c r="O552" s="32" t="str">
        <f t="shared" si="388"/>
        <v/>
      </c>
      <c r="P552" s="32" t="str">
        <f t="shared" si="376"/>
        <v/>
      </c>
      <c r="Q552" s="32" t="str">
        <f t="shared" si="377"/>
        <v/>
      </c>
      <c r="R552" s="32" t="str">
        <f t="shared" si="389"/>
        <v/>
      </c>
      <c r="S552" s="24" t="str">
        <f t="shared" si="390"/>
        <v/>
      </c>
      <c r="T552" s="24" t="str">
        <f t="shared" si="391"/>
        <v/>
      </c>
      <c r="U552" s="24" t="str">
        <f t="shared" si="392"/>
        <v/>
      </c>
      <c r="V552" s="24" t="str">
        <f t="shared" si="393"/>
        <v/>
      </c>
      <c r="W552" s="23" t="str">
        <f t="array" ref="W552">IFERROR(SMALL(IF(S$1:S$1000="BEGIN",ROW(S$1:S$1000)),ROW()-3),"")</f>
        <v/>
      </c>
      <c r="X552" s="23" t="str">
        <f t="array" ref="X552">IFERROR(SMALL(IF(T$1:T$1000="END",ROW(T$1:T$1000)),ROW()-3),"")</f>
        <v/>
      </c>
      <c r="Y552" s="33" t="str">
        <f t="array" ref="Y552">IF(ISNUMBER(W552),MAX(IF((B$4:B$1000&lt;=X552)*(B$4:B$1000&gt;=W552),I$4:I$1000, "")),"")</f>
        <v/>
      </c>
      <c r="Z552" s="33" t="str">
        <f t="shared" si="378"/>
        <v/>
      </c>
      <c r="AA552" s="32" t="str">
        <f t="shared" si="379"/>
        <v/>
      </c>
      <c r="AB552" s="32" t="str">
        <f t="shared" si="380"/>
        <v/>
      </c>
      <c r="AC552" s="32" t="str">
        <f t="shared" si="381"/>
        <v/>
      </c>
      <c r="AD552" s="32" t="str">
        <f t="shared" si="382"/>
        <v/>
      </c>
      <c r="AE552" s="34" t="str">
        <f t="shared" si="383"/>
        <v/>
      </c>
      <c r="AF552" s="32" t="str">
        <f t="shared" si="384"/>
        <v/>
      </c>
      <c r="AG552" s="32" t="str">
        <f t="shared" si="385"/>
        <v/>
      </c>
      <c r="AH552" s="32" t="str">
        <f t="shared" si="386"/>
        <v/>
      </c>
      <c r="AI552" s="35" t="str">
        <f t="shared" si="387"/>
        <v/>
      </c>
      <c r="AJ552" s="23" t="str">
        <f t="array" ref="AJ552">IFERROR(SMALL(IF(U$1:U$1000="BEGIN",ROW(U$1:U$1000)),ROW()-3),"")</f>
        <v/>
      </c>
      <c r="AK552" s="23" t="str">
        <f t="array" ref="AK552">IFERROR(SMALL(IF(V$1:V$1000="END",ROW(V$1:V$1000)),ROW()-3),"")</f>
        <v/>
      </c>
      <c r="AL552" s="24" t="str">
        <f t="array" ref="AL552">IF(AK552="","",MATCH(AM552,L:L,0))</f>
        <v/>
      </c>
      <c r="AM552" s="35">
        <f t="array" ref="AM552">MAX(IF((B$4:B$1000&lt;=AK552)*(B$4:B$1000&gt;=AJ552),L$4:L$1000, ""))</f>
        <v>0</v>
      </c>
      <c r="AN552" s="32" t="str">
        <f t="shared" si="394"/>
        <v/>
      </c>
      <c r="AO552" s="32" t="str">
        <f t="shared" si="395"/>
        <v/>
      </c>
      <c r="AP552" s="32" t="str">
        <f t="shared" si="396"/>
        <v/>
      </c>
      <c r="AQ552" s="32" t="str">
        <f t="shared" si="397"/>
        <v/>
      </c>
      <c r="AR552" s="32" t="str">
        <f t="shared" si="398"/>
        <v/>
      </c>
      <c r="AS552" s="32" t="str">
        <f t="shared" si="399"/>
        <v/>
      </c>
      <c r="AT552" s="32" t="str">
        <f t="shared" si="400"/>
        <v/>
      </c>
      <c r="AU552" s="34" t="str">
        <f t="shared" si="401"/>
        <v/>
      </c>
      <c r="AV552" s="32" t="str">
        <f t="shared" si="402"/>
        <v/>
      </c>
      <c r="AW552" s="32" t="str">
        <f t="shared" si="403"/>
        <v/>
      </c>
      <c r="AX552" s="32" t="str">
        <f t="shared" si="404"/>
        <v/>
      </c>
      <c r="AY552" s="32" t="str">
        <f t="shared" si="405"/>
        <v/>
      </c>
    </row>
    <row r="553" spans="1:51" x14ac:dyDescent="0.25">
      <c r="A553" s="24" t="str">
        <f t="shared" si="363"/>
        <v/>
      </c>
      <c r="B553" s="24" t="str">
        <f t="shared" si="373"/>
        <v/>
      </c>
      <c r="C553" s="32" t="str">
        <f t="shared" si="364"/>
        <v/>
      </c>
      <c r="D553" s="24" t="str">
        <f t="shared" si="365"/>
        <v/>
      </c>
      <c r="E553" s="24" t="str">
        <f t="shared" si="366"/>
        <v/>
      </c>
      <c r="F553" s="32" t="str">
        <f t="shared" si="367"/>
        <v/>
      </c>
      <c r="G553" s="32" t="str">
        <f t="shared" si="368"/>
        <v/>
      </c>
      <c r="H553" s="32" t="str">
        <f t="shared" ca="1" si="369"/>
        <v/>
      </c>
      <c r="I553" s="32" t="str">
        <f t="shared" ca="1" si="374"/>
        <v/>
      </c>
      <c r="J553" s="32" t="str">
        <f t="shared" si="370"/>
        <v/>
      </c>
      <c r="K553" s="32" t="str">
        <f>IF(ISNUMBER(A553),Profile!$V$25+Profile!$V$24*'Ri-Po'!C553,"")</f>
        <v/>
      </c>
      <c r="L553" s="32" t="str">
        <f t="shared" si="375"/>
        <v/>
      </c>
      <c r="M553" s="32" t="str">
        <f t="shared" si="371"/>
        <v/>
      </c>
      <c r="N553" s="32" t="str">
        <f t="shared" si="372"/>
        <v/>
      </c>
      <c r="O553" s="32" t="str">
        <f t="shared" si="388"/>
        <v/>
      </c>
      <c r="P553" s="32" t="str">
        <f t="shared" si="376"/>
        <v/>
      </c>
      <c r="Q553" s="32" t="str">
        <f t="shared" si="377"/>
        <v/>
      </c>
      <c r="R553" s="32" t="str">
        <f t="shared" si="389"/>
        <v/>
      </c>
      <c r="S553" s="24" t="str">
        <f t="shared" si="390"/>
        <v/>
      </c>
      <c r="T553" s="24" t="str">
        <f t="shared" si="391"/>
        <v/>
      </c>
      <c r="U553" s="24" t="str">
        <f t="shared" si="392"/>
        <v/>
      </c>
      <c r="V553" s="24" t="str">
        <f t="shared" si="393"/>
        <v/>
      </c>
      <c r="W553" s="23" t="str">
        <f t="array" ref="W553">IFERROR(SMALL(IF(S$1:S$1000="BEGIN",ROW(S$1:S$1000)),ROW()-3),"")</f>
        <v/>
      </c>
      <c r="X553" s="23" t="str">
        <f t="array" ref="X553">IFERROR(SMALL(IF(T$1:T$1000="END",ROW(T$1:T$1000)),ROW()-3),"")</f>
        <v/>
      </c>
      <c r="Y553" s="33" t="str">
        <f t="array" ref="Y553">IF(ISNUMBER(W553),MAX(IF((B$4:B$1000&lt;=X553)*(B$4:B$1000&gt;=W553),I$4:I$1000, "")),"")</f>
        <v/>
      </c>
      <c r="Z553" s="33" t="str">
        <f t="shared" si="378"/>
        <v/>
      </c>
      <c r="AA553" s="32" t="str">
        <f t="shared" si="379"/>
        <v/>
      </c>
      <c r="AB553" s="32" t="str">
        <f t="shared" si="380"/>
        <v/>
      </c>
      <c r="AC553" s="32" t="str">
        <f t="shared" si="381"/>
        <v/>
      </c>
      <c r="AD553" s="32" t="str">
        <f t="shared" si="382"/>
        <v/>
      </c>
      <c r="AE553" s="34" t="str">
        <f t="shared" si="383"/>
        <v/>
      </c>
      <c r="AF553" s="32" t="str">
        <f t="shared" si="384"/>
        <v/>
      </c>
      <c r="AG553" s="32" t="str">
        <f t="shared" si="385"/>
        <v/>
      </c>
      <c r="AH553" s="32" t="str">
        <f t="shared" si="386"/>
        <v/>
      </c>
      <c r="AI553" s="35" t="str">
        <f t="shared" si="387"/>
        <v/>
      </c>
      <c r="AJ553" s="23" t="str">
        <f t="array" ref="AJ553">IFERROR(SMALL(IF(U$1:U$1000="BEGIN",ROW(U$1:U$1000)),ROW()-3),"")</f>
        <v/>
      </c>
      <c r="AK553" s="23" t="str">
        <f t="array" ref="AK553">IFERROR(SMALL(IF(V$1:V$1000="END",ROW(V$1:V$1000)),ROW()-3),"")</f>
        <v/>
      </c>
      <c r="AL553" s="24" t="str">
        <f t="array" ref="AL553">IF(AK553="","",MATCH(AM553,L:L,0))</f>
        <v/>
      </c>
      <c r="AM553" s="35">
        <f t="array" ref="AM553">MAX(IF((B$4:B$1000&lt;=AK553)*(B$4:B$1000&gt;=AJ553),L$4:L$1000, ""))</f>
        <v>0</v>
      </c>
      <c r="AN553" s="32" t="str">
        <f t="shared" si="394"/>
        <v/>
      </c>
      <c r="AO553" s="32" t="str">
        <f t="shared" si="395"/>
        <v/>
      </c>
      <c r="AP553" s="32" t="str">
        <f t="shared" si="396"/>
        <v/>
      </c>
      <c r="AQ553" s="32" t="str">
        <f t="shared" si="397"/>
        <v/>
      </c>
      <c r="AR553" s="32" t="str">
        <f t="shared" si="398"/>
        <v/>
      </c>
      <c r="AS553" s="32" t="str">
        <f t="shared" si="399"/>
        <v/>
      </c>
      <c r="AT553" s="32" t="str">
        <f t="shared" si="400"/>
        <v/>
      </c>
      <c r="AU553" s="34" t="str">
        <f t="shared" si="401"/>
        <v/>
      </c>
      <c r="AV553" s="32" t="str">
        <f t="shared" si="402"/>
        <v/>
      </c>
      <c r="AW553" s="32" t="str">
        <f t="shared" si="403"/>
        <v/>
      </c>
      <c r="AX553" s="32" t="str">
        <f t="shared" si="404"/>
        <v/>
      </c>
      <c r="AY553" s="32" t="str">
        <f t="shared" si="405"/>
        <v/>
      </c>
    </row>
    <row r="554" spans="1:51" x14ac:dyDescent="0.25">
      <c r="A554" s="24" t="str">
        <f t="shared" si="363"/>
        <v/>
      </c>
      <c r="B554" s="24" t="str">
        <f t="shared" si="373"/>
        <v/>
      </c>
      <c r="C554" s="32" t="str">
        <f t="shared" si="364"/>
        <v/>
      </c>
      <c r="D554" s="24" t="str">
        <f t="shared" si="365"/>
        <v/>
      </c>
      <c r="E554" s="24" t="str">
        <f t="shared" si="366"/>
        <v/>
      </c>
      <c r="F554" s="32" t="str">
        <f t="shared" si="367"/>
        <v/>
      </c>
      <c r="G554" s="32" t="str">
        <f t="shared" si="368"/>
        <v/>
      </c>
      <c r="H554" s="32" t="str">
        <f t="shared" ca="1" si="369"/>
        <v/>
      </c>
      <c r="I554" s="32" t="str">
        <f t="shared" ca="1" si="374"/>
        <v/>
      </c>
      <c r="J554" s="32" t="str">
        <f t="shared" si="370"/>
        <v/>
      </c>
      <c r="K554" s="32" t="str">
        <f>IF(ISNUMBER(A554),Profile!$V$25+Profile!$V$24*'Ri-Po'!C554,"")</f>
        <v/>
      </c>
      <c r="L554" s="32" t="str">
        <f t="shared" si="375"/>
        <v/>
      </c>
      <c r="M554" s="32" t="str">
        <f t="shared" si="371"/>
        <v/>
      </c>
      <c r="N554" s="32" t="str">
        <f t="shared" si="372"/>
        <v/>
      </c>
      <c r="O554" s="32" t="str">
        <f t="shared" si="388"/>
        <v/>
      </c>
      <c r="P554" s="32" t="str">
        <f t="shared" si="376"/>
        <v/>
      </c>
      <c r="Q554" s="32" t="str">
        <f t="shared" si="377"/>
        <v/>
      </c>
      <c r="R554" s="32" t="str">
        <f t="shared" si="389"/>
        <v/>
      </c>
      <c r="S554" s="24" t="str">
        <f t="shared" si="390"/>
        <v/>
      </c>
      <c r="T554" s="24" t="str">
        <f t="shared" si="391"/>
        <v/>
      </c>
      <c r="U554" s="24" t="str">
        <f t="shared" si="392"/>
        <v/>
      </c>
      <c r="V554" s="24" t="str">
        <f t="shared" si="393"/>
        <v/>
      </c>
      <c r="W554" s="23" t="str">
        <f t="array" ref="W554">IFERROR(SMALL(IF(S$1:S$1000="BEGIN",ROW(S$1:S$1000)),ROW()-3),"")</f>
        <v/>
      </c>
      <c r="X554" s="23" t="str">
        <f t="array" ref="X554">IFERROR(SMALL(IF(T$1:T$1000="END",ROW(T$1:T$1000)),ROW()-3),"")</f>
        <v/>
      </c>
      <c r="Y554" s="33" t="str">
        <f t="array" ref="Y554">IF(ISNUMBER(W554),MAX(IF((B$4:B$1000&lt;=X554)*(B$4:B$1000&gt;=W554),I$4:I$1000, "")),"")</f>
        <v/>
      </c>
      <c r="Z554" s="33" t="str">
        <f t="shared" si="378"/>
        <v/>
      </c>
      <c r="AA554" s="32" t="str">
        <f t="shared" si="379"/>
        <v/>
      </c>
      <c r="AB554" s="32" t="str">
        <f t="shared" si="380"/>
        <v/>
      </c>
      <c r="AC554" s="32" t="str">
        <f t="shared" si="381"/>
        <v/>
      </c>
      <c r="AD554" s="32" t="str">
        <f t="shared" si="382"/>
        <v/>
      </c>
      <c r="AE554" s="34" t="str">
        <f t="shared" si="383"/>
        <v/>
      </c>
      <c r="AF554" s="32" t="str">
        <f t="shared" si="384"/>
        <v/>
      </c>
      <c r="AG554" s="32" t="str">
        <f t="shared" si="385"/>
        <v/>
      </c>
      <c r="AH554" s="32" t="str">
        <f t="shared" si="386"/>
        <v/>
      </c>
      <c r="AI554" s="35" t="str">
        <f t="shared" si="387"/>
        <v/>
      </c>
      <c r="AJ554" s="23" t="str">
        <f t="array" ref="AJ554">IFERROR(SMALL(IF(U$1:U$1000="BEGIN",ROW(U$1:U$1000)),ROW()-3),"")</f>
        <v/>
      </c>
      <c r="AK554" s="23" t="str">
        <f t="array" ref="AK554">IFERROR(SMALL(IF(V$1:V$1000="END",ROW(V$1:V$1000)),ROW()-3),"")</f>
        <v/>
      </c>
      <c r="AL554" s="24" t="str">
        <f t="array" ref="AL554">IF(AK554="","",MATCH(AM554,L:L,0))</f>
        <v/>
      </c>
      <c r="AM554" s="35">
        <f t="array" ref="AM554">MAX(IF((B$4:B$1000&lt;=AK554)*(B$4:B$1000&gt;=AJ554),L$4:L$1000, ""))</f>
        <v>0</v>
      </c>
      <c r="AN554" s="32" t="str">
        <f t="shared" si="394"/>
        <v/>
      </c>
      <c r="AO554" s="32" t="str">
        <f t="shared" si="395"/>
        <v/>
      </c>
      <c r="AP554" s="32" t="str">
        <f t="shared" si="396"/>
        <v/>
      </c>
      <c r="AQ554" s="32" t="str">
        <f t="shared" si="397"/>
        <v/>
      </c>
      <c r="AR554" s="32" t="str">
        <f t="shared" si="398"/>
        <v/>
      </c>
      <c r="AS554" s="32" t="str">
        <f t="shared" si="399"/>
        <v/>
      </c>
      <c r="AT554" s="32" t="str">
        <f t="shared" si="400"/>
        <v/>
      </c>
      <c r="AU554" s="34" t="str">
        <f t="shared" si="401"/>
        <v/>
      </c>
      <c r="AV554" s="32" t="str">
        <f t="shared" si="402"/>
        <v/>
      </c>
      <c r="AW554" s="32" t="str">
        <f t="shared" si="403"/>
        <v/>
      </c>
      <c r="AX554" s="32" t="str">
        <f t="shared" si="404"/>
        <v/>
      </c>
      <c r="AY554" s="32" t="str">
        <f t="shared" si="405"/>
        <v/>
      </c>
    </row>
    <row r="555" spans="1:51" x14ac:dyDescent="0.25">
      <c r="A555" s="24" t="str">
        <f t="shared" si="363"/>
        <v/>
      </c>
      <c r="B555" s="24" t="str">
        <f t="shared" si="373"/>
        <v/>
      </c>
      <c r="C555" s="32" t="str">
        <f t="shared" si="364"/>
        <v/>
      </c>
      <c r="D555" s="24" t="str">
        <f t="shared" si="365"/>
        <v/>
      </c>
      <c r="E555" s="24" t="str">
        <f t="shared" si="366"/>
        <v/>
      </c>
      <c r="F555" s="32" t="str">
        <f t="shared" si="367"/>
        <v/>
      </c>
      <c r="G555" s="32" t="str">
        <f t="shared" si="368"/>
        <v/>
      </c>
      <c r="H555" s="32" t="str">
        <f t="shared" ca="1" si="369"/>
        <v/>
      </c>
      <c r="I555" s="32" t="str">
        <f t="shared" ca="1" si="374"/>
        <v/>
      </c>
      <c r="J555" s="32" t="str">
        <f t="shared" si="370"/>
        <v/>
      </c>
      <c r="K555" s="32" t="str">
        <f>IF(ISNUMBER(A555),Profile!$V$25+Profile!$V$24*'Ri-Po'!C555,"")</f>
        <v/>
      </c>
      <c r="L555" s="32" t="str">
        <f t="shared" si="375"/>
        <v/>
      </c>
      <c r="M555" s="32" t="str">
        <f t="shared" si="371"/>
        <v/>
      </c>
      <c r="N555" s="32" t="str">
        <f t="shared" si="372"/>
        <v/>
      </c>
      <c r="O555" s="32" t="str">
        <f t="shared" si="388"/>
        <v/>
      </c>
      <c r="P555" s="32" t="str">
        <f t="shared" si="376"/>
        <v/>
      </c>
      <c r="Q555" s="32" t="str">
        <f t="shared" si="377"/>
        <v/>
      </c>
      <c r="R555" s="32" t="str">
        <f t="shared" si="389"/>
        <v/>
      </c>
      <c r="S555" s="24" t="str">
        <f t="shared" si="390"/>
        <v/>
      </c>
      <c r="T555" s="24" t="str">
        <f t="shared" si="391"/>
        <v/>
      </c>
      <c r="U555" s="24" t="str">
        <f t="shared" si="392"/>
        <v/>
      </c>
      <c r="V555" s="24" t="str">
        <f t="shared" si="393"/>
        <v/>
      </c>
      <c r="W555" s="23" t="str">
        <f t="array" ref="W555">IFERROR(SMALL(IF(S$1:S$1000="BEGIN",ROW(S$1:S$1000)),ROW()-3),"")</f>
        <v/>
      </c>
      <c r="X555" s="23" t="str">
        <f t="array" ref="X555">IFERROR(SMALL(IF(T$1:T$1000="END",ROW(T$1:T$1000)),ROW()-3),"")</f>
        <v/>
      </c>
      <c r="Y555" s="33" t="str">
        <f t="array" ref="Y555">IF(ISNUMBER(W555),MAX(IF((B$4:B$1000&lt;=X555)*(B$4:B$1000&gt;=W555),I$4:I$1000, "")),"")</f>
        <v/>
      </c>
      <c r="Z555" s="33" t="str">
        <f t="shared" si="378"/>
        <v/>
      </c>
      <c r="AA555" s="32" t="str">
        <f t="shared" si="379"/>
        <v/>
      </c>
      <c r="AB555" s="32" t="str">
        <f t="shared" si="380"/>
        <v/>
      </c>
      <c r="AC555" s="32" t="str">
        <f t="shared" si="381"/>
        <v/>
      </c>
      <c r="AD555" s="32" t="str">
        <f t="shared" si="382"/>
        <v/>
      </c>
      <c r="AE555" s="34" t="str">
        <f t="shared" si="383"/>
        <v/>
      </c>
      <c r="AF555" s="32" t="str">
        <f t="shared" si="384"/>
        <v/>
      </c>
      <c r="AG555" s="32" t="str">
        <f t="shared" si="385"/>
        <v/>
      </c>
      <c r="AH555" s="32" t="str">
        <f t="shared" si="386"/>
        <v/>
      </c>
      <c r="AI555" s="35" t="str">
        <f t="shared" si="387"/>
        <v/>
      </c>
      <c r="AJ555" s="23" t="str">
        <f t="array" ref="AJ555">IFERROR(SMALL(IF(U$1:U$1000="BEGIN",ROW(U$1:U$1000)),ROW()-3),"")</f>
        <v/>
      </c>
      <c r="AK555" s="23" t="str">
        <f t="array" ref="AK555">IFERROR(SMALL(IF(V$1:V$1000="END",ROW(V$1:V$1000)),ROW()-3),"")</f>
        <v/>
      </c>
      <c r="AL555" s="24" t="str">
        <f t="array" ref="AL555">IF(AK555="","",MATCH(AM555,L:L,0))</f>
        <v/>
      </c>
      <c r="AM555" s="35">
        <f t="array" ref="AM555">MAX(IF((B$4:B$1000&lt;=AK555)*(B$4:B$1000&gt;=AJ555),L$4:L$1000, ""))</f>
        <v>0</v>
      </c>
      <c r="AN555" s="32" t="str">
        <f t="shared" si="394"/>
        <v/>
      </c>
      <c r="AO555" s="32" t="str">
        <f t="shared" si="395"/>
        <v/>
      </c>
      <c r="AP555" s="32" t="str">
        <f t="shared" si="396"/>
        <v/>
      </c>
      <c r="AQ555" s="32" t="str">
        <f t="shared" si="397"/>
        <v/>
      </c>
      <c r="AR555" s="32" t="str">
        <f t="shared" si="398"/>
        <v/>
      </c>
      <c r="AS555" s="32" t="str">
        <f t="shared" si="399"/>
        <v/>
      </c>
      <c r="AT555" s="32" t="str">
        <f t="shared" si="400"/>
        <v/>
      </c>
      <c r="AU555" s="34" t="str">
        <f t="shared" si="401"/>
        <v/>
      </c>
      <c r="AV555" s="32" t="str">
        <f t="shared" si="402"/>
        <v/>
      </c>
      <c r="AW555" s="32" t="str">
        <f t="shared" si="403"/>
        <v/>
      </c>
      <c r="AX555" s="32" t="str">
        <f t="shared" si="404"/>
        <v/>
      </c>
      <c r="AY555" s="32" t="str">
        <f t="shared" si="405"/>
        <v/>
      </c>
    </row>
    <row r="556" spans="1:51" x14ac:dyDescent="0.25">
      <c r="A556" s="24" t="str">
        <f t="shared" si="363"/>
        <v/>
      </c>
      <c r="B556" s="24" t="str">
        <f t="shared" si="373"/>
        <v/>
      </c>
      <c r="C556" s="32" t="str">
        <f t="shared" si="364"/>
        <v/>
      </c>
      <c r="D556" s="24" t="str">
        <f t="shared" si="365"/>
        <v/>
      </c>
      <c r="E556" s="24" t="str">
        <f t="shared" si="366"/>
        <v/>
      </c>
      <c r="F556" s="32" t="str">
        <f t="shared" si="367"/>
        <v/>
      </c>
      <c r="G556" s="32" t="str">
        <f t="shared" si="368"/>
        <v/>
      </c>
      <c r="H556" s="32" t="str">
        <f t="shared" ca="1" si="369"/>
        <v/>
      </c>
      <c r="I556" s="32" t="str">
        <f t="shared" ca="1" si="374"/>
        <v/>
      </c>
      <c r="J556" s="32" t="str">
        <f t="shared" si="370"/>
        <v/>
      </c>
      <c r="K556" s="32" t="str">
        <f>IF(ISNUMBER(A556),Profile!$V$25+Profile!$V$24*'Ri-Po'!C556,"")</f>
        <v/>
      </c>
      <c r="L556" s="32" t="str">
        <f t="shared" si="375"/>
        <v/>
      </c>
      <c r="M556" s="32" t="str">
        <f t="shared" si="371"/>
        <v/>
      </c>
      <c r="N556" s="32" t="str">
        <f t="shared" si="372"/>
        <v/>
      </c>
      <c r="O556" s="32" t="str">
        <f t="shared" si="388"/>
        <v/>
      </c>
      <c r="P556" s="32" t="str">
        <f t="shared" si="376"/>
        <v/>
      </c>
      <c r="Q556" s="32" t="str">
        <f t="shared" si="377"/>
        <v/>
      </c>
      <c r="R556" s="32" t="str">
        <f t="shared" si="389"/>
        <v/>
      </c>
      <c r="S556" s="24" t="str">
        <f t="shared" si="390"/>
        <v/>
      </c>
      <c r="T556" s="24" t="str">
        <f t="shared" si="391"/>
        <v/>
      </c>
      <c r="U556" s="24" t="str">
        <f t="shared" si="392"/>
        <v/>
      </c>
      <c r="V556" s="24" t="str">
        <f t="shared" si="393"/>
        <v/>
      </c>
      <c r="W556" s="23" t="str">
        <f t="array" ref="W556">IFERROR(SMALL(IF(S$1:S$1000="BEGIN",ROW(S$1:S$1000)),ROW()-3),"")</f>
        <v/>
      </c>
      <c r="X556" s="23" t="str">
        <f t="array" ref="X556">IFERROR(SMALL(IF(T$1:T$1000="END",ROW(T$1:T$1000)),ROW()-3),"")</f>
        <v/>
      </c>
      <c r="Y556" s="33" t="str">
        <f t="array" ref="Y556">IF(ISNUMBER(W556),MAX(IF((B$4:B$1000&lt;=X556)*(B$4:B$1000&gt;=W556),I$4:I$1000, "")),"")</f>
        <v/>
      </c>
      <c r="Z556" s="33" t="str">
        <f t="shared" si="378"/>
        <v/>
      </c>
      <c r="AA556" s="32" t="str">
        <f t="shared" si="379"/>
        <v/>
      </c>
      <c r="AB556" s="32" t="str">
        <f t="shared" si="380"/>
        <v/>
      </c>
      <c r="AC556" s="32" t="str">
        <f t="shared" si="381"/>
        <v/>
      </c>
      <c r="AD556" s="32" t="str">
        <f t="shared" si="382"/>
        <v/>
      </c>
      <c r="AE556" s="34" t="str">
        <f t="shared" si="383"/>
        <v/>
      </c>
      <c r="AF556" s="32" t="str">
        <f t="shared" si="384"/>
        <v/>
      </c>
      <c r="AG556" s="32" t="str">
        <f t="shared" si="385"/>
        <v/>
      </c>
      <c r="AH556" s="32" t="str">
        <f t="shared" si="386"/>
        <v/>
      </c>
      <c r="AI556" s="35" t="str">
        <f t="shared" si="387"/>
        <v/>
      </c>
      <c r="AJ556" s="23" t="str">
        <f t="array" ref="AJ556">IFERROR(SMALL(IF(U$1:U$1000="BEGIN",ROW(U$1:U$1000)),ROW()-3),"")</f>
        <v/>
      </c>
      <c r="AK556" s="23" t="str">
        <f t="array" ref="AK556">IFERROR(SMALL(IF(V$1:V$1000="END",ROW(V$1:V$1000)),ROW()-3),"")</f>
        <v/>
      </c>
      <c r="AL556" s="24" t="str">
        <f t="array" ref="AL556">IF(AK556="","",MATCH(AM556,L:L,0))</f>
        <v/>
      </c>
      <c r="AM556" s="35">
        <f t="array" ref="AM556">MAX(IF((B$4:B$1000&lt;=AK556)*(B$4:B$1000&gt;=AJ556),L$4:L$1000, ""))</f>
        <v>0</v>
      </c>
      <c r="AN556" s="32" t="str">
        <f t="shared" si="394"/>
        <v/>
      </c>
      <c r="AO556" s="32" t="str">
        <f t="shared" si="395"/>
        <v/>
      </c>
      <c r="AP556" s="32" t="str">
        <f t="shared" si="396"/>
        <v/>
      </c>
      <c r="AQ556" s="32" t="str">
        <f t="shared" si="397"/>
        <v/>
      </c>
      <c r="AR556" s="32" t="str">
        <f t="shared" si="398"/>
        <v/>
      </c>
      <c r="AS556" s="32" t="str">
        <f t="shared" si="399"/>
        <v/>
      </c>
      <c r="AT556" s="32" t="str">
        <f t="shared" si="400"/>
        <v/>
      </c>
      <c r="AU556" s="34" t="str">
        <f t="shared" si="401"/>
        <v/>
      </c>
      <c r="AV556" s="32" t="str">
        <f t="shared" si="402"/>
        <v/>
      </c>
      <c r="AW556" s="32" t="str">
        <f t="shared" si="403"/>
        <v/>
      </c>
      <c r="AX556" s="32" t="str">
        <f t="shared" si="404"/>
        <v/>
      </c>
      <c r="AY556" s="32" t="str">
        <f t="shared" si="405"/>
        <v/>
      </c>
    </row>
    <row r="557" spans="1:51" x14ac:dyDescent="0.25">
      <c r="A557" s="24" t="str">
        <f t="shared" si="363"/>
        <v/>
      </c>
      <c r="B557" s="24" t="str">
        <f t="shared" si="373"/>
        <v/>
      </c>
      <c r="C557" s="32" t="str">
        <f t="shared" si="364"/>
        <v/>
      </c>
      <c r="D557" s="24" t="str">
        <f t="shared" si="365"/>
        <v/>
      </c>
      <c r="E557" s="24" t="str">
        <f t="shared" si="366"/>
        <v/>
      </c>
      <c r="F557" s="32" t="str">
        <f t="shared" si="367"/>
        <v/>
      </c>
      <c r="G557" s="32" t="str">
        <f t="shared" si="368"/>
        <v/>
      </c>
      <c r="H557" s="32" t="str">
        <f t="shared" ca="1" si="369"/>
        <v/>
      </c>
      <c r="I557" s="32" t="str">
        <f t="shared" ca="1" si="374"/>
        <v/>
      </c>
      <c r="J557" s="32" t="str">
        <f t="shared" si="370"/>
        <v/>
      </c>
      <c r="K557" s="32" t="str">
        <f>IF(ISNUMBER(A557),Profile!$V$25+Profile!$V$24*'Ri-Po'!C557,"")</f>
        <v/>
      </c>
      <c r="L557" s="32" t="str">
        <f t="shared" si="375"/>
        <v/>
      </c>
      <c r="M557" s="32" t="str">
        <f t="shared" si="371"/>
        <v/>
      </c>
      <c r="N557" s="32" t="str">
        <f t="shared" si="372"/>
        <v/>
      </c>
      <c r="O557" s="32" t="str">
        <f t="shared" si="388"/>
        <v/>
      </c>
      <c r="P557" s="32" t="str">
        <f t="shared" si="376"/>
        <v/>
      </c>
      <c r="Q557" s="32" t="str">
        <f t="shared" si="377"/>
        <v/>
      </c>
      <c r="R557" s="32" t="str">
        <f t="shared" si="389"/>
        <v/>
      </c>
      <c r="S557" s="24" t="str">
        <f t="shared" si="390"/>
        <v/>
      </c>
      <c r="T557" s="24" t="str">
        <f t="shared" si="391"/>
        <v/>
      </c>
      <c r="U557" s="24" t="str">
        <f t="shared" si="392"/>
        <v/>
      </c>
      <c r="V557" s="24" t="str">
        <f t="shared" si="393"/>
        <v/>
      </c>
      <c r="W557" s="23" t="str">
        <f t="array" ref="W557">IFERROR(SMALL(IF(S$1:S$1000="BEGIN",ROW(S$1:S$1000)),ROW()-3),"")</f>
        <v/>
      </c>
      <c r="X557" s="23" t="str">
        <f t="array" ref="X557">IFERROR(SMALL(IF(T$1:T$1000="END",ROW(T$1:T$1000)),ROW()-3),"")</f>
        <v/>
      </c>
      <c r="Y557" s="33" t="str">
        <f t="array" ref="Y557">IF(ISNUMBER(W557),MAX(IF((B$4:B$1000&lt;=X557)*(B$4:B$1000&gt;=W557),I$4:I$1000, "")),"")</f>
        <v/>
      </c>
      <c r="Z557" s="33" t="str">
        <f t="shared" si="378"/>
        <v/>
      </c>
      <c r="AA557" s="32" t="str">
        <f t="shared" si="379"/>
        <v/>
      </c>
      <c r="AB557" s="32" t="str">
        <f t="shared" si="380"/>
        <v/>
      </c>
      <c r="AC557" s="32" t="str">
        <f t="shared" si="381"/>
        <v/>
      </c>
      <c r="AD557" s="32" t="str">
        <f t="shared" si="382"/>
        <v/>
      </c>
      <c r="AE557" s="34" t="str">
        <f t="shared" si="383"/>
        <v/>
      </c>
      <c r="AF557" s="32" t="str">
        <f t="shared" si="384"/>
        <v/>
      </c>
      <c r="AG557" s="32" t="str">
        <f t="shared" si="385"/>
        <v/>
      </c>
      <c r="AH557" s="32" t="str">
        <f t="shared" si="386"/>
        <v/>
      </c>
      <c r="AI557" s="35" t="str">
        <f t="shared" si="387"/>
        <v/>
      </c>
      <c r="AJ557" s="23" t="str">
        <f t="array" ref="AJ557">IFERROR(SMALL(IF(U$1:U$1000="BEGIN",ROW(U$1:U$1000)),ROW()-3),"")</f>
        <v/>
      </c>
      <c r="AK557" s="23" t="str">
        <f t="array" ref="AK557">IFERROR(SMALL(IF(V$1:V$1000="END",ROW(V$1:V$1000)),ROW()-3),"")</f>
        <v/>
      </c>
      <c r="AL557" s="24" t="str">
        <f t="array" ref="AL557">IF(AK557="","",MATCH(AM557,L:L,0))</f>
        <v/>
      </c>
      <c r="AM557" s="35">
        <f t="array" ref="AM557">MAX(IF((B$4:B$1000&lt;=AK557)*(B$4:B$1000&gt;=AJ557),L$4:L$1000, ""))</f>
        <v>0</v>
      </c>
      <c r="AN557" s="32" t="str">
        <f t="shared" si="394"/>
        <v/>
      </c>
      <c r="AO557" s="32" t="str">
        <f t="shared" si="395"/>
        <v/>
      </c>
      <c r="AP557" s="32" t="str">
        <f t="shared" si="396"/>
        <v/>
      </c>
      <c r="AQ557" s="32" t="str">
        <f t="shared" si="397"/>
        <v/>
      </c>
      <c r="AR557" s="32" t="str">
        <f t="shared" si="398"/>
        <v/>
      </c>
      <c r="AS557" s="32" t="str">
        <f t="shared" si="399"/>
        <v/>
      </c>
      <c r="AT557" s="32" t="str">
        <f t="shared" si="400"/>
        <v/>
      </c>
      <c r="AU557" s="34" t="str">
        <f t="shared" si="401"/>
        <v/>
      </c>
      <c r="AV557" s="32" t="str">
        <f t="shared" si="402"/>
        <v/>
      </c>
      <c r="AW557" s="32" t="str">
        <f t="shared" si="403"/>
        <v/>
      </c>
      <c r="AX557" s="32" t="str">
        <f t="shared" si="404"/>
        <v/>
      </c>
      <c r="AY557" s="32" t="str">
        <f t="shared" si="405"/>
        <v/>
      </c>
    </row>
    <row r="558" spans="1:51" x14ac:dyDescent="0.25">
      <c r="A558" s="24" t="str">
        <f t="shared" si="363"/>
        <v/>
      </c>
      <c r="B558" s="24" t="str">
        <f t="shared" si="373"/>
        <v/>
      </c>
      <c r="C558" s="32" t="str">
        <f t="shared" si="364"/>
        <v/>
      </c>
      <c r="D558" s="24" t="str">
        <f t="shared" si="365"/>
        <v/>
      </c>
      <c r="E558" s="24" t="str">
        <f t="shared" si="366"/>
        <v/>
      </c>
      <c r="F558" s="32" t="str">
        <f t="shared" si="367"/>
        <v/>
      </c>
      <c r="G558" s="32" t="str">
        <f t="shared" si="368"/>
        <v/>
      </c>
      <c r="H558" s="32" t="str">
        <f t="shared" ca="1" si="369"/>
        <v/>
      </c>
      <c r="I558" s="32" t="str">
        <f t="shared" ca="1" si="374"/>
        <v/>
      </c>
      <c r="J558" s="32" t="str">
        <f t="shared" si="370"/>
        <v/>
      </c>
      <c r="K558" s="32" t="str">
        <f>IF(ISNUMBER(A558),Profile!$V$25+Profile!$V$24*'Ri-Po'!C558,"")</f>
        <v/>
      </c>
      <c r="L558" s="32" t="str">
        <f t="shared" si="375"/>
        <v/>
      </c>
      <c r="M558" s="32" t="str">
        <f t="shared" si="371"/>
        <v/>
      </c>
      <c r="N558" s="32" t="str">
        <f t="shared" si="372"/>
        <v/>
      </c>
      <c r="O558" s="32" t="str">
        <f t="shared" si="388"/>
        <v/>
      </c>
      <c r="P558" s="32" t="str">
        <f t="shared" si="376"/>
        <v/>
      </c>
      <c r="Q558" s="32" t="str">
        <f t="shared" si="377"/>
        <v/>
      </c>
      <c r="R558" s="32" t="str">
        <f t="shared" si="389"/>
        <v/>
      </c>
      <c r="S558" s="24" t="str">
        <f t="shared" si="390"/>
        <v/>
      </c>
      <c r="T558" s="24" t="str">
        <f t="shared" si="391"/>
        <v/>
      </c>
      <c r="U558" s="24" t="str">
        <f t="shared" si="392"/>
        <v/>
      </c>
      <c r="V558" s="24" t="str">
        <f t="shared" si="393"/>
        <v/>
      </c>
      <c r="W558" s="23" t="str">
        <f t="array" ref="W558">IFERROR(SMALL(IF(S$1:S$1000="BEGIN",ROW(S$1:S$1000)),ROW()-3),"")</f>
        <v/>
      </c>
      <c r="X558" s="23" t="str">
        <f t="array" ref="X558">IFERROR(SMALL(IF(T$1:T$1000="END",ROW(T$1:T$1000)),ROW()-3),"")</f>
        <v/>
      </c>
      <c r="Y558" s="33" t="str">
        <f t="array" ref="Y558">IF(ISNUMBER(W558),MAX(IF((B$4:B$1000&lt;=X558)*(B$4:B$1000&gt;=W558),I$4:I$1000, "")),"")</f>
        <v/>
      </c>
      <c r="Z558" s="33" t="str">
        <f t="shared" si="378"/>
        <v/>
      </c>
      <c r="AA558" s="32" t="str">
        <f t="shared" si="379"/>
        <v/>
      </c>
      <c r="AB558" s="32" t="str">
        <f t="shared" si="380"/>
        <v/>
      </c>
      <c r="AC558" s="32" t="str">
        <f t="shared" si="381"/>
        <v/>
      </c>
      <c r="AD558" s="32" t="str">
        <f t="shared" si="382"/>
        <v/>
      </c>
      <c r="AE558" s="34" t="str">
        <f t="shared" si="383"/>
        <v/>
      </c>
      <c r="AF558" s="32" t="str">
        <f t="shared" si="384"/>
        <v/>
      </c>
      <c r="AG558" s="32" t="str">
        <f t="shared" si="385"/>
        <v/>
      </c>
      <c r="AH558" s="32" t="str">
        <f t="shared" si="386"/>
        <v/>
      </c>
      <c r="AI558" s="35" t="str">
        <f t="shared" si="387"/>
        <v/>
      </c>
      <c r="AJ558" s="23" t="str">
        <f t="array" ref="AJ558">IFERROR(SMALL(IF(U$1:U$1000="BEGIN",ROW(U$1:U$1000)),ROW()-3),"")</f>
        <v/>
      </c>
      <c r="AK558" s="23" t="str">
        <f t="array" ref="AK558">IFERROR(SMALL(IF(V$1:V$1000="END",ROW(V$1:V$1000)),ROW()-3),"")</f>
        <v/>
      </c>
      <c r="AL558" s="24" t="str">
        <f t="array" ref="AL558">IF(AK558="","",MATCH(AM558,L:L,0))</f>
        <v/>
      </c>
      <c r="AM558" s="35">
        <f t="array" ref="AM558">MAX(IF((B$4:B$1000&lt;=AK558)*(B$4:B$1000&gt;=AJ558),L$4:L$1000, ""))</f>
        <v>0</v>
      </c>
      <c r="AN558" s="32" t="str">
        <f t="shared" si="394"/>
        <v/>
      </c>
      <c r="AO558" s="32" t="str">
        <f t="shared" si="395"/>
        <v/>
      </c>
      <c r="AP558" s="32" t="str">
        <f t="shared" si="396"/>
        <v/>
      </c>
      <c r="AQ558" s="32" t="str">
        <f t="shared" si="397"/>
        <v/>
      </c>
      <c r="AR558" s="32" t="str">
        <f t="shared" si="398"/>
        <v/>
      </c>
      <c r="AS558" s="32" t="str">
        <f t="shared" si="399"/>
        <v/>
      </c>
      <c r="AT558" s="32" t="str">
        <f t="shared" si="400"/>
        <v/>
      </c>
      <c r="AU558" s="34" t="str">
        <f t="shared" si="401"/>
        <v/>
      </c>
      <c r="AV558" s="32" t="str">
        <f t="shared" si="402"/>
        <v/>
      </c>
      <c r="AW558" s="32" t="str">
        <f t="shared" si="403"/>
        <v/>
      </c>
      <c r="AX558" s="32" t="str">
        <f t="shared" si="404"/>
        <v/>
      </c>
      <c r="AY558" s="32" t="str">
        <f t="shared" si="405"/>
        <v/>
      </c>
    </row>
    <row r="559" spans="1:51" x14ac:dyDescent="0.25">
      <c r="A559" s="24" t="str">
        <f t="shared" si="363"/>
        <v/>
      </c>
      <c r="B559" s="24" t="str">
        <f t="shared" si="373"/>
        <v/>
      </c>
      <c r="C559" s="32" t="str">
        <f t="shared" si="364"/>
        <v/>
      </c>
      <c r="D559" s="24" t="str">
        <f t="shared" si="365"/>
        <v/>
      </c>
      <c r="E559" s="24" t="str">
        <f t="shared" si="366"/>
        <v/>
      </c>
      <c r="F559" s="32" t="str">
        <f t="shared" si="367"/>
        <v/>
      </c>
      <c r="G559" s="32" t="str">
        <f t="shared" si="368"/>
        <v/>
      </c>
      <c r="H559" s="32" t="str">
        <f t="shared" ca="1" si="369"/>
        <v/>
      </c>
      <c r="I559" s="32" t="str">
        <f t="shared" ca="1" si="374"/>
        <v/>
      </c>
      <c r="J559" s="32" t="str">
        <f t="shared" si="370"/>
        <v/>
      </c>
      <c r="K559" s="32" t="str">
        <f>IF(ISNUMBER(A559),Profile!$V$25+Profile!$V$24*'Ri-Po'!C559,"")</f>
        <v/>
      </c>
      <c r="L559" s="32" t="str">
        <f t="shared" si="375"/>
        <v/>
      </c>
      <c r="M559" s="32" t="str">
        <f t="shared" si="371"/>
        <v/>
      </c>
      <c r="N559" s="32" t="str">
        <f t="shared" si="372"/>
        <v/>
      </c>
      <c r="O559" s="32" t="str">
        <f t="shared" si="388"/>
        <v/>
      </c>
      <c r="P559" s="32" t="str">
        <f t="shared" si="376"/>
        <v/>
      </c>
      <c r="Q559" s="32" t="str">
        <f t="shared" si="377"/>
        <v/>
      </c>
      <c r="R559" s="32" t="str">
        <f t="shared" si="389"/>
        <v/>
      </c>
      <c r="S559" s="24" t="str">
        <f t="shared" si="390"/>
        <v/>
      </c>
      <c r="T559" s="24" t="str">
        <f t="shared" si="391"/>
        <v/>
      </c>
      <c r="U559" s="24" t="str">
        <f t="shared" si="392"/>
        <v/>
      </c>
      <c r="V559" s="24" t="str">
        <f t="shared" si="393"/>
        <v/>
      </c>
      <c r="W559" s="23" t="str">
        <f t="array" ref="W559">IFERROR(SMALL(IF(S$1:S$1000="BEGIN",ROW(S$1:S$1000)),ROW()-3),"")</f>
        <v/>
      </c>
      <c r="X559" s="23" t="str">
        <f t="array" ref="X559">IFERROR(SMALL(IF(T$1:T$1000="END",ROW(T$1:T$1000)),ROW()-3),"")</f>
        <v/>
      </c>
      <c r="Y559" s="33" t="str">
        <f t="array" ref="Y559">IF(ISNUMBER(W559),MAX(IF((B$4:B$1000&lt;=X559)*(B$4:B$1000&gt;=W559),I$4:I$1000, "")),"")</f>
        <v/>
      </c>
      <c r="Z559" s="33" t="str">
        <f t="shared" si="378"/>
        <v/>
      </c>
      <c r="AA559" s="32" t="str">
        <f t="shared" si="379"/>
        <v/>
      </c>
      <c r="AB559" s="32" t="str">
        <f t="shared" si="380"/>
        <v/>
      </c>
      <c r="AC559" s="32" t="str">
        <f t="shared" si="381"/>
        <v/>
      </c>
      <c r="AD559" s="32" t="str">
        <f t="shared" si="382"/>
        <v/>
      </c>
      <c r="AE559" s="34" t="str">
        <f t="shared" si="383"/>
        <v/>
      </c>
      <c r="AF559" s="32" t="str">
        <f t="shared" si="384"/>
        <v/>
      </c>
      <c r="AG559" s="32" t="str">
        <f t="shared" si="385"/>
        <v/>
      </c>
      <c r="AH559" s="32" t="str">
        <f t="shared" si="386"/>
        <v/>
      </c>
      <c r="AI559" s="35" t="str">
        <f t="shared" si="387"/>
        <v/>
      </c>
      <c r="AJ559" s="23" t="str">
        <f t="array" ref="AJ559">IFERROR(SMALL(IF(U$1:U$1000="BEGIN",ROW(U$1:U$1000)),ROW()-3),"")</f>
        <v/>
      </c>
      <c r="AK559" s="23" t="str">
        <f t="array" ref="AK559">IFERROR(SMALL(IF(V$1:V$1000="END",ROW(V$1:V$1000)),ROW()-3),"")</f>
        <v/>
      </c>
      <c r="AL559" s="24" t="str">
        <f t="array" ref="AL559">IF(AK559="","",MATCH(AM559,L:L,0))</f>
        <v/>
      </c>
      <c r="AM559" s="35">
        <f t="array" ref="AM559">MAX(IF((B$4:B$1000&lt;=AK559)*(B$4:B$1000&gt;=AJ559),L$4:L$1000, ""))</f>
        <v>0</v>
      </c>
      <c r="AN559" s="32" t="str">
        <f t="shared" si="394"/>
        <v/>
      </c>
      <c r="AO559" s="32" t="str">
        <f t="shared" si="395"/>
        <v/>
      </c>
      <c r="AP559" s="32" t="str">
        <f t="shared" si="396"/>
        <v/>
      </c>
      <c r="AQ559" s="32" t="str">
        <f t="shared" si="397"/>
        <v/>
      </c>
      <c r="AR559" s="32" t="str">
        <f t="shared" si="398"/>
        <v/>
      </c>
      <c r="AS559" s="32" t="str">
        <f t="shared" si="399"/>
        <v/>
      </c>
      <c r="AT559" s="32" t="str">
        <f t="shared" si="400"/>
        <v/>
      </c>
      <c r="AU559" s="34" t="str">
        <f t="shared" si="401"/>
        <v/>
      </c>
      <c r="AV559" s="32" t="str">
        <f t="shared" si="402"/>
        <v/>
      </c>
      <c r="AW559" s="32" t="str">
        <f t="shared" si="403"/>
        <v/>
      </c>
      <c r="AX559" s="32" t="str">
        <f t="shared" si="404"/>
        <v/>
      </c>
      <c r="AY559" s="32" t="str">
        <f t="shared" si="405"/>
        <v/>
      </c>
    </row>
    <row r="560" spans="1:51" x14ac:dyDescent="0.25">
      <c r="A560" s="24" t="str">
        <f t="shared" si="363"/>
        <v/>
      </c>
      <c r="B560" s="24" t="str">
        <f t="shared" si="373"/>
        <v/>
      </c>
      <c r="C560" s="32" t="str">
        <f t="shared" si="364"/>
        <v/>
      </c>
      <c r="D560" s="24" t="str">
        <f t="shared" si="365"/>
        <v/>
      </c>
      <c r="E560" s="24" t="str">
        <f t="shared" si="366"/>
        <v/>
      </c>
      <c r="F560" s="32" t="str">
        <f t="shared" si="367"/>
        <v/>
      </c>
      <c r="G560" s="32" t="str">
        <f t="shared" si="368"/>
        <v/>
      </c>
      <c r="H560" s="32" t="str">
        <f t="shared" ca="1" si="369"/>
        <v/>
      </c>
      <c r="I560" s="32" t="str">
        <f t="shared" ca="1" si="374"/>
        <v/>
      </c>
      <c r="J560" s="32" t="str">
        <f t="shared" si="370"/>
        <v/>
      </c>
      <c r="K560" s="32" t="str">
        <f>IF(ISNUMBER(A560),Profile!$V$25+Profile!$V$24*'Ri-Po'!C560,"")</f>
        <v/>
      </c>
      <c r="L560" s="32" t="str">
        <f t="shared" si="375"/>
        <v/>
      </c>
      <c r="M560" s="32" t="str">
        <f t="shared" si="371"/>
        <v/>
      </c>
      <c r="N560" s="32" t="str">
        <f t="shared" si="372"/>
        <v/>
      </c>
      <c r="O560" s="32" t="str">
        <f t="shared" si="388"/>
        <v/>
      </c>
      <c r="P560" s="32" t="str">
        <f t="shared" si="376"/>
        <v/>
      </c>
      <c r="Q560" s="32" t="str">
        <f t="shared" si="377"/>
        <v/>
      </c>
      <c r="R560" s="32" t="str">
        <f t="shared" si="389"/>
        <v/>
      </c>
      <c r="S560" s="24" t="str">
        <f t="shared" si="390"/>
        <v/>
      </c>
      <c r="T560" s="24" t="str">
        <f t="shared" si="391"/>
        <v/>
      </c>
      <c r="U560" s="24" t="str">
        <f t="shared" si="392"/>
        <v/>
      </c>
      <c r="V560" s="24" t="str">
        <f t="shared" si="393"/>
        <v/>
      </c>
      <c r="W560" s="23" t="str">
        <f t="array" ref="W560">IFERROR(SMALL(IF(S$1:S$1000="BEGIN",ROW(S$1:S$1000)),ROW()-3),"")</f>
        <v/>
      </c>
      <c r="X560" s="23" t="str">
        <f t="array" ref="X560">IFERROR(SMALL(IF(T$1:T$1000="END",ROW(T$1:T$1000)),ROW()-3),"")</f>
        <v/>
      </c>
      <c r="Y560" s="33" t="str">
        <f t="array" ref="Y560">IF(ISNUMBER(W560),MAX(IF((B$4:B$1000&lt;=X560)*(B$4:B$1000&gt;=W560),I$4:I$1000, "")),"")</f>
        <v/>
      </c>
      <c r="Z560" s="33" t="str">
        <f t="shared" si="378"/>
        <v/>
      </c>
      <c r="AA560" s="32" t="str">
        <f t="shared" si="379"/>
        <v/>
      </c>
      <c r="AB560" s="32" t="str">
        <f t="shared" si="380"/>
        <v/>
      </c>
      <c r="AC560" s="32" t="str">
        <f t="shared" si="381"/>
        <v/>
      </c>
      <c r="AD560" s="32" t="str">
        <f t="shared" si="382"/>
        <v/>
      </c>
      <c r="AE560" s="34" t="str">
        <f t="shared" si="383"/>
        <v/>
      </c>
      <c r="AF560" s="32" t="str">
        <f t="shared" si="384"/>
        <v/>
      </c>
      <c r="AG560" s="32" t="str">
        <f t="shared" si="385"/>
        <v/>
      </c>
      <c r="AH560" s="32" t="str">
        <f t="shared" si="386"/>
        <v/>
      </c>
      <c r="AI560" s="35" t="str">
        <f t="shared" si="387"/>
        <v/>
      </c>
      <c r="AJ560" s="23" t="str">
        <f t="array" ref="AJ560">IFERROR(SMALL(IF(U$1:U$1000="BEGIN",ROW(U$1:U$1000)),ROW()-3),"")</f>
        <v/>
      </c>
      <c r="AK560" s="23" t="str">
        <f t="array" ref="AK560">IFERROR(SMALL(IF(V$1:V$1000="END",ROW(V$1:V$1000)),ROW()-3),"")</f>
        <v/>
      </c>
      <c r="AL560" s="24" t="str">
        <f t="array" ref="AL560">IF(AK560="","",MATCH(AM560,L:L,0))</f>
        <v/>
      </c>
      <c r="AM560" s="35">
        <f t="array" ref="AM560">MAX(IF((B$4:B$1000&lt;=AK560)*(B$4:B$1000&gt;=AJ560),L$4:L$1000, ""))</f>
        <v>0</v>
      </c>
      <c r="AN560" s="32" t="str">
        <f t="shared" si="394"/>
        <v/>
      </c>
      <c r="AO560" s="32" t="str">
        <f t="shared" si="395"/>
        <v/>
      </c>
      <c r="AP560" s="32" t="str">
        <f t="shared" si="396"/>
        <v/>
      </c>
      <c r="AQ560" s="32" t="str">
        <f t="shared" si="397"/>
        <v/>
      </c>
      <c r="AR560" s="32" t="str">
        <f t="shared" si="398"/>
        <v/>
      </c>
      <c r="AS560" s="32" t="str">
        <f t="shared" si="399"/>
        <v/>
      </c>
      <c r="AT560" s="32" t="str">
        <f t="shared" si="400"/>
        <v/>
      </c>
      <c r="AU560" s="34" t="str">
        <f t="shared" si="401"/>
        <v/>
      </c>
      <c r="AV560" s="32" t="str">
        <f t="shared" si="402"/>
        <v/>
      </c>
      <c r="AW560" s="32" t="str">
        <f t="shared" si="403"/>
        <v/>
      </c>
      <c r="AX560" s="32" t="str">
        <f t="shared" si="404"/>
        <v/>
      </c>
      <c r="AY560" s="32" t="str">
        <f t="shared" si="405"/>
        <v/>
      </c>
    </row>
    <row r="561" spans="1:51" x14ac:dyDescent="0.25">
      <c r="A561" s="24" t="str">
        <f t="shared" si="363"/>
        <v/>
      </c>
      <c r="B561" s="24" t="str">
        <f t="shared" si="373"/>
        <v/>
      </c>
      <c r="C561" s="32" t="str">
        <f t="shared" si="364"/>
        <v/>
      </c>
      <c r="D561" s="24" t="str">
        <f t="shared" si="365"/>
        <v/>
      </c>
      <c r="E561" s="24" t="str">
        <f t="shared" si="366"/>
        <v/>
      </c>
      <c r="F561" s="32" t="str">
        <f t="shared" si="367"/>
        <v/>
      </c>
      <c r="G561" s="32" t="str">
        <f t="shared" si="368"/>
        <v/>
      </c>
      <c r="H561" s="32" t="str">
        <f t="shared" ca="1" si="369"/>
        <v/>
      </c>
      <c r="I561" s="32" t="str">
        <f t="shared" ca="1" si="374"/>
        <v/>
      </c>
      <c r="J561" s="32" t="str">
        <f t="shared" si="370"/>
        <v/>
      </c>
      <c r="K561" s="32" t="str">
        <f>IF(ISNUMBER(A561),Profile!$V$25+Profile!$V$24*'Ri-Po'!C561,"")</f>
        <v/>
      </c>
      <c r="L561" s="32" t="str">
        <f t="shared" si="375"/>
        <v/>
      </c>
      <c r="M561" s="32" t="str">
        <f t="shared" si="371"/>
        <v/>
      </c>
      <c r="N561" s="32" t="str">
        <f t="shared" si="372"/>
        <v/>
      </c>
      <c r="O561" s="32" t="str">
        <f t="shared" si="388"/>
        <v/>
      </c>
      <c r="P561" s="32" t="str">
        <f t="shared" si="376"/>
        <v/>
      </c>
      <c r="Q561" s="32" t="str">
        <f t="shared" si="377"/>
        <v/>
      </c>
      <c r="R561" s="32" t="str">
        <f t="shared" si="389"/>
        <v/>
      </c>
      <c r="S561" s="24" t="str">
        <f t="shared" si="390"/>
        <v/>
      </c>
      <c r="T561" s="24" t="str">
        <f t="shared" si="391"/>
        <v/>
      </c>
      <c r="U561" s="24" t="str">
        <f t="shared" si="392"/>
        <v/>
      </c>
      <c r="V561" s="24" t="str">
        <f t="shared" si="393"/>
        <v/>
      </c>
      <c r="W561" s="23" t="str">
        <f t="array" ref="W561">IFERROR(SMALL(IF(S$1:S$1000="BEGIN",ROW(S$1:S$1000)),ROW()-3),"")</f>
        <v/>
      </c>
      <c r="X561" s="23" t="str">
        <f t="array" ref="X561">IFERROR(SMALL(IF(T$1:T$1000="END",ROW(T$1:T$1000)),ROW()-3),"")</f>
        <v/>
      </c>
      <c r="Y561" s="33" t="str">
        <f t="array" ref="Y561">IF(ISNUMBER(W561),MAX(IF((B$4:B$1000&lt;=X561)*(B$4:B$1000&gt;=W561),I$4:I$1000, "")),"")</f>
        <v/>
      </c>
      <c r="Z561" s="33" t="str">
        <f t="shared" si="378"/>
        <v/>
      </c>
      <c r="AA561" s="32" t="str">
        <f t="shared" si="379"/>
        <v/>
      </c>
      <c r="AB561" s="32" t="str">
        <f t="shared" si="380"/>
        <v/>
      </c>
      <c r="AC561" s="32" t="str">
        <f t="shared" si="381"/>
        <v/>
      </c>
      <c r="AD561" s="32" t="str">
        <f t="shared" si="382"/>
        <v/>
      </c>
      <c r="AE561" s="34" t="str">
        <f t="shared" si="383"/>
        <v/>
      </c>
      <c r="AF561" s="32" t="str">
        <f t="shared" si="384"/>
        <v/>
      </c>
      <c r="AG561" s="32" t="str">
        <f t="shared" si="385"/>
        <v/>
      </c>
      <c r="AH561" s="32" t="str">
        <f t="shared" si="386"/>
        <v/>
      </c>
      <c r="AI561" s="35" t="str">
        <f t="shared" si="387"/>
        <v/>
      </c>
      <c r="AJ561" s="23" t="str">
        <f t="array" ref="AJ561">IFERROR(SMALL(IF(U$1:U$1000="BEGIN",ROW(U$1:U$1000)),ROW()-3),"")</f>
        <v/>
      </c>
      <c r="AK561" s="23" t="str">
        <f t="array" ref="AK561">IFERROR(SMALL(IF(V$1:V$1000="END",ROW(V$1:V$1000)),ROW()-3),"")</f>
        <v/>
      </c>
      <c r="AL561" s="24" t="str">
        <f t="array" ref="AL561">IF(AK561="","",MATCH(AM561,L:L,0))</f>
        <v/>
      </c>
      <c r="AM561" s="35">
        <f t="array" ref="AM561">MAX(IF((B$4:B$1000&lt;=AK561)*(B$4:B$1000&gt;=AJ561),L$4:L$1000, ""))</f>
        <v>0</v>
      </c>
      <c r="AN561" s="32" t="str">
        <f t="shared" si="394"/>
        <v/>
      </c>
      <c r="AO561" s="32" t="str">
        <f t="shared" si="395"/>
        <v/>
      </c>
      <c r="AP561" s="32" t="str">
        <f t="shared" si="396"/>
        <v/>
      </c>
      <c r="AQ561" s="32" t="str">
        <f t="shared" si="397"/>
        <v/>
      </c>
      <c r="AR561" s="32" t="str">
        <f t="shared" si="398"/>
        <v/>
      </c>
      <c r="AS561" s="32" t="str">
        <f t="shared" si="399"/>
        <v/>
      </c>
      <c r="AT561" s="32" t="str">
        <f t="shared" si="400"/>
        <v/>
      </c>
      <c r="AU561" s="34" t="str">
        <f t="shared" si="401"/>
        <v/>
      </c>
      <c r="AV561" s="32" t="str">
        <f t="shared" si="402"/>
        <v/>
      </c>
      <c r="AW561" s="32" t="str">
        <f t="shared" si="403"/>
        <v/>
      </c>
      <c r="AX561" s="32" t="str">
        <f t="shared" si="404"/>
        <v/>
      </c>
      <c r="AY561" s="32" t="str">
        <f t="shared" si="405"/>
        <v/>
      </c>
    </row>
    <row r="562" spans="1:51" x14ac:dyDescent="0.25">
      <c r="A562" s="24" t="str">
        <f t="shared" si="363"/>
        <v/>
      </c>
      <c r="B562" s="24" t="str">
        <f t="shared" si="373"/>
        <v/>
      </c>
      <c r="C562" s="32" t="str">
        <f t="shared" si="364"/>
        <v/>
      </c>
      <c r="D562" s="24" t="str">
        <f t="shared" si="365"/>
        <v/>
      </c>
      <c r="E562" s="24" t="str">
        <f t="shared" si="366"/>
        <v/>
      </c>
      <c r="F562" s="32" t="str">
        <f t="shared" si="367"/>
        <v/>
      </c>
      <c r="G562" s="32" t="str">
        <f t="shared" si="368"/>
        <v/>
      </c>
      <c r="H562" s="32" t="str">
        <f t="shared" ca="1" si="369"/>
        <v/>
      </c>
      <c r="I562" s="32" t="str">
        <f t="shared" ca="1" si="374"/>
        <v/>
      </c>
      <c r="J562" s="32" t="str">
        <f t="shared" si="370"/>
        <v/>
      </c>
      <c r="K562" s="32" t="str">
        <f>IF(ISNUMBER(A562),Profile!$V$25+Profile!$V$24*'Ri-Po'!C562,"")</f>
        <v/>
      </c>
      <c r="L562" s="32" t="str">
        <f t="shared" si="375"/>
        <v/>
      </c>
      <c r="M562" s="32" t="str">
        <f t="shared" si="371"/>
        <v/>
      </c>
      <c r="N562" s="32" t="str">
        <f t="shared" si="372"/>
        <v/>
      </c>
      <c r="O562" s="32" t="str">
        <f t="shared" si="388"/>
        <v/>
      </c>
      <c r="P562" s="32" t="str">
        <f t="shared" si="376"/>
        <v/>
      </c>
      <c r="Q562" s="32" t="str">
        <f t="shared" si="377"/>
        <v/>
      </c>
      <c r="R562" s="32" t="str">
        <f t="shared" si="389"/>
        <v/>
      </c>
      <c r="S562" s="24" t="str">
        <f t="shared" si="390"/>
        <v/>
      </c>
      <c r="T562" s="24" t="str">
        <f t="shared" si="391"/>
        <v/>
      </c>
      <c r="U562" s="24" t="str">
        <f t="shared" si="392"/>
        <v/>
      </c>
      <c r="V562" s="24" t="str">
        <f t="shared" si="393"/>
        <v/>
      </c>
      <c r="W562" s="23" t="str">
        <f t="array" ref="W562">IFERROR(SMALL(IF(S$1:S$1000="BEGIN",ROW(S$1:S$1000)),ROW()-3),"")</f>
        <v/>
      </c>
      <c r="X562" s="23" t="str">
        <f t="array" ref="X562">IFERROR(SMALL(IF(T$1:T$1000="END",ROW(T$1:T$1000)),ROW()-3),"")</f>
        <v/>
      </c>
      <c r="Y562" s="33" t="str">
        <f t="array" ref="Y562">IF(ISNUMBER(W562),MAX(IF((B$4:B$1000&lt;=X562)*(B$4:B$1000&gt;=W562),I$4:I$1000, "")),"")</f>
        <v/>
      </c>
      <c r="Z562" s="33" t="str">
        <f t="shared" si="378"/>
        <v/>
      </c>
      <c r="AA562" s="32" t="str">
        <f t="shared" si="379"/>
        <v/>
      </c>
      <c r="AB562" s="32" t="str">
        <f t="shared" si="380"/>
        <v/>
      </c>
      <c r="AC562" s="32" t="str">
        <f t="shared" si="381"/>
        <v/>
      </c>
      <c r="AD562" s="32" t="str">
        <f t="shared" si="382"/>
        <v/>
      </c>
      <c r="AE562" s="34" t="str">
        <f t="shared" si="383"/>
        <v/>
      </c>
      <c r="AF562" s="32" t="str">
        <f t="shared" si="384"/>
        <v/>
      </c>
      <c r="AG562" s="32" t="str">
        <f t="shared" si="385"/>
        <v/>
      </c>
      <c r="AH562" s="32" t="str">
        <f t="shared" si="386"/>
        <v/>
      </c>
      <c r="AI562" s="35" t="str">
        <f t="shared" si="387"/>
        <v/>
      </c>
      <c r="AJ562" s="23" t="str">
        <f t="array" ref="AJ562">IFERROR(SMALL(IF(U$1:U$1000="BEGIN",ROW(U$1:U$1000)),ROW()-3),"")</f>
        <v/>
      </c>
      <c r="AK562" s="23" t="str">
        <f t="array" ref="AK562">IFERROR(SMALL(IF(V$1:V$1000="END",ROW(V$1:V$1000)),ROW()-3),"")</f>
        <v/>
      </c>
      <c r="AL562" s="24" t="str">
        <f t="array" ref="AL562">IF(AK562="","",MATCH(AM562,L:L,0))</f>
        <v/>
      </c>
      <c r="AM562" s="35">
        <f t="array" ref="AM562">MAX(IF((B$4:B$1000&lt;=AK562)*(B$4:B$1000&gt;=AJ562),L$4:L$1000, ""))</f>
        <v>0</v>
      </c>
      <c r="AN562" s="32" t="str">
        <f t="shared" si="394"/>
        <v/>
      </c>
      <c r="AO562" s="32" t="str">
        <f t="shared" si="395"/>
        <v/>
      </c>
      <c r="AP562" s="32" t="str">
        <f t="shared" si="396"/>
        <v/>
      </c>
      <c r="AQ562" s="32" t="str">
        <f t="shared" si="397"/>
        <v/>
      </c>
      <c r="AR562" s="32" t="str">
        <f t="shared" si="398"/>
        <v/>
      </c>
      <c r="AS562" s="32" t="str">
        <f t="shared" si="399"/>
        <v/>
      </c>
      <c r="AT562" s="32" t="str">
        <f t="shared" si="400"/>
        <v/>
      </c>
      <c r="AU562" s="34" t="str">
        <f t="shared" si="401"/>
        <v/>
      </c>
      <c r="AV562" s="32" t="str">
        <f t="shared" si="402"/>
        <v/>
      </c>
      <c r="AW562" s="32" t="str">
        <f t="shared" si="403"/>
        <v/>
      </c>
      <c r="AX562" s="32" t="str">
        <f t="shared" si="404"/>
        <v/>
      </c>
      <c r="AY562" s="32" t="str">
        <f t="shared" si="405"/>
        <v/>
      </c>
    </row>
    <row r="563" spans="1:51" x14ac:dyDescent="0.25">
      <c r="A563" s="24" t="str">
        <f t="shared" si="363"/>
        <v/>
      </c>
      <c r="B563" s="24" t="str">
        <f t="shared" si="373"/>
        <v/>
      </c>
      <c r="C563" s="32" t="str">
        <f t="shared" si="364"/>
        <v/>
      </c>
      <c r="D563" s="24" t="str">
        <f t="shared" si="365"/>
        <v/>
      </c>
      <c r="E563" s="24" t="str">
        <f t="shared" si="366"/>
        <v/>
      </c>
      <c r="F563" s="32" t="str">
        <f t="shared" si="367"/>
        <v/>
      </c>
      <c r="G563" s="32" t="str">
        <f t="shared" si="368"/>
        <v/>
      </c>
      <c r="H563" s="32" t="str">
        <f t="shared" ca="1" si="369"/>
        <v/>
      </c>
      <c r="I563" s="32" t="str">
        <f t="shared" ca="1" si="374"/>
        <v/>
      </c>
      <c r="J563" s="32" t="str">
        <f t="shared" si="370"/>
        <v/>
      </c>
      <c r="K563" s="32" t="str">
        <f>IF(ISNUMBER(A563),Profile!$V$25+Profile!$V$24*'Ri-Po'!C563,"")</f>
        <v/>
      </c>
      <c r="L563" s="32" t="str">
        <f t="shared" si="375"/>
        <v/>
      </c>
      <c r="M563" s="32" t="str">
        <f t="shared" si="371"/>
        <v/>
      </c>
      <c r="N563" s="32" t="str">
        <f t="shared" si="372"/>
        <v/>
      </c>
      <c r="O563" s="32" t="str">
        <f t="shared" si="388"/>
        <v/>
      </c>
      <c r="P563" s="32" t="str">
        <f t="shared" si="376"/>
        <v/>
      </c>
      <c r="Q563" s="32" t="str">
        <f t="shared" si="377"/>
        <v/>
      </c>
      <c r="R563" s="32" t="str">
        <f t="shared" si="389"/>
        <v/>
      </c>
      <c r="S563" s="24" t="str">
        <f t="shared" si="390"/>
        <v/>
      </c>
      <c r="T563" s="24" t="str">
        <f t="shared" si="391"/>
        <v/>
      </c>
      <c r="U563" s="24" t="str">
        <f t="shared" si="392"/>
        <v/>
      </c>
      <c r="V563" s="24" t="str">
        <f t="shared" si="393"/>
        <v/>
      </c>
      <c r="W563" s="23" t="str">
        <f t="array" ref="W563">IFERROR(SMALL(IF(S$1:S$1000="BEGIN",ROW(S$1:S$1000)),ROW()-3),"")</f>
        <v/>
      </c>
      <c r="X563" s="23" t="str">
        <f t="array" ref="X563">IFERROR(SMALL(IF(T$1:T$1000="END",ROW(T$1:T$1000)),ROW()-3),"")</f>
        <v/>
      </c>
      <c r="Y563" s="33" t="str">
        <f t="array" ref="Y563">IF(ISNUMBER(W563),MAX(IF((B$4:B$1000&lt;=X563)*(B$4:B$1000&gt;=W563),I$4:I$1000, "")),"")</f>
        <v/>
      </c>
      <c r="Z563" s="33" t="str">
        <f t="shared" si="378"/>
        <v/>
      </c>
      <c r="AA563" s="32" t="str">
        <f t="shared" si="379"/>
        <v/>
      </c>
      <c r="AB563" s="32" t="str">
        <f t="shared" si="380"/>
        <v/>
      </c>
      <c r="AC563" s="32" t="str">
        <f t="shared" si="381"/>
        <v/>
      </c>
      <c r="AD563" s="32" t="str">
        <f t="shared" si="382"/>
        <v/>
      </c>
      <c r="AE563" s="34" t="str">
        <f t="shared" si="383"/>
        <v/>
      </c>
      <c r="AF563" s="32" t="str">
        <f t="shared" si="384"/>
        <v/>
      </c>
      <c r="AG563" s="32" t="str">
        <f t="shared" si="385"/>
        <v/>
      </c>
      <c r="AH563" s="32" t="str">
        <f t="shared" si="386"/>
        <v/>
      </c>
      <c r="AI563" s="35" t="str">
        <f t="shared" si="387"/>
        <v/>
      </c>
      <c r="AJ563" s="23" t="str">
        <f t="array" ref="AJ563">IFERROR(SMALL(IF(U$1:U$1000="BEGIN",ROW(U$1:U$1000)),ROW()-3),"")</f>
        <v/>
      </c>
      <c r="AK563" s="23" t="str">
        <f t="array" ref="AK563">IFERROR(SMALL(IF(V$1:V$1000="END",ROW(V$1:V$1000)),ROW()-3),"")</f>
        <v/>
      </c>
      <c r="AL563" s="24" t="str">
        <f t="array" ref="AL563">IF(AK563="","",MATCH(AM563,L:L,0))</f>
        <v/>
      </c>
      <c r="AM563" s="35">
        <f t="array" ref="AM563">MAX(IF((B$4:B$1000&lt;=AK563)*(B$4:B$1000&gt;=AJ563),L$4:L$1000, ""))</f>
        <v>0</v>
      </c>
      <c r="AN563" s="32" t="str">
        <f t="shared" si="394"/>
        <v/>
      </c>
      <c r="AO563" s="32" t="str">
        <f t="shared" si="395"/>
        <v/>
      </c>
      <c r="AP563" s="32" t="str">
        <f t="shared" si="396"/>
        <v/>
      </c>
      <c r="AQ563" s="32" t="str">
        <f t="shared" si="397"/>
        <v/>
      </c>
      <c r="AR563" s="32" t="str">
        <f t="shared" si="398"/>
        <v/>
      </c>
      <c r="AS563" s="32" t="str">
        <f t="shared" si="399"/>
        <v/>
      </c>
      <c r="AT563" s="32" t="str">
        <f t="shared" si="400"/>
        <v/>
      </c>
      <c r="AU563" s="34" t="str">
        <f t="shared" si="401"/>
        <v/>
      </c>
      <c r="AV563" s="32" t="str">
        <f t="shared" si="402"/>
        <v/>
      </c>
      <c r="AW563" s="32" t="str">
        <f t="shared" si="403"/>
        <v/>
      </c>
      <c r="AX563" s="32" t="str">
        <f t="shared" si="404"/>
        <v/>
      </c>
      <c r="AY563" s="32" t="str">
        <f t="shared" si="405"/>
        <v/>
      </c>
    </row>
    <row r="564" spans="1:51" x14ac:dyDescent="0.25">
      <c r="A564" s="24" t="str">
        <f t="shared" si="363"/>
        <v/>
      </c>
      <c r="B564" s="24" t="str">
        <f t="shared" si="373"/>
        <v/>
      </c>
      <c r="C564" s="32" t="str">
        <f t="shared" si="364"/>
        <v/>
      </c>
      <c r="D564" s="24" t="str">
        <f t="shared" si="365"/>
        <v/>
      </c>
      <c r="E564" s="24" t="str">
        <f t="shared" si="366"/>
        <v/>
      </c>
      <c r="F564" s="32" t="str">
        <f t="shared" si="367"/>
        <v/>
      </c>
      <c r="G564" s="32" t="str">
        <f t="shared" si="368"/>
        <v/>
      </c>
      <c r="H564" s="32" t="str">
        <f t="shared" ca="1" si="369"/>
        <v/>
      </c>
      <c r="I564" s="32" t="str">
        <f t="shared" ca="1" si="374"/>
        <v/>
      </c>
      <c r="J564" s="32" t="str">
        <f t="shared" si="370"/>
        <v/>
      </c>
      <c r="K564" s="32" t="str">
        <f>IF(ISNUMBER(A564),Profile!$V$25+Profile!$V$24*'Ri-Po'!C564,"")</f>
        <v/>
      </c>
      <c r="L564" s="32" t="str">
        <f t="shared" si="375"/>
        <v/>
      </c>
      <c r="M564" s="32" t="str">
        <f t="shared" si="371"/>
        <v/>
      </c>
      <c r="N564" s="32" t="str">
        <f t="shared" si="372"/>
        <v/>
      </c>
      <c r="O564" s="32" t="str">
        <f t="shared" si="388"/>
        <v/>
      </c>
      <c r="P564" s="32" t="str">
        <f t="shared" si="376"/>
        <v/>
      </c>
      <c r="Q564" s="32" t="str">
        <f t="shared" si="377"/>
        <v/>
      </c>
      <c r="R564" s="32" t="str">
        <f t="shared" si="389"/>
        <v/>
      </c>
      <c r="S564" s="24" t="str">
        <f t="shared" si="390"/>
        <v/>
      </c>
      <c r="T564" s="24" t="str">
        <f t="shared" si="391"/>
        <v/>
      </c>
      <c r="U564" s="24" t="str">
        <f t="shared" si="392"/>
        <v/>
      </c>
      <c r="V564" s="24" t="str">
        <f t="shared" si="393"/>
        <v/>
      </c>
      <c r="W564" s="23" t="str">
        <f t="array" ref="W564">IFERROR(SMALL(IF(S$1:S$1000="BEGIN",ROW(S$1:S$1000)),ROW()-3),"")</f>
        <v/>
      </c>
      <c r="X564" s="23" t="str">
        <f t="array" ref="X564">IFERROR(SMALL(IF(T$1:T$1000="END",ROW(T$1:T$1000)),ROW()-3),"")</f>
        <v/>
      </c>
      <c r="Y564" s="33" t="str">
        <f t="array" ref="Y564">IF(ISNUMBER(W564),MAX(IF((B$4:B$1000&lt;=X564)*(B$4:B$1000&gt;=W564),I$4:I$1000, "")),"")</f>
        <v/>
      </c>
      <c r="Z564" s="33" t="str">
        <f t="shared" si="378"/>
        <v/>
      </c>
      <c r="AA564" s="32" t="str">
        <f t="shared" si="379"/>
        <v/>
      </c>
      <c r="AB564" s="32" t="str">
        <f t="shared" si="380"/>
        <v/>
      </c>
      <c r="AC564" s="32" t="str">
        <f t="shared" si="381"/>
        <v/>
      </c>
      <c r="AD564" s="32" t="str">
        <f t="shared" si="382"/>
        <v/>
      </c>
      <c r="AE564" s="34" t="str">
        <f t="shared" si="383"/>
        <v/>
      </c>
      <c r="AF564" s="32" t="str">
        <f t="shared" si="384"/>
        <v/>
      </c>
      <c r="AG564" s="32" t="str">
        <f t="shared" si="385"/>
        <v/>
      </c>
      <c r="AH564" s="32" t="str">
        <f t="shared" si="386"/>
        <v/>
      </c>
      <c r="AI564" s="35" t="str">
        <f t="shared" si="387"/>
        <v/>
      </c>
      <c r="AJ564" s="23" t="str">
        <f t="array" ref="AJ564">IFERROR(SMALL(IF(U$1:U$1000="BEGIN",ROW(U$1:U$1000)),ROW()-3),"")</f>
        <v/>
      </c>
      <c r="AK564" s="23" t="str">
        <f t="array" ref="AK564">IFERROR(SMALL(IF(V$1:V$1000="END",ROW(V$1:V$1000)),ROW()-3),"")</f>
        <v/>
      </c>
      <c r="AL564" s="24" t="str">
        <f t="array" ref="AL564">IF(AK564="","",MATCH(AM564,L:L,0))</f>
        <v/>
      </c>
      <c r="AM564" s="35">
        <f t="array" ref="AM564">MAX(IF((B$4:B$1000&lt;=AK564)*(B$4:B$1000&gt;=AJ564),L$4:L$1000, ""))</f>
        <v>0</v>
      </c>
      <c r="AN564" s="32" t="str">
        <f t="shared" si="394"/>
        <v/>
      </c>
      <c r="AO564" s="32" t="str">
        <f t="shared" si="395"/>
        <v/>
      </c>
      <c r="AP564" s="32" t="str">
        <f t="shared" si="396"/>
        <v/>
      </c>
      <c r="AQ564" s="32" t="str">
        <f t="shared" si="397"/>
        <v/>
      </c>
      <c r="AR564" s="32" t="str">
        <f t="shared" si="398"/>
        <v/>
      </c>
      <c r="AS564" s="32" t="str">
        <f t="shared" si="399"/>
        <v/>
      </c>
      <c r="AT564" s="32" t="str">
        <f t="shared" si="400"/>
        <v/>
      </c>
      <c r="AU564" s="34" t="str">
        <f t="shared" si="401"/>
        <v/>
      </c>
      <c r="AV564" s="32" t="str">
        <f t="shared" si="402"/>
        <v/>
      </c>
      <c r="AW564" s="32" t="str">
        <f t="shared" si="403"/>
        <v/>
      </c>
      <c r="AX564" s="32" t="str">
        <f t="shared" si="404"/>
        <v/>
      </c>
      <c r="AY564" s="32" t="str">
        <f t="shared" si="405"/>
        <v/>
      </c>
    </row>
    <row r="565" spans="1:51" x14ac:dyDescent="0.25">
      <c r="A565" s="24" t="str">
        <f t="shared" si="363"/>
        <v/>
      </c>
      <c r="B565" s="24" t="str">
        <f t="shared" si="373"/>
        <v/>
      </c>
      <c r="C565" s="32" t="str">
        <f t="shared" si="364"/>
        <v/>
      </c>
      <c r="D565" s="24" t="str">
        <f t="shared" si="365"/>
        <v/>
      </c>
      <c r="E565" s="24" t="str">
        <f t="shared" si="366"/>
        <v/>
      </c>
      <c r="F565" s="32" t="str">
        <f t="shared" si="367"/>
        <v/>
      </c>
      <c r="G565" s="32" t="str">
        <f t="shared" si="368"/>
        <v/>
      </c>
      <c r="H565" s="32" t="str">
        <f t="shared" ca="1" si="369"/>
        <v/>
      </c>
      <c r="I565" s="32" t="str">
        <f t="shared" ca="1" si="374"/>
        <v/>
      </c>
      <c r="J565" s="32" t="str">
        <f t="shared" si="370"/>
        <v/>
      </c>
      <c r="K565" s="32" t="str">
        <f>IF(ISNUMBER(A565),Profile!$V$25+Profile!$V$24*'Ri-Po'!C565,"")</f>
        <v/>
      </c>
      <c r="L565" s="32" t="str">
        <f t="shared" si="375"/>
        <v/>
      </c>
      <c r="M565" s="32" t="str">
        <f t="shared" si="371"/>
        <v/>
      </c>
      <c r="N565" s="32" t="str">
        <f t="shared" si="372"/>
        <v/>
      </c>
      <c r="O565" s="32" t="str">
        <f t="shared" si="388"/>
        <v/>
      </c>
      <c r="P565" s="32" t="str">
        <f t="shared" si="376"/>
        <v/>
      </c>
      <c r="Q565" s="32" t="str">
        <f t="shared" si="377"/>
        <v/>
      </c>
      <c r="R565" s="32" t="str">
        <f t="shared" si="389"/>
        <v/>
      </c>
      <c r="S565" s="24" t="str">
        <f t="shared" si="390"/>
        <v/>
      </c>
      <c r="T565" s="24" t="str">
        <f t="shared" si="391"/>
        <v/>
      </c>
      <c r="U565" s="24" t="str">
        <f t="shared" si="392"/>
        <v/>
      </c>
      <c r="V565" s="24" t="str">
        <f t="shared" si="393"/>
        <v/>
      </c>
      <c r="W565" s="23" t="str">
        <f t="array" ref="W565">IFERROR(SMALL(IF(S$1:S$1000="BEGIN",ROW(S$1:S$1000)),ROW()-3),"")</f>
        <v/>
      </c>
      <c r="X565" s="23" t="str">
        <f t="array" ref="X565">IFERROR(SMALL(IF(T$1:T$1000="END",ROW(T$1:T$1000)),ROW()-3),"")</f>
        <v/>
      </c>
      <c r="Y565" s="33" t="str">
        <f t="array" ref="Y565">IF(ISNUMBER(W565),MAX(IF((B$4:B$1000&lt;=X565)*(B$4:B$1000&gt;=W565),I$4:I$1000, "")),"")</f>
        <v/>
      </c>
      <c r="Z565" s="33" t="str">
        <f t="shared" si="378"/>
        <v/>
      </c>
      <c r="AA565" s="32" t="str">
        <f t="shared" si="379"/>
        <v/>
      </c>
      <c r="AB565" s="32" t="str">
        <f t="shared" si="380"/>
        <v/>
      </c>
      <c r="AC565" s="32" t="str">
        <f t="shared" si="381"/>
        <v/>
      </c>
      <c r="AD565" s="32" t="str">
        <f t="shared" si="382"/>
        <v/>
      </c>
      <c r="AE565" s="34" t="str">
        <f t="shared" si="383"/>
        <v/>
      </c>
      <c r="AF565" s="32" t="str">
        <f t="shared" si="384"/>
        <v/>
      </c>
      <c r="AG565" s="32" t="str">
        <f t="shared" si="385"/>
        <v/>
      </c>
      <c r="AH565" s="32" t="str">
        <f t="shared" si="386"/>
        <v/>
      </c>
      <c r="AI565" s="35" t="str">
        <f t="shared" si="387"/>
        <v/>
      </c>
      <c r="AJ565" s="23" t="str">
        <f t="array" ref="AJ565">IFERROR(SMALL(IF(U$1:U$1000="BEGIN",ROW(U$1:U$1000)),ROW()-3),"")</f>
        <v/>
      </c>
      <c r="AK565" s="23" t="str">
        <f t="array" ref="AK565">IFERROR(SMALL(IF(V$1:V$1000="END",ROW(V$1:V$1000)),ROW()-3),"")</f>
        <v/>
      </c>
      <c r="AL565" s="24" t="str">
        <f t="array" ref="AL565">IF(AK565="","",MATCH(AM565,L:L,0))</f>
        <v/>
      </c>
      <c r="AM565" s="35">
        <f t="array" ref="AM565">MAX(IF((B$4:B$1000&lt;=AK565)*(B$4:B$1000&gt;=AJ565),L$4:L$1000, ""))</f>
        <v>0</v>
      </c>
      <c r="AN565" s="32" t="str">
        <f t="shared" si="394"/>
        <v/>
      </c>
      <c r="AO565" s="32" t="str">
        <f t="shared" si="395"/>
        <v/>
      </c>
      <c r="AP565" s="32" t="str">
        <f t="shared" si="396"/>
        <v/>
      </c>
      <c r="AQ565" s="32" t="str">
        <f t="shared" si="397"/>
        <v/>
      </c>
      <c r="AR565" s="32" t="str">
        <f t="shared" si="398"/>
        <v/>
      </c>
      <c r="AS565" s="32" t="str">
        <f t="shared" si="399"/>
        <v/>
      </c>
      <c r="AT565" s="32" t="str">
        <f t="shared" si="400"/>
        <v/>
      </c>
      <c r="AU565" s="34" t="str">
        <f t="shared" si="401"/>
        <v/>
      </c>
      <c r="AV565" s="32" t="str">
        <f t="shared" si="402"/>
        <v/>
      </c>
      <c r="AW565" s="32" t="str">
        <f t="shared" si="403"/>
        <v/>
      </c>
      <c r="AX565" s="32" t="str">
        <f t="shared" si="404"/>
        <v/>
      </c>
      <c r="AY565" s="32" t="str">
        <f t="shared" si="405"/>
        <v/>
      </c>
    </row>
    <row r="566" spans="1:51" x14ac:dyDescent="0.25">
      <c r="A566" s="24" t="str">
        <f t="shared" si="363"/>
        <v/>
      </c>
      <c r="B566" s="24" t="str">
        <f t="shared" si="373"/>
        <v/>
      </c>
      <c r="C566" s="32" t="str">
        <f t="shared" si="364"/>
        <v/>
      </c>
      <c r="D566" s="24" t="str">
        <f t="shared" si="365"/>
        <v/>
      </c>
      <c r="E566" s="24" t="str">
        <f t="shared" si="366"/>
        <v/>
      </c>
      <c r="F566" s="32" t="str">
        <f t="shared" si="367"/>
        <v/>
      </c>
      <c r="G566" s="32" t="str">
        <f t="shared" si="368"/>
        <v/>
      </c>
      <c r="H566" s="32" t="str">
        <f t="shared" ca="1" si="369"/>
        <v/>
      </c>
      <c r="I566" s="32" t="str">
        <f t="shared" ca="1" si="374"/>
        <v/>
      </c>
      <c r="J566" s="32" t="str">
        <f t="shared" si="370"/>
        <v/>
      </c>
      <c r="K566" s="32" t="str">
        <f>IF(ISNUMBER(A566),Profile!$V$25+Profile!$V$24*'Ri-Po'!C566,"")</f>
        <v/>
      </c>
      <c r="L566" s="32" t="str">
        <f t="shared" si="375"/>
        <v/>
      </c>
      <c r="M566" s="32" t="str">
        <f t="shared" si="371"/>
        <v/>
      </c>
      <c r="N566" s="32" t="str">
        <f t="shared" si="372"/>
        <v/>
      </c>
      <c r="O566" s="32" t="str">
        <f t="shared" si="388"/>
        <v/>
      </c>
      <c r="P566" s="32" t="str">
        <f t="shared" si="376"/>
        <v/>
      </c>
      <c r="Q566" s="32" t="str">
        <f t="shared" si="377"/>
        <v/>
      </c>
      <c r="R566" s="32" t="str">
        <f t="shared" si="389"/>
        <v/>
      </c>
      <c r="S566" s="24" t="str">
        <f t="shared" si="390"/>
        <v/>
      </c>
      <c r="T566" s="24" t="str">
        <f t="shared" si="391"/>
        <v/>
      </c>
      <c r="U566" s="24" t="str">
        <f t="shared" si="392"/>
        <v/>
      </c>
      <c r="V566" s="24" t="str">
        <f t="shared" si="393"/>
        <v/>
      </c>
      <c r="W566" s="23" t="str">
        <f t="array" ref="W566">IFERROR(SMALL(IF(S$1:S$1000="BEGIN",ROW(S$1:S$1000)),ROW()-3),"")</f>
        <v/>
      </c>
      <c r="X566" s="23" t="str">
        <f t="array" ref="X566">IFERROR(SMALL(IF(T$1:T$1000="END",ROW(T$1:T$1000)),ROW()-3),"")</f>
        <v/>
      </c>
      <c r="Y566" s="33" t="str">
        <f t="array" ref="Y566">IF(ISNUMBER(W566),MAX(IF((B$4:B$1000&lt;=X566)*(B$4:B$1000&gt;=W566),I$4:I$1000, "")),"")</f>
        <v/>
      </c>
      <c r="Z566" s="33" t="str">
        <f t="shared" si="378"/>
        <v/>
      </c>
      <c r="AA566" s="32" t="str">
        <f t="shared" si="379"/>
        <v/>
      </c>
      <c r="AB566" s="32" t="str">
        <f t="shared" si="380"/>
        <v/>
      </c>
      <c r="AC566" s="32" t="str">
        <f t="shared" si="381"/>
        <v/>
      </c>
      <c r="AD566" s="32" t="str">
        <f t="shared" si="382"/>
        <v/>
      </c>
      <c r="AE566" s="34" t="str">
        <f t="shared" si="383"/>
        <v/>
      </c>
      <c r="AF566" s="32" t="str">
        <f t="shared" si="384"/>
        <v/>
      </c>
      <c r="AG566" s="32" t="str">
        <f t="shared" si="385"/>
        <v/>
      </c>
      <c r="AH566" s="32" t="str">
        <f t="shared" si="386"/>
        <v/>
      </c>
      <c r="AI566" s="35" t="str">
        <f t="shared" si="387"/>
        <v/>
      </c>
      <c r="AJ566" s="23" t="str">
        <f t="array" ref="AJ566">IFERROR(SMALL(IF(U$1:U$1000="BEGIN",ROW(U$1:U$1000)),ROW()-3),"")</f>
        <v/>
      </c>
      <c r="AK566" s="23" t="str">
        <f t="array" ref="AK566">IFERROR(SMALL(IF(V$1:V$1000="END",ROW(V$1:V$1000)),ROW()-3),"")</f>
        <v/>
      </c>
      <c r="AL566" s="24" t="str">
        <f t="array" ref="AL566">IF(AK566="","",MATCH(AM566,L:L,0))</f>
        <v/>
      </c>
      <c r="AM566" s="35">
        <f t="array" ref="AM566">MAX(IF((B$4:B$1000&lt;=AK566)*(B$4:B$1000&gt;=AJ566),L$4:L$1000, ""))</f>
        <v>0</v>
      </c>
      <c r="AN566" s="32" t="str">
        <f t="shared" si="394"/>
        <v/>
      </c>
      <c r="AO566" s="32" t="str">
        <f t="shared" si="395"/>
        <v/>
      </c>
      <c r="AP566" s="32" t="str">
        <f t="shared" si="396"/>
        <v/>
      </c>
      <c r="AQ566" s="32" t="str">
        <f t="shared" si="397"/>
        <v/>
      </c>
      <c r="AR566" s="32" t="str">
        <f t="shared" si="398"/>
        <v/>
      </c>
      <c r="AS566" s="32" t="str">
        <f t="shared" si="399"/>
        <v/>
      </c>
      <c r="AT566" s="32" t="str">
        <f t="shared" si="400"/>
        <v/>
      </c>
      <c r="AU566" s="34" t="str">
        <f t="shared" si="401"/>
        <v/>
      </c>
      <c r="AV566" s="32" t="str">
        <f t="shared" si="402"/>
        <v/>
      </c>
      <c r="AW566" s="32" t="str">
        <f t="shared" si="403"/>
        <v/>
      </c>
      <c r="AX566" s="32" t="str">
        <f t="shared" si="404"/>
        <v/>
      </c>
      <c r="AY566" s="32" t="str">
        <f t="shared" si="405"/>
        <v/>
      </c>
    </row>
    <row r="567" spans="1:51" x14ac:dyDescent="0.25">
      <c r="A567" s="24" t="str">
        <f t="shared" si="363"/>
        <v/>
      </c>
      <c r="B567" s="24" t="str">
        <f t="shared" si="373"/>
        <v/>
      </c>
      <c r="C567" s="32" t="str">
        <f t="shared" si="364"/>
        <v/>
      </c>
      <c r="D567" s="24" t="str">
        <f t="shared" si="365"/>
        <v/>
      </c>
      <c r="E567" s="24" t="str">
        <f t="shared" si="366"/>
        <v/>
      </c>
      <c r="F567" s="32" t="str">
        <f t="shared" si="367"/>
        <v/>
      </c>
      <c r="G567" s="32" t="str">
        <f t="shared" si="368"/>
        <v/>
      </c>
      <c r="H567" s="32" t="str">
        <f t="shared" ca="1" si="369"/>
        <v/>
      </c>
      <c r="I567" s="32" t="str">
        <f t="shared" ca="1" si="374"/>
        <v/>
      </c>
      <c r="J567" s="32" t="str">
        <f t="shared" si="370"/>
        <v/>
      </c>
      <c r="K567" s="32" t="str">
        <f>IF(ISNUMBER(A567),Profile!$V$25+Profile!$V$24*'Ri-Po'!C567,"")</f>
        <v/>
      </c>
      <c r="L567" s="32" t="str">
        <f t="shared" si="375"/>
        <v/>
      </c>
      <c r="M567" s="32" t="str">
        <f t="shared" si="371"/>
        <v/>
      </c>
      <c r="N567" s="32" t="str">
        <f t="shared" si="372"/>
        <v/>
      </c>
      <c r="O567" s="32" t="str">
        <f t="shared" si="388"/>
        <v/>
      </c>
      <c r="P567" s="32" t="str">
        <f t="shared" si="376"/>
        <v/>
      </c>
      <c r="Q567" s="32" t="str">
        <f t="shared" si="377"/>
        <v/>
      </c>
      <c r="R567" s="32" t="str">
        <f t="shared" si="389"/>
        <v/>
      </c>
      <c r="S567" s="24" t="str">
        <f t="shared" si="390"/>
        <v/>
      </c>
      <c r="T567" s="24" t="str">
        <f t="shared" si="391"/>
        <v/>
      </c>
      <c r="U567" s="24" t="str">
        <f t="shared" si="392"/>
        <v/>
      </c>
      <c r="V567" s="24" t="str">
        <f t="shared" si="393"/>
        <v/>
      </c>
      <c r="W567" s="23" t="str">
        <f t="array" ref="W567">IFERROR(SMALL(IF(S$1:S$1000="BEGIN",ROW(S$1:S$1000)),ROW()-3),"")</f>
        <v/>
      </c>
      <c r="X567" s="23" t="str">
        <f t="array" ref="X567">IFERROR(SMALL(IF(T$1:T$1000="END",ROW(T$1:T$1000)),ROW()-3),"")</f>
        <v/>
      </c>
      <c r="Y567" s="33" t="str">
        <f t="array" ref="Y567">IF(ISNUMBER(W567),MAX(IF((B$4:B$1000&lt;=X567)*(B$4:B$1000&gt;=W567),I$4:I$1000, "")),"")</f>
        <v/>
      </c>
      <c r="Z567" s="33" t="str">
        <f t="shared" si="378"/>
        <v/>
      </c>
      <c r="AA567" s="32" t="str">
        <f t="shared" si="379"/>
        <v/>
      </c>
      <c r="AB567" s="32" t="str">
        <f t="shared" si="380"/>
        <v/>
      </c>
      <c r="AC567" s="32" t="str">
        <f t="shared" si="381"/>
        <v/>
      </c>
      <c r="AD567" s="32" t="str">
        <f t="shared" si="382"/>
        <v/>
      </c>
      <c r="AE567" s="34" t="str">
        <f t="shared" si="383"/>
        <v/>
      </c>
      <c r="AF567" s="32" t="str">
        <f t="shared" si="384"/>
        <v/>
      </c>
      <c r="AG567" s="32" t="str">
        <f t="shared" si="385"/>
        <v/>
      </c>
      <c r="AH567" s="32" t="str">
        <f t="shared" si="386"/>
        <v/>
      </c>
      <c r="AI567" s="35" t="str">
        <f t="shared" si="387"/>
        <v/>
      </c>
      <c r="AJ567" s="23" t="str">
        <f t="array" ref="AJ567">IFERROR(SMALL(IF(U$1:U$1000="BEGIN",ROW(U$1:U$1000)),ROW()-3),"")</f>
        <v/>
      </c>
      <c r="AK567" s="23" t="str">
        <f t="array" ref="AK567">IFERROR(SMALL(IF(V$1:V$1000="END",ROW(V$1:V$1000)),ROW()-3),"")</f>
        <v/>
      </c>
      <c r="AL567" s="24" t="str">
        <f t="array" ref="AL567">IF(AK567="","",MATCH(AM567,L:L,0))</f>
        <v/>
      </c>
      <c r="AM567" s="35">
        <f t="array" ref="AM567">MAX(IF((B$4:B$1000&lt;=AK567)*(B$4:B$1000&gt;=AJ567),L$4:L$1000, ""))</f>
        <v>0</v>
      </c>
      <c r="AN567" s="32" t="str">
        <f t="shared" si="394"/>
        <v/>
      </c>
      <c r="AO567" s="32" t="str">
        <f t="shared" si="395"/>
        <v/>
      </c>
      <c r="AP567" s="32" t="str">
        <f t="shared" si="396"/>
        <v/>
      </c>
      <c r="AQ567" s="32" t="str">
        <f t="shared" si="397"/>
        <v/>
      </c>
      <c r="AR567" s="32" t="str">
        <f t="shared" si="398"/>
        <v/>
      </c>
      <c r="AS567" s="32" t="str">
        <f t="shared" si="399"/>
        <v/>
      </c>
      <c r="AT567" s="32" t="str">
        <f t="shared" si="400"/>
        <v/>
      </c>
      <c r="AU567" s="34" t="str">
        <f t="shared" si="401"/>
        <v/>
      </c>
      <c r="AV567" s="32" t="str">
        <f t="shared" si="402"/>
        <v/>
      </c>
      <c r="AW567" s="32" t="str">
        <f t="shared" si="403"/>
        <v/>
      </c>
      <c r="AX567" s="32" t="str">
        <f t="shared" si="404"/>
        <v/>
      </c>
      <c r="AY567" s="32" t="str">
        <f t="shared" si="405"/>
        <v/>
      </c>
    </row>
    <row r="568" spans="1:51" x14ac:dyDescent="0.25">
      <c r="A568" s="24" t="str">
        <f t="shared" si="363"/>
        <v/>
      </c>
      <c r="B568" s="24" t="str">
        <f t="shared" si="373"/>
        <v/>
      </c>
      <c r="C568" s="32" t="str">
        <f t="shared" si="364"/>
        <v/>
      </c>
      <c r="D568" s="24" t="str">
        <f t="shared" si="365"/>
        <v/>
      </c>
      <c r="E568" s="24" t="str">
        <f t="shared" si="366"/>
        <v/>
      </c>
      <c r="F568" s="32" t="str">
        <f t="shared" si="367"/>
        <v/>
      </c>
      <c r="G568" s="32" t="str">
        <f t="shared" si="368"/>
        <v/>
      </c>
      <c r="H568" s="32" t="str">
        <f t="shared" ca="1" si="369"/>
        <v/>
      </c>
      <c r="I568" s="32" t="str">
        <f t="shared" ca="1" si="374"/>
        <v/>
      </c>
      <c r="J568" s="32" t="str">
        <f t="shared" si="370"/>
        <v/>
      </c>
      <c r="K568" s="32" t="str">
        <f>IF(ISNUMBER(A568),Profile!$V$25+Profile!$V$24*'Ri-Po'!C568,"")</f>
        <v/>
      </c>
      <c r="L568" s="32" t="str">
        <f t="shared" si="375"/>
        <v/>
      </c>
      <c r="M568" s="32" t="str">
        <f t="shared" si="371"/>
        <v/>
      </c>
      <c r="N568" s="32" t="str">
        <f t="shared" si="372"/>
        <v/>
      </c>
      <c r="O568" s="32" t="str">
        <f t="shared" si="388"/>
        <v/>
      </c>
      <c r="P568" s="32" t="str">
        <f t="shared" si="376"/>
        <v/>
      </c>
      <c r="Q568" s="32" t="str">
        <f t="shared" si="377"/>
        <v/>
      </c>
      <c r="R568" s="32" t="str">
        <f t="shared" si="389"/>
        <v/>
      </c>
      <c r="S568" s="24" t="str">
        <f t="shared" si="390"/>
        <v/>
      </c>
      <c r="T568" s="24" t="str">
        <f t="shared" si="391"/>
        <v/>
      </c>
      <c r="U568" s="24" t="str">
        <f t="shared" si="392"/>
        <v/>
      </c>
      <c r="V568" s="24" t="str">
        <f t="shared" si="393"/>
        <v/>
      </c>
      <c r="W568" s="23" t="str">
        <f t="array" ref="W568">IFERROR(SMALL(IF(S$1:S$1000="BEGIN",ROW(S$1:S$1000)),ROW()-3),"")</f>
        <v/>
      </c>
      <c r="X568" s="23" t="str">
        <f t="array" ref="X568">IFERROR(SMALL(IF(T$1:T$1000="END",ROW(T$1:T$1000)),ROW()-3),"")</f>
        <v/>
      </c>
      <c r="Y568" s="33" t="str">
        <f t="array" ref="Y568">IF(ISNUMBER(W568),MAX(IF((B$4:B$1000&lt;=X568)*(B$4:B$1000&gt;=W568),I$4:I$1000, "")),"")</f>
        <v/>
      </c>
      <c r="Z568" s="33" t="str">
        <f t="shared" si="378"/>
        <v/>
      </c>
      <c r="AA568" s="32" t="str">
        <f t="shared" si="379"/>
        <v/>
      </c>
      <c r="AB568" s="32" t="str">
        <f t="shared" si="380"/>
        <v/>
      </c>
      <c r="AC568" s="32" t="str">
        <f t="shared" si="381"/>
        <v/>
      </c>
      <c r="AD568" s="32" t="str">
        <f t="shared" si="382"/>
        <v/>
      </c>
      <c r="AE568" s="34" t="str">
        <f t="shared" si="383"/>
        <v/>
      </c>
      <c r="AF568" s="32" t="str">
        <f t="shared" si="384"/>
        <v/>
      </c>
      <c r="AG568" s="32" t="str">
        <f t="shared" si="385"/>
        <v/>
      </c>
      <c r="AH568" s="32" t="str">
        <f t="shared" si="386"/>
        <v/>
      </c>
      <c r="AI568" s="35" t="str">
        <f t="shared" si="387"/>
        <v/>
      </c>
      <c r="AJ568" s="23" t="str">
        <f t="array" ref="AJ568">IFERROR(SMALL(IF(U$1:U$1000="BEGIN",ROW(U$1:U$1000)),ROW()-3),"")</f>
        <v/>
      </c>
      <c r="AK568" s="23" t="str">
        <f t="array" ref="AK568">IFERROR(SMALL(IF(V$1:V$1000="END",ROW(V$1:V$1000)),ROW()-3),"")</f>
        <v/>
      </c>
      <c r="AL568" s="24" t="str">
        <f t="array" ref="AL568">IF(AK568="","",MATCH(AM568,L:L,0))</f>
        <v/>
      </c>
      <c r="AM568" s="35">
        <f t="array" ref="AM568">MAX(IF((B$4:B$1000&lt;=AK568)*(B$4:B$1000&gt;=AJ568),L$4:L$1000, ""))</f>
        <v>0</v>
      </c>
      <c r="AN568" s="32" t="str">
        <f t="shared" si="394"/>
        <v/>
      </c>
      <c r="AO568" s="32" t="str">
        <f t="shared" si="395"/>
        <v/>
      </c>
      <c r="AP568" s="32" t="str">
        <f t="shared" si="396"/>
        <v/>
      </c>
      <c r="AQ568" s="32" t="str">
        <f t="shared" si="397"/>
        <v/>
      </c>
      <c r="AR568" s="32" t="str">
        <f t="shared" si="398"/>
        <v/>
      </c>
      <c r="AS568" s="32" t="str">
        <f t="shared" si="399"/>
        <v/>
      </c>
      <c r="AT568" s="32" t="str">
        <f t="shared" si="400"/>
        <v/>
      </c>
      <c r="AU568" s="34" t="str">
        <f t="shared" si="401"/>
        <v/>
      </c>
      <c r="AV568" s="32" t="str">
        <f t="shared" si="402"/>
        <v/>
      </c>
      <c r="AW568" s="32" t="str">
        <f t="shared" si="403"/>
        <v/>
      </c>
      <c r="AX568" s="32" t="str">
        <f t="shared" si="404"/>
        <v/>
      </c>
      <c r="AY568" s="32" t="str">
        <f t="shared" si="405"/>
        <v/>
      </c>
    </row>
    <row r="569" spans="1:51" x14ac:dyDescent="0.25">
      <c r="A569" s="24" t="str">
        <f t="shared" si="363"/>
        <v/>
      </c>
      <c r="B569" s="24" t="str">
        <f t="shared" si="373"/>
        <v/>
      </c>
      <c r="C569" s="32" t="str">
        <f t="shared" si="364"/>
        <v/>
      </c>
      <c r="D569" s="24" t="str">
        <f t="shared" si="365"/>
        <v/>
      </c>
      <c r="E569" s="24" t="str">
        <f t="shared" si="366"/>
        <v/>
      </c>
      <c r="F569" s="32" t="str">
        <f t="shared" si="367"/>
        <v/>
      </c>
      <c r="G569" s="32" t="str">
        <f t="shared" si="368"/>
        <v/>
      </c>
      <c r="H569" s="32" t="str">
        <f t="shared" ca="1" si="369"/>
        <v/>
      </c>
      <c r="I569" s="32" t="str">
        <f t="shared" ca="1" si="374"/>
        <v/>
      </c>
      <c r="J569" s="32" t="str">
        <f t="shared" si="370"/>
        <v/>
      </c>
      <c r="K569" s="32" t="str">
        <f>IF(ISNUMBER(A569),Profile!$V$25+Profile!$V$24*'Ri-Po'!C569,"")</f>
        <v/>
      </c>
      <c r="L569" s="32" t="str">
        <f t="shared" si="375"/>
        <v/>
      </c>
      <c r="M569" s="32" t="str">
        <f t="shared" si="371"/>
        <v/>
      </c>
      <c r="N569" s="32" t="str">
        <f t="shared" si="372"/>
        <v/>
      </c>
      <c r="O569" s="32" t="str">
        <f t="shared" si="388"/>
        <v/>
      </c>
      <c r="P569" s="32" t="str">
        <f t="shared" si="376"/>
        <v/>
      </c>
      <c r="Q569" s="32" t="str">
        <f t="shared" si="377"/>
        <v/>
      </c>
      <c r="R569" s="32" t="str">
        <f t="shared" si="389"/>
        <v/>
      </c>
      <c r="S569" s="24" t="str">
        <f t="shared" si="390"/>
        <v/>
      </c>
      <c r="T569" s="24" t="str">
        <f t="shared" si="391"/>
        <v/>
      </c>
      <c r="U569" s="24" t="str">
        <f t="shared" si="392"/>
        <v/>
      </c>
      <c r="V569" s="24" t="str">
        <f t="shared" si="393"/>
        <v/>
      </c>
      <c r="W569" s="23" t="str">
        <f t="array" ref="W569">IFERROR(SMALL(IF(S$1:S$1000="BEGIN",ROW(S$1:S$1000)),ROW()-3),"")</f>
        <v/>
      </c>
      <c r="X569" s="23" t="str">
        <f t="array" ref="X569">IFERROR(SMALL(IF(T$1:T$1000="END",ROW(T$1:T$1000)),ROW()-3),"")</f>
        <v/>
      </c>
      <c r="Y569" s="33" t="str">
        <f t="array" ref="Y569">IF(ISNUMBER(W569),MAX(IF((B$4:B$1000&lt;=X569)*(B$4:B$1000&gt;=W569),I$4:I$1000, "")),"")</f>
        <v/>
      </c>
      <c r="Z569" s="33" t="str">
        <f t="shared" si="378"/>
        <v/>
      </c>
      <c r="AA569" s="32" t="str">
        <f t="shared" si="379"/>
        <v/>
      </c>
      <c r="AB569" s="32" t="str">
        <f t="shared" si="380"/>
        <v/>
      </c>
      <c r="AC569" s="32" t="str">
        <f t="shared" si="381"/>
        <v/>
      </c>
      <c r="AD569" s="32" t="str">
        <f t="shared" si="382"/>
        <v/>
      </c>
      <c r="AE569" s="34" t="str">
        <f t="shared" si="383"/>
        <v/>
      </c>
      <c r="AF569" s="32" t="str">
        <f t="shared" si="384"/>
        <v/>
      </c>
      <c r="AG569" s="32" t="str">
        <f t="shared" si="385"/>
        <v/>
      </c>
      <c r="AH569" s="32" t="str">
        <f t="shared" si="386"/>
        <v/>
      </c>
      <c r="AI569" s="35" t="str">
        <f t="shared" si="387"/>
        <v/>
      </c>
      <c r="AJ569" s="23" t="str">
        <f t="array" ref="AJ569">IFERROR(SMALL(IF(U$1:U$1000="BEGIN",ROW(U$1:U$1000)),ROW()-3),"")</f>
        <v/>
      </c>
      <c r="AK569" s="23" t="str">
        <f t="array" ref="AK569">IFERROR(SMALL(IF(V$1:V$1000="END",ROW(V$1:V$1000)),ROW()-3),"")</f>
        <v/>
      </c>
      <c r="AL569" s="24" t="str">
        <f t="array" ref="AL569">IF(AK569="","",MATCH(AM569,L:L,0))</f>
        <v/>
      </c>
      <c r="AM569" s="35">
        <f t="array" ref="AM569">MAX(IF((B$4:B$1000&lt;=AK569)*(B$4:B$1000&gt;=AJ569),L$4:L$1000, ""))</f>
        <v>0</v>
      </c>
      <c r="AN569" s="32" t="str">
        <f t="shared" si="394"/>
        <v/>
      </c>
      <c r="AO569" s="32" t="str">
        <f t="shared" si="395"/>
        <v/>
      </c>
      <c r="AP569" s="32" t="str">
        <f t="shared" si="396"/>
        <v/>
      </c>
      <c r="AQ569" s="32" t="str">
        <f t="shared" si="397"/>
        <v/>
      </c>
      <c r="AR569" s="32" t="str">
        <f t="shared" si="398"/>
        <v/>
      </c>
      <c r="AS569" s="32" t="str">
        <f t="shared" si="399"/>
        <v/>
      </c>
      <c r="AT569" s="32" t="str">
        <f t="shared" si="400"/>
        <v/>
      </c>
      <c r="AU569" s="34" t="str">
        <f t="shared" si="401"/>
        <v/>
      </c>
      <c r="AV569" s="32" t="str">
        <f t="shared" si="402"/>
        <v/>
      </c>
      <c r="AW569" s="32" t="str">
        <f t="shared" si="403"/>
        <v/>
      </c>
      <c r="AX569" s="32" t="str">
        <f t="shared" si="404"/>
        <v/>
      </c>
      <c r="AY569" s="32" t="str">
        <f t="shared" si="405"/>
        <v/>
      </c>
    </row>
    <row r="570" spans="1:51" x14ac:dyDescent="0.25">
      <c r="A570" s="24" t="str">
        <f t="shared" si="363"/>
        <v/>
      </c>
      <c r="B570" s="24" t="str">
        <f t="shared" si="373"/>
        <v/>
      </c>
      <c r="C570" s="32" t="str">
        <f t="shared" si="364"/>
        <v/>
      </c>
      <c r="D570" s="24" t="str">
        <f t="shared" si="365"/>
        <v/>
      </c>
      <c r="E570" s="24" t="str">
        <f t="shared" si="366"/>
        <v/>
      </c>
      <c r="F570" s="32" t="str">
        <f t="shared" si="367"/>
        <v/>
      </c>
      <c r="G570" s="32" t="str">
        <f t="shared" si="368"/>
        <v/>
      </c>
      <c r="H570" s="32" t="str">
        <f t="shared" ca="1" si="369"/>
        <v/>
      </c>
      <c r="I570" s="32" t="str">
        <f t="shared" ca="1" si="374"/>
        <v/>
      </c>
      <c r="J570" s="32" t="str">
        <f t="shared" si="370"/>
        <v/>
      </c>
      <c r="K570" s="32" t="str">
        <f>IF(ISNUMBER(A570),Profile!$V$25+Profile!$V$24*'Ri-Po'!C570,"")</f>
        <v/>
      </c>
      <c r="L570" s="32" t="str">
        <f t="shared" si="375"/>
        <v/>
      </c>
      <c r="M570" s="32" t="str">
        <f t="shared" si="371"/>
        <v/>
      </c>
      <c r="N570" s="32" t="str">
        <f t="shared" si="372"/>
        <v/>
      </c>
      <c r="O570" s="32" t="str">
        <f t="shared" si="388"/>
        <v/>
      </c>
      <c r="P570" s="32" t="str">
        <f t="shared" si="376"/>
        <v/>
      </c>
      <c r="Q570" s="32" t="str">
        <f t="shared" si="377"/>
        <v/>
      </c>
      <c r="R570" s="32" t="str">
        <f t="shared" si="389"/>
        <v/>
      </c>
      <c r="S570" s="24" t="str">
        <f t="shared" si="390"/>
        <v/>
      </c>
      <c r="T570" s="24" t="str">
        <f t="shared" si="391"/>
        <v/>
      </c>
      <c r="U570" s="24" t="str">
        <f t="shared" si="392"/>
        <v/>
      </c>
      <c r="V570" s="24" t="str">
        <f t="shared" si="393"/>
        <v/>
      </c>
      <c r="W570" s="23" t="str">
        <f t="array" ref="W570">IFERROR(SMALL(IF(S$1:S$1000="BEGIN",ROW(S$1:S$1000)),ROW()-3),"")</f>
        <v/>
      </c>
      <c r="X570" s="23" t="str">
        <f t="array" ref="X570">IFERROR(SMALL(IF(T$1:T$1000="END",ROW(T$1:T$1000)),ROW()-3),"")</f>
        <v/>
      </c>
      <c r="Y570" s="33" t="str">
        <f t="array" ref="Y570">IF(ISNUMBER(W570),MAX(IF((B$4:B$1000&lt;=X570)*(B$4:B$1000&gt;=W570),I$4:I$1000, "")),"")</f>
        <v/>
      </c>
      <c r="Z570" s="33" t="str">
        <f t="shared" si="378"/>
        <v/>
      </c>
      <c r="AA570" s="32" t="str">
        <f t="shared" si="379"/>
        <v/>
      </c>
      <c r="AB570" s="32" t="str">
        <f t="shared" si="380"/>
        <v/>
      </c>
      <c r="AC570" s="32" t="str">
        <f t="shared" si="381"/>
        <v/>
      </c>
      <c r="AD570" s="32" t="str">
        <f t="shared" si="382"/>
        <v/>
      </c>
      <c r="AE570" s="34" t="str">
        <f t="shared" si="383"/>
        <v/>
      </c>
      <c r="AF570" s="32" t="str">
        <f t="shared" si="384"/>
        <v/>
      </c>
      <c r="AG570" s="32" t="str">
        <f t="shared" si="385"/>
        <v/>
      </c>
      <c r="AH570" s="32" t="str">
        <f t="shared" si="386"/>
        <v/>
      </c>
      <c r="AI570" s="35" t="str">
        <f t="shared" si="387"/>
        <v/>
      </c>
      <c r="AJ570" s="23" t="str">
        <f t="array" ref="AJ570">IFERROR(SMALL(IF(U$1:U$1000="BEGIN",ROW(U$1:U$1000)),ROW()-3),"")</f>
        <v/>
      </c>
      <c r="AK570" s="23" t="str">
        <f t="array" ref="AK570">IFERROR(SMALL(IF(V$1:V$1000="END",ROW(V$1:V$1000)),ROW()-3),"")</f>
        <v/>
      </c>
      <c r="AL570" s="24" t="str">
        <f t="array" ref="AL570">IF(AK570="","",MATCH(AM570,L:L,0))</f>
        <v/>
      </c>
      <c r="AM570" s="35">
        <f t="array" ref="AM570">MAX(IF((B$4:B$1000&lt;=AK570)*(B$4:B$1000&gt;=AJ570),L$4:L$1000, ""))</f>
        <v>0</v>
      </c>
      <c r="AN570" s="32" t="str">
        <f t="shared" si="394"/>
        <v/>
      </c>
      <c r="AO570" s="32" t="str">
        <f t="shared" si="395"/>
        <v/>
      </c>
      <c r="AP570" s="32" t="str">
        <f t="shared" si="396"/>
        <v/>
      </c>
      <c r="AQ570" s="32" t="str">
        <f t="shared" si="397"/>
        <v/>
      </c>
      <c r="AR570" s="32" t="str">
        <f t="shared" si="398"/>
        <v/>
      </c>
      <c r="AS570" s="32" t="str">
        <f t="shared" si="399"/>
        <v/>
      </c>
      <c r="AT570" s="32" t="str">
        <f t="shared" si="400"/>
        <v/>
      </c>
      <c r="AU570" s="34" t="str">
        <f t="shared" si="401"/>
        <v/>
      </c>
      <c r="AV570" s="32" t="str">
        <f t="shared" si="402"/>
        <v/>
      </c>
      <c r="AW570" s="32" t="str">
        <f t="shared" si="403"/>
        <v/>
      </c>
      <c r="AX570" s="32" t="str">
        <f t="shared" si="404"/>
        <v/>
      </c>
      <c r="AY570" s="32" t="str">
        <f t="shared" si="405"/>
        <v/>
      </c>
    </row>
    <row r="571" spans="1:51" x14ac:dyDescent="0.25">
      <c r="A571" s="24" t="str">
        <f t="shared" si="363"/>
        <v/>
      </c>
      <c r="B571" s="24" t="str">
        <f t="shared" si="373"/>
        <v/>
      </c>
      <c r="C571" s="32" t="str">
        <f t="shared" si="364"/>
        <v/>
      </c>
      <c r="D571" s="24" t="str">
        <f t="shared" si="365"/>
        <v/>
      </c>
      <c r="E571" s="24" t="str">
        <f t="shared" si="366"/>
        <v/>
      </c>
      <c r="F571" s="32" t="str">
        <f t="shared" si="367"/>
        <v/>
      </c>
      <c r="G571" s="32" t="str">
        <f t="shared" si="368"/>
        <v/>
      </c>
      <c r="H571" s="32" t="str">
        <f t="shared" ca="1" si="369"/>
        <v/>
      </c>
      <c r="I571" s="32" t="str">
        <f t="shared" ca="1" si="374"/>
        <v/>
      </c>
      <c r="J571" s="32" t="str">
        <f t="shared" si="370"/>
        <v/>
      </c>
      <c r="K571" s="32" t="str">
        <f>IF(ISNUMBER(A571),Profile!$V$25+Profile!$V$24*'Ri-Po'!C571,"")</f>
        <v/>
      </c>
      <c r="L571" s="32" t="str">
        <f t="shared" si="375"/>
        <v/>
      </c>
      <c r="M571" s="32" t="str">
        <f t="shared" si="371"/>
        <v/>
      </c>
      <c r="N571" s="32" t="str">
        <f t="shared" si="372"/>
        <v/>
      </c>
      <c r="O571" s="32" t="str">
        <f t="shared" si="388"/>
        <v/>
      </c>
      <c r="P571" s="32" t="str">
        <f t="shared" si="376"/>
        <v/>
      </c>
      <c r="Q571" s="32" t="str">
        <f t="shared" si="377"/>
        <v/>
      </c>
      <c r="R571" s="32" t="str">
        <f t="shared" si="389"/>
        <v/>
      </c>
      <c r="S571" s="24" t="str">
        <f t="shared" si="390"/>
        <v/>
      </c>
      <c r="T571" s="24" t="str">
        <f t="shared" si="391"/>
        <v/>
      </c>
      <c r="U571" s="24" t="str">
        <f t="shared" si="392"/>
        <v/>
      </c>
      <c r="V571" s="24" t="str">
        <f t="shared" si="393"/>
        <v/>
      </c>
      <c r="W571" s="23" t="str">
        <f t="array" ref="W571">IFERROR(SMALL(IF(S$1:S$1000="BEGIN",ROW(S$1:S$1000)),ROW()-3),"")</f>
        <v/>
      </c>
      <c r="X571" s="23" t="str">
        <f t="array" ref="X571">IFERROR(SMALL(IF(T$1:T$1000="END",ROW(T$1:T$1000)),ROW()-3),"")</f>
        <v/>
      </c>
      <c r="Y571" s="33" t="str">
        <f t="array" ref="Y571">IF(ISNUMBER(W571),MAX(IF((B$4:B$1000&lt;=X571)*(B$4:B$1000&gt;=W571),I$4:I$1000, "")),"")</f>
        <v/>
      </c>
      <c r="Z571" s="33" t="str">
        <f t="shared" si="378"/>
        <v/>
      </c>
      <c r="AA571" s="32" t="str">
        <f t="shared" si="379"/>
        <v/>
      </c>
      <c r="AB571" s="32" t="str">
        <f t="shared" si="380"/>
        <v/>
      </c>
      <c r="AC571" s="32" t="str">
        <f t="shared" si="381"/>
        <v/>
      </c>
      <c r="AD571" s="32" t="str">
        <f t="shared" si="382"/>
        <v/>
      </c>
      <c r="AE571" s="34" t="str">
        <f t="shared" si="383"/>
        <v/>
      </c>
      <c r="AF571" s="32" t="str">
        <f t="shared" si="384"/>
        <v/>
      </c>
      <c r="AG571" s="32" t="str">
        <f t="shared" si="385"/>
        <v/>
      </c>
      <c r="AH571" s="32" t="str">
        <f t="shared" si="386"/>
        <v/>
      </c>
      <c r="AI571" s="35" t="str">
        <f t="shared" si="387"/>
        <v/>
      </c>
      <c r="AJ571" s="23" t="str">
        <f t="array" ref="AJ571">IFERROR(SMALL(IF(U$1:U$1000="BEGIN",ROW(U$1:U$1000)),ROW()-3),"")</f>
        <v/>
      </c>
      <c r="AK571" s="23" t="str">
        <f t="array" ref="AK571">IFERROR(SMALL(IF(V$1:V$1000="END",ROW(V$1:V$1000)),ROW()-3),"")</f>
        <v/>
      </c>
      <c r="AL571" s="24" t="str">
        <f t="array" ref="AL571">IF(AK571="","",MATCH(AM571,L:L,0))</f>
        <v/>
      </c>
      <c r="AM571" s="35">
        <f t="array" ref="AM571">MAX(IF((B$4:B$1000&lt;=AK571)*(B$4:B$1000&gt;=AJ571),L$4:L$1000, ""))</f>
        <v>0</v>
      </c>
      <c r="AN571" s="32" t="str">
        <f t="shared" si="394"/>
        <v/>
      </c>
      <c r="AO571" s="32" t="str">
        <f t="shared" si="395"/>
        <v/>
      </c>
      <c r="AP571" s="32" t="str">
        <f t="shared" si="396"/>
        <v/>
      </c>
      <c r="AQ571" s="32" t="str">
        <f t="shared" si="397"/>
        <v/>
      </c>
      <c r="AR571" s="32" t="str">
        <f t="shared" si="398"/>
        <v/>
      </c>
      <c r="AS571" s="32" t="str">
        <f t="shared" si="399"/>
        <v/>
      </c>
      <c r="AT571" s="32" t="str">
        <f t="shared" si="400"/>
        <v/>
      </c>
      <c r="AU571" s="34" t="str">
        <f t="shared" si="401"/>
        <v/>
      </c>
      <c r="AV571" s="32" t="str">
        <f t="shared" si="402"/>
        <v/>
      </c>
      <c r="AW571" s="32" t="str">
        <f t="shared" si="403"/>
        <v/>
      </c>
      <c r="AX571" s="32" t="str">
        <f t="shared" si="404"/>
        <v/>
      </c>
      <c r="AY571" s="32" t="str">
        <f t="shared" si="405"/>
        <v/>
      </c>
    </row>
    <row r="572" spans="1:51" x14ac:dyDescent="0.25">
      <c r="A572" s="24" t="str">
        <f t="shared" si="363"/>
        <v/>
      </c>
      <c r="B572" s="24" t="str">
        <f t="shared" si="373"/>
        <v/>
      </c>
      <c r="C572" s="32" t="str">
        <f t="shared" si="364"/>
        <v/>
      </c>
      <c r="D572" s="24" t="str">
        <f t="shared" si="365"/>
        <v/>
      </c>
      <c r="E572" s="24" t="str">
        <f t="shared" si="366"/>
        <v/>
      </c>
      <c r="F572" s="32" t="str">
        <f t="shared" si="367"/>
        <v/>
      </c>
      <c r="G572" s="32" t="str">
        <f t="shared" si="368"/>
        <v/>
      </c>
      <c r="H572" s="32" t="str">
        <f t="shared" ca="1" si="369"/>
        <v/>
      </c>
      <c r="I572" s="32" t="str">
        <f t="shared" ca="1" si="374"/>
        <v/>
      </c>
      <c r="J572" s="32" t="str">
        <f t="shared" si="370"/>
        <v/>
      </c>
      <c r="K572" s="32" t="str">
        <f>IF(ISNUMBER(A572),Profile!$V$25+Profile!$V$24*'Ri-Po'!C572,"")</f>
        <v/>
      </c>
      <c r="L572" s="32" t="str">
        <f t="shared" si="375"/>
        <v/>
      </c>
      <c r="M572" s="32" t="str">
        <f t="shared" si="371"/>
        <v/>
      </c>
      <c r="N572" s="32" t="str">
        <f t="shared" si="372"/>
        <v/>
      </c>
      <c r="O572" s="32" t="str">
        <f t="shared" si="388"/>
        <v/>
      </c>
      <c r="P572" s="32" t="str">
        <f t="shared" si="376"/>
        <v/>
      </c>
      <c r="Q572" s="32" t="str">
        <f t="shared" si="377"/>
        <v/>
      </c>
      <c r="R572" s="32" t="str">
        <f t="shared" si="389"/>
        <v/>
      </c>
      <c r="S572" s="24" t="str">
        <f t="shared" si="390"/>
        <v/>
      </c>
      <c r="T572" s="24" t="str">
        <f t="shared" si="391"/>
        <v/>
      </c>
      <c r="U572" s="24" t="str">
        <f t="shared" si="392"/>
        <v/>
      </c>
      <c r="V572" s="24" t="str">
        <f t="shared" si="393"/>
        <v/>
      </c>
      <c r="W572" s="23" t="str">
        <f t="array" ref="W572">IFERROR(SMALL(IF(S$1:S$1000="BEGIN",ROW(S$1:S$1000)),ROW()-3),"")</f>
        <v/>
      </c>
      <c r="X572" s="23" t="str">
        <f t="array" ref="X572">IFERROR(SMALL(IF(T$1:T$1000="END",ROW(T$1:T$1000)),ROW()-3),"")</f>
        <v/>
      </c>
      <c r="Y572" s="33" t="str">
        <f t="array" ref="Y572">IF(ISNUMBER(W572),MAX(IF((B$4:B$1000&lt;=X572)*(B$4:B$1000&gt;=W572),I$4:I$1000, "")),"")</f>
        <v/>
      </c>
      <c r="Z572" s="33" t="str">
        <f t="shared" si="378"/>
        <v/>
      </c>
      <c r="AA572" s="32" t="str">
        <f t="shared" si="379"/>
        <v/>
      </c>
      <c r="AB572" s="32" t="str">
        <f t="shared" si="380"/>
        <v/>
      </c>
      <c r="AC572" s="32" t="str">
        <f t="shared" si="381"/>
        <v/>
      </c>
      <c r="AD572" s="32" t="str">
        <f t="shared" si="382"/>
        <v/>
      </c>
      <c r="AE572" s="34" t="str">
        <f t="shared" si="383"/>
        <v/>
      </c>
      <c r="AF572" s="32" t="str">
        <f t="shared" si="384"/>
        <v/>
      </c>
      <c r="AG572" s="32" t="str">
        <f t="shared" si="385"/>
        <v/>
      </c>
      <c r="AH572" s="32" t="str">
        <f t="shared" si="386"/>
        <v/>
      </c>
      <c r="AI572" s="35" t="str">
        <f t="shared" si="387"/>
        <v/>
      </c>
      <c r="AJ572" s="23" t="str">
        <f t="array" ref="AJ572">IFERROR(SMALL(IF(U$1:U$1000="BEGIN",ROW(U$1:U$1000)),ROW()-3),"")</f>
        <v/>
      </c>
      <c r="AK572" s="23" t="str">
        <f t="array" ref="AK572">IFERROR(SMALL(IF(V$1:V$1000="END",ROW(V$1:V$1000)),ROW()-3),"")</f>
        <v/>
      </c>
      <c r="AL572" s="24" t="str">
        <f t="array" ref="AL572">IF(AK572="","",MATCH(AM572,L:L,0))</f>
        <v/>
      </c>
      <c r="AM572" s="35">
        <f t="array" ref="AM572">MAX(IF((B$4:B$1000&lt;=AK572)*(B$4:B$1000&gt;=AJ572),L$4:L$1000, ""))</f>
        <v>0</v>
      </c>
      <c r="AN572" s="32" t="str">
        <f t="shared" si="394"/>
        <v/>
      </c>
      <c r="AO572" s="32" t="str">
        <f t="shared" si="395"/>
        <v/>
      </c>
      <c r="AP572" s="32" t="str">
        <f t="shared" si="396"/>
        <v/>
      </c>
      <c r="AQ572" s="32" t="str">
        <f t="shared" si="397"/>
        <v/>
      </c>
      <c r="AR572" s="32" t="str">
        <f t="shared" si="398"/>
        <v/>
      </c>
      <c r="AS572" s="32" t="str">
        <f t="shared" si="399"/>
        <v/>
      </c>
      <c r="AT572" s="32" t="str">
        <f t="shared" si="400"/>
        <v/>
      </c>
      <c r="AU572" s="34" t="str">
        <f t="shared" si="401"/>
        <v/>
      </c>
      <c r="AV572" s="32" t="str">
        <f t="shared" si="402"/>
        <v/>
      </c>
      <c r="AW572" s="32" t="str">
        <f t="shared" si="403"/>
        <v/>
      </c>
      <c r="AX572" s="32" t="str">
        <f t="shared" si="404"/>
        <v/>
      </c>
      <c r="AY572" s="32" t="str">
        <f t="shared" si="405"/>
        <v/>
      </c>
    </row>
    <row r="573" spans="1:51" x14ac:dyDescent="0.25">
      <c r="A573" s="24" t="str">
        <f t="shared" si="363"/>
        <v/>
      </c>
      <c r="B573" s="24" t="str">
        <f t="shared" si="373"/>
        <v/>
      </c>
      <c r="C573" s="32" t="str">
        <f t="shared" si="364"/>
        <v/>
      </c>
      <c r="D573" s="24" t="str">
        <f t="shared" si="365"/>
        <v/>
      </c>
      <c r="E573" s="24" t="str">
        <f t="shared" si="366"/>
        <v/>
      </c>
      <c r="F573" s="32" t="str">
        <f t="shared" si="367"/>
        <v/>
      </c>
      <c r="G573" s="32" t="str">
        <f t="shared" si="368"/>
        <v/>
      </c>
      <c r="H573" s="32" t="str">
        <f t="shared" ca="1" si="369"/>
        <v/>
      </c>
      <c r="I573" s="32" t="str">
        <f t="shared" ca="1" si="374"/>
        <v/>
      </c>
      <c r="J573" s="32" t="str">
        <f t="shared" si="370"/>
        <v/>
      </c>
      <c r="K573" s="32" t="str">
        <f>IF(ISNUMBER(A573),Profile!$V$25+Profile!$V$24*'Ri-Po'!C573,"")</f>
        <v/>
      </c>
      <c r="L573" s="32" t="str">
        <f t="shared" si="375"/>
        <v/>
      </c>
      <c r="M573" s="32" t="str">
        <f t="shared" si="371"/>
        <v/>
      </c>
      <c r="N573" s="32" t="str">
        <f t="shared" si="372"/>
        <v/>
      </c>
      <c r="O573" s="32" t="str">
        <f t="shared" si="388"/>
        <v/>
      </c>
      <c r="P573" s="32" t="str">
        <f t="shared" si="376"/>
        <v/>
      </c>
      <c r="Q573" s="32" t="str">
        <f t="shared" si="377"/>
        <v/>
      </c>
      <c r="R573" s="32" t="str">
        <f t="shared" si="389"/>
        <v/>
      </c>
      <c r="S573" s="24" t="str">
        <f t="shared" si="390"/>
        <v/>
      </c>
      <c r="T573" s="24" t="str">
        <f t="shared" si="391"/>
        <v/>
      </c>
      <c r="U573" s="24" t="str">
        <f t="shared" si="392"/>
        <v/>
      </c>
      <c r="V573" s="24" t="str">
        <f t="shared" si="393"/>
        <v/>
      </c>
      <c r="W573" s="23" t="str">
        <f t="array" ref="W573">IFERROR(SMALL(IF(S$1:S$1000="BEGIN",ROW(S$1:S$1000)),ROW()-3),"")</f>
        <v/>
      </c>
      <c r="X573" s="23" t="str">
        <f t="array" ref="X573">IFERROR(SMALL(IF(T$1:T$1000="END",ROW(T$1:T$1000)),ROW()-3),"")</f>
        <v/>
      </c>
      <c r="Y573" s="33" t="str">
        <f t="array" ref="Y573">IF(ISNUMBER(W573),MAX(IF((B$4:B$1000&lt;=X573)*(B$4:B$1000&gt;=W573),I$4:I$1000, "")),"")</f>
        <v/>
      </c>
      <c r="Z573" s="33" t="str">
        <f t="shared" si="378"/>
        <v/>
      </c>
      <c r="AA573" s="32" t="str">
        <f t="shared" si="379"/>
        <v/>
      </c>
      <c r="AB573" s="32" t="str">
        <f t="shared" si="380"/>
        <v/>
      </c>
      <c r="AC573" s="32" t="str">
        <f t="shared" si="381"/>
        <v/>
      </c>
      <c r="AD573" s="32" t="str">
        <f t="shared" si="382"/>
        <v/>
      </c>
      <c r="AE573" s="34" t="str">
        <f t="shared" si="383"/>
        <v/>
      </c>
      <c r="AF573" s="32" t="str">
        <f t="shared" si="384"/>
        <v/>
      </c>
      <c r="AG573" s="32" t="str">
        <f t="shared" si="385"/>
        <v/>
      </c>
      <c r="AH573" s="32" t="str">
        <f t="shared" si="386"/>
        <v/>
      </c>
      <c r="AI573" s="35" t="str">
        <f t="shared" si="387"/>
        <v/>
      </c>
      <c r="AJ573" s="23" t="str">
        <f t="array" ref="AJ573">IFERROR(SMALL(IF(U$1:U$1000="BEGIN",ROW(U$1:U$1000)),ROW()-3),"")</f>
        <v/>
      </c>
      <c r="AK573" s="23" t="str">
        <f t="array" ref="AK573">IFERROR(SMALL(IF(V$1:V$1000="END",ROW(V$1:V$1000)),ROW()-3),"")</f>
        <v/>
      </c>
      <c r="AL573" s="24" t="str">
        <f t="array" ref="AL573">IF(AK573="","",MATCH(AM573,L:L,0))</f>
        <v/>
      </c>
      <c r="AM573" s="35">
        <f t="array" ref="AM573">MAX(IF((B$4:B$1000&lt;=AK573)*(B$4:B$1000&gt;=AJ573),L$4:L$1000, ""))</f>
        <v>0</v>
      </c>
      <c r="AN573" s="32" t="str">
        <f t="shared" si="394"/>
        <v/>
      </c>
      <c r="AO573" s="32" t="str">
        <f t="shared" si="395"/>
        <v/>
      </c>
      <c r="AP573" s="32" t="str">
        <f t="shared" si="396"/>
        <v/>
      </c>
      <c r="AQ573" s="32" t="str">
        <f t="shared" si="397"/>
        <v/>
      </c>
      <c r="AR573" s="32" t="str">
        <f t="shared" si="398"/>
        <v/>
      </c>
      <c r="AS573" s="32" t="str">
        <f t="shared" si="399"/>
        <v/>
      </c>
      <c r="AT573" s="32" t="str">
        <f t="shared" si="400"/>
        <v/>
      </c>
      <c r="AU573" s="34" t="str">
        <f t="shared" si="401"/>
        <v/>
      </c>
      <c r="AV573" s="32" t="str">
        <f t="shared" si="402"/>
        <v/>
      </c>
      <c r="AW573" s="32" t="str">
        <f t="shared" si="403"/>
        <v/>
      </c>
      <c r="AX573" s="32" t="str">
        <f t="shared" si="404"/>
        <v/>
      </c>
      <c r="AY573" s="32" t="str">
        <f t="shared" si="405"/>
        <v/>
      </c>
    </row>
    <row r="574" spans="1:51" x14ac:dyDescent="0.25">
      <c r="A574" s="24" t="str">
        <f t="shared" si="363"/>
        <v/>
      </c>
      <c r="B574" s="24" t="str">
        <f t="shared" si="373"/>
        <v/>
      </c>
      <c r="C574" s="32" t="str">
        <f t="shared" si="364"/>
        <v/>
      </c>
      <c r="D574" s="24" t="str">
        <f t="shared" si="365"/>
        <v/>
      </c>
      <c r="E574" s="24" t="str">
        <f t="shared" si="366"/>
        <v/>
      </c>
      <c r="F574" s="32" t="str">
        <f t="shared" si="367"/>
        <v/>
      </c>
      <c r="G574" s="32" t="str">
        <f t="shared" si="368"/>
        <v/>
      </c>
      <c r="H574" s="32" t="str">
        <f t="shared" ca="1" si="369"/>
        <v/>
      </c>
      <c r="I574" s="32" t="str">
        <f t="shared" ca="1" si="374"/>
        <v/>
      </c>
      <c r="J574" s="32" t="str">
        <f t="shared" si="370"/>
        <v/>
      </c>
      <c r="K574" s="32" t="str">
        <f>IF(ISNUMBER(A574),Profile!$V$25+Profile!$V$24*'Ri-Po'!C574,"")</f>
        <v/>
      </c>
      <c r="L574" s="32" t="str">
        <f t="shared" si="375"/>
        <v/>
      </c>
      <c r="M574" s="32" t="str">
        <f t="shared" si="371"/>
        <v/>
      </c>
      <c r="N574" s="32" t="str">
        <f t="shared" si="372"/>
        <v/>
      </c>
      <c r="O574" s="32" t="str">
        <f t="shared" si="388"/>
        <v/>
      </c>
      <c r="P574" s="32" t="str">
        <f t="shared" si="376"/>
        <v/>
      </c>
      <c r="Q574" s="32" t="str">
        <f t="shared" si="377"/>
        <v/>
      </c>
      <c r="R574" s="32" t="str">
        <f t="shared" si="389"/>
        <v/>
      </c>
      <c r="S574" s="24" t="str">
        <f t="shared" si="390"/>
        <v/>
      </c>
      <c r="T574" s="24" t="str">
        <f t="shared" si="391"/>
        <v/>
      </c>
      <c r="U574" s="24" t="str">
        <f t="shared" si="392"/>
        <v/>
      </c>
      <c r="V574" s="24" t="str">
        <f t="shared" si="393"/>
        <v/>
      </c>
      <c r="W574" s="23" t="str">
        <f t="array" ref="W574">IFERROR(SMALL(IF(S$1:S$1000="BEGIN",ROW(S$1:S$1000)),ROW()-3),"")</f>
        <v/>
      </c>
      <c r="X574" s="23" t="str">
        <f t="array" ref="X574">IFERROR(SMALL(IF(T$1:T$1000="END",ROW(T$1:T$1000)),ROW()-3),"")</f>
        <v/>
      </c>
      <c r="Y574" s="33" t="str">
        <f t="array" ref="Y574">IF(ISNUMBER(W574),MAX(IF((B$4:B$1000&lt;=X574)*(B$4:B$1000&gt;=W574),I$4:I$1000, "")),"")</f>
        <v/>
      </c>
      <c r="Z574" s="33" t="str">
        <f t="shared" si="378"/>
        <v/>
      </c>
      <c r="AA574" s="32" t="str">
        <f t="shared" si="379"/>
        <v/>
      </c>
      <c r="AB574" s="32" t="str">
        <f t="shared" si="380"/>
        <v/>
      </c>
      <c r="AC574" s="32" t="str">
        <f t="shared" si="381"/>
        <v/>
      </c>
      <c r="AD574" s="32" t="str">
        <f t="shared" si="382"/>
        <v/>
      </c>
      <c r="AE574" s="34" t="str">
        <f t="shared" si="383"/>
        <v/>
      </c>
      <c r="AF574" s="32" t="str">
        <f t="shared" si="384"/>
        <v/>
      </c>
      <c r="AG574" s="32" t="str">
        <f t="shared" si="385"/>
        <v/>
      </c>
      <c r="AH574" s="32" t="str">
        <f t="shared" si="386"/>
        <v/>
      </c>
      <c r="AI574" s="35" t="str">
        <f t="shared" si="387"/>
        <v/>
      </c>
      <c r="AJ574" s="23" t="str">
        <f t="array" ref="AJ574">IFERROR(SMALL(IF(U$1:U$1000="BEGIN",ROW(U$1:U$1000)),ROW()-3),"")</f>
        <v/>
      </c>
      <c r="AK574" s="23" t="str">
        <f t="array" ref="AK574">IFERROR(SMALL(IF(V$1:V$1000="END",ROW(V$1:V$1000)),ROW()-3),"")</f>
        <v/>
      </c>
      <c r="AL574" s="24" t="str">
        <f t="array" ref="AL574">IF(AK574="","",MATCH(AM574,L:L,0))</f>
        <v/>
      </c>
      <c r="AM574" s="35">
        <f t="array" ref="AM574">MAX(IF((B$4:B$1000&lt;=AK574)*(B$4:B$1000&gt;=AJ574),L$4:L$1000, ""))</f>
        <v>0</v>
      </c>
      <c r="AN574" s="32" t="str">
        <f t="shared" si="394"/>
        <v/>
      </c>
      <c r="AO574" s="32" t="str">
        <f t="shared" si="395"/>
        <v/>
      </c>
      <c r="AP574" s="32" t="str">
        <f t="shared" si="396"/>
        <v/>
      </c>
      <c r="AQ574" s="32" t="str">
        <f t="shared" si="397"/>
        <v/>
      </c>
      <c r="AR574" s="32" t="str">
        <f t="shared" si="398"/>
        <v/>
      </c>
      <c r="AS574" s="32" t="str">
        <f t="shared" si="399"/>
        <v/>
      </c>
      <c r="AT574" s="32" t="str">
        <f t="shared" si="400"/>
        <v/>
      </c>
      <c r="AU574" s="34" t="str">
        <f t="shared" si="401"/>
        <v/>
      </c>
      <c r="AV574" s="32" t="str">
        <f t="shared" si="402"/>
        <v/>
      </c>
      <c r="AW574" s="32" t="str">
        <f t="shared" si="403"/>
        <v/>
      </c>
      <c r="AX574" s="32" t="str">
        <f t="shared" si="404"/>
        <v/>
      </c>
      <c r="AY574" s="32" t="str">
        <f t="shared" si="405"/>
        <v/>
      </c>
    </row>
    <row r="575" spans="1:51" x14ac:dyDescent="0.25">
      <c r="A575" s="24" t="str">
        <f t="shared" si="363"/>
        <v/>
      </c>
      <c r="B575" s="24" t="str">
        <f t="shared" si="373"/>
        <v/>
      </c>
      <c r="C575" s="32" t="str">
        <f t="shared" si="364"/>
        <v/>
      </c>
      <c r="D575" s="24" t="str">
        <f t="shared" si="365"/>
        <v/>
      </c>
      <c r="E575" s="24" t="str">
        <f t="shared" si="366"/>
        <v/>
      </c>
      <c r="F575" s="32" t="str">
        <f t="shared" si="367"/>
        <v/>
      </c>
      <c r="G575" s="32" t="str">
        <f t="shared" si="368"/>
        <v/>
      </c>
      <c r="H575" s="32" t="str">
        <f t="shared" ca="1" si="369"/>
        <v/>
      </c>
      <c r="I575" s="32" t="str">
        <f t="shared" ca="1" si="374"/>
        <v/>
      </c>
      <c r="J575" s="32" t="str">
        <f t="shared" si="370"/>
        <v/>
      </c>
      <c r="K575" s="32" t="str">
        <f>IF(ISNUMBER(A575),Profile!$V$25+Profile!$V$24*'Ri-Po'!C575,"")</f>
        <v/>
      </c>
      <c r="L575" s="32" t="str">
        <f t="shared" si="375"/>
        <v/>
      </c>
      <c r="M575" s="32" t="str">
        <f t="shared" si="371"/>
        <v/>
      </c>
      <c r="N575" s="32" t="str">
        <f t="shared" si="372"/>
        <v/>
      </c>
      <c r="O575" s="32" t="str">
        <f t="shared" si="388"/>
        <v/>
      </c>
      <c r="P575" s="32" t="str">
        <f t="shared" si="376"/>
        <v/>
      </c>
      <c r="Q575" s="32" t="str">
        <f t="shared" si="377"/>
        <v/>
      </c>
      <c r="R575" s="32" t="str">
        <f t="shared" si="389"/>
        <v/>
      </c>
      <c r="S575" s="24" t="str">
        <f t="shared" si="390"/>
        <v/>
      </c>
      <c r="T575" s="24" t="str">
        <f t="shared" si="391"/>
        <v/>
      </c>
      <c r="U575" s="24" t="str">
        <f t="shared" si="392"/>
        <v/>
      </c>
      <c r="V575" s="24" t="str">
        <f t="shared" si="393"/>
        <v/>
      </c>
      <c r="W575" s="23" t="str">
        <f t="array" ref="W575">IFERROR(SMALL(IF(S$1:S$1000="BEGIN",ROW(S$1:S$1000)),ROW()-3),"")</f>
        <v/>
      </c>
      <c r="X575" s="23" t="str">
        <f t="array" ref="X575">IFERROR(SMALL(IF(T$1:T$1000="END",ROW(T$1:T$1000)),ROW()-3),"")</f>
        <v/>
      </c>
      <c r="Y575" s="33" t="str">
        <f t="array" ref="Y575">IF(ISNUMBER(W575),MAX(IF((B$4:B$1000&lt;=X575)*(B$4:B$1000&gt;=W575),I$4:I$1000, "")),"")</f>
        <v/>
      </c>
      <c r="Z575" s="33" t="str">
        <f t="shared" si="378"/>
        <v/>
      </c>
      <c r="AA575" s="32" t="str">
        <f t="shared" si="379"/>
        <v/>
      </c>
      <c r="AB575" s="32" t="str">
        <f t="shared" si="380"/>
        <v/>
      </c>
      <c r="AC575" s="32" t="str">
        <f t="shared" si="381"/>
        <v/>
      </c>
      <c r="AD575" s="32" t="str">
        <f t="shared" si="382"/>
        <v/>
      </c>
      <c r="AE575" s="34" t="str">
        <f t="shared" si="383"/>
        <v/>
      </c>
      <c r="AF575" s="32" t="str">
        <f t="shared" si="384"/>
        <v/>
      </c>
      <c r="AG575" s="32" t="str">
        <f t="shared" si="385"/>
        <v/>
      </c>
      <c r="AH575" s="32" t="str">
        <f t="shared" si="386"/>
        <v/>
      </c>
      <c r="AI575" s="35" t="str">
        <f t="shared" si="387"/>
        <v/>
      </c>
      <c r="AJ575" s="23" t="str">
        <f t="array" ref="AJ575">IFERROR(SMALL(IF(U$1:U$1000="BEGIN",ROW(U$1:U$1000)),ROW()-3),"")</f>
        <v/>
      </c>
      <c r="AK575" s="23" t="str">
        <f t="array" ref="AK575">IFERROR(SMALL(IF(V$1:V$1000="END",ROW(V$1:V$1000)),ROW()-3),"")</f>
        <v/>
      </c>
      <c r="AL575" s="24" t="str">
        <f t="array" ref="AL575">IF(AK575="","",MATCH(AM575,L:L,0))</f>
        <v/>
      </c>
      <c r="AM575" s="35">
        <f t="array" ref="AM575">MAX(IF((B$4:B$1000&lt;=AK575)*(B$4:B$1000&gt;=AJ575),L$4:L$1000, ""))</f>
        <v>0</v>
      </c>
      <c r="AN575" s="32" t="str">
        <f t="shared" si="394"/>
        <v/>
      </c>
      <c r="AO575" s="32" t="str">
        <f t="shared" si="395"/>
        <v/>
      </c>
      <c r="AP575" s="32" t="str">
        <f t="shared" si="396"/>
        <v/>
      </c>
      <c r="AQ575" s="32" t="str">
        <f t="shared" si="397"/>
        <v/>
      </c>
      <c r="AR575" s="32" t="str">
        <f t="shared" si="398"/>
        <v/>
      </c>
      <c r="AS575" s="32" t="str">
        <f t="shared" si="399"/>
        <v/>
      </c>
      <c r="AT575" s="32" t="str">
        <f t="shared" si="400"/>
        <v/>
      </c>
      <c r="AU575" s="34" t="str">
        <f t="shared" si="401"/>
        <v/>
      </c>
      <c r="AV575" s="32" t="str">
        <f t="shared" si="402"/>
        <v/>
      </c>
      <c r="AW575" s="32" t="str">
        <f t="shared" si="403"/>
        <v/>
      </c>
      <c r="AX575" s="32" t="str">
        <f t="shared" si="404"/>
        <v/>
      </c>
      <c r="AY575" s="32" t="str">
        <f t="shared" si="405"/>
        <v/>
      </c>
    </row>
    <row r="576" spans="1:51" x14ac:dyDescent="0.25">
      <c r="A576" s="24" t="str">
        <f t="shared" si="363"/>
        <v/>
      </c>
      <c r="B576" s="24" t="str">
        <f t="shared" si="373"/>
        <v/>
      </c>
      <c r="C576" s="32" t="str">
        <f t="shared" si="364"/>
        <v/>
      </c>
      <c r="D576" s="24" t="str">
        <f t="shared" si="365"/>
        <v/>
      </c>
      <c r="E576" s="24" t="str">
        <f t="shared" si="366"/>
        <v/>
      </c>
      <c r="F576" s="32" t="str">
        <f t="shared" si="367"/>
        <v/>
      </c>
      <c r="G576" s="32" t="str">
        <f t="shared" si="368"/>
        <v/>
      </c>
      <c r="H576" s="32" t="str">
        <f t="shared" ca="1" si="369"/>
        <v/>
      </c>
      <c r="I576" s="32" t="str">
        <f t="shared" ca="1" si="374"/>
        <v/>
      </c>
      <c r="J576" s="32" t="str">
        <f t="shared" si="370"/>
        <v/>
      </c>
      <c r="K576" s="32" t="str">
        <f>IF(ISNUMBER(A576),Profile!$V$25+Profile!$V$24*'Ri-Po'!C576,"")</f>
        <v/>
      </c>
      <c r="L576" s="32" t="str">
        <f t="shared" si="375"/>
        <v/>
      </c>
      <c r="M576" s="32" t="str">
        <f t="shared" si="371"/>
        <v/>
      </c>
      <c r="N576" s="32" t="str">
        <f t="shared" si="372"/>
        <v/>
      </c>
      <c r="O576" s="32" t="str">
        <f t="shared" si="388"/>
        <v/>
      </c>
      <c r="P576" s="32" t="str">
        <f t="shared" si="376"/>
        <v/>
      </c>
      <c r="Q576" s="32" t="str">
        <f t="shared" si="377"/>
        <v/>
      </c>
      <c r="R576" s="32" t="str">
        <f t="shared" si="389"/>
        <v/>
      </c>
      <c r="S576" s="24" t="str">
        <f t="shared" si="390"/>
        <v/>
      </c>
      <c r="T576" s="24" t="str">
        <f t="shared" si="391"/>
        <v/>
      </c>
      <c r="U576" s="24" t="str">
        <f t="shared" si="392"/>
        <v/>
      </c>
      <c r="V576" s="24" t="str">
        <f t="shared" si="393"/>
        <v/>
      </c>
      <c r="W576" s="23" t="str">
        <f t="array" ref="W576">IFERROR(SMALL(IF(S$1:S$1000="BEGIN",ROW(S$1:S$1000)),ROW()-3),"")</f>
        <v/>
      </c>
      <c r="X576" s="23" t="str">
        <f t="array" ref="X576">IFERROR(SMALL(IF(T$1:T$1000="END",ROW(T$1:T$1000)),ROW()-3),"")</f>
        <v/>
      </c>
      <c r="Y576" s="33" t="str">
        <f t="array" ref="Y576">IF(ISNUMBER(W576),MAX(IF((B$4:B$1000&lt;=X576)*(B$4:B$1000&gt;=W576),I$4:I$1000, "")),"")</f>
        <v/>
      </c>
      <c r="Z576" s="33" t="str">
        <f t="shared" si="378"/>
        <v/>
      </c>
      <c r="AA576" s="32" t="str">
        <f t="shared" si="379"/>
        <v/>
      </c>
      <c r="AB576" s="32" t="str">
        <f t="shared" si="380"/>
        <v/>
      </c>
      <c r="AC576" s="32" t="str">
        <f t="shared" si="381"/>
        <v/>
      </c>
      <c r="AD576" s="32" t="str">
        <f t="shared" si="382"/>
        <v/>
      </c>
      <c r="AE576" s="34" t="str">
        <f t="shared" si="383"/>
        <v/>
      </c>
      <c r="AF576" s="32" t="str">
        <f t="shared" si="384"/>
        <v/>
      </c>
      <c r="AG576" s="32" t="str">
        <f t="shared" si="385"/>
        <v/>
      </c>
      <c r="AH576" s="32" t="str">
        <f t="shared" si="386"/>
        <v/>
      </c>
      <c r="AI576" s="35" t="str">
        <f t="shared" si="387"/>
        <v/>
      </c>
      <c r="AJ576" s="23" t="str">
        <f t="array" ref="AJ576">IFERROR(SMALL(IF(U$1:U$1000="BEGIN",ROW(U$1:U$1000)),ROW()-3),"")</f>
        <v/>
      </c>
      <c r="AK576" s="23" t="str">
        <f t="array" ref="AK576">IFERROR(SMALL(IF(V$1:V$1000="END",ROW(V$1:V$1000)),ROW()-3),"")</f>
        <v/>
      </c>
      <c r="AL576" s="24" t="str">
        <f t="array" ref="AL576">IF(AK576="","",MATCH(AM576,L:L,0))</f>
        <v/>
      </c>
      <c r="AM576" s="35">
        <f t="array" ref="AM576">MAX(IF((B$4:B$1000&lt;=AK576)*(B$4:B$1000&gt;=AJ576),L$4:L$1000, ""))</f>
        <v>0</v>
      </c>
      <c r="AN576" s="32" t="str">
        <f t="shared" si="394"/>
        <v/>
      </c>
      <c r="AO576" s="32" t="str">
        <f t="shared" si="395"/>
        <v/>
      </c>
      <c r="AP576" s="32" t="str">
        <f t="shared" si="396"/>
        <v/>
      </c>
      <c r="AQ576" s="32" t="str">
        <f t="shared" si="397"/>
        <v/>
      </c>
      <c r="AR576" s="32" t="str">
        <f t="shared" si="398"/>
        <v/>
      </c>
      <c r="AS576" s="32" t="str">
        <f t="shared" si="399"/>
        <v/>
      </c>
      <c r="AT576" s="32" t="str">
        <f t="shared" si="400"/>
        <v/>
      </c>
      <c r="AU576" s="34" t="str">
        <f t="shared" si="401"/>
        <v/>
      </c>
      <c r="AV576" s="32" t="str">
        <f t="shared" si="402"/>
        <v/>
      </c>
      <c r="AW576" s="32" t="str">
        <f t="shared" si="403"/>
        <v/>
      </c>
      <c r="AX576" s="32" t="str">
        <f t="shared" si="404"/>
        <v/>
      </c>
      <c r="AY576" s="32" t="str">
        <f t="shared" si="405"/>
        <v/>
      </c>
    </row>
    <row r="577" spans="1:51" x14ac:dyDescent="0.25">
      <c r="A577" s="24" t="str">
        <f t="shared" si="363"/>
        <v/>
      </c>
      <c r="B577" s="24" t="str">
        <f t="shared" si="373"/>
        <v/>
      </c>
      <c r="C577" s="32" t="str">
        <f t="shared" si="364"/>
        <v/>
      </c>
      <c r="D577" s="24" t="str">
        <f t="shared" si="365"/>
        <v/>
      </c>
      <c r="E577" s="24" t="str">
        <f t="shared" si="366"/>
        <v/>
      </c>
      <c r="F577" s="32" t="str">
        <f t="shared" si="367"/>
        <v/>
      </c>
      <c r="G577" s="32" t="str">
        <f t="shared" si="368"/>
        <v/>
      </c>
      <c r="H577" s="32" t="str">
        <f t="shared" ca="1" si="369"/>
        <v/>
      </c>
      <c r="I577" s="32" t="str">
        <f t="shared" ca="1" si="374"/>
        <v/>
      </c>
      <c r="J577" s="32" t="str">
        <f t="shared" si="370"/>
        <v/>
      </c>
      <c r="K577" s="32" t="str">
        <f>IF(ISNUMBER(A577),Profile!$V$25+Profile!$V$24*'Ri-Po'!C577,"")</f>
        <v/>
      </c>
      <c r="L577" s="32" t="str">
        <f t="shared" si="375"/>
        <v/>
      </c>
      <c r="M577" s="32" t="str">
        <f t="shared" si="371"/>
        <v/>
      </c>
      <c r="N577" s="32" t="str">
        <f t="shared" si="372"/>
        <v/>
      </c>
      <c r="O577" s="32" t="str">
        <f t="shared" si="388"/>
        <v/>
      </c>
      <c r="P577" s="32" t="str">
        <f t="shared" si="376"/>
        <v/>
      </c>
      <c r="Q577" s="32" t="str">
        <f t="shared" si="377"/>
        <v/>
      </c>
      <c r="R577" s="32" t="str">
        <f t="shared" si="389"/>
        <v/>
      </c>
      <c r="S577" s="24" t="str">
        <f t="shared" si="390"/>
        <v/>
      </c>
      <c r="T577" s="24" t="str">
        <f t="shared" si="391"/>
        <v/>
      </c>
      <c r="U577" s="24" t="str">
        <f t="shared" si="392"/>
        <v/>
      </c>
      <c r="V577" s="24" t="str">
        <f t="shared" si="393"/>
        <v/>
      </c>
      <c r="W577" s="23" t="str">
        <f t="array" ref="W577">IFERROR(SMALL(IF(S$1:S$1000="BEGIN",ROW(S$1:S$1000)),ROW()-3),"")</f>
        <v/>
      </c>
      <c r="X577" s="23" t="str">
        <f t="array" ref="X577">IFERROR(SMALL(IF(T$1:T$1000="END",ROW(T$1:T$1000)),ROW()-3),"")</f>
        <v/>
      </c>
      <c r="Y577" s="33" t="str">
        <f t="array" ref="Y577">IF(ISNUMBER(W577),MAX(IF((B$4:B$1000&lt;=X577)*(B$4:B$1000&gt;=W577),I$4:I$1000, "")),"")</f>
        <v/>
      </c>
      <c r="Z577" s="33" t="str">
        <f t="shared" si="378"/>
        <v/>
      </c>
      <c r="AA577" s="32" t="str">
        <f t="shared" si="379"/>
        <v/>
      </c>
      <c r="AB577" s="32" t="str">
        <f t="shared" si="380"/>
        <v/>
      </c>
      <c r="AC577" s="32" t="str">
        <f t="shared" si="381"/>
        <v/>
      </c>
      <c r="AD577" s="32" t="str">
        <f t="shared" si="382"/>
        <v/>
      </c>
      <c r="AE577" s="34" t="str">
        <f t="shared" si="383"/>
        <v/>
      </c>
      <c r="AF577" s="32" t="str">
        <f t="shared" si="384"/>
        <v/>
      </c>
      <c r="AG577" s="32" t="str">
        <f t="shared" si="385"/>
        <v/>
      </c>
      <c r="AH577" s="32" t="str">
        <f t="shared" si="386"/>
        <v/>
      </c>
      <c r="AI577" s="35" t="str">
        <f t="shared" si="387"/>
        <v/>
      </c>
      <c r="AJ577" s="23" t="str">
        <f t="array" ref="AJ577">IFERROR(SMALL(IF(U$1:U$1000="BEGIN",ROW(U$1:U$1000)),ROW()-3),"")</f>
        <v/>
      </c>
      <c r="AK577" s="23" t="str">
        <f t="array" ref="AK577">IFERROR(SMALL(IF(V$1:V$1000="END",ROW(V$1:V$1000)),ROW()-3),"")</f>
        <v/>
      </c>
      <c r="AL577" s="24" t="str">
        <f t="array" ref="AL577">IF(AK577="","",MATCH(AM577,L:L,0))</f>
        <v/>
      </c>
      <c r="AM577" s="35">
        <f t="array" ref="AM577">MAX(IF((B$4:B$1000&lt;=AK577)*(B$4:B$1000&gt;=AJ577),L$4:L$1000, ""))</f>
        <v>0</v>
      </c>
      <c r="AN577" s="32" t="str">
        <f t="shared" si="394"/>
        <v/>
      </c>
      <c r="AO577" s="32" t="str">
        <f t="shared" si="395"/>
        <v/>
      </c>
      <c r="AP577" s="32" t="str">
        <f t="shared" si="396"/>
        <v/>
      </c>
      <c r="AQ577" s="32" t="str">
        <f t="shared" si="397"/>
        <v/>
      </c>
      <c r="AR577" s="32" t="str">
        <f t="shared" si="398"/>
        <v/>
      </c>
      <c r="AS577" s="32" t="str">
        <f t="shared" si="399"/>
        <v/>
      </c>
      <c r="AT577" s="32" t="str">
        <f t="shared" si="400"/>
        <v/>
      </c>
      <c r="AU577" s="34" t="str">
        <f t="shared" si="401"/>
        <v/>
      </c>
      <c r="AV577" s="32" t="str">
        <f t="shared" si="402"/>
        <v/>
      </c>
      <c r="AW577" s="32" t="str">
        <f t="shared" si="403"/>
        <v/>
      </c>
      <c r="AX577" s="32" t="str">
        <f t="shared" si="404"/>
        <v/>
      </c>
      <c r="AY577" s="32" t="str">
        <f t="shared" si="405"/>
        <v/>
      </c>
    </row>
    <row r="578" spans="1:51" x14ac:dyDescent="0.25">
      <c r="A578" s="24" t="str">
        <f t="shared" si="363"/>
        <v/>
      </c>
      <c r="B578" s="24" t="str">
        <f t="shared" si="373"/>
        <v/>
      </c>
      <c r="C578" s="32" t="str">
        <f t="shared" si="364"/>
        <v/>
      </c>
      <c r="D578" s="24" t="str">
        <f t="shared" si="365"/>
        <v/>
      </c>
      <c r="E578" s="24" t="str">
        <f t="shared" si="366"/>
        <v/>
      </c>
      <c r="F578" s="32" t="str">
        <f t="shared" si="367"/>
        <v/>
      </c>
      <c r="G578" s="32" t="str">
        <f t="shared" si="368"/>
        <v/>
      </c>
      <c r="H578" s="32" t="str">
        <f t="shared" ca="1" si="369"/>
        <v/>
      </c>
      <c r="I578" s="32" t="str">
        <f t="shared" ca="1" si="374"/>
        <v/>
      </c>
      <c r="J578" s="32" t="str">
        <f t="shared" si="370"/>
        <v/>
      </c>
      <c r="K578" s="32" t="str">
        <f>IF(ISNUMBER(A578),Profile!$V$25+Profile!$V$24*'Ri-Po'!C578,"")</f>
        <v/>
      </c>
      <c r="L578" s="32" t="str">
        <f t="shared" si="375"/>
        <v/>
      </c>
      <c r="M578" s="32" t="str">
        <f t="shared" si="371"/>
        <v/>
      </c>
      <c r="N578" s="32" t="str">
        <f t="shared" si="372"/>
        <v/>
      </c>
      <c r="O578" s="32" t="str">
        <f t="shared" si="388"/>
        <v/>
      </c>
      <c r="P578" s="32" t="str">
        <f t="shared" si="376"/>
        <v/>
      </c>
      <c r="Q578" s="32" t="str">
        <f t="shared" si="377"/>
        <v/>
      </c>
      <c r="R578" s="32" t="str">
        <f t="shared" si="389"/>
        <v/>
      </c>
      <c r="S578" s="24" t="str">
        <f t="shared" si="390"/>
        <v/>
      </c>
      <c r="T578" s="24" t="str">
        <f t="shared" si="391"/>
        <v/>
      </c>
      <c r="U578" s="24" t="str">
        <f t="shared" si="392"/>
        <v/>
      </c>
      <c r="V578" s="24" t="str">
        <f t="shared" si="393"/>
        <v/>
      </c>
      <c r="W578" s="23" t="str">
        <f t="array" ref="W578">IFERROR(SMALL(IF(S$1:S$1000="BEGIN",ROW(S$1:S$1000)),ROW()-3),"")</f>
        <v/>
      </c>
      <c r="X578" s="23" t="str">
        <f t="array" ref="X578">IFERROR(SMALL(IF(T$1:T$1000="END",ROW(T$1:T$1000)),ROW()-3),"")</f>
        <v/>
      </c>
      <c r="Y578" s="33" t="str">
        <f t="array" ref="Y578">IF(ISNUMBER(W578),MAX(IF((B$4:B$1000&lt;=X578)*(B$4:B$1000&gt;=W578),I$4:I$1000, "")),"")</f>
        <v/>
      </c>
      <c r="Z578" s="33" t="str">
        <f t="shared" si="378"/>
        <v/>
      </c>
      <c r="AA578" s="32" t="str">
        <f t="shared" si="379"/>
        <v/>
      </c>
      <c r="AB578" s="32" t="str">
        <f t="shared" si="380"/>
        <v/>
      </c>
      <c r="AC578" s="32" t="str">
        <f t="shared" si="381"/>
        <v/>
      </c>
      <c r="AD578" s="32" t="str">
        <f t="shared" si="382"/>
        <v/>
      </c>
      <c r="AE578" s="34" t="str">
        <f t="shared" si="383"/>
        <v/>
      </c>
      <c r="AF578" s="32" t="str">
        <f t="shared" si="384"/>
        <v/>
      </c>
      <c r="AG578" s="32" t="str">
        <f t="shared" si="385"/>
        <v/>
      </c>
      <c r="AH578" s="32" t="str">
        <f t="shared" si="386"/>
        <v/>
      </c>
      <c r="AI578" s="35" t="str">
        <f t="shared" si="387"/>
        <v/>
      </c>
      <c r="AJ578" s="23" t="str">
        <f t="array" ref="AJ578">IFERROR(SMALL(IF(U$1:U$1000="BEGIN",ROW(U$1:U$1000)),ROW()-3),"")</f>
        <v/>
      </c>
      <c r="AK578" s="23" t="str">
        <f t="array" ref="AK578">IFERROR(SMALL(IF(V$1:V$1000="END",ROW(V$1:V$1000)),ROW()-3),"")</f>
        <v/>
      </c>
      <c r="AL578" s="24" t="str">
        <f t="array" ref="AL578">IF(AK578="","",MATCH(AM578,L:L,0))</f>
        <v/>
      </c>
      <c r="AM578" s="35">
        <f t="array" ref="AM578">MAX(IF((B$4:B$1000&lt;=AK578)*(B$4:B$1000&gt;=AJ578),L$4:L$1000, ""))</f>
        <v>0</v>
      </c>
      <c r="AN578" s="32" t="str">
        <f t="shared" si="394"/>
        <v/>
      </c>
      <c r="AO578" s="32" t="str">
        <f t="shared" si="395"/>
        <v/>
      </c>
      <c r="AP578" s="32" t="str">
        <f t="shared" si="396"/>
        <v/>
      </c>
      <c r="AQ578" s="32" t="str">
        <f t="shared" si="397"/>
        <v/>
      </c>
      <c r="AR578" s="32" t="str">
        <f t="shared" si="398"/>
        <v/>
      </c>
      <c r="AS578" s="32" t="str">
        <f t="shared" si="399"/>
        <v/>
      </c>
      <c r="AT578" s="32" t="str">
        <f t="shared" si="400"/>
        <v/>
      </c>
      <c r="AU578" s="34" t="str">
        <f t="shared" si="401"/>
        <v/>
      </c>
      <c r="AV578" s="32" t="str">
        <f t="shared" si="402"/>
        <v/>
      </c>
      <c r="AW578" s="32" t="str">
        <f t="shared" si="403"/>
        <v/>
      </c>
      <c r="AX578" s="32" t="str">
        <f t="shared" si="404"/>
        <v/>
      </c>
      <c r="AY578" s="32" t="str">
        <f t="shared" si="405"/>
        <v/>
      </c>
    </row>
    <row r="579" spans="1:51" x14ac:dyDescent="0.25">
      <c r="A579" s="24" t="str">
        <f t="shared" si="363"/>
        <v/>
      </c>
      <c r="B579" s="24" t="str">
        <f t="shared" si="373"/>
        <v/>
      </c>
      <c r="C579" s="32" t="str">
        <f t="shared" si="364"/>
        <v/>
      </c>
      <c r="D579" s="24" t="str">
        <f t="shared" si="365"/>
        <v/>
      </c>
      <c r="E579" s="24" t="str">
        <f t="shared" si="366"/>
        <v/>
      </c>
      <c r="F579" s="32" t="str">
        <f t="shared" si="367"/>
        <v/>
      </c>
      <c r="G579" s="32" t="str">
        <f t="shared" si="368"/>
        <v/>
      </c>
      <c r="H579" s="32" t="str">
        <f t="shared" ca="1" si="369"/>
        <v/>
      </c>
      <c r="I579" s="32" t="str">
        <f t="shared" ca="1" si="374"/>
        <v/>
      </c>
      <c r="J579" s="32" t="str">
        <f t="shared" si="370"/>
        <v/>
      </c>
      <c r="K579" s="32" t="str">
        <f>IF(ISNUMBER(A579),Profile!$V$25+Profile!$V$24*'Ri-Po'!C579,"")</f>
        <v/>
      </c>
      <c r="L579" s="32" t="str">
        <f t="shared" si="375"/>
        <v/>
      </c>
      <c r="M579" s="32" t="str">
        <f t="shared" si="371"/>
        <v/>
      </c>
      <c r="N579" s="32" t="str">
        <f t="shared" si="372"/>
        <v/>
      </c>
      <c r="O579" s="32" t="str">
        <f t="shared" si="388"/>
        <v/>
      </c>
      <c r="P579" s="32" t="str">
        <f t="shared" si="376"/>
        <v/>
      </c>
      <c r="Q579" s="32" t="str">
        <f t="shared" si="377"/>
        <v/>
      </c>
      <c r="R579" s="32" t="str">
        <f t="shared" si="389"/>
        <v/>
      </c>
      <c r="S579" s="24" t="str">
        <f t="shared" si="390"/>
        <v/>
      </c>
      <c r="T579" s="24" t="str">
        <f t="shared" si="391"/>
        <v/>
      </c>
      <c r="U579" s="24" t="str">
        <f t="shared" si="392"/>
        <v/>
      </c>
      <c r="V579" s="24" t="str">
        <f t="shared" si="393"/>
        <v/>
      </c>
      <c r="W579" s="23" t="str">
        <f t="array" ref="W579">IFERROR(SMALL(IF(S$1:S$1000="BEGIN",ROW(S$1:S$1000)),ROW()-3),"")</f>
        <v/>
      </c>
      <c r="X579" s="23" t="str">
        <f t="array" ref="X579">IFERROR(SMALL(IF(T$1:T$1000="END",ROW(T$1:T$1000)),ROW()-3),"")</f>
        <v/>
      </c>
      <c r="Y579" s="33" t="str">
        <f t="array" ref="Y579">IF(ISNUMBER(W579),MAX(IF((B$4:B$1000&lt;=X579)*(B$4:B$1000&gt;=W579),I$4:I$1000, "")),"")</f>
        <v/>
      </c>
      <c r="Z579" s="33" t="str">
        <f t="shared" si="378"/>
        <v/>
      </c>
      <c r="AA579" s="32" t="str">
        <f t="shared" si="379"/>
        <v/>
      </c>
      <c r="AB579" s="32" t="str">
        <f t="shared" si="380"/>
        <v/>
      </c>
      <c r="AC579" s="32" t="str">
        <f t="shared" si="381"/>
        <v/>
      </c>
      <c r="AD579" s="32" t="str">
        <f t="shared" si="382"/>
        <v/>
      </c>
      <c r="AE579" s="34" t="str">
        <f t="shared" si="383"/>
        <v/>
      </c>
      <c r="AF579" s="32" t="str">
        <f t="shared" si="384"/>
        <v/>
      </c>
      <c r="AG579" s="32" t="str">
        <f t="shared" si="385"/>
        <v/>
      </c>
      <c r="AH579" s="32" t="str">
        <f t="shared" si="386"/>
        <v/>
      </c>
      <c r="AI579" s="35" t="str">
        <f t="shared" si="387"/>
        <v/>
      </c>
      <c r="AJ579" s="23" t="str">
        <f t="array" ref="AJ579">IFERROR(SMALL(IF(U$1:U$1000="BEGIN",ROW(U$1:U$1000)),ROW()-3),"")</f>
        <v/>
      </c>
      <c r="AK579" s="23" t="str">
        <f t="array" ref="AK579">IFERROR(SMALL(IF(V$1:V$1000="END",ROW(V$1:V$1000)),ROW()-3),"")</f>
        <v/>
      </c>
      <c r="AL579" s="24" t="str">
        <f t="array" ref="AL579">IF(AK579="","",MATCH(AM579,L:L,0))</f>
        <v/>
      </c>
      <c r="AM579" s="35">
        <f t="array" ref="AM579">MAX(IF((B$4:B$1000&lt;=AK579)*(B$4:B$1000&gt;=AJ579),L$4:L$1000, ""))</f>
        <v>0</v>
      </c>
      <c r="AN579" s="32" t="str">
        <f t="shared" si="394"/>
        <v/>
      </c>
      <c r="AO579" s="32" t="str">
        <f t="shared" si="395"/>
        <v/>
      </c>
      <c r="AP579" s="32" t="str">
        <f t="shared" si="396"/>
        <v/>
      </c>
      <c r="AQ579" s="32" t="str">
        <f t="shared" si="397"/>
        <v/>
      </c>
      <c r="AR579" s="32" t="str">
        <f t="shared" si="398"/>
        <v/>
      </c>
      <c r="AS579" s="32" t="str">
        <f t="shared" si="399"/>
        <v/>
      </c>
      <c r="AT579" s="32" t="str">
        <f t="shared" si="400"/>
        <v/>
      </c>
      <c r="AU579" s="34" t="str">
        <f t="shared" si="401"/>
        <v/>
      </c>
      <c r="AV579" s="32" t="str">
        <f t="shared" si="402"/>
        <v/>
      </c>
      <c r="AW579" s="32" t="str">
        <f t="shared" si="403"/>
        <v/>
      </c>
      <c r="AX579" s="32" t="str">
        <f t="shared" si="404"/>
        <v/>
      </c>
      <c r="AY579" s="32" t="str">
        <f t="shared" si="405"/>
        <v/>
      </c>
    </row>
    <row r="580" spans="1:51" x14ac:dyDescent="0.25">
      <c r="A580" s="24" t="str">
        <f t="shared" ref="A580:A643" si="406">IF(NOT(ISBLANK(INDEX(currentNUM,ROW(A577)))),INDEX(currentNUM,ROW(A577)),"")</f>
        <v/>
      </c>
      <c r="B580" s="24" t="str">
        <f t="shared" si="373"/>
        <v/>
      </c>
      <c r="C580" s="32" t="str">
        <f t="shared" ref="C580:C643" si="407">IF(NOT(A580=""),INDEX(currentSTATION,ROW(C577)),"")</f>
        <v/>
      </c>
      <c r="D580" s="24" t="str">
        <f t="shared" ref="D580:D643" si="408">IF(NOT(ISBLANK(INDEX(currentDESC,ROW(D577)))),INDEX(currentDESC,ROW(D577)),"")</f>
        <v/>
      </c>
      <c r="E580" s="24" t="str">
        <f t="shared" ref="E580:E643" si="409">IF(NOT(ISBLANK(INDEX(currentCMORPH,ROW(E577)))),INDEX(currentCMORPH,ROW(E577)),"")</f>
        <v/>
      </c>
      <c r="F580" s="32" t="str">
        <f t="shared" ref="F580:F643" si="410">IF(NOT(ISBLANK(INDEX(currentTHW,ROW(F577)))),INDEX(currentTHW,ROW(F577)),"")</f>
        <v/>
      </c>
      <c r="G580" s="32" t="str">
        <f t="shared" ref="G580:G643" si="411">IF(NOT(ISBLANK(INDEX(currentWS,ROW(G577)))),INDEX(currentWS,ROW(G577)),"")</f>
        <v/>
      </c>
      <c r="H580" s="32" t="str">
        <f t="shared" ref="H580:H643" ca="1" si="412">IF(NOT(OR(ISBLANK(INDEX(currentINTERPWS,ROW(H577))),INDEX(currentINTERPWS,ROW(H577))=0)),INDEX(currentINTERPWS,ROW(H577)),"")</f>
        <v/>
      </c>
      <c r="I580" s="32" t="str">
        <f t="shared" ca="1" si="374"/>
        <v/>
      </c>
      <c r="J580" s="32" t="str">
        <f t="shared" ref="J580:J643" si="413">IF(NOT(ISBLANK(INDEX(currentBKF,ROW(G577)))),INDEX(currentBKF,ROW(G577)),"")</f>
        <v/>
      </c>
      <c r="K580" s="32" t="str">
        <f>IF(ISNUMBER(A580),Profile!$V$25+Profile!$V$24*'Ri-Po'!C580,"")</f>
        <v/>
      </c>
      <c r="L580" s="32" t="str">
        <f t="shared" si="375"/>
        <v/>
      </c>
      <c r="M580" s="32" t="str">
        <f t="shared" ref="M580:M643" si="414">IF(NOT(ISBLANK(INDEX(currentTOB,ROW(H577)))),INDEX(currentTOB,ROW(H577)),"")</f>
        <v/>
      </c>
      <c r="N580" s="32" t="str">
        <f t="shared" ref="N580:N643" si="415">IF(ISNUMBER(A580),INDEX(currentINTTOB,ROW(I577)),"")</f>
        <v/>
      </c>
      <c r="O580" s="32" t="str">
        <f t="shared" si="388"/>
        <v/>
      </c>
      <c r="P580" s="32" t="str">
        <f t="shared" si="376"/>
        <v/>
      </c>
      <c r="Q580" s="32" t="str">
        <f t="shared" si="377"/>
        <v/>
      </c>
      <c r="R580" s="32" t="str">
        <f t="shared" si="389"/>
        <v/>
      </c>
      <c r="S580" s="24" t="str">
        <f t="shared" si="390"/>
        <v/>
      </c>
      <c r="T580" s="24" t="str">
        <f t="shared" si="391"/>
        <v/>
      </c>
      <c r="U580" s="24" t="str">
        <f t="shared" si="392"/>
        <v/>
      </c>
      <c r="V580" s="24" t="str">
        <f t="shared" si="393"/>
        <v/>
      </c>
      <c r="W580" s="23" t="str">
        <f t="array" ref="W580">IFERROR(SMALL(IF(S$1:S$1000="BEGIN",ROW(S$1:S$1000)),ROW()-3),"")</f>
        <v/>
      </c>
      <c r="X580" s="23" t="str">
        <f t="array" ref="X580">IFERROR(SMALL(IF(T$1:T$1000="END",ROW(T$1:T$1000)),ROW()-3),"")</f>
        <v/>
      </c>
      <c r="Y580" s="33" t="str">
        <f t="array" ref="Y580">IF(ISNUMBER(W580),MAX(IF((B$4:B$1000&lt;=X580)*(B$4:B$1000&gt;=W580),I$4:I$1000, "")),"")</f>
        <v/>
      </c>
      <c r="Z580" s="33" t="str">
        <f t="shared" si="378"/>
        <v/>
      </c>
      <c r="AA580" s="32" t="str">
        <f t="shared" si="379"/>
        <v/>
      </c>
      <c r="AB580" s="32" t="str">
        <f t="shared" si="380"/>
        <v/>
      </c>
      <c r="AC580" s="32" t="str">
        <f t="shared" si="381"/>
        <v/>
      </c>
      <c r="AD580" s="32" t="str">
        <f t="shared" si="382"/>
        <v/>
      </c>
      <c r="AE580" s="34" t="str">
        <f t="shared" si="383"/>
        <v/>
      </c>
      <c r="AF580" s="32" t="str">
        <f t="shared" si="384"/>
        <v/>
      </c>
      <c r="AG580" s="32" t="str">
        <f t="shared" si="385"/>
        <v/>
      </c>
      <c r="AH580" s="32" t="str">
        <f t="shared" si="386"/>
        <v/>
      </c>
      <c r="AI580" s="35" t="str">
        <f t="shared" si="387"/>
        <v/>
      </c>
      <c r="AJ580" s="23" t="str">
        <f t="array" ref="AJ580">IFERROR(SMALL(IF(U$1:U$1000="BEGIN",ROW(U$1:U$1000)),ROW()-3),"")</f>
        <v/>
      </c>
      <c r="AK580" s="23" t="str">
        <f t="array" ref="AK580">IFERROR(SMALL(IF(V$1:V$1000="END",ROW(V$1:V$1000)),ROW()-3),"")</f>
        <v/>
      </c>
      <c r="AL580" s="24" t="str">
        <f t="array" ref="AL580">IF(AK580="","",MATCH(AM580,L:L,0))</f>
        <v/>
      </c>
      <c r="AM580" s="35">
        <f t="array" ref="AM580">MAX(IF((B$4:B$1000&lt;=AK580)*(B$4:B$1000&gt;=AJ580),L$4:L$1000, ""))</f>
        <v>0</v>
      </c>
      <c r="AN580" s="32" t="str">
        <f t="shared" si="394"/>
        <v/>
      </c>
      <c r="AO580" s="32" t="str">
        <f t="shared" si="395"/>
        <v/>
      </c>
      <c r="AP580" s="32" t="str">
        <f t="shared" si="396"/>
        <v/>
      </c>
      <c r="AQ580" s="32" t="str">
        <f t="shared" si="397"/>
        <v/>
      </c>
      <c r="AR580" s="32" t="str">
        <f t="shared" si="398"/>
        <v/>
      </c>
      <c r="AS580" s="32" t="str">
        <f t="shared" si="399"/>
        <v/>
      </c>
      <c r="AT580" s="32" t="str">
        <f t="shared" si="400"/>
        <v/>
      </c>
      <c r="AU580" s="34" t="str">
        <f t="shared" si="401"/>
        <v/>
      </c>
      <c r="AV580" s="32" t="str">
        <f t="shared" si="402"/>
        <v/>
      </c>
      <c r="AW580" s="32" t="str">
        <f t="shared" si="403"/>
        <v/>
      </c>
      <c r="AX580" s="32" t="str">
        <f t="shared" si="404"/>
        <v/>
      </c>
      <c r="AY580" s="32" t="str">
        <f t="shared" si="405"/>
        <v/>
      </c>
    </row>
    <row r="581" spans="1:51" x14ac:dyDescent="0.25">
      <c r="A581" s="24" t="str">
        <f t="shared" si="406"/>
        <v/>
      </c>
      <c r="B581" s="24" t="str">
        <f t="shared" ref="B581:B644" si="416">IF(NOT(A581=""),ROW(B581),"")</f>
        <v/>
      </c>
      <c r="C581" s="32" t="str">
        <f t="shared" si="407"/>
        <v/>
      </c>
      <c r="D581" s="24" t="str">
        <f t="shared" si="408"/>
        <v/>
      </c>
      <c r="E581" s="24" t="str">
        <f t="shared" si="409"/>
        <v/>
      </c>
      <c r="F581" s="32" t="str">
        <f t="shared" si="410"/>
        <v/>
      </c>
      <c r="G581" s="32" t="str">
        <f t="shared" si="411"/>
        <v/>
      </c>
      <c r="H581" s="32" t="str">
        <f t="shared" ca="1" si="412"/>
        <v/>
      </c>
      <c r="I581" s="32" t="str">
        <f t="shared" ref="I581:I644" ca="1" si="417">IFERROR(IF(H581-F581&gt;=0,H581-F581,"NEG"),"")</f>
        <v/>
      </c>
      <c r="J581" s="32" t="str">
        <f t="shared" si="413"/>
        <v/>
      </c>
      <c r="K581" s="32" t="str">
        <f>IF(ISNUMBER(A581),Profile!$V$25+Profile!$V$24*'Ri-Po'!C581,"")</f>
        <v/>
      </c>
      <c r="L581" s="32" t="str">
        <f t="shared" ref="L581:L644" si="418">IFERROR(K581-F581,"")</f>
        <v/>
      </c>
      <c r="M581" s="32" t="str">
        <f t="shared" si="414"/>
        <v/>
      </c>
      <c r="N581" s="32" t="str">
        <f t="shared" si="415"/>
        <v/>
      </c>
      <c r="O581" s="32" t="str">
        <f t="shared" si="388"/>
        <v/>
      </c>
      <c r="P581" s="32" t="str">
        <f t="shared" ref="P581:P644" si="419">IF(ISNUMBER(A581),K581-F581,"")</f>
        <v/>
      </c>
      <c r="Q581" s="32" t="str">
        <f t="shared" ref="Q581:Q644" si="420">IF(ISNUMBER(A581),N581-F581,"")</f>
        <v/>
      </c>
      <c r="R581" s="32" t="str">
        <f t="shared" si="389"/>
        <v/>
      </c>
      <c r="S581" s="24" t="str">
        <f t="shared" si="390"/>
        <v/>
      </c>
      <c r="T581" s="24" t="str">
        <f t="shared" si="391"/>
        <v/>
      </c>
      <c r="U581" s="24" t="str">
        <f t="shared" si="392"/>
        <v/>
      </c>
      <c r="V581" s="24" t="str">
        <f t="shared" si="393"/>
        <v/>
      </c>
      <c r="W581" s="23" t="str">
        <f t="array" ref="W581">IFERROR(SMALL(IF(S$1:S$1000="BEGIN",ROW(S$1:S$1000)),ROW()-3),"")</f>
        <v/>
      </c>
      <c r="X581" s="23" t="str">
        <f t="array" ref="X581">IFERROR(SMALL(IF(T$1:T$1000="END",ROW(T$1:T$1000)),ROW()-3),"")</f>
        <v/>
      </c>
      <c r="Y581" s="33" t="str">
        <f t="array" ref="Y581">IF(ISNUMBER(W581),MAX(IF((B$4:B$1000&lt;=X581)*(B$4:B$1000&gt;=W581),I$4:I$1000, "")),"")</f>
        <v/>
      </c>
      <c r="Z581" s="33" t="str">
        <f t="shared" ref="Z581:Z644" si="421">IFERROR(INDEX(C:C,W581),"")</f>
        <v/>
      </c>
      <c r="AA581" s="32" t="str">
        <f t="shared" ref="AA581:AA644" si="422">IFERROR(INDEX(C:C,X581),"")</f>
        <v/>
      </c>
      <c r="AB581" s="32" t="str">
        <f t="shared" ref="AB581:AB644" si="423">IFERROR(AA581-Z581,"")</f>
        <v/>
      </c>
      <c r="AC581" s="32" t="str">
        <f t="shared" ref="AC581:AC644" si="424">IFERROR(INDEX(H:H,W581),"")</f>
        <v/>
      </c>
      <c r="AD581" s="32" t="str">
        <f t="shared" ref="AD581:AD644" si="425">IFERROR(INDEX(H:H,X581),"")</f>
        <v/>
      </c>
      <c r="AE581" s="34" t="str">
        <f t="shared" ref="AE581:AE644" si="426">IFERROR((AC581-AD581)/(AB581),"")</f>
        <v/>
      </c>
      <c r="AF581" s="32" t="str">
        <f t="shared" ref="AF581:AF644" si="427">IF(ISNUMBER(Z581),INDEX($Q$1:$Q$1000,W581),"")</f>
        <v/>
      </c>
      <c r="AG581" s="32" t="str">
        <f t="shared" ref="AG581:AG644" si="428">IF(ISNUMBER(Z581),INDEX($P$1:$P$1000,W581),"")</f>
        <v/>
      </c>
      <c r="AH581" s="32" t="str">
        <f t="shared" ref="AH581:AH644" si="429">IF(ISNUMBER(Z581),AF581/AG581,"")</f>
        <v/>
      </c>
      <c r="AI581" s="35" t="str">
        <f t="shared" ref="AI581:AI644" si="430">IFERROR(AE581/BB$19,"")</f>
        <v/>
      </c>
      <c r="AJ581" s="23" t="str">
        <f t="array" ref="AJ581">IFERROR(SMALL(IF(U$1:U$1000="BEGIN",ROW(U$1:U$1000)),ROW()-3),"")</f>
        <v/>
      </c>
      <c r="AK581" s="23" t="str">
        <f t="array" ref="AK581">IFERROR(SMALL(IF(V$1:V$1000="END",ROW(V$1:V$1000)),ROW()-3),"")</f>
        <v/>
      </c>
      <c r="AL581" s="24" t="str">
        <f t="array" ref="AL581">IF(AK581="","",MATCH(AM581,L:L,0))</f>
        <v/>
      </c>
      <c r="AM581" s="35">
        <f t="array" ref="AM581">MAX(IF((B$4:B$1000&lt;=AK581)*(B$4:B$1000&gt;=AJ581),L$4:L$1000, ""))</f>
        <v>0</v>
      </c>
      <c r="AN581" s="32" t="str">
        <f t="shared" si="394"/>
        <v/>
      </c>
      <c r="AO581" s="32" t="str">
        <f t="shared" si="395"/>
        <v/>
      </c>
      <c r="AP581" s="32" t="str">
        <f t="shared" si="396"/>
        <v/>
      </c>
      <c r="AQ581" s="32" t="str">
        <f t="shared" si="397"/>
        <v/>
      </c>
      <c r="AR581" s="32" t="str">
        <f t="shared" si="398"/>
        <v/>
      </c>
      <c r="AS581" s="32" t="str">
        <f t="shared" si="399"/>
        <v/>
      </c>
      <c r="AT581" s="32" t="str">
        <f t="shared" si="400"/>
        <v/>
      </c>
      <c r="AU581" s="34" t="str">
        <f t="shared" si="401"/>
        <v/>
      </c>
      <c r="AV581" s="32" t="str">
        <f t="shared" si="402"/>
        <v/>
      </c>
      <c r="AW581" s="32" t="str">
        <f t="shared" si="403"/>
        <v/>
      </c>
      <c r="AX581" s="32" t="str">
        <f t="shared" si="404"/>
        <v/>
      </c>
      <c r="AY581" s="32" t="str">
        <f t="shared" si="405"/>
        <v/>
      </c>
    </row>
    <row r="582" spans="1:51" x14ac:dyDescent="0.25">
      <c r="A582" s="24" t="str">
        <f t="shared" si="406"/>
        <v/>
      </c>
      <c r="B582" s="24" t="str">
        <f t="shared" si="416"/>
        <v/>
      </c>
      <c r="C582" s="32" t="str">
        <f t="shared" si="407"/>
        <v/>
      </c>
      <c r="D582" s="24" t="str">
        <f t="shared" si="408"/>
        <v/>
      </c>
      <c r="E582" s="24" t="str">
        <f t="shared" si="409"/>
        <v/>
      </c>
      <c r="F582" s="32" t="str">
        <f t="shared" si="410"/>
        <v/>
      </c>
      <c r="G582" s="32" t="str">
        <f t="shared" si="411"/>
        <v/>
      </c>
      <c r="H582" s="32" t="str">
        <f t="shared" ca="1" si="412"/>
        <v/>
      </c>
      <c r="I582" s="32" t="str">
        <f t="shared" ca="1" si="417"/>
        <v/>
      </c>
      <c r="J582" s="32" t="str">
        <f t="shared" si="413"/>
        <v/>
      </c>
      <c r="K582" s="32" t="str">
        <f>IF(ISNUMBER(A582),Profile!$V$25+Profile!$V$24*'Ri-Po'!C582,"")</f>
        <v/>
      </c>
      <c r="L582" s="32" t="str">
        <f t="shared" si="418"/>
        <v/>
      </c>
      <c r="M582" s="32" t="str">
        <f t="shared" si="414"/>
        <v/>
      </c>
      <c r="N582" s="32" t="str">
        <f t="shared" si="415"/>
        <v/>
      </c>
      <c r="O582" s="32" t="str">
        <f t="shared" ref="O582:O645" si="431">IF(AND(ISNUMBER(G582),ISNUMBER(J582)),J582-G582,"")</f>
        <v/>
      </c>
      <c r="P582" s="32" t="str">
        <f t="shared" si="419"/>
        <v/>
      </c>
      <c r="Q582" s="32" t="str">
        <f t="shared" si="420"/>
        <v/>
      </c>
      <c r="R582" s="32" t="str">
        <f t="shared" ref="R582:R645" si="432">IF(ISNUMBER(Q582),Q582/P582,"")</f>
        <v/>
      </c>
      <c r="S582" s="24" t="str">
        <f t="shared" ref="S582:S645" si="433">IF(ISNUMBER(SEARCH("bri",E582)),"BEGIN","")</f>
        <v/>
      </c>
      <c r="T582" s="24" t="str">
        <f t="shared" ref="T582:T645" si="434">IF(ISNUMBER(SEARCH("eri",E582)),"END","")</f>
        <v/>
      </c>
      <c r="U582" s="24" t="str">
        <f t="shared" ref="U582:U645" si="435">IF(ISNUMBER(SEARCH("bpo",E582)),"BEGIN","")</f>
        <v/>
      </c>
      <c r="V582" s="24" t="str">
        <f t="shared" ref="V582:V645" si="436">IF(ISNUMBER(SEARCH("epo",E582)),"END","")</f>
        <v/>
      </c>
      <c r="W582" s="23" t="str">
        <f t="array" ref="W582">IFERROR(SMALL(IF(S$1:S$1000="BEGIN",ROW(S$1:S$1000)),ROW()-3),"")</f>
        <v/>
      </c>
      <c r="X582" s="23" t="str">
        <f t="array" ref="X582">IFERROR(SMALL(IF(T$1:T$1000="END",ROW(T$1:T$1000)),ROW()-3),"")</f>
        <v/>
      </c>
      <c r="Y582" s="33" t="str">
        <f t="array" ref="Y582">IF(ISNUMBER(W582),MAX(IF((B$4:B$1000&lt;=X582)*(B$4:B$1000&gt;=W582),I$4:I$1000, "")),"")</f>
        <v/>
      </c>
      <c r="Z582" s="33" t="str">
        <f t="shared" si="421"/>
        <v/>
      </c>
      <c r="AA582" s="32" t="str">
        <f t="shared" si="422"/>
        <v/>
      </c>
      <c r="AB582" s="32" t="str">
        <f t="shared" si="423"/>
        <v/>
      </c>
      <c r="AC582" s="32" t="str">
        <f t="shared" si="424"/>
        <v/>
      </c>
      <c r="AD582" s="32" t="str">
        <f t="shared" si="425"/>
        <v/>
      </c>
      <c r="AE582" s="34" t="str">
        <f t="shared" si="426"/>
        <v/>
      </c>
      <c r="AF582" s="32" t="str">
        <f t="shared" si="427"/>
        <v/>
      </c>
      <c r="AG582" s="32" t="str">
        <f t="shared" si="428"/>
        <v/>
      </c>
      <c r="AH582" s="32" t="str">
        <f t="shared" si="429"/>
        <v/>
      </c>
      <c r="AI582" s="35" t="str">
        <f t="shared" si="430"/>
        <v/>
      </c>
      <c r="AJ582" s="23" t="str">
        <f t="array" ref="AJ582">IFERROR(SMALL(IF(U$1:U$1000="BEGIN",ROW(U$1:U$1000)),ROW()-3),"")</f>
        <v/>
      </c>
      <c r="AK582" s="23" t="str">
        <f t="array" ref="AK582">IFERROR(SMALL(IF(V$1:V$1000="END",ROW(V$1:V$1000)),ROW()-3),"")</f>
        <v/>
      </c>
      <c r="AL582" s="24" t="str">
        <f t="array" ref="AL582">IF(AK582="","",MATCH(AM582,L:L,0))</f>
        <v/>
      </c>
      <c r="AM582" s="35">
        <f t="array" ref="AM582">MAX(IF((B$4:B$1000&lt;=AK582)*(B$4:B$1000&gt;=AJ582),L$4:L$1000, ""))</f>
        <v>0</v>
      </c>
      <c r="AN582" s="32" t="str">
        <f t="shared" si="394"/>
        <v/>
      </c>
      <c r="AO582" s="32" t="str">
        <f t="shared" si="395"/>
        <v/>
      </c>
      <c r="AP582" s="32" t="str">
        <f t="shared" si="396"/>
        <v/>
      </c>
      <c r="AQ582" s="32" t="str">
        <f t="shared" si="397"/>
        <v/>
      </c>
      <c r="AR582" s="32" t="str">
        <f t="shared" si="398"/>
        <v/>
      </c>
      <c r="AS582" s="32" t="str">
        <f t="shared" si="399"/>
        <v/>
      </c>
      <c r="AT582" s="32" t="str">
        <f t="shared" si="400"/>
        <v/>
      </c>
      <c r="AU582" s="34" t="str">
        <f t="shared" si="401"/>
        <v/>
      </c>
      <c r="AV582" s="32" t="str">
        <f t="shared" si="402"/>
        <v/>
      </c>
      <c r="AW582" s="32" t="str">
        <f t="shared" si="403"/>
        <v/>
      </c>
      <c r="AX582" s="32" t="str">
        <f t="shared" si="404"/>
        <v/>
      </c>
      <c r="AY582" s="32" t="str">
        <f t="shared" si="405"/>
        <v/>
      </c>
    </row>
    <row r="583" spans="1:51" x14ac:dyDescent="0.25">
      <c r="A583" s="24" t="str">
        <f t="shared" si="406"/>
        <v/>
      </c>
      <c r="B583" s="24" t="str">
        <f t="shared" si="416"/>
        <v/>
      </c>
      <c r="C583" s="32" t="str">
        <f t="shared" si="407"/>
        <v/>
      </c>
      <c r="D583" s="24" t="str">
        <f t="shared" si="408"/>
        <v/>
      </c>
      <c r="E583" s="24" t="str">
        <f t="shared" si="409"/>
        <v/>
      </c>
      <c r="F583" s="32" t="str">
        <f t="shared" si="410"/>
        <v/>
      </c>
      <c r="G583" s="32" t="str">
        <f t="shared" si="411"/>
        <v/>
      </c>
      <c r="H583" s="32" t="str">
        <f t="shared" ca="1" si="412"/>
        <v/>
      </c>
      <c r="I583" s="32" t="str">
        <f t="shared" ca="1" si="417"/>
        <v/>
      </c>
      <c r="J583" s="32" t="str">
        <f t="shared" si="413"/>
        <v/>
      </c>
      <c r="K583" s="32" t="str">
        <f>IF(ISNUMBER(A583),Profile!$V$25+Profile!$V$24*'Ri-Po'!C583,"")</f>
        <v/>
      </c>
      <c r="L583" s="32" t="str">
        <f t="shared" si="418"/>
        <v/>
      </c>
      <c r="M583" s="32" t="str">
        <f t="shared" si="414"/>
        <v/>
      </c>
      <c r="N583" s="32" t="str">
        <f t="shared" si="415"/>
        <v/>
      </c>
      <c r="O583" s="32" t="str">
        <f t="shared" si="431"/>
        <v/>
      </c>
      <c r="P583" s="32" t="str">
        <f t="shared" si="419"/>
        <v/>
      </c>
      <c r="Q583" s="32" t="str">
        <f t="shared" si="420"/>
        <v/>
      </c>
      <c r="R583" s="32" t="str">
        <f t="shared" si="432"/>
        <v/>
      </c>
      <c r="S583" s="24" t="str">
        <f t="shared" si="433"/>
        <v/>
      </c>
      <c r="T583" s="24" t="str">
        <f t="shared" si="434"/>
        <v/>
      </c>
      <c r="U583" s="24" t="str">
        <f t="shared" si="435"/>
        <v/>
      </c>
      <c r="V583" s="24" t="str">
        <f t="shared" si="436"/>
        <v/>
      </c>
      <c r="W583" s="23" t="str">
        <f t="array" ref="W583">IFERROR(SMALL(IF(S$1:S$1000="BEGIN",ROW(S$1:S$1000)),ROW()-3),"")</f>
        <v/>
      </c>
      <c r="X583" s="23" t="str">
        <f t="array" ref="X583">IFERROR(SMALL(IF(T$1:T$1000="END",ROW(T$1:T$1000)),ROW()-3),"")</f>
        <v/>
      </c>
      <c r="Y583" s="33" t="str">
        <f t="array" ref="Y583">IF(ISNUMBER(W583),MAX(IF((B$4:B$1000&lt;=X583)*(B$4:B$1000&gt;=W583),I$4:I$1000, "")),"")</f>
        <v/>
      </c>
      <c r="Z583" s="33" t="str">
        <f t="shared" si="421"/>
        <v/>
      </c>
      <c r="AA583" s="32" t="str">
        <f t="shared" si="422"/>
        <v/>
      </c>
      <c r="AB583" s="32" t="str">
        <f t="shared" si="423"/>
        <v/>
      </c>
      <c r="AC583" s="32" t="str">
        <f t="shared" si="424"/>
        <v/>
      </c>
      <c r="AD583" s="32" t="str">
        <f t="shared" si="425"/>
        <v/>
      </c>
      <c r="AE583" s="34" t="str">
        <f t="shared" si="426"/>
        <v/>
      </c>
      <c r="AF583" s="32" t="str">
        <f t="shared" si="427"/>
        <v/>
      </c>
      <c r="AG583" s="32" t="str">
        <f t="shared" si="428"/>
        <v/>
      </c>
      <c r="AH583" s="32" t="str">
        <f t="shared" si="429"/>
        <v/>
      </c>
      <c r="AI583" s="35" t="str">
        <f t="shared" si="430"/>
        <v/>
      </c>
      <c r="AJ583" s="23" t="str">
        <f t="array" ref="AJ583">IFERROR(SMALL(IF(U$1:U$1000="BEGIN",ROW(U$1:U$1000)),ROW()-3),"")</f>
        <v/>
      </c>
      <c r="AK583" s="23" t="str">
        <f t="array" ref="AK583">IFERROR(SMALL(IF(V$1:V$1000="END",ROW(V$1:V$1000)),ROW()-3),"")</f>
        <v/>
      </c>
      <c r="AL583" s="24" t="str">
        <f t="array" ref="AL583">IF(AK583="","",MATCH(AM583,L:L,0))</f>
        <v/>
      </c>
      <c r="AM583" s="35">
        <f t="array" ref="AM583">MAX(IF((B$4:B$1000&lt;=AK583)*(B$4:B$1000&gt;=AJ583),L$4:L$1000, ""))</f>
        <v>0</v>
      </c>
      <c r="AN583" s="32" t="str">
        <f t="shared" si="394"/>
        <v/>
      </c>
      <c r="AO583" s="32" t="str">
        <f t="shared" si="395"/>
        <v/>
      </c>
      <c r="AP583" s="32" t="str">
        <f t="shared" si="396"/>
        <v/>
      </c>
      <c r="AQ583" s="32" t="str">
        <f t="shared" si="397"/>
        <v/>
      </c>
      <c r="AR583" s="32" t="str">
        <f t="shared" si="398"/>
        <v/>
      </c>
      <c r="AS583" s="32" t="str">
        <f t="shared" si="399"/>
        <v/>
      </c>
      <c r="AT583" s="32" t="str">
        <f t="shared" si="400"/>
        <v/>
      </c>
      <c r="AU583" s="34" t="str">
        <f t="shared" si="401"/>
        <v/>
      </c>
      <c r="AV583" s="32" t="str">
        <f t="shared" si="402"/>
        <v/>
      </c>
      <c r="AW583" s="32" t="str">
        <f t="shared" si="403"/>
        <v/>
      </c>
      <c r="AX583" s="32" t="str">
        <f t="shared" si="404"/>
        <v/>
      </c>
      <c r="AY583" s="32" t="str">
        <f t="shared" si="405"/>
        <v/>
      </c>
    </row>
    <row r="584" spans="1:51" x14ac:dyDescent="0.25">
      <c r="A584" s="24" t="str">
        <f t="shared" si="406"/>
        <v/>
      </c>
      <c r="B584" s="24" t="str">
        <f t="shared" si="416"/>
        <v/>
      </c>
      <c r="C584" s="32" t="str">
        <f t="shared" si="407"/>
        <v/>
      </c>
      <c r="D584" s="24" t="str">
        <f t="shared" si="408"/>
        <v/>
      </c>
      <c r="E584" s="24" t="str">
        <f t="shared" si="409"/>
        <v/>
      </c>
      <c r="F584" s="32" t="str">
        <f t="shared" si="410"/>
        <v/>
      </c>
      <c r="G584" s="32" t="str">
        <f t="shared" si="411"/>
        <v/>
      </c>
      <c r="H584" s="32" t="str">
        <f t="shared" ca="1" si="412"/>
        <v/>
      </c>
      <c r="I584" s="32" t="str">
        <f t="shared" ca="1" si="417"/>
        <v/>
      </c>
      <c r="J584" s="32" t="str">
        <f t="shared" si="413"/>
        <v/>
      </c>
      <c r="K584" s="32" t="str">
        <f>IF(ISNUMBER(A584),Profile!$V$25+Profile!$V$24*'Ri-Po'!C584,"")</f>
        <v/>
      </c>
      <c r="L584" s="32" t="str">
        <f t="shared" si="418"/>
        <v/>
      </c>
      <c r="M584" s="32" t="str">
        <f t="shared" si="414"/>
        <v/>
      </c>
      <c r="N584" s="32" t="str">
        <f t="shared" si="415"/>
        <v/>
      </c>
      <c r="O584" s="32" t="str">
        <f t="shared" si="431"/>
        <v/>
      </c>
      <c r="P584" s="32" t="str">
        <f t="shared" si="419"/>
        <v/>
      </c>
      <c r="Q584" s="32" t="str">
        <f t="shared" si="420"/>
        <v/>
      </c>
      <c r="R584" s="32" t="str">
        <f t="shared" si="432"/>
        <v/>
      </c>
      <c r="S584" s="24" t="str">
        <f t="shared" si="433"/>
        <v/>
      </c>
      <c r="T584" s="24" t="str">
        <f t="shared" si="434"/>
        <v/>
      </c>
      <c r="U584" s="24" t="str">
        <f t="shared" si="435"/>
        <v/>
      </c>
      <c r="V584" s="24" t="str">
        <f t="shared" si="436"/>
        <v/>
      </c>
      <c r="W584" s="23" t="str">
        <f t="array" ref="W584">IFERROR(SMALL(IF(S$1:S$1000="BEGIN",ROW(S$1:S$1000)),ROW()-3),"")</f>
        <v/>
      </c>
      <c r="X584" s="23" t="str">
        <f t="array" ref="X584">IFERROR(SMALL(IF(T$1:T$1000="END",ROW(T$1:T$1000)),ROW()-3),"")</f>
        <v/>
      </c>
      <c r="Y584" s="33" t="str">
        <f t="array" ref="Y584">IF(ISNUMBER(W584),MAX(IF((B$4:B$1000&lt;=X584)*(B$4:B$1000&gt;=W584),I$4:I$1000, "")),"")</f>
        <v/>
      </c>
      <c r="Z584" s="33" t="str">
        <f t="shared" si="421"/>
        <v/>
      </c>
      <c r="AA584" s="32" t="str">
        <f t="shared" si="422"/>
        <v/>
      </c>
      <c r="AB584" s="32" t="str">
        <f t="shared" si="423"/>
        <v/>
      </c>
      <c r="AC584" s="32" t="str">
        <f t="shared" si="424"/>
        <v/>
      </c>
      <c r="AD584" s="32" t="str">
        <f t="shared" si="425"/>
        <v/>
      </c>
      <c r="AE584" s="34" t="str">
        <f t="shared" si="426"/>
        <v/>
      </c>
      <c r="AF584" s="32" t="str">
        <f t="shared" si="427"/>
        <v/>
      </c>
      <c r="AG584" s="32" t="str">
        <f t="shared" si="428"/>
        <v/>
      </c>
      <c r="AH584" s="32" t="str">
        <f t="shared" si="429"/>
        <v/>
      </c>
      <c r="AI584" s="35" t="str">
        <f t="shared" si="430"/>
        <v/>
      </c>
      <c r="AJ584" s="23" t="str">
        <f t="array" ref="AJ584">IFERROR(SMALL(IF(U$1:U$1000="BEGIN",ROW(U$1:U$1000)),ROW()-3),"")</f>
        <v/>
      </c>
      <c r="AK584" s="23" t="str">
        <f t="array" ref="AK584">IFERROR(SMALL(IF(V$1:V$1000="END",ROW(V$1:V$1000)),ROW()-3),"")</f>
        <v/>
      </c>
      <c r="AL584" s="24" t="str">
        <f t="array" ref="AL584">IF(AK584="","",MATCH(AM584,L:L,0))</f>
        <v/>
      </c>
      <c r="AM584" s="35">
        <f t="array" ref="AM584">MAX(IF((B$4:B$1000&lt;=AK584)*(B$4:B$1000&gt;=AJ584),L$4:L$1000, ""))</f>
        <v>0</v>
      </c>
      <c r="AN584" s="32" t="str">
        <f t="shared" si="394"/>
        <v/>
      </c>
      <c r="AO584" s="32" t="str">
        <f t="shared" si="395"/>
        <v/>
      </c>
      <c r="AP584" s="32" t="str">
        <f t="shared" si="396"/>
        <v/>
      </c>
      <c r="AQ584" s="32" t="str">
        <f t="shared" si="397"/>
        <v/>
      </c>
      <c r="AR584" s="32" t="str">
        <f t="shared" si="398"/>
        <v/>
      </c>
      <c r="AS584" s="32" t="str">
        <f t="shared" si="399"/>
        <v/>
      </c>
      <c r="AT584" s="32" t="str">
        <f t="shared" si="400"/>
        <v/>
      </c>
      <c r="AU584" s="34" t="str">
        <f t="shared" si="401"/>
        <v/>
      </c>
      <c r="AV584" s="32" t="str">
        <f t="shared" si="402"/>
        <v/>
      </c>
      <c r="AW584" s="32" t="str">
        <f t="shared" si="403"/>
        <v/>
      </c>
      <c r="AX584" s="32" t="str">
        <f t="shared" si="404"/>
        <v/>
      </c>
      <c r="AY584" s="32" t="str">
        <f t="shared" si="405"/>
        <v/>
      </c>
    </row>
    <row r="585" spans="1:51" x14ac:dyDescent="0.25">
      <c r="A585" s="24" t="str">
        <f t="shared" si="406"/>
        <v/>
      </c>
      <c r="B585" s="24" t="str">
        <f t="shared" si="416"/>
        <v/>
      </c>
      <c r="C585" s="32" t="str">
        <f t="shared" si="407"/>
        <v/>
      </c>
      <c r="D585" s="24" t="str">
        <f t="shared" si="408"/>
        <v/>
      </c>
      <c r="E585" s="24" t="str">
        <f t="shared" si="409"/>
        <v/>
      </c>
      <c r="F585" s="32" t="str">
        <f t="shared" si="410"/>
        <v/>
      </c>
      <c r="G585" s="32" t="str">
        <f t="shared" si="411"/>
        <v/>
      </c>
      <c r="H585" s="32" t="str">
        <f t="shared" ca="1" si="412"/>
        <v/>
      </c>
      <c r="I585" s="32" t="str">
        <f t="shared" ca="1" si="417"/>
        <v/>
      </c>
      <c r="J585" s="32" t="str">
        <f t="shared" si="413"/>
        <v/>
      </c>
      <c r="K585" s="32" t="str">
        <f>IF(ISNUMBER(A585),Profile!$V$25+Profile!$V$24*'Ri-Po'!C585,"")</f>
        <v/>
      </c>
      <c r="L585" s="32" t="str">
        <f t="shared" si="418"/>
        <v/>
      </c>
      <c r="M585" s="32" t="str">
        <f t="shared" si="414"/>
        <v/>
      </c>
      <c r="N585" s="32" t="str">
        <f t="shared" si="415"/>
        <v/>
      </c>
      <c r="O585" s="32" t="str">
        <f t="shared" si="431"/>
        <v/>
      </c>
      <c r="P585" s="32" t="str">
        <f t="shared" si="419"/>
        <v/>
      </c>
      <c r="Q585" s="32" t="str">
        <f t="shared" si="420"/>
        <v/>
      </c>
      <c r="R585" s="32" t="str">
        <f t="shared" si="432"/>
        <v/>
      </c>
      <c r="S585" s="24" t="str">
        <f t="shared" si="433"/>
        <v/>
      </c>
      <c r="T585" s="24" t="str">
        <f t="shared" si="434"/>
        <v/>
      </c>
      <c r="U585" s="24" t="str">
        <f t="shared" si="435"/>
        <v/>
      </c>
      <c r="V585" s="24" t="str">
        <f t="shared" si="436"/>
        <v/>
      </c>
      <c r="W585" s="23" t="str">
        <f t="array" ref="W585">IFERROR(SMALL(IF(S$1:S$1000="BEGIN",ROW(S$1:S$1000)),ROW()-3),"")</f>
        <v/>
      </c>
      <c r="X585" s="23" t="str">
        <f t="array" ref="X585">IFERROR(SMALL(IF(T$1:T$1000="END",ROW(T$1:T$1000)),ROW()-3),"")</f>
        <v/>
      </c>
      <c r="Y585" s="33" t="str">
        <f t="array" ref="Y585">IF(ISNUMBER(W585),MAX(IF((B$4:B$1000&lt;=X585)*(B$4:B$1000&gt;=W585),I$4:I$1000, "")),"")</f>
        <v/>
      </c>
      <c r="Z585" s="33" t="str">
        <f t="shared" si="421"/>
        <v/>
      </c>
      <c r="AA585" s="32" t="str">
        <f t="shared" si="422"/>
        <v/>
      </c>
      <c r="AB585" s="32" t="str">
        <f t="shared" si="423"/>
        <v/>
      </c>
      <c r="AC585" s="32" t="str">
        <f t="shared" si="424"/>
        <v/>
      </c>
      <c r="AD585" s="32" t="str">
        <f t="shared" si="425"/>
        <v/>
      </c>
      <c r="AE585" s="34" t="str">
        <f t="shared" si="426"/>
        <v/>
      </c>
      <c r="AF585" s="32" t="str">
        <f t="shared" si="427"/>
        <v/>
      </c>
      <c r="AG585" s="32" t="str">
        <f t="shared" si="428"/>
        <v/>
      </c>
      <c r="AH585" s="32" t="str">
        <f t="shared" si="429"/>
        <v/>
      </c>
      <c r="AI585" s="35" t="str">
        <f t="shared" si="430"/>
        <v/>
      </c>
      <c r="AJ585" s="23" t="str">
        <f t="array" ref="AJ585">IFERROR(SMALL(IF(U$1:U$1000="BEGIN",ROW(U$1:U$1000)),ROW()-3),"")</f>
        <v/>
      </c>
      <c r="AK585" s="23" t="str">
        <f t="array" ref="AK585">IFERROR(SMALL(IF(V$1:V$1000="END",ROW(V$1:V$1000)),ROW()-3),"")</f>
        <v/>
      </c>
      <c r="AL585" s="24" t="str">
        <f t="array" ref="AL585">IF(AK585="","",MATCH(AM585,L:L,0))</f>
        <v/>
      </c>
      <c r="AM585" s="35">
        <f t="array" ref="AM585">MAX(IF((B$4:B$1000&lt;=AK585)*(B$4:B$1000&gt;=AJ585),L$4:L$1000, ""))</f>
        <v>0</v>
      </c>
      <c r="AN585" s="32" t="str">
        <f t="shared" si="394"/>
        <v/>
      </c>
      <c r="AO585" s="32" t="str">
        <f t="shared" si="395"/>
        <v/>
      </c>
      <c r="AP585" s="32" t="str">
        <f t="shared" si="396"/>
        <v/>
      </c>
      <c r="AQ585" s="32" t="str">
        <f t="shared" si="397"/>
        <v/>
      </c>
      <c r="AR585" s="32" t="str">
        <f t="shared" si="398"/>
        <v/>
      </c>
      <c r="AS585" s="32" t="str">
        <f t="shared" si="399"/>
        <v/>
      </c>
      <c r="AT585" s="32" t="str">
        <f t="shared" si="400"/>
        <v/>
      </c>
      <c r="AU585" s="34" t="str">
        <f t="shared" si="401"/>
        <v/>
      </c>
      <c r="AV585" s="32" t="str">
        <f t="shared" si="402"/>
        <v/>
      </c>
      <c r="AW585" s="32" t="str">
        <f t="shared" si="403"/>
        <v/>
      </c>
      <c r="AX585" s="32" t="str">
        <f t="shared" si="404"/>
        <v/>
      </c>
      <c r="AY585" s="32" t="str">
        <f t="shared" si="405"/>
        <v/>
      </c>
    </row>
    <row r="586" spans="1:51" x14ac:dyDescent="0.25">
      <c r="A586" s="24" t="str">
        <f t="shared" si="406"/>
        <v/>
      </c>
      <c r="B586" s="24" t="str">
        <f t="shared" si="416"/>
        <v/>
      </c>
      <c r="C586" s="32" t="str">
        <f t="shared" si="407"/>
        <v/>
      </c>
      <c r="D586" s="24" t="str">
        <f t="shared" si="408"/>
        <v/>
      </c>
      <c r="E586" s="24" t="str">
        <f t="shared" si="409"/>
        <v/>
      </c>
      <c r="F586" s="32" t="str">
        <f t="shared" si="410"/>
        <v/>
      </c>
      <c r="G586" s="32" t="str">
        <f t="shared" si="411"/>
        <v/>
      </c>
      <c r="H586" s="32" t="str">
        <f t="shared" ca="1" si="412"/>
        <v/>
      </c>
      <c r="I586" s="32" t="str">
        <f t="shared" ca="1" si="417"/>
        <v/>
      </c>
      <c r="J586" s="32" t="str">
        <f t="shared" si="413"/>
        <v/>
      </c>
      <c r="K586" s="32" t="str">
        <f>IF(ISNUMBER(A586),Profile!$V$25+Profile!$V$24*'Ri-Po'!C586,"")</f>
        <v/>
      </c>
      <c r="L586" s="32" t="str">
        <f t="shared" si="418"/>
        <v/>
      </c>
      <c r="M586" s="32" t="str">
        <f t="shared" si="414"/>
        <v/>
      </c>
      <c r="N586" s="32" t="str">
        <f t="shared" si="415"/>
        <v/>
      </c>
      <c r="O586" s="32" t="str">
        <f t="shared" si="431"/>
        <v/>
      </c>
      <c r="P586" s="32" t="str">
        <f t="shared" si="419"/>
        <v/>
      </c>
      <c r="Q586" s="32" t="str">
        <f t="shared" si="420"/>
        <v/>
      </c>
      <c r="R586" s="32" t="str">
        <f t="shared" si="432"/>
        <v/>
      </c>
      <c r="S586" s="24" t="str">
        <f t="shared" si="433"/>
        <v/>
      </c>
      <c r="T586" s="24" t="str">
        <f t="shared" si="434"/>
        <v/>
      </c>
      <c r="U586" s="24" t="str">
        <f t="shared" si="435"/>
        <v/>
      </c>
      <c r="V586" s="24" t="str">
        <f t="shared" si="436"/>
        <v/>
      </c>
      <c r="W586" s="23" t="str">
        <f t="array" ref="W586">IFERROR(SMALL(IF(S$1:S$1000="BEGIN",ROW(S$1:S$1000)),ROW()-3),"")</f>
        <v/>
      </c>
      <c r="X586" s="23" t="str">
        <f t="array" ref="X586">IFERROR(SMALL(IF(T$1:T$1000="END",ROW(T$1:T$1000)),ROW()-3),"")</f>
        <v/>
      </c>
      <c r="Y586" s="33" t="str">
        <f t="array" ref="Y586">IF(ISNUMBER(W586),MAX(IF((B$4:B$1000&lt;=X586)*(B$4:B$1000&gt;=W586),I$4:I$1000, "")),"")</f>
        <v/>
      </c>
      <c r="Z586" s="33" t="str">
        <f t="shared" si="421"/>
        <v/>
      </c>
      <c r="AA586" s="32" t="str">
        <f t="shared" si="422"/>
        <v/>
      </c>
      <c r="AB586" s="32" t="str">
        <f t="shared" si="423"/>
        <v/>
      </c>
      <c r="AC586" s="32" t="str">
        <f t="shared" si="424"/>
        <v/>
      </c>
      <c r="AD586" s="32" t="str">
        <f t="shared" si="425"/>
        <v/>
      </c>
      <c r="AE586" s="34" t="str">
        <f t="shared" si="426"/>
        <v/>
      </c>
      <c r="AF586" s="32" t="str">
        <f t="shared" si="427"/>
        <v/>
      </c>
      <c r="AG586" s="32" t="str">
        <f t="shared" si="428"/>
        <v/>
      </c>
      <c r="AH586" s="32" t="str">
        <f t="shared" si="429"/>
        <v/>
      </c>
      <c r="AI586" s="35" t="str">
        <f t="shared" si="430"/>
        <v/>
      </c>
      <c r="AJ586" s="23" t="str">
        <f t="array" ref="AJ586">IFERROR(SMALL(IF(U$1:U$1000="BEGIN",ROW(U$1:U$1000)),ROW()-3),"")</f>
        <v/>
      </c>
      <c r="AK586" s="23" t="str">
        <f t="array" ref="AK586">IFERROR(SMALL(IF(V$1:V$1000="END",ROW(V$1:V$1000)),ROW()-3),"")</f>
        <v/>
      </c>
      <c r="AL586" s="24" t="str">
        <f t="array" ref="AL586">IF(AK586="","",MATCH(AM586,L:L,0))</f>
        <v/>
      </c>
      <c r="AM586" s="35">
        <f t="array" ref="AM586">MAX(IF((B$4:B$1000&lt;=AK586)*(B$4:B$1000&gt;=AJ586),L$4:L$1000, ""))</f>
        <v>0</v>
      </c>
      <c r="AN586" s="32" t="str">
        <f t="shared" si="394"/>
        <v/>
      </c>
      <c r="AO586" s="32" t="str">
        <f t="shared" si="395"/>
        <v/>
      </c>
      <c r="AP586" s="32" t="str">
        <f t="shared" si="396"/>
        <v/>
      </c>
      <c r="AQ586" s="32" t="str">
        <f t="shared" si="397"/>
        <v/>
      </c>
      <c r="AR586" s="32" t="str">
        <f t="shared" si="398"/>
        <v/>
      </c>
      <c r="AS586" s="32" t="str">
        <f t="shared" si="399"/>
        <v/>
      </c>
      <c r="AT586" s="32" t="str">
        <f t="shared" si="400"/>
        <v/>
      </c>
      <c r="AU586" s="34" t="str">
        <f t="shared" si="401"/>
        <v/>
      </c>
      <c r="AV586" s="32" t="str">
        <f t="shared" si="402"/>
        <v/>
      </c>
      <c r="AW586" s="32" t="str">
        <f t="shared" si="403"/>
        <v/>
      </c>
      <c r="AX586" s="32" t="str">
        <f t="shared" si="404"/>
        <v/>
      </c>
      <c r="AY586" s="32" t="str">
        <f t="shared" si="405"/>
        <v/>
      </c>
    </row>
    <row r="587" spans="1:51" x14ac:dyDescent="0.25">
      <c r="A587" s="24" t="str">
        <f t="shared" si="406"/>
        <v/>
      </c>
      <c r="B587" s="24" t="str">
        <f t="shared" si="416"/>
        <v/>
      </c>
      <c r="C587" s="32" t="str">
        <f t="shared" si="407"/>
        <v/>
      </c>
      <c r="D587" s="24" t="str">
        <f t="shared" si="408"/>
        <v/>
      </c>
      <c r="E587" s="24" t="str">
        <f t="shared" si="409"/>
        <v/>
      </c>
      <c r="F587" s="32" t="str">
        <f t="shared" si="410"/>
        <v/>
      </c>
      <c r="G587" s="32" t="str">
        <f t="shared" si="411"/>
        <v/>
      </c>
      <c r="H587" s="32" t="str">
        <f t="shared" ca="1" si="412"/>
        <v/>
      </c>
      <c r="I587" s="32" t="str">
        <f t="shared" ca="1" si="417"/>
        <v/>
      </c>
      <c r="J587" s="32" t="str">
        <f t="shared" si="413"/>
        <v/>
      </c>
      <c r="K587" s="32" t="str">
        <f>IF(ISNUMBER(A587),Profile!$V$25+Profile!$V$24*'Ri-Po'!C587,"")</f>
        <v/>
      </c>
      <c r="L587" s="32" t="str">
        <f t="shared" si="418"/>
        <v/>
      </c>
      <c r="M587" s="32" t="str">
        <f t="shared" si="414"/>
        <v/>
      </c>
      <c r="N587" s="32" t="str">
        <f t="shared" si="415"/>
        <v/>
      </c>
      <c r="O587" s="32" t="str">
        <f t="shared" si="431"/>
        <v/>
      </c>
      <c r="P587" s="32" t="str">
        <f t="shared" si="419"/>
        <v/>
      </c>
      <c r="Q587" s="32" t="str">
        <f t="shared" si="420"/>
        <v/>
      </c>
      <c r="R587" s="32" t="str">
        <f t="shared" si="432"/>
        <v/>
      </c>
      <c r="S587" s="24" t="str">
        <f t="shared" si="433"/>
        <v/>
      </c>
      <c r="T587" s="24" t="str">
        <f t="shared" si="434"/>
        <v/>
      </c>
      <c r="U587" s="24" t="str">
        <f t="shared" si="435"/>
        <v/>
      </c>
      <c r="V587" s="24" t="str">
        <f t="shared" si="436"/>
        <v/>
      </c>
      <c r="W587" s="23" t="str">
        <f t="array" ref="W587">IFERROR(SMALL(IF(S$1:S$1000="BEGIN",ROW(S$1:S$1000)),ROW()-3),"")</f>
        <v/>
      </c>
      <c r="X587" s="23" t="str">
        <f t="array" ref="X587">IFERROR(SMALL(IF(T$1:T$1000="END",ROW(T$1:T$1000)),ROW()-3),"")</f>
        <v/>
      </c>
      <c r="Y587" s="33" t="str">
        <f t="array" ref="Y587">IF(ISNUMBER(W587),MAX(IF((B$4:B$1000&lt;=X587)*(B$4:B$1000&gt;=W587),I$4:I$1000, "")),"")</f>
        <v/>
      </c>
      <c r="Z587" s="33" t="str">
        <f t="shared" si="421"/>
        <v/>
      </c>
      <c r="AA587" s="32" t="str">
        <f t="shared" si="422"/>
        <v/>
      </c>
      <c r="AB587" s="32" t="str">
        <f t="shared" si="423"/>
        <v/>
      </c>
      <c r="AC587" s="32" t="str">
        <f t="shared" si="424"/>
        <v/>
      </c>
      <c r="AD587" s="32" t="str">
        <f t="shared" si="425"/>
        <v/>
      </c>
      <c r="AE587" s="34" t="str">
        <f t="shared" si="426"/>
        <v/>
      </c>
      <c r="AF587" s="32" t="str">
        <f t="shared" si="427"/>
        <v/>
      </c>
      <c r="AG587" s="32" t="str">
        <f t="shared" si="428"/>
        <v/>
      </c>
      <c r="AH587" s="32" t="str">
        <f t="shared" si="429"/>
        <v/>
      </c>
      <c r="AI587" s="35" t="str">
        <f t="shared" si="430"/>
        <v/>
      </c>
      <c r="AJ587" s="23" t="str">
        <f t="array" ref="AJ587">IFERROR(SMALL(IF(U$1:U$1000="BEGIN",ROW(U$1:U$1000)),ROW()-3),"")</f>
        <v/>
      </c>
      <c r="AK587" s="23" t="str">
        <f t="array" ref="AK587">IFERROR(SMALL(IF(V$1:V$1000="END",ROW(V$1:V$1000)),ROW()-3),"")</f>
        <v/>
      </c>
      <c r="AL587" s="24" t="str">
        <f t="array" ref="AL587">IF(AK587="","",MATCH(AM587,L:L,0))</f>
        <v/>
      </c>
      <c r="AM587" s="35">
        <f t="array" ref="AM587">MAX(IF((B$4:B$1000&lt;=AK587)*(B$4:B$1000&gt;=AJ587),L$4:L$1000, ""))</f>
        <v>0</v>
      </c>
      <c r="AN587" s="32" t="str">
        <f t="shared" si="394"/>
        <v/>
      </c>
      <c r="AO587" s="32" t="str">
        <f t="shared" si="395"/>
        <v/>
      </c>
      <c r="AP587" s="32" t="str">
        <f t="shared" si="396"/>
        <v/>
      </c>
      <c r="AQ587" s="32" t="str">
        <f t="shared" si="397"/>
        <v/>
      </c>
      <c r="AR587" s="32" t="str">
        <f t="shared" si="398"/>
        <v/>
      </c>
      <c r="AS587" s="32" t="str">
        <f t="shared" si="399"/>
        <v/>
      </c>
      <c r="AT587" s="32" t="str">
        <f t="shared" si="400"/>
        <v/>
      </c>
      <c r="AU587" s="34" t="str">
        <f t="shared" si="401"/>
        <v/>
      </c>
      <c r="AV587" s="32" t="str">
        <f t="shared" si="402"/>
        <v/>
      </c>
      <c r="AW587" s="32" t="str">
        <f t="shared" si="403"/>
        <v/>
      </c>
      <c r="AX587" s="32" t="str">
        <f t="shared" si="404"/>
        <v/>
      </c>
      <c r="AY587" s="32" t="str">
        <f t="shared" si="405"/>
        <v/>
      </c>
    </row>
    <row r="588" spans="1:51" x14ac:dyDescent="0.25">
      <c r="A588" s="24" t="str">
        <f t="shared" si="406"/>
        <v/>
      </c>
      <c r="B588" s="24" t="str">
        <f t="shared" si="416"/>
        <v/>
      </c>
      <c r="C588" s="32" t="str">
        <f t="shared" si="407"/>
        <v/>
      </c>
      <c r="D588" s="24" t="str">
        <f t="shared" si="408"/>
        <v/>
      </c>
      <c r="E588" s="24" t="str">
        <f t="shared" si="409"/>
        <v/>
      </c>
      <c r="F588" s="32" t="str">
        <f t="shared" si="410"/>
        <v/>
      </c>
      <c r="G588" s="32" t="str">
        <f t="shared" si="411"/>
        <v/>
      </c>
      <c r="H588" s="32" t="str">
        <f t="shared" ca="1" si="412"/>
        <v/>
      </c>
      <c r="I588" s="32" t="str">
        <f t="shared" ca="1" si="417"/>
        <v/>
      </c>
      <c r="J588" s="32" t="str">
        <f t="shared" si="413"/>
        <v/>
      </c>
      <c r="K588" s="32" t="str">
        <f>IF(ISNUMBER(A588),Profile!$V$25+Profile!$V$24*'Ri-Po'!C588,"")</f>
        <v/>
      </c>
      <c r="L588" s="32" t="str">
        <f t="shared" si="418"/>
        <v/>
      </c>
      <c r="M588" s="32" t="str">
        <f t="shared" si="414"/>
        <v/>
      </c>
      <c r="N588" s="32" t="str">
        <f t="shared" si="415"/>
        <v/>
      </c>
      <c r="O588" s="32" t="str">
        <f t="shared" si="431"/>
        <v/>
      </c>
      <c r="P588" s="32" t="str">
        <f t="shared" si="419"/>
        <v/>
      </c>
      <c r="Q588" s="32" t="str">
        <f t="shared" si="420"/>
        <v/>
      </c>
      <c r="R588" s="32" t="str">
        <f t="shared" si="432"/>
        <v/>
      </c>
      <c r="S588" s="24" t="str">
        <f t="shared" si="433"/>
        <v/>
      </c>
      <c r="T588" s="24" t="str">
        <f t="shared" si="434"/>
        <v/>
      </c>
      <c r="U588" s="24" t="str">
        <f t="shared" si="435"/>
        <v/>
      </c>
      <c r="V588" s="24" t="str">
        <f t="shared" si="436"/>
        <v/>
      </c>
      <c r="W588" s="23" t="str">
        <f t="array" ref="W588">IFERROR(SMALL(IF(S$1:S$1000="BEGIN",ROW(S$1:S$1000)),ROW()-3),"")</f>
        <v/>
      </c>
      <c r="X588" s="23" t="str">
        <f t="array" ref="X588">IFERROR(SMALL(IF(T$1:T$1000="END",ROW(T$1:T$1000)),ROW()-3),"")</f>
        <v/>
      </c>
      <c r="Y588" s="33" t="str">
        <f t="array" ref="Y588">IF(ISNUMBER(W588),MAX(IF((B$4:B$1000&lt;=X588)*(B$4:B$1000&gt;=W588),I$4:I$1000, "")),"")</f>
        <v/>
      </c>
      <c r="Z588" s="33" t="str">
        <f t="shared" si="421"/>
        <v/>
      </c>
      <c r="AA588" s="32" t="str">
        <f t="shared" si="422"/>
        <v/>
      </c>
      <c r="AB588" s="32" t="str">
        <f t="shared" si="423"/>
        <v/>
      </c>
      <c r="AC588" s="32" t="str">
        <f t="shared" si="424"/>
        <v/>
      </c>
      <c r="AD588" s="32" t="str">
        <f t="shared" si="425"/>
        <v/>
      </c>
      <c r="AE588" s="34" t="str">
        <f t="shared" si="426"/>
        <v/>
      </c>
      <c r="AF588" s="32" t="str">
        <f t="shared" si="427"/>
        <v/>
      </c>
      <c r="AG588" s="32" t="str">
        <f t="shared" si="428"/>
        <v/>
      </c>
      <c r="AH588" s="32" t="str">
        <f t="shared" si="429"/>
        <v/>
      </c>
      <c r="AI588" s="35" t="str">
        <f t="shared" si="430"/>
        <v/>
      </c>
      <c r="AJ588" s="23" t="str">
        <f t="array" ref="AJ588">IFERROR(SMALL(IF(U$1:U$1000="BEGIN",ROW(U$1:U$1000)),ROW()-3),"")</f>
        <v/>
      </c>
      <c r="AK588" s="23" t="str">
        <f t="array" ref="AK588">IFERROR(SMALL(IF(V$1:V$1000="END",ROW(V$1:V$1000)),ROW()-3),"")</f>
        <v/>
      </c>
      <c r="AL588" s="24" t="str">
        <f t="array" ref="AL588">IF(AK588="","",MATCH(AM588,L:L,0))</f>
        <v/>
      </c>
      <c r="AM588" s="35">
        <f t="array" ref="AM588">MAX(IF((B$4:B$1000&lt;=AK588)*(B$4:B$1000&gt;=AJ588),L$4:L$1000, ""))</f>
        <v>0</v>
      </c>
      <c r="AN588" s="32" t="str">
        <f t="shared" si="394"/>
        <v/>
      </c>
      <c r="AO588" s="32" t="str">
        <f t="shared" si="395"/>
        <v/>
      </c>
      <c r="AP588" s="32" t="str">
        <f t="shared" si="396"/>
        <v/>
      </c>
      <c r="AQ588" s="32" t="str">
        <f t="shared" si="397"/>
        <v/>
      </c>
      <c r="AR588" s="32" t="str">
        <f t="shared" si="398"/>
        <v/>
      </c>
      <c r="AS588" s="32" t="str">
        <f t="shared" si="399"/>
        <v/>
      </c>
      <c r="AT588" s="32" t="str">
        <f t="shared" si="400"/>
        <v/>
      </c>
      <c r="AU588" s="34" t="str">
        <f t="shared" si="401"/>
        <v/>
      </c>
      <c r="AV588" s="32" t="str">
        <f t="shared" si="402"/>
        <v/>
      </c>
      <c r="AW588" s="32" t="str">
        <f t="shared" si="403"/>
        <v/>
      </c>
      <c r="AX588" s="32" t="str">
        <f t="shared" si="404"/>
        <v/>
      </c>
      <c r="AY588" s="32" t="str">
        <f t="shared" si="405"/>
        <v/>
      </c>
    </row>
    <row r="589" spans="1:51" x14ac:dyDescent="0.25">
      <c r="A589" s="24" t="str">
        <f t="shared" si="406"/>
        <v/>
      </c>
      <c r="B589" s="24" t="str">
        <f t="shared" si="416"/>
        <v/>
      </c>
      <c r="C589" s="32" t="str">
        <f t="shared" si="407"/>
        <v/>
      </c>
      <c r="D589" s="24" t="str">
        <f t="shared" si="408"/>
        <v/>
      </c>
      <c r="E589" s="24" t="str">
        <f t="shared" si="409"/>
        <v/>
      </c>
      <c r="F589" s="32" t="str">
        <f t="shared" si="410"/>
        <v/>
      </c>
      <c r="G589" s="32" t="str">
        <f t="shared" si="411"/>
        <v/>
      </c>
      <c r="H589" s="32" t="str">
        <f t="shared" ca="1" si="412"/>
        <v/>
      </c>
      <c r="I589" s="32" t="str">
        <f t="shared" ca="1" si="417"/>
        <v/>
      </c>
      <c r="J589" s="32" t="str">
        <f t="shared" si="413"/>
        <v/>
      </c>
      <c r="K589" s="32" t="str">
        <f>IF(ISNUMBER(A589),Profile!$V$25+Profile!$V$24*'Ri-Po'!C589,"")</f>
        <v/>
      </c>
      <c r="L589" s="32" t="str">
        <f t="shared" si="418"/>
        <v/>
      </c>
      <c r="M589" s="32" t="str">
        <f t="shared" si="414"/>
        <v/>
      </c>
      <c r="N589" s="32" t="str">
        <f t="shared" si="415"/>
        <v/>
      </c>
      <c r="O589" s="32" t="str">
        <f t="shared" si="431"/>
        <v/>
      </c>
      <c r="P589" s="32" t="str">
        <f t="shared" si="419"/>
        <v/>
      </c>
      <c r="Q589" s="32" t="str">
        <f t="shared" si="420"/>
        <v/>
      </c>
      <c r="R589" s="32" t="str">
        <f t="shared" si="432"/>
        <v/>
      </c>
      <c r="S589" s="24" t="str">
        <f t="shared" si="433"/>
        <v/>
      </c>
      <c r="T589" s="24" t="str">
        <f t="shared" si="434"/>
        <v/>
      </c>
      <c r="U589" s="24" t="str">
        <f t="shared" si="435"/>
        <v/>
      </c>
      <c r="V589" s="24" t="str">
        <f t="shared" si="436"/>
        <v/>
      </c>
      <c r="W589" s="23" t="str">
        <f t="array" ref="W589">IFERROR(SMALL(IF(S$1:S$1000="BEGIN",ROW(S$1:S$1000)),ROW()-3),"")</f>
        <v/>
      </c>
      <c r="X589" s="23" t="str">
        <f t="array" ref="X589">IFERROR(SMALL(IF(T$1:T$1000="END",ROW(T$1:T$1000)),ROW()-3),"")</f>
        <v/>
      </c>
      <c r="Y589" s="33" t="str">
        <f t="array" ref="Y589">IF(ISNUMBER(W589),MAX(IF((B$4:B$1000&lt;=X589)*(B$4:B$1000&gt;=W589),I$4:I$1000, "")),"")</f>
        <v/>
      </c>
      <c r="Z589" s="33" t="str">
        <f t="shared" si="421"/>
        <v/>
      </c>
      <c r="AA589" s="32" t="str">
        <f t="shared" si="422"/>
        <v/>
      </c>
      <c r="AB589" s="32" t="str">
        <f t="shared" si="423"/>
        <v/>
      </c>
      <c r="AC589" s="32" t="str">
        <f t="shared" si="424"/>
        <v/>
      </c>
      <c r="AD589" s="32" t="str">
        <f t="shared" si="425"/>
        <v/>
      </c>
      <c r="AE589" s="34" t="str">
        <f t="shared" si="426"/>
        <v/>
      </c>
      <c r="AF589" s="32" t="str">
        <f t="shared" si="427"/>
        <v/>
      </c>
      <c r="AG589" s="32" t="str">
        <f t="shared" si="428"/>
        <v/>
      </c>
      <c r="AH589" s="32" t="str">
        <f t="shared" si="429"/>
        <v/>
      </c>
      <c r="AI589" s="35" t="str">
        <f t="shared" si="430"/>
        <v/>
      </c>
      <c r="AJ589" s="23" t="str">
        <f t="array" ref="AJ589">IFERROR(SMALL(IF(U$1:U$1000="BEGIN",ROW(U$1:U$1000)),ROW()-3),"")</f>
        <v/>
      </c>
      <c r="AK589" s="23" t="str">
        <f t="array" ref="AK589">IFERROR(SMALL(IF(V$1:V$1000="END",ROW(V$1:V$1000)),ROW()-3),"")</f>
        <v/>
      </c>
      <c r="AL589" s="24" t="str">
        <f t="array" ref="AL589">IF(AK589="","",MATCH(AM589,L:L,0))</f>
        <v/>
      </c>
      <c r="AM589" s="35">
        <f t="array" ref="AM589">MAX(IF((B$4:B$1000&lt;=AK589)*(B$4:B$1000&gt;=AJ589),L$4:L$1000, ""))</f>
        <v>0</v>
      </c>
      <c r="AN589" s="32" t="str">
        <f t="shared" si="394"/>
        <v/>
      </c>
      <c r="AO589" s="32" t="str">
        <f t="shared" si="395"/>
        <v/>
      </c>
      <c r="AP589" s="32" t="str">
        <f t="shared" si="396"/>
        <v/>
      </c>
      <c r="AQ589" s="32" t="str">
        <f t="shared" si="397"/>
        <v/>
      </c>
      <c r="AR589" s="32" t="str">
        <f t="shared" si="398"/>
        <v/>
      </c>
      <c r="AS589" s="32" t="str">
        <f t="shared" si="399"/>
        <v/>
      </c>
      <c r="AT589" s="32" t="str">
        <f t="shared" si="400"/>
        <v/>
      </c>
      <c r="AU589" s="34" t="str">
        <f t="shared" si="401"/>
        <v/>
      </c>
      <c r="AV589" s="32" t="str">
        <f t="shared" si="402"/>
        <v/>
      </c>
      <c r="AW589" s="32" t="str">
        <f t="shared" si="403"/>
        <v/>
      </c>
      <c r="AX589" s="32" t="str">
        <f t="shared" si="404"/>
        <v/>
      </c>
      <c r="AY589" s="32" t="str">
        <f t="shared" si="405"/>
        <v/>
      </c>
    </row>
    <row r="590" spans="1:51" x14ac:dyDescent="0.25">
      <c r="A590" s="24" t="str">
        <f t="shared" si="406"/>
        <v/>
      </c>
      <c r="B590" s="24" t="str">
        <f t="shared" si="416"/>
        <v/>
      </c>
      <c r="C590" s="32" t="str">
        <f t="shared" si="407"/>
        <v/>
      </c>
      <c r="D590" s="24" t="str">
        <f t="shared" si="408"/>
        <v/>
      </c>
      <c r="E590" s="24" t="str">
        <f t="shared" si="409"/>
        <v/>
      </c>
      <c r="F590" s="32" t="str">
        <f t="shared" si="410"/>
        <v/>
      </c>
      <c r="G590" s="32" t="str">
        <f t="shared" si="411"/>
        <v/>
      </c>
      <c r="H590" s="32" t="str">
        <f t="shared" ca="1" si="412"/>
        <v/>
      </c>
      <c r="I590" s="32" t="str">
        <f t="shared" ca="1" si="417"/>
        <v/>
      </c>
      <c r="J590" s="32" t="str">
        <f t="shared" si="413"/>
        <v/>
      </c>
      <c r="K590" s="32" t="str">
        <f>IF(ISNUMBER(A590),Profile!$V$25+Profile!$V$24*'Ri-Po'!C590,"")</f>
        <v/>
      </c>
      <c r="L590" s="32" t="str">
        <f t="shared" si="418"/>
        <v/>
      </c>
      <c r="M590" s="32" t="str">
        <f t="shared" si="414"/>
        <v/>
      </c>
      <c r="N590" s="32" t="str">
        <f t="shared" si="415"/>
        <v/>
      </c>
      <c r="O590" s="32" t="str">
        <f t="shared" si="431"/>
        <v/>
      </c>
      <c r="P590" s="32" t="str">
        <f t="shared" si="419"/>
        <v/>
      </c>
      <c r="Q590" s="32" t="str">
        <f t="shared" si="420"/>
        <v/>
      </c>
      <c r="R590" s="32" t="str">
        <f t="shared" si="432"/>
        <v/>
      </c>
      <c r="S590" s="24" t="str">
        <f t="shared" si="433"/>
        <v/>
      </c>
      <c r="T590" s="24" t="str">
        <f t="shared" si="434"/>
        <v/>
      </c>
      <c r="U590" s="24" t="str">
        <f t="shared" si="435"/>
        <v/>
      </c>
      <c r="V590" s="24" t="str">
        <f t="shared" si="436"/>
        <v/>
      </c>
      <c r="W590" s="23" t="str">
        <f t="array" ref="W590">IFERROR(SMALL(IF(S$1:S$1000="BEGIN",ROW(S$1:S$1000)),ROW()-3),"")</f>
        <v/>
      </c>
      <c r="X590" s="23" t="str">
        <f t="array" ref="X590">IFERROR(SMALL(IF(T$1:T$1000="END",ROW(T$1:T$1000)),ROW()-3),"")</f>
        <v/>
      </c>
      <c r="Y590" s="33" t="str">
        <f t="array" ref="Y590">IF(ISNUMBER(W590),MAX(IF((B$4:B$1000&lt;=X590)*(B$4:B$1000&gt;=W590),I$4:I$1000, "")),"")</f>
        <v/>
      </c>
      <c r="Z590" s="33" t="str">
        <f t="shared" si="421"/>
        <v/>
      </c>
      <c r="AA590" s="32" t="str">
        <f t="shared" si="422"/>
        <v/>
      </c>
      <c r="AB590" s="32" t="str">
        <f t="shared" si="423"/>
        <v/>
      </c>
      <c r="AC590" s="32" t="str">
        <f t="shared" si="424"/>
        <v/>
      </c>
      <c r="AD590" s="32" t="str">
        <f t="shared" si="425"/>
        <v/>
      </c>
      <c r="AE590" s="34" t="str">
        <f t="shared" si="426"/>
        <v/>
      </c>
      <c r="AF590" s="32" t="str">
        <f t="shared" si="427"/>
        <v/>
      </c>
      <c r="AG590" s="32" t="str">
        <f t="shared" si="428"/>
        <v/>
      </c>
      <c r="AH590" s="32" t="str">
        <f t="shared" si="429"/>
        <v/>
      </c>
      <c r="AI590" s="35" t="str">
        <f t="shared" si="430"/>
        <v/>
      </c>
      <c r="AJ590" s="23" t="str">
        <f t="array" ref="AJ590">IFERROR(SMALL(IF(U$1:U$1000="BEGIN",ROW(U$1:U$1000)),ROW()-3),"")</f>
        <v/>
      </c>
      <c r="AK590" s="23" t="str">
        <f t="array" ref="AK590">IFERROR(SMALL(IF(V$1:V$1000="END",ROW(V$1:V$1000)),ROW()-3),"")</f>
        <v/>
      </c>
      <c r="AL590" s="24" t="str">
        <f t="array" ref="AL590">IF(AK590="","",MATCH(AM590,L:L,0))</f>
        <v/>
      </c>
      <c r="AM590" s="35">
        <f t="array" ref="AM590">MAX(IF((B$4:B$1000&lt;=AK590)*(B$4:B$1000&gt;=AJ590),L$4:L$1000, ""))</f>
        <v>0</v>
      </c>
      <c r="AN590" s="32" t="str">
        <f t="shared" si="394"/>
        <v/>
      </c>
      <c r="AO590" s="32" t="str">
        <f t="shared" si="395"/>
        <v/>
      </c>
      <c r="AP590" s="32" t="str">
        <f t="shared" si="396"/>
        <v/>
      </c>
      <c r="AQ590" s="32" t="str">
        <f t="shared" si="397"/>
        <v/>
      </c>
      <c r="AR590" s="32" t="str">
        <f t="shared" si="398"/>
        <v/>
      </c>
      <c r="AS590" s="32" t="str">
        <f t="shared" si="399"/>
        <v/>
      </c>
      <c r="AT590" s="32" t="str">
        <f t="shared" si="400"/>
        <v/>
      </c>
      <c r="AU590" s="34" t="str">
        <f t="shared" si="401"/>
        <v/>
      </c>
      <c r="AV590" s="32" t="str">
        <f t="shared" si="402"/>
        <v/>
      </c>
      <c r="AW590" s="32" t="str">
        <f t="shared" si="403"/>
        <v/>
      </c>
      <c r="AX590" s="32" t="str">
        <f t="shared" si="404"/>
        <v/>
      </c>
      <c r="AY590" s="32" t="str">
        <f t="shared" si="405"/>
        <v/>
      </c>
    </row>
    <row r="591" spans="1:51" x14ac:dyDescent="0.25">
      <c r="A591" s="24" t="str">
        <f t="shared" si="406"/>
        <v/>
      </c>
      <c r="B591" s="24" t="str">
        <f t="shared" si="416"/>
        <v/>
      </c>
      <c r="C591" s="32" t="str">
        <f t="shared" si="407"/>
        <v/>
      </c>
      <c r="D591" s="24" t="str">
        <f t="shared" si="408"/>
        <v/>
      </c>
      <c r="E591" s="24" t="str">
        <f t="shared" si="409"/>
        <v/>
      </c>
      <c r="F591" s="32" t="str">
        <f t="shared" si="410"/>
        <v/>
      </c>
      <c r="G591" s="32" t="str">
        <f t="shared" si="411"/>
        <v/>
      </c>
      <c r="H591" s="32" t="str">
        <f t="shared" ca="1" si="412"/>
        <v/>
      </c>
      <c r="I591" s="32" t="str">
        <f t="shared" ca="1" si="417"/>
        <v/>
      </c>
      <c r="J591" s="32" t="str">
        <f t="shared" si="413"/>
        <v/>
      </c>
      <c r="K591" s="32" t="str">
        <f>IF(ISNUMBER(A591),Profile!$V$25+Profile!$V$24*'Ri-Po'!C591,"")</f>
        <v/>
      </c>
      <c r="L591" s="32" t="str">
        <f t="shared" si="418"/>
        <v/>
      </c>
      <c r="M591" s="32" t="str">
        <f t="shared" si="414"/>
        <v/>
      </c>
      <c r="N591" s="32" t="str">
        <f t="shared" si="415"/>
        <v/>
      </c>
      <c r="O591" s="32" t="str">
        <f t="shared" si="431"/>
        <v/>
      </c>
      <c r="P591" s="32" t="str">
        <f t="shared" si="419"/>
        <v/>
      </c>
      <c r="Q591" s="32" t="str">
        <f t="shared" si="420"/>
        <v/>
      </c>
      <c r="R591" s="32" t="str">
        <f t="shared" si="432"/>
        <v/>
      </c>
      <c r="S591" s="24" t="str">
        <f t="shared" si="433"/>
        <v/>
      </c>
      <c r="T591" s="24" t="str">
        <f t="shared" si="434"/>
        <v/>
      </c>
      <c r="U591" s="24" t="str">
        <f t="shared" si="435"/>
        <v/>
      </c>
      <c r="V591" s="24" t="str">
        <f t="shared" si="436"/>
        <v/>
      </c>
      <c r="W591" s="23" t="str">
        <f t="array" ref="W591">IFERROR(SMALL(IF(S$1:S$1000="BEGIN",ROW(S$1:S$1000)),ROW()-3),"")</f>
        <v/>
      </c>
      <c r="X591" s="23" t="str">
        <f t="array" ref="X591">IFERROR(SMALL(IF(T$1:T$1000="END",ROW(T$1:T$1000)),ROW()-3),"")</f>
        <v/>
      </c>
      <c r="Y591" s="33" t="str">
        <f t="array" ref="Y591">IF(ISNUMBER(W591),MAX(IF((B$4:B$1000&lt;=X591)*(B$4:B$1000&gt;=W591),I$4:I$1000, "")),"")</f>
        <v/>
      </c>
      <c r="Z591" s="33" t="str">
        <f t="shared" si="421"/>
        <v/>
      </c>
      <c r="AA591" s="32" t="str">
        <f t="shared" si="422"/>
        <v/>
      </c>
      <c r="AB591" s="32" t="str">
        <f t="shared" si="423"/>
        <v/>
      </c>
      <c r="AC591" s="32" t="str">
        <f t="shared" si="424"/>
        <v/>
      </c>
      <c r="AD591" s="32" t="str">
        <f t="shared" si="425"/>
        <v/>
      </c>
      <c r="AE591" s="34" t="str">
        <f t="shared" si="426"/>
        <v/>
      </c>
      <c r="AF591" s="32" t="str">
        <f t="shared" si="427"/>
        <v/>
      </c>
      <c r="AG591" s="32" t="str">
        <f t="shared" si="428"/>
        <v/>
      </c>
      <c r="AH591" s="32" t="str">
        <f t="shared" si="429"/>
        <v/>
      </c>
      <c r="AI591" s="35" t="str">
        <f t="shared" si="430"/>
        <v/>
      </c>
      <c r="AJ591" s="23" t="str">
        <f t="array" ref="AJ591">IFERROR(SMALL(IF(U$1:U$1000="BEGIN",ROW(U$1:U$1000)),ROW()-3),"")</f>
        <v/>
      </c>
      <c r="AK591" s="23" t="str">
        <f t="array" ref="AK591">IFERROR(SMALL(IF(V$1:V$1000="END",ROW(V$1:V$1000)),ROW()-3),"")</f>
        <v/>
      </c>
      <c r="AL591" s="24" t="str">
        <f t="array" ref="AL591">IF(AK591="","",MATCH(AM591,L:L,0))</f>
        <v/>
      </c>
      <c r="AM591" s="35">
        <f t="array" ref="AM591">MAX(IF((B$4:B$1000&lt;=AK591)*(B$4:B$1000&gt;=AJ591),L$4:L$1000, ""))</f>
        <v>0</v>
      </c>
      <c r="AN591" s="32" t="str">
        <f t="shared" si="394"/>
        <v/>
      </c>
      <c r="AO591" s="32" t="str">
        <f t="shared" si="395"/>
        <v/>
      </c>
      <c r="AP591" s="32" t="str">
        <f t="shared" si="396"/>
        <v/>
      </c>
      <c r="AQ591" s="32" t="str">
        <f t="shared" si="397"/>
        <v/>
      </c>
      <c r="AR591" s="32" t="str">
        <f t="shared" si="398"/>
        <v/>
      </c>
      <c r="AS591" s="32" t="str">
        <f t="shared" si="399"/>
        <v/>
      </c>
      <c r="AT591" s="32" t="str">
        <f t="shared" si="400"/>
        <v/>
      </c>
      <c r="AU591" s="34" t="str">
        <f t="shared" si="401"/>
        <v/>
      </c>
      <c r="AV591" s="32" t="str">
        <f t="shared" si="402"/>
        <v/>
      </c>
      <c r="AW591" s="32" t="str">
        <f t="shared" si="403"/>
        <v/>
      </c>
      <c r="AX591" s="32" t="str">
        <f t="shared" si="404"/>
        <v/>
      </c>
      <c r="AY591" s="32" t="str">
        <f t="shared" si="405"/>
        <v/>
      </c>
    </row>
    <row r="592" spans="1:51" x14ac:dyDescent="0.25">
      <c r="A592" s="24" t="str">
        <f t="shared" si="406"/>
        <v/>
      </c>
      <c r="B592" s="24" t="str">
        <f t="shared" si="416"/>
        <v/>
      </c>
      <c r="C592" s="32" t="str">
        <f t="shared" si="407"/>
        <v/>
      </c>
      <c r="D592" s="24" t="str">
        <f t="shared" si="408"/>
        <v/>
      </c>
      <c r="E592" s="24" t="str">
        <f t="shared" si="409"/>
        <v/>
      </c>
      <c r="F592" s="32" t="str">
        <f t="shared" si="410"/>
        <v/>
      </c>
      <c r="G592" s="32" t="str">
        <f t="shared" si="411"/>
        <v/>
      </c>
      <c r="H592" s="32" t="str">
        <f t="shared" ca="1" si="412"/>
        <v/>
      </c>
      <c r="I592" s="32" t="str">
        <f t="shared" ca="1" si="417"/>
        <v/>
      </c>
      <c r="J592" s="32" t="str">
        <f t="shared" si="413"/>
        <v/>
      </c>
      <c r="K592" s="32" t="str">
        <f>IF(ISNUMBER(A592),Profile!$V$25+Profile!$V$24*'Ri-Po'!C592,"")</f>
        <v/>
      </c>
      <c r="L592" s="32" t="str">
        <f t="shared" si="418"/>
        <v/>
      </c>
      <c r="M592" s="32" t="str">
        <f t="shared" si="414"/>
        <v/>
      </c>
      <c r="N592" s="32" t="str">
        <f t="shared" si="415"/>
        <v/>
      </c>
      <c r="O592" s="32" t="str">
        <f t="shared" si="431"/>
        <v/>
      </c>
      <c r="P592" s="32" t="str">
        <f t="shared" si="419"/>
        <v/>
      </c>
      <c r="Q592" s="32" t="str">
        <f t="shared" si="420"/>
        <v/>
      </c>
      <c r="R592" s="32" t="str">
        <f t="shared" si="432"/>
        <v/>
      </c>
      <c r="S592" s="24" t="str">
        <f t="shared" si="433"/>
        <v/>
      </c>
      <c r="T592" s="24" t="str">
        <f t="shared" si="434"/>
        <v/>
      </c>
      <c r="U592" s="24" t="str">
        <f t="shared" si="435"/>
        <v/>
      </c>
      <c r="V592" s="24" t="str">
        <f t="shared" si="436"/>
        <v/>
      </c>
      <c r="W592" s="23" t="str">
        <f t="array" ref="W592">IFERROR(SMALL(IF(S$1:S$1000="BEGIN",ROW(S$1:S$1000)),ROW()-3),"")</f>
        <v/>
      </c>
      <c r="X592" s="23" t="str">
        <f t="array" ref="X592">IFERROR(SMALL(IF(T$1:T$1000="END",ROW(T$1:T$1000)),ROW()-3),"")</f>
        <v/>
      </c>
      <c r="Y592" s="33" t="str">
        <f t="array" ref="Y592">IF(ISNUMBER(W592),MAX(IF((B$4:B$1000&lt;=X592)*(B$4:B$1000&gt;=W592),I$4:I$1000, "")),"")</f>
        <v/>
      </c>
      <c r="Z592" s="33" t="str">
        <f t="shared" si="421"/>
        <v/>
      </c>
      <c r="AA592" s="32" t="str">
        <f t="shared" si="422"/>
        <v/>
      </c>
      <c r="AB592" s="32" t="str">
        <f t="shared" si="423"/>
        <v/>
      </c>
      <c r="AC592" s="32" t="str">
        <f t="shared" si="424"/>
        <v/>
      </c>
      <c r="AD592" s="32" t="str">
        <f t="shared" si="425"/>
        <v/>
      </c>
      <c r="AE592" s="34" t="str">
        <f t="shared" si="426"/>
        <v/>
      </c>
      <c r="AF592" s="32" t="str">
        <f t="shared" si="427"/>
        <v/>
      </c>
      <c r="AG592" s="32" t="str">
        <f t="shared" si="428"/>
        <v/>
      </c>
      <c r="AH592" s="32" t="str">
        <f t="shared" si="429"/>
        <v/>
      </c>
      <c r="AI592" s="35" t="str">
        <f t="shared" si="430"/>
        <v/>
      </c>
      <c r="AJ592" s="23" t="str">
        <f t="array" ref="AJ592">IFERROR(SMALL(IF(U$1:U$1000="BEGIN",ROW(U$1:U$1000)),ROW()-3),"")</f>
        <v/>
      </c>
      <c r="AK592" s="23" t="str">
        <f t="array" ref="AK592">IFERROR(SMALL(IF(V$1:V$1000="END",ROW(V$1:V$1000)),ROW()-3),"")</f>
        <v/>
      </c>
      <c r="AL592" s="24" t="str">
        <f t="array" ref="AL592">IF(AK592="","",MATCH(AM592,L:L,0))</f>
        <v/>
      </c>
      <c r="AM592" s="35">
        <f t="array" ref="AM592">MAX(IF((B$4:B$1000&lt;=AK592)*(B$4:B$1000&gt;=AJ592),L$4:L$1000, ""))</f>
        <v>0</v>
      </c>
      <c r="AN592" s="32" t="str">
        <f t="shared" si="394"/>
        <v/>
      </c>
      <c r="AO592" s="32" t="str">
        <f t="shared" si="395"/>
        <v/>
      </c>
      <c r="AP592" s="32" t="str">
        <f t="shared" si="396"/>
        <v/>
      </c>
      <c r="AQ592" s="32" t="str">
        <f t="shared" si="397"/>
        <v/>
      </c>
      <c r="AR592" s="32" t="str">
        <f t="shared" si="398"/>
        <v/>
      </c>
      <c r="AS592" s="32" t="str">
        <f t="shared" si="399"/>
        <v/>
      </c>
      <c r="AT592" s="32" t="str">
        <f t="shared" si="400"/>
        <v/>
      </c>
      <c r="AU592" s="34" t="str">
        <f t="shared" si="401"/>
        <v/>
      </c>
      <c r="AV592" s="32" t="str">
        <f t="shared" si="402"/>
        <v/>
      </c>
      <c r="AW592" s="32" t="str">
        <f t="shared" si="403"/>
        <v/>
      </c>
      <c r="AX592" s="32" t="str">
        <f t="shared" si="404"/>
        <v/>
      </c>
      <c r="AY592" s="32" t="str">
        <f t="shared" si="405"/>
        <v/>
      </c>
    </row>
    <row r="593" spans="1:51" x14ac:dyDescent="0.25">
      <c r="A593" s="24" t="str">
        <f t="shared" si="406"/>
        <v/>
      </c>
      <c r="B593" s="24" t="str">
        <f t="shared" si="416"/>
        <v/>
      </c>
      <c r="C593" s="32" t="str">
        <f t="shared" si="407"/>
        <v/>
      </c>
      <c r="D593" s="24" t="str">
        <f t="shared" si="408"/>
        <v/>
      </c>
      <c r="E593" s="24" t="str">
        <f t="shared" si="409"/>
        <v/>
      </c>
      <c r="F593" s="32" t="str">
        <f t="shared" si="410"/>
        <v/>
      </c>
      <c r="G593" s="32" t="str">
        <f t="shared" si="411"/>
        <v/>
      </c>
      <c r="H593" s="32" t="str">
        <f t="shared" ca="1" si="412"/>
        <v/>
      </c>
      <c r="I593" s="32" t="str">
        <f t="shared" ca="1" si="417"/>
        <v/>
      </c>
      <c r="J593" s="32" t="str">
        <f t="shared" si="413"/>
        <v/>
      </c>
      <c r="K593" s="32" t="str">
        <f>IF(ISNUMBER(A593),Profile!$V$25+Profile!$V$24*'Ri-Po'!C593,"")</f>
        <v/>
      </c>
      <c r="L593" s="32" t="str">
        <f t="shared" si="418"/>
        <v/>
      </c>
      <c r="M593" s="32" t="str">
        <f t="shared" si="414"/>
        <v/>
      </c>
      <c r="N593" s="32" t="str">
        <f t="shared" si="415"/>
        <v/>
      </c>
      <c r="O593" s="32" t="str">
        <f t="shared" si="431"/>
        <v/>
      </c>
      <c r="P593" s="32" t="str">
        <f t="shared" si="419"/>
        <v/>
      </c>
      <c r="Q593" s="32" t="str">
        <f t="shared" si="420"/>
        <v/>
      </c>
      <c r="R593" s="32" t="str">
        <f t="shared" si="432"/>
        <v/>
      </c>
      <c r="S593" s="24" t="str">
        <f t="shared" si="433"/>
        <v/>
      </c>
      <c r="T593" s="24" t="str">
        <f t="shared" si="434"/>
        <v/>
      </c>
      <c r="U593" s="24" t="str">
        <f t="shared" si="435"/>
        <v/>
      </c>
      <c r="V593" s="24" t="str">
        <f t="shared" si="436"/>
        <v/>
      </c>
      <c r="W593" s="23" t="str">
        <f t="array" ref="W593">IFERROR(SMALL(IF(S$1:S$1000="BEGIN",ROW(S$1:S$1000)),ROW()-3),"")</f>
        <v/>
      </c>
      <c r="X593" s="23" t="str">
        <f t="array" ref="X593">IFERROR(SMALL(IF(T$1:T$1000="END",ROW(T$1:T$1000)),ROW()-3),"")</f>
        <v/>
      </c>
      <c r="Y593" s="33" t="str">
        <f t="array" ref="Y593">IF(ISNUMBER(W593),MAX(IF((B$4:B$1000&lt;=X593)*(B$4:B$1000&gt;=W593),I$4:I$1000, "")),"")</f>
        <v/>
      </c>
      <c r="Z593" s="33" t="str">
        <f t="shared" si="421"/>
        <v/>
      </c>
      <c r="AA593" s="32" t="str">
        <f t="shared" si="422"/>
        <v/>
      </c>
      <c r="AB593" s="32" t="str">
        <f t="shared" si="423"/>
        <v/>
      </c>
      <c r="AC593" s="32" t="str">
        <f t="shared" si="424"/>
        <v/>
      </c>
      <c r="AD593" s="32" t="str">
        <f t="shared" si="425"/>
        <v/>
      </c>
      <c r="AE593" s="34" t="str">
        <f t="shared" si="426"/>
        <v/>
      </c>
      <c r="AF593" s="32" t="str">
        <f t="shared" si="427"/>
        <v/>
      </c>
      <c r="AG593" s="32" t="str">
        <f t="shared" si="428"/>
        <v/>
      </c>
      <c r="AH593" s="32" t="str">
        <f t="shared" si="429"/>
        <v/>
      </c>
      <c r="AI593" s="35" t="str">
        <f t="shared" si="430"/>
        <v/>
      </c>
      <c r="AJ593" s="23" t="str">
        <f t="array" ref="AJ593">IFERROR(SMALL(IF(U$1:U$1000="BEGIN",ROW(U$1:U$1000)),ROW()-3),"")</f>
        <v/>
      </c>
      <c r="AK593" s="23" t="str">
        <f t="array" ref="AK593">IFERROR(SMALL(IF(V$1:V$1000="END",ROW(V$1:V$1000)),ROW()-3),"")</f>
        <v/>
      </c>
      <c r="AL593" s="24" t="str">
        <f t="array" ref="AL593">IF(AK593="","",MATCH(AM593,L:L,0))</f>
        <v/>
      </c>
      <c r="AM593" s="35">
        <f t="array" ref="AM593">MAX(IF((B$4:B$1000&lt;=AK593)*(B$4:B$1000&gt;=AJ593),L$4:L$1000, ""))</f>
        <v>0</v>
      </c>
      <c r="AN593" s="32" t="str">
        <f t="shared" si="394"/>
        <v/>
      </c>
      <c r="AO593" s="32" t="str">
        <f t="shared" si="395"/>
        <v/>
      </c>
      <c r="AP593" s="32" t="str">
        <f t="shared" si="396"/>
        <v/>
      </c>
      <c r="AQ593" s="32" t="str">
        <f t="shared" si="397"/>
        <v/>
      </c>
      <c r="AR593" s="32" t="str">
        <f t="shared" si="398"/>
        <v/>
      </c>
      <c r="AS593" s="32" t="str">
        <f t="shared" si="399"/>
        <v/>
      </c>
      <c r="AT593" s="32" t="str">
        <f t="shared" si="400"/>
        <v/>
      </c>
      <c r="AU593" s="34" t="str">
        <f t="shared" si="401"/>
        <v/>
      </c>
      <c r="AV593" s="32" t="str">
        <f t="shared" si="402"/>
        <v/>
      </c>
      <c r="AW593" s="32" t="str">
        <f t="shared" si="403"/>
        <v/>
      </c>
      <c r="AX593" s="32" t="str">
        <f t="shared" si="404"/>
        <v/>
      </c>
      <c r="AY593" s="32" t="str">
        <f t="shared" si="405"/>
        <v/>
      </c>
    </row>
    <row r="594" spans="1:51" x14ac:dyDescent="0.25">
      <c r="A594" s="24" t="str">
        <f t="shared" si="406"/>
        <v/>
      </c>
      <c r="B594" s="24" t="str">
        <f t="shared" si="416"/>
        <v/>
      </c>
      <c r="C594" s="32" t="str">
        <f t="shared" si="407"/>
        <v/>
      </c>
      <c r="D594" s="24" t="str">
        <f t="shared" si="408"/>
        <v/>
      </c>
      <c r="E594" s="24" t="str">
        <f t="shared" si="409"/>
        <v/>
      </c>
      <c r="F594" s="32" t="str">
        <f t="shared" si="410"/>
        <v/>
      </c>
      <c r="G594" s="32" t="str">
        <f t="shared" si="411"/>
        <v/>
      </c>
      <c r="H594" s="32" t="str">
        <f t="shared" ca="1" si="412"/>
        <v/>
      </c>
      <c r="I594" s="32" t="str">
        <f t="shared" ca="1" si="417"/>
        <v/>
      </c>
      <c r="J594" s="32" t="str">
        <f t="shared" si="413"/>
        <v/>
      </c>
      <c r="K594" s="32" t="str">
        <f>IF(ISNUMBER(A594),Profile!$V$25+Profile!$V$24*'Ri-Po'!C594,"")</f>
        <v/>
      </c>
      <c r="L594" s="32" t="str">
        <f t="shared" si="418"/>
        <v/>
      </c>
      <c r="M594" s="32" t="str">
        <f t="shared" si="414"/>
        <v/>
      </c>
      <c r="N594" s="32" t="str">
        <f t="shared" si="415"/>
        <v/>
      </c>
      <c r="O594" s="32" t="str">
        <f t="shared" si="431"/>
        <v/>
      </c>
      <c r="P594" s="32" t="str">
        <f t="shared" si="419"/>
        <v/>
      </c>
      <c r="Q594" s="32" t="str">
        <f t="shared" si="420"/>
        <v/>
      </c>
      <c r="R594" s="32" t="str">
        <f t="shared" si="432"/>
        <v/>
      </c>
      <c r="S594" s="24" t="str">
        <f t="shared" si="433"/>
        <v/>
      </c>
      <c r="T594" s="24" t="str">
        <f t="shared" si="434"/>
        <v/>
      </c>
      <c r="U594" s="24" t="str">
        <f t="shared" si="435"/>
        <v/>
      </c>
      <c r="V594" s="24" t="str">
        <f t="shared" si="436"/>
        <v/>
      </c>
      <c r="W594" s="23" t="str">
        <f t="array" ref="W594">IFERROR(SMALL(IF(S$1:S$1000="BEGIN",ROW(S$1:S$1000)),ROW()-3),"")</f>
        <v/>
      </c>
      <c r="X594" s="23" t="str">
        <f t="array" ref="X594">IFERROR(SMALL(IF(T$1:T$1000="END",ROW(T$1:T$1000)),ROW()-3),"")</f>
        <v/>
      </c>
      <c r="Y594" s="33" t="str">
        <f t="array" ref="Y594">IF(ISNUMBER(W594),MAX(IF((B$4:B$1000&lt;=X594)*(B$4:B$1000&gt;=W594),I$4:I$1000, "")),"")</f>
        <v/>
      </c>
      <c r="Z594" s="33" t="str">
        <f t="shared" si="421"/>
        <v/>
      </c>
      <c r="AA594" s="32" t="str">
        <f t="shared" si="422"/>
        <v/>
      </c>
      <c r="AB594" s="32" t="str">
        <f t="shared" si="423"/>
        <v/>
      </c>
      <c r="AC594" s="32" t="str">
        <f t="shared" si="424"/>
        <v/>
      </c>
      <c r="AD594" s="32" t="str">
        <f t="shared" si="425"/>
        <v/>
      </c>
      <c r="AE594" s="34" t="str">
        <f t="shared" si="426"/>
        <v/>
      </c>
      <c r="AF594" s="32" t="str">
        <f t="shared" si="427"/>
        <v/>
      </c>
      <c r="AG594" s="32" t="str">
        <f t="shared" si="428"/>
        <v/>
      </c>
      <c r="AH594" s="32" t="str">
        <f t="shared" si="429"/>
        <v/>
      </c>
      <c r="AI594" s="35" t="str">
        <f t="shared" si="430"/>
        <v/>
      </c>
      <c r="AJ594" s="23" t="str">
        <f t="array" ref="AJ594">IFERROR(SMALL(IF(U$1:U$1000="BEGIN",ROW(U$1:U$1000)),ROW()-3),"")</f>
        <v/>
      </c>
      <c r="AK594" s="23" t="str">
        <f t="array" ref="AK594">IFERROR(SMALL(IF(V$1:V$1000="END",ROW(V$1:V$1000)),ROW()-3),"")</f>
        <v/>
      </c>
      <c r="AL594" s="24" t="str">
        <f t="array" ref="AL594">IF(AK594="","",MATCH(AM594,L:L,0))</f>
        <v/>
      </c>
      <c r="AM594" s="35">
        <f t="array" ref="AM594">MAX(IF((B$4:B$1000&lt;=AK594)*(B$4:B$1000&gt;=AJ594),L$4:L$1000, ""))</f>
        <v>0</v>
      </c>
      <c r="AN594" s="32" t="str">
        <f t="shared" ref="AN594:AN657" si="437">IFERROR(INDEX(C:C,AJ594),"")</f>
        <v/>
      </c>
      <c r="AO594" s="32" t="str">
        <f t="shared" ref="AO594:AO657" si="438">IFERROR(INDEX(C:C,AK594),"")</f>
        <v/>
      </c>
      <c r="AP594" s="32" t="str">
        <f t="shared" ref="AP594:AP657" si="439">IFERROR(INDEX(C:C,AL594),"")</f>
        <v/>
      </c>
      <c r="AQ594" s="32" t="str">
        <f t="shared" ref="AQ594:AQ657" si="440">IF(ISNUMBER(AN594),AM594,"")</f>
        <v/>
      </c>
      <c r="AR594" s="32" t="str">
        <f t="shared" ref="AR594:AR657" si="441">IFERROR(AO594-AN594,"")</f>
        <v/>
      </c>
      <c r="AS594" s="32" t="str">
        <f t="shared" ref="AS594:AS657" si="442">IFERROR(INDEX(H:H,AJ594),"")</f>
        <v/>
      </c>
      <c r="AT594" s="32" t="str">
        <f t="shared" ref="AT594:AT657" si="443">IFERROR(INDEX(H:H,AK594),"")</f>
        <v/>
      </c>
      <c r="AU594" s="34" t="str">
        <f t="shared" ref="AU594:AU657" si="444">IFERROR((AS594-AT594)/(AR594),"")</f>
        <v/>
      </c>
      <c r="AV594" s="32" t="str">
        <f t="shared" ref="AV594:AV657" si="445">IFERROR(AQ594/$BB$17,"")</f>
        <v/>
      </c>
      <c r="AW594" s="32" t="str">
        <f t="shared" ref="AW594:AW657" si="446">IFERROR(AU594/BB$19,"")</f>
        <v/>
      </c>
      <c r="AX594" s="32" t="str">
        <f t="shared" ref="AX594:AX657" si="447">IFERROR(AP595-AP594,"")</f>
        <v/>
      </c>
      <c r="AY594" s="32" t="str">
        <f t="shared" ref="AY594:AY657" si="448">IFERROR(AX594/BB$16,"")</f>
        <v/>
      </c>
    </row>
    <row r="595" spans="1:51" x14ac:dyDescent="0.25">
      <c r="A595" s="24" t="str">
        <f t="shared" si="406"/>
        <v/>
      </c>
      <c r="B595" s="24" t="str">
        <f t="shared" si="416"/>
        <v/>
      </c>
      <c r="C595" s="32" t="str">
        <f t="shared" si="407"/>
        <v/>
      </c>
      <c r="D595" s="24" t="str">
        <f t="shared" si="408"/>
        <v/>
      </c>
      <c r="E595" s="24" t="str">
        <f t="shared" si="409"/>
        <v/>
      </c>
      <c r="F595" s="32" t="str">
        <f t="shared" si="410"/>
        <v/>
      </c>
      <c r="G595" s="32" t="str">
        <f t="shared" si="411"/>
        <v/>
      </c>
      <c r="H595" s="32" t="str">
        <f t="shared" ca="1" si="412"/>
        <v/>
      </c>
      <c r="I595" s="32" t="str">
        <f t="shared" ca="1" si="417"/>
        <v/>
      </c>
      <c r="J595" s="32" t="str">
        <f t="shared" si="413"/>
        <v/>
      </c>
      <c r="K595" s="32" t="str">
        <f>IF(ISNUMBER(A595),Profile!$V$25+Profile!$V$24*'Ri-Po'!C595,"")</f>
        <v/>
      </c>
      <c r="L595" s="32" t="str">
        <f t="shared" si="418"/>
        <v/>
      </c>
      <c r="M595" s="32" t="str">
        <f t="shared" si="414"/>
        <v/>
      </c>
      <c r="N595" s="32" t="str">
        <f t="shared" si="415"/>
        <v/>
      </c>
      <c r="O595" s="32" t="str">
        <f t="shared" si="431"/>
        <v/>
      </c>
      <c r="P595" s="32" t="str">
        <f t="shared" si="419"/>
        <v/>
      </c>
      <c r="Q595" s="32" t="str">
        <f t="shared" si="420"/>
        <v/>
      </c>
      <c r="R595" s="32" t="str">
        <f t="shared" si="432"/>
        <v/>
      </c>
      <c r="S595" s="24" t="str">
        <f t="shared" si="433"/>
        <v/>
      </c>
      <c r="T595" s="24" t="str">
        <f t="shared" si="434"/>
        <v/>
      </c>
      <c r="U595" s="24" t="str">
        <f t="shared" si="435"/>
        <v/>
      </c>
      <c r="V595" s="24" t="str">
        <f t="shared" si="436"/>
        <v/>
      </c>
      <c r="W595" s="23" t="str">
        <f t="array" ref="W595">IFERROR(SMALL(IF(S$1:S$1000="BEGIN",ROW(S$1:S$1000)),ROW()-3),"")</f>
        <v/>
      </c>
      <c r="X595" s="23" t="str">
        <f t="array" ref="X595">IFERROR(SMALL(IF(T$1:T$1000="END",ROW(T$1:T$1000)),ROW()-3),"")</f>
        <v/>
      </c>
      <c r="Y595" s="33" t="str">
        <f t="array" ref="Y595">IF(ISNUMBER(W595),MAX(IF((B$4:B$1000&lt;=X595)*(B$4:B$1000&gt;=W595),I$4:I$1000, "")),"")</f>
        <v/>
      </c>
      <c r="Z595" s="33" t="str">
        <f t="shared" si="421"/>
        <v/>
      </c>
      <c r="AA595" s="32" t="str">
        <f t="shared" si="422"/>
        <v/>
      </c>
      <c r="AB595" s="32" t="str">
        <f t="shared" si="423"/>
        <v/>
      </c>
      <c r="AC595" s="32" t="str">
        <f t="shared" si="424"/>
        <v/>
      </c>
      <c r="AD595" s="32" t="str">
        <f t="shared" si="425"/>
        <v/>
      </c>
      <c r="AE595" s="34" t="str">
        <f t="shared" si="426"/>
        <v/>
      </c>
      <c r="AF595" s="32" t="str">
        <f t="shared" si="427"/>
        <v/>
      </c>
      <c r="AG595" s="32" t="str">
        <f t="shared" si="428"/>
        <v/>
      </c>
      <c r="AH595" s="32" t="str">
        <f t="shared" si="429"/>
        <v/>
      </c>
      <c r="AI595" s="35" t="str">
        <f t="shared" si="430"/>
        <v/>
      </c>
      <c r="AJ595" s="23" t="str">
        <f t="array" ref="AJ595">IFERROR(SMALL(IF(U$1:U$1000="BEGIN",ROW(U$1:U$1000)),ROW()-3),"")</f>
        <v/>
      </c>
      <c r="AK595" s="23" t="str">
        <f t="array" ref="AK595">IFERROR(SMALL(IF(V$1:V$1000="END",ROW(V$1:V$1000)),ROW()-3),"")</f>
        <v/>
      </c>
      <c r="AL595" s="24" t="str">
        <f t="array" ref="AL595">IF(AK595="","",MATCH(AM595,L:L,0))</f>
        <v/>
      </c>
      <c r="AM595" s="35">
        <f t="array" ref="AM595">MAX(IF((B$4:B$1000&lt;=AK595)*(B$4:B$1000&gt;=AJ595),L$4:L$1000, ""))</f>
        <v>0</v>
      </c>
      <c r="AN595" s="32" t="str">
        <f t="shared" si="437"/>
        <v/>
      </c>
      <c r="AO595" s="32" t="str">
        <f t="shared" si="438"/>
        <v/>
      </c>
      <c r="AP595" s="32" t="str">
        <f t="shared" si="439"/>
        <v/>
      </c>
      <c r="AQ595" s="32" t="str">
        <f t="shared" si="440"/>
        <v/>
      </c>
      <c r="AR595" s="32" t="str">
        <f t="shared" si="441"/>
        <v/>
      </c>
      <c r="AS595" s="32" t="str">
        <f t="shared" si="442"/>
        <v/>
      </c>
      <c r="AT595" s="32" t="str">
        <f t="shared" si="443"/>
        <v/>
      </c>
      <c r="AU595" s="34" t="str">
        <f t="shared" si="444"/>
        <v/>
      </c>
      <c r="AV595" s="32" t="str">
        <f t="shared" si="445"/>
        <v/>
      </c>
      <c r="AW595" s="32" t="str">
        <f t="shared" si="446"/>
        <v/>
      </c>
      <c r="AX595" s="32" t="str">
        <f t="shared" si="447"/>
        <v/>
      </c>
      <c r="AY595" s="32" t="str">
        <f t="shared" si="448"/>
        <v/>
      </c>
    </row>
    <row r="596" spans="1:51" x14ac:dyDescent="0.25">
      <c r="A596" s="24" t="str">
        <f t="shared" si="406"/>
        <v/>
      </c>
      <c r="B596" s="24" t="str">
        <f t="shared" si="416"/>
        <v/>
      </c>
      <c r="C596" s="32" t="str">
        <f t="shared" si="407"/>
        <v/>
      </c>
      <c r="D596" s="24" t="str">
        <f t="shared" si="408"/>
        <v/>
      </c>
      <c r="E596" s="24" t="str">
        <f t="shared" si="409"/>
        <v/>
      </c>
      <c r="F596" s="32" t="str">
        <f t="shared" si="410"/>
        <v/>
      </c>
      <c r="G596" s="32" t="str">
        <f t="shared" si="411"/>
        <v/>
      </c>
      <c r="H596" s="32" t="str">
        <f t="shared" ca="1" si="412"/>
        <v/>
      </c>
      <c r="I596" s="32" t="str">
        <f t="shared" ca="1" si="417"/>
        <v/>
      </c>
      <c r="J596" s="32" t="str">
        <f t="shared" si="413"/>
        <v/>
      </c>
      <c r="K596" s="32" t="str">
        <f>IF(ISNUMBER(A596),Profile!$V$25+Profile!$V$24*'Ri-Po'!C596,"")</f>
        <v/>
      </c>
      <c r="L596" s="32" t="str">
        <f t="shared" si="418"/>
        <v/>
      </c>
      <c r="M596" s="32" t="str">
        <f t="shared" si="414"/>
        <v/>
      </c>
      <c r="N596" s="32" t="str">
        <f t="shared" si="415"/>
        <v/>
      </c>
      <c r="O596" s="32" t="str">
        <f t="shared" si="431"/>
        <v/>
      </c>
      <c r="P596" s="32" t="str">
        <f t="shared" si="419"/>
        <v/>
      </c>
      <c r="Q596" s="32" t="str">
        <f t="shared" si="420"/>
        <v/>
      </c>
      <c r="R596" s="32" t="str">
        <f t="shared" si="432"/>
        <v/>
      </c>
      <c r="S596" s="24" t="str">
        <f t="shared" si="433"/>
        <v/>
      </c>
      <c r="T596" s="24" t="str">
        <f t="shared" si="434"/>
        <v/>
      </c>
      <c r="U596" s="24" t="str">
        <f t="shared" si="435"/>
        <v/>
      </c>
      <c r="V596" s="24" t="str">
        <f t="shared" si="436"/>
        <v/>
      </c>
      <c r="W596" s="23" t="str">
        <f t="array" ref="W596">IFERROR(SMALL(IF(S$1:S$1000="BEGIN",ROW(S$1:S$1000)),ROW()-3),"")</f>
        <v/>
      </c>
      <c r="X596" s="23" t="str">
        <f t="array" ref="X596">IFERROR(SMALL(IF(T$1:T$1000="END",ROW(T$1:T$1000)),ROW()-3),"")</f>
        <v/>
      </c>
      <c r="Y596" s="33" t="str">
        <f t="array" ref="Y596">IF(ISNUMBER(W596),MAX(IF((B$4:B$1000&lt;=X596)*(B$4:B$1000&gt;=W596),I$4:I$1000, "")),"")</f>
        <v/>
      </c>
      <c r="Z596" s="33" t="str">
        <f t="shared" si="421"/>
        <v/>
      </c>
      <c r="AA596" s="32" t="str">
        <f t="shared" si="422"/>
        <v/>
      </c>
      <c r="AB596" s="32" t="str">
        <f t="shared" si="423"/>
        <v/>
      </c>
      <c r="AC596" s="32" t="str">
        <f t="shared" si="424"/>
        <v/>
      </c>
      <c r="AD596" s="32" t="str">
        <f t="shared" si="425"/>
        <v/>
      </c>
      <c r="AE596" s="34" t="str">
        <f t="shared" si="426"/>
        <v/>
      </c>
      <c r="AF596" s="32" t="str">
        <f t="shared" si="427"/>
        <v/>
      </c>
      <c r="AG596" s="32" t="str">
        <f t="shared" si="428"/>
        <v/>
      </c>
      <c r="AH596" s="32" t="str">
        <f t="shared" si="429"/>
        <v/>
      </c>
      <c r="AI596" s="35" t="str">
        <f t="shared" si="430"/>
        <v/>
      </c>
      <c r="AJ596" s="23" t="str">
        <f t="array" ref="AJ596">IFERROR(SMALL(IF(U$1:U$1000="BEGIN",ROW(U$1:U$1000)),ROW()-3),"")</f>
        <v/>
      </c>
      <c r="AK596" s="23" t="str">
        <f t="array" ref="AK596">IFERROR(SMALL(IF(V$1:V$1000="END",ROW(V$1:V$1000)),ROW()-3),"")</f>
        <v/>
      </c>
      <c r="AL596" s="24" t="str">
        <f t="array" ref="AL596">IF(AK596="","",MATCH(AM596,L:L,0))</f>
        <v/>
      </c>
      <c r="AM596" s="35">
        <f t="array" ref="AM596">MAX(IF((B$4:B$1000&lt;=AK596)*(B$4:B$1000&gt;=AJ596),L$4:L$1000, ""))</f>
        <v>0</v>
      </c>
      <c r="AN596" s="32" t="str">
        <f t="shared" si="437"/>
        <v/>
      </c>
      <c r="AO596" s="32" t="str">
        <f t="shared" si="438"/>
        <v/>
      </c>
      <c r="AP596" s="32" t="str">
        <f t="shared" si="439"/>
        <v/>
      </c>
      <c r="AQ596" s="32" t="str">
        <f t="shared" si="440"/>
        <v/>
      </c>
      <c r="AR596" s="32" t="str">
        <f t="shared" si="441"/>
        <v/>
      </c>
      <c r="AS596" s="32" t="str">
        <f t="shared" si="442"/>
        <v/>
      </c>
      <c r="AT596" s="32" t="str">
        <f t="shared" si="443"/>
        <v/>
      </c>
      <c r="AU596" s="34" t="str">
        <f t="shared" si="444"/>
        <v/>
      </c>
      <c r="AV596" s="32" t="str">
        <f t="shared" si="445"/>
        <v/>
      </c>
      <c r="AW596" s="32" t="str">
        <f t="shared" si="446"/>
        <v/>
      </c>
      <c r="AX596" s="32" t="str">
        <f t="shared" si="447"/>
        <v/>
      </c>
      <c r="AY596" s="32" t="str">
        <f t="shared" si="448"/>
        <v/>
      </c>
    </row>
    <row r="597" spans="1:51" x14ac:dyDescent="0.25">
      <c r="A597" s="24" t="str">
        <f t="shared" si="406"/>
        <v/>
      </c>
      <c r="B597" s="24" t="str">
        <f t="shared" si="416"/>
        <v/>
      </c>
      <c r="C597" s="32" t="str">
        <f t="shared" si="407"/>
        <v/>
      </c>
      <c r="D597" s="24" t="str">
        <f t="shared" si="408"/>
        <v/>
      </c>
      <c r="E597" s="24" t="str">
        <f t="shared" si="409"/>
        <v/>
      </c>
      <c r="F597" s="32" t="str">
        <f t="shared" si="410"/>
        <v/>
      </c>
      <c r="G597" s="32" t="str">
        <f t="shared" si="411"/>
        <v/>
      </c>
      <c r="H597" s="32" t="str">
        <f t="shared" ca="1" si="412"/>
        <v/>
      </c>
      <c r="I597" s="32" t="str">
        <f t="shared" ca="1" si="417"/>
        <v/>
      </c>
      <c r="J597" s="32" t="str">
        <f t="shared" si="413"/>
        <v/>
      </c>
      <c r="K597" s="32" t="str">
        <f>IF(ISNUMBER(A597),Profile!$V$25+Profile!$V$24*'Ri-Po'!C597,"")</f>
        <v/>
      </c>
      <c r="L597" s="32" t="str">
        <f t="shared" si="418"/>
        <v/>
      </c>
      <c r="M597" s="32" t="str">
        <f t="shared" si="414"/>
        <v/>
      </c>
      <c r="N597" s="32" t="str">
        <f t="shared" si="415"/>
        <v/>
      </c>
      <c r="O597" s="32" t="str">
        <f t="shared" si="431"/>
        <v/>
      </c>
      <c r="P597" s="32" t="str">
        <f t="shared" si="419"/>
        <v/>
      </c>
      <c r="Q597" s="32" t="str">
        <f t="shared" si="420"/>
        <v/>
      </c>
      <c r="R597" s="32" t="str">
        <f t="shared" si="432"/>
        <v/>
      </c>
      <c r="S597" s="24" t="str">
        <f t="shared" si="433"/>
        <v/>
      </c>
      <c r="T597" s="24" t="str">
        <f t="shared" si="434"/>
        <v/>
      </c>
      <c r="U597" s="24" t="str">
        <f t="shared" si="435"/>
        <v/>
      </c>
      <c r="V597" s="24" t="str">
        <f t="shared" si="436"/>
        <v/>
      </c>
      <c r="W597" s="23" t="str">
        <f t="array" ref="W597">IFERROR(SMALL(IF(S$1:S$1000="BEGIN",ROW(S$1:S$1000)),ROW()-3),"")</f>
        <v/>
      </c>
      <c r="X597" s="23" t="str">
        <f t="array" ref="X597">IFERROR(SMALL(IF(T$1:T$1000="END",ROW(T$1:T$1000)),ROW()-3),"")</f>
        <v/>
      </c>
      <c r="Y597" s="33" t="str">
        <f t="array" ref="Y597">IF(ISNUMBER(W597),MAX(IF((B$4:B$1000&lt;=X597)*(B$4:B$1000&gt;=W597),I$4:I$1000, "")),"")</f>
        <v/>
      </c>
      <c r="Z597" s="33" t="str">
        <f t="shared" si="421"/>
        <v/>
      </c>
      <c r="AA597" s="32" t="str">
        <f t="shared" si="422"/>
        <v/>
      </c>
      <c r="AB597" s="32" t="str">
        <f t="shared" si="423"/>
        <v/>
      </c>
      <c r="AC597" s="32" t="str">
        <f t="shared" si="424"/>
        <v/>
      </c>
      <c r="AD597" s="32" t="str">
        <f t="shared" si="425"/>
        <v/>
      </c>
      <c r="AE597" s="34" t="str">
        <f t="shared" si="426"/>
        <v/>
      </c>
      <c r="AF597" s="32" t="str">
        <f t="shared" si="427"/>
        <v/>
      </c>
      <c r="AG597" s="32" t="str">
        <f t="shared" si="428"/>
        <v/>
      </c>
      <c r="AH597" s="32" t="str">
        <f t="shared" si="429"/>
        <v/>
      </c>
      <c r="AI597" s="35" t="str">
        <f t="shared" si="430"/>
        <v/>
      </c>
      <c r="AJ597" s="23" t="str">
        <f t="array" ref="AJ597">IFERROR(SMALL(IF(U$1:U$1000="BEGIN",ROW(U$1:U$1000)),ROW()-3),"")</f>
        <v/>
      </c>
      <c r="AK597" s="23" t="str">
        <f t="array" ref="AK597">IFERROR(SMALL(IF(V$1:V$1000="END",ROW(V$1:V$1000)),ROW()-3),"")</f>
        <v/>
      </c>
      <c r="AL597" s="24" t="str">
        <f t="array" ref="AL597">IF(AK597="","",MATCH(AM597,L:L,0))</f>
        <v/>
      </c>
      <c r="AM597" s="35">
        <f t="array" ref="AM597">MAX(IF((B$4:B$1000&lt;=AK597)*(B$4:B$1000&gt;=AJ597),L$4:L$1000, ""))</f>
        <v>0</v>
      </c>
      <c r="AN597" s="32" t="str">
        <f t="shared" si="437"/>
        <v/>
      </c>
      <c r="AO597" s="32" t="str">
        <f t="shared" si="438"/>
        <v/>
      </c>
      <c r="AP597" s="32" t="str">
        <f t="shared" si="439"/>
        <v/>
      </c>
      <c r="AQ597" s="32" t="str">
        <f t="shared" si="440"/>
        <v/>
      </c>
      <c r="AR597" s="32" t="str">
        <f t="shared" si="441"/>
        <v/>
      </c>
      <c r="AS597" s="32" t="str">
        <f t="shared" si="442"/>
        <v/>
      </c>
      <c r="AT597" s="32" t="str">
        <f t="shared" si="443"/>
        <v/>
      </c>
      <c r="AU597" s="34" t="str">
        <f t="shared" si="444"/>
        <v/>
      </c>
      <c r="AV597" s="32" t="str">
        <f t="shared" si="445"/>
        <v/>
      </c>
      <c r="AW597" s="32" t="str">
        <f t="shared" si="446"/>
        <v/>
      </c>
      <c r="AX597" s="32" t="str">
        <f t="shared" si="447"/>
        <v/>
      </c>
      <c r="AY597" s="32" t="str">
        <f t="shared" si="448"/>
        <v/>
      </c>
    </row>
    <row r="598" spans="1:51" x14ac:dyDescent="0.25">
      <c r="A598" s="24" t="str">
        <f t="shared" si="406"/>
        <v/>
      </c>
      <c r="B598" s="24" t="str">
        <f t="shared" si="416"/>
        <v/>
      </c>
      <c r="C598" s="32" t="str">
        <f t="shared" si="407"/>
        <v/>
      </c>
      <c r="D598" s="24" t="str">
        <f t="shared" si="408"/>
        <v/>
      </c>
      <c r="E598" s="24" t="str">
        <f t="shared" si="409"/>
        <v/>
      </c>
      <c r="F598" s="32" t="str">
        <f t="shared" si="410"/>
        <v/>
      </c>
      <c r="G598" s="32" t="str">
        <f t="shared" si="411"/>
        <v/>
      </c>
      <c r="H598" s="32" t="str">
        <f t="shared" ca="1" si="412"/>
        <v/>
      </c>
      <c r="I598" s="32" t="str">
        <f t="shared" ca="1" si="417"/>
        <v/>
      </c>
      <c r="J598" s="32" t="str">
        <f t="shared" si="413"/>
        <v/>
      </c>
      <c r="K598" s="32" t="str">
        <f>IF(ISNUMBER(A598),Profile!$V$25+Profile!$V$24*'Ri-Po'!C598,"")</f>
        <v/>
      </c>
      <c r="L598" s="32" t="str">
        <f t="shared" si="418"/>
        <v/>
      </c>
      <c r="M598" s="32" t="str">
        <f t="shared" si="414"/>
        <v/>
      </c>
      <c r="N598" s="32" t="str">
        <f t="shared" si="415"/>
        <v/>
      </c>
      <c r="O598" s="32" t="str">
        <f t="shared" si="431"/>
        <v/>
      </c>
      <c r="P598" s="32" t="str">
        <f t="shared" si="419"/>
        <v/>
      </c>
      <c r="Q598" s="32" t="str">
        <f t="shared" si="420"/>
        <v/>
      </c>
      <c r="R598" s="32" t="str">
        <f t="shared" si="432"/>
        <v/>
      </c>
      <c r="S598" s="24" t="str">
        <f t="shared" si="433"/>
        <v/>
      </c>
      <c r="T598" s="24" t="str">
        <f t="shared" si="434"/>
        <v/>
      </c>
      <c r="U598" s="24" t="str">
        <f t="shared" si="435"/>
        <v/>
      </c>
      <c r="V598" s="24" t="str">
        <f t="shared" si="436"/>
        <v/>
      </c>
      <c r="W598" s="23" t="str">
        <f t="array" ref="W598">IFERROR(SMALL(IF(S$1:S$1000="BEGIN",ROW(S$1:S$1000)),ROW()-3),"")</f>
        <v/>
      </c>
      <c r="X598" s="23" t="str">
        <f t="array" ref="X598">IFERROR(SMALL(IF(T$1:T$1000="END",ROW(T$1:T$1000)),ROW()-3),"")</f>
        <v/>
      </c>
      <c r="Y598" s="33" t="str">
        <f t="array" ref="Y598">IF(ISNUMBER(W598),MAX(IF((B$4:B$1000&lt;=X598)*(B$4:B$1000&gt;=W598),I$4:I$1000, "")),"")</f>
        <v/>
      </c>
      <c r="Z598" s="33" t="str">
        <f t="shared" si="421"/>
        <v/>
      </c>
      <c r="AA598" s="32" t="str">
        <f t="shared" si="422"/>
        <v/>
      </c>
      <c r="AB598" s="32" t="str">
        <f t="shared" si="423"/>
        <v/>
      </c>
      <c r="AC598" s="32" t="str">
        <f t="shared" si="424"/>
        <v/>
      </c>
      <c r="AD598" s="32" t="str">
        <f t="shared" si="425"/>
        <v/>
      </c>
      <c r="AE598" s="34" t="str">
        <f t="shared" si="426"/>
        <v/>
      </c>
      <c r="AF598" s="32" t="str">
        <f t="shared" si="427"/>
        <v/>
      </c>
      <c r="AG598" s="32" t="str">
        <f t="shared" si="428"/>
        <v/>
      </c>
      <c r="AH598" s="32" t="str">
        <f t="shared" si="429"/>
        <v/>
      </c>
      <c r="AI598" s="35" t="str">
        <f t="shared" si="430"/>
        <v/>
      </c>
      <c r="AJ598" s="23" t="str">
        <f t="array" ref="AJ598">IFERROR(SMALL(IF(U$1:U$1000="BEGIN",ROW(U$1:U$1000)),ROW()-3),"")</f>
        <v/>
      </c>
      <c r="AK598" s="23" t="str">
        <f t="array" ref="AK598">IFERROR(SMALL(IF(V$1:V$1000="END",ROW(V$1:V$1000)),ROW()-3),"")</f>
        <v/>
      </c>
      <c r="AL598" s="24" t="str">
        <f t="array" ref="AL598">IF(AK598="","",MATCH(AM598,L:L,0))</f>
        <v/>
      </c>
      <c r="AM598" s="35">
        <f t="array" ref="AM598">MAX(IF((B$4:B$1000&lt;=AK598)*(B$4:B$1000&gt;=AJ598),L$4:L$1000, ""))</f>
        <v>0</v>
      </c>
      <c r="AN598" s="32" t="str">
        <f t="shared" si="437"/>
        <v/>
      </c>
      <c r="AO598" s="32" t="str">
        <f t="shared" si="438"/>
        <v/>
      </c>
      <c r="AP598" s="32" t="str">
        <f t="shared" si="439"/>
        <v/>
      </c>
      <c r="AQ598" s="32" t="str">
        <f t="shared" si="440"/>
        <v/>
      </c>
      <c r="AR598" s="32" t="str">
        <f t="shared" si="441"/>
        <v/>
      </c>
      <c r="AS598" s="32" t="str">
        <f t="shared" si="442"/>
        <v/>
      </c>
      <c r="AT598" s="32" t="str">
        <f t="shared" si="443"/>
        <v/>
      </c>
      <c r="AU598" s="34" t="str">
        <f t="shared" si="444"/>
        <v/>
      </c>
      <c r="AV598" s="32" t="str">
        <f t="shared" si="445"/>
        <v/>
      </c>
      <c r="AW598" s="32" t="str">
        <f t="shared" si="446"/>
        <v/>
      </c>
      <c r="AX598" s="32" t="str">
        <f t="shared" si="447"/>
        <v/>
      </c>
      <c r="AY598" s="32" t="str">
        <f t="shared" si="448"/>
        <v/>
      </c>
    </row>
    <row r="599" spans="1:51" x14ac:dyDescent="0.25">
      <c r="A599" s="24" t="str">
        <f t="shared" si="406"/>
        <v/>
      </c>
      <c r="B599" s="24" t="str">
        <f t="shared" si="416"/>
        <v/>
      </c>
      <c r="C599" s="32" t="str">
        <f t="shared" si="407"/>
        <v/>
      </c>
      <c r="D599" s="24" t="str">
        <f t="shared" si="408"/>
        <v/>
      </c>
      <c r="E599" s="24" t="str">
        <f t="shared" si="409"/>
        <v/>
      </c>
      <c r="F599" s="32" t="str">
        <f t="shared" si="410"/>
        <v/>
      </c>
      <c r="G599" s="32" t="str">
        <f t="shared" si="411"/>
        <v/>
      </c>
      <c r="H599" s="32" t="str">
        <f t="shared" ca="1" si="412"/>
        <v/>
      </c>
      <c r="I599" s="32" t="str">
        <f t="shared" ca="1" si="417"/>
        <v/>
      </c>
      <c r="J599" s="32" t="str">
        <f t="shared" si="413"/>
        <v/>
      </c>
      <c r="K599" s="32" t="str">
        <f>IF(ISNUMBER(A599),Profile!$V$25+Profile!$V$24*'Ri-Po'!C599,"")</f>
        <v/>
      </c>
      <c r="L599" s="32" t="str">
        <f t="shared" si="418"/>
        <v/>
      </c>
      <c r="M599" s="32" t="str">
        <f t="shared" si="414"/>
        <v/>
      </c>
      <c r="N599" s="32" t="str">
        <f t="shared" si="415"/>
        <v/>
      </c>
      <c r="O599" s="32" t="str">
        <f t="shared" si="431"/>
        <v/>
      </c>
      <c r="P599" s="32" t="str">
        <f t="shared" si="419"/>
        <v/>
      </c>
      <c r="Q599" s="32" t="str">
        <f t="shared" si="420"/>
        <v/>
      </c>
      <c r="R599" s="32" t="str">
        <f t="shared" si="432"/>
        <v/>
      </c>
      <c r="S599" s="24" t="str">
        <f t="shared" si="433"/>
        <v/>
      </c>
      <c r="T599" s="24" t="str">
        <f t="shared" si="434"/>
        <v/>
      </c>
      <c r="U599" s="24" t="str">
        <f t="shared" si="435"/>
        <v/>
      </c>
      <c r="V599" s="24" t="str">
        <f t="shared" si="436"/>
        <v/>
      </c>
      <c r="W599" s="23" t="str">
        <f t="array" ref="W599">IFERROR(SMALL(IF(S$1:S$1000="BEGIN",ROW(S$1:S$1000)),ROW()-3),"")</f>
        <v/>
      </c>
      <c r="X599" s="23" t="str">
        <f t="array" ref="X599">IFERROR(SMALL(IF(T$1:T$1000="END",ROW(T$1:T$1000)),ROW()-3),"")</f>
        <v/>
      </c>
      <c r="Y599" s="33" t="str">
        <f t="array" ref="Y599">IF(ISNUMBER(W599),MAX(IF((B$4:B$1000&lt;=X599)*(B$4:B$1000&gt;=W599),I$4:I$1000, "")),"")</f>
        <v/>
      </c>
      <c r="Z599" s="33" t="str">
        <f t="shared" si="421"/>
        <v/>
      </c>
      <c r="AA599" s="32" t="str">
        <f t="shared" si="422"/>
        <v/>
      </c>
      <c r="AB599" s="32" t="str">
        <f t="shared" si="423"/>
        <v/>
      </c>
      <c r="AC599" s="32" t="str">
        <f t="shared" si="424"/>
        <v/>
      </c>
      <c r="AD599" s="32" t="str">
        <f t="shared" si="425"/>
        <v/>
      </c>
      <c r="AE599" s="34" t="str">
        <f t="shared" si="426"/>
        <v/>
      </c>
      <c r="AF599" s="32" t="str">
        <f t="shared" si="427"/>
        <v/>
      </c>
      <c r="AG599" s="32" t="str">
        <f t="shared" si="428"/>
        <v/>
      </c>
      <c r="AH599" s="32" t="str">
        <f t="shared" si="429"/>
        <v/>
      </c>
      <c r="AI599" s="35" t="str">
        <f t="shared" si="430"/>
        <v/>
      </c>
      <c r="AJ599" s="23" t="str">
        <f t="array" ref="AJ599">IFERROR(SMALL(IF(U$1:U$1000="BEGIN",ROW(U$1:U$1000)),ROW()-3),"")</f>
        <v/>
      </c>
      <c r="AK599" s="23" t="str">
        <f t="array" ref="AK599">IFERROR(SMALL(IF(V$1:V$1000="END",ROW(V$1:V$1000)),ROW()-3),"")</f>
        <v/>
      </c>
      <c r="AL599" s="24" t="str">
        <f t="array" ref="AL599">IF(AK599="","",MATCH(AM599,L:L,0))</f>
        <v/>
      </c>
      <c r="AM599" s="35">
        <f t="array" ref="AM599">MAX(IF((B$4:B$1000&lt;=AK599)*(B$4:B$1000&gt;=AJ599),L$4:L$1000, ""))</f>
        <v>0</v>
      </c>
      <c r="AN599" s="32" t="str">
        <f t="shared" si="437"/>
        <v/>
      </c>
      <c r="AO599" s="32" t="str">
        <f t="shared" si="438"/>
        <v/>
      </c>
      <c r="AP599" s="32" t="str">
        <f t="shared" si="439"/>
        <v/>
      </c>
      <c r="AQ599" s="32" t="str">
        <f t="shared" si="440"/>
        <v/>
      </c>
      <c r="AR599" s="32" t="str">
        <f t="shared" si="441"/>
        <v/>
      </c>
      <c r="AS599" s="32" t="str">
        <f t="shared" si="442"/>
        <v/>
      </c>
      <c r="AT599" s="32" t="str">
        <f t="shared" si="443"/>
        <v/>
      </c>
      <c r="AU599" s="34" t="str">
        <f t="shared" si="444"/>
        <v/>
      </c>
      <c r="AV599" s="32" t="str">
        <f t="shared" si="445"/>
        <v/>
      </c>
      <c r="AW599" s="32" t="str">
        <f t="shared" si="446"/>
        <v/>
      </c>
      <c r="AX599" s="32" t="str">
        <f t="shared" si="447"/>
        <v/>
      </c>
      <c r="AY599" s="32" t="str">
        <f t="shared" si="448"/>
        <v/>
      </c>
    </row>
    <row r="600" spans="1:51" x14ac:dyDescent="0.25">
      <c r="A600" s="24" t="str">
        <f t="shared" si="406"/>
        <v/>
      </c>
      <c r="B600" s="24" t="str">
        <f t="shared" si="416"/>
        <v/>
      </c>
      <c r="C600" s="32" t="str">
        <f t="shared" si="407"/>
        <v/>
      </c>
      <c r="D600" s="24" t="str">
        <f t="shared" si="408"/>
        <v/>
      </c>
      <c r="E600" s="24" t="str">
        <f t="shared" si="409"/>
        <v/>
      </c>
      <c r="F600" s="32" t="str">
        <f t="shared" si="410"/>
        <v/>
      </c>
      <c r="G600" s="32" t="str">
        <f t="shared" si="411"/>
        <v/>
      </c>
      <c r="H600" s="32" t="str">
        <f t="shared" ca="1" si="412"/>
        <v/>
      </c>
      <c r="I600" s="32" t="str">
        <f t="shared" ca="1" si="417"/>
        <v/>
      </c>
      <c r="J600" s="32" t="str">
        <f t="shared" si="413"/>
        <v/>
      </c>
      <c r="K600" s="32" t="str">
        <f>IF(ISNUMBER(A600),Profile!$V$25+Profile!$V$24*'Ri-Po'!C600,"")</f>
        <v/>
      </c>
      <c r="L600" s="32" t="str">
        <f t="shared" si="418"/>
        <v/>
      </c>
      <c r="M600" s="32" t="str">
        <f t="shared" si="414"/>
        <v/>
      </c>
      <c r="N600" s="32" t="str">
        <f t="shared" si="415"/>
        <v/>
      </c>
      <c r="O600" s="32" t="str">
        <f t="shared" si="431"/>
        <v/>
      </c>
      <c r="P600" s="32" t="str">
        <f t="shared" si="419"/>
        <v/>
      </c>
      <c r="Q600" s="32" t="str">
        <f t="shared" si="420"/>
        <v/>
      </c>
      <c r="R600" s="32" t="str">
        <f t="shared" si="432"/>
        <v/>
      </c>
      <c r="S600" s="24" t="str">
        <f t="shared" si="433"/>
        <v/>
      </c>
      <c r="T600" s="24" t="str">
        <f t="shared" si="434"/>
        <v/>
      </c>
      <c r="U600" s="24" t="str">
        <f t="shared" si="435"/>
        <v/>
      </c>
      <c r="V600" s="24" t="str">
        <f t="shared" si="436"/>
        <v/>
      </c>
      <c r="W600" s="23" t="str">
        <f t="array" ref="W600">IFERROR(SMALL(IF(S$1:S$1000="BEGIN",ROW(S$1:S$1000)),ROW()-3),"")</f>
        <v/>
      </c>
      <c r="X600" s="23" t="str">
        <f t="array" ref="X600">IFERROR(SMALL(IF(T$1:T$1000="END",ROW(T$1:T$1000)),ROW()-3),"")</f>
        <v/>
      </c>
      <c r="Y600" s="33" t="str">
        <f t="array" ref="Y600">IF(ISNUMBER(W600),MAX(IF((B$4:B$1000&lt;=X600)*(B$4:B$1000&gt;=W600),I$4:I$1000, "")),"")</f>
        <v/>
      </c>
      <c r="Z600" s="33" t="str">
        <f t="shared" si="421"/>
        <v/>
      </c>
      <c r="AA600" s="32" t="str">
        <f t="shared" si="422"/>
        <v/>
      </c>
      <c r="AB600" s="32" t="str">
        <f t="shared" si="423"/>
        <v/>
      </c>
      <c r="AC600" s="32" t="str">
        <f t="shared" si="424"/>
        <v/>
      </c>
      <c r="AD600" s="32" t="str">
        <f t="shared" si="425"/>
        <v/>
      </c>
      <c r="AE600" s="34" t="str">
        <f t="shared" si="426"/>
        <v/>
      </c>
      <c r="AF600" s="32" t="str">
        <f t="shared" si="427"/>
        <v/>
      </c>
      <c r="AG600" s="32" t="str">
        <f t="shared" si="428"/>
        <v/>
      </c>
      <c r="AH600" s="32" t="str">
        <f t="shared" si="429"/>
        <v/>
      </c>
      <c r="AI600" s="35" t="str">
        <f t="shared" si="430"/>
        <v/>
      </c>
      <c r="AJ600" s="23" t="str">
        <f t="array" ref="AJ600">IFERROR(SMALL(IF(U$1:U$1000="BEGIN",ROW(U$1:U$1000)),ROW()-3),"")</f>
        <v/>
      </c>
      <c r="AK600" s="23" t="str">
        <f t="array" ref="AK600">IFERROR(SMALL(IF(V$1:V$1000="END",ROW(V$1:V$1000)),ROW()-3),"")</f>
        <v/>
      </c>
      <c r="AL600" s="24" t="str">
        <f t="array" ref="AL600">IF(AK600="","",MATCH(AM600,L:L,0))</f>
        <v/>
      </c>
      <c r="AM600" s="35">
        <f t="array" ref="AM600">MAX(IF((B$4:B$1000&lt;=AK600)*(B$4:B$1000&gt;=AJ600),L$4:L$1000, ""))</f>
        <v>0</v>
      </c>
      <c r="AN600" s="32" t="str">
        <f t="shared" si="437"/>
        <v/>
      </c>
      <c r="AO600" s="32" t="str">
        <f t="shared" si="438"/>
        <v/>
      </c>
      <c r="AP600" s="32" t="str">
        <f t="shared" si="439"/>
        <v/>
      </c>
      <c r="AQ600" s="32" t="str">
        <f t="shared" si="440"/>
        <v/>
      </c>
      <c r="AR600" s="32" t="str">
        <f t="shared" si="441"/>
        <v/>
      </c>
      <c r="AS600" s="32" t="str">
        <f t="shared" si="442"/>
        <v/>
      </c>
      <c r="AT600" s="32" t="str">
        <f t="shared" si="443"/>
        <v/>
      </c>
      <c r="AU600" s="34" t="str">
        <f t="shared" si="444"/>
        <v/>
      </c>
      <c r="AV600" s="32" t="str">
        <f t="shared" si="445"/>
        <v/>
      </c>
      <c r="AW600" s="32" t="str">
        <f t="shared" si="446"/>
        <v/>
      </c>
      <c r="AX600" s="32" t="str">
        <f t="shared" si="447"/>
        <v/>
      </c>
      <c r="AY600" s="32" t="str">
        <f t="shared" si="448"/>
        <v/>
      </c>
    </row>
    <row r="601" spans="1:51" x14ac:dyDescent="0.25">
      <c r="A601" s="24" t="str">
        <f t="shared" si="406"/>
        <v/>
      </c>
      <c r="B601" s="24" t="str">
        <f t="shared" si="416"/>
        <v/>
      </c>
      <c r="C601" s="32" t="str">
        <f t="shared" si="407"/>
        <v/>
      </c>
      <c r="D601" s="24" t="str">
        <f t="shared" si="408"/>
        <v/>
      </c>
      <c r="E601" s="24" t="str">
        <f t="shared" si="409"/>
        <v/>
      </c>
      <c r="F601" s="32" t="str">
        <f t="shared" si="410"/>
        <v/>
      </c>
      <c r="G601" s="32" t="str">
        <f t="shared" si="411"/>
        <v/>
      </c>
      <c r="H601" s="32" t="str">
        <f t="shared" ca="1" si="412"/>
        <v/>
      </c>
      <c r="I601" s="32" t="str">
        <f t="shared" ca="1" si="417"/>
        <v/>
      </c>
      <c r="J601" s="32" t="str">
        <f t="shared" si="413"/>
        <v/>
      </c>
      <c r="K601" s="32" t="str">
        <f>IF(ISNUMBER(A601),Profile!$V$25+Profile!$V$24*'Ri-Po'!C601,"")</f>
        <v/>
      </c>
      <c r="L601" s="32" t="str">
        <f t="shared" si="418"/>
        <v/>
      </c>
      <c r="M601" s="32" t="str">
        <f t="shared" si="414"/>
        <v/>
      </c>
      <c r="N601" s="32" t="str">
        <f t="shared" si="415"/>
        <v/>
      </c>
      <c r="O601" s="32" t="str">
        <f t="shared" si="431"/>
        <v/>
      </c>
      <c r="P601" s="32" t="str">
        <f t="shared" si="419"/>
        <v/>
      </c>
      <c r="Q601" s="32" t="str">
        <f t="shared" si="420"/>
        <v/>
      </c>
      <c r="R601" s="32" t="str">
        <f t="shared" si="432"/>
        <v/>
      </c>
      <c r="S601" s="24" t="str">
        <f t="shared" si="433"/>
        <v/>
      </c>
      <c r="T601" s="24" t="str">
        <f t="shared" si="434"/>
        <v/>
      </c>
      <c r="U601" s="24" t="str">
        <f t="shared" si="435"/>
        <v/>
      </c>
      <c r="V601" s="24" t="str">
        <f t="shared" si="436"/>
        <v/>
      </c>
      <c r="W601" s="23" t="str">
        <f t="array" ref="W601">IFERROR(SMALL(IF(S$1:S$1000="BEGIN",ROW(S$1:S$1000)),ROW()-3),"")</f>
        <v/>
      </c>
      <c r="X601" s="23" t="str">
        <f t="array" ref="X601">IFERROR(SMALL(IF(T$1:T$1000="END",ROW(T$1:T$1000)),ROW()-3),"")</f>
        <v/>
      </c>
      <c r="Y601" s="33" t="str">
        <f t="array" ref="Y601">IF(ISNUMBER(W601),MAX(IF((B$4:B$1000&lt;=X601)*(B$4:B$1000&gt;=W601),I$4:I$1000, "")),"")</f>
        <v/>
      </c>
      <c r="Z601" s="33" t="str">
        <f t="shared" si="421"/>
        <v/>
      </c>
      <c r="AA601" s="32" t="str">
        <f t="shared" si="422"/>
        <v/>
      </c>
      <c r="AB601" s="32" t="str">
        <f t="shared" si="423"/>
        <v/>
      </c>
      <c r="AC601" s="32" t="str">
        <f t="shared" si="424"/>
        <v/>
      </c>
      <c r="AD601" s="32" t="str">
        <f t="shared" si="425"/>
        <v/>
      </c>
      <c r="AE601" s="34" t="str">
        <f t="shared" si="426"/>
        <v/>
      </c>
      <c r="AF601" s="32" t="str">
        <f t="shared" si="427"/>
        <v/>
      </c>
      <c r="AG601" s="32" t="str">
        <f t="shared" si="428"/>
        <v/>
      </c>
      <c r="AH601" s="32" t="str">
        <f t="shared" si="429"/>
        <v/>
      </c>
      <c r="AI601" s="35" t="str">
        <f t="shared" si="430"/>
        <v/>
      </c>
      <c r="AJ601" s="23" t="str">
        <f t="array" ref="AJ601">IFERROR(SMALL(IF(U$1:U$1000="BEGIN",ROW(U$1:U$1000)),ROW()-3),"")</f>
        <v/>
      </c>
      <c r="AK601" s="23" t="str">
        <f t="array" ref="AK601">IFERROR(SMALL(IF(V$1:V$1000="END",ROW(V$1:V$1000)),ROW()-3),"")</f>
        <v/>
      </c>
      <c r="AL601" s="24" t="str">
        <f t="array" ref="AL601">IF(AK601="","",MATCH(AM601,L:L,0))</f>
        <v/>
      </c>
      <c r="AM601" s="35">
        <f t="array" ref="AM601">MAX(IF((B$4:B$1000&lt;=AK601)*(B$4:B$1000&gt;=AJ601),L$4:L$1000, ""))</f>
        <v>0</v>
      </c>
      <c r="AN601" s="32" t="str">
        <f t="shared" si="437"/>
        <v/>
      </c>
      <c r="AO601" s="32" t="str">
        <f t="shared" si="438"/>
        <v/>
      </c>
      <c r="AP601" s="32" t="str">
        <f t="shared" si="439"/>
        <v/>
      </c>
      <c r="AQ601" s="32" t="str">
        <f t="shared" si="440"/>
        <v/>
      </c>
      <c r="AR601" s="32" t="str">
        <f t="shared" si="441"/>
        <v/>
      </c>
      <c r="AS601" s="32" t="str">
        <f t="shared" si="442"/>
        <v/>
      </c>
      <c r="AT601" s="32" t="str">
        <f t="shared" si="443"/>
        <v/>
      </c>
      <c r="AU601" s="34" t="str">
        <f t="shared" si="444"/>
        <v/>
      </c>
      <c r="AV601" s="32" t="str">
        <f t="shared" si="445"/>
        <v/>
      </c>
      <c r="AW601" s="32" t="str">
        <f t="shared" si="446"/>
        <v/>
      </c>
      <c r="AX601" s="32" t="str">
        <f t="shared" si="447"/>
        <v/>
      </c>
      <c r="AY601" s="32" t="str">
        <f t="shared" si="448"/>
        <v/>
      </c>
    </row>
    <row r="602" spans="1:51" x14ac:dyDescent="0.25">
      <c r="A602" s="24" t="str">
        <f t="shared" si="406"/>
        <v/>
      </c>
      <c r="B602" s="24" t="str">
        <f t="shared" si="416"/>
        <v/>
      </c>
      <c r="C602" s="32" t="str">
        <f t="shared" si="407"/>
        <v/>
      </c>
      <c r="D602" s="24" t="str">
        <f t="shared" si="408"/>
        <v/>
      </c>
      <c r="E602" s="24" t="str">
        <f t="shared" si="409"/>
        <v/>
      </c>
      <c r="F602" s="32" t="str">
        <f t="shared" si="410"/>
        <v/>
      </c>
      <c r="G602" s="32" t="str">
        <f t="shared" si="411"/>
        <v/>
      </c>
      <c r="H602" s="32" t="str">
        <f t="shared" ca="1" si="412"/>
        <v/>
      </c>
      <c r="I602" s="32" t="str">
        <f t="shared" ca="1" si="417"/>
        <v/>
      </c>
      <c r="J602" s="32" t="str">
        <f t="shared" si="413"/>
        <v/>
      </c>
      <c r="K602" s="32" t="str">
        <f>IF(ISNUMBER(A602),Profile!$V$25+Profile!$V$24*'Ri-Po'!C602,"")</f>
        <v/>
      </c>
      <c r="L602" s="32" t="str">
        <f t="shared" si="418"/>
        <v/>
      </c>
      <c r="M602" s="32" t="str">
        <f t="shared" si="414"/>
        <v/>
      </c>
      <c r="N602" s="32" t="str">
        <f t="shared" si="415"/>
        <v/>
      </c>
      <c r="O602" s="32" t="str">
        <f t="shared" si="431"/>
        <v/>
      </c>
      <c r="P602" s="32" t="str">
        <f t="shared" si="419"/>
        <v/>
      </c>
      <c r="Q602" s="32" t="str">
        <f t="shared" si="420"/>
        <v/>
      </c>
      <c r="R602" s="32" t="str">
        <f t="shared" si="432"/>
        <v/>
      </c>
      <c r="S602" s="24" t="str">
        <f t="shared" si="433"/>
        <v/>
      </c>
      <c r="T602" s="24" t="str">
        <f t="shared" si="434"/>
        <v/>
      </c>
      <c r="U602" s="24" t="str">
        <f t="shared" si="435"/>
        <v/>
      </c>
      <c r="V602" s="24" t="str">
        <f t="shared" si="436"/>
        <v/>
      </c>
      <c r="W602" s="23" t="str">
        <f t="array" ref="W602">IFERROR(SMALL(IF(S$1:S$1000="BEGIN",ROW(S$1:S$1000)),ROW()-3),"")</f>
        <v/>
      </c>
      <c r="X602" s="23" t="str">
        <f t="array" ref="X602">IFERROR(SMALL(IF(T$1:T$1000="END",ROW(T$1:T$1000)),ROW()-3),"")</f>
        <v/>
      </c>
      <c r="Y602" s="33" t="str">
        <f t="array" ref="Y602">IF(ISNUMBER(W602),MAX(IF((B$4:B$1000&lt;=X602)*(B$4:B$1000&gt;=W602),I$4:I$1000, "")),"")</f>
        <v/>
      </c>
      <c r="Z602" s="33" t="str">
        <f t="shared" si="421"/>
        <v/>
      </c>
      <c r="AA602" s="32" t="str">
        <f t="shared" si="422"/>
        <v/>
      </c>
      <c r="AB602" s="32" t="str">
        <f t="shared" si="423"/>
        <v/>
      </c>
      <c r="AC602" s="32" t="str">
        <f t="shared" si="424"/>
        <v/>
      </c>
      <c r="AD602" s="32" t="str">
        <f t="shared" si="425"/>
        <v/>
      </c>
      <c r="AE602" s="34" t="str">
        <f t="shared" si="426"/>
        <v/>
      </c>
      <c r="AF602" s="32" t="str">
        <f t="shared" si="427"/>
        <v/>
      </c>
      <c r="AG602" s="32" t="str">
        <f t="shared" si="428"/>
        <v/>
      </c>
      <c r="AH602" s="32" t="str">
        <f t="shared" si="429"/>
        <v/>
      </c>
      <c r="AI602" s="35" t="str">
        <f t="shared" si="430"/>
        <v/>
      </c>
      <c r="AJ602" s="23" t="str">
        <f t="array" ref="AJ602">IFERROR(SMALL(IF(U$1:U$1000="BEGIN",ROW(U$1:U$1000)),ROW()-3),"")</f>
        <v/>
      </c>
      <c r="AK602" s="23" t="str">
        <f t="array" ref="AK602">IFERROR(SMALL(IF(V$1:V$1000="END",ROW(V$1:V$1000)),ROW()-3),"")</f>
        <v/>
      </c>
      <c r="AL602" s="24" t="str">
        <f t="array" ref="AL602">IF(AK602="","",MATCH(AM602,L:L,0))</f>
        <v/>
      </c>
      <c r="AM602" s="35">
        <f t="array" ref="AM602">MAX(IF((B$4:B$1000&lt;=AK602)*(B$4:B$1000&gt;=AJ602),L$4:L$1000, ""))</f>
        <v>0</v>
      </c>
      <c r="AN602" s="32" t="str">
        <f t="shared" si="437"/>
        <v/>
      </c>
      <c r="AO602" s="32" t="str">
        <f t="shared" si="438"/>
        <v/>
      </c>
      <c r="AP602" s="32" t="str">
        <f t="shared" si="439"/>
        <v/>
      </c>
      <c r="AQ602" s="32" t="str">
        <f t="shared" si="440"/>
        <v/>
      </c>
      <c r="AR602" s="32" t="str">
        <f t="shared" si="441"/>
        <v/>
      </c>
      <c r="AS602" s="32" t="str">
        <f t="shared" si="442"/>
        <v/>
      </c>
      <c r="AT602" s="32" t="str">
        <f t="shared" si="443"/>
        <v/>
      </c>
      <c r="AU602" s="34" t="str">
        <f t="shared" si="444"/>
        <v/>
      </c>
      <c r="AV602" s="32" t="str">
        <f t="shared" si="445"/>
        <v/>
      </c>
      <c r="AW602" s="32" t="str">
        <f t="shared" si="446"/>
        <v/>
      </c>
      <c r="AX602" s="32" t="str">
        <f t="shared" si="447"/>
        <v/>
      </c>
      <c r="AY602" s="32" t="str">
        <f t="shared" si="448"/>
        <v/>
      </c>
    </row>
    <row r="603" spans="1:51" x14ac:dyDescent="0.25">
      <c r="A603" s="24" t="str">
        <f t="shared" si="406"/>
        <v/>
      </c>
      <c r="B603" s="24" t="str">
        <f t="shared" si="416"/>
        <v/>
      </c>
      <c r="C603" s="32" t="str">
        <f t="shared" si="407"/>
        <v/>
      </c>
      <c r="D603" s="24" t="str">
        <f t="shared" si="408"/>
        <v/>
      </c>
      <c r="E603" s="24" t="str">
        <f t="shared" si="409"/>
        <v/>
      </c>
      <c r="F603" s="32" t="str">
        <f t="shared" si="410"/>
        <v/>
      </c>
      <c r="G603" s="32" t="str">
        <f t="shared" si="411"/>
        <v/>
      </c>
      <c r="H603" s="32" t="str">
        <f t="shared" ca="1" si="412"/>
        <v/>
      </c>
      <c r="I603" s="32" t="str">
        <f t="shared" ca="1" si="417"/>
        <v/>
      </c>
      <c r="J603" s="32" t="str">
        <f t="shared" si="413"/>
        <v/>
      </c>
      <c r="K603" s="32" t="str">
        <f>IF(ISNUMBER(A603),Profile!$V$25+Profile!$V$24*'Ri-Po'!C603,"")</f>
        <v/>
      </c>
      <c r="L603" s="32" t="str">
        <f t="shared" si="418"/>
        <v/>
      </c>
      <c r="M603" s="32" t="str">
        <f t="shared" si="414"/>
        <v/>
      </c>
      <c r="N603" s="32" t="str">
        <f t="shared" si="415"/>
        <v/>
      </c>
      <c r="O603" s="32" t="str">
        <f t="shared" si="431"/>
        <v/>
      </c>
      <c r="P603" s="32" t="str">
        <f t="shared" si="419"/>
        <v/>
      </c>
      <c r="Q603" s="32" t="str">
        <f t="shared" si="420"/>
        <v/>
      </c>
      <c r="R603" s="32" t="str">
        <f t="shared" si="432"/>
        <v/>
      </c>
      <c r="S603" s="24" t="str">
        <f t="shared" si="433"/>
        <v/>
      </c>
      <c r="T603" s="24" t="str">
        <f t="shared" si="434"/>
        <v/>
      </c>
      <c r="U603" s="24" t="str">
        <f t="shared" si="435"/>
        <v/>
      </c>
      <c r="V603" s="24" t="str">
        <f t="shared" si="436"/>
        <v/>
      </c>
      <c r="W603" s="23" t="str">
        <f t="array" ref="W603">IFERROR(SMALL(IF(S$1:S$1000="BEGIN",ROW(S$1:S$1000)),ROW()-3),"")</f>
        <v/>
      </c>
      <c r="X603" s="23" t="str">
        <f t="array" ref="X603">IFERROR(SMALL(IF(T$1:T$1000="END",ROW(T$1:T$1000)),ROW()-3),"")</f>
        <v/>
      </c>
      <c r="Y603" s="33" t="str">
        <f t="array" ref="Y603">IF(ISNUMBER(W603),MAX(IF((B$4:B$1000&lt;=X603)*(B$4:B$1000&gt;=W603),I$4:I$1000, "")),"")</f>
        <v/>
      </c>
      <c r="Z603" s="33" t="str">
        <f t="shared" si="421"/>
        <v/>
      </c>
      <c r="AA603" s="32" t="str">
        <f t="shared" si="422"/>
        <v/>
      </c>
      <c r="AB603" s="32" t="str">
        <f t="shared" si="423"/>
        <v/>
      </c>
      <c r="AC603" s="32" t="str">
        <f t="shared" si="424"/>
        <v/>
      </c>
      <c r="AD603" s="32" t="str">
        <f t="shared" si="425"/>
        <v/>
      </c>
      <c r="AE603" s="34" t="str">
        <f t="shared" si="426"/>
        <v/>
      </c>
      <c r="AF603" s="32" t="str">
        <f t="shared" si="427"/>
        <v/>
      </c>
      <c r="AG603" s="32" t="str">
        <f t="shared" si="428"/>
        <v/>
      </c>
      <c r="AH603" s="32" t="str">
        <f t="shared" si="429"/>
        <v/>
      </c>
      <c r="AI603" s="35" t="str">
        <f t="shared" si="430"/>
        <v/>
      </c>
      <c r="AJ603" s="23" t="str">
        <f t="array" ref="AJ603">IFERROR(SMALL(IF(U$1:U$1000="BEGIN",ROW(U$1:U$1000)),ROW()-3),"")</f>
        <v/>
      </c>
      <c r="AK603" s="23" t="str">
        <f t="array" ref="AK603">IFERROR(SMALL(IF(V$1:V$1000="END",ROW(V$1:V$1000)),ROW()-3),"")</f>
        <v/>
      </c>
      <c r="AL603" s="24" t="str">
        <f t="array" ref="AL603">IF(AK603="","",MATCH(AM603,L:L,0))</f>
        <v/>
      </c>
      <c r="AM603" s="35">
        <f t="array" ref="AM603">MAX(IF((B$4:B$1000&lt;=AK603)*(B$4:B$1000&gt;=AJ603),L$4:L$1000, ""))</f>
        <v>0</v>
      </c>
      <c r="AN603" s="32" t="str">
        <f t="shared" si="437"/>
        <v/>
      </c>
      <c r="AO603" s="32" t="str">
        <f t="shared" si="438"/>
        <v/>
      </c>
      <c r="AP603" s="32" t="str">
        <f t="shared" si="439"/>
        <v/>
      </c>
      <c r="AQ603" s="32" t="str">
        <f t="shared" si="440"/>
        <v/>
      </c>
      <c r="AR603" s="32" t="str">
        <f t="shared" si="441"/>
        <v/>
      </c>
      <c r="AS603" s="32" t="str">
        <f t="shared" si="442"/>
        <v/>
      </c>
      <c r="AT603" s="32" t="str">
        <f t="shared" si="443"/>
        <v/>
      </c>
      <c r="AU603" s="34" t="str">
        <f t="shared" si="444"/>
        <v/>
      </c>
      <c r="AV603" s="32" t="str">
        <f t="shared" si="445"/>
        <v/>
      </c>
      <c r="AW603" s="32" t="str">
        <f t="shared" si="446"/>
        <v/>
      </c>
      <c r="AX603" s="32" t="str">
        <f t="shared" si="447"/>
        <v/>
      </c>
      <c r="AY603" s="32" t="str">
        <f t="shared" si="448"/>
        <v/>
      </c>
    </row>
    <row r="604" spans="1:51" x14ac:dyDescent="0.25">
      <c r="A604" s="24" t="str">
        <f t="shared" si="406"/>
        <v/>
      </c>
      <c r="B604" s="24" t="str">
        <f t="shared" si="416"/>
        <v/>
      </c>
      <c r="C604" s="32" t="str">
        <f t="shared" si="407"/>
        <v/>
      </c>
      <c r="D604" s="24" t="str">
        <f t="shared" si="408"/>
        <v/>
      </c>
      <c r="E604" s="24" t="str">
        <f t="shared" si="409"/>
        <v/>
      </c>
      <c r="F604" s="32" t="str">
        <f t="shared" si="410"/>
        <v/>
      </c>
      <c r="G604" s="32" t="str">
        <f t="shared" si="411"/>
        <v/>
      </c>
      <c r="H604" s="32" t="str">
        <f t="shared" ca="1" si="412"/>
        <v/>
      </c>
      <c r="I604" s="32" t="str">
        <f t="shared" ca="1" si="417"/>
        <v/>
      </c>
      <c r="J604" s="32" t="str">
        <f t="shared" si="413"/>
        <v/>
      </c>
      <c r="K604" s="32" t="str">
        <f>IF(ISNUMBER(A604),Profile!$V$25+Profile!$V$24*'Ri-Po'!C604,"")</f>
        <v/>
      </c>
      <c r="L604" s="32" t="str">
        <f t="shared" si="418"/>
        <v/>
      </c>
      <c r="M604" s="32" t="str">
        <f t="shared" si="414"/>
        <v/>
      </c>
      <c r="N604" s="32" t="str">
        <f t="shared" si="415"/>
        <v/>
      </c>
      <c r="O604" s="32" t="str">
        <f t="shared" si="431"/>
        <v/>
      </c>
      <c r="P604" s="32" t="str">
        <f t="shared" si="419"/>
        <v/>
      </c>
      <c r="Q604" s="32" t="str">
        <f t="shared" si="420"/>
        <v/>
      </c>
      <c r="R604" s="32" t="str">
        <f t="shared" si="432"/>
        <v/>
      </c>
      <c r="S604" s="24" t="str">
        <f t="shared" si="433"/>
        <v/>
      </c>
      <c r="T604" s="24" t="str">
        <f t="shared" si="434"/>
        <v/>
      </c>
      <c r="U604" s="24" t="str">
        <f t="shared" si="435"/>
        <v/>
      </c>
      <c r="V604" s="24" t="str">
        <f t="shared" si="436"/>
        <v/>
      </c>
      <c r="W604" s="23" t="str">
        <f t="array" ref="W604">IFERROR(SMALL(IF(S$1:S$1000="BEGIN",ROW(S$1:S$1000)),ROW()-3),"")</f>
        <v/>
      </c>
      <c r="X604" s="23" t="str">
        <f t="array" ref="X604">IFERROR(SMALL(IF(T$1:T$1000="END",ROW(T$1:T$1000)),ROW()-3),"")</f>
        <v/>
      </c>
      <c r="Y604" s="33" t="str">
        <f t="array" ref="Y604">IF(ISNUMBER(W604),MAX(IF((B$4:B$1000&lt;=X604)*(B$4:B$1000&gt;=W604),I$4:I$1000, "")),"")</f>
        <v/>
      </c>
      <c r="Z604" s="33" t="str">
        <f t="shared" si="421"/>
        <v/>
      </c>
      <c r="AA604" s="32" t="str">
        <f t="shared" si="422"/>
        <v/>
      </c>
      <c r="AB604" s="32" t="str">
        <f t="shared" si="423"/>
        <v/>
      </c>
      <c r="AC604" s="32" t="str">
        <f t="shared" si="424"/>
        <v/>
      </c>
      <c r="AD604" s="32" t="str">
        <f t="shared" si="425"/>
        <v/>
      </c>
      <c r="AE604" s="34" t="str">
        <f t="shared" si="426"/>
        <v/>
      </c>
      <c r="AF604" s="32" t="str">
        <f t="shared" si="427"/>
        <v/>
      </c>
      <c r="AG604" s="32" t="str">
        <f t="shared" si="428"/>
        <v/>
      </c>
      <c r="AH604" s="32" t="str">
        <f t="shared" si="429"/>
        <v/>
      </c>
      <c r="AI604" s="35" t="str">
        <f t="shared" si="430"/>
        <v/>
      </c>
      <c r="AJ604" s="23" t="str">
        <f t="array" ref="AJ604">IFERROR(SMALL(IF(U$1:U$1000="BEGIN",ROW(U$1:U$1000)),ROW()-3),"")</f>
        <v/>
      </c>
      <c r="AK604" s="23" t="str">
        <f t="array" ref="AK604">IFERROR(SMALL(IF(V$1:V$1000="END",ROW(V$1:V$1000)),ROW()-3),"")</f>
        <v/>
      </c>
      <c r="AL604" s="24" t="str">
        <f t="array" ref="AL604">IF(AK604="","",MATCH(AM604,L:L,0))</f>
        <v/>
      </c>
      <c r="AM604" s="35">
        <f t="array" ref="AM604">MAX(IF((B$4:B$1000&lt;=AK604)*(B$4:B$1000&gt;=AJ604),L$4:L$1000, ""))</f>
        <v>0</v>
      </c>
      <c r="AN604" s="32" t="str">
        <f t="shared" si="437"/>
        <v/>
      </c>
      <c r="AO604" s="32" t="str">
        <f t="shared" si="438"/>
        <v/>
      </c>
      <c r="AP604" s="32" t="str">
        <f t="shared" si="439"/>
        <v/>
      </c>
      <c r="AQ604" s="32" t="str">
        <f t="shared" si="440"/>
        <v/>
      </c>
      <c r="AR604" s="32" t="str">
        <f t="shared" si="441"/>
        <v/>
      </c>
      <c r="AS604" s="32" t="str">
        <f t="shared" si="442"/>
        <v/>
      </c>
      <c r="AT604" s="32" t="str">
        <f t="shared" si="443"/>
        <v/>
      </c>
      <c r="AU604" s="34" t="str">
        <f t="shared" si="444"/>
        <v/>
      </c>
      <c r="AV604" s="32" t="str">
        <f t="shared" si="445"/>
        <v/>
      </c>
      <c r="AW604" s="32" t="str">
        <f t="shared" si="446"/>
        <v/>
      </c>
      <c r="AX604" s="32" t="str">
        <f t="shared" si="447"/>
        <v/>
      </c>
      <c r="AY604" s="32" t="str">
        <f t="shared" si="448"/>
        <v/>
      </c>
    </row>
    <row r="605" spans="1:51" x14ac:dyDescent="0.25">
      <c r="A605" s="24" t="str">
        <f t="shared" si="406"/>
        <v/>
      </c>
      <c r="B605" s="24" t="str">
        <f t="shared" si="416"/>
        <v/>
      </c>
      <c r="C605" s="32" t="str">
        <f t="shared" si="407"/>
        <v/>
      </c>
      <c r="D605" s="24" t="str">
        <f t="shared" si="408"/>
        <v/>
      </c>
      <c r="E605" s="24" t="str">
        <f t="shared" si="409"/>
        <v/>
      </c>
      <c r="F605" s="32" t="str">
        <f t="shared" si="410"/>
        <v/>
      </c>
      <c r="G605" s="32" t="str">
        <f t="shared" si="411"/>
        <v/>
      </c>
      <c r="H605" s="32" t="str">
        <f t="shared" ca="1" si="412"/>
        <v/>
      </c>
      <c r="I605" s="32" t="str">
        <f t="shared" ca="1" si="417"/>
        <v/>
      </c>
      <c r="J605" s="32" t="str">
        <f t="shared" si="413"/>
        <v/>
      </c>
      <c r="K605" s="32" t="str">
        <f>IF(ISNUMBER(A605),Profile!$V$25+Profile!$V$24*'Ri-Po'!C605,"")</f>
        <v/>
      </c>
      <c r="L605" s="32" t="str">
        <f t="shared" si="418"/>
        <v/>
      </c>
      <c r="M605" s="32" t="str">
        <f t="shared" si="414"/>
        <v/>
      </c>
      <c r="N605" s="32" t="str">
        <f t="shared" si="415"/>
        <v/>
      </c>
      <c r="O605" s="32" t="str">
        <f t="shared" si="431"/>
        <v/>
      </c>
      <c r="P605" s="32" t="str">
        <f t="shared" si="419"/>
        <v/>
      </c>
      <c r="Q605" s="32" t="str">
        <f t="shared" si="420"/>
        <v/>
      </c>
      <c r="R605" s="32" t="str">
        <f t="shared" si="432"/>
        <v/>
      </c>
      <c r="S605" s="24" t="str">
        <f t="shared" si="433"/>
        <v/>
      </c>
      <c r="T605" s="24" t="str">
        <f t="shared" si="434"/>
        <v/>
      </c>
      <c r="U605" s="24" t="str">
        <f t="shared" si="435"/>
        <v/>
      </c>
      <c r="V605" s="24" t="str">
        <f t="shared" si="436"/>
        <v/>
      </c>
      <c r="W605" s="23" t="str">
        <f t="array" ref="W605">IFERROR(SMALL(IF(S$1:S$1000="BEGIN",ROW(S$1:S$1000)),ROW()-3),"")</f>
        <v/>
      </c>
      <c r="X605" s="23" t="str">
        <f t="array" ref="X605">IFERROR(SMALL(IF(T$1:T$1000="END",ROW(T$1:T$1000)),ROW()-3),"")</f>
        <v/>
      </c>
      <c r="Y605" s="33" t="str">
        <f t="array" ref="Y605">IF(ISNUMBER(W605),MAX(IF((B$4:B$1000&lt;=X605)*(B$4:B$1000&gt;=W605),I$4:I$1000, "")),"")</f>
        <v/>
      </c>
      <c r="Z605" s="33" t="str">
        <f t="shared" si="421"/>
        <v/>
      </c>
      <c r="AA605" s="32" t="str">
        <f t="shared" si="422"/>
        <v/>
      </c>
      <c r="AB605" s="32" t="str">
        <f t="shared" si="423"/>
        <v/>
      </c>
      <c r="AC605" s="32" t="str">
        <f t="shared" si="424"/>
        <v/>
      </c>
      <c r="AD605" s="32" t="str">
        <f t="shared" si="425"/>
        <v/>
      </c>
      <c r="AE605" s="34" t="str">
        <f t="shared" si="426"/>
        <v/>
      </c>
      <c r="AF605" s="32" t="str">
        <f t="shared" si="427"/>
        <v/>
      </c>
      <c r="AG605" s="32" t="str">
        <f t="shared" si="428"/>
        <v/>
      </c>
      <c r="AH605" s="32" t="str">
        <f t="shared" si="429"/>
        <v/>
      </c>
      <c r="AI605" s="35" t="str">
        <f t="shared" si="430"/>
        <v/>
      </c>
      <c r="AJ605" s="23" t="str">
        <f t="array" ref="AJ605">IFERROR(SMALL(IF(U$1:U$1000="BEGIN",ROW(U$1:U$1000)),ROW()-3),"")</f>
        <v/>
      </c>
      <c r="AK605" s="23" t="str">
        <f t="array" ref="AK605">IFERROR(SMALL(IF(V$1:V$1000="END",ROW(V$1:V$1000)),ROW()-3),"")</f>
        <v/>
      </c>
      <c r="AL605" s="24" t="str">
        <f t="array" ref="AL605">IF(AK605="","",MATCH(AM605,L:L,0))</f>
        <v/>
      </c>
      <c r="AM605" s="35">
        <f t="array" ref="AM605">MAX(IF((B$4:B$1000&lt;=AK605)*(B$4:B$1000&gt;=AJ605),L$4:L$1000, ""))</f>
        <v>0</v>
      </c>
      <c r="AN605" s="32" t="str">
        <f t="shared" si="437"/>
        <v/>
      </c>
      <c r="AO605" s="32" t="str">
        <f t="shared" si="438"/>
        <v/>
      </c>
      <c r="AP605" s="32" t="str">
        <f t="shared" si="439"/>
        <v/>
      </c>
      <c r="AQ605" s="32" t="str">
        <f t="shared" si="440"/>
        <v/>
      </c>
      <c r="AR605" s="32" t="str">
        <f t="shared" si="441"/>
        <v/>
      </c>
      <c r="AS605" s="32" t="str">
        <f t="shared" si="442"/>
        <v/>
      </c>
      <c r="AT605" s="32" t="str">
        <f t="shared" si="443"/>
        <v/>
      </c>
      <c r="AU605" s="34" t="str">
        <f t="shared" si="444"/>
        <v/>
      </c>
      <c r="AV605" s="32" t="str">
        <f t="shared" si="445"/>
        <v/>
      </c>
      <c r="AW605" s="32" t="str">
        <f t="shared" si="446"/>
        <v/>
      </c>
      <c r="AX605" s="32" t="str">
        <f t="shared" si="447"/>
        <v/>
      </c>
      <c r="AY605" s="32" t="str">
        <f t="shared" si="448"/>
        <v/>
      </c>
    </row>
    <row r="606" spans="1:51" x14ac:dyDescent="0.25">
      <c r="A606" s="24" t="str">
        <f t="shared" si="406"/>
        <v/>
      </c>
      <c r="B606" s="24" t="str">
        <f t="shared" si="416"/>
        <v/>
      </c>
      <c r="C606" s="32" t="str">
        <f t="shared" si="407"/>
        <v/>
      </c>
      <c r="D606" s="24" t="str">
        <f t="shared" si="408"/>
        <v/>
      </c>
      <c r="E606" s="24" t="str">
        <f t="shared" si="409"/>
        <v/>
      </c>
      <c r="F606" s="32" t="str">
        <f t="shared" si="410"/>
        <v/>
      </c>
      <c r="G606" s="32" t="str">
        <f t="shared" si="411"/>
        <v/>
      </c>
      <c r="H606" s="32" t="str">
        <f t="shared" ca="1" si="412"/>
        <v/>
      </c>
      <c r="I606" s="32" t="str">
        <f t="shared" ca="1" si="417"/>
        <v/>
      </c>
      <c r="J606" s="32" t="str">
        <f t="shared" si="413"/>
        <v/>
      </c>
      <c r="K606" s="32" t="str">
        <f>IF(ISNUMBER(A606),Profile!$V$25+Profile!$V$24*'Ri-Po'!C606,"")</f>
        <v/>
      </c>
      <c r="L606" s="32" t="str">
        <f t="shared" si="418"/>
        <v/>
      </c>
      <c r="M606" s="32" t="str">
        <f t="shared" si="414"/>
        <v/>
      </c>
      <c r="N606" s="32" t="str">
        <f t="shared" si="415"/>
        <v/>
      </c>
      <c r="O606" s="32" t="str">
        <f t="shared" si="431"/>
        <v/>
      </c>
      <c r="P606" s="32" t="str">
        <f t="shared" si="419"/>
        <v/>
      </c>
      <c r="Q606" s="32" t="str">
        <f t="shared" si="420"/>
        <v/>
      </c>
      <c r="R606" s="32" t="str">
        <f t="shared" si="432"/>
        <v/>
      </c>
      <c r="S606" s="24" t="str">
        <f t="shared" si="433"/>
        <v/>
      </c>
      <c r="T606" s="24" t="str">
        <f t="shared" si="434"/>
        <v/>
      </c>
      <c r="U606" s="24" t="str">
        <f t="shared" si="435"/>
        <v/>
      </c>
      <c r="V606" s="24" t="str">
        <f t="shared" si="436"/>
        <v/>
      </c>
      <c r="W606" s="23" t="str">
        <f t="array" ref="W606">IFERROR(SMALL(IF(S$1:S$1000="BEGIN",ROW(S$1:S$1000)),ROW()-3),"")</f>
        <v/>
      </c>
      <c r="X606" s="23" t="str">
        <f t="array" ref="X606">IFERROR(SMALL(IF(T$1:T$1000="END",ROW(T$1:T$1000)),ROW()-3),"")</f>
        <v/>
      </c>
      <c r="Y606" s="33" t="str">
        <f t="array" ref="Y606">IF(ISNUMBER(W606),MAX(IF((B$4:B$1000&lt;=X606)*(B$4:B$1000&gt;=W606),I$4:I$1000, "")),"")</f>
        <v/>
      </c>
      <c r="Z606" s="33" t="str">
        <f t="shared" si="421"/>
        <v/>
      </c>
      <c r="AA606" s="32" t="str">
        <f t="shared" si="422"/>
        <v/>
      </c>
      <c r="AB606" s="32" t="str">
        <f t="shared" si="423"/>
        <v/>
      </c>
      <c r="AC606" s="32" t="str">
        <f t="shared" si="424"/>
        <v/>
      </c>
      <c r="AD606" s="32" t="str">
        <f t="shared" si="425"/>
        <v/>
      </c>
      <c r="AE606" s="34" t="str">
        <f t="shared" si="426"/>
        <v/>
      </c>
      <c r="AF606" s="32" t="str">
        <f t="shared" si="427"/>
        <v/>
      </c>
      <c r="AG606" s="32" t="str">
        <f t="shared" si="428"/>
        <v/>
      </c>
      <c r="AH606" s="32" t="str">
        <f t="shared" si="429"/>
        <v/>
      </c>
      <c r="AI606" s="35" t="str">
        <f t="shared" si="430"/>
        <v/>
      </c>
      <c r="AJ606" s="23" t="str">
        <f t="array" ref="AJ606">IFERROR(SMALL(IF(U$1:U$1000="BEGIN",ROW(U$1:U$1000)),ROW()-3),"")</f>
        <v/>
      </c>
      <c r="AK606" s="23" t="str">
        <f t="array" ref="AK606">IFERROR(SMALL(IF(V$1:V$1000="END",ROW(V$1:V$1000)),ROW()-3),"")</f>
        <v/>
      </c>
      <c r="AL606" s="24" t="str">
        <f t="array" ref="AL606">IF(AK606="","",MATCH(AM606,L:L,0))</f>
        <v/>
      </c>
      <c r="AM606" s="35">
        <f t="array" ref="AM606">MAX(IF((B$4:B$1000&lt;=AK606)*(B$4:B$1000&gt;=AJ606),L$4:L$1000, ""))</f>
        <v>0</v>
      </c>
      <c r="AN606" s="32" t="str">
        <f t="shared" si="437"/>
        <v/>
      </c>
      <c r="AO606" s="32" t="str">
        <f t="shared" si="438"/>
        <v/>
      </c>
      <c r="AP606" s="32" t="str">
        <f t="shared" si="439"/>
        <v/>
      </c>
      <c r="AQ606" s="32" t="str">
        <f t="shared" si="440"/>
        <v/>
      </c>
      <c r="AR606" s="32" t="str">
        <f t="shared" si="441"/>
        <v/>
      </c>
      <c r="AS606" s="32" t="str">
        <f t="shared" si="442"/>
        <v/>
      </c>
      <c r="AT606" s="32" t="str">
        <f t="shared" si="443"/>
        <v/>
      </c>
      <c r="AU606" s="34" t="str">
        <f t="shared" si="444"/>
        <v/>
      </c>
      <c r="AV606" s="32" t="str">
        <f t="shared" si="445"/>
        <v/>
      </c>
      <c r="AW606" s="32" t="str">
        <f t="shared" si="446"/>
        <v/>
      </c>
      <c r="AX606" s="32" t="str">
        <f t="shared" si="447"/>
        <v/>
      </c>
      <c r="AY606" s="32" t="str">
        <f t="shared" si="448"/>
        <v/>
      </c>
    </row>
    <row r="607" spans="1:51" x14ac:dyDescent="0.25">
      <c r="A607" s="24" t="str">
        <f t="shared" si="406"/>
        <v/>
      </c>
      <c r="B607" s="24" t="str">
        <f t="shared" si="416"/>
        <v/>
      </c>
      <c r="C607" s="32" t="str">
        <f t="shared" si="407"/>
        <v/>
      </c>
      <c r="D607" s="24" t="str">
        <f t="shared" si="408"/>
        <v/>
      </c>
      <c r="E607" s="24" t="str">
        <f t="shared" si="409"/>
        <v/>
      </c>
      <c r="F607" s="32" t="str">
        <f t="shared" si="410"/>
        <v/>
      </c>
      <c r="G607" s="32" t="str">
        <f t="shared" si="411"/>
        <v/>
      </c>
      <c r="H607" s="32" t="str">
        <f t="shared" ca="1" si="412"/>
        <v/>
      </c>
      <c r="I607" s="32" t="str">
        <f t="shared" ca="1" si="417"/>
        <v/>
      </c>
      <c r="J607" s="32" t="str">
        <f t="shared" si="413"/>
        <v/>
      </c>
      <c r="K607" s="32" t="str">
        <f>IF(ISNUMBER(A607),Profile!$V$25+Profile!$V$24*'Ri-Po'!C607,"")</f>
        <v/>
      </c>
      <c r="L607" s="32" t="str">
        <f t="shared" si="418"/>
        <v/>
      </c>
      <c r="M607" s="32" t="str">
        <f t="shared" si="414"/>
        <v/>
      </c>
      <c r="N607" s="32" t="str">
        <f t="shared" si="415"/>
        <v/>
      </c>
      <c r="O607" s="32" t="str">
        <f t="shared" si="431"/>
        <v/>
      </c>
      <c r="P607" s="32" t="str">
        <f t="shared" si="419"/>
        <v/>
      </c>
      <c r="Q607" s="32" t="str">
        <f t="shared" si="420"/>
        <v/>
      </c>
      <c r="R607" s="32" t="str">
        <f t="shared" si="432"/>
        <v/>
      </c>
      <c r="S607" s="24" t="str">
        <f t="shared" si="433"/>
        <v/>
      </c>
      <c r="T607" s="24" t="str">
        <f t="shared" si="434"/>
        <v/>
      </c>
      <c r="U607" s="24" t="str">
        <f t="shared" si="435"/>
        <v/>
      </c>
      <c r="V607" s="24" t="str">
        <f t="shared" si="436"/>
        <v/>
      </c>
      <c r="W607" s="23" t="str">
        <f t="array" ref="W607">IFERROR(SMALL(IF(S$1:S$1000="BEGIN",ROW(S$1:S$1000)),ROW()-3),"")</f>
        <v/>
      </c>
      <c r="X607" s="23" t="str">
        <f t="array" ref="X607">IFERROR(SMALL(IF(T$1:T$1000="END",ROW(T$1:T$1000)),ROW()-3),"")</f>
        <v/>
      </c>
      <c r="Y607" s="33" t="str">
        <f t="array" ref="Y607">IF(ISNUMBER(W607),MAX(IF((B$4:B$1000&lt;=X607)*(B$4:B$1000&gt;=W607),I$4:I$1000, "")),"")</f>
        <v/>
      </c>
      <c r="Z607" s="33" t="str">
        <f t="shared" si="421"/>
        <v/>
      </c>
      <c r="AA607" s="32" t="str">
        <f t="shared" si="422"/>
        <v/>
      </c>
      <c r="AB607" s="32" t="str">
        <f t="shared" si="423"/>
        <v/>
      </c>
      <c r="AC607" s="32" t="str">
        <f t="shared" si="424"/>
        <v/>
      </c>
      <c r="AD607" s="32" t="str">
        <f t="shared" si="425"/>
        <v/>
      </c>
      <c r="AE607" s="34" t="str">
        <f t="shared" si="426"/>
        <v/>
      </c>
      <c r="AF607" s="32" t="str">
        <f t="shared" si="427"/>
        <v/>
      </c>
      <c r="AG607" s="32" t="str">
        <f t="shared" si="428"/>
        <v/>
      </c>
      <c r="AH607" s="32" t="str">
        <f t="shared" si="429"/>
        <v/>
      </c>
      <c r="AI607" s="35" t="str">
        <f t="shared" si="430"/>
        <v/>
      </c>
      <c r="AJ607" s="23" t="str">
        <f t="array" ref="AJ607">IFERROR(SMALL(IF(U$1:U$1000="BEGIN",ROW(U$1:U$1000)),ROW()-3),"")</f>
        <v/>
      </c>
      <c r="AK607" s="23" t="str">
        <f t="array" ref="AK607">IFERROR(SMALL(IF(V$1:V$1000="END",ROW(V$1:V$1000)),ROW()-3),"")</f>
        <v/>
      </c>
      <c r="AL607" s="24" t="str">
        <f t="array" ref="AL607">IF(AK607="","",MATCH(AM607,L:L,0))</f>
        <v/>
      </c>
      <c r="AM607" s="35">
        <f t="array" ref="AM607">MAX(IF((B$4:B$1000&lt;=AK607)*(B$4:B$1000&gt;=AJ607),L$4:L$1000, ""))</f>
        <v>0</v>
      </c>
      <c r="AN607" s="32" t="str">
        <f t="shared" si="437"/>
        <v/>
      </c>
      <c r="AO607" s="32" t="str">
        <f t="shared" si="438"/>
        <v/>
      </c>
      <c r="AP607" s="32" t="str">
        <f t="shared" si="439"/>
        <v/>
      </c>
      <c r="AQ607" s="32" t="str">
        <f t="shared" si="440"/>
        <v/>
      </c>
      <c r="AR607" s="32" t="str">
        <f t="shared" si="441"/>
        <v/>
      </c>
      <c r="AS607" s="32" t="str">
        <f t="shared" si="442"/>
        <v/>
      </c>
      <c r="AT607" s="32" t="str">
        <f t="shared" si="443"/>
        <v/>
      </c>
      <c r="AU607" s="34" t="str">
        <f t="shared" si="444"/>
        <v/>
      </c>
      <c r="AV607" s="32" t="str">
        <f t="shared" si="445"/>
        <v/>
      </c>
      <c r="AW607" s="32" t="str">
        <f t="shared" si="446"/>
        <v/>
      </c>
      <c r="AX607" s="32" t="str">
        <f t="shared" si="447"/>
        <v/>
      </c>
      <c r="AY607" s="32" t="str">
        <f t="shared" si="448"/>
        <v/>
      </c>
    </row>
    <row r="608" spans="1:51" x14ac:dyDescent="0.25">
      <c r="A608" s="24" t="str">
        <f t="shared" si="406"/>
        <v/>
      </c>
      <c r="B608" s="24" t="str">
        <f t="shared" si="416"/>
        <v/>
      </c>
      <c r="C608" s="32" t="str">
        <f t="shared" si="407"/>
        <v/>
      </c>
      <c r="D608" s="24" t="str">
        <f t="shared" si="408"/>
        <v/>
      </c>
      <c r="E608" s="24" t="str">
        <f t="shared" si="409"/>
        <v/>
      </c>
      <c r="F608" s="32" t="str">
        <f t="shared" si="410"/>
        <v/>
      </c>
      <c r="G608" s="32" t="str">
        <f t="shared" si="411"/>
        <v/>
      </c>
      <c r="H608" s="32" t="str">
        <f t="shared" ca="1" si="412"/>
        <v/>
      </c>
      <c r="I608" s="32" t="str">
        <f t="shared" ca="1" si="417"/>
        <v/>
      </c>
      <c r="J608" s="32" t="str">
        <f t="shared" si="413"/>
        <v/>
      </c>
      <c r="K608" s="32" t="str">
        <f>IF(ISNUMBER(A608),Profile!$V$25+Profile!$V$24*'Ri-Po'!C608,"")</f>
        <v/>
      </c>
      <c r="L608" s="32" t="str">
        <f t="shared" si="418"/>
        <v/>
      </c>
      <c r="M608" s="32" t="str">
        <f t="shared" si="414"/>
        <v/>
      </c>
      <c r="N608" s="32" t="str">
        <f t="shared" si="415"/>
        <v/>
      </c>
      <c r="O608" s="32" t="str">
        <f t="shared" si="431"/>
        <v/>
      </c>
      <c r="P608" s="32" t="str">
        <f t="shared" si="419"/>
        <v/>
      </c>
      <c r="Q608" s="32" t="str">
        <f t="shared" si="420"/>
        <v/>
      </c>
      <c r="R608" s="32" t="str">
        <f t="shared" si="432"/>
        <v/>
      </c>
      <c r="S608" s="24" t="str">
        <f t="shared" si="433"/>
        <v/>
      </c>
      <c r="T608" s="24" t="str">
        <f t="shared" si="434"/>
        <v/>
      </c>
      <c r="U608" s="24" t="str">
        <f t="shared" si="435"/>
        <v/>
      </c>
      <c r="V608" s="24" t="str">
        <f t="shared" si="436"/>
        <v/>
      </c>
      <c r="W608" s="23" t="str">
        <f t="array" ref="W608">IFERROR(SMALL(IF(S$1:S$1000="BEGIN",ROW(S$1:S$1000)),ROW()-3),"")</f>
        <v/>
      </c>
      <c r="X608" s="23" t="str">
        <f t="array" ref="X608">IFERROR(SMALL(IF(T$1:T$1000="END",ROW(T$1:T$1000)),ROW()-3),"")</f>
        <v/>
      </c>
      <c r="Y608" s="33" t="str">
        <f t="array" ref="Y608">IF(ISNUMBER(W608),MAX(IF((B$4:B$1000&lt;=X608)*(B$4:B$1000&gt;=W608),I$4:I$1000, "")),"")</f>
        <v/>
      </c>
      <c r="Z608" s="33" t="str">
        <f t="shared" si="421"/>
        <v/>
      </c>
      <c r="AA608" s="32" t="str">
        <f t="shared" si="422"/>
        <v/>
      </c>
      <c r="AB608" s="32" t="str">
        <f t="shared" si="423"/>
        <v/>
      </c>
      <c r="AC608" s="32" t="str">
        <f t="shared" si="424"/>
        <v/>
      </c>
      <c r="AD608" s="32" t="str">
        <f t="shared" si="425"/>
        <v/>
      </c>
      <c r="AE608" s="34" t="str">
        <f t="shared" si="426"/>
        <v/>
      </c>
      <c r="AF608" s="32" t="str">
        <f t="shared" si="427"/>
        <v/>
      </c>
      <c r="AG608" s="32" t="str">
        <f t="shared" si="428"/>
        <v/>
      </c>
      <c r="AH608" s="32" t="str">
        <f t="shared" si="429"/>
        <v/>
      </c>
      <c r="AI608" s="35" t="str">
        <f t="shared" si="430"/>
        <v/>
      </c>
      <c r="AJ608" s="23" t="str">
        <f t="array" ref="AJ608">IFERROR(SMALL(IF(U$1:U$1000="BEGIN",ROW(U$1:U$1000)),ROW()-3),"")</f>
        <v/>
      </c>
      <c r="AK608" s="23" t="str">
        <f t="array" ref="AK608">IFERROR(SMALL(IF(V$1:V$1000="END",ROW(V$1:V$1000)),ROW()-3),"")</f>
        <v/>
      </c>
      <c r="AL608" s="24" t="str">
        <f t="array" ref="AL608">IF(AK608="","",MATCH(AM608,L:L,0))</f>
        <v/>
      </c>
      <c r="AM608" s="35">
        <f t="array" ref="AM608">MAX(IF((B$4:B$1000&lt;=AK608)*(B$4:B$1000&gt;=AJ608),L$4:L$1000, ""))</f>
        <v>0</v>
      </c>
      <c r="AN608" s="32" t="str">
        <f t="shared" si="437"/>
        <v/>
      </c>
      <c r="AO608" s="32" t="str">
        <f t="shared" si="438"/>
        <v/>
      </c>
      <c r="AP608" s="32" t="str">
        <f t="shared" si="439"/>
        <v/>
      </c>
      <c r="AQ608" s="32" t="str">
        <f t="shared" si="440"/>
        <v/>
      </c>
      <c r="AR608" s="32" t="str">
        <f t="shared" si="441"/>
        <v/>
      </c>
      <c r="AS608" s="32" t="str">
        <f t="shared" si="442"/>
        <v/>
      </c>
      <c r="AT608" s="32" t="str">
        <f t="shared" si="443"/>
        <v/>
      </c>
      <c r="AU608" s="34" t="str">
        <f t="shared" si="444"/>
        <v/>
      </c>
      <c r="AV608" s="32" t="str">
        <f t="shared" si="445"/>
        <v/>
      </c>
      <c r="AW608" s="32" t="str">
        <f t="shared" si="446"/>
        <v/>
      </c>
      <c r="AX608" s="32" t="str">
        <f t="shared" si="447"/>
        <v/>
      </c>
      <c r="AY608" s="32" t="str">
        <f t="shared" si="448"/>
        <v/>
      </c>
    </row>
    <row r="609" spans="1:51" x14ac:dyDescent="0.25">
      <c r="A609" s="24" t="str">
        <f t="shared" si="406"/>
        <v/>
      </c>
      <c r="B609" s="24" t="str">
        <f t="shared" si="416"/>
        <v/>
      </c>
      <c r="C609" s="32" t="str">
        <f t="shared" si="407"/>
        <v/>
      </c>
      <c r="D609" s="24" t="str">
        <f t="shared" si="408"/>
        <v/>
      </c>
      <c r="E609" s="24" t="str">
        <f t="shared" si="409"/>
        <v/>
      </c>
      <c r="F609" s="32" t="str">
        <f t="shared" si="410"/>
        <v/>
      </c>
      <c r="G609" s="32" t="str">
        <f t="shared" si="411"/>
        <v/>
      </c>
      <c r="H609" s="32" t="str">
        <f t="shared" ca="1" si="412"/>
        <v/>
      </c>
      <c r="I609" s="32" t="str">
        <f t="shared" ca="1" si="417"/>
        <v/>
      </c>
      <c r="J609" s="32" t="str">
        <f t="shared" si="413"/>
        <v/>
      </c>
      <c r="K609" s="32" t="str">
        <f>IF(ISNUMBER(A609),Profile!$V$25+Profile!$V$24*'Ri-Po'!C609,"")</f>
        <v/>
      </c>
      <c r="L609" s="32" t="str">
        <f t="shared" si="418"/>
        <v/>
      </c>
      <c r="M609" s="32" t="str">
        <f t="shared" si="414"/>
        <v/>
      </c>
      <c r="N609" s="32" t="str">
        <f t="shared" si="415"/>
        <v/>
      </c>
      <c r="O609" s="32" t="str">
        <f t="shared" si="431"/>
        <v/>
      </c>
      <c r="P609" s="32" t="str">
        <f t="shared" si="419"/>
        <v/>
      </c>
      <c r="Q609" s="32" t="str">
        <f t="shared" si="420"/>
        <v/>
      </c>
      <c r="R609" s="32" t="str">
        <f t="shared" si="432"/>
        <v/>
      </c>
      <c r="S609" s="24" t="str">
        <f t="shared" si="433"/>
        <v/>
      </c>
      <c r="T609" s="24" t="str">
        <f t="shared" si="434"/>
        <v/>
      </c>
      <c r="U609" s="24" t="str">
        <f t="shared" si="435"/>
        <v/>
      </c>
      <c r="V609" s="24" t="str">
        <f t="shared" si="436"/>
        <v/>
      </c>
      <c r="W609" s="23" t="str">
        <f t="array" ref="W609">IFERROR(SMALL(IF(S$1:S$1000="BEGIN",ROW(S$1:S$1000)),ROW()-3),"")</f>
        <v/>
      </c>
      <c r="X609" s="23" t="str">
        <f t="array" ref="X609">IFERROR(SMALL(IF(T$1:T$1000="END",ROW(T$1:T$1000)),ROW()-3),"")</f>
        <v/>
      </c>
      <c r="Y609" s="33" t="str">
        <f t="array" ref="Y609">IF(ISNUMBER(W609),MAX(IF((B$4:B$1000&lt;=X609)*(B$4:B$1000&gt;=W609),I$4:I$1000, "")),"")</f>
        <v/>
      </c>
      <c r="Z609" s="33" t="str">
        <f t="shared" si="421"/>
        <v/>
      </c>
      <c r="AA609" s="32" t="str">
        <f t="shared" si="422"/>
        <v/>
      </c>
      <c r="AB609" s="32" t="str">
        <f t="shared" si="423"/>
        <v/>
      </c>
      <c r="AC609" s="32" t="str">
        <f t="shared" si="424"/>
        <v/>
      </c>
      <c r="AD609" s="32" t="str">
        <f t="shared" si="425"/>
        <v/>
      </c>
      <c r="AE609" s="34" t="str">
        <f t="shared" si="426"/>
        <v/>
      </c>
      <c r="AF609" s="32" t="str">
        <f t="shared" si="427"/>
        <v/>
      </c>
      <c r="AG609" s="32" t="str">
        <f t="shared" si="428"/>
        <v/>
      </c>
      <c r="AH609" s="32" t="str">
        <f t="shared" si="429"/>
        <v/>
      </c>
      <c r="AI609" s="35" t="str">
        <f t="shared" si="430"/>
        <v/>
      </c>
      <c r="AJ609" s="23" t="str">
        <f t="array" ref="AJ609">IFERROR(SMALL(IF(U$1:U$1000="BEGIN",ROW(U$1:U$1000)),ROW()-3),"")</f>
        <v/>
      </c>
      <c r="AK609" s="23" t="str">
        <f t="array" ref="AK609">IFERROR(SMALL(IF(V$1:V$1000="END",ROW(V$1:V$1000)),ROW()-3),"")</f>
        <v/>
      </c>
      <c r="AL609" s="24" t="str">
        <f t="array" ref="AL609">IF(AK609="","",MATCH(AM609,L:L,0))</f>
        <v/>
      </c>
      <c r="AM609" s="35">
        <f t="array" ref="AM609">MAX(IF((B$4:B$1000&lt;=AK609)*(B$4:B$1000&gt;=AJ609),L$4:L$1000, ""))</f>
        <v>0</v>
      </c>
      <c r="AN609" s="32" t="str">
        <f t="shared" si="437"/>
        <v/>
      </c>
      <c r="AO609" s="32" t="str">
        <f t="shared" si="438"/>
        <v/>
      </c>
      <c r="AP609" s="32" t="str">
        <f t="shared" si="439"/>
        <v/>
      </c>
      <c r="AQ609" s="32" t="str">
        <f t="shared" si="440"/>
        <v/>
      </c>
      <c r="AR609" s="32" t="str">
        <f t="shared" si="441"/>
        <v/>
      </c>
      <c r="AS609" s="32" t="str">
        <f t="shared" si="442"/>
        <v/>
      </c>
      <c r="AT609" s="32" t="str">
        <f t="shared" si="443"/>
        <v/>
      </c>
      <c r="AU609" s="34" t="str">
        <f t="shared" si="444"/>
        <v/>
      </c>
      <c r="AV609" s="32" t="str">
        <f t="shared" si="445"/>
        <v/>
      </c>
      <c r="AW609" s="32" t="str">
        <f t="shared" si="446"/>
        <v/>
      </c>
      <c r="AX609" s="32" t="str">
        <f t="shared" si="447"/>
        <v/>
      </c>
      <c r="AY609" s="32" t="str">
        <f t="shared" si="448"/>
        <v/>
      </c>
    </row>
    <row r="610" spans="1:51" x14ac:dyDescent="0.25">
      <c r="A610" s="24" t="str">
        <f t="shared" si="406"/>
        <v/>
      </c>
      <c r="B610" s="24" t="str">
        <f t="shared" si="416"/>
        <v/>
      </c>
      <c r="C610" s="32" t="str">
        <f t="shared" si="407"/>
        <v/>
      </c>
      <c r="D610" s="24" t="str">
        <f t="shared" si="408"/>
        <v/>
      </c>
      <c r="E610" s="24" t="str">
        <f t="shared" si="409"/>
        <v/>
      </c>
      <c r="F610" s="32" t="str">
        <f t="shared" si="410"/>
        <v/>
      </c>
      <c r="G610" s="32" t="str">
        <f t="shared" si="411"/>
        <v/>
      </c>
      <c r="H610" s="32" t="str">
        <f t="shared" ca="1" si="412"/>
        <v/>
      </c>
      <c r="I610" s="32" t="str">
        <f t="shared" ca="1" si="417"/>
        <v/>
      </c>
      <c r="J610" s="32" t="str">
        <f t="shared" si="413"/>
        <v/>
      </c>
      <c r="K610" s="32" t="str">
        <f>IF(ISNUMBER(A610),Profile!$V$25+Profile!$V$24*'Ri-Po'!C610,"")</f>
        <v/>
      </c>
      <c r="L610" s="32" t="str">
        <f t="shared" si="418"/>
        <v/>
      </c>
      <c r="M610" s="32" t="str">
        <f t="shared" si="414"/>
        <v/>
      </c>
      <c r="N610" s="32" t="str">
        <f t="shared" si="415"/>
        <v/>
      </c>
      <c r="O610" s="32" t="str">
        <f t="shared" si="431"/>
        <v/>
      </c>
      <c r="P610" s="32" t="str">
        <f t="shared" si="419"/>
        <v/>
      </c>
      <c r="Q610" s="32" t="str">
        <f t="shared" si="420"/>
        <v/>
      </c>
      <c r="R610" s="32" t="str">
        <f t="shared" si="432"/>
        <v/>
      </c>
      <c r="S610" s="24" t="str">
        <f t="shared" si="433"/>
        <v/>
      </c>
      <c r="T610" s="24" t="str">
        <f t="shared" si="434"/>
        <v/>
      </c>
      <c r="U610" s="24" t="str">
        <f t="shared" si="435"/>
        <v/>
      </c>
      <c r="V610" s="24" t="str">
        <f t="shared" si="436"/>
        <v/>
      </c>
      <c r="W610" s="23" t="str">
        <f t="array" ref="W610">IFERROR(SMALL(IF(S$1:S$1000="BEGIN",ROW(S$1:S$1000)),ROW()-3),"")</f>
        <v/>
      </c>
      <c r="X610" s="23" t="str">
        <f t="array" ref="X610">IFERROR(SMALL(IF(T$1:T$1000="END",ROW(T$1:T$1000)),ROW()-3),"")</f>
        <v/>
      </c>
      <c r="Y610" s="33" t="str">
        <f t="array" ref="Y610">IF(ISNUMBER(W610),MAX(IF((B$4:B$1000&lt;=X610)*(B$4:B$1000&gt;=W610),I$4:I$1000, "")),"")</f>
        <v/>
      </c>
      <c r="Z610" s="33" t="str">
        <f t="shared" si="421"/>
        <v/>
      </c>
      <c r="AA610" s="32" t="str">
        <f t="shared" si="422"/>
        <v/>
      </c>
      <c r="AB610" s="32" t="str">
        <f t="shared" si="423"/>
        <v/>
      </c>
      <c r="AC610" s="32" t="str">
        <f t="shared" si="424"/>
        <v/>
      </c>
      <c r="AD610" s="32" t="str">
        <f t="shared" si="425"/>
        <v/>
      </c>
      <c r="AE610" s="34" t="str">
        <f t="shared" si="426"/>
        <v/>
      </c>
      <c r="AF610" s="32" t="str">
        <f t="shared" si="427"/>
        <v/>
      </c>
      <c r="AG610" s="32" t="str">
        <f t="shared" si="428"/>
        <v/>
      </c>
      <c r="AH610" s="32" t="str">
        <f t="shared" si="429"/>
        <v/>
      </c>
      <c r="AI610" s="35" t="str">
        <f t="shared" si="430"/>
        <v/>
      </c>
      <c r="AJ610" s="23" t="str">
        <f t="array" ref="AJ610">IFERROR(SMALL(IF(U$1:U$1000="BEGIN",ROW(U$1:U$1000)),ROW()-3),"")</f>
        <v/>
      </c>
      <c r="AK610" s="23" t="str">
        <f t="array" ref="AK610">IFERROR(SMALL(IF(V$1:V$1000="END",ROW(V$1:V$1000)),ROW()-3),"")</f>
        <v/>
      </c>
      <c r="AL610" s="24" t="str">
        <f t="array" ref="AL610">IF(AK610="","",MATCH(AM610,L:L,0))</f>
        <v/>
      </c>
      <c r="AM610" s="35">
        <f t="array" ref="AM610">MAX(IF((B$4:B$1000&lt;=AK610)*(B$4:B$1000&gt;=AJ610),L$4:L$1000, ""))</f>
        <v>0</v>
      </c>
      <c r="AN610" s="32" t="str">
        <f t="shared" si="437"/>
        <v/>
      </c>
      <c r="AO610" s="32" t="str">
        <f t="shared" si="438"/>
        <v/>
      </c>
      <c r="AP610" s="32" t="str">
        <f t="shared" si="439"/>
        <v/>
      </c>
      <c r="AQ610" s="32" t="str">
        <f t="shared" si="440"/>
        <v/>
      </c>
      <c r="AR610" s="32" t="str">
        <f t="shared" si="441"/>
        <v/>
      </c>
      <c r="AS610" s="32" t="str">
        <f t="shared" si="442"/>
        <v/>
      </c>
      <c r="AT610" s="32" t="str">
        <f t="shared" si="443"/>
        <v/>
      </c>
      <c r="AU610" s="34" t="str">
        <f t="shared" si="444"/>
        <v/>
      </c>
      <c r="AV610" s="32" t="str">
        <f t="shared" si="445"/>
        <v/>
      </c>
      <c r="AW610" s="32" t="str">
        <f t="shared" si="446"/>
        <v/>
      </c>
      <c r="AX610" s="32" t="str">
        <f t="shared" si="447"/>
        <v/>
      </c>
      <c r="AY610" s="32" t="str">
        <f t="shared" si="448"/>
        <v/>
      </c>
    </row>
    <row r="611" spans="1:51" x14ac:dyDescent="0.25">
      <c r="A611" s="24" t="str">
        <f t="shared" si="406"/>
        <v/>
      </c>
      <c r="B611" s="24" t="str">
        <f t="shared" si="416"/>
        <v/>
      </c>
      <c r="C611" s="32" t="str">
        <f t="shared" si="407"/>
        <v/>
      </c>
      <c r="D611" s="24" t="str">
        <f t="shared" si="408"/>
        <v/>
      </c>
      <c r="E611" s="24" t="str">
        <f t="shared" si="409"/>
        <v/>
      </c>
      <c r="F611" s="32" t="str">
        <f t="shared" si="410"/>
        <v/>
      </c>
      <c r="G611" s="32" t="str">
        <f t="shared" si="411"/>
        <v/>
      </c>
      <c r="H611" s="32" t="str">
        <f t="shared" ca="1" si="412"/>
        <v/>
      </c>
      <c r="I611" s="32" t="str">
        <f t="shared" ca="1" si="417"/>
        <v/>
      </c>
      <c r="J611" s="32" t="str">
        <f t="shared" si="413"/>
        <v/>
      </c>
      <c r="K611" s="32" t="str">
        <f>IF(ISNUMBER(A611),Profile!$V$25+Profile!$V$24*'Ri-Po'!C611,"")</f>
        <v/>
      </c>
      <c r="L611" s="32" t="str">
        <f t="shared" si="418"/>
        <v/>
      </c>
      <c r="M611" s="32" t="str">
        <f t="shared" si="414"/>
        <v/>
      </c>
      <c r="N611" s="32" t="str">
        <f t="shared" si="415"/>
        <v/>
      </c>
      <c r="O611" s="32" t="str">
        <f t="shared" si="431"/>
        <v/>
      </c>
      <c r="P611" s="32" t="str">
        <f t="shared" si="419"/>
        <v/>
      </c>
      <c r="Q611" s="32" t="str">
        <f t="shared" si="420"/>
        <v/>
      </c>
      <c r="R611" s="32" t="str">
        <f t="shared" si="432"/>
        <v/>
      </c>
      <c r="S611" s="24" t="str">
        <f t="shared" si="433"/>
        <v/>
      </c>
      <c r="T611" s="24" t="str">
        <f t="shared" si="434"/>
        <v/>
      </c>
      <c r="U611" s="24" t="str">
        <f t="shared" si="435"/>
        <v/>
      </c>
      <c r="V611" s="24" t="str">
        <f t="shared" si="436"/>
        <v/>
      </c>
      <c r="W611" s="23" t="str">
        <f t="array" ref="W611">IFERROR(SMALL(IF(S$1:S$1000="BEGIN",ROW(S$1:S$1000)),ROW()-3),"")</f>
        <v/>
      </c>
      <c r="X611" s="23" t="str">
        <f t="array" ref="X611">IFERROR(SMALL(IF(T$1:T$1000="END",ROW(T$1:T$1000)),ROW()-3),"")</f>
        <v/>
      </c>
      <c r="Y611" s="33" t="str">
        <f t="array" ref="Y611">IF(ISNUMBER(W611),MAX(IF((B$4:B$1000&lt;=X611)*(B$4:B$1000&gt;=W611),I$4:I$1000, "")),"")</f>
        <v/>
      </c>
      <c r="Z611" s="33" t="str">
        <f t="shared" si="421"/>
        <v/>
      </c>
      <c r="AA611" s="32" t="str">
        <f t="shared" si="422"/>
        <v/>
      </c>
      <c r="AB611" s="32" t="str">
        <f t="shared" si="423"/>
        <v/>
      </c>
      <c r="AC611" s="32" t="str">
        <f t="shared" si="424"/>
        <v/>
      </c>
      <c r="AD611" s="32" t="str">
        <f t="shared" si="425"/>
        <v/>
      </c>
      <c r="AE611" s="34" t="str">
        <f t="shared" si="426"/>
        <v/>
      </c>
      <c r="AF611" s="32" t="str">
        <f t="shared" si="427"/>
        <v/>
      </c>
      <c r="AG611" s="32" t="str">
        <f t="shared" si="428"/>
        <v/>
      </c>
      <c r="AH611" s="32" t="str">
        <f t="shared" si="429"/>
        <v/>
      </c>
      <c r="AI611" s="35" t="str">
        <f t="shared" si="430"/>
        <v/>
      </c>
      <c r="AJ611" s="23" t="str">
        <f t="array" ref="AJ611">IFERROR(SMALL(IF(U$1:U$1000="BEGIN",ROW(U$1:U$1000)),ROW()-3),"")</f>
        <v/>
      </c>
      <c r="AK611" s="23" t="str">
        <f t="array" ref="AK611">IFERROR(SMALL(IF(V$1:V$1000="END",ROW(V$1:V$1000)),ROW()-3),"")</f>
        <v/>
      </c>
      <c r="AL611" s="24" t="str">
        <f t="array" ref="AL611">IF(AK611="","",MATCH(AM611,L:L,0))</f>
        <v/>
      </c>
      <c r="AM611" s="35">
        <f t="array" ref="AM611">MAX(IF((B$4:B$1000&lt;=AK611)*(B$4:B$1000&gt;=AJ611),L$4:L$1000, ""))</f>
        <v>0</v>
      </c>
      <c r="AN611" s="32" t="str">
        <f t="shared" si="437"/>
        <v/>
      </c>
      <c r="AO611" s="32" t="str">
        <f t="shared" si="438"/>
        <v/>
      </c>
      <c r="AP611" s="32" t="str">
        <f t="shared" si="439"/>
        <v/>
      </c>
      <c r="AQ611" s="32" t="str">
        <f t="shared" si="440"/>
        <v/>
      </c>
      <c r="AR611" s="32" t="str">
        <f t="shared" si="441"/>
        <v/>
      </c>
      <c r="AS611" s="32" t="str">
        <f t="shared" si="442"/>
        <v/>
      </c>
      <c r="AT611" s="32" t="str">
        <f t="shared" si="443"/>
        <v/>
      </c>
      <c r="AU611" s="34" t="str">
        <f t="shared" si="444"/>
        <v/>
      </c>
      <c r="AV611" s="32" t="str">
        <f t="shared" si="445"/>
        <v/>
      </c>
      <c r="AW611" s="32" t="str">
        <f t="shared" si="446"/>
        <v/>
      </c>
      <c r="AX611" s="32" t="str">
        <f t="shared" si="447"/>
        <v/>
      </c>
      <c r="AY611" s="32" t="str">
        <f t="shared" si="448"/>
        <v/>
      </c>
    </row>
    <row r="612" spans="1:51" x14ac:dyDescent="0.25">
      <c r="A612" s="24" t="str">
        <f t="shared" si="406"/>
        <v/>
      </c>
      <c r="B612" s="24" t="str">
        <f t="shared" si="416"/>
        <v/>
      </c>
      <c r="C612" s="32" t="str">
        <f t="shared" si="407"/>
        <v/>
      </c>
      <c r="D612" s="24" t="str">
        <f t="shared" si="408"/>
        <v/>
      </c>
      <c r="E612" s="24" t="str">
        <f t="shared" si="409"/>
        <v/>
      </c>
      <c r="F612" s="32" t="str">
        <f t="shared" si="410"/>
        <v/>
      </c>
      <c r="G612" s="32" t="str">
        <f t="shared" si="411"/>
        <v/>
      </c>
      <c r="H612" s="32" t="str">
        <f t="shared" ca="1" si="412"/>
        <v/>
      </c>
      <c r="I612" s="32" t="str">
        <f t="shared" ca="1" si="417"/>
        <v/>
      </c>
      <c r="J612" s="32" t="str">
        <f t="shared" si="413"/>
        <v/>
      </c>
      <c r="K612" s="32" t="str">
        <f>IF(ISNUMBER(A612),Profile!$V$25+Profile!$V$24*'Ri-Po'!C612,"")</f>
        <v/>
      </c>
      <c r="L612" s="32" t="str">
        <f t="shared" si="418"/>
        <v/>
      </c>
      <c r="M612" s="32" t="str">
        <f t="shared" si="414"/>
        <v/>
      </c>
      <c r="N612" s="32" t="str">
        <f t="shared" si="415"/>
        <v/>
      </c>
      <c r="O612" s="32" t="str">
        <f t="shared" si="431"/>
        <v/>
      </c>
      <c r="P612" s="32" t="str">
        <f t="shared" si="419"/>
        <v/>
      </c>
      <c r="Q612" s="32" t="str">
        <f t="shared" si="420"/>
        <v/>
      </c>
      <c r="R612" s="32" t="str">
        <f t="shared" si="432"/>
        <v/>
      </c>
      <c r="S612" s="24" t="str">
        <f t="shared" si="433"/>
        <v/>
      </c>
      <c r="T612" s="24" t="str">
        <f t="shared" si="434"/>
        <v/>
      </c>
      <c r="U612" s="24" t="str">
        <f t="shared" si="435"/>
        <v/>
      </c>
      <c r="V612" s="24" t="str">
        <f t="shared" si="436"/>
        <v/>
      </c>
      <c r="W612" s="23" t="str">
        <f t="array" ref="W612">IFERROR(SMALL(IF(S$1:S$1000="BEGIN",ROW(S$1:S$1000)),ROW()-3),"")</f>
        <v/>
      </c>
      <c r="X612" s="23" t="str">
        <f t="array" ref="X612">IFERROR(SMALL(IF(T$1:T$1000="END",ROW(T$1:T$1000)),ROW()-3),"")</f>
        <v/>
      </c>
      <c r="Y612" s="33" t="str">
        <f t="array" ref="Y612">IF(ISNUMBER(W612),MAX(IF((B$4:B$1000&lt;=X612)*(B$4:B$1000&gt;=W612),I$4:I$1000, "")),"")</f>
        <v/>
      </c>
      <c r="Z612" s="33" t="str">
        <f t="shared" si="421"/>
        <v/>
      </c>
      <c r="AA612" s="32" t="str">
        <f t="shared" si="422"/>
        <v/>
      </c>
      <c r="AB612" s="32" t="str">
        <f t="shared" si="423"/>
        <v/>
      </c>
      <c r="AC612" s="32" t="str">
        <f t="shared" si="424"/>
        <v/>
      </c>
      <c r="AD612" s="32" t="str">
        <f t="shared" si="425"/>
        <v/>
      </c>
      <c r="AE612" s="34" t="str">
        <f t="shared" si="426"/>
        <v/>
      </c>
      <c r="AF612" s="32" t="str">
        <f t="shared" si="427"/>
        <v/>
      </c>
      <c r="AG612" s="32" t="str">
        <f t="shared" si="428"/>
        <v/>
      </c>
      <c r="AH612" s="32" t="str">
        <f t="shared" si="429"/>
        <v/>
      </c>
      <c r="AI612" s="35" t="str">
        <f t="shared" si="430"/>
        <v/>
      </c>
      <c r="AJ612" s="23" t="str">
        <f t="array" ref="AJ612">IFERROR(SMALL(IF(U$1:U$1000="BEGIN",ROW(U$1:U$1000)),ROW()-3),"")</f>
        <v/>
      </c>
      <c r="AK612" s="23" t="str">
        <f t="array" ref="AK612">IFERROR(SMALL(IF(V$1:V$1000="END",ROW(V$1:V$1000)),ROW()-3),"")</f>
        <v/>
      </c>
      <c r="AL612" s="24" t="str">
        <f t="array" ref="AL612">IF(AK612="","",MATCH(AM612,L:L,0))</f>
        <v/>
      </c>
      <c r="AM612" s="35">
        <f t="array" ref="AM612">MAX(IF((B$4:B$1000&lt;=AK612)*(B$4:B$1000&gt;=AJ612),L$4:L$1000, ""))</f>
        <v>0</v>
      </c>
      <c r="AN612" s="32" t="str">
        <f t="shared" si="437"/>
        <v/>
      </c>
      <c r="AO612" s="32" t="str">
        <f t="shared" si="438"/>
        <v/>
      </c>
      <c r="AP612" s="32" t="str">
        <f t="shared" si="439"/>
        <v/>
      </c>
      <c r="AQ612" s="32" t="str">
        <f t="shared" si="440"/>
        <v/>
      </c>
      <c r="AR612" s="32" t="str">
        <f t="shared" si="441"/>
        <v/>
      </c>
      <c r="AS612" s="32" t="str">
        <f t="shared" si="442"/>
        <v/>
      </c>
      <c r="AT612" s="32" t="str">
        <f t="shared" si="443"/>
        <v/>
      </c>
      <c r="AU612" s="34" t="str">
        <f t="shared" si="444"/>
        <v/>
      </c>
      <c r="AV612" s="32" t="str">
        <f t="shared" si="445"/>
        <v/>
      </c>
      <c r="AW612" s="32" t="str">
        <f t="shared" si="446"/>
        <v/>
      </c>
      <c r="AX612" s="32" t="str">
        <f t="shared" si="447"/>
        <v/>
      </c>
      <c r="AY612" s="32" t="str">
        <f t="shared" si="448"/>
        <v/>
      </c>
    </row>
    <row r="613" spans="1:51" x14ac:dyDescent="0.25">
      <c r="A613" s="24" t="str">
        <f t="shared" si="406"/>
        <v/>
      </c>
      <c r="B613" s="24" t="str">
        <f t="shared" si="416"/>
        <v/>
      </c>
      <c r="C613" s="32" t="str">
        <f t="shared" si="407"/>
        <v/>
      </c>
      <c r="D613" s="24" t="str">
        <f t="shared" si="408"/>
        <v/>
      </c>
      <c r="E613" s="24" t="str">
        <f t="shared" si="409"/>
        <v/>
      </c>
      <c r="F613" s="32" t="str">
        <f t="shared" si="410"/>
        <v/>
      </c>
      <c r="G613" s="32" t="str">
        <f t="shared" si="411"/>
        <v/>
      </c>
      <c r="H613" s="32" t="str">
        <f t="shared" ca="1" si="412"/>
        <v/>
      </c>
      <c r="I613" s="32" t="str">
        <f t="shared" ca="1" si="417"/>
        <v/>
      </c>
      <c r="J613" s="32" t="str">
        <f t="shared" si="413"/>
        <v/>
      </c>
      <c r="K613" s="32" t="str">
        <f>IF(ISNUMBER(A613),Profile!$V$25+Profile!$V$24*'Ri-Po'!C613,"")</f>
        <v/>
      </c>
      <c r="L613" s="32" t="str">
        <f t="shared" si="418"/>
        <v/>
      </c>
      <c r="M613" s="32" t="str">
        <f t="shared" si="414"/>
        <v/>
      </c>
      <c r="N613" s="32" t="str">
        <f t="shared" si="415"/>
        <v/>
      </c>
      <c r="O613" s="32" t="str">
        <f t="shared" si="431"/>
        <v/>
      </c>
      <c r="P613" s="32" t="str">
        <f t="shared" si="419"/>
        <v/>
      </c>
      <c r="Q613" s="32" t="str">
        <f t="shared" si="420"/>
        <v/>
      </c>
      <c r="R613" s="32" t="str">
        <f t="shared" si="432"/>
        <v/>
      </c>
      <c r="S613" s="24" t="str">
        <f t="shared" si="433"/>
        <v/>
      </c>
      <c r="T613" s="24" t="str">
        <f t="shared" si="434"/>
        <v/>
      </c>
      <c r="U613" s="24" t="str">
        <f t="shared" si="435"/>
        <v/>
      </c>
      <c r="V613" s="24" t="str">
        <f t="shared" si="436"/>
        <v/>
      </c>
      <c r="W613" s="23" t="str">
        <f t="array" ref="W613">IFERROR(SMALL(IF(S$1:S$1000="BEGIN",ROW(S$1:S$1000)),ROW()-3),"")</f>
        <v/>
      </c>
      <c r="X613" s="23" t="str">
        <f t="array" ref="X613">IFERROR(SMALL(IF(T$1:T$1000="END",ROW(T$1:T$1000)),ROW()-3),"")</f>
        <v/>
      </c>
      <c r="Y613" s="33" t="str">
        <f t="array" ref="Y613">IF(ISNUMBER(W613),MAX(IF((B$4:B$1000&lt;=X613)*(B$4:B$1000&gt;=W613),I$4:I$1000, "")),"")</f>
        <v/>
      </c>
      <c r="Z613" s="33" t="str">
        <f t="shared" si="421"/>
        <v/>
      </c>
      <c r="AA613" s="32" t="str">
        <f t="shared" si="422"/>
        <v/>
      </c>
      <c r="AB613" s="32" t="str">
        <f t="shared" si="423"/>
        <v/>
      </c>
      <c r="AC613" s="32" t="str">
        <f t="shared" si="424"/>
        <v/>
      </c>
      <c r="AD613" s="32" t="str">
        <f t="shared" si="425"/>
        <v/>
      </c>
      <c r="AE613" s="34" t="str">
        <f t="shared" si="426"/>
        <v/>
      </c>
      <c r="AF613" s="32" t="str">
        <f t="shared" si="427"/>
        <v/>
      </c>
      <c r="AG613" s="32" t="str">
        <f t="shared" si="428"/>
        <v/>
      </c>
      <c r="AH613" s="32" t="str">
        <f t="shared" si="429"/>
        <v/>
      </c>
      <c r="AI613" s="35" t="str">
        <f t="shared" si="430"/>
        <v/>
      </c>
      <c r="AJ613" s="23" t="str">
        <f t="array" ref="AJ613">IFERROR(SMALL(IF(U$1:U$1000="BEGIN",ROW(U$1:U$1000)),ROW()-3),"")</f>
        <v/>
      </c>
      <c r="AK613" s="23" t="str">
        <f t="array" ref="AK613">IFERROR(SMALL(IF(V$1:V$1000="END",ROW(V$1:V$1000)),ROW()-3),"")</f>
        <v/>
      </c>
      <c r="AL613" s="24" t="str">
        <f t="array" ref="AL613">IF(AK613="","",MATCH(AM613,L:L,0))</f>
        <v/>
      </c>
      <c r="AM613" s="35">
        <f t="array" ref="AM613">MAX(IF((B$4:B$1000&lt;=AK613)*(B$4:B$1000&gt;=AJ613),L$4:L$1000, ""))</f>
        <v>0</v>
      </c>
      <c r="AN613" s="32" t="str">
        <f t="shared" si="437"/>
        <v/>
      </c>
      <c r="AO613" s="32" t="str">
        <f t="shared" si="438"/>
        <v/>
      </c>
      <c r="AP613" s="32" t="str">
        <f t="shared" si="439"/>
        <v/>
      </c>
      <c r="AQ613" s="32" t="str">
        <f t="shared" si="440"/>
        <v/>
      </c>
      <c r="AR613" s="32" t="str">
        <f t="shared" si="441"/>
        <v/>
      </c>
      <c r="AS613" s="32" t="str">
        <f t="shared" si="442"/>
        <v/>
      </c>
      <c r="AT613" s="32" t="str">
        <f t="shared" si="443"/>
        <v/>
      </c>
      <c r="AU613" s="34" t="str">
        <f t="shared" si="444"/>
        <v/>
      </c>
      <c r="AV613" s="32" t="str">
        <f t="shared" si="445"/>
        <v/>
      </c>
      <c r="AW613" s="32" t="str">
        <f t="shared" si="446"/>
        <v/>
      </c>
      <c r="AX613" s="32" t="str">
        <f t="shared" si="447"/>
        <v/>
      </c>
      <c r="AY613" s="32" t="str">
        <f t="shared" si="448"/>
        <v/>
      </c>
    </row>
    <row r="614" spans="1:51" x14ac:dyDescent="0.25">
      <c r="A614" s="24" t="str">
        <f t="shared" si="406"/>
        <v/>
      </c>
      <c r="B614" s="24" t="str">
        <f t="shared" si="416"/>
        <v/>
      </c>
      <c r="C614" s="32" t="str">
        <f t="shared" si="407"/>
        <v/>
      </c>
      <c r="D614" s="24" t="str">
        <f t="shared" si="408"/>
        <v/>
      </c>
      <c r="E614" s="24" t="str">
        <f t="shared" si="409"/>
        <v/>
      </c>
      <c r="F614" s="32" t="str">
        <f t="shared" si="410"/>
        <v/>
      </c>
      <c r="G614" s="32" t="str">
        <f t="shared" si="411"/>
        <v/>
      </c>
      <c r="H614" s="32" t="str">
        <f t="shared" ca="1" si="412"/>
        <v/>
      </c>
      <c r="I614" s="32" t="str">
        <f t="shared" ca="1" si="417"/>
        <v/>
      </c>
      <c r="J614" s="32" t="str">
        <f t="shared" si="413"/>
        <v/>
      </c>
      <c r="K614" s="32" t="str">
        <f>IF(ISNUMBER(A614),Profile!$V$25+Profile!$V$24*'Ri-Po'!C614,"")</f>
        <v/>
      </c>
      <c r="L614" s="32" t="str">
        <f t="shared" si="418"/>
        <v/>
      </c>
      <c r="M614" s="32" t="str">
        <f t="shared" si="414"/>
        <v/>
      </c>
      <c r="N614" s="32" t="str">
        <f t="shared" si="415"/>
        <v/>
      </c>
      <c r="O614" s="32" t="str">
        <f t="shared" si="431"/>
        <v/>
      </c>
      <c r="P614" s="32" t="str">
        <f t="shared" si="419"/>
        <v/>
      </c>
      <c r="Q614" s="32" t="str">
        <f t="shared" si="420"/>
        <v/>
      </c>
      <c r="R614" s="32" t="str">
        <f t="shared" si="432"/>
        <v/>
      </c>
      <c r="S614" s="24" t="str">
        <f t="shared" si="433"/>
        <v/>
      </c>
      <c r="T614" s="24" t="str">
        <f t="shared" si="434"/>
        <v/>
      </c>
      <c r="U614" s="24" t="str">
        <f t="shared" si="435"/>
        <v/>
      </c>
      <c r="V614" s="24" t="str">
        <f t="shared" si="436"/>
        <v/>
      </c>
      <c r="W614" s="23" t="str">
        <f t="array" ref="W614">IFERROR(SMALL(IF(S$1:S$1000="BEGIN",ROW(S$1:S$1000)),ROW()-3),"")</f>
        <v/>
      </c>
      <c r="X614" s="23" t="str">
        <f t="array" ref="X614">IFERROR(SMALL(IF(T$1:T$1000="END",ROW(T$1:T$1000)),ROW()-3),"")</f>
        <v/>
      </c>
      <c r="Y614" s="33" t="str">
        <f t="array" ref="Y614">IF(ISNUMBER(W614),MAX(IF((B$4:B$1000&lt;=X614)*(B$4:B$1000&gt;=W614),I$4:I$1000, "")),"")</f>
        <v/>
      </c>
      <c r="Z614" s="33" t="str">
        <f t="shared" si="421"/>
        <v/>
      </c>
      <c r="AA614" s="32" t="str">
        <f t="shared" si="422"/>
        <v/>
      </c>
      <c r="AB614" s="32" t="str">
        <f t="shared" si="423"/>
        <v/>
      </c>
      <c r="AC614" s="32" t="str">
        <f t="shared" si="424"/>
        <v/>
      </c>
      <c r="AD614" s="32" t="str">
        <f t="shared" si="425"/>
        <v/>
      </c>
      <c r="AE614" s="34" t="str">
        <f t="shared" si="426"/>
        <v/>
      </c>
      <c r="AF614" s="32" t="str">
        <f t="shared" si="427"/>
        <v/>
      </c>
      <c r="AG614" s="32" t="str">
        <f t="shared" si="428"/>
        <v/>
      </c>
      <c r="AH614" s="32" t="str">
        <f t="shared" si="429"/>
        <v/>
      </c>
      <c r="AI614" s="35" t="str">
        <f t="shared" si="430"/>
        <v/>
      </c>
      <c r="AJ614" s="23" t="str">
        <f t="array" ref="AJ614">IFERROR(SMALL(IF(U$1:U$1000="BEGIN",ROW(U$1:U$1000)),ROW()-3),"")</f>
        <v/>
      </c>
      <c r="AK614" s="23" t="str">
        <f t="array" ref="AK614">IFERROR(SMALL(IF(V$1:V$1000="END",ROW(V$1:V$1000)),ROW()-3),"")</f>
        <v/>
      </c>
      <c r="AL614" s="24" t="str">
        <f t="array" ref="AL614">IF(AK614="","",MATCH(AM614,L:L,0))</f>
        <v/>
      </c>
      <c r="AM614" s="35">
        <f t="array" ref="AM614">MAX(IF((B$4:B$1000&lt;=AK614)*(B$4:B$1000&gt;=AJ614),L$4:L$1000, ""))</f>
        <v>0</v>
      </c>
      <c r="AN614" s="32" t="str">
        <f t="shared" si="437"/>
        <v/>
      </c>
      <c r="AO614" s="32" t="str">
        <f t="shared" si="438"/>
        <v/>
      </c>
      <c r="AP614" s="32" t="str">
        <f t="shared" si="439"/>
        <v/>
      </c>
      <c r="AQ614" s="32" t="str">
        <f t="shared" si="440"/>
        <v/>
      </c>
      <c r="AR614" s="32" t="str">
        <f t="shared" si="441"/>
        <v/>
      </c>
      <c r="AS614" s="32" t="str">
        <f t="shared" si="442"/>
        <v/>
      </c>
      <c r="AT614" s="32" t="str">
        <f t="shared" si="443"/>
        <v/>
      </c>
      <c r="AU614" s="34" t="str">
        <f t="shared" si="444"/>
        <v/>
      </c>
      <c r="AV614" s="32" t="str">
        <f t="shared" si="445"/>
        <v/>
      </c>
      <c r="AW614" s="32" t="str">
        <f t="shared" si="446"/>
        <v/>
      </c>
      <c r="AX614" s="32" t="str">
        <f t="shared" si="447"/>
        <v/>
      </c>
      <c r="AY614" s="32" t="str">
        <f t="shared" si="448"/>
        <v/>
      </c>
    </row>
    <row r="615" spans="1:51" x14ac:dyDescent="0.25">
      <c r="A615" s="24" t="str">
        <f t="shared" si="406"/>
        <v/>
      </c>
      <c r="B615" s="24" t="str">
        <f t="shared" si="416"/>
        <v/>
      </c>
      <c r="C615" s="32" t="str">
        <f t="shared" si="407"/>
        <v/>
      </c>
      <c r="D615" s="24" t="str">
        <f t="shared" si="408"/>
        <v/>
      </c>
      <c r="E615" s="24" t="str">
        <f t="shared" si="409"/>
        <v/>
      </c>
      <c r="F615" s="32" t="str">
        <f t="shared" si="410"/>
        <v/>
      </c>
      <c r="G615" s="32" t="str">
        <f t="shared" si="411"/>
        <v/>
      </c>
      <c r="H615" s="32" t="str">
        <f t="shared" ca="1" si="412"/>
        <v/>
      </c>
      <c r="I615" s="32" t="str">
        <f t="shared" ca="1" si="417"/>
        <v/>
      </c>
      <c r="J615" s="32" t="str">
        <f t="shared" si="413"/>
        <v/>
      </c>
      <c r="K615" s="32" t="str">
        <f>IF(ISNUMBER(A615),Profile!$V$25+Profile!$V$24*'Ri-Po'!C615,"")</f>
        <v/>
      </c>
      <c r="L615" s="32" t="str">
        <f t="shared" si="418"/>
        <v/>
      </c>
      <c r="M615" s="32" t="str">
        <f t="shared" si="414"/>
        <v/>
      </c>
      <c r="N615" s="32" t="str">
        <f t="shared" si="415"/>
        <v/>
      </c>
      <c r="O615" s="32" t="str">
        <f t="shared" si="431"/>
        <v/>
      </c>
      <c r="P615" s="32" t="str">
        <f t="shared" si="419"/>
        <v/>
      </c>
      <c r="Q615" s="32" t="str">
        <f t="shared" si="420"/>
        <v/>
      </c>
      <c r="R615" s="32" t="str">
        <f t="shared" si="432"/>
        <v/>
      </c>
      <c r="S615" s="24" t="str">
        <f t="shared" si="433"/>
        <v/>
      </c>
      <c r="T615" s="24" t="str">
        <f t="shared" si="434"/>
        <v/>
      </c>
      <c r="U615" s="24" t="str">
        <f t="shared" si="435"/>
        <v/>
      </c>
      <c r="V615" s="24" t="str">
        <f t="shared" si="436"/>
        <v/>
      </c>
      <c r="W615" s="23" t="str">
        <f t="array" ref="W615">IFERROR(SMALL(IF(S$1:S$1000="BEGIN",ROW(S$1:S$1000)),ROW()-3),"")</f>
        <v/>
      </c>
      <c r="X615" s="23" t="str">
        <f t="array" ref="X615">IFERROR(SMALL(IF(T$1:T$1000="END",ROW(T$1:T$1000)),ROW()-3),"")</f>
        <v/>
      </c>
      <c r="Y615" s="33" t="str">
        <f t="array" ref="Y615">IF(ISNUMBER(W615),MAX(IF((B$4:B$1000&lt;=X615)*(B$4:B$1000&gt;=W615),I$4:I$1000, "")),"")</f>
        <v/>
      </c>
      <c r="Z615" s="33" t="str">
        <f t="shared" si="421"/>
        <v/>
      </c>
      <c r="AA615" s="32" t="str">
        <f t="shared" si="422"/>
        <v/>
      </c>
      <c r="AB615" s="32" t="str">
        <f t="shared" si="423"/>
        <v/>
      </c>
      <c r="AC615" s="32" t="str">
        <f t="shared" si="424"/>
        <v/>
      </c>
      <c r="AD615" s="32" t="str">
        <f t="shared" si="425"/>
        <v/>
      </c>
      <c r="AE615" s="34" t="str">
        <f t="shared" si="426"/>
        <v/>
      </c>
      <c r="AF615" s="32" t="str">
        <f t="shared" si="427"/>
        <v/>
      </c>
      <c r="AG615" s="32" t="str">
        <f t="shared" si="428"/>
        <v/>
      </c>
      <c r="AH615" s="32" t="str">
        <f t="shared" si="429"/>
        <v/>
      </c>
      <c r="AI615" s="35" t="str">
        <f t="shared" si="430"/>
        <v/>
      </c>
      <c r="AJ615" s="23" t="str">
        <f t="array" ref="AJ615">IFERROR(SMALL(IF(U$1:U$1000="BEGIN",ROW(U$1:U$1000)),ROW()-3),"")</f>
        <v/>
      </c>
      <c r="AK615" s="23" t="str">
        <f t="array" ref="AK615">IFERROR(SMALL(IF(V$1:V$1000="END",ROW(V$1:V$1000)),ROW()-3),"")</f>
        <v/>
      </c>
      <c r="AL615" s="24" t="str">
        <f t="array" ref="AL615">IF(AK615="","",MATCH(AM615,L:L,0))</f>
        <v/>
      </c>
      <c r="AM615" s="35">
        <f t="array" ref="AM615">MAX(IF((B$4:B$1000&lt;=AK615)*(B$4:B$1000&gt;=AJ615),L$4:L$1000, ""))</f>
        <v>0</v>
      </c>
      <c r="AN615" s="32" t="str">
        <f t="shared" si="437"/>
        <v/>
      </c>
      <c r="AO615" s="32" t="str">
        <f t="shared" si="438"/>
        <v/>
      </c>
      <c r="AP615" s="32" t="str">
        <f t="shared" si="439"/>
        <v/>
      </c>
      <c r="AQ615" s="32" t="str">
        <f t="shared" si="440"/>
        <v/>
      </c>
      <c r="AR615" s="32" t="str">
        <f t="shared" si="441"/>
        <v/>
      </c>
      <c r="AS615" s="32" t="str">
        <f t="shared" si="442"/>
        <v/>
      </c>
      <c r="AT615" s="32" t="str">
        <f t="shared" si="443"/>
        <v/>
      </c>
      <c r="AU615" s="34" t="str">
        <f t="shared" si="444"/>
        <v/>
      </c>
      <c r="AV615" s="32" t="str">
        <f t="shared" si="445"/>
        <v/>
      </c>
      <c r="AW615" s="32" t="str">
        <f t="shared" si="446"/>
        <v/>
      </c>
      <c r="AX615" s="32" t="str">
        <f t="shared" si="447"/>
        <v/>
      </c>
      <c r="AY615" s="32" t="str">
        <f t="shared" si="448"/>
        <v/>
      </c>
    </row>
    <row r="616" spans="1:51" x14ac:dyDescent="0.25">
      <c r="A616" s="24" t="str">
        <f t="shared" si="406"/>
        <v/>
      </c>
      <c r="B616" s="24" t="str">
        <f t="shared" si="416"/>
        <v/>
      </c>
      <c r="C616" s="32" t="str">
        <f t="shared" si="407"/>
        <v/>
      </c>
      <c r="D616" s="24" t="str">
        <f t="shared" si="408"/>
        <v/>
      </c>
      <c r="E616" s="24" t="str">
        <f t="shared" si="409"/>
        <v/>
      </c>
      <c r="F616" s="32" t="str">
        <f t="shared" si="410"/>
        <v/>
      </c>
      <c r="G616" s="32" t="str">
        <f t="shared" si="411"/>
        <v/>
      </c>
      <c r="H616" s="32" t="str">
        <f t="shared" ca="1" si="412"/>
        <v/>
      </c>
      <c r="I616" s="32" t="str">
        <f t="shared" ca="1" si="417"/>
        <v/>
      </c>
      <c r="J616" s="32" t="str">
        <f t="shared" si="413"/>
        <v/>
      </c>
      <c r="K616" s="32" t="str">
        <f>IF(ISNUMBER(A616),Profile!$V$25+Profile!$V$24*'Ri-Po'!C616,"")</f>
        <v/>
      </c>
      <c r="L616" s="32" t="str">
        <f t="shared" si="418"/>
        <v/>
      </c>
      <c r="M616" s="32" t="str">
        <f t="shared" si="414"/>
        <v/>
      </c>
      <c r="N616" s="32" t="str">
        <f t="shared" si="415"/>
        <v/>
      </c>
      <c r="O616" s="32" t="str">
        <f t="shared" si="431"/>
        <v/>
      </c>
      <c r="P616" s="32" t="str">
        <f t="shared" si="419"/>
        <v/>
      </c>
      <c r="Q616" s="32" t="str">
        <f t="shared" si="420"/>
        <v/>
      </c>
      <c r="R616" s="32" t="str">
        <f t="shared" si="432"/>
        <v/>
      </c>
      <c r="S616" s="24" t="str">
        <f t="shared" si="433"/>
        <v/>
      </c>
      <c r="T616" s="24" t="str">
        <f t="shared" si="434"/>
        <v/>
      </c>
      <c r="U616" s="24" t="str">
        <f t="shared" si="435"/>
        <v/>
      </c>
      <c r="V616" s="24" t="str">
        <f t="shared" si="436"/>
        <v/>
      </c>
      <c r="W616" s="23" t="str">
        <f t="array" ref="W616">IFERROR(SMALL(IF(S$1:S$1000="BEGIN",ROW(S$1:S$1000)),ROW()-3),"")</f>
        <v/>
      </c>
      <c r="X616" s="23" t="str">
        <f t="array" ref="X616">IFERROR(SMALL(IF(T$1:T$1000="END",ROW(T$1:T$1000)),ROW()-3),"")</f>
        <v/>
      </c>
      <c r="Y616" s="33" t="str">
        <f t="array" ref="Y616">IF(ISNUMBER(W616),MAX(IF((B$4:B$1000&lt;=X616)*(B$4:B$1000&gt;=W616),I$4:I$1000, "")),"")</f>
        <v/>
      </c>
      <c r="Z616" s="33" t="str">
        <f t="shared" si="421"/>
        <v/>
      </c>
      <c r="AA616" s="32" t="str">
        <f t="shared" si="422"/>
        <v/>
      </c>
      <c r="AB616" s="32" t="str">
        <f t="shared" si="423"/>
        <v/>
      </c>
      <c r="AC616" s="32" t="str">
        <f t="shared" si="424"/>
        <v/>
      </c>
      <c r="AD616" s="32" t="str">
        <f t="shared" si="425"/>
        <v/>
      </c>
      <c r="AE616" s="34" t="str">
        <f t="shared" si="426"/>
        <v/>
      </c>
      <c r="AF616" s="32" t="str">
        <f t="shared" si="427"/>
        <v/>
      </c>
      <c r="AG616" s="32" t="str">
        <f t="shared" si="428"/>
        <v/>
      </c>
      <c r="AH616" s="32" t="str">
        <f t="shared" si="429"/>
        <v/>
      </c>
      <c r="AI616" s="35" t="str">
        <f t="shared" si="430"/>
        <v/>
      </c>
      <c r="AJ616" s="23" t="str">
        <f t="array" ref="AJ616">IFERROR(SMALL(IF(U$1:U$1000="BEGIN",ROW(U$1:U$1000)),ROW()-3),"")</f>
        <v/>
      </c>
      <c r="AK616" s="23" t="str">
        <f t="array" ref="AK616">IFERROR(SMALL(IF(V$1:V$1000="END",ROW(V$1:V$1000)),ROW()-3),"")</f>
        <v/>
      </c>
      <c r="AL616" s="24" t="str">
        <f t="array" ref="AL616">IF(AK616="","",MATCH(AM616,L:L,0))</f>
        <v/>
      </c>
      <c r="AM616" s="35">
        <f t="array" ref="AM616">MAX(IF((B$4:B$1000&lt;=AK616)*(B$4:B$1000&gt;=AJ616),L$4:L$1000, ""))</f>
        <v>0</v>
      </c>
      <c r="AN616" s="32" t="str">
        <f t="shared" si="437"/>
        <v/>
      </c>
      <c r="AO616" s="32" t="str">
        <f t="shared" si="438"/>
        <v/>
      </c>
      <c r="AP616" s="32" t="str">
        <f t="shared" si="439"/>
        <v/>
      </c>
      <c r="AQ616" s="32" t="str">
        <f t="shared" si="440"/>
        <v/>
      </c>
      <c r="AR616" s="32" t="str">
        <f t="shared" si="441"/>
        <v/>
      </c>
      <c r="AS616" s="32" t="str">
        <f t="shared" si="442"/>
        <v/>
      </c>
      <c r="AT616" s="32" t="str">
        <f t="shared" si="443"/>
        <v/>
      </c>
      <c r="AU616" s="34" t="str">
        <f t="shared" si="444"/>
        <v/>
      </c>
      <c r="AV616" s="32" t="str">
        <f t="shared" si="445"/>
        <v/>
      </c>
      <c r="AW616" s="32" t="str">
        <f t="shared" si="446"/>
        <v/>
      </c>
      <c r="AX616" s="32" t="str">
        <f t="shared" si="447"/>
        <v/>
      </c>
      <c r="AY616" s="32" t="str">
        <f t="shared" si="448"/>
        <v/>
      </c>
    </row>
    <row r="617" spans="1:51" x14ac:dyDescent="0.25">
      <c r="A617" s="24" t="str">
        <f t="shared" si="406"/>
        <v/>
      </c>
      <c r="B617" s="24" t="str">
        <f t="shared" si="416"/>
        <v/>
      </c>
      <c r="C617" s="32" t="str">
        <f t="shared" si="407"/>
        <v/>
      </c>
      <c r="D617" s="24" t="str">
        <f t="shared" si="408"/>
        <v/>
      </c>
      <c r="E617" s="24" t="str">
        <f t="shared" si="409"/>
        <v/>
      </c>
      <c r="F617" s="32" t="str">
        <f t="shared" si="410"/>
        <v/>
      </c>
      <c r="G617" s="32" t="str">
        <f t="shared" si="411"/>
        <v/>
      </c>
      <c r="H617" s="32" t="str">
        <f t="shared" ca="1" si="412"/>
        <v/>
      </c>
      <c r="I617" s="32" t="str">
        <f t="shared" ca="1" si="417"/>
        <v/>
      </c>
      <c r="J617" s="32" t="str">
        <f t="shared" si="413"/>
        <v/>
      </c>
      <c r="K617" s="32" t="str">
        <f>IF(ISNUMBER(A617),Profile!$V$25+Profile!$V$24*'Ri-Po'!C617,"")</f>
        <v/>
      </c>
      <c r="L617" s="32" t="str">
        <f t="shared" si="418"/>
        <v/>
      </c>
      <c r="M617" s="32" t="str">
        <f t="shared" si="414"/>
        <v/>
      </c>
      <c r="N617" s="32" t="str">
        <f t="shared" si="415"/>
        <v/>
      </c>
      <c r="O617" s="32" t="str">
        <f t="shared" si="431"/>
        <v/>
      </c>
      <c r="P617" s="32" t="str">
        <f t="shared" si="419"/>
        <v/>
      </c>
      <c r="Q617" s="32" t="str">
        <f t="shared" si="420"/>
        <v/>
      </c>
      <c r="R617" s="32" t="str">
        <f t="shared" si="432"/>
        <v/>
      </c>
      <c r="S617" s="24" t="str">
        <f t="shared" si="433"/>
        <v/>
      </c>
      <c r="T617" s="24" t="str">
        <f t="shared" si="434"/>
        <v/>
      </c>
      <c r="U617" s="24" t="str">
        <f t="shared" si="435"/>
        <v/>
      </c>
      <c r="V617" s="24" t="str">
        <f t="shared" si="436"/>
        <v/>
      </c>
      <c r="W617" s="23" t="str">
        <f t="array" ref="W617">IFERROR(SMALL(IF(S$1:S$1000="BEGIN",ROW(S$1:S$1000)),ROW()-3),"")</f>
        <v/>
      </c>
      <c r="X617" s="23" t="str">
        <f t="array" ref="X617">IFERROR(SMALL(IF(T$1:T$1000="END",ROW(T$1:T$1000)),ROW()-3),"")</f>
        <v/>
      </c>
      <c r="Y617" s="33" t="str">
        <f t="array" ref="Y617">IF(ISNUMBER(W617),MAX(IF((B$4:B$1000&lt;=X617)*(B$4:B$1000&gt;=W617),I$4:I$1000, "")),"")</f>
        <v/>
      </c>
      <c r="Z617" s="33" t="str">
        <f t="shared" si="421"/>
        <v/>
      </c>
      <c r="AA617" s="32" t="str">
        <f t="shared" si="422"/>
        <v/>
      </c>
      <c r="AB617" s="32" t="str">
        <f t="shared" si="423"/>
        <v/>
      </c>
      <c r="AC617" s="32" t="str">
        <f t="shared" si="424"/>
        <v/>
      </c>
      <c r="AD617" s="32" t="str">
        <f t="shared" si="425"/>
        <v/>
      </c>
      <c r="AE617" s="34" t="str">
        <f t="shared" si="426"/>
        <v/>
      </c>
      <c r="AF617" s="32" t="str">
        <f t="shared" si="427"/>
        <v/>
      </c>
      <c r="AG617" s="32" t="str">
        <f t="shared" si="428"/>
        <v/>
      </c>
      <c r="AH617" s="32" t="str">
        <f t="shared" si="429"/>
        <v/>
      </c>
      <c r="AI617" s="35" t="str">
        <f t="shared" si="430"/>
        <v/>
      </c>
      <c r="AJ617" s="23" t="str">
        <f t="array" ref="AJ617">IFERROR(SMALL(IF(U$1:U$1000="BEGIN",ROW(U$1:U$1000)),ROW()-3),"")</f>
        <v/>
      </c>
      <c r="AK617" s="23" t="str">
        <f t="array" ref="AK617">IFERROR(SMALL(IF(V$1:V$1000="END",ROW(V$1:V$1000)),ROW()-3),"")</f>
        <v/>
      </c>
      <c r="AL617" s="24" t="str">
        <f t="array" ref="AL617">IF(AK617="","",MATCH(AM617,L:L,0))</f>
        <v/>
      </c>
      <c r="AM617" s="35">
        <f t="array" ref="AM617">MAX(IF((B$4:B$1000&lt;=AK617)*(B$4:B$1000&gt;=AJ617),L$4:L$1000, ""))</f>
        <v>0</v>
      </c>
      <c r="AN617" s="32" t="str">
        <f t="shared" si="437"/>
        <v/>
      </c>
      <c r="AO617" s="32" t="str">
        <f t="shared" si="438"/>
        <v/>
      </c>
      <c r="AP617" s="32" t="str">
        <f t="shared" si="439"/>
        <v/>
      </c>
      <c r="AQ617" s="32" t="str">
        <f t="shared" si="440"/>
        <v/>
      </c>
      <c r="AR617" s="32" t="str">
        <f t="shared" si="441"/>
        <v/>
      </c>
      <c r="AS617" s="32" t="str">
        <f t="shared" si="442"/>
        <v/>
      </c>
      <c r="AT617" s="32" t="str">
        <f t="shared" si="443"/>
        <v/>
      </c>
      <c r="AU617" s="34" t="str">
        <f t="shared" si="444"/>
        <v/>
      </c>
      <c r="AV617" s="32" t="str">
        <f t="shared" si="445"/>
        <v/>
      </c>
      <c r="AW617" s="32" t="str">
        <f t="shared" si="446"/>
        <v/>
      </c>
      <c r="AX617" s="32" t="str">
        <f t="shared" si="447"/>
        <v/>
      </c>
      <c r="AY617" s="32" t="str">
        <f t="shared" si="448"/>
        <v/>
      </c>
    </row>
    <row r="618" spans="1:51" x14ac:dyDescent="0.25">
      <c r="A618" s="24" t="str">
        <f t="shared" si="406"/>
        <v/>
      </c>
      <c r="B618" s="24" t="str">
        <f t="shared" si="416"/>
        <v/>
      </c>
      <c r="C618" s="32" t="str">
        <f t="shared" si="407"/>
        <v/>
      </c>
      <c r="D618" s="24" t="str">
        <f t="shared" si="408"/>
        <v/>
      </c>
      <c r="E618" s="24" t="str">
        <f t="shared" si="409"/>
        <v/>
      </c>
      <c r="F618" s="32" t="str">
        <f t="shared" si="410"/>
        <v/>
      </c>
      <c r="G618" s="32" t="str">
        <f t="shared" si="411"/>
        <v/>
      </c>
      <c r="H618" s="32" t="str">
        <f t="shared" ca="1" si="412"/>
        <v/>
      </c>
      <c r="I618" s="32" t="str">
        <f t="shared" ca="1" si="417"/>
        <v/>
      </c>
      <c r="J618" s="32" t="str">
        <f t="shared" si="413"/>
        <v/>
      </c>
      <c r="K618" s="32" t="str">
        <f>IF(ISNUMBER(A618),Profile!$V$25+Profile!$V$24*'Ri-Po'!C618,"")</f>
        <v/>
      </c>
      <c r="L618" s="32" t="str">
        <f t="shared" si="418"/>
        <v/>
      </c>
      <c r="M618" s="32" t="str">
        <f t="shared" si="414"/>
        <v/>
      </c>
      <c r="N618" s="32" t="str">
        <f t="shared" si="415"/>
        <v/>
      </c>
      <c r="O618" s="32" t="str">
        <f t="shared" si="431"/>
        <v/>
      </c>
      <c r="P618" s="32" t="str">
        <f t="shared" si="419"/>
        <v/>
      </c>
      <c r="Q618" s="32" t="str">
        <f t="shared" si="420"/>
        <v/>
      </c>
      <c r="R618" s="32" t="str">
        <f t="shared" si="432"/>
        <v/>
      </c>
      <c r="S618" s="24" t="str">
        <f t="shared" si="433"/>
        <v/>
      </c>
      <c r="T618" s="24" t="str">
        <f t="shared" si="434"/>
        <v/>
      </c>
      <c r="U618" s="24" t="str">
        <f t="shared" si="435"/>
        <v/>
      </c>
      <c r="V618" s="24" t="str">
        <f t="shared" si="436"/>
        <v/>
      </c>
      <c r="W618" s="23" t="str">
        <f t="array" ref="W618">IFERROR(SMALL(IF(S$1:S$1000="BEGIN",ROW(S$1:S$1000)),ROW()-3),"")</f>
        <v/>
      </c>
      <c r="X618" s="23" t="str">
        <f t="array" ref="X618">IFERROR(SMALL(IF(T$1:T$1000="END",ROW(T$1:T$1000)),ROW()-3),"")</f>
        <v/>
      </c>
      <c r="Y618" s="33" t="str">
        <f t="array" ref="Y618">IF(ISNUMBER(W618),MAX(IF((B$4:B$1000&lt;=X618)*(B$4:B$1000&gt;=W618),I$4:I$1000, "")),"")</f>
        <v/>
      </c>
      <c r="Z618" s="33" t="str">
        <f t="shared" si="421"/>
        <v/>
      </c>
      <c r="AA618" s="32" t="str">
        <f t="shared" si="422"/>
        <v/>
      </c>
      <c r="AB618" s="32" t="str">
        <f t="shared" si="423"/>
        <v/>
      </c>
      <c r="AC618" s="32" t="str">
        <f t="shared" si="424"/>
        <v/>
      </c>
      <c r="AD618" s="32" t="str">
        <f t="shared" si="425"/>
        <v/>
      </c>
      <c r="AE618" s="34" t="str">
        <f t="shared" si="426"/>
        <v/>
      </c>
      <c r="AF618" s="32" t="str">
        <f t="shared" si="427"/>
        <v/>
      </c>
      <c r="AG618" s="32" t="str">
        <f t="shared" si="428"/>
        <v/>
      </c>
      <c r="AH618" s="32" t="str">
        <f t="shared" si="429"/>
        <v/>
      </c>
      <c r="AI618" s="35" t="str">
        <f t="shared" si="430"/>
        <v/>
      </c>
      <c r="AJ618" s="23" t="str">
        <f t="array" ref="AJ618">IFERROR(SMALL(IF(U$1:U$1000="BEGIN",ROW(U$1:U$1000)),ROW()-3),"")</f>
        <v/>
      </c>
      <c r="AK618" s="23" t="str">
        <f t="array" ref="AK618">IFERROR(SMALL(IF(V$1:V$1000="END",ROW(V$1:V$1000)),ROW()-3),"")</f>
        <v/>
      </c>
      <c r="AL618" s="24" t="str">
        <f t="array" ref="AL618">IF(AK618="","",MATCH(AM618,L:L,0))</f>
        <v/>
      </c>
      <c r="AM618" s="35">
        <f t="array" ref="AM618">MAX(IF((B$4:B$1000&lt;=AK618)*(B$4:B$1000&gt;=AJ618),L$4:L$1000, ""))</f>
        <v>0</v>
      </c>
      <c r="AN618" s="32" t="str">
        <f t="shared" si="437"/>
        <v/>
      </c>
      <c r="AO618" s="32" t="str">
        <f t="shared" si="438"/>
        <v/>
      </c>
      <c r="AP618" s="32" t="str">
        <f t="shared" si="439"/>
        <v/>
      </c>
      <c r="AQ618" s="32" t="str">
        <f t="shared" si="440"/>
        <v/>
      </c>
      <c r="AR618" s="32" t="str">
        <f t="shared" si="441"/>
        <v/>
      </c>
      <c r="AS618" s="32" t="str">
        <f t="shared" si="442"/>
        <v/>
      </c>
      <c r="AT618" s="32" t="str">
        <f t="shared" si="443"/>
        <v/>
      </c>
      <c r="AU618" s="34" t="str">
        <f t="shared" si="444"/>
        <v/>
      </c>
      <c r="AV618" s="32" t="str">
        <f t="shared" si="445"/>
        <v/>
      </c>
      <c r="AW618" s="32" t="str">
        <f t="shared" si="446"/>
        <v/>
      </c>
      <c r="AX618" s="32" t="str">
        <f t="shared" si="447"/>
        <v/>
      </c>
      <c r="AY618" s="32" t="str">
        <f t="shared" si="448"/>
        <v/>
      </c>
    </row>
    <row r="619" spans="1:51" x14ac:dyDescent="0.25">
      <c r="A619" s="24" t="str">
        <f t="shared" si="406"/>
        <v/>
      </c>
      <c r="B619" s="24" t="str">
        <f t="shared" si="416"/>
        <v/>
      </c>
      <c r="C619" s="32" t="str">
        <f t="shared" si="407"/>
        <v/>
      </c>
      <c r="D619" s="24" t="str">
        <f t="shared" si="408"/>
        <v/>
      </c>
      <c r="E619" s="24" t="str">
        <f t="shared" si="409"/>
        <v/>
      </c>
      <c r="F619" s="32" t="str">
        <f t="shared" si="410"/>
        <v/>
      </c>
      <c r="G619" s="32" t="str">
        <f t="shared" si="411"/>
        <v/>
      </c>
      <c r="H619" s="32" t="str">
        <f t="shared" ca="1" si="412"/>
        <v/>
      </c>
      <c r="I619" s="32" t="str">
        <f t="shared" ca="1" si="417"/>
        <v/>
      </c>
      <c r="J619" s="32" t="str">
        <f t="shared" si="413"/>
        <v/>
      </c>
      <c r="K619" s="32" t="str">
        <f>IF(ISNUMBER(A619),Profile!$V$25+Profile!$V$24*'Ri-Po'!C619,"")</f>
        <v/>
      </c>
      <c r="L619" s="32" t="str">
        <f t="shared" si="418"/>
        <v/>
      </c>
      <c r="M619" s="32" t="str">
        <f t="shared" si="414"/>
        <v/>
      </c>
      <c r="N619" s="32" t="str">
        <f t="shared" si="415"/>
        <v/>
      </c>
      <c r="O619" s="32" t="str">
        <f t="shared" si="431"/>
        <v/>
      </c>
      <c r="P619" s="32" t="str">
        <f t="shared" si="419"/>
        <v/>
      </c>
      <c r="Q619" s="32" t="str">
        <f t="shared" si="420"/>
        <v/>
      </c>
      <c r="R619" s="32" t="str">
        <f t="shared" si="432"/>
        <v/>
      </c>
      <c r="S619" s="24" t="str">
        <f t="shared" si="433"/>
        <v/>
      </c>
      <c r="T619" s="24" t="str">
        <f t="shared" si="434"/>
        <v/>
      </c>
      <c r="U619" s="24" t="str">
        <f t="shared" si="435"/>
        <v/>
      </c>
      <c r="V619" s="24" t="str">
        <f t="shared" si="436"/>
        <v/>
      </c>
      <c r="W619" s="23" t="str">
        <f t="array" ref="W619">IFERROR(SMALL(IF(S$1:S$1000="BEGIN",ROW(S$1:S$1000)),ROW()-3),"")</f>
        <v/>
      </c>
      <c r="X619" s="23" t="str">
        <f t="array" ref="X619">IFERROR(SMALL(IF(T$1:T$1000="END",ROW(T$1:T$1000)),ROW()-3),"")</f>
        <v/>
      </c>
      <c r="Y619" s="33" t="str">
        <f t="array" ref="Y619">IF(ISNUMBER(W619),MAX(IF((B$4:B$1000&lt;=X619)*(B$4:B$1000&gt;=W619),I$4:I$1000, "")),"")</f>
        <v/>
      </c>
      <c r="Z619" s="33" t="str">
        <f t="shared" si="421"/>
        <v/>
      </c>
      <c r="AA619" s="32" t="str">
        <f t="shared" si="422"/>
        <v/>
      </c>
      <c r="AB619" s="32" t="str">
        <f t="shared" si="423"/>
        <v/>
      </c>
      <c r="AC619" s="32" t="str">
        <f t="shared" si="424"/>
        <v/>
      </c>
      <c r="AD619" s="32" t="str">
        <f t="shared" si="425"/>
        <v/>
      </c>
      <c r="AE619" s="34" t="str">
        <f t="shared" si="426"/>
        <v/>
      </c>
      <c r="AF619" s="32" t="str">
        <f t="shared" si="427"/>
        <v/>
      </c>
      <c r="AG619" s="32" t="str">
        <f t="shared" si="428"/>
        <v/>
      </c>
      <c r="AH619" s="32" t="str">
        <f t="shared" si="429"/>
        <v/>
      </c>
      <c r="AI619" s="35" t="str">
        <f t="shared" si="430"/>
        <v/>
      </c>
      <c r="AJ619" s="23" t="str">
        <f t="array" ref="AJ619">IFERROR(SMALL(IF(U$1:U$1000="BEGIN",ROW(U$1:U$1000)),ROW()-3),"")</f>
        <v/>
      </c>
      <c r="AK619" s="23" t="str">
        <f t="array" ref="AK619">IFERROR(SMALL(IF(V$1:V$1000="END",ROW(V$1:V$1000)),ROW()-3),"")</f>
        <v/>
      </c>
      <c r="AL619" s="24" t="str">
        <f t="array" ref="AL619">IF(AK619="","",MATCH(AM619,L:L,0))</f>
        <v/>
      </c>
      <c r="AM619" s="35">
        <f t="array" ref="AM619">MAX(IF((B$4:B$1000&lt;=AK619)*(B$4:B$1000&gt;=AJ619),L$4:L$1000, ""))</f>
        <v>0</v>
      </c>
      <c r="AN619" s="32" t="str">
        <f t="shared" si="437"/>
        <v/>
      </c>
      <c r="AO619" s="32" t="str">
        <f t="shared" si="438"/>
        <v/>
      </c>
      <c r="AP619" s="32" t="str">
        <f t="shared" si="439"/>
        <v/>
      </c>
      <c r="AQ619" s="32" t="str">
        <f t="shared" si="440"/>
        <v/>
      </c>
      <c r="AR619" s="32" t="str">
        <f t="shared" si="441"/>
        <v/>
      </c>
      <c r="AS619" s="32" t="str">
        <f t="shared" si="442"/>
        <v/>
      </c>
      <c r="AT619" s="32" t="str">
        <f t="shared" si="443"/>
        <v/>
      </c>
      <c r="AU619" s="34" t="str">
        <f t="shared" si="444"/>
        <v/>
      </c>
      <c r="AV619" s="32" t="str">
        <f t="shared" si="445"/>
        <v/>
      </c>
      <c r="AW619" s="32" t="str">
        <f t="shared" si="446"/>
        <v/>
      </c>
      <c r="AX619" s="32" t="str">
        <f t="shared" si="447"/>
        <v/>
      </c>
      <c r="AY619" s="32" t="str">
        <f t="shared" si="448"/>
        <v/>
      </c>
    </row>
    <row r="620" spans="1:51" x14ac:dyDescent="0.25">
      <c r="A620" s="24" t="str">
        <f t="shared" si="406"/>
        <v/>
      </c>
      <c r="B620" s="24" t="str">
        <f t="shared" si="416"/>
        <v/>
      </c>
      <c r="C620" s="32" t="str">
        <f t="shared" si="407"/>
        <v/>
      </c>
      <c r="D620" s="24" t="str">
        <f t="shared" si="408"/>
        <v/>
      </c>
      <c r="E620" s="24" t="str">
        <f t="shared" si="409"/>
        <v/>
      </c>
      <c r="F620" s="32" t="str">
        <f t="shared" si="410"/>
        <v/>
      </c>
      <c r="G620" s="32" t="str">
        <f t="shared" si="411"/>
        <v/>
      </c>
      <c r="H620" s="32" t="str">
        <f t="shared" ca="1" si="412"/>
        <v/>
      </c>
      <c r="I620" s="32" t="str">
        <f t="shared" ca="1" si="417"/>
        <v/>
      </c>
      <c r="J620" s="32" t="str">
        <f t="shared" si="413"/>
        <v/>
      </c>
      <c r="K620" s="32" t="str">
        <f>IF(ISNUMBER(A620),Profile!$V$25+Profile!$V$24*'Ri-Po'!C620,"")</f>
        <v/>
      </c>
      <c r="L620" s="32" t="str">
        <f t="shared" si="418"/>
        <v/>
      </c>
      <c r="M620" s="32" t="str">
        <f t="shared" si="414"/>
        <v/>
      </c>
      <c r="N620" s="32" t="str">
        <f t="shared" si="415"/>
        <v/>
      </c>
      <c r="O620" s="32" t="str">
        <f t="shared" si="431"/>
        <v/>
      </c>
      <c r="P620" s="32" t="str">
        <f t="shared" si="419"/>
        <v/>
      </c>
      <c r="Q620" s="32" t="str">
        <f t="shared" si="420"/>
        <v/>
      </c>
      <c r="R620" s="32" t="str">
        <f t="shared" si="432"/>
        <v/>
      </c>
      <c r="S620" s="24" t="str">
        <f t="shared" si="433"/>
        <v/>
      </c>
      <c r="T620" s="24" t="str">
        <f t="shared" si="434"/>
        <v/>
      </c>
      <c r="U620" s="24" t="str">
        <f t="shared" si="435"/>
        <v/>
      </c>
      <c r="V620" s="24" t="str">
        <f t="shared" si="436"/>
        <v/>
      </c>
      <c r="W620" s="23" t="str">
        <f t="array" ref="W620">IFERROR(SMALL(IF(S$1:S$1000="BEGIN",ROW(S$1:S$1000)),ROW()-3),"")</f>
        <v/>
      </c>
      <c r="X620" s="23" t="str">
        <f t="array" ref="X620">IFERROR(SMALL(IF(T$1:T$1000="END",ROW(T$1:T$1000)),ROW()-3),"")</f>
        <v/>
      </c>
      <c r="Y620" s="33" t="str">
        <f t="array" ref="Y620">IF(ISNUMBER(W620),MAX(IF((B$4:B$1000&lt;=X620)*(B$4:B$1000&gt;=W620),I$4:I$1000, "")),"")</f>
        <v/>
      </c>
      <c r="Z620" s="33" t="str">
        <f t="shared" si="421"/>
        <v/>
      </c>
      <c r="AA620" s="32" t="str">
        <f t="shared" si="422"/>
        <v/>
      </c>
      <c r="AB620" s="32" t="str">
        <f t="shared" si="423"/>
        <v/>
      </c>
      <c r="AC620" s="32" t="str">
        <f t="shared" si="424"/>
        <v/>
      </c>
      <c r="AD620" s="32" t="str">
        <f t="shared" si="425"/>
        <v/>
      </c>
      <c r="AE620" s="34" t="str">
        <f t="shared" si="426"/>
        <v/>
      </c>
      <c r="AF620" s="32" t="str">
        <f t="shared" si="427"/>
        <v/>
      </c>
      <c r="AG620" s="32" t="str">
        <f t="shared" si="428"/>
        <v/>
      </c>
      <c r="AH620" s="32" t="str">
        <f t="shared" si="429"/>
        <v/>
      </c>
      <c r="AI620" s="35" t="str">
        <f t="shared" si="430"/>
        <v/>
      </c>
      <c r="AJ620" s="23" t="str">
        <f t="array" ref="AJ620">IFERROR(SMALL(IF(U$1:U$1000="BEGIN",ROW(U$1:U$1000)),ROW()-3),"")</f>
        <v/>
      </c>
      <c r="AK620" s="23" t="str">
        <f t="array" ref="AK620">IFERROR(SMALL(IF(V$1:V$1000="END",ROW(V$1:V$1000)),ROW()-3),"")</f>
        <v/>
      </c>
      <c r="AL620" s="24" t="str">
        <f t="array" ref="AL620">IF(AK620="","",MATCH(AM620,L:L,0))</f>
        <v/>
      </c>
      <c r="AM620" s="35">
        <f t="array" ref="AM620">MAX(IF((B$4:B$1000&lt;=AK620)*(B$4:B$1000&gt;=AJ620),L$4:L$1000, ""))</f>
        <v>0</v>
      </c>
      <c r="AN620" s="32" t="str">
        <f t="shared" si="437"/>
        <v/>
      </c>
      <c r="AO620" s="32" t="str">
        <f t="shared" si="438"/>
        <v/>
      </c>
      <c r="AP620" s="32" t="str">
        <f t="shared" si="439"/>
        <v/>
      </c>
      <c r="AQ620" s="32" t="str">
        <f t="shared" si="440"/>
        <v/>
      </c>
      <c r="AR620" s="32" t="str">
        <f t="shared" si="441"/>
        <v/>
      </c>
      <c r="AS620" s="32" t="str">
        <f t="shared" si="442"/>
        <v/>
      </c>
      <c r="AT620" s="32" t="str">
        <f t="shared" si="443"/>
        <v/>
      </c>
      <c r="AU620" s="34" t="str">
        <f t="shared" si="444"/>
        <v/>
      </c>
      <c r="AV620" s="32" t="str">
        <f t="shared" si="445"/>
        <v/>
      </c>
      <c r="AW620" s="32" t="str">
        <f t="shared" si="446"/>
        <v/>
      </c>
      <c r="AX620" s="32" t="str">
        <f t="shared" si="447"/>
        <v/>
      </c>
      <c r="AY620" s="32" t="str">
        <f t="shared" si="448"/>
        <v/>
      </c>
    </row>
    <row r="621" spans="1:51" x14ac:dyDescent="0.25">
      <c r="A621" s="24" t="str">
        <f t="shared" si="406"/>
        <v/>
      </c>
      <c r="B621" s="24" t="str">
        <f t="shared" si="416"/>
        <v/>
      </c>
      <c r="C621" s="32" t="str">
        <f t="shared" si="407"/>
        <v/>
      </c>
      <c r="D621" s="24" t="str">
        <f t="shared" si="408"/>
        <v/>
      </c>
      <c r="E621" s="24" t="str">
        <f t="shared" si="409"/>
        <v/>
      </c>
      <c r="F621" s="32" t="str">
        <f t="shared" si="410"/>
        <v/>
      </c>
      <c r="G621" s="32" t="str">
        <f t="shared" si="411"/>
        <v/>
      </c>
      <c r="H621" s="32" t="str">
        <f t="shared" ca="1" si="412"/>
        <v/>
      </c>
      <c r="I621" s="32" t="str">
        <f t="shared" ca="1" si="417"/>
        <v/>
      </c>
      <c r="J621" s="32" t="str">
        <f t="shared" si="413"/>
        <v/>
      </c>
      <c r="K621" s="32" t="str">
        <f>IF(ISNUMBER(A621),Profile!$V$25+Profile!$V$24*'Ri-Po'!C621,"")</f>
        <v/>
      </c>
      <c r="L621" s="32" t="str">
        <f t="shared" si="418"/>
        <v/>
      </c>
      <c r="M621" s="32" t="str">
        <f t="shared" si="414"/>
        <v/>
      </c>
      <c r="N621" s="32" t="str">
        <f t="shared" si="415"/>
        <v/>
      </c>
      <c r="O621" s="32" t="str">
        <f t="shared" si="431"/>
        <v/>
      </c>
      <c r="P621" s="32" t="str">
        <f t="shared" si="419"/>
        <v/>
      </c>
      <c r="Q621" s="32" t="str">
        <f t="shared" si="420"/>
        <v/>
      </c>
      <c r="R621" s="32" t="str">
        <f t="shared" si="432"/>
        <v/>
      </c>
      <c r="S621" s="24" t="str">
        <f t="shared" si="433"/>
        <v/>
      </c>
      <c r="T621" s="24" t="str">
        <f t="shared" si="434"/>
        <v/>
      </c>
      <c r="U621" s="24" t="str">
        <f t="shared" si="435"/>
        <v/>
      </c>
      <c r="V621" s="24" t="str">
        <f t="shared" si="436"/>
        <v/>
      </c>
      <c r="W621" s="23" t="str">
        <f t="array" ref="W621">IFERROR(SMALL(IF(S$1:S$1000="BEGIN",ROW(S$1:S$1000)),ROW()-3),"")</f>
        <v/>
      </c>
      <c r="X621" s="23" t="str">
        <f t="array" ref="X621">IFERROR(SMALL(IF(T$1:T$1000="END",ROW(T$1:T$1000)),ROW()-3),"")</f>
        <v/>
      </c>
      <c r="Y621" s="33" t="str">
        <f t="array" ref="Y621">IF(ISNUMBER(W621),MAX(IF((B$4:B$1000&lt;=X621)*(B$4:B$1000&gt;=W621),I$4:I$1000, "")),"")</f>
        <v/>
      </c>
      <c r="Z621" s="33" t="str">
        <f t="shared" si="421"/>
        <v/>
      </c>
      <c r="AA621" s="32" t="str">
        <f t="shared" si="422"/>
        <v/>
      </c>
      <c r="AB621" s="32" t="str">
        <f t="shared" si="423"/>
        <v/>
      </c>
      <c r="AC621" s="32" t="str">
        <f t="shared" si="424"/>
        <v/>
      </c>
      <c r="AD621" s="32" t="str">
        <f t="shared" si="425"/>
        <v/>
      </c>
      <c r="AE621" s="34" t="str">
        <f t="shared" si="426"/>
        <v/>
      </c>
      <c r="AF621" s="32" t="str">
        <f t="shared" si="427"/>
        <v/>
      </c>
      <c r="AG621" s="32" t="str">
        <f t="shared" si="428"/>
        <v/>
      </c>
      <c r="AH621" s="32" t="str">
        <f t="shared" si="429"/>
        <v/>
      </c>
      <c r="AI621" s="35" t="str">
        <f t="shared" si="430"/>
        <v/>
      </c>
      <c r="AJ621" s="23" t="str">
        <f t="array" ref="AJ621">IFERROR(SMALL(IF(U$1:U$1000="BEGIN",ROW(U$1:U$1000)),ROW()-3),"")</f>
        <v/>
      </c>
      <c r="AK621" s="23" t="str">
        <f t="array" ref="AK621">IFERROR(SMALL(IF(V$1:V$1000="END",ROW(V$1:V$1000)),ROW()-3),"")</f>
        <v/>
      </c>
      <c r="AL621" s="24" t="str">
        <f t="array" ref="AL621">IF(AK621="","",MATCH(AM621,L:L,0))</f>
        <v/>
      </c>
      <c r="AM621" s="35">
        <f t="array" ref="AM621">MAX(IF((B$4:B$1000&lt;=AK621)*(B$4:B$1000&gt;=AJ621),L$4:L$1000, ""))</f>
        <v>0</v>
      </c>
      <c r="AN621" s="32" t="str">
        <f t="shared" si="437"/>
        <v/>
      </c>
      <c r="AO621" s="32" t="str">
        <f t="shared" si="438"/>
        <v/>
      </c>
      <c r="AP621" s="32" t="str">
        <f t="shared" si="439"/>
        <v/>
      </c>
      <c r="AQ621" s="32" t="str">
        <f t="shared" si="440"/>
        <v/>
      </c>
      <c r="AR621" s="32" t="str">
        <f t="shared" si="441"/>
        <v/>
      </c>
      <c r="AS621" s="32" t="str">
        <f t="shared" si="442"/>
        <v/>
      </c>
      <c r="AT621" s="32" t="str">
        <f t="shared" si="443"/>
        <v/>
      </c>
      <c r="AU621" s="34" t="str">
        <f t="shared" si="444"/>
        <v/>
      </c>
      <c r="AV621" s="32" t="str">
        <f t="shared" si="445"/>
        <v/>
      </c>
      <c r="AW621" s="32" t="str">
        <f t="shared" si="446"/>
        <v/>
      </c>
      <c r="AX621" s="32" t="str">
        <f t="shared" si="447"/>
        <v/>
      </c>
      <c r="AY621" s="32" t="str">
        <f t="shared" si="448"/>
        <v/>
      </c>
    </row>
    <row r="622" spans="1:51" x14ac:dyDescent="0.25">
      <c r="A622" s="24" t="str">
        <f t="shared" si="406"/>
        <v/>
      </c>
      <c r="B622" s="24" t="str">
        <f t="shared" si="416"/>
        <v/>
      </c>
      <c r="C622" s="32" t="str">
        <f t="shared" si="407"/>
        <v/>
      </c>
      <c r="D622" s="24" t="str">
        <f t="shared" si="408"/>
        <v/>
      </c>
      <c r="E622" s="24" t="str">
        <f t="shared" si="409"/>
        <v/>
      </c>
      <c r="F622" s="32" t="str">
        <f t="shared" si="410"/>
        <v/>
      </c>
      <c r="G622" s="32" t="str">
        <f t="shared" si="411"/>
        <v/>
      </c>
      <c r="H622" s="32" t="str">
        <f t="shared" ca="1" si="412"/>
        <v/>
      </c>
      <c r="I622" s="32" t="str">
        <f t="shared" ca="1" si="417"/>
        <v/>
      </c>
      <c r="J622" s="32" t="str">
        <f t="shared" si="413"/>
        <v/>
      </c>
      <c r="K622" s="32" t="str">
        <f>IF(ISNUMBER(A622),Profile!$V$25+Profile!$V$24*'Ri-Po'!C622,"")</f>
        <v/>
      </c>
      <c r="L622" s="32" t="str">
        <f t="shared" si="418"/>
        <v/>
      </c>
      <c r="M622" s="32" t="str">
        <f t="shared" si="414"/>
        <v/>
      </c>
      <c r="N622" s="32" t="str">
        <f t="shared" si="415"/>
        <v/>
      </c>
      <c r="O622" s="32" t="str">
        <f t="shared" si="431"/>
        <v/>
      </c>
      <c r="P622" s="32" t="str">
        <f t="shared" si="419"/>
        <v/>
      </c>
      <c r="Q622" s="32" t="str">
        <f t="shared" si="420"/>
        <v/>
      </c>
      <c r="R622" s="32" t="str">
        <f t="shared" si="432"/>
        <v/>
      </c>
      <c r="S622" s="24" t="str">
        <f t="shared" si="433"/>
        <v/>
      </c>
      <c r="T622" s="24" t="str">
        <f t="shared" si="434"/>
        <v/>
      </c>
      <c r="U622" s="24" t="str">
        <f t="shared" si="435"/>
        <v/>
      </c>
      <c r="V622" s="24" t="str">
        <f t="shared" si="436"/>
        <v/>
      </c>
      <c r="W622" s="23" t="str">
        <f t="array" ref="W622">IFERROR(SMALL(IF(S$1:S$1000="BEGIN",ROW(S$1:S$1000)),ROW()-3),"")</f>
        <v/>
      </c>
      <c r="X622" s="23" t="str">
        <f t="array" ref="X622">IFERROR(SMALL(IF(T$1:T$1000="END",ROW(T$1:T$1000)),ROW()-3),"")</f>
        <v/>
      </c>
      <c r="Y622" s="33" t="str">
        <f t="array" ref="Y622">IF(ISNUMBER(W622),MAX(IF((B$4:B$1000&lt;=X622)*(B$4:B$1000&gt;=W622),I$4:I$1000, "")),"")</f>
        <v/>
      </c>
      <c r="Z622" s="33" t="str">
        <f t="shared" si="421"/>
        <v/>
      </c>
      <c r="AA622" s="32" t="str">
        <f t="shared" si="422"/>
        <v/>
      </c>
      <c r="AB622" s="32" t="str">
        <f t="shared" si="423"/>
        <v/>
      </c>
      <c r="AC622" s="32" t="str">
        <f t="shared" si="424"/>
        <v/>
      </c>
      <c r="AD622" s="32" t="str">
        <f t="shared" si="425"/>
        <v/>
      </c>
      <c r="AE622" s="34" t="str">
        <f t="shared" si="426"/>
        <v/>
      </c>
      <c r="AF622" s="32" t="str">
        <f t="shared" si="427"/>
        <v/>
      </c>
      <c r="AG622" s="32" t="str">
        <f t="shared" si="428"/>
        <v/>
      </c>
      <c r="AH622" s="32" t="str">
        <f t="shared" si="429"/>
        <v/>
      </c>
      <c r="AI622" s="35" t="str">
        <f t="shared" si="430"/>
        <v/>
      </c>
      <c r="AJ622" s="23" t="str">
        <f t="array" ref="AJ622">IFERROR(SMALL(IF(U$1:U$1000="BEGIN",ROW(U$1:U$1000)),ROW()-3),"")</f>
        <v/>
      </c>
      <c r="AK622" s="23" t="str">
        <f t="array" ref="AK622">IFERROR(SMALL(IF(V$1:V$1000="END",ROW(V$1:V$1000)),ROW()-3),"")</f>
        <v/>
      </c>
      <c r="AL622" s="24" t="str">
        <f t="array" ref="AL622">IF(AK622="","",MATCH(AM622,L:L,0))</f>
        <v/>
      </c>
      <c r="AM622" s="35">
        <f t="array" ref="AM622">MAX(IF((B$4:B$1000&lt;=AK622)*(B$4:B$1000&gt;=AJ622),L$4:L$1000, ""))</f>
        <v>0</v>
      </c>
      <c r="AN622" s="32" t="str">
        <f t="shared" si="437"/>
        <v/>
      </c>
      <c r="AO622" s="32" t="str">
        <f t="shared" si="438"/>
        <v/>
      </c>
      <c r="AP622" s="32" t="str">
        <f t="shared" si="439"/>
        <v/>
      </c>
      <c r="AQ622" s="32" t="str">
        <f t="shared" si="440"/>
        <v/>
      </c>
      <c r="AR622" s="32" t="str">
        <f t="shared" si="441"/>
        <v/>
      </c>
      <c r="AS622" s="32" t="str">
        <f t="shared" si="442"/>
        <v/>
      </c>
      <c r="AT622" s="32" t="str">
        <f t="shared" si="443"/>
        <v/>
      </c>
      <c r="AU622" s="34" t="str">
        <f t="shared" si="444"/>
        <v/>
      </c>
      <c r="AV622" s="32" t="str">
        <f t="shared" si="445"/>
        <v/>
      </c>
      <c r="AW622" s="32" t="str">
        <f t="shared" si="446"/>
        <v/>
      </c>
      <c r="AX622" s="32" t="str">
        <f t="shared" si="447"/>
        <v/>
      </c>
      <c r="AY622" s="32" t="str">
        <f t="shared" si="448"/>
        <v/>
      </c>
    </row>
    <row r="623" spans="1:51" x14ac:dyDescent="0.25">
      <c r="A623" s="24" t="str">
        <f t="shared" si="406"/>
        <v/>
      </c>
      <c r="B623" s="24" t="str">
        <f t="shared" si="416"/>
        <v/>
      </c>
      <c r="C623" s="32" t="str">
        <f t="shared" si="407"/>
        <v/>
      </c>
      <c r="D623" s="24" t="str">
        <f t="shared" si="408"/>
        <v/>
      </c>
      <c r="E623" s="24" t="str">
        <f t="shared" si="409"/>
        <v/>
      </c>
      <c r="F623" s="32" t="str">
        <f t="shared" si="410"/>
        <v/>
      </c>
      <c r="G623" s="32" t="str">
        <f t="shared" si="411"/>
        <v/>
      </c>
      <c r="H623" s="32" t="str">
        <f t="shared" ca="1" si="412"/>
        <v/>
      </c>
      <c r="I623" s="32" t="str">
        <f t="shared" ca="1" si="417"/>
        <v/>
      </c>
      <c r="J623" s="32" t="str">
        <f t="shared" si="413"/>
        <v/>
      </c>
      <c r="K623" s="32" t="str">
        <f>IF(ISNUMBER(A623),Profile!$V$25+Profile!$V$24*'Ri-Po'!C623,"")</f>
        <v/>
      </c>
      <c r="L623" s="32" t="str">
        <f t="shared" si="418"/>
        <v/>
      </c>
      <c r="M623" s="32" t="str">
        <f t="shared" si="414"/>
        <v/>
      </c>
      <c r="N623" s="32" t="str">
        <f t="shared" si="415"/>
        <v/>
      </c>
      <c r="O623" s="32" t="str">
        <f t="shared" si="431"/>
        <v/>
      </c>
      <c r="P623" s="32" t="str">
        <f t="shared" si="419"/>
        <v/>
      </c>
      <c r="Q623" s="32" t="str">
        <f t="shared" si="420"/>
        <v/>
      </c>
      <c r="R623" s="32" t="str">
        <f t="shared" si="432"/>
        <v/>
      </c>
      <c r="S623" s="24" t="str">
        <f t="shared" si="433"/>
        <v/>
      </c>
      <c r="T623" s="24" t="str">
        <f t="shared" si="434"/>
        <v/>
      </c>
      <c r="U623" s="24" t="str">
        <f t="shared" si="435"/>
        <v/>
      </c>
      <c r="V623" s="24" t="str">
        <f t="shared" si="436"/>
        <v/>
      </c>
      <c r="W623" s="23" t="str">
        <f t="array" ref="W623">IFERROR(SMALL(IF(S$1:S$1000="BEGIN",ROW(S$1:S$1000)),ROW()-3),"")</f>
        <v/>
      </c>
      <c r="X623" s="23" t="str">
        <f t="array" ref="X623">IFERROR(SMALL(IF(T$1:T$1000="END",ROW(T$1:T$1000)),ROW()-3),"")</f>
        <v/>
      </c>
      <c r="Y623" s="33" t="str">
        <f t="array" ref="Y623">IF(ISNUMBER(W623),MAX(IF((B$4:B$1000&lt;=X623)*(B$4:B$1000&gt;=W623),I$4:I$1000, "")),"")</f>
        <v/>
      </c>
      <c r="Z623" s="33" t="str">
        <f t="shared" si="421"/>
        <v/>
      </c>
      <c r="AA623" s="32" t="str">
        <f t="shared" si="422"/>
        <v/>
      </c>
      <c r="AB623" s="32" t="str">
        <f t="shared" si="423"/>
        <v/>
      </c>
      <c r="AC623" s="32" t="str">
        <f t="shared" si="424"/>
        <v/>
      </c>
      <c r="AD623" s="32" t="str">
        <f t="shared" si="425"/>
        <v/>
      </c>
      <c r="AE623" s="34" t="str">
        <f t="shared" si="426"/>
        <v/>
      </c>
      <c r="AF623" s="32" t="str">
        <f t="shared" si="427"/>
        <v/>
      </c>
      <c r="AG623" s="32" t="str">
        <f t="shared" si="428"/>
        <v/>
      </c>
      <c r="AH623" s="32" t="str">
        <f t="shared" si="429"/>
        <v/>
      </c>
      <c r="AI623" s="35" t="str">
        <f t="shared" si="430"/>
        <v/>
      </c>
      <c r="AJ623" s="23" t="str">
        <f t="array" ref="AJ623">IFERROR(SMALL(IF(U$1:U$1000="BEGIN",ROW(U$1:U$1000)),ROW()-3),"")</f>
        <v/>
      </c>
      <c r="AK623" s="23" t="str">
        <f t="array" ref="AK623">IFERROR(SMALL(IF(V$1:V$1000="END",ROW(V$1:V$1000)),ROW()-3),"")</f>
        <v/>
      </c>
      <c r="AL623" s="24" t="str">
        <f t="array" ref="AL623">IF(AK623="","",MATCH(AM623,L:L,0))</f>
        <v/>
      </c>
      <c r="AM623" s="35">
        <f t="array" ref="AM623">MAX(IF((B$4:B$1000&lt;=AK623)*(B$4:B$1000&gt;=AJ623),L$4:L$1000, ""))</f>
        <v>0</v>
      </c>
      <c r="AN623" s="32" t="str">
        <f t="shared" si="437"/>
        <v/>
      </c>
      <c r="AO623" s="32" t="str">
        <f t="shared" si="438"/>
        <v/>
      </c>
      <c r="AP623" s="32" t="str">
        <f t="shared" si="439"/>
        <v/>
      </c>
      <c r="AQ623" s="32" t="str">
        <f t="shared" si="440"/>
        <v/>
      </c>
      <c r="AR623" s="32" t="str">
        <f t="shared" si="441"/>
        <v/>
      </c>
      <c r="AS623" s="32" t="str">
        <f t="shared" si="442"/>
        <v/>
      </c>
      <c r="AT623" s="32" t="str">
        <f t="shared" si="443"/>
        <v/>
      </c>
      <c r="AU623" s="34" t="str">
        <f t="shared" si="444"/>
        <v/>
      </c>
      <c r="AV623" s="32" t="str">
        <f t="shared" si="445"/>
        <v/>
      </c>
      <c r="AW623" s="32" t="str">
        <f t="shared" si="446"/>
        <v/>
      </c>
      <c r="AX623" s="32" t="str">
        <f t="shared" si="447"/>
        <v/>
      </c>
      <c r="AY623" s="32" t="str">
        <f t="shared" si="448"/>
        <v/>
      </c>
    </row>
    <row r="624" spans="1:51" x14ac:dyDescent="0.25">
      <c r="A624" s="24" t="str">
        <f t="shared" si="406"/>
        <v/>
      </c>
      <c r="B624" s="24" t="str">
        <f t="shared" si="416"/>
        <v/>
      </c>
      <c r="C624" s="32" t="str">
        <f t="shared" si="407"/>
        <v/>
      </c>
      <c r="D624" s="24" t="str">
        <f t="shared" si="408"/>
        <v/>
      </c>
      <c r="E624" s="24" t="str">
        <f t="shared" si="409"/>
        <v/>
      </c>
      <c r="F624" s="32" t="str">
        <f t="shared" si="410"/>
        <v/>
      </c>
      <c r="G624" s="32" t="str">
        <f t="shared" si="411"/>
        <v/>
      </c>
      <c r="H624" s="32" t="str">
        <f t="shared" ca="1" si="412"/>
        <v/>
      </c>
      <c r="I624" s="32" t="str">
        <f t="shared" ca="1" si="417"/>
        <v/>
      </c>
      <c r="J624" s="32" t="str">
        <f t="shared" si="413"/>
        <v/>
      </c>
      <c r="K624" s="32" t="str">
        <f>IF(ISNUMBER(A624),Profile!$V$25+Profile!$V$24*'Ri-Po'!C624,"")</f>
        <v/>
      </c>
      <c r="L624" s="32" t="str">
        <f t="shared" si="418"/>
        <v/>
      </c>
      <c r="M624" s="32" t="str">
        <f t="shared" si="414"/>
        <v/>
      </c>
      <c r="N624" s="32" t="str">
        <f t="shared" si="415"/>
        <v/>
      </c>
      <c r="O624" s="32" t="str">
        <f t="shared" si="431"/>
        <v/>
      </c>
      <c r="P624" s="32" t="str">
        <f t="shared" si="419"/>
        <v/>
      </c>
      <c r="Q624" s="32" t="str">
        <f t="shared" si="420"/>
        <v/>
      </c>
      <c r="R624" s="32" t="str">
        <f t="shared" si="432"/>
        <v/>
      </c>
      <c r="S624" s="24" t="str">
        <f t="shared" si="433"/>
        <v/>
      </c>
      <c r="T624" s="24" t="str">
        <f t="shared" si="434"/>
        <v/>
      </c>
      <c r="U624" s="24" t="str">
        <f t="shared" si="435"/>
        <v/>
      </c>
      <c r="V624" s="24" t="str">
        <f t="shared" si="436"/>
        <v/>
      </c>
      <c r="W624" s="23" t="str">
        <f t="array" ref="W624">IFERROR(SMALL(IF(S$1:S$1000="BEGIN",ROW(S$1:S$1000)),ROW()-3),"")</f>
        <v/>
      </c>
      <c r="X624" s="23" t="str">
        <f t="array" ref="X624">IFERROR(SMALL(IF(T$1:T$1000="END",ROW(T$1:T$1000)),ROW()-3),"")</f>
        <v/>
      </c>
      <c r="Y624" s="33" t="str">
        <f t="array" ref="Y624">IF(ISNUMBER(W624),MAX(IF((B$4:B$1000&lt;=X624)*(B$4:B$1000&gt;=W624),I$4:I$1000, "")),"")</f>
        <v/>
      </c>
      <c r="Z624" s="33" t="str">
        <f t="shared" si="421"/>
        <v/>
      </c>
      <c r="AA624" s="32" t="str">
        <f t="shared" si="422"/>
        <v/>
      </c>
      <c r="AB624" s="32" t="str">
        <f t="shared" si="423"/>
        <v/>
      </c>
      <c r="AC624" s="32" t="str">
        <f t="shared" si="424"/>
        <v/>
      </c>
      <c r="AD624" s="32" t="str">
        <f t="shared" si="425"/>
        <v/>
      </c>
      <c r="AE624" s="34" t="str">
        <f t="shared" si="426"/>
        <v/>
      </c>
      <c r="AF624" s="32" t="str">
        <f t="shared" si="427"/>
        <v/>
      </c>
      <c r="AG624" s="32" t="str">
        <f t="shared" si="428"/>
        <v/>
      </c>
      <c r="AH624" s="32" t="str">
        <f t="shared" si="429"/>
        <v/>
      </c>
      <c r="AI624" s="35" t="str">
        <f t="shared" si="430"/>
        <v/>
      </c>
      <c r="AJ624" s="23" t="str">
        <f t="array" ref="AJ624">IFERROR(SMALL(IF(U$1:U$1000="BEGIN",ROW(U$1:U$1000)),ROW()-3),"")</f>
        <v/>
      </c>
      <c r="AK624" s="23" t="str">
        <f t="array" ref="AK624">IFERROR(SMALL(IF(V$1:V$1000="END",ROW(V$1:V$1000)),ROW()-3),"")</f>
        <v/>
      </c>
      <c r="AL624" s="24" t="str">
        <f t="array" ref="AL624">IF(AK624="","",MATCH(AM624,L:L,0))</f>
        <v/>
      </c>
      <c r="AM624" s="35">
        <f t="array" ref="AM624">MAX(IF((B$4:B$1000&lt;=AK624)*(B$4:B$1000&gt;=AJ624),L$4:L$1000, ""))</f>
        <v>0</v>
      </c>
      <c r="AN624" s="32" t="str">
        <f t="shared" si="437"/>
        <v/>
      </c>
      <c r="AO624" s="32" t="str">
        <f t="shared" si="438"/>
        <v/>
      </c>
      <c r="AP624" s="32" t="str">
        <f t="shared" si="439"/>
        <v/>
      </c>
      <c r="AQ624" s="32" t="str">
        <f t="shared" si="440"/>
        <v/>
      </c>
      <c r="AR624" s="32" t="str">
        <f t="shared" si="441"/>
        <v/>
      </c>
      <c r="AS624" s="32" t="str">
        <f t="shared" si="442"/>
        <v/>
      </c>
      <c r="AT624" s="32" t="str">
        <f t="shared" si="443"/>
        <v/>
      </c>
      <c r="AU624" s="34" t="str">
        <f t="shared" si="444"/>
        <v/>
      </c>
      <c r="AV624" s="32" t="str">
        <f t="shared" si="445"/>
        <v/>
      </c>
      <c r="AW624" s="32" t="str">
        <f t="shared" si="446"/>
        <v/>
      </c>
      <c r="AX624" s="32" t="str">
        <f t="shared" si="447"/>
        <v/>
      </c>
      <c r="AY624" s="32" t="str">
        <f t="shared" si="448"/>
        <v/>
      </c>
    </row>
    <row r="625" spans="1:51" x14ac:dyDescent="0.25">
      <c r="A625" s="24" t="str">
        <f t="shared" si="406"/>
        <v/>
      </c>
      <c r="B625" s="24" t="str">
        <f t="shared" si="416"/>
        <v/>
      </c>
      <c r="C625" s="32" t="str">
        <f t="shared" si="407"/>
        <v/>
      </c>
      <c r="D625" s="24" t="str">
        <f t="shared" si="408"/>
        <v/>
      </c>
      <c r="E625" s="24" t="str">
        <f t="shared" si="409"/>
        <v/>
      </c>
      <c r="F625" s="32" t="str">
        <f t="shared" si="410"/>
        <v/>
      </c>
      <c r="G625" s="32" t="str">
        <f t="shared" si="411"/>
        <v/>
      </c>
      <c r="H625" s="32" t="str">
        <f t="shared" ca="1" si="412"/>
        <v/>
      </c>
      <c r="I625" s="32" t="str">
        <f t="shared" ca="1" si="417"/>
        <v/>
      </c>
      <c r="J625" s="32" t="str">
        <f t="shared" si="413"/>
        <v/>
      </c>
      <c r="K625" s="32" t="str">
        <f>IF(ISNUMBER(A625),Profile!$V$25+Profile!$V$24*'Ri-Po'!C625,"")</f>
        <v/>
      </c>
      <c r="L625" s="32" t="str">
        <f t="shared" si="418"/>
        <v/>
      </c>
      <c r="M625" s="32" t="str">
        <f t="shared" si="414"/>
        <v/>
      </c>
      <c r="N625" s="32" t="str">
        <f t="shared" si="415"/>
        <v/>
      </c>
      <c r="O625" s="32" t="str">
        <f t="shared" si="431"/>
        <v/>
      </c>
      <c r="P625" s="32" t="str">
        <f t="shared" si="419"/>
        <v/>
      </c>
      <c r="Q625" s="32" t="str">
        <f t="shared" si="420"/>
        <v/>
      </c>
      <c r="R625" s="32" t="str">
        <f t="shared" si="432"/>
        <v/>
      </c>
      <c r="S625" s="24" t="str">
        <f t="shared" si="433"/>
        <v/>
      </c>
      <c r="T625" s="24" t="str">
        <f t="shared" si="434"/>
        <v/>
      </c>
      <c r="U625" s="24" t="str">
        <f t="shared" si="435"/>
        <v/>
      </c>
      <c r="V625" s="24" t="str">
        <f t="shared" si="436"/>
        <v/>
      </c>
      <c r="W625" s="23" t="str">
        <f t="array" ref="W625">IFERROR(SMALL(IF(S$1:S$1000="BEGIN",ROW(S$1:S$1000)),ROW()-3),"")</f>
        <v/>
      </c>
      <c r="X625" s="23" t="str">
        <f t="array" ref="X625">IFERROR(SMALL(IF(T$1:T$1000="END",ROW(T$1:T$1000)),ROW()-3),"")</f>
        <v/>
      </c>
      <c r="Y625" s="33" t="str">
        <f t="array" ref="Y625">IF(ISNUMBER(W625),MAX(IF((B$4:B$1000&lt;=X625)*(B$4:B$1000&gt;=W625),I$4:I$1000, "")),"")</f>
        <v/>
      </c>
      <c r="Z625" s="33" t="str">
        <f t="shared" si="421"/>
        <v/>
      </c>
      <c r="AA625" s="32" t="str">
        <f t="shared" si="422"/>
        <v/>
      </c>
      <c r="AB625" s="32" t="str">
        <f t="shared" si="423"/>
        <v/>
      </c>
      <c r="AC625" s="32" t="str">
        <f t="shared" si="424"/>
        <v/>
      </c>
      <c r="AD625" s="32" t="str">
        <f t="shared" si="425"/>
        <v/>
      </c>
      <c r="AE625" s="34" t="str">
        <f t="shared" si="426"/>
        <v/>
      </c>
      <c r="AF625" s="32" t="str">
        <f t="shared" si="427"/>
        <v/>
      </c>
      <c r="AG625" s="32" t="str">
        <f t="shared" si="428"/>
        <v/>
      </c>
      <c r="AH625" s="32" t="str">
        <f t="shared" si="429"/>
        <v/>
      </c>
      <c r="AI625" s="35" t="str">
        <f t="shared" si="430"/>
        <v/>
      </c>
      <c r="AJ625" s="23" t="str">
        <f t="array" ref="AJ625">IFERROR(SMALL(IF(U$1:U$1000="BEGIN",ROW(U$1:U$1000)),ROW()-3),"")</f>
        <v/>
      </c>
      <c r="AK625" s="23" t="str">
        <f t="array" ref="AK625">IFERROR(SMALL(IF(V$1:V$1000="END",ROW(V$1:V$1000)),ROW()-3),"")</f>
        <v/>
      </c>
      <c r="AL625" s="24" t="str">
        <f t="array" ref="AL625">IF(AK625="","",MATCH(AM625,L:L,0))</f>
        <v/>
      </c>
      <c r="AM625" s="35">
        <f t="array" ref="AM625">MAX(IF((B$4:B$1000&lt;=AK625)*(B$4:B$1000&gt;=AJ625),L$4:L$1000, ""))</f>
        <v>0</v>
      </c>
      <c r="AN625" s="32" t="str">
        <f t="shared" si="437"/>
        <v/>
      </c>
      <c r="AO625" s="32" t="str">
        <f t="shared" si="438"/>
        <v/>
      </c>
      <c r="AP625" s="32" t="str">
        <f t="shared" si="439"/>
        <v/>
      </c>
      <c r="AQ625" s="32" t="str">
        <f t="shared" si="440"/>
        <v/>
      </c>
      <c r="AR625" s="32" t="str">
        <f t="shared" si="441"/>
        <v/>
      </c>
      <c r="AS625" s="32" t="str">
        <f t="shared" si="442"/>
        <v/>
      </c>
      <c r="AT625" s="32" t="str">
        <f t="shared" si="443"/>
        <v/>
      </c>
      <c r="AU625" s="34" t="str">
        <f t="shared" si="444"/>
        <v/>
      </c>
      <c r="AV625" s="32" t="str">
        <f t="shared" si="445"/>
        <v/>
      </c>
      <c r="AW625" s="32" t="str">
        <f t="shared" si="446"/>
        <v/>
      </c>
      <c r="AX625" s="32" t="str">
        <f t="shared" si="447"/>
        <v/>
      </c>
      <c r="AY625" s="32" t="str">
        <f t="shared" si="448"/>
        <v/>
      </c>
    </row>
    <row r="626" spans="1:51" x14ac:dyDescent="0.25">
      <c r="A626" s="24" t="str">
        <f t="shared" si="406"/>
        <v/>
      </c>
      <c r="B626" s="24" t="str">
        <f t="shared" si="416"/>
        <v/>
      </c>
      <c r="C626" s="32" t="str">
        <f t="shared" si="407"/>
        <v/>
      </c>
      <c r="D626" s="24" t="str">
        <f t="shared" si="408"/>
        <v/>
      </c>
      <c r="E626" s="24" t="str">
        <f t="shared" si="409"/>
        <v/>
      </c>
      <c r="F626" s="32" t="str">
        <f t="shared" si="410"/>
        <v/>
      </c>
      <c r="G626" s="32" t="str">
        <f t="shared" si="411"/>
        <v/>
      </c>
      <c r="H626" s="32" t="str">
        <f t="shared" ca="1" si="412"/>
        <v/>
      </c>
      <c r="I626" s="32" t="str">
        <f t="shared" ca="1" si="417"/>
        <v/>
      </c>
      <c r="J626" s="32" t="str">
        <f t="shared" si="413"/>
        <v/>
      </c>
      <c r="K626" s="32" t="str">
        <f>IF(ISNUMBER(A626),Profile!$V$25+Profile!$V$24*'Ri-Po'!C626,"")</f>
        <v/>
      </c>
      <c r="L626" s="32" t="str">
        <f t="shared" si="418"/>
        <v/>
      </c>
      <c r="M626" s="32" t="str">
        <f t="shared" si="414"/>
        <v/>
      </c>
      <c r="N626" s="32" t="str">
        <f t="shared" si="415"/>
        <v/>
      </c>
      <c r="O626" s="32" t="str">
        <f t="shared" si="431"/>
        <v/>
      </c>
      <c r="P626" s="32" t="str">
        <f t="shared" si="419"/>
        <v/>
      </c>
      <c r="Q626" s="32" t="str">
        <f t="shared" si="420"/>
        <v/>
      </c>
      <c r="R626" s="32" t="str">
        <f t="shared" si="432"/>
        <v/>
      </c>
      <c r="S626" s="24" t="str">
        <f t="shared" si="433"/>
        <v/>
      </c>
      <c r="T626" s="24" t="str">
        <f t="shared" si="434"/>
        <v/>
      </c>
      <c r="U626" s="24" t="str">
        <f t="shared" si="435"/>
        <v/>
      </c>
      <c r="V626" s="24" t="str">
        <f t="shared" si="436"/>
        <v/>
      </c>
      <c r="W626" s="23" t="str">
        <f t="array" ref="W626">IFERROR(SMALL(IF(S$1:S$1000="BEGIN",ROW(S$1:S$1000)),ROW()-3),"")</f>
        <v/>
      </c>
      <c r="X626" s="23" t="str">
        <f t="array" ref="X626">IFERROR(SMALL(IF(T$1:T$1000="END",ROW(T$1:T$1000)),ROW()-3),"")</f>
        <v/>
      </c>
      <c r="Y626" s="33" t="str">
        <f t="array" ref="Y626">IF(ISNUMBER(W626),MAX(IF((B$4:B$1000&lt;=X626)*(B$4:B$1000&gt;=W626),I$4:I$1000, "")),"")</f>
        <v/>
      </c>
      <c r="Z626" s="33" t="str">
        <f t="shared" si="421"/>
        <v/>
      </c>
      <c r="AA626" s="32" t="str">
        <f t="shared" si="422"/>
        <v/>
      </c>
      <c r="AB626" s="32" t="str">
        <f t="shared" si="423"/>
        <v/>
      </c>
      <c r="AC626" s="32" t="str">
        <f t="shared" si="424"/>
        <v/>
      </c>
      <c r="AD626" s="32" t="str">
        <f t="shared" si="425"/>
        <v/>
      </c>
      <c r="AE626" s="34" t="str">
        <f t="shared" si="426"/>
        <v/>
      </c>
      <c r="AF626" s="32" t="str">
        <f t="shared" si="427"/>
        <v/>
      </c>
      <c r="AG626" s="32" t="str">
        <f t="shared" si="428"/>
        <v/>
      </c>
      <c r="AH626" s="32" t="str">
        <f t="shared" si="429"/>
        <v/>
      </c>
      <c r="AI626" s="35" t="str">
        <f t="shared" si="430"/>
        <v/>
      </c>
      <c r="AJ626" s="23" t="str">
        <f t="array" ref="AJ626">IFERROR(SMALL(IF(U$1:U$1000="BEGIN",ROW(U$1:U$1000)),ROW()-3),"")</f>
        <v/>
      </c>
      <c r="AK626" s="23" t="str">
        <f t="array" ref="AK626">IFERROR(SMALL(IF(V$1:V$1000="END",ROW(V$1:V$1000)),ROW()-3),"")</f>
        <v/>
      </c>
      <c r="AL626" s="24" t="str">
        <f t="array" ref="AL626">IF(AK626="","",MATCH(AM626,L:L,0))</f>
        <v/>
      </c>
      <c r="AM626" s="35">
        <f t="array" ref="AM626">MAX(IF((B$4:B$1000&lt;=AK626)*(B$4:B$1000&gt;=AJ626),L$4:L$1000, ""))</f>
        <v>0</v>
      </c>
      <c r="AN626" s="32" t="str">
        <f t="shared" si="437"/>
        <v/>
      </c>
      <c r="AO626" s="32" t="str">
        <f t="shared" si="438"/>
        <v/>
      </c>
      <c r="AP626" s="32" t="str">
        <f t="shared" si="439"/>
        <v/>
      </c>
      <c r="AQ626" s="32" t="str">
        <f t="shared" si="440"/>
        <v/>
      </c>
      <c r="AR626" s="32" t="str">
        <f t="shared" si="441"/>
        <v/>
      </c>
      <c r="AS626" s="32" t="str">
        <f t="shared" si="442"/>
        <v/>
      </c>
      <c r="AT626" s="32" t="str">
        <f t="shared" si="443"/>
        <v/>
      </c>
      <c r="AU626" s="34" t="str">
        <f t="shared" si="444"/>
        <v/>
      </c>
      <c r="AV626" s="32" t="str">
        <f t="shared" si="445"/>
        <v/>
      </c>
      <c r="AW626" s="32" t="str">
        <f t="shared" si="446"/>
        <v/>
      </c>
      <c r="AX626" s="32" t="str">
        <f t="shared" si="447"/>
        <v/>
      </c>
      <c r="AY626" s="32" t="str">
        <f t="shared" si="448"/>
        <v/>
      </c>
    </row>
    <row r="627" spans="1:51" x14ac:dyDescent="0.25">
      <c r="A627" s="24" t="str">
        <f t="shared" si="406"/>
        <v/>
      </c>
      <c r="B627" s="24" t="str">
        <f t="shared" si="416"/>
        <v/>
      </c>
      <c r="C627" s="32" t="str">
        <f t="shared" si="407"/>
        <v/>
      </c>
      <c r="D627" s="24" t="str">
        <f t="shared" si="408"/>
        <v/>
      </c>
      <c r="E627" s="24" t="str">
        <f t="shared" si="409"/>
        <v/>
      </c>
      <c r="F627" s="32" t="str">
        <f t="shared" si="410"/>
        <v/>
      </c>
      <c r="G627" s="32" t="str">
        <f t="shared" si="411"/>
        <v/>
      </c>
      <c r="H627" s="32" t="str">
        <f t="shared" ca="1" si="412"/>
        <v/>
      </c>
      <c r="I627" s="32" t="str">
        <f t="shared" ca="1" si="417"/>
        <v/>
      </c>
      <c r="J627" s="32" t="str">
        <f t="shared" si="413"/>
        <v/>
      </c>
      <c r="K627" s="32" t="str">
        <f>IF(ISNUMBER(A627),Profile!$V$25+Profile!$V$24*'Ri-Po'!C627,"")</f>
        <v/>
      </c>
      <c r="L627" s="32" t="str">
        <f t="shared" si="418"/>
        <v/>
      </c>
      <c r="M627" s="32" t="str">
        <f t="shared" si="414"/>
        <v/>
      </c>
      <c r="N627" s="32" t="str">
        <f t="shared" si="415"/>
        <v/>
      </c>
      <c r="O627" s="32" t="str">
        <f t="shared" si="431"/>
        <v/>
      </c>
      <c r="P627" s="32" t="str">
        <f t="shared" si="419"/>
        <v/>
      </c>
      <c r="Q627" s="32" t="str">
        <f t="shared" si="420"/>
        <v/>
      </c>
      <c r="R627" s="32" t="str">
        <f t="shared" si="432"/>
        <v/>
      </c>
      <c r="S627" s="24" t="str">
        <f t="shared" si="433"/>
        <v/>
      </c>
      <c r="T627" s="24" t="str">
        <f t="shared" si="434"/>
        <v/>
      </c>
      <c r="U627" s="24" t="str">
        <f t="shared" si="435"/>
        <v/>
      </c>
      <c r="V627" s="24" t="str">
        <f t="shared" si="436"/>
        <v/>
      </c>
      <c r="W627" s="23" t="str">
        <f t="array" ref="W627">IFERROR(SMALL(IF(S$1:S$1000="BEGIN",ROW(S$1:S$1000)),ROW()-3),"")</f>
        <v/>
      </c>
      <c r="X627" s="23" t="str">
        <f t="array" ref="X627">IFERROR(SMALL(IF(T$1:T$1000="END",ROW(T$1:T$1000)),ROW()-3),"")</f>
        <v/>
      </c>
      <c r="Y627" s="33" t="str">
        <f t="array" ref="Y627">IF(ISNUMBER(W627),MAX(IF((B$4:B$1000&lt;=X627)*(B$4:B$1000&gt;=W627),I$4:I$1000, "")),"")</f>
        <v/>
      </c>
      <c r="Z627" s="33" t="str">
        <f t="shared" si="421"/>
        <v/>
      </c>
      <c r="AA627" s="32" t="str">
        <f t="shared" si="422"/>
        <v/>
      </c>
      <c r="AB627" s="32" t="str">
        <f t="shared" si="423"/>
        <v/>
      </c>
      <c r="AC627" s="32" t="str">
        <f t="shared" si="424"/>
        <v/>
      </c>
      <c r="AD627" s="32" t="str">
        <f t="shared" si="425"/>
        <v/>
      </c>
      <c r="AE627" s="34" t="str">
        <f t="shared" si="426"/>
        <v/>
      </c>
      <c r="AF627" s="32" t="str">
        <f t="shared" si="427"/>
        <v/>
      </c>
      <c r="AG627" s="32" t="str">
        <f t="shared" si="428"/>
        <v/>
      </c>
      <c r="AH627" s="32" t="str">
        <f t="shared" si="429"/>
        <v/>
      </c>
      <c r="AI627" s="35" t="str">
        <f t="shared" si="430"/>
        <v/>
      </c>
      <c r="AJ627" s="23" t="str">
        <f t="array" ref="AJ627">IFERROR(SMALL(IF(U$1:U$1000="BEGIN",ROW(U$1:U$1000)),ROW()-3),"")</f>
        <v/>
      </c>
      <c r="AK627" s="23" t="str">
        <f t="array" ref="AK627">IFERROR(SMALL(IF(V$1:V$1000="END",ROW(V$1:V$1000)),ROW()-3),"")</f>
        <v/>
      </c>
      <c r="AL627" s="24" t="str">
        <f t="array" ref="AL627">IF(AK627="","",MATCH(AM627,L:L,0))</f>
        <v/>
      </c>
      <c r="AM627" s="35">
        <f t="array" ref="AM627">MAX(IF((B$4:B$1000&lt;=AK627)*(B$4:B$1000&gt;=AJ627),L$4:L$1000, ""))</f>
        <v>0</v>
      </c>
      <c r="AN627" s="32" t="str">
        <f t="shared" si="437"/>
        <v/>
      </c>
      <c r="AO627" s="32" t="str">
        <f t="shared" si="438"/>
        <v/>
      </c>
      <c r="AP627" s="32" t="str">
        <f t="shared" si="439"/>
        <v/>
      </c>
      <c r="AQ627" s="32" t="str">
        <f t="shared" si="440"/>
        <v/>
      </c>
      <c r="AR627" s="32" t="str">
        <f t="shared" si="441"/>
        <v/>
      </c>
      <c r="AS627" s="32" t="str">
        <f t="shared" si="442"/>
        <v/>
      </c>
      <c r="AT627" s="32" t="str">
        <f t="shared" si="443"/>
        <v/>
      </c>
      <c r="AU627" s="34" t="str">
        <f t="shared" si="444"/>
        <v/>
      </c>
      <c r="AV627" s="32" t="str">
        <f t="shared" si="445"/>
        <v/>
      </c>
      <c r="AW627" s="32" t="str">
        <f t="shared" si="446"/>
        <v/>
      </c>
      <c r="AX627" s="32" t="str">
        <f t="shared" si="447"/>
        <v/>
      </c>
      <c r="AY627" s="32" t="str">
        <f t="shared" si="448"/>
        <v/>
      </c>
    </row>
    <row r="628" spans="1:51" x14ac:dyDescent="0.25">
      <c r="A628" s="24" t="str">
        <f t="shared" si="406"/>
        <v/>
      </c>
      <c r="B628" s="24" t="str">
        <f t="shared" si="416"/>
        <v/>
      </c>
      <c r="C628" s="32" t="str">
        <f t="shared" si="407"/>
        <v/>
      </c>
      <c r="D628" s="24" t="str">
        <f t="shared" si="408"/>
        <v/>
      </c>
      <c r="E628" s="24" t="str">
        <f t="shared" si="409"/>
        <v/>
      </c>
      <c r="F628" s="32" t="str">
        <f t="shared" si="410"/>
        <v/>
      </c>
      <c r="G628" s="32" t="str">
        <f t="shared" si="411"/>
        <v/>
      </c>
      <c r="H628" s="32" t="str">
        <f t="shared" ca="1" si="412"/>
        <v/>
      </c>
      <c r="I628" s="32" t="str">
        <f t="shared" ca="1" si="417"/>
        <v/>
      </c>
      <c r="J628" s="32" t="str">
        <f t="shared" si="413"/>
        <v/>
      </c>
      <c r="K628" s="32" t="str">
        <f>IF(ISNUMBER(A628),Profile!$V$25+Profile!$V$24*'Ri-Po'!C628,"")</f>
        <v/>
      </c>
      <c r="L628" s="32" t="str">
        <f t="shared" si="418"/>
        <v/>
      </c>
      <c r="M628" s="32" t="str">
        <f t="shared" si="414"/>
        <v/>
      </c>
      <c r="N628" s="32" t="str">
        <f t="shared" si="415"/>
        <v/>
      </c>
      <c r="O628" s="32" t="str">
        <f t="shared" si="431"/>
        <v/>
      </c>
      <c r="P628" s="32" t="str">
        <f t="shared" si="419"/>
        <v/>
      </c>
      <c r="Q628" s="32" t="str">
        <f t="shared" si="420"/>
        <v/>
      </c>
      <c r="R628" s="32" t="str">
        <f t="shared" si="432"/>
        <v/>
      </c>
      <c r="S628" s="24" t="str">
        <f t="shared" si="433"/>
        <v/>
      </c>
      <c r="T628" s="24" t="str">
        <f t="shared" si="434"/>
        <v/>
      </c>
      <c r="U628" s="24" t="str">
        <f t="shared" si="435"/>
        <v/>
      </c>
      <c r="V628" s="24" t="str">
        <f t="shared" si="436"/>
        <v/>
      </c>
      <c r="W628" s="23" t="str">
        <f t="array" ref="W628">IFERROR(SMALL(IF(S$1:S$1000="BEGIN",ROW(S$1:S$1000)),ROW()-3),"")</f>
        <v/>
      </c>
      <c r="X628" s="23" t="str">
        <f t="array" ref="X628">IFERROR(SMALL(IF(T$1:T$1000="END",ROW(T$1:T$1000)),ROW()-3),"")</f>
        <v/>
      </c>
      <c r="Y628" s="33" t="str">
        <f t="array" ref="Y628">IF(ISNUMBER(W628),MAX(IF((B$4:B$1000&lt;=X628)*(B$4:B$1000&gt;=W628),I$4:I$1000, "")),"")</f>
        <v/>
      </c>
      <c r="Z628" s="33" t="str">
        <f t="shared" si="421"/>
        <v/>
      </c>
      <c r="AA628" s="32" t="str">
        <f t="shared" si="422"/>
        <v/>
      </c>
      <c r="AB628" s="32" t="str">
        <f t="shared" si="423"/>
        <v/>
      </c>
      <c r="AC628" s="32" t="str">
        <f t="shared" si="424"/>
        <v/>
      </c>
      <c r="AD628" s="32" t="str">
        <f t="shared" si="425"/>
        <v/>
      </c>
      <c r="AE628" s="34" t="str">
        <f t="shared" si="426"/>
        <v/>
      </c>
      <c r="AF628" s="32" t="str">
        <f t="shared" si="427"/>
        <v/>
      </c>
      <c r="AG628" s="32" t="str">
        <f t="shared" si="428"/>
        <v/>
      </c>
      <c r="AH628" s="32" t="str">
        <f t="shared" si="429"/>
        <v/>
      </c>
      <c r="AI628" s="35" t="str">
        <f t="shared" si="430"/>
        <v/>
      </c>
      <c r="AJ628" s="23" t="str">
        <f t="array" ref="AJ628">IFERROR(SMALL(IF(U$1:U$1000="BEGIN",ROW(U$1:U$1000)),ROW()-3),"")</f>
        <v/>
      </c>
      <c r="AK628" s="23" t="str">
        <f t="array" ref="AK628">IFERROR(SMALL(IF(V$1:V$1000="END",ROW(V$1:V$1000)),ROW()-3),"")</f>
        <v/>
      </c>
      <c r="AL628" s="24" t="str">
        <f t="array" ref="AL628">IF(AK628="","",MATCH(AM628,L:L,0))</f>
        <v/>
      </c>
      <c r="AM628" s="35">
        <f t="array" ref="AM628">MAX(IF((B$4:B$1000&lt;=AK628)*(B$4:B$1000&gt;=AJ628),L$4:L$1000, ""))</f>
        <v>0</v>
      </c>
      <c r="AN628" s="32" t="str">
        <f t="shared" si="437"/>
        <v/>
      </c>
      <c r="AO628" s="32" t="str">
        <f t="shared" si="438"/>
        <v/>
      </c>
      <c r="AP628" s="32" t="str">
        <f t="shared" si="439"/>
        <v/>
      </c>
      <c r="AQ628" s="32" t="str">
        <f t="shared" si="440"/>
        <v/>
      </c>
      <c r="AR628" s="32" t="str">
        <f t="shared" si="441"/>
        <v/>
      </c>
      <c r="AS628" s="32" t="str">
        <f t="shared" si="442"/>
        <v/>
      </c>
      <c r="AT628" s="32" t="str">
        <f t="shared" si="443"/>
        <v/>
      </c>
      <c r="AU628" s="34" t="str">
        <f t="shared" si="444"/>
        <v/>
      </c>
      <c r="AV628" s="32" t="str">
        <f t="shared" si="445"/>
        <v/>
      </c>
      <c r="AW628" s="32" t="str">
        <f t="shared" si="446"/>
        <v/>
      </c>
      <c r="AX628" s="32" t="str">
        <f t="shared" si="447"/>
        <v/>
      </c>
      <c r="AY628" s="32" t="str">
        <f t="shared" si="448"/>
        <v/>
      </c>
    </row>
    <row r="629" spans="1:51" x14ac:dyDescent="0.25">
      <c r="A629" s="24" t="str">
        <f t="shared" si="406"/>
        <v/>
      </c>
      <c r="B629" s="24" t="str">
        <f t="shared" si="416"/>
        <v/>
      </c>
      <c r="C629" s="32" t="str">
        <f t="shared" si="407"/>
        <v/>
      </c>
      <c r="D629" s="24" t="str">
        <f t="shared" si="408"/>
        <v/>
      </c>
      <c r="E629" s="24" t="str">
        <f t="shared" si="409"/>
        <v/>
      </c>
      <c r="F629" s="32" t="str">
        <f t="shared" si="410"/>
        <v/>
      </c>
      <c r="G629" s="32" t="str">
        <f t="shared" si="411"/>
        <v/>
      </c>
      <c r="H629" s="32" t="str">
        <f t="shared" ca="1" si="412"/>
        <v/>
      </c>
      <c r="I629" s="32" t="str">
        <f t="shared" ca="1" si="417"/>
        <v/>
      </c>
      <c r="J629" s="32" t="str">
        <f t="shared" si="413"/>
        <v/>
      </c>
      <c r="K629" s="32" t="str">
        <f>IF(ISNUMBER(A629),Profile!$V$25+Profile!$V$24*'Ri-Po'!C629,"")</f>
        <v/>
      </c>
      <c r="L629" s="32" t="str">
        <f t="shared" si="418"/>
        <v/>
      </c>
      <c r="M629" s="32" t="str">
        <f t="shared" si="414"/>
        <v/>
      </c>
      <c r="N629" s="32" t="str">
        <f t="shared" si="415"/>
        <v/>
      </c>
      <c r="O629" s="32" t="str">
        <f t="shared" si="431"/>
        <v/>
      </c>
      <c r="P629" s="32" t="str">
        <f t="shared" si="419"/>
        <v/>
      </c>
      <c r="Q629" s="32" t="str">
        <f t="shared" si="420"/>
        <v/>
      </c>
      <c r="R629" s="32" t="str">
        <f t="shared" si="432"/>
        <v/>
      </c>
      <c r="S629" s="24" t="str">
        <f t="shared" si="433"/>
        <v/>
      </c>
      <c r="T629" s="24" t="str">
        <f t="shared" si="434"/>
        <v/>
      </c>
      <c r="U629" s="24" t="str">
        <f t="shared" si="435"/>
        <v/>
      </c>
      <c r="V629" s="24" t="str">
        <f t="shared" si="436"/>
        <v/>
      </c>
      <c r="W629" s="23" t="str">
        <f t="array" ref="W629">IFERROR(SMALL(IF(S$1:S$1000="BEGIN",ROW(S$1:S$1000)),ROW()-3),"")</f>
        <v/>
      </c>
      <c r="X629" s="23" t="str">
        <f t="array" ref="X629">IFERROR(SMALL(IF(T$1:T$1000="END",ROW(T$1:T$1000)),ROW()-3),"")</f>
        <v/>
      </c>
      <c r="Y629" s="33" t="str">
        <f t="array" ref="Y629">IF(ISNUMBER(W629),MAX(IF((B$4:B$1000&lt;=X629)*(B$4:B$1000&gt;=W629),I$4:I$1000, "")),"")</f>
        <v/>
      </c>
      <c r="Z629" s="33" t="str">
        <f t="shared" si="421"/>
        <v/>
      </c>
      <c r="AA629" s="32" t="str">
        <f t="shared" si="422"/>
        <v/>
      </c>
      <c r="AB629" s="32" t="str">
        <f t="shared" si="423"/>
        <v/>
      </c>
      <c r="AC629" s="32" t="str">
        <f t="shared" si="424"/>
        <v/>
      </c>
      <c r="AD629" s="32" t="str">
        <f t="shared" si="425"/>
        <v/>
      </c>
      <c r="AE629" s="34" t="str">
        <f t="shared" si="426"/>
        <v/>
      </c>
      <c r="AF629" s="32" t="str">
        <f t="shared" si="427"/>
        <v/>
      </c>
      <c r="AG629" s="32" t="str">
        <f t="shared" si="428"/>
        <v/>
      </c>
      <c r="AH629" s="32" t="str">
        <f t="shared" si="429"/>
        <v/>
      </c>
      <c r="AI629" s="35" t="str">
        <f t="shared" si="430"/>
        <v/>
      </c>
      <c r="AJ629" s="23" t="str">
        <f t="array" ref="AJ629">IFERROR(SMALL(IF(U$1:U$1000="BEGIN",ROW(U$1:U$1000)),ROW()-3),"")</f>
        <v/>
      </c>
      <c r="AK629" s="23" t="str">
        <f t="array" ref="AK629">IFERROR(SMALL(IF(V$1:V$1000="END",ROW(V$1:V$1000)),ROW()-3),"")</f>
        <v/>
      </c>
      <c r="AL629" s="24" t="str">
        <f t="array" ref="AL629">IF(AK629="","",MATCH(AM629,L:L,0))</f>
        <v/>
      </c>
      <c r="AM629" s="35">
        <f t="array" ref="AM629">MAX(IF((B$4:B$1000&lt;=AK629)*(B$4:B$1000&gt;=AJ629),L$4:L$1000, ""))</f>
        <v>0</v>
      </c>
      <c r="AN629" s="32" t="str">
        <f t="shared" si="437"/>
        <v/>
      </c>
      <c r="AO629" s="32" t="str">
        <f t="shared" si="438"/>
        <v/>
      </c>
      <c r="AP629" s="32" t="str">
        <f t="shared" si="439"/>
        <v/>
      </c>
      <c r="AQ629" s="32" t="str">
        <f t="shared" si="440"/>
        <v/>
      </c>
      <c r="AR629" s="32" t="str">
        <f t="shared" si="441"/>
        <v/>
      </c>
      <c r="AS629" s="32" t="str">
        <f t="shared" si="442"/>
        <v/>
      </c>
      <c r="AT629" s="32" t="str">
        <f t="shared" si="443"/>
        <v/>
      </c>
      <c r="AU629" s="34" t="str">
        <f t="shared" si="444"/>
        <v/>
      </c>
      <c r="AV629" s="32" t="str">
        <f t="shared" si="445"/>
        <v/>
      </c>
      <c r="AW629" s="32" t="str">
        <f t="shared" si="446"/>
        <v/>
      </c>
      <c r="AX629" s="32" t="str">
        <f t="shared" si="447"/>
        <v/>
      </c>
      <c r="AY629" s="32" t="str">
        <f t="shared" si="448"/>
        <v/>
      </c>
    </row>
    <row r="630" spans="1:51" x14ac:dyDescent="0.25">
      <c r="A630" s="24" t="str">
        <f t="shared" si="406"/>
        <v/>
      </c>
      <c r="B630" s="24" t="str">
        <f t="shared" si="416"/>
        <v/>
      </c>
      <c r="C630" s="32" t="str">
        <f t="shared" si="407"/>
        <v/>
      </c>
      <c r="D630" s="24" t="str">
        <f t="shared" si="408"/>
        <v/>
      </c>
      <c r="E630" s="24" t="str">
        <f t="shared" si="409"/>
        <v/>
      </c>
      <c r="F630" s="32" t="str">
        <f t="shared" si="410"/>
        <v/>
      </c>
      <c r="G630" s="32" t="str">
        <f t="shared" si="411"/>
        <v/>
      </c>
      <c r="H630" s="32" t="str">
        <f t="shared" ca="1" si="412"/>
        <v/>
      </c>
      <c r="I630" s="32" t="str">
        <f t="shared" ca="1" si="417"/>
        <v/>
      </c>
      <c r="J630" s="32" t="str">
        <f t="shared" si="413"/>
        <v/>
      </c>
      <c r="K630" s="32" t="str">
        <f>IF(ISNUMBER(A630),Profile!$V$25+Profile!$V$24*'Ri-Po'!C630,"")</f>
        <v/>
      </c>
      <c r="L630" s="32" t="str">
        <f t="shared" si="418"/>
        <v/>
      </c>
      <c r="M630" s="32" t="str">
        <f t="shared" si="414"/>
        <v/>
      </c>
      <c r="N630" s="32" t="str">
        <f t="shared" si="415"/>
        <v/>
      </c>
      <c r="O630" s="32" t="str">
        <f t="shared" si="431"/>
        <v/>
      </c>
      <c r="P630" s="32" t="str">
        <f t="shared" si="419"/>
        <v/>
      </c>
      <c r="Q630" s="32" t="str">
        <f t="shared" si="420"/>
        <v/>
      </c>
      <c r="R630" s="32" t="str">
        <f t="shared" si="432"/>
        <v/>
      </c>
      <c r="S630" s="24" t="str">
        <f t="shared" si="433"/>
        <v/>
      </c>
      <c r="T630" s="24" t="str">
        <f t="shared" si="434"/>
        <v/>
      </c>
      <c r="U630" s="24" t="str">
        <f t="shared" si="435"/>
        <v/>
      </c>
      <c r="V630" s="24" t="str">
        <f t="shared" si="436"/>
        <v/>
      </c>
      <c r="W630" s="23" t="str">
        <f t="array" ref="W630">IFERROR(SMALL(IF(S$1:S$1000="BEGIN",ROW(S$1:S$1000)),ROW()-3),"")</f>
        <v/>
      </c>
      <c r="X630" s="23" t="str">
        <f t="array" ref="X630">IFERROR(SMALL(IF(T$1:T$1000="END",ROW(T$1:T$1000)),ROW()-3),"")</f>
        <v/>
      </c>
      <c r="Y630" s="33" t="str">
        <f t="array" ref="Y630">IF(ISNUMBER(W630),MAX(IF((B$4:B$1000&lt;=X630)*(B$4:B$1000&gt;=W630),I$4:I$1000, "")),"")</f>
        <v/>
      </c>
      <c r="Z630" s="33" t="str">
        <f t="shared" si="421"/>
        <v/>
      </c>
      <c r="AA630" s="32" t="str">
        <f t="shared" si="422"/>
        <v/>
      </c>
      <c r="AB630" s="32" t="str">
        <f t="shared" si="423"/>
        <v/>
      </c>
      <c r="AC630" s="32" t="str">
        <f t="shared" si="424"/>
        <v/>
      </c>
      <c r="AD630" s="32" t="str">
        <f t="shared" si="425"/>
        <v/>
      </c>
      <c r="AE630" s="34" t="str">
        <f t="shared" si="426"/>
        <v/>
      </c>
      <c r="AF630" s="32" t="str">
        <f t="shared" si="427"/>
        <v/>
      </c>
      <c r="AG630" s="32" t="str">
        <f t="shared" si="428"/>
        <v/>
      </c>
      <c r="AH630" s="32" t="str">
        <f t="shared" si="429"/>
        <v/>
      </c>
      <c r="AI630" s="35" t="str">
        <f t="shared" si="430"/>
        <v/>
      </c>
      <c r="AJ630" s="23" t="str">
        <f t="array" ref="AJ630">IFERROR(SMALL(IF(U$1:U$1000="BEGIN",ROW(U$1:U$1000)),ROW()-3),"")</f>
        <v/>
      </c>
      <c r="AK630" s="23" t="str">
        <f t="array" ref="AK630">IFERROR(SMALL(IF(V$1:V$1000="END",ROW(V$1:V$1000)),ROW()-3),"")</f>
        <v/>
      </c>
      <c r="AL630" s="24" t="str">
        <f t="array" ref="AL630">IF(AK630="","",MATCH(AM630,L:L,0))</f>
        <v/>
      </c>
      <c r="AM630" s="35">
        <f t="array" ref="AM630">MAX(IF((B$4:B$1000&lt;=AK630)*(B$4:B$1000&gt;=AJ630),L$4:L$1000, ""))</f>
        <v>0</v>
      </c>
      <c r="AN630" s="32" t="str">
        <f t="shared" si="437"/>
        <v/>
      </c>
      <c r="AO630" s="32" t="str">
        <f t="shared" si="438"/>
        <v/>
      </c>
      <c r="AP630" s="32" t="str">
        <f t="shared" si="439"/>
        <v/>
      </c>
      <c r="AQ630" s="32" t="str">
        <f t="shared" si="440"/>
        <v/>
      </c>
      <c r="AR630" s="32" t="str">
        <f t="shared" si="441"/>
        <v/>
      </c>
      <c r="AS630" s="32" t="str">
        <f t="shared" si="442"/>
        <v/>
      </c>
      <c r="AT630" s="32" t="str">
        <f t="shared" si="443"/>
        <v/>
      </c>
      <c r="AU630" s="34" t="str">
        <f t="shared" si="444"/>
        <v/>
      </c>
      <c r="AV630" s="32" t="str">
        <f t="shared" si="445"/>
        <v/>
      </c>
      <c r="AW630" s="32" t="str">
        <f t="shared" si="446"/>
        <v/>
      </c>
      <c r="AX630" s="32" t="str">
        <f t="shared" si="447"/>
        <v/>
      </c>
      <c r="AY630" s="32" t="str">
        <f t="shared" si="448"/>
        <v/>
      </c>
    </row>
    <row r="631" spans="1:51" x14ac:dyDescent="0.25">
      <c r="A631" s="24" t="str">
        <f t="shared" si="406"/>
        <v/>
      </c>
      <c r="B631" s="24" t="str">
        <f t="shared" si="416"/>
        <v/>
      </c>
      <c r="C631" s="32" t="str">
        <f t="shared" si="407"/>
        <v/>
      </c>
      <c r="D631" s="24" t="str">
        <f t="shared" si="408"/>
        <v/>
      </c>
      <c r="E631" s="24" t="str">
        <f t="shared" si="409"/>
        <v/>
      </c>
      <c r="F631" s="32" t="str">
        <f t="shared" si="410"/>
        <v/>
      </c>
      <c r="G631" s="32" t="str">
        <f t="shared" si="411"/>
        <v/>
      </c>
      <c r="H631" s="32" t="str">
        <f t="shared" ca="1" si="412"/>
        <v/>
      </c>
      <c r="I631" s="32" t="str">
        <f t="shared" ca="1" si="417"/>
        <v/>
      </c>
      <c r="J631" s="32" t="str">
        <f t="shared" si="413"/>
        <v/>
      </c>
      <c r="K631" s="32" t="str">
        <f>IF(ISNUMBER(A631),Profile!$V$25+Profile!$V$24*'Ri-Po'!C631,"")</f>
        <v/>
      </c>
      <c r="L631" s="32" t="str">
        <f t="shared" si="418"/>
        <v/>
      </c>
      <c r="M631" s="32" t="str">
        <f t="shared" si="414"/>
        <v/>
      </c>
      <c r="N631" s="32" t="str">
        <f t="shared" si="415"/>
        <v/>
      </c>
      <c r="O631" s="32" t="str">
        <f t="shared" si="431"/>
        <v/>
      </c>
      <c r="P631" s="32" t="str">
        <f t="shared" si="419"/>
        <v/>
      </c>
      <c r="Q631" s="32" t="str">
        <f t="shared" si="420"/>
        <v/>
      </c>
      <c r="R631" s="32" t="str">
        <f t="shared" si="432"/>
        <v/>
      </c>
      <c r="S631" s="24" t="str">
        <f t="shared" si="433"/>
        <v/>
      </c>
      <c r="T631" s="24" t="str">
        <f t="shared" si="434"/>
        <v/>
      </c>
      <c r="U631" s="24" t="str">
        <f t="shared" si="435"/>
        <v/>
      </c>
      <c r="V631" s="24" t="str">
        <f t="shared" si="436"/>
        <v/>
      </c>
      <c r="W631" s="23" t="str">
        <f t="array" ref="W631">IFERROR(SMALL(IF(S$1:S$1000="BEGIN",ROW(S$1:S$1000)),ROW()-3),"")</f>
        <v/>
      </c>
      <c r="X631" s="23" t="str">
        <f t="array" ref="X631">IFERROR(SMALL(IF(T$1:T$1000="END",ROW(T$1:T$1000)),ROW()-3),"")</f>
        <v/>
      </c>
      <c r="Y631" s="33" t="str">
        <f t="array" ref="Y631">IF(ISNUMBER(W631),MAX(IF((B$4:B$1000&lt;=X631)*(B$4:B$1000&gt;=W631),I$4:I$1000, "")),"")</f>
        <v/>
      </c>
      <c r="Z631" s="33" t="str">
        <f t="shared" si="421"/>
        <v/>
      </c>
      <c r="AA631" s="32" t="str">
        <f t="shared" si="422"/>
        <v/>
      </c>
      <c r="AB631" s="32" t="str">
        <f t="shared" si="423"/>
        <v/>
      </c>
      <c r="AC631" s="32" t="str">
        <f t="shared" si="424"/>
        <v/>
      </c>
      <c r="AD631" s="32" t="str">
        <f t="shared" si="425"/>
        <v/>
      </c>
      <c r="AE631" s="34" t="str">
        <f t="shared" si="426"/>
        <v/>
      </c>
      <c r="AF631" s="32" t="str">
        <f t="shared" si="427"/>
        <v/>
      </c>
      <c r="AG631" s="32" t="str">
        <f t="shared" si="428"/>
        <v/>
      </c>
      <c r="AH631" s="32" t="str">
        <f t="shared" si="429"/>
        <v/>
      </c>
      <c r="AI631" s="35" t="str">
        <f t="shared" si="430"/>
        <v/>
      </c>
      <c r="AJ631" s="23" t="str">
        <f t="array" ref="AJ631">IFERROR(SMALL(IF(U$1:U$1000="BEGIN",ROW(U$1:U$1000)),ROW()-3),"")</f>
        <v/>
      </c>
      <c r="AK631" s="23" t="str">
        <f t="array" ref="AK631">IFERROR(SMALL(IF(V$1:V$1000="END",ROW(V$1:V$1000)),ROW()-3),"")</f>
        <v/>
      </c>
      <c r="AL631" s="24" t="str">
        <f t="array" ref="AL631">IF(AK631="","",MATCH(AM631,L:L,0))</f>
        <v/>
      </c>
      <c r="AM631" s="35">
        <f t="array" ref="AM631">MAX(IF((B$4:B$1000&lt;=AK631)*(B$4:B$1000&gt;=AJ631),L$4:L$1000, ""))</f>
        <v>0</v>
      </c>
      <c r="AN631" s="32" t="str">
        <f t="shared" si="437"/>
        <v/>
      </c>
      <c r="AO631" s="32" t="str">
        <f t="shared" si="438"/>
        <v/>
      </c>
      <c r="AP631" s="32" t="str">
        <f t="shared" si="439"/>
        <v/>
      </c>
      <c r="AQ631" s="32" t="str">
        <f t="shared" si="440"/>
        <v/>
      </c>
      <c r="AR631" s="32" t="str">
        <f t="shared" si="441"/>
        <v/>
      </c>
      <c r="AS631" s="32" t="str">
        <f t="shared" si="442"/>
        <v/>
      </c>
      <c r="AT631" s="32" t="str">
        <f t="shared" si="443"/>
        <v/>
      </c>
      <c r="AU631" s="34" t="str">
        <f t="shared" si="444"/>
        <v/>
      </c>
      <c r="AV631" s="32" t="str">
        <f t="shared" si="445"/>
        <v/>
      </c>
      <c r="AW631" s="32" t="str">
        <f t="shared" si="446"/>
        <v/>
      </c>
      <c r="AX631" s="32" t="str">
        <f t="shared" si="447"/>
        <v/>
      </c>
      <c r="AY631" s="32" t="str">
        <f t="shared" si="448"/>
        <v/>
      </c>
    </row>
    <row r="632" spans="1:51" x14ac:dyDescent="0.25">
      <c r="A632" s="24" t="str">
        <f t="shared" si="406"/>
        <v/>
      </c>
      <c r="B632" s="24" t="str">
        <f t="shared" si="416"/>
        <v/>
      </c>
      <c r="C632" s="32" t="str">
        <f t="shared" si="407"/>
        <v/>
      </c>
      <c r="D632" s="24" t="str">
        <f t="shared" si="408"/>
        <v/>
      </c>
      <c r="E632" s="24" t="str">
        <f t="shared" si="409"/>
        <v/>
      </c>
      <c r="F632" s="32" t="str">
        <f t="shared" si="410"/>
        <v/>
      </c>
      <c r="G632" s="32" t="str">
        <f t="shared" si="411"/>
        <v/>
      </c>
      <c r="H632" s="32" t="str">
        <f t="shared" ca="1" si="412"/>
        <v/>
      </c>
      <c r="I632" s="32" t="str">
        <f t="shared" ca="1" si="417"/>
        <v/>
      </c>
      <c r="J632" s="32" t="str">
        <f t="shared" si="413"/>
        <v/>
      </c>
      <c r="K632" s="32" t="str">
        <f>IF(ISNUMBER(A632),Profile!$V$25+Profile!$V$24*'Ri-Po'!C632,"")</f>
        <v/>
      </c>
      <c r="L632" s="32" t="str">
        <f t="shared" si="418"/>
        <v/>
      </c>
      <c r="M632" s="32" t="str">
        <f t="shared" si="414"/>
        <v/>
      </c>
      <c r="N632" s="32" t="str">
        <f t="shared" si="415"/>
        <v/>
      </c>
      <c r="O632" s="32" t="str">
        <f t="shared" si="431"/>
        <v/>
      </c>
      <c r="P632" s="32" t="str">
        <f t="shared" si="419"/>
        <v/>
      </c>
      <c r="Q632" s="32" t="str">
        <f t="shared" si="420"/>
        <v/>
      </c>
      <c r="R632" s="32" t="str">
        <f t="shared" si="432"/>
        <v/>
      </c>
      <c r="S632" s="24" t="str">
        <f t="shared" si="433"/>
        <v/>
      </c>
      <c r="T632" s="24" t="str">
        <f t="shared" si="434"/>
        <v/>
      </c>
      <c r="U632" s="24" t="str">
        <f t="shared" si="435"/>
        <v/>
      </c>
      <c r="V632" s="24" t="str">
        <f t="shared" si="436"/>
        <v/>
      </c>
      <c r="W632" s="23" t="str">
        <f t="array" ref="W632">IFERROR(SMALL(IF(S$1:S$1000="BEGIN",ROW(S$1:S$1000)),ROW()-3),"")</f>
        <v/>
      </c>
      <c r="X632" s="23" t="str">
        <f t="array" ref="X632">IFERROR(SMALL(IF(T$1:T$1000="END",ROW(T$1:T$1000)),ROW()-3),"")</f>
        <v/>
      </c>
      <c r="Y632" s="33" t="str">
        <f t="array" ref="Y632">IF(ISNUMBER(W632),MAX(IF((B$4:B$1000&lt;=X632)*(B$4:B$1000&gt;=W632),I$4:I$1000, "")),"")</f>
        <v/>
      </c>
      <c r="Z632" s="33" t="str">
        <f t="shared" si="421"/>
        <v/>
      </c>
      <c r="AA632" s="32" t="str">
        <f t="shared" si="422"/>
        <v/>
      </c>
      <c r="AB632" s="32" t="str">
        <f t="shared" si="423"/>
        <v/>
      </c>
      <c r="AC632" s="32" t="str">
        <f t="shared" si="424"/>
        <v/>
      </c>
      <c r="AD632" s="32" t="str">
        <f t="shared" si="425"/>
        <v/>
      </c>
      <c r="AE632" s="34" t="str">
        <f t="shared" si="426"/>
        <v/>
      </c>
      <c r="AF632" s="32" t="str">
        <f t="shared" si="427"/>
        <v/>
      </c>
      <c r="AG632" s="32" t="str">
        <f t="shared" si="428"/>
        <v/>
      </c>
      <c r="AH632" s="32" t="str">
        <f t="shared" si="429"/>
        <v/>
      </c>
      <c r="AI632" s="35" t="str">
        <f t="shared" si="430"/>
        <v/>
      </c>
      <c r="AJ632" s="23" t="str">
        <f t="array" ref="AJ632">IFERROR(SMALL(IF(U$1:U$1000="BEGIN",ROW(U$1:U$1000)),ROW()-3),"")</f>
        <v/>
      </c>
      <c r="AK632" s="23" t="str">
        <f t="array" ref="AK632">IFERROR(SMALL(IF(V$1:V$1000="END",ROW(V$1:V$1000)),ROW()-3),"")</f>
        <v/>
      </c>
      <c r="AL632" s="24" t="str">
        <f t="array" ref="AL632">IF(AK632="","",MATCH(AM632,L:L,0))</f>
        <v/>
      </c>
      <c r="AM632" s="35">
        <f t="array" ref="AM632">MAX(IF((B$4:B$1000&lt;=AK632)*(B$4:B$1000&gt;=AJ632),L$4:L$1000, ""))</f>
        <v>0</v>
      </c>
      <c r="AN632" s="32" t="str">
        <f t="shared" si="437"/>
        <v/>
      </c>
      <c r="AO632" s="32" t="str">
        <f t="shared" si="438"/>
        <v/>
      </c>
      <c r="AP632" s="32" t="str">
        <f t="shared" si="439"/>
        <v/>
      </c>
      <c r="AQ632" s="32" t="str">
        <f t="shared" si="440"/>
        <v/>
      </c>
      <c r="AR632" s="32" t="str">
        <f t="shared" si="441"/>
        <v/>
      </c>
      <c r="AS632" s="32" t="str">
        <f t="shared" si="442"/>
        <v/>
      </c>
      <c r="AT632" s="32" t="str">
        <f t="shared" si="443"/>
        <v/>
      </c>
      <c r="AU632" s="34" t="str">
        <f t="shared" si="444"/>
        <v/>
      </c>
      <c r="AV632" s="32" t="str">
        <f t="shared" si="445"/>
        <v/>
      </c>
      <c r="AW632" s="32" t="str">
        <f t="shared" si="446"/>
        <v/>
      </c>
      <c r="AX632" s="32" t="str">
        <f t="shared" si="447"/>
        <v/>
      </c>
      <c r="AY632" s="32" t="str">
        <f t="shared" si="448"/>
        <v/>
      </c>
    </row>
    <row r="633" spans="1:51" x14ac:dyDescent="0.25">
      <c r="A633" s="24" t="str">
        <f t="shared" si="406"/>
        <v/>
      </c>
      <c r="B633" s="24" t="str">
        <f t="shared" si="416"/>
        <v/>
      </c>
      <c r="C633" s="32" t="str">
        <f t="shared" si="407"/>
        <v/>
      </c>
      <c r="D633" s="24" t="str">
        <f t="shared" si="408"/>
        <v/>
      </c>
      <c r="E633" s="24" t="str">
        <f t="shared" si="409"/>
        <v/>
      </c>
      <c r="F633" s="32" t="str">
        <f t="shared" si="410"/>
        <v/>
      </c>
      <c r="G633" s="32" t="str">
        <f t="shared" si="411"/>
        <v/>
      </c>
      <c r="H633" s="32" t="str">
        <f t="shared" ca="1" si="412"/>
        <v/>
      </c>
      <c r="I633" s="32" t="str">
        <f t="shared" ca="1" si="417"/>
        <v/>
      </c>
      <c r="J633" s="32" t="str">
        <f t="shared" si="413"/>
        <v/>
      </c>
      <c r="K633" s="32" t="str">
        <f>IF(ISNUMBER(A633),Profile!$V$25+Profile!$V$24*'Ri-Po'!C633,"")</f>
        <v/>
      </c>
      <c r="L633" s="32" t="str">
        <f t="shared" si="418"/>
        <v/>
      </c>
      <c r="M633" s="32" t="str">
        <f t="shared" si="414"/>
        <v/>
      </c>
      <c r="N633" s="32" t="str">
        <f t="shared" si="415"/>
        <v/>
      </c>
      <c r="O633" s="32" t="str">
        <f t="shared" si="431"/>
        <v/>
      </c>
      <c r="P633" s="32" t="str">
        <f t="shared" si="419"/>
        <v/>
      </c>
      <c r="Q633" s="32" t="str">
        <f t="shared" si="420"/>
        <v/>
      </c>
      <c r="R633" s="32" t="str">
        <f t="shared" si="432"/>
        <v/>
      </c>
      <c r="S633" s="24" t="str">
        <f t="shared" si="433"/>
        <v/>
      </c>
      <c r="T633" s="24" t="str">
        <f t="shared" si="434"/>
        <v/>
      </c>
      <c r="U633" s="24" t="str">
        <f t="shared" si="435"/>
        <v/>
      </c>
      <c r="V633" s="24" t="str">
        <f t="shared" si="436"/>
        <v/>
      </c>
      <c r="W633" s="23" t="str">
        <f t="array" ref="W633">IFERROR(SMALL(IF(S$1:S$1000="BEGIN",ROW(S$1:S$1000)),ROW()-3),"")</f>
        <v/>
      </c>
      <c r="X633" s="23" t="str">
        <f t="array" ref="X633">IFERROR(SMALL(IF(T$1:T$1000="END",ROW(T$1:T$1000)),ROW()-3),"")</f>
        <v/>
      </c>
      <c r="Y633" s="33" t="str">
        <f t="array" ref="Y633">IF(ISNUMBER(W633),MAX(IF((B$4:B$1000&lt;=X633)*(B$4:B$1000&gt;=W633),I$4:I$1000, "")),"")</f>
        <v/>
      </c>
      <c r="Z633" s="33" t="str">
        <f t="shared" si="421"/>
        <v/>
      </c>
      <c r="AA633" s="32" t="str">
        <f t="shared" si="422"/>
        <v/>
      </c>
      <c r="AB633" s="32" t="str">
        <f t="shared" si="423"/>
        <v/>
      </c>
      <c r="AC633" s="32" t="str">
        <f t="shared" si="424"/>
        <v/>
      </c>
      <c r="AD633" s="32" t="str">
        <f t="shared" si="425"/>
        <v/>
      </c>
      <c r="AE633" s="34" t="str">
        <f t="shared" si="426"/>
        <v/>
      </c>
      <c r="AF633" s="32" t="str">
        <f t="shared" si="427"/>
        <v/>
      </c>
      <c r="AG633" s="32" t="str">
        <f t="shared" si="428"/>
        <v/>
      </c>
      <c r="AH633" s="32" t="str">
        <f t="shared" si="429"/>
        <v/>
      </c>
      <c r="AI633" s="35" t="str">
        <f t="shared" si="430"/>
        <v/>
      </c>
      <c r="AJ633" s="23" t="str">
        <f t="array" ref="AJ633">IFERROR(SMALL(IF(U$1:U$1000="BEGIN",ROW(U$1:U$1000)),ROW()-3),"")</f>
        <v/>
      </c>
      <c r="AK633" s="23" t="str">
        <f t="array" ref="AK633">IFERROR(SMALL(IF(V$1:V$1000="END",ROW(V$1:V$1000)),ROW()-3),"")</f>
        <v/>
      </c>
      <c r="AL633" s="24" t="str">
        <f t="array" ref="AL633">IF(AK633="","",MATCH(AM633,L:L,0))</f>
        <v/>
      </c>
      <c r="AM633" s="35">
        <f t="array" ref="AM633">MAX(IF((B$4:B$1000&lt;=AK633)*(B$4:B$1000&gt;=AJ633),L$4:L$1000, ""))</f>
        <v>0</v>
      </c>
      <c r="AN633" s="32" t="str">
        <f t="shared" si="437"/>
        <v/>
      </c>
      <c r="AO633" s="32" t="str">
        <f t="shared" si="438"/>
        <v/>
      </c>
      <c r="AP633" s="32" t="str">
        <f t="shared" si="439"/>
        <v/>
      </c>
      <c r="AQ633" s="32" t="str">
        <f t="shared" si="440"/>
        <v/>
      </c>
      <c r="AR633" s="32" t="str">
        <f t="shared" si="441"/>
        <v/>
      </c>
      <c r="AS633" s="32" t="str">
        <f t="shared" si="442"/>
        <v/>
      </c>
      <c r="AT633" s="32" t="str">
        <f t="shared" si="443"/>
        <v/>
      </c>
      <c r="AU633" s="34" t="str">
        <f t="shared" si="444"/>
        <v/>
      </c>
      <c r="AV633" s="32" t="str">
        <f t="shared" si="445"/>
        <v/>
      </c>
      <c r="AW633" s="32" t="str">
        <f t="shared" si="446"/>
        <v/>
      </c>
      <c r="AX633" s="32" t="str">
        <f t="shared" si="447"/>
        <v/>
      </c>
      <c r="AY633" s="32" t="str">
        <f t="shared" si="448"/>
        <v/>
      </c>
    </row>
    <row r="634" spans="1:51" x14ac:dyDescent="0.25">
      <c r="A634" s="24" t="str">
        <f t="shared" si="406"/>
        <v/>
      </c>
      <c r="B634" s="24" t="str">
        <f t="shared" si="416"/>
        <v/>
      </c>
      <c r="C634" s="32" t="str">
        <f t="shared" si="407"/>
        <v/>
      </c>
      <c r="D634" s="24" t="str">
        <f t="shared" si="408"/>
        <v/>
      </c>
      <c r="E634" s="24" t="str">
        <f t="shared" si="409"/>
        <v/>
      </c>
      <c r="F634" s="32" t="str">
        <f t="shared" si="410"/>
        <v/>
      </c>
      <c r="G634" s="32" t="str">
        <f t="shared" si="411"/>
        <v/>
      </c>
      <c r="H634" s="32" t="str">
        <f t="shared" ca="1" si="412"/>
        <v/>
      </c>
      <c r="I634" s="32" t="str">
        <f t="shared" ca="1" si="417"/>
        <v/>
      </c>
      <c r="J634" s="32" t="str">
        <f t="shared" si="413"/>
        <v/>
      </c>
      <c r="K634" s="32" t="str">
        <f>IF(ISNUMBER(A634),Profile!$V$25+Profile!$V$24*'Ri-Po'!C634,"")</f>
        <v/>
      </c>
      <c r="L634" s="32" t="str">
        <f t="shared" si="418"/>
        <v/>
      </c>
      <c r="M634" s="32" t="str">
        <f t="shared" si="414"/>
        <v/>
      </c>
      <c r="N634" s="32" t="str">
        <f t="shared" si="415"/>
        <v/>
      </c>
      <c r="O634" s="32" t="str">
        <f t="shared" si="431"/>
        <v/>
      </c>
      <c r="P634" s="32" t="str">
        <f t="shared" si="419"/>
        <v/>
      </c>
      <c r="Q634" s="32" t="str">
        <f t="shared" si="420"/>
        <v/>
      </c>
      <c r="R634" s="32" t="str">
        <f t="shared" si="432"/>
        <v/>
      </c>
      <c r="S634" s="24" t="str">
        <f t="shared" si="433"/>
        <v/>
      </c>
      <c r="T634" s="24" t="str">
        <f t="shared" si="434"/>
        <v/>
      </c>
      <c r="U634" s="24" t="str">
        <f t="shared" si="435"/>
        <v/>
      </c>
      <c r="V634" s="24" t="str">
        <f t="shared" si="436"/>
        <v/>
      </c>
      <c r="W634" s="23" t="str">
        <f t="array" ref="W634">IFERROR(SMALL(IF(S$1:S$1000="BEGIN",ROW(S$1:S$1000)),ROW()-3),"")</f>
        <v/>
      </c>
      <c r="X634" s="23" t="str">
        <f t="array" ref="X634">IFERROR(SMALL(IF(T$1:T$1000="END",ROW(T$1:T$1000)),ROW()-3),"")</f>
        <v/>
      </c>
      <c r="Y634" s="33" t="str">
        <f t="array" ref="Y634">IF(ISNUMBER(W634),MAX(IF((B$4:B$1000&lt;=X634)*(B$4:B$1000&gt;=W634),I$4:I$1000, "")),"")</f>
        <v/>
      </c>
      <c r="Z634" s="33" t="str">
        <f t="shared" si="421"/>
        <v/>
      </c>
      <c r="AA634" s="32" t="str">
        <f t="shared" si="422"/>
        <v/>
      </c>
      <c r="AB634" s="32" t="str">
        <f t="shared" si="423"/>
        <v/>
      </c>
      <c r="AC634" s="32" t="str">
        <f t="shared" si="424"/>
        <v/>
      </c>
      <c r="AD634" s="32" t="str">
        <f t="shared" si="425"/>
        <v/>
      </c>
      <c r="AE634" s="34" t="str">
        <f t="shared" si="426"/>
        <v/>
      </c>
      <c r="AF634" s="32" t="str">
        <f t="shared" si="427"/>
        <v/>
      </c>
      <c r="AG634" s="32" t="str">
        <f t="shared" si="428"/>
        <v/>
      </c>
      <c r="AH634" s="32" t="str">
        <f t="shared" si="429"/>
        <v/>
      </c>
      <c r="AI634" s="35" t="str">
        <f t="shared" si="430"/>
        <v/>
      </c>
      <c r="AJ634" s="23" t="str">
        <f t="array" ref="AJ634">IFERROR(SMALL(IF(U$1:U$1000="BEGIN",ROW(U$1:U$1000)),ROW()-3),"")</f>
        <v/>
      </c>
      <c r="AK634" s="23" t="str">
        <f t="array" ref="AK634">IFERROR(SMALL(IF(V$1:V$1000="END",ROW(V$1:V$1000)),ROW()-3),"")</f>
        <v/>
      </c>
      <c r="AL634" s="24" t="str">
        <f t="array" ref="AL634">IF(AK634="","",MATCH(AM634,L:L,0))</f>
        <v/>
      </c>
      <c r="AM634" s="35">
        <f t="array" ref="AM634">MAX(IF((B$4:B$1000&lt;=AK634)*(B$4:B$1000&gt;=AJ634),L$4:L$1000, ""))</f>
        <v>0</v>
      </c>
      <c r="AN634" s="32" t="str">
        <f t="shared" si="437"/>
        <v/>
      </c>
      <c r="AO634" s="32" t="str">
        <f t="shared" si="438"/>
        <v/>
      </c>
      <c r="AP634" s="32" t="str">
        <f t="shared" si="439"/>
        <v/>
      </c>
      <c r="AQ634" s="32" t="str">
        <f t="shared" si="440"/>
        <v/>
      </c>
      <c r="AR634" s="32" t="str">
        <f t="shared" si="441"/>
        <v/>
      </c>
      <c r="AS634" s="32" t="str">
        <f t="shared" si="442"/>
        <v/>
      </c>
      <c r="AT634" s="32" t="str">
        <f t="shared" si="443"/>
        <v/>
      </c>
      <c r="AU634" s="34" t="str">
        <f t="shared" si="444"/>
        <v/>
      </c>
      <c r="AV634" s="32" t="str">
        <f t="shared" si="445"/>
        <v/>
      </c>
      <c r="AW634" s="32" t="str">
        <f t="shared" si="446"/>
        <v/>
      </c>
      <c r="AX634" s="32" t="str">
        <f t="shared" si="447"/>
        <v/>
      </c>
      <c r="AY634" s="32" t="str">
        <f t="shared" si="448"/>
        <v/>
      </c>
    </row>
    <row r="635" spans="1:51" x14ac:dyDescent="0.25">
      <c r="A635" s="24" t="str">
        <f t="shared" si="406"/>
        <v/>
      </c>
      <c r="B635" s="24" t="str">
        <f t="shared" si="416"/>
        <v/>
      </c>
      <c r="C635" s="32" t="str">
        <f t="shared" si="407"/>
        <v/>
      </c>
      <c r="D635" s="24" t="str">
        <f t="shared" si="408"/>
        <v/>
      </c>
      <c r="E635" s="24" t="str">
        <f t="shared" si="409"/>
        <v/>
      </c>
      <c r="F635" s="32" t="str">
        <f t="shared" si="410"/>
        <v/>
      </c>
      <c r="G635" s="32" t="str">
        <f t="shared" si="411"/>
        <v/>
      </c>
      <c r="H635" s="32" t="str">
        <f t="shared" ca="1" si="412"/>
        <v/>
      </c>
      <c r="I635" s="32" t="str">
        <f t="shared" ca="1" si="417"/>
        <v/>
      </c>
      <c r="J635" s="32" t="str">
        <f t="shared" si="413"/>
        <v/>
      </c>
      <c r="K635" s="32" t="str">
        <f>IF(ISNUMBER(A635),Profile!$V$25+Profile!$V$24*'Ri-Po'!C635,"")</f>
        <v/>
      </c>
      <c r="L635" s="32" t="str">
        <f t="shared" si="418"/>
        <v/>
      </c>
      <c r="M635" s="32" t="str">
        <f t="shared" si="414"/>
        <v/>
      </c>
      <c r="N635" s="32" t="str">
        <f t="shared" si="415"/>
        <v/>
      </c>
      <c r="O635" s="32" t="str">
        <f t="shared" si="431"/>
        <v/>
      </c>
      <c r="P635" s="32" t="str">
        <f t="shared" si="419"/>
        <v/>
      </c>
      <c r="Q635" s="32" t="str">
        <f t="shared" si="420"/>
        <v/>
      </c>
      <c r="R635" s="32" t="str">
        <f t="shared" si="432"/>
        <v/>
      </c>
      <c r="S635" s="24" t="str">
        <f t="shared" si="433"/>
        <v/>
      </c>
      <c r="T635" s="24" t="str">
        <f t="shared" si="434"/>
        <v/>
      </c>
      <c r="U635" s="24" t="str">
        <f t="shared" si="435"/>
        <v/>
      </c>
      <c r="V635" s="24" t="str">
        <f t="shared" si="436"/>
        <v/>
      </c>
      <c r="W635" s="23" t="str">
        <f t="array" ref="W635">IFERROR(SMALL(IF(S$1:S$1000="BEGIN",ROW(S$1:S$1000)),ROW()-3),"")</f>
        <v/>
      </c>
      <c r="X635" s="23" t="str">
        <f t="array" ref="X635">IFERROR(SMALL(IF(T$1:T$1000="END",ROW(T$1:T$1000)),ROW()-3),"")</f>
        <v/>
      </c>
      <c r="Y635" s="33" t="str">
        <f t="array" ref="Y635">IF(ISNUMBER(W635),MAX(IF((B$4:B$1000&lt;=X635)*(B$4:B$1000&gt;=W635),I$4:I$1000, "")),"")</f>
        <v/>
      </c>
      <c r="Z635" s="33" t="str">
        <f t="shared" si="421"/>
        <v/>
      </c>
      <c r="AA635" s="32" t="str">
        <f t="shared" si="422"/>
        <v/>
      </c>
      <c r="AB635" s="32" t="str">
        <f t="shared" si="423"/>
        <v/>
      </c>
      <c r="AC635" s="32" t="str">
        <f t="shared" si="424"/>
        <v/>
      </c>
      <c r="AD635" s="32" t="str">
        <f t="shared" si="425"/>
        <v/>
      </c>
      <c r="AE635" s="34" t="str">
        <f t="shared" si="426"/>
        <v/>
      </c>
      <c r="AF635" s="32" t="str">
        <f t="shared" si="427"/>
        <v/>
      </c>
      <c r="AG635" s="32" t="str">
        <f t="shared" si="428"/>
        <v/>
      </c>
      <c r="AH635" s="32" t="str">
        <f t="shared" si="429"/>
        <v/>
      </c>
      <c r="AI635" s="35" t="str">
        <f t="shared" si="430"/>
        <v/>
      </c>
      <c r="AJ635" s="23" t="str">
        <f t="array" ref="AJ635">IFERROR(SMALL(IF(U$1:U$1000="BEGIN",ROW(U$1:U$1000)),ROW()-3),"")</f>
        <v/>
      </c>
      <c r="AK635" s="23" t="str">
        <f t="array" ref="AK635">IFERROR(SMALL(IF(V$1:V$1000="END",ROW(V$1:V$1000)),ROW()-3),"")</f>
        <v/>
      </c>
      <c r="AL635" s="24" t="str">
        <f t="array" ref="AL635">IF(AK635="","",MATCH(AM635,L:L,0))</f>
        <v/>
      </c>
      <c r="AM635" s="35">
        <f t="array" ref="AM635">MAX(IF((B$4:B$1000&lt;=AK635)*(B$4:B$1000&gt;=AJ635),L$4:L$1000, ""))</f>
        <v>0</v>
      </c>
      <c r="AN635" s="32" t="str">
        <f t="shared" si="437"/>
        <v/>
      </c>
      <c r="AO635" s="32" t="str">
        <f t="shared" si="438"/>
        <v/>
      </c>
      <c r="AP635" s="32" t="str">
        <f t="shared" si="439"/>
        <v/>
      </c>
      <c r="AQ635" s="32" t="str">
        <f t="shared" si="440"/>
        <v/>
      </c>
      <c r="AR635" s="32" t="str">
        <f t="shared" si="441"/>
        <v/>
      </c>
      <c r="AS635" s="32" t="str">
        <f t="shared" si="442"/>
        <v/>
      </c>
      <c r="AT635" s="32" t="str">
        <f t="shared" si="443"/>
        <v/>
      </c>
      <c r="AU635" s="34" t="str">
        <f t="shared" si="444"/>
        <v/>
      </c>
      <c r="AV635" s="32" t="str">
        <f t="shared" si="445"/>
        <v/>
      </c>
      <c r="AW635" s="32" t="str">
        <f t="shared" si="446"/>
        <v/>
      </c>
      <c r="AX635" s="32" t="str">
        <f t="shared" si="447"/>
        <v/>
      </c>
      <c r="AY635" s="32" t="str">
        <f t="shared" si="448"/>
        <v/>
      </c>
    </row>
    <row r="636" spans="1:51" x14ac:dyDescent="0.25">
      <c r="A636" s="24" t="str">
        <f t="shared" si="406"/>
        <v/>
      </c>
      <c r="B636" s="24" t="str">
        <f t="shared" si="416"/>
        <v/>
      </c>
      <c r="C636" s="32" t="str">
        <f t="shared" si="407"/>
        <v/>
      </c>
      <c r="D636" s="24" t="str">
        <f t="shared" si="408"/>
        <v/>
      </c>
      <c r="E636" s="24" t="str">
        <f t="shared" si="409"/>
        <v/>
      </c>
      <c r="F636" s="32" t="str">
        <f t="shared" si="410"/>
        <v/>
      </c>
      <c r="G636" s="32" t="str">
        <f t="shared" si="411"/>
        <v/>
      </c>
      <c r="H636" s="32" t="str">
        <f t="shared" ca="1" si="412"/>
        <v/>
      </c>
      <c r="I636" s="32" t="str">
        <f t="shared" ca="1" si="417"/>
        <v/>
      </c>
      <c r="J636" s="32" t="str">
        <f t="shared" si="413"/>
        <v/>
      </c>
      <c r="K636" s="32" t="str">
        <f>IF(ISNUMBER(A636),Profile!$V$25+Profile!$V$24*'Ri-Po'!C636,"")</f>
        <v/>
      </c>
      <c r="L636" s="32" t="str">
        <f t="shared" si="418"/>
        <v/>
      </c>
      <c r="M636" s="32" t="str">
        <f t="shared" si="414"/>
        <v/>
      </c>
      <c r="N636" s="32" t="str">
        <f t="shared" si="415"/>
        <v/>
      </c>
      <c r="O636" s="32" t="str">
        <f t="shared" si="431"/>
        <v/>
      </c>
      <c r="P636" s="32" t="str">
        <f t="shared" si="419"/>
        <v/>
      </c>
      <c r="Q636" s="32" t="str">
        <f t="shared" si="420"/>
        <v/>
      </c>
      <c r="R636" s="32" t="str">
        <f t="shared" si="432"/>
        <v/>
      </c>
      <c r="S636" s="24" t="str">
        <f t="shared" si="433"/>
        <v/>
      </c>
      <c r="T636" s="24" t="str">
        <f t="shared" si="434"/>
        <v/>
      </c>
      <c r="U636" s="24" t="str">
        <f t="shared" si="435"/>
        <v/>
      </c>
      <c r="V636" s="24" t="str">
        <f t="shared" si="436"/>
        <v/>
      </c>
      <c r="W636" s="23" t="str">
        <f t="array" ref="W636">IFERROR(SMALL(IF(S$1:S$1000="BEGIN",ROW(S$1:S$1000)),ROW()-3),"")</f>
        <v/>
      </c>
      <c r="X636" s="23" t="str">
        <f t="array" ref="X636">IFERROR(SMALL(IF(T$1:T$1000="END",ROW(T$1:T$1000)),ROW()-3),"")</f>
        <v/>
      </c>
      <c r="Y636" s="33" t="str">
        <f t="array" ref="Y636">IF(ISNUMBER(W636),MAX(IF((B$4:B$1000&lt;=X636)*(B$4:B$1000&gt;=W636),I$4:I$1000, "")),"")</f>
        <v/>
      </c>
      <c r="Z636" s="33" t="str">
        <f t="shared" si="421"/>
        <v/>
      </c>
      <c r="AA636" s="32" t="str">
        <f t="shared" si="422"/>
        <v/>
      </c>
      <c r="AB636" s="32" t="str">
        <f t="shared" si="423"/>
        <v/>
      </c>
      <c r="AC636" s="32" t="str">
        <f t="shared" si="424"/>
        <v/>
      </c>
      <c r="AD636" s="32" t="str">
        <f t="shared" si="425"/>
        <v/>
      </c>
      <c r="AE636" s="34" t="str">
        <f t="shared" si="426"/>
        <v/>
      </c>
      <c r="AF636" s="32" t="str">
        <f t="shared" si="427"/>
        <v/>
      </c>
      <c r="AG636" s="32" t="str">
        <f t="shared" si="428"/>
        <v/>
      </c>
      <c r="AH636" s="32" t="str">
        <f t="shared" si="429"/>
        <v/>
      </c>
      <c r="AI636" s="35" t="str">
        <f t="shared" si="430"/>
        <v/>
      </c>
      <c r="AJ636" s="23" t="str">
        <f t="array" ref="AJ636">IFERROR(SMALL(IF(U$1:U$1000="BEGIN",ROW(U$1:U$1000)),ROW()-3),"")</f>
        <v/>
      </c>
      <c r="AK636" s="23" t="str">
        <f t="array" ref="AK636">IFERROR(SMALL(IF(V$1:V$1000="END",ROW(V$1:V$1000)),ROW()-3),"")</f>
        <v/>
      </c>
      <c r="AL636" s="24" t="str">
        <f t="array" ref="AL636">IF(AK636="","",MATCH(AM636,L:L,0))</f>
        <v/>
      </c>
      <c r="AM636" s="35">
        <f t="array" ref="AM636">MAX(IF((B$4:B$1000&lt;=AK636)*(B$4:B$1000&gt;=AJ636),L$4:L$1000, ""))</f>
        <v>0</v>
      </c>
      <c r="AN636" s="32" t="str">
        <f t="shared" si="437"/>
        <v/>
      </c>
      <c r="AO636" s="32" t="str">
        <f t="shared" si="438"/>
        <v/>
      </c>
      <c r="AP636" s="32" t="str">
        <f t="shared" si="439"/>
        <v/>
      </c>
      <c r="AQ636" s="32" t="str">
        <f t="shared" si="440"/>
        <v/>
      </c>
      <c r="AR636" s="32" t="str">
        <f t="shared" si="441"/>
        <v/>
      </c>
      <c r="AS636" s="32" t="str">
        <f t="shared" si="442"/>
        <v/>
      </c>
      <c r="AT636" s="32" t="str">
        <f t="shared" si="443"/>
        <v/>
      </c>
      <c r="AU636" s="34" t="str">
        <f t="shared" si="444"/>
        <v/>
      </c>
      <c r="AV636" s="32" t="str">
        <f t="shared" si="445"/>
        <v/>
      </c>
      <c r="AW636" s="32" t="str">
        <f t="shared" si="446"/>
        <v/>
      </c>
      <c r="AX636" s="32" t="str">
        <f t="shared" si="447"/>
        <v/>
      </c>
      <c r="AY636" s="32" t="str">
        <f t="shared" si="448"/>
        <v/>
      </c>
    </row>
    <row r="637" spans="1:51" x14ac:dyDescent="0.25">
      <c r="A637" s="24" t="str">
        <f t="shared" si="406"/>
        <v/>
      </c>
      <c r="B637" s="24" t="str">
        <f t="shared" si="416"/>
        <v/>
      </c>
      <c r="C637" s="32" t="str">
        <f t="shared" si="407"/>
        <v/>
      </c>
      <c r="D637" s="24" t="str">
        <f t="shared" si="408"/>
        <v/>
      </c>
      <c r="E637" s="24" t="str">
        <f t="shared" si="409"/>
        <v/>
      </c>
      <c r="F637" s="32" t="str">
        <f t="shared" si="410"/>
        <v/>
      </c>
      <c r="G637" s="32" t="str">
        <f t="shared" si="411"/>
        <v/>
      </c>
      <c r="H637" s="32" t="str">
        <f t="shared" ca="1" si="412"/>
        <v/>
      </c>
      <c r="I637" s="32" t="str">
        <f t="shared" ca="1" si="417"/>
        <v/>
      </c>
      <c r="J637" s="32" t="str">
        <f t="shared" si="413"/>
        <v/>
      </c>
      <c r="K637" s="32" t="str">
        <f>IF(ISNUMBER(A637),Profile!$V$25+Profile!$V$24*'Ri-Po'!C637,"")</f>
        <v/>
      </c>
      <c r="L637" s="32" t="str">
        <f t="shared" si="418"/>
        <v/>
      </c>
      <c r="M637" s="32" t="str">
        <f t="shared" si="414"/>
        <v/>
      </c>
      <c r="N637" s="32" t="str">
        <f t="shared" si="415"/>
        <v/>
      </c>
      <c r="O637" s="32" t="str">
        <f t="shared" si="431"/>
        <v/>
      </c>
      <c r="P637" s="32" t="str">
        <f t="shared" si="419"/>
        <v/>
      </c>
      <c r="Q637" s="32" t="str">
        <f t="shared" si="420"/>
        <v/>
      </c>
      <c r="R637" s="32" t="str">
        <f t="shared" si="432"/>
        <v/>
      </c>
      <c r="S637" s="24" t="str">
        <f t="shared" si="433"/>
        <v/>
      </c>
      <c r="T637" s="24" t="str">
        <f t="shared" si="434"/>
        <v/>
      </c>
      <c r="U637" s="24" t="str">
        <f t="shared" si="435"/>
        <v/>
      </c>
      <c r="V637" s="24" t="str">
        <f t="shared" si="436"/>
        <v/>
      </c>
      <c r="W637" s="23" t="str">
        <f t="array" ref="W637">IFERROR(SMALL(IF(S$1:S$1000="BEGIN",ROW(S$1:S$1000)),ROW()-3),"")</f>
        <v/>
      </c>
      <c r="X637" s="23" t="str">
        <f t="array" ref="X637">IFERROR(SMALL(IF(T$1:T$1000="END",ROW(T$1:T$1000)),ROW()-3),"")</f>
        <v/>
      </c>
      <c r="Y637" s="33" t="str">
        <f t="array" ref="Y637">IF(ISNUMBER(W637),MAX(IF((B$4:B$1000&lt;=X637)*(B$4:B$1000&gt;=W637),I$4:I$1000, "")),"")</f>
        <v/>
      </c>
      <c r="Z637" s="33" t="str">
        <f t="shared" si="421"/>
        <v/>
      </c>
      <c r="AA637" s="32" t="str">
        <f t="shared" si="422"/>
        <v/>
      </c>
      <c r="AB637" s="32" t="str">
        <f t="shared" si="423"/>
        <v/>
      </c>
      <c r="AC637" s="32" t="str">
        <f t="shared" si="424"/>
        <v/>
      </c>
      <c r="AD637" s="32" t="str">
        <f t="shared" si="425"/>
        <v/>
      </c>
      <c r="AE637" s="34" t="str">
        <f t="shared" si="426"/>
        <v/>
      </c>
      <c r="AF637" s="32" t="str">
        <f t="shared" si="427"/>
        <v/>
      </c>
      <c r="AG637" s="32" t="str">
        <f t="shared" si="428"/>
        <v/>
      </c>
      <c r="AH637" s="32" t="str">
        <f t="shared" si="429"/>
        <v/>
      </c>
      <c r="AI637" s="35" t="str">
        <f t="shared" si="430"/>
        <v/>
      </c>
      <c r="AJ637" s="23" t="str">
        <f t="array" ref="AJ637">IFERROR(SMALL(IF(U$1:U$1000="BEGIN",ROW(U$1:U$1000)),ROW()-3),"")</f>
        <v/>
      </c>
      <c r="AK637" s="23" t="str">
        <f t="array" ref="AK637">IFERROR(SMALL(IF(V$1:V$1000="END",ROW(V$1:V$1000)),ROW()-3),"")</f>
        <v/>
      </c>
      <c r="AL637" s="24" t="str">
        <f t="array" ref="AL637">IF(AK637="","",MATCH(AM637,L:L,0))</f>
        <v/>
      </c>
      <c r="AM637" s="35">
        <f t="array" ref="AM637">MAX(IF((B$4:B$1000&lt;=AK637)*(B$4:B$1000&gt;=AJ637),L$4:L$1000, ""))</f>
        <v>0</v>
      </c>
      <c r="AN637" s="32" t="str">
        <f t="shared" si="437"/>
        <v/>
      </c>
      <c r="AO637" s="32" t="str">
        <f t="shared" si="438"/>
        <v/>
      </c>
      <c r="AP637" s="32" t="str">
        <f t="shared" si="439"/>
        <v/>
      </c>
      <c r="AQ637" s="32" t="str">
        <f t="shared" si="440"/>
        <v/>
      </c>
      <c r="AR637" s="32" t="str">
        <f t="shared" si="441"/>
        <v/>
      </c>
      <c r="AS637" s="32" t="str">
        <f t="shared" si="442"/>
        <v/>
      </c>
      <c r="AT637" s="32" t="str">
        <f t="shared" si="443"/>
        <v/>
      </c>
      <c r="AU637" s="34" t="str">
        <f t="shared" si="444"/>
        <v/>
      </c>
      <c r="AV637" s="32" t="str">
        <f t="shared" si="445"/>
        <v/>
      </c>
      <c r="AW637" s="32" t="str">
        <f t="shared" si="446"/>
        <v/>
      </c>
      <c r="AX637" s="32" t="str">
        <f t="shared" si="447"/>
        <v/>
      </c>
      <c r="AY637" s="32" t="str">
        <f t="shared" si="448"/>
        <v/>
      </c>
    </row>
    <row r="638" spans="1:51" x14ac:dyDescent="0.25">
      <c r="A638" s="24" t="str">
        <f t="shared" si="406"/>
        <v/>
      </c>
      <c r="B638" s="24" t="str">
        <f t="shared" si="416"/>
        <v/>
      </c>
      <c r="C638" s="32" t="str">
        <f t="shared" si="407"/>
        <v/>
      </c>
      <c r="D638" s="24" t="str">
        <f t="shared" si="408"/>
        <v/>
      </c>
      <c r="E638" s="24" t="str">
        <f t="shared" si="409"/>
        <v/>
      </c>
      <c r="F638" s="32" t="str">
        <f t="shared" si="410"/>
        <v/>
      </c>
      <c r="G638" s="32" t="str">
        <f t="shared" si="411"/>
        <v/>
      </c>
      <c r="H638" s="32" t="str">
        <f t="shared" ca="1" si="412"/>
        <v/>
      </c>
      <c r="I638" s="32" t="str">
        <f t="shared" ca="1" si="417"/>
        <v/>
      </c>
      <c r="J638" s="32" t="str">
        <f t="shared" si="413"/>
        <v/>
      </c>
      <c r="K638" s="32" t="str">
        <f>IF(ISNUMBER(A638),Profile!$V$25+Profile!$V$24*'Ri-Po'!C638,"")</f>
        <v/>
      </c>
      <c r="L638" s="32" t="str">
        <f t="shared" si="418"/>
        <v/>
      </c>
      <c r="M638" s="32" t="str">
        <f t="shared" si="414"/>
        <v/>
      </c>
      <c r="N638" s="32" t="str">
        <f t="shared" si="415"/>
        <v/>
      </c>
      <c r="O638" s="32" t="str">
        <f t="shared" si="431"/>
        <v/>
      </c>
      <c r="P638" s="32" t="str">
        <f t="shared" si="419"/>
        <v/>
      </c>
      <c r="Q638" s="32" t="str">
        <f t="shared" si="420"/>
        <v/>
      </c>
      <c r="R638" s="32" t="str">
        <f t="shared" si="432"/>
        <v/>
      </c>
      <c r="S638" s="24" t="str">
        <f t="shared" si="433"/>
        <v/>
      </c>
      <c r="T638" s="24" t="str">
        <f t="shared" si="434"/>
        <v/>
      </c>
      <c r="U638" s="24" t="str">
        <f t="shared" si="435"/>
        <v/>
      </c>
      <c r="V638" s="24" t="str">
        <f t="shared" si="436"/>
        <v/>
      </c>
      <c r="W638" s="23" t="str">
        <f t="array" ref="W638">IFERROR(SMALL(IF(S$1:S$1000="BEGIN",ROW(S$1:S$1000)),ROW()-3),"")</f>
        <v/>
      </c>
      <c r="X638" s="23" t="str">
        <f t="array" ref="X638">IFERROR(SMALL(IF(T$1:T$1000="END",ROW(T$1:T$1000)),ROW()-3),"")</f>
        <v/>
      </c>
      <c r="Y638" s="33" t="str">
        <f t="array" ref="Y638">IF(ISNUMBER(W638),MAX(IF((B$4:B$1000&lt;=X638)*(B$4:B$1000&gt;=W638),I$4:I$1000, "")),"")</f>
        <v/>
      </c>
      <c r="Z638" s="33" t="str">
        <f t="shared" si="421"/>
        <v/>
      </c>
      <c r="AA638" s="32" t="str">
        <f t="shared" si="422"/>
        <v/>
      </c>
      <c r="AB638" s="32" t="str">
        <f t="shared" si="423"/>
        <v/>
      </c>
      <c r="AC638" s="32" t="str">
        <f t="shared" si="424"/>
        <v/>
      </c>
      <c r="AD638" s="32" t="str">
        <f t="shared" si="425"/>
        <v/>
      </c>
      <c r="AE638" s="34" t="str">
        <f t="shared" si="426"/>
        <v/>
      </c>
      <c r="AF638" s="32" t="str">
        <f t="shared" si="427"/>
        <v/>
      </c>
      <c r="AG638" s="32" t="str">
        <f t="shared" si="428"/>
        <v/>
      </c>
      <c r="AH638" s="32" t="str">
        <f t="shared" si="429"/>
        <v/>
      </c>
      <c r="AI638" s="35" t="str">
        <f t="shared" si="430"/>
        <v/>
      </c>
      <c r="AJ638" s="23" t="str">
        <f t="array" ref="AJ638">IFERROR(SMALL(IF(U$1:U$1000="BEGIN",ROW(U$1:U$1000)),ROW()-3),"")</f>
        <v/>
      </c>
      <c r="AK638" s="23" t="str">
        <f t="array" ref="AK638">IFERROR(SMALL(IF(V$1:V$1000="END",ROW(V$1:V$1000)),ROW()-3),"")</f>
        <v/>
      </c>
      <c r="AL638" s="24" t="str">
        <f t="array" ref="AL638">IF(AK638="","",MATCH(AM638,L:L,0))</f>
        <v/>
      </c>
      <c r="AM638" s="35">
        <f t="array" ref="AM638">MAX(IF((B$4:B$1000&lt;=AK638)*(B$4:B$1000&gt;=AJ638),L$4:L$1000, ""))</f>
        <v>0</v>
      </c>
      <c r="AN638" s="32" t="str">
        <f t="shared" si="437"/>
        <v/>
      </c>
      <c r="AO638" s="32" t="str">
        <f t="shared" si="438"/>
        <v/>
      </c>
      <c r="AP638" s="32" t="str">
        <f t="shared" si="439"/>
        <v/>
      </c>
      <c r="AQ638" s="32" t="str">
        <f t="shared" si="440"/>
        <v/>
      </c>
      <c r="AR638" s="32" t="str">
        <f t="shared" si="441"/>
        <v/>
      </c>
      <c r="AS638" s="32" t="str">
        <f t="shared" si="442"/>
        <v/>
      </c>
      <c r="AT638" s="32" t="str">
        <f t="shared" si="443"/>
        <v/>
      </c>
      <c r="AU638" s="34" t="str">
        <f t="shared" si="444"/>
        <v/>
      </c>
      <c r="AV638" s="32" t="str">
        <f t="shared" si="445"/>
        <v/>
      </c>
      <c r="AW638" s="32" t="str">
        <f t="shared" si="446"/>
        <v/>
      </c>
      <c r="AX638" s="32" t="str">
        <f t="shared" si="447"/>
        <v/>
      </c>
      <c r="AY638" s="32" t="str">
        <f t="shared" si="448"/>
        <v/>
      </c>
    </row>
    <row r="639" spans="1:51" x14ac:dyDescent="0.25">
      <c r="A639" s="24" t="str">
        <f t="shared" si="406"/>
        <v/>
      </c>
      <c r="B639" s="24" t="str">
        <f t="shared" si="416"/>
        <v/>
      </c>
      <c r="C639" s="32" t="str">
        <f t="shared" si="407"/>
        <v/>
      </c>
      <c r="D639" s="24" t="str">
        <f t="shared" si="408"/>
        <v/>
      </c>
      <c r="E639" s="24" t="str">
        <f t="shared" si="409"/>
        <v/>
      </c>
      <c r="F639" s="32" t="str">
        <f t="shared" si="410"/>
        <v/>
      </c>
      <c r="G639" s="32" t="str">
        <f t="shared" si="411"/>
        <v/>
      </c>
      <c r="H639" s="32" t="str">
        <f t="shared" ca="1" si="412"/>
        <v/>
      </c>
      <c r="I639" s="32" t="str">
        <f t="shared" ca="1" si="417"/>
        <v/>
      </c>
      <c r="J639" s="32" t="str">
        <f t="shared" si="413"/>
        <v/>
      </c>
      <c r="K639" s="32" t="str">
        <f>IF(ISNUMBER(A639),Profile!$V$25+Profile!$V$24*'Ri-Po'!C639,"")</f>
        <v/>
      </c>
      <c r="L639" s="32" t="str">
        <f t="shared" si="418"/>
        <v/>
      </c>
      <c r="M639" s="32" t="str">
        <f t="shared" si="414"/>
        <v/>
      </c>
      <c r="N639" s="32" t="str">
        <f t="shared" si="415"/>
        <v/>
      </c>
      <c r="O639" s="32" t="str">
        <f t="shared" si="431"/>
        <v/>
      </c>
      <c r="P639" s="32" t="str">
        <f t="shared" si="419"/>
        <v/>
      </c>
      <c r="Q639" s="32" t="str">
        <f t="shared" si="420"/>
        <v/>
      </c>
      <c r="R639" s="32" t="str">
        <f t="shared" si="432"/>
        <v/>
      </c>
      <c r="S639" s="24" t="str">
        <f t="shared" si="433"/>
        <v/>
      </c>
      <c r="T639" s="24" t="str">
        <f t="shared" si="434"/>
        <v/>
      </c>
      <c r="U639" s="24" t="str">
        <f t="shared" si="435"/>
        <v/>
      </c>
      <c r="V639" s="24" t="str">
        <f t="shared" si="436"/>
        <v/>
      </c>
      <c r="W639" s="23" t="str">
        <f t="array" ref="W639">IFERROR(SMALL(IF(S$1:S$1000="BEGIN",ROW(S$1:S$1000)),ROW()-3),"")</f>
        <v/>
      </c>
      <c r="X639" s="23" t="str">
        <f t="array" ref="X639">IFERROR(SMALL(IF(T$1:T$1000="END",ROW(T$1:T$1000)),ROW()-3),"")</f>
        <v/>
      </c>
      <c r="Y639" s="33" t="str">
        <f t="array" ref="Y639">IF(ISNUMBER(W639),MAX(IF((B$4:B$1000&lt;=X639)*(B$4:B$1000&gt;=W639),I$4:I$1000, "")),"")</f>
        <v/>
      </c>
      <c r="Z639" s="33" t="str">
        <f t="shared" si="421"/>
        <v/>
      </c>
      <c r="AA639" s="32" t="str">
        <f t="shared" si="422"/>
        <v/>
      </c>
      <c r="AB639" s="32" t="str">
        <f t="shared" si="423"/>
        <v/>
      </c>
      <c r="AC639" s="32" t="str">
        <f t="shared" si="424"/>
        <v/>
      </c>
      <c r="AD639" s="32" t="str">
        <f t="shared" si="425"/>
        <v/>
      </c>
      <c r="AE639" s="34" t="str">
        <f t="shared" si="426"/>
        <v/>
      </c>
      <c r="AF639" s="32" t="str">
        <f t="shared" si="427"/>
        <v/>
      </c>
      <c r="AG639" s="32" t="str">
        <f t="shared" si="428"/>
        <v/>
      </c>
      <c r="AH639" s="32" t="str">
        <f t="shared" si="429"/>
        <v/>
      </c>
      <c r="AI639" s="35" t="str">
        <f t="shared" si="430"/>
        <v/>
      </c>
      <c r="AJ639" s="23" t="str">
        <f t="array" ref="AJ639">IFERROR(SMALL(IF(U$1:U$1000="BEGIN",ROW(U$1:U$1000)),ROW()-3),"")</f>
        <v/>
      </c>
      <c r="AK639" s="23" t="str">
        <f t="array" ref="AK639">IFERROR(SMALL(IF(V$1:V$1000="END",ROW(V$1:V$1000)),ROW()-3),"")</f>
        <v/>
      </c>
      <c r="AL639" s="24" t="str">
        <f t="array" ref="AL639">IF(AK639="","",MATCH(AM639,L:L,0))</f>
        <v/>
      </c>
      <c r="AM639" s="35">
        <f t="array" ref="AM639">MAX(IF((B$4:B$1000&lt;=AK639)*(B$4:B$1000&gt;=AJ639),L$4:L$1000, ""))</f>
        <v>0</v>
      </c>
      <c r="AN639" s="32" t="str">
        <f t="shared" si="437"/>
        <v/>
      </c>
      <c r="AO639" s="32" t="str">
        <f t="shared" si="438"/>
        <v/>
      </c>
      <c r="AP639" s="32" t="str">
        <f t="shared" si="439"/>
        <v/>
      </c>
      <c r="AQ639" s="32" t="str">
        <f t="shared" si="440"/>
        <v/>
      </c>
      <c r="AR639" s="32" t="str">
        <f t="shared" si="441"/>
        <v/>
      </c>
      <c r="AS639" s="32" t="str">
        <f t="shared" si="442"/>
        <v/>
      </c>
      <c r="AT639" s="32" t="str">
        <f t="shared" si="443"/>
        <v/>
      </c>
      <c r="AU639" s="34" t="str">
        <f t="shared" si="444"/>
        <v/>
      </c>
      <c r="AV639" s="32" t="str">
        <f t="shared" si="445"/>
        <v/>
      </c>
      <c r="AW639" s="32" t="str">
        <f t="shared" si="446"/>
        <v/>
      </c>
      <c r="AX639" s="32" t="str">
        <f t="shared" si="447"/>
        <v/>
      </c>
      <c r="AY639" s="32" t="str">
        <f t="shared" si="448"/>
        <v/>
      </c>
    </row>
    <row r="640" spans="1:51" x14ac:dyDescent="0.25">
      <c r="A640" s="24" t="str">
        <f t="shared" si="406"/>
        <v/>
      </c>
      <c r="B640" s="24" t="str">
        <f t="shared" si="416"/>
        <v/>
      </c>
      <c r="C640" s="32" t="str">
        <f t="shared" si="407"/>
        <v/>
      </c>
      <c r="D640" s="24" t="str">
        <f t="shared" si="408"/>
        <v/>
      </c>
      <c r="E640" s="24" t="str">
        <f t="shared" si="409"/>
        <v/>
      </c>
      <c r="F640" s="32" t="str">
        <f t="shared" si="410"/>
        <v/>
      </c>
      <c r="G640" s="32" t="str">
        <f t="shared" si="411"/>
        <v/>
      </c>
      <c r="H640" s="32" t="str">
        <f t="shared" ca="1" si="412"/>
        <v/>
      </c>
      <c r="I640" s="32" t="str">
        <f t="shared" ca="1" si="417"/>
        <v/>
      </c>
      <c r="J640" s="32" t="str">
        <f t="shared" si="413"/>
        <v/>
      </c>
      <c r="K640" s="32" t="str">
        <f>IF(ISNUMBER(A640),Profile!$V$25+Profile!$V$24*'Ri-Po'!C640,"")</f>
        <v/>
      </c>
      <c r="L640" s="32" t="str">
        <f t="shared" si="418"/>
        <v/>
      </c>
      <c r="M640" s="32" t="str">
        <f t="shared" si="414"/>
        <v/>
      </c>
      <c r="N640" s="32" t="str">
        <f t="shared" si="415"/>
        <v/>
      </c>
      <c r="O640" s="32" t="str">
        <f t="shared" si="431"/>
        <v/>
      </c>
      <c r="P640" s="32" t="str">
        <f t="shared" si="419"/>
        <v/>
      </c>
      <c r="Q640" s="32" t="str">
        <f t="shared" si="420"/>
        <v/>
      </c>
      <c r="R640" s="32" t="str">
        <f t="shared" si="432"/>
        <v/>
      </c>
      <c r="S640" s="24" t="str">
        <f t="shared" si="433"/>
        <v/>
      </c>
      <c r="T640" s="24" t="str">
        <f t="shared" si="434"/>
        <v/>
      </c>
      <c r="U640" s="24" t="str">
        <f t="shared" si="435"/>
        <v/>
      </c>
      <c r="V640" s="24" t="str">
        <f t="shared" si="436"/>
        <v/>
      </c>
      <c r="W640" s="23" t="str">
        <f t="array" ref="W640">IFERROR(SMALL(IF(S$1:S$1000="BEGIN",ROW(S$1:S$1000)),ROW()-3),"")</f>
        <v/>
      </c>
      <c r="X640" s="23" t="str">
        <f t="array" ref="X640">IFERROR(SMALL(IF(T$1:T$1000="END",ROW(T$1:T$1000)),ROW()-3),"")</f>
        <v/>
      </c>
      <c r="Y640" s="33" t="str">
        <f t="array" ref="Y640">IF(ISNUMBER(W640),MAX(IF((B$4:B$1000&lt;=X640)*(B$4:B$1000&gt;=W640),I$4:I$1000, "")),"")</f>
        <v/>
      </c>
      <c r="Z640" s="33" t="str">
        <f t="shared" si="421"/>
        <v/>
      </c>
      <c r="AA640" s="32" t="str">
        <f t="shared" si="422"/>
        <v/>
      </c>
      <c r="AB640" s="32" t="str">
        <f t="shared" si="423"/>
        <v/>
      </c>
      <c r="AC640" s="32" t="str">
        <f t="shared" si="424"/>
        <v/>
      </c>
      <c r="AD640" s="32" t="str">
        <f t="shared" si="425"/>
        <v/>
      </c>
      <c r="AE640" s="34" t="str">
        <f t="shared" si="426"/>
        <v/>
      </c>
      <c r="AF640" s="32" t="str">
        <f t="shared" si="427"/>
        <v/>
      </c>
      <c r="AG640" s="32" t="str">
        <f t="shared" si="428"/>
        <v/>
      </c>
      <c r="AH640" s="32" t="str">
        <f t="shared" si="429"/>
        <v/>
      </c>
      <c r="AI640" s="35" t="str">
        <f t="shared" si="430"/>
        <v/>
      </c>
      <c r="AJ640" s="23" t="str">
        <f t="array" ref="AJ640">IFERROR(SMALL(IF(U$1:U$1000="BEGIN",ROW(U$1:U$1000)),ROW()-3),"")</f>
        <v/>
      </c>
      <c r="AK640" s="23" t="str">
        <f t="array" ref="AK640">IFERROR(SMALL(IF(V$1:V$1000="END",ROW(V$1:V$1000)),ROW()-3),"")</f>
        <v/>
      </c>
      <c r="AL640" s="24" t="str">
        <f t="array" ref="AL640">IF(AK640="","",MATCH(AM640,L:L,0))</f>
        <v/>
      </c>
      <c r="AM640" s="35">
        <f t="array" ref="AM640">MAX(IF((B$4:B$1000&lt;=AK640)*(B$4:B$1000&gt;=AJ640),L$4:L$1000, ""))</f>
        <v>0</v>
      </c>
      <c r="AN640" s="32" t="str">
        <f t="shared" si="437"/>
        <v/>
      </c>
      <c r="AO640" s="32" t="str">
        <f t="shared" si="438"/>
        <v/>
      </c>
      <c r="AP640" s="32" t="str">
        <f t="shared" si="439"/>
        <v/>
      </c>
      <c r="AQ640" s="32" t="str">
        <f t="shared" si="440"/>
        <v/>
      </c>
      <c r="AR640" s="32" t="str">
        <f t="shared" si="441"/>
        <v/>
      </c>
      <c r="AS640" s="32" t="str">
        <f t="shared" si="442"/>
        <v/>
      </c>
      <c r="AT640" s="32" t="str">
        <f t="shared" si="443"/>
        <v/>
      </c>
      <c r="AU640" s="34" t="str">
        <f t="shared" si="444"/>
        <v/>
      </c>
      <c r="AV640" s="32" t="str">
        <f t="shared" si="445"/>
        <v/>
      </c>
      <c r="AW640" s="32" t="str">
        <f t="shared" si="446"/>
        <v/>
      </c>
      <c r="AX640" s="32" t="str">
        <f t="shared" si="447"/>
        <v/>
      </c>
      <c r="AY640" s="32" t="str">
        <f t="shared" si="448"/>
        <v/>
      </c>
    </row>
    <row r="641" spans="1:51" x14ac:dyDescent="0.25">
      <c r="A641" s="24" t="str">
        <f t="shared" si="406"/>
        <v/>
      </c>
      <c r="B641" s="24" t="str">
        <f t="shared" si="416"/>
        <v/>
      </c>
      <c r="C641" s="32" t="str">
        <f t="shared" si="407"/>
        <v/>
      </c>
      <c r="D641" s="24" t="str">
        <f t="shared" si="408"/>
        <v/>
      </c>
      <c r="E641" s="24" t="str">
        <f t="shared" si="409"/>
        <v/>
      </c>
      <c r="F641" s="32" t="str">
        <f t="shared" si="410"/>
        <v/>
      </c>
      <c r="G641" s="32" t="str">
        <f t="shared" si="411"/>
        <v/>
      </c>
      <c r="H641" s="32" t="str">
        <f t="shared" ca="1" si="412"/>
        <v/>
      </c>
      <c r="I641" s="32" t="str">
        <f t="shared" ca="1" si="417"/>
        <v/>
      </c>
      <c r="J641" s="32" t="str">
        <f t="shared" si="413"/>
        <v/>
      </c>
      <c r="K641" s="32" t="str">
        <f>IF(ISNUMBER(A641),Profile!$V$25+Profile!$V$24*'Ri-Po'!C641,"")</f>
        <v/>
      </c>
      <c r="L641" s="32" t="str">
        <f t="shared" si="418"/>
        <v/>
      </c>
      <c r="M641" s="32" t="str">
        <f t="shared" si="414"/>
        <v/>
      </c>
      <c r="N641" s="32" t="str">
        <f t="shared" si="415"/>
        <v/>
      </c>
      <c r="O641" s="32" t="str">
        <f t="shared" si="431"/>
        <v/>
      </c>
      <c r="P641" s="32" t="str">
        <f t="shared" si="419"/>
        <v/>
      </c>
      <c r="Q641" s="32" t="str">
        <f t="shared" si="420"/>
        <v/>
      </c>
      <c r="R641" s="32" t="str">
        <f t="shared" si="432"/>
        <v/>
      </c>
      <c r="S641" s="24" t="str">
        <f t="shared" si="433"/>
        <v/>
      </c>
      <c r="T641" s="24" t="str">
        <f t="shared" si="434"/>
        <v/>
      </c>
      <c r="U641" s="24" t="str">
        <f t="shared" si="435"/>
        <v/>
      </c>
      <c r="V641" s="24" t="str">
        <f t="shared" si="436"/>
        <v/>
      </c>
      <c r="W641" s="23" t="str">
        <f t="array" ref="W641">IFERROR(SMALL(IF(S$1:S$1000="BEGIN",ROW(S$1:S$1000)),ROW()-3),"")</f>
        <v/>
      </c>
      <c r="X641" s="23" t="str">
        <f t="array" ref="X641">IFERROR(SMALL(IF(T$1:T$1000="END",ROW(T$1:T$1000)),ROW()-3),"")</f>
        <v/>
      </c>
      <c r="Y641" s="33" t="str">
        <f t="array" ref="Y641">IF(ISNUMBER(W641),MAX(IF((B$4:B$1000&lt;=X641)*(B$4:B$1000&gt;=W641),I$4:I$1000, "")),"")</f>
        <v/>
      </c>
      <c r="Z641" s="33" t="str">
        <f t="shared" si="421"/>
        <v/>
      </c>
      <c r="AA641" s="32" t="str">
        <f t="shared" si="422"/>
        <v/>
      </c>
      <c r="AB641" s="32" t="str">
        <f t="shared" si="423"/>
        <v/>
      </c>
      <c r="AC641" s="32" t="str">
        <f t="shared" si="424"/>
        <v/>
      </c>
      <c r="AD641" s="32" t="str">
        <f t="shared" si="425"/>
        <v/>
      </c>
      <c r="AE641" s="34" t="str">
        <f t="shared" si="426"/>
        <v/>
      </c>
      <c r="AF641" s="32" t="str">
        <f t="shared" si="427"/>
        <v/>
      </c>
      <c r="AG641" s="32" t="str">
        <f t="shared" si="428"/>
        <v/>
      </c>
      <c r="AH641" s="32" t="str">
        <f t="shared" si="429"/>
        <v/>
      </c>
      <c r="AI641" s="35" t="str">
        <f t="shared" si="430"/>
        <v/>
      </c>
      <c r="AJ641" s="23" t="str">
        <f t="array" ref="AJ641">IFERROR(SMALL(IF(U$1:U$1000="BEGIN",ROW(U$1:U$1000)),ROW()-3),"")</f>
        <v/>
      </c>
      <c r="AK641" s="23" t="str">
        <f t="array" ref="AK641">IFERROR(SMALL(IF(V$1:V$1000="END",ROW(V$1:V$1000)),ROW()-3),"")</f>
        <v/>
      </c>
      <c r="AL641" s="24" t="str">
        <f t="array" ref="AL641">IF(AK641="","",MATCH(AM641,L:L,0))</f>
        <v/>
      </c>
      <c r="AM641" s="35">
        <f t="array" ref="AM641">MAX(IF((B$4:B$1000&lt;=AK641)*(B$4:B$1000&gt;=AJ641),L$4:L$1000, ""))</f>
        <v>0</v>
      </c>
      <c r="AN641" s="32" t="str">
        <f t="shared" si="437"/>
        <v/>
      </c>
      <c r="AO641" s="32" t="str">
        <f t="shared" si="438"/>
        <v/>
      </c>
      <c r="AP641" s="32" t="str">
        <f t="shared" si="439"/>
        <v/>
      </c>
      <c r="AQ641" s="32" t="str">
        <f t="shared" si="440"/>
        <v/>
      </c>
      <c r="AR641" s="32" t="str">
        <f t="shared" si="441"/>
        <v/>
      </c>
      <c r="AS641" s="32" t="str">
        <f t="shared" si="442"/>
        <v/>
      </c>
      <c r="AT641" s="32" t="str">
        <f t="shared" si="443"/>
        <v/>
      </c>
      <c r="AU641" s="34" t="str">
        <f t="shared" si="444"/>
        <v/>
      </c>
      <c r="AV641" s="32" t="str">
        <f t="shared" si="445"/>
        <v/>
      </c>
      <c r="AW641" s="32" t="str">
        <f t="shared" si="446"/>
        <v/>
      </c>
      <c r="AX641" s="32" t="str">
        <f t="shared" si="447"/>
        <v/>
      </c>
      <c r="AY641" s="32" t="str">
        <f t="shared" si="448"/>
        <v/>
      </c>
    </row>
    <row r="642" spans="1:51" x14ac:dyDescent="0.25">
      <c r="A642" s="24" t="str">
        <f t="shared" si="406"/>
        <v/>
      </c>
      <c r="B642" s="24" t="str">
        <f t="shared" si="416"/>
        <v/>
      </c>
      <c r="C642" s="32" t="str">
        <f t="shared" si="407"/>
        <v/>
      </c>
      <c r="D642" s="24" t="str">
        <f t="shared" si="408"/>
        <v/>
      </c>
      <c r="E642" s="24" t="str">
        <f t="shared" si="409"/>
        <v/>
      </c>
      <c r="F642" s="32" t="str">
        <f t="shared" si="410"/>
        <v/>
      </c>
      <c r="G642" s="32" t="str">
        <f t="shared" si="411"/>
        <v/>
      </c>
      <c r="H642" s="32" t="str">
        <f t="shared" ca="1" si="412"/>
        <v/>
      </c>
      <c r="I642" s="32" t="str">
        <f t="shared" ca="1" si="417"/>
        <v/>
      </c>
      <c r="J642" s="32" t="str">
        <f t="shared" si="413"/>
        <v/>
      </c>
      <c r="K642" s="32" t="str">
        <f>IF(ISNUMBER(A642),Profile!$V$25+Profile!$V$24*'Ri-Po'!C642,"")</f>
        <v/>
      </c>
      <c r="L642" s="32" t="str">
        <f t="shared" si="418"/>
        <v/>
      </c>
      <c r="M642" s="32" t="str">
        <f t="shared" si="414"/>
        <v/>
      </c>
      <c r="N642" s="32" t="str">
        <f t="shared" si="415"/>
        <v/>
      </c>
      <c r="O642" s="32" t="str">
        <f t="shared" si="431"/>
        <v/>
      </c>
      <c r="P642" s="32" t="str">
        <f t="shared" si="419"/>
        <v/>
      </c>
      <c r="Q642" s="32" t="str">
        <f t="shared" si="420"/>
        <v/>
      </c>
      <c r="R642" s="32" t="str">
        <f t="shared" si="432"/>
        <v/>
      </c>
      <c r="S642" s="24" t="str">
        <f t="shared" si="433"/>
        <v/>
      </c>
      <c r="T642" s="24" t="str">
        <f t="shared" si="434"/>
        <v/>
      </c>
      <c r="U642" s="24" t="str">
        <f t="shared" si="435"/>
        <v/>
      </c>
      <c r="V642" s="24" t="str">
        <f t="shared" si="436"/>
        <v/>
      </c>
      <c r="W642" s="23" t="str">
        <f t="array" ref="W642">IFERROR(SMALL(IF(S$1:S$1000="BEGIN",ROW(S$1:S$1000)),ROW()-3),"")</f>
        <v/>
      </c>
      <c r="X642" s="23" t="str">
        <f t="array" ref="X642">IFERROR(SMALL(IF(T$1:T$1000="END",ROW(T$1:T$1000)),ROW()-3),"")</f>
        <v/>
      </c>
      <c r="Y642" s="33" t="str">
        <f t="array" ref="Y642">IF(ISNUMBER(W642),MAX(IF((B$4:B$1000&lt;=X642)*(B$4:B$1000&gt;=W642),I$4:I$1000, "")),"")</f>
        <v/>
      </c>
      <c r="Z642" s="33" t="str">
        <f t="shared" si="421"/>
        <v/>
      </c>
      <c r="AA642" s="32" t="str">
        <f t="shared" si="422"/>
        <v/>
      </c>
      <c r="AB642" s="32" t="str">
        <f t="shared" si="423"/>
        <v/>
      </c>
      <c r="AC642" s="32" t="str">
        <f t="shared" si="424"/>
        <v/>
      </c>
      <c r="AD642" s="32" t="str">
        <f t="shared" si="425"/>
        <v/>
      </c>
      <c r="AE642" s="34" t="str">
        <f t="shared" si="426"/>
        <v/>
      </c>
      <c r="AF642" s="32" t="str">
        <f t="shared" si="427"/>
        <v/>
      </c>
      <c r="AG642" s="32" t="str">
        <f t="shared" si="428"/>
        <v/>
      </c>
      <c r="AH642" s="32" t="str">
        <f t="shared" si="429"/>
        <v/>
      </c>
      <c r="AI642" s="35" t="str">
        <f t="shared" si="430"/>
        <v/>
      </c>
      <c r="AJ642" s="23" t="str">
        <f t="array" ref="AJ642">IFERROR(SMALL(IF(U$1:U$1000="BEGIN",ROW(U$1:U$1000)),ROW()-3),"")</f>
        <v/>
      </c>
      <c r="AK642" s="23" t="str">
        <f t="array" ref="AK642">IFERROR(SMALL(IF(V$1:V$1000="END",ROW(V$1:V$1000)),ROW()-3),"")</f>
        <v/>
      </c>
      <c r="AL642" s="24" t="str">
        <f t="array" ref="AL642">IF(AK642="","",MATCH(AM642,L:L,0))</f>
        <v/>
      </c>
      <c r="AM642" s="35">
        <f t="array" ref="AM642">MAX(IF((B$4:B$1000&lt;=AK642)*(B$4:B$1000&gt;=AJ642),L$4:L$1000, ""))</f>
        <v>0</v>
      </c>
      <c r="AN642" s="32" t="str">
        <f t="shared" si="437"/>
        <v/>
      </c>
      <c r="AO642" s="32" t="str">
        <f t="shared" si="438"/>
        <v/>
      </c>
      <c r="AP642" s="32" t="str">
        <f t="shared" si="439"/>
        <v/>
      </c>
      <c r="AQ642" s="32" t="str">
        <f t="shared" si="440"/>
        <v/>
      </c>
      <c r="AR642" s="32" t="str">
        <f t="shared" si="441"/>
        <v/>
      </c>
      <c r="AS642" s="32" t="str">
        <f t="shared" si="442"/>
        <v/>
      </c>
      <c r="AT642" s="32" t="str">
        <f t="shared" si="443"/>
        <v/>
      </c>
      <c r="AU642" s="34" t="str">
        <f t="shared" si="444"/>
        <v/>
      </c>
      <c r="AV642" s="32" t="str">
        <f t="shared" si="445"/>
        <v/>
      </c>
      <c r="AW642" s="32" t="str">
        <f t="shared" si="446"/>
        <v/>
      </c>
      <c r="AX642" s="32" t="str">
        <f t="shared" si="447"/>
        <v/>
      </c>
      <c r="AY642" s="32" t="str">
        <f t="shared" si="448"/>
        <v/>
      </c>
    </row>
    <row r="643" spans="1:51" x14ac:dyDescent="0.25">
      <c r="A643" s="24" t="str">
        <f t="shared" si="406"/>
        <v/>
      </c>
      <c r="B643" s="24" t="str">
        <f t="shared" si="416"/>
        <v/>
      </c>
      <c r="C643" s="32" t="str">
        <f t="shared" si="407"/>
        <v/>
      </c>
      <c r="D643" s="24" t="str">
        <f t="shared" si="408"/>
        <v/>
      </c>
      <c r="E643" s="24" t="str">
        <f t="shared" si="409"/>
        <v/>
      </c>
      <c r="F643" s="32" t="str">
        <f t="shared" si="410"/>
        <v/>
      </c>
      <c r="G643" s="32" t="str">
        <f t="shared" si="411"/>
        <v/>
      </c>
      <c r="H643" s="32" t="str">
        <f t="shared" ca="1" si="412"/>
        <v/>
      </c>
      <c r="I643" s="32" t="str">
        <f t="shared" ca="1" si="417"/>
        <v/>
      </c>
      <c r="J643" s="32" t="str">
        <f t="shared" si="413"/>
        <v/>
      </c>
      <c r="K643" s="32" t="str">
        <f>IF(ISNUMBER(A643),Profile!$V$25+Profile!$V$24*'Ri-Po'!C643,"")</f>
        <v/>
      </c>
      <c r="L643" s="32" t="str">
        <f t="shared" si="418"/>
        <v/>
      </c>
      <c r="M643" s="32" t="str">
        <f t="shared" si="414"/>
        <v/>
      </c>
      <c r="N643" s="32" t="str">
        <f t="shared" si="415"/>
        <v/>
      </c>
      <c r="O643" s="32" t="str">
        <f t="shared" si="431"/>
        <v/>
      </c>
      <c r="P643" s="32" t="str">
        <f t="shared" si="419"/>
        <v/>
      </c>
      <c r="Q643" s="32" t="str">
        <f t="shared" si="420"/>
        <v/>
      </c>
      <c r="R643" s="32" t="str">
        <f t="shared" si="432"/>
        <v/>
      </c>
      <c r="S643" s="24" t="str">
        <f t="shared" si="433"/>
        <v/>
      </c>
      <c r="T643" s="24" t="str">
        <f t="shared" si="434"/>
        <v/>
      </c>
      <c r="U643" s="24" t="str">
        <f t="shared" si="435"/>
        <v/>
      </c>
      <c r="V643" s="24" t="str">
        <f t="shared" si="436"/>
        <v/>
      </c>
      <c r="W643" s="23" t="str">
        <f t="array" ref="W643">IFERROR(SMALL(IF(S$1:S$1000="BEGIN",ROW(S$1:S$1000)),ROW()-3),"")</f>
        <v/>
      </c>
      <c r="X643" s="23" t="str">
        <f t="array" ref="X643">IFERROR(SMALL(IF(T$1:T$1000="END",ROW(T$1:T$1000)),ROW()-3),"")</f>
        <v/>
      </c>
      <c r="Y643" s="33" t="str">
        <f t="array" ref="Y643">IF(ISNUMBER(W643),MAX(IF((B$4:B$1000&lt;=X643)*(B$4:B$1000&gt;=W643),I$4:I$1000, "")),"")</f>
        <v/>
      </c>
      <c r="Z643" s="33" t="str">
        <f t="shared" si="421"/>
        <v/>
      </c>
      <c r="AA643" s="32" t="str">
        <f t="shared" si="422"/>
        <v/>
      </c>
      <c r="AB643" s="32" t="str">
        <f t="shared" si="423"/>
        <v/>
      </c>
      <c r="AC643" s="32" t="str">
        <f t="shared" si="424"/>
        <v/>
      </c>
      <c r="AD643" s="32" t="str">
        <f t="shared" si="425"/>
        <v/>
      </c>
      <c r="AE643" s="34" t="str">
        <f t="shared" si="426"/>
        <v/>
      </c>
      <c r="AF643" s="32" t="str">
        <f t="shared" si="427"/>
        <v/>
      </c>
      <c r="AG643" s="32" t="str">
        <f t="shared" si="428"/>
        <v/>
      </c>
      <c r="AH643" s="32" t="str">
        <f t="shared" si="429"/>
        <v/>
      </c>
      <c r="AI643" s="35" t="str">
        <f t="shared" si="430"/>
        <v/>
      </c>
      <c r="AJ643" s="23" t="str">
        <f t="array" ref="AJ643">IFERROR(SMALL(IF(U$1:U$1000="BEGIN",ROW(U$1:U$1000)),ROW()-3),"")</f>
        <v/>
      </c>
      <c r="AK643" s="23" t="str">
        <f t="array" ref="AK643">IFERROR(SMALL(IF(V$1:V$1000="END",ROW(V$1:V$1000)),ROW()-3),"")</f>
        <v/>
      </c>
      <c r="AL643" s="24" t="str">
        <f t="array" ref="AL643">IF(AK643="","",MATCH(AM643,L:L,0))</f>
        <v/>
      </c>
      <c r="AM643" s="35">
        <f t="array" ref="AM643">MAX(IF((B$4:B$1000&lt;=AK643)*(B$4:B$1000&gt;=AJ643),L$4:L$1000, ""))</f>
        <v>0</v>
      </c>
      <c r="AN643" s="32" t="str">
        <f t="shared" si="437"/>
        <v/>
      </c>
      <c r="AO643" s="32" t="str">
        <f t="shared" si="438"/>
        <v/>
      </c>
      <c r="AP643" s="32" t="str">
        <f t="shared" si="439"/>
        <v/>
      </c>
      <c r="AQ643" s="32" t="str">
        <f t="shared" si="440"/>
        <v/>
      </c>
      <c r="AR643" s="32" t="str">
        <f t="shared" si="441"/>
        <v/>
      </c>
      <c r="AS643" s="32" t="str">
        <f t="shared" si="442"/>
        <v/>
      </c>
      <c r="AT643" s="32" t="str">
        <f t="shared" si="443"/>
        <v/>
      </c>
      <c r="AU643" s="34" t="str">
        <f t="shared" si="444"/>
        <v/>
      </c>
      <c r="AV643" s="32" t="str">
        <f t="shared" si="445"/>
        <v/>
      </c>
      <c r="AW643" s="32" t="str">
        <f t="shared" si="446"/>
        <v/>
      </c>
      <c r="AX643" s="32" t="str">
        <f t="shared" si="447"/>
        <v/>
      </c>
      <c r="AY643" s="32" t="str">
        <f t="shared" si="448"/>
        <v/>
      </c>
    </row>
    <row r="644" spans="1:51" x14ac:dyDescent="0.25">
      <c r="A644" s="24" t="str">
        <f t="shared" ref="A644:A707" si="449">IF(NOT(ISBLANK(INDEX(currentNUM,ROW(A641)))),INDEX(currentNUM,ROW(A641)),"")</f>
        <v/>
      </c>
      <c r="B644" s="24" t="str">
        <f t="shared" si="416"/>
        <v/>
      </c>
      <c r="C644" s="32" t="str">
        <f t="shared" ref="C644:C707" si="450">IF(NOT(A644=""),INDEX(currentSTATION,ROW(C641)),"")</f>
        <v/>
      </c>
      <c r="D644" s="24" t="str">
        <f t="shared" ref="D644:D707" si="451">IF(NOT(ISBLANK(INDEX(currentDESC,ROW(D641)))),INDEX(currentDESC,ROW(D641)),"")</f>
        <v/>
      </c>
      <c r="E644" s="24" t="str">
        <f t="shared" ref="E644:E707" si="452">IF(NOT(ISBLANK(INDEX(currentCMORPH,ROW(E641)))),INDEX(currentCMORPH,ROW(E641)),"")</f>
        <v/>
      </c>
      <c r="F644" s="32" t="str">
        <f t="shared" ref="F644:F707" si="453">IF(NOT(ISBLANK(INDEX(currentTHW,ROW(F641)))),INDEX(currentTHW,ROW(F641)),"")</f>
        <v/>
      </c>
      <c r="G644" s="32" t="str">
        <f t="shared" ref="G644:G707" si="454">IF(NOT(ISBLANK(INDEX(currentWS,ROW(G641)))),INDEX(currentWS,ROW(G641)),"")</f>
        <v/>
      </c>
      <c r="H644" s="32" t="str">
        <f t="shared" ref="H644:H707" ca="1" si="455">IF(NOT(OR(ISBLANK(INDEX(currentINTERPWS,ROW(H641))),INDEX(currentINTERPWS,ROW(H641))=0)),INDEX(currentINTERPWS,ROW(H641)),"")</f>
        <v/>
      </c>
      <c r="I644" s="32" t="str">
        <f t="shared" ca="1" si="417"/>
        <v/>
      </c>
      <c r="J644" s="32" t="str">
        <f t="shared" ref="J644:J707" si="456">IF(NOT(ISBLANK(INDEX(currentBKF,ROW(G641)))),INDEX(currentBKF,ROW(G641)),"")</f>
        <v/>
      </c>
      <c r="K644" s="32" t="str">
        <f>IF(ISNUMBER(A644),Profile!$V$25+Profile!$V$24*'Ri-Po'!C644,"")</f>
        <v/>
      </c>
      <c r="L644" s="32" t="str">
        <f t="shared" si="418"/>
        <v/>
      </c>
      <c r="M644" s="32" t="str">
        <f t="shared" ref="M644:M707" si="457">IF(NOT(ISBLANK(INDEX(currentTOB,ROW(H641)))),INDEX(currentTOB,ROW(H641)),"")</f>
        <v/>
      </c>
      <c r="N644" s="32" t="str">
        <f t="shared" ref="N644:N707" si="458">IF(ISNUMBER(A644),INDEX(currentINTTOB,ROW(I641)),"")</f>
        <v/>
      </c>
      <c r="O644" s="32" t="str">
        <f t="shared" si="431"/>
        <v/>
      </c>
      <c r="P644" s="32" t="str">
        <f t="shared" si="419"/>
        <v/>
      </c>
      <c r="Q644" s="32" t="str">
        <f t="shared" si="420"/>
        <v/>
      </c>
      <c r="R644" s="32" t="str">
        <f t="shared" si="432"/>
        <v/>
      </c>
      <c r="S644" s="24" t="str">
        <f t="shared" si="433"/>
        <v/>
      </c>
      <c r="T644" s="24" t="str">
        <f t="shared" si="434"/>
        <v/>
      </c>
      <c r="U644" s="24" t="str">
        <f t="shared" si="435"/>
        <v/>
      </c>
      <c r="V644" s="24" t="str">
        <f t="shared" si="436"/>
        <v/>
      </c>
      <c r="W644" s="23" t="str">
        <f t="array" ref="W644">IFERROR(SMALL(IF(S$1:S$1000="BEGIN",ROW(S$1:S$1000)),ROW()-3),"")</f>
        <v/>
      </c>
      <c r="X644" s="23" t="str">
        <f t="array" ref="X644">IFERROR(SMALL(IF(T$1:T$1000="END",ROW(T$1:T$1000)),ROW()-3),"")</f>
        <v/>
      </c>
      <c r="Y644" s="33" t="str">
        <f t="array" ref="Y644">IF(ISNUMBER(W644),MAX(IF((B$4:B$1000&lt;=X644)*(B$4:B$1000&gt;=W644),I$4:I$1000, "")),"")</f>
        <v/>
      </c>
      <c r="Z644" s="33" t="str">
        <f t="shared" si="421"/>
        <v/>
      </c>
      <c r="AA644" s="32" t="str">
        <f t="shared" si="422"/>
        <v/>
      </c>
      <c r="AB644" s="32" t="str">
        <f t="shared" si="423"/>
        <v/>
      </c>
      <c r="AC644" s="32" t="str">
        <f t="shared" si="424"/>
        <v/>
      </c>
      <c r="AD644" s="32" t="str">
        <f t="shared" si="425"/>
        <v/>
      </c>
      <c r="AE644" s="34" t="str">
        <f t="shared" si="426"/>
        <v/>
      </c>
      <c r="AF644" s="32" t="str">
        <f t="shared" si="427"/>
        <v/>
      </c>
      <c r="AG644" s="32" t="str">
        <f t="shared" si="428"/>
        <v/>
      </c>
      <c r="AH644" s="32" t="str">
        <f t="shared" si="429"/>
        <v/>
      </c>
      <c r="AI644" s="35" t="str">
        <f t="shared" si="430"/>
        <v/>
      </c>
      <c r="AJ644" s="23" t="str">
        <f t="array" ref="AJ644">IFERROR(SMALL(IF(U$1:U$1000="BEGIN",ROW(U$1:U$1000)),ROW()-3),"")</f>
        <v/>
      </c>
      <c r="AK644" s="23" t="str">
        <f t="array" ref="AK644">IFERROR(SMALL(IF(V$1:V$1000="END",ROW(V$1:V$1000)),ROW()-3),"")</f>
        <v/>
      </c>
      <c r="AL644" s="24" t="str">
        <f t="array" ref="AL644">IF(AK644="","",MATCH(AM644,L:L,0))</f>
        <v/>
      </c>
      <c r="AM644" s="35">
        <f t="array" ref="AM644">MAX(IF((B$4:B$1000&lt;=AK644)*(B$4:B$1000&gt;=AJ644),L$4:L$1000, ""))</f>
        <v>0</v>
      </c>
      <c r="AN644" s="32" t="str">
        <f t="shared" si="437"/>
        <v/>
      </c>
      <c r="AO644" s="32" t="str">
        <f t="shared" si="438"/>
        <v/>
      </c>
      <c r="AP644" s="32" t="str">
        <f t="shared" si="439"/>
        <v/>
      </c>
      <c r="AQ644" s="32" t="str">
        <f t="shared" si="440"/>
        <v/>
      </c>
      <c r="AR644" s="32" t="str">
        <f t="shared" si="441"/>
        <v/>
      </c>
      <c r="AS644" s="32" t="str">
        <f t="shared" si="442"/>
        <v/>
      </c>
      <c r="AT644" s="32" t="str">
        <f t="shared" si="443"/>
        <v/>
      </c>
      <c r="AU644" s="34" t="str">
        <f t="shared" si="444"/>
        <v/>
      </c>
      <c r="AV644" s="32" t="str">
        <f t="shared" si="445"/>
        <v/>
      </c>
      <c r="AW644" s="32" t="str">
        <f t="shared" si="446"/>
        <v/>
      </c>
      <c r="AX644" s="32" t="str">
        <f t="shared" si="447"/>
        <v/>
      </c>
      <c r="AY644" s="32" t="str">
        <f t="shared" si="448"/>
        <v/>
      </c>
    </row>
    <row r="645" spans="1:51" x14ac:dyDescent="0.25">
      <c r="A645" s="24" t="str">
        <f t="shared" si="449"/>
        <v/>
      </c>
      <c r="B645" s="24" t="str">
        <f t="shared" ref="B645:B708" si="459">IF(NOT(A645=""),ROW(B645),"")</f>
        <v/>
      </c>
      <c r="C645" s="32" t="str">
        <f t="shared" si="450"/>
        <v/>
      </c>
      <c r="D645" s="24" t="str">
        <f t="shared" si="451"/>
        <v/>
      </c>
      <c r="E645" s="24" t="str">
        <f t="shared" si="452"/>
        <v/>
      </c>
      <c r="F645" s="32" t="str">
        <f t="shared" si="453"/>
        <v/>
      </c>
      <c r="G645" s="32" t="str">
        <f t="shared" si="454"/>
        <v/>
      </c>
      <c r="H645" s="32" t="str">
        <f t="shared" ca="1" si="455"/>
        <v/>
      </c>
      <c r="I645" s="32" t="str">
        <f t="shared" ref="I645:I708" ca="1" si="460">IFERROR(IF(H645-F645&gt;=0,H645-F645,"NEG"),"")</f>
        <v/>
      </c>
      <c r="J645" s="32" t="str">
        <f t="shared" si="456"/>
        <v/>
      </c>
      <c r="K645" s="32" t="str">
        <f>IF(ISNUMBER(A645),Profile!$V$25+Profile!$V$24*'Ri-Po'!C645,"")</f>
        <v/>
      </c>
      <c r="L645" s="32" t="str">
        <f t="shared" ref="L645:L708" si="461">IFERROR(K645-F645,"")</f>
        <v/>
      </c>
      <c r="M645" s="32" t="str">
        <f t="shared" si="457"/>
        <v/>
      </c>
      <c r="N645" s="32" t="str">
        <f t="shared" si="458"/>
        <v/>
      </c>
      <c r="O645" s="32" t="str">
        <f t="shared" si="431"/>
        <v/>
      </c>
      <c r="P645" s="32" t="str">
        <f t="shared" ref="P645:P708" si="462">IF(ISNUMBER(A645),K645-F645,"")</f>
        <v/>
      </c>
      <c r="Q645" s="32" t="str">
        <f t="shared" ref="Q645:Q708" si="463">IF(ISNUMBER(A645),N645-F645,"")</f>
        <v/>
      </c>
      <c r="R645" s="32" t="str">
        <f t="shared" si="432"/>
        <v/>
      </c>
      <c r="S645" s="24" t="str">
        <f t="shared" si="433"/>
        <v/>
      </c>
      <c r="T645" s="24" t="str">
        <f t="shared" si="434"/>
        <v/>
      </c>
      <c r="U645" s="24" t="str">
        <f t="shared" si="435"/>
        <v/>
      </c>
      <c r="V645" s="24" t="str">
        <f t="shared" si="436"/>
        <v/>
      </c>
      <c r="W645" s="23" t="str">
        <f t="array" ref="W645">IFERROR(SMALL(IF(S$1:S$1000="BEGIN",ROW(S$1:S$1000)),ROW()-3),"")</f>
        <v/>
      </c>
      <c r="X645" s="23" t="str">
        <f t="array" ref="X645">IFERROR(SMALL(IF(T$1:T$1000="END",ROW(T$1:T$1000)),ROW()-3),"")</f>
        <v/>
      </c>
      <c r="Y645" s="33" t="str">
        <f t="array" ref="Y645">IF(ISNUMBER(W645),MAX(IF((B$4:B$1000&lt;=X645)*(B$4:B$1000&gt;=W645),I$4:I$1000, "")),"")</f>
        <v/>
      </c>
      <c r="Z645" s="33" t="str">
        <f t="shared" ref="Z645:Z708" si="464">IFERROR(INDEX(C:C,W645),"")</f>
        <v/>
      </c>
      <c r="AA645" s="32" t="str">
        <f t="shared" ref="AA645:AA708" si="465">IFERROR(INDEX(C:C,X645),"")</f>
        <v/>
      </c>
      <c r="AB645" s="32" t="str">
        <f t="shared" ref="AB645:AB708" si="466">IFERROR(AA645-Z645,"")</f>
        <v/>
      </c>
      <c r="AC645" s="32" t="str">
        <f t="shared" ref="AC645:AC708" si="467">IFERROR(INDEX(H:H,W645),"")</f>
        <v/>
      </c>
      <c r="AD645" s="32" t="str">
        <f t="shared" ref="AD645:AD708" si="468">IFERROR(INDEX(H:H,X645),"")</f>
        <v/>
      </c>
      <c r="AE645" s="34" t="str">
        <f t="shared" ref="AE645:AE708" si="469">IFERROR((AC645-AD645)/(AB645),"")</f>
        <v/>
      </c>
      <c r="AF645" s="32" t="str">
        <f t="shared" ref="AF645:AF708" si="470">IF(ISNUMBER(Z645),INDEX($Q$1:$Q$1000,W645),"")</f>
        <v/>
      </c>
      <c r="AG645" s="32" t="str">
        <f t="shared" ref="AG645:AG708" si="471">IF(ISNUMBER(Z645),INDEX($P$1:$P$1000,W645),"")</f>
        <v/>
      </c>
      <c r="AH645" s="32" t="str">
        <f t="shared" ref="AH645:AH708" si="472">IF(ISNUMBER(Z645),AF645/AG645,"")</f>
        <v/>
      </c>
      <c r="AI645" s="35" t="str">
        <f t="shared" ref="AI645:AI708" si="473">IFERROR(AE645/BB$19,"")</f>
        <v/>
      </c>
      <c r="AJ645" s="23" t="str">
        <f t="array" ref="AJ645">IFERROR(SMALL(IF(U$1:U$1000="BEGIN",ROW(U$1:U$1000)),ROW()-3),"")</f>
        <v/>
      </c>
      <c r="AK645" s="23" t="str">
        <f t="array" ref="AK645">IFERROR(SMALL(IF(V$1:V$1000="END",ROW(V$1:V$1000)),ROW()-3),"")</f>
        <v/>
      </c>
      <c r="AL645" s="24" t="str">
        <f t="array" ref="AL645">IF(AK645="","",MATCH(AM645,L:L,0))</f>
        <v/>
      </c>
      <c r="AM645" s="35">
        <f t="array" ref="AM645">MAX(IF((B$4:B$1000&lt;=AK645)*(B$4:B$1000&gt;=AJ645),L$4:L$1000, ""))</f>
        <v>0</v>
      </c>
      <c r="AN645" s="32" t="str">
        <f t="shared" si="437"/>
        <v/>
      </c>
      <c r="AO645" s="32" t="str">
        <f t="shared" si="438"/>
        <v/>
      </c>
      <c r="AP645" s="32" t="str">
        <f t="shared" si="439"/>
        <v/>
      </c>
      <c r="AQ645" s="32" t="str">
        <f t="shared" si="440"/>
        <v/>
      </c>
      <c r="AR645" s="32" t="str">
        <f t="shared" si="441"/>
        <v/>
      </c>
      <c r="AS645" s="32" t="str">
        <f t="shared" si="442"/>
        <v/>
      </c>
      <c r="AT645" s="32" t="str">
        <f t="shared" si="443"/>
        <v/>
      </c>
      <c r="AU645" s="34" t="str">
        <f t="shared" si="444"/>
        <v/>
      </c>
      <c r="AV645" s="32" t="str">
        <f t="shared" si="445"/>
        <v/>
      </c>
      <c r="AW645" s="32" t="str">
        <f t="shared" si="446"/>
        <v/>
      </c>
      <c r="AX645" s="32" t="str">
        <f t="shared" si="447"/>
        <v/>
      </c>
      <c r="AY645" s="32" t="str">
        <f t="shared" si="448"/>
        <v/>
      </c>
    </row>
    <row r="646" spans="1:51" x14ac:dyDescent="0.25">
      <c r="A646" s="24" t="str">
        <f t="shared" si="449"/>
        <v/>
      </c>
      <c r="B646" s="24" t="str">
        <f t="shared" si="459"/>
        <v/>
      </c>
      <c r="C646" s="32" t="str">
        <f t="shared" si="450"/>
        <v/>
      </c>
      <c r="D646" s="24" t="str">
        <f t="shared" si="451"/>
        <v/>
      </c>
      <c r="E646" s="24" t="str">
        <f t="shared" si="452"/>
        <v/>
      </c>
      <c r="F646" s="32" t="str">
        <f t="shared" si="453"/>
        <v/>
      </c>
      <c r="G646" s="32" t="str">
        <f t="shared" si="454"/>
        <v/>
      </c>
      <c r="H646" s="32" t="str">
        <f t="shared" ca="1" si="455"/>
        <v/>
      </c>
      <c r="I646" s="32" t="str">
        <f t="shared" ca="1" si="460"/>
        <v/>
      </c>
      <c r="J646" s="32" t="str">
        <f t="shared" si="456"/>
        <v/>
      </c>
      <c r="K646" s="32" t="str">
        <f>IF(ISNUMBER(A646),Profile!$V$25+Profile!$V$24*'Ri-Po'!C646,"")</f>
        <v/>
      </c>
      <c r="L646" s="32" t="str">
        <f t="shared" si="461"/>
        <v/>
      </c>
      <c r="M646" s="32" t="str">
        <f t="shared" si="457"/>
        <v/>
      </c>
      <c r="N646" s="32" t="str">
        <f t="shared" si="458"/>
        <v/>
      </c>
      <c r="O646" s="32" t="str">
        <f t="shared" ref="O646:O709" si="474">IF(AND(ISNUMBER(G646),ISNUMBER(J646)),J646-G646,"")</f>
        <v/>
      </c>
      <c r="P646" s="32" t="str">
        <f t="shared" si="462"/>
        <v/>
      </c>
      <c r="Q646" s="32" t="str">
        <f t="shared" si="463"/>
        <v/>
      </c>
      <c r="R646" s="32" t="str">
        <f t="shared" ref="R646:R709" si="475">IF(ISNUMBER(Q646),Q646/P646,"")</f>
        <v/>
      </c>
      <c r="S646" s="24" t="str">
        <f t="shared" ref="S646:S709" si="476">IF(ISNUMBER(SEARCH("bri",E646)),"BEGIN","")</f>
        <v/>
      </c>
      <c r="T646" s="24" t="str">
        <f t="shared" ref="T646:T709" si="477">IF(ISNUMBER(SEARCH("eri",E646)),"END","")</f>
        <v/>
      </c>
      <c r="U646" s="24" t="str">
        <f t="shared" ref="U646:U709" si="478">IF(ISNUMBER(SEARCH("bpo",E646)),"BEGIN","")</f>
        <v/>
      </c>
      <c r="V646" s="24" t="str">
        <f t="shared" ref="V646:V709" si="479">IF(ISNUMBER(SEARCH("epo",E646)),"END","")</f>
        <v/>
      </c>
      <c r="W646" s="23" t="str">
        <f t="array" ref="W646">IFERROR(SMALL(IF(S$1:S$1000="BEGIN",ROW(S$1:S$1000)),ROW()-3),"")</f>
        <v/>
      </c>
      <c r="X646" s="23" t="str">
        <f t="array" ref="X646">IFERROR(SMALL(IF(T$1:T$1000="END",ROW(T$1:T$1000)),ROW()-3),"")</f>
        <v/>
      </c>
      <c r="Y646" s="33" t="str">
        <f t="array" ref="Y646">IF(ISNUMBER(W646),MAX(IF((B$4:B$1000&lt;=X646)*(B$4:B$1000&gt;=W646),I$4:I$1000, "")),"")</f>
        <v/>
      </c>
      <c r="Z646" s="33" t="str">
        <f t="shared" si="464"/>
        <v/>
      </c>
      <c r="AA646" s="32" t="str">
        <f t="shared" si="465"/>
        <v/>
      </c>
      <c r="AB646" s="32" t="str">
        <f t="shared" si="466"/>
        <v/>
      </c>
      <c r="AC646" s="32" t="str">
        <f t="shared" si="467"/>
        <v/>
      </c>
      <c r="AD646" s="32" t="str">
        <f t="shared" si="468"/>
        <v/>
      </c>
      <c r="AE646" s="34" t="str">
        <f t="shared" si="469"/>
        <v/>
      </c>
      <c r="AF646" s="32" t="str">
        <f t="shared" si="470"/>
        <v/>
      </c>
      <c r="AG646" s="32" t="str">
        <f t="shared" si="471"/>
        <v/>
      </c>
      <c r="AH646" s="32" t="str">
        <f t="shared" si="472"/>
        <v/>
      </c>
      <c r="AI646" s="35" t="str">
        <f t="shared" si="473"/>
        <v/>
      </c>
      <c r="AJ646" s="23" t="str">
        <f t="array" ref="AJ646">IFERROR(SMALL(IF(U$1:U$1000="BEGIN",ROW(U$1:U$1000)),ROW()-3),"")</f>
        <v/>
      </c>
      <c r="AK646" s="23" t="str">
        <f t="array" ref="AK646">IFERROR(SMALL(IF(V$1:V$1000="END",ROW(V$1:V$1000)),ROW()-3),"")</f>
        <v/>
      </c>
      <c r="AL646" s="24" t="str">
        <f t="array" ref="AL646">IF(AK646="","",MATCH(AM646,L:L,0))</f>
        <v/>
      </c>
      <c r="AM646" s="35">
        <f t="array" ref="AM646">MAX(IF((B$4:B$1000&lt;=AK646)*(B$4:B$1000&gt;=AJ646),L$4:L$1000, ""))</f>
        <v>0</v>
      </c>
      <c r="AN646" s="32" t="str">
        <f t="shared" si="437"/>
        <v/>
      </c>
      <c r="AO646" s="32" t="str">
        <f t="shared" si="438"/>
        <v/>
      </c>
      <c r="AP646" s="32" t="str">
        <f t="shared" si="439"/>
        <v/>
      </c>
      <c r="AQ646" s="32" t="str">
        <f t="shared" si="440"/>
        <v/>
      </c>
      <c r="AR646" s="32" t="str">
        <f t="shared" si="441"/>
        <v/>
      </c>
      <c r="AS646" s="32" t="str">
        <f t="shared" si="442"/>
        <v/>
      </c>
      <c r="AT646" s="32" t="str">
        <f t="shared" si="443"/>
        <v/>
      </c>
      <c r="AU646" s="34" t="str">
        <f t="shared" si="444"/>
        <v/>
      </c>
      <c r="AV646" s="32" t="str">
        <f t="shared" si="445"/>
        <v/>
      </c>
      <c r="AW646" s="32" t="str">
        <f t="shared" si="446"/>
        <v/>
      </c>
      <c r="AX646" s="32" t="str">
        <f t="shared" si="447"/>
        <v/>
      </c>
      <c r="AY646" s="32" t="str">
        <f t="shared" si="448"/>
        <v/>
      </c>
    </row>
    <row r="647" spans="1:51" x14ac:dyDescent="0.25">
      <c r="A647" s="24" t="str">
        <f t="shared" si="449"/>
        <v/>
      </c>
      <c r="B647" s="24" t="str">
        <f t="shared" si="459"/>
        <v/>
      </c>
      <c r="C647" s="32" t="str">
        <f t="shared" si="450"/>
        <v/>
      </c>
      <c r="D647" s="24" t="str">
        <f t="shared" si="451"/>
        <v/>
      </c>
      <c r="E647" s="24" t="str">
        <f t="shared" si="452"/>
        <v/>
      </c>
      <c r="F647" s="32" t="str">
        <f t="shared" si="453"/>
        <v/>
      </c>
      <c r="G647" s="32" t="str">
        <f t="shared" si="454"/>
        <v/>
      </c>
      <c r="H647" s="32" t="str">
        <f t="shared" ca="1" si="455"/>
        <v/>
      </c>
      <c r="I647" s="32" t="str">
        <f t="shared" ca="1" si="460"/>
        <v/>
      </c>
      <c r="J647" s="32" t="str">
        <f t="shared" si="456"/>
        <v/>
      </c>
      <c r="K647" s="32" t="str">
        <f>IF(ISNUMBER(A647),Profile!$V$25+Profile!$V$24*'Ri-Po'!C647,"")</f>
        <v/>
      </c>
      <c r="L647" s="32" t="str">
        <f t="shared" si="461"/>
        <v/>
      </c>
      <c r="M647" s="32" t="str">
        <f t="shared" si="457"/>
        <v/>
      </c>
      <c r="N647" s="32" t="str">
        <f t="shared" si="458"/>
        <v/>
      </c>
      <c r="O647" s="32" t="str">
        <f t="shared" si="474"/>
        <v/>
      </c>
      <c r="P647" s="32" t="str">
        <f t="shared" si="462"/>
        <v/>
      </c>
      <c r="Q647" s="32" t="str">
        <f t="shared" si="463"/>
        <v/>
      </c>
      <c r="R647" s="32" t="str">
        <f t="shared" si="475"/>
        <v/>
      </c>
      <c r="S647" s="24" t="str">
        <f t="shared" si="476"/>
        <v/>
      </c>
      <c r="T647" s="24" t="str">
        <f t="shared" si="477"/>
        <v/>
      </c>
      <c r="U647" s="24" t="str">
        <f t="shared" si="478"/>
        <v/>
      </c>
      <c r="V647" s="24" t="str">
        <f t="shared" si="479"/>
        <v/>
      </c>
      <c r="W647" s="23" t="str">
        <f t="array" ref="W647">IFERROR(SMALL(IF(S$1:S$1000="BEGIN",ROW(S$1:S$1000)),ROW()-3),"")</f>
        <v/>
      </c>
      <c r="X647" s="23" t="str">
        <f t="array" ref="X647">IFERROR(SMALL(IF(T$1:T$1000="END",ROW(T$1:T$1000)),ROW()-3),"")</f>
        <v/>
      </c>
      <c r="Y647" s="33" t="str">
        <f t="array" ref="Y647">IF(ISNUMBER(W647),MAX(IF((B$4:B$1000&lt;=X647)*(B$4:B$1000&gt;=W647),I$4:I$1000, "")),"")</f>
        <v/>
      </c>
      <c r="Z647" s="33" t="str">
        <f t="shared" si="464"/>
        <v/>
      </c>
      <c r="AA647" s="32" t="str">
        <f t="shared" si="465"/>
        <v/>
      </c>
      <c r="AB647" s="32" t="str">
        <f t="shared" si="466"/>
        <v/>
      </c>
      <c r="AC647" s="32" t="str">
        <f t="shared" si="467"/>
        <v/>
      </c>
      <c r="AD647" s="32" t="str">
        <f t="shared" si="468"/>
        <v/>
      </c>
      <c r="AE647" s="34" t="str">
        <f t="shared" si="469"/>
        <v/>
      </c>
      <c r="AF647" s="32" t="str">
        <f t="shared" si="470"/>
        <v/>
      </c>
      <c r="AG647" s="32" t="str">
        <f t="shared" si="471"/>
        <v/>
      </c>
      <c r="AH647" s="32" t="str">
        <f t="shared" si="472"/>
        <v/>
      </c>
      <c r="AI647" s="35" t="str">
        <f t="shared" si="473"/>
        <v/>
      </c>
      <c r="AJ647" s="23" t="str">
        <f t="array" ref="AJ647">IFERROR(SMALL(IF(U$1:U$1000="BEGIN",ROW(U$1:U$1000)),ROW()-3),"")</f>
        <v/>
      </c>
      <c r="AK647" s="23" t="str">
        <f t="array" ref="AK647">IFERROR(SMALL(IF(V$1:V$1000="END",ROW(V$1:V$1000)),ROW()-3),"")</f>
        <v/>
      </c>
      <c r="AL647" s="24" t="str">
        <f t="array" ref="AL647">IF(AK647="","",MATCH(AM647,L:L,0))</f>
        <v/>
      </c>
      <c r="AM647" s="35">
        <f t="array" ref="AM647">MAX(IF((B$4:B$1000&lt;=AK647)*(B$4:B$1000&gt;=AJ647),L$4:L$1000, ""))</f>
        <v>0</v>
      </c>
      <c r="AN647" s="32" t="str">
        <f t="shared" si="437"/>
        <v/>
      </c>
      <c r="AO647" s="32" t="str">
        <f t="shared" si="438"/>
        <v/>
      </c>
      <c r="AP647" s="32" t="str">
        <f t="shared" si="439"/>
        <v/>
      </c>
      <c r="AQ647" s="32" t="str">
        <f t="shared" si="440"/>
        <v/>
      </c>
      <c r="AR647" s="32" t="str">
        <f t="shared" si="441"/>
        <v/>
      </c>
      <c r="AS647" s="32" t="str">
        <f t="shared" si="442"/>
        <v/>
      </c>
      <c r="AT647" s="32" t="str">
        <f t="shared" si="443"/>
        <v/>
      </c>
      <c r="AU647" s="34" t="str">
        <f t="shared" si="444"/>
        <v/>
      </c>
      <c r="AV647" s="32" t="str">
        <f t="shared" si="445"/>
        <v/>
      </c>
      <c r="AW647" s="32" t="str">
        <f t="shared" si="446"/>
        <v/>
      </c>
      <c r="AX647" s="32" t="str">
        <f t="shared" si="447"/>
        <v/>
      </c>
      <c r="AY647" s="32" t="str">
        <f t="shared" si="448"/>
        <v/>
      </c>
    </row>
    <row r="648" spans="1:51" x14ac:dyDescent="0.25">
      <c r="A648" s="24" t="str">
        <f t="shared" si="449"/>
        <v/>
      </c>
      <c r="B648" s="24" t="str">
        <f t="shared" si="459"/>
        <v/>
      </c>
      <c r="C648" s="32" t="str">
        <f t="shared" si="450"/>
        <v/>
      </c>
      <c r="D648" s="24" t="str">
        <f t="shared" si="451"/>
        <v/>
      </c>
      <c r="E648" s="24" t="str">
        <f t="shared" si="452"/>
        <v/>
      </c>
      <c r="F648" s="32" t="str">
        <f t="shared" si="453"/>
        <v/>
      </c>
      <c r="G648" s="32" t="str">
        <f t="shared" si="454"/>
        <v/>
      </c>
      <c r="H648" s="32" t="str">
        <f t="shared" ca="1" si="455"/>
        <v/>
      </c>
      <c r="I648" s="32" t="str">
        <f t="shared" ca="1" si="460"/>
        <v/>
      </c>
      <c r="J648" s="32" t="str">
        <f t="shared" si="456"/>
        <v/>
      </c>
      <c r="K648" s="32" t="str">
        <f>IF(ISNUMBER(A648),Profile!$V$25+Profile!$V$24*'Ri-Po'!C648,"")</f>
        <v/>
      </c>
      <c r="L648" s="32" t="str">
        <f t="shared" si="461"/>
        <v/>
      </c>
      <c r="M648" s="32" t="str">
        <f t="shared" si="457"/>
        <v/>
      </c>
      <c r="N648" s="32" t="str">
        <f t="shared" si="458"/>
        <v/>
      </c>
      <c r="O648" s="32" t="str">
        <f t="shared" si="474"/>
        <v/>
      </c>
      <c r="P648" s="32" t="str">
        <f t="shared" si="462"/>
        <v/>
      </c>
      <c r="Q648" s="32" t="str">
        <f t="shared" si="463"/>
        <v/>
      </c>
      <c r="R648" s="32" t="str">
        <f t="shared" si="475"/>
        <v/>
      </c>
      <c r="S648" s="24" t="str">
        <f t="shared" si="476"/>
        <v/>
      </c>
      <c r="T648" s="24" t="str">
        <f t="shared" si="477"/>
        <v/>
      </c>
      <c r="U648" s="24" t="str">
        <f t="shared" si="478"/>
        <v/>
      </c>
      <c r="V648" s="24" t="str">
        <f t="shared" si="479"/>
        <v/>
      </c>
      <c r="W648" s="23" t="str">
        <f t="array" ref="W648">IFERROR(SMALL(IF(S$1:S$1000="BEGIN",ROW(S$1:S$1000)),ROW()-3),"")</f>
        <v/>
      </c>
      <c r="X648" s="23" t="str">
        <f t="array" ref="X648">IFERROR(SMALL(IF(T$1:T$1000="END",ROW(T$1:T$1000)),ROW()-3),"")</f>
        <v/>
      </c>
      <c r="Y648" s="33" t="str">
        <f t="array" ref="Y648">IF(ISNUMBER(W648),MAX(IF((B$4:B$1000&lt;=X648)*(B$4:B$1000&gt;=W648),I$4:I$1000, "")),"")</f>
        <v/>
      </c>
      <c r="Z648" s="33" t="str">
        <f t="shared" si="464"/>
        <v/>
      </c>
      <c r="AA648" s="32" t="str">
        <f t="shared" si="465"/>
        <v/>
      </c>
      <c r="AB648" s="32" t="str">
        <f t="shared" si="466"/>
        <v/>
      </c>
      <c r="AC648" s="32" t="str">
        <f t="shared" si="467"/>
        <v/>
      </c>
      <c r="AD648" s="32" t="str">
        <f t="shared" si="468"/>
        <v/>
      </c>
      <c r="AE648" s="34" t="str">
        <f t="shared" si="469"/>
        <v/>
      </c>
      <c r="AF648" s="32" t="str">
        <f t="shared" si="470"/>
        <v/>
      </c>
      <c r="AG648" s="32" t="str">
        <f t="shared" si="471"/>
        <v/>
      </c>
      <c r="AH648" s="32" t="str">
        <f t="shared" si="472"/>
        <v/>
      </c>
      <c r="AI648" s="35" t="str">
        <f t="shared" si="473"/>
        <v/>
      </c>
      <c r="AJ648" s="23" t="str">
        <f t="array" ref="AJ648">IFERROR(SMALL(IF(U$1:U$1000="BEGIN",ROW(U$1:U$1000)),ROW()-3),"")</f>
        <v/>
      </c>
      <c r="AK648" s="23" t="str">
        <f t="array" ref="AK648">IFERROR(SMALL(IF(V$1:V$1000="END",ROW(V$1:V$1000)),ROW()-3),"")</f>
        <v/>
      </c>
      <c r="AL648" s="24" t="str">
        <f t="array" ref="AL648">IF(AK648="","",MATCH(AM648,L:L,0))</f>
        <v/>
      </c>
      <c r="AM648" s="35">
        <f t="array" ref="AM648">MAX(IF((B$4:B$1000&lt;=AK648)*(B$4:B$1000&gt;=AJ648),L$4:L$1000, ""))</f>
        <v>0</v>
      </c>
      <c r="AN648" s="32" t="str">
        <f t="shared" si="437"/>
        <v/>
      </c>
      <c r="AO648" s="32" t="str">
        <f t="shared" si="438"/>
        <v/>
      </c>
      <c r="AP648" s="32" t="str">
        <f t="shared" si="439"/>
        <v/>
      </c>
      <c r="AQ648" s="32" t="str">
        <f t="shared" si="440"/>
        <v/>
      </c>
      <c r="AR648" s="32" t="str">
        <f t="shared" si="441"/>
        <v/>
      </c>
      <c r="AS648" s="32" t="str">
        <f t="shared" si="442"/>
        <v/>
      </c>
      <c r="AT648" s="32" t="str">
        <f t="shared" si="443"/>
        <v/>
      </c>
      <c r="AU648" s="34" t="str">
        <f t="shared" si="444"/>
        <v/>
      </c>
      <c r="AV648" s="32" t="str">
        <f t="shared" si="445"/>
        <v/>
      </c>
      <c r="AW648" s="32" t="str">
        <f t="shared" si="446"/>
        <v/>
      </c>
      <c r="AX648" s="32" t="str">
        <f t="shared" si="447"/>
        <v/>
      </c>
      <c r="AY648" s="32" t="str">
        <f t="shared" si="448"/>
        <v/>
      </c>
    </row>
    <row r="649" spans="1:51" x14ac:dyDescent="0.25">
      <c r="A649" s="24" t="str">
        <f t="shared" si="449"/>
        <v/>
      </c>
      <c r="B649" s="24" t="str">
        <f t="shared" si="459"/>
        <v/>
      </c>
      <c r="C649" s="32" t="str">
        <f t="shared" si="450"/>
        <v/>
      </c>
      <c r="D649" s="24" t="str">
        <f t="shared" si="451"/>
        <v/>
      </c>
      <c r="E649" s="24" t="str">
        <f t="shared" si="452"/>
        <v/>
      </c>
      <c r="F649" s="32" t="str">
        <f t="shared" si="453"/>
        <v/>
      </c>
      <c r="G649" s="32" t="str">
        <f t="shared" si="454"/>
        <v/>
      </c>
      <c r="H649" s="32" t="str">
        <f t="shared" ca="1" si="455"/>
        <v/>
      </c>
      <c r="I649" s="32" t="str">
        <f t="shared" ca="1" si="460"/>
        <v/>
      </c>
      <c r="J649" s="32" t="str">
        <f t="shared" si="456"/>
        <v/>
      </c>
      <c r="K649" s="32" t="str">
        <f>IF(ISNUMBER(A649),Profile!$V$25+Profile!$V$24*'Ri-Po'!C649,"")</f>
        <v/>
      </c>
      <c r="L649" s="32" t="str">
        <f t="shared" si="461"/>
        <v/>
      </c>
      <c r="M649" s="32" t="str">
        <f t="shared" si="457"/>
        <v/>
      </c>
      <c r="N649" s="32" t="str">
        <f t="shared" si="458"/>
        <v/>
      </c>
      <c r="O649" s="32" t="str">
        <f t="shared" si="474"/>
        <v/>
      </c>
      <c r="P649" s="32" t="str">
        <f t="shared" si="462"/>
        <v/>
      </c>
      <c r="Q649" s="32" t="str">
        <f t="shared" si="463"/>
        <v/>
      </c>
      <c r="R649" s="32" t="str">
        <f t="shared" si="475"/>
        <v/>
      </c>
      <c r="S649" s="24" t="str">
        <f t="shared" si="476"/>
        <v/>
      </c>
      <c r="T649" s="24" t="str">
        <f t="shared" si="477"/>
        <v/>
      </c>
      <c r="U649" s="24" t="str">
        <f t="shared" si="478"/>
        <v/>
      </c>
      <c r="V649" s="24" t="str">
        <f t="shared" si="479"/>
        <v/>
      </c>
      <c r="W649" s="23" t="str">
        <f t="array" ref="W649">IFERROR(SMALL(IF(S$1:S$1000="BEGIN",ROW(S$1:S$1000)),ROW()-3),"")</f>
        <v/>
      </c>
      <c r="X649" s="23" t="str">
        <f t="array" ref="X649">IFERROR(SMALL(IF(T$1:T$1000="END",ROW(T$1:T$1000)),ROW()-3),"")</f>
        <v/>
      </c>
      <c r="Y649" s="33" t="str">
        <f t="array" ref="Y649">IF(ISNUMBER(W649),MAX(IF((B$4:B$1000&lt;=X649)*(B$4:B$1000&gt;=W649),I$4:I$1000, "")),"")</f>
        <v/>
      </c>
      <c r="Z649" s="33" t="str">
        <f t="shared" si="464"/>
        <v/>
      </c>
      <c r="AA649" s="32" t="str">
        <f t="shared" si="465"/>
        <v/>
      </c>
      <c r="AB649" s="32" t="str">
        <f t="shared" si="466"/>
        <v/>
      </c>
      <c r="AC649" s="32" t="str">
        <f t="shared" si="467"/>
        <v/>
      </c>
      <c r="AD649" s="32" t="str">
        <f t="shared" si="468"/>
        <v/>
      </c>
      <c r="AE649" s="34" t="str">
        <f t="shared" si="469"/>
        <v/>
      </c>
      <c r="AF649" s="32" t="str">
        <f t="shared" si="470"/>
        <v/>
      </c>
      <c r="AG649" s="32" t="str">
        <f t="shared" si="471"/>
        <v/>
      </c>
      <c r="AH649" s="32" t="str">
        <f t="shared" si="472"/>
        <v/>
      </c>
      <c r="AI649" s="35" t="str">
        <f t="shared" si="473"/>
        <v/>
      </c>
      <c r="AJ649" s="23" t="str">
        <f t="array" ref="AJ649">IFERROR(SMALL(IF(U$1:U$1000="BEGIN",ROW(U$1:U$1000)),ROW()-3),"")</f>
        <v/>
      </c>
      <c r="AK649" s="23" t="str">
        <f t="array" ref="AK649">IFERROR(SMALL(IF(V$1:V$1000="END",ROW(V$1:V$1000)),ROW()-3),"")</f>
        <v/>
      </c>
      <c r="AL649" s="24" t="str">
        <f t="array" ref="AL649">IF(AK649="","",MATCH(AM649,L:L,0))</f>
        <v/>
      </c>
      <c r="AM649" s="35">
        <f t="array" ref="AM649">MAX(IF((B$4:B$1000&lt;=AK649)*(B$4:B$1000&gt;=AJ649),L$4:L$1000, ""))</f>
        <v>0</v>
      </c>
      <c r="AN649" s="32" t="str">
        <f t="shared" si="437"/>
        <v/>
      </c>
      <c r="AO649" s="32" t="str">
        <f t="shared" si="438"/>
        <v/>
      </c>
      <c r="AP649" s="32" t="str">
        <f t="shared" si="439"/>
        <v/>
      </c>
      <c r="AQ649" s="32" t="str">
        <f t="shared" si="440"/>
        <v/>
      </c>
      <c r="AR649" s="32" t="str">
        <f t="shared" si="441"/>
        <v/>
      </c>
      <c r="AS649" s="32" t="str">
        <f t="shared" si="442"/>
        <v/>
      </c>
      <c r="AT649" s="32" t="str">
        <f t="shared" si="443"/>
        <v/>
      </c>
      <c r="AU649" s="34" t="str">
        <f t="shared" si="444"/>
        <v/>
      </c>
      <c r="AV649" s="32" t="str">
        <f t="shared" si="445"/>
        <v/>
      </c>
      <c r="AW649" s="32" t="str">
        <f t="shared" si="446"/>
        <v/>
      </c>
      <c r="AX649" s="32" t="str">
        <f t="shared" si="447"/>
        <v/>
      </c>
      <c r="AY649" s="32" t="str">
        <f t="shared" si="448"/>
        <v/>
      </c>
    </row>
    <row r="650" spans="1:51" x14ac:dyDescent="0.25">
      <c r="A650" s="24" t="str">
        <f t="shared" si="449"/>
        <v/>
      </c>
      <c r="B650" s="24" t="str">
        <f t="shared" si="459"/>
        <v/>
      </c>
      <c r="C650" s="32" t="str">
        <f t="shared" si="450"/>
        <v/>
      </c>
      <c r="D650" s="24" t="str">
        <f t="shared" si="451"/>
        <v/>
      </c>
      <c r="E650" s="24" t="str">
        <f t="shared" si="452"/>
        <v/>
      </c>
      <c r="F650" s="32" t="str">
        <f t="shared" si="453"/>
        <v/>
      </c>
      <c r="G650" s="32" t="str">
        <f t="shared" si="454"/>
        <v/>
      </c>
      <c r="H650" s="32" t="str">
        <f t="shared" ca="1" si="455"/>
        <v/>
      </c>
      <c r="I650" s="32" t="str">
        <f t="shared" ca="1" si="460"/>
        <v/>
      </c>
      <c r="J650" s="32" t="str">
        <f t="shared" si="456"/>
        <v/>
      </c>
      <c r="K650" s="32" t="str">
        <f>IF(ISNUMBER(A650),Profile!$V$25+Profile!$V$24*'Ri-Po'!C650,"")</f>
        <v/>
      </c>
      <c r="L650" s="32" t="str">
        <f t="shared" si="461"/>
        <v/>
      </c>
      <c r="M650" s="32" t="str">
        <f t="shared" si="457"/>
        <v/>
      </c>
      <c r="N650" s="32" t="str">
        <f t="shared" si="458"/>
        <v/>
      </c>
      <c r="O650" s="32" t="str">
        <f t="shared" si="474"/>
        <v/>
      </c>
      <c r="P650" s="32" t="str">
        <f t="shared" si="462"/>
        <v/>
      </c>
      <c r="Q650" s="32" t="str">
        <f t="shared" si="463"/>
        <v/>
      </c>
      <c r="R650" s="32" t="str">
        <f t="shared" si="475"/>
        <v/>
      </c>
      <c r="S650" s="24" t="str">
        <f t="shared" si="476"/>
        <v/>
      </c>
      <c r="T650" s="24" t="str">
        <f t="shared" si="477"/>
        <v/>
      </c>
      <c r="U650" s="24" t="str">
        <f t="shared" si="478"/>
        <v/>
      </c>
      <c r="V650" s="24" t="str">
        <f t="shared" si="479"/>
        <v/>
      </c>
      <c r="W650" s="23" t="str">
        <f t="array" ref="W650">IFERROR(SMALL(IF(S$1:S$1000="BEGIN",ROW(S$1:S$1000)),ROW()-3),"")</f>
        <v/>
      </c>
      <c r="X650" s="23" t="str">
        <f t="array" ref="X650">IFERROR(SMALL(IF(T$1:T$1000="END",ROW(T$1:T$1000)),ROW()-3),"")</f>
        <v/>
      </c>
      <c r="Y650" s="33" t="str">
        <f t="array" ref="Y650">IF(ISNUMBER(W650),MAX(IF((B$4:B$1000&lt;=X650)*(B$4:B$1000&gt;=W650),I$4:I$1000, "")),"")</f>
        <v/>
      </c>
      <c r="Z650" s="33" t="str">
        <f t="shared" si="464"/>
        <v/>
      </c>
      <c r="AA650" s="32" t="str">
        <f t="shared" si="465"/>
        <v/>
      </c>
      <c r="AB650" s="32" t="str">
        <f t="shared" si="466"/>
        <v/>
      </c>
      <c r="AC650" s="32" t="str">
        <f t="shared" si="467"/>
        <v/>
      </c>
      <c r="AD650" s="32" t="str">
        <f t="shared" si="468"/>
        <v/>
      </c>
      <c r="AE650" s="34" t="str">
        <f t="shared" si="469"/>
        <v/>
      </c>
      <c r="AF650" s="32" t="str">
        <f t="shared" si="470"/>
        <v/>
      </c>
      <c r="AG650" s="32" t="str">
        <f t="shared" si="471"/>
        <v/>
      </c>
      <c r="AH650" s="32" t="str">
        <f t="shared" si="472"/>
        <v/>
      </c>
      <c r="AI650" s="35" t="str">
        <f t="shared" si="473"/>
        <v/>
      </c>
      <c r="AJ650" s="23" t="str">
        <f t="array" ref="AJ650">IFERROR(SMALL(IF(U$1:U$1000="BEGIN",ROW(U$1:U$1000)),ROW()-3),"")</f>
        <v/>
      </c>
      <c r="AK650" s="23" t="str">
        <f t="array" ref="AK650">IFERROR(SMALL(IF(V$1:V$1000="END",ROW(V$1:V$1000)),ROW()-3),"")</f>
        <v/>
      </c>
      <c r="AL650" s="24" t="str">
        <f t="array" ref="AL650">IF(AK650="","",MATCH(AM650,L:L,0))</f>
        <v/>
      </c>
      <c r="AM650" s="35">
        <f t="array" ref="AM650">MAX(IF((B$4:B$1000&lt;=AK650)*(B$4:B$1000&gt;=AJ650),L$4:L$1000, ""))</f>
        <v>0</v>
      </c>
      <c r="AN650" s="32" t="str">
        <f t="shared" si="437"/>
        <v/>
      </c>
      <c r="AO650" s="32" t="str">
        <f t="shared" si="438"/>
        <v/>
      </c>
      <c r="AP650" s="32" t="str">
        <f t="shared" si="439"/>
        <v/>
      </c>
      <c r="AQ650" s="32" t="str">
        <f t="shared" si="440"/>
        <v/>
      </c>
      <c r="AR650" s="32" t="str">
        <f t="shared" si="441"/>
        <v/>
      </c>
      <c r="AS650" s="32" t="str">
        <f t="shared" si="442"/>
        <v/>
      </c>
      <c r="AT650" s="32" t="str">
        <f t="shared" si="443"/>
        <v/>
      </c>
      <c r="AU650" s="34" t="str">
        <f t="shared" si="444"/>
        <v/>
      </c>
      <c r="AV650" s="32" t="str">
        <f t="shared" si="445"/>
        <v/>
      </c>
      <c r="AW650" s="32" t="str">
        <f t="shared" si="446"/>
        <v/>
      </c>
      <c r="AX650" s="32" t="str">
        <f t="shared" si="447"/>
        <v/>
      </c>
      <c r="AY650" s="32" t="str">
        <f t="shared" si="448"/>
        <v/>
      </c>
    </row>
    <row r="651" spans="1:51" x14ac:dyDescent="0.25">
      <c r="A651" s="24" t="str">
        <f t="shared" si="449"/>
        <v/>
      </c>
      <c r="B651" s="24" t="str">
        <f t="shared" si="459"/>
        <v/>
      </c>
      <c r="C651" s="32" t="str">
        <f t="shared" si="450"/>
        <v/>
      </c>
      <c r="D651" s="24" t="str">
        <f t="shared" si="451"/>
        <v/>
      </c>
      <c r="E651" s="24" t="str">
        <f t="shared" si="452"/>
        <v/>
      </c>
      <c r="F651" s="32" t="str">
        <f t="shared" si="453"/>
        <v/>
      </c>
      <c r="G651" s="32" t="str">
        <f t="shared" si="454"/>
        <v/>
      </c>
      <c r="H651" s="32" t="str">
        <f t="shared" ca="1" si="455"/>
        <v/>
      </c>
      <c r="I651" s="32" t="str">
        <f t="shared" ca="1" si="460"/>
        <v/>
      </c>
      <c r="J651" s="32" t="str">
        <f t="shared" si="456"/>
        <v/>
      </c>
      <c r="K651" s="32" t="str">
        <f>IF(ISNUMBER(A651),Profile!$V$25+Profile!$V$24*'Ri-Po'!C651,"")</f>
        <v/>
      </c>
      <c r="L651" s="32" t="str">
        <f t="shared" si="461"/>
        <v/>
      </c>
      <c r="M651" s="32" t="str">
        <f t="shared" si="457"/>
        <v/>
      </c>
      <c r="N651" s="32" t="str">
        <f t="shared" si="458"/>
        <v/>
      </c>
      <c r="O651" s="32" t="str">
        <f t="shared" si="474"/>
        <v/>
      </c>
      <c r="P651" s="32" t="str">
        <f t="shared" si="462"/>
        <v/>
      </c>
      <c r="Q651" s="32" t="str">
        <f t="shared" si="463"/>
        <v/>
      </c>
      <c r="R651" s="32" t="str">
        <f t="shared" si="475"/>
        <v/>
      </c>
      <c r="S651" s="24" t="str">
        <f t="shared" si="476"/>
        <v/>
      </c>
      <c r="T651" s="24" t="str">
        <f t="shared" si="477"/>
        <v/>
      </c>
      <c r="U651" s="24" t="str">
        <f t="shared" si="478"/>
        <v/>
      </c>
      <c r="V651" s="24" t="str">
        <f t="shared" si="479"/>
        <v/>
      </c>
      <c r="W651" s="23" t="str">
        <f t="array" ref="W651">IFERROR(SMALL(IF(S$1:S$1000="BEGIN",ROW(S$1:S$1000)),ROW()-3),"")</f>
        <v/>
      </c>
      <c r="X651" s="23" t="str">
        <f t="array" ref="X651">IFERROR(SMALL(IF(T$1:T$1000="END",ROW(T$1:T$1000)),ROW()-3),"")</f>
        <v/>
      </c>
      <c r="Y651" s="33" t="str">
        <f t="array" ref="Y651">IF(ISNUMBER(W651),MAX(IF((B$4:B$1000&lt;=X651)*(B$4:B$1000&gt;=W651),I$4:I$1000, "")),"")</f>
        <v/>
      </c>
      <c r="Z651" s="33" t="str">
        <f t="shared" si="464"/>
        <v/>
      </c>
      <c r="AA651" s="32" t="str">
        <f t="shared" si="465"/>
        <v/>
      </c>
      <c r="AB651" s="32" t="str">
        <f t="shared" si="466"/>
        <v/>
      </c>
      <c r="AC651" s="32" t="str">
        <f t="shared" si="467"/>
        <v/>
      </c>
      <c r="AD651" s="32" t="str">
        <f t="shared" si="468"/>
        <v/>
      </c>
      <c r="AE651" s="34" t="str">
        <f t="shared" si="469"/>
        <v/>
      </c>
      <c r="AF651" s="32" t="str">
        <f t="shared" si="470"/>
        <v/>
      </c>
      <c r="AG651" s="32" t="str">
        <f t="shared" si="471"/>
        <v/>
      </c>
      <c r="AH651" s="32" t="str">
        <f t="shared" si="472"/>
        <v/>
      </c>
      <c r="AI651" s="35" t="str">
        <f t="shared" si="473"/>
        <v/>
      </c>
      <c r="AJ651" s="23" t="str">
        <f t="array" ref="AJ651">IFERROR(SMALL(IF(U$1:U$1000="BEGIN",ROW(U$1:U$1000)),ROW()-3),"")</f>
        <v/>
      </c>
      <c r="AK651" s="23" t="str">
        <f t="array" ref="AK651">IFERROR(SMALL(IF(V$1:V$1000="END",ROW(V$1:V$1000)),ROW()-3),"")</f>
        <v/>
      </c>
      <c r="AL651" s="24" t="str">
        <f t="array" ref="AL651">IF(AK651="","",MATCH(AM651,L:L,0))</f>
        <v/>
      </c>
      <c r="AM651" s="35">
        <f t="array" ref="AM651">MAX(IF((B$4:B$1000&lt;=AK651)*(B$4:B$1000&gt;=AJ651),L$4:L$1000, ""))</f>
        <v>0</v>
      </c>
      <c r="AN651" s="32" t="str">
        <f t="shared" si="437"/>
        <v/>
      </c>
      <c r="AO651" s="32" t="str">
        <f t="shared" si="438"/>
        <v/>
      </c>
      <c r="AP651" s="32" t="str">
        <f t="shared" si="439"/>
        <v/>
      </c>
      <c r="AQ651" s="32" t="str">
        <f t="shared" si="440"/>
        <v/>
      </c>
      <c r="AR651" s="32" t="str">
        <f t="shared" si="441"/>
        <v/>
      </c>
      <c r="AS651" s="32" t="str">
        <f t="shared" si="442"/>
        <v/>
      </c>
      <c r="AT651" s="32" t="str">
        <f t="shared" si="443"/>
        <v/>
      </c>
      <c r="AU651" s="34" t="str">
        <f t="shared" si="444"/>
        <v/>
      </c>
      <c r="AV651" s="32" t="str">
        <f t="shared" si="445"/>
        <v/>
      </c>
      <c r="AW651" s="32" t="str">
        <f t="shared" si="446"/>
        <v/>
      </c>
      <c r="AX651" s="32" t="str">
        <f t="shared" si="447"/>
        <v/>
      </c>
      <c r="AY651" s="32" t="str">
        <f t="shared" si="448"/>
        <v/>
      </c>
    </row>
    <row r="652" spans="1:51" x14ac:dyDescent="0.25">
      <c r="A652" s="24" t="str">
        <f t="shared" si="449"/>
        <v/>
      </c>
      <c r="B652" s="24" t="str">
        <f t="shared" si="459"/>
        <v/>
      </c>
      <c r="C652" s="32" t="str">
        <f t="shared" si="450"/>
        <v/>
      </c>
      <c r="D652" s="24" t="str">
        <f t="shared" si="451"/>
        <v/>
      </c>
      <c r="E652" s="24" t="str">
        <f t="shared" si="452"/>
        <v/>
      </c>
      <c r="F652" s="32" t="str">
        <f t="shared" si="453"/>
        <v/>
      </c>
      <c r="G652" s="32" t="str">
        <f t="shared" si="454"/>
        <v/>
      </c>
      <c r="H652" s="32" t="str">
        <f t="shared" ca="1" si="455"/>
        <v/>
      </c>
      <c r="I652" s="32" t="str">
        <f t="shared" ca="1" si="460"/>
        <v/>
      </c>
      <c r="J652" s="32" t="str">
        <f t="shared" si="456"/>
        <v/>
      </c>
      <c r="K652" s="32" t="str">
        <f>IF(ISNUMBER(A652),Profile!$V$25+Profile!$V$24*'Ri-Po'!C652,"")</f>
        <v/>
      </c>
      <c r="L652" s="32" t="str">
        <f t="shared" si="461"/>
        <v/>
      </c>
      <c r="M652" s="32" t="str">
        <f t="shared" si="457"/>
        <v/>
      </c>
      <c r="N652" s="32" t="str">
        <f t="shared" si="458"/>
        <v/>
      </c>
      <c r="O652" s="32" t="str">
        <f t="shared" si="474"/>
        <v/>
      </c>
      <c r="P652" s="32" t="str">
        <f t="shared" si="462"/>
        <v/>
      </c>
      <c r="Q652" s="32" t="str">
        <f t="shared" si="463"/>
        <v/>
      </c>
      <c r="R652" s="32" t="str">
        <f t="shared" si="475"/>
        <v/>
      </c>
      <c r="S652" s="24" t="str">
        <f t="shared" si="476"/>
        <v/>
      </c>
      <c r="T652" s="24" t="str">
        <f t="shared" si="477"/>
        <v/>
      </c>
      <c r="U652" s="24" t="str">
        <f t="shared" si="478"/>
        <v/>
      </c>
      <c r="V652" s="24" t="str">
        <f t="shared" si="479"/>
        <v/>
      </c>
      <c r="W652" s="23" t="str">
        <f t="array" ref="W652">IFERROR(SMALL(IF(S$1:S$1000="BEGIN",ROW(S$1:S$1000)),ROW()-3),"")</f>
        <v/>
      </c>
      <c r="X652" s="23" t="str">
        <f t="array" ref="X652">IFERROR(SMALL(IF(T$1:T$1000="END",ROW(T$1:T$1000)),ROW()-3),"")</f>
        <v/>
      </c>
      <c r="Y652" s="33" t="str">
        <f t="array" ref="Y652">IF(ISNUMBER(W652),MAX(IF((B$4:B$1000&lt;=X652)*(B$4:B$1000&gt;=W652),I$4:I$1000, "")),"")</f>
        <v/>
      </c>
      <c r="Z652" s="33" t="str">
        <f t="shared" si="464"/>
        <v/>
      </c>
      <c r="AA652" s="32" t="str">
        <f t="shared" si="465"/>
        <v/>
      </c>
      <c r="AB652" s="32" t="str">
        <f t="shared" si="466"/>
        <v/>
      </c>
      <c r="AC652" s="32" t="str">
        <f t="shared" si="467"/>
        <v/>
      </c>
      <c r="AD652" s="32" t="str">
        <f t="shared" si="468"/>
        <v/>
      </c>
      <c r="AE652" s="34" t="str">
        <f t="shared" si="469"/>
        <v/>
      </c>
      <c r="AF652" s="32" t="str">
        <f t="shared" si="470"/>
        <v/>
      </c>
      <c r="AG652" s="32" t="str">
        <f t="shared" si="471"/>
        <v/>
      </c>
      <c r="AH652" s="32" t="str">
        <f t="shared" si="472"/>
        <v/>
      </c>
      <c r="AI652" s="35" t="str">
        <f t="shared" si="473"/>
        <v/>
      </c>
      <c r="AJ652" s="23" t="str">
        <f t="array" ref="AJ652">IFERROR(SMALL(IF(U$1:U$1000="BEGIN",ROW(U$1:U$1000)),ROW()-3),"")</f>
        <v/>
      </c>
      <c r="AK652" s="23" t="str">
        <f t="array" ref="AK652">IFERROR(SMALL(IF(V$1:V$1000="END",ROW(V$1:V$1000)),ROW()-3),"")</f>
        <v/>
      </c>
      <c r="AL652" s="24" t="str">
        <f t="array" ref="AL652">IF(AK652="","",MATCH(AM652,L:L,0))</f>
        <v/>
      </c>
      <c r="AM652" s="35">
        <f t="array" ref="AM652">MAX(IF((B$4:B$1000&lt;=AK652)*(B$4:B$1000&gt;=AJ652),L$4:L$1000, ""))</f>
        <v>0</v>
      </c>
      <c r="AN652" s="32" t="str">
        <f t="shared" si="437"/>
        <v/>
      </c>
      <c r="AO652" s="32" t="str">
        <f t="shared" si="438"/>
        <v/>
      </c>
      <c r="AP652" s="32" t="str">
        <f t="shared" si="439"/>
        <v/>
      </c>
      <c r="AQ652" s="32" t="str">
        <f t="shared" si="440"/>
        <v/>
      </c>
      <c r="AR652" s="32" t="str">
        <f t="shared" si="441"/>
        <v/>
      </c>
      <c r="AS652" s="32" t="str">
        <f t="shared" si="442"/>
        <v/>
      </c>
      <c r="AT652" s="32" t="str">
        <f t="shared" si="443"/>
        <v/>
      </c>
      <c r="AU652" s="34" t="str">
        <f t="shared" si="444"/>
        <v/>
      </c>
      <c r="AV652" s="32" t="str">
        <f t="shared" si="445"/>
        <v/>
      </c>
      <c r="AW652" s="32" t="str">
        <f t="shared" si="446"/>
        <v/>
      </c>
      <c r="AX652" s="32" t="str">
        <f t="shared" si="447"/>
        <v/>
      </c>
      <c r="AY652" s="32" t="str">
        <f t="shared" si="448"/>
        <v/>
      </c>
    </row>
    <row r="653" spans="1:51" x14ac:dyDescent="0.25">
      <c r="A653" s="24" t="str">
        <f t="shared" si="449"/>
        <v/>
      </c>
      <c r="B653" s="24" t="str">
        <f t="shared" si="459"/>
        <v/>
      </c>
      <c r="C653" s="32" t="str">
        <f t="shared" si="450"/>
        <v/>
      </c>
      <c r="D653" s="24" t="str">
        <f t="shared" si="451"/>
        <v/>
      </c>
      <c r="E653" s="24" t="str">
        <f t="shared" si="452"/>
        <v/>
      </c>
      <c r="F653" s="32" t="str">
        <f t="shared" si="453"/>
        <v/>
      </c>
      <c r="G653" s="32" t="str">
        <f t="shared" si="454"/>
        <v/>
      </c>
      <c r="H653" s="32" t="str">
        <f t="shared" ca="1" si="455"/>
        <v/>
      </c>
      <c r="I653" s="32" t="str">
        <f t="shared" ca="1" si="460"/>
        <v/>
      </c>
      <c r="J653" s="32" t="str">
        <f t="shared" si="456"/>
        <v/>
      </c>
      <c r="K653" s="32" t="str">
        <f>IF(ISNUMBER(A653),Profile!$V$25+Profile!$V$24*'Ri-Po'!C653,"")</f>
        <v/>
      </c>
      <c r="L653" s="32" t="str">
        <f t="shared" si="461"/>
        <v/>
      </c>
      <c r="M653" s="32" t="str">
        <f t="shared" si="457"/>
        <v/>
      </c>
      <c r="N653" s="32" t="str">
        <f t="shared" si="458"/>
        <v/>
      </c>
      <c r="O653" s="32" t="str">
        <f t="shared" si="474"/>
        <v/>
      </c>
      <c r="P653" s="32" t="str">
        <f t="shared" si="462"/>
        <v/>
      </c>
      <c r="Q653" s="32" t="str">
        <f t="shared" si="463"/>
        <v/>
      </c>
      <c r="R653" s="32" t="str">
        <f t="shared" si="475"/>
        <v/>
      </c>
      <c r="S653" s="24" t="str">
        <f t="shared" si="476"/>
        <v/>
      </c>
      <c r="T653" s="24" t="str">
        <f t="shared" si="477"/>
        <v/>
      </c>
      <c r="U653" s="24" t="str">
        <f t="shared" si="478"/>
        <v/>
      </c>
      <c r="V653" s="24" t="str">
        <f t="shared" si="479"/>
        <v/>
      </c>
      <c r="W653" s="23" t="str">
        <f t="array" ref="W653">IFERROR(SMALL(IF(S$1:S$1000="BEGIN",ROW(S$1:S$1000)),ROW()-3),"")</f>
        <v/>
      </c>
      <c r="X653" s="23" t="str">
        <f t="array" ref="X653">IFERROR(SMALL(IF(T$1:T$1000="END",ROW(T$1:T$1000)),ROW()-3),"")</f>
        <v/>
      </c>
      <c r="Y653" s="33" t="str">
        <f t="array" ref="Y653">IF(ISNUMBER(W653),MAX(IF((B$4:B$1000&lt;=X653)*(B$4:B$1000&gt;=W653),I$4:I$1000, "")),"")</f>
        <v/>
      </c>
      <c r="Z653" s="33" t="str">
        <f t="shared" si="464"/>
        <v/>
      </c>
      <c r="AA653" s="32" t="str">
        <f t="shared" si="465"/>
        <v/>
      </c>
      <c r="AB653" s="32" t="str">
        <f t="shared" si="466"/>
        <v/>
      </c>
      <c r="AC653" s="32" t="str">
        <f t="shared" si="467"/>
        <v/>
      </c>
      <c r="AD653" s="32" t="str">
        <f t="shared" si="468"/>
        <v/>
      </c>
      <c r="AE653" s="34" t="str">
        <f t="shared" si="469"/>
        <v/>
      </c>
      <c r="AF653" s="32" t="str">
        <f t="shared" si="470"/>
        <v/>
      </c>
      <c r="AG653" s="32" t="str">
        <f t="shared" si="471"/>
        <v/>
      </c>
      <c r="AH653" s="32" t="str">
        <f t="shared" si="472"/>
        <v/>
      </c>
      <c r="AI653" s="35" t="str">
        <f t="shared" si="473"/>
        <v/>
      </c>
      <c r="AJ653" s="23" t="str">
        <f t="array" ref="AJ653">IFERROR(SMALL(IF(U$1:U$1000="BEGIN",ROW(U$1:U$1000)),ROW()-3),"")</f>
        <v/>
      </c>
      <c r="AK653" s="23" t="str">
        <f t="array" ref="AK653">IFERROR(SMALL(IF(V$1:V$1000="END",ROW(V$1:V$1000)),ROW()-3),"")</f>
        <v/>
      </c>
      <c r="AL653" s="24" t="str">
        <f t="array" ref="AL653">IF(AK653="","",MATCH(AM653,L:L,0))</f>
        <v/>
      </c>
      <c r="AM653" s="35">
        <f t="array" ref="AM653">MAX(IF((B$4:B$1000&lt;=AK653)*(B$4:B$1000&gt;=AJ653),L$4:L$1000, ""))</f>
        <v>0</v>
      </c>
      <c r="AN653" s="32" t="str">
        <f t="shared" si="437"/>
        <v/>
      </c>
      <c r="AO653" s="32" t="str">
        <f t="shared" si="438"/>
        <v/>
      </c>
      <c r="AP653" s="32" t="str">
        <f t="shared" si="439"/>
        <v/>
      </c>
      <c r="AQ653" s="32" t="str">
        <f t="shared" si="440"/>
        <v/>
      </c>
      <c r="AR653" s="32" t="str">
        <f t="shared" si="441"/>
        <v/>
      </c>
      <c r="AS653" s="32" t="str">
        <f t="shared" si="442"/>
        <v/>
      </c>
      <c r="AT653" s="32" t="str">
        <f t="shared" si="443"/>
        <v/>
      </c>
      <c r="AU653" s="34" t="str">
        <f t="shared" si="444"/>
        <v/>
      </c>
      <c r="AV653" s="32" t="str">
        <f t="shared" si="445"/>
        <v/>
      </c>
      <c r="AW653" s="32" t="str">
        <f t="shared" si="446"/>
        <v/>
      </c>
      <c r="AX653" s="32" t="str">
        <f t="shared" si="447"/>
        <v/>
      </c>
      <c r="AY653" s="32" t="str">
        <f t="shared" si="448"/>
        <v/>
      </c>
    </row>
    <row r="654" spans="1:51" x14ac:dyDescent="0.25">
      <c r="A654" s="24" t="str">
        <f t="shared" si="449"/>
        <v/>
      </c>
      <c r="B654" s="24" t="str">
        <f t="shared" si="459"/>
        <v/>
      </c>
      <c r="C654" s="32" t="str">
        <f t="shared" si="450"/>
        <v/>
      </c>
      <c r="D654" s="24" t="str">
        <f t="shared" si="451"/>
        <v/>
      </c>
      <c r="E654" s="24" t="str">
        <f t="shared" si="452"/>
        <v/>
      </c>
      <c r="F654" s="32" t="str">
        <f t="shared" si="453"/>
        <v/>
      </c>
      <c r="G654" s="32" t="str">
        <f t="shared" si="454"/>
        <v/>
      </c>
      <c r="H654" s="32" t="str">
        <f t="shared" ca="1" si="455"/>
        <v/>
      </c>
      <c r="I654" s="32" t="str">
        <f t="shared" ca="1" si="460"/>
        <v/>
      </c>
      <c r="J654" s="32" t="str">
        <f t="shared" si="456"/>
        <v/>
      </c>
      <c r="K654" s="32" t="str">
        <f>IF(ISNUMBER(A654),Profile!$V$25+Profile!$V$24*'Ri-Po'!C654,"")</f>
        <v/>
      </c>
      <c r="L654" s="32" t="str">
        <f t="shared" si="461"/>
        <v/>
      </c>
      <c r="M654" s="32" t="str">
        <f t="shared" si="457"/>
        <v/>
      </c>
      <c r="N654" s="32" t="str">
        <f t="shared" si="458"/>
        <v/>
      </c>
      <c r="O654" s="32" t="str">
        <f t="shared" si="474"/>
        <v/>
      </c>
      <c r="P654" s="32" t="str">
        <f t="shared" si="462"/>
        <v/>
      </c>
      <c r="Q654" s="32" t="str">
        <f t="shared" si="463"/>
        <v/>
      </c>
      <c r="R654" s="32" t="str">
        <f t="shared" si="475"/>
        <v/>
      </c>
      <c r="S654" s="24" t="str">
        <f t="shared" si="476"/>
        <v/>
      </c>
      <c r="T654" s="24" t="str">
        <f t="shared" si="477"/>
        <v/>
      </c>
      <c r="U654" s="24" t="str">
        <f t="shared" si="478"/>
        <v/>
      </c>
      <c r="V654" s="24" t="str">
        <f t="shared" si="479"/>
        <v/>
      </c>
      <c r="W654" s="23" t="str">
        <f t="array" ref="W654">IFERROR(SMALL(IF(S$1:S$1000="BEGIN",ROW(S$1:S$1000)),ROW()-3),"")</f>
        <v/>
      </c>
      <c r="X654" s="23" t="str">
        <f t="array" ref="X654">IFERROR(SMALL(IF(T$1:T$1000="END",ROW(T$1:T$1000)),ROW()-3),"")</f>
        <v/>
      </c>
      <c r="Y654" s="33" t="str">
        <f t="array" ref="Y654">IF(ISNUMBER(W654),MAX(IF((B$4:B$1000&lt;=X654)*(B$4:B$1000&gt;=W654),I$4:I$1000, "")),"")</f>
        <v/>
      </c>
      <c r="Z654" s="33" t="str">
        <f t="shared" si="464"/>
        <v/>
      </c>
      <c r="AA654" s="32" t="str">
        <f t="shared" si="465"/>
        <v/>
      </c>
      <c r="AB654" s="32" t="str">
        <f t="shared" si="466"/>
        <v/>
      </c>
      <c r="AC654" s="32" t="str">
        <f t="shared" si="467"/>
        <v/>
      </c>
      <c r="AD654" s="32" t="str">
        <f t="shared" si="468"/>
        <v/>
      </c>
      <c r="AE654" s="34" t="str">
        <f t="shared" si="469"/>
        <v/>
      </c>
      <c r="AF654" s="32" t="str">
        <f t="shared" si="470"/>
        <v/>
      </c>
      <c r="AG654" s="32" t="str">
        <f t="shared" si="471"/>
        <v/>
      </c>
      <c r="AH654" s="32" t="str">
        <f t="shared" si="472"/>
        <v/>
      </c>
      <c r="AI654" s="35" t="str">
        <f t="shared" si="473"/>
        <v/>
      </c>
      <c r="AJ654" s="23" t="str">
        <f t="array" ref="AJ654">IFERROR(SMALL(IF(U$1:U$1000="BEGIN",ROW(U$1:U$1000)),ROW()-3),"")</f>
        <v/>
      </c>
      <c r="AK654" s="23" t="str">
        <f t="array" ref="AK654">IFERROR(SMALL(IF(V$1:V$1000="END",ROW(V$1:V$1000)),ROW()-3),"")</f>
        <v/>
      </c>
      <c r="AL654" s="24" t="str">
        <f t="array" ref="AL654">IF(AK654="","",MATCH(AM654,L:L,0))</f>
        <v/>
      </c>
      <c r="AM654" s="35">
        <f t="array" ref="AM654">MAX(IF((B$4:B$1000&lt;=AK654)*(B$4:B$1000&gt;=AJ654),L$4:L$1000, ""))</f>
        <v>0</v>
      </c>
      <c r="AN654" s="32" t="str">
        <f t="shared" si="437"/>
        <v/>
      </c>
      <c r="AO654" s="32" t="str">
        <f t="shared" si="438"/>
        <v/>
      </c>
      <c r="AP654" s="32" t="str">
        <f t="shared" si="439"/>
        <v/>
      </c>
      <c r="AQ654" s="32" t="str">
        <f t="shared" si="440"/>
        <v/>
      </c>
      <c r="AR654" s="32" t="str">
        <f t="shared" si="441"/>
        <v/>
      </c>
      <c r="AS654" s="32" t="str">
        <f t="shared" si="442"/>
        <v/>
      </c>
      <c r="AT654" s="32" t="str">
        <f t="shared" si="443"/>
        <v/>
      </c>
      <c r="AU654" s="34" t="str">
        <f t="shared" si="444"/>
        <v/>
      </c>
      <c r="AV654" s="32" t="str">
        <f t="shared" si="445"/>
        <v/>
      </c>
      <c r="AW654" s="32" t="str">
        <f t="shared" si="446"/>
        <v/>
      </c>
      <c r="AX654" s="32" t="str">
        <f t="shared" si="447"/>
        <v/>
      </c>
      <c r="AY654" s="32" t="str">
        <f t="shared" si="448"/>
        <v/>
      </c>
    </row>
    <row r="655" spans="1:51" x14ac:dyDescent="0.25">
      <c r="A655" s="24" t="str">
        <f t="shared" si="449"/>
        <v/>
      </c>
      <c r="B655" s="24" t="str">
        <f t="shared" si="459"/>
        <v/>
      </c>
      <c r="C655" s="32" t="str">
        <f t="shared" si="450"/>
        <v/>
      </c>
      <c r="D655" s="24" t="str">
        <f t="shared" si="451"/>
        <v/>
      </c>
      <c r="E655" s="24" t="str">
        <f t="shared" si="452"/>
        <v/>
      </c>
      <c r="F655" s="32" t="str">
        <f t="shared" si="453"/>
        <v/>
      </c>
      <c r="G655" s="32" t="str">
        <f t="shared" si="454"/>
        <v/>
      </c>
      <c r="H655" s="32" t="str">
        <f t="shared" ca="1" si="455"/>
        <v/>
      </c>
      <c r="I655" s="32" t="str">
        <f t="shared" ca="1" si="460"/>
        <v/>
      </c>
      <c r="J655" s="32" t="str">
        <f t="shared" si="456"/>
        <v/>
      </c>
      <c r="K655" s="32" t="str">
        <f>IF(ISNUMBER(A655),Profile!$V$25+Profile!$V$24*'Ri-Po'!C655,"")</f>
        <v/>
      </c>
      <c r="L655" s="32" t="str">
        <f t="shared" si="461"/>
        <v/>
      </c>
      <c r="M655" s="32" t="str">
        <f t="shared" si="457"/>
        <v/>
      </c>
      <c r="N655" s="32" t="str">
        <f t="shared" si="458"/>
        <v/>
      </c>
      <c r="O655" s="32" t="str">
        <f t="shared" si="474"/>
        <v/>
      </c>
      <c r="P655" s="32" t="str">
        <f t="shared" si="462"/>
        <v/>
      </c>
      <c r="Q655" s="32" t="str">
        <f t="shared" si="463"/>
        <v/>
      </c>
      <c r="R655" s="32" t="str">
        <f t="shared" si="475"/>
        <v/>
      </c>
      <c r="S655" s="24" t="str">
        <f t="shared" si="476"/>
        <v/>
      </c>
      <c r="T655" s="24" t="str">
        <f t="shared" si="477"/>
        <v/>
      </c>
      <c r="U655" s="24" t="str">
        <f t="shared" si="478"/>
        <v/>
      </c>
      <c r="V655" s="24" t="str">
        <f t="shared" si="479"/>
        <v/>
      </c>
      <c r="W655" s="23" t="str">
        <f t="array" ref="W655">IFERROR(SMALL(IF(S$1:S$1000="BEGIN",ROW(S$1:S$1000)),ROW()-3),"")</f>
        <v/>
      </c>
      <c r="X655" s="23" t="str">
        <f t="array" ref="X655">IFERROR(SMALL(IF(T$1:T$1000="END",ROW(T$1:T$1000)),ROW()-3),"")</f>
        <v/>
      </c>
      <c r="Y655" s="33" t="str">
        <f t="array" ref="Y655">IF(ISNUMBER(W655),MAX(IF((B$4:B$1000&lt;=X655)*(B$4:B$1000&gt;=W655),I$4:I$1000, "")),"")</f>
        <v/>
      </c>
      <c r="Z655" s="33" t="str">
        <f t="shared" si="464"/>
        <v/>
      </c>
      <c r="AA655" s="32" t="str">
        <f t="shared" si="465"/>
        <v/>
      </c>
      <c r="AB655" s="32" t="str">
        <f t="shared" si="466"/>
        <v/>
      </c>
      <c r="AC655" s="32" t="str">
        <f t="shared" si="467"/>
        <v/>
      </c>
      <c r="AD655" s="32" t="str">
        <f t="shared" si="468"/>
        <v/>
      </c>
      <c r="AE655" s="34" t="str">
        <f t="shared" si="469"/>
        <v/>
      </c>
      <c r="AF655" s="32" t="str">
        <f t="shared" si="470"/>
        <v/>
      </c>
      <c r="AG655" s="32" t="str">
        <f t="shared" si="471"/>
        <v/>
      </c>
      <c r="AH655" s="32" t="str">
        <f t="shared" si="472"/>
        <v/>
      </c>
      <c r="AI655" s="35" t="str">
        <f t="shared" si="473"/>
        <v/>
      </c>
      <c r="AJ655" s="23" t="str">
        <f t="array" ref="AJ655">IFERROR(SMALL(IF(U$1:U$1000="BEGIN",ROW(U$1:U$1000)),ROW()-3),"")</f>
        <v/>
      </c>
      <c r="AK655" s="23" t="str">
        <f t="array" ref="AK655">IFERROR(SMALL(IF(V$1:V$1000="END",ROW(V$1:V$1000)),ROW()-3),"")</f>
        <v/>
      </c>
      <c r="AL655" s="24" t="str">
        <f t="array" ref="AL655">IF(AK655="","",MATCH(AM655,L:L,0))</f>
        <v/>
      </c>
      <c r="AM655" s="35">
        <f t="array" ref="AM655">MAX(IF((B$4:B$1000&lt;=AK655)*(B$4:B$1000&gt;=AJ655),L$4:L$1000, ""))</f>
        <v>0</v>
      </c>
      <c r="AN655" s="32" t="str">
        <f t="shared" si="437"/>
        <v/>
      </c>
      <c r="AO655" s="32" t="str">
        <f t="shared" si="438"/>
        <v/>
      </c>
      <c r="AP655" s="32" t="str">
        <f t="shared" si="439"/>
        <v/>
      </c>
      <c r="AQ655" s="32" t="str">
        <f t="shared" si="440"/>
        <v/>
      </c>
      <c r="AR655" s="32" t="str">
        <f t="shared" si="441"/>
        <v/>
      </c>
      <c r="AS655" s="32" t="str">
        <f t="shared" si="442"/>
        <v/>
      </c>
      <c r="AT655" s="32" t="str">
        <f t="shared" si="443"/>
        <v/>
      </c>
      <c r="AU655" s="34" t="str">
        <f t="shared" si="444"/>
        <v/>
      </c>
      <c r="AV655" s="32" t="str">
        <f t="shared" si="445"/>
        <v/>
      </c>
      <c r="AW655" s="32" t="str">
        <f t="shared" si="446"/>
        <v/>
      </c>
      <c r="AX655" s="32" t="str">
        <f t="shared" si="447"/>
        <v/>
      </c>
      <c r="AY655" s="32" t="str">
        <f t="shared" si="448"/>
        <v/>
      </c>
    </row>
    <row r="656" spans="1:51" x14ac:dyDescent="0.25">
      <c r="A656" s="24" t="str">
        <f t="shared" si="449"/>
        <v/>
      </c>
      <c r="B656" s="24" t="str">
        <f t="shared" si="459"/>
        <v/>
      </c>
      <c r="C656" s="32" t="str">
        <f t="shared" si="450"/>
        <v/>
      </c>
      <c r="D656" s="24" t="str">
        <f t="shared" si="451"/>
        <v/>
      </c>
      <c r="E656" s="24" t="str">
        <f t="shared" si="452"/>
        <v/>
      </c>
      <c r="F656" s="32" t="str">
        <f t="shared" si="453"/>
        <v/>
      </c>
      <c r="G656" s="32" t="str">
        <f t="shared" si="454"/>
        <v/>
      </c>
      <c r="H656" s="32" t="str">
        <f t="shared" ca="1" si="455"/>
        <v/>
      </c>
      <c r="I656" s="32" t="str">
        <f t="shared" ca="1" si="460"/>
        <v/>
      </c>
      <c r="J656" s="32" t="str">
        <f t="shared" si="456"/>
        <v/>
      </c>
      <c r="K656" s="32" t="str">
        <f>IF(ISNUMBER(A656),Profile!$V$25+Profile!$V$24*'Ri-Po'!C656,"")</f>
        <v/>
      </c>
      <c r="L656" s="32" t="str">
        <f t="shared" si="461"/>
        <v/>
      </c>
      <c r="M656" s="32" t="str">
        <f t="shared" si="457"/>
        <v/>
      </c>
      <c r="N656" s="32" t="str">
        <f t="shared" si="458"/>
        <v/>
      </c>
      <c r="O656" s="32" t="str">
        <f t="shared" si="474"/>
        <v/>
      </c>
      <c r="P656" s="32" t="str">
        <f t="shared" si="462"/>
        <v/>
      </c>
      <c r="Q656" s="32" t="str">
        <f t="shared" si="463"/>
        <v/>
      </c>
      <c r="R656" s="32" t="str">
        <f t="shared" si="475"/>
        <v/>
      </c>
      <c r="S656" s="24" t="str">
        <f t="shared" si="476"/>
        <v/>
      </c>
      <c r="T656" s="24" t="str">
        <f t="shared" si="477"/>
        <v/>
      </c>
      <c r="U656" s="24" t="str">
        <f t="shared" si="478"/>
        <v/>
      </c>
      <c r="V656" s="24" t="str">
        <f t="shared" si="479"/>
        <v/>
      </c>
      <c r="W656" s="23" t="str">
        <f t="array" ref="W656">IFERROR(SMALL(IF(S$1:S$1000="BEGIN",ROW(S$1:S$1000)),ROW()-3),"")</f>
        <v/>
      </c>
      <c r="X656" s="23" t="str">
        <f t="array" ref="X656">IFERROR(SMALL(IF(T$1:T$1000="END",ROW(T$1:T$1000)),ROW()-3),"")</f>
        <v/>
      </c>
      <c r="Y656" s="33" t="str">
        <f t="array" ref="Y656">IF(ISNUMBER(W656),MAX(IF((B$4:B$1000&lt;=X656)*(B$4:B$1000&gt;=W656),I$4:I$1000, "")),"")</f>
        <v/>
      </c>
      <c r="Z656" s="33" t="str">
        <f t="shared" si="464"/>
        <v/>
      </c>
      <c r="AA656" s="32" t="str">
        <f t="shared" si="465"/>
        <v/>
      </c>
      <c r="AB656" s="32" t="str">
        <f t="shared" si="466"/>
        <v/>
      </c>
      <c r="AC656" s="32" t="str">
        <f t="shared" si="467"/>
        <v/>
      </c>
      <c r="AD656" s="32" t="str">
        <f t="shared" si="468"/>
        <v/>
      </c>
      <c r="AE656" s="34" t="str">
        <f t="shared" si="469"/>
        <v/>
      </c>
      <c r="AF656" s="32" t="str">
        <f t="shared" si="470"/>
        <v/>
      </c>
      <c r="AG656" s="32" t="str">
        <f t="shared" si="471"/>
        <v/>
      </c>
      <c r="AH656" s="32" t="str">
        <f t="shared" si="472"/>
        <v/>
      </c>
      <c r="AI656" s="35" t="str">
        <f t="shared" si="473"/>
        <v/>
      </c>
      <c r="AJ656" s="23" t="str">
        <f t="array" ref="AJ656">IFERROR(SMALL(IF(U$1:U$1000="BEGIN",ROW(U$1:U$1000)),ROW()-3),"")</f>
        <v/>
      </c>
      <c r="AK656" s="23" t="str">
        <f t="array" ref="AK656">IFERROR(SMALL(IF(V$1:V$1000="END",ROW(V$1:V$1000)),ROW()-3),"")</f>
        <v/>
      </c>
      <c r="AL656" s="24" t="str">
        <f t="array" ref="AL656">IF(AK656="","",MATCH(AM656,L:L,0))</f>
        <v/>
      </c>
      <c r="AM656" s="35">
        <f t="array" ref="AM656">MAX(IF((B$4:B$1000&lt;=AK656)*(B$4:B$1000&gt;=AJ656),L$4:L$1000, ""))</f>
        <v>0</v>
      </c>
      <c r="AN656" s="32" t="str">
        <f t="shared" si="437"/>
        <v/>
      </c>
      <c r="AO656" s="32" t="str">
        <f t="shared" si="438"/>
        <v/>
      </c>
      <c r="AP656" s="32" t="str">
        <f t="shared" si="439"/>
        <v/>
      </c>
      <c r="AQ656" s="32" t="str">
        <f t="shared" si="440"/>
        <v/>
      </c>
      <c r="AR656" s="32" t="str">
        <f t="shared" si="441"/>
        <v/>
      </c>
      <c r="AS656" s="32" t="str">
        <f t="shared" si="442"/>
        <v/>
      </c>
      <c r="AT656" s="32" t="str">
        <f t="shared" si="443"/>
        <v/>
      </c>
      <c r="AU656" s="34" t="str">
        <f t="shared" si="444"/>
        <v/>
      </c>
      <c r="AV656" s="32" t="str">
        <f t="shared" si="445"/>
        <v/>
      </c>
      <c r="AW656" s="32" t="str">
        <f t="shared" si="446"/>
        <v/>
      </c>
      <c r="AX656" s="32" t="str">
        <f t="shared" si="447"/>
        <v/>
      </c>
      <c r="AY656" s="32" t="str">
        <f t="shared" si="448"/>
        <v/>
      </c>
    </row>
    <row r="657" spans="1:51" x14ac:dyDescent="0.25">
      <c r="A657" s="24" t="str">
        <f t="shared" si="449"/>
        <v/>
      </c>
      <c r="B657" s="24" t="str">
        <f t="shared" si="459"/>
        <v/>
      </c>
      <c r="C657" s="32" t="str">
        <f t="shared" si="450"/>
        <v/>
      </c>
      <c r="D657" s="24" t="str">
        <f t="shared" si="451"/>
        <v/>
      </c>
      <c r="E657" s="24" t="str">
        <f t="shared" si="452"/>
        <v/>
      </c>
      <c r="F657" s="32" t="str">
        <f t="shared" si="453"/>
        <v/>
      </c>
      <c r="G657" s="32" t="str">
        <f t="shared" si="454"/>
        <v/>
      </c>
      <c r="H657" s="32" t="str">
        <f t="shared" ca="1" si="455"/>
        <v/>
      </c>
      <c r="I657" s="32" t="str">
        <f t="shared" ca="1" si="460"/>
        <v/>
      </c>
      <c r="J657" s="32" t="str">
        <f t="shared" si="456"/>
        <v/>
      </c>
      <c r="K657" s="32" t="str">
        <f>IF(ISNUMBER(A657),Profile!$V$25+Profile!$V$24*'Ri-Po'!C657,"")</f>
        <v/>
      </c>
      <c r="L657" s="32" t="str">
        <f t="shared" si="461"/>
        <v/>
      </c>
      <c r="M657" s="32" t="str">
        <f t="shared" si="457"/>
        <v/>
      </c>
      <c r="N657" s="32" t="str">
        <f t="shared" si="458"/>
        <v/>
      </c>
      <c r="O657" s="32" t="str">
        <f t="shared" si="474"/>
        <v/>
      </c>
      <c r="P657" s="32" t="str">
        <f t="shared" si="462"/>
        <v/>
      </c>
      <c r="Q657" s="32" t="str">
        <f t="shared" si="463"/>
        <v/>
      </c>
      <c r="R657" s="32" t="str">
        <f t="shared" si="475"/>
        <v/>
      </c>
      <c r="S657" s="24" t="str">
        <f t="shared" si="476"/>
        <v/>
      </c>
      <c r="T657" s="24" t="str">
        <f t="shared" si="477"/>
        <v/>
      </c>
      <c r="U657" s="24" t="str">
        <f t="shared" si="478"/>
        <v/>
      </c>
      <c r="V657" s="24" t="str">
        <f t="shared" si="479"/>
        <v/>
      </c>
      <c r="W657" s="23" t="str">
        <f t="array" ref="W657">IFERROR(SMALL(IF(S$1:S$1000="BEGIN",ROW(S$1:S$1000)),ROW()-3),"")</f>
        <v/>
      </c>
      <c r="X657" s="23" t="str">
        <f t="array" ref="X657">IFERROR(SMALL(IF(T$1:T$1000="END",ROW(T$1:T$1000)),ROW()-3),"")</f>
        <v/>
      </c>
      <c r="Y657" s="33" t="str">
        <f t="array" ref="Y657">IF(ISNUMBER(W657),MAX(IF((B$4:B$1000&lt;=X657)*(B$4:B$1000&gt;=W657),I$4:I$1000, "")),"")</f>
        <v/>
      </c>
      <c r="Z657" s="33" t="str">
        <f t="shared" si="464"/>
        <v/>
      </c>
      <c r="AA657" s="32" t="str">
        <f t="shared" si="465"/>
        <v/>
      </c>
      <c r="AB657" s="32" t="str">
        <f t="shared" si="466"/>
        <v/>
      </c>
      <c r="AC657" s="32" t="str">
        <f t="shared" si="467"/>
        <v/>
      </c>
      <c r="AD657" s="32" t="str">
        <f t="shared" si="468"/>
        <v/>
      </c>
      <c r="AE657" s="34" t="str">
        <f t="shared" si="469"/>
        <v/>
      </c>
      <c r="AF657" s="32" t="str">
        <f t="shared" si="470"/>
        <v/>
      </c>
      <c r="AG657" s="32" t="str">
        <f t="shared" si="471"/>
        <v/>
      </c>
      <c r="AH657" s="32" t="str">
        <f t="shared" si="472"/>
        <v/>
      </c>
      <c r="AI657" s="35" t="str">
        <f t="shared" si="473"/>
        <v/>
      </c>
      <c r="AJ657" s="23" t="str">
        <f t="array" ref="AJ657">IFERROR(SMALL(IF(U$1:U$1000="BEGIN",ROW(U$1:U$1000)),ROW()-3),"")</f>
        <v/>
      </c>
      <c r="AK657" s="23" t="str">
        <f t="array" ref="AK657">IFERROR(SMALL(IF(V$1:V$1000="END",ROW(V$1:V$1000)),ROW()-3),"")</f>
        <v/>
      </c>
      <c r="AL657" s="24" t="str">
        <f t="array" ref="AL657">IF(AK657="","",MATCH(AM657,L:L,0))</f>
        <v/>
      </c>
      <c r="AM657" s="35">
        <f t="array" ref="AM657">MAX(IF((B$4:B$1000&lt;=AK657)*(B$4:B$1000&gt;=AJ657),L$4:L$1000, ""))</f>
        <v>0</v>
      </c>
      <c r="AN657" s="32" t="str">
        <f t="shared" si="437"/>
        <v/>
      </c>
      <c r="AO657" s="32" t="str">
        <f t="shared" si="438"/>
        <v/>
      </c>
      <c r="AP657" s="32" t="str">
        <f t="shared" si="439"/>
        <v/>
      </c>
      <c r="AQ657" s="32" t="str">
        <f t="shared" si="440"/>
        <v/>
      </c>
      <c r="AR657" s="32" t="str">
        <f t="shared" si="441"/>
        <v/>
      </c>
      <c r="AS657" s="32" t="str">
        <f t="shared" si="442"/>
        <v/>
      </c>
      <c r="AT657" s="32" t="str">
        <f t="shared" si="443"/>
        <v/>
      </c>
      <c r="AU657" s="34" t="str">
        <f t="shared" si="444"/>
        <v/>
      </c>
      <c r="AV657" s="32" t="str">
        <f t="shared" si="445"/>
        <v/>
      </c>
      <c r="AW657" s="32" t="str">
        <f t="shared" si="446"/>
        <v/>
      </c>
      <c r="AX657" s="32" t="str">
        <f t="shared" si="447"/>
        <v/>
      </c>
      <c r="AY657" s="32" t="str">
        <f t="shared" si="448"/>
        <v/>
      </c>
    </row>
    <row r="658" spans="1:51" x14ac:dyDescent="0.25">
      <c r="A658" s="24" t="str">
        <f t="shared" si="449"/>
        <v/>
      </c>
      <c r="B658" s="24" t="str">
        <f t="shared" si="459"/>
        <v/>
      </c>
      <c r="C658" s="32" t="str">
        <f t="shared" si="450"/>
        <v/>
      </c>
      <c r="D658" s="24" t="str">
        <f t="shared" si="451"/>
        <v/>
      </c>
      <c r="E658" s="24" t="str">
        <f t="shared" si="452"/>
        <v/>
      </c>
      <c r="F658" s="32" t="str">
        <f t="shared" si="453"/>
        <v/>
      </c>
      <c r="G658" s="32" t="str">
        <f t="shared" si="454"/>
        <v/>
      </c>
      <c r="H658" s="32" t="str">
        <f t="shared" ca="1" si="455"/>
        <v/>
      </c>
      <c r="I658" s="32" t="str">
        <f t="shared" ca="1" si="460"/>
        <v/>
      </c>
      <c r="J658" s="32" t="str">
        <f t="shared" si="456"/>
        <v/>
      </c>
      <c r="K658" s="32" t="str">
        <f>IF(ISNUMBER(A658),Profile!$V$25+Profile!$V$24*'Ri-Po'!C658,"")</f>
        <v/>
      </c>
      <c r="L658" s="32" t="str">
        <f t="shared" si="461"/>
        <v/>
      </c>
      <c r="M658" s="32" t="str">
        <f t="shared" si="457"/>
        <v/>
      </c>
      <c r="N658" s="32" t="str">
        <f t="shared" si="458"/>
        <v/>
      </c>
      <c r="O658" s="32" t="str">
        <f t="shared" si="474"/>
        <v/>
      </c>
      <c r="P658" s="32" t="str">
        <f t="shared" si="462"/>
        <v/>
      </c>
      <c r="Q658" s="32" t="str">
        <f t="shared" si="463"/>
        <v/>
      </c>
      <c r="R658" s="32" t="str">
        <f t="shared" si="475"/>
        <v/>
      </c>
      <c r="S658" s="24" t="str">
        <f t="shared" si="476"/>
        <v/>
      </c>
      <c r="T658" s="24" t="str">
        <f t="shared" si="477"/>
        <v/>
      </c>
      <c r="U658" s="24" t="str">
        <f t="shared" si="478"/>
        <v/>
      </c>
      <c r="V658" s="24" t="str">
        <f t="shared" si="479"/>
        <v/>
      </c>
      <c r="W658" s="23" t="str">
        <f t="array" ref="W658">IFERROR(SMALL(IF(S$1:S$1000="BEGIN",ROW(S$1:S$1000)),ROW()-3),"")</f>
        <v/>
      </c>
      <c r="X658" s="23" t="str">
        <f t="array" ref="X658">IFERROR(SMALL(IF(T$1:T$1000="END",ROW(T$1:T$1000)),ROW()-3),"")</f>
        <v/>
      </c>
      <c r="Y658" s="33" t="str">
        <f t="array" ref="Y658">IF(ISNUMBER(W658),MAX(IF((B$4:B$1000&lt;=X658)*(B$4:B$1000&gt;=W658),I$4:I$1000, "")),"")</f>
        <v/>
      </c>
      <c r="Z658" s="33" t="str">
        <f t="shared" si="464"/>
        <v/>
      </c>
      <c r="AA658" s="32" t="str">
        <f t="shared" si="465"/>
        <v/>
      </c>
      <c r="AB658" s="32" t="str">
        <f t="shared" si="466"/>
        <v/>
      </c>
      <c r="AC658" s="32" t="str">
        <f t="shared" si="467"/>
        <v/>
      </c>
      <c r="AD658" s="32" t="str">
        <f t="shared" si="468"/>
        <v/>
      </c>
      <c r="AE658" s="34" t="str">
        <f t="shared" si="469"/>
        <v/>
      </c>
      <c r="AF658" s="32" t="str">
        <f t="shared" si="470"/>
        <v/>
      </c>
      <c r="AG658" s="32" t="str">
        <f t="shared" si="471"/>
        <v/>
      </c>
      <c r="AH658" s="32" t="str">
        <f t="shared" si="472"/>
        <v/>
      </c>
      <c r="AI658" s="35" t="str">
        <f t="shared" si="473"/>
        <v/>
      </c>
      <c r="AJ658" s="23" t="str">
        <f t="array" ref="AJ658">IFERROR(SMALL(IF(U$1:U$1000="BEGIN",ROW(U$1:U$1000)),ROW()-3),"")</f>
        <v/>
      </c>
      <c r="AK658" s="23" t="str">
        <f t="array" ref="AK658">IFERROR(SMALL(IF(V$1:V$1000="END",ROW(V$1:V$1000)),ROW()-3),"")</f>
        <v/>
      </c>
      <c r="AL658" s="24" t="str">
        <f t="array" ref="AL658">IF(AK658="","",MATCH(AM658,L:L,0))</f>
        <v/>
      </c>
      <c r="AM658" s="35">
        <f t="array" ref="AM658">MAX(IF((B$4:B$1000&lt;=AK658)*(B$4:B$1000&gt;=AJ658),L$4:L$1000, ""))</f>
        <v>0</v>
      </c>
      <c r="AN658" s="32" t="str">
        <f t="shared" ref="AN658:AN721" si="480">IFERROR(INDEX(C:C,AJ658),"")</f>
        <v/>
      </c>
      <c r="AO658" s="32" t="str">
        <f t="shared" ref="AO658:AO721" si="481">IFERROR(INDEX(C:C,AK658),"")</f>
        <v/>
      </c>
      <c r="AP658" s="32" t="str">
        <f t="shared" ref="AP658:AP721" si="482">IFERROR(INDEX(C:C,AL658),"")</f>
        <v/>
      </c>
      <c r="AQ658" s="32" t="str">
        <f t="shared" ref="AQ658:AQ721" si="483">IF(ISNUMBER(AN658),AM658,"")</f>
        <v/>
      </c>
      <c r="AR658" s="32" t="str">
        <f t="shared" ref="AR658:AR721" si="484">IFERROR(AO658-AN658,"")</f>
        <v/>
      </c>
      <c r="AS658" s="32" t="str">
        <f t="shared" ref="AS658:AS721" si="485">IFERROR(INDEX(H:H,AJ658),"")</f>
        <v/>
      </c>
      <c r="AT658" s="32" t="str">
        <f t="shared" ref="AT658:AT721" si="486">IFERROR(INDEX(H:H,AK658),"")</f>
        <v/>
      </c>
      <c r="AU658" s="34" t="str">
        <f t="shared" ref="AU658:AU721" si="487">IFERROR((AS658-AT658)/(AR658),"")</f>
        <v/>
      </c>
      <c r="AV658" s="32" t="str">
        <f t="shared" ref="AV658:AV721" si="488">IFERROR(AQ658/$BB$17,"")</f>
        <v/>
      </c>
      <c r="AW658" s="32" t="str">
        <f t="shared" ref="AW658:AW721" si="489">IFERROR(AU658/BB$19,"")</f>
        <v/>
      </c>
      <c r="AX658" s="32" t="str">
        <f t="shared" ref="AX658:AX721" si="490">IFERROR(AP659-AP658,"")</f>
        <v/>
      </c>
      <c r="AY658" s="32" t="str">
        <f t="shared" ref="AY658:AY721" si="491">IFERROR(AX658/BB$16,"")</f>
        <v/>
      </c>
    </row>
    <row r="659" spans="1:51" x14ac:dyDescent="0.25">
      <c r="A659" s="24" t="str">
        <f t="shared" si="449"/>
        <v/>
      </c>
      <c r="B659" s="24" t="str">
        <f t="shared" si="459"/>
        <v/>
      </c>
      <c r="C659" s="32" t="str">
        <f t="shared" si="450"/>
        <v/>
      </c>
      <c r="D659" s="24" t="str">
        <f t="shared" si="451"/>
        <v/>
      </c>
      <c r="E659" s="24" t="str">
        <f t="shared" si="452"/>
        <v/>
      </c>
      <c r="F659" s="32" t="str">
        <f t="shared" si="453"/>
        <v/>
      </c>
      <c r="G659" s="32" t="str">
        <f t="shared" si="454"/>
        <v/>
      </c>
      <c r="H659" s="32" t="str">
        <f t="shared" ca="1" si="455"/>
        <v/>
      </c>
      <c r="I659" s="32" t="str">
        <f t="shared" ca="1" si="460"/>
        <v/>
      </c>
      <c r="J659" s="32" t="str">
        <f t="shared" si="456"/>
        <v/>
      </c>
      <c r="K659" s="32" t="str">
        <f>IF(ISNUMBER(A659),Profile!$V$25+Profile!$V$24*'Ri-Po'!C659,"")</f>
        <v/>
      </c>
      <c r="L659" s="32" t="str">
        <f t="shared" si="461"/>
        <v/>
      </c>
      <c r="M659" s="32" t="str">
        <f t="shared" si="457"/>
        <v/>
      </c>
      <c r="N659" s="32" t="str">
        <f t="shared" si="458"/>
        <v/>
      </c>
      <c r="O659" s="32" t="str">
        <f t="shared" si="474"/>
        <v/>
      </c>
      <c r="P659" s="32" t="str">
        <f t="shared" si="462"/>
        <v/>
      </c>
      <c r="Q659" s="32" t="str">
        <f t="shared" si="463"/>
        <v/>
      </c>
      <c r="R659" s="32" t="str">
        <f t="shared" si="475"/>
        <v/>
      </c>
      <c r="S659" s="24" t="str">
        <f t="shared" si="476"/>
        <v/>
      </c>
      <c r="T659" s="24" t="str">
        <f t="shared" si="477"/>
        <v/>
      </c>
      <c r="U659" s="24" t="str">
        <f t="shared" si="478"/>
        <v/>
      </c>
      <c r="V659" s="24" t="str">
        <f t="shared" si="479"/>
        <v/>
      </c>
      <c r="W659" s="23" t="str">
        <f t="array" ref="W659">IFERROR(SMALL(IF(S$1:S$1000="BEGIN",ROW(S$1:S$1000)),ROW()-3),"")</f>
        <v/>
      </c>
      <c r="X659" s="23" t="str">
        <f t="array" ref="X659">IFERROR(SMALL(IF(T$1:T$1000="END",ROW(T$1:T$1000)),ROW()-3),"")</f>
        <v/>
      </c>
      <c r="Y659" s="33" t="str">
        <f t="array" ref="Y659">IF(ISNUMBER(W659),MAX(IF((B$4:B$1000&lt;=X659)*(B$4:B$1000&gt;=W659),I$4:I$1000, "")),"")</f>
        <v/>
      </c>
      <c r="Z659" s="33" t="str">
        <f t="shared" si="464"/>
        <v/>
      </c>
      <c r="AA659" s="32" t="str">
        <f t="shared" si="465"/>
        <v/>
      </c>
      <c r="AB659" s="32" t="str">
        <f t="shared" si="466"/>
        <v/>
      </c>
      <c r="AC659" s="32" t="str">
        <f t="shared" si="467"/>
        <v/>
      </c>
      <c r="AD659" s="32" t="str">
        <f t="shared" si="468"/>
        <v/>
      </c>
      <c r="AE659" s="34" t="str">
        <f t="shared" si="469"/>
        <v/>
      </c>
      <c r="AF659" s="32" t="str">
        <f t="shared" si="470"/>
        <v/>
      </c>
      <c r="AG659" s="32" t="str">
        <f t="shared" si="471"/>
        <v/>
      </c>
      <c r="AH659" s="32" t="str">
        <f t="shared" si="472"/>
        <v/>
      </c>
      <c r="AI659" s="35" t="str">
        <f t="shared" si="473"/>
        <v/>
      </c>
      <c r="AJ659" s="23" t="str">
        <f t="array" ref="AJ659">IFERROR(SMALL(IF(U$1:U$1000="BEGIN",ROW(U$1:U$1000)),ROW()-3),"")</f>
        <v/>
      </c>
      <c r="AK659" s="23" t="str">
        <f t="array" ref="AK659">IFERROR(SMALL(IF(V$1:V$1000="END",ROW(V$1:V$1000)),ROW()-3),"")</f>
        <v/>
      </c>
      <c r="AL659" s="24" t="str">
        <f t="array" ref="AL659">IF(AK659="","",MATCH(AM659,L:L,0))</f>
        <v/>
      </c>
      <c r="AM659" s="35">
        <f t="array" ref="AM659">MAX(IF((B$4:B$1000&lt;=AK659)*(B$4:B$1000&gt;=AJ659),L$4:L$1000, ""))</f>
        <v>0</v>
      </c>
      <c r="AN659" s="32" t="str">
        <f t="shared" si="480"/>
        <v/>
      </c>
      <c r="AO659" s="32" t="str">
        <f t="shared" si="481"/>
        <v/>
      </c>
      <c r="AP659" s="32" t="str">
        <f t="shared" si="482"/>
        <v/>
      </c>
      <c r="AQ659" s="32" t="str">
        <f t="shared" si="483"/>
        <v/>
      </c>
      <c r="AR659" s="32" t="str">
        <f t="shared" si="484"/>
        <v/>
      </c>
      <c r="AS659" s="32" t="str">
        <f t="shared" si="485"/>
        <v/>
      </c>
      <c r="AT659" s="32" t="str">
        <f t="shared" si="486"/>
        <v/>
      </c>
      <c r="AU659" s="34" t="str">
        <f t="shared" si="487"/>
        <v/>
      </c>
      <c r="AV659" s="32" t="str">
        <f t="shared" si="488"/>
        <v/>
      </c>
      <c r="AW659" s="32" t="str">
        <f t="shared" si="489"/>
        <v/>
      </c>
      <c r="AX659" s="32" t="str">
        <f t="shared" si="490"/>
        <v/>
      </c>
      <c r="AY659" s="32" t="str">
        <f t="shared" si="491"/>
        <v/>
      </c>
    </row>
    <row r="660" spans="1:51" x14ac:dyDescent="0.25">
      <c r="A660" s="24" t="str">
        <f t="shared" si="449"/>
        <v/>
      </c>
      <c r="B660" s="24" t="str">
        <f t="shared" si="459"/>
        <v/>
      </c>
      <c r="C660" s="32" t="str">
        <f t="shared" si="450"/>
        <v/>
      </c>
      <c r="D660" s="24" t="str">
        <f t="shared" si="451"/>
        <v/>
      </c>
      <c r="E660" s="24" t="str">
        <f t="shared" si="452"/>
        <v/>
      </c>
      <c r="F660" s="32" t="str">
        <f t="shared" si="453"/>
        <v/>
      </c>
      <c r="G660" s="32" t="str">
        <f t="shared" si="454"/>
        <v/>
      </c>
      <c r="H660" s="32" t="str">
        <f t="shared" ca="1" si="455"/>
        <v/>
      </c>
      <c r="I660" s="32" t="str">
        <f t="shared" ca="1" si="460"/>
        <v/>
      </c>
      <c r="J660" s="32" t="str">
        <f t="shared" si="456"/>
        <v/>
      </c>
      <c r="K660" s="32" t="str">
        <f>IF(ISNUMBER(A660),Profile!$V$25+Profile!$V$24*'Ri-Po'!C660,"")</f>
        <v/>
      </c>
      <c r="L660" s="32" t="str">
        <f t="shared" si="461"/>
        <v/>
      </c>
      <c r="M660" s="32" t="str">
        <f t="shared" si="457"/>
        <v/>
      </c>
      <c r="N660" s="32" t="str">
        <f t="shared" si="458"/>
        <v/>
      </c>
      <c r="O660" s="32" t="str">
        <f t="shared" si="474"/>
        <v/>
      </c>
      <c r="P660" s="32" t="str">
        <f t="shared" si="462"/>
        <v/>
      </c>
      <c r="Q660" s="32" t="str">
        <f t="shared" si="463"/>
        <v/>
      </c>
      <c r="R660" s="32" t="str">
        <f t="shared" si="475"/>
        <v/>
      </c>
      <c r="S660" s="24" t="str">
        <f t="shared" si="476"/>
        <v/>
      </c>
      <c r="T660" s="24" t="str">
        <f t="shared" si="477"/>
        <v/>
      </c>
      <c r="U660" s="24" t="str">
        <f t="shared" si="478"/>
        <v/>
      </c>
      <c r="V660" s="24" t="str">
        <f t="shared" si="479"/>
        <v/>
      </c>
      <c r="W660" s="23" t="str">
        <f t="array" ref="W660">IFERROR(SMALL(IF(S$1:S$1000="BEGIN",ROW(S$1:S$1000)),ROW()-3),"")</f>
        <v/>
      </c>
      <c r="X660" s="23" t="str">
        <f t="array" ref="X660">IFERROR(SMALL(IF(T$1:T$1000="END",ROW(T$1:T$1000)),ROW()-3),"")</f>
        <v/>
      </c>
      <c r="Y660" s="33" t="str">
        <f t="array" ref="Y660">IF(ISNUMBER(W660),MAX(IF((B$4:B$1000&lt;=X660)*(B$4:B$1000&gt;=W660),I$4:I$1000, "")),"")</f>
        <v/>
      </c>
      <c r="Z660" s="33" t="str">
        <f t="shared" si="464"/>
        <v/>
      </c>
      <c r="AA660" s="32" t="str">
        <f t="shared" si="465"/>
        <v/>
      </c>
      <c r="AB660" s="32" t="str">
        <f t="shared" si="466"/>
        <v/>
      </c>
      <c r="AC660" s="32" t="str">
        <f t="shared" si="467"/>
        <v/>
      </c>
      <c r="AD660" s="32" t="str">
        <f t="shared" si="468"/>
        <v/>
      </c>
      <c r="AE660" s="34" t="str">
        <f t="shared" si="469"/>
        <v/>
      </c>
      <c r="AF660" s="32" t="str">
        <f t="shared" si="470"/>
        <v/>
      </c>
      <c r="AG660" s="32" t="str">
        <f t="shared" si="471"/>
        <v/>
      </c>
      <c r="AH660" s="32" t="str">
        <f t="shared" si="472"/>
        <v/>
      </c>
      <c r="AI660" s="35" t="str">
        <f t="shared" si="473"/>
        <v/>
      </c>
      <c r="AJ660" s="23" t="str">
        <f t="array" ref="AJ660">IFERROR(SMALL(IF(U$1:U$1000="BEGIN",ROW(U$1:U$1000)),ROW()-3),"")</f>
        <v/>
      </c>
      <c r="AK660" s="23" t="str">
        <f t="array" ref="AK660">IFERROR(SMALL(IF(V$1:V$1000="END",ROW(V$1:V$1000)),ROW()-3),"")</f>
        <v/>
      </c>
      <c r="AL660" s="24" t="str">
        <f t="array" ref="AL660">IF(AK660="","",MATCH(AM660,L:L,0))</f>
        <v/>
      </c>
      <c r="AM660" s="35">
        <f t="array" ref="AM660">MAX(IF((B$4:B$1000&lt;=AK660)*(B$4:B$1000&gt;=AJ660),L$4:L$1000, ""))</f>
        <v>0</v>
      </c>
      <c r="AN660" s="32" t="str">
        <f t="shared" si="480"/>
        <v/>
      </c>
      <c r="AO660" s="32" t="str">
        <f t="shared" si="481"/>
        <v/>
      </c>
      <c r="AP660" s="32" t="str">
        <f t="shared" si="482"/>
        <v/>
      </c>
      <c r="AQ660" s="32" t="str">
        <f t="shared" si="483"/>
        <v/>
      </c>
      <c r="AR660" s="32" t="str">
        <f t="shared" si="484"/>
        <v/>
      </c>
      <c r="AS660" s="32" t="str">
        <f t="shared" si="485"/>
        <v/>
      </c>
      <c r="AT660" s="32" t="str">
        <f t="shared" si="486"/>
        <v/>
      </c>
      <c r="AU660" s="34" t="str">
        <f t="shared" si="487"/>
        <v/>
      </c>
      <c r="AV660" s="32" t="str">
        <f t="shared" si="488"/>
        <v/>
      </c>
      <c r="AW660" s="32" t="str">
        <f t="shared" si="489"/>
        <v/>
      </c>
      <c r="AX660" s="32" t="str">
        <f t="shared" si="490"/>
        <v/>
      </c>
      <c r="AY660" s="32" t="str">
        <f t="shared" si="491"/>
        <v/>
      </c>
    </row>
    <row r="661" spans="1:51" x14ac:dyDescent="0.25">
      <c r="A661" s="24" t="str">
        <f t="shared" si="449"/>
        <v/>
      </c>
      <c r="B661" s="24" t="str">
        <f t="shared" si="459"/>
        <v/>
      </c>
      <c r="C661" s="32" t="str">
        <f t="shared" si="450"/>
        <v/>
      </c>
      <c r="D661" s="24" t="str">
        <f t="shared" si="451"/>
        <v/>
      </c>
      <c r="E661" s="24" t="str">
        <f t="shared" si="452"/>
        <v/>
      </c>
      <c r="F661" s="32" t="str">
        <f t="shared" si="453"/>
        <v/>
      </c>
      <c r="G661" s="32" t="str">
        <f t="shared" si="454"/>
        <v/>
      </c>
      <c r="H661" s="32" t="str">
        <f t="shared" ca="1" si="455"/>
        <v/>
      </c>
      <c r="I661" s="32" t="str">
        <f t="shared" ca="1" si="460"/>
        <v/>
      </c>
      <c r="J661" s="32" t="str">
        <f t="shared" si="456"/>
        <v/>
      </c>
      <c r="K661" s="32" t="str">
        <f>IF(ISNUMBER(A661),Profile!$V$25+Profile!$V$24*'Ri-Po'!C661,"")</f>
        <v/>
      </c>
      <c r="L661" s="32" t="str">
        <f t="shared" si="461"/>
        <v/>
      </c>
      <c r="M661" s="32" t="str">
        <f t="shared" si="457"/>
        <v/>
      </c>
      <c r="N661" s="32" t="str">
        <f t="shared" si="458"/>
        <v/>
      </c>
      <c r="O661" s="32" t="str">
        <f t="shared" si="474"/>
        <v/>
      </c>
      <c r="P661" s="32" t="str">
        <f t="shared" si="462"/>
        <v/>
      </c>
      <c r="Q661" s="32" t="str">
        <f t="shared" si="463"/>
        <v/>
      </c>
      <c r="R661" s="32" t="str">
        <f t="shared" si="475"/>
        <v/>
      </c>
      <c r="S661" s="24" t="str">
        <f t="shared" si="476"/>
        <v/>
      </c>
      <c r="T661" s="24" t="str">
        <f t="shared" si="477"/>
        <v/>
      </c>
      <c r="U661" s="24" t="str">
        <f t="shared" si="478"/>
        <v/>
      </c>
      <c r="V661" s="24" t="str">
        <f t="shared" si="479"/>
        <v/>
      </c>
      <c r="W661" s="23" t="str">
        <f t="array" ref="W661">IFERROR(SMALL(IF(S$1:S$1000="BEGIN",ROW(S$1:S$1000)),ROW()-3),"")</f>
        <v/>
      </c>
      <c r="X661" s="23" t="str">
        <f t="array" ref="X661">IFERROR(SMALL(IF(T$1:T$1000="END",ROW(T$1:T$1000)),ROW()-3),"")</f>
        <v/>
      </c>
      <c r="Y661" s="33" t="str">
        <f t="array" ref="Y661">IF(ISNUMBER(W661),MAX(IF((B$4:B$1000&lt;=X661)*(B$4:B$1000&gt;=W661),I$4:I$1000, "")),"")</f>
        <v/>
      </c>
      <c r="Z661" s="33" t="str">
        <f t="shared" si="464"/>
        <v/>
      </c>
      <c r="AA661" s="32" t="str">
        <f t="shared" si="465"/>
        <v/>
      </c>
      <c r="AB661" s="32" t="str">
        <f t="shared" si="466"/>
        <v/>
      </c>
      <c r="AC661" s="32" t="str">
        <f t="shared" si="467"/>
        <v/>
      </c>
      <c r="AD661" s="32" t="str">
        <f t="shared" si="468"/>
        <v/>
      </c>
      <c r="AE661" s="34" t="str">
        <f t="shared" si="469"/>
        <v/>
      </c>
      <c r="AF661" s="32" t="str">
        <f t="shared" si="470"/>
        <v/>
      </c>
      <c r="AG661" s="32" t="str">
        <f t="shared" si="471"/>
        <v/>
      </c>
      <c r="AH661" s="32" t="str">
        <f t="shared" si="472"/>
        <v/>
      </c>
      <c r="AI661" s="35" t="str">
        <f t="shared" si="473"/>
        <v/>
      </c>
      <c r="AJ661" s="23" t="str">
        <f t="array" ref="AJ661">IFERROR(SMALL(IF(U$1:U$1000="BEGIN",ROW(U$1:U$1000)),ROW()-3),"")</f>
        <v/>
      </c>
      <c r="AK661" s="23" t="str">
        <f t="array" ref="AK661">IFERROR(SMALL(IF(V$1:V$1000="END",ROW(V$1:V$1000)),ROW()-3),"")</f>
        <v/>
      </c>
      <c r="AL661" s="24" t="str">
        <f t="array" ref="AL661">IF(AK661="","",MATCH(AM661,L:L,0))</f>
        <v/>
      </c>
      <c r="AM661" s="35">
        <f t="array" ref="AM661">MAX(IF((B$4:B$1000&lt;=AK661)*(B$4:B$1000&gt;=AJ661),L$4:L$1000, ""))</f>
        <v>0</v>
      </c>
      <c r="AN661" s="32" t="str">
        <f t="shared" si="480"/>
        <v/>
      </c>
      <c r="AO661" s="32" t="str">
        <f t="shared" si="481"/>
        <v/>
      </c>
      <c r="AP661" s="32" t="str">
        <f t="shared" si="482"/>
        <v/>
      </c>
      <c r="AQ661" s="32" t="str">
        <f t="shared" si="483"/>
        <v/>
      </c>
      <c r="AR661" s="32" t="str">
        <f t="shared" si="484"/>
        <v/>
      </c>
      <c r="AS661" s="32" t="str">
        <f t="shared" si="485"/>
        <v/>
      </c>
      <c r="AT661" s="32" t="str">
        <f t="shared" si="486"/>
        <v/>
      </c>
      <c r="AU661" s="34" t="str">
        <f t="shared" si="487"/>
        <v/>
      </c>
      <c r="AV661" s="32" t="str">
        <f t="shared" si="488"/>
        <v/>
      </c>
      <c r="AW661" s="32" t="str">
        <f t="shared" si="489"/>
        <v/>
      </c>
      <c r="AX661" s="32" t="str">
        <f t="shared" si="490"/>
        <v/>
      </c>
      <c r="AY661" s="32" t="str">
        <f t="shared" si="491"/>
        <v/>
      </c>
    </row>
    <row r="662" spans="1:51" x14ac:dyDescent="0.25">
      <c r="A662" s="24" t="str">
        <f t="shared" si="449"/>
        <v/>
      </c>
      <c r="B662" s="24" t="str">
        <f t="shared" si="459"/>
        <v/>
      </c>
      <c r="C662" s="32" t="str">
        <f t="shared" si="450"/>
        <v/>
      </c>
      <c r="D662" s="24" t="str">
        <f t="shared" si="451"/>
        <v/>
      </c>
      <c r="E662" s="24" t="str">
        <f t="shared" si="452"/>
        <v/>
      </c>
      <c r="F662" s="32" t="str">
        <f t="shared" si="453"/>
        <v/>
      </c>
      <c r="G662" s="32" t="str">
        <f t="shared" si="454"/>
        <v/>
      </c>
      <c r="H662" s="32" t="str">
        <f t="shared" ca="1" si="455"/>
        <v/>
      </c>
      <c r="I662" s="32" t="str">
        <f t="shared" ca="1" si="460"/>
        <v/>
      </c>
      <c r="J662" s="32" t="str">
        <f t="shared" si="456"/>
        <v/>
      </c>
      <c r="K662" s="32" t="str">
        <f>IF(ISNUMBER(A662),Profile!$V$25+Profile!$V$24*'Ri-Po'!C662,"")</f>
        <v/>
      </c>
      <c r="L662" s="32" t="str">
        <f t="shared" si="461"/>
        <v/>
      </c>
      <c r="M662" s="32" t="str">
        <f t="shared" si="457"/>
        <v/>
      </c>
      <c r="N662" s="32" t="str">
        <f t="shared" si="458"/>
        <v/>
      </c>
      <c r="O662" s="32" t="str">
        <f t="shared" si="474"/>
        <v/>
      </c>
      <c r="P662" s="32" t="str">
        <f t="shared" si="462"/>
        <v/>
      </c>
      <c r="Q662" s="32" t="str">
        <f t="shared" si="463"/>
        <v/>
      </c>
      <c r="R662" s="32" t="str">
        <f t="shared" si="475"/>
        <v/>
      </c>
      <c r="S662" s="24" t="str">
        <f t="shared" si="476"/>
        <v/>
      </c>
      <c r="T662" s="24" t="str">
        <f t="shared" si="477"/>
        <v/>
      </c>
      <c r="U662" s="24" t="str">
        <f t="shared" si="478"/>
        <v/>
      </c>
      <c r="V662" s="24" t="str">
        <f t="shared" si="479"/>
        <v/>
      </c>
      <c r="W662" s="23" t="str">
        <f t="array" ref="W662">IFERROR(SMALL(IF(S$1:S$1000="BEGIN",ROW(S$1:S$1000)),ROW()-3),"")</f>
        <v/>
      </c>
      <c r="X662" s="23" t="str">
        <f t="array" ref="X662">IFERROR(SMALL(IF(T$1:T$1000="END",ROW(T$1:T$1000)),ROW()-3),"")</f>
        <v/>
      </c>
      <c r="Y662" s="33" t="str">
        <f t="array" ref="Y662">IF(ISNUMBER(W662),MAX(IF((B$4:B$1000&lt;=X662)*(B$4:B$1000&gt;=W662),I$4:I$1000, "")),"")</f>
        <v/>
      </c>
      <c r="Z662" s="33" t="str">
        <f t="shared" si="464"/>
        <v/>
      </c>
      <c r="AA662" s="32" t="str">
        <f t="shared" si="465"/>
        <v/>
      </c>
      <c r="AB662" s="32" t="str">
        <f t="shared" si="466"/>
        <v/>
      </c>
      <c r="AC662" s="32" t="str">
        <f t="shared" si="467"/>
        <v/>
      </c>
      <c r="AD662" s="32" t="str">
        <f t="shared" si="468"/>
        <v/>
      </c>
      <c r="AE662" s="34" t="str">
        <f t="shared" si="469"/>
        <v/>
      </c>
      <c r="AF662" s="32" t="str">
        <f t="shared" si="470"/>
        <v/>
      </c>
      <c r="AG662" s="32" t="str">
        <f t="shared" si="471"/>
        <v/>
      </c>
      <c r="AH662" s="32" t="str">
        <f t="shared" si="472"/>
        <v/>
      </c>
      <c r="AI662" s="35" t="str">
        <f t="shared" si="473"/>
        <v/>
      </c>
      <c r="AJ662" s="23" t="str">
        <f t="array" ref="AJ662">IFERROR(SMALL(IF(U$1:U$1000="BEGIN",ROW(U$1:U$1000)),ROW()-3),"")</f>
        <v/>
      </c>
      <c r="AK662" s="23" t="str">
        <f t="array" ref="AK662">IFERROR(SMALL(IF(V$1:V$1000="END",ROW(V$1:V$1000)),ROW()-3),"")</f>
        <v/>
      </c>
      <c r="AL662" s="24" t="str">
        <f t="array" ref="AL662">IF(AK662="","",MATCH(AM662,L:L,0))</f>
        <v/>
      </c>
      <c r="AM662" s="35">
        <f t="array" ref="AM662">MAX(IF((B$4:B$1000&lt;=AK662)*(B$4:B$1000&gt;=AJ662),L$4:L$1000, ""))</f>
        <v>0</v>
      </c>
      <c r="AN662" s="32" t="str">
        <f t="shared" si="480"/>
        <v/>
      </c>
      <c r="AO662" s="32" t="str">
        <f t="shared" si="481"/>
        <v/>
      </c>
      <c r="AP662" s="32" t="str">
        <f t="shared" si="482"/>
        <v/>
      </c>
      <c r="AQ662" s="32" t="str">
        <f t="shared" si="483"/>
        <v/>
      </c>
      <c r="AR662" s="32" t="str">
        <f t="shared" si="484"/>
        <v/>
      </c>
      <c r="AS662" s="32" t="str">
        <f t="shared" si="485"/>
        <v/>
      </c>
      <c r="AT662" s="32" t="str">
        <f t="shared" si="486"/>
        <v/>
      </c>
      <c r="AU662" s="34" t="str">
        <f t="shared" si="487"/>
        <v/>
      </c>
      <c r="AV662" s="32" t="str">
        <f t="shared" si="488"/>
        <v/>
      </c>
      <c r="AW662" s="32" t="str">
        <f t="shared" si="489"/>
        <v/>
      </c>
      <c r="AX662" s="32" t="str">
        <f t="shared" si="490"/>
        <v/>
      </c>
      <c r="AY662" s="32" t="str">
        <f t="shared" si="491"/>
        <v/>
      </c>
    </row>
    <row r="663" spans="1:51" x14ac:dyDescent="0.25">
      <c r="A663" s="24" t="str">
        <f t="shared" si="449"/>
        <v/>
      </c>
      <c r="B663" s="24" t="str">
        <f t="shared" si="459"/>
        <v/>
      </c>
      <c r="C663" s="32" t="str">
        <f t="shared" si="450"/>
        <v/>
      </c>
      <c r="D663" s="24" t="str">
        <f t="shared" si="451"/>
        <v/>
      </c>
      <c r="E663" s="24" t="str">
        <f t="shared" si="452"/>
        <v/>
      </c>
      <c r="F663" s="32" t="str">
        <f t="shared" si="453"/>
        <v/>
      </c>
      <c r="G663" s="32" t="str">
        <f t="shared" si="454"/>
        <v/>
      </c>
      <c r="H663" s="32" t="str">
        <f t="shared" ca="1" si="455"/>
        <v/>
      </c>
      <c r="I663" s="32" t="str">
        <f t="shared" ca="1" si="460"/>
        <v/>
      </c>
      <c r="J663" s="32" t="str">
        <f t="shared" si="456"/>
        <v/>
      </c>
      <c r="K663" s="32" t="str">
        <f>IF(ISNUMBER(A663),Profile!$V$25+Profile!$V$24*'Ri-Po'!C663,"")</f>
        <v/>
      </c>
      <c r="L663" s="32" t="str">
        <f t="shared" si="461"/>
        <v/>
      </c>
      <c r="M663" s="32" t="str">
        <f t="shared" si="457"/>
        <v/>
      </c>
      <c r="N663" s="32" t="str">
        <f t="shared" si="458"/>
        <v/>
      </c>
      <c r="O663" s="32" t="str">
        <f t="shared" si="474"/>
        <v/>
      </c>
      <c r="P663" s="32" t="str">
        <f t="shared" si="462"/>
        <v/>
      </c>
      <c r="Q663" s="32" t="str">
        <f t="shared" si="463"/>
        <v/>
      </c>
      <c r="R663" s="32" t="str">
        <f t="shared" si="475"/>
        <v/>
      </c>
      <c r="S663" s="24" t="str">
        <f t="shared" si="476"/>
        <v/>
      </c>
      <c r="T663" s="24" t="str">
        <f t="shared" si="477"/>
        <v/>
      </c>
      <c r="U663" s="24" t="str">
        <f t="shared" si="478"/>
        <v/>
      </c>
      <c r="V663" s="24" t="str">
        <f t="shared" si="479"/>
        <v/>
      </c>
      <c r="W663" s="23" t="str">
        <f t="array" ref="W663">IFERROR(SMALL(IF(S$1:S$1000="BEGIN",ROW(S$1:S$1000)),ROW()-3),"")</f>
        <v/>
      </c>
      <c r="X663" s="23" t="str">
        <f t="array" ref="X663">IFERROR(SMALL(IF(T$1:T$1000="END",ROW(T$1:T$1000)),ROW()-3),"")</f>
        <v/>
      </c>
      <c r="Y663" s="33" t="str">
        <f t="array" ref="Y663">IF(ISNUMBER(W663),MAX(IF((B$4:B$1000&lt;=X663)*(B$4:B$1000&gt;=W663),I$4:I$1000, "")),"")</f>
        <v/>
      </c>
      <c r="Z663" s="33" t="str">
        <f t="shared" si="464"/>
        <v/>
      </c>
      <c r="AA663" s="32" t="str">
        <f t="shared" si="465"/>
        <v/>
      </c>
      <c r="AB663" s="32" t="str">
        <f t="shared" si="466"/>
        <v/>
      </c>
      <c r="AC663" s="32" t="str">
        <f t="shared" si="467"/>
        <v/>
      </c>
      <c r="AD663" s="32" t="str">
        <f t="shared" si="468"/>
        <v/>
      </c>
      <c r="AE663" s="34" t="str">
        <f t="shared" si="469"/>
        <v/>
      </c>
      <c r="AF663" s="32" t="str">
        <f t="shared" si="470"/>
        <v/>
      </c>
      <c r="AG663" s="32" t="str">
        <f t="shared" si="471"/>
        <v/>
      </c>
      <c r="AH663" s="32" t="str">
        <f t="shared" si="472"/>
        <v/>
      </c>
      <c r="AI663" s="35" t="str">
        <f t="shared" si="473"/>
        <v/>
      </c>
      <c r="AJ663" s="23" t="str">
        <f t="array" ref="AJ663">IFERROR(SMALL(IF(U$1:U$1000="BEGIN",ROW(U$1:U$1000)),ROW()-3),"")</f>
        <v/>
      </c>
      <c r="AK663" s="23" t="str">
        <f t="array" ref="AK663">IFERROR(SMALL(IF(V$1:V$1000="END",ROW(V$1:V$1000)),ROW()-3),"")</f>
        <v/>
      </c>
      <c r="AL663" s="24" t="str">
        <f t="array" ref="AL663">IF(AK663="","",MATCH(AM663,L:L,0))</f>
        <v/>
      </c>
      <c r="AM663" s="35">
        <f t="array" ref="AM663">MAX(IF((B$4:B$1000&lt;=AK663)*(B$4:B$1000&gt;=AJ663),L$4:L$1000, ""))</f>
        <v>0</v>
      </c>
      <c r="AN663" s="32" t="str">
        <f t="shared" si="480"/>
        <v/>
      </c>
      <c r="AO663" s="32" t="str">
        <f t="shared" si="481"/>
        <v/>
      </c>
      <c r="AP663" s="32" t="str">
        <f t="shared" si="482"/>
        <v/>
      </c>
      <c r="AQ663" s="32" t="str">
        <f t="shared" si="483"/>
        <v/>
      </c>
      <c r="AR663" s="32" t="str">
        <f t="shared" si="484"/>
        <v/>
      </c>
      <c r="AS663" s="32" t="str">
        <f t="shared" si="485"/>
        <v/>
      </c>
      <c r="AT663" s="32" t="str">
        <f t="shared" si="486"/>
        <v/>
      </c>
      <c r="AU663" s="34" t="str">
        <f t="shared" si="487"/>
        <v/>
      </c>
      <c r="AV663" s="32" t="str">
        <f t="shared" si="488"/>
        <v/>
      </c>
      <c r="AW663" s="32" t="str">
        <f t="shared" si="489"/>
        <v/>
      </c>
      <c r="AX663" s="32" t="str">
        <f t="shared" si="490"/>
        <v/>
      </c>
      <c r="AY663" s="32" t="str">
        <f t="shared" si="491"/>
        <v/>
      </c>
    </row>
    <row r="664" spans="1:51" x14ac:dyDescent="0.25">
      <c r="A664" s="24" t="str">
        <f t="shared" si="449"/>
        <v/>
      </c>
      <c r="B664" s="24" t="str">
        <f t="shared" si="459"/>
        <v/>
      </c>
      <c r="C664" s="32" t="str">
        <f t="shared" si="450"/>
        <v/>
      </c>
      <c r="D664" s="24" t="str">
        <f t="shared" si="451"/>
        <v/>
      </c>
      <c r="E664" s="24" t="str">
        <f t="shared" si="452"/>
        <v/>
      </c>
      <c r="F664" s="32" t="str">
        <f t="shared" si="453"/>
        <v/>
      </c>
      <c r="G664" s="32" t="str">
        <f t="shared" si="454"/>
        <v/>
      </c>
      <c r="H664" s="32" t="str">
        <f t="shared" ca="1" si="455"/>
        <v/>
      </c>
      <c r="I664" s="32" t="str">
        <f t="shared" ca="1" si="460"/>
        <v/>
      </c>
      <c r="J664" s="32" t="str">
        <f t="shared" si="456"/>
        <v/>
      </c>
      <c r="K664" s="32" t="str">
        <f>IF(ISNUMBER(A664),Profile!$V$25+Profile!$V$24*'Ri-Po'!C664,"")</f>
        <v/>
      </c>
      <c r="L664" s="32" t="str">
        <f t="shared" si="461"/>
        <v/>
      </c>
      <c r="M664" s="32" t="str">
        <f t="shared" si="457"/>
        <v/>
      </c>
      <c r="N664" s="32" t="str">
        <f t="shared" si="458"/>
        <v/>
      </c>
      <c r="O664" s="32" t="str">
        <f t="shared" si="474"/>
        <v/>
      </c>
      <c r="P664" s="32" t="str">
        <f t="shared" si="462"/>
        <v/>
      </c>
      <c r="Q664" s="32" t="str">
        <f t="shared" si="463"/>
        <v/>
      </c>
      <c r="R664" s="32" t="str">
        <f t="shared" si="475"/>
        <v/>
      </c>
      <c r="S664" s="24" t="str">
        <f t="shared" si="476"/>
        <v/>
      </c>
      <c r="T664" s="24" t="str">
        <f t="shared" si="477"/>
        <v/>
      </c>
      <c r="U664" s="24" t="str">
        <f t="shared" si="478"/>
        <v/>
      </c>
      <c r="V664" s="24" t="str">
        <f t="shared" si="479"/>
        <v/>
      </c>
      <c r="W664" s="23" t="str">
        <f t="array" ref="W664">IFERROR(SMALL(IF(S$1:S$1000="BEGIN",ROW(S$1:S$1000)),ROW()-3),"")</f>
        <v/>
      </c>
      <c r="X664" s="23" t="str">
        <f t="array" ref="X664">IFERROR(SMALL(IF(T$1:T$1000="END",ROW(T$1:T$1000)),ROW()-3),"")</f>
        <v/>
      </c>
      <c r="Y664" s="33" t="str">
        <f t="array" ref="Y664">IF(ISNUMBER(W664),MAX(IF((B$4:B$1000&lt;=X664)*(B$4:B$1000&gt;=W664),I$4:I$1000, "")),"")</f>
        <v/>
      </c>
      <c r="Z664" s="33" t="str">
        <f t="shared" si="464"/>
        <v/>
      </c>
      <c r="AA664" s="32" t="str">
        <f t="shared" si="465"/>
        <v/>
      </c>
      <c r="AB664" s="32" t="str">
        <f t="shared" si="466"/>
        <v/>
      </c>
      <c r="AC664" s="32" t="str">
        <f t="shared" si="467"/>
        <v/>
      </c>
      <c r="AD664" s="32" t="str">
        <f t="shared" si="468"/>
        <v/>
      </c>
      <c r="AE664" s="34" t="str">
        <f t="shared" si="469"/>
        <v/>
      </c>
      <c r="AF664" s="32" t="str">
        <f t="shared" si="470"/>
        <v/>
      </c>
      <c r="AG664" s="32" t="str">
        <f t="shared" si="471"/>
        <v/>
      </c>
      <c r="AH664" s="32" t="str">
        <f t="shared" si="472"/>
        <v/>
      </c>
      <c r="AI664" s="35" t="str">
        <f t="shared" si="473"/>
        <v/>
      </c>
      <c r="AJ664" s="23" t="str">
        <f t="array" ref="AJ664">IFERROR(SMALL(IF(U$1:U$1000="BEGIN",ROW(U$1:U$1000)),ROW()-3),"")</f>
        <v/>
      </c>
      <c r="AK664" s="23" t="str">
        <f t="array" ref="AK664">IFERROR(SMALL(IF(V$1:V$1000="END",ROW(V$1:V$1000)),ROW()-3),"")</f>
        <v/>
      </c>
      <c r="AL664" s="24" t="str">
        <f t="array" ref="AL664">IF(AK664="","",MATCH(AM664,L:L,0))</f>
        <v/>
      </c>
      <c r="AM664" s="35">
        <f t="array" ref="AM664">MAX(IF((B$4:B$1000&lt;=AK664)*(B$4:B$1000&gt;=AJ664),L$4:L$1000, ""))</f>
        <v>0</v>
      </c>
      <c r="AN664" s="32" t="str">
        <f t="shared" si="480"/>
        <v/>
      </c>
      <c r="AO664" s="32" t="str">
        <f t="shared" si="481"/>
        <v/>
      </c>
      <c r="AP664" s="32" t="str">
        <f t="shared" si="482"/>
        <v/>
      </c>
      <c r="AQ664" s="32" t="str">
        <f t="shared" si="483"/>
        <v/>
      </c>
      <c r="AR664" s="32" t="str">
        <f t="shared" si="484"/>
        <v/>
      </c>
      <c r="AS664" s="32" t="str">
        <f t="shared" si="485"/>
        <v/>
      </c>
      <c r="AT664" s="32" t="str">
        <f t="shared" si="486"/>
        <v/>
      </c>
      <c r="AU664" s="34" t="str">
        <f t="shared" si="487"/>
        <v/>
      </c>
      <c r="AV664" s="32" t="str">
        <f t="shared" si="488"/>
        <v/>
      </c>
      <c r="AW664" s="32" t="str">
        <f t="shared" si="489"/>
        <v/>
      </c>
      <c r="AX664" s="32" t="str">
        <f t="shared" si="490"/>
        <v/>
      </c>
      <c r="AY664" s="32" t="str">
        <f t="shared" si="491"/>
        <v/>
      </c>
    </row>
    <row r="665" spans="1:51" x14ac:dyDescent="0.25">
      <c r="A665" s="24" t="str">
        <f t="shared" si="449"/>
        <v/>
      </c>
      <c r="B665" s="24" t="str">
        <f t="shared" si="459"/>
        <v/>
      </c>
      <c r="C665" s="32" t="str">
        <f t="shared" si="450"/>
        <v/>
      </c>
      <c r="D665" s="24" t="str">
        <f t="shared" si="451"/>
        <v/>
      </c>
      <c r="E665" s="24" t="str">
        <f t="shared" si="452"/>
        <v/>
      </c>
      <c r="F665" s="32" t="str">
        <f t="shared" si="453"/>
        <v/>
      </c>
      <c r="G665" s="32" t="str">
        <f t="shared" si="454"/>
        <v/>
      </c>
      <c r="H665" s="32" t="str">
        <f t="shared" ca="1" si="455"/>
        <v/>
      </c>
      <c r="I665" s="32" t="str">
        <f t="shared" ca="1" si="460"/>
        <v/>
      </c>
      <c r="J665" s="32" t="str">
        <f t="shared" si="456"/>
        <v/>
      </c>
      <c r="K665" s="32" t="str">
        <f>IF(ISNUMBER(A665),Profile!$V$25+Profile!$V$24*'Ri-Po'!C665,"")</f>
        <v/>
      </c>
      <c r="L665" s="32" t="str">
        <f t="shared" si="461"/>
        <v/>
      </c>
      <c r="M665" s="32" t="str">
        <f t="shared" si="457"/>
        <v/>
      </c>
      <c r="N665" s="32" t="str">
        <f t="shared" si="458"/>
        <v/>
      </c>
      <c r="O665" s="32" t="str">
        <f t="shared" si="474"/>
        <v/>
      </c>
      <c r="P665" s="32" t="str">
        <f t="shared" si="462"/>
        <v/>
      </c>
      <c r="Q665" s="32" t="str">
        <f t="shared" si="463"/>
        <v/>
      </c>
      <c r="R665" s="32" t="str">
        <f t="shared" si="475"/>
        <v/>
      </c>
      <c r="S665" s="24" t="str">
        <f t="shared" si="476"/>
        <v/>
      </c>
      <c r="T665" s="24" t="str">
        <f t="shared" si="477"/>
        <v/>
      </c>
      <c r="U665" s="24" t="str">
        <f t="shared" si="478"/>
        <v/>
      </c>
      <c r="V665" s="24" t="str">
        <f t="shared" si="479"/>
        <v/>
      </c>
      <c r="W665" s="23" t="str">
        <f t="array" ref="W665">IFERROR(SMALL(IF(S$1:S$1000="BEGIN",ROW(S$1:S$1000)),ROW()-3),"")</f>
        <v/>
      </c>
      <c r="X665" s="23" t="str">
        <f t="array" ref="X665">IFERROR(SMALL(IF(T$1:T$1000="END",ROW(T$1:T$1000)),ROW()-3),"")</f>
        <v/>
      </c>
      <c r="Y665" s="33" t="str">
        <f t="array" ref="Y665">IF(ISNUMBER(W665),MAX(IF((B$4:B$1000&lt;=X665)*(B$4:B$1000&gt;=W665),I$4:I$1000, "")),"")</f>
        <v/>
      </c>
      <c r="Z665" s="33" t="str">
        <f t="shared" si="464"/>
        <v/>
      </c>
      <c r="AA665" s="32" t="str">
        <f t="shared" si="465"/>
        <v/>
      </c>
      <c r="AB665" s="32" t="str">
        <f t="shared" si="466"/>
        <v/>
      </c>
      <c r="AC665" s="32" t="str">
        <f t="shared" si="467"/>
        <v/>
      </c>
      <c r="AD665" s="32" t="str">
        <f t="shared" si="468"/>
        <v/>
      </c>
      <c r="AE665" s="34" t="str">
        <f t="shared" si="469"/>
        <v/>
      </c>
      <c r="AF665" s="32" t="str">
        <f t="shared" si="470"/>
        <v/>
      </c>
      <c r="AG665" s="32" t="str">
        <f t="shared" si="471"/>
        <v/>
      </c>
      <c r="AH665" s="32" t="str">
        <f t="shared" si="472"/>
        <v/>
      </c>
      <c r="AI665" s="35" t="str">
        <f t="shared" si="473"/>
        <v/>
      </c>
      <c r="AJ665" s="23" t="str">
        <f t="array" ref="AJ665">IFERROR(SMALL(IF(U$1:U$1000="BEGIN",ROW(U$1:U$1000)),ROW()-3),"")</f>
        <v/>
      </c>
      <c r="AK665" s="23" t="str">
        <f t="array" ref="AK665">IFERROR(SMALL(IF(V$1:V$1000="END",ROW(V$1:V$1000)),ROW()-3),"")</f>
        <v/>
      </c>
      <c r="AL665" s="24" t="str">
        <f t="array" ref="AL665">IF(AK665="","",MATCH(AM665,L:L,0))</f>
        <v/>
      </c>
      <c r="AM665" s="35">
        <f t="array" ref="AM665">MAX(IF((B$4:B$1000&lt;=AK665)*(B$4:B$1000&gt;=AJ665),L$4:L$1000, ""))</f>
        <v>0</v>
      </c>
      <c r="AN665" s="32" t="str">
        <f t="shared" si="480"/>
        <v/>
      </c>
      <c r="AO665" s="32" t="str">
        <f t="shared" si="481"/>
        <v/>
      </c>
      <c r="AP665" s="32" t="str">
        <f t="shared" si="482"/>
        <v/>
      </c>
      <c r="AQ665" s="32" t="str">
        <f t="shared" si="483"/>
        <v/>
      </c>
      <c r="AR665" s="32" t="str">
        <f t="shared" si="484"/>
        <v/>
      </c>
      <c r="AS665" s="32" t="str">
        <f t="shared" si="485"/>
        <v/>
      </c>
      <c r="AT665" s="32" t="str">
        <f t="shared" si="486"/>
        <v/>
      </c>
      <c r="AU665" s="34" t="str">
        <f t="shared" si="487"/>
        <v/>
      </c>
      <c r="AV665" s="32" t="str">
        <f t="shared" si="488"/>
        <v/>
      </c>
      <c r="AW665" s="32" t="str">
        <f t="shared" si="489"/>
        <v/>
      </c>
      <c r="AX665" s="32" t="str">
        <f t="shared" si="490"/>
        <v/>
      </c>
      <c r="AY665" s="32" t="str">
        <f t="shared" si="491"/>
        <v/>
      </c>
    </row>
    <row r="666" spans="1:51" x14ac:dyDescent="0.25">
      <c r="A666" s="24" t="str">
        <f t="shared" si="449"/>
        <v/>
      </c>
      <c r="B666" s="24" t="str">
        <f t="shared" si="459"/>
        <v/>
      </c>
      <c r="C666" s="32" t="str">
        <f t="shared" si="450"/>
        <v/>
      </c>
      <c r="D666" s="24" t="str">
        <f t="shared" si="451"/>
        <v/>
      </c>
      <c r="E666" s="24" t="str">
        <f t="shared" si="452"/>
        <v/>
      </c>
      <c r="F666" s="32" t="str">
        <f t="shared" si="453"/>
        <v/>
      </c>
      <c r="G666" s="32" t="str">
        <f t="shared" si="454"/>
        <v/>
      </c>
      <c r="H666" s="32" t="str">
        <f t="shared" ca="1" si="455"/>
        <v/>
      </c>
      <c r="I666" s="32" t="str">
        <f t="shared" ca="1" si="460"/>
        <v/>
      </c>
      <c r="J666" s="32" t="str">
        <f t="shared" si="456"/>
        <v/>
      </c>
      <c r="K666" s="32" t="str">
        <f>IF(ISNUMBER(A666),Profile!$V$25+Profile!$V$24*'Ri-Po'!C666,"")</f>
        <v/>
      </c>
      <c r="L666" s="32" t="str">
        <f t="shared" si="461"/>
        <v/>
      </c>
      <c r="M666" s="32" t="str">
        <f t="shared" si="457"/>
        <v/>
      </c>
      <c r="N666" s="32" t="str">
        <f t="shared" si="458"/>
        <v/>
      </c>
      <c r="O666" s="32" t="str">
        <f t="shared" si="474"/>
        <v/>
      </c>
      <c r="P666" s="32" t="str">
        <f t="shared" si="462"/>
        <v/>
      </c>
      <c r="Q666" s="32" t="str">
        <f t="shared" si="463"/>
        <v/>
      </c>
      <c r="R666" s="32" t="str">
        <f t="shared" si="475"/>
        <v/>
      </c>
      <c r="S666" s="24" t="str">
        <f t="shared" si="476"/>
        <v/>
      </c>
      <c r="T666" s="24" t="str">
        <f t="shared" si="477"/>
        <v/>
      </c>
      <c r="U666" s="24" t="str">
        <f t="shared" si="478"/>
        <v/>
      </c>
      <c r="V666" s="24" t="str">
        <f t="shared" si="479"/>
        <v/>
      </c>
      <c r="W666" s="23" t="str">
        <f t="array" ref="W666">IFERROR(SMALL(IF(S$1:S$1000="BEGIN",ROW(S$1:S$1000)),ROW()-3),"")</f>
        <v/>
      </c>
      <c r="X666" s="23" t="str">
        <f t="array" ref="X666">IFERROR(SMALL(IF(T$1:T$1000="END",ROW(T$1:T$1000)),ROW()-3),"")</f>
        <v/>
      </c>
      <c r="Y666" s="33" t="str">
        <f t="array" ref="Y666">IF(ISNUMBER(W666),MAX(IF((B$4:B$1000&lt;=X666)*(B$4:B$1000&gt;=W666),I$4:I$1000, "")),"")</f>
        <v/>
      </c>
      <c r="Z666" s="33" t="str">
        <f t="shared" si="464"/>
        <v/>
      </c>
      <c r="AA666" s="32" t="str">
        <f t="shared" si="465"/>
        <v/>
      </c>
      <c r="AB666" s="32" t="str">
        <f t="shared" si="466"/>
        <v/>
      </c>
      <c r="AC666" s="32" t="str">
        <f t="shared" si="467"/>
        <v/>
      </c>
      <c r="AD666" s="32" t="str">
        <f t="shared" si="468"/>
        <v/>
      </c>
      <c r="AE666" s="34" t="str">
        <f t="shared" si="469"/>
        <v/>
      </c>
      <c r="AF666" s="32" t="str">
        <f t="shared" si="470"/>
        <v/>
      </c>
      <c r="AG666" s="32" t="str">
        <f t="shared" si="471"/>
        <v/>
      </c>
      <c r="AH666" s="32" t="str">
        <f t="shared" si="472"/>
        <v/>
      </c>
      <c r="AI666" s="35" t="str">
        <f t="shared" si="473"/>
        <v/>
      </c>
      <c r="AJ666" s="23" t="str">
        <f t="array" ref="AJ666">IFERROR(SMALL(IF(U$1:U$1000="BEGIN",ROW(U$1:U$1000)),ROW()-3),"")</f>
        <v/>
      </c>
      <c r="AK666" s="23" t="str">
        <f t="array" ref="AK666">IFERROR(SMALL(IF(V$1:V$1000="END",ROW(V$1:V$1000)),ROW()-3),"")</f>
        <v/>
      </c>
      <c r="AL666" s="24" t="str">
        <f t="array" ref="AL666">IF(AK666="","",MATCH(AM666,L:L,0))</f>
        <v/>
      </c>
      <c r="AM666" s="35">
        <f t="array" ref="AM666">MAX(IF((B$4:B$1000&lt;=AK666)*(B$4:B$1000&gt;=AJ666),L$4:L$1000, ""))</f>
        <v>0</v>
      </c>
      <c r="AN666" s="32" t="str">
        <f t="shared" si="480"/>
        <v/>
      </c>
      <c r="AO666" s="32" t="str">
        <f t="shared" si="481"/>
        <v/>
      </c>
      <c r="AP666" s="32" t="str">
        <f t="shared" si="482"/>
        <v/>
      </c>
      <c r="AQ666" s="32" t="str">
        <f t="shared" si="483"/>
        <v/>
      </c>
      <c r="AR666" s="32" t="str">
        <f t="shared" si="484"/>
        <v/>
      </c>
      <c r="AS666" s="32" t="str">
        <f t="shared" si="485"/>
        <v/>
      </c>
      <c r="AT666" s="32" t="str">
        <f t="shared" si="486"/>
        <v/>
      </c>
      <c r="AU666" s="34" t="str">
        <f t="shared" si="487"/>
        <v/>
      </c>
      <c r="AV666" s="32" t="str">
        <f t="shared" si="488"/>
        <v/>
      </c>
      <c r="AW666" s="32" t="str">
        <f t="shared" si="489"/>
        <v/>
      </c>
      <c r="AX666" s="32" t="str">
        <f t="shared" si="490"/>
        <v/>
      </c>
      <c r="AY666" s="32" t="str">
        <f t="shared" si="491"/>
        <v/>
      </c>
    </row>
    <row r="667" spans="1:51" x14ac:dyDescent="0.25">
      <c r="A667" s="24" t="str">
        <f t="shared" si="449"/>
        <v/>
      </c>
      <c r="B667" s="24" t="str">
        <f t="shared" si="459"/>
        <v/>
      </c>
      <c r="C667" s="32" t="str">
        <f t="shared" si="450"/>
        <v/>
      </c>
      <c r="D667" s="24" t="str">
        <f t="shared" si="451"/>
        <v/>
      </c>
      <c r="E667" s="24" t="str">
        <f t="shared" si="452"/>
        <v/>
      </c>
      <c r="F667" s="32" t="str">
        <f t="shared" si="453"/>
        <v/>
      </c>
      <c r="G667" s="32" t="str">
        <f t="shared" si="454"/>
        <v/>
      </c>
      <c r="H667" s="32" t="str">
        <f t="shared" ca="1" si="455"/>
        <v/>
      </c>
      <c r="I667" s="32" t="str">
        <f t="shared" ca="1" si="460"/>
        <v/>
      </c>
      <c r="J667" s="32" t="str">
        <f t="shared" si="456"/>
        <v/>
      </c>
      <c r="K667" s="32" t="str">
        <f>IF(ISNUMBER(A667),Profile!$V$25+Profile!$V$24*'Ri-Po'!C667,"")</f>
        <v/>
      </c>
      <c r="L667" s="32" t="str">
        <f t="shared" si="461"/>
        <v/>
      </c>
      <c r="M667" s="32" t="str">
        <f t="shared" si="457"/>
        <v/>
      </c>
      <c r="N667" s="32" t="str">
        <f t="shared" si="458"/>
        <v/>
      </c>
      <c r="O667" s="32" t="str">
        <f t="shared" si="474"/>
        <v/>
      </c>
      <c r="P667" s="32" t="str">
        <f t="shared" si="462"/>
        <v/>
      </c>
      <c r="Q667" s="32" t="str">
        <f t="shared" si="463"/>
        <v/>
      </c>
      <c r="R667" s="32" t="str">
        <f t="shared" si="475"/>
        <v/>
      </c>
      <c r="S667" s="24" t="str">
        <f t="shared" si="476"/>
        <v/>
      </c>
      <c r="T667" s="24" t="str">
        <f t="shared" si="477"/>
        <v/>
      </c>
      <c r="U667" s="24" t="str">
        <f t="shared" si="478"/>
        <v/>
      </c>
      <c r="V667" s="24" t="str">
        <f t="shared" si="479"/>
        <v/>
      </c>
      <c r="W667" s="23" t="str">
        <f t="array" ref="W667">IFERROR(SMALL(IF(S$1:S$1000="BEGIN",ROW(S$1:S$1000)),ROW()-3),"")</f>
        <v/>
      </c>
      <c r="X667" s="23" t="str">
        <f t="array" ref="X667">IFERROR(SMALL(IF(T$1:T$1000="END",ROW(T$1:T$1000)),ROW()-3),"")</f>
        <v/>
      </c>
      <c r="Y667" s="33" t="str">
        <f t="array" ref="Y667">IF(ISNUMBER(W667),MAX(IF((B$4:B$1000&lt;=X667)*(B$4:B$1000&gt;=W667),I$4:I$1000, "")),"")</f>
        <v/>
      </c>
      <c r="Z667" s="33" t="str">
        <f t="shared" si="464"/>
        <v/>
      </c>
      <c r="AA667" s="32" t="str">
        <f t="shared" si="465"/>
        <v/>
      </c>
      <c r="AB667" s="32" t="str">
        <f t="shared" si="466"/>
        <v/>
      </c>
      <c r="AC667" s="32" t="str">
        <f t="shared" si="467"/>
        <v/>
      </c>
      <c r="AD667" s="32" t="str">
        <f t="shared" si="468"/>
        <v/>
      </c>
      <c r="AE667" s="34" t="str">
        <f t="shared" si="469"/>
        <v/>
      </c>
      <c r="AF667" s="32" t="str">
        <f t="shared" si="470"/>
        <v/>
      </c>
      <c r="AG667" s="32" t="str">
        <f t="shared" si="471"/>
        <v/>
      </c>
      <c r="AH667" s="32" t="str">
        <f t="shared" si="472"/>
        <v/>
      </c>
      <c r="AI667" s="35" t="str">
        <f t="shared" si="473"/>
        <v/>
      </c>
      <c r="AJ667" s="23" t="str">
        <f t="array" ref="AJ667">IFERROR(SMALL(IF(U$1:U$1000="BEGIN",ROW(U$1:U$1000)),ROW()-3),"")</f>
        <v/>
      </c>
      <c r="AK667" s="23" t="str">
        <f t="array" ref="AK667">IFERROR(SMALL(IF(V$1:V$1000="END",ROW(V$1:V$1000)),ROW()-3),"")</f>
        <v/>
      </c>
      <c r="AL667" s="24" t="str">
        <f t="array" ref="AL667">IF(AK667="","",MATCH(AM667,L:L,0))</f>
        <v/>
      </c>
      <c r="AM667" s="35">
        <f t="array" ref="AM667">MAX(IF((B$4:B$1000&lt;=AK667)*(B$4:B$1000&gt;=AJ667),L$4:L$1000, ""))</f>
        <v>0</v>
      </c>
      <c r="AN667" s="32" t="str">
        <f t="shared" si="480"/>
        <v/>
      </c>
      <c r="AO667" s="32" t="str">
        <f t="shared" si="481"/>
        <v/>
      </c>
      <c r="AP667" s="32" t="str">
        <f t="shared" si="482"/>
        <v/>
      </c>
      <c r="AQ667" s="32" t="str">
        <f t="shared" si="483"/>
        <v/>
      </c>
      <c r="AR667" s="32" t="str">
        <f t="shared" si="484"/>
        <v/>
      </c>
      <c r="AS667" s="32" t="str">
        <f t="shared" si="485"/>
        <v/>
      </c>
      <c r="AT667" s="32" t="str">
        <f t="shared" si="486"/>
        <v/>
      </c>
      <c r="AU667" s="34" t="str">
        <f t="shared" si="487"/>
        <v/>
      </c>
      <c r="AV667" s="32" t="str">
        <f t="shared" si="488"/>
        <v/>
      </c>
      <c r="AW667" s="32" t="str">
        <f t="shared" si="489"/>
        <v/>
      </c>
      <c r="AX667" s="32" t="str">
        <f t="shared" si="490"/>
        <v/>
      </c>
      <c r="AY667" s="32" t="str">
        <f t="shared" si="491"/>
        <v/>
      </c>
    </row>
    <row r="668" spans="1:51" x14ac:dyDescent="0.25">
      <c r="A668" s="24" t="str">
        <f t="shared" si="449"/>
        <v/>
      </c>
      <c r="B668" s="24" t="str">
        <f t="shared" si="459"/>
        <v/>
      </c>
      <c r="C668" s="32" t="str">
        <f t="shared" si="450"/>
        <v/>
      </c>
      <c r="D668" s="24" t="str">
        <f t="shared" si="451"/>
        <v/>
      </c>
      <c r="E668" s="24" t="str">
        <f t="shared" si="452"/>
        <v/>
      </c>
      <c r="F668" s="32" t="str">
        <f t="shared" si="453"/>
        <v/>
      </c>
      <c r="G668" s="32" t="str">
        <f t="shared" si="454"/>
        <v/>
      </c>
      <c r="H668" s="32" t="str">
        <f t="shared" ca="1" si="455"/>
        <v/>
      </c>
      <c r="I668" s="32" t="str">
        <f t="shared" ca="1" si="460"/>
        <v/>
      </c>
      <c r="J668" s="32" t="str">
        <f t="shared" si="456"/>
        <v/>
      </c>
      <c r="K668" s="32" t="str">
        <f>IF(ISNUMBER(A668),Profile!$V$25+Profile!$V$24*'Ri-Po'!C668,"")</f>
        <v/>
      </c>
      <c r="L668" s="32" t="str">
        <f t="shared" si="461"/>
        <v/>
      </c>
      <c r="M668" s="32" t="str">
        <f t="shared" si="457"/>
        <v/>
      </c>
      <c r="N668" s="32" t="str">
        <f t="shared" si="458"/>
        <v/>
      </c>
      <c r="O668" s="32" t="str">
        <f t="shared" si="474"/>
        <v/>
      </c>
      <c r="P668" s="32" t="str">
        <f t="shared" si="462"/>
        <v/>
      </c>
      <c r="Q668" s="32" t="str">
        <f t="shared" si="463"/>
        <v/>
      </c>
      <c r="R668" s="32" t="str">
        <f t="shared" si="475"/>
        <v/>
      </c>
      <c r="S668" s="24" t="str">
        <f t="shared" si="476"/>
        <v/>
      </c>
      <c r="T668" s="24" t="str">
        <f t="shared" si="477"/>
        <v/>
      </c>
      <c r="U668" s="24" t="str">
        <f t="shared" si="478"/>
        <v/>
      </c>
      <c r="V668" s="24" t="str">
        <f t="shared" si="479"/>
        <v/>
      </c>
      <c r="W668" s="23" t="str">
        <f t="array" ref="W668">IFERROR(SMALL(IF(S$1:S$1000="BEGIN",ROW(S$1:S$1000)),ROW()-3),"")</f>
        <v/>
      </c>
      <c r="X668" s="23" t="str">
        <f t="array" ref="X668">IFERROR(SMALL(IF(T$1:T$1000="END",ROW(T$1:T$1000)),ROW()-3),"")</f>
        <v/>
      </c>
      <c r="Y668" s="33" t="str">
        <f t="array" ref="Y668">IF(ISNUMBER(W668),MAX(IF((B$4:B$1000&lt;=X668)*(B$4:B$1000&gt;=W668),I$4:I$1000, "")),"")</f>
        <v/>
      </c>
      <c r="Z668" s="33" t="str">
        <f t="shared" si="464"/>
        <v/>
      </c>
      <c r="AA668" s="32" t="str">
        <f t="shared" si="465"/>
        <v/>
      </c>
      <c r="AB668" s="32" t="str">
        <f t="shared" si="466"/>
        <v/>
      </c>
      <c r="AC668" s="32" t="str">
        <f t="shared" si="467"/>
        <v/>
      </c>
      <c r="AD668" s="32" t="str">
        <f t="shared" si="468"/>
        <v/>
      </c>
      <c r="AE668" s="34" t="str">
        <f t="shared" si="469"/>
        <v/>
      </c>
      <c r="AF668" s="32" t="str">
        <f t="shared" si="470"/>
        <v/>
      </c>
      <c r="AG668" s="32" t="str">
        <f t="shared" si="471"/>
        <v/>
      </c>
      <c r="AH668" s="32" t="str">
        <f t="shared" si="472"/>
        <v/>
      </c>
      <c r="AI668" s="35" t="str">
        <f t="shared" si="473"/>
        <v/>
      </c>
      <c r="AJ668" s="23" t="str">
        <f t="array" ref="AJ668">IFERROR(SMALL(IF(U$1:U$1000="BEGIN",ROW(U$1:U$1000)),ROW()-3),"")</f>
        <v/>
      </c>
      <c r="AK668" s="23" t="str">
        <f t="array" ref="AK668">IFERROR(SMALL(IF(V$1:V$1000="END",ROW(V$1:V$1000)),ROW()-3),"")</f>
        <v/>
      </c>
      <c r="AL668" s="24" t="str">
        <f t="array" ref="AL668">IF(AK668="","",MATCH(AM668,L:L,0))</f>
        <v/>
      </c>
      <c r="AM668" s="35">
        <f t="array" ref="AM668">MAX(IF((B$4:B$1000&lt;=AK668)*(B$4:B$1000&gt;=AJ668),L$4:L$1000, ""))</f>
        <v>0</v>
      </c>
      <c r="AN668" s="32" t="str">
        <f t="shared" si="480"/>
        <v/>
      </c>
      <c r="AO668" s="32" t="str">
        <f t="shared" si="481"/>
        <v/>
      </c>
      <c r="AP668" s="32" t="str">
        <f t="shared" si="482"/>
        <v/>
      </c>
      <c r="AQ668" s="32" t="str">
        <f t="shared" si="483"/>
        <v/>
      </c>
      <c r="AR668" s="32" t="str">
        <f t="shared" si="484"/>
        <v/>
      </c>
      <c r="AS668" s="32" t="str">
        <f t="shared" si="485"/>
        <v/>
      </c>
      <c r="AT668" s="32" t="str">
        <f t="shared" si="486"/>
        <v/>
      </c>
      <c r="AU668" s="34" t="str">
        <f t="shared" si="487"/>
        <v/>
      </c>
      <c r="AV668" s="32" t="str">
        <f t="shared" si="488"/>
        <v/>
      </c>
      <c r="AW668" s="32" t="str">
        <f t="shared" si="489"/>
        <v/>
      </c>
      <c r="AX668" s="32" t="str">
        <f t="shared" si="490"/>
        <v/>
      </c>
      <c r="AY668" s="32" t="str">
        <f t="shared" si="491"/>
        <v/>
      </c>
    </row>
    <row r="669" spans="1:51" x14ac:dyDescent="0.25">
      <c r="A669" s="24" t="str">
        <f t="shared" si="449"/>
        <v/>
      </c>
      <c r="B669" s="24" t="str">
        <f t="shared" si="459"/>
        <v/>
      </c>
      <c r="C669" s="32" t="str">
        <f t="shared" si="450"/>
        <v/>
      </c>
      <c r="D669" s="24" t="str">
        <f t="shared" si="451"/>
        <v/>
      </c>
      <c r="E669" s="24" t="str">
        <f t="shared" si="452"/>
        <v/>
      </c>
      <c r="F669" s="32" t="str">
        <f t="shared" si="453"/>
        <v/>
      </c>
      <c r="G669" s="32" t="str">
        <f t="shared" si="454"/>
        <v/>
      </c>
      <c r="H669" s="32" t="str">
        <f t="shared" ca="1" si="455"/>
        <v/>
      </c>
      <c r="I669" s="32" t="str">
        <f t="shared" ca="1" si="460"/>
        <v/>
      </c>
      <c r="J669" s="32" t="str">
        <f t="shared" si="456"/>
        <v/>
      </c>
      <c r="K669" s="32" t="str">
        <f>IF(ISNUMBER(A669),Profile!$V$25+Profile!$V$24*'Ri-Po'!C669,"")</f>
        <v/>
      </c>
      <c r="L669" s="32" t="str">
        <f t="shared" si="461"/>
        <v/>
      </c>
      <c r="M669" s="32" t="str">
        <f t="shared" si="457"/>
        <v/>
      </c>
      <c r="N669" s="32" t="str">
        <f t="shared" si="458"/>
        <v/>
      </c>
      <c r="O669" s="32" t="str">
        <f t="shared" si="474"/>
        <v/>
      </c>
      <c r="P669" s="32" t="str">
        <f t="shared" si="462"/>
        <v/>
      </c>
      <c r="Q669" s="32" t="str">
        <f t="shared" si="463"/>
        <v/>
      </c>
      <c r="R669" s="32" t="str">
        <f t="shared" si="475"/>
        <v/>
      </c>
      <c r="S669" s="24" t="str">
        <f t="shared" si="476"/>
        <v/>
      </c>
      <c r="T669" s="24" t="str">
        <f t="shared" si="477"/>
        <v/>
      </c>
      <c r="U669" s="24" t="str">
        <f t="shared" si="478"/>
        <v/>
      </c>
      <c r="V669" s="24" t="str">
        <f t="shared" si="479"/>
        <v/>
      </c>
      <c r="W669" s="23" t="str">
        <f t="array" ref="W669">IFERROR(SMALL(IF(S$1:S$1000="BEGIN",ROW(S$1:S$1000)),ROW()-3),"")</f>
        <v/>
      </c>
      <c r="X669" s="23" t="str">
        <f t="array" ref="X669">IFERROR(SMALL(IF(T$1:T$1000="END",ROW(T$1:T$1000)),ROW()-3),"")</f>
        <v/>
      </c>
      <c r="Y669" s="33" t="str">
        <f t="array" ref="Y669">IF(ISNUMBER(W669),MAX(IF((B$4:B$1000&lt;=X669)*(B$4:B$1000&gt;=W669),I$4:I$1000, "")),"")</f>
        <v/>
      </c>
      <c r="Z669" s="33" t="str">
        <f t="shared" si="464"/>
        <v/>
      </c>
      <c r="AA669" s="32" t="str">
        <f t="shared" si="465"/>
        <v/>
      </c>
      <c r="AB669" s="32" t="str">
        <f t="shared" si="466"/>
        <v/>
      </c>
      <c r="AC669" s="32" t="str">
        <f t="shared" si="467"/>
        <v/>
      </c>
      <c r="AD669" s="32" t="str">
        <f t="shared" si="468"/>
        <v/>
      </c>
      <c r="AE669" s="34" t="str">
        <f t="shared" si="469"/>
        <v/>
      </c>
      <c r="AF669" s="32" t="str">
        <f t="shared" si="470"/>
        <v/>
      </c>
      <c r="AG669" s="32" t="str">
        <f t="shared" si="471"/>
        <v/>
      </c>
      <c r="AH669" s="32" t="str">
        <f t="shared" si="472"/>
        <v/>
      </c>
      <c r="AI669" s="35" t="str">
        <f t="shared" si="473"/>
        <v/>
      </c>
      <c r="AJ669" s="23" t="str">
        <f t="array" ref="AJ669">IFERROR(SMALL(IF(U$1:U$1000="BEGIN",ROW(U$1:U$1000)),ROW()-3),"")</f>
        <v/>
      </c>
      <c r="AK669" s="23" t="str">
        <f t="array" ref="AK669">IFERROR(SMALL(IF(V$1:V$1000="END",ROW(V$1:V$1000)),ROW()-3),"")</f>
        <v/>
      </c>
      <c r="AL669" s="24" t="str">
        <f t="array" ref="AL669">IF(AK669="","",MATCH(AM669,L:L,0))</f>
        <v/>
      </c>
      <c r="AM669" s="35">
        <f t="array" ref="AM669">MAX(IF((B$4:B$1000&lt;=AK669)*(B$4:B$1000&gt;=AJ669),L$4:L$1000, ""))</f>
        <v>0</v>
      </c>
      <c r="AN669" s="32" t="str">
        <f t="shared" si="480"/>
        <v/>
      </c>
      <c r="AO669" s="32" t="str">
        <f t="shared" si="481"/>
        <v/>
      </c>
      <c r="AP669" s="32" t="str">
        <f t="shared" si="482"/>
        <v/>
      </c>
      <c r="AQ669" s="32" t="str">
        <f t="shared" si="483"/>
        <v/>
      </c>
      <c r="AR669" s="32" t="str">
        <f t="shared" si="484"/>
        <v/>
      </c>
      <c r="AS669" s="32" t="str">
        <f t="shared" si="485"/>
        <v/>
      </c>
      <c r="AT669" s="32" t="str">
        <f t="shared" si="486"/>
        <v/>
      </c>
      <c r="AU669" s="34" t="str">
        <f t="shared" si="487"/>
        <v/>
      </c>
      <c r="AV669" s="32" t="str">
        <f t="shared" si="488"/>
        <v/>
      </c>
      <c r="AW669" s="32" t="str">
        <f t="shared" si="489"/>
        <v/>
      </c>
      <c r="AX669" s="32" t="str">
        <f t="shared" si="490"/>
        <v/>
      </c>
      <c r="AY669" s="32" t="str">
        <f t="shared" si="491"/>
        <v/>
      </c>
    </row>
    <row r="670" spans="1:51" x14ac:dyDescent="0.25">
      <c r="A670" s="24" t="str">
        <f t="shared" si="449"/>
        <v/>
      </c>
      <c r="B670" s="24" t="str">
        <f t="shared" si="459"/>
        <v/>
      </c>
      <c r="C670" s="32" t="str">
        <f t="shared" si="450"/>
        <v/>
      </c>
      <c r="D670" s="24" t="str">
        <f t="shared" si="451"/>
        <v/>
      </c>
      <c r="E670" s="24" t="str">
        <f t="shared" si="452"/>
        <v/>
      </c>
      <c r="F670" s="32" t="str">
        <f t="shared" si="453"/>
        <v/>
      </c>
      <c r="G670" s="32" t="str">
        <f t="shared" si="454"/>
        <v/>
      </c>
      <c r="H670" s="32" t="str">
        <f t="shared" ca="1" si="455"/>
        <v/>
      </c>
      <c r="I670" s="32" t="str">
        <f t="shared" ca="1" si="460"/>
        <v/>
      </c>
      <c r="J670" s="32" t="str">
        <f t="shared" si="456"/>
        <v/>
      </c>
      <c r="K670" s="32" t="str">
        <f>IF(ISNUMBER(A670),Profile!$V$25+Profile!$V$24*'Ri-Po'!C670,"")</f>
        <v/>
      </c>
      <c r="L670" s="32" t="str">
        <f t="shared" si="461"/>
        <v/>
      </c>
      <c r="M670" s="32" t="str">
        <f t="shared" si="457"/>
        <v/>
      </c>
      <c r="N670" s="32" t="str">
        <f t="shared" si="458"/>
        <v/>
      </c>
      <c r="O670" s="32" t="str">
        <f t="shared" si="474"/>
        <v/>
      </c>
      <c r="P670" s="32" t="str">
        <f t="shared" si="462"/>
        <v/>
      </c>
      <c r="Q670" s="32" t="str">
        <f t="shared" si="463"/>
        <v/>
      </c>
      <c r="R670" s="32" t="str">
        <f t="shared" si="475"/>
        <v/>
      </c>
      <c r="S670" s="24" t="str">
        <f t="shared" si="476"/>
        <v/>
      </c>
      <c r="T670" s="24" t="str">
        <f t="shared" si="477"/>
        <v/>
      </c>
      <c r="U670" s="24" t="str">
        <f t="shared" si="478"/>
        <v/>
      </c>
      <c r="V670" s="24" t="str">
        <f t="shared" si="479"/>
        <v/>
      </c>
      <c r="W670" s="23" t="str">
        <f t="array" ref="W670">IFERROR(SMALL(IF(S$1:S$1000="BEGIN",ROW(S$1:S$1000)),ROW()-3),"")</f>
        <v/>
      </c>
      <c r="X670" s="23" t="str">
        <f t="array" ref="X670">IFERROR(SMALL(IF(T$1:T$1000="END",ROW(T$1:T$1000)),ROW()-3),"")</f>
        <v/>
      </c>
      <c r="Y670" s="33" t="str">
        <f t="array" ref="Y670">IF(ISNUMBER(W670),MAX(IF((B$4:B$1000&lt;=X670)*(B$4:B$1000&gt;=W670),I$4:I$1000, "")),"")</f>
        <v/>
      </c>
      <c r="Z670" s="33" t="str">
        <f t="shared" si="464"/>
        <v/>
      </c>
      <c r="AA670" s="32" t="str">
        <f t="shared" si="465"/>
        <v/>
      </c>
      <c r="AB670" s="32" t="str">
        <f t="shared" si="466"/>
        <v/>
      </c>
      <c r="AC670" s="32" t="str">
        <f t="shared" si="467"/>
        <v/>
      </c>
      <c r="AD670" s="32" t="str">
        <f t="shared" si="468"/>
        <v/>
      </c>
      <c r="AE670" s="34" t="str">
        <f t="shared" si="469"/>
        <v/>
      </c>
      <c r="AF670" s="32" t="str">
        <f t="shared" si="470"/>
        <v/>
      </c>
      <c r="AG670" s="32" t="str">
        <f t="shared" si="471"/>
        <v/>
      </c>
      <c r="AH670" s="32" t="str">
        <f t="shared" si="472"/>
        <v/>
      </c>
      <c r="AI670" s="35" t="str">
        <f t="shared" si="473"/>
        <v/>
      </c>
      <c r="AJ670" s="23" t="str">
        <f t="array" ref="AJ670">IFERROR(SMALL(IF(U$1:U$1000="BEGIN",ROW(U$1:U$1000)),ROW()-3),"")</f>
        <v/>
      </c>
      <c r="AK670" s="23" t="str">
        <f t="array" ref="AK670">IFERROR(SMALL(IF(V$1:V$1000="END",ROW(V$1:V$1000)),ROW()-3),"")</f>
        <v/>
      </c>
      <c r="AL670" s="24" t="str">
        <f t="array" ref="AL670">IF(AK670="","",MATCH(AM670,L:L,0))</f>
        <v/>
      </c>
      <c r="AM670" s="35">
        <f t="array" ref="AM670">MAX(IF((B$4:B$1000&lt;=AK670)*(B$4:B$1000&gt;=AJ670),L$4:L$1000, ""))</f>
        <v>0</v>
      </c>
      <c r="AN670" s="32" t="str">
        <f t="shared" si="480"/>
        <v/>
      </c>
      <c r="AO670" s="32" t="str">
        <f t="shared" si="481"/>
        <v/>
      </c>
      <c r="AP670" s="32" t="str">
        <f t="shared" si="482"/>
        <v/>
      </c>
      <c r="AQ670" s="32" t="str">
        <f t="shared" si="483"/>
        <v/>
      </c>
      <c r="AR670" s="32" t="str">
        <f t="shared" si="484"/>
        <v/>
      </c>
      <c r="AS670" s="32" t="str">
        <f t="shared" si="485"/>
        <v/>
      </c>
      <c r="AT670" s="32" t="str">
        <f t="shared" si="486"/>
        <v/>
      </c>
      <c r="AU670" s="34" t="str">
        <f t="shared" si="487"/>
        <v/>
      </c>
      <c r="AV670" s="32" t="str">
        <f t="shared" si="488"/>
        <v/>
      </c>
      <c r="AW670" s="32" t="str">
        <f t="shared" si="489"/>
        <v/>
      </c>
      <c r="AX670" s="32" t="str">
        <f t="shared" si="490"/>
        <v/>
      </c>
      <c r="AY670" s="32" t="str">
        <f t="shared" si="491"/>
        <v/>
      </c>
    </row>
    <row r="671" spans="1:51" x14ac:dyDescent="0.25">
      <c r="A671" s="24" t="str">
        <f t="shared" si="449"/>
        <v/>
      </c>
      <c r="B671" s="24" t="str">
        <f t="shared" si="459"/>
        <v/>
      </c>
      <c r="C671" s="32" t="str">
        <f t="shared" si="450"/>
        <v/>
      </c>
      <c r="D671" s="24" t="str">
        <f t="shared" si="451"/>
        <v/>
      </c>
      <c r="E671" s="24" t="str">
        <f t="shared" si="452"/>
        <v/>
      </c>
      <c r="F671" s="32" t="str">
        <f t="shared" si="453"/>
        <v/>
      </c>
      <c r="G671" s="32" t="str">
        <f t="shared" si="454"/>
        <v/>
      </c>
      <c r="H671" s="32" t="str">
        <f t="shared" ca="1" si="455"/>
        <v/>
      </c>
      <c r="I671" s="32" t="str">
        <f t="shared" ca="1" si="460"/>
        <v/>
      </c>
      <c r="J671" s="32" t="str">
        <f t="shared" si="456"/>
        <v/>
      </c>
      <c r="K671" s="32" t="str">
        <f>IF(ISNUMBER(A671),Profile!$V$25+Profile!$V$24*'Ri-Po'!C671,"")</f>
        <v/>
      </c>
      <c r="L671" s="32" t="str">
        <f t="shared" si="461"/>
        <v/>
      </c>
      <c r="M671" s="32" t="str">
        <f t="shared" si="457"/>
        <v/>
      </c>
      <c r="N671" s="32" t="str">
        <f t="shared" si="458"/>
        <v/>
      </c>
      <c r="O671" s="32" t="str">
        <f t="shared" si="474"/>
        <v/>
      </c>
      <c r="P671" s="32" t="str">
        <f t="shared" si="462"/>
        <v/>
      </c>
      <c r="Q671" s="32" t="str">
        <f t="shared" si="463"/>
        <v/>
      </c>
      <c r="R671" s="32" t="str">
        <f t="shared" si="475"/>
        <v/>
      </c>
      <c r="S671" s="24" t="str">
        <f t="shared" si="476"/>
        <v/>
      </c>
      <c r="T671" s="24" t="str">
        <f t="shared" si="477"/>
        <v/>
      </c>
      <c r="U671" s="24" t="str">
        <f t="shared" si="478"/>
        <v/>
      </c>
      <c r="V671" s="24" t="str">
        <f t="shared" si="479"/>
        <v/>
      </c>
      <c r="W671" s="23" t="str">
        <f t="array" ref="W671">IFERROR(SMALL(IF(S$1:S$1000="BEGIN",ROW(S$1:S$1000)),ROW()-3),"")</f>
        <v/>
      </c>
      <c r="X671" s="23" t="str">
        <f t="array" ref="X671">IFERROR(SMALL(IF(T$1:T$1000="END",ROW(T$1:T$1000)),ROW()-3),"")</f>
        <v/>
      </c>
      <c r="Y671" s="33" t="str">
        <f t="array" ref="Y671">IF(ISNUMBER(W671),MAX(IF((B$4:B$1000&lt;=X671)*(B$4:B$1000&gt;=W671),I$4:I$1000, "")),"")</f>
        <v/>
      </c>
      <c r="Z671" s="33" t="str">
        <f t="shared" si="464"/>
        <v/>
      </c>
      <c r="AA671" s="32" t="str">
        <f t="shared" si="465"/>
        <v/>
      </c>
      <c r="AB671" s="32" t="str">
        <f t="shared" si="466"/>
        <v/>
      </c>
      <c r="AC671" s="32" t="str">
        <f t="shared" si="467"/>
        <v/>
      </c>
      <c r="AD671" s="32" t="str">
        <f t="shared" si="468"/>
        <v/>
      </c>
      <c r="AE671" s="34" t="str">
        <f t="shared" si="469"/>
        <v/>
      </c>
      <c r="AF671" s="32" t="str">
        <f t="shared" si="470"/>
        <v/>
      </c>
      <c r="AG671" s="32" t="str">
        <f t="shared" si="471"/>
        <v/>
      </c>
      <c r="AH671" s="32" t="str">
        <f t="shared" si="472"/>
        <v/>
      </c>
      <c r="AI671" s="35" t="str">
        <f t="shared" si="473"/>
        <v/>
      </c>
      <c r="AJ671" s="23" t="str">
        <f t="array" ref="AJ671">IFERROR(SMALL(IF(U$1:U$1000="BEGIN",ROW(U$1:U$1000)),ROW()-3),"")</f>
        <v/>
      </c>
      <c r="AK671" s="23" t="str">
        <f t="array" ref="AK671">IFERROR(SMALL(IF(V$1:V$1000="END",ROW(V$1:V$1000)),ROW()-3),"")</f>
        <v/>
      </c>
      <c r="AL671" s="24" t="str">
        <f t="array" ref="AL671">IF(AK671="","",MATCH(AM671,L:L,0))</f>
        <v/>
      </c>
      <c r="AM671" s="35">
        <f t="array" ref="AM671">MAX(IF((B$4:B$1000&lt;=AK671)*(B$4:B$1000&gt;=AJ671),L$4:L$1000, ""))</f>
        <v>0</v>
      </c>
      <c r="AN671" s="32" t="str">
        <f t="shared" si="480"/>
        <v/>
      </c>
      <c r="AO671" s="32" t="str">
        <f t="shared" si="481"/>
        <v/>
      </c>
      <c r="AP671" s="32" t="str">
        <f t="shared" si="482"/>
        <v/>
      </c>
      <c r="AQ671" s="32" t="str">
        <f t="shared" si="483"/>
        <v/>
      </c>
      <c r="AR671" s="32" t="str">
        <f t="shared" si="484"/>
        <v/>
      </c>
      <c r="AS671" s="32" t="str">
        <f t="shared" si="485"/>
        <v/>
      </c>
      <c r="AT671" s="32" t="str">
        <f t="shared" si="486"/>
        <v/>
      </c>
      <c r="AU671" s="34" t="str">
        <f t="shared" si="487"/>
        <v/>
      </c>
      <c r="AV671" s="32" t="str">
        <f t="shared" si="488"/>
        <v/>
      </c>
      <c r="AW671" s="32" t="str">
        <f t="shared" si="489"/>
        <v/>
      </c>
      <c r="AX671" s="32" t="str">
        <f t="shared" si="490"/>
        <v/>
      </c>
      <c r="AY671" s="32" t="str">
        <f t="shared" si="491"/>
        <v/>
      </c>
    </row>
    <row r="672" spans="1:51" x14ac:dyDescent="0.25">
      <c r="A672" s="24" t="str">
        <f t="shared" si="449"/>
        <v/>
      </c>
      <c r="B672" s="24" t="str">
        <f t="shared" si="459"/>
        <v/>
      </c>
      <c r="C672" s="32" t="str">
        <f t="shared" si="450"/>
        <v/>
      </c>
      <c r="D672" s="24" t="str">
        <f t="shared" si="451"/>
        <v/>
      </c>
      <c r="E672" s="24" t="str">
        <f t="shared" si="452"/>
        <v/>
      </c>
      <c r="F672" s="32" t="str">
        <f t="shared" si="453"/>
        <v/>
      </c>
      <c r="G672" s="32" t="str">
        <f t="shared" si="454"/>
        <v/>
      </c>
      <c r="H672" s="32" t="str">
        <f t="shared" ca="1" si="455"/>
        <v/>
      </c>
      <c r="I672" s="32" t="str">
        <f t="shared" ca="1" si="460"/>
        <v/>
      </c>
      <c r="J672" s="32" t="str">
        <f t="shared" si="456"/>
        <v/>
      </c>
      <c r="K672" s="32" t="str">
        <f>IF(ISNUMBER(A672),Profile!$V$25+Profile!$V$24*'Ri-Po'!C672,"")</f>
        <v/>
      </c>
      <c r="L672" s="32" t="str">
        <f t="shared" si="461"/>
        <v/>
      </c>
      <c r="M672" s="32" t="str">
        <f t="shared" si="457"/>
        <v/>
      </c>
      <c r="N672" s="32" t="str">
        <f t="shared" si="458"/>
        <v/>
      </c>
      <c r="O672" s="32" t="str">
        <f t="shared" si="474"/>
        <v/>
      </c>
      <c r="P672" s="32" t="str">
        <f t="shared" si="462"/>
        <v/>
      </c>
      <c r="Q672" s="32" t="str">
        <f t="shared" si="463"/>
        <v/>
      </c>
      <c r="R672" s="32" t="str">
        <f t="shared" si="475"/>
        <v/>
      </c>
      <c r="S672" s="24" t="str">
        <f t="shared" si="476"/>
        <v/>
      </c>
      <c r="T672" s="24" t="str">
        <f t="shared" si="477"/>
        <v/>
      </c>
      <c r="U672" s="24" t="str">
        <f t="shared" si="478"/>
        <v/>
      </c>
      <c r="V672" s="24" t="str">
        <f t="shared" si="479"/>
        <v/>
      </c>
      <c r="W672" s="23" t="str">
        <f t="array" ref="W672">IFERROR(SMALL(IF(S$1:S$1000="BEGIN",ROW(S$1:S$1000)),ROW()-3),"")</f>
        <v/>
      </c>
      <c r="X672" s="23" t="str">
        <f t="array" ref="X672">IFERROR(SMALL(IF(T$1:T$1000="END",ROW(T$1:T$1000)),ROW()-3),"")</f>
        <v/>
      </c>
      <c r="Y672" s="33" t="str">
        <f t="array" ref="Y672">IF(ISNUMBER(W672),MAX(IF((B$4:B$1000&lt;=X672)*(B$4:B$1000&gt;=W672),I$4:I$1000, "")),"")</f>
        <v/>
      </c>
      <c r="Z672" s="33" t="str">
        <f t="shared" si="464"/>
        <v/>
      </c>
      <c r="AA672" s="32" t="str">
        <f t="shared" si="465"/>
        <v/>
      </c>
      <c r="AB672" s="32" t="str">
        <f t="shared" si="466"/>
        <v/>
      </c>
      <c r="AC672" s="32" t="str">
        <f t="shared" si="467"/>
        <v/>
      </c>
      <c r="AD672" s="32" t="str">
        <f t="shared" si="468"/>
        <v/>
      </c>
      <c r="AE672" s="34" t="str">
        <f t="shared" si="469"/>
        <v/>
      </c>
      <c r="AF672" s="32" t="str">
        <f t="shared" si="470"/>
        <v/>
      </c>
      <c r="AG672" s="32" t="str">
        <f t="shared" si="471"/>
        <v/>
      </c>
      <c r="AH672" s="32" t="str">
        <f t="shared" si="472"/>
        <v/>
      </c>
      <c r="AI672" s="35" t="str">
        <f t="shared" si="473"/>
        <v/>
      </c>
      <c r="AJ672" s="23" t="str">
        <f t="array" ref="AJ672">IFERROR(SMALL(IF(U$1:U$1000="BEGIN",ROW(U$1:U$1000)),ROW()-3),"")</f>
        <v/>
      </c>
      <c r="AK672" s="23" t="str">
        <f t="array" ref="AK672">IFERROR(SMALL(IF(V$1:V$1000="END",ROW(V$1:V$1000)),ROW()-3),"")</f>
        <v/>
      </c>
      <c r="AL672" s="24" t="str">
        <f t="array" ref="AL672">IF(AK672="","",MATCH(AM672,L:L,0))</f>
        <v/>
      </c>
      <c r="AM672" s="35">
        <f t="array" ref="AM672">MAX(IF((B$4:B$1000&lt;=AK672)*(B$4:B$1000&gt;=AJ672),L$4:L$1000, ""))</f>
        <v>0</v>
      </c>
      <c r="AN672" s="32" t="str">
        <f t="shared" si="480"/>
        <v/>
      </c>
      <c r="AO672" s="32" t="str">
        <f t="shared" si="481"/>
        <v/>
      </c>
      <c r="AP672" s="32" t="str">
        <f t="shared" si="482"/>
        <v/>
      </c>
      <c r="AQ672" s="32" t="str">
        <f t="shared" si="483"/>
        <v/>
      </c>
      <c r="AR672" s="32" t="str">
        <f t="shared" si="484"/>
        <v/>
      </c>
      <c r="AS672" s="32" t="str">
        <f t="shared" si="485"/>
        <v/>
      </c>
      <c r="AT672" s="32" t="str">
        <f t="shared" si="486"/>
        <v/>
      </c>
      <c r="AU672" s="34" t="str">
        <f t="shared" si="487"/>
        <v/>
      </c>
      <c r="AV672" s="32" t="str">
        <f t="shared" si="488"/>
        <v/>
      </c>
      <c r="AW672" s="32" t="str">
        <f t="shared" si="489"/>
        <v/>
      </c>
      <c r="AX672" s="32" t="str">
        <f t="shared" si="490"/>
        <v/>
      </c>
      <c r="AY672" s="32" t="str">
        <f t="shared" si="491"/>
        <v/>
      </c>
    </row>
    <row r="673" spans="1:51" x14ac:dyDescent="0.25">
      <c r="A673" s="24" t="str">
        <f t="shared" si="449"/>
        <v/>
      </c>
      <c r="B673" s="24" t="str">
        <f t="shared" si="459"/>
        <v/>
      </c>
      <c r="C673" s="32" t="str">
        <f t="shared" si="450"/>
        <v/>
      </c>
      <c r="D673" s="24" t="str">
        <f t="shared" si="451"/>
        <v/>
      </c>
      <c r="E673" s="24" t="str">
        <f t="shared" si="452"/>
        <v/>
      </c>
      <c r="F673" s="32" t="str">
        <f t="shared" si="453"/>
        <v/>
      </c>
      <c r="G673" s="32" t="str">
        <f t="shared" si="454"/>
        <v/>
      </c>
      <c r="H673" s="32" t="str">
        <f t="shared" ca="1" si="455"/>
        <v/>
      </c>
      <c r="I673" s="32" t="str">
        <f t="shared" ca="1" si="460"/>
        <v/>
      </c>
      <c r="J673" s="32" t="str">
        <f t="shared" si="456"/>
        <v/>
      </c>
      <c r="K673" s="32" t="str">
        <f>IF(ISNUMBER(A673),Profile!$V$25+Profile!$V$24*'Ri-Po'!C673,"")</f>
        <v/>
      </c>
      <c r="L673" s="32" t="str">
        <f t="shared" si="461"/>
        <v/>
      </c>
      <c r="M673" s="32" t="str">
        <f t="shared" si="457"/>
        <v/>
      </c>
      <c r="N673" s="32" t="str">
        <f t="shared" si="458"/>
        <v/>
      </c>
      <c r="O673" s="32" t="str">
        <f t="shared" si="474"/>
        <v/>
      </c>
      <c r="P673" s="32" t="str">
        <f t="shared" si="462"/>
        <v/>
      </c>
      <c r="Q673" s="32" t="str">
        <f t="shared" si="463"/>
        <v/>
      </c>
      <c r="R673" s="32" t="str">
        <f t="shared" si="475"/>
        <v/>
      </c>
      <c r="S673" s="24" t="str">
        <f t="shared" si="476"/>
        <v/>
      </c>
      <c r="T673" s="24" t="str">
        <f t="shared" si="477"/>
        <v/>
      </c>
      <c r="U673" s="24" t="str">
        <f t="shared" si="478"/>
        <v/>
      </c>
      <c r="V673" s="24" t="str">
        <f t="shared" si="479"/>
        <v/>
      </c>
      <c r="W673" s="23" t="str">
        <f t="array" ref="W673">IFERROR(SMALL(IF(S$1:S$1000="BEGIN",ROW(S$1:S$1000)),ROW()-3),"")</f>
        <v/>
      </c>
      <c r="X673" s="23" t="str">
        <f t="array" ref="X673">IFERROR(SMALL(IF(T$1:T$1000="END",ROW(T$1:T$1000)),ROW()-3),"")</f>
        <v/>
      </c>
      <c r="Y673" s="33" t="str">
        <f t="array" ref="Y673">IF(ISNUMBER(W673),MAX(IF((B$4:B$1000&lt;=X673)*(B$4:B$1000&gt;=W673),I$4:I$1000, "")),"")</f>
        <v/>
      </c>
      <c r="Z673" s="33" t="str">
        <f t="shared" si="464"/>
        <v/>
      </c>
      <c r="AA673" s="32" t="str">
        <f t="shared" si="465"/>
        <v/>
      </c>
      <c r="AB673" s="32" t="str">
        <f t="shared" si="466"/>
        <v/>
      </c>
      <c r="AC673" s="32" t="str">
        <f t="shared" si="467"/>
        <v/>
      </c>
      <c r="AD673" s="32" t="str">
        <f t="shared" si="468"/>
        <v/>
      </c>
      <c r="AE673" s="34" t="str">
        <f t="shared" si="469"/>
        <v/>
      </c>
      <c r="AF673" s="32" t="str">
        <f t="shared" si="470"/>
        <v/>
      </c>
      <c r="AG673" s="32" t="str">
        <f t="shared" si="471"/>
        <v/>
      </c>
      <c r="AH673" s="32" t="str">
        <f t="shared" si="472"/>
        <v/>
      </c>
      <c r="AI673" s="35" t="str">
        <f t="shared" si="473"/>
        <v/>
      </c>
      <c r="AJ673" s="23" t="str">
        <f t="array" ref="AJ673">IFERROR(SMALL(IF(U$1:U$1000="BEGIN",ROW(U$1:U$1000)),ROW()-3),"")</f>
        <v/>
      </c>
      <c r="AK673" s="23" t="str">
        <f t="array" ref="AK673">IFERROR(SMALL(IF(V$1:V$1000="END",ROW(V$1:V$1000)),ROW()-3),"")</f>
        <v/>
      </c>
      <c r="AL673" s="24" t="str">
        <f t="array" ref="AL673">IF(AK673="","",MATCH(AM673,L:L,0))</f>
        <v/>
      </c>
      <c r="AM673" s="35">
        <f t="array" ref="AM673">MAX(IF((B$4:B$1000&lt;=AK673)*(B$4:B$1000&gt;=AJ673),L$4:L$1000, ""))</f>
        <v>0</v>
      </c>
      <c r="AN673" s="32" t="str">
        <f t="shared" si="480"/>
        <v/>
      </c>
      <c r="AO673" s="32" t="str">
        <f t="shared" si="481"/>
        <v/>
      </c>
      <c r="AP673" s="32" t="str">
        <f t="shared" si="482"/>
        <v/>
      </c>
      <c r="AQ673" s="32" t="str">
        <f t="shared" si="483"/>
        <v/>
      </c>
      <c r="AR673" s="32" t="str">
        <f t="shared" si="484"/>
        <v/>
      </c>
      <c r="AS673" s="32" t="str">
        <f t="shared" si="485"/>
        <v/>
      </c>
      <c r="AT673" s="32" t="str">
        <f t="shared" si="486"/>
        <v/>
      </c>
      <c r="AU673" s="34" t="str">
        <f t="shared" si="487"/>
        <v/>
      </c>
      <c r="AV673" s="32" t="str">
        <f t="shared" si="488"/>
        <v/>
      </c>
      <c r="AW673" s="32" t="str">
        <f t="shared" si="489"/>
        <v/>
      </c>
      <c r="AX673" s="32" t="str">
        <f t="shared" si="490"/>
        <v/>
      </c>
      <c r="AY673" s="32" t="str">
        <f t="shared" si="491"/>
        <v/>
      </c>
    </row>
    <row r="674" spans="1:51" x14ac:dyDescent="0.25">
      <c r="A674" s="24" t="str">
        <f t="shared" si="449"/>
        <v/>
      </c>
      <c r="B674" s="24" t="str">
        <f t="shared" si="459"/>
        <v/>
      </c>
      <c r="C674" s="32" t="str">
        <f t="shared" si="450"/>
        <v/>
      </c>
      <c r="D674" s="24" t="str">
        <f t="shared" si="451"/>
        <v/>
      </c>
      <c r="E674" s="24" t="str">
        <f t="shared" si="452"/>
        <v/>
      </c>
      <c r="F674" s="32" t="str">
        <f t="shared" si="453"/>
        <v/>
      </c>
      <c r="G674" s="32" t="str">
        <f t="shared" si="454"/>
        <v/>
      </c>
      <c r="H674" s="32" t="str">
        <f t="shared" ca="1" si="455"/>
        <v/>
      </c>
      <c r="I674" s="32" t="str">
        <f t="shared" ca="1" si="460"/>
        <v/>
      </c>
      <c r="J674" s="32" t="str">
        <f t="shared" si="456"/>
        <v/>
      </c>
      <c r="K674" s="32" t="str">
        <f>IF(ISNUMBER(A674),Profile!$V$25+Profile!$V$24*'Ri-Po'!C674,"")</f>
        <v/>
      </c>
      <c r="L674" s="32" t="str">
        <f t="shared" si="461"/>
        <v/>
      </c>
      <c r="M674" s="32" t="str">
        <f t="shared" si="457"/>
        <v/>
      </c>
      <c r="N674" s="32" t="str">
        <f t="shared" si="458"/>
        <v/>
      </c>
      <c r="O674" s="32" t="str">
        <f t="shared" si="474"/>
        <v/>
      </c>
      <c r="P674" s="32" t="str">
        <f t="shared" si="462"/>
        <v/>
      </c>
      <c r="Q674" s="32" t="str">
        <f t="shared" si="463"/>
        <v/>
      </c>
      <c r="R674" s="32" t="str">
        <f t="shared" si="475"/>
        <v/>
      </c>
      <c r="S674" s="24" t="str">
        <f t="shared" si="476"/>
        <v/>
      </c>
      <c r="T674" s="24" t="str">
        <f t="shared" si="477"/>
        <v/>
      </c>
      <c r="U674" s="24" t="str">
        <f t="shared" si="478"/>
        <v/>
      </c>
      <c r="V674" s="24" t="str">
        <f t="shared" si="479"/>
        <v/>
      </c>
      <c r="W674" s="23" t="str">
        <f t="array" ref="W674">IFERROR(SMALL(IF(S$1:S$1000="BEGIN",ROW(S$1:S$1000)),ROW()-3),"")</f>
        <v/>
      </c>
      <c r="X674" s="23" t="str">
        <f t="array" ref="X674">IFERROR(SMALL(IF(T$1:T$1000="END",ROW(T$1:T$1000)),ROW()-3),"")</f>
        <v/>
      </c>
      <c r="Y674" s="33" t="str">
        <f t="array" ref="Y674">IF(ISNUMBER(W674),MAX(IF((B$4:B$1000&lt;=X674)*(B$4:B$1000&gt;=W674),I$4:I$1000, "")),"")</f>
        <v/>
      </c>
      <c r="Z674" s="33" t="str">
        <f t="shared" si="464"/>
        <v/>
      </c>
      <c r="AA674" s="32" t="str">
        <f t="shared" si="465"/>
        <v/>
      </c>
      <c r="AB674" s="32" t="str">
        <f t="shared" si="466"/>
        <v/>
      </c>
      <c r="AC674" s="32" t="str">
        <f t="shared" si="467"/>
        <v/>
      </c>
      <c r="AD674" s="32" t="str">
        <f t="shared" si="468"/>
        <v/>
      </c>
      <c r="AE674" s="34" t="str">
        <f t="shared" si="469"/>
        <v/>
      </c>
      <c r="AF674" s="32" t="str">
        <f t="shared" si="470"/>
        <v/>
      </c>
      <c r="AG674" s="32" t="str">
        <f t="shared" si="471"/>
        <v/>
      </c>
      <c r="AH674" s="32" t="str">
        <f t="shared" si="472"/>
        <v/>
      </c>
      <c r="AI674" s="35" t="str">
        <f t="shared" si="473"/>
        <v/>
      </c>
      <c r="AJ674" s="23" t="str">
        <f t="array" ref="AJ674">IFERROR(SMALL(IF(U$1:U$1000="BEGIN",ROW(U$1:U$1000)),ROW()-3),"")</f>
        <v/>
      </c>
      <c r="AK674" s="23" t="str">
        <f t="array" ref="AK674">IFERROR(SMALL(IF(V$1:V$1000="END",ROW(V$1:V$1000)),ROW()-3),"")</f>
        <v/>
      </c>
      <c r="AL674" s="24" t="str">
        <f t="array" ref="AL674">IF(AK674="","",MATCH(AM674,L:L,0))</f>
        <v/>
      </c>
      <c r="AM674" s="35">
        <f t="array" ref="AM674">MAX(IF((B$4:B$1000&lt;=AK674)*(B$4:B$1000&gt;=AJ674),L$4:L$1000, ""))</f>
        <v>0</v>
      </c>
      <c r="AN674" s="32" t="str">
        <f t="shared" si="480"/>
        <v/>
      </c>
      <c r="AO674" s="32" t="str">
        <f t="shared" si="481"/>
        <v/>
      </c>
      <c r="AP674" s="32" t="str">
        <f t="shared" si="482"/>
        <v/>
      </c>
      <c r="AQ674" s="32" t="str">
        <f t="shared" si="483"/>
        <v/>
      </c>
      <c r="AR674" s="32" t="str">
        <f t="shared" si="484"/>
        <v/>
      </c>
      <c r="AS674" s="32" t="str">
        <f t="shared" si="485"/>
        <v/>
      </c>
      <c r="AT674" s="32" t="str">
        <f t="shared" si="486"/>
        <v/>
      </c>
      <c r="AU674" s="34" t="str">
        <f t="shared" si="487"/>
        <v/>
      </c>
      <c r="AV674" s="32" t="str">
        <f t="shared" si="488"/>
        <v/>
      </c>
      <c r="AW674" s="32" t="str">
        <f t="shared" si="489"/>
        <v/>
      </c>
      <c r="AX674" s="32" t="str">
        <f t="shared" si="490"/>
        <v/>
      </c>
      <c r="AY674" s="32" t="str">
        <f t="shared" si="491"/>
        <v/>
      </c>
    </row>
    <row r="675" spans="1:51" x14ac:dyDescent="0.25">
      <c r="A675" s="24" t="str">
        <f t="shared" si="449"/>
        <v/>
      </c>
      <c r="B675" s="24" t="str">
        <f t="shared" si="459"/>
        <v/>
      </c>
      <c r="C675" s="32" t="str">
        <f t="shared" si="450"/>
        <v/>
      </c>
      <c r="D675" s="24" t="str">
        <f t="shared" si="451"/>
        <v/>
      </c>
      <c r="E675" s="24" t="str">
        <f t="shared" si="452"/>
        <v/>
      </c>
      <c r="F675" s="32" t="str">
        <f t="shared" si="453"/>
        <v/>
      </c>
      <c r="G675" s="32" t="str">
        <f t="shared" si="454"/>
        <v/>
      </c>
      <c r="H675" s="32" t="str">
        <f t="shared" ca="1" si="455"/>
        <v/>
      </c>
      <c r="I675" s="32" t="str">
        <f t="shared" ca="1" si="460"/>
        <v/>
      </c>
      <c r="J675" s="32" t="str">
        <f t="shared" si="456"/>
        <v/>
      </c>
      <c r="K675" s="32" t="str">
        <f>IF(ISNUMBER(A675),Profile!$V$25+Profile!$V$24*'Ri-Po'!C675,"")</f>
        <v/>
      </c>
      <c r="L675" s="32" t="str">
        <f t="shared" si="461"/>
        <v/>
      </c>
      <c r="M675" s="32" t="str">
        <f t="shared" si="457"/>
        <v/>
      </c>
      <c r="N675" s="32" t="str">
        <f t="shared" si="458"/>
        <v/>
      </c>
      <c r="O675" s="32" t="str">
        <f t="shared" si="474"/>
        <v/>
      </c>
      <c r="P675" s="32" t="str">
        <f t="shared" si="462"/>
        <v/>
      </c>
      <c r="Q675" s="32" t="str">
        <f t="shared" si="463"/>
        <v/>
      </c>
      <c r="R675" s="32" t="str">
        <f t="shared" si="475"/>
        <v/>
      </c>
      <c r="S675" s="24" t="str">
        <f t="shared" si="476"/>
        <v/>
      </c>
      <c r="T675" s="24" t="str">
        <f t="shared" si="477"/>
        <v/>
      </c>
      <c r="U675" s="24" t="str">
        <f t="shared" si="478"/>
        <v/>
      </c>
      <c r="V675" s="24" t="str">
        <f t="shared" si="479"/>
        <v/>
      </c>
      <c r="W675" s="23" t="str">
        <f t="array" ref="W675">IFERROR(SMALL(IF(S$1:S$1000="BEGIN",ROW(S$1:S$1000)),ROW()-3),"")</f>
        <v/>
      </c>
      <c r="X675" s="23" t="str">
        <f t="array" ref="X675">IFERROR(SMALL(IF(T$1:T$1000="END",ROW(T$1:T$1000)),ROW()-3),"")</f>
        <v/>
      </c>
      <c r="Y675" s="33" t="str">
        <f t="array" ref="Y675">IF(ISNUMBER(W675),MAX(IF((B$4:B$1000&lt;=X675)*(B$4:B$1000&gt;=W675),I$4:I$1000, "")),"")</f>
        <v/>
      </c>
      <c r="Z675" s="33" t="str">
        <f t="shared" si="464"/>
        <v/>
      </c>
      <c r="AA675" s="32" t="str">
        <f t="shared" si="465"/>
        <v/>
      </c>
      <c r="AB675" s="32" t="str">
        <f t="shared" si="466"/>
        <v/>
      </c>
      <c r="AC675" s="32" t="str">
        <f t="shared" si="467"/>
        <v/>
      </c>
      <c r="AD675" s="32" t="str">
        <f t="shared" si="468"/>
        <v/>
      </c>
      <c r="AE675" s="34" t="str">
        <f t="shared" si="469"/>
        <v/>
      </c>
      <c r="AF675" s="32" t="str">
        <f t="shared" si="470"/>
        <v/>
      </c>
      <c r="AG675" s="32" t="str">
        <f t="shared" si="471"/>
        <v/>
      </c>
      <c r="AH675" s="32" t="str">
        <f t="shared" si="472"/>
        <v/>
      </c>
      <c r="AI675" s="35" t="str">
        <f t="shared" si="473"/>
        <v/>
      </c>
      <c r="AJ675" s="23" t="str">
        <f t="array" ref="AJ675">IFERROR(SMALL(IF(U$1:U$1000="BEGIN",ROW(U$1:U$1000)),ROW()-3),"")</f>
        <v/>
      </c>
      <c r="AK675" s="23" t="str">
        <f t="array" ref="AK675">IFERROR(SMALL(IF(V$1:V$1000="END",ROW(V$1:V$1000)),ROW()-3),"")</f>
        <v/>
      </c>
      <c r="AL675" s="24" t="str">
        <f t="array" ref="AL675">IF(AK675="","",MATCH(AM675,L:L,0))</f>
        <v/>
      </c>
      <c r="AM675" s="35">
        <f t="array" ref="AM675">MAX(IF((B$4:B$1000&lt;=AK675)*(B$4:B$1000&gt;=AJ675),L$4:L$1000, ""))</f>
        <v>0</v>
      </c>
      <c r="AN675" s="32" t="str">
        <f t="shared" si="480"/>
        <v/>
      </c>
      <c r="AO675" s="32" t="str">
        <f t="shared" si="481"/>
        <v/>
      </c>
      <c r="AP675" s="32" t="str">
        <f t="shared" si="482"/>
        <v/>
      </c>
      <c r="AQ675" s="32" t="str">
        <f t="shared" si="483"/>
        <v/>
      </c>
      <c r="AR675" s="32" t="str">
        <f t="shared" si="484"/>
        <v/>
      </c>
      <c r="AS675" s="32" t="str">
        <f t="shared" si="485"/>
        <v/>
      </c>
      <c r="AT675" s="32" t="str">
        <f t="shared" si="486"/>
        <v/>
      </c>
      <c r="AU675" s="34" t="str">
        <f t="shared" si="487"/>
        <v/>
      </c>
      <c r="AV675" s="32" t="str">
        <f t="shared" si="488"/>
        <v/>
      </c>
      <c r="AW675" s="32" t="str">
        <f t="shared" si="489"/>
        <v/>
      </c>
      <c r="AX675" s="32" t="str">
        <f t="shared" si="490"/>
        <v/>
      </c>
      <c r="AY675" s="32" t="str">
        <f t="shared" si="491"/>
        <v/>
      </c>
    </row>
    <row r="676" spans="1:51" x14ac:dyDescent="0.25">
      <c r="A676" s="24" t="str">
        <f t="shared" si="449"/>
        <v/>
      </c>
      <c r="B676" s="24" t="str">
        <f t="shared" si="459"/>
        <v/>
      </c>
      <c r="C676" s="32" t="str">
        <f t="shared" si="450"/>
        <v/>
      </c>
      <c r="D676" s="24" t="str">
        <f t="shared" si="451"/>
        <v/>
      </c>
      <c r="E676" s="24" t="str">
        <f t="shared" si="452"/>
        <v/>
      </c>
      <c r="F676" s="32" t="str">
        <f t="shared" si="453"/>
        <v/>
      </c>
      <c r="G676" s="32" t="str">
        <f t="shared" si="454"/>
        <v/>
      </c>
      <c r="H676" s="32" t="str">
        <f t="shared" ca="1" si="455"/>
        <v/>
      </c>
      <c r="I676" s="32" t="str">
        <f t="shared" ca="1" si="460"/>
        <v/>
      </c>
      <c r="J676" s="32" t="str">
        <f t="shared" si="456"/>
        <v/>
      </c>
      <c r="K676" s="32" t="str">
        <f>IF(ISNUMBER(A676),Profile!$V$25+Profile!$V$24*'Ri-Po'!C676,"")</f>
        <v/>
      </c>
      <c r="L676" s="32" t="str">
        <f t="shared" si="461"/>
        <v/>
      </c>
      <c r="M676" s="32" t="str">
        <f t="shared" si="457"/>
        <v/>
      </c>
      <c r="N676" s="32" t="str">
        <f t="shared" si="458"/>
        <v/>
      </c>
      <c r="O676" s="32" t="str">
        <f t="shared" si="474"/>
        <v/>
      </c>
      <c r="P676" s="32" t="str">
        <f t="shared" si="462"/>
        <v/>
      </c>
      <c r="Q676" s="32" t="str">
        <f t="shared" si="463"/>
        <v/>
      </c>
      <c r="R676" s="32" t="str">
        <f t="shared" si="475"/>
        <v/>
      </c>
      <c r="S676" s="24" t="str">
        <f t="shared" si="476"/>
        <v/>
      </c>
      <c r="T676" s="24" t="str">
        <f t="shared" si="477"/>
        <v/>
      </c>
      <c r="U676" s="24" t="str">
        <f t="shared" si="478"/>
        <v/>
      </c>
      <c r="V676" s="24" t="str">
        <f t="shared" si="479"/>
        <v/>
      </c>
      <c r="W676" s="23" t="str">
        <f t="array" ref="W676">IFERROR(SMALL(IF(S$1:S$1000="BEGIN",ROW(S$1:S$1000)),ROW()-3),"")</f>
        <v/>
      </c>
      <c r="X676" s="23" t="str">
        <f t="array" ref="X676">IFERROR(SMALL(IF(T$1:T$1000="END",ROW(T$1:T$1000)),ROW()-3),"")</f>
        <v/>
      </c>
      <c r="Y676" s="33" t="str">
        <f t="array" ref="Y676">IF(ISNUMBER(W676),MAX(IF((B$4:B$1000&lt;=X676)*(B$4:B$1000&gt;=W676),I$4:I$1000, "")),"")</f>
        <v/>
      </c>
      <c r="Z676" s="33" t="str">
        <f t="shared" si="464"/>
        <v/>
      </c>
      <c r="AA676" s="32" t="str">
        <f t="shared" si="465"/>
        <v/>
      </c>
      <c r="AB676" s="32" t="str">
        <f t="shared" si="466"/>
        <v/>
      </c>
      <c r="AC676" s="32" t="str">
        <f t="shared" si="467"/>
        <v/>
      </c>
      <c r="AD676" s="32" t="str">
        <f t="shared" si="468"/>
        <v/>
      </c>
      <c r="AE676" s="34" t="str">
        <f t="shared" si="469"/>
        <v/>
      </c>
      <c r="AF676" s="32" t="str">
        <f t="shared" si="470"/>
        <v/>
      </c>
      <c r="AG676" s="32" t="str">
        <f t="shared" si="471"/>
        <v/>
      </c>
      <c r="AH676" s="32" t="str">
        <f t="shared" si="472"/>
        <v/>
      </c>
      <c r="AI676" s="35" t="str">
        <f t="shared" si="473"/>
        <v/>
      </c>
      <c r="AJ676" s="23" t="str">
        <f t="array" ref="AJ676">IFERROR(SMALL(IF(U$1:U$1000="BEGIN",ROW(U$1:U$1000)),ROW()-3),"")</f>
        <v/>
      </c>
      <c r="AK676" s="23" t="str">
        <f t="array" ref="AK676">IFERROR(SMALL(IF(V$1:V$1000="END",ROW(V$1:V$1000)),ROW()-3),"")</f>
        <v/>
      </c>
      <c r="AL676" s="24" t="str">
        <f t="array" ref="AL676">IF(AK676="","",MATCH(AM676,L:L,0))</f>
        <v/>
      </c>
      <c r="AM676" s="35">
        <f t="array" ref="AM676">MAX(IF((B$4:B$1000&lt;=AK676)*(B$4:B$1000&gt;=AJ676),L$4:L$1000, ""))</f>
        <v>0</v>
      </c>
      <c r="AN676" s="32" t="str">
        <f t="shared" si="480"/>
        <v/>
      </c>
      <c r="AO676" s="32" t="str">
        <f t="shared" si="481"/>
        <v/>
      </c>
      <c r="AP676" s="32" t="str">
        <f t="shared" si="482"/>
        <v/>
      </c>
      <c r="AQ676" s="32" t="str">
        <f t="shared" si="483"/>
        <v/>
      </c>
      <c r="AR676" s="32" t="str">
        <f t="shared" si="484"/>
        <v/>
      </c>
      <c r="AS676" s="32" t="str">
        <f t="shared" si="485"/>
        <v/>
      </c>
      <c r="AT676" s="32" t="str">
        <f t="shared" si="486"/>
        <v/>
      </c>
      <c r="AU676" s="34" t="str">
        <f t="shared" si="487"/>
        <v/>
      </c>
      <c r="AV676" s="32" t="str">
        <f t="shared" si="488"/>
        <v/>
      </c>
      <c r="AW676" s="32" t="str">
        <f t="shared" si="489"/>
        <v/>
      </c>
      <c r="AX676" s="32" t="str">
        <f t="shared" si="490"/>
        <v/>
      </c>
      <c r="AY676" s="32" t="str">
        <f t="shared" si="491"/>
        <v/>
      </c>
    </row>
    <row r="677" spans="1:51" x14ac:dyDescent="0.25">
      <c r="A677" s="24" t="str">
        <f t="shared" si="449"/>
        <v/>
      </c>
      <c r="B677" s="24" t="str">
        <f t="shared" si="459"/>
        <v/>
      </c>
      <c r="C677" s="32" t="str">
        <f t="shared" si="450"/>
        <v/>
      </c>
      <c r="D677" s="24" t="str">
        <f t="shared" si="451"/>
        <v/>
      </c>
      <c r="E677" s="24" t="str">
        <f t="shared" si="452"/>
        <v/>
      </c>
      <c r="F677" s="32" t="str">
        <f t="shared" si="453"/>
        <v/>
      </c>
      <c r="G677" s="32" t="str">
        <f t="shared" si="454"/>
        <v/>
      </c>
      <c r="H677" s="32" t="str">
        <f t="shared" ca="1" si="455"/>
        <v/>
      </c>
      <c r="I677" s="32" t="str">
        <f t="shared" ca="1" si="460"/>
        <v/>
      </c>
      <c r="J677" s="32" t="str">
        <f t="shared" si="456"/>
        <v/>
      </c>
      <c r="K677" s="32" t="str">
        <f>IF(ISNUMBER(A677),Profile!$V$25+Profile!$V$24*'Ri-Po'!C677,"")</f>
        <v/>
      </c>
      <c r="L677" s="32" t="str">
        <f t="shared" si="461"/>
        <v/>
      </c>
      <c r="M677" s="32" t="str">
        <f t="shared" si="457"/>
        <v/>
      </c>
      <c r="N677" s="32" t="str">
        <f t="shared" si="458"/>
        <v/>
      </c>
      <c r="O677" s="32" t="str">
        <f t="shared" si="474"/>
        <v/>
      </c>
      <c r="P677" s="32" t="str">
        <f t="shared" si="462"/>
        <v/>
      </c>
      <c r="Q677" s="32" t="str">
        <f t="shared" si="463"/>
        <v/>
      </c>
      <c r="R677" s="32" t="str">
        <f t="shared" si="475"/>
        <v/>
      </c>
      <c r="S677" s="24" t="str">
        <f t="shared" si="476"/>
        <v/>
      </c>
      <c r="T677" s="24" t="str">
        <f t="shared" si="477"/>
        <v/>
      </c>
      <c r="U677" s="24" t="str">
        <f t="shared" si="478"/>
        <v/>
      </c>
      <c r="V677" s="24" t="str">
        <f t="shared" si="479"/>
        <v/>
      </c>
      <c r="W677" s="23" t="str">
        <f t="array" ref="W677">IFERROR(SMALL(IF(S$1:S$1000="BEGIN",ROW(S$1:S$1000)),ROW()-3),"")</f>
        <v/>
      </c>
      <c r="X677" s="23" t="str">
        <f t="array" ref="X677">IFERROR(SMALL(IF(T$1:T$1000="END",ROW(T$1:T$1000)),ROW()-3),"")</f>
        <v/>
      </c>
      <c r="Y677" s="33" t="str">
        <f t="array" ref="Y677">IF(ISNUMBER(W677),MAX(IF((B$4:B$1000&lt;=X677)*(B$4:B$1000&gt;=W677),I$4:I$1000, "")),"")</f>
        <v/>
      </c>
      <c r="Z677" s="33" t="str">
        <f t="shared" si="464"/>
        <v/>
      </c>
      <c r="AA677" s="32" t="str">
        <f t="shared" si="465"/>
        <v/>
      </c>
      <c r="AB677" s="32" t="str">
        <f t="shared" si="466"/>
        <v/>
      </c>
      <c r="AC677" s="32" t="str">
        <f t="shared" si="467"/>
        <v/>
      </c>
      <c r="AD677" s="32" t="str">
        <f t="shared" si="468"/>
        <v/>
      </c>
      <c r="AE677" s="34" t="str">
        <f t="shared" si="469"/>
        <v/>
      </c>
      <c r="AF677" s="32" t="str">
        <f t="shared" si="470"/>
        <v/>
      </c>
      <c r="AG677" s="32" t="str">
        <f t="shared" si="471"/>
        <v/>
      </c>
      <c r="AH677" s="32" t="str">
        <f t="shared" si="472"/>
        <v/>
      </c>
      <c r="AI677" s="35" t="str">
        <f t="shared" si="473"/>
        <v/>
      </c>
      <c r="AJ677" s="23" t="str">
        <f t="array" ref="AJ677">IFERROR(SMALL(IF(U$1:U$1000="BEGIN",ROW(U$1:U$1000)),ROW()-3),"")</f>
        <v/>
      </c>
      <c r="AK677" s="23" t="str">
        <f t="array" ref="AK677">IFERROR(SMALL(IF(V$1:V$1000="END",ROW(V$1:V$1000)),ROW()-3),"")</f>
        <v/>
      </c>
      <c r="AL677" s="24" t="str">
        <f t="array" ref="AL677">IF(AK677="","",MATCH(AM677,L:L,0))</f>
        <v/>
      </c>
      <c r="AM677" s="35">
        <f t="array" ref="AM677">MAX(IF((B$4:B$1000&lt;=AK677)*(B$4:B$1000&gt;=AJ677),L$4:L$1000, ""))</f>
        <v>0</v>
      </c>
      <c r="AN677" s="32" t="str">
        <f t="shared" si="480"/>
        <v/>
      </c>
      <c r="AO677" s="32" t="str">
        <f t="shared" si="481"/>
        <v/>
      </c>
      <c r="AP677" s="32" t="str">
        <f t="shared" si="482"/>
        <v/>
      </c>
      <c r="AQ677" s="32" t="str">
        <f t="shared" si="483"/>
        <v/>
      </c>
      <c r="AR677" s="32" t="str">
        <f t="shared" si="484"/>
        <v/>
      </c>
      <c r="AS677" s="32" t="str">
        <f t="shared" si="485"/>
        <v/>
      </c>
      <c r="AT677" s="32" t="str">
        <f t="shared" si="486"/>
        <v/>
      </c>
      <c r="AU677" s="34" t="str">
        <f t="shared" si="487"/>
        <v/>
      </c>
      <c r="AV677" s="32" t="str">
        <f t="shared" si="488"/>
        <v/>
      </c>
      <c r="AW677" s="32" t="str">
        <f t="shared" si="489"/>
        <v/>
      </c>
      <c r="AX677" s="32" t="str">
        <f t="shared" si="490"/>
        <v/>
      </c>
      <c r="AY677" s="32" t="str">
        <f t="shared" si="491"/>
        <v/>
      </c>
    </row>
    <row r="678" spans="1:51" x14ac:dyDescent="0.25">
      <c r="A678" s="24" t="str">
        <f t="shared" si="449"/>
        <v/>
      </c>
      <c r="B678" s="24" t="str">
        <f t="shared" si="459"/>
        <v/>
      </c>
      <c r="C678" s="32" t="str">
        <f t="shared" si="450"/>
        <v/>
      </c>
      <c r="D678" s="24" t="str">
        <f t="shared" si="451"/>
        <v/>
      </c>
      <c r="E678" s="24" t="str">
        <f t="shared" si="452"/>
        <v/>
      </c>
      <c r="F678" s="32" t="str">
        <f t="shared" si="453"/>
        <v/>
      </c>
      <c r="G678" s="32" t="str">
        <f t="shared" si="454"/>
        <v/>
      </c>
      <c r="H678" s="32" t="str">
        <f t="shared" ca="1" si="455"/>
        <v/>
      </c>
      <c r="I678" s="32" t="str">
        <f t="shared" ca="1" si="460"/>
        <v/>
      </c>
      <c r="J678" s="32" t="str">
        <f t="shared" si="456"/>
        <v/>
      </c>
      <c r="K678" s="32" t="str">
        <f>IF(ISNUMBER(A678),Profile!$V$25+Profile!$V$24*'Ri-Po'!C678,"")</f>
        <v/>
      </c>
      <c r="L678" s="32" t="str">
        <f t="shared" si="461"/>
        <v/>
      </c>
      <c r="M678" s="32" t="str">
        <f t="shared" si="457"/>
        <v/>
      </c>
      <c r="N678" s="32" t="str">
        <f t="shared" si="458"/>
        <v/>
      </c>
      <c r="O678" s="32" t="str">
        <f t="shared" si="474"/>
        <v/>
      </c>
      <c r="P678" s="32" t="str">
        <f t="shared" si="462"/>
        <v/>
      </c>
      <c r="Q678" s="32" t="str">
        <f t="shared" si="463"/>
        <v/>
      </c>
      <c r="R678" s="32" t="str">
        <f t="shared" si="475"/>
        <v/>
      </c>
      <c r="S678" s="24" t="str">
        <f t="shared" si="476"/>
        <v/>
      </c>
      <c r="T678" s="24" t="str">
        <f t="shared" si="477"/>
        <v/>
      </c>
      <c r="U678" s="24" t="str">
        <f t="shared" si="478"/>
        <v/>
      </c>
      <c r="V678" s="24" t="str">
        <f t="shared" si="479"/>
        <v/>
      </c>
      <c r="W678" s="23" t="str">
        <f t="array" ref="W678">IFERROR(SMALL(IF(S$1:S$1000="BEGIN",ROW(S$1:S$1000)),ROW()-3),"")</f>
        <v/>
      </c>
      <c r="X678" s="23" t="str">
        <f t="array" ref="X678">IFERROR(SMALL(IF(T$1:T$1000="END",ROW(T$1:T$1000)),ROW()-3),"")</f>
        <v/>
      </c>
      <c r="Y678" s="33" t="str">
        <f t="array" ref="Y678">IF(ISNUMBER(W678),MAX(IF((B$4:B$1000&lt;=X678)*(B$4:B$1000&gt;=W678),I$4:I$1000, "")),"")</f>
        <v/>
      </c>
      <c r="Z678" s="33" t="str">
        <f t="shared" si="464"/>
        <v/>
      </c>
      <c r="AA678" s="32" t="str">
        <f t="shared" si="465"/>
        <v/>
      </c>
      <c r="AB678" s="32" t="str">
        <f t="shared" si="466"/>
        <v/>
      </c>
      <c r="AC678" s="32" t="str">
        <f t="shared" si="467"/>
        <v/>
      </c>
      <c r="AD678" s="32" t="str">
        <f t="shared" si="468"/>
        <v/>
      </c>
      <c r="AE678" s="34" t="str">
        <f t="shared" si="469"/>
        <v/>
      </c>
      <c r="AF678" s="32" t="str">
        <f t="shared" si="470"/>
        <v/>
      </c>
      <c r="AG678" s="32" t="str">
        <f t="shared" si="471"/>
        <v/>
      </c>
      <c r="AH678" s="32" t="str">
        <f t="shared" si="472"/>
        <v/>
      </c>
      <c r="AI678" s="35" t="str">
        <f t="shared" si="473"/>
        <v/>
      </c>
      <c r="AJ678" s="23" t="str">
        <f t="array" ref="AJ678">IFERROR(SMALL(IF(U$1:U$1000="BEGIN",ROW(U$1:U$1000)),ROW()-3),"")</f>
        <v/>
      </c>
      <c r="AK678" s="23" t="str">
        <f t="array" ref="AK678">IFERROR(SMALL(IF(V$1:V$1000="END",ROW(V$1:V$1000)),ROW()-3),"")</f>
        <v/>
      </c>
      <c r="AL678" s="24" t="str">
        <f t="array" ref="AL678">IF(AK678="","",MATCH(AM678,L:L,0))</f>
        <v/>
      </c>
      <c r="AM678" s="35">
        <f t="array" ref="AM678">MAX(IF((B$4:B$1000&lt;=AK678)*(B$4:B$1000&gt;=AJ678),L$4:L$1000, ""))</f>
        <v>0</v>
      </c>
      <c r="AN678" s="32" t="str">
        <f t="shared" si="480"/>
        <v/>
      </c>
      <c r="AO678" s="32" t="str">
        <f t="shared" si="481"/>
        <v/>
      </c>
      <c r="AP678" s="32" t="str">
        <f t="shared" si="482"/>
        <v/>
      </c>
      <c r="AQ678" s="32" t="str">
        <f t="shared" si="483"/>
        <v/>
      </c>
      <c r="AR678" s="32" t="str">
        <f t="shared" si="484"/>
        <v/>
      </c>
      <c r="AS678" s="32" t="str">
        <f t="shared" si="485"/>
        <v/>
      </c>
      <c r="AT678" s="32" t="str">
        <f t="shared" si="486"/>
        <v/>
      </c>
      <c r="AU678" s="34" t="str">
        <f t="shared" si="487"/>
        <v/>
      </c>
      <c r="AV678" s="32" t="str">
        <f t="shared" si="488"/>
        <v/>
      </c>
      <c r="AW678" s="32" t="str">
        <f t="shared" si="489"/>
        <v/>
      </c>
      <c r="AX678" s="32" t="str">
        <f t="shared" si="490"/>
        <v/>
      </c>
      <c r="AY678" s="32" t="str">
        <f t="shared" si="491"/>
        <v/>
      </c>
    </row>
    <row r="679" spans="1:51" x14ac:dyDescent="0.25">
      <c r="A679" s="24" t="str">
        <f t="shared" si="449"/>
        <v/>
      </c>
      <c r="B679" s="24" t="str">
        <f t="shared" si="459"/>
        <v/>
      </c>
      <c r="C679" s="32" t="str">
        <f t="shared" si="450"/>
        <v/>
      </c>
      <c r="D679" s="24" t="str">
        <f t="shared" si="451"/>
        <v/>
      </c>
      <c r="E679" s="24" t="str">
        <f t="shared" si="452"/>
        <v/>
      </c>
      <c r="F679" s="32" t="str">
        <f t="shared" si="453"/>
        <v/>
      </c>
      <c r="G679" s="32" t="str">
        <f t="shared" si="454"/>
        <v/>
      </c>
      <c r="H679" s="32" t="str">
        <f t="shared" ca="1" si="455"/>
        <v/>
      </c>
      <c r="I679" s="32" t="str">
        <f t="shared" ca="1" si="460"/>
        <v/>
      </c>
      <c r="J679" s="32" t="str">
        <f t="shared" si="456"/>
        <v/>
      </c>
      <c r="K679" s="32" t="str">
        <f>IF(ISNUMBER(A679),Profile!$V$25+Profile!$V$24*'Ri-Po'!C679,"")</f>
        <v/>
      </c>
      <c r="L679" s="32" t="str">
        <f t="shared" si="461"/>
        <v/>
      </c>
      <c r="M679" s="32" t="str">
        <f t="shared" si="457"/>
        <v/>
      </c>
      <c r="N679" s="32" t="str">
        <f t="shared" si="458"/>
        <v/>
      </c>
      <c r="O679" s="32" t="str">
        <f t="shared" si="474"/>
        <v/>
      </c>
      <c r="P679" s="32" t="str">
        <f t="shared" si="462"/>
        <v/>
      </c>
      <c r="Q679" s="32" t="str">
        <f t="shared" si="463"/>
        <v/>
      </c>
      <c r="R679" s="32" t="str">
        <f t="shared" si="475"/>
        <v/>
      </c>
      <c r="S679" s="24" t="str">
        <f t="shared" si="476"/>
        <v/>
      </c>
      <c r="T679" s="24" t="str">
        <f t="shared" si="477"/>
        <v/>
      </c>
      <c r="U679" s="24" t="str">
        <f t="shared" si="478"/>
        <v/>
      </c>
      <c r="V679" s="24" t="str">
        <f t="shared" si="479"/>
        <v/>
      </c>
      <c r="W679" s="23" t="str">
        <f t="array" ref="W679">IFERROR(SMALL(IF(S$1:S$1000="BEGIN",ROW(S$1:S$1000)),ROW()-3),"")</f>
        <v/>
      </c>
      <c r="X679" s="23" t="str">
        <f t="array" ref="X679">IFERROR(SMALL(IF(T$1:T$1000="END",ROW(T$1:T$1000)),ROW()-3),"")</f>
        <v/>
      </c>
      <c r="Y679" s="33" t="str">
        <f t="array" ref="Y679">IF(ISNUMBER(W679),MAX(IF((B$4:B$1000&lt;=X679)*(B$4:B$1000&gt;=W679),I$4:I$1000, "")),"")</f>
        <v/>
      </c>
      <c r="Z679" s="33" t="str">
        <f t="shared" si="464"/>
        <v/>
      </c>
      <c r="AA679" s="32" t="str">
        <f t="shared" si="465"/>
        <v/>
      </c>
      <c r="AB679" s="32" t="str">
        <f t="shared" si="466"/>
        <v/>
      </c>
      <c r="AC679" s="32" t="str">
        <f t="shared" si="467"/>
        <v/>
      </c>
      <c r="AD679" s="32" t="str">
        <f t="shared" si="468"/>
        <v/>
      </c>
      <c r="AE679" s="34" t="str">
        <f t="shared" si="469"/>
        <v/>
      </c>
      <c r="AF679" s="32" t="str">
        <f t="shared" si="470"/>
        <v/>
      </c>
      <c r="AG679" s="32" t="str">
        <f t="shared" si="471"/>
        <v/>
      </c>
      <c r="AH679" s="32" t="str">
        <f t="shared" si="472"/>
        <v/>
      </c>
      <c r="AI679" s="35" t="str">
        <f t="shared" si="473"/>
        <v/>
      </c>
      <c r="AJ679" s="23" t="str">
        <f t="array" ref="AJ679">IFERROR(SMALL(IF(U$1:U$1000="BEGIN",ROW(U$1:U$1000)),ROW()-3),"")</f>
        <v/>
      </c>
      <c r="AK679" s="23" t="str">
        <f t="array" ref="AK679">IFERROR(SMALL(IF(V$1:V$1000="END",ROW(V$1:V$1000)),ROW()-3),"")</f>
        <v/>
      </c>
      <c r="AL679" s="24" t="str">
        <f t="array" ref="AL679">IF(AK679="","",MATCH(AM679,L:L,0))</f>
        <v/>
      </c>
      <c r="AM679" s="35">
        <f t="array" ref="AM679">MAX(IF((B$4:B$1000&lt;=AK679)*(B$4:B$1000&gt;=AJ679),L$4:L$1000, ""))</f>
        <v>0</v>
      </c>
      <c r="AN679" s="32" t="str">
        <f t="shared" si="480"/>
        <v/>
      </c>
      <c r="AO679" s="32" t="str">
        <f t="shared" si="481"/>
        <v/>
      </c>
      <c r="AP679" s="32" t="str">
        <f t="shared" si="482"/>
        <v/>
      </c>
      <c r="AQ679" s="32" t="str">
        <f t="shared" si="483"/>
        <v/>
      </c>
      <c r="AR679" s="32" t="str">
        <f t="shared" si="484"/>
        <v/>
      </c>
      <c r="AS679" s="32" t="str">
        <f t="shared" si="485"/>
        <v/>
      </c>
      <c r="AT679" s="32" t="str">
        <f t="shared" si="486"/>
        <v/>
      </c>
      <c r="AU679" s="34" t="str">
        <f t="shared" si="487"/>
        <v/>
      </c>
      <c r="AV679" s="32" t="str">
        <f t="shared" si="488"/>
        <v/>
      </c>
      <c r="AW679" s="32" t="str">
        <f t="shared" si="489"/>
        <v/>
      </c>
      <c r="AX679" s="32" t="str">
        <f t="shared" si="490"/>
        <v/>
      </c>
      <c r="AY679" s="32" t="str">
        <f t="shared" si="491"/>
        <v/>
      </c>
    </row>
    <row r="680" spans="1:51" x14ac:dyDescent="0.25">
      <c r="A680" s="24" t="str">
        <f t="shared" si="449"/>
        <v/>
      </c>
      <c r="B680" s="24" t="str">
        <f t="shared" si="459"/>
        <v/>
      </c>
      <c r="C680" s="32" t="str">
        <f t="shared" si="450"/>
        <v/>
      </c>
      <c r="D680" s="24" t="str">
        <f t="shared" si="451"/>
        <v/>
      </c>
      <c r="E680" s="24" t="str">
        <f t="shared" si="452"/>
        <v/>
      </c>
      <c r="F680" s="32" t="str">
        <f t="shared" si="453"/>
        <v/>
      </c>
      <c r="G680" s="32" t="str">
        <f t="shared" si="454"/>
        <v/>
      </c>
      <c r="H680" s="32" t="str">
        <f t="shared" ca="1" si="455"/>
        <v/>
      </c>
      <c r="I680" s="32" t="str">
        <f t="shared" ca="1" si="460"/>
        <v/>
      </c>
      <c r="J680" s="32" t="str">
        <f t="shared" si="456"/>
        <v/>
      </c>
      <c r="K680" s="32" t="str">
        <f>IF(ISNUMBER(A680),Profile!$V$25+Profile!$V$24*'Ri-Po'!C680,"")</f>
        <v/>
      </c>
      <c r="L680" s="32" t="str">
        <f t="shared" si="461"/>
        <v/>
      </c>
      <c r="M680" s="32" t="str">
        <f t="shared" si="457"/>
        <v/>
      </c>
      <c r="N680" s="32" t="str">
        <f t="shared" si="458"/>
        <v/>
      </c>
      <c r="O680" s="32" t="str">
        <f t="shared" si="474"/>
        <v/>
      </c>
      <c r="P680" s="32" t="str">
        <f t="shared" si="462"/>
        <v/>
      </c>
      <c r="Q680" s="32" t="str">
        <f t="shared" si="463"/>
        <v/>
      </c>
      <c r="R680" s="32" t="str">
        <f t="shared" si="475"/>
        <v/>
      </c>
      <c r="S680" s="24" t="str">
        <f t="shared" si="476"/>
        <v/>
      </c>
      <c r="T680" s="24" t="str">
        <f t="shared" si="477"/>
        <v/>
      </c>
      <c r="U680" s="24" t="str">
        <f t="shared" si="478"/>
        <v/>
      </c>
      <c r="V680" s="24" t="str">
        <f t="shared" si="479"/>
        <v/>
      </c>
      <c r="W680" s="23" t="str">
        <f t="array" ref="W680">IFERROR(SMALL(IF(S$1:S$1000="BEGIN",ROW(S$1:S$1000)),ROW()-3),"")</f>
        <v/>
      </c>
      <c r="X680" s="23" t="str">
        <f t="array" ref="X680">IFERROR(SMALL(IF(T$1:T$1000="END",ROW(T$1:T$1000)),ROW()-3),"")</f>
        <v/>
      </c>
      <c r="Y680" s="33" t="str">
        <f t="array" ref="Y680">IF(ISNUMBER(W680),MAX(IF((B$4:B$1000&lt;=X680)*(B$4:B$1000&gt;=W680),I$4:I$1000, "")),"")</f>
        <v/>
      </c>
      <c r="Z680" s="33" t="str">
        <f t="shared" si="464"/>
        <v/>
      </c>
      <c r="AA680" s="32" t="str">
        <f t="shared" si="465"/>
        <v/>
      </c>
      <c r="AB680" s="32" t="str">
        <f t="shared" si="466"/>
        <v/>
      </c>
      <c r="AC680" s="32" t="str">
        <f t="shared" si="467"/>
        <v/>
      </c>
      <c r="AD680" s="32" t="str">
        <f t="shared" si="468"/>
        <v/>
      </c>
      <c r="AE680" s="34" t="str">
        <f t="shared" si="469"/>
        <v/>
      </c>
      <c r="AF680" s="32" t="str">
        <f t="shared" si="470"/>
        <v/>
      </c>
      <c r="AG680" s="32" t="str">
        <f t="shared" si="471"/>
        <v/>
      </c>
      <c r="AH680" s="32" t="str">
        <f t="shared" si="472"/>
        <v/>
      </c>
      <c r="AI680" s="35" t="str">
        <f t="shared" si="473"/>
        <v/>
      </c>
      <c r="AJ680" s="23" t="str">
        <f t="array" ref="AJ680">IFERROR(SMALL(IF(U$1:U$1000="BEGIN",ROW(U$1:U$1000)),ROW()-3),"")</f>
        <v/>
      </c>
      <c r="AK680" s="23" t="str">
        <f t="array" ref="AK680">IFERROR(SMALL(IF(V$1:V$1000="END",ROW(V$1:V$1000)),ROW()-3),"")</f>
        <v/>
      </c>
      <c r="AL680" s="24" t="str">
        <f t="array" ref="AL680">IF(AK680="","",MATCH(AM680,L:L,0))</f>
        <v/>
      </c>
      <c r="AM680" s="35">
        <f t="array" ref="AM680">MAX(IF((B$4:B$1000&lt;=AK680)*(B$4:B$1000&gt;=AJ680),L$4:L$1000, ""))</f>
        <v>0</v>
      </c>
      <c r="AN680" s="32" t="str">
        <f t="shared" si="480"/>
        <v/>
      </c>
      <c r="AO680" s="32" t="str">
        <f t="shared" si="481"/>
        <v/>
      </c>
      <c r="AP680" s="32" t="str">
        <f t="shared" si="482"/>
        <v/>
      </c>
      <c r="AQ680" s="32" t="str">
        <f t="shared" si="483"/>
        <v/>
      </c>
      <c r="AR680" s="32" t="str">
        <f t="shared" si="484"/>
        <v/>
      </c>
      <c r="AS680" s="32" t="str">
        <f t="shared" si="485"/>
        <v/>
      </c>
      <c r="AT680" s="32" t="str">
        <f t="shared" si="486"/>
        <v/>
      </c>
      <c r="AU680" s="34" t="str">
        <f t="shared" si="487"/>
        <v/>
      </c>
      <c r="AV680" s="32" t="str">
        <f t="shared" si="488"/>
        <v/>
      </c>
      <c r="AW680" s="32" t="str">
        <f t="shared" si="489"/>
        <v/>
      </c>
      <c r="AX680" s="32" t="str">
        <f t="shared" si="490"/>
        <v/>
      </c>
      <c r="AY680" s="32" t="str">
        <f t="shared" si="491"/>
        <v/>
      </c>
    </row>
    <row r="681" spans="1:51" x14ac:dyDescent="0.25">
      <c r="A681" s="24" t="str">
        <f t="shared" si="449"/>
        <v/>
      </c>
      <c r="B681" s="24" t="str">
        <f t="shared" si="459"/>
        <v/>
      </c>
      <c r="C681" s="32" t="str">
        <f t="shared" si="450"/>
        <v/>
      </c>
      <c r="D681" s="24" t="str">
        <f t="shared" si="451"/>
        <v/>
      </c>
      <c r="E681" s="24" t="str">
        <f t="shared" si="452"/>
        <v/>
      </c>
      <c r="F681" s="32" t="str">
        <f t="shared" si="453"/>
        <v/>
      </c>
      <c r="G681" s="32" t="str">
        <f t="shared" si="454"/>
        <v/>
      </c>
      <c r="H681" s="32" t="str">
        <f t="shared" ca="1" si="455"/>
        <v/>
      </c>
      <c r="I681" s="32" t="str">
        <f t="shared" ca="1" si="460"/>
        <v/>
      </c>
      <c r="J681" s="32" t="str">
        <f t="shared" si="456"/>
        <v/>
      </c>
      <c r="K681" s="32" t="str">
        <f>IF(ISNUMBER(A681),Profile!$V$25+Profile!$V$24*'Ri-Po'!C681,"")</f>
        <v/>
      </c>
      <c r="L681" s="32" t="str">
        <f t="shared" si="461"/>
        <v/>
      </c>
      <c r="M681" s="32" t="str">
        <f t="shared" si="457"/>
        <v/>
      </c>
      <c r="N681" s="32" t="str">
        <f t="shared" si="458"/>
        <v/>
      </c>
      <c r="O681" s="32" t="str">
        <f t="shared" si="474"/>
        <v/>
      </c>
      <c r="P681" s="32" t="str">
        <f t="shared" si="462"/>
        <v/>
      </c>
      <c r="Q681" s="32" t="str">
        <f t="shared" si="463"/>
        <v/>
      </c>
      <c r="R681" s="32" t="str">
        <f t="shared" si="475"/>
        <v/>
      </c>
      <c r="S681" s="24" t="str">
        <f t="shared" si="476"/>
        <v/>
      </c>
      <c r="T681" s="24" t="str">
        <f t="shared" si="477"/>
        <v/>
      </c>
      <c r="U681" s="24" t="str">
        <f t="shared" si="478"/>
        <v/>
      </c>
      <c r="V681" s="24" t="str">
        <f t="shared" si="479"/>
        <v/>
      </c>
      <c r="W681" s="23" t="str">
        <f t="array" ref="W681">IFERROR(SMALL(IF(S$1:S$1000="BEGIN",ROW(S$1:S$1000)),ROW()-3),"")</f>
        <v/>
      </c>
      <c r="X681" s="23" t="str">
        <f t="array" ref="X681">IFERROR(SMALL(IF(T$1:T$1000="END",ROW(T$1:T$1000)),ROW()-3),"")</f>
        <v/>
      </c>
      <c r="Y681" s="33" t="str">
        <f t="array" ref="Y681">IF(ISNUMBER(W681),MAX(IF((B$4:B$1000&lt;=X681)*(B$4:B$1000&gt;=W681),I$4:I$1000, "")),"")</f>
        <v/>
      </c>
      <c r="Z681" s="33" t="str">
        <f t="shared" si="464"/>
        <v/>
      </c>
      <c r="AA681" s="32" t="str">
        <f t="shared" si="465"/>
        <v/>
      </c>
      <c r="AB681" s="32" t="str">
        <f t="shared" si="466"/>
        <v/>
      </c>
      <c r="AC681" s="32" t="str">
        <f t="shared" si="467"/>
        <v/>
      </c>
      <c r="AD681" s="32" t="str">
        <f t="shared" si="468"/>
        <v/>
      </c>
      <c r="AE681" s="34" t="str">
        <f t="shared" si="469"/>
        <v/>
      </c>
      <c r="AF681" s="32" t="str">
        <f t="shared" si="470"/>
        <v/>
      </c>
      <c r="AG681" s="32" t="str">
        <f t="shared" si="471"/>
        <v/>
      </c>
      <c r="AH681" s="32" t="str">
        <f t="shared" si="472"/>
        <v/>
      </c>
      <c r="AI681" s="35" t="str">
        <f t="shared" si="473"/>
        <v/>
      </c>
      <c r="AJ681" s="23" t="str">
        <f t="array" ref="AJ681">IFERROR(SMALL(IF(U$1:U$1000="BEGIN",ROW(U$1:U$1000)),ROW()-3),"")</f>
        <v/>
      </c>
      <c r="AK681" s="23" t="str">
        <f t="array" ref="AK681">IFERROR(SMALL(IF(V$1:V$1000="END",ROW(V$1:V$1000)),ROW()-3),"")</f>
        <v/>
      </c>
      <c r="AL681" s="24" t="str">
        <f t="array" ref="AL681">IF(AK681="","",MATCH(AM681,L:L,0))</f>
        <v/>
      </c>
      <c r="AM681" s="35">
        <f t="array" ref="AM681">MAX(IF((B$4:B$1000&lt;=AK681)*(B$4:B$1000&gt;=AJ681),L$4:L$1000, ""))</f>
        <v>0</v>
      </c>
      <c r="AN681" s="32" t="str">
        <f t="shared" si="480"/>
        <v/>
      </c>
      <c r="AO681" s="32" t="str">
        <f t="shared" si="481"/>
        <v/>
      </c>
      <c r="AP681" s="32" t="str">
        <f t="shared" si="482"/>
        <v/>
      </c>
      <c r="AQ681" s="32" t="str">
        <f t="shared" si="483"/>
        <v/>
      </c>
      <c r="AR681" s="32" t="str">
        <f t="shared" si="484"/>
        <v/>
      </c>
      <c r="AS681" s="32" t="str">
        <f t="shared" si="485"/>
        <v/>
      </c>
      <c r="AT681" s="32" t="str">
        <f t="shared" si="486"/>
        <v/>
      </c>
      <c r="AU681" s="34" t="str">
        <f t="shared" si="487"/>
        <v/>
      </c>
      <c r="AV681" s="32" t="str">
        <f t="shared" si="488"/>
        <v/>
      </c>
      <c r="AW681" s="32" t="str">
        <f t="shared" si="489"/>
        <v/>
      </c>
      <c r="AX681" s="32" t="str">
        <f t="shared" si="490"/>
        <v/>
      </c>
      <c r="AY681" s="32" t="str">
        <f t="shared" si="491"/>
        <v/>
      </c>
    </row>
    <row r="682" spans="1:51" x14ac:dyDescent="0.25">
      <c r="A682" s="24" t="str">
        <f t="shared" si="449"/>
        <v/>
      </c>
      <c r="B682" s="24" t="str">
        <f t="shared" si="459"/>
        <v/>
      </c>
      <c r="C682" s="32" t="str">
        <f t="shared" si="450"/>
        <v/>
      </c>
      <c r="D682" s="24" t="str">
        <f t="shared" si="451"/>
        <v/>
      </c>
      <c r="E682" s="24" t="str">
        <f t="shared" si="452"/>
        <v/>
      </c>
      <c r="F682" s="32" t="str">
        <f t="shared" si="453"/>
        <v/>
      </c>
      <c r="G682" s="32" t="str">
        <f t="shared" si="454"/>
        <v/>
      </c>
      <c r="H682" s="32" t="str">
        <f t="shared" ca="1" si="455"/>
        <v/>
      </c>
      <c r="I682" s="32" t="str">
        <f t="shared" ca="1" si="460"/>
        <v/>
      </c>
      <c r="J682" s="32" t="str">
        <f t="shared" si="456"/>
        <v/>
      </c>
      <c r="K682" s="32" t="str">
        <f>IF(ISNUMBER(A682),Profile!$V$25+Profile!$V$24*'Ri-Po'!C682,"")</f>
        <v/>
      </c>
      <c r="L682" s="32" t="str">
        <f t="shared" si="461"/>
        <v/>
      </c>
      <c r="M682" s="32" t="str">
        <f t="shared" si="457"/>
        <v/>
      </c>
      <c r="N682" s="32" t="str">
        <f t="shared" si="458"/>
        <v/>
      </c>
      <c r="O682" s="32" t="str">
        <f t="shared" si="474"/>
        <v/>
      </c>
      <c r="P682" s="32" t="str">
        <f t="shared" si="462"/>
        <v/>
      </c>
      <c r="Q682" s="32" t="str">
        <f t="shared" si="463"/>
        <v/>
      </c>
      <c r="R682" s="32" t="str">
        <f t="shared" si="475"/>
        <v/>
      </c>
      <c r="S682" s="24" t="str">
        <f t="shared" si="476"/>
        <v/>
      </c>
      <c r="T682" s="24" t="str">
        <f t="shared" si="477"/>
        <v/>
      </c>
      <c r="U682" s="24" t="str">
        <f t="shared" si="478"/>
        <v/>
      </c>
      <c r="V682" s="24" t="str">
        <f t="shared" si="479"/>
        <v/>
      </c>
      <c r="W682" s="23" t="str">
        <f t="array" ref="W682">IFERROR(SMALL(IF(S$1:S$1000="BEGIN",ROW(S$1:S$1000)),ROW()-3),"")</f>
        <v/>
      </c>
      <c r="X682" s="23" t="str">
        <f t="array" ref="X682">IFERROR(SMALL(IF(T$1:T$1000="END",ROW(T$1:T$1000)),ROW()-3),"")</f>
        <v/>
      </c>
      <c r="Y682" s="33" t="str">
        <f t="array" ref="Y682">IF(ISNUMBER(W682),MAX(IF((B$4:B$1000&lt;=X682)*(B$4:B$1000&gt;=W682),I$4:I$1000, "")),"")</f>
        <v/>
      </c>
      <c r="Z682" s="33" t="str">
        <f t="shared" si="464"/>
        <v/>
      </c>
      <c r="AA682" s="32" t="str">
        <f t="shared" si="465"/>
        <v/>
      </c>
      <c r="AB682" s="32" t="str">
        <f t="shared" si="466"/>
        <v/>
      </c>
      <c r="AC682" s="32" t="str">
        <f t="shared" si="467"/>
        <v/>
      </c>
      <c r="AD682" s="32" t="str">
        <f t="shared" si="468"/>
        <v/>
      </c>
      <c r="AE682" s="34" t="str">
        <f t="shared" si="469"/>
        <v/>
      </c>
      <c r="AF682" s="32" t="str">
        <f t="shared" si="470"/>
        <v/>
      </c>
      <c r="AG682" s="32" t="str">
        <f t="shared" si="471"/>
        <v/>
      </c>
      <c r="AH682" s="32" t="str">
        <f t="shared" si="472"/>
        <v/>
      </c>
      <c r="AI682" s="35" t="str">
        <f t="shared" si="473"/>
        <v/>
      </c>
      <c r="AJ682" s="23" t="str">
        <f t="array" ref="AJ682">IFERROR(SMALL(IF(U$1:U$1000="BEGIN",ROW(U$1:U$1000)),ROW()-3),"")</f>
        <v/>
      </c>
      <c r="AK682" s="23" t="str">
        <f t="array" ref="AK682">IFERROR(SMALL(IF(V$1:V$1000="END",ROW(V$1:V$1000)),ROW()-3),"")</f>
        <v/>
      </c>
      <c r="AL682" s="24" t="str">
        <f t="array" ref="AL682">IF(AK682="","",MATCH(AM682,L:L,0))</f>
        <v/>
      </c>
      <c r="AM682" s="35">
        <f t="array" ref="AM682">MAX(IF((B$4:B$1000&lt;=AK682)*(B$4:B$1000&gt;=AJ682),L$4:L$1000, ""))</f>
        <v>0</v>
      </c>
      <c r="AN682" s="32" t="str">
        <f t="shared" si="480"/>
        <v/>
      </c>
      <c r="AO682" s="32" t="str">
        <f t="shared" si="481"/>
        <v/>
      </c>
      <c r="AP682" s="32" t="str">
        <f t="shared" si="482"/>
        <v/>
      </c>
      <c r="AQ682" s="32" t="str">
        <f t="shared" si="483"/>
        <v/>
      </c>
      <c r="AR682" s="32" t="str">
        <f t="shared" si="484"/>
        <v/>
      </c>
      <c r="AS682" s="32" t="str">
        <f t="shared" si="485"/>
        <v/>
      </c>
      <c r="AT682" s="32" t="str">
        <f t="shared" si="486"/>
        <v/>
      </c>
      <c r="AU682" s="34" t="str">
        <f t="shared" si="487"/>
        <v/>
      </c>
      <c r="AV682" s="32" t="str">
        <f t="shared" si="488"/>
        <v/>
      </c>
      <c r="AW682" s="32" t="str">
        <f t="shared" si="489"/>
        <v/>
      </c>
      <c r="AX682" s="32" t="str">
        <f t="shared" si="490"/>
        <v/>
      </c>
      <c r="AY682" s="32" t="str">
        <f t="shared" si="491"/>
        <v/>
      </c>
    </row>
    <row r="683" spans="1:51" x14ac:dyDescent="0.25">
      <c r="A683" s="24" t="str">
        <f t="shared" si="449"/>
        <v/>
      </c>
      <c r="B683" s="24" t="str">
        <f t="shared" si="459"/>
        <v/>
      </c>
      <c r="C683" s="32" t="str">
        <f t="shared" si="450"/>
        <v/>
      </c>
      <c r="D683" s="24" t="str">
        <f t="shared" si="451"/>
        <v/>
      </c>
      <c r="E683" s="24" t="str">
        <f t="shared" si="452"/>
        <v/>
      </c>
      <c r="F683" s="32" t="str">
        <f t="shared" si="453"/>
        <v/>
      </c>
      <c r="G683" s="32" t="str">
        <f t="shared" si="454"/>
        <v/>
      </c>
      <c r="H683" s="32" t="str">
        <f t="shared" ca="1" si="455"/>
        <v/>
      </c>
      <c r="I683" s="32" t="str">
        <f t="shared" ca="1" si="460"/>
        <v/>
      </c>
      <c r="J683" s="32" t="str">
        <f t="shared" si="456"/>
        <v/>
      </c>
      <c r="K683" s="32" t="str">
        <f>IF(ISNUMBER(A683),Profile!$V$25+Profile!$V$24*'Ri-Po'!C683,"")</f>
        <v/>
      </c>
      <c r="L683" s="32" t="str">
        <f t="shared" si="461"/>
        <v/>
      </c>
      <c r="M683" s="32" t="str">
        <f t="shared" si="457"/>
        <v/>
      </c>
      <c r="N683" s="32" t="str">
        <f t="shared" si="458"/>
        <v/>
      </c>
      <c r="O683" s="32" t="str">
        <f t="shared" si="474"/>
        <v/>
      </c>
      <c r="P683" s="32" t="str">
        <f t="shared" si="462"/>
        <v/>
      </c>
      <c r="Q683" s="32" t="str">
        <f t="shared" si="463"/>
        <v/>
      </c>
      <c r="R683" s="32" t="str">
        <f t="shared" si="475"/>
        <v/>
      </c>
      <c r="S683" s="24" t="str">
        <f t="shared" si="476"/>
        <v/>
      </c>
      <c r="T683" s="24" t="str">
        <f t="shared" si="477"/>
        <v/>
      </c>
      <c r="U683" s="24" t="str">
        <f t="shared" si="478"/>
        <v/>
      </c>
      <c r="V683" s="24" t="str">
        <f t="shared" si="479"/>
        <v/>
      </c>
      <c r="W683" s="23" t="str">
        <f t="array" ref="W683">IFERROR(SMALL(IF(S$1:S$1000="BEGIN",ROW(S$1:S$1000)),ROW()-3),"")</f>
        <v/>
      </c>
      <c r="X683" s="23" t="str">
        <f t="array" ref="X683">IFERROR(SMALL(IF(T$1:T$1000="END",ROW(T$1:T$1000)),ROW()-3),"")</f>
        <v/>
      </c>
      <c r="Y683" s="33" t="str">
        <f t="array" ref="Y683">IF(ISNUMBER(W683),MAX(IF((B$4:B$1000&lt;=X683)*(B$4:B$1000&gt;=W683),I$4:I$1000, "")),"")</f>
        <v/>
      </c>
      <c r="Z683" s="33" t="str">
        <f t="shared" si="464"/>
        <v/>
      </c>
      <c r="AA683" s="32" t="str">
        <f t="shared" si="465"/>
        <v/>
      </c>
      <c r="AB683" s="32" t="str">
        <f t="shared" si="466"/>
        <v/>
      </c>
      <c r="AC683" s="32" t="str">
        <f t="shared" si="467"/>
        <v/>
      </c>
      <c r="AD683" s="32" t="str">
        <f t="shared" si="468"/>
        <v/>
      </c>
      <c r="AE683" s="34" t="str">
        <f t="shared" si="469"/>
        <v/>
      </c>
      <c r="AF683" s="32" t="str">
        <f t="shared" si="470"/>
        <v/>
      </c>
      <c r="AG683" s="32" t="str">
        <f t="shared" si="471"/>
        <v/>
      </c>
      <c r="AH683" s="32" t="str">
        <f t="shared" si="472"/>
        <v/>
      </c>
      <c r="AI683" s="35" t="str">
        <f t="shared" si="473"/>
        <v/>
      </c>
      <c r="AJ683" s="23" t="str">
        <f t="array" ref="AJ683">IFERROR(SMALL(IF(U$1:U$1000="BEGIN",ROW(U$1:U$1000)),ROW()-3),"")</f>
        <v/>
      </c>
      <c r="AK683" s="23" t="str">
        <f t="array" ref="AK683">IFERROR(SMALL(IF(V$1:V$1000="END",ROW(V$1:V$1000)),ROW()-3),"")</f>
        <v/>
      </c>
      <c r="AL683" s="24" t="str">
        <f t="array" ref="AL683">IF(AK683="","",MATCH(AM683,L:L,0))</f>
        <v/>
      </c>
      <c r="AM683" s="35">
        <f t="array" ref="AM683">MAX(IF((B$4:B$1000&lt;=AK683)*(B$4:B$1000&gt;=AJ683),L$4:L$1000, ""))</f>
        <v>0</v>
      </c>
      <c r="AN683" s="32" t="str">
        <f t="shared" si="480"/>
        <v/>
      </c>
      <c r="AO683" s="32" t="str">
        <f t="shared" si="481"/>
        <v/>
      </c>
      <c r="AP683" s="32" t="str">
        <f t="shared" si="482"/>
        <v/>
      </c>
      <c r="AQ683" s="32" t="str">
        <f t="shared" si="483"/>
        <v/>
      </c>
      <c r="AR683" s="32" t="str">
        <f t="shared" si="484"/>
        <v/>
      </c>
      <c r="AS683" s="32" t="str">
        <f t="shared" si="485"/>
        <v/>
      </c>
      <c r="AT683" s="32" t="str">
        <f t="shared" si="486"/>
        <v/>
      </c>
      <c r="AU683" s="34" t="str">
        <f t="shared" si="487"/>
        <v/>
      </c>
      <c r="AV683" s="32" t="str">
        <f t="shared" si="488"/>
        <v/>
      </c>
      <c r="AW683" s="32" t="str">
        <f t="shared" si="489"/>
        <v/>
      </c>
      <c r="AX683" s="32" t="str">
        <f t="shared" si="490"/>
        <v/>
      </c>
      <c r="AY683" s="32" t="str">
        <f t="shared" si="491"/>
        <v/>
      </c>
    </row>
    <row r="684" spans="1:51" x14ac:dyDescent="0.25">
      <c r="A684" s="24" t="str">
        <f t="shared" si="449"/>
        <v/>
      </c>
      <c r="B684" s="24" t="str">
        <f t="shared" si="459"/>
        <v/>
      </c>
      <c r="C684" s="32" t="str">
        <f t="shared" si="450"/>
        <v/>
      </c>
      <c r="D684" s="24" t="str">
        <f t="shared" si="451"/>
        <v/>
      </c>
      <c r="E684" s="24" t="str">
        <f t="shared" si="452"/>
        <v/>
      </c>
      <c r="F684" s="32" t="str">
        <f t="shared" si="453"/>
        <v/>
      </c>
      <c r="G684" s="32" t="str">
        <f t="shared" si="454"/>
        <v/>
      </c>
      <c r="H684" s="32" t="str">
        <f t="shared" ca="1" si="455"/>
        <v/>
      </c>
      <c r="I684" s="32" t="str">
        <f t="shared" ca="1" si="460"/>
        <v/>
      </c>
      <c r="J684" s="32" t="str">
        <f t="shared" si="456"/>
        <v/>
      </c>
      <c r="K684" s="32" t="str">
        <f>IF(ISNUMBER(A684),Profile!$V$25+Profile!$V$24*'Ri-Po'!C684,"")</f>
        <v/>
      </c>
      <c r="L684" s="32" t="str">
        <f t="shared" si="461"/>
        <v/>
      </c>
      <c r="M684" s="32" t="str">
        <f t="shared" si="457"/>
        <v/>
      </c>
      <c r="N684" s="32" t="str">
        <f t="shared" si="458"/>
        <v/>
      </c>
      <c r="O684" s="32" t="str">
        <f t="shared" si="474"/>
        <v/>
      </c>
      <c r="P684" s="32" t="str">
        <f t="shared" si="462"/>
        <v/>
      </c>
      <c r="Q684" s="32" t="str">
        <f t="shared" si="463"/>
        <v/>
      </c>
      <c r="R684" s="32" t="str">
        <f t="shared" si="475"/>
        <v/>
      </c>
      <c r="S684" s="24" t="str">
        <f t="shared" si="476"/>
        <v/>
      </c>
      <c r="T684" s="24" t="str">
        <f t="shared" si="477"/>
        <v/>
      </c>
      <c r="U684" s="24" t="str">
        <f t="shared" si="478"/>
        <v/>
      </c>
      <c r="V684" s="24" t="str">
        <f t="shared" si="479"/>
        <v/>
      </c>
      <c r="W684" s="23" t="str">
        <f t="array" ref="W684">IFERROR(SMALL(IF(S$1:S$1000="BEGIN",ROW(S$1:S$1000)),ROW()-3),"")</f>
        <v/>
      </c>
      <c r="X684" s="23" t="str">
        <f t="array" ref="X684">IFERROR(SMALL(IF(T$1:T$1000="END",ROW(T$1:T$1000)),ROW()-3),"")</f>
        <v/>
      </c>
      <c r="Y684" s="33" t="str">
        <f t="array" ref="Y684">IF(ISNUMBER(W684),MAX(IF((B$4:B$1000&lt;=X684)*(B$4:B$1000&gt;=W684),I$4:I$1000, "")),"")</f>
        <v/>
      </c>
      <c r="Z684" s="33" t="str">
        <f t="shared" si="464"/>
        <v/>
      </c>
      <c r="AA684" s="32" t="str">
        <f t="shared" si="465"/>
        <v/>
      </c>
      <c r="AB684" s="32" t="str">
        <f t="shared" si="466"/>
        <v/>
      </c>
      <c r="AC684" s="32" t="str">
        <f t="shared" si="467"/>
        <v/>
      </c>
      <c r="AD684" s="32" t="str">
        <f t="shared" si="468"/>
        <v/>
      </c>
      <c r="AE684" s="34" t="str">
        <f t="shared" si="469"/>
        <v/>
      </c>
      <c r="AF684" s="32" t="str">
        <f t="shared" si="470"/>
        <v/>
      </c>
      <c r="AG684" s="32" t="str">
        <f t="shared" si="471"/>
        <v/>
      </c>
      <c r="AH684" s="32" t="str">
        <f t="shared" si="472"/>
        <v/>
      </c>
      <c r="AI684" s="35" t="str">
        <f t="shared" si="473"/>
        <v/>
      </c>
      <c r="AJ684" s="23" t="str">
        <f t="array" ref="AJ684">IFERROR(SMALL(IF(U$1:U$1000="BEGIN",ROW(U$1:U$1000)),ROW()-3),"")</f>
        <v/>
      </c>
      <c r="AK684" s="23" t="str">
        <f t="array" ref="AK684">IFERROR(SMALL(IF(V$1:V$1000="END",ROW(V$1:V$1000)),ROW()-3),"")</f>
        <v/>
      </c>
      <c r="AL684" s="24" t="str">
        <f t="array" ref="AL684">IF(AK684="","",MATCH(AM684,L:L,0))</f>
        <v/>
      </c>
      <c r="AM684" s="35">
        <f t="array" ref="AM684">MAX(IF((B$4:B$1000&lt;=AK684)*(B$4:B$1000&gt;=AJ684),L$4:L$1000, ""))</f>
        <v>0</v>
      </c>
      <c r="AN684" s="32" t="str">
        <f t="shared" si="480"/>
        <v/>
      </c>
      <c r="AO684" s="32" t="str">
        <f t="shared" si="481"/>
        <v/>
      </c>
      <c r="AP684" s="32" t="str">
        <f t="shared" si="482"/>
        <v/>
      </c>
      <c r="AQ684" s="32" t="str">
        <f t="shared" si="483"/>
        <v/>
      </c>
      <c r="AR684" s="32" t="str">
        <f t="shared" si="484"/>
        <v/>
      </c>
      <c r="AS684" s="32" t="str">
        <f t="shared" si="485"/>
        <v/>
      </c>
      <c r="AT684" s="32" t="str">
        <f t="shared" si="486"/>
        <v/>
      </c>
      <c r="AU684" s="34" t="str">
        <f t="shared" si="487"/>
        <v/>
      </c>
      <c r="AV684" s="32" t="str">
        <f t="shared" si="488"/>
        <v/>
      </c>
      <c r="AW684" s="32" t="str">
        <f t="shared" si="489"/>
        <v/>
      </c>
      <c r="AX684" s="32" t="str">
        <f t="shared" si="490"/>
        <v/>
      </c>
      <c r="AY684" s="32" t="str">
        <f t="shared" si="491"/>
        <v/>
      </c>
    </row>
    <row r="685" spans="1:51" x14ac:dyDescent="0.25">
      <c r="A685" s="24" t="str">
        <f t="shared" si="449"/>
        <v/>
      </c>
      <c r="B685" s="24" t="str">
        <f t="shared" si="459"/>
        <v/>
      </c>
      <c r="C685" s="32" t="str">
        <f t="shared" si="450"/>
        <v/>
      </c>
      <c r="D685" s="24" t="str">
        <f t="shared" si="451"/>
        <v/>
      </c>
      <c r="E685" s="24" t="str">
        <f t="shared" si="452"/>
        <v/>
      </c>
      <c r="F685" s="32" t="str">
        <f t="shared" si="453"/>
        <v/>
      </c>
      <c r="G685" s="32" t="str">
        <f t="shared" si="454"/>
        <v/>
      </c>
      <c r="H685" s="32" t="str">
        <f t="shared" ca="1" si="455"/>
        <v/>
      </c>
      <c r="I685" s="32" t="str">
        <f t="shared" ca="1" si="460"/>
        <v/>
      </c>
      <c r="J685" s="32" t="str">
        <f t="shared" si="456"/>
        <v/>
      </c>
      <c r="K685" s="32" t="str">
        <f>IF(ISNUMBER(A685),Profile!$V$25+Profile!$V$24*'Ri-Po'!C685,"")</f>
        <v/>
      </c>
      <c r="L685" s="32" t="str">
        <f t="shared" si="461"/>
        <v/>
      </c>
      <c r="M685" s="32" t="str">
        <f t="shared" si="457"/>
        <v/>
      </c>
      <c r="N685" s="32" t="str">
        <f t="shared" si="458"/>
        <v/>
      </c>
      <c r="O685" s="32" t="str">
        <f t="shared" si="474"/>
        <v/>
      </c>
      <c r="P685" s="32" t="str">
        <f t="shared" si="462"/>
        <v/>
      </c>
      <c r="Q685" s="32" t="str">
        <f t="shared" si="463"/>
        <v/>
      </c>
      <c r="R685" s="32" t="str">
        <f t="shared" si="475"/>
        <v/>
      </c>
      <c r="S685" s="24" t="str">
        <f t="shared" si="476"/>
        <v/>
      </c>
      <c r="T685" s="24" t="str">
        <f t="shared" si="477"/>
        <v/>
      </c>
      <c r="U685" s="24" t="str">
        <f t="shared" si="478"/>
        <v/>
      </c>
      <c r="V685" s="24" t="str">
        <f t="shared" si="479"/>
        <v/>
      </c>
      <c r="W685" s="23" t="str">
        <f t="array" ref="W685">IFERROR(SMALL(IF(S$1:S$1000="BEGIN",ROW(S$1:S$1000)),ROW()-3),"")</f>
        <v/>
      </c>
      <c r="X685" s="23" t="str">
        <f t="array" ref="X685">IFERROR(SMALL(IF(T$1:T$1000="END",ROW(T$1:T$1000)),ROW()-3),"")</f>
        <v/>
      </c>
      <c r="Y685" s="33" t="str">
        <f t="array" ref="Y685">IF(ISNUMBER(W685),MAX(IF((B$4:B$1000&lt;=X685)*(B$4:B$1000&gt;=W685),I$4:I$1000, "")),"")</f>
        <v/>
      </c>
      <c r="Z685" s="33" t="str">
        <f t="shared" si="464"/>
        <v/>
      </c>
      <c r="AA685" s="32" t="str">
        <f t="shared" si="465"/>
        <v/>
      </c>
      <c r="AB685" s="32" t="str">
        <f t="shared" si="466"/>
        <v/>
      </c>
      <c r="AC685" s="32" t="str">
        <f t="shared" si="467"/>
        <v/>
      </c>
      <c r="AD685" s="32" t="str">
        <f t="shared" si="468"/>
        <v/>
      </c>
      <c r="AE685" s="34" t="str">
        <f t="shared" si="469"/>
        <v/>
      </c>
      <c r="AF685" s="32" t="str">
        <f t="shared" si="470"/>
        <v/>
      </c>
      <c r="AG685" s="32" t="str">
        <f t="shared" si="471"/>
        <v/>
      </c>
      <c r="AH685" s="32" t="str">
        <f t="shared" si="472"/>
        <v/>
      </c>
      <c r="AI685" s="35" t="str">
        <f t="shared" si="473"/>
        <v/>
      </c>
      <c r="AJ685" s="23" t="str">
        <f t="array" ref="AJ685">IFERROR(SMALL(IF(U$1:U$1000="BEGIN",ROW(U$1:U$1000)),ROW()-3),"")</f>
        <v/>
      </c>
      <c r="AK685" s="23" t="str">
        <f t="array" ref="AK685">IFERROR(SMALL(IF(V$1:V$1000="END",ROW(V$1:V$1000)),ROW()-3),"")</f>
        <v/>
      </c>
      <c r="AL685" s="24" t="str">
        <f t="array" ref="AL685">IF(AK685="","",MATCH(AM685,L:L,0))</f>
        <v/>
      </c>
      <c r="AM685" s="35">
        <f t="array" ref="AM685">MAX(IF((B$4:B$1000&lt;=AK685)*(B$4:B$1000&gt;=AJ685),L$4:L$1000, ""))</f>
        <v>0</v>
      </c>
      <c r="AN685" s="32" t="str">
        <f t="shared" si="480"/>
        <v/>
      </c>
      <c r="AO685" s="32" t="str">
        <f t="shared" si="481"/>
        <v/>
      </c>
      <c r="AP685" s="32" t="str">
        <f t="shared" si="482"/>
        <v/>
      </c>
      <c r="AQ685" s="32" t="str">
        <f t="shared" si="483"/>
        <v/>
      </c>
      <c r="AR685" s="32" t="str">
        <f t="shared" si="484"/>
        <v/>
      </c>
      <c r="AS685" s="32" t="str">
        <f t="shared" si="485"/>
        <v/>
      </c>
      <c r="AT685" s="32" t="str">
        <f t="shared" si="486"/>
        <v/>
      </c>
      <c r="AU685" s="34" t="str">
        <f t="shared" si="487"/>
        <v/>
      </c>
      <c r="AV685" s="32" t="str">
        <f t="shared" si="488"/>
        <v/>
      </c>
      <c r="AW685" s="32" t="str">
        <f t="shared" si="489"/>
        <v/>
      </c>
      <c r="AX685" s="32" t="str">
        <f t="shared" si="490"/>
        <v/>
      </c>
      <c r="AY685" s="32" t="str">
        <f t="shared" si="491"/>
        <v/>
      </c>
    </row>
    <row r="686" spans="1:51" x14ac:dyDescent="0.25">
      <c r="A686" s="24" t="str">
        <f t="shared" si="449"/>
        <v/>
      </c>
      <c r="B686" s="24" t="str">
        <f t="shared" si="459"/>
        <v/>
      </c>
      <c r="C686" s="32" t="str">
        <f t="shared" si="450"/>
        <v/>
      </c>
      <c r="D686" s="24" t="str">
        <f t="shared" si="451"/>
        <v/>
      </c>
      <c r="E686" s="24" t="str">
        <f t="shared" si="452"/>
        <v/>
      </c>
      <c r="F686" s="32" t="str">
        <f t="shared" si="453"/>
        <v/>
      </c>
      <c r="G686" s="32" t="str">
        <f t="shared" si="454"/>
        <v/>
      </c>
      <c r="H686" s="32" t="str">
        <f t="shared" ca="1" si="455"/>
        <v/>
      </c>
      <c r="I686" s="32" t="str">
        <f t="shared" ca="1" si="460"/>
        <v/>
      </c>
      <c r="J686" s="32" t="str">
        <f t="shared" si="456"/>
        <v/>
      </c>
      <c r="K686" s="32" t="str">
        <f>IF(ISNUMBER(A686),Profile!$V$25+Profile!$V$24*'Ri-Po'!C686,"")</f>
        <v/>
      </c>
      <c r="L686" s="32" t="str">
        <f t="shared" si="461"/>
        <v/>
      </c>
      <c r="M686" s="32" t="str">
        <f t="shared" si="457"/>
        <v/>
      </c>
      <c r="N686" s="32" t="str">
        <f t="shared" si="458"/>
        <v/>
      </c>
      <c r="O686" s="32" t="str">
        <f t="shared" si="474"/>
        <v/>
      </c>
      <c r="P686" s="32" t="str">
        <f t="shared" si="462"/>
        <v/>
      </c>
      <c r="Q686" s="32" t="str">
        <f t="shared" si="463"/>
        <v/>
      </c>
      <c r="R686" s="32" t="str">
        <f t="shared" si="475"/>
        <v/>
      </c>
      <c r="S686" s="24" t="str">
        <f t="shared" si="476"/>
        <v/>
      </c>
      <c r="T686" s="24" t="str">
        <f t="shared" si="477"/>
        <v/>
      </c>
      <c r="U686" s="24" t="str">
        <f t="shared" si="478"/>
        <v/>
      </c>
      <c r="V686" s="24" t="str">
        <f t="shared" si="479"/>
        <v/>
      </c>
      <c r="W686" s="23" t="str">
        <f t="array" ref="W686">IFERROR(SMALL(IF(S$1:S$1000="BEGIN",ROW(S$1:S$1000)),ROW()-3),"")</f>
        <v/>
      </c>
      <c r="X686" s="23" t="str">
        <f t="array" ref="X686">IFERROR(SMALL(IF(T$1:T$1000="END",ROW(T$1:T$1000)),ROW()-3),"")</f>
        <v/>
      </c>
      <c r="Y686" s="33" t="str">
        <f t="array" ref="Y686">IF(ISNUMBER(W686),MAX(IF((B$4:B$1000&lt;=X686)*(B$4:B$1000&gt;=W686),I$4:I$1000, "")),"")</f>
        <v/>
      </c>
      <c r="Z686" s="33" t="str">
        <f t="shared" si="464"/>
        <v/>
      </c>
      <c r="AA686" s="32" t="str">
        <f t="shared" si="465"/>
        <v/>
      </c>
      <c r="AB686" s="32" t="str">
        <f t="shared" si="466"/>
        <v/>
      </c>
      <c r="AC686" s="32" t="str">
        <f t="shared" si="467"/>
        <v/>
      </c>
      <c r="AD686" s="32" t="str">
        <f t="shared" si="468"/>
        <v/>
      </c>
      <c r="AE686" s="34" t="str">
        <f t="shared" si="469"/>
        <v/>
      </c>
      <c r="AF686" s="32" t="str">
        <f t="shared" si="470"/>
        <v/>
      </c>
      <c r="AG686" s="32" t="str">
        <f t="shared" si="471"/>
        <v/>
      </c>
      <c r="AH686" s="32" t="str">
        <f t="shared" si="472"/>
        <v/>
      </c>
      <c r="AI686" s="35" t="str">
        <f t="shared" si="473"/>
        <v/>
      </c>
      <c r="AJ686" s="23" t="str">
        <f t="array" ref="AJ686">IFERROR(SMALL(IF(U$1:U$1000="BEGIN",ROW(U$1:U$1000)),ROW()-3),"")</f>
        <v/>
      </c>
      <c r="AK686" s="23" t="str">
        <f t="array" ref="AK686">IFERROR(SMALL(IF(V$1:V$1000="END",ROW(V$1:V$1000)),ROW()-3),"")</f>
        <v/>
      </c>
      <c r="AL686" s="24" t="str">
        <f t="array" ref="AL686">IF(AK686="","",MATCH(AM686,L:L,0))</f>
        <v/>
      </c>
      <c r="AM686" s="35">
        <f t="array" ref="AM686">MAX(IF((B$4:B$1000&lt;=AK686)*(B$4:B$1000&gt;=AJ686),L$4:L$1000, ""))</f>
        <v>0</v>
      </c>
      <c r="AN686" s="32" t="str">
        <f t="shared" si="480"/>
        <v/>
      </c>
      <c r="AO686" s="32" t="str">
        <f t="shared" si="481"/>
        <v/>
      </c>
      <c r="AP686" s="32" t="str">
        <f t="shared" si="482"/>
        <v/>
      </c>
      <c r="AQ686" s="32" t="str">
        <f t="shared" si="483"/>
        <v/>
      </c>
      <c r="AR686" s="32" t="str">
        <f t="shared" si="484"/>
        <v/>
      </c>
      <c r="AS686" s="32" t="str">
        <f t="shared" si="485"/>
        <v/>
      </c>
      <c r="AT686" s="32" t="str">
        <f t="shared" si="486"/>
        <v/>
      </c>
      <c r="AU686" s="34" t="str">
        <f t="shared" si="487"/>
        <v/>
      </c>
      <c r="AV686" s="32" t="str">
        <f t="shared" si="488"/>
        <v/>
      </c>
      <c r="AW686" s="32" t="str">
        <f t="shared" si="489"/>
        <v/>
      </c>
      <c r="AX686" s="32" t="str">
        <f t="shared" si="490"/>
        <v/>
      </c>
      <c r="AY686" s="32" t="str">
        <f t="shared" si="491"/>
        <v/>
      </c>
    </row>
    <row r="687" spans="1:51" x14ac:dyDescent="0.25">
      <c r="A687" s="24" t="str">
        <f t="shared" si="449"/>
        <v/>
      </c>
      <c r="B687" s="24" t="str">
        <f t="shared" si="459"/>
        <v/>
      </c>
      <c r="C687" s="32" t="str">
        <f t="shared" si="450"/>
        <v/>
      </c>
      <c r="D687" s="24" t="str">
        <f t="shared" si="451"/>
        <v/>
      </c>
      <c r="E687" s="24" t="str">
        <f t="shared" si="452"/>
        <v/>
      </c>
      <c r="F687" s="32" t="str">
        <f t="shared" si="453"/>
        <v/>
      </c>
      <c r="G687" s="32" t="str">
        <f t="shared" si="454"/>
        <v/>
      </c>
      <c r="H687" s="32" t="str">
        <f t="shared" ca="1" si="455"/>
        <v/>
      </c>
      <c r="I687" s="32" t="str">
        <f t="shared" ca="1" si="460"/>
        <v/>
      </c>
      <c r="J687" s="32" t="str">
        <f t="shared" si="456"/>
        <v/>
      </c>
      <c r="K687" s="32" t="str">
        <f>IF(ISNUMBER(A687),Profile!$V$25+Profile!$V$24*'Ri-Po'!C687,"")</f>
        <v/>
      </c>
      <c r="L687" s="32" t="str">
        <f t="shared" si="461"/>
        <v/>
      </c>
      <c r="M687" s="32" t="str">
        <f t="shared" si="457"/>
        <v/>
      </c>
      <c r="N687" s="32" t="str">
        <f t="shared" si="458"/>
        <v/>
      </c>
      <c r="O687" s="32" t="str">
        <f t="shared" si="474"/>
        <v/>
      </c>
      <c r="P687" s="32" t="str">
        <f t="shared" si="462"/>
        <v/>
      </c>
      <c r="Q687" s="32" t="str">
        <f t="shared" si="463"/>
        <v/>
      </c>
      <c r="R687" s="32" t="str">
        <f t="shared" si="475"/>
        <v/>
      </c>
      <c r="S687" s="24" t="str">
        <f t="shared" si="476"/>
        <v/>
      </c>
      <c r="T687" s="24" t="str">
        <f t="shared" si="477"/>
        <v/>
      </c>
      <c r="U687" s="24" t="str">
        <f t="shared" si="478"/>
        <v/>
      </c>
      <c r="V687" s="24" t="str">
        <f t="shared" si="479"/>
        <v/>
      </c>
      <c r="W687" s="23" t="str">
        <f t="array" ref="W687">IFERROR(SMALL(IF(S$1:S$1000="BEGIN",ROW(S$1:S$1000)),ROW()-3),"")</f>
        <v/>
      </c>
      <c r="X687" s="23" t="str">
        <f t="array" ref="X687">IFERROR(SMALL(IF(T$1:T$1000="END",ROW(T$1:T$1000)),ROW()-3),"")</f>
        <v/>
      </c>
      <c r="Y687" s="33" t="str">
        <f t="array" ref="Y687">IF(ISNUMBER(W687),MAX(IF((B$4:B$1000&lt;=X687)*(B$4:B$1000&gt;=W687),I$4:I$1000, "")),"")</f>
        <v/>
      </c>
      <c r="Z687" s="33" t="str">
        <f t="shared" si="464"/>
        <v/>
      </c>
      <c r="AA687" s="32" t="str">
        <f t="shared" si="465"/>
        <v/>
      </c>
      <c r="AB687" s="32" t="str">
        <f t="shared" si="466"/>
        <v/>
      </c>
      <c r="AC687" s="32" t="str">
        <f t="shared" si="467"/>
        <v/>
      </c>
      <c r="AD687" s="32" t="str">
        <f t="shared" si="468"/>
        <v/>
      </c>
      <c r="AE687" s="34" t="str">
        <f t="shared" si="469"/>
        <v/>
      </c>
      <c r="AF687" s="32" t="str">
        <f t="shared" si="470"/>
        <v/>
      </c>
      <c r="AG687" s="32" t="str">
        <f t="shared" si="471"/>
        <v/>
      </c>
      <c r="AH687" s="32" t="str">
        <f t="shared" si="472"/>
        <v/>
      </c>
      <c r="AI687" s="35" t="str">
        <f t="shared" si="473"/>
        <v/>
      </c>
      <c r="AJ687" s="23" t="str">
        <f t="array" ref="AJ687">IFERROR(SMALL(IF(U$1:U$1000="BEGIN",ROW(U$1:U$1000)),ROW()-3),"")</f>
        <v/>
      </c>
      <c r="AK687" s="23" t="str">
        <f t="array" ref="AK687">IFERROR(SMALL(IF(V$1:V$1000="END",ROW(V$1:V$1000)),ROW()-3),"")</f>
        <v/>
      </c>
      <c r="AL687" s="24" t="str">
        <f t="array" ref="AL687">IF(AK687="","",MATCH(AM687,L:L,0))</f>
        <v/>
      </c>
      <c r="AM687" s="35">
        <f t="array" ref="AM687">MAX(IF((B$4:B$1000&lt;=AK687)*(B$4:B$1000&gt;=AJ687),L$4:L$1000, ""))</f>
        <v>0</v>
      </c>
      <c r="AN687" s="32" t="str">
        <f t="shared" si="480"/>
        <v/>
      </c>
      <c r="AO687" s="32" t="str">
        <f t="shared" si="481"/>
        <v/>
      </c>
      <c r="AP687" s="32" t="str">
        <f t="shared" si="482"/>
        <v/>
      </c>
      <c r="AQ687" s="32" t="str">
        <f t="shared" si="483"/>
        <v/>
      </c>
      <c r="AR687" s="32" t="str">
        <f t="shared" si="484"/>
        <v/>
      </c>
      <c r="AS687" s="32" t="str">
        <f t="shared" si="485"/>
        <v/>
      </c>
      <c r="AT687" s="32" t="str">
        <f t="shared" si="486"/>
        <v/>
      </c>
      <c r="AU687" s="34" t="str">
        <f t="shared" si="487"/>
        <v/>
      </c>
      <c r="AV687" s="32" t="str">
        <f t="shared" si="488"/>
        <v/>
      </c>
      <c r="AW687" s="32" t="str">
        <f t="shared" si="489"/>
        <v/>
      </c>
      <c r="AX687" s="32" t="str">
        <f t="shared" si="490"/>
        <v/>
      </c>
      <c r="AY687" s="32" t="str">
        <f t="shared" si="491"/>
        <v/>
      </c>
    </row>
    <row r="688" spans="1:51" x14ac:dyDescent="0.25">
      <c r="A688" s="24" t="str">
        <f t="shared" si="449"/>
        <v/>
      </c>
      <c r="B688" s="24" t="str">
        <f t="shared" si="459"/>
        <v/>
      </c>
      <c r="C688" s="32" t="str">
        <f t="shared" si="450"/>
        <v/>
      </c>
      <c r="D688" s="24" t="str">
        <f t="shared" si="451"/>
        <v/>
      </c>
      <c r="E688" s="24" t="str">
        <f t="shared" si="452"/>
        <v/>
      </c>
      <c r="F688" s="32" t="str">
        <f t="shared" si="453"/>
        <v/>
      </c>
      <c r="G688" s="32" t="str">
        <f t="shared" si="454"/>
        <v/>
      </c>
      <c r="H688" s="32" t="str">
        <f t="shared" ca="1" si="455"/>
        <v/>
      </c>
      <c r="I688" s="32" t="str">
        <f t="shared" ca="1" si="460"/>
        <v/>
      </c>
      <c r="J688" s="32" t="str">
        <f t="shared" si="456"/>
        <v/>
      </c>
      <c r="K688" s="32" t="str">
        <f>IF(ISNUMBER(A688),Profile!$V$25+Profile!$V$24*'Ri-Po'!C688,"")</f>
        <v/>
      </c>
      <c r="L688" s="32" t="str">
        <f t="shared" si="461"/>
        <v/>
      </c>
      <c r="M688" s="32" t="str">
        <f t="shared" si="457"/>
        <v/>
      </c>
      <c r="N688" s="32" t="str">
        <f t="shared" si="458"/>
        <v/>
      </c>
      <c r="O688" s="32" t="str">
        <f t="shared" si="474"/>
        <v/>
      </c>
      <c r="P688" s="32" t="str">
        <f t="shared" si="462"/>
        <v/>
      </c>
      <c r="Q688" s="32" t="str">
        <f t="shared" si="463"/>
        <v/>
      </c>
      <c r="R688" s="32" t="str">
        <f t="shared" si="475"/>
        <v/>
      </c>
      <c r="S688" s="24" t="str">
        <f t="shared" si="476"/>
        <v/>
      </c>
      <c r="T688" s="24" t="str">
        <f t="shared" si="477"/>
        <v/>
      </c>
      <c r="U688" s="24" t="str">
        <f t="shared" si="478"/>
        <v/>
      </c>
      <c r="V688" s="24" t="str">
        <f t="shared" si="479"/>
        <v/>
      </c>
      <c r="W688" s="23" t="str">
        <f t="array" ref="W688">IFERROR(SMALL(IF(S$1:S$1000="BEGIN",ROW(S$1:S$1000)),ROW()-3),"")</f>
        <v/>
      </c>
      <c r="X688" s="23" t="str">
        <f t="array" ref="X688">IFERROR(SMALL(IF(T$1:T$1000="END",ROW(T$1:T$1000)),ROW()-3),"")</f>
        <v/>
      </c>
      <c r="Y688" s="33" t="str">
        <f t="array" ref="Y688">IF(ISNUMBER(W688),MAX(IF((B$4:B$1000&lt;=X688)*(B$4:B$1000&gt;=W688),I$4:I$1000, "")),"")</f>
        <v/>
      </c>
      <c r="Z688" s="33" t="str">
        <f t="shared" si="464"/>
        <v/>
      </c>
      <c r="AA688" s="32" t="str">
        <f t="shared" si="465"/>
        <v/>
      </c>
      <c r="AB688" s="32" t="str">
        <f t="shared" si="466"/>
        <v/>
      </c>
      <c r="AC688" s="32" t="str">
        <f t="shared" si="467"/>
        <v/>
      </c>
      <c r="AD688" s="32" t="str">
        <f t="shared" si="468"/>
        <v/>
      </c>
      <c r="AE688" s="34" t="str">
        <f t="shared" si="469"/>
        <v/>
      </c>
      <c r="AF688" s="32" t="str">
        <f t="shared" si="470"/>
        <v/>
      </c>
      <c r="AG688" s="32" t="str">
        <f t="shared" si="471"/>
        <v/>
      </c>
      <c r="AH688" s="32" t="str">
        <f t="shared" si="472"/>
        <v/>
      </c>
      <c r="AI688" s="35" t="str">
        <f t="shared" si="473"/>
        <v/>
      </c>
      <c r="AJ688" s="23" t="str">
        <f t="array" ref="AJ688">IFERROR(SMALL(IF(U$1:U$1000="BEGIN",ROW(U$1:U$1000)),ROW()-3),"")</f>
        <v/>
      </c>
      <c r="AK688" s="23" t="str">
        <f t="array" ref="AK688">IFERROR(SMALL(IF(V$1:V$1000="END",ROW(V$1:V$1000)),ROW()-3),"")</f>
        <v/>
      </c>
      <c r="AL688" s="24" t="str">
        <f t="array" ref="AL688">IF(AK688="","",MATCH(AM688,L:L,0))</f>
        <v/>
      </c>
      <c r="AM688" s="35">
        <f t="array" ref="AM688">MAX(IF((B$4:B$1000&lt;=AK688)*(B$4:B$1000&gt;=AJ688),L$4:L$1000, ""))</f>
        <v>0</v>
      </c>
      <c r="AN688" s="32" t="str">
        <f t="shared" si="480"/>
        <v/>
      </c>
      <c r="AO688" s="32" t="str">
        <f t="shared" si="481"/>
        <v/>
      </c>
      <c r="AP688" s="32" t="str">
        <f t="shared" si="482"/>
        <v/>
      </c>
      <c r="AQ688" s="32" t="str">
        <f t="shared" si="483"/>
        <v/>
      </c>
      <c r="AR688" s="32" t="str">
        <f t="shared" si="484"/>
        <v/>
      </c>
      <c r="AS688" s="32" t="str">
        <f t="shared" si="485"/>
        <v/>
      </c>
      <c r="AT688" s="32" t="str">
        <f t="shared" si="486"/>
        <v/>
      </c>
      <c r="AU688" s="34" t="str">
        <f t="shared" si="487"/>
        <v/>
      </c>
      <c r="AV688" s="32" t="str">
        <f t="shared" si="488"/>
        <v/>
      </c>
      <c r="AW688" s="32" t="str">
        <f t="shared" si="489"/>
        <v/>
      </c>
      <c r="AX688" s="32" t="str">
        <f t="shared" si="490"/>
        <v/>
      </c>
      <c r="AY688" s="32" t="str">
        <f t="shared" si="491"/>
        <v/>
      </c>
    </row>
    <row r="689" spans="1:51" x14ac:dyDescent="0.25">
      <c r="A689" s="24" t="str">
        <f t="shared" si="449"/>
        <v/>
      </c>
      <c r="B689" s="24" t="str">
        <f t="shared" si="459"/>
        <v/>
      </c>
      <c r="C689" s="32" t="str">
        <f t="shared" si="450"/>
        <v/>
      </c>
      <c r="D689" s="24" t="str">
        <f t="shared" si="451"/>
        <v/>
      </c>
      <c r="E689" s="24" t="str">
        <f t="shared" si="452"/>
        <v/>
      </c>
      <c r="F689" s="32" t="str">
        <f t="shared" si="453"/>
        <v/>
      </c>
      <c r="G689" s="32" t="str">
        <f t="shared" si="454"/>
        <v/>
      </c>
      <c r="H689" s="32" t="str">
        <f t="shared" ca="1" si="455"/>
        <v/>
      </c>
      <c r="I689" s="32" t="str">
        <f t="shared" ca="1" si="460"/>
        <v/>
      </c>
      <c r="J689" s="32" t="str">
        <f t="shared" si="456"/>
        <v/>
      </c>
      <c r="K689" s="32" t="str">
        <f>IF(ISNUMBER(A689),Profile!$V$25+Profile!$V$24*'Ri-Po'!C689,"")</f>
        <v/>
      </c>
      <c r="L689" s="32" t="str">
        <f t="shared" si="461"/>
        <v/>
      </c>
      <c r="M689" s="32" t="str">
        <f t="shared" si="457"/>
        <v/>
      </c>
      <c r="N689" s="32" t="str">
        <f t="shared" si="458"/>
        <v/>
      </c>
      <c r="O689" s="32" t="str">
        <f t="shared" si="474"/>
        <v/>
      </c>
      <c r="P689" s="32" t="str">
        <f t="shared" si="462"/>
        <v/>
      </c>
      <c r="Q689" s="32" t="str">
        <f t="shared" si="463"/>
        <v/>
      </c>
      <c r="R689" s="32" t="str">
        <f t="shared" si="475"/>
        <v/>
      </c>
      <c r="S689" s="24" t="str">
        <f t="shared" si="476"/>
        <v/>
      </c>
      <c r="T689" s="24" t="str">
        <f t="shared" si="477"/>
        <v/>
      </c>
      <c r="U689" s="24" t="str">
        <f t="shared" si="478"/>
        <v/>
      </c>
      <c r="V689" s="24" t="str">
        <f t="shared" si="479"/>
        <v/>
      </c>
      <c r="W689" s="23" t="str">
        <f t="array" ref="W689">IFERROR(SMALL(IF(S$1:S$1000="BEGIN",ROW(S$1:S$1000)),ROW()-3),"")</f>
        <v/>
      </c>
      <c r="X689" s="23" t="str">
        <f t="array" ref="X689">IFERROR(SMALL(IF(T$1:T$1000="END",ROW(T$1:T$1000)),ROW()-3),"")</f>
        <v/>
      </c>
      <c r="Y689" s="33" t="str">
        <f t="array" ref="Y689">IF(ISNUMBER(W689),MAX(IF((B$4:B$1000&lt;=X689)*(B$4:B$1000&gt;=W689),I$4:I$1000, "")),"")</f>
        <v/>
      </c>
      <c r="Z689" s="33" t="str">
        <f t="shared" si="464"/>
        <v/>
      </c>
      <c r="AA689" s="32" t="str">
        <f t="shared" si="465"/>
        <v/>
      </c>
      <c r="AB689" s="32" t="str">
        <f t="shared" si="466"/>
        <v/>
      </c>
      <c r="AC689" s="32" t="str">
        <f t="shared" si="467"/>
        <v/>
      </c>
      <c r="AD689" s="32" t="str">
        <f t="shared" si="468"/>
        <v/>
      </c>
      <c r="AE689" s="34" t="str">
        <f t="shared" si="469"/>
        <v/>
      </c>
      <c r="AF689" s="32" t="str">
        <f t="shared" si="470"/>
        <v/>
      </c>
      <c r="AG689" s="32" t="str">
        <f t="shared" si="471"/>
        <v/>
      </c>
      <c r="AH689" s="32" t="str">
        <f t="shared" si="472"/>
        <v/>
      </c>
      <c r="AI689" s="35" t="str">
        <f t="shared" si="473"/>
        <v/>
      </c>
      <c r="AJ689" s="23" t="str">
        <f t="array" ref="AJ689">IFERROR(SMALL(IF(U$1:U$1000="BEGIN",ROW(U$1:U$1000)),ROW()-3),"")</f>
        <v/>
      </c>
      <c r="AK689" s="23" t="str">
        <f t="array" ref="AK689">IFERROR(SMALL(IF(V$1:V$1000="END",ROW(V$1:V$1000)),ROW()-3),"")</f>
        <v/>
      </c>
      <c r="AL689" s="24" t="str">
        <f t="array" ref="AL689">IF(AK689="","",MATCH(AM689,L:L,0))</f>
        <v/>
      </c>
      <c r="AM689" s="35">
        <f t="array" ref="AM689">MAX(IF((B$4:B$1000&lt;=AK689)*(B$4:B$1000&gt;=AJ689),L$4:L$1000, ""))</f>
        <v>0</v>
      </c>
      <c r="AN689" s="32" t="str">
        <f t="shared" si="480"/>
        <v/>
      </c>
      <c r="AO689" s="32" t="str">
        <f t="shared" si="481"/>
        <v/>
      </c>
      <c r="AP689" s="32" t="str">
        <f t="shared" si="482"/>
        <v/>
      </c>
      <c r="AQ689" s="32" t="str">
        <f t="shared" si="483"/>
        <v/>
      </c>
      <c r="AR689" s="32" t="str">
        <f t="shared" si="484"/>
        <v/>
      </c>
      <c r="AS689" s="32" t="str">
        <f t="shared" si="485"/>
        <v/>
      </c>
      <c r="AT689" s="32" t="str">
        <f t="shared" si="486"/>
        <v/>
      </c>
      <c r="AU689" s="34" t="str">
        <f t="shared" si="487"/>
        <v/>
      </c>
      <c r="AV689" s="32" t="str">
        <f t="shared" si="488"/>
        <v/>
      </c>
      <c r="AW689" s="32" t="str">
        <f t="shared" si="489"/>
        <v/>
      </c>
      <c r="AX689" s="32" t="str">
        <f t="shared" si="490"/>
        <v/>
      </c>
      <c r="AY689" s="32" t="str">
        <f t="shared" si="491"/>
        <v/>
      </c>
    </row>
    <row r="690" spans="1:51" x14ac:dyDescent="0.25">
      <c r="A690" s="24" t="str">
        <f t="shared" si="449"/>
        <v/>
      </c>
      <c r="B690" s="24" t="str">
        <f t="shared" si="459"/>
        <v/>
      </c>
      <c r="C690" s="32" t="str">
        <f t="shared" si="450"/>
        <v/>
      </c>
      <c r="D690" s="24" t="str">
        <f t="shared" si="451"/>
        <v/>
      </c>
      <c r="E690" s="24" t="str">
        <f t="shared" si="452"/>
        <v/>
      </c>
      <c r="F690" s="32" t="str">
        <f t="shared" si="453"/>
        <v/>
      </c>
      <c r="G690" s="32" t="str">
        <f t="shared" si="454"/>
        <v/>
      </c>
      <c r="H690" s="32" t="str">
        <f t="shared" ca="1" si="455"/>
        <v/>
      </c>
      <c r="I690" s="32" t="str">
        <f t="shared" ca="1" si="460"/>
        <v/>
      </c>
      <c r="J690" s="32" t="str">
        <f t="shared" si="456"/>
        <v/>
      </c>
      <c r="K690" s="32" t="str">
        <f>IF(ISNUMBER(A690),Profile!$V$25+Profile!$V$24*'Ri-Po'!C690,"")</f>
        <v/>
      </c>
      <c r="L690" s="32" t="str">
        <f t="shared" si="461"/>
        <v/>
      </c>
      <c r="M690" s="32" t="str">
        <f t="shared" si="457"/>
        <v/>
      </c>
      <c r="N690" s="32" t="str">
        <f t="shared" si="458"/>
        <v/>
      </c>
      <c r="O690" s="32" t="str">
        <f t="shared" si="474"/>
        <v/>
      </c>
      <c r="P690" s="32" t="str">
        <f t="shared" si="462"/>
        <v/>
      </c>
      <c r="Q690" s="32" t="str">
        <f t="shared" si="463"/>
        <v/>
      </c>
      <c r="R690" s="32" t="str">
        <f t="shared" si="475"/>
        <v/>
      </c>
      <c r="S690" s="24" t="str">
        <f t="shared" si="476"/>
        <v/>
      </c>
      <c r="T690" s="24" t="str">
        <f t="shared" si="477"/>
        <v/>
      </c>
      <c r="U690" s="24" t="str">
        <f t="shared" si="478"/>
        <v/>
      </c>
      <c r="V690" s="24" t="str">
        <f t="shared" si="479"/>
        <v/>
      </c>
      <c r="W690" s="23" t="str">
        <f t="array" ref="W690">IFERROR(SMALL(IF(S$1:S$1000="BEGIN",ROW(S$1:S$1000)),ROW()-3),"")</f>
        <v/>
      </c>
      <c r="X690" s="23" t="str">
        <f t="array" ref="X690">IFERROR(SMALL(IF(T$1:T$1000="END",ROW(T$1:T$1000)),ROW()-3),"")</f>
        <v/>
      </c>
      <c r="Y690" s="33" t="str">
        <f t="array" ref="Y690">IF(ISNUMBER(W690),MAX(IF((B$4:B$1000&lt;=X690)*(B$4:B$1000&gt;=W690),I$4:I$1000, "")),"")</f>
        <v/>
      </c>
      <c r="Z690" s="33" t="str">
        <f t="shared" si="464"/>
        <v/>
      </c>
      <c r="AA690" s="32" t="str">
        <f t="shared" si="465"/>
        <v/>
      </c>
      <c r="AB690" s="32" t="str">
        <f t="shared" si="466"/>
        <v/>
      </c>
      <c r="AC690" s="32" t="str">
        <f t="shared" si="467"/>
        <v/>
      </c>
      <c r="AD690" s="32" t="str">
        <f t="shared" si="468"/>
        <v/>
      </c>
      <c r="AE690" s="34" t="str">
        <f t="shared" si="469"/>
        <v/>
      </c>
      <c r="AF690" s="32" t="str">
        <f t="shared" si="470"/>
        <v/>
      </c>
      <c r="AG690" s="32" t="str">
        <f t="shared" si="471"/>
        <v/>
      </c>
      <c r="AH690" s="32" t="str">
        <f t="shared" si="472"/>
        <v/>
      </c>
      <c r="AI690" s="35" t="str">
        <f t="shared" si="473"/>
        <v/>
      </c>
      <c r="AJ690" s="23" t="str">
        <f t="array" ref="AJ690">IFERROR(SMALL(IF(U$1:U$1000="BEGIN",ROW(U$1:U$1000)),ROW()-3),"")</f>
        <v/>
      </c>
      <c r="AK690" s="23" t="str">
        <f t="array" ref="AK690">IFERROR(SMALL(IF(V$1:V$1000="END",ROW(V$1:V$1000)),ROW()-3),"")</f>
        <v/>
      </c>
      <c r="AL690" s="24" t="str">
        <f t="array" ref="AL690">IF(AK690="","",MATCH(AM690,L:L,0))</f>
        <v/>
      </c>
      <c r="AM690" s="35">
        <f t="array" ref="AM690">MAX(IF((B$4:B$1000&lt;=AK690)*(B$4:B$1000&gt;=AJ690),L$4:L$1000, ""))</f>
        <v>0</v>
      </c>
      <c r="AN690" s="32" t="str">
        <f t="shared" si="480"/>
        <v/>
      </c>
      <c r="AO690" s="32" t="str">
        <f t="shared" si="481"/>
        <v/>
      </c>
      <c r="AP690" s="32" t="str">
        <f t="shared" si="482"/>
        <v/>
      </c>
      <c r="AQ690" s="32" t="str">
        <f t="shared" si="483"/>
        <v/>
      </c>
      <c r="AR690" s="32" t="str">
        <f t="shared" si="484"/>
        <v/>
      </c>
      <c r="AS690" s="32" t="str">
        <f t="shared" si="485"/>
        <v/>
      </c>
      <c r="AT690" s="32" t="str">
        <f t="shared" si="486"/>
        <v/>
      </c>
      <c r="AU690" s="34" t="str">
        <f t="shared" si="487"/>
        <v/>
      </c>
      <c r="AV690" s="32" t="str">
        <f t="shared" si="488"/>
        <v/>
      </c>
      <c r="AW690" s="32" t="str">
        <f t="shared" si="489"/>
        <v/>
      </c>
      <c r="AX690" s="32" t="str">
        <f t="shared" si="490"/>
        <v/>
      </c>
      <c r="AY690" s="32" t="str">
        <f t="shared" si="491"/>
        <v/>
      </c>
    </row>
    <row r="691" spans="1:51" x14ac:dyDescent="0.25">
      <c r="A691" s="24" t="str">
        <f t="shared" si="449"/>
        <v/>
      </c>
      <c r="B691" s="24" t="str">
        <f t="shared" si="459"/>
        <v/>
      </c>
      <c r="C691" s="32" t="str">
        <f t="shared" si="450"/>
        <v/>
      </c>
      <c r="D691" s="24" t="str">
        <f t="shared" si="451"/>
        <v/>
      </c>
      <c r="E691" s="24" t="str">
        <f t="shared" si="452"/>
        <v/>
      </c>
      <c r="F691" s="32" t="str">
        <f t="shared" si="453"/>
        <v/>
      </c>
      <c r="G691" s="32" t="str">
        <f t="shared" si="454"/>
        <v/>
      </c>
      <c r="H691" s="32" t="str">
        <f t="shared" ca="1" si="455"/>
        <v/>
      </c>
      <c r="I691" s="32" t="str">
        <f t="shared" ca="1" si="460"/>
        <v/>
      </c>
      <c r="J691" s="32" t="str">
        <f t="shared" si="456"/>
        <v/>
      </c>
      <c r="K691" s="32" t="str">
        <f>IF(ISNUMBER(A691),Profile!$V$25+Profile!$V$24*'Ri-Po'!C691,"")</f>
        <v/>
      </c>
      <c r="L691" s="32" t="str">
        <f t="shared" si="461"/>
        <v/>
      </c>
      <c r="M691" s="32" t="str">
        <f t="shared" si="457"/>
        <v/>
      </c>
      <c r="N691" s="32" t="str">
        <f t="shared" si="458"/>
        <v/>
      </c>
      <c r="O691" s="32" t="str">
        <f t="shared" si="474"/>
        <v/>
      </c>
      <c r="P691" s="32" t="str">
        <f t="shared" si="462"/>
        <v/>
      </c>
      <c r="Q691" s="32" t="str">
        <f t="shared" si="463"/>
        <v/>
      </c>
      <c r="R691" s="32" t="str">
        <f t="shared" si="475"/>
        <v/>
      </c>
      <c r="S691" s="24" t="str">
        <f t="shared" si="476"/>
        <v/>
      </c>
      <c r="T691" s="24" t="str">
        <f t="shared" si="477"/>
        <v/>
      </c>
      <c r="U691" s="24" t="str">
        <f t="shared" si="478"/>
        <v/>
      </c>
      <c r="V691" s="24" t="str">
        <f t="shared" si="479"/>
        <v/>
      </c>
      <c r="W691" s="23" t="str">
        <f t="array" ref="W691">IFERROR(SMALL(IF(S$1:S$1000="BEGIN",ROW(S$1:S$1000)),ROW()-3),"")</f>
        <v/>
      </c>
      <c r="X691" s="23" t="str">
        <f t="array" ref="X691">IFERROR(SMALL(IF(T$1:T$1000="END",ROW(T$1:T$1000)),ROW()-3),"")</f>
        <v/>
      </c>
      <c r="Y691" s="33" t="str">
        <f t="array" ref="Y691">IF(ISNUMBER(W691),MAX(IF((B$4:B$1000&lt;=X691)*(B$4:B$1000&gt;=W691),I$4:I$1000, "")),"")</f>
        <v/>
      </c>
      <c r="Z691" s="33" t="str">
        <f t="shared" si="464"/>
        <v/>
      </c>
      <c r="AA691" s="32" t="str">
        <f t="shared" si="465"/>
        <v/>
      </c>
      <c r="AB691" s="32" t="str">
        <f t="shared" si="466"/>
        <v/>
      </c>
      <c r="AC691" s="32" t="str">
        <f t="shared" si="467"/>
        <v/>
      </c>
      <c r="AD691" s="32" t="str">
        <f t="shared" si="468"/>
        <v/>
      </c>
      <c r="AE691" s="34" t="str">
        <f t="shared" si="469"/>
        <v/>
      </c>
      <c r="AF691" s="32" t="str">
        <f t="shared" si="470"/>
        <v/>
      </c>
      <c r="AG691" s="32" t="str">
        <f t="shared" si="471"/>
        <v/>
      </c>
      <c r="AH691" s="32" t="str">
        <f t="shared" si="472"/>
        <v/>
      </c>
      <c r="AI691" s="35" t="str">
        <f t="shared" si="473"/>
        <v/>
      </c>
      <c r="AJ691" s="23" t="str">
        <f t="array" ref="AJ691">IFERROR(SMALL(IF(U$1:U$1000="BEGIN",ROW(U$1:U$1000)),ROW()-3),"")</f>
        <v/>
      </c>
      <c r="AK691" s="23" t="str">
        <f t="array" ref="AK691">IFERROR(SMALL(IF(V$1:V$1000="END",ROW(V$1:V$1000)),ROW()-3),"")</f>
        <v/>
      </c>
      <c r="AL691" s="24" t="str">
        <f t="array" ref="AL691">IF(AK691="","",MATCH(AM691,L:L,0))</f>
        <v/>
      </c>
      <c r="AM691" s="35">
        <f t="array" ref="AM691">MAX(IF((B$4:B$1000&lt;=AK691)*(B$4:B$1000&gt;=AJ691),L$4:L$1000, ""))</f>
        <v>0</v>
      </c>
      <c r="AN691" s="32" t="str">
        <f t="shared" si="480"/>
        <v/>
      </c>
      <c r="AO691" s="32" t="str">
        <f t="shared" si="481"/>
        <v/>
      </c>
      <c r="AP691" s="32" t="str">
        <f t="shared" si="482"/>
        <v/>
      </c>
      <c r="AQ691" s="32" t="str">
        <f t="shared" si="483"/>
        <v/>
      </c>
      <c r="AR691" s="32" t="str">
        <f t="shared" si="484"/>
        <v/>
      </c>
      <c r="AS691" s="32" t="str">
        <f t="shared" si="485"/>
        <v/>
      </c>
      <c r="AT691" s="32" t="str">
        <f t="shared" si="486"/>
        <v/>
      </c>
      <c r="AU691" s="34" t="str">
        <f t="shared" si="487"/>
        <v/>
      </c>
      <c r="AV691" s="32" t="str">
        <f t="shared" si="488"/>
        <v/>
      </c>
      <c r="AW691" s="32" t="str">
        <f t="shared" si="489"/>
        <v/>
      </c>
      <c r="AX691" s="32" t="str">
        <f t="shared" si="490"/>
        <v/>
      </c>
      <c r="AY691" s="32" t="str">
        <f t="shared" si="491"/>
        <v/>
      </c>
    </row>
    <row r="692" spans="1:51" x14ac:dyDescent="0.25">
      <c r="A692" s="24" t="str">
        <f t="shared" si="449"/>
        <v/>
      </c>
      <c r="B692" s="24" t="str">
        <f t="shared" si="459"/>
        <v/>
      </c>
      <c r="C692" s="32" t="str">
        <f t="shared" si="450"/>
        <v/>
      </c>
      <c r="D692" s="24" t="str">
        <f t="shared" si="451"/>
        <v/>
      </c>
      <c r="E692" s="24" t="str">
        <f t="shared" si="452"/>
        <v/>
      </c>
      <c r="F692" s="32" t="str">
        <f t="shared" si="453"/>
        <v/>
      </c>
      <c r="G692" s="32" t="str">
        <f t="shared" si="454"/>
        <v/>
      </c>
      <c r="H692" s="32" t="str">
        <f t="shared" ca="1" si="455"/>
        <v/>
      </c>
      <c r="I692" s="32" t="str">
        <f t="shared" ca="1" si="460"/>
        <v/>
      </c>
      <c r="J692" s="32" t="str">
        <f t="shared" si="456"/>
        <v/>
      </c>
      <c r="K692" s="32" t="str">
        <f>IF(ISNUMBER(A692),Profile!$V$25+Profile!$V$24*'Ri-Po'!C692,"")</f>
        <v/>
      </c>
      <c r="L692" s="32" t="str">
        <f t="shared" si="461"/>
        <v/>
      </c>
      <c r="M692" s="32" t="str">
        <f t="shared" si="457"/>
        <v/>
      </c>
      <c r="N692" s="32" t="str">
        <f t="shared" si="458"/>
        <v/>
      </c>
      <c r="O692" s="32" t="str">
        <f t="shared" si="474"/>
        <v/>
      </c>
      <c r="P692" s="32" t="str">
        <f t="shared" si="462"/>
        <v/>
      </c>
      <c r="Q692" s="32" t="str">
        <f t="shared" si="463"/>
        <v/>
      </c>
      <c r="R692" s="32" t="str">
        <f t="shared" si="475"/>
        <v/>
      </c>
      <c r="S692" s="24" t="str">
        <f t="shared" si="476"/>
        <v/>
      </c>
      <c r="T692" s="24" t="str">
        <f t="shared" si="477"/>
        <v/>
      </c>
      <c r="U692" s="24" t="str">
        <f t="shared" si="478"/>
        <v/>
      </c>
      <c r="V692" s="24" t="str">
        <f t="shared" si="479"/>
        <v/>
      </c>
      <c r="W692" s="23" t="str">
        <f t="array" ref="W692">IFERROR(SMALL(IF(S$1:S$1000="BEGIN",ROW(S$1:S$1000)),ROW()-3),"")</f>
        <v/>
      </c>
      <c r="X692" s="23" t="str">
        <f t="array" ref="X692">IFERROR(SMALL(IF(T$1:T$1000="END",ROW(T$1:T$1000)),ROW()-3),"")</f>
        <v/>
      </c>
      <c r="Y692" s="33" t="str">
        <f t="array" ref="Y692">IF(ISNUMBER(W692),MAX(IF((B$4:B$1000&lt;=X692)*(B$4:B$1000&gt;=W692),I$4:I$1000, "")),"")</f>
        <v/>
      </c>
      <c r="Z692" s="33" t="str">
        <f t="shared" si="464"/>
        <v/>
      </c>
      <c r="AA692" s="32" t="str">
        <f t="shared" si="465"/>
        <v/>
      </c>
      <c r="AB692" s="32" t="str">
        <f t="shared" si="466"/>
        <v/>
      </c>
      <c r="AC692" s="32" t="str">
        <f t="shared" si="467"/>
        <v/>
      </c>
      <c r="AD692" s="32" t="str">
        <f t="shared" si="468"/>
        <v/>
      </c>
      <c r="AE692" s="34" t="str">
        <f t="shared" si="469"/>
        <v/>
      </c>
      <c r="AF692" s="32" t="str">
        <f t="shared" si="470"/>
        <v/>
      </c>
      <c r="AG692" s="32" t="str">
        <f t="shared" si="471"/>
        <v/>
      </c>
      <c r="AH692" s="32" t="str">
        <f t="shared" si="472"/>
        <v/>
      </c>
      <c r="AI692" s="35" t="str">
        <f t="shared" si="473"/>
        <v/>
      </c>
      <c r="AJ692" s="23" t="str">
        <f t="array" ref="AJ692">IFERROR(SMALL(IF(U$1:U$1000="BEGIN",ROW(U$1:U$1000)),ROW()-3),"")</f>
        <v/>
      </c>
      <c r="AK692" s="23" t="str">
        <f t="array" ref="AK692">IFERROR(SMALL(IF(V$1:V$1000="END",ROW(V$1:V$1000)),ROW()-3),"")</f>
        <v/>
      </c>
      <c r="AL692" s="24" t="str">
        <f t="array" ref="AL692">IF(AK692="","",MATCH(AM692,L:L,0))</f>
        <v/>
      </c>
      <c r="AM692" s="35">
        <f t="array" ref="AM692">MAX(IF((B$4:B$1000&lt;=AK692)*(B$4:B$1000&gt;=AJ692),L$4:L$1000, ""))</f>
        <v>0</v>
      </c>
      <c r="AN692" s="32" t="str">
        <f t="shared" si="480"/>
        <v/>
      </c>
      <c r="AO692" s="32" t="str">
        <f t="shared" si="481"/>
        <v/>
      </c>
      <c r="AP692" s="32" t="str">
        <f t="shared" si="482"/>
        <v/>
      </c>
      <c r="AQ692" s="32" t="str">
        <f t="shared" si="483"/>
        <v/>
      </c>
      <c r="AR692" s="32" t="str">
        <f t="shared" si="484"/>
        <v/>
      </c>
      <c r="AS692" s="32" t="str">
        <f t="shared" si="485"/>
        <v/>
      </c>
      <c r="AT692" s="32" t="str">
        <f t="shared" si="486"/>
        <v/>
      </c>
      <c r="AU692" s="34" t="str">
        <f t="shared" si="487"/>
        <v/>
      </c>
      <c r="AV692" s="32" t="str">
        <f t="shared" si="488"/>
        <v/>
      </c>
      <c r="AW692" s="32" t="str">
        <f t="shared" si="489"/>
        <v/>
      </c>
      <c r="AX692" s="32" t="str">
        <f t="shared" si="490"/>
        <v/>
      </c>
      <c r="AY692" s="32" t="str">
        <f t="shared" si="491"/>
        <v/>
      </c>
    </row>
    <row r="693" spans="1:51" x14ac:dyDescent="0.25">
      <c r="A693" s="24" t="str">
        <f t="shared" si="449"/>
        <v/>
      </c>
      <c r="B693" s="24" t="str">
        <f t="shared" si="459"/>
        <v/>
      </c>
      <c r="C693" s="32" t="str">
        <f t="shared" si="450"/>
        <v/>
      </c>
      <c r="D693" s="24" t="str">
        <f t="shared" si="451"/>
        <v/>
      </c>
      <c r="E693" s="24" t="str">
        <f t="shared" si="452"/>
        <v/>
      </c>
      <c r="F693" s="32" t="str">
        <f t="shared" si="453"/>
        <v/>
      </c>
      <c r="G693" s="32" t="str">
        <f t="shared" si="454"/>
        <v/>
      </c>
      <c r="H693" s="32" t="str">
        <f t="shared" ca="1" si="455"/>
        <v/>
      </c>
      <c r="I693" s="32" t="str">
        <f t="shared" ca="1" si="460"/>
        <v/>
      </c>
      <c r="J693" s="32" t="str">
        <f t="shared" si="456"/>
        <v/>
      </c>
      <c r="K693" s="32" t="str">
        <f>IF(ISNUMBER(A693),Profile!$V$25+Profile!$V$24*'Ri-Po'!C693,"")</f>
        <v/>
      </c>
      <c r="L693" s="32" t="str">
        <f t="shared" si="461"/>
        <v/>
      </c>
      <c r="M693" s="32" t="str">
        <f t="shared" si="457"/>
        <v/>
      </c>
      <c r="N693" s="32" t="str">
        <f t="shared" si="458"/>
        <v/>
      </c>
      <c r="O693" s="32" t="str">
        <f t="shared" si="474"/>
        <v/>
      </c>
      <c r="P693" s="32" t="str">
        <f t="shared" si="462"/>
        <v/>
      </c>
      <c r="Q693" s="32" t="str">
        <f t="shared" si="463"/>
        <v/>
      </c>
      <c r="R693" s="32" t="str">
        <f t="shared" si="475"/>
        <v/>
      </c>
      <c r="S693" s="24" t="str">
        <f t="shared" si="476"/>
        <v/>
      </c>
      <c r="T693" s="24" t="str">
        <f t="shared" si="477"/>
        <v/>
      </c>
      <c r="U693" s="24" t="str">
        <f t="shared" si="478"/>
        <v/>
      </c>
      <c r="V693" s="24" t="str">
        <f t="shared" si="479"/>
        <v/>
      </c>
      <c r="W693" s="23" t="str">
        <f t="array" ref="W693">IFERROR(SMALL(IF(S$1:S$1000="BEGIN",ROW(S$1:S$1000)),ROW()-3),"")</f>
        <v/>
      </c>
      <c r="X693" s="23" t="str">
        <f t="array" ref="X693">IFERROR(SMALL(IF(T$1:T$1000="END",ROW(T$1:T$1000)),ROW()-3),"")</f>
        <v/>
      </c>
      <c r="Y693" s="33" t="str">
        <f t="array" ref="Y693">IF(ISNUMBER(W693),MAX(IF((B$4:B$1000&lt;=X693)*(B$4:B$1000&gt;=W693),I$4:I$1000, "")),"")</f>
        <v/>
      </c>
      <c r="Z693" s="33" t="str">
        <f t="shared" si="464"/>
        <v/>
      </c>
      <c r="AA693" s="32" t="str">
        <f t="shared" si="465"/>
        <v/>
      </c>
      <c r="AB693" s="32" t="str">
        <f t="shared" si="466"/>
        <v/>
      </c>
      <c r="AC693" s="32" t="str">
        <f t="shared" si="467"/>
        <v/>
      </c>
      <c r="AD693" s="32" t="str">
        <f t="shared" si="468"/>
        <v/>
      </c>
      <c r="AE693" s="34" t="str">
        <f t="shared" si="469"/>
        <v/>
      </c>
      <c r="AF693" s="32" t="str">
        <f t="shared" si="470"/>
        <v/>
      </c>
      <c r="AG693" s="32" t="str">
        <f t="shared" si="471"/>
        <v/>
      </c>
      <c r="AH693" s="32" t="str">
        <f t="shared" si="472"/>
        <v/>
      </c>
      <c r="AI693" s="35" t="str">
        <f t="shared" si="473"/>
        <v/>
      </c>
      <c r="AJ693" s="23" t="str">
        <f t="array" ref="AJ693">IFERROR(SMALL(IF(U$1:U$1000="BEGIN",ROW(U$1:U$1000)),ROW()-3),"")</f>
        <v/>
      </c>
      <c r="AK693" s="23" t="str">
        <f t="array" ref="AK693">IFERROR(SMALL(IF(V$1:V$1000="END",ROW(V$1:V$1000)),ROW()-3),"")</f>
        <v/>
      </c>
      <c r="AL693" s="24" t="str">
        <f t="array" ref="AL693">IF(AK693="","",MATCH(AM693,L:L,0))</f>
        <v/>
      </c>
      <c r="AM693" s="35">
        <f t="array" ref="AM693">MAX(IF((B$4:B$1000&lt;=AK693)*(B$4:B$1000&gt;=AJ693),L$4:L$1000, ""))</f>
        <v>0</v>
      </c>
      <c r="AN693" s="32" t="str">
        <f t="shared" si="480"/>
        <v/>
      </c>
      <c r="AO693" s="32" t="str">
        <f t="shared" si="481"/>
        <v/>
      </c>
      <c r="AP693" s="32" t="str">
        <f t="shared" si="482"/>
        <v/>
      </c>
      <c r="AQ693" s="32" t="str">
        <f t="shared" si="483"/>
        <v/>
      </c>
      <c r="AR693" s="32" t="str">
        <f t="shared" si="484"/>
        <v/>
      </c>
      <c r="AS693" s="32" t="str">
        <f t="shared" si="485"/>
        <v/>
      </c>
      <c r="AT693" s="32" t="str">
        <f t="shared" si="486"/>
        <v/>
      </c>
      <c r="AU693" s="34" t="str">
        <f t="shared" si="487"/>
        <v/>
      </c>
      <c r="AV693" s="32" t="str">
        <f t="shared" si="488"/>
        <v/>
      </c>
      <c r="AW693" s="32" t="str">
        <f t="shared" si="489"/>
        <v/>
      </c>
      <c r="AX693" s="32" t="str">
        <f t="shared" si="490"/>
        <v/>
      </c>
      <c r="AY693" s="32" t="str">
        <f t="shared" si="491"/>
        <v/>
      </c>
    </row>
    <row r="694" spans="1:51" x14ac:dyDescent="0.25">
      <c r="A694" s="24" t="str">
        <f t="shared" si="449"/>
        <v/>
      </c>
      <c r="B694" s="24" t="str">
        <f t="shared" si="459"/>
        <v/>
      </c>
      <c r="C694" s="32" t="str">
        <f t="shared" si="450"/>
        <v/>
      </c>
      <c r="D694" s="24" t="str">
        <f t="shared" si="451"/>
        <v/>
      </c>
      <c r="E694" s="24" t="str">
        <f t="shared" si="452"/>
        <v/>
      </c>
      <c r="F694" s="32" t="str">
        <f t="shared" si="453"/>
        <v/>
      </c>
      <c r="G694" s="32" t="str">
        <f t="shared" si="454"/>
        <v/>
      </c>
      <c r="H694" s="32" t="str">
        <f t="shared" ca="1" si="455"/>
        <v/>
      </c>
      <c r="I694" s="32" t="str">
        <f t="shared" ca="1" si="460"/>
        <v/>
      </c>
      <c r="J694" s="32" t="str">
        <f t="shared" si="456"/>
        <v/>
      </c>
      <c r="K694" s="32" t="str">
        <f>IF(ISNUMBER(A694),Profile!$V$25+Profile!$V$24*'Ri-Po'!C694,"")</f>
        <v/>
      </c>
      <c r="L694" s="32" t="str">
        <f t="shared" si="461"/>
        <v/>
      </c>
      <c r="M694" s="32" t="str">
        <f t="shared" si="457"/>
        <v/>
      </c>
      <c r="N694" s="32" t="str">
        <f t="shared" si="458"/>
        <v/>
      </c>
      <c r="O694" s="32" t="str">
        <f t="shared" si="474"/>
        <v/>
      </c>
      <c r="P694" s="32" t="str">
        <f t="shared" si="462"/>
        <v/>
      </c>
      <c r="Q694" s="32" t="str">
        <f t="shared" si="463"/>
        <v/>
      </c>
      <c r="R694" s="32" t="str">
        <f t="shared" si="475"/>
        <v/>
      </c>
      <c r="S694" s="24" t="str">
        <f t="shared" si="476"/>
        <v/>
      </c>
      <c r="T694" s="24" t="str">
        <f t="shared" si="477"/>
        <v/>
      </c>
      <c r="U694" s="24" t="str">
        <f t="shared" si="478"/>
        <v/>
      </c>
      <c r="V694" s="24" t="str">
        <f t="shared" si="479"/>
        <v/>
      </c>
      <c r="W694" s="23" t="str">
        <f t="array" ref="W694">IFERROR(SMALL(IF(S$1:S$1000="BEGIN",ROW(S$1:S$1000)),ROW()-3),"")</f>
        <v/>
      </c>
      <c r="X694" s="23" t="str">
        <f t="array" ref="X694">IFERROR(SMALL(IF(T$1:T$1000="END",ROW(T$1:T$1000)),ROW()-3),"")</f>
        <v/>
      </c>
      <c r="Y694" s="33" t="str">
        <f t="array" ref="Y694">IF(ISNUMBER(W694),MAX(IF((B$4:B$1000&lt;=X694)*(B$4:B$1000&gt;=W694),I$4:I$1000, "")),"")</f>
        <v/>
      </c>
      <c r="Z694" s="33" t="str">
        <f t="shared" si="464"/>
        <v/>
      </c>
      <c r="AA694" s="32" t="str">
        <f t="shared" si="465"/>
        <v/>
      </c>
      <c r="AB694" s="32" t="str">
        <f t="shared" si="466"/>
        <v/>
      </c>
      <c r="AC694" s="32" t="str">
        <f t="shared" si="467"/>
        <v/>
      </c>
      <c r="AD694" s="32" t="str">
        <f t="shared" si="468"/>
        <v/>
      </c>
      <c r="AE694" s="34" t="str">
        <f t="shared" si="469"/>
        <v/>
      </c>
      <c r="AF694" s="32" t="str">
        <f t="shared" si="470"/>
        <v/>
      </c>
      <c r="AG694" s="32" t="str">
        <f t="shared" si="471"/>
        <v/>
      </c>
      <c r="AH694" s="32" t="str">
        <f t="shared" si="472"/>
        <v/>
      </c>
      <c r="AI694" s="35" t="str">
        <f t="shared" si="473"/>
        <v/>
      </c>
      <c r="AJ694" s="23" t="str">
        <f t="array" ref="AJ694">IFERROR(SMALL(IF(U$1:U$1000="BEGIN",ROW(U$1:U$1000)),ROW()-3),"")</f>
        <v/>
      </c>
      <c r="AK694" s="23" t="str">
        <f t="array" ref="AK694">IFERROR(SMALL(IF(V$1:V$1000="END",ROW(V$1:V$1000)),ROW()-3),"")</f>
        <v/>
      </c>
      <c r="AL694" s="24" t="str">
        <f t="array" ref="AL694">IF(AK694="","",MATCH(AM694,L:L,0))</f>
        <v/>
      </c>
      <c r="AM694" s="35">
        <f t="array" ref="AM694">MAX(IF((B$4:B$1000&lt;=AK694)*(B$4:B$1000&gt;=AJ694),L$4:L$1000, ""))</f>
        <v>0</v>
      </c>
      <c r="AN694" s="32" t="str">
        <f t="shared" si="480"/>
        <v/>
      </c>
      <c r="AO694" s="32" t="str">
        <f t="shared" si="481"/>
        <v/>
      </c>
      <c r="AP694" s="32" t="str">
        <f t="shared" si="482"/>
        <v/>
      </c>
      <c r="AQ694" s="32" t="str">
        <f t="shared" si="483"/>
        <v/>
      </c>
      <c r="AR694" s="32" t="str">
        <f t="shared" si="484"/>
        <v/>
      </c>
      <c r="AS694" s="32" t="str">
        <f t="shared" si="485"/>
        <v/>
      </c>
      <c r="AT694" s="32" t="str">
        <f t="shared" si="486"/>
        <v/>
      </c>
      <c r="AU694" s="34" t="str">
        <f t="shared" si="487"/>
        <v/>
      </c>
      <c r="AV694" s="32" t="str">
        <f t="shared" si="488"/>
        <v/>
      </c>
      <c r="AW694" s="32" t="str">
        <f t="shared" si="489"/>
        <v/>
      </c>
      <c r="AX694" s="32" t="str">
        <f t="shared" si="490"/>
        <v/>
      </c>
      <c r="AY694" s="32" t="str">
        <f t="shared" si="491"/>
        <v/>
      </c>
    </row>
    <row r="695" spans="1:51" x14ac:dyDescent="0.25">
      <c r="A695" s="24" t="str">
        <f t="shared" si="449"/>
        <v/>
      </c>
      <c r="B695" s="24" t="str">
        <f t="shared" si="459"/>
        <v/>
      </c>
      <c r="C695" s="32" t="str">
        <f t="shared" si="450"/>
        <v/>
      </c>
      <c r="D695" s="24" t="str">
        <f t="shared" si="451"/>
        <v/>
      </c>
      <c r="E695" s="24" t="str">
        <f t="shared" si="452"/>
        <v/>
      </c>
      <c r="F695" s="32" t="str">
        <f t="shared" si="453"/>
        <v/>
      </c>
      <c r="G695" s="32" t="str">
        <f t="shared" si="454"/>
        <v/>
      </c>
      <c r="H695" s="32" t="str">
        <f t="shared" ca="1" si="455"/>
        <v/>
      </c>
      <c r="I695" s="32" t="str">
        <f t="shared" ca="1" si="460"/>
        <v/>
      </c>
      <c r="J695" s="32" t="str">
        <f t="shared" si="456"/>
        <v/>
      </c>
      <c r="K695" s="32" t="str">
        <f>IF(ISNUMBER(A695),Profile!$V$25+Profile!$V$24*'Ri-Po'!C695,"")</f>
        <v/>
      </c>
      <c r="L695" s="32" t="str">
        <f t="shared" si="461"/>
        <v/>
      </c>
      <c r="M695" s="32" t="str">
        <f t="shared" si="457"/>
        <v/>
      </c>
      <c r="N695" s="32" t="str">
        <f t="shared" si="458"/>
        <v/>
      </c>
      <c r="O695" s="32" t="str">
        <f t="shared" si="474"/>
        <v/>
      </c>
      <c r="P695" s="32" t="str">
        <f t="shared" si="462"/>
        <v/>
      </c>
      <c r="Q695" s="32" t="str">
        <f t="shared" si="463"/>
        <v/>
      </c>
      <c r="R695" s="32" t="str">
        <f t="shared" si="475"/>
        <v/>
      </c>
      <c r="S695" s="24" t="str">
        <f t="shared" si="476"/>
        <v/>
      </c>
      <c r="T695" s="24" t="str">
        <f t="shared" si="477"/>
        <v/>
      </c>
      <c r="U695" s="24" t="str">
        <f t="shared" si="478"/>
        <v/>
      </c>
      <c r="V695" s="24" t="str">
        <f t="shared" si="479"/>
        <v/>
      </c>
      <c r="W695" s="23" t="str">
        <f t="array" ref="W695">IFERROR(SMALL(IF(S$1:S$1000="BEGIN",ROW(S$1:S$1000)),ROW()-3),"")</f>
        <v/>
      </c>
      <c r="X695" s="23" t="str">
        <f t="array" ref="X695">IFERROR(SMALL(IF(T$1:T$1000="END",ROW(T$1:T$1000)),ROW()-3),"")</f>
        <v/>
      </c>
      <c r="Y695" s="33" t="str">
        <f t="array" ref="Y695">IF(ISNUMBER(W695),MAX(IF((B$4:B$1000&lt;=X695)*(B$4:B$1000&gt;=W695),I$4:I$1000, "")),"")</f>
        <v/>
      </c>
      <c r="Z695" s="33" t="str">
        <f t="shared" si="464"/>
        <v/>
      </c>
      <c r="AA695" s="32" t="str">
        <f t="shared" si="465"/>
        <v/>
      </c>
      <c r="AB695" s="32" t="str">
        <f t="shared" si="466"/>
        <v/>
      </c>
      <c r="AC695" s="32" t="str">
        <f t="shared" si="467"/>
        <v/>
      </c>
      <c r="AD695" s="32" t="str">
        <f t="shared" si="468"/>
        <v/>
      </c>
      <c r="AE695" s="34" t="str">
        <f t="shared" si="469"/>
        <v/>
      </c>
      <c r="AF695" s="32" t="str">
        <f t="shared" si="470"/>
        <v/>
      </c>
      <c r="AG695" s="32" t="str">
        <f t="shared" si="471"/>
        <v/>
      </c>
      <c r="AH695" s="32" t="str">
        <f t="shared" si="472"/>
        <v/>
      </c>
      <c r="AI695" s="35" t="str">
        <f t="shared" si="473"/>
        <v/>
      </c>
      <c r="AJ695" s="23" t="str">
        <f t="array" ref="AJ695">IFERROR(SMALL(IF(U$1:U$1000="BEGIN",ROW(U$1:U$1000)),ROW()-3),"")</f>
        <v/>
      </c>
      <c r="AK695" s="23" t="str">
        <f t="array" ref="AK695">IFERROR(SMALL(IF(V$1:V$1000="END",ROW(V$1:V$1000)),ROW()-3),"")</f>
        <v/>
      </c>
      <c r="AL695" s="24" t="str">
        <f t="array" ref="AL695">IF(AK695="","",MATCH(AM695,L:L,0))</f>
        <v/>
      </c>
      <c r="AM695" s="35">
        <f t="array" ref="AM695">MAX(IF((B$4:B$1000&lt;=AK695)*(B$4:B$1000&gt;=AJ695),L$4:L$1000, ""))</f>
        <v>0</v>
      </c>
      <c r="AN695" s="32" t="str">
        <f t="shared" si="480"/>
        <v/>
      </c>
      <c r="AO695" s="32" t="str">
        <f t="shared" si="481"/>
        <v/>
      </c>
      <c r="AP695" s="32" t="str">
        <f t="shared" si="482"/>
        <v/>
      </c>
      <c r="AQ695" s="32" t="str">
        <f t="shared" si="483"/>
        <v/>
      </c>
      <c r="AR695" s="32" t="str">
        <f t="shared" si="484"/>
        <v/>
      </c>
      <c r="AS695" s="32" t="str">
        <f t="shared" si="485"/>
        <v/>
      </c>
      <c r="AT695" s="32" t="str">
        <f t="shared" si="486"/>
        <v/>
      </c>
      <c r="AU695" s="34" t="str">
        <f t="shared" si="487"/>
        <v/>
      </c>
      <c r="AV695" s="32" t="str">
        <f t="shared" si="488"/>
        <v/>
      </c>
      <c r="AW695" s="32" t="str">
        <f t="shared" si="489"/>
        <v/>
      </c>
      <c r="AX695" s="32" t="str">
        <f t="shared" si="490"/>
        <v/>
      </c>
      <c r="AY695" s="32" t="str">
        <f t="shared" si="491"/>
        <v/>
      </c>
    </row>
    <row r="696" spans="1:51" x14ac:dyDescent="0.25">
      <c r="A696" s="24" t="str">
        <f t="shared" si="449"/>
        <v/>
      </c>
      <c r="B696" s="24" t="str">
        <f t="shared" si="459"/>
        <v/>
      </c>
      <c r="C696" s="32" t="str">
        <f t="shared" si="450"/>
        <v/>
      </c>
      <c r="D696" s="24" t="str">
        <f t="shared" si="451"/>
        <v/>
      </c>
      <c r="E696" s="24" t="str">
        <f t="shared" si="452"/>
        <v/>
      </c>
      <c r="F696" s="32" t="str">
        <f t="shared" si="453"/>
        <v/>
      </c>
      <c r="G696" s="32" t="str">
        <f t="shared" si="454"/>
        <v/>
      </c>
      <c r="H696" s="32" t="str">
        <f t="shared" ca="1" si="455"/>
        <v/>
      </c>
      <c r="I696" s="32" t="str">
        <f t="shared" ca="1" si="460"/>
        <v/>
      </c>
      <c r="J696" s="32" t="str">
        <f t="shared" si="456"/>
        <v/>
      </c>
      <c r="K696" s="32" t="str">
        <f>IF(ISNUMBER(A696),Profile!$V$25+Profile!$V$24*'Ri-Po'!C696,"")</f>
        <v/>
      </c>
      <c r="L696" s="32" t="str">
        <f t="shared" si="461"/>
        <v/>
      </c>
      <c r="M696" s="32" t="str">
        <f t="shared" si="457"/>
        <v/>
      </c>
      <c r="N696" s="32" t="str">
        <f t="shared" si="458"/>
        <v/>
      </c>
      <c r="O696" s="32" t="str">
        <f t="shared" si="474"/>
        <v/>
      </c>
      <c r="P696" s="32" t="str">
        <f t="shared" si="462"/>
        <v/>
      </c>
      <c r="Q696" s="32" t="str">
        <f t="shared" si="463"/>
        <v/>
      </c>
      <c r="R696" s="32" t="str">
        <f t="shared" si="475"/>
        <v/>
      </c>
      <c r="S696" s="24" t="str">
        <f t="shared" si="476"/>
        <v/>
      </c>
      <c r="T696" s="24" t="str">
        <f t="shared" si="477"/>
        <v/>
      </c>
      <c r="U696" s="24" t="str">
        <f t="shared" si="478"/>
        <v/>
      </c>
      <c r="V696" s="24" t="str">
        <f t="shared" si="479"/>
        <v/>
      </c>
      <c r="W696" s="23" t="str">
        <f t="array" ref="W696">IFERROR(SMALL(IF(S$1:S$1000="BEGIN",ROW(S$1:S$1000)),ROW()-3),"")</f>
        <v/>
      </c>
      <c r="X696" s="23" t="str">
        <f t="array" ref="X696">IFERROR(SMALL(IF(T$1:T$1000="END",ROW(T$1:T$1000)),ROW()-3),"")</f>
        <v/>
      </c>
      <c r="Y696" s="33" t="str">
        <f t="array" ref="Y696">IF(ISNUMBER(W696),MAX(IF((B$4:B$1000&lt;=X696)*(B$4:B$1000&gt;=W696),I$4:I$1000, "")),"")</f>
        <v/>
      </c>
      <c r="Z696" s="33" t="str">
        <f t="shared" si="464"/>
        <v/>
      </c>
      <c r="AA696" s="32" t="str">
        <f t="shared" si="465"/>
        <v/>
      </c>
      <c r="AB696" s="32" t="str">
        <f t="shared" si="466"/>
        <v/>
      </c>
      <c r="AC696" s="32" t="str">
        <f t="shared" si="467"/>
        <v/>
      </c>
      <c r="AD696" s="32" t="str">
        <f t="shared" si="468"/>
        <v/>
      </c>
      <c r="AE696" s="34" t="str">
        <f t="shared" si="469"/>
        <v/>
      </c>
      <c r="AF696" s="32" t="str">
        <f t="shared" si="470"/>
        <v/>
      </c>
      <c r="AG696" s="32" t="str">
        <f t="shared" si="471"/>
        <v/>
      </c>
      <c r="AH696" s="32" t="str">
        <f t="shared" si="472"/>
        <v/>
      </c>
      <c r="AI696" s="35" t="str">
        <f t="shared" si="473"/>
        <v/>
      </c>
      <c r="AJ696" s="23" t="str">
        <f t="array" ref="AJ696">IFERROR(SMALL(IF(U$1:U$1000="BEGIN",ROW(U$1:U$1000)),ROW()-3),"")</f>
        <v/>
      </c>
      <c r="AK696" s="23" t="str">
        <f t="array" ref="AK696">IFERROR(SMALL(IF(V$1:V$1000="END",ROW(V$1:V$1000)),ROW()-3),"")</f>
        <v/>
      </c>
      <c r="AL696" s="24" t="str">
        <f t="array" ref="AL696">IF(AK696="","",MATCH(AM696,L:L,0))</f>
        <v/>
      </c>
      <c r="AM696" s="35">
        <f t="array" ref="AM696">MAX(IF((B$4:B$1000&lt;=AK696)*(B$4:B$1000&gt;=AJ696),L$4:L$1000, ""))</f>
        <v>0</v>
      </c>
      <c r="AN696" s="32" t="str">
        <f t="shared" si="480"/>
        <v/>
      </c>
      <c r="AO696" s="32" t="str">
        <f t="shared" si="481"/>
        <v/>
      </c>
      <c r="AP696" s="32" t="str">
        <f t="shared" si="482"/>
        <v/>
      </c>
      <c r="AQ696" s="32" t="str">
        <f t="shared" si="483"/>
        <v/>
      </c>
      <c r="AR696" s="32" t="str">
        <f t="shared" si="484"/>
        <v/>
      </c>
      <c r="AS696" s="32" t="str">
        <f t="shared" si="485"/>
        <v/>
      </c>
      <c r="AT696" s="32" t="str">
        <f t="shared" si="486"/>
        <v/>
      </c>
      <c r="AU696" s="34" t="str">
        <f t="shared" si="487"/>
        <v/>
      </c>
      <c r="AV696" s="32" t="str">
        <f t="shared" si="488"/>
        <v/>
      </c>
      <c r="AW696" s="32" t="str">
        <f t="shared" si="489"/>
        <v/>
      </c>
      <c r="AX696" s="32" t="str">
        <f t="shared" si="490"/>
        <v/>
      </c>
      <c r="AY696" s="32" t="str">
        <f t="shared" si="491"/>
        <v/>
      </c>
    </row>
    <row r="697" spans="1:51" x14ac:dyDescent="0.25">
      <c r="A697" s="24" t="str">
        <f t="shared" si="449"/>
        <v/>
      </c>
      <c r="B697" s="24" t="str">
        <f t="shared" si="459"/>
        <v/>
      </c>
      <c r="C697" s="32" t="str">
        <f t="shared" si="450"/>
        <v/>
      </c>
      <c r="D697" s="24" t="str">
        <f t="shared" si="451"/>
        <v/>
      </c>
      <c r="E697" s="24" t="str">
        <f t="shared" si="452"/>
        <v/>
      </c>
      <c r="F697" s="32" t="str">
        <f t="shared" si="453"/>
        <v/>
      </c>
      <c r="G697" s="32" t="str">
        <f t="shared" si="454"/>
        <v/>
      </c>
      <c r="H697" s="32" t="str">
        <f t="shared" ca="1" si="455"/>
        <v/>
      </c>
      <c r="I697" s="32" t="str">
        <f t="shared" ca="1" si="460"/>
        <v/>
      </c>
      <c r="J697" s="32" t="str">
        <f t="shared" si="456"/>
        <v/>
      </c>
      <c r="K697" s="32" t="str">
        <f>IF(ISNUMBER(A697),Profile!$V$25+Profile!$V$24*'Ri-Po'!C697,"")</f>
        <v/>
      </c>
      <c r="L697" s="32" t="str">
        <f t="shared" si="461"/>
        <v/>
      </c>
      <c r="M697" s="32" t="str">
        <f t="shared" si="457"/>
        <v/>
      </c>
      <c r="N697" s="32" t="str">
        <f t="shared" si="458"/>
        <v/>
      </c>
      <c r="O697" s="32" t="str">
        <f t="shared" si="474"/>
        <v/>
      </c>
      <c r="P697" s="32" t="str">
        <f t="shared" si="462"/>
        <v/>
      </c>
      <c r="Q697" s="32" t="str">
        <f t="shared" si="463"/>
        <v/>
      </c>
      <c r="R697" s="32" t="str">
        <f t="shared" si="475"/>
        <v/>
      </c>
      <c r="S697" s="24" t="str">
        <f t="shared" si="476"/>
        <v/>
      </c>
      <c r="T697" s="24" t="str">
        <f t="shared" si="477"/>
        <v/>
      </c>
      <c r="U697" s="24" t="str">
        <f t="shared" si="478"/>
        <v/>
      </c>
      <c r="V697" s="24" t="str">
        <f t="shared" si="479"/>
        <v/>
      </c>
      <c r="W697" s="23" t="str">
        <f t="array" ref="W697">IFERROR(SMALL(IF(S$1:S$1000="BEGIN",ROW(S$1:S$1000)),ROW()-3),"")</f>
        <v/>
      </c>
      <c r="X697" s="23" t="str">
        <f t="array" ref="X697">IFERROR(SMALL(IF(T$1:T$1000="END",ROW(T$1:T$1000)),ROW()-3),"")</f>
        <v/>
      </c>
      <c r="Y697" s="33" t="str">
        <f t="array" ref="Y697">IF(ISNUMBER(W697),MAX(IF((B$4:B$1000&lt;=X697)*(B$4:B$1000&gt;=W697),I$4:I$1000, "")),"")</f>
        <v/>
      </c>
      <c r="Z697" s="33" t="str">
        <f t="shared" si="464"/>
        <v/>
      </c>
      <c r="AA697" s="32" t="str">
        <f t="shared" si="465"/>
        <v/>
      </c>
      <c r="AB697" s="32" t="str">
        <f t="shared" si="466"/>
        <v/>
      </c>
      <c r="AC697" s="32" t="str">
        <f t="shared" si="467"/>
        <v/>
      </c>
      <c r="AD697" s="32" t="str">
        <f t="shared" si="468"/>
        <v/>
      </c>
      <c r="AE697" s="34" t="str">
        <f t="shared" si="469"/>
        <v/>
      </c>
      <c r="AF697" s="32" t="str">
        <f t="shared" si="470"/>
        <v/>
      </c>
      <c r="AG697" s="32" t="str">
        <f t="shared" si="471"/>
        <v/>
      </c>
      <c r="AH697" s="32" t="str">
        <f t="shared" si="472"/>
        <v/>
      </c>
      <c r="AI697" s="35" t="str">
        <f t="shared" si="473"/>
        <v/>
      </c>
      <c r="AJ697" s="23" t="str">
        <f t="array" ref="AJ697">IFERROR(SMALL(IF(U$1:U$1000="BEGIN",ROW(U$1:U$1000)),ROW()-3),"")</f>
        <v/>
      </c>
      <c r="AK697" s="23" t="str">
        <f t="array" ref="AK697">IFERROR(SMALL(IF(V$1:V$1000="END",ROW(V$1:V$1000)),ROW()-3),"")</f>
        <v/>
      </c>
      <c r="AL697" s="24" t="str">
        <f t="array" ref="AL697">IF(AK697="","",MATCH(AM697,L:L,0))</f>
        <v/>
      </c>
      <c r="AM697" s="35">
        <f t="array" ref="AM697">MAX(IF((B$4:B$1000&lt;=AK697)*(B$4:B$1000&gt;=AJ697),L$4:L$1000, ""))</f>
        <v>0</v>
      </c>
      <c r="AN697" s="32" t="str">
        <f t="shared" si="480"/>
        <v/>
      </c>
      <c r="AO697" s="32" t="str">
        <f t="shared" si="481"/>
        <v/>
      </c>
      <c r="AP697" s="32" t="str">
        <f t="shared" si="482"/>
        <v/>
      </c>
      <c r="AQ697" s="32" t="str">
        <f t="shared" si="483"/>
        <v/>
      </c>
      <c r="AR697" s="32" t="str">
        <f t="shared" si="484"/>
        <v/>
      </c>
      <c r="AS697" s="32" t="str">
        <f t="shared" si="485"/>
        <v/>
      </c>
      <c r="AT697" s="32" t="str">
        <f t="shared" si="486"/>
        <v/>
      </c>
      <c r="AU697" s="34" t="str">
        <f t="shared" si="487"/>
        <v/>
      </c>
      <c r="AV697" s="32" t="str">
        <f t="shared" si="488"/>
        <v/>
      </c>
      <c r="AW697" s="32" t="str">
        <f t="shared" si="489"/>
        <v/>
      </c>
      <c r="AX697" s="32" t="str">
        <f t="shared" si="490"/>
        <v/>
      </c>
      <c r="AY697" s="32" t="str">
        <f t="shared" si="491"/>
        <v/>
      </c>
    </row>
    <row r="698" spans="1:51" x14ac:dyDescent="0.25">
      <c r="A698" s="24" t="str">
        <f t="shared" si="449"/>
        <v/>
      </c>
      <c r="B698" s="24" t="str">
        <f t="shared" si="459"/>
        <v/>
      </c>
      <c r="C698" s="32" t="str">
        <f t="shared" si="450"/>
        <v/>
      </c>
      <c r="D698" s="24" t="str">
        <f t="shared" si="451"/>
        <v/>
      </c>
      <c r="E698" s="24" t="str">
        <f t="shared" si="452"/>
        <v/>
      </c>
      <c r="F698" s="32" t="str">
        <f t="shared" si="453"/>
        <v/>
      </c>
      <c r="G698" s="32" t="str">
        <f t="shared" si="454"/>
        <v/>
      </c>
      <c r="H698" s="32" t="str">
        <f t="shared" ca="1" si="455"/>
        <v/>
      </c>
      <c r="I698" s="32" t="str">
        <f t="shared" ca="1" si="460"/>
        <v/>
      </c>
      <c r="J698" s="32" t="str">
        <f t="shared" si="456"/>
        <v/>
      </c>
      <c r="K698" s="32" t="str">
        <f>IF(ISNUMBER(A698),Profile!$V$25+Profile!$V$24*'Ri-Po'!C698,"")</f>
        <v/>
      </c>
      <c r="L698" s="32" t="str">
        <f t="shared" si="461"/>
        <v/>
      </c>
      <c r="M698" s="32" t="str">
        <f t="shared" si="457"/>
        <v/>
      </c>
      <c r="N698" s="32" t="str">
        <f t="shared" si="458"/>
        <v/>
      </c>
      <c r="O698" s="32" t="str">
        <f t="shared" si="474"/>
        <v/>
      </c>
      <c r="P698" s="32" t="str">
        <f t="shared" si="462"/>
        <v/>
      </c>
      <c r="Q698" s="32" t="str">
        <f t="shared" si="463"/>
        <v/>
      </c>
      <c r="R698" s="32" t="str">
        <f t="shared" si="475"/>
        <v/>
      </c>
      <c r="S698" s="24" t="str">
        <f t="shared" si="476"/>
        <v/>
      </c>
      <c r="T698" s="24" t="str">
        <f t="shared" si="477"/>
        <v/>
      </c>
      <c r="U698" s="24" t="str">
        <f t="shared" si="478"/>
        <v/>
      </c>
      <c r="V698" s="24" t="str">
        <f t="shared" si="479"/>
        <v/>
      </c>
      <c r="W698" s="23" t="str">
        <f t="array" ref="W698">IFERROR(SMALL(IF(S$1:S$1000="BEGIN",ROW(S$1:S$1000)),ROW()-3),"")</f>
        <v/>
      </c>
      <c r="X698" s="23" t="str">
        <f t="array" ref="X698">IFERROR(SMALL(IF(T$1:T$1000="END",ROW(T$1:T$1000)),ROW()-3),"")</f>
        <v/>
      </c>
      <c r="Y698" s="33" t="str">
        <f t="array" ref="Y698">IF(ISNUMBER(W698),MAX(IF((B$4:B$1000&lt;=X698)*(B$4:B$1000&gt;=W698),I$4:I$1000, "")),"")</f>
        <v/>
      </c>
      <c r="Z698" s="33" t="str">
        <f t="shared" si="464"/>
        <v/>
      </c>
      <c r="AA698" s="32" t="str">
        <f t="shared" si="465"/>
        <v/>
      </c>
      <c r="AB698" s="32" t="str">
        <f t="shared" si="466"/>
        <v/>
      </c>
      <c r="AC698" s="32" t="str">
        <f t="shared" si="467"/>
        <v/>
      </c>
      <c r="AD698" s="32" t="str">
        <f t="shared" si="468"/>
        <v/>
      </c>
      <c r="AE698" s="34" t="str">
        <f t="shared" si="469"/>
        <v/>
      </c>
      <c r="AF698" s="32" t="str">
        <f t="shared" si="470"/>
        <v/>
      </c>
      <c r="AG698" s="32" t="str">
        <f t="shared" si="471"/>
        <v/>
      </c>
      <c r="AH698" s="32" t="str">
        <f t="shared" si="472"/>
        <v/>
      </c>
      <c r="AI698" s="35" t="str">
        <f t="shared" si="473"/>
        <v/>
      </c>
      <c r="AJ698" s="23" t="str">
        <f t="array" ref="AJ698">IFERROR(SMALL(IF(U$1:U$1000="BEGIN",ROW(U$1:U$1000)),ROW()-3),"")</f>
        <v/>
      </c>
      <c r="AK698" s="23" t="str">
        <f t="array" ref="AK698">IFERROR(SMALL(IF(V$1:V$1000="END",ROW(V$1:V$1000)),ROW()-3),"")</f>
        <v/>
      </c>
      <c r="AL698" s="24" t="str">
        <f t="array" ref="AL698">IF(AK698="","",MATCH(AM698,L:L,0))</f>
        <v/>
      </c>
      <c r="AM698" s="35">
        <f t="array" ref="AM698">MAX(IF((B$4:B$1000&lt;=AK698)*(B$4:B$1000&gt;=AJ698),L$4:L$1000, ""))</f>
        <v>0</v>
      </c>
      <c r="AN698" s="32" t="str">
        <f t="shared" si="480"/>
        <v/>
      </c>
      <c r="AO698" s="32" t="str">
        <f t="shared" si="481"/>
        <v/>
      </c>
      <c r="AP698" s="32" t="str">
        <f t="shared" si="482"/>
        <v/>
      </c>
      <c r="AQ698" s="32" t="str">
        <f t="shared" si="483"/>
        <v/>
      </c>
      <c r="AR698" s="32" t="str">
        <f t="shared" si="484"/>
        <v/>
      </c>
      <c r="AS698" s="32" t="str">
        <f t="shared" si="485"/>
        <v/>
      </c>
      <c r="AT698" s="32" t="str">
        <f t="shared" si="486"/>
        <v/>
      </c>
      <c r="AU698" s="34" t="str">
        <f t="shared" si="487"/>
        <v/>
      </c>
      <c r="AV698" s="32" t="str">
        <f t="shared" si="488"/>
        <v/>
      </c>
      <c r="AW698" s="32" t="str">
        <f t="shared" si="489"/>
        <v/>
      </c>
      <c r="AX698" s="32" t="str">
        <f t="shared" si="490"/>
        <v/>
      </c>
      <c r="AY698" s="32" t="str">
        <f t="shared" si="491"/>
        <v/>
      </c>
    </row>
    <row r="699" spans="1:51" x14ac:dyDescent="0.25">
      <c r="A699" s="24" t="str">
        <f t="shared" si="449"/>
        <v/>
      </c>
      <c r="B699" s="24" t="str">
        <f t="shared" si="459"/>
        <v/>
      </c>
      <c r="C699" s="32" t="str">
        <f t="shared" si="450"/>
        <v/>
      </c>
      <c r="D699" s="24" t="str">
        <f t="shared" si="451"/>
        <v/>
      </c>
      <c r="E699" s="24" t="str">
        <f t="shared" si="452"/>
        <v/>
      </c>
      <c r="F699" s="32" t="str">
        <f t="shared" si="453"/>
        <v/>
      </c>
      <c r="G699" s="32" t="str">
        <f t="shared" si="454"/>
        <v/>
      </c>
      <c r="H699" s="32" t="str">
        <f t="shared" ca="1" si="455"/>
        <v/>
      </c>
      <c r="I699" s="32" t="str">
        <f t="shared" ca="1" si="460"/>
        <v/>
      </c>
      <c r="J699" s="32" t="str">
        <f t="shared" si="456"/>
        <v/>
      </c>
      <c r="K699" s="32" t="str">
        <f>IF(ISNUMBER(A699),Profile!$V$25+Profile!$V$24*'Ri-Po'!C699,"")</f>
        <v/>
      </c>
      <c r="L699" s="32" t="str">
        <f t="shared" si="461"/>
        <v/>
      </c>
      <c r="M699" s="32" t="str">
        <f t="shared" si="457"/>
        <v/>
      </c>
      <c r="N699" s="32" t="str">
        <f t="shared" si="458"/>
        <v/>
      </c>
      <c r="O699" s="32" t="str">
        <f t="shared" si="474"/>
        <v/>
      </c>
      <c r="P699" s="32" t="str">
        <f t="shared" si="462"/>
        <v/>
      </c>
      <c r="Q699" s="32" t="str">
        <f t="shared" si="463"/>
        <v/>
      </c>
      <c r="R699" s="32" t="str">
        <f t="shared" si="475"/>
        <v/>
      </c>
      <c r="S699" s="24" t="str">
        <f t="shared" si="476"/>
        <v/>
      </c>
      <c r="T699" s="24" t="str">
        <f t="shared" si="477"/>
        <v/>
      </c>
      <c r="U699" s="24" t="str">
        <f t="shared" si="478"/>
        <v/>
      </c>
      <c r="V699" s="24" t="str">
        <f t="shared" si="479"/>
        <v/>
      </c>
      <c r="W699" s="23" t="str">
        <f t="array" ref="W699">IFERROR(SMALL(IF(S$1:S$1000="BEGIN",ROW(S$1:S$1000)),ROW()-3),"")</f>
        <v/>
      </c>
      <c r="X699" s="23" t="str">
        <f t="array" ref="X699">IFERROR(SMALL(IF(T$1:T$1000="END",ROW(T$1:T$1000)),ROW()-3),"")</f>
        <v/>
      </c>
      <c r="Y699" s="33" t="str">
        <f t="array" ref="Y699">IF(ISNUMBER(W699),MAX(IF((B$4:B$1000&lt;=X699)*(B$4:B$1000&gt;=W699),I$4:I$1000, "")),"")</f>
        <v/>
      </c>
      <c r="Z699" s="33" t="str">
        <f t="shared" si="464"/>
        <v/>
      </c>
      <c r="AA699" s="32" t="str">
        <f t="shared" si="465"/>
        <v/>
      </c>
      <c r="AB699" s="32" t="str">
        <f t="shared" si="466"/>
        <v/>
      </c>
      <c r="AC699" s="32" t="str">
        <f t="shared" si="467"/>
        <v/>
      </c>
      <c r="AD699" s="32" t="str">
        <f t="shared" si="468"/>
        <v/>
      </c>
      <c r="AE699" s="34" t="str">
        <f t="shared" si="469"/>
        <v/>
      </c>
      <c r="AF699" s="32" t="str">
        <f t="shared" si="470"/>
        <v/>
      </c>
      <c r="AG699" s="32" t="str">
        <f t="shared" si="471"/>
        <v/>
      </c>
      <c r="AH699" s="32" t="str">
        <f t="shared" si="472"/>
        <v/>
      </c>
      <c r="AI699" s="35" t="str">
        <f t="shared" si="473"/>
        <v/>
      </c>
      <c r="AJ699" s="23" t="str">
        <f t="array" ref="AJ699">IFERROR(SMALL(IF(U$1:U$1000="BEGIN",ROW(U$1:U$1000)),ROW()-3),"")</f>
        <v/>
      </c>
      <c r="AK699" s="23" t="str">
        <f t="array" ref="AK699">IFERROR(SMALL(IF(V$1:V$1000="END",ROW(V$1:V$1000)),ROW()-3),"")</f>
        <v/>
      </c>
      <c r="AL699" s="24" t="str">
        <f t="array" ref="AL699">IF(AK699="","",MATCH(AM699,L:L,0))</f>
        <v/>
      </c>
      <c r="AM699" s="35">
        <f t="array" ref="AM699">MAX(IF((B$4:B$1000&lt;=AK699)*(B$4:B$1000&gt;=AJ699),L$4:L$1000, ""))</f>
        <v>0</v>
      </c>
      <c r="AN699" s="32" t="str">
        <f t="shared" si="480"/>
        <v/>
      </c>
      <c r="AO699" s="32" t="str">
        <f t="shared" si="481"/>
        <v/>
      </c>
      <c r="AP699" s="32" t="str">
        <f t="shared" si="482"/>
        <v/>
      </c>
      <c r="AQ699" s="32" t="str">
        <f t="shared" si="483"/>
        <v/>
      </c>
      <c r="AR699" s="32" t="str">
        <f t="shared" si="484"/>
        <v/>
      </c>
      <c r="AS699" s="32" t="str">
        <f t="shared" si="485"/>
        <v/>
      </c>
      <c r="AT699" s="32" t="str">
        <f t="shared" si="486"/>
        <v/>
      </c>
      <c r="AU699" s="34" t="str">
        <f t="shared" si="487"/>
        <v/>
      </c>
      <c r="AV699" s="32" t="str">
        <f t="shared" si="488"/>
        <v/>
      </c>
      <c r="AW699" s="32" t="str">
        <f t="shared" si="489"/>
        <v/>
      </c>
      <c r="AX699" s="32" t="str">
        <f t="shared" si="490"/>
        <v/>
      </c>
      <c r="AY699" s="32" t="str">
        <f t="shared" si="491"/>
        <v/>
      </c>
    </row>
    <row r="700" spans="1:51" x14ac:dyDescent="0.25">
      <c r="A700" s="24" t="str">
        <f t="shared" si="449"/>
        <v/>
      </c>
      <c r="B700" s="24" t="str">
        <f t="shared" si="459"/>
        <v/>
      </c>
      <c r="C700" s="32" t="str">
        <f t="shared" si="450"/>
        <v/>
      </c>
      <c r="D700" s="24" t="str">
        <f t="shared" si="451"/>
        <v/>
      </c>
      <c r="E700" s="24" t="str">
        <f t="shared" si="452"/>
        <v/>
      </c>
      <c r="F700" s="32" t="str">
        <f t="shared" si="453"/>
        <v/>
      </c>
      <c r="G700" s="32" t="str">
        <f t="shared" si="454"/>
        <v/>
      </c>
      <c r="H700" s="32" t="str">
        <f t="shared" ca="1" si="455"/>
        <v/>
      </c>
      <c r="I700" s="32" t="str">
        <f t="shared" ca="1" si="460"/>
        <v/>
      </c>
      <c r="J700" s="32" t="str">
        <f t="shared" si="456"/>
        <v/>
      </c>
      <c r="K700" s="32" t="str">
        <f>IF(ISNUMBER(A700),Profile!$V$25+Profile!$V$24*'Ri-Po'!C700,"")</f>
        <v/>
      </c>
      <c r="L700" s="32" t="str">
        <f t="shared" si="461"/>
        <v/>
      </c>
      <c r="M700" s="32" t="str">
        <f t="shared" si="457"/>
        <v/>
      </c>
      <c r="N700" s="32" t="str">
        <f t="shared" si="458"/>
        <v/>
      </c>
      <c r="O700" s="32" t="str">
        <f t="shared" si="474"/>
        <v/>
      </c>
      <c r="P700" s="32" t="str">
        <f t="shared" si="462"/>
        <v/>
      </c>
      <c r="Q700" s="32" t="str">
        <f t="shared" si="463"/>
        <v/>
      </c>
      <c r="R700" s="32" t="str">
        <f t="shared" si="475"/>
        <v/>
      </c>
      <c r="S700" s="24" t="str">
        <f t="shared" si="476"/>
        <v/>
      </c>
      <c r="T700" s="24" t="str">
        <f t="shared" si="477"/>
        <v/>
      </c>
      <c r="U700" s="24" t="str">
        <f t="shared" si="478"/>
        <v/>
      </c>
      <c r="V700" s="24" t="str">
        <f t="shared" si="479"/>
        <v/>
      </c>
      <c r="W700" s="23" t="str">
        <f t="array" ref="W700">IFERROR(SMALL(IF(S$1:S$1000="BEGIN",ROW(S$1:S$1000)),ROW()-3),"")</f>
        <v/>
      </c>
      <c r="X700" s="23" t="str">
        <f t="array" ref="X700">IFERROR(SMALL(IF(T$1:T$1000="END",ROW(T$1:T$1000)),ROW()-3),"")</f>
        <v/>
      </c>
      <c r="Y700" s="33" t="str">
        <f t="array" ref="Y700">IF(ISNUMBER(W700),MAX(IF((B$4:B$1000&lt;=X700)*(B$4:B$1000&gt;=W700),I$4:I$1000, "")),"")</f>
        <v/>
      </c>
      <c r="Z700" s="33" t="str">
        <f t="shared" si="464"/>
        <v/>
      </c>
      <c r="AA700" s="32" t="str">
        <f t="shared" si="465"/>
        <v/>
      </c>
      <c r="AB700" s="32" t="str">
        <f t="shared" si="466"/>
        <v/>
      </c>
      <c r="AC700" s="32" t="str">
        <f t="shared" si="467"/>
        <v/>
      </c>
      <c r="AD700" s="32" t="str">
        <f t="shared" si="468"/>
        <v/>
      </c>
      <c r="AE700" s="34" t="str">
        <f t="shared" si="469"/>
        <v/>
      </c>
      <c r="AF700" s="32" t="str">
        <f t="shared" si="470"/>
        <v/>
      </c>
      <c r="AG700" s="32" t="str">
        <f t="shared" si="471"/>
        <v/>
      </c>
      <c r="AH700" s="32" t="str">
        <f t="shared" si="472"/>
        <v/>
      </c>
      <c r="AI700" s="35" t="str">
        <f t="shared" si="473"/>
        <v/>
      </c>
      <c r="AJ700" s="23" t="str">
        <f t="array" ref="AJ700">IFERROR(SMALL(IF(U$1:U$1000="BEGIN",ROW(U$1:U$1000)),ROW()-3),"")</f>
        <v/>
      </c>
      <c r="AK700" s="23" t="str">
        <f t="array" ref="AK700">IFERROR(SMALL(IF(V$1:V$1000="END",ROW(V$1:V$1000)),ROW()-3),"")</f>
        <v/>
      </c>
      <c r="AL700" s="24" t="str">
        <f t="array" ref="AL700">IF(AK700="","",MATCH(AM700,L:L,0))</f>
        <v/>
      </c>
      <c r="AM700" s="35">
        <f t="array" ref="AM700">MAX(IF((B$4:B$1000&lt;=AK700)*(B$4:B$1000&gt;=AJ700),L$4:L$1000, ""))</f>
        <v>0</v>
      </c>
      <c r="AN700" s="32" t="str">
        <f t="shared" si="480"/>
        <v/>
      </c>
      <c r="AO700" s="32" t="str">
        <f t="shared" si="481"/>
        <v/>
      </c>
      <c r="AP700" s="32" t="str">
        <f t="shared" si="482"/>
        <v/>
      </c>
      <c r="AQ700" s="32" t="str">
        <f t="shared" si="483"/>
        <v/>
      </c>
      <c r="AR700" s="32" t="str">
        <f t="shared" si="484"/>
        <v/>
      </c>
      <c r="AS700" s="32" t="str">
        <f t="shared" si="485"/>
        <v/>
      </c>
      <c r="AT700" s="32" t="str">
        <f t="shared" si="486"/>
        <v/>
      </c>
      <c r="AU700" s="34" t="str">
        <f t="shared" si="487"/>
        <v/>
      </c>
      <c r="AV700" s="32" t="str">
        <f t="shared" si="488"/>
        <v/>
      </c>
      <c r="AW700" s="32" t="str">
        <f t="shared" si="489"/>
        <v/>
      </c>
      <c r="AX700" s="32" t="str">
        <f t="shared" si="490"/>
        <v/>
      </c>
      <c r="AY700" s="32" t="str">
        <f t="shared" si="491"/>
        <v/>
      </c>
    </row>
    <row r="701" spans="1:51" x14ac:dyDescent="0.25">
      <c r="A701" s="24" t="str">
        <f t="shared" si="449"/>
        <v/>
      </c>
      <c r="B701" s="24" t="str">
        <f t="shared" si="459"/>
        <v/>
      </c>
      <c r="C701" s="32" t="str">
        <f t="shared" si="450"/>
        <v/>
      </c>
      <c r="D701" s="24" t="str">
        <f t="shared" si="451"/>
        <v/>
      </c>
      <c r="E701" s="24" t="str">
        <f t="shared" si="452"/>
        <v/>
      </c>
      <c r="F701" s="32" t="str">
        <f t="shared" si="453"/>
        <v/>
      </c>
      <c r="G701" s="32" t="str">
        <f t="shared" si="454"/>
        <v/>
      </c>
      <c r="H701" s="32" t="str">
        <f t="shared" ca="1" si="455"/>
        <v/>
      </c>
      <c r="I701" s="32" t="str">
        <f t="shared" ca="1" si="460"/>
        <v/>
      </c>
      <c r="J701" s="32" t="str">
        <f t="shared" si="456"/>
        <v/>
      </c>
      <c r="K701" s="32" t="str">
        <f>IF(ISNUMBER(A701),Profile!$V$25+Profile!$V$24*'Ri-Po'!C701,"")</f>
        <v/>
      </c>
      <c r="L701" s="32" t="str">
        <f t="shared" si="461"/>
        <v/>
      </c>
      <c r="M701" s="32" t="str">
        <f t="shared" si="457"/>
        <v/>
      </c>
      <c r="N701" s="32" t="str">
        <f t="shared" si="458"/>
        <v/>
      </c>
      <c r="O701" s="32" t="str">
        <f t="shared" si="474"/>
        <v/>
      </c>
      <c r="P701" s="32" t="str">
        <f t="shared" si="462"/>
        <v/>
      </c>
      <c r="Q701" s="32" t="str">
        <f t="shared" si="463"/>
        <v/>
      </c>
      <c r="R701" s="32" t="str">
        <f t="shared" si="475"/>
        <v/>
      </c>
      <c r="S701" s="24" t="str">
        <f t="shared" si="476"/>
        <v/>
      </c>
      <c r="T701" s="24" t="str">
        <f t="shared" si="477"/>
        <v/>
      </c>
      <c r="U701" s="24" t="str">
        <f t="shared" si="478"/>
        <v/>
      </c>
      <c r="V701" s="24" t="str">
        <f t="shared" si="479"/>
        <v/>
      </c>
      <c r="W701" s="23" t="str">
        <f t="array" ref="W701">IFERROR(SMALL(IF(S$1:S$1000="BEGIN",ROW(S$1:S$1000)),ROW()-3),"")</f>
        <v/>
      </c>
      <c r="X701" s="23" t="str">
        <f t="array" ref="X701">IFERROR(SMALL(IF(T$1:T$1000="END",ROW(T$1:T$1000)),ROW()-3),"")</f>
        <v/>
      </c>
      <c r="Y701" s="33" t="str">
        <f t="array" ref="Y701">IF(ISNUMBER(W701),MAX(IF((B$4:B$1000&lt;=X701)*(B$4:B$1000&gt;=W701),I$4:I$1000, "")),"")</f>
        <v/>
      </c>
      <c r="Z701" s="33" t="str">
        <f t="shared" si="464"/>
        <v/>
      </c>
      <c r="AA701" s="32" t="str">
        <f t="shared" si="465"/>
        <v/>
      </c>
      <c r="AB701" s="32" t="str">
        <f t="shared" si="466"/>
        <v/>
      </c>
      <c r="AC701" s="32" t="str">
        <f t="shared" si="467"/>
        <v/>
      </c>
      <c r="AD701" s="32" t="str">
        <f t="shared" si="468"/>
        <v/>
      </c>
      <c r="AE701" s="34" t="str">
        <f t="shared" si="469"/>
        <v/>
      </c>
      <c r="AF701" s="32" t="str">
        <f t="shared" si="470"/>
        <v/>
      </c>
      <c r="AG701" s="32" t="str">
        <f t="shared" si="471"/>
        <v/>
      </c>
      <c r="AH701" s="32" t="str">
        <f t="shared" si="472"/>
        <v/>
      </c>
      <c r="AI701" s="35" t="str">
        <f t="shared" si="473"/>
        <v/>
      </c>
      <c r="AJ701" s="23" t="str">
        <f t="array" ref="AJ701">IFERROR(SMALL(IF(U$1:U$1000="BEGIN",ROW(U$1:U$1000)),ROW()-3),"")</f>
        <v/>
      </c>
      <c r="AK701" s="23" t="str">
        <f t="array" ref="AK701">IFERROR(SMALL(IF(V$1:V$1000="END",ROW(V$1:V$1000)),ROW()-3),"")</f>
        <v/>
      </c>
      <c r="AL701" s="24" t="str">
        <f t="array" ref="AL701">IF(AK701="","",MATCH(AM701,L:L,0))</f>
        <v/>
      </c>
      <c r="AM701" s="35">
        <f t="array" ref="AM701">MAX(IF((B$4:B$1000&lt;=AK701)*(B$4:B$1000&gt;=AJ701),L$4:L$1000, ""))</f>
        <v>0</v>
      </c>
      <c r="AN701" s="32" t="str">
        <f t="shared" si="480"/>
        <v/>
      </c>
      <c r="AO701" s="32" t="str">
        <f t="shared" si="481"/>
        <v/>
      </c>
      <c r="AP701" s="32" t="str">
        <f t="shared" si="482"/>
        <v/>
      </c>
      <c r="AQ701" s="32" t="str">
        <f t="shared" si="483"/>
        <v/>
      </c>
      <c r="AR701" s="32" t="str">
        <f t="shared" si="484"/>
        <v/>
      </c>
      <c r="AS701" s="32" t="str">
        <f t="shared" si="485"/>
        <v/>
      </c>
      <c r="AT701" s="32" t="str">
        <f t="shared" si="486"/>
        <v/>
      </c>
      <c r="AU701" s="34" t="str">
        <f t="shared" si="487"/>
        <v/>
      </c>
      <c r="AV701" s="32" t="str">
        <f t="shared" si="488"/>
        <v/>
      </c>
      <c r="AW701" s="32" t="str">
        <f t="shared" si="489"/>
        <v/>
      </c>
      <c r="AX701" s="32" t="str">
        <f t="shared" si="490"/>
        <v/>
      </c>
      <c r="AY701" s="32" t="str">
        <f t="shared" si="491"/>
        <v/>
      </c>
    </row>
    <row r="702" spans="1:51" x14ac:dyDescent="0.25">
      <c r="A702" s="24" t="str">
        <f t="shared" si="449"/>
        <v/>
      </c>
      <c r="B702" s="24" t="str">
        <f t="shared" si="459"/>
        <v/>
      </c>
      <c r="C702" s="32" t="str">
        <f t="shared" si="450"/>
        <v/>
      </c>
      <c r="D702" s="24" t="str">
        <f t="shared" si="451"/>
        <v/>
      </c>
      <c r="E702" s="24" t="str">
        <f t="shared" si="452"/>
        <v/>
      </c>
      <c r="F702" s="32" t="str">
        <f t="shared" si="453"/>
        <v/>
      </c>
      <c r="G702" s="32" t="str">
        <f t="shared" si="454"/>
        <v/>
      </c>
      <c r="H702" s="32" t="str">
        <f t="shared" ca="1" si="455"/>
        <v/>
      </c>
      <c r="I702" s="32" t="str">
        <f t="shared" ca="1" si="460"/>
        <v/>
      </c>
      <c r="J702" s="32" t="str">
        <f t="shared" si="456"/>
        <v/>
      </c>
      <c r="K702" s="32" t="str">
        <f>IF(ISNUMBER(A702),Profile!$V$25+Profile!$V$24*'Ri-Po'!C702,"")</f>
        <v/>
      </c>
      <c r="L702" s="32" t="str">
        <f t="shared" si="461"/>
        <v/>
      </c>
      <c r="M702" s="32" t="str">
        <f t="shared" si="457"/>
        <v/>
      </c>
      <c r="N702" s="32" t="str">
        <f t="shared" si="458"/>
        <v/>
      </c>
      <c r="O702" s="32" t="str">
        <f t="shared" si="474"/>
        <v/>
      </c>
      <c r="P702" s="32" t="str">
        <f t="shared" si="462"/>
        <v/>
      </c>
      <c r="Q702" s="32" t="str">
        <f t="shared" si="463"/>
        <v/>
      </c>
      <c r="R702" s="32" t="str">
        <f t="shared" si="475"/>
        <v/>
      </c>
      <c r="S702" s="24" t="str">
        <f t="shared" si="476"/>
        <v/>
      </c>
      <c r="T702" s="24" t="str">
        <f t="shared" si="477"/>
        <v/>
      </c>
      <c r="U702" s="24" t="str">
        <f t="shared" si="478"/>
        <v/>
      </c>
      <c r="V702" s="24" t="str">
        <f t="shared" si="479"/>
        <v/>
      </c>
      <c r="W702" s="23" t="str">
        <f t="array" ref="W702">IFERROR(SMALL(IF(S$1:S$1000="BEGIN",ROW(S$1:S$1000)),ROW()-3),"")</f>
        <v/>
      </c>
      <c r="X702" s="23" t="str">
        <f t="array" ref="X702">IFERROR(SMALL(IF(T$1:T$1000="END",ROW(T$1:T$1000)),ROW()-3),"")</f>
        <v/>
      </c>
      <c r="Y702" s="33" t="str">
        <f t="array" ref="Y702">IF(ISNUMBER(W702),MAX(IF((B$4:B$1000&lt;=X702)*(B$4:B$1000&gt;=W702),I$4:I$1000, "")),"")</f>
        <v/>
      </c>
      <c r="Z702" s="33" t="str">
        <f t="shared" si="464"/>
        <v/>
      </c>
      <c r="AA702" s="32" t="str">
        <f t="shared" si="465"/>
        <v/>
      </c>
      <c r="AB702" s="32" t="str">
        <f t="shared" si="466"/>
        <v/>
      </c>
      <c r="AC702" s="32" t="str">
        <f t="shared" si="467"/>
        <v/>
      </c>
      <c r="AD702" s="32" t="str">
        <f t="shared" si="468"/>
        <v/>
      </c>
      <c r="AE702" s="34" t="str">
        <f t="shared" si="469"/>
        <v/>
      </c>
      <c r="AF702" s="32" t="str">
        <f t="shared" si="470"/>
        <v/>
      </c>
      <c r="AG702" s="32" t="str">
        <f t="shared" si="471"/>
        <v/>
      </c>
      <c r="AH702" s="32" t="str">
        <f t="shared" si="472"/>
        <v/>
      </c>
      <c r="AI702" s="35" t="str">
        <f t="shared" si="473"/>
        <v/>
      </c>
      <c r="AJ702" s="23" t="str">
        <f t="array" ref="AJ702">IFERROR(SMALL(IF(U$1:U$1000="BEGIN",ROW(U$1:U$1000)),ROW()-3),"")</f>
        <v/>
      </c>
      <c r="AK702" s="23" t="str">
        <f t="array" ref="AK702">IFERROR(SMALL(IF(V$1:V$1000="END",ROW(V$1:V$1000)),ROW()-3),"")</f>
        <v/>
      </c>
      <c r="AL702" s="24" t="str">
        <f t="array" ref="AL702">IF(AK702="","",MATCH(AM702,L:L,0))</f>
        <v/>
      </c>
      <c r="AM702" s="35">
        <f t="array" ref="AM702">MAX(IF((B$4:B$1000&lt;=AK702)*(B$4:B$1000&gt;=AJ702),L$4:L$1000, ""))</f>
        <v>0</v>
      </c>
      <c r="AN702" s="32" t="str">
        <f t="shared" si="480"/>
        <v/>
      </c>
      <c r="AO702" s="32" t="str">
        <f t="shared" si="481"/>
        <v/>
      </c>
      <c r="AP702" s="32" t="str">
        <f t="shared" si="482"/>
        <v/>
      </c>
      <c r="AQ702" s="32" t="str">
        <f t="shared" si="483"/>
        <v/>
      </c>
      <c r="AR702" s="32" t="str">
        <f t="shared" si="484"/>
        <v/>
      </c>
      <c r="AS702" s="32" t="str">
        <f t="shared" si="485"/>
        <v/>
      </c>
      <c r="AT702" s="32" t="str">
        <f t="shared" si="486"/>
        <v/>
      </c>
      <c r="AU702" s="34" t="str">
        <f t="shared" si="487"/>
        <v/>
      </c>
      <c r="AV702" s="32" t="str">
        <f t="shared" si="488"/>
        <v/>
      </c>
      <c r="AW702" s="32" t="str">
        <f t="shared" si="489"/>
        <v/>
      </c>
      <c r="AX702" s="32" t="str">
        <f t="shared" si="490"/>
        <v/>
      </c>
      <c r="AY702" s="32" t="str">
        <f t="shared" si="491"/>
        <v/>
      </c>
    </row>
    <row r="703" spans="1:51" x14ac:dyDescent="0.25">
      <c r="A703" s="24" t="str">
        <f t="shared" si="449"/>
        <v/>
      </c>
      <c r="B703" s="24" t="str">
        <f t="shared" si="459"/>
        <v/>
      </c>
      <c r="C703" s="32" t="str">
        <f t="shared" si="450"/>
        <v/>
      </c>
      <c r="D703" s="24" t="str">
        <f t="shared" si="451"/>
        <v/>
      </c>
      <c r="E703" s="24" t="str">
        <f t="shared" si="452"/>
        <v/>
      </c>
      <c r="F703" s="32" t="str">
        <f t="shared" si="453"/>
        <v/>
      </c>
      <c r="G703" s="32" t="str">
        <f t="shared" si="454"/>
        <v/>
      </c>
      <c r="H703" s="32" t="str">
        <f t="shared" ca="1" si="455"/>
        <v/>
      </c>
      <c r="I703" s="32" t="str">
        <f t="shared" ca="1" si="460"/>
        <v/>
      </c>
      <c r="J703" s="32" t="str">
        <f t="shared" si="456"/>
        <v/>
      </c>
      <c r="K703" s="32" t="str">
        <f>IF(ISNUMBER(A703),Profile!$V$25+Profile!$V$24*'Ri-Po'!C703,"")</f>
        <v/>
      </c>
      <c r="L703" s="32" t="str">
        <f t="shared" si="461"/>
        <v/>
      </c>
      <c r="M703" s="32" t="str">
        <f t="shared" si="457"/>
        <v/>
      </c>
      <c r="N703" s="32" t="str">
        <f t="shared" si="458"/>
        <v/>
      </c>
      <c r="O703" s="32" t="str">
        <f t="shared" si="474"/>
        <v/>
      </c>
      <c r="P703" s="32" t="str">
        <f t="shared" si="462"/>
        <v/>
      </c>
      <c r="Q703" s="32" t="str">
        <f t="shared" si="463"/>
        <v/>
      </c>
      <c r="R703" s="32" t="str">
        <f t="shared" si="475"/>
        <v/>
      </c>
      <c r="S703" s="24" t="str">
        <f t="shared" si="476"/>
        <v/>
      </c>
      <c r="T703" s="24" t="str">
        <f t="shared" si="477"/>
        <v/>
      </c>
      <c r="U703" s="24" t="str">
        <f t="shared" si="478"/>
        <v/>
      </c>
      <c r="V703" s="24" t="str">
        <f t="shared" si="479"/>
        <v/>
      </c>
      <c r="W703" s="23" t="str">
        <f t="array" ref="W703">IFERROR(SMALL(IF(S$1:S$1000="BEGIN",ROW(S$1:S$1000)),ROW()-3),"")</f>
        <v/>
      </c>
      <c r="X703" s="23" t="str">
        <f t="array" ref="X703">IFERROR(SMALL(IF(T$1:T$1000="END",ROW(T$1:T$1000)),ROW()-3),"")</f>
        <v/>
      </c>
      <c r="Y703" s="33" t="str">
        <f t="array" ref="Y703">IF(ISNUMBER(W703),MAX(IF((B$4:B$1000&lt;=X703)*(B$4:B$1000&gt;=W703),I$4:I$1000, "")),"")</f>
        <v/>
      </c>
      <c r="Z703" s="33" t="str">
        <f t="shared" si="464"/>
        <v/>
      </c>
      <c r="AA703" s="32" t="str">
        <f t="shared" si="465"/>
        <v/>
      </c>
      <c r="AB703" s="32" t="str">
        <f t="shared" si="466"/>
        <v/>
      </c>
      <c r="AC703" s="32" t="str">
        <f t="shared" si="467"/>
        <v/>
      </c>
      <c r="AD703" s="32" t="str">
        <f t="shared" si="468"/>
        <v/>
      </c>
      <c r="AE703" s="34" t="str">
        <f t="shared" si="469"/>
        <v/>
      </c>
      <c r="AF703" s="32" t="str">
        <f t="shared" si="470"/>
        <v/>
      </c>
      <c r="AG703" s="32" t="str">
        <f t="shared" si="471"/>
        <v/>
      </c>
      <c r="AH703" s="32" t="str">
        <f t="shared" si="472"/>
        <v/>
      </c>
      <c r="AI703" s="35" t="str">
        <f t="shared" si="473"/>
        <v/>
      </c>
      <c r="AJ703" s="23" t="str">
        <f t="array" ref="AJ703">IFERROR(SMALL(IF(U$1:U$1000="BEGIN",ROW(U$1:U$1000)),ROW()-3),"")</f>
        <v/>
      </c>
      <c r="AK703" s="23" t="str">
        <f t="array" ref="AK703">IFERROR(SMALL(IF(V$1:V$1000="END",ROW(V$1:V$1000)),ROW()-3),"")</f>
        <v/>
      </c>
      <c r="AL703" s="24" t="str">
        <f t="array" ref="AL703">IF(AK703="","",MATCH(AM703,L:L,0))</f>
        <v/>
      </c>
      <c r="AM703" s="35">
        <f t="array" ref="AM703">MAX(IF((B$4:B$1000&lt;=AK703)*(B$4:B$1000&gt;=AJ703),L$4:L$1000, ""))</f>
        <v>0</v>
      </c>
      <c r="AN703" s="32" t="str">
        <f t="shared" si="480"/>
        <v/>
      </c>
      <c r="AO703" s="32" t="str">
        <f t="shared" si="481"/>
        <v/>
      </c>
      <c r="AP703" s="32" t="str">
        <f t="shared" si="482"/>
        <v/>
      </c>
      <c r="AQ703" s="32" t="str">
        <f t="shared" si="483"/>
        <v/>
      </c>
      <c r="AR703" s="32" t="str">
        <f t="shared" si="484"/>
        <v/>
      </c>
      <c r="AS703" s="32" t="str">
        <f t="shared" si="485"/>
        <v/>
      </c>
      <c r="AT703" s="32" t="str">
        <f t="shared" si="486"/>
        <v/>
      </c>
      <c r="AU703" s="34" t="str">
        <f t="shared" si="487"/>
        <v/>
      </c>
      <c r="AV703" s="32" t="str">
        <f t="shared" si="488"/>
        <v/>
      </c>
      <c r="AW703" s="32" t="str">
        <f t="shared" si="489"/>
        <v/>
      </c>
      <c r="AX703" s="32" t="str">
        <f t="shared" si="490"/>
        <v/>
      </c>
      <c r="AY703" s="32" t="str">
        <f t="shared" si="491"/>
        <v/>
      </c>
    </row>
    <row r="704" spans="1:51" x14ac:dyDescent="0.25">
      <c r="A704" s="24" t="str">
        <f t="shared" si="449"/>
        <v/>
      </c>
      <c r="B704" s="24" t="str">
        <f t="shared" si="459"/>
        <v/>
      </c>
      <c r="C704" s="32" t="str">
        <f t="shared" si="450"/>
        <v/>
      </c>
      <c r="D704" s="24" t="str">
        <f t="shared" si="451"/>
        <v/>
      </c>
      <c r="E704" s="24" t="str">
        <f t="shared" si="452"/>
        <v/>
      </c>
      <c r="F704" s="32" t="str">
        <f t="shared" si="453"/>
        <v/>
      </c>
      <c r="G704" s="32" t="str">
        <f t="shared" si="454"/>
        <v/>
      </c>
      <c r="H704" s="32" t="str">
        <f t="shared" ca="1" si="455"/>
        <v/>
      </c>
      <c r="I704" s="32" t="str">
        <f t="shared" ca="1" si="460"/>
        <v/>
      </c>
      <c r="J704" s="32" t="str">
        <f t="shared" si="456"/>
        <v/>
      </c>
      <c r="K704" s="32" t="str">
        <f>IF(ISNUMBER(A704),Profile!$V$25+Profile!$V$24*'Ri-Po'!C704,"")</f>
        <v/>
      </c>
      <c r="L704" s="32" t="str">
        <f t="shared" si="461"/>
        <v/>
      </c>
      <c r="M704" s="32" t="str">
        <f t="shared" si="457"/>
        <v/>
      </c>
      <c r="N704" s="32" t="str">
        <f t="shared" si="458"/>
        <v/>
      </c>
      <c r="O704" s="32" t="str">
        <f t="shared" si="474"/>
        <v/>
      </c>
      <c r="P704" s="32" t="str">
        <f t="shared" si="462"/>
        <v/>
      </c>
      <c r="Q704" s="32" t="str">
        <f t="shared" si="463"/>
        <v/>
      </c>
      <c r="R704" s="32" t="str">
        <f t="shared" si="475"/>
        <v/>
      </c>
      <c r="S704" s="24" t="str">
        <f t="shared" si="476"/>
        <v/>
      </c>
      <c r="T704" s="24" t="str">
        <f t="shared" si="477"/>
        <v/>
      </c>
      <c r="U704" s="24" t="str">
        <f t="shared" si="478"/>
        <v/>
      </c>
      <c r="V704" s="24" t="str">
        <f t="shared" si="479"/>
        <v/>
      </c>
      <c r="W704" s="23" t="str">
        <f t="array" ref="W704">IFERROR(SMALL(IF(S$1:S$1000="BEGIN",ROW(S$1:S$1000)),ROW()-3),"")</f>
        <v/>
      </c>
      <c r="X704" s="23" t="str">
        <f t="array" ref="X704">IFERROR(SMALL(IF(T$1:T$1000="END",ROW(T$1:T$1000)),ROW()-3),"")</f>
        <v/>
      </c>
      <c r="Y704" s="33" t="str">
        <f t="array" ref="Y704">IF(ISNUMBER(W704),MAX(IF((B$4:B$1000&lt;=X704)*(B$4:B$1000&gt;=W704),I$4:I$1000, "")),"")</f>
        <v/>
      </c>
      <c r="Z704" s="33" t="str">
        <f t="shared" si="464"/>
        <v/>
      </c>
      <c r="AA704" s="32" t="str">
        <f t="shared" si="465"/>
        <v/>
      </c>
      <c r="AB704" s="32" t="str">
        <f t="shared" si="466"/>
        <v/>
      </c>
      <c r="AC704" s="32" t="str">
        <f t="shared" si="467"/>
        <v/>
      </c>
      <c r="AD704" s="32" t="str">
        <f t="shared" si="468"/>
        <v/>
      </c>
      <c r="AE704" s="34" t="str">
        <f t="shared" si="469"/>
        <v/>
      </c>
      <c r="AF704" s="32" t="str">
        <f t="shared" si="470"/>
        <v/>
      </c>
      <c r="AG704" s="32" t="str">
        <f t="shared" si="471"/>
        <v/>
      </c>
      <c r="AH704" s="32" t="str">
        <f t="shared" si="472"/>
        <v/>
      </c>
      <c r="AI704" s="35" t="str">
        <f t="shared" si="473"/>
        <v/>
      </c>
      <c r="AJ704" s="23" t="str">
        <f t="array" ref="AJ704">IFERROR(SMALL(IF(U$1:U$1000="BEGIN",ROW(U$1:U$1000)),ROW()-3),"")</f>
        <v/>
      </c>
      <c r="AK704" s="23" t="str">
        <f t="array" ref="AK704">IFERROR(SMALL(IF(V$1:V$1000="END",ROW(V$1:V$1000)),ROW()-3),"")</f>
        <v/>
      </c>
      <c r="AL704" s="24" t="str">
        <f t="array" ref="AL704">IF(AK704="","",MATCH(AM704,L:L,0))</f>
        <v/>
      </c>
      <c r="AM704" s="35">
        <f t="array" ref="AM704">MAX(IF((B$4:B$1000&lt;=AK704)*(B$4:B$1000&gt;=AJ704),L$4:L$1000, ""))</f>
        <v>0</v>
      </c>
      <c r="AN704" s="32" t="str">
        <f t="shared" si="480"/>
        <v/>
      </c>
      <c r="AO704" s="32" t="str">
        <f t="shared" si="481"/>
        <v/>
      </c>
      <c r="AP704" s="32" t="str">
        <f t="shared" si="482"/>
        <v/>
      </c>
      <c r="AQ704" s="32" t="str">
        <f t="shared" si="483"/>
        <v/>
      </c>
      <c r="AR704" s="32" t="str">
        <f t="shared" si="484"/>
        <v/>
      </c>
      <c r="AS704" s="32" t="str">
        <f t="shared" si="485"/>
        <v/>
      </c>
      <c r="AT704" s="32" t="str">
        <f t="shared" si="486"/>
        <v/>
      </c>
      <c r="AU704" s="34" t="str">
        <f t="shared" si="487"/>
        <v/>
      </c>
      <c r="AV704" s="32" t="str">
        <f t="shared" si="488"/>
        <v/>
      </c>
      <c r="AW704" s="32" t="str">
        <f t="shared" si="489"/>
        <v/>
      </c>
      <c r="AX704" s="32" t="str">
        <f t="shared" si="490"/>
        <v/>
      </c>
      <c r="AY704" s="32" t="str">
        <f t="shared" si="491"/>
        <v/>
      </c>
    </row>
    <row r="705" spans="1:51" x14ac:dyDescent="0.25">
      <c r="A705" s="24" t="str">
        <f t="shared" si="449"/>
        <v/>
      </c>
      <c r="B705" s="24" t="str">
        <f t="shared" si="459"/>
        <v/>
      </c>
      <c r="C705" s="32" t="str">
        <f t="shared" si="450"/>
        <v/>
      </c>
      <c r="D705" s="24" t="str">
        <f t="shared" si="451"/>
        <v/>
      </c>
      <c r="E705" s="24" t="str">
        <f t="shared" si="452"/>
        <v/>
      </c>
      <c r="F705" s="32" t="str">
        <f t="shared" si="453"/>
        <v/>
      </c>
      <c r="G705" s="32" t="str">
        <f t="shared" si="454"/>
        <v/>
      </c>
      <c r="H705" s="32" t="str">
        <f t="shared" ca="1" si="455"/>
        <v/>
      </c>
      <c r="I705" s="32" t="str">
        <f t="shared" ca="1" si="460"/>
        <v/>
      </c>
      <c r="J705" s="32" t="str">
        <f t="shared" si="456"/>
        <v/>
      </c>
      <c r="K705" s="32" t="str">
        <f>IF(ISNUMBER(A705),Profile!$V$25+Profile!$V$24*'Ri-Po'!C705,"")</f>
        <v/>
      </c>
      <c r="L705" s="32" t="str">
        <f t="shared" si="461"/>
        <v/>
      </c>
      <c r="M705" s="32" t="str">
        <f t="shared" si="457"/>
        <v/>
      </c>
      <c r="N705" s="32" t="str">
        <f t="shared" si="458"/>
        <v/>
      </c>
      <c r="O705" s="32" t="str">
        <f t="shared" si="474"/>
        <v/>
      </c>
      <c r="P705" s="32" t="str">
        <f t="shared" si="462"/>
        <v/>
      </c>
      <c r="Q705" s="32" t="str">
        <f t="shared" si="463"/>
        <v/>
      </c>
      <c r="R705" s="32" t="str">
        <f t="shared" si="475"/>
        <v/>
      </c>
      <c r="S705" s="24" t="str">
        <f t="shared" si="476"/>
        <v/>
      </c>
      <c r="T705" s="24" t="str">
        <f t="shared" si="477"/>
        <v/>
      </c>
      <c r="U705" s="24" t="str">
        <f t="shared" si="478"/>
        <v/>
      </c>
      <c r="V705" s="24" t="str">
        <f t="shared" si="479"/>
        <v/>
      </c>
      <c r="W705" s="23" t="str">
        <f t="array" ref="W705">IFERROR(SMALL(IF(S$1:S$1000="BEGIN",ROW(S$1:S$1000)),ROW()-3),"")</f>
        <v/>
      </c>
      <c r="X705" s="23" t="str">
        <f t="array" ref="X705">IFERROR(SMALL(IF(T$1:T$1000="END",ROW(T$1:T$1000)),ROW()-3),"")</f>
        <v/>
      </c>
      <c r="Y705" s="33" t="str">
        <f t="array" ref="Y705">IF(ISNUMBER(W705),MAX(IF((B$4:B$1000&lt;=X705)*(B$4:B$1000&gt;=W705),I$4:I$1000, "")),"")</f>
        <v/>
      </c>
      <c r="Z705" s="33" t="str">
        <f t="shared" si="464"/>
        <v/>
      </c>
      <c r="AA705" s="32" t="str">
        <f t="shared" si="465"/>
        <v/>
      </c>
      <c r="AB705" s="32" t="str">
        <f t="shared" si="466"/>
        <v/>
      </c>
      <c r="AC705" s="32" t="str">
        <f t="shared" si="467"/>
        <v/>
      </c>
      <c r="AD705" s="32" t="str">
        <f t="shared" si="468"/>
        <v/>
      </c>
      <c r="AE705" s="34" t="str">
        <f t="shared" si="469"/>
        <v/>
      </c>
      <c r="AF705" s="32" t="str">
        <f t="shared" si="470"/>
        <v/>
      </c>
      <c r="AG705" s="32" t="str">
        <f t="shared" si="471"/>
        <v/>
      </c>
      <c r="AH705" s="32" t="str">
        <f t="shared" si="472"/>
        <v/>
      </c>
      <c r="AI705" s="35" t="str">
        <f t="shared" si="473"/>
        <v/>
      </c>
      <c r="AJ705" s="23" t="str">
        <f t="array" ref="AJ705">IFERROR(SMALL(IF(U$1:U$1000="BEGIN",ROW(U$1:U$1000)),ROW()-3),"")</f>
        <v/>
      </c>
      <c r="AK705" s="23" t="str">
        <f t="array" ref="AK705">IFERROR(SMALL(IF(V$1:V$1000="END",ROW(V$1:V$1000)),ROW()-3),"")</f>
        <v/>
      </c>
      <c r="AL705" s="24" t="str">
        <f t="array" ref="AL705">IF(AK705="","",MATCH(AM705,L:L,0))</f>
        <v/>
      </c>
      <c r="AM705" s="35">
        <f t="array" ref="AM705">MAX(IF((B$4:B$1000&lt;=AK705)*(B$4:B$1000&gt;=AJ705),L$4:L$1000, ""))</f>
        <v>0</v>
      </c>
      <c r="AN705" s="32" t="str">
        <f t="shared" si="480"/>
        <v/>
      </c>
      <c r="AO705" s="32" t="str">
        <f t="shared" si="481"/>
        <v/>
      </c>
      <c r="AP705" s="32" t="str">
        <f t="shared" si="482"/>
        <v/>
      </c>
      <c r="AQ705" s="32" t="str">
        <f t="shared" si="483"/>
        <v/>
      </c>
      <c r="AR705" s="32" t="str">
        <f t="shared" si="484"/>
        <v/>
      </c>
      <c r="AS705" s="32" t="str">
        <f t="shared" si="485"/>
        <v/>
      </c>
      <c r="AT705" s="32" t="str">
        <f t="shared" si="486"/>
        <v/>
      </c>
      <c r="AU705" s="34" t="str">
        <f t="shared" si="487"/>
        <v/>
      </c>
      <c r="AV705" s="32" t="str">
        <f t="shared" si="488"/>
        <v/>
      </c>
      <c r="AW705" s="32" t="str">
        <f t="shared" si="489"/>
        <v/>
      </c>
      <c r="AX705" s="32" t="str">
        <f t="shared" si="490"/>
        <v/>
      </c>
      <c r="AY705" s="32" t="str">
        <f t="shared" si="491"/>
        <v/>
      </c>
    </row>
    <row r="706" spans="1:51" x14ac:dyDescent="0.25">
      <c r="A706" s="24" t="str">
        <f t="shared" si="449"/>
        <v/>
      </c>
      <c r="B706" s="24" t="str">
        <f t="shared" si="459"/>
        <v/>
      </c>
      <c r="C706" s="32" t="str">
        <f t="shared" si="450"/>
        <v/>
      </c>
      <c r="D706" s="24" t="str">
        <f t="shared" si="451"/>
        <v/>
      </c>
      <c r="E706" s="24" t="str">
        <f t="shared" si="452"/>
        <v/>
      </c>
      <c r="F706" s="32" t="str">
        <f t="shared" si="453"/>
        <v/>
      </c>
      <c r="G706" s="32" t="str">
        <f t="shared" si="454"/>
        <v/>
      </c>
      <c r="H706" s="32" t="str">
        <f t="shared" ca="1" si="455"/>
        <v/>
      </c>
      <c r="I706" s="32" t="str">
        <f t="shared" ca="1" si="460"/>
        <v/>
      </c>
      <c r="J706" s="32" t="str">
        <f t="shared" si="456"/>
        <v/>
      </c>
      <c r="K706" s="32" t="str">
        <f>IF(ISNUMBER(A706),Profile!$V$25+Profile!$V$24*'Ri-Po'!C706,"")</f>
        <v/>
      </c>
      <c r="L706" s="32" t="str">
        <f t="shared" si="461"/>
        <v/>
      </c>
      <c r="M706" s="32" t="str">
        <f t="shared" si="457"/>
        <v/>
      </c>
      <c r="N706" s="32" t="str">
        <f t="shared" si="458"/>
        <v/>
      </c>
      <c r="O706" s="32" t="str">
        <f t="shared" si="474"/>
        <v/>
      </c>
      <c r="P706" s="32" t="str">
        <f t="shared" si="462"/>
        <v/>
      </c>
      <c r="Q706" s="32" t="str">
        <f t="shared" si="463"/>
        <v/>
      </c>
      <c r="R706" s="32" t="str">
        <f t="shared" si="475"/>
        <v/>
      </c>
      <c r="S706" s="24" t="str">
        <f t="shared" si="476"/>
        <v/>
      </c>
      <c r="T706" s="24" t="str">
        <f t="shared" si="477"/>
        <v/>
      </c>
      <c r="U706" s="24" t="str">
        <f t="shared" si="478"/>
        <v/>
      </c>
      <c r="V706" s="24" t="str">
        <f t="shared" si="479"/>
        <v/>
      </c>
      <c r="W706" s="23" t="str">
        <f t="array" ref="W706">IFERROR(SMALL(IF(S$1:S$1000="BEGIN",ROW(S$1:S$1000)),ROW()-3),"")</f>
        <v/>
      </c>
      <c r="X706" s="23" t="str">
        <f t="array" ref="X706">IFERROR(SMALL(IF(T$1:T$1000="END",ROW(T$1:T$1000)),ROW()-3),"")</f>
        <v/>
      </c>
      <c r="Y706" s="33" t="str">
        <f t="array" ref="Y706">IF(ISNUMBER(W706),MAX(IF((B$4:B$1000&lt;=X706)*(B$4:B$1000&gt;=W706),I$4:I$1000, "")),"")</f>
        <v/>
      </c>
      <c r="Z706" s="33" t="str">
        <f t="shared" si="464"/>
        <v/>
      </c>
      <c r="AA706" s="32" t="str">
        <f t="shared" si="465"/>
        <v/>
      </c>
      <c r="AB706" s="32" t="str">
        <f t="shared" si="466"/>
        <v/>
      </c>
      <c r="AC706" s="32" t="str">
        <f t="shared" si="467"/>
        <v/>
      </c>
      <c r="AD706" s="32" t="str">
        <f t="shared" si="468"/>
        <v/>
      </c>
      <c r="AE706" s="34" t="str">
        <f t="shared" si="469"/>
        <v/>
      </c>
      <c r="AF706" s="32" t="str">
        <f t="shared" si="470"/>
        <v/>
      </c>
      <c r="AG706" s="32" t="str">
        <f t="shared" si="471"/>
        <v/>
      </c>
      <c r="AH706" s="32" t="str">
        <f t="shared" si="472"/>
        <v/>
      </c>
      <c r="AI706" s="35" t="str">
        <f t="shared" si="473"/>
        <v/>
      </c>
      <c r="AJ706" s="23" t="str">
        <f t="array" ref="AJ706">IFERROR(SMALL(IF(U$1:U$1000="BEGIN",ROW(U$1:U$1000)),ROW()-3),"")</f>
        <v/>
      </c>
      <c r="AK706" s="23" t="str">
        <f t="array" ref="AK706">IFERROR(SMALL(IF(V$1:V$1000="END",ROW(V$1:V$1000)),ROW()-3),"")</f>
        <v/>
      </c>
      <c r="AL706" s="24" t="str">
        <f t="array" ref="AL706">IF(AK706="","",MATCH(AM706,L:L,0))</f>
        <v/>
      </c>
      <c r="AM706" s="35">
        <f t="array" ref="AM706">MAX(IF((B$4:B$1000&lt;=AK706)*(B$4:B$1000&gt;=AJ706),L$4:L$1000, ""))</f>
        <v>0</v>
      </c>
      <c r="AN706" s="32" t="str">
        <f t="shared" si="480"/>
        <v/>
      </c>
      <c r="AO706" s="32" t="str">
        <f t="shared" si="481"/>
        <v/>
      </c>
      <c r="AP706" s="32" t="str">
        <f t="shared" si="482"/>
        <v/>
      </c>
      <c r="AQ706" s="32" t="str">
        <f t="shared" si="483"/>
        <v/>
      </c>
      <c r="AR706" s="32" t="str">
        <f t="shared" si="484"/>
        <v/>
      </c>
      <c r="AS706" s="32" t="str">
        <f t="shared" si="485"/>
        <v/>
      </c>
      <c r="AT706" s="32" t="str">
        <f t="shared" si="486"/>
        <v/>
      </c>
      <c r="AU706" s="34" t="str">
        <f t="shared" si="487"/>
        <v/>
      </c>
      <c r="AV706" s="32" t="str">
        <f t="shared" si="488"/>
        <v/>
      </c>
      <c r="AW706" s="32" t="str">
        <f t="shared" si="489"/>
        <v/>
      </c>
      <c r="AX706" s="32" t="str">
        <f t="shared" si="490"/>
        <v/>
      </c>
      <c r="AY706" s="32" t="str">
        <f t="shared" si="491"/>
        <v/>
      </c>
    </row>
    <row r="707" spans="1:51" x14ac:dyDescent="0.25">
      <c r="A707" s="24" t="str">
        <f t="shared" si="449"/>
        <v/>
      </c>
      <c r="B707" s="24" t="str">
        <f t="shared" si="459"/>
        <v/>
      </c>
      <c r="C707" s="32" t="str">
        <f t="shared" si="450"/>
        <v/>
      </c>
      <c r="D707" s="24" t="str">
        <f t="shared" si="451"/>
        <v/>
      </c>
      <c r="E707" s="24" t="str">
        <f t="shared" si="452"/>
        <v/>
      </c>
      <c r="F707" s="32" t="str">
        <f t="shared" si="453"/>
        <v/>
      </c>
      <c r="G707" s="32" t="str">
        <f t="shared" si="454"/>
        <v/>
      </c>
      <c r="H707" s="32" t="str">
        <f t="shared" ca="1" si="455"/>
        <v/>
      </c>
      <c r="I707" s="32" t="str">
        <f t="shared" ca="1" si="460"/>
        <v/>
      </c>
      <c r="J707" s="32" t="str">
        <f t="shared" si="456"/>
        <v/>
      </c>
      <c r="K707" s="32" t="str">
        <f>IF(ISNUMBER(A707),Profile!$V$25+Profile!$V$24*'Ri-Po'!C707,"")</f>
        <v/>
      </c>
      <c r="L707" s="32" t="str">
        <f t="shared" si="461"/>
        <v/>
      </c>
      <c r="M707" s="32" t="str">
        <f t="shared" si="457"/>
        <v/>
      </c>
      <c r="N707" s="32" t="str">
        <f t="shared" si="458"/>
        <v/>
      </c>
      <c r="O707" s="32" t="str">
        <f t="shared" si="474"/>
        <v/>
      </c>
      <c r="P707" s="32" t="str">
        <f t="shared" si="462"/>
        <v/>
      </c>
      <c r="Q707" s="32" t="str">
        <f t="shared" si="463"/>
        <v/>
      </c>
      <c r="R707" s="32" t="str">
        <f t="shared" si="475"/>
        <v/>
      </c>
      <c r="S707" s="24" t="str">
        <f t="shared" si="476"/>
        <v/>
      </c>
      <c r="T707" s="24" t="str">
        <f t="shared" si="477"/>
        <v/>
      </c>
      <c r="U707" s="24" t="str">
        <f t="shared" si="478"/>
        <v/>
      </c>
      <c r="V707" s="24" t="str">
        <f t="shared" si="479"/>
        <v/>
      </c>
      <c r="W707" s="23" t="str">
        <f t="array" ref="W707">IFERROR(SMALL(IF(S$1:S$1000="BEGIN",ROW(S$1:S$1000)),ROW()-3),"")</f>
        <v/>
      </c>
      <c r="X707" s="23" t="str">
        <f t="array" ref="X707">IFERROR(SMALL(IF(T$1:T$1000="END",ROW(T$1:T$1000)),ROW()-3),"")</f>
        <v/>
      </c>
      <c r="Y707" s="33" t="str">
        <f t="array" ref="Y707">IF(ISNUMBER(W707),MAX(IF((B$4:B$1000&lt;=X707)*(B$4:B$1000&gt;=W707),I$4:I$1000, "")),"")</f>
        <v/>
      </c>
      <c r="Z707" s="33" t="str">
        <f t="shared" si="464"/>
        <v/>
      </c>
      <c r="AA707" s="32" t="str">
        <f t="shared" si="465"/>
        <v/>
      </c>
      <c r="AB707" s="32" t="str">
        <f t="shared" si="466"/>
        <v/>
      </c>
      <c r="AC707" s="32" t="str">
        <f t="shared" si="467"/>
        <v/>
      </c>
      <c r="AD707" s="32" t="str">
        <f t="shared" si="468"/>
        <v/>
      </c>
      <c r="AE707" s="34" t="str">
        <f t="shared" si="469"/>
        <v/>
      </c>
      <c r="AF707" s="32" t="str">
        <f t="shared" si="470"/>
        <v/>
      </c>
      <c r="AG707" s="32" t="str">
        <f t="shared" si="471"/>
        <v/>
      </c>
      <c r="AH707" s="32" t="str">
        <f t="shared" si="472"/>
        <v/>
      </c>
      <c r="AI707" s="35" t="str">
        <f t="shared" si="473"/>
        <v/>
      </c>
      <c r="AJ707" s="23" t="str">
        <f t="array" ref="AJ707">IFERROR(SMALL(IF(U$1:U$1000="BEGIN",ROW(U$1:U$1000)),ROW()-3),"")</f>
        <v/>
      </c>
      <c r="AK707" s="23" t="str">
        <f t="array" ref="AK707">IFERROR(SMALL(IF(V$1:V$1000="END",ROW(V$1:V$1000)),ROW()-3),"")</f>
        <v/>
      </c>
      <c r="AL707" s="24" t="str">
        <f t="array" ref="AL707">IF(AK707="","",MATCH(AM707,L:L,0))</f>
        <v/>
      </c>
      <c r="AM707" s="35">
        <f t="array" ref="AM707">MAX(IF((B$4:B$1000&lt;=AK707)*(B$4:B$1000&gt;=AJ707),L$4:L$1000, ""))</f>
        <v>0</v>
      </c>
      <c r="AN707" s="32" t="str">
        <f t="shared" si="480"/>
        <v/>
      </c>
      <c r="AO707" s="32" t="str">
        <f t="shared" si="481"/>
        <v/>
      </c>
      <c r="AP707" s="32" t="str">
        <f t="shared" si="482"/>
        <v/>
      </c>
      <c r="AQ707" s="32" t="str">
        <f t="shared" si="483"/>
        <v/>
      </c>
      <c r="AR707" s="32" t="str">
        <f t="shared" si="484"/>
        <v/>
      </c>
      <c r="AS707" s="32" t="str">
        <f t="shared" si="485"/>
        <v/>
      </c>
      <c r="AT707" s="32" t="str">
        <f t="shared" si="486"/>
        <v/>
      </c>
      <c r="AU707" s="34" t="str">
        <f t="shared" si="487"/>
        <v/>
      </c>
      <c r="AV707" s="32" t="str">
        <f t="shared" si="488"/>
        <v/>
      </c>
      <c r="AW707" s="32" t="str">
        <f t="shared" si="489"/>
        <v/>
      </c>
      <c r="AX707" s="32" t="str">
        <f t="shared" si="490"/>
        <v/>
      </c>
      <c r="AY707" s="32" t="str">
        <f t="shared" si="491"/>
        <v/>
      </c>
    </row>
    <row r="708" spans="1:51" x14ac:dyDescent="0.25">
      <c r="A708" s="24" t="str">
        <f t="shared" ref="A708:A771" si="492">IF(NOT(ISBLANK(INDEX(currentNUM,ROW(A705)))),INDEX(currentNUM,ROW(A705)),"")</f>
        <v/>
      </c>
      <c r="B708" s="24" t="str">
        <f t="shared" si="459"/>
        <v/>
      </c>
      <c r="C708" s="32" t="str">
        <f t="shared" ref="C708:C771" si="493">IF(NOT(A708=""),INDEX(currentSTATION,ROW(C705)),"")</f>
        <v/>
      </c>
      <c r="D708" s="24" t="str">
        <f t="shared" ref="D708:D771" si="494">IF(NOT(ISBLANK(INDEX(currentDESC,ROW(D705)))),INDEX(currentDESC,ROW(D705)),"")</f>
        <v/>
      </c>
      <c r="E708" s="24" t="str">
        <f t="shared" ref="E708:E771" si="495">IF(NOT(ISBLANK(INDEX(currentCMORPH,ROW(E705)))),INDEX(currentCMORPH,ROW(E705)),"")</f>
        <v/>
      </c>
      <c r="F708" s="32" t="str">
        <f t="shared" ref="F708:F771" si="496">IF(NOT(ISBLANK(INDEX(currentTHW,ROW(F705)))),INDEX(currentTHW,ROW(F705)),"")</f>
        <v/>
      </c>
      <c r="G708" s="32" t="str">
        <f t="shared" ref="G708:G771" si="497">IF(NOT(ISBLANK(INDEX(currentWS,ROW(G705)))),INDEX(currentWS,ROW(G705)),"")</f>
        <v/>
      </c>
      <c r="H708" s="32" t="str">
        <f t="shared" ref="H708:H771" ca="1" si="498">IF(NOT(OR(ISBLANK(INDEX(currentINTERPWS,ROW(H705))),INDEX(currentINTERPWS,ROW(H705))=0)),INDEX(currentINTERPWS,ROW(H705)),"")</f>
        <v/>
      </c>
      <c r="I708" s="32" t="str">
        <f t="shared" ca="1" si="460"/>
        <v/>
      </c>
      <c r="J708" s="32" t="str">
        <f t="shared" ref="J708:J771" si="499">IF(NOT(ISBLANK(INDEX(currentBKF,ROW(G705)))),INDEX(currentBKF,ROW(G705)),"")</f>
        <v/>
      </c>
      <c r="K708" s="32" t="str">
        <f>IF(ISNUMBER(A708),Profile!$V$25+Profile!$V$24*'Ri-Po'!C708,"")</f>
        <v/>
      </c>
      <c r="L708" s="32" t="str">
        <f t="shared" si="461"/>
        <v/>
      </c>
      <c r="M708" s="32" t="str">
        <f t="shared" ref="M708:M771" si="500">IF(NOT(ISBLANK(INDEX(currentTOB,ROW(H705)))),INDEX(currentTOB,ROW(H705)),"")</f>
        <v/>
      </c>
      <c r="N708" s="32" t="str">
        <f t="shared" ref="N708:N771" si="501">IF(ISNUMBER(A708),INDEX(currentINTTOB,ROW(I705)),"")</f>
        <v/>
      </c>
      <c r="O708" s="32" t="str">
        <f t="shared" si="474"/>
        <v/>
      </c>
      <c r="P708" s="32" t="str">
        <f t="shared" si="462"/>
        <v/>
      </c>
      <c r="Q708" s="32" t="str">
        <f t="shared" si="463"/>
        <v/>
      </c>
      <c r="R708" s="32" t="str">
        <f t="shared" si="475"/>
        <v/>
      </c>
      <c r="S708" s="24" t="str">
        <f t="shared" si="476"/>
        <v/>
      </c>
      <c r="T708" s="24" t="str">
        <f t="shared" si="477"/>
        <v/>
      </c>
      <c r="U708" s="24" t="str">
        <f t="shared" si="478"/>
        <v/>
      </c>
      <c r="V708" s="24" t="str">
        <f t="shared" si="479"/>
        <v/>
      </c>
      <c r="W708" s="23" t="str">
        <f t="array" ref="W708">IFERROR(SMALL(IF(S$1:S$1000="BEGIN",ROW(S$1:S$1000)),ROW()-3),"")</f>
        <v/>
      </c>
      <c r="X708" s="23" t="str">
        <f t="array" ref="X708">IFERROR(SMALL(IF(T$1:T$1000="END",ROW(T$1:T$1000)),ROW()-3),"")</f>
        <v/>
      </c>
      <c r="Y708" s="33" t="str">
        <f t="array" ref="Y708">IF(ISNUMBER(W708),MAX(IF((B$4:B$1000&lt;=X708)*(B$4:B$1000&gt;=W708),I$4:I$1000, "")),"")</f>
        <v/>
      </c>
      <c r="Z708" s="33" t="str">
        <f t="shared" si="464"/>
        <v/>
      </c>
      <c r="AA708" s="32" t="str">
        <f t="shared" si="465"/>
        <v/>
      </c>
      <c r="AB708" s="32" t="str">
        <f t="shared" si="466"/>
        <v/>
      </c>
      <c r="AC708" s="32" t="str">
        <f t="shared" si="467"/>
        <v/>
      </c>
      <c r="AD708" s="32" t="str">
        <f t="shared" si="468"/>
        <v/>
      </c>
      <c r="AE708" s="34" t="str">
        <f t="shared" si="469"/>
        <v/>
      </c>
      <c r="AF708" s="32" t="str">
        <f t="shared" si="470"/>
        <v/>
      </c>
      <c r="AG708" s="32" t="str">
        <f t="shared" si="471"/>
        <v/>
      </c>
      <c r="AH708" s="32" t="str">
        <f t="shared" si="472"/>
        <v/>
      </c>
      <c r="AI708" s="35" t="str">
        <f t="shared" si="473"/>
        <v/>
      </c>
      <c r="AJ708" s="23" t="str">
        <f t="array" ref="AJ708">IFERROR(SMALL(IF(U$1:U$1000="BEGIN",ROW(U$1:U$1000)),ROW()-3),"")</f>
        <v/>
      </c>
      <c r="AK708" s="23" t="str">
        <f t="array" ref="AK708">IFERROR(SMALL(IF(V$1:V$1000="END",ROW(V$1:V$1000)),ROW()-3),"")</f>
        <v/>
      </c>
      <c r="AL708" s="24" t="str">
        <f t="array" ref="AL708">IF(AK708="","",MATCH(AM708,L:L,0))</f>
        <v/>
      </c>
      <c r="AM708" s="35">
        <f t="array" ref="AM708">MAX(IF((B$4:B$1000&lt;=AK708)*(B$4:B$1000&gt;=AJ708),L$4:L$1000, ""))</f>
        <v>0</v>
      </c>
      <c r="AN708" s="32" t="str">
        <f t="shared" si="480"/>
        <v/>
      </c>
      <c r="AO708" s="32" t="str">
        <f t="shared" si="481"/>
        <v/>
      </c>
      <c r="AP708" s="32" t="str">
        <f t="shared" si="482"/>
        <v/>
      </c>
      <c r="AQ708" s="32" t="str">
        <f t="shared" si="483"/>
        <v/>
      </c>
      <c r="AR708" s="32" t="str">
        <f t="shared" si="484"/>
        <v/>
      </c>
      <c r="AS708" s="32" t="str">
        <f t="shared" si="485"/>
        <v/>
      </c>
      <c r="AT708" s="32" t="str">
        <f t="shared" si="486"/>
        <v/>
      </c>
      <c r="AU708" s="34" t="str">
        <f t="shared" si="487"/>
        <v/>
      </c>
      <c r="AV708" s="32" t="str">
        <f t="shared" si="488"/>
        <v/>
      </c>
      <c r="AW708" s="32" t="str">
        <f t="shared" si="489"/>
        <v/>
      </c>
      <c r="AX708" s="32" t="str">
        <f t="shared" si="490"/>
        <v/>
      </c>
      <c r="AY708" s="32" t="str">
        <f t="shared" si="491"/>
        <v/>
      </c>
    </row>
    <row r="709" spans="1:51" x14ac:dyDescent="0.25">
      <c r="A709" s="24" t="str">
        <f t="shared" si="492"/>
        <v/>
      </c>
      <c r="B709" s="24" t="str">
        <f t="shared" ref="B709:B772" si="502">IF(NOT(A709=""),ROW(B709),"")</f>
        <v/>
      </c>
      <c r="C709" s="32" t="str">
        <f t="shared" si="493"/>
        <v/>
      </c>
      <c r="D709" s="24" t="str">
        <f t="shared" si="494"/>
        <v/>
      </c>
      <c r="E709" s="24" t="str">
        <f t="shared" si="495"/>
        <v/>
      </c>
      <c r="F709" s="32" t="str">
        <f t="shared" si="496"/>
        <v/>
      </c>
      <c r="G709" s="32" t="str">
        <f t="shared" si="497"/>
        <v/>
      </c>
      <c r="H709" s="32" t="str">
        <f t="shared" ca="1" si="498"/>
        <v/>
      </c>
      <c r="I709" s="32" t="str">
        <f t="shared" ref="I709:I772" ca="1" si="503">IFERROR(IF(H709-F709&gt;=0,H709-F709,"NEG"),"")</f>
        <v/>
      </c>
      <c r="J709" s="32" t="str">
        <f t="shared" si="499"/>
        <v/>
      </c>
      <c r="K709" s="32" t="str">
        <f>IF(ISNUMBER(A709),Profile!$V$25+Profile!$V$24*'Ri-Po'!C709,"")</f>
        <v/>
      </c>
      <c r="L709" s="32" t="str">
        <f t="shared" ref="L709:L772" si="504">IFERROR(K709-F709,"")</f>
        <v/>
      </c>
      <c r="M709" s="32" t="str">
        <f t="shared" si="500"/>
        <v/>
      </c>
      <c r="N709" s="32" t="str">
        <f t="shared" si="501"/>
        <v/>
      </c>
      <c r="O709" s="32" t="str">
        <f t="shared" si="474"/>
        <v/>
      </c>
      <c r="P709" s="32" t="str">
        <f t="shared" ref="P709:P772" si="505">IF(ISNUMBER(A709),K709-F709,"")</f>
        <v/>
      </c>
      <c r="Q709" s="32" t="str">
        <f t="shared" ref="Q709:Q772" si="506">IF(ISNUMBER(A709),N709-F709,"")</f>
        <v/>
      </c>
      <c r="R709" s="32" t="str">
        <f t="shared" si="475"/>
        <v/>
      </c>
      <c r="S709" s="24" t="str">
        <f t="shared" si="476"/>
        <v/>
      </c>
      <c r="T709" s="24" t="str">
        <f t="shared" si="477"/>
        <v/>
      </c>
      <c r="U709" s="24" t="str">
        <f t="shared" si="478"/>
        <v/>
      </c>
      <c r="V709" s="24" t="str">
        <f t="shared" si="479"/>
        <v/>
      </c>
      <c r="W709" s="23" t="str">
        <f t="array" ref="W709">IFERROR(SMALL(IF(S$1:S$1000="BEGIN",ROW(S$1:S$1000)),ROW()-3),"")</f>
        <v/>
      </c>
      <c r="X709" s="23" t="str">
        <f t="array" ref="X709">IFERROR(SMALL(IF(T$1:T$1000="END",ROW(T$1:T$1000)),ROW()-3),"")</f>
        <v/>
      </c>
      <c r="Y709" s="33" t="str">
        <f t="array" ref="Y709">IF(ISNUMBER(W709),MAX(IF((B$4:B$1000&lt;=X709)*(B$4:B$1000&gt;=W709),I$4:I$1000, "")),"")</f>
        <v/>
      </c>
      <c r="Z709" s="33" t="str">
        <f t="shared" ref="Z709:Z772" si="507">IFERROR(INDEX(C:C,W709),"")</f>
        <v/>
      </c>
      <c r="AA709" s="32" t="str">
        <f t="shared" ref="AA709:AA772" si="508">IFERROR(INDEX(C:C,X709),"")</f>
        <v/>
      </c>
      <c r="AB709" s="32" t="str">
        <f t="shared" ref="AB709:AB772" si="509">IFERROR(AA709-Z709,"")</f>
        <v/>
      </c>
      <c r="AC709" s="32" t="str">
        <f t="shared" ref="AC709:AC772" si="510">IFERROR(INDEX(H:H,W709),"")</f>
        <v/>
      </c>
      <c r="AD709" s="32" t="str">
        <f t="shared" ref="AD709:AD772" si="511">IFERROR(INDEX(H:H,X709),"")</f>
        <v/>
      </c>
      <c r="AE709" s="34" t="str">
        <f t="shared" ref="AE709:AE772" si="512">IFERROR((AC709-AD709)/(AB709),"")</f>
        <v/>
      </c>
      <c r="AF709" s="32" t="str">
        <f t="shared" ref="AF709:AF772" si="513">IF(ISNUMBER(Z709),INDEX($Q$1:$Q$1000,W709),"")</f>
        <v/>
      </c>
      <c r="AG709" s="32" t="str">
        <f t="shared" ref="AG709:AG772" si="514">IF(ISNUMBER(Z709),INDEX($P$1:$P$1000,W709),"")</f>
        <v/>
      </c>
      <c r="AH709" s="32" t="str">
        <f t="shared" ref="AH709:AH772" si="515">IF(ISNUMBER(Z709),AF709/AG709,"")</f>
        <v/>
      </c>
      <c r="AI709" s="35" t="str">
        <f t="shared" ref="AI709:AI772" si="516">IFERROR(AE709/BB$19,"")</f>
        <v/>
      </c>
      <c r="AJ709" s="23" t="str">
        <f t="array" ref="AJ709">IFERROR(SMALL(IF(U$1:U$1000="BEGIN",ROW(U$1:U$1000)),ROW()-3),"")</f>
        <v/>
      </c>
      <c r="AK709" s="23" t="str">
        <f t="array" ref="AK709">IFERROR(SMALL(IF(V$1:V$1000="END",ROW(V$1:V$1000)),ROW()-3),"")</f>
        <v/>
      </c>
      <c r="AL709" s="24" t="str">
        <f t="array" ref="AL709">IF(AK709="","",MATCH(AM709,L:L,0))</f>
        <v/>
      </c>
      <c r="AM709" s="35">
        <f t="array" ref="AM709">MAX(IF((B$4:B$1000&lt;=AK709)*(B$4:B$1000&gt;=AJ709),L$4:L$1000, ""))</f>
        <v>0</v>
      </c>
      <c r="AN709" s="32" t="str">
        <f t="shared" si="480"/>
        <v/>
      </c>
      <c r="AO709" s="32" t="str">
        <f t="shared" si="481"/>
        <v/>
      </c>
      <c r="AP709" s="32" t="str">
        <f t="shared" si="482"/>
        <v/>
      </c>
      <c r="AQ709" s="32" t="str">
        <f t="shared" si="483"/>
        <v/>
      </c>
      <c r="AR709" s="32" t="str">
        <f t="shared" si="484"/>
        <v/>
      </c>
      <c r="AS709" s="32" t="str">
        <f t="shared" si="485"/>
        <v/>
      </c>
      <c r="AT709" s="32" t="str">
        <f t="shared" si="486"/>
        <v/>
      </c>
      <c r="AU709" s="34" t="str">
        <f t="shared" si="487"/>
        <v/>
      </c>
      <c r="AV709" s="32" t="str">
        <f t="shared" si="488"/>
        <v/>
      </c>
      <c r="AW709" s="32" t="str">
        <f t="shared" si="489"/>
        <v/>
      </c>
      <c r="AX709" s="32" t="str">
        <f t="shared" si="490"/>
        <v/>
      </c>
      <c r="AY709" s="32" t="str">
        <f t="shared" si="491"/>
        <v/>
      </c>
    </row>
    <row r="710" spans="1:51" x14ac:dyDescent="0.25">
      <c r="A710" s="24" t="str">
        <f t="shared" si="492"/>
        <v/>
      </c>
      <c r="B710" s="24" t="str">
        <f t="shared" si="502"/>
        <v/>
      </c>
      <c r="C710" s="32" t="str">
        <f t="shared" si="493"/>
        <v/>
      </c>
      <c r="D710" s="24" t="str">
        <f t="shared" si="494"/>
        <v/>
      </c>
      <c r="E710" s="24" t="str">
        <f t="shared" si="495"/>
        <v/>
      </c>
      <c r="F710" s="32" t="str">
        <f t="shared" si="496"/>
        <v/>
      </c>
      <c r="G710" s="32" t="str">
        <f t="shared" si="497"/>
        <v/>
      </c>
      <c r="H710" s="32" t="str">
        <f t="shared" ca="1" si="498"/>
        <v/>
      </c>
      <c r="I710" s="32" t="str">
        <f t="shared" ca="1" si="503"/>
        <v/>
      </c>
      <c r="J710" s="32" t="str">
        <f t="shared" si="499"/>
        <v/>
      </c>
      <c r="K710" s="32" t="str">
        <f>IF(ISNUMBER(A710),Profile!$V$25+Profile!$V$24*'Ri-Po'!C710,"")</f>
        <v/>
      </c>
      <c r="L710" s="32" t="str">
        <f t="shared" si="504"/>
        <v/>
      </c>
      <c r="M710" s="32" t="str">
        <f t="shared" si="500"/>
        <v/>
      </c>
      <c r="N710" s="32" t="str">
        <f t="shared" si="501"/>
        <v/>
      </c>
      <c r="O710" s="32" t="str">
        <f t="shared" ref="O710:O773" si="517">IF(AND(ISNUMBER(G710),ISNUMBER(J710)),J710-G710,"")</f>
        <v/>
      </c>
      <c r="P710" s="32" t="str">
        <f t="shared" si="505"/>
        <v/>
      </c>
      <c r="Q710" s="32" t="str">
        <f t="shared" si="506"/>
        <v/>
      </c>
      <c r="R710" s="32" t="str">
        <f t="shared" ref="R710:R773" si="518">IF(ISNUMBER(Q710),Q710/P710,"")</f>
        <v/>
      </c>
      <c r="S710" s="24" t="str">
        <f t="shared" ref="S710:S773" si="519">IF(ISNUMBER(SEARCH("bri",E710)),"BEGIN","")</f>
        <v/>
      </c>
      <c r="T710" s="24" t="str">
        <f t="shared" ref="T710:T773" si="520">IF(ISNUMBER(SEARCH("eri",E710)),"END","")</f>
        <v/>
      </c>
      <c r="U710" s="24" t="str">
        <f t="shared" ref="U710:U773" si="521">IF(ISNUMBER(SEARCH("bpo",E710)),"BEGIN","")</f>
        <v/>
      </c>
      <c r="V710" s="24" t="str">
        <f t="shared" ref="V710:V773" si="522">IF(ISNUMBER(SEARCH("epo",E710)),"END","")</f>
        <v/>
      </c>
      <c r="W710" s="23" t="str">
        <f t="array" ref="W710">IFERROR(SMALL(IF(S$1:S$1000="BEGIN",ROW(S$1:S$1000)),ROW()-3),"")</f>
        <v/>
      </c>
      <c r="X710" s="23" t="str">
        <f t="array" ref="X710">IFERROR(SMALL(IF(T$1:T$1000="END",ROW(T$1:T$1000)),ROW()-3),"")</f>
        <v/>
      </c>
      <c r="Y710" s="33" t="str">
        <f t="array" ref="Y710">IF(ISNUMBER(W710),MAX(IF((B$4:B$1000&lt;=X710)*(B$4:B$1000&gt;=W710),I$4:I$1000, "")),"")</f>
        <v/>
      </c>
      <c r="Z710" s="33" t="str">
        <f t="shared" si="507"/>
        <v/>
      </c>
      <c r="AA710" s="32" t="str">
        <f t="shared" si="508"/>
        <v/>
      </c>
      <c r="AB710" s="32" t="str">
        <f t="shared" si="509"/>
        <v/>
      </c>
      <c r="AC710" s="32" t="str">
        <f t="shared" si="510"/>
        <v/>
      </c>
      <c r="AD710" s="32" t="str">
        <f t="shared" si="511"/>
        <v/>
      </c>
      <c r="AE710" s="34" t="str">
        <f t="shared" si="512"/>
        <v/>
      </c>
      <c r="AF710" s="32" t="str">
        <f t="shared" si="513"/>
        <v/>
      </c>
      <c r="AG710" s="32" t="str">
        <f t="shared" si="514"/>
        <v/>
      </c>
      <c r="AH710" s="32" t="str">
        <f t="shared" si="515"/>
        <v/>
      </c>
      <c r="AI710" s="35" t="str">
        <f t="shared" si="516"/>
        <v/>
      </c>
      <c r="AJ710" s="23" t="str">
        <f t="array" ref="AJ710">IFERROR(SMALL(IF(U$1:U$1000="BEGIN",ROW(U$1:U$1000)),ROW()-3),"")</f>
        <v/>
      </c>
      <c r="AK710" s="23" t="str">
        <f t="array" ref="AK710">IFERROR(SMALL(IF(V$1:V$1000="END",ROW(V$1:V$1000)),ROW()-3),"")</f>
        <v/>
      </c>
      <c r="AL710" s="24" t="str">
        <f t="array" ref="AL710">IF(AK710="","",MATCH(AM710,L:L,0))</f>
        <v/>
      </c>
      <c r="AM710" s="35">
        <f t="array" ref="AM710">MAX(IF((B$4:B$1000&lt;=AK710)*(B$4:B$1000&gt;=AJ710),L$4:L$1000, ""))</f>
        <v>0</v>
      </c>
      <c r="AN710" s="32" t="str">
        <f t="shared" si="480"/>
        <v/>
      </c>
      <c r="AO710" s="32" t="str">
        <f t="shared" si="481"/>
        <v/>
      </c>
      <c r="AP710" s="32" t="str">
        <f t="shared" si="482"/>
        <v/>
      </c>
      <c r="AQ710" s="32" t="str">
        <f t="shared" si="483"/>
        <v/>
      </c>
      <c r="AR710" s="32" t="str">
        <f t="shared" si="484"/>
        <v/>
      </c>
      <c r="AS710" s="32" t="str">
        <f t="shared" si="485"/>
        <v/>
      </c>
      <c r="AT710" s="32" t="str">
        <f t="shared" si="486"/>
        <v/>
      </c>
      <c r="AU710" s="34" t="str">
        <f t="shared" si="487"/>
        <v/>
      </c>
      <c r="AV710" s="32" t="str">
        <f t="shared" si="488"/>
        <v/>
      </c>
      <c r="AW710" s="32" t="str">
        <f t="shared" si="489"/>
        <v/>
      </c>
      <c r="AX710" s="32" t="str">
        <f t="shared" si="490"/>
        <v/>
      </c>
      <c r="AY710" s="32" t="str">
        <f t="shared" si="491"/>
        <v/>
      </c>
    </row>
    <row r="711" spans="1:51" x14ac:dyDescent="0.25">
      <c r="A711" s="24" t="str">
        <f t="shared" si="492"/>
        <v/>
      </c>
      <c r="B711" s="24" t="str">
        <f t="shared" si="502"/>
        <v/>
      </c>
      <c r="C711" s="32" t="str">
        <f t="shared" si="493"/>
        <v/>
      </c>
      <c r="D711" s="24" t="str">
        <f t="shared" si="494"/>
        <v/>
      </c>
      <c r="E711" s="24" t="str">
        <f t="shared" si="495"/>
        <v/>
      </c>
      <c r="F711" s="32" t="str">
        <f t="shared" si="496"/>
        <v/>
      </c>
      <c r="G711" s="32" t="str">
        <f t="shared" si="497"/>
        <v/>
      </c>
      <c r="H711" s="32" t="str">
        <f t="shared" ca="1" si="498"/>
        <v/>
      </c>
      <c r="I711" s="32" t="str">
        <f t="shared" ca="1" si="503"/>
        <v/>
      </c>
      <c r="J711" s="32" t="str">
        <f t="shared" si="499"/>
        <v/>
      </c>
      <c r="K711" s="32" t="str">
        <f>IF(ISNUMBER(A711),Profile!$V$25+Profile!$V$24*'Ri-Po'!C711,"")</f>
        <v/>
      </c>
      <c r="L711" s="32" t="str">
        <f t="shared" si="504"/>
        <v/>
      </c>
      <c r="M711" s="32" t="str">
        <f t="shared" si="500"/>
        <v/>
      </c>
      <c r="N711" s="32" t="str">
        <f t="shared" si="501"/>
        <v/>
      </c>
      <c r="O711" s="32" t="str">
        <f t="shared" si="517"/>
        <v/>
      </c>
      <c r="P711" s="32" t="str">
        <f t="shared" si="505"/>
        <v/>
      </c>
      <c r="Q711" s="32" t="str">
        <f t="shared" si="506"/>
        <v/>
      </c>
      <c r="R711" s="32" t="str">
        <f t="shared" si="518"/>
        <v/>
      </c>
      <c r="S711" s="24" t="str">
        <f t="shared" si="519"/>
        <v/>
      </c>
      <c r="T711" s="24" t="str">
        <f t="shared" si="520"/>
        <v/>
      </c>
      <c r="U711" s="24" t="str">
        <f t="shared" si="521"/>
        <v/>
      </c>
      <c r="V711" s="24" t="str">
        <f t="shared" si="522"/>
        <v/>
      </c>
      <c r="W711" s="23" t="str">
        <f t="array" ref="W711">IFERROR(SMALL(IF(S$1:S$1000="BEGIN",ROW(S$1:S$1000)),ROW()-3),"")</f>
        <v/>
      </c>
      <c r="X711" s="23" t="str">
        <f t="array" ref="X711">IFERROR(SMALL(IF(T$1:T$1000="END",ROW(T$1:T$1000)),ROW()-3),"")</f>
        <v/>
      </c>
      <c r="Y711" s="33" t="str">
        <f t="array" ref="Y711">IF(ISNUMBER(W711),MAX(IF((B$4:B$1000&lt;=X711)*(B$4:B$1000&gt;=W711),I$4:I$1000, "")),"")</f>
        <v/>
      </c>
      <c r="Z711" s="33" t="str">
        <f t="shared" si="507"/>
        <v/>
      </c>
      <c r="AA711" s="32" t="str">
        <f t="shared" si="508"/>
        <v/>
      </c>
      <c r="AB711" s="32" t="str">
        <f t="shared" si="509"/>
        <v/>
      </c>
      <c r="AC711" s="32" t="str">
        <f t="shared" si="510"/>
        <v/>
      </c>
      <c r="AD711" s="32" t="str">
        <f t="shared" si="511"/>
        <v/>
      </c>
      <c r="AE711" s="34" t="str">
        <f t="shared" si="512"/>
        <v/>
      </c>
      <c r="AF711" s="32" t="str">
        <f t="shared" si="513"/>
        <v/>
      </c>
      <c r="AG711" s="32" t="str">
        <f t="shared" si="514"/>
        <v/>
      </c>
      <c r="AH711" s="32" t="str">
        <f t="shared" si="515"/>
        <v/>
      </c>
      <c r="AI711" s="35" t="str">
        <f t="shared" si="516"/>
        <v/>
      </c>
      <c r="AJ711" s="23" t="str">
        <f t="array" ref="AJ711">IFERROR(SMALL(IF(U$1:U$1000="BEGIN",ROW(U$1:U$1000)),ROW()-3),"")</f>
        <v/>
      </c>
      <c r="AK711" s="23" t="str">
        <f t="array" ref="AK711">IFERROR(SMALL(IF(V$1:V$1000="END",ROW(V$1:V$1000)),ROW()-3),"")</f>
        <v/>
      </c>
      <c r="AL711" s="24" t="str">
        <f t="array" ref="AL711">IF(AK711="","",MATCH(AM711,L:L,0))</f>
        <v/>
      </c>
      <c r="AM711" s="35">
        <f t="array" ref="AM711">MAX(IF((B$4:B$1000&lt;=AK711)*(B$4:B$1000&gt;=AJ711),L$4:L$1000, ""))</f>
        <v>0</v>
      </c>
      <c r="AN711" s="32" t="str">
        <f t="shared" si="480"/>
        <v/>
      </c>
      <c r="AO711" s="32" t="str">
        <f t="shared" si="481"/>
        <v/>
      </c>
      <c r="AP711" s="32" t="str">
        <f t="shared" si="482"/>
        <v/>
      </c>
      <c r="AQ711" s="32" t="str">
        <f t="shared" si="483"/>
        <v/>
      </c>
      <c r="AR711" s="32" t="str">
        <f t="shared" si="484"/>
        <v/>
      </c>
      <c r="AS711" s="32" t="str">
        <f t="shared" si="485"/>
        <v/>
      </c>
      <c r="AT711" s="32" t="str">
        <f t="shared" si="486"/>
        <v/>
      </c>
      <c r="AU711" s="34" t="str">
        <f t="shared" si="487"/>
        <v/>
      </c>
      <c r="AV711" s="32" t="str">
        <f t="shared" si="488"/>
        <v/>
      </c>
      <c r="AW711" s="32" t="str">
        <f t="shared" si="489"/>
        <v/>
      </c>
      <c r="AX711" s="32" t="str">
        <f t="shared" si="490"/>
        <v/>
      </c>
      <c r="AY711" s="32" t="str">
        <f t="shared" si="491"/>
        <v/>
      </c>
    </row>
    <row r="712" spans="1:51" x14ac:dyDescent="0.25">
      <c r="A712" s="24" t="str">
        <f t="shared" si="492"/>
        <v/>
      </c>
      <c r="B712" s="24" t="str">
        <f t="shared" si="502"/>
        <v/>
      </c>
      <c r="C712" s="32" t="str">
        <f t="shared" si="493"/>
        <v/>
      </c>
      <c r="D712" s="24" t="str">
        <f t="shared" si="494"/>
        <v/>
      </c>
      <c r="E712" s="24" t="str">
        <f t="shared" si="495"/>
        <v/>
      </c>
      <c r="F712" s="32" t="str">
        <f t="shared" si="496"/>
        <v/>
      </c>
      <c r="G712" s="32" t="str">
        <f t="shared" si="497"/>
        <v/>
      </c>
      <c r="H712" s="32" t="str">
        <f t="shared" ca="1" si="498"/>
        <v/>
      </c>
      <c r="I712" s="32" t="str">
        <f t="shared" ca="1" si="503"/>
        <v/>
      </c>
      <c r="J712" s="32" t="str">
        <f t="shared" si="499"/>
        <v/>
      </c>
      <c r="K712" s="32" t="str">
        <f>IF(ISNUMBER(A712),Profile!$V$25+Profile!$V$24*'Ri-Po'!C712,"")</f>
        <v/>
      </c>
      <c r="L712" s="32" t="str">
        <f t="shared" si="504"/>
        <v/>
      </c>
      <c r="M712" s="32" t="str">
        <f t="shared" si="500"/>
        <v/>
      </c>
      <c r="N712" s="32" t="str">
        <f t="shared" si="501"/>
        <v/>
      </c>
      <c r="O712" s="32" t="str">
        <f t="shared" si="517"/>
        <v/>
      </c>
      <c r="P712" s="32" t="str">
        <f t="shared" si="505"/>
        <v/>
      </c>
      <c r="Q712" s="32" t="str">
        <f t="shared" si="506"/>
        <v/>
      </c>
      <c r="R712" s="32" t="str">
        <f t="shared" si="518"/>
        <v/>
      </c>
      <c r="S712" s="24" t="str">
        <f t="shared" si="519"/>
        <v/>
      </c>
      <c r="T712" s="24" t="str">
        <f t="shared" si="520"/>
        <v/>
      </c>
      <c r="U712" s="24" t="str">
        <f t="shared" si="521"/>
        <v/>
      </c>
      <c r="V712" s="24" t="str">
        <f t="shared" si="522"/>
        <v/>
      </c>
      <c r="W712" s="23" t="str">
        <f t="array" ref="W712">IFERROR(SMALL(IF(S$1:S$1000="BEGIN",ROW(S$1:S$1000)),ROW()-3),"")</f>
        <v/>
      </c>
      <c r="X712" s="23" t="str">
        <f t="array" ref="X712">IFERROR(SMALL(IF(T$1:T$1000="END",ROW(T$1:T$1000)),ROW()-3),"")</f>
        <v/>
      </c>
      <c r="Y712" s="33" t="str">
        <f t="array" ref="Y712">IF(ISNUMBER(W712),MAX(IF((B$4:B$1000&lt;=X712)*(B$4:B$1000&gt;=W712),I$4:I$1000, "")),"")</f>
        <v/>
      </c>
      <c r="Z712" s="33" t="str">
        <f t="shared" si="507"/>
        <v/>
      </c>
      <c r="AA712" s="32" t="str">
        <f t="shared" si="508"/>
        <v/>
      </c>
      <c r="AB712" s="32" t="str">
        <f t="shared" si="509"/>
        <v/>
      </c>
      <c r="AC712" s="32" t="str">
        <f t="shared" si="510"/>
        <v/>
      </c>
      <c r="AD712" s="32" t="str">
        <f t="shared" si="511"/>
        <v/>
      </c>
      <c r="AE712" s="34" t="str">
        <f t="shared" si="512"/>
        <v/>
      </c>
      <c r="AF712" s="32" t="str">
        <f t="shared" si="513"/>
        <v/>
      </c>
      <c r="AG712" s="32" t="str">
        <f t="shared" si="514"/>
        <v/>
      </c>
      <c r="AH712" s="32" t="str">
        <f t="shared" si="515"/>
        <v/>
      </c>
      <c r="AI712" s="35" t="str">
        <f t="shared" si="516"/>
        <v/>
      </c>
      <c r="AJ712" s="23" t="str">
        <f t="array" ref="AJ712">IFERROR(SMALL(IF(U$1:U$1000="BEGIN",ROW(U$1:U$1000)),ROW()-3),"")</f>
        <v/>
      </c>
      <c r="AK712" s="23" t="str">
        <f t="array" ref="AK712">IFERROR(SMALL(IF(V$1:V$1000="END",ROW(V$1:V$1000)),ROW()-3),"")</f>
        <v/>
      </c>
      <c r="AL712" s="24" t="str">
        <f t="array" ref="AL712">IF(AK712="","",MATCH(AM712,L:L,0))</f>
        <v/>
      </c>
      <c r="AM712" s="35">
        <f t="array" ref="AM712">MAX(IF((B$4:B$1000&lt;=AK712)*(B$4:B$1000&gt;=AJ712),L$4:L$1000, ""))</f>
        <v>0</v>
      </c>
      <c r="AN712" s="32" t="str">
        <f t="shared" si="480"/>
        <v/>
      </c>
      <c r="AO712" s="32" t="str">
        <f t="shared" si="481"/>
        <v/>
      </c>
      <c r="AP712" s="32" t="str">
        <f t="shared" si="482"/>
        <v/>
      </c>
      <c r="AQ712" s="32" t="str">
        <f t="shared" si="483"/>
        <v/>
      </c>
      <c r="AR712" s="32" t="str">
        <f t="shared" si="484"/>
        <v/>
      </c>
      <c r="AS712" s="32" t="str">
        <f t="shared" si="485"/>
        <v/>
      </c>
      <c r="AT712" s="32" t="str">
        <f t="shared" si="486"/>
        <v/>
      </c>
      <c r="AU712" s="34" t="str">
        <f t="shared" si="487"/>
        <v/>
      </c>
      <c r="AV712" s="32" t="str">
        <f t="shared" si="488"/>
        <v/>
      </c>
      <c r="AW712" s="32" t="str">
        <f t="shared" si="489"/>
        <v/>
      </c>
      <c r="AX712" s="32" t="str">
        <f t="shared" si="490"/>
        <v/>
      </c>
      <c r="AY712" s="32" t="str">
        <f t="shared" si="491"/>
        <v/>
      </c>
    </row>
    <row r="713" spans="1:51" x14ac:dyDescent="0.25">
      <c r="A713" s="24" t="str">
        <f t="shared" si="492"/>
        <v/>
      </c>
      <c r="B713" s="24" t="str">
        <f t="shared" si="502"/>
        <v/>
      </c>
      <c r="C713" s="32" t="str">
        <f t="shared" si="493"/>
        <v/>
      </c>
      <c r="D713" s="24" t="str">
        <f t="shared" si="494"/>
        <v/>
      </c>
      <c r="E713" s="24" t="str">
        <f t="shared" si="495"/>
        <v/>
      </c>
      <c r="F713" s="32" t="str">
        <f t="shared" si="496"/>
        <v/>
      </c>
      <c r="G713" s="32" t="str">
        <f t="shared" si="497"/>
        <v/>
      </c>
      <c r="H713" s="32" t="str">
        <f t="shared" ca="1" si="498"/>
        <v/>
      </c>
      <c r="I713" s="32" t="str">
        <f t="shared" ca="1" si="503"/>
        <v/>
      </c>
      <c r="J713" s="32" t="str">
        <f t="shared" si="499"/>
        <v/>
      </c>
      <c r="K713" s="32" t="str">
        <f>IF(ISNUMBER(A713),Profile!$V$25+Profile!$V$24*'Ri-Po'!C713,"")</f>
        <v/>
      </c>
      <c r="L713" s="32" t="str">
        <f t="shared" si="504"/>
        <v/>
      </c>
      <c r="M713" s="32" t="str">
        <f t="shared" si="500"/>
        <v/>
      </c>
      <c r="N713" s="32" t="str">
        <f t="shared" si="501"/>
        <v/>
      </c>
      <c r="O713" s="32" t="str">
        <f t="shared" si="517"/>
        <v/>
      </c>
      <c r="P713" s="32" t="str">
        <f t="shared" si="505"/>
        <v/>
      </c>
      <c r="Q713" s="32" t="str">
        <f t="shared" si="506"/>
        <v/>
      </c>
      <c r="R713" s="32" t="str">
        <f t="shared" si="518"/>
        <v/>
      </c>
      <c r="S713" s="24" t="str">
        <f t="shared" si="519"/>
        <v/>
      </c>
      <c r="T713" s="24" t="str">
        <f t="shared" si="520"/>
        <v/>
      </c>
      <c r="U713" s="24" t="str">
        <f t="shared" si="521"/>
        <v/>
      </c>
      <c r="V713" s="24" t="str">
        <f t="shared" si="522"/>
        <v/>
      </c>
      <c r="W713" s="23" t="str">
        <f t="array" ref="W713">IFERROR(SMALL(IF(S$1:S$1000="BEGIN",ROW(S$1:S$1000)),ROW()-3),"")</f>
        <v/>
      </c>
      <c r="X713" s="23" t="str">
        <f t="array" ref="X713">IFERROR(SMALL(IF(T$1:T$1000="END",ROW(T$1:T$1000)),ROW()-3),"")</f>
        <v/>
      </c>
      <c r="Y713" s="33" t="str">
        <f t="array" ref="Y713">IF(ISNUMBER(W713),MAX(IF((B$4:B$1000&lt;=X713)*(B$4:B$1000&gt;=W713),I$4:I$1000, "")),"")</f>
        <v/>
      </c>
      <c r="Z713" s="33" t="str">
        <f t="shared" si="507"/>
        <v/>
      </c>
      <c r="AA713" s="32" t="str">
        <f t="shared" si="508"/>
        <v/>
      </c>
      <c r="AB713" s="32" t="str">
        <f t="shared" si="509"/>
        <v/>
      </c>
      <c r="AC713" s="32" t="str">
        <f t="shared" si="510"/>
        <v/>
      </c>
      <c r="AD713" s="32" t="str">
        <f t="shared" si="511"/>
        <v/>
      </c>
      <c r="AE713" s="34" t="str">
        <f t="shared" si="512"/>
        <v/>
      </c>
      <c r="AF713" s="32" t="str">
        <f t="shared" si="513"/>
        <v/>
      </c>
      <c r="AG713" s="32" t="str">
        <f t="shared" si="514"/>
        <v/>
      </c>
      <c r="AH713" s="32" t="str">
        <f t="shared" si="515"/>
        <v/>
      </c>
      <c r="AI713" s="35" t="str">
        <f t="shared" si="516"/>
        <v/>
      </c>
      <c r="AJ713" s="23" t="str">
        <f t="array" ref="AJ713">IFERROR(SMALL(IF(U$1:U$1000="BEGIN",ROW(U$1:U$1000)),ROW()-3),"")</f>
        <v/>
      </c>
      <c r="AK713" s="23" t="str">
        <f t="array" ref="AK713">IFERROR(SMALL(IF(V$1:V$1000="END",ROW(V$1:V$1000)),ROW()-3),"")</f>
        <v/>
      </c>
      <c r="AL713" s="24" t="str">
        <f t="array" ref="AL713">IF(AK713="","",MATCH(AM713,L:L,0))</f>
        <v/>
      </c>
      <c r="AM713" s="35">
        <f t="array" ref="AM713">MAX(IF((B$4:B$1000&lt;=AK713)*(B$4:B$1000&gt;=AJ713),L$4:L$1000, ""))</f>
        <v>0</v>
      </c>
      <c r="AN713" s="32" t="str">
        <f t="shared" si="480"/>
        <v/>
      </c>
      <c r="AO713" s="32" t="str">
        <f t="shared" si="481"/>
        <v/>
      </c>
      <c r="AP713" s="32" t="str">
        <f t="shared" si="482"/>
        <v/>
      </c>
      <c r="AQ713" s="32" t="str">
        <f t="shared" si="483"/>
        <v/>
      </c>
      <c r="AR713" s="32" t="str">
        <f t="shared" si="484"/>
        <v/>
      </c>
      <c r="AS713" s="32" t="str">
        <f t="shared" si="485"/>
        <v/>
      </c>
      <c r="AT713" s="32" t="str">
        <f t="shared" si="486"/>
        <v/>
      </c>
      <c r="AU713" s="34" t="str">
        <f t="shared" si="487"/>
        <v/>
      </c>
      <c r="AV713" s="32" t="str">
        <f t="shared" si="488"/>
        <v/>
      </c>
      <c r="AW713" s="32" t="str">
        <f t="shared" si="489"/>
        <v/>
      </c>
      <c r="AX713" s="32" t="str">
        <f t="shared" si="490"/>
        <v/>
      </c>
      <c r="AY713" s="32" t="str">
        <f t="shared" si="491"/>
        <v/>
      </c>
    </row>
    <row r="714" spans="1:51" x14ac:dyDescent="0.25">
      <c r="A714" s="24" t="str">
        <f t="shared" si="492"/>
        <v/>
      </c>
      <c r="B714" s="24" t="str">
        <f t="shared" si="502"/>
        <v/>
      </c>
      <c r="C714" s="32" t="str">
        <f t="shared" si="493"/>
        <v/>
      </c>
      <c r="D714" s="24" t="str">
        <f t="shared" si="494"/>
        <v/>
      </c>
      <c r="E714" s="24" t="str">
        <f t="shared" si="495"/>
        <v/>
      </c>
      <c r="F714" s="32" t="str">
        <f t="shared" si="496"/>
        <v/>
      </c>
      <c r="G714" s="32" t="str">
        <f t="shared" si="497"/>
        <v/>
      </c>
      <c r="H714" s="32" t="str">
        <f t="shared" ca="1" si="498"/>
        <v/>
      </c>
      <c r="I714" s="32" t="str">
        <f t="shared" ca="1" si="503"/>
        <v/>
      </c>
      <c r="J714" s="32" t="str">
        <f t="shared" si="499"/>
        <v/>
      </c>
      <c r="K714" s="32" t="str">
        <f>IF(ISNUMBER(A714),Profile!$V$25+Profile!$V$24*'Ri-Po'!C714,"")</f>
        <v/>
      </c>
      <c r="L714" s="32" t="str">
        <f t="shared" si="504"/>
        <v/>
      </c>
      <c r="M714" s="32" t="str">
        <f t="shared" si="500"/>
        <v/>
      </c>
      <c r="N714" s="32" t="str">
        <f t="shared" si="501"/>
        <v/>
      </c>
      <c r="O714" s="32" t="str">
        <f t="shared" si="517"/>
        <v/>
      </c>
      <c r="P714" s="32" t="str">
        <f t="shared" si="505"/>
        <v/>
      </c>
      <c r="Q714" s="32" t="str">
        <f t="shared" si="506"/>
        <v/>
      </c>
      <c r="R714" s="32" t="str">
        <f t="shared" si="518"/>
        <v/>
      </c>
      <c r="S714" s="24" t="str">
        <f t="shared" si="519"/>
        <v/>
      </c>
      <c r="T714" s="24" t="str">
        <f t="shared" si="520"/>
        <v/>
      </c>
      <c r="U714" s="24" t="str">
        <f t="shared" si="521"/>
        <v/>
      </c>
      <c r="V714" s="24" t="str">
        <f t="shared" si="522"/>
        <v/>
      </c>
      <c r="W714" s="23" t="str">
        <f t="array" ref="W714">IFERROR(SMALL(IF(S$1:S$1000="BEGIN",ROW(S$1:S$1000)),ROW()-3),"")</f>
        <v/>
      </c>
      <c r="X714" s="23" t="str">
        <f t="array" ref="X714">IFERROR(SMALL(IF(T$1:T$1000="END",ROW(T$1:T$1000)),ROW()-3),"")</f>
        <v/>
      </c>
      <c r="Y714" s="33" t="str">
        <f t="array" ref="Y714">IF(ISNUMBER(W714),MAX(IF((B$4:B$1000&lt;=X714)*(B$4:B$1000&gt;=W714),I$4:I$1000, "")),"")</f>
        <v/>
      </c>
      <c r="Z714" s="33" t="str">
        <f t="shared" si="507"/>
        <v/>
      </c>
      <c r="AA714" s="32" t="str">
        <f t="shared" si="508"/>
        <v/>
      </c>
      <c r="AB714" s="32" t="str">
        <f t="shared" si="509"/>
        <v/>
      </c>
      <c r="AC714" s="32" t="str">
        <f t="shared" si="510"/>
        <v/>
      </c>
      <c r="AD714" s="32" t="str">
        <f t="shared" si="511"/>
        <v/>
      </c>
      <c r="AE714" s="34" t="str">
        <f t="shared" si="512"/>
        <v/>
      </c>
      <c r="AF714" s="32" t="str">
        <f t="shared" si="513"/>
        <v/>
      </c>
      <c r="AG714" s="32" t="str">
        <f t="shared" si="514"/>
        <v/>
      </c>
      <c r="AH714" s="32" t="str">
        <f t="shared" si="515"/>
        <v/>
      </c>
      <c r="AI714" s="35" t="str">
        <f t="shared" si="516"/>
        <v/>
      </c>
      <c r="AJ714" s="23" t="str">
        <f t="array" ref="AJ714">IFERROR(SMALL(IF(U$1:U$1000="BEGIN",ROW(U$1:U$1000)),ROW()-3),"")</f>
        <v/>
      </c>
      <c r="AK714" s="23" t="str">
        <f t="array" ref="AK714">IFERROR(SMALL(IF(V$1:V$1000="END",ROW(V$1:V$1000)),ROW()-3),"")</f>
        <v/>
      </c>
      <c r="AL714" s="24" t="str">
        <f t="array" ref="AL714">IF(AK714="","",MATCH(AM714,L:L,0))</f>
        <v/>
      </c>
      <c r="AM714" s="35">
        <f t="array" ref="AM714">MAX(IF((B$4:B$1000&lt;=AK714)*(B$4:B$1000&gt;=AJ714),L$4:L$1000, ""))</f>
        <v>0</v>
      </c>
      <c r="AN714" s="32" t="str">
        <f t="shared" si="480"/>
        <v/>
      </c>
      <c r="AO714" s="32" t="str">
        <f t="shared" si="481"/>
        <v/>
      </c>
      <c r="AP714" s="32" t="str">
        <f t="shared" si="482"/>
        <v/>
      </c>
      <c r="AQ714" s="32" t="str">
        <f t="shared" si="483"/>
        <v/>
      </c>
      <c r="AR714" s="32" t="str">
        <f t="shared" si="484"/>
        <v/>
      </c>
      <c r="AS714" s="32" t="str">
        <f t="shared" si="485"/>
        <v/>
      </c>
      <c r="AT714" s="32" t="str">
        <f t="shared" si="486"/>
        <v/>
      </c>
      <c r="AU714" s="34" t="str">
        <f t="shared" si="487"/>
        <v/>
      </c>
      <c r="AV714" s="32" t="str">
        <f t="shared" si="488"/>
        <v/>
      </c>
      <c r="AW714" s="32" t="str">
        <f t="shared" si="489"/>
        <v/>
      </c>
      <c r="AX714" s="32" t="str">
        <f t="shared" si="490"/>
        <v/>
      </c>
      <c r="AY714" s="32" t="str">
        <f t="shared" si="491"/>
        <v/>
      </c>
    </row>
    <row r="715" spans="1:51" x14ac:dyDescent="0.25">
      <c r="A715" s="24" t="str">
        <f t="shared" si="492"/>
        <v/>
      </c>
      <c r="B715" s="24" t="str">
        <f t="shared" si="502"/>
        <v/>
      </c>
      <c r="C715" s="32" t="str">
        <f t="shared" si="493"/>
        <v/>
      </c>
      <c r="D715" s="24" t="str">
        <f t="shared" si="494"/>
        <v/>
      </c>
      <c r="E715" s="24" t="str">
        <f t="shared" si="495"/>
        <v/>
      </c>
      <c r="F715" s="32" t="str">
        <f t="shared" si="496"/>
        <v/>
      </c>
      <c r="G715" s="32" t="str">
        <f t="shared" si="497"/>
        <v/>
      </c>
      <c r="H715" s="32" t="str">
        <f t="shared" ca="1" si="498"/>
        <v/>
      </c>
      <c r="I715" s="32" t="str">
        <f t="shared" ca="1" si="503"/>
        <v/>
      </c>
      <c r="J715" s="32" t="str">
        <f t="shared" si="499"/>
        <v/>
      </c>
      <c r="K715" s="32" t="str">
        <f>IF(ISNUMBER(A715),Profile!$V$25+Profile!$V$24*'Ri-Po'!C715,"")</f>
        <v/>
      </c>
      <c r="L715" s="32" t="str">
        <f t="shared" si="504"/>
        <v/>
      </c>
      <c r="M715" s="32" t="str">
        <f t="shared" si="500"/>
        <v/>
      </c>
      <c r="N715" s="32" t="str">
        <f t="shared" si="501"/>
        <v/>
      </c>
      <c r="O715" s="32" t="str">
        <f t="shared" si="517"/>
        <v/>
      </c>
      <c r="P715" s="32" t="str">
        <f t="shared" si="505"/>
        <v/>
      </c>
      <c r="Q715" s="32" t="str">
        <f t="shared" si="506"/>
        <v/>
      </c>
      <c r="R715" s="32" t="str">
        <f t="shared" si="518"/>
        <v/>
      </c>
      <c r="S715" s="24" t="str">
        <f t="shared" si="519"/>
        <v/>
      </c>
      <c r="T715" s="24" t="str">
        <f t="shared" si="520"/>
        <v/>
      </c>
      <c r="U715" s="24" t="str">
        <f t="shared" si="521"/>
        <v/>
      </c>
      <c r="V715" s="24" t="str">
        <f t="shared" si="522"/>
        <v/>
      </c>
      <c r="W715" s="23" t="str">
        <f t="array" ref="W715">IFERROR(SMALL(IF(S$1:S$1000="BEGIN",ROW(S$1:S$1000)),ROW()-3),"")</f>
        <v/>
      </c>
      <c r="X715" s="23" t="str">
        <f t="array" ref="X715">IFERROR(SMALL(IF(T$1:T$1000="END",ROW(T$1:T$1000)),ROW()-3),"")</f>
        <v/>
      </c>
      <c r="Y715" s="33" t="str">
        <f t="array" ref="Y715">IF(ISNUMBER(W715),MAX(IF((B$4:B$1000&lt;=X715)*(B$4:B$1000&gt;=W715),I$4:I$1000, "")),"")</f>
        <v/>
      </c>
      <c r="Z715" s="33" t="str">
        <f t="shared" si="507"/>
        <v/>
      </c>
      <c r="AA715" s="32" t="str">
        <f t="shared" si="508"/>
        <v/>
      </c>
      <c r="AB715" s="32" t="str">
        <f t="shared" si="509"/>
        <v/>
      </c>
      <c r="AC715" s="32" t="str">
        <f t="shared" si="510"/>
        <v/>
      </c>
      <c r="AD715" s="32" t="str">
        <f t="shared" si="511"/>
        <v/>
      </c>
      <c r="AE715" s="34" t="str">
        <f t="shared" si="512"/>
        <v/>
      </c>
      <c r="AF715" s="32" t="str">
        <f t="shared" si="513"/>
        <v/>
      </c>
      <c r="AG715" s="32" t="str">
        <f t="shared" si="514"/>
        <v/>
      </c>
      <c r="AH715" s="32" t="str">
        <f t="shared" si="515"/>
        <v/>
      </c>
      <c r="AI715" s="35" t="str">
        <f t="shared" si="516"/>
        <v/>
      </c>
      <c r="AJ715" s="23" t="str">
        <f t="array" ref="AJ715">IFERROR(SMALL(IF(U$1:U$1000="BEGIN",ROW(U$1:U$1000)),ROW()-3),"")</f>
        <v/>
      </c>
      <c r="AK715" s="23" t="str">
        <f t="array" ref="AK715">IFERROR(SMALL(IF(V$1:V$1000="END",ROW(V$1:V$1000)),ROW()-3),"")</f>
        <v/>
      </c>
      <c r="AL715" s="24" t="str">
        <f t="array" ref="AL715">IF(AK715="","",MATCH(AM715,L:L,0))</f>
        <v/>
      </c>
      <c r="AM715" s="35">
        <f t="array" ref="AM715">MAX(IF((B$4:B$1000&lt;=AK715)*(B$4:B$1000&gt;=AJ715),L$4:L$1000, ""))</f>
        <v>0</v>
      </c>
      <c r="AN715" s="32" t="str">
        <f t="shared" si="480"/>
        <v/>
      </c>
      <c r="AO715" s="32" t="str">
        <f t="shared" si="481"/>
        <v/>
      </c>
      <c r="AP715" s="32" t="str">
        <f t="shared" si="482"/>
        <v/>
      </c>
      <c r="AQ715" s="32" t="str">
        <f t="shared" si="483"/>
        <v/>
      </c>
      <c r="AR715" s="32" t="str">
        <f t="shared" si="484"/>
        <v/>
      </c>
      <c r="AS715" s="32" t="str">
        <f t="shared" si="485"/>
        <v/>
      </c>
      <c r="AT715" s="32" t="str">
        <f t="shared" si="486"/>
        <v/>
      </c>
      <c r="AU715" s="34" t="str">
        <f t="shared" si="487"/>
        <v/>
      </c>
      <c r="AV715" s="32" t="str">
        <f t="shared" si="488"/>
        <v/>
      </c>
      <c r="AW715" s="32" t="str">
        <f t="shared" si="489"/>
        <v/>
      </c>
      <c r="AX715" s="32" t="str">
        <f t="shared" si="490"/>
        <v/>
      </c>
      <c r="AY715" s="32" t="str">
        <f t="shared" si="491"/>
        <v/>
      </c>
    </row>
    <row r="716" spans="1:51" x14ac:dyDescent="0.25">
      <c r="A716" s="24" t="str">
        <f t="shared" si="492"/>
        <v/>
      </c>
      <c r="B716" s="24" t="str">
        <f t="shared" si="502"/>
        <v/>
      </c>
      <c r="C716" s="32" t="str">
        <f t="shared" si="493"/>
        <v/>
      </c>
      <c r="D716" s="24" t="str">
        <f t="shared" si="494"/>
        <v/>
      </c>
      <c r="E716" s="24" t="str">
        <f t="shared" si="495"/>
        <v/>
      </c>
      <c r="F716" s="32" t="str">
        <f t="shared" si="496"/>
        <v/>
      </c>
      <c r="G716" s="32" t="str">
        <f t="shared" si="497"/>
        <v/>
      </c>
      <c r="H716" s="32" t="str">
        <f t="shared" ca="1" si="498"/>
        <v/>
      </c>
      <c r="I716" s="32" t="str">
        <f t="shared" ca="1" si="503"/>
        <v/>
      </c>
      <c r="J716" s="32" t="str">
        <f t="shared" si="499"/>
        <v/>
      </c>
      <c r="K716" s="32" t="str">
        <f>IF(ISNUMBER(A716),Profile!$V$25+Profile!$V$24*'Ri-Po'!C716,"")</f>
        <v/>
      </c>
      <c r="L716" s="32" t="str">
        <f t="shared" si="504"/>
        <v/>
      </c>
      <c r="M716" s="32" t="str">
        <f t="shared" si="500"/>
        <v/>
      </c>
      <c r="N716" s="32" t="str">
        <f t="shared" si="501"/>
        <v/>
      </c>
      <c r="O716" s="32" t="str">
        <f t="shared" si="517"/>
        <v/>
      </c>
      <c r="P716" s="32" t="str">
        <f t="shared" si="505"/>
        <v/>
      </c>
      <c r="Q716" s="32" t="str">
        <f t="shared" si="506"/>
        <v/>
      </c>
      <c r="R716" s="32" t="str">
        <f t="shared" si="518"/>
        <v/>
      </c>
      <c r="S716" s="24" t="str">
        <f t="shared" si="519"/>
        <v/>
      </c>
      <c r="T716" s="24" t="str">
        <f t="shared" si="520"/>
        <v/>
      </c>
      <c r="U716" s="24" t="str">
        <f t="shared" si="521"/>
        <v/>
      </c>
      <c r="V716" s="24" t="str">
        <f t="shared" si="522"/>
        <v/>
      </c>
      <c r="W716" s="23" t="str">
        <f t="array" ref="W716">IFERROR(SMALL(IF(S$1:S$1000="BEGIN",ROW(S$1:S$1000)),ROW()-3),"")</f>
        <v/>
      </c>
      <c r="X716" s="23" t="str">
        <f t="array" ref="X716">IFERROR(SMALL(IF(T$1:T$1000="END",ROW(T$1:T$1000)),ROW()-3),"")</f>
        <v/>
      </c>
      <c r="Y716" s="33" t="str">
        <f t="array" ref="Y716">IF(ISNUMBER(W716),MAX(IF((B$4:B$1000&lt;=X716)*(B$4:B$1000&gt;=W716),I$4:I$1000, "")),"")</f>
        <v/>
      </c>
      <c r="Z716" s="33" t="str">
        <f t="shared" si="507"/>
        <v/>
      </c>
      <c r="AA716" s="32" t="str">
        <f t="shared" si="508"/>
        <v/>
      </c>
      <c r="AB716" s="32" t="str">
        <f t="shared" si="509"/>
        <v/>
      </c>
      <c r="AC716" s="32" t="str">
        <f t="shared" si="510"/>
        <v/>
      </c>
      <c r="AD716" s="32" t="str">
        <f t="shared" si="511"/>
        <v/>
      </c>
      <c r="AE716" s="34" t="str">
        <f t="shared" si="512"/>
        <v/>
      </c>
      <c r="AF716" s="32" t="str">
        <f t="shared" si="513"/>
        <v/>
      </c>
      <c r="AG716" s="32" t="str">
        <f t="shared" si="514"/>
        <v/>
      </c>
      <c r="AH716" s="32" t="str">
        <f t="shared" si="515"/>
        <v/>
      </c>
      <c r="AI716" s="35" t="str">
        <f t="shared" si="516"/>
        <v/>
      </c>
      <c r="AJ716" s="23" t="str">
        <f t="array" ref="AJ716">IFERROR(SMALL(IF(U$1:U$1000="BEGIN",ROW(U$1:U$1000)),ROW()-3),"")</f>
        <v/>
      </c>
      <c r="AK716" s="23" t="str">
        <f t="array" ref="AK716">IFERROR(SMALL(IF(V$1:V$1000="END",ROW(V$1:V$1000)),ROW()-3),"")</f>
        <v/>
      </c>
      <c r="AL716" s="24" t="str">
        <f t="array" ref="AL716">IF(AK716="","",MATCH(AM716,L:L,0))</f>
        <v/>
      </c>
      <c r="AM716" s="35">
        <f t="array" ref="AM716">MAX(IF((B$4:B$1000&lt;=AK716)*(B$4:B$1000&gt;=AJ716),L$4:L$1000, ""))</f>
        <v>0</v>
      </c>
      <c r="AN716" s="32" t="str">
        <f t="shared" si="480"/>
        <v/>
      </c>
      <c r="AO716" s="32" t="str">
        <f t="shared" si="481"/>
        <v/>
      </c>
      <c r="AP716" s="32" t="str">
        <f t="shared" si="482"/>
        <v/>
      </c>
      <c r="AQ716" s="32" t="str">
        <f t="shared" si="483"/>
        <v/>
      </c>
      <c r="AR716" s="32" t="str">
        <f t="shared" si="484"/>
        <v/>
      </c>
      <c r="AS716" s="32" t="str">
        <f t="shared" si="485"/>
        <v/>
      </c>
      <c r="AT716" s="32" t="str">
        <f t="shared" si="486"/>
        <v/>
      </c>
      <c r="AU716" s="34" t="str">
        <f t="shared" si="487"/>
        <v/>
      </c>
      <c r="AV716" s="32" t="str">
        <f t="shared" si="488"/>
        <v/>
      </c>
      <c r="AW716" s="32" t="str">
        <f t="shared" si="489"/>
        <v/>
      </c>
      <c r="AX716" s="32" t="str">
        <f t="shared" si="490"/>
        <v/>
      </c>
      <c r="AY716" s="32" t="str">
        <f t="shared" si="491"/>
        <v/>
      </c>
    </row>
    <row r="717" spans="1:51" x14ac:dyDescent="0.25">
      <c r="A717" s="24" t="str">
        <f t="shared" si="492"/>
        <v/>
      </c>
      <c r="B717" s="24" t="str">
        <f t="shared" si="502"/>
        <v/>
      </c>
      <c r="C717" s="32" t="str">
        <f t="shared" si="493"/>
        <v/>
      </c>
      <c r="D717" s="24" t="str">
        <f t="shared" si="494"/>
        <v/>
      </c>
      <c r="E717" s="24" t="str">
        <f t="shared" si="495"/>
        <v/>
      </c>
      <c r="F717" s="32" t="str">
        <f t="shared" si="496"/>
        <v/>
      </c>
      <c r="G717" s="32" t="str">
        <f t="shared" si="497"/>
        <v/>
      </c>
      <c r="H717" s="32" t="str">
        <f t="shared" ca="1" si="498"/>
        <v/>
      </c>
      <c r="I717" s="32" t="str">
        <f t="shared" ca="1" si="503"/>
        <v/>
      </c>
      <c r="J717" s="32" t="str">
        <f t="shared" si="499"/>
        <v/>
      </c>
      <c r="K717" s="32" t="str">
        <f>IF(ISNUMBER(A717),Profile!$V$25+Profile!$V$24*'Ri-Po'!C717,"")</f>
        <v/>
      </c>
      <c r="L717" s="32" t="str">
        <f t="shared" si="504"/>
        <v/>
      </c>
      <c r="M717" s="32" t="str">
        <f t="shared" si="500"/>
        <v/>
      </c>
      <c r="N717" s="32" t="str">
        <f t="shared" si="501"/>
        <v/>
      </c>
      <c r="O717" s="32" t="str">
        <f t="shared" si="517"/>
        <v/>
      </c>
      <c r="P717" s="32" t="str">
        <f t="shared" si="505"/>
        <v/>
      </c>
      <c r="Q717" s="32" t="str">
        <f t="shared" si="506"/>
        <v/>
      </c>
      <c r="R717" s="32" t="str">
        <f t="shared" si="518"/>
        <v/>
      </c>
      <c r="S717" s="24" t="str">
        <f t="shared" si="519"/>
        <v/>
      </c>
      <c r="T717" s="24" t="str">
        <f t="shared" si="520"/>
        <v/>
      </c>
      <c r="U717" s="24" t="str">
        <f t="shared" si="521"/>
        <v/>
      </c>
      <c r="V717" s="24" t="str">
        <f t="shared" si="522"/>
        <v/>
      </c>
      <c r="W717" s="23" t="str">
        <f t="array" ref="W717">IFERROR(SMALL(IF(S$1:S$1000="BEGIN",ROW(S$1:S$1000)),ROW()-3),"")</f>
        <v/>
      </c>
      <c r="X717" s="23" t="str">
        <f t="array" ref="X717">IFERROR(SMALL(IF(T$1:T$1000="END",ROW(T$1:T$1000)),ROW()-3),"")</f>
        <v/>
      </c>
      <c r="Y717" s="33" t="str">
        <f t="array" ref="Y717">IF(ISNUMBER(W717),MAX(IF((B$4:B$1000&lt;=X717)*(B$4:B$1000&gt;=W717),I$4:I$1000, "")),"")</f>
        <v/>
      </c>
      <c r="Z717" s="33" t="str">
        <f t="shared" si="507"/>
        <v/>
      </c>
      <c r="AA717" s="32" t="str">
        <f t="shared" si="508"/>
        <v/>
      </c>
      <c r="AB717" s="32" t="str">
        <f t="shared" si="509"/>
        <v/>
      </c>
      <c r="AC717" s="32" t="str">
        <f t="shared" si="510"/>
        <v/>
      </c>
      <c r="AD717" s="32" t="str">
        <f t="shared" si="511"/>
        <v/>
      </c>
      <c r="AE717" s="34" t="str">
        <f t="shared" si="512"/>
        <v/>
      </c>
      <c r="AF717" s="32" t="str">
        <f t="shared" si="513"/>
        <v/>
      </c>
      <c r="AG717" s="32" t="str">
        <f t="shared" si="514"/>
        <v/>
      </c>
      <c r="AH717" s="32" t="str">
        <f t="shared" si="515"/>
        <v/>
      </c>
      <c r="AI717" s="35" t="str">
        <f t="shared" si="516"/>
        <v/>
      </c>
      <c r="AJ717" s="23" t="str">
        <f t="array" ref="AJ717">IFERROR(SMALL(IF(U$1:U$1000="BEGIN",ROW(U$1:U$1000)),ROW()-3),"")</f>
        <v/>
      </c>
      <c r="AK717" s="23" t="str">
        <f t="array" ref="AK717">IFERROR(SMALL(IF(V$1:V$1000="END",ROW(V$1:V$1000)),ROW()-3),"")</f>
        <v/>
      </c>
      <c r="AL717" s="24" t="str">
        <f t="array" ref="AL717">IF(AK717="","",MATCH(AM717,L:L,0))</f>
        <v/>
      </c>
      <c r="AM717" s="35">
        <f t="array" ref="AM717">MAX(IF((B$4:B$1000&lt;=AK717)*(B$4:B$1000&gt;=AJ717),L$4:L$1000, ""))</f>
        <v>0</v>
      </c>
      <c r="AN717" s="32" t="str">
        <f t="shared" si="480"/>
        <v/>
      </c>
      <c r="AO717" s="32" t="str">
        <f t="shared" si="481"/>
        <v/>
      </c>
      <c r="AP717" s="32" t="str">
        <f t="shared" si="482"/>
        <v/>
      </c>
      <c r="AQ717" s="32" t="str">
        <f t="shared" si="483"/>
        <v/>
      </c>
      <c r="AR717" s="32" t="str">
        <f t="shared" si="484"/>
        <v/>
      </c>
      <c r="AS717" s="32" t="str">
        <f t="shared" si="485"/>
        <v/>
      </c>
      <c r="AT717" s="32" t="str">
        <f t="shared" si="486"/>
        <v/>
      </c>
      <c r="AU717" s="34" t="str">
        <f t="shared" si="487"/>
        <v/>
      </c>
      <c r="AV717" s="32" t="str">
        <f t="shared" si="488"/>
        <v/>
      </c>
      <c r="AW717" s="32" t="str">
        <f t="shared" si="489"/>
        <v/>
      </c>
      <c r="AX717" s="32" t="str">
        <f t="shared" si="490"/>
        <v/>
      </c>
      <c r="AY717" s="32" t="str">
        <f t="shared" si="491"/>
        <v/>
      </c>
    </row>
    <row r="718" spans="1:51" x14ac:dyDescent="0.25">
      <c r="A718" s="24" t="str">
        <f t="shared" si="492"/>
        <v/>
      </c>
      <c r="B718" s="24" t="str">
        <f t="shared" si="502"/>
        <v/>
      </c>
      <c r="C718" s="32" t="str">
        <f t="shared" si="493"/>
        <v/>
      </c>
      <c r="D718" s="24" t="str">
        <f t="shared" si="494"/>
        <v/>
      </c>
      <c r="E718" s="24" t="str">
        <f t="shared" si="495"/>
        <v/>
      </c>
      <c r="F718" s="32" t="str">
        <f t="shared" si="496"/>
        <v/>
      </c>
      <c r="G718" s="32" t="str">
        <f t="shared" si="497"/>
        <v/>
      </c>
      <c r="H718" s="32" t="str">
        <f t="shared" ca="1" si="498"/>
        <v/>
      </c>
      <c r="I718" s="32" t="str">
        <f t="shared" ca="1" si="503"/>
        <v/>
      </c>
      <c r="J718" s="32" t="str">
        <f t="shared" si="499"/>
        <v/>
      </c>
      <c r="K718" s="32" t="str">
        <f>IF(ISNUMBER(A718),Profile!$V$25+Profile!$V$24*'Ri-Po'!C718,"")</f>
        <v/>
      </c>
      <c r="L718" s="32" t="str">
        <f t="shared" si="504"/>
        <v/>
      </c>
      <c r="M718" s="32" t="str">
        <f t="shared" si="500"/>
        <v/>
      </c>
      <c r="N718" s="32" t="str">
        <f t="shared" si="501"/>
        <v/>
      </c>
      <c r="O718" s="32" t="str">
        <f t="shared" si="517"/>
        <v/>
      </c>
      <c r="P718" s="32" t="str">
        <f t="shared" si="505"/>
        <v/>
      </c>
      <c r="Q718" s="32" t="str">
        <f t="shared" si="506"/>
        <v/>
      </c>
      <c r="R718" s="32" t="str">
        <f t="shared" si="518"/>
        <v/>
      </c>
      <c r="S718" s="24" t="str">
        <f t="shared" si="519"/>
        <v/>
      </c>
      <c r="T718" s="24" t="str">
        <f t="shared" si="520"/>
        <v/>
      </c>
      <c r="U718" s="24" t="str">
        <f t="shared" si="521"/>
        <v/>
      </c>
      <c r="V718" s="24" t="str">
        <f t="shared" si="522"/>
        <v/>
      </c>
      <c r="W718" s="23" t="str">
        <f t="array" ref="W718">IFERROR(SMALL(IF(S$1:S$1000="BEGIN",ROW(S$1:S$1000)),ROW()-3),"")</f>
        <v/>
      </c>
      <c r="X718" s="23" t="str">
        <f t="array" ref="X718">IFERROR(SMALL(IF(T$1:T$1000="END",ROW(T$1:T$1000)),ROW()-3),"")</f>
        <v/>
      </c>
      <c r="Y718" s="33" t="str">
        <f t="array" ref="Y718">IF(ISNUMBER(W718),MAX(IF((B$4:B$1000&lt;=X718)*(B$4:B$1000&gt;=W718),I$4:I$1000, "")),"")</f>
        <v/>
      </c>
      <c r="Z718" s="33" t="str">
        <f t="shared" si="507"/>
        <v/>
      </c>
      <c r="AA718" s="32" t="str">
        <f t="shared" si="508"/>
        <v/>
      </c>
      <c r="AB718" s="32" t="str">
        <f t="shared" si="509"/>
        <v/>
      </c>
      <c r="AC718" s="32" t="str">
        <f t="shared" si="510"/>
        <v/>
      </c>
      <c r="AD718" s="32" t="str">
        <f t="shared" si="511"/>
        <v/>
      </c>
      <c r="AE718" s="34" t="str">
        <f t="shared" si="512"/>
        <v/>
      </c>
      <c r="AF718" s="32" t="str">
        <f t="shared" si="513"/>
        <v/>
      </c>
      <c r="AG718" s="32" t="str">
        <f t="shared" si="514"/>
        <v/>
      </c>
      <c r="AH718" s="32" t="str">
        <f t="shared" si="515"/>
        <v/>
      </c>
      <c r="AI718" s="35" t="str">
        <f t="shared" si="516"/>
        <v/>
      </c>
      <c r="AJ718" s="23" t="str">
        <f t="array" ref="AJ718">IFERROR(SMALL(IF(U$1:U$1000="BEGIN",ROW(U$1:U$1000)),ROW()-3),"")</f>
        <v/>
      </c>
      <c r="AK718" s="23" t="str">
        <f t="array" ref="AK718">IFERROR(SMALL(IF(V$1:V$1000="END",ROW(V$1:V$1000)),ROW()-3),"")</f>
        <v/>
      </c>
      <c r="AL718" s="24" t="str">
        <f t="array" ref="AL718">IF(AK718="","",MATCH(AM718,L:L,0))</f>
        <v/>
      </c>
      <c r="AM718" s="35">
        <f t="array" ref="AM718">MAX(IF((B$4:B$1000&lt;=AK718)*(B$4:B$1000&gt;=AJ718),L$4:L$1000, ""))</f>
        <v>0</v>
      </c>
      <c r="AN718" s="32" t="str">
        <f t="shared" si="480"/>
        <v/>
      </c>
      <c r="AO718" s="32" t="str">
        <f t="shared" si="481"/>
        <v/>
      </c>
      <c r="AP718" s="32" t="str">
        <f t="shared" si="482"/>
        <v/>
      </c>
      <c r="AQ718" s="32" t="str">
        <f t="shared" si="483"/>
        <v/>
      </c>
      <c r="AR718" s="32" t="str">
        <f t="shared" si="484"/>
        <v/>
      </c>
      <c r="AS718" s="32" t="str">
        <f t="shared" si="485"/>
        <v/>
      </c>
      <c r="AT718" s="32" t="str">
        <f t="shared" si="486"/>
        <v/>
      </c>
      <c r="AU718" s="34" t="str">
        <f t="shared" si="487"/>
        <v/>
      </c>
      <c r="AV718" s="32" t="str">
        <f t="shared" si="488"/>
        <v/>
      </c>
      <c r="AW718" s="32" t="str">
        <f t="shared" si="489"/>
        <v/>
      </c>
      <c r="AX718" s="32" t="str">
        <f t="shared" si="490"/>
        <v/>
      </c>
      <c r="AY718" s="32" t="str">
        <f t="shared" si="491"/>
        <v/>
      </c>
    </row>
    <row r="719" spans="1:51" x14ac:dyDescent="0.25">
      <c r="A719" s="24" t="str">
        <f t="shared" si="492"/>
        <v/>
      </c>
      <c r="B719" s="24" t="str">
        <f t="shared" si="502"/>
        <v/>
      </c>
      <c r="C719" s="32" t="str">
        <f t="shared" si="493"/>
        <v/>
      </c>
      <c r="D719" s="24" t="str">
        <f t="shared" si="494"/>
        <v/>
      </c>
      <c r="E719" s="24" t="str">
        <f t="shared" si="495"/>
        <v/>
      </c>
      <c r="F719" s="32" t="str">
        <f t="shared" si="496"/>
        <v/>
      </c>
      <c r="G719" s="32" t="str">
        <f t="shared" si="497"/>
        <v/>
      </c>
      <c r="H719" s="32" t="str">
        <f t="shared" ca="1" si="498"/>
        <v/>
      </c>
      <c r="I719" s="32" t="str">
        <f t="shared" ca="1" si="503"/>
        <v/>
      </c>
      <c r="J719" s="32" t="str">
        <f t="shared" si="499"/>
        <v/>
      </c>
      <c r="K719" s="32" t="str">
        <f>IF(ISNUMBER(A719),Profile!$V$25+Profile!$V$24*'Ri-Po'!C719,"")</f>
        <v/>
      </c>
      <c r="L719" s="32" t="str">
        <f t="shared" si="504"/>
        <v/>
      </c>
      <c r="M719" s="32" t="str">
        <f t="shared" si="500"/>
        <v/>
      </c>
      <c r="N719" s="32" t="str">
        <f t="shared" si="501"/>
        <v/>
      </c>
      <c r="O719" s="32" t="str">
        <f t="shared" si="517"/>
        <v/>
      </c>
      <c r="P719" s="32" t="str">
        <f t="shared" si="505"/>
        <v/>
      </c>
      <c r="Q719" s="32" t="str">
        <f t="shared" si="506"/>
        <v/>
      </c>
      <c r="R719" s="32" t="str">
        <f t="shared" si="518"/>
        <v/>
      </c>
      <c r="S719" s="24" t="str">
        <f t="shared" si="519"/>
        <v/>
      </c>
      <c r="T719" s="24" t="str">
        <f t="shared" si="520"/>
        <v/>
      </c>
      <c r="U719" s="24" t="str">
        <f t="shared" si="521"/>
        <v/>
      </c>
      <c r="V719" s="24" t="str">
        <f t="shared" si="522"/>
        <v/>
      </c>
      <c r="W719" s="23" t="str">
        <f t="array" ref="W719">IFERROR(SMALL(IF(S$1:S$1000="BEGIN",ROW(S$1:S$1000)),ROW()-3),"")</f>
        <v/>
      </c>
      <c r="X719" s="23" t="str">
        <f t="array" ref="X719">IFERROR(SMALL(IF(T$1:T$1000="END",ROW(T$1:T$1000)),ROW()-3),"")</f>
        <v/>
      </c>
      <c r="Y719" s="33" t="str">
        <f t="array" ref="Y719">IF(ISNUMBER(W719),MAX(IF((B$4:B$1000&lt;=X719)*(B$4:B$1000&gt;=W719),I$4:I$1000, "")),"")</f>
        <v/>
      </c>
      <c r="Z719" s="33" t="str">
        <f t="shared" si="507"/>
        <v/>
      </c>
      <c r="AA719" s="32" t="str">
        <f t="shared" si="508"/>
        <v/>
      </c>
      <c r="AB719" s="32" t="str">
        <f t="shared" si="509"/>
        <v/>
      </c>
      <c r="AC719" s="32" t="str">
        <f t="shared" si="510"/>
        <v/>
      </c>
      <c r="AD719" s="32" t="str">
        <f t="shared" si="511"/>
        <v/>
      </c>
      <c r="AE719" s="34" t="str">
        <f t="shared" si="512"/>
        <v/>
      </c>
      <c r="AF719" s="32" t="str">
        <f t="shared" si="513"/>
        <v/>
      </c>
      <c r="AG719" s="32" t="str">
        <f t="shared" si="514"/>
        <v/>
      </c>
      <c r="AH719" s="32" t="str">
        <f t="shared" si="515"/>
        <v/>
      </c>
      <c r="AI719" s="35" t="str">
        <f t="shared" si="516"/>
        <v/>
      </c>
      <c r="AJ719" s="23" t="str">
        <f t="array" ref="AJ719">IFERROR(SMALL(IF(U$1:U$1000="BEGIN",ROW(U$1:U$1000)),ROW()-3),"")</f>
        <v/>
      </c>
      <c r="AK719" s="23" t="str">
        <f t="array" ref="AK719">IFERROR(SMALL(IF(V$1:V$1000="END",ROW(V$1:V$1000)),ROW()-3),"")</f>
        <v/>
      </c>
      <c r="AL719" s="24" t="str">
        <f t="array" ref="AL719">IF(AK719="","",MATCH(AM719,L:L,0))</f>
        <v/>
      </c>
      <c r="AM719" s="35">
        <f t="array" ref="AM719">MAX(IF((B$4:B$1000&lt;=AK719)*(B$4:B$1000&gt;=AJ719),L$4:L$1000, ""))</f>
        <v>0</v>
      </c>
      <c r="AN719" s="32" t="str">
        <f t="shared" si="480"/>
        <v/>
      </c>
      <c r="AO719" s="32" t="str">
        <f t="shared" si="481"/>
        <v/>
      </c>
      <c r="AP719" s="32" t="str">
        <f t="shared" si="482"/>
        <v/>
      </c>
      <c r="AQ719" s="32" t="str">
        <f t="shared" si="483"/>
        <v/>
      </c>
      <c r="AR719" s="32" t="str">
        <f t="shared" si="484"/>
        <v/>
      </c>
      <c r="AS719" s="32" t="str">
        <f t="shared" si="485"/>
        <v/>
      </c>
      <c r="AT719" s="32" t="str">
        <f t="shared" si="486"/>
        <v/>
      </c>
      <c r="AU719" s="34" t="str">
        <f t="shared" si="487"/>
        <v/>
      </c>
      <c r="AV719" s="32" t="str">
        <f t="shared" si="488"/>
        <v/>
      </c>
      <c r="AW719" s="32" t="str">
        <f t="shared" si="489"/>
        <v/>
      </c>
      <c r="AX719" s="32" t="str">
        <f t="shared" si="490"/>
        <v/>
      </c>
      <c r="AY719" s="32" t="str">
        <f t="shared" si="491"/>
        <v/>
      </c>
    </row>
    <row r="720" spans="1:51" x14ac:dyDescent="0.25">
      <c r="A720" s="24" t="str">
        <f t="shared" si="492"/>
        <v/>
      </c>
      <c r="B720" s="24" t="str">
        <f t="shared" si="502"/>
        <v/>
      </c>
      <c r="C720" s="32" t="str">
        <f t="shared" si="493"/>
        <v/>
      </c>
      <c r="D720" s="24" t="str">
        <f t="shared" si="494"/>
        <v/>
      </c>
      <c r="E720" s="24" t="str">
        <f t="shared" si="495"/>
        <v/>
      </c>
      <c r="F720" s="32" t="str">
        <f t="shared" si="496"/>
        <v/>
      </c>
      <c r="G720" s="32" t="str">
        <f t="shared" si="497"/>
        <v/>
      </c>
      <c r="H720" s="32" t="str">
        <f t="shared" ca="1" si="498"/>
        <v/>
      </c>
      <c r="I720" s="32" t="str">
        <f t="shared" ca="1" si="503"/>
        <v/>
      </c>
      <c r="J720" s="32" t="str">
        <f t="shared" si="499"/>
        <v/>
      </c>
      <c r="K720" s="32" t="str">
        <f>IF(ISNUMBER(A720),Profile!$V$25+Profile!$V$24*'Ri-Po'!C720,"")</f>
        <v/>
      </c>
      <c r="L720" s="32" t="str">
        <f t="shared" si="504"/>
        <v/>
      </c>
      <c r="M720" s="32" t="str">
        <f t="shared" si="500"/>
        <v/>
      </c>
      <c r="N720" s="32" t="str">
        <f t="shared" si="501"/>
        <v/>
      </c>
      <c r="O720" s="32" t="str">
        <f t="shared" si="517"/>
        <v/>
      </c>
      <c r="P720" s="32" t="str">
        <f t="shared" si="505"/>
        <v/>
      </c>
      <c r="Q720" s="32" t="str">
        <f t="shared" si="506"/>
        <v/>
      </c>
      <c r="R720" s="32" t="str">
        <f t="shared" si="518"/>
        <v/>
      </c>
      <c r="S720" s="24" t="str">
        <f t="shared" si="519"/>
        <v/>
      </c>
      <c r="T720" s="24" t="str">
        <f t="shared" si="520"/>
        <v/>
      </c>
      <c r="U720" s="24" t="str">
        <f t="shared" si="521"/>
        <v/>
      </c>
      <c r="V720" s="24" t="str">
        <f t="shared" si="522"/>
        <v/>
      </c>
      <c r="W720" s="23" t="str">
        <f t="array" ref="W720">IFERROR(SMALL(IF(S$1:S$1000="BEGIN",ROW(S$1:S$1000)),ROW()-3),"")</f>
        <v/>
      </c>
      <c r="X720" s="23" t="str">
        <f t="array" ref="X720">IFERROR(SMALL(IF(T$1:T$1000="END",ROW(T$1:T$1000)),ROW()-3),"")</f>
        <v/>
      </c>
      <c r="Y720" s="33" t="str">
        <f t="array" ref="Y720">IF(ISNUMBER(W720),MAX(IF((B$4:B$1000&lt;=X720)*(B$4:B$1000&gt;=W720),I$4:I$1000, "")),"")</f>
        <v/>
      </c>
      <c r="Z720" s="33" t="str">
        <f t="shared" si="507"/>
        <v/>
      </c>
      <c r="AA720" s="32" t="str">
        <f t="shared" si="508"/>
        <v/>
      </c>
      <c r="AB720" s="32" t="str">
        <f t="shared" si="509"/>
        <v/>
      </c>
      <c r="AC720" s="32" t="str">
        <f t="shared" si="510"/>
        <v/>
      </c>
      <c r="AD720" s="32" t="str">
        <f t="shared" si="511"/>
        <v/>
      </c>
      <c r="AE720" s="34" t="str">
        <f t="shared" si="512"/>
        <v/>
      </c>
      <c r="AF720" s="32" t="str">
        <f t="shared" si="513"/>
        <v/>
      </c>
      <c r="AG720" s="32" t="str">
        <f t="shared" si="514"/>
        <v/>
      </c>
      <c r="AH720" s="32" t="str">
        <f t="shared" si="515"/>
        <v/>
      </c>
      <c r="AI720" s="35" t="str">
        <f t="shared" si="516"/>
        <v/>
      </c>
      <c r="AJ720" s="23" t="str">
        <f t="array" ref="AJ720">IFERROR(SMALL(IF(U$1:U$1000="BEGIN",ROW(U$1:U$1000)),ROW()-3),"")</f>
        <v/>
      </c>
      <c r="AK720" s="23" t="str">
        <f t="array" ref="AK720">IFERROR(SMALL(IF(V$1:V$1000="END",ROW(V$1:V$1000)),ROW()-3),"")</f>
        <v/>
      </c>
      <c r="AL720" s="24" t="str">
        <f t="array" ref="AL720">IF(AK720="","",MATCH(AM720,L:L,0))</f>
        <v/>
      </c>
      <c r="AM720" s="35">
        <f t="array" ref="AM720">MAX(IF((B$4:B$1000&lt;=AK720)*(B$4:B$1000&gt;=AJ720),L$4:L$1000, ""))</f>
        <v>0</v>
      </c>
      <c r="AN720" s="32" t="str">
        <f t="shared" si="480"/>
        <v/>
      </c>
      <c r="AO720" s="32" t="str">
        <f t="shared" si="481"/>
        <v/>
      </c>
      <c r="AP720" s="32" t="str">
        <f t="shared" si="482"/>
        <v/>
      </c>
      <c r="AQ720" s="32" t="str">
        <f t="shared" si="483"/>
        <v/>
      </c>
      <c r="AR720" s="32" t="str">
        <f t="shared" si="484"/>
        <v/>
      </c>
      <c r="AS720" s="32" t="str">
        <f t="shared" si="485"/>
        <v/>
      </c>
      <c r="AT720" s="32" t="str">
        <f t="shared" si="486"/>
        <v/>
      </c>
      <c r="AU720" s="34" t="str">
        <f t="shared" si="487"/>
        <v/>
      </c>
      <c r="AV720" s="32" t="str">
        <f t="shared" si="488"/>
        <v/>
      </c>
      <c r="AW720" s="32" t="str">
        <f t="shared" si="489"/>
        <v/>
      </c>
      <c r="AX720" s="32" t="str">
        <f t="shared" si="490"/>
        <v/>
      </c>
      <c r="AY720" s="32" t="str">
        <f t="shared" si="491"/>
        <v/>
      </c>
    </row>
    <row r="721" spans="1:51" x14ac:dyDescent="0.25">
      <c r="A721" s="24" t="str">
        <f t="shared" si="492"/>
        <v/>
      </c>
      <c r="B721" s="24" t="str">
        <f t="shared" si="502"/>
        <v/>
      </c>
      <c r="C721" s="32" t="str">
        <f t="shared" si="493"/>
        <v/>
      </c>
      <c r="D721" s="24" t="str">
        <f t="shared" si="494"/>
        <v/>
      </c>
      <c r="E721" s="24" t="str">
        <f t="shared" si="495"/>
        <v/>
      </c>
      <c r="F721" s="32" t="str">
        <f t="shared" si="496"/>
        <v/>
      </c>
      <c r="G721" s="32" t="str">
        <f t="shared" si="497"/>
        <v/>
      </c>
      <c r="H721" s="32" t="str">
        <f t="shared" ca="1" si="498"/>
        <v/>
      </c>
      <c r="I721" s="32" t="str">
        <f t="shared" ca="1" si="503"/>
        <v/>
      </c>
      <c r="J721" s="32" t="str">
        <f t="shared" si="499"/>
        <v/>
      </c>
      <c r="K721" s="32" t="str">
        <f>IF(ISNUMBER(A721),Profile!$V$25+Profile!$V$24*'Ri-Po'!C721,"")</f>
        <v/>
      </c>
      <c r="L721" s="32" t="str">
        <f t="shared" si="504"/>
        <v/>
      </c>
      <c r="M721" s="32" t="str">
        <f t="shared" si="500"/>
        <v/>
      </c>
      <c r="N721" s="32" t="str">
        <f t="shared" si="501"/>
        <v/>
      </c>
      <c r="O721" s="32" t="str">
        <f t="shared" si="517"/>
        <v/>
      </c>
      <c r="P721" s="32" t="str">
        <f t="shared" si="505"/>
        <v/>
      </c>
      <c r="Q721" s="32" t="str">
        <f t="shared" si="506"/>
        <v/>
      </c>
      <c r="R721" s="32" t="str">
        <f t="shared" si="518"/>
        <v/>
      </c>
      <c r="S721" s="24" t="str">
        <f t="shared" si="519"/>
        <v/>
      </c>
      <c r="T721" s="24" t="str">
        <f t="shared" si="520"/>
        <v/>
      </c>
      <c r="U721" s="24" t="str">
        <f t="shared" si="521"/>
        <v/>
      </c>
      <c r="V721" s="24" t="str">
        <f t="shared" si="522"/>
        <v/>
      </c>
      <c r="W721" s="23" t="str">
        <f t="array" ref="W721">IFERROR(SMALL(IF(S$1:S$1000="BEGIN",ROW(S$1:S$1000)),ROW()-3),"")</f>
        <v/>
      </c>
      <c r="X721" s="23" t="str">
        <f t="array" ref="X721">IFERROR(SMALL(IF(T$1:T$1000="END",ROW(T$1:T$1000)),ROW()-3),"")</f>
        <v/>
      </c>
      <c r="Y721" s="33" t="str">
        <f t="array" ref="Y721">IF(ISNUMBER(W721),MAX(IF((B$4:B$1000&lt;=X721)*(B$4:B$1000&gt;=W721),I$4:I$1000, "")),"")</f>
        <v/>
      </c>
      <c r="Z721" s="33" t="str">
        <f t="shared" si="507"/>
        <v/>
      </c>
      <c r="AA721" s="32" t="str">
        <f t="shared" si="508"/>
        <v/>
      </c>
      <c r="AB721" s="32" t="str">
        <f t="shared" si="509"/>
        <v/>
      </c>
      <c r="AC721" s="32" t="str">
        <f t="shared" si="510"/>
        <v/>
      </c>
      <c r="AD721" s="32" t="str">
        <f t="shared" si="511"/>
        <v/>
      </c>
      <c r="AE721" s="34" t="str">
        <f t="shared" si="512"/>
        <v/>
      </c>
      <c r="AF721" s="32" t="str">
        <f t="shared" si="513"/>
        <v/>
      </c>
      <c r="AG721" s="32" t="str">
        <f t="shared" si="514"/>
        <v/>
      </c>
      <c r="AH721" s="32" t="str">
        <f t="shared" si="515"/>
        <v/>
      </c>
      <c r="AI721" s="35" t="str">
        <f t="shared" si="516"/>
        <v/>
      </c>
      <c r="AJ721" s="23" t="str">
        <f t="array" ref="AJ721">IFERROR(SMALL(IF(U$1:U$1000="BEGIN",ROW(U$1:U$1000)),ROW()-3),"")</f>
        <v/>
      </c>
      <c r="AK721" s="23" t="str">
        <f t="array" ref="AK721">IFERROR(SMALL(IF(V$1:V$1000="END",ROW(V$1:V$1000)),ROW()-3),"")</f>
        <v/>
      </c>
      <c r="AL721" s="24" t="str">
        <f t="array" ref="AL721">IF(AK721="","",MATCH(AM721,L:L,0))</f>
        <v/>
      </c>
      <c r="AM721" s="35">
        <f t="array" ref="AM721">MAX(IF((B$4:B$1000&lt;=AK721)*(B$4:B$1000&gt;=AJ721),L$4:L$1000, ""))</f>
        <v>0</v>
      </c>
      <c r="AN721" s="32" t="str">
        <f t="shared" si="480"/>
        <v/>
      </c>
      <c r="AO721" s="32" t="str">
        <f t="shared" si="481"/>
        <v/>
      </c>
      <c r="AP721" s="32" t="str">
        <f t="shared" si="482"/>
        <v/>
      </c>
      <c r="AQ721" s="32" t="str">
        <f t="shared" si="483"/>
        <v/>
      </c>
      <c r="AR721" s="32" t="str">
        <f t="shared" si="484"/>
        <v/>
      </c>
      <c r="AS721" s="32" t="str">
        <f t="shared" si="485"/>
        <v/>
      </c>
      <c r="AT721" s="32" t="str">
        <f t="shared" si="486"/>
        <v/>
      </c>
      <c r="AU721" s="34" t="str">
        <f t="shared" si="487"/>
        <v/>
      </c>
      <c r="AV721" s="32" t="str">
        <f t="shared" si="488"/>
        <v/>
      </c>
      <c r="AW721" s="32" t="str">
        <f t="shared" si="489"/>
        <v/>
      </c>
      <c r="AX721" s="32" t="str">
        <f t="shared" si="490"/>
        <v/>
      </c>
      <c r="AY721" s="32" t="str">
        <f t="shared" si="491"/>
        <v/>
      </c>
    </row>
    <row r="722" spans="1:51" x14ac:dyDescent="0.25">
      <c r="A722" s="24" t="str">
        <f t="shared" si="492"/>
        <v/>
      </c>
      <c r="B722" s="24" t="str">
        <f t="shared" si="502"/>
        <v/>
      </c>
      <c r="C722" s="32" t="str">
        <f t="shared" si="493"/>
        <v/>
      </c>
      <c r="D722" s="24" t="str">
        <f t="shared" si="494"/>
        <v/>
      </c>
      <c r="E722" s="24" t="str">
        <f t="shared" si="495"/>
        <v/>
      </c>
      <c r="F722" s="32" t="str">
        <f t="shared" si="496"/>
        <v/>
      </c>
      <c r="G722" s="32" t="str">
        <f t="shared" si="497"/>
        <v/>
      </c>
      <c r="H722" s="32" t="str">
        <f t="shared" ca="1" si="498"/>
        <v/>
      </c>
      <c r="I722" s="32" t="str">
        <f t="shared" ca="1" si="503"/>
        <v/>
      </c>
      <c r="J722" s="32" t="str">
        <f t="shared" si="499"/>
        <v/>
      </c>
      <c r="K722" s="32" t="str">
        <f>IF(ISNUMBER(A722),Profile!$V$25+Profile!$V$24*'Ri-Po'!C722,"")</f>
        <v/>
      </c>
      <c r="L722" s="32" t="str">
        <f t="shared" si="504"/>
        <v/>
      </c>
      <c r="M722" s="32" t="str">
        <f t="shared" si="500"/>
        <v/>
      </c>
      <c r="N722" s="32" t="str">
        <f t="shared" si="501"/>
        <v/>
      </c>
      <c r="O722" s="32" t="str">
        <f t="shared" si="517"/>
        <v/>
      </c>
      <c r="P722" s="32" t="str">
        <f t="shared" si="505"/>
        <v/>
      </c>
      <c r="Q722" s="32" t="str">
        <f t="shared" si="506"/>
        <v/>
      </c>
      <c r="R722" s="32" t="str">
        <f t="shared" si="518"/>
        <v/>
      </c>
      <c r="S722" s="24" t="str">
        <f t="shared" si="519"/>
        <v/>
      </c>
      <c r="T722" s="24" t="str">
        <f t="shared" si="520"/>
        <v/>
      </c>
      <c r="U722" s="24" t="str">
        <f t="shared" si="521"/>
        <v/>
      </c>
      <c r="V722" s="24" t="str">
        <f t="shared" si="522"/>
        <v/>
      </c>
      <c r="W722" s="23" t="str">
        <f t="array" ref="W722">IFERROR(SMALL(IF(S$1:S$1000="BEGIN",ROW(S$1:S$1000)),ROW()-3),"")</f>
        <v/>
      </c>
      <c r="X722" s="23" t="str">
        <f t="array" ref="X722">IFERROR(SMALL(IF(T$1:T$1000="END",ROW(T$1:T$1000)),ROW()-3),"")</f>
        <v/>
      </c>
      <c r="Y722" s="33" t="str">
        <f t="array" ref="Y722">IF(ISNUMBER(W722),MAX(IF((B$4:B$1000&lt;=X722)*(B$4:B$1000&gt;=W722),I$4:I$1000, "")),"")</f>
        <v/>
      </c>
      <c r="Z722" s="33" t="str">
        <f t="shared" si="507"/>
        <v/>
      </c>
      <c r="AA722" s="32" t="str">
        <f t="shared" si="508"/>
        <v/>
      </c>
      <c r="AB722" s="32" t="str">
        <f t="shared" si="509"/>
        <v/>
      </c>
      <c r="AC722" s="32" t="str">
        <f t="shared" si="510"/>
        <v/>
      </c>
      <c r="AD722" s="32" t="str">
        <f t="shared" si="511"/>
        <v/>
      </c>
      <c r="AE722" s="34" t="str">
        <f t="shared" si="512"/>
        <v/>
      </c>
      <c r="AF722" s="32" t="str">
        <f t="shared" si="513"/>
        <v/>
      </c>
      <c r="AG722" s="32" t="str">
        <f t="shared" si="514"/>
        <v/>
      </c>
      <c r="AH722" s="32" t="str">
        <f t="shared" si="515"/>
        <v/>
      </c>
      <c r="AI722" s="35" t="str">
        <f t="shared" si="516"/>
        <v/>
      </c>
      <c r="AJ722" s="23" t="str">
        <f t="array" ref="AJ722">IFERROR(SMALL(IF(U$1:U$1000="BEGIN",ROW(U$1:U$1000)),ROW()-3),"")</f>
        <v/>
      </c>
      <c r="AK722" s="23" t="str">
        <f t="array" ref="AK722">IFERROR(SMALL(IF(V$1:V$1000="END",ROW(V$1:V$1000)),ROW()-3),"")</f>
        <v/>
      </c>
      <c r="AL722" s="24" t="str">
        <f t="array" ref="AL722">IF(AK722="","",MATCH(AM722,L:L,0))</f>
        <v/>
      </c>
      <c r="AM722" s="35">
        <f t="array" ref="AM722">MAX(IF((B$4:B$1000&lt;=AK722)*(B$4:B$1000&gt;=AJ722),L$4:L$1000, ""))</f>
        <v>0</v>
      </c>
      <c r="AN722" s="32" t="str">
        <f t="shared" ref="AN722:AN785" si="523">IFERROR(INDEX(C:C,AJ722),"")</f>
        <v/>
      </c>
      <c r="AO722" s="32" t="str">
        <f t="shared" ref="AO722:AO785" si="524">IFERROR(INDEX(C:C,AK722),"")</f>
        <v/>
      </c>
      <c r="AP722" s="32" t="str">
        <f t="shared" ref="AP722:AP785" si="525">IFERROR(INDEX(C:C,AL722),"")</f>
        <v/>
      </c>
      <c r="AQ722" s="32" t="str">
        <f t="shared" ref="AQ722:AQ785" si="526">IF(ISNUMBER(AN722),AM722,"")</f>
        <v/>
      </c>
      <c r="AR722" s="32" t="str">
        <f t="shared" ref="AR722:AR785" si="527">IFERROR(AO722-AN722,"")</f>
        <v/>
      </c>
      <c r="AS722" s="32" t="str">
        <f t="shared" ref="AS722:AS785" si="528">IFERROR(INDEX(H:H,AJ722),"")</f>
        <v/>
      </c>
      <c r="AT722" s="32" t="str">
        <f t="shared" ref="AT722:AT785" si="529">IFERROR(INDEX(H:H,AK722),"")</f>
        <v/>
      </c>
      <c r="AU722" s="34" t="str">
        <f t="shared" ref="AU722:AU785" si="530">IFERROR((AS722-AT722)/(AR722),"")</f>
        <v/>
      </c>
      <c r="AV722" s="32" t="str">
        <f t="shared" ref="AV722:AV785" si="531">IFERROR(AQ722/$BB$17,"")</f>
        <v/>
      </c>
      <c r="AW722" s="32" t="str">
        <f t="shared" ref="AW722:AW785" si="532">IFERROR(AU722/BB$19,"")</f>
        <v/>
      </c>
      <c r="AX722" s="32" t="str">
        <f t="shared" ref="AX722:AX785" si="533">IFERROR(AP723-AP722,"")</f>
        <v/>
      </c>
      <c r="AY722" s="32" t="str">
        <f t="shared" ref="AY722:AY785" si="534">IFERROR(AX722/BB$16,"")</f>
        <v/>
      </c>
    </row>
    <row r="723" spans="1:51" x14ac:dyDescent="0.25">
      <c r="A723" s="24" t="str">
        <f t="shared" si="492"/>
        <v/>
      </c>
      <c r="B723" s="24" t="str">
        <f t="shared" si="502"/>
        <v/>
      </c>
      <c r="C723" s="32" t="str">
        <f t="shared" si="493"/>
        <v/>
      </c>
      <c r="D723" s="24" t="str">
        <f t="shared" si="494"/>
        <v/>
      </c>
      <c r="E723" s="24" t="str">
        <f t="shared" si="495"/>
        <v/>
      </c>
      <c r="F723" s="32" t="str">
        <f t="shared" si="496"/>
        <v/>
      </c>
      <c r="G723" s="32" t="str">
        <f t="shared" si="497"/>
        <v/>
      </c>
      <c r="H723" s="32" t="str">
        <f t="shared" ca="1" si="498"/>
        <v/>
      </c>
      <c r="I723" s="32" t="str">
        <f t="shared" ca="1" si="503"/>
        <v/>
      </c>
      <c r="J723" s="32" t="str">
        <f t="shared" si="499"/>
        <v/>
      </c>
      <c r="K723" s="32" t="str">
        <f>IF(ISNUMBER(A723),Profile!$V$25+Profile!$V$24*'Ri-Po'!C723,"")</f>
        <v/>
      </c>
      <c r="L723" s="32" t="str">
        <f t="shared" si="504"/>
        <v/>
      </c>
      <c r="M723" s="32" t="str">
        <f t="shared" si="500"/>
        <v/>
      </c>
      <c r="N723" s="32" t="str">
        <f t="shared" si="501"/>
        <v/>
      </c>
      <c r="O723" s="32" t="str">
        <f t="shared" si="517"/>
        <v/>
      </c>
      <c r="P723" s="32" t="str">
        <f t="shared" si="505"/>
        <v/>
      </c>
      <c r="Q723" s="32" t="str">
        <f t="shared" si="506"/>
        <v/>
      </c>
      <c r="R723" s="32" t="str">
        <f t="shared" si="518"/>
        <v/>
      </c>
      <c r="S723" s="24" t="str">
        <f t="shared" si="519"/>
        <v/>
      </c>
      <c r="T723" s="24" t="str">
        <f t="shared" si="520"/>
        <v/>
      </c>
      <c r="U723" s="24" t="str">
        <f t="shared" si="521"/>
        <v/>
      </c>
      <c r="V723" s="24" t="str">
        <f t="shared" si="522"/>
        <v/>
      </c>
      <c r="W723" s="23" t="str">
        <f t="array" ref="W723">IFERROR(SMALL(IF(S$1:S$1000="BEGIN",ROW(S$1:S$1000)),ROW()-3),"")</f>
        <v/>
      </c>
      <c r="X723" s="23" t="str">
        <f t="array" ref="X723">IFERROR(SMALL(IF(T$1:T$1000="END",ROW(T$1:T$1000)),ROW()-3),"")</f>
        <v/>
      </c>
      <c r="Y723" s="33" t="str">
        <f t="array" ref="Y723">IF(ISNUMBER(W723),MAX(IF((B$4:B$1000&lt;=X723)*(B$4:B$1000&gt;=W723),I$4:I$1000, "")),"")</f>
        <v/>
      </c>
      <c r="Z723" s="33" t="str">
        <f t="shared" si="507"/>
        <v/>
      </c>
      <c r="AA723" s="32" t="str">
        <f t="shared" si="508"/>
        <v/>
      </c>
      <c r="AB723" s="32" t="str">
        <f t="shared" si="509"/>
        <v/>
      </c>
      <c r="AC723" s="32" t="str">
        <f t="shared" si="510"/>
        <v/>
      </c>
      <c r="AD723" s="32" t="str">
        <f t="shared" si="511"/>
        <v/>
      </c>
      <c r="AE723" s="34" t="str">
        <f t="shared" si="512"/>
        <v/>
      </c>
      <c r="AF723" s="32" t="str">
        <f t="shared" si="513"/>
        <v/>
      </c>
      <c r="AG723" s="32" t="str">
        <f t="shared" si="514"/>
        <v/>
      </c>
      <c r="AH723" s="32" t="str">
        <f t="shared" si="515"/>
        <v/>
      </c>
      <c r="AI723" s="35" t="str">
        <f t="shared" si="516"/>
        <v/>
      </c>
      <c r="AJ723" s="23" t="str">
        <f t="array" ref="AJ723">IFERROR(SMALL(IF(U$1:U$1000="BEGIN",ROW(U$1:U$1000)),ROW()-3),"")</f>
        <v/>
      </c>
      <c r="AK723" s="23" t="str">
        <f t="array" ref="AK723">IFERROR(SMALL(IF(V$1:V$1000="END",ROW(V$1:V$1000)),ROW()-3),"")</f>
        <v/>
      </c>
      <c r="AL723" s="24" t="str">
        <f t="array" ref="AL723">IF(AK723="","",MATCH(AM723,L:L,0))</f>
        <v/>
      </c>
      <c r="AM723" s="35">
        <f t="array" ref="AM723">MAX(IF((B$4:B$1000&lt;=AK723)*(B$4:B$1000&gt;=AJ723),L$4:L$1000, ""))</f>
        <v>0</v>
      </c>
      <c r="AN723" s="32" t="str">
        <f t="shared" si="523"/>
        <v/>
      </c>
      <c r="AO723" s="32" t="str">
        <f t="shared" si="524"/>
        <v/>
      </c>
      <c r="AP723" s="32" t="str">
        <f t="shared" si="525"/>
        <v/>
      </c>
      <c r="AQ723" s="32" t="str">
        <f t="shared" si="526"/>
        <v/>
      </c>
      <c r="AR723" s="32" t="str">
        <f t="shared" si="527"/>
        <v/>
      </c>
      <c r="AS723" s="32" t="str">
        <f t="shared" si="528"/>
        <v/>
      </c>
      <c r="AT723" s="32" t="str">
        <f t="shared" si="529"/>
        <v/>
      </c>
      <c r="AU723" s="34" t="str">
        <f t="shared" si="530"/>
        <v/>
      </c>
      <c r="AV723" s="32" t="str">
        <f t="shared" si="531"/>
        <v/>
      </c>
      <c r="AW723" s="32" t="str">
        <f t="shared" si="532"/>
        <v/>
      </c>
      <c r="AX723" s="32" t="str">
        <f t="shared" si="533"/>
        <v/>
      </c>
      <c r="AY723" s="32" t="str">
        <f t="shared" si="534"/>
        <v/>
      </c>
    </row>
    <row r="724" spans="1:51" x14ac:dyDescent="0.25">
      <c r="A724" s="24" t="str">
        <f t="shared" si="492"/>
        <v/>
      </c>
      <c r="B724" s="24" t="str">
        <f t="shared" si="502"/>
        <v/>
      </c>
      <c r="C724" s="32" t="str">
        <f t="shared" si="493"/>
        <v/>
      </c>
      <c r="D724" s="24" t="str">
        <f t="shared" si="494"/>
        <v/>
      </c>
      <c r="E724" s="24" t="str">
        <f t="shared" si="495"/>
        <v/>
      </c>
      <c r="F724" s="32" t="str">
        <f t="shared" si="496"/>
        <v/>
      </c>
      <c r="G724" s="32" t="str">
        <f t="shared" si="497"/>
        <v/>
      </c>
      <c r="H724" s="32" t="str">
        <f t="shared" ca="1" si="498"/>
        <v/>
      </c>
      <c r="I724" s="32" t="str">
        <f t="shared" ca="1" si="503"/>
        <v/>
      </c>
      <c r="J724" s="32" t="str">
        <f t="shared" si="499"/>
        <v/>
      </c>
      <c r="K724" s="32" t="str">
        <f>IF(ISNUMBER(A724),Profile!$V$25+Profile!$V$24*'Ri-Po'!C724,"")</f>
        <v/>
      </c>
      <c r="L724" s="32" t="str">
        <f t="shared" si="504"/>
        <v/>
      </c>
      <c r="M724" s="32" t="str">
        <f t="shared" si="500"/>
        <v/>
      </c>
      <c r="N724" s="32" t="str">
        <f t="shared" si="501"/>
        <v/>
      </c>
      <c r="O724" s="32" t="str">
        <f t="shared" si="517"/>
        <v/>
      </c>
      <c r="P724" s="32" t="str">
        <f t="shared" si="505"/>
        <v/>
      </c>
      <c r="Q724" s="32" t="str">
        <f t="shared" si="506"/>
        <v/>
      </c>
      <c r="R724" s="32" t="str">
        <f t="shared" si="518"/>
        <v/>
      </c>
      <c r="S724" s="24" t="str">
        <f t="shared" si="519"/>
        <v/>
      </c>
      <c r="T724" s="24" t="str">
        <f t="shared" si="520"/>
        <v/>
      </c>
      <c r="U724" s="24" t="str">
        <f t="shared" si="521"/>
        <v/>
      </c>
      <c r="V724" s="24" t="str">
        <f t="shared" si="522"/>
        <v/>
      </c>
      <c r="W724" s="23" t="str">
        <f t="array" ref="W724">IFERROR(SMALL(IF(S$1:S$1000="BEGIN",ROW(S$1:S$1000)),ROW()-3),"")</f>
        <v/>
      </c>
      <c r="X724" s="23" t="str">
        <f t="array" ref="X724">IFERROR(SMALL(IF(T$1:T$1000="END",ROW(T$1:T$1000)),ROW()-3),"")</f>
        <v/>
      </c>
      <c r="Y724" s="33" t="str">
        <f t="array" ref="Y724">IF(ISNUMBER(W724),MAX(IF((B$4:B$1000&lt;=X724)*(B$4:B$1000&gt;=W724),I$4:I$1000, "")),"")</f>
        <v/>
      </c>
      <c r="Z724" s="33" t="str">
        <f t="shared" si="507"/>
        <v/>
      </c>
      <c r="AA724" s="32" t="str">
        <f t="shared" si="508"/>
        <v/>
      </c>
      <c r="AB724" s="32" t="str">
        <f t="shared" si="509"/>
        <v/>
      </c>
      <c r="AC724" s="32" t="str">
        <f t="shared" si="510"/>
        <v/>
      </c>
      <c r="AD724" s="32" t="str">
        <f t="shared" si="511"/>
        <v/>
      </c>
      <c r="AE724" s="34" t="str">
        <f t="shared" si="512"/>
        <v/>
      </c>
      <c r="AF724" s="32" t="str">
        <f t="shared" si="513"/>
        <v/>
      </c>
      <c r="AG724" s="32" t="str">
        <f t="shared" si="514"/>
        <v/>
      </c>
      <c r="AH724" s="32" t="str">
        <f t="shared" si="515"/>
        <v/>
      </c>
      <c r="AI724" s="35" t="str">
        <f t="shared" si="516"/>
        <v/>
      </c>
      <c r="AJ724" s="23" t="str">
        <f t="array" ref="AJ724">IFERROR(SMALL(IF(U$1:U$1000="BEGIN",ROW(U$1:U$1000)),ROW()-3),"")</f>
        <v/>
      </c>
      <c r="AK724" s="23" t="str">
        <f t="array" ref="AK724">IFERROR(SMALL(IF(V$1:V$1000="END",ROW(V$1:V$1000)),ROW()-3),"")</f>
        <v/>
      </c>
      <c r="AL724" s="24" t="str">
        <f t="array" ref="AL724">IF(AK724="","",MATCH(AM724,L:L,0))</f>
        <v/>
      </c>
      <c r="AM724" s="35">
        <f t="array" ref="AM724">MAX(IF((B$4:B$1000&lt;=AK724)*(B$4:B$1000&gt;=AJ724),L$4:L$1000, ""))</f>
        <v>0</v>
      </c>
      <c r="AN724" s="32" t="str">
        <f t="shared" si="523"/>
        <v/>
      </c>
      <c r="AO724" s="32" t="str">
        <f t="shared" si="524"/>
        <v/>
      </c>
      <c r="AP724" s="32" t="str">
        <f t="shared" si="525"/>
        <v/>
      </c>
      <c r="AQ724" s="32" t="str">
        <f t="shared" si="526"/>
        <v/>
      </c>
      <c r="AR724" s="32" t="str">
        <f t="shared" si="527"/>
        <v/>
      </c>
      <c r="AS724" s="32" t="str">
        <f t="shared" si="528"/>
        <v/>
      </c>
      <c r="AT724" s="32" t="str">
        <f t="shared" si="529"/>
        <v/>
      </c>
      <c r="AU724" s="34" t="str">
        <f t="shared" si="530"/>
        <v/>
      </c>
      <c r="AV724" s="32" t="str">
        <f t="shared" si="531"/>
        <v/>
      </c>
      <c r="AW724" s="32" t="str">
        <f t="shared" si="532"/>
        <v/>
      </c>
      <c r="AX724" s="32" t="str">
        <f t="shared" si="533"/>
        <v/>
      </c>
      <c r="AY724" s="32" t="str">
        <f t="shared" si="534"/>
        <v/>
      </c>
    </row>
    <row r="725" spans="1:51" x14ac:dyDescent="0.25">
      <c r="A725" s="24" t="str">
        <f t="shared" si="492"/>
        <v/>
      </c>
      <c r="B725" s="24" t="str">
        <f t="shared" si="502"/>
        <v/>
      </c>
      <c r="C725" s="32" t="str">
        <f t="shared" si="493"/>
        <v/>
      </c>
      <c r="D725" s="24" t="str">
        <f t="shared" si="494"/>
        <v/>
      </c>
      <c r="E725" s="24" t="str">
        <f t="shared" si="495"/>
        <v/>
      </c>
      <c r="F725" s="32" t="str">
        <f t="shared" si="496"/>
        <v/>
      </c>
      <c r="G725" s="32" t="str">
        <f t="shared" si="497"/>
        <v/>
      </c>
      <c r="H725" s="32" t="str">
        <f t="shared" ca="1" si="498"/>
        <v/>
      </c>
      <c r="I725" s="32" t="str">
        <f t="shared" ca="1" si="503"/>
        <v/>
      </c>
      <c r="J725" s="32" t="str">
        <f t="shared" si="499"/>
        <v/>
      </c>
      <c r="K725" s="32" t="str">
        <f>IF(ISNUMBER(A725),Profile!$V$25+Profile!$V$24*'Ri-Po'!C725,"")</f>
        <v/>
      </c>
      <c r="L725" s="32" t="str">
        <f t="shared" si="504"/>
        <v/>
      </c>
      <c r="M725" s="32" t="str">
        <f t="shared" si="500"/>
        <v/>
      </c>
      <c r="N725" s="32" t="str">
        <f t="shared" si="501"/>
        <v/>
      </c>
      <c r="O725" s="32" t="str">
        <f t="shared" si="517"/>
        <v/>
      </c>
      <c r="P725" s="32" t="str">
        <f t="shared" si="505"/>
        <v/>
      </c>
      <c r="Q725" s="32" t="str">
        <f t="shared" si="506"/>
        <v/>
      </c>
      <c r="R725" s="32" t="str">
        <f t="shared" si="518"/>
        <v/>
      </c>
      <c r="S725" s="24" t="str">
        <f t="shared" si="519"/>
        <v/>
      </c>
      <c r="T725" s="24" t="str">
        <f t="shared" si="520"/>
        <v/>
      </c>
      <c r="U725" s="24" t="str">
        <f t="shared" si="521"/>
        <v/>
      </c>
      <c r="V725" s="24" t="str">
        <f t="shared" si="522"/>
        <v/>
      </c>
      <c r="W725" s="23" t="str">
        <f t="array" ref="W725">IFERROR(SMALL(IF(S$1:S$1000="BEGIN",ROW(S$1:S$1000)),ROW()-3),"")</f>
        <v/>
      </c>
      <c r="X725" s="23" t="str">
        <f t="array" ref="X725">IFERROR(SMALL(IF(T$1:T$1000="END",ROW(T$1:T$1000)),ROW()-3),"")</f>
        <v/>
      </c>
      <c r="Y725" s="33" t="str">
        <f t="array" ref="Y725">IF(ISNUMBER(W725),MAX(IF((B$4:B$1000&lt;=X725)*(B$4:B$1000&gt;=W725),I$4:I$1000, "")),"")</f>
        <v/>
      </c>
      <c r="Z725" s="33" t="str">
        <f t="shared" si="507"/>
        <v/>
      </c>
      <c r="AA725" s="32" t="str">
        <f t="shared" si="508"/>
        <v/>
      </c>
      <c r="AB725" s="32" t="str">
        <f t="shared" si="509"/>
        <v/>
      </c>
      <c r="AC725" s="32" t="str">
        <f t="shared" si="510"/>
        <v/>
      </c>
      <c r="AD725" s="32" t="str">
        <f t="shared" si="511"/>
        <v/>
      </c>
      <c r="AE725" s="34" t="str">
        <f t="shared" si="512"/>
        <v/>
      </c>
      <c r="AF725" s="32" t="str">
        <f t="shared" si="513"/>
        <v/>
      </c>
      <c r="AG725" s="32" t="str">
        <f t="shared" si="514"/>
        <v/>
      </c>
      <c r="AH725" s="32" t="str">
        <f t="shared" si="515"/>
        <v/>
      </c>
      <c r="AI725" s="35" t="str">
        <f t="shared" si="516"/>
        <v/>
      </c>
      <c r="AJ725" s="23" t="str">
        <f t="array" ref="AJ725">IFERROR(SMALL(IF(U$1:U$1000="BEGIN",ROW(U$1:U$1000)),ROW()-3),"")</f>
        <v/>
      </c>
      <c r="AK725" s="23" t="str">
        <f t="array" ref="AK725">IFERROR(SMALL(IF(V$1:V$1000="END",ROW(V$1:V$1000)),ROW()-3),"")</f>
        <v/>
      </c>
      <c r="AL725" s="24" t="str">
        <f t="array" ref="AL725">IF(AK725="","",MATCH(AM725,L:L,0))</f>
        <v/>
      </c>
      <c r="AM725" s="35">
        <f t="array" ref="AM725">MAX(IF((B$4:B$1000&lt;=AK725)*(B$4:B$1000&gt;=AJ725),L$4:L$1000, ""))</f>
        <v>0</v>
      </c>
      <c r="AN725" s="32" t="str">
        <f t="shared" si="523"/>
        <v/>
      </c>
      <c r="AO725" s="32" t="str">
        <f t="shared" si="524"/>
        <v/>
      </c>
      <c r="AP725" s="32" t="str">
        <f t="shared" si="525"/>
        <v/>
      </c>
      <c r="AQ725" s="32" t="str">
        <f t="shared" si="526"/>
        <v/>
      </c>
      <c r="AR725" s="32" t="str">
        <f t="shared" si="527"/>
        <v/>
      </c>
      <c r="AS725" s="32" t="str">
        <f t="shared" si="528"/>
        <v/>
      </c>
      <c r="AT725" s="32" t="str">
        <f t="shared" si="529"/>
        <v/>
      </c>
      <c r="AU725" s="34" t="str">
        <f t="shared" si="530"/>
        <v/>
      </c>
      <c r="AV725" s="32" t="str">
        <f t="shared" si="531"/>
        <v/>
      </c>
      <c r="AW725" s="32" t="str">
        <f t="shared" si="532"/>
        <v/>
      </c>
      <c r="AX725" s="32" t="str">
        <f t="shared" si="533"/>
        <v/>
      </c>
      <c r="AY725" s="32" t="str">
        <f t="shared" si="534"/>
        <v/>
      </c>
    </row>
    <row r="726" spans="1:51" x14ac:dyDescent="0.25">
      <c r="A726" s="24" t="str">
        <f t="shared" si="492"/>
        <v/>
      </c>
      <c r="B726" s="24" t="str">
        <f t="shared" si="502"/>
        <v/>
      </c>
      <c r="C726" s="32" t="str">
        <f t="shared" si="493"/>
        <v/>
      </c>
      <c r="D726" s="24" t="str">
        <f t="shared" si="494"/>
        <v/>
      </c>
      <c r="E726" s="24" t="str">
        <f t="shared" si="495"/>
        <v/>
      </c>
      <c r="F726" s="32" t="str">
        <f t="shared" si="496"/>
        <v/>
      </c>
      <c r="G726" s="32" t="str">
        <f t="shared" si="497"/>
        <v/>
      </c>
      <c r="H726" s="32" t="str">
        <f t="shared" ca="1" si="498"/>
        <v/>
      </c>
      <c r="I726" s="32" t="str">
        <f t="shared" ca="1" si="503"/>
        <v/>
      </c>
      <c r="J726" s="32" t="str">
        <f t="shared" si="499"/>
        <v/>
      </c>
      <c r="K726" s="32" t="str">
        <f>IF(ISNUMBER(A726),Profile!$V$25+Profile!$V$24*'Ri-Po'!C726,"")</f>
        <v/>
      </c>
      <c r="L726" s="32" t="str">
        <f t="shared" si="504"/>
        <v/>
      </c>
      <c r="M726" s="32" t="str">
        <f t="shared" si="500"/>
        <v/>
      </c>
      <c r="N726" s="32" t="str">
        <f t="shared" si="501"/>
        <v/>
      </c>
      <c r="O726" s="32" t="str">
        <f t="shared" si="517"/>
        <v/>
      </c>
      <c r="P726" s="32" t="str">
        <f t="shared" si="505"/>
        <v/>
      </c>
      <c r="Q726" s="32" t="str">
        <f t="shared" si="506"/>
        <v/>
      </c>
      <c r="R726" s="32" t="str">
        <f t="shared" si="518"/>
        <v/>
      </c>
      <c r="S726" s="24" t="str">
        <f t="shared" si="519"/>
        <v/>
      </c>
      <c r="T726" s="24" t="str">
        <f t="shared" si="520"/>
        <v/>
      </c>
      <c r="U726" s="24" t="str">
        <f t="shared" si="521"/>
        <v/>
      </c>
      <c r="V726" s="24" t="str">
        <f t="shared" si="522"/>
        <v/>
      </c>
      <c r="W726" s="23" t="str">
        <f t="array" ref="W726">IFERROR(SMALL(IF(S$1:S$1000="BEGIN",ROW(S$1:S$1000)),ROW()-3),"")</f>
        <v/>
      </c>
      <c r="X726" s="23" t="str">
        <f t="array" ref="X726">IFERROR(SMALL(IF(T$1:T$1000="END",ROW(T$1:T$1000)),ROW()-3),"")</f>
        <v/>
      </c>
      <c r="Y726" s="33" t="str">
        <f t="array" ref="Y726">IF(ISNUMBER(W726),MAX(IF((B$4:B$1000&lt;=X726)*(B$4:B$1000&gt;=W726),I$4:I$1000, "")),"")</f>
        <v/>
      </c>
      <c r="Z726" s="33" t="str">
        <f t="shared" si="507"/>
        <v/>
      </c>
      <c r="AA726" s="32" t="str">
        <f t="shared" si="508"/>
        <v/>
      </c>
      <c r="AB726" s="32" t="str">
        <f t="shared" si="509"/>
        <v/>
      </c>
      <c r="AC726" s="32" t="str">
        <f t="shared" si="510"/>
        <v/>
      </c>
      <c r="AD726" s="32" t="str">
        <f t="shared" si="511"/>
        <v/>
      </c>
      <c r="AE726" s="34" t="str">
        <f t="shared" si="512"/>
        <v/>
      </c>
      <c r="AF726" s="32" t="str">
        <f t="shared" si="513"/>
        <v/>
      </c>
      <c r="AG726" s="32" t="str">
        <f t="shared" si="514"/>
        <v/>
      </c>
      <c r="AH726" s="32" t="str">
        <f t="shared" si="515"/>
        <v/>
      </c>
      <c r="AI726" s="35" t="str">
        <f t="shared" si="516"/>
        <v/>
      </c>
      <c r="AJ726" s="23" t="str">
        <f t="array" ref="AJ726">IFERROR(SMALL(IF(U$1:U$1000="BEGIN",ROW(U$1:U$1000)),ROW()-3),"")</f>
        <v/>
      </c>
      <c r="AK726" s="23" t="str">
        <f t="array" ref="AK726">IFERROR(SMALL(IF(V$1:V$1000="END",ROW(V$1:V$1000)),ROW()-3),"")</f>
        <v/>
      </c>
      <c r="AL726" s="24" t="str">
        <f t="array" ref="AL726">IF(AK726="","",MATCH(AM726,L:L,0))</f>
        <v/>
      </c>
      <c r="AM726" s="35">
        <f t="array" ref="AM726">MAX(IF((B$4:B$1000&lt;=AK726)*(B$4:B$1000&gt;=AJ726),L$4:L$1000, ""))</f>
        <v>0</v>
      </c>
      <c r="AN726" s="32" t="str">
        <f t="shared" si="523"/>
        <v/>
      </c>
      <c r="AO726" s="32" t="str">
        <f t="shared" si="524"/>
        <v/>
      </c>
      <c r="AP726" s="32" t="str">
        <f t="shared" si="525"/>
        <v/>
      </c>
      <c r="AQ726" s="32" t="str">
        <f t="shared" si="526"/>
        <v/>
      </c>
      <c r="AR726" s="32" t="str">
        <f t="shared" si="527"/>
        <v/>
      </c>
      <c r="AS726" s="32" t="str">
        <f t="shared" si="528"/>
        <v/>
      </c>
      <c r="AT726" s="32" t="str">
        <f t="shared" si="529"/>
        <v/>
      </c>
      <c r="AU726" s="34" t="str">
        <f t="shared" si="530"/>
        <v/>
      </c>
      <c r="AV726" s="32" t="str">
        <f t="shared" si="531"/>
        <v/>
      </c>
      <c r="AW726" s="32" t="str">
        <f t="shared" si="532"/>
        <v/>
      </c>
      <c r="AX726" s="32" t="str">
        <f t="shared" si="533"/>
        <v/>
      </c>
      <c r="AY726" s="32" t="str">
        <f t="shared" si="534"/>
        <v/>
      </c>
    </row>
    <row r="727" spans="1:51" x14ac:dyDescent="0.25">
      <c r="A727" s="24" t="str">
        <f t="shared" si="492"/>
        <v/>
      </c>
      <c r="B727" s="24" t="str">
        <f t="shared" si="502"/>
        <v/>
      </c>
      <c r="C727" s="32" t="str">
        <f t="shared" si="493"/>
        <v/>
      </c>
      <c r="D727" s="24" t="str">
        <f t="shared" si="494"/>
        <v/>
      </c>
      <c r="E727" s="24" t="str">
        <f t="shared" si="495"/>
        <v/>
      </c>
      <c r="F727" s="32" t="str">
        <f t="shared" si="496"/>
        <v/>
      </c>
      <c r="G727" s="32" t="str">
        <f t="shared" si="497"/>
        <v/>
      </c>
      <c r="H727" s="32" t="str">
        <f t="shared" ca="1" si="498"/>
        <v/>
      </c>
      <c r="I727" s="32" t="str">
        <f t="shared" ca="1" si="503"/>
        <v/>
      </c>
      <c r="J727" s="32" t="str">
        <f t="shared" si="499"/>
        <v/>
      </c>
      <c r="K727" s="32" t="str">
        <f>IF(ISNUMBER(A727),Profile!$V$25+Profile!$V$24*'Ri-Po'!C727,"")</f>
        <v/>
      </c>
      <c r="L727" s="32" t="str">
        <f t="shared" si="504"/>
        <v/>
      </c>
      <c r="M727" s="32" t="str">
        <f t="shared" si="500"/>
        <v/>
      </c>
      <c r="N727" s="32" t="str">
        <f t="shared" si="501"/>
        <v/>
      </c>
      <c r="O727" s="32" t="str">
        <f t="shared" si="517"/>
        <v/>
      </c>
      <c r="P727" s="32" t="str">
        <f t="shared" si="505"/>
        <v/>
      </c>
      <c r="Q727" s="32" t="str">
        <f t="shared" si="506"/>
        <v/>
      </c>
      <c r="R727" s="32" t="str">
        <f t="shared" si="518"/>
        <v/>
      </c>
      <c r="S727" s="24" t="str">
        <f t="shared" si="519"/>
        <v/>
      </c>
      <c r="T727" s="24" t="str">
        <f t="shared" si="520"/>
        <v/>
      </c>
      <c r="U727" s="24" t="str">
        <f t="shared" si="521"/>
        <v/>
      </c>
      <c r="V727" s="24" t="str">
        <f t="shared" si="522"/>
        <v/>
      </c>
      <c r="W727" s="23" t="str">
        <f t="array" ref="W727">IFERROR(SMALL(IF(S$1:S$1000="BEGIN",ROW(S$1:S$1000)),ROW()-3),"")</f>
        <v/>
      </c>
      <c r="X727" s="23" t="str">
        <f t="array" ref="X727">IFERROR(SMALL(IF(T$1:T$1000="END",ROW(T$1:T$1000)),ROW()-3),"")</f>
        <v/>
      </c>
      <c r="Y727" s="33" t="str">
        <f t="array" ref="Y727">IF(ISNUMBER(W727),MAX(IF((B$4:B$1000&lt;=X727)*(B$4:B$1000&gt;=W727),I$4:I$1000, "")),"")</f>
        <v/>
      </c>
      <c r="Z727" s="33" t="str">
        <f t="shared" si="507"/>
        <v/>
      </c>
      <c r="AA727" s="32" t="str">
        <f t="shared" si="508"/>
        <v/>
      </c>
      <c r="AB727" s="32" t="str">
        <f t="shared" si="509"/>
        <v/>
      </c>
      <c r="AC727" s="32" t="str">
        <f t="shared" si="510"/>
        <v/>
      </c>
      <c r="AD727" s="32" t="str">
        <f t="shared" si="511"/>
        <v/>
      </c>
      <c r="AE727" s="34" t="str">
        <f t="shared" si="512"/>
        <v/>
      </c>
      <c r="AF727" s="32" t="str">
        <f t="shared" si="513"/>
        <v/>
      </c>
      <c r="AG727" s="32" t="str">
        <f t="shared" si="514"/>
        <v/>
      </c>
      <c r="AH727" s="32" t="str">
        <f t="shared" si="515"/>
        <v/>
      </c>
      <c r="AI727" s="35" t="str">
        <f t="shared" si="516"/>
        <v/>
      </c>
      <c r="AJ727" s="23" t="str">
        <f t="array" ref="AJ727">IFERROR(SMALL(IF(U$1:U$1000="BEGIN",ROW(U$1:U$1000)),ROW()-3),"")</f>
        <v/>
      </c>
      <c r="AK727" s="23" t="str">
        <f t="array" ref="AK727">IFERROR(SMALL(IF(V$1:V$1000="END",ROW(V$1:V$1000)),ROW()-3),"")</f>
        <v/>
      </c>
      <c r="AL727" s="24" t="str">
        <f t="array" ref="AL727">IF(AK727="","",MATCH(AM727,L:L,0))</f>
        <v/>
      </c>
      <c r="AM727" s="35">
        <f t="array" ref="AM727">MAX(IF((B$4:B$1000&lt;=AK727)*(B$4:B$1000&gt;=AJ727),L$4:L$1000, ""))</f>
        <v>0</v>
      </c>
      <c r="AN727" s="32" t="str">
        <f t="shared" si="523"/>
        <v/>
      </c>
      <c r="AO727" s="32" t="str">
        <f t="shared" si="524"/>
        <v/>
      </c>
      <c r="AP727" s="32" t="str">
        <f t="shared" si="525"/>
        <v/>
      </c>
      <c r="AQ727" s="32" t="str">
        <f t="shared" si="526"/>
        <v/>
      </c>
      <c r="AR727" s="32" t="str">
        <f t="shared" si="527"/>
        <v/>
      </c>
      <c r="AS727" s="32" t="str">
        <f t="shared" si="528"/>
        <v/>
      </c>
      <c r="AT727" s="32" t="str">
        <f t="shared" si="529"/>
        <v/>
      </c>
      <c r="AU727" s="34" t="str">
        <f t="shared" si="530"/>
        <v/>
      </c>
      <c r="AV727" s="32" t="str">
        <f t="shared" si="531"/>
        <v/>
      </c>
      <c r="AW727" s="32" t="str">
        <f t="shared" si="532"/>
        <v/>
      </c>
      <c r="AX727" s="32" t="str">
        <f t="shared" si="533"/>
        <v/>
      </c>
      <c r="AY727" s="32" t="str">
        <f t="shared" si="534"/>
        <v/>
      </c>
    </row>
    <row r="728" spans="1:51" x14ac:dyDescent="0.25">
      <c r="A728" s="24" t="str">
        <f t="shared" si="492"/>
        <v/>
      </c>
      <c r="B728" s="24" t="str">
        <f t="shared" si="502"/>
        <v/>
      </c>
      <c r="C728" s="32" t="str">
        <f t="shared" si="493"/>
        <v/>
      </c>
      <c r="D728" s="24" t="str">
        <f t="shared" si="494"/>
        <v/>
      </c>
      <c r="E728" s="24" t="str">
        <f t="shared" si="495"/>
        <v/>
      </c>
      <c r="F728" s="32" t="str">
        <f t="shared" si="496"/>
        <v/>
      </c>
      <c r="G728" s="32" t="str">
        <f t="shared" si="497"/>
        <v/>
      </c>
      <c r="H728" s="32" t="str">
        <f t="shared" ca="1" si="498"/>
        <v/>
      </c>
      <c r="I728" s="32" t="str">
        <f t="shared" ca="1" si="503"/>
        <v/>
      </c>
      <c r="J728" s="32" t="str">
        <f t="shared" si="499"/>
        <v/>
      </c>
      <c r="K728" s="32" t="str">
        <f>IF(ISNUMBER(A728),Profile!$V$25+Profile!$V$24*'Ri-Po'!C728,"")</f>
        <v/>
      </c>
      <c r="L728" s="32" t="str">
        <f t="shared" si="504"/>
        <v/>
      </c>
      <c r="M728" s="32" t="str">
        <f t="shared" si="500"/>
        <v/>
      </c>
      <c r="N728" s="32" t="str">
        <f t="shared" si="501"/>
        <v/>
      </c>
      <c r="O728" s="32" t="str">
        <f t="shared" si="517"/>
        <v/>
      </c>
      <c r="P728" s="32" t="str">
        <f t="shared" si="505"/>
        <v/>
      </c>
      <c r="Q728" s="32" t="str">
        <f t="shared" si="506"/>
        <v/>
      </c>
      <c r="R728" s="32" t="str">
        <f t="shared" si="518"/>
        <v/>
      </c>
      <c r="S728" s="24" t="str">
        <f t="shared" si="519"/>
        <v/>
      </c>
      <c r="T728" s="24" t="str">
        <f t="shared" si="520"/>
        <v/>
      </c>
      <c r="U728" s="24" t="str">
        <f t="shared" si="521"/>
        <v/>
      </c>
      <c r="V728" s="24" t="str">
        <f t="shared" si="522"/>
        <v/>
      </c>
      <c r="W728" s="23" t="str">
        <f t="array" ref="W728">IFERROR(SMALL(IF(S$1:S$1000="BEGIN",ROW(S$1:S$1000)),ROW()-3),"")</f>
        <v/>
      </c>
      <c r="X728" s="23" t="str">
        <f t="array" ref="X728">IFERROR(SMALL(IF(T$1:T$1000="END",ROW(T$1:T$1000)),ROW()-3),"")</f>
        <v/>
      </c>
      <c r="Y728" s="33" t="str">
        <f t="array" ref="Y728">IF(ISNUMBER(W728),MAX(IF((B$4:B$1000&lt;=X728)*(B$4:B$1000&gt;=W728),I$4:I$1000, "")),"")</f>
        <v/>
      </c>
      <c r="Z728" s="33" t="str">
        <f t="shared" si="507"/>
        <v/>
      </c>
      <c r="AA728" s="32" t="str">
        <f t="shared" si="508"/>
        <v/>
      </c>
      <c r="AB728" s="32" t="str">
        <f t="shared" si="509"/>
        <v/>
      </c>
      <c r="AC728" s="32" t="str">
        <f t="shared" si="510"/>
        <v/>
      </c>
      <c r="AD728" s="32" t="str">
        <f t="shared" si="511"/>
        <v/>
      </c>
      <c r="AE728" s="34" t="str">
        <f t="shared" si="512"/>
        <v/>
      </c>
      <c r="AF728" s="32" t="str">
        <f t="shared" si="513"/>
        <v/>
      </c>
      <c r="AG728" s="32" t="str">
        <f t="shared" si="514"/>
        <v/>
      </c>
      <c r="AH728" s="32" t="str">
        <f t="shared" si="515"/>
        <v/>
      </c>
      <c r="AI728" s="35" t="str">
        <f t="shared" si="516"/>
        <v/>
      </c>
      <c r="AJ728" s="23" t="str">
        <f t="array" ref="AJ728">IFERROR(SMALL(IF(U$1:U$1000="BEGIN",ROW(U$1:U$1000)),ROW()-3),"")</f>
        <v/>
      </c>
      <c r="AK728" s="23" t="str">
        <f t="array" ref="AK728">IFERROR(SMALL(IF(V$1:V$1000="END",ROW(V$1:V$1000)),ROW()-3),"")</f>
        <v/>
      </c>
      <c r="AL728" s="24" t="str">
        <f t="array" ref="AL728">IF(AK728="","",MATCH(AM728,L:L,0))</f>
        <v/>
      </c>
      <c r="AM728" s="35">
        <f t="array" ref="AM728">MAX(IF((B$4:B$1000&lt;=AK728)*(B$4:B$1000&gt;=AJ728),L$4:L$1000, ""))</f>
        <v>0</v>
      </c>
      <c r="AN728" s="32" t="str">
        <f t="shared" si="523"/>
        <v/>
      </c>
      <c r="AO728" s="32" t="str">
        <f t="shared" si="524"/>
        <v/>
      </c>
      <c r="AP728" s="32" t="str">
        <f t="shared" si="525"/>
        <v/>
      </c>
      <c r="AQ728" s="32" t="str">
        <f t="shared" si="526"/>
        <v/>
      </c>
      <c r="AR728" s="32" t="str">
        <f t="shared" si="527"/>
        <v/>
      </c>
      <c r="AS728" s="32" t="str">
        <f t="shared" si="528"/>
        <v/>
      </c>
      <c r="AT728" s="32" t="str">
        <f t="shared" si="529"/>
        <v/>
      </c>
      <c r="AU728" s="34" t="str">
        <f t="shared" si="530"/>
        <v/>
      </c>
      <c r="AV728" s="32" t="str">
        <f t="shared" si="531"/>
        <v/>
      </c>
      <c r="AW728" s="32" t="str">
        <f t="shared" si="532"/>
        <v/>
      </c>
      <c r="AX728" s="32" t="str">
        <f t="shared" si="533"/>
        <v/>
      </c>
      <c r="AY728" s="32" t="str">
        <f t="shared" si="534"/>
        <v/>
      </c>
    </row>
    <row r="729" spans="1:51" x14ac:dyDescent="0.25">
      <c r="A729" s="24" t="str">
        <f t="shared" si="492"/>
        <v/>
      </c>
      <c r="B729" s="24" t="str">
        <f t="shared" si="502"/>
        <v/>
      </c>
      <c r="C729" s="32" t="str">
        <f t="shared" si="493"/>
        <v/>
      </c>
      <c r="D729" s="24" t="str">
        <f t="shared" si="494"/>
        <v/>
      </c>
      <c r="E729" s="24" t="str">
        <f t="shared" si="495"/>
        <v/>
      </c>
      <c r="F729" s="32" t="str">
        <f t="shared" si="496"/>
        <v/>
      </c>
      <c r="G729" s="32" t="str">
        <f t="shared" si="497"/>
        <v/>
      </c>
      <c r="H729" s="32" t="str">
        <f t="shared" ca="1" si="498"/>
        <v/>
      </c>
      <c r="I729" s="32" t="str">
        <f t="shared" ca="1" si="503"/>
        <v/>
      </c>
      <c r="J729" s="32" t="str">
        <f t="shared" si="499"/>
        <v/>
      </c>
      <c r="K729" s="32" t="str">
        <f>IF(ISNUMBER(A729),Profile!$V$25+Profile!$V$24*'Ri-Po'!C729,"")</f>
        <v/>
      </c>
      <c r="L729" s="32" t="str">
        <f t="shared" si="504"/>
        <v/>
      </c>
      <c r="M729" s="32" t="str">
        <f t="shared" si="500"/>
        <v/>
      </c>
      <c r="N729" s="32" t="str">
        <f t="shared" si="501"/>
        <v/>
      </c>
      <c r="O729" s="32" t="str">
        <f t="shared" si="517"/>
        <v/>
      </c>
      <c r="P729" s="32" t="str">
        <f t="shared" si="505"/>
        <v/>
      </c>
      <c r="Q729" s="32" t="str">
        <f t="shared" si="506"/>
        <v/>
      </c>
      <c r="R729" s="32" t="str">
        <f t="shared" si="518"/>
        <v/>
      </c>
      <c r="S729" s="24" t="str">
        <f t="shared" si="519"/>
        <v/>
      </c>
      <c r="T729" s="24" t="str">
        <f t="shared" si="520"/>
        <v/>
      </c>
      <c r="U729" s="24" t="str">
        <f t="shared" si="521"/>
        <v/>
      </c>
      <c r="V729" s="24" t="str">
        <f t="shared" si="522"/>
        <v/>
      </c>
      <c r="W729" s="23" t="str">
        <f t="array" ref="W729">IFERROR(SMALL(IF(S$1:S$1000="BEGIN",ROW(S$1:S$1000)),ROW()-3),"")</f>
        <v/>
      </c>
      <c r="X729" s="23" t="str">
        <f t="array" ref="X729">IFERROR(SMALL(IF(T$1:T$1000="END",ROW(T$1:T$1000)),ROW()-3),"")</f>
        <v/>
      </c>
      <c r="Y729" s="33" t="str">
        <f t="array" ref="Y729">IF(ISNUMBER(W729),MAX(IF((B$4:B$1000&lt;=X729)*(B$4:B$1000&gt;=W729),I$4:I$1000, "")),"")</f>
        <v/>
      </c>
      <c r="Z729" s="33" t="str">
        <f t="shared" si="507"/>
        <v/>
      </c>
      <c r="AA729" s="32" t="str">
        <f t="shared" si="508"/>
        <v/>
      </c>
      <c r="AB729" s="32" t="str">
        <f t="shared" si="509"/>
        <v/>
      </c>
      <c r="AC729" s="32" t="str">
        <f t="shared" si="510"/>
        <v/>
      </c>
      <c r="AD729" s="32" t="str">
        <f t="shared" si="511"/>
        <v/>
      </c>
      <c r="AE729" s="34" t="str">
        <f t="shared" si="512"/>
        <v/>
      </c>
      <c r="AF729" s="32" t="str">
        <f t="shared" si="513"/>
        <v/>
      </c>
      <c r="AG729" s="32" t="str">
        <f t="shared" si="514"/>
        <v/>
      </c>
      <c r="AH729" s="32" t="str">
        <f t="shared" si="515"/>
        <v/>
      </c>
      <c r="AI729" s="35" t="str">
        <f t="shared" si="516"/>
        <v/>
      </c>
      <c r="AJ729" s="23" t="str">
        <f t="array" ref="AJ729">IFERROR(SMALL(IF(U$1:U$1000="BEGIN",ROW(U$1:U$1000)),ROW()-3),"")</f>
        <v/>
      </c>
      <c r="AK729" s="23" t="str">
        <f t="array" ref="AK729">IFERROR(SMALL(IF(V$1:V$1000="END",ROW(V$1:V$1000)),ROW()-3),"")</f>
        <v/>
      </c>
      <c r="AL729" s="24" t="str">
        <f t="array" ref="AL729">IF(AK729="","",MATCH(AM729,L:L,0))</f>
        <v/>
      </c>
      <c r="AM729" s="35">
        <f t="array" ref="AM729">MAX(IF((B$4:B$1000&lt;=AK729)*(B$4:B$1000&gt;=AJ729),L$4:L$1000, ""))</f>
        <v>0</v>
      </c>
      <c r="AN729" s="32" t="str">
        <f t="shared" si="523"/>
        <v/>
      </c>
      <c r="AO729" s="32" t="str">
        <f t="shared" si="524"/>
        <v/>
      </c>
      <c r="AP729" s="32" t="str">
        <f t="shared" si="525"/>
        <v/>
      </c>
      <c r="AQ729" s="32" t="str">
        <f t="shared" si="526"/>
        <v/>
      </c>
      <c r="AR729" s="32" t="str">
        <f t="shared" si="527"/>
        <v/>
      </c>
      <c r="AS729" s="32" t="str">
        <f t="shared" si="528"/>
        <v/>
      </c>
      <c r="AT729" s="32" t="str">
        <f t="shared" si="529"/>
        <v/>
      </c>
      <c r="AU729" s="34" t="str">
        <f t="shared" si="530"/>
        <v/>
      </c>
      <c r="AV729" s="32" t="str">
        <f t="shared" si="531"/>
        <v/>
      </c>
      <c r="AW729" s="32" t="str">
        <f t="shared" si="532"/>
        <v/>
      </c>
      <c r="AX729" s="32" t="str">
        <f t="shared" si="533"/>
        <v/>
      </c>
      <c r="AY729" s="32" t="str">
        <f t="shared" si="534"/>
        <v/>
      </c>
    </row>
    <row r="730" spans="1:51" x14ac:dyDescent="0.25">
      <c r="A730" s="24" t="str">
        <f t="shared" si="492"/>
        <v/>
      </c>
      <c r="B730" s="24" t="str">
        <f t="shared" si="502"/>
        <v/>
      </c>
      <c r="C730" s="32" t="str">
        <f t="shared" si="493"/>
        <v/>
      </c>
      <c r="D730" s="24" t="str">
        <f t="shared" si="494"/>
        <v/>
      </c>
      <c r="E730" s="24" t="str">
        <f t="shared" si="495"/>
        <v/>
      </c>
      <c r="F730" s="32" t="str">
        <f t="shared" si="496"/>
        <v/>
      </c>
      <c r="G730" s="32" t="str">
        <f t="shared" si="497"/>
        <v/>
      </c>
      <c r="H730" s="32" t="str">
        <f t="shared" ca="1" si="498"/>
        <v/>
      </c>
      <c r="I730" s="32" t="str">
        <f t="shared" ca="1" si="503"/>
        <v/>
      </c>
      <c r="J730" s="32" t="str">
        <f t="shared" si="499"/>
        <v/>
      </c>
      <c r="K730" s="32" t="str">
        <f>IF(ISNUMBER(A730),Profile!$V$25+Profile!$V$24*'Ri-Po'!C730,"")</f>
        <v/>
      </c>
      <c r="L730" s="32" t="str">
        <f t="shared" si="504"/>
        <v/>
      </c>
      <c r="M730" s="32" t="str">
        <f t="shared" si="500"/>
        <v/>
      </c>
      <c r="N730" s="32" t="str">
        <f t="shared" si="501"/>
        <v/>
      </c>
      <c r="O730" s="32" t="str">
        <f t="shared" si="517"/>
        <v/>
      </c>
      <c r="P730" s="32" t="str">
        <f t="shared" si="505"/>
        <v/>
      </c>
      <c r="Q730" s="32" t="str">
        <f t="shared" si="506"/>
        <v/>
      </c>
      <c r="R730" s="32" t="str">
        <f t="shared" si="518"/>
        <v/>
      </c>
      <c r="S730" s="24" t="str">
        <f t="shared" si="519"/>
        <v/>
      </c>
      <c r="T730" s="24" t="str">
        <f t="shared" si="520"/>
        <v/>
      </c>
      <c r="U730" s="24" t="str">
        <f t="shared" si="521"/>
        <v/>
      </c>
      <c r="V730" s="24" t="str">
        <f t="shared" si="522"/>
        <v/>
      </c>
      <c r="W730" s="23" t="str">
        <f t="array" ref="W730">IFERROR(SMALL(IF(S$1:S$1000="BEGIN",ROW(S$1:S$1000)),ROW()-3),"")</f>
        <v/>
      </c>
      <c r="X730" s="23" t="str">
        <f t="array" ref="X730">IFERROR(SMALL(IF(T$1:T$1000="END",ROW(T$1:T$1000)),ROW()-3),"")</f>
        <v/>
      </c>
      <c r="Y730" s="33" t="str">
        <f t="array" ref="Y730">IF(ISNUMBER(W730),MAX(IF((B$4:B$1000&lt;=X730)*(B$4:B$1000&gt;=W730),I$4:I$1000, "")),"")</f>
        <v/>
      </c>
      <c r="Z730" s="33" t="str">
        <f t="shared" si="507"/>
        <v/>
      </c>
      <c r="AA730" s="32" t="str">
        <f t="shared" si="508"/>
        <v/>
      </c>
      <c r="AB730" s="32" t="str">
        <f t="shared" si="509"/>
        <v/>
      </c>
      <c r="AC730" s="32" t="str">
        <f t="shared" si="510"/>
        <v/>
      </c>
      <c r="AD730" s="32" t="str">
        <f t="shared" si="511"/>
        <v/>
      </c>
      <c r="AE730" s="34" t="str">
        <f t="shared" si="512"/>
        <v/>
      </c>
      <c r="AF730" s="32" t="str">
        <f t="shared" si="513"/>
        <v/>
      </c>
      <c r="AG730" s="32" t="str">
        <f t="shared" si="514"/>
        <v/>
      </c>
      <c r="AH730" s="32" t="str">
        <f t="shared" si="515"/>
        <v/>
      </c>
      <c r="AI730" s="35" t="str">
        <f t="shared" si="516"/>
        <v/>
      </c>
      <c r="AJ730" s="23" t="str">
        <f t="array" ref="AJ730">IFERROR(SMALL(IF(U$1:U$1000="BEGIN",ROW(U$1:U$1000)),ROW()-3),"")</f>
        <v/>
      </c>
      <c r="AK730" s="23" t="str">
        <f t="array" ref="AK730">IFERROR(SMALL(IF(V$1:V$1000="END",ROW(V$1:V$1000)),ROW()-3),"")</f>
        <v/>
      </c>
      <c r="AL730" s="24" t="str">
        <f t="array" ref="AL730">IF(AK730="","",MATCH(AM730,L:L,0))</f>
        <v/>
      </c>
      <c r="AM730" s="35">
        <f t="array" ref="AM730">MAX(IF((B$4:B$1000&lt;=AK730)*(B$4:B$1000&gt;=AJ730),L$4:L$1000, ""))</f>
        <v>0</v>
      </c>
      <c r="AN730" s="32" t="str">
        <f t="shared" si="523"/>
        <v/>
      </c>
      <c r="AO730" s="32" t="str">
        <f t="shared" si="524"/>
        <v/>
      </c>
      <c r="AP730" s="32" t="str">
        <f t="shared" si="525"/>
        <v/>
      </c>
      <c r="AQ730" s="32" t="str">
        <f t="shared" si="526"/>
        <v/>
      </c>
      <c r="AR730" s="32" t="str">
        <f t="shared" si="527"/>
        <v/>
      </c>
      <c r="AS730" s="32" t="str">
        <f t="shared" si="528"/>
        <v/>
      </c>
      <c r="AT730" s="32" t="str">
        <f t="shared" si="529"/>
        <v/>
      </c>
      <c r="AU730" s="34" t="str">
        <f t="shared" si="530"/>
        <v/>
      </c>
      <c r="AV730" s="32" t="str">
        <f t="shared" si="531"/>
        <v/>
      </c>
      <c r="AW730" s="32" t="str">
        <f t="shared" si="532"/>
        <v/>
      </c>
      <c r="AX730" s="32" t="str">
        <f t="shared" si="533"/>
        <v/>
      </c>
      <c r="AY730" s="32" t="str">
        <f t="shared" si="534"/>
        <v/>
      </c>
    </row>
    <row r="731" spans="1:51" x14ac:dyDescent="0.25">
      <c r="A731" s="24" t="str">
        <f t="shared" si="492"/>
        <v/>
      </c>
      <c r="B731" s="24" t="str">
        <f t="shared" si="502"/>
        <v/>
      </c>
      <c r="C731" s="32" t="str">
        <f t="shared" si="493"/>
        <v/>
      </c>
      <c r="D731" s="24" t="str">
        <f t="shared" si="494"/>
        <v/>
      </c>
      <c r="E731" s="24" t="str">
        <f t="shared" si="495"/>
        <v/>
      </c>
      <c r="F731" s="32" t="str">
        <f t="shared" si="496"/>
        <v/>
      </c>
      <c r="G731" s="32" t="str">
        <f t="shared" si="497"/>
        <v/>
      </c>
      <c r="H731" s="32" t="str">
        <f t="shared" ca="1" si="498"/>
        <v/>
      </c>
      <c r="I731" s="32" t="str">
        <f t="shared" ca="1" si="503"/>
        <v/>
      </c>
      <c r="J731" s="32" t="str">
        <f t="shared" si="499"/>
        <v/>
      </c>
      <c r="K731" s="32" t="str">
        <f>IF(ISNUMBER(A731),Profile!$V$25+Profile!$V$24*'Ri-Po'!C731,"")</f>
        <v/>
      </c>
      <c r="L731" s="32" t="str">
        <f t="shared" si="504"/>
        <v/>
      </c>
      <c r="M731" s="32" t="str">
        <f t="shared" si="500"/>
        <v/>
      </c>
      <c r="N731" s="32" t="str">
        <f t="shared" si="501"/>
        <v/>
      </c>
      <c r="O731" s="32" t="str">
        <f t="shared" si="517"/>
        <v/>
      </c>
      <c r="P731" s="32" t="str">
        <f t="shared" si="505"/>
        <v/>
      </c>
      <c r="Q731" s="32" t="str">
        <f t="shared" si="506"/>
        <v/>
      </c>
      <c r="R731" s="32" t="str">
        <f t="shared" si="518"/>
        <v/>
      </c>
      <c r="S731" s="24" t="str">
        <f t="shared" si="519"/>
        <v/>
      </c>
      <c r="T731" s="24" t="str">
        <f t="shared" si="520"/>
        <v/>
      </c>
      <c r="U731" s="24" t="str">
        <f t="shared" si="521"/>
        <v/>
      </c>
      <c r="V731" s="24" t="str">
        <f t="shared" si="522"/>
        <v/>
      </c>
      <c r="W731" s="23" t="str">
        <f t="array" ref="W731">IFERROR(SMALL(IF(S$1:S$1000="BEGIN",ROW(S$1:S$1000)),ROW()-3),"")</f>
        <v/>
      </c>
      <c r="X731" s="23" t="str">
        <f t="array" ref="X731">IFERROR(SMALL(IF(T$1:T$1000="END",ROW(T$1:T$1000)),ROW()-3),"")</f>
        <v/>
      </c>
      <c r="Y731" s="33" t="str">
        <f t="array" ref="Y731">IF(ISNUMBER(W731),MAX(IF((B$4:B$1000&lt;=X731)*(B$4:B$1000&gt;=W731),I$4:I$1000, "")),"")</f>
        <v/>
      </c>
      <c r="Z731" s="33" t="str">
        <f t="shared" si="507"/>
        <v/>
      </c>
      <c r="AA731" s="32" t="str">
        <f t="shared" si="508"/>
        <v/>
      </c>
      <c r="AB731" s="32" t="str">
        <f t="shared" si="509"/>
        <v/>
      </c>
      <c r="AC731" s="32" t="str">
        <f t="shared" si="510"/>
        <v/>
      </c>
      <c r="AD731" s="32" t="str">
        <f t="shared" si="511"/>
        <v/>
      </c>
      <c r="AE731" s="34" t="str">
        <f t="shared" si="512"/>
        <v/>
      </c>
      <c r="AF731" s="32" t="str">
        <f t="shared" si="513"/>
        <v/>
      </c>
      <c r="AG731" s="32" t="str">
        <f t="shared" si="514"/>
        <v/>
      </c>
      <c r="AH731" s="32" t="str">
        <f t="shared" si="515"/>
        <v/>
      </c>
      <c r="AI731" s="35" t="str">
        <f t="shared" si="516"/>
        <v/>
      </c>
      <c r="AJ731" s="23" t="str">
        <f t="array" ref="AJ731">IFERROR(SMALL(IF(U$1:U$1000="BEGIN",ROW(U$1:U$1000)),ROW()-3),"")</f>
        <v/>
      </c>
      <c r="AK731" s="23" t="str">
        <f t="array" ref="AK731">IFERROR(SMALL(IF(V$1:V$1000="END",ROW(V$1:V$1000)),ROW()-3),"")</f>
        <v/>
      </c>
      <c r="AL731" s="24" t="str">
        <f t="array" ref="AL731">IF(AK731="","",MATCH(AM731,L:L,0))</f>
        <v/>
      </c>
      <c r="AM731" s="35">
        <f t="array" ref="AM731">MAX(IF((B$4:B$1000&lt;=AK731)*(B$4:B$1000&gt;=AJ731),L$4:L$1000, ""))</f>
        <v>0</v>
      </c>
      <c r="AN731" s="32" t="str">
        <f t="shared" si="523"/>
        <v/>
      </c>
      <c r="AO731" s="32" t="str">
        <f t="shared" si="524"/>
        <v/>
      </c>
      <c r="AP731" s="32" t="str">
        <f t="shared" si="525"/>
        <v/>
      </c>
      <c r="AQ731" s="32" t="str">
        <f t="shared" si="526"/>
        <v/>
      </c>
      <c r="AR731" s="32" t="str">
        <f t="shared" si="527"/>
        <v/>
      </c>
      <c r="AS731" s="32" t="str">
        <f t="shared" si="528"/>
        <v/>
      </c>
      <c r="AT731" s="32" t="str">
        <f t="shared" si="529"/>
        <v/>
      </c>
      <c r="AU731" s="34" t="str">
        <f t="shared" si="530"/>
        <v/>
      </c>
      <c r="AV731" s="32" t="str">
        <f t="shared" si="531"/>
        <v/>
      </c>
      <c r="AW731" s="32" t="str">
        <f t="shared" si="532"/>
        <v/>
      </c>
      <c r="AX731" s="32" t="str">
        <f t="shared" si="533"/>
        <v/>
      </c>
      <c r="AY731" s="32" t="str">
        <f t="shared" si="534"/>
        <v/>
      </c>
    </row>
    <row r="732" spans="1:51" x14ac:dyDescent="0.25">
      <c r="A732" s="24" t="str">
        <f t="shared" si="492"/>
        <v/>
      </c>
      <c r="B732" s="24" t="str">
        <f t="shared" si="502"/>
        <v/>
      </c>
      <c r="C732" s="32" t="str">
        <f t="shared" si="493"/>
        <v/>
      </c>
      <c r="D732" s="24" t="str">
        <f t="shared" si="494"/>
        <v/>
      </c>
      <c r="E732" s="24" t="str">
        <f t="shared" si="495"/>
        <v/>
      </c>
      <c r="F732" s="32" t="str">
        <f t="shared" si="496"/>
        <v/>
      </c>
      <c r="G732" s="32" t="str">
        <f t="shared" si="497"/>
        <v/>
      </c>
      <c r="H732" s="32" t="str">
        <f t="shared" ca="1" si="498"/>
        <v/>
      </c>
      <c r="I732" s="32" t="str">
        <f t="shared" ca="1" si="503"/>
        <v/>
      </c>
      <c r="J732" s="32" t="str">
        <f t="shared" si="499"/>
        <v/>
      </c>
      <c r="K732" s="32" t="str">
        <f>IF(ISNUMBER(A732),Profile!$V$25+Profile!$V$24*'Ri-Po'!C732,"")</f>
        <v/>
      </c>
      <c r="L732" s="32" t="str">
        <f t="shared" si="504"/>
        <v/>
      </c>
      <c r="M732" s="32" t="str">
        <f t="shared" si="500"/>
        <v/>
      </c>
      <c r="N732" s="32" t="str">
        <f t="shared" si="501"/>
        <v/>
      </c>
      <c r="O732" s="32" t="str">
        <f t="shared" si="517"/>
        <v/>
      </c>
      <c r="P732" s="32" t="str">
        <f t="shared" si="505"/>
        <v/>
      </c>
      <c r="Q732" s="32" t="str">
        <f t="shared" si="506"/>
        <v/>
      </c>
      <c r="R732" s="32" t="str">
        <f t="shared" si="518"/>
        <v/>
      </c>
      <c r="S732" s="24" t="str">
        <f t="shared" si="519"/>
        <v/>
      </c>
      <c r="T732" s="24" t="str">
        <f t="shared" si="520"/>
        <v/>
      </c>
      <c r="U732" s="24" t="str">
        <f t="shared" si="521"/>
        <v/>
      </c>
      <c r="V732" s="24" t="str">
        <f t="shared" si="522"/>
        <v/>
      </c>
      <c r="W732" s="23" t="str">
        <f t="array" ref="W732">IFERROR(SMALL(IF(S$1:S$1000="BEGIN",ROW(S$1:S$1000)),ROW()-3),"")</f>
        <v/>
      </c>
      <c r="X732" s="23" t="str">
        <f t="array" ref="X732">IFERROR(SMALL(IF(T$1:T$1000="END",ROW(T$1:T$1000)),ROW()-3),"")</f>
        <v/>
      </c>
      <c r="Y732" s="33" t="str">
        <f t="array" ref="Y732">IF(ISNUMBER(W732),MAX(IF((B$4:B$1000&lt;=X732)*(B$4:B$1000&gt;=W732),I$4:I$1000, "")),"")</f>
        <v/>
      </c>
      <c r="Z732" s="33" t="str">
        <f t="shared" si="507"/>
        <v/>
      </c>
      <c r="AA732" s="32" t="str">
        <f t="shared" si="508"/>
        <v/>
      </c>
      <c r="AB732" s="32" t="str">
        <f t="shared" si="509"/>
        <v/>
      </c>
      <c r="AC732" s="32" t="str">
        <f t="shared" si="510"/>
        <v/>
      </c>
      <c r="AD732" s="32" t="str">
        <f t="shared" si="511"/>
        <v/>
      </c>
      <c r="AE732" s="34" t="str">
        <f t="shared" si="512"/>
        <v/>
      </c>
      <c r="AF732" s="32" t="str">
        <f t="shared" si="513"/>
        <v/>
      </c>
      <c r="AG732" s="32" t="str">
        <f t="shared" si="514"/>
        <v/>
      </c>
      <c r="AH732" s="32" t="str">
        <f t="shared" si="515"/>
        <v/>
      </c>
      <c r="AI732" s="35" t="str">
        <f t="shared" si="516"/>
        <v/>
      </c>
      <c r="AJ732" s="23" t="str">
        <f t="array" ref="AJ732">IFERROR(SMALL(IF(U$1:U$1000="BEGIN",ROW(U$1:U$1000)),ROW()-3),"")</f>
        <v/>
      </c>
      <c r="AK732" s="23" t="str">
        <f t="array" ref="AK732">IFERROR(SMALL(IF(V$1:V$1000="END",ROW(V$1:V$1000)),ROW()-3),"")</f>
        <v/>
      </c>
      <c r="AL732" s="24" t="str">
        <f t="array" ref="AL732">IF(AK732="","",MATCH(AM732,L:L,0))</f>
        <v/>
      </c>
      <c r="AM732" s="35">
        <f t="array" ref="AM732">MAX(IF((B$4:B$1000&lt;=AK732)*(B$4:B$1000&gt;=AJ732),L$4:L$1000, ""))</f>
        <v>0</v>
      </c>
      <c r="AN732" s="32" t="str">
        <f t="shared" si="523"/>
        <v/>
      </c>
      <c r="AO732" s="32" t="str">
        <f t="shared" si="524"/>
        <v/>
      </c>
      <c r="AP732" s="32" t="str">
        <f t="shared" si="525"/>
        <v/>
      </c>
      <c r="AQ732" s="32" t="str">
        <f t="shared" si="526"/>
        <v/>
      </c>
      <c r="AR732" s="32" t="str">
        <f t="shared" si="527"/>
        <v/>
      </c>
      <c r="AS732" s="32" t="str">
        <f t="shared" si="528"/>
        <v/>
      </c>
      <c r="AT732" s="32" t="str">
        <f t="shared" si="529"/>
        <v/>
      </c>
      <c r="AU732" s="34" t="str">
        <f t="shared" si="530"/>
        <v/>
      </c>
      <c r="AV732" s="32" t="str">
        <f t="shared" si="531"/>
        <v/>
      </c>
      <c r="AW732" s="32" t="str">
        <f t="shared" si="532"/>
        <v/>
      </c>
      <c r="AX732" s="32" t="str">
        <f t="shared" si="533"/>
        <v/>
      </c>
      <c r="AY732" s="32" t="str">
        <f t="shared" si="534"/>
        <v/>
      </c>
    </row>
    <row r="733" spans="1:51" x14ac:dyDescent="0.25">
      <c r="A733" s="24" t="str">
        <f t="shared" si="492"/>
        <v/>
      </c>
      <c r="B733" s="24" t="str">
        <f t="shared" si="502"/>
        <v/>
      </c>
      <c r="C733" s="32" t="str">
        <f t="shared" si="493"/>
        <v/>
      </c>
      <c r="D733" s="24" t="str">
        <f t="shared" si="494"/>
        <v/>
      </c>
      <c r="E733" s="24" t="str">
        <f t="shared" si="495"/>
        <v/>
      </c>
      <c r="F733" s="32" t="str">
        <f t="shared" si="496"/>
        <v/>
      </c>
      <c r="G733" s="32" t="str">
        <f t="shared" si="497"/>
        <v/>
      </c>
      <c r="H733" s="32" t="str">
        <f t="shared" ca="1" si="498"/>
        <v/>
      </c>
      <c r="I733" s="32" t="str">
        <f t="shared" ca="1" si="503"/>
        <v/>
      </c>
      <c r="J733" s="32" t="str">
        <f t="shared" si="499"/>
        <v/>
      </c>
      <c r="K733" s="32" t="str">
        <f>IF(ISNUMBER(A733),Profile!$V$25+Profile!$V$24*'Ri-Po'!C733,"")</f>
        <v/>
      </c>
      <c r="L733" s="32" t="str">
        <f t="shared" si="504"/>
        <v/>
      </c>
      <c r="M733" s="32" t="str">
        <f t="shared" si="500"/>
        <v/>
      </c>
      <c r="N733" s="32" t="str">
        <f t="shared" si="501"/>
        <v/>
      </c>
      <c r="O733" s="32" t="str">
        <f t="shared" si="517"/>
        <v/>
      </c>
      <c r="P733" s="32" t="str">
        <f t="shared" si="505"/>
        <v/>
      </c>
      <c r="Q733" s="32" t="str">
        <f t="shared" si="506"/>
        <v/>
      </c>
      <c r="R733" s="32" t="str">
        <f t="shared" si="518"/>
        <v/>
      </c>
      <c r="S733" s="24" t="str">
        <f t="shared" si="519"/>
        <v/>
      </c>
      <c r="T733" s="24" t="str">
        <f t="shared" si="520"/>
        <v/>
      </c>
      <c r="U733" s="24" t="str">
        <f t="shared" si="521"/>
        <v/>
      </c>
      <c r="V733" s="24" t="str">
        <f t="shared" si="522"/>
        <v/>
      </c>
      <c r="W733" s="23" t="str">
        <f t="array" ref="W733">IFERROR(SMALL(IF(S$1:S$1000="BEGIN",ROW(S$1:S$1000)),ROW()-3),"")</f>
        <v/>
      </c>
      <c r="X733" s="23" t="str">
        <f t="array" ref="X733">IFERROR(SMALL(IF(T$1:T$1000="END",ROW(T$1:T$1000)),ROW()-3),"")</f>
        <v/>
      </c>
      <c r="Y733" s="33" t="str">
        <f t="array" ref="Y733">IF(ISNUMBER(W733),MAX(IF((B$4:B$1000&lt;=X733)*(B$4:B$1000&gt;=W733),I$4:I$1000, "")),"")</f>
        <v/>
      </c>
      <c r="Z733" s="33" t="str">
        <f t="shared" si="507"/>
        <v/>
      </c>
      <c r="AA733" s="32" t="str">
        <f t="shared" si="508"/>
        <v/>
      </c>
      <c r="AB733" s="32" t="str">
        <f t="shared" si="509"/>
        <v/>
      </c>
      <c r="AC733" s="32" t="str">
        <f t="shared" si="510"/>
        <v/>
      </c>
      <c r="AD733" s="32" t="str">
        <f t="shared" si="511"/>
        <v/>
      </c>
      <c r="AE733" s="34" t="str">
        <f t="shared" si="512"/>
        <v/>
      </c>
      <c r="AF733" s="32" t="str">
        <f t="shared" si="513"/>
        <v/>
      </c>
      <c r="AG733" s="32" t="str">
        <f t="shared" si="514"/>
        <v/>
      </c>
      <c r="AH733" s="32" t="str">
        <f t="shared" si="515"/>
        <v/>
      </c>
      <c r="AI733" s="35" t="str">
        <f t="shared" si="516"/>
        <v/>
      </c>
      <c r="AJ733" s="23" t="str">
        <f t="array" ref="AJ733">IFERROR(SMALL(IF(U$1:U$1000="BEGIN",ROW(U$1:U$1000)),ROW()-3),"")</f>
        <v/>
      </c>
      <c r="AK733" s="23" t="str">
        <f t="array" ref="AK733">IFERROR(SMALL(IF(V$1:V$1000="END",ROW(V$1:V$1000)),ROW()-3),"")</f>
        <v/>
      </c>
      <c r="AL733" s="24" t="str">
        <f t="array" ref="AL733">IF(AK733="","",MATCH(AM733,L:L,0))</f>
        <v/>
      </c>
      <c r="AM733" s="35">
        <f t="array" ref="AM733">MAX(IF((B$4:B$1000&lt;=AK733)*(B$4:B$1000&gt;=AJ733),L$4:L$1000, ""))</f>
        <v>0</v>
      </c>
      <c r="AN733" s="32" t="str">
        <f t="shared" si="523"/>
        <v/>
      </c>
      <c r="AO733" s="32" t="str">
        <f t="shared" si="524"/>
        <v/>
      </c>
      <c r="AP733" s="32" t="str">
        <f t="shared" si="525"/>
        <v/>
      </c>
      <c r="AQ733" s="32" t="str">
        <f t="shared" si="526"/>
        <v/>
      </c>
      <c r="AR733" s="32" t="str">
        <f t="shared" si="527"/>
        <v/>
      </c>
      <c r="AS733" s="32" t="str">
        <f t="shared" si="528"/>
        <v/>
      </c>
      <c r="AT733" s="32" t="str">
        <f t="shared" si="529"/>
        <v/>
      </c>
      <c r="AU733" s="34" t="str">
        <f t="shared" si="530"/>
        <v/>
      </c>
      <c r="AV733" s="32" t="str">
        <f t="shared" si="531"/>
        <v/>
      </c>
      <c r="AW733" s="32" t="str">
        <f t="shared" si="532"/>
        <v/>
      </c>
      <c r="AX733" s="32" t="str">
        <f t="shared" si="533"/>
        <v/>
      </c>
      <c r="AY733" s="32" t="str">
        <f t="shared" si="534"/>
        <v/>
      </c>
    </row>
    <row r="734" spans="1:51" x14ac:dyDescent="0.25">
      <c r="A734" s="24" t="str">
        <f t="shared" si="492"/>
        <v/>
      </c>
      <c r="B734" s="24" t="str">
        <f t="shared" si="502"/>
        <v/>
      </c>
      <c r="C734" s="32" t="str">
        <f t="shared" si="493"/>
        <v/>
      </c>
      <c r="D734" s="24" t="str">
        <f t="shared" si="494"/>
        <v/>
      </c>
      <c r="E734" s="24" t="str">
        <f t="shared" si="495"/>
        <v/>
      </c>
      <c r="F734" s="32" t="str">
        <f t="shared" si="496"/>
        <v/>
      </c>
      <c r="G734" s="32" t="str">
        <f t="shared" si="497"/>
        <v/>
      </c>
      <c r="H734" s="32" t="str">
        <f t="shared" ca="1" si="498"/>
        <v/>
      </c>
      <c r="I734" s="32" t="str">
        <f t="shared" ca="1" si="503"/>
        <v/>
      </c>
      <c r="J734" s="32" t="str">
        <f t="shared" si="499"/>
        <v/>
      </c>
      <c r="K734" s="32" t="str">
        <f>IF(ISNUMBER(A734),Profile!$V$25+Profile!$V$24*'Ri-Po'!C734,"")</f>
        <v/>
      </c>
      <c r="L734" s="32" t="str">
        <f t="shared" si="504"/>
        <v/>
      </c>
      <c r="M734" s="32" t="str">
        <f t="shared" si="500"/>
        <v/>
      </c>
      <c r="N734" s="32" t="str">
        <f t="shared" si="501"/>
        <v/>
      </c>
      <c r="O734" s="32" t="str">
        <f t="shared" si="517"/>
        <v/>
      </c>
      <c r="P734" s="32" t="str">
        <f t="shared" si="505"/>
        <v/>
      </c>
      <c r="Q734" s="32" t="str">
        <f t="shared" si="506"/>
        <v/>
      </c>
      <c r="R734" s="32" t="str">
        <f t="shared" si="518"/>
        <v/>
      </c>
      <c r="S734" s="24" t="str">
        <f t="shared" si="519"/>
        <v/>
      </c>
      <c r="T734" s="24" t="str">
        <f t="shared" si="520"/>
        <v/>
      </c>
      <c r="U734" s="24" t="str">
        <f t="shared" si="521"/>
        <v/>
      </c>
      <c r="V734" s="24" t="str">
        <f t="shared" si="522"/>
        <v/>
      </c>
      <c r="W734" s="23" t="str">
        <f t="array" ref="W734">IFERROR(SMALL(IF(S$1:S$1000="BEGIN",ROW(S$1:S$1000)),ROW()-3),"")</f>
        <v/>
      </c>
      <c r="X734" s="23" t="str">
        <f t="array" ref="X734">IFERROR(SMALL(IF(T$1:T$1000="END",ROW(T$1:T$1000)),ROW()-3),"")</f>
        <v/>
      </c>
      <c r="Y734" s="33" t="str">
        <f t="array" ref="Y734">IF(ISNUMBER(W734),MAX(IF((B$4:B$1000&lt;=X734)*(B$4:B$1000&gt;=W734),I$4:I$1000, "")),"")</f>
        <v/>
      </c>
      <c r="Z734" s="33" t="str">
        <f t="shared" si="507"/>
        <v/>
      </c>
      <c r="AA734" s="32" t="str">
        <f t="shared" si="508"/>
        <v/>
      </c>
      <c r="AB734" s="32" t="str">
        <f t="shared" si="509"/>
        <v/>
      </c>
      <c r="AC734" s="32" t="str">
        <f t="shared" si="510"/>
        <v/>
      </c>
      <c r="AD734" s="32" t="str">
        <f t="shared" si="511"/>
        <v/>
      </c>
      <c r="AE734" s="34" t="str">
        <f t="shared" si="512"/>
        <v/>
      </c>
      <c r="AF734" s="32" t="str">
        <f t="shared" si="513"/>
        <v/>
      </c>
      <c r="AG734" s="32" t="str">
        <f t="shared" si="514"/>
        <v/>
      </c>
      <c r="AH734" s="32" t="str">
        <f t="shared" si="515"/>
        <v/>
      </c>
      <c r="AI734" s="35" t="str">
        <f t="shared" si="516"/>
        <v/>
      </c>
      <c r="AJ734" s="23" t="str">
        <f t="array" ref="AJ734">IFERROR(SMALL(IF(U$1:U$1000="BEGIN",ROW(U$1:U$1000)),ROW()-3),"")</f>
        <v/>
      </c>
      <c r="AK734" s="23" t="str">
        <f t="array" ref="AK734">IFERROR(SMALL(IF(V$1:V$1000="END",ROW(V$1:V$1000)),ROW()-3),"")</f>
        <v/>
      </c>
      <c r="AL734" s="24" t="str">
        <f t="array" ref="AL734">IF(AK734="","",MATCH(AM734,L:L,0))</f>
        <v/>
      </c>
      <c r="AM734" s="35">
        <f t="array" ref="AM734">MAX(IF((B$4:B$1000&lt;=AK734)*(B$4:B$1000&gt;=AJ734),L$4:L$1000, ""))</f>
        <v>0</v>
      </c>
      <c r="AN734" s="32" t="str">
        <f t="shared" si="523"/>
        <v/>
      </c>
      <c r="AO734" s="32" t="str">
        <f t="shared" si="524"/>
        <v/>
      </c>
      <c r="AP734" s="32" t="str">
        <f t="shared" si="525"/>
        <v/>
      </c>
      <c r="AQ734" s="32" t="str">
        <f t="shared" si="526"/>
        <v/>
      </c>
      <c r="AR734" s="32" t="str">
        <f t="shared" si="527"/>
        <v/>
      </c>
      <c r="AS734" s="32" t="str">
        <f t="shared" si="528"/>
        <v/>
      </c>
      <c r="AT734" s="32" t="str">
        <f t="shared" si="529"/>
        <v/>
      </c>
      <c r="AU734" s="34" t="str">
        <f t="shared" si="530"/>
        <v/>
      </c>
      <c r="AV734" s="32" t="str">
        <f t="shared" si="531"/>
        <v/>
      </c>
      <c r="AW734" s="32" t="str">
        <f t="shared" si="532"/>
        <v/>
      </c>
      <c r="AX734" s="32" t="str">
        <f t="shared" si="533"/>
        <v/>
      </c>
      <c r="AY734" s="32" t="str">
        <f t="shared" si="534"/>
        <v/>
      </c>
    </row>
    <row r="735" spans="1:51" x14ac:dyDescent="0.25">
      <c r="A735" s="24" t="str">
        <f t="shared" si="492"/>
        <v/>
      </c>
      <c r="B735" s="24" t="str">
        <f t="shared" si="502"/>
        <v/>
      </c>
      <c r="C735" s="32" t="str">
        <f t="shared" si="493"/>
        <v/>
      </c>
      <c r="D735" s="24" t="str">
        <f t="shared" si="494"/>
        <v/>
      </c>
      <c r="E735" s="24" t="str">
        <f t="shared" si="495"/>
        <v/>
      </c>
      <c r="F735" s="32" t="str">
        <f t="shared" si="496"/>
        <v/>
      </c>
      <c r="G735" s="32" t="str">
        <f t="shared" si="497"/>
        <v/>
      </c>
      <c r="H735" s="32" t="str">
        <f t="shared" ca="1" si="498"/>
        <v/>
      </c>
      <c r="I735" s="32" t="str">
        <f t="shared" ca="1" si="503"/>
        <v/>
      </c>
      <c r="J735" s="32" t="str">
        <f t="shared" si="499"/>
        <v/>
      </c>
      <c r="K735" s="32" t="str">
        <f>IF(ISNUMBER(A735),Profile!$V$25+Profile!$V$24*'Ri-Po'!C735,"")</f>
        <v/>
      </c>
      <c r="L735" s="32" t="str">
        <f t="shared" si="504"/>
        <v/>
      </c>
      <c r="M735" s="32" t="str">
        <f t="shared" si="500"/>
        <v/>
      </c>
      <c r="N735" s="32" t="str">
        <f t="shared" si="501"/>
        <v/>
      </c>
      <c r="O735" s="32" t="str">
        <f t="shared" si="517"/>
        <v/>
      </c>
      <c r="P735" s="32" t="str">
        <f t="shared" si="505"/>
        <v/>
      </c>
      <c r="Q735" s="32" t="str">
        <f t="shared" si="506"/>
        <v/>
      </c>
      <c r="R735" s="32" t="str">
        <f t="shared" si="518"/>
        <v/>
      </c>
      <c r="S735" s="24" t="str">
        <f t="shared" si="519"/>
        <v/>
      </c>
      <c r="T735" s="24" t="str">
        <f t="shared" si="520"/>
        <v/>
      </c>
      <c r="U735" s="24" t="str">
        <f t="shared" si="521"/>
        <v/>
      </c>
      <c r="V735" s="24" t="str">
        <f t="shared" si="522"/>
        <v/>
      </c>
      <c r="W735" s="23" t="str">
        <f t="array" ref="W735">IFERROR(SMALL(IF(S$1:S$1000="BEGIN",ROW(S$1:S$1000)),ROW()-3),"")</f>
        <v/>
      </c>
      <c r="X735" s="23" t="str">
        <f t="array" ref="X735">IFERROR(SMALL(IF(T$1:T$1000="END",ROW(T$1:T$1000)),ROW()-3),"")</f>
        <v/>
      </c>
      <c r="Y735" s="33" t="str">
        <f t="array" ref="Y735">IF(ISNUMBER(W735),MAX(IF((B$4:B$1000&lt;=X735)*(B$4:B$1000&gt;=W735),I$4:I$1000, "")),"")</f>
        <v/>
      </c>
      <c r="Z735" s="33" t="str">
        <f t="shared" si="507"/>
        <v/>
      </c>
      <c r="AA735" s="32" t="str">
        <f t="shared" si="508"/>
        <v/>
      </c>
      <c r="AB735" s="32" t="str">
        <f t="shared" si="509"/>
        <v/>
      </c>
      <c r="AC735" s="32" t="str">
        <f t="shared" si="510"/>
        <v/>
      </c>
      <c r="AD735" s="32" t="str">
        <f t="shared" si="511"/>
        <v/>
      </c>
      <c r="AE735" s="34" t="str">
        <f t="shared" si="512"/>
        <v/>
      </c>
      <c r="AF735" s="32" t="str">
        <f t="shared" si="513"/>
        <v/>
      </c>
      <c r="AG735" s="32" t="str">
        <f t="shared" si="514"/>
        <v/>
      </c>
      <c r="AH735" s="32" t="str">
        <f t="shared" si="515"/>
        <v/>
      </c>
      <c r="AI735" s="35" t="str">
        <f t="shared" si="516"/>
        <v/>
      </c>
      <c r="AJ735" s="23" t="str">
        <f t="array" ref="AJ735">IFERROR(SMALL(IF(U$1:U$1000="BEGIN",ROW(U$1:U$1000)),ROW()-3),"")</f>
        <v/>
      </c>
      <c r="AK735" s="23" t="str">
        <f t="array" ref="AK735">IFERROR(SMALL(IF(V$1:V$1000="END",ROW(V$1:V$1000)),ROW()-3),"")</f>
        <v/>
      </c>
      <c r="AL735" s="24" t="str">
        <f t="array" ref="AL735">IF(AK735="","",MATCH(AM735,L:L,0))</f>
        <v/>
      </c>
      <c r="AM735" s="35">
        <f t="array" ref="AM735">MAX(IF((B$4:B$1000&lt;=AK735)*(B$4:B$1000&gt;=AJ735),L$4:L$1000, ""))</f>
        <v>0</v>
      </c>
      <c r="AN735" s="32" t="str">
        <f t="shared" si="523"/>
        <v/>
      </c>
      <c r="AO735" s="32" t="str">
        <f t="shared" si="524"/>
        <v/>
      </c>
      <c r="AP735" s="32" t="str">
        <f t="shared" si="525"/>
        <v/>
      </c>
      <c r="AQ735" s="32" t="str">
        <f t="shared" si="526"/>
        <v/>
      </c>
      <c r="AR735" s="32" t="str">
        <f t="shared" si="527"/>
        <v/>
      </c>
      <c r="AS735" s="32" t="str">
        <f t="shared" si="528"/>
        <v/>
      </c>
      <c r="AT735" s="32" t="str">
        <f t="shared" si="529"/>
        <v/>
      </c>
      <c r="AU735" s="34" t="str">
        <f t="shared" si="530"/>
        <v/>
      </c>
      <c r="AV735" s="32" t="str">
        <f t="shared" si="531"/>
        <v/>
      </c>
      <c r="AW735" s="32" t="str">
        <f t="shared" si="532"/>
        <v/>
      </c>
      <c r="AX735" s="32" t="str">
        <f t="shared" si="533"/>
        <v/>
      </c>
      <c r="AY735" s="32" t="str">
        <f t="shared" si="534"/>
        <v/>
      </c>
    </row>
    <row r="736" spans="1:51" x14ac:dyDescent="0.25">
      <c r="A736" s="24" t="str">
        <f t="shared" si="492"/>
        <v/>
      </c>
      <c r="B736" s="24" t="str">
        <f t="shared" si="502"/>
        <v/>
      </c>
      <c r="C736" s="32" t="str">
        <f t="shared" si="493"/>
        <v/>
      </c>
      <c r="D736" s="24" t="str">
        <f t="shared" si="494"/>
        <v/>
      </c>
      <c r="E736" s="24" t="str">
        <f t="shared" si="495"/>
        <v/>
      </c>
      <c r="F736" s="32" t="str">
        <f t="shared" si="496"/>
        <v/>
      </c>
      <c r="G736" s="32" t="str">
        <f t="shared" si="497"/>
        <v/>
      </c>
      <c r="H736" s="32" t="str">
        <f t="shared" ca="1" si="498"/>
        <v/>
      </c>
      <c r="I736" s="32" t="str">
        <f t="shared" ca="1" si="503"/>
        <v/>
      </c>
      <c r="J736" s="32" t="str">
        <f t="shared" si="499"/>
        <v/>
      </c>
      <c r="K736" s="32" t="str">
        <f>IF(ISNUMBER(A736),Profile!$V$25+Profile!$V$24*'Ri-Po'!C736,"")</f>
        <v/>
      </c>
      <c r="L736" s="32" t="str">
        <f t="shared" si="504"/>
        <v/>
      </c>
      <c r="M736" s="32" t="str">
        <f t="shared" si="500"/>
        <v/>
      </c>
      <c r="N736" s="32" t="str">
        <f t="shared" si="501"/>
        <v/>
      </c>
      <c r="O736" s="32" t="str">
        <f t="shared" si="517"/>
        <v/>
      </c>
      <c r="P736" s="32" t="str">
        <f t="shared" si="505"/>
        <v/>
      </c>
      <c r="Q736" s="32" t="str">
        <f t="shared" si="506"/>
        <v/>
      </c>
      <c r="R736" s="32" t="str">
        <f t="shared" si="518"/>
        <v/>
      </c>
      <c r="S736" s="24" t="str">
        <f t="shared" si="519"/>
        <v/>
      </c>
      <c r="T736" s="24" t="str">
        <f t="shared" si="520"/>
        <v/>
      </c>
      <c r="U736" s="24" t="str">
        <f t="shared" si="521"/>
        <v/>
      </c>
      <c r="V736" s="24" t="str">
        <f t="shared" si="522"/>
        <v/>
      </c>
      <c r="W736" s="23" t="str">
        <f t="array" ref="W736">IFERROR(SMALL(IF(S$1:S$1000="BEGIN",ROW(S$1:S$1000)),ROW()-3),"")</f>
        <v/>
      </c>
      <c r="X736" s="23" t="str">
        <f t="array" ref="X736">IFERROR(SMALL(IF(T$1:T$1000="END",ROW(T$1:T$1000)),ROW()-3),"")</f>
        <v/>
      </c>
      <c r="Y736" s="33" t="str">
        <f t="array" ref="Y736">IF(ISNUMBER(W736),MAX(IF((B$4:B$1000&lt;=X736)*(B$4:B$1000&gt;=W736),I$4:I$1000, "")),"")</f>
        <v/>
      </c>
      <c r="Z736" s="33" t="str">
        <f t="shared" si="507"/>
        <v/>
      </c>
      <c r="AA736" s="32" t="str">
        <f t="shared" si="508"/>
        <v/>
      </c>
      <c r="AB736" s="32" t="str">
        <f t="shared" si="509"/>
        <v/>
      </c>
      <c r="AC736" s="32" t="str">
        <f t="shared" si="510"/>
        <v/>
      </c>
      <c r="AD736" s="32" t="str">
        <f t="shared" si="511"/>
        <v/>
      </c>
      <c r="AE736" s="34" t="str">
        <f t="shared" si="512"/>
        <v/>
      </c>
      <c r="AF736" s="32" t="str">
        <f t="shared" si="513"/>
        <v/>
      </c>
      <c r="AG736" s="32" t="str">
        <f t="shared" si="514"/>
        <v/>
      </c>
      <c r="AH736" s="32" t="str">
        <f t="shared" si="515"/>
        <v/>
      </c>
      <c r="AI736" s="35" t="str">
        <f t="shared" si="516"/>
        <v/>
      </c>
      <c r="AJ736" s="23" t="str">
        <f t="array" ref="AJ736">IFERROR(SMALL(IF(U$1:U$1000="BEGIN",ROW(U$1:U$1000)),ROW()-3),"")</f>
        <v/>
      </c>
      <c r="AK736" s="23" t="str">
        <f t="array" ref="AK736">IFERROR(SMALL(IF(V$1:V$1000="END",ROW(V$1:V$1000)),ROW()-3),"")</f>
        <v/>
      </c>
      <c r="AL736" s="24" t="str">
        <f t="array" ref="AL736">IF(AK736="","",MATCH(AM736,L:L,0))</f>
        <v/>
      </c>
      <c r="AM736" s="35">
        <f t="array" ref="AM736">MAX(IF((B$4:B$1000&lt;=AK736)*(B$4:B$1000&gt;=AJ736),L$4:L$1000, ""))</f>
        <v>0</v>
      </c>
      <c r="AN736" s="32" t="str">
        <f t="shared" si="523"/>
        <v/>
      </c>
      <c r="AO736" s="32" t="str">
        <f t="shared" si="524"/>
        <v/>
      </c>
      <c r="AP736" s="32" t="str">
        <f t="shared" si="525"/>
        <v/>
      </c>
      <c r="AQ736" s="32" t="str">
        <f t="shared" si="526"/>
        <v/>
      </c>
      <c r="AR736" s="32" t="str">
        <f t="shared" si="527"/>
        <v/>
      </c>
      <c r="AS736" s="32" t="str">
        <f t="shared" si="528"/>
        <v/>
      </c>
      <c r="AT736" s="32" t="str">
        <f t="shared" si="529"/>
        <v/>
      </c>
      <c r="AU736" s="34" t="str">
        <f t="shared" si="530"/>
        <v/>
      </c>
      <c r="AV736" s="32" t="str">
        <f t="shared" si="531"/>
        <v/>
      </c>
      <c r="AW736" s="32" t="str">
        <f t="shared" si="532"/>
        <v/>
      </c>
      <c r="AX736" s="32" t="str">
        <f t="shared" si="533"/>
        <v/>
      </c>
      <c r="AY736" s="32" t="str">
        <f t="shared" si="534"/>
        <v/>
      </c>
    </row>
    <row r="737" spans="1:51" x14ac:dyDescent="0.25">
      <c r="A737" s="24" t="str">
        <f t="shared" si="492"/>
        <v/>
      </c>
      <c r="B737" s="24" t="str">
        <f t="shared" si="502"/>
        <v/>
      </c>
      <c r="C737" s="32" t="str">
        <f t="shared" si="493"/>
        <v/>
      </c>
      <c r="D737" s="24" t="str">
        <f t="shared" si="494"/>
        <v/>
      </c>
      <c r="E737" s="24" t="str">
        <f t="shared" si="495"/>
        <v/>
      </c>
      <c r="F737" s="32" t="str">
        <f t="shared" si="496"/>
        <v/>
      </c>
      <c r="G737" s="32" t="str">
        <f t="shared" si="497"/>
        <v/>
      </c>
      <c r="H737" s="32" t="str">
        <f t="shared" ca="1" si="498"/>
        <v/>
      </c>
      <c r="I737" s="32" t="str">
        <f t="shared" ca="1" si="503"/>
        <v/>
      </c>
      <c r="J737" s="32" t="str">
        <f t="shared" si="499"/>
        <v/>
      </c>
      <c r="K737" s="32" t="str">
        <f>IF(ISNUMBER(A737),Profile!$V$25+Profile!$V$24*'Ri-Po'!C737,"")</f>
        <v/>
      </c>
      <c r="L737" s="32" t="str">
        <f t="shared" si="504"/>
        <v/>
      </c>
      <c r="M737" s="32" t="str">
        <f t="shared" si="500"/>
        <v/>
      </c>
      <c r="N737" s="32" t="str">
        <f t="shared" si="501"/>
        <v/>
      </c>
      <c r="O737" s="32" t="str">
        <f t="shared" si="517"/>
        <v/>
      </c>
      <c r="P737" s="32" t="str">
        <f t="shared" si="505"/>
        <v/>
      </c>
      <c r="Q737" s="32" t="str">
        <f t="shared" si="506"/>
        <v/>
      </c>
      <c r="R737" s="32" t="str">
        <f t="shared" si="518"/>
        <v/>
      </c>
      <c r="S737" s="24" t="str">
        <f t="shared" si="519"/>
        <v/>
      </c>
      <c r="T737" s="24" t="str">
        <f t="shared" si="520"/>
        <v/>
      </c>
      <c r="U737" s="24" t="str">
        <f t="shared" si="521"/>
        <v/>
      </c>
      <c r="V737" s="24" t="str">
        <f t="shared" si="522"/>
        <v/>
      </c>
      <c r="W737" s="23" t="str">
        <f t="array" ref="W737">IFERROR(SMALL(IF(S$1:S$1000="BEGIN",ROW(S$1:S$1000)),ROW()-3),"")</f>
        <v/>
      </c>
      <c r="X737" s="23" t="str">
        <f t="array" ref="X737">IFERROR(SMALL(IF(T$1:T$1000="END",ROW(T$1:T$1000)),ROW()-3),"")</f>
        <v/>
      </c>
      <c r="Y737" s="33" t="str">
        <f t="array" ref="Y737">IF(ISNUMBER(W737),MAX(IF((B$4:B$1000&lt;=X737)*(B$4:B$1000&gt;=W737),I$4:I$1000, "")),"")</f>
        <v/>
      </c>
      <c r="Z737" s="33" t="str">
        <f t="shared" si="507"/>
        <v/>
      </c>
      <c r="AA737" s="32" t="str">
        <f t="shared" si="508"/>
        <v/>
      </c>
      <c r="AB737" s="32" t="str">
        <f t="shared" si="509"/>
        <v/>
      </c>
      <c r="AC737" s="32" t="str">
        <f t="shared" si="510"/>
        <v/>
      </c>
      <c r="AD737" s="32" t="str">
        <f t="shared" si="511"/>
        <v/>
      </c>
      <c r="AE737" s="34" t="str">
        <f t="shared" si="512"/>
        <v/>
      </c>
      <c r="AF737" s="32" t="str">
        <f t="shared" si="513"/>
        <v/>
      </c>
      <c r="AG737" s="32" t="str">
        <f t="shared" si="514"/>
        <v/>
      </c>
      <c r="AH737" s="32" t="str">
        <f t="shared" si="515"/>
        <v/>
      </c>
      <c r="AI737" s="35" t="str">
        <f t="shared" si="516"/>
        <v/>
      </c>
      <c r="AJ737" s="23" t="str">
        <f t="array" ref="AJ737">IFERROR(SMALL(IF(U$1:U$1000="BEGIN",ROW(U$1:U$1000)),ROW()-3),"")</f>
        <v/>
      </c>
      <c r="AK737" s="23" t="str">
        <f t="array" ref="AK737">IFERROR(SMALL(IF(V$1:V$1000="END",ROW(V$1:V$1000)),ROW()-3),"")</f>
        <v/>
      </c>
      <c r="AL737" s="24" t="str">
        <f t="array" ref="AL737">IF(AK737="","",MATCH(AM737,L:L,0))</f>
        <v/>
      </c>
      <c r="AM737" s="35">
        <f t="array" ref="AM737">MAX(IF((B$4:B$1000&lt;=AK737)*(B$4:B$1000&gt;=AJ737),L$4:L$1000, ""))</f>
        <v>0</v>
      </c>
      <c r="AN737" s="32" t="str">
        <f t="shared" si="523"/>
        <v/>
      </c>
      <c r="AO737" s="32" t="str">
        <f t="shared" si="524"/>
        <v/>
      </c>
      <c r="AP737" s="32" t="str">
        <f t="shared" si="525"/>
        <v/>
      </c>
      <c r="AQ737" s="32" t="str">
        <f t="shared" si="526"/>
        <v/>
      </c>
      <c r="AR737" s="32" t="str">
        <f t="shared" si="527"/>
        <v/>
      </c>
      <c r="AS737" s="32" t="str">
        <f t="shared" si="528"/>
        <v/>
      </c>
      <c r="AT737" s="32" t="str">
        <f t="shared" si="529"/>
        <v/>
      </c>
      <c r="AU737" s="34" t="str">
        <f t="shared" si="530"/>
        <v/>
      </c>
      <c r="AV737" s="32" t="str">
        <f t="shared" si="531"/>
        <v/>
      </c>
      <c r="AW737" s="32" t="str">
        <f t="shared" si="532"/>
        <v/>
      </c>
      <c r="AX737" s="32" t="str">
        <f t="shared" si="533"/>
        <v/>
      </c>
      <c r="AY737" s="32" t="str">
        <f t="shared" si="534"/>
        <v/>
      </c>
    </row>
    <row r="738" spans="1:51" x14ac:dyDescent="0.25">
      <c r="A738" s="24" t="str">
        <f t="shared" si="492"/>
        <v/>
      </c>
      <c r="B738" s="24" t="str">
        <f t="shared" si="502"/>
        <v/>
      </c>
      <c r="C738" s="32" t="str">
        <f t="shared" si="493"/>
        <v/>
      </c>
      <c r="D738" s="24" t="str">
        <f t="shared" si="494"/>
        <v/>
      </c>
      <c r="E738" s="24" t="str">
        <f t="shared" si="495"/>
        <v/>
      </c>
      <c r="F738" s="32" t="str">
        <f t="shared" si="496"/>
        <v/>
      </c>
      <c r="G738" s="32" t="str">
        <f t="shared" si="497"/>
        <v/>
      </c>
      <c r="H738" s="32" t="str">
        <f t="shared" ca="1" si="498"/>
        <v/>
      </c>
      <c r="I738" s="32" t="str">
        <f t="shared" ca="1" si="503"/>
        <v/>
      </c>
      <c r="J738" s="32" t="str">
        <f t="shared" si="499"/>
        <v/>
      </c>
      <c r="K738" s="32" t="str">
        <f>IF(ISNUMBER(A738),Profile!$V$25+Profile!$V$24*'Ri-Po'!C738,"")</f>
        <v/>
      </c>
      <c r="L738" s="32" t="str">
        <f t="shared" si="504"/>
        <v/>
      </c>
      <c r="M738" s="32" t="str">
        <f t="shared" si="500"/>
        <v/>
      </c>
      <c r="N738" s="32" t="str">
        <f t="shared" si="501"/>
        <v/>
      </c>
      <c r="O738" s="32" t="str">
        <f t="shared" si="517"/>
        <v/>
      </c>
      <c r="P738" s="32" t="str">
        <f t="shared" si="505"/>
        <v/>
      </c>
      <c r="Q738" s="32" t="str">
        <f t="shared" si="506"/>
        <v/>
      </c>
      <c r="R738" s="32" t="str">
        <f t="shared" si="518"/>
        <v/>
      </c>
      <c r="S738" s="24" t="str">
        <f t="shared" si="519"/>
        <v/>
      </c>
      <c r="T738" s="24" t="str">
        <f t="shared" si="520"/>
        <v/>
      </c>
      <c r="U738" s="24" t="str">
        <f t="shared" si="521"/>
        <v/>
      </c>
      <c r="V738" s="24" t="str">
        <f t="shared" si="522"/>
        <v/>
      </c>
      <c r="W738" s="23" t="str">
        <f t="array" ref="W738">IFERROR(SMALL(IF(S$1:S$1000="BEGIN",ROW(S$1:S$1000)),ROW()-3),"")</f>
        <v/>
      </c>
      <c r="X738" s="23" t="str">
        <f t="array" ref="X738">IFERROR(SMALL(IF(T$1:T$1000="END",ROW(T$1:T$1000)),ROW()-3),"")</f>
        <v/>
      </c>
      <c r="Y738" s="33" t="str">
        <f t="array" ref="Y738">IF(ISNUMBER(W738),MAX(IF((B$4:B$1000&lt;=X738)*(B$4:B$1000&gt;=W738),I$4:I$1000, "")),"")</f>
        <v/>
      </c>
      <c r="Z738" s="33" t="str">
        <f t="shared" si="507"/>
        <v/>
      </c>
      <c r="AA738" s="32" t="str">
        <f t="shared" si="508"/>
        <v/>
      </c>
      <c r="AB738" s="32" t="str">
        <f t="shared" si="509"/>
        <v/>
      </c>
      <c r="AC738" s="32" t="str">
        <f t="shared" si="510"/>
        <v/>
      </c>
      <c r="AD738" s="32" t="str">
        <f t="shared" si="511"/>
        <v/>
      </c>
      <c r="AE738" s="34" t="str">
        <f t="shared" si="512"/>
        <v/>
      </c>
      <c r="AF738" s="32" t="str">
        <f t="shared" si="513"/>
        <v/>
      </c>
      <c r="AG738" s="32" t="str">
        <f t="shared" si="514"/>
        <v/>
      </c>
      <c r="AH738" s="32" t="str">
        <f t="shared" si="515"/>
        <v/>
      </c>
      <c r="AI738" s="35" t="str">
        <f t="shared" si="516"/>
        <v/>
      </c>
      <c r="AJ738" s="23" t="str">
        <f t="array" ref="AJ738">IFERROR(SMALL(IF(U$1:U$1000="BEGIN",ROW(U$1:U$1000)),ROW()-3),"")</f>
        <v/>
      </c>
      <c r="AK738" s="23" t="str">
        <f t="array" ref="AK738">IFERROR(SMALL(IF(V$1:V$1000="END",ROW(V$1:V$1000)),ROW()-3),"")</f>
        <v/>
      </c>
      <c r="AL738" s="24" t="str">
        <f t="array" ref="AL738">IF(AK738="","",MATCH(AM738,L:L,0))</f>
        <v/>
      </c>
      <c r="AM738" s="35">
        <f t="array" ref="AM738">MAX(IF((B$4:B$1000&lt;=AK738)*(B$4:B$1000&gt;=AJ738),L$4:L$1000, ""))</f>
        <v>0</v>
      </c>
      <c r="AN738" s="32" t="str">
        <f t="shared" si="523"/>
        <v/>
      </c>
      <c r="AO738" s="32" t="str">
        <f t="shared" si="524"/>
        <v/>
      </c>
      <c r="AP738" s="32" t="str">
        <f t="shared" si="525"/>
        <v/>
      </c>
      <c r="AQ738" s="32" t="str">
        <f t="shared" si="526"/>
        <v/>
      </c>
      <c r="AR738" s="32" t="str">
        <f t="shared" si="527"/>
        <v/>
      </c>
      <c r="AS738" s="32" t="str">
        <f t="shared" si="528"/>
        <v/>
      </c>
      <c r="AT738" s="32" t="str">
        <f t="shared" si="529"/>
        <v/>
      </c>
      <c r="AU738" s="34" t="str">
        <f t="shared" si="530"/>
        <v/>
      </c>
      <c r="AV738" s="32" t="str">
        <f t="shared" si="531"/>
        <v/>
      </c>
      <c r="AW738" s="32" t="str">
        <f t="shared" si="532"/>
        <v/>
      </c>
      <c r="AX738" s="32" t="str">
        <f t="shared" si="533"/>
        <v/>
      </c>
      <c r="AY738" s="32" t="str">
        <f t="shared" si="534"/>
        <v/>
      </c>
    </row>
    <row r="739" spans="1:51" x14ac:dyDescent="0.25">
      <c r="A739" s="24" t="str">
        <f t="shared" si="492"/>
        <v/>
      </c>
      <c r="B739" s="24" t="str">
        <f t="shared" si="502"/>
        <v/>
      </c>
      <c r="C739" s="32" t="str">
        <f t="shared" si="493"/>
        <v/>
      </c>
      <c r="D739" s="24" t="str">
        <f t="shared" si="494"/>
        <v/>
      </c>
      <c r="E739" s="24" t="str">
        <f t="shared" si="495"/>
        <v/>
      </c>
      <c r="F739" s="32" t="str">
        <f t="shared" si="496"/>
        <v/>
      </c>
      <c r="G739" s="32" t="str">
        <f t="shared" si="497"/>
        <v/>
      </c>
      <c r="H739" s="32" t="str">
        <f t="shared" ca="1" si="498"/>
        <v/>
      </c>
      <c r="I739" s="32" t="str">
        <f t="shared" ca="1" si="503"/>
        <v/>
      </c>
      <c r="J739" s="32" t="str">
        <f t="shared" si="499"/>
        <v/>
      </c>
      <c r="K739" s="32" t="str">
        <f>IF(ISNUMBER(A739),Profile!$V$25+Profile!$V$24*'Ri-Po'!C739,"")</f>
        <v/>
      </c>
      <c r="L739" s="32" t="str">
        <f t="shared" si="504"/>
        <v/>
      </c>
      <c r="M739" s="32" t="str">
        <f t="shared" si="500"/>
        <v/>
      </c>
      <c r="N739" s="32" t="str">
        <f t="shared" si="501"/>
        <v/>
      </c>
      <c r="O739" s="32" t="str">
        <f t="shared" si="517"/>
        <v/>
      </c>
      <c r="P739" s="32" t="str">
        <f t="shared" si="505"/>
        <v/>
      </c>
      <c r="Q739" s="32" t="str">
        <f t="shared" si="506"/>
        <v/>
      </c>
      <c r="R739" s="32" t="str">
        <f t="shared" si="518"/>
        <v/>
      </c>
      <c r="S739" s="24" t="str">
        <f t="shared" si="519"/>
        <v/>
      </c>
      <c r="T739" s="24" t="str">
        <f t="shared" si="520"/>
        <v/>
      </c>
      <c r="U739" s="24" t="str">
        <f t="shared" si="521"/>
        <v/>
      </c>
      <c r="V739" s="24" t="str">
        <f t="shared" si="522"/>
        <v/>
      </c>
      <c r="W739" s="23" t="str">
        <f t="array" ref="W739">IFERROR(SMALL(IF(S$1:S$1000="BEGIN",ROW(S$1:S$1000)),ROW()-3),"")</f>
        <v/>
      </c>
      <c r="X739" s="23" t="str">
        <f t="array" ref="X739">IFERROR(SMALL(IF(T$1:T$1000="END",ROW(T$1:T$1000)),ROW()-3),"")</f>
        <v/>
      </c>
      <c r="Y739" s="33" t="str">
        <f t="array" ref="Y739">IF(ISNUMBER(W739),MAX(IF((B$4:B$1000&lt;=X739)*(B$4:B$1000&gt;=W739),I$4:I$1000, "")),"")</f>
        <v/>
      </c>
      <c r="Z739" s="33" t="str">
        <f t="shared" si="507"/>
        <v/>
      </c>
      <c r="AA739" s="32" t="str">
        <f t="shared" si="508"/>
        <v/>
      </c>
      <c r="AB739" s="32" t="str">
        <f t="shared" si="509"/>
        <v/>
      </c>
      <c r="AC739" s="32" t="str">
        <f t="shared" si="510"/>
        <v/>
      </c>
      <c r="AD739" s="32" t="str">
        <f t="shared" si="511"/>
        <v/>
      </c>
      <c r="AE739" s="34" t="str">
        <f t="shared" si="512"/>
        <v/>
      </c>
      <c r="AF739" s="32" t="str">
        <f t="shared" si="513"/>
        <v/>
      </c>
      <c r="AG739" s="32" t="str">
        <f t="shared" si="514"/>
        <v/>
      </c>
      <c r="AH739" s="32" t="str">
        <f t="shared" si="515"/>
        <v/>
      </c>
      <c r="AI739" s="35" t="str">
        <f t="shared" si="516"/>
        <v/>
      </c>
      <c r="AJ739" s="23" t="str">
        <f t="array" ref="AJ739">IFERROR(SMALL(IF(U$1:U$1000="BEGIN",ROW(U$1:U$1000)),ROW()-3),"")</f>
        <v/>
      </c>
      <c r="AK739" s="23" t="str">
        <f t="array" ref="AK739">IFERROR(SMALL(IF(V$1:V$1000="END",ROW(V$1:V$1000)),ROW()-3),"")</f>
        <v/>
      </c>
      <c r="AL739" s="24" t="str">
        <f t="array" ref="AL739">IF(AK739="","",MATCH(AM739,L:L,0))</f>
        <v/>
      </c>
      <c r="AM739" s="35">
        <f t="array" ref="AM739">MAX(IF((B$4:B$1000&lt;=AK739)*(B$4:B$1000&gt;=AJ739),L$4:L$1000, ""))</f>
        <v>0</v>
      </c>
      <c r="AN739" s="32" t="str">
        <f t="shared" si="523"/>
        <v/>
      </c>
      <c r="AO739" s="32" t="str">
        <f t="shared" si="524"/>
        <v/>
      </c>
      <c r="AP739" s="32" t="str">
        <f t="shared" si="525"/>
        <v/>
      </c>
      <c r="AQ739" s="32" t="str">
        <f t="shared" si="526"/>
        <v/>
      </c>
      <c r="AR739" s="32" t="str">
        <f t="shared" si="527"/>
        <v/>
      </c>
      <c r="AS739" s="32" t="str">
        <f t="shared" si="528"/>
        <v/>
      </c>
      <c r="AT739" s="32" t="str">
        <f t="shared" si="529"/>
        <v/>
      </c>
      <c r="AU739" s="34" t="str">
        <f t="shared" si="530"/>
        <v/>
      </c>
      <c r="AV739" s="32" t="str">
        <f t="shared" si="531"/>
        <v/>
      </c>
      <c r="AW739" s="32" t="str">
        <f t="shared" si="532"/>
        <v/>
      </c>
      <c r="AX739" s="32" t="str">
        <f t="shared" si="533"/>
        <v/>
      </c>
      <c r="AY739" s="32" t="str">
        <f t="shared" si="534"/>
        <v/>
      </c>
    </row>
    <row r="740" spans="1:51" x14ac:dyDescent="0.25">
      <c r="A740" s="24" t="str">
        <f t="shared" si="492"/>
        <v/>
      </c>
      <c r="B740" s="24" t="str">
        <f t="shared" si="502"/>
        <v/>
      </c>
      <c r="C740" s="32" t="str">
        <f t="shared" si="493"/>
        <v/>
      </c>
      <c r="D740" s="24" t="str">
        <f t="shared" si="494"/>
        <v/>
      </c>
      <c r="E740" s="24" t="str">
        <f t="shared" si="495"/>
        <v/>
      </c>
      <c r="F740" s="32" t="str">
        <f t="shared" si="496"/>
        <v/>
      </c>
      <c r="G740" s="32" t="str">
        <f t="shared" si="497"/>
        <v/>
      </c>
      <c r="H740" s="32" t="str">
        <f t="shared" ca="1" si="498"/>
        <v/>
      </c>
      <c r="I740" s="32" t="str">
        <f t="shared" ca="1" si="503"/>
        <v/>
      </c>
      <c r="J740" s="32" t="str">
        <f t="shared" si="499"/>
        <v/>
      </c>
      <c r="K740" s="32" t="str">
        <f>IF(ISNUMBER(A740),Profile!$V$25+Profile!$V$24*'Ri-Po'!C740,"")</f>
        <v/>
      </c>
      <c r="L740" s="32" t="str">
        <f t="shared" si="504"/>
        <v/>
      </c>
      <c r="M740" s="32" t="str">
        <f t="shared" si="500"/>
        <v/>
      </c>
      <c r="N740" s="32" t="str">
        <f t="shared" si="501"/>
        <v/>
      </c>
      <c r="O740" s="32" t="str">
        <f t="shared" si="517"/>
        <v/>
      </c>
      <c r="P740" s="32" t="str">
        <f t="shared" si="505"/>
        <v/>
      </c>
      <c r="Q740" s="32" t="str">
        <f t="shared" si="506"/>
        <v/>
      </c>
      <c r="R740" s="32" t="str">
        <f t="shared" si="518"/>
        <v/>
      </c>
      <c r="S740" s="24" t="str">
        <f t="shared" si="519"/>
        <v/>
      </c>
      <c r="T740" s="24" t="str">
        <f t="shared" si="520"/>
        <v/>
      </c>
      <c r="U740" s="24" t="str">
        <f t="shared" si="521"/>
        <v/>
      </c>
      <c r="V740" s="24" t="str">
        <f t="shared" si="522"/>
        <v/>
      </c>
      <c r="W740" s="23" t="str">
        <f t="array" ref="W740">IFERROR(SMALL(IF(S$1:S$1000="BEGIN",ROW(S$1:S$1000)),ROW()-3),"")</f>
        <v/>
      </c>
      <c r="X740" s="23" t="str">
        <f t="array" ref="X740">IFERROR(SMALL(IF(T$1:T$1000="END",ROW(T$1:T$1000)),ROW()-3),"")</f>
        <v/>
      </c>
      <c r="Y740" s="33" t="str">
        <f t="array" ref="Y740">IF(ISNUMBER(W740),MAX(IF((B$4:B$1000&lt;=X740)*(B$4:B$1000&gt;=W740),I$4:I$1000, "")),"")</f>
        <v/>
      </c>
      <c r="Z740" s="33" t="str">
        <f t="shared" si="507"/>
        <v/>
      </c>
      <c r="AA740" s="32" t="str">
        <f t="shared" si="508"/>
        <v/>
      </c>
      <c r="AB740" s="32" t="str">
        <f t="shared" si="509"/>
        <v/>
      </c>
      <c r="AC740" s="32" t="str">
        <f t="shared" si="510"/>
        <v/>
      </c>
      <c r="AD740" s="32" t="str">
        <f t="shared" si="511"/>
        <v/>
      </c>
      <c r="AE740" s="34" t="str">
        <f t="shared" si="512"/>
        <v/>
      </c>
      <c r="AF740" s="32" t="str">
        <f t="shared" si="513"/>
        <v/>
      </c>
      <c r="AG740" s="32" t="str">
        <f t="shared" si="514"/>
        <v/>
      </c>
      <c r="AH740" s="32" t="str">
        <f t="shared" si="515"/>
        <v/>
      </c>
      <c r="AI740" s="35" t="str">
        <f t="shared" si="516"/>
        <v/>
      </c>
      <c r="AJ740" s="23" t="str">
        <f t="array" ref="AJ740">IFERROR(SMALL(IF(U$1:U$1000="BEGIN",ROW(U$1:U$1000)),ROW()-3),"")</f>
        <v/>
      </c>
      <c r="AK740" s="23" t="str">
        <f t="array" ref="AK740">IFERROR(SMALL(IF(V$1:V$1000="END",ROW(V$1:V$1000)),ROW()-3),"")</f>
        <v/>
      </c>
      <c r="AL740" s="24" t="str">
        <f t="array" ref="AL740">IF(AK740="","",MATCH(AM740,L:L,0))</f>
        <v/>
      </c>
      <c r="AM740" s="35">
        <f t="array" ref="AM740">MAX(IF((B$4:B$1000&lt;=AK740)*(B$4:B$1000&gt;=AJ740),L$4:L$1000, ""))</f>
        <v>0</v>
      </c>
      <c r="AN740" s="32" t="str">
        <f t="shared" si="523"/>
        <v/>
      </c>
      <c r="AO740" s="32" t="str">
        <f t="shared" si="524"/>
        <v/>
      </c>
      <c r="AP740" s="32" t="str">
        <f t="shared" si="525"/>
        <v/>
      </c>
      <c r="AQ740" s="32" t="str">
        <f t="shared" si="526"/>
        <v/>
      </c>
      <c r="AR740" s="32" t="str">
        <f t="shared" si="527"/>
        <v/>
      </c>
      <c r="AS740" s="32" t="str">
        <f t="shared" si="528"/>
        <v/>
      </c>
      <c r="AT740" s="32" t="str">
        <f t="shared" si="529"/>
        <v/>
      </c>
      <c r="AU740" s="34" t="str">
        <f t="shared" si="530"/>
        <v/>
      </c>
      <c r="AV740" s="32" t="str">
        <f t="shared" si="531"/>
        <v/>
      </c>
      <c r="AW740" s="32" t="str">
        <f t="shared" si="532"/>
        <v/>
      </c>
      <c r="AX740" s="32" t="str">
        <f t="shared" si="533"/>
        <v/>
      </c>
      <c r="AY740" s="32" t="str">
        <f t="shared" si="534"/>
        <v/>
      </c>
    </row>
    <row r="741" spans="1:51" x14ac:dyDescent="0.25">
      <c r="A741" s="24" t="str">
        <f t="shared" si="492"/>
        <v/>
      </c>
      <c r="B741" s="24" t="str">
        <f t="shared" si="502"/>
        <v/>
      </c>
      <c r="C741" s="32" t="str">
        <f t="shared" si="493"/>
        <v/>
      </c>
      <c r="D741" s="24" t="str">
        <f t="shared" si="494"/>
        <v/>
      </c>
      <c r="E741" s="24" t="str">
        <f t="shared" si="495"/>
        <v/>
      </c>
      <c r="F741" s="32" t="str">
        <f t="shared" si="496"/>
        <v/>
      </c>
      <c r="G741" s="32" t="str">
        <f t="shared" si="497"/>
        <v/>
      </c>
      <c r="H741" s="32" t="str">
        <f t="shared" ca="1" si="498"/>
        <v/>
      </c>
      <c r="I741" s="32" t="str">
        <f t="shared" ca="1" si="503"/>
        <v/>
      </c>
      <c r="J741" s="32" t="str">
        <f t="shared" si="499"/>
        <v/>
      </c>
      <c r="K741" s="32" t="str">
        <f>IF(ISNUMBER(A741),Profile!$V$25+Profile!$V$24*'Ri-Po'!C741,"")</f>
        <v/>
      </c>
      <c r="L741" s="32" t="str">
        <f t="shared" si="504"/>
        <v/>
      </c>
      <c r="M741" s="32" t="str">
        <f t="shared" si="500"/>
        <v/>
      </c>
      <c r="N741" s="32" t="str">
        <f t="shared" si="501"/>
        <v/>
      </c>
      <c r="O741" s="32" t="str">
        <f t="shared" si="517"/>
        <v/>
      </c>
      <c r="P741" s="32" t="str">
        <f t="shared" si="505"/>
        <v/>
      </c>
      <c r="Q741" s="32" t="str">
        <f t="shared" si="506"/>
        <v/>
      </c>
      <c r="R741" s="32" t="str">
        <f t="shared" si="518"/>
        <v/>
      </c>
      <c r="S741" s="24" t="str">
        <f t="shared" si="519"/>
        <v/>
      </c>
      <c r="T741" s="24" t="str">
        <f t="shared" si="520"/>
        <v/>
      </c>
      <c r="U741" s="24" t="str">
        <f t="shared" si="521"/>
        <v/>
      </c>
      <c r="V741" s="24" t="str">
        <f t="shared" si="522"/>
        <v/>
      </c>
      <c r="W741" s="23" t="str">
        <f t="array" ref="W741">IFERROR(SMALL(IF(S$1:S$1000="BEGIN",ROW(S$1:S$1000)),ROW()-3),"")</f>
        <v/>
      </c>
      <c r="X741" s="23" t="str">
        <f t="array" ref="X741">IFERROR(SMALL(IF(T$1:T$1000="END",ROW(T$1:T$1000)),ROW()-3),"")</f>
        <v/>
      </c>
      <c r="Y741" s="33" t="str">
        <f t="array" ref="Y741">IF(ISNUMBER(W741),MAX(IF((B$4:B$1000&lt;=X741)*(B$4:B$1000&gt;=W741),I$4:I$1000, "")),"")</f>
        <v/>
      </c>
      <c r="Z741" s="33" t="str">
        <f t="shared" si="507"/>
        <v/>
      </c>
      <c r="AA741" s="32" t="str">
        <f t="shared" si="508"/>
        <v/>
      </c>
      <c r="AB741" s="32" t="str">
        <f t="shared" si="509"/>
        <v/>
      </c>
      <c r="AC741" s="32" t="str">
        <f t="shared" si="510"/>
        <v/>
      </c>
      <c r="AD741" s="32" t="str">
        <f t="shared" si="511"/>
        <v/>
      </c>
      <c r="AE741" s="34" t="str">
        <f t="shared" si="512"/>
        <v/>
      </c>
      <c r="AF741" s="32" t="str">
        <f t="shared" si="513"/>
        <v/>
      </c>
      <c r="AG741" s="32" t="str">
        <f t="shared" si="514"/>
        <v/>
      </c>
      <c r="AH741" s="32" t="str">
        <f t="shared" si="515"/>
        <v/>
      </c>
      <c r="AI741" s="35" t="str">
        <f t="shared" si="516"/>
        <v/>
      </c>
      <c r="AJ741" s="23" t="str">
        <f t="array" ref="AJ741">IFERROR(SMALL(IF(U$1:U$1000="BEGIN",ROW(U$1:U$1000)),ROW()-3),"")</f>
        <v/>
      </c>
      <c r="AK741" s="23" t="str">
        <f t="array" ref="AK741">IFERROR(SMALL(IF(V$1:V$1000="END",ROW(V$1:V$1000)),ROW()-3),"")</f>
        <v/>
      </c>
      <c r="AL741" s="24" t="str">
        <f t="array" ref="AL741">IF(AK741="","",MATCH(AM741,L:L,0))</f>
        <v/>
      </c>
      <c r="AM741" s="35">
        <f t="array" ref="AM741">MAX(IF((B$4:B$1000&lt;=AK741)*(B$4:B$1000&gt;=AJ741),L$4:L$1000, ""))</f>
        <v>0</v>
      </c>
      <c r="AN741" s="32" t="str">
        <f t="shared" si="523"/>
        <v/>
      </c>
      <c r="AO741" s="32" t="str">
        <f t="shared" si="524"/>
        <v/>
      </c>
      <c r="AP741" s="32" t="str">
        <f t="shared" si="525"/>
        <v/>
      </c>
      <c r="AQ741" s="32" t="str">
        <f t="shared" si="526"/>
        <v/>
      </c>
      <c r="AR741" s="32" t="str">
        <f t="shared" si="527"/>
        <v/>
      </c>
      <c r="AS741" s="32" t="str">
        <f t="shared" si="528"/>
        <v/>
      </c>
      <c r="AT741" s="32" t="str">
        <f t="shared" si="529"/>
        <v/>
      </c>
      <c r="AU741" s="34" t="str">
        <f t="shared" si="530"/>
        <v/>
      </c>
      <c r="AV741" s="32" t="str">
        <f t="shared" si="531"/>
        <v/>
      </c>
      <c r="AW741" s="32" t="str">
        <f t="shared" si="532"/>
        <v/>
      </c>
      <c r="AX741" s="32" t="str">
        <f t="shared" si="533"/>
        <v/>
      </c>
      <c r="AY741" s="32" t="str">
        <f t="shared" si="534"/>
        <v/>
      </c>
    </row>
    <row r="742" spans="1:51" x14ac:dyDescent="0.25">
      <c r="A742" s="24" t="str">
        <f t="shared" si="492"/>
        <v/>
      </c>
      <c r="B742" s="24" t="str">
        <f t="shared" si="502"/>
        <v/>
      </c>
      <c r="C742" s="32" t="str">
        <f t="shared" si="493"/>
        <v/>
      </c>
      <c r="D742" s="24" t="str">
        <f t="shared" si="494"/>
        <v/>
      </c>
      <c r="E742" s="24" t="str">
        <f t="shared" si="495"/>
        <v/>
      </c>
      <c r="F742" s="32" t="str">
        <f t="shared" si="496"/>
        <v/>
      </c>
      <c r="G742" s="32" t="str">
        <f t="shared" si="497"/>
        <v/>
      </c>
      <c r="H742" s="32" t="str">
        <f t="shared" ca="1" si="498"/>
        <v/>
      </c>
      <c r="I742" s="32" t="str">
        <f t="shared" ca="1" si="503"/>
        <v/>
      </c>
      <c r="J742" s="32" t="str">
        <f t="shared" si="499"/>
        <v/>
      </c>
      <c r="K742" s="32" t="str">
        <f>IF(ISNUMBER(A742),Profile!$V$25+Profile!$V$24*'Ri-Po'!C742,"")</f>
        <v/>
      </c>
      <c r="L742" s="32" t="str">
        <f t="shared" si="504"/>
        <v/>
      </c>
      <c r="M742" s="32" t="str">
        <f t="shared" si="500"/>
        <v/>
      </c>
      <c r="N742" s="32" t="str">
        <f t="shared" si="501"/>
        <v/>
      </c>
      <c r="O742" s="32" t="str">
        <f t="shared" si="517"/>
        <v/>
      </c>
      <c r="P742" s="32" t="str">
        <f t="shared" si="505"/>
        <v/>
      </c>
      <c r="Q742" s="32" t="str">
        <f t="shared" si="506"/>
        <v/>
      </c>
      <c r="R742" s="32" t="str">
        <f t="shared" si="518"/>
        <v/>
      </c>
      <c r="S742" s="24" t="str">
        <f t="shared" si="519"/>
        <v/>
      </c>
      <c r="T742" s="24" t="str">
        <f t="shared" si="520"/>
        <v/>
      </c>
      <c r="U742" s="24" t="str">
        <f t="shared" si="521"/>
        <v/>
      </c>
      <c r="V742" s="24" t="str">
        <f t="shared" si="522"/>
        <v/>
      </c>
      <c r="W742" s="23" t="str">
        <f t="array" ref="W742">IFERROR(SMALL(IF(S$1:S$1000="BEGIN",ROW(S$1:S$1000)),ROW()-3),"")</f>
        <v/>
      </c>
      <c r="X742" s="23" t="str">
        <f t="array" ref="X742">IFERROR(SMALL(IF(T$1:T$1000="END",ROW(T$1:T$1000)),ROW()-3),"")</f>
        <v/>
      </c>
      <c r="Y742" s="33" t="str">
        <f t="array" ref="Y742">IF(ISNUMBER(W742),MAX(IF((B$4:B$1000&lt;=X742)*(B$4:B$1000&gt;=W742),I$4:I$1000, "")),"")</f>
        <v/>
      </c>
      <c r="Z742" s="33" t="str">
        <f t="shared" si="507"/>
        <v/>
      </c>
      <c r="AA742" s="32" t="str">
        <f t="shared" si="508"/>
        <v/>
      </c>
      <c r="AB742" s="32" t="str">
        <f t="shared" si="509"/>
        <v/>
      </c>
      <c r="AC742" s="32" t="str">
        <f t="shared" si="510"/>
        <v/>
      </c>
      <c r="AD742" s="32" t="str">
        <f t="shared" si="511"/>
        <v/>
      </c>
      <c r="AE742" s="34" t="str">
        <f t="shared" si="512"/>
        <v/>
      </c>
      <c r="AF742" s="32" t="str">
        <f t="shared" si="513"/>
        <v/>
      </c>
      <c r="AG742" s="32" t="str">
        <f t="shared" si="514"/>
        <v/>
      </c>
      <c r="AH742" s="32" t="str">
        <f t="shared" si="515"/>
        <v/>
      </c>
      <c r="AI742" s="35" t="str">
        <f t="shared" si="516"/>
        <v/>
      </c>
      <c r="AJ742" s="23" t="str">
        <f t="array" ref="AJ742">IFERROR(SMALL(IF(U$1:U$1000="BEGIN",ROW(U$1:U$1000)),ROW()-3),"")</f>
        <v/>
      </c>
      <c r="AK742" s="23" t="str">
        <f t="array" ref="AK742">IFERROR(SMALL(IF(V$1:V$1000="END",ROW(V$1:V$1000)),ROW()-3),"")</f>
        <v/>
      </c>
      <c r="AL742" s="24" t="str">
        <f t="array" ref="AL742">IF(AK742="","",MATCH(AM742,L:L,0))</f>
        <v/>
      </c>
      <c r="AM742" s="35">
        <f t="array" ref="AM742">MAX(IF((B$4:B$1000&lt;=AK742)*(B$4:B$1000&gt;=AJ742),L$4:L$1000, ""))</f>
        <v>0</v>
      </c>
      <c r="AN742" s="32" t="str">
        <f t="shared" si="523"/>
        <v/>
      </c>
      <c r="AO742" s="32" t="str">
        <f t="shared" si="524"/>
        <v/>
      </c>
      <c r="AP742" s="32" t="str">
        <f t="shared" si="525"/>
        <v/>
      </c>
      <c r="AQ742" s="32" t="str">
        <f t="shared" si="526"/>
        <v/>
      </c>
      <c r="AR742" s="32" t="str">
        <f t="shared" si="527"/>
        <v/>
      </c>
      <c r="AS742" s="32" t="str">
        <f t="shared" si="528"/>
        <v/>
      </c>
      <c r="AT742" s="32" t="str">
        <f t="shared" si="529"/>
        <v/>
      </c>
      <c r="AU742" s="34" t="str">
        <f t="shared" si="530"/>
        <v/>
      </c>
      <c r="AV742" s="32" t="str">
        <f t="shared" si="531"/>
        <v/>
      </c>
      <c r="AW742" s="32" t="str">
        <f t="shared" si="532"/>
        <v/>
      </c>
      <c r="AX742" s="32" t="str">
        <f t="shared" si="533"/>
        <v/>
      </c>
      <c r="AY742" s="32" t="str">
        <f t="shared" si="534"/>
        <v/>
      </c>
    </row>
    <row r="743" spans="1:51" x14ac:dyDescent="0.25">
      <c r="A743" s="24" t="str">
        <f t="shared" si="492"/>
        <v/>
      </c>
      <c r="B743" s="24" t="str">
        <f t="shared" si="502"/>
        <v/>
      </c>
      <c r="C743" s="32" t="str">
        <f t="shared" si="493"/>
        <v/>
      </c>
      <c r="D743" s="24" t="str">
        <f t="shared" si="494"/>
        <v/>
      </c>
      <c r="E743" s="24" t="str">
        <f t="shared" si="495"/>
        <v/>
      </c>
      <c r="F743" s="32" t="str">
        <f t="shared" si="496"/>
        <v/>
      </c>
      <c r="G743" s="32" t="str">
        <f t="shared" si="497"/>
        <v/>
      </c>
      <c r="H743" s="32" t="str">
        <f t="shared" ca="1" si="498"/>
        <v/>
      </c>
      <c r="I743" s="32" t="str">
        <f t="shared" ca="1" si="503"/>
        <v/>
      </c>
      <c r="J743" s="32" t="str">
        <f t="shared" si="499"/>
        <v/>
      </c>
      <c r="K743" s="32" t="str">
        <f>IF(ISNUMBER(A743),Profile!$V$25+Profile!$V$24*'Ri-Po'!C743,"")</f>
        <v/>
      </c>
      <c r="L743" s="32" t="str">
        <f t="shared" si="504"/>
        <v/>
      </c>
      <c r="M743" s="32" t="str">
        <f t="shared" si="500"/>
        <v/>
      </c>
      <c r="N743" s="32" t="str">
        <f t="shared" si="501"/>
        <v/>
      </c>
      <c r="O743" s="32" t="str">
        <f t="shared" si="517"/>
        <v/>
      </c>
      <c r="P743" s="32" t="str">
        <f t="shared" si="505"/>
        <v/>
      </c>
      <c r="Q743" s="32" t="str">
        <f t="shared" si="506"/>
        <v/>
      </c>
      <c r="R743" s="32" t="str">
        <f t="shared" si="518"/>
        <v/>
      </c>
      <c r="S743" s="24" t="str">
        <f t="shared" si="519"/>
        <v/>
      </c>
      <c r="T743" s="24" t="str">
        <f t="shared" si="520"/>
        <v/>
      </c>
      <c r="U743" s="24" t="str">
        <f t="shared" si="521"/>
        <v/>
      </c>
      <c r="V743" s="24" t="str">
        <f t="shared" si="522"/>
        <v/>
      </c>
      <c r="W743" s="23" t="str">
        <f t="array" ref="W743">IFERROR(SMALL(IF(S$1:S$1000="BEGIN",ROW(S$1:S$1000)),ROW()-3),"")</f>
        <v/>
      </c>
      <c r="X743" s="23" t="str">
        <f t="array" ref="X743">IFERROR(SMALL(IF(T$1:T$1000="END",ROW(T$1:T$1000)),ROW()-3),"")</f>
        <v/>
      </c>
      <c r="Y743" s="33" t="str">
        <f t="array" ref="Y743">IF(ISNUMBER(W743),MAX(IF((B$4:B$1000&lt;=X743)*(B$4:B$1000&gt;=W743),I$4:I$1000, "")),"")</f>
        <v/>
      </c>
      <c r="Z743" s="33" t="str">
        <f t="shared" si="507"/>
        <v/>
      </c>
      <c r="AA743" s="32" t="str">
        <f t="shared" si="508"/>
        <v/>
      </c>
      <c r="AB743" s="32" t="str">
        <f t="shared" si="509"/>
        <v/>
      </c>
      <c r="AC743" s="32" t="str">
        <f t="shared" si="510"/>
        <v/>
      </c>
      <c r="AD743" s="32" t="str">
        <f t="shared" si="511"/>
        <v/>
      </c>
      <c r="AE743" s="34" t="str">
        <f t="shared" si="512"/>
        <v/>
      </c>
      <c r="AF743" s="32" t="str">
        <f t="shared" si="513"/>
        <v/>
      </c>
      <c r="AG743" s="32" t="str">
        <f t="shared" si="514"/>
        <v/>
      </c>
      <c r="AH743" s="32" t="str">
        <f t="shared" si="515"/>
        <v/>
      </c>
      <c r="AI743" s="35" t="str">
        <f t="shared" si="516"/>
        <v/>
      </c>
      <c r="AJ743" s="23" t="str">
        <f t="array" ref="AJ743">IFERROR(SMALL(IF(U$1:U$1000="BEGIN",ROW(U$1:U$1000)),ROW()-3),"")</f>
        <v/>
      </c>
      <c r="AK743" s="23" t="str">
        <f t="array" ref="AK743">IFERROR(SMALL(IF(V$1:V$1000="END",ROW(V$1:V$1000)),ROW()-3),"")</f>
        <v/>
      </c>
      <c r="AL743" s="24" t="str">
        <f t="array" ref="AL743">IF(AK743="","",MATCH(AM743,L:L,0))</f>
        <v/>
      </c>
      <c r="AM743" s="35">
        <f t="array" ref="AM743">MAX(IF((B$4:B$1000&lt;=AK743)*(B$4:B$1000&gt;=AJ743),L$4:L$1000, ""))</f>
        <v>0</v>
      </c>
      <c r="AN743" s="32" t="str">
        <f t="shared" si="523"/>
        <v/>
      </c>
      <c r="AO743" s="32" t="str">
        <f t="shared" si="524"/>
        <v/>
      </c>
      <c r="AP743" s="32" t="str">
        <f t="shared" si="525"/>
        <v/>
      </c>
      <c r="AQ743" s="32" t="str">
        <f t="shared" si="526"/>
        <v/>
      </c>
      <c r="AR743" s="32" t="str">
        <f t="shared" si="527"/>
        <v/>
      </c>
      <c r="AS743" s="32" t="str">
        <f t="shared" si="528"/>
        <v/>
      </c>
      <c r="AT743" s="32" t="str">
        <f t="shared" si="529"/>
        <v/>
      </c>
      <c r="AU743" s="34" t="str">
        <f t="shared" si="530"/>
        <v/>
      </c>
      <c r="AV743" s="32" t="str">
        <f t="shared" si="531"/>
        <v/>
      </c>
      <c r="AW743" s="32" t="str">
        <f t="shared" si="532"/>
        <v/>
      </c>
      <c r="AX743" s="32" t="str">
        <f t="shared" si="533"/>
        <v/>
      </c>
      <c r="AY743" s="32" t="str">
        <f t="shared" si="534"/>
        <v/>
      </c>
    </row>
    <row r="744" spans="1:51" x14ac:dyDescent="0.25">
      <c r="A744" s="24" t="str">
        <f t="shared" si="492"/>
        <v/>
      </c>
      <c r="B744" s="24" t="str">
        <f t="shared" si="502"/>
        <v/>
      </c>
      <c r="C744" s="32" t="str">
        <f t="shared" si="493"/>
        <v/>
      </c>
      <c r="D744" s="24" t="str">
        <f t="shared" si="494"/>
        <v/>
      </c>
      <c r="E744" s="24" t="str">
        <f t="shared" si="495"/>
        <v/>
      </c>
      <c r="F744" s="32" t="str">
        <f t="shared" si="496"/>
        <v/>
      </c>
      <c r="G744" s="32" t="str">
        <f t="shared" si="497"/>
        <v/>
      </c>
      <c r="H744" s="32" t="str">
        <f t="shared" ca="1" si="498"/>
        <v/>
      </c>
      <c r="I744" s="32" t="str">
        <f t="shared" ca="1" si="503"/>
        <v/>
      </c>
      <c r="J744" s="32" t="str">
        <f t="shared" si="499"/>
        <v/>
      </c>
      <c r="K744" s="32" t="str">
        <f>IF(ISNUMBER(A744),Profile!$V$25+Profile!$V$24*'Ri-Po'!C744,"")</f>
        <v/>
      </c>
      <c r="L744" s="32" t="str">
        <f t="shared" si="504"/>
        <v/>
      </c>
      <c r="M744" s="32" t="str">
        <f t="shared" si="500"/>
        <v/>
      </c>
      <c r="N744" s="32" t="str">
        <f t="shared" si="501"/>
        <v/>
      </c>
      <c r="O744" s="32" t="str">
        <f t="shared" si="517"/>
        <v/>
      </c>
      <c r="P744" s="32" t="str">
        <f t="shared" si="505"/>
        <v/>
      </c>
      <c r="Q744" s="32" t="str">
        <f t="shared" si="506"/>
        <v/>
      </c>
      <c r="R744" s="32" t="str">
        <f t="shared" si="518"/>
        <v/>
      </c>
      <c r="S744" s="24" t="str">
        <f t="shared" si="519"/>
        <v/>
      </c>
      <c r="T744" s="24" t="str">
        <f t="shared" si="520"/>
        <v/>
      </c>
      <c r="U744" s="24" t="str">
        <f t="shared" si="521"/>
        <v/>
      </c>
      <c r="V744" s="24" t="str">
        <f t="shared" si="522"/>
        <v/>
      </c>
      <c r="W744" s="23" t="str">
        <f t="array" ref="W744">IFERROR(SMALL(IF(S$1:S$1000="BEGIN",ROW(S$1:S$1000)),ROW()-3),"")</f>
        <v/>
      </c>
      <c r="X744" s="23" t="str">
        <f t="array" ref="X744">IFERROR(SMALL(IF(T$1:T$1000="END",ROW(T$1:T$1000)),ROW()-3),"")</f>
        <v/>
      </c>
      <c r="Y744" s="33" t="str">
        <f t="array" ref="Y744">IF(ISNUMBER(W744),MAX(IF((B$4:B$1000&lt;=X744)*(B$4:B$1000&gt;=W744),I$4:I$1000, "")),"")</f>
        <v/>
      </c>
      <c r="Z744" s="33" t="str">
        <f t="shared" si="507"/>
        <v/>
      </c>
      <c r="AA744" s="32" t="str">
        <f t="shared" si="508"/>
        <v/>
      </c>
      <c r="AB744" s="32" t="str">
        <f t="shared" si="509"/>
        <v/>
      </c>
      <c r="AC744" s="32" t="str">
        <f t="shared" si="510"/>
        <v/>
      </c>
      <c r="AD744" s="32" t="str">
        <f t="shared" si="511"/>
        <v/>
      </c>
      <c r="AE744" s="34" t="str">
        <f t="shared" si="512"/>
        <v/>
      </c>
      <c r="AF744" s="32" t="str">
        <f t="shared" si="513"/>
        <v/>
      </c>
      <c r="AG744" s="32" t="str">
        <f t="shared" si="514"/>
        <v/>
      </c>
      <c r="AH744" s="32" t="str">
        <f t="shared" si="515"/>
        <v/>
      </c>
      <c r="AI744" s="35" t="str">
        <f t="shared" si="516"/>
        <v/>
      </c>
      <c r="AJ744" s="23" t="str">
        <f t="array" ref="AJ744">IFERROR(SMALL(IF(U$1:U$1000="BEGIN",ROW(U$1:U$1000)),ROW()-3),"")</f>
        <v/>
      </c>
      <c r="AK744" s="23" t="str">
        <f t="array" ref="AK744">IFERROR(SMALL(IF(V$1:V$1000="END",ROW(V$1:V$1000)),ROW()-3),"")</f>
        <v/>
      </c>
      <c r="AL744" s="24" t="str">
        <f t="array" ref="AL744">IF(AK744="","",MATCH(AM744,L:L,0))</f>
        <v/>
      </c>
      <c r="AM744" s="35">
        <f t="array" ref="AM744">MAX(IF((B$4:B$1000&lt;=AK744)*(B$4:B$1000&gt;=AJ744),L$4:L$1000, ""))</f>
        <v>0</v>
      </c>
      <c r="AN744" s="32" t="str">
        <f t="shared" si="523"/>
        <v/>
      </c>
      <c r="AO744" s="32" t="str">
        <f t="shared" si="524"/>
        <v/>
      </c>
      <c r="AP744" s="32" t="str">
        <f t="shared" si="525"/>
        <v/>
      </c>
      <c r="AQ744" s="32" t="str">
        <f t="shared" si="526"/>
        <v/>
      </c>
      <c r="AR744" s="32" t="str">
        <f t="shared" si="527"/>
        <v/>
      </c>
      <c r="AS744" s="32" t="str">
        <f t="shared" si="528"/>
        <v/>
      </c>
      <c r="AT744" s="32" t="str">
        <f t="shared" si="529"/>
        <v/>
      </c>
      <c r="AU744" s="34" t="str">
        <f t="shared" si="530"/>
        <v/>
      </c>
      <c r="AV744" s="32" t="str">
        <f t="shared" si="531"/>
        <v/>
      </c>
      <c r="AW744" s="32" t="str">
        <f t="shared" si="532"/>
        <v/>
      </c>
      <c r="AX744" s="32" t="str">
        <f t="shared" si="533"/>
        <v/>
      </c>
      <c r="AY744" s="32" t="str">
        <f t="shared" si="534"/>
        <v/>
      </c>
    </row>
    <row r="745" spans="1:51" x14ac:dyDescent="0.25">
      <c r="A745" s="24" t="str">
        <f t="shared" si="492"/>
        <v/>
      </c>
      <c r="B745" s="24" t="str">
        <f t="shared" si="502"/>
        <v/>
      </c>
      <c r="C745" s="32" t="str">
        <f t="shared" si="493"/>
        <v/>
      </c>
      <c r="D745" s="24" t="str">
        <f t="shared" si="494"/>
        <v/>
      </c>
      <c r="E745" s="24" t="str">
        <f t="shared" si="495"/>
        <v/>
      </c>
      <c r="F745" s="32" t="str">
        <f t="shared" si="496"/>
        <v/>
      </c>
      <c r="G745" s="32" t="str">
        <f t="shared" si="497"/>
        <v/>
      </c>
      <c r="H745" s="32" t="str">
        <f t="shared" ca="1" si="498"/>
        <v/>
      </c>
      <c r="I745" s="32" t="str">
        <f t="shared" ca="1" si="503"/>
        <v/>
      </c>
      <c r="J745" s="32" t="str">
        <f t="shared" si="499"/>
        <v/>
      </c>
      <c r="K745" s="32" t="str">
        <f>IF(ISNUMBER(A745),Profile!$V$25+Profile!$V$24*'Ri-Po'!C745,"")</f>
        <v/>
      </c>
      <c r="L745" s="32" t="str">
        <f t="shared" si="504"/>
        <v/>
      </c>
      <c r="M745" s="32" t="str">
        <f t="shared" si="500"/>
        <v/>
      </c>
      <c r="N745" s="32" t="str">
        <f t="shared" si="501"/>
        <v/>
      </c>
      <c r="O745" s="32" t="str">
        <f t="shared" si="517"/>
        <v/>
      </c>
      <c r="P745" s="32" t="str">
        <f t="shared" si="505"/>
        <v/>
      </c>
      <c r="Q745" s="32" t="str">
        <f t="shared" si="506"/>
        <v/>
      </c>
      <c r="R745" s="32" t="str">
        <f t="shared" si="518"/>
        <v/>
      </c>
      <c r="S745" s="24" t="str">
        <f t="shared" si="519"/>
        <v/>
      </c>
      <c r="T745" s="24" t="str">
        <f t="shared" si="520"/>
        <v/>
      </c>
      <c r="U745" s="24" t="str">
        <f t="shared" si="521"/>
        <v/>
      </c>
      <c r="V745" s="24" t="str">
        <f t="shared" si="522"/>
        <v/>
      </c>
      <c r="W745" s="23" t="str">
        <f t="array" ref="W745">IFERROR(SMALL(IF(S$1:S$1000="BEGIN",ROW(S$1:S$1000)),ROW()-3),"")</f>
        <v/>
      </c>
      <c r="X745" s="23" t="str">
        <f t="array" ref="X745">IFERROR(SMALL(IF(T$1:T$1000="END",ROW(T$1:T$1000)),ROW()-3),"")</f>
        <v/>
      </c>
      <c r="Y745" s="33" t="str">
        <f t="array" ref="Y745">IF(ISNUMBER(W745),MAX(IF((B$4:B$1000&lt;=X745)*(B$4:B$1000&gt;=W745),I$4:I$1000, "")),"")</f>
        <v/>
      </c>
      <c r="Z745" s="33" t="str">
        <f t="shared" si="507"/>
        <v/>
      </c>
      <c r="AA745" s="32" t="str">
        <f t="shared" si="508"/>
        <v/>
      </c>
      <c r="AB745" s="32" t="str">
        <f t="shared" si="509"/>
        <v/>
      </c>
      <c r="AC745" s="32" t="str">
        <f t="shared" si="510"/>
        <v/>
      </c>
      <c r="AD745" s="32" t="str">
        <f t="shared" si="511"/>
        <v/>
      </c>
      <c r="AE745" s="34" t="str">
        <f t="shared" si="512"/>
        <v/>
      </c>
      <c r="AF745" s="32" t="str">
        <f t="shared" si="513"/>
        <v/>
      </c>
      <c r="AG745" s="32" t="str">
        <f t="shared" si="514"/>
        <v/>
      </c>
      <c r="AH745" s="32" t="str">
        <f t="shared" si="515"/>
        <v/>
      </c>
      <c r="AI745" s="35" t="str">
        <f t="shared" si="516"/>
        <v/>
      </c>
      <c r="AJ745" s="23" t="str">
        <f t="array" ref="AJ745">IFERROR(SMALL(IF(U$1:U$1000="BEGIN",ROW(U$1:U$1000)),ROW()-3),"")</f>
        <v/>
      </c>
      <c r="AK745" s="23" t="str">
        <f t="array" ref="AK745">IFERROR(SMALL(IF(V$1:V$1000="END",ROW(V$1:V$1000)),ROW()-3),"")</f>
        <v/>
      </c>
      <c r="AL745" s="24" t="str">
        <f t="array" ref="AL745">IF(AK745="","",MATCH(AM745,L:L,0))</f>
        <v/>
      </c>
      <c r="AM745" s="35">
        <f t="array" ref="AM745">MAX(IF((B$4:B$1000&lt;=AK745)*(B$4:B$1000&gt;=AJ745),L$4:L$1000, ""))</f>
        <v>0</v>
      </c>
      <c r="AN745" s="32" t="str">
        <f t="shared" si="523"/>
        <v/>
      </c>
      <c r="AO745" s="32" t="str">
        <f t="shared" si="524"/>
        <v/>
      </c>
      <c r="AP745" s="32" t="str">
        <f t="shared" si="525"/>
        <v/>
      </c>
      <c r="AQ745" s="32" t="str">
        <f t="shared" si="526"/>
        <v/>
      </c>
      <c r="AR745" s="32" t="str">
        <f t="shared" si="527"/>
        <v/>
      </c>
      <c r="AS745" s="32" t="str">
        <f t="shared" si="528"/>
        <v/>
      </c>
      <c r="AT745" s="32" t="str">
        <f t="shared" si="529"/>
        <v/>
      </c>
      <c r="AU745" s="34" t="str">
        <f t="shared" si="530"/>
        <v/>
      </c>
      <c r="AV745" s="32" t="str">
        <f t="shared" si="531"/>
        <v/>
      </c>
      <c r="AW745" s="32" t="str">
        <f t="shared" si="532"/>
        <v/>
      </c>
      <c r="AX745" s="32" t="str">
        <f t="shared" si="533"/>
        <v/>
      </c>
      <c r="AY745" s="32" t="str">
        <f t="shared" si="534"/>
        <v/>
      </c>
    </row>
    <row r="746" spans="1:51" x14ac:dyDescent="0.25">
      <c r="A746" s="24" t="str">
        <f t="shared" si="492"/>
        <v/>
      </c>
      <c r="B746" s="24" t="str">
        <f t="shared" si="502"/>
        <v/>
      </c>
      <c r="C746" s="32" t="str">
        <f t="shared" si="493"/>
        <v/>
      </c>
      <c r="D746" s="24" t="str">
        <f t="shared" si="494"/>
        <v/>
      </c>
      <c r="E746" s="24" t="str">
        <f t="shared" si="495"/>
        <v/>
      </c>
      <c r="F746" s="32" t="str">
        <f t="shared" si="496"/>
        <v/>
      </c>
      <c r="G746" s="32" t="str">
        <f t="shared" si="497"/>
        <v/>
      </c>
      <c r="H746" s="32" t="str">
        <f t="shared" ca="1" si="498"/>
        <v/>
      </c>
      <c r="I746" s="32" t="str">
        <f t="shared" ca="1" si="503"/>
        <v/>
      </c>
      <c r="J746" s="32" t="str">
        <f t="shared" si="499"/>
        <v/>
      </c>
      <c r="K746" s="32" t="str">
        <f>IF(ISNUMBER(A746),Profile!$V$25+Profile!$V$24*'Ri-Po'!C746,"")</f>
        <v/>
      </c>
      <c r="L746" s="32" t="str">
        <f t="shared" si="504"/>
        <v/>
      </c>
      <c r="M746" s="32" t="str">
        <f t="shared" si="500"/>
        <v/>
      </c>
      <c r="N746" s="32" t="str">
        <f t="shared" si="501"/>
        <v/>
      </c>
      <c r="O746" s="32" t="str">
        <f t="shared" si="517"/>
        <v/>
      </c>
      <c r="P746" s="32" t="str">
        <f t="shared" si="505"/>
        <v/>
      </c>
      <c r="Q746" s="32" t="str">
        <f t="shared" si="506"/>
        <v/>
      </c>
      <c r="R746" s="32" t="str">
        <f t="shared" si="518"/>
        <v/>
      </c>
      <c r="S746" s="24" t="str">
        <f t="shared" si="519"/>
        <v/>
      </c>
      <c r="T746" s="24" t="str">
        <f t="shared" si="520"/>
        <v/>
      </c>
      <c r="U746" s="24" t="str">
        <f t="shared" si="521"/>
        <v/>
      </c>
      <c r="V746" s="24" t="str">
        <f t="shared" si="522"/>
        <v/>
      </c>
      <c r="W746" s="23" t="str">
        <f t="array" ref="W746">IFERROR(SMALL(IF(S$1:S$1000="BEGIN",ROW(S$1:S$1000)),ROW()-3),"")</f>
        <v/>
      </c>
      <c r="X746" s="23" t="str">
        <f t="array" ref="X746">IFERROR(SMALL(IF(T$1:T$1000="END",ROW(T$1:T$1000)),ROW()-3),"")</f>
        <v/>
      </c>
      <c r="Y746" s="33" t="str">
        <f t="array" ref="Y746">IF(ISNUMBER(W746),MAX(IF((B$4:B$1000&lt;=X746)*(B$4:B$1000&gt;=W746),I$4:I$1000, "")),"")</f>
        <v/>
      </c>
      <c r="Z746" s="33" t="str">
        <f t="shared" si="507"/>
        <v/>
      </c>
      <c r="AA746" s="32" t="str">
        <f t="shared" si="508"/>
        <v/>
      </c>
      <c r="AB746" s="32" t="str">
        <f t="shared" si="509"/>
        <v/>
      </c>
      <c r="AC746" s="32" t="str">
        <f t="shared" si="510"/>
        <v/>
      </c>
      <c r="AD746" s="32" t="str">
        <f t="shared" si="511"/>
        <v/>
      </c>
      <c r="AE746" s="34" t="str">
        <f t="shared" si="512"/>
        <v/>
      </c>
      <c r="AF746" s="32" t="str">
        <f t="shared" si="513"/>
        <v/>
      </c>
      <c r="AG746" s="32" t="str">
        <f t="shared" si="514"/>
        <v/>
      </c>
      <c r="AH746" s="32" t="str">
        <f t="shared" si="515"/>
        <v/>
      </c>
      <c r="AI746" s="35" t="str">
        <f t="shared" si="516"/>
        <v/>
      </c>
      <c r="AJ746" s="23" t="str">
        <f t="array" ref="AJ746">IFERROR(SMALL(IF(U$1:U$1000="BEGIN",ROW(U$1:U$1000)),ROW()-3),"")</f>
        <v/>
      </c>
      <c r="AK746" s="23" t="str">
        <f t="array" ref="AK746">IFERROR(SMALL(IF(V$1:V$1000="END",ROW(V$1:V$1000)),ROW()-3),"")</f>
        <v/>
      </c>
      <c r="AL746" s="24" t="str">
        <f t="array" ref="AL746">IF(AK746="","",MATCH(AM746,L:L,0))</f>
        <v/>
      </c>
      <c r="AM746" s="35">
        <f t="array" ref="AM746">MAX(IF((B$4:B$1000&lt;=AK746)*(B$4:B$1000&gt;=AJ746),L$4:L$1000, ""))</f>
        <v>0</v>
      </c>
      <c r="AN746" s="32" t="str">
        <f t="shared" si="523"/>
        <v/>
      </c>
      <c r="AO746" s="32" t="str">
        <f t="shared" si="524"/>
        <v/>
      </c>
      <c r="AP746" s="32" t="str">
        <f t="shared" si="525"/>
        <v/>
      </c>
      <c r="AQ746" s="32" t="str">
        <f t="shared" si="526"/>
        <v/>
      </c>
      <c r="AR746" s="32" t="str">
        <f t="shared" si="527"/>
        <v/>
      </c>
      <c r="AS746" s="32" t="str">
        <f t="shared" si="528"/>
        <v/>
      </c>
      <c r="AT746" s="32" t="str">
        <f t="shared" si="529"/>
        <v/>
      </c>
      <c r="AU746" s="34" t="str">
        <f t="shared" si="530"/>
        <v/>
      </c>
      <c r="AV746" s="32" t="str">
        <f t="shared" si="531"/>
        <v/>
      </c>
      <c r="AW746" s="32" t="str">
        <f t="shared" si="532"/>
        <v/>
      </c>
      <c r="AX746" s="32" t="str">
        <f t="shared" si="533"/>
        <v/>
      </c>
      <c r="AY746" s="32" t="str">
        <f t="shared" si="534"/>
        <v/>
      </c>
    </row>
    <row r="747" spans="1:51" x14ac:dyDescent="0.25">
      <c r="A747" s="24" t="str">
        <f t="shared" si="492"/>
        <v/>
      </c>
      <c r="B747" s="24" t="str">
        <f t="shared" si="502"/>
        <v/>
      </c>
      <c r="C747" s="32" t="str">
        <f t="shared" si="493"/>
        <v/>
      </c>
      <c r="D747" s="24" t="str">
        <f t="shared" si="494"/>
        <v/>
      </c>
      <c r="E747" s="24" t="str">
        <f t="shared" si="495"/>
        <v/>
      </c>
      <c r="F747" s="32" t="str">
        <f t="shared" si="496"/>
        <v/>
      </c>
      <c r="G747" s="32" t="str">
        <f t="shared" si="497"/>
        <v/>
      </c>
      <c r="H747" s="32" t="str">
        <f t="shared" ca="1" si="498"/>
        <v/>
      </c>
      <c r="I747" s="32" t="str">
        <f t="shared" ca="1" si="503"/>
        <v/>
      </c>
      <c r="J747" s="32" t="str">
        <f t="shared" si="499"/>
        <v/>
      </c>
      <c r="K747" s="32" t="str">
        <f>IF(ISNUMBER(A747),Profile!$V$25+Profile!$V$24*'Ri-Po'!C747,"")</f>
        <v/>
      </c>
      <c r="L747" s="32" t="str">
        <f t="shared" si="504"/>
        <v/>
      </c>
      <c r="M747" s="32" t="str">
        <f t="shared" si="500"/>
        <v/>
      </c>
      <c r="N747" s="32" t="str">
        <f t="shared" si="501"/>
        <v/>
      </c>
      <c r="O747" s="32" t="str">
        <f t="shared" si="517"/>
        <v/>
      </c>
      <c r="P747" s="32" t="str">
        <f t="shared" si="505"/>
        <v/>
      </c>
      <c r="Q747" s="32" t="str">
        <f t="shared" si="506"/>
        <v/>
      </c>
      <c r="R747" s="32" t="str">
        <f t="shared" si="518"/>
        <v/>
      </c>
      <c r="S747" s="24" t="str">
        <f t="shared" si="519"/>
        <v/>
      </c>
      <c r="T747" s="24" t="str">
        <f t="shared" si="520"/>
        <v/>
      </c>
      <c r="U747" s="24" t="str">
        <f t="shared" si="521"/>
        <v/>
      </c>
      <c r="V747" s="24" t="str">
        <f t="shared" si="522"/>
        <v/>
      </c>
      <c r="W747" s="23" t="str">
        <f t="array" ref="W747">IFERROR(SMALL(IF(S$1:S$1000="BEGIN",ROW(S$1:S$1000)),ROW()-3),"")</f>
        <v/>
      </c>
      <c r="X747" s="23" t="str">
        <f t="array" ref="X747">IFERROR(SMALL(IF(T$1:T$1000="END",ROW(T$1:T$1000)),ROW()-3),"")</f>
        <v/>
      </c>
      <c r="Y747" s="33" t="str">
        <f t="array" ref="Y747">IF(ISNUMBER(W747),MAX(IF((B$4:B$1000&lt;=X747)*(B$4:B$1000&gt;=W747),I$4:I$1000, "")),"")</f>
        <v/>
      </c>
      <c r="Z747" s="33" t="str">
        <f t="shared" si="507"/>
        <v/>
      </c>
      <c r="AA747" s="32" t="str">
        <f t="shared" si="508"/>
        <v/>
      </c>
      <c r="AB747" s="32" t="str">
        <f t="shared" si="509"/>
        <v/>
      </c>
      <c r="AC747" s="32" t="str">
        <f t="shared" si="510"/>
        <v/>
      </c>
      <c r="AD747" s="32" t="str">
        <f t="shared" si="511"/>
        <v/>
      </c>
      <c r="AE747" s="34" t="str">
        <f t="shared" si="512"/>
        <v/>
      </c>
      <c r="AF747" s="32" t="str">
        <f t="shared" si="513"/>
        <v/>
      </c>
      <c r="AG747" s="32" t="str">
        <f t="shared" si="514"/>
        <v/>
      </c>
      <c r="AH747" s="32" t="str">
        <f t="shared" si="515"/>
        <v/>
      </c>
      <c r="AI747" s="35" t="str">
        <f t="shared" si="516"/>
        <v/>
      </c>
      <c r="AJ747" s="23" t="str">
        <f t="array" ref="AJ747">IFERROR(SMALL(IF(U$1:U$1000="BEGIN",ROW(U$1:U$1000)),ROW()-3),"")</f>
        <v/>
      </c>
      <c r="AK747" s="23" t="str">
        <f t="array" ref="AK747">IFERROR(SMALL(IF(V$1:V$1000="END",ROW(V$1:V$1000)),ROW()-3),"")</f>
        <v/>
      </c>
      <c r="AL747" s="24" t="str">
        <f t="array" ref="AL747">IF(AK747="","",MATCH(AM747,L:L,0))</f>
        <v/>
      </c>
      <c r="AM747" s="35">
        <f t="array" ref="AM747">MAX(IF((B$4:B$1000&lt;=AK747)*(B$4:B$1000&gt;=AJ747),L$4:L$1000, ""))</f>
        <v>0</v>
      </c>
      <c r="AN747" s="32" t="str">
        <f t="shared" si="523"/>
        <v/>
      </c>
      <c r="AO747" s="32" t="str">
        <f t="shared" si="524"/>
        <v/>
      </c>
      <c r="AP747" s="32" t="str">
        <f t="shared" si="525"/>
        <v/>
      </c>
      <c r="AQ747" s="32" t="str">
        <f t="shared" si="526"/>
        <v/>
      </c>
      <c r="AR747" s="32" t="str">
        <f t="shared" si="527"/>
        <v/>
      </c>
      <c r="AS747" s="32" t="str">
        <f t="shared" si="528"/>
        <v/>
      </c>
      <c r="AT747" s="32" t="str">
        <f t="shared" si="529"/>
        <v/>
      </c>
      <c r="AU747" s="34" t="str">
        <f t="shared" si="530"/>
        <v/>
      </c>
      <c r="AV747" s="32" t="str">
        <f t="shared" si="531"/>
        <v/>
      </c>
      <c r="AW747" s="32" t="str">
        <f t="shared" si="532"/>
        <v/>
      </c>
      <c r="AX747" s="32" t="str">
        <f t="shared" si="533"/>
        <v/>
      </c>
      <c r="AY747" s="32" t="str">
        <f t="shared" si="534"/>
        <v/>
      </c>
    </row>
    <row r="748" spans="1:51" x14ac:dyDescent="0.25">
      <c r="A748" s="24" t="str">
        <f t="shared" si="492"/>
        <v/>
      </c>
      <c r="B748" s="24" t="str">
        <f t="shared" si="502"/>
        <v/>
      </c>
      <c r="C748" s="32" t="str">
        <f t="shared" si="493"/>
        <v/>
      </c>
      <c r="D748" s="24" t="str">
        <f t="shared" si="494"/>
        <v/>
      </c>
      <c r="E748" s="24" t="str">
        <f t="shared" si="495"/>
        <v/>
      </c>
      <c r="F748" s="32" t="str">
        <f t="shared" si="496"/>
        <v/>
      </c>
      <c r="G748" s="32" t="str">
        <f t="shared" si="497"/>
        <v/>
      </c>
      <c r="H748" s="32" t="str">
        <f t="shared" ca="1" si="498"/>
        <v/>
      </c>
      <c r="I748" s="32" t="str">
        <f t="shared" ca="1" si="503"/>
        <v/>
      </c>
      <c r="J748" s="32" t="str">
        <f t="shared" si="499"/>
        <v/>
      </c>
      <c r="K748" s="32" t="str">
        <f>IF(ISNUMBER(A748),Profile!$V$25+Profile!$V$24*'Ri-Po'!C748,"")</f>
        <v/>
      </c>
      <c r="L748" s="32" t="str">
        <f t="shared" si="504"/>
        <v/>
      </c>
      <c r="M748" s="32" t="str">
        <f t="shared" si="500"/>
        <v/>
      </c>
      <c r="N748" s="32" t="str">
        <f t="shared" si="501"/>
        <v/>
      </c>
      <c r="O748" s="32" t="str">
        <f t="shared" si="517"/>
        <v/>
      </c>
      <c r="P748" s="32" t="str">
        <f t="shared" si="505"/>
        <v/>
      </c>
      <c r="Q748" s="32" t="str">
        <f t="shared" si="506"/>
        <v/>
      </c>
      <c r="R748" s="32" t="str">
        <f t="shared" si="518"/>
        <v/>
      </c>
      <c r="S748" s="24" t="str">
        <f t="shared" si="519"/>
        <v/>
      </c>
      <c r="T748" s="24" t="str">
        <f t="shared" si="520"/>
        <v/>
      </c>
      <c r="U748" s="24" t="str">
        <f t="shared" si="521"/>
        <v/>
      </c>
      <c r="V748" s="24" t="str">
        <f t="shared" si="522"/>
        <v/>
      </c>
      <c r="W748" s="23" t="str">
        <f t="array" ref="W748">IFERROR(SMALL(IF(S$1:S$1000="BEGIN",ROW(S$1:S$1000)),ROW()-3),"")</f>
        <v/>
      </c>
      <c r="X748" s="23" t="str">
        <f t="array" ref="X748">IFERROR(SMALL(IF(T$1:T$1000="END",ROW(T$1:T$1000)),ROW()-3),"")</f>
        <v/>
      </c>
      <c r="Y748" s="33" t="str">
        <f t="array" ref="Y748">IF(ISNUMBER(W748),MAX(IF((B$4:B$1000&lt;=X748)*(B$4:B$1000&gt;=W748),I$4:I$1000, "")),"")</f>
        <v/>
      </c>
      <c r="Z748" s="33" t="str">
        <f t="shared" si="507"/>
        <v/>
      </c>
      <c r="AA748" s="32" t="str">
        <f t="shared" si="508"/>
        <v/>
      </c>
      <c r="AB748" s="32" t="str">
        <f t="shared" si="509"/>
        <v/>
      </c>
      <c r="AC748" s="32" t="str">
        <f t="shared" si="510"/>
        <v/>
      </c>
      <c r="AD748" s="32" t="str">
        <f t="shared" si="511"/>
        <v/>
      </c>
      <c r="AE748" s="34" t="str">
        <f t="shared" si="512"/>
        <v/>
      </c>
      <c r="AF748" s="32" t="str">
        <f t="shared" si="513"/>
        <v/>
      </c>
      <c r="AG748" s="32" t="str">
        <f t="shared" si="514"/>
        <v/>
      </c>
      <c r="AH748" s="32" t="str">
        <f t="shared" si="515"/>
        <v/>
      </c>
      <c r="AI748" s="35" t="str">
        <f t="shared" si="516"/>
        <v/>
      </c>
      <c r="AJ748" s="23" t="str">
        <f t="array" ref="AJ748">IFERROR(SMALL(IF(U$1:U$1000="BEGIN",ROW(U$1:U$1000)),ROW()-3),"")</f>
        <v/>
      </c>
      <c r="AK748" s="23" t="str">
        <f t="array" ref="AK748">IFERROR(SMALL(IF(V$1:V$1000="END",ROW(V$1:V$1000)),ROW()-3),"")</f>
        <v/>
      </c>
      <c r="AL748" s="24" t="str">
        <f t="array" ref="AL748">IF(AK748="","",MATCH(AM748,L:L,0))</f>
        <v/>
      </c>
      <c r="AM748" s="35">
        <f t="array" ref="AM748">MAX(IF((B$4:B$1000&lt;=AK748)*(B$4:B$1000&gt;=AJ748),L$4:L$1000, ""))</f>
        <v>0</v>
      </c>
      <c r="AN748" s="32" t="str">
        <f t="shared" si="523"/>
        <v/>
      </c>
      <c r="AO748" s="32" t="str">
        <f t="shared" si="524"/>
        <v/>
      </c>
      <c r="AP748" s="32" t="str">
        <f t="shared" si="525"/>
        <v/>
      </c>
      <c r="AQ748" s="32" t="str">
        <f t="shared" si="526"/>
        <v/>
      </c>
      <c r="AR748" s="32" t="str">
        <f t="shared" si="527"/>
        <v/>
      </c>
      <c r="AS748" s="32" t="str">
        <f t="shared" si="528"/>
        <v/>
      </c>
      <c r="AT748" s="32" t="str">
        <f t="shared" si="529"/>
        <v/>
      </c>
      <c r="AU748" s="34" t="str">
        <f t="shared" si="530"/>
        <v/>
      </c>
      <c r="AV748" s="32" t="str">
        <f t="shared" si="531"/>
        <v/>
      </c>
      <c r="AW748" s="32" t="str">
        <f t="shared" si="532"/>
        <v/>
      </c>
      <c r="AX748" s="32" t="str">
        <f t="shared" si="533"/>
        <v/>
      </c>
      <c r="AY748" s="32" t="str">
        <f t="shared" si="534"/>
        <v/>
      </c>
    </row>
    <row r="749" spans="1:51" x14ac:dyDescent="0.25">
      <c r="A749" s="24" t="str">
        <f t="shared" si="492"/>
        <v/>
      </c>
      <c r="B749" s="24" t="str">
        <f t="shared" si="502"/>
        <v/>
      </c>
      <c r="C749" s="32" t="str">
        <f t="shared" si="493"/>
        <v/>
      </c>
      <c r="D749" s="24" t="str">
        <f t="shared" si="494"/>
        <v/>
      </c>
      <c r="E749" s="24" t="str">
        <f t="shared" si="495"/>
        <v/>
      </c>
      <c r="F749" s="32" t="str">
        <f t="shared" si="496"/>
        <v/>
      </c>
      <c r="G749" s="32" t="str">
        <f t="shared" si="497"/>
        <v/>
      </c>
      <c r="H749" s="32" t="str">
        <f t="shared" ca="1" si="498"/>
        <v/>
      </c>
      <c r="I749" s="32" t="str">
        <f t="shared" ca="1" si="503"/>
        <v/>
      </c>
      <c r="J749" s="32" t="str">
        <f t="shared" si="499"/>
        <v/>
      </c>
      <c r="K749" s="32" t="str">
        <f>IF(ISNUMBER(A749),Profile!$V$25+Profile!$V$24*'Ri-Po'!C749,"")</f>
        <v/>
      </c>
      <c r="L749" s="32" t="str">
        <f t="shared" si="504"/>
        <v/>
      </c>
      <c r="M749" s="32" t="str">
        <f t="shared" si="500"/>
        <v/>
      </c>
      <c r="N749" s="32" t="str">
        <f t="shared" si="501"/>
        <v/>
      </c>
      <c r="O749" s="32" t="str">
        <f t="shared" si="517"/>
        <v/>
      </c>
      <c r="P749" s="32" t="str">
        <f t="shared" si="505"/>
        <v/>
      </c>
      <c r="Q749" s="32" t="str">
        <f t="shared" si="506"/>
        <v/>
      </c>
      <c r="R749" s="32" t="str">
        <f t="shared" si="518"/>
        <v/>
      </c>
      <c r="S749" s="24" t="str">
        <f t="shared" si="519"/>
        <v/>
      </c>
      <c r="T749" s="24" t="str">
        <f t="shared" si="520"/>
        <v/>
      </c>
      <c r="U749" s="24" t="str">
        <f t="shared" si="521"/>
        <v/>
      </c>
      <c r="V749" s="24" t="str">
        <f t="shared" si="522"/>
        <v/>
      </c>
      <c r="W749" s="23" t="str">
        <f t="array" ref="W749">IFERROR(SMALL(IF(S$1:S$1000="BEGIN",ROW(S$1:S$1000)),ROW()-3),"")</f>
        <v/>
      </c>
      <c r="X749" s="23" t="str">
        <f t="array" ref="X749">IFERROR(SMALL(IF(T$1:T$1000="END",ROW(T$1:T$1000)),ROW()-3),"")</f>
        <v/>
      </c>
      <c r="Y749" s="33" t="str">
        <f t="array" ref="Y749">IF(ISNUMBER(W749),MAX(IF((B$4:B$1000&lt;=X749)*(B$4:B$1000&gt;=W749),I$4:I$1000, "")),"")</f>
        <v/>
      </c>
      <c r="Z749" s="33" t="str">
        <f t="shared" si="507"/>
        <v/>
      </c>
      <c r="AA749" s="32" t="str">
        <f t="shared" si="508"/>
        <v/>
      </c>
      <c r="AB749" s="32" t="str">
        <f t="shared" si="509"/>
        <v/>
      </c>
      <c r="AC749" s="32" t="str">
        <f t="shared" si="510"/>
        <v/>
      </c>
      <c r="AD749" s="32" t="str">
        <f t="shared" si="511"/>
        <v/>
      </c>
      <c r="AE749" s="34" t="str">
        <f t="shared" si="512"/>
        <v/>
      </c>
      <c r="AF749" s="32" t="str">
        <f t="shared" si="513"/>
        <v/>
      </c>
      <c r="AG749" s="32" t="str">
        <f t="shared" si="514"/>
        <v/>
      </c>
      <c r="AH749" s="32" t="str">
        <f t="shared" si="515"/>
        <v/>
      </c>
      <c r="AI749" s="35" t="str">
        <f t="shared" si="516"/>
        <v/>
      </c>
      <c r="AJ749" s="23" t="str">
        <f t="array" ref="AJ749">IFERROR(SMALL(IF(U$1:U$1000="BEGIN",ROW(U$1:U$1000)),ROW()-3),"")</f>
        <v/>
      </c>
      <c r="AK749" s="23" t="str">
        <f t="array" ref="AK749">IFERROR(SMALL(IF(V$1:V$1000="END",ROW(V$1:V$1000)),ROW()-3),"")</f>
        <v/>
      </c>
      <c r="AL749" s="24" t="str">
        <f t="array" ref="AL749">IF(AK749="","",MATCH(AM749,L:L,0))</f>
        <v/>
      </c>
      <c r="AM749" s="35">
        <f t="array" ref="AM749">MAX(IF((B$4:B$1000&lt;=AK749)*(B$4:B$1000&gt;=AJ749),L$4:L$1000, ""))</f>
        <v>0</v>
      </c>
      <c r="AN749" s="32" t="str">
        <f t="shared" si="523"/>
        <v/>
      </c>
      <c r="AO749" s="32" t="str">
        <f t="shared" si="524"/>
        <v/>
      </c>
      <c r="AP749" s="32" t="str">
        <f t="shared" si="525"/>
        <v/>
      </c>
      <c r="AQ749" s="32" t="str">
        <f t="shared" si="526"/>
        <v/>
      </c>
      <c r="AR749" s="32" t="str">
        <f t="shared" si="527"/>
        <v/>
      </c>
      <c r="AS749" s="32" t="str">
        <f t="shared" si="528"/>
        <v/>
      </c>
      <c r="AT749" s="32" t="str">
        <f t="shared" si="529"/>
        <v/>
      </c>
      <c r="AU749" s="34" t="str">
        <f t="shared" si="530"/>
        <v/>
      </c>
      <c r="AV749" s="32" t="str">
        <f t="shared" si="531"/>
        <v/>
      </c>
      <c r="AW749" s="32" t="str">
        <f t="shared" si="532"/>
        <v/>
      </c>
      <c r="AX749" s="32" t="str">
        <f t="shared" si="533"/>
        <v/>
      </c>
      <c r="AY749" s="32" t="str">
        <f t="shared" si="534"/>
        <v/>
      </c>
    </row>
    <row r="750" spans="1:51" x14ac:dyDescent="0.25">
      <c r="A750" s="24" t="str">
        <f t="shared" si="492"/>
        <v/>
      </c>
      <c r="B750" s="24" t="str">
        <f t="shared" si="502"/>
        <v/>
      </c>
      <c r="C750" s="32" t="str">
        <f t="shared" si="493"/>
        <v/>
      </c>
      <c r="D750" s="24" t="str">
        <f t="shared" si="494"/>
        <v/>
      </c>
      <c r="E750" s="24" t="str">
        <f t="shared" si="495"/>
        <v/>
      </c>
      <c r="F750" s="32" t="str">
        <f t="shared" si="496"/>
        <v/>
      </c>
      <c r="G750" s="32" t="str">
        <f t="shared" si="497"/>
        <v/>
      </c>
      <c r="H750" s="32" t="str">
        <f t="shared" ca="1" si="498"/>
        <v/>
      </c>
      <c r="I750" s="32" t="str">
        <f t="shared" ca="1" si="503"/>
        <v/>
      </c>
      <c r="J750" s="32" t="str">
        <f t="shared" si="499"/>
        <v/>
      </c>
      <c r="K750" s="32" t="str">
        <f>IF(ISNUMBER(A750),Profile!$V$25+Profile!$V$24*'Ri-Po'!C750,"")</f>
        <v/>
      </c>
      <c r="L750" s="32" t="str">
        <f t="shared" si="504"/>
        <v/>
      </c>
      <c r="M750" s="32" t="str">
        <f t="shared" si="500"/>
        <v/>
      </c>
      <c r="N750" s="32" t="str">
        <f t="shared" si="501"/>
        <v/>
      </c>
      <c r="O750" s="32" t="str">
        <f t="shared" si="517"/>
        <v/>
      </c>
      <c r="P750" s="32" t="str">
        <f t="shared" si="505"/>
        <v/>
      </c>
      <c r="Q750" s="32" t="str">
        <f t="shared" si="506"/>
        <v/>
      </c>
      <c r="R750" s="32" t="str">
        <f t="shared" si="518"/>
        <v/>
      </c>
      <c r="S750" s="24" t="str">
        <f t="shared" si="519"/>
        <v/>
      </c>
      <c r="T750" s="24" t="str">
        <f t="shared" si="520"/>
        <v/>
      </c>
      <c r="U750" s="24" t="str">
        <f t="shared" si="521"/>
        <v/>
      </c>
      <c r="V750" s="24" t="str">
        <f t="shared" si="522"/>
        <v/>
      </c>
      <c r="W750" s="23" t="str">
        <f t="array" ref="W750">IFERROR(SMALL(IF(S$1:S$1000="BEGIN",ROW(S$1:S$1000)),ROW()-3),"")</f>
        <v/>
      </c>
      <c r="X750" s="23" t="str">
        <f t="array" ref="X750">IFERROR(SMALL(IF(T$1:T$1000="END",ROW(T$1:T$1000)),ROW()-3),"")</f>
        <v/>
      </c>
      <c r="Y750" s="33" t="str">
        <f t="array" ref="Y750">IF(ISNUMBER(W750),MAX(IF((B$4:B$1000&lt;=X750)*(B$4:B$1000&gt;=W750),I$4:I$1000, "")),"")</f>
        <v/>
      </c>
      <c r="Z750" s="33" t="str">
        <f t="shared" si="507"/>
        <v/>
      </c>
      <c r="AA750" s="32" t="str">
        <f t="shared" si="508"/>
        <v/>
      </c>
      <c r="AB750" s="32" t="str">
        <f t="shared" si="509"/>
        <v/>
      </c>
      <c r="AC750" s="32" t="str">
        <f t="shared" si="510"/>
        <v/>
      </c>
      <c r="AD750" s="32" t="str">
        <f t="shared" si="511"/>
        <v/>
      </c>
      <c r="AE750" s="34" t="str">
        <f t="shared" si="512"/>
        <v/>
      </c>
      <c r="AF750" s="32" t="str">
        <f t="shared" si="513"/>
        <v/>
      </c>
      <c r="AG750" s="32" t="str">
        <f t="shared" si="514"/>
        <v/>
      </c>
      <c r="AH750" s="32" t="str">
        <f t="shared" si="515"/>
        <v/>
      </c>
      <c r="AI750" s="35" t="str">
        <f t="shared" si="516"/>
        <v/>
      </c>
      <c r="AJ750" s="23" t="str">
        <f t="array" ref="AJ750">IFERROR(SMALL(IF(U$1:U$1000="BEGIN",ROW(U$1:U$1000)),ROW()-3),"")</f>
        <v/>
      </c>
      <c r="AK750" s="23" t="str">
        <f t="array" ref="AK750">IFERROR(SMALL(IF(V$1:V$1000="END",ROW(V$1:V$1000)),ROW()-3),"")</f>
        <v/>
      </c>
      <c r="AL750" s="24" t="str">
        <f t="array" ref="AL750">IF(AK750="","",MATCH(AM750,L:L,0))</f>
        <v/>
      </c>
      <c r="AM750" s="35">
        <f t="array" ref="AM750">MAX(IF((B$4:B$1000&lt;=AK750)*(B$4:B$1000&gt;=AJ750),L$4:L$1000, ""))</f>
        <v>0</v>
      </c>
      <c r="AN750" s="32" t="str">
        <f t="shared" si="523"/>
        <v/>
      </c>
      <c r="AO750" s="32" t="str">
        <f t="shared" si="524"/>
        <v/>
      </c>
      <c r="AP750" s="32" t="str">
        <f t="shared" si="525"/>
        <v/>
      </c>
      <c r="AQ750" s="32" t="str">
        <f t="shared" si="526"/>
        <v/>
      </c>
      <c r="AR750" s="32" t="str">
        <f t="shared" si="527"/>
        <v/>
      </c>
      <c r="AS750" s="32" t="str">
        <f t="shared" si="528"/>
        <v/>
      </c>
      <c r="AT750" s="32" t="str">
        <f t="shared" si="529"/>
        <v/>
      </c>
      <c r="AU750" s="34" t="str">
        <f t="shared" si="530"/>
        <v/>
      </c>
      <c r="AV750" s="32" t="str">
        <f t="shared" si="531"/>
        <v/>
      </c>
      <c r="AW750" s="32" t="str">
        <f t="shared" si="532"/>
        <v/>
      </c>
      <c r="AX750" s="32" t="str">
        <f t="shared" si="533"/>
        <v/>
      </c>
      <c r="AY750" s="32" t="str">
        <f t="shared" si="534"/>
        <v/>
      </c>
    </row>
    <row r="751" spans="1:51" x14ac:dyDescent="0.25">
      <c r="A751" s="24" t="str">
        <f t="shared" si="492"/>
        <v/>
      </c>
      <c r="B751" s="24" t="str">
        <f t="shared" si="502"/>
        <v/>
      </c>
      <c r="C751" s="32" t="str">
        <f t="shared" si="493"/>
        <v/>
      </c>
      <c r="D751" s="24" t="str">
        <f t="shared" si="494"/>
        <v/>
      </c>
      <c r="E751" s="24" t="str">
        <f t="shared" si="495"/>
        <v/>
      </c>
      <c r="F751" s="32" t="str">
        <f t="shared" si="496"/>
        <v/>
      </c>
      <c r="G751" s="32" t="str">
        <f t="shared" si="497"/>
        <v/>
      </c>
      <c r="H751" s="32" t="str">
        <f t="shared" ca="1" si="498"/>
        <v/>
      </c>
      <c r="I751" s="32" t="str">
        <f t="shared" ca="1" si="503"/>
        <v/>
      </c>
      <c r="J751" s="32" t="str">
        <f t="shared" si="499"/>
        <v/>
      </c>
      <c r="K751" s="32" t="str">
        <f>IF(ISNUMBER(A751),Profile!$V$25+Profile!$V$24*'Ri-Po'!C751,"")</f>
        <v/>
      </c>
      <c r="L751" s="32" t="str">
        <f t="shared" si="504"/>
        <v/>
      </c>
      <c r="M751" s="32" t="str">
        <f t="shared" si="500"/>
        <v/>
      </c>
      <c r="N751" s="32" t="str">
        <f t="shared" si="501"/>
        <v/>
      </c>
      <c r="O751" s="32" t="str">
        <f t="shared" si="517"/>
        <v/>
      </c>
      <c r="P751" s="32" t="str">
        <f t="shared" si="505"/>
        <v/>
      </c>
      <c r="Q751" s="32" t="str">
        <f t="shared" si="506"/>
        <v/>
      </c>
      <c r="R751" s="32" t="str">
        <f t="shared" si="518"/>
        <v/>
      </c>
      <c r="S751" s="24" t="str">
        <f t="shared" si="519"/>
        <v/>
      </c>
      <c r="T751" s="24" t="str">
        <f t="shared" si="520"/>
        <v/>
      </c>
      <c r="U751" s="24" t="str">
        <f t="shared" si="521"/>
        <v/>
      </c>
      <c r="V751" s="24" t="str">
        <f t="shared" si="522"/>
        <v/>
      </c>
      <c r="W751" s="23" t="str">
        <f t="array" ref="W751">IFERROR(SMALL(IF(S$1:S$1000="BEGIN",ROW(S$1:S$1000)),ROW()-3),"")</f>
        <v/>
      </c>
      <c r="X751" s="23" t="str">
        <f t="array" ref="X751">IFERROR(SMALL(IF(T$1:T$1000="END",ROW(T$1:T$1000)),ROW()-3),"")</f>
        <v/>
      </c>
      <c r="Y751" s="33" t="str">
        <f t="array" ref="Y751">IF(ISNUMBER(W751),MAX(IF((B$4:B$1000&lt;=X751)*(B$4:B$1000&gt;=W751),I$4:I$1000, "")),"")</f>
        <v/>
      </c>
      <c r="Z751" s="33" t="str">
        <f t="shared" si="507"/>
        <v/>
      </c>
      <c r="AA751" s="32" t="str">
        <f t="shared" si="508"/>
        <v/>
      </c>
      <c r="AB751" s="32" t="str">
        <f t="shared" si="509"/>
        <v/>
      </c>
      <c r="AC751" s="32" t="str">
        <f t="shared" si="510"/>
        <v/>
      </c>
      <c r="AD751" s="32" t="str">
        <f t="shared" si="511"/>
        <v/>
      </c>
      <c r="AE751" s="34" t="str">
        <f t="shared" si="512"/>
        <v/>
      </c>
      <c r="AF751" s="32" t="str">
        <f t="shared" si="513"/>
        <v/>
      </c>
      <c r="AG751" s="32" t="str">
        <f t="shared" si="514"/>
        <v/>
      </c>
      <c r="AH751" s="32" t="str">
        <f t="shared" si="515"/>
        <v/>
      </c>
      <c r="AI751" s="35" t="str">
        <f t="shared" si="516"/>
        <v/>
      </c>
      <c r="AJ751" s="23" t="str">
        <f t="array" ref="AJ751">IFERROR(SMALL(IF(U$1:U$1000="BEGIN",ROW(U$1:U$1000)),ROW()-3),"")</f>
        <v/>
      </c>
      <c r="AK751" s="23" t="str">
        <f t="array" ref="AK751">IFERROR(SMALL(IF(V$1:V$1000="END",ROW(V$1:V$1000)),ROW()-3),"")</f>
        <v/>
      </c>
      <c r="AL751" s="24" t="str">
        <f t="array" ref="AL751">IF(AK751="","",MATCH(AM751,L:L,0))</f>
        <v/>
      </c>
      <c r="AM751" s="35">
        <f t="array" ref="AM751">MAX(IF((B$4:B$1000&lt;=AK751)*(B$4:B$1000&gt;=AJ751),L$4:L$1000, ""))</f>
        <v>0</v>
      </c>
      <c r="AN751" s="32" t="str">
        <f t="shared" si="523"/>
        <v/>
      </c>
      <c r="AO751" s="32" t="str">
        <f t="shared" si="524"/>
        <v/>
      </c>
      <c r="AP751" s="32" t="str">
        <f t="shared" si="525"/>
        <v/>
      </c>
      <c r="AQ751" s="32" t="str">
        <f t="shared" si="526"/>
        <v/>
      </c>
      <c r="AR751" s="32" t="str">
        <f t="shared" si="527"/>
        <v/>
      </c>
      <c r="AS751" s="32" t="str">
        <f t="shared" si="528"/>
        <v/>
      </c>
      <c r="AT751" s="32" t="str">
        <f t="shared" si="529"/>
        <v/>
      </c>
      <c r="AU751" s="34" t="str">
        <f t="shared" si="530"/>
        <v/>
      </c>
      <c r="AV751" s="32" t="str">
        <f t="shared" si="531"/>
        <v/>
      </c>
      <c r="AW751" s="32" t="str">
        <f t="shared" si="532"/>
        <v/>
      </c>
      <c r="AX751" s="32" t="str">
        <f t="shared" si="533"/>
        <v/>
      </c>
      <c r="AY751" s="32" t="str">
        <f t="shared" si="534"/>
        <v/>
      </c>
    </row>
    <row r="752" spans="1:51" x14ac:dyDescent="0.25">
      <c r="A752" s="24" t="str">
        <f t="shared" si="492"/>
        <v/>
      </c>
      <c r="B752" s="24" t="str">
        <f t="shared" si="502"/>
        <v/>
      </c>
      <c r="C752" s="32" t="str">
        <f t="shared" si="493"/>
        <v/>
      </c>
      <c r="D752" s="24" t="str">
        <f t="shared" si="494"/>
        <v/>
      </c>
      <c r="E752" s="24" t="str">
        <f t="shared" si="495"/>
        <v/>
      </c>
      <c r="F752" s="32" t="str">
        <f t="shared" si="496"/>
        <v/>
      </c>
      <c r="G752" s="32" t="str">
        <f t="shared" si="497"/>
        <v/>
      </c>
      <c r="H752" s="32" t="str">
        <f t="shared" ca="1" si="498"/>
        <v/>
      </c>
      <c r="I752" s="32" t="str">
        <f t="shared" ca="1" si="503"/>
        <v/>
      </c>
      <c r="J752" s="32" t="str">
        <f t="shared" si="499"/>
        <v/>
      </c>
      <c r="K752" s="32" t="str">
        <f>IF(ISNUMBER(A752),Profile!$V$25+Profile!$V$24*'Ri-Po'!C752,"")</f>
        <v/>
      </c>
      <c r="L752" s="32" t="str">
        <f t="shared" si="504"/>
        <v/>
      </c>
      <c r="M752" s="32" t="str">
        <f t="shared" si="500"/>
        <v/>
      </c>
      <c r="N752" s="32" t="str">
        <f t="shared" si="501"/>
        <v/>
      </c>
      <c r="O752" s="32" t="str">
        <f t="shared" si="517"/>
        <v/>
      </c>
      <c r="P752" s="32" t="str">
        <f t="shared" si="505"/>
        <v/>
      </c>
      <c r="Q752" s="32" t="str">
        <f t="shared" si="506"/>
        <v/>
      </c>
      <c r="R752" s="32" t="str">
        <f t="shared" si="518"/>
        <v/>
      </c>
      <c r="S752" s="24" t="str">
        <f t="shared" si="519"/>
        <v/>
      </c>
      <c r="T752" s="24" t="str">
        <f t="shared" si="520"/>
        <v/>
      </c>
      <c r="U752" s="24" t="str">
        <f t="shared" si="521"/>
        <v/>
      </c>
      <c r="V752" s="24" t="str">
        <f t="shared" si="522"/>
        <v/>
      </c>
      <c r="W752" s="23" t="str">
        <f t="array" ref="W752">IFERROR(SMALL(IF(S$1:S$1000="BEGIN",ROW(S$1:S$1000)),ROW()-3),"")</f>
        <v/>
      </c>
      <c r="X752" s="23" t="str">
        <f t="array" ref="X752">IFERROR(SMALL(IF(T$1:T$1000="END",ROW(T$1:T$1000)),ROW()-3),"")</f>
        <v/>
      </c>
      <c r="Y752" s="33" t="str">
        <f t="array" ref="Y752">IF(ISNUMBER(W752),MAX(IF((B$4:B$1000&lt;=X752)*(B$4:B$1000&gt;=W752),I$4:I$1000, "")),"")</f>
        <v/>
      </c>
      <c r="Z752" s="33" t="str">
        <f t="shared" si="507"/>
        <v/>
      </c>
      <c r="AA752" s="32" t="str">
        <f t="shared" si="508"/>
        <v/>
      </c>
      <c r="AB752" s="32" t="str">
        <f t="shared" si="509"/>
        <v/>
      </c>
      <c r="AC752" s="32" t="str">
        <f t="shared" si="510"/>
        <v/>
      </c>
      <c r="AD752" s="32" t="str">
        <f t="shared" si="511"/>
        <v/>
      </c>
      <c r="AE752" s="34" t="str">
        <f t="shared" si="512"/>
        <v/>
      </c>
      <c r="AF752" s="32" t="str">
        <f t="shared" si="513"/>
        <v/>
      </c>
      <c r="AG752" s="32" t="str">
        <f t="shared" si="514"/>
        <v/>
      </c>
      <c r="AH752" s="32" t="str">
        <f t="shared" si="515"/>
        <v/>
      </c>
      <c r="AI752" s="35" t="str">
        <f t="shared" si="516"/>
        <v/>
      </c>
      <c r="AJ752" s="23" t="str">
        <f t="array" ref="AJ752">IFERROR(SMALL(IF(U$1:U$1000="BEGIN",ROW(U$1:U$1000)),ROW()-3),"")</f>
        <v/>
      </c>
      <c r="AK752" s="23" t="str">
        <f t="array" ref="AK752">IFERROR(SMALL(IF(V$1:V$1000="END",ROW(V$1:V$1000)),ROW()-3),"")</f>
        <v/>
      </c>
      <c r="AL752" s="24" t="str">
        <f t="array" ref="AL752">IF(AK752="","",MATCH(AM752,L:L,0))</f>
        <v/>
      </c>
      <c r="AM752" s="35">
        <f t="array" ref="AM752">MAX(IF((B$4:B$1000&lt;=AK752)*(B$4:B$1000&gt;=AJ752),L$4:L$1000, ""))</f>
        <v>0</v>
      </c>
      <c r="AN752" s="32" t="str">
        <f t="shared" si="523"/>
        <v/>
      </c>
      <c r="AO752" s="32" t="str">
        <f t="shared" si="524"/>
        <v/>
      </c>
      <c r="AP752" s="32" t="str">
        <f t="shared" si="525"/>
        <v/>
      </c>
      <c r="AQ752" s="32" t="str">
        <f t="shared" si="526"/>
        <v/>
      </c>
      <c r="AR752" s="32" t="str">
        <f t="shared" si="527"/>
        <v/>
      </c>
      <c r="AS752" s="32" t="str">
        <f t="shared" si="528"/>
        <v/>
      </c>
      <c r="AT752" s="32" t="str">
        <f t="shared" si="529"/>
        <v/>
      </c>
      <c r="AU752" s="34" t="str">
        <f t="shared" si="530"/>
        <v/>
      </c>
      <c r="AV752" s="32" t="str">
        <f t="shared" si="531"/>
        <v/>
      </c>
      <c r="AW752" s="32" t="str">
        <f t="shared" si="532"/>
        <v/>
      </c>
      <c r="AX752" s="32" t="str">
        <f t="shared" si="533"/>
        <v/>
      </c>
      <c r="AY752" s="32" t="str">
        <f t="shared" si="534"/>
        <v/>
      </c>
    </row>
    <row r="753" spans="1:51" x14ac:dyDescent="0.25">
      <c r="A753" s="24" t="str">
        <f t="shared" si="492"/>
        <v/>
      </c>
      <c r="B753" s="24" t="str">
        <f t="shared" si="502"/>
        <v/>
      </c>
      <c r="C753" s="32" t="str">
        <f t="shared" si="493"/>
        <v/>
      </c>
      <c r="D753" s="24" t="str">
        <f t="shared" si="494"/>
        <v/>
      </c>
      <c r="E753" s="24" t="str">
        <f t="shared" si="495"/>
        <v/>
      </c>
      <c r="F753" s="32" t="str">
        <f t="shared" si="496"/>
        <v/>
      </c>
      <c r="G753" s="32" t="str">
        <f t="shared" si="497"/>
        <v/>
      </c>
      <c r="H753" s="32" t="str">
        <f t="shared" ca="1" si="498"/>
        <v/>
      </c>
      <c r="I753" s="32" t="str">
        <f t="shared" ca="1" si="503"/>
        <v/>
      </c>
      <c r="J753" s="32" t="str">
        <f t="shared" si="499"/>
        <v/>
      </c>
      <c r="K753" s="32" t="str">
        <f>IF(ISNUMBER(A753),Profile!$V$25+Profile!$V$24*'Ri-Po'!C753,"")</f>
        <v/>
      </c>
      <c r="L753" s="32" t="str">
        <f t="shared" si="504"/>
        <v/>
      </c>
      <c r="M753" s="32" t="str">
        <f t="shared" si="500"/>
        <v/>
      </c>
      <c r="N753" s="32" t="str">
        <f t="shared" si="501"/>
        <v/>
      </c>
      <c r="O753" s="32" t="str">
        <f t="shared" si="517"/>
        <v/>
      </c>
      <c r="P753" s="32" t="str">
        <f t="shared" si="505"/>
        <v/>
      </c>
      <c r="Q753" s="32" t="str">
        <f t="shared" si="506"/>
        <v/>
      </c>
      <c r="R753" s="32" t="str">
        <f t="shared" si="518"/>
        <v/>
      </c>
      <c r="S753" s="24" t="str">
        <f t="shared" si="519"/>
        <v/>
      </c>
      <c r="T753" s="24" t="str">
        <f t="shared" si="520"/>
        <v/>
      </c>
      <c r="U753" s="24" t="str">
        <f t="shared" si="521"/>
        <v/>
      </c>
      <c r="V753" s="24" t="str">
        <f t="shared" si="522"/>
        <v/>
      </c>
      <c r="W753" s="23" t="str">
        <f t="array" ref="W753">IFERROR(SMALL(IF(S$1:S$1000="BEGIN",ROW(S$1:S$1000)),ROW()-3),"")</f>
        <v/>
      </c>
      <c r="X753" s="23" t="str">
        <f t="array" ref="X753">IFERROR(SMALL(IF(T$1:T$1000="END",ROW(T$1:T$1000)),ROW()-3),"")</f>
        <v/>
      </c>
      <c r="Y753" s="33" t="str">
        <f t="array" ref="Y753">IF(ISNUMBER(W753),MAX(IF((B$4:B$1000&lt;=X753)*(B$4:B$1000&gt;=W753),I$4:I$1000, "")),"")</f>
        <v/>
      </c>
      <c r="Z753" s="33" t="str">
        <f t="shared" si="507"/>
        <v/>
      </c>
      <c r="AA753" s="32" t="str">
        <f t="shared" si="508"/>
        <v/>
      </c>
      <c r="AB753" s="32" t="str">
        <f t="shared" si="509"/>
        <v/>
      </c>
      <c r="AC753" s="32" t="str">
        <f t="shared" si="510"/>
        <v/>
      </c>
      <c r="AD753" s="32" t="str">
        <f t="shared" si="511"/>
        <v/>
      </c>
      <c r="AE753" s="34" t="str">
        <f t="shared" si="512"/>
        <v/>
      </c>
      <c r="AF753" s="32" t="str">
        <f t="shared" si="513"/>
        <v/>
      </c>
      <c r="AG753" s="32" t="str">
        <f t="shared" si="514"/>
        <v/>
      </c>
      <c r="AH753" s="32" t="str">
        <f t="shared" si="515"/>
        <v/>
      </c>
      <c r="AI753" s="35" t="str">
        <f t="shared" si="516"/>
        <v/>
      </c>
      <c r="AJ753" s="23" t="str">
        <f t="array" ref="AJ753">IFERROR(SMALL(IF(U$1:U$1000="BEGIN",ROW(U$1:U$1000)),ROW()-3),"")</f>
        <v/>
      </c>
      <c r="AK753" s="23" t="str">
        <f t="array" ref="AK753">IFERROR(SMALL(IF(V$1:V$1000="END",ROW(V$1:V$1000)),ROW()-3),"")</f>
        <v/>
      </c>
      <c r="AL753" s="24" t="str">
        <f t="array" ref="AL753">IF(AK753="","",MATCH(AM753,L:L,0))</f>
        <v/>
      </c>
      <c r="AM753" s="35">
        <f t="array" ref="AM753">MAX(IF((B$4:B$1000&lt;=AK753)*(B$4:B$1000&gt;=AJ753),L$4:L$1000, ""))</f>
        <v>0</v>
      </c>
      <c r="AN753" s="32" t="str">
        <f t="shared" si="523"/>
        <v/>
      </c>
      <c r="AO753" s="32" t="str">
        <f t="shared" si="524"/>
        <v/>
      </c>
      <c r="AP753" s="32" t="str">
        <f t="shared" si="525"/>
        <v/>
      </c>
      <c r="AQ753" s="32" t="str">
        <f t="shared" si="526"/>
        <v/>
      </c>
      <c r="AR753" s="32" t="str">
        <f t="shared" si="527"/>
        <v/>
      </c>
      <c r="AS753" s="32" t="str">
        <f t="shared" si="528"/>
        <v/>
      </c>
      <c r="AT753" s="32" t="str">
        <f t="shared" si="529"/>
        <v/>
      </c>
      <c r="AU753" s="34" t="str">
        <f t="shared" si="530"/>
        <v/>
      </c>
      <c r="AV753" s="32" t="str">
        <f t="shared" si="531"/>
        <v/>
      </c>
      <c r="AW753" s="32" t="str">
        <f t="shared" si="532"/>
        <v/>
      </c>
      <c r="AX753" s="32" t="str">
        <f t="shared" si="533"/>
        <v/>
      </c>
      <c r="AY753" s="32" t="str">
        <f t="shared" si="534"/>
        <v/>
      </c>
    </row>
    <row r="754" spans="1:51" x14ac:dyDescent="0.25">
      <c r="A754" s="24" t="str">
        <f t="shared" si="492"/>
        <v/>
      </c>
      <c r="B754" s="24" t="str">
        <f t="shared" si="502"/>
        <v/>
      </c>
      <c r="C754" s="32" t="str">
        <f t="shared" si="493"/>
        <v/>
      </c>
      <c r="D754" s="24" t="str">
        <f t="shared" si="494"/>
        <v/>
      </c>
      <c r="E754" s="24" t="str">
        <f t="shared" si="495"/>
        <v/>
      </c>
      <c r="F754" s="32" t="str">
        <f t="shared" si="496"/>
        <v/>
      </c>
      <c r="G754" s="32" t="str">
        <f t="shared" si="497"/>
        <v/>
      </c>
      <c r="H754" s="32" t="str">
        <f t="shared" ca="1" si="498"/>
        <v/>
      </c>
      <c r="I754" s="32" t="str">
        <f t="shared" ca="1" si="503"/>
        <v/>
      </c>
      <c r="J754" s="32" t="str">
        <f t="shared" si="499"/>
        <v/>
      </c>
      <c r="K754" s="32" t="str">
        <f>IF(ISNUMBER(A754),Profile!$V$25+Profile!$V$24*'Ri-Po'!C754,"")</f>
        <v/>
      </c>
      <c r="L754" s="32" t="str">
        <f t="shared" si="504"/>
        <v/>
      </c>
      <c r="M754" s="32" t="str">
        <f t="shared" si="500"/>
        <v/>
      </c>
      <c r="N754" s="32" t="str">
        <f t="shared" si="501"/>
        <v/>
      </c>
      <c r="O754" s="32" t="str">
        <f t="shared" si="517"/>
        <v/>
      </c>
      <c r="P754" s="32" t="str">
        <f t="shared" si="505"/>
        <v/>
      </c>
      <c r="Q754" s="32" t="str">
        <f t="shared" si="506"/>
        <v/>
      </c>
      <c r="R754" s="32" t="str">
        <f t="shared" si="518"/>
        <v/>
      </c>
      <c r="S754" s="24" t="str">
        <f t="shared" si="519"/>
        <v/>
      </c>
      <c r="T754" s="24" t="str">
        <f t="shared" si="520"/>
        <v/>
      </c>
      <c r="U754" s="24" t="str">
        <f t="shared" si="521"/>
        <v/>
      </c>
      <c r="V754" s="24" t="str">
        <f t="shared" si="522"/>
        <v/>
      </c>
      <c r="W754" s="23" t="str">
        <f t="array" ref="W754">IFERROR(SMALL(IF(S$1:S$1000="BEGIN",ROW(S$1:S$1000)),ROW()-3),"")</f>
        <v/>
      </c>
      <c r="X754" s="23" t="str">
        <f t="array" ref="X754">IFERROR(SMALL(IF(T$1:T$1000="END",ROW(T$1:T$1000)),ROW()-3),"")</f>
        <v/>
      </c>
      <c r="Y754" s="33" t="str">
        <f t="array" ref="Y754">IF(ISNUMBER(W754),MAX(IF((B$4:B$1000&lt;=X754)*(B$4:B$1000&gt;=W754),I$4:I$1000, "")),"")</f>
        <v/>
      </c>
      <c r="Z754" s="33" t="str">
        <f t="shared" si="507"/>
        <v/>
      </c>
      <c r="AA754" s="32" t="str">
        <f t="shared" si="508"/>
        <v/>
      </c>
      <c r="AB754" s="32" t="str">
        <f t="shared" si="509"/>
        <v/>
      </c>
      <c r="AC754" s="32" t="str">
        <f t="shared" si="510"/>
        <v/>
      </c>
      <c r="AD754" s="32" t="str">
        <f t="shared" si="511"/>
        <v/>
      </c>
      <c r="AE754" s="34" t="str">
        <f t="shared" si="512"/>
        <v/>
      </c>
      <c r="AF754" s="32" t="str">
        <f t="shared" si="513"/>
        <v/>
      </c>
      <c r="AG754" s="32" t="str">
        <f t="shared" si="514"/>
        <v/>
      </c>
      <c r="AH754" s="32" t="str">
        <f t="shared" si="515"/>
        <v/>
      </c>
      <c r="AI754" s="35" t="str">
        <f t="shared" si="516"/>
        <v/>
      </c>
      <c r="AJ754" s="23" t="str">
        <f t="array" ref="AJ754">IFERROR(SMALL(IF(U$1:U$1000="BEGIN",ROW(U$1:U$1000)),ROW()-3),"")</f>
        <v/>
      </c>
      <c r="AK754" s="23" t="str">
        <f t="array" ref="AK754">IFERROR(SMALL(IF(V$1:V$1000="END",ROW(V$1:V$1000)),ROW()-3),"")</f>
        <v/>
      </c>
      <c r="AL754" s="24" t="str">
        <f t="array" ref="AL754">IF(AK754="","",MATCH(AM754,L:L,0))</f>
        <v/>
      </c>
      <c r="AM754" s="35">
        <f t="array" ref="AM754">MAX(IF((B$4:B$1000&lt;=AK754)*(B$4:B$1000&gt;=AJ754),L$4:L$1000, ""))</f>
        <v>0</v>
      </c>
      <c r="AN754" s="32" t="str">
        <f t="shared" si="523"/>
        <v/>
      </c>
      <c r="AO754" s="32" t="str">
        <f t="shared" si="524"/>
        <v/>
      </c>
      <c r="AP754" s="32" t="str">
        <f t="shared" si="525"/>
        <v/>
      </c>
      <c r="AQ754" s="32" t="str">
        <f t="shared" si="526"/>
        <v/>
      </c>
      <c r="AR754" s="32" t="str">
        <f t="shared" si="527"/>
        <v/>
      </c>
      <c r="AS754" s="32" t="str">
        <f t="shared" si="528"/>
        <v/>
      </c>
      <c r="AT754" s="32" t="str">
        <f t="shared" si="529"/>
        <v/>
      </c>
      <c r="AU754" s="34" t="str">
        <f t="shared" si="530"/>
        <v/>
      </c>
      <c r="AV754" s="32" t="str">
        <f t="shared" si="531"/>
        <v/>
      </c>
      <c r="AW754" s="32" t="str">
        <f t="shared" si="532"/>
        <v/>
      </c>
      <c r="AX754" s="32" t="str">
        <f t="shared" si="533"/>
        <v/>
      </c>
      <c r="AY754" s="32" t="str">
        <f t="shared" si="534"/>
        <v/>
      </c>
    </row>
    <row r="755" spans="1:51" x14ac:dyDescent="0.25">
      <c r="A755" s="24" t="str">
        <f t="shared" si="492"/>
        <v/>
      </c>
      <c r="B755" s="24" t="str">
        <f t="shared" si="502"/>
        <v/>
      </c>
      <c r="C755" s="32" t="str">
        <f t="shared" si="493"/>
        <v/>
      </c>
      <c r="D755" s="24" t="str">
        <f t="shared" si="494"/>
        <v/>
      </c>
      <c r="E755" s="24" t="str">
        <f t="shared" si="495"/>
        <v/>
      </c>
      <c r="F755" s="32" t="str">
        <f t="shared" si="496"/>
        <v/>
      </c>
      <c r="G755" s="32" t="str">
        <f t="shared" si="497"/>
        <v/>
      </c>
      <c r="H755" s="32" t="str">
        <f t="shared" ca="1" si="498"/>
        <v/>
      </c>
      <c r="I755" s="32" t="str">
        <f t="shared" ca="1" si="503"/>
        <v/>
      </c>
      <c r="J755" s="32" t="str">
        <f t="shared" si="499"/>
        <v/>
      </c>
      <c r="K755" s="32" t="str">
        <f>IF(ISNUMBER(A755),Profile!$V$25+Profile!$V$24*'Ri-Po'!C755,"")</f>
        <v/>
      </c>
      <c r="L755" s="32" t="str">
        <f t="shared" si="504"/>
        <v/>
      </c>
      <c r="M755" s="32" t="str">
        <f t="shared" si="500"/>
        <v/>
      </c>
      <c r="N755" s="32" t="str">
        <f t="shared" si="501"/>
        <v/>
      </c>
      <c r="O755" s="32" t="str">
        <f t="shared" si="517"/>
        <v/>
      </c>
      <c r="P755" s="32" t="str">
        <f t="shared" si="505"/>
        <v/>
      </c>
      <c r="Q755" s="32" t="str">
        <f t="shared" si="506"/>
        <v/>
      </c>
      <c r="R755" s="32" t="str">
        <f t="shared" si="518"/>
        <v/>
      </c>
      <c r="S755" s="24" t="str">
        <f t="shared" si="519"/>
        <v/>
      </c>
      <c r="T755" s="24" t="str">
        <f t="shared" si="520"/>
        <v/>
      </c>
      <c r="U755" s="24" t="str">
        <f t="shared" si="521"/>
        <v/>
      </c>
      <c r="V755" s="24" t="str">
        <f t="shared" si="522"/>
        <v/>
      </c>
      <c r="W755" s="23" t="str">
        <f t="array" ref="W755">IFERROR(SMALL(IF(S$1:S$1000="BEGIN",ROW(S$1:S$1000)),ROW()-3),"")</f>
        <v/>
      </c>
      <c r="X755" s="23" t="str">
        <f t="array" ref="X755">IFERROR(SMALL(IF(T$1:T$1000="END",ROW(T$1:T$1000)),ROW()-3),"")</f>
        <v/>
      </c>
      <c r="Y755" s="33" t="str">
        <f t="array" ref="Y755">IF(ISNUMBER(W755),MAX(IF((B$4:B$1000&lt;=X755)*(B$4:B$1000&gt;=W755),I$4:I$1000, "")),"")</f>
        <v/>
      </c>
      <c r="Z755" s="33" t="str">
        <f t="shared" si="507"/>
        <v/>
      </c>
      <c r="AA755" s="32" t="str">
        <f t="shared" si="508"/>
        <v/>
      </c>
      <c r="AB755" s="32" t="str">
        <f t="shared" si="509"/>
        <v/>
      </c>
      <c r="AC755" s="32" t="str">
        <f t="shared" si="510"/>
        <v/>
      </c>
      <c r="AD755" s="32" t="str">
        <f t="shared" si="511"/>
        <v/>
      </c>
      <c r="AE755" s="34" t="str">
        <f t="shared" si="512"/>
        <v/>
      </c>
      <c r="AF755" s="32" t="str">
        <f t="shared" si="513"/>
        <v/>
      </c>
      <c r="AG755" s="32" t="str">
        <f t="shared" si="514"/>
        <v/>
      </c>
      <c r="AH755" s="32" t="str">
        <f t="shared" si="515"/>
        <v/>
      </c>
      <c r="AI755" s="35" t="str">
        <f t="shared" si="516"/>
        <v/>
      </c>
      <c r="AJ755" s="23" t="str">
        <f t="array" ref="AJ755">IFERROR(SMALL(IF(U$1:U$1000="BEGIN",ROW(U$1:U$1000)),ROW()-3),"")</f>
        <v/>
      </c>
      <c r="AK755" s="23" t="str">
        <f t="array" ref="AK755">IFERROR(SMALL(IF(V$1:V$1000="END",ROW(V$1:V$1000)),ROW()-3),"")</f>
        <v/>
      </c>
      <c r="AL755" s="24" t="str">
        <f t="array" ref="AL755">IF(AK755="","",MATCH(AM755,L:L,0))</f>
        <v/>
      </c>
      <c r="AM755" s="35">
        <f t="array" ref="AM755">MAX(IF((B$4:B$1000&lt;=AK755)*(B$4:B$1000&gt;=AJ755),L$4:L$1000, ""))</f>
        <v>0</v>
      </c>
      <c r="AN755" s="32" t="str">
        <f t="shared" si="523"/>
        <v/>
      </c>
      <c r="AO755" s="32" t="str">
        <f t="shared" si="524"/>
        <v/>
      </c>
      <c r="AP755" s="32" t="str">
        <f t="shared" si="525"/>
        <v/>
      </c>
      <c r="AQ755" s="32" t="str">
        <f t="shared" si="526"/>
        <v/>
      </c>
      <c r="AR755" s="32" t="str">
        <f t="shared" si="527"/>
        <v/>
      </c>
      <c r="AS755" s="32" t="str">
        <f t="shared" si="528"/>
        <v/>
      </c>
      <c r="AT755" s="32" t="str">
        <f t="shared" si="529"/>
        <v/>
      </c>
      <c r="AU755" s="34" t="str">
        <f t="shared" si="530"/>
        <v/>
      </c>
      <c r="AV755" s="32" t="str">
        <f t="shared" si="531"/>
        <v/>
      </c>
      <c r="AW755" s="32" t="str">
        <f t="shared" si="532"/>
        <v/>
      </c>
      <c r="AX755" s="32" t="str">
        <f t="shared" si="533"/>
        <v/>
      </c>
      <c r="AY755" s="32" t="str">
        <f t="shared" si="534"/>
        <v/>
      </c>
    </row>
    <row r="756" spans="1:51" x14ac:dyDescent="0.25">
      <c r="A756" s="24" t="str">
        <f t="shared" si="492"/>
        <v/>
      </c>
      <c r="B756" s="24" t="str">
        <f t="shared" si="502"/>
        <v/>
      </c>
      <c r="C756" s="32" t="str">
        <f t="shared" si="493"/>
        <v/>
      </c>
      <c r="D756" s="24" t="str">
        <f t="shared" si="494"/>
        <v/>
      </c>
      <c r="E756" s="24" t="str">
        <f t="shared" si="495"/>
        <v/>
      </c>
      <c r="F756" s="32" t="str">
        <f t="shared" si="496"/>
        <v/>
      </c>
      <c r="G756" s="32" t="str">
        <f t="shared" si="497"/>
        <v/>
      </c>
      <c r="H756" s="32" t="str">
        <f t="shared" ca="1" si="498"/>
        <v/>
      </c>
      <c r="I756" s="32" t="str">
        <f t="shared" ca="1" si="503"/>
        <v/>
      </c>
      <c r="J756" s="32" t="str">
        <f t="shared" si="499"/>
        <v/>
      </c>
      <c r="K756" s="32" t="str">
        <f>IF(ISNUMBER(A756),Profile!$V$25+Profile!$V$24*'Ri-Po'!C756,"")</f>
        <v/>
      </c>
      <c r="L756" s="32" t="str">
        <f t="shared" si="504"/>
        <v/>
      </c>
      <c r="M756" s="32" t="str">
        <f t="shared" si="500"/>
        <v/>
      </c>
      <c r="N756" s="32" t="str">
        <f t="shared" si="501"/>
        <v/>
      </c>
      <c r="O756" s="32" t="str">
        <f t="shared" si="517"/>
        <v/>
      </c>
      <c r="P756" s="32" t="str">
        <f t="shared" si="505"/>
        <v/>
      </c>
      <c r="Q756" s="32" t="str">
        <f t="shared" si="506"/>
        <v/>
      </c>
      <c r="R756" s="32" t="str">
        <f t="shared" si="518"/>
        <v/>
      </c>
      <c r="S756" s="24" t="str">
        <f t="shared" si="519"/>
        <v/>
      </c>
      <c r="T756" s="24" t="str">
        <f t="shared" si="520"/>
        <v/>
      </c>
      <c r="U756" s="24" t="str">
        <f t="shared" si="521"/>
        <v/>
      </c>
      <c r="V756" s="24" t="str">
        <f t="shared" si="522"/>
        <v/>
      </c>
      <c r="W756" s="23" t="str">
        <f t="array" ref="W756">IFERROR(SMALL(IF(S$1:S$1000="BEGIN",ROW(S$1:S$1000)),ROW()-3),"")</f>
        <v/>
      </c>
      <c r="X756" s="23" t="str">
        <f t="array" ref="X756">IFERROR(SMALL(IF(T$1:T$1000="END",ROW(T$1:T$1000)),ROW()-3),"")</f>
        <v/>
      </c>
      <c r="Y756" s="33" t="str">
        <f t="array" ref="Y756">IF(ISNUMBER(W756),MAX(IF((B$4:B$1000&lt;=X756)*(B$4:B$1000&gt;=W756),I$4:I$1000, "")),"")</f>
        <v/>
      </c>
      <c r="Z756" s="33" t="str">
        <f t="shared" si="507"/>
        <v/>
      </c>
      <c r="AA756" s="32" t="str">
        <f t="shared" si="508"/>
        <v/>
      </c>
      <c r="AB756" s="32" t="str">
        <f t="shared" si="509"/>
        <v/>
      </c>
      <c r="AC756" s="32" t="str">
        <f t="shared" si="510"/>
        <v/>
      </c>
      <c r="AD756" s="32" t="str">
        <f t="shared" si="511"/>
        <v/>
      </c>
      <c r="AE756" s="34" t="str">
        <f t="shared" si="512"/>
        <v/>
      </c>
      <c r="AF756" s="32" t="str">
        <f t="shared" si="513"/>
        <v/>
      </c>
      <c r="AG756" s="32" t="str">
        <f t="shared" si="514"/>
        <v/>
      </c>
      <c r="AH756" s="32" t="str">
        <f t="shared" si="515"/>
        <v/>
      </c>
      <c r="AI756" s="35" t="str">
        <f t="shared" si="516"/>
        <v/>
      </c>
      <c r="AJ756" s="23" t="str">
        <f t="array" ref="AJ756">IFERROR(SMALL(IF(U$1:U$1000="BEGIN",ROW(U$1:U$1000)),ROW()-3),"")</f>
        <v/>
      </c>
      <c r="AK756" s="23" t="str">
        <f t="array" ref="AK756">IFERROR(SMALL(IF(V$1:V$1000="END",ROW(V$1:V$1000)),ROW()-3),"")</f>
        <v/>
      </c>
      <c r="AL756" s="24" t="str">
        <f t="array" ref="AL756">IF(AK756="","",MATCH(AM756,L:L,0))</f>
        <v/>
      </c>
      <c r="AM756" s="35">
        <f t="array" ref="AM756">MAX(IF((B$4:B$1000&lt;=AK756)*(B$4:B$1000&gt;=AJ756),L$4:L$1000, ""))</f>
        <v>0</v>
      </c>
      <c r="AN756" s="32" t="str">
        <f t="shared" si="523"/>
        <v/>
      </c>
      <c r="AO756" s="32" t="str">
        <f t="shared" si="524"/>
        <v/>
      </c>
      <c r="AP756" s="32" t="str">
        <f t="shared" si="525"/>
        <v/>
      </c>
      <c r="AQ756" s="32" t="str">
        <f t="shared" si="526"/>
        <v/>
      </c>
      <c r="AR756" s="32" t="str">
        <f t="shared" si="527"/>
        <v/>
      </c>
      <c r="AS756" s="32" t="str">
        <f t="shared" si="528"/>
        <v/>
      </c>
      <c r="AT756" s="32" t="str">
        <f t="shared" si="529"/>
        <v/>
      </c>
      <c r="AU756" s="34" t="str">
        <f t="shared" si="530"/>
        <v/>
      </c>
      <c r="AV756" s="32" t="str">
        <f t="shared" si="531"/>
        <v/>
      </c>
      <c r="AW756" s="32" t="str">
        <f t="shared" si="532"/>
        <v/>
      </c>
      <c r="AX756" s="32" t="str">
        <f t="shared" si="533"/>
        <v/>
      </c>
      <c r="AY756" s="32" t="str">
        <f t="shared" si="534"/>
        <v/>
      </c>
    </row>
    <row r="757" spans="1:51" x14ac:dyDescent="0.25">
      <c r="A757" s="24" t="str">
        <f t="shared" si="492"/>
        <v/>
      </c>
      <c r="B757" s="24" t="str">
        <f t="shared" si="502"/>
        <v/>
      </c>
      <c r="C757" s="32" t="str">
        <f t="shared" si="493"/>
        <v/>
      </c>
      <c r="D757" s="24" t="str">
        <f t="shared" si="494"/>
        <v/>
      </c>
      <c r="E757" s="24" t="str">
        <f t="shared" si="495"/>
        <v/>
      </c>
      <c r="F757" s="32" t="str">
        <f t="shared" si="496"/>
        <v/>
      </c>
      <c r="G757" s="32" t="str">
        <f t="shared" si="497"/>
        <v/>
      </c>
      <c r="H757" s="32" t="str">
        <f t="shared" ca="1" si="498"/>
        <v/>
      </c>
      <c r="I757" s="32" t="str">
        <f t="shared" ca="1" si="503"/>
        <v/>
      </c>
      <c r="J757" s="32" t="str">
        <f t="shared" si="499"/>
        <v/>
      </c>
      <c r="K757" s="32" t="str">
        <f>IF(ISNUMBER(A757),Profile!$V$25+Profile!$V$24*'Ri-Po'!C757,"")</f>
        <v/>
      </c>
      <c r="L757" s="32" t="str">
        <f t="shared" si="504"/>
        <v/>
      </c>
      <c r="M757" s="32" t="str">
        <f t="shared" si="500"/>
        <v/>
      </c>
      <c r="N757" s="32" t="str">
        <f t="shared" si="501"/>
        <v/>
      </c>
      <c r="O757" s="32" t="str">
        <f t="shared" si="517"/>
        <v/>
      </c>
      <c r="P757" s="32" t="str">
        <f t="shared" si="505"/>
        <v/>
      </c>
      <c r="Q757" s="32" t="str">
        <f t="shared" si="506"/>
        <v/>
      </c>
      <c r="R757" s="32" t="str">
        <f t="shared" si="518"/>
        <v/>
      </c>
      <c r="S757" s="24" t="str">
        <f t="shared" si="519"/>
        <v/>
      </c>
      <c r="T757" s="24" t="str">
        <f t="shared" si="520"/>
        <v/>
      </c>
      <c r="U757" s="24" t="str">
        <f t="shared" si="521"/>
        <v/>
      </c>
      <c r="V757" s="24" t="str">
        <f t="shared" si="522"/>
        <v/>
      </c>
      <c r="W757" s="23" t="str">
        <f t="array" ref="W757">IFERROR(SMALL(IF(S$1:S$1000="BEGIN",ROW(S$1:S$1000)),ROW()-3),"")</f>
        <v/>
      </c>
      <c r="X757" s="23" t="str">
        <f t="array" ref="X757">IFERROR(SMALL(IF(T$1:T$1000="END",ROW(T$1:T$1000)),ROW()-3),"")</f>
        <v/>
      </c>
      <c r="Y757" s="33" t="str">
        <f t="array" ref="Y757">IF(ISNUMBER(W757),MAX(IF((B$4:B$1000&lt;=X757)*(B$4:B$1000&gt;=W757),I$4:I$1000, "")),"")</f>
        <v/>
      </c>
      <c r="Z757" s="33" t="str">
        <f t="shared" si="507"/>
        <v/>
      </c>
      <c r="AA757" s="32" t="str">
        <f t="shared" si="508"/>
        <v/>
      </c>
      <c r="AB757" s="32" t="str">
        <f t="shared" si="509"/>
        <v/>
      </c>
      <c r="AC757" s="32" t="str">
        <f t="shared" si="510"/>
        <v/>
      </c>
      <c r="AD757" s="32" t="str">
        <f t="shared" si="511"/>
        <v/>
      </c>
      <c r="AE757" s="34" t="str">
        <f t="shared" si="512"/>
        <v/>
      </c>
      <c r="AF757" s="32" t="str">
        <f t="shared" si="513"/>
        <v/>
      </c>
      <c r="AG757" s="32" t="str">
        <f t="shared" si="514"/>
        <v/>
      </c>
      <c r="AH757" s="32" t="str">
        <f t="shared" si="515"/>
        <v/>
      </c>
      <c r="AI757" s="35" t="str">
        <f t="shared" si="516"/>
        <v/>
      </c>
      <c r="AJ757" s="23" t="str">
        <f t="array" ref="AJ757">IFERROR(SMALL(IF(U$1:U$1000="BEGIN",ROW(U$1:U$1000)),ROW()-3),"")</f>
        <v/>
      </c>
      <c r="AK757" s="23" t="str">
        <f t="array" ref="AK757">IFERROR(SMALL(IF(V$1:V$1000="END",ROW(V$1:V$1000)),ROW()-3),"")</f>
        <v/>
      </c>
      <c r="AL757" s="24" t="str">
        <f t="array" ref="AL757">IF(AK757="","",MATCH(AM757,L:L,0))</f>
        <v/>
      </c>
      <c r="AM757" s="35">
        <f t="array" ref="AM757">MAX(IF((B$4:B$1000&lt;=AK757)*(B$4:B$1000&gt;=AJ757),L$4:L$1000, ""))</f>
        <v>0</v>
      </c>
      <c r="AN757" s="32" t="str">
        <f t="shared" si="523"/>
        <v/>
      </c>
      <c r="AO757" s="32" t="str">
        <f t="shared" si="524"/>
        <v/>
      </c>
      <c r="AP757" s="32" t="str">
        <f t="shared" si="525"/>
        <v/>
      </c>
      <c r="AQ757" s="32" t="str">
        <f t="shared" si="526"/>
        <v/>
      </c>
      <c r="AR757" s="32" t="str">
        <f t="shared" si="527"/>
        <v/>
      </c>
      <c r="AS757" s="32" t="str">
        <f t="shared" si="528"/>
        <v/>
      </c>
      <c r="AT757" s="32" t="str">
        <f t="shared" si="529"/>
        <v/>
      </c>
      <c r="AU757" s="34" t="str">
        <f t="shared" si="530"/>
        <v/>
      </c>
      <c r="AV757" s="32" t="str">
        <f t="shared" si="531"/>
        <v/>
      </c>
      <c r="AW757" s="32" t="str">
        <f t="shared" si="532"/>
        <v/>
      </c>
      <c r="AX757" s="32" t="str">
        <f t="shared" si="533"/>
        <v/>
      </c>
      <c r="AY757" s="32" t="str">
        <f t="shared" si="534"/>
        <v/>
      </c>
    </row>
    <row r="758" spans="1:51" x14ac:dyDescent="0.25">
      <c r="A758" s="24" t="str">
        <f t="shared" si="492"/>
        <v/>
      </c>
      <c r="B758" s="24" t="str">
        <f t="shared" si="502"/>
        <v/>
      </c>
      <c r="C758" s="32" t="str">
        <f t="shared" si="493"/>
        <v/>
      </c>
      <c r="D758" s="24" t="str">
        <f t="shared" si="494"/>
        <v/>
      </c>
      <c r="E758" s="24" t="str">
        <f t="shared" si="495"/>
        <v/>
      </c>
      <c r="F758" s="32" t="str">
        <f t="shared" si="496"/>
        <v/>
      </c>
      <c r="G758" s="32" t="str">
        <f t="shared" si="497"/>
        <v/>
      </c>
      <c r="H758" s="32" t="str">
        <f t="shared" ca="1" si="498"/>
        <v/>
      </c>
      <c r="I758" s="32" t="str">
        <f t="shared" ca="1" si="503"/>
        <v/>
      </c>
      <c r="J758" s="32" t="str">
        <f t="shared" si="499"/>
        <v/>
      </c>
      <c r="K758" s="32" t="str">
        <f>IF(ISNUMBER(A758),Profile!$V$25+Profile!$V$24*'Ri-Po'!C758,"")</f>
        <v/>
      </c>
      <c r="L758" s="32" t="str">
        <f t="shared" si="504"/>
        <v/>
      </c>
      <c r="M758" s="32" t="str">
        <f t="shared" si="500"/>
        <v/>
      </c>
      <c r="N758" s="32" t="str">
        <f t="shared" si="501"/>
        <v/>
      </c>
      <c r="O758" s="32" t="str">
        <f t="shared" si="517"/>
        <v/>
      </c>
      <c r="P758" s="32" t="str">
        <f t="shared" si="505"/>
        <v/>
      </c>
      <c r="Q758" s="32" t="str">
        <f t="shared" si="506"/>
        <v/>
      </c>
      <c r="R758" s="32" t="str">
        <f t="shared" si="518"/>
        <v/>
      </c>
      <c r="S758" s="24" t="str">
        <f t="shared" si="519"/>
        <v/>
      </c>
      <c r="T758" s="24" t="str">
        <f t="shared" si="520"/>
        <v/>
      </c>
      <c r="U758" s="24" t="str">
        <f t="shared" si="521"/>
        <v/>
      </c>
      <c r="V758" s="24" t="str">
        <f t="shared" si="522"/>
        <v/>
      </c>
      <c r="W758" s="23" t="str">
        <f t="array" ref="W758">IFERROR(SMALL(IF(S$1:S$1000="BEGIN",ROW(S$1:S$1000)),ROW()-3),"")</f>
        <v/>
      </c>
      <c r="X758" s="23" t="str">
        <f t="array" ref="X758">IFERROR(SMALL(IF(T$1:T$1000="END",ROW(T$1:T$1000)),ROW()-3),"")</f>
        <v/>
      </c>
      <c r="Y758" s="33" t="str">
        <f t="array" ref="Y758">IF(ISNUMBER(W758),MAX(IF((B$4:B$1000&lt;=X758)*(B$4:B$1000&gt;=W758),I$4:I$1000, "")),"")</f>
        <v/>
      </c>
      <c r="Z758" s="33" t="str">
        <f t="shared" si="507"/>
        <v/>
      </c>
      <c r="AA758" s="32" t="str">
        <f t="shared" si="508"/>
        <v/>
      </c>
      <c r="AB758" s="32" t="str">
        <f t="shared" si="509"/>
        <v/>
      </c>
      <c r="AC758" s="32" t="str">
        <f t="shared" si="510"/>
        <v/>
      </c>
      <c r="AD758" s="32" t="str">
        <f t="shared" si="511"/>
        <v/>
      </c>
      <c r="AE758" s="34" t="str">
        <f t="shared" si="512"/>
        <v/>
      </c>
      <c r="AF758" s="32" t="str">
        <f t="shared" si="513"/>
        <v/>
      </c>
      <c r="AG758" s="32" t="str">
        <f t="shared" si="514"/>
        <v/>
      </c>
      <c r="AH758" s="32" t="str">
        <f t="shared" si="515"/>
        <v/>
      </c>
      <c r="AI758" s="35" t="str">
        <f t="shared" si="516"/>
        <v/>
      </c>
      <c r="AJ758" s="23" t="str">
        <f t="array" ref="AJ758">IFERROR(SMALL(IF(U$1:U$1000="BEGIN",ROW(U$1:U$1000)),ROW()-3),"")</f>
        <v/>
      </c>
      <c r="AK758" s="23" t="str">
        <f t="array" ref="AK758">IFERROR(SMALL(IF(V$1:V$1000="END",ROW(V$1:V$1000)),ROW()-3),"")</f>
        <v/>
      </c>
      <c r="AL758" s="24" t="str">
        <f t="array" ref="AL758">IF(AK758="","",MATCH(AM758,L:L,0))</f>
        <v/>
      </c>
      <c r="AM758" s="35">
        <f t="array" ref="AM758">MAX(IF((B$4:B$1000&lt;=AK758)*(B$4:B$1000&gt;=AJ758),L$4:L$1000, ""))</f>
        <v>0</v>
      </c>
      <c r="AN758" s="32" t="str">
        <f t="shared" si="523"/>
        <v/>
      </c>
      <c r="AO758" s="32" t="str">
        <f t="shared" si="524"/>
        <v/>
      </c>
      <c r="AP758" s="32" t="str">
        <f t="shared" si="525"/>
        <v/>
      </c>
      <c r="AQ758" s="32" t="str">
        <f t="shared" si="526"/>
        <v/>
      </c>
      <c r="AR758" s="32" t="str">
        <f t="shared" si="527"/>
        <v/>
      </c>
      <c r="AS758" s="32" t="str">
        <f t="shared" si="528"/>
        <v/>
      </c>
      <c r="AT758" s="32" t="str">
        <f t="shared" si="529"/>
        <v/>
      </c>
      <c r="AU758" s="34" t="str">
        <f t="shared" si="530"/>
        <v/>
      </c>
      <c r="AV758" s="32" t="str">
        <f t="shared" si="531"/>
        <v/>
      </c>
      <c r="AW758" s="32" t="str">
        <f t="shared" si="532"/>
        <v/>
      </c>
      <c r="AX758" s="32" t="str">
        <f t="shared" si="533"/>
        <v/>
      </c>
      <c r="AY758" s="32" t="str">
        <f t="shared" si="534"/>
        <v/>
      </c>
    </row>
    <row r="759" spans="1:51" x14ac:dyDescent="0.25">
      <c r="A759" s="24" t="str">
        <f t="shared" si="492"/>
        <v/>
      </c>
      <c r="B759" s="24" t="str">
        <f t="shared" si="502"/>
        <v/>
      </c>
      <c r="C759" s="32" t="str">
        <f t="shared" si="493"/>
        <v/>
      </c>
      <c r="D759" s="24" t="str">
        <f t="shared" si="494"/>
        <v/>
      </c>
      <c r="E759" s="24" t="str">
        <f t="shared" si="495"/>
        <v/>
      </c>
      <c r="F759" s="32" t="str">
        <f t="shared" si="496"/>
        <v/>
      </c>
      <c r="G759" s="32" t="str">
        <f t="shared" si="497"/>
        <v/>
      </c>
      <c r="H759" s="32" t="str">
        <f t="shared" ca="1" si="498"/>
        <v/>
      </c>
      <c r="I759" s="32" t="str">
        <f t="shared" ca="1" si="503"/>
        <v/>
      </c>
      <c r="J759" s="32" t="str">
        <f t="shared" si="499"/>
        <v/>
      </c>
      <c r="K759" s="32" t="str">
        <f>IF(ISNUMBER(A759),Profile!$V$25+Profile!$V$24*'Ri-Po'!C759,"")</f>
        <v/>
      </c>
      <c r="L759" s="32" t="str">
        <f t="shared" si="504"/>
        <v/>
      </c>
      <c r="M759" s="32" t="str">
        <f t="shared" si="500"/>
        <v/>
      </c>
      <c r="N759" s="32" t="str">
        <f t="shared" si="501"/>
        <v/>
      </c>
      <c r="O759" s="32" t="str">
        <f t="shared" si="517"/>
        <v/>
      </c>
      <c r="P759" s="32" t="str">
        <f t="shared" si="505"/>
        <v/>
      </c>
      <c r="Q759" s="32" t="str">
        <f t="shared" si="506"/>
        <v/>
      </c>
      <c r="R759" s="32" t="str">
        <f t="shared" si="518"/>
        <v/>
      </c>
      <c r="S759" s="24" t="str">
        <f t="shared" si="519"/>
        <v/>
      </c>
      <c r="T759" s="24" t="str">
        <f t="shared" si="520"/>
        <v/>
      </c>
      <c r="U759" s="24" t="str">
        <f t="shared" si="521"/>
        <v/>
      </c>
      <c r="V759" s="24" t="str">
        <f t="shared" si="522"/>
        <v/>
      </c>
      <c r="W759" s="23" t="str">
        <f t="array" ref="W759">IFERROR(SMALL(IF(S$1:S$1000="BEGIN",ROW(S$1:S$1000)),ROW()-3),"")</f>
        <v/>
      </c>
      <c r="X759" s="23" t="str">
        <f t="array" ref="X759">IFERROR(SMALL(IF(T$1:T$1000="END",ROW(T$1:T$1000)),ROW()-3),"")</f>
        <v/>
      </c>
      <c r="Y759" s="33" t="str">
        <f t="array" ref="Y759">IF(ISNUMBER(W759),MAX(IF((B$4:B$1000&lt;=X759)*(B$4:B$1000&gt;=W759),I$4:I$1000, "")),"")</f>
        <v/>
      </c>
      <c r="Z759" s="33" t="str">
        <f t="shared" si="507"/>
        <v/>
      </c>
      <c r="AA759" s="32" t="str">
        <f t="shared" si="508"/>
        <v/>
      </c>
      <c r="AB759" s="32" t="str">
        <f t="shared" si="509"/>
        <v/>
      </c>
      <c r="AC759" s="32" t="str">
        <f t="shared" si="510"/>
        <v/>
      </c>
      <c r="AD759" s="32" t="str">
        <f t="shared" si="511"/>
        <v/>
      </c>
      <c r="AE759" s="34" t="str">
        <f t="shared" si="512"/>
        <v/>
      </c>
      <c r="AF759" s="32" t="str">
        <f t="shared" si="513"/>
        <v/>
      </c>
      <c r="AG759" s="32" t="str">
        <f t="shared" si="514"/>
        <v/>
      </c>
      <c r="AH759" s="32" t="str">
        <f t="shared" si="515"/>
        <v/>
      </c>
      <c r="AI759" s="35" t="str">
        <f t="shared" si="516"/>
        <v/>
      </c>
      <c r="AJ759" s="23" t="str">
        <f t="array" ref="AJ759">IFERROR(SMALL(IF(U$1:U$1000="BEGIN",ROW(U$1:U$1000)),ROW()-3),"")</f>
        <v/>
      </c>
      <c r="AK759" s="23" t="str">
        <f t="array" ref="AK759">IFERROR(SMALL(IF(V$1:V$1000="END",ROW(V$1:V$1000)),ROW()-3),"")</f>
        <v/>
      </c>
      <c r="AL759" s="24" t="str">
        <f t="array" ref="AL759">IF(AK759="","",MATCH(AM759,L:L,0))</f>
        <v/>
      </c>
      <c r="AM759" s="35">
        <f t="array" ref="AM759">MAX(IF((B$4:B$1000&lt;=AK759)*(B$4:B$1000&gt;=AJ759),L$4:L$1000, ""))</f>
        <v>0</v>
      </c>
      <c r="AN759" s="32" t="str">
        <f t="shared" si="523"/>
        <v/>
      </c>
      <c r="AO759" s="32" t="str">
        <f t="shared" si="524"/>
        <v/>
      </c>
      <c r="AP759" s="32" t="str">
        <f t="shared" si="525"/>
        <v/>
      </c>
      <c r="AQ759" s="32" t="str">
        <f t="shared" si="526"/>
        <v/>
      </c>
      <c r="AR759" s="32" t="str">
        <f t="shared" si="527"/>
        <v/>
      </c>
      <c r="AS759" s="32" t="str">
        <f t="shared" si="528"/>
        <v/>
      </c>
      <c r="AT759" s="32" t="str">
        <f t="shared" si="529"/>
        <v/>
      </c>
      <c r="AU759" s="34" t="str">
        <f t="shared" si="530"/>
        <v/>
      </c>
      <c r="AV759" s="32" t="str">
        <f t="shared" si="531"/>
        <v/>
      </c>
      <c r="AW759" s="32" t="str">
        <f t="shared" si="532"/>
        <v/>
      </c>
      <c r="AX759" s="32" t="str">
        <f t="shared" si="533"/>
        <v/>
      </c>
      <c r="AY759" s="32" t="str">
        <f t="shared" si="534"/>
        <v/>
      </c>
    </row>
    <row r="760" spans="1:51" x14ac:dyDescent="0.25">
      <c r="A760" s="24" t="str">
        <f t="shared" si="492"/>
        <v/>
      </c>
      <c r="B760" s="24" t="str">
        <f t="shared" si="502"/>
        <v/>
      </c>
      <c r="C760" s="32" t="str">
        <f t="shared" si="493"/>
        <v/>
      </c>
      <c r="D760" s="24" t="str">
        <f t="shared" si="494"/>
        <v/>
      </c>
      <c r="E760" s="24" t="str">
        <f t="shared" si="495"/>
        <v/>
      </c>
      <c r="F760" s="32" t="str">
        <f t="shared" si="496"/>
        <v/>
      </c>
      <c r="G760" s="32" t="str">
        <f t="shared" si="497"/>
        <v/>
      </c>
      <c r="H760" s="32" t="str">
        <f t="shared" ca="1" si="498"/>
        <v/>
      </c>
      <c r="I760" s="32" t="str">
        <f t="shared" ca="1" si="503"/>
        <v/>
      </c>
      <c r="J760" s="32" t="str">
        <f t="shared" si="499"/>
        <v/>
      </c>
      <c r="K760" s="32" t="str">
        <f>IF(ISNUMBER(A760),Profile!$V$25+Profile!$V$24*'Ri-Po'!C760,"")</f>
        <v/>
      </c>
      <c r="L760" s="32" t="str">
        <f t="shared" si="504"/>
        <v/>
      </c>
      <c r="M760" s="32" t="str">
        <f t="shared" si="500"/>
        <v/>
      </c>
      <c r="N760" s="32" t="str">
        <f t="shared" si="501"/>
        <v/>
      </c>
      <c r="O760" s="32" t="str">
        <f t="shared" si="517"/>
        <v/>
      </c>
      <c r="P760" s="32" t="str">
        <f t="shared" si="505"/>
        <v/>
      </c>
      <c r="Q760" s="32" t="str">
        <f t="shared" si="506"/>
        <v/>
      </c>
      <c r="R760" s="32" t="str">
        <f t="shared" si="518"/>
        <v/>
      </c>
      <c r="S760" s="24" t="str">
        <f t="shared" si="519"/>
        <v/>
      </c>
      <c r="T760" s="24" t="str">
        <f t="shared" si="520"/>
        <v/>
      </c>
      <c r="U760" s="24" t="str">
        <f t="shared" si="521"/>
        <v/>
      </c>
      <c r="V760" s="24" t="str">
        <f t="shared" si="522"/>
        <v/>
      </c>
      <c r="W760" s="23" t="str">
        <f t="array" ref="W760">IFERROR(SMALL(IF(S$1:S$1000="BEGIN",ROW(S$1:S$1000)),ROW()-3),"")</f>
        <v/>
      </c>
      <c r="X760" s="23" t="str">
        <f t="array" ref="X760">IFERROR(SMALL(IF(T$1:T$1000="END",ROW(T$1:T$1000)),ROW()-3),"")</f>
        <v/>
      </c>
      <c r="Y760" s="33" t="str">
        <f t="array" ref="Y760">IF(ISNUMBER(W760),MAX(IF((B$4:B$1000&lt;=X760)*(B$4:B$1000&gt;=W760),I$4:I$1000, "")),"")</f>
        <v/>
      </c>
      <c r="Z760" s="33" t="str">
        <f t="shared" si="507"/>
        <v/>
      </c>
      <c r="AA760" s="32" t="str">
        <f t="shared" si="508"/>
        <v/>
      </c>
      <c r="AB760" s="32" t="str">
        <f t="shared" si="509"/>
        <v/>
      </c>
      <c r="AC760" s="32" t="str">
        <f t="shared" si="510"/>
        <v/>
      </c>
      <c r="AD760" s="32" t="str">
        <f t="shared" si="511"/>
        <v/>
      </c>
      <c r="AE760" s="34" t="str">
        <f t="shared" si="512"/>
        <v/>
      </c>
      <c r="AF760" s="32" t="str">
        <f t="shared" si="513"/>
        <v/>
      </c>
      <c r="AG760" s="32" t="str">
        <f t="shared" si="514"/>
        <v/>
      </c>
      <c r="AH760" s="32" t="str">
        <f t="shared" si="515"/>
        <v/>
      </c>
      <c r="AI760" s="35" t="str">
        <f t="shared" si="516"/>
        <v/>
      </c>
      <c r="AJ760" s="23" t="str">
        <f t="array" ref="AJ760">IFERROR(SMALL(IF(U$1:U$1000="BEGIN",ROW(U$1:U$1000)),ROW()-3),"")</f>
        <v/>
      </c>
      <c r="AK760" s="23" t="str">
        <f t="array" ref="AK760">IFERROR(SMALL(IF(V$1:V$1000="END",ROW(V$1:V$1000)),ROW()-3),"")</f>
        <v/>
      </c>
      <c r="AL760" s="24" t="str">
        <f t="array" ref="AL760">IF(AK760="","",MATCH(AM760,L:L,0))</f>
        <v/>
      </c>
      <c r="AM760" s="35">
        <f t="array" ref="AM760">MAX(IF((B$4:B$1000&lt;=AK760)*(B$4:B$1000&gt;=AJ760),L$4:L$1000, ""))</f>
        <v>0</v>
      </c>
      <c r="AN760" s="32" t="str">
        <f t="shared" si="523"/>
        <v/>
      </c>
      <c r="AO760" s="32" t="str">
        <f t="shared" si="524"/>
        <v/>
      </c>
      <c r="AP760" s="32" t="str">
        <f t="shared" si="525"/>
        <v/>
      </c>
      <c r="AQ760" s="32" t="str">
        <f t="shared" si="526"/>
        <v/>
      </c>
      <c r="AR760" s="32" t="str">
        <f t="shared" si="527"/>
        <v/>
      </c>
      <c r="AS760" s="32" t="str">
        <f t="shared" si="528"/>
        <v/>
      </c>
      <c r="AT760" s="32" t="str">
        <f t="shared" si="529"/>
        <v/>
      </c>
      <c r="AU760" s="34" t="str">
        <f t="shared" si="530"/>
        <v/>
      </c>
      <c r="AV760" s="32" t="str">
        <f t="shared" si="531"/>
        <v/>
      </c>
      <c r="AW760" s="32" t="str">
        <f t="shared" si="532"/>
        <v/>
      </c>
      <c r="AX760" s="32" t="str">
        <f t="shared" si="533"/>
        <v/>
      </c>
      <c r="AY760" s="32" t="str">
        <f t="shared" si="534"/>
        <v/>
      </c>
    </row>
    <row r="761" spans="1:51" x14ac:dyDescent="0.25">
      <c r="A761" s="24" t="str">
        <f t="shared" si="492"/>
        <v/>
      </c>
      <c r="B761" s="24" t="str">
        <f t="shared" si="502"/>
        <v/>
      </c>
      <c r="C761" s="32" t="str">
        <f t="shared" si="493"/>
        <v/>
      </c>
      <c r="D761" s="24" t="str">
        <f t="shared" si="494"/>
        <v/>
      </c>
      <c r="E761" s="24" t="str">
        <f t="shared" si="495"/>
        <v/>
      </c>
      <c r="F761" s="32" t="str">
        <f t="shared" si="496"/>
        <v/>
      </c>
      <c r="G761" s="32" t="str">
        <f t="shared" si="497"/>
        <v/>
      </c>
      <c r="H761" s="32" t="str">
        <f t="shared" ca="1" si="498"/>
        <v/>
      </c>
      <c r="I761" s="32" t="str">
        <f t="shared" ca="1" si="503"/>
        <v/>
      </c>
      <c r="J761" s="32" t="str">
        <f t="shared" si="499"/>
        <v/>
      </c>
      <c r="K761" s="32" t="str">
        <f>IF(ISNUMBER(A761),Profile!$V$25+Profile!$V$24*'Ri-Po'!C761,"")</f>
        <v/>
      </c>
      <c r="L761" s="32" t="str">
        <f t="shared" si="504"/>
        <v/>
      </c>
      <c r="M761" s="32" t="str">
        <f t="shared" si="500"/>
        <v/>
      </c>
      <c r="N761" s="32" t="str">
        <f t="shared" si="501"/>
        <v/>
      </c>
      <c r="O761" s="32" t="str">
        <f t="shared" si="517"/>
        <v/>
      </c>
      <c r="P761" s="32" t="str">
        <f t="shared" si="505"/>
        <v/>
      </c>
      <c r="Q761" s="32" t="str">
        <f t="shared" si="506"/>
        <v/>
      </c>
      <c r="R761" s="32" t="str">
        <f t="shared" si="518"/>
        <v/>
      </c>
      <c r="S761" s="24" t="str">
        <f t="shared" si="519"/>
        <v/>
      </c>
      <c r="T761" s="24" t="str">
        <f t="shared" si="520"/>
        <v/>
      </c>
      <c r="U761" s="24" t="str">
        <f t="shared" si="521"/>
        <v/>
      </c>
      <c r="V761" s="24" t="str">
        <f t="shared" si="522"/>
        <v/>
      </c>
      <c r="W761" s="23" t="str">
        <f t="array" ref="W761">IFERROR(SMALL(IF(S$1:S$1000="BEGIN",ROW(S$1:S$1000)),ROW()-3),"")</f>
        <v/>
      </c>
      <c r="X761" s="23" t="str">
        <f t="array" ref="X761">IFERROR(SMALL(IF(T$1:T$1000="END",ROW(T$1:T$1000)),ROW()-3),"")</f>
        <v/>
      </c>
      <c r="Y761" s="33" t="str">
        <f t="array" ref="Y761">IF(ISNUMBER(W761),MAX(IF((B$4:B$1000&lt;=X761)*(B$4:B$1000&gt;=W761),I$4:I$1000, "")),"")</f>
        <v/>
      </c>
      <c r="Z761" s="33" t="str">
        <f t="shared" si="507"/>
        <v/>
      </c>
      <c r="AA761" s="32" t="str">
        <f t="shared" si="508"/>
        <v/>
      </c>
      <c r="AB761" s="32" t="str">
        <f t="shared" si="509"/>
        <v/>
      </c>
      <c r="AC761" s="32" t="str">
        <f t="shared" si="510"/>
        <v/>
      </c>
      <c r="AD761" s="32" t="str">
        <f t="shared" si="511"/>
        <v/>
      </c>
      <c r="AE761" s="34" t="str">
        <f t="shared" si="512"/>
        <v/>
      </c>
      <c r="AF761" s="32" t="str">
        <f t="shared" si="513"/>
        <v/>
      </c>
      <c r="AG761" s="32" t="str">
        <f t="shared" si="514"/>
        <v/>
      </c>
      <c r="AH761" s="32" t="str">
        <f t="shared" si="515"/>
        <v/>
      </c>
      <c r="AI761" s="35" t="str">
        <f t="shared" si="516"/>
        <v/>
      </c>
      <c r="AJ761" s="23" t="str">
        <f t="array" ref="AJ761">IFERROR(SMALL(IF(U$1:U$1000="BEGIN",ROW(U$1:U$1000)),ROW()-3),"")</f>
        <v/>
      </c>
      <c r="AK761" s="23" t="str">
        <f t="array" ref="AK761">IFERROR(SMALL(IF(V$1:V$1000="END",ROW(V$1:V$1000)),ROW()-3),"")</f>
        <v/>
      </c>
      <c r="AL761" s="24" t="str">
        <f t="array" ref="AL761">IF(AK761="","",MATCH(AM761,L:L,0))</f>
        <v/>
      </c>
      <c r="AM761" s="35">
        <f t="array" ref="AM761">MAX(IF((B$4:B$1000&lt;=AK761)*(B$4:B$1000&gt;=AJ761),L$4:L$1000, ""))</f>
        <v>0</v>
      </c>
      <c r="AN761" s="32" t="str">
        <f t="shared" si="523"/>
        <v/>
      </c>
      <c r="AO761" s="32" t="str">
        <f t="shared" si="524"/>
        <v/>
      </c>
      <c r="AP761" s="32" t="str">
        <f t="shared" si="525"/>
        <v/>
      </c>
      <c r="AQ761" s="32" t="str">
        <f t="shared" si="526"/>
        <v/>
      </c>
      <c r="AR761" s="32" t="str">
        <f t="shared" si="527"/>
        <v/>
      </c>
      <c r="AS761" s="32" t="str">
        <f t="shared" si="528"/>
        <v/>
      </c>
      <c r="AT761" s="32" t="str">
        <f t="shared" si="529"/>
        <v/>
      </c>
      <c r="AU761" s="34" t="str">
        <f t="shared" si="530"/>
        <v/>
      </c>
      <c r="AV761" s="32" t="str">
        <f t="shared" si="531"/>
        <v/>
      </c>
      <c r="AW761" s="32" t="str">
        <f t="shared" si="532"/>
        <v/>
      </c>
      <c r="AX761" s="32" t="str">
        <f t="shared" si="533"/>
        <v/>
      </c>
      <c r="AY761" s="32" t="str">
        <f t="shared" si="534"/>
        <v/>
      </c>
    </row>
    <row r="762" spans="1:51" x14ac:dyDescent="0.25">
      <c r="A762" s="24" t="str">
        <f t="shared" si="492"/>
        <v/>
      </c>
      <c r="B762" s="24" t="str">
        <f t="shared" si="502"/>
        <v/>
      </c>
      <c r="C762" s="32" t="str">
        <f t="shared" si="493"/>
        <v/>
      </c>
      <c r="D762" s="24" t="str">
        <f t="shared" si="494"/>
        <v/>
      </c>
      <c r="E762" s="24" t="str">
        <f t="shared" si="495"/>
        <v/>
      </c>
      <c r="F762" s="32" t="str">
        <f t="shared" si="496"/>
        <v/>
      </c>
      <c r="G762" s="32" t="str">
        <f t="shared" si="497"/>
        <v/>
      </c>
      <c r="H762" s="32" t="str">
        <f t="shared" ca="1" si="498"/>
        <v/>
      </c>
      <c r="I762" s="32" t="str">
        <f t="shared" ca="1" si="503"/>
        <v/>
      </c>
      <c r="J762" s="32" t="str">
        <f t="shared" si="499"/>
        <v/>
      </c>
      <c r="K762" s="32" t="str">
        <f>IF(ISNUMBER(A762),Profile!$V$25+Profile!$V$24*'Ri-Po'!C762,"")</f>
        <v/>
      </c>
      <c r="L762" s="32" t="str">
        <f t="shared" si="504"/>
        <v/>
      </c>
      <c r="M762" s="32" t="str">
        <f t="shared" si="500"/>
        <v/>
      </c>
      <c r="N762" s="32" t="str">
        <f t="shared" si="501"/>
        <v/>
      </c>
      <c r="O762" s="32" t="str">
        <f t="shared" si="517"/>
        <v/>
      </c>
      <c r="P762" s="32" t="str">
        <f t="shared" si="505"/>
        <v/>
      </c>
      <c r="Q762" s="32" t="str">
        <f t="shared" si="506"/>
        <v/>
      </c>
      <c r="R762" s="32" t="str">
        <f t="shared" si="518"/>
        <v/>
      </c>
      <c r="S762" s="24" t="str">
        <f t="shared" si="519"/>
        <v/>
      </c>
      <c r="T762" s="24" t="str">
        <f t="shared" si="520"/>
        <v/>
      </c>
      <c r="U762" s="24" t="str">
        <f t="shared" si="521"/>
        <v/>
      </c>
      <c r="V762" s="24" t="str">
        <f t="shared" si="522"/>
        <v/>
      </c>
      <c r="W762" s="23" t="str">
        <f t="array" ref="W762">IFERROR(SMALL(IF(S$1:S$1000="BEGIN",ROW(S$1:S$1000)),ROW()-3),"")</f>
        <v/>
      </c>
      <c r="X762" s="23" t="str">
        <f t="array" ref="X762">IFERROR(SMALL(IF(T$1:T$1000="END",ROW(T$1:T$1000)),ROW()-3),"")</f>
        <v/>
      </c>
      <c r="Y762" s="33" t="str">
        <f t="array" ref="Y762">IF(ISNUMBER(W762),MAX(IF((B$4:B$1000&lt;=X762)*(B$4:B$1000&gt;=W762),I$4:I$1000, "")),"")</f>
        <v/>
      </c>
      <c r="Z762" s="33" t="str">
        <f t="shared" si="507"/>
        <v/>
      </c>
      <c r="AA762" s="32" t="str">
        <f t="shared" si="508"/>
        <v/>
      </c>
      <c r="AB762" s="32" t="str">
        <f t="shared" si="509"/>
        <v/>
      </c>
      <c r="AC762" s="32" t="str">
        <f t="shared" si="510"/>
        <v/>
      </c>
      <c r="AD762" s="32" t="str">
        <f t="shared" si="511"/>
        <v/>
      </c>
      <c r="AE762" s="34" t="str">
        <f t="shared" si="512"/>
        <v/>
      </c>
      <c r="AF762" s="32" t="str">
        <f t="shared" si="513"/>
        <v/>
      </c>
      <c r="AG762" s="32" t="str">
        <f t="shared" si="514"/>
        <v/>
      </c>
      <c r="AH762" s="32" t="str">
        <f t="shared" si="515"/>
        <v/>
      </c>
      <c r="AI762" s="35" t="str">
        <f t="shared" si="516"/>
        <v/>
      </c>
      <c r="AJ762" s="23" t="str">
        <f t="array" ref="AJ762">IFERROR(SMALL(IF(U$1:U$1000="BEGIN",ROW(U$1:U$1000)),ROW()-3),"")</f>
        <v/>
      </c>
      <c r="AK762" s="23" t="str">
        <f t="array" ref="AK762">IFERROR(SMALL(IF(V$1:V$1000="END",ROW(V$1:V$1000)),ROW()-3),"")</f>
        <v/>
      </c>
      <c r="AL762" s="24" t="str">
        <f t="array" ref="AL762">IF(AK762="","",MATCH(AM762,L:L,0))</f>
        <v/>
      </c>
      <c r="AM762" s="35">
        <f t="array" ref="AM762">MAX(IF((B$4:B$1000&lt;=AK762)*(B$4:B$1000&gt;=AJ762),L$4:L$1000, ""))</f>
        <v>0</v>
      </c>
      <c r="AN762" s="32" t="str">
        <f t="shared" si="523"/>
        <v/>
      </c>
      <c r="AO762" s="32" t="str">
        <f t="shared" si="524"/>
        <v/>
      </c>
      <c r="AP762" s="32" t="str">
        <f t="shared" si="525"/>
        <v/>
      </c>
      <c r="AQ762" s="32" t="str">
        <f t="shared" si="526"/>
        <v/>
      </c>
      <c r="AR762" s="32" t="str">
        <f t="shared" si="527"/>
        <v/>
      </c>
      <c r="AS762" s="32" t="str">
        <f t="shared" si="528"/>
        <v/>
      </c>
      <c r="AT762" s="32" t="str">
        <f t="shared" si="529"/>
        <v/>
      </c>
      <c r="AU762" s="34" t="str">
        <f t="shared" si="530"/>
        <v/>
      </c>
      <c r="AV762" s="32" t="str">
        <f t="shared" si="531"/>
        <v/>
      </c>
      <c r="AW762" s="32" t="str">
        <f t="shared" si="532"/>
        <v/>
      </c>
      <c r="AX762" s="32" t="str">
        <f t="shared" si="533"/>
        <v/>
      </c>
      <c r="AY762" s="32" t="str">
        <f t="shared" si="534"/>
        <v/>
      </c>
    </row>
    <row r="763" spans="1:51" x14ac:dyDescent="0.25">
      <c r="A763" s="24" t="str">
        <f t="shared" si="492"/>
        <v/>
      </c>
      <c r="B763" s="24" t="str">
        <f t="shared" si="502"/>
        <v/>
      </c>
      <c r="C763" s="32" t="str">
        <f t="shared" si="493"/>
        <v/>
      </c>
      <c r="D763" s="24" t="str">
        <f t="shared" si="494"/>
        <v/>
      </c>
      <c r="E763" s="24" t="str">
        <f t="shared" si="495"/>
        <v/>
      </c>
      <c r="F763" s="32" t="str">
        <f t="shared" si="496"/>
        <v/>
      </c>
      <c r="G763" s="32" t="str">
        <f t="shared" si="497"/>
        <v/>
      </c>
      <c r="H763" s="32" t="str">
        <f t="shared" ca="1" si="498"/>
        <v/>
      </c>
      <c r="I763" s="32" t="str">
        <f t="shared" ca="1" si="503"/>
        <v/>
      </c>
      <c r="J763" s="32" t="str">
        <f t="shared" si="499"/>
        <v/>
      </c>
      <c r="K763" s="32" t="str">
        <f>IF(ISNUMBER(A763),Profile!$V$25+Profile!$V$24*'Ri-Po'!C763,"")</f>
        <v/>
      </c>
      <c r="L763" s="32" t="str">
        <f t="shared" si="504"/>
        <v/>
      </c>
      <c r="M763" s="32" t="str">
        <f t="shared" si="500"/>
        <v/>
      </c>
      <c r="N763" s="32" t="str">
        <f t="shared" si="501"/>
        <v/>
      </c>
      <c r="O763" s="32" t="str">
        <f t="shared" si="517"/>
        <v/>
      </c>
      <c r="P763" s="32" t="str">
        <f t="shared" si="505"/>
        <v/>
      </c>
      <c r="Q763" s="32" t="str">
        <f t="shared" si="506"/>
        <v/>
      </c>
      <c r="R763" s="32" t="str">
        <f t="shared" si="518"/>
        <v/>
      </c>
      <c r="S763" s="24" t="str">
        <f t="shared" si="519"/>
        <v/>
      </c>
      <c r="T763" s="24" t="str">
        <f t="shared" si="520"/>
        <v/>
      </c>
      <c r="U763" s="24" t="str">
        <f t="shared" si="521"/>
        <v/>
      </c>
      <c r="V763" s="24" t="str">
        <f t="shared" si="522"/>
        <v/>
      </c>
      <c r="W763" s="23" t="str">
        <f t="array" ref="W763">IFERROR(SMALL(IF(S$1:S$1000="BEGIN",ROW(S$1:S$1000)),ROW()-3),"")</f>
        <v/>
      </c>
      <c r="X763" s="23" t="str">
        <f t="array" ref="X763">IFERROR(SMALL(IF(T$1:T$1000="END",ROW(T$1:T$1000)),ROW()-3),"")</f>
        <v/>
      </c>
      <c r="Y763" s="33" t="str">
        <f t="array" ref="Y763">IF(ISNUMBER(W763),MAX(IF((B$4:B$1000&lt;=X763)*(B$4:B$1000&gt;=W763),I$4:I$1000, "")),"")</f>
        <v/>
      </c>
      <c r="Z763" s="33" t="str">
        <f t="shared" si="507"/>
        <v/>
      </c>
      <c r="AA763" s="32" t="str">
        <f t="shared" si="508"/>
        <v/>
      </c>
      <c r="AB763" s="32" t="str">
        <f t="shared" si="509"/>
        <v/>
      </c>
      <c r="AC763" s="32" t="str">
        <f t="shared" si="510"/>
        <v/>
      </c>
      <c r="AD763" s="32" t="str">
        <f t="shared" si="511"/>
        <v/>
      </c>
      <c r="AE763" s="34" t="str">
        <f t="shared" si="512"/>
        <v/>
      </c>
      <c r="AF763" s="32" t="str">
        <f t="shared" si="513"/>
        <v/>
      </c>
      <c r="AG763" s="32" t="str">
        <f t="shared" si="514"/>
        <v/>
      </c>
      <c r="AH763" s="32" t="str">
        <f t="shared" si="515"/>
        <v/>
      </c>
      <c r="AI763" s="35" t="str">
        <f t="shared" si="516"/>
        <v/>
      </c>
      <c r="AJ763" s="23" t="str">
        <f t="array" ref="AJ763">IFERROR(SMALL(IF(U$1:U$1000="BEGIN",ROW(U$1:U$1000)),ROW()-3),"")</f>
        <v/>
      </c>
      <c r="AK763" s="23" t="str">
        <f t="array" ref="AK763">IFERROR(SMALL(IF(V$1:V$1000="END",ROW(V$1:V$1000)),ROW()-3),"")</f>
        <v/>
      </c>
      <c r="AL763" s="24" t="str">
        <f t="array" ref="AL763">IF(AK763="","",MATCH(AM763,L:L,0))</f>
        <v/>
      </c>
      <c r="AM763" s="35">
        <f t="array" ref="AM763">MAX(IF((B$4:B$1000&lt;=AK763)*(B$4:B$1000&gt;=AJ763),L$4:L$1000, ""))</f>
        <v>0</v>
      </c>
      <c r="AN763" s="32" t="str">
        <f t="shared" si="523"/>
        <v/>
      </c>
      <c r="AO763" s="32" t="str">
        <f t="shared" si="524"/>
        <v/>
      </c>
      <c r="AP763" s="32" t="str">
        <f t="shared" si="525"/>
        <v/>
      </c>
      <c r="AQ763" s="32" t="str">
        <f t="shared" si="526"/>
        <v/>
      </c>
      <c r="AR763" s="32" t="str">
        <f t="shared" si="527"/>
        <v/>
      </c>
      <c r="AS763" s="32" t="str">
        <f t="shared" si="528"/>
        <v/>
      </c>
      <c r="AT763" s="32" t="str">
        <f t="shared" si="529"/>
        <v/>
      </c>
      <c r="AU763" s="34" t="str">
        <f t="shared" si="530"/>
        <v/>
      </c>
      <c r="AV763" s="32" t="str">
        <f t="shared" si="531"/>
        <v/>
      </c>
      <c r="AW763" s="32" t="str">
        <f t="shared" si="532"/>
        <v/>
      </c>
      <c r="AX763" s="32" t="str">
        <f t="shared" si="533"/>
        <v/>
      </c>
      <c r="AY763" s="32" t="str">
        <f t="shared" si="534"/>
        <v/>
      </c>
    </row>
    <row r="764" spans="1:51" x14ac:dyDescent="0.25">
      <c r="A764" s="24" t="str">
        <f t="shared" si="492"/>
        <v/>
      </c>
      <c r="B764" s="24" t="str">
        <f t="shared" si="502"/>
        <v/>
      </c>
      <c r="C764" s="32" t="str">
        <f t="shared" si="493"/>
        <v/>
      </c>
      <c r="D764" s="24" t="str">
        <f t="shared" si="494"/>
        <v/>
      </c>
      <c r="E764" s="24" t="str">
        <f t="shared" si="495"/>
        <v/>
      </c>
      <c r="F764" s="32" t="str">
        <f t="shared" si="496"/>
        <v/>
      </c>
      <c r="G764" s="32" t="str">
        <f t="shared" si="497"/>
        <v/>
      </c>
      <c r="H764" s="32" t="str">
        <f t="shared" ca="1" si="498"/>
        <v/>
      </c>
      <c r="I764" s="32" t="str">
        <f t="shared" ca="1" si="503"/>
        <v/>
      </c>
      <c r="J764" s="32" t="str">
        <f t="shared" si="499"/>
        <v/>
      </c>
      <c r="K764" s="32" t="str">
        <f>IF(ISNUMBER(A764),Profile!$V$25+Profile!$V$24*'Ri-Po'!C764,"")</f>
        <v/>
      </c>
      <c r="L764" s="32" t="str">
        <f t="shared" si="504"/>
        <v/>
      </c>
      <c r="M764" s="32" t="str">
        <f t="shared" si="500"/>
        <v/>
      </c>
      <c r="N764" s="32" t="str">
        <f t="shared" si="501"/>
        <v/>
      </c>
      <c r="O764" s="32" t="str">
        <f t="shared" si="517"/>
        <v/>
      </c>
      <c r="P764" s="32" t="str">
        <f t="shared" si="505"/>
        <v/>
      </c>
      <c r="Q764" s="32" t="str">
        <f t="shared" si="506"/>
        <v/>
      </c>
      <c r="R764" s="32" t="str">
        <f t="shared" si="518"/>
        <v/>
      </c>
      <c r="S764" s="24" t="str">
        <f t="shared" si="519"/>
        <v/>
      </c>
      <c r="T764" s="24" t="str">
        <f t="shared" si="520"/>
        <v/>
      </c>
      <c r="U764" s="24" t="str">
        <f t="shared" si="521"/>
        <v/>
      </c>
      <c r="V764" s="24" t="str">
        <f t="shared" si="522"/>
        <v/>
      </c>
      <c r="W764" s="23" t="str">
        <f t="array" ref="W764">IFERROR(SMALL(IF(S$1:S$1000="BEGIN",ROW(S$1:S$1000)),ROW()-3),"")</f>
        <v/>
      </c>
      <c r="X764" s="23" t="str">
        <f t="array" ref="X764">IFERROR(SMALL(IF(T$1:T$1000="END",ROW(T$1:T$1000)),ROW()-3),"")</f>
        <v/>
      </c>
      <c r="Y764" s="33" t="str">
        <f t="array" ref="Y764">IF(ISNUMBER(W764),MAX(IF((B$4:B$1000&lt;=X764)*(B$4:B$1000&gt;=W764),I$4:I$1000, "")),"")</f>
        <v/>
      </c>
      <c r="Z764" s="33" t="str">
        <f t="shared" si="507"/>
        <v/>
      </c>
      <c r="AA764" s="32" t="str">
        <f t="shared" si="508"/>
        <v/>
      </c>
      <c r="AB764" s="32" t="str">
        <f t="shared" si="509"/>
        <v/>
      </c>
      <c r="AC764" s="32" t="str">
        <f t="shared" si="510"/>
        <v/>
      </c>
      <c r="AD764" s="32" t="str">
        <f t="shared" si="511"/>
        <v/>
      </c>
      <c r="AE764" s="34" t="str">
        <f t="shared" si="512"/>
        <v/>
      </c>
      <c r="AF764" s="32" t="str">
        <f t="shared" si="513"/>
        <v/>
      </c>
      <c r="AG764" s="32" t="str">
        <f t="shared" si="514"/>
        <v/>
      </c>
      <c r="AH764" s="32" t="str">
        <f t="shared" si="515"/>
        <v/>
      </c>
      <c r="AI764" s="35" t="str">
        <f t="shared" si="516"/>
        <v/>
      </c>
      <c r="AJ764" s="23" t="str">
        <f t="array" ref="AJ764">IFERROR(SMALL(IF(U$1:U$1000="BEGIN",ROW(U$1:U$1000)),ROW()-3),"")</f>
        <v/>
      </c>
      <c r="AK764" s="23" t="str">
        <f t="array" ref="AK764">IFERROR(SMALL(IF(V$1:V$1000="END",ROW(V$1:V$1000)),ROW()-3),"")</f>
        <v/>
      </c>
      <c r="AL764" s="24" t="str">
        <f t="array" ref="AL764">IF(AK764="","",MATCH(AM764,L:L,0))</f>
        <v/>
      </c>
      <c r="AM764" s="35">
        <f t="array" ref="AM764">MAX(IF((B$4:B$1000&lt;=AK764)*(B$4:B$1000&gt;=AJ764),L$4:L$1000, ""))</f>
        <v>0</v>
      </c>
      <c r="AN764" s="32" t="str">
        <f t="shared" si="523"/>
        <v/>
      </c>
      <c r="AO764" s="32" t="str">
        <f t="shared" si="524"/>
        <v/>
      </c>
      <c r="AP764" s="32" t="str">
        <f t="shared" si="525"/>
        <v/>
      </c>
      <c r="AQ764" s="32" t="str">
        <f t="shared" si="526"/>
        <v/>
      </c>
      <c r="AR764" s="32" t="str">
        <f t="shared" si="527"/>
        <v/>
      </c>
      <c r="AS764" s="32" t="str">
        <f t="shared" si="528"/>
        <v/>
      </c>
      <c r="AT764" s="32" t="str">
        <f t="shared" si="529"/>
        <v/>
      </c>
      <c r="AU764" s="34" t="str">
        <f t="shared" si="530"/>
        <v/>
      </c>
      <c r="AV764" s="32" t="str">
        <f t="shared" si="531"/>
        <v/>
      </c>
      <c r="AW764" s="32" t="str">
        <f t="shared" si="532"/>
        <v/>
      </c>
      <c r="AX764" s="32" t="str">
        <f t="shared" si="533"/>
        <v/>
      </c>
      <c r="AY764" s="32" t="str">
        <f t="shared" si="534"/>
        <v/>
      </c>
    </row>
    <row r="765" spans="1:51" x14ac:dyDescent="0.25">
      <c r="A765" s="24" t="str">
        <f t="shared" si="492"/>
        <v/>
      </c>
      <c r="B765" s="24" t="str">
        <f t="shared" si="502"/>
        <v/>
      </c>
      <c r="C765" s="32" t="str">
        <f t="shared" si="493"/>
        <v/>
      </c>
      <c r="D765" s="24" t="str">
        <f t="shared" si="494"/>
        <v/>
      </c>
      <c r="E765" s="24" t="str">
        <f t="shared" si="495"/>
        <v/>
      </c>
      <c r="F765" s="32" t="str">
        <f t="shared" si="496"/>
        <v/>
      </c>
      <c r="G765" s="32" t="str">
        <f t="shared" si="497"/>
        <v/>
      </c>
      <c r="H765" s="32" t="str">
        <f t="shared" ca="1" si="498"/>
        <v/>
      </c>
      <c r="I765" s="32" t="str">
        <f t="shared" ca="1" si="503"/>
        <v/>
      </c>
      <c r="J765" s="32" t="str">
        <f t="shared" si="499"/>
        <v/>
      </c>
      <c r="K765" s="32" t="str">
        <f>IF(ISNUMBER(A765),Profile!$V$25+Profile!$V$24*'Ri-Po'!C765,"")</f>
        <v/>
      </c>
      <c r="L765" s="32" t="str">
        <f t="shared" si="504"/>
        <v/>
      </c>
      <c r="M765" s="32" t="str">
        <f t="shared" si="500"/>
        <v/>
      </c>
      <c r="N765" s="32" t="str">
        <f t="shared" si="501"/>
        <v/>
      </c>
      <c r="O765" s="32" t="str">
        <f t="shared" si="517"/>
        <v/>
      </c>
      <c r="P765" s="32" t="str">
        <f t="shared" si="505"/>
        <v/>
      </c>
      <c r="Q765" s="32" t="str">
        <f t="shared" si="506"/>
        <v/>
      </c>
      <c r="R765" s="32" t="str">
        <f t="shared" si="518"/>
        <v/>
      </c>
      <c r="S765" s="24" t="str">
        <f t="shared" si="519"/>
        <v/>
      </c>
      <c r="T765" s="24" t="str">
        <f t="shared" si="520"/>
        <v/>
      </c>
      <c r="U765" s="24" t="str">
        <f t="shared" si="521"/>
        <v/>
      </c>
      <c r="V765" s="24" t="str">
        <f t="shared" si="522"/>
        <v/>
      </c>
      <c r="W765" s="23" t="str">
        <f t="array" ref="W765">IFERROR(SMALL(IF(S$1:S$1000="BEGIN",ROW(S$1:S$1000)),ROW()-3),"")</f>
        <v/>
      </c>
      <c r="X765" s="23" t="str">
        <f t="array" ref="X765">IFERROR(SMALL(IF(T$1:T$1000="END",ROW(T$1:T$1000)),ROW()-3),"")</f>
        <v/>
      </c>
      <c r="Y765" s="33" t="str">
        <f t="array" ref="Y765">IF(ISNUMBER(W765),MAX(IF((B$4:B$1000&lt;=X765)*(B$4:B$1000&gt;=W765),I$4:I$1000, "")),"")</f>
        <v/>
      </c>
      <c r="Z765" s="33" t="str">
        <f t="shared" si="507"/>
        <v/>
      </c>
      <c r="AA765" s="32" t="str">
        <f t="shared" si="508"/>
        <v/>
      </c>
      <c r="AB765" s="32" t="str">
        <f t="shared" si="509"/>
        <v/>
      </c>
      <c r="AC765" s="32" t="str">
        <f t="shared" si="510"/>
        <v/>
      </c>
      <c r="AD765" s="32" t="str">
        <f t="shared" si="511"/>
        <v/>
      </c>
      <c r="AE765" s="34" t="str">
        <f t="shared" si="512"/>
        <v/>
      </c>
      <c r="AF765" s="32" t="str">
        <f t="shared" si="513"/>
        <v/>
      </c>
      <c r="AG765" s="32" t="str">
        <f t="shared" si="514"/>
        <v/>
      </c>
      <c r="AH765" s="32" t="str">
        <f t="shared" si="515"/>
        <v/>
      </c>
      <c r="AI765" s="35" t="str">
        <f t="shared" si="516"/>
        <v/>
      </c>
      <c r="AJ765" s="23" t="str">
        <f t="array" ref="AJ765">IFERROR(SMALL(IF(U$1:U$1000="BEGIN",ROW(U$1:U$1000)),ROW()-3),"")</f>
        <v/>
      </c>
      <c r="AK765" s="23" t="str">
        <f t="array" ref="AK765">IFERROR(SMALL(IF(V$1:V$1000="END",ROW(V$1:V$1000)),ROW()-3),"")</f>
        <v/>
      </c>
      <c r="AL765" s="24" t="str">
        <f t="array" ref="AL765">IF(AK765="","",MATCH(AM765,L:L,0))</f>
        <v/>
      </c>
      <c r="AM765" s="35">
        <f t="array" ref="AM765">MAX(IF((B$4:B$1000&lt;=AK765)*(B$4:B$1000&gt;=AJ765),L$4:L$1000, ""))</f>
        <v>0</v>
      </c>
      <c r="AN765" s="32" t="str">
        <f t="shared" si="523"/>
        <v/>
      </c>
      <c r="AO765" s="32" t="str">
        <f t="shared" si="524"/>
        <v/>
      </c>
      <c r="AP765" s="32" t="str">
        <f t="shared" si="525"/>
        <v/>
      </c>
      <c r="AQ765" s="32" t="str">
        <f t="shared" si="526"/>
        <v/>
      </c>
      <c r="AR765" s="32" t="str">
        <f t="shared" si="527"/>
        <v/>
      </c>
      <c r="AS765" s="32" t="str">
        <f t="shared" si="528"/>
        <v/>
      </c>
      <c r="AT765" s="32" t="str">
        <f t="shared" si="529"/>
        <v/>
      </c>
      <c r="AU765" s="34" t="str">
        <f t="shared" si="530"/>
        <v/>
      </c>
      <c r="AV765" s="32" t="str">
        <f t="shared" si="531"/>
        <v/>
      </c>
      <c r="AW765" s="32" t="str">
        <f t="shared" si="532"/>
        <v/>
      </c>
      <c r="AX765" s="32" t="str">
        <f t="shared" si="533"/>
        <v/>
      </c>
      <c r="AY765" s="32" t="str">
        <f t="shared" si="534"/>
        <v/>
      </c>
    </row>
    <row r="766" spans="1:51" x14ac:dyDescent="0.25">
      <c r="A766" s="24" t="str">
        <f t="shared" si="492"/>
        <v/>
      </c>
      <c r="B766" s="24" t="str">
        <f t="shared" si="502"/>
        <v/>
      </c>
      <c r="C766" s="32" t="str">
        <f t="shared" si="493"/>
        <v/>
      </c>
      <c r="D766" s="24" t="str">
        <f t="shared" si="494"/>
        <v/>
      </c>
      <c r="E766" s="24" t="str">
        <f t="shared" si="495"/>
        <v/>
      </c>
      <c r="F766" s="32" t="str">
        <f t="shared" si="496"/>
        <v/>
      </c>
      <c r="G766" s="32" t="str">
        <f t="shared" si="497"/>
        <v/>
      </c>
      <c r="H766" s="32" t="str">
        <f t="shared" ca="1" si="498"/>
        <v/>
      </c>
      <c r="I766" s="32" t="str">
        <f t="shared" ca="1" si="503"/>
        <v/>
      </c>
      <c r="J766" s="32" t="str">
        <f t="shared" si="499"/>
        <v/>
      </c>
      <c r="K766" s="32" t="str">
        <f>IF(ISNUMBER(A766),Profile!$V$25+Profile!$V$24*'Ri-Po'!C766,"")</f>
        <v/>
      </c>
      <c r="L766" s="32" t="str">
        <f t="shared" si="504"/>
        <v/>
      </c>
      <c r="M766" s="32" t="str">
        <f t="shared" si="500"/>
        <v/>
      </c>
      <c r="N766" s="32" t="str">
        <f t="shared" si="501"/>
        <v/>
      </c>
      <c r="O766" s="32" t="str">
        <f t="shared" si="517"/>
        <v/>
      </c>
      <c r="P766" s="32" t="str">
        <f t="shared" si="505"/>
        <v/>
      </c>
      <c r="Q766" s="32" t="str">
        <f t="shared" si="506"/>
        <v/>
      </c>
      <c r="R766" s="32" t="str">
        <f t="shared" si="518"/>
        <v/>
      </c>
      <c r="S766" s="24" t="str">
        <f t="shared" si="519"/>
        <v/>
      </c>
      <c r="T766" s="24" t="str">
        <f t="shared" si="520"/>
        <v/>
      </c>
      <c r="U766" s="24" t="str">
        <f t="shared" si="521"/>
        <v/>
      </c>
      <c r="V766" s="24" t="str">
        <f t="shared" si="522"/>
        <v/>
      </c>
      <c r="W766" s="23" t="str">
        <f t="array" ref="W766">IFERROR(SMALL(IF(S$1:S$1000="BEGIN",ROW(S$1:S$1000)),ROW()-3),"")</f>
        <v/>
      </c>
      <c r="X766" s="23" t="str">
        <f t="array" ref="X766">IFERROR(SMALL(IF(T$1:T$1000="END",ROW(T$1:T$1000)),ROW()-3),"")</f>
        <v/>
      </c>
      <c r="Y766" s="33" t="str">
        <f t="array" ref="Y766">IF(ISNUMBER(W766),MAX(IF((B$4:B$1000&lt;=X766)*(B$4:B$1000&gt;=W766),I$4:I$1000, "")),"")</f>
        <v/>
      </c>
      <c r="Z766" s="33" t="str">
        <f t="shared" si="507"/>
        <v/>
      </c>
      <c r="AA766" s="32" t="str">
        <f t="shared" si="508"/>
        <v/>
      </c>
      <c r="AB766" s="32" t="str">
        <f t="shared" si="509"/>
        <v/>
      </c>
      <c r="AC766" s="32" t="str">
        <f t="shared" si="510"/>
        <v/>
      </c>
      <c r="AD766" s="32" t="str">
        <f t="shared" si="511"/>
        <v/>
      </c>
      <c r="AE766" s="34" t="str">
        <f t="shared" si="512"/>
        <v/>
      </c>
      <c r="AF766" s="32" t="str">
        <f t="shared" si="513"/>
        <v/>
      </c>
      <c r="AG766" s="32" t="str">
        <f t="shared" si="514"/>
        <v/>
      </c>
      <c r="AH766" s="32" t="str">
        <f t="shared" si="515"/>
        <v/>
      </c>
      <c r="AI766" s="35" t="str">
        <f t="shared" si="516"/>
        <v/>
      </c>
      <c r="AJ766" s="23" t="str">
        <f t="array" ref="AJ766">IFERROR(SMALL(IF(U$1:U$1000="BEGIN",ROW(U$1:U$1000)),ROW()-3),"")</f>
        <v/>
      </c>
      <c r="AK766" s="23" t="str">
        <f t="array" ref="AK766">IFERROR(SMALL(IF(V$1:V$1000="END",ROW(V$1:V$1000)),ROW()-3),"")</f>
        <v/>
      </c>
      <c r="AL766" s="24" t="str">
        <f t="array" ref="AL766">IF(AK766="","",MATCH(AM766,L:L,0))</f>
        <v/>
      </c>
      <c r="AM766" s="35">
        <f t="array" ref="AM766">MAX(IF((B$4:B$1000&lt;=AK766)*(B$4:B$1000&gt;=AJ766),L$4:L$1000, ""))</f>
        <v>0</v>
      </c>
      <c r="AN766" s="32" t="str">
        <f t="shared" si="523"/>
        <v/>
      </c>
      <c r="AO766" s="32" t="str">
        <f t="shared" si="524"/>
        <v/>
      </c>
      <c r="AP766" s="32" t="str">
        <f t="shared" si="525"/>
        <v/>
      </c>
      <c r="AQ766" s="32" t="str">
        <f t="shared" si="526"/>
        <v/>
      </c>
      <c r="AR766" s="32" t="str">
        <f t="shared" si="527"/>
        <v/>
      </c>
      <c r="AS766" s="32" t="str">
        <f t="shared" si="528"/>
        <v/>
      </c>
      <c r="AT766" s="32" t="str">
        <f t="shared" si="529"/>
        <v/>
      </c>
      <c r="AU766" s="34" t="str">
        <f t="shared" si="530"/>
        <v/>
      </c>
      <c r="AV766" s="32" t="str">
        <f t="shared" si="531"/>
        <v/>
      </c>
      <c r="AW766" s="32" t="str">
        <f t="shared" si="532"/>
        <v/>
      </c>
      <c r="AX766" s="32" t="str">
        <f t="shared" si="533"/>
        <v/>
      </c>
      <c r="AY766" s="32" t="str">
        <f t="shared" si="534"/>
        <v/>
      </c>
    </row>
    <row r="767" spans="1:51" x14ac:dyDescent="0.25">
      <c r="A767" s="24" t="str">
        <f t="shared" si="492"/>
        <v/>
      </c>
      <c r="B767" s="24" t="str">
        <f t="shared" si="502"/>
        <v/>
      </c>
      <c r="C767" s="32" t="str">
        <f t="shared" si="493"/>
        <v/>
      </c>
      <c r="D767" s="24" t="str">
        <f t="shared" si="494"/>
        <v/>
      </c>
      <c r="E767" s="24" t="str">
        <f t="shared" si="495"/>
        <v/>
      </c>
      <c r="F767" s="32" t="str">
        <f t="shared" si="496"/>
        <v/>
      </c>
      <c r="G767" s="32" t="str">
        <f t="shared" si="497"/>
        <v/>
      </c>
      <c r="H767" s="32" t="str">
        <f t="shared" ca="1" si="498"/>
        <v/>
      </c>
      <c r="I767" s="32" t="str">
        <f t="shared" ca="1" si="503"/>
        <v/>
      </c>
      <c r="J767" s="32" t="str">
        <f t="shared" si="499"/>
        <v/>
      </c>
      <c r="K767" s="32" t="str">
        <f>IF(ISNUMBER(A767),Profile!$V$25+Profile!$V$24*'Ri-Po'!C767,"")</f>
        <v/>
      </c>
      <c r="L767" s="32" t="str">
        <f t="shared" si="504"/>
        <v/>
      </c>
      <c r="M767" s="32" t="str">
        <f t="shared" si="500"/>
        <v/>
      </c>
      <c r="N767" s="32" t="str">
        <f t="shared" si="501"/>
        <v/>
      </c>
      <c r="O767" s="32" t="str">
        <f t="shared" si="517"/>
        <v/>
      </c>
      <c r="P767" s="32" t="str">
        <f t="shared" si="505"/>
        <v/>
      </c>
      <c r="Q767" s="32" t="str">
        <f t="shared" si="506"/>
        <v/>
      </c>
      <c r="R767" s="32" t="str">
        <f t="shared" si="518"/>
        <v/>
      </c>
      <c r="S767" s="24" t="str">
        <f t="shared" si="519"/>
        <v/>
      </c>
      <c r="T767" s="24" t="str">
        <f t="shared" si="520"/>
        <v/>
      </c>
      <c r="U767" s="24" t="str">
        <f t="shared" si="521"/>
        <v/>
      </c>
      <c r="V767" s="24" t="str">
        <f t="shared" si="522"/>
        <v/>
      </c>
      <c r="W767" s="23" t="str">
        <f t="array" ref="W767">IFERROR(SMALL(IF(S$1:S$1000="BEGIN",ROW(S$1:S$1000)),ROW()-3),"")</f>
        <v/>
      </c>
      <c r="X767" s="23" t="str">
        <f t="array" ref="X767">IFERROR(SMALL(IF(T$1:T$1000="END",ROW(T$1:T$1000)),ROW()-3),"")</f>
        <v/>
      </c>
      <c r="Y767" s="33" t="str">
        <f t="array" ref="Y767">IF(ISNUMBER(W767),MAX(IF((B$4:B$1000&lt;=X767)*(B$4:B$1000&gt;=W767),I$4:I$1000, "")),"")</f>
        <v/>
      </c>
      <c r="Z767" s="33" t="str">
        <f t="shared" si="507"/>
        <v/>
      </c>
      <c r="AA767" s="32" t="str">
        <f t="shared" si="508"/>
        <v/>
      </c>
      <c r="AB767" s="32" t="str">
        <f t="shared" si="509"/>
        <v/>
      </c>
      <c r="AC767" s="32" t="str">
        <f t="shared" si="510"/>
        <v/>
      </c>
      <c r="AD767" s="32" t="str">
        <f t="shared" si="511"/>
        <v/>
      </c>
      <c r="AE767" s="34" t="str">
        <f t="shared" si="512"/>
        <v/>
      </c>
      <c r="AF767" s="32" t="str">
        <f t="shared" si="513"/>
        <v/>
      </c>
      <c r="AG767" s="32" t="str">
        <f t="shared" si="514"/>
        <v/>
      </c>
      <c r="AH767" s="32" t="str">
        <f t="shared" si="515"/>
        <v/>
      </c>
      <c r="AI767" s="35" t="str">
        <f t="shared" si="516"/>
        <v/>
      </c>
      <c r="AJ767" s="23" t="str">
        <f t="array" ref="AJ767">IFERROR(SMALL(IF(U$1:U$1000="BEGIN",ROW(U$1:U$1000)),ROW()-3),"")</f>
        <v/>
      </c>
      <c r="AK767" s="23" t="str">
        <f t="array" ref="AK767">IFERROR(SMALL(IF(V$1:V$1000="END",ROW(V$1:V$1000)),ROW()-3),"")</f>
        <v/>
      </c>
      <c r="AL767" s="24" t="str">
        <f t="array" ref="AL767">IF(AK767="","",MATCH(AM767,L:L,0))</f>
        <v/>
      </c>
      <c r="AM767" s="35">
        <f t="array" ref="AM767">MAX(IF((B$4:B$1000&lt;=AK767)*(B$4:B$1000&gt;=AJ767),L$4:L$1000, ""))</f>
        <v>0</v>
      </c>
      <c r="AN767" s="32" t="str">
        <f t="shared" si="523"/>
        <v/>
      </c>
      <c r="AO767" s="32" t="str">
        <f t="shared" si="524"/>
        <v/>
      </c>
      <c r="AP767" s="32" t="str">
        <f t="shared" si="525"/>
        <v/>
      </c>
      <c r="AQ767" s="32" t="str">
        <f t="shared" si="526"/>
        <v/>
      </c>
      <c r="AR767" s="32" t="str">
        <f t="shared" si="527"/>
        <v/>
      </c>
      <c r="AS767" s="32" t="str">
        <f t="shared" si="528"/>
        <v/>
      </c>
      <c r="AT767" s="32" t="str">
        <f t="shared" si="529"/>
        <v/>
      </c>
      <c r="AU767" s="34" t="str">
        <f t="shared" si="530"/>
        <v/>
      </c>
      <c r="AV767" s="32" t="str">
        <f t="shared" si="531"/>
        <v/>
      </c>
      <c r="AW767" s="32" t="str">
        <f t="shared" si="532"/>
        <v/>
      </c>
      <c r="AX767" s="32" t="str">
        <f t="shared" si="533"/>
        <v/>
      </c>
      <c r="AY767" s="32" t="str">
        <f t="shared" si="534"/>
        <v/>
      </c>
    </row>
    <row r="768" spans="1:51" x14ac:dyDescent="0.25">
      <c r="A768" s="24" t="str">
        <f t="shared" si="492"/>
        <v/>
      </c>
      <c r="B768" s="24" t="str">
        <f t="shared" si="502"/>
        <v/>
      </c>
      <c r="C768" s="32" t="str">
        <f t="shared" si="493"/>
        <v/>
      </c>
      <c r="D768" s="24" t="str">
        <f t="shared" si="494"/>
        <v/>
      </c>
      <c r="E768" s="24" t="str">
        <f t="shared" si="495"/>
        <v/>
      </c>
      <c r="F768" s="32" t="str">
        <f t="shared" si="496"/>
        <v/>
      </c>
      <c r="G768" s="32" t="str">
        <f t="shared" si="497"/>
        <v/>
      </c>
      <c r="H768" s="32" t="str">
        <f t="shared" ca="1" si="498"/>
        <v/>
      </c>
      <c r="I768" s="32" t="str">
        <f t="shared" ca="1" si="503"/>
        <v/>
      </c>
      <c r="J768" s="32" t="str">
        <f t="shared" si="499"/>
        <v/>
      </c>
      <c r="K768" s="32" t="str">
        <f>IF(ISNUMBER(A768),Profile!$V$25+Profile!$V$24*'Ri-Po'!C768,"")</f>
        <v/>
      </c>
      <c r="L768" s="32" t="str">
        <f t="shared" si="504"/>
        <v/>
      </c>
      <c r="M768" s="32" t="str">
        <f t="shared" si="500"/>
        <v/>
      </c>
      <c r="N768" s="32" t="str">
        <f t="shared" si="501"/>
        <v/>
      </c>
      <c r="O768" s="32" t="str">
        <f t="shared" si="517"/>
        <v/>
      </c>
      <c r="P768" s="32" t="str">
        <f t="shared" si="505"/>
        <v/>
      </c>
      <c r="Q768" s="32" t="str">
        <f t="shared" si="506"/>
        <v/>
      </c>
      <c r="R768" s="32" t="str">
        <f t="shared" si="518"/>
        <v/>
      </c>
      <c r="S768" s="24" t="str">
        <f t="shared" si="519"/>
        <v/>
      </c>
      <c r="T768" s="24" t="str">
        <f t="shared" si="520"/>
        <v/>
      </c>
      <c r="U768" s="24" t="str">
        <f t="shared" si="521"/>
        <v/>
      </c>
      <c r="V768" s="24" t="str">
        <f t="shared" si="522"/>
        <v/>
      </c>
      <c r="W768" s="23" t="str">
        <f t="array" ref="W768">IFERROR(SMALL(IF(S$1:S$1000="BEGIN",ROW(S$1:S$1000)),ROW()-3),"")</f>
        <v/>
      </c>
      <c r="X768" s="23" t="str">
        <f t="array" ref="X768">IFERROR(SMALL(IF(T$1:T$1000="END",ROW(T$1:T$1000)),ROW()-3),"")</f>
        <v/>
      </c>
      <c r="Y768" s="33" t="str">
        <f t="array" ref="Y768">IF(ISNUMBER(W768),MAX(IF((B$4:B$1000&lt;=X768)*(B$4:B$1000&gt;=W768),I$4:I$1000, "")),"")</f>
        <v/>
      </c>
      <c r="Z768" s="33" t="str">
        <f t="shared" si="507"/>
        <v/>
      </c>
      <c r="AA768" s="32" t="str">
        <f t="shared" si="508"/>
        <v/>
      </c>
      <c r="AB768" s="32" t="str">
        <f t="shared" si="509"/>
        <v/>
      </c>
      <c r="AC768" s="32" t="str">
        <f t="shared" si="510"/>
        <v/>
      </c>
      <c r="AD768" s="32" t="str">
        <f t="shared" si="511"/>
        <v/>
      </c>
      <c r="AE768" s="34" t="str">
        <f t="shared" si="512"/>
        <v/>
      </c>
      <c r="AF768" s="32" t="str">
        <f t="shared" si="513"/>
        <v/>
      </c>
      <c r="AG768" s="32" t="str">
        <f t="shared" si="514"/>
        <v/>
      </c>
      <c r="AH768" s="32" t="str">
        <f t="shared" si="515"/>
        <v/>
      </c>
      <c r="AI768" s="35" t="str">
        <f t="shared" si="516"/>
        <v/>
      </c>
      <c r="AJ768" s="23" t="str">
        <f t="array" ref="AJ768">IFERROR(SMALL(IF(U$1:U$1000="BEGIN",ROW(U$1:U$1000)),ROW()-3),"")</f>
        <v/>
      </c>
      <c r="AK768" s="23" t="str">
        <f t="array" ref="AK768">IFERROR(SMALL(IF(V$1:V$1000="END",ROW(V$1:V$1000)),ROW()-3),"")</f>
        <v/>
      </c>
      <c r="AL768" s="24" t="str">
        <f t="array" ref="AL768">IF(AK768="","",MATCH(AM768,L:L,0))</f>
        <v/>
      </c>
      <c r="AM768" s="35">
        <f t="array" ref="AM768">MAX(IF((B$4:B$1000&lt;=AK768)*(B$4:B$1000&gt;=AJ768),L$4:L$1000, ""))</f>
        <v>0</v>
      </c>
      <c r="AN768" s="32" t="str">
        <f t="shared" si="523"/>
        <v/>
      </c>
      <c r="AO768" s="32" t="str">
        <f t="shared" si="524"/>
        <v/>
      </c>
      <c r="AP768" s="32" t="str">
        <f t="shared" si="525"/>
        <v/>
      </c>
      <c r="AQ768" s="32" t="str">
        <f t="shared" si="526"/>
        <v/>
      </c>
      <c r="AR768" s="32" t="str">
        <f t="shared" si="527"/>
        <v/>
      </c>
      <c r="AS768" s="32" t="str">
        <f t="shared" si="528"/>
        <v/>
      </c>
      <c r="AT768" s="32" t="str">
        <f t="shared" si="529"/>
        <v/>
      </c>
      <c r="AU768" s="34" t="str">
        <f t="shared" si="530"/>
        <v/>
      </c>
      <c r="AV768" s="32" t="str">
        <f t="shared" si="531"/>
        <v/>
      </c>
      <c r="AW768" s="32" t="str">
        <f t="shared" si="532"/>
        <v/>
      </c>
      <c r="AX768" s="32" t="str">
        <f t="shared" si="533"/>
        <v/>
      </c>
      <c r="AY768" s="32" t="str">
        <f t="shared" si="534"/>
        <v/>
      </c>
    </row>
    <row r="769" spans="1:51" x14ac:dyDescent="0.25">
      <c r="A769" s="24" t="str">
        <f t="shared" si="492"/>
        <v/>
      </c>
      <c r="B769" s="24" t="str">
        <f t="shared" si="502"/>
        <v/>
      </c>
      <c r="C769" s="32" t="str">
        <f t="shared" si="493"/>
        <v/>
      </c>
      <c r="D769" s="24" t="str">
        <f t="shared" si="494"/>
        <v/>
      </c>
      <c r="E769" s="24" t="str">
        <f t="shared" si="495"/>
        <v/>
      </c>
      <c r="F769" s="32" t="str">
        <f t="shared" si="496"/>
        <v/>
      </c>
      <c r="G769" s="32" t="str">
        <f t="shared" si="497"/>
        <v/>
      </c>
      <c r="H769" s="32" t="str">
        <f t="shared" ca="1" si="498"/>
        <v/>
      </c>
      <c r="I769" s="32" t="str">
        <f t="shared" ca="1" si="503"/>
        <v/>
      </c>
      <c r="J769" s="32" t="str">
        <f t="shared" si="499"/>
        <v/>
      </c>
      <c r="K769" s="32" t="str">
        <f>IF(ISNUMBER(A769),Profile!$V$25+Profile!$V$24*'Ri-Po'!C769,"")</f>
        <v/>
      </c>
      <c r="L769" s="32" t="str">
        <f t="shared" si="504"/>
        <v/>
      </c>
      <c r="M769" s="32" t="str">
        <f t="shared" si="500"/>
        <v/>
      </c>
      <c r="N769" s="32" t="str">
        <f t="shared" si="501"/>
        <v/>
      </c>
      <c r="O769" s="32" t="str">
        <f t="shared" si="517"/>
        <v/>
      </c>
      <c r="P769" s="32" t="str">
        <f t="shared" si="505"/>
        <v/>
      </c>
      <c r="Q769" s="32" t="str">
        <f t="shared" si="506"/>
        <v/>
      </c>
      <c r="R769" s="32" t="str">
        <f t="shared" si="518"/>
        <v/>
      </c>
      <c r="S769" s="24" t="str">
        <f t="shared" si="519"/>
        <v/>
      </c>
      <c r="T769" s="24" t="str">
        <f t="shared" si="520"/>
        <v/>
      </c>
      <c r="U769" s="24" t="str">
        <f t="shared" si="521"/>
        <v/>
      </c>
      <c r="V769" s="24" t="str">
        <f t="shared" si="522"/>
        <v/>
      </c>
      <c r="W769" s="23" t="str">
        <f t="array" ref="W769">IFERROR(SMALL(IF(S$1:S$1000="BEGIN",ROW(S$1:S$1000)),ROW()-3),"")</f>
        <v/>
      </c>
      <c r="X769" s="23" t="str">
        <f t="array" ref="X769">IFERROR(SMALL(IF(T$1:T$1000="END",ROW(T$1:T$1000)),ROW()-3),"")</f>
        <v/>
      </c>
      <c r="Y769" s="33" t="str">
        <f t="array" ref="Y769">IF(ISNUMBER(W769),MAX(IF((B$4:B$1000&lt;=X769)*(B$4:B$1000&gt;=W769),I$4:I$1000, "")),"")</f>
        <v/>
      </c>
      <c r="Z769" s="33" t="str">
        <f t="shared" si="507"/>
        <v/>
      </c>
      <c r="AA769" s="32" t="str">
        <f t="shared" si="508"/>
        <v/>
      </c>
      <c r="AB769" s="32" t="str">
        <f t="shared" si="509"/>
        <v/>
      </c>
      <c r="AC769" s="32" t="str">
        <f t="shared" si="510"/>
        <v/>
      </c>
      <c r="AD769" s="32" t="str">
        <f t="shared" si="511"/>
        <v/>
      </c>
      <c r="AE769" s="34" t="str">
        <f t="shared" si="512"/>
        <v/>
      </c>
      <c r="AF769" s="32" t="str">
        <f t="shared" si="513"/>
        <v/>
      </c>
      <c r="AG769" s="32" t="str">
        <f t="shared" si="514"/>
        <v/>
      </c>
      <c r="AH769" s="32" t="str">
        <f t="shared" si="515"/>
        <v/>
      </c>
      <c r="AI769" s="35" t="str">
        <f t="shared" si="516"/>
        <v/>
      </c>
      <c r="AJ769" s="23" t="str">
        <f t="array" ref="AJ769">IFERROR(SMALL(IF(U$1:U$1000="BEGIN",ROW(U$1:U$1000)),ROW()-3),"")</f>
        <v/>
      </c>
      <c r="AK769" s="23" t="str">
        <f t="array" ref="AK769">IFERROR(SMALL(IF(V$1:V$1000="END",ROW(V$1:V$1000)),ROW()-3),"")</f>
        <v/>
      </c>
      <c r="AL769" s="24" t="str">
        <f t="array" ref="AL769">IF(AK769="","",MATCH(AM769,L:L,0))</f>
        <v/>
      </c>
      <c r="AM769" s="35">
        <f t="array" ref="AM769">MAX(IF((B$4:B$1000&lt;=AK769)*(B$4:B$1000&gt;=AJ769),L$4:L$1000, ""))</f>
        <v>0</v>
      </c>
      <c r="AN769" s="32" t="str">
        <f t="shared" si="523"/>
        <v/>
      </c>
      <c r="AO769" s="32" t="str">
        <f t="shared" si="524"/>
        <v/>
      </c>
      <c r="AP769" s="32" t="str">
        <f t="shared" si="525"/>
        <v/>
      </c>
      <c r="AQ769" s="32" t="str">
        <f t="shared" si="526"/>
        <v/>
      </c>
      <c r="AR769" s="32" t="str">
        <f t="shared" si="527"/>
        <v/>
      </c>
      <c r="AS769" s="32" t="str">
        <f t="shared" si="528"/>
        <v/>
      </c>
      <c r="AT769" s="32" t="str">
        <f t="shared" si="529"/>
        <v/>
      </c>
      <c r="AU769" s="34" t="str">
        <f t="shared" si="530"/>
        <v/>
      </c>
      <c r="AV769" s="32" t="str">
        <f t="shared" si="531"/>
        <v/>
      </c>
      <c r="AW769" s="32" t="str">
        <f t="shared" si="532"/>
        <v/>
      </c>
      <c r="AX769" s="32" t="str">
        <f t="shared" si="533"/>
        <v/>
      </c>
      <c r="AY769" s="32" t="str">
        <f t="shared" si="534"/>
        <v/>
      </c>
    </row>
    <row r="770" spans="1:51" x14ac:dyDescent="0.25">
      <c r="A770" s="24" t="str">
        <f t="shared" si="492"/>
        <v/>
      </c>
      <c r="B770" s="24" t="str">
        <f t="shared" si="502"/>
        <v/>
      </c>
      <c r="C770" s="32" t="str">
        <f t="shared" si="493"/>
        <v/>
      </c>
      <c r="D770" s="24" t="str">
        <f t="shared" si="494"/>
        <v/>
      </c>
      <c r="E770" s="24" t="str">
        <f t="shared" si="495"/>
        <v/>
      </c>
      <c r="F770" s="32" t="str">
        <f t="shared" si="496"/>
        <v/>
      </c>
      <c r="G770" s="32" t="str">
        <f t="shared" si="497"/>
        <v/>
      </c>
      <c r="H770" s="32" t="str">
        <f t="shared" ca="1" si="498"/>
        <v/>
      </c>
      <c r="I770" s="32" t="str">
        <f t="shared" ca="1" si="503"/>
        <v/>
      </c>
      <c r="J770" s="32" t="str">
        <f t="shared" si="499"/>
        <v/>
      </c>
      <c r="K770" s="32" t="str">
        <f>IF(ISNUMBER(A770),Profile!$V$25+Profile!$V$24*'Ri-Po'!C770,"")</f>
        <v/>
      </c>
      <c r="L770" s="32" t="str">
        <f t="shared" si="504"/>
        <v/>
      </c>
      <c r="M770" s="32" t="str">
        <f t="shared" si="500"/>
        <v/>
      </c>
      <c r="N770" s="32" t="str">
        <f t="shared" si="501"/>
        <v/>
      </c>
      <c r="O770" s="32" t="str">
        <f t="shared" si="517"/>
        <v/>
      </c>
      <c r="P770" s="32" t="str">
        <f t="shared" si="505"/>
        <v/>
      </c>
      <c r="Q770" s="32" t="str">
        <f t="shared" si="506"/>
        <v/>
      </c>
      <c r="R770" s="32" t="str">
        <f t="shared" si="518"/>
        <v/>
      </c>
      <c r="S770" s="24" t="str">
        <f t="shared" si="519"/>
        <v/>
      </c>
      <c r="T770" s="24" t="str">
        <f t="shared" si="520"/>
        <v/>
      </c>
      <c r="U770" s="24" t="str">
        <f t="shared" si="521"/>
        <v/>
      </c>
      <c r="V770" s="24" t="str">
        <f t="shared" si="522"/>
        <v/>
      </c>
      <c r="W770" s="23" t="str">
        <f t="array" ref="W770">IFERROR(SMALL(IF(S$1:S$1000="BEGIN",ROW(S$1:S$1000)),ROW()-3),"")</f>
        <v/>
      </c>
      <c r="X770" s="23" t="str">
        <f t="array" ref="X770">IFERROR(SMALL(IF(T$1:T$1000="END",ROW(T$1:T$1000)),ROW()-3),"")</f>
        <v/>
      </c>
      <c r="Y770" s="33" t="str">
        <f t="array" ref="Y770">IF(ISNUMBER(W770),MAX(IF((B$4:B$1000&lt;=X770)*(B$4:B$1000&gt;=W770),I$4:I$1000, "")),"")</f>
        <v/>
      </c>
      <c r="Z770" s="33" t="str">
        <f t="shared" si="507"/>
        <v/>
      </c>
      <c r="AA770" s="32" t="str">
        <f t="shared" si="508"/>
        <v/>
      </c>
      <c r="AB770" s="32" t="str">
        <f t="shared" si="509"/>
        <v/>
      </c>
      <c r="AC770" s="32" t="str">
        <f t="shared" si="510"/>
        <v/>
      </c>
      <c r="AD770" s="32" t="str">
        <f t="shared" si="511"/>
        <v/>
      </c>
      <c r="AE770" s="34" t="str">
        <f t="shared" si="512"/>
        <v/>
      </c>
      <c r="AF770" s="32" t="str">
        <f t="shared" si="513"/>
        <v/>
      </c>
      <c r="AG770" s="32" t="str">
        <f t="shared" si="514"/>
        <v/>
      </c>
      <c r="AH770" s="32" t="str">
        <f t="shared" si="515"/>
        <v/>
      </c>
      <c r="AI770" s="35" t="str">
        <f t="shared" si="516"/>
        <v/>
      </c>
      <c r="AJ770" s="23" t="str">
        <f t="array" ref="AJ770">IFERROR(SMALL(IF(U$1:U$1000="BEGIN",ROW(U$1:U$1000)),ROW()-3),"")</f>
        <v/>
      </c>
      <c r="AK770" s="23" t="str">
        <f t="array" ref="AK770">IFERROR(SMALL(IF(V$1:V$1000="END",ROW(V$1:V$1000)),ROW()-3),"")</f>
        <v/>
      </c>
      <c r="AL770" s="24" t="str">
        <f t="array" ref="AL770">IF(AK770="","",MATCH(AM770,L:L,0))</f>
        <v/>
      </c>
      <c r="AM770" s="35">
        <f t="array" ref="AM770">MAX(IF((B$4:B$1000&lt;=AK770)*(B$4:B$1000&gt;=AJ770),L$4:L$1000, ""))</f>
        <v>0</v>
      </c>
      <c r="AN770" s="32" t="str">
        <f t="shared" si="523"/>
        <v/>
      </c>
      <c r="AO770" s="32" t="str">
        <f t="shared" si="524"/>
        <v/>
      </c>
      <c r="AP770" s="32" t="str">
        <f t="shared" si="525"/>
        <v/>
      </c>
      <c r="AQ770" s="32" t="str">
        <f t="shared" si="526"/>
        <v/>
      </c>
      <c r="AR770" s="32" t="str">
        <f t="shared" si="527"/>
        <v/>
      </c>
      <c r="AS770" s="32" t="str">
        <f t="shared" si="528"/>
        <v/>
      </c>
      <c r="AT770" s="32" t="str">
        <f t="shared" si="529"/>
        <v/>
      </c>
      <c r="AU770" s="34" t="str">
        <f t="shared" si="530"/>
        <v/>
      </c>
      <c r="AV770" s="32" t="str">
        <f t="shared" si="531"/>
        <v/>
      </c>
      <c r="AW770" s="32" t="str">
        <f t="shared" si="532"/>
        <v/>
      </c>
      <c r="AX770" s="32" t="str">
        <f t="shared" si="533"/>
        <v/>
      </c>
      <c r="AY770" s="32" t="str">
        <f t="shared" si="534"/>
        <v/>
      </c>
    </row>
    <row r="771" spans="1:51" x14ac:dyDescent="0.25">
      <c r="A771" s="24" t="str">
        <f t="shared" si="492"/>
        <v/>
      </c>
      <c r="B771" s="24" t="str">
        <f t="shared" si="502"/>
        <v/>
      </c>
      <c r="C771" s="32" t="str">
        <f t="shared" si="493"/>
        <v/>
      </c>
      <c r="D771" s="24" t="str">
        <f t="shared" si="494"/>
        <v/>
      </c>
      <c r="E771" s="24" t="str">
        <f t="shared" si="495"/>
        <v/>
      </c>
      <c r="F771" s="32" t="str">
        <f t="shared" si="496"/>
        <v/>
      </c>
      <c r="G771" s="32" t="str">
        <f t="shared" si="497"/>
        <v/>
      </c>
      <c r="H771" s="32" t="str">
        <f t="shared" ca="1" si="498"/>
        <v/>
      </c>
      <c r="I771" s="32" t="str">
        <f t="shared" ca="1" si="503"/>
        <v/>
      </c>
      <c r="J771" s="32" t="str">
        <f t="shared" si="499"/>
        <v/>
      </c>
      <c r="K771" s="32" t="str">
        <f>IF(ISNUMBER(A771),Profile!$V$25+Profile!$V$24*'Ri-Po'!C771,"")</f>
        <v/>
      </c>
      <c r="L771" s="32" t="str">
        <f t="shared" si="504"/>
        <v/>
      </c>
      <c r="M771" s="32" t="str">
        <f t="shared" si="500"/>
        <v/>
      </c>
      <c r="N771" s="32" t="str">
        <f t="shared" si="501"/>
        <v/>
      </c>
      <c r="O771" s="32" t="str">
        <f t="shared" si="517"/>
        <v/>
      </c>
      <c r="P771" s="32" t="str">
        <f t="shared" si="505"/>
        <v/>
      </c>
      <c r="Q771" s="32" t="str">
        <f t="shared" si="506"/>
        <v/>
      </c>
      <c r="R771" s="32" t="str">
        <f t="shared" si="518"/>
        <v/>
      </c>
      <c r="S771" s="24" t="str">
        <f t="shared" si="519"/>
        <v/>
      </c>
      <c r="T771" s="24" t="str">
        <f t="shared" si="520"/>
        <v/>
      </c>
      <c r="U771" s="24" t="str">
        <f t="shared" si="521"/>
        <v/>
      </c>
      <c r="V771" s="24" t="str">
        <f t="shared" si="522"/>
        <v/>
      </c>
      <c r="W771" s="23" t="str">
        <f t="array" ref="W771">IFERROR(SMALL(IF(S$1:S$1000="BEGIN",ROW(S$1:S$1000)),ROW()-3),"")</f>
        <v/>
      </c>
      <c r="X771" s="23" t="str">
        <f t="array" ref="X771">IFERROR(SMALL(IF(T$1:T$1000="END",ROW(T$1:T$1000)),ROW()-3),"")</f>
        <v/>
      </c>
      <c r="Y771" s="33" t="str">
        <f t="array" ref="Y771">IF(ISNUMBER(W771),MAX(IF((B$4:B$1000&lt;=X771)*(B$4:B$1000&gt;=W771),I$4:I$1000, "")),"")</f>
        <v/>
      </c>
      <c r="Z771" s="33" t="str">
        <f t="shared" si="507"/>
        <v/>
      </c>
      <c r="AA771" s="32" t="str">
        <f t="shared" si="508"/>
        <v/>
      </c>
      <c r="AB771" s="32" t="str">
        <f t="shared" si="509"/>
        <v/>
      </c>
      <c r="AC771" s="32" t="str">
        <f t="shared" si="510"/>
        <v/>
      </c>
      <c r="AD771" s="32" t="str">
        <f t="shared" si="511"/>
        <v/>
      </c>
      <c r="AE771" s="34" t="str">
        <f t="shared" si="512"/>
        <v/>
      </c>
      <c r="AF771" s="32" t="str">
        <f t="shared" si="513"/>
        <v/>
      </c>
      <c r="AG771" s="32" t="str">
        <f t="shared" si="514"/>
        <v/>
      </c>
      <c r="AH771" s="32" t="str">
        <f t="shared" si="515"/>
        <v/>
      </c>
      <c r="AI771" s="35" t="str">
        <f t="shared" si="516"/>
        <v/>
      </c>
      <c r="AJ771" s="23" t="str">
        <f t="array" ref="AJ771">IFERROR(SMALL(IF(U$1:U$1000="BEGIN",ROW(U$1:U$1000)),ROW()-3),"")</f>
        <v/>
      </c>
      <c r="AK771" s="23" t="str">
        <f t="array" ref="AK771">IFERROR(SMALL(IF(V$1:V$1000="END",ROW(V$1:V$1000)),ROW()-3),"")</f>
        <v/>
      </c>
      <c r="AL771" s="24" t="str">
        <f t="array" ref="AL771">IF(AK771="","",MATCH(AM771,L:L,0))</f>
        <v/>
      </c>
      <c r="AM771" s="35">
        <f t="array" ref="AM771">MAX(IF((B$4:B$1000&lt;=AK771)*(B$4:B$1000&gt;=AJ771),L$4:L$1000, ""))</f>
        <v>0</v>
      </c>
      <c r="AN771" s="32" t="str">
        <f t="shared" si="523"/>
        <v/>
      </c>
      <c r="AO771" s="32" t="str">
        <f t="shared" si="524"/>
        <v/>
      </c>
      <c r="AP771" s="32" t="str">
        <f t="shared" si="525"/>
        <v/>
      </c>
      <c r="AQ771" s="32" t="str">
        <f t="shared" si="526"/>
        <v/>
      </c>
      <c r="AR771" s="32" t="str">
        <f t="shared" si="527"/>
        <v/>
      </c>
      <c r="AS771" s="32" t="str">
        <f t="shared" si="528"/>
        <v/>
      </c>
      <c r="AT771" s="32" t="str">
        <f t="shared" si="529"/>
        <v/>
      </c>
      <c r="AU771" s="34" t="str">
        <f t="shared" si="530"/>
        <v/>
      </c>
      <c r="AV771" s="32" t="str">
        <f t="shared" si="531"/>
        <v/>
      </c>
      <c r="AW771" s="32" t="str">
        <f t="shared" si="532"/>
        <v/>
      </c>
      <c r="AX771" s="32" t="str">
        <f t="shared" si="533"/>
        <v/>
      </c>
      <c r="AY771" s="32" t="str">
        <f t="shared" si="534"/>
        <v/>
      </c>
    </row>
    <row r="772" spans="1:51" x14ac:dyDescent="0.25">
      <c r="A772" s="24" t="str">
        <f t="shared" ref="A772:A835" si="535">IF(NOT(ISBLANK(INDEX(currentNUM,ROW(A769)))),INDEX(currentNUM,ROW(A769)),"")</f>
        <v/>
      </c>
      <c r="B772" s="24" t="str">
        <f t="shared" si="502"/>
        <v/>
      </c>
      <c r="C772" s="32" t="str">
        <f t="shared" ref="C772:C835" si="536">IF(NOT(A772=""),INDEX(currentSTATION,ROW(C769)),"")</f>
        <v/>
      </c>
      <c r="D772" s="24" t="str">
        <f t="shared" ref="D772:D835" si="537">IF(NOT(ISBLANK(INDEX(currentDESC,ROW(D769)))),INDEX(currentDESC,ROW(D769)),"")</f>
        <v/>
      </c>
      <c r="E772" s="24" t="str">
        <f t="shared" ref="E772:E835" si="538">IF(NOT(ISBLANK(INDEX(currentCMORPH,ROW(E769)))),INDEX(currentCMORPH,ROW(E769)),"")</f>
        <v/>
      </c>
      <c r="F772" s="32" t="str">
        <f t="shared" ref="F772:F835" si="539">IF(NOT(ISBLANK(INDEX(currentTHW,ROW(F769)))),INDEX(currentTHW,ROW(F769)),"")</f>
        <v/>
      </c>
      <c r="G772" s="32" t="str">
        <f t="shared" ref="G772:G835" si="540">IF(NOT(ISBLANK(INDEX(currentWS,ROW(G769)))),INDEX(currentWS,ROW(G769)),"")</f>
        <v/>
      </c>
      <c r="H772" s="32" t="str">
        <f t="shared" ref="H772:H835" ca="1" si="541">IF(NOT(OR(ISBLANK(INDEX(currentINTERPWS,ROW(H769))),INDEX(currentINTERPWS,ROW(H769))=0)),INDEX(currentINTERPWS,ROW(H769)),"")</f>
        <v/>
      </c>
      <c r="I772" s="32" t="str">
        <f t="shared" ca="1" si="503"/>
        <v/>
      </c>
      <c r="J772" s="32" t="str">
        <f t="shared" ref="J772:J835" si="542">IF(NOT(ISBLANK(INDEX(currentBKF,ROW(G769)))),INDEX(currentBKF,ROW(G769)),"")</f>
        <v/>
      </c>
      <c r="K772" s="32" t="str">
        <f>IF(ISNUMBER(A772),Profile!$V$25+Profile!$V$24*'Ri-Po'!C772,"")</f>
        <v/>
      </c>
      <c r="L772" s="32" t="str">
        <f t="shared" si="504"/>
        <v/>
      </c>
      <c r="M772" s="32" t="str">
        <f t="shared" ref="M772:M835" si="543">IF(NOT(ISBLANK(INDEX(currentTOB,ROW(H769)))),INDEX(currentTOB,ROW(H769)),"")</f>
        <v/>
      </c>
      <c r="N772" s="32" t="str">
        <f t="shared" ref="N772:N835" si="544">IF(ISNUMBER(A772),INDEX(currentINTTOB,ROW(I769)),"")</f>
        <v/>
      </c>
      <c r="O772" s="32" t="str">
        <f t="shared" si="517"/>
        <v/>
      </c>
      <c r="P772" s="32" t="str">
        <f t="shared" si="505"/>
        <v/>
      </c>
      <c r="Q772" s="32" t="str">
        <f t="shared" si="506"/>
        <v/>
      </c>
      <c r="R772" s="32" t="str">
        <f t="shared" si="518"/>
        <v/>
      </c>
      <c r="S772" s="24" t="str">
        <f t="shared" si="519"/>
        <v/>
      </c>
      <c r="T772" s="24" t="str">
        <f t="shared" si="520"/>
        <v/>
      </c>
      <c r="U772" s="24" t="str">
        <f t="shared" si="521"/>
        <v/>
      </c>
      <c r="V772" s="24" t="str">
        <f t="shared" si="522"/>
        <v/>
      </c>
      <c r="W772" s="23" t="str">
        <f t="array" ref="W772">IFERROR(SMALL(IF(S$1:S$1000="BEGIN",ROW(S$1:S$1000)),ROW()-3),"")</f>
        <v/>
      </c>
      <c r="X772" s="23" t="str">
        <f t="array" ref="X772">IFERROR(SMALL(IF(T$1:T$1000="END",ROW(T$1:T$1000)),ROW()-3),"")</f>
        <v/>
      </c>
      <c r="Y772" s="33" t="str">
        <f t="array" ref="Y772">IF(ISNUMBER(W772),MAX(IF((B$4:B$1000&lt;=X772)*(B$4:B$1000&gt;=W772),I$4:I$1000, "")),"")</f>
        <v/>
      </c>
      <c r="Z772" s="33" t="str">
        <f t="shared" si="507"/>
        <v/>
      </c>
      <c r="AA772" s="32" t="str">
        <f t="shared" si="508"/>
        <v/>
      </c>
      <c r="AB772" s="32" t="str">
        <f t="shared" si="509"/>
        <v/>
      </c>
      <c r="AC772" s="32" t="str">
        <f t="shared" si="510"/>
        <v/>
      </c>
      <c r="AD772" s="32" t="str">
        <f t="shared" si="511"/>
        <v/>
      </c>
      <c r="AE772" s="34" t="str">
        <f t="shared" si="512"/>
        <v/>
      </c>
      <c r="AF772" s="32" t="str">
        <f t="shared" si="513"/>
        <v/>
      </c>
      <c r="AG772" s="32" t="str">
        <f t="shared" si="514"/>
        <v/>
      </c>
      <c r="AH772" s="32" t="str">
        <f t="shared" si="515"/>
        <v/>
      </c>
      <c r="AI772" s="35" t="str">
        <f t="shared" si="516"/>
        <v/>
      </c>
      <c r="AJ772" s="23" t="str">
        <f t="array" ref="AJ772">IFERROR(SMALL(IF(U$1:U$1000="BEGIN",ROW(U$1:U$1000)),ROW()-3),"")</f>
        <v/>
      </c>
      <c r="AK772" s="23" t="str">
        <f t="array" ref="AK772">IFERROR(SMALL(IF(V$1:V$1000="END",ROW(V$1:V$1000)),ROW()-3),"")</f>
        <v/>
      </c>
      <c r="AL772" s="24" t="str">
        <f t="array" ref="AL772">IF(AK772="","",MATCH(AM772,L:L,0))</f>
        <v/>
      </c>
      <c r="AM772" s="35">
        <f t="array" ref="AM772">MAX(IF((B$4:B$1000&lt;=AK772)*(B$4:B$1000&gt;=AJ772),L$4:L$1000, ""))</f>
        <v>0</v>
      </c>
      <c r="AN772" s="32" t="str">
        <f t="shared" si="523"/>
        <v/>
      </c>
      <c r="AO772" s="32" t="str">
        <f t="shared" si="524"/>
        <v/>
      </c>
      <c r="AP772" s="32" t="str">
        <f t="shared" si="525"/>
        <v/>
      </c>
      <c r="AQ772" s="32" t="str">
        <f t="shared" si="526"/>
        <v/>
      </c>
      <c r="AR772" s="32" t="str">
        <f t="shared" si="527"/>
        <v/>
      </c>
      <c r="AS772" s="32" t="str">
        <f t="shared" si="528"/>
        <v/>
      </c>
      <c r="AT772" s="32" t="str">
        <f t="shared" si="529"/>
        <v/>
      </c>
      <c r="AU772" s="34" t="str">
        <f t="shared" si="530"/>
        <v/>
      </c>
      <c r="AV772" s="32" t="str">
        <f t="shared" si="531"/>
        <v/>
      </c>
      <c r="AW772" s="32" t="str">
        <f t="shared" si="532"/>
        <v/>
      </c>
      <c r="AX772" s="32" t="str">
        <f t="shared" si="533"/>
        <v/>
      </c>
      <c r="AY772" s="32" t="str">
        <f t="shared" si="534"/>
        <v/>
      </c>
    </row>
    <row r="773" spans="1:51" x14ac:dyDescent="0.25">
      <c r="A773" s="24" t="str">
        <f t="shared" si="535"/>
        <v/>
      </c>
      <c r="B773" s="24" t="str">
        <f t="shared" ref="B773:B836" si="545">IF(NOT(A773=""),ROW(B773),"")</f>
        <v/>
      </c>
      <c r="C773" s="32" t="str">
        <f t="shared" si="536"/>
        <v/>
      </c>
      <c r="D773" s="24" t="str">
        <f t="shared" si="537"/>
        <v/>
      </c>
      <c r="E773" s="24" t="str">
        <f t="shared" si="538"/>
        <v/>
      </c>
      <c r="F773" s="32" t="str">
        <f t="shared" si="539"/>
        <v/>
      </c>
      <c r="G773" s="32" t="str">
        <f t="shared" si="540"/>
        <v/>
      </c>
      <c r="H773" s="32" t="str">
        <f t="shared" ca="1" si="541"/>
        <v/>
      </c>
      <c r="I773" s="32" t="str">
        <f t="shared" ref="I773:I836" ca="1" si="546">IFERROR(IF(H773-F773&gt;=0,H773-F773,"NEG"),"")</f>
        <v/>
      </c>
      <c r="J773" s="32" t="str">
        <f t="shared" si="542"/>
        <v/>
      </c>
      <c r="K773" s="32" t="str">
        <f>IF(ISNUMBER(A773),Profile!$V$25+Profile!$V$24*'Ri-Po'!C773,"")</f>
        <v/>
      </c>
      <c r="L773" s="32" t="str">
        <f t="shared" ref="L773:L836" si="547">IFERROR(K773-F773,"")</f>
        <v/>
      </c>
      <c r="M773" s="32" t="str">
        <f t="shared" si="543"/>
        <v/>
      </c>
      <c r="N773" s="32" t="str">
        <f t="shared" si="544"/>
        <v/>
      </c>
      <c r="O773" s="32" t="str">
        <f t="shared" si="517"/>
        <v/>
      </c>
      <c r="P773" s="32" t="str">
        <f t="shared" ref="P773:P836" si="548">IF(ISNUMBER(A773),K773-F773,"")</f>
        <v/>
      </c>
      <c r="Q773" s="32" t="str">
        <f t="shared" ref="Q773:Q836" si="549">IF(ISNUMBER(A773),N773-F773,"")</f>
        <v/>
      </c>
      <c r="R773" s="32" t="str">
        <f t="shared" si="518"/>
        <v/>
      </c>
      <c r="S773" s="24" t="str">
        <f t="shared" si="519"/>
        <v/>
      </c>
      <c r="T773" s="24" t="str">
        <f t="shared" si="520"/>
        <v/>
      </c>
      <c r="U773" s="24" t="str">
        <f t="shared" si="521"/>
        <v/>
      </c>
      <c r="V773" s="24" t="str">
        <f t="shared" si="522"/>
        <v/>
      </c>
      <c r="W773" s="23" t="str">
        <f t="array" ref="W773">IFERROR(SMALL(IF(S$1:S$1000="BEGIN",ROW(S$1:S$1000)),ROW()-3),"")</f>
        <v/>
      </c>
      <c r="X773" s="23" t="str">
        <f t="array" ref="X773">IFERROR(SMALL(IF(T$1:T$1000="END",ROW(T$1:T$1000)),ROW()-3),"")</f>
        <v/>
      </c>
      <c r="Y773" s="33" t="str">
        <f t="array" ref="Y773">IF(ISNUMBER(W773),MAX(IF((B$4:B$1000&lt;=X773)*(B$4:B$1000&gt;=W773),I$4:I$1000, "")),"")</f>
        <v/>
      </c>
      <c r="Z773" s="33" t="str">
        <f t="shared" ref="Z773:Z836" si="550">IFERROR(INDEX(C:C,W773),"")</f>
        <v/>
      </c>
      <c r="AA773" s="32" t="str">
        <f t="shared" ref="AA773:AA836" si="551">IFERROR(INDEX(C:C,X773),"")</f>
        <v/>
      </c>
      <c r="AB773" s="32" t="str">
        <f t="shared" ref="AB773:AB836" si="552">IFERROR(AA773-Z773,"")</f>
        <v/>
      </c>
      <c r="AC773" s="32" t="str">
        <f t="shared" ref="AC773:AC836" si="553">IFERROR(INDEX(H:H,W773),"")</f>
        <v/>
      </c>
      <c r="AD773" s="32" t="str">
        <f t="shared" ref="AD773:AD836" si="554">IFERROR(INDEX(H:H,X773),"")</f>
        <v/>
      </c>
      <c r="AE773" s="34" t="str">
        <f t="shared" ref="AE773:AE836" si="555">IFERROR((AC773-AD773)/(AB773),"")</f>
        <v/>
      </c>
      <c r="AF773" s="32" t="str">
        <f t="shared" ref="AF773:AF836" si="556">IF(ISNUMBER(Z773),INDEX($Q$1:$Q$1000,W773),"")</f>
        <v/>
      </c>
      <c r="AG773" s="32" t="str">
        <f t="shared" ref="AG773:AG836" si="557">IF(ISNUMBER(Z773),INDEX($P$1:$P$1000,W773),"")</f>
        <v/>
      </c>
      <c r="AH773" s="32" t="str">
        <f t="shared" ref="AH773:AH836" si="558">IF(ISNUMBER(Z773),AF773/AG773,"")</f>
        <v/>
      </c>
      <c r="AI773" s="35" t="str">
        <f t="shared" ref="AI773:AI836" si="559">IFERROR(AE773/BB$19,"")</f>
        <v/>
      </c>
      <c r="AJ773" s="23" t="str">
        <f t="array" ref="AJ773">IFERROR(SMALL(IF(U$1:U$1000="BEGIN",ROW(U$1:U$1000)),ROW()-3),"")</f>
        <v/>
      </c>
      <c r="AK773" s="23" t="str">
        <f t="array" ref="AK773">IFERROR(SMALL(IF(V$1:V$1000="END",ROW(V$1:V$1000)),ROW()-3),"")</f>
        <v/>
      </c>
      <c r="AL773" s="24" t="str">
        <f t="array" ref="AL773">IF(AK773="","",MATCH(AM773,L:L,0))</f>
        <v/>
      </c>
      <c r="AM773" s="35">
        <f t="array" ref="AM773">MAX(IF((B$4:B$1000&lt;=AK773)*(B$4:B$1000&gt;=AJ773),L$4:L$1000, ""))</f>
        <v>0</v>
      </c>
      <c r="AN773" s="32" t="str">
        <f t="shared" si="523"/>
        <v/>
      </c>
      <c r="AO773" s="32" t="str">
        <f t="shared" si="524"/>
        <v/>
      </c>
      <c r="AP773" s="32" t="str">
        <f t="shared" si="525"/>
        <v/>
      </c>
      <c r="AQ773" s="32" t="str">
        <f t="shared" si="526"/>
        <v/>
      </c>
      <c r="AR773" s="32" t="str">
        <f t="shared" si="527"/>
        <v/>
      </c>
      <c r="AS773" s="32" t="str">
        <f t="shared" si="528"/>
        <v/>
      </c>
      <c r="AT773" s="32" t="str">
        <f t="shared" si="529"/>
        <v/>
      </c>
      <c r="AU773" s="34" t="str">
        <f t="shared" si="530"/>
        <v/>
      </c>
      <c r="AV773" s="32" t="str">
        <f t="shared" si="531"/>
        <v/>
      </c>
      <c r="AW773" s="32" t="str">
        <f t="shared" si="532"/>
        <v/>
      </c>
      <c r="AX773" s="32" t="str">
        <f t="shared" si="533"/>
        <v/>
      </c>
      <c r="AY773" s="32" t="str">
        <f t="shared" si="534"/>
        <v/>
      </c>
    </row>
    <row r="774" spans="1:51" x14ac:dyDescent="0.25">
      <c r="A774" s="24" t="str">
        <f t="shared" si="535"/>
        <v/>
      </c>
      <c r="B774" s="24" t="str">
        <f t="shared" si="545"/>
        <v/>
      </c>
      <c r="C774" s="32" t="str">
        <f t="shared" si="536"/>
        <v/>
      </c>
      <c r="D774" s="24" t="str">
        <f t="shared" si="537"/>
        <v/>
      </c>
      <c r="E774" s="24" t="str">
        <f t="shared" si="538"/>
        <v/>
      </c>
      <c r="F774" s="32" t="str">
        <f t="shared" si="539"/>
        <v/>
      </c>
      <c r="G774" s="32" t="str">
        <f t="shared" si="540"/>
        <v/>
      </c>
      <c r="H774" s="32" t="str">
        <f t="shared" ca="1" si="541"/>
        <v/>
      </c>
      <c r="I774" s="32" t="str">
        <f t="shared" ca="1" si="546"/>
        <v/>
      </c>
      <c r="J774" s="32" t="str">
        <f t="shared" si="542"/>
        <v/>
      </c>
      <c r="K774" s="32" t="str">
        <f>IF(ISNUMBER(A774),Profile!$V$25+Profile!$V$24*'Ri-Po'!C774,"")</f>
        <v/>
      </c>
      <c r="L774" s="32" t="str">
        <f t="shared" si="547"/>
        <v/>
      </c>
      <c r="M774" s="32" t="str">
        <f t="shared" si="543"/>
        <v/>
      </c>
      <c r="N774" s="32" t="str">
        <f t="shared" si="544"/>
        <v/>
      </c>
      <c r="O774" s="32" t="str">
        <f t="shared" ref="O774:O837" si="560">IF(AND(ISNUMBER(G774),ISNUMBER(J774)),J774-G774,"")</f>
        <v/>
      </c>
      <c r="P774" s="32" t="str">
        <f t="shared" si="548"/>
        <v/>
      </c>
      <c r="Q774" s="32" t="str">
        <f t="shared" si="549"/>
        <v/>
      </c>
      <c r="R774" s="32" t="str">
        <f t="shared" ref="R774:R837" si="561">IF(ISNUMBER(Q774),Q774/P774,"")</f>
        <v/>
      </c>
      <c r="S774" s="24" t="str">
        <f t="shared" ref="S774:S837" si="562">IF(ISNUMBER(SEARCH("bri",E774)),"BEGIN","")</f>
        <v/>
      </c>
      <c r="T774" s="24" t="str">
        <f t="shared" ref="T774:T837" si="563">IF(ISNUMBER(SEARCH("eri",E774)),"END","")</f>
        <v/>
      </c>
      <c r="U774" s="24" t="str">
        <f t="shared" ref="U774:U837" si="564">IF(ISNUMBER(SEARCH("bpo",E774)),"BEGIN","")</f>
        <v/>
      </c>
      <c r="V774" s="24" t="str">
        <f t="shared" ref="V774:V837" si="565">IF(ISNUMBER(SEARCH("epo",E774)),"END","")</f>
        <v/>
      </c>
      <c r="W774" s="23" t="str">
        <f t="array" ref="W774">IFERROR(SMALL(IF(S$1:S$1000="BEGIN",ROW(S$1:S$1000)),ROW()-3),"")</f>
        <v/>
      </c>
      <c r="X774" s="23" t="str">
        <f t="array" ref="X774">IFERROR(SMALL(IF(T$1:T$1000="END",ROW(T$1:T$1000)),ROW()-3),"")</f>
        <v/>
      </c>
      <c r="Y774" s="33" t="str">
        <f t="array" ref="Y774">IF(ISNUMBER(W774),MAX(IF((B$4:B$1000&lt;=X774)*(B$4:B$1000&gt;=W774),I$4:I$1000, "")),"")</f>
        <v/>
      </c>
      <c r="Z774" s="33" t="str">
        <f t="shared" si="550"/>
        <v/>
      </c>
      <c r="AA774" s="32" t="str">
        <f t="shared" si="551"/>
        <v/>
      </c>
      <c r="AB774" s="32" t="str">
        <f t="shared" si="552"/>
        <v/>
      </c>
      <c r="AC774" s="32" t="str">
        <f t="shared" si="553"/>
        <v/>
      </c>
      <c r="AD774" s="32" t="str">
        <f t="shared" si="554"/>
        <v/>
      </c>
      <c r="AE774" s="34" t="str">
        <f t="shared" si="555"/>
        <v/>
      </c>
      <c r="AF774" s="32" t="str">
        <f t="shared" si="556"/>
        <v/>
      </c>
      <c r="AG774" s="32" t="str">
        <f t="shared" si="557"/>
        <v/>
      </c>
      <c r="AH774" s="32" t="str">
        <f t="shared" si="558"/>
        <v/>
      </c>
      <c r="AI774" s="35" t="str">
        <f t="shared" si="559"/>
        <v/>
      </c>
      <c r="AJ774" s="23" t="str">
        <f t="array" ref="AJ774">IFERROR(SMALL(IF(U$1:U$1000="BEGIN",ROW(U$1:U$1000)),ROW()-3),"")</f>
        <v/>
      </c>
      <c r="AK774" s="23" t="str">
        <f t="array" ref="AK774">IFERROR(SMALL(IF(V$1:V$1000="END",ROW(V$1:V$1000)),ROW()-3),"")</f>
        <v/>
      </c>
      <c r="AL774" s="24" t="str">
        <f t="array" ref="AL774">IF(AK774="","",MATCH(AM774,L:L,0))</f>
        <v/>
      </c>
      <c r="AM774" s="35">
        <f t="array" ref="AM774">MAX(IF((B$4:B$1000&lt;=AK774)*(B$4:B$1000&gt;=AJ774),L$4:L$1000, ""))</f>
        <v>0</v>
      </c>
      <c r="AN774" s="32" t="str">
        <f t="shared" si="523"/>
        <v/>
      </c>
      <c r="AO774" s="32" t="str">
        <f t="shared" si="524"/>
        <v/>
      </c>
      <c r="AP774" s="32" t="str">
        <f t="shared" si="525"/>
        <v/>
      </c>
      <c r="AQ774" s="32" t="str">
        <f t="shared" si="526"/>
        <v/>
      </c>
      <c r="AR774" s="32" t="str">
        <f t="shared" si="527"/>
        <v/>
      </c>
      <c r="AS774" s="32" t="str">
        <f t="shared" si="528"/>
        <v/>
      </c>
      <c r="AT774" s="32" t="str">
        <f t="shared" si="529"/>
        <v/>
      </c>
      <c r="AU774" s="34" t="str">
        <f t="shared" si="530"/>
        <v/>
      </c>
      <c r="AV774" s="32" t="str">
        <f t="shared" si="531"/>
        <v/>
      </c>
      <c r="AW774" s="32" t="str">
        <f t="shared" si="532"/>
        <v/>
      </c>
      <c r="AX774" s="32" t="str">
        <f t="shared" si="533"/>
        <v/>
      </c>
      <c r="AY774" s="32" t="str">
        <f t="shared" si="534"/>
        <v/>
      </c>
    </row>
    <row r="775" spans="1:51" x14ac:dyDescent="0.25">
      <c r="A775" s="24" t="str">
        <f t="shared" si="535"/>
        <v/>
      </c>
      <c r="B775" s="24" t="str">
        <f t="shared" si="545"/>
        <v/>
      </c>
      <c r="C775" s="32" t="str">
        <f t="shared" si="536"/>
        <v/>
      </c>
      <c r="D775" s="24" t="str">
        <f t="shared" si="537"/>
        <v/>
      </c>
      <c r="E775" s="24" t="str">
        <f t="shared" si="538"/>
        <v/>
      </c>
      <c r="F775" s="32" t="str">
        <f t="shared" si="539"/>
        <v/>
      </c>
      <c r="G775" s="32" t="str">
        <f t="shared" si="540"/>
        <v/>
      </c>
      <c r="H775" s="32" t="str">
        <f t="shared" ca="1" si="541"/>
        <v/>
      </c>
      <c r="I775" s="32" t="str">
        <f t="shared" ca="1" si="546"/>
        <v/>
      </c>
      <c r="J775" s="32" t="str">
        <f t="shared" si="542"/>
        <v/>
      </c>
      <c r="K775" s="32" t="str">
        <f>IF(ISNUMBER(A775),Profile!$V$25+Profile!$V$24*'Ri-Po'!C775,"")</f>
        <v/>
      </c>
      <c r="L775" s="32" t="str">
        <f t="shared" si="547"/>
        <v/>
      </c>
      <c r="M775" s="32" t="str">
        <f t="shared" si="543"/>
        <v/>
      </c>
      <c r="N775" s="32" t="str">
        <f t="shared" si="544"/>
        <v/>
      </c>
      <c r="O775" s="32" t="str">
        <f t="shared" si="560"/>
        <v/>
      </c>
      <c r="P775" s="32" t="str">
        <f t="shared" si="548"/>
        <v/>
      </c>
      <c r="Q775" s="32" t="str">
        <f t="shared" si="549"/>
        <v/>
      </c>
      <c r="R775" s="32" t="str">
        <f t="shared" si="561"/>
        <v/>
      </c>
      <c r="S775" s="24" t="str">
        <f t="shared" si="562"/>
        <v/>
      </c>
      <c r="T775" s="24" t="str">
        <f t="shared" si="563"/>
        <v/>
      </c>
      <c r="U775" s="24" t="str">
        <f t="shared" si="564"/>
        <v/>
      </c>
      <c r="V775" s="24" t="str">
        <f t="shared" si="565"/>
        <v/>
      </c>
      <c r="W775" s="23" t="str">
        <f t="array" ref="W775">IFERROR(SMALL(IF(S$1:S$1000="BEGIN",ROW(S$1:S$1000)),ROW()-3),"")</f>
        <v/>
      </c>
      <c r="X775" s="23" t="str">
        <f t="array" ref="X775">IFERROR(SMALL(IF(T$1:T$1000="END",ROW(T$1:T$1000)),ROW()-3),"")</f>
        <v/>
      </c>
      <c r="Y775" s="33" t="str">
        <f t="array" ref="Y775">IF(ISNUMBER(W775),MAX(IF((B$4:B$1000&lt;=X775)*(B$4:B$1000&gt;=W775),I$4:I$1000, "")),"")</f>
        <v/>
      </c>
      <c r="Z775" s="33" t="str">
        <f t="shared" si="550"/>
        <v/>
      </c>
      <c r="AA775" s="32" t="str">
        <f t="shared" si="551"/>
        <v/>
      </c>
      <c r="AB775" s="32" t="str">
        <f t="shared" si="552"/>
        <v/>
      </c>
      <c r="AC775" s="32" t="str">
        <f t="shared" si="553"/>
        <v/>
      </c>
      <c r="AD775" s="32" t="str">
        <f t="shared" si="554"/>
        <v/>
      </c>
      <c r="AE775" s="34" t="str">
        <f t="shared" si="555"/>
        <v/>
      </c>
      <c r="AF775" s="32" t="str">
        <f t="shared" si="556"/>
        <v/>
      </c>
      <c r="AG775" s="32" t="str">
        <f t="shared" si="557"/>
        <v/>
      </c>
      <c r="AH775" s="32" t="str">
        <f t="shared" si="558"/>
        <v/>
      </c>
      <c r="AI775" s="35" t="str">
        <f t="shared" si="559"/>
        <v/>
      </c>
      <c r="AJ775" s="23" t="str">
        <f t="array" ref="AJ775">IFERROR(SMALL(IF(U$1:U$1000="BEGIN",ROW(U$1:U$1000)),ROW()-3),"")</f>
        <v/>
      </c>
      <c r="AK775" s="23" t="str">
        <f t="array" ref="AK775">IFERROR(SMALL(IF(V$1:V$1000="END",ROW(V$1:V$1000)),ROW()-3),"")</f>
        <v/>
      </c>
      <c r="AL775" s="24" t="str">
        <f t="array" ref="AL775">IF(AK775="","",MATCH(AM775,L:L,0))</f>
        <v/>
      </c>
      <c r="AM775" s="35">
        <f t="array" ref="AM775">MAX(IF((B$4:B$1000&lt;=AK775)*(B$4:B$1000&gt;=AJ775),L$4:L$1000, ""))</f>
        <v>0</v>
      </c>
      <c r="AN775" s="32" t="str">
        <f t="shared" si="523"/>
        <v/>
      </c>
      <c r="AO775" s="32" t="str">
        <f t="shared" si="524"/>
        <v/>
      </c>
      <c r="AP775" s="32" t="str">
        <f t="shared" si="525"/>
        <v/>
      </c>
      <c r="AQ775" s="32" t="str">
        <f t="shared" si="526"/>
        <v/>
      </c>
      <c r="AR775" s="32" t="str">
        <f t="shared" si="527"/>
        <v/>
      </c>
      <c r="AS775" s="32" t="str">
        <f t="shared" si="528"/>
        <v/>
      </c>
      <c r="AT775" s="32" t="str">
        <f t="shared" si="529"/>
        <v/>
      </c>
      <c r="AU775" s="34" t="str">
        <f t="shared" si="530"/>
        <v/>
      </c>
      <c r="AV775" s="32" t="str">
        <f t="shared" si="531"/>
        <v/>
      </c>
      <c r="AW775" s="32" t="str">
        <f t="shared" si="532"/>
        <v/>
      </c>
      <c r="AX775" s="32" t="str">
        <f t="shared" si="533"/>
        <v/>
      </c>
      <c r="AY775" s="32" t="str">
        <f t="shared" si="534"/>
        <v/>
      </c>
    </row>
    <row r="776" spans="1:51" x14ac:dyDescent="0.25">
      <c r="A776" s="24" t="str">
        <f t="shared" si="535"/>
        <v/>
      </c>
      <c r="B776" s="24" t="str">
        <f t="shared" si="545"/>
        <v/>
      </c>
      <c r="C776" s="32" t="str">
        <f t="shared" si="536"/>
        <v/>
      </c>
      <c r="D776" s="24" t="str">
        <f t="shared" si="537"/>
        <v/>
      </c>
      <c r="E776" s="24" t="str">
        <f t="shared" si="538"/>
        <v/>
      </c>
      <c r="F776" s="32" t="str">
        <f t="shared" si="539"/>
        <v/>
      </c>
      <c r="G776" s="32" t="str">
        <f t="shared" si="540"/>
        <v/>
      </c>
      <c r="H776" s="32" t="str">
        <f t="shared" ca="1" si="541"/>
        <v/>
      </c>
      <c r="I776" s="32" t="str">
        <f t="shared" ca="1" si="546"/>
        <v/>
      </c>
      <c r="J776" s="32" t="str">
        <f t="shared" si="542"/>
        <v/>
      </c>
      <c r="K776" s="32" t="str">
        <f>IF(ISNUMBER(A776),Profile!$V$25+Profile!$V$24*'Ri-Po'!C776,"")</f>
        <v/>
      </c>
      <c r="L776" s="32" t="str">
        <f t="shared" si="547"/>
        <v/>
      </c>
      <c r="M776" s="32" t="str">
        <f t="shared" si="543"/>
        <v/>
      </c>
      <c r="N776" s="32" t="str">
        <f t="shared" si="544"/>
        <v/>
      </c>
      <c r="O776" s="32" t="str">
        <f t="shared" si="560"/>
        <v/>
      </c>
      <c r="P776" s="32" t="str">
        <f t="shared" si="548"/>
        <v/>
      </c>
      <c r="Q776" s="32" t="str">
        <f t="shared" si="549"/>
        <v/>
      </c>
      <c r="R776" s="32" t="str">
        <f t="shared" si="561"/>
        <v/>
      </c>
      <c r="S776" s="24" t="str">
        <f t="shared" si="562"/>
        <v/>
      </c>
      <c r="T776" s="24" t="str">
        <f t="shared" si="563"/>
        <v/>
      </c>
      <c r="U776" s="24" t="str">
        <f t="shared" si="564"/>
        <v/>
      </c>
      <c r="V776" s="24" t="str">
        <f t="shared" si="565"/>
        <v/>
      </c>
      <c r="W776" s="23" t="str">
        <f t="array" ref="W776">IFERROR(SMALL(IF(S$1:S$1000="BEGIN",ROW(S$1:S$1000)),ROW()-3),"")</f>
        <v/>
      </c>
      <c r="X776" s="23" t="str">
        <f t="array" ref="X776">IFERROR(SMALL(IF(T$1:T$1000="END",ROW(T$1:T$1000)),ROW()-3),"")</f>
        <v/>
      </c>
      <c r="Y776" s="33" t="str">
        <f t="array" ref="Y776">IF(ISNUMBER(W776),MAX(IF((B$4:B$1000&lt;=X776)*(B$4:B$1000&gt;=W776),I$4:I$1000, "")),"")</f>
        <v/>
      </c>
      <c r="Z776" s="33" t="str">
        <f t="shared" si="550"/>
        <v/>
      </c>
      <c r="AA776" s="32" t="str">
        <f t="shared" si="551"/>
        <v/>
      </c>
      <c r="AB776" s="32" t="str">
        <f t="shared" si="552"/>
        <v/>
      </c>
      <c r="AC776" s="32" t="str">
        <f t="shared" si="553"/>
        <v/>
      </c>
      <c r="AD776" s="32" t="str">
        <f t="shared" si="554"/>
        <v/>
      </c>
      <c r="AE776" s="34" t="str">
        <f t="shared" si="555"/>
        <v/>
      </c>
      <c r="AF776" s="32" t="str">
        <f t="shared" si="556"/>
        <v/>
      </c>
      <c r="AG776" s="32" t="str">
        <f t="shared" si="557"/>
        <v/>
      </c>
      <c r="AH776" s="32" t="str">
        <f t="shared" si="558"/>
        <v/>
      </c>
      <c r="AI776" s="35" t="str">
        <f t="shared" si="559"/>
        <v/>
      </c>
      <c r="AJ776" s="23" t="str">
        <f t="array" ref="AJ776">IFERROR(SMALL(IF(U$1:U$1000="BEGIN",ROW(U$1:U$1000)),ROW()-3),"")</f>
        <v/>
      </c>
      <c r="AK776" s="23" t="str">
        <f t="array" ref="AK776">IFERROR(SMALL(IF(V$1:V$1000="END",ROW(V$1:V$1000)),ROW()-3),"")</f>
        <v/>
      </c>
      <c r="AL776" s="24" t="str">
        <f t="array" ref="AL776">IF(AK776="","",MATCH(AM776,L:L,0))</f>
        <v/>
      </c>
      <c r="AM776" s="35">
        <f t="array" ref="AM776">MAX(IF((B$4:B$1000&lt;=AK776)*(B$4:B$1000&gt;=AJ776),L$4:L$1000, ""))</f>
        <v>0</v>
      </c>
      <c r="AN776" s="32" t="str">
        <f t="shared" si="523"/>
        <v/>
      </c>
      <c r="AO776" s="32" t="str">
        <f t="shared" si="524"/>
        <v/>
      </c>
      <c r="AP776" s="32" t="str">
        <f t="shared" si="525"/>
        <v/>
      </c>
      <c r="AQ776" s="32" t="str">
        <f t="shared" si="526"/>
        <v/>
      </c>
      <c r="AR776" s="32" t="str">
        <f t="shared" si="527"/>
        <v/>
      </c>
      <c r="AS776" s="32" t="str">
        <f t="shared" si="528"/>
        <v/>
      </c>
      <c r="AT776" s="32" t="str">
        <f t="shared" si="529"/>
        <v/>
      </c>
      <c r="AU776" s="34" t="str">
        <f t="shared" si="530"/>
        <v/>
      </c>
      <c r="AV776" s="32" t="str">
        <f t="shared" si="531"/>
        <v/>
      </c>
      <c r="AW776" s="32" t="str">
        <f t="shared" si="532"/>
        <v/>
      </c>
      <c r="AX776" s="32" t="str">
        <f t="shared" si="533"/>
        <v/>
      </c>
      <c r="AY776" s="32" t="str">
        <f t="shared" si="534"/>
        <v/>
      </c>
    </row>
    <row r="777" spans="1:51" x14ac:dyDescent="0.25">
      <c r="A777" s="24" t="str">
        <f t="shared" si="535"/>
        <v/>
      </c>
      <c r="B777" s="24" t="str">
        <f t="shared" si="545"/>
        <v/>
      </c>
      <c r="C777" s="32" t="str">
        <f t="shared" si="536"/>
        <v/>
      </c>
      <c r="D777" s="24" t="str">
        <f t="shared" si="537"/>
        <v/>
      </c>
      <c r="E777" s="24" t="str">
        <f t="shared" si="538"/>
        <v/>
      </c>
      <c r="F777" s="32" t="str">
        <f t="shared" si="539"/>
        <v/>
      </c>
      <c r="G777" s="32" t="str">
        <f t="shared" si="540"/>
        <v/>
      </c>
      <c r="H777" s="32" t="str">
        <f t="shared" ca="1" si="541"/>
        <v/>
      </c>
      <c r="I777" s="32" t="str">
        <f t="shared" ca="1" si="546"/>
        <v/>
      </c>
      <c r="J777" s="32" t="str">
        <f t="shared" si="542"/>
        <v/>
      </c>
      <c r="K777" s="32" t="str">
        <f>IF(ISNUMBER(A777),Profile!$V$25+Profile!$V$24*'Ri-Po'!C777,"")</f>
        <v/>
      </c>
      <c r="L777" s="32" t="str">
        <f t="shared" si="547"/>
        <v/>
      </c>
      <c r="M777" s="32" t="str">
        <f t="shared" si="543"/>
        <v/>
      </c>
      <c r="N777" s="32" t="str">
        <f t="shared" si="544"/>
        <v/>
      </c>
      <c r="O777" s="32" t="str">
        <f t="shared" si="560"/>
        <v/>
      </c>
      <c r="P777" s="32" t="str">
        <f t="shared" si="548"/>
        <v/>
      </c>
      <c r="Q777" s="32" t="str">
        <f t="shared" si="549"/>
        <v/>
      </c>
      <c r="R777" s="32" t="str">
        <f t="shared" si="561"/>
        <v/>
      </c>
      <c r="S777" s="24" t="str">
        <f t="shared" si="562"/>
        <v/>
      </c>
      <c r="T777" s="24" t="str">
        <f t="shared" si="563"/>
        <v/>
      </c>
      <c r="U777" s="24" t="str">
        <f t="shared" si="564"/>
        <v/>
      </c>
      <c r="V777" s="24" t="str">
        <f t="shared" si="565"/>
        <v/>
      </c>
      <c r="W777" s="23" t="str">
        <f t="array" ref="W777">IFERROR(SMALL(IF(S$1:S$1000="BEGIN",ROW(S$1:S$1000)),ROW()-3),"")</f>
        <v/>
      </c>
      <c r="X777" s="23" t="str">
        <f t="array" ref="X777">IFERROR(SMALL(IF(T$1:T$1000="END",ROW(T$1:T$1000)),ROW()-3),"")</f>
        <v/>
      </c>
      <c r="Y777" s="33" t="str">
        <f t="array" ref="Y777">IF(ISNUMBER(W777),MAX(IF((B$4:B$1000&lt;=X777)*(B$4:B$1000&gt;=W777),I$4:I$1000, "")),"")</f>
        <v/>
      </c>
      <c r="Z777" s="33" t="str">
        <f t="shared" si="550"/>
        <v/>
      </c>
      <c r="AA777" s="32" t="str">
        <f t="shared" si="551"/>
        <v/>
      </c>
      <c r="AB777" s="32" t="str">
        <f t="shared" si="552"/>
        <v/>
      </c>
      <c r="AC777" s="32" t="str">
        <f t="shared" si="553"/>
        <v/>
      </c>
      <c r="AD777" s="32" t="str">
        <f t="shared" si="554"/>
        <v/>
      </c>
      <c r="AE777" s="34" t="str">
        <f t="shared" si="555"/>
        <v/>
      </c>
      <c r="AF777" s="32" t="str">
        <f t="shared" si="556"/>
        <v/>
      </c>
      <c r="AG777" s="32" t="str">
        <f t="shared" si="557"/>
        <v/>
      </c>
      <c r="AH777" s="32" t="str">
        <f t="shared" si="558"/>
        <v/>
      </c>
      <c r="AI777" s="35" t="str">
        <f t="shared" si="559"/>
        <v/>
      </c>
      <c r="AJ777" s="23" t="str">
        <f t="array" ref="AJ777">IFERROR(SMALL(IF(U$1:U$1000="BEGIN",ROW(U$1:U$1000)),ROW()-3),"")</f>
        <v/>
      </c>
      <c r="AK777" s="23" t="str">
        <f t="array" ref="AK777">IFERROR(SMALL(IF(V$1:V$1000="END",ROW(V$1:V$1000)),ROW()-3),"")</f>
        <v/>
      </c>
      <c r="AL777" s="24" t="str">
        <f t="array" ref="AL777">IF(AK777="","",MATCH(AM777,L:L,0))</f>
        <v/>
      </c>
      <c r="AM777" s="35">
        <f t="array" ref="AM777">MAX(IF((B$4:B$1000&lt;=AK777)*(B$4:B$1000&gt;=AJ777),L$4:L$1000, ""))</f>
        <v>0</v>
      </c>
      <c r="AN777" s="32" t="str">
        <f t="shared" si="523"/>
        <v/>
      </c>
      <c r="AO777" s="32" t="str">
        <f t="shared" si="524"/>
        <v/>
      </c>
      <c r="AP777" s="32" t="str">
        <f t="shared" si="525"/>
        <v/>
      </c>
      <c r="AQ777" s="32" t="str">
        <f t="shared" si="526"/>
        <v/>
      </c>
      <c r="AR777" s="32" t="str">
        <f t="shared" si="527"/>
        <v/>
      </c>
      <c r="AS777" s="32" t="str">
        <f t="shared" si="528"/>
        <v/>
      </c>
      <c r="AT777" s="32" t="str">
        <f t="shared" si="529"/>
        <v/>
      </c>
      <c r="AU777" s="34" t="str">
        <f t="shared" si="530"/>
        <v/>
      </c>
      <c r="AV777" s="32" t="str">
        <f t="shared" si="531"/>
        <v/>
      </c>
      <c r="AW777" s="32" t="str">
        <f t="shared" si="532"/>
        <v/>
      </c>
      <c r="AX777" s="32" t="str">
        <f t="shared" si="533"/>
        <v/>
      </c>
      <c r="AY777" s="32" t="str">
        <f t="shared" si="534"/>
        <v/>
      </c>
    </row>
    <row r="778" spans="1:51" x14ac:dyDescent="0.25">
      <c r="A778" s="24" t="str">
        <f t="shared" si="535"/>
        <v/>
      </c>
      <c r="B778" s="24" t="str">
        <f t="shared" si="545"/>
        <v/>
      </c>
      <c r="C778" s="32" t="str">
        <f t="shared" si="536"/>
        <v/>
      </c>
      <c r="D778" s="24" t="str">
        <f t="shared" si="537"/>
        <v/>
      </c>
      <c r="E778" s="24" t="str">
        <f t="shared" si="538"/>
        <v/>
      </c>
      <c r="F778" s="32" t="str">
        <f t="shared" si="539"/>
        <v/>
      </c>
      <c r="G778" s="32" t="str">
        <f t="shared" si="540"/>
        <v/>
      </c>
      <c r="H778" s="32" t="str">
        <f t="shared" ca="1" si="541"/>
        <v/>
      </c>
      <c r="I778" s="32" t="str">
        <f t="shared" ca="1" si="546"/>
        <v/>
      </c>
      <c r="J778" s="32" t="str">
        <f t="shared" si="542"/>
        <v/>
      </c>
      <c r="K778" s="32" t="str">
        <f>IF(ISNUMBER(A778),Profile!$V$25+Profile!$V$24*'Ri-Po'!C778,"")</f>
        <v/>
      </c>
      <c r="L778" s="32" t="str">
        <f t="shared" si="547"/>
        <v/>
      </c>
      <c r="M778" s="32" t="str">
        <f t="shared" si="543"/>
        <v/>
      </c>
      <c r="N778" s="32" t="str">
        <f t="shared" si="544"/>
        <v/>
      </c>
      <c r="O778" s="32" t="str">
        <f t="shared" si="560"/>
        <v/>
      </c>
      <c r="P778" s="32" t="str">
        <f t="shared" si="548"/>
        <v/>
      </c>
      <c r="Q778" s="32" t="str">
        <f t="shared" si="549"/>
        <v/>
      </c>
      <c r="R778" s="32" t="str">
        <f t="shared" si="561"/>
        <v/>
      </c>
      <c r="S778" s="24" t="str">
        <f t="shared" si="562"/>
        <v/>
      </c>
      <c r="T778" s="24" t="str">
        <f t="shared" si="563"/>
        <v/>
      </c>
      <c r="U778" s="24" t="str">
        <f t="shared" si="564"/>
        <v/>
      </c>
      <c r="V778" s="24" t="str">
        <f t="shared" si="565"/>
        <v/>
      </c>
      <c r="W778" s="23" t="str">
        <f t="array" ref="W778">IFERROR(SMALL(IF(S$1:S$1000="BEGIN",ROW(S$1:S$1000)),ROW()-3),"")</f>
        <v/>
      </c>
      <c r="X778" s="23" t="str">
        <f t="array" ref="X778">IFERROR(SMALL(IF(T$1:T$1000="END",ROW(T$1:T$1000)),ROW()-3),"")</f>
        <v/>
      </c>
      <c r="Y778" s="33" t="str">
        <f t="array" ref="Y778">IF(ISNUMBER(W778),MAX(IF((B$4:B$1000&lt;=X778)*(B$4:B$1000&gt;=W778),I$4:I$1000, "")),"")</f>
        <v/>
      </c>
      <c r="Z778" s="33" t="str">
        <f t="shared" si="550"/>
        <v/>
      </c>
      <c r="AA778" s="32" t="str">
        <f t="shared" si="551"/>
        <v/>
      </c>
      <c r="AB778" s="32" t="str">
        <f t="shared" si="552"/>
        <v/>
      </c>
      <c r="AC778" s="32" t="str">
        <f t="shared" si="553"/>
        <v/>
      </c>
      <c r="AD778" s="32" t="str">
        <f t="shared" si="554"/>
        <v/>
      </c>
      <c r="AE778" s="34" t="str">
        <f t="shared" si="555"/>
        <v/>
      </c>
      <c r="AF778" s="32" t="str">
        <f t="shared" si="556"/>
        <v/>
      </c>
      <c r="AG778" s="32" t="str">
        <f t="shared" si="557"/>
        <v/>
      </c>
      <c r="AH778" s="32" t="str">
        <f t="shared" si="558"/>
        <v/>
      </c>
      <c r="AI778" s="35" t="str">
        <f t="shared" si="559"/>
        <v/>
      </c>
      <c r="AJ778" s="23" t="str">
        <f t="array" ref="AJ778">IFERROR(SMALL(IF(U$1:U$1000="BEGIN",ROW(U$1:U$1000)),ROW()-3),"")</f>
        <v/>
      </c>
      <c r="AK778" s="23" t="str">
        <f t="array" ref="AK778">IFERROR(SMALL(IF(V$1:V$1000="END",ROW(V$1:V$1000)),ROW()-3),"")</f>
        <v/>
      </c>
      <c r="AL778" s="24" t="str">
        <f t="array" ref="AL778">IF(AK778="","",MATCH(AM778,L:L,0))</f>
        <v/>
      </c>
      <c r="AM778" s="35">
        <f t="array" ref="AM778">MAX(IF((B$4:B$1000&lt;=AK778)*(B$4:B$1000&gt;=AJ778),L$4:L$1000, ""))</f>
        <v>0</v>
      </c>
      <c r="AN778" s="32" t="str">
        <f t="shared" si="523"/>
        <v/>
      </c>
      <c r="AO778" s="32" t="str">
        <f t="shared" si="524"/>
        <v/>
      </c>
      <c r="AP778" s="32" t="str">
        <f t="shared" si="525"/>
        <v/>
      </c>
      <c r="AQ778" s="32" t="str">
        <f t="shared" si="526"/>
        <v/>
      </c>
      <c r="AR778" s="32" t="str">
        <f t="shared" si="527"/>
        <v/>
      </c>
      <c r="AS778" s="32" t="str">
        <f t="shared" si="528"/>
        <v/>
      </c>
      <c r="AT778" s="32" t="str">
        <f t="shared" si="529"/>
        <v/>
      </c>
      <c r="AU778" s="34" t="str">
        <f t="shared" si="530"/>
        <v/>
      </c>
      <c r="AV778" s="32" t="str">
        <f t="shared" si="531"/>
        <v/>
      </c>
      <c r="AW778" s="32" t="str">
        <f t="shared" si="532"/>
        <v/>
      </c>
      <c r="AX778" s="32" t="str">
        <f t="shared" si="533"/>
        <v/>
      </c>
      <c r="AY778" s="32" t="str">
        <f t="shared" si="534"/>
        <v/>
      </c>
    </row>
    <row r="779" spans="1:51" x14ac:dyDescent="0.25">
      <c r="A779" s="24" t="str">
        <f t="shared" si="535"/>
        <v/>
      </c>
      <c r="B779" s="24" t="str">
        <f t="shared" si="545"/>
        <v/>
      </c>
      <c r="C779" s="32" t="str">
        <f t="shared" si="536"/>
        <v/>
      </c>
      <c r="D779" s="24" t="str">
        <f t="shared" si="537"/>
        <v/>
      </c>
      <c r="E779" s="24" t="str">
        <f t="shared" si="538"/>
        <v/>
      </c>
      <c r="F779" s="32" t="str">
        <f t="shared" si="539"/>
        <v/>
      </c>
      <c r="G779" s="32" t="str">
        <f t="shared" si="540"/>
        <v/>
      </c>
      <c r="H779" s="32" t="str">
        <f t="shared" ca="1" si="541"/>
        <v/>
      </c>
      <c r="I779" s="32" t="str">
        <f t="shared" ca="1" si="546"/>
        <v/>
      </c>
      <c r="J779" s="32" t="str">
        <f t="shared" si="542"/>
        <v/>
      </c>
      <c r="K779" s="32" t="str">
        <f>IF(ISNUMBER(A779),Profile!$V$25+Profile!$V$24*'Ri-Po'!C779,"")</f>
        <v/>
      </c>
      <c r="L779" s="32" t="str">
        <f t="shared" si="547"/>
        <v/>
      </c>
      <c r="M779" s="32" t="str">
        <f t="shared" si="543"/>
        <v/>
      </c>
      <c r="N779" s="32" t="str">
        <f t="shared" si="544"/>
        <v/>
      </c>
      <c r="O779" s="32" t="str">
        <f t="shared" si="560"/>
        <v/>
      </c>
      <c r="P779" s="32" t="str">
        <f t="shared" si="548"/>
        <v/>
      </c>
      <c r="Q779" s="32" t="str">
        <f t="shared" si="549"/>
        <v/>
      </c>
      <c r="R779" s="32" t="str">
        <f t="shared" si="561"/>
        <v/>
      </c>
      <c r="S779" s="24" t="str">
        <f t="shared" si="562"/>
        <v/>
      </c>
      <c r="T779" s="24" t="str">
        <f t="shared" si="563"/>
        <v/>
      </c>
      <c r="U779" s="24" t="str">
        <f t="shared" si="564"/>
        <v/>
      </c>
      <c r="V779" s="24" t="str">
        <f t="shared" si="565"/>
        <v/>
      </c>
      <c r="W779" s="23" t="str">
        <f t="array" ref="W779">IFERROR(SMALL(IF(S$1:S$1000="BEGIN",ROW(S$1:S$1000)),ROW()-3),"")</f>
        <v/>
      </c>
      <c r="X779" s="23" t="str">
        <f t="array" ref="X779">IFERROR(SMALL(IF(T$1:T$1000="END",ROW(T$1:T$1000)),ROW()-3),"")</f>
        <v/>
      </c>
      <c r="Y779" s="33" t="str">
        <f t="array" ref="Y779">IF(ISNUMBER(W779),MAX(IF((B$4:B$1000&lt;=X779)*(B$4:B$1000&gt;=W779),I$4:I$1000, "")),"")</f>
        <v/>
      </c>
      <c r="Z779" s="33" t="str">
        <f t="shared" si="550"/>
        <v/>
      </c>
      <c r="AA779" s="32" t="str">
        <f t="shared" si="551"/>
        <v/>
      </c>
      <c r="AB779" s="32" t="str">
        <f t="shared" si="552"/>
        <v/>
      </c>
      <c r="AC779" s="32" t="str">
        <f t="shared" si="553"/>
        <v/>
      </c>
      <c r="AD779" s="32" t="str">
        <f t="shared" si="554"/>
        <v/>
      </c>
      <c r="AE779" s="34" t="str">
        <f t="shared" si="555"/>
        <v/>
      </c>
      <c r="AF779" s="32" t="str">
        <f t="shared" si="556"/>
        <v/>
      </c>
      <c r="AG779" s="32" t="str">
        <f t="shared" si="557"/>
        <v/>
      </c>
      <c r="AH779" s="32" t="str">
        <f t="shared" si="558"/>
        <v/>
      </c>
      <c r="AI779" s="35" t="str">
        <f t="shared" si="559"/>
        <v/>
      </c>
      <c r="AJ779" s="23" t="str">
        <f t="array" ref="AJ779">IFERROR(SMALL(IF(U$1:U$1000="BEGIN",ROW(U$1:U$1000)),ROW()-3),"")</f>
        <v/>
      </c>
      <c r="AK779" s="23" t="str">
        <f t="array" ref="AK779">IFERROR(SMALL(IF(V$1:V$1000="END",ROW(V$1:V$1000)),ROW()-3),"")</f>
        <v/>
      </c>
      <c r="AL779" s="24" t="str">
        <f t="array" ref="AL779">IF(AK779="","",MATCH(AM779,L:L,0))</f>
        <v/>
      </c>
      <c r="AM779" s="35">
        <f t="array" ref="AM779">MAX(IF((B$4:B$1000&lt;=AK779)*(B$4:B$1000&gt;=AJ779),L$4:L$1000, ""))</f>
        <v>0</v>
      </c>
      <c r="AN779" s="32" t="str">
        <f t="shared" si="523"/>
        <v/>
      </c>
      <c r="AO779" s="32" t="str">
        <f t="shared" si="524"/>
        <v/>
      </c>
      <c r="AP779" s="32" t="str">
        <f t="shared" si="525"/>
        <v/>
      </c>
      <c r="AQ779" s="32" t="str">
        <f t="shared" si="526"/>
        <v/>
      </c>
      <c r="AR779" s="32" t="str">
        <f t="shared" si="527"/>
        <v/>
      </c>
      <c r="AS779" s="32" t="str">
        <f t="shared" si="528"/>
        <v/>
      </c>
      <c r="AT779" s="32" t="str">
        <f t="shared" si="529"/>
        <v/>
      </c>
      <c r="AU779" s="34" t="str">
        <f t="shared" si="530"/>
        <v/>
      </c>
      <c r="AV779" s="32" t="str">
        <f t="shared" si="531"/>
        <v/>
      </c>
      <c r="AW779" s="32" t="str">
        <f t="shared" si="532"/>
        <v/>
      </c>
      <c r="AX779" s="32" t="str">
        <f t="shared" si="533"/>
        <v/>
      </c>
      <c r="AY779" s="32" t="str">
        <f t="shared" si="534"/>
        <v/>
      </c>
    </row>
    <row r="780" spans="1:51" x14ac:dyDescent="0.25">
      <c r="A780" s="24" t="str">
        <f t="shared" si="535"/>
        <v/>
      </c>
      <c r="B780" s="24" t="str">
        <f t="shared" si="545"/>
        <v/>
      </c>
      <c r="C780" s="32" t="str">
        <f t="shared" si="536"/>
        <v/>
      </c>
      <c r="D780" s="24" t="str">
        <f t="shared" si="537"/>
        <v/>
      </c>
      <c r="E780" s="24" t="str">
        <f t="shared" si="538"/>
        <v/>
      </c>
      <c r="F780" s="32" t="str">
        <f t="shared" si="539"/>
        <v/>
      </c>
      <c r="G780" s="32" t="str">
        <f t="shared" si="540"/>
        <v/>
      </c>
      <c r="H780" s="32" t="str">
        <f t="shared" ca="1" si="541"/>
        <v/>
      </c>
      <c r="I780" s="32" t="str">
        <f t="shared" ca="1" si="546"/>
        <v/>
      </c>
      <c r="J780" s="32" t="str">
        <f t="shared" si="542"/>
        <v/>
      </c>
      <c r="K780" s="32" t="str">
        <f>IF(ISNUMBER(A780),Profile!$V$25+Profile!$V$24*'Ri-Po'!C780,"")</f>
        <v/>
      </c>
      <c r="L780" s="32" t="str">
        <f t="shared" si="547"/>
        <v/>
      </c>
      <c r="M780" s="32" t="str">
        <f t="shared" si="543"/>
        <v/>
      </c>
      <c r="N780" s="32" t="str">
        <f t="shared" si="544"/>
        <v/>
      </c>
      <c r="O780" s="32" t="str">
        <f t="shared" si="560"/>
        <v/>
      </c>
      <c r="P780" s="32" t="str">
        <f t="shared" si="548"/>
        <v/>
      </c>
      <c r="Q780" s="32" t="str">
        <f t="shared" si="549"/>
        <v/>
      </c>
      <c r="R780" s="32" t="str">
        <f t="shared" si="561"/>
        <v/>
      </c>
      <c r="S780" s="24" t="str">
        <f t="shared" si="562"/>
        <v/>
      </c>
      <c r="T780" s="24" t="str">
        <f t="shared" si="563"/>
        <v/>
      </c>
      <c r="U780" s="24" t="str">
        <f t="shared" si="564"/>
        <v/>
      </c>
      <c r="V780" s="24" t="str">
        <f t="shared" si="565"/>
        <v/>
      </c>
      <c r="W780" s="23" t="str">
        <f t="array" ref="W780">IFERROR(SMALL(IF(S$1:S$1000="BEGIN",ROW(S$1:S$1000)),ROW()-3),"")</f>
        <v/>
      </c>
      <c r="X780" s="23" t="str">
        <f t="array" ref="X780">IFERROR(SMALL(IF(T$1:T$1000="END",ROW(T$1:T$1000)),ROW()-3),"")</f>
        <v/>
      </c>
      <c r="Y780" s="33" t="str">
        <f t="array" ref="Y780">IF(ISNUMBER(W780),MAX(IF((B$4:B$1000&lt;=X780)*(B$4:B$1000&gt;=W780),I$4:I$1000, "")),"")</f>
        <v/>
      </c>
      <c r="Z780" s="33" t="str">
        <f t="shared" si="550"/>
        <v/>
      </c>
      <c r="AA780" s="32" t="str">
        <f t="shared" si="551"/>
        <v/>
      </c>
      <c r="AB780" s="32" t="str">
        <f t="shared" si="552"/>
        <v/>
      </c>
      <c r="AC780" s="32" t="str">
        <f t="shared" si="553"/>
        <v/>
      </c>
      <c r="AD780" s="32" t="str">
        <f t="shared" si="554"/>
        <v/>
      </c>
      <c r="AE780" s="34" t="str">
        <f t="shared" si="555"/>
        <v/>
      </c>
      <c r="AF780" s="32" t="str">
        <f t="shared" si="556"/>
        <v/>
      </c>
      <c r="AG780" s="32" t="str">
        <f t="shared" si="557"/>
        <v/>
      </c>
      <c r="AH780" s="32" t="str">
        <f t="shared" si="558"/>
        <v/>
      </c>
      <c r="AI780" s="35" t="str">
        <f t="shared" si="559"/>
        <v/>
      </c>
      <c r="AJ780" s="23" t="str">
        <f t="array" ref="AJ780">IFERROR(SMALL(IF(U$1:U$1000="BEGIN",ROW(U$1:U$1000)),ROW()-3),"")</f>
        <v/>
      </c>
      <c r="AK780" s="23" t="str">
        <f t="array" ref="AK780">IFERROR(SMALL(IF(V$1:V$1000="END",ROW(V$1:V$1000)),ROW()-3),"")</f>
        <v/>
      </c>
      <c r="AL780" s="24" t="str">
        <f t="array" ref="AL780">IF(AK780="","",MATCH(AM780,L:L,0))</f>
        <v/>
      </c>
      <c r="AM780" s="35">
        <f t="array" ref="AM780">MAX(IF((B$4:B$1000&lt;=AK780)*(B$4:B$1000&gt;=AJ780),L$4:L$1000, ""))</f>
        <v>0</v>
      </c>
      <c r="AN780" s="32" t="str">
        <f t="shared" si="523"/>
        <v/>
      </c>
      <c r="AO780" s="32" t="str">
        <f t="shared" si="524"/>
        <v/>
      </c>
      <c r="AP780" s="32" t="str">
        <f t="shared" si="525"/>
        <v/>
      </c>
      <c r="AQ780" s="32" t="str">
        <f t="shared" si="526"/>
        <v/>
      </c>
      <c r="AR780" s="32" t="str">
        <f t="shared" si="527"/>
        <v/>
      </c>
      <c r="AS780" s="32" t="str">
        <f t="shared" si="528"/>
        <v/>
      </c>
      <c r="AT780" s="32" t="str">
        <f t="shared" si="529"/>
        <v/>
      </c>
      <c r="AU780" s="34" t="str">
        <f t="shared" si="530"/>
        <v/>
      </c>
      <c r="AV780" s="32" t="str">
        <f t="shared" si="531"/>
        <v/>
      </c>
      <c r="AW780" s="32" t="str">
        <f t="shared" si="532"/>
        <v/>
      </c>
      <c r="AX780" s="32" t="str">
        <f t="shared" si="533"/>
        <v/>
      </c>
      <c r="AY780" s="32" t="str">
        <f t="shared" si="534"/>
        <v/>
      </c>
    </row>
    <row r="781" spans="1:51" x14ac:dyDescent="0.25">
      <c r="A781" s="24" t="str">
        <f t="shared" si="535"/>
        <v/>
      </c>
      <c r="B781" s="24" t="str">
        <f t="shared" si="545"/>
        <v/>
      </c>
      <c r="C781" s="32" t="str">
        <f t="shared" si="536"/>
        <v/>
      </c>
      <c r="D781" s="24" t="str">
        <f t="shared" si="537"/>
        <v/>
      </c>
      <c r="E781" s="24" t="str">
        <f t="shared" si="538"/>
        <v/>
      </c>
      <c r="F781" s="32" t="str">
        <f t="shared" si="539"/>
        <v/>
      </c>
      <c r="G781" s="32" t="str">
        <f t="shared" si="540"/>
        <v/>
      </c>
      <c r="H781" s="32" t="str">
        <f t="shared" ca="1" si="541"/>
        <v/>
      </c>
      <c r="I781" s="32" t="str">
        <f t="shared" ca="1" si="546"/>
        <v/>
      </c>
      <c r="J781" s="32" t="str">
        <f t="shared" si="542"/>
        <v/>
      </c>
      <c r="K781" s="32" t="str">
        <f>IF(ISNUMBER(A781),Profile!$V$25+Profile!$V$24*'Ri-Po'!C781,"")</f>
        <v/>
      </c>
      <c r="L781" s="32" t="str">
        <f t="shared" si="547"/>
        <v/>
      </c>
      <c r="M781" s="32" t="str">
        <f t="shared" si="543"/>
        <v/>
      </c>
      <c r="N781" s="32" t="str">
        <f t="shared" si="544"/>
        <v/>
      </c>
      <c r="O781" s="32" t="str">
        <f t="shared" si="560"/>
        <v/>
      </c>
      <c r="P781" s="32" t="str">
        <f t="shared" si="548"/>
        <v/>
      </c>
      <c r="Q781" s="32" t="str">
        <f t="shared" si="549"/>
        <v/>
      </c>
      <c r="R781" s="32" t="str">
        <f t="shared" si="561"/>
        <v/>
      </c>
      <c r="S781" s="24" t="str">
        <f t="shared" si="562"/>
        <v/>
      </c>
      <c r="T781" s="24" t="str">
        <f t="shared" si="563"/>
        <v/>
      </c>
      <c r="U781" s="24" t="str">
        <f t="shared" si="564"/>
        <v/>
      </c>
      <c r="V781" s="24" t="str">
        <f t="shared" si="565"/>
        <v/>
      </c>
      <c r="W781" s="23" t="str">
        <f t="array" ref="W781">IFERROR(SMALL(IF(S$1:S$1000="BEGIN",ROW(S$1:S$1000)),ROW()-3),"")</f>
        <v/>
      </c>
      <c r="X781" s="23" t="str">
        <f t="array" ref="X781">IFERROR(SMALL(IF(T$1:T$1000="END",ROW(T$1:T$1000)),ROW()-3),"")</f>
        <v/>
      </c>
      <c r="Y781" s="33" t="str">
        <f t="array" ref="Y781">IF(ISNUMBER(W781),MAX(IF((B$4:B$1000&lt;=X781)*(B$4:B$1000&gt;=W781),I$4:I$1000, "")),"")</f>
        <v/>
      </c>
      <c r="Z781" s="33" t="str">
        <f t="shared" si="550"/>
        <v/>
      </c>
      <c r="AA781" s="32" t="str">
        <f t="shared" si="551"/>
        <v/>
      </c>
      <c r="AB781" s="32" t="str">
        <f t="shared" si="552"/>
        <v/>
      </c>
      <c r="AC781" s="32" t="str">
        <f t="shared" si="553"/>
        <v/>
      </c>
      <c r="AD781" s="32" t="str">
        <f t="shared" si="554"/>
        <v/>
      </c>
      <c r="AE781" s="34" t="str">
        <f t="shared" si="555"/>
        <v/>
      </c>
      <c r="AF781" s="32" t="str">
        <f t="shared" si="556"/>
        <v/>
      </c>
      <c r="AG781" s="32" t="str">
        <f t="shared" si="557"/>
        <v/>
      </c>
      <c r="AH781" s="32" t="str">
        <f t="shared" si="558"/>
        <v/>
      </c>
      <c r="AI781" s="35" t="str">
        <f t="shared" si="559"/>
        <v/>
      </c>
      <c r="AJ781" s="23" t="str">
        <f t="array" ref="AJ781">IFERROR(SMALL(IF(U$1:U$1000="BEGIN",ROW(U$1:U$1000)),ROW()-3),"")</f>
        <v/>
      </c>
      <c r="AK781" s="23" t="str">
        <f t="array" ref="AK781">IFERROR(SMALL(IF(V$1:V$1000="END",ROW(V$1:V$1000)),ROW()-3),"")</f>
        <v/>
      </c>
      <c r="AL781" s="24" t="str">
        <f t="array" ref="AL781">IF(AK781="","",MATCH(AM781,L:L,0))</f>
        <v/>
      </c>
      <c r="AM781" s="35">
        <f t="array" ref="AM781">MAX(IF((B$4:B$1000&lt;=AK781)*(B$4:B$1000&gt;=AJ781),L$4:L$1000, ""))</f>
        <v>0</v>
      </c>
      <c r="AN781" s="32" t="str">
        <f t="shared" si="523"/>
        <v/>
      </c>
      <c r="AO781" s="32" t="str">
        <f t="shared" si="524"/>
        <v/>
      </c>
      <c r="AP781" s="32" t="str">
        <f t="shared" si="525"/>
        <v/>
      </c>
      <c r="AQ781" s="32" t="str">
        <f t="shared" si="526"/>
        <v/>
      </c>
      <c r="AR781" s="32" t="str">
        <f t="shared" si="527"/>
        <v/>
      </c>
      <c r="AS781" s="32" t="str">
        <f t="shared" si="528"/>
        <v/>
      </c>
      <c r="AT781" s="32" t="str">
        <f t="shared" si="529"/>
        <v/>
      </c>
      <c r="AU781" s="34" t="str">
        <f t="shared" si="530"/>
        <v/>
      </c>
      <c r="AV781" s="32" t="str">
        <f t="shared" si="531"/>
        <v/>
      </c>
      <c r="AW781" s="32" t="str">
        <f t="shared" si="532"/>
        <v/>
      </c>
      <c r="AX781" s="32" t="str">
        <f t="shared" si="533"/>
        <v/>
      </c>
      <c r="AY781" s="32" t="str">
        <f t="shared" si="534"/>
        <v/>
      </c>
    </row>
    <row r="782" spans="1:51" x14ac:dyDescent="0.25">
      <c r="A782" s="24" t="str">
        <f t="shared" si="535"/>
        <v/>
      </c>
      <c r="B782" s="24" t="str">
        <f t="shared" si="545"/>
        <v/>
      </c>
      <c r="C782" s="32" t="str">
        <f t="shared" si="536"/>
        <v/>
      </c>
      <c r="D782" s="24" t="str">
        <f t="shared" si="537"/>
        <v/>
      </c>
      <c r="E782" s="24" t="str">
        <f t="shared" si="538"/>
        <v/>
      </c>
      <c r="F782" s="32" t="str">
        <f t="shared" si="539"/>
        <v/>
      </c>
      <c r="G782" s="32" t="str">
        <f t="shared" si="540"/>
        <v/>
      </c>
      <c r="H782" s="32" t="str">
        <f t="shared" ca="1" si="541"/>
        <v/>
      </c>
      <c r="I782" s="32" t="str">
        <f t="shared" ca="1" si="546"/>
        <v/>
      </c>
      <c r="J782" s="32" t="str">
        <f t="shared" si="542"/>
        <v/>
      </c>
      <c r="K782" s="32" t="str">
        <f>IF(ISNUMBER(A782),Profile!$V$25+Profile!$V$24*'Ri-Po'!C782,"")</f>
        <v/>
      </c>
      <c r="L782" s="32" t="str">
        <f t="shared" si="547"/>
        <v/>
      </c>
      <c r="M782" s="32" t="str">
        <f t="shared" si="543"/>
        <v/>
      </c>
      <c r="N782" s="32" t="str">
        <f t="shared" si="544"/>
        <v/>
      </c>
      <c r="O782" s="32" t="str">
        <f t="shared" si="560"/>
        <v/>
      </c>
      <c r="P782" s="32" t="str">
        <f t="shared" si="548"/>
        <v/>
      </c>
      <c r="Q782" s="32" t="str">
        <f t="shared" si="549"/>
        <v/>
      </c>
      <c r="R782" s="32" t="str">
        <f t="shared" si="561"/>
        <v/>
      </c>
      <c r="S782" s="24" t="str">
        <f t="shared" si="562"/>
        <v/>
      </c>
      <c r="T782" s="24" t="str">
        <f t="shared" si="563"/>
        <v/>
      </c>
      <c r="U782" s="24" t="str">
        <f t="shared" si="564"/>
        <v/>
      </c>
      <c r="V782" s="24" t="str">
        <f t="shared" si="565"/>
        <v/>
      </c>
      <c r="W782" s="23" t="str">
        <f t="array" ref="W782">IFERROR(SMALL(IF(S$1:S$1000="BEGIN",ROW(S$1:S$1000)),ROW()-3),"")</f>
        <v/>
      </c>
      <c r="X782" s="23" t="str">
        <f t="array" ref="X782">IFERROR(SMALL(IF(T$1:T$1000="END",ROW(T$1:T$1000)),ROW()-3),"")</f>
        <v/>
      </c>
      <c r="Y782" s="33" t="str">
        <f t="array" ref="Y782">IF(ISNUMBER(W782),MAX(IF((B$4:B$1000&lt;=X782)*(B$4:B$1000&gt;=W782),I$4:I$1000, "")),"")</f>
        <v/>
      </c>
      <c r="Z782" s="33" t="str">
        <f t="shared" si="550"/>
        <v/>
      </c>
      <c r="AA782" s="32" t="str">
        <f t="shared" si="551"/>
        <v/>
      </c>
      <c r="AB782" s="32" t="str">
        <f t="shared" si="552"/>
        <v/>
      </c>
      <c r="AC782" s="32" t="str">
        <f t="shared" si="553"/>
        <v/>
      </c>
      <c r="AD782" s="32" t="str">
        <f t="shared" si="554"/>
        <v/>
      </c>
      <c r="AE782" s="34" t="str">
        <f t="shared" si="555"/>
        <v/>
      </c>
      <c r="AF782" s="32" t="str">
        <f t="shared" si="556"/>
        <v/>
      </c>
      <c r="AG782" s="32" t="str">
        <f t="shared" si="557"/>
        <v/>
      </c>
      <c r="AH782" s="32" t="str">
        <f t="shared" si="558"/>
        <v/>
      </c>
      <c r="AI782" s="35" t="str">
        <f t="shared" si="559"/>
        <v/>
      </c>
      <c r="AJ782" s="23" t="str">
        <f t="array" ref="AJ782">IFERROR(SMALL(IF(U$1:U$1000="BEGIN",ROW(U$1:U$1000)),ROW()-3),"")</f>
        <v/>
      </c>
      <c r="AK782" s="23" t="str">
        <f t="array" ref="AK782">IFERROR(SMALL(IF(V$1:V$1000="END",ROW(V$1:V$1000)),ROW()-3),"")</f>
        <v/>
      </c>
      <c r="AL782" s="24" t="str">
        <f t="array" ref="AL782">IF(AK782="","",MATCH(AM782,L:L,0))</f>
        <v/>
      </c>
      <c r="AM782" s="35">
        <f t="array" ref="AM782">MAX(IF((B$4:B$1000&lt;=AK782)*(B$4:B$1000&gt;=AJ782),L$4:L$1000, ""))</f>
        <v>0</v>
      </c>
      <c r="AN782" s="32" t="str">
        <f t="shared" si="523"/>
        <v/>
      </c>
      <c r="AO782" s="32" t="str">
        <f t="shared" si="524"/>
        <v/>
      </c>
      <c r="AP782" s="32" t="str">
        <f t="shared" si="525"/>
        <v/>
      </c>
      <c r="AQ782" s="32" t="str">
        <f t="shared" si="526"/>
        <v/>
      </c>
      <c r="AR782" s="32" t="str">
        <f t="shared" si="527"/>
        <v/>
      </c>
      <c r="AS782" s="32" t="str">
        <f t="shared" si="528"/>
        <v/>
      </c>
      <c r="AT782" s="32" t="str">
        <f t="shared" si="529"/>
        <v/>
      </c>
      <c r="AU782" s="34" t="str">
        <f t="shared" si="530"/>
        <v/>
      </c>
      <c r="AV782" s="32" t="str">
        <f t="shared" si="531"/>
        <v/>
      </c>
      <c r="AW782" s="32" t="str">
        <f t="shared" si="532"/>
        <v/>
      </c>
      <c r="AX782" s="32" t="str">
        <f t="shared" si="533"/>
        <v/>
      </c>
      <c r="AY782" s="32" t="str">
        <f t="shared" si="534"/>
        <v/>
      </c>
    </row>
    <row r="783" spans="1:51" x14ac:dyDescent="0.25">
      <c r="A783" s="24" t="str">
        <f t="shared" si="535"/>
        <v/>
      </c>
      <c r="B783" s="24" t="str">
        <f t="shared" si="545"/>
        <v/>
      </c>
      <c r="C783" s="32" t="str">
        <f t="shared" si="536"/>
        <v/>
      </c>
      <c r="D783" s="24" t="str">
        <f t="shared" si="537"/>
        <v/>
      </c>
      <c r="E783" s="24" t="str">
        <f t="shared" si="538"/>
        <v/>
      </c>
      <c r="F783" s="32" t="str">
        <f t="shared" si="539"/>
        <v/>
      </c>
      <c r="G783" s="32" t="str">
        <f t="shared" si="540"/>
        <v/>
      </c>
      <c r="H783" s="32" t="str">
        <f t="shared" ca="1" si="541"/>
        <v/>
      </c>
      <c r="I783" s="32" t="str">
        <f t="shared" ca="1" si="546"/>
        <v/>
      </c>
      <c r="J783" s="32" t="str">
        <f t="shared" si="542"/>
        <v/>
      </c>
      <c r="K783" s="32" t="str">
        <f>IF(ISNUMBER(A783),Profile!$V$25+Profile!$V$24*'Ri-Po'!C783,"")</f>
        <v/>
      </c>
      <c r="L783" s="32" t="str">
        <f t="shared" si="547"/>
        <v/>
      </c>
      <c r="M783" s="32" t="str">
        <f t="shared" si="543"/>
        <v/>
      </c>
      <c r="N783" s="32" t="str">
        <f t="shared" si="544"/>
        <v/>
      </c>
      <c r="O783" s="32" t="str">
        <f t="shared" si="560"/>
        <v/>
      </c>
      <c r="P783" s="32" t="str">
        <f t="shared" si="548"/>
        <v/>
      </c>
      <c r="Q783" s="32" t="str">
        <f t="shared" si="549"/>
        <v/>
      </c>
      <c r="R783" s="32" t="str">
        <f t="shared" si="561"/>
        <v/>
      </c>
      <c r="S783" s="24" t="str">
        <f t="shared" si="562"/>
        <v/>
      </c>
      <c r="T783" s="24" t="str">
        <f t="shared" si="563"/>
        <v/>
      </c>
      <c r="U783" s="24" t="str">
        <f t="shared" si="564"/>
        <v/>
      </c>
      <c r="V783" s="24" t="str">
        <f t="shared" si="565"/>
        <v/>
      </c>
      <c r="W783" s="23" t="str">
        <f t="array" ref="W783">IFERROR(SMALL(IF(S$1:S$1000="BEGIN",ROW(S$1:S$1000)),ROW()-3),"")</f>
        <v/>
      </c>
      <c r="X783" s="23" t="str">
        <f t="array" ref="X783">IFERROR(SMALL(IF(T$1:T$1000="END",ROW(T$1:T$1000)),ROW()-3),"")</f>
        <v/>
      </c>
      <c r="Y783" s="33" t="str">
        <f t="array" ref="Y783">IF(ISNUMBER(W783),MAX(IF((B$4:B$1000&lt;=X783)*(B$4:B$1000&gt;=W783),I$4:I$1000, "")),"")</f>
        <v/>
      </c>
      <c r="Z783" s="33" t="str">
        <f t="shared" si="550"/>
        <v/>
      </c>
      <c r="AA783" s="32" t="str">
        <f t="shared" si="551"/>
        <v/>
      </c>
      <c r="AB783" s="32" t="str">
        <f t="shared" si="552"/>
        <v/>
      </c>
      <c r="AC783" s="32" t="str">
        <f t="shared" si="553"/>
        <v/>
      </c>
      <c r="AD783" s="32" t="str">
        <f t="shared" si="554"/>
        <v/>
      </c>
      <c r="AE783" s="34" t="str">
        <f t="shared" si="555"/>
        <v/>
      </c>
      <c r="AF783" s="32" t="str">
        <f t="shared" si="556"/>
        <v/>
      </c>
      <c r="AG783" s="32" t="str">
        <f t="shared" si="557"/>
        <v/>
      </c>
      <c r="AH783" s="32" t="str">
        <f t="shared" si="558"/>
        <v/>
      </c>
      <c r="AI783" s="35" t="str">
        <f t="shared" si="559"/>
        <v/>
      </c>
      <c r="AJ783" s="23" t="str">
        <f t="array" ref="AJ783">IFERROR(SMALL(IF(U$1:U$1000="BEGIN",ROW(U$1:U$1000)),ROW()-3),"")</f>
        <v/>
      </c>
      <c r="AK783" s="23" t="str">
        <f t="array" ref="AK783">IFERROR(SMALL(IF(V$1:V$1000="END",ROW(V$1:V$1000)),ROW()-3),"")</f>
        <v/>
      </c>
      <c r="AL783" s="24" t="str">
        <f t="array" ref="AL783">IF(AK783="","",MATCH(AM783,L:L,0))</f>
        <v/>
      </c>
      <c r="AM783" s="35">
        <f t="array" ref="AM783">MAX(IF((B$4:B$1000&lt;=AK783)*(B$4:B$1000&gt;=AJ783),L$4:L$1000, ""))</f>
        <v>0</v>
      </c>
      <c r="AN783" s="32" t="str">
        <f t="shared" si="523"/>
        <v/>
      </c>
      <c r="AO783" s="32" t="str">
        <f t="shared" si="524"/>
        <v/>
      </c>
      <c r="AP783" s="32" t="str">
        <f t="shared" si="525"/>
        <v/>
      </c>
      <c r="AQ783" s="32" t="str">
        <f t="shared" si="526"/>
        <v/>
      </c>
      <c r="AR783" s="32" t="str">
        <f t="shared" si="527"/>
        <v/>
      </c>
      <c r="AS783" s="32" t="str">
        <f t="shared" si="528"/>
        <v/>
      </c>
      <c r="AT783" s="32" t="str">
        <f t="shared" si="529"/>
        <v/>
      </c>
      <c r="AU783" s="34" t="str">
        <f t="shared" si="530"/>
        <v/>
      </c>
      <c r="AV783" s="32" t="str">
        <f t="shared" si="531"/>
        <v/>
      </c>
      <c r="AW783" s="32" t="str">
        <f t="shared" si="532"/>
        <v/>
      </c>
      <c r="AX783" s="32" t="str">
        <f t="shared" si="533"/>
        <v/>
      </c>
      <c r="AY783" s="32" t="str">
        <f t="shared" si="534"/>
        <v/>
      </c>
    </row>
    <row r="784" spans="1:51" x14ac:dyDescent="0.25">
      <c r="A784" s="24" t="str">
        <f t="shared" si="535"/>
        <v/>
      </c>
      <c r="B784" s="24" t="str">
        <f t="shared" si="545"/>
        <v/>
      </c>
      <c r="C784" s="32" t="str">
        <f t="shared" si="536"/>
        <v/>
      </c>
      <c r="D784" s="24" t="str">
        <f t="shared" si="537"/>
        <v/>
      </c>
      <c r="E784" s="24" t="str">
        <f t="shared" si="538"/>
        <v/>
      </c>
      <c r="F784" s="32" t="str">
        <f t="shared" si="539"/>
        <v/>
      </c>
      <c r="G784" s="32" t="str">
        <f t="shared" si="540"/>
        <v/>
      </c>
      <c r="H784" s="32" t="str">
        <f t="shared" ca="1" si="541"/>
        <v/>
      </c>
      <c r="I784" s="32" t="str">
        <f t="shared" ca="1" si="546"/>
        <v/>
      </c>
      <c r="J784" s="32" t="str">
        <f t="shared" si="542"/>
        <v/>
      </c>
      <c r="K784" s="32" t="str">
        <f>IF(ISNUMBER(A784),Profile!$V$25+Profile!$V$24*'Ri-Po'!C784,"")</f>
        <v/>
      </c>
      <c r="L784" s="32" t="str">
        <f t="shared" si="547"/>
        <v/>
      </c>
      <c r="M784" s="32" t="str">
        <f t="shared" si="543"/>
        <v/>
      </c>
      <c r="N784" s="32" t="str">
        <f t="shared" si="544"/>
        <v/>
      </c>
      <c r="O784" s="32" t="str">
        <f t="shared" si="560"/>
        <v/>
      </c>
      <c r="P784" s="32" t="str">
        <f t="shared" si="548"/>
        <v/>
      </c>
      <c r="Q784" s="32" t="str">
        <f t="shared" si="549"/>
        <v/>
      </c>
      <c r="R784" s="32" t="str">
        <f t="shared" si="561"/>
        <v/>
      </c>
      <c r="S784" s="24" t="str">
        <f t="shared" si="562"/>
        <v/>
      </c>
      <c r="T784" s="24" t="str">
        <f t="shared" si="563"/>
        <v/>
      </c>
      <c r="U784" s="24" t="str">
        <f t="shared" si="564"/>
        <v/>
      </c>
      <c r="V784" s="24" t="str">
        <f t="shared" si="565"/>
        <v/>
      </c>
      <c r="W784" s="23" t="str">
        <f t="array" ref="W784">IFERROR(SMALL(IF(S$1:S$1000="BEGIN",ROW(S$1:S$1000)),ROW()-3),"")</f>
        <v/>
      </c>
      <c r="X784" s="23" t="str">
        <f t="array" ref="X784">IFERROR(SMALL(IF(T$1:T$1000="END",ROW(T$1:T$1000)),ROW()-3),"")</f>
        <v/>
      </c>
      <c r="Y784" s="33" t="str">
        <f t="array" ref="Y784">IF(ISNUMBER(W784),MAX(IF((B$4:B$1000&lt;=X784)*(B$4:B$1000&gt;=W784),I$4:I$1000, "")),"")</f>
        <v/>
      </c>
      <c r="Z784" s="33" t="str">
        <f t="shared" si="550"/>
        <v/>
      </c>
      <c r="AA784" s="32" t="str">
        <f t="shared" si="551"/>
        <v/>
      </c>
      <c r="AB784" s="32" t="str">
        <f t="shared" si="552"/>
        <v/>
      </c>
      <c r="AC784" s="32" t="str">
        <f t="shared" si="553"/>
        <v/>
      </c>
      <c r="AD784" s="32" t="str">
        <f t="shared" si="554"/>
        <v/>
      </c>
      <c r="AE784" s="34" t="str">
        <f t="shared" si="555"/>
        <v/>
      </c>
      <c r="AF784" s="32" t="str">
        <f t="shared" si="556"/>
        <v/>
      </c>
      <c r="AG784" s="32" t="str">
        <f t="shared" si="557"/>
        <v/>
      </c>
      <c r="AH784" s="32" t="str">
        <f t="shared" si="558"/>
        <v/>
      </c>
      <c r="AI784" s="35" t="str">
        <f t="shared" si="559"/>
        <v/>
      </c>
      <c r="AJ784" s="23" t="str">
        <f t="array" ref="AJ784">IFERROR(SMALL(IF(U$1:U$1000="BEGIN",ROW(U$1:U$1000)),ROW()-3),"")</f>
        <v/>
      </c>
      <c r="AK784" s="23" t="str">
        <f t="array" ref="AK784">IFERROR(SMALL(IF(V$1:V$1000="END",ROW(V$1:V$1000)),ROW()-3),"")</f>
        <v/>
      </c>
      <c r="AL784" s="24" t="str">
        <f t="array" ref="AL784">IF(AK784="","",MATCH(AM784,L:L,0))</f>
        <v/>
      </c>
      <c r="AM784" s="35">
        <f t="array" ref="AM784">MAX(IF((B$4:B$1000&lt;=AK784)*(B$4:B$1000&gt;=AJ784),L$4:L$1000, ""))</f>
        <v>0</v>
      </c>
      <c r="AN784" s="32" t="str">
        <f t="shared" si="523"/>
        <v/>
      </c>
      <c r="AO784" s="32" t="str">
        <f t="shared" si="524"/>
        <v/>
      </c>
      <c r="AP784" s="32" t="str">
        <f t="shared" si="525"/>
        <v/>
      </c>
      <c r="AQ784" s="32" t="str">
        <f t="shared" si="526"/>
        <v/>
      </c>
      <c r="AR784" s="32" t="str">
        <f t="shared" si="527"/>
        <v/>
      </c>
      <c r="AS784" s="32" t="str">
        <f t="shared" si="528"/>
        <v/>
      </c>
      <c r="AT784" s="32" t="str">
        <f t="shared" si="529"/>
        <v/>
      </c>
      <c r="AU784" s="34" t="str">
        <f t="shared" si="530"/>
        <v/>
      </c>
      <c r="AV784" s="32" t="str">
        <f t="shared" si="531"/>
        <v/>
      </c>
      <c r="AW784" s="32" t="str">
        <f t="shared" si="532"/>
        <v/>
      </c>
      <c r="AX784" s="32" t="str">
        <f t="shared" si="533"/>
        <v/>
      </c>
      <c r="AY784" s="32" t="str">
        <f t="shared" si="534"/>
        <v/>
      </c>
    </row>
    <row r="785" spans="1:51" x14ac:dyDescent="0.25">
      <c r="A785" s="24" t="str">
        <f t="shared" si="535"/>
        <v/>
      </c>
      <c r="B785" s="24" t="str">
        <f t="shared" si="545"/>
        <v/>
      </c>
      <c r="C785" s="32" t="str">
        <f t="shared" si="536"/>
        <v/>
      </c>
      <c r="D785" s="24" t="str">
        <f t="shared" si="537"/>
        <v/>
      </c>
      <c r="E785" s="24" t="str">
        <f t="shared" si="538"/>
        <v/>
      </c>
      <c r="F785" s="32" t="str">
        <f t="shared" si="539"/>
        <v/>
      </c>
      <c r="G785" s="32" t="str">
        <f t="shared" si="540"/>
        <v/>
      </c>
      <c r="H785" s="32" t="str">
        <f t="shared" ca="1" si="541"/>
        <v/>
      </c>
      <c r="I785" s="32" t="str">
        <f t="shared" ca="1" si="546"/>
        <v/>
      </c>
      <c r="J785" s="32" t="str">
        <f t="shared" si="542"/>
        <v/>
      </c>
      <c r="K785" s="32" t="str">
        <f>IF(ISNUMBER(A785),Profile!$V$25+Profile!$V$24*'Ri-Po'!C785,"")</f>
        <v/>
      </c>
      <c r="L785" s="32" t="str">
        <f t="shared" si="547"/>
        <v/>
      </c>
      <c r="M785" s="32" t="str">
        <f t="shared" si="543"/>
        <v/>
      </c>
      <c r="N785" s="32" t="str">
        <f t="shared" si="544"/>
        <v/>
      </c>
      <c r="O785" s="32" t="str">
        <f t="shared" si="560"/>
        <v/>
      </c>
      <c r="P785" s="32" t="str">
        <f t="shared" si="548"/>
        <v/>
      </c>
      <c r="Q785" s="32" t="str">
        <f t="shared" si="549"/>
        <v/>
      </c>
      <c r="R785" s="32" t="str">
        <f t="shared" si="561"/>
        <v/>
      </c>
      <c r="S785" s="24" t="str">
        <f t="shared" si="562"/>
        <v/>
      </c>
      <c r="T785" s="24" t="str">
        <f t="shared" si="563"/>
        <v/>
      </c>
      <c r="U785" s="24" t="str">
        <f t="shared" si="564"/>
        <v/>
      </c>
      <c r="V785" s="24" t="str">
        <f t="shared" si="565"/>
        <v/>
      </c>
      <c r="W785" s="23" t="str">
        <f t="array" ref="W785">IFERROR(SMALL(IF(S$1:S$1000="BEGIN",ROW(S$1:S$1000)),ROW()-3),"")</f>
        <v/>
      </c>
      <c r="X785" s="23" t="str">
        <f t="array" ref="X785">IFERROR(SMALL(IF(T$1:T$1000="END",ROW(T$1:T$1000)),ROW()-3),"")</f>
        <v/>
      </c>
      <c r="Y785" s="33" t="str">
        <f t="array" ref="Y785">IF(ISNUMBER(W785),MAX(IF((B$4:B$1000&lt;=X785)*(B$4:B$1000&gt;=W785),I$4:I$1000, "")),"")</f>
        <v/>
      </c>
      <c r="Z785" s="33" t="str">
        <f t="shared" si="550"/>
        <v/>
      </c>
      <c r="AA785" s="32" t="str">
        <f t="shared" si="551"/>
        <v/>
      </c>
      <c r="AB785" s="32" t="str">
        <f t="shared" si="552"/>
        <v/>
      </c>
      <c r="AC785" s="32" t="str">
        <f t="shared" si="553"/>
        <v/>
      </c>
      <c r="AD785" s="32" t="str">
        <f t="shared" si="554"/>
        <v/>
      </c>
      <c r="AE785" s="34" t="str">
        <f t="shared" si="555"/>
        <v/>
      </c>
      <c r="AF785" s="32" t="str">
        <f t="shared" si="556"/>
        <v/>
      </c>
      <c r="AG785" s="32" t="str">
        <f t="shared" si="557"/>
        <v/>
      </c>
      <c r="AH785" s="32" t="str">
        <f t="shared" si="558"/>
        <v/>
      </c>
      <c r="AI785" s="35" t="str">
        <f t="shared" si="559"/>
        <v/>
      </c>
      <c r="AJ785" s="23" t="str">
        <f t="array" ref="AJ785">IFERROR(SMALL(IF(U$1:U$1000="BEGIN",ROW(U$1:U$1000)),ROW()-3),"")</f>
        <v/>
      </c>
      <c r="AK785" s="23" t="str">
        <f t="array" ref="AK785">IFERROR(SMALL(IF(V$1:V$1000="END",ROW(V$1:V$1000)),ROW()-3),"")</f>
        <v/>
      </c>
      <c r="AL785" s="24" t="str">
        <f t="array" ref="AL785">IF(AK785="","",MATCH(AM785,L:L,0))</f>
        <v/>
      </c>
      <c r="AM785" s="35">
        <f t="array" ref="AM785">MAX(IF((B$4:B$1000&lt;=AK785)*(B$4:B$1000&gt;=AJ785),L$4:L$1000, ""))</f>
        <v>0</v>
      </c>
      <c r="AN785" s="32" t="str">
        <f t="shared" si="523"/>
        <v/>
      </c>
      <c r="AO785" s="32" t="str">
        <f t="shared" si="524"/>
        <v/>
      </c>
      <c r="AP785" s="32" t="str">
        <f t="shared" si="525"/>
        <v/>
      </c>
      <c r="AQ785" s="32" t="str">
        <f t="shared" si="526"/>
        <v/>
      </c>
      <c r="AR785" s="32" t="str">
        <f t="shared" si="527"/>
        <v/>
      </c>
      <c r="AS785" s="32" t="str">
        <f t="shared" si="528"/>
        <v/>
      </c>
      <c r="AT785" s="32" t="str">
        <f t="shared" si="529"/>
        <v/>
      </c>
      <c r="AU785" s="34" t="str">
        <f t="shared" si="530"/>
        <v/>
      </c>
      <c r="AV785" s="32" t="str">
        <f t="shared" si="531"/>
        <v/>
      </c>
      <c r="AW785" s="32" t="str">
        <f t="shared" si="532"/>
        <v/>
      </c>
      <c r="AX785" s="32" t="str">
        <f t="shared" si="533"/>
        <v/>
      </c>
      <c r="AY785" s="32" t="str">
        <f t="shared" si="534"/>
        <v/>
      </c>
    </row>
    <row r="786" spans="1:51" x14ac:dyDescent="0.25">
      <c r="A786" s="24" t="str">
        <f t="shared" si="535"/>
        <v/>
      </c>
      <c r="B786" s="24" t="str">
        <f t="shared" si="545"/>
        <v/>
      </c>
      <c r="C786" s="32" t="str">
        <f t="shared" si="536"/>
        <v/>
      </c>
      <c r="D786" s="24" t="str">
        <f t="shared" si="537"/>
        <v/>
      </c>
      <c r="E786" s="24" t="str">
        <f t="shared" si="538"/>
        <v/>
      </c>
      <c r="F786" s="32" t="str">
        <f t="shared" si="539"/>
        <v/>
      </c>
      <c r="G786" s="32" t="str">
        <f t="shared" si="540"/>
        <v/>
      </c>
      <c r="H786" s="32" t="str">
        <f t="shared" ca="1" si="541"/>
        <v/>
      </c>
      <c r="I786" s="32" t="str">
        <f t="shared" ca="1" si="546"/>
        <v/>
      </c>
      <c r="J786" s="32" t="str">
        <f t="shared" si="542"/>
        <v/>
      </c>
      <c r="K786" s="32" t="str">
        <f>IF(ISNUMBER(A786),Profile!$V$25+Profile!$V$24*'Ri-Po'!C786,"")</f>
        <v/>
      </c>
      <c r="L786" s="32" t="str">
        <f t="shared" si="547"/>
        <v/>
      </c>
      <c r="M786" s="32" t="str">
        <f t="shared" si="543"/>
        <v/>
      </c>
      <c r="N786" s="32" t="str">
        <f t="shared" si="544"/>
        <v/>
      </c>
      <c r="O786" s="32" t="str">
        <f t="shared" si="560"/>
        <v/>
      </c>
      <c r="P786" s="32" t="str">
        <f t="shared" si="548"/>
        <v/>
      </c>
      <c r="Q786" s="32" t="str">
        <f t="shared" si="549"/>
        <v/>
      </c>
      <c r="R786" s="32" t="str">
        <f t="shared" si="561"/>
        <v/>
      </c>
      <c r="S786" s="24" t="str">
        <f t="shared" si="562"/>
        <v/>
      </c>
      <c r="T786" s="24" t="str">
        <f t="shared" si="563"/>
        <v/>
      </c>
      <c r="U786" s="24" t="str">
        <f t="shared" si="564"/>
        <v/>
      </c>
      <c r="V786" s="24" t="str">
        <f t="shared" si="565"/>
        <v/>
      </c>
      <c r="W786" s="23" t="str">
        <f t="array" ref="W786">IFERROR(SMALL(IF(S$1:S$1000="BEGIN",ROW(S$1:S$1000)),ROW()-3),"")</f>
        <v/>
      </c>
      <c r="X786" s="23" t="str">
        <f t="array" ref="X786">IFERROR(SMALL(IF(T$1:T$1000="END",ROW(T$1:T$1000)),ROW()-3),"")</f>
        <v/>
      </c>
      <c r="Y786" s="33" t="str">
        <f t="array" ref="Y786">IF(ISNUMBER(W786),MAX(IF((B$4:B$1000&lt;=X786)*(B$4:B$1000&gt;=W786),I$4:I$1000, "")),"")</f>
        <v/>
      </c>
      <c r="Z786" s="33" t="str">
        <f t="shared" si="550"/>
        <v/>
      </c>
      <c r="AA786" s="32" t="str">
        <f t="shared" si="551"/>
        <v/>
      </c>
      <c r="AB786" s="32" t="str">
        <f t="shared" si="552"/>
        <v/>
      </c>
      <c r="AC786" s="32" t="str">
        <f t="shared" si="553"/>
        <v/>
      </c>
      <c r="AD786" s="32" t="str">
        <f t="shared" si="554"/>
        <v/>
      </c>
      <c r="AE786" s="34" t="str">
        <f t="shared" si="555"/>
        <v/>
      </c>
      <c r="AF786" s="32" t="str">
        <f t="shared" si="556"/>
        <v/>
      </c>
      <c r="AG786" s="32" t="str">
        <f t="shared" si="557"/>
        <v/>
      </c>
      <c r="AH786" s="32" t="str">
        <f t="shared" si="558"/>
        <v/>
      </c>
      <c r="AI786" s="35" t="str">
        <f t="shared" si="559"/>
        <v/>
      </c>
      <c r="AJ786" s="23" t="str">
        <f t="array" ref="AJ786">IFERROR(SMALL(IF(U$1:U$1000="BEGIN",ROW(U$1:U$1000)),ROW()-3),"")</f>
        <v/>
      </c>
      <c r="AK786" s="23" t="str">
        <f t="array" ref="AK786">IFERROR(SMALL(IF(V$1:V$1000="END",ROW(V$1:V$1000)),ROW()-3),"")</f>
        <v/>
      </c>
      <c r="AL786" s="24" t="str">
        <f t="array" ref="AL786">IF(AK786="","",MATCH(AM786,L:L,0))</f>
        <v/>
      </c>
      <c r="AM786" s="35">
        <f t="array" ref="AM786">MAX(IF((B$4:B$1000&lt;=AK786)*(B$4:B$1000&gt;=AJ786),L$4:L$1000, ""))</f>
        <v>0</v>
      </c>
      <c r="AN786" s="32" t="str">
        <f t="shared" ref="AN786:AN849" si="566">IFERROR(INDEX(C:C,AJ786),"")</f>
        <v/>
      </c>
      <c r="AO786" s="32" t="str">
        <f t="shared" ref="AO786:AO849" si="567">IFERROR(INDEX(C:C,AK786),"")</f>
        <v/>
      </c>
      <c r="AP786" s="32" t="str">
        <f t="shared" ref="AP786:AP849" si="568">IFERROR(INDEX(C:C,AL786),"")</f>
        <v/>
      </c>
      <c r="AQ786" s="32" t="str">
        <f t="shared" ref="AQ786:AQ849" si="569">IF(ISNUMBER(AN786),AM786,"")</f>
        <v/>
      </c>
      <c r="AR786" s="32" t="str">
        <f t="shared" ref="AR786:AR849" si="570">IFERROR(AO786-AN786,"")</f>
        <v/>
      </c>
      <c r="AS786" s="32" t="str">
        <f t="shared" ref="AS786:AS849" si="571">IFERROR(INDEX(H:H,AJ786),"")</f>
        <v/>
      </c>
      <c r="AT786" s="32" t="str">
        <f t="shared" ref="AT786:AT849" si="572">IFERROR(INDEX(H:H,AK786),"")</f>
        <v/>
      </c>
      <c r="AU786" s="34" t="str">
        <f t="shared" ref="AU786:AU849" si="573">IFERROR((AS786-AT786)/(AR786),"")</f>
        <v/>
      </c>
      <c r="AV786" s="32" t="str">
        <f t="shared" ref="AV786:AV849" si="574">IFERROR(AQ786/$BB$17,"")</f>
        <v/>
      </c>
      <c r="AW786" s="32" t="str">
        <f t="shared" ref="AW786:AW849" si="575">IFERROR(AU786/BB$19,"")</f>
        <v/>
      </c>
      <c r="AX786" s="32" t="str">
        <f t="shared" ref="AX786:AX849" si="576">IFERROR(AP787-AP786,"")</f>
        <v/>
      </c>
      <c r="AY786" s="32" t="str">
        <f t="shared" ref="AY786:AY849" si="577">IFERROR(AX786/BB$16,"")</f>
        <v/>
      </c>
    </row>
    <row r="787" spans="1:51" x14ac:dyDescent="0.25">
      <c r="A787" s="24" t="str">
        <f t="shared" si="535"/>
        <v/>
      </c>
      <c r="B787" s="24" t="str">
        <f t="shared" si="545"/>
        <v/>
      </c>
      <c r="C787" s="32" t="str">
        <f t="shared" si="536"/>
        <v/>
      </c>
      <c r="D787" s="24" t="str">
        <f t="shared" si="537"/>
        <v/>
      </c>
      <c r="E787" s="24" t="str">
        <f t="shared" si="538"/>
        <v/>
      </c>
      <c r="F787" s="32" t="str">
        <f t="shared" si="539"/>
        <v/>
      </c>
      <c r="G787" s="32" t="str">
        <f t="shared" si="540"/>
        <v/>
      </c>
      <c r="H787" s="32" t="str">
        <f t="shared" ca="1" si="541"/>
        <v/>
      </c>
      <c r="I787" s="32" t="str">
        <f t="shared" ca="1" si="546"/>
        <v/>
      </c>
      <c r="J787" s="32" t="str">
        <f t="shared" si="542"/>
        <v/>
      </c>
      <c r="K787" s="32" t="str">
        <f>IF(ISNUMBER(A787),Profile!$V$25+Profile!$V$24*'Ri-Po'!C787,"")</f>
        <v/>
      </c>
      <c r="L787" s="32" t="str">
        <f t="shared" si="547"/>
        <v/>
      </c>
      <c r="M787" s="32" t="str">
        <f t="shared" si="543"/>
        <v/>
      </c>
      <c r="N787" s="32" t="str">
        <f t="shared" si="544"/>
        <v/>
      </c>
      <c r="O787" s="32" t="str">
        <f t="shared" si="560"/>
        <v/>
      </c>
      <c r="P787" s="32" t="str">
        <f t="shared" si="548"/>
        <v/>
      </c>
      <c r="Q787" s="32" t="str">
        <f t="shared" si="549"/>
        <v/>
      </c>
      <c r="R787" s="32" t="str">
        <f t="shared" si="561"/>
        <v/>
      </c>
      <c r="S787" s="24" t="str">
        <f t="shared" si="562"/>
        <v/>
      </c>
      <c r="T787" s="24" t="str">
        <f t="shared" si="563"/>
        <v/>
      </c>
      <c r="U787" s="24" t="str">
        <f t="shared" si="564"/>
        <v/>
      </c>
      <c r="V787" s="24" t="str">
        <f t="shared" si="565"/>
        <v/>
      </c>
      <c r="W787" s="23" t="str">
        <f t="array" ref="W787">IFERROR(SMALL(IF(S$1:S$1000="BEGIN",ROW(S$1:S$1000)),ROW()-3),"")</f>
        <v/>
      </c>
      <c r="X787" s="23" t="str">
        <f t="array" ref="X787">IFERROR(SMALL(IF(T$1:T$1000="END",ROW(T$1:T$1000)),ROW()-3),"")</f>
        <v/>
      </c>
      <c r="Y787" s="33" t="str">
        <f t="array" ref="Y787">IF(ISNUMBER(W787),MAX(IF((B$4:B$1000&lt;=X787)*(B$4:B$1000&gt;=W787),I$4:I$1000, "")),"")</f>
        <v/>
      </c>
      <c r="Z787" s="33" t="str">
        <f t="shared" si="550"/>
        <v/>
      </c>
      <c r="AA787" s="32" t="str">
        <f t="shared" si="551"/>
        <v/>
      </c>
      <c r="AB787" s="32" t="str">
        <f t="shared" si="552"/>
        <v/>
      </c>
      <c r="AC787" s="32" t="str">
        <f t="shared" si="553"/>
        <v/>
      </c>
      <c r="AD787" s="32" t="str">
        <f t="shared" si="554"/>
        <v/>
      </c>
      <c r="AE787" s="34" t="str">
        <f t="shared" si="555"/>
        <v/>
      </c>
      <c r="AF787" s="32" t="str">
        <f t="shared" si="556"/>
        <v/>
      </c>
      <c r="AG787" s="32" t="str">
        <f t="shared" si="557"/>
        <v/>
      </c>
      <c r="AH787" s="32" t="str">
        <f t="shared" si="558"/>
        <v/>
      </c>
      <c r="AI787" s="35" t="str">
        <f t="shared" si="559"/>
        <v/>
      </c>
      <c r="AJ787" s="23" t="str">
        <f t="array" ref="AJ787">IFERROR(SMALL(IF(U$1:U$1000="BEGIN",ROW(U$1:U$1000)),ROW()-3),"")</f>
        <v/>
      </c>
      <c r="AK787" s="23" t="str">
        <f t="array" ref="AK787">IFERROR(SMALL(IF(V$1:V$1000="END",ROW(V$1:V$1000)),ROW()-3),"")</f>
        <v/>
      </c>
      <c r="AL787" s="24" t="str">
        <f t="array" ref="AL787">IF(AK787="","",MATCH(AM787,L:L,0))</f>
        <v/>
      </c>
      <c r="AM787" s="35">
        <f t="array" ref="AM787">MAX(IF((B$4:B$1000&lt;=AK787)*(B$4:B$1000&gt;=AJ787),L$4:L$1000, ""))</f>
        <v>0</v>
      </c>
      <c r="AN787" s="32" t="str">
        <f t="shared" si="566"/>
        <v/>
      </c>
      <c r="AO787" s="32" t="str">
        <f t="shared" si="567"/>
        <v/>
      </c>
      <c r="AP787" s="32" t="str">
        <f t="shared" si="568"/>
        <v/>
      </c>
      <c r="AQ787" s="32" t="str">
        <f t="shared" si="569"/>
        <v/>
      </c>
      <c r="AR787" s="32" t="str">
        <f t="shared" si="570"/>
        <v/>
      </c>
      <c r="AS787" s="32" t="str">
        <f t="shared" si="571"/>
        <v/>
      </c>
      <c r="AT787" s="32" t="str">
        <f t="shared" si="572"/>
        <v/>
      </c>
      <c r="AU787" s="34" t="str">
        <f t="shared" si="573"/>
        <v/>
      </c>
      <c r="AV787" s="32" t="str">
        <f t="shared" si="574"/>
        <v/>
      </c>
      <c r="AW787" s="32" t="str">
        <f t="shared" si="575"/>
        <v/>
      </c>
      <c r="AX787" s="32" t="str">
        <f t="shared" si="576"/>
        <v/>
      </c>
      <c r="AY787" s="32" t="str">
        <f t="shared" si="577"/>
        <v/>
      </c>
    </row>
    <row r="788" spans="1:51" x14ac:dyDescent="0.25">
      <c r="A788" s="24" t="str">
        <f t="shared" si="535"/>
        <v/>
      </c>
      <c r="B788" s="24" t="str">
        <f t="shared" si="545"/>
        <v/>
      </c>
      <c r="C788" s="32" t="str">
        <f t="shared" si="536"/>
        <v/>
      </c>
      <c r="D788" s="24" t="str">
        <f t="shared" si="537"/>
        <v/>
      </c>
      <c r="E788" s="24" t="str">
        <f t="shared" si="538"/>
        <v/>
      </c>
      <c r="F788" s="32" t="str">
        <f t="shared" si="539"/>
        <v/>
      </c>
      <c r="G788" s="32" t="str">
        <f t="shared" si="540"/>
        <v/>
      </c>
      <c r="H788" s="32" t="str">
        <f t="shared" ca="1" si="541"/>
        <v/>
      </c>
      <c r="I788" s="32" t="str">
        <f t="shared" ca="1" si="546"/>
        <v/>
      </c>
      <c r="J788" s="32" t="str">
        <f t="shared" si="542"/>
        <v/>
      </c>
      <c r="K788" s="32" t="str">
        <f>IF(ISNUMBER(A788),Profile!$V$25+Profile!$V$24*'Ri-Po'!C788,"")</f>
        <v/>
      </c>
      <c r="L788" s="32" t="str">
        <f t="shared" si="547"/>
        <v/>
      </c>
      <c r="M788" s="32" t="str">
        <f t="shared" si="543"/>
        <v/>
      </c>
      <c r="N788" s="32" t="str">
        <f t="shared" si="544"/>
        <v/>
      </c>
      <c r="O788" s="32" t="str">
        <f t="shared" si="560"/>
        <v/>
      </c>
      <c r="P788" s="32" t="str">
        <f t="shared" si="548"/>
        <v/>
      </c>
      <c r="Q788" s="32" t="str">
        <f t="shared" si="549"/>
        <v/>
      </c>
      <c r="R788" s="32" t="str">
        <f t="shared" si="561"/>
        <v/>
      </c>
      <c r="S788" s="24" t="str">
        <f t="shared" si="562"/>
        <v/>
      </c>
      <c r="T788" s="24" t="str">
        <f t="shared" si="563"/>
        <v/>
      </c>
      <c r="U788" s="24" t="str">
        <f t="shared" si="564"/>
        <v/>
      </c>
      <c r="V788" s="24" t="str">
        <f t="shared" si="565"/>
        <v/>
      </c>
      <c r="W788" s="23" t="str">
        <f t="array" ref="W788">IFERROR(SMALL(IF(S$1:S$1000="BEGIN",ROW(S$1:S$1000)),ROW()-3),"")</f>
        <v/>
      </c>
      <c r="X788" s="23" t="str">
        <f t="array" ref="X788">IFERROR(SMALL(IF(T$1:T$1000="END",ROW(T$1:T$1000)),ROW()-3),"")</f>
        <v/>
      </c>
      <c r="Y788" s="33" t="str">
        <f t="array" ref="Y788">IF(ISNUMBER(W788),MAX(IF((B$4:B$1000&lt;=X788)*(B$4:B$1000&gt;=W788),I$4:I$1000, "")),"")</f>
        <v/>
      </c>
      <c r="Z788" s="33" t="str">
        <f t="shared" si="550"/>
        <v/>
      </c>
      <c r="AA788" s="32" t="str">
        <f t="shared" si="551"/>
        <v/>
      </c>
      <c r="AB788" s="32" t="str">
        <f t="shared" si="552"/>
        <v/>
      </c>
      <c r="AC788" s="32" t="str">
        <f t="shared" si="553"/>
        <v/>
      </c>
      <c r="AD788" s="32" t="str">
        <f t="shared" si="554"/>
        <v/>
      </c>
      <c r="AE788" s="34" t="str">
        <f t="shared" si="555"/>
        <v/>
      </c>
      <c r="AF788" s="32" t="str">
        <f t="shared" si="556"/>
        <v/>
      </c>
      <c r="AG788" s="32" t="str">
        <f t="shared" si="557"/>
        <v/>
      </c>
      <c r="AH788" s="32" t="str">
        <f t="shared" si="558"/>
        <v/>
      </c>
      <c r="AI788" s="35" t="str">
        <f t="shared" si="559"/>
        <v/>
      </c>
      <c r="AJ788" s="23" t="str">
        <f t="array" ref="AJ788">IFERROR(SMALL(IF(U$1:U$1000="BEGIN",ROW(U$1:U$1000)),ROW()-3),"")</f>
        <v/>
      </c>
      <c r="AK788" s="23" t="str">
        <f t="array" ref="AK788">IFERROR(SMALL(IF(V$1:V$1000="END",ROW(V$1:V$1000)),ROW()-3),"")</f>
        <v/>
      </c>
      <c r="AL788" s="24" t="str">
        <f t="array" ref="AL788">IF(AK788="","",MATCH(AM788,L:L,0))</f>
        <v/>
      </c>
      <c r="AM788" s="35">
        <f t="array" ref="AM788">MAX(IF((B$4:B$1000&lt;=AK788)*(B$4:B$1000&gt;=AJ788),L$4:L$1000, ""))</f>
        <v>0</v>
      </c>
      <c r="AN788" s="32" t="str">
        <f t="shared" si="566"/>
        <v/>
      </c>
      <c r="AO788" s="32" t="str">
        <f t="shared" si="567"/>
        <v/>
      </c>
      <c r="AP788" s="32" t="str">
        <f t="shared" si="568"/>
        <v/>
      </c>
      <c r="AQ788" s="32" t="str">
        <f t="shared" si="569"/>
        <v/>
      </c>
      <c r="AR788" s="32" t="str">
        <f t="shared" si="570"/>
        <v/>
      </c>
      <c r="AS788" s="32" t="str">
        <f t="shared" si="571"/>
        <v/>
      </c>
      <c r="AT788" s="32" t="str">
        <f t="shared" si="572"/>
        <v/>
      </c>
      <c r="AU788" s="34" t="str">
        <f t="shared" si="573"/>
        <v/>
      </c>
      <c r="AV788" s="32" t="str">
        <f t="shared" si="574"/>
        <v/>
      </c>
      <c r="AW788" s="32" t="str">
        <f t="shared" si="575"/>
        <v/>
      </c>
      <c r="AX788" s="32" t="str">
        <f t="shared" si="576"/>
        <v/>
      </c>
      <c r="AY788" s="32" t="str">
        <f t="shared" si="577"/>
        <v/>
      </c>
    </row>
    <row r="789" spans="1:51" x14ac:dyDescent="0.25">
      <c r="A789" s="24" t="str">
        <f t="shared" si="535"/>
        <v/>
      </c>
      <c r="B789" s="24" t="str">
        <f t="shared" si="545"/>
        <v/>
      </c>
      <c r="C789" s="32" t="str">
        <f t="shared" si="536"/>
        <v/>
      </c>
      <c r="D789" s="24" t="str">
        <f t="shared" si="537"/>
        <v/>
      </c>
      <c r="E789" s="24" t="str">
        <f t="shared" si="538"/>
        <v/>
      </c>
      <c r="F789" s="32" t="str">
        <f t="shared" si="539"/>
        <v/>
      </c>
      <c r="G789" s="32" t="str">
        <f t="shared" si="540"/>
        <v/>
      </c>
      <c r="H789" s="32" t="str">
        <f t="shared" ca="1" si="541"/>
        <v/>
      </c>
      <c r="I789" s="32" t="str">
        <f t="shared" ca="1" si="546"/>
        <v/>
      </c>
      <c r="J789" s="32" t="str">
        <f t="shared" si="542"/>
        <v/>
      </c>
      <c r="K789" s="32" t="str">
        <f>IF(ISNUMBER(A789),Profile!$V$25+Profile!$V$24*'Ri-Po'!C789,"")</f>
        <v/>
      </c>
      <c r="L789" s="32" t="str">
        <f t="shared" si="547"/>
        <v/>
      </c>
      <c r="M789" s="32" t="str">
        <f t="shared" si="543"/>
        <v/>
      </c>
      <c r="N789" s="32" t="str">
        <f t="shared" si="544"/>
        <v/>
      </c>
      <c r="O789" s="32" t="str">
        <f t="shared" si="560"/>
        <v/>
      </c>
      <c r="P789" s="32" t="str">
        <f t="shared" si="548"/>
        <v/>
      </c>
      <c r="Q789" s="32" t="str">
        <f t="shared" si="549"/>
        <v/>
      </c>
      <c r="R789" s="32" t="str">
        <f t="shared" si="561"/>
        <v/>
      </c>
      <c r="S789" s="24" t="str">
        <f t="shared" si="562"/>
        <v/>
      </c>
      <c r="T789" s="24" t="str">
        <f t="shared" si="563"/>
        <v/>
      </c>
      <c r="U789" s="24" t="str">
        <f t="shared" si="564"/>
        <v/>
      </c>
      <c r="V789" s="24" t="str">
        <f t="shared" si="565"/>
        <v/>
      </c>
      <c r="W789" s="23" t="str">
        <f t="array" ref="W789">IFERROR(SMALL(IF(S$1:S$1000="BEGIN",ROW(S$1:S$1000)),ROW()-3),"")</f>
        <v/>
      </c>
      <c r="X789" s="23" t="str">
        <f t="array" ref="X789">IFERROR(SMALL(IF(T$1:T$1000="END",ROW(T$1:T$1000)),ROW()-3),"")</f>
        <v/>
      </c>
      <c r="Y789" s="33" t="str">
        <f t="array" ref="Y789">IF(ISNUMBER(W789),MAX(IF((B$4:B$1000&lt;=X789)*(B$4:B$1000&gt;=W789),I$4:I$1000, "")),"")</f>
        <v/>
      </c>
      <c r="Z789" s="33" t="str">
        <f t="shared" si="550"/>
        <v/>
      </c>
      <c r="AA789" s="32" t="str">
        <f t="shared" si="551"/>
        <v/>
      </c>
      <c r="AB789" s="32" t="str">
        <f t="shared" si="552"/>
        <v/>
      </c>
      <c r="AC789" s="32" t="str">
        <f t="shared" si="553"/>
        <v/>
      </c>
      <c r="AD789" s="32" t="str">
        <f t="shared" si="554"/>
        <v/>
      </c>
      <c r="AE789" s="34" t="str">
        <f t="shared" si="555"/>
        <v/>
      </c>
      <c r="AF789" s="32" t="str">
        <f t="shared" si="556"/>
        <v/>
      </c>
      <c r="AG789" s="32" t="str">
        <f t="shared" si="557"/>
        <v/>
      </c>
      <c r="AH789" s="32" t="str">
        <f t="shared" si="558"/>
        <v/>
      </c>
      <c r="AI789" s="35" t="str">
        <f t="shared" si="559"/>
        <v/>
      </c>
      <c r="AJ789" s="23" t="str">
        <f t="array" ref="AJ789">IFERROR(SMALL(IF(U$1:U$1000="BEGIN",ROW(U$1:U$1000)),ROW()-3),"")</f>
        <v/>
      </c>
      <c r="AK789" s="23" t="str">
        <f t="array" ref="AK789">IFERROR(SMALL(IF(V$1:V$1000="END",ROW(V$1:V$1000)),ROW()-3),"")</f>
        <v/>
      </c>
      <c r="AL789" s="24" t="str">
        <f t="array" ref="AL789">IF(AK789="","",MATCH(AM789,L:L,0))</f>
        <v/>
      </c>
      <c r="AM789" s="35">
        <f t="array" ref="AM789">MAX(IF((B$4:B$1000&lt;=AK789)*(B$4:B$1000&gt;=AJ789),L$4:L$1000, ""))</f>
        <v>0</v>
      </c>
      <c r="AN789" s="32" t="str">
        <f t="shared" si="566"/>
        <v/>
      </c>
      <c r="AO789" s="32" t="str">
        <f t="shared" si="567"/>
        <v/>
      </c>
      <c r="AP789" s="32" t="str">
        <f t="shared" si="568"/>
        <v/>
      </c>
      <c r="AQ789" s="32" t="str">
        <f t="shared" si="569"/>
        <v/>
      </c>
      <c r="AR789" s="32" t="str">
        <f t="shared" si="570"/>
        <v/>
      </c>
      <c r="AS789" s="32" t="str">
        <f t="shared" si="571"/>
        <v/>
      </c>
      <c r="AT789" s="32" t="str">
        <f t="shared" si="572"/>
        <v/>
      </c>
      <c r="AU789" s="34" t="str">
        <f t="shared" si="573"/>
        <v/>
      </c>
      <c r="AV789" s="32" t="str">
        <f t="shared" si="574"/>
        <v/>
      </c>
      <c r="AW789" s="32" t="str">
        <f t="shared" si="575"/>
        <v/>
      </c>
      <c r="AX789" s="32" t="str">
        <f t="shared" si="576"/>
        <v/>
      </c>
      <c r="AY789" s="32" t="str">
        <f t="shared" si="577"/>
        <v/>
      </c>
    </row>
    <row r="790" spans="1:51" x14ac:dyDescent="0.25">
      <c r="A790" s="24" t="str">
        <f t="shared" si="535"/>
        <v/>
      </c>
      <c r="B790" s="24" t="str">
        <f t="shared" si="545"/>
        <v/>
      </c>
      <c r="C790" s="32" t="str">
        <f t="shared" si="536"/>
        <v/>
      </c>
      <c r="D790" s="24" t="str">
        <f t="shared" si="537"/>
        <v/>
      </c>
      <c r="E790" s="24" t="str">
        <f t="shared" si="538"/>
        <v/>
      </c>
      <c r="F790" s="32" t="str">
        <f t="shared" si="539"/>
        <v/>
      </c>
      <c r="G790" s="32" t="str">
        <f t="shared" si="540"/>
        <v/>
      </c>
      <c r="H790" s="32" t="str">
        <f t="shared" ca="1" si="541"/>
        <v/>
      </c>
      <c r="I790" s="32" t="str">
        <f t="shared" ca="1" si="546"/>
        <v/>
      </c>
      <c r="J790" s="32" t="str">
        <f t="shared" si="542"/>
        <v/>
      </c>
      <c r="K790" s="32" t="str">
        <f>IF(ISNUMBER(A790),Profile!$V$25+Profile!$V$24*'Ri-Po'!C790,"")</f>
        <v/>
      </c>
      <c r="L790" s="32" t="str">
        <f t="shared" si="547"/>
        <v/>
      </c>
      <c r="M790" s="32" t="str">
        <f t="shared" si="543"/>
        <v/>
      </c>
      <c r="N790" s="32" t="str">
        <f t="shared" si="544"/>
        <v/>
      </c>
      <c r="O790" s="32" t="str">
        <f t="shared" si="560"/>
        <v/>
      </c>
      <c r="P790" s="32" t="str">
        <f t="shared" si="548"/>
        <v/>
      </c>
      <c r="Q790" s="32" t="str">
        <f t="shared" si="549"/>
        <v/>
      </c>
      <c r="R790" s="32" t="str">
        <f t="shared" si="561"/>
        <v/>
      </c>
      <c r="S790" s="24" t="str">
        <f t="shared" si="562"/>
        <v/>
      </c>
      <c r="T790" s="24" t="str">
        <f t="shared" si="563"/>
        <v/>
      </c>
      <c r="U790" s="24" t="str">
        <f t="shared" si="564"/>
        <v/>
      </c>
      <c r="V790" s="24" t="str">
        <f t="shared" si="565"/>
        <v/>
      </c>
      <c r="W790" s="23" t="str">
        <f t="array" ref="W790">IFERROR(SMALL(IF(S$1:S$1000="BEGIN",ROW(S$1:S$1000)),ROW()-3),"")</f>
        <v/>
      </c>
      <c r="X790" s="23" t="str">
        <f t="array" ref="X790">IFERROR(SMALL(IF(T$1:T$1000="END",ROW(T$1:T$1000)),ROW()-3),"")</f>
        <v/>
      </c>
      <c r="Y790" s="33" t="str">
        <f t="array" ref="Y790">IF(ISNUMBER(W790),MAX(IF((B$4:B$1000&lt;=X790)*(B$4:B$1000&gt;=W790),I$4:I$1000, "")),"")</f>
        <v/>
      </c>
      <c r="Z790" s="33" t="str">
        <f t="shared" si="550"/>
        <v/>
      </c>
      <c r="AA790" s="32" t="str">
        <f t="shared" si="551"/>
        <v/>
      </c>
      <c r="AB790" s="32" t="str">
        <f t="shared" si="552"/>
        <v/>
      </c>
      <c r="AC790" s="32" t="str">
        <f t="shared" si="553"/>
        <v/>
      </c>
      <c r="AD790" s="32" t="str">
        <f t="shared" si="554"/>
        <v/>
      </c>
      <c r="AE790" s="34" t="str">
        <f t="shared" si="555"/>
        <v/>
      </c>
      <c r="AF790" s="32" t="str">
        <f t="shared" si="556"/>
        <v/>
      </c>
      <c r="AG790" s="32" t="str">
        <f t="shared" si="557"/>
        <v/>
      </c>
      <c r="AH790" s="32" t="str">
        <f t="shared" si="558"/>
        <v/>
      </c>
      <c r="AI790" s="35" t="str">
        <f t="shared" si="559"/>
        <v/>
      </c>
      <c r="AJ790" s="23" t="str">
        <f t="array" ref="AJ790">IFERROR(SMALL(IF(U$1:U$1000="BEGIN",ROW(U$1:U$1000)),ROW()-3),"")</f>
        <v/>
      </c>
      <c r="AK790" s="23" t="str">
        <f t="array" ref="AK790">IFERROR(SMALL(IF(V$1:V$1000="END",ROW(V$1:V$1000)),ROW()-3),"")</f>
        <v/>
      </c>
      <c r="AL790" s="24" t="str">
        <f t="array" ref="AL790">IF(AK790="","",MATCH(AM790,L:L,0))</f>
        <v/>
      </c>
      <c r="AM790" s="35">
        <f t="array" ref="AM790">MAX(IF((B$4:B$1000&lt;=AK790)*(B$4:B$1000&gt;=AJ790),L$4:L$1000, ""))</f>
        <v>0</v>
      </c>
      <c r="AN790" s="32" t="str">
        <f t="shared" si="566"/>
        <v/>
      </c>
      <c r="AO790" s="32" t="str">
        <f t="shared" si="567"/>
        <v/>
      </c>
      <c r="AP790" s="32" t="str">
        <f t="shared" si="568"/>
        <v/>
      </c>
      <c r="AQ790" s="32" t="str">
        <f t="shared" si="569"/>
        <v/>
      </c>
      <c r="AR790" s="32" t="str">
        <f t="shared" si="570"/>
        <v/>
      </c>
      <c r="AS790" s="32" t="str">
        <f t="shared" si="571"/>
        <v/>
      </c>
      <c r="AT790" s="32" t="str">
        <f t="shared" si="572"/>
        <v/>
      </c>
      <c r="AU790" s="34" t="str">
        <f t="shared" si="573"/>
        <v/>
      </c>
      <c r="AV790" s="32" t="str">
        <f t="shared" si="574"/>
        <v/>
      </c>
      <c r="AW790" s="32" t="str">
        <f t="shared" si="575"/>
        <v/>
      </c>
      <c r="AX790" s="32" t="str">
        <f t="shared" si="576"/>
        <v/>
      </c>
      <c r="AY790" s="32" t="str">
        <f t="shared" si="577"/>
        <v/>
      </c>
    </row>
    <row r="791" spans="1:51" x14ac:dyDescent="0.25">
      <c r="A791" s="24" t="str">
        <f t="shared" si="535"/>
        <v/>
      </c>
      <c r="B791" s="24" t="str">
        <f t="shared" si="545"/>
        <v/>
      </c>
      <c r="C791" s="32" t="str">
        <f t="shared" si="536"/>
        <v/>
      </c>
      <c r="D791" s="24" t="str">
        <f t="shared" si="537"/>
        <v/>
      </c>
      <c r="E791" s="24" t="str">
        <f t="shared" si="538"/>
        <v/>
      </c>
      <c r="F791" s="32" t="str">
        <f t="shared" si="539"/>
        <v/>
      </c>
      <c r="G791" s="32" t="str">
        <f t="shared" si="540"/>
        <v/>
      </c>
      <c r="H791" s="32" t="str">
        <f t="shared" ca="1" si="541"/>
        <v/>
      </c>
      <c r="I791" s="32" t="str">
        <f t="shared" ca="1" si="546"/>
        <v/>
      </c>
      <c r="J791" s="32" t="str">
        <f t="shared" si="542"/>
        <v/>
      </c>
      <c r="K791" s="32" t="str">
        <f>IF(ISNUMBER(A791),Profile!$V$25+Profile!$V$24*'Ri-Po'!C791,"")</f>
        <v/>
      </c>
      <c r="L791" s="32" t="str">
        <f t="shared" si="547"/>
        <v/>
      </c>
      <c r="M791" s="32" t="str">
        <f t="shared" si="543"/>
        <v/>
      </c>
      <c r="N791" s="32" t="str">
        <f t="shared" si="544"/>
        <v/>
      </c>
      <c r="O791" s="32" t="str">
        <f t="shared" si="560"/>
        <v/>
      </c>
      <c r="P791" s="32" t="str">
        <f t="shared" si="548"/>
        <v/>
      </c>
      <c r="Q791" s="32" t="str">
        <f t="shared" si="549"/>
        <v/>
      </c>
      <c r="R791" s="32" t="str">
        <f t="shared" si="561"/>
        <v/>
      </c>
      <c r="S791" s="24" t="str">
        <f t="shared" si="562"/>
        <v/>
      </c>
      <c r="T791" s="24" t="str">
        <f t="shared" si="563"/>
        <v/>
      </c>
      <c r="U791" s="24" t="str">
        <f t="shared" si="564"/>
        <v/>
      </c>
      <c r="V791" s="24" t="str">
        <f t="shared" si="565"/>
        <v/>
      </c>
      <c r="W791" s="23" t="str">
        <f t="array" ref="W791">IFERROR(SMALL(IF(S$1:S$1000="BEGIN",ROW(S$1:S$1000)),ROW()-3),"")</f>
        <v/>
      </c>
      <c r="X791" s="23" t="str">
        <f t="array" ref="X791">IFERROR(SMALL(IF(T$1:T$1000="END",ROW(T$1:T$1000)),ROW()-3),"")</f>
        <v/>
      </c>
      <c r="Y791" s="33" t="str">
        <f t="array" ref="Y791">IF(ISNUMBER(W791),MAX(IF((B$4:B$1000&lt;=X791)*(B$4:B$1000&gt;=W791),I$4:I$1000, "")),"")</f>
        <v/>
      </c>
      <c r="Z791" s="33" t="str">
        <f t="shared" si="550"/>
        <v/>
      </c>
      <c r="AA791" s="32" t="str">
        <f t="shared" si="551"/>
        <v/>
      </c>
      <c r="AB791" s="32" t="str">
        <f t="shared" si="552"/>
        <v/>
      </c>
      <c r="AC791" s="32" t="str">
        <f t="shared" si="553"/>
        <v/>
      </c>
      <c r="AD791" s="32" t="str">
        <f t="shared" si="554"/>
        <v/>
      </c>
      <c r="AE791" s="34" t="str">
        <f t="shared" si="555"/>
        <v/>
      </c>
      <c r="AF791" s="32" t="str">
        <f t="shared" si="556"/>
        <v/>
      </c>
      <c r="AG791" s="32" t="str">
        <f t="shared" si="557"/>
        <v/>
      </c>
      <c r="AH791" s="32" t="str">
        <f t="shared" si="558"/>
        <v/>
      </c>
      <c r="AI791" s="35" t="str">
        <f t="shared" si="559"/>
        <v/>
      </c>
      <c r="AJ791" s="23" t="str">
        <f t="array" ref="AJ791">IFERROR(SMALL(IF(U$1:U$1000="BEGIN",ROW(U$1:U$1000)),ROW()-3),"")</f>
        <v/>
      </c>
      <c r="AK791" s="23" t="str">
        <f t="array" ref="AK791">IFERROR(SMALL(IF(V$1:V$1000="END",ROW(V$1:V$1000)),ROW()-3),"")</f>
        <v/>
      </c>
      <c r="AL791" s="24" t="str">
        <f t="array" ref="AL791">IF(AK791="","",MATCH(AM791,L:L,0))</f>
        <v/>
      </c>
      <c r="AM791" s="35">
        <f t="array" ref="AM791">MAX(IF((B$4:B$1000&lt;=AK791)*(B$4:B$1000&gt;=AJ791),L$4:L$1000, ""))</f>
        <v>0</v>
      </c>
      <c r="AN791" s="32" t="str">
        <f t="shared" si="566"/>
        <v/>
      </c>
      <c r="AO791" s="32" t="str">
        <f t="shared" si="567"/>
        <v/>
      </c>
      <c r="AP791" s="32" t="str">
        <f t="shared" si="568"/>
        <v/>
      </c>
      <c r="AQ791" s="32" t="str">
        <f t="shared" si="569"/>
        <v/>
      </c>
      <c r="AR791" s="32" t="str">
        <f t="shared" si="570"/>
        <v/>
      </c>
      <c r="AS791" s="32" t="str">
        <f t="shared" si="571"/>
        <v/>
      </c>
      <c r="AT791" s="32" t="str">
        <f t="shared" si="572"/>
        <v/>
      </c>
      <c r="AU791" s="34" t="str">
        <f t="shared" si="573"/>
        <v/>
      </c>
      <c r="AV791" s="32" t="str">
        <f t="shared" si="574"/>
        <v/>
      </c>
      <c r="AW791" s="32" t="str">
        <f t="shared" si="575"/>
        <v/>
      </c>
      <c r="AX791" s="32" t="str">
        <f t="shared" si="576"/>
        <v/>
      </c>
      <c r="AY791" s="32" t="str">
        <f t="shared" si="577"/>
        <v/>
      </c>
    </row>
    <row r="792" spans="1:51" x14ac:dyDescent="0.25">
      <c r="A792" s="24" t="str">
        <f t="shared" si="535"/>
        <v/>
      </c>
      <c r="B792" s="24" t="str">
        <f t="shared" si="545"/>
        <v/>
      </c>
      <c r="C792" s="32" t="str">
        <f t="shared" si="536"/>
        <v/>
      </c>
      <c r="D792" s="24" t="str">
        <f t="shared" si="537"/>
        <v/>
      </c>
      <c r="E792" s="24" t="str">
        <f t="shared" si="538"/>
        <v/>
      </c>
      <c r="F792" s="32" t="str">
        <f t="shared" si="539"/>
        <v/>
      </c>
      <c r="G792" s="32" t="str">
        <f t="shared" si="540"/>
        <v/>
      </c>
      <c r="H792" s="32" t="str">
        <f t="shared" ca="1" si="541"/>
        <v/>
      </c>
      <c r="I792" s="32" t="str">
        <f t="shared" ca="1" si="546"/>
        <v/>
      </c>
      <c r="J792" s="32" t="str">
        <f t="shared" si="542"/>
        <v/>
      </c>
      <c r="K792" s="32" t="str">
        <f>IF(ISNUMBER(A792),Profile!$V$25+Profile!$V$24*'Ri-Po'!C792,"")</f>
        <v/>
      </c>
      <c r="L792" s="32" t="str">
        <f t="shared" si="547"/>
        <v/>
      </c>
      <c r="M792" s="32" t="str">
        <f t="shared" si="543"/>
        <v/>
      </c>
      <c r="N792" s="32" t="str">
        <f t="shared" si="544"/>
        <v/>
      </c>
      <c r="O792" s="32" t="str">
        <f t="shared" si="560"/>
        <v/>
      </c>
      <c r="P792" s="32" t="str">
        <f t="shared" si="548"/>
        <v/>
      </c>
      <c r="Q792" s="32" t="str">
        <f t="shared" si="549"/>
        <v/>
      </c>
      <c r="R792" s="32" t="str">
        <f t="shared" si="561"/>
        <v/>
      </c>
      <c r="S792" s="24" t="str">
        <f t="shared" si="562"/>
        <v/>
      </c>
      <c r="T792" s="24" t="str">
        <f t="shared" si="563"/>
        <v/>
      </c>
      <c r="U792" s="24" t="str">
        <f t="shared" si="564"/>
        <v/>
      </c>
      <c r="V792" s="24" t="str">
        <f t="shared" si="565"/>
        <v/>
      </c>
      <c r="W792" s="23" t="str">
        <f t="array" ref="W792">IFERROR(SMALL(IF(S$1:S$1000="BEGIN",ROW(S$1:S$1000)),ROW()-3),"")</f>
        <v/>
      </c>
      <c r="X792" s="23" t="str">
        <f t="array" ref="X792">IFERROR(SMALL(IF(T$1:T$1000="END",ROW(T$1:T$1000)),ROW()-3),"")</f>
        <v/>
      </c>
      <c r="Y792" s="33" t="str">
        <f t="array" ref="Y792">IF(ISNUMBER(W792),MAX(IF((B$4:B$1000&lt;=X792)*(B$4:B$1000&gt;=W792),I$4:I$1000, "")),"")</f>
        <v/>
      </c>
      <c r="Z792" s="33" t="str">
        <f t="shared" si="550"/>
        <v/>
      </c>
      <c r="AA792" s="32" t="str">
        <f t="shared" si="551"/>
        <v/>
      </c>
      <c r="AB792" s="32" t="str">
        <f t="shared" si="552"/>
        <v/>
      </c>
      <c r="AC792" s="32" t="str">
        <f t="shared" si="553"/>
        <v/>
      </c>
      <c r="AD792" s="32" t="str">
        <f t="shared" si="554"/>
        <v/>
      </c>
      <c r="AE792" s="34" t="str">
        <f t="shared" si="555"/>
        <v/>
      </c>
      <c r="AF792" s="32" t="str">
        <f t="shared" si="556"/>
        <v/>
      </c>
      <c r="AG792" s="32" t="str">
        <f t="shared" si="557"/>
        <v/>
      </c>
      <c r="AH792" s="32" t="str">
        <f t="shared" si="558"/>
        <v/>
      </c>
      <c r="AI792" s="35" t="str">
        <f t="shared" si="559"/>
        <v/>
      </c>
      <c r="AJ792" s="23" t="str">
        <f t="array" ref="AJ792">IFERROR(SMALL(IF(U$1:U$1000="BEGIN",ROW(U$1:U$1000)),ROW()-3),"")</f>
        <v/>
      </c>
      <c r="AK792" s="23" t="str">
        <f t="array" ref="AK792">IFERROR(SMALL(IF(V$1:V$1000="END",ROW(V$1:V$1000)),ROW()-3),"")</f>
        <v/>
      </c>
      <c r="AL792" s="24" t="str">
        <f t="array" ref="AL792">IF(AK792="","",MATCH(AM792,L:L,0))</f>
        <v/>
      </c>
      <c r="AM792" s="35">
        <f t="array" ref="AM792">MAX(IF((B$4:B$1000&lt;=AK792)*(B$4:B$1000&gt;=AJ792),L$4:L$1000, ""))</f>
        <v>0</v>
      </c>
      <c r="AN792" s="32" t="str">
        <f t="shared" si="566"/>
        <v/>
      </c>
      <c r="AO792" s="32" t="str">
        <f t="shared" si="567"/>
        <v/>
      </c>
      <c r="AP792" s="32" t="str">
        <f t="shared" si="568"/>
        <v/>
      </c>
      <c r="AQ792" s="32" t="str">
        <f t="shared" si="569"/>
        <v/>
      </c>
      <c r="AR792" s="32" t="str">
        <f t="shared" si="570"/>
        <v/>
      </c>
      <c r="AS792" s="32" t="str">
        <f t="shared" si="571"/>
        <v/>
      </c>
      <c r="AT792" s="32" t="str">
        <f t="shared" si="572"/>
        <v/>
      </c>
      <c r="AU792" s="34" t="str">
        <f t="shared" si="573"/>
        <v/>
      </c>
      <c r="AV792" s="32" t="str">
        <f t="shared" si="574"/>
        <v/>
      </c>
      <c r="AW792" s="32" t="str">
        <f t="shared" si="575"/>
        <v/>
      </c>
      <c r="AX792" s="32" t="str">
        <f t="shared" si="576"/>
        <v/>
      </c>
      <c r="AY792" s="32" t="str">
        <f t="shared" si="577"/>
        <v/>
      </c>
    </row>
    <row r="793" spans="1:51" x14ac:dyDescent="0.25">
      <c r="A793" s="24" t="str">
        <f t="shared" si="535"/>
        <v/>
      </c>
      <c r="B793" s="24" t="str">
        <f t="shared" si="545"/>
        <v/>
      </c>
      <c r="C793" s="32" t="str">
        <f t="shared" si="536"/>
        <v/>
      </c>
      <c r="D793" s="24" t="str">
        <f t="shared" si="537"/>
        <v/>
      </c>
      <c r="E793" s="24" t="str">
        <f t="shared" si="538"/>
        <v/>
      </c>
      <c r="F793" s="32" t="str">
        <f t="shared" si="539"/>
        <v/>
      </c>
      <c r="G793" s="32" t="str">
        <f t="shared" si="540"/>
        <v/>
      </c>
      <c r="H793" s="32" t="str">
        <f t="shared" ca="1" si="541"/>
        <v/>
      </c>
      <c r="I793" s="32" t="str">
        <f t="shared" ca="1" si="546"/>
        <v/>
      </c>
      <c r="J793" s="32" t="str">
        <f t="shared" si="542"/>
        <v/>
      </c>
      <c r="K793" s="32" t="str">
        <f>IF(ISNUMBER(A793),Profile!$V$25+Profile!$V$24*'Ri-Po'!C793,"")</f>
        <v/>
      </c>
      <c r="L793" s="32" t="str">
        <f t="shared" si="547"/>
        <v/>
      </c>
      <c r="M793" s="32" t="str">
        <f t="shared" si="543"/>
        <v/>
      </c>
      <c r="N793" s="32" t="str">
        <f t="shared" si="544"/>
        <v/>
      </c>
      <c r="O793" s="32" t="str">
        <f t="shared" si="560"/>
        <v/>
      </c>
      <c r="P793" s="32" t="str">
        <f t="shared" si="548"/>
        <v/>
      </c>
      <c r="Q793" s="32" t="str">
        <f t="shared" si="549"/>
        <v/>
      </c>
      <c r="R793" s="32" t="str">
        <f t="shared" si="561"/>
        <v/>
      </c>
      <c r="S793" s="24" t="str">
        <f t="shared" si="562"/>
        <v/>
      </c>
      <c r="T793" s="24" t="str">
        <f t="shared" si="563"/>
        <v/>
      </c>
      <c r="U793" s="24" t="str">
        <f t="shared" si="564"/>
        <v/>
      </c>
      <c r="V793" s="24" t="str">
        <f t="shared" si="565"/>
        <v/>
      </c>
      <c r="W793" s="23" t="str">
        <f t="array" ref="W793">IFERROR(SMALL(IF(S$1:S$1000="BEGIN",ROW(S$1:S$1000)),ROW()-3),"")</f>
        <v/>
      </c>
      <c r="X793" s="23" t="str">
        <f t="array" ref="X793">IFERROR(SMALL(IF(T$1:T$1000="END",ROW(T$1:T$1000)),ROW()-3),"")</f>
        <v/>
      </c>
      <c r="Y793" s="33" t="str">
        <f t="array" ref="Y793">IF(ISNUMBER(W793),MAX(IF((B$4:B$1000&lt;=X793)*(B$4:B$1000&gt;=W793),I$4:I$1000, "")),"")</f>
        <v/>
      </c>
      <c r="Z793" s="33" t="str">
        <f t="shared" si="550"/>
        <v/>
      </c>
      <c r="AA793" s="32" t="str">
        <f t="shared" si="551"/>
        <v/>
      </c>
      <c r="AB793" s="32" t="str">
        <f t="shared" si="552"/>
        <v/>
      </c>
      <c r="AC793" s="32" t="str">
        <f t="shared" si="553"/>
        <v/>
      </c>
      <c r="AD793" s="32" t="str">
        <f t="shared" si="554"/>
        <v/>
      </c>
      <c r="AE793" s="34" t="str">
        <f t="shared" si="555"/>
        <v/>
      </c>
      <c r="AF793" s="32" t="str">
        <f t="shared" si="556"/>
        <v/>
      </c>
      <c r="AG793" s="32" t="str">
        <f t="shared" si="557"/>
        <v/>
      </c>
      <c r="AH793" s="32" t="str">
        <f t="shared" si="558"/>
        <v/>
      </c>
      <c r="AI793" s="35" t="str">
        <f t="shared" si="559"/>
        <v/>
      </c>
      <c r="AJ793" s="23" t="str">
        <f t="array" ref="AJ793">IFERROR(SMALL(IF(U$1:U$1000="BEGIN",ROW(U$1:U$1000)),ROW()-3),"")</f>
        <v/>
      </c>
      <c r="AK793" s="23" t="str">
        <f t="array" ref="AK793">IFERROR(SMALL(IF(V$1:V$1000="END",ROW(V$1:V$1000)),ROW()-3),"")</f>
        <v/>
      </c>
      <c r="AL793" s="24" t="str">
        <f t="array" ref="AL793">IF(AK793="","",MATCH(AM793,L:L,0))</f>
        <v/>
      </c>
      <c r="AM793" s="35">
        <f t="array" ref="AM793">MAX(IF((B$4:B$1000&lt;=AK793)*(B$4:B$1000&gt;=AJ793),L$4:L$1000, ""))</f>
        <v>0</v>
      </c>
      <c r="AN793" s="32" t="str">
        <f t="shared" si="566"/>
        <v/>
      </c>
      <c r="AO793" s="32" t="str">
        <f t="shared" si="567"/>
        <v/>
      </c>
      <c r="AP793" s="32" t="str">
        <f t="shared" si="568"/>
        <v/>
      </c>
      <c r="AQ793" s="32" t="str">
        <f t="shared" si="569"/>
        <v/>
      </c>
      <c r="AR793" s="32" t="str">
        <f t="shared" si="570"/>
        <v/>
      </c>
      <c r="AS793" s="32" t="str">
        <f t="shared" si="571"/>
        <v/>
      </c>
      <c r="AT793" s="32" t="str">
        <f t="shared" si="572"/>
        <v/>
      </c>
      <c r="AU793" s="34" t="str">
        <f t="shared" si="573"/>
        <v/>
      </c>
      <c r="AV793" s="32" t="str">
        <f t="shared" si="574"/>
        <v/>
      </c>
      <c r="AW793" s="32" t="str">
        <f t="shared" si="575"/>
        <v/>
      </c>
      <c r="AX793" s="32" t="str">
        <f t="shared" si="576"/>
        <v/>
      </c>
      <c r="AY793" s="32" t="str">
        <f t="shared" si="577"/>
        <v/>
      </c>
    </row>
    <row r="794" spans="1:51" x14ac:dyDescent="0.25">
      <c r="A794" s="24" t="str">
        <f t="shared" si="535"/>
        <v/>
      </c>
      <c r="B794" s="24" t="str">
        <f t="shared" si="545"/>
        <v/>
      </c>
      <c r="C794" s="32" t="str">
        <f t="shared" si="536"/>
        <v/>
      </c>
      <c r="D794" s="24" t="str">
        <f t="shared" si="537"/>
        <v/>
      </c>
      <c r="E794" s="24" t="str">
        <f t="shared" si="538"/>
        <v/>
      </c>
      <c r="F794" s="32" t="str">
        <f t="shared" si="539"/>
        <v/>
      </c>
      <c r="G794" s="32" t="str">
        <f t="shared" si="540"/>
        <v/>
      </c>
      <c r="H794" s="32" t="str">
        <f t="shared" ca="1" si="541"/>
        <v/>
      </c>
      <c r="I794" s="32" t="str">
        <f t="shared" ca="1" si="546"/>
        <v/>
      </c>
      <c r="J794" s="32" t="str">
        <f t="shared" si="542"/>
        <v/>
      </c>
      <c r="K794" s="32" t="str">
        <f>IF(ISNUMBER(A794),Profile!$V$25+Profile!$V$24*'Ri-Po'!C794,"")</f>
        <v/>
      </c>
      <c r="L794" s="32" t="str">
        <f t="shared" si="547"/>
        <v/>
      </c>
      <c r="M794" s="32" t="str">
        <f t="shared" si="543"/>
        <v/>
      </c>
      <c r="N794" s="32" t="str">
        <f t="shared" si="544"/>
        <v/>
      </c>
      <c r="O794" s="32" t="str">
        <f t="shared" si="560"/>
        <v/>
      </c>
      <c r="P794" s="32" t="str">
        <f t="shared" si="548"/>
        <v/>
      </c>
      <c r="Q794" s="32" t="str">
        <f t="shared" si="549"/>
        <v/>
      </c>
      <c r="R794" s="32" t="str">
        <f t="shared" si="561"/>
        <v/>
      </c>
      <c r="S794" s="24" t="str">
        <f t="shared" si="562"/>
        <v/>
      </c>
      <c r="T794" s="24" t="str">
        <f t="shared" si="563"/>
        <v/>
      </c>
      <c r="U794" s="24" t="str">
        <f t="shared" si="564"/>
        <v/>
      </c>
      <c r="V794" s="24" t="str">
        <f t="shared" si="565"/>
        <v/>
      </c>
      <c r="W794" s="23" t="str">
        <f t="array" ref="W794">IFERROR(SMALL(IF(S$1:S$1000="BEGIN",ROW(S$1:S$1000)),ROW()-3),"")</f>
        <v/>
      </c>
      <c r="X794" s="23" t="str">
        <f t="array" ref="X794">IFERROR(SMALL(IF(T$1:T$1000="END",ROW(T$1:T$1000)),ROW()-3),"")</f>
        <v/>
      </c>
      <c r="Y794" s="33" t="str">
        <f t="array" ref="Y794">IF(ISNUMBER(W794),MAX(IF((B$4:B$1000&lt;=X794)*(B$4:B$1000&gt;=W794),I$4:I$1000, "")),"")</f>
        <v/>
      </c>
      <c r="Z794" s="33" t="str">
        <f t="shared" si="550"/>
        <v/>
      </c>
      <c r="AA794" s="32" t="str">
        <f t="shared" si="551"/>
        <v/>
      </c>
      <c r="AB794" s="32" t="str">
        <f t="shared" si="552"/>
        <v/>
      </c>
      <c r="AC794" s="32" t="str">
        <f t="shared" si="553"/>
        <v/>
      </c>
      <c r="AD794" s="32" t="str">
        <f t="shared" si="554"/>
        <v/>
      </c>
      <c r="AE794" s="34" t="str">
        <f t="shared" si="555"/>
        <v/>
      </c>
      <c r="AF794" s="32" t="str">
        <f t="shared" si="556"/>
        <v/>
      </c>
      <c r="AG794" s="32" t="str">
        <f t="shared" si="557"/>
        <v/>
      </c>
      <c r="AH794" s="32" t="str">
        <f t="shared" si="558"/>
        <v/>
      </c>
      <c r="AI794" s="35" t="str">
        <f t="shared" si="559"/>
        <v/>
      </c>
      <c r="AJ794" s="23" t="str">
        <f t="array" ref="AJ794">IFERROR(SMALL(IF(U$1:U$1000="BEGIN",ROW(U$1:U$1000)),ROW()-3),"")</f>
        <v/>
      </c>
      <c r="AK794" s="23" t="str">
        <f t="array" ref="AK794">IFERROR(SMALL(IF(V$1:V$1000="END",ROW(V$1:V$1000)),ROW()-3),"")</f>
        <v/>
      </c>
      <c r="AL794" s="24" t="str">
        <f t="array" ref="AL794">IF(AK794="","",MATCH(AM794,L:L,0))</f>
        <v/>
      </c>
      <c r="AM794" s="35">
        <f t="array" ref="AM794">MAX(IF((B$4:B$1000&lt;=AK794)*(B$4:B$1000&gt;=AJ794),L$4:L$1000, ""))</f>
        <v>0</v>
      </c>
      <c r="AN794" s="32" t="str">
        <f t="shared" si="566"/>
        <v/>
      </c>
      <c r="AO794" s="32" t="str">
        <f t="shared" si="567"/>
        <v/>
      </c>
      <c r="AP794" s="32" t="str">
        <f t="shared" si="568"/>
        <v/>
      </c>
      <c r="AQ794" s="32" t="str">
        <f t="shared" si="569"/>
        <v/>
      </c>
      <c r="AR794" s="32" t="str">
        <f t="shared" si="570"/>
        <v/>
      </c>
      <c r="AS794" s="32" t="str">
        <f t="shared" si="571"/>
        <v/>
      </c>
      <c r="AT794" s="32" t="str">
        <f t="shared" si="572"/>
        <v/>
      </c>
      <c r="AU794" s="34" t="str">
        <f t="shared" si="573"/>
        <v/>
      </c>
      <c r="AV794" s="32" t="str">
        <f t="shared" si="574"/>
        <v/>
      </c>
      <c r="AW794" s="32" t="str">
        <f t="shared" si="575"/>
        <v/>
      </c>
      <c r="AX794" s="32" t="str">
        <f t="shared" si="576"/>
        <v/>
      </c>
      <c r="AY794" s="32" t="str">
        <f t="shared" si="577"/>
        <v/>
      </c>
    </row>
    <row r="795" spans="1:51" x14ac:dyDescent="0.25">
      <c r="A795" s="24" t="str">
        <f t="shared" si="535"/>
        <v/>
      </c>
      <c r="B795" s="24" t="str">
        <f t="shared" si="545"/>
        <v/>
      </c>
      <c r="C795" s="32" t="str">
        <f t="shared" si="536"/>
        <v/>
      </c>
      <c r="D795" s="24" t="str">
        <f t="shared" si="537"/>
        <v/>
      </c>
      <c r="E795" s="24" t="str">
        <f t="shared" si="538"/>
        <v/>
      </c>
      <c r="F795" s="32" t="str">
        <f t="shared" si="539"/>
        <v/>
      </c>
      <c r="G795" s="32" t="str">
        <f t="shared" si="540"/>
        <v/>
      </c>
      <c r="H795" s="32" t="str">
        <f t="shared" ca="1" si="541"/>
        <v/>
      </c>
      <c r="I795" s="32" t="str">
        <f t="shared" ca="1" si="546"/>
        <v/>
      </c>
      <c r="J795" s="32" t="str">
        <f t="shared" si="542"/>
        <v/>
      </c>
      <c r="K795" s="32" t="str">
        <f>IF(ISNUMBER(A795),Profile!$V$25+Profile!$V$24*'Ri-Po'!C795,"")</f>
        <v/>
      </c>
      <c r="L795" s="32" t="str">
        <f t="shared" si="547"/>
        <v/>
      </c>
      <c r="M795" s="32" t="str">
        <f t="shared" si="543"/>
        <v/>
      </c>
      <c r="N795" s="32" t="str">
        <f t="shared" si="544"/>
        <v/>
      </c>
      <c r="O795" s="32" t="str">
        <f t="shared" si="560"/>
        <v/>
      </c>
      <c r="P795" s="32" t="str">
        <f t="shared" si="548"/>
        <v/>
      </c>
      <c r="Q795" s="32" t="str">
        <f t="shared" si="549"/>
        <v/>
      </c>
      <c r="R795" s="32" t="str">
        <f t="shared" si="561"/>
        <v/>
      </c>
      <c r="S795" s="24" t="str">
        <f t="shared" si="562"/>
        <v/>
      </c>
      <c r="T795" s="24" t="str">
        <f t="shared" si="563"/>
        <v/>
      </c>
      <c r="U795" s="24" t="str">
        <f t="shared" si="564"/>
        <v/>
      </c>
      <c r="V795" s="24" t="str">
        <f t="shared" si="565"/>
        <v/>
      </c>
      <c r="W795" s="23" t="str">
        <f t="array" ref="W795">IFERROR(SMALL(IF(S$1:S$1000="BEGIN",ROW(S$1:S$1000)),ROW()-3),"")</f>
        <v/>
      </c>
      <c r="X795" s="23" t="str">
        <f t="array" ref="X795">IFERROR(SMALL(IF(T$1:T$1000="END",ROW(T$1:T$1000)),ROW()-3),"")</f>
        <v/>
      </c>
      <c r="Y795" s="33" t="str">
        <f t="array" ref="Y795">IF(ISNUMBER(W795),MAX(IF((B$4:B$1000&lt;=X795)*(B$4:B$1000&gt;=W795),I$4:I$1000, "")),"")</f>
        <v/>
      </c>
      <c r="Z795" s="33" t="str">
        <f t="shared" si="550"/>
        <v/>
      </c>
      <c r="AA795" s="32" t="str">
        <f t="shared" si="551"/>
        <v/>
      </c>
      <c r="AB795" s="32" t="str">
        <f t="shared" si="552"/>
        <v/>
      </c>
      <c r="AC795" s="32" t="str">
        <f t="shared" si="553"/>
        <v/>
      </c>
      <c r="AD795" s="32" t="str">
        <f t="shared" si="554"/>
        <v/>
      </c>
      <c r="AE795" s="34" t="str">
        <f t="shared" si="555"/>
        <v/>
      </c>
      <c r="AF795" s="32" t="str">
        <f t="shared" si="556"/>
        <v/>
      </c>
      <c r="AG795" s="32" t="str">
        <f t="shared" si="557"/>
        <v/>
      </c>
      <c r="AH795" s="32" t="str">
        <f t="shared" si="558"/>
        <v/>
      </c>
      <c r="AI795" s="35" t="str">
        <f t="shared" si="559"/>
        <v/>
      </c>
      <c r="AJ795" s="23" t="str">
        <f t="array" ref="AJ795">IFERROR(SMALL(IF(U$1:U$1000="BEGIN",ROW(U$1:U$1000)),ROW()-3),"")</f>
        <v/>
      </c>
      <c r="AK795" s="23" t="str">
        <f t="array" ref="AK795">IFERROR(SMALL(IF(V$1:V$1000="END",ROW(V$1:V$1000)),ROW()-3),"")</f>
        <v/>
      </c>
      <c r="AL795" s="24" t="str">
        <f t="array" ref="AL795">IF(AK795="","",MATCH(AM795,L:L,0))</f>
        <v/>
      </c>
      <c r="AM795" s="35">
        <f t="array" ref="AM795">MAX(IF((B$4:B$1000&lt;=AK795)*(B$4:B$1000&gt;=AJ795),L$4:L$1000, ""))</f>
        <v>0</v>
      </c>
      <c r="AN795" s="32" t="str">
        <f t="shared" si="566"/>
        <v/>
      </c>
      <c r="AO795" s="32" t="str">
        <f t="shared" si="567"/>
        <v/>
      </c>
      <c r="AP795" s="32" t="str">
        <f t="shared" si="568"/>
        <v/>
      </c>
      <c r="AQ795" s="32" t="str">
        <f t="shared" si="569"/>
        <v/>
      </c>
      <c r="AR795" s="32" t="str">
        <f t="shared" si="570"/>
        <v/>
      </c>
      <c r="AS795" s="32" t="str">
        <f t="shared" si="571"/>
        <v/>
      </c>
      <c r="AT795" s="32" t="str">
        <f t="shared" si="572"/>
        <v/>
      </c>
      <c r="AU795" s="34" t="str">
        <f t="shared" si="573"/>
        <v/>
      </c>
      <c r="AV795" s="32" t="str">
        <f t="shared" si="574"/>
        <v/>
      </c>
      <c r="AW795" s="32" t="str">
        <f t="shared" si="575"/>
        <v/>
      </c>
      <c r="AX795" s="32" t="str">
        <f t="shared" si="576"/>
        <v/>
      </c>
      <c r="AY795" s="32" t="str">
        <f t="shared" si="577"/>
        <v/>
      </c>
    </row>
    <row r="796" spans="1:51" x14ac:dyDescent="0.25">
      <c r="A796" s="24" t="str">
        <f t="shared" si="535"/>
        <v/>
      </c>
      <c r="B796" s="24" t="str">
        <f t="shared" si="545"/>
        <v/>
      </c>
      <c r="C796" s="32" t="str">
        <f t="shared" si="536"/>
        <v/>
      </c>
      <c r="D796" s="24" t="str">
        <f t="shared" si="537"/>
        <v/>
      </c>
      <c r="E796" s="24" t="str">
        <f t="shared" si="538"/>
        <v/>
      </c>
      <c r="F796" s="32" t="str">
        <f t="shared" si="539"/>
        <v/>
      </c>
      <c r="G796" s="32" t="str">
        <f t="shared" si="540"/>
        <v/>
      </c>
      <c r="H796" s="32" t="str">
        <f t="shared" ca="1" si="541"/>
        <v/>
      </c>
      <c r="I796" s="32" t="str">
        <f t="shared" ca="1" si="546"/>
        <v/>
      </c>
      <c r="J796" s="32" t="str">
        <f t="shared" si="542"/>
        <v/>
      </c>
      <c r="K796" s="32" t="str">
        <f>IF(ISNUMBER(A796),Profile!$V$25+Profile!$V$24*'Ri-Po'!C796,"")</f>
        <v/>
      </c>
      <c r="L796" s="32" t="str">
        <f t="shared" si="547"/>
        <v/>
      </c>
      <c r="M796" s="32" t="str">
        <f t="shared" si="543"/>
        <v/>
      </c>
      <c r="N796" s="32" t="str">
        <f t="shared" si="544"/>
        <v/>
      </c>
      <c r="O796" s="32" t="str">
        <f t="shared" si="560"/>
        <v/>
      </c>
      <c r="P796" s="32" t="str">
        <f t="shared" si="548"/>
        <v/>
      </c>
      <c r="Q796" s="32" t="str">
        <f t="shared" si="549"/>
        <v/>
      </c>
      <c r="R796" s="32" t="str">
        <f t="shared" si="561"/>
        <v/>
      </c>
      <c r="S796" s="24" t="str">
        <f t="shared" si="562"/>
        <v/>
      </c>
      <c r="T796" s="24" t="str">
        <f t="shared" si="563"/>
        <v/>
      </c>
      <c r="U796" s="24" t="str">
        <f t="shared" si="564"/>
        <v/>
      </c>
      <c r="V796" s="24" t="str">
        <f t="shared" si="565"/>
        <v/>
      </c>
      <c r="W796" s="23" t="str">
        <f t="array" ref="W796">IFERROR(SMALL(IF(S$1:S$1000="BEGIN",ROW(S$1:S$1000)),ROW()-3),"")</f>
        <v/>
      </c>
      <c r="X796" s="23" t="str">
        <f t="array" ref="X796">IFERROR(SMALL(IF(T$1:T$1000="END",ROW(T$1:T$1000)),ROW()-3),"")</f>
        <v/>
      </c>
      <c r="Y796" s="33" t="str">
        <f t="array" ref="Y796">IF(ISNUMBER(W796),MAX(IF((B$4:B$1000&lt;=X796)*(B$4:B$1000&gt;=W796),I$4:I$1000, "")),"")</f>
        <v/>
      </c>
      <c r="Z796" s="33" t="str">
        <f t="shared" si="550"/>
        <v/>
      </c>
      <c r="AA796" s="32" t="str">
        <f t="shared" si="551"/>
        <v/>
      </c>
      <c r="AB796" s="32" t="str">
        <f t="shared" si="552"/>
        <v/>
      </c>
      <c r="AC796" s="32" t="str">
        <f t="shared" si="553"/>
        <v/>
      </c>
      <c r="AD796" s="32" t="str">
        <f t="shared" si="554"/>
        <v/>
      </c>
      <c r="AE796" s="34" t="str">
        <f t="shared" si="555"/>
        <v/>
      </c>
      <c r="AF796" s="32" t="str">
        <f t="shared" si="556"/>
        <v/>
      </c>
      <c r="AG796" s="32" t="str">
        <f t="shared" si="557"/>
        <v/>
      </c>
      <c r="AH796" s="32" t="str">
        <f t="shared" si="558"/>
        <v/>
      </c>
      <c r="AI796" s="35" t="str">
        <f t="shared" si="559"/>
        <v/>
      </c>
      <c r="AJ796" s="23" t="str">
        <f t="array" ref="AJ796">IFERROR(SMALL(IF(U$1:U$1000="BEGIN",ROW(U$1:U$1000)),ROW()-3),"")</f>
        <v/>
      </c>
      <c r="AK796" s="23" t="str">
        <f t="array" ref="AK796">IFERROR(SMALL(IF(V$1:V$1000="END",ROW(V$1:V$1000)),ROW()-3),"")</f>
        <v/>
      </c>
      <c r="AL796" s="24" t="str">
        <f t="array" ref="AL796">IF(AK796="","",MATCH(AM796,L:L,0))</f>
        <v/>
      </c>
      <c r="AM796" s="35">
        <f t="array" ref="AM796">MAX(IF((B$4:B$1000&lt;=AK796)*(B$4:B$1000&gt;=AJ796),L$4:L$1000, ""))</f>
        <v>0</v>
      </c>
      <c r="AN796" s="32" t="str">
        <f t="shared" si="566"/>
        <v/>
      </c>
      <c r="AO796" s="32" t="str">
        <f t="shared" si="567"/>
        <v/>
      </c>
      <c r="AP796" s="32" t="str">
        <f t="shared" si="568"/>
        <v/>
      </c>
      <c r="AQ796" s="32" t="str">
        <f t="shared" si="569"/>
        <v/>
      </c>
      <c r="AR796" s="32" t="str">
        <f t="shared" si="570"/>
        <v/>
      </c>
      <c r="AS796" s="32" t="str">
        <f t="shared" si="571"/>
        <v/>
      </c>
      <c r="AT796" s="32" t="str">
        <f t="shared" si="572"/>
        <v/>
      </c>
      <c r="AU796" s="34" t="str">
        <f t="shared" si="573"/>
        <v/>
      </c>
      <c r="AV796" s="32" t="str">
        <f t="shared" si="574"/>
        <v/>
      </c>
      <c r="AW796" s="32" t="str">
        <f t="shared" si="575"/>
        <v/>
      </c>
      <c r="AX796" s="32" t="str">
        <f t="shared" si="576"/>
        <v/>
      </c>
      <c r="AY796" s="32" t="str">
        <f t="shared" si="577"/>
        <v/>
      </c>
    </row>
    <row r="797" spans="1:51" x14ac:dyDescent="0.25">
      <c r="A797" s="24" t="str">
        <f t="shared" si="535"/>
        <v/>
      </c>
      <c r="B797" s="24" t="str">
        <f t="shared" si="545"/>
        <v/>
      </c>
      <c r="C797" s="32" t="str">
        <f t="shared" si="536"/>
        <v/>
      </c>
      <c r="D797" s="24" t="str">
        <f t="shared" si="537"/>
        <v/>
      </c>
      <c r="E797" s="24" t="str">
        <f t="shared" si="538"/>
        <v/>
      </c>
      <c r="F797" s="32" t="str">
        <f t="shared" si="539"/>
        <v/>
      </c>
      <c r="G797" s="32" t="str">
        <f t="shared" si="540"/>
        <v/>
      </c>
      <c r="H797" s="32" t="str">
        <f t="shared" ca="1" si="541"/>
        <v/>
      </c>
      <c r="I797" s="32" t="str">
        <f t="shared" ca="1" si="546"/>
        <v/>
      </c>
      <c r="J797" s="32" t="str">
        <f t="shared" si="542"/>
        <v/>
      </c>
      <c r="K797" s="32" t="str">
        <f>IF(ISNUMBER(A797),Profile!$V$25+Profile!$V$24*'Ri-Po'!C797,"")</f>
        <v/>
      </c>
      <c r="L797" s="32" t="str">
        <f t="shared" si="547"/>
        <v/>
      </c>
      <c r="M797" s="32" t="str">
        <f t="shared" si="543"/>
        <v/>
      </c>
      <c r="N797" s="32" t="str">
        <f t="shared" si="544"/>
        <v/>
      </c>
      <c r="O797" s="32" t="str">
        <f t="shared" si="560"/>
        <v/>
      </c>
      <c r="P797" s="32" t="str">
        <f t="shared" si="548"/>
        <v/>
      </c>
      <c r="Q797" s="32" t="str">
        <f t="shared" si="549"/>
        <v/>
      </c>
      <c r="R797" s="32" t="str">
        <f t="shared" si="561"/>
        <v/>
      </c>
      <c r="S797" s="24" t="str">
        <f t="shared" si="562"/>
        <v/>
      </c>
      <c r="T797" s="24" t="str">
        <f t="shared" si="563"/>
        <v/>
      </c>
      <c r="U797" s="24" t="str">
        <f t="shared" si="564"/>
        <v/>
      </c>
      <c r="V797" s="24" t="str">
        <f t="shared" si="565"/>
        <v/>
      </c>
      <c r="W797" s="23" t="str">
        <f t="array" ref="W797">IFERROR(SMALL(IF(S$1:S$1000="BEGIN",ROW(S$1:S$1000)),ROW()-3),"")</f>
        <v/>
      </c>
      <c r="X797" s="23" t="str">
        <f t="array" ref="X797">IFERROR(SMALL(IF(T$1:T$1000="END",ROW(T$1:T$1000)),ROW()-3),"")</f>
        <v/>
      </c>
      <c r="Y797" s="33" t="str">
        <f t="array" ref="Y797">IF(ISNUMBER(W797),MAX(IF((B$4:B$1000&lt;=X797)*(B$4:B$1000&gt;=W797),I$4:I$1000, "")),"")</f>
        <v/>
      </c>
      <c r="Z797" s="33" t="str">
        <f t="shared" si="550"/>
        <v/>
      </c>
      <c r="AA797" s="32" t="str">
        <f t="shared" si="551"/>
        <v/>
      </c>
      <c r="AB797" s="32" t="str">
        <f t="shared" si="552"/>
        <v/>
      </c>
      <c r="AC797" s="32" t="str">
        <f t="shared" si="553"/>
        <v/>
      </c>
      <c r="AD797" s="32" t="str">
        <f t="shared" si="554"/>
        <v/>
      </c>
      <c r="AE797" s="34" t="str">
        <f t="shared" si="555"/>
        <v/>
      </c>
      <c r="AF797" s="32" t="str">
        <f t="shared" si="556"/>
        <v/>
      </c>
      <c r="AG797" s="32" t="str">
        <f t="shared" si="557"/>
        <v/>
      </c>
      <c r="AH797" s="32" t="str">
        <f t="shared" si="558"/>
        <v/>
      </c>
      <c r="AI797" s="35" t="str">
        <f t="shared" si="559"/>
        <v/>
      </c>
      <c r="AJ797" s="23" t="str">
        <f t="array" ref="AJ797">IFERROR(SMALL(IF(U$1:U$1000="BEGIN",ROW(U$1:U$1000)),ROW()-3),"")</f>
        <v/>
      </c>
      <c r="AK797" s="23" t="str">
        <f t="array" ref="AK797">IFERROR(SMALL(IF(V$1:V$1000="END",ROW(V$1:V$1000)),ROW()-3),"")</f>
        <v/>
      </c>
      <c r="AL797" s="24" t="str">
        <f t="array" ref="AL797">IF(AK797="","",MATCH(AM797,L:L,0))</f>
        <v/>
      </c>
      <c r="AM797" s="35">
        <f t="array" ref="AM797">MAX(IF((B$4:B$1000&lt;=AK797)*(B$4:B$1000&gt;=AJ797),L$4:L$1000, ""))</f>
        <v>0</v>
      </c>
      <c r="AN797" s="32" t="str">
        <f t="shared" si="566"/>
        <v/>
      </c>
      <c r="AO797" s="32" t="str">
        <f t="shared" si="567"/>
        <v/>
      </c>
      <c r="AP797" s="32" t="str">
        <f t="shared" si="568"/>
        <v/>
      </c>
      <c r="AQ797" s="32" t="str">
        <f t="shared" si="569"/>
        <v/>
      </c>
      <c r="AR797" s="32" t="str">
        <f t="shared" si="570"/>
        <v/>
      </c>
      <c r="AS797" s="32" t="str">
        <f t="shared" si="571"/>
        <v/>
      </c>
      <c r="AT797" s="32" t="str">
        <f t="shared" si="572"/>
        <v/>
      </c>
      <c r="AU797" s="34" t="str">
        <f t="shared" si="573"/>
        <v/>
      </c>
      <c r="AV797" s="32" t="str">
        <f t="shared" si="574"/>
        <v/>
      </c>
      <c r="AW797" s="32" t="str">
        <f t="shared" si="575"/>
        <v/>
      </c>
      <c r="AX797" s="32" t="str">
        <f t="shared" si="576"/>
        <v/>
      </c>
      <c r="AY797" s="32" t="str">
        <f t="shared" si="577"/>
        <v/>
      </c>
    </row>
    <row r="798" spans="1:51" x14ac:dyDescent="0.25">
      <c r="A798" s="24" t="str">
        <f t="shared" si="535"/>
        <v/>
      </c>
      <c r="B798" s="24" t="str">
        <f t="shared" si="545"/>
        <v/>
      </c>
      <c r="C798" s="32" t="str">
        <f t="shared" si="536"/>
        <v/>
      </c>
      <c r="D798" s="24" t="str">
        <f t="shared" si="537"/>
        <v/>
      </c>
      <c r="E798" s="24" t="str">
        <f t="shared" si="538"/>
        <v/>
      </c>
      <c r="F798" s="32" t="str">
        <f t="shared" si="539"/>
        <v/>
      </c>
      <c r="G798" s="32" t="str">
        <f t="shared" si="540"/>
        <v/>
      </c>
      <c r="H798" s="32" t="str">
        <f t="shared" ca="1" si="541"/>
        <v/>
      </c>
      <c r="I798" s="32" t="str">
        <f t="shared" ca="1" si="546"/>
        <v/>
      </c>
      <c r="J798" s="32" t="str">
        <f t="shared" si="542"/>
        <v/>
      </c>
      <c r="K798" s="32" t="str">
        <f>IF(ISNUMBER(A798),Profile!$V$25+Profile!$V$24*'Ri-Po'!C798,"")</f>
        <v/>
      </c>
      <c r="L798" s="32" t="str">
        <f t="shared" si="547"/>
        <v/>
      </c>
      <c r="M798" s="32" t="str">
        <f t="shared" si="543"/>
        <v/>
      </c>
      <c r="N798" s="32" t="str">
        <f t="shared" si="544"/>
        <v/>
      </c>
      <c r="O798" s="32" t="str">
        <f t="shared" si="560"/>
        <v/>
      </c>
      <c r="P798" s="32" t="str">
        <f t="shared" si="548"/>
        <v/>
      </c>
      <c r="Q798" s="32" t="str">
        <f t="shared" si="549"/>
        <v/>
      </c>
      <c r="R798" s="32" t="str">
        <f t="shared" si="561"/>
        <v/>
      </c>
      <c r="S798" s="24" t="str">
        <f t="shared" si="562"/>
        <v/>
      </c>
      <c r="T798" s="24" t="str">
        <f t="shared" si="563"/>
        <v/>
      </c>
      <c r="U798" s="24" t="str">
        <f t="shared" si="564"/>
        <v/>
      </c>
      <c r="V798" s="24" t="str">
        <f t="shared" si="565"/>
        <v/>
      </c>
      <c r="W798" s="23" t="str">
        <f t="array" ref="W798">IFERROR(SMALL(IF(S$1:S$1000="BEGIN",ROW(S$1:S$1000)),ROW()-3),"")</f>
        <v/>
      </c>
      <c r="X798" s="23" t="str">
        <f t="array" ref="X798">IFERROR(SMALL(IF(T$1:T$1000="END",ROW(T$1:T$1000)),ROW()-3),"")</f>
        <v/>
      </c>
      <c r="Y798" s="33" t="str">
        <f t="array" ref="Y798">IF(ISNUMBER(W798),MAX(IF((B$4:B$1000&lt;=X798)*(B$4:B$1000&gt;=W798),I$4:I$1000, "")),"")</f>
        <v/>
      </c>
      <c r="Z798" s="33" t="str">
        <f t="shared" si="550"/>
        <v/>
      </c>
      <c r="AA798" s="32" t="str">
        <f t="shared" si="551"/>
        <v/>
      </c>
      <c r="AB798" s="32" t="str">
        <f t="shared" si="552"/>
        <v/>
      </c>
      <c r="AC798" s="32" t="str">
        <f t="shared" si="553"/>
        <v/>
      </c>
      <c r="AD798" s="32" t="str">
        <f t="shared" si="554"/>
        <v/>
      </c>
      <c r="AE798" s="34" t="str">
        <f t="shared" si="555"/>
        <v/>
      </c>
      <c r="AF798" s="32" t="str">
        <f t="shared" si="556"/>
        <v/>
      </c>
      <c r="AG798" s="32" t="str">
        <f t="shared" si="557"/>
        <v/>
      </c>
      <c r="AH798" s="32" t="str">
        <f t="shared" si="558"/>
        <v/>
      </c>
      <c r="AI798" s="35" t="str">
        <f t="shared" si="559"/>
        <v/>
      </c>
      <c r="AJ798" s="23" t="str">
        <f t="array" ref="AJ798">IFERROR(SMALL(IF(U$1:U$1000="BEGIN",ROW(U$1:U$1000)),ROW()-3),"")</f>
        <v/>
      </c>
      <c r="AK798" s="23" t="str">
        <f t="array" ref="AK798">IFERROR(SMALL(IF(V$1:V$1000="END",ROW(V$1:V$1000)),ROW()-3),"")</f>
        <v/>
      </c>
      <c r="AL798" s="24" t="str">
        <f t="array" ref="AL798">IF(AK798="","",MATCH(AM798,L:L,0))</f>
        <v/>
      </c>
      <c r="AM798" s="35">
        <f t="array" ref="AM798">MAX(IF((B$4:B$1000&lt;=AK798)*(B$4:B$1000&gt;=AJ798),L$4:L$1000, ""))</f>
        <v>0</v>
      </c>
      <c r="AN798" s="32" t="str">
        <f t="shared" si="566"/>
        <v/>
      </c>
      <c r="AO798" s="32" t="str">
        <f t="shared" si="567"/>
        <v/>
      </c>
      <c r="AP798" s="32" t="str">
        <f t="shared" si="568"/>
        <v/>
      </c>
      <c r="AQ798" s="32" t="str">
        <f t="shared" si="569"/>
        <v/>
      </c>
      <c r="AR798" s="32" t="str">
        <f t="shared" si="570"/>
        <v/>
      </c>
      <c r="AS798" s="32" t="str">
        <f t="shared" si="571"/>
        <v/>
      </c>
      <c r="AT798" s="32" t="str">
        <f t="shared" si="572"/>
        <v/>
      </c>
      <c r="AU798" s="34" t="str">
        <f t="shared" si="573"/>
        <v/>
      </c>
      <c r="AV798" s="32" t="str">
        <f t="shared" si="574"/>
        <v/>
      </c>
      <c r="AW798" s="32" t="str">
        <f t="shared" si="575"/>
        <v/>
      </c>
      <c r="AX798" s="32" t="str">
        <f t="shared" si="576"/>
        <v/>
      </c>
      <c r="AY798" s="32" t="str">
        <f t="shared" si="577"/>
        <v/>
      </c>
    </row>
    <row r="799" spans="1:51" x14ac:dyDescent="0.25">
      <c r="A799" s="24" t="str">
        <f t="shared" si="535"/>
        <v/>
      </c>
      <c r="B799" s="24" t="str">
        <f t="shared" si="545"/>
        <v/>
      </c>
      <c r="C799" s="32" t="str">
        <f t="shared" si="536"/>
        <v/>
      </c>
      <c r="D799" s="24" t="str">
        <f t="shared" si="537"/>
        <v/>
      </c>
      <c r="E799" s="24" t="str">
        <f t="shared" si="538"/>
        <v/>
      </c>
      <c r="F799" s="32" t="str">
        <f t="shared" si="539"/>
        <v/>
      </c>
      <c r="G799" s="32" t="str">
        <f t="shared" si="540"/>
        <v/>
      </c>
      <c r="H799" s="32" t="str">
        <f t="shared" ca="1" si="541"/>
        <v/>
      </c>
      <c r="I799" s="32" t="str">
        <f t="shared" ca="1" si="546"/>
        <v/>
      </c>
      <c r="J799" s="32" t="str">
        <f t="shared" si="542"/>
        <v/>
      </c>
      <c r="K799" s="32" t="str">
        <f>IF(ISNUMBER(A799),Profile!$V$25+Profile!$V$24*'Ri-Po'!C799,"")</f>
        <v/>
      </c>
      <c r="L799" s="32" t="str">
        <f t="shared" si="547"/>
        <v/>
      </c>
      <c r="M799" s="32" t="str">
        <f t="shared" si="543"/>
        <v/>
      </c>
      <c r="N799" s="32" t="str">
        <f t="shared" si="544"/>
        <v/>
      </c>
      <c r="O799" s="32" t="str">
        <f t="shared" si="560"/>
        <v/>
      </c>
      <c r="P799" s="32" t="str">
        <f t="shared" si="548"/>
        <v/>
      </c>
      <c r="Q799" s="32" t="str">
        <f t="shared" si="549"/>
        <v/>
      </c>
      <c r="R799" s="32" t="str">
        <f t="shared" si="561"/>
        <v/>
      </c>
      <c r="S799" s="24" t="str">
        <f t="shared" si="562"/>
        <v/>
      </c>
      <c r="T799" s="24" t="str">
        <f t="shared" si="563"/>
        <v/>
      </c>
      <c r="U799" s="24" t="str">
        <f t="shared" si="564"/>
        <v/>
      </c>
      <c r="V799" s="24" t="str">
        <f t="shared" si="565"/>
        <v/>
      </c>
      <c r="W799" s="23" t="str">
        <f t="array" ref="W799">IFERROR(SMALL(IF(S$1:S$1000="BEGIN",ROW(S$1:S$1000)),ROW()-3),"")</f>
        <v/>
      </c>
      <c r="X799" s="23" t="str">
        <f t="array" ref="X799">IFERROR(SMALL(IF(T$1:T$1000="END",ROW(T$1:T$1000)),ROW()-3),"")</f>
        <v/>
      </c>
      <c r="Y799" s="33" t="str">
        <f t="array" ref="Y799">IF(ISNUMBER(W799),MAX(IF((B$4:B$1000&lt;=X799)*(B$4:B$1000&gt;=W799),I$4:I$1000, "")),"")</f>
        <v/>
      </c>
      <c r="Z799" s="33" t="str">
        <f t="shared" si="550"/>
        <v/>
      </c>
      <c r="AA799" s="32" t="str">
        <f t="shared" si="551"/>
        <v/>
      </c>
      <c r="AB799" s="32" t="str">
        <f t="shared" si="552"/>
        <v/>
      </c>
      <c r="AC799" s="32" t="str">
        <f t="shared" si="553"/>
        <v/>
      </c>
      <c r="AD799" s="32" t="str">
        <f t="shared" si="554"/>
        <v/>
      </c>
      <c r="AE799" s="34" t="str">
        <f t="shared" si="555"/>
        <v/>
      </c>
      <c r="AF799" s="32" t="str">
        <f t="shared" si="556"/>
        <v/>
      </c>
      <c r="AG799" s="32" t="str">
        <f t="shared" si="557"/>
        <v/>
      </c>
      <c r="AH799" s="32" t="str">
        <f t="shared" si="558"/>
        <v/>
      </c>
      <c r="AI799" s="35" t="str">
        <f t="shared" si="559"/>
        <v/>
      </c>
      <c r="AJ799" s="23" t="str">
        <f t="array" ref="AJ799">IFERROR(SMALL(IF(U$1:U$1000="BEGIN",ROW(U$1:U$1000)),ROW()-3),"")</f>
        <v/>
      </c>
      <c r="AK799" s="23" t="str">
        <f t="array" ref="AK799">IFERROR(SMALL(IF(V$1:V$1000="END",ROW(V$1:V$1000)),ROW()-3),"")</f>
        <v/>
      </c>
      <c r="AL799" s="24" t="str">
        <f t="array" ref="AL799">IF(AK799="","",MATCH(AM799,L:L,0))</f>
        <v/>
      </c>
      <c r="AM799" s="35">
        <f t="array" ref="AM799">MAX(IF((B$4:B$1000&lt;=AK799)*(B$4:B$1000&gt;=AJ799),L$4:L$1000, ""))</f>
        <v>0</v>
      </c>
      <c r="AN799" s="32" t="str">
        <f t="shared" si="566"/>
        <v/>
      </c>
      <c r="AO799" s="32" t="str">
        <f t="shared" si="567"/>
        <v/>
      </c>
      <c r="AP799" s="32" t="str">
        <f t="shared" si="568"/>
        <v/>
      </c>
      <c r="AQ799" s="32" t="str">
        <f t="shared" si="569"/>
        <v/>
      </c>
      <c r="AR799" s="32" t="str">
        <f t="shared" si="570"/>
        <v/>
      </c>
      <c r="AS799" s="32" t="str">
        <f t="shared" si="571"/>
        <v/>
      </c>
      <c r="AT799" s="32" t="str">
        <f t="shared" si="572"/>
        <v/>
      </c>
      <c r="AU799" s="34" t="str">
        <f t="shared" si="573"/>
        <v/>
      </c>
      <c r="AV799" s="32" t="str">
        <f t="shared" si="574"/>
        <v/>
      </c>
      <c r="AW799" s="32" t="str">
        <f t="shared" si="575"/>
        <v/>
      </c>
      <c r="AX799" s="32" t="str">
        <f t="shared" si="576"/>
        <v/>
      </c>
      <c r="AY799" s="32" t="str">
        <f t="shared" si="577"/>
        <v/>
      </c>
    </row>
    <row r="800" spans="1:51" x14ac:dyDescent="0.25">
      <c r="A800" s="24" t="str">
        <f t="shared" si="535"/>
        <v/>
      </c>
      <c r="B800" s="24" t="str">
        <f t="shared" si="545"/>
        <v/>
      </c>
      <c r="C800" s="32" t="str">
        <f t="shared" si="536"/>
        <v/>
      </c>
      <c r="D800" s="24" t="str">
        <f t="shared" si="537"/>
        <v/>
      </c>
      <c r="E800" s="24" t="str">
        <f t="shared" si="538"/>
        <v/>
      </c>
      <c r="F800" s="32" t="str">
        <f t="shared" si="539"/>
        <v/>
      </c>
      <c r="G800" s="32" t="str">
        <f t="shared" si="540"/>
        <v/>
      </c>
      <c r="H800" s="32" t="str">
        <f t="shared" ca="1" si="541"/>
        <v/>
      </c>
      <c r="I800" s="32" t="str">
        <f t="shared" ca="1" si="546"/>
        <v/>
      </c>
      <c r="J800" s="32" t="str">
        <f t="shared" si="542"/>
        <v/>
      </c>
      <c r="K800" s="32" t="str">
        <f>IF(ISNUMBER(A800),Profile!$V$25+Profile!$V$24*'Ri-Po'!C800,"")</f>
        <v/>
      </c>
      <c r="L800" s="32" t="str">
        <f t="shared" si="547"/>
        <v/>
      </c>
      <c r="M800" s="32" t="str">
        <f t="shared" si="543"/>
        <v/>
      </c>
      <c r="N800" s="32" t="str">
        <f t="shared" si="544"/>
        <v/>
      </c>
      <c r="O800" s="32" t="str">
        <f t="shared" si="560"/>
        <v/>
      </c>
      <c r="P800" s="32" t="str">
        <f t="shared" si="548"/>
        <v/>
      </c>
      <c r="Q800" s="32" t="str">
        <f t="shared" si="549"/>
        <v/>
      </c>
      <c r="R800" s="32" t="str">
        <f t="shared" si="561"/>
        <v/>
      </c>
      <c r="S800" s="24" t="str">
        <f t="shared" si="562"/>
        <v/>
      </c>
      <c r="T800" s="24" t="str">
        <f t="shared" si="563"/>
        <v/>
      </c>
      <c r="U800" s="24" t="str">
        <f t="shared" si="564"/>
        <v/>
      </c>
      <c r="V800" s="24" t="str">
        <f t="shared" si="565"/>
        <v/>
      </c>
      <c r="W800" s="23" t="str">
        <f t="array" ref="W800">IFERROR(SMALL(IF(S$1:S$1000="BEGIN",ROW(S$1:S$1000)),ROW()-3),"")</f>
        <v/>
      </c>
      <c r="X800" s="23" t="str">
        <f t="array" ref="X800">IFERROR(SMALL(IF(T$1:T$1000="END",ROW(T$1:T$1000)),ROW()-3),"")</f>
        <v/>
      </c>
      <c r="Y800" s="33" t="str">
        <f t="array" ref="Y800">IF(ISNUMBER(W800),MAX(IF((B$4:B$1000&lt;=X800)*(B$4:B$1000&gt;=W800),I$4:I$1000, "")),"")</f>
        <v/>
      </c>
      <c r="Z800" s="33" t="str">
        <f t="shared" si="550"/>
        <v/>
      </c>
      <c r="AA800" s="32" t="str">
        <f t="shared" si="551"/>
        <v/>
      </c>
      <c r="AB800" s="32" t="str">
        <f t="shared" si="552"/>
        <v/>
      </c>
      <c r="AC800" s="32" t="str">
        <f t="shared" si="553"/>
        <v/>
      </c>
      <c r="AD800" s="32" t="str">
        <f t="shared" si="554"/>
        <v/>
      </c>
      <c r="AE800" s="34" t="str">
        <f t="shared" si="555"/>
        <v/>
      </c>
      <c r="AF800" s="32" t="str">
        <f t="shared" si="556"/>
        <v/>
      </c>
      <c r="AG800" s="32" t="str">
        <f t="shared" si="557"/>
        <v/>
      </c>
      <c r="AH800" s="32" t="str">
        <f t="shared" si="558"/>
        <v/>
      </c>
      <c r="AI800" s="35" t="str">
        <f t="shared" si="559"/>
        <v/>
      </c>
      <c r="AJ800" s="23" t="str">
        <f t="array" ref="AJ800">IFERROR(SMALL(IF(U$1:U$1000="BEGIN",ROW(U$1:U$1000)),ROW()-3),"")</f>
        <v/>
      </c>
      <c r="AK800" s="23" t="str">
        <f t="array" ref="AK800">IFERROR(SMALL(IF(V$1:V$1000="END",ROW(V$1:V$1000)),ROW()-3),"")</f>
        <v/>
      </c>
      <c r="AL800" s="24" t="str">
        <f t="array" ref="AL800">IF(AK800="","",MATCH(AM800,L:L,0))</f>
        <v/>
      </c>
      <c r="AM800" s="35">
        <f t="array" ref="AM800">MAX(IF((B$4:B$1000&lt;=AK800)*(B$4:B$1000&gt;=AJ800),L$4:L$1000, ""))</f>
        <v>0</v>
      </c>
      <c r="AN800" s="32" t="str">
        <f t="shared" si="566"/>
        <v/>
      </c>
      <c r="AO800" s="32" t="str">
        <f t="shared" si="567"/>
        <v/>
      </c>
      <c r="AP800" s="32" t="str">
        <f t="shared" si="568"/>
        <v/>
      </c>
      <c r="AQ800" s="32" t="str">
        <f t="shared" si="569"/>
        <v/>
      </c>
      <c r="AR800" s="32" t="str">
        <f t="shared" si="570"/>
        <v/>
      </c>
      <c r="AS800" s="32" t="str">
        <f t="shared" si="571"/>
        <v/>
      </c>
      <c r="AT800" s="32" t="str">
        <f t="shared" si="572"/>
        <v/>
      </c>
      <c r="AU800" s="34" t="str">
        <f t="shared" si="573"/>
        <v/>
      </c>
      <c r="AV800" s="32" t="str">
        <f t="shared" si="574"/>
        <v/>
      </c>
      <c r="AW800" s="32" t="str">
        <f t="shared" si="575"/>
        <v/>
      </c>
      <c r="AX800" s="32" t="str">
        <f t="shared" si="576"/>
        <v/>
      </c>
      <c r="AY800" s="32" t="str">
        <f t="shared" si="577"/>
        <v/>
      </c>
    </row>
    <row r="801" spans="1:51" x14ac:dyDescent="0.25">
      <c r="A801" s="24" t="str">
        <f t="shared" si="535"/>
        <v/>
      </c>
      <c r="B801" s="24" t="str">
        <f t="shared" si="545"/>
        <v/>
      </c>
      <c r="C801" s="32" t="str">
        <f t="shared" si="536"/>
        <v/>
      </c>
      <c r="D801" s="24" t="str">
        <f t="shared" si="537"/>
        <v/>
      </c>
      <c r="E801" s="24" t="str">
        <f t="shared" si="538"/>
        <v/>
      </c>
      <c r="F801" s="32" t="str">
        <f t="shared" si="539"/>
        <v/>
      </c>
      <c r="G801" s="32" t="str">
        <f t="shared" si="540"/>
        <v/>
      </c>
      <c r="H801" s="32" t="str">
        <f t="shared" ca="1" si="541"/>
        <v/>
      </c>
      <c r="I801" s="32" t="str">
        <f t="shared" ca="1" si="546"/>
        <v/>
      </c>
      <c r="J801" s="32" t="str">
        <f t="shared" si="542"/>
        <v/>
      </c>
      <c r="K801" s="32" t="str">
        <f>IF(ISNUMBER(A801),Profile!$V$25+Profile!$V$24*'Ri-Po'!C801,"")</f>
        <v/>
      </c>
      <c r="L801" s="32" t="str">
        <f t="shared" si="547"/>
        <v/>
      </c>
      <c r="M801" s="32" t="str">
        <f t="shared" si="543"/>
        <v/>
      </c>
      <c r="N801" s="32" t="str">
        <f t="shared" si="544"/>
        <v/>
      </c>
      <c r="O801" s="32" t="str">
        <f t="shared" si="560"/>
        <v/>
      </c>
      <c r="P801" s="32" t="str">
        <f t="shared" si="548"/>
        <v/>
      </c>
      <c r="Q801" s="32" t="str">
        <f t="shared" si="549"/>
        <v/>
      </c>
      <c r="R801" s="32" t="str">
        <f t="shared" si="561"/>
        <v/>
      </c>
      <c r="S801" s="24" t="str">
        <f t="shared" si="562"/>
        <v/>
      </c>
      <c r="T801" s="24" t="str">
        <f t="shared" si="563"/>
        <v/>
      </c>
      <c r="U801" s="24" t="str">
        <f t="shared" si="564"/>
        <v/>
      </c>
      <c r="V801" s="24" t="str">
        <f t="shared" si="565"/>
        <v/>
      </c>
      <c r="W801" s="23" t="str">
        <f t="array" ref="W801">IFERROR(SMALL(IF(S$1:S$1000="BEGIN",ROW(S$1:S$1000)),ROW()-3),"")</f>
        <v/>
      </c>
      <c r="X801" s="23" t="str">
        <f t="array" ref="X801">IFERROR(SMALL(IF(T$1:T$1000="END",ROW(T$1:T$1000)),ROW()-3),"")</f>
        <v/>
      </c>
      <c r="Y801" s="33" t="str">
        <f t="array" ref="Y801">IF(ISNUMBER(W801),MAX(IF((B$4:B$1000&lt;=X801)*(B$4:B$1000&gt;=W801),I$4:I$1000, "")),"")</f>
        <v/>
      </c>
      <c r="Z801" s="33" t="str">
        <f t="shared" si="550"/>
        <v/>
      </c>
      <c r="AA801" s="32" t="str">
        <f t="shared" si="551"/>
        <v/>
      </c>
      <c r="AB801" s="32" t="str">
        <f t="shared" si="552"/>
        <v/>
      </c>
      <c r="AC801" s="32" t="str">
        <f t="shared" si="553"/>
        <v/>
      </c>
      <c r="AD801" s="32" t="str">
        <f t="shared" si="554"/>
        <v/>
      </c>
      <c r="AE801" s="34" t="str">
        <f t="shared" si="555"/>
        <v/>
      </c>
      <c r="AF801" s="32" t="str">
        <f t="shared" si="556"/>
        <v/>
      </c>
      <c r="AG801" s="32" t="str">
        <f t="shared" si="557"/>
        <v/>
      </c>
      <c r="AH801" s="32" t="str">
        <f t="shared" si="558"/>
        <v/>
      </c>
      <c r="AI801" s="35" t="str">
        <f t="shared" si="559"/>
        <v/>
      </c>
      <c r="AJ801" s="23" t="str">
        <f t="array" ref="AJ801">IFERROR(SMALL(IF(U$1:U$1000="BEGIN",ROW(U$1:U$1000)),ROW()-3),"")</f>
        <v/>
      </c>
      <c r="AK801" s="23" t="str">
        <f t="array" ref="AK801">IFERROR(SMALL(IF(V$1:V$1000="END",ROW(V$1:V$1000)),ROW()-3),"")</f>
        <v/>
      </c>
      <c r="AL801" s="24" t="str">
        <f t="array" ref="AL801">IF(AK801="","",MATCH(AM801,L:L,0))</f>
        <v/>
      </c>
      <c r="AM801" s="35">
        <f t="array" ref="AM801">MAX(IF((B$4:B$1000&lt;=AK801)*(B$4:B$1000&gt;=AJ801),L$4:L$1000, ""))</f>
        <v>0</v>
      </c>
      <c r="AN801" s="32" t="str">
        <f t="shared" si="566"/>
        <v/>
      </c>
      <c r="AO801" s="32" t="str">
        <f t="shared" si="567"/>
        <v/>
      </c>
      <c r="AP801" s="32" t="str">
        <f t="shared" si="568"/>
        <v/>
      </c>
      <c r="AQ801" s="32" t="str">
        <f t="shared" si="569"/>
        <v/>
      </c>
      <c r="AR801" s="32" t="str">
        <f t="shared" si="570"/>
        <v/>
      </c>
      <c r="AS801" s="32" t="str">
        <f t="shared" si="571"/>
        <v/>
      </c>
      <c r="AT801" s="32" t="str">
        <f t="shared" si="572"/>
        <v/>
      </c>
      <c r="AU801" s="34" t="str">
        <f t="shared" si="573"/>
        <v/>
      </c>
      <c r="AV801" s="32" t="str">
        <f t="shared" si="574"/>
        <v/>
      </c>
      <c r="AW801" s="32" t="str">
        <f t="shared" si="575"/>
        <v/>
      </c>
      <c r="AX801" s="32" t="str">
        <f t="shared" si="576"/>
        <v/>
      </c>
      <c r="AY801" s="32" t="str">
        <f t="shared" si="577"/>
        <v/>
      </c>
    </row>
    <row r="802" spans="1:51" x14ac:dyDescent="0.25">
      <c r="A802" s="24" t="str">
        <f t="shared" si="535"/>
        <v/>
      </c>
      <c r="B802" s="24" t="str">
        <f t="shared" si="545"/>
        <v/>
      </c>
      <c r="C802" s="32" t="str">
        <f t="shared" si="536"/>
        <v/>
      </c>
      <c r="D802" s="24" t="str">
        <f t="shared" si="537"/>
        <v/>
      </c>
      <c r="E802" s="24" t="str">
        <f t="shared" si="538"/>
        <v/>
      </c>
      <c r="F802" s="32" t="str">
        <f t="shared" si="539"/>
        <v/>
      </c>
      <c r="G802" s="32" t="str">
        <f t="shared" si="540"/>
        <v/>
      </c>
      <c r="H802" s="32" t="str">
        <f t="shared" ca="1" si="541"/>
        <v/>
      </c>
      <c r="I802" s="32" t="str">
        <f t="shared" ca="1" si="546"/>
        <v/>
      </c>
      <c r="J802" s="32" t="str">
        <f t="shared" si="542"/>
        <v/>
      </c>
      <c r="K802" s="32" t="str">
        <f>IF(ISNUMBER(A802),Profile!$V$25+Profile!$V$24*'Ri-Po'!C802,"")</f>
        <v/>
      </c>
      <c r="L802" s="32" t="str">
        <f t="shared" si="547"/>
        <v/>
      </c>
      <c r="M802" s="32" t="str">
        <f t="shared" si="543"/>
        <v/>
      </c>
      <c r="N802" s="32" t="str">
        <f t="shared" si="544"/>
        <v/>
      </c>
      <c r="O802" s="32" t="str">
        <f t="shared" si="560"/>
        <v/>
      </c>
      <c r="P802" s="32" t="str">
        <f t="shared" si="548"/>
        <v/>
      </c>
      <c r="Q802" s="32" t="str">
        <f t="shared" si="549"/>
        <v/>
      </c>
      <c r="R802" s="32" t="str">
        <f t="shared" si="561"/>
        <v/>
      </c>
      <c r="S802" s="24" t="str">
        <f t="shared" si="562"/>
        <v/>
      </c>
      <c r="T802" s="24" t="str">
        <f t="shared" si="563"/>
        <v/>
      </c>
      <c r="U802" s="24" t="str">
        <f t="shared" si="564"/>
        <v/>
      </c>
      <c r="V802" s="24" t="str">
        <f t="shared" si="565"/>
        <v/>
      </c>
      <c r="W802" s="23" t="str">
        <f t="array" ref="W802">IFERROR(SMALL(IF(S$1:S$1000="BEGIN",ROW(S$1:S$1000)),ROW()-3),"")</f>
        <v/>
      </c>
      <c r="X802" s="23" t="str">
        <f t="array" ref="X802">IFERROR(SMALL(IF(T$1:T$1000="END",ROW(T$1:T$1000)),ROW()-3),"")</f>
        <v/>
      </c>
      <c r="Y802" s="33" t="str">
        <f t="array" ref="Y802">IF(ISNUMBER(W802),MAX(IF((B$4:B$1000&lt;=X802)*(B$4:B$1000&gt;=W802),I$4:I$1000, "")),"")</f>
        <v/>
      </c>
      <c r="Z802" s="33" t="str">
        <f t="shared" si="550"/>
        <v/>
      </c>
      <c r="AA802" s="32" t="str">
        <f t="shared" si="551"/>
        <v/>
      </c>
      <c r="AB802" s="32" t="str">
        <f t="shared" si="552"/>
        <v/>
      </c>
      <c r="AC802" s="32" t="str">
        <f t="shared" si="553"/>
        <v/>
      </c>
      <c r="AD802" s="32" t="str">
        <f t="shared" si="554"/>
        <v/>
      </c>
      <c r="AE802" s="34" t="str">
        <f t="shared" si="555"/>
        <v/>
      </c>
      <c r="AF802" s="32" t="str">
        <f t="shared" si="556"/>
        <v/>
      </c>
      <c r="AG802" s="32" t="str">
        <f t="shared" si="557"/>
        <v/>
      </c>
      <c r="AH802" s="32" t="str">
        <f t="shared" si="558"/>
        <v/>
      </c>
      <c r="AI802" s="35" t="str">
        <f t="shared" si="559"/>
        <v/>
      </c>
      <c r="AJ802" s="23" t="str">
        <f t="array" ref="AJ802">IFERROR(SMALL(IF(U$1:U$1000="BEGIN",ROW(U$1:U$1000)),ROW()-3),"")</f>
        <v/>
      </c>
      <c r="AK802" s="23" t="str">
        <f t="array" ref="AK802">IFERROR(SMALL(IF(V$1:V$1000="END",ROW(V$1:V$1000)),ROW()-3),"")</f>
        <v/>
      </c>
      <c r="AL802" s="24" t="str">
        <f t="array" ref="AL802">IF(AK802="","",MATCH(AM802,L:L,0))</f>
        <v/>
      </c>
      <c r="AM802" s="35">
        <f t="array" ref="AM802">MAX(IF((B$4:B$1000&lt;=AK802)*(B$4:B$1000&gt;=AJ802),L$4:L$1000, ""))</f>
        <v>0</v>
      </c>
      <c r="AN802" s="32" t="str">
        <f t="shared" si="566"/>
        <v/>
      </c>
      <c r="AO802" s="32" t="str">
        <f t="shared" si="567"/>
        <v/>
      </c>
      <c r="AP802" s="32" t="str">
        <f t="shared" si="568"/>
        <v/>
      </c>
      <c r="AQ802" s="32" t="str">
        <f t="shared" si="569"/>
        <v/>
      </c>
      <c r="AR802" s="32" t="str">
        <f t="shared" si="570"/>
        <v/>
      </c>
      <c r="AS802" s="32" t="str">
        <f t="shared" si="571"/>
        <v/>
      </c>
      <c r="AT802" s="32" t="str">
        <f t="shared" si="572"/>
        <v/>
      </c>
      <c r="AU802" s="34" t="str">
        <f t="shared" si="573"/>
        <v/>
      </c>
      <c r="AV802" s="32" t="str">
        <f t="shared" si="574"/>
        <v/>
      </c>
      <c r="AW802" s="32" t="str">
        <f t="shared" si="575"/>
        <v/>
      </c>
      <c r="AX802" s="32" t="str">
        <f t="shared" si="576"/>
        <v/>
      </c>
      <c r="AY802" s="32" t="str">
        <f t="shared" si="577"/>
        <v/>
      </c>
    </row>
    <row r="803" spans="1:51" x14ac:dyDescent="0.25">
      <c r="A803" s="24" t="str">
        <f t="shared" si="535"/>
        <v/>
      </c>
      <c r="B803" s="24" t="str">
        <f t="shared" si="545"/>
        <v/>
      </c>
      <c r="C803" s="32" t="str">
        <f t="shared" si="536"/>
        <v/>
      </c>
      <c r="D803" s="24" t="str">
        <f t="shared" si="537"/>
        <v/>
      </c>
      <c r="E803" s="24" t="str">
        <f t="shared" si="538"/>
        <v/>
      </c>
      <c r="F803" s="32" t="str">
        <f t="shared" si="539"/>
        <v/>
      </c>
      <c r="G803" s="32" t="str">
        <f t="shared" si="540"/>
        <v/>
      </c>
      <c r="H803" s="32" t="str">
        <f t="shared" ca="1" si="541"/>
        <v/>
      </c>
      <c r="I803" s="32" t="str">
        <f t="shared" ca="1" si="546"/>
        <v/>
      </c>
      <c r="J803" s="32" t="str">
        <f t="shared" si="542"/>
        <v/>
      </c>
      <c r="K803" s="32" t="str">
        <f>IF(ISNUMBER(A803),Profile!$V$25+Profile!$V$24*'Ri-Po'!C803,"")</f>
        <v/>
      </c>
      <c r="L803" s="32" t="str">
        <f t="shared" si="547"/>
        <v/>
      </c>
      <c r="M803" s="32" t="str">
        <f t="shared" si="543"/>
        <v/>
      </c>
      <c r="N803" s="32" t="str">
        <f t="shared" si="544"/>
        <v/>
      </c>
      <c r="O803" s="32" t="str">
        <f t="shared" si="560"/>
        <v/>
      </c>
      <c r="P803" s="32" t="str">
        <f t="shared" si="548"/>
        <v/>
      </c>
      <c r="Q803" s="32" t="str">
        <f t="shared" si="549"/>
        <v/>
      </c>
      <c r="R803" s="32" t="str">
        <f t="shared" si="561"/>
        <v/>
      </c>
      <c r="S803" s="24" t="str">
        <f t="shared" si="562"/>
        <v/>
      </c>
      <c r="T803" s="24" t="str">
        <f t="shared" si="563"/>
        <v/>
      </c>
      <c r="U803" s="24" t="str">
        <f t="shared" si="564"/>
        <v/>
      </c>
      <c r="V803" s="24" t="str">
        <f t="shared" si="565"/>
        <v/>
      </c>
      <c r="W803" s="23" t="str">
        <f t="array" ref="W803">IFERROR(SMALL(IF(S$1:S$1000="BEGIN",ROW(S$1:S$1000)),ROW()-3),"")</f>
        <v/>
      </c>
      <c r="X803" s="23" t="str">
        <f t="array" ref="X803">IFERROR(SMALL(IF(T$1:T$1000="END",ROW(T$1:T$1000)),ROW()-3),"")</f>
        <v/>
      </c>
      <c r="Y803" s="33" t="str">
        <f t="array" ref="Y803">IF(ISNUMBER(W803),MAX(IF((B$4:B$1000&lt;=X803)*(B$4:B$1000&gt;=W803),I$4:I$1000, "")),"")</f>
        <v/>
      </c>
      <c r="Z803" s="33" t="str">
        <f t="shared" si="550"/>
        <v/>
      </c>
      <c r="AA803" s="32" t="str">
        <f t="shared" si="551"/>
        <v/>
      </c>
      <c r="AB803" s="32" t="str">
        <f t="shared" si="552"/>
        <v/>
      </c>
      <c r="AC803" s="32" t="str">
        <f t="shared" si="553"/>
        <v/>
      </c>
      <c r="AD803" s="32" t="str">
        <f t="shared" si="554"/>
        <v/>
      </c>
      <c r="AE803" s="34" t="str">
        <f t="shared" si="555"/>
        <v/>
      </c>
      <c r="AF803" s="32" t="str">
        <f t="shared" si="556"/>
        <v/>
      </c>
      <c r="AG803" s="32" t="str">
        <f t="shared" si="557"/>
        <v/>
      </c>
      <c r="AH803" s="32" t="str">
        <f t="shared" si="558"/>
        <v/>
      </c>
      <c r="AI803" s="35" t="str">
        <f t="shared" si="559"/>
        <v/>
      </c>
      <c r="AJ803" s="23" t="str">
        <f t="array" ref="AJ803">IFERROR(SMALL(IF(U$1:U$1000="BEGIN",ROW(U$1:U$1000)),ROW()-3),"")</f>
        <v/>
      </c>
      <c r="AK803" s="23" t="str">
        <f t="array" ref="AK803">IFERROR(SMALL(IF(V$1:V$1000="END",ROW(V$1:V$1000)),ROW()-3),"")</f>
        <v/>
      </c>
      <c r="AL803" s="24" t="str">
        <f t="array" ref="AL803">IF(AK803="","",MATCH(AM803,L:L,0))</f>
        <v/>
      </c>
      <c r="AM803" s="35">
        <f t="array" ref="AM803">MAX(IF((B$4:B$1000&lt;=AK803)*(B$4:B$1000&gt;=AJ803),L$4:L$1000, ""))</f>
        <v>0</v>
      </c>
      <c r="AN803" s="32" t="str">
        <f t="shared" si="566"/>
        <v/>
      </c>
      <c r="AO803" s="32" t="str">
        <f t="shared" si="567"/>
        <v/>
      </c>
      <c r="AP803" s="32" t="str">
        <f t="shared" si="568"/>
        <v/>
      </c>
      <c r="AQ803" s="32" t="str">
        <f t="shared" si="569"/>
        <v/>
      </c>
      <c r="AR803" s="32" t="str">
        <f t="shared" si="570"/>
        <v/>
      </c>
      <c r="AS803" s="32" t="str">
        <f t="shared" si="571"/>
        <v/>
      </c>
      <c r="AT803" s="32" t="str">
        <f t="shared" si="572"/>
        <v/>
      </c>
      <c r="AU803" s="34" t="str">
        <f t="shared" si="573"/>
        <v/>
      </c>
      <c r="AV803" s="32" t="str">
        <f t="shared" si="574"/>
        <v/>
      </c>
      <c r="AW803" s="32" t="str">
        <f t="shared" si="575"/>
        <v/>
      </c>
      <c r="AX803" s="32" t="str">
        <f t="shared" si="576"/>
        <v/>
      </c>
      <c r="AY803" s="32" t="str">
        <f t="shared" si="577"/>
        <v/>
      </c>
    </row>
    <row r="804" spans="1:51" x14ac:dyDescent="0.25">
      <c r="A804" s="24" t="str">
        <f t="shared" si="535"/>
        <v/>
      </c>
      <c r="B804" s="24" t="str">
        <f t="shared" si="545"/>
        <v/>
      </c>
      <c r="C804" s="32" t="str">
        <f t="shared" si="536"/>
        <v/>
      </c>
      <c r="D804" s="24" t="str">
        <f t="shared" si="537"/>
        <v/>
      </c>
      <c r="E804" s="24" t="str">
        <f t="shared" si="538"/>
        <v/>
      </c>
      <c r="F804" s="32" t="str">
        <f t="shared" si="539"/>
        <v/>
      </c>
      <c r="G804" s="32" t="str">
        <f t="shared" si="540"/>
        <v/>
      </c>
      <c r="H804" s="32" t="str">
        <f t="shared" ca="1" si="541"/>
        <v/>
      </c>
      <c r="I804" s="32" t="str">
        <f t="shared" ca="1" si="546"/>
        <v/>
      </c>
      <c r="J804" s="32" t="str">
        <f t="shared" si="542"/>
        <v/>
      </c>
      <c r="K804" s="32" t="str">
        <f>IF(ISNUMBER(A804),Profile!$V$25+Profile!$V$24*'Ri-Po'!C804,"")</f>
        <v/>
      </c>
      <c r="L804" s="32" t="str">
        <f t="shared" si="547"/>
        <v/>
      </c>
      <c r="M804" s="32" t="str">
        <f t="shared" si="543"/>
        <v/>
      </c>
      <c r="N804" s="32" t="str">
        <f t="shared" si="544"/>
        <v/>
      </c>
      <c r="O804" s="32" t="str">
        <f t="shared" si="560"/>
        <v/>
      </c>
      <c r="P804" s="32" t="str">
        <f t="shared" si="548"/>
        <v/>
      </c>
      <c r="Q804" s="32" t="str">
        <f t="shared" si="549"/>
        <v/>
      </c>
      <c r="R804" s="32" t="str">
        <f t="shared" si="561"/>
        <v/>
      </c>
      <c r="S804" s="24" t="str">
        <f t="shared" si="562"/>
        <v/>
      </c>
      <c r="T804" s="24" t="str">
        <f t="shared" si="563"/>
        <v/>
      </c>
      <c r="U804" s="24" t="str">
        <f t="shared" si="564"/>
        <v/>
      </c>
      <c r="V804" s="24" t="str">
        <f t="shared" si="565"/>
        <v/>
      </c>
      <c r="W804" s="23" t="str">
        <f t="array" ref="W804">IFERROR(SMALL(IF(S$1:S$1000="BEGIN",ROW(S$1:S$1000)),ROW()-3),"")</f>
        <v/>
      </c>
      <c r="X804" s="23" t="str">
        <f t="array" ref="X804">IFERROR(SMALL(IF(T$1:T$1000="END",ROW(T$1:T$1000)),ROW()-3),"")</f>
        <v/>
      </c>
      <c r="Y804" s="33" t="str">
        <f t="array" ref="Y804">IF(ISNUMBER(W804),MAX(IF((B$4:B$1000&lt;=X804)*(B$4:B$1000&gt;=W804),I$4:I$1000, "")),"")</f>
        <v/>
      </c>
      <c r="Z804" s="33" t="str">
        <f t="shared" si="550"/>
        <v/>
      </c>
      <c r="AA804" s="32" t="str">
        <f t="shared" si="551"/>
        <v/>
      </c>
      <c r="AB804" s="32" t="str">
        <f t="shared" si="552"/>
        <v/>
      </c>
      <c r="AC804" s="32" t="str">
        <f t="shared" si="553"/>
        <v/>
      </c>
      <c r="AD804" s="32" t="str">
        <f t="shared" si="554"/>
        <v/>
      </c>
      <c r="AE804" s="34" t="str">
        <f t="shared" si="555"/>
        <v/>
      </c>
      <c r="AF804" s="32" t="str">
        <f t="shared" si="556"/>
        <v/>
      </c>
      <c r="AG804" s="32" t="str">
        <f t="shared" si="557"/>
        <v/>
      </c>
      <c r="AH804" s="32" t="str">
        <f t="shared" si="558"/>
        <v/>
      </c>
      <c r="AI804" s="35" t="str">
        <f t="shared" si="559"/>
        <v/>
      </c>
      <c r="AJ804" s="23" t="str">
        <f t="array" ref="AJ804">IFERROR(SMALL(IF(U$1:U$1000="BEGIN",ROW(U$1:U$1000)),ROW()-3),"")</f>
        <v/>
      </c>
      <c r="AK804" s="23" t="str">
        <f t="array" ref="AK804">IFERROR(SMALL(IF(V$1:V$1000="END",ROW(V$1:V$1000)),ROW()-3),"")</f>
        <v/>
      </c>
      <c r="AL804" s="24" t="str">
        <f t="array" ref="AL804">IF(AK804="","",MATCH(AM804,L:L,0))</f>
        <v/>
      </c>
      <c r="AM804" s="35">
        <f t="array" ref="AM804">MAX(IF((B$4:B$1000&lt;=AK804)*(B$4:B$1000&gt;=AJ804),L$4:L$1000, ""))</f>
        <v>0</v>
      </c>
      <c r="AN804" s="32" t="str">
        <f t="shared" si="566"/>
        <v/>
      </c>
      <c r="AO804" s="32" t="str">
        <f t="shared" si="567"/>
        <v/>
      </c>
      <c r="AP804" s="32" t="str">
        <f t="shared" si="568"/>
        <v/>
      </c>
      <c r="AQ804" s="32" t="str">
        <f t="shared" si="569"/>
        <v/>
      </c>
      <c r="AR804" s="32" t="str">
        <f t="shared" si="570"/>
        <v/>
      </c>
      <c r="AS804" s="32" t="str">
        <f t="shared" si="571"/>
        <v/>
      </c>
      <c r="AT804" s="32" t="str">
        <f t="shared" si="572"/>
        <v/>
      </c>
      <c r="AU804" s="34" t="str">
        <f t="shared" si="573"/>
        <v/>
      </c>
      <c r="AV804" s="32" t="str">
        <f t="shared" si="574"/>
        <v/>
      </c>
      <c r="AW804" s="32" t="str">
        <f t="shared" si="575"/>
        <v/>
      </c>
      <c r="AX804" s="32" t="str">
        <f t="shared" si="576"/>
        <v/>
      </c>
      <c r="AY804" s="32" t="str">
        <f t="shared" si="577"/>
        <v/>
      </c>
    </row>
    <row r="805" spans="1:51" x14ac:dyDescent="0.25">
      <c r="A805" s="24" t="str">
        <f t="shared" si="535"/>
        <v/>
      </c>
      <c r="B805" s="24" t="str">
        <f t="shared" si="545"/>
        <v/>
      </c>
      <c r="C805" s="32" t="str">
        <f t="shared" si="536"/>
        <v/>
      </c>
      <c r="D805" s="24" t="str">
        <f t="shared" si="537"/>
        <v/>
      </c>
      <c r="E805" s="24" t="str">
        <f t="shared" si="538"/>
        <v/>
      </c>
      <c r="F805" s="32" t="str">
        <f t="shared" si="539"/>
        <v/>
      </c>
      <c r="G805" s="32" t="str">
        <f t="shared" si="540"/>
        <v/>
      </c>
      <c r="H805" s="32" t="str">
        <f t="shared" ca="1" si="541"/>
        <v/>
      </c>
      <c r="I805" s="32" t="str">
        <f t="shared" ca="1" si="546"/>
        <v/>
      </c>
      <c r="J805" s="32" t="str">
        <f t="shared" si="542"/>
        <v/>
      </c>
      <c r="K805" s="32" t="str">
        <f>IF(ISNUMBER(A805),Profile!$V$25+Profile!$V$24*'Ri-Po'!C805,"")</f>
        <v/>
      </c>
      <c r="L805" s="32" t="str">
        <f t="shared" si="547"/>
        <v/>
      </c>
      <c r="M805" s="32" t="str">
        <f t="shared" si="543"/>
        <v/>
      </c>
      <c r="N805" s="32" t="str">
        <f t="shared" si="544"/>
        <v/>
      </c>
      <c r="O805" s="32" t="str">
        <f t="shared" si="560"/>
        <v/>
      </c>
      <c r="P805" s="32" t="str">
        <f t="shared" si="548"/>
        <v/>
      </c>
      <c r="Q805" s="32" t="str">
        <f t="shared" si="549"/>
        <v/>
      </c>
      <c r="R805" s="32" t="str">
        <f t="shared" si="561"/>
        <v/>
      </c>
      <c r="S805" s="24" t="str">
        <f t="shared" si="562"/>
        <v/>
      </c>
      <c r="T805" s="24" t="str">
        <f t="shared" si="563"/>
        <v/>
      </c>
      <c r="U805" s="24" t="str">
        <f t="shared" si="564"/>
        <v/>
      </c>
      <c r="V805" s="24" t="str">
        <f t="shared" si="565"/>
        <v/>
      </c>
      <c r="W805" s="23" t="str">
        <f t="array" ref="W805">IFERROR(SMALL(IF(S$1:S$1000="BEGIN",ROW(S$1:S$1000)),ROW()-3),"")</f>
        <v/>
      </c>
      <c r="X805" s="23" t="str">
        <f t="array" ref="X805">IFERROR(SMALL(IF(T$1:T$1000="END",ROW(T$1:T$1000)),ROW()-3),"")</f>
        <v/>
      </c>
      <c r="Y805" s="33" t="str">
        <f t="array" ref="Y805">IF(ISNUMBER(W805),MAX(IF((B$4:B$1000&lt;=X805)*(B$4:B$1000&gt;=W805),I$4:I$1000, "")),"")</f>
        <v/>
      </c>
      <c r="Z805" s="33" t="str">
        <f t="shared" si="550"/>
        <v/>
      </c>
      <c r="AA805" s="32" t="str">
        <f t="shared" si="551"/>
        <v/>
      </c>
      <c r="AB805" s="32" t="str">
        <f t="shared" si="552"/>
        <v/>
      </c>
      <c r="AC805" s="32" t="str">
        <f t="shared" si="553"/>
        <v/>
      </c>
      <c r="AD805" s="32" t="str">
        <f t="shared" si="554"/>
        <v/>
      </c>
      <c r="AE805" s="34" t="str">
        <f t="shared" si="555"/>
        <v/>
      </c>
      <c r="AF805" s="32" t="str">
        <f t="shared" si="556"/>
        <v/>
      </c>
      <c r="AG805" s="32" t="str">
        <f t="shared" si="557"/>
        <v/>
      </c>
      <c r="AH805" s="32" t="str">
        <f t="shared" si="558"/>
        <v/>
      </c>
      <c r="AI805" s="35" t="str">
        <f t="shared" si="559"/>
        <v/>
      </c>
      <c r="AJ805" s="23" t="str">
        <f t="array" ref="AJ805">IFERROR(SMALL(IF(U$1:U$1000="BEGIN",ROW(U$1:U$1000)),ROW()-3),"")</f>
        <v/>
      </c>
      <c r="AK805" s="23" t="str">
        <f t="array" ref="AK805">IFERROR(SMALL(IF(V$1:V$1000="END",ROW(V$1:V$1000)),ROW()-3),"")</f>
        <v/>
      </c>
      <c r="AL805" s="24" t="str">
        <f t="array" ref="AL805">IF(AK805="","",MATCH(AM805,L:L,0))</f>
        <v/>
      </c>
      <c r="AM805" s="35">
        <f t="array" ref="AM805">MAX(IF((B$4:B$1000&lt;=AK805)*(B$4:B$1000&gt;=AJ805),L$4:L$1000, ""))</f>
        <v>0</v>
      </c>
      <c r="AN805" s="32" t="str">
        <f t="shared" si="566"/>
        <v/>
      </c>
      <c r="AO805" s="32" t="str">
        <f t="shared" si="567"/>
        <v/>
      </c>
      <c r="AP805" s="32" t="str">
        <f t="shared" si="568"/>
        <v/>
      </c>
      <c r="AQ805" s="32" t="str">
        <f t="shared" si="569"/>
        <v/>
      </c>
      <c r="AR805" s="32" t="str">
        <f t="shared" si="570"/>
        <v/>
      </c>
      <c r="AS805" s="32" t="str">
        <f t="shared" si="571"/>
        <v/>
      </c>
      <c r="AT805" s="32" t="str">
        <f t="shared" si="572"/>
        <v/>
      </c>
      <c r="AU805" s="34" t="str">
        <f t="shared" si="573"/>
        <v/>
      </c>
      <c r="AV805" s="32" t="str">
        <f t="shared" si="574"/>
        <v/>
      </c>
      <c r="AW805" s="32" t="str">
        <f t="shared" si="575"/>
        <v/>
      </c>
      <c r="AX805" s="32" t="str">
        <f t="shared" si="576"/>
        <v/>
      </c>
      <c r="AY805" s="32" t="str">
        <f t="shared" si="577"/>
        <v/>
      </c>
    </row>
    <row r="806" spans="1:51" x14ac:dyDescent="0.25">
      <c r="A806" s="24" t="str">
        <f t="shared" si="535"/>
        <v/>
      </c>
      <c r="B806" s="24" t="str">
        <f t="shared" si="545"/>
        <v/>
      </c>
      <c r="C806" s="32" t="str">
        <f t="shared" si="536"/>
        <v/>
      </c>
      <c r="D806" s="24" t="str">
        <f t="shared" si="537"/>
        <v/>
      </c>
      <c r="E806" s="24" t="str">
        <f t="shared" si="538"/>
        <v/>
      </c>
      <c r="F806" s="32" t="str">
        <f t="shared" si="539"/>
        <v/>
      </c>
      <c r="G806" s="32" t="str">
        <f t="shared" si="540"/>
        <v/>
      </c>
      <c r="H806" s="32" t="str">
        <f t="shared" ca="1" si="541"/>
        <v/>
      </c>
      <c r="I806" s="32" t="str">
        <f t="shared" ca="1" si="546"/>
        <v/>
      </c>
      <c r="J806" s="32" t="str">
        <f t="shared" si="542"/>
        <v/>
      </c>
      <c r="K806" s="32" t="str">
        <f>IF(ISNUMBER(A806),Profile!$V$25+Profile!$V$24*'Ri-Po'!C806,"")</f>
        <v/>
      </c>
      <c r="L806" s="32" t="str">
        <f t="shared" si="547"/>
        <v/>
      </c>
      <c r="M806" s="32" t="str">
        <f t="shared" si="543"/>
        <v/>
      </c>
      <c r="N806" s="32" t="str">
        <f t="shared" si="544"/>
        <v/>
      </c>
      <c r="O806" s="32" t="str">
        <f t="shared" si="560"/>
        <v/>
      </c>
      <c r="P806" s="32" t="str">
        <f t="shared" si="548"/>
        <v/>
      </c>
      <c r="Q806" s="32" t="str">
        <f t="shared" si="549"/>
        <v/>
      </c>
      <c r="R806" s="32" t="str">
        <f t="shared" si="561"/>
        <v/>
      </c>
      <c r="S806" s="24" t="str">
        <f t="shared" si="562"/>
        <v/>
      </c>
      <c r="T806" s="24" t="str">
        <f t="shared" si="563"/>
        <v/>
      </c>
      <c r="U806" s="24" t="str">
        <f t="shared" si="564"/>
        <v/>
      </c>
      <c r="V806" s="24" t="str">
        <f t="shared" si="565"/>
        <v/>
      </c>
      <c r="W806" s="23" t="str">
        <f t="array" ref="W806">IFERROR(SMALL(IF(S$1:S$1000="BEGIN",ROW(S$1:S$1000)),ROW()-3),"")</f>
        <v/>
      </c>
      <c r="X806" s="23" t="str">
        <f t="array" ref="X806">IFERROR(SMALL(IF(T$1:T$1000="END",ROW(T$1:T$1000)),ROW()-3),"")</f>
        <v/>
      </c>
      <c r="Y806" s="33" t="str">
        <f t="array" ref="Y806">IF(ISNUMBER(W806),MAX(IF((B$4:B$1000&lt;=X806)*(B$4:B$1000&gt;=W806),I$4:I$1000, "")),"")</f>
        <v/>
      </c>
      <c r="Z806" s="33" t="str">
        <f t="shared" si="550"/>
        <v/>
      </c>
      <c r="AA806" s="32" t="str">
        <f t="shared" si="551"/>
        <v/>
      </c>
      <c r="AB806" s="32" t="str">
        <f t="shared" si="552"/>
        <v/>
      </c>
      <c r="AC806" s="32" t="str">
        <f t="shared" si="553"/>
        <v/>
      </c>
      <c r="AD806" s="32" t="str">
        <f t="shared" si="554"/>
        <v/>
      </c>
      <c r="AE806" s="34" t="str">
        <f t="shared" si="555"/>
        <v/>
      </c>
      <c r="AF806" s="32" t="str">
        <f t="shared" si="556"/>
        <v/>
      </c>
      <c r="AG806" s="32" t="str">
        <f t="shared" si="557"/>
        <v/>
      </c>
      <c r="AH806" s="32" t="str">
        <f t="shared" si="558"/>
        <v/>
      </c>
      <c r="AI806" s="35" t="str">
        <f t="shared" si="559"/>
        <v/>
      </c>
      <c r="AJ806" s="23" t="str">
        <f t="array" ref="AJ806">IFERROR(SMALL(IF(U$1:U$1000="BEGIN",ROW(U$1:U$1000)),ROW()-3),"")</f>
        <v/>
      </c>
      <c r="AK806" s="23" t="str">
        <f t="array" ref="AK806">IFERROR(SMALL(IF(V$1:V$1000="END",ROW(V$1:V$1000)),ROW()-3),"")</f>
        <v/>
      </c>
      <c r="AL806" s="24" t="str">
        <f t="array" ref="AL806">IF(AK806="","",MATCH(AM806,L:L,0))</f>
        <v/>
      </c>
      <c r="AM806" s="35">
        <f t="array" ref="AM806">MAX(IF((B$4:B$1000&lt;=AK806)*(B$4:B$1000&gt;=AJ806),L$4:L$1000, ""))</f>
        <v>0</v>
      </c>
      <c r="AN806" s="32" t="str">
        <f t="shared" si="566"/>
        <v/>
      </c>
      <c r="AO806" s="32" t="str">
        <f t="shared" si="567"/>
        <v/>
      </c>
      <c r="AP806" s="32" t="str">
        <f t="shared" si="568"/>
        <v/>
      </c>
      <c r="AQ806" s="32" t="str">
        <f t="shared" si="569"/>
        <v/>
      </c>
      <c r="AR806" s="32" t="str">
        <f t="shared" si="570"/>
        <v/>
      </c>
      <c r="AS806" s="32" t="str">
        <f t="shared" si="571"/>
        <v/>
      </c>
      <c r="AT806" s="32" t="str">
        <f t="shared" si="572"/>
        <v/>
      </c>
      <c r="AU806" s="34" t="str">
        <f t="shared" si="573"/>
        <v/>
      </c>
      <c r="AV806" s="32" t="str">
        <f t="shared" si="574"/>
        <v/>
      </c>
      <c r="AW806" s="32" t="str">
        <f t="shared" si="575"/>
        <v/>
      </c>
      <c r="AX806" s="32" t="str">
        <f t="shared" si="576"/>
        <v/>
      </c>
      <c r="AY806" s="32" t="str">
        <f t="shared" si="577"/>
        <v/>
      </c>
    </row>
    <row r="807" spans="1:51" x14ac:dyDescent="0.25">
      <c r="A807" s="24" t="str">
        <f t="shared" si="535"/>
        <v/>
      </c>
      <c r="B807" s="24" t="str">
        <f t="shared" si="545"/>
        <v/>
      </c>
      <c r="C807" s="32" t="str">
        <f t="shared" si="536"/>
        <v/>
      </c>
      <c r="D807" s="24" t="str">
        <f t="shared" si="537"/>
        <v/>
      </c>
      <c r="E807" s="24" t="str">
        <f t="shared" si="538"/>
        <v/>
      </c>
      <c r="F807" s="32" t="str">
        <f t="shared" si="539"/>
        <v/>
      </c>
      <c r="G807" s="32" t="str">
        <f t="shared" si="540"/>
        <v/>
      </c>
      <c r="H807" s="32" t="str">
        <f t="shared" ca="1" si="541"/>
        <v/>
      </c>
      <c r="I807" s="32" t="str">
        <f t="shared" ca="1" si="546"/>
        <v/>
      </c>
      <c r="J807" s="32" t="str">
        <f t="shared" si="542"/>
        <v/>
      </c>
      <c r="K807" s="32" t="str">
        <f>IF(ISNUMBER(A807),Profile!$V$25+Profile!$V$24*'Ri-Po'!C807,"")</f>
        <v/>
      </c>
      <c r="L807" s="32" t="str">
        <f t="shared" si="547"/>
        <v/>
      </c>
      <c r="M807" s="32" t="str">
        <f t="shared" si="543"/>
        <v/>
      </c>
      <c r="N807" s="32" t="str">
        <f t="shared" si="544"/>
        <v/>
      </c>
      <c r="O807" s="32" t="str">
        <f t="shared" si="560"/>
        <v/>
      </c>
      <c r="P807" s="32" t="str">
        <f t="shared" si="548"/>
        <v/>
      </c>
      <c r="Q807" s="32" t="str">
        <f t="shared" si="549"/>
        <v/>
      </c>
      <c r="R807" s="32" t="str">
        <f t="shared" si="561"/>
        <v/>
      </c>
      <c r="S807" s="24" t="str">
        <f t="shared" si="562"/>
        <v/>
      </c>
      <c r="T807" s="24" t="str">
        <f t="shared" si="563"/>
        <v/>
      </c>
      <c r="U807" s="24" t="str">
        <f t="shared" si="564"/>
        <v/>
      </c>
      <c r="V807" s="24" t="str">
        <f t="shared" si="565"/>
        <v/>
      </c>
      <c r="W807" s="23" t="str">
        <f t="array" ref="W807">IFERROR(SMALL(IF(S$1:S$1000="BEGIN",ROW(S$1:S$1000)),ROW()-3),"")</f>
        <v/>
      </c>
      <c r="X807" s="23" t="str">
        <f t="array" ref="X807">IFERROR(SMALL(IF(T$1:T$1000="END",ROW(T$1:T$1000)),ROW()-3),"")</f>
        <v/>
      </c>
      <c r="Y807" s="33" t="str">
        <f t="array" ref="Y807">IF(ISNUMBER(W807),MAX(IF((B$4:B$1000&lt;=X807)*(B$4:B$1000&gt;=W807),I$4:I$1000, "")),"")</f>
        <v/>
      </c>
      <c r="Z807" s="33" t="str">
        <f t="shared" si="550"/>
        <v/>
      </c>
      <c r="AA807" s="32" t="str">
        <f t="shared" si="551"/>
        <v/>
      </c>
      <c r="AB807" s="32" t="str">
        <f t="shared" si="552"/>
        <v/>
      </c>
      <c r="AC807" s="32" t="str">
        <f t="shared" si="553"/>
        <v/>
      </c>
      <c r="AD807" s="32" t="str">
        <f t="shared" si="554"/>
        <v/>
      </c>
      <c r="AE807" s="34" t="str">
        <f t="shared" si="555"/>
        <v/>
      </c>
      <c r="AF807" s="32" t="str">
        <f t="shared" si="556"/>
        <v/>
      </c>
      <c r="AG807" s="32" t="str">
        <f t="shared" si="557"/>
        <v/>
      </c>
      <c r="AH807" s="32" t="str">
        <f t="shared" si="558"/>
        <v/>
      </c>
      <c r="AI807" s="35" t="str">
        <f t="shared" si="559"/>
        <v/>
      </c>
      <c r="AJ807" s="23" t="str">
        <f t="array" ref="AJ807">IFERROR(SMALL(IF(U$1:U$1000="BEGIN",ROW(U$1:U$1000)),ROW()-3),"")</f>
        <v/>
      </c>
      <c r="AK807" s="23" t="str">
        <f t="array" ref="AK807">IFERROR(SMALL(IF(V$1:V$1000="END",ROW(V$1:V$1000)),ROW()-3),"")</f>
        <v/>
      </c>
      <c r="AL807" s="24" t="str">
        <f t="array" ref="AL807">IF(AK807="","",MATCH(AM807,L:L,0))</f>
        <v/>
      </c>
      <c r="AM807" s="35">
        <f t="array" ref="AM807">MAX(IF((B$4:B$1000&lt;=AK807)*(B$4:B$1000&gt;=AJ807),L$4:L$1000, ""))</f>
        <v>0</v>
      </c>
      <c r="AN807" s="32" t="str">
        <f t="shared" si="566"/>
        <v/>
      </c>
      <c r="AO807" s="32" t="str">
        <f t="shared" si="567"/>
        <v/>
      </c>
      <c r="AP807" s="32" t="str">
        <f t="shared" si="568"/>
        <v/>
      </c>
      <c r="AQ807" s="32" t="str">
        <f t="shared" si="569"/>
        <v/>
      </c>
      <c r="AR807" s="32" t="str">
        <f t="shared" si="570"/>
        <v/>
      </c>
      <c r="AS807" s="32" t="str">
        <f t="shared" si="571"/>
        <v/>
      </c>
      <c r="AT807" s="32" t="str">
        <f t="shared" si="572"/>
        <v/>
      </c>
      <c r="AU807" s="34" t="str">
        <f t="shared" si="573"/>
        <v/>
      </c>
      <c r="AV807" s="32" t="str">
        <f t="shared" si="574"/>
        <v/>
      </c>
      <c r="AW807" s="32" t="str">
        <f t="shared" si="575"/>
        <v/>
      </c>
      <c r="AX807" s="32" t="str">
        <f t="shared" si="576"/>
        <v/>
      </c>
      <c r="AY807" s="32" t="str">
        <f t="shared" si="577"/>
        <v/>
      </c>
    </row>
    <row r="808" spans="1:51" x14ac:dyDescent="0.25">
      <c r="A808" s="24" t="str">
        <f t="shared" si="535"/>
        <v/>
      </c>
      <c r="B808" s="24" t="str">
        <f t="shared" si="545"/>
        <v/>
      </c>
      <c r="C808" s="32" t="str">
        <f t="shared" si="536"/>
        <v/>
      </c>
      <c r="D808" s="24" t="str">
        <f t="shared" si="537"/>
        <v/>
      </c>
      <c r="E808" s="24" t="str">
        <f t="shared" si="538"/>
        <v/>
      </c>
      <c r="F808" s="32" t="str">
        <f t="shared" si="539"/>
        <v/>
      </c>
      <c r="G808" s="32" t="str">
        <f t="shared" si="540"/>
        <v/>
      </c>
      <c r="H808" s="32" t="str">
        <f t="shared" ca="1" si="541"/>
        <v/>
      </c>
      <c r="I808" s="32" t="str">
        <f t="shared" ca="1" si="546"/>
        <v/>
      </c>
      <c r="J808" s="32" t="str">
        <f t="shared" si="542"/>
        <v/>
      </c>
      <c r="K808" s="32" t="str">
        <f>IF(ISNUMBER(A808),Profile!$V$25+Profile!$V$24*'Ri-Po'!C808,"")</f>
        <v/>
      </c>
      <c r="L808" s="32" t="str">
        <f t="shared" si="547"/>
        <v/>
      </c>
      <c r="M808" s="32" t="str">
        <f t="shared" si="543"/>
        <v/>
      </c>
      <c r="N808" s="32" t="str">
        <f t="shared" si="544"/>
        <v/>
      </c>
      <c r="O808" s="32" t="str">
        <f t="shared" si="560"/>
        <v/>
      </c>
      <c r="P808" s="32" t="str">
        <f t="shared" si="548"/>
        <v/>
      </c>
      <c r="Q808" s="32" t="str">
        <f t="shared" si="549"/>
        <v/>
      </c>
      <c r="R808" s="32" t="str">
        <f t="shared" si="561"/>
        <v/>
      </c>
      <c r="S808" s="24" t="str">
        <f t="shared" si="562"/>
        <v/>
      </c>
      <c r="T808" s="24" t="str">
        <f t="shared" si="563"/>
        <v/>
      </c>
      <c r="U808" s="24" t="str">
        <f t="shared" si="564"/>
        <v/>
      </c>
      <c r="V808" s="24" t="str">
        <f t="shared" si="565"/>
        <v/>
      </c>
      <c r="W808" s="23" t="str">
        <f t="array" ref="W808">IFERROR(SMALL(IF(S$1:S$1000="BEGIN",ROW(S$1:S$1000)),ROW()-3),"")</f>
        <v/>
      </c>
      <c r="X808" s="23" t="str">
        <f t="array" ref="X808">IFERROR(SMALL(IF(T$1:T$1000="END",ROW(T$1:T$1000)),ROW()-3),"")</f>
        <v/>
      </c>
      <c r="Y808" s="33" t="str">
        <f t="array" ref="Y808">IF(ISNUMBER(W808),MAX(IF((B$4:B$1000&lt;=X808)*(B$4:B$1000&gt;=W808),I$4:I$1000, "")),"")</f>
        <v/>
      </c>
      <c r="Z808" s="33" t="str">
        <f t="shared" si="550"/>
        <v/>
      </c>
      <c r="AA808" s="32" t="str">
        <f t="shared" si="551"/>
        <v/>
      </c>
      <c r="AB808" s="32" t="str">
        <f t="shared" si="552"/>
        <v/>
      </c>
      <c r="AC808" s="32" t="str">
        <f t="shared" si="553"/>
        <v/>
      </c>
      <c r="AD808" s="32" t="str">
        <f t="shared" si="554"/>
        <v/>
      </c>
      <c r="AE808" s="34" t="str">
        <f t="shared" si="555"/>
        <v/>
      </c>
      <c r="AF808" s="32" t="str">
        <f t="shared" si="556"/>
        <v/>
      </c>
      <c r="AG808" s="32" t="str">
        <f t="shared" si="557"/>
        <v/>
      </c>
      <c r="AH808" s="32" t="str">
        <f t="shared" si="558"/>
        <v/>
      </c>
      <c r="AI808" s="35" t="str">
        <f t="shared" si="559"/>
        <v/>
      </c>
      <c r="AJ808" s="23" t="str">
        <f t="array" ref="AJ808">IFERROR(SMALL(IF(U$1:U$1000="BEGIN",ROW(U$1:U$1000)),ROW()-3),"")</f>
        <v/>
      </c>
      <c r="AK808" s="23" t="str">
        <f t="array" ref="AK808">IFERROR(SMALL(IF(V$1:V$1000="END",ROW(V$1:V$1000)),ROW()-3),"")</f>
        <v/>
      </c>
      <c r="AL808" s="24" t="str">
        <f t="array" ref="AL808">IF(AK808="","",MATCH(AM808,L:L,0))</f>
        <v/>
      </c>
      <c r="AM808" s="35">
        <f t="array" ref="AM808">MAX(IF((B$4:B$1000&lt;=AK808)*(B$4:B$1000&gt;=AJ808),L$4:L$1000, ""))</f>
        <v>0</v>
      </c>
      <c r="AN808" s="32" t="str">
        <f t="shared" si="566"/>
        <v/>
      </c>
      <c r="AO808" s="32" t="str">
        <f t="shared" si="567"/>
        <v/>
      </c>
      <c r="AP808" s="32" t="str">
        <f t="shared" si="568"/>
        <v/>
      </c>
      <c r="AQ808" s="32" t="str">
        <f t="shared" si="569"/>
        <v/>
      </c>
      <c r="AR808" s="32" t="str">
        <f t="shared" si="570"/>
        <v/>
      </c>
      <c r="AS808" s="32" t="str">
        <f t="shared" si="571"/>
        <v/>
      </c>
      <c r="AT808" s="32" t="str">
        <f t="shared" si="572"/>
        <v/>
      </c>
      <c r="AU808" s="34" t="str">
        <f t="shared" si="573"/>
        <v/>
      </c>
      <c r="AV808" s="32" t="str">
        <f t="shared" si="574"/>
        <v/>
      </c>
      <c r="AW808" s="32" t="str">
        <f t="shared" si="575"/>
        <v/>
      </c>
      <c r="AX808" s="32" t="str">
        <f t="shared" si="576"/>
        <v/>
      </c>
      <c r="AY808" s="32" t="str">
        <f t="shared" si="577"/>
        <v/>
      </c>
    </row>
    <row r="809" spans="1:51" x14ac:dyDescent="0.25">
      <c r="A809" s="24" t="str">
        <f t="shared" si="535"/>
        <v/>
      </c>
      <c r="B809" s="24" t="str">
        <f t="shared" si="545"/>
        <v/>
      </c>
      <c r="C809" s="32" t="str">
        <f t="shared" si="536"/>
        <v/>
      </c>
      <c r="D809" s="24" t="str">
        <f t="shared" si="537"/>
        <v/>
      </c>
      <c r="E809" s="24" t="str">
        <f t="shared" si="538"/>
        <v/>
      </c>
      <c r="F809" s="32" t="str">
        <f t="shared" si="539"/>
        <v/>
      </c>
      <c r="G809" s="32" t="str">
        <f t="shared" si="540"/>
        <v/>
      </c>
      <c r="H809" s="32" t="str">
        <f t="shared" ca="1" si="541"/>
        <v/>
      </c>
      <c r="I809" s="32" t="str">
        <f t="shared" ca="1" si="546"/>
        <v/>
      </c>
      <c r="J809" s="32" t="str">
        <f t="shared" si="542"/>
        <v/>
      </c>
      <c r="K809" s="32" t="str">
        <f>IF(ISNUMBER(A809),Profile!$V$25+Profile!$V$24*'Ri-Po'!C809,"")</f>
        <v/>
      </c>
      <c r="L809" s="32" t="str">
        <f t="shared" si="547"/>
        <v/>
      </c>
      <c r="M809" s="32" t="str">
        <f t="shared" si="543"/>
        <v/>
      </c>
      <c r="N809" s="32" t="str">
        <f t="shared" si="544"/>
        <v/>
      </c>
      <c r="O809" s="32" t="str">
        <f t="shared" si="560"/>
        <v/>
      </c>
      <c r="P809" s="32" t="str">
        <f t="shared" si="548"/>
        <v/>
      </c>
      <c r="Q809" s="32" t="str">
        <f t="shared" si="549"/>
        <v/>
      </c>
      <c r="R809" s="32" t="str">
        <f t="shared" si="561"/>
        <v/>
      </c>
      <c r="S809" s="24" t="str">
        <f t="shared" si="562"/>
        <v/>
      </c>
      <c r="T809" s="24" t="str">
        <f t="shared" si="563"/>
        <v/>
      </c>
      <c r="U809" s="24" t="str">
        <f t="shared" si="564"/>
        <v/>
      </c>
      <c r="V809" s="24" t="str">
        <f t="shared" si="565"/>
        <v/>
      </c>
      <c r="W809" s="23" t="str">
        <f t="array" ref="W809">IFERROR(SMALL(IF(S$1:S$1000="BEGIN",ROW(S$1:S$1000)),ROW()-3),"")</f>
        <v/>
      </c>
      <c r="X809" s="23" t="str">
        <f t="array" ref="X809">IFERROR(SMALL(IF(T$1:T$1000="END",ROW(T$1:T$1000)),ROW()-3),"")</f>
        <v/>
      </c>
      <c r="Y809" s="33" t="str">
        <f t="array" ref="Y809">IF(ISNUMBER(W809),MAX(IF((B$4:B$1000&lt;=X809)*(B$4:B$1000&gt;=W809),I$4:I$1000, "")),"")</f>
        <v/>
      </c>
      <c r="Z809" s="33" t="str">
        <f t="shared" si="550"/>
        <v/>
      </c>
      <c r="AA809" s="32" t="str">
        <f t="shared" si="551"/>
        <v/>
      </c>
      <c r="AB809" s="32" t="str">
        <f t="shared" si="552"/>
        <v/>
      </c>
      <c r="AC809" s="32" t="str">
        <f t="shared" si="553"/>
        <v/>
      </c>
      <c r="AD809" s="32" t="str">
        <f t="shared" si="554"/>
        <v/>
      </c>
      <c r="AE809" s="34" t="str">
        <f t="shared" si="555"/>
        <v/>
      </c>
      <c r="AF809" s="32" t="str">
        <f t="shared" si="556"/>
        <v/>
      </c>
      <c r="AG809" s="32" t="str">
        <f t="shared" si="557"/>
        <v/>
      </c>
      <c r="AH809" s="32" t="str">
        <f t="shared" si="558"/>
        <v/>
      </c>
      <c r="AI809" s="35" t="str">
        <f t="shared" si="559"/>
        <v/>
      </c>
      <c r="AJ809" s="23" t="str">
        <f t="array" ref="AJ809">IFERROR(SMALL(IF(U$1:U$1000="BEGIN",ROW(U$1:U$1000)),ROW()-3),"")</f>
        <v/>
      </c>
      <c r="AK809" s="23" t="str">
        <f t="array" ref="AK809">IFERROR(SMALL(IF(V$1:V$1000="END",ROW(V$1:V$1000)),ROW()-3),"")</f>
        <v/>
      </c>
      <c r="AL809" s="24" t="str">
        <f t="array" ref="AL809">IF(AK809="","",MATCH(AM809,L:L,0))</f>
        <v/>
      </c>
      <c r="AM809" s="35">
        <f t="array" ref="AM809">MAX(IF((B$4:B$1000&lt;=AK809)*(B$4:B$1000&gt;=AJ809),L$4:L$1000, ""))</f>
        <v>0</v>
      </c>
      <c r="AN809" s="32" t="str">
        <f t="shared" si="566"/>
        <v/>
      </c>
      <c r="AO809" s="32" t="str">
        <f t="shared" si="567"/>
        <v/>
      </c>
      <c r="AP809" s="32" t="str">
        <f t="shared" si="568"/>
        <v/>
      </c>
      <c r="AQ809" s="32" t="str">
        <f t="shared" si="569"/>
        <v/>
      </c>
      <c r="AR809" s="32" t="str">
        <f t="shared" si="570"/>
        <v/>
      </c>
      <c r="AS809" s="32" t="str">
        <f t="shared" si="571"/>
        <v/>
      </c>
      <c r="AT809" s="32" t="str">
        <f t="shared" si="572"/>
        <v/>
      </c>
      <c r="AU809" s="34" t="str">
        <f t="shared" si="573"/>
        <v/>
      </c>
      <c r="AV809" s="32" t="str">
        <f t="shared" si="574"/>
        <v/>
      </c>
      <c r="AW809" s="32" t="str">
        <f t="shared" si="575"/>
        <v/>
      </c>
      <c r="AX809" s="32" t="str">
        <f t="shared" si="576"/>
        <v/>
      </c>
      <c r="AY809" s="32" t="str">
        <f t="shared" si="577"/>
        <v/>
      </c>
    </row>
    <row r="810" spans="1:51" x14ac:dyDescent="0.25">
      <c r="A810" s="24" t="str">
        <f t="shared" si="535"/>
        <v/>
      </c>
      <c r="B810" s="24" t="str">
        <f t="shared" si="545"/>
        <v/>
      </c>
      <c r="C810" s="32" t="str">
        <f t="shared" si="536"/>
        <v/>
      </c>
      <c r="D810" s="24" t="str">
        <f t="shared" si="537"/>
        <v/>
      </c>
      <c r="E810" s="24" t="str">
        <f t="shared" si="538"/>
        <v/>
      </c>
      <c r="F810" s="32" t="str">
        <f t="shared" si="539"/>
        <v/>
      </c>
      <c r="G810" s="32" t="str">
        <f t="shared" si="540"/>
        <v/>
      </c>
      <c r="H810" s="32" t="str">
        <f t="shared" ca="1" si="541"/>
        <v/>
      </c>
      <c r="I810" s="32" t="str">
        <f t="shared" ca="1" si="546"/>
        <v/>
      </c>
      <c r="J810" s="32" t="str">
        <f t="shared" si="542"/>
        <v/>
      </c>
      <c r="K810" s="32" t="str">
        <f>IF(ISNUMBER(A810),Profile!$V$25+Profile!$V$24*'Ri-Po'!C810,"")</f>
        <v/>
      </c>
      <c r="L810" s="32" t="str">
        <f t="shared" si="547"/>
        <v/>
      </c>
      <c r="M810" s="32" t="str">
        <f t="shared" si="543"/>
        <v/>
      </c>
      <c r="N810" s="32" t="str">
        <f t="shared" si="544"/>
        <v/>
      </c>
      <c r="O810" s="32" t="str">
        <f t="shared" si="560"/>
        <v/>
      </c>
      <c r="P810" s="32" t="str">
        <f t="shared" si="548"/>
        <v/>
      </c>
      <c r="Q810" s="32" t="str">
        <f t="shared" si="549"/>
        <v/>
      </c>
      <c r="R810" s="32" t="str">
        <f t="shared" si="561"/>
        <v/>
      </c>
      <c r="S810" s="24" t="str">
        <f t="shared" si="562"/>
        <v/>
      </c>
      <c r="T810" s="24" t="str">
        <f t="shared" si="563"/>
        <v/>
      </c>
      <c r="U810" s="24" t="str">
        <f t="shared" si="564"/>
        <v/>
      </c>
      <c r="V810" s="24" t="str">
        <f t="shared" si="565"/>
        <v/>
      </c>
      <c r="W810" s="23" t="str">
        <f t="array" ref="W810">IFERROR(SMALL(IF(S$1:S$1000="BEGIN",ROW(S$1:S$1000)),ROW()-3),"")</f>
        <v/>
      </c>
      <c r="X810" s="23" t="str">
        <f t="array" ref="X810">IFERROR(SMALL(IF(T$1:T$1000="END",ROW(T$1:T$1000)),ROW()-3),"")</f>
        <v/>
      </c>
      <c r="Y810" s="33" t="str">
        <f t="array" ref="Y810">IF(ISNUMBER(W810),MAX(IF((B$4:B$1000&lt;=X810)*(B$4:B$1000&gt;=W810),I$4:I$1000, "")),"")</f>
        <v/>
      </c>
      <c r="Z810" s="33" t="str">
        <f t="shared" si="550"/>
        <v/>
      </c>
      <c r="AA810" s="32" t="str">
        <f t="shared" si="551"/>
        <v/>
      </c>
      <c r="AB810" s="32" t="str">
        <f t="shared" si="552"/>
        <v/>
      </c>
      <c r="AC810" s="32" t="str">
        <f t="shared" si="553"/>
        <v/>
      </c>
      <c r="AD810" s="32" t="str">
        <f t="shared" si="554"/>
        <v/>
      </c>
      <c r="AE810" s="34" t="str">
        <f t="shared" si="555"/>
        <v/>
      </c>
      <c r="AF810" s="32" t="str">
        <f t="shared" si="556"/>
        <v/>
      </c>
      <c r="AG810" s="32" t="str">
        <f t="shared" si="557"/>
        <v/>
      </c>
      <c r="AH810" s="32" t="str">
        <f t="shared" si="558"/>
        <v/>
      </c>
      <c r="AI810" s="35" t="str">
        <f t="shared" si="559"/>
        <v/>
      </c>
      <c r="AJ810" s="23" t="str">
        <f t="array" ref="AJ810">IFERROR(SMALL(IF(U$1:U$1000="BEGIN",ROW(U$1:U$1000)),ROW()-3),"")</f>
        <v/>
      </c>
      <c r="AK810" s="23" t="str">
        <f t="array" ref="AK810">IFERROR(SMALL(IF(V$1:V$1000="END",ROW(V$1:V$1000)),ROW()-3),"")</f>
        <v/>
      </c>
      <c r="AL810" s="24" t="str">
        <f t="array" ref="AL810">IF(AK810="","",MATCH(AM810,L:L,0))</f>
        <v/>
      </c>
      <c r="AM810" s="35">
        <f t="array" ref="AM810">MAX(IF((B$4:B$1000&lt;=AK810)*(B$4:B$1000&gt;=AJ810),L$4:L$1000, ""))</f>
        <v>0</v>
      </c>
      <c r="AN810" s="32" t="str">
        <f t="shared" si="566"/>
        <v/>
      </c>
      <c r="AO810" s="32" t="str">
        <f t="shared" si="567"/>
        <v/>
      </c>
      <c r="AP810" s="32" t="str">
        <f t="shared" si="568"/>
        <v/>
      </c>
      <c r="AQ810" s="32" t="str">
        <f t="shared" si="569"/>
        <v/>
      </c>
      <c r="AR810" s="32" t="str">
        <f t="shared" si="570"/>
        <v/>
      </c>
      <c r="AS810" s="32" t="str">
        <f t="shared" si="571"/>
        <v/>
      </c>
      <c r="AT810" s="32" t="str">
        <f t="shared" si="572"/>
        <v/>
      </c>
      <c r="AU810" s="34" t="str">
        <f t="shared" si="573"/>
        <v/>
      </c>
      <c r="AV810" s="32" t="str">
        <f t="shared" si="574"/>
        <v/>
      </c>
      <c r="AW810" s="32" t="str">
        <f t="shared" si="575"/>
        <v/>
      </c>
      <c r="AX810" s="32" t="str">
        <f t="shared" si="576"/>
        <v/>
      </c>
      <c r="AY810" s="32" t="str">
        <f t="shared" si="577"/>
        <v/>
      </c>
    </row>
    <row r="811" spans="1:51" x14ac:dyDescent="0.25">
      <c r="A811" s="24" t="str">
        <f t="shared" si="535"/>
        <v/>
      </c>
      <c r="B811" s="24" t="str">
        <f t="shared" si="545"/>
        <v/>
      </c>
      <c r="C811" s="32" t="str">
        <f t="shared" si="536"/>
        <v/>
      </c>
      <c r="D811" s="24" t="str">
        <f t="shared" si="537"/>
        <v/>
      </c>
      <c r="E811" s="24" t="str">
        <f t="shared" si="538"/>
        <v/>
      </c>
      <c r="F811" s="32" t="str">
        <f t="shared" si="539"/>
        <v/>
      </c>
      <c r="G811" s="32" t="str">
        <f t="shared" si="540"/>
        <v/>
      </c>
      <c r="H811" s="32" t="str">
        <f t="shared" ca="1" si="541"/>
        <v/>
      </c>
      <c r="I811" s="32" t="str">
        <f t="shared" ca="1" si="546"/>
        <v/>
      </c>
      <c r="J811" s="32" t="str">
        <f t="shared" si="542"/>
        <v/>
      </c>
      <c r="K811" s="32" t="str">
        <f>IF(ISNUMBER(A811),Profile!$V$25+Profile!$V$24*'Ri-Po'!C811,"")</f>
        <v/>
      </c>
      <c r="L811" s="32" t="str">
        <f t="shared" si="547"/>
        <v/>
      </c>
      <c r="M811" s="32" t="str">
        <f t="shared" si="543"/>
        <v/>
      </c>
      <c r="N811" s="32" t="str">
        <f t="shared" si="544"/>
        <v/>
      </c>
      <c r="O811" s="32" t="str">
        <f t="shared" si="560"/>
        <v/>
      </c>
      <c r="P811" s="32" t="str">
        <f t="shared" si="548"/>
        <v/>
      </c>
      <c r="Q811" s="32" t="str">
        <f t="shared" si="549"/>
        <v/>
      </c>
      <c r="R811" s="32" t="str">
        <f t="shared" si="561"/>
        <v/>
      </c>
      <c r="S811" s="24" t="str">
        <f t="shared" si="562"/>
        <v/>
      </c>
      <c r="T811" s="24" t="str">
        <f t="shared" si="563"/>
        <v/>
      </c>
      <c r="U811" s="24" t="str">
        <f t="shared" si="564"/>
        <v/>
      </c>
      <c r="V811" s="24" t="str">
        <f t="shared" si="565"/>
        <v/>
      </c>
      <c r="W811" s="23" t="str">
        <f t="array" ref="W811">IFERROR(SMALL(IF(S$1:S$1000="BEGIN",ROW(S$1:S$1000)),ROW()-3),"")</f>
        <v/>
      </c>
      <c r="X811" s="23" t="str">
        <f t="array" ref="X811">IFERROR(SMALL(IF(T$1:T$1000="END",ROW(T$1:T$1000)),ROW()-3),"")</f>
        <v/>
      </c>
      <c r="Y811" s="33" t="str">
        <f t="array" ref="Y811">IF(ISNUMBER(W811),MAX(IF((B$4:B$1000&lt;=X811)*(B$4:B$1000&gt;=W811),I$4:I$1000, "")),"")</f>
        <v/>
      </c>
      <c r="Z811" s="33" t="str">
        <f t="shared" si="550"/>
        <v/>
      </c>
      <c r="AA811" s="32" t="str">
        <f t="shared" si="551"/>
        <v/>
      </c>
      <c r="AB811" s="32" t="str">
        <f t="shared" si="552"/>
        <v/>
      </c>
      <c r="AC811" s="32" t="str">
        <f t="shared" si="553"/>
        <v/>
      </c>
      <c r="AD811" s="32" t="str">
        <f t="shared" si="554"/>
        <v/>
      </c>
      <c r="AE811" s="34" t="str">
        <f t="shared" si="555"/>
        <v/>
      </c>
      <c r="AF811" s="32" t="str">
        <f t="shared" si="556"/>
        <v/>
      </c>
      <c r="AG811" s="32" t="str">
        <f t="shared" si="557"/>
        <v/>
      </c>
      <c r="AH811" s="32" t="str">
        <f t="shared" si="558"/>
        <v/>
      </c>
      <c r="AI811" s="35" t="str">
        <f t="shared" si="559"/>
        <v/>
      </c>
      <c r="AJ811" s="23" t="str">
        <f t="array" ref="AJ811">IFERROR(SMALL(IF(U$1:U$1000="BEGIN",ROW(U$1:U$1000)),ROW()-3),"")</f>
        <v/>
      </c>
      <c r="AK811" s="23" t="str">
        <f t="array" ref="AK811">IFERROR(SMALL(IF(V$1:V$1000="END",ROW(V$1:V$1000)),ROW()-3),"")</f>
        <v/>
      </c>
      <c r="AL811" s="24" t="str">
        <f t="array" ref="AL811">IF(AK811="","",MATCH(AM811,L:L,0))</f>
        <v/>
      </c>
      <c r="AM811" s="35">
        <f t="array" ref="AM811">MAX(IF((B$4:B$1000&lt;=AK811)*(B$4:B$1000&gt;=AJ811),L$4:L$1000, ""))</f>
        <v>0</v>
      </c>
      <c r="AN811" s="32" t="str">
        <f t="shared" si="566"/>
        <v/>
      </c>
      <c r="AO811" s="32" t="str">
        <f t="shared" si="567"/>
        <v/>
      </c>
      <c r="AP811" s="32" t="str">
        <f t="shared" si="568"/>
        <v/>
      </c>
      <c r="AQ811" s="32" t="str">
        <f t="shared" si="569"/>
        <v/>
      </c>
      <c r="AR811" s="32" t="str">
        <f t="shared" si="570"/>
        <v/>
      </c>
      <c r="AS811" s="32" t="str">
        <f t="shared" si="571"/>
        <v/>
      </c>
      <c r="AT811" s="32" t="str">
        <f t="shared" si="572"/>
        <v/>
      </c>
      <c r="AU811" s="34" t="str">
        <f t="shared" si="573"/>
        <v/>
      </c>
      <c r="AV811" s="32" t="str">
        <f t="shared" si="574"/>
        <v/>
      </c>
      <c r="AW811" s="32" t="str">
        <f t="shared" si="575"/>
        <v/>
      </c>
      <c r="AX811" s="32" t="str">
        <f t="shared" si="576"/>
        <v/>
      </c>
      <c r="AY811" s="32" t="str">
        <f t="shared" si="577"/>
        <v/>
      </c>
    </row>
    <row r="812" spans="1:51" x14ac:dyDescent="0.25">
      <c r="A812" s="24" t="str">
        <f t="shared" si="535"/>
        <v/>
      </c>
      <c r="B812" s="24" t="str">
        <f t="shared" si="545"/>
        <v/>
      </c>
      <c r="C812" s="32" t="str">
        <f t="shared" si="536"/>
        <v/>
      </c>
      <c r="D812" s="24" t="str">
        <f t="shared" si="537"/>
        <v/>
      </c>
      <c r="E812" s="24" t="str">
        <f t="shared" si="538"/>
        <v/>
      </c>
      <c r="F812" s="32" t="str">
        <f t="shared" si="539"/>
        <v/>
      </c>
      <c r="G812" s="32" t="str">
        <f t="shared" si="540"/>
        <v/>
      </c>
      <c r="H812" s="32" t="str">
        <f t="shared" ca="1" si="541"/>
        <v/>
      </c>
      <c r="I812" s="32" t="str">
        <f t="shared" ca="1" si="546"/>
        <v/>
      </c>
      <c r="J812" s="32" t="str">
        <f t="shared" si="542"/>
        <v/>
      </c>
      <c r="K812" s="32" t="str">
        <f>IF(ISNUMBER(A812),Profile!$V$25+Profile!$V$24*'Ri-Po'!C812,"")</f>
        <v/>
      </c>
      <c r="L812" s="32" t="str">
        <f t="shared" si="547"/>
        <v/>
      </c>
      <c r="M812" s="32" t="str">
        <f t="shared" si="543"/>
        <v/>
      </c>
      <c r="N812" s="32" t="str">
        <f t="shared" si="544"/>
        <v/>
      </c>
      <c r="O812" s="32" t="str">
        <f t="shared" si="560"/>
        <v/>
      </c>
      <c r="P812" s="32" t="str">
        <f t="shared" si="548"/>
        <v/>
      </c>
      <c r="Q812" s="32" t="str">
        <f t="shared" si="549"/>
        <v/>
      </c>
      <c r="R812" s="32" t="str">
        <f t="shared" si="561"/>
        <v/>
      </c>
      <c r="S812" s="24" t="str">
        <f t="shared" si="562"/>
        <v/>
      </c>
      <c r="T812" s="24" t="str">
        <f t="shared" si="563"/>
        <v/>
      </c>
      <c r="U812" s="24" t="str">
        <f t="shared" si="564"/>
        <v/>
      </c>
      <c r="V812" s="24" t="str">
        <f t="shared" si="565"/>
        <v/>
      </c>
      <c r="W812" s="23" t="str">
        <f t="array" ref="W812">IFERROR(SMALL(IF(S$1:S$1000="BEGIN",ROW(S$1:S$1000)),ROW()-3),"")</f>
        <v/>
      </c>
      <c r="X812" s="23" t="str">
        <f t="array" ref="X812">IFERROR(SMALL(IF(T$1:T$1000="END",ROW(T$1:T$1000)),ROW()-3),"")</f>
        <v/>
      </c>
      <c r="Y812" s="33" t="str">
        <f t="array" ref="Y812">IF(ISNUMBER(W812),MAX(IF((B$4:B$1000&lt;=X812)*(B$4:B$1000&gt;=W812),I$4:I$1000, "")),"")</f>
        <v/>
      </c>
      <c r="Z812" s="33" t="str">
        <f t="shared" si="550"/>
        <v/>
      </c>
      <c r="AA812" s="32" t="str">
        <f t="shared" si="551"/>
        <v/>
      </c>
      <c r="AB812" s="32" t="str">
        <f t="shared" si="552"/>
        <v/>
      </c>
      <c r="AC812" s="32" t="str">
        <f t="shared" si="553"/>
        <v/>
      </c>
      <c r="AD812" s="32" t="str">
        <f t="shared" si="554"/>
        <v/>
      </c>
      <c r="AE812" s="34" t="str">
        <f t="shared" si="555"/>
        <v/>
      </c>
      <c r="AF812" s="32" t="str">
        <f t="shared" si="556"/>
        <v/>
      </c>
      <c r="AG812" s="32" t="str">
        <f t="shared" si="557"/>
        <v/>
      </c>
      <c r="AH812" s="32" t="str">
        <f t="shared" si="558"/>
        <v/>
      </c>
      <c r="AI812" s="35" t="str">
        <f t="shared" si="559"/>
        <v/>
      </c>
      <c r="AJ812" s="23" t="str">
        <f t="array" ref="AJ812">IFERROR(SMALL(IF(U$1:U$1000="BEGIN",ROW(U$1:U$1000)),ROW()-3),"")</f>
        <v/>
      </c>
      <c r="AK812" s="23" t="str">
        <f t="array" ref="AK812">IFERROR(SMALL(IF(V$1:V$1000="END",ROW(V$1:V$1000)),ROW()-3),"")</f>
        <v/>
      </c>
      <c r="AL812" s="24" t="str">
        <f t="array" ref="AL812">IF(AK812="","",MATCH(AM812,L:L,0))</f>
        <v/>
      </c>
      <c r="AM812" s="35">
        <f t="array" ref="AM812">MAX(IF((B$4:B$1000&lt;=AK812)*(B$4:B$1000&gt;=AJ812),L$4:L$1000, ""))</f>
        <v>0</v>
      </c>
      <c r="AN812" s="32" t="str">
        <f t="shared" si="566"/>
        <v/>
      </c>
      <c r="AO812" s="32" t="str">
        <f t="shared" si="567"/>
        <v/>
      </c>
      <c r="AP812" s="32" t="str">
        <f t="shared" si="568"/>
        <v/>
      </c>
      <c r="AQ812" s="32" t="str">
        <f t="shared" si="569"/>
        <v/>
      </c>
      <c r="AR812" s="32" t="str">
        <f t="shared" si="570"/>
        <v/>
      </c>
      <c r="AS812" s="32" t="str">
        <f t="shared" si="571"/>
        <v/>
      </c>
      <c r="AT812" s="32" t="str">
        <f t="shared" si="572"/>
        <v/>
      </c>
      <c r="AU812" s="34" t="str">
        <f t="shared" si="573"/>
        <v/>
      </c>
      <c r="AV812" s="32" t="str">
        <f t="shared" si="574"/>
        <v/>
      </c>
      <c r="AW812" s="32" t="str">
        <f t="shared" si="575"/>
        <v/>
      </c>
      <c r="AX812" s="32" t="str">
        <f t="shared" si="576"/>
        <v/>
      </c>
      <c r="AY812" s="32" t="str">
        <f t="shared" si="577"/>
        <v/>
      </c>
    </row>
    <row r="813" spans="1:51" x14ac:dyDescent="0.25">
      <c r="A813" s="24" t="str">
        <f t="shared" si="535"/>
        <v/>
      </c>
      <c r="B813" s="24" t="str">
        <f t="shared" si="545"/>
        <v/>
      </c>
      <c r="C813" s="32" t="str">
        <f t="shared" si="536"/>
        <v/>
      </c>
      <c r="D813" s="24" t="str">
        <f t="shared" si="537"/>
        <v/>
      </c>
      <c r="E813" s="24" t="str">
        <f t="shared" si="538"/>
        <v/>
      </c>
      <c r="F813" s="32" t="str">
        <f t="shared" si="539"/>
        <v/>
      </c>
      <c r="G813" s="32" t="str">
        <f t="shared" si="540"/>
        <v/>
      </c>
      <c r="H813" s="32" t="str">
        <f t="shared" ca="1" si="541"/>
        <v/>
      </c>
      <c r="I813" s="32" t="str">
        <f t="shared" ca="1" si="546"/>
        <v/>
      </c>
      <c r="J813" s="32" t="str">
        <f t="shared" si="542"/>
        <v/>
      </c>
      <c r="K813" s="32" t="str">
        <f>IF(ISNUMBER(A813),Profile!$V$25+Profile!$V$24*'Ri-Po'!C813,"")</f>
        <v/>
      </c>
      <c r="L813" s="32" t="str">
        <f t="shared" si="547"/>
        <v/>
      </c>
      <c r="M813" s="32" t="str">
        <f t="shared" si="543"/>
        <v/>
      </c>
      <c r="N813" s="32" t="str">
        <f t="shared" si="544"/>
        <v/>
      </c>
      <c r="O813" s="32" t="str">
        <f t="shared" si="560"/>
        <v/>
      </c>
      <c r="P813" s="32" t="str">
        <f t="shared" si="548"/>
        <v/>
      </c>
      <c r="Q813" s="32" t="str">
        <f t="shared" si="549"/>
        <v/>
      </c>
      <c r="R813" s="32" t="str">
        <f t="shared" si="561"/>
        <v/>
      </c>
      <c r="S813" s="24" t="str">
        <f t="shared" si="562"/>
        <v/>
      </c>
      <c r="T813" s="24" t="str">
        <f t="shared" si="563"/>
        <v/>
      </c>
      <c r="U813" s="24" t="str">
        <f t="shared" si="564"/>
        <v/>
      </c>
      <c r="V813" s="24" t="str">
        <f t="shared" si="565"/>
        <v/>
      </c>
      <c r="W813" s="23" t="str">
        <f t="array" ref="W813">IFERROR(SMALL(IF(S$1:S$1000="BEGIN",ROW(S$1:S$1000)),ROW()-3),"")</f>
        <v/>
      </c>
      <c r="X813" s="23" t="str">
        <f t="array" ref="X813">IFERROR(SMALL(IF(T$1:T$1000="END",ROW(T$1:T$1000)),ROW()-3),"")</f>
        <v/>
      </c>
      <c r="Y813" s="33" t="str">
        <f t="array" ref="Y813">IF(ISNUMBER(W813),MAX(IF((B$4:B$1000&lt;=X813)*(B$4:B$1000&gt;=W813),I$4:I$1000, "")),"")</f>
        <v/>
      </c>
      <c r="Z813" s="33" t="str">
        <f t="shared" si="550"/>
        <v/>
      </c>
      <c r="AA813" s="32" t="str">
        <f t="shared" si="551"/>
        <v/>
      </c>
      <c r="AB813" s="32" t="str">
        <f t="shared" si="552"/>
        <v/>
      </c>
      <c r="AC813" s="32" t="str">
        <f t="shared" si="553"/>
        <v/>
      </c>
      <c r="AD813" s="32" t="str">
        <f t="shared" si="554"/>
        <v/>
      </c>
      <c r="AE813" s="34" t="str">
        <f t="shared" si="555"/>
        <v/>
      </c>
      <c r="AF813" s="32" t="str">
        <f t="shared" si="556"/>
        <v/>
      </c>
      <c r="AG813" s="32" t="str">
        <f t="shared" si="557"/>
        <v/>
      </c>
      <c r="AH813" s="32" t="str">
        <f t="shared" si="558"/>
        <v/>
      </c>
      <c r="AI813" s="35" t="str">
        <f t="shared" si="559"/>
        <v/>
      </c>
      <c r="AJ813" s="23" t="str">
        <f t="array" ref="AJ813">IFERROR(SMALL(IF(U$1:U$1000="BEGIN",ROW(U$1:U$1000)),ROW()-3),"")</f>
        <v/>
      </c>
      <c r="AK813" s="23" t="str">
        <f t="array" ref="AK813">IFERROR(SMALL(IF(V$1:V$1000="END",ROW(V$1:V$1000)),ROW()-3),"")</f>
        <v/>
      </c>
      <c r="AL813" s="24" t="str">
        <f t="array" ref="AL813">IF(AK813="","",MATCH(AM813,L:L,0))</f>
        <v/>
      </c>
      <c r="AM813" s="35">
        <f t="array" ref="AM813">MAX(IF((B$4:B$1000&lt;=AK813)*(B$4:B$1000&gt;=AJ813),L$4:L$1000, ""))</f>
        <v>0</v>
      </c>
      <c r="AN813" s="32" t="str">
        <f t="shared" si="566"/>
        <v/>
      </c>
      <c r="AO813" s="32" t="str">
        <f t="shared" si="567"/>
        <v/>
      </c>
      <c r="AP813" s="32" t="str">
        <f t="shared" si="568"/>
        <v/>
      </c>
      <c r="AQ813" s="32" t="str">
        <f t="shared" si="569"/>
        <v/>
      </c>
      <c r="AR813" s="32" t="str">
        <f t="shared" si="570"/>
        <v/>
      </c>
      <c r="AS813" s="32" t="str">
        <f t="shared" si="571"/>
        <v/>
      </c>
      <c r="AT813" s="32" t="str">
        <f t="shared" si="572"/>
        <v/>
      </c>
      <c r="AU813" s="34" t="str">
        <f t="shared" si="573"/>
        <v/>
      </c>
      <c r="AV813" s="32" t="str">
        <f t="shared" si="574"/>
        <v/>
      </c>
      <c r="AW813" s="32" t="str">
        <f t="shared" si="575"/>
        <v/>
      </c>
      <c r="AX813" s="32" t="str">
        <f t="shared" si="576"/>
        <v/>
      </c>
      <c r="AY813" s="32" t="str">
        <f t="shared" si="577"/>
        <v/>
      </c>
    </row>
    <row r="814" spans="1:51" x14ac:dyDescent="0.25">
      <c r="A814" s="24" t="str">
        <f t="shared" si="535"/>
        <v/>
      </c>
      <c r="B814" s="24" t="str">
        <f t="shared" si="545"/>
        <v/>
      </c>
      <c r="C814" s="32" t="str">
        <f t="shared" si="536"/>
        <v/>
      </c>
      <c r="D814" s="24" t="str">
        <f t="shared" si="537"/>
        <v/>
      </c>
      <c r="E814" s="24" t="str">
        <f t="shared" si="538"/>
        <v/>
      </c>
      <c r="F814" s="32" t="str">
        <f t="shared" si="539"/>
        <v/>
      </c>
      <c r="G814" s="32" t="str">
        <f t="shared" si="540"/>
        <v/>
      </c>
      <c r="H814" s="32" t="str">
        <f t="shared" ca="1" si="541"/>
        <v/>
      </c>
      <c r="I814" s="32" t="str">
        <f t="shared" ca="1" si="546"/>
        <v/>
      </c>
      <c r="J814" s="32" t="str">
        <f t="shared" si="542"/>
        <v/>
      </c>
      <c r="K814" s="32" t="str">
        <f>IF(ISNUMBER(A814),Profile!$V$25+Profile!$V$24*'Ri-Po'!C814,"")</f>
        <v/>
      </c>
      <c r="L814" s="32" t="str">
        <f t="shared" si="547"/>
        <v/>
      </c>
      <c r="M814" s="32" t="str">
        <f t="shared" si="543"/>
        <v/>
      </c>
      <c r="N814" s="32" t="str">
        <f t="shared" si="544"/>
        <v/>
      </c>
      <c r="O814" s="32" t="str">
        <f t="shared" si="560"/>
        <v/>
      </c>
      <c r="P814" s="32" t="str">
        <f t="shared" si="548"/>
        <v/>
      </c>
      <c r="Q814" s="32" t="str">
        <f t="shared" si="549"/>
        <v/>
      </c>
      <c r="R814" s="32" t="str">
        <f t="shared" si="561"/>
        <v/>
      </c>
      <c r="S814" s="24" t="str">
        <f t="shared" si="562"/>
        <v/>
      </c>
      <c r="T814" s="24" t="str">
        <f t="shared" si="563"/>
        <v/>
      </c>
      <c r="U814" s="24" t="str">
        <f t="shared" si="564"/>
        <v/>
      </c>
      <c r="V814" s="24" t="str">
        <f t="shared" si="565"/>
        <v/>
      </c>
      <c r="W814" s="23" t="str">
        <f t="array" ref="W814">IFERROR(SMALL(IF(S$1:S$1000="BEGIN",ROW(S$1:S$1000)),ROW()-3),"")</f>
        <v/>
      </c>
      <c r="X814" s="23" t="str">
        <f t="array" ref="X814">IFERROR(SMALL(IF(T$1:T$1000="END",ROW(T$1:T$1000)),ROW()-3),"")</f>
        <v/>
      </c>
      <c r="Y814" s="33" t="str">
        <f t="array" ref="Y814">IF(ISNUMBER(W814),MAX(IF((B$4:B$1000&lt;=X814)*(B$4:B$1000&gt;=W814),I$4:I$1000, "")),"")</f>
        <v/>
      </c>
      <c r="Z814" s="33" t="str">
        <f t="shared" si="550"/>
        <v/>
      </c>
      <c r="AA814" s="32" t="str">
        <f t="shared" si="551"/>
        <v/>
      </c>
      <c r="AB814" s="32" t="str">
        <f t="shared" si="552"/>
        <v/>
      </c>
      <c r="AC814" s="32" t="str">
        <f t="shared" si="553"/>
        <v/>
      </c>
      <c r="AD814" s="32" t="str">
        <f t="shared" si="554"/>
        <v/>
      </c>
      <c r="AE814" s="34" t="str">
        <f t="shared" si="555"/>
        <v/>
      </c>
      <c r="AF814" s="32" t="str">
        <f t="shared" si="556"/>
        <v/>
      </c>
      <c r="AG814" s="32" t="str">
        <f t="shared" si="557"/>
        <v/>
      </c>
      <c r="AH814" s="32" t="str">
        <f t="shared" si="558"/>
        <v/>
      </c>
      <c r="AI814" s="35" t="str">
        <f t="shared" si="559"/>
        <v/>
      </c>
      <c r="AJ814" s="23" t="str">
        <f t="array" ref="AJ814">IFERROR(SMALL(IF(U$1:U$1000="BEGIN",ROW(U$1:U$1000)),ROW()-3),"")</f>
        <v/>
      </c>
      <c r="AK814" s="23" t="str">
        <f t="array" ref="AK814">IFERROR(SMALL(IF(V$1:V$1000="END",ROW(V$1:V$1000)),ROW()-3),"")</f>
        <v/>
      </c>
      <c r="AL814" s="24" t="str">
        <f t="array" ref="AL814">IF(AK814="","",MATCH(AM814,L:L,0))</f>
        <v/>
      </c>
      <c r="AM814" s="35">
        <f t="array" ref="AM814">MAX(IF((B$4:B$1000&lt;=AK814)*(B$4:B$1000&gt;=AJ814),L$4:L$1000, ""))</f>
        <v>0</v>
      </c>
      <c r="AN814" s="32" t="str">
        <f t="shared" si="566"/>
        <v/>
      </c>
      <c r="AO814" s="32" t="str">
        <f t="shared" si="567"/>
        <v/>
      </c>
      <c r="AP814" s="32" t="str">
        <f t="shared" si="568"/>
        <v/>
      </c>
      <c r="AQ814" s="32" t="str">
        <f t="shared" si="569"/>
        <v/>
      </c>
      <c r="AR814" s="32" t="str">
        <f t="shared" si="570"/>
        <v/>
      </c>
      <c r="AS814" s="32" t="str">
        <f t="shared" si="571"/>
        <v/>
      </c>
      <c r="AT814" s="32" t="str">
        <f t="shared" si="572"/>
        <v/>
      </c>
      <c r="AU814" s="34" t="str">
        <f t="shared" si="573"/>
        <v/>
      </c>
      <c r="AV814" s="32" t="str">
        <f t="shared" si="574"/>
        <v/>
      </c>
      <c r="AW814" s="32" t="str">
        <f t="shared" si="575"/>
        <v/>
      </c>
      <c r="AX814" s="32" t="str">
        <f t="shared" si="576"/>
        <v/>
      </c>
      <c r="AY814" s="32" t="str">
        <f t="shared" si="577"/>
        <v/>
      </c>
    </row>
    <row r="815" spans="1:51" x14ac:dyDescent="0.25">
      <c r="A815" s="24" t="str">
        <f t="shared" si="535"/>
        <v/>
      </c>
      <c r="B815" s="24" t="str">
        <f t="shared" si="545"/>
        <v/>
      </c>
      <c r="C815" s="32" t="str">
        <f t="shared" si="536"/>
        <v/>
      </c>
      <c r="D815" s="24" t="str">
        <f t="shared" si="537"/>
        <v/>
      </c>
      <c r="E815" s="24" t="str">
        <f t="shared" si="538"/>
        <v/>
      </c>
      <c r="F815" s="32" t="str">
        <f t="shared" si="539"/>
        <v/>
      </c>
      <c r="G815" s="32" t="str">
        <f t="shared" si="540"/>
        <v/>
      </c>
      <c r="H815" s="32" t="str">
        <f t="shared" ca="1" si="541"/>
        <v/>
      </c>
      <c r="I815" s="32" t="str">
        <f t="shared" ca="1" si="546"/>
        <v/>
      </c>
      <c r="J815" s="32" t="str">
        <f t="shared" si="542"/>
        <v/>
      </c>
      <c r="K815" s="32" t="str">
        <f>IF(ISNUMBER(A815),Profile!$V$25+Profile!$V$24*'Ri-Po'!C815,"")</f>
        <v/>
      </c>
      <c r="L815" s="32" t="str">
        <f t="shared" si="547"/>
        <v/>
      </c>
      <c r="M815" s="32" t="str">
        <f t="shared" si="543"/>
        <v/>
      </c>
      <c r="N815" s="32" t="str">
        <f t="shared" si="544"/>
        <v/>
      </c>
      <c r="O815" s="32" t="str">
        <f t="shared" si="560"/>
        <v/>
      </c>
      <c r="P815" s="32" t="str">
        <f t="shared" si="548"/>
        <v/>
      </c>
      <c r="Q815" s="32" t="str">
        <f t="shared" si="549"/>
        <v/>
      </c>
      <c r="R815" s="32" t="str">
        <f t="shared" si="561"/>
        <v/>
      </c>
      <c r="S815" s="24" t="str">
        <f t="shared" si="562"/>
        <v/>
      </c>
      <c r="T815" s="24" t="str">
        <f t="shared" si="563"/>
        <v/>
      </c>
      <c r="U815" s="24" t="str">
        <f t="shared" si="564"/>
        <v/>
      </c>
      <c r="V815" s="24" t="str">
        <f t="shared" si="565"/>
        <v/>
      </c>
      <c r="W815" s="23" t="str">
        <f t="array" ref="W815">IFERROR(SMALL(IF(S$1:S$1000="BEGIN",ROW(S$1:S$1000)),ROW()-3),"")</f>
        <v/>
      </c>
      <c r="X815" s="23" t="str">
        <f t="array" ref="X815">IFERROR(SMALL(IF(T$1:T$1000="END",ROW(T$1:T$1000)),ROW()-3),"")</f>
        <v/>
      </c>
      <c r="Y815" s="33" t="str">
        <f t="array" ref="Y815">IF(ISNUMBER(W815),MAX(IF((B$4:B$1000&lt;=X815)*(B$4:B$1000&gt;=W815),I$4:I$1000, "")),"")</f>
        <v/>
      </c>
      <c r="Z815" s="33" t="str">
        <f t="shared" si="550"/>
        <v/>
      </c>
      <c r="AA815" s="32" t="str">
        <f t="shared" si="551"/>
        <v/>
      </c>
      <c r="AB815" s="32" t="str">
        <f t="shared" si="552"/>
        <v/>
      </c>
      <c r="AC815" s="32" t="str">
        <f t="shared" si="553"/>
        <v/>
      </c>
      <c r="AD815" s="32" t="str">
        <f t="shared" si="554"/>
        <v/>
      </c>
      <c r="AE815" s="34" t="str">
        <f t="shared" si="555"/>
        <v/>
      </c>
      <c r="AF815" s="32" t="str">
        <f t="shared" si="556"/>
        <v/>
      </c>
      <c r="AG815" s="32" t="str">
        <f t="shared" si="557"/>
        <v/>
      </c>
      <c r="AH815" s="32" t="str">
        <f t="shared" si="558"/>
        <v/>
      </c>
      <c r="AI815" s="35" t="str">
        <f t="shared" si="559"/>
        <v/>
      </c>
      <c r="AJ815" s="23" t="str">
        <f t="array" ref="AJ815">IFERROR(SMALL(IF(U$1:U$1000="BEGIN",ROW(U$1:U$1000)),ROW()-3),"")</f>
        <v/>
      </c>
      <c r="AK815" s="23" t="str">
        <f t="array" ref="AK815">IFERROR(SMALL(IF(V$1:V$1000="END",ROW(V$1:V$1000)),ROW()-3),"")</f>
        <v/>
      </c>
      <c r="AL815" s="24" t="str">
        <f t="array" ref="AL815">IF(AK815="","",MATCH(AM815,L:L,0))</f>
        <v/>
      </c>
      <c r="AM815" s="35">
        <f t="array" ref="AM815">MAX(IF((B$4:B$1000&lt;=AK815)*(B$4:B$1000&gt;=AJ815),L$4:L$1000, ""))</f>
        <v>0</v>
      </c>
      <c r="AN815" s="32" t="str">
        <f t="shared" si="566"/>
        <v/>
      </c>
      <c r="AO815" s="32" t="str">
        <f t="shared" si="567"/>
        <v/>
      </c>
      <c r="AP815" s="32" t="str">
        <f t="shared" si="568"/>
        <v/>
      </c>
      <c r="AQ815" s="32" t="str">
        <f t="shared" si="569"/>
        <v/>
      </c>
      <c r="AR815" s="32" t="str">
        <f t="shared" si="570"/>
        <v/>
      </c>
      <c r="AS815" s="32" t="str">
        <f t="shared" si="571"/>
        <v/>
      </c>
      <c r="AT815" s="32" t="str">
        <f t="shared" si="572"/>
        <v/>
      </c>
      <c r="AU815" s="34" t="str">
        <f t="shared" si="573"/>
        <v/>
      </c>
      <c r="AV815" s="32" t="str">
        <f t="shared" si="574"/>
        <v/>
      </c>
      <c r="AW815" s="32" t="str">
        <f t="shared" si="575"/>
        <v/>
      </c>
      <c r="AX815" s="32" t="str">
        <f t="shared" si="576"/>
        <v/>
      </c>
      <c r="AY815" s="32" t="str">
        <f t="shared" si="577"/>
        <v/>
      </c>
    </row>
    <row r="816" spans="1:51" x14ac:dyDescent="0.25">
      <c r="A816" s="24" t="str">
        <f t="shared" si="535"/>
        <v/>
      </c>
      <c r="B816" s="24" t="str">
        <f t="shared" si="545"/>
        <v/>
      </c>
      <c r="C816" s="32" t="str">
        <f t="shared" si="536"/>
        <v/>
      </c>
      <c r="D816" s="24" t="str">
        <f t="shared" si="537"/>
        <v/>
      </c>
      <c r="E816" s="24" t="str">
        <f t="shared" si="538"/>
        <v/>
      </c>
      <c r="F816" s="32" t="str">
        <f t="shared" si="539"/>
        <v/>
      </c>
      <c r="G816" s="32" t="str">
        <f t="shared" si="540"/>
        <v/>
      </c>
      <c r="H816" s="32" t="str">
        <f t="shared" ca="1" si="541"/>
        <v/>
      </c>
      <c r="I816" s="32" t="str">
        <f t="shared" ca="1" si="546"/>
        <v/>
      </c>
      <c r="J816" s="32" t="str">
        <f t="shared" si="542"/>
        <v/>
      </c>
      <c r="K816" s="32" t="str">
        <f>IF(ISNUMBER(A816),Profile!$V$25+Profile!$V$24*'Ri-Po'!C816,"")</f>
        <v/>
      </c>
      <c r="L816" s="32" t="str">
        <f t="shared" si="547"/>
        <v/>
      </c>
      <c r="M816" s="32" t="str">
        <f t="shared" si="543"/>
        <v/>
      </c>
      <c r="N816" s="32" t="str">
        <f t="shared" si="544"/>
        <v/>
      </c>
      <c r="O816" s="32" t="str">
        <f t="shared" si="560"/>
        <v/>
      </c>
      <c r="P816" s="32" t="str">
        <f t="shared" si="548"/>
        <v/>
      </c>
      <c r="Q816" s="32" t="str">
        <f t="shared" si="549"/>
        <v/>
      </c>
      <c r="R816" s="32" t="str">
        <f t="shared" si="561"/>
        <v/>
      </c>
      <c r="S816" s="24" t="str">
        <f t="shared" si="562"/>
        <v/>
      </c>
      <c r="T816" s="24" t="str">
        <f t="shared" si="563"/>
        <v/>
      </c>
      <c r="U816" s="24" t="str">
        <f t="shared" si="564"/>
        <v/>
      </c>
      <c r="V816" s="24" t="str">
        <f t="shared" si="565"/>
        <v/>
      </c>
      <c r="W816" s="23" t="str">
        <f t="array" ref="W816">IFERROR(SMALL(IF(S$1:S$1000="BEGIN",ROW(S$1:S$1000)),ROW()-3),"")</f>
        <v/>
      </c>
      <c r="X816" s="23" t="str">
        <f t="array" ref="X816">IFERROR(SMALL(IF(T$1:T$1000="END",ROW(T$1:T$1000)),ROW()-3),"")</f>
        <v/>
      </c>
      <c r="Y816" s="33" t="str">
        <f t="array" ref="Y816">IF(ISNUMBER(W816),MAX(IF((B$4:B$1000&lt;=X816)*(B$4:B$1000&gt;=W816),I$4:I$1000, "")),"")</f>
        <v/>
      </c>
      <c r="Z816" s="33" t="str">
        <f t="shared" si="550"/>
        <v/>
      </c>
      <c r="AA816" s="32" t="str">
        <f t="shared" si="551"/>
        <v/>
      </c>
      <c r="AB816" s="32" t="str">
        <f t="shared" si="552"/>
        <v/>
      </c>
      <c r="AC816" s="32" t="str">
        <f t="shared" si="553"/>
        <v/>
      </c>
      <c r="AD816" s="32" t="str">
        <f t="shared" si="554"/>
        <v/>
      </c>
      <c r="AE816" s="34" t="str">
        <f t="shared" si="555"/>
        <v/>
      </c>
      <c r="AF816" s="32" t="str">
        <f t="shared" si="556"/>
        <v/>
      </c>
      <c r="AG816" s="32" t="str">
        <f t="shared" si="557"/>
        <v/>
      </c>
      <c r="AH816" s="32" t="str">
        <f t="shared" si="558"/>
        <v/>
      </c>
      <c r="AI816" s="35" t="str">
        <f t="shared" si="559"/>
        <v/>
      </c>
      <c r="AJ816" s="23" t="str">
        <f t="array" ref="AJ816">IFERROR(SMALL(IF(U$1:U$1000="BEGIN",ROW(U$1:U$1000)),ROW()-3),"")</f>
        <v/>
      </c>
      <c r="AK816" s="23" t="str">
        <f t="array" ref="AK816">IFERROR(SMALL(IF(V$1:V$1000="END",ROW(V$1:V$1000)),ROW()-3),"")</f>
        <v/>
      </c>
      <c r="AL816" s="24" t="str">
        <f t="array" ref="AL816">IF(AK816="","",MATCH(AM816,L:L,0))</f>
        <v/>
      </c>
      <c r="AM816" s="35">
        <f t="array" ref="AM816">MAX(IF((B$4:B$1000&lt;=AK816)*(B$4:B$1000&gt;=AJ816),L$4:L$1000, ""))</f>
        <v>0</v>
      </c>
      <c r="AN816" s="32" t="str">
        <f t="shared" si="566"/>
        <v/>
      </c>
      <c r="AO816" s="32" t="str">
        <f t="shared" si="567"/>
        <v/>
      </c>
      <c r="AP816" s="32" t="str">
        <f t="shared" si="568"/>
        <v/>
      </c>
      <c r="AQ816" s="32" t="str">
        <f t="shared" si="569"/>
        <v/>
      </c>
      <c r="AR816" s="32" t="str">
        <f t="shared" si="570"/>
        <v/>
      </c>
      <c r="AS816" s="32" t="str">
        <f t="shared" si="571"/>
        <v/>
      </c>
      <c r="AT816" s="32" t="str">
        <f t="shared" si="572"/>
        <v/>
      </c>
      <c r="AU816" s="34" t="str">
        <f t="shared" si="573"/>
        <v/>
      </c>
      <c r="AV816" s="32" t="str">
        <f t="shared" si="574"/>
        <v/>
      </c>
      <c r="AW816" s="32" t="str">
        <f t="shared" si="575"/>
        <v/>
      </c>
      <c r="AX816" s="32" t="str">
        <f t="shared" si="576"/>
        <v/>
      </c>
      <c r="AY816" s="32" t="str">
        <f t="shared" si="577"/>
        <v/>
      </c>
    </row>
    <row r="817" spans="1:51" x14ac:dyDescent="0.25">
      <c r="A817" s="24" t="str">
        <f t="shared" si="535"/>
        <v/>
      </c>
      <c r="B817" s="24" t="str">
        <f t="shared" si="545"/>
        <v/>
      </c>
      <c r="C817" s="32" t="str">
        <f t="shared" si="536"/>
        <v/>
      </c>
      <c r="D817" s="24" t="str">
        <f t="shared" si="537"/>
        <v/>
      </c>
      <c r="E817" s="24" t="str">
        <f t="shared" si="538"/>
        <v/>
      </c>
      <c r="F817" s="32" t="str">
        <f t="shared" si="539"/>
        <v/>
      </c>
      <c r="G817" s="32" t="str">
        <f t="shared" si="540"/>
        <v/>
      </c>
      <c r="H817" s="32" t="str">
        <f t="shared" ca="1" si="541"/>
        <v/>
      </c>
      <c r="I817" s="32" t="str">
        <f t="shared" ca="1" si="546"/>
        <v/>
      </c>
      <c r="J817" s="32" t="str">
        <f t="shared" si="542"/>
        <v/>
      </c>
      <c r="K817" s="32" t="str">
        <f>IF(ISNUMBER(A817),Profile!$V$25+Profile!$V$24*'Ri-Po'!C817,"")</f>
        <v/>
      </c>
      <c r="L817" s="32" t="str">
        <f t="shared" si="547"/>
        <v/>
      </c>
      <c r="M817" s="32" t="str">
        <f t="shared" si="543"/>
        <v/>
      </c>
      <c r="N817" s="32" t="str">
        <f t="shared" si="544"/>
        <v/>
      </c>
      <c r="O817" s="32" t="str">
        <f t="shared" si="560"/>
        <v/>
      </c>
      <c r="P817" s="32" t="str">
        <f t="shared" si="548"/>
        <v/>
      </c>
      <c r="Q817" s="32" t="str">
        <f t="shared" si="549"/>
        <v/>
      </c>
      <c r="R817" s="32" t="str">
        <f t="shared" si="561"/>
        <v/>
      </c>
      <c r="S817" s="24" t="str">
        <f t="shared" si="562"/>
        <v/>
      </c>
      <c r="T817" s="24" t="str">
        <f t="shared" si="563"/>
        <v/>
      </c>
      <c r="U817" s="24" t="str">
        <f t="shared" si="564"/>
        <v/>
      </c>
      <c r="V817" s="24" t="str">
        <f t="shared" si="565"/>
        <v/>
      </c>
      <c r="W817" s="23" t="str">
        <f t="array" ref="W817">IFERROR(SMALL(IF(S$1:S$1000="BEGIN",ROW(S$1:S$1000)),ROW()-3),"")</f>
        <v/>
      </c>
      <c r="X817" s="23" t="str">
        <f t="array" ref="X817">IFERROR(SMALL(IF(T$1:T$1000="END",ROW(T$1:T$1000)),ROW()-3),"")</f>
        <v/>
      </c>
      <c r="Y817" s="33" t="str">
        <f t="array" ref="Y817">IF(ISNUMBER(W817),MAX(IF((B$4:B$1000&lt;=X817)*(B$4:B$1000&gt;=W817),I$4:I$1000, "")),"")</f>
        <v/>
      </c>
      <c r="Z817" s="33" t="str">
        <f t="shared" si="550"/>
        <v/>
      </c>
      <c r="AA817" s="32" t="str">
        <f t="shared" si="551"/>
        <v/>
      </c>
      <c r="AB817" s="32" t="str">
        <f t="shared" si="552"/>
        <v/>
      </c>
      <c r="AC817" s="32" t="str">
        <f t="shared" si="553"/>
        <v/>
      </c>
      <c r="AD817" s="32" t="str">
        <f t="shared" si="554"/>
        <v/>
      </c>
      <c r="AE817" s="34" t="str">
        <f t="shared" si="555"/>
        <v/>
      </c>
      <c r="AF817" s="32" t="str">
        <f t="shared" si="556"/>
        <v/>
      </c>
      <c r="AG817" s="32" t="str">
        <f t="shared" si="557"/>
        <v/>
      </c>
      <c r="AH817" s="32" t="str">
        <f t="shared" si="558"/>
        <v/>
      </c>
      <c r="AI817" s="35" t="str">
        <f t="shared" si="559"/>
        <v/>
      </c>
      <c r="AJ817" s="23" t="str">
        <f t="array" ref="AJ817">IFERROR(SMALL(IF(U$1:U$1000="BEGIN",ROW(U$1:U$1000)),ROW()-3),"")</f>
        <v/>
      </c>
      <c r="AK817" s="23" t="str">
        <f t="array" ref="AK817">IFERROR(SMALL(IF(V$1:V$1000="END",ROW(V$1:V$1000)),ROW()-3),"")</f>
        <v/>
      </c>
      <c r="AL817" s="24" t="str">
        <f t="array" ref="AL817">IF(AK817="","",MATCH(AM817,L:L,0))</f>
        <v/>
      </c>
      <c r="AM817" s="35">
        <f t="array" ref="AM817">MAX(IF((B$4:B$1000&lt;=AK817)*(B$4:B$1000&gt;=AJ817),L$4:L$1000, ""))</f>
        <v>0</v>
      </c>
      <c r="AN817" s="32" t="str">
        <f t="shared" si="566"/>
        <v/>
      </c>
      <c r="AO817" s="32" t="str">
        <f t="shared" si="567"/>
        <v/>
      </c>
      <c r="AP817" s="32" t="str">
        <f t="shared" si="568"/>
        <v/>
      </c>
      <c r="AQ817" s="32" t="str">
        <f t="shared" si="569"/>
        <v/>
      </c>
      <c r="AR817" s="32" t="str">
        <f t="shared" si="570"/>
        <v/>
      </c>
      <c r="AS817" s="32" t="str">
        <f t="shared" si="571"/>
        <v/>
      </c>
      <c r="AT817" s="32" t="str">
        <f t="shared" si="572"/>
        <v/>
      </c>
      <c r="AU817" s="34" t="str">
        <f t="shared" si="573"/>
        <v/>
      </c>
      <c r="AV817" s="32" t="str">
        <f t="shared" si="574"/>
        <v/>
      </c>
      <c r="AW817" s="32" t="str">
        <f t="shared" si="575"/>
        <v/>
      </c>
      <c r="AX817" s="32" t="str">
        <f t="shared" si="576"/>
        <v/>
      </c>
      <c r="AY817" s="32" t="str">
        <f t="shared" si="577"/>
        <v/>
      </c>
    </row>
    <row r="818" spans="1:51" x14ac:dyDescent="0.25">
      <c r="A818" s="24" t="str">
        <f t="shared" si="535"/>
        <v/>
      </c>
      <c r="B818" s="24" t="str">
        <f t="shared" si="545"/>
        <v/>
      </c>
      <c r="C818" s="32" t="str">
        <f t="shared" si="536"/>
        <v/>
      </c>
      <c r="D818" s="24" t="str">
        <f t="shared" si="537"/>
        <v/>
      </c>
      <c r="E818" s="24" t="str">
        <f t="shared" si="538"/>
        <v/>
      </c>
      <c r="F818" s="32" t="str">
        <f t="shared" si="539"/>
        <v/>
      </c>
      <c r="G818" s="32" t="str">
        <f t="shared" si="540"/>
        <v/>
      </c>
      <c r="H818" s="32" t="str">
        <f t="shared" ca="1" si="541"/>
        <v/>
      </c>
      <c r="I818" s="32" t="str">
        <f t="shared" ca="1" si="546"/>
        <v/>
      </c>
      <c r="J818" s="32" t="str">
        <f t="shared" si="542"/>
        <v/>
      </c>
      <c r="K818" s="32" t="str">
        <f>IF(ISNUMBER(A818),Profile!$V$25+Profile!$V$24*'Ri-Po'!C818,"")</f>
        <v/>
      </c>
      <c r="L818" s="32" t="str">
        <f t="shared" si="547"/>
        <v/>
      </c>
      <c r="M818" s="32" t="str">
        <f t="shared" si="543"/>
        <v/>
      </c>
      <c r="N818" s="32" t="str">
        <f t="shared" si="544"/>
        <v/>
      </c>
      <c r="O818" s="32" t="str">
        <f t="shared" si="560"/>
        <v/>
      </c>
      <c r="P818" s="32" t="str">
        <f t="shared" si="548"/>
        <v/>
      </c>
      <c r="Q818" s="32" t="str">
        <f t="shared" si="549"/>
        <v/>
      </c>
      <c r="R818" s="32" t="str">
        <f t="shared" si="561"/>
        <v/>
      </c>
      <c r="S818" s="24" t="str">
        <f t="shared" si="562"/>
        <v/>
      </c>
      <c r="T818" s="24" t="str">
        <f t="shared" si="563"/>
        <v/>
      </c>
      <c r="U818" s="24" t="str">
        <f t="shared" si="564"/>
        <v/>
      </c>
      <c r="V818" s="24" t="str">
        <f t="shared" si="565"/>
        <v/>
      </c>
      <c r="W818" s="23" t="str">
        <f t="array" ref="W818">IFERROR(SMALL(IF(S$1:S$1000="BEGIN",ROW(S$1:S$1000)),ROW()-3),"")</f>
        <v/>
      </c>
      <c r="X818" s="23" t="str">
        <f t="array" ref="X818">IFERROR(SMALL(IF(T$1:T$1000="END",ROW(T$1:T$1000)),ROW()-3),"")</f>
        <v/>
      </c>
      <c r="Y818" s="33" t="str">
        <f t="array" ref="Y818">IF(ISNUMBER(W818),MAX(IF((B$4:B$1000&lt;=X818)*(B$4:B$1000&gt;=W818),I$4:I$1000, "")),"")</f>
        <v/>
      </c>
      <c r="Z818" s="33" t="str">
        <f t="shared" si="550"/>
        <v/>
      </c>
      <c r="AA818" s="32" t="str">
        <f t="shared" si="551"/>
        <v/>
      </c>
      <c r="AB818" s="32" t="str">
        <f t="shared" si="552"/>
        <v/>
      </c>
      <c r="AC818" s="32" t="str">
        <f t="shared" si="553"/>
        <v/>
      </c>
      <c r="AD818" s="32" t="str">
        <f t="shared" si="554"/>
        <v/>
      </c>
      <c r="AE818" s="34" t="str">
        <f t="shared" si="555"/>
        <v/>
      </c>
      <c r="AF818" s="32" t="str">
        <f t="shared" si="556"/>
        <v/>
      </c>
      <c r="AG818" s="32" t="str">
        <f t="shared" si="557"/>
        <v/>
      </c>
      <c r="AH818" s="32" t="str">
        <f t="shared" si="558"/>
        <v/>
      </c>
      <c r="AI818" s="35" t="str">
        <f t="shared" si="559"/>
        <v/>
      </c>
      <c r="AJ818" s="23" t="str">
        <f t="array" ref="AJ818">IFERROR(SMALL(IF(U$1:U$1000="BEGIN",ROW(U$1:U$1000)),ROW()-3),"")</f>
        <v/>
      </c>
      <c r="AK818" s="23" t="str">
        <f t="array" ref="AK818">IFERROR(SMALL(IF(V$1:V$1000="END",ROW(V$1:V$1000)),ROW()-3),"")</f>
        <v/>
      </c>
      <c r="AL818" s="24" t="str">
        <f t="array" ref="AL818">IF(AK818="","",MATCH(AM818,L:L,0))</f>
        <v/>
      </c>
      <c r="AM818" s="35">
        <f t="array" ref="AM818">MAX(IF((B$4:B$1000&lt;=AK818)*(B$4:B$1000&gt;=AJ818),L$4:L$1000, ""))</f>
        <v>0</v>
      </c>
      <c r="AN818" s="32" t="str">
        <f t="shared" si="566"/>
        <v/>
      </c>
      <c r="AO818" s="32" t="str">
        <f t="shared" si="567"/>
        <v/>
      </c>
      <c r="AP818" s="32" t="str">
        <f t="shared" si="568"/>
        <v/>
      </c>
      <c r="AQ818" s="32" t="str">
        <f t="shared" si="569"/>
        <v/>
      </c>
      <c r="AR818" s="32" t="str">
        <f t="shared" si="570"/>
        <v/>
      </c>
      <c r="AS818" s="32" t="str">
        <f t="shared" si="571"/>
        <v/>
      </c>
      <c r="AT818" s="32" t="str">
        <f t="shared" si="572"/>
        <v/>
      </c>
      <c r="AU818" s="34" t="str">
        <f t="shared" si="573"/>
        <v/>
      </c>
      <c r="AV818" s="32" t="str">
        <f t="shared" si="574"/>
        <v/>
      </c>
      <c r="AW818" s="32" t="str">
        <f t="shared" si="575"/>
        <v/>
      </c>
      <c r="AX818" s="32" t="str">
        <f t="shared" si="576"/>
        <v/>
      </c>
      <c r="AY818" s="32" t="str">
        <f t="shared" si="577"/>
        <v/>
      </c>
    </row>
    <row r="819" spans="1:51" x14ac:dyDescent="0.25">
      <c r="A819" s="24" t="str">
        <f t="shared" si="535"/>
        <v/>
      </c>
      <c r="B819" s="24" t="str">
        <f t="shared" si="545"/>
        <v/>
      </c>
      <c r="C819" s="32" t="str">
        <f t="shared" si="536"/>
        <v/>
      </c>
      <c r="D819" s="24" t="str">
        <f t="shared" si="537"/>
        <v/>
      </c>
      <c r="E819" s="24" t="str">
        <f t="shared" si="538"/>
        <v/>
      </c>
      <c r="F819" s="32" t="str">
        <f t="shared" si="539"/>
        <v/>
      </c>
      <c r="G819" s="32" t="str">
        <f t="shared" si="540"/>
        <v/>
      </c>
      <c r="H819" s="32" t="str">
        <f t="shared" ca="1" si="541"/>
        <v/>
      </c>
      <c r="I819" s="32" t="str">
        <f t="shared" ca="1" si="546"/>
        <v/>
      </c>
      <c r="J819" s="32" t="str">
        <f t="shared" si="542"/>
        <v/>
      </c>
      <c r="K819" s="32" t="str">
        <f>IF(ISNUMBER(A819),Profile!$V$25+Profile!$V$24*'Ri-Po'!C819,"")</f>
        <v/>
      </c>
      <c r="L819" s="32" t="str">
        <f t="shared" si="547"/>
        <v/>
      </c>
      <c r="M819" s="32" t="str">
        <f t="shared" si="543"/>
        <v/>
      </c>
      <c r="N819" s="32" t="str">
        <f t="shared" si="544"/>
        <v/>
      </c>
      <c r="O819" s="32" t="str">
        <f t="shared" si="560"/>
        <v/>
      </c>
      <c r="P819" s="32" t="str">
        <f t="shared" si="548"/>
        <v/>
      </c>
      <c r="Q819" s="32" t="str">
        <f t="shared" si="549"/>
        <v/>
      </c>
      <c r="R819" s="32" t="str">
        <f t="shared" si="561"/>
        <v/>
      </c>
      <c r="S819" s="24" t="str">
        <f t="shared" si="562"/>
        <v/>
      </c>
      <c r="T819" s="24" t="str">
        <f t="shared" si="563"/>
        <v/>
      </c>
      <c r="U819" s="24" t="str">
        <f t="shared" si="564"/>
        <v/>
      </c>
      <c r="V819" s="24" t="str">
        <f t="shared" si="565"/>
        <v/>
      </c>
      <c r="W819" s="23" t="str">
        <f t="array" ref="W819">IFERROR(SMALL(IF(S$1:S$1000="BEGIN",ROW(S$1:S$1000)),ROW()-3),"")</f>
        <v/>
      </c>
      <c r="X819" s="23" t="str">
        <f t="array" ref="X819">IFERROR(SMALL(IF(T$1:T$1000="END",ROW(T$1:T$1000)),ROW()-3),"")</f>
        <v/>
      </c>
      <c r="Y819" s="33" t="str">
        <f t="array" ref="Y819">IF(ISNUMBER(W819),MAX(IF((B$4:B$1000&lt;=X819)*(B$4:B$1000&gt;=W819),I$4:I$1000, "")),"")</f>
        <v/>
      </c>
      <c r="Z819" s="33" t="str">
        <f t="shared" si="550"/>
        <v/>
      </c>
      <c r="AA819" s="32" t="str">
        <f t="shared" si="551"/>
        <v/>
      </c>
      <c r="AB819" s="32" t="str">
        <f t="shared" si="552"/>
        <v/>
      </c>
      <c r="AC819" s="32" t="str">
        <f t="shared" si="553"/>
        <v/>
      </c>
      <c r="AD819" s="32" t="str">
        <f t="shared" si="554"/>
        <v/>
      </c>
      <c r="AE819" s="34" t="str">
        <f t="shared" si="555"/>
        <v/>
      </c>
      <c r="AF819" s="32" t="str">
        <f t="shared" si="556"/>
        <v/>
      </c>
      <c r="AG819" s="32" t="str">
        <f t="shared" si="557"/>
        <v/>
      </c>
      <c r="AH819" s="32" t="str">
        <f t="shared" si="558"/>
        <v/>
      </c>
      <c r="AI819" s="35" t="str">
        <f t="shared" si="559"/>
        <v/>
      </c>
      <c r="AJ819" s="23" t="str">
        <f t="array" ref="AJ819">IFERROR(SMALL(IF(U$1:U$1000="BEGIN",ROW(U$1:U$1000)),ROW()-3),"")</f>
        <v/>
      </c>
      <c r="AK819" s="23" t="str">
        <f t="array" ref="AK819">IFERROR(SMALL(IF(V$1:V$1000="END",ROW(V$1:V$1000)),ROW()-3),"")</f>
        <v/>
      </c>
      <c r="AL819" s="24" t="str">
        <f t="array" ref="AL819">IF(AK819="","",MATCH(AM819,L:L,0))</f>
        <v/>
      </c>
      <c r="AM819" s="35">
        <f t="array" ref="AM819">MAX(IF((B$4:B$1000&lt;=AK819)*(B$4:B$1000&gt;=AJ819),L$4:L$1000, ""))</f>
        <v>0</v>
      </c>
      <c r="AN819" s="32" t="str">
        <f t="shared" si="566"/>
        <v/>
      </c>
      <c r="AO819" s="32" t="str">
        <f t="shared" si="567"/>
        <v/>
      </c>
      <c r="AP819" s="32" t="str">
        <f t="shared" si="568"/>
        <v/>
      </c>
      <c r="AQ819" s="32" t="str">
        <f t="shared" si="569"/>
        <v/>
      </c>
      <c r="AR819" s="32" t="str">
        <f t="shared" si="570"/>
        <v/>
      </c>
      <c r="AS819" s="32" t="str">
        <f t="shared" si="571"/>
        <v/>
      </c>
      <c r="AT819" s="32" t="str">
        <f t="shared" si="572"/>
        <v/>
      </c>
      <c r="AU819" s="34" t="str">
        <f t="shared" si="573"/>
        <v/>
      </c>
      <c r="AV819" s="32" t="str">
        <f t="shared" si="574"/>
        <v/>
      </c>
      <c r="AW819" s="32" t="str">
        <f t="shared" si="575"/>
        <v/>
      </c>
      <c r="AX819" s="32" t="str">
        <f t="shared" si="576"/>
        <v/>
      </c>
      <c r="AY819" s="32" t="str">
        <f t="shared" si="577"/>
        <v/>
      </c>
    </row>
    <row r="820" spans="1:51" x14ac:dyDescent="0.25">
      <c r="A820" s="24" t="str">
        <f t="shared" si="535"/>
        <v/>
      </c>
      <c r="B820" s="24" t="str">
        <f t="shared" si="545"/>
        <v/>
      </c>
      <c r="C820" s="32" t="str">
        <f t="shared" si="536"/>
        <v/>
      </c>
      <c r="D820" s="24" t="str">
        <f t="shared" si="537"/>
        <v/>
      </c>
      <c r="E820" s="24" t="str">
        <f t="shared" si="538"/>
        <v/>
      </c>
      <c r="F820" s="32" t="str">
        <f t="shared" si="539"/>
        <v/>
      </c>
      <c r="G820" s="32" t="str">
        <f t="shared" si="540"/>
        <v/>
      </c>
      <c r="H820" s="32" t="str">
        <f t="shared" ca="1" si="541"/>
        <v/>
      </c>
      <c r="I820" s="32" t="str">
        <f t="shared" ca="1" si="546"/>
        <v/>
      </c>
      <c r="J820" s="32" t="str">
        <f t="shared" si="542"/>
        <v/>
      </c>
      <c r="K820" s="32" t="str">
        <f>IF(ISNUMBER(A820),Profile!$V$25+Profile!$V$24*'Ri-Po'!C820,"")</f>
        <v/>
      </c>
      <c r="L820" s="32" t="str">
        <f t="shared" si="547"/>
        <v/>
      </c>
      <c r="M820" s="32" t="str">
        <f t="shared" si="543"/>
        <v/>
      </c>
      <c r="N820" s="32" t="str">
        <f t="shared" si="544"/>
        <v/>
      </c>
      <c r="O820" s="32" t="str">
        <f t="shared" si="560"/>
        <v/>
      </c>
      <c r="P820" s="32" t="str">
        <f t="shared" si="548"/>
        <v/>
      </c>
      <c r="Q820" s="32" t="str">
        <f t="shared" si="549"/>
        <v/>
      </c>
      <c r="R820" s="32" t="str">
        <f t="shared" si="561"/>
        <v/>
      </c>
      <c r="S820" s="24" t="str">
        <f t="shared" si="562"/>
        <v/>
      </c>
      <c r="T820" s="24" t="str">
        <f t="shared" si="563"/>
        <v/>
      </c>
      <c r="U820" s="24" t="str">
        <f t="shared" si="564"/>
        <v/>
      </c>
      <c r="V820" s="24" t="str">
        <f t="shared" si="565"/>
        <v/>
      </c>
      <c r="W820" s="23" t="str">
        <f t="array" ref="W820">IFERROR(SMALL(IF(S$1:S$1000="BEGIN",ROW(S$1:S$1000)),ROW()-3),"")</f>
        <v/>
      </c>
      <c r="X820" s="23" t="str">
        <f t="array" ref="X820">IFERROR(SMALL(IF(T$1:T$1000="END",ROW(T$1:T$1000)),ROW()-3),"")</f>
        <v/>
      </c>
      <c r="Y820" s="33" t="str">
        <f t="array" ref="Y820">IF(ISNUMBER(W820),MAX(IF((B$4:B$1000&lt;=X820)*(B$4:B$1000&gt;=W820),I$4:I$1000, "")),"")</f>
        <v/>
      </c>
      <c r="Z820" s="33" t="str">
        <f t="shared" si="550"/>
        <v/>
      </c>
      <c r="AA820" s="32" t="str">
        <f t="shared" si="551"/>
        <v/>
      </c>
      <c r="AB820" s="32" t="str">
        <f t="shared" si="552"/>
        <v/>
      </c>
      <c r="AC820" s="32" t="str">
        <f t="shared" si="553"/>
        <v/>
      </c>
      <c r="AD820" s="32" t="str">
        <f t="shared" si="554"/>
        <v/>
      </c>
      <c r="AE820" s="34" t="str">
        <f t="shared" si="555"/>
        <v/>
      </c>
      <c r="AF820" s="32" t="str">
        <f t="shared" si="556"/>
        <v/>
      </c>
      <c r="AG820" s="32" t="str">
        <f t="shared" si="557"/>
        <v/>
      </c>
      <c r="AH820" s="32" t="str">
        <f t="shared" si="558"/>
        <v/>
      </c>
      <c r="AI820" s="35" t="str">
        <f t="shared" si="559"/>
        <v/>
      </c>
      <c r="AJ820" s="23" t="str">
        <f t="array" ref="AJ820">IFERROR(SMALL(IF(U$1:U$1000="BEGIN",ROW(U$1:U$1000)),ROW()-3),"")</f>
        <v/>
      </c>
      <c r="AK820" s="23" t="str">
        <f t="array" ref="AK820">IFERROR(SMALL(IF(V$1:V$1000="END",ROW(V$1:V$1000)),ROW()-3),"")</f>
        <v/>
      </c>
      <c r="AL820" s="24" t="str">
        <f t="array" ref="AL820">IF(AK820="","",MATCH(AM820,L:L,0))</f>
        <v/>
      </c>
      <c r="AM820" s="35">
        <f t="array" ref="AM820">MAX(IF((B$4:B$1000&lt;=AK820)*(B$4:B$1000&gt;=AJ820),L$4:L$1000, ""))</f>
        <v>0</v>
      </c>
      <c r="AN820" s="32" t="str">
        <f t="shared" si="566"/>
        <v/>
      </c>
      <c r="AO820" s="32" t="str">
        <f t="shared" si="567"/>
        <v/>
      </c>
      <c r="AP820" s="32" t="str">
        <f t="shared" si="568"/>
        <v/>
      </c>
      <c r="AQ820" s="32" t="str">
        <f t="shared" si="569"/>
        <v/>
      </c>
      <c r="AR820" s="32" t="str">
        <f t="shared" si="570"/>
        <v/>
      </c>
      <c r="AS820" s="32" t="str">
        <f t="shared" si="571"/>
        <v/>
      </c>
      <c r="AT820" s="32" t="str">
        <f t="shared" si="572"/>
        <v/>
      </c>
      <c r="AU820" s="34" t="str">
        <f t="shared" si="573"/>
        <v/>
      </c>
      <c r="AV820" s="32" t="str">
        <f t="shared" si="574"/>
        <v/>
      </c>
      <c r="AW820" s="32" t="str">
        <f t="shared" si="575"/>
        <v/>
      </c>
      <c r="AX820" s="32" t="str">
        <f t="shared" si="576"/>
        <v/>
      </c>
      <c r="AY820" s="32" t="str">
        <f t="shared" si="577"/>
        <v/>
      </c>
    </row>
    <row r="821" spans="1:51" x14ac:dyDescent="0.25">
      <c r="A821" s="24" t="str">
        <f t="shared" si="535"/>
        <v/>
      </c>
      <c r="B821" s="24" t="str">
        <f t="shared" si="545"/>
        <v/>
      </c>
      <c r="C821" s="32" t="str">
        <f t="shared" si="536"/>
        <v/>
      </c>
      <c r="D821" s="24" t="str">
        <f t="shared" si="537"/>
        <v/>
      </c>
      <c r="E821" s="24" t="str">
        <f t="shared" si="538"/>
        <v/>
      </c>
      <c r="F821" s="32" t="str">
        <f t="shared" si="539"/>
        <v/>
      </c>
      <c r="G821" s="32" t="str">
        <f t="shared" si="540"/>
        <v/>
      </c>
      <c r="H821" s="32" t="str">
        <f t="shared" ca="1" si="541"/>
        <v/>
      </c>
      <c r="I821" s="32" t="str">
        <f t="shared" ca="1" si="546"/>
        <v/>
      </c>
      <c r="J821" s="32" t="str">
        <f t="shared" si="542"/>
        <v/>
      </c>
      <c r="K821" s="32" t="str">
        <f>IF(ISNUMBER(A821),Profile!$V$25+Profile!$V$24*'Ri-Po'!C821,"")</f>
        <v/>
      </c>
      <c r="L821" s="32" t="str">
        <f t="shared" si="547"/>
        <v/>
      </c>
      <c r="M821" s="32" t="str">
        <f t="shared" si="543"/>
        <v/>
      </c>
      <c r="N821" s="32" t="str">
        <f t="shared" si="544"/>
        <v/>
      </c>
      <c r="O821" s="32" t="str">
        <f t="shared" si="560"/>
        <v/>
      </c>
      <c r="P821" s="32" t="str">
        <f t="shared" si="548"/>
        <v/>
      </c>
      <c r="Q821" s="32" t="str">
        <f t="shared" si="549"/>
        <v/>
      </c>
      <c r="R821" s="32" t="str">
        <f t="shared" si="561"/>
        <v/>
      </c>
      <c r="S821" s="24" t="str">
        <f t="shared" si="562"/>
        <v/>
      </c>
      <c r="T821" s="24" t="str">
        <f t="shared" si="563"/>
        <v/>
      </c>
      <c r="U821" s="24" t="str">
        <f t="shared" si="564"/>
        <v/>
      </c>
      <c r="V821" s="24" t="str">
        <f t="shared" si="565"/>
        <v/>
      </c>
      <c r="W821" s="23" t="str">
        <f t="array" ref="W821">IFERROR(SMALL(IF(S$1:S$1000="BEGIN",ROW(S$1:S$1000)),ROW()-3),"")</f>
        <v/>
      </c>
      <c r="X821" s="23" t="str">
        <f t="array" ref="X821">IFERROR(SMALL(IF(T$1:T$1000="END",ROW(T$1:T$1000)),ROW()-3),"")</f>
        <v/>
      </c>
      <c r="Y821" s="33" t="str">
        <f t="array" ref="Y821">IF(ISNUMBER(W821),MAX(IF((B$4:B$1000&lt;=X821)*(B$4:B$1000&gt;=W821),I$4:I$1000, "")),"")</f>
        <v/>
      </c>
      <c r="Z821" s="33" t="str">
        <f t="shared" si="550"/>
        <v/>
      </c>
      <c r="AA821" s="32" t="str">
        <f t="shared" si="551"/>
        <v/>
      </c>
      <c r="AB821" s="32" t="str">
        <f t="shared" si="552"/>
        <v/>
      </c>
      <c r="AC821" s="32" t="str">
        <f t="shared" si="553"/>
        <v/>
      </c>
      <c r="AD821" s="32" t="str">
        <f t="shared" si="554"/>
        <v/>
      </c>
      <c r="AE821" s="34" t="str">
        <f t="shared" si="555"/>
        <v/>
      </c>
      <c r="AF821" s="32" t="str">
        <f t="shared" si="556"/>
        <v/>
      </c>
      <c r="AG821" s="32" t="str">
        <f t="shared" si="557"/>
        <v/>
      </c>
      <c r="AH821" s="32" t="str">
        <f t="shared" si="558"/>
        <v/>
      </c>
      <c r="AI821" s="35" t="str">
        <f t="shared" si="559"/>
        <v/>
      </c>
      <c r="AJ821" s="23" t="str">
        <f t="array" ref="AJ821">IFERROR(SMALL(IF(U$1:U$1000="BEGIN",ROW(U$1:U$1000)),ROW()-3),"")</f>
        <v/>
      </c>
      <c r="AK821" s="23" t="str">
        <f t="array" ref="AK821">IFERROR(SMALL(IF(V$1:V$1000="END",ROW(V$1:V$1000)),ROW()-3),"")</f>
        <v/>
      </c>
      <c r="AL821" s="24" t="str">
        <f t="array" ref="AL821">IF(AK821="","",MATCH(AM821,L:L,0))</f>
        <v/>
      </c>
      <c r="AM821" s="35">
        <f t="array" ref="AM821">MAX(IF((B$4:B$1000&lt;=AK821)*(B$4:B$1000&gt;=AJ821),L$4:L$1000, ""))</f>
        <v>0</v>
      </c>
      <c r="AN821" s="32" t="str">
        <f t="shared" si="566"/>
        <v/>
      </c>
      <c r="AO821" s="32" t="str">
        <f t="shared" si="567"/>
        <v/>
      </c>
      <c r="AP821" s="32" t="str">
        <f t="shared" si="568"/>
        <v/>
      </c>
      <c r="AQ821" s="32" t="str">
        <f t="shared" si="569"/>
        <v/>
      </c>
      <c r="AR821" s="32" t="str">
        <f t="shared" si="570"/>
        <v/>
      </c>
      <c r="AS821" s="32" t="str">
        <f t="shared" si="571"/>
        <v/>
      </c>
      <c r="AT821" s="32" t="str">
        <f t="shared" si="572"/>
        <v/>
      </c>
      <c r="AU821" s="34" t="str">
        <f t="shared" si="573"/>
        <v/>
      </c>
      <c r="AV821" s="32" t="str">
        <f t="shared" si="574"/>
        <v/>
      </c>
      <c r="AW821" s="32" t="str">
        <f t="shared" si="575"/>
        <v/>
      </c>
      <c r="AX821" s="32" t="str">
        <f t="shared" si="576"/>
        <v/>
      </c>
      <c r="AY821" s="32" t="str">
        <f t="shared" si="577"/>
        <v/>
      </c>
    </row>
    <row r="822" spans="1:51" x14ac:dyDescent="0.25">
      <c r="A822" s="24" t="str">
        <f t="shared" si="535"/>
        <v/>
      </c>
      <c r="B822" s="24" t="str">
        <f t="shared" si="545"/>
        <v/>
      </c>
      <c r="C822" s="32" t="str">
        <f t="shared" si="536"/>
        <v/>
      </c>
      <c r="D822" s="24" t="str">
        <f t="shared" si="537"/>
        <v/>
      </c>
      <c r="E822" s="24" t="str">
        <f t="shared" si="538"/>
        <v/>
      </c>
      <c r="F822" s="32" t="str">
        <f t="shared" si="539"/>
        <v/>
      </c>
      <c r="G822" s="32" t="str">
        <f t="shared" si="540"/>
        <v/>
      </c>
      <c r="H822" s="32" t="str">
        <f t="shared" ca="1" si="541"/>
        <v/>
      </c>
      <c r="I822" s="32" t="str">
        <f t="shared" ca="1" si="546"/>
        <v/>
      </c>
      <c r="J822" s="32" t="str">
        <f t="shared" si="542"/>
        <v/>
      </c>
      <c r="K822" s="32" t="str">
        <f>IF(ISNUMBER(A822),Profile!$V$25+Profile!$V$24*'Ri-Po'!C822,"")</f>
        <v/>
      </c>
      <c r="L822" s="32" t="str">
        <f t="shared" si="547"/>
        <v/>
      </c>
      <c r="M822" s="32" t="str">
        <f t="shared" si="543"/>
        <v/>
      </c>
      <c r="N822" s="32" t="str">
        <f t="shared" si="544"/>
        <v/>
      </c>
      <c r="O822" s="32" t="str">
        <f t="shared" si="560"/>
        <v/>
      </c>
      <c r="P822" s="32" t="str">
        <f t="shared" si="548"/>
        <v/>
      </c>
      <c r="Q822" s="32" t="str">
        <f t="shared" si="549"/>
        <v/>
      </c>
      <c r="R822" s="32" t="str">
        <f t="shared" si="561"/>
        <v/>
      </c>
      <c r="S822" s="24" t="str">
        <f t="shared" si="562"/>
        <v/>
      </c>
      <c r="T822" s="24" t="str">
        <f t="shared" si="563"/>
        <v/>
      </c>
      <c r="U822" s="24" t="str">
        <f t="shared" si="564"/>
        <v/>
      </c>
      <c r="V822" s="24" t="str">
        <f t="shared" si="565"/>
        <v/>
      </c>
      <c r="W822" s="23" t="str">
        <f t="array" ref="W822">IFERROR(SMALL(IF(S$1:S$1000="BEGIN",ROW(S$1:S$1000)),ROW()-3),"")</f>
        <v/>
      </c>
      <c r="X822" s="23" t="str">
        <f t="array" ref="X822">IFERROR(SMALL(IF(T$1:T$1000="END",ROW(T$1:T$1000)),ROW()-3),"")</f>
        <v/>
      </c>
      <c r="Y822" s="33" t="str">
        <f t="array" ref="Y822">IF(ISNUMBER(W822),MAX(IF((B$4:B$1000&lt;=X822)*(B$4:B$1000&gt;=W822),I$4:I$1000, "")),"")</f>
        <v/>
      </c>
      <c r="Z822" s="33" t="str">
        <f t="shared" si="550"/>
        <v/>
      </c>
      <c r="AA822" s="32" t="str">
        <f t="shared" si="551"/>
        <v/>
      </c>
      <c r="AB822" s="32" t="str">
        <f t="shared" si="552"/>
        <v/>
      </c>
      <c r="AC822" s="32" t="str">
        <f t="shared" si="553"/>
        <v/>
      </c>
      <c r="AD822" s="32" t="str">
        <f t="shared" si="554"/>
        <v/>
      </c>
      <c r="AE822" s="34" t="str">
        <f t="shared" si="555"/>
        <v/>
      </c>
      <c r="AF822" s="32" t="str">
        <f t="shared" si="556"/>
        <v/>
      </c>
      <c r="AG822" s="32" t="str">
        <f t="shared" si="557"/>
        <v/>
      </c>
      <c r="AH822" s="32" t="str">
        <f t="shared" si="558"/>
        <v/>
      </c>
      <c r="AI822" s="35" t="str">
        <f t="shared" si="559"/>
        <v/>
      </c>
      <c r="AJ822" s="23" t="str">
        <f t="array" ref="AJ822">IFERROR(SMALL(IF(U$1:U$1000="BEGIN",ROW(U$1:U$1000)),ROW()-3),"")</f>
        <v/>
      </c>
      <c r="AK822" s="23" t="str">
        <f t="array" ref="AK822">IFERROR(SMALL(IF(V$1:V$1000="END",ROW(V$1:V$1000)),ROW()-3),"")</f>
        <v/>
      </c>
      <c r="AL822" s="24" t="str">
        <f t="array" ref="AL822">IF(AK822="","",MATCH(AM822,L:L,0))</f>
        <v/>
      </c>
      <c r="AM822" s="35">
        <f t="array" ref="AM822">MAX(IF((B$4:B$1000&lt;=AK822)*(B$4:B$1000&gt;=AJ822),L$4:L$1000, ""))</f>
        <v>0</v>
      </c>
      <c r="AN822" s="32" t="str">
        <f t="shared" si="566"/>
        <v/>
      </c>
      <c r="AO822" s="32" t="str">
        <f t="shared" si="567"/>
        <v/>
      </c>
      <c r="AP822" s="32" t="str">
        <f t="shared" si="568"/>
        <v/>
      </c>
      <c r="AQ822" s="32" t="str">
        <f t="shared" si="569"/>
        <v/>
      </c>
      <c r="AR822" s="32" t="str">
        <f t="shared" si="570"/>
        <v/>
      </c>
      <c r="AS822" s="32" t="str">
        <f t="shared" si="571"/>
        <v/>
      </c>
      <c r="AT822" s="32" t="str">
        <f t="shared" si="572"/>
        <v/>
      </c>
      <c r="AU822" s="34" t="str">
        <f t="shared" si="573"/>
        <v/>
      </c>
      <c r="AV822" s="32" t="str">
        <f t="shared" si="574"/>
        <v/>
      </c>
      <c r="AW822" s="32" t="str">
        <f t="shared" si="575"/>
        <v/>
      </c>
      <c r="AX822" s="32" t="str">
        <f t="shared" si="576"/>
        <v/>
      </c>
      <c r="AY822" s="32" t="str">
        <f t="shared" si="577"/>
        <v/>
      </c>
    </row>
    <row r="823" spans="1:51" x14ac:dyDescent="0.25">
      <c r="A823" s="24" t="str">
        <f t="shared" si="535"/>
        <v/>
      </c>
      <c r="B823" s="24" t="str">
        <f t="shared" si="545"/>
        <v/>
      </c>
      <c r="C823" s="32" t="str">
        <f t="shared" si="536"/>
        <v/>
      </c>
      <c r="D823" s="24" t="str">
        <f t="shared" si="537"/>
        <v/>
      </c>
      <c r="E823" s="24" t="str">
        <f t="shared" si="538"/>
        <v/>
      </c>
      <c r="F823" s="32" t="str">
        <f t="shared" si="539"/>
        <v/>
      </c>
      <c r="G823" s="32" t="str">
        <f t="shared" si="540"/>
        <v/>
      </c>
      <c r="H823" s="32" t="str">
        <f t="shared" ca="1" si="541"/>
        <v/>
      </c>
      <c r="I823" s="32" t="str">
        <f t="shared" ca="1" si="546"/>
        <v/>
      </c>
      <c r="J823" s="32" t="str">
        <f t="shared" si="542"/>
        <v/>
      </c>
      <c r="K823" s="32" t="str">
        <f>IF(ISNUMBER(A823),Profile!$V$25+Profile!$V$24*'Ri-Po'!C823,"")</f>
        <v/>
      </c>
      <c r="L823" s="32" t="str">
        <f t="shared" si="547"/>
        <v/>
      </c>
      <c r="M823" s="32" t="str">
        <f t="shared" si="543"/>
        <v/>
      </c>
      <c r="N823" s="32" t="str">
        <f t="shared" si="544"/>
        <v/>
      </c>
      <c r="O823" s="32" t="str">
        <f t="shared" si="560"/>
        <v/>
      </c>
      <c r="P823" s="32" t="str">
        <f t="shared" si="548"/>
        <v/>
      </c>
      <c r="Q823" s="32" t="str">
        <f t="shared" si="549"/>
        <v/>
      </c>
      <c r="R823" s="32" t="str">
        <f t="shared" si="561"/>
        <v/>
      </c>
      <c r="S823" s="24" t="str">
        <f t="shared" si="562"/>
        <v/>
      </c>
      <c r="T823" s="24" t="str">
        <f t="shared" si="563"/>
        <v/>
      </c>
      <c r="U823" s="24" t="str">
        <f t="shared" si="564"/>
        <v/>
      </c>
      <c r="V823" s="24" t="str">
        <f t="shared" si="565"/>
        <v/>
      </c>
      <c r="W823" s="23" t="str">
        <f t="array" ref="W823">IFERROR(SMALL(IF(S$1:S$1000="BEGIN",ROW(S$1:S$1000)),ROW()-3),"")</f>
        <v/>
      </c>
      <c r="X823" s="23" t="str">
        <f t="array" ref="X823">IFERROR(SMALL(IF(T$1:T$1000="END",ROW(T$1:T$1000)),ROW()-3),"")</f>
        <v/>
      </c>
      <c r="Y823" s="33" t="str">
        <f t="array" ref="Y823">IF(ISNUMBER(W823),MAX(IF((B$4:B$1000&lt;=X823)*(B$4:B$1000&gt;=W823),I$4:I$1000, "")),"")</f>
        <v/>
      </c>
      <c r="Z823" s="33" t="str">
        <f t="shared" si="550"/>
        <v/>
      </c>
      <c r="AA823" s="32" t="str">
        <f t="shared" si="551"/>
        <v/>
      </c>
      <c r="AB823" s="32" t="str">
        <f t="shared" si="552"/>
        <v/>
      </c>
      <c r="AC823" s="32" t="str">
        <f t="shared" si="553"/>
        <v/>
      </c>
      <c r="AD823" s="32" t="str">
        <f t="shared" si="554"/>
        <v/>
      </c>
      <c r="AE823" s="34" t="str">
        <f t="shared" si="555"/>
        <v/>
      </c>
      <c r="AF823" s="32" t="str">
        <f t="shared" si="556"/>
        <v/>
      </c>
      <c r="AG823" s="32" t="str">
        <f t="shared" si="557"/>
        <v/>
      </c>
      <c r="AH823" s="32" t="str">
        <f t="shared" si="558"/>
        <v/>
      </c>
      <c r="AI823" s="35" t="str">
        <f t="shared" si="559"/>
        <v/>
      </c>
      <c r="AJ823" s="23" t="str">
        <f t="array" ref="AJ823">IFERROR(SMALL(IF(U$1:U$1000="BEGIN",ROW(U$1:U$1000)),ROW()-3),"")</f>
        <v/>
      </c>
      <c r="AK823" s="23" t="str">
        <f t="array" ref="AK823">IFERROR(SMALL(IF(V$1:V$1000="END",ROW(V$1:V$1000)),ROW()-3),"")</f>
        <v/>
      </c>
      <c r="AL823" s="24" t="str">
        <f t="array" ref="AL823">IF(AK823="","",MATCH(AM823,L:L,0))</f>
        <v/>
      </c>
      <c r="AM823" s="35">
        <f t="array" ref="AM823">MAX(IF((B$4:B$1000&lt;=AK823)*(B$4:B$1000&gt;=AJ823),L$4:L$1000, ""))</f>
        <v>0</v>
      </c>
      <c r="AN823" s="32" t="str">
        <f t="shared" si="566"/>
        <v/>
      </c>
      <c r="AO823" s="32" t="str">
        <f t="shared" si="567"/>
        <v/>
      </c>
      <c r="AP823" s="32" t="str">
        <f t="shared" si="568"/>
        <v/>
      </c>
      <c r="AQ823" s="32" t="str">
        <f t="shared" si="569"/>
        <v/>
      </c>
      <c r="AR823" s="32" t="str">
        <f t="shared" si="570"/>
        <v/>
      </c>
      <c r="AS823" s="32" t="str">
        <f t="shared" si="571"/>
        <v/>
      </c>
      <c r="AT823" s="32" t="str">
        <f t="shared" si="572"/>
        <v/>
      </c>
      <c r="AU823" s="34" t="str">
        <f t="shared" si="573"/>
        <v/>
      </c>
      <c r="AV823" s="32" t="str">
        <f t="shared" si="574"/>
        <v/>
      </c>
      <c r="AW823" s="32" t="str">
        <f t="shared" si="575"/>
        <v/>
      </c>
      <c r="AX823" s="32" t="str">
        <f t="shared" si="576"/>
        <v/>
      </c>
      <c r="AY823" s="32" t="str">
        <f t="shared" si="577"/>
        <v/>
      </c>
    </row>
    <row r="824" spans="1:51" x14ac:dyDescent="0.25">
      <c r="A824" s="24" t="str">
        <f t="shared" si="535"/>
        <v/>
      </c>
      <c r="B824" s="24" t="str">
        <f t="shared" si="545"/>
        <v/>
      </c>
      <c r="C824" s="32" t="str">
        <f t="shared" si="536"/>
        <v/>
      </c>
      <c r="D824" s="24" t="str">
        <f t="shared" si="537"/>
        <v/>
      </c>
      <c r="E824" s="24" t="str">
        <f t="shared" si="538"/>
        <v/>
      </c>
      <c r="F824" s="32" t="str">
        <f t="shared" si="539"/>
        <v/>
      </c>
      <c r="G824" s="32" t="str">
        <f t="shared" si="540"/>
        <v/>
      </c>
      <c r="H824" s="32" t="str">
        <f t="shared" ca="1" si="541"/>
        <v/>
      </c>
      <c r="I824" s="32" t="str">
        <f t="shared" ca="1" si="546"/>
        <v/>
      </c>
      <c r="J824" s="32" t="str">
        <f t="shared" si="542"/>
        <v/>
      </c>
      <c r="K824" s="32" t="str">
        <f>IF(ISNUMBER(A824),Profile!$V$25+Profile!$V$24*'Ri-Po'!C824,"")</f>
        <v/>
      </c>
      <c r="L824" s="32" t="str">
        <f t="shared" si="547"/>
        <v/>
      </c>
      <c r="M824" s="32" t="str">
        <f t="shared" si="543"/>
        <v/>
      </c>
      <c r="N824" s="32" t="str">
        <f t="shared" si="544"/>
        <v/>
      </c>
      <c r="O824" s="32" t="str">
        <f t="shared" si="560"/>
        <v/>
      </c>
      <c r="P824" s="32" t="str">
        <f t="shared" si="548"/>
        <v/>
      </c>
      <c r="Q824" s="32" t="str">
        <f t="shared" si="549"/>
        <v/>
      </c>
      <c r="R824" s="32" t="str">
        <f t="shared" si="561"/>
        <v/>
      </c>
      <c r="S824" s="24" t="str">
        <f t="shared" si="562"/>
        <v/>
      </c>
      <c r="T824" s="24" t="str">
        <f t="shared" si="563"/>
        <v/>
      </c>
      <c r="U824" s="24" t="str">
        <f t="shared" si="564"/>
        <v/>
      </c>
      <c r="V824" s="24" t="str">
        <f t="shared" si="565"/>
        <v/>
      </c>
      <c r="W824" s="23" t="str">
        <f t="array" ref="W824">IFERROR(SMALL(IF(S$1:S$1000="BEGIN",ROW(S$1:S$1000)),ROW()-3),"")</f>
        <v/>
      </c>
      <c r="X824" s="23" t="str">
        <f t="array" ref="X824">IFERROR(SMALL(IF(T$1:T$1000="END",ROW(T$1:T$1000)),ROW()-3),"")</f>
        <v/>
      </c>
      <c r="Y824" s="33" t="str">
        <f t="array" ref="Y824">IF(ISNUMBER(W824),MAX(IF((B$4:B$1000&lt;=X824)*(B$4:B$1000&gt;=W824),I$4:I$1000, "")),"")</f>
        <v/>
      </c>
      <c r="Z824" s="33" t="str">
        <f t="shared" si="550"/>
        <v/>
      </c>
      <c r="AA824" s="32" t="str">
        <f t="shared" si="551"/>
        <v/>
      </c>
      <c r="AB824" s="32" t="str">
        <f t="shared" si="552"/>
        <v/>
      </c>
      <c r="AC824" s="32" t="str">
        <f t="shared" si="553"/>
        <v/>
      </c>
      <c r="AD824" s="32" t="str">
        <f t="shared" si="554"/>
        <v/>
      </c>
      <c r="AE824" s="34" t="str">
        <f t="shared" si="555"/>
        <v/>
      </c>
      <c r="AF824" s="32" t="str">
        <f t="shared" si="556"/>
        <v/>
      </c>
      <c r="AG824" s="32" t="str">
        <f t="shared" si="557"/>
        <v/>
      </c>
      <c r="AH824" s="32" t="str">
        <f t="shared" si="558"/>
        <v/>
      </c>
      <c r="AI824" s="35" t="str">
        <f t="shared" si="559"/>
        <v/>
      </c>
      <c r="AJ824" s="23" t="str">
        <f t="array" ref="AJ824">IFERROR(SMALL(IF(U$1:U$1000="BEGIN",ROW(U$1:U$1000)),ROW()-3),"")</f>
        <v/>
      </c>
      <c r="AK824" s="23" t="str">
        <f t="array" ref="AK824">IFERROR(SMALL(IF(V$1:V$1000="END",ROW(V$1:V$1000)),ROW()-3),"")</f>
        <v/>
      </c>
      <c r="AL824" s="24" t="str">
        <f t="array" ref="AL824">IF(AK824="","",MATCH(AM824,L:L,0))</f>
        <v/>
      </c>
      <c r="AM824" s="35">
        <f t="array" ref="AM824">MAX(IF((B$4:B$1000&lt;=AK824)*(B$4:B$1000&gt;=AJ824),L$4:L$1000, ""))</f>
        <v>0</v>
      </c>
      <c r="AN824" s="32" t="str">
        <f t="shared" si="566"/>
        <v/>
      </c>
      <c r="AO824" s="32" t="str">
        <f t="shared" si="567"/>
        <v/>
      </c>
      <c r="AP824" s="32" t="str">
        <f t="shared" si="568"/>
        <v/>
      </c>
      <c r="AQ824" s="32" t="str">
        <f t="shared" si="569"/>
        <v/>
      </c>
      <c r="AR824" s="32" t="str">
        <f t="shared" si="570"/>
        <v/>
      </c>
      <c r="AS824" s="32" t="str">
        <f t="shared" si="571"/>
        <v/>
      </c>
      <c r="AT824" s="32" t="str">
        <f t="shared" si="572"/>
        <v/>
      </c>
      <c r="AU824" s="34" t="str">
        <f t="shared" si="573"/>
        <v/>
      </c>
      <c r="AV824" s="32" t="str">
        <f t="shared" si="574"/>
        <v/>
      </c>
      <c r="AW824" s="32" t="str">
        <f t="shared" si="575"/>
        <v/>
      </c>
      <c r="AX824" s="32" t="str">
        <f t="shared" si="576"/>
        <v/>
      </c>
      <c r="AY824" s="32" t="str">
        <f t="shared" si="577"/>
        <v/>
      </c>
    </row>
    <row r="825" spans="1:51" x14ac:dyDescent="0.25">
      <c r="A825" s="24" t="str">
        <f t="shared" si="535"/>
        <v/>
      </c>
      <c r="B825" s="24" t="str">
        <f t="shared" si="545"/>
        <v/>
      </c>
      <c r="C825" s="32" t="str">
        <f t="shared" si="536"/>
        <v/>
      </c>
      <c r="D825" s="24" t="str">
        <f t="shared" si="537"/>
        <v/>
      </c>
      <c r="E825" s="24" t="str">
        <f t="shared" si="538"/>
        <v/>
      </c>
      <c r="F825" s="32" t="str">
        <f t="shared" si="539"/>
        <v/>
      </c>
      <c r="G825" s="32" t="str">
        <f t="shared" si="540"/>
        <v/>
      </c>
      <c r="H825" s="32" t="str">
        <f t="shared" ca="1" si="541"/>
        <v/>
      </c>
      <c r="I825" s="32" t="str">
        <f t="shared" ca="1" si="546"/>
        <v/>
      </c>
      <c r="J825" s="32" t="str">
        <f t="shared" si="542"/>
        <v/>
      </c>
      <c r="K825" s="32" t="str">
        <f>IF(ISNUMBER(A825),Profile!$V$25+Profile!$V$24*'Ri-Po'!C825,"")</f>
        <v/>
      </c>
      <c r="L825" s="32" t="str">
        <f t="shared" si="547"/>
        <v/>
      </c>
      <c r="M825" s="32" t="str">
        <f t="shared" si="543"/>
        <v/>
      </c>
      <c r="N825" s="32" t="str">
        <f t="shared" si="544"/>
        <v/>
      </c>
      <c r="O825" s="32" t="str">
        <f t="shared" si="560"/>
        <v/>
      </c>
      <c r="P825" s="32" t="str">
        <f t="shared" si="548"/>
        <v/>
      </c>
      <c r="Q825" s="32" t="str">
        <f t="shared" si="549"/>
        <v/>
      </c>
      <c r="R825" s="32" t="str">
        <f t="shared" si="561"/>
        <v/>
      </c>
      <c r="S825" s="24" t="str">
        <f t="shared" si="562"/>
        <v/>
      </c>
      <c r="T825" s="24" t="str">
        <f t="shared" si="563"/>
        <v/>
      </c>
      <c r="U825" s="24" t="str">
        <f t="shared" si="564"/>
        <v/>
      </c>
      <c r="V825" s="24" t="str">
        <f t="shared" si="565"/>
        <v/>
      </c>
      <c r="W825" s="23" t="str">
        <f t="array" ref="W825">IFERROR(SMALL(IF(S$1:S$1000="BEGIN",ROW(S$1:S$1000)),ROW()-3),"")</f>
        <v/>
      </c>
      <c r="X825" s="23" t="str">
        <f t="array" ref="X825">IFERROR(SMALL(IF(T$1:T$1000="END",ROW(T$1:T$1000)),ROW()-3),"")</f>
        <v/>
      </c>
      <c r="Y825" s="33" t="str">
        <f t="array" ref="Y825">IF(ISNUMBER(W825),MAX(IF((B$4:B$1000&lt;=X825)*(B$4:B$1000&gt;=W825),I$4:I$1000, "")),"")</f>
        <v/>
      </c>
      <c r="Z825" s="33" t="str">
        <f t="shared" si="550"/>
        <v/>
      </c>
      <c r="AA825" s="32" t="str">
        <f t="shared" si="551"/>
        <v/>
      </c>
      <c r="AB825" s="32" t="str">
        <f t="shared" si="552"/>
        <v/>
      </c>
      <c r="AC825" s="32" t="str">
        <f t="shared" si="553"/>
        <v/>
      </c>
      <c r="AD825" s="32" t="str">
        <f t="shared" si="554"/>
        <v/>
      </c>
      <c r="AE825" s="34" t="str">
        <f t="shared" si="555"/>
        <v/>
      </c>
      <c r="AF825" s="32" t="str">
        <f t="shared" si="556"/>
        <v/>
      </c>
      <c r="AG825" s="32" t="str">
        <f t="shared" si="557"/>
        <v/>
      </c>
      <c r="AH825" s="32" t="str">
        <f t="shared" si="558"/>
        <v/>
      </c>
      <c r="AI825" s="35" t="str">
        <f t="shared" si="559"/>
        <v/>
      </c>
      <c r="AJ825" s="23" t="str">
        <f t="array" ref="AJ825">IFERROR(SMALL(IF(U$1:U$1000="BEGIN",ROW(U$1:U$1000)),ROW()-3),"")</f>
        <v/>
      </c>
      <c r="AK825" s="23" t="str">
        <f t="array" ref="AK825">IFERROR(SMALL(IF(V$1:V$1000="END",ROW(V$1:V$1000)),ROW()-3),"")</f>
        <v/>
      </c>
      <c r="AL825" s="24" t="str">
        <f t="array" ref="AL825">IF(AK825="","",MATCH(AM825,L:L,0))</f>
        <v/>
      </c>
      <c r="AM825" s="35">
        <f t="array" ref="AM825">MAX(IF((B$4:B$1000&lt;=AK825)*(B$4:B$1000&gt;=AJ825),L$4:L$1000, ""))</f>
        <v>0</v>
      </c>
      <c r="AN825" s="32" t="str">
        <f t="shared" si="566"/>
        <v/>
      </c>
      <c r="AO825" s="32" t="str">
        <f t="shared" si="567"/>
        <v/>
      </c>
      <c r="AP825" s="32" t="str">
        <f t="shared" si="568"/>
        <v/>
      </c>
      <c r="AQ825" s="32" t="str">
        <f t="shared" si="569"/>
        <v/>
      </c>
      <c r="AR825" s="32" t="str">
        <f t="shared" si="570"/>
        <v/>
      </c>
      <c r="AS825" s="32" t="str">
        <f t="shared" si="571"/>
        <v/>
      </c>
      <c r="AT825" s="32" t="str">
        <f t="shared" si="572"/>
        <v/>
      </c>
      <c r="AU825" s="34" t="str">
        <f t="shared" si="573"/>
        <v/>
      </c>
      <c r="AV825" s="32" t="str">
        <f t="shared" si="574"/>
        <v/>
      </c>
      <c r="AW825" s="32" t="str">
        <f t="shared" si="575"/>
        <v/>
      </c>
      <c r="AX825" s="32" t="str">
        <f t="shared" si="576"/>
        <v/>
      </c>
      <c r="AY825" s="32" t="str">
        <f t="shared" si="577"/>
        <v/>
      </c>
    </row>
    <row r="826" spans="1:51" x14ac:dyDescent="0.25">
      <c r="A826" s="24" t="str">
        <f t="shared" si="535"/>
        <v/>
      </c>
      <c r="B826" s="24" t="str">
        <f t="shared" si="545"/>
        <v/>
      </c>
      <c r="C826" s="32" t="str">
        <f t="shared" si="536"/>
        <v/>
      </c>
      <c r="D826" s="24" t="str">
        <f t="shared" si="537"/>
        <v/>
      </c>
      <c r="E826" s="24" t="str">
        <f t="shared" si="538"/>
        <v/>
      </c>
      <c r="F826" s="32" t="str">
        <f t="shared" si="539"/>
        <v/>
      </c>
      <c r="G826" s="32" t="str">
        <f t="shared" si="540"/>
        <v/>
      </c>
      <c r="H826" s="32" t="str">
        <f t="shared" ca="1" si="541"/>
        <v/>
      </c>
      <c r="I826" s="32" t="str">
        <f t="shared" ca="1" si="546"/>
        <v/>
      </c>
      <c r="J826" s="32" t="str">
        <f t="shared" si="542"/>
        <v/>
      </c>
      <c r="K826" s="32" t="str">
        <f>IF(ISNUMBER(A826),Profile!$V$25+Profile!$V$24*'Ri-Po'!C826,"")</f>
        <v/>
      </c>
      <c r="L826" s="32" t="str">
        <f t="shared" si="547"/>
        <v/>
      </c>
      <c r="M826" s="32" t="str">
        <f t="shared" si="543"/>
        <v/>
      </c>
      <c r="N826" s="32" t="str">
        <f t="shared" si="544"/>
        <v/>
      </c>
      <c r="O826" s="32" t="str">
        <f t="shared" si="560"/>
        <v/>
      </c>
      <c r="P826" s="32" t="str">
        <f t="shared" si="548"/>
        <v/>
      </c>
      <c r="Q826" s="32" t="str">
        <f t="shared" si="549"/>
        <v/>
      </c>
      <c r="R826" s="32" t="str">
        <f t="shared" si="561"/>
        <v/>
      </c>
      <c r="S826" s="24" t="str">
        <f t="shared" si="562"/>
        <v/>
      </c>
      <c r="T826" s="24" t="str">
        <f t="shared" si="563"/>
        <v/>
      </c>
      <c r="U826" s="24" t="str">
        <f t="shared" si="564"/>
        <v/>
      </c>
      <c r="V826" s="24" t="str">
        <f t="shared" si="565"/>
        <v/>
      </c>
      <c r="W826" s="23" t="str">
        <f t="array" ref="W826">IFERROR(SMALL(IF(S$1:S$1000="BEGIN",ROW(S$1:S$1000)),ROW()-3),"")</f>
        <v/>
      </c>
      <c r="X826" s="23" t="str">
        <f t="array" ref="X826">IFERROR(SMALL(IF(T$1:T$1000="END",ROW(T$1:T$1000)),ROW()-3),"")</f>
        <v/>
      </c>
      <c r="Y826" s="33" t="str">
        <f t="array" ref="Y826">IF(ISNUMBER(W826),MAX(IF((B$4:B$1000&lt;=X826)*(B$4:B$1000&gt;=W826),I$4:I$1000, "")),"")</f>
        <v/>
      </c>
      <c r="Z826" s="33" t="str">
        <f t="shared" si="550"/>
        <v/>
      </c>
      <c r="AA826" s="32" t="str">
        <f t="shared" si="551"/>
        <v/>
      </c>
      <c r="AB826" s="32" t="str">
        <f t="shared" si="552"/>
        <v/>
      </c>
      <c r="AC826" s="32" t="str">
        <f t="shared" si="553"/>
        <v/>
      </c>
      <c r="AD826" s="32" t="str">
        <f t="shared" si="554"/>
        <v/>
      </c>
      <c r="AE826" s="34" t="str">
        <f t="shared" si="555"/>
        <v/>
      </c>
      <c r="AF826" s="32" t="str">
        <f t="shared" si="556"/>
        <v/>
      </c>
      <c r="AG826" s="32" t="str">
        <f t="shared" si="557"/>
        <v/>
      </c>
      <c r="AH826" s="32" t="str">
        <f t="shared" si="558"/>
        <v/>
      </c>
      <c r="AI826" s="35" t="str">
        <f t="shared" si="559"/>
        <v/>
      </c>
      <c r="AJ826" s="23" t="str">
        <f t="array" ref="AJ826">IFERROR(SMALL(IF(U$1:U$1000="BEGIN",ROW(U$1:U$1000)),ROW()-3),"")</f>
        <v/>
      </c>
      <c r="AK826" s="23" t="str">
        <f t="array" ref="AK826">IFERROR(SMALL(IF(V$1:V$1000="END",ROW(V$1:V$1000)),ROW()-3),"")</f>
        <v/>
      </c>
      <c r="AL826" s="24" t="str">
        <f t="array" ref="AL826">IF(AK826="","",MATCH(AM826,L:L,0))</f>
        <v/>
      </c>
      <c r="AM826" s="35">
        <f t="array" ref="AM826">MAX(IF((B$4:B$1000&lt;=AK826)*(B$4:B$1000&gt;=AJ826),L$4:L$1000, ""))</f>
        <v>0</v>
      </c>
      <c r="AN826" s="32" t="str">
        <f t="shared" si="566"/>
        <v/>
      </c>
      <c r="AO826" s="32" t="str">
        <f t="shared" si="567"/>
        <v/>
      </c>
      <c r="AP826" s="32" t="str">
        <f t="shared" si="568"/>
        <v/>
      </c>
      <c r="AQ826" s="32" t="str">
        <f t="shared" si="569"/>
        <v/>
      </c>
      <c r="AR826" s="32" t="str">
        <f t="shared" si="570"/>
        <v/>
      </c>
      <c r="AS826" s="32" t="str">
        <f t="shared" si="571"/>
        <v/>
      </c>
      <c r="AT826" s="32" t="str">
        <f t="shared" si="572"/>
        <v/>
      </c>
      <c r="AU826" s="34" t="str">
        <f t="shared" si="573"/>
        <v/>
      </c>
      <c r="AV826" s="32" t="str">
        <f t="shared" si="574"/>
        <v/>
      </c>
      <c r="AW826" s="32" t="str">
        <f t="shared" si="575"/>
        <v/>
      </c>
      <c r="AX826" s="32" t="str">
        <f t="shared" si="576"/>
        <v/>
      </c>
      <c r="AY826" s="32" t="str">
        <f t="shared" si="577"/>
        <v/>
      </c>
    </row>
    <row r="827" spans="1:51" x14ac:dyDescent="0.25">
      <c r="A827" s="24" t="str">
        <f t="shared" si="535"/>
        <v/>
      </c>
      <c r="B827" s="24" t="str">
        <f t="shared" si="545"/>
        <v/>
      </c>
      <c r="C827" s="32" t="str">
        <f t="shared" si="536"/>
        <v/>
      </c>
      <c r="D827" s="24" t="str">
        <f t="shared" si="537"/>
        <v/>
      </c>
      <c r="E827" s="24" t="str">
        <f t="shared" si="538"/>
        <v/>
      </c>
      <c r="F827" s="32" t="str">
        <f t="shared" si="539"/>
        <v/>
      </c>
      <c r="G827" s="32" t="str">
        <f t="shared" si="540"/>
        <v/>
      </c>
      <c r="H827" s="32" t="str">
        <f t="shared" ca="1" si="541"/>
        <v/>
      </c>
      <c r="I827" s="32" t="str">
        <f t="shared" ca="1" si="546"/>
        <v/>
      </c>
      <c r="J827" s="32" t="str">
        <f t="shared" si="542"/>
        <v/>
      </c>
      <c r="K827" s="32" t="str">
        <f>IF(ISNUMBER(A827),Profile!$V$25+Profile!$V$24*'Ri-Po'!C827,"")</f>
        <v/>
      </c>
      <c r="L827" s="32" t="str">
        <f t="shared" si="547"/>
        <v/>
      </c>
      <c r="M827" s="32" t="str">
        <f t="shared" si="543"/>
        <v/>
      </c>
      <c r="N827" s="32" t="str">
        <f t="shared" si="544"/>
        <v/>
      </c>
      <c r="O827" s="32" t="str">
        <f t="shared" si="560"/>
        <v/>
      </c>
      <c r="P827" s="32" t="str">
        <f t="shared" si="548"/>
        <v/>
      </c>
      <c r="Q827" s="32" t="str">
        <f t="shared" si="549"/>
        <v/>
      </c>
      <c r="R827" s="32" t="str">
        <f t="shared" si="561"/>
        <v/>
      </c>
      <c r="S827" s="24" t="str">
        <f t="shared" si="562"/>
        <v/>
      </c>
      <c r="T827" s="24" t="str">
        <f t="shared" si="563"/>
        <v/>
      </c>
      <c r="U827" s="24" t="str">
        <f t="shared" si="564"/>
        <v/>
      </c>
      <c r="V827" s="24" t="str">
        <f t="shared" si="565"/>
        <v/>
      </c>
      <c r="W827" s="23" t="str">
        <f t="array" ref="W827">IFERROR(SMALL(IF(S$1:S$1000="BEGIN",ROW(S$1:S$1000)),ROW()-3),"")</f>
        <v/>
      </c>
      <c r="X827" s="23" t="str">
        <f t="array" ref="X827">IFERROR(SMALL(IF(T$1:T$1000="END",ROW(T$1:T$1000)),ROW()-3),"")</f>
        <v/>
      </c>
      <c r="Y827" s="33" t="str">
        <f t="array" ref="Y827">IF(ISNUMBER(W827),MAX(IF((B$4:B$1000&lt;=X827)*(B$4:B$1000&gt;=W827),I$4:I$1000, "")),"")</f>
        <v/>
      </c>
      <c r="Z827" s="33" t="str">
        <f t="shared" si="550"/>
        <v/>
      </c>
      <c r="AA827" s="32" t="str">
        <f t="shared" si="551"/>
        <v/>
      </c>
      <c r="AB827" s="32" t="str">
        <f t="shared" si="552"/>
        <v/>
      </c>
      <c r="AC827" s="32" t="str">
        <f t="shared" si="553"/>
        <v/>
      </c>
      <c r="AD827" s="32" t="str">
        <f t="shared" si="554"/>
        <v/>
      </c>
      <c r="AE827" s="34" t="str">
        <f t="shared" si="555"/>
        <v/>
      </c>
      <c r="AF827" s="32" t="str">
        <f t="shared" si="556"/>
        <v/>
      </c>
      <c r="AG827" s="32" t="str">
        <f t="shared" si="557"/>
        <v/>
      </c>
      <c r="AH827" s="32" t="str">
        <f t="shared" si="558"/>
        <v/>
      </c>
      <c r="AI827" s="35" t="str">
        <f t="shared" si="559"/>
        <v/>
      </c>
      <c r="AJ827" s="23" t="str">
        <f t="array" ref="AJ827">IFERROR(SMALL(IF(U$1:U$1000="BEGIN",ROW(U$1:U$1000)),ROW()-3),"")</f>
        <v/>
      </c>
      <c r="AK827" s="23" t="str">
        <f t="array" ref="AK827">IFERROR(SMALL(IF(V$1:V$1000="END",ROW(V$1:V$1000)),ROW()-3),"")</f>
        <v/>
      </c>
      <c r="AL827" s="24" t="str">
        <f t="array" ref="AL827">IF(AK827="","",MATCH(AM827,L:L,0))</f>
        <v/>
      </c>
      <c r="AM827" s="35">
        <f t="array" ref="AM827">MAX(IF((B$4:B$1000&lt;=AK827)*(B$4:B$1000&gt;=AJ827),L$4:L$1000, ""))</f>
        <v>0</v>
      </c>
      <c r="AN827" s="32" t="str">
        <f t="shared" si="566"/>
        <v/>
      </c>
      <c r="AO827" s="32" t="str">
        <f t="shared" si="567"/>
        <v/>
      </c>
      <c r="AP827" s="32" t="str">
        <f t="shared" si="568"/>
        <v/>
      </c>
      <c r="AQ827" s="32" t="str">
        <f t="shared" si="569"/>
        <v/>
      </c>
      <c r="AR827" s="32" t="str">
        <f t="shared" si="570"/>
        <v/>
      </c>
      <c r="AS827" s="32" t="str">
        <f t="shared" si="571"/>
        <v/>
      </c>
      <c r="AT827" s="32" t="str">
        <f t="shared" si="572"/>
        <v/>
      </c>
      <c r="AU827" s="34" t="str">
        <f t="shared" si="573"/>
        <v/>
      </c>
      <c r="AV827" s="32" t="str">
        <f t="shared" si="574"/>
        <v/>
      </c>
      <c r="AW827" s="32" t="str">
        <f t="shared" si="575"/>
        <v/>
      </c>
      <c r="AX827" s="32" t="str">
        <f t="shared" si="576"/>
        <v/>
      </c>
      <c r="AY827" s="32" t="str">
        <f t="shared" si="577"/>
        <v/>
      </c>
    </row>
    <row r="828" spans="1:51" x14ac:dyDescent="0.25">
      <c r="A828" s="24" t="str">
        <f t="shared" si="535"/>
        <v/>
      </c>
      <c r="B828" s="24" t="str">
        <f t="shared" si="545"/>
        <v/>
      </c>
      <c r="C828" s="32" t="str">
        <f t="shared" si="536"/>
        <v/>
      </c>
      <c r="D828" s="24" t="str">
        <f t="shared" si="537"/>
        <v/>
      </c>
      <c r="E828" s="24" t="str">
        <f t="shared" si="538"/>
        <v/>
      </c>
      <c r="F828" s="32" t="str">
        <f t="shared" si="539"/>
        <v/>
      </c>
      <c r="G828" s="32" t="str">
        <f t="shared" si="540"/>
        <v/>
      </c>
      <c r="H828" s="32" t="str">
        <f t="shared" ca="1" si="541"/>
        <v/>
      </c>
      <c r="I828" s="32" t="str">
        <f t="shared" ca="1" si="546"/>
        <v/>
      </c>
      <c r="J828" s="32" t="str">
        <f t="shared" si="542"/>
        <v/>
      </c>
      <c r="K828" s="32" t="str">
        <f>IF(ISNUMBER(A828),Profile!$V$25+Profile!$V$24*'Ri-Po'!C828,"")</f>
        <v/>
      </c>
      <c r="L828" s="32" t="str">
        <f t="shared" si="547"/>
        <v/>
      </c>
      <c r="M828" s="32" t="str">
        <f t="shared" si="543"/>
        <v/>
      </c>
      <c r="N828" s="32" t="str">
        <f t="shared" si="544"/>
        <v/>
      </c>
      <c r="O828" s="32" t="str">
        <f t="shared" si="560"/>
        <v/>
      </c>
      <c r="P828" s="32" t="str">
        <f t="shared" si="548"/>
        <v/>
      </c>
      <c r="Q828" s="32" t="str">
        <f t="shared" si="549"/>
        <v/>
      </c>
      <c r="R828" s="32" t="str">
        <f t="shared" si="561"/>
        <v/>
      </c>
      <c r="S828" s="24" t="str">
        <f t="shared" si="562"/>
        <v/>
      </c>
      <c r="T828" s="24" t="str">
        <f t="shared" si="563"/>
        <v/>
      </c>
      <c r="U828" s="24" t="str">
        <f t="shared" si="564"/>
        <v/>
      </c>
      <c r="V828" s="24" t="str">
        <f t="shared" si="565"/>
        <v/>
      </c>
      <c r="W828" s="23" t="str">
        <f t="array" ref="W828">IFERROR(SMALL(IF(S$1:S$1000="BEGIN",ROW(S$1:S$1000)),ROW()-3),"")</f>
        <v/>
      </c>
      <c r="X828" s="23" t="str">
        <f t="array" ref="X828">IFERROR(SMALL(IF(T$1:T$1000="END",ROW(T$1:T$1000)),ROW()-3),"")</f>
        <v/>
      </c>
      <c r="Y828" s="33" t="str">
        <f t="array" ref="Y828">IF(ISNUMBER(W828),MAX(IF((B$4:B$1000&lt;=X828)*(B$4:B$1000&gt;=W828),I$4:I$1000, "")),"")</f>
        <v/>
      </c>
      <c r="Z828" s="33" t="str">
        <f t="shared" si="550"/>
        <v/>
      </c>
      <c r="AA828" s="32" t="str">
        <f t="shared" si="551"/>
        <v/>
      </c>
      <c r="AB828" s="32" t="str">
        <f t="shared" si="552"/>
        <v/>
      </c>
      <c r="AC828" s="32" t="str">
        <f t="shared" si="553"/>
        <v/>
      </c>
      <c r="AD828" s="32" t="str">
        <f t="shared" si="554"/>
        <v/>
      </c>
      <c r="AE828" s="34" t="str">
        <f t="shared" si="555"/>
        <v/>
      </c>
      <c r="AF828" s="32" t="str">
        <f t="shared" si="556"/>
        <v/>
      </c>
      <c r="AG828" s="32" t="str">
        <f t="shared" si="557"/>
        <v/>
      </c>
      <c r="AH828" s="32" t="str">
        <f t="shared" si="558"/>
        <v/>
      </c>
      <c r="AI828" s="35" t="str">
        <f t="shared" si="559"/>
        <v/>
      </c>
      <c r="AJ828" s="23" t="str">
        <f t="array" ref="AJ828">IFERROR(SMALL(IF(U$1:U$1000="BEGIN",ROW(U$1:U$1000)),ROW()-3),"")</f>
        <v/>
      </c>
      <c r="AK828" s="23" t="str">
        <f t="array" ref="AK828">IFERROR(SMALL(IF(V$1:V$1000="END",ROW(V$1:V$1000)),ROW()-3),"")</f>
        <v/>
      </c>
      <c r="AL828" s="24" t="str">
        <f t="array" ref="AL828">IF(AK828="","",MATCH(AM828,L:L,0))</f>
        <v/>
      </c>
      <c r="AM828" s="35">
        <f t="array" ref="AM828">MAX(IF((B$4:B$1000&lt;=AK828)*(B$4:B$1000&gt;=AJ828),L$4:L$1000, ""))</f>
        <v>0</v>
      </c>
      <c r="AN828" s="32" t="str">
        <f t="shared" si="566"/>
        <v/>
      </c>
      <c r="AO828" s="32" t="str">
        <f t="shared" si="567"/>
        <v/>
      </c>
      <c r="AP828" s="32" t="str">
        <f t="shared" si="568"/>
        <v/>
      </c>
      <c r="AQ828" s="32" t="str">
        <f t="shared" si="569"/>
        <v/>
      </c>
      <c r="AR828" s="32" t="str">
        <f t="shared" si="570"/>
        <v/>
      </c>
      <c r="AS828" s="32" t="str">
        <f t="shared" si="571"/>
        <v/>
      </c>
      <c r="AT828" s="32" t="str">
        <f t="shared" si="572"/>
        <v/>
      </c>
      <c r="AU828" s="34" t="str">
        <f t="shared" si="573"/>
        <v/>
      </c>
      <c r="AV828" s="32" t="str">
        <f t="shared" si="574"/>
        <v/>
      </c>
      <c r="AW828" s="32" t="str">
        <f t="shared" si="575"/>
        <v/>
      </c>
      <c r="AX828" s="32" t="str">
        <f t="shared" si="576"/>
        <v/>
      </c>
      <c r="AY828" s="32" t="str">
        <f t="shared" si="577"/>
        <v/>
      </c>
    </row>
    <row r="829" spans="1:51" x14ac:dyDescent="0.25">
      <c r="A829" s="24" t="str">
        <f t="shared" si="535"/>
        <v/>
      </c>
      <c r="B829" s="24" t="str">
        <f t="shared" si="545"/>
        <v/>
      </c>
      <c r="C829" s="32" t="str">
        <f t="shared" si="536"/>
        <v/>
      </c>
      <c r="D829" s="24" t="str">
        <f t="shared" si="537"/>
        <v/>
      </c>
      <c r="E829" s="24" t="str">
        <f t="shared" si="538"/>
        <v/>
      </c>
      <c r="F829" s="32" t="str">
        <f t="shared" si="539"/>
        <v/>
      </c>
      <c r="G829" s="32" t="str">
        <f t="shared" si="540"/>
        <v/>
      </c>
      <c r="H829" s="32" t="str">
        <f t="shared" ca="1" si="541"/>
        <v/>
      </c>
      <c r="I829" s="32" t="str">
        <f t="shared" ca="1" si="546"/>
        <v/>
      </c>
      <c r="J829" s="32" t="str">
        <f t="shared" si="542"/>
        <v/>
      </c>
      <c r="K829" s="32" t="str">
        <f>IF(ISNUMBER(A829),Profile!$V$25+Profile!$V$24*'Ri-Po'!C829,"")</f>
        <v/>
      </c>
      <c r="L829" s="32" t="str">
        <f t="shared" si="547"/>
        <v/>
      </c>
      <c r="M829" s="32" t="str">
        <f t="shared" si="543"/>
        <v/>
      </c>
      <c r="N829" s="32" t="str">
        <f t="shared" si="544"/>
        <v/>
      </c>
      <c r="O829" s="32" t="str">
        <f t="shared" si="560"/>
        <v/>
      </c>
      <c r="P829" s="32" t="str">
        <f t="shared" si="548"/>
        <v/>
      </c>
      <c r="Q829" s="32" t="str">
        <f t="shared" si="549"/>
        <v/>
      </c>
      <c r="R829" s="32" t="str">
        <f t="shared" si="561"/>
        <v/>
      </c>
      <c r="S829" s="24" t="str">
        <f t="shared" si="562"/>
        <v/>
      </c>
      <c r="T829" s="24" t="str">
        <f t="shared" si="563"/>
        <v/>
      </c>
      <c r="U829" s="24" t="str">
        <f t="shared" si="564"/>
        <v/>
      </c>
      <c r="V829" s="24" t="str">
        <f t="shared" si="565"/>
        <v/>
      </c>
      <c r="W829" s="23" t="str">
        <f t="array" ref="W829">IFERROR(SMALL(IF(S$1:S$1000="BEGIN",ROW(S$1:S$1000)),ROW()-3),"")</f>
        <v/>
      </c>
      <c r="X829" s="23" t="str">
        <f t="array" ref="X829">IFERROR(SMALL(IF(T$1:T$1000="END",ROW(T$1:T$1000)),ROW()-3),"")</f>
        <v/>
      </c>
      <c r="Y829" s="33" t="str">
        <f t="array" ref="Y829">IF(ISNUMBER(W829),MAX(IF((B$4:B$1000&lt;=X829)*(B$4:B$1000&gt;=W829),I$4:I$1000, "")),"")</f>
        <v/>
      </c>
      <c r="Z829" s="33" t="str">
        <f t="shared" si="550"/>
        <v/>
      </c>
      <c r="AA829" s="32" t="str">
        <f t="shared" si="551"/>
        <v/>
      </c>
      <c r="AB829" s="32" t="str">
        <f t="shared" si="552"/>
        <v/>
      </c>
      <c r="AC829" s="32" t="str">
        <f t="shared" si="553"/>
        <v/>
      </c>
      <c r="AD829" s="32" t="str">
        <f t="shared" si="554"/>
        <v/>
      </c>
      <c r="AE829" s="34" t="str">
        <f t="shared" si="555"/>
        <v/>
      </c>
      <c r="AF829" s="32" t="str">
        <f t="shared" si="556"/>
        <v/>
      </c>
      <c r="AG829" s="32" t="str">
        <f t="shared" si="557"/>
        <v/>
      </c>
      <c r="AH829" s="32" t="str">
        <f t="shared" si="558"/>
        <v/>
      </c>
      <c r="AI829" s="35" t="str">
        <f t="shared" si="559"/>
        <v/>
      </c>
      <c r="AJ829" s="23" t="str">
        <f t="array" ref="AJ829">IFERROR(SMALL(IF(U$1:U$1000="BEGIN",ROW(U$1:U$1000)),ROW()-3),"")</f>
        <v/>
      </c>
      <c r="AK829" s="23" t="str">
        <f t="array" ref="AK829">IFERROR(SMALL(IF(V$1:V$1000="END",ROW(V$1:V$1000)),ROW()-3),"")</f>
        <v/>
      </c>
      <c r="AL829" s="24" t="str">
        <f t="array" ref="AL829">IF(AK829="","",MATCH(AM829,L:L,0))</f>
        <v/>
      </c>
      <c r="AM829" s="35">
        <f t="array" ref="AM829">MAX(IF((B$4:B$1000&lt;=AK829)*(B$4:B$1000&gt;=AJ829),L$4:L$1000, ""))</f>
        <v>0</v>
      </c>
      <c r="AN829" s="32" t="str">
        <f t="shared" si="566"/>
        <v/>
      </c>
      <c r="AO829" s="32" t="str">
        <f t="shared" si="567"/>
        <v/>
      </c>
      <c r="AP829" s="32" t="str">
        <f t="shared" si="568"/>
        <v/>
      </c>
      <c r="AQ829" s="32" t="str">
        <f t="shared" si="569"/>
        <v/>
      </c>
      <c r="AR829" s="32" t="str">
        <f t="shared" si="570"/>
        <v/>
      </c>
      <c r="AS829" s="32" t="str">
        <f t="shared" si="571"/>
        <v/>
      </c>
      <c r="AT829" s="32" t="str">
        <f t="shared" si="572"/>
        <v/>
      </c>
      <c r="AU829" s="34" t="str">
        <f t="shared" si="573"/>
        <v/>
      </c>
      <c r="AV829" s="32" t="str">
        <f t="shared" si="574"/>
        <v/>
      </c>
      <c r="AW829" s="32" t="str">
        <f t="shared" si="575"/>
        <v/>
      </c>
      <c r="AX829" s="32" t="str">
        <f t="shared" si="576"/>
        <v/>
      </c>
      <c r="AY829" s="32" t="str">
        <f t="shared" si="577"/>
        <v/>
      </c>
    </row>
    <row r="830" spans="1:51" x14ac:dyDescent="0.25">
      <c r="A830" s="24" t="str">
        <f t="shared" si="535"/>
        <v/>
      </c>
      <c r="B830" s="24" t="str">
        <f t="shared" si="545"/>
        <v/>
      </c>
      <c r="C830" s="32" t="str">
        <f t="shared" si="536"/>
        <v/>
      </c>
      <c r="D830" s="24" t="str">
        <f t="shared" si="537"/>
        <v/>
      </c>
      <c r="E830" s="24" t="str">
        <f t="shared" si="538"/>
        <v/>
      </c>
      <c r="F830" s="32" t="str">
        <f t="shared" si="539"/>
        <v/>
      </c>
      <c r="G830" s="32" t="str">
        <f t="shared" si="540"/>
        <v/>
      </c>
      <c r="H830" s="32" t="str">
        <f t="shared" ca="1" si="541"/>
        <v/>
      </c>
      <c r="I830" s="32" t="str">
        <f t="shared" ca="1" si="546"/>
        <v/>
      </c>
      <c r="J830" s="32" t="str">
        <f t="shared" si="542"/>
        <v/>
      </c>
      <c r="K830" s="32" t="str">
        <f>IF(ISNUMBER(A830),Profile!$V$25+Profile!$V$24*'Ri-Po'!C830,"")</f>
        <v/>
      </c>
      <c r="L830" s="32" t="str">
        <f t="shared" si="547"/>
        <v/>
      </c>
      <c r="M830" s="32" t="str">
        <f t="shared" si="543"/>
        <v/>
      </c>
      <c r="N830" s="32" t="str">
        <f t="shared" si="544"/>
        <v/>
      </c>
      <c r="O830" s="32" t="str">
        <f t="shared" si="560"/>
        <v/>
      </c>
      <c r="P830" s="32" t="str">
        <f t="shared" si="548"/>
        <v/>
      </c>
      <c r="Q830" s="32" t="str">
        <f t="shared" si="549"/>
        <v/>
      </c>
      <c r="R830" s="32" t="str">
        <f t="shared" si="561"/>
        <v/>
      </c>
      <c r="S830" s="24" t="str">
        <f t="shared" si="562"/>
        <v/>
      </c>
      <c r="T830" s="24" t="str">
        <f t="shared" si="563"/>
        <v/>
      </c>
      <c r="U830" s="24" t="str">
        <f t="shared" si="564"/>
        <v/>
      </c>
      <c r="V830" s="24" t="str">
        <f t="shared" si="565"/>
        <v/>
      </c>
      <c r="W830" s="23" t="str">
        <f t="array" ref="W830">IFERROR(SMALL(IF(S$1:S$1000="BEGIN",ROW(S$1:S$1000)),ROW()-3),"")</f>
        <v/>
      </c>
      <c r="X830" s="23" t="str">
        <f t="array" ref="X830">IFERROR(SMALL(IF(T$1:T$1000="END",ROW(T$1:T$1000)),ROW()-3),"")</f>
        <v/>
      </c>
      <c r="Y830" s="33" t="str">
        <f t="array" ref="Y830">IF(ISNUMBER(W830),MAX(IF((B$4:B$1000&lt;=X830)*(B$4:B$1000&gt;=W830),I$4:I$1000, "")),"")</f>
        <v/>
      </c>
      <c r="Z830" s="33" t="str">
        <f t="shared" si="550"/>
        <v/>
      </c>
      <c r="AA830" s="32" t="str">
        <f t="shared" si="551"/>
        <v/>
      </c>
      <c r="AB830" s="32" t="str">
        <f t="shared" si="552"/>
        <v/>
      </c>
      <c r="AC830" s="32" t="str">
        <f t="shared" si="553"/>
        <v/>
      </c>
      <c r="AD830" s="32" t="str">
        <f t="shared" si="554"/>
        <v/>
      </c>
      <c r="AE830" s="34" t="str">
        <f t="shared" si="555"/>
        <v/>
      </c>
      <c r="AF830" s="32" t="str">
        <f t="shared" si="556"/>
        <v/>
      </c>
      <c r="AG830" s="32" t="str">
        <f t="shared" si="557"/>
        <v/>
      </c>
      <c r="AH830" s="32" t="str">
        <f t="shared" si="558"/>
        <v/>
      </c>
      <c r="AI830" s="35" t="str">
        <f t="shared" si="559"/>
        <v/>
      </c>
      <c r="AJ830" s="23" t="str">
        <f t="array" ref="AJ830">IFERROR(SMALL(IF(U$1:U$1000="BEGIN",ROW(U$1:U$1000)),ROW()-3),"")</f>
        <v/>
      </c>
      <c r="AK830" s="23" t="str">
        <f t="array" ref="AK830">IFERROR(SMALL(IF(V$1:V$1000="END",ROW(V$1:V$1000)),ROW()-3),"")</f>
        <v/>
      </c>
      <c r="AL830" s="24" t="str">
        <f t="array" ref="AL830">IF(AK830="","",MATCH(AM830,L:L,0))</f>
        <v/>
      </c>
      <c r="AM830" s="35">
        <f t="array" ref="AM830">MAX(IF((B$4:B$1000&lt;=AK830)*(B$4:B$1000&gt;=AJ830),L$4:L$1000, ""))</f>
        <v>0</v>
      </c>
      <c r="AN830" s="32" t="str">
        <f t="shared" si="566"/>
        <v/>
      </c>
      <c r="AO830" s="32" t="str">
        <f t="shared" si="567"/>
        <v/>
      </c>
      <c r="AP830" s="32" t="str">
        <f t="shared" si="568"/>
        <v/>
      </c>
      <c r="AQ830" s="32" t="str">
        <f t="shared" si="569"/>
        <v/>
      </c>
      <c r="AR830" s="32" t="str">
        <f t="shared" si="570"/>
        <v/>
      </c>
      <c r="AS830" s="32" t="str">
        <f t="shared" si="571"/>
        <v/>
      </c>
      <c r="AT830" s="32" t="str">
        <f t="shared" si="572"/>
        <v/>
      </c>
      <c r="AU830" s="34" t="str">
        <f t="shared" si="573"/>
        <v/>
      </c>
      <c r="AV830" s="32" t="str">
        <f t="shared" si="574"/>
        <v/>
      </c>
      <c r="AW830" s="32" t="str">
        <f t="shared" si="575"/>
        <v/>
      </c>
      <c r="AX830" s="32" t="str">
        <f t="shared" si="576"/>
        <v/>
      </c>
      <c r="AY830" s="32" t="str">
        <f t="shared" si="577"/>
        <v/>
      </c>
    </row>
    <row r="831" spans="1:51" x14ac:dyDescent="0.25">
      <c r="A831" s="24" t="str">
        <f t="shared" si="535"/>
        <v/>
      </c>
      <c r="B831" s="24" t="str">
        <f t="shared" si="545"/>
        <v/>
      </c>
      <c r="C831" s="32" t="str">
        <f t="shared" si="536"/>
        <v/>
      </c>
      <c r="D831" s="24" t="str">
        <f t="shared" si="537"/>
        <v/>
      </c>
      <c r="E831" s="24" t="str">
        <f t="shared" si="538"/>
        <v/>
      </c>
      <c r="F831" s="32" t="str">
        <f t="shared" si="539"/>
        <v/>
      </c>
      <c r="G831" s="32" t="str">
        <f t="shared" si="540"/>
        <v/>
      </c>
      <c r="H831" s="32" t="str">
        <f t="shared" ca="1" si="541"/>
        <v/>
      </c>
      <c r="I831" s="32" t="str">
        <f t="shared" ca="1" si="546"/>
        <v/>
      </c>
      <c r="J831" s="32" t="str">
        <f t="shared" si="542"/>
        <v/>
      </c>
      <c r="K831" s="32" t="str">
        <f>IF(ISNUMBER(A831),Profile!$V$25+Profile!$V$24*'Ri-Po'!C831,"")</f>
        <v/>
      </c>
      <c r="L831" s="32" t="str">
        <f t="shared" si="547"/>
        <v/>
      </c>
      <c r="M831" s="32" t="str">
        <f t="shared" si="543"/>
        <v/>
      </c>
      <c r="N831" s="32" t="str">
        <f t="shared" si="544"/>
        <v/>
      </c>
      <c r="O831" s="32" t="str">
        <f t="shared" si="560"/>
        <v/>
      </c>
      <c r="P831" s="32" t="str">
        <f t="shared" si="548"/>
        <v/>
      </c>
      <c r="Q831" s="32" t="str">
        <f t="shared" si="549"/>
        <v/>
      </c>
      <c r="R831" s="32" t="str">
        <f t="shared" si="561"/>
        <v/>
      </c>
      <c r="S831" s="24" t="str">
        <f t="shared" si="562"/>
        <v/>
      </c>
      <c r="T831" s="24" t="str">
        <f t="shared" si="563"/>
        <v/>
      </c>
      <c r="U831" s="24" t="str">
        <f t="shared" si="564"/>
        <v/>
      </c>
      <c r="V831" s="24" t="str">
        <f t="shared" si="565"/>
        <v/>
      </c>
      <c r="W831" s="23" t="str">
        <f t="array" ref="W831">IFERROR(SMALL(IF(S$1:S$1000="BEGIN",ROW(S$1:S$1000)),ROW()-3),"")</f>
        <v/>
      </c>
      <c r="X831" s="23" t="str">
        <f t="array" ref="X831">IFERROR(SMALL(IF(T$1:T$1000="END",ROW(T$1:T$1000)),ROW()-3),"")</f>
        <v/>
      </c>
      <c r="Y831" s="33" t="str">
        <f t="array" ref="Y831">IF(ISNUMBER(W831),MAX(IF((B$4:B$1000&lt;=X831)*(B$4:B$1000&gt;=W831),I$4:I$1000, "")),"")</f>
        <v/>
      </c>
      <c r="Z831" s="33" t="str">
        <f t="shared" si="550"/>
        <v/>
      </c>
      <c r="AA831" s="32" t="str">
        <f t="shared" si="551"/>
        <v/>
      </c>
      <c r="AB831" s="32" t="str">
        <f t="shared" si="552"/>
        <v/>
      </c>
      <c r="AC831" s="32" t="str">
        <f t="shared" si="553"/>
        <v/>
      </c>
      <c r="AD831" s="32" t="str">
        <f t="shared" si="554"/>
        <v/>
      </c>
      <c r="AE831" s="34" t="str">
        <f t="shared" si="555"/>
        <v/>
      </c>
      <c r="AF831" s="32" t="str">
        <f t="shared" si="556"/>
        <v/>
      </c>
      <c r="AG831" s="32" t="str">
        <f t="shared" si="557"/>
        <v/>
      </c>
      <c r="AH831" s="32" t="str">
        <f t="shared" si="558"/>
        <v/>
      </c>
      <c r="AI831" s="35" t="str">
        <f t="shared" si="559"/>
        <v/>
      </c>
      <c r="AJ831" s="23" t="str">
        <f t="array" ref="AJ831">IFERROR(SMALL(IF(U$1:U$1000="BEGIN",ROW(U$1:U$1000)),ROW()-3),"")</f>
        <v/>
      </c>
      <c r="AK831" s="23" t="str">
        <f t="array" ref="AK831">IFERROR(SMALL(IF(V$1:V$1000="END",ROW(V$1:V$1000)),ROW()-3),"")</f>
        <v/>
      </c>
      <c r="AL831" s="24" t="str">
        <f t="array" ref="AL831">IF(AK831="","",MATCH(AM831,L:L,0))</f>
        <v/>
      </c>
      <c r="AM831" s="35">
        <f t="array" ref="AM831">MAX(IF((B$4:B$1000&lt;=AK831)*(B$4:B$1000&gt;=AJ831),L$4:L$1000, ""))</f>
        <v>0</v>
      </c>
      <c r="AN831" s="32" t="str">
        <f t="shared" si="566"/>
        <v/>
      </c>
      <c r="AO831" s="32" t="str">
        <f t="shared" si="567"/>
        <v/>
      </c>
      <c r="AP831" s="32" t="str">
        <f t="shared" si="568"/>
        <v/>
      </c>
      <c r="AQ831" s="32" t="str">
        <f t="shared" si="569"/>
        <v/>
      </c>
      <c r="AR831" s="32" t="str">
        <f t="shared" si="570"/>
        <v/>
      </c>
      <c r="AS831" s="32" t="str">
        <f t="shared" si="571"/>
        <v/>
      </c>
      <c r="AT831" s="32" t="str">
        <f t="shared" si="572"/>
        <v/>
      </c>
      <c r="AU831" s="34" t="str">
        <f t="shared" si="573"/>
        <v/>
      </c>
      <c r="AV831" s="32" t="str">
        <f t="shared" si="574"/>
        <v/>
      </c>
      <c r="AW831" s="32" t="str">
        <f t="shared" si="575"/>
        <v/>
      </c>
      <c r="AX831" s="32" t="str">
        <f t="shared" si="576"/>
        <v/>
      </c>
      <c r="AY831" s="32" t="str">
        <f t="shared" si="577"/>
        <v/>
      </c>
    </row>
    <row r="832" spans="1:51" x14ac:dyDescent="0.25">
      <c r="A832" s="24" t="str">
        <f t="shared" si="535"/>
        <v/>
      </c>
      <c r="B832" s="24" t="str">
        <f t="shared" si="545"/>
        <v/>
      </c>
      <c r="C832" s="32" t="str">
        <f t="shared" si="536"/>
        <v/>
      </c>
      <c r="D832" s="24" t="str">
        <f t="shared" si="537"/>
        <v/>
      </c>
      <c r="E832" s="24" t="str">
        <f t="shared" si="538"/>
        <v/>
      </c>
      <c r="F832" s="32" t="str">
        <f t="shared" si="539"/>
        <v/>
      </c>
      <c r="G832" s="32" t="str">
        <f t="shared" si="540"/>
        <v/>
      </c>
      <c r="H832" s="32" t="str">
        <f t="shared" ca="1" si="541"/>
        <v/>
      </c>
      <c r="I832" s="32" t="str">
        <f t="shared" ca="1" si="546"/>
        <v/>
      </c>
      <c r="J832" s="32" t="str">
        <f t="shared" si="542"/>
        <v/>
      </c>
      <c r="K832" s="32" t="str">
        <f>IF(ISNUMBER(A832),Profile!$V$25+Profile!$V$24*'Ri-Po'!C832,"")</f>
        <v/>
      </c>
      <c r="L832" s="32" t="str">
        <f t="shared" si="547"/>
        <v/>
      </c>
      <c r="M832" s="32" t="str">
        <f t="shared" si="543"/>
        <v/>
      </c>
      <c r="N832" s="32" t="str">
        <f t="shared" si="544"/>
        <v/>
      </c>
      <c r="O832" s="32" t="str">
        <f t="shared" si="560"/>
        <v/>
      </c>
      <c r="P832" s="32" t="str">
        <f t="shared" si="548"/>
        <v/>
      </c>
      <c r="Q832" s="32" t="str">
        <f t="shared" si="549"/>
        <v/>
      </c>
      <c r="R832" s="32" t="str">
        <f t="shared" si="561"/>
        <v/>
      </c>
      <c r="S832" s="24" t="str">
        <f t="shared" si="562"/>
        <v/>
      </c>
      <c r="T832" s="24" t="str">
        <f t="shared" si="563"/>
        <v/>
      </c>
      <c r="U832" s="24" t="str">
        <f t="shared" si="564"/>
        <v/>
      </c>
      <c r="V832" s="24" t="str">
        <f t="shared" si="565"/>
        <v/>
      </c>
      <c r="W832" s="23" t="str">
        <f t="array" ref="W832">IFERROR(SMALL(IF(S$1:S$1000="BEGIN",ROW(S$1:S$1000)),ROW()-3),"")</f>
        <v/>
      </c>
      <c r="X832" s="23" t="str">
        <f t="array" ref="X832">IFERROR(SMALL(IF(T$1:T$1000="END",ROW(T$1:T$1000)),ROW()-3),"")</f>
        <v/>
      </c>
      <c r="Y832" s="33" t="str">
        <f t="array" ref="Y832">IF(ISNUMBER(W832),MAX(IF((B$4:B$1000&lt;=X832)*(B$4:B$1000&gt;=W832),I$4:I$1000, "")),"")</f>
        <v/>
      </c>
      <c r="Z832" s="33" t="str">
        <f t="shared" si="550"/>
        <v/>
      </c>
      <c r="AA832" s="32" t="str">
        <f t="shared" si="551"/>
        <v/>
      </c>
      <c r="AB832" s="32" t="str">
        <f t="shared" si="552"/>
        <v/>
      </c>
      <c r="AC832" s="32" t="str">
        <f t="shared" si="553"/>
        <v/>
      </c>
      <c r="AD832" s="32" t="str">
        <f t="shared" si="554"/>
        <v/>
      </c>
      <c r="AE832" s="34" t="str">
        <f t="shared" si="555"/>
        <v/>
      </c>
      <c r="AF832" s="32" t="str">
        <f t="shared" si="556"/>
        <v/>
      </c>
      <c r="AG832" s="32" t="str">
        <f t="shared" si="557"/>
        <v/>
      </c>
      <c r="AH832" s="32" t="str">
        <f t="shared" si="558"/>
        <v/>
      </c>
      <c r="AI832" s="35" t="str">
        <f t="shared" si="559"/>
        <v/>
      </c>
      <c r="AJ832" s="23" t="str">
        <f t="array" ref="AJ832">IFERROR(SMALL(IF(U$1:U$1000="BEGIN",ROW(U$1:U$1000)),ROW()-3),"")</f>
        <v/>
      </c>
      <c r="AK832" s="23" t="str">
        <f t="array" ref="AK832">IFERROR(SMALL(IF(V$1:V$1000="END",ROW(V$1:V$1000)),ROW()-3),"")</f>
        <v/>
      </c>
      <c r="AL832" s="24" t="str">
        <f t="array" ref="AL832">IF(AK832="","",MATCH(AM832,L:L,0))</f>
        <v/>
      </c>
      <c r="AM832" s="35">
        <f t="array" ref="AM832">MAX(IF((B$4:B$1000&lt;=AK832)*(B$4:B$1000&gt;=AJ832),L$4:L$1000, ""))</f>
        <v>0</v>
      </c>
      <c r="AN832" s="32" t="str">
        <f t="shared" si="566"/>
        <v/>
      </c>
      <c r="AO832" s="32" t="str">
        <f t="shared" si="567"/>
        <v/>
      </c>
      <c r="AP832" s="32" t="str">
        <f t="shared" si="568"/>
        <v/>
      </c>
      <c r="AQ832" s="32" t="str">
        <f t="shared" si="569"/>
        <v/>
      </c>
      <c r="AR832" s="32" t="str">
        <f t="shared" si="570"/>
        <v/>
      </c>
      <c r="AS832" s="32" t="str">
        <f t="shared" si="571"/>
        <v/>
      </c>
      <c r="AT832" s="32" t="str">
        <f t="shared" si="572"/>
        <v/>
      </c>
      <c r="AU832" s="34" t="str">
        <f t="shared" si="573"/>
        <v/>
      </c>
      <c r="AV832" s="32" t="str">
        <f t="shared" si="574"/>
        <v/>
      </c>
      <c r="AW832" s="32" t="str">
        <f t="shared" si="575"/>
        <v/>
      </c>
      <c r="AX832" s="32" t="str">
        <f t="shared" si="576"/>
        <v/>
      </c>
      <c r="AY832" s="32" t="str">
        <f t="shared" si="577"/>
        <v/>
      </c>
    </row>
    <row r="833" spans="1:51" x14ac:dyDescent="0.25">
      <c r="A833" s="24" t="str">
        <f t="shared" si="535"/>
        <v/>
      </c>
      <c r="B833" s="24" t="str">
        <f t="shared" si="545"/>
        <v/>
      </c>
      <c r="C833" s="32" t="str">
        <f t="shared" si="536"/>
        <v/>
      </c>
      <c r="D833" s="24" t="str">
        <f t="shared" si="537"/>
        <v/>
      </c>
      <c r="E833" s="24" t="str">
        <f t="shared" si="538"/>
        <v/>
      </c>
      <c r="F833" s="32" t="str">
        <f t="shared" si="539"/>
        <v/>
      </c>
      <c r="G833" s="32" t="str">
        <f t="shared" si="540"/>
        <v/>
      </c>
      <c r="H833" s="32" t="str">
        <f t="shared" ca="1" si="541"/>
        <v/>
      </c>
      <c r="I833" s="32" t="str">
        <f t="shared" ca="1" si="546"/>
        <v/>
      </c>
      <c r="J833" s="32" t="str">
        <f t="shared" si="542"/>
        <v/>
      </c>
      <c r="K833" s="32" t="str">
        <f>IF(ISNUMBER(A833),Profile!$V$25+Profile!$V$24*'Ri-Po'!C833,"")</f>
        <v/>
      </c>
      <c r="L833" s="32" t="str">
        <f t="shared" si="547"/>
        <v/>
      </c>
      <c r="M833" s="32" t="str">
        <f t="shared" si="543"/>
        <v/>
      </c>
      <c r="N833" s="32" t="str">
        <f t="shared" si="544"/>
        <v/>
      </c>
      <c r="O833" s="32" t="str">
        <f t="shared" si="560"/>
        <v/>
      </c>
      <c r="P833" s="32" t="str">
        <f t="shared" si="548"/>
        <v/>
      </c>
      <c r="Q833" s="32" t="str">
        <f t="shared" si="549"/>
        <v/>
      </c>
      <c r="R833" s="32" t="str">
        <f t="shared" si="561"/>
        <v/>
      </c>
      <c r="S833" s="24" t="str">
        <f t="shared" si="562"/>
        <v/>
      </c>
      <c r="T833" s="24" t="str">
        <f t="shared" si="563"/>
        <v/>
      </c>
      <c r="U833" s="24" t="str">
        <f t="shared" si="564"/>
        <v/>
      </c>
      <c r="V833" s="24" t="str">
        <f t="shared" si="565"/>
        <v/>
      </c>
      <c r="W833" s="23" t="str">
        <f t="array" ref="W833">IFERROR(SMALL(IF(S$1:S$1000="BEGIN",ROW(S$1:S$1000)),ROW()-3),"")</f>
        <v/>
      </c>
      <c r="X833" s="23" t="str">
        <f t="array" ref="X833">IFERROR(SMALL(IF(T$1:T$1000="END",ROW(T$1:T$1000)),ROW()-3),"")</f>
        <v/>
      </c>
      <c r="Y833" s="33" t="str">
        <f t="array" ref="Y833">IF(ISNUMBER(W833),MAX(IF((B$4:B$1000&lt;=X833)*(B$4:B$1000&gt;=W833),I$4:I$1000, "")),"")</f>
        <v/>
      </c>
      <c r="Z833" s="33" t="str">
        <f t="shared" si="550"/>
        <v/>
      </c>
      <c r="AA833" s="32" t="str">
        <f t="shared" si="551"/>
        <v/>
      </c>
      <c r="AB833" s="32" t="str">
        <f t="shared" si="552"/>
        <v/>
      </c>
      <c r="AC833" s="32" t="str">
        <f t="shared" si="553"/>
        <v/>
      </c>
      <c r="AD833" s="32" t="str">
        <f t="shared" si="554"/>
        <v/>
      </c>
      <c r="AE833" s="34" t="str">
        <f t="shared" si="555"/>
        <v/>
      </c>
      <c r="AF833" s="32" t="str">
        <f t="shared" si="556"/>
        <v/>
      </c>
      <c r="AG833" s="32" t="str">
        <f t="shared" si="557"/>
        <v/>
      </c>
      <c r="AH833" s="32" t="str">
        <f t="shared" si="558"/>
        <v/>
      </c>
      <c r="AI833" s="35" t="str">
        <f t="shared" si="559"/>
        <v/>
      </c>
      <c r="AJ833" s="23" t="str">
        <f t="array" ref="AJ833">IFERROR(SMALL(IF(U$1:U$1000="BEGIN",ROW(U$1:U$1000)),ROW()-3),"")</f>
        <v/>
      </c>
      <c r="AK833" s="23" t="str">
        <f t="array" ref="AK833">IFERROR(SMALL(IF(V$1:V$1000="END",ROW(V$1:V$1000)),ROW()-3),"")</f>
        <v/>
      </c>
      <c r="AL833" s="24" t="str">
        <f t="array" ref="AL833">IF(AK833="","",MATCH(AM833,L:L,0))</f>
        <v/>
      </c>
      <c r="AM833" s="35">
        <f t="array" ref="AM833">MAX(IF((B$4:B$1000&lt;=AK833)*(B$4:B$1000&gt;=AJ833),L$4:L$1000, ""))</f>
        <v>0</v>
      </c>
      <c r="AN833" s="32" t="str">
        <f t="shared" si="566"/>
        <v/>
      </c>
      <c r="AO833" s="32" t="str">
        <f t="shared" si="567"/>
        <v/>
      </c>
      <c r="AP833" s="32" t="str">
        <f t="shared" si="568"/>
        <v/>
      </c>
      <c r="AQ833" s="32" t="str">
        <f t="shared" si="569"/>
        <v/>
      </c>
      <c r="AR833" s="32" t="str">
        <f t="shared" si="570"/>
        <v/>
      </c>
      <c r="AS833" s="32" t="str">
        <f t="shared" si="571"/>
        <v/>
      </c>
      <c r="AT833" s="32" t="str">
        <f t="shared" si="572"/>
        <v/>
      </c>
      <c r="AU833" s="34" t="str">
        <f t="shared" si="573"/>
        <v/>
      </c>
      <c r="AV833" s="32" t="str">
        <f t="shared" si="574"/>
        <v/>
      </c>
      <c r="AW833" s="32" t="str">
        <f t="shared" si="575"/>
        <v/>
      </c>
      <c r="AX833" s="32" t="str">
        <f t="shared" si="576"/>
        <v/>
      </c>
      <c r="AY833" s="32" t="str">
        <f t="shared" si="577"/>
        <v/>
      </c>
    </row>
    <row r="834" spans="1:51" x14ac:dyDescent="0.25">
      <c r="A834" s="24" t="str">
        <f t="shared" si="535"/>
        <v/>
      </c>
      <c r="B834" s="24" t="str">
        <f t="shared" si="545"/>
        <v/>
      </c>
      <c r="C834" s="32" t="str">
        <f t="shared" si="536"/>
        <v/>
      </c>
      <c r="D834" s="24" t="str">
        <f t="shared" si="537"/>
        <v/>
      </c>
      <c r="E834" s="24" t="str">
        <f t="shared" si="538"/>
        <v/>
      </c>
      <c r="F834" s="32" t="str">
        <f t="shared" si="539"/>
        <v/>
      </c>
      <c r="G834" s="32" t="str">
        <f t="shared" si="540"/>
        <v/>
      </c>
      <c r="H834" s="32" t="str">
        <f t="shared" ca="1" si="541"/>
        <v/>
      </c>
      <c r="I834" s="32" t="str">
        <f t="shared" ca="1" si="546"/>
        <v/>
      </c>
      <c r="J834" s="32" t="str">
        <f t="shared" si="542"/>
        <v/>
      </c>
      <c r="K834" s="32" t="str">
        <f>IF(ISNUMBER(A834),Profile!$V$25+Profile!$V$24*'Ri-Po'!C834,"")</f>
        <v/>
      </c>
      <c r="L834" s="32" t="str">
        <f t="shared" si="547"/>
        <v/>
      </c>
      <c r="M834" s="32" t="str">
        <f t="shared" si="543"/>
        <v/>
      </c>
      <c r="N834" s="32" t="str">
        <f t="shared" si="544"/>
        <v/>
      </c>
      <c r="O834" s="32" t="str">
        <f t="shared" si="560"/>
        <v/>
      </c>
      <c r="P834" s="32" t="str">
        <f t="shared" si="548"/>
        <v/>
      </c>
      <c r="Q834" s="32" t="str">
        <f t="shared" si="549"/>
        <v/>
      </c>
      <c r="R834" s="32" t="str">
        <f t="shared" si="561"/>
        <v/>
      </c>
      <c r="S834" s="24" t="str">
        <f t="shared" si="562"/>
        <v/>
      </c>
      <c r="T834" s="24" t="str">
        <f t="shared" si="563"/>
        <v/>
      </c>
      <c r="U834" s="24" t="str">
        <f t="shared" si="564"/>
        <v/>
      </c>
      <c r="V834" s="24" t="str">
        <f t="shared" si="565"/>
        <v/>
      </c>
      <c r="W834" s="23" t="str">
        <f t="array" ref="W834">IFERROR(SMALL(IF(S$1:S$1000="BEGIN",ROW(S$1:S$1000)),ROW()-3),"")</f>
        <v/>
      </c>
      <c r="X834" s="23" t="str">
        <f t="array" ref="X834">IFERROR(SMALL(IF(T$1:T$1000="END",ROW(T$1:T$1000)),ROW()-3),"")</f>
        <v/>
      </c>
      <c r="Y834" s="33" t="str">
        <f t="array" ref="Y834">IF(ISNUMBER(W834),MAX(IF((B$4:B$1000&lt;=X834)*(B$4:B$1000&gt;=W834),I$4:I$1000, "")),"")</f>
        <v/>
      </c>
      <c r="Z834" s="33" t="str">
        <f t="shared" si="550"/>
        <v/>
      </c>
      <c r="AA834" s="32" t="str">
        <f t="shared" si="551"/>
        <v/>
      </c>
      <c r="AB834" s="32" t="str">
        <f t="shared" si="552"/>
        <v/>
      </c>
      <c r="AC834" s="32" t="str">
        <f t="shared" si="553"/>
        <v/>
      </c>
      <c r="AD834" s="32" t="str">
        <f t="shared" si="554"/>
        <v/>
      </c>
      <c r="AE834" s="34" t="str">
        <f t="shared" si="555"/>
        <v/>
      </c>
      <c r="AF834" s="32" t="str">
        <f t="shared" si="556"/>
        <v/>
      </c>
      <c r="AG834" s="32" t="str">
        <f t="shared" si="557"/>
        <v/>
      </c>
      <c r="AH834" s="32" t="str">
        <f t="shared" si="558"/>
        <v/>
      </c>
      <c r="AI834" s="35" t="str">
        <f t="shared" si="559"/>
        <v/>
      </c>
      <c r="AJ834" s="23" t="str">
        <f t="array" ref="AJ834">IFERROR(SMALL(IF(U$1:U$1000="BEGIN",ROW(U$1:U$1000)),ROW()-3),"")</f>
        <v/>
      </c>
      <c r="AK834" s="23" t="str">
        <f t="array" ref="AK834">IFERROR(SMALL(IF(V$1:V$1000="END",ROW(V$1:V$1000)),ROW()-3),"")</f>
        <v/>
      </c>
      <c r="AL834" s="24" t="str">
        <f t="array" ref="AL834">IF(AK834="","",MATCH(AM834,L:L,0))</f>
        <v/>
      </c>
      <c r="AM834" s="35">
        <f t="array" ref="AM834">MAX(IF((B$4:B$1000&lt;=AK834)*(B$4:B$1000&gt;=AJ834),L$4:L$1000, ""))</f>
        <v>0</v>
      </c>
      <c r="AN834" s="32" t="str">
        <f t="shared" si="566"/>
        <v/>
      </c>
      <c r="AO834" s="32" t="str">
        <f t="shared" si="567"/>
        <v/>
      </c>
      <c r="AP834" s="32" t="str">
        <f t="shared" si="568"/>
        <v/>
      </c>
      <c r="AQ834" s="32" t="str">
        <f t="shared" si="569"/>
        <v/>
      </c>
      <c r="AR834" s="32" t="str">
        <f t="shared" si="570"/>
        <v/>
      </c>
      <c r="AS834" s="32" t="str">
        <f t="shared" si="571"/>
        <v/>
      </c>
      <c r="AT834" s="32" t="str">
        <f t="shared" si="572"/>
        <v/>
      </c>
      <c r="AU834" s="34" t="str">
        <f t="shared" si="573"/>
        <v/>
      </c>
      <c r="AV834" s="32" t="str">
        <f t="shared" si="574"/>
        <v/>
      </c>
      <c r="AW834" s="32" t="str">
        <f t="shared" si="575"/>
        <v/>
      </c>
      <c r="AX834" s="32" t="str">
        <f t="shared" si="576"/>
        <v/>
      </c>
      <c r="AY834" s="32" t="str">
        <f t="shared" si="577"/>
        <v/>
      </c>
    </row>
    <row r="835" spans="1:51" x14ac:dyDescent="0.25">
      <c r="A835" s="24" t="str">
        <f t="shared" si="535"/>
        <v/>
      </c>
      <c r="B835" s="24" t="str">
        <f t="shared" si="545"/>
        <v/>
      </c>
      <c r="C835" s="32" t="str">
        <f t="shared" si="536"/>
        <v/>
      </c>
      <c r="D835" s="24" t="str">
        <f t="shared" si="537"/>
        <v/>
      </c>
      <c r="E835" s="24" t="str">
        <f t="shared" si="538"/>
        <v/>
      </c>
      <c r="F835" s="32" t="str">
        <f t="shared" si="539"/>
        <v/>
      </c>
      <c r="G835" s="32" t="str">
        <f t="shared" si="540"/>
        <v/>
      </c>
      <c r="H835" s="32" t="str">
        <f t="shared" ca="1" si="541"/>
        <v/>
      </c>
      <c r="I835" s="32" t="str">
        <f t="shared" ca="1" si="546"/>
        <v/>
      </c>
      <c r="J835" s="32" t="str">
        <f t="shared" si="542"/>
        <v/>
      </c>
      <c r="K835" s="32" t="str">
        <f>IF(ISNUMBER(A835),Profile!$V$25+Profile!$V$24*'Ri-Po'!C835,"")</f>
        <v/>
      </c>
      <c r="L835" s="32" t="str">
        <f t="shared" si="547"/>
        <v/>
      </c>
      <c r="M835" s="32" t="str">
        <f t="shared" si="543"/>
        <v/>
      </c>
      <c r="N835" s="32" t="str">
        <f t="shared" si="544"/>
        <v/>
      </c>
      <c r="O835" s="32" t="str">
        <f t="shared" si="560"/>
        <v/>
      </c>
      <c r="P835" s="32" t="str">
        <f t="shared" si="548"/>
        <v/>
      </c>
      <c r="Q835" s="32" t="str">
        <f t="shared" si="549"/>
        <v/>
      </c>
      <c r="R835" s="32" t="str">
        <f t="shared" si="561"/>
        <v/>
      </c>
      <c r="S835" s="24" t="str">
        <f t="shared" si="562"/>
        <v/>
      </c>
      <c r="T835" s="24" t="str">
        <f t="shared" si="563"/>
        <v/>
      </c>
      <c r="U835" s="24" t="str">
        <f t="shared" si="564"/>
        <v/>
      </c>
      <c r="V835" s="24" t="str">
        <f t="shared" si="565"/>
        <v/>
      </c>
      <c r="W835" s="23" t="str">
        <f t="array" ref="W835">IFERROR(SMALL(IF(S$1:S$1000="BEGIN",ROW(S$1:S$1000)),ROW()-3),"")</f>
        <v/>
      </c>
      <c r="X835" s="23" t="str">
        <f t="array" ref="X835">IFERROR(SMALL(IF(T$1:T$1000="END",ROW(T$1:T$1000)),ROW()-3),"")</f>
        <v/>
      </c>
      <c r="Y835" s="33" t="str">
        <f t="array" ref="Y835">IF(ISNUMBER(W835),MAX(IF((B$4:B$1000&lt;=X835)*(B$4:B$1000&gt;=W835),I$4:I$1000, "")),"")</f>
        <v/>
      </c>
      <c r="Z835" s="33" t="str">
        <f t="shared" si="550"/>
        <v/>
      </c>
      <c r="AA835" s="32" t="str">
        <f t="shared" si="551"/>
        <v/>
      </c>
      <c r="AB835" s="32" t="str">
        <f t="shared" si="552"/>
        <v/>
      </c>
      <c r="AC835" s="32" t="str">
        <f t="shared" si="553"/>
        <v/>
      </c>
      <c r="AD835" s="32" t="str">
        <f t="shared" si="554"/>
        <v/>
      </c>
      <c r="AE835" s="34" t="str">
        <f t="shared" si="555"/>
        <v/>
      </c>
      <c r="AF835" s="32" t="str">
        <f t="shared" si="556"/>
        <v/>
      </c>
      <c r="AG835" s="32" t="str">
        <f t="shared" si="557"/>
        <v/>
      </c>
      <c r="AH835" s="32" t="str">
        <f t="shared" si="558"/>
        <v/>
      </c>
      <c r="AI835" s="35" t="str">
        <f t="shared" si="559"/>
        <v/>
      </c>
      <c r="AJ835" s="23" t="str">
        <f t="array" ref="AJ835">IFERROR(SMALL(IF(U$1:U$1000="BEGIN",ROW(U$1:U$1000)),ROW()-3),"")</f>
        <v/>
      </c>
      <c r="AK835" s="23" t="str">
        <f t="array" ref="AK835">IFERROR(SMALL(IF(V$1:V$1000="END",ROW(V$1:V$1000)),ROW()-3),"")</f>
        <v/>
      </c>
      <c r="AL835" s="24" t="str">
        <f t="array" ref="AL835">IF(AK835="","",MATCH(AM835,L:L,0))</f>
        <v/>
      </c>
      <c r="AM835" s="35">
        <f t="array" ref="AM835">MAX(IF((B$4:B$1000&lt;=AK835)*(B$4:B$1000&gt;=AJ835),L$4:L$1000, ""))</f>
        <v>0</v>
      </c>
      <c r="AN835" s="32" t="str">
        <f t="shared" si="566"/>
        <v/>
      </c>
      <c r="AO835" s="32" t="str">
        <f t="shared" si="567"/>
        <v/>
      </c>
      <c r="AP835" s="32" t="str">
        <f t="shared" si="568"/>
        <v/>
      </c>
      <c r="AQ835" s="32" t="str">
        <f t="shared" si="569"/>
        <v/>
      </c>
      <c r="AR835" s="32" t="str">
        <f t="shared" si="570"/>
        <v/>
      </c>
      <c r="AS835" s="32" t="str">
        <f t="shared" si="571"/>
        <v/>
      </c>
      <c r="AT835" s="32" t="str">
        <f t="shared" si="572"/>
        <v/>
      </c>
      <c r="AU835" s="34" t="str">
        <f t="shared" si="573"/>
        <v/>
      </c>
      <c r="AV835" s="32" t="str">
        <f t="shared" si="574"/>
        <v/>
      </c>
      <c r="AW835" s="32" t="str">
        <f t="shared" si="575"/>
        <v/>
      </c>
      <c r="AX835" s="32" t="str">
        <f t="shared" si="576"/>
        <v/>
      </c>
      <c r="AY835" s="32" t="str">
        <f t="shared" si="577"/>
        <v/>
      </c>
    </row>
    <row r="836" spans="1:51" x14ac:dyDescent="0.25">
      <c r="A836" s="24" t="str">
        <f t="shared" ref="A836:A899" si="578">IF(NOT(ISBLANK(INDEX(currentNUM,ROW(A833)))),INDEX(currentNUM,ROW(A833)),"")</f>
        <v/>
      </c>
      <c r="B836" s="24" t="str">
        <f t="shared" si="545"/>
        <v/>
      </c>
      <c r="C836" s="32" t="str">
        <f t="shared" ref="C836:C899" si="579">IF(NOT(A836=""),INDEX(currentSTATION,ROW(C833)),"")</f>
        <v/>
      </c>
      <c r="D836" s="24" t="str">
        <f t="shared" ref="D836:D899" si="580">IF(NOT(ISBLANK(INDEX(currentDESC,ROW(D833)))),INDEX(currentDESC,ROW(D833)),"")</f>
        <v/>
      </c>
      <c r="E836" s="24" t="str">
        <f t="shared" ref="E836:E899" si="581">IF(NOT(ISBLANK(INDEX(currentCMORPH,ROW(E833)))),INDEX(currentCMORPH,ROW(E833)),"")</f>
        <v/>
      </c>
      <c r="F836" s="32" t="str">
        <f t="shared" ref="F836:F899" si="582">IF(NOT(ISBLANK(INDEX(currentTHW,ROW(F833)))),INDEX(currentTHW,ROW(F833)),"")</f>
        <v/>
      </c>
      <c r="G836" s="32" t="str">
        <f t="shared" ref="G836:G899" si="583">IF(NOT(ISBLANK(INDEX(currentWS,ROW(G833)))),INDEX(currentWS,ROW(G833)),"")</f>
        <v/>
      </c>
      <c r="H836" s="32" t="str">
        <f t="shared" ref="H836:H899" ca="1" si="584">IF(NOT(OR(ISBLANK(INDEX(currentINTERPWS,ROW(H833))),INDEX(currentINTERPWS,ROW(H833))=0)),INDEX(currentINTERPWS,ROW(H833)),"")</f>
        <v/>
      </c>
      <c r="I836" s="32" t="str">
        <f t="shared" ca="1" si="546"/>
        <v/>
      </c>
      <c r="J836" s="32" t="str">
        <f t="shared" ref="J836:J899" si="585">IF(NOT(ISBLANK(INDEX(currentBKF,ROW(G833)))),INDEX(currentBKF,ROW(G833)),"")</f>
        <v/>
      </c>
      <c r="K836" s="32" t="str">
        <f>IF(ISNUMBER(A836),Profile!$V$25+Profile!$V$24*'Ri-Po'!C836,"")</f>
        <v/>
      </c>
      <c r="L836" s="32" t="str">
        <f t="shared" si="547"/>
        <v/>
      </c>
      <c r="M836" s="32" t="str">
        <f t="shared" ref="M836:M899" si="586">IF(NOT(ISBLANK(INDEX(currentTOB,ROW(H833)))),INDEX(currentTOB,ROW(H833)),"")</f>
        <v/>
      </c>
      <c r="N836" s="32" t="str">
        <f t="shared" ref="N836:N899" si="587">IF(ISNUMBER(A836),INDEX(currentINTTOB,ROW(I833)),"")</f>
        <v/>
      </c>
      <c r="O836" s="32" t="str">
        <f t="shared" si="560"/>
        <v/>
      </c>
      <c r="P836" s="32" t="str">
        <f t="shared" si="548"/>
        <v/>
      </c>
      <c r="Q836" s="32" t="str">
        <f t="shared" si="549"/>
        <v/>
      </c>
      <c r="R836" s="32" t="str">
        <f t="shared" si="561"/>
        <v/>
      </c>
      <c r="S836" s="24" t="str">
        <f t="shared" si="562"/>
        <v/>
      </c>
      <c r="T836" s="24" t="str">
        <f t="shared" si="563"/>
        <v/>
      </c>
      <c r="U836" s="24" t="str">
        <f t="shared" si="564"/>
        <v/>
      </c>
      <c r="V836" s="24" t="str">
        <f t="shared" si="565"/>
        <v/>
      </c>
      <c r="W836" s="23" t="str">
        <f t="array" ref="W836">IFERROR(SMALL(IF(S$1:S$1000="BEGIN",ROW(S$1:S$1000)),ROW()-3),"")</f>
        <v/>
      </c>
      <c r="X836" s="23" t="str">
        <f t="array" ref="X836">IFERROR(SMALL(IF(T$1:T$1000="END",ROW(T$1:T$1000)),ROW()-3),"")</f>
        <v/>
      </c>
      <c r="Y836" s="33" t="str">
        <f t="array" ref="Y836">IF(ISNUMBER(W836),MAX(IF((B$4:B$1000&lt;=X836)*(B$4:B$1000&gt;=W836),I$4:I$1000, "")),"")</f>
        <v/>
      </c>
      <c r="Z836" s="33" t="str">
        <f t="shared" si="550"/>
        <v/>
      </c>
      <c r="AA836" s="32" t="str">
        <f t="shared" si="551"/>
        <v/>
      </c>
      <c r="AB836" s="32" t="str">
        <f t="shared" si="552"/>
        <v/>
      </c>
      <c r="AC836" s="32" t="str">
        <f t="shared" si="553"/>
        <v/>
      </c>
      <c r="AD836" s="32" t="str">
        <f t="shared" si="554"/>
        <v/>
      </c>
      <c r="AE836" s="34" t="str">
        <f t="shared" si="555"/>
        <v/>
      </c>
      <c r="AF836" s="32" t="str">
        <f t="shared" si="556"/>
        <v/>
      </c>
      <c r="AG836" s="32" t="str">
        <f t="shared" si="557"/>
        <v/>
      </c>
      <c r="AH836" s="32" t="str">
        <f t="shared" si="558"/>
        <v/>
      </c>
      <c r="AI836" s="35" t="str">
        <f t="shared" si="559"/>
        <v/>
      </c>
      <c r="AJ836" s="23" t="str">
        <f t="array" ref="AJ836">IFERROR(SMALL(IF(U$1:U$1000="BEGIN",ROW(U$1:U$1000)),ROW()-3),"")</f>
        <v/>
      </c>
      <c r="AK836" s="23" t="str">
        <f t="array" ref="AK836">IFERROR(SMALL(IF(V$1:V$1000="END",ROW(V$1:V$1000)),ROW()-3),"")</f>
        <v/>
      </c>
      <c r="AL836" s="24" t="str">
        <f t="array" ref="AL836">IF(AK836="","",MATCH(AM836,L:L,0))</f>
        <v/>
      </c>
      <c r="AM836" s="35">
        <f t="array" ref="AM836">MAX(IF((B$4:B$1000&lt;=AK836)*(B$4:B$1000&gt;=AJ836),L$4:L$1000, ""))</f>
        <v>0</v>
      </c>
      <c r="AN836" s="32" t="str">
        <f t="shared" si="566"/>
        <v/>
      </c>
      <c r="AO836" s="32" t="str">
        <f t="shared" si="567"/>
        <v/>
      </c>
      <c r="AP836" s="32" t="str">
        <f t="shared" si="568"/>
        <v/>
      </c>
      <c r="AQ836" s="32" t="str">
        <f t="shared" si="569"/>
        <v/>
      </c>
      <c r="AR836" s="32" t="str">
        <f t="shared" si="570"/>
        <v/>
      </c>
      <c r="AS836" s="32" t="str">
        <f t="shared" si="571"/>
        <v/>
      </c>
      <c r="AT836" s="32" t="str">
        <f t="shared" si="572"/>
        <v/>
      </c>
      <c r="AU836" s="34" t="str">
        <f t="shared" si="573"/>
        <v/>
      </c>
      <c r="AV836" s="32" t="str">
        <f t="shared" si="574"/>
        <v/>
      </c>
      <c r="AW836" s="32" t="str">
        <f t="shared" si="575"/>
        <v/>
      </c>
      <c r="AX836" s="32" t="str">
        <f t="shared" si="576"/>
        <v/>
      </c>
      <c r="AY836" s="32" t="str">
        <f t="shared" si="577"/>
        <v/>
      </c>
    </row>
    <row r="837" spans="1:51" x14ac:dyDescent="0.25">
      <c r="A837" s="24" t="str">
        <f t="shared" si="578"/>
        <v/>
      </c>
      <c r="B837" s="24" t="str">
        <f t="shared" ref="B837:B900" si="588">IF(NOT(A837=""),ROW(B837),"")</f>
        <v/>
      </c>
      <c r="C837" s="32" t="str">
        <f t="shared" si="579"/>
        <v/>
      </c>
      <c r="D837" s="24" t="str">
        <f t="shared" si="580"/>
        <v/>
      </c>
      <c r="E837" s="24" t="str">
        <f t="shared" si="581"/>
        <v/>
      </c>
      <c r="F837" s="32" t="str">
        <f t="shared" si="582"/>
        <v/>
      </c>
      <c r="G837" s="32" t="str">
        <f t="shared" si="583"/>
        <v/>
      </c>
      <c r="H837" s="32" t="str">
        <f t="shared" ca="1" si="584"/>
        <v/>
      </c>
      <c r="I837" s="32" t="str">
        <f t="shared" ref="I837:I900" ca="1" si="589">IFERROR(IF(H837-F837&gt;=0,H837-F837,"NEG"),"")</f>
        <v/>
      </c>
      <c r="J837" s="32" t="str">
        <f t="shared" si="585"/>
        <v/>
      </c>
      <c r="K837" s="32" t="str">
        <f>IF(ISNUMBER(A837),Profile!$V$25+Profile!$V$24*'Ri-Po'!C837,"")</f>
        <v/>
      </c>
      <c r="L837" s="32" t="str">
        <f t="shared" ref="L837:L900" si="590">IFERROR(K837-F837,"")</f>
        <v/>
      </c>
      <c r="M837" s="32" t="str">
        <f t="shared" si="586"/>
        <v/>
      </c>
      <c r="N837" s="32" t="str">
        <f t="shared" si="587"/>
        <v/>
      </c>
      <c r="O837" s="32" t="str">
        <f t="shared" si="560"/>
        <v/>
      </c>
      <c r="P837" s="32" t="str">
        <f t="shared" ref="P837:P900" si="591">IF(ISNUMBER(A837),K837-F837,"")</f>
        <v/>
      </c>
      <c r="Q837" s="32" t="str">
        <f t="shared" ref="Q837:Q900" si="592">IF(ISNUMBER(A837),N837-F837,"")</f>
        <v/>
      </c>
      <c r="R837" s="32" t="str">
        <f t="shared" si="561"/>
        <v/>
      </c>
      <c r="S837" s="24" t="str">
        <f t="shared" si="562"/>
        <v/>
      </c>
      <c r="T837" s="24" t="str">
        <f t="shared" si="563"/>
        <v/>
      </c>
      <c r="U837" s="24" t="str">
        <f t="shared" si="564"/>
        <v/>
      </c>
      <c r="V837" s="24" t="str">
        <f t="shared" si="565"/>
        <v/>
      </c>
      <c r="W837" s="23" t="str">
        <f t="array" ref="W837">IFERROR(SMALL(IF(S$1:S$1000="BEGIN",ROW(S$1:S$1000)),ROW()-3),"")</f>
        <v/>
      </c>
      <c r="X837" s="23" t="str">
        <f t="array" ref="X837">IFERROR(SMALL(IF(T$1:T$1000="END",ROW(T$1:T$1000)),ROW()-3),"")</f>
        <v/>
      </c>
      <c r="Y837" s="33" t="str">
        <f t="array" ref="Y837">IF(ISNUMBER(W837),MAX(IF((B$4:B$1000&lt;=X837)*(B$4:B$1000&gt;=W837),I$4:I$1000, "")),"")</f>
        <v/>
      </c>
      <c r="Z837" s="33" t="str">
        <f t="shared" ref="Z837:Z900" si="593">IFERROR(INDEX(C:C,W837),"")</f>
        <v/>
      </c>
      <c r="AA837" s="32" t="str">
        <f t="shared" ref="AA837:AA900" si="594">IFERROR(INDEX(C:C,X837),"")</f>
        <v/>
      </c>
      <c r="AB837" s="32" t="str">
        <f t="shared" ref="AB837:AB900" si="595">IFERROR(AA837-Z837,"")</f>
        <v/>
      </c>
      <c r="AC837" s="32" t="str">
        <f t="shared" ref="AC837:AC900" si="596">IFERROR(INDEX(H:H,W837),"")</f>
        <v/>
      </c>
      <c r="AD837" s="32" t="str">
        <f t="shared" ref="AD837:AD900" si="597">IFERROR(INDEX(H:H,X837),"")</f>
        <v/>
      </c>
      <c r="AE837" s="34" t="str">
        <f t="shared" ref="AE837:AE900" si="598">IFERROR((AC837-AD837)/(AB837),"")</f>
        <v/>
      </c>
      <c r="AF837" s="32" t="str">
        <f t="shared" ref="AF837:AF900" si="599">IF(ISNUMBER(Z837),INDEX($Q$1:$Q$1000,W837),"")</f>
        <v/>
      </c>
      <c r="AG837" s="32" t="str">
        <f t="shared" ref="AG837:AG900" si="600">IF(ISNUMBER(Z837),INDEX($P$1:$P$1000,W837),"")</f>
        <v/>
      </c>
      <c r="AH837" s="32" t="str">
        <f t="shared" ref="AH837:AH900" si="601">IF(ISNUMBER(Z837),AF837/AG837,"")</f>
        <v/>
      </c>
      <c r="AI837" s="35" t="str">
        <f t="shared" ref="AI837:AI900" si="602">IFERROR(AE837/BB$19,"")</f>
        <v/>
      </c>
      <c r="AJ837" s="23" t="str">
        <f t="array" ref="AJ837">IFERROR(SMALL(IF(U$1:U$1000="BEGIN",ROW(U$1:U$1000)),ROW()-3),"")</f>
        <v/>
      </c>
      <c r="AK837" s="23" t="str">
        <f t="array" ref="AK837">IFERROR(SMALL(IF(V$1:V$1000="END",ROW(V$1:V$1000)),ROW()-3),"")</f>
        <v/>
      </c>
      <c r="AL837" s="24" t="str">
        <f t="array" ref="AL837">IF(AK837="","",MATCH(AM837,L:L,0))</f>
        <v/>
      </c>
      <c r="AM837" s="35">
        <f t="array" ref="AM837">MAX(IF((B$4:B$1000&lt;=AK837)*(B$4:B$1000&gt;=AJ837),L$4:L$1000, ""))</f>
        <v>0</v>
      </c>
      <c r="AN837" s="32" t="str">
        <f t="shared" si="566"/>
        <v/>
      </c>
      <c r="AO837" s="32" t="str">
        <f t="shared" si="567"/>
        <v/>
      </c>
      <c r="AP837" s="32" t="str">
        <f t="shared" si="568"/>
        <v/>
      </c>
      <c r="AQ837" s="32" t="str">
        <f t="shared" si="569"/>
        <v/>
      </c>
      <c r="AR837" s="32" t="str">
        <f t="shared" si="570"/>
        <v/>
      </c>
      <c r="AS837" s="32" t="str">
        <f t="shared" si="571"/>
        <v/>
      </c>
      <c r="AT837" s="32" t="str">
        <f t="shared" si="572"/>
        <v/>
      </c>
      <c r="AU837" s="34" t="str">
        <f t="shared" si="573"/>
        <v/>
      </c>
      <c r="AV837" s="32" t="str">
        <f t="shared" si="574"/>
        <v/>
      </c>
      <c r="AW837" s="32" t="str">
        <f t="shared" si="575"/>
        <v/>
      </c>
      <c r="AX837" s="32" t="str">
        <f t="shared" si="576"/>
        <v/>
      </c>
      <c r="AY837" s="32" t="str">
        <f t="shared" si="577"/>
        <v/>
      </c>
    </row>
    <row r="838" spans="1:51" x14ac:dyDescent="0.25">
      <c r="A838" s="24" t="str">
        <f t="shared" si="578"/>
        <v/>
      </c>
      <c r="B838" s="24" t="str">
        <f t="shared" si="588"/>
        <v/>
      </c>
      <c r="C838" s="32" t="str">
        <f t="shared" si="579"/>
        <v/>
      </c>
      <c r="D838" s="24" t="str">
        <f t="shared" si="580"/>
        <v/>
      </c>
      <c r="E838" s="24" t="str">
        <f t="shared" si="581"/>
        <v/>
      </c>
      <c r="F838" s="32" t="str">
        <f t="shared" si="582"/>
        <v/>
      </c>
      <c r="G838" s="32" t="str">
        <f t="shared" si="583"/>
        <v/>
      </c>
      <c r="H838" s="32" t="str">
        <f t="shared" ca="1" si="584"/>
        <v/>
      </c>
      <c r="I838" s="32" t="str">
        <f t="shared" ca="1" si="589"/>
        <v/>
      </c>
      <c r="J838" s="32" t="str">
        <f t="shared" si="585"/>
        <v/>
      </c>
      <c r="K838" s="32" t="str">
        <f>IF(ISNUMBER(A838),Profile!$V$25+Profile!$V$24*'Ri-Po'!C838,"")</f>
        <v/>
      </c>
      <c r="L838" s="32" t="str">
        <f t="shared" si="590"/>
        <v/>
      </c>
      <c r="M838" s="32" t="str">
        <f t="shared" si="586"/>
        <v/>
      </c>
      <c r="N838" s="32" t="str">
        <f t="shared" si="587"/>
        <v/>
      </c>
      <c r="O838" s="32" t="str">
        <f t="shared" ref="O838:O901" si="603">IF(AND(ISNUMBER(G838),ISNUMBER(J838)),J838-G838,"")</f>
        <v/>
      </c>
      <c r="P838" s="32" t="str">
        <f t="shared" si="591"/>
        <v/>
      </c>
      <c r="Q838" s="32" t="str">
        <f t="shared" si="592"/>
        <v/>
      </c>
      <c r="R838" s="32" t="str">
        <f t="shared" ref="R838:R901" si="604">IF(ISNUMBER(Q838),Q838/P838,"")</f>
        <v/>
      </c>
      <c r="S838" s="24" t="str">
        <f t="shared" ref="S838:S901" si="605">IF(ISNUMBER(SEARCH("bri",E838)),"BEGIN","")</f>
        <v/>
      </c>
      <c r="T838" s="24" t="str">
        <f t="shared" ref="T838:T901" si="606">IF(ISNUMBER(SEARCH("eri",E838)),"END","")</f>
        <v/>
      </c>
      <c r="U838" s="24" t="str">
        <f t="shared" ref="U838:U901" si="607">IF(ISNUMBER(SEARCH("bpo",E838)),"BEGIN","")</f>
        <v/>
      </c>
      <c r="V838" s="24" t="str">
        <f t="shared" ref="V838:V901" si="608">IF(ISNUMBER(SEARCH("epo",E838)),"END","")</f>
        <v/>
      </c>
      <c r="W838" s="23" t="str">
        <f t="array" ref="W838">IFERROR(SMALL(IF(S$1:S$1000="BEGIN",ROW(S$1:S$1000)),ROW()-3),"")</f>
        <v/>
      </c>
      <c r="X838" s="23" t="str">
        <f t="array" ref="X838">IFERROR(SMALL(IF(T$1:T$1000="END",ROW(T$1:T$1000)),ROW()-3),"")</f>
        <v/>
      </c>
      <c r="Y838" s="33" t="str">
        <f t="array" ref="Y838">IF(ISNUMBER(W838),MAX(IF((B$4:B$1000&lt;=X838)*(B$4:B$1000&gt;=W838),I$4:I$1000, "")),"")</f>
        <v/>
      </c>
      <c r="Z838" s="33" t="str">
        <f t="shared" si="593"/>
        <v/>
      </c>
      <c r="AA838" s="32" t="str">
        <f t="shared" si="594"/>
        <v/>
      </c>
      <c r="AB838" s="32" t="str">
        <f t="shared" si="595"/>
        <v/>
      </c>
      <c r="AC838" s="32" t="str">
        <f t="shared" si="596"/>
        <v/>
      </c>
      <c r="AD838" s="32" t="str">
        <f t="shared" si="597"/>
        <v/>
      </c>
      <c r="AE838" s="34" t="str">
        <f t="shared" si="598"/>
        <v/>
      </c>
      <c r="AF838" s="32" t="str">
        <f t="shared" si="599"/>
        <v/>
      </c>
      <c r="AG838" s="32" t="str">
        <f t="shared" si="600"/>
        <v/>
      </c>
      <c r="AH838" s="32" t="str">
        <f t="shared" si="601"/>
        <v/>
      </c>
      <c r="AI838" s="35" t="str">
        <f t="shared" si="602"/>
        <v/>
      </c>
      <c r="AJ838" s="23" t="str">
        <f t="array" ref="AJ838">IFERROR(SMALL(IF(U$1:U$1000="BEGIN",ROW(U$1:U$1000)),ROW()-3),"")</f>
        <v/>
      </c>
      <c r="AK838" s="23" t="str">
        <f t="array" ref="AK838">IFERROR(SMALL(IF(V$1:V$1000="END",ROW(V$1:V$1000)),ROW()-3),"")</f>
        <v/>
      </c>
      <c r="AL838" s="24" t="str">
        <f t="array" ref="AL838">IF(AK838="","",MATCH(AM838,L:L,0))</f>
        <v/>
      </c>
      <c r="AM838" s="35">
        <f t="array" ref="AM838">MAX(IF((B$4:B$1000&lt;=AK838)*(B$4:B$1000&gt;=AJ838),L$4:L$1000, ""))</f>
        <v>0</v>
      </c>
      <c r="AN838" s="32" t="str">
        <f t="shared" si="566"/>
        <v/>
      </c>
      <c r="AO838" s="32" t="str">
        <f t="shared" si="567"/>
        <v/>
      </c>
      <c r="AP838" s="32" t="str">
        <f t="shared" si="568"/>
        <v/>
      </c>
      <c r="AQ838" s="32" t="str">
        <f t="shared" si="569"/>
        <v/>
      </c>
      <c r="AR838" s="32" t="str">
        <f t="shared" si="570"/>
        <v/>
      </c>
      <c r="AS838" s="32" t="str">
        <f t="shared" si="571"/>
        <v/>
      </c>
      <c r="AT838" s="32" t="str">
        <f t="shared" si="572"/>
        <v/>
      </c>
      <c r="AU838" s="34" t="str">
        <f t="shared" si="573"/>
        <v/>
      </c>
      <c r="AV838" s="32" t="str">
        <f t="shared" si="574"/>
        <v/>
      </c>
      <c r="AW838" s="32" t="str">
        <f t="shared" si="575"/>
        <v/>
      </c>
      <c r="AX838" s="32" t="str">
        <f t="shared" si="576"/>
        <v/>
      </c>
      <c r="AY838" s="32" t="str">
        <f t="shared" si="577"/>
        <v/>
      </c>
    </row>
    <row r="839" spans="1:51" x14ac:dyDescent="0.25">
      <c r="A839" s="24" t="str">
        <f t="shared" si="578"/>
        <v/>
      </c>
      <c r="B839" s="24" t="str">
        <f t="shared" si="588"/>
        <v/>
      </c>
      <c r="C839" s="32" t="str">
        <f t="shared" si="579"/>
        <v/>
      </c>
      <c r="D839" s="24" t="str">
        <f t="shared" si="580"/>
        <v/>
      </c>
      <c r="E839" s="24" t="str">
        <f t="shared" si="581"/>
        <v/>
      </c>
      <c r="F839" s="32" t="str">
        <f t="shared" si="582"/>
        <v/>
      </c>
      <c r="G839" s="32" t="str">
        <f t="shared" si="583"/>
        <v/>
      </c>
      <c r="H839" s="32" t="str">
        <f t="shared" ca="1" si="584"/>
        <v/>
      </c>
      <c r="I839" s="32" t="str">
        <f t="shared" ca="1" si="589"/>
        <v/>
      </c>
      <c r="J839" s="32" t="str">
        <f t="shared" si="585"/>
        <v/>
      </c>
      <c r="K839" s="32" t="str">
        <f>IF(ISNUMBER(A839),Profile!$V$25+Profile!$V$24*'Ri-Po'!C839,"")</f>
        <v/>
      </c>
      <c r="L839" s="32" t="str">
        <f t="shared" si="590"/>
        <v/>
      </c>
      <c r="M839" s="32" t="str">
        <f t="shared" si="586"/>
        <v/>
      </c>
      <c r="N839" s="32" t="str">
        <f t="shared" si="587"/>
        <v/>
      </c>
      <c r="O839" s="32" t="str">
        <f t="shared" si="603"/>
        <v/>
      </c>
      <c r="P839" s="32" t="str">
        <f t="shared" si="591"/>
        <v/>
      </c>
      <c r="Q839" s="32" t="str">
        <f t="shared" si="592"/>
        <v/>
      </c>
      <c r="R839" s="32" t="str">
        <f t="shared" si="604"/>
        <v/>
      </c>
      <c r="S839" s="24" t="str">
        <f t="shared" si="605"/>
        <v/>
      </c>
      <c r="T839" s="24" t="str">
        <f t="shared" si="606"/>
        <v/>
      </c>
      <c r="U839" s="24" t="str">
        <f t="shared" si="607"/>
        <v/>
      </c>
      <c r="V839" s="24" t="str">
        <f t="shared" si="608"/>
        <v/>
      </c>
      <c r="W839" s="23" t="str">
        <f t="array" ref="W839">IFERROR(SMALL(IF(S$1:S$1000="BEGIN",ROW(S$1:S$1000)),ROW()-3),"")</f>
        <v/>
      </c>
      <c r="X839" s="23" t="str">
        <f t="array" ref="X839">IFERROR(SMALL(IF(T$1:T$1000="END",ROW(T$1:T$1000)),ROW()-3),"")</f>
        <v/>
      </c>
      <c r="Y839" s="33" t="str">
        <f t="array" ref="Y839">IF(ISNUMBER(W839),MAX(IF((B$4:B$1000&lt;=X839)*(B$4:B$1000&gt;=W839),I$4:I$1000, "")),"")</f>
        <v/>
      </c>
      <c r="Z839" s="33" t="str">
        <f t="shared" si="593"/>
        <v/>
      </c>
      <c r="AA839" s="32" t="str">
        <f t="shared" si="594"/>
        <v/>
      </c>
      <c r="AB839" s="32" t="str">
        <f t="shared" si="595"/>
        <v/>
      </c>
      <c r="AC839" s="32" t="str">
        <f t="shared" si="596"/>
        <v/>
      </c>
      <c r="AD839" s="32" t="str">
        <f t="shared" si="597"/>
        <v/>
      </c>
      <c r="AE839" s="34" t="str">
        <f t="shared" si="598"/>
        <v/>
      </c>
      <c r="AF839" s="32" t="str">
        <f t="shared" si="599"/>
        <v/>
      </c>
      <c r="AG839" s="32" t="str">
        <f t="shared" si="600"/>
        <v/>
      </c>
      <c r="AH839" s="32" t="str">
        <f t="shared" si="601"/>
        <v/>
      </c>
      <c r="AI839" s="35" t="str">
        <f t="shared" si="602"/>
        <v/>
      </c>
      <c r="AJ839" s="23" t="str">
        <f t="array" ref="AJ839">IFERROR(SMALL(IF(U$1:U$1000="BEGIN",ROW(U$1:U$1000)),ROW()-3),"")</f>
        <v/>
      </c>
      <c r="AK839" s="23" t="str">
        <f t="array" ref="AK839">IFERROR(SMALL(IF(V$1:V$1000="END",ROW(V$1:V$1000)),ROW()-3),"")</f>
        <v/>
      </c>
      <c r="AL839" s="24" t="str">
        <f t="array" ref="AL839">IF(AK839="","",MATCH(AM839,L:L,0))</f>
        <v/>
      </c>
      <c r="AM839" s="35">
        <f t="array" ref="AM839">MAX(IF((B$4:B$1000&lt;=AK839)*(B$4:B$1000&gt;=AJ839),L$4:L$1000, ""))</f>
        <v>0</v>
      </c>
      <c r="AN839" s="32" t="str">
        <f t="shared" si="566"/>
        <v/>
      </c>
      <c r="AO839" s="32" t="str">
        <f t="shared" si="567"/>
        <v/>
      </c>
      <c r="AP839" s="32" t="str">
        <f t="shared" si="568"/>
        <v/>
      </c>
      <c r="AQ839" s="32" t="str">
        <f t="shared" si="569"/>
        <v/>
      </c>
      <c r="AR839" s="32" t="str">
        <f t="shared" si="570"/>
        <v/>
      </c>
      <c r="AS839" s="32" t="str">
        <f t="shared" si="571"/>
        <v/>
      </c>
      <c r="AT839" s="32" t="str">
        <f t="shared" si="572"/>
        <v/>
      </c>
      <c r="AU839" s="34" t="str">
        <f t="shared" si="573"/>
        <v/>
      </c>
      <c r="AV839" s="32" t="str">
        <f t="shared" si="574"/>
        <v/>
      </c>
      <c r="AW839" s="32" t="str">
        <f t="shared" si="575"/>
        <v/>
      </c>
      <c r="AX839" s="32" t="str">
        <f t="shared" si="576"/>
        <v/>
      </c>
      <c r="AY839" s="32" t="str">
        <f t="shared" si="577"/>
        <v/>
      </c>
    </row>
    <row r="840" spans="1:51" x14ac:dyDescent="0.25">
      <c r="A840" s="24" t="str">
        <f t="shared" si="578"/>
        <v/>
      </c>
      <c r="B840" s="24" t="str">
        <f t="shared" si="588"/>
        <v/>
      </c>
      <c r="C840" s="32" t="str">
        <f t="shared" si="579"/>
        <v/>
      </c>
      <c r="D840" s="24" t="str">
        <f t="shared" si="580"/>
        <v/>
      </c>
      <c r="E840" s="24" t="str">
        <f t="shared" si="581"/>
        <v/>
      </c>
      <c r="F840" s="32" t="str">
        <f t="shared" si="582"/>
        <v/>
      </c>
      <c r="G840" s="32" t="str">
        <f t="shared" si="583"/>
        <v/>
      </c>
      <c r="H840" s="32" t="str">
        <f t="shared" ca="1" si="584"/>
        <v/>
      </c>
      <c r="I840" s="32" t="str">
        <f t="shared" ca="1" si="589"/>
        <v/>
      </c>
      <c r="J840" s="32" t="str">
        <f t="shared" si="585"/>
        <v/>
      </c>
      <c r="K840" s="32" t="str">
        <f>IF(ISNUMBER(A840),Profile!$V$25+Profile!$V$24*'Ri-Po'!C840,"")</f>
        <v/>
      </c>
      <c r="L840" s="32" t="str">
        <f t="shared" si="590"/>
        <v/>
      </c>
      <c r="M840" s="32" t="str">
        <f t="shared" si="586"/>
        <v/>
      </c>
      <c r="N840" s="32" t="str">
        <f t="shared" si="587"/>
        <v/>
      </c>
      <c r="O840" s="32" t="str">
        <f t="shared" si="603"/>
        <v/>
      </c>
      <c r="P840" s="32" t="str">
        <f t="shared" si="591"/>
        <v/>
      </c>
      <c r="Q840" s="32" t="str">
        <f t="shared" si="592"/>
        <v/>
      </c>
      <c r="R840" s="32" t="str">
        <f t="shared" si="604"/>
        <v/>
      </c>
      <c r="S840" s="24" t="str">
        <f t="shared" si="605"/>
        <v/>
      </c>
      <c r="T840" s="24" t="str">
        <f t="shared" si="606"/>
        <v/>
      </c>
      <c r="U840" s="24" t="str">
        <f t="shared" si="607"/>
        <v/>
      </c>
      <c r="V840" s="24" t="str">
        <f t="shared" si="608"/>
        <v/>
      </c>
      <c r="W840" s="23" t="str">
        <f t="array" ref="W840">IFERROR(SMALL(IF(S$1:S$1000="BEGIN",ROW(S$1:S$1000)),ROW()-3),"")</f>
        <v/>
      </c>
      <c r="X840" s="23" t="str">
        <f t="array" ref="X840">IFERROR(SMALL(IF(T$1:T$1000="END",ROW(T$1:T$1000)),ROW()-3),"")</f>
        <v/>
      </c>
      <c r="Y840" s="33" t="str">
        <f t="array" ref="Y840">IF(ISNUMBER(W840),MAX(IF((B$4:B$1000&lt;=X840)*(B$4:B$1000&gt;=W840),I$4:I$1000, "")),"")</f>
        <v/>
      </c>
      <c r="Z840" s="33" t="str">
        <f t="shared" si="593"/>
        <v/>
      </c>
      <c r="AA840" s="32" t="str">
        <f t="shared" si="594"/>
        <v/>
      </c>
      <c r="AB840" s="32" t="str">
        <f t="shared" si="595"/>
        <v/>
      </c>
      <c r="AC840" s="32" t="str">
        <f t="shared" si="596"/>
        <v/>
      </c>
      <c r="AD840" s="32" t="str">
        <f t="shared" si="597"/>
        <v/>
      </c>
      <c r="AE840" s="34" t="str">
        <f t="shared" si="598"/>
        <v/>
      </c>
      <c r="AF840" s="32" t="str">
        <f t="shared" si="599"/>
        <v/>
      </c>
      <c r="AG840" s="32" t="str">
        <f t="shared" si="600"/>
        <v/>
      </c>
      <c r="AH840" s="32" t="str">
        <f t="shared" si="601"/>
        <v/>
      </c>
      <c r="AI840" s="35" t="str">
        <f t="shared" si="602"/>
        <v/>
      </c>
      <c r="AJ840" s="23" t="str">
        <f t="array" ref="AJ840">IFERROR(SMALL(IF(U$1:U$1000="BEGIN",ROW(U$1:U$1000)),ROW()-3),"")</f>
        <v/>
      </c>
      <c r="AK840" s="23" t="str">
        <f t="array" ref="AK840">IFERROR(SMALL(IF(V$1:V$1000="END",ROW(V$1:V$1000)),ROW()-3),"")</f>
        <v/>
      </c>
      <c r="AL840" s="24" t="str">
        <f t="array" ref="AL840">IF(AK840="","",MATCH(AM840,L:L,0))</f>
        <v/>
      </c>
      <c r="AM840" s="35">
        <f t="array" ref="AM840">MAX(IF((B$4:B$1000&lt;=AK840)*(B$4:B$1000&gt;=AJ840),L$4:L$1000, ""))</f>
        <v>0</v>
      </c>
      <c r="AN840" s="32" t="str">
        <f t="shared" si="566"/>
        <v/>
      </c>
      <c r="AO840" s="32" t="str">
        <f t="shared" si="567"/>
        <v/>
      </c>
      <c r="AP840" s="32" t="str">
        <f t="shared" si="568"/>
        <v/>
      </c>
      <c r="AQ840" s="32" t="str">
        <f t="shared" si="569"/>
        <v/>
      </c>
      <c r="AR840" s="32" t="str">
        <f t="shared" si="570"/>
        <v/>
      </c>
      <c r="AS840" s="32" t="str">
        <f t="shared" si="571"/>
        <v/>
      </c>
      <c r="AT840" s="32" t="str">
        <f t="shared" si="572"/>
        <v/>
      </c>
      <c r="AU840" s="34" t="str">
        <f t="shared" si="573"/>
        <v/>
      </c>
      <c r="AV840" s="32" t="str">
        <f t="shared" si="574"/>
        <v/>
      </c>
      <c r="AW840" s="32" t="str">
        <f t="shared" si="575"/>
        <v/>
      </c>
      <c r="AX840" s="32" t="str">
        <f t="shared" si="576"/>
        <v/>
      </c>
      <c r="AY840" s="32" t="str">
        <f t="shared" si="577"/>
        <v/>
      </c>
    </row>
    <row r="841" spans="1:51" x14ac:dyDescent="0.25">
      <c r="A841" s="24" t="str">
        <f t="shared" si="578"/>
        <v/>
      </c>
      <c r="B841" s="24" t="str">
        <f t="shared" si="588"/>
        <v/>
      </c>
      <c r="C841" s="32" t="str">
        <f t="shared" si="579"/>
        <v/>
      </c>
      <c r="D841" s="24" t="str">
        <f t="shared" si="580"/>
        <v/>
      </c>
      <c r="E841" s="24" t="str">
        <f t="shared" si="581"/>
        <v/>
      </c>
      <c r="F841" s="32" t="str">
        <f t="shared" si="582"/>
        <v/>
      </c>
      <c r="G841" s="32" t="str">
        <f t="shared" si="583"/>
        <v/>
      </c>
      <c r="H841" s="32" t="str">
        <f t="shared" ca="1" si="584"/>
        <v/>
      </c>
      <c r="I841" s="32" t="str">
        <f t="shared" ca="1" si="589"/>
        <v/>
      </c>
      <c r="J841" s="32" t="str">
        <f t="shared" si="585"/>
        <v/>
      </c>
      <c r="K841" s="32" t="str">
        <f>IF(ISNUMBER(A841),Profile!$V$25+Profile!$V$24*'Ri-Po'!C841,"")</f>
        <v/>
      </c>
      <c r="L841" s="32" t="str">
        <f t="shared" si="590"/>
        <v/>
      </c>
      <c r="M841" s="32" t="str">
        <f t="shared" si="586"/>
        <v/>
      </c>
      <c r="N841" s="32" t="str">
        <f t="shared" si="587"/>
        <v/>
      </c>
      <c r="O841" s="32" t="str">
        <f t="shared" si="603"/>
        <v/>
      </c>
      <c r="P841" s="32" t="str">
        <f t="shared" si="591"/>
        <v/>
      </c>
      <c r="Q841" s="32" t="str">
        <f t="shared" si="592"/>
        <v/>
      </c>
      <c r="R841" s="32" t="str">
        <f t="shared" si="604"/>
        <v/>
      </c>
      <c r="S841" s="24" t="str">
        <f t="shared" si="605"/>
        <v/>
      </c>
      <c r="T841" s="24" t="str">
        <f t="shared" si="606"/>
        <v/>
      </c>
      <c r="U841" s="24" t="str">
        <f t="shared" si="607"/>
        <v/>
      </c>
      <c r="V841" s="24" t="str">
        <f t="shared" si="608"/>
        <v/>
      </c>
      <c r="W841" s="23" t="str">
        <f t="array" ref="W841">IFERROR(SMALL(IF(S$1:S$1000="BEGIN",ROW(S$1:S$1000)),ROW()-3),"")</f>
        <v/>
      </c>
      <c r="X841" s="23" t="str">
        <f t="array" ref="X841">IFERROR(SMALL(IF(T$1:T$1000="END",ROW(T$1:T$1000)),ROW()-3),"")</f>
        <v/>
      </c>
      <c r="Y841" s="33" t="str">
        <f t="array" ref="Y841">IF(ISNUMBER(W841),MAX(IF((B$4:B$1000&lt;=X841)*(B$4:B$1000&gt;=W841),I$4:I$1000, "")),"")</f>
        <v/>
      </c>
      <c r="Z841" s="33" t="str">
        <f t="shared" si="593"/>
        <v/>
      </c>
      <c r="AA841" s="32" t="str">
        <f t="shared" si="594"/>
        <v/>
      </c>
      <c r="AB841" s="32" t="str">
        <f t="shared" si="595"/>
        <v/>
      </c>
      <c r="AC841" s="32" t="str">
        <f t="shared" si="596"/>
        <v/>
      </c>
      <c r="AD841" s="32" t="str">
        <f t="shared" si="597"/>
        <v/>
      </c>
      <c r="AE841" s="34" t="str">
        <f t="shared" si="598"/>
        <v/>
      </c>
      <c r="AF841" s="32" t="str">
        <f t="shared" si="599"/>
        <v/>
      </c>
      <c r="AG841" s="32" t="str">
        <f t="shared" si="600"/>
        <v/>
      </c>
      <c r="AH841" s="32" t="str">
        <f t="shared" si="601"/>
        <v/>
      </c>
      <c r="AI841" s="35" t="str">
        <f t="shared" si="602"/>
        <v/>
      </c>
      <c r="AJ841" s="23" t="str">
        <f t="array" ref="AJ841">IFERROR(SMALL(IF(U$1:U$1000="BEGIN",ROW(U$1:U$1000)),ROW()-3),"")</f>
        <v/>
      </c>
      <c r="AK841" s="23" t="str">
        <f t="array" ref="AK841">IFERROR(SMALL(IF(V$1:V$1000="END",ROW(V$1:V$1000)),ROW()-3),"")</f>
        <v/>
      </c>
      <c r="AL841" s="24" t="str">
        <f t="array" ref="AL841">IF(AK841="","",MATCH(AM841,L:L,0))</f>
        <v/>
      </c>
      <c r="AM841" s="35">
        <f t="array" ref="AM841">MAX(IF((B$4:B$1000&lt;=AK841)*(B$4:B$1000&gt;=AJ841),L$4:L$1000, ""))</f>
        <v>0</v>
      </c>
      <c r="AN841" s="32" t="str">
        <f t="shared" si="566"/>
        <v/>
      </c>
      <c r="AO841" s="32" t="str">
        <f t="shared" si="567"/>
        <v/>
      </c>
      <c r="AP841" s="32" t="str">
        <f t="shared" si="568"/>
        <v/>
      </c>
      <c r="AQ841" s="32" t="str">
        <f t="shared" si="569"/>
        <v/>
      </c>
      <c r="AR841" s="32" t="str">
        <f t="shared" si="570"/>
        <v/>
      </c>
      <c r="AS841" s="32" t="str">
        <f t="shared" si="571"/>
        <v/>
      </c>
      <c r="AT841" s="32" t="str">
        <f t="shared" si="572"/>
        <v/>
      </c>
      <c r="AU841" s="34" t="str">
        <f t="shared" si="573"/>
        <v/>
      </c>
      <c r="AV841" s="32" t="str">
        <f t="shared" si="574"/>
        <v/>
      </c>
      <c r="AW841" s="32" t="str">
        <f t="shared" si="575"/>
        <v/>
      </c>
      <c r="AX841" s="32" t="str">
        <f t="shared" si="576"/>
        <v/>
      </c>
      <c r="AY841" s="32" t="str">
        <f t="shared" si="577"/>
        <v/>
      </c>
    </row>
    <row r="842" spans="1:51" x14ac:dyDescent="0.25">
      <c r="A842" s="24" t="str">
        <f t="shared" si="578"/>
        <v/>
      </c>
      <c r="B842" s="24" t="str">
        <f t="shared" si="588"/>
        <v/>
      </c>
      <c r="C842" s="32" t="str">
        <f t="shared" si="579"/>
        <v/>
      </c>
      <c r="D842" s="24" t="str">
        <f t="shared" si="580"/>
        <v/>
      </c>
      <c r="E842" s="24" t="str">
        <f t="shared" si="581"/>
        <v/>
      </c>
      <c r="F842" s="32" t="str">
        <f t="shared" si="582"/>
        <v/>
      </c>
      <c r="G842" s="32" t="str">
        <f t="shared" si="583"/>
        <v/>
      </c>
      <c r="H842" s="32" t="str">
        <f t="shared" ca="1" si="584"/>
        <v/>
      </c>
      <c r="I842" s="32" t="str">
        <f t="shared" ca="1" si="589"/>
        <v/>
      </c>
      <c r="J842" s="32" t="str">
        <f t="shared" si="585"/>
        <v/>
      </c>
      <c r="K842" s="32" t="str">
        <f>IF(ISNUMBER(A842),Profile!$V$25+Profile!$V$24*'Ri-Po'!C842,"")</f>
        <v/>
      </c>
      <c r="L842" s="32" t="str">
        <f t="shared" si="590"/>
        <v/>
      </c>
      <c r="M842" s="32" t="str">
        <f t="shared" si="586"/>
        <v/>
      </c>
      <c r="N842" s="32" t="str">
        <f t="shared" si="587"/>
        <v/>
      </c>
      <c r="O842" s="32" t="str">
        <f t="shared" si="603"/>
        <v/>
      </c>
      <c r="P842" s="32" t="str">
        <f t="shared" si="591"/>
        <v/>
      </c>
      <c r="Q842" s="32" t="str">
        <f t="shared" si="592"/>
        <v/>
      </c>
      <c r="R842" s="32" t="str">
        <f t="shared" si="604"/>
        <v/>
      </c>
      <c r="S842" s="24" t="str">
        <f t="shared" si="605"/>
        <v/>
      </c>
      <c r="T842" s="24" t="str">
        <f t="shared" si="606"/>
        <v/>
      </c>
      <c r="U842" s="24" t="str">
        <f t="shared" si="607"/>
        <v/>
      </c>
      <c r="V842" s="24" t="str">
        <f t="shared" si="608"/>
        <v/>
      </c>
      <c r="W842" s="23" t="str">
        <f t="array" ref="W842">IFERROR(SMALL(IF(S$1:S$1000="BEGIN",ROW(S$1:S$1000)),ROW()-3),"")</f>
        <v/>
      </c>
      <c r="X842" s="23" t="str">
        <f t="array" ref="X842">IFERROR(SMALL(IF(T$1:T$1000="END",ROW(T$1:T$1000)),ROW()-3),"")</f>
        <v/>
      </c>
      <c r="Y842" s="33" t="str">
        <f t="array" ref="Y842">IF(ISNUMBER(W842),MAX(IF((B$4:B$1000&lt;=X842)*(B$4:B$1000&gt;=W842),I$4:I$1000, "")),"")</f>
        <v/>
      </c>
      <c r="Z842" s="33" t="str">
        <f t="shared" si="593"/>
        <v/>
      </c>
      <c r="AA842" s="32" t="str">
        <f t="shared" si="594"/>
        <v/>
      </c>
      <c r="AB842" s="32" t="str">
        <f t="shared" si="595"/>
        <v/>
      </c>
      <c r="AC842" s="32" t="str">
        <f t="shared" si="596"/>
        <v/>
      </c>
      <c r="AD842" s="32" t="str">
        <f t="shared" si="597"/>
        <v/>
      </c>
      <c r="AE842" s="34" t="str">
        <f t="shared" si="598"/>
        <v/>
      </c>
      <c r="AF842" s="32" t="str">
        <f t="shared" si="599"/>
        <v/>
      </c>
      <c r="AG842" s="32" t="str">
        <f t="shared" si="600"/>
        <v/>
      </c>
      <c r="AH842" s="32" t="str">
        <f t="shared" si="601"/>
        <v/>
      </c>
      <c r="AI842" s="35" t="str">
        <f t="shared" si="602"/>
        <v/>
      </c>
      <c r="AJ842" s="23" t="str">
        <f t="array" ref="AJ842">IFERROR(SMALL(IF(U$1:U$1000="BEGIN",ROW(U$1:U$1000)),ROW()-3),"")</f>
        <v/>
      </c>
      <c r="AK842" s="23" t="str">
        <f t="array" ref="AK842">IFERROR(SMALL(IF(V$1:V$1000="END",ROW(V$1:V$1000)),ROW()-3),"")</f>
        <v/>
      </c>
      <c r="AL842" s="24" t="str">
        <f t="array" ref="AL842">IF(AK842="","",MATCH(AM842,L:L,0))</f>
        <v/>
      </c>
      <c r="AM842" s="35">
        <f t="array" ref="AM842">MAX(IF((B$4:B$1000&lt;=AK842)*(B$4:B$1000&gt;=AJ842),L$4:L$1000, ""))</f>
        <v>0</v>
      </c>
      <c r="AN842" s="32" t="str">
        <f t="shared" si="566"/>
        <v/>
      </c>
      <c r="AO842" s="32" t="str">
        <f t="shared" si="567"/>
        <v/>
      </c>
      <c r="AP842" s="32" t="str">
        <f t="shared" si="568"/>
        <v/>
      </c>
      <c r="AQ842" s="32" t="str">
        <f t="shared" si="569"/>
        <v/>
      </c>
      <c r="AR842" s="32" t="str">
        <f t="shared" si="570"/>
        <v/>
      </c>
      <c r="AS842" s="32" t="str">
        <f t="shared" si="571"/>
        <v/>
      </c>
      <c r="AT842" s="32" t="str">
        <f t="shared" si="572"/>
        <v/>
      </c>
      <c r="AU842" s="34" t="str">
        <f t="shared" si="573"/>
        <v/>
      </c>
      <c r="AV842" s="32" t="str">
        <f t="shared" si="574"/>
        <v/>
      </c>
      <c r="AW842" s="32" t="str">
        <f t="shared" si="575"/>
        <v/>
      </c>
      <c r="AX842" s="32" t="str">
        <f t="shared" si="576"/>
        <v/>
      </c>
      <c r="AY842" s="32" t="str">
        <f t="shared" si="577"/>
        <v/>
      </c>
    </row>
    <row r="843" spans="1:51" x14ac:dyDescent="0.25">
      <c r="A843" s="24" t="str">
        <f t="shared" si="578"/>
        <v/>
      </c>
      <c r="B843" s="24" t="str">
        <f t="shared" si="588"/>
        <v/>
      </c>
      <c r="C843" s="32" t="str">
        <f t="shared" si="579"/>
        <v/>
      </c>
      <c r="D843" s="24" t="str">
        <f t="shared" si="580"/>
        <v/>
      </c>
      <c r="E843" s="24" t="str">
        <f t="shared" si="581"/>
        <v/>
      </c>
      <c r="F843" s="32" t="str">
        <f t="shared" si="582"/>
        <v/>
      </c>
      <c r="G843" s="32" t="str">
        <f t="shared" si="583"/>
        <v/>
      </c>
      <c r="H843" s="32" t="str">
        <f t="shared" ca="1" si="584"/>
        <v/>
      </c>
      <c r="I843" s="32" t="str">
        <f t="shared" ca="1" si="589"/>
        <v/>
      </c>
      <c r="J843" s="32" t="str">
        <f t="shared" si="585"/>
        <v/>
      </c>
      <c r="K843" s="32" t="str">
        <f>IF(ISNUMBER(A843),Profile!$V$25+Profile!$V$24*'Ri-Po'!C843,"")</f>
        <v/>
      </c>
      <c r="L843" s="32" t="str">
        <f t="shared" si="590"/>
        <v/>
      </c>
      <c r="M843" s="32" t="str">
        <f t="shared" si="586"/>
        <v/>
      </c>
      <c r="N843" s="32" t="str">
        <f t="shared" si="587"/>
        <v/>
      </c>
      <c r="O843" s="32" t="str">
        <f t="shared" si="603"/>
        <v/>
      </c>
      <c r="P843" s="32" t="str">
        <f t="shared" si="591"/>
        <v/>
      </c>
      <c r="Q843" s="32" t="str">
        <f t="shared" si="592"/>
        <v/>
      </c>
      <c r="R843" s="32" t="str">
        <f t="shared" si="604"/>
        <v/>
      </c>
      <c r="S843" s="24" t="str">
        <f t="shared" si="605"/>
        <v/>
      </c>
      <c r="T843" s="24" t="str">
        <f t="shared" si="606"/>
        <v/>
      </c>
      <c r="U843" s="24" t="str">
        <f t="shared" si="607"/>
        <v/>
      </c>
      <c r="V843" s="24" t="str">
        <f t="shared" si="608"/>
        <v/>
      </c>
      <c r="W843" s="23" t="str">
        <f t="array" ref="W843">IFERROR(SMALL(IF(S$1:S$1000="BEGIN",ROW(S$1:S$1000)),ROW()-3),"")</f>
        <v/>
      </c>
      <c r="X843" s="23" t="str">
        <f t="array" ref="X843">IFERROR(SMALL(IF(T$1:T$1000="END",ROW(T$1:T$1000)),ROW()-3),"")</f>
        <v/>
      </c>
      <c r="Y843" s="33" t="str">
        <f t="array" ref="Y843">IF(ISNUMBER(W843),MAX(IF((B$4:B$1000&lt;=X843)*(B$4:B$1000&gt;=W843),I$4:I$1000, "")),"")</f>
        <v/>
      </c>
      <c r="Z843" s="33" t="str">
        <f t="shared" si="593"/>
        <v/>
      </c>
      <c r="AA843" s="32" t="str">
        <f t="shared" si="594"/>
        <v/>
      </c>
      <c r="AB843" s="32" t="str">
        <f t="shared" si="595"/>
        <v/>
      </c>
      <c r="AC843" s="32" t="str">
        <f t="shared" si="596"/>
        <v/>
      </c>
      <c r="AD843" s="32" t="str">
        <f t="shared" si="597"/>
        <v/>
      </c>
      <c r="AE843" s="34" t="str">
        <f t="shared" si="598"/>
        <v/>
      </c>
      <c r="AF843" s="32" t="str">
        <f t="shared" si="599"/>
        <v/>
      </c>
      <c r="AG843" s="32" t="str">
        <f t="shared" si="600"/>
        <v/>
      </c>
      <c r="AH843" s="32" t="str">
        <f t="shared" si="601"/>
        <v/>
      </c>
      <c r="AI843" s="35" t="str">
        <f t="shared" si="602"/>
        <v/>
      </c>
      <c r="AJ843" s="23" t="str">
        <f t="array" ref="AJ843">IFERROR(SMALL(IF(U$1:U$1000="BEGIN",ROW(U$1:U$1000)),ROW()-3),"")</f>
        <v/>
      </c>
      <c r="AK843" s="23" t="str">
        <f t="array" ref="AK843">IFERROR(SMALL(IF(V$1:V$1000="END",ROW(V$1:V$1000)),ROW()-3),"")</f>
        <v/>
      </c>
      <c r="AL843" s="24" t="str">
        <f t="array" ref="AL843">IF(AK843="","",MATCH(AM843,L:L,0))</f>
        <v/>
      </c>
      <c r="AM843" s="35">
        <f t="array" ref="AM843">MAX(IF((B$4:B$1000&lt;=AK843)*(B$4:B$1000&gt;=AJ843),L$4:L$1000, ""))</f>
        <v>0</v>
      </c>
      <c r="AN843" s="32" t="str">
        <f t="shared" si="566"/>
        <v/>
      </c>
      <c r="AO843" s="32" t="str">
        <f t="shared" si="567"/>
        <v/>
      </c>
      <c r="AP843" s="32" t="str">
        <f t="shared" si="568"/>
        <v/>
      </c>
      <c r="AQ843" s="32" t="str">
        <f t="shared" si="569"/>
        <v/>
      </c>
      <c r="AR843" s="32" t="str">
        <f t="shared" si="570"/>
        <v/>
      </c>
      <c r="AS843" s="32" t="str">
        <f t="shared" si="571"/>
        <v/>
      </c>
      <c r="AT843" s="32" t="str">
        <f t="shared" si="572"/>
        <v/>
      </c>
      <c r="AU843" s="34" t="str">
        <f t="shared" si="573"/>
        <v/>
      </c>
      <c r="AV843" s="32" t="str">
        <f t="shared" si="574"/>
        <v/>
      </c>
      <c r="AW843" s="32" t="str">
        <f t="shared" si="575"/>
        <v/>
      </c>
      <c r="AX843" s="32" t="str">
        <f t="shared" si="576"/>
        <v/>
      </c>
      <c r="AY843" s="32" t="str">
        <f t="shared" si="577"/>
        <v/>
      </c>
    </row>
    <row r="844" spans="1:51" x14ac:dyDescent="0.25">
      <c r="A844" s="24" t="str">
        <f t="shared" si="578"/>
        <v/>
      </c>
      <c r="B844" s="24" t="str">
        <f t="shared" si="588"/>
        <v/>
      </c>
      <c r="C844" s="32" t="str">
        <f t="shared" si="579"/>
        <v/>
      </c>
      <c r="D844" s="24" t="str">
        <f t="shared" si="580"/>
        <v/>
      </c>
      <c r="E844" s="24" t="str">
        <f t="shared" si="581"/>
        <v/>
      </c>
      <c r="F844" s="32" t="str">
        <f t="shared" si="582"/>
        <v/>
      </c>
      <c r="G844" s="32" t="str">
        <f t="shared" si="583"/>
        <v/>
      </c>
      <c r="H844" s="32" t="str">
        <f t="shared" ca="1" si="584"/>
        <v/>
      </c>
      <c r="I844" s="32" t="str">
        <f t="shared" ca="1" si="589"/>
        <v/>
      </c>
      <c r="J844" s="32" t="str">
        <f t="shared" si="585"/>
        <v/>
      </c>
      <c r="K844" s="32" t="str">
        <f>IF(ISNUMBER(A844),Profile!$V$25+Profile!$V$24*'Ri-Po'!C844,"")</f>
        <v/>
      </c>
      <c r="L844" s="32" t="str">
        <f t="shared" si="590"/>
        <v/>
      </c>
      <c r="M844" s="32" t="str">
        <f t="shared" si="586"/>
        <v/>
      </c>
      <c r="N844" s="32" t="str">
        <f t="shared" si="587"/>
        <v/>
      </c>
      <c r="O844" s="32" t="str">
        <f t="shared" si="603"/>
        <v/>
      </c>
      <c r="P844" s="32" t="str">
        <f t="shared" si="591"/>
        <v/>
      </c>
      <c r="Q844" s="32" t="str">
        <f t="shared" si="592"/>
        <v/>
      </c>
      <c r="R844" s="32" t="str">
        <f t="shared" si="604"/>
        <v/>
      </c>
      <c r="S844" s="24" t="str">
        <f t="shared" si="605"/>
        <v/>
      </c>
      <c r="T844" s="24" t="str">
        <f t="shared" si="606"/>
        <v/>
      </c>
      <c r="U844" s="24" t="str">
        <f t="shared" si="607"/>
        <v/>
      </c>
      <c r="V844" s="24" t="str">
        <f t="shared" si="608"/>
        <v/>
      </c>
      <c r="W844" s="23" t="str">
        <f t="array" ref="W844">IFERROR(SMALL(IF(S$1:S$1000="BEGIN",ROW(S$1:S$1000)),ROW()-3),"")</f>
        <v/>
      </c>
      <c r="X844" s="23" t="str">
        <f t="array" ref="X844">IFERROR(SMALL(IF(T$1:T$1000="END",ROW(T$1:T$1000)),ROW()-3),"")</f>
        <v/>
      </c>
      <c r="Y844" s="33" t="str">
        <f t="array" ref="Y844">IF(ISNUMBER(W844),MAX(IF((B$4:B$1000&lt;=X844)*(B$4:B$1000&gt;=W844),I$4:I$1000, "")),"")</f>
        <v/>
      </c>
      <c r="Z844" s="33" t="str">
        <f t="shared" si="593"/>
        <v/>
      </c>
      <c r="AA844" s="32" t="str">
        <f t="shared" si="594"/>
        <v/>
      </c>
      <c r="AB844" s="32" t="str">
        <f t="shared" si="595"/>
        <v/>
      </c>
      <c r="AC844" s="32" t="str">
        <f t="shared" si="596"/>
        <v/>
      </c>
      <c r="AD844" s="32" t="str">
        <f t="shared" si="597"/>
        <v/>
      </c>
      <c r="AE844" s="34" t="str">
        <f t="shared" si="598"/>
        <v/>
      </c>
      <c r="AF844" s="32" t="str">
        <f t="shared" si="599"/>
        <v/>
      </c>
      <c r="AG844" s="32" t="str">
        <f t="shared" si="600"/>
        <v/>
      </c>
      <c r="AH844" s="32" t="str">
        <f t="shared" si="601"/>
        <v/>
      </c>
      <c r="AI844" s="35" t="str">
        <f t="shared" si="602"/>
        <v/>
      </c>
      <c r="AJ844" s="23" t="str">
        <f t="array" ref="AJ844">IFERROR(SMALL(IF(U$1:U$1000="BEGIN",ROW(U$1:U$1000)),ROW()-3),"")</f>
        <v/>
      </c>
      <c r="AK844" s="23" t="str">
        <f t="array" ref="AK844">IFERROR(SMALL(IF(V$1:V$1000="END",ROW(V$1:V$1000)),ROW()-3),"")</f>
        <v/>
      </c>
      <c r="AL844" s="24" t="str">
        <f t="array" ref="AL844">IF(AK844="","",MATCH(AM844,L:L,0))</f>
        <v/>
      </c>
      <c r="AM844" s="35">
        <f t="array" ref="AM844">MAX(IF((B$4:B$1000&lt;=AK844)*(B$4:B$1000&gt;=AJ844),L$4:L$1000, ""))</f>
        <v>0</v>
      </c>
      <c r="AN844" s="32" t="str">
        <f t="shared" si="566"/>
        <v/>
      </c>
      <c r="AO844" s="32" t="str">
        <f t="shared" si="567"/>
        <v/>
      </c>
      <c r="AP844" s="32" t="str">
        <f t="shared" si="568"/>
        <v/>
      </c>
      <c r="AQ844" s="32" t="str">
        <f t="shared" si="569"/>
        <v/>
      </c>
      <c r="AR844" s="32" t="str">
        <f t="shared" si="570"/>
        <v/>
      </c>
      <c r="AS844" s="32" t="str">
        <f t="shared" si="571"/>
        <v/>
      </c>
      <c r="AT844" s="32" t="str">
        <f t="shared" si="572"/>
        <v/>
      </c>
      <c r="AU844" s="34" t="str">
        <f t="shared" si="573"/>
        <v/>
      </c>
      <c r="AV844" s="32" t="str">
        <f t="shared" si="574"/>
        <v/>
      </c>
      <c r="AW844" s="32" t="str">
        <f t="shared" si="575"/>
        <v/>
      </c>
      <c r="AX844" s="32" t="str">
        <f t="shared" si="576"/>
        <v/>
      </c>
      <c r="AY844" s="32" t="str">
        <f t="shared" si="577"/>
        <v/>
      </c>
    </row>
    <row r="845" spans="1:51" x14ac:dyDescent="0.25">
      <c r="A845" s="24" t="str">
        <f t="shared" si="578"/>
        <v/>
      </c>
      <c r="B845" s="24" t="str">
        <f t="shared" si="588"/>
        <v/>
      </c>
      <c r="C845" s="32" t="str">
        <f t="shared" si="579"/>
        <v/>
      </c>
      <c r="D845" s="24" t="str">
        <f t="shared" si="580"/>
        <v/>
      </c>
      <c r="E845" s="24" t="str">
        <f t="shared" si="581"/>
        <v/>
      </c>
      <c r="F845" s="32" t="str">
        <f t="shared" si="582"/>
        <v/>
      </c>
      <c r="G845" s="32" t="str">
        <f t="shared" si="583"/>
        <v/>
      </c>
      <c r="H845" s="32" t="str">
        <f t="shared" ca="1" si="584"/>
        <v/>
      </c>
      <c r="I845" s="32" t="str">
        <f t="shared" ca="1" si="589"/>
        <v/>
      </c>
      <c r="J845" s="32" t="str">
        <f t="shared" si="585"/>
        <v/>
      </c>
      <c r="K845" s="32" t="str">
        <f>IF(ISNUMBER(A845),Profile!$V$25+Profile!$V$24*'Ri-Po'!C845,"")</f>
        <v/>
      </c>
      <c r="L845" s="32" t="str">
        <f t="shared" si="590"/>
        <v/>
      </c>
      <c r="M845" s="32" t="str">
        <f t="shared" si="586"/>
        <v/>
      </c>
      <c r="N845" s="32" t="str">
        <f t="shared" si="587"/>
        <v/>
      </c>
      <c r="O845" s="32" t="str">
        <f t="shared" si="603"/>
        <v/>
      </c>
      <c r="P845" s="32" t="str">
        <f t="shared" si="591"/>
        <v/>
      </c>
      <c r="Q845" s="32" t="str">
        <f t="shared" si="592"/>
        <v/>
      </c>
      <c r="R845" s="32" t="str">
        <f t="shared" si="604"/>
        <v/>
      </c>
      <c r="S845" s="24" t="str">
        <f t="shared" si="605"/>
        <v/>
      </c>
      <c r="T845" s="24" t="str">
        <f t="shared" si="606"/>
        <v/>
      </c>
      <c r="U845" s="24" t="str">
        <f t="shared" si="607"/>
        <v/>
      </c>
      <c r="V845" s="24" t="str">
        <f t="shared" si="608"/>
        <v/>
      </c>
      <c r="W845" s="23" t="str">
        <f t="array" ref="W845">IFERROR(SMALL(IF(S$1:S$1000="BEGIN",ROW(S$1:S$1000)),ROW()-3),"")</f>
        <v/>
      </c>
      <c r="X845" s="23" t="str">
        <f t="array" ref="X845">IFERROR(SMALL(IF(T$1:T$1000="END",ROW(T$1:T$1000)),ROW()-3),"")</f>
        <v/>
      </c>
      <c r="Y845" s="33" t="str">
        <f t="array" ref="Y845">IF(ISNUMBER(W845),MAX(IF((B$4:B$1000&lt;=X845)*(B$4:B$1000&gt;=W845),I$4:I$1000, "")),"")</f>
        <v/>
      </c>
      <c r="Z845" s="33" t="str">
        <f t="shared" si="593"/>
        <v/>
      </c>
      <c r="AA845" s="32" t="str">
        <f t="shared" si="594"/>
        <v/>
      </c>
      <c r="AB845" s="32" t="str">
        <f t="shared" si="595"/>
        <v/>
      </c>
      <c r="AC845" s="32" t="str">
        <f t="shared" si="596"/>
        <v/>
      </c>
      <c r="AD845" s="32" t="str">
        <f t="shared" si="597"/>
        <v/>
      </c>
      <c r="AE845" s="34" t="str">
        <f t="shared" si="598"/>
        <v/>
      </c>
      <c r="AF845" s="32" t="str">
        <f t="shared" si="599"/>
        <v/>
      </c>
      <c r="AG845" s="32" t="str">
        <f t="shared" si="600"/>
        <v/>
      </c>
      <c r="AH845" s="32" t="str">
        <f t="shared" si="601"/>
        <v/>
      </c>
      <c r="AI845" s="35" t="str">
        <f t="shared" si="602"/>
        <v/>
      </c>
      <c r="AJ845" s="23" t="str">
        <f t="array" ref="AJ845">IFERROR(SMALL(IF(U$1:U$1000="BEGIN",ROW(U$1:U$1000)),ROW()-3),"")</f>
        <v/>
      </c>
      <c r="AK845" s="23" t="str">
        <f t="array" ref="AK845">IFERROR(SMALL(IF(V$1:V$1000="END",ROW(V$1:V$1000)),ROW()-3),"")</f>
        <v/>
      </c>
      <c r="AL845" s="24" t="str">
        <f t="array" ref="AL845">IF(AK845="","",MATCH(AM845,L:L,0))</f>
        <v/>
      </c>
      <c r="AM845" s="35">
        <f t="array" ref="AM845">MAX(IF((B$4:B$1000&lt;=AK845)*(B$4:B$1000&gt;=AJ845),L$4:L$1000, ""))</f>
        <v>0</v>
      </c>
      <c r="AN845" s="32" t="str">
        <f t="shared" si="566"/>
        <v/>
      </c>
      <c r="AO845" s="32" t="str">
        <f t="shared" si="567"/>
        <v/>
      </c>
      <c r="AP845" s="32" t="str">
        <f t="shared" si="568"/>
        <v/>
      </c>
      <c r="AQ845" s="32" t="str">
        <f t="shared" si="569"/>
        <v/>
      </c>
      <c r="AR845" s="32" t="str">
        <f t="shared" si="570"/>
        <v/>
      </c>
      <c r="AS845" s="32" t="str">
        <f t="shared" si="571"/>
        <v/>
      </c>
      <c r="AT845" s="32" t="str">
        <f t="shared" si="572"/>
        <v/>
      </c>
      <c r="AU845" s="34" t="str">
        <f t="shared" si="573"/>
        <v/>
      </c>
      <c r="AV845" s="32" t="str">
        <f t="shared" si="574"/>
        <v/>
      </c>
      <c r="AW845" s="32" t="str">
        <f t="shared" si="575"/>
        <v/>
      </c>
      <c r="AX845" s="32" t="str">
        <f t="shared" si="576"/>
        <v/>
      </c>
      <c r="AY845" s="32" t="str">
        <f t="shared" si="577"/>
        <v/>
      </c>
    </row>
    <row r="846" spans="1:51" x14ac:dyDescent="0.25">
      <c r="A846" s="24" t="str">
        <f t="shared" si="578"/>
        <v/>
      </c>
      <c r="B846" s="24" t="str">
        <f t="shared" si="588"/>
        <v/>
      </c>
      <c r="C846" s="32" t="str">
        <f t="shared" si="579"/>
        <v/>
      </c>
      <c r="D846" s="24" t="str">
        <f t="shared" si="580"/>
        <v/>
      </c>
      <c r="E846" s="24" t="str">
        <f t="shared" si="581"/>
        <v/>
      </c>
      <c r="F846" s="32" t="str">
        <f t="shared" si="582"/>
        <v/>
      </c>
      <c r="G846" s="32" t="str">
        <f t="shared" si="583"/>
        <v/>
      </c>
      <c r="H846" s="32" t="str">
        <f t="shared" ca="1" si="584"/>
        <v/>
      </c>
      <c r="I846" s="32" t="str">
        <f t="shared" ca="1" si="589"/>
        <v/>
      </c>
      <c r="J846" s="32" t="str">
        <f t="shared" si="585"/>
        <v/>
      </c>
      <c r="K846" s="32" t="str">
        <f>IF(ISNUMBER(A846),Profile!$V$25+Profile!$V$24*'Ri-Po'!C846,"")</f>
        <v/>
      </c>
      <c r="L846" s="32" t="str">
        <f t="shared" si="590"/>
        <v/>
      </c>
      <c r="M846" s="32" t="str">
        <f t="shared" si="586"/>
        <v/>
      </c>
      <c r="N846" s="32" t="str">
        <f t="shared" si="587"/>
        <v/>
      </c>
      <c r="O846" s="32" t="str">
        <f t="shared" si="603"/>
        <v/>
      </c>
      <c r="P846" s="32" t="str">
        <f t="shared" si="591"/>
        <v/>
      </c>
      <c r="Q846" s="32" t="str">
        <f t="shared" si="592"/>
        <v/>
      </c>
      <c r="R846" s="32" t="str">
        <f t="shared" si="604"/>
        <v/>
      </c>
      <c r="S846" s="24" t="str">
        <f t="shared" si="605"/>
        <v/>
      </c>
      <c r="T846" s="24" t="str">
        <f t="shared" si="606"/>
        <v/>
      </c>
      <c r="U846" s="24" t="str">
        <f t="shared" si="607"/>
        <v/>
      </c>
      <c r="V846" s="24" t="str">
        <f t="shared" si="608"/>
        <v/>
      </c>
      <c r="W846" s="23" t="str">
        <f t="array" ref="W846">IFERROR(SMALL(IF(S$1:S$1000="BEGIN",ROW(S$1:S$1000)),ROW()-3),"")</f>
        <v/>
      </c>
      <c r="X846" s="23" t="str">
        <f t="array" ref="X846">IFERROR(SMALL(IF(T$1:T$1000="END",ROW(T$1:T$1000)),ROW()-3),"")</f>
        <v/>
      </c>
      <c r="Y846" s="33" t="str">
        <f t="array" ref="Y846">IF(ISNUMBER(W846),MAX(IF((B$4:B$1000&lt;=X846)*(B$4:B$1000&gt;=W846),I$4:I$1000, "")),"")</f>
        <v/>
      </c>
      <c r="Z846" s="33" t="str">
        <f t="shared" si="593"/>
        <v/>
      </c>
      <c r="AA846" s="32" t="str">
        <f t="shared" si="594"/>
        <v/>
      </c>
      <c r="AB846" s="32" t="str">
        <f t="shared" si="595"/>
        <v/>
      </c>
      <c r="AC846" s="32" t="str">
        <f t="shared" si="596"/>
        <v/>
      </c>
      <c r="AD846" s="32" t="str">
        <f t="shared" si="597"/>
        <v/>
      </c>
      <c r="AE846" s="34" t="str">
        <f t="shared" si="598"/>
        <v/>
      </c>
      <c r="AF846" s="32" t="str">
        <f t="shared" si="599"/>
        <v/>
      </c>
      <c r="AG846" s="32" t="str">
        <f t="shared" si="600"/>
        <v/>
      </c>
      <c r="AH846" s="32" t="str">
        <f t="shared" si="601"/>
        <v/>
      </c>
      <c r="AI846" s="35" t="str">
        <f t="shared" si="602"/>
        <v/>
      </c>
      <c r="AJ846" s="23" t="str">
        <f t="array" ref="AJ846">IFERROR(SMALL(IF(U$1:U$1000="BEGIN",ROW(U$1:U$1000)),ROW()-3),"")</f>
        <v/>
      </c>
      <c r="AK846" s="23" t="str">
        <f t="array" ref="AK846">IFERROR(SMALL(IF(V$1:V$1000="END",ROW(V$1:V$1000)),ROW()-3),"")</f>
        <v/>
      </c>
      <c r="AL846" s="24" t="str">
        <f t="array" ref="AL846">IF(AK846="","",MATCH(AM846,L:L,0))</f>
        <v/>
      </c>
      <c r="AM846" s="35">
        <f t="array" ref="AM846">MAX(IF((B$4:B$1000&lt;=AK846)*(B$4:B$1000&gt;=AJ846),L$4:L$1000, ""))</f>
        <v>0</v>
      </c>
      <c r="AN846" s="32" t="str">
        <f t="shared" si="566"/>
        <v/>
      </c>
      <c r="AO846" s="32" t="str">
        <f t="shared" si="567"/>
        <v/>
      </c>
      <c r="AP846" s="32" t="str">
        <f t="shared" si="568"/>
        <v/>
      </c>
      <c r="AQ846" s="32" t="str">
        <f t="shared" si="569"/>
        <v/>
      </c>
      <c r="AR846" s="32" t="str">
        <f t="shared" si="570"/>
        <v/>
      </c>
      <c r="AS846" s="32" t="str">
        <f t="shared" si="571"/>
        <v/>
      </c>
      <c r="AT846" s="32" t="str">
        <f t="shared" si="572"/>
        <v/>
      </c>
      <c r="AU846" s="34" t="str">
        <f t="shared" si="573"/>
        <v/>
      </c>
      <c r="AV846" s="32" t="str">
        <f t="shared" si="574"/>
        <v/>
      </c>
      <c r="AW846" s="32" t="str">
        <f t="shared" si="575"/>
        <v/>
      </c>
      <c r="AX846" s="32" t="str">
        <f t="shared" si="576"/>
        <v/>
      </c>
      <c r="AY846" s="32" t="str">
        <f t="shared" si="577"/>
        <v/>
      </c>
    </row>
    <row r="847" spans="1:51" x14ac:dyDescent="0.25">
      <c r="A847" s="24" t="str">
        <f t="shared" si="578"/>
        <v/>
      </c>
      <c r="B847" s="24" t="str">
        <f t="shared" si="588"/>
        <v/>
      </c>
      <c r="C847" s="32" t="str">
        <f t="shared" si="579"/>
        <v/>
      </c>
      <c r="D847" s="24" t="str">
        <f t="shared" si="580"/>
        <v/>
      </c>
      <c r="E847" s="24" t="str">
        <f t="shared" si="581"/>
        <v/>
      </c>
      <c r="F847" s="32" t="str">
        <f t="shared" si="582"/>
        <v/>
      </c>
      <c r="G847" s="32" t="str">
        <f t="shared" si="583"/>
        <v/>
      </c>
      <c r="H847" s="32" t="str">
        <f t="shared" ca="1" si="584"/>
        <v/>
      </c>
      <c r="I847" s="32" t="str">
        <f t="shared" ca="1" si="589"/>
        <v/>
      </c>
      <c r="J847" s="32" t="str">
        <f t="shared" si="585"/>
        <v/>
      </c>
      <c r="K847" s="32" t="str">
        <f>IF(ISNUMBER(A847),Profile!$V$25+Profile!$V$24*'Ri-Po'!C847,"")</f>
        <v/>
      </c>
      <c r="L847" s="32" t="str">
        <f t="shared" si="590"/>
        <v/>
      </c>
      <c r="M847" s="32" t="str">
        <f t="shared" si="586"/>
        <v/>
      </c>
      <c r="N847" s="32" t="str">
        <f t="shared" si="587"/>
        <v/>
      </c>
      <c r="O847" s="32" t="str">
        <f t="shared" si="603"/>
        <v/>
      </c>
      <c r="P847" s="32" t="str">
        <f t="shared" si="591"/>
        <v/>
      </c>
      <c r="Q847" s="32" t="str">
        <f t="shared" si="592"/>
        <v/>
      </c>
      <c r="R847" s="32" t="str">
        <f t="shared" si="604"/>
        <v/>
      </c>
      <c r="S847" s="24" t="str">
        <f t="shared" si="605"/>
        <v/>
      </c>
      <c r="T847" s="24" t="str">
        <f t="shared" si="606"/>
        <v/>
      </c>
      <c r="U847" s="24" t="str">
        <f t="shared" si="607"/>
        <v/>
      </c>
      <c r="V847" s="24" t="str">
        <f t="shared" si="608"/>
        <v/>
      </c>
      <c r="W847" s="23" t="str">
        <f t="array" ref="W847">IFERROR(SMALL(IF(S$1:S$1000="BEGIN",ROW(S$1:S$1000)),ROW()-3),"")</f>
        <v/>
      </c>
      <c r="X847" s="23" t="str">
        <f t="array" ref="X847">IFERROR(SMALL(IF(T$1:T$1000="END",ROW(T$1:T$1000)),ROW()-3),"")</f>
        <v/>
      </c>
      <c r="Y847" s="33" t="str">
        <f t="array" ref="Y847">IF(ISNUMBER(W847),MAX(IF((B$4:B$1000&lt;=X847)*(B$4:B$1000&gt;=W847),I$4:I$1000, "")),"")</f>
        <v/>
      </c>
      <c r="Z847" s="33" t="str">
        <f t="shared" si="593"/>
        <v/>
      </c>
      <c r="AA847" s="32" t="str">
        <f t="shared" si="594"/>
        <v/>
      </c>
      <c r="AB847" s="32" t="str">
        <f t="shared" si="595"/>
        <v/>
      </c>
      <c r="AC847" s="32" t="str">
        <f t="shared" si="596"/>
        <v/>
      </c>
      <c r="AD847" s="32" t="str">
        <f t="shared" si="597"/>
        <v/>
      </c>
      <c r="AE847" s="34" t="str">
        <f t="shared" si="598"/>
        <v/>
      </c>
      <c r="AF847" s="32" t="str">
        <f t="shared" si="599"/>
        <v/>
      </c>
      <c r="AG847" s="32" t="str">
        <f t="shared" si="600"/>
        <v/>
      </c>
      <c r="AH847" s="32" t="str">
        <f t="shared" si="601"/>
        <v/>
      </c>
      <c r="AI847" s="35" t="str">
        <f t="shared" si="602"/>
        <v/>
      </c>
      <c r="AJ847" s="23" t="str">
        <f t="array" ref="AJ847">IFERROR(SMALL(IF(U$1:U$1000="BEGIN",ROW(U$1:U$1000)),ROW()-3),"")</f>
        <v/>
      </c>
      <c r="AK847" s="23" t="str">
        <f t="array" ref="AK847">IFERROR(SMALL(IF(V$1:V$1000="END",ROW(V$1:V$1000)),ROW()-3),"")</f>
        <v/>
      </c>
      <c r="AL847" s="24" t="str">
        <f t="array" ref="AL847">IF(AK847="","",MATCH(AM847,L:L,0))</f>
        <v/>
      </c>
      <c r="AM847" s="35">
        <f t="array" ref="AM847">MAX(IF((B$4:B$1000&lt;=AK847)*(B$4:B$1000&gt;=AJ847),L$4:L$1000, ""))</f>
        <v>0</v>
      </c>
      <c r="AN847" s="32" t="str">
        <f t="shared" si="566"/>
        <v/>
      </c>
      <c r="AO847" s="32" t="str">
        <f t="shared" si="567"/>
        <v/>
      </c>
      <c r="AP847" s="32" t="str">
        <f t="shared" si="568"/>
        <v/>
      </c>
      <c r="AQ847" s="32" t="str">
        <f t="shared" si="569"/>
        <v/>
      </c>
      <c r="AR847" s="32" t="str">
        <f t="shared" si="570"/>
        <v/>
      </c>
      <c r="AS847" s="32" t="str">
        <f t="shared" si="571"/>
        <v/>
      </c>
      <c r="AT847" s="32" t="str">
        <f t="shared" si="572"/>
        <v/>
      </c>
      <c r="AU847" s="34" t="str">
        <f t="shared" si="573"/>
        <v/>
      </c>
      <c r="AV847" s="32" t="str">
        <f t="shared" si="574"/>
        <v/>
      </c>
      <c r="AW847" s="32" t="str">
        <f t="shared" si="575"/>
        <v/>
      </c>
      <c r="AX847" s="32" t="str">
        <f t="shared" si="576"/>
        <v/>
      </c>
      <c r="AY847" s="32" t="str">
        <f t="shared" si="577"/>
        <v/>
      </c>
    </row>
    <row r="848" spans="1:51" x14ac:dyDescent="0.25">
      <c r="A848" s="24" t="str">
        <f t="shared" si="578"/>
        <v/>
      </c>
      <c r="B848" s="24" t="str">
        <f t="shared" si="588"/>
        <v/>
      </c>
      <c r="C848" s="32" t="str">
        <f t="shared" si="579"/>
        <v/>
      </c>
      <c r="D848" s="24" t="str">
        <f t="shared" si="580"/>
        <v/>
      </c>
      <c r="E848" s="24" t="str">
        <f t="shared" si="581"/>
        <v/>
      </c>
      <c r="F848" s="32" t="str">
        <f t="shared" si="582"/>
        <v/>
      </c>
      <c r="G848" s="32" t="str">
        <f t="shared" si="583"/>
        <v/>
      </c>
      <c r="H848" s="32" t="str">
        <f t="shared" ca="1" si="584"/>
        <v/>
      </c>
      <c r="I848" s="32" t="str">
        <f t="shared" ca="1" si="589"/>
        <v/>
      </c>
      <c r="J848" s="32" t="str">
        <f t="shared" si="585"/>
        <v/>
      </c>
      <c r="K848" s="32" t="str">
        <f>IF(ISNUMBER(A848),Profile!$V$25+Profile!$V$24*'Ri-Po'!C848,"")</f>
        <v/>
      </c>
      <c r="L848" s="32" t="str">
        <f t="shared" si="590"/>
        <v/>
      </c>
      <c r="M848" s="32" t="str">
        <f t="shared" si="586"/>
        <v/>
      </c>
      <c r="N848" s="32" t="str">
        <f t="shared" si="587"/>
        <v/>
      </c>
      <c r="O848" s="32" t="str">
        <f t="shared" si="603"/>
        <v/>
      </c>
      <c r="P848" s="32" t="str">
        <f t="shared" si="591"/>
        <v/>
      </c>
      <c r="Q848" s="32" t="str">
        <f t="shared" si="592"/>
        <v/>
      </c>
      <c r="R848" s="32" t="str">
        <f t="shared" si="604"/>
        <v/>
      </c>
      <c r="S848" s="24" t="str">
        <f t="shared" si="605"/>
        <v/>
      </c>
      <c r="T848" s="24" t="str">
        <f t="shared" si="606"/>
        <v/>
      </c>
      <c r="U848" s="24" t="str">
        <f t="shared" si="607"/>
        <v/>
      </c>
      <c r="V848" s="24" t="str">
        <f t="shared" si="608"/>
        <v/>
      </c>
      <c r="W848" s="23" t="str">
        <f t="array" ref="W848">IFERROR(SMALL(IF(S$1:S$1000="BEGIN",ROW(S$1:S$1000)),ROW()-3),"")</f>
        <v/>
      </c>
      <c r="X848" s="23" t="str">
        <f t="array" ref="X848">IFERROR(SMALL(IF(T$1:T$1000="END",ROW(T$1:T$1000)),ROW()-3),"")</f>
        <v/>
      </c>
      <c r="Y848" s="33" t="str">
        <f t="array" ref="Y848">IF(ISNUMBER(W848),MAX(IF((B$4:B$1000&lt;=X848)*(B$4:B$1000&gt;=W848),I$4:I$1000, "")),"")</f>
        <v/>
      </c>
      <c r="Z848" s="33" t="str">
        <f t="shared" si="593"/>
        <v/>
      </c>
      <c r="AA848" s="32" t="str">
        <f t="shared" si="594"/>
        <v/>
      </c>
      <c r="AB848" s="32" t="str">
        <f t="shared" si="595"/>
        <v/>
      </c>
      <c r="AC848" s="32" t="str">
        <f t="shared" si="596"/>
        <v/>
      </c>
      <c r="AD848" s="32" t="str">
        <f t="shared" si="597"/>
        <v/>
      </c>
      <c r="AE848" s="34" t="str">
        <f t="shared" si="598"/>
        <v/>
      </c>
      <c r="AF848" s="32" t="str">
        <f t="shared" si="599"/>
        <v/>
      </c>
      <c r="AG848" s="32" t="str">
        <f t="shared" si="600"/>
        <v/>
      </c>
      <c r="AH848" s="32" t="str">
        <f t="shared" si="601"/>
        <v/>
      </c>
      <c r="AI848" s="35" t="str">
        <f t="shared" si="602"/>
        <v/>
      </c>
      <c r="AJ848" s="23" t="str">
        <f t="array" ref="AJ848">IFERROR(SMALL(IF(U$1:U$1000="BEGIN",ROW(U$1:U$1000)),ROW()-3),"")</f>
        <v/>
      </c>
      <c r="AK848" s="23" t="str">
        <f t="array" ref="AK848">IFERROR(SMALL(IF(V$1:V$1000="END",ROW(V$1:V$1000)),ROW()-3),"")</f>
        <v/>
      </c>
      <c r="AL848" s="24" t="str">
        <f t="array" ref="AL848">IF(AK848="","",MATCH(AM848,L:L,0))</f>
        <v/>
      </c>
      <c r="AM848" s="35">
        <f t="array" ref="AM848">MAX(IF((B$4:B$1000&lt;=AK848)*(B$4:B$1000&gt;=AJ848),L$4:L$1000, ""))</f>
        <v>0</v>
      </c>
      <c r="AN848" s="32" t="str">
        <f t="shared" si="566"/>
        <v/>
      </c>
      <c r="AO848" s="32" t="str">
        <f t="shared" si="567"/>
        <v/>
      </c>
      <c r="AP848" s="32" t="str">
        <f t="shared" si="568"/>
        <v/>
      </c>
      <c r="AQ848" s="32" t="str">
        <f t="shared" si="569"/>
        <v/>
      </c>
      <c r="AR848" s="32" t="str">
        <f t="shared" si="570"/>
        <v/>
      </c>
      <c r="AS848" s="32" t="str">
        <f t="shared" si="571"/>
        <v/>
      </c>
      <c r="AT848" s="32" t="str">
        <f t="shared" si="572"/>
        <v/>
      </c>
      <c r="AU848" s="34" t="str">
        <f t="shared" si="573"/>
        <v/>
      </c>
      <c r="AV848" s="32" t="str">
        <f t="shared" si="574"/>
        <v/>
      </c>
      <c r="AW848" s="32" t="str">
        <f t="shared" si="575"/>
        <v/>
      </c>
      <c r="AX848" s="32" t="str">
        <f t="shared" si="576"/>
        <v/>
      </c>
      <c r="AY848" s="32" t="str">
        <f t="shared" si="577"/>
        <v/>
      </c>
    </row>
    <row r="849" spans="1:51" x14ac:dyDescent="0.25">
      <c r="A849" s="24" t="str">
        <f t="shared" si="578"/>
        <v/>
      </c>
      <c r="B849" s="24" t="str">
        <f t="shared" si="588"/>
        <v/>
      </c>
      <c r="C849" s="32" t="str">
        <f t="shared" si="579"/>
        <v/>
      </c>
      <c r="D849" s="24" t="str">
        <f t="shared" si="580"/>
        <v/>
      </c>
      <c r="E849" s="24" t="str">
        <f t="shared" si="581"/>
        <v/>
      </c>
      <c r="F849" s="32" t="str">
        <f t="shared" si="582"/>
        <v/>
      </c>
      <c r="G849" s="32" t="str">
        <f t="shared" si="583"/>
        <v/>
      </c>
      <c r="H849" s="32" t="str">
        <f t="shared" ca="1" si="584"/>
        <v/>
      </c>
      <c r="I849" s="32" t="str">
        <f t="shared" ca="1" si="589"/>
        <v/>
      </c>
      <c r="J849" s="32" t="str">
        <f t="shared" si="585"/>
        <v/>
      </c>
      <c r="K849" s="32" t="str">
        <f>IF(ISNUMBER(A849),Profile!$V$25+Profile!$V$24*'Ri-Po'!C849,"")</f>
        <v/>
      </c>
      <c r="L849" s="32" t="str">
        <f t="shared" si="590"/>
        <v/>
      </c>
      <c r="M849" s="32" t="str">
        <f t="shared" si="586"/>
        <v/>
      </c>
      <c r="N849" s="32" t="str">
        <f t="shared" si="587"/>
        <v/>
      </c>
      <c r="O849" s="32" t="str">
        <f t="shared" si="603"/>
        <v/>
      </c>
      <c r="P849" s="32" t="str">
        <f t="shared" si="591"/>
        <v/>
      </c>
      <c r="Q849" s="32" t="str">
        <f t="shared" si="592"/>
        <v/>
      </c>
      <c r="R849" s="32" t="str">
        <f t="shared" si="604"/>
        <v/>
      </c>
      <c r="S849" s="24" t="str">
        <f t="shared" si="605"/>
        <v/>
      </c>
      <c r="T849" s="24" t="str">
        <f t="shared" si="606"/>
        <v/>
      </c>
      <c r="U849" s="24" t="str">
        <f t="shared" si="607"/>
        <v/>
      </c>
      <c r="V849" s="24" t="str">
        <f t="shared" si="608"/>
        <v/>
      </c>
      <c r="W849" s="23" t="str">
        <f t="array" ref="W849">IFERROR(SMALL(IF(S$1:S$1000="BEGIN",ROW(S$1:S$1000)),ROW()-3),"")</f>
        <v/>
      </c>
      <c r="X849" s="23" t="str">
        <f t="array" ref="X849">IFERROR(SMALL(IF(T$1:T$1000="END",ROW(T$1:T$1000)),ROW()-3),"")</f>
        <v/>
      </c>
      <c r="Y849" s="33" t="str">
        <f t="array" ref="Y849">IF(ISNUMBER(W849),MAX(IF((B$4:B$1000&lt;=X849)*(B$4:B$1000&gt;=W849),I$4:I$1000, "")),"")</f>
        <v/>
      </c>
      <c r="Z849" s="33" t="str">
        <f t="shared" si="593"/>
        <v/>
      </c>
      <c r="AA849" s="32" t="str">
        <f t="shared" si="594"/>
        <v/>
      </c>
      <c r="AB849" s="32" t="str">
        <f t="shared" si="595"/>
        <v/>
      </c>
      <c r="AC849" s="32" t="str">
        <f t="shared" si="596"/>
        <v/>
      </c>
      <c r="AD849" s="32" t="str">
        <f t="shared" si="597"/>
        <v/>
      </c>
      <c r="AE849" s="34" t="str">
        <f t="shared" si="598"/>
        <v/>
      </c>
      <c r="AF849" s="32" t="str">
        <f t="shared" si="599"/>
        <v/>
      </c>
      <c r="AG849" s="32" t="str">
        <f t="shared" si="600"/>
        <v/>
      </c>
      <c r="AH849" s="32" t="str">
        <f t="shared" si="601"/>
        <v/>
      </c>
      <c r="AI849" s="35" t="str">
        <f t="shared" si="602"/>
        <v/>
      </c>
      <c r="AJ849" s="23" t="str">
        <f t="array" ref="AJ849">IFERROR(SMALL(IF(U$1:U$1000="BEGIN",ROW(U$1:U$1000)),ROW()-3),"")</f>
        <v/>
      </c>
      <c r="AK849" s="23" t="str">
        <f t="array" ref="AK849">IFERROR(SMALL(IF(V$1:V$1000="END",ROW(V$1:V$1000)),ROW()-3),"")</f>
        <v/>
      </c>
      <c r="AL849" s="24" t="str">
        <f t="array" ref="AL849">IF(AK849="","",MATCH(AM849,L:L,0))</f>
        <v/>
      </c>
      <c r="AM849" s="35">
        <f t="array" ref="AM849">MAX(IF((B$4:B$1000&lt;=AK849)*(B$4:B$1000&gt;=AJ849),L$4:L$1000, ""))</f>
        <v>0</v>
      </c>
      <c r="AN849" s="32" t="str">
        <f t="shared" si="566"/>
        <v/>
      </c>
      <c r="AO849" s="32" t="str">
        <f t="shared" si="567"/>
        <v/>
      </c>
      <c r="AP849" s="32" t="str">
        <f t="shared" si="568"/>
        <v/>
      </c>
      <c r="AQ849" s="32" t="str">
        <f t="shared" si="569"/>
        <v/>
      </c>
      <c r="AR849" s="32" t="str">
        <f t="shared" si="570"/>
        <v/>
      </c>
      <c r="AS849" s="32" t="str">
        <f t="shared" si="571"/>
        <v/>
      </c>
      <c r="AT849" s="32" t="str">
        <f t="shared" si="572"/>
        <v/>
      </c>
      <c r="AU849" s="34" t="str">
        <f t="shared" si="573"/>
        <v/>
      </c>
      <c r="AV849" s="32" t="str">
        <f t="shared" si="574"/>
        <v/>
      </c>
      <c r="AW849" s="32" t="str">
        <f t="shared" si="575"/>
        <v/>
      </c>
      <c r="AX849" s="32" t="str">
        <f t="shared" si="576"/>
        <v/>
      </c>
      <c r="AY849" s="32" t="str">
        <f t="shared" si="577"/>
        <v/>
      </c>
    </row>
    <row r="850" spans="1:51" x14ac:dyDescent="0.25">
      <c r="A850" s="24" t="str">
        <f t="shared" si="578"/>
        <v/>
      </c>
      <c r="B850" s="24" t="str">
        <f t="shared" si="588"/>
        <v/>
      </c>
      <c r="C850" s="32" t="str">
        <f t="shared" si="579"/>
        <v/>
      </c>
      <c r="D850" s="24" t="str">
        <f t="shared" si="580"/>
        <v/>
      </c>
      <c r="E850" s="24" t="str">
        <f t="shared" si="581"/>
        <v/>
      </c>
      <c r="F850" s="32" t="str">
        <f t="shared" si="582"/>
        <v/>
      </c>
      <c r="G850" s="32" t="str">
        <f t="shared" si="583"/>
        <v/>
      </c>
      <c r="H850" s="32" t="str">
        <f t="shared" ca="1" si="584"/>
        <v/>
      </c>
      <c r="I850" s="32" t="str">
        <f t="shared" ca="1" si="589"/>
        <v/>
      </c>
      <c r="J850" s="32" t="str">
        <f t="shared" si="585"/>
        <v/>
      </c>
      <c r="K850" s="32" t="str">
        <f>IF(ISNUMBER(A850),Profile!$V$25+Profile!$V$24*'Ri-Po'!C850,"")</f>
        <v/>
      </c>
      <c r="L850" s="32" t="str">
        <f t="shared" si="590"/>
        <v/>
      </c>
      <c r="M850" s="32" t="str">
        <f t="shared" si="586"/>
        <v/>
      </c>
      <c r="N850" s="32" t="str">
        <f t="shared" si="587"/>
        <v/>
      </c>
      <c r="O850" s="32" t="str">
        <f t="shared" si="603"/>
        <v/>
      </c>
      <c r="P850" s="32" t="str">
        <f t="shared" si="591"/>
        <v/>
      </c>
      <c r="Q850" s="32" t="str">
        <f t="shared" si="592"/>
        <v/>
      </c>
      <c r="R850" s="32" t="str">
        <f t="shared" si="604"/>
        <v/>
      </c>
      <c r="S850" s="24" t="str">
        <f t="shared" si="605"/>
        <v/>
      </c>
      <c r="T850" s="24" t="str">
        <f t="shared" si="606"/>
        <v/>
      </c>
      <c r="U850" s="24" t="str">
        <f t="shared" si="607"/>
        <v/>
      </c>
      <c r="V850" s="24" t="str">
        <f t="shared" si="608"/>
        <v/>
      </c>
      <c r="W850" s="23" t="str">
        <f t="array" ref="W850">IFERROR(SMALL(IF(S$1:S$1000="BEGIN",ROW(S$1:S$1000)),ROW()-3),"")</f>
        <v/>
      </c>
      <c r="X850" s="23" t="str">
        <f t="array" ref="X850">IFERROR(SMALL(IF(T$1:T$1000="END",ROW(T$1:T$1000)),ROW()-3),"")</f>
        <v/>
      </c>
      <c r="Y850" s="33" t="str">
        <f t="array" ref="Y850">IF(ISNUMBER(W850),MAX(IF((B$4:B$1000&lt;=X850)*(B$4:B$1000&gt;=W850),I$4:I$1000, "")),"")</f>
        <v/>
      </c>
      <c r="Z850" s="33" t="str">
        <f t="shared" si="593"/>
        <v/>
      </c>
      <c r="AA850" s="32" t="str">
        <f t="shared" si="594"/>
        <v/>
      </c>
      <c r="AB850" s="32" t="str">
        <f t="shared" si="595"/>
        <v/>
      </c>
      <c r="AC850" s="32" t="str">
        <f t="shared" si="596"/>
        <v/>
      </c>
      <c r="AD850" s="32" t="str">
        <f t="shared" si="597"/>
        <v/>
      </c>
      <c r="AE850" s="34" t="str">
        <f t="shared" si="598"/>
        <v/>
      </c>
      <c r="AF850" s="32" t="str">
        <f t="shared" si="599"/>
        <v/>
      </c>
      <c r="AG850" s="32" t="str">
        <f t="shared" si="600"/>
        <v/>
      </c>
      <c r="AH850" s="32" t="str">
        <f t="shared" si="601"/>
        <v/>
      </c>
      <c r="AI850" s="35" t="str">
        <f t="shared" si="602"/>
        <v/>
      </c>
      <c r="AJ850" s="23" t="str">
        <f t="array" ref="AJ850">IFERROR(SMALL(IF(U$1:U$1000="BEGIN",ROW(U$1:U$1000)),ROW()-3),"")</f>
        <v/>
      </c>
      <c r="AK850" s="23" t="str">
        <f t="array" ref="AK850">IFERROR(SMALL(IF(V$1:V$1000="END",ROW(V$1:V$1000)),ROW()-3),"")</f>
        <v/>
      </c>
      <c r="AL850" s="24" t="str">
        <f t="array" ref="AL850">IF(AK850="","",MATCH(AM850,L:L,0))</f>
        <v/>
      </c>
      <c r="AM850" s="35">
        <f t="array" ref="AM850">MAX(IF((B$4:B$1000&lt;=AK850)*(B$4:B$1000&gt;=AJ850),L$4:L$1000, ""))</f>
        <v>0</v>
      </c>
      <c r="AN850" s="32" t="str">
        <f t="shared" ref="AN850:AN913" si="609">IFERROR(INDEX(C:C,AJ850),"")</f>
        <v/>
      </c>
      <c r="AO850" s="32" t="str">
        <f t="shared" ref="AO850:AO913" si="610">IFERROR(INDEX(C:C,AK850),"")</f>
        <v/>
      </c>
      <c r="AP850" s="32" t="str">
        <f t="shared" ref="AP850:AP913" si="611">IFERROR(INDEX(C:C,AL850),"")</f>
        <v/>
      </c>
      <c r="AQ850" s="32" t="str">
        <f t="shared" ref="AQ850:AQ913" si="612">IF(ISNUMBER(AN850),AM850,"")</f>
        <v/>
      </c>
      <c r="AR850" s="32" t="str">
        <f t="shared" ref="AR850:AR913" si="613">IFERROR(AO850-AN850,"")</f>
        <v/>
      </c>
      <c r="AS850" s="32" t="str">
        <f t="shared" ref="AS850:AS913" si="614">IFERROR(INDEX(H:H,AJ850),"")</f>
        <v/>
      </c>
      <c r="AT850" s="32" t="str">
        <f t="shared" ref="AT850:AT913" si="615">IFERROR(INDEX(H:H,AK850),"")</f>
        <v/>
      </c>
      <c r="AU850" s="34" t="str">
        <f t="shared" ref="AU850:AU913" si="616">IFERROR((AS850-AT850)/(AR850),"")</f>
        <v/>
      </c>
      <c r="AV850" s="32" t="str">
        <f t="shared" ref="AV850:AV913" si="617">IFERROR(AQ850/$BB$17,"")</f>
        <v/>
      </c>
      <c r="AW850" s="32" t="str">
        <f t="shared" ref="AW850:AW913" si="618">IFERROR(AU850/BB$19,"")</f>
        <v/>
      </c>
      <c r="AX850" s="32" t="str">
        <f t="shared" ref="AX850:AX913" si="619">IFERROR(AP851-AP850,"")</f>
        <v/>
      </c>
      <c r="AY850" s="32" t="str">
        <f t="shared" ref="AY850:AY913" si="620">IFERROR(AX850/BB$16,"")</f>
        <v/>
      </c>
    </row>
    <row r="851" spans="1:51" x14ac:dyDescent="0.25">
      <c r="A851" s="24" t="str">
        <f t="shared" si="578"/>
        <v/>
      </c>
      <c r="B851" s="24" t="str">
        <f t="shared" si="588"/>
        <v/>
      </c>
      <c r="C851" s="32" t="str">
        <f t="shared" si="579"/>
        <v/>
      </c>
      <c r="D851" s="24" t="str">
        <f t="shared" si="580"/>
        <v/>
      </c>
      <c r="E851" s="24" t="str">
        <f t="shared" si="581"/>
        <v/>
      </c>
      <c r="F851" s="32" t="str">
        <f t="shared" si="582"/>
        <v/>
      </c>
      <c r="G851" s="32" t="str">
        <f t="shared" si="583"/>
        <v/>
      </c>
      <c r="H851" s="32" t="str">
        <f t="shared" ca="1" si="584"/>
        <v/>
      </c>
      <c r="I851" s="32" t="str">
        <f t="shared" ca="1" si="589"/>
        <v/>
      </c>
      <c r="J851" s="32" t="str">
        <f t="shared" si="585"/>
        <v/>
      </c>
      <c r="K851" s="32" t="str">
        <f>IF(ISNUMBER(A851),Profile!$V$25+Profile!$V$24*'Ri-Po'!C851,"")</f>
        <v/>
      </c>
      <c r="L851" s="32" t="str">
        <f t="shared" si="590"/>
        <v/>
      </c>
      <c r="M851" s="32" t="str">
        <f t="shared" si="586"/>
        <v/>
      </c>
      <c r="N851" s="32" t="str">
        <f t="shared" si="587"/>
        <v/>
      </c>
      <c r="O851" s="32" t="str">
        <f t="shared" si="603"/>
        <v/>
      </c>
      <c r="P851" s="32" t="str">
        <f t="shared" si="591"/>
        <v/>
      </c>
      <c r="Q851" s="32" t="str">
        <f t="shared" si="592"/>
        <v/>
      </c>
      <c r="R851" s="32" t="str">
        <f t="shared" si="604"/>
        <v/>
      </c>
      <c r="S851" s="24" t="str">
        <f t="shared" si="605"/>
        <v/>
      </c>
      <c r="T851" s="24" t="str">
        <f t="shared" si="606"/>
        <v/>
      </c>
      <c r="U851" s="24" t="str">
        <f t="shared" si="607"/>
        <v/>
      </c>
      <c r="V851" s="24" t="str">
        <f t="shared" si="608"/>
        <v/>
      </c>
      <c r="W851" s="23" t="str">
        <f t="array" ref="W851">IFERROR(SMALL(IF(S$1:S$1000="BEGIN",ROW(S$1:S$1000)),ROW()-3),"")</f>
        <v/>
      </c>
      <c r="X851" s="23" t="str">
        <f t="array" ref="X851">IFERROR(SMALL(IF(T$1:T$1000="END",ROW(T$1:T$1000)),ROW()-3),"")</f>
        <v/>
      </c>
      <c r="Y851" s="33" t="str">
        <f t="array" ref="Y851">IF(ISNUMBER(W851),MAX(IF((B$4:B$1000&lt;=X851)*(B$4:B$1000&gt;=W851),I$4:I$1000, "")),"")</f>
        <v/>
      </c>
      <c r="Z851" s="33" t="str">
        <f t="shared" si="593"/>
        <v/>
      </c>
      <c r="AA851" s="32" t="str">
        <f t="shared" si="594"/>
        <v/>
      </c>
      <c r="AB851" s="32" t="str">
        <f t="shared" si="595"/>
        <v/>
      </c>
      <c r="AC851" s="32" t="str">
        <f t="shared" si="596"/>
        <v/>
      </c>
      <c r="AD851" s="32" t="str">
        <f t="shared" si="597"/>
        <v/>
      </c>
      <c r="AE851" s="34" t="str">
        <f t="shared" si="598"/>
        <v/>
      </c>
      <c r="AF851" s="32" t="str">
        <f t="shared" si="599"/>
        <v/>
      </c>
      <c r="AG851" s="32" t="str">
        <f t="shared" si="600"/>
        <v/>
      </c>
      <c r="AH851" s="32" t="str">
        <f t="shared" si="601"/>
        <v/>
      </c>
      <c r="AI851" s="35" t="str">
        <f t="shared" si="602"/>
        <v/>
      </c>
      <c r="AJ851" s="23" t="str">
        <f t="array" ref="AJ851">IFERROR(SMALL(IF(U$1:U$1000="BEGIN",ROW(U$1:U$1000)),ROW()-3),"")</f>
        <v/>
      </c>
      <c r="AK851" s="23" t="str">
        <f t="array" ref="AK851">IFERROR(SMALL(IF(V$1:V$1000="END",ROW(V$1:V$1000)),ROW()-3),"")</f>
        <v/>
      </c>
      <c r="AL851" s="24" t="str">
        <f t="array" ref="AL851">IF(AK851="","",MATCH(AM851,L:L,0))</f>
        <v/>
      </c>
      <c r="AM851" s="35">
        <f t="array" ref="AM851">MAX(IF((B$4:B$1000&lt;=AK851)*(B$4:B$1000&gt;=AJ851),L$4:L$1000, ""))</f>
        <v>0</v>
      </c>
      <c r="AN851" s="32" t="str">
        <f t="shared" si="609"/>
        <v/>
      </c>
      <c r="AO851" s="32" t="str">
        <f t="shared" si="610"/>
        <v/>
      </c>
      <c r="AP851" s="32" t="str">
        <f t="shared" si="611"/>
        <v/>
      </c>
      <c r="AQ851" s="32" t="str">
        <f t="shared" si="612"/>
        <v/>
      </c>
      <c r="AR851" s="32" t="str">
        <f t="shared" si="613"/>
        <v/>
      </c>
      <c r="AS851" s="32" t="str">
        <f t="shared" si="614"/>
        <v/>
      </c>
      <c r="AT851" s="32" t="str">
        <f t="shared" si="615"/>
        <v/>
      </c>
      <c r="AU851" s="34" t="str">
        <f t="shared" si="616"/>
        <v/>
      </c>
      <c r="AV851" s="32" t="str">
        <f t="shared" si="617"/>
        <v/>
      </c>
      <c r="AW851" s="32" t="str">
        <f t="shared" si="618"/>
        <v/>
      </c>
      <c r="AX851" s="32" t="str">
        <f t="shared" si="619"/>
        <v/>
      </c>
      <c r="AY851" s="32" t="str">
        <f t="shared" si="620"/>
        <v/>
      </c>
    </row>
    <row r="852" spans="1:51" x14ac:dyDescent="0.25">
      <c r="A852" s="24" t="str">
        <f t="shared" si="578"/>
        <v/>
      </c>
      <c r="B852" s="24" t="str">
        <f t="shared" si="588"/>
        <v/>
      </c>
      <c r="C852" s="32" t="str">
        <f t="shared" si="579"/>
        <v/>
      </c>
      <c r="D852" s="24" t="str">
        <f t="shared" si="580"/>
        <v/>
      </c>
      <c r="E852" s="24" t="str">
        <f t="shared" si="581"/>
        <v/>
      </c>
      <c r="F852" s="32" t="str">
        <f t="shared" si="582"/>
        <v/>
      </c>
      <c r="G852" s="32" t="str">
        <f t="shared" si="583"/>
        <v/>
      </c>
      <c r="H852" s="32" t="str">
        <f t="shared" ca="1" si="584"/>
        <v/>
      </c>
      <c r="I852" s="32" t="str">
        <f t="shared" ca="1" si="589"/>
        <v/>
      </c>
      <c r="J852" s="32" t="str">
        <f t="shared" si="585"/>
        <v/>
      </c>
      <c r="K852" s="32" t="str">
        <f>IF(ISNUMBER(A852),Profile!$V$25+Profile!$V$24*'Ri-Po'!C852,"")</f>
        <v/>
      </c>
      <c r="L852" s="32" t="str">
        <f t="shared" si="590"/>
        <v/>
      </c>
      <c r="M852" s="32" t="str">
        <f t="shared" si="586"/>
        <v/>
      </c>
      <c r="N852" s="32" t="str">
        <f t="shared" si="587"/>
        <v/>
      </c>
      <c r="O852" s="32" t="str">
        <f t="shared" si="603"/>
        <v/>
      </c>
      <c r="P852" s="32" t="str">
        <f t="shared" si="591"/>
        <v/>
      </c>
      <c r="Q852" s="32" t="str">
        <f t="shared" si="592"/>
        <v/>
      </c>
      <c r="R852" s="32" t="str">
        <f t="shared" si="604"/>
        <v/>
      </c>
      <c r="S852" s="24" t="str">
        <f t="shared" si="605"/>
        <v/>
      </c>
      <c r="T852" s="24" t="str">
        <f t="shared" si="606"/>
        <v/>
      </c>
      <c r="U852" s="24" t="str">
        <f t="shared" si="607"/>
        <v/>
      </c>
      <c r="V852" s="24" t="str">
        <f t="shared" si="608"/>
        <v/>
      </c>
      <c r="W852" s="23" t="str">
        <f t="array" ref="W852">IFERROR(SMALL(IF(S$1:S$1000="BEGIN",ROW(S$1:S$1000)),ROW()-3),"")</f>
        <v/>
      </c>
      <c r="X852" s="23" t="str">
        <f t="array" ref="X852">IFERROR(SMALL(IF(T$1:T$1000="END",ROW(T$1:T$1000)),ROW()-3),"")</f>
        <v/>
      </c>
      <c r="Y852" s="33" t="str">
        <f t="array" ref="Y852">IF(ISNUMBER(W852),MAX(IF((B$4:B$1000&lt;=X852)*(B$4:B$1000&gt;=W852),I$4:I$1000, "")),"")</f>
        <v/>
      </c>
      <c r="Z852" s="33" t="str">
        <f t="shared" si="593"/>
        <v/>
      </c>
      <c r="AA852" s="32" t="str">
        <f t="shared" si="594"/>
        <v/>
      </c>
      <c r="AB852" s="32" t="str">
        <f t="shared" si="595"/>
        <v/>
      </c>
      <c r="AC852" s="32" t="str">
        <f t="shared" si="596"/>
        <v/>
      </c>
      <c r="AD852" s="32" t="str">
        <f t="shared" si="597"/>
        <v/>
      </c>
      <c r="AE852" s="34" t="str">
        <f t="shared" si="598"/>
        <v/>
      </c>
      <c r="AF852" s="32" t="str">
        <f t="shared" si="599"/>
        <v/>
      </c>
      <c r="AG852" s="32" t="str">
        <f t="shared" si="600"/>
        <v/>
      </c>
      <c r="AH852" s="32" t="str">
        <f t="shared" si="601"/>
        <v/>
      </c>
      <c r="AI852" s="35" t="str">
        <f t="shared" si="602"/>
        <v/>
      </c>
      <c r="AJ852" s="23" t="str">
        <f t="array" ref="AJ852">IFERROR(SMALL(IF(U$1:U$1000="BEGIN",ROW(U$1:U$1000)),ROW()-3),"")</f>
        <v/>
      </c>
      <c r="AK852" s="23" t="str">
        <f t="array" ref="AK852">IFERROR(SMALL(IF(V$1:V$1000="END",ROW(V$1:V$1000)),ROW()-3),"")</f>
        <v/>
      </c>
      <c r="AL852" s="24" t="str">
        <f t="array" ref="AL852">IF(AK852="","",MATCH(AM852,L:L,0))</f>
        <v/>
      </c>
      <c r="AM852" s="35">
        <f t="array" ref="AM852">MAX(IF((B$4:B$1000&lt;=AK852)*(B$4:B$1000&gt;=AJ852),L$4:L$1000, ""))</f>
        <v>0</v>
      </c>
      <c r="AN852" s="32" t="str">
        <f t="shared" si="609"/>
        <v/>
      </c>
      <c r="AO852" s="32" t="str">
        <f t="shared" si="610"/>
        <v/>
      </c>
      <c r="AP852" s="32" t="str">
        <f t="shared" si="611"/>
        <v/>
      </c>
      <c r="AQ852" s="32" t="str">
        <f t="shared" si="612"/>
        <v/>
      </c>
      <c r="AR852" s="32" t="str">
        <f t="shared" si="613"/>
        <v/>
      </c>
      <c r="AS852" s="32" t="str">
        <f t="shared" si="614"/>
        <v/>
      </c>
      <c r="AT852" s="32" t="str">
        <f t="shared" si="615"/>
        <v/>
      </c>
      <c r="AU852" s="34" t="str">
        <f t="shared" si="616"/>
        <v/>
      </c>
      <c r="AV852" s="32" t="str">
        <f t="shared" si="617"/>
        <v/>
      </c>
      <c r="AW852" s="32" t="str">
        <f t="shared" si="618"/>
        <v/>
      </c>
      <c r="AX852" s="32" t="str">
        <f t="shared" si="619"/>
        <v/>
      </c>
      <c r="AY852" s="32" t="str">
        <f t="shared" si="620"/>
        <v/>
      </c>
    </row>
    <row r="853" spans="1:51" x14ac:dyDescent="0.25">
      <c r="A853" s="24" t="str">
        <f t="shared" si="578"/>
        <v/>
      </c>
      <c r="B853" s="24" t="str">
        <f t="shared" si="588"/>
        <v/>
      </c>
      <c r="C853" s="32" t="str">
        <f t="shared" si="579"/>
        <v/>
      </c>
      <c r="D853" s="24" t="str">
        <f t="shared" si="580"/>
        <v/>
      </c>
      <c r="E853" s="24" t="str">
        <f t="shared" si="581"/>
        <v/>
      </c>
      <c r="F853" s="32" t="str">
        <f t="shared" si="582"/>
        <v/>
      </c>
      <c r="G853" s="32" t="str">
        <f t="shared" si="583"/>
        <v/>
      </c>
      <c r="H853" s="32" t="str">
        <f t="shared" ca="1" si="584"/>
        <v/>
      </c>
      <c r="I853" s="32" t="str">
        <f t="shared" ca="1" si="589"/>
        <v/>
      </c>
      <c r="J853" s="32" t="str">
        <f t="shared" si="585"/>
        <v/>
      </c>
      <c r="K853" s="32" t="str">
        <f>IF(ISNUMBER(A853),Profile!$V$25+Profile!$V$24*'Ri-Po'!C853,"")</f>
        <v/>
      </c>
      <c r="L853" s="32" t="str">
        <f t="shared" si="590"/>
        <v/>
      </c>
      <c r="M853" s="32" t="str">
        <f t="shared" si="586"/>
        <v/>
      </c>
      <c r="N853" s="32" t="str">
        <f t="shared" si="587"/>
        <v/>
      </c>
      <c r="O853" s="32" t="str">
        <f t="shared" si="603"/>
        <v/>
      </c>
      <c r="P853" s="32" t="str">
        <f t="shared" si="591"/>
        <v/>
      </c>
      <c r="Q853" s="32" t="str">
        <f t="shared" si="592"/>
        <v/>
      </c>
      <c r="R853" s="32" t="str">
        <f t="shared" si="604"/>
        <v/>
      </c>
      <c r="S853" s="24" t="str">
        <f t="shared" si="605"/>
        <v/>
      </c>
      <c r="T853" s="24" t="str">
        <f t="shared" si="606"/>
        <v/>
      </c>
      <c r="U853" s="24" t="str">
        <f t="shared" si="607"/>
        <v/>
      </c>
      <c r="V853" s="24" t="str">
        <f t="shared" si="608"/>
        <v/>
      </c>
      <c r="W853" s="23" t="str">
        <f t="array" ref="W853">IFERROR(SMALL(IF(S$1:S$1000="BEGIN",ROW(S$1:S$1000)),ROW()-3),"")</f>
        <v/>
      </c>
      <c r="X853" s="23" t="str">
        <f t="array" ref="X853">IFERROR(SMALL(IF(T$1:T$1000="END",ROW(T$1:T$1000)),ROW()-3),"")</f>
        <v/>
      </c>
      <c r="Y853" s="33" t="str">
        <f t="array" ref="Y853">IF(ISNUMBER(W853),MAX(IF((B$4:B$1000&lt;=X853)*(B$4:B$1000&gt;=W853),I$4:I$1000, "")),"")</f>
        <v/>
      </c>
      <c r="Z853" s="33" t="str">
        <f t="shared" si="593"/>
        <v/>
      </c>
      <c r="AA853" s="32" t="str">
        <f t="shared" si="594"/>
        <v/>
      </c>
      <c r="AB853" s="32" t="str">
        <f t="shared" si="595"/>
        <v/>
      </c>
      <c r="AC853" s="32" t="str">
        <f t="shared" si="596"/>
        <v/>
      </c>
      <c r="AD853" s="32" t="str">
        <f t="shared" si="597"/>
        <v/>
      </c>
      <c r="AE853" s="34" t="str">
        <f t="shared" si="598"/>
        <v/>
      </c>
      <c r="AF853" s="32" t="str">
        <f t="shared" si="599"/>
        <v/>
      </c>
      <c r="AG853" s="32" t="str">
        <f t="shared" si="600"/>
        <v/>
      </c>
      <c r="AH853" s="32" t="str">
        <f t="shared" si="601"/>
        <v/>
      </c>
      <c r="AI853" s="35" t="str">
        <f t="shared" si="602"/>
        <v/>
      </c>
      <c r="AJ853" s="23" t="str">
        <f t="array" ref="AJ853">IFERROR(SMALL(IF(U$1:U$1000="BEGIN",ROW(U$1:U$1000)),ROW()-3),"")</f>
        <v/>
      </c>
      <c r="AK853" s="23" t="str">
        <f t="array" ref="AK853">IFERROR(SMALL(IF(V$1:V$1000="END",ROW(V$1:V$1000)),ROW()-3),"")</f>
        <v/>
      </c>
      <c r="AL853" s="24" t="str">
        <f t="array" ref="AL853">IF(AK853="","",MATCH(AM853,L:L,0))</f>
        <v/>
      </c>
      <c r="AM853" s="35">
        <f t="array" ref="AM853">MAX(IF((B$4:B$1000&lt;=AK853)*(B$4:B$1000&gt;=AJ853),L$4:L$1000, ""))</f>
        <v>0</v>
      </c>
      <c r="AN853" s="32" t="str">
        <f t="shared" si="609"/>
        <v/>
      </c>
      <c r="AO853" s="32" t="str">
        <f t="shared" si="610"/>
        <v/>
      </c>
      <c r="AP853" s="32" t="str">
        <f t="shared" si="611"/>
        <v/>
      </c>
      <c r="AQ853" s="32" t="str">
        <f t="shared" si="612"/>
        <v/>
      </c>
      <c r="AR853" s="32" t="str">
        <f t="shared" si="613"/>
        <v/>
      </c>
      <c r="AS853" s="32" t="str">
        <f t="shared" si="614"/>
        <v/>
      </c>
      <c r="AT853" s="32" t="str">
        <f t="shared" si="615"/>
        <v/>
      </c>
      <c r="AU853" s="34" t="str">
        <f t="shared" si="616"/>
        <v/>
      </c>
      <c r="AV853" s="32" t="str">
        <f t="shared" si="617"/>
        <v/>
      </c>
      <c r="AW853" s="32" t="str">
        <f t="shared" si="618"/>
        <v/>
      </c>
      <c r="AX853" s="32" t="str">
        <f t="shared" si="619"/>
        <v/>
      </c>
      <c r="AY853" s="32" t="str">
        <f t="shared" si="620"/>
        <v/>
      </c>
    </row>
    <row r="854" spans="1:51" x14ac:dyDescent="0.25">
      <c r="A854" s="24" t="str">
        <f t="shared" si="578"/>
        <v/>
      </c>
      <c r="B854" s="24" t="str">
        <f t="shared" si="588"/>
        <v/>
      </c>
      <c r="C854" s="32" t="str">
        <f t="shared" si="579"/>
        <v/>
      </c>
      <c r="D854" s="24" t="str">
        <f t="shared" si="580"/>
        <v/>
      </c>
      <c r="E854" s="24" t="str">
        <f t="shared" si="581"/>
        <v/>
      </c>
      <c r="F854" s="32" t="str">
        <f t="shared" si="582"/>
        <v/>
      </c>
      <c r="G854" s="32" t="str">
        <f t="shared" si="583"/>
        <v/>
      </c>
      <c r="H854" s="32" t="str">
        <f t="shared" ca="1" si="584"/>
        <v/>
      </c>
      <c r="I854" s="32" t="str">
        <f t="shared" ca="1" si="589"/>
        <v/>
      </c>
      <c r="J854" s="32" t="str">
        <f t="shared" si="585"/>
        <v/>
      </c>
      <c r="K854" s="32" t="str">
        <f>IF(ISNUMBER(A854),Profile!$V$25+Profile!$V$24*'Ri-Po'!C854,"")</f>
        <v/>
      </c>
      <c r="L854" s="32" t="str">
        <f t="shared" si="590"/>
        <v/>
      </c>
      <c r="M854" s="32" t="str">
        <f t="shared" si="586"/>
        <v/>
      </c>
      <c r="N854" s="32" t="str">
        <f t="shared" si="587"/>
        <v/>
      </c>
      <c r="O854" s="32" t="str">
        <f t="shared" si="603"/>
        <v/>
      </c>
      <c r="P854" s="32" t="str">
        <f t="shared" si="591"/>
        <v/>
      </c>
      <c r="Q854" s="32" t="str">
        <f t="shared" si="592"/>
        <v/>
      </c>
      <c r="R854" s="32" t="str">
        <f t="shared" si="604"/>
        <v/>
      </c>
      <c r="S854" s="24" t="str">
        <f t="shared" si="605"/>
        <v/>
      </c>
      <c r="T854" s="24" t="str">
        <f t="shared" si="606"/>
        <v/>
      </c>
      <c r="U854" s="24" t="str">
        <f t="shared" si="607"/>
        <v/>
      </c>
      <c r="V854" s="24" t="str">
        <f t="shared" si="608"/>
        <v/>
      </c>
      <c r="W854" s="23" t="str">
        <f t="array" ref="W854">IFERROR(SMALL(IF(S$1:S$1000="BEGIN",ROW(S$1:S$1000)),ROW()-3),"")</f>
        <v/>
      </c>
      <c r="X854" s="23" t="str">
        <f t="array" ref="X854">IFERROR(SMALL(IF(T$1:T$1000="END",ROW(T$1:T$1000)),ROW()-3),"")</f>
        <v/>
      </c>
      <c r="Y854" s="33" t="str">
        <f t="array" ref="Y854">IF(ISNUMBER(W854),MAX(IF((B$4:B$1000&lt;=X854)*(B$4:B$1000&gt;=W854),I$4:I$1000, "")),"")</f>
        <v/>
      </c>
      <c r="Z854" s="33" t="str">
        <f t="shared" si="593"/>
        <v/>
      </c>
      <c r="AA854" s="32" t="str">
        <f t="shared" si="594"/>
        <v/>
      </c>
      <c r="AB854" s="32" t="str">
        <f t="shared" si="595"/>
        <v/>
      </c>
      <c r="AC854" s="32" t="str">
        <f t="shared" si="596"/>
        <v/>
      </c>
      <c r="AD854" s="32" t="str">
        <f t="shared" si="597"/>
        <v/>
      </c>
      <c r="AE854" s="34" t="str">
        <f t="shared" si="598"/>
        <v/>
      </c>
      <c r="AF854" s="32" t="str">
        <f t="shared" si="599"/>
        <v/>
      </c>
      <c r="AG854" s="32" t="str">
        <f t="shared" si="600"/>
        <v/>
      </c>
      <c r="AH854" s="32" t="str">
        <f t="shared" si="601"/>
        <v/>
      </c>
      <c r="AI854" s="35" t="str">
        <f t="shared" si="602"/>
        <v/>
      </c>
      <c r="AJ854" s="23" t="str">
        <f t="array" ref="AJ854">IFERROR(SMALL(IF(U$1:U$1000="BEGIN",ROW(U$1:U$1000)),ROW()-3),"")</f>
        <v/>
      </c>
      <c r="AK854" s="23" t="str">
        <f t="array" ref="AK854">IFERROR(SMALL(IF(V$1:V$1000="END",ROW(V$1:V$1000)),ROW()-3),"")</f>
        <v/>
      </c>
      <c r="AL854" s="24" t="str">
        <f t="array" ref="AL854">IF(AK854="","",MATCH(AM854,L:L,0))</f>
        <v/>
      </c>
      <c r="AM854" s="35">
        <f t="array" ref="AM854">MAX(IF((B$4:B$1000&lt;=AK854)*(B$4:B$1000&gt;=AJ854),L$4:L$1000, ""))</f>
        <v>0</v>
      </c>
      <c r="AN854" s="32" t="str">
        <f t="shared" si="609"/>
        <v/>
      </c>
      <c r="AO854" s="32" t="str">
        <f t="shared" si="610"/>
        <v/>
      </c>
      <c r="AP854" s="32" t="str">
        <f t="shared" si="611"/>
        <v/>
      </c>
      <c r="AQ854" s="32" t="str">
        <f t="shared" si="612"/>
        <v/>
      </c>
      <c r="AR854" s="32" t="str">
        <f t="shared" si="613"/>
        <v/>
      </c>
      <c r="AS854" s="32" t="str">
        <f t="shared" si="614"/>
        <v/>
      </c>
      <c r="AT854" s="32" t="str">
        <f t="shared" si="615"/>
        <v/>
      </c>
      <c r="AU854" s="34" t="str">
        <f t="shared" si="616"/>
        <v/>
      </c>
      <c r="AV854" s="32" t="str">
        <f t="shared" si="617"/>
        <v/>
      </c>
      <c r="AW854" s="32" t="str">
        <f t="shared" si="618"/>
        <v/>
      </c>
      <c r="AX854" s="32" t="str">
        <f t="shared" si="619"/>
        <v/>
      </c>
      <c r="AY854" s="32" t="str">
        <f t="shared" si="620"/>
        <v/>
      </c>
    </row>
    <row r="855" spans="1:51" x14ac:dyDescent="0.25">
      <c r="A855" s="24" t="str">
        <f t="shared" si="578"/>
        <v/>
      </c>
      <c r="B855" s="24" t="str">
        <f t="shared" si="588"/>
        <v/>
      </c>
      <c r="C855" s="32" t="str">
        <f t="shared" si="579"/>
        <v/>
      </c>
      <c r="D855" s="24" t="str">
        <f t="shared" si="580"/>
        <v/>
      </c>
      <c r="E855" s="24" t="str">
        <f t="shared" si="581"/>
        <v/>
      </c>
      <c r="F855" s="32" t="str">
        <f t="shared" si="582"/>
        <v/>
      </c>
      <c r="G855" s="32" t="str">
        <f t="shared" si="583"/>
        <v/>
      </c>
      <c r="H855" s="32" t="str">
        <f t="shared" ca="1" si="584"/>
        <v/>
      </c>
      <c r="I855" s="32" t="str">
        <f t="shared" ca="1" si="589"/>
        <v/>
      </c>
      <c r="J855" s="32" t="str">
        <f t="shared" si="585"/>
        <v/>
      </c>
      <c r="K855" s="32" t="str">
        <f>IF(ISNUMBER(A855),Profile!$V$25+Profile!$V$24*'Ri-Po'!C855,"")</f>
        <v/>
      </c>
      <c r="L855" s="32" t="str">
        <f t="shared" si="590"/>
        <v/>
      </c>
      <c r="M855" s="32" t="str">
        <f t="shared" si="586"/>
        <v/>
      </c>
      <c r="N855" s="32" t="str">
        <f t="shared" si="587"/>
        <v/>
      </c>
      <c r="O855" s="32" t="str">
        <f t="shared" si="603"/>
        <v/>
      </c>
      <c r="P855" s="32" t="str">
        <f t="shared" si="591"/>
        <v/>
      </c>
      <c r="Q855" s="32" t="str">
        <f t="shared" si="592"/>
        <v/>
      </c>
      <c r="R855" s="32" t="str">
        <f t="shared" si="604"/>
        <v/>
      </c>
      <c r="S855" s="24" t="str">
        <f t="shared" si="605"/>
        <v/>
      </c>
      <c r="T855" s="24" t="str">
        <f t="shared" si="606"/>
        <v/>
      </c>
      <c r="U855" s="24" t="str">
        <f t="shared" si="607"/>
        <v/>
      </c>
      <c r="V855" s="24" t="str">
        <f t="shared" si="608"/>
        <v/>
      </c>
      <c r="W855" s="23" t="str">
        <f t="array" ref="W855">IFERROR(SMALL(IF(S$1:S$1000="BEGIN",ROW(S$1:S$1000)),ROW()-3),"")</f>
        <v/>
      </c>
      <c r="X855" s="23" t="str">
        <f t="array" ref="X855">IFERROR(SMALL(IF(T$1:T$1000="END",ROW(T$1:T$1000)),ROW()-3),"")</f>
        <v/>
      </c>
      <c r="Y855" s="33" t="str">
        <f t="array" ref="Y855">IF(ISNUMBER(W855),MAX(IF((B$4:B$1000&lt;=X855)*(B$4:B$1000&gt;=W855),I$4:I$1000, "")),"")</f>
        <v/>
      </c>
      <c r="Z855" s="33" t="str">
        <f t="shared" si="593"/>
        <v/>
      </c>
      <c r="AA855" s="32" t="str">
        <f t="shared" si="594"/>
        <v/>
      </c>
      <c r="AB855" s="32" t="str">
        <f t="shared" si="595"/>
        <v/>
      </c>
      <c r="AC855" s="32" t="str">
        <f t="shared" si="596"/>
        <v/>
      </c>
      <c r="AD855" s="32" t="str">
        <f t="shared" si="597"/>
        <v/>
      </c>
      <c r="AE855" s="34" t="str">
        <f t="shared" si="598"/>
        <v/>
      </c>
      <c r="AF855" s="32" t="str">
        <f t="shared" si="599"/>
        <v/>
      </c>
      <c r="AG855" s="32" t="str">
        <f t="shared" si="600"/>
        <v/>
      </c>
      <c r="AH855" s="32" t="str">
        <f t="shared" si="601"/>
        <v/>
      </c>
      <c r="AI855" s="35" t="str">
        <f t="shared" si="602"/>
        <v/>
      </c>
      <c r="AJ855" s="23" t="str">
        <f t="array" ref="AJ855">IFERROR(SMALL(IF(U$1:U$1000="BEGIN",ROW(U$1:U$1000)),ROW()-3),"")</f>
        <v/>
      </c>
      <c r="AK855" s="23" t="str">
        <f t="array" ref="AK855">IFERROR(SMALL(IF(V$1:V$1000="END",ROW(V$1:V$1000)),ROW()-3),"")</f>
        <v/>
      </c>
      <c r="AL855" s="24" t="str">
        <f t="array" ref="AL855">IF(AK855="","",MATCH(AM855,L:L,0))</f>
        <v/>
      </c>
      <c r="AM855" s="35">
        <f t="array" ref="AM855">MAX(IF((B$4:B$1000&lt;=AK855)*(B$4:B$1000&gt;=AJ855),L$4:L$1000, ""))</f>
        <v>0</v>
      </c>
      <c r="AN855" s="32" t="str">
        <f t="shared" si="609"/>
        <v/>
      </c>
      <c r="AO855" s="32" t="str">
        <f t="shared" si="610"/>
        <v/>
      </c>
      <c r="AP855" s="32" t="str">
        <f t="shared" si="611"/>
        <v/>
      </c>
      <c r="AQ855" s="32" t="str">
        <f t="shared" si="612"/>
        <v/>
      </c>
      <c r="AR855" s="32" t="str">
        <f t="shared" si="613"/>
        <v/>
      </c>
      <c r="AS855" s="32" t="str">
        <f t="shared" si="614"/>
        <v/>
      </c>
      <c r="AT855" s="32" t="str">
        <f t="shared" si="615"/>
        <v/>
      </c>
      <c r="AU855" s="34" t="str">
        <f t="shared" si="616"/>
        <v/>
      </c>
      <c r="AV855" s="32" t="str">
        <f t="shared" si="617"/>
        <v/>
      </c>
      <c r="AW855" s="32" t="str">
        <f t="shared" si="618"/>
        <v/>
      </c>
      <c r="AX855" s="32" t="str">
        <f t="shared" si="619"/>
        <v/>
      </c>
      <c r="AY855" s="32" t="str">
        <f t="shared" si="620"/>
        <v/>
      </c>
    </row>
    <row r="856" spans="1:51" x14ac:dyDescent="0.25">
      <c r="A856" s="24" t="str">
        <f t="shared" si="578"/>
        <v/>
      </c>
      <c r="B856" s="24" t="str">
        <f t="shared" si="588"/>
        <v/>
      </c>
      <c r="C856" s="32" t="str">
        <f t="shared" si="579"/>
        <v/>
      </c>
      <c r="D856" s="24" t="str">
        <f t="shared" si="580"/>
        <v/>
      </c>
      <c r="E856" s="24" t="str">
        <f t="shared" si="581"/>
        <v/>
      </c>
      <c r="F856" s="32" t="str">
        <f t="shared" si="582"/>
        <v/>
      </c>
      <c r="G856" s="32" t="str">
        <f t="shared" si="583"/>
        <v/>
      </c>
      <c r="H856" s="32" t="str">
        <f t="shared" ca="1" si="584"/>
        <v/>
      </c>
      <c r="I856" s="32" t="str">
        <f t="shared" ca="1" si="589"/>
        <v/>
      </c>
      <c r="J856" s="32" t="str">
        <f t="shared" si="585"/>
        <v/>
      </c>
      <c r="K856" s="32" t="str">
        <f>IF(ISNUMBER(A856),Profile!$V$25+Profile!$V$24*'Ri-Po'!C856,"")</f>
        <v/>
      </c>
      <c r="L856" s="32" t="str">
        <f t="shared" si="590"/>
        <v/>
      </c>
      <c r="M856" s="32" t="str">
        <f t="shared" si="586"/>
        <v/>
      </c>
      <c r="N856" s="32" t="str">
        <f t="shared" si="587"/>
        <v/>
      </c>
      <c r="O856" s="32" t="str">
        <f t="shared" si="603"/>
        <v/>
      </c>
      <c r="P856" s="32" t="str">
        <f t="shared" si="591"/>
        <v/>
      </c>
      <c r="Q856" s="32" t="str">
        <f t="shared" si="592"/>
        <v/>
      </c>
      <c r="R856" s="32" t="str">
        <f t="shared" si="604"/>
        <v/>
      </c>
      <c r="S856" s="24" t="str">
        <f t="shared" si="605"/>
        <v/>
      </c>
      <c r="T856" s="24" t="str">
        <f t="shared" si="606"/>
        <v/>
      </c>
      <c r="U856" s="24" t="str">
        <f t="shared" si="607"/>
        <v/>
      </c>
      <c r="V856" s="24" t="str">
        <f t="shared" si="608"/>
        <v/>
      </c>
      <c r="W856" s="23" t="str">
        <f t="array" ref="W856">IFERROR(SMALL(IF(S$1:S$1000="BEGIN",ROW(S$1:S$1000)),ROW()-3),"")</f>
        <v/>
      </c>
      <c r="X856" s="23" t="str">
        <f t="array" ref="X856">IFERROR(SMALL(IF(T$1:T$1000="END",ROW(T$1:T$1000)),ROW()-3),"")</f>
        <v/>
      </c>
      <c r="Y856" s="33" t="str">
        <f t="array" ref="Y856">IF(ISNUMBER(W856),MAX(IF((B$4:B$1000&lt;=X856)*(B$4:B$1000&gt;=W856),I$4:I$1000, "")),"")</f>
        <v/>
      </c>
      <c r="Z856" s="33" t="str">
        <f t="shared" si="593"/>
        <v/>
      </c>
      <c r="AA856" s="32" t="str">
        <f t="shared" si="594"/>
        <v/>
      </c>
      <c r="AB856" s="32" t="str">
        <f t="shared" si="595"/>
        <v/>
      </c>
      <c r="AC856" s="32" t="str">
        <f t="shared" si="596"/>
        <v/>
      </c>
      <c r="AD856" s="32" t="str">
        <f t="shared" si="597"/>
        <v/>
      </c>
      <c r="AE856" s="34" t="str">
        <f t="shared" si="598"/>
        <v/>
      </c>
      <c r="AF856" s="32" t="str">
        <f t="shared" si="599"/>
        <v/>
      </c>
      <c r="AG856" s="32" t="str">
        <f t="shared" si="600"/>
        <v/>
      </c>
      <c r="AH856" s="32" t="str">
        <f t="shared" si="601"/>
        <v/>
      </c>
      <c r="AI856" s="35" t="str">
        <f t="shared" si="602"/>
        <v/>
      </c>
      <c r="AJ856" s="23" t="str">
        <f t="array" ref="AJ856">IFERROR(SMALL(IF(U$1:U$1000="BEGIN",ROW(U$1:U$1000)),ROW()-3),"")</f>
        <v/>
      </c>
      <c r="AK856" s="23" t="str">
        <f t="array" ref="AK856">IFERROR(SMALL(IF(V$1:V$1000="END",ROW(V$1:V$1000)),ROW()-3),"")</f>
        <v/>
      </c>
      <c r="AL856" s="24" t="str">
        <f t="array" ref="AL856">IF(AK856="","",MATCH(AM856,L:L,0))</f>
        <v/>
      </c>
      <c r="AM856" s="35">
        <f t="array" ref="AM856">MAX(IF((B$4:B$1000&lt;=AK856)*(B$4:B$1000&gt;=AJ856),L$4:L$1000, ""))</f>
        <v>0</v>
      </c>
      <c r="AN856" s="32" t="str">
        <f t="shared" si="609"/>
        <v/>
      </c>
      <c r="AO856" s="32" t="str">
        <f t="shared" si="610"/>
        <v/>
      </c>
      <c r="AP856" s="32" t="str">
        <f t="shared" si="611"/>
        <v/>
      </c>
      <c r="AQ856" s="32" t="str">
        <f t="shared" si="612"/>
        <v/>
      </c>
      <c r="AR856" s="32" t="str">
        <f t="shared" si="613"/>
        <v/>
      </c>
      <c r="AS856" s="32" t="str">
        <f t="shared" si="614"/>
        <v/>
      </c>
      <c r="AT856" s="32" t="str">
        <f t="shared" si="615"/>
        <v/>
      </c>
      <c r="AU856" s="34" t="str">
        <f t="shared" si="616"/>
        <v/>
      </c>
      <c r="AV856" s="32" t="str">
        <f t="shared" si="617"/>
        <v/>
      </c>
      <c r="AW856" s="32" t="str">
        <f t="shared" si="618"/>
        <v/>
      </c>
      <c r="AX856" s="32" t="str">
        <f t="shared" si="619"/>
        <v/>
      </c>
      <c r="AY856" s="32" t="str">
        <f t="shared" si="620"/>
        <v/>
      </c>
    </row>
    <row r="857" spans="1:51" x14ac:dyDescent="0.25">
      <c r="A857" s="24" t="str">
        <f t="shared" si="578"/>
        <v/>
      </c>
      <c r="B857" s="24" t="str">
        <f t="shared" si="588"/>
        <v/>
      </c>
      <c r="C857" s="32" t="str">
        <f t="shared" si="579"/>
        <v/>
      </c>
      <c r="D857" s="24" t="str">
        <f t="shared" si="580"/>
        <v/>
      </c>
      <c r="E857" s="24" t="str">
        <f t="shared" si="581"/>
        <v/>
      </c>
      <c r="F857" s="32" t="str">
        <f t="shared" si="582"/>
        <v/>
      </c>
      <c r="G857" s="32" t="str">
        <f t="shared" si="583"/>
        <v/>
      </c>
      <c r="H857" s="32" t="str">
        <f t="shared" ca="1" si="584"/>
        <v/>
      </c>
      <c r="I857" s="32" t="str">
        <f t="shared" ca="1" si="589"/>
        <v/>
      </c>
      <c r="J857" s="32" t="str">
        <f t="shared" si="585"/>
        <v/>
      </c>
      <c r="K857" s="32" t="str">
        <f>IF(ISNUMBER(A857),Profile!$V$25+Profile!$V$24*'Ri-Po'!C857,"")</f>
        <v/>
      </c>
      <c r="L857" s="32" t="str">
        <f t="shared" si="590"/>
        <v/>
      </c>
      <c r="M857" s="32" t="str">
        <f t="shared" si="586"/>
        <v/>
      </c>
      <c r="N857" s="32" t="str">
        <f t="shared" si="587"/>
        <v/>
      </c>
      <c r="O857" s="32" t="str">
        <f t="shared" si="603"/>
        <v/>
      </c>
      <c r="P857" s="32" t="str">
        <f t="shared" si="591"/>
        <v/>
      </c>
      <c r="Q857" s="32" t="str">
        <f t="shared" si="592"/>
        <v/>
      </c>
      <c r="R857" s="32" t="str">
        <f t="shared" si="604"/>
        <v/>
      </c>
      <c r="S857" s="24" t="str">
        <f t="shared" si="605"/>
        <v/>
      </c>
      <c r="T857" s="24" t="str">
        <f t="shared" si="606"/>
        <v/>
      </c>
      <c r="U857" s="24" t="str">
        <f t="shared" si="607"/>
        <v/>
      </c>
      <c r="V857" s="24" t="str">
        <f t="shared" si="608"/>
        <v/>
      </c>
      <c r="W857" s="23" t="str">
        <f t="array" ref="W857">IFERROR(SMALL(IF(S$1:S$1000="BEGIN",ROW(S$1:S$1000)),ROW()-3),"")</f>
        <v/>
      </c>
      <c r="X857" s="23" t="str">
        <f t="array" ref="X857">IFERROR(SMALL(IF(T$1:T$1000="END",ROW(T$1:T$1000)),ROW()-3),"")</f>
        <v/>
      </c>
      <c r="Y857" s="33" t="str">
        <f t="array" ref="Y857">IF(ISNUMBER(W857),MAX(IF((B$4:B$1000&lt;=X857)*(B$4:B$1000&gt;=W857),I$4:I$1000, "")),"")</f>
        <v/>
      </c>
      <c r="Z857" s="33" t="str">
        <f t="shared" si="593"/>
        <v/>
      </c>
      <c r="AA857" s="32" t="str">
        <f t="shared" si="594"/>
        <v/>
      </c>
      <c r="AB857" s="32" t="str">
        <f t="shared" si="595"/>
        <v/>
      </c>
      <c r="AC857" s="32" t="str">
        <f t="shared" si="596"/>
        <v/>
      </c>
      <c r="AD857" s="32" t="str">
        <f t="shared" si="597"/>
        <v/>
      </c>
      <c r="AE857" s="34" t="str">
        <f t="shared" si="598"/>
        <v/>
      </c>
      <c r="AF857" s="32" t="str">
        <f t="shared" si="599"/>
        <v/>
      </c>
      <c r="AG857" s="32" t="str">
        <f t="shared" si="600"/>
        <v/>
      </c>
      <c r="AH857" s="32" t="str">
        <f t="shared" si="601"/>
        <v/>
      </c>
      <c r="AI857" s="35" t="str">
        <f t="shared" si="602"/>
        <v/>
      </c>
      <c r="AJ857" s="23" t="str">
        <f t="array" ref="AJ857">IFERROR(SMALL(IF(U$1:U$1000="BEGIN",ROW(U$1:U$1000)),ROW()-3),"")</f>
        <v/>
      </c>
      <c r="AK857" s="23" t="str">
        <f t="array" ref="AK857">IFERROR(SMALL(IF(V$1:V$1000="END",ROW(V$1:V$1000)),ROW()-3),"")</f>
        <v/>
      </c>
      <c r="AL857" s="24" t="str">
        <f t="array" ref="AL857">IF(AK857="","",MATCH(AM857,L:L,0))</f>
        <v/>
      </c>
      <c r="AM857" s="35">
        <f t="array" ref="AM857">MAX(IF((B$4:B$1000&lt;=AK857)*(B$4:B$1000&gt;=AJ857),L$4:L$1000, ""))</f>
        <v>0</v>
      </c>
      <c r="AN857" s="32" t="str">
        <f t="shared" si="609"/>
        <v/>
      </c>
      <c r="AO857" s="32" t="str">
        <f t="shared" si="610"/>
        <v/>
      </c>
      <c r="AP857" s="32" t="str">
        <f t="shared" si="611"/>
        <v/>
      </c>
      <c r="AQ857" s="32" t="str">
        <f t="shared" si="612"/>
        <v/>
      </c>
      <c r="AR857" s="32" t="str">
        <f t="shared" si="613"/>
        <v/>
      </c>
      <c r="AS857" s="32" t="str">
        <f t="shared" si="614"/>
        <v/>
      </c>
      <c r="AT857" s="32" t="str">
        <f t="shared" si="615"/>
        <v/>
      </c>
      <c r="AU857" s="34" t="str">
        <f t="shared" si="616"/>
        <v/>
      </c>
      <c r="AV857" s="32" t="str">
        <f t="shared" si="617"/>
        <v/>
      </c>
      <c r="AW857" s="32" t="str">
        <f t="shared" si="618"/>
        <v/>
      </c>
      <c r="AX857" s="32" t="str">
        <f t="shared" si="619"/>
        <v/>
      </c>
      <c r="AY857" s="32" t="str">
        <f t="shared" si="620"/>
        <v/>
      </c>
    </row>
    <row r="858" spans="1:51" x14ac:dyDescent="0.25">
      <c r="A858" s="24" t="str">
        <f t="shared" si="578"/>
        <v/>
      </c>
      <c r="B858" s="24" t="str">
        <f t="shared" si="588"/>
        <v/>
      </c>
      <c r="C858" s="32" t="str">
        <f t="shared" si="579"/>
        <v/>
      </c>
      <c r="D858" s="24" t="str">
        <f t="shared" si="580"/>
        <v/>
      </c>
      <c r="E858" s="24" t="str">
        <f t="shared" si="581"/>
        <v/>
      </c>
      <c r="F858" s="32" t="str">
        <f t="shared" si="582"/>
        <v/>
      </c>
      <c r="G858" s="32" t="str">
        <f t="shared" si="583"/>
        <v/>
      </c>
      <c r="H858" s="32" t="str">
        <f t="shared" ca="1" si="584"/>
        <v/>
      </c>
      <c r="I858" s="32" t="str">
        <f t="shared" ca="1" si="589"/>
        <v/>
      </c>
      <c r="J858" s="32" t="str">
        <f t="shared" si="585"/>
        <v/>
      </c>
      <c r="K858" s="32" t="str">
        <f>IF(ISNUMBER(A858),Profile!$V$25+Profile!$V$24*'Ri-Po'!C858,"")</f>
        <v/>
      </c>
      <c r="L858" s="32" t="str">
        <f t="shared" si="590"/>
        <v/>
      </c>
      <c r="M858" s="32" t="str">
        <f t="shared" si="586"/>
        <v/>
      </c>
      <c r="N858" s="32" t="str">
        <f t="shared" si="587"/>
        <v/>
      </c>
      <c r="O858" s="32" t="str">
        <f t="shared" si="603"/>
        <v/>
      </c>
      <c r="P858" s="32" t="str">
        <f t="shared" si="591"/>
        <v/>
      </c>
      <c r="Q858" s="32" t="str">
        <f t="shared" si="592"/>
        <v/>
      </c>
      <c r="R858" s="32" t="str">
        <f t="shared" si="604"/>
        <v/>
      </c>
      <c r="S858" s="24" t="str">
        <f t="shared" si="605"/>
        <v/>
      </c>
      <c r="T858" s="24" t="str">
        <f t="shared" si="606"/>
        <v/>
      </c>
      <c r="U858" s="24" t="str">
        <f t="shared" si="607"/>
        <v/>
      </c>
      <c r="V858" s="24" t="str">
        <f t="shared" si="608"/>
        <v/>
      </c>
      <c r="W858" s="23" t="str">
        <f t="array" ref="W858">IFERROR(SMALL(IF(S$1:S$1000="BEGIN",ROW(S$1:S$1000)),ROW()-3),"")</f>
        <v/>
      </c>
      <c r="X858" s="23" t="str">
        <f t="array" ref="X858">IFERROR(SMALL(IF(T$1:T$1000="END",ROW(T$1:T$1000)),ROW()-3),"")</f>
        <v/>
      </c>
      <c r="Y858" s="33" t="str">
        <f t="array" ref="Y858">IF(ISNUMBER(W858),MAX(IF((B$4:B$1000&lt;=X858)*(B$4:B$1000&gt;=W858),I$4:I$1000, "")),"")</f>
        <v/>
      </c>
      <c r="Z858" s="33" t="str">
        <f t="shared" si="593"/>
        <v/>
      </c>
      <c r="AA858" s="32" t="str">
        <f t="shared" si="594"/>
        <v/>
      </c>
      <c r="AB858" s="32" t="str">
        <f t="shared" si="595"/>
        <v/>
      </c>
      <c r="AC858" s="32" t="str">
        <f t="shared" si="596"/>
        <v/>
      </c>
      <c r="AD858" s="32" t="str">
        <f t="shared" si="597"/>
        <v/>
      </c>
      <c r="AE858" s="34" t="str">
        <f t="shared" si="598"/>
        <v/>
      </c>
      <c r="AF858" s="32" t="str">
        <f t="shared" si="599"/>
        <v/>
      </c>
      <c r="AG858" s="32" t="str">
        <f t="shared" si="600"/>
        <v/>
      </c>
      <c r="AH858" s="32" t="str">
        <f t="shared" si="601"/>
        <v/>
      </c>
      <c r="AI858" s="35" t="str">
        <f t="shared" si="602"/>
        <v/>
      </c>
      <c r="AJ858" s="23" t="str">
        <f t="array" ref="AJ858">IFERROR(SMALL(IF(U$1:U$1000="BEGIN",ROW(U$1:U$1000)),ROW()-3),"")</f>
        <v/>
      </c>
      <c r="AK858" s="23" t="str">
        <f t="array" ref="AK858">IFERROR(SMALL(IF(V$1:V$1000="END",ROW(V$1:V$1000)),ROW()-3),"")</f>
        <v/>
      </c>
      <c r="AL858" s="24" t="str">
        <f t="array" ref="AL858">IF(AK858="","",MATCH(AM858,L:L,0))</f>
        <v/>
      </c>
      <c r="AM858" s="35">
        <f t="array" ref="AM858">MAX(IF((B$4:B$1000&lt;=AK858)*(B$4:B$1000&gt;=AJ858),L$4:L$1000, ""))</f>
        <v>0</v>
      </c>
      <c r="AN858" s="32" t="str">
        <f t="shared" si="609"/>
        <v/>
      </c>
      <c r="AO858" s="32" t="str">
        <f t="shared" si="610"/>
        <v/>
      </c>
      <c r="AP858" s="32" t="str">
        <f t="shared" si="611"/>
        <v/>
      </c>
      <c r="AQ858" s="32" t="str">
        <f t="shared" si="612"/>
        <v/>
      </c>
      <c r="AR858" s="32" t="str">
        <f t="shared" si="613"/>
        <v/>
      </c>
      <c r="AS858" s="32" t="str">
        <f t="shared" si="614"/>
        <v/>
      </c>
      <c r="AT858" s="32" t="str">
        <f t="shared" si="615"/>
        <v/>
      </c>
      <c r="AU858" s="34" t="str">
        <f t="shared" si="616"/>
        <v/>
      </c>
      <c r="AV858" s="32" t="str">
        <f t="shared" si="617"/>
        <v/>
      </c>
      <c r="AW858" s="32" t="str">
        <f t="shared" si="618"/>
        <v/>
      </c>
      <c r="AX858" s="32" t="str">
        <f t="shared" si="619"/>
        <v/>
      </c>
      <c r="AY858" s="32" t="str">
        <f t="shared" si="620"/>
        <v/>
      </c>
    </row>
    <row r="859" spans="1:51" x14ac:dyDescent="0.25">
      <c r="A859" s="24" t="str">
        <f t="shared" si="578"/>
        <v/>
      </c>
      <c r="B859" s="24" t="str">
        <f t="shared" si="588"/>
        <v/>
      </c>
      <c r="C859" s="32" t="str">
        <f t="shared" si="579"/>
        <v/>
      </c>
      <c r="D859" s="24" t="str">
        <f t="shared" si="580"/>
        <v/>
      </c>
      <c r="E859" s="24" t="str">
        <f t="shared" si="581"/>
        <v/>
      </c>
      <c r="F859" s="32" t="str">
        <f t="shared" si="582"/>
        <v/>
      </c>
      <c r="G859" s="32" t="str">
        <f t="shared" si="583"/>
        <v/>
      </c>
      <c r="H859" s="32" t="str">
        <f t="shared" ca="1" si="584"/>
        <v/>
      </c>
      <c r="I859" s="32" t="str">
        <f t="shared" ca="1" si="589"/>
        <v/>
      </c>
      <c r="J859" s="32" t="str">
        <f t="shared" si="585"/>
        <v/>
      </c>
      <c r="K859" s="32" t="str">
        <f>IF(ISNUMBER(A859),Profile!$V$25+Profile!$V$24*'Ri-Po'!C859,"")</f>
        <v/>
      </c>
      <c r="L859" s="32" t="str">
        <f t="shared" si="590"/>
        <v/>
      </c>
      <c r="M859" s="32" t="str">
        <f t="shared" si="586"/>
        <v/>
      </c>
      <c r="N859" s="32" t="str">
        <f t="shared" si="587"/>
        <v/>
      </c>
      <c r="O859" s="32" t="str">
        <f t="shared" si="603"/>
        <v/>
      </c>
      <c r="P859" s="32" t="str">
        <f t="shared" si="591"/>
        <v/>
      </c>
      <c r="Q859" s="32" t="str">
        <f t="shared" si="592"/>
        <v/>
      </c>
      <c r="R859" s="32" t="str">
        <f t="shared" si="604"/>
        <v/>
      </c>
      <c r="S859" s="24" t="str">
        <f t="shared" si="605"/>
        <v/>
      </c>
      <c r="T859" s="24" t="str">
        <f t="shared" si="606"/>
        <v/>
      </c>
      <c r="U859" s="24" t="str">
        <f t="shared" si="607"/>
        <v/>
      </c>
      <c r="V859" s="24" t="str">
        <f t="shared" si="608"/>
        <v/>
      </c>
      <c r="W859" s="23" t="str">
        <f t="array" ref="W859">IFERROR(SMALL(IF(S$1:S$1000="BEGIN",ROW(S$1:S$1000)),ROW()-3),"")</f>
        <v/>
      </c>
      <c r="X859" s="23" t="str">
        <f t="array" ref="X859">IFERROR(SMALL(IF(T$1:T$1000="END",ROW(T$1:T$1000)),ROW()-3),"")</f>
        <v/>
      </c>
      <c r="Y859" s="33" t="str">
        <f t="array" ref="Y859">IF(ISNUMBER(W859),MAX(IF((B$4:B$1000&lt;=X859)*(B$4:B$1000&gt;=W859),I$4:I$1000, "")),"")</f>
        <v/>
      </c>
      <c r="Z859" s="33" t="str">
        <f t="shared" si="593"/>
        <v/>
      </c>
      <c r="AA859" s="32" t="str">
        <f t="shared" si="594"/>
        <v/>
      </c>
      <c r="AB859" s="32" t="str">
        <f t="shared" si="595"/>
        <v/>
      </c>
      <c r="AC859" s="32" t="str">
        <f t="shared" si="596"/>
        <v/>
      </c>
      <c r="AD859" s="32" t="str">
        <f t="shared" si="597"/>
        <v/>
      </c>
      <c r="AE859" s="34" t="str">
        <f t="shared" si="598"/>
        <v/>
      </c>
      <c r="AF859" s="32" t="str">
        <f t="shared" si="599"/>
        <v/>
      </c>
      <c r="AG859" s="32" t="str">
        <f t="shared" si="600"/>
        <v/>
      </c>
      <c r="AH859" s="32" t="str">
        <f t="shared" si="601"/>
        <v/>
      </c>
      <c r="AI859" s="35" t="str">
        <f t="shared" si="602"/>
        <v/>
      </c>
      <c r="AJ859" s="23" t="str">
        <f t="array" ref="AJ859">IFERROR(SMALL(IF(U$1:U$1000="BEGIN",ROW(U$1:U$1000)),ROW()-3),"")</f>
        <v/>
      </c>
      <c r="AK859" s="23" t="str">
        <f t="array" ref="AK859">IFERROR(SMALL(IF(V$1:V$1000="END",ROW(V$1:V$1000)),ROW()-3),"")</f>
        <v/>
      </c>
      <c r="AL859" s="24" t="str">
        <f t="array" ref="AL859">IF(AK859="","",MATCH(AM859,L:L,0))</f>
        <v/>
      </c>
      <c r="AM859" s="35">
        <f t="array" ref="AM859">MAX(IF((B$4:B$1000&lt;=AK859)*(B$4:B$1000&gt;=AJ859),L$4:L$1000, ""))</f>
        <v>0</v>
      </c>
      <c r="AN859" s="32" t="str">
        <f t="shared" si="609"/>
        <v/>
      </c>
      <c r="AO859" s="32" t="str">
        <f t="shared" si="610"/>
        <v/>
      </c>
      <c r="AP859" s="32" t="str">
        <f t="shared" si="611"/>
        <v/>
      </c>
      <c r="AQ859" s="32" t="str">
        <f t="shared" si="612"/>
        <v/>
      </c>
      <c r="AR859" s="32" t="str">
        <f t="shared" si="613"/>
        <v/>
      </c>
      <c r="AS859" s="32" t="str">
        <f t="shared" si="614"/>
        <v/>
      </c>
      <c r="AT859" s="32" t="str">
        <f t="shared" si="615"/>
        <v/>
      </c>
      <c r="AU859" s="34" t="str">
        <f t="shared" si="616"/>
        <v/>
      </c>
      <c r="AV859" s="32" t="str">
        <f t="shared" si="617"/>
        <v/>
      </c>
      <c r="AW859" s="32" t="str">
        <f t="shared" si="618"/>
        <v/>
      </c>
      <c r="AX859" s="32" t="str">
        <f t="shared" si="619"/>
        <v/>
      </c>
      <c r="AY859" s="32" t="str">
        <f t="shared" si="620"/>
        <v/>
      </c>
    </row>
    <row r="860" spans="1:51" x14ac:dyDescent="0.25">
      <c r="A860" s="24" t="str">
        <f t="shared" si="578"/>
        <v/>
      </c>
      <c r="B860" s="24" t="str">
        <f t="shared" si="588"/>
        <v/>
      </c>
      <c r="C860" s="32" t="str">
        <f t="shared" si="579"/>
        <v/>
      </c>
      <c r="D860" s="24" t="str">
        <f t="shared" si="580"/>
        <v/>
      </c>
      <c r="E860" s="24" t="str">
        <f t="shared" si="581"/>
        <v/>
      </c>
      <c r="F860" s="32" t="str">
        <f t="shared" si="582"/>
        <v/>
      </c>
      <c r="G860" s="32" t="str">
        <f t="shared" si="583"/>
        <v/>
      </c>
      <c r="H860" s="32" t="str">
        <f t="shared" ca="1" si="584"/>
        <v/>
      </c>
      <c r="I860" s="32" t="str">
        <f t="shared" ca="1" si="589"/>
        <v/>
      </c>
      <c r="J860" s="32" t="str">
        <f t="shared" si="585"/>
        <v/>
      </c>
      <c r="K860" s="32" t="str">
        <f>IF(ISNUMBER(A860),Profile!$V$25+Profile!$V$24*'Ri-Po'!C860,"")</f>
        <v/>
      </c>
      <c r="L860" s="32" t="str">
        <f t="shared" si="590"/>
        <v/>
      </c>
      <c r="M860" s="32" t="str">
        <f t="shared" si="586"/>
        <v/>
      </c>
      <c r="N860" s="32" t="str">
        <f t="shared" si="587"/>
        <v/>
      </c>
      <c r="O860" s="32" t="str">
        <f t="shared" si="603"/>
        <v/>
      </c>
      <c r="P860" s="32" t="str">
        <f t="shared" si="591"/>
        <v/>
      </c>
      <c r="Q860" s="32" t="str">
        <f t="shared" si="592"/>
        <v/>
      </c>
      <c r="R860" s="32" t="str">
        <f t="shared" si="604"/>
        <v/>
      </c>
      <c r="S860" s="24" t="str">
        <f t="shared" si="605"/>
        <v/>
      </c>
      <c r="T860" s="24" t="str">
        <f t="shared" si="606"/>
        <v/>
      </c>
      <c r="U860" s="24" t="str">
        <f t="shared" si="607"/>
        <v/>
      </c>
      <c r="V860" s="24" t="str">
        <f t="shared" si="608"/>
        <v/>
      </c>
      <c r="W860" s="23" t="str">
        <f t="array" ref="W860">IFERROR(SMALL(IF(S$1:S$1000="BEGIN",ROW(S$1:S$1000)),ROW()-3),"")</f>
        <v/>
      </c>
      <c r="X860" s="23" t="str">
        <f t="array" ref="X860">IFERROR(SMALL(IF(T$1:T$1000="END",ROW(T$1:T$1000)),ROW()-3),"")</f>
        <v/>
      </c>
      <c r="Y860" s="33" t="str">
        <f t="array" ref="Y860">IF(ISNUMBER(W860),MAX(IF((B$4:B$1000&lt;=X860)*(B$4:B$1000&gt;=W860),I$4:I$1000, "")),"")</f>
        <v/>
      </c>
      <c r="Z860" s="33" t="str">
        <f t="shared" si="593"/>
        <v/>
      </c>
      <c r="AA860" s="32" t="str">
        <f t="shared" si="594"/>
        <v/>
      </c>
      <c r="AB860" s="32" t="str">
        <f t="shared" si="595"/>
        <v/>
      </c>
      <c r="AC860" s="32" t="str">
        <f t="shared" si="596"/>
        <v/>
      </c>
      <c r="AD860" s="32" t="str">
        <f t="shared" si="597"/>
        <v/>
      </c>
      <c r="AE860" s="34" t="str">
        <f t="shared" si="598"/>
        <v/>
      </c>
      <c r="AF860" s="32" t="str">
        <f t="shared" si="599"/>
        <v/>
      </c>
      <c r="AG860" s="32" t="str">
        <f t="shared" si="600"/>
        <v/>
      </c>
      <c r="AH860" s="32" t="str">
        <f t="shared" si="601"/>
        <v/>
      </c>
      <c r="AI860" s="35" t="str">
        <f t="shared" si="602"/>
        <v/>
      </c>
      <c r="AJ860" s="23" t="str">
        <f t="array" ref="AJ860">IFERROR(SMALL(IF(U$1:U$1000="BEGIN",ROW(U$1:U$1000)),ROW()-3),"")</f>
        <v/>
      </c>
      <c r="AK860" s="23" t="str">
        <f t="array" ref="AK860">IFERROR(SMALL(IF(V$1:V$1000="END",ROW(V$1:V$1000)),ROW()-3),"")</f>
        <v/>
      </c>
      <c r="AL860" s="24" t="str">
        <f t="array" ref="AL860">IF(AK860="","",MATCH(AM860,L:L,0))</f>
        <v/>
      </c>
      <c r="AM860" s="35">
        <f t="array" ref="AM860">MAX(IF((B$4:B$1000&lt;=AK860)*(B$4:B$1000&gt;=AJ860),L$4:L$1000, ""))</f>
        <v>0</v>
      </c>
      <c r="AN860" s="32" t="str">
        <f t="shared" si="609"/>
        <v/>
      </c>
      <c r="AO860" s="32" t="str">
        <f t="shared" si="610"/>
        <v/>
      </c>
      <c r="AP860" s="32" t="str">
        <f t="shared" si="611"/>
        <v/>
      </c>
      <c r="AQ860" s="32" t="str">
        <f t="shared" si="612"/>
        <v/>
      </c>
      <c r="AR860" s="32" t="str">
        <f t="shared" si="613"/>
        <v/>
      </c>
      <c r="AS860" s="32" t="str">
        <f t="shared" si="614"/>
        <v/>
      </c>
      <c r="AT860" s="32" t="str">
        <f t="shared" si="615"/>
        <v/>
      </c>
      <c r="AU860" s="34" t="str">
        <f t="shared" si="616"/>
        <v/>
      </c>
      <c r="AV860" s="32" t="str">
        <f t="shared" si="617"/>
        <v/>
      </c>
      <c r="AW860" s="32" t="str">
        <f t="shared" si="618"/>
        <v/>
      </c>
      <c r="AX860" s="32" t="str">
        <f t="shared" si="619"/>
        <v/>
      </c>
      <c r="AY860" s="32" t="str">
        <f t="shared" si="620"/>
        <v/>
      </c>
    </row>
    <row r="861" spans="1:51" x14ac:dyDescent="0.25">
      <c r="A861" s="24" t="str">
        <f t="shared" si="578"/>
        <v/>
      </c>
      <c r="B861" s="24" t="str">
        <f t="shared" si="588"/>
        <v/>
      </c>
      <c r="C861" s="32" t="str">
        <f t="shared" si="579"/>
        <v/>
      </c>
      <c r="D861" s="24" t="str">
        <f t="shared" si="580"/>
        <v/>
      </c>
      <c r="E861" s="24" t="str">
        <f t="shared" si="581"/>
        <v/>
      </c>
      <c r="F861" s="32" t="str">
        <f t="shared" si="582"/>
        <v/>
      </c>
      <c r="G861" s="32" t="str">
        <f t="shared" si="583"/>
        <v/>
      </c>
      <c r="H861" s="32" t="str">
        <f t="shared" ca="1" si="584"/>
        <v/>
      </c>
      <c r="I861" s="32" t="str">
        <f t="shared" ca="1" si="589"/>
        <v/>
      </c>
      <c r="J861" s="32" t="str">
        <f t="shared" si="585"/>
        <v/>
      </c>
      <c r="K861" s="32" t="str">
        <f>IF(ISNUMBER(A861),Profile!$V$25+Profile!$V$24*'Ri-Po'!C861,"")</f>
        <v/>
      </c>
      <c r="L861" s="32" t="str">
        <f t="shared" si="590"/>
        <v/>
      </c>
      <c r="M861" s="32" t="str">
        <f t="shared" si="586"/>
        <v/>
      </c>
      <c r="N861" s="32" t="str">
        <f t="shared" si="587"/>
        <v/>
      </c>
      <c r="O861" s="32" t="str">
        <f t="shared" si="603"/>
        <v/>
      </c>
      <c r="P861" s="32" t="str">
        <f t="shared" si="591"/>
        <v/>
      </c>
      <c r="Q861" s="32" t="str">
        <f t="shared" si="592"/>
        <v/>
      </c>
      <c r="R861" s="32" t="str">
        <f t="shared" si="604"/>
        <v/>
      </c>
      <c r="S861" s="24" t="str">
        <f t="shared" si="605"/>
        <v/>
      </c>
      <c r="T861" s="24" t="str">
        <f t="shared" si="606"/>
        <v/>
      </c>
      <c r="U861" s="24" t="str">
        <f t="shared" si="607"/>
        <v/>
      </c>
      <c r="V861" s="24" t="str">
        <f t="shared" si="608"/>
        <v/>
      </c>
      <c r="W861" s="23" t="str">
        <f t="array" ref="W861">IFERROR(SMALL(IF(S$1:S$1000="BEGIN",ROW(S$1:S$1000)),ROW()-3),"")</f>
        <v/>
      </c>
      <c r="X861" s="23" t="str">
        <f t="array" ref="X861">IFERROR(SMALL(IF(T$1:T$1000="END",ROW(T$1:T$1000)),ROW()-3),"")</f>
        <v/>
      </c>
      <c r="Y861" s="33" t="str">
        <f t="array" ref="Y861">IF(ISNUMBER(W861),MAX(IF((B$4:B$1000&lt;=X861)*(B$4:B$1000&gt;=W861),I$4:I$1000, "")),"")</f>
        <v/>
      </c>
      <c r="Z861" s="33" t="str">
        <f t="shared" si="593"/>
        <v/>
      </c>
      <c r="AA861" s="32" t="str">
        <f t="shared" si="594"/>
        <v/>
      </c>
      <c r="AB861" s="32" t="str">
        <f t="shared" si="595"/>
        <v/>
      </c>
      <c r="AC861" s="32" t="str">
        <f t="shared" si="596"/>
        <v/>
      </c>
      <c r="AD861" s="32" t="str">
        <f t="shared" si="597"/>
        <v/>
      </c>
      <c r="AE861" s="34" t="str">
        <f t="shared" si="598"/>
        <v/>
      </c>
      <c r="AF861" s="32" t="str">
        <f t="shared" si="599"/>
        <v/>
      </c>
      <c r="AG861" s="32" t="str">
        <f t="shared" si="600"/>
        <v/>
      </c>
      <c r="AH861" s="32" t="str">
        <f t="shared" si="601"/>
        <v/>
      </c>
      <c r="AI861" s="35" t="str">
        <f t="shared" si="602"/>
        <v/>
      </c>
      <c r="AJ861" s="23" t="str">
        <f t="array" ref="AJ861">IFERROR(SMALL(IF(U$1:U$1000="BEGIN",ROW(U$1:U$1000)),ROW()-3),"")</f>
        <v/>
      </c>
      <c r="AK861" s="23" t="str">
        <f t="array" ref="AK861">IFERROR(SMALL(IF(V$1:V$1000="END",ROW(V$1:V$1000)),ROW()-3),"")</f>
        <v/>
      </c>
      <c r="AL861" s="24" t="str">
        <f t="array" ref="AL861">IF(AK861="","",MATCH(AM861,L:L,0))</f>
        <v/>
      </c>
      <c r="AM861" s="35">
        <f t="array" ref="AM861">MAX(IF((B$4:B$1000&lt;=AK861)*(B$4:B$1000&gt;=AJ861),L$4:L$1000, ""))</f>
        <v>0</v>
      </c>
      <c r="AN861" s="32" t="str">
        <f t="shared" si="609"/>
        <v/>
      </c>
      <c r="AO861" s="32" t="str">
        <f t="shared" si="610"/>
        <v/>
      </c>
      <c r="AP861" s="32" t="str">
        <f t="shared" si="611"/>
        <v/>
      </c>
      <c r="AQ861" s="32" t="str">
        <f t="shared" si="612"/>
        <v/>
      </c>
      <c r="AR861" s="32" t="str">
        <f t="shared" si="613"/>
        <v/>
      </c>
      <c r="AS861" s="32" t="str">
        <f t="shared" si="614"/>
        <v/>
      </c>
      <c r="AT861" s="32" t="str">
        <f t="shared" si="615"/>
        <v/>
      </c>
      <c r="AU861" s="34" t="str">
        <f t="shared" si="616"/>
        <v/>
      </c>
      <c r="AV861" s="32" t="str">
        <f t="shared" si="617"/>
        <v/>
      </c>
      <c r="AW861" s="32" t="str">
        <f t="shared" si="618"/>
        <v/>
      </c>
      <c r="AX861" s="32" t="str">
        <f t="shared" si="619"/>
        <v/>
      </c>
      <c r="AY861" s="32" t="str">
        <f t="shared" si="620"/>
        <v/>
      </c>
    </row>
    <row r="862" spans="1:51" x14ac:dyDescent="0.25">
      <c r="A862" s="24" t="str">
        <f t="shared" si="578"/>
        <v/>
      </c>
      <c r="B862" s="24" t="str">
        <f t="shared" si="588"/>
        <v/>
      </c>
      <c r="C862" s="32" t="str">
        <f t="shared" si="579"/>
        <v/>
      </c>
      <c r="D862" s="24" t="str">
        <f t="shared" si="580"/>
        <v/>
      </c>
      <c r="E862" s="24" t="str">
        <f t="shared" si="581"/>
        <v/>
      </c>
      <c r="F862" s="32" t="str">
        <f t="shared" si="582"/>
        <v/>
      </c>
      <c r="G862" s="32" t="str">
        <f t="shared" si="583"/>
        <v/>
      </c>
      <c r="H862" s="32" t="str">
        <f t="shared" ca="1" si="584"/>
        <v/>
      </c>
      <c r="I862" s="32" t="str">
        <f t="shared" ca="1" si="589"/>
        <v/>
      </c>
      <c r="J862" s="32" t="str">
        <f t="shared" si="585"/>
        <v/>
      </c>
      <c r="K862" s="32" t="str">
        <f>IF(ISNUMBER(A862),Profile!$V$25+Profile!$V$24*'Ri-Po'!C862,"")</f>
        <v/>
      </c>
      <c r="L862" s="32" t="str">
        <f t="shared" si="590"/>
        <v/>
      </c>
      <c r="M862" s="32" t="str">
        <f t="shared" si="586"/>
        <v/>
      </c>
      <c r="N862" s="32" t="str">
        <f t="shared" si="587"/>
        <v/>
      </c>
      <c r="O862" s="32" t="str">
        <f t="shared" si="603"/>
        <v/>
      </c>
      <c r="P862" s="32" t="str">
        <f t="shared" si="591"/>
        <v/>
      </c>
      <c r="Q862" s="32" t="str">
        <f t="shared" si="592"/>
        <v/>
      </c>
      <c r="R862" s="32" t="str">
        <f t="shared" si="604"/>
        <v/>
      </c>
      <c r="S862" s="24" t="str">
        <f t="shared" si="605"/>
        <v/>
      </c>
      <c r="T862" s="24" t="str">
        <f t="shared" si="606"/>
        <v/>
      </c>
      <c r="U862" s="24" t="str">
        <f t="shared" si="607"/>
        <v/>
      </c>
      <c r="V862" s="24" t="str">
        <f t="shared" si="608"/>
        <v/>
      </c>
      <c r="W862" s="23" t="str">
        <f t="array" ref="W862">IFERROR(SMALL(IF(S$1:S$1000="BEGIN",ROW(S$1:S$1000)),ROW()-3),"")</f>
        <v/>
      </c>
      <c r="X862" s="23" t="str">
        <f t="array" ref="X862">IFERROR(SMALL(IF(T$1:T$1000="END",ROW(T$1:T$1000)),ROW()-3),"")</f>
        <v/>
      </c>
      <c r="Y862" s="33" t="str">
        <f t="array" ref="Y862">IF(ISNUMBER(W862),MAX(IF((B$4:B$1000&lt;=X862)*(B$4:B$1000&gt;=W862),I$4:I$1000, "")),"")</f>
        <v/>
      </c>
      <c r="Z862" s="33" t="str">
        <f t="shared" si="593"/>
        <v/>
      </c>
      <c r="AA862" s="32" t="str">
        <f t="shared" si="594"/>
        <v/>
      </c>
      <c r="AB862" s="32" t="str">
        <f t="shared" si="595"/>
        <v/>
      </c>
      <c r="AC862" s="32" t="str">
        <f t="shared" si="596"/>
        <v/>
      </c>
      <c r="AD862" s="32" t="str">
        <f t="shared" si="597"/>
        <v/>
      </c>
      <c r="AE862" s="34" t="str">
        <f t="shared" si="598"/>
        <v/>
      </c>
      <c r="AF862" s="32" t="str">
        <f t="shared" si="599"/>
        <v/>
      </c>
      <c r="AG862" s="32" t="str">
        <f t="shared" si="600"/>
        <v/>
      </c>
      <c r="AH862" s="32" t="str">
        <f t="shared" si="601"/>
        <v/>
      </c>
      <c r="AI862" s="35" t="str">
        <f t="shared" si="602"/>
        <v/>
      </c>
      <c r="AJ862" s="23" t="str">
        <f t="array" ref="AJ862">IFERROR(SMALL(IF(U$1:U$1000="BEGIN",ROW(U$1:U$1000)),ROW()-3),"")</f>
        <v/>
      </c>
      <c r="AK862" s="23" t="str">
        <f t="array" ref="AK862">IFERROR(SMALL(IF(V$1:V$1000="END",ROW(V$1:V$1000)),ROW()-3),"")</f>
        <v/>
      </c>
      <c r="AL862" s="24" t="str">
        <f t="array" ref="AL862">IF(AK862="","",MATCH(AM862,L:L,0))</f>
        <v/>
      </c>
      <c r="AM862" s="35">
        <f t="array" ref="AM862">MAX(IF((B$4:B$1000&lt;=AK862)*(B$4:B$1000&gt;=AJ862),L$4:L$1000, ""))</f>
        <v>0</v>
      </c>
      <c r="AN862" s="32" t="str">
        <f t="shared" si="609"/>
        <v/>
      </c>
      <c r="AO862" s="32" t="str">
        <f t="shared" si="610"/>
        <v/>
      </c>
      <c r="AP862" s="32" t="str">
        <f t="shared" si="611"/>
        <v/>
      </c>
      <c r="AQ862" s="32" t="str">
        <f t="shared" si="612"/>
        <v/>
      </c>
      <c r="AR862" s="32" t="str">
        <f t="shared" si="613"/>
        <v/>
      </c>
      <c r="AS862" s="32" t="str">
        <f t="shared" si="614"/>
        <v/>
      </c>
      <c r="AT862" s="32" t="str">
        <f t="shared" si="615"/>
        <v/>
      </c>
      <c r="AU862" s="34" t="str">
        <f t="shared" si="616"/>
        <v/>
      </c>
      <c r="AV862" s="32" t="str">
        <f t="shared" si="617"/>
        <v/>
      </c>
      <c r="AW862" s="32" t="str">
        <f t="shared" si="618"/>
        <v/>
      </c>
      <c r="AX862" s="32" t="str">
        <f t="shared" si="619"/>
        <v/>
      </c>
      <c r="AY862" s="32" t="str">
        <f t="shared" si="620"/>
        <v/>
      </c>
    </row>
    <row r="863" spans="1:51" x14ac:dyDescent="0.25">
      <c r="A863" s="24" t="str">
        <f t="shared" si="578"/>
        <v/>
      </c>
      <c r="B863" s="24" t="str">
        <f t="shared" si="588"/>
        <v/>
      </c>
      <c r="C863" s="32" t="str">
        <f t="shared" si="579"/>
        <v/>
      </c>
      <c r="D863" s="24" t="str">
        <f t="shared" si="580"/>
        <v/>
      </c>
      <c r="E863" s="24" t="str">
        <f t="shared" si="581"/>
        <v/>
      </c>
      <c r="F863" s="32" t="str">
        <f t="shared" si="582"/>
        <v/>
      </c>
      <c r="G863" s="32" t="str">
        <f t="shared" si="583"/>
        <v/>
      </c>
      <c r="H863" s="32" t="str">
        <f t="shared" ca="1" si="584"/>
        <v/>
      </c>
      <c r="I863" s="32" t="str">
        <f t="shared" ca="1" si="589"/>
        <v/>
      </c>
      <c r="J863" s="32" t="str">
        <f t="shared" si="585"/>
        <v/>
      </c>
      <c r="K863" s="32" t="str">
        <f>IF(ISNUMBER(A863),Profile!$V$25+Profile!$V$24*'Ri-Po'!C863,"")</f>
        <v/>
      </c>
      <c r="L863" s="32" t="str">
        <f t="shared" si="590"/>
        <v/>
      </c>
      <c r="M863" s="32" t="str">
        <f t="shared" si="586"/>
        <v/>
      </c>
      <c r="N863" s="32" t="str">
        <f t="shared" si="587"/>
        <v/>
      </c>
      <c r="O863" s="32" t="str">
        <f t="shared" si="603"/>
        <v/>
      </c>
      <c r="P863" s="32" t="str">
        <f t="shared" si="591"/>
        <v/>
      </c>
      <c r="Q863" s="32" t="str">
        <f t="shared" si="592"/>
        <v/>
      </c>
      <c r="R863" s="32" t="str">
        <f t="shared" si="604"/>
        <v/>
      </c>
      <c r="S863" s="24" t="str">
        <f t="shared" si="605"/>
        <v/>
      </c>
      <c r="T863" s="24" t="str">
        <f t="shared" si="606"/>
        <v/>
      </c>
      <c r="U863" s="24" t="str">
        <f t="shared" si="607"/>
        <v/>
      </c>
      <c r="V863" s="24" t="str">
        <f t="shared" si="608"/>
        <v/>
      </c>
      <c r="W863" s="23" t="str">
        <f t="array" ref="W863">IFERROR(SMALL(IF(S$1:S$1000="BEGIN",ROW(S$1:S$1000)),ROW()-3),"")</f>
        <v/>
      </c>
      <c r="X863" s="23" t="str">
        <f t="array" ref="X863">IFERROR(SMALL(IF(T$1:T$1000="END",ROW(T$1:T$1000)),ROW()-3),"")</f>
        <v/>
      </c>
      <c r="Y863" s="33" t="str">
        <f t="array" ref="Y863">IF(ISNUMBER(W863),MAX(IF((B$4:B$1000&lt;=X863)*(B$4:B$1000&gt;=W863),I$4:I$1000, "")),"")</f>
        <v/>
      </c>
      <c r="Z863" s="33" t="str">
        <f t="shared" si="593"/>
        <v/>
      </c>
      <c r="AA863" s="32" t="str">
        <f t="shared" si="594"/>
        <v/>
      </c>
      <c r="AB863" s="32" t="str">
        <f t="shared" si="595"/>
        <v/>
      </c>
      <c r="AC863" s="32" t="str">
        <f t="shared" si="596"/>
        <v/>
      </c>
      <c r="AD863" s="32" t="str">
        <f t="shared" si="597"/>
        <v/>
      </c>
      <c r="AE863" s="34" t="str">
        <f t="shared" si="598"/>
        <v/>
      </c>
      <c r="AF863" s="32" t="str">
        <f t="shared" si="599"/>
        <v/>
      </c>
      <c r="AG863" s="32" t="str">
        <f t="shared" si="600"/>
        <v/>
      </c>
      <c r="AH863" s="32" t="str">
        <f t="shared" si="601"/>
        <v/>
      </c>
      <c r="AI863" s="35" t="str">
        <f t="shared" si="602"/>
        <v/>
      </c>
      <c r="AJ863" s="23" t="str">
        <f t="array" ref="AJ863">IFERROR(SMALL(IF(U$1:U$1000="BEGIN",ROW(U$1:U$1000)),ROW()-3),"")</f>
        <v/>
      </c>
      <c r="AK863" s="23" t="str">
        <f t="array" ref="AK863">IFERROR(SMALL(IF(V$1:V$1000="END",ROW(V$1:V$1000)),ROW()-3),"")</f>
        <v/>
      </c>
      <c r="AL863" s="24" t="str">
        <f t="array" ref="AL863">IF(AK863="","",MATCH(AM863,L:L,0))</f>
        <v/>
      </c>
      <c r="AM863" s="35">
        <f t="array" ref="AM863">MAX(IF((B$4:B$1000&lt;=AK863)*(B$4:B$1000&gt;=AJ863),L$4:L$1000, ""))</f>
        <v>0</v>
      </c>
      <c r="AN863" s="32" t="str">
        <f t="shared" si="609"/>
        <v/>
      </c>
      <c r="AO863" s="32" t="str">
        <f t="shared" si="610"/>
        <v/>
      </c>
      <c r="AP863" s="32" t="str">
        <f t="shared" si="611"/>
        <v/>
      </c>
      <c r="AQ863" s="32" t="str">
        <f t="shared" si="612"/>
        <v/>
      </c>
      <c r="AR863" s="32" t="str">
        <f t="shared" si="613"/>
        <v/>
      </c>
      <c r="AS863" s="32" t="str">
        <f t="shared" si="614"/>
        <v/>
      </c>
      <c r="AT863" s="32" t="str">
        <f t="shared" si="615"/>
        <v/>
      </c>
      <c r="AU863" s="34" t="str">
        <f t="shared" si="616"/>
        <v/>
      </c>
      <c r="AV863" s="32" t="str">
        <f t="shared" si="617"/>
        <v/>
      </c>
      <c r="AW863" s="32" t="str">
        <f t="shared" si="618"/>
        <v/>
      </c>
      <c r="AX863" s="32" t="str">
        <f t="shared" si="619"/>
        <v/>
      </c>
      <c r="AY863" s="32" t="str">
        <f t="shared" si="620"/>
        <v/>
      </c>
    </row>
    <row r="864" spans="1:51" x14ac:dyDescent="0.25">
      <c r="A864" s="24" t="str">
        <f t="shared" si="578"/>
        <v/>
      </c>
      <c r="B864" s="24" t="str">
        <f t="shared" si="588"/>
        <v/>
      </c>
      <c r="C864" s="32" t="str">
        <f t="shared" si="579"/>
        <v/>
      </c>
      <c r="D864" s="24" t="str">
        <f t="shared" si="580"/>
        <v/>
      </c>
      <c r="E864" s="24" t="str">
        <f t="shared" si="581"/>
        <v/>
      </c>
      <c r="F864" s="32" t="str">
        <f t="shared" si="582"/>
        <v/>
      </c>
      <c r="G864" s="32" t="str">
        <f t="shared" si="583"/>
        <v/>
      </c>
      <c r="H864" s="32" t="str">
        <f t="shared" ca="1" si="584"/>
        <v/>
      </c>
      <c r="I864" s="32" t="str">
        <f t="shared" ca="1" si="589"/>
        <v/>
      </c>
      <c r="J864" s="32" t="str">
        <f t="shared" si="585"/>
        <v/>
      </c>
      <c r="K864" s="32" t="str">
        <f>IF(ISNUMBER(A864),Profile!$V$25+Profile!$V$24*'Ri-Po'!C864,"")</f>
        <v/>
      </c>
      <c r="L864" s="32" t="str">
        <f t="shared" si="590"/>
        <v/>
      </c>
      <c r="M864" s="32" t="str">
        <f t="shared" si="586"/>
        <v/>
      </c>
      <c r="N864" s="32" t="str">
        <f t="shared" si="587"/>
        <v/>
      </c>
      <c r="O864" s="32" t="str">
        <f t="shared" si="603"/>
        <v/>
      </c>
      <c r="P864" s="32" t="str">
        <f t="shared" si="591"/>
        <v/>
      </c>
      <c r="Q864" s="32" t="str">
        <f t="shared" si="592"/>
        <v/>
      </c>
      <c r="R864" s="32" t="str">
        <f t="shared" si="604"/>
        <v/>
      </c>
      <c r="S864" s="24" t="str">
        <f t="shared" si="605"/>
        <v/>
      </c>
      <c r="T864" s="24" t="str">
        <f t="shared" si="606"/>
        <v/>
      </c>
      <c r="U864" s="24" t="str">
        <f t="shared" si="607"/>
        <v/>
      </c>
      <c r="V864" s="24" t="str">
        <f t="shared" si="608"/>
        <v/>
      </c>
      <c r="W864" s="23" t="str">
        <f t="array" ref="W864">IFERROR(SMALL(IF(S$1:S$1000="BEGIN",ROW(S$1:S$1000)),ROW()-3),"")</f>
        <v/>
      </c>
      <c r="X864" s="23" t="str">
        <f t="array" ref="X864">IFERROR(SMALL(IF(T$1:T$1000="END",ROW(T$1:T$1000)),ROW()-3),"")</f>
        <v/>
      </c>
      <c r="Y864" s="33" t="str">
        <f t="array" ref="Y864">IF(ISNUMBER(W864),MAX(IF((B$4:B$1000&lt;=X864)*(B$4:B$1000&gt;=W864),I$4:I$1000, "")),"")</f>
        <v/>
      </c>
      <c r="Z864" s="33" t="str">
        <f t="shared" si="593"/>
        <v/>
      </c>
      <c r="AA864" s="32" t="str">
        <f t="shared" si="594"/>
        <v/>
      </c>
      <c r="AB864" s="32" t="str">
        <f t="shared" si="595"/>
        <v/>
      </c>
      <c r="AC864" s="32" t="str">
        <f t="shared" si="596"/>
        <v/>
      </c>
      <c r="AD864" s="32" t="str">
        <f t="shared" si="597"/>
        <v/>
      </c>
      <c r="AE864" s="34" t="str">
        <f t="shared" si="598"/>
        <v/>
      </c>
      <c r="AF864" s="32" t="str">
        <f t="shared" si="599"/>
        <v/>
      </c>
      <c r="AG864" s="32" t="str">
        <f t="shared" si="600"/>
        <v/>
      </c>
      <c r="AH864" s="32" t="str">
        <f t="shared" si="601"/>
        <v/>
      </c>
      <c r="AI864" s="35" t="str">
        <f t="shared" si="602"/>
        <v/>
      </c>
      <c r="AJ864" s="23" t="str">
        <f t="array" ref="AJ864">IFERROR(SMALL(IF(U$1:U$1000="BEGIN",ROW(U$1:U$1000)),ROW()-3),"")</f>
        <v/>
      </c>
      <c r="AK864" s="23" t="str">
        <f t="array" ref="AK864">IFERROR(SMALL(IF(V$1:V$1000="END",ROW(V$1:V$1000)),ROW()-3),"")</f>
        <v/>
      </c>
      <c r="AL864" s="24" t="str">
        <f t="array" ref="AL864">IF(AK864="","",MATCH(AM864,L:L,0))</f>
        <v/>
      </c>
      <c r="AM864" s="35">
        <f t="array" ref="AM864">MAX(IF((B$4:B$1000&lt;=AK864)*(B$4:B$1000&gt;=AJ864),L$4:L$1000, ""))</f>
        <v>0</v>
      </c>
      <c r="AN864" s="32" t="str">
        <f t="shared" si="609"/>
        <v/>
      </c>
      <c r="AO864" s="32" t="str">
        <f t="shared" si="610"/>
        <v/>
      </c>
      <c r="AP864" s="32" t="str">
        <f t="shared" si="611"/>
        <v/>
      </c>
      <c r="AQ864" s="32" t="str">
        <f t="shared" si="612"/>
        <v/>
      </c>
      <c r="AR864" s="32" t="str">
        <f t="shared" si="613"/>
        <v/>
      </c>
      <c r="AS864" s="32" t="str">
        <f t="shared" si="614"/>
        <v/>
      </c>
      <c r="AT864" s="32" t="str">
        <f t="shared" si="615"/>
        <v/>
      </c>
      <c r="AU864" s="34" t="str">
        <f t="shared" si="616"/>
        <v/>
      </c>
      <c r="AV864" s="32" t="str">
        <f t="shared" si="617"/>
        <v/>
      </c>
      <c r="AW864" s="32" t="str">
        <f t="shared" si="618"/>
        <v/>
      </c>
      <c r="AX864" s="32" t="str">
        <f t="shared" si="619"/>
        <v/>
      </c>
      <c r="AY864" s="32" t="str">
        <f t="shared" si="620"/>
        <v/>
      </c>
    </row>
    <row r="865" spans="1:51" x14ac:dyDescent="0.25">
      <c r="A865" s="24" t="str">
        <f t="shared" si="578"/>
        <v/>
      </c>
      <c r="B865" s="24" t="str">
        <f t="shared" si="588"/>
        <v/>
      </c>
      <c r="C865" s="32" t="str">
        <f t="shared" si="579"/>
        <v/>
      </c>
      <c r="D865" s="24" t="str">
        <f t="shared" si="580"/>
        <v/>
      </c>
      <c r="E865" s="24" t="str">
        <f t="shared" si="581"/>
        <v/>
      </c>
      <c r="F865" s="32" t="str">
        <f t="shared" si="582"/>
        <v/>
      </c>
      <c r="G865" s="32" t="str">
        <f t="shared" si="583"/>
        <v/>
      </c>
      <c r="H865" s="32" t="str">
        <f t="shared" ca="1" si="584"/>
        <v/>
      </c>
      <c r="I865" s="32" t="str">
        <f t="shared" ca="1" si="589"/>
        <v/>
      </c>
      <c r="J865" s="32" t="str">
        <f t="shared" si="585"/>
        <v/>
      </c>
      <c r="K865" s="32" t="str">
        <f>IF(ISNUMBER(A865),Profile!$V$25+Profile!$V$24*'Ri-Po'!C865,"")</f>
        <v/>
      </c>
      <c r="L865" s="32" t="str">
        <f t="shared" si="590"/>
        <v/>
      </c>
      <c r="M865" s="32" t="str">
        <f t="shared" si="586"/>
        <v/>
      </c>
      <c r="N865" s="32" t="str">
        <f t="shared" si="587"/>
        <v/>
      </c>
      <c r="O865" s="32" t="str">
        <f t="shared" si="603"/>
        <v/>
      </c>
      <c r="P865" s="32" t="str">
        <f t="shared" si="591"/>
        <v/>
      </c>
      <c r="Q865" s="32" t="str">
        <f t="shared" si="592"/>
        <v/>
      </c>
      <c r="R865" s="32" t="str">
        <f t="shared" si="604"/>
        <v/>
      </c>
      <c r="S865" s="24" t="str">
        <f t="shared" si="605"/>
        <v/>
      </c>
      <c r="T865" s="24" t="str">
        <f t="shared" si="606"/>
        <v/>
      </c>
      <c r="U865" s="24" t="str">
        <f t="shared" si="607"/>
        <v/>
      </c>
      <c r="V865" s="24" t="str">
        <f t="shared" si="608"/>
        <v/>
      </c>
      <c r="W865" s="23" t="str">
        <f t="array" ref="W865">IFERROR(SMALL(IF(S$1:S$1000="BEGIN",ROW(S$1:S$1000)),ROW()-3),"")</f>
        <v/>
      </c>
      <c r="X865" s="23" t="str">
        <f t="array" ref="X865">IFERROR(SMALL(IF(T$1:T$1000="END",ROW(T$1:T$1000)),ROW()-3),"")</f>
        <v/>
      </c>
      <c r="Y865" s="33" t="str">
        <f t="array" ref="Y865">IF(ISNUMBER(W865),MAX(IF((B$4:B$1000&lt;=X865)*(B$4:B$1000&gt;=W865),I$4:I$1000, "")),"")</f>
        <v/>
      </c>
      <c r="Z865" s="33" t="str">
        <f t="shared" si="593"/>
        <v/>
      </c>
      <c r="AA865" s="32" t="str">
        <f t="shared" si="594"/>
        <v/>
      </c>
      <c r="AB865" s="32" t="str">
        <f t="shared" si="595"/>
        <v/>
      </c>
      <c r="AC865" s="32" t="str">
        <f t="shared" si="596"/>
        <v/>
      </c>
      <c r="AD865" s="32" t="str">
        <f t="shared" si="597"/>
        <v/>
      </c>
      <c r="AE865" s="34" t="str">
        <f t="shared" si="598"/>
        <v/>
      </c>
      <c r="AF865" s="32" t="str">
        <f t="shared" si="599"/>
        <v/>
      </c>
      <c r="AG865" s="32" t="str">
        <f t="shared" si="600"/>
        <v/>
      </c>
      <c r="AH865" s="32" t="str">
        <f t="shared" si="601"/>
        <v/>
      </c>
      <c r="AI865" s="35" t="str">
        <f t="shared" si="602"/>
        <v/>
      </c>
      <c r="AJ865" s="23" t="str">
        <f t="array" ref="AJ865">IFERROR(SMALL(IF(U$1:U$1000="BEGIN",ROW(U$1:U$1000)),ROW()-3),"")</f>
        <v/>
      </c>
      <c r="AK865" s="23" t="str">
        <f t="array" ref="AK865">IFERROR(SMALL(IF(V$1:V$1000="END",ROW(V$1:V$1000)),ROW()-3),"")</f>
        <v/>
      </c>
      <c r="AL865" s="24" t="str">
        <f t="array" ref="AL865">IF(AK865="","",MATCH(AM865,L:L,0))</f>
        <v/>
      </c>
      <c r="AM865" s="35">
        <f t="array" ref="AM865">MAX(IF((B$4:B$1000&lt;=AK865)*(B$4:B$1000&gt;=AJ865),L$4:L$1000, ""))</f>
        <v>0</v>
      </c>
      <c r="AN865" s="32" t="str">
        <f t="shared" si="609"/>
        <v/>
      </c>
      <c r="AO865" s="32" t="str">
        <f t="shared" si="610"/>
        <v/>
      </c>
      <c r="AP865" s="32" t="str">
        <f t="shared" si="611"/>
        <v/>
      </c>
      <c r="AQ865" s="32" t="str">
        <f t="shared" si="612"/>
        <v/>
      </c>
      <c r="AR865" s="32" t="str">
        <f t="shared" si="613"/>
        <v/>
      </c>
      <c r="AS865" s="32" t="str">
        <f t="shared" si="614"/>
        <v/>
      </c>
      <c r="AT865" s="32" t="str">
        <f t="shared" si="615"/>
        <v/>
      </c>
      <c r="AU865" s="34" t="str">
        <f t="shared" si="616"/>
        <v/>
      </c>
      <c r="AV865" s="32" t="str">
        <f t="shared" si="617"/>
        <v/>
      </c>
      <c r="AW865" s="32" t="str">
        <f t="shared" si="618"/>
        <v/>
      </c>
      <c r="AX865" s="32" t="str">
        <f t="shared" si="619"/>
        <v/>
      </c>
      <c r="AY865" s="32" t="str">
        <f t="shared" si="620"/>
        <v/>
      </c>
    </row>
    <row r="866" spans="1:51" x14ac:dyDescent="0.25">
      <c r="A866" s="24" t="str">
        <f t="shared" si="578"/>
        <v/>
      </c>
      <c r="B866" s="24" t="str">
        <f t="shared" si="588"/>
        <v/>
      </c>
      <c r="C866" s="32" t="str">
        <f t="shared" si="579"/>
        <v/>
      </c>
      <c r="D866" s="24" t="str">
        <f t="shared" si="580"/>
        <v/>
      </c>
      <c r="E866" s="24" t="str">
        <f t="shared" si="581"/>
        <v/>
      </c>
      <c r="F866" s="32" t="str">
        <f t="shared" si="582"/>
        <v/>
      </c>
      <c r="G866" s="32" t="str">
        <f t="shared" si="583"/>
        <v/>
      </c>
      <c r="H866" s="32" t="str">
        <f t="shared" ca="1" si="584"/>
        <v/>
      </c>
      <c r="I866" s="32" t="str">
        <f t="shared" ca="1" si="589"/>
        <v/>
      </c>
      <c r="J866" s="32" t="str">
        <f t="shared" si="585"/>
        <v/>
      </c>
      <c r="K866" s="32" t="str">
        <f>IF(ISNUMBER(A866),Profile!$V$25+Profile!$V$24*'Ri-Po'!C866,"")</f>
        <v/>
      </c>
      <c r="L866" s="32" t="str">
        <f t="shared" si="590"/>
        <v/>
      </c>
      <c r="M866" s="32" t="str">
        <f t="shared" si="586"/>
        <v/>
      </c>
      <c r="N866" s="32" t="str">
        <f t="shared" si="587"/>
        <v/>
      </c>
      <c r="O866" s="32" t="str">
        <f t="shared" si="603"/>
        <v/>
      </c>
      <c r="P866" s="32" t="str">
        <f t="shared" si="591"/>
        <v/>
      </c>
      <c r="Q866" s="32" t="str">
        <f t="shared" si="592"/>
        <v/>
      </c>
      <c r="R866" s="32" t="str">
        <f t="shared" si="604"/>
        <v/>
      </c>
      <c r="S866" s="24" t="str">
        <f t="shared" si="605"/>
        <v/>
      </c>
      <c r="T866" s="24" t="str">
        <f t="shared" si="606"/>
        <v/>
      </c>
      <c r="U866" s="24" t="str">
        <f t="shared" si="607"/>
        <v/>
      </c>
      <c r="V866" s="24" t="str">
        <f t="shared" si="608"/>
        <v/>
      </c>
      <c r="W866" s="23" t="str">
        <f t="array" ref="W866">IFERROR(SMALL(IF(S$1:S$1000="BEGIN",ROW(S$1:S$1000)),ROW()-3),"")</f>
        <v/>
      </c>
      <c r="X866" s="23" t="str">
        <f t="array" ref="X866">IFERROR(SMALL(IF(T$1:T$1000="END",ROW(T$1:T$1000)),ROW()-3),"")</f>
        <v/>
      </c>
      <c r="Y866" s="33" t="str">
        <f t="array" ref="Y866">IF(ISNUMBER(W866),MAX(IF((B$4:B$1000&lt;=X866)*(B$4:B$1000&gt;=W866),I$4:I$1000, "")),"")</f>
        <v/>
      </c>
      <c r="Z866" s="33" t="str">
        <f t="shared" si="593"/>
        <v/>
      </c>
      <c r="AA866" s="32" t="str">
        <f t="shared" si="594"/>
        <v/>
      </c>
      <c r="AB866" s="32" t="str">
        <f t="shared" si="595"/>
        <v/>
      </c>
      <c r="AC866" s="32" t="str">
        <f t="shared" si="596"/>
        <v/>
      </c>
      <c r="AD866" s="32" t="str">
        <f t="shared" si="597"/>
        <v/>
      </c>
      <c r="AE866" s="34" t="str">
        <f t="shared" si="598"/>
        <v/>
      </c>
      <c r="AF866" s="32" t="str">
        <f t="shared" si="599"/>
        <v/>
      </c>
      <c r="AG866" s="32" t="str">
        <f t="shared" si="600"/>
        <v/>
      </c>
      <c r="AH866" s="32" t="str">
        <f t="shared" si="601"/>
        <v/>
      </c>
      <c r="AI866" s="35" t="str">
        <f t="shared" si="602"/>
        <v/>
      </c>
      <c r="AJ866" s="23" t="str">
        <f t="array" ref="AJ866">IFERROR(SMALL(IF(U$1:U$1000="BEGIN",ROW(U$1:U$1000)),ROW()-3),"")</f>
        <v/>
      </c>
      <c r="AK866" s="23" t="str">
        <f t="array" ref="AK866">IFERROR(SMALL(IF(V$1:V$1000="END",ROW(V$1:V$1000)),ROW()-3),"")</f>
        <v/>
      </c>
      <c r="AL866" s="24" t="str">
        <f t="array" ref="AL866">IF(AK866="","",MATCH(AM866,L:L,0))</f>
        <v/>
      </c>
      <c r="AM866" s="35">
        <f t="array" ref="AM866">MAX(IF((B$4:B$1000&lt;=AK866)*(B$4:B$1000&gt;=AJ866),L$4:L$1000, ""))</f>
        <v>0</v>
      </c>
      <c r="AN866" s="32" t="str">
        <f t="shared" si="609"/>
        <v/>
      </c>
      <c r="AO866" s="32" t="str">
        <f t="shared" si="610"/>
        <v/>
      </c>
      <c r="AP866" s="32" t="str">
        <f t="shared" si="611"/>
        <v/>
      </c>
      <c r="AQ866" s="32" t="str">
        <f t="shared" si="612"/>
        <v/>
      </c>
      <c r="AR866" s="32" t="str">
        <f t="shared" si="613"/>
        <v/>
      </c>
      <c r="AS866" s="32" t="str">
        <f t="shared" si="614"/>
        <v/>
      </c>
      <c r="AT866" s="32" t="str">
        <f t="shared" si="615"/>
        <v/>
      </c>
      <c r="AU866" s="34" t="str">
        <f t="shared" si="616"/>
        <v/>
      </c>
      <c r="AV866" s="32" t="str">
        <f t="shared" si="617"/>
        <v/>
      </c>
      <c r="AW866" s="32" t="str">
        <f t="shared" si="618"/>
        <v/>
      </c>
      <c r="AX866" s="32" t="str">
        <f t="shared" si="619"/>
        <v/>
      </c>
      <c r="AY866" s="32" t="str">
        <f t="shared" si="620"/>
        <v/>
      </c>
    </row>
    <row r="867" spans="1:51" x14ac:dyDescent="0.25">
      <c r="A867" s="24" t="str">
        <f t="shared" si="578"/>
        <v/>
      </c>
      <c r="B867" s="24" t="str">
        <f t="shared" si="588"/>
        <v/>
      </c>
      <c r="C867" s="32" t="str">
        <f t="shared" si="579"/>
        <v/>
      </c>
      <c r="D867" s="24" t="str">
        <f t="shared" si="580"/>
        <v/>
      </c>
      <c r="E867" s="24" t="str">
        <f t="shared" si="581"/>
        <v/>
      </c>
      <c r="F867" s="32" t="str">
        <f t="shared" si="582"/>
        <v/>
      </c>
      <c r="G867" s="32" t="str">
        <f t="shared" si="583"/>
        <v/>
      </c>
      <c r="H867" s="32" t="str">
        <f t="shared" ca="1" si="584"/>
        <v/>
      </c>
      <c r="I867" s="32" t="str">
        <f t="shared" ca="1" si="589"/>
        <v/>
      </c>
      <c r="J867" s="32" t="str">
        <f t="shared" si="585"/>
        <v/>
      </c>
      <c r="K867" s="32" t="str">
        <f>IF(ISNUMBER(A867),Profile!$V$25+Profile!$V$24*'Ri-Po'!C867,"")</f>
        <v/>
      </c>
      <c r="L867" s="32" t="str">
        <f t="shared" si="590"/>
        <v/>
      </c>
      <c r="M867" s="32" t="str">
        <f t="shared" si="586"/>
        <v/>
      </c>
      <c r="N867" s="32" t="str">
        <f t="shared" si="587"/>
        <v/>
      </c>
      <c r="O867" s="32" t="str">
        <f t="shared" si="603"/>
        <v/>
      </c>
      <c r="P867" s="32" t="str">
        <f t="shared" si="591"/>
        <v/>
      </c>
      <c r="Q867" s="32" t="str">
        <f t="shared" si="592"/>
        <v/>
      </c>
      <c r="R867" s="32" t="str">
        <f t="shared" si="604"/>
        <v/>
      </c>
      <c r="S867" s="24" t="str">
        <f t="shared" si="605"/>
        <v/>
      </c>
      <c r="T867" s="24" t="str">
        <f t="shared" si="606"/>
        <v/>
      </c>
      <c r="U867" s="24" t="str">
        <f t="shared" si="607"/>
        <v/>
      </c>
      <c r="V867" s="24" t="str">
        <f t="shared" si="608"/>
        <v/>
      </c>
      <c r="W867" s="23" t="str">
        <f t="array" ref="W867">IFERROR(SMALL(IF(S$1:S$1000="BEGIN",ROW(S$1:S$1000)),ROW()-3),"")</f>
        <v/>
      </c>
      <c r="X867" s="23" t="str">
        <f t="array" ref="X867">IFERROR(SMALL(IF(T$1:T$1000="END",ROW(T$1:T$1000)),ROW()-3),"")</f>
        <v/>
      </c>
      <c r="Y867" s="33" t="str">
        <f t="array" ref="Y867">IF(ISNUMBER(W867),MAX(IF((B$4:B$1000&lt;=X867)*(B$4:B$1000&gt;=W867),I$4:I$1000, "")),"")</f>
        <v/>
      </c>
      <c r="Z867" s="33" t="str">
        <f t="shared" si="593"/>
        <v/>
      </c>
      <c r="AA867" s="32" t="str">
        <f t="shared" si="594"/>
        <v/>
      </c>
      <c r="AB867" s="32" t="str">
        <f t="shared" si="595"/>
        <v/>
      </c>
      <c r="AC867" s="32" t="str">
        <f t="shared" si="596"/>
        <v/>
      </c>
      <c r="AD867" s="32" t="str">
        <f t="shared" si="597"/>
        <v/>
      </c>
      <c r="AE867" s="34" t="str">
        <f t="shared" si="598"/>
        <v/>
      </c>
      <c r="AF867" s="32" t="str">
        <f t="shared" si="599"/>
        <v/>
      </c>
      <c r="AG867" s="32" t="str">
        <f t="shared" si="600"/>
        <v/>
      </c>
      <c r="AH867" s="32" t="str">
        <f t="shared" si="601"/>
        <v/>
      </c>
      <c r="AI867" s="35" t="str">
        <f t="shared" si="602"/>
        <v/>
      </c>
      <c r="AJ867" s="23" t="str">
        <f t="array" ref="AJ867">IFERROR(SMALL(IF(U$1:U$1000="BEGIN",ROW(U$1:U$1000)),ROW()-3),"")</f>
        <v/>
      </c>
      <c r="AK867" s="23" t="str">
        <f t="array" ref="AK867">IFERROR(SMALL(IF(V$1:V$1000="END",ROW(V$1:V$1000)),ROW()-3),"")</f>
        <v/>
      </c>
      <c r="AL867" s="24" t="str">
        <f t="array" ref="AL867">IF(AK867="","",MATCH(AM867,L:L,0))</f>
        <v/>
      </c>
      <c r="AM867" s="35">
        <f t="array" ref="AM867">MAX(IF((B$4:B$1000&lt;=AK867)*(B$4:B$1000&gt;=AJ867),L$4:L$1000, ""))</f>
        <v>0</v>
      </c>
      <c r="AN867" s="32" t="str">
        <f t="shared" si="609"/>
        <v/>
      </c>
      <c r="AO867" s="32" t="str">
        <f t="shared" si="610"/>
        <v/>
      </c>
      <c r="AP867" s="32" t="str">
        <f t="shared" si="611"/>
        <v/>
      </c>
      <c r="AQ867" s="32" t="str">
        <f t="shared" si="612"/>
        <v/>
      </c>
      <c r="AR867" s="32" t="str">
        <f t="shared" si="613"/>
        <v/>
      </c>
      <c r="AS867" s="32" t="str">
        <f t="shared" si="614"/>
        <v/>
      </c>
      <c r="AT867" s="32" t="str">
        <f t="shared" si="615"/>
        <v/>
      </c>
      <c r="AU867" s="34" t="str">
        <f t="shared" si="616"/>
        <v/>
      </c>
      <c r="AV867" s="32" t="str">
        <f t="shared" si="617"/>
        <v/>
      </c>
      <c r="AW867" s="32" t="str">
        <f t="shared" si="618"/>
        <v/>
      </c>
      <c r="AX867" s="32" t="str">
        <f t="shared" si="619"/>
        <v/>
      </c>
      <c r="AY867" s="32" t="str">
        <f t="shared" si="620"/>
        <v/>
      </c>
    </row>
    <row r="868" spans="1:51" x14ac:dyDescent="0.25">
      <c r="A868" s="24" t="str">
        <f t="shared" si="578"/>
        <v/>
      </c>
      <c r="B868" s="24" t="str">
        <f t="shared" si="588"/>
        <v/>
      </c>
      <c r="C868" s="32" t="str">
        <f t="shared" si="579"/>
        <v/>
      </c>
      <c r="D868" s="24" t="str">
        <f t="shared" si="580"/>
        <v/>
      </c>
      <c r="E868" s="24" t="str">
        <f t="shared" si="581"/>
        <v/>
      </c>
      <c r="F868" s="32" t="str">
        <f t="shared" si="582"/>
        <v/>
      </c>
      <c r="G868" s="32" t="str">
        <f t="shared" si="583"/>
        <v/>
      </c>
      <c r="H868" s="32" t="str">
        <f t="shared" ca="1" si="584"/>
        <v/>
      </c>
      <c r="I868" s="32" t="str">
        <f t="shared" ca="1" si="589"/>
        <v/>
      </c>
      <c r="J868" s="32" t="str">
        <f t="shared" si="585"/>
        <v/>
      </c>
      <c r="K868" s="32" t="str">
        <f>IF(ISNUMBER(A868),Profile!$V$25+Profile!$V$24*'Ri-Po'!C868,"")</f>
        <v/>
      </c>
      <c r="L868" s="32" t="str">
        <f t="shared" si="590"/>
        <v/>
      </c>
      <c r="M868" s="32" t="str">
        <f t="shared" si="586"/>
        <v/>
      </c>
      <c r="N868" s="32" t="str">
        <f t="shared" si="587"/>
        <v/>
      </c>
      <c r="O868" s="32" t="str">
        <f t="shared" si="603"/>
        <v/>
      </c>
      <c r="P868" s="32" t="str">
        <f t="shared" si="591"/>
        <v/>
      </c>
      <c r="Q868" s="32" t="str">
        <f t="shared" si="592"/>
        <v/>
      </c>
      <c r="R868" s="32" t="str">
        <f t="shared" si="604"/>
        <v/>
      </c>
      <c r="S868" s="24" t="str">
        <f t="shared" si="605"/>
        <v/>
      </c>
      <c r="T868" s="24" t="str">
        <f t="shared" si="606"/>
        <v/>
      </c>
      <c r="U868" s="24" t="str">
        <f t="shared" si="607"/>
        <v/>
      </c>
      <c r="V868" s="24" t="str">
        <f t="shared" si="608"/>
        <v/>
      </c>
      <c r="W868" s="23" t="str">
        <f t="array" ref="W868">IFERROR(SMALL(IF(S$1:S$1000="BEGIN",ROW(S$1:S$1000)),ROW()-3),"")</f>
        <v/>
      </c>
      <c r="X868" s="23" t="str">
        <f t="array" ref="X868">IFERROR(SMALL(IF(T$1:T$1000="END",ROW(T$1:T$1000)),ROW()-3),"")</f>
        <v/>
      </c>
      <c r="Y868" s="33" t="str">
        <f t="array" ref="Y868">IF(ISNUMBER(W868),MAX(IF((B$4:B$1000&lt;=X868)*(B$4:B$1000&gt;=W868),I$4:I$1000, "")),"")</f>
        <v/>
      </c>
      <c r="Z868" s="33" t="str">
        <f t="shared" si="593"/>
        <v/>
      </c>
      <c r="AA868" s="32" t="str">
        <f t="shared" si="594"/>
        <v/>
      </c>
      <c r="AB868" s="32" t="str">
        <f t="shared" si="595"/>
        <v/>
      </c>
      <c r="AC868" s="32" t="str">
        <f t="shared" si="596"/>
        <v/>
      </c>
      <c r="AD868" s="32" t="str">
        <f t="shared" si="597"/>
        <v/>
      </c>
      <c r="AE868" s="34" t="str">
        <f t="shared" si="598"/>
        <v/>
      </c>
      <c r="AF868" s="32" t="str">
        <f t="shared" si="599"/>
        <v/>
      </c>
      <c r="AG868" s="32" t="str">
        <f t="shared" si="600"/>
        <v/>
      </c>
      <c r="AH868" s="32" t="str">
        <f t="shared" si="601"/>
        <v/>
      </c>
      <c r="AI868" s="35" t="str">
        <f t="shared" si="602"/>
        <v/>
      </c>
      <c r="AJ868" s="23" t="str">
        <f t="array" ref="AJ868">IFERROR(SMALL(IF(U$1:U$1000="BEGIN",ROW(U$1:U$1000)),ROW()-3),"")</f>
        <v/>
      </c>
      <c r="AK868" s="23" t="str">
        <f t="array" ref="AK868">IFERROR(SMALL(IF(V$1:V$1000="END",ROW(V$1:V$1000)),ROW()-3),"")</f>
        <v/>
      </c>
      <c r="AL868" s="24" t="str">
        <f t="array" ref="AL868">IF(AK868="","",MATCH(AM868,L:L,0))</f>
        <v/>
      </c>
      <c r="AM868" s="35">
        <f t="array" ref="AM868">MAX(IF((B$4:B$1000&lt;=AK868)*(B$4:B$1000&gt;=AJ868),L$4:L$1000, ""))</f>
        <v>0</v>
      </c>
      <c r="AN868" s="32" t="str">
        <f t="shared" si="609"/>
        <v/>
      </c>
      <c r="AO868" s="32" t="str">
        <f t="shared" si="610"/>
        <v/>
      </c>
      <c r="AP868" s="32" t="str">
        <f t="shared" si="611"/>
        <v/>
      </c>
      <c r="AQ868" s="32" t="str">
        <f t="shared" si="612"/>
        <v/>
      </c>
      <c r="AR868" s="32" t="str">
        <f t="shared" si="613"/>
        <v/>
      </c>
      <c r="AS868" s="32" t="str">
        <f t="shared" si="614"/>
        <v/>
      </c>
      <c r="AT868" s="32" t="str">
        <f t="shared" si="615"/>
        <v/>
      </c>
      <c r="AU868" s="34" t="str">
        <f t="shared" si="616"/>
        <v/>
      </c>
      <c r="AV868" s="32" t="str">
        <f t="shared" si="617"/>
        <v/>
      </c>
      <c r="AW868" s="32" t="str">
        <f t="shared" si="618"/>
        <v/>
      </c>
      <c r="AX868" s="32" t="str">
        <f t="shared" si="619"/>
        <v/>
      </c>
      <c r="AY868" s="32" t="str">
        <f t="shared" si="620"/>
        <v/>
      </c>
    </row>
    <row r="869" spans="1:51" x14ac:dyDescent="0.25">
      <c r="A869" s="24" t="str">
        <f t="shared" si="578"/>
        <v/>
      </c>
      <c r="B869" s="24" t="str">
        <f t="shared" si="588"/>
        <v/>
      </c>
      <c r="C869" s="32" t="str">
        <f t="shared" si="579"/>
        <v/>
      </c>
      <c r="D869" s="24" t="str">
        <f t="shared" si="580"/>
        <v/>
      </c>
      <c r="E869" s="24" t="str">
        <f t="shared" si="581"/>
        <v/>
      </c>
      <c r="F869" s="32" t="str">
        <f t="shared" si="582"/>
        <v/>
      </c>
      <c r="G869" s="32" t="str">
        <f t="shared" si="583"/>
        <v/>
      </c>
      <c r="H869" s="32" t="str">
        <f t="shared" ca="1" si="584"/>
        <v/>
      </c>
      <c r="I869" s="32" t="str">
        <f t="shared" ca="1" si="589"/>
        <v/>
      </c>
      <c r="J869" s="32" t="str">
        <f t="shared" si="585"/>
        <v/>
      </c>
      <c r="K869" s="32" t="str">
        <f>IF(ISNUMBER(A869),Profile!$V$25+Profile!$V$24*'Ri-Po'!C869,"")</f>
        <v/>
      </c>
      <c r="L869" s="32" t="str">
        <f t="shared" si="590"/>
        <v/>
      </c>
      <c r="M869" s="32" t="str">
        <f t="shared" si="586"/>
        <v/>
      </c>
      <c r="N869" s="32" t="str">
        <f t="shared" si="587"/>
        <v/>
      </c>
      <c r="O869" s="32" t="str">
        <f t="shared" si="603"/>
        <v/>
      </c>
      <c r="P869" s="32" t="str">
        <f t="shared" si="591"/>
        <v/>
      </c>
      <c r="Q869" s="32" t="str">
        <f t="shared" si="592"/>
        <v/>
      </c>
      <c r="R869" s="32" t="str">
        <f t="shared" si="604"/>
        <v/>
      </c>
      <c r="S869" s="24" t="str">
        <f t="shared" si="605"/>
        <v/>
      </c>
      <c r="T869" s="24" t="str">
        <f t="shared" si="606"/>
        <v/>
      </c>
      <c r="U869" s="24" t="str">
        <f t="shared" si="607"/>
        <v/>
      </c>
      <c r="V869" s="24" t="str">
        <f t="shared" si="608"/>
        <v/>
      </c>
      <c r="W869" s="23" t="str">
        <f t="array" ref="W869">IFERROR(SMALL(IF(S$1:S$1000="BEGIN",ROW(S$1:S$1000)),ROW()-3),"")</f>
        <v/>
      </c>
      <c r="X869" s="23" t="str">
        <f t="array" ref="X869">IFERROR(SMALL(IF(T$1:T$1000="END",ROW(T$1:T$1000)),ROW()-3),"")</f>
        <v/>
      </c>
      <c r="Y869" s="33" t="str">
        <f t="array" ref="Y869">IF(ISNUMBER(W869),MAX(IF((B$4:B$1000&lt;=X869)*(B$4:B$1000&gt;=W869),I$4:I$1000, "")),"")</f>
        <v/>
      </c>
      <c r="Z869" s="33" t="str">
        <f t="shared" si="593"/>
        <v/>
      </c>
      <c r="AA869" s="32" t="str">
        <f t="shared" si="594"/>
        <v/>
      </c>
      <c r="AB869" s="32" t="str">
        <f t="shared" si="595"/>
        <v/>
      </c>
      <c r="AC869" s="32" t="str">
        <f t="shared" si="596"/>
        <v/>
      </c>
      <c r="AD869" s="32" t="str">
        <f t="shared" si="597"/>
        <v/>
      </c>
      <c r="AE869" s="34" t="str">
        <f t="shared" si="598"/>
        <v/>
      </c>
      <c r="AF869" s="32" t="str">
        <f t="shared" si="599"/>
        <v/>
      </c>
      <c r="AG869" s="32" t="str">
        <f t="shared" si="600"/>
        <v/>
      </c>
      <c r="AH869" s="32" t="str">
        <f t="shared" si="601"/>
        <v/>
      </c>
      <c r="AI869" s="35" t="str">
        <f t="shared" si="602"/>
        <v/>
      </c>
      <c r="AJ869" s="23" t="str">
        <f t="array" ref="AJ869">IFERROR(SMALL(IF(U$1:U$1000="BEGIN",ROW(U$1:U$1000)),ROW()-3),"")</f>
        <v/>
      </c>
      <c r="AK869" s="23" t="str">
        <f t="array" ref="AK869">IFERROR(SMALL(IF(V$1:V$1000="END",ROW(V$1:V$1000)),ROW()-3),"")</f>
        <v/>
      </c>
      <c r="AL869" s="24" t="str">
        <f t="array" ref="AL869">IF(AK869="","",MATCH(AM869,L:L,0))</f>
        <v/>
      </c>
      <c r="AM869" s="35">
        <f t="array" ref="AM869">MAX(IF((B$4:B$1000&lt;=AK869)*(B$4:B$1000&gt;=AJ869),L$4:L$1000, ""))</f>
        <v>0</v>
      </c>
      <c r="AN869" s="32" t="str">
        <f t="shared" si="609"/>
        <v/>
      </c>
      <c r="AO869" s="32" t="str">
        <f t="shared" si="610"/>
        <v/>
      </c>
      <c r="AP869" s="32" t="str">
        <f t="shared" si="611"/>
        <v/>
      </c>
      <c r="AQ869" s="32" t="str">
        <f t="shared" si="612"/>
        <v/>
      </c>
      <c r="AR869" s="32" t="str">
        <f t="shared" si="613"/>
        <v/>
      </c>
      <c r="AS869" s="32" t="str">
        <f t="shared" si="614"/>
        <v/>
      </c>
      <c r="AT869" s="32" t="str">
        <f t="shared" si="615"/>
        <v/>
      </c>
      <c r="AU869" s="34" t="str">
        <f t="shared" si="616"/>
        <v/>
      </c>
      <c r="AV869" s="32" t="str">
        <f t="shared" si="617"/>
        <v/>
      </c>
      <c r="AW869" s="32" t="str">
        <f t="shared" si="618"/>
        <v/>
      </c>
      <c r="AX869" s="32" t="str">
        <f t="shared" si="619"/>
        <v/>
      </c>
      <c r="AY869" s="32" t="str">
        <f t="shared" si="620"/>
        <v/>
      </c>
    </row>
    <row r="870" spans="1:51" x14ac:dyDescent="0.25">
      <c r="A870" s="24" t="str">
        <f t="shared" si="578"/>
        <v/>
      </c>
      <c r="B870" s="24" t="str">
        <f t="shared" si="588"/>
        <v/>
      </c>
      <c r="C870" s="32" t="str">
        <f t="shared" si="579"/>
        <v/>
      </c>
      <c r="D870" s="24" t="str">
        <f t="shared" si="580"/>
        <v/>
      </c>
      <c r="E870" s="24" t="str">
        <f t="shared" si="581"/>
        <v/>
      </c>
      <c r="F870" s="32" t="str">
        <f t="shared" si="582"/>
        <v/>
      </c>
      <c r="G870" s="32" t="str">
        <f t="shared" si="583"/>
        <v/>
      </c>
      <c r="H870" s="32" t="str">
        <f t="shared" ca="1" si="584"/>
        <v/>
      </c>
      <c r="I870" s="32" t="str">
        <f t="shared" ca="1" si="589"/>
        <v/>
      </c>
      <c r="J870" s="32" t="str">
        <f t="shared" si="585"/>
        <v/>
      </c>
      <c r="K870" s="32" t="str">
        <f>IF(ISNUMBER(A870),Profile!$V$25+Profile!$V$24*'Ri-Po'!C870,"")</f>
        <v/>
      </c>
      <c r="L870" s="32" t="str">
        <f t="shared" si="590"/>
        <v/>
      </c>
      <c r="M870" s="32" t="str">
        <f t="shared" si="586"/>
        <v/>
      </c>
      <c r="N870" s="32" t="str">
        <f t="shared" si="587"/>
        <v/>
      </c>
      <c r="O870" s="32" t="str">
        <f t="shared" si="603"/>
        <v/>
      </c>
      <c r="P870" s="32" t="str">
        <f t="shared" si="591"/>
        <v/>
      </c>
      <c r="Q870" s="32" t="str">
        <f t="shared" si="592"/>
        <v/>
      </c>
      <c r="R870" s="32" t="str">
        <f t="shared" si="604"/>
        <v/>
      </c>
      <c r="S870" s="24" t="str">
        <f t="shared" si="605"/>
        <v/>
      </c>
      <c r="T870" s="24" t="str">
        <f t="shared" si="606"/>
        <v/>
      </c>
      <c r="U870" s="24" t="str">
        <f t="shared" si="607"/>
        <v/>
      </c>
      <c r="V870" s="24" t="str">
        <f t="shared" si="608"/>
        <v/>
      </c>
      <c r="W870" s="23" t="str">
        <f t="array" ref="W870">IFERROR(SMALL(IF(S$1:S$1000="BEGIN",ROW(S$1:S$1000)),ROW()-3),"")</f>
        <v/>
      </c>
      <c r="X870" s="23" t="str">
        <f t="array" ref="X870">IFERROR(SMALL(IF(T$1:T$1000="END",ROW(T$1:T$1000)),ROW()-3),"")</f>
        <v/>
      </c>
      <c r="Y870" s="33" t="str">
        <f t="array" ref="Y870">IF(ISNUMBER(W870),MAX(IF((B$4:B$1000&lt;=X870)*(B$4:B$1000&gt;=W870),I$4:I$1000, "")),"")</f>
        <v/>
      </c>
      <c r="Z870" s="33" t="str">
        <f t="shared" si="593"/>
        <v/>
      </c>
      <c r="AA870" s="32" t="str">
        <f t="shared" si="594"/>
        <v/>
      </c>
      <c r="AB870" s="32" t="str">
        <f t="shared" si="595"/>
        <v/>
      </c>
      <c r="AC870" s="32" t="str">
        <f t="shared" si="596"/>
        <v/>
      </c>
      <c r="AD870" s="32" t="str">
        <f t="shared" si="597"/>
        <v/>
      </c>
      <c r="AE870" s="34" t="str">
        <f t="shared" si="598"/>
        <v/>
      </c>
      <c r="AF870" s="32" t="str">
        <f t="shared" si="599"/>
        <v/>
      </c>
      <c r="AG870" s="32" t="str">
        <f t="shared" si="600"/>
        <v/>
      </c>
      <c r="AH870" s="32" t="str">
        <f t="shared" si="601"/>
        <v/>
      </c>
      <c r="AI870" s="35" t="str">
        <f t="shared" si="602"/>
        <v/>
      </c>
      <c r="AJ870" s="23" t="str">
        <f t="array" ref="AJ870">IFERROR(SMALL(IF(U$1:U$1000="BEGIN",ROW(U$1:U$1000)),ROW()-3),"")</f>
        <v/>
      </c>
      <c r="AK870" s="23" t="str">
        <f t="array" ref="AK870">IFERROR(SMALL(IF(V$1:V$1000="END",ROW(V$1:V$1000)),ROW()-3),"")</f>
        <v/>
      </c>
      <c r="AL870" s="24" t="str">
        <f t="array" ref="AL870">IF(AK870="","",MATCH(AM870,L:L,0))</f>
        <v/>
      </c>
      <c r="AM870" s="35">
        <f t="array" ref="AM870">MAX(IF((B$4:B$1000&lt;=AK870)*(B$4:B$1000&gt;=AJ870),L$4:L$1000, ""))</f>
        <v>0</v>
      </c>
      <c r="AN870" s="32" t="str">
        <f t="shared" si="609"/>
        <v/>
      </c>
      <c r="AO870" s="32" t="str">
        <f t="shared" si="610"/>
        <v/>
      </c>
      <c r="AP870" s="32" t="str">
        <f t="shared" si="611"/>
        <v/>
      </c>
      <c r="AQ870" s="32" t="str">
        <f t="shared" si="612"/>
        <v/>
      </c>
      <c r="AR870" s="32" t="str">
        <f t="shared" si="613"/>
        <v/>
      </c>
      <c r="AS870" s="32" t="str">
        <f t="shared" si="614"/>
        <v/>
      </c>
      <c r="AT870" s="32" t="str">
        <f t="shared" si="615"/>
        <v/>
      </c>
      <c r="AU870" s="34" t="str">
        <f t="shared" si="616"/>
        <v/>
      </c>
      <c r="AV870" s="32" t="str">
        <f t="shared" si="617"/>
        <v/>
      </c>
      <c r="AW870" s="32" t="str">
        <f t="shared" si="618"/>
        <v/>
      </c>
      <c r="AX870" s="32" t="str">
        <f t="shared" si="619"/>
        <v/>
      </c>
      <c r="AY870" s="32" t="str">
        <f t="shared" si="620"/>
        <v/>
      </c>
    </row>
    <row r="871" spans="1:51" x14ac:dyDescent="0.25">
      <c r="A871" s="24" t="str">
        <f t="shared" si="578"/>
        <v/>
      </c>
      <c r="B871" s="24" t="str">
        <f t="shared" si="588"/>
        <v/>
      </c>
      <c r="C871" s="32" t="str">
        <f t="shared" si="579"/>
        <v/>
      </c>
      <c r="D871" s="24" t="str">
        <f t="shared" si="580"/>
        <v/>
      </c>
      <c r="E871" s="24" t="str">
        <f t="shared" si="581"/>
        <v/>
      </c>
      <c r="F871" s="32" t="str">
        <f t="shared" si="582"/>
        <v/>
      </c>
      <c r="G871" s="32" t="str">
        <f t="shared" si="583"/>
        <v/>
      </c>
      <c r="H871" s="32" t="str">
        <f t="shared" ca="1" si="584"/>
        <v/>
      </c>
      <c r="I871" s="32" t="str">
        <f t="shared" ca="1" si="589"/>
        <v/>
      </c>
      <c r="J871" s="32" t="str">
        <f t="shared" si="585"/>
        <v/>
      </c>
      <c r="K871" s="32" t="str">
        <f>IF(ISNUMBER(A871),Profile!$V$25+Profile!$V$24*'Ri-Po'!C871,"")</f>
        <v/>
      </c>
      <c r="L871" s="32" t="str">
        <f t="shared" si="590"/>
        <v/>
      </c>
      <c r="M871" s="32" t="str">
        <f t="shared" si="586"/>
        <v/>
      </c>
      <c r="N871" s="32" t="str">
        <f t="shared" si="587"/>
        <v/>
      </c>
      <c r="O871" s="32" t="str">
        <f t="shared" si="603"/>
        <v/>
      </c>
      <c r="P871" s="32" t="str">
        <f t="shared" si="591"/>
        <v/>
      </c>
      <c r="Q871" s="32" t="str">
        <f t="shared" si="592"/>
        <v/>
      </c>
      <c r="R871" s="32" t="str">
        <f t="shared" si="604"/>
        <v/>
      </c>
      <c r="S871" s="24" t="str">
        <f t="shared" si="605"/>
        <v/>
      </c>
      <c r="T871" s="24" t="str">
        <f t="shared" si="606"/>
        <v/>
      </c>
      <c r="U871" s="24" t="str">
        <f t="shared" si="607"/>
        <v/>
      </c>
      <c r="V871" s="24" t="str">
        <f t="shared" si="608"/>
        <v/>
      </c>
      <c r="W871" s="23" t="str">
        <f t="array" ref="W871">IFERROR(SMALL(IF(S$1:S$1000="BEGIN",ROW(S$1:S$1000)),ROW()-3),"")</f>
        <v/>
      </c>
      <c r="X871" s="23" t="str">
        <f t="array" ref="X871">IFERROR(SMALL(IF(T$1:T$1000="END",ROW(T$1:T$1000)),ROW()-3),"")</f>
        <v/>
      </c>
      <c r="Y871" s="33" t="str">
        <f t="array" ref="Y871">IF(ISNUMBER(W871),MAX(IF((B$4:B$1000&lt;=X871)*(B$4:B$1000&gt;=W871),I$4:I$1000, "")),"")</f>
        <v/>
      </c>
      <c r="Z871" s="33" t="str">
        <f t="shared" si="593"/>
        <v/>
      </c>
      <c r="AA871" s="32" t="str">
        <f t="shared" si="594"/>
        <v/>
      </c>
      <c r="AB871" s="32" t="str">
        <f t="shared" si="595"/>
        <v/>
      </c>
      <c r="AC871" s="32" t="str">
        <f t="shared" si="596"/>
        <v/>
      </c>
      <c r="AD871" s="32" t="str">
        <f t="shared" si="597"/>
        <v/>
      </c>
      <c r="AE871" s="34" t="str">
        <f t="shared" si="598"/>
        <v/>
      </c>
      <c r="AF871" s="32" t="str">
        <f t="shared" si="599"/>
        <v/>
      </c>
      <c r="AG871" s="32" t="str">
        <f t="shared" si="600"/>
        <v/>
      </c>
      <c r="AH871" s="32" t="str">
        <f t="shared" si="601"/>
        <v/>
      </c>
      <c r="AI871" s="35" t="str">
        <f t="shared" si="602"/>
        <v/>
      </c>
      <c r="AJ871" s="23" t="str">
        <f t="array" ref="AJ871">IFERROR(SMALL(IF(U$1:U$1000="BEGIN",ROW(U$1:U$1000)),ROW()-3),"")</f>
        <v/>
      </c>
      <c r="AK871" s="23" t="str">
        <f t="array" ref="AK871">IFERROR(SMALL(IF(V$1:V$1000="END",ROW(V$1:V$1000)),ROW()-3),"")</f>
        <v/>
      </c>
      <c r="AL871" s="24" t="str">
        <f t="array" ref="AL871">IF(AK871="","",MATCH(AM871,L:L,0))</f>
        <v/>
      </c>
      <c r="AM871" s="35">
        <f t="array" ref="AM871">MAX(IF((B$4:B$1000&lt;=AK871)*(B$4:B$1000&gt;=AJ871),L$4:L$1000, ""))</f>
        <v>0</v>
      </c>
      <c r="AN871" s="32" t="str">
        <f t="shared" si="609"/>
        <v/>
      </c>
      <c r="AO871" s="32" t="str">
        <f t="shared" si="610"/>
        <v/>
      </c>
      <c r="AP871" s="32" t="str">
        <f t="shared" si="611"/>
        <v/>
      </c>
      <c r="AQ871" s="32" t="str">
        <f t="shared" si="612"/>
        <v/>
      </c>
      <c r="AR871" s="32" t="str">
        <f t="shared" si="613"/>
        <v/>
      </c>
      <c r="AS871" s="32" t="str">
        <f t="shared" si="614"/>
        <v/>
      </c>
      <c r="AT871" s="32" t="str">
        <f t="shared" si="615"/>
        <v/>
      </c>
      <c r="AU871" s="34" t="str">
        <f t="shared" si="616"/>
        <v/>
      </c>
      <c r="AV871" s="32" t="str">
        <f t="shared" si="617"/>
        <v/>
      </c>
      <c r="AW871" s="32" t="str">
        <f t="shared" si="618"/>
        <v/>
      </c>
      <c r="AX871" s="32" t="str">
        <f t="shared" si="619"/>
        <v/>
      </c>
      <c r="AY871" s="32" t="str">
        <f t="shared" si="620"/>
        <v/>
      </c>
    </row>
    <row r="872" spans="1:51" x14ac:dyDescent="0.25">
      <c r="A872" s="24" t="str">
        <f t="shared" si="578"/>
        <v/>
      </c>
      <c r="B872" s="24" t="str">
        <f t="shared" si="588"/>
        <v/>
      </c>
      <c r="C872" s="32" t="str">
        <f t="shared" si="579"/>
        <v/>
      </c>
      <c r="D872" s="24" t="str">
        <f t="shared" si="580"/>
        <v/>
      </c>
      <c r="E872" s="24" t="str">
        <f t="shared" si="581"/>
        <v/>
      </c>
      <c r="F872" s="32" t="str">
        <f t="shared" si="582"/>
        <v/>
      </c>
      <c r="G872" s="32" t="str">
        <f t="shared" si="583"/>
        <v/>
      </c>
      <c r="H872" s="32" t="str">
        <f t="shared" ca="1" si="584"/>
        <v/>
      </c>
      <c r="I872" s="32" t="str">
        <f t="shared" ca="1" si="589"/>
        <v/>
      </c>
      <c r="J872" s="32" t="str">
        <f t="shared" si="585"/>
        <v/>
      </c>
      <c r="K872" s="32" t="str">
        <f>IF(ISNUMBER(A872),Profile!$V$25+Profile!$V$24*'Ri-Po'!C872,"")</f>
        <v/>
      </c>
      <c r="L872" s="32" t="str">
        <f t="shared" si="590"/>
        <v/>
      </c>
      <c r="M872" s="32" t="str">
        <f t="shared" si="586"/>
        <v/>
      </c>
      <c r="N872" s="32" t="str">
        <f t="shared" si="587"/>
        <v/>
      </c>
      <c r="O872" s="32" t="str">
        <f t="shared" si="603"/>
        <v/>
      </c>
      <c r="P872" s="32" t="str">
        <f t="shared" si="591"/>
        <v/>
      </c>
      <c r="Q872" s="32" t="str">
        <f t="shared" si="592"/>
        <v/>
      </c>
      <c r="R872" s="32" t="str">
        <f t="shared" si="604"/>
        <v/>
      </c>
      <c r="S872" s="24" t="str">
        <f t="shared" si="605"/>
        <v/>
      </c>
      <c r="T872" s="24" t="str">
        <f t="shared" si="606"/>
        <v/>
      </c>
      <c r="U872" s="24" t="str">
        <f t="shared" si="607"/>
        <v/>
      </c>
      <c r="V872" s="24" t="str">
        <f t="shared" si="608"/>
        <v/>
      </c>
      <c r="W872" s="23" t="str">
        <f t="array" ref="W872">IFERROR(SMALL(IF(S$1:S$1000="BEGIN",ROW(S$1:S$1000)),ROW()-3),"")</f>
        <v/>
      </c>
      <c r="X872" s="23" t="str">
        <f t="array" ref="X872">IFERROR(SMALL(IF(T$1:T$1000="END",ROW(T$1:T$1000)),ROW()-3),"")</f>
        <v/>
      </c>
      <c r="Y872" s="33" t="str">
        <f t="array" ref="Y872">IF(ISNUMBER(W872),MAX(IF((B$4:B$1000&lt;=X872)*(B$4:B$1000&gt;=W872),I$4:I$1000, "")),"")</f>
        <v/>
      </c>
      <c r="Z872" s="33" t="str">
        <f t="shared" si="593"/>
        <v/>
      </c>
      <c r="AA872" s="32" t="str">
        <f t="shared" si="594"/>
        <v/>
      </c>
      <c r="AB872" s="32" t="str">
        <f t="shared" si="595"/>
        <v/>
      </c>
      <c r="AC872" s="32" t="str">
        <f t="shared" si="596"/>
        <v/>
      </c>
      <c r="AD872" s="32" t="str">
        <f t="shared" si="597"/>
        <v/>
      </c>
      <c r="AE872" s="34" t="str">
        <f t="shared" si="598"/>
        <v/>
      </c>
      <c r="AF872" s="32" t="str">
        <f t="shared" si="599"/>
        <v/>
      </c>
      <c r="AG872" s="32" t="str">
        <f t="shared" si="600"/>
        <v/>
      </c>
      <c r="AH872" s="32" t="str">
        <f t="shared" si="601"/>
        <v/>
      </c>
      <c r="AI872" s="35" t="str">
        <f t="shared" si="602"/>
        <v/>
      </c>
      <c r="AJ872" s="23" t="str">
        <f t="array" ref="AJ872">IFERROR(SMALL(IF(U$1:U$1000="BEGIN",ROW(U$1:U$1000)),ROW()-3),"")</f>
        <v/>
      </c>
      <c r="AK872" s="23" t="str">
        <f t="array" ref="AK872">IFERROR(SMALL(IF(V$1:V$1000="END",ROW(V$1:V$1000)),ROW()-3),"")</f>
        <v/>
      </c>
      <c r="AL872" s="24" t="str">
        <f t="array" ref="AL872">IF(AK872="","",MATCH(AM872,L:L,0))</f>
        <v/>
      </c>
      <c r="AM872" s="35">
        <f t="array" ref="AM872">MAX(IF((B$4:B$1000&lt;=AK872)*(B$4:B$1000&gt;=AJ872),L$4:L$1000, ""))</f>
        <v>0</v>
      </c>
      <c r="AN872" s="32" t="str">
        <f t="shared" si="609"/>
        <v/>
      </c>
      <c r="AO872" s="32" t="str">
        <f t="shared" si="610"/>
        <v/>
      </c>
      <c r="AP872" s="32" t="str">
        <f t="shared" si="611"/>
        <v/>
      </c>
      <c r="AQ872" s="32" t="str">
        <f t="shared" si="612"/>
        <v/>
      </c>
      <c r="AR872" s="32" t="str">
        <f t="shared" si="613"/>
        <v/>
      </c>
      <c r="AS872" s="32" t="str">
        <f t="shared" si="614"/>
        <v/>
      </c>
      <c r="AT872" s="32" t="str">
        <f t="shared" si="615"/>
        <v/>
      </c>
      <c r="AU872" s="34" t="str">
        <f t="shared" si="616"/>
        <v/>
      </c>
      <c r="AV872" s="32" t="str">
        <f t="shared" si="617"/>
        <v/>
      </c>
      <c r="AW872" s="32" t="str">
        <f t="shared" si="618"/>
        <v/>
      </c>
      <c r="AX872" s="32" t="str">
        <f t="shared" si="619"/>
        <v/>
      </c>
      <c r="AY872" s="32" t="str">
        <f t="shared" si="620"/>
        <v/>
      </c>
    </row>
    <row r="873" spans="1:51" x14ac:dyDescent="0.25">
      <c r="A873" s="24" t="str">
        <f t="shared" si="578"/>
        <v/>
      </c>
      <c r="B873" s="24" t="str">
        <f t="shared" si="588"/>
        <v/>
      </c>
      <c r="C873" s="32" t="str">
        <f t="shared" si="579"/>
        <v/>
      </c>
      <c r="D873" s="24" t="str">
        <f t="shared" si="580"/>
        <v/>
      </c>
      <c r="E873" s="24" t="str">
        <f t="shared" si="581"/>
        <v/>
      </c>
      <c r="F873" s="32" t="str">
        <f t="shared" si="582"/>
        <v/>
      </c>
      <c r="G873" s="32" t="str">
        <f t="shared" si="583"/>
        <v/>
      </c>
      <c r="H873" s="32" t="str">
        <f t="shared" ca="1" si="584"/>
        <v/>
      </c>
      <c r="I873" s="32" t="str">
        <f t="shared" ca="1" si="589"/>
        <v/>
      </c>
      <c r="J873" s="32" t="str">
        <f t="shared" si="585"/>
        <v/>
      </c>
      <c r="K873" s="32" t="str">
        <f>IF(ISNUMBER(A873),Profile!$V$25+Profile!$V$24*'Ri-Po'!C873,"")</f>
        <v/>
      </c>
      <c r="L873" s="32" t="str">
        <f t="shared" si="590"/>
        <v/>
      </c>
      <c r="M873" s="32" t="str">
        <f t="shared" si="586"/>
        <v/>
      </c>
      <c r="N873" s="32" t="str">
        <f t="shared" si="587"/>
        <v/>
      </c>
      <c r="O873" s="32" t="str">
        <f t="shared" si="603"/>
        <v/>
      </c>
      <c r="P873" s="32" t="str">
        <f t="shared" si="591"/>
        <v/>
      </c>
      <c r="Q873" s="32" t="str">
        <f t="shared" si="592"/>
        <v/>
      </c>
      <c r="R873" s="32" t="str">
        <f t="shared" si="604"/>
        <v/>
      </c>
      <c r="S873" s="24" t="str">
        <f t="shared" si="605"/>
        <v/>
      </c>
      <c r="T873" s="24" t="str">
        <f t="shared" si="606"/>
        <v/>
      </c>
      <c r="U873" s="24" t="str">
        <f t="shared" si="607"/>
        <v/>
      </c>
      <c r="V873" s="24" t="str">
        <f t="shared" si="608"/>
        <v/>
      </c>
      <c r="W873" s="23" t="str">
        <f t="array" ref="W873">IFERROR(SMALL(IF(S$1:S$1000="BEGIN",ROW(S$1:S$1000)),ROW()-3),"")</f>
        <v/>
      </c>
      <c r="X873" s="23" t="str">
        <f t="array" ref="X873">IFERROR(SMALL(IF(T$1:T$1000="END",ROW(T$1:T$1000)),ROW()-3),"")</f>
        <v/>
      </c>
      <c r="Y873" s="33" t="str">
        <f t="array" ref="Y873">IF(ISNUMBER(W873),MAX(IF((B$4:B$1000&lt;=X873)*(B$4:B$1000&gt;=W873),I$4:I$1000, "")),"")</f>
        <v/>
      </c>
      <c r="Z873" s="33" t="str">
        <f t="shared" si="593"/>
        <v/>
      </c>
      <c r="AA873" s="32" t="str">
        <f t="shared" si="594"/>
        <v/>
      </c>
      <c r="AB873" s="32" t="str">
        <f t="shared" si="595"/>
        <v/>
      </c>
      <c r="AC873" s="32" t="str">
        <f t="shared" si="596"/>
        <v/>
      </c>
      <c r="AD873" s="32" t="str">
        <f t="shared" si="597"/>
        <v/>
      </c>
      <c r="AE873" s="34" t="str">
        <f t="shared" si="598"/>
        <v/>
      </c>
      <c r="AF873" s="32" t="str">
        <f t="shared" si="599"/>
        <v/>
      </c>
      <c r="AG873" s="32" t="str">
        <f t="shared" si="600"/>
        <v/>
      </c>
      <c r="AH873" s="32" t="str">
        <f t="shared" si="601"/>
        <v/>
      </c>
      <c r="AI873" s="35" t="str">
        <f t="shared" si="602"/>
        <v/>
      </c>
      <c r="AJ873" s="23" t="str">
        <f t="array" ref="AJ873">IFERROR(SMALL(IF(U$1:U$1000="BEGIN",ROW(U$1:U$1000)),ROW()-3),"")</f>
        <v/>
      </c>
      <c r="AK873" s="23" t="str">
        <f t="array" ref="AK873">IFERROR(SMALL(IF(V$1:V$1000="END",ROW(V$1:V$1000)),ROW()-3),"")</f>
        <v/>
      </c>
      <c r="AL873" s="24" t="str">
        <f t="array" ref="AL873">IF(AK873="","",MATCH(AM873,L:L,0))</f>
        <v/>
      </c>
      <c r="AM873" s="35">
        <f t="array" ref="AM873">MAX(IF((B$4:B$1000&lt;=AK873)*(B$4:B$1000&gt;=AJ873),L$4:L$1000, ""))</f>
        <v>0</v>
      </c>
      <c r="AN873" s="32" t="str">
        <f t="shared" si="609"/>
        <v/>
      </c>
      <c r="AO873" s="32" t="str">
        <f t="shared" si="610"/>
        <v/>
      </c>
      <c r="AP873" s="32" t="str">
        <f t="shared" si="611"/>
        <v/>
      </c>
      <c r="AQ873" s="32" t="str">
        <f t="shared" si="612"/>
        <v/>
      </c>
      <c r="AR873" s="32" t="str">
        <f t="shared" si="613"/>
        <v/>
      </c>
      <c r="AS873" s="32" t="str">
        <f t="shared" si="614"/>
        <v/>
      </c>
      <c r="AT873" s="32" t="str">
        <f t="shared" si="615"/>
        <v/>
      </c>
      <c r="AU873" s="34" t="str">
        <f t="shared" si="616"/>
        <v/>
      </c>
      <c r="AV873" s="32" t="str">
        <f t="shared" si="617"/>
        <v/>
      </c>
      <c r="AW873" s="32" t="str">
        <f t="shared" si="618"/>
        <v/>
      </c>
      <c r="AX873" s="32" t="str">
        <f t="shared" si="619"/>
        <v/>
      </c>
      <c r="AY873" s="32" t="str">
        <f t="shared" si="620"/>
        <v/>
      </c>
    </row>
    <row r="874" spans="1:51" x14ac:dyDescent="0.25">
      <c r="A874" s="24" t="str">
        <f t="shared" si="578"/>
        <v/>
      </c>
      <c r="B874" s="24" t="str">
        <f t="shared" si="588"/>
        <v/>
      </c>
      <c r="C874" s="32" t="str">
        <f t="shared" si="579"/>
        <v/>
      </c>
      <c r="D874" s="24" t="str">
        <f t="shared" si="580"/>
        <v/>
      </c>
      <c r="E874" s="24" t="str">
        <f t="shared" si="581"/>
        <v/>
      </c>
      <c r="F874" s="32" t="str">
        <f t="shared" si="582"/>
        <v/>
      </c>
      <c r="G874" s="32" t="str">
        <f t="shared" si="583"/>
        <v/>
      </c>
      <c r="H874" s="32" t="str">
        <f t="shared" ca="1" si="584"/>
        <v/>
      </c>
      <c r="I874" s="32" t="str">
        <f t="shared" ca="1" si="589"/>
        <v/>
      </c>
      <c r="J874" s="32" t="str">
        <f t="shared" si="585"/>
        <v/>
      </c>
      <c r="K874" s="32" t="str">
        <f>IF(ISNUMBER(A874),Profile!$V$25+Profile!$V$24*'Ri-Po'!C874,"")</f>
        <v/>
      </c>
      <c r="L874" s="32" t="str">
        <f t="shared" si="590"/>
        <v/>
      </c>
      <c r="M874" s="32" t="str">
        <f t="shared" si="586"/>
        <v/>
      </c>
      <c r="N874" s="32" t="str">
        <f t="shared" si="587"/>
        <v/>
      </c>
      <c r="O874" s="32" t="str">
        <f t="shared" si="603"/>
        <v/>
      </c>
      <c r="P874" s="32" t="str">
        <f t="shared" si="591"/>
        <v/>
      </c>
      <c r="Q874" s="32" t="str">
        <f t="shared" si="592"/>
        <v/>
      </c>
      <c r="R874" s="32" t="str">
        <f t="shared" si="604"/>
        <v/>
      </c>
      <c r="S874" s="24" t="str">
        <f t="shared" si="605"/>
        <v/>
      </c>
      <c r="T874" s="24" t="str">
        <f t="shared" si="606"/>
        <v/>
      </c>
      <c r="U874" s="24" t="str">
        <f t="shared" si="607"/>
        <v/>
      </c>
      <c r="V874" s="24" t="str">
        <f t="shared" si="608"/>
        <v/>
      </c>
      <c r="W874" s="23" t="str">
        <f t="array" ref="W874">IFERROR(SMALL(IF(S$1:S$1000="BEGIN",ROW(S$1:S$1000)),ROW()-3),"")</f>
        <v/>
      </c>
      <c r="X874" s="23" t="str">
        <f t="array" ref="X874">IFERROR(SMALL(IF(T$1:T$1000="END",ROW(T$1:T$1000)),ROW()-3),"")</f>
        <v/>
      </c>
      <c r="Y874" s="33" t="str">
        <f t="array" ref="Y874">IF(ISNUMBER(W874),MAX(IF((B$4:B$1000&lt;=X874)*(B$4:B$1000&gt;=W874),I$4:I$1000, "")),"")</f>
        <v/>
      </c>
      <c r="Z874" s="33" t="str">
        <f t="shared" si="593"/>
        <v/>
      </c>
      <c r="AA874" s="32" t="str">
        <f t="shared" si="594"/>
        <v/>
      </c>
      <c r="AB874" s="32" t="str">
        <f t="shared" si="595"/>
        <v/>
      </c>
      <c r="AC874" s="32" t="str">
        <f t="shared" si="596"/>
        <v/>
      </c>
      <c r="AD874" s="32" t="str">
        <f t="shared" si="597"/>
        <v/>
      </c>
      <c r="AE874" s="34" t="str">
        <f t="shared" si="598"/>
        <v/>
      </c>
      <c r="AF874" s="32" t="str">
        <f t="shared" si="599"/>
        <v/>
      </c>
      <c r="AG874" s="32" t="str">
        <f t="shared" si="600"/>
        <v/>
      </c>
      <c r="AH874" s="32" t="str">
        <f t="shared" si="601"/>
        <v/>
      </c>
      <c r="AI874" s="35" t="str">
        <f t="shared" si="602"/>
        <v/>
      </c>
      <c r="AJ874" s="23" t="str">
        <f t="array" ref="AJ874">IFERROR(SMALL(IF(U$1:U$1000="BEGIN",ROW(U$1:U$1000)),ROW()-3),"")</f>
        <v/>
      </c>
      <c r="AK874" s="23" t="str">
        <f t="array" ref="AK874">IFERROR(SMALL(IF(V$1:V$1000="END",ROW(V$1:V$1000)),ROW()-3),"")</f>
        <v/>
      </c>
      <c r="AL874" s="24" t="str">
        <f t="array" ref="AL874">IF(AK874="","",MATCH(AM874,L:L,0))</f>
        <v/>
      </c>
      <c r="AM874" s="35">
        <f t="array" ref="AM874">MAX(IF((B$4:B$1000&lt;=AK874)*(B$4:B$1000&gt;=AJ874),L$4:L$1000, ""))</f>
        <v>0</v>
      </c>
      <c r="AN874" s="32" t="str">
        <f t="shared" si="609"/>
        <v/>
      </c>
      <c r="AO874" s="32" t="str">
        <f t="shared" si="610"/>
        <v/>
      </c>
      <c r="AP874" s="32" t="str">
        <f t="shared" si="611"/>
        <v/>
      </c>
      <c r="AQ874" s="32" t="str">
        <f t="shared" si="612"/>
        <v/>
      </c>
      <c r="AR874" s="32" t="str">
        <f t="shared" si="613"/>
        <v/>
      </c>
      <c r="AS874" s="32" t="str">
        <f t="shared" si="614"/>
        <v/>
      </c>
      <c r="AT874" s="32" t="str">
        <f t="shared" si="615"/>
        <v/>
      </c>
      <c r="AU874" s="34" t="str">
        <f t="shared" si="616"/>
        <v/>
      </c>
      <c r="AV874" s="32" t="str">
        <f t="shared" si="617"/>
        <v/>
      </c>
      <c r="AW874" s="32" t="str">
        <f t="shared" si="618"/>
        <v/>
      </c>
      <c r="AX874" s="32" t="str">
        <f t="shared" si="619"/>
        <v/>
      </c>
      <c r="AY874" s="32" t="str">
        <f t="shared" si="620"/>
        <v/>
      </c>
    </row>
    <row r="875" spans="1:51" x14ac:dyDescent="0.25">
      <c r="A875" s="24" t="str">
        <f t="shared" si="578"/>
        <v/>
      </c>
      <c r="B875" s="24" t="str">
        <f t="shared" si="588"/>
        <v/>
      </c>
      <c r="C875" s="32" t="str">
        <f t="shared" si="579"/>
        <v/>
      </c>
      <c r="D875" s="24" t="str">
        <f t="shared" si="580"/>
        <v/>
      </c>
      <c r="E875" s="24" t="str">
        <f t="shared" si="581"/>
        <v/>
      </c>
      <c r="F875" s="32" t="str">
        <f t="shared" si="582"/>
        <v/>
      </c>
      <c r="G875" s="32" t="str">
        <f t="shared" si="583"/>
        <v/>
      </c>
      <c r="H875" s="32" t="str">
        <f t="shared" ca="1" si="584"/>
        <v/>
      </c>
      <c r="I875" s="32" t="str">
        <f t="shared" ca="1" si="589"/>
        <v/>
      </c>
      <c r="J875" s="32" t="str">
        <f t="shared" si="585"/>
        <v/>
      </c>
      <c r="K875" s="32" t="str">
        <f>IF(ISNUMBER(A875),Profile!$V$25+Profile!$V$24*'Ri-Po'!C875,"")</f>
        <v/>
      </c>
      <c r="L875" s="32" t="str">
        <f t="shared" si="590"/>
        <v/>
      </c>
      <c r="M875" s="32" t="str">
        <f t="shared" si="586"/>
        <v/>
      </c>
      <c r="N875" s="32" t="str">
        <f t="shared" si="587"/>
        <v/>
      </c>
      <c r="O875" s="32" t="str">
        <f t="shared" si="603"/>
        <v/>
      </c>
      <c r="P875" s="32" t="str">
        <f t="shared" si="591"/>
        <v/>
      </c>
      <c r="Q875" s="32" t="str">
        <f t="shared" si="592"/>
        <v/>
      </c>
      <c r="R875" s="32" t="str">
        <f t="shared" si="604"/>
        <v/>
      </c>
      <c r="S875" s="24" t="str">
        <f t="shared" si="605"/>
        <v/>
      </c>
      <c r="T875" s="24" t="str">
        <f t="shared" si="606"/>
        <v/>
      </c>
      <c r="U875" s="24" t="str">
        <f t="shared" si="607"/>
        <v/>
      </c>
      <c r="V875" s="24" t="str">
        <f t="shared" si="608"/>
        <v/>
      </c>
      <c r="W875" s="23" t="str">
        <f t="array" ref="W875">IFERROR(SMALL(IF(S$1:S$1000="BEGIN",ROW(S$1:S$1000)),ROW()-3),"")</f>
        <v/>
      </c>
      <c r="X875" s="23" t="str">
        <f t="array" ref="X875">IFERROR(SMALL(IF(T$1:T$1000="END",ROW(T$1:T$1000)),ROW()-3),"")</f>
        <v/>
      </c>
      <c r="Y875" s="33" t="str">
        <f t="array" ref="Y875">IF(ISNUMBER(W875),MAX(IF((B$4:B$1000&lt;=X875)*(B$4:B$1000&gt;=W875),I$4:I$1000, "")),"")</f>
        <v/>
      </c>
      <c r="Z875" s="33" t="str">
        <f t="shared" si="593"/>
        <v/>
      </c>
      <c r="AA875" s="32" t="str">
        <f t="shared" si="594"/>
        <v/>
      </c>
      <c r="AB875" s="32" t="str">
        <f t="shared" si="595"/>
        <v/>
      </c>
      <c r="AC875" s="32" t="str">
        <f t="shared" si="596"/>
        <v/>
      </c>
      <c r="AD875" s="32" t="str">
        <f t="shared" si="597"/>
        <v/>
      </c>
      <c r="AE875" s="34" t="str">
        <f t="shared" si="598"/>
        <v/>
      </c>
      <c r="AF875" s="32" t="str">
        <f t="shared" si="599"/>
        <v/>
      </c>
      <c r="AG875" s="32" t="str">
        <f t="shared" si="600"/>
        <v/>
      </c>
      <c r="AH875" s="32" t="str">
        <f t="shared" si="601"/>
        <v/>
      </c>
      <c r="AI875" s="35" t="str">
        <f t="shared" si="602"/>
        <v/>
      </c>
      <c r="AJ875" s="23" t="str">
        <f t="array" ref="AJ875">IFERROR(SMALL(IF(U$1:U$1000="BEGIN",ROW(U$1:U$1000)),ROW()-3),"")</f>
        <v/>
      </c>
      <c r="AK875" s="23" t="str">
        <f t="array" ref="AK875">IFERROR(SMALL(IF(V$1:V$1000="END",ROW(V$1:V$1000)),ROW()-3),"")</f>
        <v/>
      </c>
      <c r="AL875" s="24" t="str">
        <f t="array" ref="AL875">IF(AK875="","",MATCH(AM875,L:L,0))</f>
        <v/>
      </c>
      <c r="AM875" s="35">
        <f t="array" ref="AM875">MAX(IF((B$4:B$1000&lt;=AK875)*(B$4:B$1000&gt;=AJ875),L$4:L$1000, ""))</f>
        <v>0</v>
      </c>
      <c r="AN875" s="32" t="str">
        <f t="shared" si="609"/>
        <v/>
      </c>
      <c r="AO875" s="32" t="str">
        <f t="shared" si="610"/>
        <v/>
      </c>
      <c r="AP875" s="32" t="str">
        <f t="shared" si="611"/>
        <v/>
      </c>
      <c r="AQ875" s="32" t="str">
        <f t="shared" si="612"/>
        <v/>
      </c>
      <c r="AR875" s="32" t="str">
        <f t="shared" si="613"/>
        <v/>
      </c>
      <c r="AS875" s="32" t="str">
        <f t="shared" si="614"/>
        <v/>
      </c>
      <c r="AT875" s="32" t="str">
        <f t="shared" si="615"/>
        <v/>
      </c>
      <c r="AU875" s="34" t="str">
        <f t="shared" si="616"/>
        <v/>
      </c>
      <c r="AV875" s="32" t="str">
        <f t="shared" si="617"/>
        <v/>
      </c>
      <c r="AW875" s="32" t="str">
        <f t="shared" si="618"/>
        <v/>
      </c>
      <c r="AX875" s="32" t="str">
        <f t="shared" si="619"/>
        <v/>
      </c>
      <c r="AY875" s="32" t="str">
        <f t="shared" si="620"/>
        <v/>
      </c>
    </row>
    <row r="876" spans="1:51" x14ac:dyDescent="0.25">
      <c r="A876" s="24" t="str">
        <f t="shared" si="578"/>
        <v/>
      </c>
      <c r="B876" s="24" t="str">
        <f t="shared" si="588"/>
        <v/>
      </c>
      <c r="C876" s="32" t="str">
        <f t="shared" si="579"/>
        <v/>
      </c>
      <c r="D876" s="24" t="str">
        <f t="shared" si="580"/>
        <v/>
      </c>
      <c r="E876" s="24" t="str">
        <f t="shared" si="581"/>
        <v/>
      </c>
      <c r="F876" s="32" t="str">
        <f t="shared" si="582"/>
        <v/>
      </c>
      <c r="G876" s="32" t="str">
        <f t="shared" si="583"/>
        <v/>
      </c>
      <c r="H876" s="32" t="str">
        <f t="shared" ca="1" si="584"/>
        <v/>
      </c>
      <c r="I876" s="32" t="str">
        <f t="shared" ca="1" si="589"/>
        <v/>
      </c>
      <c r="J876" s="32" t="str">
        <f t="shared" si="585"/>
        <v/>
      </c>
      <c r="K876" s="32" t="str">
        <f>IF(ISNUMBER(A876),Profile!$V$25+Profile!$V$24*'Ri-Po'!C876,"")</f>
        <v/>
      </c>
      <c r="L876" s="32" t="str">
        <f t="shared" si="590"/>
        <v/>
      </c>
      <c r="M876" s="32" t="str">
        <f t="shared" si="586"/>
        <v/>
      </c>
      <c r="N876" s="32" t="str">
        <f t="shared" si="587"/>
        <v/>
      </c>
      <c r="O876" s="32" t="str">
        <f t="shared" si="603"/>
        <v/>
      </c>
      <c r="P876" s="32" t="str">
        <f t="shared" si="591"/>
        <v/>
      </c>
      <c r="Q876" s="32" t="str">
        <f t="shared" si="592"/>
        <v/>
      </c>
      <c r="R876" s="32" t="str">
        <f t="shared" si="604"/>
        <v/>
      </c>
      <c r="S876" s="24" t="str">
        <f t="shared" si="605"/>
        <v/>
      </c>
      <c r="T876" s="24" t="str">
        <f t="shared" si="606"/>
        <v/>
      </c>
      <c r="U876" s="24" t="str">
        <f t="shared" si="607"/>
        <v/>
      </c>
      <c r="V876" s="24" t="str">
        <f t="shared" si="608"/>
        <v/>
      </c>
      <c r="W876" s="23" t="str">
        <f t="array" ref="W876">IFERROR(SMALL(IF(S$1:S$1000="BEGIN",ROW(S$1:S$1000)),ROW()-3),"")</f>
        <v/>
      </c>
      <c r="X876" s="23" t="str">
        <f t="array" ref="X876">IFERROR(SMALL(IF(T$1:T$1000="END",ROW(T$1:T$1000)),ROW()-3),"")</f>
        <v/>
      </c>
      <c r="Y876" s="33" t="str">
        <f t="array" ref="Y876">IF(ISNUMBER(W876),MAX(IF((B$4:B$1000&lt;=X876)*(B$4:B$1000&gt;=W876),I$4:I$1000, "")),"")</f>
        <v/>
      </c>
      <c r="Z876" s="33" t="str">
        <f t="shared" si="593"/>
        <v/>
      </c>
      <c r="AA876" s="32" t="str">
        <f t="shared" si="594"/>
        <v/>
      </c>
      <c r="AB876" s="32" t="str">
        <f t="shared" si="595"/>
        <v/>
      </c>
      <c r="AC876" s="32" t="str">
        <f t="shared" si="596"/>
        <v/>
      </c>
      <c r="AD876" s="32" t="str">
        <f t="shared" si="597"/>
        <v/>
      </c>
      <c r="AE876" s="34" t="str">
        <f t="shared" si="598"/>
        <v/>
      </c>
      <c r="AF876" s="32" t="str">
        <f t="shared" si="599"/>
        <v/>
      </c>
      <c r="AG876" s="32" t="str">
        <f t="shared" si="600"/>
        <v/>
      </c>
      <c r="AH876" s="32" t="str">
        <f t="shared" si="601"/>
        <v/>
      </c>
      <c r="AI876" s="35" t="str">
        <f t="shared" si="602"/>
        <v/>
      </c>
      <c r="AJ876" s="23" t="str">
        <f t="array" ref="AJ876">IFERROR(SMALL(IF(U$1:U$1000="BEGIN",ROW(U$1:U$1000)),ROW()-3),"")</f>
        <v/>
      </c>
      <c r="AK876" s="23" t="str">
        <f t="array" ref="AK876">IFERROR(SMALL(IF(V$1:V$1000="END",ROW(V$1:V$1000)),ROW()-3),"")</f>
        <v/>
      </c>
      <c r="AL876" s="24" t="str">
        <f t="array" ref="AL876">IF(AK876="","",MATCH(AM876,L:L,0))</f>
        <v/>
      </c>
      <c r="AM876" s="35">
        <f t="array" ref="AM876">MAX(IF((B$4:B$1000&lt;=AK876)*(B$4:B$1000&gt;=AJ876),L$4:L$1000, ""))</f>
        <v>0</v>
      </c>
      <c r="AN876" s="32" t="str">
        <f t="shared" si="609"/>
        <v/>
      </c>
      <c r="AO876" s="32" t="str">
        <f t="shared" si="610"/>
        <v/>
      </c>
      <c r="AP876" s="32" t="str">
        <f t="shared" si="611"/>
        <v/>
      </c>
      <c r="AQ876" s="32" t="str">
        <f t="shared" si="612"/>
        <v/>
      </c>
      <c r="AR876" s="32" t="str">
        <f t="shared" si="613"/>
        <v/>
      </c>
      <c r="AS876" s="32" t="str">
        <f t="shared" si="614"/>
        <v/>
      </c>
      <c r="AT876" s="32" t="str">
        <f t="shared" si="615"/>
        <v/>
      </c>
      <c r="AU876" s="34" t="str">
        <f t="shared" si="616"/>
        <v/>
      </c>
      <c r="AV876" s="32" t="str">
        <f t="shared" si="617"/>
        <v/>
      </c>
      <c r="AW876" s="32" t="str">
        <f t="shared" si="618"/>
        <v/>
      </c>
      <c r="AX876" s="32" t="str">
        <f t="shared" si="619"/>
        <v/>
      </c>
      <c r="AY876" s="32" t="str">
        <f t="shared" si="620"/>
        <v/>
      </c>
    </row>
    <row r="877" spans="1:51" x14ac:dyDescent="0.25">
      <c r="A877" s="24" t="str">
        <f t="shared" si="578"/>
        <v/>
      </c>
      <c r="B877" s="24" t="str">
        <f t="shared" si="588"/>
        <v/>
      </c>
      <c r="C877" s="32" t="str">
        <f t="shared" si="579"/>
        <v/>
      </c>
      <c r="D877" s="24" t="str">
        <f t="shared" si="580"/>
        <v/>
      </c>
      <c r="E877" s="24" t="str">
        <f t="shared" si="581"/>
        <v/>
      </c>
      <c r="F877" s="32" t="str">
        <f t="shared" si="582"/>
        <v/>
      </c>
      <c r="G877" s="32" t="str">
        <f t="shared" si="583"/>
        <v/>
      </c>
      <c r="H877" s="32" t="str">
        <f t="shared" ca="1" si="584"/>
        <v/>
      </c>
      <c r="I877" s="32" t="str">
        <f t="shared" ca="1" si="589"/>
        <v/>
      </c>
      <c r="J877" s="32" t="str">
        <f t="shared" si="585"/>
        <v/>
      </c>
      <c r="K877" s="32" t="str">
        <f>IF(ISNUMBER(A877),Profile!$V$25+Profile!$V$24*'Ri-Po'!C877,"")</f>
        <v/>
      </c>
      <c r="L877" s="32" t="str">
        <f t="shared" si="590"/>
        <v/>
      </c>
      <c r="M877" s="32" t="str">
        <f t="shared" si="586"/>
        <v/>
      </c>
      <c r="N877" s="32" t="str">
        <f t="shared" si="587"/>
        <v/>
      </c>
      <c r="O877" s="32" t="str">
        <f t="shared" si="603"/>
        <v/>
      </c>
      <c r="P877" s="32" t="str">
        <f t="shared" si="591"/>
        <v/>
      </c>
      <c r="Q877" s="32" t="str">
        <f t="shared" si="592"/>
        <v/>
      </c>
      <c r="R877" s="32" t="str">
        <f t="shared" si="604"/>
        <v/>
      </c>
      <c r="S877" s="24" t="str">
        <f t="shared" si="605"/>
        <v/>
      </c>
      <c r="T877" s="24" t="str">
        <f t="shared" si="606"/>
        <v/>
      </c>
      <c r="U877" s="24" t="str">
        <f t="shared" si="607"/>
        <v/>
      </c>
      <c r="V877" s="24" t="str">
        <f t="shared" si="608"/>
        <v/>
      </c>
      <c r="W877" s="23" t="str">
        <f t="array" ref="W877">IFERROR(SMALL(IF(S$1:S$1000="BEGIN",ROW(S$1:S$1000)),ROW()-3),"")</f>
        <v/>
      </c>
      <c r="X877" s="23" t="str">
        <f t="array" ref="X877">IFERROR(SMALL(IF(T$1:T$1000="END",ROW(T$1:T$1000)),ROW()-3),"")</f>
        <v/>
      </c>
      <c r="Y877" s="33" t="str">
        <f t="array" ref="Y877">IF(ISNUMBER(W877),MAX(IF((B$4:B$1000&lt;=X877)*(B$4:B$1000&gt;=W877),I$4:I$1000, "")),"")</f>
        <v/>
      </c>
      <c r="Z877" s="33" t="str">
        <f t="shared" si="593"/>
        <v/>
      </c>
      <c r="AA877" s="32" t="str">
        <f t="shared" si="594"/>
        <v/>
      </c>
      <c r="AB877" s="32" t="str">
        <f t="shared" si="595"/>
        <v/>
      </c>
      <c r="AC877" s="32" t="str">
        <f t="shared" si="596"/>
        <v/>
      </c>
      <c r="AD877" s="32" t="str">
        <f t="shared" si="597"/>
        <v/>
      </c>
      <c r="AE877" s="34" t="str">
        <f t="shared" si="598"/>
        <v/>
      </c>
      <c r="AF877" s="32" t="str">
        <f t="shared" si="599"/>
        <v/>
      </c>
      <c r="AG877" s="32" t="str">
        <f t="shared" si="600"/>
        <v/>
      </c>
      <c r="AH877" s="32" t="str">
        <f t="shared" si="601"/>
        <v/>
      </c>
      <c r="AI877" s="35" t="str">
        <f t="shared" si="602"/>
        <v/>
      </c>
      <c r="AJ877" s="23" t="str">
        <f t="array" ref="AJ877">IFERROR(SMALL(IF(U$1:U$1000="BEGIN",ROW(U$1:U$1000)),ROW()-3),"")</f>
        <v/>
      </c>
      <c r="AK877" s="23" t="str">
        <f t="array" ref="AK877">IFERROR(SMALL(IF(V$1:V$1000="END",ROW(V$1:V$1000)),ROW()-3),"")</f>
        <v/>
      </c>
      <c r="AL877" s="24" t="str">
        <f t="array" ref="AL877">IF(AK877="","",MATCH(AM877,L:L,0))</f>
        <v/>
      </c>
      <c r="AM877" s="35">
        <f t="array" ref="AM877">MAX(IF((B$4:B$1000&lt;=AK877)*(B$4:B$1000&gt;=AJ877),L$4:L$1000, ""))</f>
        <v>0</v>
      </c>
      <c r="AN877" s="32" t="str">
        <f t="shared" si="609"/>
        <v/>
      </c>
      <c r="AO877" s="32" t="str">
        <f t="shared" si="610"/>
        <v/>
      </c>
      <c r="AP877" s="32" t="str">
        <f t="shared" si="611"/>
        <v/>
      </c>
      <c r="AQ877" s="32" t="str">
        <f t="shared" si="612"/>
        <v/>
      </c>
      <c r="AR877" s="32" t="str">
        <f t="shared" si="613"/>
        <v/>
      </c>
      <c r="AS877" s="32" t="str">
        <f t="shared" si="614"/>
        <v/>
      </c>
      <c r="AT877" s="32" t="str">
        <f t="shared" si="615"/>
        <v/>
      </c>
      <c r="AU877" s="34" t="str">
        <f t="shared" si="616"/>
        <v/>
      </c>
      <c r="AV877" s="32" t="str">
        <f t="shared" si="617"/>
        <v/>
      </c>
      <c r="AW877" s="32" t="str">
        <f t="shared" si="618"/>
        <v/>
      </c>
      <c r="AX877" s="32" t="str">
        <f t="shared" si="619"/>
        <v/>
      </c>
      <c r="AY877" s="32" t="str">
        <f t="shared" si="620"/>
        <v/>
      </c>
    </row>
    <row r="878" spans="1:51" x14ac:dyDescent="0.25">
      <c r="A878" s="24" t="str">
        <f t="shared" si="578"/>
        <v/>
      </c>
      <c r="B878" s="24" t="str">
        <f t="shared" si="588"/>
        <v/>
      </c>
      <c r="C878" s="32" t="str">
        <f t="shared" si="579"/>
        <v/>
      </c>
      <c r="D878" s="24" t="str">
        <f t="shared" si="580"/>
        <v/>
      </c>
      <c r="E878" s="24" t="str">
        <f t="shared" si="581"/>
        <v/>
      </c>
      <c r="F878" s="32" t="str">
        <f t="shared" si="582"/>
        <v/>
      </c>
      <c r="G878" s="32" t="str">
        <f t="shared" si="583"/>
        <v/>
      </c>
      <c r="H878" s="32" t="str">
        <f t="shared" ca="1" si="584"/>
        <v/>
      </c>
      <c r="I878" s="32" t="str">
        <f t="shared" ca="1" si="589"/>
        <v/>
      </c>
      <c r="J878" s="32" t="str">
        <f t="shared" si="585"/>
        <v/>
      </c>
      <c r="K878" s="32" t="str">
        <f>IF(ISNUMBER(A878),Profile!$V$25+Profile!$V$24*'Ri-Po'!C878,"")</f>
        <v/>
      </c>
      <c r="L878" s="32" t="str">
        <f t="shared" si="590"/>
        <v/>
      </c>
      <c r="M878" s="32" t="str">
        <f t="shared" si="586"/>
        <v/>
      </c>
      <c r="N878" s="32" t="str">
        <f t="shared" si="587"/>
        <v/>
      </c>
      <c r="O878" s="32" t="str">
        <f t="shared" si="603"/>
        <v/>
      </c>
      <c r="P878" s="32" t="str">
        <f t="shared" si="591"/>
        <v/>
      </c>
      <c r="Q878" s="32" t="str">
        <f t="shared" si="592"/>
        <v/>
      </c>
      <c r="R878" s="32" t="str">
        <f t="shared" si="604"/>
        <v/>
      </c>
      <c r="S878" s="24" t="str">
        <f t="shared" si="605"/>
        <v/>
      </c>
      <c r="T878" s="24" t="str">
        <f t="shared" si="606"/>
        <v/>
      </c>
      <c r="U878" s="24" t="str">
        <f t="shared" si="607"/>
        <v/>
      </c>
      <c r="V878" s="24" t="str">
        <f t="shared" si="608"/>
        <v/>
      </c>
      <c r="W878" s="23" t="str">
        <f t="array" ref="W878">IFERROR(SMALL(IF(S$1:S$1000="BEGIN",ROW(S$1:S$1000)),ROW()-3),"")</f>
        <v/>
      </c>
      <c r="X878" s="23" t="str">
        <f t="array" ref="X878">IFERROR(SMALL(IF(T$1:T$1000="END",ROW(T$1:T$1000)),ROW()-3),"")</f>
        <v/>
      </c>
      <c r="Y878" s="33" t="str">
        <f t="array" ref="Y878">IF(ISNUMBER(W878),MAX(IF((B$4:B$1000&lt;=X878)*(B$4:B$1000&gt;=W878),I$4:I$1000, "")),"")</f>
        <v/>
      </c>
      <c r="Z878" s="33" t="str">
        <f t="shared" si="593"/>
        <v/>
      </c>
      <c r="AA878" s="32" t="str">
        <f t="shared" si="594"/>
        <v/>
      </c>
      <c r="AB878" s="32" t="str">
        <f t="shared" si="595"/>
        <v/>
      </c>
      <c r="AC878" s="32" t="str">
        <f t="shared" si="596"/>
        <v/>
      </c>
      <c r="AD878" s="32" t="str">
        <f t="shared" si="597"/>
        <v/>
      </c>
      <c r="AE878" s="34" t="str">
        <f t="shared" si="598"/>
        <v/>
      </c>
      <c r="AF878" s="32" t="str">
        <f t="shared" si="599"/>
        <v/>
      </c>
      <c r="AG878" s="32" t="str">
        <f t="shared" si="600"/>
        <v/>
      </c>
      <c r="AH878" s="32" t="str">
        <f t="shared" si="601"/>
        <v/>
      </c>
      <c r="AI878" s="35" t="str">
        <f t="shared" si="602"/>
        <v/>
      </c>
      <c r="AJ878" s="23" t="str">
        <f t="array" ref="AJ878">IFERROR(SMALL(IF(U$1:U$1000="BEGIN",ROW(U$1:U$1000)),ROW()-3),"")</f>
        <v/>
      </c>
      <c r="AK878" s="23" t="str">
        <f t="array" ref="AK878">IFERROR(SMALL(IF(V$1:V$1000="END",ROW(V$1:V$1000)),ROW()-3),"")</f>
        <v/>
      </c>
      <c r="AL878" s="24" t="str">
        <f t="array" ref="AL878">IF(AK878="","",MATCH(AM878,L:L,0))</f>
        <v/>
      </c>
      <c r="AM878" s="35">
        <f t="array" ref="AM878">MAX(IF((B$4:B$1000&lt;=AK878)*(B$4:B$1000&gt;=AJ878),L$4:L$1000, ""))</f>
        <v>0</v>
      </c>
      <c r="AN878" s="32" t="str">
        <f t="shared" si="609"/>
        <v/>
      </c>
      <c r="AO878" s="32" t="str">
        <f t="shared" si="610"/>
        <v/>
      </c>
      <c r="AP878" s="32" t="str">
        <f t="shared" si="611"/>
        <v/>
      </c>
      <c r="AQ878" s="32" t="str">
        <f t="shared" si="612"/>
        <v/>
      </c>
      <c r="AR878" s="32" t="str">
        <f t="shared" si="613"/>
        <v/>
      </c>
      <c r="AS878" s="32" t="str">
        <f t="shared" si="614"/>
        <v/>
      </c>
      <c r="AT878" s="32" t="str">
        <f t="shared" si="615"/>
        <v/>
      </c>
      <c r="AU878" s="34" t="str">
        <f t="shared" si="616"/>
        <v/>
      </c>
      <c r="AV878" s="32" t="str">
        <f t="shared" si="617"/>
        <v/>
      </c>
      <c r="AW878" s="32" t="str">
        <f t="shared" si="618"/>
        <v/>
      </c>
      <c r="AX878" s="32" t="str">
        <f t="shared" si="619"/>
        <v/>
      </c>
      <c r="AY878" s="32" t="str">
        <f t="shared" si="620"/>
        <v/>
      </c>
    </row>
    <row r="879" spans="1:51" x14ac:dyDescent="0.25">
      <c r="A879" s="24" t="str">
        <f t="shared" si="578"/>
        <v/>
      </c>
      <c r="B879" s="24" t="str">
        <f t="shared" si="588"/>
        <v/>
      </c>
      <c r="C879" s="32" t="str">
        <f t="shared" si="579"/>
        <v/>
      </c>
      <c r="D879" s="24" t="str">
        <f t="shared" si="580"/>
        <v/>
      </c>
      <c r="E879" s="24" t="str">
        <f t="shared" si="581"/>
        <v/>
      </c>
      <c r="F879" s="32" t="str">
        <f t="shared" si="582"/>
        <v/>
      </c>
      <c r="G879" s="32" t="str">
        <f t="shared" si="583"/>
        <v/>
      </c>
      <c r="H879" s="32" t="str">
        <f t="shared" ca="1" si="584"/>
        <v/>
      </c>
      <c r="I879" s="32" t="str">
        <f t="shared" ca="1" si="589"/>
        <v/>
      </c>
      <c r="J879" s="32" t="str">
        <f t="shared" si="585"/>
        <v/>
      </c>
      <c r="K879" s="32" t="str">
        <f>IF(ISNUMBER(A879),Profile!$V$25+Profile!$V$24*'Ri-Po'!C879,"")</f>
        <v/>
      </c>
      <c r="L879" s="32" t="str">
        <f t="shared" si="590"/>
        <v/>
      </c>
      <c r="M879" s="32" t="str">
        <f t="shared" si="586"/>
        <v/>
      </c>
      <c r="N879" s="32" t="str">
        <f t="shared" si="587"/>
        <v/>
      </c>
      <c r="O879" s="32" t="str">
        <f t="shared" si="603"/>
        <v/>
      </c>
      <c r="P879" s="32" t="str">
        <f t="shared" si="591"/>
        <v/>
      </c>
      <c r="Q879" s="32" t="str">
        <f t="shared" si="592"/>
        <v/>
      </c>
      <c r="R879" s="32" t="str">
        <f t="shared" si="604"/>
        <v/>
      </c>
      <c r="S879" s="24" t="str">
        <f t="shared" si="605"/>
        <v/>
      </c>
      <c r="T879" s="24" t="str">
        <f t="shared" si="606"/>
        <v/>
      </c>
      <c r="U879" s="24" t="str">
        <f t="shared" si="607"/>
        <v/>
      </c>
      <c r="V879" s="24" t="str">
        <f t="shared" si="608"/>
        <v/>
      </c>
      <c r="W879" s="23" t="str">
        <f t="array" ref="W879">IFERROR(SMALL(IF(S$1:S$1000="BEGIN",ROW(S$1:S$1000)),ROW()-3),"")</f>
        <v/>
      </c>
      <c r="X879" s="23" t="str">
        <f t="array" ref="X879">IFERROR(SMALL(IF(T$1:T$1000="END",ROW(T$1:T$1000)),ROW()-3),"")</f>
        <v/>
      </c>
      <c r="Y879" s="33" t="str">
        <f t="array" ref="Y879">IF(ISNUMBER(W879),MAX(IF((B$4:B$1000&lt;=X879)*(B$4:B$1000&gt;=W879),I$4:I$1000, "")),"")</f>
        <v/>
      </c>
      <c r="Z879" s="33" t="str">
        <f t="shared" si="593"/>
        <v/>
      </c>
      <c r="AA879" s="32" t="str">
        <f t="shared" si="594"/>
        <v/>
      </c>
      <c r="AB879" s="32" t="str">
        <f t="shared" si="595"/>
        <v/>
      </c>
      <c r="AC879" s="32" t="str">
        <f t="shared" si="596"/>
        <v/>
      </c>
      <c r="AD879" s="32" t="str">
        <f t="shared" si="597"/>
        <v/>
      </c>
      <c r="AE879" s="34" t="str">
        <f t="shared" si="598"/>
        <v/>
      </c>
      <c r="AF879" s="32" t="str">
        <f t="shared" si="599"/>
        <v/>
      </c>
      <c r="AG879" s="32" t="str">
        <f t="shared" si="600"/>
        <v/>
      </c>
      <c r="AH879" s="32" t="str">
        <f t="shared" si="601"/>
        <v/>
      </c>
      <c r="AI879" s="35" t="str">
        <f t="shared" si="602"/>
        <v/>
      </c>
      <c r="AJ879" s="23" t="str">
        <f t="array" ref="AJ879">IFERROR(SMALL(IF(U$1:U$1000="BEGIN",ROW(U$1:U$1000)),ROW()-3),"")</f>
        <v/>
      </c>
      <c r="AK879" s="23" t="str">
        <f t="array" ref="AK879">IFERROR(SMALL(IF(V$1:V$1000="END",ROW(V$1:V$1000)),ROW()-3),"")</f>
        <v/>
      </c>
      <c r="AL879" s="24" t="str">
        <f t="array" ref="AL879">IF(AK879="","",MATCH(AM879,L:L,0))</f>
        <v/>
      </c>
      <c r="AM879" s="35">
        <f t="array" ref="AM879">MAX(IF((B$4:B$1000&lt;=AK879)*(B$4:B$1000&gt;=AJ879),L$4:L$1000, ""))</f>
        <v>0</v>
      </c>
      <c r="AN879" s="32" t="str">
        <f t="shared" si="609"/>
        <v/>
      </c>
      <c r="AO879" s="32" t="str">
        <f t="shared" si="610"/>
        <v/>
      </c>
      <c r="AP879" s="32" t="str">
        <f t="shared" si="611"/>
        <v/>
      </c>
      <c r="AQ879" s="32" t="str">
        <f t="shared" si="612"/>
        <v/>
      </c>
      <c r="AR879" s="32" t="str">
        <f t="shared" si="613"/>
        <v/>
      </c>
      <c r="AS879" s="32" t="str">
        <f t="shared" si="614"/>
        <v/>
      </c>
      <c r="AT879" s="32" t="str">
        <f t="shared" si="615"/>
        <v/>
      </c>
      <c r="AU879" s="34" t="str">
        <f t="shared" si="616"/>
        <v/>
      </c>
      <c r="AV879" s="32" t="str">
        <f t="shared" si="617"/>
        <v/>
      </c>
      <c r="AW879" s="32" t="str">
        <f t="shared" si="618"/>
        <v/>
      </c>
      <c r="AX879" s="32" t="str">
        <f t="shared" si="619"/>
        <v/>
      </c>
      <c r="AY879" s="32" t="str">
        <f t="shared" si="620"/>
        <v/>
      </c>
    </row>
    <row r="880" spans="1:51" x14ac:dyDescent="0.25">
      <c r="A880" s="24" t="str">
        <f t="shared" si="578"/>
        <v/>
      </c>
      <c r="B880" s="24" t="str">
        <f t="shared" si="588"/>
        <v/>
      </c>
      <c r="C880" s="32" t="str">
        <f t="shared" si="579"/>
        <v/>
      </c>
      <c r="D880" s="24" t="str">
        <f t="shared" si="580"/>
        <v/>
      </c>
      <c r="E880" s="24" t="str">
        <f t="shared" si="581"/>
        <v/>
      </c>
      <c r="F880" s="32" t="str">
        <f t="shared" si="582"/>
        <v/>
      </c>
      <c r="G880" s="32" t="str">
        <f t="shared" si="583"/>
        <v/>
      </c>
      <c r="H880" s="32" t="str">
        <f t="shared" ca="1" si="584"/>
        <v/>
      </c>
      <c r="I880" s="32" t="str">
        <f t="shared" ca="1" si="589"/>
        <v/>
      </c>
      <c r="J880" s="32" t="str">
        <f t="shared" si="585"/>
        <v/>
      </c>
      <c r="K880" s="32" t="str">
        <f>IF(ISNUMBER(A880),Profile!$V$25+Profile!$V$24*'Ri-Po'!C880,"")</f>
        <v/>
      </c>
      <c r="L880" s="32" t="str">
        <f t="shared" si="590"/>
        <v/>
      </c>
      <c r="M880" s="32" t="str">
        <f t="shared" si="586"/>
        <v/>
      </c>
      <c r="N880" s="32" t="str">
        <f t="shared" si="587"/>
        <v/>
      </c>
      <c r="O880" s="32" t="str">
        <f t="shared" si="603"/>
        <v/>
      </c>
      <c r="P880" s="32" t="str">
        <f t="shared" si="591"/>
        <v/>
      </c>
      <c r="Q880" s="32" t="str">
        <f t="shared" si="592"/>
        <v/>
      </c>
      <c r="R880" s="32" t="str">
        <f t="shared" si="604"/>
        <v/>
      </c>
      <c r="S880" s="24" t="str">
        <f t="shared" si="605"/>
        <v/>
      </c>
      <c r="T880" s="24" t="str">
        <f t="shared" si="606"/>
        <v/>
      </c>
      <c r="U880" s="24" t="str">
        <f t="shared" si="607"/>
        <v/>
      </c>
      <c r="V880" s="24" t="str">
        <f t="shared" si="608"/>
        <v/>
      </c>
      <c r="W880" s="23" t="str">
        <f t="array" ref="W880">IFERROR(SMALL(IF(S$1:S$1000="BEGIN",ROW(S$1:S$1000)),ROW()-3),"")</f>
        <v/>
      </c>
      <c r="X880" s="23" t="str">
        <f t="array" ref="X880">IFERROR(SMALL(IF(T$1:T$1000="END",ROW(T$1:T$1000)),ROW()-3),"")</f>
        <v/>
      </c>
      <c r="Y880" s="33" t="str">
        <f t="array" ref="Y880">IF(ISNUMBER(W880),MAX(IF((B$4:B$1000&lt;=X880)*(B$4:B$1000&gt;=W880),I$4:I$1000, "")),"")</f>
        <v/>
      </c>
      <c r="Z880" s="33" t="str">
        <f t="shared" si="593"/>
        <v/>
      </c>
      <c r="AA880" s="32" t="str">
        <f t="shared" si="594"/>
        <v/>
      </c>
      <c r="AB880" s="32" t="str">
        <f t="shared" si="595"/>
        <v/>
      </c>
      <c r="AC880" s="32" t="str">
        <f t="shared" si="596"/>
        <v/>
      </c>
      <c r="AD880" s="32" t="str">
        <f t="shared" si="597"/>
        <v/>
      </c>
      <c r="AE880" s="34" t="str">
        <f t="shared" si="598"/>
        <v/>
      </c>
      <c r="AF880" s="32" t="str">
        <f t="shared" si="599"/>
        <v/>
      </c>
      <c r="AG880" s="32" t="str">
        <f t="shared" si="600"/>
        <v/>
      </c>
      <c r="AH880" s="32" t="str">
        <f t="shared" si="601"/>
        <v/>
      </c>
      <c r="AI880" s="35" t="str">
        <f t="shared" si="602"/>
        <v/>
      </c>
      <c r="AJ880" s="23" t="str">
        <f t="array" ref="AJ880">IFERROR(SMALL(IF(U$1:U$1000="BEGIN",ROW(U$1:U$1000)),ROW()-3),"")</f>
        <v/>
      </c>
      <c r="AK880" s="23" t="str">
        <f t="array" ref="AK880">IFERROR(SMALL(IF(V$1:V$1000="END",ROW(V$1:V$1000)),ROW()-3),"")</f>
        <v/>
      </c>
      <c r="AL880" s="24" t="str">
        <f t="array" ref="AL880">IF(AK880="","",MATCH(AM880,L:L,0))</f>
        <v/>
      </c>
      <c r="AM880" s="35">
        <f t="array" ref="AM880">MAX(IF((B$4:B$1000&lt;=AK880)*(B$4:B$1000&gt;=AJ880),L$4:L$1000, ""))</f>
        <v>0</v>
      </c>
      <c r="AN880" s="32" t="str">
        <f t="shared" si="609"/>
        <v/>
      </c>
      <c r="AO880" s="32" t="str">
        <f t="shared" si="610"/>
        <v/>
      </c>
      <c r="AP880" s="32" t="str">
        <f t="shared" si="611"/>
        <v/>
      </c>
      <c r="AQ880" s="32" t="str">
        <f t="shared" si="612"/>
        <v/>
      </c>
      <c r="AR880" s="32" t="str">
        <f t="shared" si="613"/>
        <v/>
      </c>
      <c r="AS880" s="32" t="str">
        <f t="shared" si="614"/>
        <v/>
      </c>
      <c r="AT880" s="32" t="str">
        <f t="shared" si="615"/>
        <v/>
      </c>
      <c r="AU880" s="34" t="str">
        <f t="shared" si="616"/>
        <v/>
      </c>
      <c r="AV880" s="32" t="str">
        <f t="shared" si="617"/>
        <v/>
      </c>
      <c r="AW880" s="32" t="str">
        <f t="shared" si="618"/>
        <v/>
      </c>
      <c r="AX880" s="32" t="str">
        <f t="shared" si="619"/>
        <v/>
      </c>
      <c r="AY880" s="32" t="str">
        <f t="shared" si="620"/>
        <v/>
      </c>
    </row>
    <row r="881" spans="1:51" x14ac:dyDescent="0.25">
      <c r="A881" s="24" t="str">
        <f t="shared" si="578"/>
        <v/>
      </c>
      <c r="B881" s="24" t="str">
        <f t="shared" si="588"/>
        <v/>
      </c>
      <c r="C881" s="32" t="str">
        <f t="shared" si="579"/>
        <v/>
      </c>
      <c r="D881" s="24" t="str">
        <f t="shared" si="580"/>
        <v/>
      </c>
      <c r="E881" s="24" t="str">
        <f t="shared" si="581"/>
        <v/>
      </c>
      <c r="F881" s="32" t="str">
        <f t="shared" si="582"/>
        <v/>
      </c>
      <c r="G881" s="32" t="str">
        <f t="shared" si="583"/>
        <v/>
      </c>
      <c r="H881" s="32" t="str">
        <f t="shared" ca="1" si="584"/>
        <v/>
      </c>
      <c r="I881" s="32" t="str">
        <f t="shared" ca="1" si="589"/>
        <v/>
      </c>
      <c r="J881" s="32" t="str">
        <f t="shared" si="585"/>
        <v/>
      </c>
      <c r="K881" s="32" t="str">
        <f>IF(ISNUMBER(A881),Profile!$V$25+Profile!$V$24*'Ri-Po'!C881,"")</f>
        <v/>
      </c>
      <c r="L881" s="32" t="str">
        <f t="shared" si="590"/>
        <v/>
      </c>
      <c r="M881" s="32" t="str">
        <f t="shared" si="586"/>
        <v/>
      </c>
      <c r="N881" s="32" t="str">
        <f t="shared" si="587"/>
        <v/>
      </c>
      <c r="O881" s="32" t="str">
        <f t="shared" si="603"/>
        <v/>
      </c>
      <c r="P881" s="32" t="str">
        <f t="shared" si="591"/>
        <v/>
      </c>
      <c r="Q881" s="32" t="str">
        <f t="shared" si="592"/>
        <v/>
      </c>
      <c r="R881" s="32" t="str">
        <f t="shared" si="604"/>
        <v/>
      </c>
      <c r="S881" s="24" t="str">
        <f t="shared" si="605"/>
        <v/>
      </c>
      <c r="T881" s="24" t="str">
        <f t="shared" si="606"/>
        <v/>
      </c>
      <c r="U881" s="24" t="str">
        <f t="shared" si="607"/>
        <v/>
      </c>
      <c r="V881" s="24" t="str">
        <f t="shared" si="608"/>
        <v/>
      </c>
      <c r="W881" s="23" t="str">
        <f t="array" ref="W881">IFERROR(SMALL(IF(S$1:S$1000="BEGIN",ROW(S$1:S$1000)),ROW()-3),"")</f>
        <v/>
      </c>
      <c r="X881" s="23" t="str">
        <f t="array" ref="X881">IFERROR(SMALL(IF(T$1:T$1000="END",ROW(T$1:T$1000)),ROW()-3),"")</f>
        <v/>
      </c>
      <c r="Y881" s="33" t="str">
        <f t="array" ref="Y881">IF(ISNUMBER(W881),MAX(IF((B$4:B$1000&lt;=X881)*(B$4:B$1000&gt;=W881),I$4:I$1000, "")),"")</f>
        <v/>
      </c>
      <c r="Z881" s="33" t="str">
        <f t="shared" si="593"/>
        <v/>
      </c>
      <c r="AA881" s="32" t="str">
        <f t="shared" si="594"/>
        <v/>
      </c>
      <c r="AB881" s="32" t="str">
        <f t="shared" si="595"/>
        <v/>
      </c>
      <c r="AC881" s="32" t="str">
        <f t="shared" si="596"/>
        <v/>
      </c>
      <c r="AD881" s="32" t="str">
        <f t="shared" si="597"/>
        <v/>
      </c>
      <c r="AE881" s="34" t="str">
        <f t="shared" si="598"/>
        <v/>
      </c>
      <c r="AF881" s="32" t="str">
        <f t="shared" si="599"/>
        <v/>
      </c>
      <c r="AG881" s="32" t="str">
        <f t="shared" si="600"/>
        <v/>
      </c>
      <c r="AH881" s="32" t="str">
        <f t="shared" si="601"/>
        <v/>
      </c>
      <c r="AI881" s="35" t="str">
        <f t="shared" si="602"/>
        <v/>
      </c>
      <c r="AJ881" s="23" t="str">
        <f t="array" ref="AJ881">IFERROR(SMALL(IF(U$1:U$1000="BEGIN",ROW(U$1:U$1000)),ROW()-3),"")</f>
        <v/>
      </c>
      <c r="AK881" s="23" t="str">
        <f t="array" ref="AK881">IFERROR(SMALL(IF(V$1:V$1000="END",ROW(V$1:V$1000)),ROW()-3),"")</f>
        <v/>
      </c>
      <c r="AL881" s="24" t="str">
        <f t="array" ref="AL881">IF(AK881="","",MATCH(AM881,L:L,0))</f>
        <v/>
      </c>
      <c r="AM881" s="35">
        <f t="array" ref="AM881">MAX(IF((B$4:B$1000&lt;=AK881)*(B$4:B$1000&gt;=AJ881),L$4:L$1000, ""))</f>
        <v>0</v>
      </c>
      <c r="AN881" s="32" t="str">
        <f t="shared" si="609"/>
        <v/>
      </c>
      <c r="AO881" s="32" t="str">
        <f t="shared" si="610"/>
        <v/>
      </c>
      <c r="AP881" s="32" t="str">
        <f t="shared" si="611"/>
        <v/>
      </c>
      <c r="AQ881" s="32" t="str">
        <f t="shared" si="612"/>
        <v/>
      </c>
      <c r="AR881" s="32" t="str">
        <f t="shared" si="613"/>
        <v/>
      </c>
      <c r="AS881" s="32" t="str">
        <f t="shared" si="614"/>
        <v/>
      </c>
      <c r="AT881" s="32" t="str">
        <f t="shared" si="615"/>
        <v/>
      </c>
      <c r="AU881" s="34" t="str">
        <f t="shared" si="616"/>
        <v/>
      </c>
      <c r="AV881" s="32" t="str">
        <f t="shared" si="617"/>
        <v/>
      </c>
      <c r="AW881" s="32" t="str">
        <f t="shared" si="618"/>
        <v/>
      </c>
      <c r="AX881" s="32" t="str">
        <f t="shared" si="619"/>
        <v/>
      </c>
      <c r="AY881" s="32" t="str">
        <f t="shared" si="620"/>
        <v/>
      </c>
    </row>
    <row r="882" spans="1:51" x14ac:dyDescent="0.25">
      <c r="A882" s="24" t="str">
        <f t="shared" si="578"/>
        <v/>
      </c>
      <c r="B882" s="24" t="str">
        <f t="shared" si="588"/>
        <v/>
      </c>
      <c r="C882" s="32" t="str">
        <f t="shared" si="579"/>
        <v/>
      </c>
      <c r="D882" s="24" t="str">
        <f t="shared" si="580"/>
        <v/>
      </c>
      <c r="E882" s="24" t="str">
        <f t="shared" si="581"/>
        <v/>
      </c>
      <c r="F882" s="32" t="str">
        <f t="shared" si="582"/>
        <v/>
      </c>
      <c r="G882" s="32" t="str">
        <f t="shared" si="583"/>
        <v/>
      </c>
      <c r="H882" s="32" t="str">
        <f t="shared" ca="1" si="584"/>
        <v/>
      </c>
      <c r="I882" s="32" t="str">
        <f t="shared" ca="1" si="589"/>
        <v/>
      </c>
      <c r="J882" s="32" t="str">
        <f t="shared" si="585"/>
        <v/>
      </c>
      <c r="K882" s="32" t="str">
        <f>IF(ISNUMBER(A882),Profile!$V$25+Profile!$V$24*'Ri-Po'!C882,"")</f>
        <v/>
      </c>
      <c r="L882" s="32" t="str">
        <f t="shared" si="590"/>
        <v/>
      </c>
      <c r="M882" s="32" t="str">
        <f t="shared" si="586"/>
        <v/>
      </c>
      <c r="N882" s="32" t="str">
        <f t="shared" si="587"/>
        <v/>
      </c>
      <c r="O882" s="32" t="str">
        <f t="shared" si="603"/>
        <v/>
      </c>
      <c r="P882" s="32" t="str">
        <f t="shared" si="591"/>
        <v/>
      </c>
      <c r="Q882" s="32" t="str">
        <f t="shared" si="592"/>
        <v/>
      </c>
      <c r="R882" s="32" t="str">
        <f t="shared" si="604"/>
        <v/>
      </c>
      <c r="S882" s="24" t="str">
        <f t="shared" si="605"/>
        <v/>
      </c>
      <c r="T882" s="24" t="str">
        <f t="shared" si="606"/>
        <v/>
      </c>
      <c r="U882" s="24" t="str">
        <f t="shared" si="607"/>
        <v/>
      </c>
      <c r="V882" s="24" t="str">
        <f t="shared" si="608"/>
        <v/>
      </c>
      <c r="W882" s="23" t="str">
        <f t="array" ref="W882">IFERROR(SMALL(IF(S$1:S$1000="BEGIN",ROW(S$1:S$1000)),ROW()-3),"")</f>
        <v/>
      </c>
      <c r="X882" s="23" t="str">
        <f t="array" ref="X882">IFERROR(SMALL(IF(T$1:T$1000="END",ROW(T$1:T$1000)),ROW()-3),"")</f>
        <v/>
      </c>
      <c r="Y882" s="33" t="str">
        <f t="array" ref="Y882">IF(ISNUMBER(W882),MAX(IF((B$4:B$1000&lt;=X882)*(B$4:B$1000&gt;=W882),I$4:I$1000, "")),"")</f>
        <v/>
      </c>
      <c r="Z882" s="33" t="str">
        <f t="shared" si="593"/>
        <v/>
      </c>
      <c r="AA882" s="32" t="str">
        <f t="shared" si="594"/>
        <v/>
      </c>
      <c r="AB882" s="32" t="str">
        <f t="shared" si="595"/>
        <v/>
      </c>
      <c r="AC882" s="32" t="str">
        <f t="shared" si="596"/>
        <v/>
      </c>
      <c r="AD882" s="32" t="str">
        <f t="shared" si="597"/>
        <v/>
      </c>
      <c r="AE882" s="34" t="str">
        <f t="shared" si="598"/>
        <v/>
      </c>
      <c r="AF882" s="32" t="str">
        <f t="shared" si="599"/>
        <v/>
      </c>
      <c r="AG882" s="32" t="str">
        <f t="shared" si="600"/>
        <v/>
      </c>
      <c r="AH882" s="32" t="str">
        <f t="shared" si="601"/>
        <v/>
      </c>
      <c r="AI882" s="35" t="str">
        <f t="shared" si="602"/>
        <v/>
      </c>
      <c r="AJ882" s="23" t="str">
        <f t="array" ref="AJ882">IFERROR(SMALL(IF(U$1:U$1000="BEGIN",ROW(U$1:U$1000)),ROW()-3),"")</f>
        <v/>
      </c>
      <c r="AK882" s="23" t="str">
        <f t="array" ref="AK882">IFERROR(SMALL(IF(V$1:V$1000="END",ROW(V$1:V$1000)),ROW()-3),"")</f>
        <v/>
      </c>
      <c r="AL882" s="24" t="str">
        <f t="array" ref="AL882">IF(AK882="","",MATCH(AM882,L:L,0))</f>
        <v/>
      </c>
      <c r="AM882" s="35">
        <f t="array" ref="AM882">MAX(IF((B$4:B$1000&lt;=AK882)*(B$4:B$1000&gt;=AJ882),L$4:L$1000, ""))</f>
        <v>0</v>
      </c>
      <c r="AN882" s="32" t="str">
        <f t="shared" si="609"/>
        <v/>
      </c>
      <c r="AO882" s="32" t="str">
        <f t="shared" si="610"/>
        <v/>
      </c>
      <c r="AP882" s="32" t="str">
        <f t="shared" si="611"/>
        <v/>
      </c>
      <c r="AQ882" s="32" t="str">
        <f t="shared" si="612"/>
        <v/>
      </c>
      <c r="AR882" s="32" t="str">
        <f t="shared" si="613"/>
        <v/>
      </c>
      <c r="AS882" s="32" t="str">
        <f t="shared" si="614"/>
        <v/>
      </c>
      <c r="AT882" s="32" t="str">
        <f t="shared" si="615"/>
        <v/>
      </c>
      <c r="AU882" s="34" t="str">
        <f t="shared" si="616"/>
        <v/>
      </c>
      <c r="AV882" s="32" t="str">
        <f t="shared" si="617"/>
        <v/>
      </c>
      <c r="AW882" s="32" t="str">
        <f t="shared" si="618"/>
        <v/>
      </c>
      <c r="AX882" s="32" t="str">
        <f t="shared" si="619"/>
        <v/>
      </c>
      <c r="AY882" s="32" t="str">
        <f t="shared" si="620"/>
        <v/>
      </c>
    </row>
    <row r="883" spans="1:51" x14ac:dyDescent="0.25">
      <c r="A883" s="24" t="str">
        <f t="shared" si="578"/>
        <v/>
      </c>
      <c r="B883" s="24" t="str">
        <f t="shared" si="588"/>
        <v/>
      </c>
      <c r="C883" s="32" t="str">
        <f t="shared" si="579"/>
        <v/>
      </c>
      <c r="D883" s="24" t="str">
        <f t="shared" si="580"/>
        <v/>
      </c>
      <c r="E883" s="24" t="str">
        <f t="shared" si="581"/>
        <v/>
      </c>
      <c r="F883" s="32" t="str">
        <f t="shared" si="582"/>
        <v/>
      </c>
      <c r="G883" s="32" t="str">
        <f t="shared" si="583"/>
        <v/>
      </c>
      <c r="H883" s="32" t="str">
        <f t="shared" ca="1" si="584"/>
        <v/>
      </c>
      <c r="I883" s="32" t="str">
        <f t="shared" ca="1" si="589"/>
        <v/>
      </c>
      <c r="J883" s="32" t="str">
        <f t="shared" si="585"/>
        <v/>
      </c>
      <c r="K883" s="32" t="str">
        <f>IF(ISNUMBER(A883),Profile!$V$25+Profile!$V$24*'Ri-Po'!C883,"")</f>
        <v/>
      </c>
      <c r="L883" s="32" t="str">
        <f t="shared" si="590"/>
        <v/>
      </c>
      <c r="M883" s="32" t="str">
        <f t="shared" si="586"/>
        <v/>
      </c>
      <c r="N883" s="32" t="str">
        <f t="shared" si="587"/>
        <v/>
      </c>
      <c r="O883" s="32" t="str">
        <f t="shared" si="603"/>
        <v/>
      </c>
      <c r="P883" s="32" t="str">
        <f t="shared" si="591"/>
        <v/>
      </c>
      <c r="Q883" s="32" t="str">
        <f t="shared" si="592"/>
        <v/>
      </c>
      <c r="R883" s="32" t="str">
        <f t="shared" si="604"/>
        <v/>
      </c>
      <c r="S883" s="24" t="str">
        <f t="shared" si="605"/>
        <v/>
      </c>
      <c r="T883" s="24" t="str">
        <f t="shared" si="606"/>
        <v/>
      </c>
      <c r="U883" s="24" t="str">
        <f t="shared" si="607"/>
        <v/>
      </c>
      <c r="V883" s="24" t="str">
        <f t="shared" si="608"/>
        <v/>
      </c>
      <c r="W883" s="23" t="str">
        <f t="array" ref="W883">IFERROR(SMALL(IF(S$1:S$1000="BEGIN",ROW(S$1:S$1000)),ROW()-3),"")</f>
        <v/>
      </c>
      <c r="X883" s="23" t="str">
        <f t="array" ref="X883">IFERROR(SMALL(IF(T$1:T$1000="END",ROW(T$1:T$1000)),ROW()-3),"")</f>
        <v/>
      </c>
      <c r="Y883" s="33" t="str">
        <f t="array" ref="Y883">IF(ISNUMBER(W883),MAX(IF((B$4:B$1000&lt;=X883)*(B$4:B$1000&gt;=W883),I$4:I$1000, "")),"")</f>
        <v/>
      </c>
      <c r="Z883" s="33" t="str">
        <f t="shared" si="593"/>
        <v/>
      </c>
      <c r="AA883" s="32" t="str">
        <f t="shared" si="594"/>
        <v/>
      </c>
      <c r="AB883" s="32" t="str">
        <f t="shared" si="595"/>
        <v/>
      </c>
      <c r="AC883" s="32" t="str">
        <f t="shared" si="596"/>
        <v/>
      </c>
      <c r="AD883" s="32" t="str">
        <f t="shared" si="597"/>
        <v/>
      </c>
      <c r="AE883" s="34" t="str">
        <f t="shared" si="598"/>
        <v/>
      </c>
      <c r="AF883" s="32" t="str">
        <f t="shared" si="599"/>
        <v/>
      </c>
      <c r="AG883" s="32" t="str">
        <f t="shared" si="600"/>
        <v/>
      </c>
      <c r="AH883" s="32" t="str">
        <f t="shared" si="601"/>
        <v/>
      </c>
      <c r="AI883" s="35" t="str">
        <f t="shared" si="602"/>
        <v/>
      </c>
      <c r="AJ883" s="23" t="str">
        <f t="array" ref="AJ883">IFERROR(SMALL(IF(U$1:U$1000="BEGIN",ROW(U$1:U$1000)),ROW()-3),"")</f>
        <v/>
      </c>
      <c r="AK883" s="23" t="str">
        <f t="array" ref="AK883">IFERROR(SMALL(IF(V$1:V$1000="END",ROW(V$1:V$1000)),ROW()-3),"")</f>
        <v/>
      </c>
      <c r="AL883" s="24" t="str">
        <f t="array" ref="AL883">IF(AK883="","",MATCH(AM883,L:L,0))</f>
        <v/>
      </c>
      <c r="AM883" s="35">
        <f t="array" ref="AM883">MAX(IF((B$4:B$1000&lt;=AK883)*(B$4:B$1000&gt;=AJ883),L$4:L$1000, ""))</f>
        <v>0</v>
      </c>
      <c r="AN883" s="32" t="str">
        <f t="shared" si="609"/>
        <v/>
      </c>
      <c r="AO883" s="32" t="str">
        <f t="shared" si="610"/>
        <v/>
      </c>
      <c r="AP883" s="32" t="str">
        <f t="shared" si="611"/>
        <v/>
      </c>
      <c r="AQ883" s="32" t="str">
        <f t="shared" si="612"/>
        <v/>
      </c>
      <c r="AR883" s="32" t="str">
        <f t="shared" si="613"/>
        <v/>
      </c>
      <c r="AS883" s="32" t="str">
        <f t="shared" si="614"/>
        <v/>
      </c>
      <c r="AT883" s="32" t="str">
        <f t="shared" si="615"/>
        <v/>
      </c>
      <c r="AU883" s="34" t="str">
        <f t="shared" si="616"/>
        <v/>
      </c>
      <c r="AV883" s="32" t="str">
        <f t="shared" si="617"/>
        <v/>
      </c>
      <c r="AW883" s="32" t="str">
        <f t="shared" si="618"/>
        <v/>
      </c>
      <c r="AX883" s="32" t="str">
        <f t="shared" si="619"/>
        <v/>
      </c>
      <c r="AY883" s="32" t="str">
        <f t="shared" si="620"/>
        <v/>
      </c>
    </row>
    <row r="884" spans="1:51" x14ac:dyDescent="0.25">
      <c r="A884" s="24" t="str">
        <f t="shared" si="578"/>
        <v/>
      </c>
      <c r="B884" s="24" t="str">
        <f t="shared" si="588"/>
        <v/>
      </c>
      <c r="C884" s="32" t="str">
        <f t="shared" si="579"/>
        <v/>
      </c>
      <c r="D884" s="24" t="str">
        <f t="shared" si="580"/>
        <v/>
      </c>
      <c r="E884" s="24" t="str">
        <f t="shared" si="581"/>
        <v/>
      </c>
      <c r="F884" s="32" t="str">
        <f t="shared" si="582"/>
        <v/>
      </c>
      <c r="G884" s="32" t="str">
        <f t="shared" si="583"/>
        <v/>
      </c>
      <c r="H884" s="32" t="str">
        <f t="shared" ca="1" si="584"/>
        <v/>
      </c>
      <c r="I884" s="32" t="str">
        <f t="shared" ca="1" si="589"/>
        <v/>
      </c>
      <c r="J884" s="32" t="str">
        <f t="shared" si="585"/>
        <v/>
      </c>
      <c r="K884" s="32" t="str">
        <f>IF(ISNUMBER(A884),Profile!$V$25+Profile!$V$24*'Ri-Po'!C884,"")</f>
        <v/>
      </c>
      <c r="L884" s="32" t="str">
        <f t="shared" si="590"/>
        <v/>
      </c>
      <c r="M884" s="32" t="str">
        <f t="shared" si="586"/>
        <v/>
      </c>
      <c r="N884" s="32" t="str">
        <f t="shared" si="587"/>
        <v/>
      </c>
      <c r="O884" s="32" t="str">
        <f t="shared" si="603"/>
        <v/>
      </c>
      <c r="P884" s="32" t="str">
        <f t="shared" si="591"/>
        <v/>
      </c>
      <c r="Q884" s="32" t="str">
        <f t="shared" si="592"/>
        <v/>
      </c>
      <c r="R884" s="32" t="str">
        <f t="shared" si="604"/>
        <v/>
      </c>
      <c r="S884" s="24" t="str">
        <f t="shared" si="605"/>
        <v/>
      </c>
      <c r="T884" s="24" t="str">
        <f t="shared" si="606"/>
        <v/>
      </c>
      <c r="U884" s="24" t="str">
        <f t="shared" si="607"/>
        <v/>
      </c>
      <c r="V884" s="24" t="str">
        <f t="shared" si="608"/>
        <v/>
      </c>
      <c r="W884" s="23" t="str">
        <f t="array" ref="W884">IFERROR(SMALL(IF(S$1:S$1000="BEGIN",ROW(S$1:S$1000)),ROW()-3),"")</f>
        <v/>
      </c>
      <c r="X884" s="23" t="str">
        <f t="array" ref="X884">IFERROR(SMALL(IF(T$1:T$1000="END",ROW(T$1:T$1000)),ROW()-3),"")</f>
        <v/>
      </c>
      <c r="Y884" s="33" t="str">
        <f t="array" ref="Y884">IF(ISNUMBER(W884),MAX(IF((B$4:B$1000&lt;=X884)*(B$4:B$1000&gt;=W884),I$4:I$1000, "")),"")</f>
        <v/>
      </c>
      <c r="Z884" s="33" t="str">
        <f t="shared" si="593"/>
        <v/>
      </c>
      <c r="AA884" s="32" t="str">
        <f t="shared" si="594"/>
        <v/>
      </c>
      <c r="AB884" s="32" t="str">
        <f t="shared" si="595"/>
        <v/>
      </c>
      <c r="AC884" s="32" t="str">
        <f t="shared" si="596"/>
        <v/>
      </c>
      <c r="AD884" s="32" t="str">
        <f t="shared" si="597"/>
        <v/>
      </c>
      <c r="AE884" s="34" t="str">
        <f t="shared" si="598"/>
        <v/>
      </c>
      <c r="AF884" s="32" t="str">
        <f t="shared" si="599"/>
        <v/>
      </c>
      <c r="AG884" s="32" t="str">
        <f t="shared" si="600"/>
        <v/>
      </c>
      <c r="AH884" s="32" t="str">
        <f t="shared" si="601"/>
        <v/>
      </c>
      <c r="AI884" s="35" t="str">
        <f t="shared" si="602"/>
        <v/>
      </c>
      <c r="AJ884" s="23" t="str">
        <f t="array" ref="AJ884">IFERROR(SMALL(IF(U$1:U$1000="BEGIN",ROW(U$1:U$1000)),ROW()-3),"")</f>
        <v/>
      </c>
      <c r="AK884" s="23" t="str">
        <f t="array" ref="AK884">IFERROR(SMALL(IF(V$1:V$1000="END",ROW(V$1:V$1000)),ROW()-3),"")</f>
        <v/>
      </c>
      <c r="AL884" s="24" t="str">
        <f t="array" ref="AL884">IF(AK884="","",MATCH(AM884,L:L,0))</f>
        <v/>
      </c>
      <c r="AM884" s="35">
        <f t="array" ref="AM884">MAX(IF((B$4:B$1000&lt;=AK884)*(B$4:B$1000&gt;=AJ884),L$4:L$1000, ""))</f>
        <v>0</v>
      </c>
      <c r="AN884" s="32" t="str">
        <f t="shared" si="609"/>
        <v/>
      </c>
      <c r="AO884" s="32" t="str">
        <f t="shared" si="610"/>
        <v/>
      </c>
      <c r="AP884" s="32" t="str">
        <f t="shared" si="611"/>
        <v/>
      </c>
      <c r="AQ884" s="32" t="str">
        <f t="shared" si="612"/>
        <v/>
      </c>
      <c r="AR884" s="32" t="str">
        <f t="shared" si="613"/>
        <v/>
      </c>
      <c r="AS884" s="32" t="str">
        <f t="shared" si="614"/>
        <v/>
      </c>
      <c r="AT884" s="32" t="str">
        <f t="shared" si="615"/>
        <v/>
      </c>
      <c r="AU884" s="34" t="str">
        <f t="shared" si="616"/>
        <v/>
      </c>
      <c r="AV884" s="32" t="str">
        <f t="shared" si="617"/>
        <v/>
      </c>
      <c r="AW884" s="32" t="str">
        <f t="shared" si="618"/>
        <v/>
      </c>
      <c r="AX884" s="32" t="str">
        <f t="shared" si="619"/>
        <v/>
      </c>
      <c r="AY884" s="32" t="str">
        <f t="shared" si="620"/>
        <v/>
      </c>
    </row>
    <row r="885" spans="1:51" x14ac:dyDescent="0.25">
      <c r="A885" s="24" t="str">
        <f t="shared" si="578"/>
        <v/>
      </c>
      <c r="B885" s="24" t="str">
        <f t="shared" si="588"/>
        <v/>
      </c>
      <c r="C885" s="32" t="str">
        <f t="shared" si="579"/>
        <v/>
      </c>
      <c r="D885" s="24" t="str">
        <f t="shared" si="580"/>
        <v/>
      </c>
      <c r="E885" s="24" t="str">
        <f t="shared" si="581"/>
        <v/>
      </c>
      <c r="F885" s="32" t="str">
        <f t="shared" si="582"/>
        <v/>
      </c>
      <c r="G885" s="32" t="str">
        <f t="shared" si="583"/>
        <v/>
      </c>
      <c r="H885" s="32" t="str">
        <f t="shared" ca="1" si="584"/>
        <v/>
      </c>
      <c r="I885" s="32" t="str">
        <f t="shared" ca="1" si="589"/>
        <v/>
      </c>
      <c r="J885" s="32" t="str">
        <f t="shared" si="585"/>
        <v/>
      </c>
      <c r="K885" s="32" t="str">
        <f>IF(ISNUMBER(A885),Profile!$V$25+Profile!$V$24*'Ri-Po'!C885,"")</f>
        <v/>
      </c>
      <c r="L885" s="32" t="str">
        <f t="shared" si="590"/>
        <v/>
      </c>
      <c r="M885" s="32" t="str">
        <f t="shared" si="586"/>
        <v/>
      </c>
      <c r="N885" s="32" t="str">
        <f t="shared" si="587"/>
        <v/>
      </c>
      <c r="O885" s="32" t="str">
        <f t="shared" si="603"/>
        <v/>
      </c>
      <c r="P885" s="32" t="str">
        <f t="shared" si="591"/>
        <v/>
      </c>
      <c r="Q885" s="32" t="str">
        <f t="shared" si="592"/>
        <v/>
      </c>
      <c r="R885" s="32" t="str">
        <f t="shared" si="604"/>
        <v/>
      </c>
      <c r="S885" s="24" t="str">
        <f t="shared" si="605"/>
        <v/>
      </c>
      <c r="T885" s="24" t="str">
        <f t="shared" si="606"/>
        <v/>
      </c>
      <c r="U885" s="24" t="str">
        <f t="shared" si="607"/>
        <v/>
      </c>
      <c r="V885" s="24" t="str">
        <f t="shared" si="608"/>
        <v/>
      </c>
      <c r="W885" s="23" t="str">
        <f t="array" ref="W885">IFERROR(SMALL(IF(S$1:S$1000="BEGIN",ROW(S$1:S$1000)),ROW()-3),"")</f>
        <v/>
      </c>
      <c r="X885" s="23" t="str">
        <f t="array" ref="X885">IFERROR(SMALL(IF(T$1:T$1000="END",ROW(T$1:T$1000)),ROW()-3),"")</f>
        <v/>
      </c>
      <c r="Y885" s="33" t="str">
        <f t="array" ref="Y885">IF(ISNUMBER(W885),MAX(IF((B$4:B$1000&lt;=X885)*(B$4:B$1000&gt;=W885),I$4:I$1000, "")),"")</f>
        <v/>
      </c>
      <c r="Z885" s="33" t="str">
        <f t="shared" si="593"/>
        <v/>
      </c>
      <c r="AA885" s="32" t="str">
        <f t="shared" si="594"/>
        <v/>
      </c>
      <c r="AB885" s="32" t="str">
        <f t="shared" si="595"/>
        <v/>
      </c>
      <c r="AC885" s="32" t="str">
        <f t="shared" si="596"/>
        <v/>
      </c>
      <c r="AD885" s="32" t="str">
        <f t="shared" si="597"/>
        <v/>
      </c>
      <c r="AE885" s="34" t="str">
        <f t="shared" si="598"/>
        <v/>
      </c>
      <c r="AF885" s="32" t="str">
        <f t="shared" si="599"/>
        <v/>
      </c>
      <c r="AG885" s="32" t="str">
        <f t="shared" si="600"/>
        <v/>
      </c>
      <c r="AH885" s="32" t="str">
        <f t="shared" si="601"/>
        <v/>
      </c>
      <c r="AI885" s="35" t="str">
        <f t="shared" si="602"/>
        <v/>
      </c>
      <c r="AJ885" s="23" t="str">
        <f t="array" ref="AJ885">IFERROR(SMALL(IF(U$1:U$1000="BEGIN",ROW(U$1:U$1000)),ROW()-3),"")</f>
        <v/>
      </c>
      <c r="AK885" s="23" t="str">
        <f t="array" ref="AK885">IFERROR(SMALL(IF(V$1:V$1000="END",ROW(V$1:V$1000)),ROW()-3),"")</f>
        <v/>
      </c>
      <c r="AL885" s="24" t="str">
        <f t="array" ref="AL885">IF(AK885="","",MATCH(AM885,L:L,0))</f>
        <v/>
      </c>
      <c r="AM885" s="35">
        <f t="array" ref="AM885">MAX(IF((B$4:B$1000&lt;=AK885)*(B$4:B$1000&gt;=AJ885),L$4:L$1000, ""))</f>
        <v>0</v>
      </c>
      <c r="AN885" s="32" t="str">
        <f t="shared" si="609"/>
        <v/>
      </c>
      <c r="AO885" s="32" t="str">
        <f t="shared" si="610"/>
        <v/>
      </c>
      <c r="AP885" s="32" t="str">
        <f t="shared" si="611"/>
        <v/>
      </c>
      <c r="AQ885" s="32" t="str">
        <f t="shared" si="612"/>
        <v/>
      </c>
      <c r="AR885" s="32" t="str">
        <f t="shared" si="613"/>
        <v/>
      </c>
      <c r="AS885" s="32" t="str">
        <f t="shared" si="614"/>
        <v/>
      </c>
      <c r="AT885" s="32" t="str">
        <f t="shared" si="615"/>
        <v/>
      </c>
      <c r="AU885" s="34" t="str">
        <f t="shared" si="616"/>
        <v/>
      </c>
      <c r="AV885" s="32" t="str">
        <f t="shared" si="617"/>
        <v/>
      </c>
      <c r="AW885" s="32" t="str">
        <f t="shared" si="618"/>
        <v/>
      </c>
      <c r="AX885" s="32" t="str">
        <f t="shared" si="619"/>
        <v/>
      </c>
      <c r="AY885" s="32" t="str">
        <f t="shared" si="620"/>
        <v/>
      </c>
    </row>
    <row r="886" spans="1:51" x14ac:dyDescent="0.25">
      <c r="A886" s="24" t="str">
        <f t="shared" si="578"/>
        <v/>
      </c>
      <c r="B886" s="24" t="str">
        <f t="shared" si="588"/>
        <v/>
      </c>
      <c r="C886" s="32" t="str">
        <f t="shared" si="579"/>
        <v/>
      </c>
      <c r="D886" s="24" t="str">
        <f t="shared" si="580"/>
        <v/>
      </c>
      <c r="E886" s="24" t="str">
        <f t="shared" si="581"/>
        <v/>
      </c>
      <c r="F886" s="32" t="str">
        <f t="shared" si="582"/>
        <v/>
      </c>
      <c r="G886" s="32" t="str">
        <f t="shared" si="583"/>
        <v/>
      </c>
      <c r="H886" s="32" t="str">
        <f t="shared" ca="1" si="584"/>
        <v/>
      </c>
      <c r="I886" s="32" t="str">
        <f t="shared" ca="1" si="589"/>
        <v/>
      </c>
      <c r="J886" s="32" t="str">
        <f t="shared" si="585"/>
        <v/>
      </c>
      <c r="K886" s="32" t="str">
        <f>IF(ISNUMBER(A886),Profile!$V$25+Profile!$V$24*'Ri-Po'!C886,"")</f>
        <v/>
      </c>
      <c r="L886" s="32" t="str">
        <f t="shared" si="590"/>
        <v/>
      </c>
      <c r="M886" s="32" t="str">
        <f t="shared" si="586"/>
        <v/>
      </c>
      <c r="N886" s="32" t="str">
        <f t="shared" si="587"/>
        <v/>
      </c>
      <c r="O886" s="32" t="str">
        <f t="shared" si="603"/>
        <v/>
      </c>
      <c r="P886" s="32" t="str">
        <f t="shared" si="591"/>
        <v/>
      </c>
      <c r="Q886" s="32" t="str">
        <f t="shared" si="592"/>
        <v/>
      </c>
      <c r="R886" s="32" t="str">
        <f t="shared" si="604"/>
        <v/>
      </c>
      <c r="S886" s="24" t="str">
        <f t="shared" si="605"/>
        <v/>
      </c>
      <c r="T886" s="24" t="str">
        <f t="shared" si="606"/>
        <v/>
      </c>
      <c r="U886" s="24" t="str">
        <f t="shared" si="607"/>
        <v/>
      </c>
      <c r="V886" s="24" t="str">
        <f t="shared" si="608"/>
        <v/>
      </c>
      <c r="W886" s="23" t="str">
        <f t="array" ref="W886">IFERROR(SMALL(IF(S$1:S$1000="BEGIN",ROW(S$1:S$1000)),ROW()-3),"")</f>
        <v/>
      </c>
      <c r="X886" s="23" t="str">
        <f t="array" ref="X886">IFERROR(SMALL(IF(T$1:T$1000="END",ROW(T$1:T$1000)),ROW()-3),"")</f>
        <v/>
      </c>
      <c r="Y886" s="33" t="str">
        <f t="array" ref="Y886">IF(ISNUMBER(W886),MAX(IF((B$4:B$1000&lt;=X886)*(B$4:B$1000&gt;=W886),I$4:I$1000, "")),"")</f>
        <v/>
      </c>
      <c r="Z886" s="33" t="str">
        <f t="shared" si="593"/>
        <v/>
      </c>
      <c r="AA886" s="32" t="str">
        <f t="shared" si="594"/>
        <v/>
      </c>
      <c r="AB886" s="32" t="str">
        <f t="shared" si="595"/>
        <v/>
      </c>
      <c r="AC886" s="32" t="str">
        <f t="shared" si="596"/>
        <v/>
      </c>
      <c r="AD886" s="32" t="str">
        <f t="shared" si="597"/>
        <v/>
      </c>
      <c r="AE886" s="34" t="str">
        <f t="shared" si="598"/>
        <v/>
      </c>
      <c r="AF886" s="32" t="str">
        <f t="shared" si="599"/>
        <v/>
      </c>
      <c r="AG886" s="32" t="str">
        <f t="shared" si="600"/>
        <v/>
      </c>
      <c r="AH886" s="32" t="str">
        <f t="shared" si="601"/>
        <v/>
      </c>
      <c r="AI886" s="35" t="str">
        <f t="shared" si="602"/>
        <v/>
      </c>
      <c r="AJ886" s="23" t="str">
        <f t="array" ref="AJ886">IFERROR(SMALL(IF(U$1:U$1000="BEGIN",ROW(U$1:U$1000)),ROW()-3),"")</f>
        <v/>
      </c>
      <c r="AK886" s="23" t="str">
        <f t="array" ref="AK886">IFERROR(SMALL(IF(V$1:V$1000="END",ROW(V$1:V$1000)),ROW()-3),"")</f>
        <v/>
      </c>
      <c r="AL886" s="24" t="str">
        <f t="array" ref="AL886">IF(AK886="","",MATCH(AM886,L:L,0))</f>
        <v/>
      </c>
      <c r="AM886" s="35">
        <f t="array" ref="AM886">MAX(IF((B$4:B$1000&lt;=AK886)*(B$4:B$1000&gt;=AJ886),L$4:L$1000, ""))</f>
        <v>0</v>
      </c>
      <c r="AN886" s="32" t="str">
        <f t="shared" si="609"/>
        <v/>
      </c>
      <c r="AO886" s="32" t="str">
        <f t="shared" si="610"/>
        <v/>
      </c>
      <c r="AP886" s="32" t="str">
        <f t="shared" si="611"/>
        <v/>
      </c>
      <c r="AQ886" s="32" t="str">
        <f t="shared" si="612"/>
        <v/>
      </c>
      <c r="AR886" s="32" t="str">
        <f t="shared" si="613"/>
        <v/>
      </c>
      <c r="AS886" s="32" t="str">
        <f t="shared" si="614"/>
        <v/>
      </c>
      <c r="AT886" s="32" t="str">
        <f t="shared" si="615"/>
        <v/>
      </c>
      <c r="AU886" s="34" t="str">
        <f t="shared" si="616"/>
        <v/>
      </c>
      <c r="AV886" s="32" t="str">
        <f t="shared" si="617"/>
        <v/>
      </c>
      <c r="AW886" s="32" t="str">
        <f t="shared" si="618"/>
        <v/>
      </c>
      <c r="AX886" s="32" t="str">
        <f t="shared" si="619"/>
        <v/>
      </c>
      <c r="AY886" s="32" t="str">
        <f t="shared" si="620"/>
        <v/>
      </c>
    </row>
    <row r="887" spans="1:51" x14ac:dyDescent="0.25">
      <c r="A887" s="24" t="str">
        <f t="shared" si="578"/>
        <v/>
      </c>
      <c r="B887" s="24" t="str">
        <f t="shared" si="588"/>
        <v/>
      </c>
      <c r="C887" s="32" t="str">
        <f t="shared" si="579"/>
        <v/>
      </c>
      <c r="D887" s="24" t="str">
        <f t="shared" si="580"/>
        <v/>
      </c>
      <c r="E887" s="24" t="str">
        <f t="shared" si="581"/>
        <v/>
      </c>
      <c r="F887" s="32" t="str">
        <f t="shared" si="582"/>
        <v/>
      </c>
      <c r="G887" s="32" t="str">
        <f t="shared" si="583"/>
        <v/>
      </c>
      <c r="H887" s="32" t="str">
        <f t="shared" ca="1" si="584"/>
        <v/>
      </c>
      <c r="I887" s="32" t="str">
        <f t="shared" ca="1" si="589"/>
        <v/>
      </c>
      <c r="J887" s="32" t="str">
        <f t="shared" si="585"/>
        <v/>
      </c>
      <c r="K887" s="32" t="str">
        <f>IF(ISNUMBER(A887),Profile!$V$25+Profile!$V$24*'Ri-Po'!C887,"")</f>
        <v/>
      </c>
      <c r="L887" s="32" t="str">
        <f t="shared" si="590"/>
        <v/>
      </c>
      <c r="M887" s="32" t="str">
        <f t="shared" si="586"/>
        <v/>
      </c>
      <c r="N887" s="32" t="str">
        <f t="shared" si="587"/>
        <v/>
      </c>
      <c r="O887" s="32" t="str">
        <f t="shared" si="603"/>
        <v/>
      </c>
      <c r="P887" s="32" t="str">
        <f t="shared" si="591"/>
        <v/>
      </c>
      <c r="Q887" s="32" t="str">
        <f t="shared" si="592"/>
        <v/>
      </c>
      <c r="R887" s="32" t="str">
        <f t="shared" si="604"/>
        <v/>
      </c>
      <c r="S887" s="24" t="str">
        <f t="shared" si="605"/>
        <v/>
      </c>
      <c r="T887" s="24" t="str">
        <f t="shared" si="606"/>
        <v/>
      </c>
      <c r="U887" s="24" t="str">
        <f t="shared" si="607"/>
        <v/>
      </c>
      <c r="V887" s="24" t="str">
        <f t="shared" si="608"/>
        <v/>
      </c>
      <c r="W887" s="23" t="str">
        <f t="array" ref="W887">IFERROR(SMALL(IF(S$1:S$1000="BEGIN",ROW(S$1:S$1000)),ROW()-3),"")</f>
        <v/>
      </c>
      <c r="X887" s="23" t="str">
        <f t="array" ref="X887">IFERROR(SMALL(IF(T$1:T$1000="END",ROW(T$1:T$1000)),ROW()-3),"")</f>
        <v/>
      </c>
      <c r="Y887" s="33" t="str">
        <f t="array" ref="Y887">IF(ISNUMBER(W887),MAX(IF((B$4:B$1000&lt;=X887)*(B$4:B$1000&gt;=W887),I$4:I$1000, "")),"")</f>
        <v/>
      </c>
      <c r="Z887" s="33" t="str">
        <f t="shared" si="593"/>
        <v/>
      </c>
      <c r="AA887" s="32" t="str">
        <f t="shared" si="594"/>
        <v/>
      </c>
      <c r="AB887" s="32" t="str">
        <f t="shared" si="595"/>
        <v/>
      </c>
      <c r="AC887" s="32" t="str">
        <f t="shared" si="596"/>
        <v/>
      </c>
      <c r="AD887" s="32" t="str">
        <f t="shared" si="597"/>
        <v/>
      </c>
      <c r="AE887" s="34" t="str">
        <f t="shared" si="598"/>
        <v/>
      </c>
      <c r="AF887" s="32" t="str">
        <f t="shared" si="599"/>
        <v/>
      </c>
      <c r="AG887" s="32" t="str">
        <f t="shared" si="600"/>
        <v/>
      </c>
      <c r="AH887" s="32" t="str">
        <f t="shared" si="601"/>
        <v/>
      </c>
      <c r="AI887" s="35" t="str">
        <f t="shared" si="602"/>
        <v/>
      </c>
      <c r="AJ887" s="23" t="str">
        <f t="array" ref="AJ887">IFERROR(SMALL(IF(U$1:U$1000="BEGIN",ROW(U$1:U$1000)),ROW()-3),"")</f>
        <v/>
      </c>
      <c r="AK887" s="23" t="str">
        <f t="array" ref="AK887">IFERROR(SMALL(IF(V$1:V$1000="END",ROW(V$1:V$1000)),ROW()-3),"")</f>
        <v/>
      </c>
      <c r="AL887" s="24" t="str">
        <f t="array" ref="AL887">IF(AK887="","",MATCH(AM887,L:L,0))</f>
        <v/>
      </c>
      <c r="AM887" s="35">
        <f t="array" ref="AM887">MAX(IF((B$4:B$1000&lt;=AK887)*(B$4:B$1000&gt;=AJ887),L$4:L$1000, ""))</f>
        <v>0</v>
      </c>
      <c r="AN887" s="32" t="str">
        <f t="shared" si="609"/>
        <v/>
      </c>
      <c r="AO887" s="32" t="str">
        <f t="shared" si="610"/>
        <v/>
      </c>
      <c r="AP887" s="32" t="str">
        <f t="shared" si="611"/>
        <v/>
      </c>
      <c r="AQ887" s="32" t="str">
        <f t="shared" si="612"/>
        <v/>
      </c>
      <c r="AR887" s="32" t="str">
        <f t="shared" si="613"/>
        <v/>
      </c>
      <c r="AS887" s="32" t="str">
        <f t="shared" si="614"/>
        <v/>
      </c>
      <c r="AT887" s="32" t="str">
        <f t="shared" si="615"/>
        <v/>
      </c>
      <c r="AU887" s="34" t="str">
        <f t="shared" si="616"/>
        <v/>
      </c>
      <c r="AV887" s="32" t="str">
        <f t="shared" si="617"/>
        <v/>
      </c>
      <c r="AW887" s="32" t="str">
        <f t="shared" si="618"/>
        <v/>
      </c>
      <c r="AX887" s="32" t="str">
        <f t="shared" si="619"/>
        <v/>
      </c>
      <c r="AY887" s="32" t="str">
        <f t="shared" si="620"/>
        <v/>
      </c>
    </row>
    <row r="888" spans="1:51" x14ac:dyDescent="0.25">
      <c r="A888" s="24" t="str">
        <f t="shared" si="578"/>
        <v/>
      </c>
      <c r="B888" s="24" t="str">
        <f t="shared" si="588"/>
        <v/>
      </c>
      <c r="C888" s="32" t="str">
        <f t="shared" si="579"/>
        <v/>
      </c>
      <c r="D888" s="24" t="str">
        <f t="shared" si="580"/>
        <v/>
      </c>
      <c r="E888" s="24" t="str">
        <f t="shared" si="581"/>
        <v/>
      </c>
      <c r="F888" s="32" t="str">
        <f t="shared" si="582"/>
        <v/>
      </c>
      <c r="G888" s="32" t="str">
        <f t="shared" si="583"/>
        <v/>
      </c>
      <c r="H888" s="32" t="str">
        <f t="shared" ca="1" si="584"/>
        <v/>
      </c>
      <c r="I888" s="32" t="str">
        <f t="shared" ca="1" si="589"/>
        <v/>
      </c>
      <c r="J888" s="32" t="str">
        <f t="shared" si="585"/>
        <v/>
      </c>
      <c r="K888" s="32" t="str">
        <f>IF(ISNUMBER(A888),Profile!$V$25+Profile!$V$24*'Ri-Po'!C888,"")</f>
        <v/>
      </c>
      <c r="L888" s="32" t="str">
        <f t="shared" si="590"/>
        <v/>
      </c>
      <c r="M888" s="32" t="str">
        <f t="shared" si="586"/>
        <v/>
      </c>
      <c r="N888" s="32" t="str">
        <f t="shared" si="587"/>
        <v/>
      </c>
      <c r="O888" s="32" t="str">
        <f t="shared" si="603"/>
        <v/>
      </c>
      <c r="P888" s="32" t="str">
        <f t="shared" si="591"/>
        <v/>
      </c>
      <c r="Q888" s="32" t="str">
        <f t="shared" si="592"/>
        <v/>
      </c>
      <c r="R888" s="32" t="str">
        <f t="shared" si="604"/>
        <v/>
      </c>
      <c r="S888" s="24" t="str">
        <f t="shared" si="605"/>
        <v/>
      </c>
      <c r="T888" s="24" t="str">
        <f t="shared" si="606"/>
        <v/>
      </c>
      <c r="U888" s="24" t="str">
        <f t="shared" si="607"/>
        <v/>
      </c>
      <c r="V888" s="24" t="str">
        <f t="shared" si="608"/>
        <v/>
      </c>
      <c r="W888" s="23" t="str">
        <f t="array" ref="W888">IFERROR(SMALL(IF(S$1:S$1000="BEGIN",ROW(S$1:S$1000)),ROW()-3),"")</f>
        <v/>
      </c>
      <c r="X888" s="23" t="str">
        <f t="array" ref="X888">IFERROR(SMALL(IF(T$1:T$1000="END",ROW(T$1:T$1000)),ROW()-3),"")</f>
        <v/>
      </c>
      <c r="Y888" s="33" t="str">
        <f t="array" ref="Y888">IF(ISNUMBER(W888),MAX(IF((B$4:B$1000&lt;=X888)*(B$4:B$1000&gt;=W888),I$4:I$1000, "")),"")</f>
        <v/>
      </c>
      <c r="Z888" s="33" t="str">
        <f t="shared" si="593"/>
        <v/>
      </c>
      <c r="AA888" s="32" t="str">
        <f t="shared" si="594"/>
        <v/>
      </c>
      <c r="AB888" s="32" t="str">
        <f t="shared" si="595"/>
        <v/>
      </c>
      <c r="AC888" s="32" t="str">
        <f t="shared" si="596"/>
        <v/>
      </c>
      <c r="AD888" s="32" t="str">
        <f t="shared" si="597"/>
        <v/>
      </c>
      <c r="AE888" s="34" t="str">
        <f t="shared" si="598"/>
        <v/>
      </c>
      <c r="AF888" s="32" t="str">
        <f t="shared" si="599"/>
        <v/>
      </c>
      <c r="AG888" s="32" t="str">
        <f t="shared" si="600"/>
        <v/>
      </c>
      <c r="AH888" s="32" t="str">
        <f t="shared" si="601"/>
        <v/>
      </c>
      <c r="AI888" s="35" t="str">
        <f t="shared" si="602"/>
        <v/>
      </c>
      <c r="AJ888" s="23" t="str">
        <f t="array" ref="AJ888">IFERROR(SMALL(IF(U$1:U$1000="BEGIN",ROW(U$1:U$1000)),ROW()-3),"")</f>
        <v/>
      </c>
      <c r="AK888" s="23" t="str">
        <f t="array" ref="AK888">IFERROR(SMALL(IF(V$1:V$1000="END",ROW(V$1:V$1000)),ROW()-3),"")</f>
        <v/>
      </c>
      <c r="AL888" s="24" t="str">
        <f t="array" ref="AL888">IF(AK888="","",MATCH(AM888,L:L,0))</f>
        <v/>
      </c>
      <c r="AM888" s="35">
        <f t="array" ref="AM888">MAX(IF((B$4:B$1000&lt;=AK888)*(B$4:B$1000&gt;=AJ888),L$4:L$1000, ""))</f>
        <v>0</v>
      </c>
      <c r="AN888" s="32" t="str">
        <f t="shared" si="609"/>
        <v/>
      </c>
      <c r="AO888" s="32" t="str">
        <f t="shared" si="610"/>
        <v/>
      </c>
      <c r="AP888" s="32" t="str">
        <f t="shared" si="611"/>
        <v/>
      </c>
      <c r="AQ888" s="32" t="str">
        <f t="shared" si="612"/>
        <v/>
      </c>
      <c r="AR888" s="32" t="str">
        <f t="shared" si="613"/>
        <v/>
      </c>
      <c r="AS888" s="32" t="str">
        <f t="shared" si="614"/>
        <v/>
      </c>
      <c r="AT888" s="32" t="str">
        <f t="shared" si="615"/>
        <v/>
      </c>
      <c r="AU888" s="34" t="str">
        <f t="shared" si="616"/>
        <v/>
      </c>
      <c r="AV888" s="32" t="str">
        <f t="shared" si="617"/>
        <v/>
      </c>
      <c r="AW888" s="32" t="str">
        <f t="shared" si="618"/>
        <v/>
      </c>
      <c r="AX888" s="32" t="str">
        <f t="shared" si="619"/>
        <v/>
      </c>
      <c r="AY888" s="32" t="str">
        <f t="shared" si="620"/>
        <v/>
      </c>
    </row>
    <row r="889" spans="1:51" x14ac:dyDescent="0.25">
      <c r="A889" s="24" t="str">
        <f t="shared" si="578"/>
        <v/>
      </c>
      <c r="B889" s="24" t="str">
        <f t="shared" si="588"/>
        <v/>
      </c>
      <c r="C889" s="32" t="str">
        <f t="shared" si="579"/>
        <v/>
      </c>
      <c r="D889" s="24" t="str">
        <f t="shared" si="580"/>
        <v/>
      </c>
      <c r="E889" s="24" t="str">
        <f t="shared" si="581"/>
        <v/>
      </c>
      <c r="F889" s="32" t="str">
        <f t="shared" si="582"/>
        <v/>
      </c>
      <c r="G889" s="32" t="str">
        <f t="shared" si="583"/>
        <v/>
      </c>
      <c r="H889" s="32" t="str">
        <f t="shared" ca="1" si="584"/>
        <v/>
      </c>
      <c r="I889" s="32" t="str">
        <f t="shared" ca="1" si="589"/>
        <v/>
      </c>
      <c r="J889" s="32" t="str">
        <f t="shared" si="585"/>
        <v/>
      </c>
      <c r="K889" s="32" t="str">
        <f>IF(ISNUMBER(A889),Profile!$V$25+Profile!$V$24*'Ri-Po'!C889,"")</f>
        <v/>
      </c>
      <c r="L889" s="32" t="str">
        <f t="shared" si="590"/>
        <v/>
      </c>
      <c r="M889" s="32" t="str">
        <f t="shared" si="586"/>
        <v/>
      </c>
      <c r="N889" s="32" t="str">
        <f t="shared" si="587"/>
        <v/>
      </c>
      <c r="O889" s="32" t="str">
        <f t="shared" si="603"/>
        <v/>
      </c>
      <c r="P889" s="32" t="str">
        <f t="shared" si="591"/>
        <v/>
      </c>
      <c r="Q889" s="32" t="str">
        <f t="shared" si="592"/>
        <v/>
      </c>
      <c r="R889" s="32" t="str">
        <f t="shared" si="604"/>
        <v/>
      </c>
      <c r="S889" s="24" t="str">
        <f t="shared" si="605"/>
        <v/>
      </c>
      <c r="T889" s="24" t="str">
        <f t="shared" si="606"/>
        <v/>
      </c>
      <c r="U889" s="24" t="str">
        <f t="shared" si="607"/>
        <v/>
      </c>
      <c r="V889" s="24" t="str">
        <f t="shared" si="608"/>
        <v/>
      </c>
      <c r="W889" s="23" t="str">
        <f t="array" ref="W889">IFERROR(SMALL(IF(S$1:S$1000="BEGIN",ROW(S$1:S$1000)),ROW()-3),"")</f>
        <v/>
      </c>
      <c r="X889" s="23" t="str">
        <f t="array" ref="X889">IFERROR(SMALL(IF(T$1:T$1000="END",ROW(T$1:T$1000)),ROW()-3),"")</f>
        <v/>
      </c>
      <c r="Y889" s="33" t="str">
        <f t="array" ref="Y889">IF(ISNUMBER(W889),MAX(IF((B$4:B$1000&lt;=X889)*(B$4:B$1000&gt;=W889),I$4:I$1000, "")),"")</f>
        <v/>
      </c>
      <c r="Z889" s="33" t="str">
        <f t="shared" si="593"/>
        <v/>
      </c>
      <c r="AA889" s="32" t="str">
        <f t="shared" si="594"/>
        <v/>
      </c>
      <c r="AB889" s="32" t="str">
        <f t="shared" si="595"/>
        <v/>
      </c>
      <c r="AC889" s="32" t="str">
        <f t="shared" si="596"/>
        <v/>
      </c>
      <c r="AD889" s="32" t="str">
        <f t="shared" si="597"/>
        <v/>
      </c>
      <c r="AE889" s="34" t="str">
        <f t="shared" si="598"/>
        <v/>
      </c>
      <c r="AF889" s="32" t="str">
        <f t="shared" si="599"/>
        <v/>
      </c>
      <c r="AG889" s="32" t="str">
        <f t="shared" si="600"/>
        <v/>
      </c>
      <c r="AH889" s="32" t="str">
        <f t="shared" si="601"/>
        <v/>
      </c>
      <c r="AI889" s="35" t="str">
        <f t="shared" si="602"/>
        <v/>
      </c>
      <c r="AJ889" s="23" t="str">
        <f t="array" ref="AJ889">IFERROR(SMALL(IF(U$1:U$1000="BEGIN",ROW(U$1:U$1000)),ROW()-3),"")</f>
        <v/>
      </c>
      <c r="AK889" s="23" t="str">
        <f t="array" ref="AK889">IFERROR(SMALL(IF(V$1:V$1000="END",ROW(V$1:V$1000)),ROW()-3),"")</f>
        <v/>
      </c>
      <c r="AL889" s="24" t="str">
        <f t="array" ref="AL889">IF(AK889="","",MATCH(AM889,L:L,0))</f>
        <v/>
      </c>
      <c r="AM889" s="35">
        <f t="array" ref="AM889">MAX(IF((B$4:B$1000&lt;=AK889)*(B$4:B$1000&gt;=AJ889),L$4:L$1000, ""))</f>
        <v>0</v>
      </c>
      <c r="AN889" s="32" t="str">
        <f t="shared" si="609"/>
        <v/>
      </c>
      <c r="AO889" s="32" t="str">
        <f t="shared" si="610"/>
        <v/>
      </c>
      <c r="AP889" s="32" t="str">
        <f t="shared" si="611"/>
        <v/>
      </c>
      <c r="AQ889" s="32" t="str">
        <f t="shared" si="612"/>
        <v/>
      </c>
      <c r="AR889" s="32" t="str">
        <f t="shared" si="613"/>
        <v/>
      </c>
      <c r="AS889" s="32" t="str">
        <f t="shared" si="614"/>
        <v/>
      </c>
      <c r="AT889" s="32" t="str">
        <f t="shared" si="615"/>
        <v/>
      </c>
      <c r="AU889" s="34" t="str">
        <f t="shared" si="616"/>
        <v/>
      </c>
      <c r="AV889" s="32" t="str">
        <f t="shared" si="617"/>
        <v/>
      </c>
      <c r="AW889" s="32" t="str">
        <f t="shared" si="618"/>
        <v/>
      </c>
      <c r="AX889" s="32" t="str">
        <f t="shared" si="619"/>
        <v/>
      </c>
      <c r="AY889" s="32" t="str">
        <f t="shared" si="620"/>
        <v/>
      </c>
    </row>
    <row r="890" spans="1:51" x14ac:dyDescent="0.25">
      <c r="A890" s="24" t="str">
        <f t="shared" si="578"/>
        <v/>
      </c>
      <c r="B890" s="24" t="str">
        <f t="shared" si="588"/>
        <v/>
      </c>
      <c r="C890" s="32" t="str">
        <f t="shared" si="579"/>
        <v/>
      </c>
      <c r="D890" s="24" t="str">
        <f t="shared" si="580"/>
        <v/>
      </c>
      <c r="E890" s="24" t="str">
        <f t="shared" si="581"/>
        <v/>
      </c>
      <c r="F890" s="32" t="str">
        <f t="shared" si="582"/>
        <v/>
      </c>
      <c r="G890" s="32" t="str">
        <f t="shared" si="583"/>
        <v/>
      </c>
      <c r="H890" s="32" t="str">
        <f t="shared" ca="1" si="584"/>
        <v/>
      </c>
      <c r="I890" s="32" t="str">
        <f t="shared" ca="1" si="589"/>
        <v/>
      </c>
      <c r="J890" s="32" t="str">
        <f t="shared" si="585"/>
        <v/>
      </c>
      <c r="K890" s="32" t="str">
        <f>IF(ISNUMBER(A890),Profile!$V$25+Profile!$V$24*'Ri-Po'!C890,"")</f>
        <v/>
      </c>
      <c r="L890" s="32" t="str">
        <f t="shared" si="590"/>
        <v/>
      </c>
      <c r="M890" s="32" t="str">
        <f t="shared" si="586"/>
        <v/>
      </c>
      <c r="N890" s="32" t="str">
        <f t="shared" si="587"/>
        <v/>
      </c>
      <c r="O890" s="32" t="str">
        <f t="shared" si="603"/>
        <v/>
      </c>
      <c r="P890" s="32" t="str">
        <f t="shared" si="591"/>
        <v/>
      </c>
      <c r="Q890" s="32" t="str">
        <f t="shared" si="592"/>
        <v/>
      </c>
      <c r="R890" s="32" t="str">
        <f t="shared" si="604"/>
        <v/>
      </c>
      <c r="S890" s="24" t="str">
        <f t="shared" si="605"/>
        <v/>
      </c>
      <c r="T890" s="24" t="str">
        <f t="shared" si="606"/>
        <v/>
      </c>
      <c r="U890" s="24" t="str">
        <f t="shared" si="607"/>
        <v/>
      </c>
      <c r="V890" s="24" t="str">
        <f t="shared" si="608"/>
        <v/>
      </c>
      <c r="W890" s="23" t="str">
        <f t="array" ref="W890">IFERROR(SMALL(IF(S$1:S$1000="BEGIN",ROW(S$1:S$1000)),ROW()-3),"")</f>
        <v/>
      </c>
      <c r="X890" s="23" t="str">
        <f t="array" ref="X890">IFERROR(SMALL(IF(T$1:T$1000="END",ROW(T$1:T$1000)),ROW()-3),"")</f>
        <v/>
      </c>
      <c r="Y890" s="33" t="str">
        <f t="array" ref="Y890">IF(ISNUMBER(W890),MAX(IF((B$4:B$1000&lt;=X890)*(B$4:B$1000&gt;=W890),I$4:I$1000, "")),"")</f>
        <v/>
      </c>
      <c r="Z890" s="33" t="str">
        <f t="shared" si="593"/>
        <v/>
      </c>
      <c r="AA890" s="32" t="str">
        <f t="shared" si="594"/>
        <v/>
      </c>
      <c r="AB890" s="32" t="str">
        <f t="shared" si="595"/>
        <v/>
      </c>
      <c r="AC890" s="32" t="str">
        <f t="shared" si="596"/>
        <v/>
      </c>
      <c r="AD890" s="32" t="str">
        <f t="shared" si="597"/>
        <v/>
      </c>
      <c r="AE890" s="34" t="str">
        <f t="shared" si="598"/>
        <v/>
      </c>
      <c r="AF890" s="32" t="str">
        <f t="shared" si="599"/>
        <v/>
      </c>
      <c r="AG890" s="32" t="str">
        <f t="shared" si="600"/>
        <v/>
      </c>
      <c r="AH890" s="32" t="str">
        <f t="shared" si="601"/>
        <v/>
      </c>
      <c r="AI890" s="35" t="str">
        <f t="shared" si="602"/>
        <v/>
      </c>
      <c r="AJ890" s="23" t="str">
        <f t="array" ref="AJ890">IFERROR(SMALL(IF(U$1:U$1000="BEGIN",ROW(U$1:U$1000)),ROW()-3),"")</f>
        <v/>
      </c>
      <c r="AK890" s="23" t="str">
        <f t="array" ref="AK890">IFERROR(SMALL(IF(V$1:V$1000="END",ROW(V$1:V$1000)),ROW()-3),"")</f>
        <v/>
      </c>
      <c r="AL890" s="24" t="str">
        <f t="array" ref="AL890">IF(AK890="","",MATCH(AM890,L:L,0))</f>
        <v/>
      </c>
      <c r="AM890" s="35">
        <f t="array" ref="AM890">MAX(IF((B$4:B$1000&lt;=AK890)*(B$4:B$1000&gt;=AJ890),L$4:L$1000, ""))</f>
        <v>0</v>
      </c>
      <c r="AN890" s="32" t="str">
        <f t="shared" si="609"/>
        <v/>
      </c>
      <c r="AO890" s="32" t="str">
        <f t="shared" si="610"/>
        <v/>
      </c>
      <c r="AP890" s="32" t="str">
        <f t="shared" si="611"/>
        <v/>
      </c>
      <c r="AQ890" s="32" t="str">
        <f t="shared" si="612"/>
        <v/>
      </c>
      <c r="AR890" s="32" t="str">
        <f t="shared" si="613"/>
        <v/>
      </c>
      <c r="AS890" s="32" t="str">
        <f t="shared" si="614"/>
        <v/>
      </c>
      <c r="AT890" s="32" t="str">
        <f t="shared" si="615"/>
        <v/>
      </c>
      <c r="AU890" s="34" t="str">
        <f t="shared" si="616"/>
        <v/>
      </c>
      <c r="AV890" s="32" t="str">
        <f t="shared" si="617"/>
        <v/>
      </c>
      <c r="AW890" s="32" t="str">
        <f t="shared" si="618"/>
        <v/>
      </c>
      <c r="AX890" s="32" t="str">
        <f t="shared" si="619"/>
        <v/>
      </c>
      <c r="AY890" s="32" t="str">
        <f t="shared" si="620"/>
        <v/>
      </c>
    </row>
    <row r="891" spans="1:51" x14ac:dyDescent="0.25">
      <c r="A891" s="24" t="str">
        <f t="shared" si="578"/>
        <v/>
      </c>
      <c r="B891" s="24" t="str">
        <f t="shared" si="588"/>
        <v/>
      </c>
      <c r="C891" s="32" t="str">
        <f t="shared" si="579"/>
        <v/>
      </c>
      <c r="D891" s="24" t="str">
        <f t="shared" si="580"/>
        <v/>
      </c>
      <c r="E891" s="24" t="str">
        <f t="shared" si="581"/>
        <v/>
      </c>
      <c r="F891" s="32" t="str">
        <f t="shared" si="582"/>
        <v/>
      </c>
      <c r="G891" s="32" t="str">
        <f t="shared" si="583"/>
        <v/>
      </c>
      <c r="H891" s="32" t="str">
        <f t="shared" ca="1" si="584"/>
        <v/>
      </c>
      <c r="I891" s="32" t="str">
        <f t="shared" ca="1" si="589"/>
        <v/>
      </c>
      <c r="J891" s="32" t="str">
        <f t="shared" si="585"/>
        <v/>
      </c>
      <c r="K891" s="32" t="str">
        <f>IF(ISNUMBER(A891),Profile!$V$25+Profile!$V$24*'Ri-Po'!C891,"")</f>
        <v/>
      </c>
      <c r="L891" s="32" t="str">
        <f t="shared" si="590"/>
        <v/>
      </c>
      <c r="M891" s="32" t="str">
        <f t="shared" si="586"/>
        <v/>
      </c>
      <c r="N891" s="32" t="str">
        <f t="shared" si="587"/>
        <v/>
      </c>
      <c r="O891" s="32" t="str">
        <f t="shared" si="603"/>
        <v/>
      </c>
      <c r="P891" s="32" t="str">
        <f t="shared" si="591"/>
        <v/>
      </c>
      <c r="Q891" s="32" t="str">
        <f t="shared" si="592"/>
        <v/>
      </c>
      <c r="R891" s="32" t="str">
        <f t="shared" si="604"/>
        <v/>
      </c>
      <c r="S891" s="24" t="str">
        <f t="shared" si="605"/>
        <v/>
      </c>
      <c r="T891" s="24" t="str">
        <f t="shared" si="606"/>
        <v/>
      </c>
      <c r="U891" s="24" t="str">
        <f t="shared" si="607"/>
        <v/>
      </c>
      <c r="V891" s="24" t="str">
        <f t="shared" si="608"/>
        <v/>
      </c>
      <c r="W891" s="23" t="str">
        <f t="array" ref="W891">IFERROR(SMALL(IF(S$1:S$1000="BEGIN",ROW(S$1:S$1000)),ROW()-3),"")</f>
        <v/>
      </c>
      <c r="X891" s="23" t="str">
        <f t="array" ref="X891">IFERROR(SMALL(IF(T$1:T$1000="END",ROW(T$1:T$1000)),ROW()-3),"")</f>
        <v/>
      </c>
      <c r="Y891" s="33" t="str">
        <f t="array" ref="Y891">IF(ISNUMBER(W891),MAX(IF((B$4:B$1000&lt;=X891)*(B$4:B$1000&gt;=W891),I$4:I$1000, "")),"")</f>
        <v/>
      </c>
      <c r="Z891" s="33" t="str">
        <f t="shared" si="593"/>
        <v/>
      </c>
      <c r="AA891" s="32" t="str">
        <f t="shared" si="594"/>
        <v/>
      </c>
      <c r="AB891" s="32" t="str">
        <f t="shared" si="595"/>
        <v/>
      </c>
      <c r="AC891" s="32" t="str">
        <f t="shared" si="596"/>
        <v/>
      </c>
      <c r="AD891" s="32" t="str">
        <f t="shared" si="597"/>
        <v/>
      </c>
      <c r="AE891" s="34" t="str">
        <f t="shared" si="598"/>
        <v/>
      </c>
      <c r="AF891" s="32" t="str">
        <f t="shared" si="599"/>
        <v/>
      </c>
      <c r="AG891" s="32" t="str">
        <f t="shared" si="600"/>
        <v/>
      </c>
      <c r="AH891" s="32" t="str">
        <f t="shared" si="601"/>
        <v/>
      </c>
      <c r="AI891" s="35" t="str">
        <f t="shared" si="602"/>
        <v/>
      </c>
      <c r="AJ891" s="23" t="str">
        <f t="array" ref="AJ891">IFERROR(SMALL(IF(U$1:U$1000="BEGIN",ROW(U$1:U$1000)),ROW()-3),"")</f>
        <v/>
      </c>
      <c r="AK891" s="23" t="str">
        <f t="array" ref="AK891">IFERROR(SMALL(IF(V$1:V$1000="END",ROW(V$1:V$1000)),ROW()-3),"")</f>
        <v/>
      </c>
      <c r="AL891" s="24" t="str">
        <f t="array" ref="AL891">IF(AK891="","",MATCH(AM891,L:L,0))</f>
        <v/>
      </c>
      <c r="AM891" s="35">
        <f t="array" ref="AM891">MAX(IF((B$4:B$1000&lt;=AK891)*(B$4:B$1000&gt;=AJ891),L$4:L$1000, ""))</f>
        <v>0</v>
      </c>
      <c r="AN891" s="32" t="str">
        <f t="shared" si="609"/>
        <v/>
      </c>
      <c r="AO891" s="32" t="str">
        <f t="shared" si="610"/>
        <v/>
      </c>
      <c r="AP891" s="32" t="str">
        <f t="shared" si="611"/>
        <v/>
      </c>
      <c r="AQ891" s="32" t="str">
        <f t="shared" si="612"/>
        <v/>
      </c>
      <c r="AR891" s="32" t="str">
        <f t="shared" si="613"/>
        <v/>
      </c>
      <c r="AS891" s="32" t="str">
        <f t="shared" si="614"/>
        <v/>
      </c>
      <c r="AT891" s="32" t="str">
        <f t="shared" si="615"/>
        <v/>
      </c>
      <c r="AU891" s="34" t="str">
        <f t="shared" si="616"/>
        <v/>
      </c>
      <c r="AV891" s="32" t="str">
        <f t="shared" si="617"/>
        <v/>
      </c>
      <c r="AW891" s="32" t="str">
        <f t="shared" si="618"/>
        <v/>
      </c>
      <c r="AX891" s="32" t="str">
        <f t="shared" si="619"/>
        <v/>
      </c>
      <c r="AY891" s="32" t="str">
        <f t="shared" si="620"/>
        <v/>
      </c>
    </row>
    <row r="892" spans="1:51" x14ac:dyDescent="0.25">
      <c r="A892" s="24" t="str">
        <f t="shared" si="578"/>
        <v/>
      </c>
      <c r="B892" s="24" t="str">
        <f t="shared" si="588"/>
        <v/>
      </c>
      <c r="C892" s="32" t="str">
        <f t="shared" si="579"/>
        <v/>
      </c>
      <c r="D892" s="24" t="str">
        <f t="shared" si="580"/>
        <v/>
      </c>
      <c r="E892" s="24" t="str">
        <f t="shared" si="581"/>
        <v/>
      </c>
      <c r="F892" s="32" t="str">
        <f t="shared" si="582"/>
        <v/>
      </c>
      <c r="G892" s="32" t="str">
        <f t="shared" si="583"/>
        <v/>
      </c>
      <c r="H892" s="32" t="str">
        <f t="shared" ca="1" si="584"/>
        <v/>
      </c>
      <c r="I892" s="32" t="str">
        <f t="shared" ca="1" si="589"/>
        <v/>
      </c>
      <c r="J892" s="32" t="str">
        <f t="shared" si="585"/>
        <v/>
      </c>
      <c r="K892" s="32" t="str">
        <f>IF(ISNUMBER(A892),Profile!$V$25+Profile!$V$24*'Ri-Po'!C892,"")</f>
        <v/>
      </c>
      <c r="L892" s="32" t="str">
        <f t="shared" si="590"/>
        <v/>
      </c>
      <c r="M892" s="32" t="str">
        <f t="shared" si="586"/>
        <v/>
      </c>
      <c r="N892" s="32" t="str">
        <f t="shared" si="587"/>
        <v/>
      </c>
      <c r="O892" s="32" t="str">
        <f t="shared" si="603"/>
        <v/>
      </c>
      <c r="P892" s="32" t="str">
        <f t="shared" si="591"/>
        <v/>
      </c>
      <c r="Q892" s="32" t="str">
        <f t="shared" si="592"/>
        <v/>
      </c>
      <c r="R892" s="32" t="str">
        <f t="shared" si="604"/>
        <v/>
      </c>
      <c r="S892" s="24" t="str">
        <f t="shared" si="605"/>
        <v/>
      </c>
      <c r="T892" s="24" t="str">
        <f t="shared" si="606"/>
        <v/>
      </c>
      <c r="U892" s="24" t="str">
        <f t="shared" si="607"/>
        <v/>
      </c>
      <c r="V892" s="24" t="str">
        <f t="shared" si="608"/>
        <v/>
      </c>
      <c r="W892" s="23" t="str">
        <f t="array" ref="W892">IFERROR(SMALL(IF(S$1:S$1000="BEGIN",ROW(S$1:S$1000)),ROW()-3),"")</f>
        <v/>
      </c>
      <c r="X892" s="23" t="str">
        <f t="array" ref="X892">IFERROR(SMALL(IF(T$1:T$1000="END",ROW(T$1:T$1000)),ROW()-3),"")</f>
        <v/>
      </c>
      <c r="Y892" s="33" t="str">
        <f t="array" ref="Y892">IF(ISNUMBER(W892),MAX(IF((B$4:B$1000&lt;=X892)*(B$4:B$1000&gt;=W892),I$4:I$1000, "")),"")</f>
        <v/>
      </c>
      <c r="Z892" s="33" t="str">
        <f t="shared" si="593"/>
        <v/>
      </c>
      <c r="AA892" s="32" t="str">
        <f t="shared" si="594"/>
        <v/>
      </c>
      <c r="AB892" s="32" t="str">
        <f t="shared" si="595"/>
        <v/>
      </c>
      <c r="AC892" s="32" t="str">
        <f t="shared" si="596"/>
        <v/>
      </c>
      <c r="AD892" s="32" t="str">
        <f t="shared" si="597"/>
        <v/>
      </c>
      <c r="AE892" s="34" t="str">
        <f t="shared" si="598"/>
        <v/>
      </c>
      <c r="AF892" s="32" t="str">
        <f t="shared" si="599"/>
        <v/>
      </c>
      <c r="AG892" s="32" t="str">
        <f t="shared" si="600"/>
        <v/>
      </c>
      <c r="AH892" s="32" t="str">
        <f t="shared" si="601"/>
        <v/>
      </c>
      <c r="AI892" s="35" t="str">
        <f t="shared" si="602"/>
        <v/>
      </c>
      <c r="AJ892" s="23" t="str">
        <f t="array" ref="AJ892">IFERROR(SMALL(IF(U$1:U$1000="BEGIN",ROW(U$1:U$1000)),ROW()-3),"")</f>
        <v/>
      </c>
      <c r="AK892" s="23" t="str">
        <f t="array" ref="AK892">IFERROR(SMALL(IF(V$1:V$1000="END",ROW(V$1:V$1000)),ROW()-3),"")</f>
        <v/>
      </c>
      <c r="AL892" s="24" t="str">
        <f t="array" ref="AL892">IF(AK892="","",MATCH(AM892,L:L,0))</f>
        <v/>
      </c>
      <c r="AM892" s="35">
        <f t="array" ref="AM892">MAX(IF((B$4:B$1000&lt;=AK892)*(B$4:B$1000&gt;=AJ892),L$4:L$1000, ""))</f>
        <v>0</v>
      </c>
      <c r="AN892" s="32" t="str">
        <f t="shared" si="609"/>
        <v/>
      </c>
      <c r="AO892" s="32" t="str">
        <f t="shared" si="610"/>
        <v/>
      </c>
      <c r="AP892" s="32" t="str">
        <f t="shared" si="611"/>
        <v/>
      </c>
      <c r="AQ892" s="32" t="str">
        <f t="shared" si="612"/>
        <v/>
      </c>
      <c r="AR892" s="32" t="str">
        <f t="shared" si="613"/>
        <v/>
      </c>
      <c r="AS892" s="32" t="str">
        <f t="shared" si="614"/>
        <v/>
      </c>
      <c r="AT892" s="32" t="str">
        <f t="shared" si="615"/>
        <v/>
      </c>
      <c r="AU892" s="34" t="str">
        <f t="shared" si="616"/>
        <v/>
      </c>
      <c r="AV892" s="32" t="str">
        <f t="shared" si="617"/>
        <v/>
      </c>
      <c r="AW892" s="32" t="str">
        <f t="shared" si="618"/>
        <v/>
      </c>
      <c r="AX892" s="32" t="str">
        <f t="shared" si="619"/>
        <v/>
      </c>
      <c r="AY892" s="32" t="str">
        <f t="shared" si="620"/>
        <v/>
      </c>
    </row>
    <row r="893" spans="1:51" x14ac:dyDescent="0.25">
      <c r="A893" s="24" t="str">
        <f t="shared" si="578"/>
        <v/>
      </c>
      <c r="B893" s="24" t="str">
        <f t="shared" si="588"/>
        <v/>
      </c>
      <c r="C893" s="32" t="str">
        <f t="shared" si="579"/>
        <v/>
      </c>
      <c r="D893" s="24" t="str">
        <f t="shared" si="580"/>
        <v/>
      </c>
      <c r="E893" s="24" t="str">
        <f t="shared" si="581"/>
        <v/>
      </c>
      <c r="F893" s="32" t="str">
        <f t="shared" si="582"/>
        <v/>
      </c>
      <c r="G893" s="32" t="str">
        <f t="shared" si="583"/>
        <v/>
      </c>
      <c r="H893" s="32" t="str">
        <f t="shared" ca="1" si="584"/>
        <v/>
      </c>
      <c r="I893" s="32" t="str">
        <f t="shared" ca="1" si="589"/>
        <v/>
      </c>
      <c r="J893" s="32" t="str">
        <f t="shared" si="585"/>
        <v/>
      </c>
      <c r="K893" s="32" t="str">
        <f>IF(ISNUMBER(A893),Profile!$V$25+Profile!$V$24*'Ri-Po'!C893,"")</f>
        <v/>
      </c>
      <c r="L893" s="32" t="str">
        <f t="shared" si="590"/>
        <v/>
      </c>
      <c r="M893" s="32" t="str">
        <f t="shared" si="586"/>
        <v/>
      </c>
      <c r="N893" s="32" t="str">
        <f t="shared" si="587"/>
        <v/>
      </c>
      <c r="O893" s="32" t="str">
        <f t="shared" si="603"/>
        <v/>
      </c>
      <c r="P893" s="32" t="str">
        <f t="shared" si="591"/>
        <v/>
      </c>
      <c r="Q893" s="32" t="str">
        <f t="shared" si="592"/>
        <v/>
      </c>
      <c r="R893" s="32" t="str">
        <f t="shared" si="604"/>
        <v/>
      </c>
      <c r="S893" s="24" t="str">
        <f t="shared" si="605"/>
        <v/>
      </c>
      <c r="T893" s="24" t="str">
        <f t="shared" si="606"/>
        <v/>
      </c>
      <c r="U893" s="24" t="str">
        <f t="shared" si="607"/>
        <v/>
      </c>
      <c r="V893" s="24" t="str">
        <f t="shared" si="608"/>
        <v/>
      </c>
      <c r="W893" s="23" t="str">
        <f t="array" ref="W893">IFERROR(SMALL(IF(S$1:S$1000="BEGIN",ROW(S$1:S$1000)),ROW()-3),"")</f>
        <v/>
      </c>
      <c r="X893" s="23" t="str">
        <f t="array" ref="X893">IFERROR(SMALL(IF(T$1:T$1000="END",ROW(T$1:T$1000)),ROW()-3),"")</f>
        <v/>
      </c>
      <c r="Y893" s="33" t="str">
        <f t="array" ref="Y893">IF(ISNUMBER(W893),MAX(IF((B$4:B$1000&lt;=X893)*(B$4:B$1000&gt;=W893),I$4:I$1000, "")),"")</f>
        <v/>
      </c>
      <c r="Z893" s="33" t="str">
        <f t="shared" si="593"/>
        <v/>
      </c>
      <c r="AA893" s="32" t="str">
        <f t="shared" si="594"/>
        <v/>
      </c>
      <c r="AB893" s="32" t="str">
        <f t="shared" si="595"/>
        <v/>
      </c>
      <c r="AC893" s="32" t="str">
        <f t="shared" si="596"/>
        <v/>
      </c>
      <c r="AD893" s="32" t="str">
        <f t="shared" si="597"/>
        <v/>
      </c>
      <c r="AE893" s="34" t="str">
        <f t="shared" si="598"/>
        <v/>
      </c>
      <c r="AF893" s="32" t="str">
        <f t="shared" si="599"/>
        <v/>
      </c>
      <c r="AG893" s="32" t="str">
        <f t="shared" si="600"/>
        <v/>
      </c>
      <c r="AH893" s="32" t="str">
        <f t="shared" si="601"/>
        <v/>
      </c>
      <c r="AI893" s="35" t="str">
        <f t="shared" si="602"/>
        <v/>
      </c>
      <c r="AJ893" s="23" t="str">
        <f t="array" ref="AJ893">IFERROR(SMALL(IF(U$1:U$1000="BEGIN",ROW(U$1:U$1000)),ROW()-3),"")</f>
        <v/>
      </c>
      <c r="AK893" s="23" t="str">
        <f t="array" ref="AK893">IFERROR(SMALL(IF(V$1:V$1000="END",ROW(V$1:V$1000)),ROW()-3),"")</f>
        <v/>
      </c>
      <c r="AL893" s="24" t="str">
        <f t="array" ref="AL893">IF(AK893="","",MATCH(AM893,L:L,0))</f>
        <v/>
      </c>
      <c r="AM893" s="35">
        <f t="array" ref="AM893">MAX(IF((B$4:B$1000&lt;=AK893)*(B$4:B$1000&gt;=AJ893),L$4:L$1000, ""))</f>
        <v>0</v>
      </c>
      <c r="AN893" s="32" t="str">
        <f t="shared" si="609"/>
        <v/>
      </c>
      <c r="AO893" s="32" t="str">
        <f t="shared" si="610"/>
        <v/>
      </c>
      <c r="AP893" s="32" t="str">
        <f t="shared" si="611"/>
        <v/>
      </c>
      <c r="AQ893" s="32" t="str">
        <f t="shared" si="612"/>
        <v/>
      </c>
      <c r="AR893" s="32" t="str">
        <f t="shared" si="613"/>
        <v/>
      </c>
      <c r="AS893" s="32" t="str">
        <f t="shared" si="614"/>
        <v/>
      </c>
      <c r="AT893" s="32" t="str">
        <f t="shared" si="615"/>
        <v/>
      </c>
      <c r="AU893" s="34" t="str">
        <f t="shared" si="616"/>
        <v/>
      </c>
      <c r="AV893" s="32" t="str">
        <f t="shared" si="617"/>
        <v/>
      </c>
      <c r="AW893" s="32" t="str">
        <f t="shared" si="618"/>
        <v/>
      </c>
      <c r="AX893" s="32" t="str">
        <f t="shared" si="619"/>
        <v/>
      </c>
      <c r="AY893" s="32" t="str">
        <f t="shared" si="620"/>
        <v/>
      </c>
    </row>
    <row r="894" spans="1:51" x14ac:dyDescent="0.25">
      <c r="A894" s="24" t="str">
        <f t="shared" si="578"/>
        <v/>
      </c>
      <c r="B894" s="24" t="str">
        <f t="shared" si="588"/>
        <v/>
      </c>
      <c r="C894" s="32" t="str">
        <f t="shared" si="579"/>
        <v/>
      </c>
      <c r="D894" s="24" t="str">
        <f t="shared" si="580"/>
        <v/>
      </c>
      <c r="E894" s="24" t="str">
        <f t="shared" si="581"/>
        <v/>
      </c>
      <c r="F894" s="32" t="str">
        <f t="shared" si="582"/>
        <v/>
      </c>
      <c r="G894" s="32" t="str">
        <f t="shared" si="583"/>
        <v/>
      </c>
      <c r="H894" s="32" t="str">
        <f t="shared" ca="1" si="584"/>
        <v/>
      </c>
      <c r="I894" s="32" t="str">
        <f t="shared" ca="1" si="589"/>
        <v/>
      </c>
      <c r="J894" s="32" t="str">
        <f t="shared" si="585"/>
        <v/>
      </c>
      <c r="K894" s="32" t="str">
        <f>IF(ISNUMBER(A894),Profile!$V$25+Profile!$V$24*'Ri-Po'!C894,"")</f>
        <v/>
      </c>
      <c r="L894" s="32" t="str">
        <f t="shared" si="590"/>
        <v/>
      </c>
      <c r="M894" s="32" t="str">
        <f t="shared" si="586"/>
        <v/>
      </c>
      <c r="N894" s="32" t="str">
        <f t="shared" si="587"/>
        <v/>
      </c>
      <c r="O894" s="32" t="str">
        <f t="shared" si="603"/>
        <v/>
      </c>
      <c r="P894" s="32" t="str">
        <f t="shared" si="591"/>
        <v/>
      </c>
      <c r="Q894" s="32" t="str">
        <f t="shared" si="592"/>
        <v/>
      </c>
      <c r="R894" s="32" t="str">
        <f t="shared" si="604"/>
        <v/>
      </c>
      <c r="S894" s="24" t="str">
        <f t="shared" si="605"/>
        <v/>
      </c>
      <c r="T894" s="24" t="str">
        <f t="shared" si="606"/>
        <v/>
      </c>
      <c r="U894" s="24" t="str">
        <f t="shared" si="607"/>
        <v/>
      </c>
      <c r="V894" s="24" t="str">
        <f t="shared" si="608"/>
        <v/>
      </c>
      <c r="W894" s="23" t="str">
        <f t="array" ref="W894">IFERROR(SMALL(IF(S$1:S$1000="BEGIN",ROW(S$1:S$1000)),ROW()-3),"")</f>
        <v/>
      </c>
      <c r="X894" s="23" t="str">
        <f t="array" ref="X894">IFERROR(SMALL(IF(T$1:T$1000="END",ROW(T$1:T$1000)),ROW()-3),"")</f>
        <v/>
      </c>
      <c r="Y894" s="33" t="str">
        <f t="array" ref="Y894">IF(ISNUMBER(W894),MAX(IF((B$4:B$1000&lt;=X894)*(B$4:B$1000&gt;=W894),I$4:I$1000, "")),"")</f>
        <v/>
      </c>
      <c r="Z894" s="33" t="str">
        <f t="shared" si="593"/>
        <v/>
      </c>
      <c r="AA894" s="32" t="str">
        <f t="shared" si="594"/>
        <v/>
      </c>
      <c r="AB894" s="32" t="str">
        <f t="shared" si="595"/>
        <v/>
      </c>
      <c r="AC894" s="32" t="str">
        <f t="shared" si="596"/>
        <v/>
      </c>
      <c r="AD894" s="32" t="str">
        <f t="shared" si="597"/>
        <v/>
      </c>
      <c r="AE894" s="34" t="str">
        <f t="shared" si="598"/>
        <v/>
      </c>
      <c r="AF894" s="32" t="str">
        <f t="shared" si="599"/>
        <v/>
      </c>
      <c r="AG894" s="32" t="str">
        <f t="shared" si="600"/>
        <v/>
      </c>
      <c r="AH894" s="32" t="str">
        <f t="shared" si="601"/>
        <v/>
      </c>
      <c r="AI894" s="35" t="str">
        <f t="shared" si="602"/>
        <v/>
      </c>
      <c r="AJ894" s="23" t="str">
        <f t="array" ref="AJ894">IFERROR(SMALL(IF(U$1:U$1000="BEGIN",ROW(U$1:U$1000)),ROW()-3),"")</f>
        <v/>
      </c>
      <c r="AK894" s="23" t="str">
        <f t="array" ref="AK894">IFERROR(SMALL(IF(V$1:V$1000="END",ROW(V$1:V$1000)),ROW()-3),"")</f>
        <v/>
      </c>
      <c r="AL894" s="24" t="str">
        <f t="array" ref="AL894">IF(AK894="","",MATCH(AM894,L:L,0))</f>
        <v/>
      </c>
      <c r="AM894" s="35">
        <f t="array" ref="AM894">MAX(IF((B$4:B$1000&lt;=AK894)*(B$4:B$1000&gt;=AJ894),L$4:L$1000, ""))</f>
        <v>0</v>
      </c>
      <c r="AN894" s="32" t="str">
        <f t="shared" si="609"/>
        <v/>
      </c>
      <c r="AO894" s="32" t="str">
        <f t="shared" si="610"/>
        <v/>
      </c>
      <c r="AP894" s="32" t="str">
        <f t="shared" si="611"/>
        <v/>
      </c>
      <c r="AQ894" s="32" t="str">
        <f t="shared" si="612"/>
        <v/>
      </c>
      <c r="AR894" s="32" t="str">
        <f t="shared" si="613"/>
        <v/>
      </c>
      <c r="AS894" s="32" t="str">
        <f t="shared" si="614"/>
        <v/>
      </c>
      <c r="AT894" s="32" t="str">
        <f t="shared" si="615"/>
        <v/>
      </c>
      <c r="AU894" s="34" t="str">
        <f t="shared" si="616"/>
        <v/>
      </c>
      <c r="AV894" s="32" t="str">
        <f t="shared" si="617"/>
        <v/>
      </c>
      <c r="AW894" s="32" t="str">
        <f t="shared" si="618"/>
        <v/>
      </c>
      <c r="AX894" s="32" t="str">
        <f t="shared" si="619"/>
        <v/>
      </c>
      <c r="AY894" s="32" t="str">
        <f t="shared" si="620"/>
        <v/>
      </c>
    </row>
    <row r="895" spans="1:51" x14ac:dyDescent="0.25">
      <c r="A895" s="24" t="str">
        <f t="shared" si="578"/>
        <v/>
      </c>
      <c r="B895" s="24" t="str">
        <f t="shared" si="588"/>
        <v/>
      </c>
      <c r="C895" s="32" t="str">
        <f t="shared" si="579"/>
        <v/>
      </c>
      <c r="D895" s="24" t="str">
        <f t="shared" si="580"/>
        <v/>
      </c>
      <c r="E895" s="24" t="str">
        <f t="shared" si="581"/>
        <v/>
      </c>
      <c r="F895" s="32" t="str">
        <f t="shared" si="582"/>
        <v/>
      </c>
      <c r="G895" s="32" t="str">
        <f t="shared" si="583"/>
        <v/>
      </c>
      <c r="H895" s="32" t="str">
        <f t="shared" ca="1" si="584"/>
        <v/>
      </c>
      <c r="I895" s="32" t="str">
        <f t="shared" ca="1" si="589"/>
        <v/>
      </c>
      <c r="J895" s="32" t="str">
        <f t="shared" si="585"/>
        <v/>
      </c>
      <c r="K895" s="32" t="str">
        <f>IF(ISNUMBER(A895),Profile!$V$25+Profile!$V$24*'Ri-Po'!C895,"")</f>
        <v/>
      </c>
      <c r="L895" s="32" t="str">
        <f t="shared" si="590"/>
        <v/>
      </c>
      <c r="M895" s="32" t="str">
        <f t="shared" si="586"/>
        <v/>
      </c>
      <c r="N895" s="32" t="str">
        <f t="shared" si="587"/>
        <v/>
      </c>
      <c r="O895" s="32" t="str">
        <f t="shared" si="603"/>
        <v/>
      </c>
      <c r="P895" s="32" t="str">
        <f t="shared" si="591"/>
        <v/>
      </c>
      <c r="Q895" s="32" t="str">
        <f t="shared" si="592"/>
        <v/>
      </c>
      <c r="R895" s="32" t="str">
        <f t="shared" si="604"/>
        <v/>
      </c>
      <c r="S895" s="24" t="str">
        <f t="shared" si="605"/>
        <v/>
      </c>
      <c r="T895" s="24" t="str">
        <f t="shared" si="606"/>
        <v/>
      </c>
      <c r="U895" s="24" t="str">
        <f t="shared" si="607"/>
        <v/>
      </c>
      <c r="V895" s="24" t="str">
        <f t="shared" si="608"/>
        <v/>
      </c>
      <c r="W895" s="23" t="str">
        <f t="array" ref="W895">IFERROR(SMALL(IF(S$1:S$1000="BEGIN",ROW(S$1:S$1000)),ROW()-3),"")</f>
        <v/>
      </c>
      <c r="X895" s="23" t="str">
        <f t="array" ref="X895">IFERROR(SMALL(IF(T$1:T$1000="END",ROW(T$1:T$1000)),ROW()-3),"")</f>
        <v/>
      </c>
      <c r="Y895" s="33" t="str">
        <f t="array" ref="Y895">IF(ISNUMBER(W895),MAX(IF((B$4:B$1000&lt;=X895)*(B$4:B$1000&gt;=W895),I$4:I$1000, "")),"")</f>
        <v/>
      </c>
      <c r="Z895" s="33" t="str">
        <f t="shared" si="593"/>
        <v/>
      </c>
      <c r="AA895" s="32" t="str">
        <f t="shared" si="594"/>
        <v/>
      </c>
      <c r="AB895" s="32" t="str">
        <f t="shared" si="595"/>
        <v/>
      </c>
      <c r="AC895" s="32" t="str">
        <f t="shared" si="596"/>
        <v/>
      </c>
      <c r="AD895" s="32" t="str">
        <f t="shared" si="597"/>
        <v/>
      </c>
      <c r="AE895" s="34" t="str">
        <f t="shared" si="598"/>
        <v/>
      </c>
      <c r="AF895" s="32" t="str">
        <f t="shared" si="599"/>
        <v/>
      </c>
      <c r="AG895" s="32" t="str">
        <f t="shared" si="600"/>
        <v/>
      </c>
      <c r="AH895" s="32" t="str">
        <f t="shared" si="601"/>
        <v/>
      </c>
      <c r="AI895" s="35" t="str">
        <f t="shared" si="602"/>
        <v/>
      </c>
      <c r="AJ895" s="23" t="str">
        <f t="array" ref="AJ895">IFERROR(SMALL(IF(U$1:U$1000="BEGIN",ROW(U$1:U$1000)),ROW()-3),"")</f>
        <v/>
      </c>
      <c r="AK895" s="23" t="str">
        <f t="array" ref="AK895">IFERROR(SMALL(IF(V$1:V$1000="END",ROW(V$1:V$1000)),ROW()-3),"")</f>
        <v/>
      </c>
      <c r="AL895" s="24" t="str">
        <f t="array" ref="AL895">IF(AK895="","",MATCH(AM895,L:L,0))</f>
        <v/>
      </c>
      <c r="AM895" s="35">
        <f t="array" ref="AM895">MAX(IF((B$4:B$1000&lt;=AK895)*(B$4:B$1000&gt;=AJ895),L$4:L$1000, ""))</f>
        <v>0</v>
      </c>
      <c r="AN895" s="32" t="str">
        <f t="shared" si="609"/>
        <v/>
      </c>
      <c r="AO895" s="32" t="str">
        <f t="shared" si="610"/>
        <v/>
      </c>
      <c r="AP895" s="32" t="str">
        <f t="shared" si="611"/>
        <v/>
      </c>
      <c r="AQ895" s="32" t="str">
        <f t="shared" si="612"/>
        <v/>
      </c>
      <c r="AR895" s="32" t="str">
        <f t="shared" si="613"/>
        <v/>
      </c>
      <c r="AS895" s="32" t="str">
        <f t="shared" si="614"/>
        <v/>
      </c>
      <c r="AT895" s="32" t="str">
        <f t="shared" si="615"/>
        <v/>
      </c>
      <c r="AU895" s="34" t="str">
        <f t="shared" si="616"/>
        <v/>
      </c>
      <c r="AV895" s="32" t="str">
        <f t="shared" si="617"/>
        <v/>
      </c>
      <c r="AW895" s="32" t="str">
        <f t="shared" si="618"/>
        <v/>
      </c>
      <c r="AX895" s="32" t="str">
        <f t="shared" si="619"/>
        <v/>
      </c>
      <c r="AY895" s="32" t="str">
        <f t="shared" si="620"/>
        <v/>
      </c>
    </row>
    <row r="896" spans="1:51" x14ac:dyDescent="0.25">
      <c r="A896" s="24" t="str">
        <f t="shared" si="578"/>
        <v/>
      </c>
      <c r="B896" s="24" t="str">
        <f t="shared" si="588"/>
        <v/>
      </c>
      <c r="C896" s="32" t="str">
        <f t="shared" si="579"/>
        <v/>
      </c>
      <c r="D896" s="24" t="str">
        <f t="shared" si="580"/>
        <v/>
      </c>
      <c r="E896" s="24" t="str">
        <f t="shared" si="581"/>
        <v/>
      </c>
      <c r="F896" s="32" t="str">
        <f t="shared" si="582"/>
        <v/>
      </c>
      <c r="G896" s="32" t="str">
        <f t="shared" si="583"/>
        <v/>
      </c>
      <c r="H896" s="32" t="str">
        <f t="shared" ca="1" si="584"/>
        <v/>
      </c>
      <c r="I896" s="32" t="str">
        <f t="shared" ca="1" si="589"/>
        <v/>
      </c>
      <c r="J896" s="32" t="str">
        <f t="shared" si="585"/>
        <v/>
      </c>
      <c r="K896" s="32" t="str">
        <f>IF(ISNUMBER(A896),Profile!$V$25+Profile!$V$24*'Ri-Po'!C896,"")</f>
        <v/>
      </c>
      <c r="L896" s="32" t="str">
        <f t="shared" si="590"/>
        <v/>
      </c>
      <c r="M896" s="32" t="str">
        <f t="shared" si="586"/>
        <v/>
      </c>
      <c r="N896" s="32" t="str">
        <f t="shared" si="587"/>
        <v/>
      </c>
      <c r="O896" s="32" t="str">
        <f t="shared" si="603"/>
        <v/>
      </c>
      <c r="P896" s="32" t="str">
        <f t="shared" si="591"/>
        <v/>
      </c>
      <c r="Q896" s="32" t="str">
        <f t="shared" si="592"/>
        <v/>
      </c>
      <c r="R896" s="32" t="str">
        <f t="shared" si="604"/>
        <v/>
      </c>
      <c r="S896" s="24" t="str">
        <f t="shared" si="605"/>
        <v/>
      </c>
      <c r="T896" s="24" t="str">
        <f t="shared" si="606"/>
        <v/>
      </c>
      <c r="U896" s="24" t="str">
        <f t="shared" si="607"/>
        <v/>
      </c>
      <c r="V896" s="24" t="str">
        <f t="shared" si="608"/>
        <v/>
      </c>
      <c r="W896" s="23" t="str">
        <f t="array" ref="W896">IFERROR(SMALL(IF(S$1:S$1000="BEGIN",ROW(S$1:S$1000)),ROW()-3),"")</f>
        <v/>
      </c>
      <c r="X896" s="23" t="str">
        <f t="array" ref="X896">IFERROR(SMALL(IF(T$1:T$1000="END",ROW(T$1:T$1000)),ROW()-3),"")</f>
        <v/>
      </c>
      <c r="Y896" s="33" t="str">
        <f t="array" ref="Y896">IF(ISNUMBER(W896),MAX(IF((B$4:B$1000&lt;=X896)*(B$4:B$1000&gt;=W896),I$4:I$1000, "")),"")</f>
        <v/>
      </c>
      <c r="Z896" s="33" t="str">
        <f t="shared" si="593"/>
        <v/>
      </c>
      <c r="AA896" s="32" t="str">
        <f t="shared" si="594"/>
        <v/>
      </c>
      <c r="AB896" s="32" t="str">
        <f t="shared" si="595"/>
        <v/>
      </c>
      <c r="AC896" s="32" t="str">
        <f t="shared" si="596"/>
        <v/>
      </c>
      <c r="AD896" s="32" t="str">
        <f t="shared" si="597"/>
        <v/>
      </c>
      <c r="AE896" s="34" t="str">
        <f t="shared" si="598"/>
        <v/>
      </c>
      <c r="AF896" s="32" t="str">
        <f t="shared" si="599"/>
        <v/>
      </c>
      <c r="AG896" s="32" t="str">
        <f t="shared" si="600"/>
        <v/>
      </c>
      <c r="AH896" s="32" t="str">
        <f t="shared" si="601"/>
        <v/>
      </c>
      <c r="AI896" s="35" t="str">
        <f t="shared" si="602"/>
        <v/>
      </c>
      <c r="AJ896" s="23" t="str">
        <f t="array" ref="AJ896">IFERROR(SMALL(IF(U$1:U$1000="BEGIN",ROW(U$1:U$1000)),ROW()-3),"")</f>
        <v/>
      </c>
      <c r="AK896" s="23" t="str">
        <f t="array" ref="AK896">IFERROR(SMALL(IF(V$1:V$1000="END",ROW(V$1:V$1000)),ROW()-3),"")</f>
        <v/>
      </c>
      <c r="AL896" s="24" t="str">
        <f t="array" ref="AL896">IF(AK896="","",MATCH(AM896,L:L,0))</f>
        <v/>
      </c>
      <c r="AM896" s="35">
        <f t="array" ref="AM896">MAX(IF((B$4:B$1000&lt;=AK896)*(B$4:B$1000&gt;=AJ896),L$4:L$1000, ""))</f>
        <v>0</v>
      </c>
      <c r="AN896" s="32" t="str">
        <f t="shared" si="609"/>
        <v/>
      </c>
      <c r="AO896" s="32" t="str">
        <f t="shared" si="610"/>
        <v/>
      </c>
      <c r="AP896" s="32" t="str">
        <f t="shared" si="611"/>
        <v/>
      </c>
      <c r="AQ896" s="32" t="str">
        <f t="shared" si="612"/>
        <v/>
      </c>
      <c r="AR896" s="32" t="str">
        <f t="shared" si="613"/>
        <v/>
      </c>
      <c r="AS896" s="32" t="str">
        <f t="shared" si="614"/>
        <v/>
      </c>
      <c r="AT896" s="32" t="str">
        <f t="shared" si="615"/>
        <v/>
      </c>
      <c r="AU896" s="34" t="str">
        <f t="shared" si="616"/>
        <v/>
      </c>
      <c r="AV896" s="32" t="str">
        <f t="shared" si="617"/>
        <v/>
      </c>
      <c r="AW896" s="32" t="str">
        <f t="shared" si="618"/>
        <v/>
      </c>
      <c r="AX896" s="32" t="str">
        <f t="shared" si="619"/>
        <v/>
      </c>
      <c r="AY896" s="32" t="str">
        <f t="shared" si="620"/>
        <v/>
      </c>
    </row>
    <row r="897" spans="1:51" x14ac:dyDescent="0.25">
      <c r="A897" s="24" t="str">
        <f t="shared" si="578"/>
        <v/>
      </c>
      <c r="B897" s="24" t="str">
        <f t="shared" si="588"/>
        <v/>
      </c>
      <c r="C897" s="32" t="str">
        <f t="shared" si="579"/>
        <v/>
      </c>
      <c r="D897" s="24" t="str">
        <f t="shared" si="580"/>
        <v/>
      </c>
      <c r="E897" s="24" t="str">
        <f t="shared" si="581"/>
        <v/>
      </c>
      <c r="F897" s="32" t="str">
        <f t="shared" si="582"/>
        <v/>
      </c>
      <c r="G897" s="32" t="str">
        <f t="shared" si="583"/>
        <v/>
      </c>
      <c r="H897" s="32" t="str">
        <f t="shared" ca="1" si="584"/>
        <v/>
      </c>
      <c r="I897" s="32" t="str">
        <f t="shared" ca="1" si="589"/>
        <v/>
      </c>
      <c r="J897" s="32" t="str">
        <f t="shared" si="585"/>
        <v/>
      </c>
      <c r="K897" s="32" t="str">
        <f>IF(ISNUMBER(A897),Profile!$V$25+Profile!$V$24*'Ri-Po'!C897,"")</f>
        <v/>
      </c>
      <c r="L897" s="32" t="str">
        <f t="shared" si="590"/>
        <v/>
      </c>
      <c r="M897" s="32" t="str">
        <f t="shared" si="586"/>
        <v/>
      </c>
      <c r="N897" s="32" t="str">
        <f t="shared" si="587"/>
        <v/>
      </c>
      <c r="O897" s="32" t="str">
        <f t="shared" si="603"/>
        <v/>
      </c>
      <c r="P897" s="32" t="str">
        <f t="shared" si="591"/>
        <v/>
      </c>
      <c r="Q897" s="32" t="str">
        <f t="shared" si="592"/>
        <v/>
      </c>
      <c r="R897" s="32" t="str">
        <f t="shared" si="604"/>
        <v/>
      </c>
      <c r="S897" s="24" t="str">
        <f t="shared" si="605"/>
        <v/>
      </c>
      <c r="T897" s="24" t="str">
        <f t="shared" si="606"/>
        <v/>
      </c>
      <c r="U897" s="24" t="str">
        <f t="shared" si="607"/>
        <v/>
      </c>
      <c r="V897" s="24" t="str">
        <f t="shared" si="608"/>
        <v/>
      </c>
      <c r="W897" s="23" t="str">
        <f t="array" ref="W897">IFERROR(SMALL(IF(S$1:S$1000="BEGIN",ROW(S$1:S$1000)),ROW()-3),"")</f>
        <v/>
      </c>
      <c r="X897" s="23" t="str">
        <f t="array" ref="X897">IFERROR(SMALL(IF(T$1:T$1000="END",ROW(T$1:T$1000)),ROW()-3),"")</f>
        <v/>
      </c>
      <c r="Y897" s="33" t="str">
        <f t="array" ref="Y897">IF(ISNUMBER(W897),MAX(IF((B$4:B$1000&lt;=X897)*(B$4:B$1000&gt;=W897),I$4:I$1000, "")),"")</f>
        <v/>
      </c>
      <c r="Z897" s="33" t="str">
        <f t="shared" si="593"/>
        <v/>
      </c>
      <c r="AA897" s="32" t="str">
        <f t="shared" si="594"/>
        <v/>
      </c>
      <c r="AB897" s="32" t="str">
        <f t="shared" si="595"/>
        <v/>
      </c>
      <c r="AC897" s="32" t="str">
        <f t="shared" si="596"/>
        <v/>
      </c>
      <c r="AD897" s="32" t="str">
        <f t="shared" si="597"/>
        <v/>
      </c>
      <c r="AE897" s="34" t="str">
        <f t="shared" si="598"/>
        <v/>
      </c>
      <c r="AF897" s="32" t="str">
        <f t="shared" si="599"/>
        <v/>
      </c>
      <c r="AG897" s="32" t="str">
        <f t="shared" si="600"/>
        <v/>
      </c>
      <c r="AH897" s="32" t="str">
        <f t="shared" si="601"/>
        <v/>
      </c>
      <c r="AI897" s="35" t="str">
        <f t="shared" si="602"/>
        <v/>
      </c>
      <c r="AJ897" s="23" t="str">
        <f t="array" ref="AJ897">IFERROR(SMALL(IF(U$1:U$1000="BEGIN",ROW(U$1:U$1000)),ROW()-3),"")</f>
        <v/>
      </c>
      <c r="AK897" s="23" t="str">
        <f t="array" ref="AK897">IFERROR(SMALL(IF(V$1:V$1000="END",ROW(V$1:V$1000)),ROW()-3),"")</f>
        <v/>
      </c>
      <c r="AL897" s="24" t="str">
        <f t="array" ref="AL897">IF(AK897="","",MATCH(AM897,L:L,0))</f>
        <v/>
      </c>
      <c r="AM897" s="35">
        <f t="array" ref="AM897">MAX(IF((B$4:B$1000&lt;=AK897)*(B$4:B$1000&gt;=AJ897),L$4:L$1000, ""))</f>
        <v>0</v>
      </c>
      <c r="AN897" s="32" t="str">
        <f t="shared" si="609"/>
        <v/>
      </c>
      <c r="AO897" s="32" t="str">
        <f t="shared" si="610"/>
        <v/>
      </c>
      <c r="AP897" s="32" t="str">
        <f t="shared" si="611"/>
        <v/>
      </c>
      <c r="AQ897" s="32" t="str">
        <f t="shared" si="612"/>
        <v/>
      </c>
      <c r="AR897" s="32" t="str">
        <f t="shared" si="613"/>
        <v/>
      </c>
      <c r="AS897" s="32" t="str">
        <f t="shared" si="614"/>
        <v/>
      </c>
      <c r="AT897" s="32" t="str">
        <f t="shared" si="615"/>
        <v/>
      </c>
      <c r="AU897" s="34" t="str">
        <f t="shared" si="616"/>
        <v/>
      </c>
      <c r="AV897" s="32" t="str">
        <f t="shared" si="617"/>
        <v/>
      </c>
      <c r="AW897" s="32" t="str">
        <f t="shared" si="618"/>
        <v/>
      </c>
      <c r="AX897" s="32" t="str">
        <f t="shared" si="619"/>
        <v/>
      </c>
      <c r="AY897" s="32" t="str">
        <f t="shared" si="620"/>
        <v/>
      </c>
    </row>
    <row r="898" spans="1:51" x14ac:dyDescent="0.25">
      <c r="A898" s="24" t="str">
        <f t="shared" si="578"/>
        <v/>
      </c>
      <c r="B898" s="24" t="str">
        <f t="shared" si="588"/>
        <v/>
      </c>
      <c r="C898" s="32" t="str">
        <f t="shared" si="579"/>
        <v/>
      </c>
      <c r="D898" s="24" t="str">
        <f t="shared" si="580"/>
        <v/>
      </c>
      <c r="E898" s="24" t="str">
        <f t="shared" si="581"/>
        <v/>
      </c>
      <c r="F898" s="32" t="str">
        <f t="shared" si="582"/>
        <v/>
      </c>
      <c r="G898" s="32" t="str">
        <f t="shared" si="583"/>
        <v/>
      </c>
      <c r="H898" s="32" t="str">
        <f t="shared" ca="1" si="584"/>
        <v/>
      </c>
      <c r="I898" s="32" t="str">
        <f t="shared" ca="1" si="589"/>
        <v/>
      </c>
      <c r="J898" s="32" t="str">
        <f t="shared" si="585"/>
        <v/>
      </c>
      <c r="K898" s="32" t="str">
        <f>IF(ISNUMBER(A898),Profile!$V$25+Profile!$V$24*'Ri-Po'!C898,"")</f>
        <v/>
      </c>
      <c r="L898" s="32" t="str">
        <f t="shared" si="590"/>
        <v/>
      </c>
      <c r="M898" s="32" t="str">
        <f t="shared" si="586"/>
        <v/>
      </c>
      <c r="N898" s="32" t="str">
        <f t="shared" si="587"/>
        <v/>
      </c>
      <c r="O898" s="32" t="str">
        <f t="shared" si="603"/>
        <v/>
      </c>
      <c r="P898" s="32" t="str">
        <f t="shared" si="591"/>
        <v/>
      </c>
      <c r="Q898" s="32" t="str">
        <f t="shared" si="592"/>
        <v/>
      </c>
      <c r="R898" s="32" t="str">
        <f t="shared" si="604"/>
        <v/>
      </c>
      <c r="S898" s="24" t="str">
        <f t="shared" si="605"/>
        <v/>
      </c>
      <c r="T898" s="24" t="str">
        <f t="shared" si="606"/>
        <v/>
      </c>
      <c r="U898" s="24" t="str">
        <f t="shared" si="607"/>
        <v/>
      </c>
      <c r="V898" s="24" t="str">
        <f t="shared" si="608"/>
        <v/>
      </c>
      <c r="W898" s="23" t="str">
        <f t="array" ref="W898">IFERROR(SMALL(IF(S$1:S$1000="BEGIN",ROW(S$1:S$1000)),ROW()-3),"")</f>
        <v/>
      </c>
      <c r="X898" s="23" t="str">
        <f t="array" ref="X898">IFERROR(SMALL(IF(T$1:T$1000="END",ROW(T$1:T$1000)),ROW()-3),"")</f>
        <v/>
      </c>
      <c r="Y898" s="33" t="str">
        <f t="array" ref="Y898">IF(ISNUMBER(W898),MAX(IF((B$4:B$1000&lt;=X898)*(B$4:B$1000&gt;=W898),I$4:I$1000, "")),"")</f>
        <v/>
      </c>
      <c r="Z898" s="33" t="str">
        <f t="shared" si="593"/>
        <v/>
      </c>
      <c r="AA898" s="32" t="str">
        <f t="shared" si="594"/>
        <v/>
      </c>
      <c r="AB898" s="32" t="str">
        <f t="shared" si="595"/>
        <v/>
      </c>
      <c r="AC898" s="32" t="str">
        <f t="shared" si="596"/>
        <v/>
      </c>
      <c r="AD898" s="32" t="str">
        <f t="shared" si="597"/>
        <v/>
      </c>
      <c r="AE898" s="34" t="str">
        <f t="shared" si="598"/>
        <v/>
      </c>
      <c r="AF898" s="32" t="str">
        <f t="shared" si="599"/>
        <v/>
      </c>
      <c r="AG898" s="32" t="str">
        <f t="shared" si="600"/>
        <v/>
      </c>
      <c r="AH898" s="32" t="str">
        <f t="shared" si="601"/>
        <v/>
      </c>
      <c r="AI898" s="35" t="str">
        <f t="shared" si="602"/>
        <v/>
      </c>
      <c r="AJ898" s="23" t="str">
        <f t="array" ref="AJ898">IFERROR(SMALL(IF(U$1:U$1000="BEGIN",ROW(U$1:U$1000)),ROW()-3),"")</f>
        <v/>
      </c>
      <c r="AK898" s="23" t="str">
        <f t="array" ref="AK898">IFERROR(SMALL(IF(V$1:V$1000="END",ROW(V$1:V$1000)),ROW()-3),"")</f>
        <v/>
      </c>
      <c r="AL898" s="24" t="str">
        <f t="array" ref="AL898">IF(AK898="","",MATCH(AM898,L:L,0))</f>
        <v/>
      </c>
      <c r="AM898" s="35">
        <f t="array" ref="AM898">MAX(IF((B$4:B$1000&lt;=AK898)*(B$4:B$1000&gt;=AJ898),L$4:L$1000, ""))</f>
        <v>0</v>
      </c>
      <c r="AN898" s="32" t="str">
        <f t="shared" si="609"/>
        <v/>
      </c>
      <c r="AO898" s="32" t="str">
        <f t="shared" si="610"/>
        <v/>
      </c>
      <c r="AP898" s="32" t="str">
        <f t="shared" si="611"/>
        <v/>
      </c>
      <c r="AQ898" s="32" t="str">
        <f t="shared" si="612"/>
        <v/>
      </c>
      <c r="AR898" s="32" t="str">
        <f t="shared" si="613"/>
        <v/>
      </c>
      <c r="AS898" s="32" t="str">
        <f t="shared" si="614"/>
        <v/>
      </c>
      <c r="AT898" s="32" t="str">
        <f t="shared" si="615"/>
        <v/>
      </c>
      <c r="AU898" s="34" t="str">
        <f t="shared" si="616"/>
        <v/>
      </c>
      <c r="AV898" s="32" t="str">
        <f t="shared" si="617"/>
        <v/>
      </c>
      <c r="AW898" s="32" t="str">
        <f t="shared" si="618"/>
        <v/>
      </c>
      <c r="AX898" s="32" t="str">
        <f t="shared" si="619"/>
        <v/>
      </c>
      <c r="AY898" s="32" t="str">
        <f t="shared" si="620"/>
        <v/>
      </c>
    </row>
    <row r="899" spans="1:51" x14ac:dyDescent="0.25">
      <c r="A899" s="24" t="str">
        <f t="shared" si="578"/>
        <v/>
      </c>
      <c r="B899" s="24" t="str">
        <f t="shared" si="588"/>
        <v/>
      </c>
      <c r="C899" s="32" t="str">
        <f t="shared" si="579"/>
        <v/>
      </c>
      <c r="D899" s="24" t="str">
        <f t="shared" si="580"/>
        <v/>
      </c>
      <c r="E899" s="24" t="str">
        <f t="shared" si="581"/>
        <v/>
      </c>
      <c r="F899" s="32" t="str">
        <f t="shared" si="582"/>
        <v/>
      </c>
      <c r="G899" s="32" t="str">
        <f t="shared" si="583"/>
        <v/>
      </c>
      <c r="H899" s="32" t="str">
        <f t="shared" ca="1" si="584"/>
        <v/>
      </c>
      <c r="I899" s="32" t="str">
        <f t="shared" ca="1" si="589"/>
        <v/>
      </c>
      <c r="J899" s="32" t="str">
        <f t="shared" si="585"/>
        <v/>
      </c>
      <c r="K899" s="32" t="str">
        <f>IF(ISNUMBER(A899),Profile!$V$25+Profile!$V$24*'Ri-Po'!C899,"")</f>
        <v/>
      </c>
      <c r="L899" s="32" t="str">
        <f t="shared" si="590"/>
        <v/>
      </c>
      <c r="M899" s="32" t="str">
        <f t="shared" si="586"/>
        <v/>
      </c>
      <c r="N899" s="32" t="str">
        <f t="shared" si="587"/>
        <v/>
      </c>
      <c r="O899" s="32" t="str">
        <f t="shared" si="603"/>
        <v/>
      </c>
      <c r="P899" s="32" t="str">
        <f t="shared" si="591"/>
        <v/>
      </c>
      <c r="Q899" s="32" t="str">
        <f t="shared" si="592"/>
        <v/>
      </c>
      <c r="R899" s="32" t="str">
        <f t="shared" si="604"/>
        <v/>
      </c>
      <c r="S899" s="24" t="str">
        <f t="shared" si="605"/>
        <v/>
      </c>
      <c r="T899" s="24" t="str">
        <f t="shared" si="606"/>
        <v/>
      </c>
      <c r="U899" s="24" t="str">
        <f t="shared" si="607"/>
        <v/>
      </c>
      <c r="V899" s="24" t="str">
        <f t="shared" si="608"/>
        <v/>
      </c>
      <c r="W899" s="23" t="str">
        <f t="array" ref="W899">IFERROR(SMALL(IF(S$1:S$1000="BEGIN",ROW(S$1:S$1000)),ROW()-3),"")</f>
        <v/>
      </c>
      <c r="X899" s="23" t="str">
        <f t="array" ref="X899">IFERROR(SMALL(IF(T$1:T$1000="END",ROW(T$1:T$1000)),ROW()-3),"")</f>
        <v/>
      </c>
      <c r="Y899" s="33" t="str">
        <f t="array" ref="Y899">IF(ISNUMBER(W899),MAX(IF((B$4:B$1000&lt;=X899)*(B$4:B$1000&gt;=W899),I$4:I$1000, "")),"")</f>
        <v/>
      </c>
      <c r="Z899" s="33" t="str">
        <f t="shared" si="593"/>
        <v/>
      </c>
      <c r="AA899" s="32" t="str">
        <f t="shared" si="594"/>
        <v/>
      </c>
      <c r="AB899" s="32" t="str">
        <f t="shared" si="595"/>
        <v/>
      </c>
      <c r="AC899" s="32" t="str">
        <f t="shared" si="596"/>
        <v/>
      </c>
      <c r="AD899" s="32" t="str">
        <f t="shared" si="597"/>
        <v/>
      </c>
      <c r="AE899" s="34" t="str">
        <f t="shared" si="598"/>
        <v/>
      </c>
      <c r="AF899" s="32" t="str">
        <f t="shared" si="599"/>
        <v/>
      </c>
      <c r="AG899" s="32" t="str">
        <f t="shared" si="600"/>
        <v/>
      </c>
      <c r="AH899" s="32" t="str">
        <f t="shared" si="601"/>
        <v/>
      </c>
      <c r="AI899" s="35" t="str">
        <f t="shared" si="602"/>
        <v/>
      </c>
      <c r="AJ899" s="23" t="str">
        <f t="array" ref="AJ899">IFERROR(SMALL(IF(U$1:U$1000="BEGIN",ROW(U$1:U$1000)),ROW()-3),"")</f>
        <v/>
      </c>
      <c r="AK899" s="23" t="str">
        <f t="array" ref="AK899">IFERROR(SMALL(IF(V$1:V$1000="END",ROW(V$1:V$1000)),ROW()-3),"")</f>
        <v/>
      </c>
      <c r="AL899" s="24" t="str">
        <f t="array" ref="AL899">IF(AK899="","",MATCH(AM899,L:L,0))</f>
        <v/>
      </c>
      <c r="AM899" s="35">
        <f t="array" ref="AM899">MAX(IF((B$4:B$1000&lt;=AK899)*(B$4:B$1000&gt;=AJ899),L$4:L$1000, ""))</f>
        <v>0</v>
      </c>
      <c r="AN899" s="32" t="str">
        <f t="shared" si="609"/>
        <v/>
      </c>
      <c r="AO899" s="32" t="str">
        <f t="shared" si="610"/>
        <v/>
      </c>
      <c r="AP899" s="32" t="str">
        <f t="shared" si="611"/>
        <v/>
      </c>
      <c r="AQ899" s="32" t="str">
        <f t="shared" si="612"/>
        <v/>
      </c>
      <c r="AR899" s="32" t="str">
        <f t="shared" si="613"/>
        <v/>
      </c>
      <c r="AS899" s="32" t="str">
        <f t="shared" si="614"/>
        <v/>
      </c>
      <c r="AT899" s="32" t="str">
        <f t="shared" si="615"/>
        <v/>
      </c>
      <c r="AU899" s="34" t="str">
        <f t="shared" si="616"/>
        <v/>
      </c>
      <c r="AV899" s="32" t="str">
        <f t="shared" si="617"/>
        <v/>
      </c>
      <c r="AW899" s="32" t="str">
        <f t="shared" si="618"/>
        <v/>
      </c>
      <c r="AX899" s="32" t="str">
        <f t="shared" si="619"/>
        <v/>
      </c>
      <c r="AY899" s="32" t="str">
        <f t="shared" si="620"/>
        <v/>
      </c>
    </row>
    <row r="900" spans="1:51" x14ac:dyDescent="0.25">
      <c r="A900" s="24" t="str">
        <f t="shared" ref="A900:A963" si="621">IF(NOT(ISBLANK(INDEX(currentNUM,ROW(A897)))),INDEX(currentNUM,ROW(A897)),"")</f>
        <v/>
      </c>
      <c r="B900" s="24" t="str">
        <f t="shared" si="588"/>
        <v/>
      </c>
      <c r="C900" s="32" t="str">
        <f t="shared" ref="C900:C963" si="622">IF(NOT(A900=""),INDEX(currentSTATION,ROW(C897)),"")</f>
        <v/>
      </c>
      <c r="D900" s="24" t="str">
        <f t="shared" ref="D900:D963" si="623">IF(NOT(ISBLANK(INDEX(currentDESC,ROW(D897)))),INDEX(currentDESC,ROW(D897)),"")</f>
        <v/>
      </c>
      <c r="E900" s="24" t="str">
        <f t="shared" ref="E900:E963" si="624">IF(NOT(ISBLANK(INDEX(currentCMORPH,ROW(E897)))),INDEX(currentCMORPH,ROW(E897)),"")</f>
        <v/>
      </c>
      <c r="F900" s="32" t="str">
        <f t="shared" ref="F900:F963" si="625">IF(NOT(ISBLANK(INDEX(currentTHW,ROW(F897)))),INDEX(currentTHW,ROW(F897)),"")</f>
        <v/>
      </c>
      <c r="G900" s="32" t="str">
        <f t="shared" ref="G900:G963" si="626">IF(NOT(ISBLANK(INDEX(currentWS,ROW(G897)))),INDEX(currentWS,ROW(G897)),"")</f>
        <v/>
      </c>
      <c r="H900" s="32" t="str">
        <f t="shared" ref="H900:H963" ca="1" si="627">IF(NOT(OR(ISBLANK(INDEX(currentINTERPWS,ROW(H897))),INDEX(currentINTERPWS,ROW(H897))=0)),INDEX(currentINTERPWS,ROW(H897)),"")</f>
        <v/>
      </c>
      <c r="I900" s="32" t="str">
        <f t="shared" ca="1" si="589"/>
        <v/>
      </c>
      <c r="J900" s="32" t="str">
        <f t="shared" ref="J900:J963" si="628">IF(NOT(ISBLANK(INDEX(currentBKF,ROW(G897)))),INDEX(currentBKF,ROW(G897)),"")</f>
        <v/>
      </c>
      <c r="K900" s="32" t="str">
        <f>IF(ISNUMBER(A900),Profile!$V$25+Profile!$V$24*'Ri-Po'!C900,"")</f>
        <v/>
      </c>
      <c r="L900" s="32" t="str">
        <f t="shared" si="590"/>
        <v/>
      </c>
      <c r="M900" s="32" t="str">
        <f t="shared" ref="M900:M963" si="629">IF(NOT(ISBLANK(INDEX(currentTOB,ROW(H897)))),INDEX(currentTOB,ROW(H897)),"")</f>
        <v/>
      </c>
      <c r="N900" s="32" t="str">
        <f t="shared" ref="N900:N963" si="630">IF(ISNUMBER(A900),INDEX(currentINTTOB,ROW(I897)),"")</f>
        <v/>
      </c>
      <c r="O900" s="32" t="str">
        <f t="shared" si="603"/>
        <v/>
      </c>
      <c r="P900" s="32" t="str">
        <f t="shared" si="591"/>
        <v/>
      </c>
      <c r="Q900" s="32" t="str">
        <f t="shared" si="592"/>
        <v/>
      </c>
      <c r="R900" s="32" t="str">
        <f t="shared" si="604"/>
        <v/>
      </c>
      <c r="S900" s="24" t="str">
        <f t="shared" si="605"/>
        <v/>
      </c>
      <c r="T900" s="24" t="str">
        <f t="shared" si="606"/>
        <v/>
      </c>
      <c r="U900" s="24" t="str">
        <f t="shared" si="607"/>
        <v/>
      </c>
      <c r="V900" s="24" t="str">
        <f t="shared" si="608"/>
        <v/>
      </c>
      <c r="W900" s="23" t="str">
        <f t="array" ref="W900">IFERROR(SMALL(IF(S$1:S$1000="BEGIN",ROW(S$1:S$1000)),ROW()-3),"")</f>
        <v/>
      </c>
      <c r="X900" s="23" t="str">
        <f t="array" ref="X900">IFERROR(SMALL(IF(T$1:T$1000="END",ROW(T$1:T$1000)),ROW()-3),"")</f>
        <v/>
      </c>
      <c r="Y900" s="33" t="str">
        <f t="array" ref="Y900">IF(ISNUMBER(W900),MAX(IF((B$4:B$1000&lt;=X900)*(B$4:B$1000&gt;=W900),I$4:I$1000, "")),"")</f>
        <v/>
      </c>
      <c r="Z900" s="33" t="str">
        <f t="shared" si="593"/>
        <v/>
      </c>
      <c r="AA900" s="32" t="str">
        <f t="shared" si="594"/>
        <v/>
      </c>
      <c r="AB900" s="32" t="str">
        <f t="shared" si="595"/>
        <v/>
      </c>
      <c r="AC900" s="32" t="str">
        <f t="shared" si="596"/>
        <v/>
      </c>
      <c r="AD900" s="32" t="str">
        <f t="shared" si="597"/>
        <v/>
      </c>
      <c r="AE900" s="34" t="str">
        <f t="shared" si="598"/>
        <v/>
      </c>
      <c r="AF900" s="32" t="str">
        <f t="shared" si="599"/>
        <v/>
      </c>
      <c r="AG900" s="32" t="str">
        <f t="shared" si="600"/>
        <v/>
      </c>
      <c r="AH900" s="32" t="str">
        <f t="shared" si="601"/>
        <v/>
      </c>
      <c r="AI900" s="35" t="str">
        <f t="shared" si="602"/>
        <v/>
      </c>
      <c r="AJ900" s="23" t="str">
        <f t="array" ref="AJ900">IFERROR(SMALL(IF(U$1:U$1000="BEGIN",ROW(U$1:U$1000)),ROW()-3),"")</f>
        <v/>
      </c>
      <c r="AK900" s="23" t="str">
        <f t="array" ref="AK900">IFERROR(SMALL(IF(V$1:V$1000="END",ROW(V$1:V$1000)),ROW()-3),"")</f>
        <v/>
      </c>
      <c r="AL900" s="24" t="str">
        <f t="array" ref="AL900">IF(AK900="","",MATCH(AM900,L:L,0))</f>
        <v/>
      </c>
      <c r="AM900" s="35">
        <f t="array" ref="AM900">MAX(IF((B$4:B$1000&lt;=AK900)*(B$4:B$1000&gt;=AJ900),L$4:L$1000, ""))</f>
        <v>0</v>
      </c>
      <c r="AN900" s="32" t="str">
        <f t="shared" si="609"/>
        <v/>
      </c>
      <c r="AO900" s="32" t="str">
        <f t="shared" si="610"/>
        <v/>
      </c>
      <c r="AP900" s="32" t="str">
        <f t="shared" si="611"/>
        <v/>
      </c>
      <c r="AQ900" s="32" t="str">
        <f t="shared" si="612"/>
        <v/>
      </c>
      <c r="AR900" s="32" t="str">
        <f t="shared" si="613"/>
        <v/>
      </c>
      <c r="AS900" s="32" t="str">
        <f t="shared" si="614"/>
        <v/>
      </c>
      <c r="AT900" s="32" t="str">
        <f t="shared" si="615"/>
        <v/>
      </c>
      <c r="AU900" s="34" t="str">
        <f t="shared" si="616"/>
        <v/>
      </c>
      <c r="AV900" s="32" t="str">
        <f t="shared" si="617"/>
        <v/>
      </c>
      <c r="AW900" s="32" t="str">
        <f t="shared" si="618"/>
        <v/>
      </c>
      <c r="AX900" s="32" t="str">
        <f t="shared" si="619"/>
        <v/>
      </c>
      <c r="AY900" s="32" t="str">
        <f t="shared" si="620"/>
        <v/>
      </c>
    </row>
    <row r="901" spans="1:51" x14ac:dyDescent="0.25">
      <c r="A901" s="24" t="str">
        <f t="shared" si="621"/>
        <v/>
      </c>
      <c r="B901" s="24" t="str">
        <f t="shared" ref="B901:B964" si="631">IF(NOT(A901=""),ROW(B901),"")</f>
        <v/>
      </c>
      <c r="C901" s="32" t="str">
        <f t="shared" si="622"/>
        <v/>
      </c>
      <c r="D901" s="24" t="str">
        <f t="shared" si="623"/>
        <v/>
      </c>
      <c r="E901" s="24" t="str">
        <f t="shared" si="624"/>
        <v/>
      </c>
      <c r="F901" s="32" t="str">
        <f t="shared" si="625"/>
        <v/>
      </c>
      <c r="G901" s="32" t="str">
        <f t="shared" si="626"/>
        <v/>
      </c>
      <c r="H901" s="32" t="str">
        <f t="shared" ca="1" si="627"/>
        <v/>
      </c>
      <c r="I901" s="32" t="str">
        <f t="shared" ref="I901:I964" ca="1" si="632">IFERROR(IF(H901-F901&gt;=0,H901-F901,"NEG"),"")</f>
        <v/>
      </c>
      <c r="J901" s="32" t="str">
        <f t="shared" si="628"/>
        <v/>
      </c>
      <c r="K901" s="32" t="str">
        <f>IF(ISNUMBER(A901),Profile!$V$25+Profile!$V$24*'Ri-Po'!C901,"")</f>
        <v/>
      </c>
      <c r="L901" s="32" t="str">
        <f t="shared" ref="L901:L964" si="633">IFERROR(K901-F901,"")</f>
        <v/>
      </c>
      <c r="M901" s="32" t="str">
        <f t="shared" si="629"/>
        <v/>
      </c>
      <c r="N901" s="32" t="str">
        <f t="shared" si="630"/>
        <v/>
      </c>
      <c r="O901" s="32" t="str">
        <f t="shared" si="603"/>
        <v/>
      </c>
      <c r="P901" s="32" t="str">
        <f t="shared" ref="P901:P964" si="634">IF(ISNUMBER(A901),K901-F901,"")</f>
        <v/>
      </c>
      <c r="Q901" s="32" t="str">
        <f t="shared" ref="Q901:Q964" si="635">IF(ISNUMBER(A901),N901-F901,"")</f>
        <v/>
      </c>
      <c r="R901" s="32" t="str">
        <f t="shared" si="604"/>
        <v/>
      </c>
      <c r="S901" s="24" t="str">
        <f t="shared" si="605"/>
        <v/>
      </c>
      <c r="T901" s="24" t="str">
        <f t="shared" si="606"/>
        <v/>
      </c>
      <c r="U901" s="24" t="str">
        <f t="shared" si="607"/>
        <v/>
      </c>
      <c r="V901" s="24" t="str">
        <f t="shared" si="608"/>
        <v/>
      </c>
      <c r="W901" s="23" t="str">
        <f t="array" ref="W901">IFERROR(SMALL(IF(S$1:S$1000="BEGIN",ROW(S$1:S$1000)),ROW()-3),"")</f>
        <v/>
      </c>
      <c r="X901" s="23" t="str">
        <f t="array" ref="X901">IFERROR(SMALL(IF(T$1:T$1000="END",ROW(T$1:T$1000)),ROW()-3),"")</f>
        <v/>
      </c>
      <c r="Y901" s="33" t="str">
        <f t="array" ref="Y901">IF(ISNUMBER(W901),MAX(IF((B$4:B$1000&lt;=X901)*(B$4:B$1000&gt;=W901),I$4:I$1000, "")),"")</f>
        <v/>
      </c>
      <c r="Z901" s="33" t="str">
        <f t="shared" ref="Z901:Z964" si="636">IFERROR(INDEX(C:C,W901),"")</f>
        <v/>
      </c>
      <c r="AA901" s="32" t="str">
        <f t="shared" ref="AA901:AA964" si="637">IFERROR(INDEX(C:C,X901),"")</f>
        <v/>
      </c>
      <c r="AB901" s="32" t="str">
        <f t="shared" ref="AB901:AB964" si="638">IFERROR(AA901-Z901,"")</f>
        <v/>
      </c>
      <c r="AC901" s="32" t="str">
        <f t="shared" ref="AC901:AC964" si="639">IFERROR(INDEX(H:H,W901),"")</f>
        <v/>
      </c>
      <c r="AD901" s="32" t="str">
        <f t="shared" ref="AD901:AD964" si="640">IFERROR(INDEX(H:H,X901),"")</f>
        <v/>
      </c>
      <c r="AE901" s="34" t="str">
        <f t="shared" ref="AE901:AE964" si="641">IFERROR((AC901-AD901)/(AB901),"")</f>
        <v/>
      </c>
      <c r="AF901" s="32" t="str">
        <f t="shared" ref="AF901:AF964" si="642">IF(ISNUMBER(Z901),INDEX($Q$1:$Q$1000,W901),"")</f>
        <v/>
      </c>
      <c r="AG901" s="32" t="str">
        <f t="shared" ref="AG901:AG964" si="643">IF(ISNUMBER(Z901),INDEX($P$1:$P$1000,W901),"")</f>
        <v/>
      </c>
      <c r="AH901" s="32" t="str">
        <f t="shared" ref="AH901:AH964" si="644">IF(ISNUMBER(Z901),AF901/AG901,"")</f>
        <v/>
      </c>
      <c r="AI901" s="35" t="str">
        <f t="shared" ref="AI901:AI964" si="645">IFERROR(AE901/BB$19,"")</f>
        <v/>
      </c>
      <c r="AJ901" s="23" t="str">
        <f t="array" ref="AJ901">IFERROR(SMALL(IF(U$1:U$1000="BEGIN",ROW(U$1:U$1000)),ROW()-3),"")</f>
        <v/>
      </c>
      <c r="AK901" s="23" t="str">
        <f t="array" ref="AK901">IFERROR(SMALL(IF(V$1:V$1000="END",ROW(V$1:V$1000)),ROW()-3),"")</f>
        <v/>
      </c>
      <c r="AL901" s="24" t="str">
        <f t="array" ref="AL901">IF(AK901="","",MATCH(AM901,L:L,0))</f>
        <v/>
      </c>
      <c r="AM901" s="35">
        <f t="array" ref="AM901">MAX(IF((B$4:B$1000&lt;=AK901)*(B$4:B$1000&gt;=AJ901),L$4:L$1000, ""))</f>
        <v>0</v>
      </c>
      <c r="AN901" s="32" t="str">
        <f t="shared" si="609"/>
        <v/>
      </c>
      <c r="AO901" s="32" t="str">
        <f t="shared" si="610"/>
        <v/>
      </c>
      <c r="AP901" s="32" t="str">
        <f t="shared" si="611"/>
        <v/>
      </c>
      <c r="AQ901" s="32" t="str">
        <f t="shared" si="612"/>
        <v/>
      </c>
      <c r="AR901" s="32" t="str">
        <f t="shared" si="613"/>
        <v/>
      </c>
      <c r="AS901" s="32" t="str">
        <f t="shared" si="614"/>
        <v/>
      </c>
      <c r="AT901" s="32" t="str">
        <f t="shared" si="615"/>
        <v/>
      </c>
      <c r="AU901" s="34" t="str">
        <f t="shared" si="616"/>
        <v/>
      </c>
      <c r="AV901" s="32" t="str">
        <f t="shared" si="617"/>
        <v/>
      </c>
      <c r="AW901" s="32" t="str">
        <f t="shared" si="618"/>
        <v/>
      </c>
      <c r="AX901" s="32" t="str">
        <f t="shared" si="619"/>
        <v/>
      </c>
      <c r="AY901" s="32" t="str">
        <f t="shared" si="620"/>
        <v/>
      </c>
    </row>
    <row r="902" spans="1:51" x14ac:dyDescent="0.25">
      <c r="A902" s="24" t="str">
        <f t="shared" si="621"/>
        <v/>
      </c>
      <c r="B902" s="24" t="str">
        <f t="shared" si="631"/>
        <v/>
      </c>
      <c r="C902" s="32" t="str">
        <f t="shared" si="622"/>
        <v/>
      </c>
      <c r="D902" s="24" t="str">
        <f t="shared" si="623"/>
        <v/>
      </c>
      <c r="E902" s="24" t="str">
        <f t="shared" si="624"/>
        <v/>
      </c>
      <c r="F902" s="32" t="str">
        <f t="shared" si="625"/>
        <v/>
      </c>
      <c r="G902" s="32" t="str">
        <f t="shared" si="626"/>
        <v/>
      </c>
      <c r="H902" s="32" t="str">
        <f t="shared" ca="1" si="627"/>
        <v/>
      </c>
      <c r="I902" s="32" t="str">
        <f t="shared" ca="1" si="632"/>
        <v/>
      </c>
      <c r="J902" s="32" t="str">
        <f t="shared" si="628"/>
        <v/>
      </c>
      <c r="K902" s="32" t="str">
        <f>IF(ISNUMBER(A902),Profile!$V$25+Profile!$V$24*'Ri-Po'!C902,"")</f>
        <v/>
      </c>
      <c r="L902" s="32" t="str">
        <f t="shared" si="633"/>
        <v/>
      </c>
      <c r="M902" s="32" t="str">
        <f t="shared" si="629"/>
        <v/>
      </c>
      <c r="N902" s="32" t="str">
        <f t="shared" si="630"/>
        <v/>
      </c>
      <c r="O902" s="32" t="str">
        <f t="shared" ref="O902:O965" si="646">IF(AND(ISNUMBER(G902),ISNUMBER(J902)),J902-G902,"")</f>
        <v/>
      </c>
      <c r="P902" s="32" t="str">
        <f t="shared" si="634"/>
        <v/>
      </c>
      <c r="Q902" s="32" t="str">
        <f t="shared" si="635"/>
        <v/>
      </c>
      <c r="R902" s="32" t="str">
        <f t="shared" ref="R902:R965" si="647">IF(ISNUMBER(Q902),Q902/P902,"")</f>
        <v/>
      </c>
      <c r="S902" s="24" t="str">
        <f t="shared" ref="S902:S965" si="648">IF(ISNUMBER(SEARCH("bri",E902)),"BEGIN","")</f>
        <v/>
      </c>
      <c r="T902" s="24" t="str">
        <f t="shared" ref="T902:T965" si="649">IF(ISNUMBER(SEARCH("eri",E902)),"END","")</f>
        <v/>
      </c>
      <c r="U902" s="24" t="str">
        <f t="shared" ref="U902:U965" si="650">IF(ISNUMBER(SEARCH("bpo",E902)),"BEGIN","")</f>
        <v/>
      </c>
      <c r="V902" s="24" t="str">
        <f t="shared" ref="V902:V965" si="651">IF(ISNUMBER(SEARCH("epo",E902)),"END","")</f>
        <v/>
      </c>
      <c r="W902" s="23" t="str">
        <f t="array" ref="W902">IFERROR(SMALL(IF(S$1:S$1000="BEGIN",ROW(S$1:S$1000)),ROW()-3),"")</f>
        <v/>
      </c>
      <c r="X902" s="23" t="str">
        <f t="array" ref="X902">IFERROR(SMALL(IF(T$1:T$1000="END",ROW(T$1:T$1000)),ROW()-3),"")</f>
        <v/>
      </c>
      <c r="Y902" s="33" t="str">
        <f t="array" ref="Y902">IF(ISNUMBER(W902),MAX(IF((B$4:B$1000&lt;=X902)*(B$4:B$1000&gt;=W902),I$4:I$1000, "")),"")</f>
        <v/>
      </c>
      <c r="Z902" s="33" t="str">
        <f t="shared" si="636"/>
        <v/>
      </c>
      <c r="AA902" s="32" t="str">
        <f t="shared" si="637"/>
        <v/>
      </c>
      <c r="AB902" s="32" t="str">
        <f t="shared" si="638"/>
        <v/>
      </c>
      <c r="AC902" s="32" t="str">
        <f t="shared" si="639"/>
        <v/>
      </c>
      <c r="AD902" s="32" t="str">
        <f t="shared" si="640"/>
        <v/>
      </c>
      <c r="AE902" s="34" t="str">
        <f t="shared" si="641"/>
        <v/>
      </c>
      <c r="AF902" s="32" t="str">
        <f t="shared" si="642"/>
        <v/>
      </c>
      <c r="AG902" s="32" t="str">
        <f t="shared" si="643"/>
        <v/>
      </c>
      <c r="AH902" s="32" t="str">
        <f t="shared" si="644"/>
        <v/>
      </c>
      <c r="AI902" s="35" t="str">
        <f t="shared" si="645"/>
        <v/>
      </c>
      <c r="AJ902" s="23" t="str">
        <f t="array" ref="AJ902">IFERROR(SMALL(IF(U$1:U$1000="BEGIN",ROW(U$1:U$1000)),ROW()-3),"")</f>
        <v/>
      </c>
      <c r="AK902" s="23" t="str">
        <f t="array" ref="AK902">IFERROR(SMALL(IF(V$1:V$1000="END",ROW(V$1:V$1000)),ROW()-3),"")</f>
        <v/>
      </c>
      <c r="AL902" s="24" t="str">
        <f t="array" ref="AL902">IF(AK902="","",MATCH(AM902,L:L,0))</f>
        <v/>
      </c>
      <c r="AM902" s="35">
        <f t="array" ref="AM902">MAX(IF((B$4:B$1000&lt;=AK902)*(B$4:B$1000&gt;=AJ902),L$4:L$1000, ""))</f>
        <v>0</v>
      </c>
      <c r="AN902" s="32" t="str">
        <f t="shared" si="609"/>
        <v/>
      </c>
      <c r="AO902" s="32" t="str">
        <f t="shared" si="610"/>
        <v/>
      </c>
      <c r="AP902" s="32" t="str">
        <f t="shared" si="611"/>
        <v/>
      </c>
      <c r="AQ902" s="32" t="str">
        <f t="shared" si="612"/>
        <v/>
      </c>
      <c r="AR902" s="32" t="str">
        <f t="shared" si="613"/>
        <v/>
      </c>
      <c r="AS902" s="32" t="str">
        <f t="shared" si="614"/>
        <v/>
      </c>
      <c r="AT902" s="32" t="str">
        <f t="shared" si="615"/>
        <v/>
      </c>
      <c r="AU902" s="34" t="str">
        <f t="shared" si="616"/>
        <v/>
      </c>
      <c r="AV902" s="32" t="str">
        <f t="shared" si="617"/>
        <v/>
      </c>
      <c r="AW902" s="32" t="str">
        <f t="shared" si="618"/>
        <v/>
      </c>
      <c r="AX902" s="32" t="str">
        <f t="shared" si="619"/>
        <v/>
      </c>
      <c r="AY902" s="32" t="str">
        <f t="shared" si="620"/>
        <v/>
      </c>
    </row>
    <row r="903" spans="1:51" x14ac:dyDescent="0.25">
      <c r="A903" s="24" t="str">
        <f t="shared" si="621"/>
        <v/>
      </c>
      <c r="B903" s="24" t="str">
        <f t="shared" si="631"/>
        <v/>
      </c>
      <c r="C903" s="32" t="str">
        <f t="shared" si="622"/>
        <v/>
      </c>
      <c r="D903" s="24" t="str">
        <f t="shared" si="623"/>
        <v/>
      </c>
      <c r="E903" s="24" t="str">
        <f t="shared" si="624"/>
        <v/>
      </c>
      <c r="F903" s="32" t="str">
        <f t="shared" si="625"/>
        <v/>
      </c>
      <c r="G903" s="32" t="str">
        <f t="shared" si="626"/>
        <v/>
      </c>
      <c r="H903" s="32" t="str">
        <f t="shared" ca="1" si="627"/>
        <v/>
      </c>
      <c r="I903" s="32" t="str">
        <f t="shared" ca="1" si="632"/>
        <v/>
      </c>
      <c r="J903" s="32" t="str">
        <f t="shared" si="628"/>
        <v/>
      </c>
      <c r="K903" s="32" t="str">
        <f>IF(ISNUMBER(A903),Profile!$V$25+Profile!$V$24*'Ri-Po'!C903,"")</f>
        <v/>
      </c>
      <c r="L903" s="32" t="str">
        <f t="shared" si="633"/>
        <v/>
      </c>
      <c r="M903" s="32" t="str">
        <f t="shared" si="629"/>
        <v/>
      </c>
      <c r="N903" s="32" t="str">
        <f t="shared" si="630"/>
        <v/>
      </c>
      <c r="O903" s="32" t="str">
        <f t="shared" si="646"/>
        <v/>
      </c>
      <c r="P903" s="32" t="str">
        <f t="shared" si="634"/>
        <v/>
      </c>
      <c r="Q903" s="32" t="str">
        <f t="shared" si="635"/>
        <v/>
      </c>
      <c r="R903" s="32" t="str">
        <f t="shared" si="647"/>
        <v/>
      </c>
      <c r="S903" s="24" t="str">
        <f t="shared" si="648"/>
        <v/>
      </c>
      <c r="T903" s="24" t="str">
        <f t="shared" si="649"/>
        <v/>
      </c>
      <c r="U903" s="24" t="str">
        <f t="shared" si="650"/>
        <v/>
      </c>
      <c r="V903" s="24" t="str">
        <f t="shared" si="651"/>
        <v/>
      </c>
      <c r="W903" s="23" t="str">
        <f t="array" ref="W903">IFERROR(SMALL(IF(S$1:S$1000="BEGIN",ROW(S$1:S$1000)),ROW()-3),"")</f>
        <v/>
      </c>
      <c r="X903" s="23" t="str">
        <f t="array" ref="X903">IFERROR(SMALL(IF(T$1:T$1000="END",ROW(T$1:T$1000)),ROW()-3),"")</f>
        <v/>
      </c>
      <c r="Y903" s="33" t="str">
        <f t="array" ref="Y903">IF(ISNUMBER(W903),MAX(IF((B$4:B$1000&lt;=X903)*(B$4:B$1000&gt;=W903),I$4:I$1000, "")),"")</f>
        <v/>
      </c>
      <c r="Z903" s="33" t="str">
        <f t="shared" si="636"/>
        <v/>
      </c>
      <c r="AA903" s="32" t="str">
        <f t="shared" si="637"/>
        <v/>
      </c>
      <c r="AB903" s="32" t="str">
        <f t="shared" si="638"/>
        <v/>
      </c>
      <c r="AC903" s="32" t="str">
        <f t="shared" si="639"/>
        <v/>
      </c>
      <c r="AD903" s="32" t="str">
        <f t="shared" si="640"/>
        <v/>
      </c>
      <c r="AE903" s="34" t="str">
        <f t="shared" si="641"/>
        <v/>
      </c>
      <c r="AF903" s="32" t="str">
        <f t="shared" si="642"/>
        <v/>
      </c>
      <c r="AG903" s="32" t="str">
        <f t="shared" si="643"/>
        <v/>
      </c>
      <c r="AH903" s="32" t="str">
        <f t="shared" si="644"/>
        <v/>
      </c>
      <c r="AI903" s="35" t="str">
        <f t="shared" si="645"/>
        <v/>
      </c>
      <c r="AJ903" s="23" t="str">
        <f t="array" ref="AJ903">IFERROR(SMALL(IF(U$1:U$1000="BEGIN",ROW(U$1:U$1000)),ROW()-3),"")</f>
        <v/>
      </c>
      <c r="AK903" s="23" t="str">
        <f t="array" ref="AK903">IFERROR(SMALL(IF(V$1:V$1000="END",ROW(V$1:V$1000)),ROW()-3),"")</f>
        <v/>
      </c>
      <c r="AL903" s="24" t="str">
        <f t="array" ref="AL903">IF(AK903="","",MATCH(AM903,L:L,0))</f>
        <v/>
      </c>
      <c r="AM903" s="35">
        <f t="array" ref="AM903">MAX(IF((B$4:B$1000&lt;=AK903)*(B$4:B$1000&gt;=AJ903),L$4:L$1000, ""))</f>
        <v>0</v>
      </c>
      <c r="AN903" s="32" t="str">
        <f t="shared" si="609"/>
        <v/>
      </c>
      <c r="AO903" s="32" t="str">
        <f t="shared" si="610"/>
        <v/>
      </c>
      <c r="AP903" s="32" t="str">
        <f t="shared" si="611"/>
        <v/>
      </c>
      <c r="AQ903" s="32" t="str">
        <f t="shared" si="612"/>
        <v/>
      </c>
      <c r="AR903" s="32" t="str">
        <f t="shared" si="613"/>
        <v/>
      </c>
      <c r="AS903" s="32" t="str">
        <f t="shared" si="614"/>
        <v/>
      </c>
      <c r="AT903" s="32" t="str">
        <f t="shared" si="615"/>
        <v/>
      </c>
      <c r="AU903" s="34" t="str">
        <f t="shared" si="616"/>
        <v/>
      </c>
      <c r="AV903" s="32" t="str">
        <f t="shared" si="617"/>
        <v/>
      </c>
      <c r="AW903" s="32" t="str">
        <f t="shared" si="618"/>
        <v/>
      </c>
      <c r="AX903" s="32" t="str">
        <f t="shared" si="619"/>
        <v/>
      </c>
      <c r="AY903" s="32" t="str">
        <f t="shared" si="620"/>
        <v/>
      </c>
    </row>
    <row r="904" spans="1:51" x14ac:dyDescent="0.25">
      <c r="A904" s="24" t="str">
        <f t="shared" si="621"/>
        <v/>
      </c>
      <c r="B904" s="24" t="str">
        <f t="shared" si="631"/>
        <v/>
      </c>
      <c r="C904" s="32" t="str">
        <f t="shared" si="622"/>
        <v/>
      </c>
      <c r="D904" s="24" t="str">
        <f t="shared" si="623"/>
        <v/>
      </c>
      <c r="E904" s="24" t="str">
        <f t="shared" si="624"/>
        <v/>
      </c>
      <c r="F904" s="32" t="str">
        <f t="shared" si="625"/>
        <v/>
      </c>
      <c r="G904" s="32" t="str">
        <f t="shared" si="626"/>
        <v/>
      </c>
      <c r="H904" s="32" t="str">
        <f t="shared" ca="1" si="627"/>
        <v/>
      </c>
      <c r="I904" s="32" t="str">
        <f t="shared" ca="1" si="632"/>
        <v/>
      </c>
      <c r="J904" s="32" t="str">
        <f t="shared" si="628"/>
        <v/>
      </c>
      <c r="K904" s="32" t="str">
        <f>IF(ISNUMBER(A904),Profile!$V$25+Profile!$V$24*'Ri-Po'!C904,"")</f>
        <v/>
      </c>
      <c r="L904" s="32" t="str">
        <f t="shared" si="633"/>
        <v/>
      </c>
      <c r="M904" s="32" t="str">
        <f t="shared" si="629"/>
        <v/>
      </c>
      <c r="N904" s="32" t="str">
        <f t="shared" si="630"/>
        <v/>
      </c>
      <c r="O904" s="32" t="str">
        <f t="shared" si="646"/>
        <v/>
      </c>
      <c r="P904" s="32" t="str">
        <f t="shared" si="634"/>
        <v/>
      </c>
      <c r="Q904" s="32" t="str">
        <f t="shared" si="635"/>
        <v/>
      </c>
      <c r="R904" s="32" t="str">
        <f t="shared" si="647"/>
        <v/>
      </c>
      <c r="S904" s="24" t="str">
        <f t="shared" si="648"/>
        <v/>
      </c>
      <c r="T904" s="24" t="str">
        <f t="shared" si="649"/>
        <v/>
      </c>
      <c r="U904" s="24" t="str">
        <f t="shared" si="650"/>
        <v/>
      </c>
      <c r="V904" s="24" t="str">
        <f t="shared" si="651"/>
        <v/>
      </c>
      <c r="W904" s="23" t="str">
        <f t="array" ref="W904">IFERROR(SMALL(IF(S$1:S$1000="BEGIN",ROW(S$1:S$1000)),ROW()-3),"")</f>
        <v/>
      </c>
      <c r="X904" s="23" t="str">
        <f t="array" ref="X904">IFERROR(SMALL(IF(T$1:T$1000="END",ROW(T$1:T$1000)),ROW()-3),"")</f>
        <v/>
      </c>
      <c r="Y904" s="33" t="str">
        <f t="array" ref="Y904">IF(ISNUMBER(W904),MAX(IF((B$4:B$1000&lt;=X904)*(B$4:B$1000&gt;=W904),I$4:I$1000, "")),"")</f>
        <v/>
      </c>
      <c r="Z904" s="33" t="str">
        <f t="shared" si="636"/>
        <v/>
      </c>
      <c r="AA904" s="32" t="str">
        <f t="shared" si="637"/>
        <v/>
      </c>
      <c r="AB904" s="32" t="str">
        <f t="shared" si="638"/>
        <v/>
      </c>
      <c r="AC904" s="32" t="str">
        <f t="shared" si="639"/>
        <v/>
      </c>
      <c r="AD904" s="32" t="str">
        <f t="shared" si="640"/>
        <v/>
      </c>
      <c r="AE904" s="34" t="str">
        <f t="shared" si="641"/>
        <v/>
      </c>
      <c r="AF904" s="32" t="str">
        <f t="shared" si="642"/>
        <v/>
      </c>
      <c r="AG904" s="32" t="str">
        <f t="shared" si="643"/>
        <v/>
      </c>
      <c r="AH904" s="32" t="str">
        <f t="shared" si="644"/>
        <v/>
      </c>
      <c r="AI904" s="35" t="str">
        <f t="shared" si="645"/>
        <v/>
      </c>
      <c r="AJ904" s="23" t="str">
        <f t="array" ref="AJ904">IFERROR(SMALL(IF(U$1:U$1000="BEGIN",ROW(U$1:U$1000)),ROW()-3),"")</f>
        <v/>
      </c>
      <c r="AK904" s="23" t="str">
        <f t="array" ref="AK904">IFERROR(SMALL(IF(V$1:V$1000="END",ROW(V$1:V$1000)),ROW()-3),"")</f>
        <v/>
      </c>
      <c r="AL904" s="24" t="str">
        <f t="array" ref="AL904">IF(AK904="","",MATCH(AM904,L:L,0))</f>
        <v/>
      </c>
      <c r="AM904" s="35">
        <f t="array" ref="AM904">MAX(IF((B$4:B$1000&lt;=AK904)*(B$4:B$1000&gt;=AJ904),L$4:L$1000, ""))</f>
        <v>0</v>
      </c>
      <c r="AN904" s="32" t="str">
        <f t="shared" si="609"/>
        <v/>
      </c>
      <c r="AO904" s="32" t="str">
        <f t="shared" si="610"/>
        <v/>
      </c>
      <c r="AP904" s="32" t="str">
        <f t="shared" si="611"/>
        <v/>
      </c>
      <c r="AQ904" s="32" t="str">
        <f t="shared" si="612"/>
        <v/>
      </c>
      <c r="AR904" s="32" t="str">
        <f t="shared" si="613"/>
        <v/>
      </c>
      <c r="AS904" s="32" t="str">
        <f t="shared" si="614"/>
        <v/>
      </c>
      <c r="AT904" s="32" t="str">
        <f t="shared" si="615"/>
        <v/>
      </c>
      <c r="AU904" s="34" t="str">
        <f t="shared" si="616"/>
        <v/>
      </c>
      <c r="AV904" s="32" t="str">
        <f t="shared" si="617"/>
        <v/>
      </c>
      <c r="AW904" s="32" t="str">
        <f t="shared" si="618"/>
        <v/>
      </c>
      <c r="AX904" s="32" t="str">
        <f t="shared" si="619"/>
        <v/>
      </c>
      <c r="AY904" s="32" t="str">
        <f t="shared" si="620"/>
        <v/>
      </c>
    </row>
    <row r="905" spans="1:51" x14ac:dyDescent="0.25">
      <c r="A905" s="24" t="str">
        <f t="shared" si="621"/>
        <v/>
      </c>
      <c r="B905" s="24" t="str">
        <f t="shared" si="631"/>
        <v/>
      </c>
      <c r="C905" s="32" t="str">
        <f t="shared" si="622"/>
        <v/>
      </c>
      <c r="D905" s="24" t="str">
        <f t="shared" si="623"/>
        <v/>
      </c>
      <c r="E905" s="24" t="str">
        <f t="shared" si="624"/>
        <v/>
      </c>
      <c r="F905" s="32" t="str">
        <f t="shared" si="625"/>
        <v/>
      </c>
      <c r="G905" s="32" t="str">
        <f t="shared" si="626"/>
        <v/>
      </c>
      <c r="H905" s="32" t="str">
        <f t="shared" ca="1" si="627"/>
        <v/>
      </c>
      <c r="I905" s="32" t="str">
        <f t="shared" ca="1" si="632"/>
        <v/>
      </c>
      <c r="J905" s="32" t="str">
        <f t="shared" si="628"/>
        <v/>
      </c>
      <c r="K905" s="32" t="str">
        <f>IF(ISNUMBER(A905),Profile!$V$25+Profile!$V$24*'Ri-Po'!C905,"")</f>
        <v/>
      </c>
      <c r="L905" s="32" t="str">
        <f t="shared" si="633"/>
        <v/>
      </c>
      <c r="M905" s="32" t="str">
        <f t="shared" si="629"/>
        <v/>
      </c>
      <c r="N905" s="32" t="str">
        <f t="shared" si="630"/>
        <v/>
      </c>
      <c r="O905" s="32" t="str">
        <f t="shared" si="646"/>
        <v/>
      </c>
      <c r="P905" s="32" t="str">
        <f t="shared" si="634"/>
        <v/>
      </c>
      <c r="Q905" s="32" t="str">
        <f t="shared" si="635"/>
        <v/>
      </c>
      <c r="R905" s="32" t="str">
        <f t="shared" si="647"/>
        <v/>
      </c>
      <c r="S905" s="24" t="str">
        <f t="shared" si="648"/>
        <v/>
      </c>
      <c r="T905" s="24" t="str">
        <f t="shared" si="649"/>
        <v/>
      </c>
      <c r="U905" s="24" t="str">
        <f t="shared" si="650"/>
        <v/>
      </c>
      <c r="V905" s="24" t="str">
        <f t="shared" si="651"/>
        <v/>
      </c>
      <c r="W905" s="23" t="str">
        <f t="array" ref="W905">IFERROR(SMALL(IF(S$1:S$1000="BEGIN",ROW(S$1:S$1000)),ROW()-3),"")</f>
        <v/>
      </c>
      <c r="X905" s="23" t="str">
        <f t="array" ref="X905">IFERROR(SMALL(IF(T$1:T$1000="END",ROW(T$1:T$1000)),ROW()-3),"")</f>
        <v/>
      </c>
      <c r="Y905" s="33" t="str">
        <f t="array" ref="Y905">IF(ISNUMBER(W905),MAX(IF((B$4:B$1000&lt;=X905)*(B$4:B$1000&gt;=W905),I$4:I$1000, "")),"")</f>
        <v/>
      </c>
      <c r="Z905" s="33" t="str">
        <f t="shared" si="636"/>
        <v/>
      </c>
      <c r="AA905" s="32" t="str">
        <f t="shared" si="637"/>
        <v/>
      </c>
      <c r="AB905" s="32" t="str">
        <f t="shared" si="638"/>
        <v/>
      </c>
      <c r="AC905" s="32" t="str">
        <f t="shared" si="639"/>
        <v/>
      </c>
      <c r="AD905" s="32" t="str">
        <f t="shared" si="640"/>
        <v/>
      </c>
      <c r="AE905" s="34" t="str">
        <f t="shared" si="641"/>
        <v/>
      </c>
      <c r="AF905" s="32" t="str">
        <f t="shared" si="642"/>
        <v/>
      </c>
      <c r="AG905" s="32" t="str">
        <f t="shared" si="643"/>
        <v/>
      </c>
      <c r="AH905" s="32" t="str">
        <f t="shared" si="644"/>
        <v/>
      </c>
      <c r="AI905" s="35" t="str">
        <f t="shared" si="645"/>
        <v/>
      </c>
      <c r="AJ905" s="23" t="str">
        <f t="array" ref="AJ905">IFERROR(SMALL(IF(U$1:U$1000="BEGIN",ROW(U$1:U$1000)),ROW()-3),"")</f>
        <v/>
      </c>
      <c r="AK905" s="23" t="str">
        <f t="array" ref="AK905">IFERROR(SMALL(IF(V$1:V$1000="END",ROW(V$1:V$1000)),ROW()-3),"")</f>
        <v/>
      </c>
      <c r="AL905" s="24" t="str">
        <f t="array" ref="AL905">IF(AK905="","",MATCH(AM905,L:L,0))</f>
        <v/>
      </c>
      <c r="AM905" s="35">
        <f t="array" ref="AM905">MAX(IF((B$4:B$1000&lt;=AK905)*(B$4:B$1000&gt;=AJ905),L$4:L$1000, ""))</f>
        <v>0</v>
      </c>
      <c r="AN905" s="32" t="str">
        <f t="shared" si="609"/>
        <v/>
      </c>
      <c r="AO905" s="32" t="str">
        <f t="shared" si="610"/>
        <v/>
      </c>
      <c r="AP905" s="32" t="str">
        <f t="shared" si="611"/>
        <v/>
      </c>
      <c r="AQ905" s="32" t="str">
        <f t="shared" si="612"/>
        <v/>
      </c>
      <c r="AR905" s="32" t="str">
        <f t="shared" si="613"/>
        <v/>
      </c>
      <c r="AS905" s="32" t="str">
        <f t="shared" si="614"/>
        <v/>
      </c>
      <c r="AT905" s="32" t="str">
        <f t="shared" si="615"/>
        <v/>
      </c>
      <c r="AU905" s="34" t="str">
        <f t="shared" si="616"/>
        <v/>
      </c>
      <c r="AV905" s="32" t="str">
        <f t="shared" si="617"/>
        <v/>
      </c>
      <c r="AW905" s="32" t="str">
        <f t="shared" si="618"/>
        <v/>
      </c>
      <c r="AX905" s="32" t="str">
        <f t="shared" si="619"/>
        <v/>
      </c>
      <c r="AY905" s="32" t="str">
        <f t="shared" si="620"/>
        <v/>
      </c>
    </row>
    <row r="906" spans="1:51" x14ac:dyDescent="0.25">
      <c r="A906" s="24" t="str">
        <f t="shared" si="621"/>
        <v/>
      </c>
      <c r="B906" s="24" t="str">
        <f t="shared" si="631"/>
        <v/>
      </c>
      <c r="C906" s="32" t="str">
        <f t="shared" si="622"/>
        <v/>
      </c>
      <c r="D906" s="24" t="str">
        <f t="shared" si="623"/>
        <v/>
      </c>
      <c r="E906" s="24" t="str">
        <f t="shared" si="624"/>
        <v/>
      </c>
      <c r="F906" s="32" t="str">
        <f t="shared" si="625"/>
        <v/>
      </c>
      <c r="G906" s="32" t="str">
        <f t="shared" si="626"/>
        <v/>
      </c>
      <c r="H906" s="32" t="str">
        <f t="shared" ca="1" si="627"/>
        <v/>
      </c>
      <c r="I906" s="32" t="str">
        <f t="shared" ca="1" si="632"/>
        <v/>
      </c>
      <c r="J906" s="32" t="str">
        <f t="shared" si="628"/>
        <v/>
      </c>
      <c r="K906" s="32" t="str">
        <f>IF(ISNUMBER(A906),Profile!$V$25+Profile!$V$24*'Ri-Po'!C906,"")</f>
        <v/>
      </c>
      <c r="L906" s="32" t="str">
        <f t="shared" si="633"/>
        <v/>
      </c>
      <c r="M906" s="32" t="str">
        <f t="shared" si="629"/>
        <v/>
      </c>
      <c r="N906" s="32" t="str">
        <f t="shared" si="630"/>
        <v/>
      </c>
      <c r="O906" s="32" t="str">
        <f t="shared" si="646"/>
        <v/>
      </c>
      <c r="P906" s="32" t="str">
        <f t="shared" si="634"/>
        <v/>
      </c>
      <c r="Q906" s="32" t="str">
        <f t="shared" si="635"/>
        <v/>
      </c>
      <c r="R906" s="32" t="str">
        <f t="shared" si="647"/>
        <v/>
      </c>
      <c r="S906" s="24" t="str">
        <f t="shared" si="648"/>
        <v/>
      </c>
      <c r="T906" s="24" t="str">
        <f t="shared" si="649"/>
        <v/>
      </c>
      <c r="U906" s="24" t="str">
        <f t="shared" si="650"/>
        <v/>
      </c>
      <c r="V906" s="24" t="str">
        <f t="shared" si="651"/>
        <v/>
      </c>
      <c r="W906" s="23" t="str">
        <f t="array" ref="W906">IFERROR(SMALL(IF(S$1:S$1000="BEGIN",ROW(S$1:S$1000)),ROW()-3),"")</f>
        <v/>
      </c>
      <c r="X906" s="23" t="str">
        <f t="array" ref="X906">IFERROR(SMALL(IF(T$1:T$1000="END",ROW(T$1:T$1000)),ROW()-3),"")</f>
        <v/>
      </c>
      <c r="Y906" s="33" t="str">
        <f t="array" ref="Y906">IF(ISNUMBER(W906),MAX(IF((B$4:B$1000&lt;=X906)*(B$4:B$1000&gt;=W906),I$4:I$1000, "")),"")</f>
        <v/>
      </c>
      <c r="Z906" s="33" t="str">
        <f t="shared" si="636"/>
        <v/>
      </c>
      <c r="AA906" s="32" t="str">
        <f t="shared" si="637"/>
        <v/>
      </c>
      <c r="AB906" s="32" t="str">
        <f t="shared" si="638"/>
        <v/>
      </c>
      <c r="AC906" s="32" t="str">
        <f t="shared" si="639"/>
        <v/>
      </c>
      <c r="AD906" s="32" t="str">
        <f t="shared" si="640"/>
        <v/>
      </c>
      <c r="AE906" s="34" t="str">
        <f t="shared" si="641"/>
        <v/>
      </c>
      <c r="AF906" s="32" t="str">
        <f t="shared" si="642"/>
        <v/>
      </c>
      <c r="AG906" s="32" t="str">
        <f t="shared" si="643"/>
        <v/>
      </c>
      <c r="AH906" s="32" t="str">
        <f t="shared" si="644"/>
        <v/>
      </c>
      <c r="AI906" s="35" t="str">
        <f t="shared" si="645"/>
        <v/>
      </c>
      <c r="AJ906" s="23" t="str">
        <f t="array" ref="AJ906">IFERROR(SMALL(IF(U$1:U$1000="BEGIN",ROW(U$1:U$1000)),ROW()-3),"")</f>
        <v/>
      </c>
      <c r="AK906" s="23" t="str">
        <f t="array" ref="AK906">IFERROR(SMALL(IF(V$1:V$1000="END",ROW(V$1:V$1000)),ROW()-3),"")</f>
        <v/>
      </c>
      <c r="AL906" s="24" t="str">
        <f t="array" ref="AL906">IF(AK906="","",MATCH(AM906,L:L,0))</f>
        <v/>
      </c>
      <c r="AM906" s="35">
        <f t="array" ref="AM906">MAX(IF((B$4:B$1000&lt;=AK906)*(B$4:B$1000&gt;=AJ906),L$4:L$1000, ""))</f>
        <v>0</v>
      </c>
      <c r="AN906" s="32" t="str">
        <f t="shared" si="609"/>
        <v/>
      </c>
      <c r="AO906" s="32" t="str">
        <f t="shared" si="610"/>
        <v/>
      </c>
      <c r="AP906" s="32" t="str">
        <f t="shared" si="611"/>
        <v/>
      </c>
      <c r="AQ906" s="32" t="str">
        <f t="shared" si="612"/>
        <v/>
      </c>
      <c r="AR906" s="32" t="str">
        <f t="shared" si="613"/>
        <v/>
      </c>
      <c r="AS906" s="32" t="str">
        <f t="shared" si="614"/>
        <v/>
      </c>
      <c r="AT906" s="32" t="str">
        <f t="shared" si="615"/>
        <v/>
      </c>
      <c r="AU906" s="34" t="str">
        <f t="shared" si="616"/>
        <v/>
      </c>
      <c r="AV906" s="32" t="str">
        <f t="shared" si="617"/>
        <v/>
      </c>
      <c r="AW906" s="32" t="str">
        <f t="shared" si="618"/>
        <v/>
      </c>
      <c r="AX906" s="32" t="str">
        <f t="shared" si="619"/>
        <v/>
      </c>
      <c r="AY906" s="32" t="str">
        <f t="shared" si="620"/>
        <v/>
      </c>
    </row>
    <row r="907" spans="1:51" x14ac:dyDescent="0.25">
      <c r="A907" s="24" t="str">
        <f t="shared" si="621"/>
        <v/>
      </c>
      <c r="B907" s="24" t="str">
        <f t="shared" si="631"/>
        <v/>
      </c>
      <c r="C907" s="32" t="str">
        <f t="shared" si="622"/>
        <v/>
      </c>
      <c r="D907" s="24" t="str">
        <f t="shared" si="623"/>
        <v/>
      </c>
      <c r="E907" s="24" t="str">
        <f t="shared" si="624"/>
        <v/>
      </c>
      <c r="F907" s="32" t="str">
        <f t="shared" si="625"/>
        <v/>
      </c>
      <c r="G907" s="32" t="str">
        <f t="shared" si="626"/>
        <v/>
      </c>
      <c r="H907" s="32" t="str">
        <f t="shared" ca="1" si="627"/>
        <v/>
      </c>
      <c r="I907" s="32" t="str">
        <f t="shared" ca="1" si="632"/>
        <v/>
      </c>
      <c r="J907" s="32" t="str">
        <f t="shared" si="628"/>
        <v/>
      </c>
      <c r="K907" s="32" t="str">
        <f>IF(ISNUMBER(A907),Profile!$V$25+Profile!$V$24*'Ri-Po'!C907,"")</f>
        <v/>
      </c>
      <c r="L907" s="32" t="str">
        <f t="shared" si="633"/>
        <v/>
      </c>
      <c r="M907" s="32" t="str">
        <f t="shared" si="629"/>
        <v/>
      </c>
      <c r="N907" s="32" t="str">
        <f t="shared" si="630"/>
        <v/>
      </c>
      <c r="O907" s="32" t="str">
        <f t="shared" si="646"/>
        <v/>
      </c>
      <c r="P907" s="32" t="str">
        <f t="shared" si="634"/>
        <v/>
      </c>
      <c r="Q907" s="32" t="str">
        <f t="shared" si="635"/>
        <v/>
      </c>
      <c r="R907" s="32" t="str">
        <f t="shared" si="647"/>
        <v/>
      </c>
      <c r="S907" s="24" t="str">
        <f t="shared" si="648"/>
        <v/>
      </c>
      <c r="T907" s="24" t="str">
        <f t="shared" si="649"/>
        <v/>
      </c>
      <c r="U907" s="24" t="str">
        <f t="shared" si="650"/>
        <v/>
      </c>
      <c r="V907" s="24" t="str">
        <f t="shared" si="651"/>
        <v/>
      </c>
      <c r="W907" s="23" t="str">
        <f t="array" ref="W907">IFERROR(SMALL(IF(S$1:S$1000="BEGIN",ROW(S$1:S$1000)),ROW()-3),"")</f>
        <v/>
      </c>
      <c r="X907" s="23" t="str">
        <f t="array" ref="X907">IFERROR(SMALL(IF(T$1:T$1000="END",ROW(T$1:T$1000)),ROW()-3),"")</f>
        <v/>
      </c>
      <c r="Y907" s="33" t="str">
        <f t="array" ref="Y907">IF(ISNUMBER(W907),MAX(IF((B$4:B$1000&lt;=X907)*(B$4:B$1000&gt;=W907),I$4:I$1000, "")),"")</f>
        <v/>
      </c>
      <c r="Z907" s="33" t="str">
        <f t="shared" si="636"/>
        <v/>
      </c>
      <c r="AA907" s="32" t="str">
        <f t="shared" si="637"/>
        <v/>
      </c>
      <c r="AB907" s="32" t="str">
        <f t="shared" si="638"/>
        <v/>
      </c>
      <c r="AC907" s="32" t="str">
        <f t="shared" si="639"/>
        <v/>
      </c>
      <c r="AD907" s="32" t="str">
        <f t="shared" si="640"/>
        <v/>
      </c>
      <c r="AE907" s="34" t="str">
        <f t="shared" si="641"/>
        <v/>
      </c>
      <c r="AF907" s="32" t="str">
        <f t="shared" si="642"/>
        <v/>
      </c>
      <c r="AG907" s="32" t="str">
        <f t="shared" si="643"/>
        <v/>
      </c>
      <c r="AH907" s="32" t="str">
        <f t="shared" si="644"/>
        <v/>
      </c>
      <c r="AI907" s="35" t="str">
        <f t="shared" si="645"/>
        <v/>
      </c>
      <c r="AJ907" s="23" t="str">
        <f t="array" ref="AJ907">IFERROR(SMALL(IF(U$1:U$1000="BEGIN",ROW(U$1:U$1000)),ROW()-3),"")</f>
        <v/>
      </c>
      <c r="AK907" s="23" t="str">
        <f t="array" ref="AK907">IFERROR(SMALL(IF(V$1:V$1000="END",ROW(V$1:V$1000)),ROW()-3),"")</f>
        <v/>
      </c>
      <c r="AL907" s="24" t="str">
        <f t="array" ref="AL907">IF(AK907="","",MATCH(AM907,L:L,0))</f>
        <v/>
      </c>
      <c r="AM907" s="35">
        <f t="array" ref="AM907">MAX(IF((B$4:B$1000&lt;=AK907)*(B$4:B$1000&gt;=AJ907),L$4:L$1000, ""))</f>
        <v>0</v>
      </c>
      <c r="AN907" s="32" t="str">
        <f t="shared" si="609"/>
        <v/>
      </c>
      <c r="AO907" s="32" t="str">
        <f t="shared" si="610"/>
        <v/>
      </c>
      <c r="AP907" s="32" t="str">
        <f t="shared" si="611"/>
        <v/>
      </c>
      <c r="AQ907" s="32" t="str">
        <f t="shared" si="612"/>
        <v/>
      </c>
      <c r="AR907" s="32" t="str">
        <f t="shared" si="613"/>
        <v/>
      </c>
      <c r="AS907" s="32" t="str">
        <f t="shared" si="614"/>
        <v/>
      </c>
      <c r="AT907" s="32" t="str">
        <f t="shared" si="615"/>
        <v/>
      </c>
      <c r="AU907" s="34" t="str">
        <f t="shared" si="616"/>
        <v/>
      </c>
      <c r="AV907" s="32" t="str">
        <f t="shared" si="617"/>
        <v/>
      </c>
      <c r="AW907" s="32" t="str">
        <f t="shared" si="618"/>
        <v/>
      </c>
      <c r="AX907" s="32" t="str">
        <f t="shared" si="619"/>
        <v/>
      </c>
      <c r="AY907" s="32" t="str">
        <f t="shared" si="620"/>
        <v/>
      </c>
    </row>
    <row r="908" spans="1:51" x14ac:dyDescent="0.25">
      <c r="A908" s="24" t="str">
        <f t="shared" si="621"/>
        <v/>
      </c>
      <c r="B908" s="24" t="str">
        <f t="shared" si="631"/>
        <v/>
      </c>
      <c r="C908" s="32" t="str">
        <f t="shared" si="622"/>
        <v/>
      </c>
      <c r="D908" s="24" t="str">
        <f t="shared" si="623"/>
        <v/>
      </c>
      <c r="E908" s="24" t="str">
        <f t="shared" si="624"/>
        <v/>
      </c>
      <c r="F908" s="32" t="str">
        <f t="shared" si="625"/>
        <v/>
      </c>
      <c r="G908" s="32" t="str">
        <f t="shared" si="626"/>
        <v/>
      </c>
      <c r="H908" s="32" t="str">
        <f t="shared" ca="1" si="627"/>
        <v/>
      </c>
      <c r="I908" s="32" t="str">
        <f t="shared" ca="1" si="632"/>
        <v/>
      </c>
      <c r="J908" s="32" t="str">
        <f t="shared" si="628"/>
        <v/>
      </c>
      <c r="K908" s="32" t="str">
        <f>IF(ISNUMBER(A908),Profile!$V$25+Profile!$V$24*'Ri-Po'!C908,"")</f>
        <v/>
      </c>
      <c r="L908" s="32" t="str">
        <f t="shared" si="633"/>
        <v/>
      </c>
      <c r="M908" s="32" t="str">
        <f t="shared" si="629"/>
        <v/>
      </c>
      <c r="N908" s="32" t="str">
        <f t="shared" si="630"/>
        <v/>
      </c>
      <c r="O908" s="32" t="str">
        <f t="shared" si="646"/>
        <v/>
      </c>
      <c r="P908" s="32" t="str">
        <f t="shared" si="634"/>
        <v/>
      </c>
      <c r="Q908" s="32" t="str">
        <f t="shared" si="635"/>
        <v/>
      </c>
      <c r="R908" s="32" t="str">
        <f t="shared" si="647"/>
        <v/>
      </c>
      <c r="S908" s="24" t="str">
        <f t="shared" si="648"/>
        <v/>
      </c>
      <c r="T908" s="24" t="str">
        <f t="shared" si="649"/>
        <v/>
      </c>
      <c r="U908" s="24" t="str">
        <f t="shared" si="650"/>
        <v/>
      </c>
      <c r="V908" s="24" t="str">
        <f t="shared" si="651"/>
        <v/>
      </c>
      <c r="W908" s="23" t="str">
        <f t="array" ref="W908">IFERROR(SMALL(IF(S$1:S$1000="BEGIN",ROW(S$1:S$1000)),ROW()-3),"")</f>
        <v/>
      </c>
      <c r="X908" s="23" t="str">
        <f t="array" ref="X908">IFERROR(SMALL(IF(T$1:T$1000="END",ROW(T$1:T$1000)),ROW()-3),"")</f>
        <v/>
      </c>
      <c r="Y908" s="33" t="str">
        <f t="array" ref="Y908">IF(ISNUMBER(W908),MAX(IF((B$4:B$1000&lt;=X908)*(B$4:B$1000&gt;=W908),I$4:I$1000, "")),"")</f>
        <v/>
      </c>
      <c r="Z908" s="33" t="str">
        <f t="shared" si="636"/>
        <v/>
      </c>
      <c r="AA908" s="32" t="str">
        <f t="shared" si="637"/>
        <v/>
      </c>
      <c r="AB908" s="32" t="str">
        <f t="shared" si="638"/>
        <v/>
      </c>
      <c r="AC908" s="32" t="str">
        <f t="shared" si="639"/>
        <v/>
      </c>
      <c r="AD908" s="32" t="str">
        <f t="shared" si="640"/>
        <v/>
      </c>
      <c r="AE908" s="34" t="str">
        <f t="shared" si="641"/>
        <v/>
      </c>
      <c r="AF908" s="32" t="str">
        <f t="shared" si="642"/>
        <v/>
      </c>
      <c r="AG908" s="32" t="str">
        <f t="shared" si="643"/>
        <v/>
      </c>
      <c r="AH908" s="32" t="str">
        <f t="shared" si="644"/>
        <v/>
      </c>
      <c r="AI908" s="35" t="str">
        <f t="shared" si="645"/>
        <v/>
      </c>
      <c r="AJ908" s="23" t="str">
        <f t="array" ref="AJ908">IFERROR(SMALL(IF(U$1:U$1000="BEGIN",ROW(U$1:U$1000)),ROW()-3),"")</f>
        <v/>
      </c>
      <c r="AK908" s="23" t="str">
        <f t="array" ref="AK908">IFERROR(SMALL(IF(V$1:V$1000="END",ROW(V$1:V$1000)),ROW()-3),"")</f>
        <v/>
      </c>
      <c r="AL908" s="24" t="str">
        <f t="array" ref="AL908">IF(AK908="","",MATCH(AM908,L:L,0))</f>
        <v/>
      </c>
      <c r="AM908" s="35">
        <f t="array" ref="AM908">MAX(IF((B$4:B$1000&lt;=AK908)*(B$4:B$1000&gt;=AJ908),L$4:L$1000, ""))</f>
        <v>0</v>
      </c>
      <c r="AN908" s="32" t="str">
        <f t="shared" si="609"/>
        <v/>
      </c>
      <c r="AO908" s="32" t="str">
        <f t="shared" si="610"/>
        <v/>
      </c>
      <c r="AP908" s="32" t="str">
        <f t="shared" si="611"/>
        <v/>
      </c>
      <c r="AQ908" s="32" t="str">
        <f t="shared" si="612"/>
        <v/>
      </c>
      <c r="AR908" s="32" t="str">
        <f t="shared" si="613"/>
        <v/>
      </c>
      <c r="AS908" s="32" t="str">
        <f t="shared" si="614"/>
        <v/>
      </c>
      <c r="AT908" s="32" t="str">
        <f t="shared" si="615"/>
        <v/>
      </c>
      <c r="AU908" s="34" t="str">
        <f t="shared" si="616"/>
        <v/>
      </c>
      <c r="AV908" s="32" t="str">
        <f t="shared" si="617"/>
        <v/>
      </c>
      <c r="AW908" s="32" t="str">
        <f t="shared" si="618"/>
        <v/>
      </c>
      <c r="AX908" s="32" t="str">
        <f t="shared" si="619"/>
        <v/>
      </c>
      <c r="AY908" s="32" t="str">
        <f t="shared" si="620"/>
        <v/>
      </c>
    </row>
    <row r="909" spans="1:51" x14ac:dyDescent="0.25">
      <c r="A909" s="24" t="str">
        <f t="shared" si="621"/>
        <v/>
      </c>
      <c r="B909" s="24" t="str">
        <f t="shared" si="631"/>
        <v/>
      </c>
      <c r="C909" s="32" t="str">
        <f t="shared" si="622"/>
        <v/>
      </c>
      <c r="D909" s="24" t="str">
        <f t="shared" si="623"/>
        <v/>
      </c>
      <c r="E909" s="24" t="str">
        <f t="shared" si="624"/>
        <v/>
      </c>
      <c r="F909" s="32" t="str">
        <f t="shared" si="625"/>
        <v/>
      </c>
      <c r="G909" s="32" t="str">
        <f t="shared" si="626"/>
        <v/>
      </c>
      <c r="H909" s="32" t="str">
        <f t="shared" ca="1" si="627"/>
        <v/>
      </c>
      <c r="I909" s="32" t="str">
        <f t="shared" ca="1" si="632"/>
        <v/>
      </c>
      <c r="J909" s="32" t="str">
        <f t="shared" si="628"/>
        <v/>
      </c>
      <c r="K909" s="32" t="str">
        <f>IF(ISNUMBER(A909),Profile!$V$25+Profile!$V$24*'Ri-Po'!C909,"")</f>
        <v/>
      </c>
      <c r="L909" s="32" t="str">
        <f t="shared" si="633"/>
        <v/>
      </c>
      <c r="M909" s="32" t="str">
        <f t="shared" si="629"/>
        <v/>
      </c>
      <c r="N909" s="32" t="str">
        <f t="shared" si="630"/>
        <v/>
      </c>
      <c r="O909" s="32" t="str">
        <f t="shared" si="646"/>
        <v/>
      </c>
      <c r="P909" s="32" t="str">
        <f t="shared" si="634"/>
        <v/>
      </c>
      <c r="Q909" s="32" t="str">
        <f t="shared" si="635"/>
        <v/>
      </c>
      <c r="R909" s="32" t="str">
        <f t="shared" si="647"/>
        <v/>
      </c>
      <c r="S909" s="24" t="str">
        <f t="shared" si="648"/>
        <v/>
      </c>
      <c r="T909" s="24" t="str">
        <f t="shared" si="649"/>
        <v/>
      </c>
      <c r="U909" s="24" t="str">
        <f t="shared" si="650"/>
        <v/>
      </c>
      <c r="V909" s="24" t="str">
        <f t="shared" si="651"/>
        <v/>
      </c>
      <c r="W909" s="23" t="str">
        <f t="array" ref="W909">IFERROR(SMALL(IF(S$1:S$1000="BEGIN",ROW(S$1:S$1000)),ROW()-3),"")</f>
        <v/>
      </c>
      <c r="X909" s="23" t="str">
        <f t="array" ref="X909">IFERROR(SMALL(IF(T$1:T$1000="END",ROW(T$1:T$1000)),ROW()-3),"")</f>
        <v/>
      </c>
      <c r="Y909" s="33" t="str">
        <f t="array" ref="Y909">IF(ISNUMBER(W909),MAX(IF((B$4:B$1000&lt;=X909)*(B$4:B$1000&gt;=W909),I$4:I$1000, "")),"")</f>
        <v/>
      </c>
      <c r="Z909" s="33" t="str">
        <f t="shared" si="636"/>
        <v/>
      </c>
      <c r="AA909" s="32" t="str">
        <f t="shared" si="637"/>
        <v/>
      </c>
      <c r="AB909" s="32" t="str">
        <f t="shared" si="638"/>
        <v/>
      </c>
      <c r="AC909" s="32" t="str">
        <f t="shared" si="639"/>
        <v/>
      </c>
      <c r="AD909" s="32" t="str">
        <f t="shared" si="640"/>
        <v/>
      </c>
      <c r="AE909" s="34" t="str">
        <f t="shared" si="641"/>
        <v/>
      </c>
      <c r="AF909" s="32" t="str">
        <f t="shared" si="642"/>
        <v/>
      </c>
      <c r="AG909" s="32" t="str">
        <f t="shared" si="643"/>
        <v/>
      </c>
      <c r="AH909" s="32" t="str">
        <f t="shared" si="644"/>
        <v/>
      </c>
      <c r="AI909" s="35" t="str">
        <f t="shared" si="645"/>
        <v/>
      </c>
      <c r="AJ909" s="23" t="str">
        <f t="array" ref="AJ909">IFERROR(SMALL(IF(U$1:U$1000="BEGIN",ROW(U$1:U$1000)),ROW()-3),"")</f>
        <v/>
      </c>
      <c r="AK909" s="23" t="str">
        <f t="array" ref="AK909">IFERROR(SMALL(IF(V$1:V$1000="END",ROW(V$1:V$1000)),ROW()-3),"")</f>
        <v/>
      </c>
      <c r="AL909" s="24" t="str">
        <f t="array" ref="AL909">IF(AK909="","",MATCH(AM909,L:L,0))</f>
        <v/>
      </c>
      <c r="AM909" s="35">
        <f t="array" ref="AM909">MAX(IF((B$4:B$1000&lt;=AK909)*(B$4:B$1000&gt;=AJ909),L$4:L$1000, ""))</f>
        <v>0</v>
      </c>
      <c r="AN909" s="32" t="str">
        <f t="shared" si="609"/>
        <v/>
      </c>
      <c r="AO909" s="32" t="str">
        <f t="shared" si="610"/>
        <v/>
      </c>
      <c r="AP909" s="32" t="str">
        <f t="shared" si="611"/>
        <v/>
      </c>
      <c r="AQ909" s="32" t="str">
        <f t="shared" si="612"/>
        <v/>
      </c>
      <c r="AR909" s="32" t="str">
        <f t="shared" si="613"/>
        <v/>
      </c>
      <c r="AS909" s="32" t="str">
        <f t="shared" si="614"/>
        <v/>
      </c>
      <c r="AT909" s="32" t="str">
        <f t="shared" si="615"/>
        <v/>
      </c>
      <c r="AU909" s="34" t="str">
        <f t="shared" si="616"/>
        <v/>
      </c>
      <c r="AV909" s="32" t="str">
        <f t="shared" si="617"/>
        <v/>
      </c>
      <c r="AW909" s="32" t="str">
        <f t="shared" si="618"/>
        <v/>
      </c>
      <c r="AX909" s="32" t="str">
        <f t="shared" si="619"/>
        <v/>
      </c>
      <c r="AY909" s="32" t="str">
        <f t="shared" si="620"/>
        <v/>
      </c>
    </row>
    <row r="910" spans="1:51" x14ac:dyDescent="0.25">
      <c r="A910" s="24" t="str">
        <f t="shared" si="621"/>
        <v/>
      </c>
      <c r="B910" s="24" t="str">
        <f t="shared" si="631"/>
        <v/>
      </c>
      <c r="C910" s="32" t="str">
        <f t="shared" si="622"/>
        <v/>
      </c>
      <c r="D910" s="24" t="str">
        <f t="shared" si="623"/>
        <v/>
      </c>
      <c r="E910" s="24" t="str">
        <f t="shared" si="624"/>
        <v/>
      </c>
      <c r="F910" s="32" t="str">
        <f t="shared" si="625"/>
        <v/>
      </c>
      <c r="G910" s="32" t="str">
        <f t="shared" si="626"/>
        <v/>
      </c>
      <c r="H910" s="32" t="str">
        <f t="shared" ca="1" si="627"/>
        <v/>
      </c>
      <c r="I910" s="32" t="str">
        <f t="shared" ca="1" si="632"/>
        <v/>
      </c>
      <c r="J910" s="32" t="str">
        <f t="shared" si="628"/>
        <v/>
      </c>
      <c r="K910" s="32" t="str">
        <f>IF(ISNUMBER(A910),Profile!$V$25+Profile!$V$24*'Ri-Po'!C910,"")</f>
        <v/>
      </c>
      <c r="L910" s="32" t="str">
        <f t="shared" si="633"/>
        <v/>
      </c>
      <c r="M910" s="32" t="str">
        <f t="shared" si="629"/>
        <v/>
      </c>
      <c r="N910" s="32" t="str">
        <f t="shared" si="630"/>
        <v/>
      </c>
      <c r="O910" s="32" t="str">
        <f t="shared" si="646"/>
        <v/>
      </c>
      <c r="P910" s="32" t="str">
        <f t="shared" si="634"/>
        <v/>
      </c>
      <c r="Q910" s="32" t="str">
        <f t="shared" si="635"/>
        <v/>
      </c>
      <c r="R910" s="32" t="str">
        <f t="shared" si="647"/>
        <v/>
      </c>
      <c r="S910" s="24" t="str">
        <f t="shared" si="648"/>
        <v/>
      </c>
      <c r="T910" s="24" t="str">
        <f t="shared" si="649"/>
        <v/>
      </c>
      <c r="U910" s="24" t="str">
        <f t="shared" si="650"/>
        <v/>
      </c>
      <c r="V910" s="24" t="str">
        <f t="shared" si="651"/>
        <v/>
      </c>
      <c r="W910" s="23" t="str">
        <f t="array" ref="W910">IFERROR(SMALL(IF(S$1:S$1000="BEGIN",ROW(S$1:S$1000)),ROW()-3),"")</f>
        <v/>
      </c>
      <c r="X910" s="23" t="str">
        <f t="array" ref="X910">IFERROR(SMALL(IF(T$1:T$1000="END",ROW(T$1:T$1000)),ROW()-3),"")</f>
        <v/>
      </c>
      <c r="Y910" s="33" t="str">
        <f t="array" ref="Y910">IF(ISNUMBER(W910),MAX(IF((B$4:B$1000&lt;=X910)*(B$4:B$1000&gt;=W910),I$4:I$1000, "")),"")</f>
        <v/>
      </c>
      <c r="Z910" s="33" t="str">
        <f t="shared" si="636"/>
        <v/>
      </c>
      <c r="AA910" s="32" t="str">
        <f t="shared" si="637"/>
        <v/>
      </c>
      <c r="AB910" s="32" t="str">
        <f t="shared" si="638"/>
        <v/>
      </c>
      <c r="AC910" s="32" t="str">
        <f t="shared" si="639"/>
        <v/>
      </c>
      <c r="AD910" s="32" t="str">
        <f t="shared" si="640"/>
        <v/>
      </c>
      <c r="AE910" s="34" t="str">
        <f t="shared" si="641"/>
        <v/>
      </c>
      <c r="AF910" s="32" t="str">
        <f t="shared" si="642"/>
        <v/>
      </c>
      <c r="AG910" s="32" t="str">
        <f t="shared" si="643"/>
        <v/>
      </c>
      <c r="AH910" s="32" t="str">
        <f t="shared" si="644"/>
        <v/>
      </c>
      <c r="AI910" s="35" t="str">
        <f t="shared" si="645"/>
        <v/>
      </c>
      <c r="AJ910" s="23" t="str">
        <f t="array" ref="AJ910">IFERROR(SMALL(IF(U$1:U$1000="BEGIN",ROW(U$1:U$1000)),ROW()-3),"")</f>
        <v/>
      </c>
      <c r="AK910" s="23" t="str">
        <f t="array" ref="AK910">IFERROR(SMALL(IF(V$1:V$1000="END",ROW(V$1:V$1000)),ROW()-3),"")</f>
        <v/>
      </c>
      <c r="AL910" s="24" t="str">
        <f t="array" ref="AL910">IF(AK910="","",MATCH(AM910,L:L,0))</f>
        <v/>
      </c>
      <c r="AM910" s="35">
        <f t="array" ref="AM910">MAX(IF((B$4:B$1000&lt;=AK910)*(B$4:B$1000&gt;=AJ910),L$4:L$1000, ""))</f>
        <v>0</v>
      </c>
      <c r="AN910" s="32" t="str">
        <f t="shared" si="609"/>
        <v/>
      </c>
      <c r="AO910" s="32" t="str">
        <f t="shared" si="610"/>
        <v/>
      </c>
      <c r="AP910" s="32" t="str">
        <f t="shared" si="611"/>
        <v/>
      </c>
      <c r="AQ910" s="32" t="str">
        <f t="shared" si="612"/>
        <v/>
      </c>
      <c r="AR910" s="32" t="str">
        <f t="shared" si="613"/>
        <v/>
      </c>
      <c r="AS910" s="32" t="str">
        <f t="shared" si="614"/>
        <v/>
      </c>
      <c r="AT910" s="32" t="str">
        <f t="shared" si="615"/>
        <v/>
      </c>
      <c r="AU910" s="34" t="str">
        <f t="shared" si="616"/>
        <v/>
      </c>
      <c r="AV910" s="32" t="str">
        <f t="shared" si="617"/>
        <v/>
      </c>
      <c r="AW910" s="32" t="str">
        <f t="shared" si="618"/>
        <v/>
      </c>
      <c r="AX910" s="32" t="str">
        <f t="shared" si="619"/>
        <v/>
      </c>
      <c r="AY910" s="32" t="str">
        <f t="shared" si="620"/>
        <v/>
      </c>
    </row>
    <row r="911" spans="1:51" x14ac:dyDescent="0.25">
      <c r="A911" s="24" t="str">
        <f t="shared" si="621"/>
        <v/>
      </c>
      <c r="B911" s="24" t="str">
        <f t="shared" si="631"/>
        <v/>
      </c>
      <c r="C911" s="32" t="str">
        <f t="shared" si="622"/>
        <v/>
      </c>
      <c r="D911" s="24" t="str">
        <f t="shared" si="623"/>
        <v/>
      </c>
      <c r="E911" s="24" t="str">
        <f t="shared" si="624"/>
        <v/>
      </c>
      <c r="F911" s="32" t="str">
        <f t="shared" si="625"/>
        <v/>
      </c>
      <c r="G911" s="32" t="str">
        <f t="shared" si="626"/>
        <v/>
      </c>
      <c r="H911" s="32" t="str">
        <f t="shared" ca="1" si="627"/>
        <v/>
      </c>
      <c r="I911" s="32" t="str">
        <f t="shared" ca="1" si="632"/>
        <v/>
      </c>
      <c r="J911" s="32" t="str">
        <f t="shared" si="628"/>
        <v/>
      </c>
      <c r="K911" s="32" t="str">
        <f>IF(ISNUMBER(A911),Profile!$V$25+Profile!$V$24*'Ri-Po'!C911,"")</f>
        <v/>
      </c>
      <c r="L911" s="32" t="str">
        <f t="shared" si="633"/>
        <v/>
      </c>
      <c r="M911" s="32" t="str">
        <f t="shared" si="629"/>
        <v/>
      </c>
      <c r="N911" s="32" t="str">
        <f t="shared" si="630"/>
        <v/>
      </c>
      <c r="O911" s="32" t="str">
        <f t="shared" si="646"/>
        <v/>
      </c>
      <c r="P911" s="32" t="str">
        <f t="shared" si="634"/>
        <v/>
      </c>
      <c r="Q911" s="32" t="str">
        <f t="shared" si="635"/>
        <v/>
      </c>
      <c r="R911" s="32" t="str">
        <f t="shared" si="647"/>
        <v/>
      </c>
      <c r="S911" s="24" t="str">
        <f t="shared" si="648"/>
        <v/>
      </c>
      <c r="T911" s="24" t="str">
        <f t="shared" si="649"/>
        <v/>
      </c>
      <c r="U911" s="24" t="str">
        <f t="shared" si="650"/>
        <v/>
      </c>
      <c r="V911" s="24" t="str">
        <f t="shared" si="651"/>
        <v/>
      </c>
      <c r="W911" s="23" t="str">
        <f t="array" ref="W911">IFERROR(SMALL(IF(S$1:S$1000="BEGIN",ROW(S$1:S$1000)),ROW()-3),"")</f>
        <v/>
      </c>
      <c r="X911" s="23" t="str">
        <f t="array" ref="X911">IFERROR(SMALL(IF(T$1:T$1000="END",ROW(T$1:T$1000)),ROW()-3),"")</f>
        <v/>
      </c>
      <c r="Y911" s="33" t="str">
        <f t="array" ref="Y911">IF(ISNUMBER(W911),MAX(IF((B$4:B$1000&lt;=X911)*(B$4:B$1000&gt;=W911),I$4:I$1000, "")),"")</f>
        <v/>
      </c>
      <c r="Z911" s="33" t="str">
        <f t="shared" si="636"/>
        <v/>
      </c>
      <c r="AA911" s="32" t="str">
        <f t="shared" si="637"/>
        <v/>
      </c>
      <c r="AB911" s="32" t="str">
        <f t="shared" si="638"/>
        <v/>
      </c>
      <c r="AC911" s="32" t="str">
        <f t="shared" si="639"/>
        <v/>
      </c>
      <c r="AD911" s="32" t="str">
        <f t="shared" si="640"/>
        <v/>
      </c>
      <c r="AE911" s="34" t="str">
        <f t="shared" si="641"/>
        <v/>
      </c>
      <c r="AF911" s="32" t="str">
        <f t="shared" si="642"/>
        <v/>
      </c>
      <c r="AG911" s="32" t="str">
        <f t="shared" si="643"/>
        <v/>
      </c>
      <c r="AH911" s="32" t="str">
        <f t="shared" si="644"/>
        <v/>
      </c>
      <c r="AI911" s="35" t="str">
        <f t="shared" si="645"/>
        <v/>
      </c>
      <c r="AJ911" s="23" t="str">
        <f t="array" ref="AJ911">IFERROR(SMALL(IF(U$1:U$1000="BEGIN",ROW(U$1:U$1000)),ROW()-3),"")</f>
        <v/>
      </c>
      <c r="AK911" s="23" t="str">
        <f t="array" ref="AK911">IFERROR(SMALL(IF(V$1:V$1000="END",ROW(V$1:V$1000)),ROW()-3),"")</f>
        <v/>
      </c>
      <c r="AL911" s="24" t="str">
        <f t="array" ref="AL911">IF(AK911="","",MATCH(AM911,L:L,0))</f>
        <v/>
      </c>
      <c r="AM911" s="35">
        <f t="array" ref="AM911">MAX(IF((B$4:B$1000&lt;=AK911)*(B$4:B$1000&gt;=AJ911),L$4:L$1000, ""))</f>
        <v>0</v>
      </c>
      <c r="AN911" s="32" t="str">
        <f t="shared" si="609"/>
        <v/>
      </c>
      <c r="AO911" s="32" t="str">
        <f t="shared" si="610"/>
        <v/>
      </c>
      <c r="AP911" s="32" t="str">
        <f t="shared" si="611"/>
        <v/>
      </c>
      <c r="AQ911" s="32" t="str">
        <f t="shared" si="612"/>
        <v/>
      </c>
      <c r="AR911" s="32" t="str">
        <f t="shared" si="613"/>
        <v/>
      </c>
      <c r="AS911" s="32" t="str">
        <f t="shared" si="614"/>
        <v/>
      </c>
      <c r="AT911" s="32" t="str">
        <f t="shared" si="615"/>
        <v/>
      </c>
      <c r="AU911" s="34" t="str">
        <f t="shared" si="616"/>
        <v/>
      </c>
      <c r="AV911" s="32" t="str">
        <f t="shared" si="617"/>
        <v/>
      </c>
      <c r="AW911" s="32" t="str">
        <f t="shared" si="618"/>
        <v/>
      </c>
      <c r="AX911" s="32" t="str">
        <f t="shared" si="619"/>
        <v/>
      </c>
      <c r="AY911" s="32" t="str">
        <f t="shared" si="620"/>
        <v/>
      </c>
    </row>
    <row r="912" spans="1:51" x14ac:dyDescent="0.25">
      <c r="A912" s="24" t="str">
        <f t="shared" si="621"/>
        <v/>
      </c>
      <c r="B912" s="24" t="str">
        <f t="shared" si="631"/>
        <v/>
      </c>
      <c r="C912" s="32" t="str">
        <f t="shared" si="622"/>
        <v/>
      </c>
      <c r="D912" s="24" t="str">
        <f t="shared" si="623"/>
        <v/>
      </c>
      <c r="E912" s="24" t="str">
        <f t="shared" si="624"/>
        <v/>
      </c>
      <c r="F912" s="32" t="str">
        <f t="shared" si="625"/>
        <v/>
      </c>
      <c r="G912" s="32" t="str">
        <f t="shared" si="626"/>
        <v/>
      </c>
      <c r="H912" s="32" t="str">
        <f t="shared" ca="1" si="627"/>
        <v/>
      </c>
      <c r="I912" s="32" t="str">
        <f t="shared" ca="1" si="632"/>
        <v/>
      </c>
      <c r="J912" s="32" t="str">
        <f t="shared" si="628"/>
        <v/>
      </c>
      <c r="K912" s="32" t="str">
        <f>IF(ISNUMBER(A912),Profile!$V$25+Profile!$V$24*'Ri-Po'!C912,"")</f>
        <v/>
      </c>
      <c r="L912" s="32" t="str">
        <f t="shared" si="633"/>
        <v/>
      </c>
      <c r="M912" s="32" t="str">
        <f t="shared" si="629"/>
        <v/>
      </c>
      <c r="N912" s="32" t="str">
        <f t="shared" si="630"/>
        <v/>
      </c>
      <c r="O912" s="32" t="str">
        <f t="shared" si="646"/>
        <v/>
      </c>
      <c r="P912" s="32" t="str">
        <f t="shared" si="634"/>
        <v/>
      </c>
      <c r="Q912" s="32" t="str">
        <f t="shared" si="635"/>
        <v/>
      </c>
      <c r="R912" s="32" t="str">
        <f t="shared" si="647"/>
        <v/>
      </c>
      <c r="S912" s="24" t="str">
        <f t="shared" si="648"/>
        <v/>
      </c>
      <c r="T912" s="24" t="str">
        <f t="shared" si="649"/>
        <v/>
      </c>
      <c r="U912" s="24" t="str">
        <f t="shared" si="650"/>
        <v/>
      </c>
      <c r="V912" s="24" t="str">
        <f t="shared" si="651"/>
        <v/>
      </c>
      <c r="W912" s="23" t="str">
        <f t="array" ref="W912">IFERROR(SMALL(IF(S$1:S$1000="BEGIN",ROW(S$1:S$1000)),ROW()-3),"")</f>
        <v/>
      </c>
      <c r="X912" s="23" t="str">
        <f t="array" ref="X912">IFERROR(SMALL(IF(T$1:T$1000="END",ROW(T$1:T$1000)),ROW()-3),"")</f>
        <v/>
      </c>
      <c r="Y912" s="33" t="str">
        <f t="array" ref="Y912">IF(ISNUMBER(W912),MAX(IF((B$4:B$1000&lt;=X912)*(B$4:B$1000&gt;=W912),I$4:I$1000, "")),"")</f>
        <v/>
      </c>
      <c r="Z912" s="33" t="str">
        <f t="shared" si="636"/>
        <v/>
      </c>
      <c r="AA912" s="32" t="str">
        <f t="shared" si="637"/>
        <v/>
      </c>
      <c r="AB912" s="32" t="str">
        <f t="shared" si="638"/>
        <v/>
      </c>
      <c r="AC912" s="32" t="str">
        <f t="shared" si="639"/>
        <v/>
      </c>
      <c r="AD912" s="32" t="str">
        <f t="shared" si="640"/>
        <v/>
      </c>
      <c r="AE912" s="34" t="str">
        <f t="shared" si="641"/>
        <v/>
      </c>
      <c r="AF912" s="32" t="str">
        <f t="shared" si="642"/>
        <v/>
      </c>
      <c r="AG912" s="32" t="str">
        <f t="shared" si="643"/>
        <v/>
      </c>
      <c r="AH912" s="32" t="str">
        <f t="shared" si="644"/>
        <v/>
      </c>
      <c r="AI912" s="35" t="str">
        <f t="shared" si="645"/>
        <v/>
      </c>
      <c r="AJ912" s="23" t="str">
        <f t="array" ref="AJ912">IFERROR(SMALL(IF(U$1:U$1000="BEGIN",ROW(U$1:U$1000)),ROW()-3),"")</f>
        <v/>
      </c>
      <c r="AK912" s="23" t="str">
        <f t="array" ref="AK912">IFERROR(SMALL(IF(V$1:V$1000="END",ROW(V$1:V$1000)),ROW()-3),"")</f>
        <v/>
      </c>
      <c r="AL912" s="24" t="str">
        <f t="array" ref="AL912">IF(AK912="","",MATCH(AM912,L:L,0))</f>
        <v/>
      </c>
      <c r="AM912" s="35">
        <f t="array" ref="AM912">MAX(IF((B$4:B$1000&lt;=AK912)*(B$4:B$1000&gt;=AJ912),L$4:L$1000, ""))</f>
        <v>0</v>
      </c>
      <c r="AN912" s="32" t="str">
        <f t="shared" si="609"/>
        <v/>
      </c>
      <c r="AO912" s="32" t="str">
        <f t="shared" si="610"/>
        <v/>
      </c>
      <c r="AP912" s="32" t="str">
        <f t="shared" si="611"/>
        <v/>
      </c>
      <c r="AQ912" s="32" t="str">
        <f t="shared" si="612"/>
        <v/>
      </c>
      <c r="AR912" s="32" t="str">
        <f t="shared" si="613"/>
        <v/>
      </c>
      <c r="AS912" s="32" t="str">
        <f t="shared" si="614"/>
        <v/>
      </c>
      <c r="AT912" s="32" t="str">
        <f t="shared" si="615"/>
        <v/>
      </c>
      <c r="AU912" s="34" t="str">
        <f t="shared" si="616"/>
        <v/>
      </c>
      <c r="AV912" s="32" t="str">
        <f t="shared" si="617"/>
        <v/>
      </c>
      <c r="AW912" s="32" t="str">
        <f t="shared" si="618"/>
        <v/>
      </c>
      <c r="AX912" s="32" t="str">
        <f t="shared" si="619"/>
        <v/>
      </c>
      <c r="AY912" s="32" t="str">
        <f t="shared" si="620"/>
        <v/>
      </c>
    </row>
    <row r="913" spans="1:51" x14ac:dyDescent="0.25">
      <c r="A913" s="24" t="str">
        <f t="shared" si="621"/>
        <v/>
      </c>
      <c r="B913" s="24" t="str">
        <f t="shared" si="631"/>
        <v/>
      </c>
      <c r="C913" s="32" t="str">
        <f t="shared" si="622"/>
        <v/>
      </c>
      <c r="D913" s="24" t="str">
        <f t="shared" si="623"/>
        <v/>
      </c>
      <c r="E913" s="24" t="str">
        <f t="shared" si="624"/>
        <v/>
      </c>
      <c r="F913" s="32" t="str">
        <f t="shared" si="625"/>
        <v/>
      </c>
      <c r="G913" s="32" t="str">
        <f t="shared" si="626"/>
        <v/>
      </c>
      <c r="H913" s="32" t="str">
        <f t="shared" ca="1" si="627"/>
        <v/>
      </c>
      <c r="I913" s="32" t="str">
        <f t="shared" ca="1" si="632"/>
        <v/>
      </c>
      <c r="J913" s="32" t="str">
        <f t="shared" si="628"/>
        <v/>
      </c>
      <c r="K913" s="32" t="str">
        <f>IF(ISNUMBER(A913),Profile!$V$25+Profile!$V$24*'Ri-Po'!C913,"")</f>
        <v/>
      </c>
      <c r="L913" s="32" t="str">
        <f t="shared" si="633"/>
        <v/>
      </c>
      <c r="M913" s="32" t="str">
        <f t="shared" si="629"/>
        <v/>
      </c>
      <c r="N913" s="32" t="str">
        <f t="shared" si="630"/>
        <v/>
      </c>
      <c r="O913" s="32" t="str">
        <f t="shared" si="646"/>
        <v/>
      </c>
      <c r="P913" s="32" t="str">
        <f t="shared" si="634"/>
        <v/>
      </c>
      <c r="Q913" s="32" t="str">
        <f t="shared" si="635"/>
        <v/>
      </c>
      <c r="R913" s="32" t="str">
        <f t="shared" si="647"/>
        <v/>
      </c>
      <c r="S913" s="24" t="str">
        <f t="shared" si="648"/>
        <v/>
      </c>
      <c r="T913" s="24" t="str">
        <f t="shared" si="649"/>
        <v/>
      </c>
      <c r="U913" s="24" t="str">
        <f t="shared" si="650"/>
        <v/>
      </c>
      <c r="V913" s="24" t="str">
        <f t="shared" si="651"/>
        <v/>
      </c>
      <c r="W913" s="23" t="str">
        <f t="array" ref="W913">IFERROR(SMALL(IF(S$1:S$1000="BEGIN",ROW(S$1:S$1000)),ROW()-3),"")</f>
        <v/>
      </c>
      <c r="X913" s="23" t="str">
        <f t="array" ref="X913">IFERROR(SMALL(IF(T$1:T$1000="END",ROW(T$1:T$1000)),ROW()-3),"")</f>
        <v/>
      </c>
      <c r="Y913" s="33" t="str">
        <f t="array" ref="Y913">IF(ISNUMBER(W913),MAX(IF((B$4:B$1000&lt;=X913)*(B$4:B$1000&gt;=W913),I$4:I$1000, "")),"")</f>
        <v/>
      </c>
      <c r="Z913" s="33" t="str">
        <f t="shared" si="636"/>
        <v/>
      </c>
      <c r="AA913" s="32" t="str">
        <f t="shared" si="637"/>
        <v/>
      </c>
      <c r="AB913" s="32" t="str">
        <f t="shared" si="638"/>
        <v/>
      </c>
      <c r="AC913" s="32" t="str">
        <f t="shared" si="639"/>
        <v/>
      </c>
      <c r="AD913" s="32" t="str">
        <f t="shared" si="640"/>
        <v/>
      </c>
      <c r="AE913" s="34" t="str">
        <f t="shared" si="641"/>
        <v/>
      </c>
      <c r="AF913" s="32" t="str">
        <f t="shared" si="642"/>
        <v/>
      </c>
      <c r="AG913" s="32" t="str">
        <f t="shared" si="643"/>
        <v/>
      </c>
      <c r="AH913" s="32" t="str">
        <f t="shared" si="644"/>
        <v/>
      </c>
      <c r="AI913" s="35" t="str">
        <f t="shared" si="645"/>
        <v/>
      </c>
      <c r="AJ913" s="23" t="str">
        <f t="array" ref="AJ913">IFERROR(SMALL(IF(U$1:U$1000="BEGIN",ROW(U$1:U$1000)),ROW()-3),"")</f>
        <v/>
      </c>
      <c r="AK913" s="23" t="str">
        <f t="array" ref="AK913">IFERROR(SMALL(IF(V$1:V$1000="END",ROW(V$1:V$1000)),ROW()-3),"")</f>
        <v/>
      </c>
      <c r="AL913" s="24" t="str">
        <f t="array" ref="AL913">IF(AK913="","",MATCH(AM913,L:L,0))</f>
        <v/>
      </c>
      <c r="AM913" s="35">
        <f t="array" ref="AM913">MAX(IF((B$4:B$1000&lt;=AK913)*(B$4:B$1000&gt;=AJ913),L$4:L$1000, ""))</f>
        <v>0</v>
      </c>
      <c r="AN913" s="32" t="str">
        <f t="shared" si="609"/>
        <v/>
      </c>
      <c r="AO913" s="32" t="str">
        <f t="shared" si="610"/>
        <v/>
      </c>
      <c r="AP913" s="32" t="str">
        <f t="shared" si="611"/>
        <v/>
      </c>
      <c r="AQ913" s="32" t="str">
        <f t="shared" si="612"/>
        <v/>
      </c>
      <c r="AR913" s="32" t="str">
        <f t="shared" si="613"/>
        <v/>
      </c>
      <c r="AS913" s="32" t="str">
        <f t="shared" si="614"/>
        <v/>
      </c>
      <c r="AT913" s="32" t="str">
        <f t="shared" si="615"/>
        <v/>
      </c>
      <c r="AU913" s="34" t="str">
        <f t="shared" si="616"/>
        <v/>
      </c>
      <c r="AV913" s="32" t="str">
        <f t="shared" si="617"/>
        <v/>
      </c>
      <c r="AW913" s="32" t="str">
        <f t="shared" si="618"/>
        <v/>
      </c>
      <c r="AX913" s="32" t="str">
        <f t="shared" si="619"/>
        <v/>
      </c>
      <c r="AY913" s="32" t="str">
        <f t="shared" si="620"/>
        <v/>
      </c>
    </row>
    <row r="914" spans="1:51" x14ac:dyDescent="0.25">
      <c r="A914" s="24" t="str">
        <f t="shared" si="621"/>
        <v/>
      </c>
      <c r="B914" s="24" t="str">
        <f t="shared" si="631"/>
        <v/>
      </c>
      <c r="C914" s="32" t="str">
        <f t="shared" si="622"/>
        <v/>
      </c>
      <c r="D914" s="24" t="str">
        <f t="shared" si="623"/>
        <v/>
      </c>
      <c r="E914" s="24" t="str">
        <f t="shared" si="624"/>
        <v/>
      </c>
      <c r="F914" s="32" t="str">
        <f t="shared" si="625"/>
        <v/>
      </c>
      <c r="G914" s="32" t="str">
        <f t="shared" si="626"/>
        <v/>
      </c>
      <c r="H914" s="32" t="str">
        <f t="shared" ca="1" si="627"/>
        <v/>
      </c>
      <c r="I914" s="32" t="str">
        <f t="shared" ca="1" si="632"/>
        <v/>
      </c>
      <c r="J914" s="32" t="str">
        <f t="shared" si="628"/>
        <v/>
      </c>
      <c r="K914" s="32" t="str">
        <f>IF(ISNUMBER(A914),Profile!$V$25+Profile!$V$24*'Ri-Po'!C914,"")</f>
        <v/>
      </c>
      <c r="L914" s="32" t="str">
        <f t="shared" si="633"/>
        <v/>
      </c>
      <c r="M914" s="32" t="str">
        <f t="shared" si="629"/>
        <v/>
      </c>
      <c r="N914" s="32" t="str">
        <f t="shared" si="630"/>
        <v/>
      </c>
      <c r="O914" s="32" t="str">
        <f t="shared" si="646"/>
        <v/>
      </c>
      <c r="P914" s="32" t="str">
        <f t="shared" si="634"/>
        <v/>
      </c>
      <c r="Q914" s="32" t="str">
        <f t="shared" si="635"/>
        <v/>
      </c>
      <c r="R914" s="32" t="str">
        <f t="shared" si="647"/>
        <v/>
      </c>
      <c r="S914" s="24" t="str">
        <f t="shared" si="648"/>
        <v/>
      </c>
      <c r="T914" s="24" t="str">
        <f t="shared" si="649"/>
        <v/>
      </c>
      <c r="U914" s="24" t="str">
        <f t="shared" si="650"/>
        <v/>
      </c>
      <c r="V914" s="24" t="str">
        <f t="shared" si="651"/>
        <v/>
      </c>
      <c r="W914" s="23" t="str">
        <f t="array" ref="W914">IFERROR(SMALL(IF(S$1:S$1000="BEGIN",ROW(S$1:S$1000)),ROW()-3),"")</f>
        <v/>
      </c>
      <c r="X914" s="23" t="str">
        <f t="array" ref="X914">IFERROR(SMALL(IF(T$1:T$1000="END",ROW(T$1:T$1000)),ROW()-3),"")</f>
        <v/>
      </c>
      <c r="Y914" s="33" t="str">
        <f t="array" ref="Y914">IF(ISNUMBER(W914),MAX(IF((B$4:B$1000&lt;=X914)*(B$4:B$1000&gt;=W914),I$4:I$1000, "")),"")</f>
        <v/>
      </c>
      <c r="Z914" s="33" t="str">
        <f t="shared" si="636"/>
        <v/>
      </c>
      <c r="AA914" s="32" t="str">
        <f t="shared" si="637"/>
        <v/>
      </c>
      <c r="AB914" s="32" t="str">
        <f t="shared" si="638"/>
        <v/>
      </c>
      <c r="AC914" s="32" t="str">
        <f t="shared" si="639"/>
        <v/>
      </c>
      <c r="AD914" s="32" t="str">
        <f t="shared" si="640"/>
        <v/>
      </c>
      <c r="AE914" s="34" t="str">
        <f t="shared" si="641"/>
        <v/>
      </c>
      <c r="AF914" s="32" t="str">
        <f t="shared" si="642"/>
        <v/>
      </c>
      <c r="AG914" s="32" t="str">
        <f t="shared" si="643"/>
        <v/>
      </c>
      <c r="AH914" s="32" t="str">
        <f t="shared" si="644"/>
        <v/>
      </c>
      <c r="AI914" s="35" t="str">
        <f t="shared" si="645"/>
        <v/>
      </c>
      <c r="AJ914" s="23" t="str">
        <f t="array" ref="AJ914">IFERROR(SMALL(IF(U$1:U$1000="BEGIN",ROW(U$1:U$1000)),ROW()-3),"")</f>
        <v/>
      </c>
      <c r="AK914" s="23" t="str">
        <f t="array" ref="AK914">IFERROR(SMALL(IF(V$1:V$1000="END",ROW(V$1:V$1000)),ROW()-3),"")</f>
        <v/>
      </c>
      <c r="AL914" s="24" t="str">
        <f t="array" ref="AL914">IF(AK914="","",MATCH(AM914,L:L,0))</f>
        <v/>
      </c>
      <c r="AM914" s="35">
        <f t="array" ref="AM914">MAX(IF((B$4:B$1000&lt;=AK914)*(B$4:B$1000&gt;=AJ914),L$4:L$1000, ""))</f>
        <v>0</v>
      </c>
      <c r="AN914" s="32" t="str">
        <f t="shared" ref="AN914:AN977" si="652">IFERROR(INDEX(C:C,AJ914),"")</f>
        <v/>
      </c>
      <c r="AO914" s="32" t="str">
        <f t="shared" ref="AO914:AO977" si="653">IFERROR(INDEX(C:C,AK914),"")</f>
        <v/>
      </c>
      <c r="AP914" s="32" t="str">
        <f t="shared" ref="AP914:AP977" si="654">IFERROR(INDEX(C:C,AL914),"")</f>
        <v/>
      </c>
      <c r="AQ914" s="32" t="str">
        <f t="shared" ref="AQ914:AQ977" si="655">IF(ISNUMBER(AN914),AM914,"")</f>
        <v/>
      </c>
      <c r="AR914" s="32" t="str">
        <f t="shared" ref="AR914:AR977" si="656">IFERROR(AO914-AN914,"")</f>
        <v/>
      </c>
      <c r="AS914" s="32" t="str">
        <f t="shared" ref="AS914:AS977" si="657">IFERROR(INDEX(H:H,AJ914),"")</f>
        <v/>
      </c>
      <c r="AT914" s="32" t="str">
        <f t="shared" ref="AT914:AT977" si="658">IFERROR(INDEX(H:H,AK914),"")</f>
        <v/>
      </c>
      <c r="AU914" s="34" t="str">
        <f t="shared" ref="AU914:AU977" si="659">IFERROR((AS914-AT914)/(AR914),"")</f>
        <v/>
      </c>
      <c r="AV914" s="32" t="str">
        <f t="shared" ref="AV914:AV977" si="660">IFERROR(AQ914/$BB$17,"")</f>
        <v/>
      </c>
      <c r="AW914" s="32" t="str">
        <f t="shared" ref="AW914:AW977" si="661">IFERROR(AU914/BB$19,"")</f>
        <v/>
      </c>
      <c r="AX914" s="32" t="str">
        <f t="shared" ref="AX914:AX977" si="662">IFERROR(AP915-AP914,"")</f>
        <v/>
      </c>
      <c r="AY914" s="32" t="str">
        <f t="shared" ref="AY914:AY977" si="663">IFERROR(AX914/BB$16,"")</f>
        <v/>
      </c>
    </row>
    <row r="915" spans="1:51" x14ac:dyDescent="0.25">
      <c r="A915" s="24" t="str">
        <f t="shared" si="621"/>
        <v/>
      </c>
      <c r="B915" s="24" t="str">
        <f t="shared" si="631"/>
        <v/>
      </c>
      <c r="C915" s="32" t="str">
        <f t="shared" si="622"/>
        <v/>
      </c>
      <c r="D915" s="24" t="str">
        <f t="shared" si="623"/>
        <v/>
      </c>
      <c r="E915" s="24" t="str">
        <f t="shared" si="624"/>
        <v/>
      </c>
      <c r="F915" s="32" t="str">
        <f t="shared" si="625"/>
        <v/>
      </c>
      <c r="G915" s="32" t="str">
        <f t="shared" si="626"/>
        <v/>
      </c>
      <c r="H915" s="32" t="str">
        <f t="shared" ca="1" si="627"/>
        <v/>
      </c>
      <c r="I915" s="32" t="str">
        <f t="shared" ca="1" si="632"/>
        <v/>
      </c>
      <c r="J915" s="32" t="str">
        <f t="shared" si="628"/>
        <v/>
      </c>
      <c r="K915" s="32" t="str">
        <f>IF(ISNUMBER(A915),Profile!$V$25+Profile!$V$24*'Ri-Po'!C915,"")</f>
        <v/>
      </c>
      <c r="L915" s="32" t="str">
        <f t="shared" si="633"/>
        <v/>
      </c>
      <c r="M915" s="32" t="str">
        <f t="shared" si="629"/>
        <v/>
      </c>
      <c r="N915" s="32" t="str">
        <f t="shared" si="630"/>
        <v/>
      </c>
      <c r="O915" s="32" t="str">
        <f t="shared" si="646"/>
        <v/>
      </c>
      <c r="P915" s="32" t="str">
        <f t="shared" si="634"/>
        <v/>
      </c>
      <c r="Q915" s="32" t="str">
        <f t="shared" si="635"/>
        <v/>
      </c>
      <c r="R915" s="32" t="str">
        <f t="shared" si="647"/>
        <v/>
      </c>
      <c r="S915" s="24" t="str">
        <f t="shared" si="648"/>
        <v/>
      </c>
      <c r="T915" s="24" t="str">
        <f t="shared" si="649"/>
        <v/>
      </c>
      <c r="U915" s="24" t="str">
        <f t="shared" si="650"/>
        <v/>
      </c>
      <c r="V915" s="24" t="str">
        <f t="shared" si="651"/>
        <v/>
      </c>
      <c r="W915" s="23" t="str">
        <f t="array" ref="W915">IFERROR(SMALL(IF(S$1:S$1000="BEGIN",ROW(S$1:S$1000)),ROW()-3),"")</f>
        <v/>
      </c>
      <c r="X915" s="23" t="str">
        <f t="array" ref="X915">IFERROR(SMALL(IF(T$1:T$1000="END",ROW(T$1:T$1000)),ROW()-3),"")</f>
        <v/>
      </c>
      <c r="Y915" s="33" t="str">
        <f t="array" ref="Y915">IF(ISNUMBER(W915),MAX(IF((B$4:B$1000&lt;=X915)*(B$4:B$1000&gt;=W915),I$4:I$1000, "")),"")</f>
        <v/>
      </c>
      <c r="Z915" s="33" t="str">
        <f t="shared" si="636"/>
        <v/>
      </c>
      <c r="AA915" s="32" t="str">
        <f t="shared" si="637"/>
        <v/>
      </c>
      <c r="AB915" s="32" t="str">
        <f t="shared" si="638"/>
        <v/>
      </c>
      <c r="AC915" s="32" t="str">
        <f t="shared" si="639"/>
        <v/>
      </c>
      <c r="AD915" s="32" t="str">
        <f t="shared" si="640"/>
        <v/>
      </c>
      <c r="AE915" s="34" t="str">
        <f t="shared" si="641"/>
        <v/>
      </c>
      <c r="AF915" s="32" t="str">
        <f t="shared" si="642"/>
        <v/>
      </c>
      <c r="AG915" s="32" t="str">
        <f t="shared" si="643"/>
        <v/>
      </c>
      <c r="AH915" s="32" t="str">
        <f t="shared" si="644"/>
        <v/>
      </c>
      <c r="AI915" s="35" t="str">
        <f t="shared" si="645"/>
        <v/>
      </c>
      <c r="AJ915" s="23" t="str">
        <f t="array" ref="AJ915">IFERROR(SMALL(IF(U$1:U$1000="BEGIN",ROW(U$1:U$1000)),ROW()-3),"")</f>
        <v/>
      </c>
      <c r="AK915" s="23" t="str">
        <f t="array" ref="AK915">IFERROR(SMALL(IF(V$1:V$1000="END",ROW(V$1:V$1000)),ROW()-3),"")</f>
        <v/>
      </c>
      <c r="AL915" s="24" t="str">
        <f t="array" ref="AL915">IF(AK915="","",MATCH(AM915,L:L,0))</f>
        <v/>
      </c>
      <c r="AM915" s="35">
        <f t="array" ref="AM915">MAX(IF((B$4:B$1000&lt;=AK915)*(B$4:B$1000&gt;=AJ915),L$4:L$1000, ""))</f>
        <v>0</v>
      </c>
      <c r="AN915" s="32" t="str">
        <f t="shared" si="652"/>
        <v/>
      </c>
      <c r="AO915" s="32" t="str">
        <f t="shared" si="653"/>
        <v/>
      </c>
      <c r="AP915" s="32" t="str">
        <f t="shared" si="654"/>
        <v/>
      </c>
      <c r="AQ915" s="32" t="str">
        <f t="shared" si="655"/>
        <v/>
      </c>
      <c r="AR915" s="32" t="str">
        <f t="shared" si="656"/>
        <v/>
      </c>
      <c r="AS915" s="32" t="str">
        <f t="shared" si="657"/>
        <v/>
      </c>
      <c r="AT915" s="32" t="str">
        <f t="shared" si="658"/>
        <v/>
      </c>
      <c r="AU915" s="34" t="str">
        <f t="shared" si="659"/>
        <v/>
      </c>
      <c r="AV915" s="32" t="str">
        <f t="shared" si="660"/>
        <v/>
      </c>
      <c r="AW915" s="32" t="str">
        <f t="shared" si="661"/>
        <v/>
      </c>
      <c r="AX915" s="32" t="str">
        <f t="shared" si="662"/>
        <v/>
      </c>
      <c r="AY915" s="32" t="str">
        <f t="shared" si="663"/>
        <v/>
      </c>
    </row>
    <row r="916" spans="1:51" x14ac:dyDescent="0.25">
      <c r="A916" s="24" t="str">
        <f t="shared" si="621"/>
        <v/>
      </c>
      <c r="B916" s="24" t="str">
        <f t="shared" si="631"/>
        <v/>
      </c>
      <c r="C916" s="32" t="str">
        <f t="shared" si="622"/>
        <v/>
      </c>
      <c r="D916" s="24" t="str">
        <f t="shared" si="623"/>
        <v/>
      </c>
      <c r="E916" s="24" t="str">
        <f t="shared" si="624"/>
        <v/>
      </c>
      <c r="F916" s="32" t="str">
        <f t="shared" si="625"/>
        <v/>
      </c>
      <c r="G916" s="32" t="str">
        <f t="shared" si="626"/>
        <v/>
      </c>
      <c r="H916" s="32" t="str">
        <f t="shared" ca="1" si="627"/>
        <v/>
      </c>
      <c r="I916" s="32" t="str">
        <f t="shared" ca="1" si="632"/>
        <v/>
      </c>
      <c r="J916" s="32" t="str">
        <f t="shared" si="628"/>
        <v/>
      </c>
      <c r="K916" s="32" t="str">
        <f>IF(ISNUMBER(A916),Profile!$V$25+Profile!$V$24*'Ri-Po'!C916,"")</f>
        <v/>
      </c>
      <c r="L916" s="32" t="str">
        <f t="shared" si="633"/>
        <v/>
      </c>
      <c r="M916" s="32" t="str">
        <f t="shared" si="629"/>
        <v/>
      </c>
      <c r="N916" s="32" t="str">
        <f t="shared" si="630"/>
        <v/>
      </c>
      <c r="O916" s="32" t="str">
        <f t="shared" si="646"/>
        <v/>
      </c>
      <c r="P916" s="32" t="str">
        <f t="shared" si="634"/>
        <v/>
      </c>
      <c r="Q916" s="32" t="str">
        <f t="shared" si="635"/>
        <v/>
      </c>
      <c r="R916" s="32" t="str">
        <f t="shared" si="647"/>
        <v/>
      </c>
      <c r="S916" s="24" t="str">
        <f t="shared" si="648"/>
        <v/>
      </c>
      <c r="T916" s="24" t="str">
        <f t="shared" si="649"/>
        <v/>
      </c>
      <c r="U916" s="24" t="str">
        <f t="shared" si="650"/>
        <v/>
      </c>
      <c r="V916" s="24" t="str">
        <f t="shared" si="651"/>
        <v/>
      </c>
      <c r="W916" s="23" t="str">
        <f t="array" ref="W916">IFERROR(SMALL(IF(S$1:S$1000="BEGIN",ROW(S$1:S$1000)),ROW()-3),"")</f>
        <v/>
      </c>
      <c r="X916" s="23" t="str">
        <f t="array" ref="X916">IFERROR(SMALL(IF(T$1:T$1000="END",ROW(T$1:T$1000)),ROW()-3),"")</f>
        <v/>
      </c>
      <c r="Y916" s="33" t="str">
        <f t="array" ref="Y916">IF(ISNUMBER(W916),MAX(IF((B$4:B$1000&lt;=X916)*(B$4:B$1000&gt;=W916),I$4:I$1000, "")),"")</f>
        <v/>
      </c>
      <c r="Z916" s="33" t="str">
        <f t="shared" si="636"/>
        <v/>
      </c>
      <c r="AA916" s="32" t="str">
        <f t="shared" si="637"/>
        <v/>
      </c>
      <c r="AB916" s="32" t="str">
        <f t="shared" si="638"/>
        <v/>
      </c>
      <c r="AC916" s="32" t="str">
        <f t="shared" si="639"/>
        <v/>
      </c>
      <c r="AD916" s="32" t="str">
        <f t="shared" si="640"/>
        <v/>
      </c>
      <c r="AE916" s="34" t="str">
        <f t="shared" si="641"/>
        <v/>
      </c>
      <c r="AF916" s="32" t="str">
        <f t="shared" si="642"/>
        <v/>
      </c>
      <c r="AG916" s="32" t="str">
        <f t="shared" si="643"/>
        <v/>
      </c>
      <c r="AH916" s="32" t="str">
        <f t="shared" si="644"/>
        <v/>
      </c>
      <c r="AI916" s="35" t="str">
        <f t="shared" si="645"/>
        <v/>
      </c>
      <c r="AJ916" s="23" t="str">
        <f t="array" ref="AJ916">IFERROR(SMALL(IF(U$1:U$1000="BEGIN",ROW(U$1:U$1000)),ROW()-3),"")</f>
        <v/>
      </c>
      <c r="AK916" s="23" t="str">
        <f t="array" ref="AK916">IFERROR(SMALL(IF(V$1:V$1000="END",ROW(V$1:V$1000)),ROW()-3),"")</f>
        <v/>
      </c>
      <c r="AL916" s="24" t="str">
        <f t="array" ref="AL916">IF(AK916="","",MATCH(AM916,L:L,0))</f>
        <v/>
      </c>
      <c r="AM916" s="35">
        <f t="array" ref="AM916">MAX(IF((B$4:B$1000&lt;=AK916)*(B$4:B$1000&gt;=AJ916),L$4:L$1000, ""))</f>
        <v>0</v>
      </c>
      <c r="AN916" s="32" t="str">
        <f t="shared" si="652"/>
        <v/>
      </c>
      <c r="AO916" s="32" t="str">
        <f t="shared" si="653"/>
        <v/>
      </c>
      <c r="AP916" s="32" t="str">
        <f t="shared" si="654"/>
        <v/>
      </c>
      <c r="AQ916" s="32" t="str">
        <f t="shared" si="655"/>
        <v/>
      </c>
      <c r="AR916" s="32" t="str">
        <f t="shared" si="656"/>
        <v/>
      </c>
      <c r="AS916" s="32" t="str">
        <f t="shared" si="657"/>
        <v/>
      </c>
      <c r="AT916" s="32" t="str">
        <f t="shared" si="658"/>
        <v/>
      </c>
      <c r="AU916" s="34" t="str">
        <f t="shared" si="659"/>
        <v/>
      </c>
      <c r="AV916" s="32" t="str">
        <f t="shared" si="660"/>
        <v/>
      </c>
      <c r="AW916" s="32" t="str">
        <f t="shared" si="661"/>
        <v/>
      </c>
      <c r="AX916" s="32" t="str">
        <f t="shared" si="662"/>
        <v/>
      </c>
      <c r="AY916" s="32" t="str">
        <f t="shared" si="663"/>
        <v/>
      </c>
    </row>
    <row r="917" spans="1:51" x14ac:dyDescent="0.25">
      <c r="A917" s="24" t="str">
        <f t="shared" si="621"/>
        <v/>
      </c>
      <c r="B917" s="24" t="str">
        <f t="shared" si="631"/>
        <v/>
      </c>
      <c r="C917" s="32" t="str">
        <f t="shared" si="622"/>
        <v/>
      </c>
      <c r="D917" s="24" t="str">
        <f t="shared" si="623"/>
        <v/>
      </c>
      <c r="E917" s="24" t="str">
        <f t="shared" si="624"/>
        <v/>
      </c>
      <c r="F917" s="32" t="str">
        <f t="shared" si="625"/>
        <v/>
      </c>
      <c r="G917" s="32" t="str">
        <f t="shared" si="626"/>
        <v/>
      </c>
      <c r="H917" s="32" t="str">
        <f t="shared" ca="1" si="627"/>
        <v/>
      </c>
      <c r="I917" s="32" t="str">
        <f t="shared" ca="1" si="632"/>
        <v/>
      </c>
      <c r="J917" s="32" t="str">
        <f t="shared" si="628"/>
        <v/>
      </c>
      <c r="K917" s="32" t="str">
        <f>IF(ISNUMBER(A917),Profile!$V$25+Profile!$V$24*'Ri-Po'!C917,"")</f>
        <v/>
      </c>
      <c r="L917" s="32" t="str">
        <f t="shared" si="633"/>
        <v/>
      </c>
      <c r="M917" s="32" t="str">
        <f t="shared" si="629"/>
        <v/>
      </c>
      <c r="N917" s="32" t="str">
        <f t="shared" si="630"/>
        <v/>
      </c>
      <c r="O917" s="32" t="str">
        <f t="shared" si="646"/>
        <v/>
      </c>
      <c r="P917" s="32" t="str">
        <f t="shared" si="634"/>
        <v/>
      </c>
      <c r="Q917" s="32" t="str">
        <f t="shared" si="635"/>
        <v/>
      </c>
      <c r="R917" s="32" t="str">
        <f t="shared" si="647"/>
        <v/>
      </c>
      <c r="S917" s="24" t="str">
        <f t="shared" si="648"/>
        <v/>
      </c>
      <c r="T917" s="24" t="str">
        <f t="shared" si="649"/>
        <v/>
      </c>
      <c r="U917" s="24" t="str">
        <f t="shared" si="650"/>
        <v/>
      </c>
      <c r="V917" s="24" t="str">
        <f t="shared" si="651"/>
        <v/>
      </c>
      <c r="W917" s="23" t="str">
        <f t="array" ref="W917">IFERROR(SMALL(IF(S$1:S$1000="BEGIN",ROW(S$1:S$1000)),ROW()-3),"")</f>
        <v/>
      </c>
      <c r="X917" s="23" t="str">
        <f t="array" ref="X917">IFERROR(SMALL(IF(T$1:T$1000="END",ROW(T$1:T$1000)),ROW()-3),"")</f>
        <v/>
      </c>
      <c r="Y917" s="33" t="str">
        <f t="array" ref="Y917">IF(ISNUMBER(W917),MAX(IF((B$4:B$1000&lt;=X917)*(B$4:B$1000&gt;=W917),I$4:I$1000, "")),"")</f>
        <v/>
      </c>
      <c r="Z917" s="33" t="str">
        <f t="shared" si="636"/>
        <v/>
      </c>
      <c r="AA917" s="32" t="str">
        <f t="shared" si="637"/>
        <v/>
      </c>
      <c r="AB917" s="32" t="str">
        <f t="shared" si="638"/>
        <v/>
      </c>
      <c r="AC917" s="32" t="str">
        <f t="shared" si="639"/>
        <v/>
      </c>
      <c r="AD917" s="32" t="str">
        <f t="shared" si="640"/>
        <v/>
      </c>
      <c r="AE917" s="34" t="str">
        <f t="shared" si="641"/>
        <v/>
      </c>
      <c r="AF917" s="32" t="str">
        <f t="shared" si="642"/>
        <v/>
      </c>
      <c r="AG917" s="32" t="str">
        <f t="shared" si="643"/>
        <v/>
      </c>
      <c r="AH917" s="32" t="str">
        <f t="shared" si="644"/>
        <v/>
      </c>
      <c r="AI917" s="35" t="str">
        <f t="shared" si="645"/>
        <v/>
      </c>
      <c r="AJ917" s="23" t="str">
        <f t="array" ref="AJ917">IFERROR(SMALL(IF(U$1:U$1000="BEGIN",ROW(U$1:U$1000)),ROW()-3),"")</f>
        <v/>
      </c>
      <c r="AK917" s="23" t="str">
        <f t="array" ref="AK917">IFERROR(SMALL(IF(V$1:V$1000="END",ROW(V$1:V$1000)),ROW()-3),"")</f>
        <v/>
      </c>
      <c r="AL917" s="24" t="str">
        <f t="array" ref="AL917">IF(AK917="","",MATCH(AM917,L:L,0))</f>
        <v/>
      </c>
      <c r="AM917" s="35">
        <f t="array" ref="AM917">MAX(IF((B$4:B$1000&lt;=AK917)*(B$4:B$1000&gt;=AJ917),L$4:L$1000, ""))</f>
        <v>0</v>
      </c>
      <c r="AN917" s="32" t="str">
        <f t="shared" si="652"/>
        <v/>
      </c>
      <c r="AO917" s="32" t="str">
        <f t="shared" si="653"/>
        <v/>
      </c>
      <c r="AP917" s="32" t="str">
        <f t="shared" si="654"/>
        <v/>
      </c>
      <c r="AQ917" s="32" t="str">
        <f t="shared" si="655"/>
        <v/>
      </c>
      <c r="AR917" s="32" t="str">
        <f t="shared" si="656"/>
        <v/>
      </c>
      <c r="AS917" s="32" t="str">
        <f t="shared" si="657"/>
        <v/>
      </c>
      <c r="AT917" s="32" t="str">
        <f t="shared" si="658"/>
        <v/>
      </c>
      <c r="AU917" s="34" t="str">
        <f t="shared" si="659"/>
        <v/>
      </c>
      <c r="AV917" s="32" t="str">
        <f t="shared" si="660"/>
        <v/>
      </c>
      <c r="AW917" s="32" t="str">
        <f t="shared" si="661"/>
        <v/>
      </c>
      <c r="AX917" s="32" t="str">
        <f t="shared" si="662"/>
        <v/>
      </c>
      <c r="AY917" s="32" t="str">
        <f t="shared" si="663"/>
        <v/>
      </c>
    </row>
    <row r="918" spans="1:51" x14ac:dyDescent="0.25">
      <c r="A918" s="24" t="str">
        <f t="shared" si="621"/>
        <v/>
      </c>
      <c r="B918" s="24" t="str">
        <f t="shared" si="631"/>
        <v/>
      </c>
      <c r="C918" s="32" t="str">
        <f t="shared" si="622"/>
        <v/>
      </c>
      <c r="D918" s="24" t="str">
        <f t="shared" si="623"/>
        <v/>
      </c>
      <c r="E918" s="24" t="str">
        <f t="shared" si="624"/>
        <v/>
      </c>
      <c r="F918" s="32" t="str">
        <f t="shared" si="625"/>
        <v/>
      </c>
      <c r="G918" s="32" t="str">
        <f t="shared" si="626"/>
        <v/>
      </c>
      <c r="H918" s="32" t="str">
        <f t="shared" ca="1" si="627"/>
        <v/>
      </c>
      <c r="I918" s="32" t="str">
        <f t="shared" ca="1" si="632"/>
        <v/>
      </c>
      <c r="J918" s="32" t="str">
        <f t="shared" si="628"/>
        <v/>
      </c>
      <c r="K918" s="32" t="str">
        <f>IF(ISNUMBER(A918),Profile!$V$25+Profile!$V$24*'Ri-Po'!C918,"")</f>
        <v/>
      </c>
      <c r="L918" s="32" t="str">
        <f t="shared" si="633"/>
        <v/>
      </c>
      <c r="M918" s="32" t="str">
        <f t="shared" si="629"/>
        <v/>
      </c>
      <c r="N918" s="32" t="str">
        <f t="shared" si="630"/>
        <v/>
      </c>
      <c r="O918" s="32" t="str">
        <f t="shared" si="646"/>
        <v/>
      </c>
      <c r="P918" s="32" t="str">
        <f t="shared" si="634"/>
        <v/>
      </c>
      <c r="Q918" s="32" t="str">
        <f t="shared" si="635"/>
        <v/>
      </c>
      <c r="R918" s="32" t="str">
        <f t="shared" si="647"/>
        <v/>
      </c>
      <c r="S918" s="24" t="str">
        <f t="shared" si="648"/>
        <v/>
      </c>
      <c r="T918" s="24" t="str">
        <f t="shared" si="649"/>
        <v/>
      </c>
      <c r="U918" s="24" t="str">
        <f t="shared" si="650"/>
        <v/>
      </c>
      <c r="V918" s="24" t="str">
        <f t="shared" si="651"/>
        <v/>
      </c>
      <c r="W918" s="23" t="str">
        <f t="array" ref="W918">IFERROR(SMALL(IF(S$1:S$1000="BEGIN",ROW(S$1:S$1000)),ROW()-3),"")</f>
        <v/>
      </c>
      <c r="X918" s="23" t="str">
        <f t="array" ref="X918">IFERROR(SMALL(IF(T$1:T$1000="END",ROW(T$1:T$1000)),ROW()-3),"")</f>
        <v/>
      </c>
      <c r="Y918" s="33" t="str">
        <f t="array" ref="Y918">IF(ISNUMBER(W918),MAX(IF((B$4:B$1000&lt;=X918)*(B$4:B$1000&gt;=W918),I$4:I$1000, "")),"")</f>
        <v/>
      </c>
      <c r="Z918" s="33" t="str">
        <f t="shared" si="636"/>
        <v/>
      </c>
      <c r="AA918" s="32" t="str">
        <f t="shared" si="637"/>
        <v/>
      </c>
      <c r="AB918" s="32" t="str">
        <f t="shared" si="638"/>
        <v/>
      </c>
      <c r="AC918" s="32" t="str">
        <f t="shared" si="639"/>
        <v/>
      </c>
      <c r="AD918" s="32" t="str">
        <f t="shared" si="640"/>
        <v/>
      </c>
      <c r="AE918" s="34" t="str">
        <f t="shared" si="641"/>
        <v/>
      </c>
      <c r="AF918" s="32" t="str">
        <f t="shared" si="642"/>
        <v/>
      </c>
      <c r="AG918" s="32" t="str">
        <f t="shared" si="643"/>
        <v/>
      </c>
      <c r="AH918" s="32" t="str">
        <f t="shared" si="644"/>
        <v/>
      </c>
      <c r="AI918" s="35" t="str">
        <f t="shared" si="645"/>
        <v/>
      </c>
      <c r="AJ918" s="23" t="str">
        <f t="array" ref="AJ918">IFERROR(SMALL(IF(U$1:U$1000="BEGIN",ROW(U$1:U$1000)),ROW()-3),"")</f>
        <v/>
      </c>
      <c r="AK918" s="23" t="str">
        <f t="array" ref="AK918">IFERROR(SMALL(IF(V$1:V$1000="END",ROW(V$1:V$1000)),ROW()-3),"")</f>
        <v/>
      </c>
      <c r="AL918" s="24" t="str">
        <f t="array" ref="AL918">IF(AK918="","",MATCH(AM918,L:L,0))</f>
        <v/>
      </c>
      <c r="AM918" s="35">
        <f t="array" ref="AM918">MAX(IF((B$4:B$1000&lt;=AK918)*(B$4:B$1000&gt;=AJ918),L$4:L$1000, ""))</f>
        <v>0</v>
      </c>
      <c r="AN918" s="32" t="str">
        <f t="shared" si="652"/>
        <v/>
      </c>
      <c r="AO918" s="32" t="str">
        <f t="shared" si="653"/>
        <v/>
      </c>
      <c r="AP918" s="32" t="str">
        <f t="shared" si="654"/>
        <v/>
      </c>
      <c r="AQ918" s="32" t="str">
        <f t="shared" si="655"/>
        <v/>
      </c>
      <c r="AR918" s="32" t="str">
        <f t="shared" si="656"/>
        <v/>
      </c>
      <c r="AS918" s="32" t="str">
        <f t="shared" si="657"/>
        <v/>
      </c>
      <c r="AT918" s="32" t="str">
        <f t="shared" si="658"/>
        <v/>
      </c>
      <c r="AU918" s="34" t="str">
        <f t="shared" si="659"/>
        <v/>
      </c>
      <c r="AV918" s="32" t="str">
        <f t="shared" si="660"/>
        <v/>
      </c>
      <c r="AW918" s="32" t="str">
        <f t="shared" si="661"/>
        <v/>
      </c>
      <c r="AX918" s="32" t="str">
        <f t="shared" si="662"/>
        <v/>
      </c>
      <c r="AY918" s="32" t="str">
        <f t="shared" si="663"/>
        <v/>
      </c>
    </row>
    <row r="919" spans="1:51" x14ac:dyDescent="0.25">
      <c r="A919" s="24" t="str">
        <f t="shared" si="621"/>
        <v/>
      </c>
      <c r="B919" s="24" t="str">
        <f t="shared" si="631"/>
        <v/>
      </c>
      <c r="C919" s="32" t="str">
        <f t="shared" si="622"/>
        <v/>
      </c>
      <c r="D919" s="24" t="str">
        <f t="shared" si="623"/>
        <v/>
      </c>
      <c r="E919" s="24" t="str">
        <f t="shared" si="624"/>
        <v/>
      </c>
      <c r="F919" s="32" t="str">
        <f t="shared" si="625"/>
        <v/>
      </c>
      <c r="G919" s="32" t="str">
        <f t="shared" si="626"/>
        <v/>
      </c>
      <c r="H919" s="32" t="str">
        <f t="shared" ca="1" si="627"/>
        <v/>
      </c>
      <c r="I919" s="32" t="str">
        <f t="shared" ca="1" si="632"/>
        <v/>
      </c>
      <c r="J919" s="32" t="str">
        <f t="shared" si="628"/>
        <v/>
      </c>
      <c r="K919" s="32" t="str">
        <f>IF(ISNUMBER(A919),Profile!$V$25+Profile!$V$24*'Ri-Po'!C919,"")</f>
        <v/>
      </c>
      <c r="L919" s="32" t="str">
        <f t="shared" si="633"/>
        <v/>
      </c>
      <c r="M919" s="32" t="str">
        <f t="shared" si="629"/>
        <v/>
      </c>
      <c r="N919" s="32" t="str">
        <f t="shared" si="630"/>
        <v/>
      </c>
      <c r="O919" s="32" t="str">
        <f t="shared" si="646"/>
        <v/>
      </c>
      <c r="P919" s="32" t="str">
        <f t="shared" si="634"/>
        <v/>
      </c>
      <c r="Q919" s="32" t="str">
        <f t="shared" si="635"/>
        <v/>
      </c>
      <c r="R919" s="32" t="str">
        <f t="shared" si="647"/>
        <v/>
      </c>
      <c r="S919" s="24" t="str">
        <f t="shared" si="648"/>
        <v/>
      </c>
      <c r="T919" s="24" t="str">
        <f t="shared" si="649"/>
        <v/>
      </c>
      <c r="U919" s="24" t="str">
        <f t="shared" si="650"/>
        <v/>
      </c>
      <c r="V919" s="24" t="str">
        <f t="shared" si="651"/>
        <v/>
      </c>
      <c r="W919" s="23" t="str">
        <f t="array" ref="W919">IFERROR(SMALL(IF(S$1:S$1000="BEGIN",ROW(S$1:S$1000)),ROW()-3),"")</f>
        <v/>
      </c>
      <c r="X919" s="23" t="str">
        <f t="array" ref="X919">IFERROR(SMALL(IF(T$1:T$1000="END",ROW(T$1:T$1000)),ROW()-3),"")</f>
        <v/>
      </c>
      <c r="Y919" s="33" t="str">
        <f t="array" ref="Y919">IF(ISNUMBER(W919),MAX(IF((B$4:B$1000&lt;=X919)*(B$4:B$1000&gt;=W919),I$4:I$1000, "")),"")</f>
        <v/>
      </c>
      <c r="Z919" s="33" t="str">
        <f t="shared" si="636"/>
        <v/>
      </c>
      <c r="AA919" s="32" t="str">
        <f t="shared" si="637"/>
        <v/>
      </c>
      <c r="AB919" s="32" t="str">
        <f t="shared" si="638"/>
        <v/>
      </c>
      <c r="AC919" s="32" t="str">
        <f t="shared" si="639"/>
        <v/>
      </c>
      <c r="AD919" s="32" t="str">
        <f t="shared" si="640"/>
        <v/>
      </c>
      <c r="AE919" s="34" t="str">
        <f t="shared" si="641"/>
        <v/>
      </c>
      <c r="AF919" s="32" t="str">
        <f t="shared" si="642"/>
        <v/>
      </c>
      <c r="AG919" s="32" t="str">
        <f t="shared" si="643"/>
        <v/>
      </c>
      <c r="AH919" s="32" t="str">
        <f t="shared" si="644"/>
        <v/>
      </c>
      <c r="AI919" s="35" t="str">
        <f t="shared" si="645"/>
        <v/>
      </c>
      <c r="AJ919" s="23" t="str">
        <f t="array" ref="AJ919">IFERROR(SMALL(IF(U$1:U$1000="BEGIN",ROW(U$1:U$1000)),ROW()-3),"")</f>
        <v/>
      </c>
      <c r="AK919" s="23" t="str">
        <f t="array" ref="AK919">IFERROR(SMALL(IF(V$1:V$1000="END",ROW(V$1:V$1000)),ROW()-3),"")</f>
        <v/>
      </c>
      <c r="AL919" s="24" t="str">
        <f t="array" ref="AL919">IF(AK919="","",MATCH(AM919,L:L,0))</f>
        <v/>
      </c>
      <c r="AM919" s="35">
        <f t="array" ref="AM919">MAX(IF((B$4:B$1000&lt;=AK919)*(B$4:B$1000&gt;=AJ919),L$4:L$1000, ""))</f>
        <v>0</v>
      </c>
      <c r="AN919" s="32" t="str">
        <f t="shared" si="652"/>
        <v/>
      </c>
      <c r="AO919" s="32" t="str">
        <f t="shared" si="653"/>
        <v/>
      </c>
      <c r="AP919" s="32" t="str">
        <f t="shared" si="654"/>
        <v/>
      </c>
      <c r="AQ919" s="32" t="str">
        <f t="shared" si="655"/>
        <v/>
      </c>
      <c r="AR919" s="32" t="str">
        <f t="shared" si="656"/>
        <v/>
      </c>
      <c r="AS919" s="32" t="str">
        <f t="shared" si="657"/>
        <v/>
      </c>
      <c r="AT919" s="32" t="str">
        <f t="shared" si="658"/>
        <v/>
      </c>
      <c r="AU919" s="34" t="str">
        <f t="shared" si="659"/>
        <v/>
      </c>
      <c r="AV919" s="32" t="str">
        <f t="shared" si="660"/>
        <v/>
      </c>
      <c r="AW919" s="32" t="str">
        <f t="shared" si="661"/>
        <v/>
      </c>
      <c r="AX919" s="32" t="str">
        <f t="shared" si="662"/>
        <v/>
      </c>
      <c r="AY919" s="32" t="str">
        <f t="shared" si="663"/>
        <v/>
      </c>
    </row>
    <row r="920" spans="1:51" x14ac:dyDescent="0.25">
      <c r="A920" s="24" t="str">
        <f t="shared" si="621"/>
        <v/>
      </c>
      <c r="B920" s="24" t="str">
        <f t="shared" si="631"/>
        <v/>
      </c>
      <c r="C920" s="32" t="str">
        <f t="shared" si="622"/>
        <v/>
      </c>
      <c r="D920" s="24" t="str">
        <f t="shared" si="623"/>
        <v/>
      </c>
      <c r="E920" s="24" t="str">
        <f t="shared" si="624"/>
        <v/>
      </c>
      <c r="F920" s="32" t="str">
        <f t="shared" si="625"/>
        <v/>
      </c>
      <c r="G920" s="32" t="str">
        <f t="shared" si="626"/>
        <v/>
      </c>
      <c r="H920" s="32" t="str">
        <f t="shared" ca="1" si="627"/>
        <v/>
      </c>
      <c r="I920" s="32" t="str">
        <f t="shared" ca="1" si="632"/>
        <v/>
      </c>
      <c r="J920" s="32" t="str">
        <f t="shared" si="628"/>
        <v/>
      </c>
      <c r="K920" s="32" t="str">
        <f>IF(ISNUMBER(A920),Profile!$V$25+Profile!$V$24*'Ri-Po'!C920,"")</f>
        <v/>
      </c>
      <c r="L920" s="32" t="str">
        <f t="shared" si="633"/>
        <v/>
      </c>
      <c r="M920" s="32" t="str">
        <f t="shared" si="629"/>
        <v/>
      </c>
      <c r="N920" s="32" t="str">
        <f t="shared" si="630"/>
        <v/>
      </c>
      <c r="O920" s="32" t="str">
        <f t="shared" si="646"/>
        <v/>
      </c>
      <c r="P920" s="32" t="str">
        <f t="shared" si="634"/>
        <v/>
      </c>
      <c r="Q920" s="32" t="str">
        <f t="shared" si="635"/>
        <v/>
      </c>
      <c r="R920" s="32" t="str">
        <f t="shared" si="647"/>
        <v/>
      </c>
      <c r="S920" s="24" t="str">
        <f t="shared" si="648"/>
        <v/>
      </c>
      <c r="T920" s="24" t="str">
        <f t="shared" si="649"/>
        <v/>
      </c>
      <c r="U920" s="24" t="str">
        <f t="shared" si="650"/>
        <v/>
      </c>
      <c r="V920" s="24" t="str">
        <f t="shared" si="651"/>
        <v/>
      </c>
      <c r="W920" s="23" t="str">
        <f t="array" ref="W920">IFERROR(SMALL(IF(S$1:S$1000="BEGIN",ROW(S$1:S$1000)),ROW()-3),"")</f>
        <v/>
      </c>
      <c r="X920" s="23" t="str">
        <f t="array" ref="X920">IFERROR(SMALL(IF(T$1:T$1000="END",ROW(T$1:T$1000)),ROW()-3),"")</f>
        <v/>
      </c>
      <c r="Y920" s="33" t="str">
        <f t="array" ref="Y920">IF(ISNUMBER(W920),MAX(IF((B$4:B$1000&lt;=X920)*(B$4:B$1000&gt;=W920),I$4:I$1000, "")),"")</f>
        <v/>
      </c>
      <c r="Z920" s="33" t="str">
        <f t="shared" si="636"/>
        <v/>
      </c>
      <c r="AA920" s="32" t="str">
        <f t="shared" si="637"/>
        <v/>
      </c>
      <c r="AB920" s="32" t="str">
        <f t="shared" si="638"/>
        <v/>
      </c>
      <c r="AC920" s="32" t="str">
        <f t="shared" si="639"/>
        <v/>
      </c>
      <c r="AD920" s="32" t="str">
        <f t="shared" si="640"/>
        <v/>
      </c>
      <c r="AE920" s="34" t="str">
        <f t="shared" si="641"/>
        <v/>
      </c>
      <c r="AF920" s="32" t="str">
        <f t="shared" si="642"/>
        <v/>
      </c>
      <c r="AG920" s="32" t="str">
        <f t="shared" si="643"/>
        <v/>
      </c>
      <c r="AH920" s="32" t="str">
        <f t="shared" si="644"/>
        <v/>
      </c>
      <c r="AI920" s="35" t="str">
        <f t="shared" si="645"/>
        <v/>
      </c>
      <c r="AJ920" s="23" t="str">
        <f t="array" ref="AJ920">IFERROR(SMALL(IF(U$1:U$1000="BEGIN",ROW(U$1:U$1000)),ROW()-3),"")</f>
        <v/>
      </c>
      <c r="AK920" s="23" t="str">
        <f t="array" ref="AK920">IFERROR(SMALL(IF(V$1:V$1000="END",ROW(V$1:V$1000)),ROW()-3),"")</f>
        <v/>
      </c>
      <c r="AL920" s="24" t="str">
        <f t="array" ref="AL920">IF(AK920="","",MATCH(AM920,L:L,0))</f>
        <v/>
      </c>
      <c r="AM920" s="35">
        <f t="array" ref="AM920">MAX(IF((B$4:B$1000&lt;=AK920)*(B$4:B$1000&gt;=AJ920),L$4:L$1000, ""))</f>
        <v>0</v>
      </c>
      <c r="AN920" s="32" t="str">
        <f t="shared" si="652"/>
        <v/>
      </c>
      <c r="AO920" s="32" t="str">
        <f t="shared" si="653"/>
        <v/>
      </c>
      <c r="AP920" s="32" t="str">
        <f t="shared" si="654"/>
        <v/>
      </c>
      <c r="AQ920" s="32" t="str">
        <f t="shared" si="655"/>
        <v/>
      </c>
      <c r="AR920" s="32" t="str">
        <f t="shared" si="656"/>
        <v/>
      </c>
      <c r="AS920" s="32" t="str">
        <f t="shared" si="657"/>
        <v/>
      </c>
      <c r="AT920" s="32" t="str">
        <f t="shared" si="658"/>
        <v/>
      </c>
      <c r="AU920" s="34" t="str">
        <f t="shared" si="659"/>
        <v/>
      </c>
      <c r="AV920" s="32" t="str">
        <f t="shared" si="660"/>
        <v/>
      </c>
      <c r="AW920" s="32" t="str">
        <f t="shared" si="661"/>
        <v/>
      </c>
      <c r="AX920" s="32" t="str">
        <f t="shared" si="662"/>
        <v/>
      </c>
      <c r="AY920" s="32" t="str">
        <f t="shared" si="663"/>
        <v/>
      </c>
    </row>
    <row r="921" spans="1:51" x14ac:dyDescent="0.25">
      <c r="A921" s="24" t="str">
        <f t="shared" si="621"/>
        <v/>
      </c>
      <c r="B921" s="24" t="str">
        <f t="shared" si="631"/>
        <v/>
      </c>
      <c r="C921" s="32" t="str">
        <f t="shared" si="622"/>
        <v/>
      </c>
      <c r="D921" s="24" t="str">
        <f t="shared" si="623"/>
        <v/>
      </c>
      <c r="E921" s="24" t="str">
        <f t="shared" si="624"/>
        <v/>
      </c>
      <c r="F921" s="32" t="str">
        <f t="shared" si="625"/>
        <v/>
      </c>
      <c r="G921" s="32" t="str">
        <f t="shared" si="626"/>
        <v/>
      </c>
      <c r="H921" s="32" t="str">
        <f t="shared" ca="1" si="627"/>
        <v/>
      </c>
      <c r="I921" s="32" t="str">
        <f t="shared" ca="1" si="632"/>
        <v/>
      </c>
      <c r="J921" s="32" t="str">
        <f t="shared" si="628"/>
        <v/>
      </c>
      <c r="K921" s="32" t="str">
        <f>IF(ISNUMBER(A921),Profile!$V$25+Profile!$V$24*'Ri-Po'!C921,"")</f>
        <v/>
      </c>
      <c r="L921" s="32" t="str">
        <f t="shared" si="633"/>
        <v/>
      </c>
      <c r="M921" s="32" t="str">
        <f t="shared" si="629"/>
        <v/>
      </c>
      <c r="N921" s="32" t="str">
        <f t="shared" si="630"/>
        <v/>
      </c>
      <c r="O921" s="32" t="str">
        <f t="shared" si="646"/>
        <v/>
      </c>
      <c r="P921" s="32" t="str">
        <f t="shared" si="634"/>
        <v/>
      </c>
      <c r="Q921" s="32" t="str">
        <f t="shared" si="635"/>
        <v/>
      </c>
      <c r="R921" s="32" t="str">
        <f t="shared" si="647"/>
        <v/>
      </c>
      <c r="S921" s="24" t="str">
        <f t="shared" si="648"/>
        <v/>
      </c>
      <c r="T921" s="24" t="str">
        <f t="shared" si="649"/>
        <v/>
      </c>
      <c r="U921" s="24" t="str">
        <f t="shared" si="650"/>
        <v/>
      </c>
      <c r="V921" s="24" t="str">
        <f t="shared" si="651"/>
        <v/>
      </c>
      <c r="W921" s="23" t="str">
        <f t="array" ref="W921">IFERROR(SMALL(IF(S$1:S$1000="BEGIN",ROW(S$1:S$1000)),ROW()-3),"")</f>
        <v/>
      </c>
      <c r="X921" s="23" t="str">
        <f t="array" ref="X921">IFERROR(SMALL(IF(T$1:T$1000="END",ROW(T$1:T$1000)),ROW()-3),"")</f>
        <v/>
      </c>
      <c r="Y921" s="33" t="str">
        <f t="array" ref="Y921">IF(ISNUMBER(W921),MAX(IF((B$4:B$1000&lt;=X921)*(B$4:B$1000&gt;=W921),I$4:I$1000, "")),"")</f>
        <v/>
      </c>
      <c r="Z921" s="33" t="str">
        <f t="shared" si="636"/>
        <v/>
      </c>
      <c r="AA921" s="32" t="str">
        <f t="shared" si="637"/>
        <v/>
      </c>
      <c r="AB921" s="32" t="str">
        <f t="shared" si="638"/>
        <v/>
      </c>
      <c r="AC921" s="32" t="str">
        <f t="shared" si="639"/>
        <v/>
      </c>
      <c r="AD921" s="32" t="str">
        <f t="shared" si="640"/>
        <v/>
      </c>
      <c r="AE921" s="34" t="str">
        <f t="shared" si="641"/>
        <v/>
      </c>
      <c r="AF921" s="32" t="str">
        <f t="shared" si="642"/>
        <v/>
      </c>
      <c r="AG921" s="32" t="str">
        <f t="shared" si="643"/>
        <v/>
      </c>
      <c r="AH921" s="32" t="str">
        <f t="shared" si="644"/>
        <v/>
      </c>
      <c r="AI921" s="35" t="str">
        <f t="shared" si="645"/>
        <v/>
      </c>
      <c r="AJ921" s="23" t="str">
        <f t="array" ref="AJ921">IFERROR(SMALL(IF(U$1:U$1000="BEGIN",ROW(U$1:U$1000)),ROW()-3),"")</f>
        <v/>
      </c>
      <c r="AK921" s="23" t="str">
        <f t="array" ref="AK921">IFERROR(SMALL(IF(V$1:V$1000="END",ROW(V$1:V$1000)),ROW()-3),"")</f>
        <v/>
      </c>
      <c r="AL921" s="24" t="str">
        <f t="array" ref="AL921">IF(AK921="","",MATCH(AM921,L:L,0))</f>
        <v/>
      </c>
      <c r="AM921" s="35">
        <f t="array" ref="AM921">MAX(IF((B$4:B$1000&lt;=AK921)*(B$4:B$1000&gt;=AJ921),L$4:L$1000, ""))</f>
        <v>0</v>
      </c>
      <c r="AN921" s="32" t="str">
        <f t="shared" si="652"/>
        <v/>
      </c>
      <c r="AO921" s="32" t="str">
        <f t="shared" si="653"/>
        <v/>
      </c>
      <c r="AP921" s="32" t="str">
        <f t="shared" si="654"/>
        <v/>
      </c>
      <c r="AQ921" s="32" t="str">
        <f t="shared" si="655"/>
        <v/>
      </c>
      <c r="AR921" s="32" t="str">
        <f t="shared" si="656"/>
        <v/>
      </c>
      <c r="AS921" s="32" t="str">
        <f t="shared" si="657"/>
        <v/>
      </c>
      <c r="AT921" s="32" t="str">
        <f t="shared" si="658"/>
        <v/>
      </c>
      <c r="AU921" s="34" t="str">
        <f t="shared" si="659"/>
        <v/>
      </c>
      <c r="AV921" s="32" t="str">
        <f t="shared" si="660"/>
        <v/>
      </c>
      <c r="AW921" s="32" t="str">
        <f t="shared" si="661"/>
        <v/>
      </c>
      <c r="AX921" s="32" t="str">
        <f t="shared" si="662"/>
        <v/>
      </c>
      <c r="AY921" s="32" t="str">
        <f t="shared" si="663"/>
        <v/>
      </c>
    </row>
    <row r="922" spans="1:51" x14ac:dyDescent="0.25">
      <c r="A922" s="24" t="str">
        <f t="shared" si="621"/>
        <v/>
      </c>
      <c r="B922" s="24" t="str">
        <f t="shared" si="631"/>
        <v/>
      </c>
      <c r="C922" s="32" t="str">
        <f t="shared" si="622"/>
        <v/>
      </c>
      <c r="D922" s="24" t="str">
        <f t="shared" si="623"/>
        <v/>
      </c>
      <c r="E922" s="24" t="str">
        <f t="shared" si="624"/>
        <v/>
      </c>
      <c r="F922" s="32" t="str">
        <f t="shared" si="625"/>
        <v/>
      </c>
      <c r="G922" s="32" t="str">
        <f t="shared" si="626"/>
        <v/>
      </c>
      <c r="H922" s="32" t="str">
        <f t="shared" ca="1" si="627"/>
        <v/>
      </c>
      <c r="I922" s="32" t="str">
        <f t="shared" ca="1" si="632"/>
        <v/>
      </c>
      <c r="J922" s="32" t="str">
        <f t="shared" si="628"/>
        <v/>
      </c>
      <c r="K922" s="32" t="str">
        <f>IF(ISNUMBER(A922),Profile!$V$25+Profile!$V$24*'Ri-Po'!C922,"")</f>
        <v/>
      </c>
      <c r="L922" s="32" t="str">
        <f t="shared" si="633"/>
        <v/>
      </c>
      <c r="M922" s="32" t="str">
        <f t="shared" si="629"/>
        <v/>
      </c>
      <c r="N922" s="32" t="str">
        <f t="shared" si="630"/>
        <v/>
      </c>
      <c r="O922" s="32" t="str">
        <f t="shared" si="646"/>
        <v/>
      </c>
      <c r="P922" s="32" t="str">
        <f t="shared" si="634"/>
        <v/>
      </c>
      <c r="Q922" s="32" t="str">
        <f t="shared" si="635"/>
        <v/>
      </c>
      <c r="R922" s="32" t="str">
        <f t="shared" si="647"/>
        <v/>
      </c>
      <c r="S922" s="24" t="str">
        <f t="shared" si="648"/>
        <v/>
      </c>
      <c r="T922" s="24" t="str">
        <f t="shared" si="649"/>
        <v/>
      </c>
      <c r="U922" s="24" t="str">
        <f t="shared" si="650"/>
        <v/>
      </c>
      <c r="V922" s="24" t="str">
        <f t="shared" si="651"/>
        <v/>
      </c>
      <c r="W922" s="23" t="str">
        <f t="array" ref="W922">IFERROR(SMALL(IF(S$1:S$1000="BEGIN",ROW(S$1:S$1000)),ROW()-3),"")</f>
        <v/>
      </c>
      <c r="X922" s="23" t="str">
        <f t="array" ref="X922">IFERROR(SMALL(IF(T$1:T$1000="END",ROW(T$1:T$1000)),ROW()-3),"")</f>
        <v/>
      </c>
      <c r="Y922" s="33" t="str">
        <f t="array" ref="Y922">IF(ISNUMBER(W922),MAX(IF((B$4:B$1000&lt;=X922)*(B$4:B$1000&gt;=W922),I$4:I$1000, "")),"")</f>
        <v/>
      </c>
      <c r="Z922" s="33" t="str">
        <f t="shared" si="636"/>
        <v/>
      </c>
      <c r="AA922" s="32" t="str">
        <f t="shared" si="637"/>
        <v/>
      </c>
      <c r="AB922" s="32" t="str">
        <f t="shared" si="638"/>
        <v/>
      </c>
      <c r="AC922" s="32" t="str">
        <f t="shared" si="639"/>
        <v/>
      </c>
      <c r="AD922" s="32" t="str">
        <f t="shared" si="640"/>
        <v/>
      </c>
      <c r="AE922" s="34" t="str">
        <f t="shared" si="641"/>
        <v/>
      </c>
      <c r="AF922" s="32" t="str">
        <f t="shared" si="642"/>
        <v/>
      </c>
      <c r="AG922" s="32" t="str">
        <f t="shared" si="643"/>
        <v/>
      </c>
      <c r="AH922" s="32" t="str">
        <f t="shared" si="644"/>
        <v/>
      </c>
      <c r="AI922" s="35" t="str">
        <f t="shared" si="645"/>
        <v/>
      </c>
      <c r="AJ922" s="23" t="str">
        <f t="array" ref="AJ922">IFERROR(SMALL(IF(U$1:U$1000="BEGIN",ROW(U$1:U$1000)),ROW()-3),"")</f>
        <v/>
      </c>
      <c r="AK922" s="23" t="str">
        <f t="array" ref="AK922">IFERROR(SMALL(IF(V$1:V$1000="END",ROW(V$1:V$1000)),ROW()-3),"")</f>
        <v/>
      </c>
      <c r="AL922" s="24" t="str">
        <f t="array" ref="AL922">IF(AK922="","",MATCH(AM922,L:L,0))</f>
        <v/>
      </c>
      <c r="AM922" s="35">
        <f t="array" ref="AM922">MAX(IF((B$4:B$1000&lt;=AK922)*(B$4:B$1000&gt;=AJ922),L$4:L$1000, ""))</f>
        <v>0</v>
      </c>
      <c r="AN922" s="32" t="str">
        <f t="shared" si="652"/>
        <v/>
      </c>
      <c r="AO922" s="32" t="str">
        <f t="shared" si="653"/>
        <v/>
      </c>
      <c r="AP922" s="32" t="str">
        <f t="shared" si="654"/>
        <v/>
      </c>
      <c r="AQ922" s="32" t="str">
        <f t="shared" si="655"/>
        <v/>
      </c>
      <c r="AR922" s="32" t="str">
        <f t="shared" si="656"/>
        <v/>
      </c>
      <c r="AS922" s="32" t="str">
        <f t="shared" si="657"/>
        <v/>
      </c>
      <c r="AT922" s="32" t="str">
        <f t="shared" si="658"/>
        <v/>
      </c>
      <c r="AU922" s="34" t="str">
        <f t="shared" si="659"/>
        <v/>
      </c>
      <c r="AV922" s="32" t="str">
        <f t="shared" si="660"/>
        <v/>
      </c>
      <c r="AW922" s="32" t="str">
        <f t="shared" si="661"/>
        <v/>
      </c>
      <c r="AX922" s="32" t="str">
        <f t="shared" si="662"/>
        <v/>
      </c>
      <c r="AY922" s="32" t="str">
        <f t="shared" si="663"/>
        <v/>
      </c>
    </row>
    <row r="923" spans="1:51" x14ac:dyDescent="0.25">
      <c r="A923" s="24" t="str">
        <f t="shared" si="621"/>
        <v/>
      </c>
      <c r="B923" s="24" t="str">
        <f t="shared" si="631"/>
        <v/>
      </c>
      <c r="C923" s="32" t="str">
        <f t="shared" si="622"/>
        <v/>
      </c>
      <c r="D923" s="24" t="str">
        <f t="shared" si="623"/>
        <v/>
      </c>
      <c r="E923" s="24" t="str">
        <f t="shared" si="624"/>
        <v/>
      </c>
      <c r="F923" s="32" t="str">
        <f t="shared" si="625"/>
        <v/>
      </c>
      <c r="G923" s="32" t="str">
        <f t="shared" si="626"/>
        <v/>
      </c>
      <c r="H923" s="32" t="str">
        <f t="shared" ca="1" si="627"/>
        <v/>
      </c>
      <c r="I923" s="32" t="str">
        <f t="shared" ca="1" si="632"/>
        <v/>
      </c>
      <c r="J923" s="32" t="str">
        <f t="shared" si="628"/>
        <v/>
      </c>
      <c r="K923" s="32" t="str">
        <f>IF(ISNUMBER(A923),Profile!$V$25+Profile!$V$24*'Ri-Po'!C923,"")</f>
        <v/>
      </c>
      <c r="L923" s="32" t="str">
        <f t="shared" si="633"/>
        <v/>
      </c>
      <c r="M923" s="32" t="str">
        <f t="shared" si="629"/>
        <v/>
      </c>
      <c r="N923" s="32" t="str">
        <f t="shared" si="630"/>
        <v/>
      </c>
      <c r="O923" s="32" t="str">
        <f t="shared" si="646"/>
        <v/>
      </c>
      <c r="P923" s="32" t="str">
        <f t="shared" si="634"/>
        <v/>
      </c>
      <c r="Q923" s="32" t="str">
        <f t="shared" si="635"/>
        <v/>
      </c>
      <c r="R923" s="32" t="str">
        <f t="shared" si="647"/>
        <v/>
      </c>
      <c r="S923" s="24" t="str">
        <f t="shared" si="648"/>
        <v/>
      </c>
      <c r="T923" s="24" t="str">
        <f t="shared" si="649"/>
        <v/>
      </c>
      <c r="U923" s="24" t="str">
        <f t="shared" si="650"/>
        <v/>
      </c>
      <c r="V923" s="24" t="str">
        <f t="shared" si="651"/>
        <v/>
      </c>
      <c r="W923" s="23" t="str">
        <f t="array" ref="W923">IFERROR(SMALL(IF(S$1:S$1000="BEGIN",ROW(S$1:S$1000)),ROW()-3),"")</f>
        <v/>
      </c>
      <c r="X923" s="23" t="str">
        <f t="array" ref="X923">IFERROR(SMALL(IF(T$1:T$1000="END",ROW(T$1:T$1000)),ROW()-3),"")</f>
        <v/>
      </c>
      <c r="Y923" s="33" t="str">
        <f t="array" ref="Y923">IF(ISNUMBER(W923),MAX(IF((B$4:B$1000&lt;=X923)*(B$4:B$1000&gt;=W923),I$4:I$1000, "")),"")</f>
        <v/>
      </c>
      <c r="Z923" s="33" t="str">
        <f t="shared" si="636"/>
        <v/>
      </c>
      <c r="AA923" s="32" t="str">
        <f t="shared" si="637"/>
        <v/>
      </c>
      <c r="AB923" s="32" t="str">
        <f t="shared" si="638"/>
        <v/>
      </c>
      <c r="AC923" s="32" t="str">
        <f t="shared" si="639"/>
        <v/>
      </c>
      <c r="AD923" s="32" t="str">
        <f t="shared" si="640"/>
        <v/>
      </c>
      <c r="AE923" s="34" t="str">
        <f t="shared" si="641"/>
        <v/>
      </c>
      <c r="AF923" s="32" t="str">
        <f t="shared" si="642"/>
        <v/>
      </c>
      <c r="AG923" s="32" t="str">
        <f t="shared" si="643"/>
        <v/>
      </c>
      <c r="AH923" s="32" t="str">
        <f t="shared" si="644"/>
        <v/>
      </c>
      <c r="AI923" s="35" t="str">
        <f t="shared" si="645"/>
        <v/>
      </c>
      <c r="AJ923" s="23" t="str">
        <f t="array" ref="AJ923">IFERROR(SMALL(IF(U$1:U$1000="BEGIN",ROW(U$1:U$1000)),ROW()-3),"")</f>
        <v/>
      </c>
      <c r="AK923" s="23" t="str">
        <f t="array" ref="AK923">IFERROR(SMALL(IF(V$1:V$1000="END",ROW(V$1:V$1000)),ROW()-3),"")</f>
        <v/>
      </c>
      <c r="AL923" s="24" t="str">
        <f t="array" ref="AL923">IF(AK923="","",MATCH(AM923,L:L,0))</f>
        <v/>
      </c>
      <c r="AM923" s="35">
        <f t="array" ref="AM923">MAX(IF((B$4:B$1000&lt;=AK923)*(B$4:B$1000&gt;=AJ923),L$4:L$1000, ""))</f>
        <v>0</v>
      </c>
      <c r="AN923" s="32" t="str">
        <f t="shared" si="652"/>
        <v/>
      </c>
      <c r="AO923" s="32" t="str">
        <f t="shared" si="653"/>
        <v/>
      </c>
      <c r="AP923" s="32" t="str">
        <f t="shared" si="654"/>
        <v/>
      </c>
      <c r="AQ923" s="32" t="str">
        <f t="shared" si="655"/>
        <v/>
      </c>
      <c r="AR923" s="32" t="str">
        <f t="shared" si="656"/>
        <v/>
      </c>
      <c r="AS923" s="32" t="str">
        <f t="shared" si="657"/>
        <v/>
      </c>
      <c r="AT923" s="32" t="str">
        <f t="shared" si="658"/>
        <v/>
      </c>
      <c r="AU923" s="34" t="str">
        <f t="shared" si="659"/>
        <v/>
      </c>
      <c r="AV923" s="32" t="str">
        <f t="shared" si="660"/>
        <v/>
      </c>
      <c r="AW923" s="32" t="str">
        <f t="shared" si="661"/>
        <v/>
      </c>
      <c r="AX923" s="32" t="str">
        <f t="shared" si="662"/>
        <v/>
      </c>
      <c r="AY923" s="32" t="str">
        <f t="shared" si="663"/>
        <v/>
      </c>
    </row>
    <row r="924" spans="1:51" x14ac:dyDescent="0.25">
      <c r="A924" s="24" t="str">
        <f t="shared" si="621"/>
        <v/>
      </c>
      <c r="B924" s="24" t="str">
        <f t="shared" si="631"/>
        <v/>
      </c>
      <c r="C924" s="32" t="str">
        <f t="shared" si="622"/>
        <v/>
      </c>
      <c r="D924" s="24" t="str">
        <f t="shared" si="623"/>
        <v/>
      </c>
      <c r="E924" s="24" t="str">
        <f t="shared" si="624"/>
        <v/>
      </c>
      <c r="F924" s="32" t="str">
        <f t="shared" si="625"/>
        <v/>
      </c>
      <c r="G924" s="32" t="str">
        <f t="shared" si="626"/>
        <v/>
      </c>
      <c r="H924" s="32" t="str">
        <f t="shared" ca="1" si="627"/>
        <v/>
      </c>
      <c r="I924" s="32" t="str">
        <f t="shared" ca="1" si="632"/>
        <v/>
      </c>
      <c r="J924" s="32" t="str">
        <f t="shared" si="628"/>
        <v/>
      </c>
      <c r="K924" s="32" t="str">
        <f>IF(ISNUMBER(A924),Profile!$V$25+Profile!$V$24*'Ri-Po'!C924,"")</f>
        <v/>
      </c>
      <c r="L924" s="32" t="str">
        <f t="shared" si="633"/>
        <v/>
      </c>
      <c r="M924" s="32" t="str">
        <f t="shared" si="629"/>
        <v/>
      </c>
      <c r="N924" s="32" t="str">
        <f t="shared" si="630"/>
        <v/>
      </c>
      <c r="O924" s="32" t="str">
        <f t="shared" si="646"/>
        <v/>
      </c>
      <c r="P924" s="32" t="str">
        <f t="shared" si="634"/>
        <v/>
      </c>
      <c r="Q924" s="32" t="str">
        <f t="shared" si="635"/>
        <v/>
      </c>
      <c r="R924" s="32" t="str">
        <f t="shared" si="647"/>
        <v/>
      </c>
      <c r="S924" s="24" t="str">
        <f t="shared" si="648"/>
        <v/>
      </c>
      <c r="T924" s="24" t="str">
        <f t="shared" si="649"/>
        <v/>
      </c>
      <c r="U924" s="24" t="str">
        <f t="shared" si="650"/>
        <v/>
      </c>
      <c r="V924" s="24" t="str">
        <f t="shared" si="651"/>
        <v/>
      </c>
      <c r="W924" s="23" t="str">
        <f t="array" ref="W924">IFERROR(SMALL(IF(S$1:S$1000="BEGIN",ROW(S$1:S$1000)),ROW()-3),"")</f>
        <v/>
      </c>
      <c r="X924" s="23" t="str">
        <f t="array" ref="X924">IFERROR(SMALL(IF(T$1:T$1000="END",ROW(T$1:T$1000)),ROW()-3),"")</f>
        <v/>
      </c>
      <c r="Y924" s="33" t="str">
        <f t="array" ref="Y924">IF(ISNUMBER(W924),MAX(IF((B$4:B$1000&lt;=X924)*(B$4:B$1000&gt;=W924),I$4:I$1000, "")),"")</f>
        <v/>
      </c>
      <c r="Z924" s="33" t="str">
        <f t="shared" si="636"/>
        <v/>
      </c>
      <c r="AA924" s="32" t="str">
        <f t="shared" si="637"/>
        <v/>
      </c>
      <c r="AB924" s="32" t="str">
        <f t="shared" si="638"/>
        <v/>
      </c>
      <c r="AC924" s="32" t="str">
        <f t="shared" si="639"/>
        <v/>
      </c>
      <c r="AD924" s="32" t="str">
        <f t="shared" si="640"/>
        <v/>
      </c>
      <c r="AE924" s="34" t="str">
        <f t="shared" si="641"/>
        <v/>
      </c>
      <c r="AF924" s="32" t="str">
        <f t="shared" si="642"/>
        <v/>
      </c>
      <c r="AG924" s="32" t="str">
        <f t="shared" si="643"/>
        <v/>
      </c>
      <c r="AH924" s="32" t="str">
        <f t="shared" si="644"/>
        <v/>
      </c>
      <c r="AI924" s="35" t="str">
        <f t="shared" si="645"/>
        <v/>
      </c>
      <c r="AJ924" s="23" t="str">
        <f t="array" ref="AJ924">IFERROR(SMALL(IF(U$1:U$1000="BEGIN",ROW(U$1:U$1000)),ROW()-3),"")</f>
        <v/>
      </c>
      <c r="AK924" s="23" t="str">
        <f t="array" ref="AK924">IFERROR(SMALL(IF(V$1:V$1000="END",ROW(V$1:V$1000)),ROW()-3),"")</f>
        <v/>
      </c>
      <c r="AL924" s="24" t="str">
        <f t="array" ref="AL924">IF(AK924="","",MATCH(AM924,L:L,0))</f>
        <v/>
      </c>
      <c r="AM924" s="35">
        <f t="array" ref="AM924">MAX(IF((B$4:B$1000&lt;=AK924)*(B$4:B$1000&gt;=AJ924),L$4:L$1000, ""))</f>
        <v>0</v>
      </c>
      <c r="AN924" s="32" t="str">
        <f t="shared" si="652"/>
        <v/>
      </c>
      <c r="AO924" s="32" t="str">
        <f t="shared" si="653"/>
        <v/>
      </c>
      <c r="AP924" s="32" t="str">
        <f t="shared" si="654"/>
        <v/>
      </c>
      <c r="AQ924" s="32" t="str">
        <f t="shared" si="655"/>
        <v/>
      </c>
      <c r="AR924" s="32" t="str">
        <f t="shared" si="656"/>
        <v/>
      </c>
      <c r="AS924" s="32" t="str">
        <f t="shared" si="657"/>
        <v/>
      </c>
      <c r="AT924" s="32" t="str">
        <f t="shared" si="658"/>
        <v/>
      </c>
      <c r="AU924" s="34" t="str">
        <f t="shared" si="659"/>
        <v/>
      </c>
      <c r="AV924" s="32" t="str">
        <f t="shared" si="660"/>
        <v/>
      </c>
      <c r="AW924" s="32" t="str">
        <f t="shared" si="661"/>
        <v/>
      </c>
      <c r="AX924" s="32" t="str">
        <f t="shared" si="662"/>
        <v/>
      </c>
      <c r="AY924" s="32" t="str">
        <f t="shared" si="663"/>
        <v/>
      </c>
    </row>
    <row r="925" spans="1:51" x14ac:dyDescent="0.25">
      <c r="A925" s="24" t="str">
        <f t="shared" si="621"/>
        <v/>
      </c>
      <c r="B925" s="24" t="str">
        <f t="shared" si="631"/>
        <v/>
      </c>
      <c r="C925" s="32" t="str">
        <f t="shared" si="622"/>
        <v/>
      </c>
      <c r="D925" s="24" t="str">
        <f t="shared" si="623"/>
        <v/>
      </c>
      <c r="E925" s="24" t="str">
        <f t="shared" si="624"/>
        <v/>
      </c>
      <c r="F925" s="32" t="str">
        <f t="shared" si="625"/>
        <v/>
      </c>
      <c r="G925" s="32" t="str">
        <f t="shared" si="626"/>
        <v/>
      </c>
      <c r="H925" s="32" t="str">
        <f t="shared" ca="1" si="627"/>
        <v/>
      </c>
      <c r="I925" s="32" t="str">
        <f t="shared" ca="1" si="632"/>
        <v/>
      </c>
      <c r="J925" s="32" t="str">
        <f t="shared" si="628"/>
        <v/>
      </c>
      <c r="K925" s="32" t="str">
        <f>IF(ISNUMBER(A925),Profile!$V$25+Profile!$V$24*'Ri-Po'!C925,"")</f>
        <v/>
      </c>
      <c r="L925" s="32" t="str">
        <f t="shared" si="633"/>
        <v/>
      </c>
      <c r="M925" s="32" t="str">
        <f t="shared" si="629"/>
        <v/>
      </c>
      <c r="N925" s="32" t="str">
        <f t="shared" si="630"/>
        <v/>
      </c>
      <c r="O925" s="32" t="str">
        <f t="shared" si="646"/>
        <v/>
      </c>
      <c r="P925" s="32" t="str">
        <f t="shared" si="634"/>
        <v/>
      </c>
      <c r="Q925" s="32" t="str">
        <f t="shared" si="635"/>
        <v/>
      </c>
      <c r="R925" s="32" t="str">
        <f t="shared" si="647"/>
        <v/>
      </c>
      <c r="S925" s="24" t="str">
        <f t="shared" si="648"/>
        <v/>
      </c>
      <c r="T925" s="24" t="str">
        <f t="shared" si="649"/>
        <v/>
      </c>
      <c r="U925" s="24" t="str">
        <f t="shared" si="650"/>
        <v/>
      </c>
      <c r="V925" s="24" t="str">
        <f t="shared" si="651"/>
        <v/>
      </c>
      <c r="W925" s="23" t="str">
        <f t="array" ref="W925">IFERROR(SMALL(IF(S$1:S$1000="BEGIN",ROW(S$1:S$1000)),ROW()-3),"")</f>
        <v/>
      </c>
      <c r="X925" s="23" t="str">
        <f t="array" ref="X925">IFERROR(SMALL(IF(T$1:T$1000="END",ROW(T$1:T$1000)),ROW()-3),"")</f>
        <v/>
      </c>
      <c r="Y925" s="33" t="str">
        <f t="array" ref="Y925">IF(ISNUMBER(W925),MAX(IF((B$4:B$1000&lt;=X925)*(B$4:B$1000&gt;=W925),I$4:I$1000, "")),"")</f>
        <v/>
      </c>
      <c r="Z925" s="33" t="str">
        <f t="shared" si="636"/>
        <v/>
      </c>
      <c r="AA925" s="32" t="str">
        <f t="shared" si="637"/>
        <v/>
      </c>
      <c r="AB925" s="32" t="str">
        <f t="shared" si="638"/>
        <v/>
      </c>
      <c r="AC925" s="32" t="str">
        <f t="shared" si="639"/>
        <v/>
      </c>
      <c r="AD925" s="32" t="str">
        <f t="shared" si="640"/>
        <v/>
      </c>
      <c r="AE925" s="34" t="str">
        <f t="shared" si="641"/>
        <v/>
      </c>
      <c r="AF925" s="32" t="str">
        <f t="shared" si="642"/>
        <v/>
      </c>
      <c r="AG925" s="32" t="str">
        <f t="shared" si="643"/>
        <v/>
      </c>
      <c r="AH925" s="32" t="str">
        <f t="shared" si="644"/>
        <v/>
      </c>
      <c r="AI925" s="35" t="str">
        <f t="shared" si="645"/>
        <v/>
      </c>
      <c r="AJ925" s="23" t="str">
        <f t="array" ref="AJ925">IFERROR(SMALL(IF(U$1:U$1000="BEGIN",ROW(U$1:U$1000)),ROW()-3),"")</f>
        <v/>
      </c>
      <c r="AK925" s="23" t="str">
        <f t="array" ref="AK925">IFERROR(SMALL(IF(V$1:V$1000="END",ROW(V$1:V$1000)),ROW()-3),"")</f>
        <v/>
      </c>
      <c r="AL925" s="24" t="str">
        <f t="array" ref="AL925">IF(AK925="","",MATCH(AM925,L:L,0))</f>
        <v/>
      </c>
      <c r="AM925" s="35">
        <f t="array" ref="AM925">MAX(IF((B$4:B$1000&lt;=AK925)*(B$4:B$1000&gt;=AJ925),L$4:L$1000, ""))</f>
        <v>0</v>
      </c>
      <c r="AN925" s="32" t="str">
        <f t="shared" si="652"/>
        <v/>
      </c>
      <c r="AO925" s="32" t="str">
        <f t="shared" si="653"/>
        <v/>
      </c>
      <c r="AP925" s="32" t="str">
        <f t="shared" si="654"/>
        <v/>
      </c>
      <c r="AQ925" s="32" t="str">
        <f t="shared" si="655"/>
        <v/>
      </c>
      <c r="AR925" s="32" t="str">
        <f t="shared" si="656"/>
        <v/>
      </c>
      <c r="AS925" s="32" t="str">
        <f t="shared" si="657"/>
        <v/>
      </c>
      <c r="AT925" s="32" t="str">
        <f t="shared" si="658"/>
        <v/>
      </c>
      <c r="AU925" s="34" t="str">
        <f t="shared" si="659"/>
        <v/>
      </c>
      <c r="AV925" s="32" t="str">
        <f t="shared" si="660"/>
        <v/>
      </c>
      <c r="AW925" s="32" t="str">
        <f t="shared" si="661"/>
        <v/>
      </c>
      <c r="AX925" s="32" t="str">
        <f t="shared" si="662"/>
        <v/>
      </c>
      <c r="AY925" s="32" t="str">
        <f t="shared" si="663"/>
        <v/>
      </c>
    </row>
    <row r="926" spans="1:51" x14ac:dyDescent="0.25">
      <c r="A926" s="24" t="str">
        <f t="shared" si="621"/>
        <v/>
      </c>
      <c r="B926" s="24" t="str">
        <f t="shared" si="631"/>
        <v/>
      </c>
      <c r="C926" s="32" t="str">
        <f t="shared" si="622"/>
        <v/>
      </c>
      <c r="D926" s="24" t="str">
        <f t="shared" si="623"/>
        <v/>
      </c>
      <c r="E926" s="24" t="str">
        <f t="shared" si="624"/>
        <v/>
      </c>
      <c r="F926" s="32" t="str">
        <f t="shared" si="625"/>
        <v/>
      </c>
      <c r="G926" s="32" t="str">
        <f t="shared" si="626"/>
        <v/>
      </c>
      <c r="H926" s="32" t="str">
        <f t="shared" ca="1" si="627"/>
        <v/>
      </c>
      <c r="I926" s="32" t="str">
        <f t="shared" ca="1" si="632"/>
        <v/>
      </c>
      <c r="J926" s="32" t="str">
        <f t="shared" si="628"/>
        <v/>
      </c>
      <c r="K926" s="32" t="str">
        <f>IF(ISNUMBER(A926),Profile!$V$25+Profile!$V$24*'Ri-Po'!C926,"")</f>
        <v/>
      </c>
      <c r="L926" s="32" t="str">
        <f t="shared" si="633"/>
        <v/>
      </c>
      <c r="M926" s="32" t="str">
        <f t="shared" si="629"/>
        <v/>
      </c>
      <c r="N926" s="32" t="str">
        <f t="shared" si="630"/>
        <v/>
      </c>
      <c r="O926" s="32" t="str">
        <f t="shared" si="646"/>
        <v/>
      </c>
      <c r="P926" s="32" t="str">
        <f t="shared" si="634"/>
        <v/>
      </c>
      <c r="Q926" s="32" t="str">
        <f t="shared" si="635"/>
        <v/>
      </c>
      <c r="R926" s="32" t="str">
        <f t="shared" si="647"/>
        <v/>
      </c>
      <c r="S926" s="24" t="str">
        <f t="shared" si="648"/>
        <v/>
      </c>
      <c r="T926" s="24" t="str">
        <f t="shared" si="649"/>
        <v/>
      </c>
      <c r="U926" s="24" t="str">
        <f t="shared" si="650"/>
        <v/>
      </c>
      <c r="V926" s="24" t="str">
        <f t="shared" si="651"/>
        <v/>
      </c>
      <c r="W926" s="23" t="str">
        <f t="array" ref="W926">IFERROR(SMALL(IF(S$1:S$1000="BEGIN",ROW(S$1:S$1000)),ROW()-3),"")</f>
        <v/>
      </c>
      <c r="X926" s="23" t="str">
        <f t="array" ref="X926">IFERROR(SMALL(IF(T$1:T$1000="END",ROW(T$1:T$1000)),ROW()-3),"")</f>
        <v/>
      </c>
      <c r="Y926" s="33" t="str">
        <f t="array" ref="Y926">IF(ISNUMBER(W926),MAX(IF((B$4:B$1000&lt;=X926)*(B$4:B$1000&gt;=W926),I$4:I$1000, "")),"")</f>
        <v/>
      </c>
      <c r="Z926" s="33" t="str">
        <f t="shared" si="636"/>
        <v/>
      </c>
      <c r="AA926" s="32" t="str">
        <f t="shared" si="637"/>
        <v/>
      </c>
      <c r="AB926" s="32" t="str">
        <f t="shared" si="638"/>
        <v/>
      </c>
      <c r="AC926" s="32" t="str">
        <f t="shared" si="639"/>
        <v/>
      </c>
      <c r="AD926" s="32" t="str">
        <f t="shared" si="640"/>
        <v/>
      </c>
      <c r="AE926" s="34" t="str">
        <f t="shared" si="641"/>
        <v/>
      </c>
      <c r="AF926" s="32" t="str">
        <f t="shared" si="642"/>
        <v/>
      </c>
      <c r="AG926" s="32" t="str">
        <f t="shared" si="643"/>
        <v/>
      </c>
      <c r="AH926" s="32" t="str">
        <f t="shared" si="644"/>
        <v/>
      </c>
      <c r="AI926" s="35" t="str">
        <f t="shared" si="645"/>
        <v/>
      </c>
      <c r="AJ926" s="23" t="str">
        <f t="array" ref="AJ926">IFERROR(SMALL(IF(U$1:U$1000="BEGIN",ROW(U$1:U$1000)),ROW()-3),"")</f>
        <v/>
      </c>
      <c r="AK926" s="23" t="str">
        <f t="array" ref="AK926">IFERROR(SMALL(IF(V$1:V$1000="END",ROW(V$1:V$1000)),ROW()-3),"")</f>
        <v/>
      </c>
      <c r="AL926" s="24" t="str">
        <f t="array" ref="AL926">IF(AK926="","",MATCH(AM926,L:L,0))</f>
        <v/>
      </c>
      <c r="AM926" s="35">
        <f t="array" ref="AM926">MAX(IF((B$4:B$1000&lt;=AK926)*(B$4:B$1000&gt;=AJ926),L$4:L$1000, ""))</f>
        <v>0</v>
      </c>
      <c r="AN926" s="32" t="str">
        <f t="shared" si="652"/>
        <v/>
      </c>
      <c r="AO926" s="32" t="str">
        <f t="shared" si="653"/>
        <v/>
      </c>
      <c r="AP926" s="32" t="str">
        <f t="shared" si="654"/>
        <v/>
      </c>
      <c r="AQ926" s="32" t="str">
        <f t="shared" si="655"/>
        <v/>
      </c>
      <c r="AR926" s="32" t="str">
        <f t="shared" si="656"/>
        <v/>
      </c>
      <c r="AS926" s="32" t="str">
        <f t="shared" si="657"/>
        <v/>
      </c>
      <c r="AT926" s="32" t="str">
        <f t="shared" si="658"/>
        <v/>
      </c>
      <c r="AU926" s="34" t="str">
        <f t="shared" si="659"/>
        <v/>
      </c>
      <c r="AV926" s="32" t="str">
        <f t="shared" si="660"/>
        <v/>
      </c>
      <c r="AW926" s="32" t="str">
        <f t="shared" si="661"/>
        <v/>
      </c>
      <c r="AX926" s="32" t="str">
        <f t="shared" si="662"/>
        <v/>
      </c>
      <c r="AY926" s="32" t="str">
        <f t="shared" si="663"/>
        <v/>
      </c>
    </row>
    <row r="927" spans="1:51" x14ac:dyDescent="0.25">
      <c r="A927" s="24" t="str">
        <f t="shared" si="621"/>
        <v/>
      </c>
      <c r="B927" s="24" t="str">
        <f t="shared" si="631"/>
        <v/>
      </c>
      <c r="C927" s="32" t="str">
        <f t="shared" si="622"/>
        <v/>
      </c>
      <c r="D927" s="24" t="str">
        <f t="shared" si="623"/>
        <v/>
      </c>
      <c r="E927" s="24" t="str">
        <f t="shared" si="624"/>
        <v/>
      </c>
      <c r="F927" s="32" t="str">
        <f t="shared" si="625"/>
        <v/>
      </c>
      <c r="G927" s="32" t="str">
        <f t="shared" si="626"/>
        <v/>
      </c>
      <c r="H927" s="32" t="str">
        <f t="shared" ca="1" si="627"/>
        <v/>
      </c>
      <c r="I927" s="32" t="str">
        <f t="shared" ca="1" si="632"/>
        <v/>
      </c>
      <c r="J927" s="32" t="str">
        <f t="shared" si="628"/>
        <v/>
      </c>
      <c r="K927" s="32" t="str">
        <f>IF(ISNUMBER(A927),Profile!$V$25+Profile!$V$24*'Ri-Po'!C927,"")</f>
        <v/>
      </c>
      <c r="L927" s="32" t="str">
        <f t="shared" si="633"/>
        <v/>
      </c>
      <c r="M927" s="32" t="str">
        <f t="shared" si="629"/>
        <v/>
      </c>
      <c r="N927" s="32" t="str">
        <f t="shared" si="630"/>
        <v/>
      </c>
      <c r="O927" s="32" t="str">
        <f t="shared" si="646"/>
        <v/>
      </c>
      <c r="P927" s="32" t="str">
        <f t="shared" si="634"/>
        <v/>
      </c>
      <c r="Q927" s="32" t="str">
        <f t="shared" si="635"/>
        <v/>
      </c>
      <c r="R927" s="32" t="str">
        <f t="shared" si="647"/>
        <v/>
      </c>
      <c r="S927" s="24" t="str">
        <f t="shared" si="648"/>
        <v/>
      </c>
      <c r="T927" s="24" t="str">
        <f t="shared" si="649"/>
        <v/>
      </c>
      <c r="U927" s="24" t="str">
        <f t="shared" si="650"/>
        <v/>
      </c>
      <c r="V927" s="24" t="str">
        <f t="shared" si="651"/>
        <v/>
      </c>
      <c r="W927" s="23" t="str">
        <f t="array" ref="W927">IFERROR(SMALL(IF(S$1:S$1000="BEGIN",ROW(S$1:S$1000)),ROW()-3),"")</f>
        <v/>
      </c>
      <c r="X927" s="23" t="str">
        <f t="array" ref="X927">IFERROR(SMALL(IF(T$1:T$1000="END",ROW(T$1:T$1000)),ROW()-3),"")</f>
        <v/>
      </c>
      <c r="Y927" s="33" t="str">
        <f t="array" ref="Y927">IF(ISNUMBER(W927),MAX(IF((B$4:B$1000&lt;=X927)*(B$4:B$1000&gt;=W927),I$4:I$1000, "")),"")</f>
        <v/>
      </c>
      <c r="Z927" s="33" t="str">
        <f t="shared" si="636"/>
        <v/>
      </c>
      <c r="AA927" s="32" t="str">
        <f t="shared" si="637"/>
        <v/>
      </c>
      <c r="AB927" s="32" t="str">
        <f t="shared" si="638"/>
        <v/>
      </c>
      <c r="AC927" s="32" t="str">
        <f t="shared" si="639"/>
        <v/>
      </c>
      <c r="AD927" s="32" t="str">
        <f t="shared" si="640"/>
        <v/>
      </c>
      <c r="AE927" s="34" t="str">
        <f t="shared" si="641"/>
        <v/>
      </c>
      <c r="AF927" s="32" t="str">
        <f t="shared" si="642"/>
        <v/>
      </c>
      <c r="AG927" s="32" t="str">
        <f t="shared" si="643"/>
        <v/>
      </c>
      <c r="AH927" s="32" t="str">
        <f t="shared" si="644"/>
        <v/>
      </c>
      <c r="AI927" s="35" t="str">
        <f t="shared" si="645"/>
        <v/>
      </c>
      <c r="AJ927" s="23" t="str">
        <f t="array" ref="AJ927">IFERROR(SMALL(IF(U$1:U$1000="BEGIN",ROW(U$1:U$1000)),ROW()-3),"")</f>
        <v/>
      </c>
      <c r="AK927" s="23" t="str">
        <f t="array" ref="AK927">IFERROR(SMALL(IF(V$1:V$1000="END",ROW(V$1:V$1000)),ROW()-3),"")</f>
        <v/>
      </c>
      <c r="AL927" s="24" t="str">
        <f t="array" ref="AL927">IF(AK927="","",MATCH(AM927,L:L,0))</f>
        <v/>
      </c>
      <c r="AM927" s="35">
        <f t="array" ref="AM927">MAX(IF((B$4:B$1000&lt;=AK927)*(B$4:B$1000&gt;=AJ927),L$4:L$1000, ""))</f>
        <v>0</v>
      </c>
      <c r="AN927" s="32" t="str">
        <f t="shared" si="652"/>
        <v/>
      </c>
      <c r="AO927" s="32" t="str">
        <f t="shared" si="653"/>
        <v/>
      </c>
      <c r="AP927" s="32" t="str">
        <f t="shared" si="654"/>
        <v/>
      </c>
      <c r="AQ927" s="32" t="str">
        <f t="shared" si="655"/>
        <v/>
      </c>
      <c r="AR927" s="32" t="str">
        <f t="shared" si="656"/>
        <v/>
      </c>
      <c r="AS927" s="32" t="str">
        <f t="shared" si="657"/>
        <v/>
      </c>
      <c r="AT927" s="32" t="str">
        <f t="shared" si="658"/>
        <v/>
      </c>
      <c r="AU927" s="34" t="str">
        <f t="shared" si="659"/>
        <v/>
      </c>
      <c r="AV927" s="32" t="str">
        <f t="shared" si="660"/>
        <v/>
      </c>
      <c r="AW927" s="32" t="str">
        <f t="shared" si="661"/>
        <v/>
      </c>
      <c r="AX927" s="32" t="str">
        <f t="shared" si="662"/>
        <v/>
      </c>
      <c r="AY927" s="32" t="str">
        <f t="shared" si="663"/>
        <v/>
      </c>
    </row>
    <row r="928" spans="1:51" x14ac:dyDescent="0.25">
      <c r="A928" s="24" t="str">
        <f t="shared" si="621"/>
        <v/>
      </c>
      <c r="B928" s="24" t="str">
        <f t="shared" si="631"/>
        <v/>
      </c>
      <c r="C928" s="32" t="str">
        <f t="shared" si="622"/>
        <v/>
      </c>
      <c r="D928" s="24" t="str">
        <f t="shared" si="623"/>
        <v/>
      </c>
      <c r="E928" s="24" t="str">
        <f t="shared" si="624"/>
        <v/>
      </c>
      <c r="F928" s="32" t="str">
        <f t="shared" si="625"/>
        <v/>
      </c>
      <c r="G928" s="32" t="str">
        <f t="shared" si="626"/>
        <v/>
      </c>
      <c r="H928" s="32" t="str">
        <f t="shared" ca="1" si="627"/>
        <v/>
      </c>
      <c r="I928" s="32" t="str">
        <f t="shared" ca="1" si="632"/>
        <v/>
      </c>
      <c r="J928" s="32" t="str">
        <f t="shared" si="628"/>
        <v/>
      </c>
      <c r="K928" s="32" t="str">
        <f>IF(ISNUMBER(A928),Profile!$V$25+Profile!$V$24*'Ri-Po'!C928,"")</f>
        <v/>
      </c>
      <c r="L928" s="32" t="str">
        <f t="shared" si="633"/>
        <v/>
      </c>
      <c r="M928" s="32" t="str">
        <f t="shared" si="629"/>
        <v/>
      </c>
      <c r="N928" s="32" t="str">
        <f t="shared" si="630"/>
        <v/>
      </c>
      <c r="O928" s="32" t="str">
        <f t="shared" si="646"/>
        <v/>
      </c>
      <c r="P928" s="32" t="str">
        <f t="shared" si="634"/>
        <v/>
      </c>
      <c r="Q928" s="32" t="str">
        <f t="shared" si="635"/>
        <v/>
      </c>
      <c r="R928" s="32" t="str">
        <f t="shared" si="647"/>
        <v/>
      </c>
      <c r="S928" s="24" t="str">
        <f t="shared" si="648"/>
        <v/>
      </c>
      <c r="T928" s="24" t="str">
        <f t="shared" si="649"/>
        <v/>
      </c>
      <c r="U928" s="24" t="str">
        <f t="shared" si="650"/>
        <v/>
      </c>
      <c r="V928" s="24" t="str">
        <f t="shared" si="651"/>
        <v/>
      </c>
      <c r="W928" s="23" t="str">
        <f t="array" ref="W928">IFERROR(SMALL(IF(S$1:S$1000="BEGIN",ROW(S$1:S$1000)),ROW()-3),"")</f>
        <v/>
      </c>
      <c r="X928" s="23" t="str">
        <f t="array" ref="X928">IFERROR(SMALL(IF(T$1:T$1000="END",ROW(T$1:T$1000)),ROW()-3),"")</f>
        <v/>
      </c>
      <c r="Y928" s="33" t="str">
        <f t="array" ref="Y928">IF(ISNUMBER(W928),MAX(IF((B$4:B$1000&lt;=X928)*(B$4:B$1000&gt;=W928),I$4:I$1000, "")),"")</f>
        <v/>
      </c>
      <c r="Z928" s="33" t="str">
        <f t="shared" si="636"/>
        <v/>
      </c>
      <c r="AA928" s="32" t="str">
        <f t="shared" si="637"/>
        <v/>
      </c>
      <c r="AB928" s="32" t="str">
        <f t="shared" si="638"/>
        <v/>
      </c>
      <c r="AC928" s="32" t="str">
        <f t="shared" si="639"/>
        <v/>
      </c>
      <c r="AD928" s="32" t="str">
        <f t="shared" si="640"/>
        <v/>
      </c>
      <c r="AE928" s="34" t="str">
        <f t="shared" si="641"/>
        <v/>
      </c>
      <c r="AF928" s="32" t="str">
        <f t="shared" si="642"/>
        <v/>
      </c>
      <c r="AG928" s="32" t="str">
        <f t="shared" si="643"/>
        <v/>
      </c>
      <c r="AH928" s="32" t="str">
        <f t="shared" si="644"/>
        <v/>
      </c>
      <c r="AI928" s="35" t="str">
        <f t="shared" si="645"/>
        <v/>
      </c>
      <c r="AJ928" s="23" t="str">
        <f t="array" ref="AJ928">IFERROR(SMALL(IF(U$1:U$1000="BEGIN",ROW(U$1:U$1000)),ROW()-3),"")</f>
        <v/>
      </c>
      <c r="AK928" s="23" t="str">
        <f t="array" ref="AK928">IFERROR(SMALL(IF(V$1:V$1000="END",ROW(V$1:V$1000)),ROW()-3),"")</f>
        <v/>
      </c>
      <c r="AL928" s="24" t="str">
        <f t="array" ref="AL928">IF(AK928="","",MATCH(AM928,L:L,0))</f>
        <v/>
      </c>
      <c r="AM928" s="35">
        <f t="array" ref="AM928">MAX(IF((B$4:B$1000&lt;=AK928)*(B$4:B$1000&gt;=AJ928),L$4:L$1000, ""))</f>
        <v>0</v>
      </c>
      <c r="AN928" s="32" t="str">
        <f t="shared" si="652"/>
        <v/>
      </c>
      <c r="AO928" s="32" t="str">
        <f t="shared" si="653"/>
        <v/>
      </c>
      <c r="AP928" s="32" t="str">
        <f t="shared" si="654"/>
        <v/>
      </c>
      <c r="AQ928" s="32" t="str">
        <f t="shared" si="655"/>
        <v/>
      </c>
      <c r="AR928" s="32" t="str">
        <f t="shared" si="656"/>
        <v/>
      </c>
      <c r="AS928" s="32" t="str">
        <f t="shared" si="657"/>
        <v/>
      </c>
      <c r="AT928" s="32" t="str">
        <f t="shared" si="658"/>
        <v/>
      </c>
      <c r="AU928" s="34" t="str">
        <f t="shared" si="659"/>
        <v/>
      </c>
      <c r="AV928" s="32" t="str">
        <f t="shared" si="660"/>
        <v/>
      </c>
      <c r="AW928" s="32" t="str">
        <f t="shared" si="661"/>
        <v/>
      </c>
      <c r="AX928" s="32" t="str">
        <f t="shared" si="662"/>
        <v/>
      </c>
      <c r="AY928" s="32" t="str">
        <f t="shared" si="663"/>
        <v/>
      </c>
    </row>
    <row r="929" spans="1:51" x14ac:dyDescent="0.25">
      <c r="A929" s="24" t="str">
        <f t="shared" si="621"/>
        <v/>
      </c>
      <c r="B929" s="24" t="str">
        <f t="shared" si="631"/>
        <v/>
      </c>
      <c r="C929" s="32" t="str">
        <f t="shared" si="622"/>
        <v/>
      </c>
      <c r="D929" s="24" t="str">
        <f t="shared" si="623"/>
        <v/>
      </c>
      <c r="E929" s="24" t="str">
        <f t="shared" si="624"/>
        <v/>
      </c>
      <c r="F929" s="32" t="str">
        <f t="shared" si="625"/>
        <v/>
      </c>
      <c r="G929" s="32" t="str">
        <f t="shared" si="626"/>
        <v/>
      </c>
      <c r="H929" s="32" t="str">
        <f t="shared" ca="1" si="627"/>
        <v/>
      </c>
      <c r="I929" s="32" t="str">
        <f t="shared" ca="1" si="632"/>
        <v/>
      </c>
      <c r="J929" s="32" t="str">
        <f t="shared" si="628"/>
        <v/>
      </c>
      <c r="K929" s="32" t="str">
        <f>IF(ISNUMBER(A929),Profile!$V$25+Profile!$V$24*'Ri-Po'!C929,"")</f>
        <v/>
      </c>
      <c r="L929" s="32" t="str">
        <f t="shared" si="633"/>
        <v/>
      </c>
      <c r="M929" s="32" t="str">
        <f t="shared" si="629"/>
        <v/>
      </c>
      <c r="N929" s="32" t="str">
        <f t="shared" si="630"/>
        <v/>
      </c>
      <c r="O929" s="32" t="str">
        <f t="shared" si="646"/>
        <v/>
      </c>
      <c r="P929" s="32" t="str">
        <f t="shared" si="634"/>
        <v/>
      </c>
      <c r="Q929" s="32" t="str">
        <f t="shared" si="635"/>
        <v/>
      </c>
      <c r="R929" s="32" t="str">
        <f t="shared" si="647"/>
        <v/>
      </c>
      <c r="S929" s="24" t="str">
        <f t="shared" si="648"/>
        <v/>
      </c>
      <c r="T929" s="24" t="str">
        <f t="shared" si="649"/>
        <v/>
      </c>
      <c r="U929" s="24" t="str">
        <f t="shared" si="650"/>
        <v/>
      </c>
      <c r="V929" s="24" t="str">
        <f t="shared" si="651"/>
        <v/>
      </c>
      <c r="W929" s="23" t="str">
        <f t="array" ref="W929">IFERROR(SMALL(IF(S$1:S$1000="BEGIN",ROW(S$1:S$1000)),ROW()-3),"")</f>
        <v/>
      </c>
      <c r="X929" s="23" t="str">
        <f t="array" ref="X929">IFERROR(SMALL(IF(T$1:T$1000="END",ROW(T$1:T$1000)),ROW()-3),"")</f>
        <v/>
      </c>
      <c r="Y929" s="33" t="str">
        <f t="array" ref="Y929">IF(ISNUMBER(W929),MAX(IF((B$4:B$1000&lt;=X929)*(B$4:B$1000&gt;=W929),I$4:I$1000, "")),"")</f>
        <v/>
      </c>
      <c r="Z929" s="33" t="str">
        <f t="shared" si="636"/>
        <v/>
      </c>
      <c r="AA929" s="32" t="str">
        <f t="shared" si="637"/>
        <v/>
      </c>
      <c r="AB929" s="32" t="str">
        <f t="shared" si="638"/>
        <v/>
      </c>
      <c r="AC929" s="32" t="str">
        <f t="shared" si="639"/>
        <v/>
      </c>
      <c r="AD929" s="32" t="str">
        <f t="shared" si="640"/>
        <v/>
      </c>
      <c r="AE929" s="34" t="str">
        <f t="shared" si="641"/>
        <v/>
      </c>
      <c r="AF929" s="32" t="str">
        <f t="shared" si="642"/>
        <v/>
      </c>
      <c r="AG929" s="32" t="str">
        <f t="shared" si="643"/>
        <v/>
      </c>
      <c r="AH929" s="32" t="str">
        <f t="shared" si="644"/>
        <v/>
      </c>
      <c r="AI929" s="35" t="str">
        <f t="shared" si="645"/>
        <v/>
      </c>
      <c r="AJ929" s="23" t="str">
        <f t="array" ref="AJ929">IFERROR(SMALL(IF(U$1:U$1000="BEGIN",ROW(U$1:U$1000)),ROW()-3),"")</f>
        <v/>
      </c>
      <c r="AK929" s="23" t="str">
        <f t="array" ref="AK929">IFERROR(SMALL(IF(V$1:V$1000="END",ROW(V$1:V$1000)),ROW()-3),"")</f>
        <v/>
      </c>
      <c r="AL929" s="24" t="str">
        <f t="array" ref="AL929">IF(AK929="","",MATCH(AM929,L:L,0))</f>
        <v/>
      </c>
      <c r="AM929" s="35">
        <f t="array" ref="AM929">MAX(IF((B$4:B$1000&lt;=AK929)*(B$4:B$1000&gt;=AJ929),L$4:L$1000, ""))</f>
        <v>0</v>
      </c>
      <c r="AN929" s="32" t="str">
        <f t="shared" si="652"/>
        <v/>
      </c>
      <c r="AO929" s="32" t="str">
        <f t="shared" si="653"/>
        <v/>
      </c>
      <c r="AP929" s="32" t="str">
        <f t="shared" si="654"/>
        <v/>
      </c>
      <c r="AQ929" s="32" t="str">
        <f t="shared" si="655"/>
        <v/>
      </c>
      <c r="AR929" s="32" t="str">
        <f t="shared" si="656"/>
        <v/>
      </c>
      <c r="AS929" s="32" t="str">
        <f t="shared" si="657"/>
        <v/>
      </c>
      <c r="AT929" s="32" t="str">
        <f t="shared" si="658"/>
        <v/>
      </c>
      <c r="AU929" s="34" t="str">
        <f t="shared" si="659"/>
        <v/>
      </c>
      <c r="AV929" s="32" t="str">
        <f t="shared" si="660"/>
        <v/>
      </c>
      <c r="AW929" s="32" t="str">
        <f t="shared" si="661"/>
        <v/>
      </c>
      <c r="AX929" s="32" t="str">
        <f t="shared" si="662"/>
        <v/>
      </c>
      <c r="AY929" s="32" t="str">
        <f t="shared" si="663"/>
        <v/>
      </c>
    </row>
    <row r="930" spans="1:51" x14ac:dyDescent="0.25">
      <c r="A930" s="24" t="str">
        <f t="shared" si="621"/>
        <v/>
      </c>
      <c r="B930" s="24" t="str">
        <f t="shared" si="631"/>
        <v/>
      </c>
      <c r="C930" s="32" t="str">
        <f t="shared" si="622"/>
        <v/>
      </c>
      <c r="D930" s="24" t="str">
        <f t="shared" si="623"/>
        <v/>
      </c>
      <c r="E930" s="24" t="str">
        <f t="shared" si="624"/>
        <v/>
      </c>
      <c r="F930" s="32" t="str">
        <f t="shared" si="625"/>
        <v/>
      </c>
      <c r="G930" s="32" t="str">
        <f t="shared" si="626"/>
        <v/>
      </c>
      <c r="H930" s="32" t="str">
        <f t="shared" ca="1" si="627"/>
        <v/>
      </c>
      <c r="I930" s="32" t="str">
        <f t="shared" ca="1" si="632"/>
        <v/>
      </c>
      <c r="J930" s="32" t="str">
        <f t="shared" si="628"/>
        <v/>
      </c>
      <c r="K930" s="32" t="str">
        <f>IF(ISNUMBER(A930),Profile!$V$25+Profile!$V$24*'Ri-Po'!C930,"")</f>
        <v/>
      </c>
      <c r="L930" s="32" t="str">
        <f t="shared" si="633"/>
        <v/>
      </c>
      <c r="M930" s="32" t="str">
        <f t="shared" si="629"/>
        <v/>
      </c>
      <c r="N930" s="32" t="str">
        <f t="shared" si="630"/>
        <v/>
      </c>
      <c r="O930" s="32" t="str">
        <f t="shared" si="646"/>
        <v/>
      </c>
      <c r="P930" s="32" t="str">
        <f t="shared" si="634"/>
        <v/>
      </c>
      <c r="Q930" s="32" t="str">
        <f t="shared" si="635"/>
        <v/>
      </c>
      <c r="R930" s="32" t="str">
        <f t="shared" si="647"/>
        <v/>
      </c>
      <c r="S930" s="24" t="str">
        <f t="shared" si="648"/>
        <v/>
      </c>
      <c r="T930" s="24" t="str">
        <f t="shared" si="649"/>
        <v/>
      </c>
      <c r="U930" s="24" t="str">
        <f t="shared" si="650"/>
        <v/>
      </c>
      <c r="V930" s="24" t="str">
        <f t="shared" si="651"/>
        <v/>
      </c>
      <c r="W930" s="23" t="str">
        <f t="array" ref="W930">IFERROR(SMALL(IF(S$1:S$1000="BEGIN",ROW(S$1:S$1000)),ROW()-3),"")</f>
        <v/>
      </c>
      <c r="X930" s="23" t="str">
        <f t="array" ref="X930">IFERROR(SMALL(IF(T$1:T$1000="END",ROW(T$1:T$1000)),ROW()-3),"")</f>
        <v/>
      </c>
      <c r="Y930" s="33" t="str">
        <f t="array" ref="Y930">IF(ISNUMBER(W930),MAX(IF((B$4:B$1000&lt;=X930)*(B$4:B$1000&gt;=W930),I$4:I$1000, "")),"")</f>
        <v/>
      </c>
      <c r="Z930" s="33" t="str">
        <f t="shared" si="636"/>
        <v/>
      </c>
      <c r="AA930" s="32" t="str">
        <f t="shared" si="637"/>
        <v/>
      </c>
      <c r="AB930" s="32" t="str">
        <f t="shared" si="638"/>
        <v/>
      </c>
      <c r="AC930" s="32" t="str">
        <f t="shared" si="639"/>
        <v/>
      </c>
      <c r="AD930" s="32" t="str">
        <f t="shared" si="640"/>
        <v/>
      </c>
      <c r="AE930" s="34" t="str">
        <f t="shared" si="641"/>
        <v/>
      </c>
      <c r="AF930" s="32" t="str">
        <f t="shared" si="642"/>
        <v/>
      </c>
      <c r="AG930" s="32" t="str">
        <f t="shared" si="643"/>
        <v/>
      </c>
      <c r="AH930" s="32" t="str">
        <f t="shared" si="644"/>
        <v/>
      </c>
      <c r="AI930" s="35" t="str">
        <f t="shared" si="645"/>
        <v/>
      </c>
      <c r="AJ930" s="23" t="str">
        <f t="array" ref="AJ930">IFERROR(SMALL(IF(U$1:U$1000="BEGIN",ROW(U$1:U$1000)),ROW()-3),"")</f>
        <v/>
      </c>
      <c r="AK930" s="23" t="str">
        <f t="array" ref="AK930">IFERROR(SMALL(IF(V$1:V$1000="END",ROW(V$1:V$1000)),ROW()-3),"")</f>
        <v/>
      </c>
      <c r="AL930" s="24" t="str">
        <f t="array" ref="AL930">IF(AK930="","",MATCH(AM930,L:L,0))</f>
        <v/>
      </c>
      <c r="AM930" s="35">
        <f t="array" ref="AM930">MAX(IF((B$4:B$1000&lt;=AK930)*(B$4:B$1000&gt;=AJ930),L$4:L$1000, ""))</f>
        <v>0</v>
      </c>
      <c r="AN930" s="32" t="str">
        <f t="shared" si="652"/>
        <v/>
      </c>
      <c r="AO930" s="32" t="str">
        <f t="shared" si="653"/>
        <v/>
      </c>
      <c r="AP930" s="32" t="str">
        <f t="shared" si="654"/>
        <v/>
      </c>
      <c r="AQ930" s="32" t="str">
        <f t="shared" si="655"/>
        <v/>
      </c>
      <c r="AR930" s="32" t="str">
        <f t="shared" si="656"/>
        <v/>
      </c>
      <c r="AS930" s="32" t="str">
        <f t="shared" si="657"/>
        <v/>
      </c>
      <c r="AT930" s="32" t="str">
        <f t="shared" si="658"/>
        <v/>
      </c>
      <c r="AU930" s="34" t="str">
        <f t="shared" si="659"/>
        <v/>
      </c>
      <c r="AV930" s="32" t="str">
        <f t="shared" si="660"/>
        <v/>
      </c>
      <c r="AW930" s="32" t="str">
        <f t="shared" si="661"/>
        <v/>
      </c>
      <c r="AX930" s="32" t="str">
        <f t="shared" si="662"/>
        <v/>
      </c>
      <c r="AY930" s="32" t="str">
        <f t="shared" si="663"/>
        <v/>
      </c>
    </row>
    <row r="931" spans="1:51" x14ac:dyDescent="0.25">
      <c r="A931" s="24" t="str">
        <f t="shared" si="621"/>
        <v/>
      </c>
      <c r="B931" s="24" t="str">
        <f t="shared" si="631"/>
        <v/>
      </c>
      <c r="C931" s="32" t="str">
        <f t="shared" si="622"/>
        <v/>
      </c>
      <c r="D931" s="24" t="str">
        <f t="shared" si="623"/>
        <v/>
      </c>
      <c r="E931" s="24" t="str">
        <f t="shared" si="624"/>
        <v/>
      </c>
      <c r="F931" s="32" t="str">
        <f t="shared" si="625"/>
        <v/>
      </c>
      <c r="G931" s="32" t="str">
        <f t="shared" si="626"/>
        <v/>
      </c>
      <c r="H931" s="32" t="str">
        <f t="shared" ca="1" si="627"/>
        <v/>
      </c>
      <c r="I931" s="32" t="str">
        <f t="shared" ca="1" si="632"/>
        <v/>
      </c>
      <c r="J931" s="32" t="str">
        <f t="shared" si="628"/>
        <v/>
      </c>
      <c r="K931" s="32" t="str">
        <f>IF(ISNUMBER(A931),Profile!$V$25+Profile!$V$24*'Ri-Po'!C931,"")</f>
        <v/>
      </c>
      <c r="L931" s="32" t="str">
        <f t="shared" si="633"/>
        <v/>
      </c>
      <c r="M931" s="32" t="str">
        <f t="shared" si="629"/>
        <v/>
      </c>
      <c r="N931" s="32" t="str">
        <f t="shared" si="630"/>
        <v/>
      </c>
      <c r="O931" s="32" t="str">
        <f t="shared" si="646"/>
        <v/>
      </c>
      <c r="P931" s="32" t="str">
        <f t="shared" si="634"/>
        <v/>
      </c>
      <c r="Q931" s="32" t="str">
        <f t="shared" si="635"/>
        <v/>
      </c>
      <c r="R931" s="32" t="str">
        <f t="shared" si="647"/>
        <v/>
      </c>
      <c r="S931" s="24" t="str">
        <f t="shared" si="648"/>
        <v/>
      </c>
      <c r="T931" s="24" t="str">
        <f t="shared" si="649"/>
        <v/>
      </c>
      <c r="U931" s="24" t="str">
        <f t="shared" si="650"/>
        <v/>
      </c>
      <c r="V931" s="24" t="str">
        <f t="shared" si="651"/>
        <v/>
      </c>
      <c r="W931" s="23" t="str">
        <f t="array" ref="W931">IFERROR(SMALL(IF(S$1:S$1000="BEGIN",ROW(S$1:S$1000)),ROW()-3),"")</f>
        <v/>
      </c>
      <c r="X931" s="23" t="str">
        <f t="array" ref="X931">IFERROR(SMALL(IF(T$1:T$1000="END",ROW(T$1:T$1000)),ROW()-3),"")</f>
        <v/>
      </c>
      <c r="Y931" s="33" t="str">
        <f t="array" ref="Y931">IF(ISNUMBER(W931),MAX(IF((B$4:B$1000&lt;=X931)*(B$4:B$1000&gt;=W931),I$4:I$1000, "")),"")</f>
        <v/>
      </c>
      <c r="Z931" s="33" t="str">
        <f t="shared" si="636"/>
        <v/>
      </c>
      <c r="AA931" s="32" t="str">
        <f t="shared" si="637"/>
        <v/>
      </c>
      <c r="AB931" s="32" t="str">
        <f t="shared" si="638"/>
        <v/>
      </c>
      <c r="AC931" s="32" t="str">
        <f t="shared" si="639"/>
        <v/>
      </c>
      <c r="AD931" s="32" t="str">
        <f t="shared" si="640"/>
        <v/>
      </c>
      <c r="AE931" s="34" t="str">
        <f t="shared" si="641"/>
        <v/>
      </c>
      <c r="AF931" s="32" t="str">
        <f t="shared" si="642"/>
        <v/>
      </c>
      <c r="AG931" s="32" t="str">
        <f t="shared" si="643"/>
        <v/>
      </c>
      <c r="AH931" s="32" t="str">
        <f t="shared" si="644"/>
        <v/>
      </c>
      <c r="AI931" s="35" t="str">
        <f t="shared" si="645"/>
        <v/>
      </c>
      <c r="AJ931" s="23" t="str">
        <f t="array" ref="AJ931">IFERROR(SMALL(IF(U$1:U$1000="BEGIN",ROW(U$1:U$1000)),ROW()-3),"")</f>
        <v/>
      </c>
      <c r="AK931" s="23" t="str">
        <f t="array" ref="AK931">IFERROR(SMALL(IF(V$1:V$1000="END",ROW(V$1:V$1000)),ROW()-3),"")</f>
        <v/>
      </c>
      <c r="AL931" s="24" t="str">
        <f t="array" ref="AL931">IF(AK931="","",MATCH(AM931,L:L,0))</f>
        <v/>
      </c>
      <c r="AM931" s="35">
        <f t="array" ref="AM931">MAX(IF((B$4:B$1000&lt;=AK931)*(B$4:B$1000&gt;=AJ931),L$4:L$1000, ""))</f>
        <v>0</v>
      </c>
      <c r="AN931" s="32" t="str">
        <f t="shared" si="652"/>
        <v/>
      </c>
      <c r="AO931" s="32" t="str">
        <f t="shared" si="653"/>
        <v/>
      </c>
      <c r="AP931" s="32" t="str">
        <f t="shared" si="654"/>
        <v/>
      </c>
      <c r="AQ931" s="32" t="str">
        <f t="shared" si="655"/>
        <v/>
      </c>
      <c r="AR931" s="32" t="str">
        <f t="shared" si="656"/>
        <v/>
      </c>
      <c r="AS931" s="32" t="str">
        <f t="shared" si="657"/>
        <v/>
      </c>
      <c r="AT931" s="32" t="str">
        <f t="shared" si="658"/>
        <v/>
      </c>
      <c r="AU931" s="34" t="str">
        <f t="shared" si="659"/>
        <v/>
      </c>
      <c r="AV931" s="32" t="str">
        <f t="shared" si="660"/>
        <v/>
      </c>
      <c r="AW931" s="32" t="str">
        <f t="shared" si="661"/>
        <v/>
      </c>
      <c r="AX931" s="32" t="str">
        <f t="shared" si="662"/>
        <v/>
      </c>
      <c r="AY931" s="32" t="str">
        <f t="shared" si="663"/>
        <v/>
      </c>
    </row>
    <row r="932" spans="1:51" x14ac:dyDescent="0.25">
      <c r="A932" s="24" t="str">
        <f t="shared" si="621"/>
        <v/>
      </c>
      <c r="B932" s="24" t="str">
        <f t="shared" si="631"/>
        <v/>
      </c>
      <c r="C932" s="32" t="str">
        <f t="shared" si="622"/>
        <v/>
      </c>
      <c r="D932" s="24" t="str">
        <f t="shared" si="623"/>
        <v/>
      </c>
      <c r="E932" s="24" t="str">
        <f t="shared" si="624"/>
        <v/>
      </c>
      <c r="F932" s="32" t="str">
        <f t="shared" si="625"/>
        <v/>
      </c>
      <c r="G932" s="32" t="str">
        <f t="shared" si="626"/>
        <v/>
      </c>
      <c r="H932" s="32" t="str">
        <f t="shared" ca="1" si="627"/>
        <v/>
      </c>
      <c r="I932" s="32" t="str">
        <f t="shared" ca="1" si="632"/>
        <v/>
      </c>
      <c r="J932" s="32" t="str">
        <f t="shared" si="628"/>
        <v/>
      </c>
      <c r="K932" s="32" t="str">
        <f>IF(ISNUMBER(A932),Profile!$V$25+Profile!$V$24*'Ri-Po'!C932,"")</f>
        <v/>
      </c>
      <c r="L932" s="32" t="str">
        <f t="shared" si="633"/>
        <v/>
      </c>
      <c r="M932" s="32" t="str">
        <f t="shared" si="629"/>
        <v/>
      </c>
      <c r="N932" s="32" t="str">
        <f t="shared" si="630"/>
        <v/>
      </c>
      <c r="O932" s="32" t="str">
        <f t="shared" si="646"/>
        <v/>
      </c>
      <c r="P932" s="32" t="str">
        <f t="shared" si="634"/>
        <v/>
      </c>
      <c r="Q932" s="32" t="str">
        <f t="shared" si="635"/>
        <v/>
      </c>
      <c r="R932" s="32" t="str">
        <f t="shared" si="647"/>
        <v/>
      </c>
      <c r="S932" s="24" t="str">
        <f t="shared" si="648"/>
        <v/>
      </c>
      <c r="T932" s="24" t="str">
        <f t="shared" si="649"/>
        <v/>
      </c>
      <c r="U932" s="24" t="str">
        <f t="shared" si="650"/>
        <v/>
      </c>
      <c r="V932" s="24" t="str">
        <f t="shared" si="651"/>
        <v/>
      </c>
      <c r="W932" s="23" t="str">
        <f t="array" ref="W932">IFERROR(SMALL(IF(S$1:S$1000="BEGIN",ROW(S$1:S$1000)),ROW()-3),"")</f>
        <v/>
      </c>
      <c r="X932" s="23" t="str">
        <f t="array" ref="X932">IFERROR(SMALL(IF(T$1:T$1000="END",ROW(T$1:T$1000)),ROW()-3),"")</f>
        <v/>
      </c>
      <c r="Y932" s="33" t="str">
        <f t="array" ref="Y932">IF(ISNUMBER(W932),MAX(IF((B$4:B$1000&lt;=X932)*(B$4:B$1000&gt;=W932),I$4:I$1000, "")),"")</f>
        <v/>
      </c>
      <c r="Z932" s="33" t="str">
        <f t="shared" si="636"/>
        <v/>
      </c>
      <c r="AA932" s="32" t="str">
        <f t="shared" si="637"/>
        <v/>
      </c>
      <c r="AB932" s="32" t="str">
        <f t="shared" si="638"/>
        <v/>
      </c>
      <c r="AC932" s="32" t="str">
        <f t="shared" si="639"/>
        <v/>
      </c>
      <c r="AD932" s="32" t="str">
        <f t="shared" si="640"/>
        <v/>
      </c>
      <c r="AE932" s="34" t="str">
        <f t="shared" si="641"/>
        <v/>
      </c>
      <c r="AF932" s="32" t="str">
        <f t="shared" si="642"/>
        <v/>
      </c>
      <c r="AG932" s="32" t="str">
        <f t="shared" si="643"/>
        <v/>
      </c>
      <c r="AH932" s="32" t="str">
        <f t="shared" si="644"/>
        <v/>
      </c>
      <c r="AI932" s="35" t="str">
        <f t="shared" si="645"/>
        <v/>
      </c>
      <c r="AJ932" s="23" t="str">
        <f t="array" ref="AJ932">IFERROR(SMALL(IF(U$1:U$1000="BEGIN",ROW(U$1:U$1000)),ROW()-3),"")</f>
        <v/>
      </c>
      <c r="AK932" s="23" t="str">
        <f t="array" ref="AK932">IFERROR(SMALL(IF(V$1:V$1000="END",ROW(V$1:V$1000)),ROW()-3),"")</f>
        <v/>
      </c>
      <c r="AL932" s="24" t="str">
        <f t="array" ref="AL932">IF(AK932="","",MATCH(AM932,L:L,0))</f>
        <v/>
      </c>
      <c r="AM932" s="35">
        <f t="array" ref="AM932">MAX(IF((B$4:B$1000&lt;=AK932)*(B$4:B$1000&gt;=AJ932),L$4:L$1000, ""))</f>
        <v>0</v>
      </c>
      <c r="AN932" s="32" t="str">
        <f t="shared" si="652"/>
        <v/>
      </c>
      <c r="AO932" s="32" t="str">
        <f t="shared" si="653"/>
        <v/>
      </c>
      <c r="AP932" s="32" t="str">
        <f t="shared" si="654"/>
        <v/>
      </c>
      <c r="AQ932" s="32" t="str">
        <f t="shared" si="655"/>
        <v/>
      </c>
      <c r="AR932" s="32" t="str">
        <f t="shared" si="656"/>
        <v/>
      </c>
      <c r="AS932" s="32" t="str">
        <f t="shared" si="657"/>
        <v/>
      </c>
      <c r="AT932" s="32" t="str">
        <f t="shared" si="658"/>
        <v/>
      </c>
      <c r="AU932" s="34" t="str">
        <f t="shared" si="659"/>
        <v/>
      </c>
      <c r="AV932" s="32" t="str">
        <f t="shared" si="660"/>
        <v/>
      </c>
      <c r="AW932" s="32" t="str">
        <f t="shared" si="661"/>
        <v/>
      </c>
      <c r="AX932" s="32" t="str">
        <f t="shared" si="662"/>
        <v/>
      </c>
      <c r="AY932" s="32" t="str">
        <f t="shared" si="663"/>
        <v/>
      </c>
    </row>
    <row r="933" spans="1:51" x14ac:dyDescent="0.25">
      <c r="A933" s="24" t="str">
        <f t="shared" si="621"/>
        <v/>
      </c>
      <c r="B933" s="24" t="str">
        <f t="shared" si="631"/>
        <v/>
      </c>
      <c r="C933" s="32" t="str">
        <f t="shared" si="622"/>
        <v/>
      </c>
      <c r="D933" s="24" t="str">
        <f t="shared" si="623"/>
        <v/>
      </c>
      <c r="E933" s="24" t="str">
        <f t="shared" si="624"/>
        <v/>
      </c>
      <c r="F933" s="32" t="str">
        <f t="shared" si="625"/>
        <v/>
      </c>
      <c r="G933" s="32" t="str">
        <f t="shared" si="626"/>
        <v/>
      </c>
      <c r="H933" s="32" t="str">
        <f t="shared" ca="1" si="627"/>
        <v/>
      </c>
      <c r="I933" s="32" t="str">
        <f t="shared" ca="1" si="632"/>
        <v/>
      </c>
      <c r="J933" s="32" t="str">
        <f t="shared" si="628"/>
        <v/>
      </c>
      <c r="K933" s="32" t="str">
        <f>IF(ISNUMBER(A933),Profile!$V$25+Profile!$V$24*'Ri-Po'!C933,"")</f>
        <v/>
      </c>
      <c r="L933" s="32" t="str">
        <f t="shared" si="633"/>
        <v/>
      </c>
      <c r="M933" s="32" t="str">
        <f t="shared" si="629"/>
        <v/>
      </c>
      <c r="N933" s="32" t="str">
        <f t="shared" si="630"/>
        <v/>
      </c>
      <c r="O933" s="32" t="str">
        <f t="shared" si="646"/>
        <v/>
      </c>
      <c r="P933" s="32" t="str">
        <f t="shared" si="634"/>
        <v/>
      </c>
      <c r="Q933" s="32" t="str">
        <f t="shared" si="635"/>
        <v/>
      </c>
      <c r="R933" s="32" t="str">
        <f t="shared" si="647"/>
        <v/>
      </c>
      <c r="S933" s="24" t="str">
        <f t="shared" si="648"/>
        <v/>
      </c>
      <c r="T933" s="24" t="str">
        <f t="shared" si="649"/>
        <v/>
      </c>
      <c r="U933" s="24" t="str">
        <f t="shared" si="650"/>
        <v/>
      </c>
      <c r="V933" s="24" t="str">
        <f t="shared" si="651"/>
        <v/>
      </c>
      <c r="W933" s="23" t="str">
        <f t="array" ref="W933">IFERROR(SMALL(IF(S$1:S$1000="BEGIN",ROW(S$1:S$1000)),ROW()-3),"")</f>
        <v/>
      </c>
      <c r="X933" s="23" t="str">
        <f t="array" ref="X933">IFERROR(SMALL(IF(T$1:T$1000="END",ROW(T$1:T$1000)),ROW()-3),"")</f>
        <v/>
      </c>
      <c r="Y933" s="33" t="str">
        <f t="array" ref="Y933">IF(ISNUMBER(W933),MAX(IF((B$4:B$1000&lt;=X933)*(B$4:B$1000&gt;=W933),I$4:I$1000, "")),"")</f>
        <v/>
      </c>
      <c r="Z933" s="33" t="str">
        <f t="shared" si="636"/>
        <v/>
      </c>
      <c r="AA933" s="32" t="str">
        <f t="shared" si="637"/>
        <v/>
      </c>
      <c r="AB933" s="32" t="str">
        <f t="shared" si="638"/>
        <v/>
      </c>
      <c r="AC933" s="32" t="str">
        <f t="shared" si="639"/>
        <v/>
      </c>
      <c r="AD933" s="32" t="str">
        <f t="shared" si="640"/>
        <v/>
      </c>
      <c r="AE933" s="34" t="str">
        <f t="shared" si="641"/>
        <v/>
      </c>
      <c r="AF933" s="32" t="str">
        <f t="shared" si="642"/>
        <v/>
      </c>
      <c r="AG933" s="32" t="str">
        <f t="shared" si="643"/>
        <v/>
      </c>
      <c r="AH933" s="32" t="str">
        <f t="shared" si="644"/>
        <v/>
      </c>
      <c r="AI933" s="35" t="str">
        <f t="shared" si="645"/>
        <v/>
      </c>
      <c r="AJ933" s="23" t="str">
        <f t="array" ref="AJ933">IFERROR(SMALL(IF(U$1:U$1000="BEGIN",ROW(U$1:U$1000)),ROW()-3),"")</f>
        <v/>
      </c>
      <c r="AK933" s="23" t="str">
        <f t="array" ref="AK933">IFERROR(SMALL(IF(V$1:V$1000="END",ROW(V$1:V$1000)),ROW()-3),"")</f>
        <v/>
      </c>
      <c r="AL933" s="24" t="str">
        <f t="array" ref="AL933">IF(AK933="","",MATCH(AM933,L:L,0))</f>
        <v/>
      </c>
      <c r="AM933" s="35">
        <f t="array" ref="AM933">MAX(IF((B$4:B$1000&lt;=AK933)*(B$4:B$1000&gt;=AJ933),L$4:L$1000, ""))</f>
        <v>0</v>
      </c>
      <c r="AN933" s="32" t="str">
        <f t="shared" si="652"/>
        <v/>
      </c>
      <c r="AO933" s="32" t="str">
        <f t="shared" si="653"/>
        <v/>
      </c>
      <c r="AP933" s="32" t="str">
        <f t="shared" si="654"/>
        <v/>
      </c>
      <c r="AQ933" s="32" t="str">
        <f t="shared" si="655"/>
        <v/>
      </c>
      <c r="AR933" s="32" t="str">
        <f t="shared" si="656"/>
        <v/>
      </c>
      <c r="AS933" s="32" t="str">
        <f t="shared" si="657"/>
        <v/>
      </c>
      <c r="AT933" s="32" t="str">
        <f t="shared" si="658"/>
        <v/>
      </c>
      <c r="AU933" s="34" t="str">
        <f t="shared" si="659"/>
        <v/>
      </c>
      <c r="AV933" s="32" t="str">
        <f t="shared" si="660"/>
        <v/>
      </c>
      <c r="AW933" s="32" t="str">
        <f t="shared" si="661"/>
        <v/>
      </c>
      <c r="AX933" s="32" t="str">
        <f t="shared" si="662"/>
        <v/>
      </c>
      <c r="AY933" s="32" t="str">
        <f t="shared" si="663"/>
        <v/>
      </c>
    </row>
    <row r="934" spans="1:51" x14ac:dyDescent="0.25">
      <c r="A934" s="24" t="str">
        <f t="shared" si="621"/>
        <v/>
      </c>
      <c r="B934" s="24" t="str">
        <f t="shared" si="631"/>
        <v/>
      </c>
      <c r="C934" s="32" t="str">
        <f t="shared" si="622"/>
        <v/>
      </c>
      <c r="D934" s="24" t="str">
        <f t="shared" si="623"/>
        <v/>
      </c>
      <c r="E934" s="24" t="str">
        <f t="shared" si="624"/>
        <v/>
      </c>
      <c r="F934" s="32" t="str">
        <f t="shared" si="625"/>
        <v/>
      </c>
      <c r="G934" s="32" t="str">
        <f t="shared" si="626"/>
        <v/>
      </c>
      <c r="H934" s="32" t="str">
        <f t="shared" ca="1" si="627"/>
        <v/>
      </c>
      <c r="I934" s="32" t="str">
        <f t="shared" ca="1" si="632"/>
        <v/>
      </c>
      <c r="J934" s="32" t="str">
        <f t="shared" si="628"/>
        <v/>
      </c>
      <c r="K934" s="32" t="str">
        <f>IF(ISNUMBER(A934),Profile!$V$25+Profile!$V$24*'Ri-Po'!C934,"")</f>
        <v/>
      </c>
      <c r="L934" s="32" t="str">
        <f t="shared" si="633"/>
        <v/>
      </c>
      <c r="M934" s="32" t="str">
        <f t="shared" si="629"/>
        <v/>
      </c>
      <c r="N934" s="32" t="str">
        <f t="shared" si="630"/>
        <v/>
      </c>
      <c r="O934" s="32" t="str">
        <f t="shared" si="646"/>
        <v/>
      </c>
      <c r="P934" s="32" t="str">
        <f t="shared" si="634"/>
        <v/>
      </c>
      <c r="Q934" s="32" t="str">
        <f t="shared" si="635"/>
        <v/>
      </c>
      <c r="R934" s="32" t="str">
        <f t="shared" si="647"/>
        <v/>
      </c>
      <c r="S934" s="24" t="str">
        <f t="shared" si="648"/>
        <v/>
      </c>
      <c r="T934" s="24" t="str">
        <f t="shared" si="649"/>
        <v/>
      </c>
      <c r="U934" s="24" t="str">
        <f t="shared" si="650"/>
        <v/>
      </c>
      <c r="V934" s="24" t="str">
        <f t="shared" si="651"/>
        <v/>
      </c>
      <c r="W934" s="23" t="str">
        <f t="array" ref="W934">IFERROR(SMALL(IF(S$1:S$1000="BEGIN",ROW(S$1:S$1000)),ROW()-3),"")</f>
        <v/>
      </c>
      <c r="X934" s="23" t="str">
        <f t="array" ref="X934">IFERROR(SMALL(IF(T$1:T$1000="END",ROW(T$1:T$1000)),ROW()-3),"")</f>
        <v/>
      </c>
      <c r="Y934" s="33" t="str">
        <f t="array" ref="Y934">IF(ISNUMBER(W934),MAX(IF((B$4:B$1000&lt;=X934)*(B$4:B$1000&gt;=W934),I$4:I$1000, "")),"")</f>
        <v/>
      </c>
      <c r="Z934" s="33" t="str">
        <f t="shared" si="636"/>
        <v/>
      </c>
      <c r="AA934" s="32" t="str">
        <f t="shared" si="637"/>
        <v/>
      </c>
      <c r="AB934" s="32" t="str">
        <f t="shared" si="638"/>
        <v/>
      </c>
      <c r="AC934" s="32" t="str">
        <f t="shared" si="639"/>
        <v/>
      </c>
      <c r="AD934" s="32" t="str">
        <f t="shared" si="640"/>
        <v/>
      </c>
      <c r="AE934" s="34" t="str">
        <f t="shared" si="641"/>
        <v/>
      </c>
      <c r="AF934" s="32" t="str">
        <f t="shared" si="642"/>
        <v/>
      </c>
      <c r="AG934" s="32" t="str">
        <f t="shared" si="643"/>
        <v/>
      </c>
      <c r="AH934" s="32" t="str">
        <f t="shared" si="644"/>
        <v/>
      </c>
      <c r="AI934" s="35" t="str">
        <f t="shared" si="645"/>
        <v/>
      </c>
      <c r="AJ934" s="23" t="str">
        <f t="array" ref="AJ934">IFERROR(SMALL(IF(U$1:U$1000="BEGIN",ROW(U$1:U$1000)),ROW()-3),"")</f>
        <v/>
      </c>
      <c r="AK934" s="23" t="str">
        <f t="array" ref="AK934">IFERROR(SMALL(IF(V$1:V$1000="END",ROW(V$1:V$1000)),ROW()-3),"")</f>
        <v/>
      </c>
      <c r="AL934" s="24" t="str">
        <f t="array" ref="AL934">IF(AK934="","",MATCH(AM934,L:L,0))</f>
        <v/>
      </c>
      <c r="AM934" s="35">
        <f t="array" ref="AM934">MAX(IF((B$4:B$1000&lt;=AK934)*(B$4:B$1000&gt;=AJ934),L$4:L$1000, ""))</f>
        <v>0</v>
      </c>
      <c r="AN934" s="32" t="str">
        <f t="shared" si="652"/>
        <v/>
      </c>
      <c r="AO934" s="32" t="str">
        <f t="shared" si="653"/>
        <v/>
      </c>
      <c r="AP934" s="32" t="str">
        <f t="shared" si="654"/>
        <v/>
      </c>
      <c r="AQ934" s="32" t="str">
        <f t="shared" si="655"/>
        <v/>
      </c>
      <c r="AR934" s="32" t="str">
        <f t="shared" si="656"/>
        <v/>
      </c>
      <c r="AS934" s="32" t="str">
        <f t="shared" si="657"/>
        <v/>
      </c>
      <c r="AT934" s="32" t="str">
        <f t="shared" si="658"/>
        <v/>
      </c>
      <c r="AU934" s="34" t="str">
        <f t="shared" si="659"/>
        <v/>
      </c>
      <c r="AV934" s="32" t="str">
        <f t="shared" si="660"/>
        <v/>
      </c>
      <c r="AW934" s="32" t="str">
        <f t="shared" si="661"/>
        <v/>
      </c>
      <c r="AX934" s="32" t="str">
        <f t="shared" si="662"/>
        <v/>
      </c>
      <c r="AY934" s="32" t="str">
        <f t="shared" si="663"/>
        <v/>
      </c>
    </row>
    <row r="935" spans="1:51" x14ac:dyDescent="0.25">
      <c r="A935" s="24" t="str">
        <f t="shared" si="621"/>
        <v/>
      </c>
      <c r="B935" s="24" t="str">
        <f t="shared" si="631"/>
        <v/>
      </c>
      <c r="C935" s="32" t="str">
        <f t="shared" si="622"/>
        <v/>
      </c>
      <c r="D935" s="24" t="str">
        <f t="shared" si="623"/>
        <v/>
      </c>
      <c r="E935" s="24" t="str">
        <f t="shared" si="624"/>
        <v/>
      </c>
      <c r="F935" s="32" t="str">
        <f t="shared" si="625"/>
        <v/>
      </c>
      <c r="G935" s="32" t="str">
        <f t="shared" si="626"/>
        <v/>
      </c>
      <c r="H935" s="32" t="str">
        <f t="shared" ca="1" si="627"/>
        <v/>
      </c>
      <c r="I935" s="32" t="str">
        <f t="shared" ca="1" si="632"/>
        <v/>
      </c>
      <c r="J935" s="32" t="str">
        <f t="shared" si="628"/>
        <v/>
      </c>
      <c r="K935" s="32" t="str">
        <f>IF(ISNUMBER(A935),Profile!$V$25+Profile!$V$24*'Ri-Po'!C935,"")</f>
        <v/>
      </c>
      <c r="L935" s="32" t="str">
        <f t="shared" si="633"/>
        <v/>
      </c>
      <c r="M935" s="32" t="str">
        <f t="shared" si="629"/>
        <v/>
      </c>
      <c r="N935" s="32" t="str">
        <f t="shared" si="630"/>
        <v/>
      </c>
      <c r="O935" s="32" t="str">
        <f t="shared" si="646"/>
        <v/>
      </c>
      <c r="P935" s="32" t="str">
        <f t="shared" si="634"/>
        <v/>
      </c>
      <c r="Q935" s="32" t="str">
        <f t="shared" si="635"/>
        <v/>
      </c>
      <c r="R935" s="32" t="str">
        <f t="shared" si="647"/>
        <v/>
      </c>
      <c r="S935" s="24" t="str">
        <f t="shared" si="648"/>
        <v/>
      </c>
      <c r="T935" s="24" t="str">
        <f t="shared" si="649"/>
        <v/>
      </c>
      <c r="U935" s="24" t="str">
        <f t="shared" si="650"/>
        <v/>
      </c>
      <c r="V935" s="24" t="str">
        <f t="shared" si="651"/>
        <v/>
      </c>
      <c r="W935" s="23" t="str">
        <f t="array" ref="W935">IFERROR(SMALL(IF(S$1:S$1000="BEGIN",ROW(S$1:S$1000)),ROW()-3),"")</f>
        <v/>
      </c>
      <c r="X935" s="23" t="str">
        <f t="array" ref="X935">IFERROR(SMALL(IF(T$1:T$1000="END",ROW(T$1:T$1000)),ROW()-3),"")</f>
        <v/>
      </c>
      <c r="Y935" s="33" t="str">
        <f t="array" ref="Y935">IF(ISNUMBER(W935),MAX(IF((B$4:B$1000&lt;=X935)*(B$4:B$1000&gt;=W935),I$4:I$1000, "")),"")</f>
        <v/>
      </c>
      <c r="Z935" s="33" t="str">
        <f t="shared" si="636"/>
        <v/>
      </c>
      <c r="AA935" s="32" t="str">
        <f t="shared" si="637"/>
        <v/>
      </c>
      <c r="AB935" s="32" t="str">
        <f t="shared" si="638"/>
        <v/>
      </c>
      <c r="AC935" s="32" t="str">
        <f t="shared" si="639"/>
        <v/>
      </c>
      <c r="AD935" s="32" t="str">
        <f t="shared" si="640"/>
        <v/>
      </c>
      <c r="AE935" s="34" t="str">
        <f t="shared" si="641"/>
        <v/>
      </c>
      <c r="AF935" s="32" t="str">
        <f t="shared" si="642"/>
        <v/>
      </c>
      <c r="AG935" s="32" t="str">
        <f t="shared" si="643"/>
        <v/>
      </c>
      <c r="AH935" s="32" t="str">
        <f t="shared" si="644"/>
        <v/>
      </c>
      <c r="AI935" s="35" t="str">
        <f t="shared" si="645"/>
        <v/>
      </c>
      <c r="AJ935" s="23" t="str">
        <f t="array" ref="AJ935">IFERROR(SMALL(IF(U$1:U$1000="BEGIN",ROW(U$1:U$1000)),ROW()-3),"")</f>
        <v/>
      </c>
      <c r="AK935" s="23" t="str">
        <f t="array" ref="AK935">IFERROR(SMALL(IF(V$1:V$1000="END",ROW(V$1:V$1000)),ROW()-3),"")</f>
        <v/>
      </c>
      <c r="AL935" s="24" t="str">
        <f t="array" ref="AL935">IF(AK935="","",MATCH(AM935,L:L,0))</f>
        <v/>
      </c>
      <c r="AM935" s="35">
        <f t="array" ref="AM935">MAX(IF((B$4:B$1000&lt;=AK935)*(B$4:B$1000&gt;=AJ935),L$4:L$1000, ""))</f>
        <v>0</v>
      </c>
      <c r="AN935" s="32" t="str">
        <f t="shared" si="652"/>
        <v/>
      </c>
      <c r="AO935" s="32" t="str">
        <f t="shared" si="653"/>
        <v/>
      </c>
      <c r="AP935" s="32" t="str">
        <f t="shared" si="654"/>
        <v/>
      </c>
      <c r="AQ935" s="32" t="str">
        <f t="shared" si="655"/>
        <v/>
      </c>
      <c r="AR935" s="32" t="str">
        <f t="shared" si="656"/>
        <v/>
      </c>
      <c r="AS935" s="32" t="str">
        <f t="shared" si="657"/>
        <v/>
      </c>
      <c r="AT935" s="32" t="str">
        <f t="shared" si="658"/>
        <v/>
      </c>
      <c r="AU935" s="34" t="str">
        <f t="shared" si="659"/>
        <v/>
      </c>
      <c r="AV935" s="32" t="str">
        <f t="shared" si="660"/>
        <v/>
      </c>
      <c r="AW935" s="32" t="str">
        <f t="shared" si="661"/>
        <v/>
      </c>
      <c r="AX935" s="32" t="str">
        <f t="shared" si="662"/>
        <v/>
      </c>
      <c r="AY935" s="32" t="str">
        <f t="shared" si="663"/>
        <v/>
      </c>
    </row>
    <row r="936" spans="1:51" x14ac:dyDescent="0.25">
      <c r="A936" s="24" t="str">
        <f t="shared" si="621"/>
        <v/>
      </c>
      <c r="B936" s="24" t="str">
        <f t="shared" si="631"/>
        <v/>
      </c>
      <c r="C936" s="32" t="str">
        <f t="shared" si="622"/>
        <v/>
      </c>
      <c r="D936" s="24" t="str">
        <f t="shared" si="623"/>
        <v/>
      </c>
      <c r="E936" s="24" t="str">
        <f t="shared" si="624"/>
        <v/>
      </c>
      <c r="F936" s="32" t="str">
        <f t="shared" si="625"/>
        <v/>
      </c>
      <c r="G936" s="32" t="str">
        <f t="shared" si="626"/>
        <v/>
      </c>
      <c r="H936" s="32" t="str">
        <f t="shared" ca="1" si="627"/>
        <v/>
      </c>
      <c r="I936" s="32" t="str">
        <f t="shared" ca="1" si="632"/>
        <v/>
      </c>
      <c r="J936" s="32" t="str">
        <f t="shared" si="628"/>
        <v/>
      </c>
      <c r="K936" s="32" t="str">
        <f>IF(ISNUMBER(A936),Profile!$V$25+Profile!$V$24*'Ri-Po'!C936,"")</f>
        <v/>
      </c>
      <c r="L936" s="32" t="str">
        <f t="shared" si="633"/>
        <v/>
      </c>
      <c r="M936" s="32" t="str">
        <f t="shared" si="629"/>
        <v/>
      </c>
      <c r="N936" s="32" t="str">
        <f t="shared" si="630"/>
        <v/>
      </c>
      <c r="O936" s="32" t="str">
        <f t="shared" si="646"/>
        <v/>
      </c>
      <c r="P936" s="32" t="str">
        <f t="shared" si="634"/>
        <v/>
      </c>
      <c r="Q936" s="32" t="str">
        <f t="shared" si="635"/>
        <v/>
      </c>
      <c r="R936" s="32" t="str">
        <f t="shared" si="647"/>
        <v/>
      </c>
      <c r="S936" s="24" t="str">
        <f t="shared" si="648"/>
        <v/>
      </c>
      <c r="T936" s="24" t="str">
        <f t="shared" si="649"/>
        <v/>
      </c>
      <c r="U936" s="24" t="str">
        <f t="shared" si="650"/>
        <v/>
      </c>
      <c r="V936" s="24" t="str">
        <f t="shared" si="651"/>
        <v/>
      </c>
      <c r="W936" s="23" t="str">
        <f t="array" ref="W936">IFERROR(SMALL(IF(S$1:S$1000="BEGIN",ROW(S$1:S$1000)),ROW()-3),"")</f>
        <v/>
      </c>
      <c r="X936" s="23" t="str">
        <f t="array" ref="X936">IFERROR(SMALL(IF(T$1:T$1000="END",ROW(T$1:T$1000)),ROW()-3),"")</f>
        <v/>
      </c>
      <c r="Y936" s="33" t="str">
        <f t="array" ref="Y936">IF(ISNUMBER(W936),MAX(IF((B$4:B$1000&lt;=X936)*(B$4:B$1000&gt;=W936),I$4:I$1000, "")),"")</f>
        <v/>
      </c>
      <c r="Z936" s="33" t="str">
        <f t="shared" si="636"/>
        <v/>
      </c>
      <c r="AA936" s="32" t="str">
        <f t="shared" si="637"/>
        <v/>
      </c>
      <c r="AB936" s="32" t="str">
        <f t="shared" si="638"/>
        <v/>
      </c>
      <c r="AC936" s="32" t="str">
        <f t="shared" si="639"/>
        <v/>
      </c>
      <c r="AD936" s="32" t="str">
        <f t="shared" si="640"/>
        <v/>
      </c>
      <c r="AE936" s="34" t="str">
        <f t="shared" si="641"/>
        <v/>
      </c>
      <c r="AF936" s="32" t="str">
        <f t="shared" si="642"/>
        <v/>
      </c>
      <c r="AG936" s="32" t="str">
        <f t="shared" si="643"/>
        <v/>
      </c>
      <c r="AH936" s="32" t="str">
        <f t="shared" si="644"/>
        <v/>
      </c>
      <c r="AI936" s="35" t="str">
        <f t="shared" si="645"/>
        <v/>
      </c>
      <c r="AJ936" s="23" t="str">
        <f t="array" ref="AJ936">IFERROR(SMALL(IF(U$1:U$1000="BEGIN",ROW(U$1:U$1000)),ROW()-3),"")</f>
        <v/>
      </c>
      <c r="AK936" s="23" t="str">
        <f t="array" ref="AK936">IFERROR(SMALL(IF(V$1:V$1000="END",ROW(V$1:V$1000)),ROW()-3),"")</f>
        <v/>
      </c>
      <c r="AL936" s="24" t="str">
        <f t="array" ref="AL936">IF(AK936="","",MATCH(AM936,L:L,0))</f>
        <v/>
      </c>
      <c r="AM936" s="35">
        <f t="array" ref="AM936">MAX(IF((B$4:B$1000&lt;=AK936)*(B$4:B$1000&gt;=AJ936),L$4:L$1000, ""))</f>
        <v>0</v>
      </c>
      <c r="AN936" s="32" t="str">
        <f t="shared" si="652"/>
        <v/>
      </c>
      <c r="AO936" s="32" t="str">
        <f t="shared" si="653"/>
        <v/>
      </c>
      <c r="AP936" s="32" t="str">
        <f t="shared" si="654"/>
        <v/>
      </c>
      <c r="AQ936" s="32" t="str">
        <f t="shared" si="655"/>
        <v/>
      </c>
      <c r="AR936" s="32" t="str">
        <f t="shared" si="656"/>
        <v/>
      </c>
      <c r="AS936" s="32" t="str">
        <f t="shared" si="657"/>
        <v/>
      </c>
      <c r="AT936" s="32" t="str">
        <f t="shared" si="658"/>
        <v/>
      </c>
      <c r="AU936" s="34" t="str">
        <f t="shared" si="659"/>
        <v/>
      </c>
      <c r="AV936" s="32" t="str">
        <f t="shared" si="660"/>
        <v/>
      </c>
      <c r="AW936" s="32" t="str">
        <f t="shared" si="661"/>
        <v/>
      </c>
      <c r="AX936" s="32" t="str">
        <f t="shared" si="662"/>
        <v/>
      </c>
      <c r="AY936" s="32" t="str">
        <f t="shared" si="663"/>
        <v/>
      </c>
    </row>
    <row r="937" spans="1:51" x14ac:dyDescent="0.25">
      <c r="A937" s="24" t="str">
        <f t="shared" si="621"/>
        <v/>
      </c>
      <c r="B937" s="24" t="str">
        <f t="shared" si="631"/>
        <v/>
      </c>
      <c r="C937" s="32" t="str">
        <f t="shared" si="622"/>
        <v/>
      </c>
      <c r="D937" s="24" t="str">
        <f t="shared" si="623"/>
        <v/>
      </c>
      <c r="E937" s="24" t="str">
        <f t="shared" si="624"/>
        <v/>
      </c>
      <c r="F937" s="32" t="str">
        <f t="shared" si="625"/>
        <v/>
      </c>
      <c r="G937" s="32" t="str">
        <f t="shared" si="626"/>
        <v/>
      </c>
      <c r="H937" s="32" t="str">
        <f t="shared" ca="1" si="627"/>
        <v/>
      </c>
      <c r="I937" s="32" t="str">
        <f t="shared" ca="1" si="632"/>
        <v/>
      </c>
      <c r="J937" s="32" t="str">
        <f t="shared" si="628"/>
        <v/>
      </c>
      <c r="K937" s="32" t="str">
        <f>IF(ISNUMBER(A937),Profile!$V$25+Profile!$V$24*'Ri-Po'!C937,"")</f>
        <v/>
      </c>
      <c r="L937" s="32" t="str">
        <f t="shared" si="633"/>
        <v/>
      </c>
      <c r="M937" s="32" t="str">
        <f t="shared" si="629"/>
        <v/>
      </c>
      <c r="N937" s="32" t="str">
        <f t="shared" si="630"/>
        <v/>
      </c>
      <c r="O937" s="32" t="str">
        <f t="shared" si="646"/>
        <v/>
      </c>
      <c r="P937" s="32" t="str">
        <f t="shared" si="634"/>
        <v/>
      </c>
      <c r="Q937" s="32" t="str">
        <f t="shared" si="635"/>
        <v/>
      </c>
      <c r="R937" s="32" t="str">
        <f t="shared" si="647"/>
        <v/>
      </c>
      <c r="S937" s="24" t="str">
        <f t="shared" si="648"/>
        <v/>
      </c>
      <c r="T937" s="24" t="str">
        <f t="shared" si="649"/>
        <v/>
      </c>
      <c r="U937" s="24" t="str">
        <f t="shared" si="650"/>
        <v/>
      </c>
      <c r="V937" s="24" t="str">
        <f t="shared" si="651"/>
        <v/>
      </c>
      <c r="W937" s="23" t="str">
        <f t="array" ref="W937">IFERROR(SMALL(IF(S$1:S$1000="BEGIN",ROW(S$1:S$1000)),ROW()-3),"")</f>
        <v/>
      </c>
      <c r="X937" s="23" t="str">
        <f t="array" ref="X937">IFERROR(SMALL(IF(T$1:T$1000="END",ROW(T$1:T$1000)),ROW()-3),"")</f>
        <v/>
      </c>
      <c r="Y937" s="33" t="str">
        <f t="array" ref="Y937">IF(ISNUMBER(W937),MAX(IF((B$4:B$1000&lt;=X937)*(B$4:B$1000&gt;=W937),I$4:I$1000, "")),"")</f>
        <v/>
      </c>
      <c r="Z937" s="33" t="str">
        <f t="shared" si="636"/>
        <v/>
      </c>
      <c r="AA937" s="32" t="str">
        <f t="shared" si="637"/>
        <v/>
      </c>
      <c r="AB937" s="32" t="str">
        <f t="shared" si="638"/>
        <v/>
      </c>
      <c r="AC937" s="32" t="str">
        <f t="shared" si="639"/>
        <v/>
      </c>
      <c r="AD937" s="32" t="str">
        <f t="shared" si="640"/>
        <v/>
      </c>
      <c r="AE937" s="34" t="str">
        <f t="shared" si="641"/>
        <v/>
      </c>
      <c r="AF937" s="32" t="str">
        <f t="shared" si="642"/>
        <v/>
      </c>
      <c r="AG937" s="32" t="str">
        <f t="shared" si="643"/>
        <v/>
      </c>
      <c r="AH937" s="32" t="str">
        <f t="shared" si="644"/>
        <v/>
      </c>
      <c r="AI937" s="35" t="str">
        <f t="shared" si="645"/>
        <v/>
      </c>
      <c r="AJ937" s="23" t="str">
        <f t="array" ref="AJ937">IFERROR(SMALL(IF(U$1:U$1000="BEGIN",ROW(U$1:U$1000)),ROW()-3),"")</f>
        <v/>
      </c>
      <c r="AK937" s="23" t="str">
        <f t="array" ref="AK937">IFERROR(SMALL(IF(V$1:V$1000="END",ROW(V$1:V$1000)),ROW()-3),"")</f>
        <v/>
      </c>
      <c r="AL937" s="24" t="str">
        <f t="array" ref="AL937">IF(AK937="","",MATCH(AM937,L:L,0))</f>
        <v/>
      </c>
      <c r="AM937" s="35">
        <f t="array" ref="AM937">MAX(IF((B$4:B$1000&lt;=AK937)*(B$4:B$1000&gt;=AJ937),L$4:L$1000, ""))</f>
        <v>0</v>
      </c>
      <c r="AN937" s="32" t="str">
        <f t="shared" si="652"/>
        <v/>
      </c>
      <c r="AO937" s="32" t="str">
        <f t="shared" si="653"/>
        <v/>
      </c>
      <c r="AP937" s="32" t="str">
        <f t="shared" si="654"/>
        <v/>
      </c>
      <c r="AQ937" s="32" t="str">
        <f t="shared" si="655"/>
        <v/>
      </c>
      <c r="AR937" s="32" t="str">
        <f t="shared" si="656"/>
        <v/>
      </c>
      <c r="AS937" s="32" t="str">
        <f t="shared" si="657"/>
        <v/>
      </c>
      <c r="AT937" s="32" t="str">
        <f t="shared" si="658"/>
        <v/>
      </c>
      <c r="AU937" s="34" t="str">
        <f t="shared" si="659"/>
        <v/>
      </c>
      <c r="AV937" s="32" t="str">
        <f t="shared" si="660"/>
        <v/>
      </c>
      <c r="AW937" s="32" t="str">
        <f t="shared" si="661"/>
        <v/>
      </c>
      <c r="AX937" s="32" t="str">
        <f t="shared" si="662"/>
        <v/>
      </c>
      <c r="AY937" s="32" t="str">
        <f t="shared" si="663"/>
        <v/>
      </c>
    </row>
    <row r="938" spans="1:51" x14ac:dyDescent="0.25">
      <c r="A938" s="24" t="str">
        <f t="shared" si="621"/>
        <v/>
      </c>
      <c r="B938" s="24" t="str">
        <f t="shared" si="631"/>
        <v/>
      </c>
      <c r="C938" s="32" t="str">
        <f t="shared" si="622"/>
        <v/>
      </c>
      <c r="D938" s="24" t="str">
        <f t="shared" si="623"/>
        <v/>
      </c>
      <c r="E938" s="24" t="str">
        <f t="shared" si="624"/>
        <v/>
      </c>
      <c r="F938" s="32" t="str">
        <f t="shared" si="625"/>
        <v/>
      </c>
      <c r="G938" s="32" t="str">
        <f t="shared" si="626"/>
        <v/>
      </c>
      <c r="H938" s="32" t="str">
        <f t="shared" ca="1" si="627"/>
        <v/>
      </c>
      <c r="I938" s="32" t="str">
        <f t="shared" ca="1" si="632"/>
        <v/>
      </c>
      <c r="J938" s="32" t="str">
        <f t="shared" si="628"/>
        <v/>
      </c>
      <c r="K938" s="32" t="str">
        <f>IF(ISNUMBER(A938),Profile!$V$25+Profile!$V$24*'Ri-Po'!C938,"")</f>
        <v/>
      </c>
      <c r="L938" s="32" t="str">
        <f t="shared" si="633"/>
        <v/>
      </c>
      <c r="M938" s="32" t="str">
        <f t="shared" si="629"/>
        <v/>
      </c>
      <c r="N938" s="32" t="str">
        <f t="shared" si="630"/>
        <v/>
      </c>
      <c r="O938" s="32" t="str">
        <f t="shared" si="646"/>
        <v/>
      </c>
      <c r="P938" s="32" t="str">
        <f t="shared" si="634"/>
        <v/>
      </c>
      <c r="Q938" s="32" t="str">
        <f t="shared" si="635"/>
        <v/>
      </c>
      <c r="R938" s="32" t="str">
        <f t="shared" si="647"/>
        <v/>
      </c>
      <c r="S938" s="24" t="str">
        <f t="shared" si="648"/>
        <v/>
      </c>
      <c r="T938" s="24" t="str">
        <f t="shared" si="649"/>
        <v/>
      </c>
      <c r="U938" s="24" t="str">
        <f t="shared" si="650"/>
        <v/>
      </c>
      <c r="V938" s="24" t="str">
        <f t="shared" si="651"/>
        <v/>
      </c>
      <c r="W938" s="23" t="str">
        <f t="array" ref="W938">IFERROR(SMALL(IF(S$1:S$1000="BEGIN",ROW(S$1:S$1000)),ROW()-3),"")</f>
        <v/>
      </c>
      <c r="X938" s="23" t="str">
        <f t="array" ref="X938">IFERROR(SMALL(IF(T$1:T$1000="END",ROW(T$1:T$1000)),ROW()-3),"")</f>
        <v/>
      </c>
      <c r="Y938" s="33" t="str">
        <f t="array" ref="Y938">IF(ISNUMBER(W938),MAX(IF((B$4:B$1000&lt;=X938)*(B$4:B$1000&gt;=W938),I$4:I$1000, "")),"")</f>
        <v/>
      </c>
      <c r="Z938" s="33" t="str">
        <f t="shared" si="636"/>
        <v/>
      </c>
      <c r="AA938" s="32" t="str">
        <f t="shared" si="637"/>
        <v/>
      </c>
      <c r="AB938" s="32" t="str">
        <f t="shared" si="638"/>
        <v/>
      </c>
      <c r="AC938" s="32" t="str">
        <f t="shared" si="639"/>
        <v/>
      </c>
      <c r="AD938" s="32" t="str">
        <f t="shared" si="640"/>
        <v/>
      </c>
      <c r="AE938" s="34" t="str">
        <f t="shared" si="641"/>
        <v/>
      </c>
      <c r="AF938" s="32" t="str">
        <f t="shared" si="642"/>
        <v/>
      </c>
      <c r="AG938" s="32" t="str">
        <f t="shared" si="643"/>
        <v/>
      </c>
      <c r="AH938" s="32" t="str">
        <f t="shared" si="644"/>
        <v/>
      </c>
      <c r="AI938" s="35" t="str">
        <f t="shared" si="645"/>
        <v/>
      </c>
      <c r="AJ938" s="23" t="str">
        <f t="array" ref="AJ938">IFERROR(SMALL(IF(U$1:U$1000="BEGIN",ROW(U$1:U$1000)),ROW()-3),"")</f>
        <v/>
      </c>
      <c r="AK938" s="23" t="str">
        <f t="array" ref="AK938">IFERROR(SMALL(IF(V$1:V$1000="END",ROW(V$1:V$1000)),ROW()-3),"")</f>
        <v/>
      </c>
      <c r="AL938" s="24" t="str">
        <f t="array" ref="AL938">IF(AK938="","",MATCH(AM938,L:L,0))</f>
        <v/>
      </c>
      <c r="AM938" s="35">
        <f t="array" ref="AM938">MAX(IF((B$4:B$1000&lt;=AK938)*(B$4:B$1000&gt;=AJ938),L$4:L$1000, ""))</f>
        <v>0</v>
      </c>
      <c r="AN938" s="32" t="str">
        <f t="shared" si="652"/>
        <v/>
      </c>
      <c r="AO938" s="32" t="str">
        <f t="shared" si="653"/>
        <v/>
      </c>
      <c r="AP938" s="32" t="str">
        <f t="shared" si="654"/>
        <v/>
      </c>
      <c r="AQ938" s="32" t="str">
        <f t="shared" si="655"/>
        <v/>
      </c>
      <c r="AR938" s="32" t="str">
        <f t="shared" si="656"/>
        <v/>
      </c>
      <c r="AS938" s="32" t="str">
        <f t="shared" si="657"/>
        <v/>
      </c>
      <c r="AT938" s="32" t="str">
        <f t="shared" si="658"/>
        <v/>
      </c>
      <c r="AU938" s="34" t="str">
        <f t="shared" si="659"/>
        <v/>
      </c>
      <c r="AV938" s="32" t="str">
        <f t="shared" si="660"/>
        <v/>
      </c>
      <c r="AW938" s="32" t="str">
        <f t="shared" si="661"/>
        <v/>
      </c>
      <c r="AX938" s="32" t="str">
        <f t="shared" si="662"/>
        <v/>
      </c>
      <c r="AY938" s="32" t="str">
        <f t="shared" si="663"/>
        <v/>
      </c>
    </row>
    <row r="939" spans="1:51" x14ac:dyDescent="0.25">
      <c r="A939" s="24" t="str">
        <f t="shared" si="621"/>
        <v/>
      </c>
      <c r="B939" s="24" t="str">
        <f t="shared" si="631"/>
        <v/>
      </c>
      <c r="C939" s="32" t="str">
        <f t="shared" si="622"/>
        <v/>
      </c>
      <c r="D939" s="24" t="str">
        <f t="shared" si="623"/>
        <v/>
      </c>
      <c r="E939" s="24" t="str">
        <f t="shared" si="624"/>
        <v/>
      </c>
      <c r="F939" s="32" t="str">
        <f t="shared" si="625"/>
        <v/>
      </c>
      <c r="G939" s="32" t="str">
        <f t="shared" si="626"/>
        <v/>
      </c>
      <c r="H939" s="32" t="str">
        <f t="shared" ca="1" si="627"/>
        <v/>
      </c>
      <c r="I939" s="32" t="str">
        <f t="shared" ca="1" si="632"/>
        <v/>
      </c>
      <c r="J939" s="32" t="str">
        <f t="shared" si="628"/>
        <v/>
      </c>
      <c r="K939" s="32" t="str">
        <f>IF(ISNUMBER(A939),Profile!$V$25+Profile!$V$24*'Ri-Po'!C939,"")</f>
        <v/>
      </c>
      <c r="L939" s="32" t="str">
        <f t="shared" si="633"/>
        <v/>
      </c>
      <c r="M939" s="32" t="str">
        <f t="shared" si="629"/>
        <v/>
      </c>
      <c r="N939" s="32" t="str">
        <f t="shared" si="630"/>
        <v/>
      </c>
      <c r="O939" s="32" t="str">
        <f t="shared" si="646"/>
        <v/>
      </c>
      <c r="P939" s="32" t="str">
        <f t="shared" si="634"/>
        <v/>
      </c>
      <c r="Q939" s="32" t="str">
        <f t="shared" si="635"/>
        <v/>
      </c>
      <c r="R939" s="32" t="str">
        <f t="shared" si="647"/>
        <v/>
      </c>
      <c r="S939" s="24" t="str">
        <f t="shared" si="648"/>
        <v/>
      </c>
      <c r="T939" s="24" t="str">
        <f t="shared" si="649"/>
        <v/>
      </c>
      <c r="U939" s="24" t="str">
        <f t="shared" si="650"/>
        <v/>
      </c>
      <c r="V939" s="24" t="str">
        <f t="shared" si="651"/>
        <v/>
      </c>
      <c r="W939" s="23" t="str">
        <f t="array" ref="W939">IFERROR(SMALL(IF(S$1:S$1000="BEGIN",ROW(S$1:S$1000)),ROW()-3),"")</f>
        <v/>
      </c>
      <c r="X939" s="23" t="str">
        <f t="array" ref="X939">IFERROR(SMALL(IF(T$1:T$1000="END",ROW(T$1:T$1000)),ROW()-3),"")</f>
        <v/>
      </c>
      <c r="Y939" s="33" t="str">
        <f t="array" ref="Y939">IF(ISNUMBER(W939),MAX(IF((B$4:B$1000&lt;=X939)*(B$4:B$1000&gt;=W939),I$4:I$1000, "")),"")</f>
        <v/>
      </c>
      <c r="Z939" s="33" t="str">
        <f t="shared" si="636"/>
        <v/>
      </c>
      <c r="AA939" s="32" t="str">
        <f t="shared" si="637"/>
        <v/>
      </c>
      <c r="AB939" s="32" t="str">
        <f t="shared" si="638"/>
        <v/>
      </c>
      <c r="AC939" s="32" t="str">
        <f t="shared" si="639"/>
        <v/>
      </c>
      <c r="AD939" s="32" t="str">
        <f t="shared" si="640"/>
        <v/>
      </c>
      <c r="AE939" s="34" t="str">
        <f t="shared" si="641"/>
        <v/>
      </c>
      <c r="AF939" s="32" t="str">
        <f t="shared" si="642"/>
        <v/>
      </c>
      <c r="AG939" s="32" t="str">
        <f t="shared" si="643"/>
        <v/>
      </c>
      <c r="AH939" s="32" t="str">
        <f t="shared" si="644"/>
        <v/>
      </c>
      <c r="AI939" s="35" t="str">
        <f t="shared" si="645"/>
        <v/>
      </c>
      <c r="AJ939" s="23" t="str">
        <f t="array" ref="AJ939">IFERROR(SMALL(IF(U$1:U$1000="BEGIN",ROW(U$1:U$1000)),ROW()-3),"")</f>
        <v/>
      </c>
      <c r="AK939" s="23" t="str">
        <f t="array" ref="AK939">IFERROR(SMALL(IF(V$1:V$1000="END",ROW(V$1:V$1000)),ROW()-3),"")</f>
        <v/>
      </c>
      <c r="AL939" s="24" t="str">
        <f t="array" ref="AL939">IF(AK939="","",MATCH(AM939,L:L,0))</f>
        <v/>
      </c>
      <c r="AM939" s="35">
        <f t="array" ref="AM939">MAX(IF((B$4:B$1000&lt;=AK939)*(B$4:B$1000&gt;=AJ939),L$4:L$1000, ""))</f>
        <v>0</v>
      </c>
      <c r="AN939" s="32" t="str">
        <f t="shared" si="652"/>
        <v/>
      </c>
      <c r="AO939" s="32" t="str">
        <f t="shared" si="653"/>
        <v/>
      </c>
      <c r="AP939" s="32" t="str">
        <f t="shared" si="654"/>
        <v/>
      </c>
      <c r="AQ939" s="32" t="str">
        <f t="shared" si="655"/>
        <v/>
      </c>
      <c r="AR939" s="32" t="str">
        <f t="shared" si="656"/>
        <v/>
      </c>
      <c r="AS939" s="32" t="str">
        <f t="shared" si="657"/>
        <v/>
      </c>
      <c r="AT939" s="32" t="str">
        <f t="shared" si="658"/>
        <v/>
      </c>
      <c r="AU939" s="34" t="str">
        <f t="shared" si="659"/>
        <v/>
      </c>
      <c r="AV939" s="32" t="str">
        <f t="shared" si="660"/>
        <v/>
      </c>
      <c r="AW939" s="32" t="str">
        <f t="shared" si="661"/>
        <v/>
      </c>
      <c r="AX939" s="32" t="str">
        <f t="shared" si="662"/>
        <v/>
      </c>
      <c r="AY939" s="32" t="str">
        <f t="shared" si="663"/>
        <v/>
      </c>
    </row>
    <row r="940" spans="1:51" x14ac:dyDescent="0.25">
      <c r="A940" s="24" t="str">
        <f t="shared" si="621"/>
        <v/>
      </c>
      <c r="B940" s="24" t="str">
        <f t="shared" si="631"/>
        <v/>
      </c>
      <c r="C940" s="32" t="str">
        <f t="shared" si="622"/>
        <v/>
      </c>
      <c r="D940" s="24" t="str">
        <f t="shared" si="623"/>
        <v/>
      </c>
      <c r="E940" s="24" t="str">
        <f t="shared" si="624"/>
        <v/>
      </c>
      <c r="F940" s="32" t="str">
        <f t="shared" si="625"/>
        <v/>
      </c>
      <c r="G940" s="32" t="str">
        <f t="shared" si="626"/>
        <v/>
      </c>
      <c r="H940" s="32" t="str">
        <f t="shared" ca="1" si="627"/>
        <v/>
      </c>
      <c r="I940" s="32" t="str">
        <f t="shared" ca="1" si="632"/>
        <v/>
      </c>
      <c r="J940" s="32" t="str">
        <f t="shared" si="628"/>
        <v/>
      </c>
      <c r="K940" s="32" t="str">
        <f>IF(ISNUMBER(A940),Profile!$V$25+Profile!$V$24*'Ri-Po'!C940,"")</f>
        <v/>
      </c>
      <c r="L940" s="32" t="str">
        <f t="shared" si="633"/>
        <v/>
      </c>
      <c r="M940" s="32" t="str">
        <f t="shared" si="629"/>
        <v/>
      </c>
      <c r="N940" s="32" t="str">
        <f t="shared" si="630"/>
        <v/>
      </c>
      <c r="O940" s="32" t="str">
        <f t="shared" si="646"/>
        <v/>
      </c>
      <c r="P940" s="32" t="str">
        <f t="shared" si="634"/>
        <v/>
      </c>
      <c r="Q940" s="32" t="str">
        <f t="shared" si="635"/>
        <v/>
      </c>
      <c r="R940" s="32" t="str">
        <f t="shared" si="647"/>
        <v/>
      </c>
      <c r="S940" s="24" t="str">
        <f t="shared" si="648"/>
        <v/>
      </c>
      <c r="T940" s="24" t="str">
        <f t="shared" si="649"/>
        <v/>
      </c>
      <c r="U940" s="24" t="str">
        <f t="shared" si="650"/>
        <v/>
      </c>
      <c r="V940" s="24" t="str">
        <f t="shared" si="651"/>
        <v/>
      </c>
      <c r="W940" s="23" t="str">
        <f t="array" ref="W940">IFERROR(SMALL(IF(S$1:S$1000="BEGIN",ROW(S$1:S$1000)),ROW()-3),"")</f>
        <v/>
      </c>
      <c r="X940" s="23" t="str">
        <f t="array" ref="X940">IFERROR(SMALL(IF(T$1:T$1000="END",ROW(T$1:T$1000)),ROW()-3),"")</f>
        <v/>
      </c>
      <c r="Y940" s="33" t="str">
        <f t="array" ref="Y940">IF(ISNUMBER(W940),MAX(IF((B$4:B$1000&lt;=X940)*(B$4:B$1000&gt;=W940),I$4:I$1000, "")),"")</f>
        <v/>
      </c>
      <c r="Z940" s="33" t="str">
        <f t="shared" si="636"/>
        <v/>
      </c>
      <c r="AA940" s="32" t="str">
        <f t="shared" si="637"/>
        <v/>
      </c>
      <c r="AB940" s="32" t="str">
        <f t="shared" si="638"/>
        <v/>
      </c>
      <c r="AC940" s="32" t="str">
        <f t="shared" si="639"/>
        <v/>
      </c>
      <c r="AD940" s="32" t="str">
        <f t="shared" si="640"/>
        <v/>
      </c>
      <c r="AE940" s="34" t="str">
        <f t="shared" si="641"/>
        <v/>
      </c>
      <c r="AF940" s="32" t="str">
        <f t="shared" si="642"/>
        <v/>
      </c>
      <c r="AG940" s="32" t="str">
        <f t="shared" si="643"/>
        <v/>
      </c>
      <c r="AH940" s="32" t="str">
        <f t="shared" si="644"/>
        <v/>
      </c>
      <c r="AI940" s="35" t="str">
        <f t="shared" si="645"/>
        <v/>
      </c>
      <c r="AJ940" s="23" t="str">
        <f t="array" ref="AJ940">IFERROR(SMALL(IF(U$1:U$1000="BEGIN",ROW(U$1:U$1000)),ROW()-3),"")</f>
        <v/>
      </c>
      <c r="AK940" s="23" t="str">
        <f t="array" ref="AK940">IFERROR(SMALL(IF(V$1:V$1000="END",ROW(V$1:V$1000)),ROW()-3),"")</f>
        <v/>
      </c>
      <c r="AL940" s="24" t="str">
        <f t="array" ref="AL940">IF(AK940="","",MATCH(AM940,L:L,0))</f>
        <v/>
      </c>
      <c r="AM940" s="35">
        <f t="array" ref="AM940">MAX(IF((B$4:B$1000&lt;=AK940)*(B$4:B$1000&gt;=AJ940),L$4:L$1000, ""))</f>
        <v>0</v>
      </c>
      <c r="AN940" s="32" t="str">
        <f t="shared" si="652"/>
        <v/>
      </c>
      <c r="AO940" s="32" t="str">
        <f t="shared" si="653"/>
        <v/>
      </c>
      <c r="AP940" s="32" t="str">
        <f t="shared" si="654"/>
        <v/>
      </c>
      <c r="AQ940" s="32" t="str">
        <f t="shared" si="655"/>
        <v/>
      </c>
      <c r="AR940" s="32" t="str">
        <f t="shared" si="656"/>
        <v/>
      </c>
      <c r="AS940" s="32" t="str">
        <f t="shared" si="657"/>
        <v/>
      </c>
      <c r="AT940" s="32" t="str">
        <f t="shared" si="658"/>
        <v/>
      </c>
      <c r="AU940" s="34" t="str">
        <f t="shared" si="659"/>
        <v/>
      </c>
      <c r="AV940" s="32" t="str">
        <f t="shared" si="660"/>
        <v/>
      </c>
      <c r="AW940" s="32" t="str">
        <f t="shared" si="661"/>
        <v/>
      </c>
      <c r="AX940" s="32" t="str">
        <f t="shared" si="662"/>
        <v/>
      </c>
      <c r="AY940" s="32" t="str">
        <f t="shared" si="663"/>
        <v/>
      </c>
    </row>
    <row r="941" spans="1:51" x14ac:dyDescent="0.25">
      <c r="A941" s="24" t="str">
        <f t="shared" si="621"/>
        <v/>
      </c>
      <c r="B941" s="24" t="str">
        <f t="shared" si="631"/>
        <v/>
      </c>
      <c r="C941" s="32" t="str">
        <f t="shared" si="622"/>
        <v/>
      </c>
      <c r="D941" s="24" t="str">
        <f t="shared" si="623"/>
        <v/>
      </c>
      <c r="E941" s="24" t="str">
        <f t="shared" si="624"/>
        <v/>
      </c>
      <c r="F941" s="32" t="str">
        <f t="shared" si="625"/>
        <v/>
      </c>
      <c r="G941" s="32" t="str">
        <f t="shared" si="626"/>
        <v/>
      </c>
      <c r="H941" s="32" t="str">
        <f t="shared" ca="1" si="627"/>
        <v/>
      </c>
      <c r="I941" s="32" t="str">
        <f t="shared" ca="1" si="632"/>
        <v/>
      </c>
      <c r="J941" s="32" t="str">
        <f t="shared" si="628"/>
        <v/>
      </c>
      <c r="K941" s="32" t="str">
        <f>IF(ISNUMBER(A941),Profile!$V$25+Profile!$V$24*'Ri-Po'!C941,"")</f>
        <v/>
      </c>
      <c r="L941" s="32" t="str">
        <f t="shared" si="633"/>
        <v/>
      </c>
      <c r="M941" s="32" t="str">
        <f t="shared" si="629"/>
        <v/>
      </c>
      <c r="N941" s="32" t="str">
        <f t="shared" si="630"/>
        <v/>
      </c>
      <c r="O941" s="32" t="str">
        <f t="shared" si="646"/>
        <v/>
      </c>
      <c r="P941" s="32" t="str">
        <f t="shared" si="634"/>
        <v/>
      </c>
      <c r="Q941" s="32" t="str">
        <f t="shared" si="635"/>
        <v/>
      </c>
      <c r="R941" s="32" t="str">
        <f t="shared" si="647"/>
        <v/>
      </c>
      <c r="S941" s="24" t="str">
        <f t="shared" si="648"/>
        <v/>
      </c>
      <c r="T941" s="24" t="str">
        <f t="shared" si="649"/>
        <v/>
      </c>
      <c r="U941" s="24" t="str">
        <f t="shared" si="650"/>
        <v/>
      </c>
      <c r="V941" s="24" t="str">
        <f t="shared" si="651"/>
        <v/>
      </c>
      <c r="W941" s="23" t="str">
        <f t="array" ref="W941">IFERROR(SMALL(IF(S$1:S$1000="BEGIN",ROW(S$1:S$1000)),ROW()-3),"")</f>
        <v/>
      </c>
      <c r="X941" s="23" t="str">
        <f t="array" ref="X941">IFERROR(SMALL(IF(T$1:T$1000="END",ROW(T$1:T$1000)),ROW()-3),"")</f>
        <v/>
      </c>
      <c r="Y941" s="33" t="str">
        <f t="array" ref="Y941">IF(ISNUMBER(W941),MAX(IF((B$4:B$1000&lt;=X941)*(B$4:B$1000&gt;=W941),I$4:I$1000, "")),"")</f>
        <v/>
      </c>
      <c r="Z941" s="33" t="str">
        <f t="shared" si="636"/>
        <v/>
      </c>
      <c r="AA941" s="32" t="str">
        <f t="shared" si="637"/>
        <v/>
      </c>
      <c r="AB941" s="32" t="str">
        <f t="shared" si="638"/>
        <v/>
      </c>
      <c r="AC941" s="32" t="str">
        <f t="shared" si="639"/>
        <v/>
      </c>
      <c r="AD941" s="32" t="str">
        <f t="shared" si="640"/>
        <v/>
      </c>
      <c r="AE941" s="34" t="str">
        <f t="shared" si="641"/>
        <v/>
      </c>
      <c r="AF941" s="32" t="str">
        <f t="shared" si="642"/>
        <v/>
      </c>
      <c r="AG941" s="32" t="str">
        <f t="shared" si="643"/>
        <v/>
      </c>
      <c r="AH941" s="32" t="str">
        <f t="shared" si="644"/>
        <v/>
      </c>
      <c r="AI941" s="35" t="str">
        <f t="shared" si="645"/>
        <v/>
      </c>
      <c r="AJ941" s="23" t="str">
        <f t="array" ref="AJ941">IFERROR(SMALL(IF(U$1:U$1000="BEGIN",ROW(U$1:U$1000)),ROW()-3),"")</f>
        <v/>
      </c>
      <c r="AK941" s="23" t="str">
        <f t="array" ref="AK941">IFERROR(SMALL(IF(V$1:V$1000="END",ROW(V$1:V$1000)),ROW()-3),"")</f>
        <v/>
      </c>
      <c r="AL941" s="24" t="str">
        <f t="array" ref="AL941">IF(AK941="","",MATCH(AM941,L:L,0))</f>
        <v/>
      </c>
      <c r="AM941" s="35">
        <f t="array" ref="AM941">MAX(IF((B$4:B$1000&lt;=AK941)*(B$4:B$1000&gt;=AJ941),L$4:L$1000, ""))</f>
        <v>0</v>
      </c>
      <c r="AN941" s="32" t="str">
        <f t="shared" si="652"/>
        <v/>
      </c>
      <c r="AO941" s="32" t="str">
        <f t="shared" si="653"/>
        <v/>
      </c>
      <c r="AP941" s="32" t="str">
        <f t="shared" si="654"/>
        <v/>
      </c>
      <c r="AQ941" s="32" t="str">
        <f t="shared" si="655"/>
        <v/>
      </c>
      <c r="AR941" s="32" t="str">
        <f t="shared" si="656"/>
        <v/>
      </c>
      <c r="AS941" s="32" t="str">
        <f t="shared" si="657"/>
        <v/>
      </c>
      <c r="AT941" s="32" t="str">
        <f t="shared" si="658"/>
        <v/>
      </c>
      <c r="AU941" s="34" t="str">
        <f t="shared" si="659"/>
        <v/>
      </c>
      <c r="AV941" s="32" t="str">
        <f t="shared" si="660"/>
        <v/>
      </c>
      <c r="AW941" s="32" t="str">
        <f t="shared" si="661"/>
        <v/>
      </c>
      <c r="AX941" s="32" t="str">
        <f t="shared" si="662"/>
        <v/>
      </c>
      <c r="AY941" s="32" t="str">
        <f t="shared" si="663"/>
        <v/>
      </c>
    </row>
    <row r="942" spans="1:51" x14ac:dyDescent="0.25">
      <c r="A942" s="24" t="str">
        <f t="shared" si="621"/>
        <v/>
      </c>
      <c r="B942" s="24" t="str">
        <f t="shared" si="631"/>
        <v/>
      </c>
      <c r="C942" s="32" t="str">
        <f t="shared" si="622"/>
        <v/>
      </c>
      <c r="D942" s="24" t="str">
        <f t="shared" si="623"/>
        <v/>
      </c>
      <c r="E942" s="24" t="str">
        <f t="shared" si="624"/>
        <v/>
      </c>
      <c r="F942" s="32" t="str">
        <f t="shared" si="625"/>
        <v/>
      </c>
      <c r="G942" s="32" t="str">
        <f t="shared" si="626"/>
        <v/>
      </c>
      <c r="H942" s="32" t="str">
        <f t="shared" ca="1" si="627"/>
        <v/>
      </c>
      <c r="I942" s="32" t="str">
        <f t="shared" ca="1" si="632"/>
        <v/>
      </c>
      <c r="J942" s="32" t="str">
        <f t="shared" si="628"/>
        <v/>
      </c>
      <c r="K942" s="32" t="str">
        <f>IF(ISNUMBER(A942),Profile!$V$25+Profile!$V$24*'Ri-Po'!C942,"")</f>
        <v/>
      </c>
      <c r="L942" s="32" t="str">
        <f t="shared" si="633"/>
        <v/>
      </c>
      <c r="M942" s="32" t="str">
        <f t="shared" si="629"/>
        <v/>
      </c>
      <c r="N942" s="32" t="str">
        <f t="shared" si="630"/>
        <v/>
      </c>
      <c r="O942" s="32" t="str">
        <f t="shared" si="646"/>
        <v/>
      </c>
      <c r="P942" s="32" t="str">
        <f t="shared" si="634"/>
        <v/>
      </c>
      <c r="Q942" s="32" t="str">
        <f t="shared" si="635"/>
        <v/>
      </c>
      <c r="R942" s="32" t="str">
        <f t="shared" si="647"/>
        <v/>
      </c>
      <c r="S942" s="24" t="str">
        <f t="shared" si="648"/>
        <v/>
      </c>
      <c r="T942" s="24" t="str">
        <f t="shared" si="649"/>
        <v/>
      </c>
      <c r="U942" s="24" t="str">
        <f t="shared" si="650"/>
        <v/>
      </c>
      <c r="V942" s="24" t="str">
        <f t="shared" si="651"/>
        <v/>
      </c>
      <c r="W942" s="23" t="str">
        <f t="array" ref="W942">IFERROR(SMALL(IF(S$1:S$1000="BEGIN",ROW(S$1:S$1000)),ROW()-3),"")</f>
        <v/>
      </c>
      <c r="X942" s="23" t="str">
        <f t="array" ref="X942">IFERROR(SMALL(IF(T$1:T$1000="END",ROW(T$1:T$1000)),ROW()-3),"")</f>
        <v/>
      </c>
      <c r="Y942" s="33" t="str">
        <f t="array" ref="Y942">IF(ISNUMBER(W942),MAX(IF((B$4:B$1000&lt;=X942)*(B$4:B$1000&gt;=W942),I$4:I$1000, "")),"")</f>
        <v/>
      </c>
      <c r="Z942" s="33" t="str">
        <f t="shared" si="636"/>
        <v/>
      </c>
      <c r="AA942" s="32" t="str">
        <f t="shared" si="637"/>
        <v/>
      </c>
      <c r="AB942" s="32" t="str">
        <f t="shared" si="638"/>
        <v/>
      </c>
      <c r="AC942" s="32" t="str">
        <f t="shared" si="639"/>
        <v/>
      </c>
      <c r="AD942" s="32" t="str">
        <f t="shared" si="640"/>
        <v/>
      </c>
      <c r="AE942" s="34" t="str">
        <f t="shared" si="641"/>
        <v/>
      </c>
      <c r="AF942" s="32" t="str">
        <f t="shared" si="642"/>
        <v/>
      </c>
      <c r="AG942" s="32" t="str">
        <f t="shared" si="643"/>
        <v/>
      </c>
      <c r="AH942" s="32" t="str">
        <f t="shared" si="644"/>
        <v/>
      </c>
      <c r="AI942" s="35" t="str">
        <f t="shared" si="645"/>
        <v/>
      </c>
      <c r="AJ942" s="23" t="str">
        <f t="array" ref="AJ942">IFERROR(SMALL(IF(U$1:U$1000="BEGIN",ROW(U$1:U$1000)),ROW()-3),"")</f>
        <v/>
      </c>
      <c r="AK942" s="23" t="str">
        <f t="array" ref="AK942">IFERROR(SMALL(IF(V$1:V$1000="END",ROW(V$1:V$1000)),ROW()-3),"")</f>
        <v/>
      </c>
      <c r="AL942" s="24" t="str">
        <f t="array" ref="AL942">IF(AK942="","",MATCH(AM942,L:L,0))</f>
        <v/>
      </c>
      <c r="AM942" s="35">
        <f t="array" ref="AM942">MAX(IF((B$4:B$1000&lt;=AK942)*(B$4:B$1000&gt;=AJ942),L$4:L$1000, ""))</f>
        <v>0</v>
      </c>
      <c r="AN942" s="32" t="str">
        <f t="shared" si="652"/>
        <v/>
      </c>
      <c r="AO942" s="32" t="str">
        <f t="shared" si="653"/>
        <v/>
      </c>
      <c r="AP942" s="32" t="str">
        <f t="shared" si="654"/>
        <v/>
      </c>
      <c r="AQ942" s="32" t="str">
        <f t="shared" si="655"/>
        <v/>
      </c>
      <c r="AR942" s="32" t="str">
        <f t="shared" si="656"/>
        <v/>
      </c>
      <c r="AS942" s="32" t="str">
        <f t="shared" si="657"/>
        <v/>
      </c>
      <c r="AT942" s="32" t="str">
        <f t="shared" si="658"/>
        <v/>
      </c>
      <c r="AU942" s="34" t="str">
        <f t="shared" si="659"/>
        <v/>
      </c>
      <c r="AV942" s="32" t="str">
        <f t="shared" si="660"/>
        <v/>
      </c>
      <c r="AW942" s="32" t="str">
        <f t="shared" si="661"/>
        <v/>
      </c>
      <c r="AX942" s="32" t="str">
        <f t="shared" si="662"/>
        <v/>
      </c>
      <c r="AY942" s="32" t="str">
        <f t="shared" si="663"/>
        <v/>
      </c>
    </row>
    <row r="943" spans="1:51" x14ac:dyDescent="0.25">
      <c r="A943" s="24" t="str">
        <f t="shared" si="621"/>
        <v/>
      </c>
      <c r="B943" s="24" t="str">
        <f t="shared" si="631"/>
        <v/>
      </c>
      <c r="C943" s="32" t="str">
        <f t="shared" si="622"/>
        <v/>
      </c>
      <c r="D943" s="24" t="str">
        <f t="shared" si="623"/>
        <v/>
      </c>
      <c r="E943" s="24" t="str">
        <f t="shared" si="624"/>
        <v/>
      </c>
      <c r="F943" s="32" t="str">
        <f t="shared" si="625"/>
        <v/>
      </c>
      <c r="G943" s="32" t="str">
        <f t="shared" si="626"/>
        <v/>
      </c>
      <c r="H943" s="32" t="str">
        <f t="shared" ca="1" si="627"/>
        <v/>
      </c>
      <c r="I943" s="32" t="str">
        <f t="shared" ca="1" si="632"/>
        <v/>
      </c>
      <c r="J943" s="32" t="str">
        <f t="shared" si="628"/>
        <v/>
      </c>
      <c r="K943" s="32" t="str">
        <f>IF(ISNUMBER(A943),Profile!$V$25+Profile!$V$24*'Ri-Po'!C943,"")</f>
        <v/>
      </c>
      <c r="L943" s="32" t="str">
        <f t="shared" si="633"/>
        <v/>
      </c>
      <c r="M943" s="32" t="str">
        <f t="shared" si="629"/>
        <v/>
      </c>
      <c r="N943" s="32" t="str">
        <f t="shared" si="630"/>
        <v/>
      </c>
      <c r="O943" s="32" t="str">
        <f t="shared" si="646"/>
        <v/>
      </c>
      <c r="P943" s="32" t="str">
        <f t="shared" si="634"/>
        <v/>
      </c>
      <c r="Q943" s="32" t="str">
        <f t="shared" si="635"/>
        <v/>
      </c>
      <c r="R943" s="32" t="str">
        <f t="shared" si="647"/>
        <v/>
      </c>
      <c r="S943" s="24" t="str">
        <f t="shared" si="648"/>
        <v/>
      </c>
      <c r="T943" s="24" t="str">
        <f t="shared" si="649"/>
        <v/>
      </c>
      <c r="U943" s="24" t="str">
        <f t="shared" si="650"/>
        <v/>
      </c>
      <c r="V943" s="24" t="str">
        <f t="shared" si="651"/>
        <v/>
      </c>
      <c r="W943" s="23" t="str">
        <f t="array" ref="W943">IFERROR(SMALL(IF(S$1:S$1000="BEGIN",ROW(S$1:S$1000)),ROW()-3),"")</f>
        <v/>
      </c>
      <c r="X943" s="23" t="str">
        <f t="array" ref="X943">IFERROR(SMALL(IF(T$1:T$1000="END",ROW(T$1:T$1000)),ROW()-3),"")</f>
        <v/>
      </c>
      <c r="Y943" s="33" t="str">
        <f t="array" ref="Y943">IF(ISNUMBER(W943),MAX(IF((B$4:B$1000&lt;=X943)*(B$4:B$1000&gt;=W943),I$4:I$1000, "")),"")</f>
        <v/>
      </c>
      <c r="Z943" s="33" t="str">
        <f t="shared" si="636"/>
        <v/>
      </c>
      <c r="AA943" s="32" t="str">
        <f t="shared" si="637"/>
        <v/>
      </c>
      <c r="AB943" s="32" t="str">
        <f t="shared" si="638"/>
        <v/>
      </c>
      <c r="AC943" s="32" t="str">
        <f t="shared" si="639"/>
        <v/>
      </c>
      <c r="AD943" s="32" t="str">
        <f t="shared" si="640"/>
        <v/>
      </c>
      <c r="AE943" s="34" t="str">
        <f t="shared" si="641"/>
        <v/>
      </c>
      <c r="AF943" s="32" t="str">
        <f t="shared" si="642"/>
        <v/>
      </c>
      <c r="AG943" s="32" t="str">
        <f t="shared" si="643"/>
        <v/>
      </c>
      <c r="AH943" s="32" t="str">
        <f t="shared" si="644"/>
        <v/>
      </c>
      <c r="AI943" s="35" t="str">
        <f t="shared" si="645"/>
        <v/>
      </c>
      <c r="AJ943" s="23" t="str">
        <f t="array" ref="AJ943">IFERROR(SMALL(IF(U$1:U$1000="BEGIN",ROW(U$1:U$1000)),ROW()-3),"")</f>
        <v/>
      </c>
      <c r="AK943" s="23" t="str">
        <f t="array" ref="AK943">IFERROR(SMALL(IF(V$1:V$1000="END",ROW(V$1:V$1000)),ROW()-3),"")</f>
        <v/>
      </c>
      <c r="AL943" s="24" t="str">
        <f t="array" ref="AL943">IF(AK943="","",MATCH(AM943,L:L,0))</f>
        <v/>
      </c>
      <c r="AM943" s="35">
        <f t="array" ref="AM943">MAX(IF((B$4:B$1000&lt;=AK943)*(B$4:B$1000&gt;=AJ943),L$4:L$1000, ""))</f>
        <v>0</v>
      </c>
      <c r="AN943" s="32" t="str">
        <f t="shared" si="652"/>
        <v/>
      </c>
      <c r="AO943" s="32" t="str">
        <f t="shared" si="653"/>
        <v/>
      </c>
      <c r="AP943" s="32" t="str">
        <f t="shared" si="654"/>
        <v/>
      </c>
      <c r="AQ943" s="32" t="str">
        <f t="shared" si="655"/>
        <v/>
      </c>
      <c r="AR943" s="32" t="str">
        <f t="shared" si="656"/>
        <v/>
      </c>
      <c r="AS943" s="32" t="str">
        <f t="shared" si="657"/>
        <v/>
      </c>
      <c r="AT943" s="32" t="str">
        <f t="shared" si="658"/>
        <v/>
      </c>
      <c r="AU943" s="34" t="str">
        <f t="shared" si="659"/>
        <v/>
      </c>
      <c r="AV943" s="32" t="str">
        <f t="shared" si="660"/>
        <v/>
      </c>
      <c r="AW943" s="32" t="str">
        <f t="shared" si="661"/>
        <v/>
      </c>
      <c r="AX943" s="32" t="str">
        <f t="shared" si="662"/>
        <v/>
      </c>
      <c r="AY943" s="32" t="str">
        <f t="shared" si="663"/>
        <v/>
      </c>
    </row>
    <row r="944" spans="1:51" x14ac:dyDescent="0.25">
      <c r="A944" s="24" t="str">
        <f t="shared" si="621"/>
        <v/>
      </c>
      <c r="B944" s="24" t="str">
        <f t="shared" si="631"/>
        <v/>
      </c>
      <c r="C944" s="32" t="str">
        <f t="shared" si="622"/>
        <v/>
      </c>
      <c r="D944" s="24" t="str">
        <f t="shared" si="623"/>
        <v/>
      </c>
      <c r="E944" s="24" t="str">
        <f t="shared" si="624"/>
        <v/>
      </c>
      <c r="F944" s="32" t="str">
        <f t="shared" si="625"/>
        <v/>
      </c>
      <c r="G944" s="32" t="str">
        <f t="shared" si="626"/>
        <v/>
      </c>
      <c r="H944" s="32" t="str">
        <f t="shared" ca="1" si="627"/>
        <v/>
      </c>
      <c r="I944" s="32" t="str">
        <f t="shared" ca="1" si="632"/>
        <v/>
      </c>
      <c r="J944" s="32" t="str">
        <f t="shared" si="628"/>
        <v/>
      </c>
      <c r="K944" s="32" t="str">
        <f>IF(ISNUMBER(A944),Profile!$V$25+Profile!$V$24*'Ri-Po'!C944,"")</f>
        <v/>
      </c>
      <c r="L944" s="32" t="str">
        <f t="shared" si="633"/>
        <v/>
      </c>
      <c r="M944" s="32" t="str">
        <f t="shared" si="629"/>
        <v/>
      </c>
      <c r="N944" s="32" t="str">
        <f t="shared" si="630"/>
        <v/>
      </c>
      <c r="O944" s="32" t="str">
        <f t="shared" si="646"/>
        <v/>
      </c>
      <c r="P944" s="32" t="str">
        <f t="shared" si="634"/>
        <v/>
      </c>
      <c r="Q944" s="32" t="str">
        <f t="shared" si="635"/>
        <v/>
      </c>
      <c r="R944" s="32" t="str">
        <f t="shared" si="647"/>
        <v/>
      </c>
      <c r="S944" s="24" t="str">
        <f t="shared" si="648"/>
        <v/>
      </c>
      <c r="T944" s="24" t="str">
        <f t="shared" si="649"/>
        <v/>
      </c>
      <c r="U944" s="24" t="str">
        <f t="shared" si="650"/>
        <v/>
      </c>
      <c r="V944" s="24" t="str">
        <f t="shared" si="651"/>
        <v/>
      </c>
      <c r="W944" s="23" t="str">
        <f t="array" ref="W944">IFERROR(SMALL(IF(S$1:S$1000="BEGIN",ROW(S$1:S$1000)),ROW()-3),"")</f>
        <v/>
      </c>
      <c r="X944" s="23" t="str">
        <f t="array" ref="X944">IFERROR(SMALL(IF(T$1:T$1000="END",ROW(T$1:T$1000)),ROW()-3),"")</f>
        <v/>
      </c>
      <c r="Y944" s="33" t="str">
        <f t="array" ref="Y944">IF(ISNUMBER(W944),MAX(IF((B$4:B$1000&lt;=X944)*(B$4:B$1000&gt;=W944),I$4:I$1000, "")),"")</f>
        <v/>
      </c>
      <c r="Z944" s="33" t="str">
        <f t="shared" si="636"/>
        <v/>
      </c>
      <c r="AA944" s="32" t="str">
        <f t="shared" si="637"/>
        <v/>
      </c>
      <c r="AB944" s="32" t="str">
        <f t="shared" si="638"/>
        <v/>
      </c>
      <c r="AC944" s="32" t="str">
        <f t="shared" si="639"/>
        <v/>
      </c>
      <c r="AD944" s="32" t="str">
        <f t="shared" si="640"/>
        <v/>
      </c>
      <c r="AE944" s="34" t="str">
        <f t="shared" si="641"/>
        <v/>
      </c>
      <c r="AF944" s="32" t="str">
        <f t="shared" si="642"/>
        <v/>
      </c>
      <c r="AG944" s="32" t="str">
        <f t="shared" si="643"/>
        <v/>
      </c>
      <c r="AH944" s="32" t="str">
        <f t="shared" si="644"/>
        <v/>
      </c>
      <c r="AI944" s="35" t="str">
        <f t="shared" si="645"/>
        <v/>
      </c>
      <c r="AJ944" s="23" t="str">
        <f t="array" ref="AJ944">IFERROR(SMALL(IF(U$1:U$1000="BEGIN",ROW(U$1:U$1000)),ROW()-3),"")</f>
        <v/>
      </c>
      <c r="AK944" s="23" t="str">
        <f t="array" ref="AK944">IFERROR(SMALL(IF(V$1:V$1000="END",ROW(V$1:V$1000)),ROW()-3),"")</f>
        <v/>
      </c>
      <c r="AL944" s="24" t="str">
        <f t="array" ref="AL944">IF(AK944="","",MATCH(AM944,L:L,0))</f>
        <v/>
      </c>
      <c r="AM944" s="35">
        <f t="array" ref="AM944">MAX(IF((B$4:B$1000&lt;=AK944)*(B$4:B$1000&gt;=AJ944),L$4:L$1000, ""))</f>
        <v>0</v>
      </c>
      <c r="AN944" s="32" t="str">
        <f t="shared" si="652"/>
        <v/>
      </c>
      <c r="AO944" s="32" t="str">
        <f t="shared" si="653"/>
        <v/>
      </c>
      <c r="AP944" s="32" t="str">
        <f t="shared" si="654"/>
        <v/>
      </c>
      <c r="AQ944" s="32" t="str">
        <f t="shared" si="655"/>
        <v/>
      </c>
      <c r="AR944" s="32" t="str">
        <f t="shared" si="656"/>
        <v/>
      </c>
      <c r="AS944" s="32" t="str">
        <f t="shared" si="657"/>
        <v/>
      </c>
      <c r="AT944" s="32" t="str">
        <f t="shared" si="658"/>
        <v/>
      </c>
      <c r="AU944" s="34" t="str">
        <f t="shared" si="659"/>
        <v/>
      </c>
      <c r="AV944" s="32" t="str">
        <f t="shared" si="660"/>
        <v/>
      </c>
      <c r="AW944" s="32" t="str">
        <f t="shared" si="661"/>
        <v/>
      </c>
      <c r="AX944" s="32" t="str">
        <f t="shared" si="662"/>
        <v/>
      </c>
      <c r="AY944" s="32" t="str">
        <f t="shared" si="663"/>
        <v/>
      </c>
    </row>
    <row r="945" spans="1:51" x14ac:dyDescent="0.25">
      <c r="A945" s="24" t="str">
        <f t="shared" si="621"/>
        <v/>
      </c>
      <c r="B945" s="24" t="str">
        <f t="shared" si="631"/>
        <v/>
      </c>
      <c r="C945" s="32" t="str">
        <f t="shared" si="622"/>
        <v/>
      </c>
      <c r="D945" s="24" t="str">
        <f t="shared" si="623"/>
        <v/>
      </c>
      <c r="E945" s="24" t="str">
        <f t="shared" si="624"/>
        <v/>
      </c>
      <c r="F945" s="32" t="str">
        <f t="shared" si="625"/>
        <v/>
      </c>
      <c r="G945" s="32" t="str">
        <f t="shared" si="626"/>
        <v/>
      </c>
      <c r="H945" s="32" t="str">
        <f t="shared" ca="1" si="627"/>
        <v/>
      </c>
      <c r="I945" s="32" t="str">
        <f t="shared" ca="1" si="632"/>
        <v/>
      </c>
      <c r="J945" s="32" t="str">
        <f t="shared" si="628"/>
        <v/>
      </c>
      <c r="K945" s="32" t="str">
        <f>IF(ISNUMBER(A945),Profile!$V$25+Profile!$V$24*'Ri-Po'!C945,"")</f>
        <v/>
      </c>
      <c r="L945" s="32" t="str">
        <f t="shared" si="633"/>
        <v/>
      </c>
      <c r="M945" s="32" t="str">
        <f t="shared" si="629"/>
        <v/>
      </c>
      <c r="N945" s="32" t="str">
        <f t="shared" si="630"/>
        <v/>
      </c>
      <c r="O945" s="32" t="str">
        <f t="shared" si="646"/>
        <v/>
      </c>
      <c r="P945" s="32" t="str">
        <f t="shared" si="634"/>
        <v/>
      </c>
      <c r="Q945" s="32" t="str">
        <f t="shared" si="635"/>
        <v/>
      </c>
      <c r="R945" s="32" t="str">
        <f t="shared" si="647"/>
        <v/>
      </c>
      <c r="S945" s="24" t="str">
        <f t="shared" si="648"/>
        <v/>
      </c>
      <c r="T945" s="24" t="str">
        <f t="shared" si="649"/>
        <v/>
      </c>
      <c r="U945" s="24" t="str">
        <f t="shared" si="650"/>
        <v/>
      </c>
      <c r="V945" s="24" t="str">
        <f t="shared" si="651"/>
        <v/>
      </c>
      <c r="W945" s="23" t="str">
        <f t="array" ref="W945">IFERROR(SMALL(IF(S$1:S$1000="BEGIN",ROW(S$1:S$1000)),ROW()-3),"")</f>
        <v/>
      </c>
      <c r="X945" s="23" t="str">
        <f t="array" ref="X945">IFERROR(SMALL(IF(T$1:T$1000="END",ROW(T$1:T$1000)),ROW()-3),"")</f>
        <v/>
      </c>
      <c r="Y945" s="33" t="str">
        <f t="array" ref="Y945">IF(ISNUMBER(W945),MAX(IF((B$4:B$1000&lt;=X945)*(B$4:B$1000&gt;=W945),I$4:I$1000, "")),"")</f>
        <v/>
      </c>
      <c r="Z945" s="33" t="str">
        <f t="shared" si="636"/>
        <v/>
      </c>
      <c r="AA945" s="32" t="str">
        <f t="shared" si="637"/>
        <v/>
      </c>
      <c r="AB945" s="32" t="str">
        <f t="shared" si="638"/>
        <v/>
      </c>
      <c r="AC945" s="32" t="str">
        <f t="shared" si="639"/>
        <v/>
      </c>
      <c r="AD945" s="32" t="str">
        <f t="shared" si="640"/>
        <v/>
      </c>
      <c r="AE945" s="34" t="str">
        <f t="shared" si="641"/>
        <v/>
      </c>
      <c r="AF945" s="32" t="str">
        <f t="shared" si="642"/>
        <v/>
      </c>
      <c r="AG945" s="32" t="str">
        <f t="shared" si="643"/>
        <v/>
      </c>
      <c r="AH945" s="32" t="str">
        <f t="shared" si="644"/>
        <v/>
      </c>
      <c r="AI945" s="35" t="str">
        <f t="shared" si="645"/>
        <v/>
      </c>
      <c r="AJ945" s="23" t="str">
        <f t="array" ref="AJ945">IFERROR(SMALL(IF(U$1:U$1000="BEGIN",ROW(U$1:U$1000)),ROW()-3),"")</f>
        <v/>
      </c>
      <c r="AK945" s="23" t="str">
        <f t="array" ref="AK945">IFERROR(SMALL(IF(V$1:V$1000="END",ROW(V$1:V$1000)),ROW()-3),"")</f>
        <v/>
      </c>
      <c r="AL945" s="24" t="str">
        <f t="array" ref="AL945">IF(AK945="","",MATCH(AM945,L:L,0))</f>
        <v/>
      </c>
      <c r="AM945" s="35">
        <f t="array" ref="AM945">MAX(IF((B$4:B$1000&lt;=AK945)*(B$4:B$1000&gt;=AJ945),L$4:L$1000, ""))</f>
        <v>0</v>
      </c>
      <c r="AN945" s="32" t="str">
        <f t="shared" si="652"/>
        <v/>
      </c>
      <c r="AO945" s="32" t="str">
        <f t="shared" si="653"/>
        <v/>
      </c>
      <c r="AP945" s="32" t="str">
        <f t="shared" si="654"/>
        <v/>
      </c>
      <c r="AQ945" s="32" t="str">
        <f t="shared" si="655"/>
        <v/>
      </c>
      <c r="AR945" s="32" t="str">
        <f t="shared" si="656"/>
        <v/>
      </c>
      <c r="AS945" s="32" t="str">
        <f t="shared" si="657"/>
        <v/>
      </c>
      <c r="AT945" s="32" t="str">
        <f t="shared" si="658"/>
        <v/>
      </c>
      <c r="AU945" s="34" t="str">
        <f t="shared" si="659"/>
        <v/>
      </c>
      <c r="AV945" s="32" t="str">
        <f t="shared" si="660"/>
        <v/>
      </c>
      <c r="AW945" s="32" t="str">
        <f t="shared" si="661"/>
        <v/>
      </c>
      <c r="AX945" s="32" t="str">
        <f t="shared" si="662"/>
        <v/>
      </c>
      <c r="AY945" s="32" t="str">
        <f t="shared" si="663"/>
        <v/>
      </c>
    </row>
    <row r="946" spans="1:51" x14ac:dyDescent="0.25">
      <c r="A946" s="24" t="str">
        <f t="shared" si="621"/>
        <v/>
      </c>
      <c r="B946" s="24" t="str">
        <f t="shared" si="631"/>
        <v/>
      </c>
      <c r="C946" s="32" t="str">
        <f t="shared" si="622"/>
        <v/>
      </c>
      <c r="D946" s="24" t="str">
        <f t="shared" si="623"/>
        <v/>
      </c>
      <c r="E946" s="24" t="str">
        <f t="shared" si="624"/>
        <v/>
      </c>
      <c r="F946" s="32" t="str">
        <f t="shared" si="625"/>
        <v/>
      </c>
      <c r="G946" s="32" t="str">
        <f t="shared" si="626"/>
        <v/>
      </c>
      <c r="H946" s="32" t="str">
        <f t="shared" ca="1" si="627"/>
        <v/>
      </c>
      <c r="I946" s="32" t="str">
        <f t="shared" ca="1" si="632"/>
        <v/>
      </c>
      <c r="J946" s="32" t="str">
        <f t="shared" si="628"/>
        <v/>
      </c>
      <c r="K946" s="32" t="str">
        <f>IF(ISNUMBER(A946),Profile!$V$25+Profile!$V$24*'Ri-Po'!C946,"")</f>
        <v/>
      </c>
      <c r="L946" s="32" t="str">
        <f t="shared" si="633"/>
        <v/>
      </c>
      <c r="M946" s="32" t="str">
        <f t="shared" si="629"/>
        <v/>
      </c>
      <c r="N946" s="32" t="str">
        <f t="shared" si="630"/>
        <v/>
      </c>
      <c r="O946" s="32" t="str">
        <f t="shared" si="646"/>
        <v/>
      </c>
      <c r="P946" s="32" t="str">
        <f t="shared" si="634"/>
        <v/>
      </c>
      <c r="Q946" s="32" t="str">
        <f t="shared" si="635"/>
        <v/>
      </c>
      <c r="R946" s="32" t="str">
        <f t="shared" si="647"/>
        <v/>
      </c>
      <c r="S946" s="24" t="str">
        <f t="shared" si="648"/>
        <v/>
      </c>
      <c r="T946" s="24" t="str">
        <f t="shared" si="649"/>
        <v/>
      </c>
      <c r="U946" s="24" t="str">
        <f t="shared" si="650"/>
        <v/>
      </c>
      <c r="V946" s="24" t="str">
        <f t="shared" si="651"/>
        <v/>
      </c>
      <c r="W946" s="23" t="str">
        <f t="array" ref="W946">IFERROR(SMALL(IF(S$1:S$1000="BEGIN",ROW(S$1:S$1000)),ROW()-3),"")</f>
        <v/>
      </c>
      <c r="X946" s="23" t="str">
        <f t="array" ref="X946">IFERROR(SMALL(IF(T$1:T$1000="END",ROW(T$1:T$1000)),ROW()-3),"")</f>
        <v/>
      </c>
      <c r="Y946" s="33" t="str">
        <f t="array" ref="Y946">IF(ISNUMBER(W946),MAX(IF((B$4:B$1000&lt;=X946)*(B$4:B$1000&gt;=W946),I$4:I$1000, "")),"")</f>
        <v/>
      </c>
      <c r="Z946" s="33" t="str">
        <f t="shared" si="636"/>
        <v/>
      </c>
      <c r="AA946" s="32" t="str">
        <f t="shared" si="637"/>
        <v/>
      </c>
      <c r="AB946" s="32" t="str">
        <f t="shared" si="638"/>
        <v/>
      </c>
      <c r="AC946" s="32" t="str">
        <f t="shared" si="639"/>
        <v/>
      </c>
      <c r="AD946" s="32" t="str">
        <f t="shared" si="640"/>
        <v/>
      </c>
      <c r="AE946" s="34" t="str">
        <f t="shared" si="641"/>
        <v/>
      </c>
      <c r="AF946" s="32" t="str">
        <f t="shared" si="642"/>
        <v/>
      </c>
      <c r="AG946" s="32" t="str">
        <f t="shared" si="643"/>
        <v/>
      </c>
      <c r="AH946" s="32" t="str">
        <f t="shared" si="644"/>
        <v/>
      </c>
      <c r="AI946" s="35" t="str">
        <f t="shared" si="645"/>
        <v/>
      </c>
      <c r="AJ946" s="23" t="str">
        <f t="array" ref="AJ946">IFERROR(SMALL(IF(U$1:U$1000="BEGIN",ROW(U$1:U$1000)),ROW()-3),"")</f>
        <v/>
      </c>
      <c r="AK946" s="23" t="str">
        <f t="array" ref="AK946">IFERROR(SMALL(IF(V$1:V$1000="END",ROW(V$1:V$1000)),ROW()-3),"")</f>
        <v/>
      </c>
      <c r="AL946" s="24" t="str">
        <f t="array" ref="AL946">IF(AK946="","",MATCH(AM946,L:L,0))</f>
        <v/>
      </c>
      <c r="AM946" s="35">
        <f t="array" ref="AM946">MAX(IF((B$4:B$1000&lt;=AK946)*(B$4:B$1000&gt;=AJ946),L$4:L$1000, ""))</f>
        <v>0</v>
      </c>
      <c r="AN946" s="32" t="str">
        <f t="shared" si="652"/>
        <v/>
      </c>
      <c r="AO946" s="32" t="str">
        <f t="shared" si="653"/>
        <v/>
      </c>
      <c r="AP946" s="32" t="str">
        <f t="shared" si="654"/>
        <v/>
      </c>
      <c r="AQ946" s="32" t="str">
        <f t="shared" si="655"/>
        <v/>
      </c>
      <c r="AR946" s="32" t="str">
        <f t="shared" si="656"/>
        <v/>
      </c>
      <c r="AS946" s="32" t="str">
        <f t="shared" si="657"/>
        <v/>
      </c>
      <c r="AT946" s="32" t="str">
        <f t="shared" si="658"/>
        <v/>
      </c>
      <c r="AU946" s="34" t="str">
        <f t="shared" si="659"/>
        <v/>
      </c>
      <c r="AV946" s="32" t="str">
        <f t="shared" si="660"/>
        <v/>
      </c>
      <c r="AW946" s="32" t="str">
        <f t="shared" si="661"/>
        <v/>
      </c>
      <c r="AX946" s="32" t="str">
        <f t="shared" si="662"/>
        <v/>
      </c>
      <c r="AY946" s="32" t="str">
        <f t="shared" si="663"/>
        <v/>
      </c>
    </row>
    <row r="947" spans="1:51" x14ac:dyDescent="0.25">
      <c r="A947" s="24" t="str">
        <f t="shared" si="621"/>
        <v/>
      </c>
      <c r="B947" s="24" t="str">
        <f t="shared" si="631"/>
        <v/>
      </c>
      <c r="C947" s="32" t="str">
        <f t="shared" si="622"/>
        <v/>
      </c>
      <c r="D947" s="24" t="str">
        <f t="shared" si="623"/>
        <v/>
      </c>
      <c r="E947" s="24" t="str">
        <f t="shared" si="624"/>
        <v/>
      </c>
      <c r="F947" s="32" t="str">
        <f t="shared" si="625"/>
        <v/>
      </c>
      <c r="G947" s="32" t="str">
        <f t="shared" si="626"/>
        <v/>
      </c>
      <c r="H947" s="32" t="str">
        <f t="shared" ca="1" si="627"/>
        <v/>
      </c>
      <c r="I947" s="32" t="str">
        <f t="shared" ca="1" si="632"/>
        <v/>
      </c>
      <c r="J947" s="32" t="str">
        <f t="shared" si="628"/>
        <v/>
      </c>
      <c r="K947" s="32" t="str">
        <f>IF(ISNUMBER(A947),Profile!$V$25+Profile!$V$24*'Ri-Po'!C947,"")</f>
        <v/>
      </c>
      <c r="L947" s="32" t="str">
        <f t="shared" si="633"/>
        <v/>
      </c>
      <c r="M947" s="32" t="str">
        <f t="shared" si="629"/>
        <v/>
      </c>
      <c r="N947" s="32" t="str">
        <f t="shared" si="630"/>
        <v/>
      </c>
      <c r="O947" s="32" t="str">
        <f t="shared" si="646"/>
        <v/>
      </c>
      <c r="P947" s="32" t="str">
        <f t="shared" si="634"/>
        <v/>
      </c>
      <c r="Q947" s="32" t="str">
        <f t="shared" si="635"/>
        <v/>
      </c>
      <c r="R947" s="32" t="str">
        <f t="shared" si="647"/>
        <v/>
      </c>
      <c r="S947" s="24" t="str">
        <f t="shared" si="648"/>
        <v/>
      </c>
      <c r="T947" s="24" t="str">
        <f t="shared" si="649"/>
        <v/>
      </c>
      <c r="U947" s="24" t="str">
        <f t="shared" si="650"/>
        <v/>
      </c>
      <c r="V947" s="24" t="str">
        <f t="shared" si="651"/>
        <v/>
      </c>
      <c r="W947" s="23" t="str">
        <f t="array" ref="W947">IFERROR(SMALL(IF(S$1:S$1000="BEGIN",ROW(S$1:S$1000)),ROW()-3),"")</f>
        <v/>
      </c>
      <c r="X947" s="23" t="str">
        <f t="array" ref="X947">IFERROR(SMALL(IF(T$1:T$1000="END",ROW(T$1:T$1000)),ROW()-3),"")</f>
        <v/>
      </c>
      <c r="Y947" s="33" t="str">
        <f t="array" ref="Y947">IF(ISNUMBER(W947),MAX(IF((B$4:B$1000&lt;=X947)*(B$4:B$1000&gt;=W947),I$4:I$1000, "")),"")</f>
        <v/>
      </c>
      <c r="Z947" s="33" t="str">
        <f t="shared" si="636"/>
        <v/>
      </c>
      <c r="AA947" s="32" t="str">
        <f t="shared" si="637"/>
        <v/>
      </c>
      <c r="AB947" s="32" t="str">
        <f t="shared" si="638"/>
        <v/>
      </c>
      <c r="AC947" s="32" t="str">
        <f t="shared" si="639"/>
        <v/>
      </c>
      <c r="AD947" s="32" t="str">
        <f t="shared" si="640"/>
        <v/>
      </c>
      <c r="AE947" s="34" t="str">
        <f t="shared" si="641"/>
        <v/>
      </c>
      <c r="AF947" s="32" t="str">
        <f t="shared" si="642"/>
        <v/>
      </c>
      <c r="AG947" s="32" t="str">
        <f t="shared" si="643"/>
        <v/>
      </c>
      <c r="AH947" s="32" t="str">
        <f t="shared" si="644"/>
        <v/>
      </c>
      <c r="AI947" s="35" t="str">
        <f t="shared" si="645"/>
        <v/>
      </c>
      <c r="AJ947" s="23" t="str">
        <f t="array" ref="AJ947">IFERROR(SMALL(IF(U$1:U$1000="BEGIN",ROW(U$1:U$1000)),ROW()-3),"")</f>
        <v/>
      </c>
      <c r="AK947" s="23" t="str">
        <f t="array" ref="AK947">IFERROR(SMALL(IF(V$1:V$1000="END",ROW(V$1:V$1000)),ROW()-3),"")</f>
        <v/>
      </c>
      <c r="AL947" s="24" t="str">
        <f t="array" ref="AL947">IF(AK947="","",MATCH(AM947,L:L,0))</f>
        <v/>
      </c>
      <c r="AM947" s="35">
        <f t="array" ref="AM947">MAX(IF((B$4:B$1000&lt;=AK947)*(B$4:B$1000&gt;=AJ947),L$4:L$1000, ""))</f>
        <v>0</v>
      </c>
      <c r="AN947" s="32" t="str">
        <f t="shared" si="652"/>
        <v/>
      </c>
      <c r="AO947" s="32" t="str">
        <f t="shared" si="653"/>
        <v/>
      </c>
      <c r="AP947" s="32" t="str">
        <f t="shared" si="654"/>
        <v/>
      </c>
      <c r="AQ947" s="32" t="str">
        <f t="shared" si="655"/>
        <v/>
      </c>
      <c r="AR947" s="32" t="str">
        <f t="shared" si="656"/>
        <v/>
      </c>
      <c r="AS947" s="32" t="str">
        <f t="shared" si="657"/>
        <v/>
      </c>
      <c r="AT947" s="32" t="str">
        <f t="shared" si="658"/>
        <v/>
      </c>
      <c r="AU947" s="34" t="str">
        <f t="shared" si="659"/>
        <v/>
      </c>
      <c r="AV947" s="32" t="str">
        <f t="shared" si="660"/>
        <v/>
      </c>
      <c r="AW947" s="32" t="str">
        <f t="shared" si="661"/>
        <v/>
      </c>
      <c r="AX947" s="32" t="str">
        <f t="shared" si="662"/>
        <v/>
      </c>
      <c r="AY947" s="32" t="str">
        <f t="shared" si="663"/>
        <v/>
      </c>
    </row>
    <row r="948" spans="1:51" x14ac:dyDescent="0.25">
      <c r="A948" s="24" t="str">
        <f t="shared" si="621"/>
        <v/>
      </c>
      <c r="B948" s="24" t="str">
        <f t="shared" si="631"/>
        <v/>
      </c>
      <c r="C948" s="32" t="str">
        <f t="shared" si="622"/>
        <v/>
      </c>
      <c r="D948" s="24" t="str">
        <f t="shared" si="623"/>
        <v/>
      </c>
      <c r="E948" s="24" t="str">
        <f t="shared" si="624"/>
        <v/>
      </c>
      <c r="F948" s="32" t="str">
        <f t="shared" si="625"/>
        <v/>
      </c>
      <c r="G948" s="32" t="str">
        <f t="shared" si="626"/>
        <v/>
      </c>
      <c r="H948" s="32" t="str">
        <f t="shared" ca="1" si="627"/>
        <v/>
      </c>
      <c r="I948" s="32" t="str">
        <f t="shared" ca="1" si="632"/>
        <v/>
      </c>
      <c r="J948" s="32" t="str">
        <f t="shared" si="628"/>
        <v/>
      </c>
      <c r="K948" s="32" t="str">
        <f>IF(ISNUMBER(A948),Profile!$V$25+Profile!$V$24*'Ri-Po'!C948,"")</f>
        <v/>
      </c>
      <c r="L948" s="32" t="str">
        <f t="shared" si="633"/>
        <v/>
      </c>
      <c r="M948" s="32" t="str">
        <f t="shared" si="629"/>
        <v/>
      </c>
      <c r="N948" s="32" t="str">
        <f t="shared" si="630"/>
        <v/>
      </c>
      <c r="O948" s="32" t="str">
        <f t="shared" si="646"/>
        <v/>
      </c>
      <c r="P948" s="32" t="str">
        <f t="shared" si="634"/>
        <v/>
      </c>
      <c r="Q948" s="32" t="str">
        <f t="shared" si="635"/>
        <v/>
      </c>
      <c r="R948" s="32" t="str">
        <f t="shared" si="647"/>
        <v/>
      </c>
      <c r="S948" s="24" t="str">
        <f t="shared" si="648"/>
        <v/>
      </c>
      <c r="T948" s="24" t="str">
        <f t="shared" si="649"/>
        <v/>
      </c>
      <c r="U948" s="24" t="str">
        <f t="shared" si="650"/>
        <v/>
      </c>
      <c r="V948" s="24" t="str">
        <f t="shared" si="651"/>
        <v/>
      </c>
      <c r="W948" s="23" t="str">
        <f t="array" ref="W948">IFERROR(SMALL(IF(S$1:S$1000="BEGIN",ROW(S$1:S$1000)),ROW()-3),"")</f>
        <v/>
      </c>
      <c r="X948" s="23" t="str">
        <f t="array" ref="X948">IFERROR(SMALL(IF(T$1:T$1000="END",ROW(T$1:T$1000)),ROW()-3),"")</f>
        <v/>
      </c>
      <c r="Y948" s="33" t="str">
        <f t="array" ref="Y948">IF(ISNUMBER(W948),MAX(IF((B$4:B$1000&lt;=X948)*(B$4:B$1000&gt;=W948),I$4:I$1000, "")),"")</f>
        <v/>
      </c>
      <c r="Z948" s="33" t="str">
        <f t="shared" si="636"/>
        <v/>
      </c>
      <c r="AA948" s="32" t="str">
        <f t="shared" si="637"/>
        <v/>
      </c>
      <c r="AB948" s="32" t="str">
        <f t="shared" si="638"/>
        <v/>
      </c>
      <c r="AC948" s="32" t="str">
        <f t="shared" si="639"/>
        <v/>
      </c>
      <c r="AD948" s="32" t="str">
        <f t="shared" si="640"/>
        <v/>
      </c>
      <c r="AE948" s="34" t="str">
        <f t="shared" si="641"/>
        <v/>
      </c>
      <c r="AF948" s="32" t="str">
        <f t="shared" si="642"/>
        <v/>
      </c>
      <c r="AG948" s="32" t="str">
        <f t="shared" si="643"/>
        <v/>
      </c>
      <c r="AH948" s="32" t="str">
        <f t="shared" si="644"/>
        <v/>
      </c>
      <c r="AI948" s="35" t="str">
        <f t="shared" si="645"/>
        <v/>
      </c>
      <c r="AJ948" s="23" t="str">
        <f t="array" ref="AJ948">IFERROR(SMALL(IF(U$1:U$1000="BEGIN",ROW(U$1:U$1000)),ROW()-3),"")</f>
        <v/>
      </c>
      <c r="AK948" s="23" t="str">
        <f t="array" ref="AK948">IFERROR(SMALL(IF(V$1:V$1000="END",ROW(V$1:V$1000)),ROW()-3),"")</f>
        <v/>
      </c>
      <c r="AL948" s="24" t="str">
        <f t="array" ref="AL948">IF(AK948="","",MATCH(AM948,L:L,0))</f>
        <v/>
      </c>
      <c r="AM948" s="35">
        <f t="array" ref="AM948">MAX(IF((B$4:B$1000&lt;=AK948)*(B$4:B$1000&gt;=AJ948),L$4:L$1000, ""))</f>
        <v>0</v>
      </c>
      <c r="AN948" s="32" t="str">
        <f t="shared" si="652"/>
        <v/>
      </c>
      <c r="AO948" s="32" t="str">
        <f t="shared" si="653"/>
        <v/>
      </c>
      <c r="AP948" s="32" t="str">
        <f t="shared" si="654"/>
        <v/>
      </c>
      <c r="AQ948" s="32" t="str">
        <f t="shared" si="655"/>
        <v/>
      </c>
      <c r="AR948" s="32" t="str">
        <f t="shared" si="656"/>
        <v/>
      </c>
      <c r="AS948" s="32" t="str">
        <f t="shared" si="657"/>
        <v/>
      </c>
      <c r="AT948" s="32" t="str">
        <f t="shared" si="658"/>
        <v/>
      </c>
      <c r="AU948" s="34" t="str">
        <f t="shared" si="659"/>
        <v/>
      </c>
      <c r="AV948" s="32" t="str">
        <f t="shared" si="660"/>
        <v/>
      </c>
      <c r="AW948" s="32" t="str">
        <f t="shared" si="661"/>
        <v/>
      </c>
      <c r="AX948" s="32" t="str">
        <f t="shared" si="662"/>
        <v/>
      </c>
      <c r="AY948" s="32" t="str">
        <f t="shared" si="663"/>
        <v/>
      </c>
    </row>
    <row r="949" spans="1:51" x14ac:dyDescent="0.25">
      <c r="A949" s="24" t="str">
        <f t="shared" si="621"/>
        <v/>
      </c>
      <c r="B949" s="24" t="str">
        <f t="shared" si="631"/>
        <v/>
      </c>
      <c r="C949" s="32" t="str">
        <f t="shared" si="622"/>
        <v/>
      </c>
      <c r="D949" s="24" t="str">
        <f t="shared" si="623"/>
        <v/>
      </c>
      <c r="E949" s="24" t="str">
        <f t="shared" si="624"/>
        <v/>
      </c>
      <c r="F949" s="32" t="str">
        <f t="shared" si="625"/>
        <v/>
      </c>
      <c r="G949" s="32" t="str">
        <f t="shared" si="626"/>
        <v/>
      </c>
      <c r="H949" s="32" t="str">
        <f t="shared" ca="1" si="627"/>
        <v/>
      </c>
      <c r="I949" s="32" t="str">
        <f t="shared" ca="1" si="632"/>
        <v/>
      </c>
      <c r="J949" s="32" t="str">
        <f t="shared" si="628"/>
        <v/>
      </c>
      <c r="K949" s="32" t="str">
        <f>IF(ISNUMBER(A949),Profile!$V$25+Profile!$V$24*'Ri-Po'!C949,"")</f>
        <v/>
      </c>
      <c r="L949" s="32" t="str">
        <f t="shared" si="633"/>
        <v/>
      </c>
      <c r="M949" s="32" t="str">
        <f t="shared" si="629"/>
        <v/>
      </c>
      <c r="N949" s="32" t="str">
        <f t="shared" si="630"/>
        <v/>
      </c>
      <c r="O949" s="32" t="str">
        <f t="shared" si="646"/>
        <v/>
      </c>
      <c r="P949" s="32" t="str">
        <f t="shared" si="634"/>
        <v/>
      </c>
      <c r="Q949" s="32" t="str">
        <f t="shared" si="635"/>
        <v/>
      </c>
      <c r="R949" s="32" t="str">
        <f t="shared" si="647"/>
        <v/>
      </c>
      <c r="S949" s="24" t="str">
        <f t="shared" si="648"/>
        <v/>
      </c>
      <c r="T949" s="24" t="str">
        <f t="shared" si="649"/>
        <v/>
      </c>
      <c r="U949" s="24" t="str">
        <f t="shared" si="650"/>
        <v/>
      </c>
      <c r="V949" s="24" t="str">
        <f t="shared" si="651"/>
        <v/>
      </c>
      <c r="W949" s="23" t="str">
        <f t="array" ref="W949">IFERROR(SMALL(IF(S$1:S$1000="BEGIN",ROW(S$1:S$1000)),ROW()-3),"")</f>
        <v/>
      </c>
      <c r="X949" s="23" t="str">
        <f t="array" ref="X949">IFERROR(SMALL(IF(T$1:T$1000="END",ROW(T$1:T$1000)),ROW()-3),"")</f>
        <v/>
      </c>
      <c r="Y949" s="33" t="str">
        <f t="array" ref="Y949">IF(ISNUMBER(W949),MAX(IF((B$4:B$1000&lt;=X949)*(B$4:B$1000&gt;=W949),I$4:I$1000, "")),"")</f>
        <v/>
      </c>
      <c r="Z949" s="33" t="str">
        <f t="shared" si="636"/>
        <v/>
      </c>
      <c r="AA949" s="32" t="str">
        <f t="shared" si="637"/>
        <v/>
      </c>
      <c r="AB949" s="32" t="str">
        <f t="shared" si="638"/>
        <v/>
      </c>
      <c r="AC949" s="32" t="str">
        <f t="shared" si="639"/>
        <v/>
      </c>
      <c r="AD949" s="32" t="str">
        <f t="shared" si="640"/>
        <v/>
      </c>
      <c r="AE949" s="34" t="str">
        <f t="shared" si="641"/>
        <v/>
      </c>
      <c r="AF949" s="32" t="str">
        <f t="shared" si="642"/>
        <v/>
      </c>
      <c r="AG949" s="32" t="str">
        <f t="shared" si="643"/>
        <v/>
      </c>
      <c r="AH949" s="32" t="str">
        <f t="shared" si="644"/>
        <v/>
      </c>
      <c r="AI949" s="35" t="str">
        <f t="shared" si="645"/>
        <v/>
      </c>
      <c r="AJ949" s="23" t="str">
        <f t="array" ref="AJ949">IFERROR(SMALL(IF(U$1:U$1000="BEGIN",ROW(U$1:U$1000)),ROW()-3),"")</f>
        <v/>
      </c>
      <c r="AK949" s="23" t="str">
        <f t="array" ref="AK949">IFERROR(SMALL(IF(V$1:V$1000="END",ROW(V$1:V$1000)),ROW()-3),"")</f>
        <v/>
      </c>
      <c r="AL949" s="24" t="str">
        <f t="array" ref="AL949">IF(AK949="","",MATCH(AM949,L:L,0))</f>
        <v/>
      </c>
      <c r="AM949" s="35">
        <f t="array" ref="AM949">MAX(IF((B$4:B$1000&lt;=AK949)*(B$4:B$1000&gt;=AJ949),L$4:L$1000, ""))</f>
        <v>0</v>
      </c>
      <c r="AN949" s="32" t="str">
        <f t="shared" si="652"/>
        <v/>
      </c>
      <c r="AO949" s="32" t="str">
        <f t="shared" si="653"/>
        <v/>
      </c>
      <c r="AP949" s="32" t="str">
        <f t="shared" si="654"/>
        <v/>
      </c>
      <c r="AQ949" s="32" t="str">
        <f t="shared" si="655"/>
        <v/>
      </c>
      <c r="AR949" s="32" t="str">
        <f t="shared" si="656"/>
        <v/>
      </c>
      <c r="AS949" s="32" t="str">
        <f t="shared" si="657"/>
        <v/>
      </c>
      <c r="AT949" s="32" t="str">
        <f t="shared" si="658"/>
        <v/>
      </c>
      <c r="AU949" s="34" t="str">
        <f t="shared" si="659"/>
        <v/>
      </c>
      <c r="AV949" s="32" t="str">
        <f t="shared" si="660"/>
        <v/>
      </c>
      <c r="AW949" s="32" t="str">
        <f t="shared" si="661"/>
        <v/>
      </c>
      <c r="AX949" s="32" t="str">
        <f t="shared" si="662"/>
        <v/>
      </c>
      <c r="AY949" s="32" t="str">
        <f t="shared" si="663"/>
        <v/>
      </c>
    </row>
    <row r="950" spans="1:51" x14ac:dyDescent="0.25">
      <c r="A950" s="24" t="str">
        <f t="shared" si="621"/>
        <v/>
      </c>
      <c r="B950" s="24" t="str">
        <f t="shared" si="631"/>
        <v/>
      </c>
      <c r="C950" s="32" t="str">
        <f t="shared" si="622"/>
        <v/>
      </c>
      <c r="D950" s="24" t="str">
        <f t="shared" si="623"/>
        <v/>
      </c>
      <c r="E950" s="24" t="str">
        <f t="shared" si="624"/>
        <v/>
      </c>
      <c r="F950" s="32" t="str">
        <f t="shared" si="625"/>
        <v/>
      </c>
      <c r="G950" s="32" t="str">
        <f t="shared" si="626"/>
        <v/>
      </c>
      <c r="H950" s="32" t="str">
        <f t="shared" ca="1" si="627"/>
        <v/>
      </c>
      <c r="I950" s="32" t="str">
        <f t="shared" ca="1" si="632"/>
        <v/>
      </c>
      <c r="J950" s="32" t="str">
        <f t="shared" si="628"/>
        <v/>
      </c>
      <c r="K950" s="32" t="str">
        <f>IF(ISNUMBER(A950),Profile!$V$25+Profile!$V$24*'Ri-Po'!C950,"")</f>
        <v/>
      </c>
      <c r="L950" s="32" t="str">
        <f t="shared" si="633"/>
        <v/>
      </c>
      <c r="M950" s="32" t="str">
        <f t="shared" si="629"/>
        <v/>
      </c>
      <c r="N950" s="32" t="str">
        <f t="shared" si="630"/>
        <v/>
      </c>
      <c r="O950" s="32" t="str">
        <f t="shared" si="646"/>
        <v/>
      </c>
      <c r="P950" s="32" t="str">
        <f t="shared" si="634"/>
        <v/>
      </c>
      <c r="Q950" s="32" t="str">
        <f t="shared" si="635"/>
        <v/>
      </c>
      <c r="R950" s="32" t="str">
        <f t="shared" si="647"/>
        <v/>
      </c>
      <c r="S950" s="24" t="str">
        <f t="shared" si="648"/>
        <v/>
      </c>
      <c r="T950" s="24" t="str">
        <f t="shared" si="649"/>
        <v/>
      </c>
      <c r="U950" s="24" t="str">
        <f t="shared" si="650"/>
        <v/>
      </c>
      <c r="V950" s="24" t="str">
        <f t="shared" si="651"/>
        <v/>
      </c>
      <c r="W950" s="23" t="str">
        <f t="array" ref="W950">IFERROR(SMALL(IF(S$1:S$1000="BEGIN",ROW(S$1:S$1000)),ROW()-3),"")</f>
        <v/>
      </c>
      <c r="X950" s="23" t="str">
        <f t="array" ref="X950">IFERROR(SMALL(IF(T$1:T$1000="END",ROW(T$1:T$1000)),ROW()-3),"")</f>
        <v/>
      </c>
      <c r="Y950" s="33" t="str">
        <f t="array" ref="Y950">IF(ISNUMBER(W950),MAX(IF((B$4:B$1000&lt;=X950)*(B$4:B$1000&gt;=W950),I$4:I$1000, "")),"")</f>
        <v/>
      </c>
      <c r="Z950" s="33" t="str">
        <f t="shared" si="636"/>
        <v/>
      </c>
      <c r="AA950" s="32" t="str">
        <f t="shared" si="637"/>
        <v/>
      </c>
      <c r="AB950" s="32" t="str">
        <f t="shared" si="638"/>
        <v/>
      </c>
      <c r="AC950" s="32" t="str">
        <f t="shared" si="639"/>
        <v/>
      </c>
      <c r="AD950" s="32" t="str">
        <f t="shared" si="640"/>
        <v/>
      </c>
      <c r="AE950" s="34" t="str">
        <f t="shared" si="641"/>
        <v/>
      </c>
      <c r="AF950" s="32" t="str">
        <f t="shared" si="642"/>
        <v/>
      </c>
      <c r="AG950" s="32" t="str">
        <f t="shared" si="643"/>
        <v/>
      </c>
      <c r="AH950" s="32" t="str">
        <f t="shared" si="644"/>
        <v/>
      </c>
      <c r="AI950" s="35" t="str">
        <f t="shared" si="645"/>
        <v/>
      </c>
      <c r="AJ950" s="23" t="str">
        <f t="array" ref="AJ950">IFERROR(SMALL(IF(U$1:U$1000="BEGIN",ROW(U$1:U$1000)),ROW()-3),"")</f>
        <v/>
      </c>
      <c r="AK950" s="23" t="str">
        <f t="array" ref="AK950">IFERROR(SMALL(IF(V$1:V$1000="END",ROW(V$1:V$1000)),ROW()-3),"")</f>
        <v/>
      </c>
      <c r="AL950" s="24" t="str">
        <f t="array" ref="AL950">IF(AK950="","",MATCH(AM950,L:L,0))</f>
        <v/>
      </c>
      <c r="AM950" s="35">
        <f t="array" ref="AM950">MAX(IF((B$4:B$1000&lt;=AK950)*(B$4:B$1000&gt;=AJ950),L$4:L$1000, ""))</f>
        <v>0</v>
      </c>
      <c r="AN950" s="32" t="str">
        <f t="shared" si="652"/>
        <v/>
      </c>
      <c r="AO950" s="32" t="str">
        <f t="shared" si="653"/>
        <v/>
      </c>
      <c r="AP950" s="32" t="str">
        <f t="shared" si="654"/>
        <v/>
      </c>
      <c r="AQ950" s="32" t="str">
        <f t="shared" si="655"/>
        <v/>
      </c>
      <c r="AR950" s="32" t="str">
        <f t="shared" si="656"/>
        <v/>
      </c>
      <c r="AS950" s="32" t="str">
        <f t="shared" si="657"/>
        <v/>
      </c>
      <c r="AT950" s="32" t="str">
        <f t="shared" si="658"/>
        <v/>
      </c>
      <c r="AU950" s="34" t="str">
        <f t="shared" si="659"/>
        <v/>
      </c>
      <c r="AV950" s="32" t="str">
        <f t="shared" si="660"/>
        <v/>
      </c>
      <c r="AW950" s="32" t="str">
        <f t="shared" si="661"/>
        <v/>
      </c>
      <c r="AX950" s="32" t="str">
        <f t="shared" si="662"/>
        <v/>
      </c>
      <c r="AY950" s="32" t="str">
        <f t="shared" si="663"/>
        <v/>
      </c>
    </row>
    <row r="951" spans="1:51" x14ac:dyDescent="0.25">
      <c r="A951" s="24" t="str">
        <f t="shared" si="621"/>
        <v/>
      </c>
      <c r="B951" s="24" t="str">
        <f t="shared" si="631"/>
        <v/>
      </c>
      <c r="C951" s="32" t="str">
        <f t="shared" si="622"/>
        <v/>
      </c>
      <c r="D951" s="24" t="str">
        <f t="shared" si="623"/>
        <v/>
      </c>
      <c r="E951" s="24" t="str">
        <f t="shared" si="624"/>
        <v/>
      </c>
      <c r="F951" s="32" t="str">
        <f t="shared" si="625"/>
        <v/>
      </c>
      <c r="G951" s="32" t="str">
        <f t="shared" si="626"/>
        <v/>
      </c>
      <c r="H951" s="32" t="str">
        <f t="shared" ca="1" si="627"/>
        <v/>
      </c>
      <c r="I951" s="32" t="str">
        <f t="shared" ca="1" si="632"/>
        <v/>
      </c>
      <c r="J951" s="32" t="str">
        <f t="shared" si="628"/>
        <v/>
      </c>
      <c r="K951" s="32" t="str">
        <f>IF(ISNUMBER(A951),Profile!$V$25+Profile!$V$24*'Ri-Po'!C951,"")</f>
        <v/>
      </c>
      <c r="L951" s="32" t="str">
        <f t="shared" si="633"/>
        <v/>
      </c>
      <c r="M951" s="32" t="str">
        <f t="shared" si="629"/>
        <v/>
      </c>
      <c r="N951" s="32" t="str">
        <f t="shared" si="630"/>
        <v/>
      </c>
      <c r="O951" s="32" t="str">
        <f t="shared" si="646"/>
        <v/>
      </c>
      <c r="P951" s="32" t="str">
        <f t="shared" si="634"/>
        <v/>
      </c>
      <c r="Q951" s="32" t="str">
        <f t="shared" si="635"/>
        <v/>
      </c>
      <c r="R951" s="32" t="str">
        <f t="shared" si="647"/>
        <v/>
      </c>
      <c r="S951" s="24" t="str">
        <f t="shared" si="648"/>
        <v/>
      </c>
      <c r="T951" s="24" t="str">
        <f t="shared" si="649"/>
        <v/>
      </c>
      <c r="U951" s="24" t="str">
        <f t="shared" si="650"/>
        <v/>
      </c>
      <c r="V951" s="24" t="str">
        <f t="shared" si="651"/>
        <v/>
      </c>
      <c r="W951" s="23" t="str">
        <f t="array" ref="W951">IFERROR(SMALL(IF(S$1:S$1000="BEGIN",ROW(S$1:S$1000)),ROW()-3),"")</f>
        <v/>
      </c>
      <c r="X951" s="23" t="str">
        <f t="array" ref="X951">IFERROR(SMALL(IF(T$1:T$1000="END",ROW(T$1:T$1000)),ROW()-3),"")</f>
        <v/>
      </c>
      <c r="Y951" s="33" t="str">
        <f t="array" ref="Y951">IF(ISNUMBER(W951),MAX(IF((B$4:B$1000&lt;=X951)*(B$4:B$1000&gt;=W951),I$4:I$1000, "")),"")</f>
        <v/>
      </c>
      <c r="Z951" s="33" t="str">
        <f t="shared" si="636"/>
        <v/>
      </c>
      <c r="AA951" s="32" t="str">
        <f t="shared" si="637"/>
        <v/>
      </c>
      <c r="AB951" s="32" t="str">
        <f t="shared" si="638"/>
        <v/>
      </c>
      <c r="AC951" s="32" t="str">
        <f t="shared" si="639"/>
        <v/>
      </c>
      <c r="AD951" s="32" t="str">
        <f t="shared" si="640"/>
        <v/>
      </c>
      <c r="AE951" s="34" t="str">
        <f t="shared" si="641"/>
        <v/>
      </c>
      <c r="AF951" s="32" t="str">
        <f t="shared" si="642"/>
        <v/>
      </c>
      <c r="AG951" s="32" t="str">
        <f t="shared" si="643"/>
        <v/>
      </c>
      <c r="AH951" s="32" t="str">
        <f t="shared" si="644"/>
        <v/>
      </c>
      <c r="AI951" s="35" t="str">
        <f t="shared" si="645"/>
        <v/>
      </c>
      <c r="AJ951" s="23" t="str">
        <f t="array" ref="AJ951">IFERROR(SMALL(IF(U$1:U$1000="BEGIN",ROW(U$1:U$1000)),ROW()-3),"")</f>
        <v/>
      </c>
      <c r="AK951" s="23" t="str">
        <f t="array" ref="AK951">IFERROR(SMALL(IF(V$1:V$1000="END",ROW(V$1:V$1000)),ROW()-3),"")</f>
        <v/>
      </c>
      <c r="AL951" s="24" t="str">
        <f t="array" ref="AL951">IF(AK951="","",MATCH(AM951,L:L,0))</f>
        <v/>
      </c>
      <c r="AM951" s="35">
        <f t="array" ref="AM951">MAX(IF((B$4:B$1000&lt;=AK951)*(B$4:B$1000&gt;=AJ951),L$4:L$1000, ""))</f>
        <v>0</v>
      </c>
      <c r="AN951" s="32" t="str">
        <f t="shared" si="652"/>
        <v/>
      </c>
      <c r="AO951" s="32" t="str">
        <f t="shared" si="653"/>
        <v/>
      </c>
      <c r="AP951" s="32" t="str">
        <f t="shared" si="654"/>
        <v/>
      </c>
      <c r="AQ951" s="32" t="str">
        <f t="shared" si="655"/>
        <v/>
      </c>
      <c r="AR951" s="32" t="str">
        <f t="shared" si="656"/>
        <v/>
      </c>
      <c r="AS951" s="32" t="str">
        <f t="shared" si="657"/>
        <v/>
      </c>
      <c r="AT951" s="32" t="str">
        <f t="shared" si="658"/>
        <v/>
      </c>
      <c r="AU951" s="34" t="str">
        <f t="shared" si="659"/>
        <v/>
      </c>
      <c r="AV951" s="32" t="str">
        <f t="shared" si="660"/>
        <v/>
      </c>
      <c r="AW951" s="32" t="str">
        <f t="shared" si="661"/>
        <v/>
      </c>
      <c r="AX951" s="32" t="str">
        <f t="shared" si="662"/>
        <v/>
      </c>
      <c r="AY951" s="32" t="str">
        <f t="shared" si="663"/>
        <v/>
      </c>
    </row>
    <row r="952" spans="1:51" x14ac:dyDescent="0.25">
      <c r="A952" s="24" t="str">
        <f t="shared" si="621"/>
        <v/>
      </c>
      <c r="B952" s="24" t="str">
        <f t="shared" si="631"/>
        <v/>
      </c>
      <c r="C952" s="32" t="str">
        <f t="shared" si="622"/>
        <v/>
      </c>
      <c r="D952" s="24" t="str">
        <f t="shared" si="623"/>
        <v/>
      </c>
      <c r="E952" s="24" t="str">
        <f t="shared" si="624"/>
        <v/>
      </c>
      <c r="F952" s="32" t="str">
        <f t="shared" si="625"/>
        <v/>
      </c>
      <c r="G952" s="32" t="str">
        <f t="shared" si="626"/>
        <v/>
      </c>
      <c r="H952" s="32" t="str">
        <f t="shared" ca="1" si="627"/>
        <v/>
      </c>
      <c r="I952" s="32" t="str">
        <f t="shared" ca="1" si="632"/>
        <v/>
      </c>
      <c r="J952" s="32" t="str">
        <f t="shared" si="628"/>
        <v/>
      </c>
      <c r="K952" s="32" t="str">
        <f>IF(ISNUMBER(A952),Profile!$V$25+Profile!$V$24*'Ri-Po'!C952,"")</f>
        <v/>
      </c>
      <c r="L952" s="32" t="str">
        <f t="shared" si="633"/>
        <v/>
      </c>
      <c r="M952" s="32" t="str">
        <f t="shared" si="629"/>
        <v/>
      </c>
      <c r="N952" s="32" t="str">
        <f t="shared" si="630"/>
        <v/>
      </c>
      <c r="O952" s="32" t="str">
        <f t="shared" si="646"/>
        <v/>
      </c>
      <c r="P952" s="32" t="str">
        <f t="shared" si="634"/>
        <v/>
      </c>
      <c r="Q952" s="32" t="str">
        <f t="shared" si="635"/>
        <v/>
      </c>
      <c r="R952" s="32" t="str">
        <f t="shared" si="647"/>
        <v/>
      </c>
      <c r="S952" s="24" t="str">
        <f t="shared" si="648"/>
        <v/>
      </c>
      <c r="T952" s="24" t="str">
        <f t="shared" si="649"/>
        <v/>
      </c>
      <c r="U952" s="24" t="str">
        <f t="shared" si="650"/>
        <v/>
      </c>
      <c r="V952" s="24" t="str">
        <f t="shared" si="651"/>
        <v/>
      </c>
      <c r="W952" s="23" t="str">
        <f t="array" ref="W952">IFERROR(SMALL(IF(S$1:S$1000="BEGIN",ROW(S$1:S$1000)),ROW()-3),"")</f>
        <v/>
      </c>
      <c r="X952" s="23" t="str">
        <f t="array" ref="X952">IFERROR(SMALL(IF(T$1:T$1000="END",ROW(T$1:T$1000)),ROW()-3),"")</f>
        <v/>
      </c>
      <c r="Y952" s="33" t="str">
        <f t="array" ref="Y952">IF(ISNUMBER(W952),MAX(IF((B$4:B$1000&lt;=X952)*(B$4:B$1000&gt;=W952),I$4:I$1000, "")),"")</f>
        <v/>
      </c>
      <c r="Z952" s="33" t="str">
        <f t="shared" si="636"/>
        <v/>
      </c>
      <c r="AA952" s="32" t="str">
        <f t="shared" si="637"/>
        <v/>
      </c>
      <c r="AB952" s="32" t="str">
        <f t="shared" si="638"/>
        <v/>
      </c>
      <c r="AC952" s="32" t="str">
        <f t="shared" si="639"/>
        <v/>
      </c>
      <c r="AD952" s="32" t="str">
        <f t="shared" si="640"/>
        <v/>
      </c>
      <c r="AE952" s="34" t="str">
        <f t="shared" si="641"/>
        <v/>
      </c>
      <c r="AF952" s="32" t="str">
        <f t="shared" si="642"/>
        <v/>
      </c>
      <c r="AG952" s="32" t="str">
        <f t="shared" si="643"/>
        <v/>
      </c>
      <c r="AH952" s="32" t="str">
        <f t="shared" si="644"/>
        <v/>
      </c>
      <c r="AI952" s="35" t="str">
        <f t="shared" si="645"/>
        <v/>
      </c>
      <c r="AJ952" s="23" t="str">
        <f t="array" ref="AJ952">IFERROR(SMALL(IF(U$1:U$1000="BEGIN",ROW(U$1:U$1000)),ROW()-3),"")</f>
        <v/>
      </c>
      <c r="AK952" s="23" t="str">
        <f t="array" ref="AK952">IFERROR(SMALL(IF(V$1:V$1000="END",ROW(V$1:V$1000)),ROW()-3),"")</f>
        <v/>
      </c>
      <c r="AL952" s="24" t="str">
        <f t="array" ref="AL952">IF(AK952="","",MATCH(AM952,L:L,0))</f>
        <v/>
      </c>
      <c r="AM952" s="35">
        <f t="array" ref="AM952">MAX(IF((B$4:B$1000&lt;=AK952)*(B$4:B$1000&gt;=AJ952),L$4:L$1000, ""))</f>
        <v>0</v>
      </c>
      <c r="AN952" s="32" t="str">
        <f t="shared" si="652"/>
        <v/>
      </c>
      <c r="AO952" s="32" t="str">
        <f t="shared" si="653"/>
        <v/>
      </c>
      <c r="AP952" s="32" t="str">
        <f t="shared" si="654"/>
        <v/>
      </c>
      <c r="AQ952" s="32" t="str">
        <f t="shared" si="655"/>
        <v/>
      </c>
      <c r="AR952" s="32" t="str">
        <f t="shared" si="656"/>
        <v/>
      </c>
      <c r="AS952" s="32" t="str">
        <f t="shared" si="657"/>
        <v/>
      </c>
      <c r="AT952" s="32" t="str">
        <f t="shared" si="658"/>
        <v/>
      </c>
      <c r="AU952" s="34" t="str">
        <f t="shared" si="659"/>
        <v/>
      </c>
      <c r="AV952" s="32" t="str">
        <f t="shared" si="660"/>
        <v/>
      </c>
      <c r="AW952" s="32" t="str">
        <f t="shared" si="661"/>
        <v/>
      </c>
      <c r="AX952" s="32" t="str">
        <f t="shared" si="662"/>
        <v/>
      </c>
      <c r="AY952" s="32" t="str">
        <f t="shared" si="663"/>
        <v/>
      </c>
    </row>
    <row r="953" spans="1:51" x14ac:dyDescent="0.25">
      <c r="A953" s="24" t="str">
        <f t="shared" si="621"/>
        <v/>
      </c>
      <c r="B953" s="24" t="str">
        <f t="shared" si="631"/>
        <v/>
      </c>
      <c r="C953" s="32" t="str">
        <f t="shared" si="622"/>
        <v/>
      </c>
      <c r="D953" s="24" t="str">
        <f t="shared" si="623"/>
        <v/>
      </c>
      <c r="E953" s="24" t="str">
        <f t="shared" si="624"/>
        <v/>
      </c>
      <c r="F953" s="32" t="str">
        <f t="shared" si="625"/>
        <v/>
      </c>
      <c r="G953" s="32" t="str">
        <f t="shared" si="626"/>
        <v/>
      </c>
      <c r="H953" s="32" t="str">
        <f t="shared" ca="1" si="627"/>
        <v/>
      </c>
      <c r="I953" s="32" t="str">
        <f t="shared" ca="1" si="632"/>
        <v/>
      </c>
      <c r="J953" s="32" t="str">
        <f t="shared" si="628"/>
        <v/>
      </c>
      <c r="K953" s="32" t="str">
        <f>IF(ISNUMBER(A953),Profile!$V$25+Profile!$V$24*'Ri-Po'!C953,"")</f>
        <v/>
      </c>
      <c r="L953" s="32" t="str">
        <f t="shared" si="633"/>
        <v/>
      </c>
      <c r="M953" s="32" t="str">
        <f t="shared" si="629"/>
        <v/>
      </c>
      <c r="N953" s="32" t="str">
        <f t="shared" si="630"/>
        <v/>
      </c>
      <c r="O953" s="32" t="str">
        <f t="shared" si="646"/>
        <v/>
      </c>
      <c r="P953" s="32" t="str">
        <f t="shared" si="634"/>
        <v/>
      </c>
      <c r="Q953" s="32" t="str">
        <f t="shared" si="635"/>
        <v/>
      </c>
      <c r="R953" s="32" t="str">
        <f t="shared" si="647"/>
        <v/>
      </c>
      <c r="S953" s="24" t="str">
        <f t="shared" si="648"/>
        <v/>
      </c>
      <c r="T953" s="24" t="str">
        <f t="shared" si="649"/>
        <v/>
      </c>
      <c r="U953" s="24" t="str">
        <f t="shared" si="650"/>
        <v/>
      </c>
      <c r="V953" s="24" t="str">
        <f t="shared" si="651"/>
        <v/>
      </c>
      <c r="W953" s="23" t="str">
        <f t="array" ref="W953">IFERROR(SMALL(IF(S$1:S$1000="BEGIN",ROW(S$1:S$1000)),ROW()-3),"")</f>
        <v/>
      </c>
      <c r="X953" s="23" t="str">
        <f t="array" ref="X953">IFERROR(SMALL(IF(T$1:T$1000="END",ROW(T$1:T$1000)),ROW()-3),"")</f>
        <v/>
      </c>
      <c r="Y953" s="33" t="str">
        <f t="array" ref="Y953">IF(ISNUMBER(W953),MAX(IF((B$4:B$1000&lt;=X953)*(B$4:B$1000&gt;=W953),I$4:I$1000, "")),"")</f>
        <v/>
      </c>
      <c r="Z953" s="33" t="str">
        <f t="shared" si="636"/>
        <v/>
      </c>
      <c r="AA953" s="32" t="str">
        <f t="shared" si="637"/>
        <v/>
      </c>
      <c r="AB953" s="32" t="str">
        <f t="shared" si="638"/>
        <v/>
      </c>
      <c r="AC953" s="32" t="str">
        <f t="shared" si="639"/>
        <v/>
      </c>
      <c r="AD953" s="32" t="str">
        <f t="shared" si="640"/>
        <v/>
      </c>
      <c r="AE953" s="34" t="str">
        <f t="shared" si="641"/>
        <v/>
      </c>
      <c r="AF953" s="32" t="str">
        <f t="shared" si="642"/>
        <v/>
      </c>
      <c r="AG953" s="32" t="str">
        <f t="shared" si="643"/>
        <v/>
      </c>
      <c r="AH953" s="32" t="str">
        <f t="shared" si="644"/>
        <v/>
      </c>
      <c r="AI953" s="35" t="str">
        <f t="shared" si="645"/>
        <v/>
      </c>
      <c r="AJ953" s="23" t="str">
        <f t="array" ref="AJ953">IFERROR(SMALL(IF(U$1:U$1000="BEGIN",ROW(U$1:U$1000)),ROW()-3),"")</f>
        <v/>
      </c>
      <c r="AK953" s="23" t="str">
        <f t="array" ref="AK953">IFERROR(SMALL(IF(V$1:V$1000="END",ROW(V$1:V$1000)),ROW()-3),"")</f>
        <v/>
      </c>
      <c r="AL953" s="24" t="str">
        <f t="array" ref="AL953">IF(AK953="","",MATCH(AM953,L:L,0))</f>
        <v/>
      </c>
      <c r="AM953" s="35">
        <f t="array" ref="AM953">MAX(IF((B$4:B$1000&lt;=AK953)*(B$4:B$1000&gt;=AJ953),L$4:L$1000, ""))</f>
        <v>0</v>
      </c>
      <c r="AN953" s="32" t="str">
        <f t="shared" si="652"/>
        <v/>
      </c>
      <c r="AO953" s="32" t="str">
        <f t="shared" si="653"/>
        <v/>
      </c>
      <c r="AP953" s="32" t="str">
        <f t="shared" si="654"/>
        <v/>
      </c>
      <c r="AQ953" s="32" t="str">
        <f t="shared" si="655"/>
        <v/>
      </c>
      <c r="AR953" s="32" t="str">
        <f t="shared" si="656"/>
        <v/>
      </c>
      <c r="AS953" s="32" t="str">
        <f t="shared" si="657"/>
        <v/>
      </c>
      <c r="AT953" s="32" t="str">
        <f t="shared" si="658"/>
        <v/>
      </c>
      <c r="AU953" s="34" t="str">
        <f t="shared" si="659"/>
        <v/>
      </c>
      <c r="AV953" s="32" t="str">
        <f t="shared" si="660"/>
        <v/>
      </c>
      <c r="AW953" s="32" t="str">
        <f t="shared" si="661"/>
        <v/>
      </c>
      <c r="AX953" s="32" t="str">
        <f t="shared" si="662"/>
        <v/>
      </c>
      <c r="AY953" s="32" t="str">
        <f t="shared" si="663"/>
        <v/>
      </c>
    </row>
    <row r="954" spans="1:51" x14ac:dyDescent="0.25">
      <c r="A954" s="24" t="str">
        <f t="shared" si="621"/>
        <v/>
      </c>
      <c r="B954" s="24" t="str">
        <f t="shared" si="631"/>
        <v/>
      </c>
      <c r="C954" s="32" t="str">
        <f t="shared" si="622"/>
        <v/>
      </c>
      <c r="D954" s="24" t="str">
        <f t="shared" si="623"/>
        <v/>
      </c>
      <c r="E954" s="24" t="str">
        <f t="shared" si="624"/>
        <v/>
      </c>
      <c r="F954" s="32" t="str">
        <f t="shared" si="625"/>
        <v/>
      </c>
      <c r="G954" s="32" t="str">
        <f t="shared" si="626"/>
        <v/>
      </c>
      <c r="H954" s="32" t="str">
        <f t="shared" ca="1" si="627"/>
        <v/>
      </c>
      <c r="I954" s="32" t="str">
        <f t="shared" ca="1" si="632"/>
        <v/>
      </c>
      <c r="J954" s="32" t="str">
        <f t="shared" si="628"/>
        <v/>
      </c>
      <c r="K954" s="32" t="str">
        <f>IF(ISNUMBER(A954),Profile!$V$25+Profile!$V$24*'Ri-Po'!C954,"")</f>
        <v/>
      </c>
      <c r="L954" s="32" t="str">
        <f t="shared" si="633"/>
        <v/>
      </c>
      <c r="M954" s="32" t="str">
        <f t="shared" si="629"/>
        <v/>
      </c>
      <c r="N954" s="32" t="str">
        <f t="shared" si="630"/>
        <v/>
      </c>
      <c r="O954" s="32" t="str">
        <f t="shared" si="646"/>
        <v/>
      </c>
      <c r="P954" s="32" t="str">
        <f t="shared" si="634"/>
        <v/>
      </c>
      <c r="Q954" s="32" t="str">
        <f t="shared" si="635"/>
        <v/>
      </c>
      <c r="R954" s="32" t="str">
        <f t="shared" si="647"/>
        <v/>
      </c>
      <c r="S954" s="24" t="str">
        <f t="shared" si="648"/>
        <v/>
      </c>
      <c r="T954" s="24" t="str">
        <f t="shared" si="649"/>
        <v/>
      </c>
      <c r="U954" s="24" t="str">
        <f t="shared" si="650"/>
        <v/>
      </c>
      <c r="V954" s="24" t="str">
        <f t="shared" si="651"/>
        <v/>
      </c>
      <c r="W954" s="23" t="str">
        <f t="array" ref="W954">IFERROR(SMALL(IF(S$1:S$1000="BEGIN",ROW(S$1:S$1000)),ROW()-3),"")</f>
        <v/>
      </c>
      <c r="X954" s="23" t="str">
        <f t="array" ref="X954">IFERROR(SMALL(IF(T$1:T$1000="END",ROW(T$1:T$1000)),ROW()-3),"")</f>
        <v/>
      </c>
      <c r="Y954" s="33" t="str">
        <f t="array" ref="Y954">IF(ISNUMBER(W954),MAX(IF((B$4:B$1000&lt;=X954)*(B$4:B$1000&gt;=W954),I$4:I$1000, "")),"")</f>
        <v/>
      </c>
      <c r="Z954" s="33" t="str">
        <f t="shared" si="636"/>
        <v/>
      </c>
      <c r="AA954" s="32" t="str">
        <f t="shared" si="637"/>
        <v/>
      </c>
      <c r="AB954" s="32" t="str">
        <f t="shared" si="638"/>
        <v/>
      </c>
      <c r="AC954" s="32" t="str">
        <f t="shared" si="639"/>
        <v/>
      </c>
      <c r="AD954" s="32" t="str">
        <f t="shared" si="640"/>
        <v/>
      </c>
      <c r="AE954" s="34" t="str">
        <f t="shared" si="641"/>
        <v/>
      </c>
      <c r="AF954" s="32" t="str">
        <f t="shared" si="642"/>
        <v/>
      </c>
      <c r="AG954" s="32" t="str">
        <f t="shared" si="643"/>
        <v/>
      </c>
      <c r="AH954" s="32" t="str">
        <f t="shared" si="644"/>
        <v/>
      </c>
      <c r="AI954" s="35" t="str">
        <f t="shared" si="645"/>
        <v/>
      </c>
      <c r="AJ954" s="23" t="str">
        <f t="array" ref="AJ954">IFERROR(SMALL(IF(U$1:U$1000="BEGIN",ROW(U$1:U$1000)),ROW()-3),"")</f>
        <v/>
      </c>
      <c r="AK954" s="23" t="str">
        <f t="array" ref="AK954">IFERROR(SMALL(IF(V$1:V$1000="END",ROW(V$1:V$1000)),ROW()-3),"")</f>
        <v/>
      </c>
      <c r="AL954" s="24" t="str">
        <f t="array" ref="AL954">IF(AK954="","",MATCH(AM954,L:L,0))</f>
        <v/>
      </c>
      <c r="AM954" s="35">
        <f t="array" ref="AM954">MAX(IF((B$4:B$1000&lt;=AK954)*(B$4:B$1000&gt;=AJ954),L$4:L$1000, ""))</f>
        <v>0</v>
      </c>
      <c r="AN954" s="32" t="str">
        <f t="shared" si="652"/>
        <v/>
      </c>
      <c r="AO954" s="32" t="str">
        <f t="shared" si="653"/>
        <v/>
      </c>
      <c r="AP954" s="32" t="str">
        <f t="shared" si="654"/>
        <v/>
      </c>
      <c r="AQ954" s="32" t="str">
        <f t="shared" si="655"/>
        <v/>
      </c>
      <c r="AR954" s="32" t="str">
        <f t="shared" si="656"/>
        <v/>
      </c>
      <c r="AS954" s="32" t="str">
        <f t="shared" si="657"/>
        <v/>
      </c>
      <c r="AT954" s="32" t="str">
        <f t="shared" si="658"/>
        <v/>
      </c>
      <c r="AU954" s="34" t="str">
        <f t="shared" si="659"/>
        <v/>
      </c>
      <c r="AV954" s="32" t="str">
        <f t="shared" si="660"/>
        <v/>
      </c>
      <c r="AW954" s="32" t="str">
        <f t="shared" si="661"/>
        <v/>
      </c>
      <c r="AX954" s="32" t="str">
        <f t="shared" si="662"/>
        <v/>
      </c>
      <c r="AY954" s="32" t="str">
        <f t="shared" si="663"/>
        <v/>
      </c>
    </row>
    <row r="955" spans="1:51" x14ac:dyDescent="0.25">
      <c r="A955" s="24" t="str">
        <f t="shared" si="621"/>
        <v/>
      </c>
      <c r="B955" s="24" t="str">
        <f t="shared" si="631"/>
        <v/>
      </c>
      <c r="C955" s="32" t="str">
        <f t="shared" si="622"/>
        <v/>
      </c>
      <c r="D955" s="24" t="str">
        <f t="shared" si="623"/>
        <v/>
      </c>
      <c r="E955" s="24" t="str">
        <f t="shared" si="624"/>
        <v/>
      </c>
      <c r="F955" s="32" t="str">
        <f t="shared" si="625"/>
        <v/>
      </c>
      <c r="G955" s="32" t="str">
        <f t="shared" si="626"/>
        <v/>
      </c>
      <c r="H955" s="32" t="str">
        <f t="shared" ca="1" si="627"/>
        <v/>
      </c>
      <c r="I955" s="32" t="str">
        <f t="shared" ca="1" si="632"/>
        <v/>
      </c>
      <c r="J955" s="32" t="str">
        <f t="shared" si="628"/>
        <v/>
      </c>
      <c r="K955" s="32" t="str">
        <f>IF(ISNUMBER(A955),Profile!$V$25+Profile!$V$24*'Ri-Po'!C955,"")</f>
        <v/>
      </c>
      <c r="L955" s="32" t="str">
        <f t="shared" si="633"/>
        <v/>
      </c>
      <c r="M955" s="32" t="str">
        <f t="shared" si="629"/>
        <v/>
      </c>
      <c r="N955" s="32" t="str">
        <f t="shared" si="630"/>
        <v/>
      </c>
      <c r="O955" s="32" t="str">
        <f t="shared" si="646"/>
        <v/>
      </c>
      <c r="P955" s="32" t="str">
        <f t="shared" si="634"/>
        <v/>
      </c>
      <c r="Q955" s="32" t="str">
        <f t="shared" si="635"/>
        <v/>
      </c>
      <c r="R955" s="32" t="str">
        <f t="shared" si="647"/>
        <v/>
      </c>
      <c r="S955" s="24" t="str">
        <f t="shared" si="648"/>
        <v/>
      </c>
      <c r="T955" s="24" t="str">
        <f t="shared" si="649"/>
        <v/>
      </c>
      <c r="U955" s="24" t="str">
        <f t="shared" si="650"/>
        <v/>
      </c>
      <c r="V955" s="24" t="str">
        <f t="shared" si="651"/>
        <v/>
      </c>
      <c r="W955" s="23" t="str">
        <f t="array" ref="W955">IFERROR(SMALL(IF(S$1:S$1000="BEGIN",ROW(S$1:S$1000)),ROW()-3),"")</f>
        <v/>
      </c>
      <c r="X955" s="23" t="str">
        <f t="array" ref="X955">IFERROR(SMALL(IF(T$1:T$1000="END",ROW(T$1:T$1000)),ROW()-3),"")</f>
        <v/>
      </c>
      <c r="Y955" s="33" t="str">
        <f t="array" ref="Y955">IF(ISNUMBER(W955),MAX(IF((B$4:B$1000&lt;=X955)*(B$4:B$1000&gt;=W955),I$4:I$1000, "")),"")</f>
        <v/>
      </c>
      <c r="Z955" s="33" t="str">
        <f t="shared" si="636"/>
        <v/>
      </c>
      <c r="AA955" s="32" t="str">
        <f t="shared" si="637"/>
        <v/>
      </c>
      <c r="AB955" s="32" t="str">
        <f t="shared" si="638"/>
        <v/>
      </c>
      <c r="AC955" s="32" t="str">
        <f t="shared" si="639"/>
        <v/>
      </c>
      <c r="AD955" s="32" t="str">
        <f t="shared" si="640"/>
        <v/>
      </c>
      <c r="AE955" s="34" t="str">
        <f t="shared" si="641"/>
        <v/>
      </c>
      <c r="AF955" s="32" t="str">
        <f t="shared" si="642"/>
        <v/>
      </c>
      <c r="AG955" s="32" t="str">
        <f t="shared" si="643"/>
        <v/>
      </c>
      <c r="AH955" s="32" t="str">
        <f t="shared" si="644"/>
        <v/>
      </c>
      <c r="AI955" s="35" t="str">
        <f t="shared" si="645"/>
        <v/>
      </c>
      <c r="AJ955" s="23" t="str">
        <f t="array" ref="AJ955">IFERROR(SMALL(IF(U$1:U$1000="BEGIN",ROW(U$1:U$1000)),ROW()-3),"")</f>
        <v/>
      </c>
      <c r="AK955" s="23" t="str">
        <f t="array" ref="AK955">IFERROR(SMALL(IF(V$1:V$1000="END",ROW(V$1:V$1000)),ROW()-3),"")</f>
        <v/>
      </c>
      <c r="AL955" s="24" t="str">
        <f t="array" ref="AL955">IF(AK955="","",MATCH(AM955,L:L,0))</f>
        <v/>
      </c>
      <c r="AM955" s="35">
        <f t="array" ref="AM955">MAX(IF((B$4:B$1000&lt;=AK955)*(B$4:B$1000&gt;=AJ955),L$4:L$1000, ""))</f>
        <v>0</v>
      </c>
      <c r="AN955" s="32" t="str">
        <f t="shared" si="652"/>
        <v/>
      </c>
      <c r="AO955" s="32" t="str">
        <f t="shared" si="653"/>
        <v/>
      </c>
      <c r="AP955" s="32" t="str">
        <f t="shared" si="654"/>
        <v/>
      </c>
      <c r="AQ955" s="32" t="str">
        <f t="shared" si="655"/>
        <v/>
      </c>
      <c r="AR955" s="32" t="str">
        <f t="shared" si="656"/>
        <v/>
      </c>
      <c r="AS955" s="32" t="str">
        <f t="shared" si="657"/>
        <v/>
      </c>
      <c r="AT955" s="32" t="str">
        <f t="shared" si="658"/>
        <v/>
      </c>
      <c r="AU955" s="34" t="str">
        <f t="shared" si="659"/>
        <v/>
      </c>
      <c r="AV955" s="32" t="str">
        <f t="shared" si="660"/>
        <v/>
      </c>
      <c r="AW955" s="32" t="str">
        <f t="shared" si="661"/>
        <v/>
      </c>
      <c r="AX955" s="32" t="str">
        <f t="shared" si="662"/>
        <v/>
      </c>
      <c r="AY955" s="32" t="str">
        <f t="shared" si="663"/>
        <v/>
      </c>
    </row>
    <row r="956" spans="1:51" x14ac:dyDescent="0.25">
      <c r="A956" s="24" t="str">
        <f t="shared" si="621"/>
        <v/>
      </c>
      <c r="B956" s="24" t="str">
        <f t="shared" si="631"/>
        <v/>
      </c>
      <c r="C956" s="32" t="str">
        <f t="shared" si="622"/>
        <v/>
      </c>
      <c r="D956" s="24" t="str">
        <f t="shared" si="623"/>
        <v/>
      </c>
      <c r="E956" s="24" t="str">
        <f t="shared" si="624"/>
        <v/>
      </c>
      <c r="F956" s="32" t="str">
        <f t="shared" si="625"/>
        <v/>
      </c>
      <c r="G956" s="32" t="str">
        <f t="shared" si="626"/>
        <v/>
      </c>
      <c r="H956" s="32" t="str">
        <f t="shared" ca="1" si="627"/>
        <v/>
      </c>
      <c r="I956" s="32" t="str">
        <f t="shared" ca="1" si="632"/>
        <v/>
      </c>
      <c r="J956" s="32" t="str">
        <f t="shared" si="628"/>
        <v/>
      </c>
      <c r="K956" s="32" t="str">
        <f>IF(ISNUMBER(A956),Profile!$V$25+Profile!$V$24*'Ri-Po'!C956,"")</f>
        <v/>
      </c>
      <c r="L956" s="32" t="str">
        <f t="shared" si="633"/>
        <v/>
      </c>
      <c r="M956" s="32" t="str">
        <f t="shared" si="629"/>
        <v/>
      </c>
      <c r="N956" s="32" t="str">
        <f t="shared" si="630"/>
        <v/>
      </c>
      <c r="O956" s="32" t="str">
        <f t="shared" si="646"/>
        <v/>
      </c>
      <c r="P956" s="32" t="str">
        <f t="shared" si="634"/>
        <v/>
      </c>
      <c r="Q956" s="32" t="str">
        <f t="shared" si="635"/>
        <v/>
      </c>
      <c r="R956" s="32" t="str">
        <f t="shared" si="647"/>
        <v/>
      </c>
      <c r="S956" s="24" t="str">
        <f t="shared" si="648"/>
        <v/>
      </c>
      <c r="T956" s="24" t="str">
        <f t="shared" si="649"/>
        <v/>
      </c>
      <c r="U956" s="24" t="str">
        <f t="shared" si="650"/>
        <v/>
      </c>
      <c r="V956" s="24" t="str">
        <f t="shared" si="651"/>
        <v/>
      </c>
      <c r="W956" s="23" t="str">
        <f t="array" ref="W956">IFERROR(SMALL(IF(S$1:S$1000="BEGIN",ROW(S$1:S$1000)),ROW()-3),"")</f>
        <v/>
      </c>
      <c r="X956" s="23" t="str">
        <f t="array" ref="X956">IFERROR(SMALL(IF(T$1:T$1000="END",ROW(T$1:T$1000)),ROW()-3),"")</f>
        <v/>
      </c>
      <c r="Y956" s="33" t="str">
        <f t="array" ref="Y956">IF(ISNUMBER(W956),MAX(IF((B$4:B$1000&lt;=X956)*(B$4:B$1000&gt;=W956),I$4:I$1000, "")),"")</f>
        <v/>
      </c>
      <c r="Z956" s="33" t="str">
        <f t="shared" si="636"/>
        <v/>
      </c>
      <c r="AA956" s="32" t="str">
        <f t="shared" si="637"/>
        <v/>
      </c>
      <c r="AB956" s="32" t="str">
        <f t="shared" si="638"/>
        <v/>
      </c>
      <c r="AC956" s="32" t="str">
        <f t="shared" si="639"/>
        <v/>
      </c>
      <c r="AD956" s="32" t="str">
        <f t="shared" si="640"/>
        <v/>
      </c>
      <c r="AE956" s="34" t="str">
        <f t="shared" si="641"/>
        <v/>
      </c>
      <c r="AF956" s="32" t="str">
        <f t="shared" si="642"/>
        <v/>
      </c>
      <c r="AG956" s="32" t="str">
        <f t="shared" si="643"/>
        <v/>
      </c>
      <c r="AH956" s="32" t="str">
        <f t="shared" si="644"/>
        <v/>
      </c>
      <c r="AI956" s="35" t="str">
        <f t="shared" si="645"/>
        <v/>
      </c>
      <c r="AJ956" s="23" t="str">
        <f t="array" ref="AJ956">IFERROR(SMALL(IF(U$1:U$1000="BEGIN",ROW(U$1:U$1000)),ROW()-3),"")</f>
        <v/>
      </c>
      <c r="AK956" s="23" t="str">
        <f t="array" ref="AK956">IFERROR(SMALL(IF(V$1:V$1000="END",ROW(V$1:V$1000)),ROW()-3),"")</f>
        <v/>
      </c>
      <c r="AL956" s="24" t="str">
        <f t="array" ref="AL956">IF(AK956="","",MATCH(AM956,L:L,0))</f>
        <v/>
      </c>
      <c r="AM956" s="35">
        <f t="array" ref="AM956">MAX(IF((B$4:B$1000&lt;=AK956)*(B$4:B$1000&gt;=AJ956),L$4:L$1000, ""))</f>
        <v>0</v>
      </c>
      <c r="AN956" s="32" t="str">
        <f t="shared" si="652"/>
        <v/>
      </c>
      <c r="AO956" s="32" t="str">
        <f t="shared" si="653"/>
        <v/>
      </c>
      <c r="AP956" s="32" t="str">
        <f t="shared" si="654"/>
        <v/>
      </c>
      <c r="AQ956" s="32" t="str">
        <f t="shared" si="655"/>
        <v/>
      </c>
      <c r="AR956" s="32" t="str">
        <f t="shared" si="656"/>
        <v/>
      </c>
      <c r="AS956" s="32" t="str">
        <f t="shared" si="657"/>
        <v/>
      </c>
      <c r="AT956" s="32" t="str">
        <f t="shared" si="658"/>
        <v/>
      </c>
      <c r="AU956" s="34" t="str">
        <f t="shared" si="659"/>
        <v/>
      </c>
      <c r="AV956" s="32" t="str">
        <f t="shared" si="660"/>
        <v/>
      </c>
      <c r="AW956" s="32" t="str">
        <f t="shared" si="661"/>
        <v/>
      </c>
      <c r="AX956" s="32" t="str">
        <f t="shared" si="662"/>
        <v/>
      </c>
      <c r="AY956" s="32" t="str">
        <f t="shared" si="663"/>
        <v/>
      </c>
    </row>
    <row r="957" spans="1:51" x14ac:dyDescent="0.25">
      <c r="A957" s="24" t="str">
        <f t="shared" si="621"/>
        <v/>
      </c>
      <c r="B957" s="24" t="str">
        <f t="shared" si="631"/>
        <v/>
      </c>
      <c r="C957" s="32" t="str">
        <f t="shared" si="622"/>
        <v/>
      </c>
      <c r="D957" s="24" t="str">
        <f t="shared" si="623"/>
        <v/>
      </c>
      <c r="E957" s="24" t="str">
        <f t="shared" si="624"/>
        <v/>
      </c>
      <c r="F957" s="32" t="str">
        <f t="shared" si="625"/>
        <v/>
      </c>
      <c r="G957" s="32" t="str">
        <f t="shared" si="626"/>
        <v/>
      </c>
      <c r="H957" s="32" t="str">
        <f t="shared" ca="1" si="627"/>
        <v/>
      </c>
      <c r="I957" s="32" t="str">
        <f t="shared" ca="1" si="632"/>
        <v/>
      </c>
      <c r="J957" s="32" t="str">
        <f t="shared" si="628"/>
        <v/>
      </c>
      <c r="K957" s="32" t="str">
        <f>IF(ISNUMBER(A957),Profile!$V$25+Profile!$V$24*'Ri-Po'!C957,"")</f>
        <v/>
      </c>
      <c r="L957" s="32" t="str">
        <f t="shared" si="633"/>
        <v/>
      </c>
      <c r="M957" s="32" t="str">
        <f t="shared" si="629"/>
        <v/>
      </c>
      <c r="N957" s="32" t="str">
        <f t="shared" si="630"/>
        <v/>
      </c>
      <c r="O957" s="32" t="str">
        <f t="shared" si="646"/>
        <v/>
      </c>
      <c r="P957" s="32" t="str">
        <f t="shared" si="634"/>
        <v/>
      </c>
      <c r="Q957" s="32" t="str">
        <f t="shared" si="635"/>
        <v/>
      </c>
      <c r="R957" s="32" t="str">
        <f t="shared" si="647"/>
        <v/>
      </c>
      <c r="S957" s="24" t="str">
        <f t="shared" si="648"/>
        <v/>
      </c>
      <c r="T957" s="24" t="str">
        <f t="shared" si="649"/>
        <v/>
      </c>
      <c r="U957" s="24" t="str">
        <f t="shared" si="650"/>
        <v/>
      </c>
      <c r="V957" s="24" t="str">
        <f t="shared" si="651"/>
        <v/>
      </c>
      <c r="W957" s="23" t="str">
        <f t="array" ref="W957">IFERROR(SMALL(IF(S$1:S$1000="BEGIN",ROW(S$1:S$1000)),ROW()-3),"")</f>
        <v/>
      </c>
      <c r="X957" s="23" t="str">
        <f t="array" ref="X957">IFERROR(SMALL(IF(T$1:T$1000="END",ROW(T$1:T$1000)),ROW()-3),"")</f>
        <v/>
      </c>
      <c r="Y957" s="33" t="str">
        <f t="array" ref="Y957">IF(ISNUMBER(W957),MAX(IF((B$4:B$1000&lt;=X957)*(B$4:B$1000&gt;=W957),I$4:I$1000, "")),"")</f>
        <v/>
      </c>
      <c r="Z957" s="33" t="str">
        <f t="shared" si="636"/>
        <v/>
      </c>
      <c r="AA957" s="32" t="str">
        <f t="shared" si="637"/>
        <v/>
      </c>
      <c r="AB957" s="32" t="str">
        <f t="shared" si="638"/>
        <v/>
      </c>
      <c r="AC957" s="32" t="str">
        <f t="shared" si="639"/>
        <v/>
      </c>
      <c r="AD957" s="32" t="str">
        <f t="shared" si="640"/>
        <v/>
      </c>
      <c r="AE957" s="34" t="str">
        <f t="shared" si="641"/>
        <v/>
      </c>
      <c r="AF957" s="32" t="str">
        <f t="shared" si="642"/>
        <v/>
      </c>
      <c r="AG957" s="32" t="str">
        <f t="shared" si="643"/>
        <v/>
      </c>
      <c r="AH957" s="32" t="str">
        <f t="shared" si="644"/>
        <v/>
      </c>
      <c r="AI957" s="35" t="str">
        <f t="shared" si="645"/>
        <v/>
      </c>
      <c r="AJ957" s="23" t="str">
        <f t="array" ref="AJ957">IFERROR(SMALL(IF(U$1:U$1000="BEGIN",ROW(U$1:U$1000)),ROW()-3),"")</f>
        <v/>
      </c>
      <c r="AK957" s="23" t="str">
        <f t="array" ref="AK957">IFERROR(SMALL(IF(V$1:V$1000="END",ROW(V$1:V$1000)),ROW()-3),"")</f>
        <v/>
      </c>
      <c r="AL957" s="24" t="str">
        <f t="array" ref="AL957">IF(AK957="","",MATCH(AM957,L:L,0))</f>
        <v/>
      </c>
      <c r="AM957" s="35">
        <f t="array" ref="AM957">MAX(IF((B$4:B$1000&lt;=AK957)*(B$4:B$1000&gt;=AJ957),L$4:L$1000, ""))</f>
        <v>0</v>
      </c>
      <c r="AN957" s="32" t="str">
        <f t="shared" si="652"/>
        <v/>
      </c>
      <c r="AO957" s="32" t="str">
        <f t="shared" si="653"/>
        <v/>
      </c>
      <c r="AP957" s="32" t="str">
        <f t="shared" si="654"/>
        <v/>
      </c>
      <c r="AQ957" s="32" t="str">
        <f t="shared" si="655"/>
        <v/>
      </c>
      <c r="AR957" s="32" t="str">
        <f t="shared" si="656"/>
        <v/>
      </c>
      <c r="AS957" s="32" t="str">
        <f t="shared" si="657"/>
        <v/>
      </c>
      <c r="AT957" s="32" t="str">
        <f t="shared" si="658"/>
        <v/>
      </c>
      <c r="AU957" s="34" t="str">
        <f t="shared" si="659"/>
        <v/>
      </c>
      <c r="AV957" s="32" t="str">
        <f t="shared" si="660"/>
        <v/>
      </c>
      <c r="AW957" s="32" t="str">
        <f t="shared" si="661"/>
        <v/>
      </c>
      <c r="AX957" s="32" t="str">
        <f t="shared" si="662"/>
        <v/>
      </c>
      <c r="AY957" s="32" t="str">
        <f t="shared" si="663"/>
        <v/>
      </c>
    </row>
    <row r="958" spans="1:51" x14ac:dyDescent="0.25">
      <c r="A958" s="24" t="str">
        <f t="shared" si="621"/>
        <v/>
      </c>
      <c r="B958" s="24" t="str">
        <f t="shared" si="631"/>
        <v/>
      </c>
      <c r="C958" s="32" t="str">
        <f t="shared" si="622"/>
        <v/>
      </c>
      <c r="D958" s="24" t="str">
        <f t="shared" si="623"/>
        <v/>
      </c>
      <c r="E958" s="24" t="str">
        <f t="shared" si="624"/>
        <v/>
      </c>
      <c r="F958" s="32" t="str">
        <f t="shared" si="625"/>
        <v/>
      </c>
      <c r="G958" s="32" t="str">
        <f t="shared" si="626"/>
        <v/>
      </c>
      <c r="H958" s="32" t="str">
        <f t="shared" ca="1" si="627"/>
        <v/>
      </c>
      <c r="I958" s="32" t="str">
        <f t="shared" ca="1" si="632"/>
        <v/>
      </c>
      <c r="J958" s="32" t="str">
        <f t="shared" si="628"/>
        <v/>
      </c>
      <c r="K958" s="32" t="str">
        <f>IF(ISNUMBER(A958),Profile!$V$25+Profile!$V$24*'Ri-Po'!C958,"")</f>
        <v/>
      </c>
      <c r="L958" s="32" t="str">
        <f t="shared" si="633"/>
        <v/>
      </c>
      <c r="M958" s="32" t="str">
        <f t="shared" si="629"/>
        <v/>
      </c>
      <c r="N958" s="32" t="str">
        <f t="shared" si="630"/>
        <v/>
      </c>
      <c r="O958" s="32" t="str">
        <f t="shared" si="646"/>
        <v/>
      </c>
      <c r="P958" s="32" t="str">
        <f t="shared" si="634"/>
        <v/>
      </c>
      <c r="Q958" s="32" t="str">
        <f t="shared" si="635"/>
        <v/>
      </c>
      <c r="R958" s="32" t="str">
        <f t="shared" si="647"/>
        <v/>
      </c>
      <c r="S958" s="24" t="str">
        <f t="shared" si="648"/>
        <v/>
      </c>
      <c r="T958" s="24" t="str">
        <f t="shared" si="649"/>
        <v/>
      </c>
      <c r="U958" s="24" t="str">
        <f t="shared" si="650"/>
        <v/>
      </c>
      <c r="V958" s="24" t="str">
        <f t="shared" si="651"/>
        <v/>
      </c>
      <c r="W958" s="23" t="str">
        <f t="array" ref="W958">IFERROR(SMALL(IF(S$1:S$1000="BEGIN",ROW(S$1:S$1000)),ROW()-3),"")</f>
        <v/>
      </c>
      <c r="X958" s="23" t="str">
        <f t="array" ref="X958">IFERROR(SMALL(IF(T$1:T$1000="END",ROW(T$1:T$1000)),ROW()-3),"")</f>
        <v/>
      </c>
      <c r="Y958" s="33" t="str">
        <f t="array" ref="Y958">IF(ISNUMBER(W958),MAX(IF((B$4:B$1000&lt;=X958)*(B$4:B$1000&gt;=W958),I$4:I$1000, "")),"")</f>
        <v/>
      </c>
      <c r="Z958" s="33" t="str">
        <f t="shared" si="636"/>
        <v/>
      </c>
      <c r="AA958" s="32" t="str">
        <f t="shared" si="637"/>
        <v/>
      </c>
      <c r="AB958" s="32" t="str">
        <f t="shared" si="638"/>
        <v/>
      </c>
      <c r="AC958" s="32" t="str">
        <f t="shared" si="639"/>
        <v/>
      </c>
      <c r="AD958" s="32" t="str">
        <f t="shared" si="640"/>
        <v/>
      </c>
      <c r="AE958" s="34" t="str">
        <f t="shared" si="641"/>
        <v/>
      </c>
      <c r="AF958" s="32" t="str">
        <f t="shared" si="642"/>
        <v/>
      </c>
      <c r="AG958" s="32" t="str">
        <f t="shared" si="643"/>
        <v/>
      </c>
      <c r="AH958" s="32" t="str">
        <f t="shared" si="644"/>
        <v/>
      </c>
      <c r="AI958" s="35" t="str">
        <f t="shared" si="645"/>
        <v/>
      </c>
      <c r="AJ958" s="23" t="str">
        <f t="array" ref="AJ958">IFERROR(SMALL(IF(U$1:U$1000="BEGIN",ROW(U$1:U$1000)),ROW()-3),"")</f>
        <v/>
      </c>
      <c r="AK958" s="23" t="str">
        <f t="array" ref="AK958">IFERROR(SMALL(IF(V$1:V$1000="END",ROW(V$1:V$1000)),ROW()-3),"")</f>
        <v/>
      </c>
      <c r="AL958" s="24" t="str">
        <f t="array" ref="AL958">IF(AK958="","",MATCH(AM958,L:L,0))</f>
        <v/>
      </c>
      <c r="AM958" s="35">
        <f t="array" ref="AM958">MAX(IF((B$4:B$1000&lt;=AK958)*(B$4:B$1000&gt;=AJ958),L$4:L$1000, ""))</f>
        <v>0</v>
      </c>
      <c r="AN958" s="32" t="str">
        <f t="shared" si="652"/>
        <v/>
      </c>
      <c r="AO958" s="32" t="str">
        <f t="shared" si="653"/>
        <v/>
      </c>
      <c r="AP958" s="32" t="str">
        <f t="shared" si="654"/>
        <v/>
      </c>
      <c r="AQ958" s="32" t="str">
        <f t="shared" si="655"/>
        <v/>
      </c>
      <c r="AR958" s="32" t="str">
        <f t="shared" si="656"/>
        <v/>
      </c>
      <c r="AS958" s="32" t="str">
        <f t="shared" si="657"/>
        <v/>
      </c>
      <c r="AT958" s="32" t="str">
        <f t="shared" si="658"/>
        <v/>
      </c>
      <c r="AU958" s="34" t="str">
        <f t="shared" si="659"/>
        <v/>
      </c>
      <c r="AV958" s="32" t="str">
        <f t="shared" si="660"/>
        <v/>
      </c>
      <c r="AW958" s="32" t="str">
        <f t="shared" si="661"/>
        <v/>
      </c>
      <c r="AX958" s="32" t="str">
        <f t="shared" si="662"/>
        <v/>
      </c>
      <c r="AY958" s="32" t="str">
        <f t="shared" si="663"/>
        <v/>
      </c>
    </row>
    <row r="959" spans="1:51" x14ac:dyDescent="0.25">
      <c r="A959" s="24" t="str">
        <f t="shared" si="621"/>
        <v/>
      </c>
      <c r="B959" s="24" t="str">
        <f t="shared" si="631"/>
        <v/>
      </c>
      <c r="C959" s="32" t="str">
        <f t="shared" si="622"/>
        <v/>
      </c>
      <c r="D959" s="24" t="str">
        <f t="shared" si="623"/>
        <v/>
      </c>
      <c r="E959" s="24" t="str">
        <f t="shared" si="624"/>
        <v/>
      </c>
      <c r="F959" s="32" t="str">
        <f t="shared" si="625"/>
        <v/>
      </c>
      <c r="G959" s="32" t="str">
        <f t="shared" si="626"/>
        <v/>
      </c>
      <c r="H959" s="32" t="str">
        <f t="shared" ca="1" si="627"/>
        <v/>
      </c>
      <c r="I959" s="32" t="str">
        <f t="shared" ca="1" si="632"/>
        <v/>
      </c>
      <c r="J959" s="32" t="str">
        <f t="shared" si="628"/>
        <v/>
      </c>
      <c r="K959" s="32" t="str">
        <f>IF(ISNUMBER(A959),Profile!$V$25+Profile!$V$24*'Ri-Po'!C959,"")</f>
        <v/>
      </c>
      <c r="L959" s="32" t="str">
        <f t="shared" si="633"/>
        <v/>
      </c>
      <c r="M959" s="32" t="str">
        <f t="shared" si="629"/>
        <v/>
      </c>
      <c r="N959" s="32" t="str">
        <f t="shared" si="630"/>
        <v/>
      </c>
      <c r="O959" s="32" t="str">
        <f t="shared" si="646"/>
        <v/>
      </c>
      <c r="P959" s="32" t="str">
        <f t="shared" si="634"/>
        <v/>
      </c>
      <c r="Q959" s="32" t="str">
        <f t="shared" si="635"/>
        <v/>
      </c>
      <c r="R959" s="32" t="str">
        <f t="shared" si="647"/>
        <v/>
      </c>
      <c r="S959" s="24" t="str">
        <f t="shared" si="648"/>
        <v/>
      </c>
      <c r="T959" s="24" t="str">
        <f t="shared" si="649"/>
        <v/>
      </c>
      <c r="U959" s="24" t="str">
        <f t="shared" si="650"/>
        <v/>
      </c>
      <c r="V959" s="24" t="str">
        <f t="shared" si="651"/>
        <v/>
      </c>
      <c r="W959" s="23" t="str">
        <f t="array" ref="W959">IFERROR(SMALL(IF(S$1:S$1000="BEGIN",ROW(S$1:S$1000)),ROW()-3),"")</f>
        <v/>
      </c>
      <c r="X959" s="23" t="str">
        <f t="array" ref="X959">IFERROR(SMALL(IF(T$1:T$1000="END",ROW(T$1:T$1000)),ROW()-3),"")</f>
        <v/>
      </c>
      <c r="Y959" s="33" t="str">
        <f t="array" ref="Y959">IF(ISNUMBER(W959),MAX(IF((B$4:B$1000&lt;=X959)*(B$4:B$1000&gt;=W959),I$4:I$1000, "")),"")</f>
        <v/>
      </c>
      <c r="Z959" s="33" t="str">
        <f t="shared" si="636"/>
        <v/>
      </c>
      <c r="AA959" s="32" t="str">
        <f t="shared" si="637"/>
        <v/>
      </c>
      <c r="AB959" s="32" t="str">
        <f t="shared" si="638"/>
        <v/>
      </c>
      <c r="AC959" s="32" t="str">
        <f t="shared" si="639"/>
        <v/>
      </c>
      <c r="AD959" s="32" t="str">
        <f t="shared" si="640"/>
        <v/>
      </c>
      <c r="AE959" s="34" t="str">
        <f t="shared" si="641"/>
        <v/>
      </c>
      <c r="AF959" s="32" t="str">
        <f t="shared" si="642"/>
        <v/>
      </c>
      <c r="AG959" s="32" t="str">
        <f t="shared" si="643"/>
        <v/>
      </c>
      <c r="AH959" s="32" t="str">
        <f t="shared" si="644"/>
        <v/>
      </c>
      <c r="AI959" s="35" t="str">
        <f t="shared" si="645"/>
        <v/>
      </c>
      <c r="AJ959" s="23" t="str">
        <f t="array" ref="AJ959">IFERROR(SMALL(IF(U$1:U$1000="BEGIN",ROW(U$1:U$1000)),ROW()-3),"")</f>
        <v/>
      </c>
      <c r="AK959" s="23" t="str">
        <f t="array" ref="AK959">IFERROR(SMALL(IF(V$1:V$1000="END",ROW(V$1:V$1000)),ROW()-3),"")</f>
        <v/>
      </c>
      <c r="AL959" s="24" t="str">
        <f t="array" ref="AL959">IF(AK959="","",MATCH(AM959,L:L,0))</f>
        <v/>
      </c>
      <c r="AM959" s="35">
        <f t="array" ref="AM959">MAX(IF((B$4:B$1000&lt;=AK959)*(B$4:B$1000&gt;=AJ959),L$4:L$1000, ""))</f>
        <v>0</v>
      </c>
      <c r="AN959" s="32" t="str">
        <f t="shared" si="652"/>
        <v/>
      </c>
      <c r="AO959" s="32" t="str">
        <f t="shared" si="653"/>
        <v/>
      </c>
      <c r="AP959" s="32" t="str">
        <f t="shared" si="654"/>
        <v/>
      </c>
      <c r="AQ959" s="32" t="str">
        <f t="shared" si="655"/>
        <v/>
      </c>
      <c r="AR959" s="32" t="str">
        <f t="shared" si="656"/>
        <v/>
      </c>
      <c r="AS959" s="32" t="str">
        <f t="shared" si="657"/>
        <v/>
      </c>
      <c r="AT959" s="32" t="str">
        <f t="shared" si="658"/>
        <v/>
      </c>
      <c r="AU959" s="34" t="str">
        <f t="shared" si="659"/>
        <v/>
      </c>
      <c r="AV959" s="32" t="str">
        <f t="shared" si="660"/>
        <v/>
      </c>
      <c r="AW959" s="32" t="str">
        <f t="shared" si="661"/>
        <v/>
      </c>
      <c r="AX959" s="32" t="str">
        <f t="shared" si="662"/>
        <v/>
      </c>
      <c r="AY959" s="32" t="str">
        <f t="shared" si="663"/>
        <v/>
      </c>
    </row>
    <row r="960" spans="1:51" x14ac:dyDescent="0.25">
      <c r="A960" s="24" t="str">
        <f t="shared" si="621"/>
        <v/>
      </c>
      <c r="B960" s="24" t="str">
        <f t="shared" si="631"/>
        <v/>
      </c>
      <c r="C960" s="32" t="str">
        <f t="shared" si="622"/>
        <v/>
      </c>
      <c r="D960" s="24" t="str">
        <f t="shared" si="623"/>
        <v/>
      </c>
      <c r="E960" s="24" t="str">
        <f t="shared" si="624"/>
        <v/>
      </c>
      <c r="F960" s="32" t="str">
        <f t="shared" si="625"/>
        <v/>
      </c>
      <c r="G960" s="32" t="str">
        <f t="shared" si="626"/>
        <v/>
      </c>
      <c r="H960" s="32" t="str">
        <f t="shared" ca="1" si="627"/>
        <v/>
      </c>
      <c r="I960" s="32" t="str">
        <f t="shared" ca="1" si="632"/>
        <v/>
      </c>
      <c r="J960" s="32" t="str">
        <f t="shared" si="628"/>
        <v/>
      </c>
      <c r="K960" s="32" t="str">
        <f>IF(ISNUMBER(A960),Profile!$V$25+Profile!$V$24*'Ri-Po'!C960,"")</f>
        <v/>
      </c>
      <c r="L960" s="32" t="str">
        <f t="shared" si="633"/>
        <v/>
      </c>
      <c r="M960" s="32" t="str">
        <f t="shared" si="629"/>
        <v/>
      </c>
      <c r="N960" s="32" t="str">
        <f t="shared" si="630"/>
        <v/>
      </c>
      <c r="O960" s="32" t="str">
        <f t="shared" si="646"/>
        <v/>
      </c>
      <c r="P960" s="32" t="str">
        <f t="shared" si="634"/>
        <v/>
      </c>
      <c r="Q960" s="32" t="str">
        <f t="shared" si="635"/>
        <v/>
      </c>
      <c r="R960" s="32" t="str">
        <f t="shared" si="647"/>
        <v/>
      </c>
      <c r="S960" s="24" t="str">
        <f t="shared" si="648"/>
        <v/>
      </c>
      <c r="T960" s="24" t="str">
        <f t="shared" si="649"/>
        <v/>
      </c>
      <c r="U960" s="24" t="str">
        <f t="shared" si="650"/>
        <v/>
      </c>
      <c r="V960" s="24" t="str">
        <f t="shared" si="651"/>
        <v/>
      </c>
      <c r="W960" s="23" t="str">
        <f t="array" ref="W960">IFERROR(SMALL(IF(S$1:S$1000="BEGIN",ROW(S$1:S$1000)),ROW()-3),"")</f>
        <v/>
      </c>
      <c r="X960" s="23" t="str">
        <f t="array" ref="X960">IFERROR(SMALL(IF(T$1:T$1000="END",ROW(T$1:T$1000)),ROW()-3),"")</f>
        <v/>
      </c>
      <c r="Y960" s="33" t="str">
        <f t="array" ref="Y960">IF(ISNUMBER(W960),MAX(IF((B$4:B$1000&lt;=X960)*(B$4:B$1000&gt;=W960),I$4:I$1000, "")),"")</f>
        <v/>
      </c>
      <c r="Z960" s="33" t="str">
        <f t="shared" si="636"/>
        <v/>
      </c>
      <c r="AA960" s="32" t="str">
        <f t="shared" si="637"/>
        <v/>
      </c>
      <c r="AB960" s="32" t="str">
        <f t="shared" si="638"/>
        <v/>
      </c>
      <c r="AC960" s="32" t="str">
        <f t="shared" si="639"/>
        <v/>
      </c>
      <c r="AD960" s="32" t="str">
        <f t="shared" si="640"/>
        <v/>
      </c>
      <c r="AE960" s="34" t="str">
        <f t="shared" si="641"/>
        <v/>
      </c>
      <c r="AF960" s="32" t="str">
        <f t="shared" si="642"/>
        <v/>
      </c>
      <c r="AG960" s="32" t="str">
        <f t="shared" si="643"/>
        <v/>
      </c>
      <c r="AH960" s="32" t="str">
        <f t="shared" si="644"/>
        <v/>
      </c>
      <c r="AI960" s="35" t="str">
        <f t="shared" si="645"/>
        <v/>
      </c>
      <c r="AJ960" s="23" t="str">
        <f t="array" ref="AJ960">IFERROR(SMALL(IF(U$1:U$1000="BEGIN",ROW(U$1:U$1000)),ROW()-3),"")</f>
        <v/>
      </c>
      <c r="AK960" s="23" t="str">
        <f t="array" ref="AK960">IFERROR(SMALL(IF(V$1:V$1000="END",ROW(V$1:V$1000)),ROW()-3),"")</f>
        <v/>
      </c>
      <c r="AL960" s="24" t="str">
        <f t="array" ref="AL960">IF(AK960="","",MATCH(AM960,L:L,0))</f>
        <v/>
      </c>
      <c r="AM960" s="35">
        <f t="array" ref="AM960">MAX(IF((B$4:B$1000&lt;=AK960)*(B$4:B$1000&gt;=AJ960),L$4:L$1000, ""))</f>
        <v>0</v>
      </c>
      <c r="AN960" s="32" t="str">
        <f t="shared" si="652"/>
        <v/>
      </c>
      <c r="AO960" s="32" t="str">
        <f t="shared" si="653"/>
        <v/>
      </c>
      <c r="AP960" s="32" t="str">
        <f t="shared" si="654"/>
        <v/>
      </c>
      <c r="AQ960" s="32" t="str">
        <f t="shared" si="655"/>
        <v/>
      </c>
      <c r="AR960" s="32" t="str">
        <f t="shared" si="656"/>
        <v/>
      </c>
      <c r="AS960" s="32" t="str">
        <f t="shared" si="657"/>
        <v/>
      </c>
      <c r="AT960" s="32" t="str">
        <f t="shared" si="658"/>
        <v/>
      </c>
      <c r="AU960" s="34" t="str">
        <f t="shared" si="659"/>
        <v/>
      </c>
      <c r="AV960" s="32" t="str">
        <f t="shared" si="660"/>
        <v/>
      </c>
      <c r="AW960" s="32" t="str">
        <f t="shared" si="661"/>
        <v/>
      </c>
      <c r="AX960" s="32" t="str">
        <f t="shared" si="662"/>
        <v/>
      </c>
      <c r="AY960" s="32" t="str">
        <f t="shared" si="663"/>
        <v/>
      </c>
    </row>
    <row r="961" spans="1:51" x14ac:dyDescent="0.25">
      <c r="A961" s="24" t="str">
        <f t="shared" si="621"/>
        <v/>
      </c>
      <c r="B961" s="24" t="str">
        <f t="shared" si="631"/>
        <v/>
      </c>
      <c r="C961" s="32" t="str">
        <f t="shared" si="622"/>
        <v/>
      </c>
      <c r="D961" s="24" t="str">
        <f t="shared" si="623"/>
        <v/>
      </c>
      <c r="E961" s="24" t="str">
        <f t="shared" si="624"/>
        <v/>
      </c>
      <c r="F961" s="32" t="str">
        <f t="shared" si="625"/>
        <v/>
      </c>
      <c r="G961" s="32" t="str">
        <f t="shared" si="626"/>
        <v/>
      </c>
      <c r="H961" s="32" t="str">
        <f t="shared" ca="1" si="627"/>
        <v/>
      </c>
      <c r="I961" s="32" t="str">
        <f t="shared" ca="1" si="632"/>
        <v/>
      </c>
      <c r="J961" s="32" t="str">
        <f t="shared" si="628"/>
        <v/>
      </c>
      <c r="K961" s="32" t="str">
        <f>IF(ISNUMBER(A961),Profile!$V$25+Profile!$V$24*'Ri-Po'!C961,"")</f>
        <v/>
      </c>
      <c r="L961" s="32" t="str">
        <f t="shared" si="633"/>
        <v/>
      </c>
      <c r="M961" s="32" t="str">
        <f t="shared" si="629"/>
        <v/>
      </c>
      <c r="N961" s="32" t="str">
        <f t="shared" si="630"/>
        <v/>
      </c>
      <c r="O961" s="32" t="str">
        <f t="shared" si="646"/>
        <v/>
      </c>
      <c r="P961" s="32" t="str">
        <f t="shared" si="634"/>
        <v/>
      </c>
      <c r="Q961" s="32" t="str">
        <f t="shared" si="635"/>
        <v/>
      </c>
      <c r="R961" s="32" t="str">
        <f t="shared" si="647"/>
        <v/>
      </c>
      <c r="S961" s="24" t="str">
        <f t="shared" si="648"/>
        <v/>
      </c>
      <c r="T961" s="24" t="str">
        <f t="shared" si="649"/>
        <v/>
      </c>
      <c r="U961" s="24" t="str">
        <f t="shared" si="650"/>
        <v/>
      </c>
      <c r="V961" s="24" t="str">
        <f t="shared" si="651"/>
        <v/>
      </c>
      <c r="W961" s="23" t="str">
        <f t="array" ref="W961">IFERROR(SMALL(IF(S$1:S$1000="BEGIN",ROW(S$1:S$1000)),ROW()-3),"")</f>
        <v/>
      </c>
      <c r="X961" s="23" t="str">
        <f t="array" ref="X961">IFERROR(SMALL(IF(T$1:T$1000="END",ROW(T$1:T$1000)),ROW()-3),"")</f>
        <v/>
      </c>
      <c r="Y961" s="33" t="str">
        <f t="array" ref="Y961">IF(ISNUMBER(W961),MAX(IF((B$4:B$1000&lt;=X961)*(B$4:B$1000&gt;=W961),I$4:I$1000, "")),"")</f>
        <v/>
      </c>
      <c r="Z961" s="33" t="str">
        <f t="shared" si="636"/>
        <v/>
      </c>
      <c r="AA961" s="32" t="str">
        <f t="shared" si="637"/>
        <v/>
      </c>
      <c r="AB961" s="32" t="str">
        <f t="shared" si="638"/>
        <v/>
      </c>
      <c r="AC961" s="32" t="str">
        <f t="shared" si="639"/>
        <v/>
      </c>
      <c r="AD961" s="32" t="str">
        <f t="shared" si="640"/>
        <v/>
      </c>
      <c r="AE961" s="34" t="str">
        <f t="shared" si="641"/>
        <v/>
      </c>
      <c r="AF961" s="32" t="str">
        <f t="shared" si="642"/>
        <v/>
      </c>
      <c r="AG961" s="32" t="str">
        <f t="shared" si="643"/>
        <v/>
      </c>
      <c r="AH961" s="32" t="str">
        <f t="shared" si="644"/>
        <v/>
      </c>
      <c r="AI961" s="35" t="str">
        <f t="shared" si="645"/>
        <v/>
      </c>
      <c r="AJ961" s="23" t="str">
        <f t="array" ref="AJ961">IFERROR(SMALL(IF(U$1:U$1000="BEGIN",ROW(U$1:U$1000)),ROW()-3),"")</f>
        <v/>
      </c>
      <c r="AK961" s="23" t="str">
        <f t="array" ref="AK961">IFERROR(SMALL(IF(V$1:V$1000="END",ROW(V$1:V$1000)),ROW()-3),"")</f>
        <v/>
      </c>
      <c r="AL961" s="24" t="str">
        <f t="array" ref="AL961">IF(AK961="","",MATCH(AM961,L:L,0))</f>
        <v/>
      </c>
      <c r="AM961" s="35">
        <f t="array" ref="AM961">MAX(IF((B$4:B$1000&lt;=AK961)*(B$4:B$1000&gt;=AJ961),L$4:L$1000, ""))</f>
        <v>0</v>
      </c>
      <c r="AN961" s="32" t="str">
        <f t="shared" si="652"/>
        <v/>
      </c>
      <c r="AO961" s="32" t="str">
        <f t="shared" si="653"/>
        <v/>
      </c>
      <c r="AP961" s="32" t="str">
        <f t="shared" si="654"/>
        <v/>
      </c>
      <c r="AQ961" s="32" t="str">
        <f t="shared" si="655"/>
        <v/>
      </c>
      <c r="AR961" s="32" t="str">
        <f t="shared" si="656"/>
        <v/>
      </c>
      <c r="AS961" s="32" t="str">
        <f t="shared" si="657"/>
        <v/>
      </c>
      <c r="AT961" s="32" t="str">
        <f t="shared" si="658"/>
        <v/>
      </c>
      <c r="AU961" s="34" t="str">
        <f t="shared" si="659"/>
        <v/>
      </c>
      <c r="AV961" s="32" t="str">
        <f t="shared" si="660"/>
        <v/>
      </c>
      <c r="AW961" s="32" t="str">
        <f t="shared" si="661"/>
        <v/>
      </c>
      <c r="AX961" s="32" t="str">
        <f t="shared" si="662"/>
        <v/>
      </c>
      <c r="AY961" s="32" t="str">
        <f t="shared" si="663"/>
        <v/>
      </c>
    </row>
    <row r="962" spans="1:51" x14ac:dyDescent="0.25">
      <c r="A962" s="24" t="str">
        <f t="shared" si="621"/>
        <v/>
      </c>
      <c r="B962" s="24" t="str">
        <f t="shared" si="631"/>
        <v/>
      </c>
      <c r="C962" s="32" t="str">
        <f t="shared" si="622"/>
        <v/>
      </c>
      <c r="D962" s="24" t="str">
        <f t="shared" si="623"/>
        <v/>
      </c>
      <c r="E962" s="24" t="str">
        <f t="shared" si="624"/>
        <v/>
      </c>
      <c r="F962" s="32" t="str">
        <f t="shared" si="625"/>
        <v/>
      </c>
      <c r="G962" s="32" t="str">
        <f t="shared" si="626"/>
        <v/>
      </c>
      <c r="H962" s="32" t="str">
        <f t="shared" ca="1" si="627"/>
        <v/>
      </c>
      <c r="I962" s="32" t="str">
        <f t="shared" ca="1" si="632"/>
        <v/>
      </c>
      <c r="J962" s="32" t="str">
        <f t="shared" si="628"/>
        <v/>
      </c>
      <c r="K962" s="32" t="str">
        <f>IF(ISNUMBER(A962),Profile!$V$25+Profile!$V$24*'Ri-Po'!C962,"")</f>
        <v/>
      </c>
      <c r="L962" s="32" t="str">
        <f t="shared" si="633"/>
        <v/>
      </c>
      <c r="M962" s="32" t="str">
        <f t="shared" si="629"/>
        <v/>
      </c>
      <c r="N962" s="32" t="str">
        <f t="shared" si="630"/>
        <v/>
      </c>
      <c r="O962" s="32" t="str">
        <f t="shared" si="646"/>
        <v/>
      </c>
      <c r="P962" s="32" t="str">
        <f t="shared" si="634"/>
        <v/>
      </c>
      <c r="Q962" s="32" t="str">
        <f t="shared" si="635"/>
        <v/>
      </c>
      <c r="R962" s="32" t="str">
        <f t="shared" si="647"/>
        <v/>
      </c>
      <c r="S962" s="24" t="str">
        <f t="shared" si="648"/>
        <v/>
      </c>
      <c r="T962" s="24" t="str">
        <f t="shared" si="649"/>
        <v/>
      </c>
      <c r="U962" s="24" t="str">
        <f t="shared" si="650"/>
        <v/>
      </c>
      <c r="V962" s="24" t="str">
        <f t="shared" si="651"/>
        <v/>
      </c>
      <c r="W962" s="23" t="str">
        <f t="array" ref="W962">IFERROR(SMALL(IF(S$1:S$1000="BEGIN",ROW(S$1:S$1000)),ROW()-3),"")</f>
        <v/>
      </c>
      <c r="X962" s="23" t="str">
        <f t="array" ref="X962">IFERROR(SMALL(IF(T$1:T$1000="END",ROW(T$1:T$1000)),ROW()-3),"")</f>
        <v/>
      </c>
      <c r="Y962" s="33" t="str">
        <f t="array" ref="Y962">IF(ISNUMBER(W962),MAX(IF((B$4:B$1000&lt;=X962)*(B$4:B$1000&gt;=W962),I$4:I$1000, "")),"")</f>
        <v/>
      </c>
      <c r="Z962" s="33" t="str">
        <f t="shared" si="636"/>
        <v/>
      </c>
      <c r="AA962" s="32" t="str">
        <f t="shared" si="637"/>
        <v/>
      </c>
      <c r="AB962" s="32" t="str">
        <f t="shared" si="638"/>
        <v/>
      </c>
      <c r="AC962" s="32" t="str">
        <f t="shared" si="639"/>
        <v/>
      </c>
      <c r="AD962" s="32" t="str">
        <f t="shared" si="640"/>
        <v/>
      </c>
      <c r="AE962" s="34" t="str">
        <f t="shared" si="641"/>
        <v/>
      </c>
      <c r="AF962" s="32" t="str">
        <f t="shared" si="642"/>
        <v/>
      </c>
      <c r="AG962" s="32" t="str">
        <f t="shared" si="643"/>
        <v/>
      </c>
      <c r="AH962" s="32" t="str">
        <f t="shared" si="644"/>
        <v/>
      </c>
      <c r="AI962" s="35" t="str">
        <f t="shared" si="645"/>
        <v/>
      </c>
      <c r="AJ962" s="23" t="str">
        <f t="array" ref="AJ962">IFERROR(SMALL(IF(U$1:U$1000="BEGIN",ROW(U$1:U$1000)),ROW()-3),"")</f>
        <v/>
      </c>
      <c r="AK962" s="23" t="str">
        <f t="array" ref="AK962">IFERROR(SMALL(IF(V$1:V$1000="END",ROW(V$1:V$1000)),ROW()-3),"")</f>
        <v/>
      </c>
      <c r="AL962" s="24" t="str">
        <f t="array" ref="AL962">IF(AK962="","",MATCH(AM962,L:L,0))</f>
        <v/>
      </c>
      <c r="AM962" s="35">
        <f t="array" ref="AM962">MAX(IF((B$4:B$1000&lt;=AK962)*(B$4:B$1000&gt;=AJ962),L$4:L$1000, ""))</f>
        <v>0</v>
      </c>
      <c r="AN962" s="32" t="str">
        <f t="shared" si="652"/>
        <v/>
      </c>
      <c r="AO962" s="32" t="str">
        <f t="shared" si="653"/>
        <v/>
      </c>
      <c r="AP962" s="32" t="str">
        <f t="shared" si="654"/>
        <v/>
      </c>
      <c r="AQ962" s="32" t="str">
        <f t="shared" si="655"/>
        <v/>
      </c>
      <c r="AR962" s="32" t="str">
        <f t="shared" si="656"/>
        <v/>
      </c>
      <c r="AS962" s="32" t="str">
        <f t="shared" si="657"/>
        <v/>
      </c>
      <c r="AT962" s="32" t="str">
        <f t="shared" si="658"/>
        <v/>
      </c>
      <c r="AU962" s="34" t="str">
        <f t="shared" si="659"/>
        <v/>
      </c>
      <c r="AV962" s="32" t="str">
        <f t="shared" si="660"/>
        <v/>
      </c>
      <c r="AW962" s="32" t="str">
        <f t="shared" si="661"/>
        <v/>
      </c>
      <c r="AX962" s="32" t="str">
        <f t="shared" si="662"/>
        <v/>
      </c>
      <c r="AY962" s="32" t="str">
        <f t="shared" si="663"/>
        <v/>
      </c>
    </row>
    <row r="963" spans="1:51" x14ac:dyDescent="0.25">
      <c r="A963" s="24" t="str">
        <f t="shared" si="621"/>
        <v/>
      </c>
      <c r="B963" s="24" t="str">
        <f t="shared" si="631"/>
        <v/>
      </c>
      <c r="C963" s="32" t="str">
        <f t="shared" si="622"/>
        <v/>
      </c>
      <c r="D963" s="24" t="str">
        <f t="shared" si="623"/>
        <v/>
      </c>
      <c r="E963" s="24" t="str">
        <f t="shared" si="624"/>
        <v/>
      </c>
      <c r="F963" s="32" t="str">
        <f t="shared" si="625"/>
        <v/>
      </c>
      <c r="G963" s="32" t="str">
        <f t="shared" si="626"/>
        <v/>
      </c>
      <c r="H963" s="32" t="str">
        <f t="shared" ca="1" si="627"/>
        <v/>
      </c>
      <c r="I963" s="32" t="str">
        <f t="shared" ca="1" si="632"/>
        <v/>
      </c>
      <c r="J963" s="32" t="str">
        <f t="shared" si="628"/>
        <v/>
      </c>
      <c r="K963" s="32" t="str">
        <f>IF(ISNUMBER(A963),Profile!$V$25+Profile!$V$24*'Ri-Po'!C963,"")</f>
        <v/>
      </c>
      <c r="L963" s="32" t="str">
        <f t="shared" si="633"/>
        <v/>
      </c>
      <c r="M963" s="32" t="str">
        <f t="shared" si="629"/>
        <v/>
      </c>
      <c r="N963" s="32" t="str">
        <f t="shared" si="630"/>
        <v/>
      </c>
      <c r="O963" s="32" t="str">
        <f t="shared" si="646"/>
        <v/>
      </c>
      <c r="P963" s="32" t="str">
        <f t="shared" si="634"/>
        <v/>
      </c>
      <c r="Q963" s="32" t="str">
        <f t="shared" si="635"/>
        <v/>
      </c>
      <c r="R963" s="32" t="str">
        <f t="shared" si="647"/>
        <v/>
      </c>
      <c r="S963" s="24" t="str">
        <f t="shared" si="648"/>
        <v/>
      </c>
      <c r="T963" s="24" t="str">
        <f t="shared" si="649"/>
        <v/>
      </c>
      <c r="U963" s="24" t="str">
        <f t="shared" si="650"/>
        <v/>
      </c>
      <c r="V963" s="24" t="str">
        <f t="shared" si="651"/>
        <v/>
      </c>
      <c r="W963" s="23" t="str">
        <f t="array" ref="W963">IFERROR(SMALL(IF(S$1:S$1000="BEGIN",ROW(S$1:S$1000)),ROW()-3),"")</f>
        <v/>
      </c>
      <c r="X963" s="23" t="str">
        <f t="array" ref="X963">IFERROR(SMALL(IF(T$1:T$1000="END",ROW(T$1:T$1000)),ROW()-3),"")</f>
        <v/>
      </c>
      <c r="Y963" s="33" t="str">
        <f t="array" ref="Y963">IF(ISNUMBER(W963),MAX(IF((B$4:B$1000&lt;=X963)*(B$4:B$1000&gt;=W963),I$4:I$1000, "")),"")</f>
        <v/>
      </c>
      <c r="Z963" s="33" t="str">
        <f t="shared" si="636"/>
        <v/>
      </c>
      <c r="AA963" s="32" t="str">
        <f t="shared" si="637"/>
        <v/>
      </c>
      <c r="AB963" s="32" t="str">
        <f t="shared" si="638"/>
        <v/>
      </c>
      <c r="AC963" s="32" t="str">
        <f t="shared" si="639"/>
        <v/>
      </c>
      <c r="AD963" s="32" t="str">
        <f t="shared" si="640"/>
        <v/>
      </c>
      <c r="AE963" s="34" t="str">
        <f t="shared" si="641"/>
        <v/>
      </c>
      <c r="AF963" s="32" t="str">
        <f t="shared" si="642"/>
        <v/>
      </c>
      <c r="AG963" s="32" t="str">
        <f t="shared" si="643"/>
        <v/>
      </c>
      <c r="AH963" s="32" t="str">
        <f t="shared" si="644"/>
        <v/>
      </c>
      <c r="AI963" s="35" t="str">
        <f t="shared" si="645"/>
        <v/>
      </c>
      <c r="AJ963" s="23" t="str">
        <f t="array" ref="AJ963">IFERROR(SMALL(IF(U$1:U$1000="BEGIN",ROW(U$1:U$1000)),ROW()-3),"")</f>
        <v/>
      </c>
      <c r="AK963" s="23" t="str">
        <f t="array" ref="AK963">IFERROR(SMALL(IF(V$1:V$1000="END",ROW(V$1:V$1000)),ROW()-3),"")</f>
        <v/>
      </c>
      <c r="AL963" s="24" t="str">
        <f t="array" ref="AL963">IF(AK963="","",MATCH(AM963,L:L,0))</f>
        <v/>
      </c>
      <c r="AM963" s="35">
        <f t="array" ref="AM963">MAX(IF((B$4:B$1000&lt;=AK963)*(B$4:B$1000&gt;=AJ963),L$4:L$1000, ""))</f>
        <v>0</v>
      </c>
      <c r="AN963" s="32" t="str">
        <f t="shared" si="652"/>
        <v/>
      </c>
      <c r="AO963" s="32" t="str">
        <f t="shared" si="653"/>
        <v/>
      </c>
      <c r="AP963" s="32" t="str">
        <f t="shared" si="654"/>
        <v/>
      </c>
      <c r="AQ963" s="32" t="str">
        <f t="shared" si="655"/>
        <v/>
      </c>
      <c r="AR963" s="32" t="str">
        <f t="shared" si="656"/>
        <v/>
      </c>
      <c r="AS963" s="32" t="str">
        <f t="shared" si="657"/>
        <v/>
      </c>
      <c r="AT963" s="32" t="str">
        <f t="shared" si="658"/>
        <v/>
      </c>
      <c r="AU963" s="34" t="str">
        <f t="shared" si="659"/>
        <v/>
      </c>
      <c r="AV963" s="32" t="str">
        <f t="shared" si="660"/>
        <v/>
      </c>
      <c r="AW963" s="32" t="str">
        <f t="shared" si="661"/>
        <v/>
      </c>
      <c r="AX963" s="32" t="str">
        <f t="shared" si="662"/>
        <v/>
      </c>
      <c r="AY963" s="32" t="str">
        <f t="shared" si="663"/>
        <v/>
      </c>
    </row>
    <row r="964" spans="1:51" x14ac:dyDescent="0.25">
      <c r="A964" s="24" t="str">
        <f t="shared" ref="A964:A1000" si="664">IF(NOT(ISBLANK(INDEX(currentNUM,ROW(A961)))),INDEX(currentNUM,ROW(A961)),"")</f>
        <v/>
      </c>
      <c r="B964" s="24" t="str">
        <f t="shared" si="631"/>
        <v/>
      </c>
      <c r="C964" s="32" t="str">
        <f t="shared" ref="C964:C1000" si="665">IF(NOT(A964=""),INDEX(currentSTATION,ROW(C961)),"")</f>
        <v/>
      </c>
      <c r="D964" s="24" t="str">
        <f t="shared" ref="D964:D1000" si="666">IF(NOT(ISBLANK(INDEX(currentDESC,ROW(D961)))),INDEX(currentDESC,ROW(D961)),"")</f>
        <v/>
      </c>
      <c r="E964" s="24" t="str">
        <f t="shared" ref="E964:E1000" si="667">IF(NOT(ISBLANK(INDEX(currentCMORPH,ROW(E961)))),INDEX(currentCMORPH,ROW(E961)),"")</f>
        <v/>
      </c>
      <c r="F964" s="32" t="str">
        <f t="shared" ref="F964:F1000" si="668">IF(NOT(ISBLANK(INDEX(currentTHW,ROW(F961)))),INDEX(currentTHW,ROW(F961)),"")</f>
        <v/>
      </c>
      <c r="G964" s="32" t="str">
        <f t="shared" ref="G964:G1000" si="669">IF(NOT(ISBLANK(INDEX(currentWS,ROW(G961)))),INDEX(currentWS,ROW(G961)),"")</f>
        <v/>
      </c>
      <c r="H964" s="32" t="str">
        <f t="shared" ref="H964:H1000" ca="1" si="670">IF(NOT(OR(ISBLANK(INDEX(currentINTERPWS,ROW(H961))),INDEX(currentINTERPWS,ROW(H961))=0)),INDEX(currentINTERPWS,ROW(H961)),"")</f>
        <v/>
      </c>
      <c r="I964" s="32" t="str">
        <f t="shared" ca="1" si="632"/>
        <v/>
      </c>
      <c r="J964" s="32" t="str">
        <f t="shared" ref="J964:J1000" si="671">IF(NOT(ISBLANK(INDEX(currentBKF,ROW(G961)))),INDEX(currentBKF,ROW(G961)),"")</f>
        <v/>
      </c>
      <c r="K964" s="32" t="str">
        <f>IF(ISNUMBER(A964),Profile!$V$25+Profile!$V$24*'Ri-Po'!C964,"")</f>
        <v/>
      </c>
      <c r="L964" s="32" t="str">
        <f t="shared" si="633"/>
        <v/>
      </c>
      <c r="M964" s="32" t="str">
        <f t="shared" ref="M964:M1000" si="672">IF(NOT(ISBLANK(INDEX(currentTOB,ROW(H961)))),INDEX(currentTOB,ROW(H961)),"")</f>
        <v/>
      </c>
      <c r="N964" s="32" t="str">
        <f t="shared" ref="N964:N1000" si="673">IF(ISNUMBER(A964),INDEX(currentINTTOB,ROW(I961)),"")</f>
        <v/>
      </c>
      <c r="O964" s="32" t="str">
        <f t="shared" si="646"/>
        <v/>
      </c>
      <c r="P964" s="32" t="str">
        <f t="shared" si="634"/>
        <v/>
      </c>
      <c r="Q964" s="32" t="str">
        <f t="shared" si="635"/>
        <v/>
      </c>
      <c r="R964" s="32" t="str">
        <f t="shared" si="647"/>
        <v/>
      </c>
      <c r="S964" s="24" t="str">
        <f t="shared" si="648"/>
        <v/>
      </c>
      <c r="T964" s="24" t="str">
        <f t="shared" si="649"/>
        <v/>
      </c>
      <c r="U964" s="24" t="str">
        <f t="shared" si="650"/>
        <v/>
      </c>
      <c r="V964" s="24" t="str">
        <f t="shared" si="651"/>
        <v/>
      </c>
      <c r="W964" s="23" t="str">
        <f t="array" ref="W964">IFERROR(SMALL(IF(S$1:S$1000="BEGIN",ROW(S$1:S$1000)),ROW()-3),"")</f>
        <v/>
      </c>
      <c r="X964" s="23" t="str">
        <f t="array" ref="X964">IFERROR(SMALL(IF(T$1:T$1000="END",ROW(T$1:T$1000)),ROW()-3),"")</f>
        <v/>
      </c>
      <c r="Y964" s="33" t="str">
        <f t="array" ref="Y964">IF(ISNUMBER(W964),MAX(IF((B$4:B$1000&lt;=X964)*(B$4:B$1000&gt;=W964),I$4:I$1000, "")),"")</f>
        <v/>
      </c>
      <c r="Z964" s="33" t="str">
        <f t="shared" si="636"/>
        <v/>
      </c>
      <c r="AA964" s="32" t="str">
        <f t="shared" si="637"/>
        <v/>
      </c>
      <c r="AB964" s="32" t="str">
        <f t="shared" si="638"/>
        <v/>
      </c>
      <c r="AC964" s="32" t="str">
        <f t="shared" si="639"/>
        <v/>
      </c>
      <c r="AD964" s="32" t="str">
        <f t="shared" si="640"/>
        <v/>
      </c>
      <c r="AE964" s="34" t="str">
        <f t="shared" si="641"/>
        <v/>
      </c>
      <c r="AF964" s="32" t="str">
        <f t="shared" si="642"/>
        <v/>
      </c>
      <c r="AG964" s="32" t="str">
        <f t="shared" si="643"/>
        <v/>
      </c>
      <c r="AH964" s="32" t="str">
        <f t="shared" si="644"/>
        <v/>
      </c>
      <c r="AI964" s="35" t="str">
        <f t="shared" si="645"/>
        <v/>
      </c>
      <c r="AJ964" s="23" t="str">
        <f t="array" ref="AJ964">IFERROR(SMALL(IF(U$1:U$1000="BEGIN",ROW(U$1:U$1000)),ROW()-3),"")</f>
        <v/>
      </c>
      <c r="AK964" s="23" t="str">
        <f t="array" ref="AK964">IFERROR(SMALL(IF(V$1:V$1000="END",ROW(V$1:V$1000)),ROW()-3),"")</f>
        <v/>
      </c>
      <c r="AL964" s="24" t="str">
        <f t="array" ref="AL964">IF(AK964="","",MATCH(AM964,L:L,0))</f>
        <v/>
      </c>
      <c r="AM964" s="35">
        <f t="array" ref="AM964">MAX(IF((B$4:B$1000&lt;=AK964)*(B$4:B$1000&gt;=AJ964),L$4:L$1000, ""))</f>
        <v>0</v>
      </c>
      <c r="AN964" s="32" t="str">
        <f t="shared" si="652"/>
        <v/>
      </c>
      <c r="AO964" s="32" t="str">
        <f t="shared" si="653"/>
        <v/>
      </c>
      <c r="AP964" s="32" t="str">
        <f t="shared" si="654"/>
        <v/>
      </c>
      <c r="AQ964" s="32" t="str">
        <f t="shared" si="655"/>
        <v/>
      </c>
      <c r="AR964" s="32" t="str">
        <f t="shared" si="656"/>
        <v/>
      </c>
      <c r="AS964" s="32" t="str">
        <f t="shared" si="657"/>
        <v/>
      </c>
      <c r="AT964" s="32" t="str">
        <f t="shared" si="658"/>
        <v/>
      </c>
      <c r="AU964" s="34" t="str">
        <f t="shared" si="659"/>
        <v/>
      </c>
      <c r="AV964" s="32" t="str">
        <f t="shared" si="660"/>
        <v/>
      </c>
      <c r="AW964" s="32" t="str">
        <f t="shared" si="661"/>
        <v/>
      </c>
      <c r="AX964" s="32" t="str">
        <f t="shared" si="662"/>
        <v/>
      </c>
      <c r="AY964" s="32" t="str">
        <f t="shared" si="663"/>
        <v/>
      </c>
    </row>
    <row r="965" spans="1:51" x14ac:dyDescent="0.25">
      <c r="A965" s="24" t="str">
        <f t="shared" si="664"/>
        <v/>
      </c>
      <c r="B965" s="24" t="str">
        <f t="shared" ref="B965:B1000" si="674">IF(NOT(A965=""),ROW(B965),"")</f>
        <v/>
      </c>
      <c r="C965" s="32" t="str">
        <f t="shared" si="665"/>
        <v/>
      </c>
      <c r="D965" s="24" t="str">
        <f t="shared" si="666"/>
        <v/>
      </c>
      <c r="E965" s="24" t="str">
        <f t="shared" si="667"/>
        <v/>
      </c>
      <c r="F965" s="32" t="str">
        <f t="shared" si="668"/>
        <v/>
      </c>
      <c r="G965" s="32" t="str">
        <f t="shared" si="669"/>
        <v/>
      </c>
      <c r="H965" s="32" t="str">
        <f t="shared" ca="1" si="670"/>
        <v/>
      </c>
      <c r="I965" s="32" t="str">
        <f t="shared" ref="I965:I1000" ca="1" si="675">IFERROR(IF(H965-F965&gt;=0,H965-F965,"NEG"),"")</f>
        <v/>
      </c>
      <c r="J965" s="32" t="str">
        <f t="shared" si="671"/>
        <v/>
      </c>
      <c r="K965" s="32" t="str">
        <f>IF(ISNUMBER(A965),Profile!$V$25+Profile!$V$24*'Ri-Po'!C965,"")</f>
        <v/>
      </c>
      <c r="L965" s="32" t="str">
        <f t="shared" ref="L965:L1000" si="676">IFERROR(K965-F965,"")</f>
        <v/>
      </c>
      <c r="M965" s="32" t="str">
        <f t="shared" si="672"/>
        <v/>
      </c>
      <c r="N965" s="32" t="str">
        <f t="shared" si="673"/>
        <v/>
      </c>
      <c r="O965" s="32" t="str">
        <f t="shared" si="646"/>
        <v/>
      </c>
      <c r="P965" s="32" t="str">
        <f t="shared" ref="P965:P1000" si="677">IF(ISNUMBER(A965),K965-F965,"")</f>
        <v/>
      </c>
      <c r="Q965" s="32" t="str">
        <f t="shared" ref="Q965:Q1000" si="678">IF(ISNUMBER(A965),N965-F965,"")</f>
        <v/>
      </c>
      <c r="R965" s="32" t="str">
        <f t="shared" si="647"/>
        <v/>
      </c>
      <c r="S965" s="24" t="str">
        <f t="shared" si="648"/>
        <v/>
      </c>
      <c r="T965" s="24" t="str">
        <f t="shared" si="649"/>
        <v/>
      </c>
      <c r="U965" s="24" t="str">
        <f t="shared" si="650"/>
        <v/>
      </c>
      <c r="V965" s="24" t="str">
        <f t="shared" si="651"/>
        <v/>
      </c>
      <c r="W965" s="23" t="str">
        <f t="array" ref="W965">IFERROR(SMALL(IF(S$1:S$1000="BEGIN",ROW(S$1:S$1000)),ROW()-3),"")</f>
        <v/>
      </c>
      <c r="X965" s="23" t="str">
        <f t="array" ref="X965">IFERROR(SMALL(IF(T$1:T$1000="END",ROW(T$1:T$1000)),ROW()-3),"")</f>
        <v/>
      </c>
      <c r="Y965" s="33" t="str">
        <f t="array" ref="Y965">IF(ISNUMBER(W965),MAX(IF((B$4:B$1000&lt;=X965)*(B$4:B$1000&gt;=W965),I$4:I$1000, "")),"")</f>
        <v/>
      </c>
      <c r="Z965" s="33" t="str">
        <f t="shared" ref="Z965:Z1000" si="679">IFERROR(INDEX(C:C,W965),"")</f>
        <v/>
      </c>
      <c r="AA965" s="32" t="str">
        <f t="shared" ref="AA965:AA1000" si="680">IFERROR(INDEX(C:C,X965),"")</f>
        <v/>
      </c>
      <c r="AB965" s="32" t="str">
        <f t="shared" ref="AB965:AB1000" si="681">IFERROR(AA965-Z965,"")</f>
        <v/>
      </c>
      <c r="AC965" s="32" t="str">
        <f t="shared" ref="AC965:AC1000" si="682">IFERROR(INDEX(H:H,W965),"")</f>
        <v/>
      </c>
      <c r="AD965" s="32" t="str">
        <f t="shared" ref="AD965:AD1000" si="683">IFERROR(INDEX(H:H,X965),"")</f>
        <v/>
      </c>
      <c r="AE965" s="34" t="str">
        <f t="shared" ref="AE965:AE1000" si="684">IFERROR((AC965-AD965)/(AB965),"")</f>
        <v/>
      </c>
      <c r="AF965" s="32" t="str">
        <f t="shared" ref="AF965:AF1000" si="685">IF(ISNUMBER(Z965),INDEX($Q$1:$Q$1000,W965),"")</f>
        <v/>
      </c>
      <c r="AG965" s="32" t="str">
        <f t="shared" ref="AG965:AG1000" si="686">IF(ISNUMBER(Z965),INDEX($P$1:$P$1000,W965),"")</f>
        <v/>
      </c>
      <c r="AH965" s="32" t="str">
        <f t="shared" ref="AH965:AH1000" si="687">IF(ISNUMBER(Z965),AF965/AG965,"")</f>
        <v/>
      </c>
      <c r="AI965" s="35" t="str">
        <f t="shared" ref="AI965:AI1000" si="688">IFERROR(AE965/BB$19,"")</f>
        <v/>
      </c>
      <c r="AJ965" s="23" t="str">
        <f t="array" ref="AJ965">IFERROR(SMALL(IF(U$1:U$1000="BEGIN",ROW(U$1:U$1000)),ROW()-3),"")</f>
        <v/>
      </c>
      <c r="AK965" s="23" t="str">
        <f t="array" ref="AK965">IFERROR(SMALL(IF(V$1:V$1000="END",ROW(V$1:V$1000)),ROW()-3),"")</f>
        <v/>
      </c>
      <c r="AL965" s="24" t="str">
        <f t="array" ref="AL965">IF(AK965="","",MATCH(AM965,L:L,0))</f>
        <v/>
      </c>
      <c r="AM965" s="35">
        <f t="array" ref="AM965">MAX(IF((B$4:B$1000&lt;=AK965)*(B$4:B$1000&gt;=AJ965),L$4:L$1000, ""))</f>
        <v>0</v>
      </c>
      <c r="AN965" s="32" t="str">
        <f t="shared" si="652"/>
        <v/>
      </c>
      <c r="AO965" s="32" t="str">
        <f t="shared" si="653"/>
        <v/>
      </c>
      <c r="AP965" s="32" t="str">
        <f t="shared" si="654"/>
        <v/>
      </c>
      <c r="AQ965" s="32" t="str">
        <f t="shared" si="655"/>
        <v/>
      </c>
      <c r="AR965" s="32" t="str">
        <f t="shared" si="656"/>
        <v/>
      </c>
      <c r="AS965" s="32" t="str">
        <f t="shared" si="657"/>
        <v/>
      </c>
      <c r="AT965" s="32" t="str">
        <f t="shared" si="658"/>
        <v/>
      </c>
      <c r="AU965" s="34" t="str">
        <f t="shared" si="659"/>
        <v/>
      </c>
      <c r="AV965" s="32" t="str">
        <f t="shared" si="660"/>
        <v/>
      </c>
      <c r="AW965" s="32" t="str">
        <f t="shared" si="661"/>
        <v/>
      </c>
      <c r="AX965" s="32" t="str">
        <f t="shared" si="662"/>
        <v/>
      </c>
      <c r="AY965" s="32" t="str">
        <f t="shared" si="663"/>
        <v/>
      </c>
    </row>
    <row r="966" spans="1:51" x14ac:dyDescent="0.25">
      <c r="A966" s="24" t="str">
        <f t="shared" si="664"/>
        <v/>
      </c>
      <c r="B966" s="24" t="str">
        <f t="shared" si="674"/>
        <v/>
      </c>
      <c r="C966" s="32" t="str">
        <f t="shared" si="665"/>
        <v/>
      </c>
      <c r="D966" s="24" t="str">
        <f t="shared" si="666"/>
        <v/>
      </c>
      <c r="E966" s="24" t="str">
        <f t="shared" si="667"/>
        <v/>
      </c>
      <c r="F966" s="32" t="str">
        <f t="shared" si="668"/>
        <v/>
      </c>
      <c r="G966" s="32" t="str">
        <f t="shared" si="669"/>
        <v/>
      </c>
      <c r="H966" s="32" t="str">
        <f t="shared" ca="1" si="670"/>
        <v/>
      </c>
      <c r="I966" s="32" t="str">
        <f t="shared" ca="1" si="675"/>
        <v/>
      </c>
      <c r="J966" s="32" t="str">
        <f t="shared" si="671"/>
        <v/>
      </c>
      <c r="K966" s="32" t="str">
        <f>IF(ISNUMBER(A966),Profile!$V$25+Profile!$V$24*'Ri-Po'!C966,"")</f>
        <v/>
      </c>
      <c r="L966" s="32" t="str">
        <f t="shared" si="676"/>
        <v/>
      </c>
      <c r="M966" s="32" t="str">
        <f t="shared" si="672"/>
        <v/>
      </c>
      <c r="N966" s="32" t="str">
        <f t="shared" si="673"/>
        <v/>
      </c>
      <c r="O966" s="32" t="str">
        <f t="shared" ref="O966:O1000" si="689">IF(AND(ISNUMBER(G966),ISNUMBER(J966)),J966-G966,"")</f>
        <v/>
      </c>
      <c r="P966" s="32" t="str">
        <f t="shared" si="677"/>
        <v/>
      </c>
      <c r="Q966" s="32" t="str">
        <f t="shared" si="678"/>
        <v/>
      </c>
      <c r="R966" s="32" t="str">
        <f t="shared" ref="R966:R1000" si="690">IF(ISNUMBER(Q966),Q966/P966,"")</f>
        <v/>
      </c>
      <c r="S966" s="24" t="str">
        <f t="shared" ref="S966:S1000" si="691">IF(ISNUMBER(SEARCH("bri",E966)),"BEGIN","")</f>
        <v/>
      </c>
      <c r="T966" s="24" t="str">
        <f t="shared" ref="T966:T1000" si="692">IF(ISNUMBER(SEARCH("eri",E966)),"END","")</f>
        <v/>
      </c>
      <c r="U966" s="24" t="str">
        <f t="shared" ref="U966:U1000" si="693">IF(ISNUMBER(SEARCH("bpo",E966)),"BEGIN","")</f>
        <v/>
      </c>
      <c r="V966" s="24" t="str">
        <f t="shared" ref="V966:V1000" si="694">IF(ISNUMBER(SEARCH("epo",E966)),"END","")</f>
        <v/>
      </c>
      <c r="W966" s="23" t="str">
        <f t="array" ref="W966">IFERROR(SMALL(IF(S$1:S$1000="BEGIN",ROW(S$1:S$1000)),ROW()-3),"")</f>
        <v/>
      </c>
      <c r="X966" s="23" t="str">
        <f t="array" ref="X966">IFERROR(SMALL(IF(T$1:T$1000="END",ROW(T$1:T$1000)),ROW()-3),"")</f>
        <v/>
      </c>
      <c r="Y966" s="33" t="str">
        <f t="array" ref="Y966">IF(ISNUMBER(W966),MAX(IF((B$4:B$1000&lt;=X966)*(B$4:B$1000&gt;=W966),I$4:I$1000, "")),"")</f>
        <v/>
      </c>
      <c r="Z966" s="33" t="str">
        <f t="shared" si="679"/>
        <v/>
      </c>
      <c r="AA966" s="32" t="str">
        <f t="shared" si="680"/>
        <v/>
      </c>
      <c r="AB966" s="32" t="str">
        <f t="shared" si="681"/>
        <v/>
      </c>
      <c r="AC966" s="32" t="str">
        <f t="shared" si="682"/>
        <v/>
      </c>
      <c r="AD966" s="32" t="str">
        <f t="shared" si="683"/>
        <v/>
      </c>
      <c r="AE966" s="34" t="str">
        <f t="shared" si="684"/>
        <v/>
      </c>
      <c r="AF966" s="32" t="str">
        <f t="shared" si="685"/>
        <v/>
      </c>
      <c r="AG966" s="32" t="str">
        <f t="shared" si="686"/>
        <v/>
      </c>
      <c r="AH966" s="32" t="str">
        <f t="shared" si="687"/>
        <v/>
      </c>
      <c r="AI966" s="35" t="str">
        <f t="shared" si="688"/>
        <v/>
      </c>
      <c r="AJ966" s="23" t="str">
        <f t="array" ref="AJ966">IFERROR(SMALL(IF(U$1:U$1000="BEGIN",ROW(U$1:U$1000)),ROW()-3),"")</f>
        <v/>
      </c>
      <c r="AK966" s="23" t="str">
        <f t="array" ref="AK966">IFERROR(SMALL(IF(V$1:V$1000="END",ROW(V$1:V$1000)),ROW()-3),"")</f>
        <v/>
      </c>
      <c r="AL966" s="24" t="str">
        <f t="array" ref="AL966">IF(AK966="","",MATCH(AM966,L:L,0))</f>
        <v/>
      </c>
      <c r="AM966" s="35">
        <f t="array" ref="AM966">MAX(IF((B$4:B$1000&lt;=AK966)*(B$4:B$1000&gt;=AJ966),L$4:L$1000, ""))</f>
        <v>0</v>
      </c>
      <c r="AN966" s="32" t="str">
        <f t="shared" si="652"/>
        <v/>
      </c>
      <c r="AO966" s="32" t="str">
        <f t="shared" si="653"/>
        <v/>
      </c>
      <c r="AP966" s="32" t="str">
        <f t="shared" si="654"/>
        <v/>
      </c>
      <c r="AQ966" s="32" t="str">
        <f t="shared" si="655"/>
        <v/>
      </c>
      <c r="AR966" s="32" t="str">
        <f t="shared" si="656"/>
        <v/>
      </c>
      <c r="AS966" s="32" t="str">
        <f t="shared" si="657"/>
        <v/>
      </c>
      <c r="AT966" s="32" t="str">
        <f t="shared" si="658"/>
        <v/>
      </c>
      <c r="AU966" s="34" t="str">
        <f t="shared" si="659"/>
        <v/>
      </c>
      <c r="AV966" s="32" t="str">
        <f t="shared" si="660"/>
        <v/>
      </c>
      <c r="AW966" s="32" t="str">
        <f t="shared" si="661"/>
        <v/>
      </c>
      <c r="AX966" s="32" t="str">
        <f t="shared" si="662"/>
        <v/>
      </c>
      <c r="AY966" s="32" t="str">
        <f t="shared" si="663"/>
        <v/>
      </c>
    </row>
    <row r="967" spans="1:51" x14ac:dyDescent="0.25">
      <c r="A967" s="24" t="str">
        <f t="shared" si="664"/>
        <v/>
      </c>
      <c r="B967" s="24" t="str">
        <f t="shared" si="674"/>
        <v/>
      </c>
      <c r="C967" s="32" t="str">
        <f t="shared" si="665"/>
        <v/>
      </c>
      <c r="D967" s="24" t="str">
        <f t="shared" si="666"/>
        <v/>
      </c>
      <c r="E967" s="24" t="str">
        <f t="shared" si="667"/>
        <v/>
      </c>
      <c r="F967" s="32" t="str">
        <f t="shared" si="668"/>
        <v/>
      </c>
      <c r="G967" s="32" t="str">
        <f t="shared" si="669"/>
        <v/>
      </c>
      <c r="H967" s="32" t="str">
        <f t="shared" ca="1" si="670"/>
        <v/>
      </c>
      <c r="I967" s="32" t="str">
        <f t="shared" ca="1" si="675"/>
        <v/>
      </c>
      <c r="J967" s="32" t="str">
        <f t="shared" si="671"/>
        <v/>
      </c>
      <c r="K967" s="32" t="str">
        <f>IF(ISNUMBER(A967),Profile!$V$25+Profile!$V$24*'Ri-Po'!C967,"")</f>
        <v/>
      </c>
      <c r="L967" s="32" t="str">
        <f t="shared" si="676"/>
        <v/>
      </c>
      <c r="M967" s="32" t="str">
        <f t="shared" si="672"/>
        <v/>
      </c>
      <c r="N967" s="32" t="str">
        <f t="shared" si="673"/>
        <v/>
      </c>
      <c r="O967" s="32" t="str">
        <f t="shared" si="689"/>
        <v/>
      </c>
      <c r="P967" s="32" t="str">
        <f t="shared" si="677"/>
        <v/>
      </c>
      <c r="Q967" s="32" t="str">
        <f t="shared" si="678"/>
        <v/>
      </c>
      <c r="R967" s="32" t="str">
        <f t="shared" si="690"/>
        <v/>
      </c>
      <c r="S967" s="24" t="str">
        <f t="shared" si="691"/>
        <v/>
      </c>
      <c r="T967" s="24" t="str">
        <f t="shared" si="692"/>
        <v/>
      </c>
      <c r="U967" s="24" t="str">
        <f t="shared" si="693"/>
        <v/>
      </c>
      <c r="V967" s="24" t="str">
        <f t="shared" si="694"/>
        <v/>
      </c>
      <c r="W967" s="23" t="str">
        <f t="array" ref="W967">IFERROR(SMALL(IF(S$1:S$1000="BEGIN",ROW(S$1:S$1000)),ROW()-3),"")</f>
        <v/>
      </c>
      <c r="X967" s="23" t="str">
        <f t="array" ref="X967">IFERROR(SMALL(IF(T$1:T$1000="END",ROW(T$1:T$1000)),ROW()-3),"")</f>
        <v/>
      </c>
      <c r="Y967" s="33" t="str">
        <f t="array" ref="Y967">IF(ISNUMBER(W967),MAX(IF((B$4:B$1000&lt;=X967)*(B$4:B$1000&gt;=W967),I$4:I$1000, "")),"")</f>
        <v/>
      </c>
      <c r="Z967" s="33" t="str">
        <f t="shared" si="679"/>
        <v/>
      </c>
      <c r="AA967" s="32" t="str">
        <f t="shared" si="680"/>
        <v/>
      </c>
      <c r="AB967" s="32" t="str">
        <f t="shared" si="681"/>
        <v/>
      </c>
      <c r="AC967" s="32" t="str">
        <f t="shared" si="682"/>
        <v/>
      </c>
      <c r="AD967" s="32" t="str">
        <f t="shared" si="683"/>
        <v/>
      </c>
      <c r="AE967" s="34" t="str">
        <f t="shared" si="684"/>
        <v/>
      </c>
      <c r="AF967" s="32" t="str">
        <f t="shared" si="685"/>
        <v/>
      </c>
      <c r="AG967" s="32" t="str">
        <f t="shared" si="686"/>
        <v/>
      </c>
      <c r="AH967" s="32" t="str">
        <f t="shared" si="687"/>
        <v/>
      </c>
      <c r="AI967" s="35" t="str">
        <f t="shared" si="688"/>
        <v/>
      </c>
      <c r="AJ967" s="23" t="str">
        <f t="array" ref="AJ967">IFERROR(SMALL(IF(U$1:U$1000="BEGIN",ROW(U$1:U$1000)),ROW()-3),"")</f>
        <v/>
      </c>
      <c r="AK967" s="23" t="str">
        <f t="array" ref="AK967">IFERROR(SMALL(IF(V$1:V$1000="END",ROW(V$1:V$1000)),ROW()-3),"")</f>
        <v/>
      </c>
      <c r="AL967" s="24" t="str">
        <f t="array" ref="AL967">IF(AK967="","",MATCH(AM967,L:L,0))</f>
        <v/>
      </c>
      <c r="AM967" s="35">
        <f t="array" ref="AM967">MAX(IF((B$4:B$1000&lt;=AK967)*(B$4:B$1000&gt;=AJ967),L$4:L$1000, ""))</f>
        <v>0</v>
      </c>
      <c r="AN967" s="32" t="str">
        <f t="shared" si="652"/>
        <v/>
      </c>
      <c r="AO967" s="32" t="str">
        <f t="shared" si="653"/>
        <v/>
      </c>
      <c r="AP967" s="32" t="str">
        <f t="shared" si="654"/>
        <v/>
      </c>
      <c r="AQ967" s="32" t="str">
        <f t="shared" si="655"/>
        <v/>
      </c>
      <c r="AR967" s="32" t="str">
        <f t="shared" si="656"/>
        <v/>
      </c>
      <c r="AS967" s="32" t="str">
        <f t="shared" si="657"/>
        <v/>
      </c>
      <c r="AT967" s="32" t="str">
        <f t="shared" si="658"/>
        <v/>
      </c>
      <c r="AU967" s="34" t="str">
        <f t="shared" si="659"/>
        <v/>
      </c>
      <c r="AV967" s="32" t="str">
        <f t="shared" si="660"/>
        <v/>
      </c>
      <c r="AW967" s="32" t="str">
        <f t="shared" si="661"/>
        <v/>
      </c>
      <c r="AX967" s="32" t="str">
        <f t="shared" si="662"/>
        <v/>
      </c>
      <c r="AY967" s="32" t="str">
        <f t="shared" si="663"/>
        <v/>
      </c>
    </row>
    <row r="968" spans="1:51" x14ac:dyDescent="0.25">
      <c r="A968" s="24" t="str">
        <f t="shared" si="664"/>
        <v/>
      </c>
      <c r="B968" s="24" t="str">
        <f t="shared" si="674"/>
        <v/>
      </c>
      <c r="C968" s="32" t="str">
        <f t="shared" si="665"/>
        <v/>
      </c>
      <c r="D968" s="24" t="str">
        <f t="shared" si="666"/>
        <v/>
      </c>
      <c r="E968" s="24" t="str">
        <f t="shared" si="667"/>
        <v/>
      </c>
      <c r="F968" s="32" t="str">
        <f t="shared" si="668"/>
        <v/>
      </c>
      <c r="G968" s="32" t="str">
        <f t="shared" si="669"/>
        <v/>
      </c>
      <c r="H968" s="32" t="str">
        <f t="shared" ca="1" si="670"/>
        <v/>
      </c>
      <c r="I968" s="32" t="str">
        <f t="shared" ca="1" si="675"/>
        <v/>
      </c>
      <c r="J968" s="32" t="str">
        <f t="shared" si="671"/>
        <v/>
      </c>
      <c r="K968" s="32" t="str">
        <f>IF(ISNUMBER(A968),Profile!$V$25+Profile!$V$24*'Ri-Po'!C968,"")</f>
        <v/>
      </c>
      <c r="L968" s="32" t="str">
        <f t="shared" si="676"/>
        <v/>
      </c>
      <c r="M968" s="32" t="str">
        <f t="shared" si="672"/>
        <v/>
      </c>
      <c r="N968" s="32" t="str">
        <f t="shared" si="673"/>
        <v/>
      </c>
      <c r="O968" s="32" t="str">
        <f t="shared" si="689"/>
        <v/>
      </c>
      <c r="P968" s="32" t="str">
        <f t="shared" si="677"/>
        <v/>
      </c>
      <c r="Q968" s="32" t="str">
        <f t="shared" si="678"/>
        <v/>
      </c>
      <c r="R968" s="32" t="str">
        <f t="shared" si="690"/>
        <v/>
      </c>
      <c r="S968" s="24" t="str">
        <f t="shared" si="691"/>
        <v/>
      </c>
      <c r="T968" s="24" t="str">
        <f t="shared" si="692"/>
        <v/>
      </c>
      <c r="U968" s="24" t="str">
        <f t="shared" si="693"/>
        <v/>
      </c>
      <c r="V968" s="24" t="str">
        <f t="shared" si="694"/>
        <v/>
      </c>
      <c r="W968" s="23" t="str">
        <f t="array" ref="W968">IFERROR(SMALL(IF(S$1:S$1000="BEGIN",ROW(S$1:S$1000)),ROW()-3),"")</f>
        <v/>
      </c>
      <c r="X968" s="23" t="str">
        <f t="array" ref="X968">IFERROR(SMALL(IF(T$1:T$1000="END",ROW(T$1:T$1000)),ROW()-3),"")</f>
        <v/>
      </c>
      <c r="Y968" s="33" t="str">
        <f t="array" ref="Y968">IF(ISNUMBER(W968),MAX(IF((B$4:B$1000&lt;=X968)*(B$4:B$1000&gt;=W968),I$4:I$1000, "")),"")</f>
        <v/>
      </c>
      <c r="Z968" s="33" t="str">
        <f t="shared" si="679"/>
        <v/>
      </c>
      <c r="AA968" s="32" t="str">
        <f t="shared" si="680"/>
        <v/>
      </c>
      <c r="AB968" s="32" t="str">
        <f t="shared" si="681"/>
        <v/>
      </c>
      <c r="AC968" s="32" t="str">
        <f t="shared" si="682"/>
        <v/>
      </c>
      <c r="AD968" s="32" t="str">
        <f t="shared" si="683"/>
        <v/>
      </c>
      <c r="AE968" s="34" t="str">
        <f t="shared" si="684"/>
        <v/>
      </c>
      <c r="AF968" s="32" t="str">
        <f t="shared" si="685"/>
        <v/>
      </c>
      <c r="AG968" s="32" t="str">
        <f t="shared" si="686"/>
        <v/>
      </c>
      <c r="AH968" s="32" t="str">
        <f t="shared" si="687"/>
        <v/>
      </c>
      <c r="AI968" s="35" t="str">
        <f t="shared" si="688"/>
        <v/>
      </c>
      <c r="AJ968" s="23" t="str">
        <f t="array" ref="AJ968">IFERROR(SMALL(IF(U$1:U$1000="BEGIN",ROW(U$1:U$1000)),ROW()-3),"")</f>
        <v/>
      </c>
      <c r="AK968" s="23" t="str">
        <f t="array" ref="AK968">IFERROR(SMALL(IF(V$1:V$1000="END",ROW(V$1:V$1000)),ROW()-3),"")</f>
        <v/>
      </c>
      <c r="AL968" s="24" t="str">
        <f t="array" ref="AL968">IF(AK968="","",MATCH(AM968,L:L,0))</f>
        <v/>
      </c>
      <c r="AM968" s="35">
        <f t="array" ref="AM968">MAX(IF((B$4:B$1000&lt;=AK968)*(B$4:B$1000&gt;=AJ968),L$4:L$1000, ""))</f>
        <v>0</v>
      </c>
      <c r="AN968" s="32" t="str">
        <f t="shared" si="652"/>
        <v/>
      </c>
      <c r="AO968" s="32" t="str">
        <f t="shared" si="653"/>
        <v/>
      </c>
      <c r="AP968" s="32" t="str">
        <f t="shared" si="654"/>
        <v/>
      </c>
      <c r="AQ968" s="32" t="str">
        <f t="shared" si="655"/>
        <v/>
      </c>
      <c r="AR968" s="32" t="str">
        <f t="shared" si="656"/>
        <v/>
      </c>
      <c r="AS968" s="32" t="str">
        <f t="shared" si="657"/>
        <v/>
      </c>
      <c r="AT968" s="32" t="str">
        <f t="shared" si="658"/>
        <v/>
      </c>
      <c r="AU968" s="34" t="str">
        <f t="shared" si="659"/>
        <v/>
      </c>
      <c r="AV968" s="32" t="str">
        <f t="shared" si="660"/>
        <v/>
      </c>
      <c r="AW968" s="32" t="str">
        <f t="shared" si="661"/>
        <v/>
      </c>
      <c r="AX968" s="32" t="str">
        <f t="shared" si="662"/>
        <v/>
      </c>
      <c r="AY968" s="32" t="str">
        <f t="shared" si="663"/>
        <v/>
      </c>
    </row>
    <row r="969" spans="1:51" x14ac:dyDescent="0.25">
      <c r="A969" s="24" t="str">
        <f t="shared" si="664"/>
        <v/>
      </c>
      <c r="B969" s="24" t="str">
        <f t="shared" si="674"/>
        <v/>
      </c>
      <c r="C969" s="32" t="str">
        <f t="shared" si="665"/>
        <v/>
      </c>
      <c r="D969" s="24" t="str">
        <f t="shared" si="666"/>
        <v/>
      </c>
      <c r="E969" s="24" t="str">
        <f t="shared" si="667"/>
        <v/>
      </c>
      <c r="F969" s="32" t="str">
        <f t="shared" si="668"/>
        <v/>
      </c>
      <c r="G969" s="32" t="str">
        <f t="shared" si="669"/>
        <v/>
      </c>
      <c r="H969" s="32" t="str">
        <f t="shared" ca="1" si="670"/>
        <v/>
      </c>
      <c r="I969" s="32" t="str">
        <f t="shared" ca="1" si="675"/>
        <v/>
      </c>
      <c r="J969" s="32" t="str">
        <f t="shared" si="671"/>
        <v/>
      </c>
      <c r="K969" s="32" t="str">
        <f>IF(ISNUMBER(A969),Profile!$V$25+Profile!$V$24*'Ri-Po'!C969,"")</f>
        <v/>
      </c>
      <c r="L969" s="32" t="str">
        <f t="shared" si="676"/>
        <v/>
      </c>
      <c r="M969" s="32" t="str">
        <f t="shared" si="672"/>
        <v/>
      </c>
      <c r="N969" s="32" t="str">
        <f t="shared" si="673"/>
        <v/>
      </c>
      <c r="O969" s="32" t="str">
        <f t="shared" si="689"/>
        <v/>
      </c>
      <c r="P969" s="32" t="str">
        <f t="shared" si="677"/>
        <v/>
      </c>
      <c r="Q969" s="32" t="str">
        <f t="shared" si="678"/>
        <v/>
      </c>
      <c r="R969" s="32" t="str">
        <f t="shared" si="690"/>
        <v/>
      </c>
      <c r="S969" s="24" t="str">
        <f t="shared" si="691"/>
        <v/>
      </c>
      <c r="T969" s="24" t="str">
        <f t="shared" si="692"/>
        <v/>
      </c>
      <c r="U969" s="24" t="str">
        <f t="shared" si="693"/>
        <v/>
      </c>
      <c r="V969" s="24" t="str">
        <f t="shared" si="694"/>
        <v/>
      </c>
      <c r="W969" s="23" t="str">
        <f t="array" ref="W969">IFERROR(SMALL(IF(S$1:S$1000="BEGIN",ROW(S$1:S$1000)),ROW()-3),"")</f>
        <v/>
      </c>
      <c r="X969" s="23" t="str">
        <f t="array" ref="X969">IFERROR(SMALL(IF(T$1:T$1000="END",ROW(T$1:T$1000)),ROW()-3),"")</f>
        <v/>
      </c>
      <c r="Y969" s="33" t="str">
        <f t="array" ref="Y969">IF(ISNUMBER(W969),MAX(IF((B$4:B$1000&lt;=X969)*(B$4:B$1000&gt;=W969),I$4:I$1000, "")),"")</f>
        <v/>
      </c>
      <c r="Z969" s="33" t="str">
        <f t="shared" si="679"/>
        <v/>
      </c>
      <c r="AA969" s="32" t="str">
        <f t="shared" si="680"/>
        <v/>
      </c>
      <c r="AB969" s="32" t="str">
        <f t="shared" si="681"/>
        <v/>
      </c>
      <c r="AC969" s="32" t="str">
        <f t="shared" si="682"/>
        <v/>
      </c>
      <c r="AD969" s="32" t="str">
        <f t="shared" si="683"/>
        <v/>
      </c>
      <c r="AE969" s="34" t="str">
        <f t="shared" si="684"/>
        <v/>
      </c>
      <c r="AF969" s="32" t="str">
        <f t="shared" si="685"/>
        <v/>
      </c>
      <c r="AG969" s="32" t="str">
        <f t="shared" si="686"/>
        <v/>
      </c>
      <c r="AH969" s="32" t="str">
        <f t="shared" si="687"/>
        <v/>
      </c>
      <c r="AI969" s="35" t="str">
        <f t="shared" si="688"/>
        <v/>
      </c>
      <c r="AJ969" s="23" t="str">
        <f t="array" ref="AJ969">IFERROR(SMALL(IF(U$1:U$1000="BEGIN",ROW(U$1:U$1000)),ROW()-3),"")</f>
        <v/>
      </c>
      <c r="AK969" s="23" t="str">
        <f t="array" ref="AK969">IFERROR(SMALL(IF(V$1:V$1000="END",ROW(V$1:V$1000)),ROW()-3),"")</f>
        <v/>
      </c>
      <c r="AL969" s="24" t="str">
        <f t="array" ref="AL969">IF(AK969="","",MATCH(AM969,L:L,0))</f>
        <v/>
      </c>
      <c r="AM969" s="35">
        <f t="array" ref="AM969">MAX(IF((B$4:B$1000&lt;=AK969)*(B$4:B$1000&gt;=AJ969),L$4:L$1000, ""))</f>
        <v>0</v>
      </c>
      <c r="AN969" s="32" t="str">
        <f t="shared" si="652"/>
        <v/>
      </c>
      <c r="AO969" s="32" t="str">
        <f t="shared" si="653"/>
        <v/>
      </c>
      <c r="AP969" s="32" t="str">
        <f t="shared" si="654"/>
        <v/>
      </c>
      <c r="AQ969" s="32" t="str">
        <f t="shared" si="655"/>
        <v/>
      </c>
      <c r="AR969" s="32" t="str">
        <f t="shared" si="656"/>
        <v/>
      </c>
      <c r="AS969" s="32" t="str">
        <f t="shared" si="657"/>
        <v/>
      </c>
      <c r="AT969" s="32" t="str">
        <f t="shared" si="658"/>
        <v/>
      </c>
      <c r="AU969" s="34" t="str">
        <f t="shared" si="659"/>
        <v/>
      </c>
      <c r="AV969" s="32" t="str">
        <f t="shared" si="660"/>
        <v/>
      </c>
      <c r="AW969" s="32" t="str">
        <f t="shared" si="661"/>
        <v/>
      </c>
      <c r="AX969" s="32" t="str">
        <f t="shared" si="662"/>
        <v/>
      </c>
      <c r="AY969" s="32" t="str">
        <f t="shared" si="663"/>
        <v/>
      </c>
    </row>
    <row r="970" spans="1:51" x14ac:dyDescent="0.25">
      <c r="A970" s="24" t="str">
        <f t="shared" si="664"/>
        <v/>
      </c>
      <c r="B970" s="24" t="str">
        <f t="shared" si="674"/>
        <v/>
      </c>
      <c r="C970" s="32" t="str">
        <f t="shared" si="665"/>
        <v/>
      </c>
      <c r="D970" s="24" t="str">
        <f t="shared" si="666"/>
        <v/>
      </c>
      <c r="E970" s="24" t="str">
        <f t="shared" si="667"/>
        <v/>
      </c>
      <c r="F970" s="32" t="str">
        <f t="shared" si="668"/>
        <v/>
      </c>
      <c r="G970" s="32" t="str">
        <f t="shared" si="669"/>
        <v/>
      </c>
      <c r="H970" s="32" t="str">
        <f t="shared" ca="1" si="670"/>
        <v/>
      </c>
      <c r="I970" s="32" t="str">
        <f t="shared" ca="1" si="675"/>
        <v/>
      </c>
      <c r="J970" s="32" t="str">
        <f t="shared" si="671"/>
        <v/>
      </c>
      <c r="K970" s="32" t="str">
        <f>IF(ISNUMBER(A970),Profile!$V$25+Profile!$V$24*'Ri-Po'!C970,"")</f>
        <v/>
      </c>
      <c r="L970" s="32" t="str">
        <f t="shared" si="676"/>
        <v/>
      </c>
      <c r="M970" s="32" t="str">
        <f t="shared" si="672"/>
        <v/>
      </c>
      <c r="N970" s="32" t="str">
        <f t="shared" si="673"/>
        <v/>
      </c>
      <c r="O970" s="32" t="str">
        <f t="shared" si="689"/>
        <v/>
      </c>
      <c r="P970" s="32" t="str">
        <f t="shared" si="677"/>
        <v/>
      </c>
      <c r="Q970" s="32" t="str">
        <f t="shared" si="678"/>
        <v/>
      </c>
      <c r="R970" s="32" t="str">
        <f t="shared" si="690"/>
        <v/>
      </c>
      <c r="S970" s="24" t="str">
        <f t="shared" si="691"/>
        <v/>
      </c>
      <c r="T970" s="24" t="str">
        <f t="shared" si="692"/>
        <v/>
      </c>
      <c r="U970" s="24" t="str">
        <f t="shared" si="693"/>
        <v/>
      </c>
      <c r="V970" s="24" t="str">
        <f t="shared" si="694"/>
        <v/>
      </c>
      <c r="W970" s="23" t="str">
        <f t="array" ref="W970">IFERROR(SMALL(IF(S$1:S$1000="BEGIN",ROW(S$1:S$1000)),ROW()-3),"")</f>
        <v/>
      </c>
      <c r="X970" s="23" t="str">
        <f t="array" ref="X970">IFERROR(SMALL(IF(T$1:T$1000="END",ROW(T$1:T$1000)),ROW()-3),"")</f>
        <v/>
      </c>
      <c r="Y970" s="33" t="str">
        <f t="array" ref="Y970">IF(ISNUMBER(W970),MAX(IF((B$4:B$1000&lt;=X970)*(B$4:B$1000&gt;=W970),I$4:I$1000, "")),"")</f>
        <v/>
      </c>
      <c r="Z970" s="33" t="str">
        <f t="shared" si="679"/>
        <v/>
      </c>
      <c r="AA970" s="32" t="str">
        <f t="shared" si="680"/>
        <v/>
      </c>
      <c r="AB970" s="32" t="str">
        <f t="shared" si="681"/>
        <v/>
      </c>
      <c r="AC970" s="32" t="str">
        <f t="shared" si="682"/>
        <v/>
      </c>
      <c r="AD970" s="32" t="str">
        <f t="shared" si="683"/>
        <v/>
      </c>
      <c r="AE970" s="34" t="str">
        <f t="shared" si="684"/>
        <v/>
      </c>
      <c r="AF970" s="32" t="str">
        <f t="shared" si="685"/>
        <v/>
      </c>
      <c r="AG970" s="32" t="str">
        <f t="shared" si="686"/>
        <v/>
      </c>
      <c r="AH970" s="32" t="str">
        <f t="shared" si="687"/>
        <v/>
      </c>
      <c r="AI970" s="35" t="str">
        <f t="shared" si="688"/>
        <v/>
      </c>
      <c r="AJ970" s="23" t="str">
        <f t="array" ref="AJ970">IFERROR(SMALL(IF(U$1:U$1000="BEGIN",ROW(U$1:U$1000)),ROW()-3),"")</f>
        <v/>
      </c>
      <c r="AK970" s="23" t="str">
        <f t="array" ref="AK970">IFERROR(SMALL(IF(V$1:V$1000="END",ROW(V$1:V$1000)),ROW()-3),"")</f>
        <v/>
      </c>
      <c r="AL970" s="24" t="str">
        <f t="array" ref="AL970">IF(AK970="","",MATCH(AM970,L:L,0))</f>
        <v/>
      </c>
      <c r="AM970" s="35">
        <f t="array" ref="AM970">MAX(IF((B$4:B$1000&lt;=AK970)*(B$4:B$1000&gt;=AJ970),L$4:L$1000, ""))</f>
        <v>0</v>
      </c>
      <c r="AN970" s="32" t="str">
        <f t="shared" si="652"/>
        <v/>
      </c>
      <c r="AO970" s="32" t="str">
        <f t="shared" si="653"/>
        <v/>
      </c>
      <c r="AP970" s="32" t="str">
        <f t="shared" si="654"/>
        <v/>
      </c>
      <c r="AQ970" s="32" t="str">
        <f t="shared" si="655"/>
        <v/>
      </c>
      <c r="AR970" s="32" t="str">
        <f t="shared" si="656"/>
        <v/>
      </c>
      <c r="AS970" s="32" t="str">
        <f t="shared" si="657"/>
        <v/>
      </c>
      <c r="AT970" s="32" t="str">
        <f t="shared" si="658"/>
        <v/>
      </c>
      <c r="AU970" s="34" t="str">
        <f t="shared" si="659"/>
        <v/>
      </c>
      <c r="AV970" s="32" t="str">
        <f t="shared" si="660"/>
        <v/>
      </c>
      <c r="AW970" s="32" t="str">
        <f t="shared" si="661"/>
        <v/>
      </c>
      <c r="AX970" s="32" t="str">
        <f t="shared" si="662"/>
        <v/>
      </c>
      <c r="AY970" s="32" t="str">
        <f t="shared" si="663"/>
        <v/>
      </c>
    </row>
    <row r="971" spans="1:51" x14ac:dyDescent="0.25">
      <c r="A971" s="24" t="str">
        <f t="shared" si="664"/>
        <v/>
      </c>
      <c r="B971" s="24" t="str">
        <f t="shared" si="674"/>
        <v/>
      </c>
      <c r="C971" s="32" t="str">
        <f t="shared" si="665"/>
        <v/>
      </c>
      <c r="D971" s="24" t="str">
        <f t="shared" si="666"/>
        <v/>
      </c>
      <c r="E971" s="24" t="str">
        <f t="shared" si="667"/>
        <v/>
      </c>
      <c r="F971" s="32" t="str">
        <f t="shared" si="668"/>
        <v/>
      </c>
      <c r="G971" s="32" t="str">
        <f t="shared" si="669"/>
        <v/>
      </c>
      <c r="H971" s="32" t="str">
        <f t="shared" ca="1" si="670"/>
        <v/>
      </c>
      <c r="I971" s="32" t="str">
        <f t="shared" ca="1" si="675"/>
        <v/>
      </c>
      <c r="J971" s="32" t="str">
        <f t="shared" si="671"/>
        <v/>
      </c>
      <c r="K971" s="32" t="str">
        <f>IF(ISNUMBER(A971),Profile!$V$25+Profile!$V$24*'Ri-Po'!C971,"")</f>
        <v/>
      </c>
      <c r="L971" s="32" t="str">
        <f t="shared" si="676"/>
        <v/>
      </c>
      <c r="M971" s="32" t="str">
        <f t="shared" si="672"/>
        <v/>
      </c>
      <c r="N971" s="32" t="str">
        <f t="shared" si="673"/>
        <v/>
      </c>
      <c r="O971" s="32" t="str">
        <f t="shared" si="689"/>
        <v/>
      </c>
      <c r="P971" s="32" t="str">
        <f t="shared" si="677"/>
        <v/>
      </c>
      <c r="Q971" s="32" t="str">
        <f t="shared" si="678"/>
        <v/>
      </c>
      <c r="R971" s="32" t="str">
        <f t="shared" si="690"/>
        <v/>
      </c>
      <c r="S971" s="24" t="str">
        <f t="shared" si="691"/>
        <v/>
      </c>
      <c r="T971" s="24" t="str">
        <f t="shared" si="692"/>
        <v/>
      </c>
      <c r="U971" s="24" t="str">
        <f t="shared" si="693"/>
        <v/>
      </c>
      <c r="V971" s="24" t="str">
        <f t="shared" si="694"/>
        <v/>
      </c>
      <c r="W971" s="23" t="str">
        <f t="array" ref="W971">IFERROR(SMALL(IF(S$1:S$1000="BEGIN",ROW(S$1:S$1000)),ROW()-3),"")</f>
        <v/>
      </c>
      <c r="X971" s="23" t="str">
        <f t="array" ref="X971">IFERROR(SMALL(IF(T$1:T$1000="END",ROW(T$1:T$1000)),ROW()-3),"")</f>
        <v/>
      </c>
      <c r="Y971" s="33" t="str">
        <f t="array" ref="Y971">IF(ISNUMBER(W971),MAX(IF((B$4:B$1000&lt;=X971)*(B$4:B$1000&gt;=W971),I$4:I$1000, "")),"")</f>
        <v/>
      </c>
      <c r="Z971" s="33" t="str">
        <f t="shared" si="679"/>
        <v/>
      </c>
      <c r="AA971" s="32" t="str">
        <f t="shared" si="680"/>
        <v/>
      </c>
      <c r="AB971" s="32" t="str">
        <f t="shared" si="681"/>
        <v/>
      </c>
      <c r="AC971" s="32" t="str">
        <f t="shared" si="682"/>
        <v/>
      </c>
      <c r="AD971" s="32" t="str">
        <f t="shared" si="683"/>
        <v/>
      </c>
      <c r="AE971" s="34" t="str">
        <f t="shared" si="684"/>
        <v/>
      </c>
      <c r="AF971" s="32" t="str">
        <f t="shared" si="685"/>
        <v/>
      </c>
      <c r="AG971" s="32" t="str">
        <f t="shared" si="686"/>
        <v/>
      </c>
      <c r="AH971" s="32" t="str">
        <f t="shared" si="687"/>
        <v/>
      </c>
      <c r="AI971" s="35" t="str">
        <f t="shared" si="688"/>
        <v/>
      </c>
      <c r="AJ971" s="23" t="str">
        <f t="array" ref="AJ971">IFERROR(SMALL(IF(U$1:U$1000="BEGIN",ROW(U$1:U$1000)),ROW()-3),"")</f>
        <v/>
      </c>
      <c r="AK971" s="23" t="str">
        <f t="array" ref="AK971">IFERROR(SMALL(IF(V$1:V$1000="END",ROW(V$1:V$1000)),ROW()-3),"")</f>
        <v/>
      </c>
      <c r="AL971" s="24" t="str">
        <f t="array" ref="AL971">IF(AK971="","",MATCH(AM971,L:L,0))</f>
        <v/>
      </c>
      <c r="AM971" s="35">
        <f t="array" ref="AM971">MAX(IF((B$4:B$1000&lt;=AK971)*(B$4:B$1000&gt;=AJ971),L$4:L$1000, ""))</f>
        <v>0</v>
      </c>
      <c r="AN971" s="32" t="str">
        <f t="shared" si="652"/>
        <v/>
      </c>
      <c r="AO971" s="32" t="str">
        <f t="shared" si="653"/>
        <v/>
      </c>
      <c r="AP971" s="32" t="str">
        <f t="shared" si="654"/>
        <v/>
      </c>
      <c r="AQ971" s="32" t="str">
        <f t="shared" si="655"/>
        <v/>
      </c>
      <c r="AR971" s="32" t="str">
        <f t="shared" si="656"/>
        <v/>
      </c>
      <c r="AS971" s="32" t="str">
        <f t="shared" si="657"/>
        <v/>
      </c>
      <c r="AT971" s="32" t="str">
        <f t="shared" si="658"/>
        <v/>
      </c>
      <c r="AU971" s="34" t="str">
        <f t="shared" si="659"/>
        <v/>
      </c>
      <c r="AV971" s="32" t="str">
        <f t="shared" si="660"/>
        <v/>
      </c>
      <c r="AW971" s="32" t="str">
        <f t="shared" si="661"/>
        <v/>
      </c>
      <c r="AX971" s="32" t="str">
        <f t="shared" si="662"/>
        <v/>
      </c>
      <c r="AY971" s="32" t="str">
        <f t="shared" si="663"/>
        <v/>
      </c>
    </row>
    <row r="972" spans="1:51" x14ac:dyDescent="0.25">
      <c r="A972" s="24" t="str">
        <f t="shared" si="664"/>
        <v/>
      </c>
      <c r="B972" s="24" t="str">
        <f t="shared" si="674"/>
        <v/>
      </c>
      <c r="C972" s="32" t="str">
        <f t="shared" si="665"/>
        <v/>
      </c>
      <c r="D972" s="24" t="str">
        <f t="shared" si="666"/>
        <v/>
      </c>
      <c r="E972" s="24" t="str">
        <f t="shared" si="667"/>
        <v/>
      </c>
      <c r="F972" s="32" t="str">
        <f t="shared" si="668"/>
        <v/>
      </c>
      <c r="G972" s="32" t="str">
        <f t="shared" si="669"/>
        <v/>
      </c>
      <c r="H972" s="32" t="str">
        <f t="shared" ca="1" si="670"/>
        <v/>
      </c>
      <c r="I972" s="32" t="str">
        <f t="shared" ca="1" si="675"/>
        <v/>
      </c>
      <c r="J972" s="32" t="str">
        <f t="shared" si="671"/>
        <v/>
      </c>
      <c r="K972" s="32" t="str">
        <f>IF(ISNUMBER(A972),Profile!$V$25+Profile!$V$24*'Ri-Po'!C972,"")</f>
        <v/>
      </c>
      <c r="L972" s="32" t="str">
        <f t="shared" si="676"/>
        <v/>
      </c>
      <c r="M972" s="32" t="str">
        <f t="shared" si="672"/>
        <v/>
      </c>
      <c r="N972" s="32" t="str">
        <f t="shared" si="673"/>
        <v/>
      </c>
      <c r="O972" s="32" t="str">
        <f t="shared" si="689"/>
        <v/>
      </c>
      <c r="P972" s="32" t="str">
        <f t="shared" si="677"/>
        <v/>
      </c>
      <c r="Q972" s="32" t="str">
        <f t="shared" si="678"/>
        <v/>
      </c>
      <c r="R972" s="32" t="str">
        <f t="shared" si="690"/>
        <v/>
      </c>
      <c r="S972" s="24" t="str">
        <f t="shared" si="691"/>
        <v/>
      </c>
      <c r="T972" s="24" t="str">
        <f t="shared" si="692"/>
        <v/>
      </c>
      <c r="U972" s="24" t="str">
        <f t="shared" si="693"/>
        <v/>
      </c>
      <c r="V972" s="24" t="str">
        <f t="shared" si="694"/>
        <v/>
      </c>
      <c r="W972" s="23" t="str">
        <f t="array" ref="W972">IFERROR(SMALL(IF(S$1:S$1000="BEGIN",ROW(S$1:S$1000)),ROW()-3),"")</f>
        <v/>
      </c>
      <c r="X972" s="23" t="str">
        <f t="array" ref="X972">IFERROR(SMALL(IF(T$1:T$1000="END",ROW(T$1:T$1000)),ROW()-3),"")</f>
        <v/>
      </c>
      <c r="Y972" s="33" t="str">
        <f t="array" ref="Y972">IF(ISNUMBER(W972),MAX(IF((B$4:B$1000&lt;=X972)*(B$4:B$1000&gt;=W972),I$4:I$1000, "")),"")</f>
        <v/>
      </c>
      <c r="Z972" s="33" t="str">
        <f t="shared" si="679"/>
        <v/>
      </c>
      <c r="AA972" s="32" t="str">
        <f t="shared" si="680"/>
        <v/>
      </c>
      <c r="AB972" s="32" t="str">
        <f t="shared" si="681"/>
        <v/>
      </c>
      <c r="AC972" s="32" t="str">
        <f t="shared" si="682"/>
        <v/>
      </c>
      <c r="AD972" s="32" t="str">
        <f t="shared" si="683"/>
        <v/>
      </c>
      <c r="AE972" s="34" t="str">
        <f t="shared" si="684"/>
        <v/>
      </c>
      <c r="AF972" s="32" t="str">
        <f t="shared" si="685"/>
        <v/>
      </c>
      <c r="AG972" s="32" t="str">
        <f t="shared" si="686"/>
        <v/>
      </c>
      <c r="AH972" s="32" t="str">
        <f t="shared" si="687"/>
        <v/>
      </c>
      <c r="AI972" s="35" t="str">
        <f t="shared" si="688"/>
        <v/>
      </c>
      <c r="AJ972" s="23" t="str">
        <f t="array" ref="AJ972">IFERROR(SMALL(IF(U$1:U$1000="BEGIN",ROW(U$1:U$1000)),ROW()-3),"")</f>
        <v/>
      </c>
      <c r="AK972" s="23" t="str">
        <f t="array" ref="AK972">IFERROR(SMALL(IF(V$1:V$1000="END",ROW(V$1:V$1000)),ROW()-3),"")</f>
        <v/>
      </c>
      <c r="AL972" s="24" t="str">
        <f t="array" ref="AL972">IF(AK972="","",MATCH(AM972,L:L,0))</f>
        <v/>
      </c>
      <c r="AM972" s="35">
        <f t="array" ref="AM972">MAX(IF((B$4:B$1000&lt;=AK972)*(B$4:B$1000&gt;=AJ972),L$4:L$1000, ""))</f>
        <v>0</v>
      </c>
      <c r="AN972" s="32" t="str">
        <f t="shared" si="652"/>
        <v/>
      </c>
      <c r="AO972" s="32" t="str">
        <f t="shared" si="653"/>
        <v/>
      </c>
      <c r="AP972" s="32" t="str">
        <f t="shared" si="654"/>
        <v/>
      </c>
      <c r="AQ972" s="32" t="str">
        <f t="shared" si="655"/>
        <v/>
      </c>
      <c r="AR972" s="32" t="str">
        <f t="shared" si="656"/>
        <v/>
      </c>
      <c r="AS972" s="32" t="str">
        <f t="shared" si="657"/>
        <v/>
      </c>
      <c r="AT972" s="32" t="str">
        <f t="shared" si="658"/>
        <v/>
      </c>
      <c r="AU972" s="34" t="str">
        <f t="shared" si="659"/>
        <v/>
      </c>
      <c r="AV972" s="32" t="str">
        <f t="shared" si="660"/>
        <v/>
      </c>
      <c r="AW972" s="32" t="str">
        <f t="shared" si="661"/>
        <v/>
      </c>
      <c r="AX972" s="32" t="str">
        <f t="shared" si="662"/>
        <v/>
      </c>
      <c r="AY972" s="32" t="str">
        <f t="shared" si="663"/>
        <v/>
      </c>
    </row>
    <row r="973" spans="1:51" x14ac:dyDescent="0.25">
      <c r="A973" s="24" t="str">
        <f t="shared" si="664"/>
        <v/>
      </c>
      <c r="B973" s="24" t="str">
        <f t="shared" si="674"/>
        <v/>
      </c>
      <c r="C973" s="32" t="str">
        <f t="shared" si="665"/>
        <v/>
      </c>
      <c r="D973" s="24" t="str">
        <f t="shared" si="666"/>
        <v/>
      </c>
      <c r="E973" s="24" t="str">
        <f t="shared" si="667"/>
        <v/>
      </c>
      <c r="F973" s="32" t="str">
        <f t="shared" si="668"/>
        <v/>
      </c>
      <c r="G973" s="32" t="str">
        <f t="shared" si="669"/>
        <v/>
      </c>
      <c r="H973" s="32" t="str">
        <f t="shared" ca="1" si="670"/>
        <v/>
      </c>
      <c r="I973" s="32" t="str">
        <f t="shared" ca="1" si="675"/>
        <v/>
      </c>
      <c r="J973" s="32" t="str">
        <f t="shared" si="671"/>
        <v/>
      </c>
      <c r="K973" s="32" t="str">
        <f>IF(ISNUMBER(A973),Profile!$V$25+Profile!$V$24*'Ri-Po'!C973,"")</f>
        <v/>
      </c>
      <c r="L973" s="32" t="str">
        <f t="shared" si="676"/>
        <v/>
      </c>
      <c r="M973" s="32" t="str">
        <f t="shared" si="672"/>
        <v/>
      </c>
      <c r="N973" s="32" t="str">
        <f t="shared" si="673"/>
        <v/>
      </c>
      <c r="O973" s="32" t="str">
        <f t="shared" si="689"/>
        <v/>
      </c>
      <c r="P973" s="32" t="str">
        <f t="shared" si="677"/>
        <v/>
      </c>
      <c r="Q973" s="32" t="str">
        <f t="shared" si="678"/>
        <v/>
      </c>
      <c r="R973" s="32" t="str">
        <f t="shared" si="690"/>
        <v/>
      </c>
      <c r="S973" s="24" t="str">
        <f t="shared" si="691"/>
        <v/>
      </c>
      <c r="T973" s="24" t="str">
        <f t="shared" si="692"/>
        <v/>
      </c>
      <c r="U973" s="24" t="str">
        <f t="shared" si="693"/>
        <v/>
      </c>
      <c r="V973" s="24" t="str">
        <f t="shared" si="694"/>
        <v/>
      </c>
      <c r="W973" s="23" t="str">
        <f t="array" ref="W973">IFERROR(SMALL(IF(S$1:S$1000="BEGIN",ROW(S$1:S$1000)),ROW()-3),"")</f>
        <v/>
      </c>
      <c r="X973" s="23" t="str">
        <f t="array" ref="X973">IFERROR(SMALL(IF(T$1:T$1000="END",ROW(T$1:T$1000)),ROW()-3),"")</f>
        <v/>
      </c>
      <c r="Y973" s="33" t="str">
        <f t="array" ref="Y973">IF(ISNUMBER(W973),MAX(IF((B$4:B$1000&lt;=X973)*(B$4:B$1000&gt;=W973),I$4:I$1000, "")),"")</f>
        <v/>
      </c>
      <c r="Z973" s="33" t="str">
        <f t="shared" si="679"/>
        <v/>
      </c>
      <c r="AA973" s="32" t="str">
        <f t="shared" si="680"/>
        <v/>
      </c>
      <c r="AB973" s="32" t="str">
        <f t="shared" si="681"/>
        <v/>
      </c>
      <c r="AC973" s="32" t="str">
        <f t="shared" si="682"/>
        <v/>
      </c>
      <c r="AD973" s="32" t="str">
        <f t="shared" si="683"/>
        <v/>
      </c>
      <c r="AE973" s="34" t="str">
        <f t="shared" si="684"/>
        <v/>
      </c>
      <c r="AF973" s="32" t="str">
        <f t="shared" si="685"/>
        <v/>
      </c>
      <c r="AG973" s="32" t="str">
        <f t="shared" si="686"/>
        <v/>
      </c>
      <c r="AH973" s="32" t="str">
        <f t="shared" si="687"/>
        <v/>
      </c>
      <c r="AI973" s="35" t="str">
        <f t="shared" si="688"/>
        <v/>
      </c>
      <c r="AJ973" s="23" t="str">
        <f t="array" ref="AJ973">IFERROR(SMALL(IF(U$1:U$1000="BEGIN",ROW(U$1:U$1000)),ROW()-3),"")</f>
        <v/>
      </c>
      <c r="AK973" s="23" t="str">
        <f t="array" ref="AK973">IFERROR(SMALL(IF(V$1:V$1000="END",ROW(V$1:V$1000)),ROW()-3),"")</f>
        <v/>
      </c>
      <c r="AL973" s="24" t="str">
        <f t="array" ref="AL973">IF(AK973="","",MATCH(AM973,L:L,0))</f>
        <v/>
      </c>
      <c r="AM973" s="35">
        <f t="array" ref="AM973">MAX(IF((B$4:B$1000&lt;=AK973)*(B$4:B$1000&gt;=AJ973),L$4:L$1000, ""))</f>
        <v>0</v>
      </c>
      <c r="AN973" s="32" t="str">
        <f t="shared" si="652"/>
        <v/>
      </c>
      <c r="AO973" s="32" t="str">
        <f t="shared" si="653"/>
        <v/>
      </c>
      <c r="AP973" s="32" t="str">
        <f t="shared" si="654"/>
        <v/>
      </c>
      <c r="AQ973" s="32" t="str">
        <f t="shared" si="655"/>
        <v/>
      </c>
      <c r="AR973" s="32" t="str">
        <f t="shared" si="656"/>
        <v/>
      </c>
      <c r="AS973" s="32" t="str">
        <f t="shared" si="657"/>
        <v/>
      </c>
      <c r="AT973" s="32" t="str">
        <f t="shared" si="658"/>
        <v/>
      </c>
      <c r="AU973" s="34" t="str">
        <f t="shared" si="659"/>
        <v/>
      </c>
      <c r="AV973" s="32" t="str">
        <f t="shared" si="660"/>
        <v/>
      </c>
      <c r="AW973" s="32" t="str">
        <f t="shared" si="661"/>
        <v/>
      </c>
      <c r="AX973" s="32" t="str">
        <f t="shared" si="662"/>
        <v/>
      </c>
      <c r="AY973" s="32" t="str">
        <f t="shared" si="663"/>
        <v/>
      </c>
    </row>
    <row r="974" spans="1:51" x14ac:dyDescent="0.25">
      <c r="A974" s="24" t="str">
        <f t="shared" si="664"/>
        <v/>
      </c>
      <c r="B974" s="24" t="str">
        <f t="shared" si="674"/>
        <v/>
      </c>
      <c r="C974" s="32" t="str">
        <f t="shared" si="665"/>
        <v/>
      </c>
      <c r="D974" s="24" t="str">
        <f t="shared" si="666"/>
        <v/>
      </c>
      <c r="E974" s="24" t="str">
        <f t="shared" si="667"/>
        <v/>
      </c>
      <c r="F974" s="32" t="str">
        <f t="shared" si="668"/>
        <v/>
      </c>
      <c r="G974" s="32" t="str">
        <f t="shared" si="669"/>
        <v/>
      </c>
      <c r="H974" s="32" t="str">
        <f t="shared" ca="1" si="670"/>
        <v/>
      </c>
      <c r="I974" s="32" t="str">
        <f t="shared" ca="1" si="675"/>
        <v/>
      </c>
      <c r="J974" s="32" t="str">
        <f t="shared" si="671"/>
        <v/>
      </c>
      <c r="K974" s="32" t="str">
        <f>IF(ISNUMBER(A974),Profile!$V$25+Profile!$V$24*'Ri-Po'!C974,"")</f>
        <v/>
      </c>
      <c r="L974" s="32" t="str">
        <f t="shared" si="676"/>
        <v/>
      </c>
      <c r="M974" s="32" t="str">
        <f t="shared" si="672"/>
        <v/>
      </c>
      <c r="N974" s="32" t="str">
        <f t="shared" si="673"/>
        <v/>
      </c>
      <c r="O974" s="32" t="str">
        <f t="shared" si="689"/>
        <v/>
      </c>
      <c r="P974" s="32" t="str">
        <f t="shared" si="677"/>
        <v/>
      </c>
      <c r="Q974" s="32" t="str">
        <f t="shared" si="678"/>
        <v/>
      </c>
      <c r="R974" s="32" t="str">
        <f t="shared" si="690"/>
        <v/>
      </c>
      <c r="S974" s="24" t="str">
        <f t="shared" si="691"/>
        <v/>
      </c>
      <c r="T974" s="24" t="str">
        <f t="shared" si="692"/>
        <v/>
      </c>
      <c r="U974" s="24" t="str">
        <f t="shared" si="693"/>
        <v/>
      </c>
      <c r="V974" s="24" t="str">
        <f t="shared" si="694"/>
        <v/>
      </c>
      <c r="W974" s="23" t="str">
        <f t="array" ref="W974">IFERROR(SMALL(IF(S$1:S$1000="BEGIN",ROW(S$1:S$1000)),ROW()-3),"")</f>
        <v/>
      </c>
      <c r="X974" s="23" t="str">
        <f t="array" ref="X974">IFERROR(SMALL(IF(T$1:T$1000="END",ROW(T$1:T$1000)),ROW()-3),"")</f>
        <v/>
      </c>
      <c r="Y974" s="33" t="str">
        <f t="array" ref="Y974">IF(ISNUMBER(W974),MAX(IF((B$4:B$1000&lt;=X974)*(B$4:B$1000&gt;=W974),I$4:I$1000, "")),"")</f>
        <v/>
      </c>
      <c r="Z974" s="33" t="str">
        <f t="shared" si="679"/>
        <v/>
      </c>
      <c r="AA974" s="32" t="str">
        <f t="shared" si="680"/>
        <v/>
      </c>
      <c r="AB974" s="32" t="str">
        <f t="shared" si="681"/>
        <v/>
      </c>
      <c r="AC974" s="32" t="str">
        <f t="shared" si="682"/>
        <v/>
      </c>
      <c r="AD974" s="32" t="str">
        <f t="shared" si="683"/>
        <v/>
      </c>
      <c r="AE974" s="34" t="str">
        <f t="shared" si="684"/>
        <v/>
      </c>
      <c r="AF974" s="32" t="str">
        <f t="shared" si="685"/>
        <v/>
      </c>
      <c r="AG974" s="32" t="str">
        <f t="shared" si="686"/>
        <v/>
      </c>
      <c r="AH974" s="32" t="str">
        <f t="shared" si="687"/>
        <v/>
      </c>
      <c r="AI974" s="35" t="str">
        <f t="shared" si="688"/>
        <v/>
      </c>
      <c r="AJ974" s="23" t="str">
        <f t="array" ref="AJ974">IFERROR(SMALL(IF(U$1:U$1000="BEGIN",ROW(U$1:U$1000)),ROW()-3),"")</f>
        <v/>
      </c>
      <c r="AK974" s="23" t="str">
        <f t="array" ref="AK974">IFERROR(SMALL(IF(V$1:V$1000="END",ROW(V$1:V$1000)),ROW()-3),"")</f>
        <v/>
      </c>
      <c r="AL974" s="24" t="str">
        <f t="array" ref="AL974">IF(AK974="","",MATCH(AM974,L:L,0))</f>
        <v/>
      </c>
      <c r="AM974" s="35">
        <f t="array" ref="AM974">MAX(IF((B$4:B$1000&lt;=AK974)*(B$4:B$1000&gt;=AJ974),L$4:L$1000, ""))</f>
        <v>0</v>
      </c>
      <c r="AN974" s="32" t="str">
        <f t="shared" si="652"/>
        <v/>
      </c>
      <c r="AO974" s="32" t="str">
        <f t="shared" si="653"/>
        <v/>
      </c>
      <c r="AP974" s="32" t="str">
        <f t="shared" si="654"/>
        <v/>
      </c>
      <c r="AQ974" s="32" t="str">
        <f t="shared" si="655"/>
        <v/>
      </c>
      <c r="AR974" s="32" t="str">
        <f t="shared" si="656"/>
        <v/>
      </c>
      <c r="AS974" s="32" t="str">
        <f t="shared" si="657"/>
        <v/>
      </c>
      <c r="AT974" s="32" t="str">
        <f t="shared" si="658"/>
        <v/>
      </c>
      <c r="AU974" s="34" t="str">
        <f t="shared" si="659"/>
        <v/>
      </c>
      <c r="AV974" s="32" t="str">
        <f t="shared" si="660"/>
        <v/>
      </c>
      <c r="AW974" s="32" t="str">
        <f t="shared" si="661"/>
        <v/>
      </c>
      <c r="AX974" s="32" t="str">
        <f t="shared" si="662"/>
        <v/>
      </c>
      <c r="AY974" s="32" t="str">
        <f t="shared" si="663"/>
        <v/>
      </c>
    </row>
    <row r="975" spans="1:51" x14ac:dyDescent="0.25">
      <c r="A975" s="24" t="str">
        <f t="shared" si="664"/>
        <v/>
      </c>
      <c r="B975" s="24" t="str">
        <f t="shared" si="674"/>
        <v/>
      </c>
      <c r="C975" s="32" t="str">
        <f t="shared" si="665"/>
        <v/>
      </c>
      <c r="D975" s="24" t="str">
        <f t="shared" si="666"/>
        <v/>
      </c>
      <c r="E975" s="24" t="str">
        <f t="shared" si="667"/>
        <v/>
      </c>
      <c r="F975" s="32" t="str">
        <f t="shared" si="668"/>
        <v/>
      </c>
      <c r="G975" s="32" t="str">
        <f t="shared" si="669"/>
        <v/>
      </c>
      <c r="H975" s="32" t="str">
        <f t="shared" ca="1" si="670"/>
        <v/>
      </c>
      <c r="I975" s="32" t="str">
        <f t="shared" ca="1" si="675"/>
        <v/>
      </c>
      <c r="J975" s="32" t="str">
        <f t="shared" si="671"/>
        <v/>
      </c>
      <c r="K975" s="32" t="str">
        <f>IF(ISNUMBER(A975),Profile!$V$25+Profile!$V$24*'Ri-Po'!C975,"")</f>
        <v/>
      </c>
      <c r="L975" s="32" t="str">
        <f t="shared" si="676"/>
        <v/>
      </c>
      <c r="M975" s="32" t="str">
        <f t="shared" si="672"/>
        <v/>
      </c>
      <c r="N975" s="32" t="str">
        <f t="shared" si="673"/>
        <v/>
      </c>
      <c r="O975" s="32" t="str">
        <f t="shared" si="689"/>
        <v/>
      </c>
      <c r="P975" s="32" t="str">
        <f t="shared" si="677"/>
        <v/>
      </c>
      <c r="Q975" s="32" t="str">
        <f t="shared" si="678"/>
        <v/>
      </c>
      <c r="R975" s="32" t="str">
        <f t="shared" si="690"/>
        <v/>
      </c>
      <c r="S975" s="24" t="str">
        <f t="shared" si="691"/>
        <v/>
      </c>
      <c r="T975" s="24" t="str">
        <f t="shared" si="692"/>
        <v/>
      </c>
      <c r="U975" s="24" t="str">
        <f t="shared" si="693"/>
        <v/>
      </c>
      <c r="V975" s="24" t="str">
        <f t="shared" si="694"/>
        <v/>
      </c>
      <c r="W975" s="23" t="str">
        <f t="array" ref="W975">IFERROR(SMALL(IF(S$1:S$1000="BEGIN",ROW(S$1:S$1000)),ROW()-3),"")</f>
        <v/>
      </c>
      <c r="X975" s="23" t="str">
        <f t="array" ref="X975">IFERROR(SMALL(IF(T$1:T$1000="END",ROW(T$1:T$1000)),ROW()-3),"")</f>
        <v/>
      </c>
      <c r="Y975" s="33" t="str">
        <f t="array" ref="Y975">IF(ISNUMBER(W975),MAX(IF((B$4:B$1000&lt;=X975)*(B$4:B$1000&gt;=W975),I$4:I$1000, "")),"")</f>
        <v/>
      </c>
      <c r="Z975" s="33" t="str">
        <f t="shared" si="679"/>
        <v/>
      </c>
      <c r="AA975" s="32" t="str">
        <f t="shared" si="680"/>
        <v/>
      </c>
      <c r="AB975" s="32" t="str">
        <f t="shared" si="681"/>
        <v/>
      </c>
      <c r="AC975" s="32" t="str">
        <f t="shared" si="682"/>
        <v/>
      </c>
      <c r="AD975" s="32" t="str">
        <f t="shared" si="683"/>
        <v/>
      </c>
      <c r="AE975" s="34" t="str">
        <f t="shared" si="684"/>
        <v/>
      </c>
      <c r="AF975" s="32" t="str">
        <f t="shared" si="685"/>
        <v/>
      </c>
      <c r="AG975" s="32" t="str">
        <f t="shared" si="686"/>
        <v/>
      </c>
      <c r="AH975" s="32" t="str">
        <f t="shared" si="687"/>
        <v/>
      </c>
      <c r="AI975" s="35" t="str">
        <f t="shared" si="688"/>
        <v/>
      </c>
      <c r="AJ975" s="23" t="str">
        <f t="array" ref="AJ975">IFERROR(SMALL(IF(U$1:U$1000="BEGIN",ROW(U$1:U$1000)),ROW()-3),"")</f>
        <v/>
      </c>
      <c r="AK975" s="23" t="str">
        <f t="array" ref="AK975">IFERROR(SMALL(IF(V$1:V$1000="END",ROW(V$1:V$1000)),ROW()-3),"")</f>
        <v/>
      </c>
      <c r="AL975" s="24" t="str">
        <f t="array" ref="AL975">IF(AK975="","",MATCH(AM975,L:L,0))</f>
        <v/>
      </c>
      <c r="AM975" s="35">
        <f t="array" ref="AM975">MAX(IF((B$4:B$1000&lt;=AK975)*(B$4:B$1000&gt;=AJ975),L$4:L$1000, ""))</f>
        <v>0</v>
      </c>
      <c r="AN975" s="32" t="str">
        <f t="shared" si="652"/>
        <v/>
      </c>
      <c r="AO975" s="32" t="str">
        <f t="shared" si="653"/>
        <v/>
      </c>
      <c r="AP975" s="32" t="str">
        <f t="shared" si="654"/>
        <v/>
      </c>
      <c r="AQ975" s="32" t="str">
        <f t="shared" si="655"/>
        <v/>
      </c>
      <c r="AR975" s="32" t="str">
        <f t="shared" si="656"/>
        <v/>
      </c>
      <c r="AS975" s="32" t="str">
        <f t="shared" si="657"/>
        <v/>
      </c>
      <c r="AT975" s="32" t="str">
        <f t="shared" si="658"/>
        <v/>
      </c>
      <c r="AU975" s="34" t="str">
        <f t="shared" si="659"/>
        <v/>
      </c>
      <c r="AV975" s="32" t="str">
        <f t="shared" si="660"/>
        <v/>
      </c>
      <c r="AW975" s="32" t="str">
        <f t="shared" si="661"/>
        <v/>
      </c>
      <c r="AX975" s="32" t="str">
        <f t="shared" si="662"/>
        <v/>
      </c>
      <c r="AY975" s="32" t="str">
        <f t="shared" si="663"/>
        <v/>
      </c>
    </row>
    <row r="976" spans="1:51" x14ac:dyDescent="0.25">
      <c r="A976" s="24" t="str">
        <f t="shared" si="664"/>
        <v/>
      </c>
      <c r="B976" s="24" t="str">
        <f t="shared" si="674"/>
        <v/>
      </c>
      <c r="C976" s="32" t="str">
        <f t="shared" si="665"/>
        <v/>
      </c>
      <c r="D976" s="24" t="str">
        <f t="shared" si="666"/>
        <v/>
      </c>
      <c r="E976" s="24" t="str">
        <f t="shared" si="667"/>
        <v/>
      </c>
      <c r="F976" s="32" t="str">
        <f t="shared" si="668"/>
        <v/>
      </c>
      <c r="G976" s="32" t="str">
        <f t="shared" si="669"/>
        <v/>
      </c>
      <c r="H976" s="32" t="str">
        <f t="shared" ca="1" si="670"/>
        <v/>
      </c>
      <c r="I976" s="32" t="str">
        <f t="shared" ca="1" si="675"/>
        <v/>
      </c>
      <c r="J976" s="32" t="str">
        <f t="shared" si="671"/>
        <v/>
      </c>
      <c r="K976" s="32" t="str">
        <f>IF(ISNUMBER(A976),Profile!$V$25+Profile!$V$24*'Ri-Po'!C976,"")</f>
        <v/>
      </c>
      <c r="L976" s="32" t="str">
        <f t="shared" si="676"/>
        <v/>
      </c>
      <c r="M976" s="32" t="str">
        <f t="shared" si="672"/>
        <v/>
      </c>
      <c r="N976" s="32" t="str">
        <f t="shared" si="673"/>
        <v/>
      </c>
      <c r="O976" s="32" t="str">
        <f t="shared" si="689"/>
        <v/>
      </c>
      <c r="P976" s="32" t="str">
        <f t="shared" si="677"/>
        <v/>
      </c>
      <c r="Q976" s="32" t="str">
        <f t="shared" si="678"/>
        <v/>
      </c>
      <c r="R976" s="32" t="str">
        <f t="shared" si="690"/>
        <v/>
      </c>
      <c r="S976" s="24" t="str">
        <f t="shared" si="691"/>
        <v/>
      </c>
      <c r="T976" s="24" t="str">
        <f t="shared" si="692"/>
        <v/>
      </c>
      <c r="U976" s="24" t="str">
        <f t="shared" si="693"/>
        <v/>
      </c>
      <c r="V976" s="24" t="str">
        <f t="shared" si="694"/>
        <v/>
      </c>
      <c r="W976" s="23" t="str">
        <f t="array" ref="W976">IFERROR(SMALL(IF(S$1:S$1000="BEGIN",ROW(S$1:S$1000)),ROW()-3),"")</f>
        <v/>
      </c>
      <c r="X976" s="23" t="str">
        <f t="array" ref="X976">IFERROR(SMALL(IF(T$1:T$1000="END",ROW(T$1:T$1000)),ROW()-3),"")</f>
        <v/>
      </c>
      <c r="Y976" s="33" t="str">
        <f t="array" ref="Y976">IF(ISNUMBER(W976),MAX(IF((B$4:B$1000&lt;=X976)*(B$4:B$1000&gt;=W976),I$4:I$1000, "")),"")</f>
        <v/>
      </c>
      <c r="Z976" s="33" t="str">
        <f t="shared" si="679"/>
        <v/>
      </c>
      <c r="AA976" s="32" t="str">
        <f t="shared" si="680"/>
        <v/>
      </c>
      <c r="AB976" s="32" t="str">
        <f t="shared" si="681"/>
        <v/>
      </c>
      <c r="AC976" s="32" t="str">
        <f t="shared" si="682"/>
        <v/>
      </c>
      <c r="AD976" s="32" t="str">
        <f t="shared" si="683"/>
        <v/>
      </c>
      <c r="AE976" s="34" t="str">
        <f t="shared" si="684"/>
        <v/>
      </c>
      <c r="AF976" s="32" t="str">
        <f t="shared" si="685"/>
        <v/>
      </c>
      <c r="AG976" s="32" t="str">
        <f t="shared" si="686"/>
        <v/>
      </c>
      <c r="AH976" s="32" t="str">
        <f t="shared" si="687"/>
        <v/>
      </c>
      <c r="AI976" s="35" t="str">
        <f t="shared" si="688"/>
        <v/>
      </c>
      <c r="AJ976" s="23" t="str">
        <f t="array" ref="AJ976">IFERROR(SMALL(IF(U$1:U$1000="BEGIN",ROW(U$1:U$1000)),ROW()-3),"")</f>
        <v/>
      </c>
      <c r="AK976" s="23" t="str">
        <f t="array" ref="AK976">IFERROR(SMALL(IF(V$1:V$1000="END",ROW(V$1:V$1000)),ROW()-3),"")</f>
        <v/>
      </c>
      <c r="AL976" s="24" t="str">
        <f t="array" ref="AL976">IF(AK976="","",MATCH(AM976,L:L,0))</f>
        <v/>
      </c>
      <c r="AM976" s="35">
        <f t="array" ref="AM976">MAX(IF((B$4:B$1000&lt;=AK976)*(B$4:B$1000&gt;=AJ976),L$4:L$1000, ""))</f>
        <v>0</v>
      </c>
      <c r="AN976" s="32" t="str">
        <f t="shared" si="652"/>
        <v/>
      </c>
      <c r="AO976" s="32" t="str">
        <f t="shared" si="653"/>
        <v/>
      </c>
      <c r="AP976" s="32" t="str">
        <f t="shared" si="654"/>
        <v/>
      </c>
      <c r="AQ976" s="32" t="str">
        <f t="shared" si="655"/>
        <v/>
      </c>
      <c r="AR976" s="32" t="str">
        <f t="shared" si="656"/>
        <v/>
      </c>
      <c r="AS976" s="32" t="str">
        <f t="shared" si="657"/>
        <v/>
      </c>
      <c r="AT976" s="32" t="str">
        <f t="shared" si="658"/>
        <v/>
      </c>
      <c r="AU976" s="34" t="str">
        <f t="shared" si="659"/>
        <v/>
      </c>
      <c r="AV976" s="32" t="str">
        <f t="shared" si="660"/>
        <v/>
      </c>
      <c r="AW976" s="32" t="str">
        <f t="shared" si="661"/>
        <v/>
      </c>
      <c r="AX976" s="32" t="str">
        <f t="shared" si="662"/>
        <v/>
      </c>
      <c r="AY976" s="32" t="str">
        <f t="shared" si="663"/>
        <v/>
      </c>
    </row>
    <row r="977" spans="1:51" x14ac:dyDescent="0.25">
      <c r="A977" s="24" t="str">
        <f t="shared" si="664"/>
        <v/>
      </c>
      <c r="B977" s="24" t="str">
        <f t="shared" si="674"/>
        <v/>
      </c>
      <c r="C977" s="32" t="str">
        <f t="shared" si="665"/>
        <v/>
      </c>
      <c r="D977" s="24" t="str">
        <f t="shared" si="666"/>
        <v/>
      </c>
      <c r="E977" s="24" t="str">
        <f t="shared" si="667"/>
        <v/>
      </c>
      <c r="F977" s="32" t="str">
        <f t="shared" si="668"/>
        <v/>
      </c>
      <c r="G977" s="32" t="str">
        <f t="shared" si="669"/>
        <v/>
      </c>
      <c r="H977" s="32" t="str">
        <f t="shared" ca="1" si="670"/>
        <v/>
      </c>
      <c r="I977" s="32" t="str">
        <f t="shared" ca="1" si="675"/>
        <v/>
      </c>
      <c r="J977" s="32" t="str">
        <f t="shared" si="671"/>
        <v/>
      </c>
      <c r="K977" s="32" t="str">
        <f>IF(ISNUMBER(A977),Profile!$V$25+Profile!$V$24*'Ri-Po'!C977,"")</f>
        <v/>
      </c>
      <c r="L977" s="32" t="str">
        <f t="shared" si="676"/>
        <v/>
      </c>
      <c r="M977" s="32" t="str">
        <f t="shared" si="672"/>
        <v/>
      </c>
      <c r="N977" s="32" t="str">
        <f t="shared" si="673"/>
        <v/>
      </c>
      <c r="O977" s="32" t="str">
        <f t="shared" si="689"/>
        <v/>
      </c>
      <c r="P977" s="32" t="str">
        <f t="shared" si="677"/>
        <v/>
      </c>
      <c r="Q977" s="32" t="str">
        <f t="shared" si="678"/>
        <v/>
      </c>
      <c r="R977" s="32" t="str">
        <f t="shared" si="690"/>
        <v/>
      </c>
      <c r="S977" s="24" t="str">
        <f t="shared" si="691"/>
        <v/>
      </c>
      <c r="T977" s="24" t="str">
        <f t="shared" si="692"/>
        <v/>
      </c>
      <c r="U977" s="24" t="str">
        <f t="shared" si="693"/>
        <v/>
      </c>
      <c r="V977" s="24" t="str">
        <f t="shared" si="694"/>
        <v/>
      </c>
      <c r="W977" s="23" t="str">
        <f t="array" ref="W977">IFERROR(SMALL(IF(S$1:S$1000="BEGIN",ROW(S$1:S$1000)),ROW()-3),"")</f>
        <v/>
      </c>
      <c r="X977" s="23" t="str">
        <f t="array" ref="X977">IFERROR(SMALL(IF(T$1:T$1000="END",ROW(T$1:T$1000)),ROW()-3),"")</f>
        <v/>
      </c>
      <c r="Y977" s="33" t="str">
        <f t="array" ref="Y977">IF(ISNUMBER(W977),MAX(IF((B$4:B$1000&lt;=X977)*(B$4:B$1000&gt;=W977),I$4:I$1000, "")),"")</f>
        <v/>
      </c>
      <c r="Z977" s="33" t="str">
        <f t="shared" si="679"/>
        <v/>
      </c>
      <c r="AA977" s="32" t="str">
        <f t="shared" si="680"/>
        <v/>
      </c>
      <c r="AB977" s="32" t="str">
        <f t="shared" si="681"/>
        <v/>
      </c>
      <c r="AC977" s="32" t="str">
        <f t="shared" si="682"/>
        <v/>
      </c>
      <c r="AD977" s="32" t="str">
        <f t="shared" si="683"/>
        <v/>
      </c>
      <c r="AE977" s="34" t="str">
        <f t="shared" si="684"/>
        <v/>
      </c>
      <c r="AF977" s="32" t="str">
        <f t="shared" si="685"/>
        <v/>
      </c>
      <c r="AG977" s="32" t="str">
        <f t="shared" si="686"/>
        <v/>
      </c>
      <c r="AH977" s="32" t="str">
        <f t="shared" si="687"/>
        <v/>
      </c>
      <c r="AI977" s="35" t="str">
        <f t="shared" si="688"/>
        <v/>
      </c>
      <c r="AJ977" s="23" t="str">
        <f t="array" ref="AJ977">IFERROR(SMALL(IF(U$1:U$1000="BEGIN",ROW(U$1:U$1000)),ROW()-3),"")</f>
        <v/>
      </c>
      <c r="AK977" s="23" t="str">
        <f t="array" ref="AK977">IFERROR(SMALL(IF(V$1:V$1000="END",ROW(V$1:V$1000)),ROW()-3),"")</f>
        <v/>
      </c>
      <c r="AL977" s="24" t="str">
        <f t="array" ref="AL977">IF(AK977="","",MATCH(AM977,L:L,0))</f>
        <v/>
      </c>
      <c r="AM977" s="35">
        <f t="array" ref="AM977">MAX(IF((B$4:B$1000&lt;=AK977)*(B$4:B$1000&gt;=AJ977),L$4:L$1000, ""))</f>
        <v>0</v>
      </c>
      <c r="AN977" s="32" t="str">
        <f t="shared" si="652"/>
        <v/>
      </c>
      <c r="AO977" s="32" t="str">
        <f t="shared" si="653"/>
        <v/>
      </c>
      <c r="AP977" s="32" t="str">
        <f t="shared" si="654"/>
        <v/>
      </c>
      <c r="AQ977" s="32" t="str">
        <f t="shared" si="655"/>
        <v/>
      </c>
      <c r="AR977" s="32" t="str">
        <f t="shared" si="656"/>
        <v/>
      </c>
      <c r="AS977" s="32" t="str">
        <f t="shared" si="657"/>
        <v/>
      </c>
      <c r="AT977" s="32" t="str">
        <f t="shared" si="658"/>
        <v/>
      </c>
      <c r="AU977" s="34" t="str">
        <f t="shared" si="659"/>
        <v/>
      </c>
      <c r="AV977" s="32" t="str">
        <f t="shared" si="660"/>
        <v/>
      </c>
      <c r="AW977" s="32" t="str">
        <f t="shared" si="661"/>
        <v/>
      </c>
      <c r="AX977" s="32" t="str">
        <f t="shared" si="662"/>
        <v/>
      </c>
      <c r="AY977" s="32" t="str">
        <f t="shared" si="663"/>
        <v/>
      </c>
    </row>
    <row r="978" spans="1:51" x14ac:dyDescent="0.25">
      <c r="A978" s="24" t="str">
        <f t="shared" si="664"/>
        <v/>
      </c>
      <c r="B978" s="24" t="str">
        <f t="shared" si="674"/>
        <v/>
      </c>
      <c r="C978" s="32" t="str">
        <f t="shared" si="665"/>
        <v/>
      </c>
      <c r="D978" s="24" t="str">
        <f t="shared" si="666"/>
        <v/>
      </c>
      <c r="E978" s="24" t="str">
        <f t="shared" si="667"/>
        <v/>
      </c>
      <c r="F978" s="32" t="str">
        <f t="shared" si="668"/>
        <v/>
      </c>
      <c r="G978" s="32" t="str">
        <f t="shared" si="669"/>
        <v/>
      </c>
      <c r="H978" s="32" t="str">
        <f t="shared" ca="1" si="670"/>
        <v/>
      </c>
      <c r="I978" s="32" t="str">
        <f t="shared" ca="1" si="675"/>
        <v/>
      </c>
      <c r="J978" s="32" t="str">
        <f t="shared" si="671"/>
        <v/>
      </c>
      <c r="K978" s="32" t="str">
        <f>IF(ISNUMBER(A978),Profile!$V$25+Profile!$V$24*'Ri-Po'!C978,"")</f>
        <v/>
      </c>
      <c r="L978" s="32" t="str">
        <f t="shared" si="676"/>
        <v/>
      </c>
      <c r="M978" s="32" t="str">
        <f t="shared" si="672"/>
        <v/>
      </c>
      <c r="N978" s="32" t="str">
        <f t="shared" si="673"/>
        <v/>
      </c>
      <c r="O978" s="32" t="str">
        <f t="shared" si="689"/>
        <v/>
      </c>
      <c r="P978" s="32" t="str">
        <f t="shared" si="677"/>
        <v/>
      </c>
      <c r="Q978" s="32" t="str">
        <f t="shared" si="678"/>
        <v/>
      </c>
      <c r="R978" s="32" t="str">
        <f t="shared" si="690"/>
        <v/>
      </c>
      <c r="S978" s="24" t="str">
        <f t="shared" si="691"/>
        <v/>
      </c>
      <c r="T978" s="24" t="str">
        <f t="shared" si="692"/>
        <v/>
      </c>
      <c r="U978" s="24" t="str">
        <f t="shared" si="693"/>
        <v/>
      </c>
      <c r="V978" s="24" t="str">
        <f t="shared" si="694"/>
        <v/>
      </c>
      <c r="W978" s="23" t="str">
        <f t="array" ref="W978">IFERROR(SMALL(IF(S$1:S$1000="BEGIN",ROW(S$1:S$1000)),ROW()-3),"")</f>
        <v/>
      </c>
      <c r="X978" s="23" t="str">
        <f t="array" ref="X978">IFERROR(SMALL(IF(T$1:T$1000="END",ROW(T$1:T$1000)),ROW()-3),"")</f>
        <v/>
      </c>
      <c r="Y978" s="33" t="str">
        <f t="array" ref="Y978">IF(ISNUMBER(W978),MAX(IF((B$4:B$1000&lt;=X978)*(B$4:B$1000&gt;=W978),I$4:I$1000, "")),"")</f>
        <v/>
      </c>
      <c r="Z978" s="33" t="str">
        <f t="shared" si="679"/>
        <v/>
      </c>
      <c r="AA978" s="32" t="str">
        <f t="shared" si="680"/>
        <v/>
      </c>
      <c r="AB978" s="32" t="str">
        <f t="shared" si="681"/>
        <v/>
      </c>
      <c r="AC978" s="32" t="str">
        <f t="shared" si="682"/>
        <v/>
      </c>
      <c r="AD978" s="32" t="str">
        <f t="shared" si="683"/>
        <v/>
      </c>
      <c r="AE978" s="34" t="str">
        <f t="shared" si="684"/>
        <v/>
      </c>
      <c r="AF978" s="32" t="str">
        <f t="shared" si="685"/>
        <v/>
      </c>
      <c r="AG978" s="32" t="str">
        <f t="shared" si="686"/>
        <v/>
      </c>
      <c r="AH978" s="32" t="str">
        <f t="shared" si="687"/>
        <v/>
      </c>
      <c r="AI978" s="35" t="str">
        <f t="shared" si="688"/>
        <v/>
      </c>
      <c r="AJ978" s="23" t="str">
        <f t="array" ref="AJ978">IFERROR(SMALL(IF(U$1:U$1000="BEGIN",ROW(U$1:U$1000)),ROW()-3),"")</f>
        <v/>
      </c>
      <c r="AK978" s="23" t="str">
        <f t="array" ref="AK978">IFERROR(SMALL(IF(V$1:V$1000="END",ROW(V$1:V$1000)),ROW()-3),"")</f>
        <v/>
      </c>
      <c r="AL978" s="24" t="str">
        <f t="array" ref="AL978">IF(AK978="","",MATCH(AM978,L:L,0))</f>
        <v/>
      </c>
      <c r="AM978" s="35">
        <f t="array" ref="AM978">MAX(IF((B$4:B$1000&lt;=AK978)*(B$4:B$1000&gt;=AJ978),L$4:L$1000, ""))</f>
        <v>0</v>
      </c>
      <c r="AN978" s="32" t="str">
        <f t="shared" ref="AN978:AN1000" si="695">IFERROR(INDEX(C:C,AJ978),"")</f>
        <v/>
      </c>
      <c r="AO978" s="32" t="str">
        <f t="shared" ref="AO978:AO1000" si="696">IFERROR(INDEX(C:C,AK978),"")</f>
        <v/>
      </c>
      <c r="AP978" s="32" t="str">
        <f t="shared" ref="AP978:AP1000" si="697">IFERROR(INDEX(C:C,AL978),"")</f>
        <v/>
      </c>
      <c r="AQ978" s="32" t="str">
        <f t="shared" ref="AQ978:AQ1000" si="698">IF(ISNUMBER(AN978),AM978,"")</f>
        <v/>
      </c>
      <c r="AR978" s="32" t="str">
        <f t="shared" ref="AR978:AR1000" si="699">IFERROR(AO978-AN978,"")</f>
        <v/>
      </c>
      <c r="AS978" s="32" t="str">
        <f t="shared" ref="AS978:AS1000" si="700">IFERROR(INDEX(H:H,AJ978),"")</f>
        <v/>
      </c>
      <c r="AT978" s="32" t="str">
        <f t="shared" ref="AT978:AT1000" si="701">IFERROR(INDEX(H:H,AK978),"")</f>
        <v/>
      </c>
      <c r="AU978" s="34" t="str">
        <f t="shared" ref="AU978:AU1000" si="702">IFERROR((AS978-AT978)/(AR978),"")</f>
        <v/>
      </c>
      <c r="AV978" s="32" t="str">
        <f t="shared" ref="AV978:AV1000" si="703">IFERROR(AQ978/$BB$17,"")</f>
        <v/>
      </c>
      <c r="AW978" s="32" t="str">
        <f t="shared" ref="AW978:AW1000" si="704">IFERROR(AU978/BB$19,"")</f>
        <v/>
      </c>
      <c r="AX978" s="32" t="str">
        <f t="shared" ref="AX978:AX1000" si="705">IFERROR(AP979-AP978,"")</f>
        <v/>
      </c>
      <c r="AY978" s="32" t="str">
        <f t="shared" ref="AY978:AY1000" si="706">IFERROR(AX978/BB$16,"")</f>
        <v/>
      </c>
    </row>
    <row r="979" spans="1:51" x14ac:dyDescent="0.25">
      <c r="A979" s="24" t="str">
        <f t="shared" si="664"/>
        <v/>
      </c>
      <c r="B979" s="24" t="str">
        <f t="shared" si="674"/>
        <v/>
      </c>
      <c r="C979" s="32" t="str">
        <f t="shared" si="665"/>
        <v/>
      </c>
      <c r="D979" s="24" t="str">
        <f t="shared" si="666"/>
        <v/>
      </c>
      <c r="E979" s="24" t="str">
        <f t="shared" si="667"/>
        <v/>
      </c>
      <c r="F979" s="32" t="str">
        <f t="shared" si="668"/>
        <v/>
      </c>
      <c r="G979" s="32" t="str">
        <f t="shared" si="669"/>
        <v/>
      </c>
      <c r="H979" s="32" t="str">
        <f t="shared" ca="1" si="670"/>
        <v/>
      </c>
      <c r="I979" s="32" t="str">
        <f t="shared" ca="1" si="675"/>
        <v/>
      </c>
      <c r="J979" s="32" t="str">
        <f t="shared" si="671"/>
        <v/>
      </c>
      <c r="K979" s="32" t="str">
        <f>IF(ISNUMBER(A979),Profile!$V$25+Profile!$V$24*'Ri-Po'!C979,"")</f>
        <v/>
      </c>
      <c r="L979" s="32" t="str">
        <f t="shared" si="676"/>
        <v/>
      </c>
      <c r="M979" s="32" t="str">
        <f t="shared" si="672"/>
        <v/>
      </c>
      <c r="N979" s="32" t="str">
        <f t="shared" si="673"/>
        <v/>
      </c>
      <c r="O979" s="32" t="str">
        <f t="shared" si="689"/>
        <v/>
      </c>
      <c r="P979" s="32" t="str">
        <f t="shared" si="677"/>
        <v/>
      </c>
      <c r="Q979" s="32" t="str">
        <f t="shared" si="678"/>
        <v/>
      </c>
      <c r="R979" s="32" t="str">
        <f t="shared" si="690"/>
        <v/>
      </c>
      <c r="S979" s="24" t="str">
        <f t="shared" si="691"/>
        <v/>
      </c>
      <c r="T979" s="24" t="str">
        <f t="shared" si="692"/>
        <v/>
      </c>
      <c r="U979" s="24" t="str">
        <f t="shared" si="693"/>
        <v/>
      </c>
      <c r="V979" s="24" t="str">
        <f t="shared" si="694"/>
        <v/>
      </c>
      <c r="W979" s="23" t="str">
        <f t="array" ref="W979">IFERROR(SMALL(IF(S$1:S$1000="BEGIN",ROW(S$1:S$1000)),ROW()-3),"")</f>
        <v/>
      </c>
      <c r="X979" s="23" t="str">
        <f t="array" ref="X979">IFERROR(SMALL(IF(T$1:T$1000="END",ROW(T$1:T$1000)),ROW()-3),"")</f>
        <v/>
      </c>
      <c r="Y979" s="33" t="str">
        <f t="array" ref="Y979">IF(ISNUMBER(W979),MAX(IF((B$4:B$1000&lt;=X979)*(B$4:B$1000&gt;=W979),I$4:I$1000, "")),"")</f>
        <v/>
      </c>
      <c r="Z979" s="33" t="str">
        <f t="shared" si="679"/>
        <v/>
      </c>
      <c r="AA979" s="32" t="str">
        <f t="shared" si="680"/>
        <v/>
      </c>
      <c r="AB979" s="32" t="str">
        <f t="shared" si="681"/>
        <v/>
      </c>
      <c r="AC979" s="32" t="str">
        <f t="shared" si="682"/>
        <v/>
      </c>
      <c r="AD979" s="32" t="str">
        <f t="shared" si="683"/>
        <v/>
      </c>
      <c r="AE979" s="34" t="str">
        <f t="shared" si="684"/>
        <v/>
      </c>
      <c r="AF979" s="32" t="str">
        <f t="shared" si="685"/>
        <v/>
      </c>
      <c r="AG979" s="32" t="str">
        <f t="shared" si="686"/>
        <v/>
      </c>
      <c r="AH979" s="32" t="str">
        <f t="shared" si="687"/>
        <v/>
      </c>
      <c r="AI979" s="35" t="str">
        <f t="shared" si="688"/>
        <v/>
      </c>
      <c r="AJ979" s="23" t="str">
        <f t="array" ref="AJ979">IFERROR(SMALL(IF(U$1:U$1000="BEGIN",ROW(U$1:U$1000)),ROW()-3),"")</f>
        <v/>
      </c>
      <c r="AK979" s="23" t="str">
        <f t="array" ref="AK979">IFERROR(SMALL(IF(V$1:V$1000="END",ROW(V$1:V$1000)),ROW()-3),"")</f>
        <v/>
      </c>
      <c r="AL979" s="24" t="str">
        <f t="array" ref="AL979">IF(AK979="","",MATCH(AM979,L:L,0))</f>
        <v/>
      </c>
      <c r="AM979" s="35">
        <f t="array" ref="AM979">MAX(IF((B$4:B$1000&lt;=AK979)*(B$4:B$1000&gt;=AJ979),L$4:L$1000, ""))</f>
        <v>0</v>
      </c>
      <c r="AN979" s="32" t="str">
        <f t="shared" si="695"/>
        <v/>
      </c>
      <c r="AO979" s="32" t="str">
        <f t="shared" si="696"/>
        <v/>
      </c>
      <c r="AP979" s="32" t="str">
        <f t="shared" si="697"/>
        <v/>
      </c>
      <c r="AQ979" s="32" t="str">
        <f t="shared" si="698"/>
        <v/>
      </c>
      <c r="AR979" s="32" t="str">
        <f t="shared" si="699"/>
        <v/>
      </c>
      <c r="AS979" s="32" t="str">
        <f t="shared" si="700"/>
        <v/>
      </c>
      <c r="AT979" s="32" t="str">
        <f t="shared" si="701"/>
        <v/>
      </c>
      <c r="AU979" s="34" t="str">
        <f t="shared" si="702"/>
        <v/>
      </c>
      <c r="AV979" s="32" t="str">
        <f t="shared" si="703"/>
        <v/>
      </c>
      <c r="AW979" s="32" t="str">
        <f t="shared" si="704"/>
        <v/>
      </c>
      <c r="AX979" s="32" t="str">
        <f t="shared" si="705"/>
        <v/>
      </c>
      <c r="AY979" s="32" t="str">
        <f t="shared" si="706"/>
        <v/>
      </c>
    </row>
    <row r="980" spans="1:51" x14ac:dyDescent="0.25">
      <c r="A980" s="24" t="str">
        <f t="shared" si="664"/>
        <v/>
      </c>
      <c r="B980" s="24" t="str">
        <f t="shared" si="674"/>
        <v/>
      </c>
      <c r="C980" s="32" t="str">
        <f t="shared" si="665"/>
        <v/>
      </c>
      <c r="D980" s="24" t="str">
        <f t="shared" si="666"/>
        <v/>
      </c>
      <c r="E980" s="24" t="str">
        <f t="shared" si="667"/>
        <v/>
      </c>
      <c r="F980" s="32" t="str">
        <f t="shared" si="668"/>
        <v/>
      </c>
      <c r="G980" s="32" t="str">
        <f t="shared" si="669"/>
        <v/>
      </c>
      <c r="H980" s="32" t="str">
        <f t="shared" ca="1" si="670"/>
        <v/>
      </c>
      <c r="I980" s="32" t="str">
        <f t="shared" ca="1" si="675"/>
        <v/>
      </c>
      <c r="J980" s="32" t="str">
        <f t="shared" si="671"/>
        <v/>
      </c>
      <c r="K980" s="32" t="str">
        <f>IF(ISNUMBER(A980),Profile!$V$25+Profile!$V$24*'Ri-Po'!C980,"")</f>
        <v/>
      </c>
      <c r="L980" s="32" t="str">
        <f t="shared" si="676"/>
        <v/>
      </c>
      <c r="M980" s="32" t="str">
        <f t="shared" si="672"/>
        <v/>
      </c>
      <c r="N980" s="32" t="str">
        <f t="shared" si="673"/>
        <v/>
      </c>
      <c r="O980" s="32" t="str">
        <f t="shared" si="689"/>
        <v/>
      </c>
      <c r="P980" s="32" t="str">
        <f t="shared" si="677"/>
        <v/>
      </c>
      <c r="Q980" s="32" t="str">
        <f t="shared" si="678"/>
        <v/>
      </c>
      <c r="R980" s="32" t="str">
        <f t="shared" si="690"/>
        <v/>
      </c>
      <c r="S980" s="24" t="str">
        <f t="shared" si="691"/>
        <v/>
      </c>
      <c r="T980" s="24" t="str">
        <f t="shared" si="692"/>
        <v/>
      </c>
      <c r="U980" s="24" t="str">
        <f t="shared" si="693"/>
        <v/>
      </c>
      <c r="V980" s="24" t="str">
        <f t="shared" si="694"/>
        <v/>
      </c>
      <c r="W980" s="23" t="str">
        <f t="array" ref="W980">IFERROR(SMALL(IF(S$1:S$1000="BEGIN",ROW(S$1:S$1000)),ROW()-3),"")</f>
        <v/>
      </c>
      <c r="X980" s="23" t="str">
        <f t="array" ref="X980">IFERROR(SMALL(IF(T$1:T$1000="END",ROW(T$1:T$1000)),ROW()-3),"")</f>
        <v/>
      </c>
      <c r="Y980" s="33" t="str">
        <f t="array" ref="Y980">IF(ISNUMBER(W980),MAX(IF((B$4:B$1000&lt;=X980)*(B$4:B$1000&gt;=W980),I$4:I$1000, "")),"")</f>
        <v/>
      </c>
      <c r="Z980" s="33" t="str">
        <f t="shared" si="679"/>
        <v/>
      </c>
      <c r="AA980" s="32" t="str">
        <f t="shared" si="680"/>
        <v/>
      </c>
      <c r="AB980" s="32" t="str">
        <f t="shared" si="681"/>
        <v/>
      </c>
      <c r="AC980" s="32" t="str">
        <f t="shared" si="682"/>
        <v/>
      </c>
      <c r="AD980" s="32" t="str">
        <f t="shared" si="683"/>
        <v/>
      </c>
      <c r="AE980" s="34" t="str">
        <f t="shared" si="684"/>
        <v/>
      </c>
      <c r="AF980" s="32" t="str">
        <f t="shared" si="685"/>
        <v/>
      </c>
      <c r="AG980" s="32" t="str">
        <f t="shared" si="686"/>
        <v/>
      </c>
      <c r="AH980" s="32" t="str">
        <f t="shared" si="687"/>
        <v/>
      </c>
      <c r="AI980" s="35" t="str">
        <f t="shared" si="688"/>
        <v/>
      </c>
      <c r="AJ980" s="23" t="str">
        <f t="array" ref="AJ980">IFERROR(SMALL(IF(U$1:U$1000="BEGIN",ROW(U$1:U$1000)),ROW()-3),"")</f>
        <v/>
      </c>
      <c r="AK980" s="23" t="str">
        <f t="array" ref="AK980">IFERROR(SMALL(IF(V$1:V$1000="END",ROW(V$1:V$1000)),ROW()-3),"")</f>
        <v/>
      </c>
      <c r="AL980" s="24" t="str">
        <f t="array" ref="AL980">IF(AK980="","",MATCH(AM980,L:L,0))</f>
        <v/>
      </c>
      <c r="AM980" s="35">
        <f t="array" ref="AM980">MAX(IF((B$4:B$1000&lt;=AK980)*(B$4:B$1000&gt;=AJ980),L$4:L$1000, ""))</f>
        <v>0</v>
      </c>
      <c r="AN980" s="32" t="str">
        <f t="shared" si="695"/>
        <v/>
      </c>
      <c r="AO980" s="32" t="str">
        <f t="shared" si="696"/>
        <v/>
      </c>
      <c r="AP980" s="32" t="str">
        <f t="shared" si="697"/>
        <v/>
      </c>
      <c r="AQ980" s="32" t="str">
        <f t="shared" si="698"/>
        <v/>
      </c>
      <c r="AR980" s="32" t="str">
        <f t="shared" si="699"/>
        <v/>
      </c>
      <c r="AS980" s="32" t="str">
        <f t="shared" si="700"/>
        <v/>
      </c>
      <c r="AT980" s="32" t="str">
        <f t="shared" si="701"/>
        <v/>
      </c>
      <c r="AU980" s="34" t="str">
        <f t="shared" si="702"/>
        <v/>
      </c>
      <c r="AV980" s="32" t="str">
        <f t="shared" si="703"/>
        <v/>
      </c>
      <c r="AW980" s="32" t="str">
        <f t="shared" si="704"/>
        <v/>
      </c>
      <c r="AX980" s="32" t="str">
        <f t="shared" si="705"/>
        <v/>
      </c>
      <c r="AY980" s="32" t="str">
        <f t="shared" si="706"/>
        <v/>
      </c>
    </row>
    <row r="981" spans="1:51" x14ac:dyDescent="0.25">
      <c r="A981" s="24" t="str">
        <f t="shared" si="664"/>
        <v/>
      </c>
      <c r="B981" s="24" t="str">
        <f t="shared" si="674"/>
        <v/>
      </c>
      <c r="C981" s="32" t="str">
        <f t="shared" si="665"/>
        <v/>
      </c>
      <c r="D981" s="24" t="str">
        <f t="shared" si="666"/>
        <v/>
      </c>
      <c r="E981" s="24" t="str">
        <f t="shared" si="667"/>
        <v/>
      </c>
      <c r="F981" s="32" t="str">
        <f t="shared" si="668"/>
        <v/>
      </c>
      <c r="G981" s="32" t="str">
        <f t="shared" si="669"/>
        <v/>
      </c>
      <c r="H981" s="32" t="str">
        <f t="shared" ca="1" si="670"/>
        <v/>
      </c>
      <c r="I981" s="32" t="str">
        <f t="shared" ca="1" si="675"/>
        <v/>
      </c>
      <c r="J981" s="32" t="str">
        <f t="shared" si="671"/>
        <v/>
      </c>
      <c r="K981" s="32" t="str">
        <f>IF(ISNUMBER(A981),Profile!$V$25+Profile!$V$24*'Ri-Po'!C981,"")</f>
        <v/>
      </c>
      <c r="L981" s="32" t="str">
        <f t="shared" si="676"/>
        <v/>
      </c>
      <c r="M981" s="32" t="str">
        <f t="shared" si="672"/>
        <v/>
      </c>
      <c r="N981" s="32" t="str">
        <f t="shared" si="673"/>
        <v/>
      </c>
      <c r="O981" s="32" t="str">
        <f t="shared" si="689"/>
        <v/>
      </c>
      <c r="P981" s="32" t="str">
        <f t="shared" si="677"/>
        <v/>
      </c>
      <c r="Q981" s="32" t="str">
        <f t="shared" si="678"/>
        <v/>
      </c>
      <c r="R981" s="32" t="str">
        <f t="shared" si="690"/>
        <v/>
      </c>
      <c r="S981" s="24" t="str">
        <f t="shared" si="691"/>
        <v/>
      </c>
      <c r="T981" s="24" t="str">
        <f t="shared" si="692"/>
        <v/>
      </c>
      <c r="U981" s="24" t="str">
        <f t="shared" si="693"/>
        <v/>
      </c>
      <c r="V981" s="24" t="str">
        <f t="shared" si="694"/>
        <v/>
      </c>
      <c r="W981" s="23" t="str">
        <f t="array" ref="W981">IFERROR(SMALL(IF(S$1:S$1000="BEGIN",ROW(S$1:S$1000)),ROW()-3),"")</f>
        <v/>
      </c>
      <c r="X981" s="23" t="str">
        <f t="array" ref="X981">IFERROR(SMALL(IF(T$1:T$1000="END",ROW(T$1:T$1000)),ROW()-3),"")</f>
        <v/>
      </c>
      <c r="Y981" s="33" t="str">
        <f t="array" ref="Y981">IF(ISNUMBER(W981),MAX(IF((B$4:B$1000&lt;=X981)*(B$4:B$1000&gt;=W981),I$4:I$1000, "")),"")</f>
        <v/>
      </c>
      <c r="Z981" s="33" t="str">
        <f t="shared" si="679"/>
        <v/>
      </c>
      <c r="AA981" s="32" t="str">
        <f t="shared" si="680"/>
        <v/>
      </c>
      <c r="AB981" s="32" t="str">
        <f t="shared" si="681"/>
        <v/>
      </c>
      <c r="AC981" s="32" t="str">
        <f t="shared" si="682"/>
        <v/>
      </c>
      <c r="AD981" s="32" t="str">
        <f t="shared" si="683"/>
        <v/>
      </c>
      <c r="AE981" s="34" t="str">
        <f t="shared" si="684"/>
        <v/>
      </c>
      <c r="AF981" s="32" t="str">
        <f t="shared" si="685"/>
        <v/>
      </c>
      <c r="AG981" s="32" t="str">
        <f t="shared" si="686"/>
        <v/>
      </c>
      <c r="AH981" s="32" t="str">
        <f t="shared" si="687"/>
        <v/>
      </c>
      <c r="AI981" s="35" t="str">
        <f t="shared" si="688"/>
        <v/>
      </c>
      <c r="AJ981" s="23" t="str">
        <f t="array" ref="AJ981">IFERROR(SMALL(IF(U$1:U$1000="BEGIN",ROW(U$1:U$1000)),ROW()-3),"")</f>
        <v/>
      </c>
      <c r="AK981" s="23" t="str">
        <f t="array" ref="AK981">IFERROR(SMALL(IF(V$1:V$1000="END",ROW(V$1:V$1000)),ROW()-3),"")</f>
        <v/>
      </c>
      <c r="AL981" s="24" t="str">
        <f t="array" ref="AL981">IF(AK981="","",MATCH(AM981,L:L,0))</f>
        <v/>
      </c>
      <c r="AM981" s="35">
        <f t="array" ref="AM981">MAX(IF((B$4:B$1000&lt;=AK981)*(B$4:B$1000&gt;=AJ981),L$4:L$1000, ""))</f>
        <v>0</v>
      </c>
      <c r="AN981" s="32" t="str">
        <f t="shared" si="695"/>
        <v/>
      </c>
      <c r="AO981" s="32" t="str">
        <f t="shared" si="696"/>
        <v/>
      </c>
      <c r="AP981" s="32" t="str">
        <f t="shared" si="697"/>
        <v/>
      </c>
      <c r="AQ981" s="32" t="str">
        <f t="shared" si="698"/>
        <v/>
      </c>
      <c r="AR981" s="32" t="str">
        <f t="shared" si="699"/>
        <v/>
      </c>
      <c r="AS981" s="32" t="str">
        <f t="shared" si="700"/>
        <v/>
      </c>
      <c r="AT981" s="32" t="str">
        <f t="shared" si="701"/>
        <v/>
      </c>
      <c r="AU981" s="34" t="str">
        <f t="shared" si="702"/>
        <v/>
      </c>
      <c r="AV981" s="32" t="str">
        <f t="shared" si="703"/>
        <v/>
      </c>
      <c r="AW981" s="32" t="str">
        <f t="shared" si="704"/>
        <v/>
      </c>
      <c r="AX981" s="32" t="str">
        <f t="shared" si="705"/>
        <v/>
      </c>
      <c r="AY981" s="32" t="str">
        <f t="shared" si="706"/>
        <v/>
      </c>
    </row>
    <row r="982" spans="1:51" x14ac:dyDescent="0.25">
      <c r="A982" s="24" t="str">
        <f t="shared" si="664"/>
        <v/>
      </c>
      <c r="B982" s="24" t="str">
        <f t="shared" si="674"/>
        <v/>
      </c>
      <c r="C982" s="32" t="str">
        <f t="shared" si="665"/>
        <v/>
      </c>
      <c r="D982" s="24" t="str">
        <f t="shared" si="666"/>
        <v/>
      </c>
      <c r="E982" s="24" t="str">
        <f t="shared" si="667"/>
        <v/>
      </c>
      <c r="F982" s="32" t="str">
        <f t="shared" si="668"/>
        <v/>
      </c>
      <c r="G982" s="32" t="str">
        <f t="shared" si="669"/>
        <v/>
      </c>
      <c r="H982" s="32" t="str">
        <f t="shared" ca="1" si="670"/>
        <v/>
      </c>
      <c r="I982" s="32" t="str">
        <f t="shared" ca="1" si="675"/>
        <v/>
      </c>
      <c r="J982" s="32" t="str">
        <f t="shared" si="671"/>
        <v/>
      </c>
      <c r="K982" s="32" t="str">
        <f>IF(ISNUMBER(A982),Profile!$V$25+Profile!$V$24*'Ri-Po'!C982,"")</f>
        <v/>
      </c>
      <c r="L982" s="32" t="str">
        <f t="shared" si="676"/>
        <v/>
      </c>
      <c r="M982" s="32" t="str">
        <f t="shared" si="672"/>
        <v/>
      </c>
      <c r="N982" s="32" t="str">
        <f t="shared" si="673"/>
        <v/>
      </c>
      <c r="O982" s="32" t="str">
        <f t="shared" si="689"/>
        <v/>
      </c>
      <c r="P982" s="32" t="str">
        <f t="shared" si="677"/>
        <v/>
      </c>
      <c r="Q982" s="32" t="str">
        <f t="shared" si="678"/>
        <v/>
      </c>
      <c r="R982" s="32" t="str">
        <f t="shared" si="690"/>
        <v/>
      </c>
      <c r="S982" s="24" t="str">
        <f t="shared" si="691"/>
        <v/>
      </c>
      <c r="T982" s="24" t="str">
        <f t="shared" si="692"/>
        <v/>
      </c>
      <c r="U982" s="24" t="str">
        <f t="shared" si="693"/>
        <v/>
      </c>
      <c r="V982" s="24" t="str">
        <f t="shared" si="694"/>
        <v/>
      </c>
      <c r="W982" s="23" t="str">
        <f t="array" ref="W982">IFERROR(SMALL(IF(S$1:S$1000="BEGIN",ROW(S$1:S$1000)),ROW()-3),"")</f>
        <v/>
      </c>
      <c r="X982" s="23" t="str">
        <f t="array" ref="X982">IFERROR(SMALL(IF(T$1:T$1000="END",ROW(T$1:T$1000)),ROW()-3),"")</f>
        <v/>
      </c>
      <c r="Y982" s="33" t="str">
        <f t="array" ref="Y982">IF(ISNUMBER(W982),MAX(IF((B$4:B$1000&lt;=X982)*(B$4:B$1000&gt;=W982),I$4:I$1000, "")),"")</f>
        <v/>
      </c>
      <c r="Z982" s="33" t="str">
        <f t="shared" si="679"/>
        <v/>
      </c>
      <c r="AA982" s="32" t="str">
        <f t="shared" si="680"/>
        <v/>
      </c>
      <c r="AB982" s="32" t="str">
        <f t="shared" si="681"/>
        <v/>
      </c>
      <c r="AC982" s="32" t="str">
        <f t="shared" si="682"/>
        <v/>
      </c>
      <c r="AD982" s="32" t="str">
        <f t="shared" si="683"/>
        <v/>
      </c>
      <c r="AE982" s="34" t="str">
        <f t="shared" si="684"/>
        <v/>
      </c>
      <c r="AF982" s="32" t="str">
        <f t="shared" si="685"/>
        <v/>
      </c>
      <c r="AG982" s="32" t="str">
        <f t="shared" si="686"/>
        <v/>
      </c>
      <c r="AH982" s="32" t="str">
        <f t="shared" si="687"/>
        <v/>
      </c>
      <c r="AI982" s="35" t="str">
        <f t="shared" si="688"/>
        <v/>
      </c>
      <c r="AJ982" s="23" t="str">
        <f t="array" ref="AJ982">IFERROR(SMALL(IF(U$1:U$1000="BEGIN",ROW(U$1:U$1000)),ROW()-3),"")</f>
        <v/>
      </c>
      <c r="AK982" s="23" t="str">
        <f t="array" ref="AK982">IFERROR(SMALL(IF(V$1:V$1000="END",ROW(V$1:V$1000)),ROW()-3),"")</f>
        <v/>
      </c>
      <c r="AL982" s="24" t="str">
        <f t="array" ref="AL982">IF(AK982="","",MATCH(AM982,L:L,0))</f>
        <v/>
      </c>
      <c r="AM982" s="35">
        <f t="array" ref="AM982">MAX(IF((B$4:B$1000&lt;=AK982)*(B$4:B$1000&gt;=AJ982),L$4:L$1000, ""))</f>
        <v>0</v>
      </c>
      <c r="AN982" s="32" t="str">
        <f t="shared" si="695"/>
        <v/>
      </c>
      <c r="AO982" s="32" t="str">
        <f t="shared" si="696"/>
        <v/>
      </c>
      <c r="AP982" s="32" t="str">
        <f t="shared" si="697"/>
        <v/>
      </c>
      <c r="AQ982" s="32" t="str">
        <f t="shared" si="698"/>
        <v/>
      </c>
      <c r="AR982" s="32" t="str">
        <f t="shared" si="699"/>
        <v/>
      </c>
      <c r="AS982" s="32" t="str">
        <f t="shared" si="700"/>
        <v/>
      </c>
      <c r="AT982" s="32" t="str">
        <f t="shared" si="701"/>
        <v/>
      </c>
      <c r="AU982" s="34" t="str">
        <f t="shared" si="702"/>
        <v/>
      </c>
      <c r="AV982" s="32" t="str">
        <f t="shared" si="703"/>
        <v/>
      </c>
      <c r="AW982" s="32" t="str">
        <f t="shared" si="704"/>
        <v/>
      </c>
      <c r="AX982" s="32" t="str">
        <f t="shared" si="705"/>
        <v/>
      </c>
      <c r="AY982" s="32" t="str">
        <f t="shared" si="706"/>
        <v/>
      </c>
    </row>
    <row r="983" spans="1:51" x14ac:dyDescent="0.25">
      <c r="A983" s="24" t="str">
        <f t="shared" si="664"/>
        <v/>
      </c>
      <c r="B983" s="24" t="str">
        <f t="shared" si="674"/>
        <v/>
      </c>
      <c r="C983" s="32" t="str">
        <f t="shared" si="665"/>
        <v/>
      </c>
      <c r="D983" s="24" t="str">
        <f t="shared" si="666"/>
        <v/>
      </c>
      <c r="E983" s="24" t="str">
        <f t="shared" si="667"/>
        <v/>
      </c>
      <c r="F983" s="32" t="str">
        <f t="shared" si="668"/>
        <v/>
      </c>
      <c r="G983" s="32" t="str">
        <f t="shared" si="669"/>
        <v/>
      </c>
      <c r="H983" s="32" t="str">
        <f t="shared" ca="1" si="670"/>
        <v/>
      </c>
      <c r="I983" s="32" t="str">
        <f t="shared" ca="1" si="675"/>
        <v/>
      </c>
      <c r="J983" s="32" t="str">
        <f t="shared" si="671"/>
        <v/>
      </c>
      <c r="K983" s="32" t="str">
        <f>IF(ISNUMBER(A983),Profile!$V$25+Profile!$V$24*'Ri-Po'!C983,"")</f>
        <v/>
      </c>
      <c r="L983" s="32" t="str">
        <f t="shared" si="676"/>
        <v/>
      </c>
      <c r="M983" s="32" t="str">
        <f t="shared" si="672"/>
        <v/>
      </c>
      <c r="N983" s="32" t="str">
        <f t="shared" si="673"/>
        <v/>
      </c>
      <c r="O983" s="32" t="str">
        <f t="shared" si="689"/>
        <v/>
      </c>
      <c r="P983" s="32" t="str">
        <f t="shared" si="677"/>
        <v/>
      </c>
      <c r="Q983" s="32" t="str">
        <f t="shared" si="678"/>
        <v/>
      </c>
      <c r="R983" s="32" t="str">
        <f t="shared" si="690"/>
        <v/>
      </c>
      <c r="S983" s="24" t="str">
        <f t="shared" si="691"/>
        <v/>
      </c>
      <c r="T983" s="24" t="str">
        <f t="shared" si="692"/>
        <v/>
      </c>
      <c r="U983" s="24" t="str">
        <f t="shared" si="693"/>
        <v/>
      </c>
      <c r="V983" s="24" t="str">
        <f t="shared" si="694"/>
        <v/>
      </c>
      <c r="W983" s="23" t="str">
        <f t="array" ref="W983">IFERROR(SMALL(IF(S$1:S$1000="BEGIN",ROW(S$1:S$1000)),ROW()-3),"")</f>
        <v/>
      </c>
      <c r="X983" s="23" t="str">
        <f t="array" ref="X983">IFERROR(SMALL(IF(T$1:T$1000="END",ROW(T$1:T$1000)),ROW()-3),"")</f>
        <v/>
      </c>
      <c r="Y983" s="33" t="str">
        <f t="array" ref="Y983">IF(ISNUMBER(W983),MAX(IF((B$4:B$1000&lt;=X983)*(B$4:B$1000&gt;=W983),I$4:I$1000, "")),"")</f>
        <v/>
      </c>
      <c r="Z983" s="33" t="str">
        <f t="shared" si="679"/>
        <v/>
      </c>
      <c r="AA983" s="32" t="str">
        <f t="shared" si="680"/>
        <v/>
      </c>
      <c r="AB983" s="32" t="str">
        <f t="shared" si="681"/>
        <v/>
      </c>
      <c r="AC983" s="32" t="str">
        <f t="shared" si="682"/>
        <v/>
      </c>
      <c r="AD983" s="32" t="str">
        <f t="shared" si="683"/>
        <v/>
      </c>
      <c r="AE983" s="34" t="str">
        <f t="shared" si="684"/>
        <v/>
      </c>
      <c r="AF983" s="32" t="str">
        <f t="shared" si="685"/>
        <v/>
      </c>
      <c r="AG983" s="32" t="str">
        <f t="shared" si="686"/>
        <v/>
      </c>
      <c r="AH983" s="32" t="str">
        <f t="shared" si="687"/>
        <v/>
      </c>
      <c r="AI983" s="35" t="str">
        <f t="shared" si="688"/>
        <v/>
      </c>
      <c r="AJ983" s="23" t="str">
        <f t="array" ref="AJ983">IFERROR(SMALL(IF(U$1:U$1000="BEGIN",ROW(U$1:U$1000)),ROW()-3),"")</f>
        <v/>
      </c>
      <c r="AK983" s="23" t="str">
        <f t="array" ref="AK983">IFERROR(SMALL(IF(V$1:V$1000="END",ROW(V$1:V$1000)),ROW()-3),"")</f>
        <v/>
      </c>
      <c r="AL983" s="24" t="str">
        <f t="array" ref="AL983">IF(AK983="","",MATCH(AM983,L:L,0))</f>
        <v/>
      </c>
      <c r="AM983" s="35">
        <f t="array" ref="AM983">MAX(IF((B$4:B$1000&lt;=AK983)*(B$4:B$1000&gt;=AJ983),L$4:L$1000, ""))</f>
        <v>0</v>
      </c>
      <c r="AN983" s="32" t="str">
        <f t="shared" si="695"/>
        <v/>
      </c>
      <c r="AO983" s="32" t="str">
        <f t="shared" si="696"/>
        <v/>
      </c>
      <c r="AP983" s="32" t="str">
        <f t="shared" si="697"/>
        <v/>
      </c>
      <c r="AQ983" s="32" t="str">
        <f t="shared" si="698"/>
        <v/>
      </c>
      <c r="AR983" s="32" t="str">
        <f t="shared" si="699"/>
        <v/>
      </c>
      <c r="AS983" s="32" t="str">
        <f t="shared" si="700"/>
        <v/>
      </c>
      <c r="AT983" s="32" t="str">
        <f t="shared" si="701"/>
        <v/>
      </c>
      <c r="AU983" s="34" t="str">
        <f t="shared" si="702"/>
        <v/>
      </c>
      <c r="AV983" s="32" t="str">
        <f t="shared" si="703"/>
        <v/>
      </c>
      <c r="AW983" s="32" t="str">
        <f t="shared" si="704"/>
        <v/>
      </c>
      <c r="AX983" s="32" t="str">
        <f t="shared" si="705"/>
        <v/>
      </c>
      <c r="AY983" s="32" t="str">
        <f t="shared" si="706"/>
        <v/>
      </c>
    </row>
    <row r="984" spans="1:51" x14ac:dyDescent="0.25">
      <c r="A984" s="24" t="str">
        <f t="shared" si="664"/>
        <v/>
      </c>
      <c r="B984" s="24" t="str">
        <f t="shared" si="674"/>
        <v/>
      </c>
      <c r="C984" s="32" t="str">
        <f t="shared" si="665"/>
        <v/>
      </c>
      <c r="D984" s="24" t="str">
        <f t="shared" si="666"/>
        <v/>
      </c>
      <c r="E984" s="24" t="str">
        <f t="shared" si="667"/>
        <v/>
      </c>
      <c r="F984" s="32" t="str">
        <f t="shared" si="668"/>
        <v/>
      </c>
      <c r="G984" s="32" t="str">
        <f t="shared" si="669"/>
        <v/>
      </c>
      <c r="H984" s="32" t="str">
        <f t="shared" ca="1" si="670"/>
        <v/>
      </c>
      <c r="I984" s="32" t="str">
        <f t="shared" ca="1" si="675"/>
        <v/>
      </c>
      <c r="J984" s="32" t="str">
        <f t="shared" si="671"/>
        <v/>
      </c>
      <c r="K984" s="32" t="str">
        <f>IF(ISNUMBER(A984),Profile!$V$25+Profile!$V$24*'Ri-Po'!C984,"")</f>
        <v/>
      </c>
      <c r="L984" s="32" t="str">
        <f t="shared" si="676"/>
        <v/>
      </c>
      <c r="M984" s="32" t="str">
        <f t="shared" si="672"/>
        <v/>
      </c>
      <c r="N984" s="32" t="str">
        <f t="shared" si="673"/>
        <v/>
      </c>
      <c r="O984" s="32" t="str">
        <f t="shared" si="689"/>
        <v/>
      </c>
      <c r="P984" s="32" t="str">
        <f t="shared" si="677"/>
        <v/>
      </c>
      <c r="Q984" s="32" t="str">
        <f t="shared" si="678"/>
        <v/>
      </c>
      <c r="R984" s="32" t="str">
        <f t="shared" si="690"/>
        <v/>
      </c>
      <c r="S984" s="24" t="str">
        <f t="shared" si="691"/>
        <v/>
      </c>
      <c r="T984" s="24" t="str">
        <f t="shared" si="692"/>
        <v/>
      </c>
      <c r="U984" s="24" t="str">
        <f t="shared" si="693"/>
        <v/>
      </c>
      <c r="V984" s="24" t="str">
        <f t="shared" si="694"/>
        <v/>
      </c>
      <c r="W984" s="23" t="str">
        <f t="array" ref="W984">IFERROR(SMALL(IF(S$1:S$1000="BEGIN",ROW(S$1:S$1000)),ROW()-3),"")</f>
        <v/>
      </c>
      <c r="X984" s="23" t="str">
        <f t="array" ref="X984">IFERROR(SMALL(IF(T$1:T$1000="END",ROW(T$1:T$1000)),ROW()-3),"")</f>
        <v/>
      </c>
      <c r="Y984" s="33" t="str">
        <f t="array" ref="Y984">IF(ISNUMBER(W984),MAX(IF((B$4:B$1000&lt;=X984)*(B$4:B$1000&gt;=W984),I$4:I$1000, "")),"")</f>
        <v/>
      </c>
      <c r="Z984" s="33" t="str">
        <f t="shared" si="679"/>
        <v/>
      </c>
      <c r="AA984" s="32" t="str">
        <f t="shared" si="680"/>
        <v/>
      </c>
      <c r="AB984" s="32" t="str">
        <f t="shared" si="681"/>
        <v/>
      </c>
      <c r="AC984" s="32" t="str">
        <f t="shared" si="682"/>
        <v/>
      </c>
      <c r="AD984" s="32" t="str">
        <f t="shared" si="683"/>
        <v/>
      </c>
      <c r="AE984" s="34" t="str">
        <f t="shared" si="684"/>
        <v/>
      </c>
      <c r="AF984" s="32" t="str">
        <f t="shared" si="685"/>
        <v/>
      </c>
      <c r="AG984" s="32" t="str">
        <f t="shared" si="686"/>
        <v/>
      </c>
      <c r="AH984" s="32" t="str">
        <f t="shared" si="687"/>
        <v/>
      </c>
      <c r="AI984" s="35" t="str">
        <f t="shared" si="688"/>
        <v/>
      </c>
      <c r="AJ984" s="23" t="str">
        <f t="array" ref="AJ984">IFERROR(SMALL(IF(U$1:U$1000="BEGIN",ROW(U$1:U$1000)),ROW()-3),"")</f>
        <v/>
      </c>
      <c r="AK984" s="23" t="str">
        <f t="array" ref="AK984">IFERROR(SMALL(IF(V$1:V$1000="END",ROW(V$1:V$1000)),ROW()-3),"")</f>
        <v/>
      </c>
      <c r="AL984" s="24" t="str">
        <f t="array" ref="AL984">IF(AK984="","",MATCH(AM984,L:L,0))</f>
        <v/>
      </c>
      <c r="AM984" s="35">
        <f t="array" ref="AM984">MAX(IF((B$4:B$1000&lt;=AK984)*(B$4:B$1000&gt;=AJ984),L$4:L$1000, ""))</f>
        <v>0</v>
      </c>
      <c r="AN984" s="32" t="str">
        <f t="shared" si="695"/>
        <v/>
      </c>
      <c r="AO984" s="32" t="str">
        <f t="shared" si="696"/>
        <v/>
      </c>
      <c r="AP984" s="32" t="str">
        <f t="shared" si="697"/>
        <v/>
      </c>
      <c r="AQ984" s="32" t="str">
        <f t="shared" si="698"/>
        <v/>
      </c>
      <c r="AR984" s="32" t="str">
        <f t="shared" si="699"/>
        <v/>
      </c>
      <c r="AS984" s="32" t="str">
        <f t="shared" si="700"/>
        <v/>
      </c>
      <c r="AT984" s="32" t="str">
        <f t="shared" si="701"/>
        <v/>
      </c>
      <c r="AU984" s="34" t="str">
        <f t="shared" si="702"/>
        <v/>
      </c>
      <c r="AV984" s="32" t="str">
        <f t="shared" si="703"/>
        <v/>
      </c>
      <c r="AW984" s="32" t="str">
        <f t="shared" si="704"/>
        <v/>
      </c>
      <c r="AX984" s="32" t="str">
        <f t="shared" si="705"/>
        <v/>
      </c>
      <c r="AY984" s="32" t="str">
        <f t="shared" si="706"/>
        <v/>
      </c>
    </row>
    <row r="985" spans="1:51" x14ac:dyDescent="0.25">
      <c r="A985" s="24" t="str">
        <f t="shared" si="664"/>
        <v/>
      </c>
      <c r="B985" s="24" t="str">
        <f t="shared" si="674"/>
        <v/>
      </c>
      <c r="C985" s="32" t="str">
        <f t="shared" si="665"/>
        <v/>
      </c>
      <c r="D985" s="24" t="str">
        <f t="shared" si="666"/>
        <v/>
      </c>
      <c r="E985" s="24" t="str">
        <f t="shared" si="667"/>
        <v/>
      </c>
      <c r="F985" s="32" t="str">
        <f t="shared" si="668"/>
        <v/>
      </c>
      <c r="G985" s="32" t="str">
        <f t="shared" si="669"/>
        <v/>
      </c>
      <c r="H985" s="32" t="str">
        <f t="shared" ca="1" si="670"/>
        <v/>
      </c>
      <c r="I985" s="32" t="str">
        <f t="shared" ca="1" si="675"/>
        <v/>
      </c>
      <c r="J985" s="32" t="str">
        <f t="shared" si="671"/>
        <v/>
      </c>
      <c r="K985" s="32" t="str">
        <f>IF(ISNUMBER(A985),Profile!$V$25+Profile!$V$24*'Ri-Po'!C985,"")</f>
        <v/>
      </c>
      <c r="L985" s="32" t="str">
        <f t="shared" si="676"/>
        <v/>
      </c>
      <c r="M985" s="32" t="str">
        <f t="shared" si="672"/>
        <v/>
      </c>
      <c r="N985" s="32" t="str">
        <f t="shared" si="673"/>
        <v/>
      </c>
      <c r="O985" s="32" t="str">
        <f t="shared" si="689"/>
        <v/>
      </c>
      <c r="P985" s="32" t="str">
        <f t="shared" si="677"/>
        <v/>
      </c>
      <c r="Q985" s="32" t="str">
        <f t="shared" si="678"/>
        <v/>
      </c>
      <c r="R985" s="32" t="str">
        <f t="shared" si="690"/>
        <v/>
      </c>
      <c r="S985" s="24" t="str">
        <f t="shared" si="691"/>
        <v/>
      </c>
      <c r="T985" s="24" t="str">
        <f t="shared" si="692"/>
        <v/>
      </c>
      <c r="U985" s="24" t="str">
        <f t="shared" si="693"/>
        <v/>
      </c>
      <c r="V985" s="24" t="str">
        <f t="shared" si="694"/>
        <v/>
      </c>
      <c r="W985" s="23" t="str">
        <f t="array" ref="W985">IFERROR(SMALL(IF(S$1:S$1000="BEGIN",ROW(S$1:S$1000)),ROW()-3),"")</f>
        <v/>
      </c>
      <c r="X985" s="23" t="str">
        <f t="array" ref="X985">IFERROR(SMALL(IF(T$1:T$1000="END",ROW(T$1:T$1000)),ROW()-3),"")</f>
        <v/>
      </c>
      <c r="Y985" s="33" t="str">
        <f t="array" ref="Y985">IF(ISNUMBER(W985),MAX(IF((B$4:B$1000&lt;=X985)*(B$4:B$1000&gt;=W985),I$4:I$1000, "")),"")</f>
        <v/>
      </c>
      <c r="Z985" s="33" t="str">
        <f t="shared" si="679"/>
        <v/>
      </c>
      <c r="AA985" s="32" t="str">
        <f t="shared" si="680"/>
        <v/>
      </c>
      <c r="AB985" s="32" t="str">
        <f t="shared" si="681"/>
        <v/>
      </c>
      <c r="AC985" s="32" t="str">
        <f t="shared" si="682"/>
        <v/>
      </c>
      <c r="AD985" s="32" t="str">
        <f t="shared" si="683"/>
        <v/>
      </c>
      <c r="AE985" s="34" t="str">
        <f t="shared" si="684"/>
        <v/>
      </c>
      <c r="AF985" s="32" t="str">
        <f t="shared" si="685"/>
        <v/>
      </c>
      <c r="AG985" s="32" t="str">
        <f t="shared" si="686"/>
        <v/>
      </c>
      <c r="AH985" s="32" t="str">
        <f t="shared" si="687"/>
        <v/>
      </c>
      <c r="AI985" s="35" t="str">
        <f t="shared" si="688"/>
        <v/>
      </c>
      <c r="AJ985" s="23" t="str">
        <f t="array" ref="AJ985">IFERROR(SMALL(IF(U$1:U$1000="BEGIN",ROW(U$1:U$1000)),ROW()-3),"")</f>
        <v/>
      </c>
      <c r="AK985" s="23" t="str">
        <f t="array" ref="AK985">IFERROR(SMALL(IF(V$1:V$1000="END",ROW(V$1:V$1000)),ROW()-3),"")</f>
        <v/>
      </c>
      <c r="AL985" s="24" t="str">
        <f t="array" ref="AL985">IF(AK985="","",MATCH(AM985,L:L,0))</f>
        <v/>
      </c>
      <c r="AM985" s="35">
        <f t="array" ref="AM985">MAX(IF((B$4:B$1000&lt;=AK985)*(B$4:B$1000&gt;=AJ985),L$4:L$1000, ""))</f>
        <v>0</v>
      </c>
      <c r="AN985" s="32" t="str">
        <f t="shared" si="695"/>
        <v/>
      </c>
      <c r="AO985" s="32" t="str">
        <f t="shared" si="696"/>
        <v/>
      </c>
      <c r="AP985" s="32" t="str">
        <f t="shared" si="697"/>
        <v/>
      </c>
      <c r="AQ985" s="32" t="str">
        <f t="shared" si="698"/>
        <v/>
      </c>
      <c r="AR985" s="32" t="str">
        <f t="shared" si="699"/>
        <v/>
      </c>
      <c r="AS985" s="32" t="str">
        <f t="shared" si="700"/>
        <v/>
      </c>
      <c r="AT985" s="32" t="str">
        <f t="shared" si="701"/>
        <v/>
      </c>
      <c r="AU985" s="34" t="str">
        <f t="shared" si="702"/>
        <v/>
      </c>
      <c r="AV985" s="32" t="str">
        <f t="shared" si="703"/>
        <v/>
      </c>
      <c r="AW985" s="32" t="str">
        <f t="shared" si="704"/>
        <v/>
      </c>
      <c r="AX985" s="32" t="str">
        <f t="shared" si="705"/>
        <v/>
      </c>
      <c r="AY985" s="32" t="str">
        <f t="shared" si="706"/>
        <v/>
      </c>
    </row>
    <row r="986" spans="1:51" x14ac:dyDescent="0.25">
      <c r="A986" s="24" t="str">
        <f t="shared" si="664"/>
        <v/>
      </c>
      <c r="B986" s="24" t="str">
        <f t="shared" si="674"/>
        <v/>
      </c>
      <c r="C986" s="32" t="str">
        <f t="shared" si="665"/>
        <v/>
      </c>
      <c r="D986" s="24" t="str">
        <f t="shared" si="666"/>
        <v/>
      </c>
      <c r="E986" s="24" t="str">
        <f t="shared" si="667"/>
        <v/>
      </c>
      <c r="F986" s="32" t="str">
        <f t="shared" si="668"/>
        <v/>
      </c>
      <c r="G986" s="32" t="str">
        <f t="shared" si="669"/>
        <v/>
      </c>
      <c r="H986" s="32" t="str">
        <f t="shared" ca="1" si="670"/>
        <v/>
      </c>
      <c r="I986" s="32" t="str">
        <f t="shared" ca="1" si="675"/>
        <v/>
      </c>
      <c r="J986" s="32" t="str">
        <f t="shared" si="671"/>
        <v/>
      </c>
      <c r="K986" s="32" t="str">
        <f>IF(ISNUMBER(A986),Profile!$V$25+Profile!$V$24*'Ri-Po'!C986,"")</f>
        <v/>
      </c>
      <c r="L986" s="32" t="str">
        <f t="shared" si="676"/>
        <v/>
      </c>
      <c r="M986" s="32" t="str">
        <f t="shared" si="672"/>
        <v/>
      </c>
      <c r="N986" s="32" t="str">
        <f t="shared" si="673"/>
        <v/>
      </c>
      <c r="O986" s="32" t="str">
        <f t="shared" si="689"/>
        <v/>
      </c>
      <c r="P986" s="32" t="str">
        <f t="shared" si="677"/>
        <v/>
      </c>
      <c r="Q986" s="32" t="str">
        <f t="shared" si="678"/>
        <v/>
      </c>
      <c r="R986" s="32" t="str">
        <f t="shared" si="690"/>
        <v/>
      </c>
      <c r="S986" s="24" t="str">
        <f t="shared" si="691"/>
        <v/>
      </c>
      <c r="T986" s="24" t="str">
        <f t="shared" si="692"/>
        <v/>
      </c>
      <c r="U986" s="24" t="str">
        <f t="shared" si="693"/>
        <v/>
      </c>
      <c r="V986" s="24" t="str">
        <f t="shared" si="694"/>
        <v/>
      </c>
      <c r="W986" s="23" t="str">
        <f t="array" ref="W986">IFERROR(SMALL(IF(S$1:S$1000="BEGIN",ROW(S$1:S$1000)),ROW()-3),"")</f>
        <v/>
      </c>
      <c r="X986" s="23" t="str">
        <f t="array" ref="X986">IFERROR(SMALL(IF(T$1:T$1000="END",ROW(T$1:T$1000)),ROW()-3),"")</f>
        <v/>
      </c>
      <c r="Y986" s="33" t="str">
        <f t="array" ref="Y986">IF(ISNUMBER(W986),MAX(IF((B$4:B$1000&lt;=X986)*(B$4:B$1000&gt;=W986),I$4:I$1000, "")),"")</f>
        <v/>
      </c>
      <c r="Z986" s="33" t="str">
        <f t="shared" si="679"/>
        <v/>
      </c>
      <c r="AA986" s="32" t="str">
        <f t="shared" si="680"/>
        <v/>
      </c>
      <c r="AB986" s="32" t="str">
        <f t="shared" si="681"/>
        <v/>
      </c>
      <c r="AC986" s="32" t="str">
        <f t="shared" si="682"/>
        <v/>
      </c>
      <c r="AD986" s="32" t="str">
        <f t="shared" si="683"/>
        <v/>
      </c>
      <c r="AE986" s="34" t="str">
        <f t="shared" si="684"/>
        <v/>
      </c>
      <c r="AF986" s="32" t="str">
        <f t="shared" si="685"/>
        <v/>
      </c>
      <c r="AG986" s="32" t="str">
        <f t="shared" si="686"/>
        <v/>
      </c>
      <c r="AH986" s="32" t="str">
        <f t="shared" si="687"/>
        <v/>
      </c>
      <c r="AI986" s="35" t="str">
        <f t="shared" si="688"/>
        <v/>
      </c>
      <c r="AJ986" s="23" t="str">
        <f t="array" ref="AJ986">IFERROR(SMALL(IF(U$1:U$1000="BEGIN",ROW(U$1:U$1000)),ROW()-3),"")</f>
        <v/>
      </c>
      <c r="AK986" s="23" t="str">
        <f t="array" ref="AK986">IFERROR(SMALL(IF(V$1:V$1000="END",ROW(V$1:V$1000)),ROW()-3),"")</f>
        <v/>
      </c>
      <c r="AL986" s="24" t="str">
        <f t="array" ref="AL986">IF(AK986="","",MATCH(AM986,L:L,0))</f>
        <v/>
      </c>
      <c r="AM986" s="35">
        <f t="array" ref="AM986">MAX(IF((B$4:B$1000&lt;=AK986)*(B$4:B$1000&gt;=AJ986),L$4:L$1000, ""))</f>
        <v>0</v>
      </c>
      <c r="AN986" s="32" t="str">
        <f t="shared" si="695"/>
        <v/>
      </c>
      <c r="AO986" s="32" t="str">
        <f t="shared" si="696"/>
        <v/>
      </c>
      <c r="AP986" s="32" t="str">
        <f t="shared" si="697"/>
        <v/>
      </c>
      <c r="AQ986" s="32" t="str">
        <f t="shared" si="698"/>
        <v/>
      </c>
      <c r="AR986" s="32" t="str">
        <f t="shared" si="699"/>
        <v/>
      </c>
      <c r="AS986" s="32" t="str">
        <f t="shared" si="700"/>
        <v/>
      </c>
      <c r="AT986" s="32" t="str">
        <f t="shared" si="701"/>
        <v/>
      </c>
      <c r="AU986" s="34" t="str">
        <f t="shared" si="702"/>
        <v/>
      </c>
      <c r="AV986" s="32" t="str">
        <f t="shared" si="703"/>
        <v/>
      </c>
      <c r="AW986" s="32" t="str">
        <f t="shared" si="704"/>
        <v/>
      </c>
      <c r="AX986" s="32" t="str">
        <f t="shared" si="705"/>
        <v/>
      </c>
      <c r="AY986" s="32" t="str">
        <f t="shared" si="706"/>
        <v/>
      </c>
    </row>
    <row r="987" spans="1:51" x14ac:dyDescent="0.25">
      <c r="A987" s="24" t="str">
        <f t="shared" si="664"/>
        <v/>
      </c>
      <c r="B987" s="24" t="str">
        <f t="shared" si="674"/>
        <v/>
      </c>
      <c r="C987" s="32" t="str">
        <f t="shared" si="665"/>
        <v/>
      </c>
      <c r="D987" s="24" t="str">
        <f t="shared" si="666"/>
        <v/>
      </c>
      <c r="E987" s="24" t="str">
        <f t="shared" si="667"/>
        <v/>
      </c>
      <c r="F987" s="32" t="str">
        <f t="shared" si="668"/>
        <v/>
      </c>
      <c r="G987" s="32" t="str">
        <f t="shared" si="669"/>
        <v/>
      </c>
      <c r="H987" s="32" t="str">
        <f t="shared" ca="1" si="670"/>
        <v/>
      </c>
      <c r="I987" s="32" t="str">
        <f t="shared" ca="1" si="675"/>
        <v/>
      </c>
      <c r="J987" s="32" t="str">
        <f t="shared" si="671"/>
        <v/>
      </c>
      <c r="K987" s="32" t="str">
        <f>IF(ISNUMBER(A987),Profile!$V$25+Profile!$V$24*'Ri-Po'!C987,"")</f>
        <v/>
      </c>
      <c r="L987" s="32" t="str">
        <f t="shared" si="676"/>
        <v/>
      </c>
      <c r="M987" s="32" t="str">
        <f t="shared" si="672"/>
        <v/>
      </c>
      <c r="N987" s="32" t="str">
        <f t="shared" si="673"/>
        <v/>
      </c>
      <c r="O987" s="32" t="str">
        <f t="shared" si="689"/>
        <v/>
      </c>
      <c r="P987" s="32" t="str">
        <f t="shared" si="677"/>
        <v/>
      </c>
      <c r="Q987" s="32" t="str">
        <f t="shared" si="678"/>
        <v/>
      </c>
      <c r="R987" s="32" t="str">
        <f t="shared" si="690"/>
        <v/>
      </c>
      <c r="S987" s="24" t="str">
        <f t="shared" si="691"/>
        <v/>
      </c>
      <c r="T987" s="24" t="str">
        <f t="shared" si="692"/>
        <v/>
      </c>
      <c r="U987" s="24" t="str">
        <f t="shared" si="693"/>
        <v/>
      </c>
      <c r="V987" s="24" t="str">
        <f t="shared" si="694"/>
        <v/>
      </c>
      <c r="W987" s="23" t="str">
        <f t="array" ref="W987">IFERROR(SMALL(IF(S$1:S$1000="BEGIN",ROW(S$1:S$1000)),ROW()-3),"")</f>
        <v/>
      </c>
      <c r="X987" s="23" t="str">
        <f t="array" ref="X987">IFERROR(SMALL(IF(T$1:T$1000="END",ROW(T$1:T$1000)),ROW()-3),"")</f>
        <v/>
      </c>
      <c r="Y987" s="33" t="str">
        <f t="array" ref="Y987">IF(ISNUMBER(W987),MAX(IF((B$4:B$1000&lt;=X987)*(B$4:B$1000&gt;=W987),I$4:I$1000, "")),"")</f>
        <v/>
      </c>
      <c r="Z987" s="33" t="str">
        <f t="shared" si="679"/>
        <v/>
      </c>
      <c r="AA987" s="32" t="str">
        <f t="shared" si="680"/>
        <v/>
      </c>
      <c r="AB987" s="32" t="str">
        <f t="shared" si="681"/>
        <v/>
      </c>
      <c r="AC987" s="32" t="str">
        <f t="shared" si="682"/>
        <v/>
      </c>
      <c r="AD987" s="32" t="str">
        <f t="shared" si="683"/>
        <v/>
      </c>
      <c r="AE987" s="34" t="str">
        <f t="shared" si="684"/>
        <v/>
      </c>
      <c r="AF987" s="32" t="str">
        <f t="shared" si="685"/>
        <v/>
      </c>
      <c r="AG987" s="32" t="str">
        <f t="shared" si="686"/>
        <v/>
      </c>
      <c r="AH987" s="32" t="str">
        <f t="shared" si="687"/>
        <v/>
      </c>
      <c r="AI987" s="35" t="str">
        <f t="shared" si="688"/>
        <v/>
      </c>
      <c r="AJ987" s="23" t="str">
        <f t="array" ref="AJ987">IFERROR(SMALL(IF(U$1:U$1000="BEGIN",ROW(U$1:U$1000)),ROW()-3),"")</f>
        <v/>
      </c>
      <c r="AK987" s="23" t="str">
        <f t="array" ref="AK987">IFERROR(SMALL(IF(V$1:V$1000="END",ROW(V$1:V$1000)),ROW()-3),"")</f>
        <v/>
      </c>
      <c r="AL987" s="24" t="str">
        <f t="array" ref="AL987">IF(AK987="","",MATCH(AM987,L:L,0))</f>
        <v/>
      </c>
      <c r="AM987" s="35">
        <f t="array" ref="AM987">MAX(IF((B$4:B$1000&lt;=AK987)*(B$4:B$1000&gt;=AJ987),L$4:L$1000, ""))</f>
        <v>0</v>
      </c>
      <c r="AN987" s="32" t="str">
        <f t="shared" si="695"/>
        <v/>
      </c>
      <c r="AO987" s="32" t="str">
        <f t="shared" si="696"/>
        <v/>
      </c>
      <c r="AP987" s="32" t="str">
        <f t="shared" si="697"/>
        <v/>
      </c>
      <c r="AQ987" s="32" t="str">
        <f t="shared" si="698"/>
        <v/>
      </c>
      <c r="AR987" s="32" t="str">
        <f t="shared" si="699"/>
        <v/>
      </c>
      <c r="AS987" s="32" t="str">
        <f t="shared" si="700"/>
        <v/>
      </c>
      <c r="AT987" s="32" t="str">
        <f t="shared" si="701"/>
        <v/>
      </c>
      <c r="AU987" s="34" t="str">
        <f t="shared" si="702"/>
        <v/>
      </c>
      <c r="AV987" s="32" t="str">
        <f t="shared" si="703"/>
        <v/>
      </c>
      <c r="AW987" s="32" t="str">
        <f t="shared" si="704"/>
        <v/>
      </c>
      <c r="AX987" s="32" t="str">
        <f t="shared" si="705"/>
        <v/>
      </c>
      <c r="AY987" s="32" t="str">
        <f t="shared" si="706"/>
        <v/>
      </c>
    </row>
    <row r="988" spans="1:51" x14ac:dyDescent="0.25">
      <c r="A988" s="24" t="str">
        <f t="shared" si="664"/>
        <v/>
      </c>
      <c r="B988" s="24" t="str">
        <f t="shared" si="674"/>
        <v/>
      </c>
      <c r="C988" s="32" t="str">
        <f t="shared" si="665"/>
        <v/>
      </c>
      <c r="D988" s="24" t="str">
        <f t="shared" si="666"/>
        <v/>
      </c>
      <c r="E988" s="24" t="str">
        <f t="shared" si="667"/>
        <v/>
      </c>
      <c r="F988" s="32" t="str">
        <f t="shared" si="668"/>
        <v/>
      </c>
      <c r="G988" s="32" t="str">
        <f t="shared" si="669"/>
        <v/>
      </c>
      <c r="H988" s="32" t="str">
        <f t="shared" ca="1" si="670"/>
        <v/>
      </c>
      <c r="I988" s="32" t="str">
        <f t="shared" ca="1" si="675"/>
        <v/>
      </c>
      <c r="J988" s="32" t="str">
        <f t="shared" si="671"/>
        <v/>
      </c>
      <c r="K988" s="32" t="str">
        <f>IF(ISNUMBER(A988),Profile!$V$25+Profile!$V$24*'Ri-Po'!C988,"")</f>
        <v/>
      </c>
      <c r="L988" s="32" t="str">
        <f t="shared" si="676"/>
        <v/>
      </c>
      <c r="M988" s="32" t="str">
        <f t="shared" si="672"/>
        <v/>
      </c>
      <c r="N988" s="32" t="str">
        <f t="shared" si="673"/>
        <v/>
      </c>
      <c r="O988" s="32" t="str">
        <f t="shared" si="689"/>
        <v/>
      </c>
      <c r="P988" s="32" t="str">
        <f t="shared" si="677"/>
        <v/>
      </c>
      <c r="Q988" s="32" t="str">
        <f t="shared" si="678"/>
        <v/>
      </c>
      <c r="R988" s="32" t="str">
        <f t="shared" si="690"/>
        <v/>
      </c>
      <c r="S988" s="24" t="str">
        <f t="shared" si="691"/>
        <v/>
      </c>
      <c r="T988" s="24" t="str">
        <f t="shared" si="692"/>
        <v/>
      </c>
      <c r="U988" s="24" t="str">
        <f t="shared" si="693"/>
        <v/>
      </c>
      <c r="V988" s="24" t="str">
        <f t="shared" si="694"/>
        <v/>
      </c>
      <c r="W988" s="23" t="str">
        <f t="array" ref="W988">IFERROR(SMALL(IF(S$1:S$1000="BEGIN",ROW(S$1:S$1000)),ROW()-3),"")</f>
        <v/>
      </c>
      <c r="X988" s="23" t="str">
        <f t="array" ref="X988">IFERROR(SMALL(IF(T$1:T$1000="END",ROW(T$1:T$1000)),ROW()-3),"")</f>
        <v/>
      </c>
      <c r="Y988" s="33" t="str">
        <f t="array" ref="Y988">IF(ISNUMBER(W988),MAX(IF((B$4:B$1000&lt;=X988)*(B$4:B$1000&gt;=W988),I$4:I$1000, "")),"")</f>
        <v/>
      </c>
      <c r="Z988" s="33" t="str">
        <f t="shared" si="679"/>
        <v/>
      </c>
      <c r="AA988" s="32" t="str">
        <f t="shared" si="680"/>
        <v/>
      </c>
      <c r="AB988" s="32" t="str">
        <f t="shared" si="681"/>
        <v/>
      </c>
      <c r="AC988" s="32" t="str">
        <f t="shared" si="682"/>
        <v/>
      </c>
      <c r="AD988" s="32" t="str">
        <f t="shared" si="683"/>
        <v/>
      </c>
      <c r="AE988" s="34" t="str">
        <f t="shared" si="684"/>
        <v/>
      </c>
      <c r="AF988" s="32" t="str">
        <f t="shared" si="685"/>
        <v/>
      </c>
      <c r="AG988" s="32" t="str">
        <f t="shared" si="686"/>
        <v/>
      </c>
      <c r="AH988" s="32" t="str">
        <f t="shared" si="687"/>
        <v/>
      </c>
      <c r="AI988" s="35" t="str">
        <f t="shared" si="688"/>
        <v/>
      </c>
      <c r="AJ988" s="23" t="str">
        <f t="array" ref="AJ988">IFERROR(SMALL(IF(U$1:U$1000="BEGIN",ROW(U$1:U$1000)),ROW()-3),"")</f>
        <v/>
      </c>
      <c r="AK988" s="23" t="str">
        <f t="array" ref="AK988">IFERROR(SMALL(IF(V$1:V$1000="END",ROW(V$1:V$1000)),ROW()-3),"")</f>
        <v/>
      </c>
      <c r="AL988" s="24" t="str">
        <f t="array" ref="AL988">IF(AK988="","",MATCH(AM988,L:L,0))</f>
        <v/>
      </c>
      <c r="AM988" s="35">
        <f t="array" ref="AM988">MAX(IF((B$4:B$1000&lt;=AK988)*(B$4:B$1000&gt;=AJ988),L$4:L$1000, ""))</f>
        <v>0</v>
      </c>
      <c r="AN988" s="32" t="str">
        <f t="shared" si="695"/>
        <v/>
      </c>
      <c r="AO988" s="32" t="str">
        <f t="shared" si="696"/>
        <v/>
      </c>
      <c r="AP988" s="32" t="str">
        <f t="shared" si="697"/>
        <v/>
      </c>
      <c r="AQ988" s="32" t="str">
        <f t="shared" si="698"/>
        <v/>
      </c>
      <c r="AR988" s="32" t="str">
        <f t="shared" si="699"/>
        <v/>
      </c>
      <c r="AS988" s="32" t="str">
        <f t="shared" si="700"/>
        <v/>
      </c>
      <c r="AT988" s="32" t="str">
        <f t="shared" si="701"/>
        <v/>
      </c>
      <c r="AU988" s="34" t="str">
        <f t="shared" si="702"/>
        <v/>
      </c>
      <c r="AV988" s="32" t="str">
        <f t="shared" si="703"/>
        <v/>
      </c>
      <c r="AW988" s="32" t="str">
        <f t="shared" si="704"/>
        <v/>
      </c>
      <c r="AX988" s="32" t="str">
        <f t="shared" si="705"/>
        <v/>
      </c>
      <c r="AY988" s="32" t="str">
        <f t="shared" si="706"/>
        <v/>
      </c>
    </row>
    <row r="989" spans="1:51" x14ac:dyDescent="0.25">
      <c r="A989" s="24" t="str">
        <f t="shared" si="664"/>
        <v/>
      </c>
      <c r="B989" s="24" t="str">
        <f t="shared" si="674"/>
        <v/>
      </c>
      <c r="C989" s="32" t="str">
        <f t="shared" si="665"/>
        <v/>
      </c>
      <c r="D989" s="24" t="str">
        <f t="shared" si="666"/>
        <v/>
      </c>
      <c r="E989" s="24" t="str">
        <f t="shared" si="667"/>
        <v/>
      </c>
      <c r="F989" s="32" t="str">
        <f t="shared" si="668"/>
        <v/>
      </c>
      <c r="G989" s="32" t="str">
        <f t="shared" si="669"/>
        <v/>
      </c>
      <c r="H989" s="32" t="str">
        <f t="shared" ca="1" si="670"/>
        <v/>
      </c>
      <c r="I989" s="32" t="str">
        <f t="shared" ca="1" si="675"/>
        <v/>
      </c>
      <c r="J989" s="32" t="str">
        <f t="shared" si="671"/>
        <v/>
      </c>
      <c r="K989" s="32" t="str">
        <f>IF(ISNUMBER(A989),Profile!$V$25+Profile!$V$24*'Ri-Po'!C989,"")</f>
        <v/>
      </c>
      <c r="L989" s="32" t="str">
        <f t="shared" si="676"/>
        <v/>
      </c>
      <c r="M989" s="32" t="str">
        <f t="shared" si="672"/>
        <v/>
      </c>
      <c r="N989" s="32" t="str">
        <f t="shared" si="673"/>
        <v/>
      </c>
      <c r="O989" s="32" t="str">
        <f t="shared" si="689"/>
        <v/>
      </c>
      <c r="P989" s="32" t="str">
        <f t="shared" si="677"/>
        <v/>
      </c>
      <c r="Q989" s="32" t="str">
        <f t="shared" si="678"/>
        <v/>
      </c>
      <c r="R989" s="32" t="str">
        <f t="shared" si="690"/>
        <v/>
      </c>
      <c r="S989" s="24" t="str">
        <f t="shared" si="691"/>
        <v/>
      </c>
      <c r="T989" s="24" t="str">
        <f t="shared" si="692"/>
        <v/>
      </c>
      <c r="U989" s="24" t="str">
        <f t="shared" si="693"/>
        <v/>
      </c>
      <c r="V989" s="24" t="str">
        <f t="shared" si="694"/>
        <v/>
      </c>
      <c r="W989" s="23" t="str">
        <f t="array" ref="W989">IFERROR(SMALL(IF(S$1:S$1000="BEGIN",ROW(S$1:S$1000)),ROW()-3),"")</f>
        <v/>
      </c>
      <c r="X989" s="23" t="str">
        <f t="array" ref="X989">IFERROR(SMALL(IF(T$1:T$1000="END",ROW(T$1:T$1000)),ROW()-3),"")</f>
        <v/>
      </c>
      <c r="Y989" s="33" t="str">
        <f t="array" ref="Y989">IF(ISNUMBER(W989),MAX(IF((B$4:B$1000&lt;=X989)*(B$4:B$1000&gt;=W989),I$4:I$1000, "")),"")</f>
        <v/>
      </c>
      <c r="Z989" s="33" t="str">
        <f t="shared" si="679"/>
        <v/>
      </c>
      <c r="AA989" s="32" t="str">
        <f t="shared" si="680"/>
        <v/>
      </c>
      <c r="AB989" s="32" t="str">
        <f t="shared" si="681"/>
        <v/>
      </c>
      <c r="AC989" s="32" t="str">
        <f t="shared" si="682"/>
        <v/>
      </c>
      <c r="AD989" s="32" t="str">
        <f t="shared" si="683"/>
        <v/>
      </c>
      <c r="AE989" s="34" t="str">
        <f t="shared" si="684"/>
        <v/>
      </c>
      <c r="AF989" s="32" t="str">
        <f t="shared" si="685"/>
        <v/>
      </c>
      <c r="AG989" s="32" t="str">
        <f t="shared" si="686"/>
        <v/>
      </c>
      <c r="AH989" s="32" t="str">
        <f t="shared" si="687"/>
        <v/>
      </c>
      <c r="AI989" s="35" t="str">
        <f t="shared" si="688"/>
        <v/>
      </c>
      <c r="AJ989" s="23" t="str">
        <f t="array" ref="AJ989">IFERROR(SMALL(IF(U$1:U$1000="BEGIN",ROW(U$1:U$1000)),ROW()-3),"")</f>
        <v/>
      </c>
      <c r="AK989" s="23" t="str">
        <f t="array" ref="AK989">IFERROR(SMALL(IF(V$1:V$1000="END",ROW(V$1:V$1000)),ROW()-3),"")</f>
        <v/>
      </c>
      <c r="AL989" s="24" t="str">
        <f t="array" ref="AL989">IF(AK989="","",MATCH(AM989,L:L,0))</f>
        <v/>
      </c>
      <c r="AM989" s="35">
        <f t="array" ref="AM989">MAX(IF((B$4:B$1000&lt;=AK989)*(B$4:B$1000&gt;=AJ989),L$4:L$1000, ""))</f>
        <v>0</v>
      </c>
      <c r="AN989" s="32" t="str">
        <f t="shared" si="695"/>
        <v/>
      </c>
      <c r="AO989" s="32" t="str">
        <f t="shared" si="696"/>
        <v/>
      </c>
      <c r="AP989" s="32" t="str">
        <f t="shared" si="697"/>
        <v/>
      </c>
      <c r="AQ989" s="32" t="str">
        <f t="shared" si="698"/>
        <v/>
      </c>
      <c r="AR989" s="32" t="str">
        <f t="shared" si="699"/>
        <v/>
      </c>
      <c r="AS989" s="32" t="str">
        <f t="shared" si="700"/>
        <v/>
      </c>
      <c r="AT989" s="32" t="str">
        <f t="shared" si="701"/>
        <v/>
      </c>
      <c r="AU989" s="34" t="str">
        <f t="shared" si="702"/>
        <v/>
      </c>
      <c r="AV989" s="32" t="str">
        <f t="shared" si="703"/>
        <v/>
      </c>
      <c r="AW989" s="32" t="str">
        <f t="shared" si="704"/>
        <v/>
      </c>
      <c r="AX989" s="32" t="str">
        <f t="shared" si="705"/>
        <v/>
      </c>
      <c r="AY989" s="32" t="str">
        <f t="shared" si="706"/>
        <v/>
      </c>
    </row>
    <row r="990" spans="1:51" x14ac:dyDescent="0.25">
      <c r="A990" s="24" t="str">
        <f t="shared" si="664"/>
        <v/>
      </c>
      <c r="B990" s="24" t="str">
        <f t="shared" si="674"/>
        <v/>
      </c>
      <c r="C990" s="32" t="str">
        <f t="shared" si="665"/>
        <v/>
      </c>
      <c r="D990" s="24" t="str">
        <f t="shared" si="666"/>
        <v/>
      </c>
      <c r="E990" s="24" t="str">
        <f t="shared" si="667"/>
        <v/>
      </c>
      <c r="F990" s="32" t="str">
        <f t="shared" si="668"/>
        <v/>
      </c>
      <c r="G990" s="32" t="str">
        <f t="shared" si="669"/>
        <v/>
      </c>
      <c r="H990" s="32" t="str">
        <f t="shared" ca="1" si="670"/>
        <v/>
      </c>
      <c r="I990" s="32" t="str">
        <f t="shared" ca="1" si="675"/>
        <v/>
      </c>
      <c r="J990" s="32" t="str">
        <f t="shared" si="671"/>
        <v/>
      </c>
      <c r="K990" s="32" t="str">
        <f>IF(ISNUMBER(A990),Profile!$V$25+Profile!$V$24*'Ri-Po'!C990,"")</f>
        <v/>
      </c>
      <c r="L990" s="32" t="str">
        <f t="shared" si="676"/>
        <v/>
      </c>
      <c r="M990" s="32" t="str">
        <f t="shared" si="672"/>
        <v/>
      </c>
      <c r="N990" s="32" t="str">
        <f t="shared" si="673"/>
        <v/>
      </c>
      <c r="O990" s="32" t="str">
        <f t="shared" si="689"/>
        <v/>
      </c>
      <c r="P990" s="32" t="str">
        <f t="shared" si="677"/>
        <v/>
      </c>
      <c r="Q990" s="32" t="str">
        <f t="shared" si="678"/>
        <v/>
      </c>
      <c r="R990" s="32" t="str">
        <f t="shared" si="690"/>
        <v/>
      </c>
      <c r="S990" s="24" t="str">
        <f t="shared" si="691"/>
        <v/>
      </c>
      <c r="T990" s="24" t="str">
        <f t="shared" si="692"/>
        <v/>
      </c>
      <c r="U990" s="24" t="str">
        <f t="shared" si="693"/>
        <v/>
      </c>
      <c r="V990" s="24" t="str">
        <f t="shared" si="694"/>
        <v/>
      </c>
      <c r="W990" s="23" t="str">
        <f t="array" ref="W990">IFERROR(SMALL(IF(S$1:S$1000="BEGIN",ROW(S$1:S$1000)),ROW()-3),"")</f>
        <v/>
      </c>
      <c r="X990" s="23" t="str">
        <f t="array" ref="X990">IFERROR(SMALL(IF(T$1:T$1000="END",ROW(T$1:T$1000)),ROW()-3),"")</f>
        <v/>
      </c>
      <c r="Y990" s="33" t="str">
        <f t="array" ref="Y990">IF(ISNUMBER(W990),MAX(IF((B$4:B$1000&lt;=X990)*(B$4:B$1000&gt;=W990),I$4:I$1000, "")),"")</f>
        <v/>
      </c>
      <c r="Z990" s="33" t="str">
        <f t="shared" si="679"/>
        <v/>
      </c>
      <c r="AA990" s="32" t="str">
        <f t="shared" si="680"/>
        <v/>
      </c>
      <c r="AB990" s="32" t="str">
        <f t="shared" si="681"/>
        <v/>
      </c>
      <c r="AC990" s="32" t="str">
        <f t="shared" si="682"/>
        <v/>
      </c>
      <c r="AD990" s="32" t="str">
        <f t="shared" si="683"/>
        <v/>
      </c>
      <c r="AE990" s="34" t="str">
        <f t="shared" si="684"/>
        <v/>
      </c>
      <c r="AF990" s="32" t="str">
        <f t="shared" si="685"/>
        <v/>
      </c>
      <c r="AG990" s="32" t="str">
        <f t="shared" si="686"/>
        <v/>
      </c>
      <c r="AH990" s="32" t="str">
        <f t="shared" si="687"/>
        <v/>
      </c>
      <c r="AI990" s="35" t="str">
        <f t="shared" si="688"/>
        <v/>
      </c>
      <c r="AJ990" s="23" t="str">
        <f t="array" ref="AJ990">IFERROR(SMALL(IF(U$1:U$1000="BEGIN",ROW(U$1:U$1000)),ROW()-3),"")</f>
        <v/>
      </c>
      <c r="AK990" s="23" t="str">
        <f t="array" ref="AK990">IFERROR(SMALL(IF(V$1:V$1000="END",ROW(V$1:V$1000)),ROW()-3),"")</f>
        <v/>
      </c>
      <c r="AL990" s="24" t="str">
        <f t="array" ref="AL990">IF(AK990="","",MATCH(AM990,L:L,0))</f>
        <v/>
      </c>
      <c r="AM990" s="35">
        <f t="array" ref="AM990">MAX(IF((B$4:B$1000&lt;=AK990)*(B$4:B$1000&gt;=AJ990),L$4:L$1000, ""))</f>
        <v>0</v>
      </c>
      <c r="AN990" s="32" t="str">
        <f t="shared" si="695"/>
        <v/>
      </c>
      <c r="AO990" s="32" t="str">
        <f t="shared" si="696"/>
        <v/>
      </c>
      <c r="AP990" s="32" t="str">
        <f t="shared" si="697"/>
        <v/>
      </c>
      <c r="AQ990" s="32" t="str">
        <f t="shared" si="698"/>
        <v/>
      </c>
      <c r="AR990" s="32" t="str">
        <f t="shared" si="699"/>
        <v/>
      </c>
      <c r="AS990" s="32" t="str">
        <f t="shared" si="700"/>
        <v/>
      </c>
      <c r="AT990" s="32" t="str">
        <f t="shared" si="701"/>
        <v/>
      </c>
      <c r="AU990" s="34" t="str">
        <f t="shared" si="702"/>
        <v/>
      </c>
      <c r="AV990" s="32" t="str">
        <f t="shared" si="703"/>
        <v/>
      </c>
      <c r="AW990" s="32" t="str">
        <f t="shared" si="704"/>
        <v/>
      </c>
      <c r="AX990" s="32" t="str">
        <f t="shared" si="705"/>
        <v/>
      </c>
      <c r="AY990" s="32" t="str">
        <f t="shared" si="706"/>
        <v/>
      </c>
    </row>
    <row r="991" spans="1:51" x14ac:dyDescent="0.25">
      <c r="A991" s="24" t="str">
        <f t="shared" si="664"/>
        <v/>
      </c>
      <c r="B991" s="24" t="str">
        <f t="shared" si="674"/>
        <v/>
      </c>
      <c r="C991" s="32" t="str">
        <f t="shared" si="665"/>
        <v/>
      </c>
      <c r="D991" s="24" t="str">
        <f t="shared" si="666"/>
        <v/>
      </c>
      <c r="E991" s="24" t="str">
        <f t="shared" si="667"/>
        <v/>
      </c>
      <c r="F991" s="32" t="str">
        <f t="shared" si="668"/>
        <v/>
      </c>
      <c r="G991" s="32" t="str">
        <f t="shared" si="669"/>
        <v/>
      </c>
      <c r="H991" s="32" t="str">
        <f t="shared" ca="1" si="670"/>
        <v/>
      </c>
      <c r="I991" s="32" t="str">
        <f t="shared" ca="1" si="675"/>
        <v/>
      </c>
      <c r="J991" s="32" t="str">
        <f t="shared" si="671"/>
        <v/>
      </c>
      <c r="K991" s="32" t="str">
        <f>IF(ISNUMBER(A991),Profile!$V$25+Profile!$V$24*'Ri-Po'!C991,"")</f>
        <v/>
      </c>
      <c r="L991" s="32" t="str">
        <f t="shared" si="676"/>
        <v/>
      </c>
      <c r="M991" s="32" t="str">
        <f t="shared" si="672"/>
        <v/>
      </c>
      <c r="N991" s="32" t="str">
        <f t="shared" si="673"/>
        <v/>
      </c>
      <c r="O991" s="32" t="str">
        <f t="shared" si="689"/>
        <v/>
      </c>
      <c r="P991" s="32" t="str">
        <f t="shared" si="677"/>
        <v/>
      </c>
      <c r="Q991" s="32" t="str">
        <f t="shared" si="678"/>
        <v/>
      </c>
      <c r="R991" s="32" t="str">
        <f t="shared" si="690"/>
        <v/>
      </c>
      <c r="S991" s="24" t="str">
        <f t="shared" si="691"/>
        <v/>
      </c>
      <c r="T991" s="24" t="str">
        <f t="shared" si="692"/>
        <v/>
      </c>
      <c r="U991" s="24" t="str">
        <f t="shared" si="693"/>
        <v/>
      </c>
      <c r="V991" s="24" t="str">
        <f t="shared" si="694"/>
        <v/>
      </c>
      <c r="W991" s="23" t="str">
        <f t="array" ref="W991">IFERROR(SMALL(IF(S$1:S$1000="BEGIN",ROW(S$1:S$1000)),ROW()-3),"")</f>
        <v/>
      </c>
      <c r="X991" s="23" t="str">
        <f t="array" ref="X991">IFERROR(SMALL(IF(T$1:T$1000="END",ROW(T$1:T$1000)),ROW()-3),"")</f>
        <v/>
      </c>
      <c r="Y991" s="33" t="str">
        <f t="array" ref="Y991">IF(ISNUMBER(W991),MAX(IF((B$4:B$1000&lt;=X991)*(B$4:B$1000&gt;=W991),I$4:I$1000, "")),"")</f>
        <v/>
      </c>
      <c r="Z991" s="33" t="str">
        <f t="shared" si="679"/>
        <v/>
      </c>
      <c r="AA991" s="32" t="str">
        <f t="shared" si="680"/>
        <v/>
      </c>
      <c r="AB991" s="32" t="str">
        <f t="shared" si="681"/>
        <v/>
      </c>
      <c r="AC991" s="32" t="str">
        <f t="shared" si="682"/>
        <v/>
      </c>
      <c r="AD991" s="32" t="str">
        <f t="shared" si="683"/>
        <v/>
      </c>
      <c r="AE991" s="34" t="str">
        <f t="shared" si="684"/>
        <v/>
      </c>
      <c r="AF991" s="32" t="str">
        <f t="shared" si="685"/>
        <v/>
      </c>
      <c r="AG991" s="32" t="str">
        <f t="shared" si="686"/>
        <v/>
      </c>
      <c r="AH991" s="32" t="str">
        <f t="shared" si="687"/>
        <v/>
      </c>
      <c r="AI991" s="35" t="str">
        <f t="shared" si="688"/>
        <v/>
      </c>
      <c r="AJ991" s="23" t="str">
        <f t="array" ref="AJ991">IFERROR(SMALL(IF(U$1:U$1000="BEGIN",ROW(U$1:U$1000)),ROW()-3),"")</f>
        <v/>
      </c>
      <c r="AK991" s="23" t="str">
        <f t="array" ref="AK991">IFERROR(SMALL(IF(V$1:V$1000="END",ROW(V$1:V$1000)),ROW()-3),"")</f>
        <v/>
      </c>
      <c r="AL991" s="24" t="str">
        <f t="array" ref="AL991">IF(AK991="","",MATCH(AM991,L:L,0))</f>
        <v/>
      </c>
      <c r="AM991" s="35">
        <f t="array" ref="AM991">MAX(IF((B$4:B$1000&lt;=AK991)*(B$4:B$1000&gt;=AJ991),L$4:L$1000, ""))</f>
        <v>0</v>
      </c>
      <c r="AN991" s="32" t="str">
        <f t="shared" si="695"/>
        <v/>
      </c>
      <c r="AO991" s="32" t="str">
        <f t="shared" si="696"/>
        <v/>
      </c>
      <c r="AP991" s="32" t="str">
        <f t="shared" si="697"/>
        <v/>
      </c>
      <c r="AQ991" s="32" t="str">
        <f t="shared" si="698"/>
        <v/>
      </c>
      <c r="AR991" s="32" t="str">
        <f t="shared" si="699"/>
        <v/>
      </c>
      <c r="AS991" s="32" t="str">
        <f t="shared" si="700"/>
        <v/>
      </c>
      <c r="AT991" s="32" t="str">
        <f t="shared" si="701"/>
        <v/>
      </c>
      <c r="AU991" s="34" t="str">
        <f t="shared" si="702"/>
        <v/>
      </c>
      <c r="AV991" s="32" t="str">
        <f t="shared" si="703"/>
        <v/>
      </c>
      <c r="AW991" s="32" t="str">
        <f t="shared" si="704"/>
        <v/>
      </c>
      <c r="AX991" s="32" t="str">
        <f t="shared" si="705"/>
        <v/>
      </c>
      <c r="AY991" s="32" t="str">
        <f t="shared" si="706"/>
        <v/>
      </c>
    </row>
    <row r="992" spans="1:51" x14ac:dyDescent="0.25">
      <c r="A992" s="24" t="str">
        <f t="shared" si="664"/>
        <v/>
      </c>
      <c r="B992" s="24" t="str">
        <f t="shared" si="674"/>
        <v/>
      </c>
      <c r="C992" s="32" t="str">
        <f t="shared" si="665"/>
        <v/>
      </c>
      <c r="D992" s="24" t="str">
        <f t="shared" si="666"/>
        <v/>
      </c>
      <c r="E992" s="24" t="str">
        <f t="shared" si="667"/>
        <v/>
      </c>
      <c r="F992" s="32" t="str">
        <f t="shared" si="668"/>
        <v/>
      </c>
      <c r="G992" s="32" t="str">
        <f t="shared" si="669"/>
        <v/>
      </c>
      <c r="H992" s="32" t="str">
        <f t="shared" ca="1" si="670"/>
        <v/>
      </c>
      <c r="I992" s="32" t="str">
        <f t="shared" ca="1" si="675"/>
        <v/>
      </c>
      <c r="J992" s="32" t="str">
        <f t="shared" si="671"/>
        <v/>
      </c>
      <c r="K992" s="32" t="str">
        <f>IF(ISNUMBER(A992),Profile!$V$25+Profile!$V$24*'Ri-Po'!C992,"")</f>
        <v/>
      </c>
      <c r="L992" s="32" t="str">
        <f t="shared" si="676"/>
        <v/>
      </c>
      <c r="M992" s="32" t="str">
        <f t="shared" si="672"/>
        <v/>
      </c>
      <c r="N992" s="32" t="str">
        <f t="shared" si="673"/>
        <v/>
      </c>
      <c r="O992" s="32" t="str">
        <f t="shared" si="689"/>
        <v/>
      </c>
      <c r="P992" s="32" t="str">
        <f t="shared" si="677"/>
        <v/>
      </c>
      <c r="Q992" s="32" t="str">
        <f t="shared" si="678"/>
        <v/>
      </c>
      <c r="R992" s="32" t="str">
        <f t="shared" si="690"/>
        <v/>
      </c>
      <c r="S992" s="24" t="str">
        <f t="shared" si="691"/>
        <v/>
      </c>
      <c r="T992" s="24" t="str">
        <f t="shared" si="692"/>
        <v/>
      </c>
      <c r="U992" s="24" t="str">
        <f t="shared" si="693"/>
        <v/>
      </c>
      <c r="V992" s="24" t="str">
        <f t="shared" si="694"/>
        <v/>
      </c>
      <c r="W992" s="23" t="str">
        <f t="array" ref="W992">IFERROR(SMALL(IF(S$1:S$1000="BEGIN",ROW(S$1:S$1000)),ROW()-3),"")</f>
        <v/>
      </c>
      <c r="X992" s="23" t="str">
        <f t="array" ref="X992">IFERROR(SMALL(IF(T$1:T$1000="END",ROW(T$1:T$1000)),ROW()-3),"")</f>
        <v/>
      </c>
      <c r="Y992" s="33" t="str">
        <f t="array" ref="Y992">IF(ISNUMBER(W992),MAX(IF((B$4:B$1000&lt;=X992)*(B$4:B$1000&gt;=W992),I$4:I$1000, "")),"")</f>
        <v/>
      </c>
      <c r="Z992" s="33" t="str">
        <f t="shared" si="679"/>
        <v/>
      </c>
      <c r="AA992" s="32" t="str">
        <f t="shared" si="680"/>
        <v/>
      </c>
      <c r="AB992" s="32" t="str">
        <f t="shared" si="681"/>
        <v/>
      </c>
      <c r="AC992" s="32" t="str">
        <f t="shared" si="682"/>
        <v/>
      </c>
      <c r="AD992" s="32" t="str">
        <f t="shared" si="683"/>
        <v/>
      </c>
      <c r="AE992" s="34" t="str">
        <f t="shared" si="684"/>
        <v/>
      </c>
      <c r="AF992" s="32" t="str">
        <f t="shared" si="685"/>
        <v/>
      </c>
      <c r="AG992" s="32" t="str">
        <f t="shared" si="686"/>
        <v/>
      </c>
      <c r="AH992" s="32" t="str">
        <f t="shared" si="687"/>
        <v/>
      </c>
      <c r="AI992" s="35" t="str">
        <f t="shared" si="688"/>
        <v/>
      </c>
      <c r="AJ992" s="23" t="str">
        <f t="array" ref="AJ992">IFERROR(SMALL(IF(U$1:U$1000="BEGIN",ROW(U$1:U$1000)),ROW()-3),"")</f>
        <v/>
      </c>
      <c r="AK992" s="23" t="str">
        <f t="array" ref="AK992">IFERROR(SMALL(IF(V$1:V$1000="END",ROW(V$1:V$1000)),ROW()-3),"")</f>
        <v/>
      </c>
      <c r="AL992" s="24" t="str">
        <f t="array" ref="AL992">IF(AK992="","",MATCH(AM992,L:L,0))</f>
        <v/>
      </c>
      <c r="AM992" s="35">
        <f t="array" ref="AM992">MAX(IF((B$4:B$1000&lt;=AK992)*(B$4:B$1000&gt;=AJ992),L$4:L$1000, ""))</f>
        <v>0</v>
      </c>
      <c r="AN992" s="32" t="str">
        <f t="shared" si="695"/>
        <v/>
      </c>
      <c r="AO992" s="32" t="str">
        <f t="shared" si="696"/>
        <v/>
      </c>
      <c r="AP992" s="32" t="str">
        <f t="shared" si="697"/>
        <v/>
      </c>
      <c r="AQ992" s="32" t="str">
        <f t="shared" si="698"/>
        <v/>
      </c>
      <c r="AR992" s="32" t="str">
        <f t="shared" si="699"/>
        <v/>
      </c>
      <c r="AS992" s="32" t="str">
        <f t="shared" si="700"/>
        <v/>
      </c>
      <c r="AT992" s="32" t="str">
        <f t="shared" si="701"/>
        <v/>
      </c>
      <c r="AU992" s="34" t="str">
        <f t="shared" si="702"/>
        <v/>
      </c>
      <c r="AV992" s="32" t="str">
        <f t="shared" si="703"/>
        <v/>
      </c>
      <c r="AW992" s="32" t="str">
        <f t="shared" si="704"/>
        <v/>
      </c>
      <c r="AX992" s="32" t="str">
        <f t="shared" si="705"/>
        <v/>
      </c>
      <c r="AY992" s="32" t="str">
        <f t="shared" si="706"/>
        <v/>
      </c>
    </row>
    <row r="993" spans="1:51" x14ac:dyDescent="0.25">
      <c r="A993" s="24" t="str">
        <f t="shared" si="664"/>
        <v/>
      </c>
      <c r="B993" s="24" t="str">
        <f t="shared" si="674"/>
        <v/>
      </c>
      <c r="C993" s="32" t="str">
        <f t="shared" si="665"/>
        <v/>
      </c>
      <c r="D993" s="24" t="str">
        <f t="shared" si="666"/>
        <v/>
      </c>
      <c r="E993" s="24" t="str">
        <f t="shared" si="667"/>
        <v/>
      </c>
      <c r="F993" s="32" t="str">
        <f t="shared" si="668"/>
        <v/>
      </c>
      <c r="G993" s="32" t="str">
        <f t="shared" si="669"/>
        <v/>
      </c>
      <c r="H993" s="32" t="str">
        <f t="shared" ca="1" si="670"/>
        <v/>
      </c>
      <c r="I993" s="32" t="str">
        <f t="shared" ca="1" si="675"/>
        <v/>
      </c>
      <c r="J993" s="32" t="str">
        <f t="shared" si="671"/>
        <v/>
      </c>
      <c r="K993" s="32" t="str">
        <f>IF(ISNUMBER(A993),Profile!$V$25+Profile!$V$24*'Ri-Po'!C993,"")</f>
        <v/>
      </c>
      <c r="L993" s="32" t="str">
        <f t="shared" si="676"/>
        <v/>
      </c>
      <c r="M993" s="32" t="str">
        <f t="shared" si="672"/>
        <v/>
      </c>
      <c r="N993" s="32" t="str">
        <f t="shared" si="673"/>
        <v/>
      </c>
      <c r="O993" s="32" t="str">
        <f t="shared" si="689"/>
        <v/>
      </c>
      <c r="P993" s="32" t="str">
        <f t="shared" si="677"/>
        <v/>
      </c>
      <c r="Q993" s="32" t="str">
        <f t="shared" si="678"/>
        <v/>
      </c>
      <c r="R993" s="32" t="str">
        <f t="shared" si="690"/>
        <v/>
      </c>
      <c r="S993" s="24" t="str">
        <f t="shared" si="691"/>
        <v/>
      </c>
      <c r="T993" s="24" t="str">
        <f t="shared" si="692"/>
        <v/>
      </c>
      <c r="U993" s="24" t="str">
        <f t="shared" si="693"/>
        <v/>
      </c>
      <c r="V993" s="24" t="str">
        <f t="shared" si="694"/>
        <v/>
      </c>
      <c r="W993" s="23" t="str">
        <f t="array" ref="W993">IFERROR(SMALL(IF(S$1:S$1000="BEGIN",ROW(S$1:S$1000)),ROW()-3),"")</f>
        <v/>
      </c>
      <c r="X993" s="23" t="str">
        <f t="array" ref="X993">IFERROR(SMALL(IF(T$1:T$1000="END",ROW(T$1:T$1000)),ROW()-3),"")</f>
        <v/>
      </c>
      <c r="Y993" s="33" t="str">
        <f t="array" ref="Y993">IF(ISNUMBER(W993),MAX(IF((B$4:B$1000&lt;=X993)*(B$4:B$1000&gt;=W993),I$4:I$1000, "")),"")</f>
        <v/>
      </c>
      <c r="Z993" s="33" t="str">
        <f t="shared" si="679"/>
        <v/>
      </c>
      <c r="AA993" s="32" t="str">
        <f t="shared" si="680"/>
        <v/>
      </c>
      <c r="AB993" s="32" t="str">
        <f t="shared" si="681"/>
        <v/>
      </c>
      <c r="AC993" s="32" t="str">
        <f t="shared" si="682"/>
        <v/>
      </c>
      <c r="AD993" s="32" t="str">
        <f t="shared" si="683"/>
        <v/>
      </c>
      <c r="AE993" s="34" t="str">
        <f t="shared" si="684"/>
        <v/>
      </c>
      <c r="AF993" s="32" t="str">
        <f t="shared" si="685"/>
        <v/>
      </c>
      <c r="AG993" s="32" t="str">
        <f t="shared" si="686"/>
        <v/>
      </c>
      <c r="AH993" s="32" t="str">
        <f t="shared" si="687"/>
        <v/>
      </c>
      <c r="AI993" s="35" t="str">
        <f t="shared" si="688"/>
        <v/>
      </c>
      <c r="AJ993" s="23" t="str">
        <f t="array" ref="AJ993">IFERROR(SMALL(IF(U$1:U$1000="BEGIN",ROW(U$1:U$1000)),ROW()-3),"")</f>
        <v/>
      </c>
      <c r="AK993" s="23" t="str">
        <f t="array" ref="AK993">IFERROR(SMALL(IF(V$1:V$1000="END",ROW(V$1:V$1000)),ROW()-3),"")</f>
        <v/>
      </c>
      <c r="AL993" s="24" t="str">
        <f t="array" ref="AL993">IF(AK993="","",MATCH(AM993,L:L,0))</f>
        <v/>
      </c>
      <c r="AM993" s="35">
        <f t="array" ref="AM993">MAX(IF((B$4:B$1000&lt;=AK993)*(B$4:B$1000&gt;=AJ993),L$4:L$1000, ""))</f>
        <v>0</v>
      </c>
      <c r="AN993" s="32" t="str">
        <f t="shared" si="695"/>
        <v/>
      </c>
      <c r="AO993" s="32" t="str">
        <f t="shared" si="696"/>
        <v/>
      </c>
      <c r="AP993" s="32" t="str">
        <f t="shared" si="697"/>
        <v/>
      </c>
      <c r="AQ993" s="32" t="str">
        <f t="shared" si="698"/>
        <v/>
      </c>
      <c r="AR993" s="32" t="str">
        <f t="shared" si="699"/>
        <v/>
      </c>
      <c r="AS993" s="32" t="str">
        <f t="shared" si="700"/>
        <v/>
      </c>
      <c r="AT993" s="32" t="str">
        <f t="shared" si="701"/>
        <v/>
      </c>
      <c r="AU993" s="34" t="str">
        <f t="shared" si="702"/>
        <v/>
      </c>
      <c r="AV993" s="32" t="str">
        <f t="shared" si="703"/>
        <v/>
      </c>
      <c r="AW993" s="32" t="str">
        <f t="shared" si="704"/>
        <v/>
      </c>
      <c r="AX993" s="32" t="str">
        <f t="shared" si="705"/>
        <v/>
      </c>
      <c r="AY993" s="32" t="str">
        <f t="shared" si="706"/>
        <v/>
      </c>
    </row>
    <row r="994" spans="1:51" x14ac:dyDescent="0.25">
      <c r="A994" s="24" t="str">
        <f t="shared" si="664"/>
        <v/>
      </c>
      <c r="B994" s="24" t="str">
        <f t="shared" si="674"/>
        <v/>
      </c>
      <c r="C994" s="32" t="str">
        <f t="shared" si="665"/>
        <v/>
      </c>
      <c r="D994" s="24" t="str">
        <f t="shared" si="666"/>
        <v/>
      </c>
      <c r="E994" s="24" t="str">
        <f t="shared" si="667"/>
        <v/>
      </c>
      <c r="F994" s="32" t="str">
        <f t="shared" si="668"/>
        <v/>
      </c>
      <c r="G994" s="32" t="str">
        <f t="shared" si="669"/>
        <v/>
      </c>
      <c r="H994" s="32" t="str">
        <f t="shared" ca="1" si="670"/>
        <v/>
      </c>
      <c r="I994" s="32" t="str">
        <f t="shared" ca="1" si="675"/>
        <v/>
      </c>
      <c r="J994" s="32" t="str">
        <f t="shared" si="671"/>
        <v/>
      </c>
      <c r="K994" s="32" t="str">
        <f>IF(ISNUMBER(A994),Profile!$V$25+Profile!$V$24*'Ri-Po'!C994,"")</f>
        <v/>
      </c>
      <c r="L994" s="32" t="str">
        <f t="shared" si="676"/>
        <v/>
      </c>
      <c r="M994" s="32" t="str">
        <f t="shared" si="672"/>
        <v/>
      </c>
      <c r="N994" s="32" t="str">
        <f t="shared" si="673"/>
        <v/>
      </c>
      <c r="O994" s="32" t="str">
        <f t="shared" si="689"/>
        <v/>
      </c>
      <c r="P994" s="32" t="str">
        <f t="shared" si="677"/>
        <v/>
      </c>
      <c r="Q994" s="32" t="str">
        <f t="shared" si="678"/>
        <v/>
      </c>
      <c r="R994" s="32" t="str">
        <f t="shared" si="690"/>
        <v/>
      </c>
      <c r="S994" s="24" t="str">
        <f t="shared" si="691"/>
        <v/>
      </c>
      <c r="T994" s="24" t="str">
        <f t="shared" si="692"/>
        <v/>
      </c>
      <c r="U994" s="24" t="str">
        <f t="shared" si="693"/>
        <v/>
      </c>
      <c r="V994" s="24" t="str">
        <f t="shared" si="694"/>
        <v/>
      </c>
      <c r="W994" s="23" t="str">
        <f t="array" ref="W994">IFERROR(SMALL(IF(S$1:S$1000="BEGIN",ROW(S$1:S$1000)),ROW()-3),"")</f>
        <v/>
      </c>
      <c r="X994" s="23" t="str">
        <f t="array" ref="X994">IFERROR(SMALL(IF(T$1:T$1000="END",ROW(T$1:T$1000)),ROW()-3),"")</f>
        <v/>
      </c>
      <c r="Y994" s="33" t="str">
        <f t="array" ref="Y994">IF(ISNUMBER(W994),MAX(IF((B$4:B$1000&lt;=X994)*(B$4:B$1000&gt;=W994),I$4:I$1000, "")),"")</f>
        <v/>
      </c>
      <c r="Z994" s="33" t="str">
        <f t="shared" si="679"/>
        <v/>
      </c>
      <c r="AA994" s="32" t="str">
        <f t="shared" si="680"/>
        <v/>
      </c>
      <c r="AB994" s="32" t="str">
        <f t="shared" si="681"/>
        <v/>
      </c>
      <c r="AC994" s="32" t="str">
        <f t="shared" si="682"/>
        <v/>
      </c>
      <c r="AD994" s="32" t="str">
        <f t="shared" si="683"/>
        <v/>
      </c>
      <c r="AE994" s="34" t="str">
        <f t="shared" si="684"/>
        <v/>
      </c>
      <c r="AF994" s="32" t="str">
        <f t="shared" si="685"/>
        <v/>
      </c>
      <c r="AG994" s="32" t="str">
        <f t="shared" si="686"/>
        <v/>
      </c>
      <c r="AH994" s="32" t="str">
        <f t="shared" si="687"/>
        <v/>
      </c>
      <c r="AI994" s="35" t="str">
        <f t="shared" si="688"/>
        <v/>
      </c>
      <c r="AJ994" s="23" t="str">
        <f t="array" ref="AJ994">IFERROR(SMALL(IF(U$1:U$1000="BEGIN",ROW(U$1:U$1000)),ROW()-3),"")</f>
        <v/>
      </c>
      <c r="AK994" s="23" t="str">
        <f t="array" ref="AK994">IFERROR(SMALL(IF(V$1:V$1000="END",ROW(V$1:V$1000)),ROW()-3),"")</f>
        <v/>
      </c>
      <c r="AL994" s="24" t="str">
        <f t="array" ref="AL994">IF(AK994="","",MATCH(AM994,L:L,0))</f>
        <v/>
      </c>
      <c r="AM994" s="35">
        <f t="array" ref="AM994">MAX(IF((B$4:B$1000&lt;=AK994)*(B$4:B$1000&gt;=AJ994),L$4:L$1000, ""))</f>
        <v>0</v>
      </c>
      <c r="AN994" s="32" t="str">
        <f t="shared" si="695"/>
        <v/>
      </c>
      <c r="AO994" s="32" t="str">
        <f t="shared" si="696"/>
        <v/>
      </c>
      <c r="AP994" s="32" t="str">
        <f t="shared" si="697"/>
        <v/>
      </c>
      <c r="AQ994" s="32" t="str">
        <f t="shared" si="698"/>
        <v/>
      </c>
      <c r="AR994" s="32" t="str">
        <f t="shared" si="699"/>
        <v/>
      </c>
      <c r="AS994" s="32" t="str">
        <f t="shared" si="700"/>
        <v/>
      </c>
      <c r="AT994" s="32" t="str">
        <f t="shared" si="701"/>
        <v/>
      </c>
      <c r="AU994" s="34" t="str">
        <f t="shared" si="702"/>
        <v/>
      </c>
      <c r="AV994" s="32" t="str">
        <f t="shared" si="703"/>
        <v/>
      </c>
      <c r="AW994" s="32" t="str">
        <f t="shared" si="704"/>
        <v/>
      </c>
      <c r="AX994" s="32" t="str">
        <f t="shared" si="705"/>
        <v/>
      </c>
      <c r="AY994" s="32" t="str">
        <f t="shared" si="706"/>
        <v/>
      </c>
    </row>
    <row r="995" spans="1:51" x14ac:dyDescent="0.25">
      <c r="A995" s="24" t="str">
        <f t="shared" si="664"/>
        <v/>
      </c>
      <c r="B995" s="24" t="str">
        <f t="shared" si="674"/>
        <v/>
      </c>
      <c r="C995" s="32" t="str">
        <f t="shared" si="665"/>
        <v/>
      </c>
      <c r="D995" s="24" t="str">
        <f t="shared" si="666"/>
        <v/>
      </c>
      <c r="E995" s="24" t="str">
        <f t="shared" si="667"/>
        <v/>
      </c>
      <c r="F995" s="32" t="str">
        <f t="shared" si="668"/>
        <v/>
      </c>
      <c r="G995" s="32" t="str">
        <f t="shared" si="669"/>
        <v/>
      </c>
      <c r="H995" s="32" t="str">
        <f t="shared" ca="1" si="670"/>
        <v/>
      </c>
      <c r="I995" s="32" t="str">
        <f t="shared" ca="1" si="675"/>
        <v/>
      </c>
      <c r="J995" s="32" t="str">
        <f t="shared" si="671"/>
        <v/>
      </c>
      <c r="K995" s="32" t="str">
        <f>IF(ISNUMBER(A995),Profile!$V$25+Profile!$V$24*'Ri-Po'!C995,"")</f>
        <v/>
      </c>
      <c r="L995" s="32" t="str">
        <f t="shared" si="676"/>
        <v/>
      </c>
      <c r="M995" s="32" t="str">
        <f t="shared" si="672"/>
        <v/>
      </c>
      <c r="N995" s="32" t="str">
        <f t="shared" si="673"/>
        <v/>
      </c>
      <c r="O995" s="32" t="str">
        <f t="shared" si="689"/>
        <v/>
      </c>
      <c r="P995" s="32" t="str">
        <f t="shared" si="677"/>
        <v/>
      </c>
      <c r="Q995" s="32" t="str">
        <f t="shared" si="678"/>
        <v/>
      </c>
      <c r="R995" s="32" t="str">
        <f t="shared" si="690"/>
        <v/>
      </c>
      <c r="S995" s="24" t="str">
        <f t="shared" si="691"/>
        <v/>
      </c>
      <c r="T995" s="24" t="str">
        <f t="shared" si="692"/>
        <v/>
      </c>
      <c r="U995" s="24" t="str">
        <f t="shared" si="693"/>
        <v/>
      </c>
      <c r="V995" s="24" t="str">
        <f t="shared" si="694"/>
        <v/>
      </c>
      <c r="W995" s="23" t="str">
        <f t="array" ref="W995">IFERROR(SMALL(IF(S$1:S$1000="BEGIN",ROW(S$1:S$1000)),ROW()-3),"")</f>
        <v/>
      </c>
      <c r="X995" s="23" t="str">
        <f t="array" ref="X995">IFERROR(SMALL(IF(T$1:T$1000="END",ROW(T$1:T$1000)),ROW()-3),"")</f>
        <v/>
      </c>
      <c r="Y995" s="33" t="str">
        <f t="array" ref="Y995">IF(ISNUMBER(W995),MAX(IF((B$4:B$1000&lt;=X995)*(B$4:B$1000&gt;=W995),I$4:I$1000, "")),"")</f>
        <v/>
      </c>
      <c r="Z995" s="33" t="str">
        <f t="shared" si="679"/>
        <v/>
      </c>
      <c r="AA995" s="32" t="str">
        <f t="shared" si="680"/>
        <v/>
      </c>
      <c r="AB995" s="32" t="str">
        <f t="shared" si="681"/>
        <v/>
      </c>
      <c r="AC995" s="32" t="str">
        <f t="shared" si="682"/>
        <v/>
      </c>
      <c r="AD995" s="32" t="str">
        <f t="shared" si="683"/>
        <v/>
      </c>
      <c r="AE995" s="34" t="str">
        <f t="shared" si="684"/>
        <v/>
      </c>
      <c r="AF995" s="32" t="str">
        <f t="shared" si="685"/>
        <v/>
      </c>
      <c r="AG995" s="32" t="str">
        <f t="shared" si="686"/>
        <v/>
      </c>
      <c r="AH995" s="32" t="str">
        <f t="shared" si="687"/>
        <v/>
      </c>
      <c r="AI995" s="35" t="str">
        <f t="shared" si="688"/>
        <v/>
      </c>
      <c r="AJ995" s="23" t="str">
        <f t="array" ref="AJ995">IFERROR(SMALL(IF(U$1:U$1000="BEGIN",ROW(U$1:U$1000)),ROW()-3),"")</f>
        <v/>
      </c>
      <c r="AK995" s="23" t="str">
        <f t="array" ref="AK995">IFERROR(SMALL(IF(V$1:V$1000="END",ROW(V$1:V$1000)),ROW()-3),"")</f>
        <v/>
      </c>
      <c r="AL995" s="24" t="str">
        <f t="array" ref="AL995">IF(AK995="","",MATCH(AM995,L:L,0))</f>
        <v/>
      </c>
      <c r="AM995" s="35">
        <f t="array" ref="AM995">MAX(IF((B$4:B$1000&lt;=AK995)*(B$4:B$1000&gt;=AJ995),L$4:L$1000, ""))</f>
        <v>0</v>
      </c>
      <c r="AN995" s="32" t="str">
        <f t="shared" si="695"/>
        <v/>
      </c>
      <c r="AO995" s="32" t="str">
        <f t="shared" si="696"/>
        <v/>
      </c>
      <c r="AP995" s="32" t="str">
        <f t="shared" si="697"/>
        <v/>
      </c>
      <c r="AQ995" s="32" t="str">
        <f t="shared" si="698"/>
        <v/>
      </c>
      <c r="AR995" s="32" t="str">
        <f t="shared" si="699"/>
        <v/>
      </c>
      <c r="AS995" s="32" t="str">
        <f t="shared" si="700"/>
        <v/>
      </c>
      <c r="AT995" s="32" t="str">
        <f t="shared" si="701"/>
        <v/>
      </c>
      <c r="AU995" s="34" t="str">
        <f t="shared" si="702"/>
        <v/>
      </c>
      <c r="AV995" s="32" t="str">
        <f t="shared" si="703"/>
        <v/>
      </c>
      <c r="AW995" s="32" t="str">
        <f t="shared" si="704"/>
        <v/>
      </c>
      <c r="AX995" s="32" t="str">
        <f t="shared" si="705"/>
        <v/>
      </c>
      <c r="AY995" s="32" t="str">
        <f t="shared" si="706"/>
        <v/>
      </c>
    </row>
    <row r="996" spans="1:51" x14ac:dyDescent="0.25">
      <c r="A996" s="24" t="str">
        <f t="shared" si="664"/>
        <v/>
      </c>
      <c r="B996" s="24" t="str">
        <f t="shared" si="674"/>
        <v/>
      </c>
      <c r="C996" s="32" t="str">
        <f t="shared" si="665"/>
        <v/>
      </c>
      <c r="D996" s="24" t="str">
        <f t="shared" si="666"/>
        <v/>
      </c>
      <c r="E996" s="24" t="str">
        <f t="shared" si="667"/>
        <v/>
      </c>
      <c r="F996" s="32" t="str">
        <f t="shared" si="668"/>
        <v/>
      </c>
      <c r="G996" s="32" t="str">
        <f t="shared" si="669"/>
        <v/>
      </c>
      <c r="H996" s="32" t="str">
        <f t="shared" ca="1" si="670"/>
        <v/>
      </c>
      <c r="I996" s="32" t="str">
        <f t="shared" ca="1" si="675"/>
        <v/>
      </c>
      <c r="J996" s="32" t="str">
        <f t="shared" si="671"/>
        <v/>
      </c>
      <c r="K996" s="32" t="str">
        <f>IF(ISNUMBER(A996),Profile!$V$25+Profile!$V$24*'Ri-Po'!C996,"")</f>
        <v/>
      </c>
      <c r="L996" s="32" t="str">
        <f t="shared" si="676"/>
        <v/>
      </c>
      <c r="M996" s="32" t="str">
        <f t="shared" si="672"/>
        <v/>
      </c>
      <c r="N996" s="32" t="str">
        <f t="shared" si="673"/>
        <v/>
      </c>
      <c r="O996" s="32" t="str">
        <f t="shared" si="689"/>
        <v/>
      </c>
      <c r="P996" s="32" t="str">
        <f t="shared" si="677"/>
        <v/>
      </c>
      <c r="Q996" s="32" t="str">
        <f t="shared" si="678"/>
        <v/>
      </c>
      <c r="R996" s="32" t="str">
        <f t="shared" si="690"/>
        <v/>
      </c>
      <c r="S996" s="24" t="str">
        <f t="shared" si="691"/>
        <v/>
      </c>
      <c r="T996" s="24" t="str">
        <f t="shared" si="692"/>
        <v/>
      </c>
      <c r="U996" s="24" t="str">
        <f t="shared" si="693"/>
        <v/>
      </c>
      <c r="V996" s="24" t="str">
        <f t="shared" si="694"/>
        <v/>
      </c>
      <c r="W996" s="23" t="str">
        <f t="array" ref="W996">IFERROR(SMALL(IF(S$1:S$1000="BEGIN",ROW(S$1:S$1000)),ROW()-3),"")</f>
        <v/>
      </c>
      <c r="X996" s="23" t="str">
        <f t="array" ref="X996">IFERROR(SMALL(IF(T$1:T$1000="END",ROW(T$1:T$1000)),ROW()-3),"")</f>
        <v/>
      </c>
      <c r="Y996" s="33" t="str">
        <f t="array" ref="Y996">IF(ISNUMBER(W996),MAX(IF((B$4:B$1000&lt;=X996)*(B$4:B$1000&gt;=W996),I$4:I$1000, "")),"")</f>
        <v/>
      </c>
      <c r="Z996" s="33" t="str">
        <f t="shared" si="679"/>
        <v/>
      </c>
      <c r="AA996" s="32" t="str">
        <f t="shared" si="680"/>
        <v/>
      </c>
      <c r="AB996" s="32" t="str">
        <f t="shared" si="681"/>
        <v/>
      </c>
      <c r="AC996" s="32" t="str">
        <f t="shared" si="682"/>
        <v/>
      </c>
      <c r="AD996" s="32" t="str">
        <f t="shared" si="683"/>
        <v/>
      </c>
      <c r="AE996" s="34" t="str">
        <f t="shared" si="684"/>
        <v/>
      </c>
      <c r="AF996" s="32" t="str">
        <f t="shared" si="685"/>
        <v/>
      </c>
      <c r="AG996" s="32" t="str">
        <f t="shared" si="686"/>
        <v/>
      </c>
      <c r="AH996" s="32" t="str">
        <f t="shared" si="687"/>
        <v/>
      </c>
      <c r="AI996" s="35" t="str">
        <f t="shared" si="688"/>
        <v/>
      </c>
      <c r="AJ996" s="23" t="str">
        <f t="array" ref="AJ996">IFERROR(SMALL(IF(U$1:U$1000="BEGIN",ROW(U$1:U$1000)),ROW()-3),"")</f>
        <v/>
      </c>
      <c r="AK996" s="23" t="str">
        <f t="array" ref="AK996">IFERROR(SMALL(IF(V$1:V$1000="END",ROW(V$1:V$1000)),ROW()-3),"")</f>
        <v/>
      </c>
      <c r="AL996" s="24" t="str">
        <f t="array" ref="AL996">IF(AK996="","",MATCH(AM996,L:L,0))</f>
        <v/>
      </c>
      <c r="AM996" s="35">
        <f t="array" ref="AM996">MAX(IF((B$4:B$1000&lt;=AK996)*(B$4:B$1000&gt;=AJ996),L$4:L$1000, ""))</f>
        <v>0</v>
      </c>
      <c r="AN996" s="32" t="str">
        <f t="shared" si="695"/>
        <v/>
      </c>
      <c r="AO996" s="32" t="str">
        <f t="shared" si="696"/>
        <v/>
      </c>
      <c r="AP996" s="32" t="str">
        <f t="shared" si="697"/>
        <v/>
      </c>
      <c r="AQ996" s="32" t="str">
        <f t="shared" si="698"/>
        <v/>
      </c>
      <c r="AR996" s="32" t="str">
        <f t="shared" si="699"/>
        <v/>
      </c>
      <c r="AS996" s="32" t="str">
        <f t="shared" si="700"/>
        <v/>
      </c>
      <c r="AT996" s="32" t="str">
        <f t="shared" si="701"/>
        <v/>
      </c>
      <c r="AU996" s="34" t="str">
        <f t="shared" si="702"/>
        <v/>
      </c>
      <c r="AV996" s="32" t="str">
        <f t="shared" si="703"/>
        <v/>
      </c>
      <c r="AW996" s="32" t="str">
        <f t="shared" si="704"/>
        <v/>
      </c>
      <c r="AX996" s="32" t="str">
        <f t="shared" si="705"/>
        <v/>
      </c>
      <c r="AY996" s="32" t="str">
        <f t="shared" si="706"/>
        <v/>
      </c>
    </row>
    <row r="997" spans="1:51" x14ac:dyDescent="0.25">
      <c r="A997" s="24" t="str">
        <f t="shared" si="664"/>
        <v/>
      </c>
      <c r="B997" s="24" t="str">
        <f t="shared" si="674"/>
        <v/>
      </c>
      <c r="C997" s="32" t="str">
        <f t="shared" si="665"/>
        <v/>
      </c>
      <c r="D997" s="24" t="str">
        <f t="shared" si="666"/>
        <v/>
      </c>
      <c r="E997" s="24" t="str">
        <f t="shared" si="667"/>
        <v/>
      </c>
      <c r="F997" s="32" t="str">
        <f t="shared" si="668"/>
        <v/>
      </c>
      <c r="G997" s="32" t="str">
        <f t="shared" si="669"/>
        <v/>
      </c>
      <c r="H997" s="32" t="str">
        <f t="shared" ca="1" si="670"/>
        <v/>
      </c>
      <c r="I997" s="32" t="str">
        <f t="shared" ca="1" si="675"/>
        <v/>
      </c>
      <c r="J997" s="32" t="str">
        <f t="shared" si="671"/>
        <v/>
      </c>
      <c r="K997" s="32" t="str">
        <f>IF(ISNUMBER(A997),Profile!$V$25+Profile!$V$24*'Ri-Po'!C997,"")</f>
        <v/>
      </c>
      <c r="L997" s="32" t="str">
        <f t="shared" si="676"/>
        <v/>
      </c>
      <c r="M997" s="32" t="str">
        <f t="shared" si="672"/>
        <v/>
      </c>
      <c r="N997" s="32" t="str">
        <f t="shared" si="673"/>
        <v/>
      </c>
      <c r="O997" s="32" t="str">
        <f t="shared" si="689"/>
        <v/>
      </c>
      <c r="P997" s="32" t="str">
        <f t="shared" si="677"/>
        <v/>
      </c>
      <c r="Q997" s="32" t="str">
        <f t="shared" si="678"/>
        <v/>
      </c>
      <c r="R997" s="32" t="str">
        <f t="shared" si="690"/>
        <v/>
      </c>
      <c r="S997" s="24" t="str">
        <f t="shared" si="691"/>
        <v/>
      </c>
      <c r="T997" s="24" t="str">
        <f t="shared" si="692"/>
        <v/>
      </c>
      <c r="U997" s="24" t="str">
        <f t="shared" si="693"/>
        <v/>
      </c>
      <c r="V997" s="24" t="str">
        <f t="shared" si="694"/>
        <v/>
      </c>
      <c r="W997" s="23" t="str">
        <f t="array" ref="W997">IFERROR(SMALL(IF(S$1:S$1000="BEGIN",ROW(S$1:S$1000)),ROW()-3),"")</f>
        <v/>
      </c>
      <c r="X997" s="23" t="str">
        <f t="array" ref="X997">IFERROR(SMALL(IF(T$1:T$1000="END",ROW(T$1:T$1000)),ROW()-3),"")</f>
        <v/>
      </c>
      <c r="Y997" s="33" t="str">
        <f t="array" ref="Y997">IF(ISNUMBER(W997),MAX(IF((B$4:B$1000&lt;=X997)*(B$4:B$1000&gt;=W997),I$4:I$1000, "")),"")</f>
        <v/>
      </c>
      <c r="Z997" s="33" t="str">
        <f t="shared" si="679"/>
        <v/>
      </c>
      <c r="AA997" s="32" t="str">
        <f t="shared" si="680"/>
        <v/>
      </c>
      <c r="AB997" s="32" t="str">
        <f t="shared" si="681"/>
        <v/>
      </c>
      <c r="AC997" s="32" t="str">
        <f t="shared" si="682"/>
        <v/>
      </c>
      <c r="AD997" s="32" t="str">
        <f t="shared" si="683"/>
        <v/>
      </c>
      <c r="AE997" s="34" t="str">
        <f t="shared" si="684"/>
        <v/>
      </c>
      <c r="AF997" s="32" t="str">
        <f t="shared" si="685"/>
        <v/>
      </c>
      <c r="AG997" s="32" t="str">
        <f t="shared" si="686"/>
        <v/>
      </c>
      <c r="AH997" s="32" t="str">
        <f t="shared" si="687"/>
        <v/>
      </c>
      <c r="AI997" s="35" t="str">
        <f t="shared" si="688"/>
        <v/>
      </c>
      <c r="AJ997" s="23" t="str">
        <f t="array" ref="AJ997">IFERROR(SMALL(IF(U$1:U$1000="BEGIN",ROW(U$1:U$1000)),ROW()-3),"")</f>
        <v/>
      </c>
      <c r="AK997" s="23" t="str">
        <f t="array" ref="AK997">IFERROR(SMALL(IF(V$1:V$1000="END",ROW(V$1:V$1000)),ROW()-3),"")</f>
        <v/>
      </c>
      <c r="AL997" s="24" t="str">
        <f t="array" ref="AL997">IF(AK997="","",MATCH(AM997,L:L,0))</f>
        <v/>
      </c>
      <c r="AM997" s="35">
        <f t="array" ref="AM997">MAX(IF((B$4:B$1000&lt;=AK997)*(B$4:B$1000&gt;=AJ997),L$4:L$1000, ""))</f>
        <v>0</v>
      </c>
      <c r="AN997" s="32" t="str">
        <f t="shared" si="695"/>
        <v/>
      </c>
      <c r="AO997" s="32" t="str">
        <f t="shared" si="696"/>
        <v/>
      </c>
      <c r="AP997" s="32" t="str">
        <f t="shared" si="697"/>
        <v/>
      </c>
      <c r="AQ997" s="32" t="str">
        <f t="shared" si="698"/>
        <v/>
      </c>
      <c r="AR997" s="32" t="str">
        <f t="shared" si="699"/>
        <v/>
      </c>
      <c r="AS997" s="32" t="str">
        <f t="shared" si="700"/>
        <v/>
      </c>
      <c r="AT997" s="32" t="str">
        <f t="shared" si="701"/>
        <v/>
      </c>
      <c r="AU997" s="34" t="str">
        <f t="shared" si="702"/>
        <v/>
      </c>
      <c r="AV997" s="32" t="str">
        <f t="shared" si="703"/>
        <v/>
      </c>
      <c r="AW997" s="32" t="str">
        <f t="shared" si="704"/>
        <v/>
      </c>
      <c r="AX997" s="32" t="str">
        <f t="shared" si="705"/>
        <v/>
      </c>
      <c r="AY997" s="32" t="str">
        <f t="shared" si="706"/>
        <v/>
      </c>
    </row>
    <row r="998" spans="1:51" x14ac:dyDescent="0.25">
      <c r="A998" s="24" t="str">
        <f t="shared" si="664"/>
        <v/>
      </c>
      <c r="B998" s="24" t="str">
        <f t="shared" si="674"/>
        <v/>
      </c>
      <c r="C998" s="32" t="str">
        <f t="shared" si="665"/>
        <v/>
      </c>
      <c r="D998" s="24" t="str">
        <f t="shared" si="666"/>
        <v/>
      </c>
      <c r="E998" s="24" t="str">
        <f t="shared" si="667"/>
        <v/>
      </c>
      <c r="F998" s="32" t="str">
        <f t="shared" si="668"/>
        <v/>
      </c>
      <c r="G998" s="32" t="str">
        <f t="shared" si="669"/>
        <v/>
      </c>
      <c r="H998" s="32" t="str">
        <f t="shared" ca="1" si="670"/>
        <v/>
      </c>
      <c r="I998" s="32" t="str">
        <f t="shared" ca="1" si="675"/>
        <v/>
      </c>
      <c r="J998" s="32" t="str">
        <f t="shared" si="671"/>
        <v/>
      </c>
      <c r="K998" s="32" t="str">
        <f>IF(ISNUMBER(A998),Profile!$V$25+Profile!$V$24*'Ri-Po'!C998,"")</f>
        <v/>
      </c>
      <c r="L998" s="32" t="str">
        <f t="shared" si="676"/>
        <v/>
      </c>
      <c r="M998" s="32" t="str">
        <f t="shared" si="672"/>
        <v/>
      </c>
      <c r="N998" s="32" t="str">
        <f t="shared" si="673"/>
        <v/>
      </c>
      <c r="O998" s="32" t="str">
        <f t="shared" si="689"/>
        <v/>
      </c>
      <c r="P998" s="32" t="str">
        <f t="shared" si="677"/>
        <v/>
      </c>
      <c r="Q998" s="32" t="str">
        <f t="shared" si="678"/>
        <v/>
      </c>
      <c r="R998" s="32" t="str">
        <f t="shared" si="690"/>
        <v/>
      </c>
      <c r="S998" s="24" t="str">
        <f t="shared" si="691"/>
        <v/>
      </c>
      <c r="T998" s="24" t="str">
        <f t="shared" si="692"/>
        <v/>
      </c>
      <c r="U998" s="24" t="str">
        <f t="shared" si="693"/>
        <v/>
      </c>
      <c r="V998" s="24" t="str">
        <f t="shared" si="694"/>
        <v/>
      </c>
      <c r="W998" s="23" t="str">
        <f t="array" ref="W998">IFERROR(SMALL(IF(S$1:S$1000="BEGIN",ROW(S$1:S$1000)),ROW()-3),"")</f>
        <v/>
      </c>
      <c r="X998" s="23" t="str">
        <f t="array" ref="X998">IFERROR(SMALL(IF(T$1:T$1000="END",ROW(T$1:T$1000)),ROW()-3),"")</f>
        <v/>
      </c>
      <c r="Y998" s="33" t="str">
        <f t="array" ref="Y998">IF(ISNUMBER(W998),MAX(IF((B$4:B$1000&lt;=X998)*(B$4:B$1000&gt;=W998),I$4:I$1000, "")),"")</f>
        <v/>
      </c>
      <c r="Z998" s="33" t="str">
        <f t="shared" si="679"/>
        <v/>
      </c>
      <c r="AA998" s="32" t="str">
        <f t="shared" si="680"/>
        <v/>
      </c>
      <c r="AB998" s="32" t="str">
        <f t="shared" si="681"/>
        <v/>
      </c>
      <c r="AC998" s="32" t="str">
        <f t="shared" si="682"/>
        <v/>
      </c>
      <c r="AD998" s="32" t="str">
        <f t="shared" si="683"/>
        <v/>
      </c>
      <c r="AE998" s="34" t="str">
        <f t="shared" si="684"/>
        <v/>
      </c>
      <c r="AF998" s="32" t="str">
        <f t="shared" si="685"/>
        <v/>
      </c>
      <c r="AG998" s="32" t="str">
        <f t="shared" si="686"/>
        <v/>
      </c>
      <c r="AH998" s="32" t="str">
        <f t="shared" si="687"/>
        <v/>
      </c>
      <c r="AI998" s="35" t="str">
        <f t="shared" si="688"/>
        <v/>
      </c>
      <c r="AJ998" s="23" t="str">
        <f t="array" ref="AJ998">IFERROR(SMALL(IF(U$1:U$1000="BEGIN",ROW(U$1:U$1000)),ROW()-3),"")</f>
        <v/>
      </c>
      <c r="AK998" s="23" t="str">
        <f t="array" ref="AK998">IFERROR(SMALL(IF(V$1:V$1000="END",ROW(V$1:V$1000)),ROW()-3),"")</f>
        <v/>
      </c>
      <c r="AL998" s="24" t="str">
        <f t="array" ref="AL998">IF(AK998="","",MATCH(AM998,L:L,0))</f>
        <v/>
      </c>
      <c r="AM998" s="35">
        <f t="array" ref="AM998">MAX(IF((B$4:B$1000&lt;=AK998)*(B$4:B$1000&gt;=AJ998),L$4:L$1000, ""))</f>
        <v>0</v>
      </c>
      <c r="AN998" s="32" t="str">
        <f t="shared" si="695"/>
        <v/>
      </c>
      <c r="AO998" s="32" t="str">
        <f t="shared" si="696"/>
        <v/>
      </c>
      <c r="AP998" s="32" t="str">
        <f t="shared" si="697"/>
        <v/>
      </c>
      <c r="AQ998" s="32" t="str">
        <f t="shared" si="698"/>
        <v/>
      </c>
      <c r="AR998" s="32" t="str">
        <f t="shared" si="699"/>
        <v/>
      </c>
      <c r="AS998" s="32" t="str">
        <f t="shared" si="700"/>
        <v/>
      </c>
      <c r="AT998" s="32" t="str">
        <f t="shared" si="701"/>
        <v/>
      </c>
      <c r="AU998" s="34" t="str">
        <f t="shared" si="702"/>
        <v/>
      </c>
      <c r="AV998" s="32" t="str">
        <f t="shared" si="703"/>
        <v/>
      </c>
      <c r="AW998" s="32" t="str">
        <f t="shared" si="704"/>
        <v/>
      </c>
      <c r="AX998" s="32" t="str">
        <f t="shared" si="705"/>
        <v/>
      </c>
      <c r="AY998" s="32" t="str">
        <f t="shared" si="706"/>
        <v/>
      </c>
    </row>
    <row r="999" spans="1:51" x14ac:dyDescent="0.25">
      <c r="A999" s="24" t="str">
        <f t="shared" si="664"/>
        <v/>
      </c>
      <c r="B999" s="24" t="str">
        <f t="shared" si="674"/>
        <v/>
      </c>
      <c r="C999" s="32" t="str">
        <f t="shared" si="665"/>
        <v/>
      </c>
      <c r="D999" s="24" t="str">
        <f t="shared" si="666"/>
        <v/>
      </c>
      <c r="E999" s="24" t="str">
        <f t="shared" si="667"/>
        <v/>
      </c>
      <c r="F999" s="32" t="str">
        <f t="shared" si="668"/>
        <v/>
      </c>
      <c r="G999" s="32" t="str">
        <f t="shared" si="669"/>
        <v/>
      </c>
      <c r="H999" s="32" t="str">
        <f t="shared" ca="1" si="670"/>
        <v/>
      </c>
      <c r="I999" s="32" t="str">
        <f t="shared" ca="1" si="675"/>
        <v/>
      </c>
      <c r="J999" s="32" t="str">
        <f t="shared" si="671"/>
        <v/>
      </c>
      <c r="K999" s="32" t="str">
        <f>IF(ISNUMBER(A999),Profile!$V$25+Profile!$V$24*'Ri-Po'!C999,"")</f>
        <v/>
      </c>
      <c r="L999" s="32" t="str">
        <f t="shared" si="676"/>
        <v/>
      </c>
      <c r="M999" s="32" t="str">
        <f t="shared" si="672"/>
        <v/>
      </c>
      <c r="N999" s="32" t="str">
        <f t="shared" si="673"/>
        <v/>
      </c>
      <c r="O999" s="32" t="str">
        <f t="shared" si="689"/>
        <v/>
      </c>
      <c r="P999" s="32" t="str">
        <f t="shared" si="677"/>
        <v/>
      </c>
      <c r="Q999" s="32" t="str">
        <f t="shared" si="678"/>
        <v/>
      </c>
      <c r="R999" s="32" t="str">
        <f t="shared" si="690"/>
        <v/>
      </c>
      <c r="S999" s="24" t="str">
        <f t="shared" si="691"/>
        <v/>
      </c>
      <c r="T999" s="24" t="str">
        <f t="shared" si="692"/>
        <v/>
      </c>
      <c r="U999" s="24" t="str">
        <f t="shared" si="693"/>
        <v/>
      </c>
      <c r="V999" s="24" t="str">
        <f t="shared" si="694"/>
        <v/>
      </c>
      <c r="W999" s="23" t="str">
        <f t="array" ref="W999">IFERROR(SMALL(IF(S$1:S$1000="BEGIN",ROW(S$1:S$1000)),ROW()-3),"")</f>
        <v/>
      </c>
      <c r="X999" s="23" t="str">
        <f t="array" ref="X999">IFERROR(SMALL(IF(T$1:T$1000="END",ROW(T$1:T$1000)),ROW()-3),"")</f>
        <v/>
      </c>
      <c r="Y999" s="33" t="str">
        <f t="array" ref="Y999">IF(ISNUMBER(W999),MAX(IF((B$4:B$1000&lt;=X999)*(B$4:B$1000&gt;=W999),I$4:I$1000, "")),"")</f>
        <v/>
      </c>
      <c r="Z999" s="33" t="str">
        <f t="shared" si="679"/>
        <v/>
      </c>
      <c r="AA999" s="32" t="str">
        <f t="shared" si="680"/>
        <v/>
      </c>
      <c r="AB999" s="32" t="str">
        <f t="shared" si="681"/>
        <v/>
      </c>
      <c r="AC999" s="32" t="str">
        <f t="shared" si="682"/>
        <v/>
      </c>
      <c r="AD999" s="32" t="str">
        <f t="shared" si="683"/>
        <v/>
      </c>
      <c r="AE999" s="34" t="str">
        <f t="shared" si="684"/>
        <v/>
      </c>
      <c r="AF999" s="32" t="str">
        <f t="shared" si="685"/>
        <v/>
      </c>
      <c r="AG999" s="32" t="str">
        <f t="shared" si="686"/>
        <v/>
      </c>
      <c r="AH999" s="32" t="str">
        <f t="shared" si="687"/>
        <v/>
      </c>
      <c r="AI999" s="35" t="str">
        <f t="shared" si="688"/>
        <v/>
      </c>
      <c r="AJ999" s="23" t="str">
        <f t="array" ref="AJ999">IFERROR(SMALL(IF(U$1:U$1000="BEGIN",ROW(U$1:U$1000)),ROW()-3),"")</f>
        <v/>
      </c>
      <c r="AK999" s="23" t="str">
        <f t="array" ref="AK999">IFERROR(SMALL(IF(V$1:V$1000="END",ROW(V$1:V$1000)),ROW()-3),"")</f>
        <v/>
      </c>
      <c r="AL999" s="24" t="str">
        <f t="array" ref="AL999">IF(AK999="","",MATCH(AM999,L:L,0))</f>
        <v/>
      </c>
      <c r="AM999" s="35">
        <f t="array" ref="AM999">MAX(IF((B$4:B$1000&lt;=AK999)*(B$4:B$1000&gt;=AJ999),L$4:L$1000, ""))</f>
        <v>0</v>
      </c>
      <c r="AN999" s="32" t="str">
        <f t="shared" si="695"/>
        <v/>
      </c>
      <c r="AO999" s="32" t="str">
        <f t="shared" si="696"/>
        <v/>
      </c>
      <c r="AP999" s="32" t="str">
        <f t="shared" si="697"/>
        <v/>
      </c>
      <c r="AQ999" s="32" t="str">
        <f t="shared" si="698"/>
        <v/>
      </c>
      <c r="AR999" s="32" t="str">
        <f t="shared" si="699"/>
        <v/>
      </c>
      <c r="AS999" s="32" t="str">
        <f t="shared" si="700"/>
        <v/>
      </c>
      <c r="AT999" s="32" t="str">
        <f t="shared" si="701"/>
        <v/>
      </c>
      <c r="AU999" s="34" t="str">
        <f t="shared" si="702"/>
        <v/>
      </c>
      <c r="AV999" s="32" t="str">
        <f t="shared" si="703"/>
        <v/>
      </c>
      <c r="AW999" s="32" t="str">
        <f t="shared" si="704"/>
        <v/>
      </c>
      <c r="AX999" s="32" t="str">
        <f t="shared" si="705"/>
        <v/>
      </c>
      <c r="AY999" s="32" t="str">
        <f t="shared" si="706"/>
        <v/>
      </c>
    </row>
    <row r="1000" spans="1:51" x14ac:dyDescent="0.25">
      <c r="A1000" s="24" t="str">
        <f t="shared" si="664"/>
        <v/>
      </c>
      <c r="B1000" s="24" t="str">
        <f t="shared" si="674"/>
        <v/>
      </c>
      <c r="C1000" s="32" t="str">
        <f t="shared" si="665"/>
        <v/>
      </c>
      <c r="D1000" s="24" t="str">
        <f t="shared" si="666"/>
        <v/>
      </c>
      <c r="E1000" s="24" t="str">
        <f t="shared" si="667"/>
        <v/>
      </c>
      <c r="F1000" s="32" t="str">
        <f t="shared" si="668"/>
        <v/>
      </c>
      <c r="G1000" s="32" t="str">
        <f t="shared" si="669"/>
        <v/>
      </c>
      <c r="H1000" s="32" t="str">
        <f t="shared" ca="1" si="670"/>
        <v/>
      </c>
      <c r="I1000" s="32" t="str">
        <f t="shared" ca="1" si="675"/>
        <v/>
      </c>
      <c r="J1000" s="32" t="str">
        <f t="shared" si="671"/>
        <v/>
      </c>
      <c r="K1000" s="32" t="str">
        <f>IF(ISNUMBER(A1000),Profile!$V$25+Profile!$V$24*'Ri-Po'!C1000,"")</f>
        <v/>
      </c>
      <c r="L1000" s="32" t="str">
        <f t="shared" si="676"/>
        <v/>
      </c>
      <c r="M1000" s="32" t="str">
        <f t="shared" si="672"/>
        <v/>
      </c>
      <c r="N1000" s="32" t="str">
        <f t="shared" si="673"/>
        <v/>
      </c>
      <c r="O1000" s="32" t="str">
        <f t="shared" si="689"/>
        <v/>
      </c>
      <c r="P1000" s="32" t="str">
        <f t="shared" si="677"/>
        <v/>
      </c>
      <c r="Q1000" s="32" t="str">
        <f t="shared" si="678"/>
        <v/>
      </c>
      <c r="R1000" s="32" t="str">
        <f t="shared" si="690"/>
        <v/>
      </c>
      <c r="S1000" s="24" t="str">
        <f t="shared" si="691"/>
        <v/>
      </c>
      <c r="T1000" s="24" t="str">
        <f t="shared" si="692"/>
        <v/>
      </c>
      <c r="U1000" s="24" t="str">
        <f t="shared" si="693"/>
        <v/>
      </c>
      <c r="V1000" s="24" t="str">
        <f t="shared" si="694"/>
        <v/>
      </c>
      <c r="Z1000" s="33" t="str">
        <f t="shared" si="679"/>
        <v/>
      </c>
      <c r="AA1000" s="32" t="str">
        <f t="shared" si="680"/>
        <v/>
      </c>
      <c r="AB1000" s="32" t="str">
        <f t="shared" si="681"/>
        <v/>
      </c>
      <c r="AC1000" s="32" t="str">
        <f t="shared" ca="1" si="682"/>
        <v/>
      </c>
      <c r="AD1000" s="32" t="str">
        <f t="shared" ca="1" si="683"/>
        <v/>
      </c>
      <c r="AE1000" s="34" t="str">
        <f t="shared" ca="1" si="684"/>
        <v/>
      </c>
      <c r="AF1000" s="32" t="str">
        <f t="shared" si="685"/>
        <v/>
      </c>
      <c r="AG1000" s="32" t="str">
        <f t="shared" si="686"/>
        <v/>
      </c>
      <c r="AH1000" s="32" t="str">
        <f t="shared" si="687"/>
        <v/>
      </c>
      <c r="AI1000" s="35" t="str">
        <f t="shared" ca="1" si="688"/>
        <v/>
      </c>
      <c r="AM1000" s="35"/>
      <c r="AN1000" s="32" t="str">
        <f t="shared" si="695"/>
        <v/>
      </c>
      <c r="AO1000" s="32" t="str">
        <f t="shared" si="696"/>
        <v/>
      </c>
      <c r="AP1000" s="32" t="str">
        <f t="shared" si="697"/>
        <v/>
      </c>
      <c r="AQ1000" s="32" t="str">
        <f t="shared" si="698"/>
        <v/>
      </c>
      <c r="AR1000" s="32" t="str">
        <f t="shared" si="699"/>
        <v/>
      </c>
      <c r="AS1000" s="32" t="str">
        <f t="shared" ca="1" si="700"/>
        <v/>
      </c>
      <c r="AT1000" s="32" t="str">
        <f t="shared" ca="1" si="701"/>
        <v/>
      </c>
      <c r="AU1000" s="34" t="str">
        <f t="shared" ca="1" si="702"/>
        <v/>
      </c>
      <c r="AV1000" s="32" t="str">
        <f t="shared" si="703"/>
        <v/>
      </c>
      <c r="AW1000" s="32" t="str">
        <f t="shared" ca="1" si="704"/>
        <v/>
      </c>
      <c r="AX1000" s="32" t="str">
        <f t="shared" si="705"/>
        <v/>
      </c>
      <c r="AY1000" s="32" t="str">
        <f t="shared" si="706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Profile</vt:lpstr>
      <vt:lpstr>Ri-Po</vt:lpstr>
      <vt:lpstr>currentBKF</vt:lpstr>
      <vt:lpstr>currentBKF2</vt:lpstr>
      <vt:lpstr>currentCMORPH</vt:lpstr>
      <vt:lpstr>currentDESC</vt:lpstr>
      <vt:lpstr>currentINTERPWS</vt:lpstr>
      <vt:lpstr>currentINTTOB</vt:lpstr>
      <vt:lpstr>currentMISC</vt:lpstr>
      <vt:lpstr>currentNUM</vt:lpstr>
      <vt:lpstr>currentSMORPH</vt:lpstr>
      <vt:lpstr>currentSTATION</vt:lpstr>
      <vt:lpstr>currentSTRUCT</vt:lpstr>
      <vt:lpstr>currentTHW</vt:lpstr>
      <vt:lpstr>currentTOB</vt:lpstr>
      <vt:lpstr>currentWS</vt:lpstr>
      <vt:lpstr>currentXS</vt:lpstr>
      <vt:lpstr>currentYEAR</vt:lpstr>
      <vt:lpstr>maxSCEL</vt:lpstr>
      <vt:lpstr>maxSTA</vt:lpstr>
      <vt:lpstr>minSCEL</vt:lpstr>
      <vt:lpstr>minSTA</vt:lpstr>
      <vt:lpstr>Profile!Print_Area</vt:lpstr>
    </vt:vector>
  </TitlesOfParts>
  <Company>Kimley-Horn and Associates,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Kiley</dc:creator>
  <cp:lastModifiedBy>Sky Jones</cp:lastModifiedBy>
  <cp:lastPrinted>2009-11-04T14:20:58Z</cp:lastPrinted>
  <dcterms:created xsi:type="dcterms:W3CDTF">2007-11-09T20:46:10Z</dcterms:created>
  <dcterms:modified xsi:type="dcterms:W3CDTF">2018-03-06T17:21:59Z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-773751970</vt:i4>
  </property>
  <property fmtid="{D5CDD505-2E9C-101B-9397-08002B2CF9AE}" pid="3" name="_NewReviewCycle">
    <vt:lpwstr/>
  </property>
  <property fmtid="{D5CDD505-2E9C-101B-9397-08002B2CF9AE}" pid="4" name="_EmailSubject">
    <vt:lpwstr>VFF</vt:lpwstr>
  </property>
  <property fmtid="{D5CDD505-2E9C-101B-9397-08002B2CF9AE}" pid="5" name="_AuthorEmail">
    <vt:lpwstr>Jason.Diaz@kimley-horn.com</vt:lpwstr>
  </property>
  <property fmtid="{D5CDD505-2E9C-101B-9397-08002B2CF9AE}" pid="6" name="_AuthorEmailDisplayName">
    <vt:lpwstr>Diaz, Jason</vt:lpwstr>
  </property>
  <property fmtid="{D5CDD505-2E9C-101B-9397-08002B2CF9AE}" pid="7" name="_ReviewingToolsShownOnce">
    <vt:lpwstr/>
  </property>
</Properties>
</file>